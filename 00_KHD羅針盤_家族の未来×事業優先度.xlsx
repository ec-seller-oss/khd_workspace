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羅針盤" sheetId="1" state="visible" r:id="rId1"/>
    <sheet xmlns:r="http://schemas.openxmlformats.org/officeDocument/2006/relationships" name="01_必要CF逆算" sheetId="2" state="visible" r:id="rId2"/>
    <sheet xmlns:r="http://schemas.openxmlformats.org/officeDocument/2006/relationships" name="02_事業優先度" sheetId="3" state="visible" r:id="rId3"/>
    <sheet xmlns:r="http://schemas.openxmlformats.org/officeDocument/2006/relationships" name="03_5年フェーズ" sheetId="4" state="visible" r:id="rId4"/>
    <sheet xmlns:r="http://schemas.openxmlformats.org/officeDocument/2006/relationships" name="04_使い分けガイ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▲#,##0"/>
  </numFmts>
  <fonts count="15">
    <font>
      <name val="Calibri"/>
      <family val="2"/>
      <color theme="1"/>
      <sz val="11"/>
      <scheme val="minor"/>
    </font>
    <font>
      <name val="Yu Gothic"/>
      <b val="1"/>
      <color rgb="FFFFFFFF"/>
      <sz val="14"/>
    </font>
    <font>
      <name val="Yu Gothic"/>
      <i val="1"/>
      <color rgb="FF666666"/>
      <sz val="10"/>
    </font>
    <font>
      <name val="Yu Gothic"/>
      <b val="1"/>
      <color rgb="FF000000"/>
      <sz val="11"/>
    </font>
    <font>
      <name val="Yu Gothic"/>
      <color rgb="FF7F4F1D"/>
      <sz val="11"/>
    </font>
    <font>
      <name val="Yu Gothic"/>
      <b val="1"/>
      <color rgb="FF008000"/>
      <sz val="11"/>
    </font>
    <font>
      <name val="Yu Gothic"/>
      <color rgb="FF000000"/>
      <sz val="11"/>
    </font>
    <font>
      <name val="Yu Gothic"/>
      <color rgb="FF666666"/>
      <sz val="10"/>
    </font>
    <font>
      <name val="Yu Gothic"/>
      <b val="1"/>
      <color rgb="FF0000FF"/>
      <sz val="11"/>
    </font>
    <font>
      <name val="Yu Gothic"/>
      <color rgb="FF000000"/>
      <sz val="10"/>
    </font>
    <font>
      <name val="Yu Gothic"/>
      <color rgb="FFA32D2D"/>
      <sz val="10"/>
    </font>
    <font>
      <name val="Yu Gothic"/>
      <b val="1"/>
      <color rgb="FFFFFFFF"/>
      <sz val="11"/>
    </font>
    <font>
      <name val="Yu Gothic"/>
      <color rgb="FF0000FF"/>
      <sz val="11"/>
    </font>
    <font>
      <name val="Yu Gothic"/>
      <i val="1"/>
      <color rgb="FF7F4F1D"/>
      <sz val="10"/>
    </font>
    <font>
      <name val="Yu Gothic"/>
      <color rgb="FF008000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5C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1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" fontId="12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" fontId="1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3" fontId="14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秘書</author>
  </authors>
  <commentList>
    <comment ref="B13" authorId="0" shapeId="0">
      <text>
        <t>③司令塔/①起点を手入力。IMPORTRANGEで自動化可</t>
      </text>
    </comment>
    <comment ref="B14" authorId="0" shapeId="0">
      <text>
        <t>③から手入力。赤信号判定に使う</t>
      </text>
    </comment>
  </commentList>
</comments>
</file>

<file path=xl/comments/comment2.xml><?xml version="1.0" encoding="utf-8"?>
<comments xmlns="http://schemas.openxmlformats.org/spreadsheetml/2006/main">
  <authors>
    <author>秘書</author>
  </authors>
  <commentList>
    <comment ref="B4" authorId="0" shapeId="0">
      <text>
        <t>ここを変えると00と03の今年が動く</t>
      </text>
    </comment>
    <comment ref="B17" authorId="0" shapeId="0">
      <text>
        <t>①02ゴール:26.7+4.2+7.7=38.5万/月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6" customHeight="1">
      <c r="A1" s="1" t="inlineStr">
        <is>
          <t>🧭 KHD羅針盤 — 家族の未来 × 事業の優先度（今日の1枚）</t>
        </is>
      </c>
    </row>
    <row r="2">
      <c r="A2" s="2" t="inlineStr">
        <is>
          <t>北極星=①家族の未来 ／ 海図=②医療GD ／ 計器盤=③司令塔(月次実績)。この羅針盤が3つを束ねて『今どこに時間を割くか』を決める。</t>
        </is>
      </c>
    </row>
    <row r="4">
      <c r="A4" s="3" t="inlineStr">
        <is>
          <t>🎯 センターピン（これを外さなければ倒れる1本）</t>
        </is>
      </c>
    </row>
    <row r="5" ht="58" customHeight="1">
      <c r="A5" s="4" t="inlineStr">
        <is>
          <t>家族の未来に要る“年間の事業CF”を1つの数字に確定し、それを最短・最確で生む順＝①医療テナント承継(客付き現金) ②不動産フック(資金化)で現金を作り、③AI医療④オーロラに仕込み、⑤クリニック買収は5年後の本丸(今は種・猪突猛進NG)。保険診療＝制度が客を連れてくる永久機関を握るのが終点。</t>
        </is>
      </c>
    </row>
    <row r="6"/>
    <row r="7"/>
    <row r="9">
      <c r="A9" s="5" t="inlineStr">
        <is>
          <t>今年（西暦）</t>
        </is>
      </c>
      <c r="B9" s="6">
        <f>'01_必要CF逆算'!$B$4</f>
        <v/>
      </c>
      <c r="C9" s="7" t="inlineStr"/>
      <c r="D9" s="7" t="inlineStr"/>
      <c r="E9" s="7" t="inlineStr"/>
      <c r="F9" s="7" t="inlineStr"/>
    </row>
    <row r="11">
      <c r="A11" s="8" t="inlineStr">
        <is>
          <t>今年の必要事業CF（万）</t>
        </is>
      </c>
      <c r="B11" s="9">
        <f>'01_必要CF逆算'!$B$15</f>
        <v/>
      </c>
      <c r="C11" s="10" t="inlineStr">
        <is>
          <t>①家族逆算が要求する世帯収入＝事業で作る額</t>
        </is>
      </c>
    </row>
    <row r="12">
      <c r="A12" s="8" t="inlineStr">
        <is>
          <t>02の貢献CF目標 合計（万）</t>
        </is>
      </c>
      <c r="B12" s="9">
        <f>'02_事業優先度'!$B$10</f>
        <v/>
      </c>
      <c r="C12" s="10" t="inlineStr">
        <is>
          <t>事業ごとの今年CF目標の合計</t>
        </is>
      </c>
    </row>
    <row r="13">
      <c r="A13" s="8" t="inlineStr">
        <is>
          <t>今の純資産（万）</t>
        </is>
      </c>
      <c r="B13" s="11" t="n">
        <v>2893</v>
      </c>
      <c r="C13" s="10" t="inlineStr">
        <is>
          <t>③司令塔/①起点を手入力。IMPORTRANGEで自動化可</t>
        </is>
      </c>
    </row>
    <row r="14">
      <c r="A14" s="8" t="inlineStr">
        <is>
          <t>法人現預金（万）</t>
        </is>
      </c>
      <c r="B14" s="11" t="n">
        <v>0</v>
      </c>
      <c r="C14" s="10" t="inlineStr">
        <is>
          <t>③から手入力。赤信号判定に使う</t>
        </is>
      </c>
    </row>
    <row r="15">
      <c r="A15" s="8" t="inlineStr">
        <is>
          <t>CF充足（目標−必要）</t>
        </is>
      </c>
      <c r="B15" s="12">
        <f>B12-B11</f>
        <v/>
      </c>
      <c r="C15" s="13">
        <f>IF(B12&gt;=B11,"🟢 今年の家族コストは事業目標で賄える","🟡 不足：上位事業のCF目標を上げる/支出を見直す")</f>
        <v/>
      </c>
    </row>
    <row r="16">
      <c r="A16" s="8" t="inlineStr">
        <is>
          <t>資金 赤信号</t>
        </is>
      </c>
      <c r="B16" s="14">
        <f>IF(B14&lt;100,"🔴 営業フル","🟢 OK")</f>
        <v/>
      </c>
      <c r="C16" s="15" t="inlineStr">
        <is>
          <t>法人現預金100万割れ／医療2ヶ月連続0成約→学習中断・営業フル（②赤信号ライン）</t>
        </is>
      </c>
    </row>
    <row r="18">
      <c r="A18" s="3" t="inlineStr">
        <is>
          <t>▶ 今週の1手（構想倒れ防止）</t>
        </is>
      </c>
    </row>
    <row r="19" ht="48" customHeight="1">
      <c r="A19" s="4" t="inlineStr">
        <is>
          <t>6/15週：京橋・山崎先生ヒアリングで①クラウド不安への回答(動画TTP)②運営中も使う継続診療圏コンサル の2点を実地検証。並行して福井ルートで医療テナント承継を1件/Qの複線化（今期センターピン＝現金）。</t>
        </is>
      </c>
    </row>
    <row r="20"/>
    <row r="21"/>
    <row r="23" ht="30" customHeight="1">
      <c r="A23" s="16" t="inlineStr">
        <is>
          <t>運用順序：①(年に要る金)→この羅針盤(どの事業で作るか優先度)→③(月次で実績入力・現在地)→②(案件ごとに目利き・査定)。月初=①と02見直し／週次=この00／日次=③入力。</t>
        </is>
      </c>
    </row>
    <row r="24"/>
  </sheetData>
  <mergeCells count="13">
    <mergeCell ref="C13:F13"/>
    <mergeCell ref="A2:F2"/>
    <mergeCell ref="A23:F24"/>
    <mergeCell ref="A5:F7"/>
    <mergeCell ref="A1:F1"/>
    <mergeCell ref="C12:F12"/>
    <mergeCell ref="C16:F16"/>
    <mergeCell ref="C15:F15"/>
    <mergeCell ref="A18:F18"/>
    <mergeCell ref="C11:F11"/>
    <mergeCell ref="A4:F4"/>
    <mergeCell ref="C14:F14"/>
    <mergeCell ref="A19:F2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0" customWidth="1" min="4" max="4"/>
  </cols>
  <sheetData>
    <row r="1" ht="26" customHeight="1">
      <c r="A1" s="1" t="inlineStr">
        <is>
          <t>💰 必要CF逆算 — 家族の未来から『今年いくら事業で稼ぐか』</t>
        </is>
      </c>
    </row>
    <row r="2">
      <c r="A2" s="2" t="inlineStr">
        <is>
          <t>①家族の未来_逆算（世帯純収入シナリオ）と同じ数字。①が正本。ズレたらここを合わせる（末尾のIMPORTRANGEで自動化も可）。</t>
        </is>
      </c>
    </row>
    <row r="4">
      <c r="A4" s="17" t="inlineStr">
        <is>
          <t>今年（西暦）</t>
        </is>
      </c>
      <c r="B4" s="18" t="n">
        <v>2026</v>
      </c>
    </row>
    <row r="6">
      <c r="A6" s="5" t="inlineStr">
        <is>
          <t>■ 必要事業CF シナリオ（万/年）※①の【2】世帯純収入と一致</t>
        </is>
      </c>
    </row>
    <row r="7">
      <c r="A7" s="19" t="inlineStr">
        <is>
          <t>年</t>
        </is>
      </c>
      <c r="B7" s="19" t="inlineStr">
        <is>
          <t>必要事業CF(万)</t>
        </is>
      </c>
      <c r="C7" s="19" t="inlineStr">
        <is>
          <t>区分</t>
        </is>
      </c>
      <c r="D7" s="20" t="inlineStr">
        <is>
          <t>メモ</t>
        </is>
      </c>
    </row>
    <row r="8">
      <c r="A8" s="21" t="n">
        <v>2026</v>
      </c>
      <c r="B8" s="22" t="n">
        <v>400</v>
      </c>
      <c r="C8" s="23" t="inlineStr">
        <is>
          <t>立上げ期</t>
        </is>
      </c>
      <c r="D8" s="24" t="inlineStr">
        <is>
          <t>給与ゼロ・栄町等スポット</t>
        </is>
      </c>
    </row>
    <row r="9">
      <c r="A9" s="21" t="n">
        <v>2027</v>
      </c>
      <c r="B9" s="22" t="n">
        <v>550</v>
      </c>
      <c r="C9" s="23" t="inlineStr">
        <is>
          <t>黒字化</t>
        </is>
      </c>
      <c r="D9" s="24" t="inlineStr">
        <is>
          <t>営業委譲開始・AI型化</t>
        </is>
      </c>
    </row>
    <row r="10">
      <c r="A10" s="21" t="n">
        <v>2028</v>
      </c>
      <c r="B10" s="22" t="n">
        <v>750</v>
      </c>
      <c r="C10" s="23" t="inlineStr">
        <is>
          <t>果実の入口</t>
        </is>
      </c>
      <c r="D10" s="24" t="inlineStr">
        <is>
          <t>複数事業CF・第2子</t>
        </is>
      </c>
    </row>
    <row r="11">
      <c r="A11" s="21" t="n">
        <v>2029</v>
      </c>
      <c r="B11" s="22" t="n">
        <v>900</v>
      </c>
      <c r="C11" s="23" t="inlineStr">
        <is>
          <t>成長</t>
        </is>
      </c>
      <c r="D11" s="24" t="inlineStr"/>
    </row>
    <row r="12">
      <c r="A12" s="21" t="n">
        <v>2030</v>
      </c>
      <c r="B12" s="22" t="n">
        <v>1000</v>
      </c>
      <c r="C12" s="23" t="inlineStr">
        <is>
          <t>成長</t>
        </is>
      </c>
      <c r="D12" s="24" t="inlineStr"/>
    </row>
    <row r="13">
      <c r="A13" s="21" t="n">
        <v>2031</v>
      </c>
      <c r="B13" s="22" t="n">
        <v>1100</v>
      </c>
      <c r="C13" s="23" t="inlineStr">
        <is>
          <t>安定〜</t>
        </is>
      </c>
      <c r="D13" s="24" t="inlineStr">
        <is>
          <t>仕組み化後の世帯手取り</t>
        </is>
      </c>
    </row>
    <row r="15">
      <c r="A15" s="3" t="inlineStr">
        <is>
          <t>▶ 今年の必要事業CF（自動）</t>
        </is>
      </c>
      <c r="B15" s="25">
        <f>IF($B$4&lt;=2026,B8,IF($B$4=2027,B9,IF($B$4=2028,B10,IF($B$4=2029,B11,IF($B$4=2030,B12,B13)))))</f>
        <v/>
      </c>
      <c r="C15" s="10" t="inlineStr">
        <is>
          <t>00羅針盤と03フェーズがこの値を参照</t>
        </is>
      </c>
    </row>
    <row r="17">
      <c r="A17" s="17" t="inlineStr">
        <is>
          <t>(参考) ゴール積立/年 家+車+留学</t>
        </is>
      </c>
      <c r="B17" s="26">
        <f>38.5*12</f>
        <v/>
      </c>
      <c r="C17" s="10" t="inlineStr">
        <is>
          <t>①02ゴール別逆算の積立合計。教育・老後は事業CFの果実で別途</t>
        </is>
      </c>
    </row>
    <row r="19">
      <c r="A19" s="5" t="inlineStr">
        <is>
          <t>■ 03フェーズ用 生年</t>
        </is>
      </c>
    </row>
    <row r="20">
      <c r="A20" s="17" t="inlineStr">
        <is>
          <t>研太</t>
        </is>
      </c>
      <c r="B20" s="27" t="n">
        <v>1992</v>
      </c>
    </row>
    <row r="21">
      <c r="A21" s="17" t="inlineStr">
        <is>
          <t>葵斗</t>
        </is>
      </c>
      <c r="B21" s="27" t="n">
        <v>2026</v>
      </c>
    </row>
  </sheetData>
  <mergeCells count="6">
    <mergeCell ref="A1:D1"/>
    <mergeCell ref="A6:D6"/>
    <mergeCell ref="C15:D15"/>
    <mergeCell ref="A2:D2"/>
    <mergeCell ref="A19:D19"/>
    <mergeCell ref="C17:D1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9" customWidth="1" min="4" max="4"/>
    <col width="8" customWidth="1" min="5" max="5"/>
    <col width="11" customWidth="1" min="6" max="6"/>
    <col width="10" customWidth="1" min="7" max="7"/>
    <col width="10" customWidth="1" min="8" max="8"/>
    <col width="16" customWidth="1" min="9" max="9"/>
    <col width="40" customWidth="1" min="10" max="10"/>
  </cols>
  <sheetData>
    <row r="1" ht="26" customHeight="1">
      <c r="A1" s="1" t="inlineStr">
        <is>
          <t>🧱 事業優先度マトリクス — 家族のお金をどの事業で・どの順に作るか</t>
        </is>
      </c>
    </row>
    <row r="2">
      <c r="A2" s="2" t="inlineStr">
        <is>
          <t>各項目1〜5で入力(🟡)。今期スコア=即金性×2+時間ROI×2+永久機関度+強み ／ 戦略スコア=永久機関度×2+強み+時間ROI。象限で“今すぐ現金/仕込み/本丸”を仕分け。出典②事業構造比較。</t>
        </is>
      </c>
    </row>
    <row r="3">
      <c r="A3" s="28" t="inlineStr">
        <is>
          <t>事業</t>
        </is>
      </c>
      <c r="B3" s="28" t="inlineStr">
        <is>
          <t>今年の貢献CF目標(万)</t>
        </is>
      </c>
      <c r="C3" s="28" t="inlineStr">
        <is>
          <t>即金性</t>
        </is>
      </c>
      <c r="D3" s="28" t="inlineStr">
        <is>
          <t>永久機関度</t>
        </is>
      </c>
      <c r="E3" s="28" t="inlineStr">
        <is>
          <t>時間ROI</t>
        </is>
      </c>
      <c r="F3" s="28" t="inlineStr">
        <is>
          <t>KHD強み適合</t>
        </is>
      </c>
      <c r="G3" s="28" t="inlineStr">
        <is>
          <t>今期スコア</t>
        </is>
      </c>
      <c r="H3" s="28" t="inlineStr">
        <is>
          <t>戦略スコア</t>
        </is>
      </c>
      <c r="I3" s="28" t="inlineStr">
        <is>
          <t>象限</t>
        </is>
      </c>
      <c r="J3" s="28" t="inlineStr">
        <is>
          <t>今の一手 / 撤退ライン</t>
        </is>
      </c>
    </row>
    <row r="4">
      <c r="A4" s="8" t="inlineStr">
        <is>
          <t>①医療テナント承継(TAW/福井)</t>
        </is>
      </c>
      <c r="B4" s="29" t="n">
        <v>220</v>
      </c>
      <c r="C4" s="30" t="n">
        <v>5</v>
      </c>
      <c r="D4" s="30" t="n">
        <v>2</v>
      </c>
      <c r="E4" s="30" t="n">
        <v>5</v>
      </c>
      <c r="F4" s="30" t="n">
        <v>5</v>
      </c>
      <c r="G4" s="31">
        <f>C4*2+E4*2+D4+F4</f>
        <v/>
      </c>
      <c r="H4" s="31">
        <f>D4*2+F4+E4</f>
        <v/>
      </c>
      <c r="I4" s="32">
        <f>IF(AND(G4&gt;=20,H4&gt;=15),"両取り",IF(AND(G4&gt;=20,H4&lt;15),"現金源(深追禁)",IF(AND(G4&lt;20,H4&gt;=15),"仕込む(投資)","縮小/見送り")))</f>
        <v/>
      </c>
      <c r="J4" s="33" t="inlineStr">
        <is>
          <t>福井ルート複線化・1件/Q。2ヶ月連続0→営業フル</t>
        </is>
      </c>
    </row>
    <row r="5">
      <c r="A5" s="8" t="inlineStr">
        <is>
          <t>②不動産 再販/紹介(フック)</t>
        </is>
      </c>
      <c r="B5" s="29" t="n">
        <v>200</v>
      </c>
      <c r="C5" s="30" t="n">
        <v>5</v>
      </c>
      <c r="D5" s="30" t="n">
        <v>1</v>
      </c>
      <c r="E5" s="30" t="n">
        <v>4</v>
      </c>
      <c r="F5" s="30" t="n">
        <v>5</v>
      </c>
      <c r="G5" s="31">
        <f>C5*2+E5*2+D5+F5</f>
        <v/>
      </c>
      <c r="H5" s="31">
        <f>D5*2+F5+E5</f>
        <v/>
      </c>
      <c r="I5" s="32">
        <f>IF(AND(G5&gt;=20,H5&gt;=15),"両取り",IF(AND(G5&gt;=20,H5&lt;15),"現金源(深追禁)",IF(AND(G5&lt;20,H5&gt;=15),"仕込む(投資)","縮小/見送り")))</f>
        <v/>
      </c>
      <c r="J5" s="33" t="inlineStr">
        <is>
          <t>在庫の損切り完了→仕込み資金を医療へ。出口未確定の在庫を増やさない</t>
        </is>
      </c>
    </row>
    <row r="6">
      <c r="A6" s="8" t="inlineStr">
        <is>
          <t>③AI医療コンサル(My AI)</t>
        </is>
      </c>
      <c r="B6" s="29" t="n">
        <v>30</v>
      </c>
      <c r="C6" s="30" t="n">
        <v>2</v>
      </c>
      <c r="D6" s="30" t="n">
        <v>4</v>
      </c>
      <c r="E6" s="30" t="n">
        <v>4</v>
      </c>
      <c r="F6" s="30" t="n">
        <v>4</v>
      </c>
      <c r="G6" s="31">
        <f>C6*2+E6*2+D6+F6</f>
        <v/>
      </c>
      <c r="H6" s="31">
        <f>D6*2+F6+E6</f>
        <v/>
      </c>
      <c r="I6" s="32">
        <f>IF(AND(G6&gt;=20,H6&gt;=15),"両取り",IF(AND(G6&gt;=20,H6&lt;15),"現金源(深追禁)",IF(AND(G6&lt;20,H6&gt;=15),"仕込む(投資)","縮小/見送り")))</f>
        <v/>
      </c>
      <c r="J6" s="33" t="inlineStr">
        <is>
          <t>山崎6/15ヒアリング→診断許可→月5万保守×院数</t>
        </is>
      </c>
    </row>
    <row r="7">
      <c r="A7" s="8" t="inlineStr">
        <is>
          <t>④オーロラ訪問医療FC</t>
        </is>
      </c>
      <c r="B7" s="29" t="n">
        <v>-50</v>
      </c>
      <c r="C7" s="30" t="n">
        <v>2</v>
      </c>
      <c r="D7" s="30" t="n">
        <v>4</v>
      </c>
      <c r="E7" s="30" t="n">
        <v>3</v>
      </c>
      <c r="F7" s="30" t="n">
        <v>4</v>
      </c>
      <c r="G7" s="31">
        <f>C7*2+E7*2+D7+F7</f>
        <v/>
      </c>
      <c r="H7" s="31">
        <f>D7*2+F7+E7</f>
        <v/>
      </c>
      <c r="I7" s="32">
        <f>IF(AND(G7&gt;=20,H7&gt;=15),"両取り",IF(AND(G7&gt;=20,H7&lt;15),"現金源(深追禁)",IF(AND(G7&lt;20,H7&gt;=15),"仕込む(投資)","縮小/見送り")))</f>
        <v/>
      </c>
      <c r="J7" s="33" t="inlineStr">
        <is>
          <t>公庫満額申請・採用1名・ケアマネ送客5/月。最大損700万で撤退</t>
        </is>
      </c>
    </row>
    <row r="8">
      <c r="A8" s="8" t="inlineStr">
        <is>
          <t>⑤クリニック買収(将来)</t>
        </is>
      </c>
      <c r="B8" s="29" t="n">
        <v>0</v>
      </c>
      <c r="C8" s="30" t="n">
        <v>1</v>
      </c>
      <c r="D8" s="30" t="n">
        <v>5</v>
      </c>
      <c r="E8" s="30" t="n">
        <v>3</v>
      </c>
      <c r="F8" s="30" t="n">
        <v>5</v>
      </c>
      <c r="G8" s="31">
        <f>C8*2+E8*2+D8+F8</f>
        <v/>
      </c>
      <c r="H8" s="31">
        <f>D8*2+F8+E8</f>
        <v/>
      </c>
      <c r="I8" s="32">
        <f>IF(AND(G8&gt;=20,H8&gt;=15),"両取り",IF(AND(G8&gt;=20,H8&lt;15),"現金源(深追禁)",IF(AND(G8&lt;20,H8&gt;=15),"仕込む(投資)","縮小/見送り")))</f>
        <v/>
      </c>
      <c r="J8" s="33" t="inlineStr">
        <is>
          <t>今は種。Phase2まで猪突猛進しない・回収前に現金切らさない</t>
        </is>
      </c>
    </row>
    <row r="9">
      <c r="A9" s="34" t="inlineStr">
        <is>
          <t>貢献CF目標 合計</t>
        </is>
      </c>
      <c r="B9" s="35">
        <f>SUM(B4:B8)</f>
        <v/>
      </c>
      <c r="C9" s="36" t="inlineStr"/>
      <c r="D9" s="36" t="inlineStr"/>
      <c r="E9" s="36" t="inlineStr"/>
      <c r="F9" s="36" t="inlineStr"/>
      <c r="G9" s="36" t="inlineStr"/>
      <c r="H9" s="36" t="inlineStr"/>
      <c r="I9" s="36" t="inlineStr"/>
      <c r="J9" s="36" t="inlineStr"/>
    </row>
    <row r="11">
      <c r="A11" s="2" t="inlineStr">
        <is>
          <t>凡例：即金性=今年すぐ現金になる ／ 永久機関度=制度が客を連れる(ストック) ／ 時間ROI=粗利/投下時間 ／ 強み適合=目利き・営業・不動産がどれだけ活きるか。1=低 5=高。</t>
        </is>
      </c>
    </row>
    <row r="12"/>
    <row r="13">
      <c r="A13" s="37" t="inlineStr">
        <is>
          <t>読み：『現金源』=今の生命線(医療テナント・不動産)で食い扶持を作る。『仕込む』=オーロラ/買収に時間と金を投じ将来の永久機関にする。猪突猛進NGは買収。</t>
        </is>
      </c>
    </row>
    <row r="14"/>
  </sheetData>
  <mergeCells count="4">
    <mergeCell ref="A1:J1"/>
    <mergeCell ref="A11:J12"/>
    <mergeCell ref="A13:J1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26" customWidth="1" min="4" max="4"/>
    <col width="12" customWidth="1" min="5" max="5"/>
    <col width="18" customWidth="1" min="6" max="6"/>
    <col width="30" customWidth="1" min="7" max="7"/>
    <col width="26" customWidth="1" min="8" max="8"/>
  </cols>
  <sheetData>
    <row r="1" ht="26" customHeight="1">
      <c r="A1" s="1" t="inlineStr">
        <is>
          <t>🗺 5年フェーズ羅針盤 — 家族イベント × 事業の手（①と②を1枚に）</t>
        </is>
      </c>
    </row>
    <row r="2">
      <c r="A2" s="2" t="inlineStr">
        <is>
          <t>必要事業CFは01から年で連動。主担当は02の象限(現金源/仕込む)に対応。②ロードマップと①家族イベントを統合した将来図。</t>
        </is>
      </c>
    </row>
    <row r="3">
      <c r="A3" s="28" t="inlineStr">
        <is>
          <t>年</t>
        </is>
      </c>
      <c r="B3" s="28" t="inlineStr">
        <is>
          <t>研太</t>
        </is>
      </c>
      <c r="C3" s="28" t="inlineStr">
        <is>
          <t>葵斗</t>
        </is>
      </c>
      <c r="D3" s="28" t="inlineStr">
        <is>
          <t>家族イベント</t>
        </is>
      </c>
      <c r="E3" s="28" t="inlineStr">
        <is>
          <t>必要事業CF(万)</t>
        </is>
      </c>
      <c r="F3" s="28" t="inlineStr">
        <is>
          <t>主担当(現金/仕込)</t>
        </is>
      </c>
      <c r="G3" s="28" t="inlineStr">
        <is>
          <t>事業の打つ手</t>
        </is>
      </c>
      <c r="H3" s="28" t="inlineStr">
        <is>
          <t>守り・赤信号/撤退</t>
        </is>
      </c>
    </row>
    <row r="4">
      <c r="A4" s="31" t="n">
        <v>2026</v>
      </c>
      <c r="B4" s="38">
        <f>$A4-'01_必要CF逆算'!$B$20</f>
        <v/>
      </c>
      <c r="C4" s="38">
        <f>IF($A4&gt;='01_必要CF逆算'!$B$21,$A4-'01_必要CF逆算'!$B$21,"")</f>
        <v/>
      </c>
      <c r="D4" s="39" t="inlineStr">
        <is>
          <t>葵斗9/19誕生・結婚記念4周年</t>
        </is>
      </c>
      <c r="E4" s="40">
        <f>IF($A4&lt;=2026,'01_必要CF逆算'!$B$8,IF($A4=2027,'01_必要CF逆算'!$B$9,IF($A4=2028,'01_必要CF逆算'!$B$10,IF($A4=2029,'01_必要CF逆算'!$B$11,IF($A4=2030,'01_必要CF逆算'!$B$12,'01_必要CF逆算'!$B$13)))))</f>
        <v/>
      </c>
      <c r="F4" s="39" t="inlineStr">
        <is>
          <t>現金源：医療テナント+不動産</t>
        </is>
      </c>
      <c r="G4" s="39" t="inlineStr">
        <is>
          <t>オーロラ開業・公庫融資／山崎AI初受注／栄町決済190</t>
        </is>
      </c>
      <c r="H4" s="41" t="inlineStr">
        <is>
          <t>最大損700万・現預金100万割れで営業フル</t>
        </is>
      </c>
    </row>
    <row r="5">
      <c r="A5" s="31" t="n">
        <v>2027</v>
      </c>
      <c r="B5" s="38">
        <f>$A5-'01_必要CF逆算'!$B$20</f>
        <v/>
      </c>
      <c r="C5" s="38">
        <f>IF($A5&gt;='01_必要CF逆算'!$B$21,$A5-'01_必要CF逆算'!$B$21,"")</f>
        <v/>
      </c>
      <c r="D5" s="39" t="inlineStr">
        <is>
          <t>—</t>
        </is>
      </c>
      <c r="E5" s="40">
        <f>IF($A5&lt;=2026,'01_必要CF逆算'!$B$8,IF($A5=2027,'01_必要CF逆算'!$B$9,IF($A5=2028,'01_必要CF逆算'!$B$10,IF($A5=2029,'01_必要CF逆算'!$B$11,IF($A5=2030,'01_必要CF逆算'!$B$12,'01_必要CF逆算'!$B$13)))))</f>
        <v/>
      </c>
      <c r="F5" s="39" t="inlineStr">
        <is>
          <t>現金源＋仕込：AI医療</t>
        </is>
      </c>
      <c r="G5" s="39" t="inlineStr">
        <is>
          <t>黒字化・役員報酬600／営業委譲開始・AI型化／調査士合格</t>
        </is>
      </c>
      <c r="H5" s="41" t="inlineStr">
        <is>
          <t>医療2ヶ月連続0→学習中断</t>
        </is>
      </c>
    </row>
    <row r="6">
      <c r="A6" s="31" t="n">
        <v>2028</v>
      </c>
      <c r="B6" s="38">
        <f>$A6-'01_必要CF逆算'!$B$20</f>
        <v/>
      </c>
      <c r="C6" s="38">
        <f>IF($A6&gt;='01_必要CF逆算'!$B$21,$A6-'01_必要CF逆算'!$B$21,"")</f>
        <v/>
      </c>
      <c r="D6" s="39" t="inlineStr">
        <is>
          <t>第2子誕生</t>
        </is>
      </c>
      <c r="E6" s="40">
        <f>IF($A6&lt;=2026,'01_必要CF逆算'!$B$8,IF($A6=2027,'01_必要CF逆算'!$B$9,IF($A6=2028,'01_必要CF逆算'!$B$10,IF($A6=2029,'01_必要CF逆算'!$B$11,IF($A6=2030,'01_必要CF逆算'!$B$12,'01_必要CF逆算'!$B$13)))))</f>
        <v/>
      </c>
      <c r="F6" s="39" t="inlineStr">
        <is>
          <t>仕込：オーロラ横展開</t>
        </is>
      </c>
      <c r="G6" s="39" t="inlineStr">
        <is>
          <t>複数事業の入口／買収候補リスト化／owned media</t>
        </is>
      </c>
      <c r="H6" s="41" t="inlineStr">
        <is>
          <t>回収前に現金切らさない</t>
        </is>
      </c>
    </row>
    <row r="7">
      <c r="A7" s="31" t="n">
        <v>2029</v>
      </c>
      <c r="B7" s="38">
        <f>$A7-'01_必要CF逆算'!$B$20</f>
        <v/>
      </c>
      <c r="C7" s="38">
        <f>IF($A7&gt;='01_必要CF逆算'!$B$21,$A7-'01_必要CF逆算'!$B$21,"")</f>
        <v/>
      </c>
      <c r="D7" s="39" t="inlineStr">
        <is>
          <t>住み替え物件探し</t>
        </is>
      </c>
      <c r="E7" s="40">
        <f>IF($A7&lt;=2026,'01_必要CF逆算'!$B$8,IF($A7=2027,'01_必要CF逆算'!$B$9,IF($A7=2028,'01_必要CF逆算'!$B$10,IF($A7=2029,'01_必要CF逆算'!$B$11,IF($A7=2030,'01_必要CF逆算'!$B$12,'01_必要CF逆算'!$B$13)))))</f>
        <v/>
      </c>
      <c r="F7" s="39" t="inlineStr">
        <is>
          <t>仕込：クリニック買収DD</t>
        </is>
      </c>
      <c r="G7" s="39" t="inlineStr">
        <is>
          <t>★クリニック1号査定／医療モール用地(越谷)</t>
        </is>
      </c>
      <c r="H7" s="41" t="inlineStr">
        <is>
          <t>のれん毀損リスク・DD厳格に</t>
        </is>
      </c>
    </row>
    <row r="8">
      <c r="A8" s="31" t="n">
        <v>2030</v>
      </c>
      <c r="B8" s="38">
        <f>$A8-'01_必要CF逆算'!$B$20</f>
        <v/>
      </c>
      <c r="C8" s="38">
        <f>IF($A8&gt;='01_必要CF逆算'!$B$21,$A8-'01_必要CF逆算'!$B$21,"")</f>
        <v/>
      </c>
      <c r="D8" s="39" t="inlineStr">
        <is>
          <t>住み替え準備・事前審査</t>
        </is>
      </c>
      <c r="E8" s="40">
        <f>IF($A8&lt;=2026,'01_必要CF逆算'!$B$8,IF($A8=2027,'01_必要CF逆算'!$B$9,IF($A8=2028,'01_必要CF逆算'!$B$10,IF($A8=2029,'01_必要CF逆算'!$B$11,IF($A8=2030,'01_必要CF逆算'!$B$12,'01_必要CF逆算'!$B$13)))))</f>
        <v/>
      </c>
      <c r="F8" s="39" t="inlineStr">
        <is>
          <t>現金+資産</t>
        </is>
      </c>
      <c r="G8" s="39" t="inlineStr">
        <is>
          <t>役員報酬720／モール開発／買収2号査定</t>
        </is>
      </c>
      <c r="H8" s="41" t="inlineStr">
        <is>
          <t>住宅与信は3期黒字が前提</t>
        </is>
      </c>
    </row>
    <row r="9">
      <c r="A9" s="31" t="n">
        <v>2031</v>
      </c>
      <c r="B9" s="38">
        <f>$A9-'01_必要CF逆算'!$B$20</f>
        <v/>
      </c>
      <c r="C9" s="38">
        <f>IF($A9&gt;='01_必要CF逆算'!$B$21,$A9-'01_必要CF逆算'!$B$21,"")</f>
        <v/>
      </c>
      <c r="D9" s="39" t="inlineStr">
        <is>
          <t>★住み替え(住宅ローン6000)・第3子誕生</t>
        </is>
      </c>
      <c r="E9" s="40">
        <f>IF($A9&lt;=2026,'01_必要CF逆算'!$B$8,IF($A9=2027,'01_必要CF逆算'!$B$9,IF($A9=2028,'01_必要CF逆算'!$B$10,IF($A9=2029,'01_必要CF逆算'!$B$11,IF($A9=2030,'01_必要CF逆算'!$B$12,'01_必要CF逆算'!$B$13)))))</f>
        <v/>
      </c>
      <c r="F9" s="39" t="inlineStr">
        <is>
          <t>資産化</t>
        </is>
      </c>
      <c r="G9" s="39" t="inlineStr">
        <is>
          <t>住宅取得(資産)／MS法人化・TAW直下統合</t>
        </is>
      </c>
      <c r="H9" s="41" t="inlineStr">
        <is>
          <t>住替で現金を使い切らない</t>
        </is>
      </c>
    </row>
    <row r="10">
      <c r="A10" s="31" t="n">
        <v>2033</v>
      </c>
      <c r="B10" s="38">
        <f>$A10-'01_必要CF逆算'!$B$20</f>
        <v/>
      </c>
      <c r="C10" s="38">
        <f>IF($A10&gt;='01_必要CF逆算'!$B$21,$A10-'01_必要CF逆算'!$B$21,"")</f>
        <v/>
      </c>
      <c r="D10" s="39" t="inlineStr">
        <is>
          <t>葵斗 小学校入学</t>
        </is>
      </c>
      <c r="E10" s="40">
        <f>IF($A10&lt;=2026,'01_必要CF逆算'!$B$8,IF($A10=2027,'01_必要CF逆算'!$B$9,IF($A10=2028,'01_必要CF逆算'!$B$10,IF($A10=2029,'01_必要CF逆算'!$B$11,IF($A10=2030,'01_必要CF逆算'!$B$12,'01_必要CF逆算'!$B$13)))))</f>
        <v/>
      </c>
      <c r="F10" s="39" t="inlineStr">
        <is>
          <t>受動化へ</t>
        </is>
      </c>
      <c r="G10" s="39" t="inlineStr">
        <is>
          <t>番頭運営・地域医療PF骨格／介護施設1号</t>
        </is>
      </c>
      <c r="H10" s="41" t="inlineStr">
        <is>
          <t>属人化(単一障害点)を外す</t>
        </is>
      </c>
    </row>
    <row r="11">
      <c r="A11" s="31" t="n">
        <v>2039</v>
      </c>
      <c r="B11" s="38">
        <f>$A11-'01_必要CF逆算'!$B$20</f>
        <v/>
      </c>
      <c r="C11" s="38">
        <f>IF($A11&gt;='01_必要CF逆算'!$B$21,$A11-'01_必要CF逆算'!$B$21,"")</f>
        <v/>
      </c>
      <c r="D11" s="39" t="inlineStr">
        <is>
          <t>葵斗 マレーシア留学</t>
        </is>
      </c>
      <c r="E11" s="40">
        <f>IF($A11&lt;=2026,'01_必要CF逆算'!$B$8,IF($A11=2027,'01_必要CF逆算'!$B$9,IF($A11=2028,'01_必要CF逆算'!$B$10,IF($A11=2029,'01_必要CF逆算'!$B$11,IF($A11=2030,'01_必要CF逆算'!$B$12,'01_必要CF逆算'!$B$13)))))</f>
        <v/>
      </c>
      <c r="F11" s="39" t="inlineStr">
        <is>
          <t>資産が生む</t>
        </is>
      </c>
      <c r="G11" s="39" t="inlineStr">
        <is>
          <t>委譲完了・地域包括ケア網</t>
        </is>
      </c>
      <c r="H11" s="41" t="inlineStr">
        <is>
          <t>教育費ピーク入口</t>
        </is>
      </c>
    </row>
    <row r="12">
      <c r="A12" s="31" t="n">
        <v>2046</v>
      </c>
      <c r="B12" s="38">
        <f>$A12-'01_必要CF逆算'!$B$20</f>
        <v/>
      </c>
      <c r="C12" s="38">
        <f>IF($A12&gt;='01_必要CF逆算'!$B$21,$A12-'01_必要CF逆算'!$B$21,"")</f>
        <v/>
      </c>
      <c r="D12" s="39" t="inlineStr">
        <is>
          <t>★葵斗20歳 自立/承継</t>
        </is>
      </c>
      <c r="E12" s="40">
        <f>IF($A12&lt;=2026,'01_必要CF逆算'!$B$8,IF($A12=2027,'01_必要CF逆算'!$B$9,IF($A12=2028,'01_必要CF逆算'!$B$10,IF($A12=2029,'01_必要CF逆算'!$B$11,IF($A12=2030,'01_必要CF逆算'!$B$12,'01_必要CF逆算'!$B$13)))))</f>
        <v/>
      </c>
      <c r="F12" s="39" t="inlineStr">
        <is>
          <t>資産が生む</t>
        </is>
      </c>
      <c r="G12" s="39" t="inlineStr">
        <is>
          <t>葵斗へバトン・地域医療介護PF完成＝FIRE</t>
        </is>
      </c>
      <c r="H12" s="41" t="inlineStr">
        <is>
          <t>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30" customWidth="1" min="5" max="5"/>
  </cols>
  <sheetData>
    <row r="1" ht="26" customHeight="1">
      <c r="A1" s="1" t="inlineStr">
        <is>
          <t>🧭 4スプシの使い分け・更新頻度・連動</t>
        </is>
      </c>
    </row>
    <row r="3">
      <c r="A3" s="20" t="inlineStr">
        <is>
          <t>役割</t>
        </is>
      </c>
      <c r="B3" s="20" t="inlineStr">
        <is>
          <t>正体</t>
        </is>
      </c>
      <c r="C3" s="20" t="inlineStr">
        <is>
          <t>使う頻度</t>
        </is>
      </c>
      <c r="D3" s="20" t="inlineStr">
        <is>
          <t>horizon</t>
        </is>
      </c>
      <c r="E3" s="20" t="inlineStr">
        <is>
          <t>いつ開くか</t>
        </is>
      </c>
    </row>
    <row r="4">
      <c r="A4" s="8" t="inlineStr">
        <is>
          <t>北極星 ①家族の未来</t>
        </is>
      </c>
      <c r="B4" s="42" t="inlineStr">
        <is>
          <t>いくら要るか(家計逆算)</t>
        </is>
      </c>
      <c r="C4" s="32" t="inlineStr">
        <is>
          <t>月1/四半期</t>
        </is>
      </c>
      <c r="D4" s="32" t="inlineStr">
        <is>
          <t>35年・年次</t>
        </is>
      </c>
      <c r="E4" s="42" t="inlineStr">
        <is>
          <t>月初に必要CFを確認</t>
        </is>
      </c>
    </row>
    <row r="5">
      <c r="A5" s="8" t="inlineStr">
        <is>
          <t>羅針盤 (この本)</t>
        </is>
      </c>
      <c r="B5" s="42" t="inlineStr">
        <is>
          <t>どの事業で・どの順で作るか</t>
        </is>
      </c>
      <c r="C5" s="32" t="inlineStr">
        <is>
          <t>週1(経営)</t>
        </is>
      </c>
      <c r="D5" s="32" t="inlineStr">
        <is>
          <t>5〜20年</t>
        </is>
      </c>
      <c r="E5" s="42" t="inlineStr">
        <is>
          <t>毎週の経営判断・優先度設定</t>
        </is>
      </c>
    </row>
    <row r="6">
      <c r="A6" s="8" t="inlineStr">
        <is>
          <t>海図 ②医療GD</t>
        </is>
      </c>
      <c r="B6" s="42" t="inlineStr">
        <is>
          <t>事業の地図・査定基準</t>
        </is>
      </c>
      <c r="C6" s="32" t="inlineStr">
        <is>
          <t>案件時/四半期</t>
        </is>
      </c>
      <c r="D6" s="32" t="inlineStr">
        <is>
          <t>20年</t>
        </is>
      </c>
      <c r="E6" s="42" t="inlineStr">
        <is>
          <t>承継/買収/開業の目利き時</t>
        </is>
      </c>
    </row>
    <row r="7">
      <c r="A7" s="8" t="inlineStr">
        <is>
          <t>計器盤 ③司令塔</t>
        </is>
      </c>
      <c r="B7" s="42" t="inlineStr">
        <is>
          <t>今月の実績・資金繰り</t>
        </is>
      </c>
      <c r="C7" s="32" t="inlineStr">
        <is>
          <t>日次/月次</t>
        </is>
      </c>
      <c r="D7" s="32" t="inlineStr">
        <is>
          <t>今月〜今期</t>
        </is>
      </c>
      <c r="E7" s="42" t="inlineStr">
        <is>
          <t>日次の実績入力・現在地確認</t>
        </is>
      </c>
    </row>
    <row r="9">
      <c r="A9" s="5" t="inlineStr">
        <is>
          <t>■ ②医療GD のタブ整理（必須/低優先/移管）</t>
        </is>
      </c>
    </row>
    <row r="10">
      <c r="A10" s="20" t="inlineStr">
        <is>
          <t>区分</t>
        </is>
      </c>
      <c r="B10" s="20" t="inlineStr">
        <is>
          <t>対象タブ</t>
        </is>
      </c>
    </row>
    <row r="11" ht="30" customHeight="1">
      <c r="A11" s="8" t="inlineStr">
        <is>
          <t>🟢必須(常用)</t>
        </is>
      </c>
      <c r="B11" s="39" t="inlineStr">
        <is>
          <t>トップサマリ(顔/箱/エンジン+4論点+ロードマップ+今週1手) ／ 事業構造比較 ／ 逆算KPI(下中上) ／ 赤信号ライン</t>
        </is>
      </c>
      <c r="C11" s="43" t="n"/>
      <c r="D11" s="43" t="n"/>
      <c r="E11" s="44" t="n"/>
    </row>
    <row r="12" ht="30" customHeight="1">
      <c r="A12" s="8" t="inlineStr">
        <is>
          <t>🟡必須(案件時)</t>
        </is>
      </c>
      <c r="B12" s="39" t="inlineStr">
        <is>
          <t>共通チェックリストA-G ／ 倒産10要因 ／ 診療圏4フェーズ(コンサル商品設計)</t>
        </is>
      </c>
      <c r="C12" s="43" t="n"/>
      <c r="D12" s="43" t="n"/>
      <c r="E12" s="44" t="n"/>
    </row>
    <row r="13" ht="30" customHeight="1">
      <c r="A13" s="8" t="inlineStr">
        <is>
          <t>⬜低優先(読み物/将来)</t>
        </is>
      </c>
      <c r="B13" s="39" t="inlineStr">
        <is>
          <t>組織形態の進化(MS法人) ／ 横展開先 ／ 競合プレイヤー ／ AIコンサルTTP動画論点 → clinic_dx側へ</t>
        </is>
      </c>
      <c r="C13" s="43" t="n"/>
      <c r="D13" s="43" t="n"/>
      <c r="E13" s="44" t="n"/>
    </row>
    <row r="14" ht="30" customHeight="1">
      <c r="A14" s="8" t="inlineStr">
        <is>
          <t>➡️移管 or 非表示</t>
        </is>
      </c>
      <c r="B14" s="39" t="inlineStr">
        <is>
          <t>家族タイムライン→この羅針盤03へ ／ 四半期業績→③司令塔へ ／ 幸福の資本論→①へ ／ 役員報酬→住宅ローン→①へ</t>
        </is>
      </c>
      <c r="C14" s="43" t="n"/>
      <c r="D14" s="43" t="n"/>
      <c r="E14" s="44" t="n"/>
    </row>
    <row r="16">
      <c r="A16" s="5" t="inlineStr">
        <is>
          <t>■ クロス連動(任意・推奨)：Google Sheets化後、下を貼ると①③から自動取得できる（初回『アクセスを許可』クリック要）</t>
        </is>
      </c>
    </row>
    <row r="17" ht="28" customHeight="1">
      <c r="A17" s="45" t="inlineStr">
        <is>
          <t>①の今年収入を引く（00のB11へ）：  =IMPORTRANGE("1LlWyTv8Qco6NprgezpK8vOKbDdJeGvWZPqtWgWsFSY4","03_生涯CF_子3人!H"&amp;(今年-2026+5))</t>
        </is>
      </c>
    </row>
    <row r="18" ht="28" customHeight="1">
      <c r="A18" s="45" t="inlineStr">
        <is>
          <t>③の純資産/現預金を引く（00のB13/B14へ）：  =IMPORTRANGE("1ofLJOFuW5175OHDSy0J0561LzrfAU-M015o7ByGH5wc","操縦席や06BSの該当セル")</t>
        </is>
      </c>
    </row>
    <row r="19">
      <c r="A19" s="2" t="inlineStr">
        <is>
          <t>凡例：🟡=手入力(変えると連動) ／ 緑字=他タブ参照 ／ 橙=センターピン ／ 紺=見出し。</t>
        </is>
      </c>
    </row>
  </sheetData>
  <mergeCells count="11">
    <mergeCell ref="A18:E18"/>
    <mergeCell ref="A16:E16"/>
    <mergeCell ref="B12:E12"/>
    <mergeCell ref="B13:E13"/>
    <mergeCell ref="A19:E19"/>
    <mergeCell ref="A1:E1"/>
    <mergeCell ref="B11:E11"/>
    <mergeCell ref="B10:E10"/>
    <mergeCell ref="A17:E17"/>
    <mergeCell ref="A9:E9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2026-06-14T23:25:13Z</dcterms:created>
  <dcterms:modified xmlns:dcterms="http://purl.org/dc/terms/" xmlns:xsi="http://www.w3.org/2001/XMLSchema-instance" xsi:type="dcterms:W3CDTF">2026-06-14T23:25:13Z</dcterms:modified>
</cp:coreProperties>
</file>
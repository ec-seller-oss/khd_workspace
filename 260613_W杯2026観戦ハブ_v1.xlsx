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勝ち点シミュ" sheetId="2" state="visible" r:id="rId2"/>
    <sheet xmlns:r="http://schemas.openxmlformats.org/officeDocument/2006/relationships" name="02_観戦スケジュール" sheetId="3" state="visible" r:id="rId3"/>
    <sheet xmlns:r="http://schemas.openxmlformats.org/officeDocument/2006/relationships" name="03_日本代表名鑑" sheetId="4" state="visible" r:id="rId4"/>
    <sheet xmlns:r="http://schemas.openxmlformats.org/officeDocument/2006/relationships" name="04_追っかけ×マネー" sheetId="5" state="visible" r:id="rId5"/>
    <sheet xmlns:r="http://schemas.openxmlformats.org/officeDocument/2006/relationships" name="05_観戦日報" sheetId="6" state="visible" r:id="rId6"/>
    <sheet xmlns:r="http://schemas.openxmlformats.org/officeDocument/2006/relationships" name="06_TIPS_師匠とリンク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AA2E26"/>
      <sz val="14"/>
    </font>
    <font>
      <name val="Yu Gothic"/>
      <sz val="10"/>
    </font>
    <font>
      <name val="Yu Gothic"/>
      <b val="1"/>
      <color rgb="00AA2E26"/>
      <sz val="11"/>
    </font>
    <font>
      <name val="Yu Gothic"/>
      <b val="1"/>
      <color rgb="00FFFFFF"/>
      <sz val="10"/>
    </font>
    <font>
      <name val="Yu Gothic"/>
    </font>
    <font>
      <name val="Yu Gothic"/>
      <b val="1"/>
    </font>
    <font>
      <name val="Yu Gothic"/>
      <i val="1"/>
      <sz val="9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AA2E26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DE9E7"/>
      </patternFill>
    </fill>
    <fill>
      <patternFill patternType="solid">
        <fgColor rgb="00F9F6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6" fillId="4" borderId="0" pivotButton="0" quotePrefix="0" xfId="0"/>
    <xf numFmtId="0" fontId="2" fillId="4" borderId="1" pivotButton="0" quotePrefix="0" xfId="0"/>
    <xf numFmtId="0" fontId="7" fillId="0" borderId="0" pivotButton="0" quotePrefix="0" xfId="0"/>
    <xf numFmtId="0" fontId="2" fillId="5" borderId="1" applyAlignment="1" pivotButton="0" quotePrefix="0" xfId="0">
      <alignment vertical="center" wrapText="1"/>
    </xf>
    <xf numFmtId="0" fontId="8" fillId="0" borderId="0" pivotButton="0" quotePrefix="0" xfId="0"/>
    <xf numFmtId="0" fontId="2" fillId="6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99999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⚽ W杯2026 観戦ハブ（オーナー視点でサッカーを楽しむ常設台帳）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■ このファイルの目的</t>
        </is>
      </c>
      <c r="B3" s="2" t="inlineStr">
        <is>
          <t>W杯2026を入口に『お金の動き×選手の活躍』をオーナー視点で追う趣味台帳。大会後も使い続ける。</t>
        </is>
      </c>
      <c r="C3" s="2" t="inlineStr"/>
      <c r="D3" s="2" t="inlineStr"/>
      <c r="E3" s="2" t="inlineStr"/>
      <c r="F3" s="2" t="inlineStr"/>
    </row>
    <row r="4">
      <c r="A4" s="3" t="inlineStr"/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■ タブの使い方</t>
        </is>
      </c>
      <c r="B5" s="2" t="inlineStr"/>
      <c r="C5" s="2" t="inlineStr"/>
      <c r="D5" s="2" t="inlineStr"/>
      <c r="E5" s="2" t="inlineStr"/>
      <c r="F5" s="2" t="inlineStr"/>
    </row>
    <row r="6">
      <c r="A6" s="3" t="inlineStr">
        <is>
          <t>01_勝ち点シミュ 🟡</t>
        </is>
      </c>
      <c r="B6" s="2" t="inlineStr">
        <is>
          <t>日本の試合結果を入れると突破判定が自動で出る。試合のたび更新</t>
        </is>
      </c>
      <c r="C6" s="2" t="inlineStr"/>
      <c r="D6" s="2" t="inlineStr"/>
      <c r="E6" s="2" t="inlineStr"/>
      <c r="F6" s="2" t="inlineStr"/>
    </row>
    <row r="7">
      <c r="A7" s="2" t="inlineStr">
        <is>
          <t>02_観戦スケジュール 🟧</t>
        </is>
      </c>
      <c r="B7" s="2" t="inlineStr">
        <is>
          <t>全試合の日本時間＆観れない日の回収ルール（カレンダー連動）</t>
        </is>
      </c>
      <c r="C7" s="2" t="inlineStr"/>
      <c r="D7" s="2" t="inlineStr"/>
      <c r="E7" s="2" t="inlineStr"/>
      <c r="F7" s="2" t="inlineStr"/>
    </row>
    <row r="8">
      <c r="A8" s="2" t="inlineStr">
        <is>
          <t>03_日本代表名鑑</t>
        </is>
      </c>
      <c r="B8" s="2" t="inlineStr">
        <is>
          <t>26人＋追加招集。ブルーロック例え付き＝麻梨奈さん用ガイド</t>
        </is>
      </c>
      <c r="C8" s="2" t="inlineStr"/>
      <c r="D8" s="2" t="inlineStr"/>
      <c r="E8" s="2" t="inlineStr"/>
      <c r="F8" s="2" t="inlineStr"/>
    </row>
    <row r="9">
      <c r="A9" s="2" t="inlineStr">
        <is>
          <t>04_追っかけ×マネー 🟦</t>
        </is>
      </c>
      <c r="B9" s="2" t="inlineStr">
        <is>
          <t>W杯後に移籍金が動く注目銘柄。週1（日曜21:00）で更新</t>
        </is>
      </c>
      <c r="C9" s="2" t="inlineStr"/>
      <c r="D9" s="2" t="inlineStr"/>
      <c r="E9" s="2" t="inlineStr"/>
      <c r="F9" s="2" t="inlineStr"/>
    </row>
    <row r="10">
      <c r="A10" s="2" t="inlineStr">
        <is>
          <t>05_観戦日報 🟧</t>
        </is>
      </c>
      <c r="B10" s="2" t="inlineStr">
        <is>
          <t>毎日21:30のハイライト枠で1行ずつ積む（趣味の日報）</t>
        </is>
      </c>
      <c r="C10" s="2" t="inlineStr"/>
      <c r="D10" s="2" t="inlineStr"/>
      <c r="E10" s="2" t="inlineStr"/>
      <c r="F10" s="2" t="inlineStr"/>
    </row>
    <row r="11">
      <c r="A11" s="2" t="inlineStr">
        <is>
          <t>06_TIPS_師匠とリンク集</t>
        </is>
      </c>
      <c r="B11" s="2" t="inlineStr">
        <is>
          <t>誰の視点を真似るか／情報源／不動産⇄サッカー対訳表</t>
        </is>
      </c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>
        <is>
          <t>■ 凡例（色）</t>
        </is>
      </c>
      <c r="B13" s="2" t="inlineStr">
        <is>
          <t>🟡黄=手で入力するセル ／ 🟧橙=毎日さわるタブ ／ 🟦青=週次タブ ／ 灰=自動計算（さわらない）</t>
        </is>
      </c>
      <c r="C13" s="2" t="inlineStr"/>
      <c r="D13" s="2" t="inlineStr"/>
      <c r="E13" s="2" t="inlineStr"/>
      <c r="F13" s="2" t="inlineStr"/>
    </row>
    <row r="14">
      <c r="A14" s="3" t="inlineStr"/>
      <c r="B14" s="2" t="inlineStr"/>
      <c r="C14" s="2" t="inlineStr"/>
      <c r="D14" s="2" t="inlineStr"/>
      <c r="E14" s="2" t="inlineStr"/>
      <c r="F14" s="2" t="inlineStr"/>
    </row>
    <row r="15">
      <c r="A15" s="2" t="inlineStr">
        <is>
          <t>■ 毎日のルーチン</t>
        </is>
      </c>
      <c r="B15" s="2" t="inlineStr">
        <is>
          <t>21:30-22:00（カレンダー登録済）: FotMobで結果→DAZN/FIFA公式YouTubeでハイライト→05に1行→お金ネタはロマーノX</t>
        </is>
      </c>
      <c r="C15" s="2" t="inlineStr"/>
      <c r="D15" s="2" t="inlineStr"/>
      <c r="E15" s="2" t="inlineStr"/>
      <c r="F15" s="2" t="inlineStr"/>
    </row>
    <row r="16">
      <c r="A16" s="3" t="inlineStr">
        <is>
          <t>■ 週次ルーチン</t>
        </is>
      </c>
      <c r="B16" s="2" t="inlineStr">
        <is>
          <t>日曜21:00-21:30（カレンダー登録済）: Transfermarktで04タブの市場価値を見て更新</t>
        </is>
      </c>
      <c r="C16" s="2" t="inlineStr"/>
      <c r="D16" s="2" t="inlineStr"/>
      <c r="E16" s="2" t="inlineStr"/>
      <c r="F16" s="2" t="inlineStr"/>
    </row>
    <row r="17">
      <c r="A17" s="3" t="inlineStr"/>
      <c r="B17" s="2" t="inlineStr"/>
      <c r="C17" s="2" t="inlineStr"/>
      <c r="D17" s="2" t="inlineStr"/>
      <c r="E17" s="2" t="inlineStr"/>
      <c r="F17" s="2" t="inlineStr"/>
    </row>
    <row r="18">
      <c r="A18" s="2" t="inlineStr">
        <is>
          <t>■ 関連リンク</t>
        </is>
      </c>
      <c r="B18" s="2" t="inlineStr">
        <is>
          <t>Notion観戦計画書: https://app.notion.com/p/37e7d27fe295814aa0e2cdbde0012c97</t>
        </is>
      </c>
      <c r="C18" s="2" t="inlineStr"/>
      <c r="D18" s="2" t="inlineStr"/>
      <c r="E18" s="2" t="inlineStr"/>
      <c r="F18" s="2" t="inlineStr"/>
    </row>
    <row r="19">
      <c r="A19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26" customWidth="1" min="5" max="5"/>
    <col width="12" customWidth="1" min="6" max="6"/>
    <col width="40" customWidth="1" min="7" max="7"/>
  </cols>
  <sheetData>
    <row r="1">
      <c r="A1" s="1" t="inlineStr">
        <is>
          <t>🟡 日本の勝ち点シミュレーション（結果を入れるだけ）</t>
        </is>
      </c>
    </row>
    <row r="3">
      <c r="A3" s="4" t="inlineStr">
        <is>
          <t>◆ A. いまの日本（🟡黄セルに 勝/分/負 を入力）</t>
        </is>
      </c>
    </row>
    <row r="4">
      <c r="A4" s="5" t="inlineStr">
        <is>
          <t>試合</t>
        </is>
      </c>
      <c r="B4" s="5" t="inlineStr">
        <is>
          <t>対戦相手</t>
        </is>
      </c>
      <c r="C4" s="5" t="inlineStr">
        <is>
          <t>日時(JST)</t>
        </is>
      </c>
      <c r="D4" s="5" t="inlineStr">
        <is>
          <t>🟡結果</t>
        </is>
      </c>
      <c r="E4" s="5" t="inlineStr">
        <is>
          <t>勝ち点(自動)</t>
        </is>
      </c>
      <c r="F4" s="2" t="inlineStr"/>
      <c r="G4" s="2" t="inlineStr"/>
    </row>
    <row r="5">
      <c r="A5" s="2" t="inlineStr">
        <is>
          <t>第1戦</t>
        </is>
      </c>
      <c r="B5" s="2" t="inlineStr">
        <is>
          <t>オランダ</t>
        </is>
      </c>
      <c r="C5" s="2" t="inlineStr">
        <is>
          <t>6/15(月) 5:00</t>
        </is>
      </c>
      <c r="D5" s="6" t="inlineStr"/>
      <c r="E5" s="7">
        <f>IF(D5="勝",3,IF(D5="分",1,IF(D5="負",0,"")))</f>
        <v/>
      </c>
    </row>
    <row r="6">
      <c r="A6" s="2" t="inlineStr">
        <is>
          <t>第2戦</t>
        </is>
      </c>
      <c r="B6" s="2" t="inlineStr">
        <is>
          <t>チュニジア</t>
        </is>
      </c>
      <c r="C6" s="2" t="inlineStr">
        <is>
          <t>6/21(日) 13:00</t>
        </is>
      </c>
      <c r="D6" s="6" t="inlineStr"/>
      <c r="E6" s="7">
        <f>IF(D6="勝",3,IF(D6="分",1,IF(D6="負",0,"")))</f>
        <v/>
      </c>
    </row>
    <row r="7">
      <c r="A7" s="2" t="inlineStr">
        <is>
          <t>第3戦</t>
        </is>
      </c>
      <c r="B7" s="2" t="inlineStr">
        <is>
          <t>スウェーデン</t>
        </is>
      </c>
      <c r="C7" s="2" t="inlineStr">
        <is>
          <t>6/26(金) 8:00</t>
        </is>
      </c>
      <c r="D7" s="6" t="inlineStr"/>
      <c r="E7" s="7">
        <f>IF(D7="勝",3,IF(D7="分",1,IF(D7="負",0,"")))</f>
        <v/>
      </c>
    </row>
    <row r="8">
      <c r="D8" s="8" t="inlineStr">
        <is>
          <t>合計</t>
        </is>
      </c>
      <c r="E8" s="9">
        <f>SUM(E5:E7)</f>
        <v/>
      </c>
    </row>
    <row r="9">
      <c r="D9" s="8" t="inlineStr">
        <is>
          <t>判定</t>
        </is>
      </c>
      <c r="E9">
        <f>IF(E8="","結果を入力してください",IF(E8&gt;=7,"1位通過濃厚→32強はC組2位(モロッコ/スコットランド想定)",IF(E8&gt;=6,"突破ほぼ確実(1〜2位)",IF(E8&gt;=5,"2位有力→32強でブラジル(C組1位想定)の可能性",IF(E8&gt;=4,"2〜3位。突破可能性高",IF(E8=3,"3位勝負＝得失点差と他組次第",IF(E8&gt;=1,"ほぼ敗退・奇跡待ち","敗退")))))))</f>
        <v/>
      </c>
    </row>
    <row r="11">
      <c r="A11" s="4" t="inlineStr">
        <is>
          <t>◆ B. 全27シナリオ早見表（自動・さわらない）</t>
        </is>
      </c>
    </row>
    <row r="12">
      <c r="A12" s="5" t="inlineStr">
        <is>
          <t>蘭戦</t>
        </is>
      </c>
      <c r="B12" s="5" t="inlineStr">
        <is>
          <t>チュニジア戦</t>
        </is>
      </c>
      <c r="C12" s="5" t="inlineStr">
        <is>
          <t>瑞戦</t>
        </is>
      </c>
      <c r="D12" s="5" t="inlineStr">
        <is>
          <t>勝ち点(自動)</t>
        </is>
      </c>
      <c r="E12" s="5" t="inlineStr">
        <is>
          <t>判定(自動)</t>
        </is>
      </c>
      <c r="F12" s="2" t="inlineStr"/>
      <c r="G12" s="2" t="inlineStr"/>
    </row>
    <row r="13">
      <c r="A13" s="2" t="inlineStr">
        <is>
          <t>勝</t>
        </is>
      </c>
      <c r="B13" s="2" t="inlineStr">
        <is>
          <t>勝</t>
        </is>
      </c>
      <c r="C13" s="2" t="inlineStr">
        <is>
          <t>勝</t>
        </is>
      </c>
      <c r="D13" s="10">
        <f>IF(A13="勝",3,IF(A13="分",1,0))+IF(B13="勝",3,IF(B13="分",1,0))+IF(C13="勝",3,IF(C13="分",1,0))</f>
        <v/>
      </c>
      <c r="E13" s="10">
        <f>IF(D13&gt;=7,"1位通過濃厚",IF(D13&gt;=6,"突破ほぼ確実",IF(D13&gt;=5,"2位有力(32強ブラジル注意)",IF(D13&gt;=4,"突破可能性高",IF(D13=3,"3位勝負(得失点差)",IF(D13&gt;=1,"ほぼ敗退","敗退"))))))</f>
        <v/>
      </c>
    </row>
    <row r="14">
      <c r="A14" s="2" t="inlineStr">
        <is>
          <t>勝</t>
        </is>
      </c>
      <c r="B14" s="2" t="inlineStr">
        <is>
          <t>勝</t>
        </is>
      </c>
      <c r="C14" s="2" t="inlineStr">
        <is>
          <t>分</t>
        </is>
      </c>
      <c r="D14" s="10">
        <f>IF(A14="勝",3,IF(A14="分",1,0))+IF(B14="勝",3,IF(B14="分",1,0))+IF(C14="勝",3,IF(C14="分",1,0))</f>
        <v/>
      </c>
      <c r="E14" s="10">
        <f>IF(D14&gt;=7,"1位通過濃厚",IF(D14&gt;=6,"突破ほぼ確実",IF(D14&gt;=5,"2位有力(32強ブラジル注意)",IF(D14&gt;=4,"突破可能性高",IF(D14=3,"3位勝負(得失点差)",IF(D14&gt;=1,"ほぼ敗退","敗退"))))))</f>
        <v/>
      </c>
    </row>
    <row r="15">
      <c r="A15" s="2" t="inlineStr">
        <is>
          <t>勝</t>
        </is>
      </c>
      <c r="B15" s="2" t="inlineStr">
        <is>
          <t>勝</t>
        </is>
      </c>
      <c r="C15" s="2" t="inlineStr">
        <is>
          <t>負</t>
        </is>
      </c>
      <c r="D15" s="10">
        <f>IF(A15="勝",3,IF(A15="分",1,0))+IF(B15="勝",3,IF(B15="分",1,0))+IF(C15="勝",3,IF(C15="分",1,0))</f>
        <v/>
      </c>
      <c r="E15" s="10">
        <f>IF(D15&gt;=7,"1位通過濃厚",IF(D15&gt;=6,"突破ほぼ確実",IF(D15&gt;=5,"2位有力(32強ブラジル注意)",IF(D15&gt;=4,"突破可能性高",IF(D15=3,"3位勝負(得失点差)",IF(D15&gt;=1,"ほぼ敗退","敗退"))))))</f>
        <v/>
      </c>
    </row>
    <row r="16">
      <c r="A16" s="2" t="inlineStr">
        <is>
          <t>勝</t>
        </is>
      </c>
      <c r="B16" s="2" t="inlineStr">
        <is>
          <t>分</t>
        </is>
      </c>
      <c r="C16" s="2" t="inlineStr">
        <is>
          <t>勝</t>
        </is>
      </c>
      <c r="D16" s="10">
        <f>IF(A16="勝",3,IF(A16="分",1,0))+IF(B16="勝",3,IF(B16="分",1,0))+IF(C16="勝",3,IF(C16="分",1,0))</f>
        <v/>
      </c>
      <c r="E16" s="10">
        <f>IF(D16&gt;=7,"1位通過濃厚",IF(D16&gt;=6,"突破ほぼ確実",IF(D16&gt;=5,"2位有力(32強ブラジル注意)",IF(D16&gt;=4,"突破可能性高",IF(D16=3,"3位勝負(得失点差)",IF(D16&gt;=1,"ほぼ敗退","敗退"))))))</f>
        <v/>
      </c>
    </row>
    <row r="17">
      <c r="A17" s="2" t="inlineStr">
        <is>
          <t>勝</t>
        </is>
      </c>
      <c r="B17" s="2" t="inlineStr">
        <is>
          <t>分</t>
        </is>
      </c>
      <c r="C17" s="2" t="inlineStr">
        <is>
          <t>分</t>
        </is>
      </c>
      <c r="D17" s="10">
        <f>IF(A17="勝",3,IF(A17="分",1,0))+IF(B17="勝",3,IF(B17="分",1,0))+IF(C17="勝",3,IF(C17="分",1,0))</f>
        <v/>
      </c>
      <c r="E17" s="10">
        <f>IF(D17&gt;=7,"1位通過濃厚",IF(D17&gt;=6,"突破ほぼ確実",IF(D17&gt;=5,"2位有力(32強ブラジル注意)",IF(D17&gt;=4,"突破可能性高",IF(D17=3,"3位勝負(得失点差)",IF(D17&gt;=1,"ほぼ敗退","敗退"))))))</f>
        <v/>
      </c>
    </row>
    <row r="18">
      <c r="A18" s="2" t="inlineStr">
        <is>
          <t>勝</t>
        </is>
      </c>
      <c r="B18" s="2" t="inlineStr">
        <is>
          <t>分</t>
        </is>
      </c>
      <c r="C18" s="2" t="inlineStr">
        <is>
          <t>負</t>
        </is>
      </c>
      <c r="D18" s="10">
        <f>IF(A18="勝",3,IF(A18="分",1,0))+IF(B18="勝",3,IF(B18="分",1,0))+IF(C18="勝",3,IF(C18="分",1,0))</f>
        <v/>
      </c>
      <c r="E18" s="10">
        <f>IF(D18&gt;=7,"1位通過濃厚",IF(D18&gt;=6,"突破ほぼ確実",IF(D18&gt;=5,"2位有力(32強ブラジル注意)",IF(D18&gt;=4,"突破可能性高",IF(D18=3,"3位勝負(得失点差)",IF(D18&gt;=1,"ほぼ敗退","敗退"))))))</f>
        <v/>
      </c>
    </row>
    <row r="19">
      <c r="A19" s="2" t="inlineStr">
        <is>
          <t>勝</t>
        </is>
      </c>
      <c r="B19" s="2" t="inlineStr">
        <is>
          <t>負</t>
        </is>
      </c>
      <c r="C19" s="2" t="inlineStr">
        <is>
          <t>勝</t>
        </is>
      </c>
      <c r="D19" s="10">
        <f>IF(A19="勝",3,IF(A19="分",1,0))+IF(B19="勝",3,IF(B19="分",1,0))+IF(C19="勝",3,IF(C19="分",1,0))</f>
        <v/>
      </c>
      <c r="E19" s="10">
        <f>IF(D19&gt;=7,"1位通過濃厚",IF(D19&gt;=6,"突破ほぼ確実",IF(D19&gt;=5,"2位有力(32強ブラジル注意)",IF(D19&gt;=4,"突破可能性高",IF(D19=3,"3位勝負(得失点差)",IF(D19&gt;=1,"ほぼ敗退","敗退"))))))</f>
        <v/>
      </c>
    </row>
    <row r="20">
      <c r="A20" s="2" t="inlineStr">
        <is>
          <t>勝</t>
        </is>
      </c>
      <c r="B20" s="2" t="inlineStr">
        <is>
          <t>負</t>
        </is>
      </c>
      <c r="C20" s="2" t="inlineStr">
        <is>
          <t>分</t>
        </is>
      </c>
      <c r="D20" s="10">
        <f>IF(A20="勝",3,IF(A20="分",1,0))+IF(B20="勝",3,IF(B20="分",1,0))+IF(C20="勝",3,IF(C20="分",1,0))</f>
        <v/>
      </c>
      <c r="E20" s="10">
        <f>IF(D20&gt;=7,"1位通過濃厚",IF(D20&gt;=6,"突破ほぼ確実",IF(D20&gt;=5,"2位有力(32強ブラジル注意)",IF(D20&gt;=4,"突破可能性高",IF(D20=3,"3位勝負(得失点差)",IF(D20&gt;=1,"ほぼ敗退","敗退"))))))</f>
        <v/>
      </c>
    </row>
    <row r="21">
      <c r="A21" s="2" t="inlineStr">
        <is>
          <t>勝</t>
        </is>
      </c>
      <c r="B21" s="2" t="inlineStr">
        <is>
          <t>負</t>
        </is>
      </c>
      <c r="C21" s="2" t="inlineStr">
        <is>
          <t>負</t>
        </is>
      </c>
      <c r="D21" s="10">
        <f>IF(A21="勝",3,IF(A21="分",1,0))+IF(B21="勝",3,IF(B21="分",1,0))+IF(C21="勝",3,IF(C21="分",1,0))</f>
        <v/>
      </c>
      <c r="E21" s="10">
        <f>IF(D21&gt;=7,"1位通過濃厚",IF(D21&gt;=6,"突破ほぼ確実",IF(D21&gt;=5,"2位有力(32強ブラジル注意)",IF(D21&gt;=4,"突破可能性高",IF(D21=3,"3位勝負(得失点差)",IF(D21&gt;=1,"ほぼ敗退","敗退"))))))</f>
        <v/>
      </c>
    </row>
    <row r="22">
      <c r="A22" s="2" t="inlineStr">
        <is>
          <t>分</t>
        </is>
      </c>
      <c r="B22" s="2" t="inlineStr">
        <is>
          <t>勝</t>
        </is>
      </c>
      <c r="C22" s="2" t="inlineStr">
        <is>
          <t>勝</t>
        </is>
      </c>
      <c r="D22" s="10">
        <f>IF(A22="勝",3,IF(A22="分",1,0))+IF(B22="勝",3,IF(B22="分",1,0))+IF(C22="勝",3,IF(C22="分",1,0))</f>
        <v/>
      </c>
      <c r="E22" s="10">
        <f>IF(D22&gt;=7,"1位通過濃厚",IF(D22&gt;=6,"突破ほぼ確実",IF(D22&gt;=5,"2位有力(32強ブラジル注意)",IF(D22&gt;=4,"突破可能性高",IF(D22=3,"3位勝負(得失点差)",IF(D22&gt;=1,"ほぼ敗退","敗退"))))))</f>
        <v/>
      </c>
    </row>
    <row r="23">
      <c r="A23" s="2" t="inlineStr">
        <is>
          <t>分</t>
        </is>
      </c>
      <c r="B23" s="2" t="inlineStr">
        <is>
          <t>勝</t>
        </is>
      </c>
      <c r="C23" s="2" t="inlineStr">
        <is>
          <t>分</t>
        </is>
      </c>
      <c r="D23" s="10">
        <f>IF(A23="勝",3,IF(A23="分",1,0))+IF(B23="勝",3,IF(B23="分",1,0))+IF(C23="勝",3,IF(C23="分",1,0))</f>
        <v/>
      </c>
      <c r="E23" s="10">
        <f>IF(D23&gt;=7,"1位通過濃厚",IF(D23&gt;=6,"突破ほぼ確実",IF(D23&gt;=5,"2位有力(32強ブラジル注意)",IF(D23&gt;=4,"突破可能性高",IF(D23=3,"3位勝負(得失点差)",IF(D23&gt;=1,"ほぼ敗退","敗退"))))))</f>
        <v/>
      </c>
    </row>
    <row r="24">
      <c r="A24" s="2" t="inlineStr">
        <is>
          <t>分</t>
        </is>
      </c>
      <c r="B24" s="2" t="inlineStr">
        <is>
          <t>勝</t>
        </is>
      </c>
      <c r="C24" s="2" t="inlineStr">
        <is>
          <t>負</t>
        </is>
      </c>
      <c r="D24" s="10">
        <f>IF(A24="勝",3,IF(A24="分",1,0))+IF(B24="勝",3,IF(B24="分",1,0))+IF(C24="勝",3,IF(C24="分",1,0))</f>
        <v/>
      </c>
      <c r="E24" s="10">
        <f>IF(D24&gt;=7,"1位通過濃厚",IF(D24&gt;=6,"突破ほぼ確実",IF(D24&gt;=5,"2位有力(32強ブラジル注意)",IF(D24&gt;=4,"突破可能性高",IF(D24=3,"3位勝負(得失点差)",IF(D24&gt;=1,"ほぼ敗退","敗退"))))))</f>
        <v/>
      </c>
    </row>
    <row r="25">
      <c r="A25" s="2" t="inlineStr">
        <is>
          <t>分</t>
        </is>
      </c>
      <c r="B25" s="2" t="inlineStr">
        <is>
          <t>分</t>
        </is>
      </c>
      <c r="C25" s="2" t="inlineStr">
        <is>
          <t>勝</t>
        </is>
      </c>
      <c r="D25" s="10">
        <f>IF(A25="勝",3,IF(A25="分",1,0))+IF(B25="勝",3,IF(B25="分",1,0))+IF(C25="勝",3,IF(C25="分",1,0))</f>
        <v/>
      </c>
      <c r="E25" s="10">
        <f>IF(D25&gt;=7,"1位通過濃厚",IF(D25&gt;=6,"突破ほぼ確実",IF(D25&gt;=5,"2位有力(32強ブラジル注意)",IF(D25&gt;=4,"突破可能性高",IF(D25=3,"3位勝負(得失点差)",IF(D25&gt;=1,"ほぼ敗退","敗退"))))))</f>
        <v/>
      </c>
    </row>
    <row r="26">
      <c r="A26" s="2" t="inlineStr">
        <is>
          <t>分</t>
        </is>
      </c>
      <c r="B26" s="2" t="inlineStr">
        <is>
          <t>分</t>
        </is>
      </c>
      <c r="C26" s="2" t="inlineStr">
        <is>
          <t>分</t>
        </is>
      </c>
      <c r="D26" s="10">
        <f>IF(A26="勝",3,IF(A26="分",1,0))+IF(B26="勝",3,IF(B26="分",1,0))+IF(C26="勝",3,IF(C26="分",1,0))</f>
        <v/>
      </c>
      <c r="E26" s="10">
        <f>IF(D26&gt;=7,"1位通過濃厚",IF(D26&gt;=6,"突破ほぼ確実",IF(D26&gt;=5,"2位有力(32強ブラジル注意)",IF(D26&gt;=4,"突破可能性高",IF(D26=3,"3位勝負(得失点差)",IF(D26&gt;=1,"ほぼ敗退","敗退"))))))</f>
        <v/>
      </c>
    </row>
    <row r="27">
      <c r="A27" s="2" t="inlineStr">
        <is>
          <t>分</t>
        </is>
      </c>
      <c r="B27" s="2" t="inlineStr">
        <is>
          <t>分</t>
        </is>
      </c>
      <c r="C27" s="2" t="inlineStr">
        <is>
          <t>負</t>
        </is>
      </c>
      <c r="D27" s="10">
        <f>IF(A27="勝",3,IF(A27="分",1,0))+IF(B27="勝",3,IF(B27="分",1,0))+IF(C27="勝",3,IF(C27="分",1,0))</f>
        <v/>
      </c>
      <c r="E27" s="10">
        <f>IF(D27&gt;=7,"1位通過濃厚",IF(D27&gt;=6,"突破ほぼ確実",IF(D27&gt;=5,"2位有力(32強ブラジル注意)",IF(D27&gt;=4,"突破可能性高",IF(D27=3,"3位勝負(得失点差)",IF(D27&gt;=1,"ほぼ敗退","敗退"))))))</f>
        <v/>
      </c>
    </row>
    <row r="28">
      <c r="A28" s="2" t="inlineStr">
        <is>
          <t>分</t>
        </is>
      </c>
      <c r="B28" s="2" t="inlineStr">
        <is>
          <t>負</t>
        </is>
      </c>
      <c r="C28" s="2" t="inlineStr">
        <is>
          <t>勝</t>
        </is>
      </c>
      <c r="D28" s="10">
        <f>IF(A28="勝",3,IF(A28="分",1,0))+IF(B28="勝",3,IF(B28="分",1,0))+IF(C28="勝",3,IF(C28="分",1,0))</f>
        <v/>
      </c>
      <c r="E28" s="10">
        <f>IF(D28&gt;=7,"1位通過濃厚",IF(D28&gt;=6,"突破ほぼ確実",IF(D28&gt;=5,"2位有力(32強ブラジル注意)",IF(D28&gt;=4,"突破可能性高",IF(D28=3,"3位勝負(得失点差)",IF(D28&gt;=1,"ほぼ敗退","敗退"))))))</f>
        <v/>
      </c>
    </row>
    <row r="29">
      <c r="A29" s="2" t="inlineStr">
        <is>
          <t>分</t>
        </is>
      </c>
      <c r="B29" s="2" t="inlineStr">
        <is>
          <t>負</t>
        </is>
      </c>
      <c r="C29" s="2" t="inlineStr">
        <is>
          <t>分</t>
        </is>
      </c>
      <c r="D29" s="10">
        <f>IF(A29="勝",3,IF(A29="分",1,0))+IF(B29="勝",3,IF(B29="分",1,0))+IF(C29="勝",3,IF(C29="分",1,0))</f>
        <v/>
      </c>
      <c r="E29" s="10">
        <f>IF(D29&gt;=7,"1位通過濃厚",IF(D29&gt;=6,"突破ほぼ確実",IF(D29&gt;=5,"2位有力(32強ブラジル注意)",IF(D29&gt;=4,"突破可能性高",IF(D29=3,"3位勝負(得失点差)",IF(D29&gt;=1,"ほぼ敗退","敗退"))))))</f>
        <v/>
      </c>
    </row>
    <row r="30">
      <c r="A30" s="2" t="inlineStr">
        <is>
          <t>分</t>
        </is>
      </c>
      <c r="B30" s="2" t="inlineStr">
        <is>
          <t>負</t>
        </is>
      </c>
      <c r="C30" s="2" t="inlineStr">
        <is>
          <t>負</t>
        </is>
      </c>
      <c r="D30" s="10">
        <f>IF(A30="勝",3,IF(A30="分",1,0))+IF(B30="勝",3,IF(B30="分",1,0))+IF(C30="勝",3,IF(C30="分",1,0))</f>
        <v/>
      </c>
      <c r="E30" s="10">
        <f>IF(D30&gt;=7,"1位通過濃厚",IF(D30&gt;=6,"突破ほぼ確実",IF(D30&gt;=5,"2位有力(32強ブラジル注意)",IF(D30&gt;=4,"突破可能性高",IF(D30=3,"3位勝負(得失点差)",IF(D30&gt;=1,"ほぼ敗退","敗退"))))))</f>
        <v/>
      </c>
    </row>
    <row r="31">
      <c r="A31" s="2" t="inlineStr">
        <is>
          <t>負</t>
        </is>
      </c>
      <c r="B31" s="2" t="inlineStr">
        <is>
          <t>勝</t>
        </is>
      </c>
      <c r="C31" s="2" t="inlineStr">
        <is>
          <t>勝</t>
        </is>
      </c>
      <c r="D31" s="10">
        <f>IF(A31="勝",3,IF(A31="分",1,0))+IF(B31="勝",3,IF(B31="分",1,0))+IF(C31="勝",3,IF(C31="分",1,0))</f>
        <v/>
      </c>
      <c r="E31" s="10">
        <f>IF(D31&gt;=7,"1位通過濃厚",IF(D31&gt;=6,"突破ほぼ確実",IF(D31&gt;=5,"2位有力(32強ブラジル注意)",IF(D31&gt;=4,"突破可能性高",IF(D31=3,"3位勝負(得失点差)",IF(D31&gt;=1,"ほぼ敗退","敗退"))))))</f>
        <v/>
      </c>
    </row>
    <row r="32">
      <c r="A32" s="2" t="inlineStr">
        <is>
          <t>負</t>
        </is>
      </c>
      <c r="B32" s="2" t="inlineStr">
        <is>
          <t>勝</t>
        </is>
      </c>
      <c r="C32" s="2" t="inlineStr">
        <is>
          <t>分</t>
        </is>
      </c>
      <c r="D32" s="10">
        <f>IF(A32="勝",3,IF(A32="分",1,0))+IF(B32="勝",3,IF(B32="分",1,0))+IF(C32="勝",3,IF(C32="分",1,0))</f>
        <v/>
      </c>
      <c r="E32" s="10">
        <f>IF(D32&gt;=7,"1位通過濃厚",IF(D32&gt;=6,"突破ほぼ確実",IF(D32&gt;=5,"2位有力(32強ブラジル注意)",IF(D32&gt;=4,"突破可能性高",IF(D32=3,"3位勝負(得失点差)",IF(D32&gt;=1,"ほぼ敗退","敗退"))))))</f>
        <v/>
      </c>
    </row>
    <row r="33">
      <c r="A33" s="2" t="inlineStr">
        <is>
          <t>負</t>
        </is>
      </c>
      <c r="B33" s="2" t="inlineStr">
        <is>
          <t>勝</t>
        </is>
      </c>
      <c r="C33" s="2" t="inlineStr">
        <is>
          <t>負</t>
        </is>
      </c>
      <c r="D33" s="10">
        <f>IF(A33="勝",3,IF(A33="分",1,0))+IF(B33="勝",3,IF(B33="分",1,0))+IF(C33="勝",3,IF(C33="分",1,0))</f>
        <v/>
      </c>
      <c r="E33" s="10">
        <f>IF(D33&gt;=7,"1位通過濃厚",IF(D33&gt;=6,"突破ほぼ確実",IF(D33&gt;=5,"2位有力(32強ブラジル注意)",IF(D33&gt;=4,"突破可能性高",IF(D33=3,"3位勝負(得失点差)",IF(D33&gt;=1,"ほぼ敗退","敗退"))))))</f>
        <v/>
      </c>
    </row>
    <row r="34">
      <c r="A34" s="2" t="inlineStr">
        <is>
          <t>負</t>
        </is>
      </c>
      <c r="B34" s="2" t="inlineStr">
        <is>
          <t>分</t>
        </is>
      </c>
      <c r="C34" s="2" t="inlineStr">
        <is>
          <t>勝</t>
        </is>
      </c>
      <c r="D34" s="10">
        <f>IF(A34="勝",3,IF(A34="分",1,0))+IF(B34="勝",3,IF(B34="分",1,0))+IF(C34="勝",3,IF(C34="分",1,0))</f>
        <v/>
      </c>
      <c r="E34" s="10">
        <f>IF(D34&gt;=7,"1位通過濃厚",IF(D34&gt;=6,"突破ほぼ確実",IF(D34&gt;=5,"2位有力(32強ブラジル注意)",IF(D34&gt;=4,"突破可能性高",IF(D34=3,"3位勝負(得失点差)",IF(D34&gt;=1,"ほぼ敗退","敗退"))))))</f>
        <v/>
      </c>
    </row>
    <row r="35">
      <c r="A35" s="2" t="inlineStr">
        <is>
          <t>負</t>
        </is>
      </c>
      <c r="B35" s="2" t="inlineStr">
        <is>
          <t>分</t>
        </is>
      </c>
      <c r="C35" s="2" t="inlineStr">
        <is>
          <t>分</t>
        </is>
      </c>
      <c r="D35" s="10">
        <f>IF(A35="勝",3,IF(A35="分",1,0))+IF(B35="勝",3,IF(B35="分",1,0))+IF(C35="勝",3,IF(C35="分",1,0))</f>
        <v/>
      </c>
      <c r="E35" s="10">
        <f>IF(D35&gt;=7,"1位通過濃厚",IF(D35&gt;=6,"突破ほぼ確実",IF(D35&gt;=5,"2位有力(32強ブラジル注意)",IF(D35&gt;=4,"突破可能性高",IF(D35=3,"3位勝負(得失点差)",IF(D35&gt;=1,"ほぼ敗退","敗退"))))))</f>
        <v/>
      </c>
    </row>
    <row r="36">
      <c r="A36" s="2" t="inlineStr">
        <is>
          <t>負</t>
        </is>
      </c>
      <c r="B36" s="2" t="inlineStr">
        <is>
          <t>分</t>
        </is>
      </c>
      <c r="C36" s="2" t="inlineStr">
        <is>
          <t>負</t>
        </is>
      </c>
      <c r="D36" s="10">
        <f>IF(A36="勝",3,IF(A36="分",1,0))+IF(B36="勝",3,IF(B36="分",1,0))+IF(C36="勝",3,IF(C36="分",1,0))</f>
        <v/>
      </c>
      <c r="E36" s="10">
        <f>IF(D36&gt;=7,"1位通過濃厚",IF(D36&gt;=6,"突破ほぼ確実",IF(D36&gt;=5,"2位有力(32強ブラジル注意)",IF(D36&gt;=4,"突破可能性高",IF(D36=3,"3位勝負(得失点差)",IF(D36&gt;=1,"ほぼ敗退","敗退"))))))</f>
        <v/>
      </c>
    </row>
    <row r="37">
      <c r="A37" s="2" t="inlineStr">
        <is>
          <t>負</t>
        </is>
      </c>
      <c r="B37" s="2" t="inlineStr">
        <is>
          <t>負</t>
        </is>
      </c>
      <c r="C37" s="2" t="inlineStr">
        <is>
          <t>勝</t>
        </is>
      </c>
      <c r="D37" s="10">
        <f>IF(A37="勝",3,IF(A37="分",1,0))+IF(B37="勝",3,IF(B37="分",1,0))+IF(C37="勝",3,IF(C37="分",1,0))</f>
        <v/>
      </c>
      <c r="E37" s="10">
        <f>IF(D37&gt;=7,"1位通過濃厚",IF(D37&gt;=6,"突破ほぼ確実",IF(D37&gt;=5,"2位有力(32強ブラジル注意)",IF(D37&gt;=4,"突破可能性高",IF(D37=3,"3位勝負(得失点差)",IF(D37&gt;=1,"ほぼ敗退","敗退"))))))</f>
        <v/>
      </c>
    </row>
    <row r="38">
      <c r="A38" s="2" t="inlineStr">
        <is>
          <t>負</t>
        </is>
      </c>
      <c r="B38" s="2" t="inlineStr">
        <is>
          <t>負</t>
        </is>
      </c>
      <c r="C38" s="2" t="inlineStr">
        <is>
          <t>分</t>
        </is>
      </c>
      <c r="D38" s="10">
        <f>IF(A38="勝",3,IF(A38="分",1,0))+IF(B38="勝",3,IF(B38="分",1,0))+IF(C38="勝",3,IF(C38="分",1,0))</f>
        <v/>
      </c>
      <c r="E38" s="10">
        <f>IF(D38&gt;=7,"1位通過濃厚",IF(D38&gt;=6,"突破ほぼ確実",IF(D38&gt;=5,"2位有力(32強ブラジル注意)",IF(D38&gt;=4,"突破可能性高",IF(D38=3,"3位勝負(得失点差)",IF(D38&gt;=1,"ほぼ敗退","敗退"))))))</f>
        <v/>
      </c>
    </row>
    <row r="39">
      <c r="A39" s="2" t="inlineStr">
        <is>
          <t>負</t>
        </is>
      </c>
      <c r="B39" s="2" t="inlineStr">
        <is>
          <t>負</t>
        </is>
      </c>
      <c r="C39" s="2" t="inlineStr">
        <is>
          <t>負</t>
        </is>
      </c>
      <c r="D39" s="10">
        <f>IF(A39="勝",3,IF(A39="分",1,0))+IF(B39="勝",3,IF(B39="分",1,0))+IF(C39="勝",3,IF(C39="分",1,0))</f>
        <v/>
      </c>
      <c r="E39" s="10">
        <f>IF(D39&gt;=7,"1位通過濃厚",IF(D39&gt;=6,"突破ほぼ確実",IF(D39&gt;=5,"2位有力(32強ブラジル注意)",IF(D39&gt;=4,"突破可能性高",IF(D39=3,"3位勝負(得失点差)",IF(D39&gt;=1,"ほぼ敗退","敗退"))))))</f>
        <v/>
      </c>
    </row>
    <row r="41">
      <c r="A41" s="4" t="inlineStr">
        <is>
          <t>◆ C. グループF順位表（🟡試合ごとに手入力）</t>
        </is>
      </c>
    </row>
    <row r="42">
      <c r="A42" s="5" t="inlineStr">
        <is>
          <t>チーム</t>
        </is>
      </c>
      <c r="B42" s="5" t="inlineStr">
        <is>
          <t>試合</t>
        </is>
      </c>
      <c r="C42" s="5" t="inlineStr">
        <is>
          <t>勝</t>
        </is>
      </c>
      <c r="D42" s="5" t="inlineStr">
        <is>
          <t>分</t>
        </is>
      </c>
      <c r="E42" s="5" t="inlineStr">
        <is>
          <t>負</t>
        </is>
      </c>
      <c r="F42" s="5" t="inlineStr">
        <is>
          <t>得点-失点</t>
        </is>
      </c>
      <c r="G42" s="5" t="inlineStr">
        <is>
          <t>勝ち点(自動)</t>
        </is>
      </c>
    </row>
    <row r="43">
      <c r="A43" s="2" t="inlineStr">
        <is>
          <t>日本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inlineStr">
        <is>
          <t>0-0</t>
        </is>
      </c>
      <c r="G43" s="7">
        <f>C43*3+D43</f>
        <v/>
      </c>
    </row>
    <row r="44">
      <c r="A44" s="2" t="inlineStr">
        <is>
          <t>オランダ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inlineStr">
        <is>
          <t>0-0</t>
        </is>
      </c>
      <c r="G44" s="7">
        <f>C44*3+D44</f>
        <v/>
      </c>
    </row>
    <row r="45">
      <c r="A45" s="2" t="inlineStr">
        <is>
          <t>スウェーデン</t>
        </is>
      </c>
      <c r="B45" s="6" t="n">
        <v>0</v>
      </c>
      <c r="C45" s="6" t="n">
        <v>0</v>
      </c>
      <c r="D45" s="6" t="n">
        <v>0</v>
      </c>
      <c r="E45" s="6" t="n">
        <v>0</v>
      </c>
      <c r="F45" s="6" t="inlineStr">
        <is>
          <t>0-0</t>
        </is>
      </c>
      <c r="G45" s="7">
        <f>C45*3+D45</f>
        <v/>
      </c>
    </row>
    <row r="46">
      <c r="A46" s="2" t="inlineStr">
        <is>
          <t>チュニジア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inlineStr">
        <is>
          <t>0-0</t>
        </is>
      </c>
      <c r="G46" s="7">
        <f>C46*3+D46</f>
        <v/>
      </c>
    </row>
    <row r="48">
      <c r="A48" s="11" t="inlineStr">
        <is>
          <t>※突破ライン目安: 6点=ほぼ確実／4点=有力／3点=3位勝負／12組の3位のうち成績上位8チームも突破</t>
        </is>
      </c>
    </row>
  </sheetData>
  <mergeCells count="2">
    <mergeCell ref="E9:G9"/>
    <mergeCell ref="A1:G1"/>
  </mergeCells>
  <dataValidations count="1">
    <dataValidation sqref="D5:D7" showDropDown="0" showInputMessage="0" showErrorMessage="0" allowBlank="1" type="list">
      <formula1>"勝,分,負"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B26B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32" customWidth="1" min="4" max="4"/>
    <col width="28" customWidth="1" min="5" max="5"/>
    <col width="22" customWidth="1" min="6" max="6"/>
    <col width="30" customWidth="1" min="7" max="7"/>
  </cols>
  <sheetData>
    <row r="1">
      <c r="A1" s="1" t="inlineStr">
        <is>
          <t>🟧 観戦スケジュール（全部は見れない前提の回収設計・カレンダー連動）</t>
        </is>
      </c>
    </row>
    <row r="3">
      <c r="A3" s="5" t="inlineStr">
        <is>
          <t>日時(JST)</t>
        </is>
      </c>
      <c r="B3" s="5" t="inlineStr">
        <is>
          <t>カード</t>
        </is>
      </c>
      <c r="C3" s="5" t="inlineStr">
        <is>
          <t>種別</t>
        </is>
      </c>
      <c r="D3" s="5" t="inlineStr">
        <is>
          <t>見方</t>
        </is>
      </c>
      <c r="E3" s="5" t="inlineStr">
        <is>
          <t>前後の情報枠</t>
        </is>
      </c>
      <c r="F3" s="5" t="inlineStr">
        <is>
          <t>ハイライト回収</t>
        </is>
      </c>
      <c r="G3" s="5" t="inlineStr">
        <is>
          <t>メモ</t>
        </is>
      </c>
    </row>
    <row r="4">
      <c r="A4" s="2" t="inlineStr">
        <is>
          <t>6/14(日) 21:00-21:30</t>
        </is>
      </c>
      <c r="B4" s="2" t="inlineStr">
        <is>
          <t>—</t>
        </is>
      </c>
      <c r="C4" s="2" t="inlineStr">
        <is>
          <t>📋準備</t>
        </is>
      </c>
      <c r="D4" s="2" t="inlineStr">
        <is>
          <t>プレビュー収集枠(カレンダー済)</t>
        </is>
      </c>
      <c r="E4" s="2" t="inlineStr">
        <is>
          <t>スタメン予想/オランダ情報</t>
        </is>
      </c>
      <c r="F4" s="2" t="inlineStr">
        <is>
          <t>—</t>
        </is>
      </c>
      <c r="G4" s="2" t="inlineStr">
        <is>
          <t>見る:Goal/Sportsnavi</t>
        </is>
      </c>
    </row>
    <row r="5">
      <c r="A5" s="12" t="inlineStr">
        <is>
          <t>6/15(月) 5:00</t>
        </is>
      </c>
      <c r="B5" s="12" t="inlineStr">
        <is>
          <t>🇳🇱オランダ vs 🇯🇵日本</t>
        </is>
      </c>
      <c r="C5" s="12" t="inlineStr">
        <is>
          <t>🔴日本戦</t>
        </is>
      </c>
      <c r="D5" s="12" t="inlineStr">
        <is>
          <t>リアタイ(NHKor日テレ/DAZN無料)</t>
        </is>
      </c>
      <c r="E5" s="12" t="inlineStr">
        <is>
          <t>終了後そのまま採点チェック</t>
        </is>
      </c>
      <c r="F5" s="12" t="inlineStr">
        <is>
          <t>—</t>
        </is>
      </c>
      <c r="G5" s="12" t="inlineStr">
        <is>
          <t>朝活はこの日7時以降へ</t>
        </is>
      </c>
    </row>
    <row r="6">
      <c r="A6" s="2" t="inlineStr">
        <is>
          <t>6/15(月) 11:00</t>
        </is>
      </c>
      <c r="B6" s="2" t="inlineStr">
        <is>
          <t>🇸🇪スウェーデン vs 🇹🇳チュニジア</t>
        </is>
      </c>
      <c r="C6" s="2" t="inlineStr">
        <is>
          <t>ライバル</t>
        </is>
      </c>
      <c r="D6" s="2" t="inlineStr">
        <is>
          <t>結果だけ即チェック</t>
        </is>
      </c>
      <c r="E6" s="2" t="inlineStr">
        <is>
          <t>—</t>
        </is>
      </c>
      <c r="F6" s="2" t="inlineStr">
        <is>
          <t>21:30枠でハイライト</t>
        </is>
      </c>
      <c r="G6" s="2" t="inlineStr">
        <is>
          <t>勝ち点計算に直結</t>
        </is>
      </c>
    </row>
    <row r="7">
      <c r="A7" s="2" t="inlineStr">
        <is>
          <t>6/21(日) 2:00</t>
        </is>
      </c>
      <c r="B7" s="2" t="inlineStr">
        <is>
          <t>🇳🇱オランダ vs 🇸🇪スウェーデン</t>
        </is>
      </c>
      <c r="C7" s="2" t="inlineStr">
        <is>
          <t>ライバル</t>
        </is>
      </c>
      <c r="D7" s="2" t="inlineStr">
        <is>
          <t>寝る(深夜)</t>
        </is>
      </c>
      <c r="E7" s="2" t="inlineStr">
        <is>
          <t>—</t>
        </is>
      </c>
      <c r="F7" s="2" t="inlineStr">
        <is>
          <t>21:30枠でハイライト</t>
        </is>
      </c>
      <c r="G7" s="2" t="inlineStr">
        <is>
          <t>日曜は家族日</t>
        </is>
      </c>
    </row>
    <row r="8">
      <c r="A8" s="2" t="inlineStr">
        <is>
          <t>6/20(土) 21:00-21:30</t>
        </is>
      </c>
      <c r="B8" s="2" t="inlineStr">
        <is>
          <t>—</t>
        </is>
      </c>
      <c r="C8" s="2" t="inlineStr">
        <is>
          <t>📋準備</t>
        </is>
      </c>
      <c r="D8" s="2" t="inlineStr">
        <is>
          <t>プレビュー収集枠(カレンダー済)</t>
        </is>
      </c>
      <c r="E8" s="2" t="inlineStr">
        <is>
          <t>チュニジア戦スタメン予想</t>
        </is>
      </c>
      <c r="F8" s="2" t="inlineStr">
        <is>
          <t>—</t>
        </is>
      </c>
      <c r="G8" s="2" t="inlineStr"/>
    </row>
    <row r="9">
      <c r="A9" s="12" t="inlineStr">
        <is>
          <t>6/21(日) 13:00</t>
        </is>
      </c>
      <c r="B9" s="12" t="inlineStr">
        <is>
          <t>🇹🇳チュニジア vs 🇯🇵日本</t>
        </is>
      </c>
      <c r="C9" s="12" t="inlineStr">
        <is>
          <t>🔴日本戦</t>
        </is>
      </c>
      <c r="D9" s="12" t="inlineStr">
        <is>
          <t>家族でリアタイ📺</t>
        </is>
      </c>
      <c r="E9" s="12" t="inlineStr">
        <is>
          <t>終了後そのまま</t>
        </is>
      </c>
      <c r="F9" s="12" t="inlineStr">
        <is>
          <t>—</t>
        </is>
      </c>
      <c r="G9" s="12" t="inlineStr">
        <is>
          <t>葵斗くん初W杯</t>
        </is>
      </c>
    </row>
    <row r="10">
      <c r="A10" s="2" t="inlineStr">
        <is>
          <t>6/25(木) 12:30-13:00</t>
        </is>
      </c>
      <c r="B10" s="2" t="inlineStr">
        <is>
          <t>—</t>
        </is>
      </c>
      <c r="C10" s="2" t="inlineStr">
        <is>
          <t>📋準備</t>
        </is>
      </c>
      <c r="D10" s="2" t="inlineStr">
        <is>
          <t>プレビュー収集枠(カレンダー済)</t>
        </is>
      </c>
      <c r="E10" s="2" t="inlineStr">
        <is>
          <t>瑞戦+突破条件の整理</t>
        </is>
      </c>
      <c r="F10" s="2" t="inlineStr">
        <is>
          <t>—</t>
        </is>
      </c>
      <c r="G10" s="2" t="inlineStr">
        <is>
          <t>夜は結婚記念日のため昼枠</t>
        </is>
      </c>
    </row>
    <row r="11">
      <c r="A11" s="12" t="inlineStr">
        <is>
          <t>6/26(金) 8:00</t>
        </is>
      </c>
      <c r="B11" s="12" t="inlineStr">
        <is>
          <t>🇯🇵日本 vs 🇸🇪スウェーデン</t>
        </is>
      </c>
      <c r="C11" s="12" t="inlineStr">
        <is>
          <t>🔴日本戦</t>
        </is>
      </c>
      <c r="D11" s="12" t="inlineStr">
        <is>
          <t>リアタイ</t>
        </is>
      </c>
      <c r="E11" s="12" t="inlineStr">
        <is>
          <t>裏のチュニジア-オランダをスマホ</t>
        </is>
      </c>
      <c r="F11" s="12" t="inlineStr">
        <is>
          <t>—</t>
        </is>
      </c>
      <c r="G11" s="12" t="inlineStr">
        <is>
          <t>⚠️麻梨奈さん誕生日: 観戦は朝だけ宣言</t>
        </is>
      </c>
    </row>
    <row r="12">
      <c r="A12" s="2" t="inlineStr">
        <is>
          <t>毎日 21:30-22:00</t>
        </is>
      </c>
      <c r="B12" s="2" t="inlineStr">
        <is>
          <t>その日の全試合</t>
        </is>
      </c>
      <c r="C12" s="2" t="inlineStr">
        <is>
          <t>🟧回収</t>
        </is>
      </c>
      <c r="D12" s="2" t="inlineStr">
        <is>
          <t>ハイライト枠(カレンダー済・毎日繰返し)</t>
        </is>
      </c>
      <c r="E12" s="2" t="inlineStr">
        <is>
          <t>FotMob→DAZN/FIFA YouTube</t>
        </is>
      </c>
      <c r="F12" s="2" t="inlineStr">
        <is>
          <t>◎ここで全試合追える</t>
        </is>
      </c>
      <c r="G12" s="2" t="inlineStr">
        <is>
          <t>05_観戦日報に1行</t>
        </is>
      </c>
    </row>
    <row r="13">
      <c r="A13" s="2" t="inlineStr">
        <is>
          <t>6/28-7/3</t>
        </is>
      </c>
      <c r="B13" s="2" t="inlineStr">
        <is>
          <t>32強(R32)</t>
        </is>
      </c>
      <c r="C13" s="2" t="inlineStr">
        <is>
          <t>決勝T</t>
        </is>
      </c>
      <c r="D13" s="2" t="inlineStr">
        <is>
          <t>日本の試合確定後リアタイ枠化</t>
        </is>
      </c>
      <c r="E13" s="2" t="inlineStr">
        <is>
          <t>組合せ確定後に更新</t>
        </is>
      </c>
      <c r="F13" s="2" t="inlineStr">
        <is>
          <t>21:30枠</t>
        </is>
      </c>
      <c r="G13" s="2" t="inlineStr">
        <is>
          <t>F2位ならブラジル戦の可能性</t>
        </is>
      </c>
    </row>
    <row r="14">
      <c r="A14" s="2" t="inlineStr">
        <is>
          <t>7/4-7/7</t>
        </is>
      </c>
      <c r="B14" s="2" t="inlineStr">
        <is>
          <t>16強</t>
        </is>
      </c>
      <c r="C14" s="2" t="inlineStr">
        <is>
          <t>決勝T</t>
        </is>
      </c>
      <c r="D14" s="2" t="inlineStr">
        <is>
          <t>同上</t>
        </is>
      </c>
      <c r="E14" s="2" t="inlineStr"/>
      <c r="F14" s="2" t="inlineStr">
        <is>
          <t>21:30枠</t>
        </is>
      </c>
      <c r="G14" s="2" t="inlineStr"/>
    </row>
    <row r="15">
      <c r="A15" s="2" t="inlineStr">
        <is>
          <t>7/9-7/11</t>
        </is>
      </c>
      <c r="B15" s="2" t="inlineStr">
        <is>
          <t>準々決勝</t>
        </is>
      </c>
      <c r="C15" s="2" t="inlineStr">
        <is>
          <t>決勝T</t>
        </is>
      </c>
      <c r="D15" s="2" t="inlineStr">
        <is>
          <t>同上</t>
        </is>
      </c>
      <c r="E15" s="2" t="inlineStr"/>
      <c r="F15" s="2" t="inlineStr">
        <is>
          <t>21:30枠</t>
        </is>
      </c>
      <c r="G15" s="2" t="inlineStr"/>
    </row>
    <row r="16">
      <c r="A16" s="2" t="inlineStr">
        <is>
          <t>7/14-7/15</t>
        </is>
      </c>
      <c r="B16" s="2" t="inlineStr">
        <is>
          <t>準決勝</t>
        </is>
      </c>
      <c r="C16" s="2" t="inlineStr">
        <is>
          <t>決勝T</t>
        </is>
      </c>
      <c r="D16" s="2" t="inlineStr"/>
      <c r="E16" s="2" t="inlineStr"/>
      <c r="F16" s="2" t="inlineStr">
        <is>
          <t>21:30枠</t>
        </is>
      </c>
      <c r="G16" s="2" t="inlineStr"/>
    </row>
    <row r="17">
      <c r="A17" s="2" t="inlineStr">
        <is>
          <t>7/19(日)</t>
        </is>
      </c>
      <c r="B17" s="2" t="inlineStr">
        <is>
          <t>決勝(MetLife)</t>
        </is>
      </c>
      <c r="C17" s="2" t="inlineStr">
        <is>
          <t>決勝T</t>
        </is>
      </c>
      <c r="D17" s="2" t="inlineStr">
        <is>
          <t>リアタイ推奨(日本時間は翌朝の見込み)</t>
        </is>
      </c>
      <c r="E17" s="2" t="inlineStr"/>
      <c r="F17" s="2" t="inlineStr">
        <is>
          <t>21:30枠</t>
        </is>
      </c>
      <c r="G17" s="2" t="inlineStr">
        <is>
          <t>大会総括を05に書く</t>
        </is>
      </c>
    </row>
    <row r="19">
      <c r="A19" s="11" t="inlineStr">
        <is>
          <t>■ ハイライトの出る時間目安: 朝5時/8時の試合→昼頃 ／ 昼13時の試合→夕方 ／ 深夜2時の試合→朝。つまり21:30枠で当日分は全部回収できる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CCCC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6" customWidth="1" min="4" max="4"/>
    <col width="22" customWidth="1" min="5" max="5"/>
    <col width="30" customWidth="1" min="6" max="6"/>
    <col width="28" customWidth="1" min="7" max="7"/>
    <col width="30" customWidth="1" min="8" max="8"/>
    <col width="38" customWidth="1" min="9" max="9"/>
  </cols>
  <sheetData>
    <row r="1">
      <c r="A1" s="1" t="inlineStr">
        <is>
          <t>日本代表名鑑（ブルーロック例え付き・麻梨奈さんと見る用）</t>
        </is>
      </c>
    </row>
    <row r="2">
      <c r="A2" s="13" t="inlineStr">
        <is>
          <t>監督: 森保一 ＝ 絵心甚八（26人のエゴイストを選び抜いて束ねる人）／想定布陣 3-4-2-1／平均26.8歳</t>
        </is>
      </c>
    </row>
    <row r="3">
      <c r="A3" s="5" t="inlineStr">
        <is>
          <t>背番</t>
        </is>
      </c>
      <c r="B3" s="5" t="inlineStr">
        <is>
          <t>名前</t>
        </is>
      </c>
      <c r="C3" s="5" t="inlineStr">
        <is>
          <t>Pos</t>
        </is>
      </c>
      <c r="D3" s="5" t="inlineStr">
        <is>
          <t>年齢</t>
        </is>
      </c>
      <c r="E3" s="5" t="inlineStr">
        <is>
          <t>クラブ(リーグ)</t>
        </is>
      </c>
      <c r="F3" s="5" t="inlineStr">
        <is>
          <t>クラブでの実績・状態</t>
        </is>
      </c>
      <c r="G3" s="5" t="inlineStr">
        <is>
          <t>今大会の期待</t>
        </is>
      </c>
      <c r="H3" s="5" t="inlineStr">
        <is>
          <t>🔥ブルーロックでいうと</t>
        </is>
      </c>
      <c r="I3" s="5" t="inlineStr">
        <is>
          <t>妻向けひとこと</t>
        </is>
      </c>
    </row>
    <row r="4">
      <c r="A4" s="2" t="n">
        <v>1</v>
      </c>
      <c r="B4" s="2" t="inlineStr">
        <is>
          <t>鈴木彩艶</t>
        </is>
      </c>
      <c r="C4" s="2" t="inlineStr">
        <is>
          <t>GK</t>
        </is>
      </c>
      <c r="D4" s="2" t="n">
        <v>23</v>
      </c>
      <c r="E4" s="2" t="inlineStr">
        <is>
          <t>パルマ(伊・セリエA)</t>
        </is>
      </c>
      <c r="F4" s="2" t="inlineStr">
        <is>
          <t>セリエAで正GK定着</t>
        </is>
      </c>
      <c r="G4" s="2" t="inlineStr">
        <is>
          <t>守護神。ビッグセーブ連発に期待</t>
        </is>
      </c>
      <c r="H4" s="2" t="inlineStr">
        <is>
          <t>我牙丸吟(野性の反射神経)</t>
        </is>
      </c>
      <c r="I4" s="2" t="inlineStr">
        <is>
          <t>ゴールを守る最後の砦。スーパーセーブしたらこの人</t>
        </is>
      </c>
    </row>
    <row r="5">
      <c r="A5" s="14" t="n">
        <v>12</v>
      </c>
      <c r="B5" s="14" t="inlineStr">
        <is>
          <t>大迫敬介</t>
        </is>
      </c>
      <c r="C5" s="14" t="inlineStr">
        <is>
          <t>GK</t>
        </is>
      </c>
      <c r="D5" s="14" t="n">
        <v>26</v>
      </c>
      <c r="E5" s="14" t="inlineStr">
        <is>
          <t>サンフレッチェ広島</t>
        </is>
      </c>
      <c r="F5" s="14" t="inlineStr">
        <is>
          <t>J1屈指の守護神</t>
        </is>
      </c>
      <c r="G5" s="14" t="inlineStr">
        <is>
          <t>第2GK</t>
        </is>
      </c>
      <c r="H5" s="14" t="inlineStr">
        <is>
          <t>我牙丸の控え</t>
        </is>
      </c>
      <c r="I5" s="14" t="inlineStr">
        <is>
          <t>2番手キーパー</t>
        </is>
      </c>
    </row>
    <row r="6">
      <c r="A6" s="2" t="n">
        <v>23</v>
      </c>
      <c r="B6" s="2" t="inlineStr">
        <is>
          <t>早川友基</t>
        </is>
      </c>
      <c r="C6" s="2" t="inlineStr">
        <is>
          <t>GK</t>
        </is>
      </c>
      <c r="D6" s="2" t="n">
        <v>27</v>
      </c>
      <c r="E6" s="2" t="inlineStr">
        <is>
          <t>鹿島アントラーズ</t>
        </is>
      </c>
      <c r="F6" s="2" t="inlineStr">
        <is>
          <t>鹿島の正GK</t>
        </is>
      </c>
      <c r="G6" s="2" t="inlineStr">
        <is>
          <t>第3GK</t>
        </is>
      </c>
      <c r="H6" s="2" t="inlineStr">
        <is>
          <t>—</t>
        </is>
      </c>
      <c r="I6" s="2" t="inlineStr">
        <is>
          <t>3番手キーパー</t>
        </is>
      </c>
    </row>
    <row r="7">
      <c r="A7" s="14" t="n">
        <v>2</v>
      </c>
      <c r="B7" s="14" t="inlineStr">
        <is>
          <t>菅原由勢</t>
        </is>
      </c>
      <c r="C7" s="14" t="inlineStr">
        <is>
          <t>DF</t>
        </is>
      </c>
      <c r="D7" s="14" t="n">
        <v>25</v>
      </c>
      <c r="E7" s="14" t="inlineStr">
        <is>
          <t>ブレーメン(独)</t>
        </is>
      </c>
      <c r="F7" s="14" t="inlineStr">
        <is>
          <t>ブンデスで主力SB</t>
        </is>
      </c>
      <c r="G7" s="14" t="inlineStr">
        <is>
          <t>右サイドの上下動</t>
        </is>
      </c>
      <c r="H7" s="14" t="inlineStr">
        <is>
          <t>—(BLに守備職はいない)</t>
        </is>
      </c>
      <c r="I7" s="14" t="inlineStr">
        <is>
          <t>右端を走りまくる人</t>
        </is>
      </c>
    </row>
    <row r="8">
      <c r="A8" s="2" t="n">
        <v>3</v>
      </c>
      <c r="B8" s="2" t="inlineStr">
        <is>
          <t>谷口彰悟</t>
        </is>
      </c>
      <c r="C8" s="2" t="inlineStr">
        <is>
          <t>DF</t>
        </is>
      </c>
      <c r="D8" s="2" t="n">
        <v>34</v>
      </c>
      <c r="E8" s="2" t="inlineStr">
        <is>
          <t>シント=トロイデン(白)</t>
        </is>
      </c>
      <c r="F8" s="2" t="inlineStr">
        <is>
          <t>ベテランCB</t>
        </is>
      </c>
      <c r="G8" s="2" t="inlineStr">
        <is>
          <t>経験で守備を整える</t>
        </is>
      </c>
      <c r="H8" s="2" t="inlineStr">
        <is>
          <t>—</t>
        </is>
      </c>
      <c r="I8" s="2" t="inlineStr">
        <is>
          <t>落ち着きのお手本おじさん</t>
        </is>
      </c>
    </row>
    <row r="9">
      <c r="A9" s="14" t="n">
        <v>4</v>
      </c>
      <c r="B9" s="14" t="inlineStr">
        <is>
          <t>板倉滉</t>
        </is>
      </c>
      <c r="C9" s="14" t="inlineStr">
        <is>
          <t>DF</t>
        </is>
      </c>
      <c r="D9" s="14" t="n">
        <v>29</v>
      </c>
      <c r="E9" s="14" t="inlineStr">
        <is>
          <t>アヤックス(蘭)</t>
        </is>
      </c>
      <c r="F9" s="14" t="inlineStr">
        <is>
          <t>名門アヤックスの主力CB</t>
        </is>
      </c>
      <c r="G9" s="14" t="inlineStr">
        <is>
          <t>⭐新キャプテン。守備の大黒柱</t>
        </is>
      </c>
      <c r="H9" s="14" t="inlineStr">
        <is>
          <t>蟻生十兵衛(高さの壁)</t>
        </is>
      </c>
      <c r="I9" s="14" t="inlineStr">
        <is>
          <t>遠藤離脱で急きょキャプテンに。チームの兄貴</t>
        </is>
      </c>
    </row>
    <row r="10">
      <c r="A10" s="2" t="n">
        <v>5</v>
      </c>
      <c r="B10" s="2" t="inlineStr">
        <is>
          <t>長友佑都</t>
        </is>
      </c>
      <c r="C10" s="2" t="inlineStr">
        <is>
          <t>DF</t>
        </is>
      </c>
      <c r="D10" s="2" t="n">
        <v>39</v>
      </c>
      <c r="E10" s="2" t="inlineStr">
        <is>
          <t>FC東京</t>
        </is>
      </c>
      <c r="F10" s="2" t="inlineStr">
        <is>
          <t>39歳・5大会目の鉄人</t>
        </is>
      </c>
      <c r="G10" s="2" t="inlineStr">
        <is>
          <t>精神的支柱・ブラボー担当</t>
        </is>
      </c>
      <c r="H10" s="2" t="inlineStr">
        <is>
          <t>BLに居ない“魂”枠</t>
        </is>
      </c>
      <c r="I10" s="2" t="inlineStr">
        <is>
          <t>「ブラボー!」の人。39歳はW杯では超レジェンド</t>
        </is>
      </c>
    </row>
    <row r="11">
      <c r="A11" s="14" t="n">
        <v>16</v>
      </c>
      <c r="B11" s="14" t="inlineStr">
        <is>
          <t>渡辺剛</t>
        </is>
      </c>
      <c r="C11" s="14" t="inlineStr">
        <is>
          <t>DF</t>
        </is>
      </c>
      <c r="D11" s="14" t="n">
        <v>29</v>
      </c>
      <c r="E11" s="14" t="inlineStr">
        <is>
          <t>フェイエノールト(蘭)</t>
        </is>
      </c>
      <c r="F11" s="14" t="inlineStr">
        <is>
          <t>上田と同僚のCB</t>
        </is>
      </c>
      <c r="G11" s="14" t="inlineStr">
        <is>
          <t>対人の強さ</t>
        </is>
      </c>
      <c r="H11" s="14" t="inlineStr">
        <is>
          <t>—</t>
        </is>
      </c>
      <c r="I11" s="14" t="inlineStr">
        <is>
          <t>上田選手の同僚</t>
        </is>
      </c>
    </row>
    <row r="12">
      <c r="A12" s="2" t="n">
        <v>20</v>
      </c>
      <c r="B12" s="2" t="inlineStr">
        <is>
          <t>瀬古歩夢</t>
        </is>
      </c>
      <c r="C12" s="2" t="inlineStr">
        <is>
          <t>DF</t>
        </is>
      </c>
      <c r="D12" s="2" t="n">
        <v>25</v>
      </c>
      <c r="E12" s="2" t="inlineStr">
        <is>
          <t>ル・アーヴル(仏)</t>
        </is>
      </c>
      <c r="F12" s="2" t="inlineStr">
        <is>
          <t>リーグアンでCB</t>
        </is>
      </c>
      <c r="G12" s="2" t="inlineStr">
        <is>
          <t>3バックの一角候補</t>
        </is>
      </c>
      <c r="H12" s="2" t="inlineStr">
        <is>
          <t>—</t>
        </is>
      </c>
      <c r="I12" s="2" t="inlineStr">
        <is>
          <t>若手の守備職人</t>
        </is>
      </c>
    </row>
    <row r="13">
      <c r="A13" s="14" t="n">
        <v>21</v>
      </c>
      <c r="B13" s="14" t="inlineStr">
        <is>
          <t>伊藤洋輝</t>
        </is>
      </c>
      <c r="C13" s="14" t="inlineStr">
        <is>
          <t>DF</t>
        </is>
      </c>
      <c r="D13" s="14" t="n">
        <v>27</v>
      </c>
      <c r="E13" s="14" t="inlineStr">
        <is>
          <t>バイエルン(独)</t>
        </is>
      </c>
      <c r="F13" s="14" t="inlineStr">
        <is>
          <t>世界的名門バイエルン所属</t>
        </is>
      </c>
      <c r="G13" s="14" t="inlineStr">
        <is>
          <t>左足の正確なロングパス</t>
        </is>
      </c>
      <c r="H13" s="14" t="inlineStr">
        <is>
          <t>—</t>
        </is>
      </c>
      <c r="I13" s="14" t="inlineStr">
        <is>
          <t>世界一有名なクラブの一つにいる日本人</t>
        </is>
      </c>
    </row>
    <row r="14">
      <c r="A14" s="2" t="n">
        <v>22</v>
      </c>
      <c r="B14" s="2" t="inlineStr">
        <is>
          <t>冨安健洋</t>
        </is>
      </c>
      <c r="C14" s="2" t="inlineStr">
        <is>
          <t>DF</t>
        </is>
      </c>
      <c r="D14" s="2" t="n">
        <v>27</v>
      </c>
      <c r="E14" s="2" t="inlineStr">
        <is>
          <t>アヤックス(蘭)</t>
        </is>
      </c>
      <c r="F14" s="2" t="inlineStr">
        <is>
          <t>実力は世界級も2年ぶり代表(怪我明け)</t>
        </is>
      </c>
      <c r="G14" s="2" t="inlineStr">
        <is>
          <t>稼働できれば最強の切り札</t>
        </is>
      </c>
      <c r="H14" s="2" t="inlineStr">
        <is>
          <t>—</t>
        </is>
      </c>
      <c r="I14" s="2" t="inlineStr">
        <is>
          <t>ケガさえなければ日本最強DFと言われる人</t>
        </is>
      </c>
    </row>
    <row r="15">
      <c r="A15" s="14" t="n">
        <v>25</v>
      </c>
      <c r="B15" s="14" t="inlineStr">
        <is>
          <t>鈴木淳之介</t>
        </is>
      </c>
      <c r="C15" s="14" t="inlineStr">
        <is>
          <t>DF</t>
        </is>
      </c>
      <c r="D15" s="14" t="n">
        <v>22</v>
      </c>
      <c r="E15" s="14" t="inlineStr">
        <is>
          <t>コペンハーゲン(丁)</t>
        </is>
      </c>
      <c r="F15" s="14" t="inlineStr">
        <is>
          <t>22歳でCL経験クラブ主力</t>
        </is>
      </c>
      <c r="G15" s="14" t="inlineStr">
        <is>
          <t>大抜擢の新星</t>
        </is>
      </c>
      <c r="H15" s="14" t="inlineStr">
        <is>
          <t>新世代イレブン</t>
        </is>
      </c>
      <c r="I15" s="14" t="inlineStr">
        <is>
          <t>若手のびっくり枠。ブレイク候補</t>
        </is>
      </c>
    </row>
    <row r="16">
      <c r="A16" s="2" t="n">
        <v>6</v>
      </c>
      <c r="B16" s="2" t="inlineStr">
        <is>
          <t>遠藤航</t>
        </is>
      </c>
      <c r="C16" s="2" t="inlineStr">
        <is>
          <t>MF</t>
        </is>
      </c>
      <c r="D16" s="2" t="n">
        <v>33</v>
      </c>
      <c r="E16" s="2" t="inlineStr">
        <is>
          <t>リバプール(英)</t>
        </is>
      </c>
      <c r="F16" s="2" t="inlineStr">
        <is>
          <t>プレミア王者の一員</t>
        </is>
      </c>
      <c r="G16" s="2" t="inlineStr">
        <is>
          <t>❌6/12負傷離脱(無念)</t>
        </is>
      </c>
      <c r="H16" s="2" t="inlineStr">
        <is>
          <t>ノエル・ノア(精神的支柱)の不在</t>
        </is>
      </c>
      <c r="I16" s="2" t="inlineStr">
        <is>
          <t>本当のキャプテン。直前のケガで出られず…</t>
        </is>
      </c>
    </row>
    <row r="17">
      <c r="A17" s="14" t="n">
        <v>7</v>
      </c>
      <c r="B17" s="14" t="inlineStr">
        <is>
          <t>田中碧</t>
        </is>
      </c>
      <c r="C17" s="14" t="inlineStr">
        <is>
          <t>MF</t>
        </is>
      </c>
      <c r="D17" s="14" t="n">
        <v>27</v>
      </c>
      <c r="E17" s="14" t="inlineStr">
        <is>
          <t>リーズ(英)</t>
        </is>
      </c>
      <c r="F17" s="14" t="inlineStr">
        <is>
          <t>昇格の立役者→プレミアで主力</t>
        </is>
      </c>
      <c r="G17" s="14" t="inlineStr">
        <is>
          <t>中盤の頭脳</t>
        </is>
      </c>
      <c r="H17" s="14" t="inlineStr">
        <is>
          <t>御影玲王(万能の頭脳)</t>
        </is>
      </c>
      <c r="I17" s="14" t="inlineStr">
        <is>
          <t>ゲームを組み立てる頭のいい人</t>
        </is>
      </c>
    </row>
    <row r="18">
      <c r="A18" s="2" t="n">
        <v>15</v>
      </c>
      <c r="B18" s="2" t="inlineStr">
        <is>
          <t>鎌田大地</t>
        </is>
      </c>
      <c r="C18" s="2" t="inlineStr">
        <is>
          <t>MF</t>
        </is>
      </c>
      <c r="D18" s="2" t="n">
        <v>29</v>
      </c>
      <c r="E18" s="2" t="inlineStr">
        <is>
          <t>クリスタル・パレス(英)</t>
        </is>
      </c>
      <c r="F18" s="2" t="inlineStr">
        <is>
          <t>プレミアで攻撃の軸</t>
        </is>
      </c>
      <c r="G18" s="2" t="inlineStr">
        <is>
          <t>攻撃の設計者</t>
        </is>
      </c>
      <c r="H18" s="2" t="inlineStr">
        <is>
          <t>糸師冴(攻撃を設計する兄)</t>
        </is>
      </c>
      <c r="I18" s="2" t="inlineStr">
        <is>
          <t>パスで試合を支配するクールな人</t>
        </is>
      </c>
    </row>
    <row r="19">
      <c r="A19" s="14" t="n">
        <v>24</v>
      </c>
      <c r="B19" s="14" t="inlineStr">
        <is>
          <t>佐野海舟</t>
        </is>
      </c>
      <c r="C19" s="14" t="inlineStr">
        <is>
          <t>MF</t>
        </is>
      </c>
      <c r="D19" s="14" t="n">
        <v>25</v>
      </c>
      <c r="E19" s="14" t="inlineStr">
        <is>
          <t>マインツ(独)</t>
        </is>
      </c>
      <c r="F19" s="14" t="inlineStr">
        <is>
          <t>ブンデス屈指のボール回収力</t>
        </is>
      </c>
      <c r="G19" s="14" t="inlineStr">
        <is>
          <t>⭐遠藤の穴を埋める最重要人物</t>
        </is>
      </c>
      <c r="H19" s="14" t="inlineStr">
        <is>
          <t>BLに存在しない“回収屋”=現実では最強職</t>
        </is>
      </c>
      <c r="I19" s="14" t="inlineStr">
        <is>
          <t>地味だけど一番効いてる人。玄人はここを見る</t>
        </is>
      </c>
    </row>
    <row r="20">
      <c r="A20" s="2" t="n">
        <v>8</v>
      </c>
      <c r="B20" s="2" t="inlineStr">
        <is>
          <t>久保建英</t>
        </is>
      </c>
      <c r="C20" s="2" t="inlineStr">
        <is>
          <t>FW</t>
        </is>
      </c>
      <c r="D20" s="2" t="n">
        <v>24</v>
      </c>
      <c r="E20" s="2" t="inlineStr">
        <is>
          <t>レアル・ソシエダ(西)</t>
        </is>
      </c>
      <c r="F20" s="2" t="inlineStr">
        <is>
          <t>ラ・リーガのスター(怪我から半年ぶり復帰)</t>
        </is>
      </c>
      <c r="G20" s="2" t="inlineStr">
        <is>
          <t>⭐エース格。コンディションが鍵</t>
        </is>
      </c>
      <c r="H20" s="2" t="inlineStr">
        <is>
          <t>糸師凛(クールな完成形の天才)</t>
        </is>
      </c>
      <c r="I20" s="2" t="inlineStr">
        <is>
          <t>日本のスター。元バルセロナ育ちの天才</t>
        </is>
      </c>
    </row>
    <row r="21">
      <c r="A21" s="14" t="n">
        <v>9</v>
      </c>
      <c r="B21" s="14" t="inlineStr">
        <is>
          <t>後藤啓介</t>
        </is>
      </c>
      <c r="C21" s="14" t="inlineStr">
        <is>
          <t>FW</t>
        </is>
      </c>
      <c r="D21" s="14" t="n">
        <v>20</v>
      </c>
      <c r="E21" s="14" t="inlineStr">
        <is>
          <t>シント=トロイデン(白)</t>
        </is>
      </c>
      <c r="F21" s="14" t="inlineStr">
        <is>
          <t>20歳の大型ストライカー</t>
        </is>
      </c>
      <c r="G21" s="14" t="inlineStr">
        <is>
          <t>スーパーサブ→ブレイク候補</t>
        </is>
      </c>
      <c r="H21" s="14" t="inlineStr">
        <is>
          <t>國神錬介(パワー型・覚醒待ち)</t>
        </is>
      </c>
      <c r="I21" s="14" t="inlineStr">
        <is>
          <t>でかくて強い20歳。1点取ったら人生変わる</t>
        </is>
      </c>
    </row>
    <row r="22">
      <c r="A22" s="2" t="n">
        <v>10</v>
      </c>
      <c r="B22" s="2" t="inlineStr">
        <is>
          <t>堂安律</t>
        </is>
      </c>
      <c r="C22" s="2" t="inlineStr">
        <is>
          <t>FW</t>
        </is>
      </c>
      <c r="D22" s="2" t="n">
        <v>27</v>
      </c>
      <c r="E22" s="2" t="inlineStr">
        <is>
          <t>フランクフルト(独)</t>
        </is>
      </c>
      <c r="F22" s="2" t="inlineStr">
        <is>
          <t>ブンデスで主力アタッカー</t>
        </is>
      </c>
      <c r="G22" s="2" t="inlineStr">
        <is>
          <t>「俺が決める」の10番</t>
        </is>
      </c>
      <c r="H22" s="2" t="inlineStr">
        <is>
          <t>ミヒャエル・カイザー(ドイツ仕込みの皇帝エゴ)</t>
        </is>
      </c>
      <c r="I22" s="2" t="inlineStr">
        <is>
          <t>自信家。ゴール後のキメ顔に注目</t>
        </is>
      </c>
    </row>
    <row r="23">
      <c r="A23" s="14" t="n">
        <v>11</v>
      </c>
      <c r="B23" s="14" t="inlineStr">
        <is>
          <t>前田大然</t>
        </is>
      </c>
      <c r="C23" s="14" t="inlineStr">
        <is>
          <t>FW</t>
        </is>
      </c>
      <c r="D23" s="14" t="n">
        <v>28</v>
      </c>
      <c r="E23" s="14" t="inlineStr">
        <is>
          <t>セルティック(蘇)</t>
        </is>
      </c>
      <c r="F23" s="14" t="inlineStr">
        <is>
          <t>スコットランド王者の核</t>
        </is>
      </c>
      <c r="G23" s="14" t="inlineStr">
        <is>
          <t>爆速プレスで相手を壊す</t>
        </is>
      </c>
      <c r="H23" s="14" t="inlineStr">
        <is>
          <t>千切豹馬(チーター級スピード)</t>
        </is>
      </c>
      <c r="I23" s="14" t="inlineStr">
        <is>
          <t>足が速すぎる人。相手が一番嫌がるタイプ</t>
        </is>
      </c>
    </row>
    <row r="24">
      <c r="A24" s="2" t="n">
        <v>13</v>
      </c>
      <c r="B24" s="2" t="inlineStr">
        <is>
          <t>中村敬斗</t>
        </is>
      </c>
      <c r="C24" s="2" t="inlineStr">
        <is>
          <t>FW</t>
        </is>
      </c>
      <c r="D24" s="2" t="n">
        <v>25</v>
      </c>
      <c r="E24" s="2" t="inlineStr">
        <is>
          <t>スタッド・ランス(仏)</t>
        </is>
      </c>
      <c r="F24" s="2" t="inlineStr">
        <is>
          <t>リーグアンで得点量産歴</t>
        </is>
      </c>
      <c r="G24" s="2" t="inlineStr">
        <is>
          <t>左サイドの切り札</t>
        </is>
      </c>
      <c r="H24" s="2" t="inlineStr">
        <is>
          <t>凪誠士郎(ふわっと天才・神トラップ)</t>
        </is>
      </c>
      <c r="I24" s="2" t="inlineStr">
        <is>
          <t>ゆるい雰囲気で点を取る不思議な天才</t>
        </is>
      </c>
    </row>
    <row r="25">
      <c r="A25" s="14" t="n">
        <v>14</v>
      </c>
      <c r="B25" s="14" t="inlineStr">
        <is>
          <t>伊東純也</t>
        </is>
      </c>
      <c r="C25" s="14" t="inlineStr">
        <is>
          <t>FW</t>
        </is>
      </c>
      <c r="D25" s="14" t="n">
        <v>33</v>
      </c>
      <c r="E25" s="14" t="inlineStr">
        <is>
          <t>ヘンク(白)</t>
        </is>
      </c>
      <c r="F25" s="14" t="inlineStr">
        <is>
          <t>33歳でも衰えぬ快速</t>
        </is>
      </c>
      <c r="G25" s="14" t="inlineStr">
        <is>
          <t>右サイドの一刺し</t>
        </is>
      </c>
      <c r="H25" s="14" t="inlineStr">
        <is>
          <t>乙夜影汰(静かな仕事人)</t>
        </is>
      </c>
      <c r="I25" s="14" t="inlineStr">
        <is>
          <t>気づいたら裏に走ってる超速おじさん</t>
        </is>
      </c>
    </row>
    <row r="26">
      <c r="A26" s="2" t="n">
        <v>17</v>
      </c>
      <c r="B26" s="2" t="inlineStr">
        <is>
          <t>鈴木唯人</t>
        </is>
      </c>
      <c r="C26" s="2" t="inlineStr">
        <is>
          <t>FW</t>
        </is>
      </c>
      <c r="D26" s="2" t="n">
        <v>24</v>
      </c>
      <c r="E26" s="2" t="inlineStr">
        <is>
          <t>フライブルク(独)</t>
        </is>
      </c>
      <c r="F26" s="2" t="inlineStr">
        <is>
          <t>ブンデスで評価急上昇</t>
        </is>
      </c>
      <c r="G26" s="2" t="inlineStr">
        <is>
          <t>途中投入で流れを変える</t>
        </is>
      </c>
      <c r="H26" s="2" t="inlineStr">
        <is>
          <t>蜂楽廻(ドリブルの遊び心)</t>
        </is>
      </c>
      <c r="I26" s="2" t="inlineStr">
        <is>
          <t>ドリブルで遊ぶのが上手い人</t>
        </is>
      </c>
    </row>
    <row r="27">
      <c r="A27" s="14" t="n">
        <v>18</v>
      </c>
      <c r="B27" s="14" t="inlineStr">
        <is>
          <t>上田綺世</t>
        </is>
      </c>
      <c r="C27" s="14" t="inlineStr">
        <is>
          <t>FW</t>
        </is>
      </c>
      <c r="D27" s="14" t="n">
        <v>27</v>
      </c>
      <c r="E27" s="14" t="inlineStr">
        <is>
          <t>フェイエノールト(蘭)</t>
        </is>
      </c>
      <c r="F27" s="14" t="inlineStr">
        <is>
          <t>オランダ名門のエースFW</t>
        </is>
      </c>
      <c r="G27" s="14" t="inlineStr">
        <is>
          <t>⭐⭐1トップの大本命・得点源</t>
        </is>
      </c>
      <c r="H27" s="14" t="inlineStr">
        <is>
          <t>潔世一(ゴール前で進化し続ける主人公)</t>
        </is>
      </c>
      <c r="I27" s="14" t="inlineStr">
        <is>
          <t>日本のエース。点を取ったらこの人の名前が出る</t>
        </is>
      </c>
    </row>
    <row r="28">
      <c r="A28" s="2" t="n">
        <v>19</v>
      </c>
      <c r="B28" s="2" t="inlineStr">
        <is>
          <t>小川航基</t>
        </is>
      </c>
      <c r="C28" s="2" t="inlineStr">
        <is>
          <t>FW</t>
        </is>
      </c>
      <c r="D28" s="2" t="n">
        <v>28</v>
      </c>
      <c r="E28" s="2" t="inlineStr">
        <is>
          <t>NECナイメヘン(蘭)</t>
        </is>
      </c>
      <c r="F28" s="2" t="inlineStr">
        <is>
          <t>オランダで二桁得点級</t>
        </is>
      </c>
      <c r="G28" s="2" t="inlineStr">
        <is>
          <t>箱の中の仕留め役</t>
        </is>
      </c>
      <c r="H28" s="2" t="inlineStr">
        <is>
          <t>士道龍聖(ゴール前の野性)</t>
        </is>
      </c>
      <c r="I28" s="2" t="inlineStr">
        <is>
          <t>ゴール前だけ急に怖くなる人</t>
        </is>
      </c>
    </row>
    <row r="29">
      <c r="A29" s="14" t="inlineStr">
        <is>
          <t>追</t>
        </is>
      </c>
      <c r="B29" s="14" t="inlineStr">
        <is>
          <t>町野修斗</t>
        </is>
      </c>
      <c r="C29" s="14" t="inlineStr">
        <is>
          <t>FW</t>
        </is>
      </c>
      <c r="D29" s="14" t="inlineStr">
        <is>
          <t>-</t>
        </is>
      </c>
      <c r="E29" s="14" t="inlineStr">
        <is>
          <t>（遠藤の代替で追加招集）</t>
        </is>
      </c>
      <c r="F29" s="14" t="inlineStr">
        <is>
          <t>6/12追加招集</t>
        </is>
      </c>
      <c r="G29" s="14" t="inlineStr">
        <is>
          <t>ワイルドカード</t>
        </is>
      </c>
      <c r="H29" s="14" t="inlineStr">
        <is>
          <t>二次選考から這い上がった男</t>
        </is>
      </c>
      <c r="I29" s="14" t="inlineStr">
        <is>
          <t>直前に呼ばれた補欠逆転ストーリーの人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FA8DC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24" customWidth="1" min="4" max="4"/>
    <col width="34" customWidth="1" min="5" max="5"/>
    <col width="22" customWidth="1" min="6" max="6"/>
    <col width="28" customWidth="1" min="7" max="7"/>
    <col width="6" customWidth="1" min="8" max="8"/>
  </cols>
  <sheetData>
    <row r="1">
      <c r="A1" s="1" t="inlineStr">
        <is>
          <t>🟦 追っかけ選手×お金（オーナー視点・週1日曜21:00更新）</t>
        </is>
      </c>
    </row>
    <row r="2">
      <c r="A2" s="13" t="inlineStr">
        <is>
          <t>見方: W杯=世界最大の展示会。活躍→市場価値↑→夏の移籍金が動く。『仕入れ値と売値』で選手を見る</t>
        </is>
      </c>
    </row>
    <row r="3">
      <c r="A3" s="5" t="inlineStr">
        <is>
          <t>選手</t>
        </is>
      </c>
      <c r="B3" s="5" t="inlineStr">
        <is>
          <t>所属</t>
        </is>
      </c>
      <c r="C3" s="5" t="inlineStr">
        <is>
          <t>💰お金の注目点</t>
        </is>
      </c>
      <c r="D3" s="5" t="inlineStr">
        <is>
          <t>W杯で何を見るか</t>
        </is>
      </c>
      <c r="E3" s="5" t="inlineStr">
        <is>
          <t>🏠不動産で例えると</t>
        </is>
      </c>
      <c r="F3" s="5" t="inlineStr">
        <is>
          <t>市場価値メモ(🟡週1更新)</t>
        </is>
      </c>
      <c r="G3" s="5" t="inlineStr">
        <is>
          <t>情報リンク</t>
        </is>
      </c>
      <c r="H3" s="5" t="inlineStr">
        <is>
          <t>状態</t>
        </is>
      </c>
    </row>
    <row r="4">
      <c r="A4" s="2" t="inlineStr">
        <is>
          <t>上田綺世</t>
        </is>
      </c>
      <c r="B4" s="2" t="inlineStr">
        <is>
          <t>フェイエノールト(蘭)</t>
        </is>
      </c>
      <c r="C4" s="2" t="inlineStr">
        <is>
          <t>W杯得点→プレミア移籍金跳ね上げの筆頭</t>
        </is>
      </c>
      <c r="D4" s="2" t="inlineStr">
        <is>
          <t>ゴール数と決定率</t>
        </is>
      </c>
      <c r="E4" s="2" t="inlineStr">
        <is>
          <t>割安で仕入れ済→出口(売却)局面の優良物件</t>
        </is>
      </c>
      <c r="F4" s="6" t="inlineStr"/>
      <c r="G4" s="2" t="inlineStr">
        <is>
          <t>transfermarkt.com/ayase-ueda</t>
        </is>
      </c>
      <c r="H4" s="2" t="inlineStr">
        <is>
          <t>🇯🇵</t>
        </is>
      </c>
    </row>
    <row r="5">
      <c r="A5" s="2" t="inlineStr">
        <is>
          <t>鈴木彩艶</t>
        </is>
      </c>
      <c r="B5" s="2" t="inlineStr">
        <is>
          <t>パルマ(伊)</t>
        </is>
      </c>
      <c r="C5" s="2" t="inlineStr">
        <is>
          <t>23歳GK。ビッグクラブが常に探すポジション</t>
        </is>
      </c>
      <c r="D5" s="2" t="inlineStr">
        <is>
          <t>ビッグセーブ数</t>
        </is>
      </c>
      <c r="E5" s="2" t="inlineStr">
        <is>
          <t>駅近×築浅。値上がり確実エリアの新築</t>
        </is>
      </c>
      <c r="F5" s="6" t="inlineStr"/>
      <c r="G5" s="2" t="inlineStr">
        <is>
          <t>transfermarkt.com/zion-suzuki</t>
        </is>
      </c>
      <c r="H5" s="2" t="inlineStr">
        <is>
          <t>🇯🇵</t>
        </is>
      </c>
    </row>
    <row r="6">
      <c r="A6" s="2" t="inlineStr">
        <is>
          <t>佐野海舟</t>
        </is>
      </c>
      <c r="B6" s="2" t="inlineStr">
        <is>
          <t>マインツ(独)</t>
        </is>
      </c>
      <c r="C6" s="2" t="inlineStr">
        <is>
          <t>遠藤の後継=守備的MFは英で高騰職種</t>
        </is>
      </c>
      <c r="D6" s="2" t="inlineStr">
        <is>
          <t>ボール回収数・無失点</t>
        </is>
      </c>
      <c r="E6" s="2" t="inlineStr">
        <is>
          <t>地味な一棟アパート。利回りは実は最高</t>
        </is>
      </c>
      <c r="F6" s="6" t="inlineStr"/>
      <c r="G6" s="2" t="inlineStr"/>
      <c r="H6" s="2" t="inlineStr">
        <is>
          <t>🇯🇵</t>
        </is>
      </c>
    </row>
    <row r="7">
      <c r="A7" s="2" t="inlineStr">
        <is>
          <t>久保建英</t>
        </is>
      </c>
      <c r="B7" s="2" t="inlineStr">
        <is>
          <t>R・ソシエダ(西)</t>
        </is>
      </c>
      <c r="C7" s="2" t="inlineStr">
        <is>
          <t>24歳=ビッグ移籍の最終ゴールデン世代。契約条項に注目</t>
        </is>
      </c>
      <c r="D7" s="2" t="inlineStr">
        <is>
          <t>怪我明けの稼働率と決定的仕事</t>
        </is>
      </c>
      <c r="E7" s="2" t="inlineStr">
        <is>
          <t>好立地の有名物件。指値(条項)勝負</t>
        </is>
      </c>
      <c r="F7" s="6" t="inlineStr"/>
      <c r="G7" s="2" t="inlineStr"/>
      <c r="H7" s="2" t="inlineStr">
        <is>
          <t>🇯🇵</t>
        </is>
      </c>
    </row>
    <row r="8">
      <c r="A8" s="2" t="inlineStr">
        <is>
          <t>後藤啓介</t>
        </is>
      </c>
      <c r="B8" s="2" t="inlineStr">
        <is>
          <t>シント=トロイデン(白)</t>
        </is>
      </c>
      <c r="C8" s="2" t="inlineStr">
        <is>
          <t>20歳。1ゴールで価値が倍動く</t>
        </is>
      </c>
      <c r="D8" s="2" t="inlineStr">
        <is>
          <t>途中出場の結果</t>
        </is>
      </c>
      <c r="E8" s="2" t="inlineStr">
        <is>
          <t>再建築可の古家付き土地=化け枠</t>
        </is>
      </c>
      <c r="F8" s="6" t="inlineStr"/>
      <c r="G8" s="2" t="inlineStr"/>
      <c r="H8" s="2" t="inlineStr">
        <is>
          <t>🇯🇵</t>
        </is>
      </c>
    </row>
    <row r="9">
      <c r="A9" s="2" t="inlineStr">
        <is>
          <t>鈴木淳之介</t>
        </is>
      </c>
      <c r="B9" s="2" t="inlineStr">
        <is>
          <t>コペンハーゲン(丁)</t>
        </is>
      </c>
      <c r="C9" s="2" t="inlineStr">
        <is>
          <t>北欧→五大リーグの王道昇格ルート上</t>
        </is>
      </c>
      <c r="D9" s="2" t="inlineStr">
        <is>
          <t>守備の安定感</t>
        </is>
      </c>
      <c r="E9" s="2" t="inlineStr">
        <is>
          <t>区画整理予定地の先行仕込み</t>
        </is>
      </c>
      <c r="F9" s="6" t="inlineStr"/>
      <c r="G9" s="2" t="inlineStr"/>
      <c r="H9" s="2" t="inlineStr">
        <is>
          <t>🇯🇵</t>
        </is>
      </c>
    </row>
    <row r="10">
      <c r="A10" s="2" t="inlineStr">
        <is>
          <t>中村敬斗</t>
        </is>
      </c>
      <c r="B10" s="2" t="inlineStr">
        <is>
          <t>ランス(仏)</t>
        </is>
      </c>
      <c r="C10" s="2" t="inlineStr">
        <is>
          <t>得点量産歴あり。ステップアップ移籍候補</t>
        </is>
      </c>
      <c r="D10" s="2" t="inlineStr">
        <is>
          <t>スーパーゴール</t>
        </is>
      </c>
      <c r="E10" s="2" t="inlineStr">
        <is>
          <t>リフォーム済で内見映えする物件</t>
        </is>
      </c>
      <c r="F10" s="6" t="inlineStr"/>
      <c r="G10" s="2" t="inlineStr"/>
      <c r="H10" s="2" t="inlineStr">
        <is>
          <t>🇯🇵</t>
        </is>
      </c>
    </row>
    <row r="11">
      <c r="A11" s="2" t="inlineStr">
        <is>
          <t>板倉滉</t>
        </is>
      </c>
      <c r="B11" s="2" t="inlineStr">
        <is>
          <t>アヤックス(蘭)</t>
        </is>
      </c>
      <c r="C11" s="2" t="inlineStr">
        <is>
          <t>主将ブランドで価値上昇中</t>
        </is>
      </c>
      <c r="D11" s="2" t="inlineStr">
        <is>
          <t>統率とビルドアップ</t>
        </is>
      </c>
      <c r="E11" s="2" t="inlineStr">
        <is>
          <t>管理良好な築浅レジデンス</t>
        </is>
      </c>
      <c r="F11" s="6" t="inlineStr"/>
      <c r="G11" s="2" t="inlineStr"/>
      <c r="H11" s="2" t="inlineStr">
        <is>
          <t>🇯🇵</t>
        </is>
      </c>
    </row>
    <row r="12">
      <c r="A12" s="2" t="inlineStr">
        <is>
          <t>ジェケレシュ</t>
        </is>
      </c>
      <c r="B12" s="2" t="inlineStr">
        <is>
          <t>アーセナル(英)</t>
        </is>
      </c>
      <c r="C12" s="2" t="inlineStr">
        <is>
          <t>今季公式戦21得点。移籍金回収劇の進行形</t>
        </is>
      </c>
      <c r="D12" s="2" t="inlineStr">
        <is>
          <t>大舞台で通用するか最終査定</t>
        </is>
      </c>
      <c r="E12" s="2" t="inlineStr">
        <is>
          <t>高値仕入れでも家賃(得点)で回収中の収益物件</t>
        </is>
      </c>
      <c r="F12" s="6" t="inlineStr"/>
      <c r="G12" s="2" t="inlineStr"/>
      <c r="H12" s="2" t="inlineStr">
        <is>
          <t>🇸🇪</t>
        </is>
      </c>
    </row>
    <row r="13">
      <c r="A13" s="2" t="inlineStr">
        <is>
          <t>イサク</t>
        </is>
      </c>
      <c r="B13" s="2" t="inlineStr">
        <is>
          <t>リバプール(英)</t>
        </is>
      </c>
      <c r="C13" s="2" t="inlineStr">
        <is>
          <t>英史上最高額級移籍→負傷続き(先発8試合)</t>
        </is>
      </c>
      <c r="D13" s="2" t="inlineStr">
        <is>
          <t>W杯で復活なら評価急回復</t>
        </is>
      </c>
      <c r="E13" s="2" t="inlineStr">
        <is>
          <t>高値掴み疑惑物件が底値反転するかの見極め</t>
        </is>
      </c>
      <c r="F13" s="6" t="inlineStr"/>
      <c r="G13" s="2" t="inlineStr"/>
      <c r="H13" s="2" t="inlineStr">
        <is>
          <t>🇸🇪</t>
        </is>
      </c>
    </row>
    <row r="14">
      <c r="A14" s="2" t="inlineStr">
        <is>
          <t>ハンニバル・メイブリ</t>
        </is>
      </c>
      <c r="B14" s="2" t="inlineStr">
        <is>
          <t>バーンリー(英)</t>
        </is>
      </c>
      <c r="C14" s="2" t="inlineStr">
        <is>
          <t>元マンU。再ブレイクなら転売益大</t>
        </is>
      </c>
      <c r="D14" s="2" t="inlineStr">
        <is>
          <t>チュニジアの王様プレー</t>
        </is>
      </c>
      <c r="E14" s="2" t="inlineStr">
        <is>
          <t>訳あり物件の再生案件</t>
        </is>
      </c>
      <c r="F14" s="6" t="inlineStr"/>
      <c r="G14" s="2" t="inlineStr"/>
      <c r="H14" s="2" t="inlineStr">
        <is>
          <t>🇹🇳</t>
        </is>
      </c>
    </row>
    <row r="15">
      <c r="A15" s="2" t="inlineStr">
        <is>
          <t>シャビ・シモンズ等 蘭の若手</t>
        </is>
      </c>
      <c r="B15" s="2" t="inlineStr">
        <is>
          <t>—</t>
        </is>
      </c>
      <c r="C15" s="2" t="inlineStr">
        <is>
          <t>オランダは育成→高値売却の国家モデル</t>
        </is>
      </c>
      <c r="D15" s="2" t="inlineStr">
        <is>
          <t>誰が「次の商品」か目利き</t>
        </is>
      </c>
      <c r="E15" s="2" t="inlineStr">
        <is>
          <t>デベロッパーの分譲地を見る目</t>
        </is>
      </c>
      <c r="F15" s="6" t="inlineStr"/>
      <c r="G15" s="2" t="inlineStr"/>
      <c r="H15" s="2" t="inlineStr">
        <is>
          <t>🇳🇱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B26B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0" customWidth="1" min="4" max="4"/>
    <col width="40" customWidth="1" min="5" max="5"/>
    <col width="8" customWidth="1" min="6" max="6"/>
    <col width="14" customWidth="1" min="7" max="7"/>
  </cols>
  <sheetData>
    <row r="1">
      <c r="A1" s="1" t="inlineStr">
        <is>
          <t>🟧 観戦日報（毎日21:30枠で1行。W杯後も続ける趣味台帳）</t>
        </is>
      </c>
    </row>
    <row r="3">
      <c r="A3" s="5" t="inlineStr">
        <is>
          <t>日付</t>
        </is>
      </c>
      <c r="B3" s="5" t="inlineStr">
        <is>
          <t>試合・トピック</t>
        </is>
      </c>
      <c r="C3" s="5" t="inlineStr">
        <is>
          <t>結果</t>
        </is>
      </c>
      <c r="D3" s="5" t="inlineStr">
        <is>
          <t>気づき(俺メモ)</t>
        </is>
      </c>
      <c r="E3" s="5" t="inlineStr">
        <is>
          <t>💰お金の動きメモ</t>
        </is>
      </c>
      <c r="F3" s="5" t="inlineStr">
        <is>
          <t>温度感</t>
        </is>
      </c>
      <c r="G3" s="5" t="inlineStr">
        <is>
          <t>ソース</t>
        </is>
      </c>
    </row>
    <row r="4">
      <c r="A4" s="2" t="inlineStr">
        <is>
          <t>2026-06-13</t>
        </is>
      </c>
      <c r="B4" s="2" t="inlineStr">
        <is>
          <t>(例)開幕戦ウォッチ</t>
        </is>
      </c>
      <c r="C4" s="2" t="inlineStr">
        <is>
          <t>—</t>
        </is>
      </c>
      <c r="D4" s="2" t="inlineStr">
        <is>
          <t>(例)48カ国制で3位でも突破あり=消化試合が減る設計</t>
        </is>
      </c>
      <c r="E4" s="2" t="inlineStr">
        <is>
          <t>(例)放映権はDAZN全試合。日本戦無料=客寄せ戦略</t>
        </is>
      </c>
      <c r="F4" s="2" t="inlineStr">
        <is>
          <t>🔥</t>
        </is>
      </c>
      <c r="G4" s="2" t="inlineStr">
        <is>
          <t>FIFA公式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99999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56" customWidth="1" min="3" max="3"/>
    <col width="6" customWidth="1" min="4" max="4"/>
    <col width="6" customWidth="1" min="5" max="5"/>
  </cols>
  <sheetData>
    <row r="1">
      <c r="A1" s="1" t="inlineStr">
        <is>
          <t>TIPS: 誰の視点を真似るか（ゴール逆算）＋リンク集＋不動産⇄サッカー対訳</t>
        </is>
      </c>
    </row>
    <row r="3">
      <c r="A3" s="4" t="inlineStr">
        <is>
          <t>◆ ゴール逆算マップ: 『お金×活躍の相関をオーナー視点で語れる人になる』</t>
        </is>
      </c>
    </row>
    <row r="4">
      <c r="A4" s="5" t="inlineStr">
        <is>
          <t>レイヤー</t>
        </is>
      </c>
      <c r="B4" s="5" t="inlineStr">
        <is>
          <t>頻度</t>
        </is>
      </c>
      <c r="C4" s="5" t="inlineStr">
        <is>
          <t>やること</t>
        </is>
      </c>
      <c r="D4" s="5" t="inlineStr">
        <is>
          <t>真似る師匠</t>
        </is>
      </c>
      <c r="E4" s="5" t="inlineStr">
        <is>
          <t>ツール</t>
        </is>
      </c>
    </row>
    <row r="5">
      <c r="A5" s="2" t="inlineStr">
        <is>
          <t>①速報</t>
        </is>
      </c>
      <c r="B5" s="2" t="inlineStr">
        <is>
          <t>毎日3分</t>
        </is>
      </c>
      <c r="C5" s="2" t="inlineStr">
        <is>
          <t>結果と移籍速報を拾う</t>
        </is>
      </c>
      <c r="D5" s="2" t="inlineStr">
        <is>
          <t>Fabrizio Romano(X)=移籍速報の世界標準「Here we go」</t>
        </is>
      </c>
      <c r="E5" s="2" t="inlineStr">
        <is>
          <t>FotMobアプリ＋X</t>
        </is>
      </c>
    </row>
    <row r="6">
      <c r="A6" s="2" t="inlineStr">
        <is>
          <t>②値動き</t>
        </is>
      </c>
      <c r="B6" s="2" t="inlineStr">
        <is>
          <t>週1</t>
        </is>
      </c>
      <c r="C6" s="2" t="inlineStr">
        <is>
          <t>市場価値の上下を見る</t>
        </is>
      </c>
      <c r="D6" s="2" t="inlineStr">
        <is>
          <t>Transfermarkt=選手の路線価マップ</t>
        </is>
      </c>
      <c r="E6" s="2" t="inlineStr">
        <is>
          <t>transfermarkt.com</t>
        </is>
      </c>
    </row>
    <row r="7">
      <c r="A7" s="2" t="inlineStr">
        <is>
          <t>③財務分析</t>
        </is>
      </c>
      <c r="B7" s="2" t="inlineStr">
        <is>
          <t>月1</t>
        </is>
      </c>
      <c r="C7" s="2" t="inlineStr">
        <is>
          <t>クラブ決算を読む</t>
        </is>
      </c>
      <c r="D7" s="2" t="inlineStr">
        <is>
          <t>Swiss Ramble(Substack)=クラブ決算図解の第一人者</t>
        </is>
      </c>
      <c r="E7" s="2" t="inlineStr">
        <is>
          <t>swissramble.substack.com</t>
        </is>
      </c>
    </row>
    <row r="8">
      <c r="A8" s="2" t="inlineStr">
        <is>
          <t>④日本語の語り口</t>
        </is>
      </c>
      <c r="B8" s="2" t="inlineStr">
        <is>
          <t>随時</t>
        </is>
      </c>
      <c r="C8" s="2" t="inlineStr">
        <is>
          <t>移籍市場の文脈を日本語で</t>
        </is>
      </c>
      <c r="D8" s="2" t="inlineStr">
        <is>
          <t>小澤一郎(YouTube/Periodista)=育成×移籍市場</t>
        </is>
      </c>
      <c r="E8" s="2" t="inlineStr">
        <is>
          <t>YouTube</t>
        </is>
      </c>
    </row>
    <row r="9">
      <c r="A9" s="2" t="inlineStr">
        <is>
          <t>⑤実践オーナー</t>
        </is>
      </c>
      <c r="B9" s="2" t="inlineStr">
        <is>
          <t>ロールモデル</t>
        </is>
      </c>
      <c r="C9" s="2" t="inlineStr">
        <is>
          <t>クラブ経営の一次情報</t>
        </is>
      </c>
      <c r="D9" s="2" t="inlineStr">
        <is>
          <t>岡田武史(FC今治オーナー)/本田圭佑(クラブ投資)</t>
        </is>
      </c>
      <c r="E9" s="2" t="inlineStr">
        <is>
          <t>書籍・インタビュー</t>
        </is>
      </c>
    </row>
    <row r="11">
      <c r="A11" s="4" t="inlineStr">
        <is>
          <t>◆ リンク集（観戦と速報）</t>
        </is>
      </c>
    </row>
    <row r="12">
      <c r="A12" s="5" t="inlineStr">
        <is>
          <t>用途</t>
        </is>
      </c>
      <c r="B12" s="5" t="inlineStr">
        <is>
          <t>名前</t>
        </is>
      </c>
      <c r="C12" s="5" t="inlineStr">
        <is>
          <t>URL/場所</t>
        </is>
      </c>
      <c r="D12" s="5" t="inlineStr">
        <is>
          <t>メモ</t>
        </is>
      </c>
      <c r="E12" s="2" t="inlineStr"/>
    </row>
    <row r="13">
      <c r="A13" s="2" t="inlineStr">
        <is>
          <t>速報アプリ</t>
        </is>
      </c>
      <c r="B13" s="2" t="inlineStr">
        <is>
          <t>FotMob</t>
        </is>
      </c>
      <c r="C13" s="2" t="inlineStr">
        <is>
          <t>アプリStoreで入手</t>
        </is>
      </c>
      <c r="D13" s="2" t="inlineStr">
        <is>
          <t>試合速報+選手採点+市場価値が1本で見られる</t>
        </is>
      </c>
      <c r="E13" s="2" t="inlineStr"/>
    </row>
    <row r="14">
      <c r="A14" s="2" t="inlineStr">
        <is>
          <t>ハイライト</t>
        </is>
      </c>
      <c r="B14" s="2" t="inlineStr">
        <is>
          <t>DAZN Japan公式YouTube</t>
        </is>
      </c>
      <c r="C14" s="2" t="inlineStr">
        <is>
          <t>youtube.com/@DAZNJapan</t>
        </is>
      </c>
      <c r="D14" s="2" t="inlineStr">
        <is>
          <t>W杯ハイライト。日本戦はDAZN本体で無料</t>
        </is>
      </c>
      <c r="E14" s="2" t="inlineStr"/>
    </row>
    <row r="15">
      <c r="A15" s="2" t="inlineStr">
        <is>
          <t>ハイライト</t>
        </is>
      </c>
      <c r="B15" s="2" t="inlineStr">
        <is>
          <t>FIFA公式YouTube</t>
        </is>
      </c>
      <c r="C15" s="2" t="inlineStr">
        <is>
          <t>youtube.com/@FIFA</t>
        </is>
      </c>
      <c r="D15" s="2" t="inlineStr">
        <is>
          <t>全試合ハイライト(英語)</t>
        </is>
      </c>
      <c r="E15" s="2" t="inlineStr"/>
    </row>
    <row r="16">
      <c r="A16" s="2" t="inlineStr">
        <is>
          <t>地上波</t>
        </is>
      </c>
      <c r="B16" s="2" t="inlineStr">
        <is>
          <t>NHK/日テレ/フジ</t>
        </is>
      </c>
      <c r="C16" s="2" t="inlineStr">
        <is>
          <t>TVer/NHKプラス</t>
        </is>
      </c>
      <c r="D16" s="2" t="inlineStr">
        <is>
          <t>日本のGS3試合はNHK2+日テレ1</t>
        </is>
      </c>
      <c r="E16" s="2" t="inlineStr"/>
    </row>
    <row r="17">
      <c r="A17" s="2" t="inlineStr">
        <is>
          <t>市場価値</t>
        </is>
      </c>
      <c r="B17" s="2" t="inlineStr">
        <is>
          <t>Transfermarkt</t>
        </is>
      </c>
      <c r="C17" s="2" t="inlineStr">
        <is>
          <t>transfermarkt.com</t>
        </is>
      </c>
      <c r="D17" s="2" t="inlineStr">
        <is>
          <t>選手の市場価値・契約年数・移籍履歴</t>
        </is>
      </c>
      <c r="E17" s="2" t="inlineStr"/>
    </row>
    <row r="18">
      <c r="A18" s="2" t="inlineStr">
        <is>
          <t>移籍速報</t>
        </is>
      </c>
      <c r="B18" s="2" t="inlineStr">
        <is>
          <t>Fabrizio Romano</t>
        </is>
      </c>
      <c r="C18" s="2" t="inlineStr">
        <is>
          <t>X: @FabrizioRomano</t>
        </is>
      </c>
      <c r="D18" s="2" t="inlineStr">
        <is>
          <t>「Here we go」=成約サイン</t>
        </is>
      </c>
      <c r="E18" s="2" t="inlineStr"/>
    </row>
    <row r="19">
      <c r="A19" s="2" t="inlineStr">
        <is>
          <t>財務</t>
        </is>
      </c>
      <c r="B19" s="2" t="inlineStr">
        <is>
          <t>Swiss Ramble</t>
        </is>
      </c>
      <c r="C19" s="2" t="inlineStr">
        <is>
          <t>swissramble.substack.com</t>
        </is>
      </c>
      <c r="D19" s="2" t="inlineStr">
        <is>
          <t>クラブ決算分析(英語・図解)</t>
        </is>
      </c>
      <c r="E19" s="2" t="inlineStr"/>
    </row>
    <row r="20">
      <c r="A20" s="2" t="inlineStr">
        <is>
          <t>財務</t>
        </is>
      </c>
      <c r="B20" s="2" t="inlineStr">
        <is>
          <t>Deloitte Football Money League</t>
        </is>
      </c>
      <c r="C20" s="2" t="inlineStr">
        <is>
          <t>deloitte.com (年次無料)</t>
        </is>
      </c>
      <c r="D20" s="2" t="inlineStr">
        <is>
          <t>クラブ収益ランキング=業界の路線価表</t>
        </is>
      </c>
      <c r="E20" s="2" t="inlineStr"/>
    </row>
    <row r="21">
      <c r="A21" s="2" t="inlineStr">
        <is>
          <t>戦術</t>
        </is>
      </c>
      <c r="B21" s="2" t="inlineStr">
        <is>
          <t>戸田和幸/leo the football</t>
        </is>
      </c>
      <c r="C21" s="2" t="inlineStr">
        <is>
          <t>YouTube</t>
        </is>
      </c>
      <c r="D21" s="2" t="inlineStr">
        <is>
          <t>試合の見方が深くなる</t>
        </is>
      </c>
      <c r="E21" s="2" t="inlineStr"/>
    </row>
    <row r="22">
      <c r="A22" s="2" t="inlineStr">
        <is>
          <t>記事</t>
        </is>
      </c>
      <c r="B22" s="2" t="inlineStr">
        <is>
          <t>footballista</t>
        </is>
      </c>
      <c r="C22" s="2" t="inlineStr">
        <is>
          <t>footballista.jp</t>
        </is>
      </c>
      <c r="D22" s="2" t="inlineStr">
        <is>
          <t>経営・戦術の読み物</t>
        </is>
      </c>
      <c r="E22" s="2" t="inlineStr"/>
    </row>
    <row r="25">
      <c r="A25" s="4" t="inlineStr">
        <is>
          <t>◆ 不動産⇄サッカー移籍 対訳表（オーナー視点の最重要ツール）</t>
        </is>
      </c>
    </row>
    <row r="26">
      <c r="A26" s="5" t="inlineStr">
        <is>
          <t>サッカー用語</t>
        </is>
      </c>
      <c r="B26" s="5" t="inlineStr">
        <is>
          <t>不動産でいうと</t>
        </is>
      </c>
      <c r="C26" s="5" t="inlineStr">
        <is>
          <t>オーナー視点の見方</t>
        </is>
      </c>
      <c r="D26" s="2" t="inlineStr"/>
      <c r="E26" s="2" t="inlineStr"/>
    </row>
    <row r="27">
      <c r="A27" s="2" t="inlineStr">
        <is>
          <t>市場価値(Transfermarkt)</t>
        </is>
      </c>
      <c r="B27" s="2" t="inlineStr">
        <is>
          <t>路線価・実勢価格</t>
        </is>
      </c>
      <c r="C27" s="2" t="inlineStr">
        <is>
          <t>毎週変わる。W杯は地価が一気に動く再開発イベント</t>
        </is>
      </c>
      <c r="D27" s="2" t="inlineStr"/>
      <c r="E27" s="2" t="inlineStr"/>
    </row>
    <row r="28">
      <c r="A28" s="2" t="inlineStr">
        <is>
          <t>移籍金</t>
        </is>
      </c>
      <c r="B28" s="2" t="inlineStr">
        <is>
          <t>売買価格</t>
        </is>
      </c>
      <c r="C28" s="2" t="inlineStr">
        <is>
          <t>クラブの売却益=キャピタルゲイン</t>
        </is>
      </c>
      <c r="D28" s="2" t="inlineStr"/>
      <c r="E28" s="2" t="inlineStr"/>
    </row>
    <row r="29">
      <c r="A29" s="2" t="inlineStr">
        <is>
          <t>契約残年数</t>
        </is>
      </c>
      <c r="B29" s="2" t="inlineStr">
        <is>
          <t>賃貸借の残期間</t>
        </is>
      </c>
      <c r="C29" s="2" t="inlineStr">
        <is>
          <t>残り1年=指値し放題(安く買える)。だから契約延長交渉が大事</t>
        </is>
      </c>
      <c r="D29" s="2" t="inlineStr"/>
      <c r="E29" s="2" t="inlineStr"/>
    </row>
    <row r="30">
      <c r="A30" s="2" t="inlineStr">
        <is>
          <t>フリー移籍(契約満了)</t>
        </is>
      </c>
      <c r="B30" s="2" t="inlineStr">
        <is>
          <t>立退き完了後のゼロ円退去</t>
        </is>
      </c>
      <c r="C30" s="2" t="inlineStr">
        <is>
          <t>売主(クラブ)に1円も入らない最悪の出口</t>
        </is>
      </c>
      <c r="D30" s="2" t="inlineStr"/>
      <c r="E30" s="2" t="inlineStr"/>
    </row>
    <row r="31">
      <c r="A31" s="2" t="inlineStr">
        <is>
          <t>レンタル移籍+買取OP</t>
        </is>
      </c>
      <c r="B31" s="2" t="inlineStr">
        <is>
          <t>賃貸+購入選択権付き契約</t>
        </is>
      </c>
      <c r="C31" s="2" t="inlineStr">
        <is>
          <t>使ってみて良ければ買う。リスク管理の王道</t>
        </is>
      </c>
      <c r="D31" s="2" t="inlineStr"/>
      <c r="E31" s="2" t="inlineStr"/>
    </row>
    <row r="32">
      <c r="A32" s="2" t="inlineStr">
        <is>
          <t>育成→高値売却(蘭/ポルトガル型)</t>
        </is>
      </c>
      <c r="B32" s="2" t="inlineStr">
        <is>
          <t>ボロ戸建て再生→再販</t>
        </is>
      </c>
      <c r="C32" s="2" t="inlineStr">
        <is>
          <t>安く仕入れ、磨いて、高く売る。KHDと同じ商売</t>
        </is>
      </c>
      <c r="D32" s="2" t="inlineStr"/>
      <c r="E32" s="2" t="inlineStr"/>
    </row>
    <row r="33">
      <c r="A33" s="2" t="inlineStr">
        <is>
          <t>連帯貢献金(移籍金の最大5%)</t>
        </is>
      </c>
      <c r="B33" s="2" t="inlineStr">
        <is>
          <t>仲介手数料の還流</t>
        </is>
      </c>
      <c r="C33" s="2" t="inlineStr">
        <is>
          <t>育てたクラブに自動で入る仕組み=ストック収益</t>
        </is>
      </c>
      <c r="D33" s="2" t="inlineStr"/>
      <c r="E33" s="2" t="inlineStr"/>
    </row>
    <row r="34">
      <c r="A34" s="2" t="inlineStr">
        <is>
          <t>放映権/スポンサー収益</t>
        </is>
      </c>
      <c r="B34" s="2" t="inlineStr">
        <is>
          <t>家賃収入(インカム)</t>
        </is>
      </c>
      <c r="C34" s="2" t="inlineStr">
        <is>
          <t>移籍金(キャピタル)との両輪。古田土のMQ構造で読める</t>
        </is>
      </c>
      <c r="D34" s="2" t="inlineStr"/>
      <c r="E34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2026-06-13T00:46:46Z</dcterms:created>
  <dcterms:modified xmlns:dcterms="http://purl.org/dc/terms/" xmlns:xsi="http://www.w3.org/2001/XMLSchema-instance" xsi:type="dcterms:W3CDTF">2026-06-13T00:46:46Z</dcterms:modified>
</cp:coreProperties>
</file>
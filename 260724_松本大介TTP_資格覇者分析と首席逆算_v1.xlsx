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人物×会社_松本大介" sheetId="1" state="visible" r:id="rId3"/>
    <sheet name="②勉強法TTP_松本メソッド" sheetId="2" state="visible" r:id="rId4"/>
    <sheet name="③収益モデル分析" sheetId="3" state="visible" r:id="rId5"/>
    <sheet name="④俺の課題と対策_TTP" sheetId="4" state="visible" r:id="rId6"/>
    <sheet name="⑤首席逆算_1018" sheetId="5" state="visible" r:id="rId7"/>
    <sheet name="⑥今日のアクション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<sst xmlns="http://schemas.openxmlformats.org/spreadsheetml/2006/main" count="255" uniqueCount="240">
  <si>
    <t xml:space="preserve">司法書士法人ネクストリーガル 松本大介氏 — 人物・会社分析</t>
  </si>
  <si>
    <r>
      <rPr>
        <sz val="9"/>
        <color rgb="FF808080"/>
        <rFont val="WenQuanYi Zen Hei"/>
        <family val="2"/>
      </rPr>
      <t xml:space="preserve">作成</t>
    </r>
    <r>
      <rPr>
        <sz val="9"/>
        <color rgb="FF808080"/>
        <rFont val="Yu Gothic"/>
        <family val="0"/>
        <charset val="1"/>
      </rPr>
      <t xml:space="preserve">: 2026-07-24</t>
    </r>
    <r>
      <rPr>
        <sz val="9"/>
        <color rgb="FF808080"/>
        <rFont val="WenQuanYi Zen Hei"/>
        <family val="2"/>
      </rPr>
      <t xml:space="preserve">（アガルート測量士・測量士補 合格祝賀会 翌朝整理）／出典</t>
    </r>
    <r>
      <rPr>
        <sz val="9"/>
        <color rgb="FF808080"/>
        <rFont val="Yu Gothic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名刺・本人談・</t>
    </r>
    <r>
      <rPr>
        <sz val="9"/>
        <color rgb="FF808080"/>
        <rFont val="Yu Gothic"/>
        <family val="0"/>
        <charset val="1"/>
      </rPr>
      <t xml:space="preserve">Web</t>
    </r>
    <r>
      <rPr>
        <sz val="9"/>
        <color rgb="FF808080"/>
        <rFont val="WenQuanYi Zen Hei"/>
        <family val="2"/>
      </rPr>
      <t xml:space="preserve">公開情報</t>
    </r>
  </si>
  <si>
    <t xml:space="preserve">項目</t>
  </si>
  <si>
    <t xml:space="preserve">内容</t>
  </si>
  <si>
    <t xml:space="preserve">出典</t>
  </si>
  <si>
    <t xml:space="preserve">氏名</t>
  </si>
  <si>
    <t xml:space="preserve">松本 大介（まつもと だいすけ）</t>
  </si>
  <si>
    <t xml:space="preserve">名刺</t>
  </si>
  <si>
    <t xml:space="preserve">肩書</t>
  </si>
  <si>
    <t xml:space="preserve">司法書士／行政書士（司法書士法人の代表格として営業も自ら行う）</t>
  </si>
  <si>
    <t xml:space="preserve">名刺・本人談</t>
  </si>
  <si>
    <t xml:space="preserve">法人名</t>
  </si>
  <si>
    <r>
      <rPr>
        <sz val="10"/>
        <rFont val="WenQuanYi Zen Hei"/>
        <family val="2"/>
      </rPr>
      <t xml:space="preserve">司法書士法人ネクストリーガル（</t>
    </r>
    <r>
      <rPr>
        <sz val="10"/>
        <rFont val="Yu Gothic"/>
        <family val="0"/>
        <charset val="1"/>
      </rPr>
      <t xml:space="preserve">NEXT LEGAL</t>
    </r>
    <r>
      <rPr>
        <sz val="10"/>
        <rFont val="WenQuanYi Zen Hei"/>
        <family val="2"/>
      </rPr>
      <t xml:space="preserve">）／行政書士事務所ネクストリーガル</t>
    </r>
  </si>
  <si>
    <r>
      <rPr>
        <sz val="10"/>
        <rFont val="WenQuanYi Zen Hei"/>
        <family val="2"/>
      </rPr>
      <t xml:space="preserve">名刺・</t>
    </r>
    <r>
      <rPr>
        <sz val="10"/>
        <rFont val="Yu Gothic"/>
        <family val="0"/>
        <charset val="1"/>
      </rPr>
      <t xml:space="preserve">Web</t>
    </r>
  </si>
  <si>
    <t xml:space="preserve">所在地</t>
  </si>
  <si>
    <r>
      <rPr>
        <sz val="10"/>
        <rFont val="WenQuanYi Zen Hei"/>
        <family val="2"/>
      </rPr>
      <t xml:space="preserve">〒</t>
    </r>
    <r>
      <rPr>
        <sz val="10"/>
        <rFont val="Yu Gothic"/>
        <family val="0"/>
        <charset val="1"/>
      </rPr>
      <t xml:space="preserve">150-0021 </t>
    </r>
    <r>
      <rPr>
        <sz val="10"/>
        <rFont val="WenQuanYi Zen Hei"/>
        <family val="2"/>
      </rPr>
      <t xml:space="preserve">東京都渋谷区恵比寿西</t>
    </r>
    <r>
      <rPr>
        <sz val="10"/>
        <rFont val="Yu Gothic"/>
        <family val="0"/>
        <charset val="1"/>
      </rPr>
      <t xml:space="preserve">1-12-12 </t>
    </r>
    <r>
      <rPr>
        <sz val="10"/>
        <rFont val="WenQuanYi Zen Hei"/>
        <family val="2"/>
      </rPr>
      <t xml:space="preserve">ルネス</t>
    </r>
    <r>
      <rPr>
        <sz val="10"/>
        <rFont val="Yu Gothic"/>
        <family val="0"/>
        <charset val="1"/>
      </rPr>
      <t xml:space="preserve">E.B.I 5F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JR</t>
    </r>
    <r>
      <rPr>
        <sz val="10"/>
        <rFont val="WenQuanYi Zen Hei"/>
        <family val="2"/>
      </rPr>
      <t xml:space="preserve">恵比寿駅西口 徒歩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分）</t>
    </r>
  </si>
  <si>
    <t xml:space="preserve">連絡先</t>
  </si>
  <si>
    <r>
      <rPr>
        <sz val="10"/>
        <rFont val="Yu Gothic"/>
        <family val="0"/>
        <charset val="1"/>
      </rPr>
      <t xml:space="preserve">TEL 03-6416-5692</t>
    </r>
    <r>
      <rPr>
        <sz val="10"/>
        <rFont val="WenQuanYi Zen Hei"/>
        <family val="2"/>
      </rPr>
      <t xml:space="preserve">／</t>
    </r>
    <r>
      <rPr>
        <sz val="10"/>
        <rFont val="Yu Gothic"/>
        <family val="0"/>
        <charset val="1"/>
      </rPr>
      <t xml:space="preserve">FAX 03-6416-5693</t>
    </r>
    <r>
      <rPr>
        <sz val="10"/>
        <rFont val="WenQuanYi Zen Hei"/>
        <family val="2"/>
      </rPr>
      <t xml:space="preserve">／携帯 </t>
    </r>
    <r>
      <rPr>
        <sz val="10"/>
        <rFont val="Yu Gothic"/>
        <family val="0"/>
        <charset val="1"/>
      </rPr>
      <t xml:space="preserve">090-8992-8575</t>
    </r>
    <r>
      <rPr>
        <sz val="10"/>
        <rFont val="WenQuanYi Zen Hei"/>
        <family val="2"/>
      </rPr>
      <t xml:space="preserve">／</t>
    </r>
    <r>
      <rPr>
        <sz val="10"/>
        <rFont val="Yu Gothic"/>
        <family val="0"/>
        <charset val="1"/>
      </rPr>
      <t xml:space="preserve">Mail d-matsumoto@next-legal.or.jp</t>
    </r>
  </si>
  <si>
    <t xml:space="preserve">Web</t>
  </si>
  <si>
    <r>
      <rPr>
        <sz val="10"/>
        <rFont val="Yu Gothic"/>
        <family val="0"/>
        <charset val="1"/>
      </rPr>
      <t xml:space="preserve">next-legal.or.jp</t>
    </r>
    <r>
      <rPr>
        <sz val="10"/>
        <rFont val="WenQuanYi Zen Hei"/>
        <family val="2"/>
      </rPr>
      <t xml:space="preserve">（法人）／</t>
    </r>
    <r>
      <rPr>
        <sz val="10"/>
        <rFont val="Yu Gothic"/>
        <family val="0"/>
        <charset val="1"/>
      </rPr>
      <t xml:space="preserve">office-nl.com</t>
    </r>
    <r>
      <rPr>
        <sz val="10"/>
        <rFont val="WenQuanYi Zen Hei"/>
        <family val="2"/>
      </rPr>
      <t xml:space="preserve">（事務所サイト・「恵比寿駅前の相続に強い」を掲げる）／</t>
    </r>
    <r>
      <rPr>
        <sz val="10"/>
        <rFont val="Yu Gothic"/>
        <family val="0"/>
        <charset val="1"/>
      </rPr>
      <t xml:space="preserve">nextlegal.jp</t>
    </r>
  </si>
  <si>
    <r>
      <rPr>
        <sz val="10"/>
        <rFont val="Yu Gothic"/>
        <family val="0"/>
        <charset val="1"/>
      </rPr>
      <t xml:space="preserve">Web</t>
    </r>
    <r>
      <rPr>
        <sz val="10"/>
        <rFont val="WenQuanYi Zen Hei"/>
        <family val="2"/>
      </rPr>
      <t xml:space="preserve">検索</t>
    </r>
  </si>
  <si>
    <t xml:space="preserve">法人番号</t>
  </si>
  <si>
    <r>
      <rPr>
        <sz val="10"/>
        <rFont val="Yu Gothic"/>
        <family val="0"/>
        <charset val="1"/>
      </rPr>
      <t xml:space="preserve">1011005009537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gBizINFO</t>
    </r>
    <r>
      <rPr>
        <sz val="10"/>
        <rFont val="WenQuanYi Zen Hei"/>
        <family val="2"/>
      </rPr>
      <t xml:space="preserve">登録法人）</t>
    </r>
  </si>
  <si>
    <t xml:space="preserve">gBizINFO</t>
  </si>
  <si>
    <t xml:space="preserve">司法書士登録</t>
  </si>
  <si>
    <r>
      <rPr>
        <sz val="10"/>
        <rFont val="WenQuanYi Zen Hei"/>
        <family val="2"/>
      </rPr>
      <t xml:space="preserve">東京司法書士会 登録番号</t>
    </r>
    <r>
      <rPr>
        <sz val="10"/>
        <rFont val="Yu Gothic"/>
        <family val="0"/>
        <charset val="1"/>
      </rPr>
      <t xml:space="preserve">6800</t>
    </r>
    <r>
      <rPr>
        <sz val="10"/>
        <rFont val="WenQuanYi Zen Hei"/>
        <family val="2"/>
      </rPr>
      <t xml:space="preserve">号</t>
    </r>
  </si>
  <si>
    <t xml:space="preserve">東京司法書士会 会員検索</t>
  </si>
  <si>
    <t xml:space="preserve">■ 保有資格（資格覇者の全貌）</t>
  </si>
  <si>
    <t xml:space="preserve">#</t>
  </si>
  <si>
    <t xml:space="preserve">資格</t>
  </si>
  <si>
    <t xml:space="preserve">戦略上の意味（なぜこの資格か）</t>
  </si>
  <si>
    <t xml:space="preserve">司法書士</t>
  </si>
  <si>
    <t xml:space="preserve">本業。権利登記（保存・移転・抵当権設定）＝マンション分譲の川下を全部取れる</t>
  </si>
  <si>
    <t xml:space="preserve">土地家屋調査士（本人談・保有と判明）</t>
  </si>
  <si>
    <r>
      <rPr>
        <sz val="10"/>
        <rFont val="WenQuanYi Zen Hei"/>
        <family val="2"/>
      </rPr>
      <t xml:space="preserve">表題登記の申請代理は調査士の独占業務。「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部屋</t>
    </r>
    <r>
      <rPr>
        <sz val="10"/>
        <rFont val="Yu Gothic"/>
        <family val="0"/>
        <charset val="1"/>
      </rPr>
      <t xml:space="preserve">10</t>
    </r>
    <r>
      <rPr>
        <sz val="10"/>
        <rFont val="WenQuanYi Zen Hei"/>
        <family val="2"/>
      </rPr>
      <t xml:space="preserve">万</t>
    </r>
    <r>
      <rPr>
        <sz val="10"/>
        <rFont val="Yu Gothic"/>
        <family val="0"/>
        <charset val="1"/>
      </rPr>
      <t xml:space="preserve">×100</t>
    </r>
    <r>
      <rPr>
        <sz val="10"/>
        <rFont val="WenQuanYi Zen Hei"/>
        <family val="2"/>
      </rPr>
      <t xml:space="preserve">部屋」を自ら受任できる法的根拠はこれ</t>
    </r>
  </si>
  <si>
    <r>
      <rPr>
        <sz val="10"/>
        <rFont val="WenQuanYi Zen Hei"/>
        <family val="2"/>
      </rPr>
      <t xml:space="preserve">測量士（</t>
    </r>
    <r>
      <rPr>
        <sz val="10"/>
        <rFont val="Yu Gothic"/>
        <family val="0"/>
        <charset val="1"/>
      </rPr>
      <t xml:space="preserve">2026</t>
    </r>
    <r>
      <rPr>
        <sz val="10"/>
        <rFont val="WenQuanYi Zen Hei"/>
        <family val="2"/>
      </rPr>
      <t xml:space="preserve">合格・今回の祝賀会）</t>
    </r>
  </si>
  <si>
    <t xml:space="preserve">表題の前工程＝測量まで内製化。調査士業務を外注ゼロで回す布石</t>
  </si>
  <si>
    <t xml:space="preserve">行政書士</t>
  </si>
  <si>
    <t xml:space="preserve">許認可・宗教法人関係の手続に接続。太客（宗教法人）案件の入口</t>
  </si>
  <si>
    <t xml:space="preserve">測量士補</t>
  </si>
  <si>
    <t xml:space="preserve">測量士への通過点＋調査士の午前免除ルート</t>
  </si>
  <si>
    <t xml:space="preserve">マンション管理士</t>
  </si>
  <si>
    <r>
      <rPr>
        <sz val="10"/>
        <rFont val="WenQuanYi Zen Hei"/>
        <family val="2"/>
      </rPr>
      <t xml:space="preserve">マンション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点セットその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。デベロッパー・管理組合との会話力</t>
    </r>
  </si>
  <si>
    <t xml:space="preserve">管理業務主任者</t>
  </si>
  <si>
    <r>
      <rPr>
        <sz val="10"/>
        <rFont val="WenQuanYi Zen Hei"/>
        <family val="2"/>
      </rPr>
      <t xml:space="preserve">マンション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点セットその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。管理会社サイドの実務知識</t>
    </r>
  </si>
  <si>
    <t xml:space="preserve">宅地建物取引士</t>
  </si>
  <si>
    <r>
      <rPr>
        <sz val="10"/>
        <rFont val="WenQuanYi Zen Hei"/>
        <family val="2"/>
      </rPr>
      <t xml:space="preserve">マンション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点セットその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。売買実務・デベロッパーの商流理解</t>
    </r>
  </si>
  <si>
    <t xml:space="preserve">貸金業務取扱主任者</t>
  </si>
  <si>
    <t xml:space="preserve">融資・ノンバンク側の知識＝抵当権設定案件の会話力</t>
  </si>
  <si>
    <t xml:space="preserve">総合旅行業務取扱管理者</t>
  </si>
  <si>
    <t xml:space="preserve">（一見無関係だが）試験攻略力の証明。学習法の汎用性</t>
  </si>
  <si>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級</t>
    </r>
    <r>
      <rPr>
        <sz val="10"/>
        <rFont val="Yu Gothic"/>
        <family val="0"/>
        <charset val="1"/>
      </rPr>
      <t xml:space="preserve">FP</t>
    </r>
    <r>
      <rPr>
        <sz val="10"/>
        <rFont val="WenQuanYi Zen Hei"/>
        <family val="2"/>
      </rPr>
      <t xml:space="preserve">技能士</t>
    </r>
  </si>
  <si>
    <t xml:space="preserve">相続・資産の入口商談で顧客の全体像を掴む</t>
  </si>
  <si>
    <r>
      <rPr>
        <b val="true"/>
        <sz val="10"/>
        <rFont val="WenQuanYi Zen Hei"/>
        <family val="2"/>
      </rPr>
      <t xml:space="preserve">★構造分析</t>
    </r>
    <r>
      <rPr>
        <b val="true"/>
        <sz val="10"/>
        <rFont val="Yu Gothic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「マンション</t>
    </r>
    <r>
      <rPr>
        <b val="true"/>
        <sz val="10"/>
        <rFont val="Yu Gothic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資格</t>
    </r>
    <r>
      <rPr>
        <b val="true"/>
        <sz val="10"/>
        <rFont val="Yu Gothic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登記</t>
    </r>
    <r>
      <rPr>
        <b val="true"/>
        <sz val="10"/>
        <rFont val="Yu Gothic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資格（司法書士＋調査士＋測量士）」の掛け算で、新築マンション一棟案件を測量→表題（調査士の独占業務）→権利（川下）までワンストップ受注できる稀有なポジション。資格リストそのものが営業資料になっている。</t>
    </r>
  </si>
  <si>
    <r>
      <rPr>
        <sz val="8"/>
        <color rgb="FF808080"/>
        <rFont val="WenQuanYi Zen Hei"/>
        <family val="2"/>
      </rPr>
      <t xml:space="preserve">出典</t>
    </r>
    <r>
      <rPr>
        <sz val="8"/>
        <color rgb="FF808080"/>
        <rFont val="Yu Gothic"/>
        <family val="0"/>
        <charset val="1"/>
      </rPr>
      <t xml:space="preserve">URL: https://www.tokyokai.jp/tokyokai/member03.php?id=11-00607 </t>
    </r>
    <r>
      <rPr>
        <sz val="8"/>
        <color rgb="FF808080"/>
        <rFont val="WenQuanYi Zen Hei"/>
        <family val="2"/>
      </rPr>
      <t xml:space="preserve">／ </t>
    </r>
    <r>
      <rPr>
        <sz val="8"/>
        <color rgb="FF808080"/>
        <rFont val="Yu Gothic"/>
        <family val="0"/>
        <charset val="1"/>
      </rPr>
      <t xml:space="preserve">https://info.gbiz.go.jp/hojin/ichiran?hojinBango=1011005009537 </t>
    </r>
    <r>
      <rPr>
        <sz val="8"/>
        <color rgb="FF808080"/>
        <rFont val="WenQuanYi Zen Hei"/>
        <family val="2"/>
      </rPr>
      <t xml:space="preserve">／ </t>
    </r>
    <r>
      <rPr>
        <sz val="8"/>
        <color rgb="FF808080"/>
        <rFont val="Yu Gothic"/>
        <family val="0"/>
        <charset val="1"/>
      </rPr>
      <t xml:space="preserve">https://office-nl.com/about/ </t>
    </r>
    <r>
      <rPr>
        <sz val="8"/>
        <color rgb="FF808080"/>
        <rFont val="WenQuanYi Zen Hei"/>
        <family val="2"/>
      </rPr>
      <t xml:space="preserve">／ </t>
    </r>
    <r>
      <rPr>
        <sz val="8"/>
        <color rgb="FF808080"/>
        <rFont val="Yu Gothic"/>
        <family val="0"/>
        <charset val="1"/>
      </rPr>
      <t xml:space="preserve">https://nextlegal.jp/</t>
    </r>
  </si>
  <si>
    <r>
      <rPr>
        <b val="true"/>
        <sz val="14"/>
        <color rgb="FF1F3864"/>
        <rFont val="WenQuanYi Zen Hei"/>
        <family val="2"/>
      </rPr>
      <t xml:space="preserve">松本メソッド（阪大生直伝の過去問法＋出題者分析）— 分解と</t>
    </r>
    <r>
      <rPr>
        <b val="true"/>
        <sz val="14"/>
        <color rgb="FF1F3864"/>
        <rFont val="Yu Gothic"/>
        <family val="0"/>
        <charset val="1"/>
      </rPr>
      <t xml:space="preserve">TTP</t>
    </r>
  </si>
  <si>
    <r>
      <rPr>
        <sz val="9"/>
        <color rgb="FF808080"/>
        <rFont val="WenQuanYi Zen Hei"/>
        <family val="2"/>
      </rPr>
      <t xml:space="preserve">祝賀会での本人談を分解。「型→原理→俺の現状→今日からの実装」の</t>
    </r>
    <r>
      <rPr>
        <sz val="9"/>
        <color rgb="FF808080"/>
        <rFont val="Yu Gothic"/>
        <family val="0"/>
        <charset val="1"/>
      </rPr>
      <t xml:space="preserve">4</t>
    </r>
    <r>
      <rPr>
        <sz val="9"/>
        <color rgb="FF808080"/>
        <rFont val="WenQuanYi Zen Hei"/>
        <family val="2"/>
      </rPr>
      <t xml:space="preserve">段で写経する</t>
    </r>
  </si>
  <si>
    <t xml:space="preserve">松本の型（本人談）</t>
  </si>
  <si>
    <t xml:space="preserve">背後の原理</t>
  </si>
  <si>
    <t xml:space="preserve">俺の現状</t>
  </si>
  <si>
    <r>
      <rPr>
        <b val="true"/>
        <sz val="10"/>
        <color rgb="FFFFFFFF"/>
        <rFont val="WenQuanYi Zen Hei"/>
        <family val="2"/>
      </rPr>
      <t xml:space="preserve">今日からの</t>
    </r>
    <r>
      <rPr>
        <b val="true"/>
        <sz val="10"/>
        <color rgb="FFFFFFFF"/>
        <rFont val="Yu Gothic"/>
        <family val="0"/>
        <charset val="1"/>
      </rPr>
      <t xml:space="preserve">TTP</t>
    </r>
    <r>
      <rPr>
        <b val="true"/>
        <sz val="10"/>
        <color rgb="FFFFFFFF"/>
        <rFont val="WenQuanYi Zen Hei"/>
        <family val="2"/>
      </rPr>
      <t xml:space="preserve">実装</t>
    </r>
  </si>
  <si>
    <t xml:space="preserve">運用場所</t>
  </si>
  <si>
    <r>
      <rPr>
        <sz val="10"/>
        <rFont val="WenQuanYi Zen Hei"/>
        <family val="2"/>
      </rPr>
      <t xml:space="preserve">過去問は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5</t>
    </r>
    <r>
      <rPr>
        <sz val="10"/>
        <rFont val="WenQuanYi Zen Hei"/>
        <family val="2"/>
      </rPr>
      <t xml:space="preserve">周目まで線を引かない・マークしない。「理解できた・知識が紐づいてきた」と感じるまで待つ</t>
    </r>
  </si>
  <si>
    <t xml:space="preserve">早期マーキングは「作業した感」を生む偽の達成感。理解前のラベルはノイズ。まず知識ネットワーク化を優先</t>
  </si>
  <si>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周目から○</t>
    </r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を付けたくなる。トラッカーを作ったのに空欄＝仕組み先行の典型</t>
    </r>
  </si>
  <si>
    <t xml:space="preserve">周回前半はマーク禁止。回転数と理解の紐づき優先。「紐づいた感覚」が出た分野からマーキング解禁</t>
  </si>
  <si>
    <t xml:space="preserve">chosashi_kakomon_tracker_H17-26.csv</t>
  </si>
  <si>
    <r>
      <rPr>
        <sz val="10"/>
        <rFont val="WenQuanYi Zen Hei"/>
        <family val="2"/>
      </rPr>
      <t xml:space="preserve">紐づいた後は「どうしても間違う問題だけ」に○</t>
    </r>
    <r>
      <rPr>
        <sz val="10"/>
        <rFont val="Yu Gothic"/>
        <family val="0"/>
        <charset val="1"/>
      </rPr>
      <t xml:space="preserve">×△</t>
    </r>
    <r>
      <rPr>
        <sz val="10"/>
        <rFont val="WenQuanYi Zen Hei"/>
        <family val="2"/>
      </rPr>
      <t xml:space="preserve">を付けていく</t>
    </r>
  </si>
  <si>
    <t xml:space="preserve">全問管理をやめてエラーだけ管理＝管理コスト最小化。弱点だけが浮き上がる</t>
  </si>
  <si>
    <r>
      <rPr>
        <sz val="10"/>
        <rFont val="Yu Gothic"/>
        <family val="0"/>
        <charset val="1"/>
      </rPr>
      <t xml:space="preserve">94</t>
    </r>
    <r>
      <rPr>
        <sz val="10"/>
        <rFont val="WenQuanYi Zen Hei"/>
        <family val="2"/>
      </rPr>
      <t xml:space="preserve">問全問を管理しようとして挫折中</t>
    </r>
  </si>
  <si>
    <r>
      <rPr>
        <sz val="10"/>
        <rFont val="WenQuanYi Zen Hei"/>
        <family val="2"/>
      </rPr>
      <t xml:space="preserve">トラッカーは「</t>
    </r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が出た問題だけ」記入に運用変更。全問埋めない</t>
    </r>
  </si>
  <si>
    <t xml:space="preserve">同トラッカー</t>
  </si>
  <si>
    <r>
      <rPr>
        <sz val="10"/>
        <rFont val="WenQuanYi Zen Hei"/>
        <family val="2"/>
      </rPr>
      <t xml:space="preserve">○が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回付いた問題は二度と解かない</t>
    </r>
  </si>
  <si>
    <t xml:space="preserve">卒業基準の明文化。復習母集団が単調減少→直前期が自動的に軽くなる</t>
  </si>
  <si>
    <r>
      <rPr>
        <sz val="10"/>
        <rFont val="WenQuanYi Zen Hei"/>
        <family val="2"/>
      </rPr>
      <t xml:space="preserve">卒業基準なし。</t>
    </r>
    <r>
      <rPr>
        <sz val="10"/>
        <rFont val="Yu Gothic"/>
        <family val="0"/>
        <charset val="1"/>
      </rPr>
      <t xml:space="preserve">Anki</t>
    </r>
    <r>
      <rPr>
        <sz val="10"/>
        <rFont val="WenQuanYi Zen Hei"/>
        <family val="2"/>
      </rPr>
      <t xml:space="preserve">の</t>
    </r>
    <r>
      <rPr>
        <sz val="10"/>
        <rFont val="Yu Gothic"/>
        <family val="0"/>
        <charset val="1"/>
      </rPr>
      <t xml:space="preserve">due</t>
    </r>
    <r>
      <rPr>
        <sz val="10"/>
        <rFont val="WenQuanYi Zen Hei"/>
        <family val="2"/>
      </rPr>
      <t xml:space="preserve">が無限に湧いて圧迫感</t>
    </r>
  </si>
  <si>
    <r>
      <rPr>
        <sz val="10"/>
        <rFont val="WenQuanYi Zen Hei"/>
        <family val="2"/>
      </rPr>
      <t xml:space="preserve">トラッカーに「卒業」判定を追加（○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回</t>
    </r>
    <r>
      <rPr>
        <sz val="10"/>
        <rFont val="Yu Gothic"/>
        <family val="0"/>
        <charset val="1"/>
      </rPr>
      <t xml:space="preserve">=</t>
    </r>
    <r>
      <rPr>
        <sz val="10"/>
        <rFont val="WenQuanYi Zen Hei"/>
        <family val="2"/>
      </rPr>
      <t xml:space="preserve">以後封印）。</t>
    </r>
    <r>
      <rPr>
        <sz val="10"/>
        <rFont val="Yu Gothic"/>
        <family val="0"/>
        <charset val="1"/>
      </rPr>
      <t xml:space="preserve">Anki</t>
    </r>
    <r>
      <rPr>
        <sz val="10"/>
        <rFont val="WenQuanYi Zen Hei"/>
        <family val="2"/>
      </rPr>
      <t xml:space="preserve">も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連続正解カードは</t>
    </r>
    <r>
      <rPr>
        <sz val="10"/>
        <rFont val="Yu Gothic"/>
        <family val="0"/>
        <charset val="1"/>
      </rPr>
      <t xml:space="preserve">suspend</t>
    </r>
  </si>
  <si>
    <r>
      <rPr>
        <sz val="10"/>
        <rFont val="WenQuanYi Zen Hei"/>
        <family val="2"/>
      </rPr>
      <t xml:space="preserve">トラッカー＋</t>
    </r>
    <r>
      <rPr>
        <sz val="10"/>
        <rFont val="Yu Gothic"/>
        <family val="0"/>
        <charset val="1"/>
      </rPr>
      <t xml:space="preserve">Anki</t>
    </r>
  </si>
  <si>
    <r>
      <rPr>
        <sz val="10"/>
        <rFont val="WenQuanYi Zen Hei"/>
        <family val="2"/>
      </rPr>
      <t xml:space="preserve">「</t>
    </r>
    <r>
      <rPr>
        <sz val="10"/>
        <rFont val="Yu Gothic"/>
        <family val="0"/>
        <charset val="1"/>
      </rPr>
      <t xml:space="preserve">R5</t>
    </r>
    <r>
      <rPr>
        <sz val="10"/>
        <rFont val="WenQuanYi Zen Hei"/>
        <family val="2"/>
      </rPr>
      <t xml:space="preserve">はクソ問だから解くなと言われるが、むしろ順に解けば素直。『法務省の犬として素直に順に解けるか』を問われている」</t>
    </r>
  </si>
  <si>
    <t xml:space="preserve">教材や予備校の評判（二次情報）より問題そのもの（一次情報）で判断。出題者の真意を読むメタ認知＝営業のヒアリング力と同型</t>
  </si>
  <si>
    <t xml:space="preserve">予備校の攻略法・評判を鵜呑みにしがち。年度通しの「出題者との対話」をしていない</t>
  </si>
  <si>
    <r>
      <rPr>
        <sz val="10"/>
        <rFont val="WenQuanYi Zen Hei"/>
        <family val="2"/>
      </rPr>
      <t xml:space="preserve">年度別通し演習のたびに「この年の出題者は何を試したか」を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行で言語化して残す</t>
    </r>
  </si>
  <si>
    <r>
      <rPr>
        <sz val="10"/>
        <rFont val="WenQuanYi Zen Hei"/>
        <family val="2"/>
      </rPr>
      <t xml:space="preserve">週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本番形式のあと</t>
    </r>
    <r>
      <rPr>
        <sz val="10"/>
        <rFont val="Yu Gothic"/>
        <family val="0"/>
        <charset val="1"/>
      </rPr>
      <t xml:space="preserve">5</t>
    </r>
    <r>
      <rPr>
        <sz val="10"/>
        <rFont val="WenQuanYi Zen Hei"/>
        <family val="2"/>
      </rPr>
      <t xml:space="preserve">分</t>
    </r>
  </si>
  <si>
    <t xml:space="preserve">阪大生に聴いた勉強法を、自己流を挟まず素直に実行</t>
  </si>
  <si>
    <r>
      <rPr>
        <sz val="10"/>
        <rFont val="WenQuanYi Zen Hei"/>
        <family val="2"/>
      </rPr>
      <t xml:space="preserve">強者の型を探す→そのままやる（</t>
    </r>
    <r>
      <rPr>
        <sz val="10"/>
        <rFont val="Yu Gothic"/>
        <family val="0"/>
        <charset val="1"/>
      </rPr>
      <t xml:space="preserve">NIH</t>
    </r>
    <r>
      <rPr>
        <sz val="10"/>
        <rFont val="WenQuanYi Zen Hei"/>
        <family val="2"/>
      </rPr>
      <t xml:space="preserve">症候群なし）。</t>
    </r>
    <r>
      <rPr>
        <sz val="10"/>
        <rFont val="Yu Gothic"/>
        <family val="0"/>
        <charset val="1"/>
      </rPr>
      <t xml:space="preserve">TTP</t>
    </r>
    <r>
      <rPr>
        <sz val="10"/>
        <rFont val="WenQuanYi Zen Hei"/>
        <family val="2"/>
      </rPr>
      <t xml:space="preserve">力そのものが最強の学習スキル</t>
    </r>
  </si>
  <si>
    <r>
      <rPr>
        <sz val="10"/>
        <rFont val="WenQuanYi Zen Hei"/>
        <family val="2"/>
      </rPr>
      <t xml:space="preserve">俺も今このシートで</t>
    </r>
    <r>
      <rPr>
        <sz val="10"/>
        <rFont val="Yu Gothic"/>
        <family val="0"/>
        <charset val="1"/>
      </rPr>
      <t xml:space="preserve">TTP</t>
    </r>
    <r>
      <rPr>
        <sz val="10"/>
        <rFont val="WenQuanYi Zen Hei"/>
        <family val="2"/>
      </rPr>
      <t xml:space="preserve">中。ただし俺は型を「改造」したくなる癖がある</t>
    </r>
  </si>
  <si>
    <r>
      <rPr>
        <sz val="10"/>
        <rFont val="Yu Gothic"/>
        <family val="0"/>
        <charset val="1"/>
      </rPr>
      <t xml:space="preserve">90</t>
    </r>
    <r>
      <rPr>
        <sz val="10"/>
        <rFont val="WenQuanYi Zen Hei"/>
        <family val="2"/>
      </rPr>
      <t xml:space="preserve">日間は型を改造しない。効果測定（答練の点数）だけで判断</t>
    </r>
  </si>
  <si>
    <t xml:space="preserve">本シート＋週次レビュー</t>
  </si>
  <si>
    <r>
      <rPr>
        <sz val="10"/>
        <rFont val="WenQuanYi Zen Hei"/>
        <family val="2"/>
      </rPr>
      <t xml:space="preserve">「解くな」と言われる令和</t>
    </r>
    <r>
      <rPr>
        <sz val="10"/>
        <rFont val="Yu Gothic"/>
        <family val="0"/>
        <charset val="1"/>
      </rPr>
      <t xml:space="preserve">5</t>
    </r>
    <r>
      <rPr>
        <sz val="10"/>
        <rFont val="WenQuanYi Zen Hei"/>
        <family val="2"/>
      </rPr>
      <t xml:space="preserve">年の記述も、評判で捨てず、出題者が何を要求しているかを素直に順に処理して向き合った（本人談・考え方が秀逸）</t>
    </r>
  </si>
  <si>
    <t xml:space="preserve">記述でも択一と同じ一次情報主義。『捨て問』の評判は他人の敗因の集計であって、自分の戦略ではない。要求を分解すれば部分点は積める</t>
  </si>
  <si>
    <r>
      <rPr>
        <sz val="10"/>
        <rFont val="WenQuanYi Zen Hei"/>
        <family val="2"/>
      </rPr>
      <t xml:space="preserve">予備校の『捨て問』ラベルに無条件で従う前提でいた。</t>
    </r>
    <r>
      <rPr>
        <sz val="10"/>
        <rFont val="Yu Gothic"/>
        <family val="0"/>
        <charset val="1"/>
      </rPr>
      <t xml:space="preserve">R5</t>
    </r>
    <r>
      <rPr>
        <sz val="10"/>
        <rFont val="WenQuanYi Zen Hei"/>
        <family val="2"/>
      </rPr>
      <t xml:space="preserve">記述は解かないつもりだった</t>
    </r>
  </si>
  <si>
    <r>
      <rPr>
        <sz val="10"/>
        <rFont val="Yu Gothic"/>
        <family val="0"/>
        <charset val="1"/>
      </rPr>
      <t xml:space="preserve">R5</t>
    </r>
    <r>
      <rPr>
        <sz val="10"/>
        <rFont val="WenQuanYi Zen Hei"/>
        <family val="2"/>
      </rPr>
      <t xml:space="preserve">記述を</t>
    </r>
    <r>
      <rPr>
        <sz val="10"/>
        <rFont val="Yu Gothic"/>
        <family val="0"/>
        <charset val="1"/>
      </rPr>
      <t xml:space="preserve">P4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9</t>
    </r>
    <r>
      <rPr>
        <sz val="10"/>
        <rFont val="WenQuanYi Zen Hei"/>
        <family val="2"/>
      </rPr>
      <t xml:space="preserve">月）で本番形式で解き、「出題者は何を要求したか」を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行言語化。捨てるかどうかは自分の答案で判断</t>
    </r>
  </si>
  <si>
    <r>
      <rPr>
        <sz val="10"/>
        <rFont val="Yu Gothic"/>
        <family val="0"/>
        <charset val="1"/>
      </rPr>
      <t xml:space="preserve">⑤P4</t>
    </r>
    <r>
      <rPr>
        <sz val="10"/>
        <rFont val="WenQuanYi Zen Hei"/>
        <family val="2"/>
      </rPr>
      <t xml:space="preserve">仕上</t>
    </r>
  </si>
  <si>
    <r>
      <rPr>
        <sz val="10"/>
        <rFont val="WenQuanYi Zen Hei"/>
        <family val="2"/>
      </rPr>
      <t xml:space="preserve">資格を連鎖取得（司法書士→行政書士→宅建→マン管→…→調査士→測量士）し、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本ずつ商流に接続</t>
    </r>
  </si>
  <si>
    <t xml:space="preserve">資格＝知識コレクションではなく商流の関所。取るたびに受注範囲が川上へ伸びる</t>
  </si>
  <si>
    <r>
      <rPr>
        <sz val="10"/>
        <rFont val="WenQuanYi Zen Hei"/>
        <family val="2"/>
      </rPr>
      <t xml:space="preserve">調査士挑戦中（</t>
    </r>
    <r>
      <rPr>
        <sz val="10"/>
        <rFont val="Yu Gothic"/>
        <family val="0"/>
        <charset val="1"/>
      </rPr>
      <t xml:space="preserve">10/18</t>
    </r>
    <r>
      <rPr>
        <sz val="10"/>
        <rFont val="WenQuanYi Zen Hei"/>
        <family val="2"/>
      </rPr>
      <t xml:space="preserve">）。合格後の商流接続イメージが薄い</t>
    </r>
  </si>
  <si>
    <r>
      <rPr>
        <sz val="10"/>
        <rFont val="WenQuanYi Zen Hei"/>
        <family val="2"/>
      </rPr>
      <t xml:space="preserve">調査士合格＝</t>
    </r>
    <r>
      <rPr>
        <sz val="10"/>
        <rFont val="Yu Gothic"/>
        <family val="0"/>
        <charset val="1"/>
      </rPr>
      <t xml:space="preserve">KHD</t>
    </r>
    <r>
      <rPr>
        <sz val="10"/>
        <rFont val="WenQuanYi Zen Hei"/>
        <family val="2"/>
      </rPr>
      <t xml:space="preserve">不動産事業の表題側参入と定義（⑤シートの北極星）</t>
    </r>
  </si>
  <si>
    <t xml:space="preserve">⑤首席逆算</t>
  </si>
  <si>
    <r>
      <rPr>
        <b val="true"/>
        <sz val="14"/>
        <color rgb="FF1F3864"/>
        <rFont val="WenQuanYi Zen Hei"/>
        <family val="2"/>
      </rPr>
      <t xml:space="preserve">松本氏の収益モデル — 新築マンション一棟</t>
    </r>
    <r>
      <rPr>
        <b val="true"/>
        <sz val="14"/>
        <color rgb="FF1F3864"/>
        <rFont val="Yu Gothic"/>
        <family val="0"/>
        <charset val="1"/>
      </rPr>
      <t xml:space="preserve">×</t>
    </r>
    <r>
      <rPr>
        <b val="true"/>
        <sz val="14"/>
        <color rgb="FF1F3864"/>
        <rFont val="WenQuanYi Zen Hei"/>
        <family val="2"/>
      </rPr>
      <t xml:space="preserve">表題登記のユニットエコノミクス</t>
    </r>
  </si>
  <si>
    <r>
      <rPr>
        <sz val="9"/>
        <color rgb="FF808080"/>
        <rFont val="WenQuanYi Zen Hei"/>
        <family val="2"/>
      </rPr>
      <t xml:space="preserve">数値は祝賀会での本人談ベース（青字＝仮定・入力値）。凡例</t>
    </r>
    <r>
      <rPr>
        <sz val="9"/>
        <color rgb="FF808080"/>
        <rFont val="Yu Gothic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青字</t>
    </r>
    <r>
      <rPr>
        <sz val="9"/>
        <color rgb="FF808080"/>
        <rFont val="Yu Gothic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入力値／黒字</t>
    </r>
    <r>
      <rPr>
        <sz val="9"/>
        <color rgb="FF808080"/>
        <rFont val="Yu Gothic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計算式</t>
    </r>
  </si>
  <si>
    <t xml:space="preserve">数値</t>
  </si>
  <si>
    <t xml:space="preserve">備考</t>
  </si>
  <si>
    <t xml:space="preserve">表題登記 単価／部屋</t>
  </si>
  <si>
    <r>
      <rPr>
        <sz val="9"/>
        <color rgb="FF595959"/>
        <rFont val="WenQuanYi Zen Hei"/>
        <family val="2"/>
      </rPr>
      <t xml:space="preserve">本人談「</t>
    </r>
    <r>
      <rPr>
        <sz val="9"/>
        <color rgb="FF595959"/>
        <rFont val="Yu Gothic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部屋</t>
    </r>
    <r>
      <rPr>
        <sz val="9"/>
        <color rgb="FF595959"/>
        <rFont val="Yu Gothic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万で表題入れたとして」</t>
    </r>
  </si>
  <si>
    <t xml:space="preserve">部屋数／棟</t>
  </si>
  <si>
    <r>
      <rPr>
        <sz val="9"/>
        <color rgb="FF595959"/>
        <rFont val="WenQuanYi Zen Hei"/>
        <family val="2"/>
      </rPr>
      <t xml:space="preserve">本人談「</t>
    </r>
    <r>
      <rPr>
        <sz val="9"/>
        <color rgb="FF595959"/>
        <rFont val="Yu Gothic"/>
        <family val="0"/>
        <charset val="1"/>
      </rPr>
      <t xml:space="preserve">100</t>
    </r>
    <r>
      <rPr>
        <sz val="9"/>
        <color rgb="FF595959"/>
        <rFont val="WenQuanYi Zen Hei"/>
        <family val="2"/>
      </rPr>
      <t xml:space="preserve">部屋で</t>
    </r>
    <r>
      <rPr>
        <sz val="9"/>
        <color rgb="FF595959"/>
        <rFont val="Yu Gothic"/>
        <family val="0"/>
        <charset val="1"/>
      </rPr>
      <t xml:space="preserve">1000</t>
    </r>
    <r>
      <rPr>
        <sz val="9"/>
        <color rgb="FF595959"/>
        <rFont val="WenQuanYi Zen Hei"/>
        <family val="2"/>
      </rPr>
      <t xml:space="preserve">万」</t>
    </r>
  </si>
  <si>
    <t xml:space="preserve">売上／棟（表題のみ）</t>
  </si>
  <si>
    <r>
      <rPr>
        <sz val="9"/>
        <color rgb="FF595959"/>
        <rFont val="WenQuanYi Zen Hei"/>
        <family val="2"/>
      </rPr>
      <t xml:space="preserve">＝単価</t>
    </r>
    <r>
      <rPr>
        <sz val="9"/>
        <color rgb="FF595959"/>
        <rFont val="Yu Gothic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部屋数</t>
    </r>
  </si>
  <si>
    <t xml:space="preserve">受注ペース（棟／年）</t>
  </si>
  <si>
    <r>
      <rPr>
        <sz val="9"/>
        <color rgb="FF595959"/>
        <rFont val="WenQuanYi Zen Hei"/>
        <family val="2"/>
      </rPr>
      <t xml:space="preserve">本人談「</t>
    </r>
    <r>
      <rPr>
        <sz val="9"/>
        <color rgb="FF595959"/>
        <rFont val="Yu Gothic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ヶ月に一棟ペースを見込める」</t>
    </r>
  </si>
  <si>
    <t xml:space="preserve">年間売上（表題のみ）</t>
  </si>
  <si>
    <r>
      <rPr>
        <sz val="9"/>
        <color rgb="FF595959"/>
        <rFont val="WenQuanYi Zen Hei"/>
        <family val="2"/>
      </rPr>
      <t xml:space="preserve">＝棟売上</t>
    </r>
    <r>
      <rPr>
        <sz val="9"/>
        <color rgb="FF595959"/>
        <rFont val="Yu Gothic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年間棟数</t>
    </r>
  </si>
  <si>
    <t xml:space="preserve">■ 収益構造の分解（なぜこれが成立するか）</t>
  </si>
  <si>
    <t xml:space="preserve">構造</t>
  </si>
  <si>
    <t xml:space="preserve">中身</t>
  </si>
  <si>
    <r>
      <rPr>
        <b val="true"/>
        <sz val="10"/>
        <color rgb="FFFFFFFF"/>
        <rFont val="WenQuanYi Zen Hei"/>
        <family val="2"/>
      </rPr>
      <t xml:space="preserve">俺（</t>
    </r>
    <r>
      <rPr>
        <b val="true"/>
        <sz val="10"/>
        <color rgb="FFFFFFFF"/>
        <rFont val="Yu Gothic"/>
        <family val="0"/>
        <charset val="1"/>
      </rPr>
      <t xml:space="preserve">KHD</t>
    </r>
    <r>
      <rPr>
        <b val="true"/>
        <sz val="10"/>
        <color rgb="FFFFFFFF"/>
        <rFont val="WenQuanYi Zen Hei"/>
        <family val="2"/>
      </rPr>
      <t xml:space="preserve">）への示唆</t>
    </r>
  </si>
  <si>
    <t xml:space="preserve">川上グリップ</t>
  </si>
  <si>
    <r>
      <rPr>
        <sz val="10"/>
        <rFont val="WenQuanYi Zen Hei"/>
        <family val="2"/>
      </rPr>
      <t xml:space="preserve">デベロッパー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社を握れば、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棟＝</t>
    </r>
    <r>
      <rPr>
        <sz val="10"/>
        <rFont val="Yu Gothic"/>
        <family val="0"/>
        <charset val="1"/>
      </rPr>
      <t xml:space="preserve">100</t>
    </r>
    <r>
      <rPr>
        <sz val="10"/>
        <rFont val="WenQuanYi Zen Hei"/>
        <family val="2"/>
      </rPr>
      <t xml:space="preserve">部屋の登記が「自動で」</t>
    </r>
    <r>
      <rPr>
        <sz val="10"/>
        <rFont val="Yu Gothic"/>
        <family val="0"/>
        <charset val="1"/>
      </rPr>
      <t xml:space="preserve">100</t>
    </r>
    <r>
      <rPr>
        <sz val="10"/>
        <rFont val="WenQuanYi Zen Hei"/>
        <family val="2"/>
      </rPr>
      <t xml:space="preserve">件発生。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契約</t>
    </r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反復の構造</t>
    </r>
  </si>
  <si>
    <r>
      <rPr>
        <sz val="10"/>
        <rFont val="Yu Gothic"/>
        <family val="0"/>
        <charset val="1"/>
      </rPr>
      <t xml:space="preserve">KHD</t>
    </r>
    <r>
      <rPr>
        <sz val="10"/>
        <rFont val="WenQuanYi Zen Hei"/>
        <family val="2"/>
      </rPr>
      <t xml:space="preserve">も「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太客</t>
    </r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反復案件」の構造を作る。単発の狩猟型（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件ずつ追客）から脱却</t>
    </r>
  </si>
  <si>
    <t xml:space="preserve">ワンストップ独占</t>
  </si>
  <si>
    <t xml:space="preserve">測量（測量士）→表題登記の申請代理（調査士の独占業務・本人が保有）→保存・移転・設定（司法書士）まで同一法人で完結。他士業に商流が一切漏れない</t>
  </si>
  <si>
    <r>
      <rPr>
        <sz val="10"/>
        <rFont val="WenQuanYi Zen Hei"/>
        <family val="2"/>
      </rPr>
      <t xml:space="preserve">俺の調査士合格＝表題側への参入資格。</t>
    </r>
    <r>
      <rPr>
        <sz val="10"/>
        <rFont val="Yu Gothic"/>
        <family val="0"/>
        <charset val="1"/>
      </rPr>
      <t xml:space="preserve">KHD</t>
    </r>
    <r>
      <rPr>
        <sz val="10"/>
        <rFont val="WenQuanYi Zen Hei"/>
        <family val="2"/>
      </rPr>
      <t xml:space="preserve">の医療</t>
    </r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不動産も「紹介で外に出さない」設計へ</t>
    </r>
  </si>
  <si>
    <t xml:space="preserve">太客ポートフォリオ</t>
  </si>
  <si>
    <r>
      <rPr>
        <sz val="10"/>
        <rFont val="WenQuanYi Zen Hei"/>
        <family val="2"/>
      </rPr>
      <t xml:space="preserve">宗教法人からの案件＋多様な取引太客をグリップ。相続（</t>
    </r>
    <r>
      <rPr>
        <sz val="10"/>
        <rFont val="Yu Gothic"/>
        <family val="0"/>
        <charset val="1"/>
      </rPr>
      <t xml:space="preserve">office-nl.com</t>
    </r>
    <r>
      <rPr>
        <sz val="10"/>
        <rFont val="WenQuanYi Zen Hei"/>
        <family val="2"/>
      </rPr>
      <t xml:space="preserve">の看板）も宗教法人・資産家と親和</t>
    </r>
  </si>
  <si>
    <t xml:space="preserve">顧客マスターから「反復発注を構造化できる太客」を選定して深耕（④シートで実行）</t>
  </si>
  <si>
    <t xml:space="preserve">資格＝営業資料</t>
  </si>
  <si>
    <t xml:space="preserve">資格覇者ぶり自体が信用と話題を生む。祝賀会でも初対面の俺に商流の絵を語れる＝営業力</t>
  </si>
  <si>
    <t xml:space="preserve">合格実績は取ってから語る（ビッグマウス封印と両立）。取った資格は商流に即接続</t>
  </si>
  <si>
    <t xml:space="preserve">勉強法＝営業力の同型</t>
  </si>
  <si>
    <t xml:space="preserve">出題者の真意を読む力＝顧客の真意を掴むヒアリング力。宮崎の「速く出して握る」と同じ、相手起点の分析力</t>
  </si>
  <si>
    <t xml:space="preserve">勉強でメタ読みを鍛える＝商談の筋トレと捉える。④の送信前チェック・黙る力と接続</t>
  </si>
  <si>
    <r>
      <rPr>
        <b val="true"/>
        <sz val="14"/>
        <color rgb="FF1F3864"/>
        <rFont val="WenQuanYi Zen Hei"/>
        <family val="2"/>
      </rPr>
      <t xml:space="preserve">俺の課題 </t>
    </r>
    <r>
      <rPr>
        <b val="true"/>
        <sz val="14"/>
        <color rgb="FF1F3864"/>
        <rFont val="Yu Gothic"/>
        <family val="0"/>
        <charset val="1"/>
      </rPr>
      <t xml:space="preserve">× </t>
    </r>
    <r>
      <rPr>
        <b val="true"/>
        <sz val="14"/>
        <color rgb="FF1F3864"/>
        <rFont val="WenQuanYi Zen Hei"/>
        <family val="2"/>
      </rPr>
      <t xml:space="preserve">松本・宮崎の型 → 今日からの</t>
    </r>
    <r>
      <rPr>
        <b val="true"/>
        <sz val="14"/>
        <color rgb="FF1F3864"/>
        <rFont val="Yu Gothic"/>
        <family val="0"/>
        <charset val="1"/>
      </rPr>
      <t xml:space="preserve">TTP</t>
    </r>
    <r>
      <rPr>
        <b val="true"/>
        <sz val="14"/>
        <color rgb="FF1F3864"/>
        <rFont val="WenQuanYi Zen Hei"/>
        <family val="2"/>
      </rPr>
      <t xml:space="preserve">アクション</t>
    </r>
  </si>
  <si>
    <t xml:space="preserve">宮崎類似＝「相手の真意を掴む分析力→速く出して握る」。稼ぐ人の共通型として統合</t>
  </si>
  <si>
    <t xml:space="preserve">俺の課題</t>
  </si>
  <si>
    <t xml:space="preserve">根拠・出所</t>
  </si>
  <si>
    <t xml:space="preserve">松本・宮崎に見た型</t>
  </si>
  <si>
    <t xml:space="preserve">対策（今日から）</t>
  </si>
  <si>
    <r>
      <rPr>
        <b val="true"/>
        <sz val="10"/>
        <color rgb="FFFFFFFF"/>
        <rFont val="Yu Gothic"/>
        <family val="0"/>
        <charset val="1"/>
      </rPr>
      <t xml:space="preserve">KPI</t>
    </r>
    <r>
      <rPr>
        <b val="true"/>
        <sz val="10"/>
        <color rgb="FFFFFFFF"/>
        <rFont val="WenQuanYi Zen Hei"/>
        <family val="2"/>
      </rPr>
      <t xml:space="preserve">・測定</t>
    </r>
  </si>
  <si>
    <t xml:space="preserve">期限</t>
  </si>
  <si>
    <r>
      <rPr>
        <sz val="10"/>
        <rFont val="WenQuanYi Zen Hei"/>
        <family val="2"/>
      </rPr>
      <t xml:space="preserve">答練・模試 未実施で実力が測定不能（「正答率</t>
    </r>
    <r>
      <rPr>
        <sz val="10"/>
        <rFont val="Yu Gothic"/>
        <family val="0"/>
        <charset val="1"/>
      </rPr>
      <t xml:space="preserve">70%</t>
    </r>
    <r>
      <rPr>
        <sz val="10"/>
        <rFont val="WenQuanYi Zen Hei"/>
        <family val="2"/>
      </rPr>
      <t xml:space="preserve">くらい」としか言えず、りょーさんに落ちこぼれ側と括られた）</t>
    </r>
  </si>
  <si>
    <t xml:space="preserve">祝賀会二次会での会話</t>
  </si>
  <si>
    <t xml:space="preserve">松本＝出題者と対話できるレベルまで過去問で測定し切る</t>
  </si>
  <si>
    <r>
      <rPr>
        <sz val="10"/>
        <rFont val="WenQuanYi Zen Hei"/>
        <family val="2"/>
      </rPr>
      <t xml:space="preserve">答練に今週申込み、</t>
    </r>
    <r>
      <rPr>
        <sz val="10"/>
        <rFont val="Yu Gothic"/>
        <family val="0"/>
        <charset val="1"/>
      </rPr>
      <t xml:space="preserve">8</t>
    </r>
    <r>
      <rPr>
        <sz val="10"/>
        <rFont val="WenQuanYi Zen Hei"/>
        <family val="2"/>
      </rPr>
      <t xml:space="preserve">月第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週に初回受験。以後は週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本番形式で必ず「点数」を出す</t>
    </r>
  </si>
  <si>
    <t xml:space="preserve">答練・模試の点数と順位を毎回記録</t>
  </si>
  <si>
    <t xml:space="preserve">8/8</t>
  </si>
  <si>
    <t xml:space="preserve">勉強量の絶対不足（答練前提の同志・仙台の首席候補との差）</t>
  </si>
  <si>
    <r>
      <rPr>
        <sz val="10"/>
        <rFont val="WenQuanYi Zen Hei"/>
        <family val="2"/>
      </rPr>
      <t xml:space="preserve">りょーさん（</t>
    </r>
    <r>
      <rPr>
        <sz val="10"/>
        <rFont val="Yu Gothic"/>
        <family val="0"/>
        <charset val="1"/>
      </rPr>
      <t xml:space="preserve">@ryofeat</t>
    </r>
    <r>
      <rPr>
        <sz val="10"/>
        <rFont val="WenQuanYi Zen Hei"/>
        <family val="2"/>
      </rPr>
      <t xml:space="preserve">）談</t>
    </r>
  </si>
  <si>
    <r>
      <rPr>
        <sz val="10"/>
        <rFont val="WenQuanYi Zen Hei"/>
        <family val="2"/>
      </rPr>
      <t xml:space="preserve">資格覇者は型を決めて淡々と回す（</t>
    </r>
    <r>
      <rPr>
        <sz val="10"/>
        <rFont val="Yu Gothic"/>
        <family val="0"/>
        <charset val="1"/>
      </rPr>
      <t xml:space="preserve">10</t>
    </r>
    <r>
      <rPr>
        <sz val="10"/>
        <rFont val="WenQuanYi Zen Hei"/>
        <family val="2"/>
      </rPr>
      <t xml:space="preserve">資格分の実証）</t>
    </r>
  </si>
  <si>
    <r>
      <rPr>
        <sz val="10"/>
        <rFont val="WenQuanYi Zen Hei"/>
        <family val="2"/>
      </rPr>
      <t xml:space="preserve">既存プラン（朝</t>
    </r>
    <r>
      <rPr>
        <sz val="10"/>
        <rFont val="Yu Gothic"/>
        <family val="0"/>
        <charset val="1"/>
      </rPr>
      <t xml:space="preserve">1.6h</t>
    </r>
    <r>
      <rPr>
        <sz val="10"/>
        <rFont val="WenQuanYi Zen Hei"/>
        <family val="2"/>
      </rPr>
      <t xml:space="preserve">記述＋</t>
    </r>
    <r>
      <rPr>
        <sz val="10"/>
        <rFont val="Yu Gothic"/>
        <family val="0"/>
        <charset val="1"/>
      </rPr>
      <t xml:space="preserve">Anki</t>
    </r>
    <r>
      <rPr>
        <sz val="10"/>
        <rFont val="WenQuanYi Zen Hei"/>
        <family val="2"/>
      </rPr>
      <t xml:space="preserve">隙間）の実施率を週次で管理。増やすより「落とさない」</t>
    </r>
  </si>
  <si>
    <r>
      <rPr>
        <sz val="10"/>
        <rFont val="WenQuanYi Zen Hei"/>
        <family val="2"/>
      </rPr>
      <t xml:space="preserve">週次実施率</t>
    </r>
    <r>
      <rPr>
        <sz val="10"/>
        <rFont val="Yu Gothic"/>
        <family val="0"/>
        <charset val="1"/>
      </rPr>
      <t xml:space="preserve">90%</t>
    </r>
    <r>
      <rPr>
        <sz val="10"/>
        <rFont val="WenQuanYi Zen Hei"/>
        <family val="2"/>
      </rPr>
      <t xml:space="preserve">以上</t>
    </r>
  </si>
  <si>
    <t xml:space="preserve">毎週日曜</t>
  </si>
  <si>
    <t xml:space="preserve">マーキング・仕組み作りが先行し、演習が後回し（内務逃避と同型）</t>
  </si>
  <si>
    <t xml:space="preserve">秘書室レーダー／空欄のトラッカー</t>
  </si>
  <si>
    <r>
      <rPr>
        <sz val="10"/>
        <rFont val="WenQuanYi Zen Hei"/>
        <family val="2"/>
      </rPr>
      <t xml:space="preserve">松本＝</t>
    </r>
    <r>
      <rPr>
        <sz val="10"/>
        <rFont val="Yu Gothic"/>
        <family val="0"/>
        <charset val="1"/>
      </rPr>
      <t xml:space="preserve">5</t>
    </r>
    <r>
      <rPr>
        <sz val="10"/>
        <rFont val="WenQuanYi Zen Hei"/>
        <family val="2"/>
      </rPr>
      <t xml:space="preserve">周目まで線を引かない（仕組みより回転）</t>
    </r>
  </si>
  <si>
    <r>
      <rPr>
        <sz val="10"/>
        <rFont val="WenQuanYi Zen Hei"/>
        <family val="2"/>
      </rPr>
      <t xml:space="preserve">トラッカー運用を「</t>
    </r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のみ記入・○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回で卒業」に簡素化。新しい管理ツールは作らない</t>
    </r>
  </si>
  <si>
    <r>
      <rPr>
        <sz val="10"/>
        <rFont val="WenQuanYi Zen Hei"/>
        <family val="2"/>
      </rPr>
      <t xml:space="preserve">トラッカー記入時間 </t>
    </r>
    <r>
      <rPr>
        <sz val="10"/>
        <rFont val="Yu Gothic"/>
        <family val="0"/>
        <charset val="1"/>
      </rPr>
      <t xml:space="preserve">5</t>
    </r>
    <r>
      <rPr>
        <sz val="10"/>
        <rFont val="WenQuanYi Zen Hei"/>
        <family val="2"/>
      </rPr>
      <t xml:space="preserve">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日以内</t>
    </r>
  </si>
  <si>
    <t xml:space="preserve">今日</t>
  </si>
  <si>
    <t xml:space="preserve">相手の真意を掴む前に喋る・出しすぎ・先回りしすぎ</t>
  </si>
  <si>
    <r>
      <rPr>
        <sz val="10"/>
        <rFont val="WenQuanYi Zen Hei"/>
        <family val="2"/>
      </rPr>
      <t xml:space="preserve">江藤レポート／</t>
    </r>
    <r>
      <rPr>
        <sz val="10"/>
        <rFont val="Yu Gothic"/>
        <family val="0"/>
        <charset val="1"/>
      </rPr>
      <t xml:space="preserve">LINE43</t>
    </r>
    <r>
      <rPr>
        <sz val="10"/>
        <rFont val="WenQuanYi Zen Hei"/>
        <family val="2"/>
      </rPr>
      <t xml:space="preserve">本実証</t>
    </r>
  </si>
  <si>
    <t xml:space="preserve">松本＝出題者の真意すら読む。宮崎＝相手の合格点を掴んで速く出して握る</t>
  </si>
  <si>
    <r>
      <rPr>
        <sz val="10"/>
        <rFont val="WenQuanYi Zen Hei"/>
        <family val="2"/>
      </rPr>
      <t xml:space="preserve">送信前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秒チェック継続＋商談は「相手の合格点を先に聞く」。祝賀会のように「相手に持論を語らせる」側に回る</t>
    </r>
  </si>
  <si>
    <r>
      <rPr>
        <sz val="10"/>
        <rFont val="WenQuanYi Zen Hei"/>
        <family val="2"/>
      </rPr>
      <t xml:space="preserve">黙る力</t>
    </r>
    <r>
      <rPr>
        <sz val="10"/>
        <rFont val="Yu Gothic"/>
        <family val="0"/>
        <charset val="1"/>
      </rPr>
      <t xml:space="preserve">5</t>
    </r>
    <r>
      <rPr>
        <sz val="10"/>
        <rFont val="WenQuanYi Zen Hei"/>
        <family val="2"/>
      </rPr>
      <t xml:space="preserve">問 </t>
    </r>
    <r>
      <rPr>
        <sz val="10"/>
        <rFont val="Yu Gothic"/>
        <family val="0"/>
        <charset val="1"/>
      </rPr>
      <t xml:space="preserve">4YES</t>
    </r>
    <r>
      <rPr>
        <sz val="10"/>
        <rFont val="WenQuanYi Zen Hei"/>
        <family val="2"/>
      </rPr>
      <t xml:space="preserve">以上／日</t>
    </r>
  </si>
  <si>
    <t xml:space="preserve">毎晩</t>
  </si>
  <si>
    <r>
      <rPr>
        <sz val="10"/>
        <rFont val="WenQuanYi Zen Hei"/>
        <family val="2"/>
      </rPr>
      <t xml:space="preserve">太客・反復構造の欠如（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件ずつ追客する狩猟型で消耗）</t>
    </r>
  </si>
  <si>
    <t xml:space="preserve">③収益モデル比較で判明</t>
  </si>
  <si>
    <t xml:space="preserve">松本＝デベロッパー・宗教法人を握り反復案件を自動発生させる</t>
  </si>
  <si>
    <r>
      <rPr>
        <sz val="10"/>
        <rFont val="WenQuanYi Zen Hei"/>
        <family val="2"/>
      </rPr>
      <t xml:space="preserve">顧客マスターから「反復発注を構造化できる太客」候補を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社選定→深耕プラン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枚</t>
    </r>
  </si>
  <si>
    <t xml:space="preserve">反復構造の締結数／四半期</t>
  </si>
  <si>
    <t xml:space="preserve">8/31</t>
  </si>
  <si>
    <t xml:space="preserve">未確定の合否・数字を口に出すビッグマウス</t>
  </si>
  <si>
    <r>
      <rPr>
        <sz val="10"/>
        <rFont val="WenQuanYi Zen Hei"/>
        <family val="2"/>
      </rPr>
      <t xml:space="preserve">黙る力</t>
    </r>
    <r>
      <rPr>
        <sz val="10"/>
        <rFont val="Yu Gothic"/>
        <family val="0"/>
        <charset val="1"/>
      </rPr>
      <t xml:space="preserve">5</t>
    </r>
    <r>
      <rPr>
        <sz val="10"/>
        <rFont val="WenQuanYi Zen Hei"/>
        <family val="2"/>
      </rPr>
      <t xml:space="preserve">問</t>
    </r>
    <r>
      <rPr>
        <sz val="10"/>
        <rFont val="Yu Gothic"/>
        <family val="0"/>
        <charset val="1"/>
      </rPr>
      <t xml:space="preserve">#2</t>
    </r>
  </si>
  <si>
    <t xml:space="preserve">松本＝合格してから祝賀会で語る（実績→発信の順）</t>
  </si>
  <si>
    <r>
      <rPr>
        <sz val="10"/>
        <rFont val="WenQuanYi Zen Hei"/>
        <family val="2"/>
      </rPr>
      <t xml:space="preserve">「首席を狙う」は内なる火。外にはアンダーコミット（</t>
    </r>
    <r>
      <rPr>
        <sz val="10"/>
        <rFont val="Yu Gothic"/>
        <family val="0"/>
        <charset val="1"/>
      </rPr>
      <t xml:space="preserve">10/18</t>
    </r>
    <r>
      <rPr>
        <sz val="10"/>
        <rFont val="WenQuanYi Zen Hei"/>
        <family val="2"/>
      </rPr>
      <t xml:space="preserve">まで</t>
    </r>
    <r>
      <rPr>
        <sz val="10"/>
        <rFont val="Yu Gothic"/>
        <family val="0"/>
        <charset val="1"/>
      </rPr>
      <t xml:space="preserve">SNS</t>
    </r>
    <r>
      <rPr>
        <sz val="10"/>
        <rFont val="WenQuanYi Zen Hei"/>
        <family val="2"/>
      </rPr>
      <t xml:space="preserve">・他人への宣言禁止）</t>
    </r>
  </si>
  <si>
    <r>
      <rPr>
        <sz val="10"/>
        <rFont val="WenQuanYi Zen Hei"/>
        <family val="2"/>
      </rPr>
      <t xml:space="preserve">違反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回</t>
    </r>
  </si>
  <si>
    <t xml:space="preserve">毎日</t>
  </si>
  <si>
    <t xml:space="preserve">焦りが「余計な仕事を入れる」方向に漏れる</t>
  </si>
  <si>
    <t xml:space="preserve">温度感ログ⚡の既知パターン</t>
  </si>
  <si>
    <r>
      <rPr>
        <sz val="10"/>
        <rFont val="WenQuanYi Zen Hei"/>
        <family val="2"/>
      </rPr>
      <t xml:space="preserve">松本＝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ヶ月に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棟のペース設計＝焦らず構造で勝つ</t>
    </r>
  </si>
  <si>
    <r>
      <rPr>
        <sz val="10"/>
        <rFont val="WenQuanYi Zen Hei"/>
        <family val="2"/>
      </rPr>
      <t xml:space="preserve">焦りを感じたら新規タスクではなく「今日の記述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問」に変換するルール</t>
    </r>
  </si>
  <si>
    <t xml:space="preserve">⚡検知時の記述変換率</t>
  </si>
  <si>
    <r>
      <rPr>
        <b val="true"/>
        <sz val="14"/>
        <color rgb="FF1F3864"/>
        <rFont val="WenQuanYi Zen Hei"/>
        <family val="2"/>
      </rPr>
      <t xml:space="preserve">土地家屋調査士 </t>
    </r>
    <r>
      <rPr>
        <b val="true"/>
        <sz val="14"/>
        <color rgb="FF1F3864"/>
        <rFont val="Yu Gothic"/>
        <family val="0"/>
        <charset val="1"/>
      </rPr>
      <t xml:space="preserve">2026-10-18 </t>
    </r>
    <r>
      <rPr>
        <b val="true"/>
        <sz val="14"/>
        <color rgb="FF1F3864"/>
        <rFont val="WenQuanYi Zen Hei"/>
        <family val="2"/>
      </rPr>
      <t xml:space="preserve">首席逆算プラン（残り</t>
    </r>
    <r>
      <rPr>
        <b val="true"/>
        <sz val="14"/>
        <color rgb="FF1F3864"/>
        <rFont val="Yu Gothic"/>
        <family val="0"/>
        <charset val="1"/>
      </rPr>
      <t xml:space="preserve">86</t>
    </r>
    <r>
      <rPr>
        <b val="true"/>
        <sz val="14"/>
        <color rgb="FF1F3864"/>
        <rFont val="WenQuanYi Zen Hei"/>
        <family val="2"/>
      </rPr>
      <t xml:space="preserve">日）</t>
    </r>
  </si>
  <si>
    <r>
      <rPr>
        <sz val="9"/>
        <color rgb="FF808080"/>
        <rFont val="WenQuanYi Zen Hei"/>
        <family val="2"/>
      </rPr>
      <t xml:space="preserve">既存の満点計画（</t>
    </r>
    <r>
      <rPr>
        <sz val="9"/>
        <color rgb="FF808080"/>
        <rFont val="Yu Gothic"/>
        <family val="0"/>
        <charset val="1"/>
      </rPr>
      <t xml:space="preserve">P3</t>
    </r>
    <r>
      <rPr>
        <sz val="9"/>
        <color rgb="FF808080"/>
        <rFont val="WenQuanYi Zen Hei"/>
        <family val="2"/>
      </rPr>
      <t xml:space="preserve">通す→</t>
    </r>
    <r>
      <rPr>
        <sz val="9"/>
        <color rgb="FF808080"/>
        <rFont val="Yu Gothic"/>
        <family val="0"/>
        <charset val="1"/>
      </rPr>
      <t xml:space="preserve">P4</t>
    </r>
    <r>
      <rPr>
        <sz val="9"/>
        <color rgb="FF808080"/>
        <rFont val="WenQuanYi Zen Hei"/>
        <family val="2"/>
      </rPr>
      <t xml:space="preserve">仕上→</t>
    </r>
    <r>
      <rPr>
        <sz val="9"/>
        <color rgb="FF808080"/>
        <rFont val="Yu Gothic"/>
        <family val="0"/>
        <charset val="1"/>
      </rPr>
      <t xml:space="preserve">P5</t>
    </r>
    <r>
      <rPr>
        <sz val="9"/>
        <color rgb="FF808080"/>
        <rFont val="WenQuanYi Zen Hei"/>
        <family val="2"/>
      </rPr>
      <t xml:space="preserve">直前）に松本メソッドと答練を上書き。青字</t>
    </r>
    <r>
      <rPr>
        <sz val="9"/>
        <color rgb="FF808080"/>
        <rFont val="Yu Gothic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入力値</t>
    </r>
  </si>
  <si>
    <t xml:space="preserve">本試験日</t>
  </si>
  <si>
    <t xml:space="preserve">起点（本シート作成日）</t>
  </si>
  <si>
    <t xml:space="preserve">残り日数</t>
  </si>
  <si>
    <t xml:space="preserve">期間</t>
  </si>
  <si>
    <t xml:space="preserve">フェーズ</t>
  </si>
  <si>
    <t xml:space="preserve">机の主役（記述）</t>
  </si>
  <si>
    <r>
      <rPr>
        <b val="true"/>
        <sz val="10"/>
        <color rgb="FFFFFFFF"/>
        <rFont val="WenQuanYi Zen Hei"/>
        <family val="2"/>
      </rPr>
      <t xml:space="preserve">隙間（</t>
    </r>
    <r>
      <rPr>
        <b val="true"/>
        <sz val="10"/>
        <color rgb="FFFFFFFF"/>
        <rFont val="Yu Gothic"/>
        <family val="0"/>
        <charset val="1"/>
      </rPr>
      <t xml:space="preserve">Anki/</t>
    </r>
    <r>
      <rPr>
        <b val="true"/>
        <sz val="10"/>
        <color rgb="FFFFFFFF"/>
        <rFont val="WenQuanYi Zen Hei"/>
        <family val="2"/>
      </rPr>
      <t xml:space="preserve">択一）</t>
    </r>
  </si>
  <si>
    <t xml:space="preserve">松本メソッド適用</t>
  </si>
  <si>
    <t xml:space="preserve">節目・チェック</t>
  </si>
  <si>
    <t xml:space="preserve">7/24-7/31</t>
  </si>
  <si>
    <r>
      <rPr>
        <sz val="10"/>
        <rFont val="Yu Gothic"/>
        <family val="0"/>
        <charset val="1"/>
      </rPr>
      <t xml:space="preserve">P3</t>
    </r>
    <r>
      <rPr>
        <sz val="10"/>
        <rFont val="WenQuanYi Zen Hei"/>
        <family val="2"/>
      </rPr>
      <t xml:space="preserve">助走</t>
    </r>
  </si>
  <si>
    <r>
      <rPr>
        <sz val="10"/>
        <rFont val="WenQuanYi Zen Hei"/>
        <family val="2"/>
      </rPr>
      <t xml:space="preserve">記述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問（時間計測を開始）</t>
    </r>
  </si>
  <si>
    <r>
      <rPr>
        <sz val="10"/>
        <rFont val="WenQuanYi Zen Hei"/>
        <family val="2"/>
      </rPr>
      <t xml:space="preserve">弱点</t>
    </r>
    <r>
      <rPr>
        <sz val="10"/>
        <rFont val="Yu Gothic"/>
        <family val="0"/>
        <charset val="1"/>
      </rPr>
      <t xml:space="preserve">3-4</t>
    </r>
    <r>
      <rPr>
        <sz val="10"/>
        <rFont val="WenQuanYi Zen Hei"/>
        <family val="2"/>
      </rPr>
      <t xml:space="preserve">位（添付・床面積）継続</t>
    </r>
  </si>
  <si>
    <r>
      <rPr>
        <sz val="10"/>
        <rFont val="WenQuanYi Zen Hei"/>
        <family val="2"/>
      </rPr>
      <t xml:space="preserve">トラッカー運用開始＝</t>
    </r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のみ記入。マーキングは紐づいた分野だけ解禁</t>
    </r>
  </si>
  <si>
    <t xml:space="preserve">答練を今週申込（最重要）</t>
  </si>
  <si>
    <t xml:space="preserve">8/1-8/31</t>
  </si>
  <si>
    <r>
      <rPr>
        <sz val="10"/>
        <rFont val="Yu Gothic"/>
        <family val="0"/>
        <charset val="1"/>
      </rPr>
      <t xml:space="preserve">P3</t>
    </r>
    <r>
      <rPr>
        <sz val="10"/>
        <rFont val="WenQuanYi Zen Hei"/>
        <family val="2"/>
      </rPr>
      <t xml:space="preserve">通す</t>
    </r>
  </si>
  <si>
    <r>
      <rPr>
        <sz val="10"/>
        <rFont val="WenQuanYi Zen Hei"/>
        <family val="2"/>
      </rPr>
      <t xml:space="preserve">土地</t>
    </r>
    <r>
      <rPr>
        <sz val="10"/>
        <rFont val="Yu Gothic"/>
        <family val="0"/>
        <charset val="1"/>
      </rPr>
      <t xml:space="preserve">50</t>
    </r>
    <r>
      <rPr>
        <sz val="10"/>
        <rFont val="WenQuanYi Zen Hei"/>
        <family val="2"/>
      </rPr>
      <t xml:space="preserve">分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建物</t>
    </r>
    <r>
      <rPr>
        <sz val="10"/>
        <rFont val="Yu Gothic"/>
        <family val="0"/>
        <charset val="1"/>
      </rPr>
      <t xml:space="preserve">50</t>
    </r>
    <r>
      <rPr>
        <sz val="10"/>
        <rFont val="WenQuanYi Zen Hei"/>
        <family val="2"/>
      </rPr>
      <t xml:space="preserve">分の時間内完答へ。週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本番形式</t>
    </r>
  </si>
  <si>
    <r>
      <rPr>
        <sz val="10"/>
        <rFont val="WenQuanYi Zen Hei"/>
        <family val="2"/>
      </rPr>
      <t xml:space="preserve">弱点</t>
    </r>
    <r>
      <rPr>
        <sz val="10"/>
        <rFont val="Yu Gothic"/>
        <family val="0"/>
        <charset val="1"/>
      </rPr>
      <t xml:space="preserve">5-10</t>
    </r>
    <r>
      <rPr>
        <sz val="10"/>
        <rFont val="WenQuanYi Zen Hei"/>
        <family val="2"/>
      </rPr>
      <t xml:space="preserve">位を順に＋全体維持</t>
    </r>
  </si>
  <si>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問題だけ○</t>
    </r>
    <r>
      <rPr>
        <sz val="10"/>
        <rFont val="Yu Gothic"/>
        <family val="0"/>
        <charset val="1"/>
      </rPr>
      <t xml:space="preserve">×△</t>
    </r>
    <r>
      <rPr>
        <sz val="10"/>
        <rFont val="WenQuanYi Zen Hei"/>
        <family val="2"/>
      </rPr>
      <t xml:space="preserve">を蓄積。年度通しでは「出題者の意図」を毎回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行言語化</t>
    </r>
  </si>
  <si>
    <r>
      <rPr>
        <sz val="10"/>
        <rFont val="WenQuanYi Zen Hei"/>
        <family val="2"/>
      </rPr>
      <t xml:space="preserve">答練初回</t>
    </r>
    <r>
      <rPr>
        <sz val="10"/>
        <rFont val="Yu Gothic"/>
        <family val="0"/>
        <charset val="1"/>
      </rPr>
      <t xml:space="preserve">8</t>
    </r>
    <r>
      <rPr>
        <sz val="10"/>
        <rFont val="WenQuanYi Zen Hei"/>
        <family val="2"/>
      </rPr>
      <t xml:space="preserve">月第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週→隔週。点数・順位を④に記録</t>
    </r>
  </si>
  <si>
    <t xml:space="preserve">9/1-9/30</t>
  </si>
  <si>
    <r>
      <rPr>
        <sz val="10"/>
        <rFont val="Yu Gothic"/>
        <family val="0"/>
        <charset val="1"/>
      </rPr>
      <t xml:space="preserve">P4</t>
    </r>
    <r>
      <rPr>
        <sz val="10"/>
        <rFont val="WenQuanYi Zen Hei"/>
        <family val="2"/>
      </rPr>
      <t xml:space="preserve">仕上</t>
    </r>
  </si>
  <si>
    <r>
      <rPr>
        <sz val="10"/>
        <rFont val="WenQuanYi Zen Hei"/>
        <family val="2"/>
      </rPr>
      <t xml:space="preserve">記述は</t>
    </r>
    <r>
      <rPr>
        <sz val="10"/>
        <rFont val="Yu Gothic"/>
        <family val="0"/>
        <charset val="1"/>
      </rPr>
      <t xml:space="preserve">R01-06</t>
    </r>
    <r>
      <rPr>
        <sz val="10"/>
        <rFont val="WenQuanYi Zen Hei"/>
        <family val="2"/>
      </rPr>
      <t xml:space="preserve">の新しめ中心。</t>
    </r>
    <r>
      <rPr>
        <sz val="10"/>
        <rFont val="Yu Gothic"/>
        <family val="0"/>
        <charset val="1"/>
      </rPr>
      <t xml:space="preserve">R5</t>
    </r>
    <r>
      <rPr>
        <sz val="10"/>
        <rFont val="WenQuanYi Zen Hei"/>
        <family val="2"/>
      </rPr>
      <t xml:space="preserve">も捨てずに本番形式で解く（松本流：出題者の要求を順に処理→部分点を積む）</t>
    </r>
  </si>
  <si>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だけ高速回転。新規は最小</t>
    </r>
  </si>
  <si>
    <r>
      <rPr>
        <sz val="10"/>
        <rFont val="Yu Gothic"/>
        <family val="0"/>
        <charset val="1"/>
      </rPr>
      <t xml:space="preserve">○3</t>
    </r>
    <r>
      <rPr>
        <sz val="10"/>
        <rFont val="WenQuanYi Zen Hei"/>
        <family val="2"/>
      </rPr>
      <t xml:space="preserve">回の問題を続々「卒業」させ復習母集団を圧縮。</t>
    </r>
    <r>
      <rPr>
        <sz val="10"/>
        <rFont val="Yu Gothic"/>
        <family val="0"/>
        <charset val="1"/>
      </rPr>
      <t xml:space="preserve">R5</t>
    </r>
    <r>
      <rPr>
        <sz val="10"/>
        <rFont val="WenQuanYi Zen Hei"/>
        <family val="2"/>
      </rPr>
      <t xml:space="preserve">記述の「出題者は何を要求したか」を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行言語化</t>
    </r>
  </si>
  <si>
    <r>
      <rPr>
        <sz val="10"/>
        <rFont val="WenQuanYi Zen Hei"/>
        <family val="2"/>
      </rPr>
      <t xml:space="preserve">模試・答練を本番同様に。首席狙い＝択一の取りこぼし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を意識</t>
    </r>
  </si>
  <si>
    <t xml:space="preserve">10/1-10/17</t>
  </si>
  <si>
    <r>
      <rPr>
        <sz val="10"/>
        <rFont val="Yu Gothic"/>
        <family val="0"/>
        <charset val="1"/>
      </rPr>
      <t xml:space="preserve">P5</t>
    </r>
    <r>
      <rPr>
        <sz val="10"/>
        <rFont val="WenQuanYi Zen Hei"/>
        <family val="2"/>
      </rPr>
      <t xml:space="preserve">直前</t>
    </r>
  </si>
  <si>
    <t xml:space="preserve">総復習のみ。新規は一切やらない</t>
  </si>
  <si>
    <r>
      <rPr>
        <sz val="10"/>
        <rFont val="Yu Gothic"/>
        <family val="0"/>
        <charset val="1"/>
      </rPr>
      <t xml:space="preserve">Anki due</t>
    </r>
    <r>
      <rPr>
        <sz val="10"/>
        <rFont val="WenQuanYi Zen Hei"/>
        <family val="2"/>
      </rPr>
      <t xml:space="preserve">のみ・取りこぼし防止</t>
    </r>
  </si>
  <si>
    <t xml:space="preserve">卒業済み問題は二度と解かない（不安で戻らない＝松本の胆力）</t>
  </si>
  <si>
    <t xml:space="preserve">体調管理。宣言せず淡々と</t>
  </si>
  <si>
    <t xml:space="preserve">10/18</t>
  </si>
  <si>
    <t xml:space="preserve">本試験</t>
  </si>
  <si>
    <t xml:space="preserve">―</t>
  </si>
  <si>
    <r>
      <rPr>
        <sz val="10"/>
        <rFont val="WenQuanYi Zen Hei"/>
        <family val="2"/>
      </rPr>
      <t xml:space="preserve">「出題者の犬として素直に、順に解く」。難問の評判に惑わされず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問目から順に</t>
    </r>
  </si>
  <si>
    <t xml:space="preserve">首席は結果。狙いは満点行動の積分</t>
  </si>
  <si>
    <r>
      <rPr>
        <b val="true"/>
        <sz val="10"/>
        <rFont val="WenQuanYi Zen Hei"/>
        <family val="2"/>
      </rPr>
      <t xml:space="preserve">★りょーさん（</t>
    </r>
    <r>
      <rPr>
        <b val="true"/>
        <sz val="10"/>
        <rFont val="Yu Gothic"/>
        <family val="0"/>
        <charset val="1"/>
      </rPr>
      <t xml:space="preserve">@ryofeat</t>
    </r>
    <r>
      <rPr>
        <b val="true"/>
        <sz val="10"/>
        <rFont val="WenQuanYi Zen Hei"/>
        <family val="2"/>
      </rPr>
      <t xml:space="preserve">・</t>
    </r>
    <r>
      <rPr>
        <b val="true"/>
        <sz val="10"/>
        <rFont val="Yu Gothic"/>
        <family val="0"/>
        <charset val="1"/>
      </rPr>
      <t xml:space="preserve">29</t>
    </r>
    <r>
      <rPr>
        <b val="true"/>
        <sz val="10"/>
        <rFont val="WenQuanYi Zen Hei"/>
        <family val="2"/>
      </rPr>
      <t xml:space="preserve">歳・仙台の首席候補と接点）への競争心は燃料としてのみ使う。外に出すのは合格後。差の正体は「答練で測定しているか」だけ＝今週の申込で埋まる差。</t>
    </r>
  </si>
  <si>
    <r>
      <rPr>
        <b val="true"/>
        <sz val="14"/>
        <color rgb="FF1F3864"/>
        <rFont val="WenQuanYi Zen Hei"/>
        <family val="2"/>
      </rPr>
      <t xml:space="preserve">今日から動く — チェックリスト（</t>
    </r>
    <r>
      <rPr>
        <b val="true"/>
        <sz val="14"/>
        <color rgb="FF1F3864"/>
        <rFont val="Yu Gothic"/>
        <family val="0"/>
        <charset val="1"/>
      </rPr>
      <t xml:space="preserve">TODO</t>
    </r>
    <r>
      <rPr>
        <b val="true"/>
        <sz val="14"/>
        <color rgb="FF1F3864"/>
        <rFont val="WenQuanYi Zen Hei"/>
        <family val="2"/>
      </rPr>
      <t xml:space="preserve">形式）</t>
    </r>
  </si>
  <si>
    <r>
      <rPr>
        <sz val="9"/>
        <color rgb="FF808080"/>
        <rFont val="WenQuanYi Zen Hei"/>
        <family val="2"/>
      </rPr>
      <t xml:space="preserve">終わったら✔。秘書室</t>
    </r>
    <r>
      <rPr>
        <sz val="9"/>
        <color rgb="FF808080"/>
        <rFont val="Yu Gothic"/>
        <family val="0"/>
        <charset val="1"/>
      </rPr>
      <t xml:space="preserve">TODO</t>
    </r>
    <r>
      <rPr>
        <sz val="9"/>
        <color rgb="FF808080"/>
        <rFont val="WenQuanYi Zen Hei"/>
        <family val="2"/>
      </rPr>
      <t xml:space="preserve">形式と同じ「タスク｜優先度｜期限」</t>
    </r>
  </si>
  <si>
    <t xml:space="preserve">✔</t>
  </si>
  <si>
    <t xml:space="preserve">タスク</t>
  </si>
  <si>
    <t xml:space="preserve">優先度</t>
  </si>
  <si>
    <r>
      <rPr>
        <sz val="10"/>
        <rFont val="WenQuanYi Zen Hei"/>
        <family val="2"/>
      </rPr>
      <t xml:space="preserve">答練（アガルート</t>
    </r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東京法経）の申込を完了する</t>
    </r>
  </si>
  <si>
    <t xml:space="preserve">高</t>
  </si>
  <si>
    <t xml:space="preserve">2026-07-27</t>
  </si>
  <si>
    <r>
      <rPr>
        <sz val="10"/>
        <rFont val="WenQuanYi Zen Hei"/>
        <family val="2"/>
      </rPr>
      <t xml:space="preserve">トラッカー運用を「</t>
    </r>
    <r>
      <rPr>
        <sz val="10"/>
        <rFont val="Yu Gothic"/>
        <family val="0"/>
        <charset val="1"/>
      </rPr>
      <t xml:space="preserve">×</t>
    </r>
    <r>
      <rPr>
        <sz val="10"/>
        <rFont val="WenQuanYi Zen Hei"/>
        <family val="2"/>
      </rPr>
      <t xml:space="preserve">のみ記入・○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回で卒業」に変更して今日の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問から開始</t>
    </r>
  </si>
  <si>
    <t xml:space="preserve">2026-07-24</t>
  </si>
  <si>
    <r>
      <rPr>
        <sz val="10"/>
        <rFont val="WenQuanYi Zen Hei"/>
        <family val="2"/>
      </rPr>
      <t xml:space="preserve">今日の記述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問（時間計測）— 焦りは全部ここに変換</t>
    </r>
  </si>
  <si>
    <r>
      <rPr>
        <sz val="10"/>
        <rFont val="WenQuanYi Zen Hei"/>
        <family val="2"/>
      </rPr>
      <t xml:space="preserve">松本氏へお礼連絡（名刺の</t>
    </r>
    <r>
      <rPr>
        <sz val="10"/>
        <rFont val="Yu Gothic"/>
        <family val="0"/>
        <charset val="1"/>
      </rPr>
      <t xml:space="preserve">Mail</t>
    </r>
    <r>
      <rPr>
        <sz val="10"/>
        <rFont val="WenQuanYi Zen Hei"/>
        <family val="2"/>
      </rPr>
      <t xml:space="preserve">へ短文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文以内・問いで終える。二次会の御礼＋調査士合格後に改めて挨拶したい旨）</t>
    </r>
  </si>
  <si>
    <t xml:space="preserve">通常</t>
  </si>
  <si>
    <t xml:space="preserve">2026-07-26</t>
  </si>
  <si>
    <r>
      <rPr>
        <sz val="10"/>
        <rFont val="WenQuanYi Zen Hei"/>
        <family val="2"/>
      </rPr>
      <t xml:space="preserve">りょーさん（</t>
    </r>
    <r>
      <rPr>
        <sz val="10"/>
        <rFont val="Yu Gothic"/>
        <family val="0"/>
        <charset val="1"/>
      </rPr>
      <t xml:space="preserve">LINE/X @ryofeat</t>
    </r>
    <r>
      <rPr>
        <sz val="10"/>
        <rFont val="WenQuanYi Zen Hei"/>
        <family val="2"/>
      </rPr>
      <t xml:space="preserve">）へ二次会の御礼を短文で（勝負心は書かない）</t>
    </r>
  </si>
  <si>
    <t xml:space="preserve">2026-07-25</t>
  </si>
  <si>
    <r>
      <rPr>
        <sz val="10"/>
        <rFont val="WenQuanYi Zen Hei"/>
        <family val="2"/>
      </rPr>
      <t xml:space="preserve">顧客マスターから「反復発注を構造化できる太客」候補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社を選ぶ</t>
    </r>
  </si>
  <si>
    <t xml:space="preserve">2026-08-01</t>
  </si>
  <si>
    <t xml:space="preserve">週次レビュー（日曜）に「答練点数」「トラッカー卒業数」「出題者の意図メモ」を追加</t>
  </si>
  <si>
    <r>
      <rPr>
        <sz val="9"/>
        <color rgb="FF808080"/>
        <rFont val="WenQuanYi Zen Hei"/>
        <family val="2"/>
      </rPr>
      <t xml:space="preserve">※ お礼連絡は送信前</t>
    </r>
    <r>
      <rPr>
        <sz val="9"/>
        <color rgb="FF808080"/>
        <rFont val="Yu Gothic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秒チェック（</t>
    </r>
    <r>
      <rPr>
        <sz val="9"/>
        <color rgb="FF808080"/>
        <rFont val="Yu Gothic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文ルール・問いで終える・絵文字</t>
    </r>
    <r>
      <rPr>
        <sz val="9"/>
        <color rgb="FF808080"/>
        <rFont val="Yu Gothic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個以内）を通してから。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</si>
</sst>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¥#,##0"/>
    <numFmt numFmtId="166" formatCode="0&quot;部屋&quot;"/>
    <numFmt numFmtId="167" formatCode="0\棟"/>
    <numFmt numFmtId="168" formatCode="yyyy/mm/dd"/>
    <numFmt numFmtId="169" formatCode="0\日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sz val="9"/>
      <color rgb="FF808080"/>
      <name val="WenQuanYi Zen Hei"/>
      <family val="2"/>
    </font>
    <font>
      <sz val="9"/>
      <color rgb="FF808080"/>
      <name val="Yu Gothic"/>
      <family val="0"/>
      <charset val="1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Yu Gothic"/>
      <family val="0"/>
      <charset val="1"/>
    </font>
    <font>
      <b val="true"/>
      <sz val="11"/>
      <color rgb="FFBF9000"/>
      <name val="WenQuanYi Zen Hei"/>
      <family val="2"/>
    </font>
    <font>
      <b val="true"/>
      <sz val="10"/>
      <color rgb="FFFFFFFF"/>
      <name val="Yu Gothic"/>
      <family val="0"/>
      <charset val="1"/>
    </font>
    <font>
      <b val="true"/>
      <sz val="10"/>
      <name val="WenQuanYi Zen Hei"/>
      <family val="2"/>
    </font>
    <font>
      <b val="true"/>
      <sz val="10"/>
      <name val="Yu Gothic"/>
      <family val="0"/>
      <charset val="1"/>
    </font>
    <font>
      <sz val="8"/>
      <color rgb="FF808080"/>
      <name val="WenQuanYi Zen Hei"/>
      <family val="2"/>
    </font>
    <font>
      <sz val="8"/>
      <color rgb="FF808080"/>
      <name val="Yu Gothic"/>
      <family val="0"/>
      <charset val="1"/>
    </font>
    <font>
      <b val="true"/>
      <sz val="14"/>
      <color rgb="FF1F3864"/>
      <name val="Yu Gothic"/>
      <family val="0"/>
      <charset val="1"/>
    </font>
    <font>
      <sz val="10"/>
      <color rgb="FF0000FF"/>
      <name val="Yu Gothic"/>
      <family val="0"/>
      <charset val="1"/>
    </font>
    <font>
      <sz val="9"/>
      <color rgb="FF595959"/>
      <name val="WenQuanYi Zen Hei"/>
      <family val="2"/>
    </font>
    <font>
      <sz val="9"/>
      <color rgb="FF595959"/>
      <name val="Yu Gothic"/>
      <family val="0"/>
      <charset val="1"/>
    </font>
    <font>
      <b val="true"/>
      <sz val="12"/>
      <color rgb="FFC00000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26.85" hidden="false" customHeight="false" outlineLevel="0" collapsed="false">
      <c r="A6" s="5" t="s">
        <v>8</v>
      </c>
      <c r="B6" s="5" t="s">
        <v>9</v>
      </c>
      <c r="C6" s="5" t="s">
        <v>10</v>
      </c>
    </row>
    <row r="7" customFormat="false" ht="39.5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39.55" hidden="false" customHeight="false" outlineLevel="0" collapsed="false">
      <c r="A8" s="5" t="s">
        <v>14</v>
      </c>
      <c r="B8" s="5" t="s">
        <v>15</v>
      </c>
      <c r="C8" s="5" t="s">
        <v>13</v>
      </c>
    </row>
    <row r="9" customFormat="false" ht="38.05" hidden="false" customHeight="false" outlineLevel="0" collapsed="false">
      <c r="A9" s="4" t="s">
        <v>16</v>
      </c>
      <c r="B9" s="6" t="s">
        <v>17</v>
      </c>
      <c r="C9" s="4" t="s">
        <v>7</v>
      </c>
    </row>
    <row r="10" customFormat="false" ht="50.7" hidden="false" customHeight="false" outlineLevel="0" collapsed="false">
      <c r="A10" s="7" t="s">
        <v>18</v>
      </c>
      <c r="B10" s="7" t="s">
        <v>19</v>
      </c>
      <c r="C10" s="7" t="s">
        <v>20</v>
      </c>
    </row>
    <row r="11" customFormat="false" ht="26.85" hidden="false" customHeight="false" outlineLevel="0" collapsed="false">
      <c r="A11" s="4" t="s">
        <v>21</v>
      </c>
      <c r="B11" s="6" t="s">
        <v>22</v>
      </c>
      <c r="C11" s="6" t="s">
        <v>23</v>
      </c>
    </row>
    <row r="12" customFormat="false" ht="39.55" hidden="false" customHeight="false" outlineLevel="0" collapsed="false">
      <c r="A12" s="5" t="s">
        <v>24</v>
      </c>
      <c r="B12" s="5" t="s">
        <v>25</v>
      </c>
      <c r="C12" s="5" t="s">
        <v>26</v>
      </c>
    </row>
    <row r="14" customFormat="false" ht="15" hidden="false" customHeight="false" outlineLevel="0" collapsed="false">
      <c r="A14" s="8" t="s">
        <v>27</v>
      </c>
    </row>
    <row r="15" customFormat="false" ht="15" hidden="false" customHeight="false" outlineLevel="0" collapsed="false">
      <c r="A15" s="9" t="s">
        <v>28</v>
      </c>
      <c r="B15" s="3" t="s">
        <v>29</v>
      </c>
      <c r="C15" s="3" t="s">
        <v>30</v>
      </c>
    </row>
    <row r="16" customFormat="false" ht="15" hidden="false" customHeight="false" outlineLevel="0" collapsed="false">
      <c r="A16" s="4" t="n">
        <v>1</v>
      </c>
      <c r="B16" s="4" t="s">
        <v>31</v>
      </c>
      <c r="C16" s="4" t="s">
        <v>32</v>
      </c>
    </row>
    <row r="17" customFormat="false" ht="26.85" hidden="false" customHeight="false" outlineLevel="0" collapsed="false">
      <c r="A17" s="5" t="n">
        <v>2</v>
      </c>
      <c r="B17" s="5" t="s">
        <v>33</v>
      </c>
      <c r="C17" s="5" t="s">
        <v>34</v>
      </c>
    </row>
    <row r="18" customFormat="false" ht="15" hidden="false" customHeight="false" outlineLevel="0" collapsed="false">
      <c r="A18" s="4" t="n">
        <v>3</v>
      </c>
      <c r="B18" s="4" t="s">
        <v>35</v>
      </c>
      <c r="C18" s="4" t="s">
        <v>36</v>
      </c>
    </row>
    <row r="19" customFormat="false" ht="15" hidden="false" customHeight="false" outlineLevel="0" collapsed="false">
      <c r="A19" s="5" t="n">
        <v>4</v>
      </c>
      <c r="B19" s="5" t="s">
        <v>37</v>
      </c>
      <c r="C19" s="5" t="s">
        <v>38</v>
      </c>
    </row>
    <row r="20" customFormat="false" ht="15" hidden="false" customHeight="false" outlineLevel="0" collapsed="false">
      <c r="A20" s="4" t="n">
        <v>5</v>
      </c>
      <c r="B20" s="4" t="s">
        <v>39</v>
      </c>
      <c r="C20" s="4" t="s">
        <v>40</v>
      </c>
    </row>
    <row r="21" customFormat="false" ht="15" hidden="false" customHeight="false" outlineLevel="0" collapsed="false">
      <c r="A21" s="5" t="n">
        <v>6</v>
      </c>
      <c r="B21" s="5" t="s">
        <v>41</v>
      </c>
      <c r="C21" s="5" t="s">
        <v>42</v>
      </c>
    </row>
    <row r="22" customFormat="false" ht="15" hidden="false" customHeight="false" outlineLevel="0" collapsed="false">
      <c r="A22" s="4" t="n">
        <v>7</v>
      </c>
      <c r="B22" s="4" t="s">
        <v>43</v>
      </c>
      <c r="C22" s="4" t="s">
        <v>44</v>
      </c>
    </row>
    <row r="23" customFormat="false" ht="15" hidden="false" customHeight="false" outlineLevel="0" collapsed="false">
      <c r="A23" s="5" t="n">
        <v>8</v>
      </c>
      <c r="B23" s="5" t="s">
        <v>45</v>
      </c>
      <c r="C23" s="5" t="s">
        <v>46</v>
      </c>
    </row>
    <row r="24" customFormat="false" ht="15" hidden="false" customHeight="false" outlineLevel="0" collapsed="false">
      <c r="A24" s="4" t="n">
        <v>9</v>
      </c>
      <c r="B24" s="4" t="s">
        <v>47</v>
      </c>
      <c r="C24" s="4" t="s">
        <v>48</v>
      </c>
    </row>
    <row r="25" customFormat="false" ht="15" hidden="false" customHeight="false" outlineLevel="0" collapsed="false">
      <c r="A25" s="5" t="n">
        <v>10</v>
      </c>
      <c r="B25" s="5" t="s">
        <v>49</v>
      </c>
      <c r="C25" s="5" t="s">
        <v>50</v>
      </c>
    </row>
    <row r="26" customFormat="false" ht="15" hidden="false" customHeight="false" outlineLevel="0" collapsed="false">
      <c r="A26" s="4" t="n">
        <v>11</v>
      </c>
      <c r="B26" s="6" t="s">
        <v>51</v>
      </c>
      <c r="C26" s="4" t="s">
        <v>52</v>
      </c>
    </row>
    <row r="28" customFormat="false" ht="42" hidden="false" customHeight="true" outlineLevel="0" collapsed="false">
      <c r="A28" s="10" t="s">
        <v>53</v>
      </c>
      <c r="B28" s="10"/>
      <c r="C28" s="10"/>
    </row>
    <row r="30" customFormat="false" ht="15" hidden="false" customHeight="false" outlineLevel="0" collapsed="false">
      <c r="A30" s="11" t="s">
        <v>54</v>
      </c>
    </row>
  </sheetData>
  <mergeCells count="1"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18"/>
  </cols>
  <sheetData>
    <row r="1" customFormat="false" ht="19.4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9" t="s">
        <v>28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</row>
    <row r="5" customFormat="false" ht="39.55" hidden="false" customHeight="false" outlineLevel="0" collapsed="false">
      <c r="A5" s="4" t="n">
        <v>1</v>
      </c>
      <c r="B5" s="4" t="s">
        <v>62</v>
      </c>
      <c r="C5" s="4" t="s">
        <v>63</v>
      </c>
      <c r="D5" s="6" t="s">
        <v>64</v>
      </c>
      <c r="E5" s="4" t="s">
        <v>65</v>
      </c>
      <c r="F5" s="6" t="s">
        <v>66</v>
      </c>
    </row>
    <row r="6" customFormat="false" ht="26.85" hidden="false" customHeight="false" outlineLevel="0" collapsed="false">
      <c r="A6" s="5" t="n">
        <v>2</v>
      </c>
      <c r="B6" s="5" t="s">
        <v>67</v>
      </c>
      <c r="C6" s="5" t="s">
        <v>68</v>
      </c>
      <c r="D6" s="7" t="s">
        <v>69</v>
      </c>
      <c r="E6" s="5" t="s">
        <v>70</v>
      </c>
      <c r="F6" s="5" t="s">
        <v>71</v>
      </c>
    </row>
    <row r="7" customFormat="false" ht="26.85" hidden="false" customHeight="false" outlineLevel="0" collapsed="false">
      <c r="A7" s="4" t="n">
        <v>3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</row>
    <row r="8" customFormat="false" ht="39.55" hidden="false" customHeight="false" outlineLevel="0" collapsed="false">
      <c r="A8" s="5" t="n">
        <v>4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</row>
    <row r="9" customFormat="false" ht="26.85" hidden="false" customHeight="false" outlineLevel="0" collapsed="false">
      <c r="A9" s="4" t="n">
        <v>5</v>
      </c>
      <c r="B9" s="4" t="s">
        <v>82</v>
      </c>
      <c r="C9" s="4" t="s">
        <v>83</v>
      </c>
      <c r="D9" s="4" t="s">
        <v>84</v>
      </c>
      <c r="E9" s="6" t="s">
        <v>85</v>
      </c>
      <c r="F9" s="4" t="s">
        <v>86</v>
      </c>
    </row>
    <row r="10" customFormat="false" ht="39.55" hidden="false" customHeight="false" outlineLevel="0" collapsed="false">
      <c r="A10" s="5" t="n">
        <v>6</v>
      </c>
      <c r="B10" s="5" t="s">
        <v>87</v>
      </c>
      <c r="C10" s="5" t="s">
        <v>88</v>
      </c>
      <c r="D10" s="5" t="s">
        <v>89</v>
      </c>
      <c r="E10" s="7" t="s">
        <v>90</v>
      </c>
      <c r="F10" s="7" t="s">
        <v>91</v>
      </c>
    </row>
    <row r="11" customFormat="false" ht="26.85" hidden="false" customHeight="false" outlineLevel="0" collapsed="false">
      <c r="A11" s="4" t="n">
        <v>7</v>
      </c>
      <c r="B11" s="4" t="s">
        <v>92</v>
      </c>
      <c r="C11" s="4" t="s">
        <v>93</v>
      </c>
      <c r="D11" s="4" t="s">
        <v>94</v>
      </c>
      <c r="E11" s="4" t="s">
        <v>95</v>
      </c>
      <c r="F11" s="4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6"/>
  </cols>
  <sheetData>
    <row r="1" customFormat="false" ht="19.4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3" t="s">
        <v>2</v>
      </c>
      <c r="B4" s="3" t="s">
        <v>99</v>
      </c>
      <c r="C4" s="3" t="s">
        <v>100</v>
      </c>
    </row>
    <row r="5" customFormat="false" ht="15" hidden="false" customHeight="false" outlineLevel="0" collapsed="false">
      <c r="A5" s="4" t="s">
        <v>101</v>
      </c>
      <c r="B5" s="12" t="n">
        <v>100000</v>
      </c>
      <c r="C5" s="13" t="s">
        <v>102</v>
      </c>
    </row>
    <row r="6" customFormat="false" ht="15" hidden="false" customHeight="false" outlineLevel="0" collapsed="false">
      <c r="A6" s="4" t="s">
        <v>103</v>
      </c>
      <c r="B6" s="14" t="n">
        <v>100</v>
      </c>
      <c r="C6" s="13" t="s">
        <v>104</v>
      </c>
    </row>
    <row r="7" customFormat="false" ht="15" hidden="false" customHeight="false" outlineLevel="0" collapsed="false">
      <c r="A7" s="4" t="s">
        <v>105</v>
      </c>
      <c r="B7" s="15" t="n">
        <f aca="false">B5*B6</f>
        <v>10000000</v>
      </c>
      <c r="C7" s="13" t="s">
        <v>106</v>
      </c>
    </row>
    <row r="8" customFormat="false" ht="15" hidden="false" customHeight="false" outlineLevel="0" collapsed="false">
      <c r="A8" s="4" t="s">
        <v>107</v>
      </c>
      <c r="B8" s="16" t="n">
        <v>4</v>
      </c>
      <c r="C8" s="13" t="s">
        <v>108</v>
      </c>
    </row>
    <row r="9" customFormat="false" ht="15" hidden="false" customHeight="false" outlineLevel="0" collapsed="false">
      <c r="A9" s="4" t="s">
        <v>109</v>
      </c>
      <c r="B9" s="15" t="n">
        <f aca="false">B7*B8</f>
        <v>40000000</v>
      </c>
      <c r="C9" s="13" t="s">
        <v>110</v>
      </c>
    </row>
    <row r="11" customFormat="false" ht="15" hidden="false" customHeight="false" outlineLevel="0" collapsed="false">
      <c r="A11" s="8" t="s">
        <v>111</v>
      </c>
    </row>
    <row r="12" customFormat="false" ht="15" hidden="false" customHeight="false" outlineLevel="0" collapsed="false">
      <c r="A12" s="3" t="s">
        <v>112</v>
      </c>
      <c r="B12" s="3" t="s">
        <v>113</v>
      </c>
      <c r="C12" s="3" t="s">
        <v>114</v>
      </c>
    </row>
    <row r="13" customFormat="false" ht="26.85" hidden="false" customHeight="false" outlineLevel="0" collapsed="false">
      <c r="A13" s="4" t="s">
        <v>115</v>
      </c>
      <c r="B13" s="4" t="s">
        <v>116</v>
      </c>
      <c r="C13" s="6" t="s">
        <v>117</v>
      </c>
    </row>
    <row r="14" customFormat="false" ht="39.55" hidden="false" customHeight="false" outlineLevel="0" collapsed="false">
      <c r="A14" s="5" t="s">
        <v>118</v>
      </c>
      <c r="B14" s="5" t="s">
        <v>119</v>
      </c>
      <c r="C14" s="5" t="s">
        <v>120</v>
      </c>
    </row>
    <row r="15" customFormat="false" ht="26.85" hidden="false" customHeight="false" outlineLevel="0" collapsed="false">
      <c r="A15" s="4" t="s">
        <v>121</v>
      </c>
      <c r="B15" s="4" t="s">
        <v>122</v>
      </c>
      <c r="C15" s="4" t="s">
        <v>123</v>
      </c>
    </row>
    <row r="16" customFormat="false" ht="26.85" hidden="false" customHeight="false" outlineLevel="0" collapsed="false">
      <c r="A16" s="5" t="s">
        <v>124</v>
      </c>
      <c r="B16" s="5" t="s">
        <v>125</v>
      </c>
      <c r="C16" s="5" t="s">
        <v>126</v>
      </c>
    </row>
    <row r="17" customFormat="false" ht="26.85" hidden="false" customHeight="false" outlineLevel="0" collapsed="false">
      <c r="A17" s="4" t="s">
        <v>127</v>
      </c>
      <c r="B17" s="4" t="s">
        <v>128</v>
      </c>
      <c r="C17" s="4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9.4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9" t="s">
        <v>28</v>
      </c>
      <c r="B4" s="3" t="s">
        <v>132</v>
      </c>
      <c r="C4" s="3" t="s">
        <v>133</v>
      </c>
      <c r="D4" s="3" t="s">
        <v>134</v>
      </c>
      <c r="E4" s="3" t="s">
        <v>135</v>
      </c>
      <c r="F4" s="9" t="s">
        <v>136</v>
      </c>
      <c r="G4" s="3" t="s">
        <v>137</v>
      </c>
    </row>
    <row r="5" customFormat="false" ht="52.2" hidden="false" customHeight="false" outlineLevel="0" collapsed="false">
      <c r="A5" s="4" t="n">
        <v>1</v>
      </c>
      <c r="B5" s="4" t="s">
        <v>138</v>
      </c>
      <c r="C5" s="4" t="s">
        <v>139</v>
      </c>
      <c r="D5" s="4" t="s">
        <v>140</v>
      </c>
      <c r="E5" s="4" t="s">
        <v>141</v>
      </c>
      <c r="F5" s="4" t="s">
        <v>142</v>
      </c>
      <c r="G5" s="6" t="s">
        <v>143</v>
      </c>
    </row>
    <row r="6" customFormat="false" ht="26.85" hidden="false" customHeight="false" outlineLevel="0" collapsed="false">
      <c r="A6" s="5" t="n">
        <v>2</v>
      </c>
      <c r="B6" s="5" t="s">
        <v>144</v>
      </c>
      <c r="C6" s="5" t="s">
        <v>145</v>
      </c>
      <c r="D6" s="5" t="s">
        <v>146</v>
      </c>
      <c r="E6" s="5" t="s">
        <v>147</v>
      </c>
      <c r="F6" s="5" t="s">
        <v>148</v>
      </c>
      <c r="G6" s="5" t="s">
        <v>149</v>
      </c>
    </row>
    <row r="7" customFormat="false" ht="26.85" hidden="false" customHeight="false" outlineLevel="0" collapsed="false">
      <c r="A7" s="4" t="n">
        <v>3</v>
      </c>
      <c r="B7" s="4" t="s">
        <v>150</v>
      </c>
      <c r="C7" s="4" t="s">
        <v>151</v>
      </c>
      <c r="D7" s="4" t="s">
        <v>152</v>
      </c>
      <c r="E7" s="4" t="s">
        <v>153</v>
      </c>
      <c r="F7" s="4" t="s">
        <v>154</v>
      </c>
      <c r="G7" s="4" t="s">
        <v>155</v>
      </c>
    </row>
    <row r="8" customFormat="false" ht="39.55" hidden="false" customHeight="false" outlineLevel="0" collapsed="false">
      <c r="A8" s="5" t="n">
        <v>4</v>
      </c>
      <c r="B8" s="5" t="s">
        <v>156</v>
      </c>
      <c r="C8" s="5" t="s">
        <v>157</v>
      </c>
      <c r="D8" s="5" t="s">
        <v>158</v>
      </c>
      <c r="E8" s="5" t="s">
        <v>159</v>
      </c>
      <c r="F8" s="5" t="s">
        <v>160</v>
      </c>
      <c r="G8" s="5" t="s">
        <v>161</v>
      </c>
    </row>
    <row r="9" customFormat="false" ht="26.85" hidden="false" customHeight="false" outlineLevel="0" collapsed="false">
      <c r="A9" s="4" t="n">
        <v>5</v>
      </c>
      <c r="B9" s="4" t="s">
        <v>162</v>
      </c>
      <c r="C9" s="4" t="s">
        <v>163</v>
      </c>
      <c r="D9" s="4" t="s">
        <v>164</v>
      </c>
      <c r="E9" s="4" t="s">
        <v>165</v>
      </c>
      <c r="F9" s="4" t="s">
        <v>166</v>
      </c>
      <c r="G9" s="6" t="s">
        <v>167</v>
      </c>
    </row>
    <row r="10" customFormat="false" ht="26.85" hidden="false" customHeight="false" outlineLevel="0" collapsed="false">
      <c r="A10" s="5" t="n">
        <v>6</v>
      </c>
      <c r="B10" s="5" t="s">
        <v>168</v>
      </c>
      <c r="C10" s="5" t="s">
        <v>169</v>
      </c>
      <c r="D10" s="5" t="s">
        <v>170</v>
      </c>
      <c r="E10" s="5" t="s">
        <v>171</v>
      </c>
      <c r="F10" s="5" t="s">
        <v>172</v>
      </c>
      <c r="G10" s="5" t="s">
        <v>173</v>
      </c>
    </row>
    <row r="11" customFormat="false" ht="26.85" hidden="false" customHeight="false" outlineLevel="0" collapsed="false">
      <c r="A11" s="4" t="n">
        <v>7</v>
      </c>
      <c r="B11" s="4" t="s">
        <v>174</v>
      </c>
      <c r="C11" s="4" t="s">
        <v>175</v>
      </c>
      <c r="D11" s="4" t="s">
        <v>176</v>
      </c>
      <c r="E11" s="4" t="s">
        <v>177</v>
      </c>
      <c r="F11" s="4" t="s">
        <v>178</v>
      </c>
      <c r="G11" s="4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22"/>
  </cols>
  <sheetData>
    <row r="1" customFormat="false" ht="19.4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4" customFormat="false" ht="15" hidden="false" customHeight="false" outlineLevel="0" collapsed="false">
      <c r="A4" s="17" t="s">
        <v>181</v>
      </c>
      <c r="B4" s="18" t="n">
        <f aca="false">DATE(2026,10,18)</f>
        <v>46313</v>
      </c>
    </row>
    <row r="5" customFormat="false" ht="15" hidden="false" customHeight="false" outlineLevel="0" collapsed="false">
      <c r="A5" s="17" t="s">
        <v>182</v>
      </c>
      <c r="B5" s="19" t="n">
        <f aca="false">DATE(2026,7,24)</f>
        <v>46227</v>
      </c>
    </row>
    <row r="6" customFormat="false" ht="16.4" hidden="false" customHeight="false" outlineLevel="0" collapsed="false">
      <c r="A6" s="17" t="s">
        <v>183</v>
      </c>
      <c r="B6" s="20" t="n">
        <f aca="false">B4-B5</f>
        <v>86</v>
      </c>
    </row>
    <row r="8" customFormat="false" ht="15" hidden="false" customHeight="false" outlineLevel="0" collapsed="false">
      <c r="A8" s="3" t="s">
        <v>184</v>
      </c>
      <c r="B8" s="3" t="s">
        <v>185</v>
      </c>
      <c r="C8" s="3" t="s">
        <v>186</v>
      </c>
      <c r="D8" s="3" t="s">
        <v>187</v>
      </c>
      <c r="E8" s="3" t="s">
        <v>188</v>
      </c>
      <c r="F8" s="3" t="s">
        <v>189</v>
      </c>
    </row>
    <row r="9" customFormat="false" ht="26.85" hidden="false" customHeight="false" outlineLevel="0" collapsed="false">
      <c r="A9" s="6" t="s">
        <v>190</v>
      </c>
      <c r="B9" s="6" t="s">
        <v>191</v>
      </c>
      <c r="C9" s="4" t="s">
        <v>192</v>
      </c>
      <c r="D9" s="4" t="s">
        <v>193</v>
      </c>
      <c r="E9" s="4" t="s">
        <v>194</v>
      </c>
      <c r="F9" s="4" t="s">
        <v>195</v>
      </c>
    </row>
    <row r="10" customFormat="false" ht="26.85" hidden="false" customHeight="false" outlineLevel="0" collapsed="false">
      <c r="A10" s="7" t="s">
        <v>196</v>
      </c>
      <c r="B10" s="7" t="s">
        <v>197</v>
      </c>
      <c r="C10" s="5" t="s">
        <v>198</v>
      </c>
      <c r="D10" s="5" t="s">
        <v>199</v>
      </c>
      <c r="E10" s="7" t="s">
        <v>200</v>
      </c>
      <c r="F10" s="5" t="s">
        <v>201</v>
      </c>
    </row>
    <row r="11" customFormat="false" ht="39.55" hidden="false" customHeight="false" outlineLevel="0" collapsed="false">
      <c r="A11" s="6" t="s">
        <v>202</v>
      </c>
      <c r="B11" s="6" t="s">
        <v>203</v>
      </c>
      <c r="C11" s="4" t="s">
        <v>204</v>
      </c>
      <c r="D11" s="6" t="s">
        <v>205</v>
      </c>
      <c r="E11" s="6" t="s">
        <v>206</v>
      </c>
      <c r="F11" s="4" t="s">
        <v>207</v>
      </c>
    </row>
    <row r="12" customFormat="false" ht="26.85" hidden="false" customHeight="false" outlineLevel="0" collapsed="false">
      <c r="A12" s="7" t="s">
        <v>208</v>
      </c>
      <c r="B12" s="7" t="s">
        <v>209</v>
      </c>
      <c r="C12" s="5" t="s">
        <v>210</v>
      </c>
      <c r="D12" s="7" t="s">
        <v>211</v>
      </c>
      <c r="E12" s="5" t="s">
        <v>212</v>
      </c>
      <c r="F12" s="5" t="s">
        <v>213</v>
      </c>
    </row>
    <row r="13" customFormat="false" ht="26.85" hidden="false" customHeight="false" outlineLevel="0" collapsed="false">
      <c r="A13" s="6" t="s">
        <v>214</v>
      </c>
      <c r="B13" s="4" t="s">
        <v>215</v>
      </c>
      <c r="C13" s="6" t="s">
        <v>216</v>
      </c>
      <c r="D13" s="6" t="s">
        <v>216</v>
      </c>
      <c r="E13" s="4" t="s">
        <v>217</v>
      </c>
      <c r="F13" s="4" t="s">
        <v>218</v>
      </c>
    </row>
    <row r="15" customFormat="false" ht="39.75" hidden="false" customHeight="true" outlineLevel="0" collapsed="false">
      <c r="A15" s="10" t="s">
        <v>219</v>
      </c>
      <c r="B15" s="10"/>
      <c r="C15" s="10"/>
      <c r="D15" s="10"/>
      <c r="E15" s="10"/>
      <c r="F15" s="10"/>
    </row>
  </sheetData>
  <mergeCells count="1"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19.4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4" customFormat="false" ht="15" hidden="false" customHeight="false" outlineLevel="0" collapsed="false">
      <c r="A4" s="9" t="s">
        <v>222</v>
      </c>
      <c r="B4" s="3" t="s">
        <v>223</v>
      </c>
      <c r="C4" s="3" t="s">
        <v>224</v>
      </c>
      <c r="D4" s="3" t="s">
        <v>137</v>
      </c>
    </row>
    <row r="5" customFormat="false" ht="15" hidden="false" customHeight="false" outlineLevel="0" collapsed="false">
      <c r="A5" s="4"/>
      <c r="B5" s="4" t="s">
        <v>225</v>
      </c>
      <c r="C5" s="4" t="s">
        <v>226</v>
      </c>
      <c r="D5" s="6" t="s">
        <v>227</v>
      </c>
    </row>
    <row r="6" customFormat="false" ht="15" hidden="false" customHeight="false" outlineLevel="0" collapsed="false">
      <c r="A6" s="5"/>
      <c r="B6" s="5" t="s">
        <v>228</v>
      </c>
      <c r="C6" s="5" t="s">
        <v>226</v>
      </c>
      <c r="D6" s="7" t="s">
        <v>229</v>
      </c>
    </row>
    <row r="7" customFormat="false" ht="15" hidden="false" customHeight="false" outlineLevel="0" collapsed="false">
      <c r="A7" s="4"/>
      <c r="B7" s="4" t="s">
        <v>230</v>
      </c>
      <c r="C7" s="4" t="s">
        <v>226</v>
      </c>
      <c r="D7" s="6" t="s">
        <v>229</v>
      </c>
    </row>
    <row r="8" customFormat="false" ht="26.85" hidden="false" customHeight="false" outlineLevel="0" collapsed="false">
      <c r="A8" s="5"/>
      <c r="B8" s="5" t="s">
        <v>231</v>
      </c>
      <c r="C8" s="5" t="s">
        <v>232</v>
      </c>
      <c r="D8" s="7" t="s">
        <v>233</v>
      </c>
    </row>
    <row r="9" customFormat="false" ht="15" hidden="false" customHeight="false" outlineLevel="0" collapsed="false">
      <c r="A9" s="4"/>
      <c r="B9" s="4" t="s">
        <v>234</v>
      </c>
      <c r="C9" s="4" t="s">
        <v>232</v>
      </c>
      <c r="D9" s="6" t="s">
        <v>235</v>
      </c>
    </row>
    <row r="10" customFormat="false" ht="15" hidden="false" customHeight="false" outlineLevel="0" collapsed="false">
      <c r="A10" s="5"/>
      <c r="B10" s="5" t="s">
        <v>236</v>
      </c>
      <c r="C10" s="5" t="s">
        <v>232</v>
      </c>
      <c r="D10" s="7" t="s">
        <v>237</v>
      </c>
    </row>
    <row r="11" customFormat="false" ht="15" hidden="false" customHeight="false" outlineLevel="0" collapsed="false">
      <c r="A11" s="4"/>
      <c r="B11" s="4" t="s">
        <v>238</v>
      </c>
      <c r="C11" s="4" t="s">
        <v>232</v>
      </c>
      <c r="D11" s="6" t="s">
        <v>227</v>
      </c>
    </row>
    <row r="13" customFormat="false" ht="15" hidden="false" customHeight="false" outlineLevel="0" collapsed="false">
      <c r="A13" s="2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2026-07-24T22:41:31Z</dcterms:created>
  <dc:creator>openpyxl</dc:creator>
  <dc:description/>
  <dc:language>en-US</dc:language>
  <cp:lastModifiedBy/>
  <dcterms:modified xsi:type="dcterms:W3CDTF">2026-07-24T22:41:31Z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
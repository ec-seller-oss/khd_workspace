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⓪ラスト40日" sheetId="1" state="visible" r:id="rId3"/>
    <sheet name="①人物_松本大介" sheetId="2" state="visible" r:id="rId4"/>
    <sheet name="②松本メソッド" sheetId="3" state="visible" r:id="rId5"/>
    <sheet name="③収益モデル" sheetId="4" state="visible" r:id="rId6"/>
    <sheet name="④課題と対策" sheetId="5" state="visible" r:id="rId7"/>
    <sheet name="⑤40日設計" sheetId="6" state="visible" r:id="rId8"/>
    <sheet name="⑥今日のアクション" sheetId="7" state="visible" r:id="rId9"/>
    <sheet name="⑦記述_時間内訳計測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<sst xmlns="http://schemas.openxmlformats.org/spreadsheetml/2006/main" count="313" uniqueCount="277">
  <si>
    <r>
      <rPr>
        <b val="true"/>
        <sz val="14"/>
        <color rgb="FF1F3864"/>
        <rFont val="WenQuanYi Zen Hei"/>
        <family val="2"/>
      </rPr>
      <t xml:space="preserve">土地家屋調査士 </t>
    </r>
    <r>
      <rPr>
        <b val="true"/>
        <sz val="14"/>
        <color rgb="FF1F3864"/>
        <rFont val="Yu Gothic"/>
        <family val="0"/>
        <charset val="1"/>
      </rPr>
      <t xml:space="preserve">2026-10-18 — </t>
    </r>
    <r>
      <rPr>
        <b val="true"/>
        <sz val="14"/>
        <color rgb="FF1F3864"/>
        <rFont val="WenQuanYi Zen Hei"/>
        <family val="2"/>
      </rPr>
      <t xml:space="preserve">ラスト</t>
    </r>
    <r>
      <rPr>
        <b val="true"/>
        <sz val="14"/>
        <color rgb="FF1F3864"/>
        <rFont val="Yu Gothic"/>
        <family val="0"/>
        <charset val="1"/>
      </rPr>
      <t xml:space="preserve">40</t>
    </r>
    <r>
      <rPr>
        <b val="true"/>
        <sz val="14"/>
        <color rgb="FF1F3864"/>
        <rFont val="WenQuanYi Zen Hei"/>
        <family val="2"/>
      </rPr>
      <t xml:space="preserve">日の作戦</t>
    </r>
  </si>
  <si>
    <r>
      <rPr>
        <sz val="9"/>
        <color rgb="FF808080"/>
        <rFont val="WenQuanYi Zen Hei"/>
        <family val="2"/>
      </rPr>
      <t xml:space="preserve">作成</t>
    </r>
    <r>
      <rPr>
        <sz val="9"/>
        <color rgb="FF808080"/>
        <rFont val="Yu Gothic"/>
        <family val="0"/>
        <charset val="1"/>
      </rPr>
      <t xml:space="preserve">: 2026-09-08 </t>
    </r>
    <r>
      <rPr>
        <sz val="9"/>
        <color rgb="FF808080"/>
        <rFont val="WenQuanYi Zen Hei"/>
        <family val="2"/>
      </rPr>
      <t xml:space="preserve">／ 課題＝択一は仕上がってきたが、記述の処理速度（読解・作図）が律速</t>
    </r>
  </si>
  <si>
    <t xml:space="preserve">本試験日</t>
  </si>
  <si>
    <t xml:space="preserve">起点（本シート作成日）</t>
  </si>
  <si>
    <t xml:space="preserve">残り日数</t>
  </si>
  <si>
    <r>
      <rPr>
        <b val="true"/>
        <sz val="10"/>
        <rFont val="WenQuanYi Zen Hei"/>
        <family val="2"/>
      </rPr>
      <t xml:space="preserve">通し演習の目標本数（週</t>
    </r>
    <r>
      <rPr>
        <b val="true"/>
        <sz val="10"/>
        <rFont val="Yu Gothic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</si>
  <si>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1"/>
        <color rgb="FFBF9000"/>
        <rFont val="WenQuanYi Zen Hei"/>
        <family val="2"/>
      </rPr>
      <t xml:space="preserve">■ この</t>
    </r>
    <r>
      <rPr>
        <b val="true"/>
        <sz val="11"/>
        <color rgb="FFBF9000"/>
        <rFont val="Yu Gothic"/>
        <family val="0"/>
        <charset val="1"/>
      </rPr>
      <t xml:space="preserve">40</t>
    </r>
    <r>
      <rPr>
        <b val="true"/>
        <sz val="11"/>
        <color rgb="FFBF9000"/>
        <rFont val="WenQuanYi Zen Hei"/>
        <family val="2"/>
      </rPr>
      <t xml:space="preserve">日の意思決定（</t>
    </r>
    <r>
      <rPr>
        <b val="true"/>
        <sz val="11"/>
        <color rgb="FFBF9000"/>
        <rFont val="Yu Gothic"/>
        <family val="0"/>
        <charset val="1"/>
      </rPr>
      <t xml:space="preserve">9/8</t>
    </r>
    <r>
      <rPr>
        <b val="true"/>
        <sz val="11"/>
        <color rgb="FFBF9000"/>
        <rFont val="WenQuanYi Zen Hei"/>
        <family val="2"/>
      </rPr>
      <t xml:space="preserve">確定）</t>
    </r>
  </si>
  <si>
    <t xml:space="preserve">論点</t>
  </si>
  <si>
    <t xml:space="preserve">結論</t>
  </si>
  <si>
    <t xml:space="preserve">理由</t>
  </si>
  <si>
    <t xml:space="preserve">追加講座を取るか</t>
  </si>
  <si>
    <r>
      <rPr>
        <sz val="10"/>
        <rFont val="WenQuanYi Zen Hei"/>
        <family val="2"/>
      </rPr>
      <t xml:space="preserve">取らない（カリキュラム系は</t>
    </r>
    <r>
      <rPr>
        <sz val="10"/>
        <rFont val="Yu Gothic"/>
        <family val="0"/>
        <charset val="1"/>
      </rPr>
      <t xml:space="preserve">NO</t>
    </r>
    <r>
      <rPr>
        <sz val="10"/>
        <rFont val="WenQuanYi Zen Hei"/>
        <family val="2"/>
      </rPr>
      <t xml:space="preserve">）</t>
    </r>
  </si>
  <si>
    <r>
      <rPr>
        <sz val="10"/>
        <rFont val="Yu Gothic"/>
        <family val="0"/>
        <charset val="1"/>
      </rPr>
      <t xml:space="preserve">40</t>
    </r>
    <r>
      <rPr>
        <sz val="10"/>
        <rFont val="WenQuanYi Zen Hei"/>
        <family val="2"/>
      </rPr>
      <t xml:space="preserve">日で新規インプットは消化不良。かつ講座申込は『内務逃避＝コントロールできる作業に逃げて偽りの達成感を得る』の既知パターン。</t>
    </r>
    <r>
      <rPr>
        <sz val="10"/>
        <rFont val="Yu Gothic"/>
        <family val="0"/>
        <charset val="1"/>
      </rPr>
      <t xml:space="preserve">7/24</t>
    </r>
    <r>
      <rPr>
        <sz val="10"/>
        <rFont val="WenQuanYi Zen Hei"/>
        <family val="2"/>
      </rPr>
      <t xml:space="preserve">に決めた『</t>
    </r>
    <r>
      <rPr>
        <sz val="10"/>
        <rFont val="Yu Gothic"/>
        <family val="0"/>
        <charset val="1"/>
      </rPr>
      <t xml:space="preserve">90</t>
    </r>
    <r>
      <rPr>
        <sz val="10"/>
        <rFont val="WenQuanYi Zen Hei"/>
        <family val="2"/>
      </rPr>
      <t xml:space="preserve">日は型を改造しない』にも反する</t>
    </r>
  </si>
  <si>
    <t xml:space="preserve">例外①：答練・模試</t>
  </si>
  <si>
    <t xml:space="preserve">受ける（＝講座ではなく測定）</t>
  </si>
  <si>
    <r>
      <rPr>
        <sz val="10"/>
        <rFont val="WenQuanYi Zen Hei"/>
        <family val="2"/>
      </rPr>
      <t xml:space="preserve">直前記述答練（記述のみ</t>
    </r>
    <r>
      <rPr>
        <sz val="10"/>
        <rFont val="Yu Gothic"/>
        <family val="0"/>
        <charset val="1"/>
      </rPr>
      <t xml:space="preserve">100</t>
    </r>
    <r>
      <rPr>
        <sz val="10"/>
        <rFont val="WenQuanYi Zen Hei"/>
        <family val="2"/>
      </rPr>
      <t xml:space="preserve">分）・直前予想模試。未受験なら最優先で申込。※</t>
    </r>
    <r>
      <rPr>
        <sz val="10"/>
        <rFont val="Yu Gothic"/>
        <family val="0"/>
        <charset val="1"/>
      </rPr>
      <t xml:space="preserve">9</t>
    </r>
    <r>
      <rPr>
        <sz val="10"/>
        <rFont val="WenQuanYi Zen Hei"/>
        <family val="2"/>
      </rPr>
      <t xml:space="preserve">月からの申込可否と日程は要確認</t>
    </r>
  </si>
  <si>
    <t xml:space="preserve">例外②：作図の実演映像</t>
  </si>
  <si>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〜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本だけ見る（フォーム矯正）</t>
    </r>
  </si>
  <si>
    <t xml:space="preserve">手順の癖は自己流の反復では直らない。合格体験記でも『講師が解いている映像で計算・作図の手順が解消した』が繰り返し出る。カリキュラムではなく数時間の投資に留める</t>
  </si>
  <si>
    <t xml:space="preserve">何度も解き直すか</t>
  </si>
  <si>
    <t xml:space="preserve">する。新規は入れない</t>
  </si>
  <si>
    <r>
      <rPr>
        <sz val="10"/>
        <rFont val="WenQuanYi Zen Hei"/>
        <family val="2"/>
      </rPr>
      <t xml:space="preserve">松本メソッドどおり </t>
    </r>
    <r>
      <rPr>
        <sz val="10"/>
        <rFont val="Yu Gothic"/>
        <family val="0"/>
        <charset val="1"/>
      </rPr>
      <t xml:space="preserve">×</t>
    </r>
    <r>
      <rPr>
        <sz val="10"/>
        <rFont val="WenQuanYi Zen Hei"/>
        <family val="2"/>
      </rPr>
      <t xml:space="preserve">だけ管理／○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回で卒業。</t>
    </r>
    <r>
      <rPr>
        <sz val="10"/>
        <rFont val="Yu Gothic"/>
        <family val="0"/>
        <charset val="1"/>
      </rPr>
      <t xml:space="preserve">10</t>
    </r>
    <r>
      <rPr>
        <sz val="10"/>
        <rFont val="WenQuanYi Zen Hei"/>
        <family val="2"/>
      </rPr>
      <t xml:space="preserve">月は新規ゼロ・</t>
    </r>
    <r>
      <rPr>
        <sz val="10"/>
        <rFont val="Yu Gothic"/>
        <family val="0"/>
        <charset val="1"/>
      </rPr>
      <t xml:space="preserve">Anki due</t>
    </r>
    <r>
      <rPr>
        <sz val="10"/>
        <rFont val="WenQuanYi Zen Hei"/>
        <family val="2"/>
      </rPr>
      <t xml:space="preserve">のみで着地</t>
    </r>
  </si>
  <si>
    <t xml:space="preserve">解く順番</t>
  </si>
  <si>
    <t xml:space="preserve">建物 → 土地 に固定</t>
  </si>
  <si>
    <t xml:space="preserve">建物は複雑な座標計算がなく得点が安定。先に確実な点を確保してから土地に入る（複数の合格者が推奨）</t>
  </si>
  <si>
    <r>
      <rPr>
        <b val="true"/>
        <sz val="10"/>
        <rFont val="Yu Gothic"/>
        <family val="0"/>
        <charset val="1"/>
      </rPr>
      <t xml:space="preserve">★40</t>
    </r>
    <r>
      <rPr>
        <b val="true"/>
        <sz val="10"/>
        <rFont val="WenQuanYi Zen Hei"/>
        <family val="2"/>
      </rPr>
      <t xml:space="preserve">日で一番効くのは新しい入力ではなく『時間内訳の計測』。いま「読解が遅い・作図が遅い」と感覚で言えている＝まだ測っていない状態。⑦シートで毎回</t>
    </r>
    <r>
      <rPr>
        <b val="true"/>
        <sz val="10"/>
        <rFont val="Yu Gothic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工程の分を記録すれば、投資先が</t>
    </r>
    <r>
      <rPr>
        <b val="true"/>
        <sz val="10"/>
        <rFont val="Yu Gothic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つに決まる。</t>
    </r>
    <r>
      <rPr>
        <b val="true"/>
        <sz val="10"/>
        <rFont val="Yu Gothic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月の結論（差の正体は測定の有無）が、記述の中でもう一段細かく起きているだけ。</t>
    </r>
  </si>
  <si>
    <t xml:space="preserve">司法書士法人ネクストリーガル 松本大介氏 — 人物・会社分析</t>
  </si>
  <si>
    <r>
      <rPr>
        <sz val="9"/>
        <color rgb="FF808080"/>
        <rFont val="WenQuanYi Zen Hei"/>
        <family val="2"/>
      </rPr>
      <t xml:space="preserve">出典</t>
    </r>
    <r>
      <rPr>
        <sz val="9"/>
        <color rgb="FF808080"/>
        <rFont val="Yu Gothic"/>
        <family val="0"/>
        <charset val="1"/>
      </rPr>
      <t xml:space="preserve">: </t>
    </r>
    <r>
      <rPr>
        <sz val="9"/>
        <color rgb="FF808080"/>
        <rFont val="WenQuanYi Zen Hei"/>
        <family val="2"/>
      </rPr>
      <t xml:space="preserve">名刺・本人談・</t>
    </r>
    <r>
      <rPr>
        <sz val="9"/>
        <color rgb="FF808080"/>
        <rFont val="Yu Gothic"/>
        <family val="0"/>
        <charset val="1"/>
      </rPr>
      <t xml:space="preserve">Web</t>
    </r>
    <r>
      <rPr>
        <sz val="9"/>
        <color rgb="FF808080"/>
        <rFont val="WenQuanYi Zen Hei"/>
        <family val="2"/>
      </rPr>
      <t xml:space="preserve">公開情報（</t>
    </r>
    <r>
      <rPr>
        <sz val="9"/>
        <color rgb="FF808080"/>
        <rFont val="Yu Gothic"/>
        <family val="0"/>
        <charset val="1"/>
      </rPr>
      <t xml:space="preserve">2026-07-24 </t>
    </r>
    <r>
      <rPr>
        <sz val="9"/>
        <color rgb="FF808080"/>
        <rFont val="WenQuanYi Zen Hei"/>
        <family val="2"/>
      </rPr>
      <t xml:space="preserve">祝賀会）</t>
    </r>
  </si>
  <si>
    <t xml:space="preserve">項目</t>
  </si>
  <si>
    <t xml:space="preserve">内容</t>
  </si>
  <si>
    <t xml:space="preserve">出典</t>
  </si>
  <si>
    <t xml:space="preserve">氏名</t>
  </si>
  <si>
    <t xml:space="preserve">松本 大介（まつもと だいすけ）</t>
  </si>
  <si>
    <t xml:space="preserve">名刺</t>
  </si>
  <si>
    <t xml:space="preserve">肩書</t>
  </si>
  <si>
    <t xml:space="preserve">司法書士／行政書士（法人代表格として営業も自ら行う）</t>
  </si>
  <si>
    <t xml:space="preserve">名刺・本人談</t>
  </si>
  <si>
    <t xml:space="preserve">法人名</t>
  </si>
  <si>
    <r>
      <rPr>
        <sz val="10"/>
        <rFont val="WenQuanYi Zen Hei"/>
        <family val="2"/>
      </rPr>
      <t xml:space="preserve">司法書士法人ネクストリーガル（</t>
    </r>
    <r>
      <rPr>
        <sz val="10"/>
        <rFont val="Yu Gothic"/>
        <family val="0"/>
        <charset val="1"/>
      </rPr>
      <t xml:space="preserve">NEXT LEGAL</t>
    </r>
    <r>
      <rPr>
        <sz val="10"/>
        <rFont val="WenQuanYi Zen Hei"/>
        <family val="2"/>
      </rPr>
      <t xml:space="preserve">）／行政書士事務所ネクストリーガル</t>
    </r>
  </si>
  <si>
    <r>
      <rPr>
        <sz val="10"/>
        <rFont val="WenQuanYi Zen Hei"/>
        <family val="2"/>
      </rPr>
      <t xml:space="preserve">名刺・</t>
    </r>
    <r>
      <rPr>
        <sz val="10"/>
        <rFont val="Yu Gothic"/>
        <family val="0"/>
        <charset val="1"/>
      </rPr>
      <t xml:space="preserve">Web</t>
    </r>
  </si>
  <si>
    <t xml:space="preserve">所在地</t>
  </si>
  <si>
    <r>
      <rPr>
        <sz val="10"/>
        <rFont val="WenQuanYi Zen Hei"/>
        <family val="2"/>
      </rPr>
      <t xml:space="preserve">〒</t>
    </r>
    <r>
      <rPr>
        <sz val="10"/>
        <rFont val="Yu Gothic"/>
        <family val="0"/>
        <charset val="1"/>
      </rPr>
      <t xml:space="preserve">150-0021 </t>
    </r>
    <r>
      <rPr>
        <sz val="10"/>
        <rFont val="WenQuanYi Zen Hei"/>
        <family val="2"/>
      </rPr>
      <t xml:space="preserve">東京都渋谷区恵比寿西</t>
    </r>
    <r>
      <rPr>
        <sz val="10"/>
        <rFont val="Yu Gothic"/>
        <family val="0"/>
        <charset val="1"/>
      </rPr>
      <t xml:space="preserve">1-12-12 </t>
    </r>
    <r>
      <rPr>
        <sz val="10"/>
        <rFont val="WenQuanYi Zen Hei"/>
        <family val="2"/>
      </rPr>
      <t xml:space="preserve">ルネス</t>
    </r>
    <r>
      <rPr>
        <sz val="10"/>
        <rFont val="Yu Gothic"/>
        <family val="0"/>
        <charset val="1"/>
      </rPr>
      <t xml:space="preserve">E.B.I 5F</t>
    </r>
    <r>
      <rPr>
        <sz val="10"/>
        <rFont val="WenQuanYi Zen Hei"/>
        <family val="2"/>
      </rPr>
      <t xml:space="preserve">（</t>
    </r>
    <r>
      <rPr>
        <sz val="10"/>
        <rFont val="Yu Gothic"/>
        <family val="0"/>
        <charset val="1"/>
      </rPr>
      <t xml:space="preserve">JR</t>
    </r>
    <r>
      <rPr>
        <sz val="10"/>
        <rFont val="WenQuanYi Zen Hei"/>
        <family val="2"/>
      </rPr>
      <t xml:space="preserve">恵比寿駅西口 徒歩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分）</t>
    </r>
  </si>
  <si>
    <t xml:space="preserve">連絡先</t>
  </si>
  <si>
    <r>
      <rPr>
        <sz val="10"/>
        <rFont val="Yu Gothic"/>
        <family val="0"/>
        <charset val="1"/>
      </rPr>
      <t xml:space="preserve">TEL 03-6416-5692</t>
    </r>
    <r>
      <rPr>
        <sz val="10"/>
        <rFont val="WenQuanYi Zen Hei"/>
        <family val="2"/>
      </rPr>
      <t xml:space="preserve">／携帯 </t>
    </r>
    <r>
      <rPr>
        <sz val="10"/>
        <rFont val="Yu Gothic"/>
        <family val="0"/>
        <charset val="1"/>
      </rPr>
      <t xml:space="preserve">090-8992-8575</t>
    </r>
    <r>
      <rPr>
        <sz val="10"/>
        <rFont val="WenQuanYi Zen Hei"/>
        <family val="2"/>
      </rPr>
      <t xml:space="preserve">／</t>
    </r>
    <r>
      <rPr>
        <sz val="10"/>
        <rFont val="Yu Gothic"/>
        <family val="0"/>
        <charset val="1"/>
      </rPr>
      <t xml:space="preserve">Mail d-matsumoto@next-legal.or.jp</t>
    </r>
  </si>
  <si>
    <t xml:space="preserve">Web</t>
  </si>
  <si>
    <r>
      <rPr>
        <sz val="10"/>
        <rFont val="Yu Gothic"/>
        <family val="0"/>
        <charset val="1"/>
      </rPr>
      <t xml:space="preserve">next-legal.or.jp </t>
    </r>
    <r>
      <rPr>
        <sz val="10"/>
        <rFont val="WenQuanYi Zen Hei"/>
        <family val="2"/>
      </rPr>
      <t xml:space="preserve">／ </t>
    </r>
    <r>
      <rPr>
        <sz val="10"/>
        <rFont val="Yu Gothic"/>
        <family val="0"/>
        <charset val="1"/>
      </rPr>
      <t xml:space="preserve">office-nl.com</t>
    </r>
    <r>
      <rPr>
        <sz val="10"/>
        <rFont val="WenQuanYi Zen Hei"/>
        <family val="2"/>
      </rPr>
      <t xml:space="preserve">（「恵比寿駅前の相続に強い」）／ </t>
    </r>
    <r>
      <rPr>
        <sz val="10"/>
        <rFont val="Yu Gothic"/>
        <family val="0"/>
        <charset val="1"/>
      </rPr>
      <t xml:space="preserve">nextlegal.jp</t>
    </r>
  </si>
  <si>
    <r>
      <rPr>
        <sz val="10"/>
        <rFont val="Yu Gothic"/>
        <family val="0"/>
        <charset val="1"/>
      </rPr>
      <t xml:space="preserve">Web</t>
    </r>
    <r>
      <rPr>
        <sz val="10"/>
        <rFont val="WenQuanYi Zen Hei"/>
        <family val="2"/>
      </rPr>
      <t xml:space="preserve">検索</t>
    </r>
  </si>
  <si>
    <t xml:space="preserve">法人番号</t>
  </si>
  <si>
    <t xml:space="preserve">1011005009537</t>
  </si>
  <si>
    <t xml:space="preserve">gBizINFO</t>
  </si>
  <si>
    <t xml:space="preserve">司法書士登録</t>
  </si>
  <si>
    <r>
      <rPr>
        <sz val="10"/>
        <rFont val="WenQuanYi Zen Hei"/>
        <family val="2"/>
      </rPr>
      <t xml:space="preserve">東京司法書士会 登録番号</t>
    </r>
    <r>
      <rPr>
        <sz val="10"/>
        <rFont val="Yu Gothic"/>
        <family val="0"/>
        <charset val="1"/>
      </rPr>
      <t xml:space="preserve">6800</t>
    </r>
    <r>
      <rPr>
        <sz val="10"/>
        <rFont val="WenQuanYi Zen Hei"/>
        <family val="2"/>
      </rPr>
      <t xml:space="preserve">号</t>
    </r>
  </si>
  <si>
    <t xml:space="preserve">東京司法書士会 会員検索</t>
  </si>
  <si>
    <r>
      <rPr>
        <b val="true"/>
        <sz val="11"/>
        <color rgb="FFBF9000"/>
        <rFont val="WenQuanYi Zen Hei"/>
        <family val="2"/>
      </rPr>
      <t xml:space="preserve">■ 保有資格（</t>
    </r>
    <r>
      <rPr>
        <b val="true"/>
        <sz val="11"/>
        <color rgb="FFBF9000"/>
        <rFont val="Yu Gothic"/>
        <family val="0"/>
        <charset val="1"/>
      </rPr>
      <t xml:space="preserve">11</t>
    </r>
    <r>
      <rPr>
        <b val="true"/>
        <sz val="11"/>
        <color rgb="FFBF9000"/>
        <rFont val="WenQuanYi Zen Hei"/>
        <family val="2"/>
      </rPr>
      <t xml:space="preserve">資格）</t>
    </r>
  </si>
  <si>
    <t xml:space="preserve">#</t>
  </si>
  <si>
    <t xml:space="preserve">資格</t>
  </si>
  <si>
    <t xml:space="preserve">戦略上の意味</t>
  </si>
  <si>
    <t xml:space="preserve">司法書士</t>
  </si>
  <si>
    <t xml:space="preserve">権利登記（保存・移転・抵当権設定）＝マンション分譲の川下を全部取れる</t>
  </si>
  <si>
    <t xml:space="preserve">土地家屋調査士</t>
  </si>
  <si>
    <r>
      <rPr>
        <sz val="10"/>
        <rFont val="WenQuanYi Zen Hei"/>
        <family val="2"/>
      </rPr>
      <t xml:space="preserve">表題登記の申請代理は調査士の独占業務。『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部屋</t>
    </r>
    <r>
      <rPr>
        <sz val="10"/>
        <rFont val="Yu Gothic"/>
        <family val="0"/>
        <charset val="1"/>
      </rPr>
      <t xml:space="preserve">10</t>
    </r>
    <r>
      <rPr>
        <sz val="10"/>
        <rFont val="WenQuanYi Zen Hei"/>
        <family val="2"/>
      </rPr>
      <t xml:space="preserve">万</t>
    </r>
    <r>
      <rPr>
        <sz val="10"/>
        <rFont val="Yu Gothic"/>
        <family val="0"/>
        <charset val="1"/>
      </rPr>
      <t xml:space="preserve">×100</t>
    </r>
    <r>
      <rPr>
        <sz val="10"/>
        <rFont val="WenQuanYi Zen Hei"/>
        <family val="2"/>
      </rPr>
      <t xml:space="preserve">部屋』を自ら受任できる法的根拠</t>
    </r>
  </si>
  <si>
    <r>
      <rPr>
        <sz val="10"/>
        <rFont val="WenQuanYi Zen Hei"/>
        <family val="2"/>
      </rPr>
      <t xml:space="preserve">測量士（</t>
    </r>
    <r>
      <rPr>
        <sz val="10"/>
        <rFont val="Yu Gothic"/>
        <family val="0"/>
        <charset val="1"/>
      </rPr>
      <t xml:space="preserve">2026</t>
    </r>
    <r>
      <rPr>
        <sz val="10"/>
        <rFont val="WenQuanYi Zen Hei"/>
        <family val="2"/>
      </rPr>
      <t xml:space="preserve">合格）</t>
    </r>
  </si>
  <si>
    <t xml:space="preserve">表題の前工程＝測量まで内製化。外注ゼロで回す布石</t>
  </si>
  <si>
    <t xml:space="preserve">行政書士</t>
  </si>
  <si>
    <t xml:space="preserve">許認可・宗教法人手続に接続。太客の入口</t>
  </si>
  <si>
    <t xml:space="preserve">測量士補</t>
  </si>
  <si>
    <t xml:space="preserve">測量士への通過点＋調査士の午前免除ルート</t>
  </si>
  <si>
    <t xml:space="preserve">マンション管理士</t>
  </si>
  <si>
    <r>
      <rPr>
        <sz val="10"/>
        <rFont val="WenQuanYi Zen Hei"/>
        <family val="2"/>
      </rPr>
      <t xml:space="preserve">マンション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点セット①。デベロッパー・管理組合との会話力</t>
    </r>
  </si>
  <si>
    <t xml:space="preserve">管理業務主任者</t>
  </si>
  <si>
    <r>
      <rPr>
        <sz val="10"/>
        <rFont val="WenQuanYi Zen Hei"/>
        <family val="2"/>
      </rPr>
      <t xml:space="preserve">マンション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点セット②。管理会社サイドの実務知識</t>
    </r>
  </si>
  <si>
    <t xml:space="preserve">宅地建物取引士</t>
  </si>
  <si>
    <r>
      <rPr>
        <sz val="10"/>
        <rFont val="WenQuanYi Zen Hei"/>
        <family val="2"/>
      </rPr>
      <t xml:space="preserve">マンション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点セット③。売買実務・デベの商流理解</t>
    </r>
  </si>
  <si>
    <t xml:space="preserve">貸金業務取扱主任者</t>
  </si>
  <si>
    <t xml:space="preserve">融資・ノンバンク側の知識＝抵当権設定案件の会話力</t>
  </si>
  <si>
    <t xml:space="preserve">総合旅行業務取扱管理者</t>
  </si>
  <si>
    <t xml:space="preserve">試験攻略力そのものの証明。学習法の汎用性</t>
  </si>
  <si>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級</t>
    </r>
    <r>
      <rPr>
        <sz val="10"/>
        <rFont val="Yu Gothic"/>
        <family val="0"/>
        <charset val="1"/>
      </rPr>
      <t xml:space="preserve">FP</t>
    </r>
    <r>
      <rPr>
        <sz val="10"/>
        <rFont val="WenQuanYi Zen Hei"/>
        <family val="2"/>
      </rPr>
      <t xml:space="preserve">技能士</t>
    </r>
  </si>
  <si>
    <t xml:space="preserve">相続・資産の入口商談で全体像を掴む</t>
  </si>
  <si>
    <r>
      <rPr>
        <b val="true"/>
        <sz val="10"/>
        <rFont val="WenQuanYi Zen Hei"/>
        <family val="2"/>
      </rPr>
      <t xml:space="preserve">★「マンション</t>
    </r>
    <r>
      <rPr>
        <b val="true"/>
        <sz val="10"/>
        <rFont val="Yu Gothic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資格 </t>
    </r>
    <r>
      <rPr>
        <b val="true"/>
        <sz val="10"/>
        <rFont val="Yu Gothic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登記</t>
    </r>
    <r>
      <rPr>
        <b val="true"/>
        <sz val="10"/>
        <rFont val="Yu Gothic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資格（司法書士＋調査士＋測量士）」の掛け算で、新築マンション一棟を測量→表題→権利までワンストップ独占。資格リストそのものが営業資料になっている。</t>
    </r>
  </si>
  <si>
    <r>
      <rPr>
        <b val="true"/>
        <sz val="14"/>
        <color rgb="FF1F3864"/>
        <rFont val="WenQuanYi Zen Hei"/>
        <family val="2"/>
      </rPr>
      <t xml:space="preserve">松本メソッド（阪大生直伝の過去問法＋出題者分析）— 分解と</t>
    </r>
    <r>
      <rPr>
        <b val="true"/>
        <sz val="14"/>
        <color rgb="FF1F3864"/>
        <rFont val="Yu Gothic"/>
        <family val="0"/>
        <charset val="1"/>
      </rPr>
      <t xml:space="preserve">TTP</t>
    </r>
  </si>
  <si>
    <r>
      <rPr>
        <sz val="9"/>
        <color rgb="FF808080"/>
        <rFont val="Yu Gothic"/>
        <family val="0"/>
        <charset val="1"/>
      </rPr>
      <t xml:space="preserve">90</t>
    </r>
    <r>
      <rPr>
        <sz val="9"/>
        <color rgb="FF808080"/>
        <rFont val="WenQuanYi Zen Hei"/>
        <family val="2"/>
      </rPr>
      <t xml:space="preserve">日間は改造せずそのまま回す。効果測定は答練の点数のみ</t>
    </r>
  </si>
  <si>
    <t xml:space="preserve">松本の型</t>
  </si>
  <si>
    <t xml:space="preserve">背後の原理</t>
  </si>
  <si>
    <r>
      <rPr>
        <b val="true"/>
        <sz val="10"/>
        <color rgb="FFFFFFFF"/>
        <rFont val="WenQuanYi Zen Hei"/>
        <family val="2"/>
      </rPr>
      <t xml:space="preserve">俺の現状</t>
    </r>
    <r>
      <rPr>
        <b val="true"/>
        <sz val="10"/>
        <color rgb="FFFFFFFF"/>
        <rFont val="Yu Gothic"/>
        <family val="0"/>
        <charset val="1"/>
      </rPr>
      <t xml:space="preserve">(9/8)</t>
    </r>
  </si>
  <si>
    <t xml:space="preserve">実装</t>
  </si>
  <si>
    <t xml:space="preserve">運用場所</t>
  </si>
  <si>
    <r>
      <rPr>
        <sz val="10"/>
        <rFont val="WenQuanYi Zen Hei"/>
        <family val="2"/>
      </rPr>
      <t xml:space="preserve">過去問は</t>
    </r>
    <r>
      <rPr>
        <sz val="10"/>
        <rFont val="Yu Gothic"/>
        <family val="0"/>
        <charset val="1"/>
      </rPr>
      <t xml:space="preserve">4</t>
    </r>
    <r>
      <rPr>
        <sz val="10"/>
        <rFont val="WenQuanYi Zen Hei"/>
        <family val="2"/>
      </rPr>
      <t xml:space="preserve">〜</t>
    </r>
    <r>
      <rPr>
        <sz val="10"/>
        <rFont val="Yu Gothic"/>
        <family val="0"/>
        <charset val="1"/>
      </rPr>
      <t xml:space="preserve">5</t>
    </r>
    <r>
      <rPr>
        <sz val="10"/>
        <rFont val="WenQuanYi Zen Hei"/>
        <family val="2"/>
      </rPr>
      <t xml:space="preserve">周目まで線を引かない。理解が紐づくまで待つ</t>
    </r>
  </si>
  <si>
    <t xml:space="preserve">早期マーキングは『作業した感』を生む偽の達成感。まず知識のネットワーク化</t>
  </si>
  <si>
    <t xml:space="preserve">択一は完成度が上がってきた＝紐づきフェーズに到達</t>
  </si>
  <si>
    <r>
      <rPr>
        <sz val="10"/>
        <rFont val="WenQuanYi Zen Hei"/>
        <family val="2"/>
      </rPr>
      <t xml:space="preserve">マーキング解禁。</t>
    </r>
    <r>
      <rPr>
        <sz val="10"/>
        <rFont val="Yu Gothic"/>
        <family val="0"/>
        <charset val="1"/>
      </rPr>
      <t xml:space="preserve">×</t>
    </r>
    <r>
      <rPr>
        <sz val="10"/>
        <rFont val="WenQuanYi Zen Hei"/>
        <family val="2"/>
      </rPr>
      <t xml:space="preserve">のみ記録</t>
    </r>
  </si>
  <si>
    <t xml:space="preserve">トラッカー</t>
  </si>
  <si>
    <r>
      <rPr>
        <sz val="10"/>
        <rFont val="WenQuanYi Zen Hei"/>
        <family val="2"/>
      </rPr>
      <t xml:space="preserve">紐づいた後は『どうしても間違う問題だけ』に○</t>
    </r>
    <r>
      <rPr>
        <sz val="10"/>
        <rFont val="Yu Gothic"/>
        <family val="0"/>
        <charset val="1"/>
      </rPr>
      <t xml:space="preserve">×△</t>
    </r>
  </si>
  <si>
    <t xml:space="preserve">全問管理をやめエラーだけ管理＝管理コスト最小化</t>
  </si>
  <si>
    <t xml:space="preserve">運用変更済み</t>
  </si>
  <si>
    <r>
      <rPr>
        <sz val="10"/>
        <rFont val="Yu Gothic"/>
        <family val="0"/>
        <charset val="1"/>
      </rPr>
      <t xml:space="preserve">×</t>
    </r>
    <r>
      <rPr>
        <sz val="10"/>
        <rFont val="WenQuanYi Zen Hei"/>
        <family val="2"/>
      </rPr>
      <t xml:space="preserve">が出た問題だけ記入</t>
    </r>
  </si>
  <si>
    <r>
      <rPr>
        <sz val="10"/>
        <rFont val="WenQuanYi Zen Hei"/>
        <family val="2"/>
      </rPr>
      <t xml:space="preserve">○が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回付いた問題は二度と解かない</t>
    </r>
  </si>
  <si>
    <t xml:space="preserve">卒業基準の明文化。復習母集団が単調減少し直前期が自動的に軽くなる</t>
  </si>
  <si>
    <r>
      <rPr>
        <sz val="10"/>
        <rFont val="Yu Gothic"/>
        <family val="0"/>
        <charset val="1"/>
      </rPr>
      <t xml:space="preserve">10</t>
    </r>
    <r>
      <rPr>
        <sz val="10"/>
        <rFont val="WenQuanYi Zen Hei"/>
        <family val="2"/>
      </rPr>
      <t xml:space="preserve">月を軽くするため今が積み時</t>
    </r>
  </si>
  <si>
    <r>
      <rPr>
        <sz val="10"/>
        <rFont val="Yu Gothic"/>
        <family val="0"/>
        <charset val="1"/>
      </rPr>
      <t xml:space="preserve">9</t>
    </r>
    <r>
      <rPr>
        <sz val="10"/>
        <rFont val="WenQuanYi Zen Hei"/>
        <family val="2"/>
      </rPr>
      <t xml:space="preserve">月中に卒業を積み上げる</t>
    </r>
  </si>
  <si>
    <r>
      <rPr>
        <sz val="10"/>
        <rFont val="WenQuanYi Zen Hei"/>
        <family val="2"/>
      </rPr>
      <t xml:space="preserve">トラッカー＋</t>
    </r>
    <r>
      <rPr>
        <sz val="10"/>
        <rFont val="Yu Gothic"/>
        <family val="0"/>
        <charset val="1"/>
      </rPr>
      <t xml:space="preserve">Anki</t>
    </r>
  </si>
  <si>
    <r>
      <rPr>
        <sz val="10"/>
        <rFont val="Yu Gothic"/>
        <family val="0"/>
        <charset val="1"/>
      </rPr>
      <t xml:space="preserve">R5</t>
    </r>
    <r>
      <rPr>
        <sz val="10"/>
        <rFont val="WenQuanYi Zen Hei"/>
        <family val="2"/>
      </rPr>
      <t xml:space="preserve">は『クソ問だから解くな』と言われるが順に解けば素直。法務省の犬として素直に解けるかが問われている</t>
    </r>
  </si>
  <si>
    <t xml:space="preserve">評判（二次情報）でなく問題そのもの（一次情報）で判断。出題者の真意を読むメタ認知</t>
  </si>
  <si>
    <r>
      <rPr>
        <sz val="10"/>
        <rFont val="WenQuanYi Zen Hei"/>
        <family val="2"/>
      </rPr>
      <t xml:space="preserve">記述</t>
    </r>
    <r>
      <rPr>
        <sz val="10"/>
        <rFont val="Yu Gothic"/>
        <family val="0"/>
        <charset val="1"/>
      </rPr>
      <t xml:space="preserve">R5</t>
    </r>
    <r>
      <rPr>
        <sz val="10"/>
        <rFont val="WenQuanYi Zen Hei"/>
        <family val="2"/>
      </rPr>
      <t xml:space="preserve">も同じ。捨て問ラベルに従う前提でいた</t>
    </r>
  </si>
  <si>
    <r>
      <rPr>
        <sz val="10"/>
        <rFont val="Yu Gothic"/>
        <family val="0"/>
        <charset val="1"/>
      </rPr>
      <t xml:space="preserve">R5</t>
    </r>
    <r>
      <rPr>
        <sz val="10"/>
        <rFont val="WenQuanYi Zen Hei"/>
        <family val="2"/>
      </rPr>
      <t xml:space="preserve">記述を</t>
    </r>
    <r>
      <rPr>
        <sz val="10"/>
        <rFont val="Yu Gothic"/>
        <family val="0"/>
        <charset val="1"/>
      </rPr>
      <t xml:space="preserve">9</t>
    </r>
    <r>
      <rPr>
        <sz val="10"/>
        <rFont val="WenQuanYi Zen Hei"/>
        <family val="2"/>
      </rPr>
      <t xml:space="preserve">月に本番形式で解き、出題者の要求を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行言語化</t>
    </r>
  </si>
  <si>
    <t xml:space="preserve">⑦計測ログ</t>
  </si>
  <si>
    <t xml:space="preserve">阪大生の型を自己流を挟まず素直に実行</t>
  </si>
  <si>
    <r>
      <rPr>
        <sz val="10"/>
        <rFont val="WenQuanYi Zen Hei"/>
        <family val="2"/>
      </rPr>
      <t xml:space="preserve">強者の型をそのままやる</t>
    </r>
    <r>
      <rPr>
        <sz val="10"/>
        <rFont val="Yu Gothic"/>
        <family val="0"/>
        <charset val="1"/>
      </rPr>
      <t xml:space="preserve">TTP</t>
    </r>
    <r>
      <rPr>
        <sz val="10"/>
        <rFont val="WenQuanYi Zen Hei"/>
        <family val="2"/>
      </rPr>
      <t xml:space="preserve">力が最強の学習スキル</t>
    </r>
  </si>
  <si>
    <t xml:space="preserve">型を改造したくなる癖がある（＝今回の『講座を足すか』もこれ）</t>
  </si>
  <si>
    <r>
      <rPr>
        <sz val="10"/>
        <rFont val="Yu Gothic"/>
        <family val="0"/>
        <charset val="1"/>
      </rPr>
      <t xml:space="preserve">40</t>
    </r>
    <r>
      <rPr>
        <sz val="10"/>
        <rFont val="WenQuanYi Zen Hei"/>
        <family val="2"/>
      </rPr>
      <t xml:space="preserve">日は型を触らない。判断材料は答練の点数のみ</t>
    </r>
  </si>
  <si>
    <t xml:space="preserve">⓪意思決定</t>
  </si>
  <si>
    <r>
      <rPr>
        <sz val="10"/>
        <rFont val="WenQuanYi Zen Hei"/>
        <family val="2"/>
      </rPr>
      <t xml:space="preserve">資格を連鎖取得し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本ずつ商流に接続</t>
    </r>
  </si>
  <si>
    <t xml:space="preserve">資格＝知識コレクションでなく商流の関所</t>
  </si>
  <si>
    <r>
      <rPr>
        <sz val="10"/>
        <rFont val="WenQuanYi Zen Hei"/>
        <family val="2"/>
      </rPr>
      <t xml:space="preserve">調査士合格＝</t>
    </r>
    <r>
      <rPr>
        <sz val="10"/>
        <rFont val="Yu Gothic"/>
        <family val="0"/>
        <charset val="1"/>
      </rPr>
      <t xml:space="preserve">KHD</t>
    </r>
    <r>
      <rPr>
        <sz val="10"/>
        <rFont val="WenQuanYi Zen Hei"/>
        <family val="2"/>
      </rPr>
      <t xml:space="preserve">の表題側参入</t>
    </r>
  </si>
  <si>
    <r>
      <rPr>
        <sz val="10"/>
        <rFont val="WenQuanYi Zen Hei"/>
        <family val="2"/>
      </rPr>
      <t xml:space="preserve">合格後に商流接続（</t>
    </r>
    <r>
      <rPr>
        <sz val="10"/>
        <rFont val="Yu Gothic"/>
        <family val="0"/>
        <charset val="1"/>
      </rPr>
      <t xml:space="preserve">10/18</t>
    </r>
    <r>
      <rPr>
        <sz val="10"/>
        <rFont val="WenQuanYi Zen Hei"/>
        <family val="2"/>
      </rPr>
      <t xml:space="preserve">まで考えない）</t>
    </r>
  </si>
  <si>
    <t xml:space="preserve">—</t>
  </si>
  <si>
    <r>
      <rPr>
        <b val="true"/>
        <sz val="14"/>
        <color rgb="FF1F3864"/>
        <rFont val="WenQuanYi Zen Hei"/>
        <family val="2"/>
      </rPr>
      <t xml:space="preserve">松本氏の収益モデル — 新築マンション一棟</t>
    </r>
    <r>
      <rPr>
        <b val="true"/>
        <sz val="14"/>
        <color rgb="FF1F3864"/>
        <rFont val="Yu Gothic"/>
        <family val="0"/>
        <charset val="1"/>
      </rPr>
      <t xml:space="preserve">×</t>
    </r>
    <r>
      <rPr>
        <b val="true"/>
        <sz val="14"/>
        <color rgb="FF1F3864"/>
        <rFont val="WenQuanYi Zen Hei"/>
        <family val="2"/>
      </rPr>
      <t xml:space="preserve">表題登記</t>
    </r>
  </si>
  <si>
    <t xml:space="preserve">数値は本人談ベース（青字＝入力値／黒字＝計算式）</t>
  </si>
  <si>
    <t xml:space="preserve">数値</t>
  </si>
  <si>
    <t xml:space="preserve">備考</t>
  </si>
  <si>
    <t xml:space="preserve">表題登記 単価／部屋</t>
  </si>
  <si>
    <r>
      <rPr>
        <sz val="9"/>
        <color rgb="FF595959"/>
        <rFont val="WenQuanYi Zen Hei"/>
        <family val="2"/>
      </rPr>
      <t xml:space="preserve">本人談「</t>
    </r>
    <r>
      <rPr>
        <sz val="9"/>
        <color rgb="FF595959"/>
        <rFont val="Yu Gothic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部屋</t>
    </r>
    <r>
      <rPr>
        <sz val="9"/>
        <color rgb="FF595959"/>
        <rFont val="Yu Gothic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万で表題入れたとして」</t>
    </r>
  </si>
  <si>
    <t xml:space="preserve">部屋数／棟</t>
  </si>
  <si>
    <r>
      <rPr>
        <sz val="9"/>
        <color rgb="FF595959"/>
        <rFont val="WenQuanYi Zen Hei"/>
        <family val="2"/>
      </rPr>
      <t xml:space="preserve">本人談「</t>
    </r>
    <r>
      <rPr>
        <sz val="9"/>
        <color rgb="FF595959"/>
        <rFont val="Yu Gothic"/>
        <family val="0"/>
        <charset val="1"/>
      </rPr>
      <t xml:space="preserve">100</t>
    </r>
    <r>
      <rPr>
        <sz val="9"/>
        <color rgb="FF595959"/>
        <rFont val="WenQuanYi Zen Hei"/>
        <family val="2"/>
      </rPr>
      <t xml:space="preserve">部屋で</t>
    </r>
    <r>
      <rPr>
        <sz val="9"/>
        <color rgb="FF595959"/>
        <rFont val="Yu Gothic"/>
        <family val="0"/>
        <charset val="1"/>
      </rPr>
      <t xml:space="preserve">1000</t>
    </r>
    <r>
      <rPr>
        <sz val="9"/>
        <color rgb="FF595959"/>
        <rFont val="WenQuanYi Zen Hei"/>
        <family val="2"/>
      </rPr>
      <t xml:space="preserve">万」</t>
    </r>
  </si>
  <si>
    <t xml:space="preserve">売上／棟（表題のみ）</t>
  </si>
  <si>
    <r>
      <rPr>
        <sz val="9"/>
        <color rgb="FF595959"/>
        <rFont val="WenQuanYi Zen Hei"/>
        <family val="2"/>
      </rPr>
      <t xml:space="preserve">単価 </t>
    </r>
    <r>
      <rPr>
        <sz val="9"/>
        <color rgb="FF595959"/>
        <rFont val="Yu Gothic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部屋数</t>
    </r>
  </si>
  <si>
    <t xml:space="preserve">受注ペース（棟／年）</t>
  </si>
  <si>
    <r>
      <rPr>
        <sz val="9"/>
        <color rgb="FF595959"/>
        <rFont val="WenQuanYi Zen Hei"/>
        <family val="2"/>
      </rPr>
      <t xml:space="preserve">本人談「</t>
    </r>
    <r>
      <rPr>
        <sz val="9"/>
        <color rgb="FF595959"/>
        <rFont val="Yu Gothic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ヶ月に一棟ペースを見込める」</t>
    </r>
  </si>
  <si>
    <t xml:space="preserve">年間売上（表題のみ）</t>
  </si>
  <si>
    <r>
      <rPr>
        <sz val="9"/>
        <color rgb="FF595959"/>
        <rFont val="WenQuanYi Zen Hei"/>
        <family val="2"/>
      </rPr>
      <t xml:space="preserve">棟売上 </t>
    </r>
    <r>
      <rPr>
        <sz val="9"/>
        <color rgb="FF595959"/>
        <rFont val="Yu Gothic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年間棟数</t>
    </r>
  </si>
  <si>
    <t xml:space="preserve">■ 収益構造の分解</t>
  </si>
  <si>
    <t xml:space="preserve">構造</t>
  </si>
  <si>
    <t xml:space="preserve">中身</t>
  </si>
  <si>
    <r>
      <rPr>
        <b val="true"/>
        <sz val="10"/>
        <color rgb="FFFFFFFF"/>
        <rFont val="WenQuanYi Zen Hei"/>
        <family val="2"/>
      </rPr>
      <t xml:space="preserve">俺（</t>
    </r>
    <r>
      <rPr>
        <b val="true"/>
        <sz val="10"/>
        <color rgb="FFFFFFFF"/>
        <rFont val="Yu Gothic"/>
        <family val="0"/>
        <charset val="1"/>
      </rPr>
      <t xml:space="preserve">KHD</t>
    </r>
    <r>
      <rPr>
        <b val="true"/>
        <sz val="10"/>
        <color rgb="FFFFFFFF"/>
        <rFont val="WenQuanYi Zen Hei"/>
        <family val="2"/>
      </rPr>
      <t xml:space="preserve">）への示唆</t>
    </r>
  </si>
  <si>
    <t xml:space="preserve">川上グリップ</t>
  </si>
  <si>
    <r>
      <rPr>
        <sz val="10"/>
        <rFont val="WenQuanYi Zen Hei"/>
        <family val="2"/>
      </rPr>
      <t xml:space="preserve">デベ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社を握れば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棟＝</t>
    </r>
    <r>
      <rPr>
        <sz val="10"/>
        <rFont val="Yu Gothic"/>
        <family val="0"/>
        <charset val="1"/>
      </rPr>
      <t xml:space="preserve">100</t>
    </r>
    <r>
      <rPr>
        <sz val="10"/>
        <rFont val="WenQuanYi Zen Hei"/>
        <family val="2"/>
      </rPr>
      <t xml:space="preserve">部屋の登記が自動発生。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契約</t>
    </r>
    <r>
      <rPr>
        <sz val="10"/>
        <rFont val="Yu Gothic"/>
        <family val="0"/>
        <charset val="1"/>
      </rPr>
      <t xml:space="preserve">×</t>
    </r>
    <r>
      <rPr>
        <sz val="10"/>
        <rFont val="WenQuanYi Zen Hei"/>
        <family val="2"/>
      </rPr>
      <t xml:space="preserve">反復</t>
    </r>
  </si>
  <si>
    <r>
      <rPr>
        <sz val="10"/>
        <rFont val="WenQuanYi Zen Hei"/>
        <family val="2"/>
      </rPr>
      <t xml:space="preserve">『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太客</t>
    </r>
    <r>
      <rPr>
        <sz val="10"/>
        <rFont val="Yu Gothic"/>
        <family val="0"/>
        <charset val="1"/>
      </rPr>
      <t xml:space="preserve">×</t>
    </r>
    <r>
      <rPr>
        <sz val="10"/>
        <rFont val="WenQuanYi Zen Hei"/>
        <family val="2"/>
      </rPr>
      <t xml:space="preserve">反復案件』の構造を作る。単発の狩猟型から脱却</t>
    </r>
  </si>
  <si>
    <t xml:space="preserve">ワンストップ独占</t>
  </si>
  <si>
    <t xml:space="preserve">測量→表題（調査士の独占業務）→保存・移転・設定まで同一法人で完結</t>
  </si>
  <si>
    <t xml:space="preserve">調査士合格＝表題側への参入資格。商流を外に漏らさない設計へ</t>
  </si>
  <si>
    <t xml:space="preserve">太客ポートフォリオ</t>
  </si>
  <si>
    <t xml:space="preserve">宗教法人＋多様な取引太客をグリップ。相続の看板とも親和</t>
  </si>
  <si>
    <t xml:space="preserve">顧客マスターから反復発注を構造化できる太客を選定して深耕</t>
  </si>
  <si>
    <t xml:space="preserve">勉強法＝営業力の同型</t>
  </si>
  <si>
    <t xml:space="preserve">出題者の真意を読む力＝顧客の真意を掴むヒアリング力</t>
  </si>
  <si>
    <t xml:space="preserve">勉強でメタ読みを鍛える＝商談の筋トレ。宮崎の『速く出して握る』と同型</t>
  </si>
  <si>
    <r>
      <rPr>
        <b val="true"/>
        <sz val="14"/>
        <color rgb="FF1F3864"/>
        <rFont val="WenQuanYi Zen Hei"/>
        <family val="2"/>
      </rPr>
      <t xml:space="preserve">俺の課題 </t>
    </r>
    <r>
      <rPr>
        <b val="true"/>
        <sz val="14"/>
        <color rgb="FF1F3864"/>
        <rFont val="Yu Gothic"/>
        <family val="0"/>
        <charset val="1"/>
      </rPr>
      <t xml:space="preserve">× </t>
    </r>
    <r>
      <rPr>
        <b val="true"/>
        <sz val="14"/>
        <color rgb="FF1F3864"/>
        <rFont val="WenQuanYi Zen Hei"/>
        <family val="2"/>
      </rPr>
      <t xml:space="preserve">対策（</t>
    </r>
    <r>
      <rPr>
        <b val="true"/>
        <sz val="14"/>
        <color rgb="FF1F3864"/>
        <rFont val="Yu Gothic"/>
        <family val="0"/>
        <charset val="1"/>
      </rPr>
      <t xml:space="preserve">9/8 </t>
    </r>
    <r>
      <rPr>
        <b val="true"/>
        <sz val="14"/>
        <color rgb="FF1F3864"/>
        <rFont val="WenQuanYi Zen Hei"/>
        <family val="2"/>
      </rPr>
      <t xml:space="preserve">現在）</t>
    </r>
  </si>
  <si>
    <r>
      <rPr>
        <sz val="9"/>
        <color rgb="FF808080"/>
        <rFont val="WenQuanYi Zen Hei"/>
        <family val="2"/>
      </rPr>
      <t xml:space="preserve">①が今の律速。②③は</t>
    </r>
    <r>
      <rPr>
        <sz val="9"/>
        <color rgb="FF808080"/>
        <rFont val="Yu Gothic"/>
        <family val="0"/>
        <charset val="1"/>
      </rPr>
      <t xml:space="preserve">7</t>
    </r>
    <r>
      <rPr>
        <sz val="9"/>
        <color rgb="FF808080"/>
        <rFont val="WenQuanYi Zen Hei"/>
        <family val="2"/>
      </rPr>
      <t xml:space="preserve">月から継続</t>
    </r>
  </si>
  <si>
    <t xml:space="preserve">課題</t>
  </si>
  <si>
    <t xml:space="preserve">正体（診断）</t>
  </si>
  <si>
    <t xml:space="preserve">対策</t>
  </si>
  <si>
    <t xml:space="preserve">測定</t>
  </si>
  <si>
    <t xml:space="preserve">期限</t>
  </si>
  <si>
    <t xml:space="preserve">記述の処理が遅い（読解・作図）</t>
  </si>
  <si>
    <r>
      <rPr>
        <sz val="10"/>
        <rFont val="WenQuanYi Zen Hei"/>
        <family val="2"/>
      </rPr>
      <t xml:space="preserve">読む速度の問題ではなく『読む順序が毎回違う』ので実質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周読んでいる。作図は打点順が固定されていない＋計算完了後に作図が集中する</t>
    </r>
  </si>
  <si>
    <r>
      <rPr>
        <sz val="10"/>
        <rFont val="WenQuanYi Zen Hei"/>
        <family val="2"/>
      </rPr>
      <t xml:space="preserve">読解＝設問→図</t>
    </r>
    <r>
      <rPr>
        <sz val="10"/>
        <rFont val="Yu Gothic"/>
        <family val="0"/>
        <charset val="1"/>
      </rPr>
      <t xml:space="preserve">/</t>
    </r>
    <r>
      <rPr>
        <sz val="10"/>
        <rFont val="WenQuanYi Zen Hei"/>
        <family val="2"/>
      </rPr>
      <t xml:space="preserve">座標→本文の順に固定。作図＝</t>
    </r>
    <r>
      <rPr>
        <sz val="10"/>
        <rFont val="Yu Gothic"/>
        <family val="0"/>
        <charset val="1"/>
      </rPr>
      <t xml:space="preserve">A5</t>
    </r>
    <r>
      <rPr>
        <sz val="10"/>
        <rFont val="WenQuanYi Zen Hei"/>
        <family val="2"/>
      </rPr>
      <t xml:space="preserve">一枚の手順書を</t>
    </r>
    <r>
      <rPr>
        <sz val="10"/>
        <rFont val="Yu Gothic"/>
        <family val="0"/>
        <charset val="1"/>
      </rPr>
      <t xml:space="preserve">10</t>
    </r>
    <r>
      <rPr>
        <sz val="10"/>
        <rFont val="WenQuanYi Zen Hei"/>
        <family val="2"/>
      </rPr>
      <t xml:space="preserve">分で作り以後改訂禁止。解く順は建物→土地</t>
    </r>
  </si>
  <si>
    <r>
      <rPr>
        <sz val="10"/>
        <rFont val="WenQuanYi Zen Hei"/>
        <family val="2"/>
      </rPr>
      <t xml:space="preserve">⑦の時間内訳（</t>
    </r>
    <r>
      <rPr>
        <sz val="10"/>
        <rFont val="Yu Gothic"/>
        <family val="0"/>
        <charset val="1"/>
      </rPr>
      <t xml:space="preserve">4</t>
    </r>
    <r>
      <rPr>
        <sz val="10"/>
        <rFont val="WenQuanYi Zen Hei"/>
        <family val="2"/>
      </rPr>
      <t xml:space="preserve">工程）</t>
    </r>
  </si>
  <si>
    <r>
      <rPr>
        <sz val="10"/>
        <rFont val="Yu Gothic"/>
        <family val="0"/>
        <charset val="1"/>
      </rPr>
      <t xml:space="preserve">9/8</t>
    </r>
    <r>
      <rPr>
        <sz val="10"/>
        <rFont val="WenQuanYi Zen Hei"/>
        <family val="2"/>
      </rPr>
      <t xml:space="preserve">〜毎回</t>
    </r>
  </si>
  <si>
    <r>
      <rPr>
        <sz val="10"/>
        <rFont val="WenQuanYi Zen Hei"/>
        <family val="2"/>
      </rPr>
      <t xml:space="preserve">答練・模試の受験状況が不明（</t>
    </r>
    <r>
      <rPr>
        <sz val="10"/>
        <rFont val="Yu Gothic"/>
        <family val="0"/>
        <charset val="1"/>
      </rPr>
      <t xml:space="preserve">7</t>
    </r>
    <r>
      <rPr>
        <sz val="10"/>
        <rFont val="WenQuanYi Zen Hei"/>
        <family val="2"/>
      </rPr>
      <t xml:space="preserve">月時点</t>
    </r>
    <r>
      <rPr>
        <sz val="10"/>
        <rFont val="Yu Gothic"/>
        <family val="0"/>
        <charset val="1"/>
      </rPr>
      <t xml:space="preserve">0</t>
    </r>
    <r>
      <rPr>
        <sz val="10"/>
        <rFont val="WenQuanYi Zen Hei"/>
        <family val="2"/>
      </rPr>
      <t xml:space="preserve">回）</t>
    </r>
  </si>
  <si>
    <t xml:space="preserve">測定していないから、遅さの正体も他者との距離も数値化できない</t>
  </si>
  <si>
    <t xml:space="preserve">受験状況を確認し、未受験なら直前記述答練・予想模試に即申込（申込可否と日程は要確認）</t>
  </si>
  <si>
    <t xml:space="preserve">点数・順位を毎回記録</t>
  </si>
  <si>
    <t xml:space="preserve">9/8</t>
  </si>
  <si>
    <t xml:space="preserve">作図フォームの自己流</t>
  </si>
  <si>
    <t xml:space="preserve">手順の癖は自分の反復では直らない。外部の目が要る唯一の領域</t>
  </si>
  <si>
    <r>
      <rPr>
        <sz val="10"/>
        <rFont val="WenQuanYi Zen Hei"/>
        <family val="2"/>
      </rPr>
      <t xml:space="preserve">講師の作図実演を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〜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本だけ見て自分の手順との差分を取る（カリキュラムは買わない）</t>
    </r>
  </si>
  <si>
    <t xml:space="preserve">作図の実測分（⑦）</t>
  </si>
  <si>
    <t xml:space="preserve">9/13</t>
  </si>
  <si>
    <t xml:space="preserve">座標計算の速度</t>
  </si>
  <si>
    <t xml:space="preserve">関数電卓の複素数モードを使っていなければ、ここだけで大きな時短余地</t>
  </si>
  <si>
    <t xml:space="preserve">使用有無を確認。未使用なら今週中に基本操作だけ習得（投資対効果が突出）</t>
  </si>
  <si>
    <t xml:space="preserve">計算工程の実測分（⑦）</t>
  </si>
  <si>
    <t xml:space="preserve">9/10</t>
  </si>
  <si>
    <t xml:space="preserve">型を改造したくなる癖</t>
  </si>
  <si>
    <t xml:space="preserve">今回の『講座を足すか』もこれ。仕組み側に逃げると演習量が削られる</t>
  </si>
  <si>
    <r>
      <rPr>
        <sz val="10"/>
        <rFont val="Yu Gothic"/>
        <family val="0"/>
        <charset val="1"/>
      </rPr>
      <t xml:space="preserve">40</t>
    </r>
    <r>
      <rPr>
        <sz val="10"/>
        <rFont val="WenQuanYi Zen Hei"/>
        <family val="2"/>
      </rPr>
      <t xml:space="preserve">日は型を触らない。新しい管理ツール・新カリキュラムを作らない・買わない</t>
    </r>
  </si>
  <si>
    <r>
      <rPr>
        <sz val="10"/>
        <rFont val="WenQuanYi Zen Hei"/>
        <family val="2"/>
      </rPr>
      <t xml:space="preserve">違反</t>
    </r>
    <r>
      <rPr>
        <sz val="10"/>
        <rFont val="Yu Gothic"/>
        <family val="0"/>
        <charset val="1"/>
      </rPr>
      <t xml:space="preserve">0</t>
    </r>
    <r>
      <rPr>
        <sz val="10"/>
        <rFont val="WenQuanYi Zen Hei"/>
        <family val="2"/>
      </rPr>
      <t xml:space="preserve">回</t>
    </r>
  </si>
  <si>
    <r>
      <rPr>
        <sz val="10"/>
        <rFont val="Yu Gothic"/>
        <family val="0"/>
        <charset val="1"/>
      </rPr>
      <t xml:space="preserve">10/18</t>
    </r>
    <r>
      <rPr>
        <sz val="10"/>
        <rFont val="WenQuanYi Zen Hei"/>
        <family val="2"/>
      </rPr>
      <t xml:space="preserve">まで</t>
    </r>
  </si>
  <si>
    <t xml:space="preserve">ビッグマウス（未確定の数字・合否を口に出す）</t>
  </si>
  <si>
    <t xml:space="preserve">松本氏は合格してから語る＝実績→発信の順</t>
  </si>
  <si>
    <r>
      <rPr>
        <sz val="10"/>
        <rFont val="WenQuanYi Zen Hei"/>
        <family val="2"/>
      </rPr>
      <t xml:space="preserve">首席宣言は外に出さない。</t>
    </r>
    <r>
      <rPr>
        <sz val="10"/>
        <rFont val="Yu Gothic"/>
        <family val="0"/>
        <charset val="1"/>
      </rPr>
      <t xml:space="preserve">X</t>
    </r>
    <r>
      <rPr>
        <sz val="10"/>
        <rFont val="WenQuanYi Zen Hei"/>
        <family val="2"/>
      </rPr>
      <t xml:space="preserve">・</t>
    </r>
    <r>
      <rPr>
        <sz val="10"/>
        <rFont val="Yu Gothic"/>
        <family val="0"/>
        <charset val="1"/>
      </rPr>
      <t xml:space="preserve">LINE</t>
    </r>
    <r>
      <rPr>
        <sz val="10"/>
        <rFont val="WenQuanYi Zen Hei"/>
        <family val="2"/>
      </rPr>
      <t xml:space="preserve">グループでも点数と合否を言わない</t>
    </r>
  </si>
  <si>
    <r>
      <rPr>
        <b val="true"/>
        <sz val="14"/>
        <color rgb="FF1F3864"/>
        <rFont val="WenQuanYi Zen Hei"/>
        <family val="2"/>
      </rPr>
      <t xml:space="preserve">ラスト</t>
    </r>
    <r>
      <rPr>
        <b val="true"/>
        <sz val="14"/>
        <color rgb="FF1F3864"/>
        <rFont val="Yu Gothic"/>
        <family val="0"/>
        <charset val="1"/>
      </rPr>
      <t xml:space="preserve">40</t>
    </r>
    <r>
      <rPr>
        <b val="true"/>
        <sz val="14"/>
        <color rgb="FF1F3864"/>
        <rFont val="WenQuanYi Zen Hei"/>
        <family val="2"/>
      </rPr>
      <t xml:space="preserve">日 週次設計（</t>
    </r>
    <r>
      <rPr>
        <b val="true"/>
        <sz val="14"/>
        <color rgb="FF1F3864"/>
        <rFont val="Yu Gothic"/>
        <family val="0"/>
        <charset val="1"/>
      </rPr>
      <t xml:space="preserve">9/8 → 10/18</t>
    </r>
    <r>
      <rPr>
        <b val="true"/>
        <sz val="14"/>
        <color rgb="FF1F3864"/>
        <rFont val="WenQuanYi Zen Hei"/>
        <family val="2"/>
      </rPr>
      <t xml:space="preserve">）</t>
    </r>
  </si>
  <si>
    <t xml:space="preserve">机の主役は常に記述。暗記は隙間へ追い出す</t>
  </si>
  <si>
    <t xml:space="preserve">期間</t>
  </si>
  <si>
    <t xml:space="preserve">フェーズ</t>
  </si>
  <si>
    <t xml:space="preserve">机の主役（記述）</t>
  </si>
  <si>
    <r>
      <rPr>
        <b val="true"/>
        <sz val="10"/>
        <color rgb="FFFFFFFF"/>
        <rFont val="WenQuanYi Zen Hei"/>
        <family val="2"/>
      </rPr>
      <t xml:space="preserve">隙間（</t>
    </r>
    <r>
      <rPr>
        <b val="true"/>
        <sz val="10"/>
        <color rgb="FFFFFFFF"/>
        <rFont val="Yu Gothic"/>
        <family val="0"/>
        <charset val="1"/>
      </rPr>
      <t xml:space="preserve">Anki/</t>
    </r>
    <r>
      <rPr>
        <b val="true"/>
        <sz val="10"/>
        <color rgb="FFFFFFFF"/>
        <rFont val="WenQuanYi Zen Hei"/>
        <family val="2"/>
      </rPr>
      <t xml:space="preserve">択一）</t>
    </r>
  </si>
  <si>
    <t xml:space="preserve">この期間の狙い</t>
  </si>
  <si>
    <t xml:space="preserve">9/8-9/14</t>
  </si>
  <si>
    <r>
      <rPr>
        <sz val="10"/>
        <rFont val="Yu Gothic"/>
        <family val="0"/>
        <charset val="1"/>
      </rPr>
      <t xml:space="preserve">P4 </t>
    </r>
    <r>
      <rPr>
        <sz val="10"/>
        <rFont val="WenQuanYi Zen Hei"/>
        <family val="2"/>
      </rPr>
      <t xml:space="preserve">仕上</t>
    </r>
  </si>
  <si>
    <r>
      <rPr>
        <sz val="10"/>
        <rFont val="WenQuanYi Zen Hei"/>
        <family val="2"/>
      </rPr>
      <t xml:space="preserve">毎日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問＋週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で本番形式の通し。全て⑦に時間内訳を記録</t>
    </r>
  </si>
  <si>
    <r>
      <rPr>
        <sz val="10"/>
        <rFont val="Yu Gothic"/>
        <family val="0"/>
        <charset val="1"/>
      </rPr>
      <t xml:space="preserve">×</t>
    </r>
    <r>
      <rPr>
        <sz val="10"/>
        <rFont val="WenQuanYi Zen Hei"/>
        <family val="2"/>
      </rPr>
      <t xml:space="preserve">だけ高速回転</t>
    </r>
  </si>
  <si>
    <r>
      <rPr>
        <sz val="10"/>
        <rFont val="WenQuanYi Zen Hei"/>
        <family val="2"/>
      </rPr>
      <t xml:space="preserve">遅さの正体を数字で特定する週。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〜</t>
    </r>
    <r>
      <rPr>
        <sz val="10"/>
        <rFont val="Yu Gothic"/>
        <family val="0"/>
        <charset val="1"/>
      </rPr>
      <t xml:space="preserve">4</t>
    </r>
    <r>
      <rPr>
        <sz val="10"/>
        <rFont val="WenQuanYi Zen Hei"/>
        <family val="2"/>
      </rPr>
      <t xml:space="preserve">本たまれば工程別の傾向が出る</t>
    </r>
  </si>
  <si>
    <t xml:space="preserve">9/15-9/21</t>
  </si>
  <si>
    <r>
      <rPr>
        <sz val="10"/>
        <rFont val="WenQuanYi Zen Hei"/>
        <family val="2"/>
      </rPr>
      <t xml:space="preserve">特定した最大ボトルネック工程を集中的に潰す。通し週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は継続</t>
    </r>
  </si>
  <si>
    <t xml:space="preserve">弱点テーマの択一のみ</t>
  </si>
  <si>
    <r>
      <rPr>
        <sz val="10"/>
        <rFont val="WenQuanYi Zen Hei"/>
        <family val="2"/>
      </rPr>
      <t xml:space="preserve">投資先を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つに絞って叩く。</t>
    </r>
    <r>
      <rPr>
        <sz val="10"/>
        <rFont val="Yu Gothic"/>
        <family val="0"/>
        <charset val="1"/>
      </rPr>
      <t xml:space="preserve">R5</t>
    </r>
    <r>
      <rPr>
        <sz val="10"/>
        <rFont val="WenQuanYi Zen Hei"/>
        <family val="2"/>
      </rPr>
      <t xml:space="preserve">記述もこの期間に本番形式で</t>
    </r>
  </si>
  <si>
    <t xml:space="preserve">9/22-9/30</t>
  </si>
  <si>
    <r>
      <rPr>
        <sz val="10"/>
        <rFont val="Yu Gothic"/>
        <family val="0"/>
        <charset val="1"/>
      </rPr>
      <t xml:space="preserve">R01-06</t>
    </r>
    <r>
      <rPr>
        <sz val="10"/>
        <rFont val="WenQuanYi Zen Hei"/>
        <family val="2"/>
      </rPr>
      <t xml:space="preserve">の新しめを中心に通し。土地</t>
    </r>
    <r>
      <rPr>
        <sz val="10"/>
        <rFont val="Yu Gothic"/>
        <family val="0"/>
        <charset val="1"/>
      </rPr>
      <t xml:space="preserve">50</t>
    </r>
    <r>
      <rPr>
        <sz val="10"/>
        <rFont val="WenQuanYi Zen Hei"/>
        <family val="2"/>
      </rPr>
      <t xml:space="preserve">分</t>
    </r>
    <r>
      <rPr>
        <sz val="10"/>
        <rFont val="Yu Gothic"/>
        <family val="0"/>
        <charset val="1"/>
      </rPr>
      <t xml:space="preserve">/</t>
    </r>
    <r>
      <rPr>
        <sz val="10"/>
        <rFont val="WenQuanYi Zen Hei"/>
        <family val="2"/>
      </rPr>
      <t xml:space="preserve">建物</t>
    </r>
    <r>
      <rPr>
        <sz val="10"/>
        <rFont val="Yu Gothic"/>
        <family val="0"/>
        <charset val="1"/>
      </rPr>
      <t xml:space="preserve">50</t>
    </r>
    <r>
      <rPr>
        <sz val="10"/>
        <rFont val="WenQuanYi Zen Hei"/>
        <family val="2"/>
      </rPr>
      <t xml:space="preserve">分の枠内に収める</t>
    </r>
  </si>
  <si>
    <r>
      <rPr>
        <sz val="10"/>
        <rFont val="Yu Gothic"/>
        <family val="0"/>
        <charset val="1"/>
      </rPr>
      <t xml:space="preserve">○3</t>
    </r>
    <r>
      <rPr>
        <sz val="10"/>
        <rFont val="WenQuanYi Zen Hei"/>
        <family val="2"/>
      </rPr>
      <t xml:space="preserve">回の卒業を積み上げ</t>
    </r>
  </si>
  <si>
    <r>
      <rPr>
        <sz val="10"/>
        <rFont val="WenQuanYi Zen Hei"/>
        <family val="2"/>
      </rPr>
      <t xml:space="preserve">時間内に収まる回数を増やす。</t>
    </r>
    <r>
      <rPr>
        <sz val="10"/>
        <rFont val="Yu Gothic"/>
        <family val="0"/>
        <charset val="1"/>
      </rPr>
      <t xml:space="preserve">10</t>
    </r>
    <r>
      <rPr>
        <sz val="10"/>
        <rFont val="WenQuanYi Zen Hei"/>
        <family val="2"/>
      </rPr>
      <t xml:space="preserve">月を軽くするため母集団を圧縮</t>
    </r>
  </si>
  <si>
    <t xml:space="preserve">10/1-10/12</t>
  </si>
  <si>
    <r>
      <rPr>
        <sz val="10"/>
        <rFont val="Yu Gothic"/>
        <family val="0"/>
        <charset val="1"/>
      </rPr>
      <t xml:space="preserve">P5 </t>
    </r>
    <r>
      <rPr>
        <sz val="10"/>
        <rFont val="WenQuanYi Zen Hei"/>
        <family val="2"/>
      </rPr>
      <t xml:space="preserve">直前</t>
    </r>
  </si>
  <si>
    <r>
      <rPr>
        <sz val="10"/>
        <rFont val="WenQuanYi Zen Hei"/>
        <family val="2"/>
      </rPr>
      <t xml:space="preserve">総復習のみ。新規は一切やらない。通しは週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維持</t>
    </r>
  </si>
  <si>
    <r>
      <rPr>
        <sz val="10"/>
        <rFont val="Yu Gothic"/>
        <family val="0"/>
        <charset val="1"/>
      </rPr>
      <t xml:space="preserve">Anki due</t>
    </r>
    <r>
      <rPr>
        <sz val="10"/>
        <rFont val="WenQuanYi Zen Hei"/>
        <family val="2"/>
      </rPr>
      <t xml:space="preserve">のみ</t>
    </r>
  </si>
  <si>
    <t xml:space="preserve">取りこぼし防止。卒業済みは不安でも戻らない（松本の胆力）</t>
  </si>
  <si>
    <t xml:space="preserve">10/13-10/17</t>
  </si>
  <si>
    <t xml:space="preserve">本番と同じ時間割で調整。作図手順の最終確認</t>
  </si>
  <si>
    <r>
      <rPr>
        <sz val="10"/>
        <rFont val="Yu Gothic"/>
        <family val="0"/>
        <charset val="1"/>
      </rPr>
      <t xml:space="preserve">due</t>
    </r>
    <r>
      <rPr>
        <sz val="10"/>
        <rFont val="WenQuanYi Zen Hei"/>
        <family val="2"/>
      </rPr>
      <t xml:space="preserve">のみ・軽く</t>
    </r>
  </si>
  <si>
    <t xml:space="preserve">体調管理。新しいことをしない</t>
  </si>
  <si>
    <t xml:space="preserve">10/18</t>
  </si>
  <si>
    <t xml:space="preserve">本試験</t>
  </si>
  <si>
    <t xml:space="preserve">建物→土地の順。難問の評判に惑わされず出題者の要求を順に処理</t>
  </si>
  <si>
    <t xml:space="preserve">『法務省の犬として素直に、順に解く』</t>
  </si>
  <si>
    <r>
      <rPr>
        <b val="true"/>
        <sz val="10"/>
        <rFont val="WenQuanYi Zen Hei"/>
        <family val="2"/>
      </rPr>
      <t xml:space="preserve">★週</t>
    </r>
    <r>
      <rPr>
        <b val="true"/>
        <sz val="10"/>
        <rFont val="Yu Gothic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の通し演習＝残り</t>
    </r>
    <r>
      <rPr>
        <b val="true"/>
        <sz val="10"/>
        <rFont val="Yu Gothic"/>
        <family val="0"/>
        <charset val="1"/>
      </rPr>
      <t xml:space="preserve">40</t>
    </r>
    <r>
      <rPr>
        <b val="true"/>
        <sz val="10"/>
        <rFont val="WenQuanYi Zen Hei"/>
        <family val="2"/>
      </rPr>
      <t xml:space="preserve">日で約</t>
    </r>
    <r>
      <rPr>
        <b val="true"/>
        <sz val="10"/>
        <rFont val="Yu Gothic"/>
        <family val="0"/>
        <charset val="1"/>
      </rPr>
      <t xml:space="preserve">11</t>
    </r>
    <r>
      <rPr>
        <b val="true"/>
        <sz val="10"/>
        <rFont val="WenQuanYi Zen Hei"/>
        <family val="2"/>
      </rPr>
      <t xml:space="preserve">本。これが速度を上げる唯一の手段。演習のたびに⑦へ</t>
    </r>
    <r>
      <rPr>
        <b val="true"/>
        <sz val="10"/>
        <rFont val="Yu Gothic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工程の分を記録し、日曜に集計を見て翌週の投資先を決める。</t>
    </r>
  </si>
  <si>
    <r>
      <rPr>
        <b val="true"/>
        <sz val="14"/>
        <color rgb="FF1F3864"/>
        <rFont val="Yu Gothic"/>
        <family val="0"/>
        <charset val="1"/>
      </rPr>
      <t xml:space="preserve">9/8 </t>
    </r>
    <r>
      <rPr>
        <b val="true"/>
        <sz val="14"/>
        <color rgb="FF1F3864"/>
        <rFont val="WenQuanYi Zen Hei"/>
        <family val="2"/>
      </rPr>
      <t xml:space="preserve">から動く — チェックリスト</t>
    </r>
  </si>
  <si>
    <t xml:space="preserve">終わったら✔。優先度『高』は今日〜今週中に潰す</t>
  </si>
  <si>
    <t xml:space="preserve">✔</t>
  </si>
  <si>
    <t xml:space="preserve">アクション</t>
  </si>
  <si>
    <t xml:space="preserve">優先度</t>
  </si>
  <si>
    <t xml:space="preserve">答練・模試の受験状況を確認 → 未受験なら直前記述答練／予想模試に即申込（申込可否・日程を要確認）</t>
  </si>
  <si>
    <t xml:space="preserve">高</t>
  </si>
  <si>
    <t xml:space="preserve">2026-09-08</t>
  </si>
  <si>
    <r>
      <rPr>
        <sz val="10"/>
        <rFont val="WenQuanYi Zen Hei"/>
        <family val="2"/>
      </rPr>
      <t xml:space="preserve">今日の記述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問から、読解／計算／申請書／作図の</t>
    </r>
    <r>
      <rPr>
        <sz val="10"/>
        <rFont val="Yu Gothic"/>
        <family val="0"/>
        <charset val="1"/>
      </rPr>
      <t xml:space="preserve">4</t>
    </r>
    <r>
      <rPr>
        <sz val="10"/>
        <rFont val="WenQuanYi Zen Hei"/>
        <family val="2"/>
      </rPr>
      <t xml:space="preserve">工程の所要分を⑦に記録し始める</t>
    </r>
  </si>
  <si>
    <t xml:space="preserve">解く順番を「建物 → 土地」に変更して固定する</t>
  </si>
  <si>
    <t xml:space="preserve">読む順序を「設問 → 図・座標・登記記録 → 本文」に固定する</t>
  </si>
  <si>
    <t xml:space="preserve">関数電卓の複素数モードで座標計算しているか確認。未使用なら基本操作だけ今週中に習得</t>
  </si>
  <si>
    <t xml:space="preserve">2026-09-10</t>
  </si>
  <si>
    <r>
      <rPr>
        <sz val="10"/>
        <rFont val="WenQuanYi Zen Hei"/>
        <family val="2"/>
      </rPr>
      <t xml:space="preserve">作図手順を</t>
    </r>
    <r>
      <rPr>
        <sz val="10"/>
        <rFont val="Yu Gothic"/>
        <family val="0"/>
        <charset val="1"/>
      </rPr>
      <t xml:space="preserve">A5</t>
    </r>
    <r>
      <rPr>
        <sz val="10"/>
        <rFont val="WenQuanYi Zen Hei"/>
        <family val="2"/>
      </rPr>
      <t xml:space="preserve">一枚に</t>
    </r>
    <r>
      <rPr>
        <sz val="10"/>
        <rFont val="Yu Gothic"/>
        <family val="0"/>
        <charset val="1"/>
      </rPr>
      <t xml:space="preserve">10</t>
    </r>
    <r>
      <rPr>
        <sz val="10"/>
        <rFont val="WenQuanYi Zen Hei"/>
        <family val="2"/>
      </rPr>
      <t xml:space="preserve">分で書く（建物図面・各階平面図の打点順）。以後の改訂は禁止</t>
    </r>
  </si>
  <si>
    <t xml:space="preserve">通常</t>
  </si>
  <si>
    <t xml:space="preserve">2026-09-09</t>
  </si>
  <si>
    <r>
      <rPr>
        <sz val="10"/>
        <rFont val="WenQuanYi Zen Hei"/>
        <family val="2"/>
      </rPr>
      <t xml:space="preserve">週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の通し演習ブロックを</t>
    </r>
    <r>
      <rPr>
        <sz val="10"/>
        <rFont val="Yu Gothic"/>
        <family val="0"/>
        <charset val="1"/>
      </rPr>
      <t xml:space="preserve">10/17</t>
    </r>
    <r>
      <rPr>
        <sz val="10"/>
        <rFont val="WenQuanYi Zen Hei"/>
        <family val="2"/>
      </rPr>
      <t xml:space="preserve">までカレンダーに固定で入れる</t>
    </r>
  </si>
  <si>
    <r>
      <rPr>
        <sz val="10"/>
        <rFont val="WenQuanYi Zen Hei"/>
        <family val="2"/>
      </rPr>
      <t xml:space="preserve">講師の作図実演を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〜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本だけ見て、自分の手順との差分を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行メモ</t>
    </r>
  </si>
  <si>
    <t xml:space="preserve">2026-09-13</t>
  </si>
  <si>
    <r>
      <rPr>
        <sz val="10"/>
        <rFont val="WenQuanYi Zen Hei"/>
        <family val="2"/>
      </rPr>
      <t xml:space="preserve">日曜に⑦の集計を見て、翌週に潰す工程を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つだけ決める</t>
    </r>
  </si>
  <si>
    <t xml:space="preserve">毎週日曜</t>
  </si>
  <si>
    <r>
      <rPr>
        <b val="true"/>
        <sz val="10"/>
        <rFont val="WenQuanYi Zen Hei"/>
        <family val="2"/>
      </rPr>
      <t xml:space="preserve">⚠ このリストに『新しい講座を検討する』『新しい管理ツールを作る』は入っていない。それは</t>
    </r>
    <r>
      <rPr>
        <b val="true"/>
        <sz val="10"/>
        <rFont val="Yu Gothic"/>
        <family val="0"/>
        <charset val="1"/>
      </rPr>
      <t xml:space="preserve">40</t>
    </r>
    <r>
      <rPr>
        <b val="true"/>
        <sz val="10"/>
        <rFont val="WenQuanYi Zen Hei"/>
        <family val="2"/>
      </rPr>
      <t xml:space="preserve">日の敵。迷ったら机に戻って</t>
    </r>
    <r>
      <rPr>
        <b val="true"/>
        <sz val="10"/>
        <rFont val="Yu Gothic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問解く。</t>
    </r>
  </si>
  <si>
    <r>
      <rPr>
        <b val="true"/>
        <sz val="14"/>
        <color rgb="FF1F3864"/>
        <rFont val="WenQuanYi Zen Hei"/>
        <family val="2"/>
      </rPr>
      <t xml:space="preserve">記述 通し演習ログ — </t>
    </r>
    <r>
      <rPr>
        <b val="true"/>
        <sz val="14"/>
        <color rgb="FF1F3864"/>
        <rFont val="Yu Gothic"/>
        <family val="0"/>
        <charset val="1"/>
      </rPr>
      <t xml:space="preserve">4</t>
    </r>
    <r>
      <rPr>
        <b val="true"/>
        <sz val="14"/>
        <color rgb="FF1F3864"/>
        <rFont val="WenQuanYi Zen Hei"/>
        <family val="2"/>
      </rPr>
      <t xml:space="preserve">工程の時間内訳を毎回計測する</t>
    </r>
  </si>
  <si>
    <r>
      <rPr>
        <sz val="9"/>
        <color rgb="FF808080"/>
        <rFont val="WenQuanYi Zen Hei"/>
        <family val="2"/>
      </rPr>
      <t xml:space="preserve">このシートが</t>
    </r>
    <r>
      <rPr>
        <sz val="9"/>
        <color rgb="FF808080"/>
        <rFont val="Yu Gothic"/>
        <family val="0"/>
        <charset val="1"/>
      </rPr>
      <t xml:space="preserve">40</t>
    </r>
    <r>
      <rPr>
        <sz val="9"/>
        <color rgb="FF808080"/>
        <rFont val="WenQuanYi Zen Hei"/>
        <family val="2"/>
      </rPr>
      <t xml:space="preserve">日の司令塔。青字セルだけ手で記入すれば、右側と下の集計は自動で出ます</t>
    </r>
  </si>
  <si>
    <r>
      <rPr>
        <sz val="9"/>
        <color rgb="FF0000FF"/>
        <rFont val="WenQuanYi Zen Hei"/>
        <family val="2"/>
      </rPr>
      <t xml:space="preserve">【記入するのは青字セル＝</t>
    </r>
    <r>
      <rPr>
        <sz val="9"/>
        <color rgb="FF0000FF"/>
        <rFont val="Yu Gothic"/>
        <family val="0"/>
        <charset val="1"/>
      </rPr>
      <t xml:space="preserve">A</t>
    </r>
    <r>
      <rPr>
        <sz val="9"/>
        <color rgb="FF0000FF"/>
        <rFont val="WenQuanYi Zen Hei"/>
        <family val="2"/>
      </rPr>
      <t xml:space="preserve">〜</t>
    </r>
    <r>
      <rPr>
        <sz val="9"/>
        <color rgb="FF0000FF"/>
        <rFont val="Yu Gothic"/>
        <family val="0"/>
        <charset val="1"/>
      </rPr>
      <t xml:space="preserve">G</t>
    </r>
    <r>
      <rPr>
        <sz val="9"/>
        <color rgb="FF0000FF"/>
        <rFont val="WenQuanYi Zen Hei"/>
        <family val="2"/>
      </rPr>
      <t xml:space="preserve">列と </t>
    </r>
    <r>
      <rPr>
        <sz val="9"/>
        <color rgb="FF0000FF"/>
        <rFont val="Yu Gothic"/>
        <family val="0"/>
        <charset val="1"/>
      </rPr>
      <t xml:space="preserve">L</t>
    </r>
    <r>
      <rPr>
        <sz val="9"/>
        <color rgb="FF0000FF"/>
        <rFont val="WenQuanYi Zen Hei"/>
        <family val="2"/>
      </rPr>
      <t xml:space="preserve">列だけ】</t>
    </r>
    <r>
      <rPr>
        <sz val="9"/>
        <color rgb="FF0000FF"/>
        <rFont val="Yu Gothic"/>
        <family val="0"/>
        <charset val="1"/>
      </rPr>
      <t xml:space="preserve">H</t>
    </r>
    <r>
      <rPr>
        <sz val="9"/>
        <color rgb="FF0000FF"/>
        <rFont val="WenQuanYi Zen Hei"/>
        <family val="2"/>
      </rPr>
      <t xml:space="preserve">〜</t>
    </r>
    <r>
      <rPr>
        <sz val="9"/>
        <color rgb="FF0000FF"/>
        <rFont val="Yu Gothic"/>
        <family val="0"/>
        <charset val="1"/>
      </rPr>
      <t xml:space="preserve">K</t>
    </r>
    <r>
      <rPr>
        <sz val="9"/>
        <color rgb="FF0000FF"/>
        <rFont val="WenQuanYi Zen Hei"/>
        <family val="2"/>
      </rPr>
      <t xml:space="preserve">列と下の集計は数式（触らない）。</t>
    </r>
    <r>
      <rPr>
        <sz val="9"/>
        <color rgb="FF0000FF"/>
        <rFont val="Yu Gothic"/>
        <family val="0"/>
        <charset val="1"/>
      </rPr>
      <t xml:space="preserve">1</t>
    </r>
    <r>
      <rPr>
        <sz val="9"/>
        <color rgb="FF0000FF"/>
        <rFont val="WenQuanYi Zen Hei"/>
        <family val="2"/>
      </rPr>
      <t xml:space="preserve">行＝</t>
    </r>
    <r>
      <rPr>
        <sz val="9"/>
        <color rgb="FF0000FF"/>
        <rFont val="Yu Gothic"/>
        <family val="0"/>
        <charset val="1"/>
      </rPr>
      <t xml:space="preserve">1</t>
    </r>
    <r>
      <rPr>
        <sz val="9"/>
        <color rgb="FF0000FF"/>
        <rFont val="WenQuanYi Zen Hei"/>
        <family val="2"/>
      </rPr>
      <t xml:space="preserve">問。</t>
    </r>
    <r>
      <rPr>
        <sz val="9"/>
        <color rgb="FF0000FF"/>
        <rFont val="Yu Gothic"/>
        <family val="0"/>
        <charset val="1"/>
      </rPr>
      <t xml:space="preserve">12</t>
    </r>
    <r>
      <rPr>
        <sz val="9"/>
        <color rgb="FF0000FF"/>
        <rFont val="WenQuanYi Zen Hei"/>
        <family val="2"/>
      </rPr>
      <t xml:space="preserve">行目は書き方の例なので上書きして構いません。</t>
    </r>
  </si>
  <si>
    <t xml:space="preserve">■ 標準配分（この分を超えた工程がボトルネック）</t>
  </si>
  <si>
    <t xml:space="preserve">種別</t>
  </si>
  <si>
    <t xml:space="preserve">読解</t>
  </si>
  <si>
    <t xml:space="preserve">計算</t>
  </si>
  <si>
    <t xml:space="preserve">申請書</t>
  </si>
  <si>
    <t xml:space="preserve">作図</t>
  </si>
  <si>
    <t xml:space="preserve">合計</t>
  </si>
  <si>
    <t xml:space="preserve">土地</t>
  </si>
  <si>
    <t xml:space="preserve">建物</t>
  </si>
  <si>
    <r>
      <rPr>
        <sz val="9"/>
        <color rgb="FF808080"/>
        <rFont val="WenQuanYi Zen Hei"/>
        <family val="2"/>
      </rPr>
      <t xml:space="preserve">※建物は計算工程なし（＝</t>
    </r>
    <r>
      <rPr>
        <sz val="9"/>
        <color rgb="FF808080"/>
        <rFont val="Yu Gothic"/>
        <family val="0"/>
        <charset val="1"/>
      </rPr>
      <t xml:space="preserve">0</t>
    </r>
    <r>
      <rPr>
        <sz val="9"/>
        <color rgb="FF808080"/>
        <rFont val="WenQuanYi Zen Hei"/>
        <family val="2"/>
      </rPr>
      <t xml:space="preserve">）。この配分が取れていれば土地</t>
    </r>
    <r>
      <rPr>
        <sz val="9"/>
        <color rgb="FF808080"/>
        <rFont val="Yu Gothic"/>
        <family val="0"/>
        <charset val="1"/>
      </rPr>
      <t xml:space="preserve">60</t>
    </r>
    <r>
      <rPr>
        <sz val="9"/>
        <color rgb="FF808080"/>
        <rFont val="WenQuanYi Zen Hei"/>
        <family val="2"/>
      </rPr>
      <t xml:space="preserve">分・建物</t>
    </r>
    <r>
      <rPr>
        <sz val="9"/>
        <color rgb="FF808080"/>
        <rFont val="Yu Gothic"/>
        <family val="0"/>
        <charset val="1"/>
      </rPr>
      <t xml:space="preserve">50</t>
    </r>
    <r>
      <rPr>
        <sz val="9"/>
        <color rgb="FF808080"/>
        <rFont val="WenQuanYi Zen Hei"/>
        <family val="2"/>
      </rPr>
      <t xml:space="preserve">分に収まる。</t>
    </r>
  </si>
  <si>
    <t xml:space="preserve">■ 通し演習ログ</t>
  </si>
  <si>
    <t xml:space="preserve">実施日</t>
  </si>
  <si>
    <t xml:space="preserve">年度・問</t>
  </si>
  <si>
    <t xml:space="preserve">実測計</t>
  </si>
  <si>
    <t xml:space="preserve">標準</t>
  </si>
  <si>
    <r>
      <rPr>
        <b val="true"/>
        <sz val="10"/>
        <color rgb="FFFFFFFF"/>
        <rFont val="WenQuanYi Zen Hei"/>
        <family val="2"/>
      </rPr>
      <t xml:space="preserve">差</t>
    </r>
    <r>
      <rPr>
        <b val="true"/>
        <sz val="10"/>
        <color rgb="FFFFFFFF"/>
        <rFont val="Yu Gothic"/>
        <family val="0"/>
        <charset val="1"/>
      </rPr>
      <t xml:space="preserve">(+</t>
    </r>
    <r>
      <rPr>
        <b val="true"/>
        <sz val="10"/>
        <color rgb="FFFFFFFF"/>
        <rFont val="WenQuanYi Zen Hei"/>
        <family val="2"/>
      </rPr>
      <t xml:space="preserve">超過</t>
    </r>
    <r>
      <rPr>
        <b val="true"/>
        <sz val="10"/>
        <color rgb="FFFFFFFF"/>
        <rFont val="Yu Gothic"/>
        <family val="0"/>
        <charset val="1"/>
      </rPr>
      <t xml:space="preserve">)</t>
    </r>
  </si>
  <si>
    <t xml:space="preserve">最も食った工程</t>
  </si>
  <si>
    <r>
      <rPr>
        <b val="true"/>
        <sz val="10"/>
        <color rgb="FFFFFFFF"/>
        <rFont val="WenQuanYi Zen Hei"/>
        <family val="2"/>
      </rPr>
      <t xml:space="preserve">気づき（</t>
    </r>
    <r>
      <rPr>
        <b val="true"/>
        <sz val="10"/>
        <color rgb="FFFFFFFF"/>
        <rFont val="Yu Gothic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行）</t>
    </r>
  </si>
  <si>
    <r>
      <rPr>
        <sz val="10"/>
        <color rgb="FF0000FF"/>
        <rFont val="Yu Gothic"/>
        <family val="0"/>
        <charset val="1"/>
      </rPr>
      <t xml:space="preserve">R3 </t>
    </r>
    <r>
      <rPr>
        <sz val="10"/>
        <color rgb="FF0000FF"/>
        <rFont val="WenQuanYi Zen Hei"/>
        <family val="2"/>
      </rPr>
      <t xml:space="preserve">第</t>
    </r>
    <r>
      <rPr>
        <sz val="10"/>
        <color rgb="FF0000FF"/>
        <rFont val="Yu Gothic"/>
        <family val="0"/>
        <charset val="1"/>
      </rPr>
      <t xml:space="preserve">21</t>
    </r>
    <r>
      <rPr>
        <sz val="10"/>
        <color rgb="FF0000FF"/>
        <rFont val="WenQuanYi Zen Hei"/>
        <family val="2"/>
      </rPr>
      <t xml:space="preserve">問</t>
    </r>
  </si>
  <si>
    <t xml:space="preserve">座標が出るまで作図に入れず後半に集中。次回から建物→土地の順で解く</t>
  </si>
  <si>
    <r>
      <rPr>
        <b val="true"/>
        <sz val="11"/>
        <color rgb="FFBF9000"/>
        <rFont val="WenQuanYi Zen Hei"/>
        <family val="2"/>
      </rPr>
      <t xml:space="preserve">■ 集計（日曜にここだけ見て、翌週に潰す工程を</t>
    </r>
    <r>
      <rPr>
        <b val="true"/>
        <sz val="11"/>
        <color rgb="FFBF9000"/>
        <rFont val="Yu Gothic"/>
        <family val="0"/>
        <charset val="1"/>
      </rPr>
      <t xml:space="preserve">1</t>
    </r>
    <r>
      <rPr>
        <b val="true"/>
        <sz val="11"/>
        <color rgb="FFBF9000"/>
        <rFont val="WenQuanYi Zen Hei"/>
        <family val="2"/>
      </rPr>
      <t xml:space="preserve">つ決める）</t>
    </r>
  </si>
  <si>
    <t xml:space="preserve">工程</t>
  </si>
  <si>
    <t xml:space="preserve">土地 実測平均</t>
  </si>
  <si>
    <t xml:space="preserve">土地 標準</t>
  </si>
  <si>
    <t xml:space="preserve">差</t>
  </si>
  <si>
    <t xml:space="preserve">建物 実測平均</t>
  </si>
  <si>
    <t xml:space="preserve">建物 標準</t>
  </si>
  <si>
    <t xml:space="preserve">判定の目安</t>
  </si>
  <si>
    <t xml:space="preserve">超過なら速読ではなく『読む順序の固定』で直す（設問→図→本文）</t>
  </si>
  <si>
    <t xml:space="preserve">超過なら複素数モードの未使用を疑う。ここは道具で一気に縮む</t>
  </si>
  <si>
    <r>
      <rPr>
        <sz val="10"/>
        <color rgb="FF000000"/>
        <rFont val="WenQuanYi Zen Hei"/>
        <family val="2"/>
      </rPr>
      <t xml:space="preserve">超過ならひな形の文言がまだ手に馴染んでいない＝</t>
    </r>
    <r>
      <rPr>
        <sz val="10"/>
        <color rgb="FF000000"/>
        <rFont val="Yu Gothic"/>
        <family val="0"/>
        <charset val="1"/>
      </rPr>
      <t xml:space="preserve">Anki</t>
    </r>
    <r>
      <rPr>
        <sz val="10"/>
        <color rgb="FF000000"/>
        <rFont val="WenQuanYi Zen Hei"/>
        <family val="2"/>
      </rPr>
      <t xml:space="preserve">へ回す</t>
    </r>
  </si>
  <si>
    <r>
      <rPr>
        <sz val="10"/>
        <color rgb="FF000000"/>
        <rFont val="WenQuanYi Zen Hei"/>
        <family val="2"/>
      </rPr>
      <t xml:space="preserve">超過なら打点順が毎回違う。</t>
    </r>
    <r>
      <rPr>
        <sz val="10"/>
        <color rgb="FF000000"/>
        <rFont val="Yu Gothic"/>
        <family val="0"/>
        <charset val="1"/>
      </rPr>
      <t xml:space="preserve">A5</t>
    </r>
    <r>
      <rPr>
        <sz val="10"/>
        <color rgb="FF000000"/>
        <rFont val="WenQuanYi Zen Hei"/>
        <family val="2"/>
      </rPr>
      <t xml:space="preserve">手順書を固定し、実演映像で差分を取る</t>
    </r>
  </si>
  <si>
    <t xml:space="preserve">演習本数</t>
  </si>
  <si>
    <r>
      <rPr>
        <sz val="9"/>
        <color rgb="FF808080"/>
        <rFont val="WenQuanYi Zen Hei"/>
        <family val="2"/>
      </rPr>
      <t xml:space="preserve">目標＝週</t>
    </r>
    <r>
      <rPr>
        <sz val="9"/>
        <color rgb="FF808080"/>
        <rFont val="Yu Gothic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本（</t>
    </r>
    <r>
      <rPr>
        <sz val="9"/>
        <color rgb="FF808080"/>
        <rFont val="Yu Gothic"/>
        <family val="0"/>
        <charset val="1"/>
      </rPr>
      <t xml:space="preserve">40</t>
    </r>
    <r>
      <rPr>
        <sz val="9"/>
        <color rgb="FF808080"/>
        <rFont val="WenQuanYi Zen Hei"/>
        <family val="2"/>
      </rPr>
      <t xml:space="preserve">日で約</t>
    </r>
    <r>
      <rPr>
        <sz val="9"/>
        <color rgb="FF808080"/>
        <rFont val="Yu Gothic"/>
        <family val="0"/>
        <charset val="1"/>
      </rPr>
      <t xml:space="preserve">11</t>
    </r>
    <r>
      <rPr>
        <sz val="9"/>
        <color rgb="FF808080"/>
        <rFont val="WenQuanYi Zen Hei"/>
        <family val="2"/>
      </rPr>
      <t xml:space="preserve">本）</t>
    </r>
  </si>
  <si>
    <t xml:space="preserve">平均の超過分</t>
  </si>
  <si>
    <r>
      <rPr>
        <sz val="9"/>
        <color rgb="FF808080"/>
        <rFont val="Yu Gothic"/>
        <family val="0"/>
        <charset val="1"/>
      </rPr>
      <t xml:space="preserve">0</t>
    </r>
    <r>
      <rPr>
        <sz val="9"/>
        <color rgb="FF808080"/>
        <rFont val="WenQuanYi Zen Hei"/>
        <family val="2"/>
      </rPr>
      <t xml:space="preserve">以下になれば時間内に収まっている状態</t>
    </r>
  </si>
  <si>
    <r>
      <rPr>
        <b val="true"/>
        <sz val="10"/>
        <rFont val="Yu Gothic"/>
        <family val="0"/>
        <charset val="1"/>
      </rPr>
      <t xml:space="preserve">★2</t>
    </r>
    <r>
      <rPr>
        <b val="true"/>
        <sz val="10"/>
        <rFont val="WenQuanYi Zen Hei"/>
        <family val="2"/>
      </rPr>
      <t xml:space="preserve">本以上たまってから判断する。</t>
    </r>
    <r>
      <rPr>
        <b val="true"/>
        <sz val="10"/>
        <rFont val="Yu Gothic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本の結果で対策を変えない（＝型の改造）。差が最大の工程だけを、翌週の投資先にする。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</si>
</sst>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yyyy/mm/dd"/>
    <numFmt numFmtId="166" formatCode="0\日"/>
    <numFmt numFmtId="167" formatCode="0\本"/>
    <numFmt numFmtId="168" formatCode="\¥#,##0"/>
    <numFmt numFmtId="169" formatCode="0&quot;部屋&quot;"/>
    <numFmt numFmtId="170" formatCode="0\棟"/>
    <numFmt numFmtId="171" formatCode="General"/>
    <numFmt numFmtId="172" formatCode="@"/>
    <numFmt numFmtId="173" formatCode="0.0"/>
    <numFmt numFmtId="174" formatCode="\+0.0;\-0.0;0"/>
    <numFmt numFmtId="175" formatCode="\+0.0\分;\-0.0\分;0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WenQuanYi Zen Hei"/>
      <family val="2"/>
    </font>
    <font>
      <b val="true"/>
      <sz val="14"/>
      <color rgb="FF1F3864"/>
      <name val="Yu Gothic"/>
      <family val="0"/>
      <charset val="1"/>
    </font>
    <font>
      <sz val="9"/>
      <color rgb="FF808080"/>
      <name val="WenQuanYi Zen Hei"/>
      <family val="2"/>
    </font>
    <font>
      <sz val="9"/>
      <color rgb="FF808080"/>
      <name val="Yu Gothic"/>
      <family val="0"/>
      <charset val="1"/>
    </font>
    <font>
      <b val="true"/>
      <sz val="10"/>
      <name val="WenQuanYi Zen Hei"/>
      <family val="2"/>
    </font>
    <font>
      <sz val="10"/>
      <color rgb="FF0000FF"/>
      <name val="Yu Gothic"/>
      <family val="0"/>
      <charset val="1"/>
    </font>
    <font>
      <b val="true"/>
      <sz val="13"/>
      <color rgb="FFC00000"/>
      <name val="Yu Gothic"/>
      <family val="0"/>
      <charset val="1"/>
    </font>
    <font>
      <b val="true"/>
      <sz val="10"/>
      <name val="Yu Gothic"/>
      <family val="0"/>
      <charset val="1"/>
    </font>
    <font>
      <b val="true"/>
      <sz val="13"/>
      <color rgb="FF1F3864"/>
      <name val="Yu Gothic"/>
      <family val="0"/>
      <charset val="1"/>
    </font>
    <font>
      <b val="true"/>
      <sz val="11"/>
      <color rgb="FFBF9000"/>
      <name val="WenQuanYi Zen Hei"/>
      <family val="2"/>
    </font>
    <font>
      <b val="true"/>
      <sz val="11"/>
      <color rgb="FFBF9000"/>
      <name val="Yu Gothic"/>
      <family val="0"/>
      <charset val="1"/>
    </font>
    <font>
      <b val="true"/>
      <sz val="10"/>
      <color rgb="FFFFFFFF"/>
      <name val="WenQuanYi Zen Hei"/>
      <family val="2"/>
    </font>
    <font>
      <sz val="10"/>
      <name val="WenQuanYi Zen Hei"/>
      <family val="2"/>
    </font>
    <font>
      <sz val="10"/>
      <name val="Yu Gothic"/>
      <family val="0"/>
      <charset val="1"/>
    </font>
    <font>
      <b val="true"/>
      <sz val="10"/>
      <color rgb="FFFFFFFF"/>
      <name val="Yu Gothic"/>
      <family val="0"/>
      <charset val="1"/>
    </font>
    <font>
      <sz val="9"/>
      <color rgb="FF595959"/>
      <name val="WenQuanYi Zen Hei"/>
      <family val="2"/>
    </font>
    <font>
      <sz val="9"/>
      <color rgb="FF595959"/>
      <name val="Yu Gothic"/>
      <family val="0"/>
      <charset val="1"/>
    </font>
    <font>
      <sz val="9"/>
      <color rgb="FF0000FF"/>
      <name val="WenQuanYi Zen Hei"/>
      <family val="2"/>
    </font>
    <font>
      <sz val="9"/>
      <color rgb="FF0000FF"/>
      <name val="Yu Gothic"/>
      <family val="0"/>
      <charset val="1"/>
    </font>
    <font>
      <sz val="10"/>
      <color rgb="FF0000FF"/>
      <name val="WenQuanYi Zen Hei"/>
      <family val="2"/>
    </font>
    <font>
      <b val="true"/>
      <sz val="10"/>
      <color rgb="FFC00000"/>
      <name val="Yu Gothic"/>
      <family val="0"/>
      <charset val="1"/>
    </font>
    <font>
      <sz val="10"/>
      <color rgb="FF000000"/>
      <name val="WenQuanYi Zen Hei"/>
      <family val="2"/>
    </font>
    <font>
      <sz val="10"/>
      <color rgb="FF000000"/>
      <name val="Yu Gothic"/>
      <family val="0"/>
      <charset val="1"/>
    </font>
    <font>
      <b val="true"/>
      <sz val="12"/>
      <color rgb="FF1F3864"/>
      <name val="Yu Gothic"/>
      <family val="0"/>
      <charset val="1"/>
    </font>
    <font>
      <b val="true"/>
      <sz val="12"/>
      <color rgb="FFC00000"/>
      <name val="Yu Gothic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8E3DE"/>
      </patternFill>
    </fill>
    <fill>
      <patternFill patternType="solid">
        <fgColor rgb="FFF8E3DE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2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E3DE"/>
      <rgbColor rgb="FF3366FF"/>
      <rgbColor rgb="FF33CCCC"/>
      <rgbColor rgb="FF99CC00"/>
      <rgbColor rgb="FFFFCC00"/>
      <rgbColor rgb="FFBF90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4"/>
    <col collapsed="false" customWidth="true" hidden="false" outlineLevel="0" max="3" min="3" style="0" width="66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f aca="false">DATE(2026,10,18)</f>
        <v>46313</v>
      </c>
    </row>
    <row r="5" customFormat="false" ht="15" hidden="false" customHeight="false" outlineLevel="0" collapsed="false">
      <c r="A5" s="3" t="s">
        <v>3</v>
      </c>
      <c r="B5" s="5" t="n">
        <f aca="false">DATE(2026,9,8)</f>
        <v>46273</v>
      </c>
    </row>
    <row r="6" customFormat="false" ht="17.15" hidden="false" customHeight="false" outlineLevel="0" collapsed="false">
      <c r="A6" s="3" t="s">
        <v>4</v>
      </c>
      <c r="B6" s="6" t="n">
        <f aca="false">B4-B5</f>
        <v>40</v>
      </c>
    </row>
    <row r="7" customFormat="false" ht="17.15" hidden="false" customHeight="false" outlineLevel="0" collapsed="false">
      <c r="A7" s="3" t="s">
        <v>5</v>
      </c>
      <c r="B7" s="7" t="n">
        <f aca="false">ROUND(B6/7*2,0)</f>
        <v>11</v>
      </c>
    </row>
    <row r="9" customFormat="false" ht="15" hidden="false" customHeight="false" outlineLevel="0" collapsed="false">
      <c r="A9" s="8" t="s">
        <v>6</v>
      </c>
    </row>
    <row r="10" customFormat="false" ht="15" hidden="false" customHeight="false" outlineLevel="0" collapsed="false">
      <c r="A10" s="9" t="s">
        <v>7</v>
      </c>
      <c r="B10" s="9" t="s">
        <v>8</v>
      </c>
      <c r="C10" s="9" t="s">
        <v>9</v>
      </c>
    </row>
    <row r="11" customFormat="false" ht="26.85" hidden="false" customHeight="false" outlineLevel="0" collapsed="false">
      <c r="A11" s="10" t="s">
        <v>10</v>
      </c>
      <c r="B11" s="10" t="s">
        <v>11</v>
      </c>
      <c r="C11" s="11" t="s">
        <v>12</v>
      </c>
    </row>
    <row r="12" customFormat="false" ht="26.85" hidden="false" customHeight="false" outlineLevel="0" collapsed="false">
      <c r="A12" s="12" t="s">
        <v>13</v>
      </c>
      <c r="B12" s="12" t="s">
        <v>14</v>
      </c>
      <c r="C12" s="12" t="s">
        <v>15</v>
      </c>
    </row>
    <row r="13" customFormat="false" ht="26.85" hidden="false" customHeight="false" outlineLevel="0" collapsed="false">
      <c r="A13" s="10" t="s">
        <v>16</v>
      </c>
      <c r="B13" s="11" t="s">
        <v>17</v>
      </c>
      <c r="C13" s="10" t="s">
        <v>18</v>
      </c>
    </row>
    <row r="14" customFormat="false" ht="15" hidden="false" customHeight="false" outlineLevel="0" collapsed="false">
      <c r="A14" s="12" t="s">
        <v>19</v>
      </c>
      <c r="B14" s="12" t="s">
        <v>20</v>
      </c>
      <c r="C14" s="12" t="s">
        <v>21</v>
      </c>
    </row>
    <row r="15" customFormat="false" ht="26.85" hidden="false" customHeight="false" outlineLevel="0" collapsed="false">
      <c r="A15" s="10" t="s">
        <v>22</v>
      </c>
      <c r="B15" s="10" t="s">
        <v>23</v>
      </c>
      <c r="C15" s="10" t="s">
        <v>24</v>
      </c>
    </row>
    <row r="17" customFormat="false" ht="39.75" hidden="false" customHeight="true" outlineLevel="0" collapsed="false">
      <c r="A17" s="13" t="s">
        <v>25</v>
      </c>
      <c r="B17" s="13"/>
      <c r="C17" s="13"/>
    </row>
  </sheetData>
  <mergeCells count="1">
    <mergeCell ref="A17:C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4" customFormat="false" ht="15" hidden="false" customHeight="false" outlineLevel="0" collapsed="false">
      <c r="A4" s="9" t="s">
        <v>28</v>
      </c>
      <c r="B4" s="9" t="s">
        <v>29</v>
      </c>
      <c r="C4" s="9" t="s">
        <v>30</v>
      </c>
    </row>
    <row r="5" customFormat="false" ht="15" hidden="false" customHeight="false" outlineLevel="0" collapsed="false">
      <c r="A5" s="10" t="s">
        <v>31</v>
      </c>
      <c r="B5" s="10" t="s">
        <v>32</v>
      </c>
      <c r="C5" s="10" t="s">
        <v>33</v>
      </c>
    </row>
    <row r="6" customFormat="false" ht="26.85" hidden="false" customHeight="false" outlineLevel="0" collapsed="false">
      <c r="A6" s="12" t="s">
        <v>34</v>
      </c>
      <c r="B6" s="12" t="s">
        <v>35</v>
      </c>
      <c r="C6" s="12" t="s">
        <v>36</v>
      </c>
    </row>
    <row r="7" customFormat="false" ht="39.55" hidden="false" customHeight="false" outlineLevel="0" collapsed="false">
      <c r="A7" s="10" t="s">
        <v>37</v>
      </c>
      <c r="B7" s="10" t="s">
        <v>38</v>
      </c>
      <c r="C7" s="10" t="s">
        <v>39</v>
      </c>
    </row>
    <row r="8" customFormat="false" ht="39.55" hidden="false" customHeight="false" outlineLevel="0" collapsed="false">
      <c r="A8" s="12" t="s">
        <v>40</v>
      </c>
      <c r="B8" s="12" t="s">
        <v>41</v>
      </c>
      <c r="C8" s="12" t="s">
        <v>39</v>
      </c>
    </row>
    <row r="9" customFormat="false" ht="38.05" hidden="false" customHeight="false" outlineLevel="0" collapsed="false">
      <c r="A9" s="10" t="s">
        <v>42</v>
      </c>
      <c r="B9" s="11" t="s">
        <v>43</v>
      </c>
      <c r="C9" s="10" t="s">
        <v>33</v>
      </c>
    </row>
    <row r="10" customFormat="false" ht="26.85" hidden="false" customHeight="false" outlineLevel="0" collapsed="false">
      <c r="A10" s="14" t="s">
        <v>44</v>
      </c>
      <c r="B10" s="14" t="s">
        <v>45</v>
      </c>
      <c r="C10" s="14" t="s">
        <v>46</v>
      </c>
    </row>
    <row r="11" customFormat="false" ht="26.85" hidden="false" customHeight="false" outlineLevel="0" collapsed="false">
      <c r="A11" s="10" t="s">
        <v>47</v>
      </c>
      <c r="B11" s="11" t="s">
        <v>48</v>
      </c>
      <c r="C11" s="11" t="s">
        <v>49</v>
      </c>
    </row>
    <row r="12" customFormat="false" ht="39.55" hidden="false" customHeight="false" outlineLevel="0" collapsed="false">
      <c r="A12" s="12" t="s">
        <v>50</v>
      </c>
      <c r="B12" s="12" t="s">
        <v>51</v>
      </c>
      <c r="C12" s="12" t="s">
        <v>52</v>
      </c>
    </row>
    <row r="14" customFormat="false" ht="15" hidden="false" customHeight="false" outlineLevel="0" collapsed="false">
      <c r="A14" s="8" t="s">
        <v>53</v>
      </c>
    </row>
    <row r="15" customFormat="false" ht="15" hidden="false" customHeight="false" outlineLevel="0" collapsed="false">
      <c r="A15" s="15" t="s">
        <v>54</v>
      </c>
      <c r="B15" s="9" t="s">
        <v>55</v>
      </c>
      <c r="C15" s="9" t="s">
        <v>56</v>
      </c>
    </row>
    <row r="16" customFormat="false" ht="15" hidden="false" customHeight="false" outlineLevel="0" collapsed="false">
      <c r="A16" s="10" t="n">
        <v>1</v>
      </c>
      <c r="B16" s="10" t="s">
        <v>57</v>
      </c>
      <c r="C16" s="10" t="s">
        <v>58</v>
      </c>
    </row>
    <row r="17" customFormat="false" ht="15" hidden="false" customHeight="false" outlineLevel="0" collapsed="false">
      <c r="A17" s="12" t="n">
        <v>2</v>
      </c>
      <c r="B17" s="12" t="s">
        <v>59</v>
      </c>
      <c r="C17" s="12" t="s">
        <v>60</v>
      </c>
    </row>
    <row r="18" customFormat="false" ht="15" hidden="false" customHeight="false" outlineLevel="0" collapsed="false">
      <c r="A18" s="10" t="n">
        <v>3</v>
      </c>
      <c r="B18" s="10" t="s">
        <v>61</v>
      </c>
      <c r="C18" s="10" t="s">
        <v>62</v>
      </c>
    </row>
    <row r="19" customFormat="false" ht="15" hidden="false" customHeight="false" outlineLevel="0" collapsed="false">
      <c r="A19" s="12" t="n">
        <v>4</v>
      </c>
      <c r="B19" s="12" t="s">
        <v>63</v>
      </c>
      <c r="C19" s="12" t="s">
        <v>64</v>
      </c>
    </row>
    <row r="20" customFormat="false" ht="15" hidden="false" customHeight="false" outlineLevel="0" collapsed="false">
      <c r="A20" s="10" t="n">
        <v>5</v>
      </c>
      <c r="B20" s="10" t="s">
        <v>65</v>
      </c>
      <c r="C20" s="10" t="s">
        <v>66</v>
      </c>
    </row>
    <row r="21" customFormat="false" ht="15" hidden="false" customHeight="false" outlineLevel="0" collapsed="false">
      <c r="A21" s="12" t="n">
        <v>6</v>
      </c>
      <c r="B21" s="12" t="s">
        <v>67</v>
      </c>
      <c r="C21" s="12" t="s">
        <v>68</v>
      </c>
    </row>
    <row r="22" customFormat="false" ht="15" hidden="false" customHeight="false" outlineLevel="0" collapsed="false">
      <c r="A22" s="10" t="n">
        <v>7</v>
      </c>
      <c r="B22" s="10" t="s">
        <v>69</v>
      </c>
      <c r="C22" s="10" t="s">
        <v>70</v>
      </c>
    </row>
    <row r="23" customFormat="false" ht="15" hidden="false" customHeight="false" outlineLevel="0" collapsed="false">
      <c r="A23" s="12" t="n">
        <v>8</v>
      </c>
      <c r="B23" s="12" t="s">
        <v>71</v>
      </c>
      <c r="C23" s="12" t="s">
        <v>72</v>
      </c>
    </row>
    <row r="24" customFormat="false" ht="15" hidden="false" customHeight="false" outlineLevel="0" collapsed="false">
      <c r="A24" s="10" t="n">
        <v>9</v>
      </c>
      <c r="B24" s="10" t="s">
        <v>73</v>
      </c>
      <c r="C24" s="10" t="s">
        <v>74</v>
      </c>
    </row>
    <row r="25" customFormat="false" ht="15" hidden="false" customHeight="false" outlineLevel="0" collapsed="false">
      <c r="A25" s="12" t="n">
        <v>10</v>
      </c>
      <c r="B25" s="12" t="s">
        <v>75</v>
      </c>
      <c r="C25" s="12" t="s">
        <v>76</v>
      </c>
    </row>
    <row r="26" customFormat="false" ht="15" hidden="false" customHeight="false" outlineLevel="0" collapsed="false">
      <c r="A26" s="10" t="n">
        <v>11</v>
      </c>
      <c r="B26" s="11" t="s">
        <v>77</v>
      </c>
      <c r="C26" s="10" t="s">
        <v>78</v>
      </c>
    </row>
    <row r="28" customFormat="false" ht="39.75" hidden="false" customHeight="true" outlineLevel="0" collapsed="false">
      <c r="A28" s="16" t="s">
        <v>79</v>
      </c>
      <c r="B28" s="16"/>
      <c r="C28" s="16"/>
    </row>
  </sheetData>
  <mergeCells count="1">
    <mergeCell ref="A28:C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5" min="5" style="0" width="32"/>
    <col collapsed="false" customWidth="true" hidden="false" outlineLevel="0" max="6" min="6" style="0" width="16"/>
  </cols>
  <sheetData>
    <row r="1" customFormat="false" ht="19.4" hidden="false" customHeight="false" outlineLevel="0" collapsed="false">
      <c r="A1" s="1" t="s">
        <v>80</v>
      </c>
    </row>
    <row r="2" customFormat="false" ht="15" hidden="false" customHeight="false" outlineLevel="0" collapsed="false">
      <c r="A2" s="17" t="s">
        <v>81</v>
      </c>
    </row>
    <row r="4" customFormat="false" ht="15" hidden="false" customHeight="false" outlineLevel="0" collapsed="false">
      <c r="A4" s="15" t="s">
        <v>54</v>
      </c>
      <c r="B4" s="9" t="s">
        <v>82</v>
      </c>
      <c r="C4" s="9" t="s">
        <v>83</v>
      </c>
      <c r="D4" s="9" t="s">
        <v>84</v>
      </c>
      <c r="E4" s="9" t="s">
        <v>85</v>
      </c>
      <c r="F4" s="9" t="s">
        <v>86</v>
      </c>
    </row>
    <row r="5" customFormat="false" ht="26.85" hidden="false" customHeight="false" outlineLevel="0" collapsed="false">
      <c r="A5" s="10" t="n">
        <v>1</v>
      </c>
      <c r="B5" s="10" t="s">
        <v>87</v>
      </c>
      <c r="C5" s="10" t="s">
        <v>88</v>
      </c>
      <c r="D5" s="10" t="s">
        <v>89</v>
      </c>
      <c r="E5" s="10" t="s">
        <v>90</v>
      </c>
      <c r="F5" s="10" t="s">
        <v>91</v>
      </c>
    </row>
    <row r="6" customFormat="false" ht="26.85" hidden="false" customHeight="false" outlineLevel="0" collapsed="false">
      <c r="A6" s="12" t="n">
        <v>2</v>
      </c>
      <c r="B6" s="12" t="s">
        <v>92</v>
      </c>
      <c r="C6" s="12" t="s">
        <v>93</v>
      </c>
      <c r="D6" s="12" t="s">
        <v>94</v>
      </c>
      <c r="E6" s="14" t="s">
        <v>95</v>
      </c>
      <c r="F6" s="12" t="s">
        <v>91</v>
      </c>
    </row>
    <row r="7" customFormat="false" ht="26.85" hidden="false" customHeight="false" outlineLevel="0" collapsed="false">
      <c r="A7" s="10" t="n">
        <v>3</v>
      </c>
      <c r="B7" s="10" t="s">
        <v>96</v>
      </c>
      <c r="C7" s="10" t="s">
        <v>97</v>
      </c>
      <c r="D7" s="11" t="s">
        <v>98</v>
      </c>
      <c r="E7" s="11" t="s">
        <v>99</v>
      </c>
      <c r="F7" s="10" t="s">
        <v>100</v>
      </c>
    </row>
    <row r="8" customFormat="false" ht="39.55" hidden="false" customHeight="false" outlineLevel="0" collapsed="false">
      <c r="A8" s="12" t="n">
        <v>4</v>
      </c>
      <c r="B8" s="14" t="s">
        <v>101</v>
      </c>
      <c r="C8" s="12" t="s">
        <v>102</v>
      </c>
      <c r="D8" s="12" t="s">
        <v>103</v>
      </c>
      <c r="E8" s="14" t="s">
        <v>104</v>
      </c>
      <c r="F8" s="12" t="s">
        <v>105</v>
      </c>
    </row>
    <row r="9" customFormat="false" ht="26.85" hidden="false" customHeight="false" outlineLevel="0" collapsed="false">
      <c r="A9" s="10" t="n">
        <v>5</v>
      </c>
      <c r="B9" s="10" t="s">
        <v>106</v>
      </c>
      <c r="C9" s="10" t="s">
        <v>107</v>
      </c>
      <c r="D9" s="10" t="s">
        <v>108</v>
      </c>
      <c r="E9" s="11" t="s">
        <v>109</v>
      </c>
      <c r="F9" s="10" t="s">
        <v>110</v>
      </c>
    </row>
    <row r="10" customFormat="false" ht="15" hidden="false" customHeight="false" outlineLevel="0" collapsed="false">
      <c r="A10" s="12" t="n">
        <v>6</v>
      </c>
      <c r="B10" s="12" t="s">
        <v>111</v>
      </c>
      <c r="C10" s="12" t="s">
        <v>112</v>
      </c>
      <c r="D10" s="12" t="s">
        <v>113</v>
      </c>
      <c r="E10" s="12" t="s">
        <v>114</v>
      </c>
      <c r="F10" s="14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6"/>
    <col collapsed="false" customWidth="true" hidden="false" outlineLevel="0" max="3" min="3" style="0" width="48"/>
  </cols>
  <sheetData>
    <row r="1" customFormat="false" ht="19.4" hidden="false" customHeight="false" outlineLevel="0" collapsed="false">
      <c r="A1" s="1" t="s">
        <v>116</v>
      </c>
    </row>
    <row r="2" customFormat="false" ht="15" hidden="false" customHeight="false" outlineLevel="0" collapsed="false">
      <c r="A2" s="2" t="s">
        <v>117</v>
      </c>
    </row>
    <row r="4" customFormat="false" ht="15" hidden="false" customHeight="false" outlineLevel="0" collapsed="false">
      <c r="A4" s="9" t="s">
        <v>28</v>
      </c>
      <c r="B4" s="9" t="s">
        <v>118</v>
      </c>
      <c r="C4" s="9" t="s">
        <v>119</v>
      </c>
    </row>
    <row r="5" customFormat="false" ht="15" hidden="false" customHeight="false" outlineLevel="0" collapsed="false">
      <c r="A5" s="10" t="s">
        <v>120</v>
      </c>
      <c r="B5" s="18" t="n">
        <v>100000</v>
      </c>
      <c r="C5" s="19" t="s">
        <v>121</v>
      </c>
    </row>
    <row r="6" customFormat="false" ht="15" hidden="false" customHeight="false" outlineLevel="0" collapsed="false">
      <c r="A6" s="10" t="s">
        <v>122</v>
      </c>
      <c r="B6" s="20" t="n">
        <v>100</v>
      </c>
      <c r="C6" s="19" t="s">
        <v>123</v>
      </c>
    </row>
    <row r="7" customFormat="false" ht="15" hidden="false" customHeight="false" outlineLevel="0" collapsed="false">
      <c r="A7" s="10" t="s">
        <v>124</v>
      </c>
      <c r="B7" s="21" t="n">
        <f aca="false">B5*B6</f>
        <v>10000000</v>
      </c>
      <c r="C7" s="19" t="s">
        <v>125</v>
      </c>
    </row>
    <row r="8" customFormat="false" ht="15" hidden="false" customHeight="false" outlineLevel="0" collapsed="false">
      <c r="A8" s="10" t="s">
        <v>126</v>
      </c>
      <c r="B8" s="22" t="n">
        <v>4</v>
      </c>
      <c r="C8" s="19" t="s">
        <v>127</v>
      </c>
    </row>
    <row r="9" customFormat="false" ht="15" hidden="false" customHeight="false" outlineLevel="0" collapsed="false">
      <c r="A9" s="10" t="s">
        <v>128</v>
      </c>
      <c r="B9" s="21" t="n">
        <f aca="false">B7*B8</f>
        <v>40000000</v>
      </c>
      <c r="C9" s="19" t="s">
        <v>129</v>
      </c>
    </row>
    <row r="11" customFormat="false" ht="15" hidden="false" customHeight="false" outlineLevel="0" collapsed="false">
      <c r="A11" s="8" t="s">
        <v>130</v>
      </c>
    </row>
    <row r="12" customFormat="false" ht="15" hidden="false" customHeight="false" outlineLevel="0" collapsed="false">
      <c r="A12" s="9" t="s">
        <v>131</v>
      </c>
      <c r="B12" s="9" t="s">
        <v>132</v>
      </c>
      <c r="C12" s="9" t="s">
        <v>133</v>
      </c>
    </row>
    <row r="13" customFormat="false" ht="15" hidden="false" customHeight="false" outlineLevel="0" collapsed="false">
      <c r="A13" s="10" t="s">
        <v>134</v>
      </c>
      <c r="B13" s="10" t="s">
        <v>135</v>
      </c>
      <c r="C13" s="10" t="s">
        <v>136</v>
      </c>
    </row>
    <row r="14" customFormat="false" ht="26.85" hidden="false" customHeight="false" outlineLevel="0" collapsed="false">
      <c r="A14" s="12" t="s">
        <v>137</v>
      </c>
      <c r="B14" s="12" t="s">
        <v>138</v>
      </c>
      <c r="C14" s="12" t="s">
        <v>139</v>
      </c>
    </row>
    <row r="15" customFormat="false" ht="15" hidden="false" customHeight="false" outlineLevel="0" collapsed="false">
      <c r="A15" s="10" t="s">
        <v>140</v>
      </c>
      <c r="B15" s="10" t="s">
        <v>141</v>
      </c>
      <c r="C15" s="10" t="s">
        <v>142</v>
      </c>
    </row>
    <row r="16" customFormat="false" ht="26.85" hidden="false" customHeight="false" outlineLevel="0" collapsed="false">
      <c r="A16" s="12" t="s">
        <v>143</v>
      </c>
      <c r="B16" s="12" t="s">
        <v>144</v>
      </c>
      <c r="C16" s="12" t="s"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36"/>
    <col collapsed="false" customWidth="true" hidden="false" outlineLevel="0" max="5" min="5" style="0" width="20"/>
    <col collapsed="false" customWidth="true" hidden="false" outlineLevel="0" max="6" min="6" style="0" width="12"/>
  </cols>
  <sheetData>
    <row r="1" customFormat="false" ht="19.4" hidden="false" customHeight="false" outlineLevel="0" collapsed="false">
      <c r="A1" s="1" t="s">
        <v>146</v>
      </c>
    </row>
    <row r="2" customFormat="false" ht="15" hidden="false" customHeight="false" outlineLevel="0" collapsed="false">
      <c r="A2" s="2" t="s">
        <v>147</v>
      </c>
    </row>
    <row r="4" customFormat="false" ht="15" hidden="false" customHeight="false" outlineLevel="0" collapsed="false">
      <c r="A4" s="15" t="s">
        <v>54</v>
      </c>
      <c r="B4" s="9" t="s">
        <v>148</v>
      </c>
      <c r="C4" s="9" t="s">
        <v>149</v>
      </c>
      <c r="D4" s="9" t="s">
        <v>150</v>
      </c>
      <c r="E4" s="9" t="s">
        <v>151</v>
      </c>
      <c r="F4" s="9" t="s">
        <v>152</v>
      </c>
    </row>
    <row r="5" customFormat="false" ht="39.55" hidden="false" customHeight="false" outlineLevel="0" collapsed="false">
      <c r="A5" s="10" t="n">
        <v>1</v>
      </c>
      <c r="B5" s="10" t="s">
        <v>153</v>
      </c>
      <c r="C5" s="10" t="s">
        <v>154</v>
      </c>
      <c r="D5" s="10" t="s">
        <v>155</v>
      </c>
      <c r="E5" s="10" t="s">
        <v>156</v>
      </c>
      <c r="F5" s="11" t="s">
        <v>157</v>
      </c>
    </row>
    <row r="6" customFormat="false" ht="26.85" hidden="false" customHeight="false" outlineLevel="0" collapsed="false">
      <c r="A6" s="12" t="n">
        <v>2</v>
      </c>
      <c r="B6" s="12" t="s">
        <v>158</v>
      </c>
      <c r="C6" s="12" t="s">
        <v>159</v>
      </c>
      <c r="D6" s="12" t="s">
        <v>160</v>
      </c>
      <c r="E6" s="12" t="s">
        <v>161</v>
      </c>
      <c r="F6" s="14" t="s">
        <v>162</v>
      </c>
    </row>
    <row r="7" customFormat="false" ht="26.85" hidden="false" customHeight="false" outlineLevel="0" collapsed="false">
      <c r="A7" s="10" t="n">
        <v>3</v>
      </c>
      <c r="B7" s="10" t="s">
        <v>163</v>
      </c>
      <c r="C7" s="10" t="s">
        <v>164</v>
      </c>
      <c r="D7" s="10" t="s">
        <v>165</v>
      </c>
      <c r="E7" s="10" t="s">
        <v>166</v>
      </c>
      <c r="F7" s="11" t="s">
        <v>167</v>
      </c>
    </row>
    <row r="8" customFormat="false" ht="26.85" hidden="false" customHeight="false" outlineLevel="0" collapsed="false">
      <c r="A8" s="12" t="n">
        <v>4</v>
      </c>
      <c r="B8" s="12" t="s">
        <v>168</v>
      </c>
      <c r="C8" s="12" t="s">
        <v>169</v>
      </c>
      <c r="D8" s="12" t="s">
        <v>170</v>
      </c>
      <c r="E8" s="12" t="s">
        <v>171</v>
      </c>
      <c r="F8" s="14" t="s">
        <v>172</v>
      </c>
    </row>
    <row r="9" customFormat="false" ht="26.85" hidden="false" customHeight="false" outlineLevel="0" collapsed="false">
      <c r="A9" s="10" t="n">
        <v>5</v>
      </c>
      <c r="B9" s="10" t="s">
        <v>173</v>
      </c>
      <c r="C9" s="10" t="s">
        <v>174</v>
      </c>
      <c r="D9" s="11" t="s">
        <v>175</v>
      </c>
      <c r="E9" s="10" t="s">
        <v>176</v>
      </c>
      <c r="F9" s="11" t="s">
        <v>177</v>
      </c>
    </row>
    <row r="10" customFormat="false" ht="26.85" hidden="false" customHeight="false" outlineLevel="0" collapsed="false">
      <c r="A10" s="12" t="n">
        <v>6</v>
      </c>
      <c r="B10" s="12" t="s">
        <v>178</v>
      </c>
      <c r="C10" s="12" t="s">
        <v>179</v>
      </c>
      <c r="D10" s="12" t="s">
        <v>180</v>
      </c>
      <c r="E10" s="12" t="s">
        <v>176</v>
      </c>
      <c r="F10" s="14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26"/>
    <col collapsed="false" customWidth="true" hidden="false" outlineLevel="0" max="5" min="5" style="0" width="34"/>
  </cols>
  <sheetData>
    <row r="1" customFormat="false" ht="19.4" hidden="false" customHeight="false" outlineLevel="0" collapsed="false">
      <c r="A1" s="1" t="s">
        <v>181</v>
      </c>
    </row>
    <row r="2" customFormat="false" ht="15" hidden="false" customHeight="false" outlineLevel="0" collapsed="false">
      <c r="A2" s="2" t="s">
        <v>182</v>
      </c>
    </row>
    <row r="4" customFormat="false" ht="15" hidden="false" customHeight="false" outlineLevel="0" collapsed="false">
      <c r="A4" s="9" t="s">
        <v>183</v>
      </c>
      <c r="B4" s="9" t="s">
        <v>184</v>
      </c>
      <c r="C4" s="9" t="s">
        <v>185</v>
      </c>
      <c r="D4" s="9" t="s">
        <v>186</v>
      </c>
      <c r="E4" s="9" t="s">
        <v>187</v>
      </c>
    </row>
    <row r="5" customFormat="false" ht="26.85" hidden="false" customHeight="false" outlineLevel="0" collapsed="false">
      <c r="A5" s="11" t="s">
        <v>188</v>
      </c>
      <c r="B5" s="11" t="s">
        <v>189</v>
      </c>
      <c r="C5" s="10" t="s">
        <v>190</v>
      </c>
      <c r="D5" s="11" t="s">
        <v>191</v>
      </c>
      <c r="E5" s="10" t="s">
        <v>192</v>
      </c>
    </row>
    <row r="6" customFormat="false" ht="26.85" hidden="false" customHeight="false" outlineLevel="0" collapsed="false">
      <c r="A6" s="14" t="s">
        <v>193</v>
      </c>
      <c r="B6" s="14" t="s">
        <v>189</v>
      </c>
      <c r="C6" s="12" t="s">
        <v>194</v>
      </c>
      <c r="D6" s="12" t="s">
        <v>195</v>
      </c>
      <c r="E6" s="12" t="s">
        <v>196</v>
      </c>
    </row>
    <row r="7" customFormat="false" ht="26.85" hidden="false" customHeight="false" outlineLevel="0" collapsed="false">
      <c r="A7" s="11" t="s">
        <v>197</v>
      </c>
      <c r="B7" s="11" t="s">
        <v>189</v>
      </c>
      <c r="C7" s="11" t="s">
        <v>198</v>
      </c>
      <c r="D7" s="11" t="s">
        <v>199</v>
      </c>
      <c r="E7" s="10" t="s">
        <v>200</v>
      </c>
    </row>
    <row r="8" customFormat="false" ht="26.85" hidden="false" customHeight="false" outlineLevel="0" collapsed="false">
      <c r="A8" s="14" t="s">
        <v>201</v>
      </c>
      <c r="B8" s="14" t="s">
        <v>202</v>
      </c>
      <c r="C8" s="12" t="s">
        <v>203</v>
      </c>
      <c r="D8" s="14" t="s">
        <v>204</v>
      </c>
      <c r="E8" s="12" t="s">
        <v>205</v>
      </c>
    </row>
    <row r="9" customFormat="false" ht="15" hidden="false" customHeight="false" outlineLevel="0" collapsed="false">
      <c r="A9" s="11" t="s">
        <v>206</v>
      </c>
      <c r="B9" s="11" t="s">
        <v>202</v>
      </c>
      <c r="C9" s="10" t="s">
        <v>207</v>
      </c>
      <c r="D9" s="11" t="s">
        <v>208</v>
      </c>
      <c r="E9" s="10" t="s">
        <v>209</v>
      </c>
    </row>
    <row r="10" customFormat="false" ht="26.85" hidden="false" customHeight="false" outlineLevel="0" collapsed="false">
      <c r="A10" s="14" t="s">
        <v>210</v>
      </c>
      <c r="B10" s="12" t="s">
        <v>211</v>
      </c>
      <c r="C10" s="12" t="s">
        <v>212</v>
      </c>
      <c r="D10" s="14" t="s">
        <v>115</v>
      </c>
      <c r="E10" s="12" t="s">
        <v>213</v>
      </c>
    </row>
    <row r="12" customFormat="false" ht="39.75" hidden="false" customHeight="true" outlineLevel="0" collapsed="false">
      <c r="A12" s="16" t="s">
        <v>214</v>
      </c>
      <c r="B12" s="16"/>
      <c r="C12" s="16"/>
      <c r="D12" s="16"/>
      <c r="E12" s="16"/>
    </row>
  </sheetData>
  <mergeCells count="1">
    <mergeCell ref="A12:E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4"/>
    <col collapsed="false" customWidth="true" hidden="false" outlineLevel="0" max="3" min="3" style="0" width="10"/>
    <col collapsed="false" customWidth="true" hidden="false" outlineLevel="0" max="4" min="4" style="0" width="14"/>
  </cols>
  <sheetData>
    <row r="1" customFormat="false" ht="19.4" hidden="false" customHeight="false" outlineLevel="0" collapsed="false">
      <c r="A1" s="23" t="s">
        <v>215</v>
      </c>
    </row>
    <row r="2" customFormat="false" ht="15" hidden="false" customHeight="false" outlineLevel="0" collapsed="false">
      <c r="A2" s="2" t="s">
        <v>216</v>
      </c>
    </row>
    <row r="4" customFormat="false" ht="15" hidden="false" customHeight="false" outlineLevel="0" collapsed="false">
      <c r="A4" s="15" t="s">
        <v>217</v>
      </c>
      <c r="B4" s="9" t="s">
        <v>218</v>
      </c>
      <c r="C4" s="9" t="s">
        <v>219</v>
      </c>
      <c r="D4" s="9" t="s">
        <v>152</v>
      </c>
    </row>
    <row r="5" customFormat="false" ht="15" hidden="false" customHeight="false" outlineLevel="0" collapsed="false">
      <c r="A5" s="10"/>
      <c r="B5" s="10" t="s">
        <v>220</v>
      </c>
      <c r="C5" s="10" t="s">
        <v>221</v>
      </c>
      <c r="D5" s="11" t="s">
        <v>222</v>
      </c>
    </row>
    <row r="6" customFormat="false" ht="15" hidden="false" customHeight="false" outlineLevel="0" collapsed="false">
      <c r="A6" s="12"/>
      <c r="B6" s="12" t="s">
        <v>223</v>
      </c>
      <c r="C6" s="12" t="s">
        <v>221</v>
      </c>
      <c r="D6" s="14" t="s">
        <v>222</v>
      </c>
    </row>
    <row r="7" customFormat="false" ht="15" hidden="false" customHeight="false" outlineLevel="0" collapsed="false">
      <c r="A7" s="10"/>
      <c r="B7" s="10" t="s">
        <v>224</v>
      </c>
      <c r="C7" s="10" t="s">
        <v>221</v>
      </c>
      <c r="D7" s="11" t="s">
        <v>222</v>
      </c>
    </row>
    <row r="8" customFormat="false" ht="15" hidden="false" customHeight="false" outlineLevel="0" collapsed="false">
      <c r="A8" s="12"/>
      <c r="B8" s="12" t="s">
        <v>225</v>
      </c>
      <c r="C8" s="12" t="s">
        <v>221</v>
      </c>
      <c r="D8" s="14" t="s">
        <v>222</v>
      </c>
    </row>
    <row r="9" customFormat="false" ht="15" hidden="false" customHeight="false" outlineLevel="0" collapsed="false">
      <c r="A9" s="10"/>
      <c r="B9" s="10" t="s">
        <v>226</v>
      </c>
      <c r="C9" s="10" t="s">
        <v>221</v>
      </c>
      <c r="D9" s="11" t="s">
        <v>227</v>
      </c>
    </row>
    <row r="10" customFormat="false" ht="15" hidden="false" customHeight="false" outlineLevel="0" collapsed="false">
      <c r="A10" s="12"/>
      <c r="B10" s="12" t="s">
        <v>228</v>
      </c>
      <c r="C10" s="12" t="s">
        <v>229</v>
      </c>
      <c r="D10" s="14" t="s">
        <v>230</v>
      </c>
    </row>
    <row r="11" customFormat="false" ht="15" hidden="false" customHeight="false" outlineLevel="0" collapsed="false">
      <c r="A11" s="10"/>
      <c r="B11" s="10" t="s">
        <v>231</v>
      </c>
      <c r="C11" s="10" t="s">
        <v>229</v>
      </c>
      <c r="D11" s="11" t="s">
        <v>230</v>
      </c>
    </row>
    <row r="12" customFormat="false" ht="15" hidden="false" customHeight="false" outlineLevel="0" collapsed="false">
      <c r="A12" s="12"/>
      <c r="B12" s="12" t="s">
        <v>232</v>
      </c>
      <c r="C12" s="12" t="s">
        <v>229</v>
      </c>
      <c r="D12" s="14" t="s">
        <v>233</v>
      </c>
    </row>
    <row r="13" customFormat="false" ht="15" hidden="false" customHeight="false" outlineLevel="0" collapsed="false">
      <c r="A13" s="10"/>
      <c r="B13" s="10" t="s">
        <v>234</v>
      </c>
      <c r="C13" s="10" t="s">
        <v>229</v>
      </c>
      <c r="D13" s="10" t="s">
        <v>235</v>
      </c>
    </row>
    <row r="15" customFormat="false" ht="39.75" hidden="false" customHeight="true" outlineLevel="0" collapsed="false">
      <c r="A15" s="24" t="s">
        <v>236</v>
      </c>
      <c r="B15" s="24"/>
      <c r="C15" s="24"/>
      <c r="D15" s="24"/>
    </row>
  </sheetData>
  <mergeCells count="1">
    <mergeCell ref="A15:D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8" min="8" style="0" width="40"/>
    <col collapsed="false" customWidth="true" hidden="false" outlineLevel="0" max="9" min="9" style="0" width="8"/>
    <col collapsed="false" customWidth="true" hidden="false" outlineLevel="0" max="10" min="10" style="0" width="10"/>
    <col collapsed="false" customWidth="true" hidden="false" outlineLevel="0" max="11" min="11" style="0" width="14"/>
    <col collapsed="false" customWidth="true" hidden="false" outlineLevel="0" max="12" min="12" style="0" width="46"/>
  </cols>
  <sheetData>
    <row r="1" customFormat="false" ht="19.4" hidden="false" customHeight="false" outlineLevel="0" collapsed="false">
      <c r="A1" s="1" t="s">
        <v>237</v>
      </c>
    </row>
    <row r="2" customFormat="false" ht="15" hidden="false" customHeight="false" outlineLevel="0" collapsed="false">
      <c r="A2" s="2" t="s">
        <v>238</v>
      </c>
    </row>
    <row r="3" customFormat="false" ht="15" hidden="false" customHeight="false" outlineLevel="0" collapsed="false">
      <c r="A3" s="25" t="s">
        <v>239</v>
      </c>
    </row>
    <row r="5" customFormat="false" ht="15" hidden="false" customHeight="false" outlineLevel="0" collapsed="false">
      <c r="A5" s="8" t="s">
        <v>240</v>
      </c>
    </row>
    <row r="6" customFormat="false" ht="15" hidden="false" customHeight="false" outlineLevel="0" collapsed="false">
      <c r="A6" s="9" t="s">
        <v>241</v>
      </c>
      <c r="B6" s="9" t="s">
        <v>242</v>
      </c>
      <c r="C6" s="9" t="s">
        <v>243</v>
      </c>
      <c r="D6" s="9" t="s">
        <v>244</v>
      </c>
      <c r="E6" s="9" t="s">
        <v>245</v>
      </c>
      <c r="F6" s="9" t="s">
        <v>246</v>
      </c>
    </row>
    <row r="7" customFormat="false" ht="15" hidden="false" customHeight="false" outlineLevel="0" collapsed="false">
      <c r="A7" s="26" t="s">
        <v>247</v>
      </c>
      <c r="B7" s="26" t="n">
        <v>15</v>
      </c>
      <c r="C7" s="26" t="n">
        <v>15</v>
      </c>
      <c r="D7" s="26" t="n">
        <v>10</v>
      </c>
      <c r="E7" s="26" t="n">
        <v>20</v>
      </c>
      <c r="F7" s="27" t="n">
        <f aca="false">SUM(B7:E7)</f>
        <v>60</v>
      </c>
    </row>
    <row r="8" customFormat="false" ht="15" hidden="false" customHeight="false" outlineLevel="0" collapsed="false">
      <c r="A8" s="26" t="s">
        <v>248</v>
      </c>
      <c r="B8" s="26" t="n">
        <v>15</v>
      </c>
      <c r="C8" s="26" t="n">
        <v>0</v>
      </c>
      <c r="D8" s="26" t="n">
        <v>15</v>
      </c>
      <c r="E8" s="26" t="n">
        <v>20</v>
      </c>
      <c r="F8" s="27" t="n">
        <f aca="false">SUM(B8:E8)</f>
        <v>50</v>
      </c>
    </row>
    <row r="9" customFormat="false" ht="15" hidden="false" customHeight="false" outlineLevel="0" collapsed="false">
      <c r="A9" s="2" t="s">
        <v>249</v>
      </c>
    </row>
    <row r="11" customFormat="false" ht="15" hidden="false" customHeight="false" outlineLevel="0" collapsed="false">
      <c r="A11" s="8" t="s">
        <v>250</v>
      </c>
    </row>
    <row r="12" customFormat="false" ht="15" hidden="false" customHeight="false" outlineLevel="0" collapsed="false">
      <c r="A12" s="9" t="s">
        <v>251</v>
      </c>
      <c r="B12" s="9" t="s">
        <v>252</v>
      </c>
      <c r="C12" s="9" t="s">
        <v>241</v>
      </c>
      <c r="D12" s="9" t="s">
        <v>242</v>
      </c>
      <c r="E12" s="9" t="s">
        <v>243</v>
      </c>
      <c r="F12" s="9" t="s">
        <v>244</v>
      </c>
      <c r="G12" s="9" t="s">
        <v>245</v>
      </c>
      <c r="H12" s="9" t="s">
        <v>253</v>
      </c>
      <c r="I12" s="9" t="s">
        <v>254</v>
      </c>
      <c r="J12" s="9" t="s">
        <v>255</v>
      </c>
      <c r="K12" s="9" t="s">
        <v>256</v>
      </c>
      <c r="L12" s="9" t="s">
        <v>257</v>
      </c>
    </row>
    <row r="13" customFormat="false" ht="26.85" hidden="false" customHeight="false" outlineLevel="0" collapsed="false">
      <c r="A13" s="28" t="s">
        <v>222</v>
      </c>
      <c r="B13" s="29" t="s">
        <v>258</v>
      </c>
      <c r="C13" s="30" t="s">
        <v>247</v>
      </c>
      <c r="D13" s="30" t="n">
        <v>22</v>
      </c>
      <c r="E13" s="30" t="n">
        <v>18</v>
      </c>
      <c r="F13" s="30" t="n">
        <v>12</v>
      </c>
      <c r="G13" s="30" t="n">
        <v>28</v>
      </c>
      <c r="H13" s="31" t="n">
        <f aca="false">IF(COUNT(D13:G13)=0,"",SUM(D13:G13))</f>
        <v>80</v>
      </c>
      <c r="I13" s="31" t="n">
        <f aca="false">IF($C13="","",INDEX($F$7:$F$8,MATCH($C13,$A$7:$A$8,0)))</f>
        <v>60</v>
      </c>
      <c r="J13" s="32" t="n">
        <f aca="false">IF(OR(H13="",I13=""),"",H13-I13)</f>
        <v>20</v>
      </c>
      <c r="K13" s="31" t="str">
        <f aca="false">IF(COUNT(D13:G13)=0,"",INDEX($D$12:$G$12,MATCH(MAX(D13:G13),D13:G13,0)))</f>
        <v>作図</v>
      </c>
      <c r="L13" s="33" t="s">
        <v>259</v>
      </c>
    </row>
    <row r="14" customFormat="false" ht="15" hidden="false" customHeight="false" outlineLevel="0" collapsed="false">
      <c r="A14" s="29"/>
      <c r="B14" s="29"/>
      <c r="C14" s="30"/>
      <c r="D14" s="30"/>
      <c r="E14" s="30"/>
      <c r="F14" s="30"/>
      <c r="G14" s="30"/>
      <c r="H14" s="31" t="str">
        <f aca="false">IF(COUNT(D14:G14)=0,"",SUM(D14:G14))</f>
        <v/>
      </c>
      <c r="I14" s="31" t="str">
        <f aca="false">IF($C14="","",INDEX($F$7:$F$8,MATCH($C14,$A$7:$A$8,0)))</f>
        <v/>
      </c>
      <c r="J14" s="32" t="str">
        <f aca="false">IF(OR(H14="",I14=""),"",H14-I14)</f>
        <v/>
      </c>
      <c r="K14" s="31" t="str">
        <f aca="false">IF(COUNT(D14:G14)=0,"",INDEX($D$12:$G$12,MATCH(MAX(D14:G14),D14:G14,0)))</f>
        <v/>
      </c>
      <c r="L14" s="33"/>
    </row>
    <row r="15" customFormat="false" ht="15" hidden="false" customHeight="false" outlineLevel="0" collapsed="false">
      <c r="A15" s="29"/>
      <c r="B15" s="29"/>
      <c r="C15" s="30"/>
      <c r="D15" s="30"/>
      <c r="E15" s="30"/>
      <c r="F15" s="30"/>
      <c r="G15" s="30"/>
      <c r="H15" s="31" t="str">
        <f aca="false">IF(COUNT(D15:G15)=0,"",SUM(D15:G15))</f>
        <v/>
      </c>
      <c r="I15" s="31" t="str">
        <f aca="false">IF($C15="","",INDEX($F$7:$F$8,MATCH($C15,$A$7:$A$8,0)))</f>
        <v/>
      </c>
      <c r="J15" s="32" t="str">
        <f aca="false">IF(OR(H15="",I15=""),"",H15-I15)</f>
        <v/>
      </c>
      <c r="K15" s="31" t="str">
        <f aca="false">IF(COUNT(D15:G15)=0,"",INDEX($D$12:$G$12,MATCH(MAX(D15:G15),D15:G15,0)))</f>
        <v/>
      </c>
      <c r="L15" s="33"/>
    </row>
    <row r="16" customFormat="false" ht="15" hidden="false" customHeight="false" outlineLevel="0" collapsed="false">
      <c r="A16" s="29"/>
      <c r="B16" s="29"/>
      <c r="C16" s="30"/>
      <c r="D16" s="30"/>
      <c r="E16" s="30"/>
      <c r="F16" s="30"/>
      <c r="G16" s="30"/>
      <c r="H16" s="31" t="str">
        <f aca="false">IF(COUNT(D16:G16)=0,"",SUM(D16:G16))</f>
        <v/>
      </c>
      <c r="I16" s="31" t="str">
        <f aca="false">IF($C16="","",INDEX($F$7:$F$8,MATCH($C16,$A$7:$A$8,0)))</f>
        <v/>
      </c>
      <c r="J16" s="32" t="str">
        <f aca="false">IF(OR(H16="",I16=""),"",H16-I16)</f>
        <v/>
      </c>
      <c r="K16" s="31" t="str">
        <f aca="false">IF(COUNT(D16:G16)=0,"",INDEX($D$12:$G$12,MATCH(MAX(D16:G16),D16:G16,0)))</f>
        <v/>
      </c>
      <c r="L16" s="33"/>
    </row>
    <row r="17" customFormat="false" ht="15" hidden="false" customHeight="false" outlineLevel="0" collapsed="false">
      <c r="A17" s="29"/>
      <c r="B17" s="29"/>
      <c r="C17" s="30"/>
      <c r="D17" s="30"/>
      <c r="E17" s="30"/>
      <c r="F17" s="30"/>
      <c r="G17" s="30"/>
      <c r="H17" s="31" t="str">
        <f aca="false">IF(COUNT(D17:G17)=0,"",SUM(D17:G17))</f>
        <v/>
      </c>
      <c r="I17" s="31" t="str">
        <f aca="false">IF($C17="","",INDEX($F$7:$F$8,MATCH($C17,$A$7:$A$8,0)))</f>
        <v/>
      </c>
      <c r="J17" s="32" t="str">
        <f aca="false">IF(OR(H17="",I17=""),"",H17-I17)</f>
        <v/>
      </c>
      <c r="K17" s="31" t="str">
        <f aca="false">IF(COUNT(D17:G17)=0,"",INDEX($D$12:$G$12,MATCH(MAX(D17:G17),D17:G17,0)))</f>
        <v/>
      </c>
      <c r="L17" s="33"/>
    </row>
    <row r="18" customFormat="false" ht="15" hidden="false" customHeight="false" outlineLevel="0" collapsed="false">
      <c r="A18" s="29"/>
      <c r="B18" s="29"/>
      <c r="C18" s="30"/>
      <c r="D18" s="30"/>
      <c r="E18" s="30"/>
      <c r="F18" s="30"/>
      <c r="G18" s="30"/>
      <c r="H18" s="31" t="str">
        <f aca="false">IF(COUNT(D18:G18)=0,"",SUM(D18:G18))</f>
        <v/>
      </c>
      <c r="I18" s="31" t="str">
        <f aca="false">IF($C18="","",INDEX($F$7:$F$8,MATCH($C18,$A$7:$A$8,0)))</f>
        <v/>
      </c>
      <c r="J18" s="32" t="str">
        <f aca="false">IF(OR(H18="",I18=""),"",H18-I18)</f>
        <v/>
      </c>
      <c r="K18" s="31" t="str">
        <f aca="false">IF(COUNT(D18:G18)=0,"",INDEX($D$12:$G$12,MATCH(MAX(D18:G18),D18:G18,0)))</f>
        <v/>
      </c>
      <c r="L18" s="33"/>
    </row>
    <row r="19" customFormat="false" ht="15" hidden="false" customHeight="false" outlineLevel="0" collapsed="false">
      <c r="A19" s="29"/>
      <c r="B19" s="29"/>
      <c r="C19" s="30"/>
      <c r="D19" s="30"/>
      <c r="E19" s="30"/>
      <c r="F19" s="30"/>
      <c r="G19" s="30"/>
      <c r="H19" s="31" t="str">
        <f aca="false">IF(COUNT(D19:G19)=0,"",SUM(D19:G19))</f>
        <v/>
      </c>
      <c r="I19" s="31" t="str">
        <f aca="false">IF($C19="","",INDEX($F$7:$F$8,MATCH($C19,$A$7:$A$8,0)))</f>
        <v/>
      </c>
      <c r="J19" s="32" t="str">
        <f aca="false">IF(OR(H19="",I19=""),"",H19-I19)</f>
        <v/>
      </c>
      <c r="K19" s="31" t="str">
        <f aca="false">IF(COUNT(D19:G19)=0,"",INDEX($D$12:$G$12,MATCH(MAX(D19:G19),D19:G19,0)))</f>
        <v/>
      </c>
      <c r="L19" s="33"/>
    </row>
    <row r="20" customFormat="false" ht="15" hidden="false" customHeight="false" outlineLevel="0" collapsed="false">
      <c r="A20" s="29"/>
      <c r="B20" s="29"/>
      <c r="C20" s="30"/>
      <c r="D20" s="30"/>
      <c r="E20" s="30"/>
      <c r="F20" s="30"/>
      <c r="G20" s="30"/>
      <c r="H20" s="31" t="str">
        <f aca="false">IF(COUNT(D20:G20)=0,"",SUM(D20:G20))</f>
        <v/>
      </c>
      <c r="I20" s="31" t="str">
        <f aca="false">IF($C20="","",INDEX($F$7:$F$8,MATCH($C20,$A$7:$A$8,0)))</f>
        <v/>
      </c>
      <c r="J20" s="32" t="str">
        <f aca="false">IF(OR(H20="",I20=""),"",H20-I20)</f>
        <v/>
      </c>
      <c r="K20" s="31" t="str">
        <f aca="false">IF(COUNT(D20:G20)=0,"",INDEX($D$12:$G$12,MATCH(MAX(D20:G20),D20:G20,0)))</f>
        <v/>
      </c>
      <c r="L20" s="33"/>
    </row>
    <row r="21" customFormat="false" ht="15" hidden="false" customHeight="false" outlineLevel="0" collapsed="false">
      <c r="A21" s="29"/>
      <c r="B21" s="29"/>
      <c r="C21" s="30"/>
      <c r="D21" s="30"/>
      <c r="E21" s="30"/>
      <c r="F21" s="30"/>
      <c r="G21" s="30"/>
      <c r="H21" s="31" t="str">
        <f aca="false">IF(COUNT(D21:G21)=0,"",SUM(D21:G21))</f>
        <v/>
      </c>
      <c r="I21" s="31" t="str">
        <f aca="false">IF($C21="","",INDEX($F$7:$F$8,MATCH($C21,$A$7:$A$8,0)))</f>
        <v/>
      </c>
      <c r="J21" s="32" t="str">
        <f aca="false">IF(OR(H21="",I21=""),"",H21-I21)</f>
        <v/>
      </c>
      <c r="K21" s="31" t="str">
        <f aca="false">IF(COUNT(D21:G21)=0,"",INDEX($D$12:$G$12,MATCH(MAX(D21:G21),D21:G21,0)))</f>
        <v/>
      </c>
      <c r="L21" s="33"/>
    </row>
    <row r="22" customFormat="false" ht="15" hidden="false" customHeight="false" outlineLevel="0" collapsed="false">
      <c r="A22" s="29"/>
      <c r="B22" s="29"/>
      <c r="C22" s="30"/>
      <c r="D22" s="30"/>
      <c r="E22" s="30"/>
      <c r="F22" s="30"/>
      <c r="G22" s="30"/>
      <c r="H22" s="31" t="str">
        <f aca="false">IF(COUNT(D22:G22)=0,"",SUM(D22:G22))</f>
        <v/>
      </c>
      <c r="I22" s="31" t="str">
        <f aca="false">IF($C22="","",INDEX($F$7:$F$8,MATCH($C22,$A$7:$A$8,0)))</f>
        <v/>
      </c>
      <c r="J22" s="32" t="str">
        <f aca="false">IF(OR(H22="",I22=""),"",H22-I22)</f>
        <v/>
      </c>
      <c r="K22" s="31" t="str">
        <f aca="false">IF(COUNT(D22:G22)=0,"",INDEX($D$12:$G$12,MATCH(MAX(D22:G22),D22:G22,0)))</f>
        <v/>
      </c>
      <c r="L22" s="33"/>
    </row>
    <row r="23" customFormat="false" ht="15" hidden="false" customHeight="false" outlineLevel="0" collapsed="false">
      <c r="A23" s="29"/>
      <c r="B23" s="29"/>
      <c r="C23" s="30"/>
      <c r="D23" s="30"/>
      <c r="E23" s="30"/>
      <c r="F23" s="30"/>
      <c r="G23" s="30"/>
      <c r="H23" s="31" t="str">
        <f aca="false">IF(COUNT(D23:G23)=0,"",SUM(D23:G23))</f>
        <v/>
      </c>
      <c r="I23" s="31" t="str">
        <f aca="false">IF($C23="","",INDEX($F$7:$F$8,MATCH($C23,$A$7:$A$8,0)))</f>
        <v/>
      </c>
      <c r="J23" s="32" t="str">
        <f aca="false">IF(OR(H23="",I23=""),"",H23-I23)</f>
        <v/>
      </c>
      <c r="K23" s="31" t="str">
        <f aca="false">IF(COUNT(D23:G23)=0,"",INDEX($D$12:$G$12,MATCH(MAX(D23:G23),D23:G23,0)))</f>
        <v/>
      </c>
      <c r="L23" s="33"/>
    </row>
    <row r="24" customFormat="false" ht="15" hidden="false" customHeight="false" outlineLevel="0" collapsed="false">
      <c r="A24" s="29"/>
      <c r="B24" s="29"/>
      <c r="C24" s="30"/>
      <c r="D24" s="30"/>
      <c r="E24" s="30"/>
      <c r="F24" s="30"/>
      <c r="G24" s="30"/>
      <c r="H24" s="31" t="str">
        <f aca="false">IF(COUNT(D24:G24)=0,"",SUM(D24:G24))</f>
        <v/>
      </c>
      <c r="I24" s="31" t="str">
        <f aca="false">IF($C24="","",INDEX($F$7:$F$8,MATCH($C24,$A$7:$A$8,0)))</f>
        <v/>
      </c>
      <c r="J24" s="32" t="str">
        <f aca="false">IF(OR(H24="",I24=""),"",H24-I24)</f>
        <v/>
      </c>
      <c r="K24" s="31" t="str">
        <f aca="false">IF(COUNT(D24:G24)=0,"",INDEX($D$12:$G$12,MATCH(MAX(D24:G24),D24:G24,0)))</f>
        <v/>
      </c>
      <c r="L24" s="33"/>
    </row>
    <row r="25" customFormat="false" ht="15" hidden="false" customHeight="false" outlineLevel="0" collapsed="false">
      <c r="A25" s="29"/>
      <c r="B25" s="29"/>
      <c r="C25" s="30"/>
      <c r="D25" s="30"/>
      <c r="E25" s="30"/>
      <c r="F25" s="30"/>
      <c r="G25" s="30"/>
      <c r="H25" s="31" t="str">
        <f aca="false">IF(COUNT(D25:G25)=0,"",SUM(D25:G25))</f>
        <v/>
      </c>
      <c r="I25" s="31" t="str">
        <f aca="false">IF($C25="","",INDEX($F$7:$F$8,MATCH($C25,$A$7:$A$8,0)))</f>
        <v/>
      </c>
      <c r="J25" s="32" t="str">
        <f aca="false">IF(OR(H25="",I25=""),"",H25-I25)</f>
        <v/>
      </c>
      <c r="K25" s="31" t="str">
        <f aca="false">IF(COUNT(D25:G25)=0,"",INDEX($D$12:$G$12,MATCH(MAX(D25:G25),D25:G25,0)))</f>
        <v/>
      </c>
      <c r="L25" s="33"/>
    </row>
    <row r="26" customFormat="false" ht="15" hidden="false" customHeight="false" outlineLevel="0" collapsed="false">
      <c r="A26" s="29"/>
      <c r="B26" s="29"/>
      <c r="C26" s="30"/>
      <c r="D26" s="30"/>
      <c r="E26" s="30"/>
      <c r="F26" s="30"/>
      <c r="G26" s="30"/>
      <c r="H26" s="31" t="str">
        <f aca="false">IF(COUNT(D26:G26)=0,"",SUM(D26:G26))</f>
        <v/>
      </c>
      <c r="I26" s="31" t="str">
        <f aca="false">IF($C26="","",INDEX($F$7:$F$8,MATCH($C26,$A$7:$A$8,0)))</f>
        <v/>
      </c>
      <c r="J26" s="32" t="str">
        <f aca="false">IF(OR(H26="",I26=""),"",H26-I26)</f>
        <v/>
      </c>
      <c r="K26" s="31" t="str">
        <f aca="false">IF(COUNT(D26:G26)=0,"",INDEX($D$12:$G$12,MATCH(MAX(D26:G26),D26:G26,0)))</f>
        <v/>
      </c>
      <c r="L26" s="33"/>
    </row>
    <row r="27" customFormat="false" ht="15" hidden="false" customHeight="false" outlineLevel="0" collapsed="false">
      <c r="A27" s="29"/>
      <c r="B27" s="29"/>
      <c r="C27" s="30"/>
      <c r="D27" s="30"/>
      <c r="E27" s="30"/>
      <c r="F27" s="30"/>
      <c r="G27" s="30"/>
      <c r="H27" s="31" t="str">
        <f aca="false">IF(COUNT(D27:G27)=0,"",SUM(D27:G27))</f>
        <v/>
      </c>
      <c r="I27" s="31" t="str">
        <f aca="false">IF($C27="","",INDEX($F$7:$F$8,MATCH($C27,$A$7:$A$8,0)))</f>
        <v/>
      </c>
      <c r="J27" s="32" t="str">
        <f aca="false">IF(OR(H27="",I27=""),"",H27-I27)</f>
        <v/>
      </c>
      <c r="K27" s="31" t="str">
        <f aca="false">IF(COUNT(D27:G27)=0,"",INDEX($D$12:$G$12,MATCH(MAX(D27:G27),D27:G27,0)))</f>
        <v/>
      </c>
      <c r="L27" s="33"/>
    </row>
    <row r="28" customFormat="false" ht="15" hidden="false" customHeight="false" outlineLevel="0" collapsed="false">
      <c r="A28" s="29"/>
      <c r="B28" s="29"/>
      <c r="C28" s="30"/>
      <c r="D28" s="30"/>
      <c r="E28" s="30"/>
      <c r="F28" s="30"/>
      <c r="G28" s="30"/>
      <c r="H28" s="31" t="str">
        <f aca="false">IF(COUNT(D28:G28)=0,"",SUM(D28:G28))</f>
        <v/>
      </c>
      <c r="I28" s="31" t="str">
        <f aca="false">IF($C28="","",INDEX($F$7:$F$8,MATCH($C28,$A$7:$A$8,0)))</f>
        <v/>
      </c>
      <c r="J28" s="32" t="str">
        <f aca="false">IF(OR(H28="",I28=""),"",H28-I28)</f>
        <v/>
      </c>
      <c r="K28" s="31" t="str">
        <f aca="false">IF(COUNT(D28:G28)=0,"",INDEX($D$12:$G$12,MATCH(MAX(D28:G28),D28:G28,0)))</f>
        <v/>
      </c>
      <c r="L28" s="33"/>
    </row>
    <row r="29" customFormat="false" ht="15" hidden="false" customHeight="false" outlineLevel="0" collapsed="false">
      <c r="A29" s="29"/>
      <c r="B29" s="29"/>
      <c r="C29" s="30"/>
      <c r="D29" s="30"/>
      <c r="E29" s="30"/>
      <c r="F29" s="30"/>
      <c r="G29" s="30"/>
      <c r="H29" s="31" t="str">
        <f aca="false">IF(COUNT(D29:G29)=0,"",SUM(D29:G29))</f>
        <v/>
      </c>
      <c r="I29" s="31" t="str">
        <f aca="false">IF($C29="","",INDEX($F$7:$F$8,MATCH($C29,$A$7:$A$8,0)))</f>
        <v/>
      </c>
      <c r="J29" s="32" t="str">
        <f aca="false">IF(OR(H29="",I29=""),"",H29-I29)</f>
        <v/>
      </c>
      <c r="K29" s="31" t="str">
        <f aca="false">IF(COUNT(D29:G29)=0,"",INDEX($D$12:$G$12,MATCH(MAX(D29:G29),D29:G29,0)))</f>
        <v/>
      </c>
      <c r="L29" s="33"/>
    </row>
    <row r="30" customFormat="false" ht="15" hidden="false" customHeight="false" outlineLevel="0" collapsed="false">
      <c r="A30" s="29"/>
      <c r="B30" s="29"/>
      <c r="C30" s="30"/>
      <c r="D30" s="30"/>
      <c r="E30" s="30"/>
      <c r="F30" s="30"/>
      <c r="G30" s="30"/>
      <c r="H30" s="31" t="str">
        <f aca="false">IF(COUNT(D30:G30)=0,"",SUM(D30:G30))</f>
        <v/>
      </c>
      <c r="I30" s="31" t="str">
        <f aca="false">IF($C30="","",INDEX($F$7:$F$8,MATCH($C30,$A$7:$A$8,0)))</f>
        <v/>
      </c>
      <c r="J30" s="32" t="str">
        <f aca="false">IF(OR(H30="",I30=""),"",H30-I30)</f>
        <v/>
      </c>
      <c r="K30" s="31" t="str">
        <f aca="false">IF(COUNT(D30:G30)=0,"",INDEX($D$12:$G$12,MATCH(MAX(D30:G30),D30:G30,0)))</f>
        <v/>
      </c>
      <c r="L30" s="33"/>
    </row>
    <row r="31" customFormat="false" ht="15" hidden="false" customHeight="false" outlineLevel="0" collapsed="false">
      <c r="A31" s="29"/>
      <c r="B31" s="29"/>
      <c r="C31" s="30"/>
      <c r="D31" s="30"/>
      <c r="E31" s="30"/>
      <c r="F31" s="30"/>
      <c r="G31" s="30"/>
      <c r="H31" s="31" t="str">
        <f aca="false">IF(COUNT(D31:G31)=0,"",SUM(D31:G31))</f>
        <v/>
      </c>
      <c r="I31" s="31" t="str">
        <f aca="false">IF($C31="","",INDEX($F$7:$F$8,MATCH($C31,$A$7:$A$8,0)))</f>
        <v/>
      </c>
      <c r="J31" s="32" t="str">
        <f aca="false">IF(OR(H31="",I31=""),"",H31-I31)</f>
        <v/>
      </c>
      <c r="K31" s="31" t="str">
        <f aca="false">IF(COUNT(D31:G31)=0,"",INDEX($D$12:$G$12,MATCH(MAX(D31:G31),D31:G31,0)))</f>
        <v/>
      </c>
      <c r="L31" s="33"/>
    </row>
    <row r="32" customFormat="false" ht="15" hidden="false" customHeight="false" outlineLevel="0" collapsed="false">
      <c r="A32" s="29"/>
      <c r="B32" s="29"/>
      <c r="C32" s="30"/>
      <c r="D32" s="30"/>
      <c r="E32" s="30"/>
      <c r="F32" s="30"/>
      <c r="G32" s="30"/>
      <c r="H32" s="31" t="str">
        <f aca="false">IF(COUNT(D32:G32)=0,"",SUM(D32:G32))</f>
        <v/>
      </c>
      <c r="I32" s="31" t="str">
        <f aca="false">IF($C32="","",INDEX($F$7:$F$8,MATCH($C32,$A$7:$A$8,0)))</f>
        <v/>
      </c>
      <c r="J32" s="32" t="str">
        <f aca="false">IF(OR(H32="",I32=""),"",H32-I32)</f>
        <v/>
      </c>
      <c r="K32" s="31" t="str">
        <f aca="false">IF(COUNT(D32:G32)=0,"",INDEX($D$12:$G$12,MATCH(MAX(D32:G32),D32:G32,0)))</f>
        <v/>
      </c>
      <c r="L32" s="33"/>
    </row>
    <row r="33" customFormat="false" ht="15" hidden="false" customHeight="false" outlineLevel="0" collapsed="false">
      <c r="A33" s="29"/>
      <c r="B33" s="29"/>
      <c r="C33" s="30"/>
      <c r="D33" s="30"/>
      <c r="E33" s="30"/>
      <c r="F33" s="30"/>
      <c r="G33" s="30"/>
      <c r="H33" s="31" t="str">
        <f aca="false">IF(COUNT(D33:G33)=0,"",SUM(D33:G33))</f>
        <v/>
      </c>
      <c r="I33" s="31" t="str">
        <f aca="false">IF($C33="","",INDEX($F$7:$F$8,MATCH($C33,$A$7:$A$8,0)))</f>
        <v/>
      </c>
      <c r="J33" s="32" t="str">
        <f aca="false">IF(OR(H33="",I33=""),"",H33-I33)</f>
        <v/>
      </c>
      <c r="K33" s="31" t="str">
        <f aca="false">IF(COUNT(D33:G33)=0,"",INDEX($D$12:$G$12,MATCH(MAX(D33:G33),D33:G33,0)))</f>
        <v/>
      </c>
      <c r="L33" s="33"/>
    </row>
    <row r="34" customFormat="false" ht="15" hidden="false" customHeight="false" outlineLevel="0" collapsed="false">
      <c r="A34" s="29"/>
      <c r="B34" s="29"/>
      <c r="C34" s="30"/>
      <c r="D34" s="30"/>
      <c r="E34" s="30"/>
      <c r="F34" s="30"/>
      <c r="G34" s="30"/>
      <c r="H34" s="31" t="str">
        <f aca="false">IF(COUNT(D34:G34)=0,"",SUM(D34:G34))</f>
        <v/>
      </c>
      <c r="I34" s="31" t="str">
        <f aca="false">IF($C34="","",INDEX($F$7:$F$8,MATCH($C34,$A$7:$A$8,0)))</f>
        <v/>
      </c>
      <c r="J34" s="32" t="str">
        <f aca="false">IF(OR(H34="",I34=""),"",H34-I34)</f>
        <v/>
      </c>
      <c r="K34" s="31" t="str">
        <f aca="false">IF(COUNT(D34:G34)=0,"",INDEX($D$12:$G$12,MATCH(MAX(D34:G34),D34:G34,0)))</f>
        <v/>
      </c>
      <c r="L34" s="33"/>
    </row>
    <row r="35" customFormat="false" ht="15" hidden="false" customHeight="false" outlineLevel="0" collapsed="false">
      <c r="A35" s="29"/>
      <c r="B35" s="29"/>
      <c r="C35" s="30"/>
      <c r="D35" s="30"/>
      <c r="E35" s="30"/>
      <c r="F35" s="30"/>
      <c r="G35" s="30"/>
      <c r="H35" s="31" t="str">
        <f aca="false">IF(COUNT(D35:G35)=0,"",SUM(D35:G35))</f>
        <v/>
      </c>
      <c r="I35" s="31" t="str">
        <f aca="false">IF($C35="","",INDEX($F$7:$F$8,MATCH($C35,$A$7:$A$8,0)))</f>
        <v/>
      </c>
      <c r="J35" s="32" t="str">
        <f aca="false">IF(OR(H35="",I35=""),"",H35-I35)</f>
        <v/>
      </c>
      <c r="K35" s="31" t="str">
        <f aca="false">IF(COUNT(D35:G35)=0,"",INDEX($D$12:$G$12,MATCH(MAX(D35:G35),D35:G35,0)))</f>
        <v/>
      </c>
      <c r="L35" s="33"/>
    </row>
    <row r="36" customFormat="false" ht="15" hidden="false" customHeight="false" outlineLevel="0" collapsed="false">
      <c r="A36" s="29"/>
      <c r="B36" s="29"/>
      <c r="C36" s="30"/>
      <c r="D36" s="30"/>
      <c r="E36" s="30"/>
      <c r="F36" s="30"/>
      <c r="G36" s="30"/>
      <c r="H36" s="31" t="str">
        <f aca="false">IF(COUNT(D36:G36)=0,"",SUM(D36:G36))</f>
        <v/>
      </c>
      <c r="I36" s="31" t="str">
        <f aca="false">IF($C36="","",INDEX($F$7:$F$8,MATCH($C36,$A$7:$A$8,0)))</f>
        <v/>
      </c>
      <c r="J36" s="32" t="str">
        <f aca="false">IF(OR(H36="",I36=""),"",H36-I36)</f>
        <v/>
      </c>
      <c r="K36" s="31" t="str">
        <f aca="false">IF(COUNT(D36:G36)=0,"",INDEX($D$12:$G$12,MATCH(MAX(D36:G36),D36:G36,0)))</f>
        <v/>
      </c>
      <c r="L36" s="33"/>
    </row>
    <row r="37" customFormat="false" ht="15" hidden="false" customHeight="false" outlineLevel="0" collapsed="false">
      <c r="A37" s="29"/>
      <c r="B37" s="29"/>
      <c r="C37" s="30"/>
      <c r="D37" s="30"/>
      <c r="E37" s="30"/>
      <c r="F37" s="30"/>
      <c r="G37" s="30"/>
      <c r="H37" s="31" t="str">
        <f aca="false">IF(COUNT(D37:G37)=0,"",SUM(D37:G37))</f>
        <v/>
      </c>
      <c r="I37" s="31" t="str">
        <f aca="false">IF($C37="","",INDEX($F$7:$F$8,MATCH($C37,$A$7:$A$8,0)))</f>
        <v/>
      </c>
      <c r="J37" s="32" t="str">
        <f aca="false">IF(OR(H37="",I37=""),"",H37-I37)</f>
        <v/>
      </c>
      <c r="K37" s="31" t="str">
        <f aca="false">IF(COUNT(D37:G37)=0,"",INDEX($D$12:$G$12,MATCH(MAX(D37:G37),D37:G37,0)))</f>
        <v/>
      </c>
      <c r="L37" s="33"/>
    </row>
    <row r="38" customFormat="false" ht="15" hidden="false" customHeight="false" outlineLevel="0" collapsed="false">
      <c r="A38" s="29"/>
      <c r="B38" s="29"/>
      <c r="C38" s="30"/>
      <c r="D38" s="30"/>
      <c r="E38" s="30"/>
      <c r="F38" s="30"/>
      <c r="G38" s="30"/>
      <c r="H38" s="31" t="str">
        <f aca="false">IF(COUNT(D38:G38)=0,"",SUM(D38:G38))</f>
        <v/>
      </c>
      <c r="I38" s="31" t="str">
        <f aca="false">IF($C38="","",INDEX($F$7:$F$8,MATCH($C38,$A$7:$A$8,0)))</f>
        <v/>
      </c>
      <c r="J38" s="32" t="str">
        <f aca="false">IF(OR(H38="",I38=""),"",H38-I38)</f>
        <v/>
      </c>
      <c r="K38" s="31" t="str">
        <f aca="false">IF(COUNT(D38:G38)=0,"",INDEX($D$12:$G$12,MATCH(MAX(D38:G38),D38:G38,0)))</f>
        <v/>
      </c>
      <c r="L38" s="33"/>
    </row>
    <row r="39" customFormat="false" ht="15" hidden="false" customHeight="false" outlineLevel="0" collapsed="false">
      <c r="A39" s="29"/>
      <c r="B39" s="29"/>
      <c r="C39" s="30"/>
      <c r="D39" s="30"/>
      <c r="E39" s="30"/>
      <c r="F39" s="30"/>
      <c r="G39" s="30"/>
      <c r="H39" s="31" t="str">
        <f aca="false">IF(COUNT(D39:G39)=0,"",SUM(D39:G39))</f>
        <v/>
      </c>
      <c r="I39" s="31" t="str">
        <f aca="false">IF($C39="","",INDEX($F$7:$F$8,MATCH($C39,$A$7:$A$8,0)))</f>
        <v/>
      </c>
      <c r="J39" s="32" t="str">
        <f aca="false">IF(OR(H39="",I39=""),"",H39-I39)</f>
        <v/>
      </c>
      <c r="K39" s="31" t="str">
        <f aca="false">IF(COUNT(D39:G39)=0,"",INDEX($D$12:$G$12,MATCH(MAX(D39:G39),D39:G39,0)))</f>
        <v/>
      </c>
      <c r="L39" s="33"/>
    </row>
    <row r="40" customFormat="false" ht="15" hidden="false" customHeight="false" outlineLevel="0" collapsed="false">
      <c r="A40" s="29"/>
      <c r="B40" s="29"/>
      <c r="C40" s="30"/>
      <c r="D40" s="30"/>
      <c r="E40" s="30"/>
      <c r="F40" s="30"/>
      <c r="G40" s="30"/>
      <c r="H40" s="31" t="str">
        <f aca="false">IF(COUNT(D40:G40)=0,"",SUM(D40:G40))</f>
        <v/>
      </c>
      <c r="I40" s="31" t="str">
        <f aca="false">IF($C40="","",INDEX($F$7:$F$8,MATCH($C40,$A$7:$A$8,0)))</f>
        <v/>
      </c>
      <c r="J40" s="32" t="str">
        <f aca="false">IF(OR(H40="",I40=""),"",H40-I40)</f>
        <v/>
      </c>
      <c r="K40" s="31" t="str">
        <f aca="false">IF(COUNT(D40:G40)=0,"",INDEX($D$12:$G$12,MATCH(MAX(D40:G40),D40:G40,0)))</f>
        <v/>
      </c>
      <c r="L40" s="33"/>
    </row>
    <row r="41" customFormat="false" ht="15" hidden="false" customHeight="false" outlineLevel="0" collapsed="false">
      <c r="A41" s="29"/>
      <c r="B41" s="29"/>
      <c r="C41" s="30"/>
      <c r="D41" s="30"/>
      <c r="E41" s="30"/>
      <c r="F41" s="30"/>
      <c r="G41" s="30"/>
      <c r="H41" s="31" t="str">
        <f aca="false">IF(COUNT(D41:G41)=0,"",SUM(D41:G41))</f>
        <v/>
      </c>
      <c r="I41" s="31" t="str">
        <f aca="false">IF($C41="","",INDEX($F$7:$F$8,MATCH($C41,$A$7:$A$8,0)))</f>
        <v/>
      </c>
      <c r="J41" s="32" t="str">
        <f aca="false">IF(OR(H41="",I41=""),"",H41-I41)</f>
        <v/>
      </c>
      <c r="K41" s="31" t="str">
        <f aca="false">IF(COUNT(D41:G41)=0,"",INDEX($D$12:$G$12,MATCH(MAX(D41:G41),D41:G41,0)))</f>
        <v/>
      </c>
      <c r="L41" s="33"/>
    </row>
    <row r="42" customFormat="false" ht="15" hidden="false" customHeight="false" outlineLevel="0" collapsed="false">
      <c r="A42" s="29"/>
      <c r="B42" s="29"/>
      <c r="C42" s="30"/>
      <c r="D42" s="30"/>
      <c r="E42" s="30"/>
      <c r="F42" s="30"/>
      <c r="G42" s="30"/>
      <c r="H42" s="31" t="str">
        <f aca="false">IF(COUNT(D42:G42)=0,"",SUM(D42:G42))</f>
        <v/>
      </c>
      <c r="I42" s="31" t="str">
        <f aca="false">IF($C42="","",INDEX($F$7:$F$8,MATCH($C42,$A$7:$A$8,0)))</f>
        <v/>
      </c>
      <c r="J42" s="32" t="str">
        <f aca="false">IF(OR(H42="",I42=""),"",H42-I42)</f>
        <v/>
      </c>
      <c r="K42" s="31" t="str">
        <f aca="false">IF(COUNT(D42:G42)=0,"",INDEX($D$12:$G$12,MATCH(MAX(D42:G42),D42:G42,0)))</f>
        <v/>
      </c>
      <c r="L42" s="33"/>
    </row>
    <row r="44" customFormat="false" ht="15" hidden="false" customHeight="false" outlineLevel="0" collapsed="false">
      <c r="A44" s="8" t="s">
        <v>260</v>
      </c>
    </row>
    <row r="45" customFormat="false" ht="15" hidden="false" customHeight="false" outlineLevel="0" collapsed="false">
      <c r="A45" s="9" t="s">
        <v>261</v>
      </c>
      <c r="B45" s="9" t="s">
        <v>262</v>
      </c>
      <c r="C45" s="9" t="s">
        <v>263</v>
      </c>
      <c r="D45" s="9" t="s">
        <v>264</v>
      </c>
      <c r="E45" s="9" t="s">
        <v>265</v>
      </c>
      <c r="F45" s="9" t="s">
        <v>266</v>
      </c>
      <c r="G45" s="9" t="s">
        <v>264</v>
      </c>
      <c r="H45" s="9" t="s">
        <v>267</v>
      </c>
    </row>
    <row r="46" customFormat="false" ht="26.85" hidden="false" customHeight="false" outlineLevel="0" collapsed="false">
      <c r="A46" s="34" t="s">
        <v>242</v>
      </c>
      <c r="B46" s="35" t="n">
        <f aca="false">IFERROR(AVERAGEIF($C$13:$C$42,"土地",D$13:D$42),"")</f>
        <v>22</v>
      </c>
      <c r="C46" s="36" t="n">
        <f aca="false">B7</f>
        <v>15</v>
      </c>
      <c r="D46" s="37" t="n">
        <f aca="false">IF(B46="","",B46-C46)</f>
        <v>7</v>
      </c>
      <c r="E46" s="35" t="str">
        <f aca="false">IFERROR(AVERAGEIF($C$13:$C$42,"建物",D$13:D$42),"")</f>
        <v/>
      </c>
      <c r="F46" s="36" t="n">
        <f aca="false">B8</f>
        <v>15</v>
      </c>
      <c r="G46" s="37" t="str">
        <f aca="false">IF(E46="","",E46-F46)</f>
        <v/>
      </c>
      <c r="H46" s="38" t="s">
        <v>268</v>
      </c>
    </row>
    <row r="47" customFormat="false" ht="26.85" hidden="false" customHeight="false" outlineLevel="0" collapsed="false">
      <c r="A47" s="34" t="s">
        <v>243</v>
      </c>
      <c r="B47" s="35" t="n">
        <f aca="false">IFERROR(AVERAGEIF($C$13:$C$42,"土地",E$13:E$42),"")</f>
        <v>18</v>
      </c>
      <c r="C47" s="36" t="n">
        <f aca="false">C7</f>
        <v>15</v>
      </c>
      <c r="D47" s="37" t="n">
        <f aca="false">IF(B47="","",B47-C47)</f>
        <v>3</v>
      </c>
      <c r="E47" s="35" t="str">
        <f aca="false">IFERROR(AVERAGEIF($C$13:$C$42,"建物",E$13:E$42),"")</f>
        <v/>
      </c>
      <c r="F47" s="36" t="n">
        <f aca="false">C8</f>
        <v>0</v>
      </c>
      <c r="G47" s="37" t="str">
        <f aca="false">IF(E47="","",E47-F47)</f>
        <v/>
      </c>
      <c r="H47" s="38" t="s">
        <v>269</v>
      </c>
    </row>
    <row r="48" customFormat="false" ht="26.85" hidden="false" customHeight="false" outlineLevel="0" collapsed="false">
      <c r="A48" s="34" t="s">
        <v>244</v>
      </c>
      <c r="B48" s="35" t="n">
        <f aca="false">IFERROR(AVERAGEIF($C$13:$C$42,"土地",F$13:F$42),"")</f>
        <v>12</v>
      </c>
      <c r="C48" s="36" t="n">
        <f aca="false">D7</f>
        <v>10</v>
      </c>
      <c r="D48" s="37" t="n">
        <f aca="false">IF(B48="","",B48-C48)</f>
        <v>2</v>
      </c>
      <c r="E48" s="35" t="str">
        <f aca="false">IFERROR(AVERAGEIF($C$13:$C$42,"建物",F$13:F$42),"")</f>
        <v/>
      </c>
      <c r="F48" s="36" t="n">
        <f aca="false">D8</f>
        <v>15</v>
      </c>
      <c r="G48" s="37" t="str">
        <f aca="false">IF(E48="","",E48-F48)</f>
        <v/>
      </c>
      <c r="H48" s="38" t="s">
        <v>270</v>
      </c>
    </row>
    <row r="49" customFormat="false" ht="26.85" hidden="false" customHeight="false" outlineLevel="0" collapsed="false">
      <c r="A49" s="34" t="s">
        <v>245</v>
      </c>
      <c r="B49" s="35" t="n">
        <f aca="false">IFERROR(AVERAGEIF($C$13:$C$42,"土地",G$13:G$42),"")</f>
        <v>28</v>
      </c>
      <c r="C49" s="36" t="n">
        <f aca="false">E7</f>
        <v>20</v>
      </c>
      <c r="D49" s="37" t="n">
        <f aca="false">IF(B49="","",B49-C49)</f>
        <v>8</v>
      </c>
      <c r="E49" s="35" t="str">
        <f aca="false">IFERROR(AVERAGEIF($C$13:$C$42,"建物",G$13:G$42),"")</f>
        <v/>
      </c>
      <c r="F49" s="36" t="n">
        <f aca="false">E8</f>
        <v>20</v>
      </c>
      <c r="G49" s="37" t="str">
        <f aca="false">IF(E49="","",E49-F49)</f>
        <v/>
      </c>
      <c r="H49" s="38" t="s">
        <v>271</v>
      </c>
    </row>
    <row r="51" customFormat="false" ht="16.4" hidden="false" customHeight="false" outlineLevel="0" collapsed="false">
      <c r="A51" s="3" t="s">
        <v>272</v>
      </c>
      <c r="B51" s="39" t="n">
        <f aca="false">COUNT(H13:H42)</f>
        <v>1</v>
      </c>
      <c r="C51" s="2" t="s">
        <v>273</v>
      </c>
    </row>
    <row r="52" customFormat="false" ht="16.4" hidden="false" customHeight="false" outlineLevel="0" collapsed="false">
      <c r="A52" s="3" t="s">
        <v>274</v>
      </c>
      <c r="B52" s="40" t="n">
        <f aca="false">IFERROR(AVERAGE(J13:J42),"")</f>
        <v>20</v>
      </c>
      <c r="C52" s="17" t="s">
        <v>275</v>
      </c>
    </row>
    <row r="54" customFormat="false" ht="39.75" hidden="false" customHeight="true" outlineLevel="0" collapsed="false">
      <c r="A54" s="13" t="s">
        <v>276</v>
      </c>
      <c r="B54" s="13"/>
      <c r="C54" s="13"/>
      <c r="D54" s="13"/>
      <c r="E54" s="13"/>
      <c r="F54" s="13"/>
      <c r="G54" s="13"/>
      <c r="H54" s="13"/>
    </row>
  </sheetData>
  <mergeCells count="1">
    <mergeCell ref="A54:H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2026-09-08T08:52:21Z</dcterms:created>
  <dc:creator>openpyxl</dc:creator>
  <dc:description/>
  <dc:language>en-US</dc:language>
  <cp:lastModifiedBy/>
  <dcterms:modified xsi:type="dcterms:W3CDTF">2026-09-08T08:52:21Z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
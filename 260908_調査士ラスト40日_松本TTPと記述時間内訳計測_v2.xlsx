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⓪ラスト40日" sheetId="1" state="visible" r:id="rId3"/>
    <sheet name="①人物_松本大介" sheetId="2" state="visible" r:id="rId4"/>
    <sheet name="②松本メソッド" sheetId="3" state="visible" r:id="rId5"/>
    <sheet name="③収益モデル" sheetId="4" state="visible" r:id="rId6"/>
    <sheet name="④課題と対策" sheetId="5" state="visible" r:id="rId7"/>
    <sheet name="⑤40日設計" sheetId="6" state="visible" r:id="rId8"/>
    <sheet name="⑥今日のアクション" sheetId="7" state="visible" r:id="rId9"/>
    <sheet name="⑦記述_時間内訳計測" sheetId="8" state="visible" r:id="rId10"/>
    <sheet name="⑧本番150分の設計" sheetId="9" state="visible" r:id="rId11"/>
    <sheet name="⑨マーキングと筆記具" sheetId="10" state="visible" r:id="rId12"/>
    <sheet name="⑩論点セルフチェック" sheetId="11" state="visible" r:id="rId13"/>
    <sheet name="⑪直前ロードマップと持ち物" sheetId="12" state="visible" r:id="rId14"/>
    <sheet name="⑫残務と買い物"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<sst xmlns="http://schemas.openxmlformats.org/spreadsheetml/2006/main" count="684" uniqueCount="590">
  <si>
    <r>
      <rPr>
        <b val="true"/>
        <sz val="14"/>
        <color rgb="FF1F3864"/>
        <rFont val="WenQuanYi Zen Hei"/>
        <family val="2"/>
      </rPr>
      <t xml:space="preserve">土地家屋調査士 </t>
    </r>
    <r>
      <rPr>
        <b val="true"/>
        <sz val="14"/>
        <color rgb="FF1F3864"/>
        <rFont val="Yu Gothic"/>
        <family val="0"/>
        <charset val="1"/>
      </rPr>
      <t xml:space="preserve">2026-10-18 — </t>
    </r>
    <r>
      <rPr>
        <b val="true"/>
        <sz val="14"/>
        <color rgb="FF1F3864"/>
        <rFont val="WenQuanYi Zen Hei"/>
        <family val="2"/>
      </rPr>
      <t xml:space="preserve">ラスト</t>
    </r>
    <r>
      <rPr>
        <b val="true"/>
        <sz val="14"/>
        <color rgb="FF1F3864"/>
        <rFont val="Yu Gothic"/>
        <family val="0"/>
        <charset val="1"/>
      </rPr>
      <t xml:space="preserve">40</t>
    </r>
    <r>
      <rPr>
        <b val="true"/>
        <sz val="14"/>
        <color rgb="FF1F3864"/>
        <rFont val="WenQuanYi Zen Hei"/>
        <family val="2"/>
      </rPr>
      <t xml:space="preserve">日の作戦</t>
    </r>
  </si>
  <si>
    <r>
      <rPr>
        <sz val="9"/>
        <color rgb="FF808080"/>
        <rFont val="WenQuanYi Zen Hei"/>
        <family val="2"/>
      </rPr>
      <t xml:space="preserve">作成</t>
    </r>
    <r>
      <rPr>
        <sz val="9"/>
        <color rgb="FF808080"/>
        <rFont val="Yu Gothic"/>
        <family val="0"/>
        <charset val="1"/>
      </rPr>
      <t xml:space="preserve">: 2026-09-08 </t>
    </r>
    <r>
      <rPr>
        <sz val="9"/>
        <color rgb="FF808080"/>
        <rFont val="WenQuanYi Zen Hei"/>
        <family val="2"/>
      </rPr>
      <t xml:space="preserve">／ 課題＝択一は仕上がってきたが、記述の処理速度（読解・作図）が律速</t>
    </r>
  </si>
  <si>
    <t xml:space="preserve">本試験日</t>
  </si>
  <si>
    <t xml:space="preserve">起点（本シート作成日）</t>
  </si>
  <si>
    <t xml:space="preserve">残り日数</t>
  </si>
  <si>
    <r>
      <rPr>
        <b val="true"/>
        <sz val="10"/>
        <rFont val="WenQuanYi Zen Hei"/>
        <family val="2"/>
      </rPr>
      <t xml:space="preserve">通し演習の目標本数（週</t>
    </r>
    <r>
      <rPr>
        <b val="true"/>
        <sz val="10"/>
        <rFont val="Yu Gothic"/>
        <family val="0"/>
        <charset val="1"/>
      </rPr>
      <t xml:space="preserve">2</t>
    </r>
    <r>
      <rPr>
        <b val="true"/>
        <sz val="10"/>
        <rFont val="WenQuanYi Zen Hei"/>
        <family val="2"/>
      </rPr>
      <t xml:space="preserve">）</t>
    </r>
  </si>
  <si>
    <r>
      <rPr>
        <b val="true"/>
        <sz val="11"/>
        <color rgb="FFBF9000"/>
        <rFont val="WenQuanYi Zen Hei"/>
        <family val="2"/>
      </rPr>
      <t xml:space="preserve">■ この</t>
    </r>
    <r>
      <rPr>
        <b val="true"/>
        <sz val="11"/>
        <color rgb="FFBF9000"/>
        <rFont val="Yu Gothic"/>
        <family val="0"/>
        <charset val="1"/>
      </rPr>
      <t xml:space="preserve">40</t>
    </r>
    <r>
      <rPr>
        <b val="true"/>
        <sz val="11"/>
        <color rgb="FFBF9000"/>
        <rFont val="WenQuanYi Zen Hei"/>
        <family val="2"/>
      </rPr>
      <t xml:space="preserve">日の意思決定（</t>
    </r>
    <r>
      <rPr>
        <b val="true"/>
        <sz val="11"/>
        <color rgb="FFBF9000"/>
        <rFont val="Yu Gothic"/>
        <family val="0"/>
        <charset val="1"/>
      </rPr>
      <t xml:space="preserve">9/8</t>
    </r>
    <r>
      <rPr>
        <b val="true"/>
        <sz val="11"/>
        <color rgb="FFBF9000"/>
        <rFont val="WenQuanYi Zen Hei"/>
        <family val="2"/>
      </rPr>
      <t xml:space="preserve">確定）</t>
    </r>
  </si>
  <si>
    <t xml:space="preserve">論点</t>
  </si>
  <si>
    <t xml:space="preserve">結論</t>
  </si>
  <si>
    <t xml:space="preserve">理由</t>
  </si>
  <si>
    <t xml:space="preserve">追加講座を取るか</t>
  </si>
  <si>
    <r>
      <rPr>
        <sz val="10"/>
        <rFont val="WenQuanYi Zen Hei"/>
        <family val="2"/>
      </rPr>
      <t xml:space="preserve">取らない（カリキュラム系は</t>
    </r>
    <r>
      <rPr>
        <sz val="10"/>
        <rFont val="Yu Gothic"/>
        <family val="0"/>
        <charset val="1"/>
      </rPr>
      <t xml:space="preserve">NO</t>
    </r>
    <r>
      <rPr>
        <sz val="10"/>
        <rFont val="WenQuanYi Zen Hei"/>
        <family val="2"/>
      </rPr>
      <t xml:space="preserve">）</t>
    </r>
  </si>
  <si>
    <r>
      <rPr>
        <sz val="10"/>
        <rFont val="Yu Gothic"/>
        <family val="0"/>
        <charset val="1"/>
      </rPr>
      <t xml:space="preserve">40</t>
    </r>
    <r>
      <rPr>
        <sz val="10"/>
        <rFont val="WenQuanYi Zen Hei"/>
        <family val="2"/>
      </rPr>
      <t xml:space="preserve">日で新規インプットは消化不良。かつ講座申込は『内務逃避＝コントロールできる作業に逃げて偽りの達成感を得る』の既知パターン。</t>
    </r>
    <r>
      <rPr>
        <sz val="10"/>
        <rFont val="Yu Gothic"/>
        <family val="0"/>
        <charset val="1"/>
      </rPr>
      <t xml:space="preserve">7/24</t>
    </r>
    <r>
      <rPr>
        <sz val="10"/>
        <rFont val="WenQuanYi Zen Hei"/>
        <family val="2"/>
      </rPr>
      <t xml:space="preserve">に決めた『</t>
    </r>
    <r>
      <rPr>
        <sz val="10"/>
        <rFont val="Yu Gothic"/>
        <family val="0"/>
        <charset val="1"/>
      </rPr>
      <t xml:space="preserve">90</t>
    </r>
    <r>
      <rPr>
        <sz val="10"/>
        <rFont val="WenQuanYi Zen Hei"/>
        <family val="2"/>
      </rPr>
      <t xml:space="preserve">日は型を改造しない』にも反する</t>
    </r>
  </si>
  <si>
    <t xml:space="preserve">例外①：答練・模試</t>
  </si>
  <si>
    <t xml:space="preserve">受ける（＝講座ではなく測定）</t>
  </si>
  <si>
    <r>
      <rPr>
        <sz val="10"/>
        <rFont val="WenQuanYi Zen Hei"/>
        <family val="2"/>
      </rPr>
      <t xml:space="preserve">直前記述答練（記述のみ</t>
    </r>
    <r>
      <rPr>
        <sz val="10"/>
        <rFont val="Yu Gothic"/>
        <family val="0"/>
        <charset val="1"/>
      </rPr>
      <t xml:space="preserve">100</t>
    </r>
    <r>
      <rPr>
        <sz val="10"/>
        <rFont val="WenQuanYi Zen Hei"/>
        <family val="2"/>
      </rPr>
      <t xml:space="preserve">分）・直前予想模試。未受験なら最優先で申込。※</t>
    </r>
    <r>
      <rPr>
        <sz val="10"/>
        <rFont val="Yu Gothic"/>
        <family val="0"/>
        <charset val="1"/>
      </rPr>
      <t xml:space="preserve">9</t>
    </r>
    <r>
      <rPr>
        <sz val="10"/>
        <rFont val="WenQuanYi Zen Hei"/>
        <family val="2"/>
      </rPr>
      <t xml:space="preserve">月からの申込可否と日程は要確認</t>
    </r>
  </si>
  <si>
    <t xml:space="preserve">例外②：作図の実演映像</t>
  </si>
  <si>
    <r>
      <rPr>
        <sz val="10"/>
        <rFont val="Yu Gothic"/>
        <family val="0"/>
        <charset val="1"/>
      </rPr>
      <t xml:space="preserve">2</t>
    </r>
    <r>
      <rPr>
        <sz val="10"/>
        <rFont val="WenQuanYi Zen Hei"/>
        <family val="2"/>
      </rPr>
      <t xml:space="preserve">〜</t>
    </r>
    <r>
      <rPr>
        <sz val="10"/>
        <rFont val="Yu Gothic"/>
        <family val="0"/>
        <charset val="1"/>
      </rPr>
      <t xml:space="preserve">3</t>
    </r>
    <r>
      <rPr>
        <sz val="10"/>
        <rFont val="WenQuanYi Zen Hei"/>
        <family val="2"/>
      </rPr>
      <t xml:space="preserve">本だけ見る（フォーム矯正）</t>
    </r>
  </si>
  <si>
    <t xml:space="preserve">手順の癖は自己流の反復では直らない。合格体験記でも『講師が解いている映像で計算・作図の手順が解消した』が繰り返し出る。カリキュラムではなく数時間の投資に留める</t>
  </si>
  <si>
    <t xml:space="preserve">何度も解き直すか</t>
  </si>
  <si>
    <t xml:space="preserve">する。新規は入れない</t>
  </si>
  <si>
    <r>
      <rPr>
        <sz val="10"/>
        <rFont val="WenQuanYi Zen Hei"/>
        <family val="2"/>
      </rPr>
      <t xml:space="preserve">松本メソッドどおり </t>
    </r>
    <r>
      <rPr>
        <sz val="10"/>
        <rFont val="Yu Gothic"/>
        <family val="0"/>
        <charset val="1"/>
      </rPr>
      <t xml:space="preserve">×</t>
    </r>
    <r>
      <rPr>
        <sz val="10"/>
        <rFont val="WenQuanYi Zen Hei"/>
        <family val="2"/>
      </rPr>
      <t xml:space="preserve">だけ管理／○</t>
    </r>
    <r>
      <rPr>
        <sz val="10"/>
        <rFont val="Yu Gothic"/>
        <family val="0"/>
        <charset val="1"/>
      </rPr>
      <t xml:space="preserve">3</t>
    </r>
    <r>
      <rPr>
        <sz val="10"/>
        <rFont val="WenQuanYi Zen Hei"/>
        <family val="2"/>
      </rPr>
      <t xml:space="preserve">回で卒業。</t>
    </r>
    <r>
      <rPr>
        <sz val="10"/>
        <rFont val="Yu Gothic"/>
        <family val="0"/>
        <charset val="1"/>
      </rPr>
      <t xml:space="preserve">10</t>
    </r>
    <r>
      <rPr>
        <sz val="10"/>
        <rFont val="WenQuanYi Zen Hei"/>
        <family val="2"/>
      </rPr>
      <t xml:space="preserve">月は新規ゼロ・</t>
    </r>
    <r>
      <rPr>
        <sz val="10"/>
        <rFont val="Yu Gothic"/>
        <family val="0"/>
        <charset val="1"/>
      </rPr>
      <t xml:space="preserve">Anki due</t>
    </r>
    <r>
      <rPr>
        <sz val="10"/>
        <rFont val="WenQuanYi Zen Hei"/>
        <family val="2"/>
      </rPr>
      <t xml:space="preserve">のみで着地</t>
    </r>
  </si>
  <si>
    <t xml:space="preserve">解く順番</t>
  </si>
  <si>
    <t xml:space="preserve">建物 → 土地 に固定</t>
  </si>
  <si>
    <t xml:space="preserve">建物は複雑な座標計算がなく得点が安定。先に確実な点を確保してから土地に入る（複数の合格者が推奨）</t>
  </si>
  <si>
    <r>
      <rPr>
        <b val="true"/>
        <sz val="10"/>
        <rFont val="Yu Gothic"/>
        <family val="0"/>
        <charset val="1"/>
      </rPr>
      <t xml:space="preserve">★40</t>
    </r>
    <r>
      <rPr>
        <b val="true"/>
        <sz val="10"/>
        <rFont val="WenQuanYi Zen Hei"/>
        <family val="2"/>
      </rPr>
      <t xml:space="preserve">日で一番効くのは新しい入力ではなく『時間内訳の計測』。いま「読解が遅い・作図が遅い」と感覚で言えている＝まだ測っていない状態。⑦シートで毎回</t>
    </r>
    <r>
      <rPr>
        <b val="true"/>
        <sz val="10"/>
        <rFont val="Yu Gothic"/>
        <family val="0"/>
        <charset val="1"/>
      </rPr>
      <t xml:space="preserve">4</t>
    </r>
    <r>
      <rPr>
        <b val="true"/>
        <sz val="10"/>
        <rFont val="WenQuanYi Zen Hei"/>
        <family val="2"/>
      </rPr>
      <t xml:space="preserve">工程の分を記録すれば、投資先が</t>
    </r>
    <r>
      <rPr>
        <b val="true"/>
        <sz val="10"/>
        <rFont val="Yu Gothic"/>
        <family val="0"/>
        <charset val="1"/>
      </rPr>
      <t xml:space="preserve">1</t>
    </r>
    <r>
      <rPr>
        <b val="true"/>
        <sz val="10"/>
        <rFont val="WenQuanYi Zen Hei"/>
        <family val="2"/>
      </rPr>
      <t xml:space="preserve">つに決まる。</t>
    </r>
    <r>
      <rPr>
        <b val="true"/>
        <sz val="10"/>
        <rFont val="Yu Gothic"/>
        <family val="0"/>
        <charset val="1"/>
      </rPr>
      <t xml:space="preserve">7</t>
    </r>
    <r>
      <rPr>
        <b val="true"/>
        <sz val="10"/>
        <rFont val="WenQuanYi Zen Hei"/>
        <family val="2"/>
      </rPr>
      <t xml:space="preserve">月の結論（差の正体は測定の有無）が、記述の中でもう一段細かく起きているだけ。</t>
    </r>
  </si>
  <si>
    <t xml:space="preserve">司法書士法人ネクストリーガル 松本大介氏 — 人物・会社分析</t>
  </si>
  <si>
    <r>
      <rPr>
        <sz val="9"/>
        <color rgb="FF808080"/>
        <rFont val="WenQuanYi Zen Hei"/>
        <family val="2"/>
      </rPr>
      <t xml:space="preserve">出典</t>
    </r>
    <r>
      <rPr>
        <sz val="9"/>
        <color rgb="FF808080"/>
        <rFont val="Yu Gothic"/>
        <family val="0"/>
        <charset val="1"/>
      </rPr>
      <t xml:space="preserve">: </t>
    </r>
    <r>
      <rPr>
        <sz val="9"/>
        <color rgb="FF808080"/>
        <rFont val="WenQuanYi Zen Hei"/>
        <family val="2"/>
      </rPr>
      <t xml:space="preserve">名刺・本人談・</t>
    </r>
    <r>
      <rPr>
        <sz val="9"/>
        <color rgb="FF808080"/>
        <rFont val="Yu Gothic"/>
        <family val="0"/>
        <charset val="1"/>
      </rPr>
      <t xml:space="preserve">Web</t>
    </r>
    <r>
      <rPr>
        <sz val="9"/>
        <color rgb="FF808080"/>
        <rFont val="WenQuanYi Zen Hei"/>
        <family val="2"/>
      </rPr>
      <t xml:space="preserve">公開情報（</t>
    </r>
    <r>
      <rPr>
        <sz val="9"/>
        <color rgb="FF808080"/>
        <rFont val="Yu Gothic"/>
        <family val="0"/>
        <charset val="1"/>
      </rPr>
      <t xml:space="preserve">2026-07-24 </t>
    </r>
    <r>
      <rPr>
        <sz val="9"/>
        <color rgb="FF808080"/>
        <rFont val="WenQuanYi Zen Hei"/>
        <family val="2"/>
      </rPr>
      <t xml:space="preserve">祝賀会）</t>
    </r>
  </si>
  <si>
    <t xml:space="preserve">項目</t>
  </si>
  <si>
    <t xml:space="preserve">内容</t>
  </si>
  <si>
    <t xml:space="preserve">出典</t>
  </si>
  <si>
    <t xml:space="preserve">氏名</t>
  </si>
  <si>
    <t xml:space="preserve">松本 大介（まつもと だいすけ）</t>
  </si>
  <si>
    <t xml:space="preserve">名刺</t>
  </si>
  <si>
    <t xml:space="preserve">肩書</t>
  </si>
  <si>
    <t xml:space="preserve">司法書士／行政書士（法人代表格として営業も自ら行う）</t>
  </si>
  <si>
    <t xml:space="preserve">名刺・本人談</t>
  </si>
  <si>
    <t xml:space="preserve">法人名</t>
  </si>
  <si>
    <r>
      <rPr>
        <sz val="10"/>
        <rFont val="WenQuanYi Zen Hei"/>
        <family val="2"/>
      </rPr>
      <t xml:space="preserve">司法書士法人ネクストリーガル（</t>
    </r>
    <r>
      <rPr>
        <sz val="10"/>
        <rFont val="Yu Gothic"/>
        <family val="0"/>
        <charset val="1"/>
      </rPr>
      <t xml:space="preserve">NEXT LEGAL</t>
    </r>
    <r>
      <rPr>
        <sz val="10"/>
        <rFont val="WenQuanYi Zen Hei"/>
        <family val="2"/>
      </rPr>
      <t xml:space="preserve">）／行政書士事務所ネクストリーガル</t>
    </r>
  </si>
  <si>
    <r>
      <rPr>
        <sz val="10"/>
        <rFont val="WenQuanYi Zen Hei"/>
        <family val="2"/>
      </rPr>
      <t xml:space="preserve">名刺・</t>
    </r>
    <r>
      <rPr>
        <sz val="10"/>
        <rFont val="Yu Gothic"/>
        <family val="0"/>
        <charset val="1"/>
      </rPr>
      <t xml:space="preserve">Web</t>
    </r>
  </si>
  <si>
    <t xml:space="preserve">所在地</t>
  </si>
  <si>
    <r>
      <rPr>
        <sz val="10"/>
        <rFont val="WenQuanYi Zen Hei"/>
        <family val="2"/>
      </rPr>
      <t xml:space="preserve">〒</t>
    </r>
    <r>
      <rPr>
        <sz val="10"/>
        <rFont val="Yu Gothic"/>
        <family val="0"/>
        <charset val="1"/>
      </rPr>
      <t xml:space="preserve">150-0021 </t>
    </r>
    <r>
      <rPr>
        <sz val="10"/>
        <rFont val="WenQuanYi Zen Hei"/>
        <family val="2"/>
      </rPr>
      <t xml:space="preserve">東京都渋谷区恵比寿西</t>
    </r>
    <r>
      <rPr>
        <sz val="10"/>
        <rFont val="Yu Gothic"/>
        <family val="0"/>
        <charset val="1"/>
      </rPr>
      <t xml:space="preserve">1-12-12 </t>
    </r>
    <r>
      <rPr>
        <sz val="10"/>
        <rFont val="WenQuanYi Zen Hei"/>
        <family val="2"/>
      </rPr>
      <t xml:space="preserve">ルネス</t>
    </r>
    <r>
      <rPr>
        <sz val="10"/>
        <rFont val="Yu Gothic"/>
        <family val="0"/>
        <charset val="1"/>
      </rPr>
      <t xml:space="preserve">E.B.I 5F</t>
    </r>
    <r>
      <rPr>
        <sz val="10"/>
        <rFont val="WenQuanYi Zen Hei"/>
        <family val="2"/>
      </rPr>
      <t xml:space="preserve">（</t>
    </r>
    <r>
      <rPr>
        <sz val="10"/>
        <rFont val="Yu Gothic"/>
        <family val="0"/>
        <charset val="1"/>
      </rPr>
      <t xml:space="preserve">JR</t>
    </r>
    <r>
      <rPr>
        <sz val="10"/>
        <rFont val="WenQuanYi Zen Hei"/>
        <family val="2"/>
      </rPr>
      <t xml:space="preserve">恵比寿駅西口 徒歩</t>
    </r>
    <r>
      <rPr>
        <sz val="10"/>
        <rFont val="Yu Gothic"/>
        <family val="0"/>
        <charset val="1"/>
      </rPr>
      <t xml:space="preserve">3</t>
    </r>
    <r>
      <rPr>
        <sz val="10"/>
        <rFont val="WenQuanYi Zen Hei"/>
        <family val="2"/>
      </rPr>
      <t xml:space="preserve">分）</t>
    </r>
  </si>
  <si>
    <t xml:space="preserve">連絡先</t>
  </si>
  <si>
    <r>
      <rPr>
        <sz val="10"/>
        <rFont val="Yu Gothic"/>
        <family val="0"/>
        <charset val="1"/>
      </rPr>
      <t xml:space="preserve">TEL 03-6416-5692</t>
    </r>
    <r>
      <rPr>
        <sz val="10"/>
        <rFont val="WenQuanYi Zen Hei"/>
        <family val="2"/>
      </rPr>
      <t xml:space="preserve">／携帯 </t>
    </r>
    <r>
      <rPr>
        <sz val="10"/>
        <rFont val="Yu Gothic"/>
        <family val="0"/>
        <charset val="1"/>
      </rPr>
      <t xml:space="preserve">090-8992-8575</t>
    </r>
    <r>
      <rPr>
        <sz val="10"/>
        <rFont val="WenQuanYi Zen Hei"/>
        <family val="2"/>
      </rPr>
      <t xml:space="preserve">／</t>
    </r>
    <r>
      <rPr>
        <sz val="10"/>
        <rFont val="Yu Gothic"/>
        <family val="0"/>
        <charset val="1"/>
      </rPr>
      <t xml:space="preserve">Mail d-matsumoto@next-legal.or.jp</t>
    </r>
  </si>
  <si>
    <t xml:space="preserve">Web</t>
  </si>
  <si>
    <r>
      <rPr>
        <sz val="10"/>
        <rFont val="Yu Gothic"/>
        <family val="0"/>
        <charset val="1"/>
      </rPr>
      <t xml:space="preserve">next-legal.or.jp </t>
    </r>
    <r>
      <rPr>
        <sz val="10"/>
        <rFont val="WenQuanYi Zen Hei"/>
        <family val="2"/>
      </rPr>
      <t xml:space="preserve">／ </t>
    </r>
    <r>
      <rPr>
        <sz val="10"/>
        <rFont val="Yu Gothic"/>
        <family val="0"/>
        <charset val="1"/>
      </rPr>
      <t xml:space="preserve">office-nl.com</t>
    </r>
    <r>
      <rPr>
        <sz val="10"/>
        <rFont val="WenQuanYi Zen Hei"/>
        <family val="2"/>
      </rPr>
      <t xml:space="preserve">（「恵比寿駅前の相続に強い」）／ </t>
    </r>
    <r>
      <rPr>
        <sz val="10"/>
        <rFont val="Yu Gothic"/>
        <family val="0"/>
        <charset val="1"/>
      </rPr>
      <t xml:space="preserve">nextlegal.jp</t>
    </r>
  </si>
  <si>
    <r>
      <rPr>
        <sz val="10"/>
        <rFont val="Yu Gothic"/>
        <family val="0"/>
        <charset val="1"/>
      </rPr>
      <t xml:space="preserve">Web</t>
    </r>
    <r>
      <rPr>
        <sz val="10"/>
        <rFont val="WenQuanYi Zen Hei"/>
        <family val="2"/>
      </rPr>
      <t xml:space="preserve">検索</t>
    </r>
  </si>
  <si>
    <t xml:space="preserve">法人番号</t>
  </si>
  <si>
    <t xml:space="preserve">1011005009537</t>
  </si>
  <si>
    <t xml:space="preserve">gBizINFO</t>
  </si>
  <si>
    <t xml:space="preserve">司法書士登録</t>
  </si>
  <si>
    <r>
      <rPr>
        <sz val="10"/>
        <rFont val="WenQuanYi Zen Hei"/>
        <family val="2"/>
      </rPr>
      <t xml:space="preserve">東京司法書士会 登録番号</t>
    </r>
    <r>
      <rPr>
        <sz val="10"/>
        <rFont val="Yu Gothic"/>
        <family val="0"/>
        <charset val="1"/>
      </rPr>
      <t xml:space="preserve">6800</t>
    </r>
    <r>
      <rPr>
        <sz val="10"/>
        <rFont val="WenQuanYi Zen Hei"/>
        <family val="2"/>
      </rPr>
      <t xml:space="preserve">号</t>
    </r>
  </si>
  <si>
    <t xml:space="preserve">東京司法書士会 会員検索</t>
  </si>
  <si>
    <r>
      <rPr>
        <b val="true"/>
        <sz val="11"/>
        <color rgb="FFBF9000"/>
        <rFont val="WenQuanYi Zen Hei"/>
        <family val="2"/>
      </rPr>
      <t xml:space="preserve">■ 保有資格（</t>
    </r>
    <r>
      <rPr>
        <b val="true"/>
        <sz val="11"/>
        <color rgb="FFBF9000"/>
        <rFont val="Yu Gothic"/>
        <family val="0"/>
        <charset val="1"/>
      </rPr>
      <t xml:space="preserve">11</t>
    </r>
    <r>
      <rPr>
        <b val="true"/>
        <sz val="11"/>
        <color rgb="FFBF9000"/>
        <rFont val="WenQuanYi Zen Hei"/>
        <family val="2"/>
      </rPr>
      <t xml:space="preserve">資格）</t>
    </r>
  </si>
  <si>
    <t xml:space="preserve">#</t>
  </si>
  <si>
    <t xml:space="preserve">資格</t>
  </si>
  <si>
    <t xml:space="preserve">戦略上の意味</t>
  </si>
  <si>
    <t xml:space="preserve">司法書士</t>
  </si>
  <si>
    <t xml:space="preserve">権利登記（保存・移転・抵当権設定）＝マンション分譲の川下を全部取れる</t>
  </si>
  <si>
    <t xml:space="preserve">土地家屋調査士</t>
  </si>
  <si>
    <r>
      <rPr>
        <sz val="10"/>
        <rFont val="WenQuanYi Zen Hei"/>
        <family val="2"/>
      </rPr>
      <t xml:space="preserve">表題登記の申請代理は調査士の独占業務。『</t>
    </r>
    <r>
      <rPr>
        <sz val="10"/>
        <rFont val="Yu Gothic"/>
        <family val="0"/>
        <charset val="1"/>
      </rPr>
      <t xml:space="preserve">1</t>
    </r>
    <r>
      <rPr>
        <sz val="10"/>
        <rFont val="WenQuanYi Zen Hei"/>
        <family val="2"/>
      </rPr>
      <t xml:space="preserve">部屋</t>
    </r>
    <r>
      <rPr>
        <sz val="10"/>
        <rFont val="Yu Gothic"/>
        <family val="0"/>
        <charset val="1"/>
      </rPr>
      <t xml:space="preserve">10</t>
    </r>
    <r>
      <rPr>
        <sz val="10"/>
        <rFont val="WenQuanYi Zen Hei"/>
        <family val="2"/>
      </rPr>
      <t xml:space="preserve">万</t>
    </r>
    <r>
      <rPr>
        <sz val="10"/>
        <rFont val="Yu Gothic"/>
        <family val="0"/>
        <charset val="1"/>
      </rPr>
      <t xml:space="preserve">×100</t>
    </r>
    <r>
      <rPr>
        <sz val="10"/>
        <rFont val="WenQuanYi Zen Hei"/>
        <family val="2"/>
      </rPr>
      <t xml:space="preserve">部屋』を自ら受任できる法的根拠</t>
    </r>
  </si>
  <si>
    <r>
      <rPr>
        <sz val="10"/>
        <rFont val="WenQuanYi Zen Hei"/>
        <family val="2"/>
      </rPr>
      <t xml:space="preserve">測量士（</t>
    </r>
    <r>
      <rPr>
        <sz val="10"/>
        <rFont val="Yu Gothic"/>
        <family val="0"/>
        <charset val="1"/>
      </rPr>
      <t xml:space="preserve">2026</t>
    </r>
    <r>
      <rPr>
        <sz val="10"/>
        <rFont val="WenQuanYi Zen Hei"/>
        <family val="2"/>
      </rPr>
      <t xml:space="preserve">合格）</t>
    </r>
  </si>
  <si>
    <t xml:space="preserve">表題の前工程＝測量まで内製化。外注ゼロで回す布石</t>
  </si>
  <si>
    <t xml:space="preserve">行政書士</t>
  </si>
  <si>
    <t xml:space="preserve">許認可・宗教法人手続に接続。太客の入口</t>
  </si>
  <si>
    <t xml:space="preserve">測量士補</t>
  </si>
  <si>
    <t xml:space="preserve">測量士への通過点＋調査士の午前免除ルート</t>
  </si>
  <si>
    <t xml:space="preserve">マンション管理士</t>
  </si>
  <si>
    <r>
      <rPr>
        <sz val="10"/>
        <rFont val="WenQuanYi Zen Hei"/>
        <family val="2"/>
      </rPr>
      <t xml:space="preserve">マンション</t>
    </r>
    <r>
      <rPr>
        <sz val="10"/>
        <rFont val="Yu Gothic"/>
        <family val="0"/>
        <charset val="1"/>
      </rPr>
      <t xml:space="preserve">3</t>
    </r>
    <r>
      <rPr>
        <sz val="10"/>
        <rFont val="WenQuanYi Zen Hei"/>
        <family val="2"/>
      </rPr>
      <t xml:space="preserve">点セット①。デベロッパー・管理組合との会話力</t>
    </r>
  </si>
  <si>
    <t xml:space="preserve">管理業務主任者</t>
  </si>
  <si>
    <r>
      <rPr>
        <sz val="10"/>
        <rFont val="WenQuanYi Zen Hei"/>
        <family val="2"/>
      </rPr>
      <t xml:space="preserve">マンション</t>
    </r>
    <r>
      <rPr>
        <sz val="10"/>
        <rFont val="Yu Gothic"/>
        <family val="0"/>
        <charset val="1"/>
      </rPr>
      <t xml:space="preserve">3</t>
    </r>
    <r>
      <rPr>
        <sz val="10"/>
        <rFont val="WenQuanYi Zen Hei"/>
        <family val="2"/>
      </rPr>
      <t xml:space="preserve">点セット②。管理会社サイドの実務知識</t>
    </r>
  </si>
  <si>
    <t xml:space="preserve">宅地建物取引士</t>
  </si>
  <si>
    <r>
      <rPr>
        <sz val="10"/>
        <rFont val="WenQuanYi Zen Hei"/>
        <family val="2"/>
      </rPr>
      <t xml:space="preserve">マンション</t>
    </r>
    <r>
      <rPr>
        <sz val="10"/>
        <rFont val="Yu Gothic"/>
        <family val="0"/>
        <charset val="1"/>
      </rPr>
      <t xml:space="preserve">3</t>
    </r>
    <r>
      <rPr>
        <sz val="10"/>
        <rFont val="WenQuanYi Zen Hei"/>
        <family val="2"/>
      </rPr>
      <t xml:space="preserve">点セット③。売買実務・デベの商流理解</t>
    </r>
  </si>
  <si>
    <t xml:space="preserve">貸金業務取扱主任者</t>
  </si>
  <si>
    <t xml:space="preserve">融資・ノンバンク側の知識＝抵当権設定案件の会話力</t>
  </si>
  <si>
    <t xml:space="preserve">総合旅行業務取扱管理者</t>
  </si>
  <si>
    <t xml:space="preserve">試験攻略力そのものの証明。学習法の汎用性</t>
  </si>
  <si>
    <r>
      <rPr>
        <sz val="10"/>
        <rFont val="Yu Gothic"/>
        <family val="0"/>
        <charset val="1"/>
      </rPr>
      <t xml:space="preserve">2</t>
    </r>
    <r>
      <rPr>
        <sz val="10"/>
        <rFont val="WenQuanYi Zen Hei"/>
        <family val="2"/>
      </rPr>
      <t xml:space="preserve">級</t>
    </r>
    <r>
      <rPr>
        <sz val="10"/>
        <rFont val="Yu Gothic"/>
        <family val="0"/>
        <charset val="1"/>
      </rPr>
      <t xml:space="preserve">FP</t>
    </r>
    <r>
      <rPr>
        <sz val="10"/>
        <rFont val="WenQuanYi Zen Hei"/>
        <family val="2"/>
      </rPr>
      <t xml:space="preserve">技能士</t>
    </r>
  </si>
  <si>
    <t xml:space="preserve">相続・資産の入口商談で全体像を掴む</t>
  </si>
  <si>
    <r>
      <rPr>
        <b val="true"/>
        <sz val="10"/>
        <rFont val="WenQuanYi Zen Hei"/>
        <family val="2"/>
      </rPr>
      <t xml:space="preserve">★「マンション</t>
    </r>
    <r>
      <rPr>
        <b val="true"/>
        <sz val="10"/>
        <rFont val="Yu Gothic"/>
        <family val="0"/>
        <charset val="1"/>
      </rPr>
      <t xml:space="preserve">3</t>
    </r>
    <r>
      <rPr>
        <b val="true"/>
        <sz val="10"/>
        <rFont val="WenQuanYi Zen Hei"/>
        <family val="2"/>
      </rPr>
      <t xml:space="preserve">資格 </t>
    </r>
    <r>
      <rPr>
        <b val="true"/>
        <sz val="10"/>
        <rFont val="Yu Gothic"/>
        <family val="0"/>
        <charset val="1"/>
      </rPr>
      <t xml:space="preserve">× </t>
    </r>
    <r>
      <rPr>
        <b val="true"/>
        <sz val="10"/>
        <rFont val="WenQuanYi Zen Hei"/>
        <family val="2"/>
      </rPr>
      <t xml:space="preserve">登記</t>
    </r>
    <r>
      <rPr>
        <b val="true"/>
        <sz val="10"/>
        <rFont val="Yu Gothic"/>
        <family val="0"/>
        <charset val="1"/>
      </rPr>
      <t xml:space="preserve">3</t>
    </r>
    <r>
      <rPr>
        <b val="true"/>
        <sz val="10"/>
        <rFont val="WenQuanYi Zen Hei"/>
        <family val="2"/>
      </rPr>
      <t xml:space="preserve">資格（司法書士＋調査士＋測量士）」の掛け算で、新築マンション一棟を測量→表題→権利までワンストップ独占。資格リストそのものが営業資料になっている。</t>
    </r>
  </si>
  <si>
    <r>
      <rPr>
        <b val="true"/>
        <sz val="14"/>
        <color rgb="FF1F3864"/>
        <rFont val="WenQuanYi Zen Hei"/>
        <family val="2"/>
      </rPr>
      <t xml:space="preserve">松本メソッド（阪大生直伝の過去問法＋出題者分析）— 分解と</t>
    </r>
    <r>
      <rPr>
        <b val="true"/>
        <sz val="14"/>
        <color rgb="FF1F3864"/>
        <rFont val="Yu Gothic"/>
        <family val="0"/>
        <charset val="1"/>
      </rPr>
      <t xml:space="preserve">TTP</t>
    </r>
  </si>
  <si>
    <r>
      <rPr>
        <sz val="9"/>
        <color rgb="FF808080"/>
        <rFont val="Yu Gothic"/>
        <family val="0"/>
        <charset val="1"/>
      </rPr>
      <t xml:space="preserve">90</t>
    </r>
    <r>
      <rPr>
        <sz val="9"/>
        <color rgb="FF808080"/>
        <rFont val="WenQuanYi Zen Hei"/>
        <family val="2"/>
      </rPr>
      <t xml:space="preserve">日間は改造せずそのまま回す。効果測定は答練の点数のみ</t>
    </r>
  </si>
  <si>
    <t xml:space="preserve">松本の型</t>
  </si>
  <si>
    <t xml:space="preserve">背後の原理</t>
  </si>
  <si>
    <r>
      <rPr>
        <b val="true"/>
        <sz val="10"/>
        <color rgb="FFFFFFFF"/>
        <rFont val="WenQuanYi Zen Hei"/>
        <family val="2"/>
      </rPr>
      <t xml:space="preserve">俺の現状</t>
    </r>
    <r>
      <rPr>
        <b val="true"/>
        <sz val="10"/>
        <color rgb="FFFFFFFF"/>
        <rFont val="Yu Gothic"/>
        <family val="0"/>
        <charset val="1"/>
      </rPr>
      <t xml:space="preserve">(9/8)</t>
    </r>
  </si>
  <si>
    <t xml:space="preserve">実装</t>
  </si>
  <si>
    <t xml:space="preserve">運用場所</t>
  </si>
  <si>
    <r>
      <rPr>
        <sz val="10"/>
        <rFont val="WenQuanYi Zen Hei"/>
        <family val="2"/>
      </rPr>
      <t xml:space="preserve">過去問は</t>
    </r>
    <r>
      <rPr>
        <sz val="10"/>
        <rFont val="Yu Gothic"/>
        <family val="0"/>
        <charset val="1"/>
      </rPr>
      <t xml:space="preserve">4</t>
    </r>
    <r>
      <rPr>
        <sz val="10"/>
        <rFont val="WenQuanYi Zen Hei"/>
        <family val="2"/>
      </rPr>
      <t xml:space="preserve">〜</t>
    </r>
    <r>
      <rPr>
        <sz val="10"/>
        <rFont val="Yu Gothic"/>
        <family val="0"/>
        <charset val="1"/>
      </rPr>
      <t xml:space="preserve">5</t>
    </r>
    <r>
      <rPr>
        <sz val="10"/>
        <rFont val="WenQuanYi Zen Hei"/>
        <family val="2"/>
      </rPr>
      <t xml:space="preserve">周目まで線を引かない。理解が紐づくまで待つ</t>
    </r>
  </si>
  <si>
    <t xml:space="preserve">早期マーキングは『作業した感』を生む偽の達成感。まず知識のネットワーク化</t>
  </si>
  <si>
    <t xml:space="preserve">択一は完成度が上がってきた＝紐づきフェーズに到達</t>
  </si>
  <si>
    <r>
      <rPr>
        <sz val="10"/>
        <rFont val="WenQuanYi Zen Hei"/>
        <family val="2"/>
      </rPr>
      <t xml:space="preserve">マーキング解禁。</t>
    </r>
    <r>
      <rPr>
        <sz val="10"/>
        <rFont val="Yu Gothic"/>
        <family val="0"/>
        <charset val="1"/>
      </rPr>
      <t xml:space="preserve">×</t>
    </r>
    <r>
      <rPr>
        <sz val="10"/>
        <rFont val="WenQuanYi Zen Hei"/>
        <family val="2"/>
      </rPr>
      <t xml:space="preserve">のみ記録</t>
    </r>
  </si>
  <si>
    <t xml:space="preserve">トラッカー</t>
  </si>
  <si>
    <r>
      <rPr>
        <sz val="10"/>
        <rFont val="WenQuanYi Zen Hei"/>
        <family val="2"/>
      </rPr>
      <t xml:space="preserve">紐づいた後は『どうしても間違う問題だけ』に○</t>
    </r>
    <r>
      <rPr>
        <sz val="10"/>
        <rFont val="Yu Gothic"/>
        <family val="0"/>
        <charset val="1"/>
      </rPr>
      <t xml:space="preserve">×△</t>
    </r>
  </si>
  <si>
    <t xml:space="preserve">全問管理をやめエラーだけ管理＝管理コスト最小化</t>
  </si>
  <si>
    <t xml:space="preserve">運用変更済み</t>
  </si>
  <si>
    <r>
      <rPr>
        <sz val="10"/>
        <rFont val="Yu Gothic"/>
        <family val="0"/>
        <charset val="1"/>
      </rPr>
      <t xml:space="preserve">×</t>
    </r>
    <r>
      <rPr>
        <sz val="10"/>
        <rFont val="WenQuanYi Zen Hei"/>
        <family val="2"/>
      </rPr>
      <t xml:space="preserve">が出た問題だけ記入</t>
    </r>
  </si>
  <si>
    <r>
      <rPr>
        <sz val="10"/>
        <rFont val="WenQuanYi Zen Hei"/>
        <family val="2"/>
      </rPr>
      <t xml:space="preserve">○が</t>
    </r>
    <r>
      <rPr>
        <sz val="10"/>
        <rFont val="Yu Gothic"/>
        <family val="0"/>
        <charset val="1"/>
      </rPr>
      <t xml:space="preserve">3</t>
    </r>
    <r>
      <rPr>
        <sz val="10"/>
        <rFont val="WenQuanYi Zen Hei"/>
        <family val="2"/>
      </rPr>
      <t xml:space="preserve">回付いた問題は二度と解かない</t>
    </r>
  </si>
  <si>
    <t xml:space="preserve">卒業基準の明文化。復習母集団が単調減少し直前期が自動的に軽くなる</t>
  </si>
  <si>
    <r>
      <rPr>
        <sz val="10"/>
        <rFont val="Yu Gothic"/>
        <family val="0"/>
        <charset val="1"/>
      </rPr>
      <t xml:space="preserve">10</t>
    </r>
    <r>
      <rPr>
        <sz val="10"/>
        <rFont val="WenQuanYi Zen Hei"/>
        <family val="2"/>
      </rPr>
      <t xml:space="preserve">月を軽くするため今が積み時</t>
    </r>
  </si>
  <si>
    <r>
      <rPr>
        <sz val="10"/>
        <rFont val="Yu Gothic"/>
        <family val="0"/>
        <charset val="1"/>
      </rPr>
      <t xml:space="preserve">9</t>
    </r>
    <r>
      <rPr>
        <sz val="10"/>
        <rFont val="WenQuanYi Zen Hei"/>
        <family val="2"/>
      </rPr>
      <t xml:space="preserve">月中に卒業を積み上げる</t>
    </r>
  </si>
  <si>
    <r>
      <rPr>
        <sz val="10"/>
        <rFont val="WenQuanYi Zen Hei"/>
        <family val="2"/>
      </rPr>
      <t xml:space="preserve">トラッカー＋</t>
    </r>
    <r>
      <rPr>
        <sz val="10"/>
        <rFont val="Yu Gothic"/>
        <family val="0"/>
        <charset val="1"/>
      </rPr>
      <t xml:space="preserve">Anki</t>
    </r>
  </si>
  <si>
    <r>
      <rPr>
        <sz val="10"/>
        <rFont val="Yu Gothic"/>
        <family val="0"/>
        <charset val="1"/>
      </rPr>
      <t xml:space="preserve">R5</t>
    </r>
    <r>
      <rPr>
        <sz val="10"/>
        <rFont val="WenQuanYi Zen Hei"/>
        <family val="2"/>
      </rPr>
      <t xml:space="preserve">は『クソ問だから解くな』と言われるが順に解けば素直。法務省の犬として素直に解けるかが問われている</t>
    </r>
  </si>
  <si>
    <t xml:space="preserve">評判（二次情報）でなく問題そのもの（一次情報）で判断。出題者の真意を読むメタ認知</t>
  </si>
  <si>
    <r>
      <rPr>
        <sz val="10"/>
        <rFont val="WenQuanYi Zen Hei"/>
        <family val="2"/>
      </rPr>
      <t xml:space="preserve">記述</t>
    </r>
    <r>
      <rPr>
        <sz val="10"/>
        <rFont val="Yu Gothic"/>
        <family val="0"/>
        <charset val="1"/>
      </rPr>
      <t xml:space="preserve">R5</t>
    </r>
    <r>
      <rPr>
        <sz val="10"/>
        <rFont val="WenQuanYi Zen Hei"/>
        <family val="2"/>
      </rPr>
      <t xml:space="preserve">も同じ。捨て問ラベルに従う前提でいた</t>
    </r>
  </si>
  <si>
    <r>
      <rPr>
        <sz val="10"/>
        <rFont val="Yu Gothic"/>
        <family val="0"/>
        <charset val="1"/>
      </rPr>
      <t xml:space="preserve">R5</t>
    </r>
    <r>
      <rPr>
        <sz val="10"/>
        <rFont val="WenQuanYi Zen Hei"/>
        <family val="2"/>
      </rPr>
      <t xml:space="preserve">記述を</t>
    </r>
    <r>
      <rPr>
        <sz val="10"/>
        <rFont val="Yu Gothic"/>
        <family val="0"/>
        <charset val="1"/>
      </rPr>
      <t xml:space="preserve">9</t>
    </r>
    <r>
      <rPr>
        <sz val="10"/>
        <rFont val="WenQuanYi Zen Hei"/>
        <family val="2"/>
      </rPr>
      <t xml:space="preserve">月に本番形式で解き、出題者の要求を</t>
    </r>
    <r>
      <rPr>
        <sz val="10"/>
        <rFont val="Yu Gothic"/>
        <family val="0"/>
        <charset val="1"/>
      </rPr>
      <t xml:space="preserve">1</t>
    </r>
    <r>
      <rPr>
        <sz val="10"/>
        <rFont val="WenQuanYi Zen Hei"/>
        <family val="2"/>
      </rPr>
      <t xml:space="preserve">行言語化</t>
    </r>
  </si>
  <si>
    <t xml:space="preserve">⑦計測ログ</t>
  </si>
  <si>
    <t xml:space="preserve">阪大生の型を自己流を挟まず素直に実行</t>
  </si>
  <si>
    <r>
      <rPr>
        <sz val="10"/>
        <rFont val="WenQuanYi Zen Hei"/>
        <family val="2"/>
      </rPr>
      <t xml:space="preserve">強者の型をそのままやる</t>
    </r>
    <r>
      <rPr>
        <sz val="10"/>
        <rFont val="Yu Gothic"/>
        <family val="0"/>
        <charset val="1"/>
      </rPr>
      <t xml:space="preserve">TTP</t>
    </r>
    <r>
      <rPr>
        <sz val="10"/>
        <rFont val="WenQuanYi Zen Hei"/>
        <family val="2"/>
      </rPr>
      <t xml:space="preserve">力が最強の学習スキル</t>
    </r>
  </si>
  <si>
    <t xml:space="preserve">型を改造したくなる癖がある（＝今回の『講座を足すか』もこれ）</t>
  </si>
  <si>
    <r>
      <rPr>
        <sz val="10"/>
        <rFont val="Yu Gothic"/>
        <family val="0"/>
        <charset val="1"/>
      </rPr>
      <t xml:space="preserve">40</t>
    </r>
    <r>
      <rPr>
        <sz val="10"/>
        <rFont val="WenQuanYi Zen Hei"/>
        <family val="2"/>
      </rPr>
      <t xml:space="preserve">日は型を触らない。判断材料は答練の点数のみ</t>
    </r>
  </si>
  <si>
    <t xml:space="preserve">⓪意思決定</t>
  </si>
  <si>
    <r>
      <rPr>
        <sz val="10"/>
        <rFont val="WenQuanYi Zen Hei"/>
        <family val="2"/>
      </rPr>
      <t xml:space="preserve">資格を連鎖取得し</t>
    </r>
    <r>
      <rPr>
        <sz val="10"/>
        <rFont val="Yu Gothic"/>
        <family val="0"/>
        <charset val="1"/>
      </rPr>
      <t xml:space="preserve">1</t>
    </r>
    <r>
      <rPr>
        <sz val="10"/>
        <rFont val="WenQuanYi Zen Hei"/>
        <family val="2"/>
      </rPr>
      <t xml:space="preserve">本ずつ商流に接続</t>
    </r>
  </si>
  <si>
    <t xml:space="preserve">資格＝知識コレクションでなく商流の関所</t>
  </si>
  <si>
    <r>
      <rPr>
        <sz val="10"/>
        <rFont val="WenQuanYi Zen Hei"/>
        <family val="2"/>
      </rPr>
      <t xml:space="preserve">調査士合格＝</t>
    </r>
    <r>
      <rPr>
        <sz val="10"/>
        <rFont val="Yu Gothic"/>
        <family val="0"/>
        <charset val="1"/>
      </rPr>
      <t xml:space="preserve">KHD</t>
    </r>
    <r>
      <rPr>
        <sz val="10"/>
        <rFont val="WenQuanYi Zen Hei"/>
        <family val="2"/>
      </rPr>
      <t xml:space="preserve">の表題側参入</t>
    </r>
  </si>
  <si>
    <r>
      <rPr>
        <sz val="10"/>
        <rFont val="WenQuanYi Zen Hei"/>
        <family val="2"/>
      </rPr>
      <t xml:space="preserve">合格後に商流接続（</t>
    </r>
    <r>
      <rPr>
        <sz val="10"/>
        <rFont val="Yu Gothic"/>
        <family val="0"/>
        <charset val="1"/>
      </rPr>
      <t xml:space="preserve">10/18</t>
    </r>
    <r>
      <rPr>
        <sz val="10"/>
        <rFont val="WenQuanYi Zen Hei"/>
        <family val="2"/>
      </rPr>
      <t xml:space="preserve">まで考えない）</t>
    </r>
  </si>
  <si>
    <t xml:space="preserve">—</t>
  </si>
  <si>
    <r>
      <rPr>
        <b val="true"/>
        <sz val="14"/>
        <color rgb="FF1F3864"/>
        <rFont val="WenQuanYi Zen Hei"/>
        <family val="2"/>
      </rPr>
      <t xml:space="preserve">松本氏の収益モデル — 新築マンション一棟</t>
    </r>
    <r>
      <rPr>
        <b val="true"/>
        <sz val="14"/>
        <color rgb="FF1F3864"/>
        <rFont val="Yu Gothic"/>
        <family val="0"/>
        <charset val="1"/>
      </rPr>
      <t xml:space="preserve">×</t>
    </r>
    <r>
      <rPr>
        <b val="true"/>
        <sz val="14"/>
        <color rgb="FF1F3864"/>
        <rFont val="WenQuanYi Zen Hei"/>
        <family val="2"/>
      </rPr>
      <t xml:space="preserve">表題登記</t>
    </r>
  </si>
  <si>
    <t xml:space="preserve">数値は本人談ベース（青字＝入力値／黒字＝計算式）</t>
  </si>
  <si>
    <t xml:space="preserve">数値</t>
  </si>
  <si>
    <t xml:space="preserve">備考</t>
  </si>
  <si>
    <t xml:space="preserve">表題登記 単価／部屋</t>
  </si>
  <si>
    <r>
      <rPr>
        <sz val="9"/>
        <color rgb="FF595959"/>
        <rFont val="WenQuanYi Zen Hei"/>
        <family val="2"/>
      </rPr>
      <t xml:space="preserve">本人談「</t>
    </r>
    <r>
      <rPr>
        <sz val="9"/>
        <color rgb="FF595959"/>
        <rFont val="Yu Gothic"/>
        <family val="0"/>
        <charset val="1"/>
      </rPr>
      <t xml:space="preserve">1</t>
    </r>
    <r>
      <rPr>
        <sz val="9"/>
        <color rgb="FF595959"/>
        <rFont val="WenQuanYi Zen Hei"/>
        <family val="2"/>
      </rPr>
      <t xml:space="preserve">部屋</t>
    </r>
    <r>
      <rPr>
        <sz val="9"/>
        <color rgb="FF595959"/>
        <rFont val="Yu Gothic"/>
        <family val="0"/>
        <charset val="1"/>
      </rPr>
      <t xml:space="preserve">10</t>
    </r>
    <r>
      <rPr>
        <sz val="9"/>
        <color rgb="FF595959"/>
        <rFont val="WenQuanYi Zen Hei"/>
        <family val="2"/>
      </rPr>
      <t xml:space="preserve">万で表題入れたとして」</t>
    </r>
  </si>
  <si>
    <t xml:space="preserve">部屋数／棟</t>
  </si>
  <si>
    <r>
      <rPr>
        <sz val="9"/>
        <color rgb="FF595959"/>
        <rFont val="WenQuanYi Zen Hei"/>
        <family val="2"/>
      </rPr>
      <t xml:space="preserve">本人談「</t>
    </r>
    <r>
      <rPr>
        <sz val="9"/>
        <color rgb="FF595959"/>
        <rFont val="Yu Gothic"/>
        <family val="0"/>
        <charset val="1"/>
      </rPr>
      <t xml:space="preserve">100</t>
    </r>
    <r>
      <rPr>
        <sz val="9"/>
        <color rgb="FF595959"/>
        <rFont val="WenQuanYi Zen Hei"/>
        <family val="2"/>
      </rPr>
      <t xml:space="preserve">部屋で</t>
    </r>
    <r>
      <rPr>
        <sz val="9"/>
        <color rgb="FF595959"/>
        <rFont val="Yu Gothic"/>
        <family val="0"/>
        <charset val="1"/>
      </rPr>
      <t xml:space="preserve">1000</t>
    </r>
    <r>
      <rPr>
        <sz val="9"/>
        <color rgb="FF595959"/>
        <rFont val="WenQuanYi Zen Hei"/>
        <family val="2"/>
      </rPr>
      <t xml:space="preserve">万」</t>
    </r>
  </si>
  <si>
    <t xml:space="preserve">売上／棟（表題のみ）</t>
  </si>
  <si>
    <r>
      <rPr>
        <sz val="9"/>
        <color rgb="FF595959"/>
        <rFont val="WenQuanYi Zen Hei"/>
        <family val="2"/>
      </rPr>
      <t xml:space="preserve">単価 </t>
    </r>
    <r>
      <rPr>
        <sz val="9"/>
        <color rgb="FF595959"/>
        <rFont val="Yu Gothic"/>
        <family val="0"/>
        <charset val="1"/>
      </rPr>
      <t xml:space="preserve">× </t>
    </r>
    <r>
      <rPr>
        <sz val="9"/>
        <color rgb="FF595959"/>
        <rFont val="WenQuanYi Zen Hei"/>
        <family val="2"/>
      </rPr>
      <t xml:space="preserve">部屋数</t>
    </r>
  </si>
  <si>
    <t xml:space="preserve">受注ペース（棟／年）</t>
  </si>
  <si>
    <r>
      <rPr>
        <sz val="9"/>
        <color rgb="FF595959"/>
        <rFont val="WenQuanYi Zen Hei"/>
        <family val="2"/>
      </rPr>
      <t xml:space="preserve">本人談「</t>
    </r>
    <r>
      <rPr>
        <sz val="9"/>
        <color rgb="FF595959"/>
        <rFont val="Yu Gothic"/>
        <family val="0"/>
        <charset val="1"/>
      </rPr>
      <t xml:space="preserve">3</t>
    </r>
    <r>
      <rPr>
        <sz val="9"/>
        <color rgb="FF595959"/>
        <rFont val="WenQuanYi Zen Hei"/>
        <family val="2"/>
      </rPr>
      <t xml:space="preserve">ヶ月に一棟ペースを見込める」</t>
    </r>
  </si>
  <si>
    <t xml:space="preserve">年間売上（表題のみ）</t>
  </si>
  <si>
    <r>
      <rPr>
        <sz val="9"/>
        <color rgb="FF595959"/>
        <rFont val="WenQuanYi Zen Hei"/>
        <family val="2"/>
      </rPr>
      <t xml:space="preserve">棟売上 </t>
    </r>
    <r>
      <rPr>
        <sz val="9"/>
        <color rgb="FF595959"/>
        <rFont val="Yu Gothic"/>
        <family val="0"/>
        <charset val="1"/>
      </rPr>
      <t xml:space="preserve">× </t>
    </r>
    <r>
      <rPr>
        <sz val="9"/>
        <color rgb="FF595959"/>
        <rFont val="WenQuanYi Zen Hei"/>
        <family val="2"/>
      </rPr>
      <t xml:space="preserve">年間棟数</t>
    </r>
  </si>
  <si>
    <t xml:space="preserve">■ 収益構造の分解</t>
  </si>
  <si>
    <t xml:space="preserve">構造</t>
  </si>
  <si>
    <t xml:space="preserve">中身</t>
  </si>
  <si>
    <r>
      <rPr>
        <b val="true"/>
        <sz val="10"/>
        <color rgb="FFFFFFFF"/>
        <rFont val="WenQuanYi Zen Hei"/>
        <family val="2"/>
      </rPr>
      <t xml:space="preserve">俺（</t>
    </r>
    <r>
      <rPr>
        <b val="true"/>
        <sz val="10"/>
        <color rgb="FFFFFFFF"/>
        <rFont val="Yu Gothic"/>
        <family val="0"/>
        <charset val="1"/>
      </rPr>
      <t xml:space="preserve">KHD</t>
    </r>
    <r>
      <rPr>
        <b val="true"/>
        <sz val="10"/>
        <color rgb="FFFFFFFF"/>
        <rFont val="WenQuanYi Zen Hei"/>
        <family val="2"/>
      </rPr>
      <t xml:space="preserve">）への示唆</t>
    </r>
  </si>
  <si>
    <t xml:space="preserve">川上グリップ</t>
  </si>
  <si>
    <r>
      <rPr>
        <sz val="10"/>
        <rFont val="WenQuanYi Zen Hei"/>
        <family val="2"/>
      </rPr>
      <t xml:space="preserve">デベ</t>
    </r>
    <r>
      <rPr>
        <sz val="10"/>
        <rFont val="Yu Gothic"/>
        <family val="0"/>
        <charset val="1"/>
      </rPr>
      <t xml:space="preserve">1</t>
    </r>
    <r>
      <rPr>
        <sz val="10"/>
        <rFont val="WenQuanYi Zen Hei"/>
        <family val="2"/>
      </rPr>
      <t xml:space="preserve">社を握れば</t>
    </r>
    <r>
      <rPr>
        <sz val="10"/>
        <rFont val="Yu Gothic"/>
        <family val="0"/>
        <charset val="1"/>
      </rPr>
      <t xml:space="preserve">1</t>
    </r>
    <r>
      <rPr>
        <sz val="10"/>
        <rFont val="WenQuanYi Zen Hei"/>
        <family val="2"/>
      </rPr>
      <t xml:space="preserve">棟＝</t>
    </r>
    <r>
      <rPr>
        <sz val="10"/>
        <rFont val="Yu Gothic"/>
        <family val="0"/>
        <charset val="1"/>
      </rPr>
      <t xml:space="preserve">100</t>
    </r>
    <r>
      <rPr>
        <sz val="10"/>
        <rFont val="WenQuanYi Zen Hei"/>
        <family val="2"/>
      </rPr>
      <t xml:space="preserve">部屋の登記が自動発生。</t>
    </r>
    <r>
      <rPr>
        <sz val="10"/>
        <rFont val="Yu Gothic"/>
        <family val="0"/>
        <charset val="1"/>
      </rPr>
      <t xml:space="preserve">1</t>
    </r>
    <r>
      <rPr>
        <sz val="10"/>
        <rFont val="WenQuanYi Zen Hei"/>
        <family val="2"/>
      </rPr>
      <t xml:space="preserve">契約</t>
    </r>
    <r>
      <rPr>
        <sz val="10"/>
        <rFont val="Yu Gothic"/>
        <family val="0"/>
        <charset val="1"/>
      </rPr>
      <t xml:space="preserve">×</t>
    </r>
    <r>
      <rPr>
        <sz val="10"/>
        <rFont val="WenQuanYi Zen Hei"/>
        <family val="2"/>
      </rPr>
      <t xml:space="preserve">反復</t>
    </r>
  </si>
  <si>
    <r>
      <rPr>
        <sz val="10"/>
        <rFont val="WenQuanYi Zen Hei"/>
        <family val="2"/>
      </rPr>
      <t xml:space="preserve">『</t>
    </r>
    <r>
      <rPr>
        <sz val="10"/>
        <rFont val="Yu Gothic"/>
        <family val="0"/>
        <charset val="1"/>
      </rPr>
      <t xml:space="preserve">1</t>
    </r>
    <r>
      <rPr>
        <sz val="10"/>
        <rFont val="WenQuanYi Zen Hei"/>
        <family val="2"/>
      </rPr>
      <t xml:space="preserve">太客</t>
    </r>
    <r>
      <rPr>
        <sz val="10"/>
        <rFont val="Yu Gothic"/>
        <family val="0"/>
        <charset val="1"/>
      </rPr>
      <t xml:space="preserve">×</t>
    </r>
    <r>
      <rPr>
        <sz val="10"/>
        <rFont val="WenQuanYi Zen Hei"/>
        <family val="2"/>
      </rPr>
      <t xml:space="preserve">反復案件』の構造を作る。単発の狩猟型から脱却</t>
    </r>
  </si>
  <si>
    <t xml:space="preserve">ワンストップ独占</t>
  </si>
  <si>
    <t xml:space="preserve">測量→表題（調査士の独占業務）→保存・移転・設定まで同一法人で完結</t>
  </si>
  <si>
    <t xml:space="preserve">調査士合格＝表題側への参入資格。商流を外に漏らさない設計へ</t>
  </si>
  <si>
    <t xml:space="preserve">太客ポートフォリオ</t>
  </si>
  <si>
    <t xml:space="preserve">宗教法人＋多様な取引太客をグリップ。相続の看板とも親和</t>
  </si>
  <si>
    <t xml:space="preserve">顧客マスターから反復発注を構造化できる太客を選定して深耕</t>
  </si>
  <si>
    <t xml:space="preserve">勉強法＝営業力の同型</t>
  </si>
  <si>
    <t xml:space="preserve">出題者の真意を読む力＝顧客の真意を掴むヒアリング力</t>
  </si>
  <si>
    <t xml:space="preserve">勉強でメタ読みを鍛える＝商談の筋トレ。宮崎の『速く出して握る』と同型</t>
  </si>
  <si>
    <r>
      <rPr>
        <b val="true"/>
        <sz val="14"/>
        <color rgb="FF1F3864"/>
        <rFont val="WenQuanYi Zen Hei"/>
        <family val="2"/>
      </rPr>
      <t xml:space="preserve">俺の課題 </t>
    </r>
    <r>
      <rPr>
        <b val="true"/>
        <sz val="14"/>
        <color rgb="FF1F3864"/>
        <rFont val="Yu Gothic"/>
        <family val="0"/>
        <charset val="1"/>
      </rPr>
      <t xml:space="preserve">× </t>
    </r>
    <r>
      <rPr>
        <b val="true"/>
        <sz val="14"/>
        <color rgb="FF1F3864"/>
        <rFont val="WenQuanYi Zen Hei"/>
        <family val="2"/>
      </rPr>
      <t xml:space="preserve">対策（</t>
    </r>
    <r>
      <rPr>
        <b val="true"/>
        <sz val="14"/>
        <color rgb="FF1F3864"/>
        <rFont val="Yu Gothic"/>
        <family val="0"/>
        <charset val="1"/>
      </rPr>
      <t xml:space="preserve">9/8 </t>
    </r>
    <r>
      <rPr>
        <b val="true"/>
        <sz val="14"/>
        <color rgb="FF1F3864"/>
        <rFont val="WenQuanYi Zen Hei"/>
        <family val="2"/>
      </rPr>
      <t xml:space="preserve">現在）</t>
    </r>
  </si>
  <si>
    <r>
      <rPr>
        <sz val="9"/>
        <color rgb="FF808080"/>
        <rFont val="WenQuanYi Zen Hei"/>
        <family val="2"/>
      </rPr>
      <t xml:space="preserve">①が今の律速。②③は</t>
    </r>
    <r>
      <rPr>
        <sz val="9"/>
        <color rgb="FF808080"/>
        <rFont val="Yu Gothic"/>
        <family val="0"/>
        <charset val="1"/>
      </rPr>
      <t xml:space="preserve">7</t>
    </r>
    <r>
      <rPr>
        <sz val="9"/>
        <color rgb="FF808080"/>
        <rFont val="WenQuanYi Zen Hei"/>
        <family val="2"/>
      </rPr>
      <t xml:space="preserve">月から継続</t>
    </r>
  </si>
  <si>
    <t xml:space="preserve">課題</t>
  </si>
  <si>
    <t xml:space="preserve">正体（診断）</t>
  </si>
  <si>
    <t xml:space="preserve">対策</t>
  </si>
  <si>
    <t xml:space="preserve">測定</t>
  </si>
  <si>
    <t xml:space="preserve">期限</t>
  </si>
  <si>
    <t xml:space="preserve">記述の処理が遅い（読解・作図）</t>
  </si>
  <si>
    <r>
      <rPr>
        <sz val="10"/>
        <rFont val="WenQuanYi Zen Hei"/>
        <family val="2"/>
      </rPr>
      <t xml:space="preserve">読む速度の問題ではなく『読む順序が毎回違う』ので実質</t>
    </r>
    <r>
      <rPr>
        <sz val="10"/>
        <rFont val="Yu Gothic"/>
        <family val="0"/>
        <charset val="1"/>
      </rPr>
      <t xml:space="preserve">2</t>
    </r>
    <r>
      <rPr>
        <sz val="10"/>
        <rFont val="WenQuanYi Zen Hei"/>
        <family val="2"/>
      </rPr>
      <t xml:space="preserve">周読んでいる。作図は打点順が固定されていない＋計算完了後に作図が集中する</t>
    </r>
  </si>
  <si>
    <r>
      <rPr>
        <sz val="10"/>
        <rFont val="WenQuanYi Zen Hei"/>
        <family val="2"/>
      </rPr>
      <t xml:space="preserve">読解＝設問→図</t>
    </r>
    <r>
      <rPr>
        <sz val="10"/>
        <rFont val="Yu Gothic"/>
        <family val="0"/>
        <charset val="1"/>
      </rPr>
      <t xml:space="preserve">/</t>
    </r>
    <r>
      <rPr>
        <sz val="10"/>
        <rFont val="WenQuanYi Zen Hei"/>
        <family val="2"/>
      </rPr>
      <t xml:space="preserve">座標→本文の順に固定。作図＝</t>
    </r>
    <r>
      <rPr>
        <sz val="10"/>
        <rFont val="Yu Gothic"/>
        <family val="0"/>
        <charset val="1"/>
      </rPr>
      <t xml:space="preserve">A5</t>
    </r>
    <r>
      <rPr>
        <sz val="10"/>
        <rFont val="WenQuanYi Zen Hei"/>
        <family val="2"/>
      </rPr>
      <t xml:space="preserve">一枚の手順書を</t>
    </r>
    <r>
      <rPr>
        <sz val="10"/>
        <rFont val="Yu Gothic"/>
        <family val="0"/>
        <charset val="1"/>
      </rPr>
      <t xml:space="preserve">10</t>
    </r>
    <r>
      <rPr>
        <sz val="10"/>
        <rFont val="WenQuanYi Zen Hei"/>
        <family val="2"/>
      </rPr>
      <t xml:space="preserve">分で作り以後改訂禁止。解く順は建物→土地</t>
    </r>
  </si>
  <si>
    <r>
      <rPr>
        <sz val="10"/>
        <rFont val="WenQuanYi Zen Hei"/>
        <family val="2"/>
      </rPr>
      <t xml:space="preserve">⑦の時間内訳（</t>
    </r>
    <r>
      <rPr>
        <sz val="10"/>
        <rFont val="Yu Gothic"/>
        <family val="0"/>
        <charset val="1"/>
      </rPr>
      <t xml:space="preserve">4</t>
    </r>
    <r>
      <rPr>
        <sz val="10"/>
        <rFont val="WenQuanYi Zen Hei"/>
        <family val="2"/>
      </rPr>
      <t xml:space="preserve">工程）</t>
    </r>
  </si>
  <si>
    <r>
      <rPr>
        <sz val="10"/>
        <rFont val="Yu Gothic"/>
        <family val="0"/>
        <charset val="1"/>
      </rPr>
      <t xml:space="preserve">9/8</t>
    </r>
    <r>
      <rPr>
        <sz val="10"/>
        <rFont val="WenQuanYi Zen Hei"/>
        <family val="2"/>
      </rPr>
      <t xml:space="preserve">〜毎回</t>
    </r>
  </si>
  <si>
    <r>
      <rPr>
        <sz val="10"/>
        <rFont val="WenQuanYi Zen Hei"/>
        <family val="2"/>
      </rPr>
      <t xml:space="preserve">答練・模試の受験状況が不明（</t>
    </r>
    <r>
      <rPr>
        <sz val="10"/>
        <rFont val="Yu Gothic"/>
        <family val="0"/>
        <charset val="1"/>
      </rPr>
      <t xml:space="preserve">7</t>
    </r>
    <r>
      <rPr>
        <sz val="10"/>
        <rFont val="WenQuanYi Zen Hei"/>
        <family val="2"/>
      </rPr>
      <t xml:space="preserve">月時点</t>
    </r>
    <r>
      <rPr>
        <sz val="10"/>
        <rFont val="Yu Gothic"/>
        <family val="0"/>
        <charset val="1"/>
      </rPr>
      <t xml:space="preserve">0</t>
    </r>
    <r>
      <rPr>
        <sz val="10"/>
        <rFont val="WenQuanYi Zen Hei"/>
        <family val="2"/>
      </rPr>
      <t xml:space="preserve">回）</t>
    </r>
  </si>
  <si>
    <t xml:space="preserve">測定していないから、遅さの正体も他者との距離も数値化できない</t>
  </si>
  <si>
    <t xml:space="preserve">受験状況を確認し、未受験なら直前記述答練・予想模試に即申込（申込可否と日程は要確認）</t>
  </si>
  <si>
    <t xml:space="preserve">点数・順位を毎回記録</t>
  </si>
  <si>
    <t xml:space="preserve">9/8</t>
  </si>
  <si>
    <t xml:space="preserve">作図フォームの自己流</t>
  </si>
  <si>
    <t xml:space="preserve">手順の癖は自分の反復では直らない。外部の目が要る唯一の領域</t>
  </si>
  <si>
    <r>
      <rPr>
        <sz val="10"/>
        <rFont val="WenQuanYi Zen Hei"/>
        <family val="2"/>
      </rPr>
      <t xml:space="preserve">講師の作図実演を</t>
    </r>
    <r>
      <rPr>
        <sz val="10"/>
        <rFont val="Yu Gothic"/>
        <family val="0"/>
        <charset val="1"/>
      </rPr>
      <t xml:space="preserve">2</t>
    </r>
    <r>
      <rPr>
        <sz val="10"/>
        <rFont val="WenQuanYi Zen Hei"/>
        <family val="2"/>
      </rPr>
      <t xml:space="preserve">〜</t>
    </r>
    <r>
      <rPr>
        <sz val="10"/>
        <rFont val="Yu Gothic"/>
        <family val="0"/>
        <charset val="1"/>
      </rPr>
      <t xml:space="preserve">3</t>
    </r>
    <r>
      <rPr>
        <sz val="10"/>
        <rFont val="WenQuanYi Zen Hei"/>
        <family val="2"/>
      </rPr>
      <t xml:space="preserve">本だけ見て自分の手順との差分を取る（カリキュラムは買わない）</t>
    </r>
  </si>
  <si>
    <t xml:space="preserve">作図の実測分（⑦）</t>
  </si>
  <si>
    <t xml:space="preserve">9/13</t>
  </si>
  <si>
    <t xml:space="preserve">座標計算の速度</t>
  </si>
  <si>
    <t xml:space="preserve">関数電卓の複素数モードを使っていなければ、ここだけで大きな時短余地</t>
  </si>
  <si>
    <t xml:space="preserve">使用有無を確認。未使用なら今週中に基本操作だけ習得（投資対効果が突出）</t>
  </si>
  <si>
    <t xml:space="preserve">計算工程の実測分（⑦）</t>
  </si>
  <si>
    <t xml:space="preserve">9/10</t>
  </si>
  <si>
    <r>
      <rPr>
        <sz val="10"/>
        <rFont val="WenQuanYi Zen Hei"/>
        <family val="2"/>
      </rPr>
      <t xml:space="preserve">「公式ブック</t>
    </r>
    <r>
      <rPr>
        <sz val="10"/>
        <rFont val="Yu Gothic"/>
        <family val="0"/>
        <charset val="1"/>
      </rPr>
      <t xml:space="preserve">(</t>
    </r>
    <r>
      <rPr>
        <sz val="10"/>
        <rFont val="WenQuanYi Zen Hei"/>
        <family val="2"/>
      </rPr>
      <t xml:space="preserve">㊙必勝法</t>
    </r>
    <r>
      <rPr>
        <sz val="10"/>
        <rFont val="Yu Gothic"/>
        <family val="0"/>
        <charset val="1"/>
      </rPr>
      <t xml:space="preserve">)</t>
    </r>
    <r>
      <rPr>
        <sz val="10"/>
        <rFont val="WenQuanYi Zen Hei"/>
        <family val="2"/>
      </rPr>
      <t xml:space="preserve">を</t>
    </r>
    <r>
      <rPr>
        <sz val="10"/>
        <rFont val="Yu Gothic"/>
        <family val="0"/>
        <charset val="1"/>
      </rPr>
      <t xml:space="preserve">3</t>
    </r>
    <r>
      <rPr>
        <sz val="10"/>
        <rFont val="WenQuanYi Zen Hei"/>
        <family val="2"/>
      </rPr>
      <t xml:space="preserve">冊作る」構想</t>
    </r>
  </si>
  <si>
    <r>
      <rPr>
        <sz val="10"/>
        <rFont val="WenQuanYi Zen Hei"/>
        <family val="2"/>
      </rPr>
      <t xml:space="preserve">択一・記述計算・民法を網羅的に新規作成するのは「増やす作業」。</t>
    </r>
    <r>
      <rPr>
        <sz val="10"/>
        <rFont val="Yu Gothic"/>
        <family val="0"/>
        <charset val="1"/>
      </rPr>
      <t xml:space="preserve">40</t>
    </r>
    <r>
      <rPr>
        <sz val="10"/>
        <rFont val="WenQuanYi Zen Hei"/>
        <family val="2"/>
      </rPr>
      <t xml:space="preserve">日で最もやってはいけない形</t>
    </r>
  </si>
  <si>
    <r>
      <rPr>
        <sz val="10"/>
        <rFont val="WenQuanYi Zen Hei"/>
        <family val="2"/>
      </rPr>
      <t xml:space="preserve">⑩の論点セルフチェックで</t>
    </r>
    <r>
      <rPr>
        <sz val="10"/>
        <rFont val="Yu Gothic"/>
        <family val="0"/>
        <charset val="1"/>
      </rPr>
      <t xml:space="preserve">×</t>
    </r>
    <r>
      <rPr>
        <sz val="10"/>
        <rFont val="WenQuanYi Zen Hei"/>
        <family val="2"/>
      </rPr>
      <t xml:space="preserve">が付いたものだけを</t>
    </r>
    <r>
      <rPr>
        <sz val="10"/>
        <rFont val="Yu Gothic"/>
        <family val="0"/>
        <charset val="1"/>
      </rPr>
      <t xml:space="preserve">A5</t>
    </r>
    <r>
      <rPr>
        <sz val="10"/>
        <rFont val="WenQuanYi Zen Hei"/>
        <family val="2"/>
      </rPr>
      <t xml:space="preserve">一枚に集約する形に限定（＝減らす作業）。ゼロから本を作らない</t>
    </r>
  </si>
  <si>
    <r>
      <rPr>
        <sz val="10"/>
        <rFont val="Yu Gothic"/>
        <family val="0"/>
        <charset val="1"/>
      </rPr>
      <t xml:space="preserve">A5</t>
    </r>
    <r>
      <rPr>
        <sz val="10"/>
        <rFont val="WenQuanYi Zen Hei"/>
        <family val="2"/>
      </rPr>
      <t xml:space="preserve">一枚・作成</t>
    </r>
    <r>
      <rPr>
        <sz val="10"/>
        <rFont val="Yu Gothic"/>
        <family val="0"/>
        <charset val="1"/>
      </rPr>
      <t xml:space="preserve">30</t>
    </r>
    <r>
      <rPr>
        <sz val="10"/>
        <rFont val="WenQuanYi Zen Hei"/>
        <family val="2"/>
      </rPr>
      <t xml:space="preserve">分以内・以後改訂禁止</t>
    </r>
  </si>
  <si>
    <t xml:space="preserve">9/14</t>
  </si>
  <si>
    <t xml:space="preserve">型を改造したくなる癖</t>
  </si>
  <si>
    <t xml:space="preserve">今回の『講座を足すか』もこれ。仕組み側に逃げると演習量が削られる</t>
  </si>
  <si>
    <r>
      <rPr>
        <sz val="10"/>
        <rFont val="Yu Gothic"/>
        <family val="0"/>
        <charset val="1"/>
      </rPr>
      <t xml:space="preserve">40</t>
    </r>
    <r>
      <rPr>
        <sz val="10"/>
        <rFont val="WenQuanYi Zen Hei"/>
        <family val="2"/>
      </rPr>
      <t xml:space="preserve">日は型を触らない。新しい管理ツール・新カリキュラムを作らない・買わない</t>
    </r>
  </si>
  <si>
    <r>
      <rPr>
        <sz val="10"/>
        <rFont val="WenQuanYi Zen Hei"/>
        <family val="2"/>
      </rPr>
      <t xml:space="preserve">違反</t>
    </r>
    <r>
      <rPr>
        <sz val="10"/>
        <rFont val="Yu Gothic"/>
        <family val="0"/>
        <charset val="1"/>
      </rPr>
      <t xml:space="preserve">0</t>
    </r>
    <r>
      <rPr>
        <sz val="10"/>
        <rFont val="WenQuanYi Zen Hei"/>
        <family val="2"/>
      </rPr>
      <t xml:space="preserve">回</t>
    </r>
  </si>
  <si>
    <r>
      <rPr>
        <sz val="10"/>
        <rFont val="Yu Gothic"/>
        <family val="0"/>
        <charset val="1"/>
      </rPr>
      <t xml:space="preserve">10/18</t>
    </r>
    <r>
      <rPr>
        <sz val="10"/>
        <rFont val="WenQuanYi Zen Hei"/>
        <family val="2"/>
      </rPr>
      <t xml:space="preserve">まで</t>
    </r>
  </si>
  <si>
    <t xml:space="preserve">ビッグマウス（未確定の数字・合否を口に出す）</t>
  </si>
  <si>
    <t xml:space="preserve">松本氏は合格してから語る＝実績→発信の順</t>
  </si>
  <si>
    <r>
      <rPr>
        <sz val="10"/>
        <rFont val="WenQuanYi Zen Hei"/>
        <family val="2"/>
      </rPr>
      <t xml:space="preserve">首席宣言は外に出さない。</t>
    </r>
    <r>
      <rPr>
        <sz val="10"/>
        <rFont val="Yu Gothic"/>
        <family val="0"/>
        <charset val="1"/>
      </rPr>
      <t xml:space="preserve">X</t>
    </r>
    <r>
      <rPr>
        <sz val="10"/>
        <rFont val="WenQuanYi Zen Hei"/>
        <family val="2"/>
      </rPr>
      <t xml:space="preserve">・</t>
    </r>
    <r>
      <rPr>
        <sz val="10"/>
        <rFont val="Yu Gothic"/>
        <family val="0"/>
        <charset val="1"/>
      </rPr>
      <t xml:space="preserve">LINE</t>
    </r>
    <r>
      <rPr>
        <sz val="10"/>
        <rFont val="WenQuanYi Zen Hei"/>
        <family val="2"/>
      </rPr>
      <t xml:space="preserve">グループでも点数と合否を言わない</t>
    </r>
  </si>
  <si>
    <r>
      <rPr>
        <b val="true"/>
        <sz val="14"/>
        <color rgb="FF1F3864"/>
        <rFont val="WenQuanYi Zen Hei"/>
        <family val="2"/>
      </rPr>
      <t xml:space="preserve">ラスト</t>
    </r>
    <r>
      <rPr>
        <b val="true"/>
        <sz val="14"/>
        <color rgb="FF1F3864"/>
        <rFont val="Yu Gothic"/>
        <family val="0"/>
        <charset val="1"/>
      </rPr>
      <t xml:space="preserve">40</t>
    </r>
    <r>
      <rPr>
        <b val="true"/>
        <sz val="14"/>
        <color rgb="FF1F3864"/>
        <rFont val="WenQuanYi Zen Hei"/>
        <family val="2"/>
      </rPr>
      <t xml:space="preserve">日 週次設計（</t>
    </r>
    <r>
      <rPr>
        <b val="true"/>
        <sz val="14"/>
        <color rgb="FF1F3864"/>
        <rFont val="Yu Gothic"/>
        <family val="0"/>
        <charset val="1"/>
      </rPr>
      <t xml:space="preserve">9/8 → 10/18</t>
    </r>
    <r>
      <rPr>
        <b val="true"/>
        <sz val="14"/>
        <color rgb="FF1F3864"/>
        <rFont val="WenQuanYi Zen Hei"/>
        <family val="2"/>
      </rPr>
      <t xml:space="preserve">）</t>
    </r>
  </si>
  <si>
    <t xml:space="preserve">机の主役は常に記述。暗記は隙間へ追い出す</t>
  </si>
  <si>
    <t xml:space="preserve">期間</t>
  </si>
  <si>
    <t xml:space="preserve">フェーズ</t>
  </si>
  <si>
    <t xml:space="preserve">机の主役（記述）</t>
  </si>
  <si>
    <r>
      <rPr>
        <b val="true"/>
        <sz val="10"/>
        <color rgb="FFFFFFFF"/>
        <rFont val="WenQuanYi Zen Hei"/>
        <family val="2"/>
      </rPr>
      <t xml:space="preserve">隙間（</t>
    </r>
    <r>
      <rPr>
        <b val="true"/>
        <sz val="10"/>
        <color rgb="FFFFFFFF"/>
        <rFont val="Yu Gothic"/>
        <family val="0"/>
        <charset val="1"/>
      </rPr>
      <t xml:space="preserve">Anki/</t>
    </r>
    <r>
      <rPr>
        <b val="true"/>
        <sz val="10"/>
        <color rgb="FFFFFFFF"/>
        <rFont val="WenQuanYi Zen Hei"/>
        <family val="2"/>
      </rPr>
      <t xml:space="preserve">択一）</t>
    </r>
  </si>
  <si>
    <t xml:space="preserve">この期間の狙い</t>
  </si>
  <si>
    <t xml:space="preserve">9/8-9/14</t>
  </si>
  <si>
    <r>
      <rPr>
        <sz val="10"/>
        <rFont val="Yu Gothic"/>
        <family val="0"/>
        <charset val="1"/>
      </rPr>
      <t xml:space="preserve">P4 </t>
    </r>
    <r>
      <rPr>
        <sz val="10"/>
        <rFont val="WenQuanYi Zen Hei"/>
        <family val="2"/>
      </rPr>
      <t xml:space="preserve">仕上</t>
    </r>
  </si>
  <si>
    <r>
      <rPr>
        <sz val="10"/>
        <rFont val="WenQuanYi Zen Hei"/>
        <family val="2"/>
      </rPr>
      <t xml:space="preserve">毎日</t>
    </r>
    <r>
      <rPr>
        <sz val="10"/>
        <rFont val="Yu Gothic"/>
        <family val="0"/>
        <charset val="1"/>
      </rPr>
      <t xml:space="preserve">1</t>
    </r>
    <r>
      <rPr>
        <sz val="10"/>
        <rFont val="WenQuanYi Zen Hei"/>
        <family val="2"/>
      </rPr>
      <t xml:space="preserve">問＋週</t>
    </r>
    <r>
      <rPr>
        <sz val="10"/>
        <rFont val="Yu Gothic"/>
        <family val="0"/>
        <charset val="1"/>
      </rPr>
      <t xml:space="preserve">2</t>
    </r>
    <r>
      <rPr>
        <sz val="10"/>
        <rFont val="WenQuanYi Zen Hei"/>
        <family val="2"/>
      </rPr>
      <t xml:space="preserve">で本番形式の通し。全て⑦に時間内訳を記録</t>
    </r>
  </si>
  <si>
    <r>
      <rPr>
        <sz val="10"/>
        <rFont val="Yu Gothic"/>
        <family val="0"/>
        <charset val="1"/>
      </rPr>
      <t xml:space="preserve">×</t>
    </r>
    <r>
      <rPr>
        <sz val="10"/>
        <rFont val="WenQuanYi Zen Hei"/>
        <family val="2"/>
      </rPr>
      <t xml:space="preserve">だけ高速回転</t>
    </r>
  </si>
  <si>
    <r>
      <rPr>
        <sz val="10"/>
        <rFont val="WenQuanYi Zen Hei"/>
        <family val="2"/>
      </rPr>
      <t xml:space="preserve">遅さの正体を数字で特定する週。</t>
    </r>
    <r>
      <rPr>
        <sz val="10"/>
        <rFont val="Yu Gothic"/>
        <family val="0"/>
        <charset val="1"/>
      </rPr>
      <t xml:space="preserve">3</t>
    </r>
    <r>
      <rPr>
        <sz val="10"/>
        <rFont val="WenQuanYi Zen Hei"/>
        <family val="2"/>
      </rPr>
      <t xml:space="preserve">〜</t>
    </r>
    <r>
      <rPr>
        <sz val="10"/>
        <rFont val="Yu Gothic"/>
        <family val="0"/>
        <charset val="1"/>
      </rPr>
      <t xml:space="preserve">4</t>
    </r>
    <r>
      <rPr>
        <sz val="10"/>
        <rFont val="WenQuanYi Zen Hei"/>
        <family val="2"/>
      </rPr>
      <t xml:space="preserve">本たまれば工程別の傾向が出る</t>
    </r>
  </si>
  <si>
    <t xml:space="preserve">9/15-9/21</t>
  </si>
  <si>
    <r>
      <rPr>
        <sz val="10"/>
        <rFont val="WenQuanYi Zen Hei"/>
        <family val="2"/>
      </rPr>
      <t xml:space="preserve">特定した最大ボトルネック工程を集中的に潰す。通し週</t>
    </r>
    <r>
      <rPr>
        <sz val="10"/>
        <rFont val="Yu Gothic"/>
        <family val="0"/>
        <charset val="1"/>
      </rPr>
      <t xml:space="preserve">2</t>
    </r>
    <r>
      <rPr>
        <sz val="10"/>
        <rFont val="WenQuanYi Zen Hei"/>
        <family val="2"/>
      </rPr>
      <t xml:space="preserve">は継続</t>
    </r>
  </si>
  <si>
    <t xml:space="preserve">弱点テーマの択一のみ</t>
  </si>
  <si>
    <r>
      <rPr>
        <sz val="10"/>
        <rFont val="WenQuanYi Zen Hei"/>
        <family val="2"/>
      </rPr>
      <t xml:space="preserve">投資先を</t>
    </r>
    <r>
      <rPr>
        <sz val="10"/>
        <rFont val="Yu Gothic"/>
        <family val="0"/>
        <charset val="1"/>
      </rPr>
      <t xml:space="preserve">1</t>
    </r>
    <r>
      <rPr>
        <sz val="10"/>
        <rFont val="WenQuanYi Zen Hei"/>
        <family val="2"/>
      </rPr>
      <t xml:space="preserve">つに絞って叩く。</t>
    </r>
    <r>
      <rPr>
        <sz val="10"/>
        <rFont val="Yu Gothic"/>
        <family val="0"/>
        <charset val="1"/>
      </rPr>
      <t xml:space="preserve">R5</t>
    </r>
    <r>
      <rPr>
        <sz val="10"/>
        <rFont val="WenQuanYi Zen Hei"/>
        <family val="2"/>
      </rPr>
      <t xml:space="preserve">記述もこの期間に本番形式で</t>
    </r>
  </si>
  <si>
    <t xml:space="preserve">9/22-9/30</t>
  </si>
  <si>
    <r>
      <rPr>
        <sz val="10"/>
        <rFont val="Yu Gothic"/>
        <family val="0"/>
        <charset val="1"/>
      </rPr>
      <t xml:space="preserve">R01-06</t>
    </r>
    <r>
      <rPr>
        <sz val="10"/>
        <rFont val="WenQuanYi Zen Hei"/>
        <family val="2"/>
      </rPr>
      <t xml:space="preserve">の新しめを中心に通し。土地</t>
    </r>
    <r>
      <rPr>
        <sz val="10"/>
        <rFont val="Yu Gothic"/>
        <family val="0"/>
        <charset val="1"/>
      </rPr>
      <t xml:space="preserve">50</t>
    </r>
    <r>
      <rPr>
        <sz val="10"/>
        <rFont val="WenQuanYi Zen Hei"/>
        <family val="2"/>
      </rPr>
      <t xml:space="preserve">分</t>
    </r>
    <r>
      <rPr>
        <sz val="10"/>
        <rFont val="Yu Gothic"/>
        <family val="0"/>
        <charset val="1"/>
      </rPr>
      <t xml:space="preserve">/</t>
    </r>
    <r>
      <rPr>
        <sz val="10"/>
        <rFont val="WenQuanYi Zen Hei"/>
        <family val="2"/>
      </rPr>
      <t xml:space="preserve">建物</t>
    </r>
    <r>
      <rPr>
        <sz val="10"/>
        <rFont val="Yu Gothic"/>
        <family val="0"/>
        <charset val="1"/>
      </rPr>
      <t xml:space="preserve">50</t>
    </r>
    <r>
      <rPr>
        <sz val="10"/>
        <rFont val="WenQuanYi Zen Hei"/>
        <family val="2"/>
      </rPr>
      <t xml:space="preserve">分の枠内に収める</t>
    </r>
  </si>
  <si>
    <r>
      <rPr>
        <sz val="10"/>
        <rFont val="Yu Gothic"/>
        <family val="0"/>
        <charset val="1"/>
      </rPr>
      <t xml:space="preserve">○3</t>
    </r>
    <r>
      <rPr>
        <sz val="10"/>
        <rFont val="WenQuanYi Zen Hei"/>
        <family val="2"/>
      </rPr>
      <t xml:space="preserve">回の卒業を積み上げ</t>
    </r>
  </si>
  <si>
    <r>
      <rPr>
        <sz val="10"/>
        <rFont val="WenQuanYi Zen Hei"/>
        <family val="2"/>
      </rPr>
      <t xml:space="preserve">時間内に収まる回数を増やす。</t>
    </r>
    <r>
      <rPr>
        <sz val="10"/>
        <rFont val="Yu Gothic"/>
        <family val="0"/>
        <charset val="1"/>
      </rPr>
      <t xml:space="preserve">10</t>
    </r>
    <r>
      <rPr>
        <sz val="10"/>
        <rFont val="WenQuanYi Zen Hei"/>
        <family val="2"/>
      </rPr>
      <t xml:space="preserve">月を軽くするため母集団を圧縮</t>
    </r>
  </si>
  <si>
    <t xml:space="preserve">10/1-10/12</t>
  </si>
  <si>
    <r>
      <rPr>
        <sz val="10"/>
        <rFont val="Yu Gothic"/>
        <family val="0"/>
        <charset val="1"/>
      </rPr>
      <t xml:space="preserve">P5 </t>
    </r>
    <r>
      <rPr>
        <sz val="10"/>
        <rFont val="WenQuanYi Zen Hei"/>
        <family val="2"/>
      </rPr>
      <t xml:space="preserve">直前</t>
    </r>
  </si>
  <si>
    <r>
      <rPr>
        <sz val="10"/>
        <rFont val="WenQuanYi Zen Hei"/>
        <family val="2"/>
      </rPr>
      <t xml:space="preserve">総復習のみ。新規は一切やらない。通しは週</t>
    </r>
    <r>
      <rPr>
        <sz val="10"/>
        <rFont val="Yu Gothic"/>
        <family val="0"/>
        <charset val="1"/>
      </rPr>
      <t xml:space="preserve">2</t>
    </r>
    <r>
      <rPr>
        <sz val="10"/>
        <rFont val="WenQuanYi Zen Hei"/>
        <family val="2"/>
      </rPr>
      <t xml:space="preserve">維持</t>
    </r>
  </si>
  <si>
    <r>
      <rPr>
        <sz val="10"/>
        <rFont val="Yu Gothic"/>
        <family val="0"/>
        <charset val="1"/>
      </rPr>
      <t xml:space="preserve">Anki due</t>
    </r>
    <r>
      <rPr>
        <sz val="10"/>
        <rFont val="WenQuanYi Zen Hei"/>
        <family val="2"/>
      </rPr>
      <t xml:space="preserve">のみ</t>
    </r>
  </si>
  <si>
    <t xml:space="preserve">取りこぼし防止。卒業済みは不安でも戻らない（松本の胆力）</t>
  </si>
  <si>
    <t xml:space="preserve">10/13-10/17</t>
  </si>
  <si>
    <t xml:space="preserve">本番と同じ時間割で調整。作図手順の最終確認</t>
  </si>
  <si>
    <r>
      <rPr>
        <sz val="10"/>
        <rFont val="Yu Gothic"/>
        <family val="0"/>
        <charset val="1"/>
      </rPr>
      <t xml:space="preserve">due</t>
    </r>
    <r>
      <rPr>
        <sz val="10"/>
        <rFont val="WenQuanYi Zen Hei"/>
        <family val="2"/>
      </rPr>
      <t xml:space="preserve">のみ・軽く</t>
    </r>
  </si>
  <si>
    <t xml:space="preserve">体調管理。新しいことをしない</t>
  </si>
  <si>
    <t xml:space="preserve">10/18</t>
  </si>
  <si>
    <t xml:space="preserve">本試験</t>
  </si>
  <si>
    <t xml:space="preserve">建物→土地の順。難問の評判に惑わされず出題者の要求を順に処理</t>
  </si>
  <si>
    <t xml:space="preserve">『法務省の犬として素直に、順に解く』</t>
  </si>
  <si>
    <r>
      <rPr>
        <b val="true"/>
        <sz val="10"/>
        <rFont val="WenQuanYi Zen Hei"/>
        <family val="2"/>
      </rPr>
      <t xml:space="preserve">★週</t>
    </r>
    <r>
      <rPr>
        <b val="true"/>
        <sz val="10"/>
        <rFont val="Yu Gothic"/>
        <family val="0"/>
        <charset val="1"/>
      </rPr>
      <t xml:space="preserve">2</t>
    </r>
    <r>
      <rPr>
        <b val="true"/>
        <sz val="10"/>
        <rFont val="WenQuanYi Zen Hei"/>
        <family val="2"/>
      </rPr>
      <t xml:space="preserve">の通し演習＝残り</t>
    </r>
    <r>
      <rPr>
        <b val="true"/>
        <sz val="10"/>
        <rFont val="Yu Gothic"/>
        <family val="0"/>
        <charset val="1"/>
      </rPr>
      <t xml:space="preserve">40</t>
    </r>
    <r>
      <rPr>
        <b val="true"/>
        <sz val="10"/>
        <rFont val="WenQuanYi Zen Hei"/>
        <family val="2"/>
      </rPr>
      <t xml:space="preserve">日で約</t>
    </r>
    <r>
      <rPr>
        <b val="true"/>
        <sz val="10"/>
        <rFont val="Yu Gothic"/>
        <family val="0"/>
        <charset val="1"/>
      </rPr>
      <t xml:space="preserve">11</t>
    </r>
    <r>
      <rPr>
        <b val="true"/>
        <sz val="10"/>
        <rFont val="WenQuanYi Zen Hei"/>
        <family val="2"/>
      </rPr>
      <t xml:space="preserve">本。これが速度を上げる唯一の手段。演習のたびに⑦へ</t>
    </r>
    <r>
      <rPr>
        <b val="true"/>
        <sz val="10"/>
        <rFont val="Yu Gothic"/>
        <family val="0"/>
        <charset val="1"/>
      </rPr>
      <t xml:space="preserve">4</t>
    </r>
    <r>
      <rPr>
        <b val="true"/>
        <sz val="10"/>
        <rFont val="WenQuanYi Zen Hei"/>
        <family val="2"/>
      </rPr>
      <t xml:space="preserve">工程の分を記録し、日曜に集計を見て翌週の投資先を決める。</t>
    </r>
  </si>
  <si>
    <r>
      <rPr>
        <b val="true"/>
        <sz val="14"/>
        <color rgb="FF1F3864"/>
        <rFont val="Yu Gothic"/>
        <family val="0"/>
        <charset val="1"/>
      </rPr>
      <t xml:space="preserve">9/8 </t>
    </r>
    <r>
      <rPr>
        <b val="true"/>
        <sz val="14"/>
        <color rgb="FF1F3864"/>
        <rFont val="WenQuanYi Zen Hei"/>
        <family val="2"/>
      </rPr>
      <t xml:space="preserve">から動く — チェックリスト</t>
    </r>
  </si>
  <si>
    <t xml:space="preserve">終わったら✔。優先度『高』は今日〜今週中に潰す</t>
  </si>
  <si>
    <t xml:space="preserve">✔</t>
  </si>
  <si>
    <t xml:space="preserve">アクション</t>
  </si>
  <si>
    <t xml:space="preserve">優先度</t>
  </si>
  <si>
    <t xml:space="preserve">答練・模試の受験状況を確認 → 未受験なら直前記述答練／予想模試に即申込（申込可否・日程を要確認）</t>
  </si>
  <si>
    <t xml:space="preserve">高</t>
  </si>
  <si>
    <t xml:space="preserve">2026-09-08</t>
  </si>
  <si>
    <r>
      <rPr>
        <sz val="10"/>
        <rFont val="WenQuanYi Zen Hei"/>
        <family val="2"/>
      </rPr>
      <t xml:space="preserve">今日の記述</t>
    </r>
    <r>
      <rPr>
        <sz val="10"/>
        <rFont val="Yu Gothic"/>
        <family val="0"/>
        <charset val="1"/>
      </rPr>
      <t xml:space="preserve">1</t>
    </r>
    <r>
      <rPr>
        <sz val="10"/>
        <rFont val="WenQuanYi Zen Hei"/>
        <family val="2"/>
      </rPr>
      <t xml:space="preserve">問から、読解／計算／申請書／作図の</t>
    </r>
    <r>
      <rPr>
        <sz val="10"/>
        <rFont val="Yu Gothic"/>
        <family val="0"/>
        <charset val="1"/>
      </rPr>
      <t xml:space="preserve">4</t>
    </r>
    <r>
      <rPr>
        <sz val="10"/>
        <rFont val="WenQuanYi Zen Hei"/>
        <family val="2"/>
      </rPr>
      <t xml:space="preserve">工程の所要分を⑦に記録し始める</t>
    </r>
  </si>
  <si>
    <t xml:space="preserve">解く順番を「建物 → 土地」に変更して固定する</t>
  </si>
  <si>
    <t xml:space="preserve">読む順序を「設問 → 図・座標・登記記録 → 本文」に固定する</t>
  </si>
  <si>
    <t xml:space="preserve">関数電卓の複素数モードで座標計算しているか確認。未使用なら基本操作だけ今週中に習得</t>
  </si>
  <si>
    <t xml:space="preserve">2026-09-10</t>
  </si>
  <si>
    <r>
      <rPr>
        <sz val="10"/>
        <rFont val="WenQuanYi Zen Hei"/>
        <family val="2"/>
      </rPr>
      <t xml:space="preserve">作図手順を</t>
    </r>
    <r>
      <rPr>
        <sz val="10"/>
        <rFont val="Yu Gothic"/>
        <family val="0"/>
        <charset val="1"/>
      </rPr>
      <t xml:space="preserve">A5</t>
    </r>
    <r>
      <rPr>
        <sz val="10"/>
        <rFont val="WenQuanYi Zen Hei"/>
        <family val="2"/>
      </rPr>
      <t xml:space="preserve">一枚に</t>
    </r>
    <r>
      <rPr>
        <sz val="10"/>
        <rFont val="Yu Gothic"/>
        <family val="0"/>
        <charset val="1"/>
      </rPr>
      <t xml:space="preserve">10</t>
    </r>
    <r>
      <rPr>
        <sz val="10"/>
        <rFont val="WenQuanYi Zen Hei"/>
        <family val="2"/>
      </rPr>
      <t xml:space="preserve">分で書く（建物図面・各階平面図の打点順）。以後の改訂は禁止</t>
    </r>
  </si>
  <si>
    <t xml:space="preserve">通常</t>
  </si>
  <si>
    <t xml:space="preserve">2026-09-09</t>
  </si>
  <si>
    <r>
      <rPr>
        <sz val="10"/>
        <rFont val="WenQuanYi Zen Hei"/>
        <family val="2"/>
      </rPr>
      <t xml:space="preserve">週</t>
    </r>
    <r>
      <rPr>
        <sz val="10"/>
        <rFont val="Yu Gothic"/>
        <family val="0"/>
        <charset val="1"/>
      </rPr>
      <t xml:space="preserve">2</t>
    </r>
    <r>
      <rPr>
        <sz val="10"/>
        <rFont val="WenQuanYi Zen Hei"/>
        <family val="2"/>
      </rPr>
      <t xml:space="preserve">の通し演習ブロックを</t>
    </r>
    <r>
      <rPr>
        <sz val="10"/>
        <rFont val="Yu Gothic"/>
        <family val="0"/>
        <charset val="1"/>
      </rPr>
      <t xml:space="preserve">10/17</t>
    </r>
    <r>
      <rPr>
        <sz val="10"/>
        <rFont val="WenQuanYi Zen Hei"/>
        <family val="2"/>
      </rPr>
      <t xml:space="preserve">までカレンダーに固定で入れる</t>
    </r>
  </si>
  <si>
    <r>
      <rPr>
        <sz val="10"/>
        <rFont val="WenQuanYi Zen Hei"/>
        <family val="2"/>
      </rPr>
      <t xml:space="preserve">講師の作図実演を</t>
    </r>
    <r>
      <rPr>
        <sz val="10"/>
        <rFont val="Yu Gothic"/>
        <family val="0"/>
        <charset val="1"/>
      </rPr>
      <t xml:space="preserve">2</t>
    </r>
    <r>
      <rPr>
        <sz val="10"/>
        <rFont val="WenQuanYi Zen Hei"/>
        <family val="2"/>
      </rPr>
      <t xml:space="preserve">〜</t>
    </r>
    <r>
      <rPr>
        <sz val="10"/>
        <rFont val="Yu Gothic"/>
        <family val="0"/>
        <charset val="1"/>
      </rPr>
      <t xml:space="preserve">3</t>
    </r>
    <r>
      <rPr>
        <sz val="10"/>
        <rFont val="WenQuanYi Zen Hei"/>
        <family val="2"/>
      </rPr>
      <t xml:space="preserve">本だけ見て、自分の手順との差分を</t>
    </r>
    <r>
      <rPr>
        <sz val="10"/>
        <rFont val="Yu Gothic"/>
        <family val="0"/>
        <charset val="1"/>
      </rPr>
      <t xml:space="preserve">1</t>
    </r>
    <r>
      <rPr>
        <sz val="10"/>
        <rFont val="WenQuanYi Zen Hei"/>
        <family val="2"/>
      </rPr>
      <t xml:space="preserve">行メモ</t>
    </r>
  </si>
  <si>
    <t xml:space="preserve">2026-09-13</t>
  </si>
  <si>
    <r>
      <rPr>
        <sz val="10"/>
        <rFont val="WenQuanYi Zen Hei"/>
        <family val="2"/>
      </rPr>
      <t xml:space="preserve">⑩論点セルフチェックを一度通す（区分・合体・民法</t>
    </r>
    <r>
      <rPr>
        <sz val="10"/>
        <rFont val="Yu Gothic"/>
        <family val="0"/>
        <charset val="1"/>
      </rPr>
      <t xml:space="preserve">13</t>
    </r>
    <r>
      <rPr>
        <sz val="10"/>
        <rFont val="WenQuanYi Zen Hei"/>
        <family val="2"/>
      </rPr>
      <t xml:space="preserve">問）。</t>
    </r>
    <r>
      <rPr>
        <sz val="10"/>
        <rFont val="Yu Gothic"/>
        <family val="0"/>
        <charset val="1"/>
      </rPr>
      <t xml:space="preserve">×</t>
    </r>
    <r>
      <rPr>
        <sz val="10"/>
        <rFont val="WenQuanYi Zen Hei"/>
        <family val="2"/>
      </rPr>
      <t xml:space="preserve">が付いたものだけ</t>
    </r>
    <r>
      <rPr>
        <sz val="10"/>
        <rFont val="Yu Gothic"/>
        <family val="0"/>
        <charset val="1"/>
      </rPr>
      <t xml:space="preserve">A5</t>
    </r>
    <r>
      <rPr>
        <sz val="10"/>
        <rFont val="WenQuanYi Zen Hei"/>
        <family val="2"/>
      </rPr>
      <t xml:space="preserve">一枚に集約する</t>
    </r>
  </si>
  <si>
    <t xml:space="preserve">2026-09-14</t>
  </si>
  <si>
    <r>
      <rPr>
        <sz val="10"/>
        <rFont val="WenQuanYi Zen Hei"/>
        <family val="2"/>
      </rPr>
      <t xml:space="preserve">答案用の黒ボールペン</t>
    </r>
    <r>
      <rPr>
        <sz val="10"/>
        <rFont val="Yu Gothic"/>
        <family val="0"/>
        <charset val="1"/>
      </rPr>
      <t xml:space="preserve">0.5mm</t>
    </r>
    <r>
      <rPr>
        <sz val="10"/>
        <rFont val="WenQuanYi Zen Hei"/>
        <family val="2"/>
      </rPr>
      <t xml:space="preserve">以下を別に用意する（</t>
    </r>
    <r>
      <rPr>
        <sz val="10"/>
        <rFont val="Yu Gothic"/>
        <family val="0"/>
        <charset val="1"/>
      </rPr>
      <t xml:space="preserve">3</t>
    </r>
    <r>
      <rPr>
        <sz val="10"/>
        <rFont val="WenQuanYi Zen Hei"/>
        <family val="2"/>
      </rPr>
      <t xml:space="preserve">色ペンの黒は</t>
    </r>
    <r>
      <rPr>
        <sz val="10"/>
        <rFont val="Yu Gothic"/>
        <family val="0"/>
        <charset val="1"/>
      </rPr>
      <t xml:space="preserve">0.7mm</t>
    </r>
    <r>
      <rPr>
        <sz val="10"/>
        <rFont val="WenQuanYi Zen Hei"/>
        <family val="2"/>
      </rPr>
      <t xml:space="preserve">で答案に使えない場合がある）</t>
    </r>
  </si>
  <si>
    <r>
      <rPr>
        <sz val="10"/>
        <rFont val="Yu Gothic"/>
        <family val="0"/>
        <charset val="1"/>
      </rPr>
      <t xml:space="preserve">3</t>
    </r>
    <r>
      <rPr>
        <sz val="10"/>
        <rFont val="WenQuanYi Zen Hei"/>
        <family val="2"/>
      </rPr>
      <t xml:space="preserve">色マーキングを</t>
    </r>
    <r>
      <rPr>
        <sz val="10"/>
        <rFont val="Yu Gothic"/>
        <family val="0"/>
        <charset val="1"/>
      </rPr>
      <t xml:space="preserve">1</t>
    </r>
    <r>
      <rPr>
        <sz val="10"/>
        <rFont val="WenQuanYi Zen Hei"/>
        <family val="2"/>
      </rPr>
      <t xml:space="preserve">週間試し、⑦の読解時間が縮むかで採否を決める（縮まなければ潔く捨てる）</t>
    </r>
  </si>
  <si>
    <t xml:space="preserve">2026-09-15</t>
  </si>
  <si>
    <r>
      <rPr>
        <sz val="10"/>
        <rFont val="WenQuanYi Zen Hei"/>
        <family val="2"/>
      </rPr>
      <t xml:space="preserve">本番と同じ</t>
    </r>
    <r>
      <rPr>
        <sz val="10"/>
        <rFont val="Yu Gothic"/>
        <family val="0"/>
        <charset val="1"/>
      </rPr>
      <t xml:space="preserve">150</t>
    </r>
    <r>
      <rPr>
        <sz val="10"/>
        <rFont val="WenQuanYi Zen Hei"/>
        <family val="2"/>
      </rPr>
      <t xml:space="preserve">分・同じ時間帯</t>
    </r>
    <r>
      <rPr>
        <sz val="10"/>
        <rFont val="Yu Gothic"/>
        <family val="0"/>
        <charset val="1"/>
      </rPr>
      <t xml:space="preserve">(13:00-15:30)</t>
    </r>
    <r>
      <rPr>
        <sz val="10"/>
        <rFont val="WenQuanYi Zen Hei"/>
        <family val="2"/>
      </rPr>
      <t xml:space="preserve">の通し演習を</t>
    </r>
    <r>
      <rPr>
        <sz val="10"/>
        <rFont val="Yu Gothic"/>
        <family val="0"/>
        <charset val="1"/>
      </rPr>
      <t xml:space="preserve">10/4</t>
    </r>
    <r>
      <rPr>
        <sz val="10"/>
        <rFont val="WenQuanYi Zen Hei"/>
        <family val="2"/>
      </rPr>
      <t xml:space="preserve">に入れる</t>
    </r>
  </si>
  <si>
    <t xml:space="preserve">2026-10-04</t>
  </si>
  <si>
    <t xml:space="preserve">関数電卓の電池交換・予備電卓の確認／持ち物を全部バッグへ（⑪）</t>
  </si>
  <si>
    <t xml:space="preserve">2026-10-11</t>
  </si>
  <si>
    <r>
      <rPr>
        <sz val="10"/>
        <rFont val="WenQuanYi Zen Hei"/>
        <family val="2"/>
      </rPr>
      <t xml:space="preserve">日曜に⑦の集計を見て、翌週に潰す工程を</t>
    </r>
    <r>
      <rPr>
        <sz val="10"/>
        <rFont val="Yu Gothic"/>
        <family val="0"/>
        <charset val="1"/>
      </rPr>
      <t xml:space="preserve">1</t>
    </r>
    <r>
      <rPr>
        <sz val="10"/>
        <rFont val="WenQuanYi Zen Hei"/>
        <family val="2"/>
      </rPr>
      <t xml:space="preserve">つだけ決める</t>
    </r>
  </si>
  <si>
    <t xml:space="preserve">毎週日曜</t>
  </si>
  <si>
    <r>
      <rPr>
        <b val="true"/>
        <sz val="10"/>
        <rFont val="WenQuanYi Zen Hei"/>
        <family val="2"/>
      </rPr>
      <t xml:space="preserve">⚠ このリストに『新しい講座を検討する』『新しい管理ツールを作る』は入っていない。それは</t>
    </r>
    <r>
      <rPr>
        <b val="true"/>
        <sz val="10"/>
        <rFont val="Yu Gothic"/>
        <family val="0"/>
        <charset val="1"/>
      </rPr>
      <t xml:space="preserve">40</t>
    </r>
    <r>
      <rPr>
        <b val="true"/>
        <sz val="10"/>
        <rFont val="WenQuanYi Zen Hei"/>
        <family val="2"/>
      </rPr>
      <t xml:space="preserve">日の敵。迷ったら机に戻って</t>
    </r>
    <r>
      <rPr>
        <b val="true"/>
        <sz val="10"/>
        <rFont val="Yu Gothic"/>
        <family val="0"/>
        <charset val="1"/>
      </rPr>
      <t xml:space="preserve">1</t>
    </r>
    <r>
      <rPr>
        <b val="true"/>
        <sz val="10"/>
        <rFont val="WenQuanYi Zen Hei"/>
        <family val="2"/>
      </rPr>
      <t xml:space="preserve">問解く。</t>
    </r>
  </si>
  <si>
    <r>
      <rPr>
        <b val="true"/>
        <sz val="14"/>
        <color rgb="FF1F3864"/>
        <rFont val="WenQuanYi Zen Hei"/>
        <family val="2"/>
      </rPr>
      <t xml:space="preserve">記述 通し演習ログ — </t>
    </r>
    <r>
      <rPr>
        <b val="true"/>
        <sz val="14"/>
        <color rgb="FF1F3864"/>
        <rFont val="Yu Gothic"/>
        <family val="0"/>
        <charset val="1"/>
      </rPr>
      <t xml:space="preserve">4</t>
    </r>
    <r>
      <rPr>
        <b val="true"/>
        <sz val="14"/>
        <color rgb="FF1F3864"/>
        <rFont val="WenQuanYi Zen Hei"/>
        <family val="2"/>
      </rPr>
      <t xml:space="preserve">工程の時間内訳を毎回計測する</t>
    </r>
  </si>
  <si>
    <r>
      <rPr>
        <sz val="9"/>
        <color rgb="FF808080"/>
        <rFont val="WenQuanYi Zen Hei"/>
        <family val="2"/>
      </rPr>
      <t xml:space="preserve">このシートが</t>
    </r>
    <r>
      <rPr>
        <sz val="9"/>
        <color rgb="FF808080"/>
        <rFont val="Yu Gothic"/>
        <family val="0"/>
        <charset val="1"/>
      </rPr>
      <t xml:space="preserve">40</t>
    </r>
    <r>
      <rPr>
        <sz val="9"/>
        <color rgb="FF808080"/>
        <rFont val="WenQuanYi Zen Hei"/>
        <family val="2"/>
      </rPr>
      <t xml:space="preserve">日の司令塔。青字セルだけ手で記入すれば、右側と下の集計は自動で出ます</t>
    </r>
  </si>
  <si>
    <r>
      <rPr>
        <sz val="9"/>
        <color rgb="FF0000FF"/>
        <rFont val="WenQuanYi Zen Hei"/>
        <family val="2"/>
      </rPr>
      <t xml:space="preserve">【記入するのは青字セル＝</t>
    </r>
    <r>
      <rPr>
        <sz val="9"/>
        <color rgb="FF0000FF"/>
        <rFont val="Yu Gothic"/>
        <family val="0"/>
        <charset val="1"/>
      </rPr>
      <t xml:space="preserve">A</t>
    </r>
    <r>
      <rPr>
        <sz val="9"/>
        <color rgb="FF0000FF"/>
        <rFont val="WenQuanYi Zen Hei"/>
        <family val="2"/>
      </rPr>
      <t xml:space="preserve">〜</t>
    </r>
    <r>
      <rPr>
        <sz val="9"/>
        <color rgb="FF0000FF"/>
        <rFont val="Yu Gothic"/>
        <family val="0"/>
        <charset val="1"/>
      </rPr>
      <t xml:space="preserve">G</t>
    </r>
    <r>
      <rPr>
        <sz val="9"/>
        <color rgb="FF0000FF"/>
        <rFont val="WenQuanYi Zen Hei"/>
        <family val="2"/>
      </rPr>
      <t xml:space="preserve">列と </t>
    </r>
    <r>
      <rPr>
        <sz val="9"/>
        <color rgb="FF0000FF"/>
        <rFont val="Yu Gothic"/>
        <family val="0"/>
        <charset val="1"/>
      </rPr>
      <t xml:space="preserve">L</t>
    </r>
    <r>
      <rPr>
        <sz val="9"/>
        <color rgb="FF0000FF"/>
        <rFont val="WenQuanYi Zen Hei"/>
        <family val="2"/>
      </rPr>
      <t xml:space="preserve">列だけ】</t>
    </r>
    <r>
      <rPr>
        <sz val="9"/>
        <color rgb="FF0000FF"/>
        <rFont val="Yu Gothic"/>
        <family val="0"/>
        <charset val="1"/>
      </rPr>
      <t xml:space="preserve">H</t>
    </r>
    <r>
      <rPr>
        <sz val="9"/>
        <color rgb="FF0000FF"/>
        <rFont val="WenQuanYi Zen Hei"/>
        <family val="2"/>
      </rPr>
      <t xml:space="preserve">〜</t>
    </r>
    <r>
      <rPr>
        <sz val="9"/>
        <color rgb="FF0000FF"/>
        <rFont val="Yu Gothic"/>
        <family val="0"/>
        <charset val="1"/>
      </rPr>
      <t xml:space="preserve">K</t>
    </r>
    <r>
      <rPr>
        <sz val="9"/>
        <color rgb="FF0000FF"/>
        <rFont val="WenQuanYi Zen Hei"/>
        <family val="2"/>
      </rPr>
      <t xml:space="preserve">列と下の集計は数式（触らない）。</t>
    </r>
    <r>
      <rPr>
        <sz val="9"/>
        <color rgb="FF0000FF"/>
        <rFont val="Yu Gothic"/>
        <family val="0"/>
        <charset val="1"/>
      </rPr>
      <t xml:space="preserve">1</t>
    </r>
    <r>
      <rPr>
        <sz val="9"/>
        <color rgb="FF0000FF"/>
        <rFont val="WenQuanYi Zen Hei"/>
        <family val="2"/>
      </rPr>
      <t xml:space="preserve">行＝</t>
    </r>
    <r>
      <rPr>
        <sz val="9"/>
        <color rgb="FF0000FF"/>
        <rFont val="Yu Gothic"/>
        <family val="0"/>
        <charset val="1"/>
      </rPr>
      <t xml:space="preserve">1</t>
    </r>
    <r>
      <rPr>
        <sz val="9"/>
        <color rgb="FF0000FF"/>
        <rFont val="WenQuanYi Zen Hei"/>
        <family val="2"/>
      </rPr>
      <t xml:space="preserve">問。</t>
    </r>
    <r>
      <rPr>
        <sz val="9"/>
        <color rgb="FF0000FF"/>
        <rFont val="Yu Gothic"/>
        <family val="0"/>
        <charset val="1"/>
      </rPr>
      <t xml:space="preserve">13</t>
    </r>
    <r>
      <rPr>
        <sz val="9"/>
        <color rgb="FF0000FF"/>
        <rFont val="WenQuanYi Zen Hei"/>
        <family val="2"/>
      </rPr>
      <t xml:space="preserve">行目は書き方の例なので上書きして構いません。</t>
    </r>
  </si>
  <si>
    <r>
      <rPr>
        <b val="true"/>
        <sz val="9"/>
        <color rgb="FFC00000"/>
        <rFont val="WenQuanYi Zen Hei"/>
        <family val="2"/>
      </rPr>
      <t xml:space="preserve">【計測プロトコル＝ラップ方式】ストップウォッチのラップ（</t>
    </r>
    <r>
      <rPr>
        <b val="true"/>
        <sz val="9"/>
        <color rgb="FFC00000"/>
        <rFont val="Yu Gothic"/>
        <family val="0"/>
        <charset val="1"/>
      </rPr>
      <t xml:space="preserve">LAP</t>
    </r>
    <r>
      <rPr>
        <b val="true"/>
        <sz val="9"/>
        <color rgb="FFC00000"/>
        <rFont val="WenQuanYi Zen Hei"/>
        <family val="2"/>
      </rPr>
      <t xml:space="preserve">）ボタンを工程の切れ目で押すだけ。①読解終わり ②計算終わり ③申請書終わり ④作図終わり</t>
    </r>
    <r>
      <rPr>
        <b val="true"/>
        <sz val="9"/>
        <color rgb="FFC00000"/>
        <rFont val="Yu Gothic"/>
        <family val="0"/>
        <charset val="1"/>
      </rPr>
      <t xml:space="preserve">(=STOP)</t>
    </r>
    <r>
      <rPr>
        <b val="true"/>
        <sz val="9"/>
        <color rgb="FFC00000"/>
        <rFont val="WenQuanYi Zen Hei"/>
        <family val="2"/>
      </rPr>
      <t xml:space="preserve">。★解いている途中で書かない・止めない。転記は解き終わってから</t>
    </r>
    <r>
      <rPr>
        <b val="true"/>
        <sz val="9"/>
        <color rgb="FFC00000"/>
        <rFont val="Yu Gothic"/>
        <family val="0"/>
        <charset val="1"/>
      </rPr>
      <t xml:space="preserve">1</t>
    </r>
    <r>
      <rPr>
        <b val="true"/>
        <sz val="9"/>
        <color rgb="FFC00000"/>
        <rFont val="WenQuanYi Zen Hei"/>
        <family val="2"/>
      </rPr>
      <t xml:space="preserve">分で。時計を止めて記録すると計測が演習を壊す。</t>
    </r>
  </si>
  <si>
    <t xml:space="preserve">■ 標準配分（この分を超えた工程がボトルネック）</t>
  </si>
  <si>
    <t xml:space="preserve">種別</t>
  </si>
  <si>
    <t xml:space="preserve">読解</t>
  </si>
  <si>
    <t xml:space="preserve">計算</t>
  </si>
  <si>
    <t xml:space="preserve">申請書</t>
  </si>
  <si>
    <t xml:space="preserve">作図</t>
  </si>
  <si>
    <t xml:space="preserve">合計</t>
  </si>
  <si>
    <t xml:space="preserve">土地</t>
  </si>
  <si>
    <t xml:space="preserve">建物</t>
  </si>
  <si>
    <r>
      <rPr>
        <sz val="9"/>
        <color rgb="FF808080"/>
        <rFont val="WenQuanYi Zen Hei"/>
        <family val="2"/>
      </rPr>
      <t xml:space="preserve">※建物は計算工程なし（＝</t>
    </r>
    <r>
      <rPr>
        <sz val="9"/>
        <color rgb="FF808080"/>
        <rFont val="Yu Gothic"/>
        <family val="0"/>
        <charset val="1"/>
      </rPr>
      <t xml:space="preserve">0</t>
    </r>
    <r>
      <rPr>
        <sz val="9"/>
        <color rgb="FF808080"/>
        <rFont val="WenQuanYi Zen Hei"/>
        <family val="2"/>
      </rPr>
      <t xml:space="preserve">）。この配分が取れていれば土地</t>
    </r>
    <r>
      <rPr>
        <sz val="9"/>
        <color rgb="FF808080"/>
        <rFont val="Yu Gothic"/>
        <family val="0"/>
        <charset val="1"/>
      </rPr>
      <t xml:space="preserve">60</t>
    </r>
    <r>
      <rPr>
        <sz val="9"/>
        <color rgb="FF808080"/>
        <rFont val="WenQuanYi Zen Hei"/>
        <family val="2"/>
      </rPr>
      <t xml:space="preserve">分・建物</t>
    </r>
    <r>
      <rPr>
        <sz val="9"/>
        <color rgb="FF808080"/>
        <rFont val="Yu Gothic"/>
        <family val="0"/>
        <charset val="1"/>
      </rPr>
      <t xml:space="preserve">50</t>
    </r>
    <r>
      <rPr>
        <sz val="9"/>
        <color rgb="FF808080"/>
        <rFont val="WenQuanYi Zen Hei"/>
        <family val="2"/>
      </rPr>
      <t xml:space="preserve">分に収まる。</t>
    </r>
  </si>
  <si>
    <t xml:space="preserve">■ 通し演習ログ</t>
  </si>
  <si>
    <t xml:space="preserve">実施日</t>
  </si>
  <si>
    <t xml:space="preserve">年度・問</t>
  </si>
  <si>
    <t xml:space="preserve">実測計</t>
  </si>
  <si>
    <t xml:space="preserve">標準</t>
  </si>
  <si>
    <r>
      <rPr>
        <b val="true"/>
        <sz val="10"/>
        <color rgb="FFFFFFFF"/>
        <rFont val="WenQuanYi Zen Hei"/>
        <family val="2"/>
      </rPr>
      <t xml:space="preserve">差</t>
    </r>
    <r>
      <rPr>
        <b val="true"/>
        <sz val="10"/>
        <color rgb="FFFFFFFF"/>
        <rFont val="Yu Gothic"/>
        <family val="0"/>
        <charset val="1"/>
      </rPr>
      <t xml:space="preserve">(+</t>
    </r>
    <r>
      <rPr>
        <b val="true"/>
        <sz val="10"/>
        <color rgb="FFFFFFFF"/>
        <rFont val="WenQuanYi Zen Hei"/>
        <family val="2"/>
      </rPr>
      <t xml:space="preserve">超過</t>
    </r>
    <r>
      <rPr>
        <b val="true"/>
        <sz val="10"/>
        <color rgb="FFFFFFFF"/>
        <rFont val="Yu Gothic"/>
        <family val="0"/>
        <charset val="1"/>
      </rPr>
      <t xml:space="preserve">)</t>
    </r>
  </si>
  <si>
    <t xml:space="preserve">最も食った工程</t>
  </si>
  <si>
    <r>
      <rPr>
        <b val="true"/>
        <sz val="10"/>
        <color rgb="FFFFFFFF"/>
        <rFont val="WenQuanYi Zen Hei"/>
        <family val="2"/>
      </rPr>
      <t xml:space="preserve">気づき（</t>
    </r>
    <r>
      <rPr>
        <b val="true"/>
        <sz val="10"/>
        <color rgb="FFFFFFFF"/>
        <rFont val="Yu Gothic"/>
        <family val="0"/>
        <charset val="1"/>
      </rPr>
      <t xml:space="preserve">1</t>
    </r>
    <r>
      <rPr>
        <b val="true"/>
        <sz val="10"/>
        <color rgb="FFFFFFFF"/>
        <rFont val="WenQuanYi Zen Hei"/>
        <family val="2"/>
      </rPr>
      <t xml:space="preserve">行）</t>
    </r>
  </si>
  <si>
    <r>
      <rPr>
        <sz val="10"/>
        <color rgb="FF0000FF"/>
        <rFont val="Yu Gothic"/>
        <family val="0"/>
        <charset val="1"/>
      </rPr>
      <t xml:space="preserve">R3 </t>
    </r>
    <r>
      <rPr>
        <sz val="10"/>
        <color rgb="FF0000FF"/>
        <rFont val="WenQuanYi Zen Hei"/>
        <family val="2"/>
      </rPr>
      <t xml:space="preserve">第</t>
    </r>
    <r>
      <rPr>
        <sz val="10"/>
        <color rgb="FF0000FF"/>
        <rFont val="Yu Gothic"/>
        <family val="0"/>
        <charset val="1"/>
      </rPr>
      <t xml:space="preserve">21</t>
    </r>
    <r>
      <rPr>
        <sz val="10"/>
        <color rgb="FF0000FF"/>
        <rFont val="WenQuanYi Zen Hei"/>
        <family val="2"/>
      </rPr>
      <t xml:space="preserve">問</t>
    </r>
  </si>
  <si>
    <t xml:space="preserve">座標が出るまで作図に入れず後半に集中。次回から建物→土地の順で解く</t>
  </si>
  <si>
    <r>
      <rPr>
        <b val="true"/>
        <sz val="11"/>
        <color rgb="FFBF9000"/>
        <rFont val="WenQuanYi Zen Hei"/>
        <family val="2"/>
      </rPr>
      <t xml:space="preserve">■ 集計（日曜にここだけ見て、翌週に潰す工程を</t>
    </r>
    <r>
      <rPr>
        <b val="true"/>
        <sz val="11"/>
        <color rgb="FFBF9000"/>
        <rFont val="Yu Gothic"/>
        <family val="0"/>
        <charset val="1"/>
      </rPr>
      <t xml:space="preserve">1</t>
    </r>
    <r>
      <rPr>
        <b val="true"/>
        <sz val="11"/>
        <color rgb="FFBF9000"/>
        <rFont val="WenQuanYi Zen Hei"/>
        <family val="2"/>
      </rPr>
      <t xml:space="preserve">つ決める）</t>
    </r>
  </si>
  <si>
    <t xml:space="preserve">工程</t>
  </si>
  <si>
    <t xml:space="preserve">土地 実測平均</t>
  </si>
  <si>
    <t xml:space="preserve">土地 標準</t>
  </si>
  <si>
    <t xml:space="preserve">差</t>
  </si>
  <si>
    <t xml:space="preserve">建物 実測平均</t>
  </si>
  <si>
    <t xml:space="preserve">建物 標準</t>
  </si>
  <si>
    <t xml:space="preserve">判定の目安</t>
  </si>
  <si>
    <t xml:space="preserve">超過なら速読ではなく『読む順序の固定』で直す（設問→図→本文）</t>
  </si>
  <si>
    <t xml:space="preserve">超過なら複素数モードの未使用を疑う。ここは道具で一気に縮む</t>
  </si>
  <si>
    <r>
      <rPr>
        <sz val="10"/>
        <color rgb="FF000000"/>
        <rFont val="WenQuanYi Zen Hei"/>
        <family val="2"/>
      </rPr>
      <t xml:space="preserve">超過ならひな形の文言がまだ手に馴染んでいない＝</t>
    </r>
    <r>
      <rPr>
        <sz val="10"/>
        <color rgb="FF000000"/>
        <rFont val="Yu Gothic"/>
        <family val="0"/>
        <charset val="1"/>
      </rPr>
      <t xml:space="preserve">Anki</t>
    </r>
    <r>
      <rPr>
        <sz val="10"/>
        <color rgb="FF000000"/>
        <rFont val="WenQuanYi Zen Hei"/>
        <family val="2"/>
      </rPr>
      <t xml:space="preserve">へ回す</t>
    </r>
  </si>
  <si>
    <r>
      <rPr>
        <sz val="10"/>
        <color rgb="FF000000"/>
        <rFont val="WenQuanYi Zen Hei"/>
        <family val="2"/>
      </rPr>
      <t xml:space="preserve">超過なら打点順が毎回違う。</t>
    </r>
    <r>
      <rPr>
        <sz val="10"/>
        <color rgb="FF000000"/>
        <rFont val="Yu Gothic"/>
        <family val="0"/>
        <charset val="1"/>
      </rPr>
      <t xml:space="preserve">A5</t>
    </r>
    <r>
      <rPr>
        <sz val="10"/>
        <color rgb="FF000000"/>
        <rFont val="WenQuanYi Zen Hei"/>
        <family val="2"/>
      </rPr>
      <t xml:space="preserve">手順書を固定し、実演映像で差分を取る</t>
    </r>
  </si>
  <si>
    <t xml:space="preserve">演習本数</t>
  </si>
  <si>
    <r>
      <rPr>
        <sz val="9"/>
        <color rgb="FF808080"/>
        <rFont val="WenQuanYi Zen Hei"/>
        <family val="2"/>
      </rPr>
      <t xml:space="preserve">目標＝週</t>
    </r>
    <r>
      <rPr>
        <sz val="9"/>
        <color rgb="FF808080"/>
        <rFont val="Yu Gothic"/>
        <family val="0"/>
        <charset val="1"/>
      </rPr>
      <t xml:space="preserve">2</t>
    </r>
    <r>
      <rPr>
        <sz val="9"/>
        <color rgb="FF808080"/>
        <rFont val="WenQuanYi Zen Hei"/>
        <family val="2"/>
      </rPr>
      <t xml:space="preserve">本（</t>
    </r>
    <r>
      <rPr>
        <sz val="9"/>
        <color rgb="FF808080"/>
        <rFont val="Yu Gothic"/>
        <family val="0"/>
        <charset val="1"/>
      </rPr>
      <t xml:space="preserve">40</t>
    </r>
    <r>
      <rPr>
        <sz val="9"/>
        <color rgb="FF808080"/>
        <rFont val="WenQuanYi Zen Hei"/>
        <family val="2"/>
      </rPr>
      <t xml:space="preserve">日で約</t>
    </r>
    <r>
      <rPr>
        <sz val="9"/>
        <color rgb="FF808080"/>
        <rFont val="Yu Gothic"/>
        <family val="0"/>
        <charset val="1"/>
      </rPr>
      <t xml:space="preserve">11</t>
    </r>
    <r>
      <rPr>
        <sz val="9"/>
        <color rgb="FF808080"/>
        <rFont val="WenQuanYi Zen Hei"/>
        <family val="2"/>
      </rPr>
      <t xml:space="preserve">本）</t>
    </r>
  </si>
  <si>
    <t xml:space="preserve">平均の超過分</t>
  </si>
  <si>
    <r>
      <rPr>
        <sz val="9"/>
        <color rgb="FF808080"/>
        <rFont val="Yu Gothic"/>
        <family val="0"/>
        <charset val="1"/>
      </rPr>
      <t xml:space="preserve">0</t>
    </r>
    <r>
      <rPr>
        <sz val="9"/>
        <color rgb="FF808080"/>
        <rFont val="WenQuanYi Zen Hei"/>
        <family val="2"/>
      </rPr>
      <t xml:space="preserve">以下になれば時間内に収まっている状態</t>
    </r>
  </si>
  <si>
    <r>
      <rPr>
        <b val="true"/>
        <sz val="10"/>
        <rFont val="Yu Gothic"/>
        <family val="0"/>
        <charset val="1"/>
      </rPr>
      <t xml:space="preserve">★2</t>
    </r>
    <r>
      <rPr>
        <b val="true"/>
        <sz val="10"/>
        <rFont val="WenQuanYi Zen Hei"/>
        <family val="2"/>
      </rPr>
      <t xml:space="preserve">本以上たまってから判断する。</t>
    </r>
    <r>
      <rPr>
        <b val="true"/>
        <sz val="10"/>
        <rFont val="Yu Gothic"/>
        <family val="0"/>
        <charset val="1"/>
      </rPr>
      <t xml:space="preserve">1</t>
    </r>
    <r>
      <rPr>
        <b val="true"/>
        <sz val="10"/>
        <rFont val="WenQuanYi Zen Hei"/>
        <family val="2"/>
      </rPr>
      <t xml:space="preserve">本の結果で対策を変えない（＝型の改造）。差が最大の工程だけを、翌週の投資先にする。</t>
    </r>
  </si>
  <si>
    <r>
      <rPr>
        <b val="true"/>
        <sz val="14"/>
        <color rgb="FF1F3864"/>
        <rFont val="WenQuanYi Zen Hei"/>
        <family val="2"/>
      </rPr>
      <t xml:space="preserve">本番</t>
    </r>
    <r>
      <rPr>
        <b val="true"/>
        <sz val="14"/>
        <color rgb="FF1F3864"/>
        <rFont val="Yu Gothic"/>
        <family val="0"/>
        <charset val="1"/>
      </rPr>
      <t xml:space="preserve">150</t>
    </r>
    <r>
      <rPr>
        <b val="true"/>
        <sz val="14"/>
        <color rgb="FF1F3864"/>
        <rFont val="WenQuanYi Zen Hei"/>
        <family val="2"/>
      </rPr>
      <t xml:space="preserve">分の設計（午後の部・午前免除）— 分水嶺は択一の速度</t>
    </r>
  </si>
  <si>
    <r>
      <rPr>
        <sz val="9"/>
        <color rgb="FF808080"/>
        <rFont val="WenQuanYi Zen Hei"/>
        <family val="2"/>
      </rPr>
      <t xml:space="preserve">配分の出典＝アガルート「試験時間は</t>
    </r>
    <r>
      <rPr>
        <sz val="9"/>
        <color rgb="FF808080"/>
        <rFont val="Yu Gothic"/>
        <family val="0"/>
        <charset val="1"/>
      </rPr>
      <t xml:space="preserve">150</t>
    </r>
    <r>
      <rPr>
        <sz val="9"/>
        <color rgb="FF808080"/>
        <rFont val="WenQuanYi Zen Hei"/>
        <family val="2"/>
      </rPr>
      <t xml:space="preserve">分／科目ごとの理想的な時間配分」。※時刻は本人メモ由来。法務省サイトは当環境から取得不可のため受験票で最終確認</t>
    </r>
  </si>
  <si>
    <t xml:space="preserve">■ 当日タイムライン</t>
  </si>
  <si>
    <t xml:space="preserve">時刻</t>
  </si>
  <si>
    <t xml:space="preserve">ここで何をするか</t>
  </si>
  <si>
    <t xml:space="preserve">12:30</t>
  </si>
  <si>
    <t xml:space="preserve">着席時刻</t>
  </si>
  <si>
    <t xml:space="preserve">この時点で机上は完成させる。ペンケースは机上に出せないので、置く物を並べ終えておく</t>
  </si>
  <si>
    <t xml:space="preserve">12:45</t>
  </si>
  <si>
    <t xml:space="preserve">指定時刻（説明開始）</t>
  </si>
  <si>
    <r>
      <rPr>
        <sz val="10"/>
        <rFont val="WenQuanYi Zen Hei"/>
        <family val="2"/>
      </rPr>
      <t xml:space="preserve">説明中は何もできない。直前に見る</t>
    </r>
    <r>
      <rPr>
        <sz val="10"/>
        <rFont val="Yu Gothic"/>
        <family val="0"/>
        <charset val="1"/>
      </rPr>
      <t xml:space="preserve">1</t>
    </r>
    <r>
      <rPr>
        <sz val="10"/>
        <rFont val="WenQuanYi Zen Hei"/>
        <family val="2"/>
      </rPr>
      <t xml:space="preserve">枚（間違いノート）はここまでに見終える</t>
    </r>
  </si>
  <si>
    <t xml:space="preserve">13:00</t>
  </si>
  <si>
    <t xml:space="preserve">試験開始</t>
  </si>
  <si>
    <t xml:space="preserve">択一→建物→土地の順（自分で決めた順を変えない）</t>
  </si>
  <si>
    <t xml:space="preserve">15:30</t>
  </si>
  <si>
    <t xml:space="preserve">試験終了</t>
  </si>
  <si>
    <r>
      <rPr>
        <sz val="10"/>
        <rFont val="Yu Gothic"/>
        <family val="0"/>
        <charset val="1"/>
      </rPr>
      <t xml:space="preserve">150</t>
    </r>
    <r>
      <rPr>
        <sz val="10"/>
        <rFont val="WenQuanYi Zen Hei"/>
        <family val="2"/>
      </rPr>
      <t xml:space="preserve">分。見直し時間は「余ったら」ではなく最初から確保する</t>
    </r>
  </si>
  <si>
    <r>
      <rPr>
        <b val="true"/>
        <sz val="11"/>
        <color rgb="FFBF9000"/>
        <rFont val="Yu Gothic"/>
        <family val="0"/>
        <charset val="1"/>
      </rPr>
      <t xml:space="preserve">■ 150</t>
    </r>
    <r>
      <rPr>
        <b val="true"/>
        <sz val="11"/>
        <color rgb="FFBF9000"/>
        <rFont val="WenQuanYi Zen Hei"/>
        <family val="2"/>
      </rPr>
      <t xml:space="preserve">分の配分（青字＝自分で調整する。合計が</t>
    </r>
    <r>
      <rPr>
        <b val="true"/>
        <sz val="11"/>
        <color rgb="FFBF9000"/>
        <rFont val="Yu Gothic"/>
        <family val="0"/>
        <charset val="1"/>
      </rPr>
      <t xml:space="preserve">150</t>
    </r>
    <r>
      <rPr>
        <b val="true"/>
        <sz val="11"/>
        <color rgb="FFBF9000"/>
        <rFont val="WenQuanYi Zen Hei"/>
        <family val="2"/>
      </rPr>
      <t xml:space="preserve">になるよう自動チェック）</t>
    </r>
  </si>
  <si>
    <t xml:space="preserve">ブロック</t>
  </si>
  <si>
    <r>
      <rPr>
        <b val="true"/>
        <sz val="10"/>
        <color rgb="FFFFFFFF"/>
        <rFont val="WenQuanYi Zen Hei"/>
        <family val="2"/>
      </rPr>
      <t xml:space="preserve">配分</t>
    </r>
    <r>
      <rPr>
        <b val="true"/>
        <sz val="10"/>
        <color rgb="FFFFFFFF"/>
        <rFont val="Yu Gothic"/>
        <family val="0"/>
        <charset val="1"/>
      </rPr>
      <t xml:space="preserve">(</t>
    </r>
    <r>
      <rPr>
        <b val="true"/>
        <sz val="10"/>
        <color rgb="FFFFFFFF"/>
        <rFont val="WenQuanYi Zen Hei"/>
        <family val="2"/>
      </rPr>
      <t xml:space="preserve">分</t>
    </r>
    <r>
      <rPr>
        <b val="true"/>
        <sz val="10"/>
        <color rgb="FFFFFFFF"/>
        <rFont val="Yu Gothic"/>
        <family val="0"/>
        <charset val="1"/>
      </rPr>
      <t xml:space="preserve">)</t>
    </r>
  </si>
  <si>
    <t xml:space="preserve">根拠・注意</t>
  </si>
  <si>
    <r>
      <rPr>
        <sz val="10"/>
        <rFont val="WenQuanYi Zen Hei"/>
        <family val="2"/>
      </rPr>
      <t xml:space="preserve">択一 </t>
    </r>
    <r>
      <rPr>
        <sz val="10"/>
        <rFont val="Yu Gothic"/>
        <family val="0"/>
        <charset val="1"/>
      </rPr>
      <t xml:space="preserve">20</t>
    </r>
    <r>
      <rPr>
        <sz val="10"/>
        <rFont val="WenQuanYi Zen Hei"/>
        <family val="2"/>
      </rPr>
      <t xml:space="preserve">問</t>
    </r>
  </si>
  <si>
    <r>
      <rPr>
        <sz val="9"/>
        <color rgb="FF595959"/>
        <rFont val="WenQuanYi Zen Hei"/>
        <family val="2"/>
      </rPr>
      <t xml:space="preserve">出典の推奨＝</t>
    </r>
    <r>
      <rPr>
        <sz val="9"/>
        <color rgb="FF595959"/>
        <rFont val="Yu Gothic"/>
        <family val="0"/>
        <charset val="1"/>
      </rPr>
      <t xml:space="preserve">20</t>
    </r>
    <r>
      <rPr>
        <sz val="9"/>
        <color rgb="FF595959"/>
        <rFont val="WenQuanYi Zen Hei"/>
        <family val="2"/>
      </rPr>
      <t xml:space="preserve">分（</t>
    </r>
    <r>
      <rPr>
        <sz val="9"/>
        <color rgb="FF595959"/>
        <rFont val="Yu Gothic"/>
        <family val="0"/>
        <charset val="1"/>
      </rPr>
      <t xml:space="preserve">1</t>
    </r>
    <r>
      <rPr>
        <sz val="9"/>
        <color rgb="FF595959"/>
        <rFont val="WenQuanYi Zen Hei"/>
        <family val="2"/>
      </rPr>
      <t xml:space="preserve">問</t>
    </r>
    <r>
      <rPr>
        <sz val="9"/>
        <color rgb="FF595959"/>
        <rFont val="Yu Gothic"/>
        <family val="0"/>
        <charset val="1"/>
      </rPr>
      <t xml:space="preserve">1</t>
    </r>
    <r>
      <rPr>
        <sz val="9"/>
        <color rgb="FF595959"/>
        <rFont val="WenQuanYi Zen Hei"/>
        <family val="2"/>
      </rPr>
      <t xml:space="preserve">分）。★ここが分水嶺：択一に</t>
    </r>
    <r>
      <rPr>
        <sz val="9"/>
        <color rgb="FF595959"/>
        <rFont val="Yu Gothic"/>
        <family val="0"/>
        <charset val="1"/>
      </rPr>
      <t xml:space="preserve">35</t>
    </r>
    <r>
      <rPr>
        <sz val="9"/>
        <color rgb="FF595959"/>
        <rFont val="WenQuanYi Zen Hei"/>
        <family val="2"/>
      </rPr>
      <t xml:space="preserve">分かかると記述が</t>
    </r>
    <r>
      <rPr>
        <sz val="9"/>
        <color rgb="FF595959"/>
        <rFont val="Yu Gothic"/>
        <family val="0"/>
        <charset val="1"/>
      </rPr>
      <t xml:space="preserve">15</t>
    </r>
    <r>
      <rPr>
        <sz val="9"/>
        <color rgb="FF595959"/>
        <rFont val="WenQuanYi Zen Hei"/>
        <family val="2"/>
      </rPr>
      <t xml:space="preserve">分削られる</t>
    </r>
  </si>
  <si>
    <t xml:space="preserve">記述 建物</t>
  </si>
  <si>
    <t xml:space="preserve">先に解く。複雑な座標計算がなく得点が安定するため確実な点を先に確保</t>
  </si>
  <si>
    <t xml:space="preserve">記述 土地</t>
  </si>
  <si>
    <r>
      <rPr>
        <sz val="9"/>
        <color rgb="FF595959"/>
        <rFont val="WenQuanYi Zen Hei"/>
        <family val="2"/>
      </rPr>
      <t xml:space="preserve">内訳＝読解</t>
    </r>
    <r>
      <rPr>
        <sz val="9"/>
        <color rgb="FF595959"/>
        <rFont val="Yu Gothic"/>
        <family val="0"/>
        <charset val="1"/>
      </rPr>
      <t xml:space="preserve">15</t>
    </r>
    <r>
      <rPr>
        <sz val="9"/>
        <color rgb="FF595959"/>
        <rFont val="WenQuanYi Zen Hei"/>
        <family val="2"/>
      </rPr>
      <t xml:space="preserve">／計算</t>
    </r>
    <r>
      <rPr>
        <sz val="9"/>
        <color rgb="FF595959"/>
        <rFont val="Yu Gothic"/>
        <family val="0"/>
        <charset val="1"/>
      </rPr>
      <t xml:space="preserve">15</t>
    </r>
    <r>
      <rPr>
        <sz val="9"/>
        <color rgb="FF595959"/>
        <rFont val="WenQuanYi Zen Hei"/>
        <family val="2"/>
      </rPr>
      <t xml:space="preserve">／申請書</t>
    </r>
    <r>
      <rPr>
        <sz val="9"/>
        <color rgb="FF595959"/>
        <rFont val="Yu Gothic"/>
        <family val="0"/>
        <charset val="1"/>
      </rPr>
      <t xml:space="preserve">10</t>
    </r>
    <r>
      <rPr>
        <sz val="9"/>
        <color rgb="FF595959"/>
        <rFont val="WenQuanYi Zen Hei"/>
        <family val="2"/>
      </rPr>
      <t xml:space="preserve">／作図</t>
    </r>
    <r>
      <rPr>
        <sz val="9"/>
        <color rgb="FF595959"/>
        <rFont val="Yu Gothic"/>
        <family val="0"/>
        <charset val="1"/>
      </rPr>
      <t xml:space="preserve">20</t>
    </r>
  </si>
  <si>
    <t xml:space="preserve">見直し・マーク確認</t>
  </si>
  <si>
    <r>
      <rPr>
        <sz val="9"/>
        <color rgb="FF595959"/>
        <rFont val="WenQuanYi Zen Hei"/>
        <family val="2"/>
      </rPr>
      <t xml:space="preserve">択一のマークずれ・申請書の記入漏れ。ここを</t>
    </r>
    <r>
      <rPr>
        <sz val="9"/>
        <color rgb="FF595959"/>
        <rFont val="Yu Gothic"/>
        <family val="0"/>
        <charset val="1"/>
      </rPr>
      <t xml:space="preserve">0</t>
    </r>
    <r>
      <rPr>
        <sz val="9"/>
        <color rgb="FF595959"/>
        <rFont val="WenQuanYi Zen Hei"/>
        <family val="2"/>
      </rPr>
      <t xml:space="preserve">にしない</t>
    </r>
  </si>
  <si>
    <r>
      <rPr>
        <b val="true"/>
        <sz val="10"/>
        <rFont val="WenQuanYi Zen Hei"/>
        <family val="2"/>
      </rPr>
      <t xml:space="preserve">【</t>
    </r>
    <r>
      <rPr>
        <b val="true"/>
        <sz val="10"/>
        <rFont val="Yu Gothic"/>
        <family val="0"/>
        <charset val="1"/>
      </rPr>
      <t xml:space="preserve">2026-09-09 </t>
    </r>
    <r>
      <rPr>
        <b val="true"/>
        <sz val="10"/>
        <rFont val="WenQuanYi Zen Hei"/>
        <family val="2"/>
      </rPr>
      <t xml:space="preserve">訂正】昨日『</t>
    </r>
    <r>
      <rPr>
        <b val="true"/>
        <sz val="10"/>
        <rFont val="Yu Gothic"/>
        <family val="0"/>
        <charset val="1"/>
      </rPr>
      <t xml:space="preserve">155</t>
    </r>
    <r>
      <rPr>
        <b val="true"/>
        <sz val="10"/>
        <rFont val="WenQuanYi Zen Hei"/>
        <family val="2"/>
      </rPr>
      <t xml:space="preserve">分で入らない』と書いたのは、択一を</t>
    </r>
    <r>
      <rPr>
        <b val="true"/>
        <sz val="10"/>
        <rFont val="Yu Gothic"/>
        <family val="0"/>
        <charset val="1"/>
      </rPr>
      <t xml:space="preserve">35</t>
    </r>
    <r>
      <rPr>
        <b val="true"/>
        <sz val="10"/>
        <rFont val="WenQuanYi Zen Hei"/>
        <family val="2"/>
      </rPr>
      <t xml:space="preserve">分と見積もった自分の推測が原因。出典（アガルート「試験時間は</t>
    </r>
    <r>
      <rPr>
        <b val="true"/>
        <sz val="10"/>
        <rFont val="Yu Gothic"/>
        <family val="0"/>
        <charset val="1"/>
      </rPr>
      <t xml:space="preserve">150</t>
    </r>
    <r>
      <rPr>
        <b val="true"/>
        <sz val="10"/>
        <rFont val="WenQuanYi Zen Hei"/>
        <family val="2"/>
      </rPr>
      <t xml:space="preserve">分」）の推奨は 択一</t>
    </r>
    <r>
      <rPr>
        <b val="true"/>
        <sz val="10"/>
        <rFont val="Yu Gothic"/>
        <family val="0"/>
        <charset val="1"/>
      </rPr>
      <t xml:space="preserve">20</t>
    </r>
    <r>
      <rPr>
        <b val="true"/>
        <sz val="10"/>
        <rFont val="WenQuanYi Zen Hei"/>
        <family val="2"/>
      </rPr>
      <t xml:space="preserve">分・建物</t>
    </r>
    <r>
      <rPr>
        <b val="true"/>
        <sz val="10"/>
        <rFont val="Yu Gothic"/>
        <family val="0"/>
        <charset val="1"/>
      </rPr>
      <t xml:space="preserve">50</t>
    </r>
    <r>
      <rPr>
        <b val="true"/>
        <sz val="10"/>
        <rFont val="WenQuanYi Zen Hei"/>
        <family val="2"/>
      </rPr>
      <t xml:space="preserve">分・土地</t>
    </r>
    <r>
      <rPr>
        <b val="true"/>
        <sz val="10"/>
        <rFont val="Yu Gothic"/>
        <family val="0"/>
        <charset val="1"/>
      </rPr>
      <t xml:space="preserve">60</t>
    </r>
    <r>
      <rPr>
        <b val="true"/>
        <sz val="10"/>
        <rFont val="WenQuanYi Zen Hei"/>
        <family val="2"/>
      </rPr>
      <t xml:space="preserve">分＝</t>
    </r>
    <r>
      <rPr>
        <b val="true"/>
        <sz val="10"/>
        <rFont val="Yu Gothic"/>
        <family val="0"/>
        <charset val="1"/>
      </rPr>
      <t xml:space="preserve">130</t>
    </r>
    <r>
      <rPr>
        <b val="true"/>
        <sz val="10"/>
        <rFont val="WenQuanYi Zen Hei"/>
        <family val="2"/>
      </rPr>
      <t xml:space="preserve">分＋見直し</t>
    </r>
    <r>
      <rPr>
        <b val="true"/>
        <sz val="10"/>
        <rFont val="Yu Gothic"/>
        <family val="0"/>
        <charset val="1"/>
      </rPr>
      <t xml:space="preserve">20</t>
    </r>
    <r>
      <rPr>
        <b val="true"/>
        <sz val="10"/>
        <rFont val="WenQuanYi Zen Hei"/>
        <family val="2"/>
      </rPr>
      <t xml:space="preserve">分＝</t>
    </r>
    <r>
      <rPr>
        <b val="true"/>
        <sz val="10"/>
        <rFont val="Yu Gothic"/>
        <family val="0"/>
        <charset val="1"/>
      </rPr>
      <t xml:space="preserve">150</t>
    </r>
    <r>
      <rPr>
        <b val="true"/>
        <sz val="10"/>
        <rFont val="WenQuanYi Zen Hei"/>
        <family val="2"/>
      </rPr>
      <t xml:space="preserve">分ちょうどで、標準配分は本番に収まる。★本当の分水嶺は択一の速度。択一が</t>
    </r>
    <r>
      <rPr>
        <b val="true"/>
        <sz val="10"/>
        <rFont val="Yu Gothic"/>
        <family val="0"/>
        <charset val="1"/>
      </rPr>
      <t xml:space="preserve">1</t>
    </r>
    <r>
      <rPr>
        <b val="true"/>
        <sz val="10"/>
        <rFont val="WenQuanYi Zen Hei"/>
        <family val="2"/>
      </rPr>
      <t xml:space="preserve">問</t>
    </r>
    <r>
      <rPr>
        <b val="true"/>
        <sz val="10"/>
        <rFont val="Yu Gothic"/>
        <family val="0"/>
        <charset val="1"/>
      </rPr>
      <t xml:space="preserve">1</t>
    </r>
    <r>
      <rPr>
        <b val="true"/>
        <sz val="10"/>
        <rFont val="WenQuanYi Zen Hei"/>
        <family val="2"/>
      </rPr>
      <t xml:space="preserve">分で通れば記述は標準配分のままでよく、</t>
    </r>
    <r>
      <rPr>
        <b val="true"/>
        <sz val="10"/>
        <rFont val="Yu Gothic"/>
        <family val="0"/>
        <charset val="1"/>
      </rPr>
      <t xml:space="preserve">35</t>
    </r>
    <r>
      <rPr>
        <b val="true"/>
        <sz val="10"/>
        <rFont val="WenQuanYi Zen Hei"/>
        <family val="2"/>
      </rPr>
      <t xml:space="preserve">分かかるなら記述から</t>
    </r>
    <r>
      <rPr>
        <b val="true"/>
        <sz val="10"/>
        <rFont val="Yu Gothic"/>
        <family val="0"/>
        <charset val="1"/>
      </rPr>
      <t xml:space="preserve">15</t>
    </r>
    <r>
      <rPr>
        <b val="true"/>
        <sz val="10"/>
        <rFont val="WenQuanYi Zen Hei"/>
        <family val="2"/>
      </rPr>
      <t xml:space="preserve">分が削られる。だから測るべきは記述</t>
    </r>
    <r>
      <rPr>
        <b val="true"/>
        <sz val="10"/>
        <rFont val="Yu Gothic"/>
        <family val="0"/>
        <charset val="1"/>
      </rPr>
      <t xml:space="preserve">4</t>
    </r>
    <r>
      <rPr>
        <b val="true"/>
        <sz val="10"/>
        <rFont val="WenQuanYi Zen Hei"/>
        <family val="2"/>
      </rPr>
      <t xml:space="preserve">工程＋『択一</t>
    </r>
    <r>
      <rPr>
        <b val="true"/>
        <sz val="10"/>
        <rFont val="Yu Gothic"/>
        <family val="0"/>
        <charset val="1"/>
      </rPr>
      <t xml:space="preserve">20</t>
    </r>
    <r>
      <rPr>
        <b val="true"/>
        <sz val="10"/>
        <rFont val="WenQuanYi Zen Hei"/>
        <family val="2"/>
      </rPr>
      <t xml:space="preserve">問に何分かかったか』。⑦に択一の分も記録する。</t>
    </r>
  </si>
  <si>
    <t xml:space="preserve">■ 通過時刻表（本番で暗算しないための表）</t>
  </si>
  <si>
    <r>
      <rPr>
        <sz val="10"/>
        <rFont val="WenQuanYi Zen Hei"/>
        <family val="2"/>
      </rPr>
      <t xml:space="preserve">開始時刻（本番</t>
    </r>
    <r>
      <rPr>
        <sz val="10"/>
        <rFont val="Yu Gothic"/>
        <family val="0"/>
        <charset val="1"/>
      </rPr>
      <t xml:space="preserve">=13:00</t>
    </r>
    <r>
      <rPr>
        <sz val="10"/>
        <rFont val="WenQuanYi Zen Hei"/>
        <family val="2"/>
      </rPr>
      <t xml:space="preserve">／演習は実際の開始時刻を入れる）</t>
    </r>
  </si>
  <si>
    <t xml:space="preserve">この時刻までに終える</t>
  </si>
  <si>
    <t xml:space="preserve">遅れていたら</t>
  </si>
  <si>
    <t xml:space="preserve">この時刻を過ぎたら残りの肢は勘でマークして即・建物へ。択一で粘るのが一番損</t>
  </si>
  <si>
    <t xml:space="preserve">作図が終わっていなくても土地へ移る。建物の作図は最後に戻って埋める</t>
  </si>
  <si>
    <t xml:space="preserve">作図より先に申請書・穴埋めを埋める。作図は配点が読めない</t>
  </si>
  <si>
    <r>
      <rPr>
        <sz val="9"/>
        <color rgb="FF595959"/>
        <rFont val="WenQuanYi Zen Hei"/>
        <family val="2"/>
      </rPr>
      <t xml:space="preserve">マークのずれだけは必ず確認する。ここは</t>
    </r>
    <r>
      <rPr>
        <sz val="9"/>
        <color rgb="FF595959"/>
        <rFont val="Yu Gothic"/>
        <family val="0"/>
        <charset val="1"/>
      </rPr>
      <t xml:space="preserve">0</t>
    </r>
    <r>
      <rPr>
        <sz val="9"/>
        <color rgb="FF595959"/>
        <rFont val="WenQuanYi Zen Hei"/>
        <family val="2"/>
      </rPr>
      <t xml:space="preserve">にしない</t>
    </r>
  </si>
  <si>
    <r>
      <rPr>
        <b val="true"/>
        <sz val="10"/>
        <rFont val="WenQuanYi Zen Hei"/>
        <family val="2"/>
      </rPr>
      <t xml:space="preserve">★この表を演習のたびに紙の端に書き写して解く。本番でやるのは『時計を見て、表の時刻と比べる』だけ——暗算をしない。時計はアナログ推奨（残り時間が角度で分かる）。※配分には流派が</t>
    </r>
    <r>
      <rPr>
        <b val="true"/>
        <sz val="10"/>
        <rFont val="Yu Gothic"/>
        <family val="0"/>
        <charset val="1"/>
      </rPr>
      <t xml:space="preserve">2</t>
    </r>
    <r>
      <rPr>
        <b val="true"/>
        <sz val="10"/>
        <rFont val="WenQuanYi Zen Hei"/>
        <family val="2"/>
      </rPr>
      <t xml:space="preserve">つある：</t>
    </r>
    <r>
      <rPr>
        <b val="true"/>
        <sz val="10"/>
        <rFont val="Yu Gothic"/>
        <family val="0"/>
        <charset val="1"/>
      </rPr>
      <t xml:space="preserve">A</t>
    </r>
    <r>
      <rPr>
        <b val="true"/>
        <sz val="10"/>
        <rFont val="WenQuanYi Zen Hei"/>
        <family val="2"/>
      </rPr>
      <t xml:space="preserve">案＝択一</t>
    </r>
    <r>
      <rPr>
        <b val="true"/>
        <sz val="10"/>
        <rFont val="Yu Gothic"/>
        <family val="0"/>
        <charset val="1"/>
      </rPr>
      <t xml:space="preserve">20/</t>
    </r>
    <r>
      <rPr>
        <b val="true"/>
        <sz val="10"/>
        <rFont val="WenQuanYi Zen Hei"/>
        <family val="2"/>
      </rPr>
      <t xml:space="preserve">建物</t>
    </r>
    <r>
      <rPr>
        <b val="true"/>
        <sz val="10"/>
        <rFont val="Yu Gothic"/>
        <family val="0"/>
        <charset val="1"/>
      </rPr>
      <t xml:space="preserve">50/</t>
    </r>
    <r>
      <rPr>
        <b val="true"/>
        <sz val="10"/>
        <rFont val="WenQuanYi Zen Hei"/>
        <family val="2"/>
      </rPr>
      <t xml:space="preserve">土地</t>
    </r>
    <r>
      <rPr>
        <b val="true"/>
        <sz val="10"/>
        <rFont val="Yu Gothic"/>
        <family val="0"/>
        <charset val="1"/>
      </rPr>
      <t xml:space="preserve">60/</t>
    </r>
    <r>
      <rPr>
        <b val="true"/>
        <sz val="10"/>
        <rFont val="WenQuanYi Zen Hei"/>
        <family val="2"/>
      </rPr>
      <t xml:space="preserve">見直し</t>
    </r>
    <r>
      <rPr>
        <b val="true"/>
        <sz val="10"/>
        <rFont val="Yu Gothic"/>
        <family val="0"/>
        <charset val="1"/>
      </rPr>
      <t xml:space="preserve">20</t>
    </r>
    <r>
      <rPr>
        <b val="true"/>
        <sz val="10"/>
        <rFont val="WenQuanYi Zen Hei"/>
        <family val="2"/>
      </rPr>
      <t xml:space="preserve">（アガルート）、</t>
    </r>
    <r>
      <rPr>
        <b val="true"/>
        <sz val="10"/>
        <rFont val="Yu Gothic"/>
        <family val="0"/>
        <charset val="1"/>
      </rPr>
      <t xml:space="preserve">B</t>
    </r>
    <r>
      <rPr>
        <b val="true"/>
        <sz val="10"/>
        <rFont val="WenQuanYi Zen Hei"/>
        <family val="2"/>
      </rPr>
      <t xml:space="preserve">案＝択一</t>
    </r>
    <r>
      <rPr>
        <b val="true"/>
        <sz val="10"/>
        <rFont val="Yu Gothic"/>
        <family val="0"/>
        <charset val="1"/>
      </rPr>
      <t xml:space="preserve">40/</t>
    </r>
    <r>
      <rPr>
        <b val="true"/>
        <sz val="10"/>
        <rFont val="WenQuanYi Zen Hei"/>
        <family val="2"/>
      </rPr>
      <t xml:space="preserve">建物</t>
    </r>
    <r>
      <rPr>
        <b val="true"/>
        <sz val="10"/>
        <rFont val="Yu Gothic"/>
        <family val="0"/>
        <charset val="1"/>
      </rPr>
      <t xml:space="preserve">50/</t>
    </r>
    <r>
      <rPr>
        <b val="true"/>
        <sz val="10"/>
        <rFont val="WenQuanYi Zen Hei"/>
        <family val="2"/>
      </rPr>
      <t xml:space="preserve">土地</t>
    </r>
    <r>
      <rPr>
        <b val="true"/>
        <sz val="10"/>
        <rFont val="Yu Gothic"/>
        <family val="0"/>
        <charset val="1"/>
      </rPr>
      <t xml:space="preserve">50/</t>
    </r>
    <r>
      <rPr>
        <b val="true"/>
        <sz val="10"/>
        <rFont val="WenQuanYi Zen Hei"/>
        <family val="2"/>
      </rPr>
      <t xml:space="preserve">見直し</t>
    </r>
    <r>
      <rPr>
        <b val="true"/>
        <sz val="10"/>
        <rFont val="Yu Gothic"/>
        <family val="0"/>
        <charset val="1"/>
      </rPr>
      <t xml:space="preserve">10</t>
    </r>
    <r>
      <rPr>
        <b val="true"/>
        <sz val="10"/>
        <rFont val="WenQuanYi Zen Hei"/>
        <family val="2"/>
      </rPr>
      <t xml:space="preserve">（別ソース）。どちらを採るかは『自分が択一</t>
    </r>
    <r>
      <rPr>
        <b val="true"/>
        <sz val="10"/>
        <rFont val="Yu Gothic"/>
        <family val="0"/>
        <charset val="1"/>
      </rPr>
      <t xml:space="preserve">20</t>
    </r>
    <r>
      <rPr>
        <b val="true"/>
        <sz val="10"/>
        <rFont val="WenQuanYi Zen Hei"/>
        <family val="2"/>
      </rPr>
      <t xml:space="preserve">問に何分かかるか』の実測で決まる。だから測る意味がある。</t>
    </r>
  </si>
  <si>
    <r>
      <rPr>
        <b val="true"/>
        <sz val="11"/>
        <color rgb="FFBF9000"/>
        <rFont val="WenQuanYi Zen Hei"/>
        <family val="2"/>
      </rPr>
      <t xml:space="preserve">■ 通し演習ログ（週</t>
    </r>
    <r>
      <rPr>
        <b val="true"/>
        <sz val="11"/>
        <color rgb="FFBF9000"/>
        <rFont val="Yu Gothic"/>
        <family val="0"/>
        <charset val="1"/>
      </rPr>
      <t xml:space="preserve">2</t>
    </r>
    <r>
      <rPr>
        <b val="true"/>
        <sz val="11"/>
        <color rgb="FFBF9000"/>
        <rFont val="WenQuanYi Zen Hei"/>
        <family val="2"/>
      </rPr>
      <t xml:space="preserve">・</t>
    </r>
    <r>
      <rPr>
        <b val="true"/>
        <sz val="11"/>
        <color rgb="FFBF9000"/>
        <rFont val="Yu Gothic"/>
        <family val="0"/>
        <charset val="1"/>
      </rPr>
      <t xml:space="preserve">150</t>
    </r>
    <r>
      <rPr>
        <b val="true"/>
        <sz val="11"/>
        <color rgb="FFBF9000"/>
        <rFont val="WenQuanYi Zen Hei"/>
        <family val="2"/>
      </rPr>
      <t xml:space="preserve">分の通し。青字セルだけ記入）</t>
    </r>
  </si>
  <si>
    <t xml:space="preserve">択一</t>
  </si>
  <si>
    <t xml:space="preserve">見直し</t>
  </si>
  <si>
    <r>
      <rPr>
        <b val="true"/>
        <sz val="10"/>
        <color rgb="FFFFFFFF"/>
        <rFont val="Yu Gothic"/>
        <family val="0"/>
        <charset val="1"/>
      </rPr>
      <t xml:space="preserve">150</t>
    </r>
    <r>
      <rPr>
        <b val="true"/>
        <sz val="10"/>
        <color rgb="FFFFFFFF"/>
        <rFont val="WenQuanYi Zen Hei"/>
        <family val="2"/>
      </rPr>
      <t xml:space="preserve">との差</t>
    </r>
  </si>
  <si>
    <r>
      <rPr>
        <b val="true"/>
        <sz val="10"/>
        <color rgb="FFFFFFFF"/>
        <rFont val="WenQuanYi Zen Hei"/>
        <family val="2"/>
      </rPr>
      <t xml:space="preserve">どのブロックで遅れたか（</t>
    </r>
    <r>
      <rPr>
        <b val="true"/>
        <sz val="10"/>
        <color rgb="FFFFFFFF"/>
        <rFont val="Yu Gothic"/>
        <family val="0"/>
        <charset val="1"/>
      </rPr>
      <t xml:space="preserve">1</t>
    </r>
    <r>
      <rPr>
        <b val="true"/>
        <sz val="10"/>
        <color rgb="FFFFFFFF"/>
        <rFont val="WenQuanYi Zen Hei"/>
        <family val="2"/>
      </rPr>
      <t xml:space="preserve">行）</t>
    </r>
  </si>
  <si>
    <r>
      <rPr>
        <sz val="10"/>
        <color rgb="FF0000FF"/>
        <rFont val="WenQuanYi Zen Hei"/>
        <family val="2"/>
      </rPr>
      <t xml:space="preserve">択一が</t>
    </r>
    <r>
      <rPr>
        <sz val="10"/>
        <color rgb="FF0000FF"/>
        <rFont val="Yu Gothic"/>
        <family val="0"/>
        <charset val="1"/>
      </rPr>
      <t xml:space="preserve">14</t>
    </r>
    <r>
      <rPr>
        <sz val="10"/>
        <color rgb="FF0000FF"/>
        <rFont val="WenQuanYi Zen Hei"/>
        <family val="2"/>
      </rPr>
      <t xml:space="preserve">分オーバー→そのぶん見直しが消えた。</t>
    </r>
    <r>
      <rPr>
        <sz val="10"/>
        <color rgb="FF0000FF"/>
        <rFont val="Yu Gothic"/>
        <family val="0"/>
        <charset val="1"/>
      </rPr>
      <t xml:space="preserve">A</t>
    </r>
    <r>
      <rPr>
        <sz val="10"/>
        <color rgb="FF0000FF"/>
        <rFont val="WenQuanYi Zen Hei"/>
        <family val="2"/>
      </rPr>
      <t xml:space="preserve">案でなく</t>
    </r>
    <r>
      <rPr>
        <sz val="10"/>
        <color rgb="FF0000FF"/>
        <rFont val="Yu Gothic"/>
        <family val="0"/>
        <charset val="1"/>
      </rPr>
      <t xml:space="preserve">B</t>
    </r>
    <r>
      <rPr>
        <sz val="10"/>
        <color rgb="FF0000FF"/>
        <rFont val="WenQuanYi Zen Hei"/>
        <family val="2"/>
      </rPr>
      <t xml:space="preserve">案</t>
    </r>
    <r>
      <rPr>
        <sz val="10"/>
        <color rgb="FF0000FF"/>
        <rFont val="Yu Gothic"/>
        <family val="0"/>
        <charset val="1"/>
      </rPr>
      <t xml:space="preserve">(</t>
    </r>
    <r>
      <rPr>
        <sz val="10"/>
        <color rgb="FF0000FF"/>
        <rFont val="WenQuanYi Zen Hei"/>
        <family val="2"/>
      </rPr>
      <t xml:space="preserve">択一</t>
    </r>
    <r>
      <rPr>
        <sz val="10"/>
        <color rgb="FF0000FF"/>
        <rFont val="Yu Gothic"/>
        <family val="0"/>
        <charset val="1"/>
      </rPr>
      <t xml:space="preserve">40)</t>
    </r>
    <r>
      <rPr>
        <sz val="10"/>
        <color rgb="FF0000FF"/>
        <rFont val="WenQuanYi Zen Hei"/>
        <family val="2"/>
      </rPr>
      <t xml:space="preserve">寄りかもしれない</t>
    </r>
  </si>
  <si>
    <t xml:space="preserve">通し本数</t>
  </si>
  <si>
    <r>
      <rPr>
        <sz val="9"/>
        <color rgb="FF808080"/>
        <rFont val="WenQuanYi Zen Hei"/>
        <family val="2"/>
      </rPr>
      <t xml:space="preserve">目標＝</t>
    </r>
    <r>
      <rPr>
        <sz val="9"/>
        <color rgb="FF808080"/>
        <rFont val="Yu Gothic"/>
        <family val="0"/>
        <charset val="1"/>
      </rPr>
      <t xml:space="preserve">10/17</t>
    </r>
    <r>
      <rPr>
        <sz val="9"/>
        <color rgb="FF808080"/>
        <rFont val="WenQuanYi Zen Hei"/>
        <family val="2"/>
      </rPr>
      <t xml:space="preserve">までに約</t>
    </r>
    <r>
      <rPr>
        <sz val="9"/>
        <color rgb="FF808080"/>
        <rFont val="Yu Gothic"/>
        <family val="0"/>
        <charset val="1"/>
      </rPr>
      <t xml:space="preserve">11</t>
    </r>
    <r>
      <rPr>
        <sz val="9"/>
        <color rgb="FF808080"/>
        <rFont val="WenQuanYi Zen Hei"/>
        <family val="2"/>
      </rPr>
      <t xml:space="preserve">本（週</t>
    </r>
    <r>
      <rPr>
        <sz val="9"/>
        <color rgb="FF808080"/>
        <rFont val="Yu Gothic"/>
        <family val="0"/>
        <charset val="1"/>
      </rPr>
      <t xml:space="preserve">2</t>
    </r>
    <r>
      <rPr>
        <sz val="9"/>
        <color rgb="FF808080"/>
        <rFont val="WenQuanYi Zen Hei"/>
        <family val="2"/>
      </rPr>
      <t xml:space="preserve">）</t>
    </r>
  </si>
  <si>
    <t xml:space="preserve">択一の平均</t>
  </si>
  <si>
    <r>
      <rPr>
        <sz val="9"/>
        <color rgb="FF808080"/>
        <rFont val="Yu Gothic"/>
        <family val="0"/>
        <charset val="1"/>
      </rPr>
      <t xml:space="preserve">★25</t>
    </r>
    <r>
      <rPr>
        <sz val="9"/>
        <color rgb="FF808080"/>
        <rFont val="WenQuanYi Zen Hei"/>
        <family val="2"/>
      </rPr>
      <t xml:space="preserve">分以下なら</t>
    </r>
    <r>
      <rPr>
        <sz val="9"/>
        <color rgb="FF808080"/>
        <rFont val="Yu Gothic"/>
        <family val="0"/>
        <charset val="1"/>
      </rPr>
      <t xml:space="preserve">A</t>
    </r>
    <r>
      <rPr>
        <sz val="9"/>
        <color rgb="FF808080"/>
        <rFont val="WenQuanYi Zen Hei"/>
        <family val="2"/>
      </rPr>
      <t xml:space="preserve">案</t>
    </r>
    <r>
      <rPr>
        <sz val="9"/>
        <color rgb="FF808080"/>
        <rFont val="Yu Gothic"/>
        <family val="0"/>
        <charset val="1"/>
      </rPr>
      <t xml:space="preserve">(</t>
    </r>
    <r>
      <rPr>
        <sz val="9"/>
        <color rgb="FF808080"/>
        <rFont val="WenQuanYi Zen Hei"/>
        <family val="2"/>
      </rPr>
      <t xml:space="preserve">択一</t>
    </r>
    <r>
      <rPr>
        <sz val="9"/>
        <color rgb="FF808080"/>
        <rFont val="Yu Gothic"/>
        <family val="0"/>
        <charset val="1"/>
      </rPr>
      <t xml:space="preserve">20)</t>
    </r>
    <r>
      <rPr>
        <sz val="9"/>
        <color rgb="FF808080"/>
        <rFont val="WenQuanYi Zen Hei"/>
        <family val="2"/>
      </rPr>
      <t xml:space="preserve">／</t>
    </r>
    <r>
      <rPr>
        <sz val="9"/>
        <color rgb="FF808080"/>
        <rFont val="Yu Gothic"/>
        <family val="0"/>
        <charset val="1"/>
      </rPr>
      <t xml:space="preserve">35</t>
    </r>
    <r>
      <rPr>
        <sz val="9"/>
        <color rgb="FF808080"/>
        <rFont val="WenQuanYi Zen Hei"/>
        <family val="2"/>
      </rPr>
      <t xml:space="preserve">分超なら</t>
    </r>
    <r>
      <rPr>
        <sz val="9"/>
        <color rgb="FF808080"/>
        <rFont val="Yu Gothic"/>
        <family val="0"/>
        <charset val="1"/>
      </rPr>
      <t xml:space="preserve">B</t>
    </r>
    <r>
      <rPr>
        <sz val="9"/>
        <color rgb="FF808080"/>
        <rFont val="WenQuanYi Zen Hei"/>
        <family val="2"/>
      </rPr>
      <t xml:space="preserve">案</t>
    </r>
    <r>
      <rPr>
        <sz val="9"/>
        <color rgb="FF808080"/>
        <rFont val="Yu Gothic"/>
        <family val="0"/>
        <charset val="1"/>
      </rPr>
      <t xml:space="preserve">(</t>
    </r>
    <r>
      <rPr>
        <sz val="9"/>
        <color rgb="FF808080"/>
        <rFont val="WenQuanYi Zen Hei"/>
        <family val="2"/>
      </rPr>
      <t xml:space="preserve">択一</t>
    </r>
    <r>
      <rPr>
        <sz val="9"/>
        <color rgb="FF808080"/>
        <rFont val="Yu Gothic"/>
        <family val="0"/>
        <charset val="1"/>
      </rPr>
      <t xml:space="preserve">40)</t>
    </r>
    <r>
      <rPr>
        <sz val="9"/>
        <color rgb="FF808080"/>
        <rFont val="WenQuanYi Zen Hei"/>
        <family val="2"/>
      </rPr>
      <t xml:space="preserve">で組み直す</t>
    </r>
  </si>
  <si>
    <r>
      <rPr>
        <b val="true"/>
        <sz val="11"/>
        <color rgb="FFBF9000"/>
        <rFont val="WenQuanYi Zen Hei"/>
        <family val="2"/>
      </rPr>
      <t xml:space="preserve">■ 「ダメなら講座」の判定基準（</t>
    </r>
    <r>
      <rPr>
        <b val="true"/>
        <sz val="11"/>
        <color rgb="FFBF9000"/>
        <rFont val="Yu Gothic"/>
        <family val="0"/>
        <charset val="1"/>
      </rPr>
      <t xml:space="preserve">9/24</t>
    </r>
    <r>
      <rPr>
        <b val="true"/>
        <sz val="11"/>
        <color rgb="FFBF9000"/>
        <rFont val="WenQuanYi Zen Hei"/>
        <family val="2"/>
      </rPr>
      <t xml:space="preserve">に判定・それ以降に買っても消化できない）</t>
    </r>
  </si>
  <si>
    <t xml:space="preserve">判定日</t>
  </si>
  <si>
    <t xml:space="preserve">条件</t>
  </si>
  <si>
    <t xml:space="preserve">結果</t>
  </si>
  <si>
    <t xml:space="preserve">打つ手</t>
  </si>
  <si>
    <t xml:space="preserve">9/24</t>
  </si>
  <si>
    <r>
      <rPr>
        <sz val="10"/>
        <rFont val="WenQuanYi Zen Hei"/>
        <family val="2"/>
      </rPr>
      <t xml:space="preserve">⑦＋⑧に</t>
    </r>
    <r>
      <rPr>
        <sz val="10"/>
        <rFont val="Yu Gothic"/>
        <family val="0"/>
        <charset val="1"/>
      </rPr>
      <t xml:space="preserve">6</t>
    </r>
    <r>
      <rPr>
        <sz val="10"/>
        <rFont val="WenQuanYi Zen Hei"/>
        <family val="2"/>
      </rPr>
      <t xml:space="preserve">本以上たまり、最大ボトルネック工程が特定できているか</t>
    </r>
  </si>
  <si>
    <t xml:space="preserve">特定できた</t>
  </si>
  <si>
    <r>
      <rPr>
        <sz val="10"/>
        <rFont val="WenQuanYi Zen Hei"/>
        <family val="2"/>
      </rPr>
      <t xml:space="preserve">その工程だけに対策を</t>
    </r>
    <r>
      <rPr>
        <sz val="10"/>
        <rFont val="Yu Gothic"/>
        <family val="0"/>
        <charset val="1"/>
      </rPr>
      <t xml:space="preserve">1</t>
    </r>
    <r>
      <rPr>
        <sz val="10"/>
        <rFont val="WenQuanYi Zen Hei"/>
        <family val="2"/>
      </rPr>
      <t xml:space="preserve">つ打つ（下記）。講座はまだ買わない</t>
    </r>
  </si>
  <si>
    <t xml:space="preserve">特定できた工程が【作図】だった</t>
  </si>
  <si>
    <t xml:space="preserve">→ 手順の問題</t>
  </si>
  <si>
    <t xml:space="preserve">無料の実演サンプルを見て手順の差分を取る→それでも縮まなければ、作図の実演講座をピンポイントで買う</t>
  </si>
  <si>
    <t xml:space="preserve">特定できた工程が【申請書】だった</t>
  </si>
  <si>
    <t xml:space="preserve">→ 知識の穴</t>
  </si>
  <si>
    <r>
      <rPr>
        <sz val="10"/>
        <rFont val="WenQuanYi Zen Hei"/>
        <family val="2"/>
      </rPr>
      <t xml:space="preserve">★講座を買っても直らない。添付情報の要否表・合体の対比表を</t>
    </r>
    <r>
      <rPr>
        <sz val="10"/>
        <rFont val="Yu Gothic"/>
        <family val="0"/>
        <charset val="1"/>
      </rPr>
      <t xml:space="preserve">A5</t>
    </r>
    <r>
      <rPr>
        <sz val="10"/>
        <rFont val="WenQuanYi Zen Hei"/>
        <family val="2"/>
      </rPr>
      <t xml:space="preserve">一枚（弱点</t>
    </r>
    <r>
      <rPr>
        <sz val="10"/>
        <rFont val="Yu Gothic"/>
        <family val="0"/>
        <charset val="1"/>
      </rPr>
      <t xml:space="preserve">2</t>
    </r>
    <r>
      <rPr>
        <sz val="10"/>
        <rFont val="WenQuanYi Zen Hei"/>
        <family val="2"/>
      </rPr>
      <t xml:space="preserve">位</t>
    </r>
    <r>
      <rPr>
        <sz val="10"/>
        <rFont val="Yu Gothic"/>
        <family val="0"/>
        <charset val="1"/>
      </rPr>
      <t xml:space="preserve">3</t>
    </r>
    <r>
      <rPr>
        <sz val="10"/>
        <rFont val="WenQuanYi Zen Hei"/>
        <family val="2"/>
      </rPr>
      <t xml:space="preserve">位＝</t>
    </r>
    <r>
      <rPr>
        <sz val="10"/>
        <rFont val="Yu Gothic"/>
        <family val="0"/>
        <charset val="1"/>
      </rPr>
      <t xml:space="preserve">35❌</t>
    </r>
    <r>
      <rPr>
        <sz val="10"/>
        <rFont val="WenQuanYi Zen Hei"/>
        <family val="2"/>
      </rPr>
      <t xml:space="preserve">）</t>
    </r>
  </si>
  <si>
    <t xml:space="preserve">特定できた工程が【読解】だった</t>
  </si>
  <si>
    <t xml:space="preserve">→ 順序の問題</t>
  </si>
  <si>
    <r>
      <rPr>
        <sz val="10"/>
        <rFont val="WenQuanYi Zen Hei"/>
        <family val="2"/>
      </rPr>
      <t xml:space="preserve">読む順序の固定＋</t>
    </r>
    <r>
      <rPr>
        <sz val="10"/>
        <rFont val="Yu Gothic"/>
        <family val="0"/>
        <charset val="1"/>
      </rPr>
      <t xml:space="preserve">1</t>
    </r>
    <r>
      <rPr>
        <sz val="10"/>
        <rFont val="WenQuanYi Zen Hei"/>
        <family val="2"/>
      </rPr>
      <t xml:space="preserve">色マーキング。講座は不要</t>
    </r>
  </si>
  <si>
    <t xml:space="preserve">特定できた工程が【計算】だった</t>
  </si>
  <si>
    <t xml:space="preserve">→ 道具の問題</t>
  </si>
  <si>
    <r>
      <rPr>
        <sz val="10"/>
        <rFont val="WenQuanYi Zen Hei"/>
        <family val="2"/>
      </rPr>
      <t xml:space="preserve">複素数モード。習得</t>
    </r>
    <r>
      <rPr>
        <sz val="10"/>
        <rFont val="Yu Gothic"/>
        <family val="0"/>
        <charset val="1"/>
      </rPr>
      <t xml:space="preserve">10</t>
    </r>
    <r>
      <rPr>
        <sz val="10"/>
        <rFont val="WenQuanYi Zen Hei"/>
        <family val="2"/>
      </rPr>
      <t xml:space="preserve">分と紹介されるほど安い</t>
    </r>
  </si>
  <si>
    <r>
      <rPr>
        <sz val="10"/>
        <rFont val="WenQuanYi Zen Hei"/>
        <family val="2"/>
      </rPr>
      <t xml:space="preserve">そもそも</t>
    </r>
    <r>
      <rPr>
        <sz val="10"/>
        <rFont val="Yu Gothic"/>
        <family val="0"/>
        <charset val="1"/>
      </rPr>
      <t xml:space="preserve">6</t>
    </r>
    <r>
      <rPr>
        <sz val="10"/>
        <rFont val="WenQuanYi Zen Hei"/>
        <family val="2"/>
      </rPr>
      <t xml:space="preserve">本たまっていない</t>
    </r>
  </si>
  <si>
    <t xml:space="preserve">→ 計測していない</t>
  </si>
  <si>
    <t xml:space="preserve">★この場合は講座を買っても同じことになる。買うのは答練・模試だけ</t>
  </si>
  <si>
    <r>
      <rPr>
        <b val="true"/>
        <sz val="10"/>
        <rFont val="WenQuanYi Zen Hei"/>
        <family val="2"/>
      </rPr>
      <t xml:space="preserve">★計測が教えてくれるのは『買うべきか』ではなく『何を買うべきか』。作図が原因なのに知識の講座を買う、知識が原因なのに作図の講座を買う——これが一番高くつく。</t>
    </r>
    <r>
      <rPr>
        <b val="true"/>
        <sz val="10"/>
        <rFont val="Yu Gothic"/>
        <family val="0"/>
        <charset val="1"/>
      </rPr>
      <t xml:space="preserve">6</t>
    </r>
    <r>
      <rPr>
        <b val="true"/>
        <sz val="10"/>
        <rFont val="WenQuanYi Zen Hei"/>
        <family val="2"/>
      </rPr>
      <t xml:space="preserve">本測れば的が決まる。</t>
    </r>
  </si>
  <si>
    <r>
      <rPr>
        <b val="true"/>
        <sz val="14"/>
        <color rgb="FF1F3864"/>
        <rFont val="WenQuanYi Zen Hei"/>
        <family val="2"/>
      </rPr>
      <t xml:space="preserve">マーキング構想（</t>
    </r>
    <r>
      <rPr>
        <b val="true"/>
        <sz val="14"/>
        <color rgb="FF1F3864"/>
        <rFont val="Yu Gothic"/>
        <family val="0"/>
        <charset val="1"/>
      </rPr>
      <t xml:space="preserve">9/10</t>
    </r>
    <r>
      <rPr>
        <b val="true"/>
        <sz val="14"/>
        <color rgb="FF1F3864"/>
        <rFont val="WenQuanYi Zen Hei"/>
        <family val="2"/>
      </rPr>
      <t xml:space="preserve">再分析：</t>
    </r>
    <r>
      <rPr>
        <b val="true"/>
        <sz val="14"/>
        <color rgb="FF1F3864"/>
        <rFont val="Yu Gothic"/>
        <family val="0"/>
        <charset val="1"/>
      </rPr>
      <t xml:space="preserve">1</t>
    </r>
    <r>
      <rPr>
        <b val="true"/>
        <sz val="14"/>
        <color rgb="FF1F3864"/>
        <rFont val="WenQuanYi Zen Hei"/>
        <family val="2"/>
      </rPr>
      <t xml:space="preserve">色・記述専用・ペンは</t>
    </r>
    <r>
      <rPr>
        <b val="true"/>
        <sz val="14"/>
        <color rgb="FF1F3864"/>
        <rFont val="Yu Gothic"/>
        <family val="0"/>
        <charset val="1"/>
      </rPr>
      <t xml:space="preserve">1</t>
    </r>
    <r>
      <rPr>
        <b val="true"/>
        <sz val="14"/>
        <color rgb="FF1F3864"/>
        <rFont val="WenQuanYi Zen Hei"/>
        <family val="2"/>
      </rPr>
      <t xml:space="preserve">本）</t>
    </r>
  </si>
  <si>
    <r>
      <rPr>
        <sz val="9"/>
        <color rgb="FF808080"/>
        <rFont val="WenQuanYi Zen Hei"/>
        <family val="2"/>
      </rPr>
      <t xml:space="preserve">規定：問題冊子へのマーカー・色鉛筆・シャープ使用可。独立記事（調査士どっとこむ）「近年問題文が長く探し直し用のマーキングは有効。ただし</t>
    </r>
    <r>
      <rPr>
        <sz val="9"/>
        <color rgb="FF808080"/>
        <rFont val="Yu Gothic"/>
        <family val="0"/>
        <charset val="1"/>
      </rPr>
      <t xml:space="preserve">1</t>
    </r>
    <r>
      <rPr>
        <sz val="9"/>
        <color rgb="FF808080"/>
        <rFont val="WenQuanYi Zen Hei"/>
        <family val="2"/>
      </rPr>
      <t xml:space="preserve">色で十分」</t>
    </r>
  </si>
  <si>
    <t xml:space="preserve">■ 筆記具ルール（用途別・要受験票で最終確認）</t>
  </si>
  <si>
    <t xml:space="preserve">用途</t>
  </si>
  <si>
    <t xml:space="preserve">使えるもの</t>
  </si>
  <si>
    <t xml:space="preserve">注意</t>
  </si>
  <si>
    <t xml:space="preserve">択一の答案用紙（マークシート）</t>
  </si>
  <si>
    <r>
      <rPr>
        <sz val="10"/>
        <rFont val="Yu Gothic"/>
        <family val="0"/>
        <charset val="1"/>
      </rPr>
      <t xml:space="preserve">B </t>
    </r>
    <r>
      <rPr>
        <sz val="10"/>
        <rFont val="WenQuanYi Zen Hei"/>
        <family val="2"/>
      </rPr>
      <t xml:space="preserve">または </t>
    </r>
    <r>
      <rPr>
        <sz val="10"/>
        <rFont val="Yu Gothic"/>
        <family val="0"/>
        <charset val="1"/>
      </rPr>
      <t xml:space="preserve">HB </t>
    </r>
    <r>
      <rPr>
        <sz val="10"/>
        <rFont val="WenQuanYi Zen Hei"/>
        <family val="2"/>
      </rPr>
      <t xml:space="preserve">の鉛筆のみ</t>
    </r>
  </si>
  <si>
    <t xml:space="preserve">シャーペン不可の前提で鉛筆を用意。削りすぎると折れる</t>
  </si>
  <si>
    <t xml:space="preserve">記述の答案用紙（文字）</t>
  </si>
  <si>
    <t xml:space="preserve">黒インクの万年筆またはボールペン</t>
  </si>
  <si>
    <t xml:space="preserve">消せない。書き出す前に構成を決める</t>
  </si>
  <si>
    <t xml:space="preserve">記述の答案用紙（図面）</t>
  </si>
  <si>
    <r>
      <rPr>
        <sz val="10"/>
        <rFont val="WenQuanYi Zen Hei"/>
        <family val="2"/>
      </rPr>
      <t xml:space="preserve">細字</t>
    </r>
    <r>
      <rPr>
        <sz val="10"/>
        <rFont val="Yu Gothic"/>
        <family val="0"/>
        <charset val="1"/>
      </rPr>
      <t xml:space="preserve">(F)</t>
    </r>
    <r>
      <rPr>
        <sz val="10"/>
        <rFont val="WenQuanYi Zen Hei"/>
        <family val="2"/>
      </rPr>
      <t xml:space="preserve">以下の万年筆／ボール径</t>
    </r>
    <r>
      <rPr>
        <sz val="10"/>
        <rFont val="Yu Gothic"/>
        <family val="0"/>
        <charset val="1"/>
      </rPr>
      <t xml:space="preserve">0.5mm</t>
    </r>
    <r>
      <rPr>
        <sz val="10"/>
        <rFont val="WenQuanYi Zen Hei"/>
        <family val="2"/>
      </rPr>
      <t xml:space="preserve">以下のボールペン</t>
    </r>
  </si>
  <si>
    <r>
      <rPr>
        <sz val="10"/>
        <rFont val="Yu Gothic"/>
        <family val="0"/>
        <charset val="1"/>
      </rPr>
      <t xml:space="preserve">★3</t>
    </r>
    <r>
      <rPr>
        <sz val="10"/>
        <rFont val="WenQuanYi Zen Hei"/>
        <family val="2"/>
      </rPr>
      <t xml:space="preserve">色ボールペンの黒は</t>
    </r>
    <r>
      <rPr>
        <sz val="10"/>
        <rFont val="Yu Gothic"/>
        <family val="0"/>
        <charset val="1"/>
      </rPr>
      <t xml:space="preserve">0.7mm</t>
    </r>
    <r>
      <rPr>
        <sz val="10"/>
        <rFont val="WenQuanYi Zen Hei"/>
        <family val="2"/>
      </rPr>
      <t xml:space="preserve">のことが多い＝答案には使えない可能性。答案用の黒</t>
    </r>
    <r>
      <rPr>
        <sz val="10"/>
        <rFont val="Yu Gothic"/>
        <family val="0"/>
        <charset val="1"/>
      </rPr>
      <t xml:space="preserve">0.5mm</t>
    </r>
    <r>
      <rPr>
        <sz val="10"/>
        <rFont val="WenQuanYi Zen Hei"/>
        <family val="2"/>
      </rPr>
      <t xml:space="preserve">以下は別に用意する</t>
    </r>
  </si>
  <si>
    <t xml:space="preserve">問題冊子（マーキング）</t>
  </si>
  <si>
    <t xml:space="preserve">マーカー・色鉛筆・シャープペンシル</t>
  </si>
  <si>
    <r>
      <rPr>
        <sz val="10"/>
        <rFont val="WenQuanYi Zen Hei"/>
        <family val="2"/>
      </rPr>
      <t xml:space="preserve">★ここが</t>
    </r>
    <r>
      <rPr>
        <sz val="10"/>
        <rFont val="Yu Gothic"/>
        <family val="0"/>
        <charset val="1"/>
      </rPr>
      <t xml:space="preserve">3</t>
    </r>
    <r>
      <rPr>
        <sz val="10"/>
        <rFont val="WenQuanYi Zen Hei"/>
        <family val="2"/>
      </rPr>
      <t xml:space="preserve">色構想の使い所。答案ではなく問題冊子で使う</t>
    </r>
  </si>
  <si>
    <t xml:space="preserve">机上</t>
  </si>
  <si>
    <t xml:space="preserve">ペンケースは机上に出せない</t>
  </si>
  <si>
    <t xml:space="preserve">置く本数を事前に決める。付箋・メモ用紙は試験中カバンの中</t>
  </si>
  <si>
    <r>
      <rPr>
        <b val="true"/>
        <sz val="11"/>
        <color rgb="FFBF9000"/>
        <rFont val="WenQuanYi Zen Hei"/>
        <family val="2"/>
      </rPr>
      <t xml:space="preserve">■ 色の割当（</t>
    </r>
    <r>
      <rPr>
        <b val="true"/>
        <sz val="11"/>
        <color rgb="FFBF9000"/>
        <rFont val="Yu Gothic"/>
        <family val="0"/>
        <charset val="1"/>
      </rPr>
      <t xml:space="preserve">1</t>
    </r>
    <r>
      <rPr>
        <b val="true"/>
        <sz val="11"/>
        <color rgb="FFBF9000"/>
        <rFont val="WenQuanYi Zen Hei"/>
        <family val="2"/>
      </rPr>
      <t xml:space="preserve">色から。記述専用・択一には使わない）</t>
    </r>
  </si>
  <si>
    <t xml:space="preserve">色</t>
  </si>
  <si>
    <t xml:space="preserve">拾うもの</t>
  </si>
  <si>
    <t xml:space="preserve">なぜこれだけか</t>
  </si>
  <si>
    <r>
      <rPr>
        <sz val="10"/>
        <rFont val="WenQuanYi Zen Hei"/>
        <family val="2"/>
      </rPr>
      <t xml:space="preserve">青（</t>
    </r>
    <r>
      <rPr>
        <sz val="10"/>
        <rFont val="Yu Gothic"/>
        <family val="0"/>
        <charset val="1"/>
      </rPr>
      <t xml:space="preserve">1</t>
    </r>
    <r>
      <rPr>
        <sz val="10"/>
        <rFont val="WenQuanYi Zen Hei"/>
        <family val="2"/>
      </rPr>
      <t xml:space="preserve">色）</t>
    </r>
  </si>
  <si>
    <t xml:space="preserve">与件の数値・座標・面積・日付（＝計算・申請書に転記するもの）</t>
  </si>
  <si>
    <r>
      <rPr>
        <sz val="10"/>
        <rFont val="WenQuanYi Zen Hei"/>
        <family val="2"/>
      </rPr>
      <t xml:space="preserve">転記する材料なので「探し直しゼロ」の機械的効果が最も確実。独立記事も「</t>
    </r>
    <r>
      <rPr>
        <sz val="10"/>
        <rFont val="Yu Gothic"/>
        <family val="0"/>
        <charset val="1"/>
      </rPr>
      <t xml:space="preserve">1</t>
    </r>
    <r>
      <rPr>
        <sz val="10"/>
        <rFont val="WenQuanYi Zen Hei"/>
        <family val="2"/>
      </rPr>
      <t xml:space="preserve">色で十分、線種で使い分け」。設問の要求は読む順序で最初に読むので色は不要。条件・例外は下線で足りる</t>
    </r>
  </si>
  <si>
    <t xml:space="preserve">（使わない）</t>
  </si>
  <si>
    <t xml:space="preserve">択一の肢</t>
  </si>
  <si>
    <r>
      <rPr>
        <sz val="10"/>
        <rFont val="WenQuanYi Zen Hei"/>
        <family val="2"/>
      </rPr>
      <t xml:space="preserve">肢は短く塗る時間の方が高い。かつ択一の❌は可否・要否の知識型（</t>
    </r>
    <r>
      <rPr>
        <sz val="10"/>
        <rFont val="Yu Gothic"/>
        <family val="0"/>
        <charset val="1"/>
      </rPr>
      <t xml:space="preserve">Anki262</t>
    </r>
    <r>
      <rPr>
        <sz val="10"/>
        <rFont val="WenQuanYi Zen Hei"/>
        <family val="2"/>
      </rPr>
      <t xml:space="preserve">枚がその形）＝塗っても直らない</t>
    </r>
  </si>
  <si>
    <t xml:space="preserve">道具</t>
  </si>
  <si>
    <r>
      <rPr>
        <sz val="10"/>
        <rFont val="WenQuanYi Zen Hei"/>
        <family val="2"/>
      </rPr>
      <t xml:space="preserve">ジェットストリーム </t>
    </r>
    <r>
      <rPr>
        <sz val="10"/>
        <rFont val="Yu Gothic"/>
        <family val="0"/>
        <charset val="1"/>
      </rPr>
      <t xml:space="preserve">4&amp;1 0.5mm 1</t>
    </r>
    <r>
      <rPr>
        <sz val="10"/>
        <rFont val="WenQuanYi Zen Hei"/>
        <family val="2"/>
      </rPr>
      <t xml:space="preserve">本</t>
    </r>
  </si>
  <si>
    <r>
      <rPr>
        <sz val="10"/>
        <rFont val="WenQuanYi Zen Hei"/>
        <family val="2"/>
      </rPr>
      <t xml:space="preserve">黒</t>
    </r>
    <r>
      <rPr>
        <sz val="10"/>
        <rFont val="Yu Gothic"/>
        <family val="0"/>
        <charset val="1"/>
      </rPr>
      <t xml:space="preserve">0.5</t>
    </r>
    <r>
      <rPr>
        <sz val="10"/>
        <rFont val="WenQuanYi Zen Hei"/>
        <family val="2"/>
      </rPr>
      <t xml:space="preserve">（答案・図面規定</t>
    </r>
    <r>
      <rPr>
        <sz val="10"/>
        <rFont val="Yu Gothic"/>
        <family val="0"/>
        <charset val="1"/>
      </rPr>
      <t xml:space="preserve">OK</t>
    </r>
    <r>
      <rPr>
        <sz val="10"/>
        <rFont val="WenQuanYi Zen Hei"/>
        <family val="2"/>
      </rPr>
      <t xml:space="preserve">）＋青（マーキング）＋シャープ</t>
    </r>
    <r>
      <rPr>
        <sz val="10"/>
        <rFont val="Yu Gothic"/>
        <family val="0"/>
        <charset val="1"/>
      </rPr>
      <t xml:space="preserve">0.5</t>
    </r>
    <r>
      <rPr>
        <sz val="10"/>
        <rFont val="WenQuanYi Zen Hei"/>
        <family val="2"/>
      </rPr>
      <t xml:space="preserve">（下書き）が</t>
    </r>
    <r>
      <rPr>
        <sz val="10"/>
        <rFont val="Yu Gothic"/>
        <family val="0"/>
        <charset val="1"/>
      </rPr>
      <t xml:space="preserve">1</t>
    </r>
    <r>
      <rPr>
        <sz val="10"/>
        <rFont val="WenQuanYi Zen Hei"/>
        <family val="2"/>
      </rPr>
      <t xml:space="preserve">本＝持ち歩き</t>
    </r>
    <r>
      <rPr>
        <sz val="10"/>
        <rFont val="Yu Gothic"/>
        <family val="0"/>
        <charset val="1"/>
      </rPr>
      <t xml:space="preserve">3</t>
    </r>
    <r>
      <rPr>
        <sz val="10"/>
        <rFont val="WenQuanYi Zen Hei"/>
        <family val="2"/>
      </rPr>
      <t xml:space="preserve">本→</t>
    </r>
    <r>
      <rPr>
        <sz val="10"/>
        <rFont val="Yu Gothic"/>
        <family val="0"/>
        <charset val="1"/>
      </rPr>
      <t xml:space="preserve">1</t>
    </r>
    <r>
      <rPr>
        <sz val="10"/>
        <rFont val="WenQuanYi Zen Hei"/>
        <family val="2"/>
      </rPr>
      <t xml:space="preserve">本。本番のみ単機能の黒</t>
    </r>
    <r>
      <rPr>
        <sz val="10"/>
        <rFont val="Yu Gothic"/>
        <family val="0"/>
        <charset val="1"/>
      </rPr>
      <t xml:space="preserve">0.5</t>
    </r>
    <r>
      <rPr>
        <sz val="10"/>
        <rFont val="WenQuanYi Zen Hei"/>
        <family val="2"/>
      </rPr>
      <t xml:space="preserve">を予備で</t>
    </r>
    <r>
      <rPr>
        <sz val="10"/>
        <rFont val="Yu Gothic"/>
        <family val="0"/>
        <charset val="1"/>
      </rPr>
      <t xml:space="preserve">1</t>
    </r>
    <r>
      <rPr>
        <sz val="10"/>
        <rFont val="WenQuanYi Zen Hei"/>
        <family val="2"/>
      </rPr>
      <t xml:space="preserve">本</t>
    </r>
  </si>
  <si>
    <r>
      <rPr>
        <b val="true"/>
        <sz val="10"/>
        <rFont val="Yu Gothic"/>
        <family val="0"/>
        <charset val="1"/>
      </rPr>
      <t xml:space="preserve">⚠ 9/10</t>
    </r>
    <r>
      <rPr>
        <b val="true"/>
        <sz val="10"/>
        <rFont val="WenQuanYi Zen Hei"/>
        <family val="2"/>
      </rPr>
      <t xml:space="preserve">訂正：前版の「赤・青・緑の</t>
    </r>
    <r>
      <rPr>
        <b val="true"/>
        <sz val="10"/>
        <rFont val="Yu Gothic"/>
        <family val="0"/>
        <charset val="1"/>
      </rPr>
      <t xml:space="preserve">3</t>
    </r>
    <r>
      <rPr>
        <b val="true"/>
        <sz val="10"/>
        <rFont val="WenQuanYi Zen Hei"/>
        <family val="2"/>
      </rPr>
      <t xml:space="preserve">色」は出典のない設計だったので撤回。読む順序の固定→</t>
    </r>
    <r>
      <rPr>
        <b val="true"/>
        <sz val="10"/>
        <rFont val="Yu Gothic"/>
        <family val="0"/>
        <charset val="1"/>
      </rPr>
      <t xml:space="preserve">1</t>
    </r>
    <r>
      <rPr>
        <b val="true"/>
        <sz val="10"/>
        <rFont val="WenQuanYi Zen Hei"/>
        <family val="2"/>
      </rPr>
      <t xml:space="preserve">色の順に</t>
    </r>
    <r>
      <rPr>
        <b val="true"/>
        <sz val="10"/>
        <rFont val="Yu Gothic"/>
        <family val="0"/>
        <charset val="1"/>
      </rPr>
      <t xml:space="preserve">1</t>
    </r>
    <r>
      <rPr>
        <b val="true"/>
        <sz val="10"/>
        <rFont val="WenQuanYi Zen Hei"/>
        <family val="2"/>
      </rPr>
      <t xml:space="preserve">変数ずつ。効果判定＝⑦の読解分＋気づき欄の「数値を探し直した回数」。縮まなければ潔く捨てる。出典</t>
    </r>
    <r>
      <rPr>
        <b val="true"/>
        <sz val="10"/>
        <rFont val="Yu Gothic"/>
        <family val="0"/>
        <charset val="1"/>
      </rPr>
      <t xml:space="preserve">: https://chosa4.com/marking/</t>
    </r>
  </si>
  <si>
    <t xml:space="preserve">区分・合体・民法 — 予想論点のセルフチェック（自分で答える）</t>
  </si>
  <si>
    <t xml:space="preserve">★意図的に答えを載せていません。答えを読むと「分かった気」になり、本番で出てこないため。自答→確認先で照合→判定を記入</t>
  </si>
  <si>
    <r>
      <rPr>
        <sz val="9"/>
        <color rgb="FF0000FF"/>
        <rFont val="WenQuanYi Zen Hei"/>
        <family val="2"/>
      </rPr>
      <t xml:space="preserve">【使い方】①自答欄に何も見ずに書く ②確認先で照合 ③判定に ○</t>
    </r>
    <r>
      <rPr>
        <sz val="9"/>
        <color rgb="FF0000FF"/>
        <rFont val="Yu Gothic"/>
        <family val="0"/>
        <charset val="1"/>
      </rPr>
      <t xml:space="preserve">(</t>
    </r>
    <r>
      <rPr>
        <sz val="9"/>
        <color rgb="FF0000FF"/>
        <rFont val="WenQuanYi Zen Hei"/>
        <family val="2"/>
      </rPr>
      <t xml:space="preserve">即答できた</t>
    </r>
    <r>
      <rPr>
        <sz val="9"/>
        <color rgb="FF0000FF"/>
        <rFont val="Yu Gothic"/>
        <family val="0"/>
        <charset val="1"/>
      </rPr>
      <t xml:space="preserve">)</t>
    </r>
    <r>
      <rPr>
        <sz val="9"/>
        <color rgb="FF0000FF"/>
        <rFont val="WenQuanYi Zen Hei"/>
        <family val="2"/>
      </rPr>
      <t xml:space="preserve">／△</t>
    </r>
    <r>
      <rPr>
        <sz val="9"/>
        <color rgb="FF0000FF"/>
        <rFont val="Yu Gothic"/>
        <family val="0"/>
        <charset val="1"/>
      </rPr>
      <t xml:space="preserve">(</t>
    </r>
    <r>
      <rPr>
        <sz val="9"/>
        <color rgb="FF0000FF"/>
        <rFont val="WenQuanYi Zen Hei"/>
        <family val="2"/>
      </rPr>
      <t xml:space="preserve">確認して分かった</t>
    </r>
    <r>
      <rPr>
        <sz val="9"/>
        <color rgb="FF0000FF"/>
        <rFont val="Yu Gothic"/>
        <family val="0"/>
        <charset val="1"/>
      </rPr>
      <t xml:space="preserve">)</t>
    </r>
    <r>
      <rPr>
        <sz val="9"/>
        <color rgb="FF0000FF"/>
        <rFont val="WenQuanYi Zen Hei"/>
        <family val="2"/>
      </rPr>
      <t xml:space="preserve">／</t>
    </r>
    <r>
      <rPr>
        <sz val="9"/>
        <color rgb="FF0000FF"/>
        <rFont val="Yu Gothic"/>
        <family val="0"/>
        <charset val="1"/>
      </rPr>
      <t xml:space="preserve">×(</t>
    </r>
    <r>
      <rPr>
        <sz val="9"/>
        <color rgb="FF0000FF"/>
        <rFont val="WenQuanYi Zen Hei"/>
        <family val="2"/>
      </rPr>
      <t xml:space="preserve">分からなかった</t>
    </r>
    <r>
      <rPr>
        <sz val="9"/>
        <color rgb="FF0000FF"/>
        <rFont val="Yu Gothic"/>
        <family val="0"/>
        <charset val="1"/>
      </rPr>
      <t xml:space="preserve">) </t>
    </r>
    <r>
      <rPr>
        <sz val="9"/>
        <color rgb="FF0000FF"/>
        <rFont val="WenQuanYi Zen Hei"/>
        <family val="2"/>
      </rPr>
      <t xml:space="preserve">を記入。</t>
    </r>
    <r>
      <rPr>
        <sz val="9"/>
        <color rgb="FF0000FF"/>
        <rFont val="Yu Gothic"/>
        <family val="0"/>
        <charset val="1"/>
      </rPr>
      <t xml:space="preserve">×</t>
    </r>
    <r>
      <rPr>
        <sz val="9"/>
        <color rgb="FF0000FF"/>
        <rFont val="WenQuanYi Zen Hei"/>
        <family val="2"/>
      </rPr>
      <t xml:space="preserve">と△だけを翌週の机の主役にする。</t>
    </r>
  </si>
  <si>
    <t xml:space="preserve">分野</t>
  </si>
  <si>
    <t xml:space="preserve">問い（本人のブレストより）</t>
  </si>
  <si>
    <t xml:space="preserve">確認先</t>
  </si>
  <si>
    <t xml:space="preserve">自答（何も見ずに書く）</t>
  </si>
  <si>
    <t xml:space="preserve">判定</t>
  </si>
  <si>
    <t xml:space="preserve">区分</t>
  </si>
  <si>
    <t xml:space="preserve">区分建物の床面積は何を基準に測るか。一棟の建物の床面積の測り方と何が違うか</t>
  </si>
  <si>
    <r>
      <rPr>
        <sz val="10"/>
        <rFont val="WenQuanYi Zen Hei"/>
        <family val="2"/>
      </rPr>
      <t xml:space="preserve">不登規則</t>
    </r>
    <r>
      <rPr>
        <sz val="10"/>
        <rFont val="Yu Gothic"/>
        <family val="0"/>
        <charset val="1"/>
      </rPr>
      <t xml:space="preserve">115</t>
    </r>
    <r>
      <rPr>
        <sz val="10"/>
        <rFont val="WenQuanYi Zen Hei"/>
        <family val="2"/>
      </rPr>
      <t xml:space="preserve">条</t>
    </r>
  </si>
  <si>
    <t xml:space="preserve">「外壁を内側に直す」処理は過去に出題があるか。出たとしたらどう処理するか</t>
  </si>
  <si>
    <r>
      <rPr>
        <sz val="10"/>
        <rFont val="WenQuanYi Zen Hei"/>
        <family val="2"/>
      </rPr>
      <t xml:space="preserve">過去問全年度＋規則</t>
    </r>
    <r>
      <rPr>
        <sz val="10"/>
        <rFont val="Yu Gothic"/>
        <family val="0"/>
        <charset val="1"/>
      </rPr>
      <t xml:space="preserve">115</t>
    </r>
    <r>
      <rPr>
        <sz val="10"/>
        <rFont val="WenQuanYi Zen Hei"/>
        <family val="2"/>
      </rPr>
      <t xml:space="preserve">条</t>
    </r>
  </si>
  <si>
    <t xml:space="preserve">敷地権の割合を床面積割合で計算してよいか。規約で別段の定めがある場合はどうなるか</t>
  </si>
  <si>
    <r>
      <rPr>
        <sz val="10"/>
        <rFont val="WenQuanYi Zen Hei"/>
        <family val="2"/>
      </rPr>
      <t xml:space="preserve">区分所有法</t>
    </r>
    <r>
      <rPr>
        <sz val="10"/>
        <rFont val="Yu Gothic"/>
        <family val="0"/>
        <charset val="1"/>
      </rPr>
      <t xml:space="preserve">14</t>
    </r>
    <r>
      <rPr>
        <sz val="10"/>
        <rFont val="WenQuanYi Zen Hei"/>
        <family val="2"/>
      </rPr>
      <t xml:space="preserve">条・</t>
    </r>
    <r>
      <rPr>
        <sz val="10"/>
        <rFont val="Yu Gothic"/>
        <family val="0"/>
        <charset val="1"/>
      </rPr>
      <t xml:space="preserve">22</t>
    </r>
    <r>
      <rPr>
        <sz val="10"/>
        <rFont val="WenQuanYi Zen Hei"/>
        <family val="2"/>
      </rPr>
      <t xml:space="preserve">条</t>
    </r>
  </si>
  <si>
    <r>
      <rPr>
        <sz val="10"/>
        <rFont val="Yu Gothic"/>
        <family val="0"/>
        <charset val="1"/>
      </rPr>
      <t xml:space="preserve">PS</t>
    </r>
    <r>
      <rPr>
        <sz val="10"/>
        <rFont val="WenQuanYi Zen Hei"/>
        <family val="2"/>
      </rPr>
      <t xml:space="preserve">（パイプスペース）は床面積に算入するか／抜くか。その根拠は</t>
    </r>
  </si>
  <si>
    <t xml:space="preserve">不登準則・先例</t>
  </si>
  <si>
    <t xml:space="preserve">外気分断性はどう判断するか。吹きさらしの廊下・バルコニーは算入するか</t>
  </si>
  <si>
    <r>
      <rPr>
        <sz val="10"/>
        <rFont val="WenQuanYi Zen Hei"/>
        <family val="2"/>
      </rPr>
      <t xml:space="preserve">不登準則</t>
    </r>
    <r>
      <rPr>
        <sz val="10"/>
        <rFont val="Yu Gothic"/>
        <family val="0"/>
        <charset val="1"/>
      </rPr>
      <t xml:space="preserve">77</t>
    </r>
    <r>
      <rPr>
        <sz val="10"/>
        <rFont val="WenQuanYi Zen Hei"/>
        <family val="2"/>
      </rPr>
      <t xml:space="preserve">条ほか</t>
    </r>
  </si>
  <si>
    <t xml:space="preserve">去年出た格子手すりは、外気分断性の判断としてどう処理するのが正解だったか</t>
  </si>
  <si>
    <r>
      <rPr>
        <sz val="10"/>
        <rFont val="Yu Gothic"/>
        <family val="0"/>
        <charset val="1"/>
      </rPr>
      <t xml:space="preserve">R7</t>
    </r>
    <r>
      <rPr>
        <sz val="10"/>
        <rFont val="WenQuanYi Zen Hei"/>
        <family val="2"/>
      </rPr>
      <t xml:space="preserve">本試験＋解説</t>
    </r>
  </si>
  <si>
    <r>
      <rPr>
        <sz val="10"/>
        <rFont val="WenQuanYi Zen Hei"/>
        <family val="2"/>
      </rPr>
      <t xml:space="preserve">メゾネット（専有部分が</t>
    </r>
    <r>
      <rPr>
        <sz val="10"/>
        <rFont val="Yu Gothic"/>
        <family val="0"/>
        <charset val="1"/>
      </rPr>
      <t xml:space="preserve">2</t>
    </r>
    <r>
      <rPr>
        <sz val="10"/>
        <rFont val="WenQuanYi Zen Hei"/>
        <family val="2"/>
      </rPr>
      <t xml:space="preserve">層）の内部階段部分の床面積はどう扱うか</t>
    </r>
  </si>
  <si>
    <t xml:space="preserve">先例・過去問</t>
  </si>
  <si>
    <t xml:space="preserve">合体</t>
  </si>
  <si>
    <t xml:space="preserve">合体後の登記の申請人は誰か。単独申請か共同申請か</t>
  </si>
  <si>
    <r>
      <rPr>
        <sz val="10"/>
        <rFont val="WenQuanYi Zen Hei"/>
        <family val="2"/>
      </rPr>
      <t xml:space="preserve">不登法</t>
    </r>
    <r>
      <rPr>
        <sz val="10"/>
        <rFont val="Yu Gothic"/>
        <family val="0"/>
        <charset val="1"/>
      </rPr>
      <t xml:space="preserve">49</t>
    </r>
    <r>
      <rPr>
        <sz val="10"/>
        <rFont val="WenQuanYi Zen Hei"/>
        <family val="2"/>
      </rPr>
      <t xml:space="preserve">条</t>
    </r>
  </si>
  <si>
    <r>
      <rPr>
        <sz val="10"/>
        <rFont val="WenQuanYi Zen Hei"/>
        <family val="2"/>
      </rPr>
      <t xml:space="preserve">合体・合併・合筆の</t>
    </r>
    <r>
      <rPr>
        <sz val="10"/>
        <rFont val="Yu Gothic"/>
        <family val="0"/>
        <charset val="1"/>
      </rPr>
      <t xml:space="preserve">3</t>
    </r>
    <r>
      <rPr>
        <sz val="10"/>
        <rFont val="WenQuanYi Zen Hei"/>
        <family val="2"/>
      </rPr>
      <t xml:space="preserve">つを、要件と登記の目的で言い分けられるか</t>
    </r>
  </si>
  <si>
    <t xml:space="preserve">不登法・規則（自認の苦手分野）</t>
  </si>
  <si>
    <t xml:space="preserve">合体の添付情報は何が要るか。所有権証明情報の要否は</t>
  </si>
  <si>
    <t xml:space="preserve">不登令別表</t>
  </si>
  <si>
    <t xml:space="preserve">民法</t>
  </si>
  <si>
    <r>
      <rPr>
        <sz val="10"/>
        <rFont val="WenQuanYi Zen Hei"/>
        <family val="2"/>
      </rPr>
      <t xml:space="preserve">無効と取消しの違いを、主張権者・期間・追認の</t>
    </r>
    <r>
      <rPr>
        <sz val="10"/>
        <rFont val="Yu Gothic"/>
        <family val="0"/>
        <charset val="1"/>
      </rPr>
      <t xml:space="preserve">3</t>
    </r>
    <r>
      <rPr>
        <sz val="10"/>
        <rFont val="WenQuanYi Zen Hei"/>
        <family val="2"/>
      </rPr>
      <t xml:space="preserve">点で言えるか</t>
    </r>
  </si>
  <si>
    <r>
      <rPr>
        <sz val="10"/>
        <rFont val="WenQuanYi Zen Hei"/>
        <family val="2"/>
      </rPr>
      <t xml:space="preserve">民法総則（弱点</t>
    </r>
    <r>
      <rPr>
        <sz val="10"/>
        <rFont val="Yu Gothic"/>
        <family val="0"/>
        <charset val="1"/>
      </rPr>
      <t xml:space="preserve">1</t>
    </r>
    <r>
      <rPr>
        <sz val="10"/>
        <rFont val="WenQuanYi Zen Hei"/>
        <family val="2"/>
      </rPr>
      <t xml:space="preserve">位）</t>
    </r>
  </si>
  <si>
    <t xml:space="preserve">時効の完成猶予と更新を、事由ごとに言い分けられるか</t>
  </si>
  <si>
    <r>
      <rPr>
        <sz val="10"/>
        <rFont val="WenQuanYi Zen Hei"/>
        <family val="2"/>
      </rPr>
      <t xml:space="preserve">民法</t>
    </r>
    <r>
      <rPr>
        <sz val="10"/>
        <rFont val="Yu Gothic"/>
        <family val="0"/>
        <charset val="1"/>
      </rPr>
      <t xml:space="preserve">166</t>
    </r>
    <r>
      <rPr>
        <sz val="10"/>
        <rFont val="WenQuanYi Zen Hei"/>
        <family val="2"/>
      </rPr>
      <t xml:space="preserve">条以下</t>
    </r>
  </si>
  <si>
    <t xml:space="preserve">遺産分割前の共有と、通常の共有の違いは何か</t>
  </si>
  <si>
    <r>
      <rPr>
        <sz val="10"/>
        <rFont val="WenQuanYi Zen Hei"/>
        <family val="2"/>
      </rPr>
      <t xml:space="preserve">民法</t>
    </r>
    <r>
      <rPr>
        <sz val="10"/>
        <rFont val="Yu Gothic"/>
        <family val="0"/>
        <charset val="1"/>
      </rPr>
      <t xml:space="preserve">898</t>
    </r>
    <r>
      <rPr>
        <sz val="10"/>
        <rFont val="WenQuanYi Zen Hei"/>
        <family val="2"/>
      </rPr>
      <t xml:space="preserve">条以下</t>
    </r>
  </si>
  <si>
    <r>
      <rPr>
        <b val="true"/>
        <sz val="10"/>
        <rFont val="WenQuanYi Zen Hei"/>
        <family val="2"/>
      </rPr>
      <t xml:space="preserve">★「公式ブック（㊙必勝法）を</t>
    </r>
    <r>
      <rPr>
        <b val="true"/>
        <sz val="10"/>
        <rFont val="Yu Gothic"/>
        <family val="0"/>
        <charset val="1"/>
      </rPr>
      <t xml:space="preserve">3</t>
    </r>
    <r>
      <rPr>
        <b val="true"/>
        <sz val="10"/>
        <rFont val="WenQuanYi Zen Hei"/>
        <family val="2"/>
      </rPr>
      <t xml:space="preserve">冊作る」は、この表で</t>
    </r>
    <r>
      <rPr>
        <b val="true"/>
        <sz val="10"/>
        <rFont val="Yu Gothic"/>
        <family val="0"/>
        <charset val="1"/>
      </rPr>
      <t xml:space="preserve">×</t>
    </r>
    <r>
      <rPr>
        <b val="true"/>
        <sz val="10"/>
        <rFont val="WenQuanYi Zen Hei"/>
        <family val="2"/>
      </rPr>
      <t xml:space="preserve">が付いた論点だけを</t>
    </r>
    <r>
      <rPr>
        <b val="true"/>
        <sz val="10"/>
        <rFont val="Yu Gothic"/>
        <family val="0"/>
        <charset val="1"/>
      </rPr>
      <t xml:space="preserve">A5</t>
    </r>
    <r>
      <rPr>
        <b val="true"/>
        <sz val="10"/>
        <rFont val="WenQuanYi Zen Hei"/>
        <family val="2"/>
      </rPr>
      <t xml:space="preserve">一枚に集約する形にする。ゼロから網羅的に作るのは「増やす作業」＝</t>
    </r>
    <r>
      <rPr>
        <b val="true"/>
        <sz val="10"/>
        <rFont val="Yu Gothic"/>
        <family val="0"/>
        <charset val="1"/>
      </rPr>
      <t xml:space="preserve">40</t>
    </r>
    <r>
      <rPr>
        <b val="true"/>
        <sz val="10"/>
        <rFont val="WenQuanYi Zen Hei"/>
        <family val="2"/>
      </rPr>
      <t xml:space="preserve">日で最もやってはいけないこと。減らす作業（</t>
    </r>
    <r>
      <rPr>
        <b val="true"/>
        <sz val="10"/>
        <rFont val="Yu Gothic"/>
        <family val="0"/>
        <charset val="1"/>
      </rPr>
      <t xml:space="preserve">×</t>
    </r>
    <r>
      <rPr>
        <b val="true"/>
        <sz val="10"/>
        <rFont val="WenQuanYi Zen Hei"/>
        <family val="2"/>
      </rPr>
      <t xml:space="preserve">だけ集約）は</t>
    </r>
    <r>
      <rPr>
        <b val="true"/>
        <sz val="10"/>
        <rFont val="Yu Gothic"/>
        <family val="0"/>
        <charset val="1"/>
      </rPr>
      <t xml:space="preserve">OK</t>
    </r>
    <r>
      <rPr>
        <b val="true"/>
        <sz val="10"/>
        <rFont val="WenQuanYi Zen Hei"/>
        <family val="2"/>
      </rPr>
      <t xml:space="preserve">、増やす作業（新規に本を作る）は</t>
    </r>
    <r>
      <rPr>
        <b val="true"/>
        <sz val="10"/>
        <rFont val="Yu Gothic"/>
        <family val="0"/>
        <charset val="1"/>
      </rPr>
      <t xml:space="preserve">NG</t>
    </r>
    <r>
      <rPr>
        <b val="true"/>
        <sz val="10"/>
        <rFont val="WenQuanYi Zen Hei"/>
        <family val="2"/>
      </rPr>
      <t xml:space="preserve">。</t>
    </r>
  </si>
  <si>
    <r>
      <rPr>
        <b val="true"/>
        <sz val="14"/>
        <color rgb="FF1F3864"/>
        <rFont val="WenQuanYi Zen Hei"/>
        <family val="2"/>
      </rPr>
      <t xml:space="preserve">直前ロードマップ（</t>
    </r>
    <r>
      <rPr>
        <b val="true"/>
        <sz val="14"/>
        <color rgb="FF1F3864"/>
        <rFont val="Yu Gothic"/>
        <family val="0"/>
        <charset val="1"/>
      </rPr>
      <t xml:space="preserve">9/18 → 10/18</t>
    </r>
    <r>
      <rPr>
        <b val="true"/>
        <sz val="14"/>
        <color rgb="FF1F3864"/>
        <rFont val="WenQuanYi Zen Hei"/>
        <family val="2"/>
      </rPr>
      <t xml:space="preserve">）と当日の持ち物</t>
    </r>
  </si>
  <si>
    <r>
      <rPr>
        <sz val="9"/>
        <color rgb="FF808080"/>
        <rFont val="WenQuanYi Zen Hei"/>
        <family val="2"/>
      </rPr>
      <t xml:space="preserve">節目は</t>
    </r>
    <r>
      <rPr>
        <sz val="9"/>
        <color rgb="FF808080"/>
        <rFont val="Yu Gothic"/>
        <family val="0"/>
        <charset val="1"/>
      </rPr>
      <t xml:space="preserve">4</t>
    </r>
    <r>
      <rPr>
        <sz val="9"/>
        <color rgb="FF808080"/>
        <rFont val="WenQuanYi Zen Hei"/>
        <family val="2"/>
      </rPr>
      <t xml:space="preserve">つだけ。持ち物は前日までに全部バッグに入れ、当日は「持つだけ」にする</t>
    </r>
  </si>
  <si>
    <t xml:space="preserve">節目</t>
  </si>
  <si>
    <t xml:space="preserve">日付</t>
  </si>
  <si>
    <t xml:space="preserve">やること</t>
  </si>
  <si>
    <t xml:space="preserve">この日までに終わっていること</t>
  </si>
  <si>
    <r>
      <rPr>
        <sz val="10"/>
        <rFont val="Yu Gothic"/>
        <family val="0"/>
        <charset val="1"/>
      </rPr>
      <t xml:space="preserve">1</t>
    </r>
    <r>
      <rPr>
        <sz val="10"/>
        <rFont val="WenQuanYi Zen Hei"/>
        <family val="2"/>
      </rPr>
      <t xml:space="preserve">ヶ月前</t>
    </r>
  </si>
  <si>
    <r>
      <rPr>
        <sz val="10"/>
        <rFont val="Yu Gothic"/>
        <family val="0"/>
        <charset val="1"/>
      </rPr>
      <t xml:space="preserve">9/18</t>
    </r>
    <r>
      <rPr>
        <sz val="10"/>
        <rFont val="WenQuanYi Zen Hei"/>
        <family val="2"/>
      </rPr>
      <t xml:space="preserve">（金）</t>
    </r>
  </si>
  <si>
    <r>
      <rPr>
        <sz val="10"/>
        <rFont val="WenQuanYi Zen Hei"/>
        <family val="2"/>
      </rPr>
      <t xml:space="preserve">答練・模試の受験が始まっている状態にする。⑦に</t>
    </r>
    <r>
      <rPr>
        <sz val="10"/>
        <rFont val="Yu Gothic"/>
        <family val="0"/>
        <charset val="1"/>
      </rPr>
      <t xml:space="preserve">3</t>
    </r>
    <r>
      <rPr>
        <sz val="10"/>
        <rFont val="WenQuanYi Zen Hei"/>
        <family val="2"/>
      </rPr>
      <t xml:space="preserve">本以上たまり、最大ボトルネック工程が特定できている</t>
    </r>
  </si>
  <si>
    <r>
      <rPr>
        <sz val="10"/>
        <rFont val="Yu Gothic"/>
        <family val="0"/>
        <charset val="1"/>
      </rPr>
      <t xml:space="preserve">3</t>
    </r>
    <r>
      <rPr>
        <sz val="10"/>
        <rFont val="WenQuanYi Zen Hei"/>
        <family val="2"/>
      </rPr>
      <t xml:space="preserve">色マーキングの効果判定（</t>
    </r>
    <r>
      <rPr>
        <sz val="10"/>
        <rFont val="Yu Gothic"/>
        <family val="0"/>
        <charset val="1"/>
      </rPr>
      <t xml:space="preserve">1</t>
    </r>
    <r>
      <rPr>
        <sz val="10"/>
        <rFont val="WenQuanYi Zen Hei"/>
        <family val="2"/>
      </rPr>
      <t xml:space="preserve">週間試した結果）／複素数モードの習得</t>
    </r>
  </si>
  <si>
    <r>
      <rPr>
        <sz val="10"/>
        <rFont val="Yu Gothic"/>
        <family val="0"/>
        <charset val="1"/>
      </rPr>
      <t xml:space="preserve">2</t>
    </r>
    <r>
      <rPr>
        <sz val="10"/>
        <rFont val="WenQuanYi Zen Hei"/>
        <family val="2"/>
      </rPr>
      <t xml:space="preserve">週間前</t>
    </r>
  </si>
  <si>
    <r>
      <rPr>
        <sz val="10"/>
        <rFont val="Yu Gothic"/>
        <family val="0"/>
        <charset val="1"/>
      </rPr>
      <t xml:space="preserve">10/4</t>
    </r>
    <r>
      <rPr>
        <sz val="10"/>
        <rFont val="WenQuanYi Zen Hei"/>
        <family val="2"/>
      </rPr>
      <t xml:space="preserve">（日）</t>
    </r>
  </si>
  <si>
    <r>
      <rPr>
        <sz val="10"/>
        <rFont val="WenQuanYi Zen Hei"/>
        <family val="2"/>
      </rPr>
      <t xml:space="preserve">本番と同じ</t>
    </r>
    <r>
      <rPr>
        <sz val="10"/>
        <rFont val="Yu Gothic"/>
        <family val="0"/>
        <charset val="1"/>
      </rPr>
      <t xml:space="preserve">150</t>
    </r>
    <r>
      <rPr>
        <sz val="10"/>
        <rFont val="WenQuanYi Zen Hei"/>
        <family val="2"/>
      </rPr>
      <t xml:space="preserve">分・同じ時間帯（</t>
    </r>
    <r>
      <rPr>
        <sz val="10"/>
        <rFont val="Yu Gothic"/>
        <family val="0"/>
        <charset val="1"/>
      </rPr>
      <t xml:space="preserve">13:00</t>
    </r>
    <r>
      <rPr>
        <sz val="10"/>
        <rFont val="WenQuanYi Zen Hei"/>
        <family val="2"/>
      </rPr>
      <t xml:space="preserve">〜</t>
    </r>
    <r>
      <rPr>
        <sz val="10"/>
        <rFont val="Yu Gothic"/>
        <family val="0"/>
        <charset val="1"/>
      </rPr>
      <t xml:space="preserve">15:30</t>
    </r>
    <r>
      <rPr>
        <sz val="10"/>
        <rFont val="WenQuanYi Zen Hei"/>
        <family val="2"/>
      </rPr>
      <t xml:space="preserve">）で通し演習。ここで初めて「本番仕様」を試す</t>
    </r>
  </si>
  <si>
    <r>
      <rPr>
        <sz val="10"/>
        <rFont val="WenQuanYi Zen Hei"/>
        <family val="2"/>
      </rPr>
      <t xml:space="preserve">記述が標準比マイナスに入っている／⑩の</t>
    </r>
    <r>
      <rPr>
        <sz val="10"/>
        <rFont val="Yu Gothic"/>
        <family val="0"/>
        <charset val="1"/>
      </rPr>
      <t xml:space="preserve">×</t>
    </r>
    <r>
      <rPr>
        <sz val="10"/>
        <rFont val="WenQuanYi Zen Hei"/>
        <family val="2"/>
      </rPr>
      <t xml:space="preserve">が半分以下</t>
    </r>
  </si>
  <si>
    <r>
      <rPr>
        <sz val="10"/>
        <rFont val="Yu Gothic"/>
        <family val="0"/>
        <charset val="1"/>
      </rPr>
      <t xml:space="preserve">1</t>
    </r>
    <r>
      <rPr>
        <sz val="10"/>
        <rFont val="WenQuanYi Zen Hei"/>
        <family val="2"/>
      </rPr>
      <t xml:space="preserve">週間前</t>
    </r>
  </si>
  <si>
    <r>
      <rPr>
        <sz val="10"/>
        <rFont val="Yu Gothic"/>
        <family val="0"/>
        <charset val="1"/>
      </rPr>
      <t xml:space="preserve">10/11</t>
    </r>
    <r>
      <rPr>
        <sz val="10"/>
        <rFont val="WenQuanYi Zen Hei"/>
        <family val="2"/>
      </rPr>
      <t xml:space="preserve">（日）</t>
    </r>
  </si>
  <si>
    <t xml:space="preserve">持ち物を全部そろえてバッグに入れる。電卓の電池交換・予備電卓の確認。会場までの経路と所要時間を確定</t>
  </si>
  <si>
    <r>
      <rPr>
        <sz val="10"/>
        <rFont val="WenQuanYi Zen Hei"/>
        <family val="2"/>
      </rPr>
      <t xml:space="preserve">新規教材はここで終了。以後は間違いノートと</t>
    </r>
    <r>
      <rPr>
        <sz val="10"/>
        <rFont val="Yu Gothic"/>
        <family val="0"/>
        <charset val="1"/>
      </rPr>
      <t xml:space="preserve">Anki due</t>
    </r>
    <r>
      <rPr>
        <sz val="10"/>
        <rFont val="WenQuanYi Zen Hei"/>
        <family val="2"/>
      </rPr>
      <t xml:space="preserve">のみ</t>
    </r>
  </si>
  <si>
    <t xml:space="preserve">前日</t>
  </si>
  <si>
    <r>
      <rPr>
        <sz val="10"/>
        <rFont val="Yu Gothic"/>
        <family val="0"/>
        <charset val="1"/>
      </rPr>
      <t xml:space="preserve">10/17</t>
    </r>
    <r>
      <rPr>
        <sz val="10"/>
        <rFont val="WenQuanYi Zen Hei"/>
        <family val="2"/>
      </rPr>
      <t xml:space="preserve">（土）</t>
    </r>
  </si>
  <si>
    <r>
      <rPr>
        <sz val="10"/>
        <rFont val="WenQuanYi Zen Hei"/>
        <family val="2"/>
      </rPr>
      <t xml:space="preserve">新しいことを一切やらない。持ち物の最終確認と早寝。当日やる</t>
    </r>
    <r>
      <rPr>
        <sz val="10"/>
        <rFont val="Yu Gothic"/>
        <family val="0"/>
        <charset val="1"/>
      </rPr>
      <t xml:space="preserve">1</t>
    </r>
    <r>
      <rPr>
        <sz val="10"/>
        <rFont val="WenQuanYi Zen Hei"/>
        <family val="2"/>
      </rPr>
      <t xml:space="preserve">枚を決めてバッグの一番上に入れる</t>
    </r>
  </si>
  <si>
    <t xml:space="preserve">全ての準備が完了。前日にやることを残さない</t>
  </si>
  <si>
    <t xml:space="preserve">当日</t>
  </si>
  <si>
    <r>
      <rPr>
        <sz val="10"/>
        <rFont val="Yu Gothic"/>
        <family val="0"/>
        <charset val="1"/>
      </rPr>
      <t xml:space="preserve">10/18</t>
    </r>
    <r>
      <rPr>
        <sz val="10"/>
        <rFont val="WenQuanYi Zen Hei"/>
        <family val="2"/>
      </rPr>
      <t xml:space="preserve">（日）</t>
    </r>
  </si>
  <si>
    <r>
      <rPr>
        <sz val="10"/>
        <rFont val="Yu Gothic"/>
        <family val="0"/>
        <charset val="1"/>
      </rPr>
      <t xml:space="preserve">12:30</t>
    </r>
    <r>
      <rPr>
        <sz val="10"/>
        <rFont val="WenQuanYi Zen Hei"/>
        <family val="2"/>
      </rPr>
      <t xml:space="preserve">着席・</t>
    </r>
    <r>
      <rPr>
        <sz val="10"/>
        <rFont val="Yu Gothic"/>
        <family val="0"/>
        <charset val="1"/>
      </rPr>
      <t xml:space="preserve">12:45</t>
    </r>
    <r>
      <rPr>
        <sz val="10"/>
        <rFont val="WenQuanYi Zen Hei"/>
        <family val="2"/>
      </rPr>
      <t xml:space="preserve">指定・</t>
    </r>
    <r>
      <rPr>
        <sz val="10"/>
        <rFont val="Yu Gothic"/>
        <family val="0"/>
        <charset val="1"/>
      </rPr>
      <t xml:space="preserve">13:00</t>
    </r>
    <r>
      <rPr>
        <sz val="10"/>
        <rFont val="WenQuanYi Zen Hei"/>
        <family val="2"/>
      </rPr>
      <t xml:space="preserve">開始。択一→建物→土地の順を変えない</t>
    </r>
  </si>
  <si>
    <t xml:space="preserve">■ 当日の持ち物チェックリスト（前日までに全部バッグへ）</t>
  </si>
  <si>
    <t xml:space="preserve">持ち物</t>
  </si>
  <si>
    <t xml:space="preserve">確認ポイント</t>
  </si>
  <si>
    <t xml:space="preserve">受験票</t>
  </si>
  <si>
    <t xml:space="preserve">★これだけは代替不可。バッグの定位置を決める</t>
  </si>
  <si>
    <r>
      <rPr>
        <sz val="10"/>
        <rFont val="WenQuanYi Zen Hei"/>
        <family val="2"/>
      </rPr>
      <t xml:space="preserve">鉛筆（</t>
    </r>
    <r>
      <rPr>
        <sz val="10"/>
        <rFont val="Yu Gothic"/>
        <family val="0"/>
        <charset val="1"/>
      </rPr>
      <t xml:space="preserve">B </t>
    </r>
    <r>
      <rPr>
        <sz val="10"/>
        <rFont val="WenQuanYi Zen Hei"/>
        <family val="2"/>
      </rPr>
      <t xml:space="preserve">または </t>
    </r>
    <r>
      <rPr>
        <sz val="10"/>
        <rFont val="Yu Gothic"/>
        <family val="0"/>
        <charset val="1"/>
      </rPr>
      <t xml:space="preserve">HB</t>
    </r>
    <r>
      <rPr>
        <sz val="10"/>
        <rFont val="WenQuanYi Zen Hei"/>
        <family val="2"/>
      </rPr>
      <t xml:space="preserve">）</t>
    </r>
  </si>
  <si>
    <t xml:space="preserve">択一のマークシート用。削りすぎない（折れる）。予備を複数本</t>
  </si>
  <si>
    <r>
      <rPr>
        <sz val="10"/>
        <rFont val="WenQuanYi Zen Hei"/>
        <family val="2"/>
      </rPr>
      <t xml:space="preserve">黒ボールペン </t>
    </r>
    <r>
      <rPr>
        <sz val="10"/>
        <rFont val="Yu Gothic"/>
        <family val="0"/>
        <charset val="1"/>
      </rPr>
      <t xml:space="preserve">0.5mm</t>
    </r>
    <r>
      <rPr>
        <sz val="10"/>
        <rFont val="WenQuanYi Zen Hei"/>
        <family val="2"/>
      </rPr>
      <t xml:space="preserve">以下</t>
    </r>
  </si>
  <si>
    <r>
      <rPr>
        <sz val="10"/>
        <rFont val="WenQuanYi Zen Hei"/>
        <family val="2"/>
      </rPr>
      <t xml:space="preserve">記述の文字と図面用。★</t>
    </r>
    <r>
      <rPr>
        <sz val="10"/>
        <rFont val="Yu Gothic"/>
        <family val="0"/>
        <charset val="1"/>
      </rPr>
      <t xml:space="preserve">2</t>
    </r>
    <r>
      <rPr>
        <sz val="10"/>
        <rFont val="WenQuanYi Zen Hei"/>
        <family val="2"/>
      </rPr>
      <t xml:space="preserve">本。</t>
    </r>
    <r>
      <rPr>
        <sz val="10"/>
        <rFont val="Yu Gothic"/>
        <family val="0"/>
        <charset val="1"/>
      </rPr>
      <t xml:space="preserve">3</t>
    </r>
    <r>
      <rPr>
        <sz val="10"/>
        <rFont val="WenQuanYi Zen Hei"/>
        <family val="2"/>
      </rPr>
      <t xml:space="preserve">色ペンの黒は</t>
    </r>
    <r>
      <rPr>
        <sz val="10"/>
        <rFont val="Yu Gothic"/>
        <family val="0"/>
        <charset val="1"/>
      </rPr>
      <t xml:space="preserve">0.7mm</t>
    </r>
    <r>
      <rPr>
        <sz val="10"/>
        <rFont val="WenQuanYi Zen Hei"/>
        <family val="2"/>
      </rPr>
      <t xml:space="preserve">のことが多く答案に使えない場合がある＝別に用意</t>
    </r>
  </si>
  <si>
    <r>
      <rPr>
        <sz val="10"/>
        <rFont val="Yu Gothic"/>
        <family val="0"/>
        <charset val="1"/>
      </rPr>
      <t xml:space="preserve">3</t>
    </r>
    <r>
      <rPr>
        <sz val="10"/>
        <rFont val="WenQuanYi Zen Hei"/>
        <family val="2"/>
      </rPr>
      <t xml:space="preserve">色ボールペン／マーカー</t>
    </r>
  </si>
  <si>
    <t xml:space="preserve">問題冊子のマーキング用（使用可を確認済）。机上に出す本数を決めておく</t>
  </si>
  <si>
    <t xml:space="preserve">シャープペンシル</t>
  </si>
  <si>
    <t xml:space="preserve">作図の下書き用。芯の残量を確認</t>
  </si>
  <si>
    <t xml:space="preserve">消しゴム</t>
  </si>
  <si>
    <t xml:space="preserve">角が残っているものを。予備も</t>
  </si>
  <si>
    <t xml:space="preserve">三角定規</t>
  </si>
  <si>
    <t xml:space="preserve">欠けていないか</t>
  </si>
  <si>
    <t xml:space="preserve">三角スケール</t>
  </si>
  <si>
    <t xml:space="preserve">目盛りが削れていないか</t>
  </si>
  <si>
    <t xml:space="preserve">分度器</t>
  </si>
  <si>
    <t xml:space="preserve">コンパス</t>
  </si>
  <si>
    <t xml:space="preserve">シャーペンタイプなら芯の確認</t>
  </si>
  <si>
    <r>
      <rPr>
        <sz val="10"/>
        <rFont val="WenQuanYi Zen Hei"/>
        <family val="2"/>
      </rPr>
      <t xml:space="preserve">関数電卓（</t>
    </r>
    <r>
      <rPr>
        <sz val="10"/>
        <rFont val="Yu Gothic"/>
        <family val="0"/>
        <charset val="1"/>
      </rPr>
      <t xml:space="preserve">2</t>
    </r>
    <r>
      <rPr>
        <sz val="10"/>
        <rFont val="WenQuanYi Zen Hei"/>
        <family val="2"/>
      </rPr>
      <t xml:space="preserve">台まで）</t>
    </r>
  </si>
  <si>
    <r>
      <rPr>
        <sz val="10"/>
        <rFont val="WenQuanYi Zen Hei"/>
        <family val="2"/>
      </rPr>
      <t xml:space="preserve">★電池を</t>
    </r>
    <r>
      <rPr>
        <sz val="10"/>
        <rFont val="Yu Gothic"/>
        <family val="0"/>
        <charset val="1"/>
      </rPr>
      <t xml:space="preserve">1</t>
    </r>
    <r>
      <rPr>
        <sz val="10"/>
        <rFont val="WenQuanYi Zen Hei"/>
        <family val="2"/>
      </rPr>
      <t xml:space="preserve">週間前に交換。複素数モードの設定を本番前に確認。試験中はフタをしまう。</t>
    </r>
    <r>
      <rPr>
        <sz val="10"/>
        <rFont val="Yu Gothic"/>
        <family val="0"/>
        <charset val="1"/>
      </rPr>
      <t xml:space="preserve">1</t>
    </r>
    <r>
      <rPr>
        <sz val="10"/>
        <rFont val="WenQuanYi Zen Hei"/>
        <family val="2"/>
      </rPr>
      <t xml:space="preserve">台の方が机上は広い</t>
    </r>
  </si>
  <si>
    <t xml:space="preserve">腕時計</t>
  </si>
  <si>
    <t xml:space="preserve">スマートウォッチ不可。アナログ推奨（残り時間が直感で分かる）。電池切れに注意</t>
  </si>
  <si>
    <t xml:space="preserve">飲み物（ペットボトル）</t>
  </si>
  <si>
    <t xml:space="preserve">机上に置ける形か。糖分の摂りすぎで眠くならない量に</t>
  </si>
  <si>
    <t xml:space="preserve">昼食・軽食</t>
  </si>
  <si>
    <r>
      <rPr>
        <sz val="10"/>
        <rFont val="WenQuanYi Zen Hei"/>
        <family val="2"/>
      </rPr>
      <t xml:space="preserve">午後の部＝</t>
    </r>
    <r>
      <rPr>
        <sz val="10"/>
        <rFont val="Yu Gothic"/>
        <family val="0"/>
        <charset val="1"/>
      </rPr>
      <t xml:space="preserve">13</t>
    </r>
    <r>
      <rPr>
        <sz val="10"/>
        <rFont val="WenQuanYi Zen Hei"/>
        <family val="2"/>
      </rPr>
      <t xml:space="preserve">時開始。★食べすぎると眠くなる。</t>
    </r>
    <r>
      <rPr>
        <sz val="10"/>
        <rFont val="Yu Gothic"/>
        <family val="0"/>
        <charset val="1"/>
      </rPr>
      <t xml:space="preserve">12</t>
    </r>
    <r>
      <rPr>
        <sz val="10"/>
        <rFont val="WenQuanYi Zen Hei"/>
        <family val="2"/>
      </rPr>
      <t xml:space="preserve">時前に軽めに済ませる設計にする</t>
    </r>
  </si>
  <si>
    <t xml:space="preserve">お金（交通費・飲食代）</t>
  </si>
  <si>
    <r>
      <rPr>
        <sz val="10"/>
        <rFont val="WenQuanYi Zen Hei"/>
        <family val="2"/>
      </rPr>
      <t xml:space="preserve">現金も少し。交通系</t>
    </r>
    <r>
      <rPr>
        <sz val="10"/>
        <rFont val="Yu Gothic"/>
        <family val="0"/>
        <charset val="1"/>
      </rPr>
      <t xml:space="preserve">IC</t>
    </r>
    <r>
      <rPr>
        <sz val="10"/>
        <rFont val="WenQuanYi Zen Hei"/>
        <family val="2"/>
      </rPr>
      <t xml:space="preserve">の残高確認</t>
    </r>
  </si>
  <si>
    <t xml:space="preserve">携帯電話</t>
  </si>
  <si>
    <t xml:space="preserve">緊急連絡用。試験中は電源を切る</t>
  </si>
  <si>
    <t xml:space="preserve">マスク</t>
  </si>
  <si>
    <t xml:space="preserve">着用は個人の判断</t>
  </si>
  <si>
    <r>
      <rPr>
        <sz val="10"/>
        <rFont val="WenQuanYi Zen Hei"/>
        <family val="2"/>
      </rPr>
      <t xml:space="preserve">当日に見る</t>
    </r>
    <r>
      <rPr>
        <sz val="10"/>
        <rFont val="Yu Gothic"/>
        <family val="0"/>
        <charset val="1"/>
      </rPr>
      <t xml:space="preserve">1</t>
    </r>
    <r>
      <rPr>
        <sz val="10"/>
        <rFont val="WenQuanYi Zen Hei"/>
        <family val="2"/>
      </rPr>
      <t xml:space="preserve">枚</t>
    </r>
  </si>
  <si>
    <r>
      <rPr>
        <sz val="10"/>
        <rFont val="WenQuanYi Zen Hei"/>
        <family val="2"/>
      </rPr>
      <t xml:space="preserve">★テキストを何冊も持たない。⑩で</t>
    </r>
    <r>
      <rPr>
        <sz val="10"/>
        <rFont val="Yu Gothic"/>
        <family val="0"/>
        <charset val="1"/>
      </rPr>
      <t xml:space="preserve">×</t>
    </r>
    <r>
      <rPr>
        <sz val="10"/>
        <rFont val="WenQuanYi Zen Hei"/>
        <family val="2"/>
      </rPr>
      <t xml:space="preserve">が付いた論点だけの</t>
    </r>
    <r>
      <rPr>
        <sz val="10"/>
        <rFont val="Yu Gothic"/>
        <family val="0"/>
        <charset val="1"/>
      </rPr>
      <t xml:space="preserve">1</t>
    </r>
    <r>
      <rPr>
        <sz val="10"/>
        <rFont val="WenQuanYi Zen Hei"/>
        <family val="2"/>
      </rPr>
      <t xml:space="preserve">枚に絞る</t>
    </r>
  </si>
  <si>
    <t xml:space="preserve">上着・ひざ掛け</t>
  </si>
  <si>
    <r>
      <rPr>
        <sz val="10"/>
        <rFont val="Yu Gothic"/>
        <family val="0"/>
        <charset val="1"/>
      </rPr>
      <t xml:space="preserve">10</t>
    </r>
    <r>
      <rPr>
        <sz val="10"/>
        <rFont val="WenQuanYi Zen Hei"/>
        <family val="2"/>
      </rPr>
      <t xml:space="preserve">月の会場は空調が読めない。寒さで手がかじかむと作図が落ちる</t>
    </r>
  </si>
  <si>
    <r>
      <rPr>
        <b val="true"/>
        <sz val="10"/>
        <rFont val="WenQuanYi Zen Hei"/>
        <family val="2"/>
      </rPr>
      <t xml:space="preserve">★当日は「新しい判断をしない日」。順番（択一→建物→土地）・時間配分（⑧）・見る</t>
    </r>
    <r>
      <rPr>
        <b val="true"/>
        <sz val="10"/>
        <rFont val="Yu Gothic"/>
        <family val="0"/>
        <charset val="1"/>
      </rPr>
      <t xml:space="preserve">1</t>
    </r>
    <r>
      <rPr>
        <b val="true"/>
        <sz val="10"/>
        <rFont val="WenQuanYi Zen Hei"/>
        <family val="2"/>
      </rPr>
      <t xml:space="preserve">枚は、前日までに全部決めておく。当日に決めることが残っているほど本番の判断コストが増える。</t>
    </r>
  </si>
  <si>
    <r>
      <rPr>
        <b val="true"/>
        <sz val="14"/>
        <color rgb="FF1F3864"/>
        <rFont val="WenQuanYi Zen Hei"/>
        <family val="2"/>
      </rPr>
      <t xml:space="preserve">残務（</t>
    </r>
    <r>
      <rPr>
        <b val="true"/>
        <sz val="14"/>
        <color rgb="FF1F3864"/>
        <rFont val="Yu Gothic"/>
        <family val="0"/>
        <charset val="1"/>
      </rPr>
      <t xml:space="preserve">1</t>
    </r>
    <r>
      <rPr>
        <b val="true"/>
        <sz val="14"/>
        <color rgb="FF1F3864"/>
        <rFont val="WenQuanYi Zen Hei"/>
        <family val="2"/>
      </rPr>
      <t xml:space="preserve">回きり）と買い物 — 妥当性と出典つき</t>
    </r>
  </si>
  <si>
    <r>
      <rPr>
        <sz val="9"/>
        <color rgb="FF808080"/>
        <rFont val="WenQuanYi Zen Hei"/>
        <family val="2"/>
      </rPr>
      <t xml:space="preserve">★出典は検索結果から取得した</t>
    </r>
    <r>
      <rPr>
        <sz val="9"/>
        <color rgb="FF808080"/>
        <rFont val="Yu Gothic"/>
        <family val="0"/>
        <charset val="1"/>
      </rPr>
      <t xml:space="preserve">URL</t>
    </r>
    <r>
      <rPr>
        <sz val="9"/>
        <color rgb="FF808080"/>
        <rFont val="WenQuanYi Zen Hei"/>
        <family val="2"/>
      </rPr>
      <t xml:space="preserve">。当環境からは本文を開けなかったページも含むため、購入前に本人が中身を確認すること</t>
    </r>
  </si>
  <si>
    <r>
      <rPr>
        <b val="true"/>
        <sz val="11"/>
        <color rgb="FFBF9000"/>
        <rFont val="WenQuanYi Zen Hei"/>
        <family val="2"/>
      </rPr>
      <t xml:space="preserve">■ 残務（</t>
    </r>
    <r>
      <rPr>
        <b val="true"/>
        <sz val="11"/>
        <color rgb="FFBF9000"/>
        <rFont val="Yu Gothic"/>
        <family val="0"/>
        <charset val="1"/>
      </rPr>
      <t xml:space="preserve">1</t>
    </r>
    <r>
      <rPr>
        <b val="true"/>
        <sz val="11"/>
        <color rgb="FFBF9000"/>
        <rFont val="WenQuanYi Zen Hei"/>
        <family val="2"/>
      </rPr>
      <t xml:space="preserve">回きり・期限つき）</t>
    </r>
  </si>
  <si>
    <t xml:space="preserve">残務</t>
  </si>
  <si>
    <t xml:space="preserve">なぜやるか（妥当性）</t>
  </si>
  <si>
    <t xml:space="preserve">答練・模試の受験状況を確認→未受験なら申込</t>
  </si>
  <si>
    <t xml:space="preserve">9/9</t>
  </si>
  <si>
    <t xml:space="preserve">測定なしでは⑦も⑧も数字が入らない。他者との距離も遅さの正体も分からないまま本番に行くことになる</t>
  </si>
  <si>
    <r>
      <rPr>
        <sz val="10"/>
        <rFont val="WenQuanYi Zen Hei"/>
        <family val="2"/>
      </rPr>
      <t xml:space="preserve">直前記述答練 </t>
    </r>
    <r>
      <rPr>
        <sz val="10"/>
        <rFont val="Yu Gothic"/>
        <family val="0"/>
        <charset val="1"/>
      </rPr>
      <t xml:space="preserve">https://www.agaroot.jp/chousashi/chokuzen_toren/ </t>
    </r>
    <r>
      <rPr>
        <sz val="10"/>
        <rFont val="WenQuanYi Zen Hei"/>
        <family val="2"/>
      </rPr>
      <t xml:space="preserve">／直前予想模試 </t>
    </r>
    <r>
      <rPr>
        <sz val="10"/>
        <rFont val="Yu Gothic"/>
        <family val="0"/>
        <charset val="1"/>
      </rPr>
      <t xml:space="preserve">https://www.agaroot.jp/chousashi/mosi/</t>
    </r>
  </si>
  <si>
    <t xml:space="preserve">使用中の関数電卓が法務省の使用可能機種か確認</t>
  </si>
  <si>
    <t xml:space="preserve">9/11</t>
  </si>
  <si>
    <t xml:space="preserve">★法務省は毎年使用可能な電卓の型番を公表している。載っていなければ当日使えない＝一発アウト。逆に載っていれば買い替えない</t>
  </si>
  <si>
    <r>
      <rPr>
        <sz val="10"/>
        <rFont val="Yu Gothic"/>
        <family val="0"/>
        <charset val="1"/>
      </rPr>
      <t xml:space="preserve">https://www.moj.go.jp/MINJI/minji05_00770.html </t>
    </r>
    <r>
      <rPr>
        <sz val="10"/>
        <rFont val="WenQuanYi Zen Hei"/>
        <family val="2"/>
      </rPr>
      <t xml:space="preserve">／ </t>
    </r>
    <r>
      <rPr>
        <sz val="10"/>
        <rFont val="Yu Gothic"/>
        <family val="0"/>
        <charset val="1"/>
      </rPr>
      <t xml:space="preserve">https://agaroot-career.jp/chousashi2/calculator/</t>
    </r>
  </si>
  <si>
    <t xml:space="preserve">複素数モードで座標計算しているか確認。未使用なら基本操作だけ習得</t>
  </si>
  <si>
    <r>
      <rPr>
        <sz val="10"/>
        <rFont val="WenQuanYi Zen Hei"/>
        <family val="2"/>
      </rPr>
      <t xml:space="preserve">座標計算の時短効果が突出している領域。「</t>
    </r>
    <r>
      <rPr>
        <sz val="10"/>
        <rFont val="Yu Gothic"/>
        <family val="0"/>
        <charset val="1"/>
      </rPr>
      <t xml:space="preserve">10</t>
    </r>
    <r>
      <rPr>
        <sz val="10"/>
        <rFont val="WenQuanYi Zen Hei"/>
        <family val="2"/>
      </rPr>
      <t xml:space="preserve">分でマスターできる」と紹介されるほど習得コストが低い</t>
    </r>
  </si>
  <si>
    <r>
      <rPr>
        <sz val="10"/>
        <rFont val="Yu Gothic"/>
        <family val="0"/>
        <charset val="1"/>
      </rPr>
      <t xml:space="preserve">https://chosa4.com/hukusosu-casio/ </t>
    </r>
    <r>
      <rPr>
        <sz val="10"/>
        <rFont val="WenQuanYi Zen Hei"/>
        <family val="2"/>
      </rPr>
      <t xml:space="preserve">／ </t>
    </r>
    <r>
      <rPr>
        <sz val="10"/>
        <rFont val="Yu Gothic"/>
        <family val="0"/>
        <charset val="1"/>
      </rPr>
      <t xml:space="preserve">https://haru-manabiya.com/fukusosuu-kihon</t>
    </r>
  </si>
  <si>
    <r>
      <rPr>
        <sz val="10"/>
        <rFont val="WenQuanYi Zen Hei"/>
        <family val="2"/>
      </rPr>
      <t xml:space="preserve">講師の作図実演を</t>
    </r>
    <r>
      <rPr>
        <sz val="10"/>
        <rFont val="Yu Gothic"/>
        <family val="0"/>
        <charset val="1"/>
      </rPr>
      <t xml:space="preserve">2</t>
    </r>
    <r>
      <rPr>
        <sz val="10"/>
        <rFont val="WenQuanYi Zen Hei"/>
        <family val="2"/>
      </rPr>
      <t xml:space="preserve">〜</t>
    </r>
    <r>
      <rPr>
        <sz val="10"/>
        <rFont val="Yu Gothic"/>
        <family val="0"/>
        <charset val="1"/>
      </rPr>
      <t xml:space="preserve">3</t>
    </r>
    <r>
      <rPr>
        <sz val="10"/>
        <rFont val="WenQuanYi Zen Hei"/>
        <family val="2"/>
      </rPr>
      <t xml:space="preserve">本だけ見て自分の手順との差分を</t>
    </r>
    <r>
      <rPr>
        <sz val="10"/>
        <rFont val="Yu Gothic"/>
        <family val="0"/>
        <charset val="1"/>
      </rPr>
      <t xml:space="preserve">1</t>
    </r>
    <r>
      <rPr>
        <sz val="10"/>
        <rFont val="WenQuanYi Zen Hei"/>
        <family val="2"/>
      </rPr>
      <t xml:space="preserve">行メモ</t>
    </r>
  </si>
  <si>
    <t xml:space="preserve">手順の癖は自己流の反復では直らない唯一の領域。合格体験記で「講師が解いている映像で作図・計算の手順が解消した」が繰り返し出る</t>
  </si>
  <si>
    <r>
      <rPr>
        <sz val="10"/>
        <rFont val="Yu Gothic"/>
        <family val="0"/>
        <charset val="1"/>
      </rPr>
      <t xml:space="preserve">https://note.com/chousashi_note/n/n1c8c7a6975da </t>
    </r>
    <r>
      <rPr>
        <sz val="10"/>
        <rFont val="WenQuanYi Zen Hei"/>
        <family val="2"/>
      </rPr>
      <t xml:space="preserve">／ </t>
    </r>
    <r>
      <rPr>
        <sz val="10"/>
        <rFont val="Yu Gothic"/>
        <family val="0"/>
        <charset val="1"/>
      </rPr>
      <t xml:space="preserve">https://www.agaroot.jp/chousashi/column/past-question-answer/</t>
    </r>
  </si>
  <si>
    <r>
      <rPr>
        <sz val="10"/>
        <rFont val="Yu Gothic"/>
        <family val="0"/>
        <charset val="1"/>
      </rPr>
      <t xml:space="preserve">3</t>
    </r>
    <r>
      <rPr>
        <sz val="10"/>
        <rFont val="WenQuanYi Zen Hei"/>
        <family val="2"/>
      </rPr>
      <t xml:space="preserve">色マーキングを</t>
    </r>
    <r>
      <rPr>
        <sz val="10"/>
        <rFont val="Yu Gothic"/>
        <family val="0"/>
        <charset val="1"/>
      </rPr>
      <t xml:space="preserve">1</t>
    </r>
    <r>
      <rPr>
        <sz val="10"/>
        <rFont val="WenQuanYi Zen Hei"/>
        <family val="2"/>
      </rPr>
      <t xml:space="preserve">週間試し、⑦の読解時間で採否判定</t>
    </r>
  </si>
  <si>
    <t xml:space="preserve">9/16</t>
  </si>
  <si>
    <r>
      <rPr>
        <sz val="10"/>
        <rFont val="WenQuanYi Zen Hei"/>
        <family val="2"/>
      </rPr>
      <t xml:space="preserve">問題冊子へのマーカー・色鉛筆の使用は認められている＝本番で再現できる。ただし効果が出なければ原因は色でなく読む順序。</t>
    </r>
    <r>
      <rPr>
        <sz val="10"/>
        <rFont val="Yu Gothic"/>
        <family val="0"/>
        <charset val="1"/>
      </rPr>
      <t xml:space="preserve">1</t>
    </r>
    <r>
      <rPr>
        <sz val="10"/>
        <rFont val="WenQuanYi Zen Hei"/>
        <family val="2"/>
      </rPr>
      <t xml:space="preserve">週間で判定して捨てる</t>
    </r>
  </si>
  <si>
    <r>
      <rPr>
        <sz val="10"/>
        <rFont val="Yu Gothic"/>
        <family val="0"/>
        <charset val="1"/>
      </rPr>
      <t xml:space="preserve">https://www.agaroot.jp/chousashi/column/belongings/ </t>
    </r>
    <r>
      <rPr>
        <sz val="10"/>
        <rFont val="WenQuanYi Zen Hei"/>
        <family val="2"/>
      </rPr>
      <t xml:space="preserve">／ </t>
    </r>
    <r>
      <rPr>
        <sz val="10"/>
        <rFont val="Yu Gothic"/>
        <family val="0"/>
        <charset val="1"/>
      </rPr>
      <t xml:space="preserve">https://chosa4.com/marking/</t>
    </r>
  </si>
  <si>
    <r>
      <rPr>
        <sz val="10"/>
        <rFont val="WenQuanYi Zen Hei"/>
        <family val="2"/>
      </rPr>
      <t xml:space="preserve">⑩論点セルフチェック</t>
    </r>
    <r>
      <rPr>
        <sz val="10"/>
        <rFont val="Yu Gothic"/>
        <family val="0"/>
        <charset val="1"/>
      </rPr>
      <t xml:space="preserve">13</t>
    </r>
    <r>
      <rPr>
        <sz val="10"/>
        <rFont val="WenQuanYi Zen Hei"/>
        <family val="2"/>
      </rPr>
      <t xml:space="preserve">問を一度通し、</t>
    </r>
    <r>
      <rPr>
        <sz val="10"/>
        <rFont val="Yu Gothic"/>
        <family val="0"/>
        <charset val="1"/>
      </rPr>
      <t xml:space="preserve">×</t>
    </r>
    <r>
      <rPr>
        <sz val="10"/>
        <rFont val="WenQuanYi Zen Hei"/>
        <family val="2"/>
      </rPr>
      <t xml:space="preserve">だけ</t>
    </r>
    <r>
      <rPr>
        <sz val="10"/>
        <rFont val="Yu Gothic"/>
        <family val="0"/>
        <charset val="1"/>
      </rPr>
      <t xml:space="preserve">A5</t>
    </r>
    <r>
      <rPr>
        <sz val="10"/>
        <rFont val="WenQuanYi Zen Hei"/>
        <family val="2"/>
      </rPr>
      <t xml:space="preserve">一枚に集約</t>
    </r>
  </si>
  <si>
    <t xml:space="preserve">9/15</t>
  </si>
  <si>
    <t xml:space="preserve">「公式ブック」を作るならこの形だけ。網羅的な新規作成は演習量を削る「増やす作業」</t>
  </si>
  <si>
    <t xml:space="preserve">（自己ルール・⑨の判断）</t>
  </si>
  <si>
    <r>
      <rPr>
        <sz val="10"/>
        <rFont val="WenQuanYi Zen Hei"/>
        <family val="2"/>
      </rPr>
      <t xml:space="preserve">作図手順を</t>
    </r>
    <r>
      <rPr>
        <sz val="10"/>
        <rFont val="Yu Gothic"/>
        <family val="0"/>
        <charset val="1"/>
      </rPr>
      <t xml:space="preserve">A5</t>
    </r>
    <r>
      <rPr>
        <sz val="10"/>
        <rFont val="WenQuanYi Zen Hei"/>
        <family val="2"/>
      </rPr>
      <t xml:space="preserve">一枚に</t>
    </r>
    <r>
      <rPr>
        <sz val="10"/>
        <rFont val="Yu Gothic"/>
        <family val="0"/>
        <charset val="1"/>
      </rPr>
      <t xml:space="preserve">10</t>
    </r>
    <r>
      <rPr>
        <sz val="10"/>
        <rFont val="WenQuanYi Zen Hei"/>
        <family val="2"/>
      </rPr>
      <t xml:space="preserve">分で書く（打点順を固定）。以後改訂禁止</t>
    </r>
  </si>
  <si>
    <t xml:space="preserve">作図が遅い原因の多くは打点順が毎回違うこと。順序を固定するだけで縮む。ただし手順書作りに時間をかけたら本末転倒</t>
  </si>
  <si>
    <t xml:space="preserve">https://www.agaroot.jp/chousashi/column/descriptive-expression/</t>
  </si>
  <si>
    <r>
      <rPr>
        <sz val="10"/>
        <rFont val="WenQuanYi Zen Hei"/>
        <family val="2"/>
      </rPr>
      <t xml:space="preserve">本番と同じ</t>
    </r>
    <r>
      <rPr>
        <sz val="10"/>
        <rFont val="Yu Gothic"/>
        <family val="0"/>
        <charset val="1"/>
      </rPr>
      <t xml:space="preserve">150</t>
    </r>
    <r>
      <rPr>
        <sz val="10"/>
        <rFont val="WenQuanYi Zen Hei"/>
        <family val="2"/>
      </rPr>
      <t xml:space="preserve">分・同じ時間帯</t>
    </r>
    <r>
      <rPr>
        <sz val="10"/>
        <rFont val="Yu Gothic"/>
        <family val="0"/>
        <charset val="1"/>
      </rPr>
      <t xml:space="preserve">(13:00-15:30)</t>
    </r>
    <r>
      <rPr>
        <sz val="10"/>
        <rFont val="WenQuanYi Zen Hei"/>
        <family val="2"/>
      </rPr>
      <t xml:space="preserve">の通し演習を予約</t>
    </r>
  </si>
  <si>
    <t xml:space="preserve">10/4</t>
  </si>
  <si>
    <t xml:space="preserve">本番は午後の部。同じ時間帯で解かないと、昼食後の眠気・集中の落ち方が分からない</t>
  </si>
  <si>
    <t xml:space="preserve">https://www.agaroot.jp/chousashi/column/exam-time-allocation/</t>
  </si>
  <si>
    <t xml:space="preserve">会場までの経路・所要時間を確定／持ち物を全部バッグへ</t>
  </si>
  <si>
    <t xml:space="preserve">10/11</t>
  </si>
  <si>
    <t xml:space="preserve">当日は「新しい判断をしない日」にする。移動と持ち物で判断を使わない</t>
  </si>
  <si>
    <t xml:space="preserve">https://www.agaroot.jp/chousashi/column/belongings/</t>
  </si>
  <si>
    <t xml:space="preserve">■ 買い物リスト（買う妥当性を必ず読んでから）</t>
  </si>
  <si>
    <t xml:space="preserve">優先</t>
  </si>
  <si>
    <t xml:space="preserve">品目</t>
  </si>
  <si>
    <t xml:space="preserve">具体例（出典で挙がっていたもの）</t>
  </si>
  <si>
    <t xml:space="preserve">買う妥当性／買わない判断</t>
  </si>
  <si>
    <t xml:space="preserve">★必須</t>
  </si>
  <si>
    <r>
      <rPr>
        <sz val="10"/>
        <rFont val="WenQuanYi Zen Hei"/>
        <family val="2"/>
      </rPr>
      <t xml:space="preserve">ジェットストリーム </t>
    </r>
    <r>
      <rPr>
        <sz val="10"/>
        <rFont val="Yu Gothic"/>
        <family val="0"/>
        <charset val="1"/>
      </rPr>
      <t xml:space="preserve">4&amp;1 0.5mm</t>
    </r>
    <r>
      <rPr>
        <sz val="10"/>
        <rFont val="WenQuanYi Zen Hei"/>
        <family val="2"/>
      </rPr>
      <t xml:space="preserve">（多機能・</t>
    </r>
    <r>
      <rPr>
        <sz val="10"/>
        <rFont val="Yu Gothic"/>
        <family val="0"/>
        <charset val="1"/>
      </rPr>
      <t xml:space="preserve">1</t>
    </r>
    <r>
      <rPr>
        <sz val="10"/>
        <rFont val="WenQuanYi Zen Hei"/>
        <family val="2"/>
      </rPr>
      <t xml:space="preserve">本）</t>
    </r>
  </si>
  <si>
    <r>
      <rPr>
        <sz val="10"/>
        <rFont val="WenQuanYi Zen Hei"/>
        <family val="2"/>
      </rPr>
      <t xml:space="preserve">黒・赤・青・緑（全</t>
    </r>
    <r>
      <rPr>
        <sz val="10"/>
        <rFont val="Yu Gothic"/>
        <family val="0"/>
        <charset val="1"/>
      </rPr>
      <t xml:space="preserve">0.5mm</t>
    </r>
    <r>
      <rPr>
        <sz val="10"/>
        <rFont val="WenQuanYi Zen Hei"/>
        <family val="2"/>
      </rPr>
      <t xml:space="preserve">）＋シャープ</t>
    </r>
    <r>
      <rPr>
        <sz val="10"/>
        <rFont val="Yu Gothic"/>
        <family val="0"/>
        <charset val="1"/>
      </rPr>
      <t xml:space="preserve">0.5</t>
    </r>
    <r>
      <rPr>
        <sz val="10"/>
        <rFont val="WenQuanYi Zen Hei"/>
        <family val="2"/>
      </rPr>
      <t xml:space="preserve">。※</t>
    </r>
    <r>
      <rPr>
        <sz val="10"/>
        <rFont val="Yu Gothic"/>
        <family val="0"/>
        <charset val="1"/>
      </rPr>
      <t xml:space="preserve">0.7mm</t>
    </r>
    <r>
      <rPr>
        <sz val="10"/>
        <rFont val="WenQuanYi Zen Hei"/>
        <family val="2"/>
      </rPr>
      <t xml:space="preserve">版と間違えない</t>
    </r>
  </si>
  <si>
    <r>
      <rPr>
        <sz val="10"/>
        <rFont val="WenQuanYi Zen Hei"/>
        <family val="2"/>
      </rPr>
      <t xml:space="preserve">★答案用の黒</t>
    </r>
    <r>
      <rPr>
        <sz val="10"/>
        <rFont val="Yu Gothic"/>
        <family val="0"/>
        <charset val="1"/>
      </rPr>
      <t xml:space="preserve">0.5</t>
    </r>
    <r>
      <rPr>
        <sz val="10"/>
        <rFont val="WenQuanYi Zen Hei"/>
        <family val="2"/>
      </rPr>
      <t xml:space="preserve">（図面規定を満たす）・マーキング用の青・下書き用シャープが</t>
    </r>
    <r>
      <rPr>
        <sz val="10"/>
        <rFont val="Yu Gothic"/>
        <family val="0"/>
        <charset val="1"/>
      </rPr>
      <t xml:space="preserve">1</t>
    </r>
    <r>
      <rPr>
        <sz val="10"/>
        <rFont val="WenQuanYi Zen Hei"/>
        <family val="2"/>
      </rPr>
      <t xml:space="preserve">本＝持ち歩き</t>
    </r>
    <r>
      <rPr>
        <sz val="10"/>
        <rFont val="Yu Gothic"/>
        <family val="0"/>
        <charset val="1"/>
      </rPr>
      <t xml:space="preserve">3</t>
    </r>
    <r>
      <rPr>
        <sz val="10"/>
        <rFont val="WenQuanYi Zen Hei"/>
        <family val="2"/>
      </rPr>
      <t xml:space="preserve">本→</t>
    </r>
    <r>
      <rPr>
        <sz val="10"/>
        <rFont val="Yu Gothic"/>
        <family val="0"/>
        <charset val="1"/>
      </rPr>
      <t xml:space="preserve">1</t>
    </r>
    <r>
      <rPr>
        <sz val="10"/>
        <rFont val="WenQuanYi Zen Hei"/>
        <family val="2"/>
      </rPr>
      <t xml:space="preserve">本。本番のみ単機能の黒</t>
    </r>
    <r>
      <rPr>
        <sz val="10"/>
        <rFont val="Yu Gothic"/>
        <family val="0"/>
        <charset val="1"/>
      </rPr>
      <t xml:space="preserve">0.5</t>
    </r>
    <r>
      <rPr>
        <sz val="10"/>
        <rFont val="WenQuanYi Zen Hei"/>
        <family val="2"/>
      </rPr>
      <t xml:space="preserve">を予備</t>
    </r>
    <r>
      <rPr>
        <sz val="10"/>
        <rFont val="Yu Gothic"/>
        <family val="0"/>
        <charset val="1"/>
      </rPr>
      <t xml:space="preserve">1</t>
    </r>
    <r>
      <rPr>
        <sz val="10"/>
        <rFont val="WenQuanYi Zen Hei"/>
        <family val="2"/>
      </rPr>
      <t xml:space="preserve">本（多機能ペンの監督上の扱いは一次情報未確認）</t>
    </r>
  </si>
  <si>
    <r>
      <rPr>
        <sz val="10"/>
        <rFont val="WenQuanYi Zen Hei"/>
        <family val="2"/>
      </rPr>
      <t xml:space="preserve">公式 </t>
    </r>
    <r>
      <rPr>
        <sz val="10"/>
        <rFont val="Yu Gothic"/>
        <family val="0"/>
        <charset val="1"/>
      </rPr>
      <t xml:space="preserve">https://www.mpuni.co.jp/products/ballpoint_pens/jetstream/jetstream2/lt_4_1/msxe5_lt.html </t>
    </r>
    <r>
      <rPr>
        <sz val="10"/>
        <rFont val="WenQuanYi Zen Hei"/>
        <family val="2"/>
      </rPr>
      <t xml:space="preserve">／ </t>
    </r>
    <r>
      <rPr>
        <sz val="10"/>
        <rFont val="Yu Gothic"/>
        <family val="0"/>
        <charset val="1"/>
      </rPr>
      <t xml:space="preserve">Amazon https://www.amazon.co.jp/dp/B004AYDUOA </t>
    </r>
    <r>
      <rPr>
        <sz val="10"/>
        <rFont val="WenQuanYi Zen Hei"/>
        <family val="2"/>
      </rPr>
      <t xml:space="preserve">／ 法務省 </t>
    </r>
    <r>
      <rPr>
        <sz val="10"/>
        <rFont val="Yu Gothic"/>
        <family val="0"/>
        <charset val="1"/>
      </rPr>
      <t xml:space="preserve">https://www.moj.go.jp/MINJI/minji05_00527.html</t>
    </r>
  </si>
  <si>
    <r>
      <rPr>
        <sz val="10"/>
        <rFont val="WenQuanYi Zen Hei"/>
        <family val="2"/>
      </rPr>
      <t xml:space="preserve">鉛筆 </t>
    </r>
    <r>
      <rPr>
        <sz val="10"/>
        <rFont val="Yu Gothic"/>
        <family val="0"/>
        <charset val="1"/>
      </rPr>
      <t xml:space="preserve">B </t>
    </r>
    <r>
      <rPr>
        <sz val="10"/>
        <rFont val="WenQuanYi Zen Hei"/>
        <family val="2"/>
      </rPr>
      <t xml:space="preserve">または </t>
    </r>
    <r>
      <rPr>
        <sz val="10"/>
        <rFont val="Yu Gothic"/>
        <family val="0"/>
        <charset val="1"/>
      </rPr>
      <t xml:space="preserve">HB</t>
    </r>
  </si>
  <si>
    <r>
      <rPr>
        <sz val="10"/>
        <rFont val="WenQuanYi Zen Hei"/>
        <family val="2"/>
      </rPr>
      <t xml:space="preserve">択一の答案用紙は </t>
    </r>
    <r>
      <rPr>
        <sz val="10"/>
        <rFont val="Yu Gothic"/>
        <family val="0"/>
        <charset val="1"/>
      </rPr>
      <t xml:space="preserve">B/HB </t>
    </r>
    <r>
      <rPr>
        <sz val="10"/>
        <rFont val="WenQuanYi Zen Hei"/>
        <family val="2"/>
      </rPr>
      <t xml:space="preserve">の鉛筆のみ。シャーペン不可の前提で用意する。削りすぎると折れるので複数本</t>
    </r>
  </si>
  <si>
    <r>
      <rPr>
        <sz val="10"/>
        <rFont val="WenQuanYi Zen Hei"/>
        <family val="2"/>
      </rPr>
      <t xml:space="preserve">三角スケール </t>
    </r>
    <r>
      <rPr>
        <sz val="10"/>
        <rFont val="Yu Gothic"/>
        <family val="0"/>
        <charset val="1"/>
      </rPr>
      <t xml:space="preserve">15cm</t>
    </r>
  </si>
  <si>
    <r>
      <rPr>
        <sz val="10"/>
        <rFont val="WenQuanYi Zen Hei"/>
        <family val="2"/>
      </rPr>
      <t xml:space="preserve">シンワ 三角スケール </t>
    </r>
    <r>
      <rPr>
        <sz val="10"/>
        <rFont val="Yu Gothic"/>
        <family val="0"/>
        <charset val="1"/>
      </rPr>
      <t xml:space="preserve">A-15</t>
    </r>
    <r>
      <rPr>
        <sz val="10"/>
        <rFont val="WenQuanYi Zen Hei"/>
        <family val="2"/>
      </rPr>
      <t xml:space="preserve">（</t>
    </r>
    <r>
      <rPr>
        <sz val="10"/>
        <rFont val="Yu Gothic"/>
        <family val="0"/>
        <charset val="1"/>
      </rPr>
      <t xml:space="preserve">1/100</t>
    </r>
    <r>
      <rPr>
        <sz val="10"/>
        <rFont val="WenQuanYi Zen Hei"/>
        <family val="2"/>
      </rPr>
      <t xml:space="preserve">・</t>
    </r>
    <r>
      <rPr>
        <sz val="10"/>
        <rFont val="Yu Gothic"/>
        <family val="0"/>
        <charset val="1"/>
      </rPr>
      <t xml:space="preserve">200</t>
    </r>
    <r>
      <rPr>
        <sz val="10"/>
        <rFont val="WenQuanYi Zen Hei"/>
        <family val="2"/>
      </rPr>
      <t xml:space="preserve">・</t>
    </r>
    <r>
      <rPr>
        <sz val="10"/>
        <rFont val="Yu Gothic"/>
        <family val="0"/>
        <charset val="1"/>
      </rPr>
      <t xml:space="preserve">250</t>
    </r>
    <r>
      <rPr>
        <sz val="10"/>
        <rFont val="WenQuanYi Zen Hei"/>
        <family val="2"/>
      </rPr>
      <t xml:space="preserve">・</t>
    </r>
    <r>
      <rPr>
        <sz val="10"/>
        <rFont val="Yu Gothic"/>
        <family val="0"/>
        <charset val="1"/>
      </rPr>
      <t xml:space="preserve">300</t>
    </r>
    <r>
      <rPr>
        <sz val="10"/>
        <rFont val="WenQuanYi Zen Hei"/>
        <family val="2"/>
      </rPr>
      <t xml:space="preserve">・</t>
    </r>
    <r>
      <rPr>
        <sz val="10"/>
        <rFont val="Yu Gothic"/>
        <family val="0"/>
        <charset val="1"/>
      </rPr>
      <t xml:space="preserve">500</t>
    </r>
    <r>
      <rPr>
        <sz val="10"/>
        <rFont val="WenQuanYi Zen Hei"/>
        <family val="2"/>
      </rPr>
      <t xml:space="preserve">・</t>
    </r>
    <r>
      <rPr>
        <sz val="10"/>
        <rFont val="Yu Gothic"/>
        <family val="0"/>
        <charset val="1"/>
      </rPr>
      <t xml:space="preserve">600</t>
    </r>
    <r>
      <rPr>
        <sz val="10"/>
        <rFont val="WenQuanYi Zen Hei"/>
        <family val="2"/>
      </rPr>
      <t xml:space="preserve">）</t>
    </r>
  </si>
  <si>
    <t xml:space="preserve">調査士試験で使う縮尺が入った定番。目盛りが削れていないか要確認。既に持っていて削れていなければ買わない</t>
  </si>
  <si>
    <t xml:space="preserve">https://moalicense.jp/tyousasi/yougu.htm</t>
  </si>
  <si>
    <t xml:space="preserve">東京法経学院の調査士試験用（試験に特化した設計との評）</t>
  </si>
  <si>
    <t xml:space="preserve">作図の速度と精度に直結。欠けていると線がぶれる。既存が無傷なら買い替え不要——直前期に道具を変えるリスクの方が大きい</t>
  </si>
  <si>
    <r>
      <rPr>
        <sz val="10"/>
        <rFont val="Yu Gothic"/>
        <family val="0"/>
        <charset val="1"/>
      </rPr>
      <t xml:space="preserve">https://agaroot-career.jp/chousashi2/triangle-ruler/ </t>
    </r>
    <r>
      <rPr>
        <sz val="10"/>
        <rFont val="WenQuanYi Zen Hei"/>
        <family val="2"/>
      </rPr>
      <t xml:space="preserve">／ </t>
    </r>
    <r>
      <rPr>
        <sz val="10"/>
        <rFont val="Yu Gothic"/>
        <family val="0"/>
        <charset val="1"/>
      </rPr>
      <t xml:space="preserve">https://www.thg.co.jp/douyo/shikaku/chousashi/how-to-choose-tools-such-as-triangular-rulers-and-triangular-scales-to-be-used-in-the-land-and-house-surveyor-examination/</t>
    </r>
  </si>
  <si>
    <t xml:space="preserve">中</t>
  </si>
  <si>
    <r>
      <rPr>
        <sz val="10"/>
        <rFont val="WenQuanYi Zen Hei"/>
        <family val="2"/>
      </rPr>
      <t xml:space="preserve">分度器（全円・直径</t>
    </r>
    <r>
      <rPr>
        <sz val="10"/>
        <rFont val="Yu Gothic"/>
        <family val="0"/>
        <charset val="1"/>
      </rPr>
      <t xml:space="preserve">12cm</t>
    </r>
    <r>
      <rPr>
        <sz val="10"/>
        <rFont val="WenQuanYi Zen Hei"/>
        <family val="2"/>
      </rPr>
      <t xml:space="preserve">）</t>
    </r>
  </si>
  <si>
    <t xml:space="preserve">全円タイプ</t>
  </si>
  <si>
    <t xml:space="preserve">半円より全円が扱いやすいとの推奨。持っていれば買わない</t>
  </si>
  <si>
    <r>
      <rPr>
        <sz val="10"/>
        <rFont val="Yu Gothic"/>
        <family val="0"/>
        <charset val="1"/>
      </rPr>
      <t xml:space="preserve">0.5mm</t>
    </r>
    <r>
      <rPr>
        <sz val="10"/>
        <rFont val="WenQuanYi Zen Hei"/>
        <family val="2"/>
      </rPr>
      <t xml:space="preserve">のシャープ芯が使えるタイプ</t>
    </r>
  </si>
  <si>
    <t xml:space="preserve">芯径が図面の線と揃う。既存があれば芯の確認だけ</t>
  </si>
  <si>
    <t xml:space="preserve">腕時計（アナログ）</t>
  </si>
  <si>
    <t xml:space="preserve">スマートウォッチは不可</t>
  </si>
  <si>
    <t xml:space="preserve">残り時間が直感で分かるアナログが有利。電池切れに注意。★試験規定は受験票・受験案内で最終確認（腕時計の詳細規定は当環境で一次情報を確認できず）</t>
  </si>
  <si>
    <r>
      <rPr>
        <sz val="10"/>
        <rFont val="Yu Gothic"/>
        <family val="0"/>
        <charset val="1"/>
      </rPr>
      <t xml:space="preserve">https://www.moj.go.jp/MINJI/minji05_00770.html</t>
    </r>
    <r>
      <rPr>
        <sz val="10"/>
        <rFont val="WenQuanYi Zen Hei"/>
        <family val="2"/>
      </rPr>
      <t xml:space="preserve">（要本人確認）</t>
    </r>
  </si>
  <si>
    <t xml:space="preserve">不要</t>
  </si>
  <si>
    <r>
      <rPr>
        <sz val="10"/>
        <rFont val="Yu Gothic"/>
        <family val="0"/>
        <charset val="1"/>
      </rPr>
      <t xml:space="preserve">3</t>
    </r>
    <r>
      <rPr>
        <sz val="10"/>
        <rFont val="WenQuanYi Zen Hei"/>
        <family val="2"/>
      </rPr>
      <t xml:space="preserve">色ボールペン／マーカー（別途）</t>
    </r>
  </si>
  <si>
    <r>
      <rPr>
        <sz val="10"/>
        <rFont val="Yu Gothic"/>
        <family val="0"/>
        <charset val="1"/>
      </rPr>
      <t xml:space="preserve">4&amp;1</t>
    </r>
    <r>
      <rPr>
        <sz val="10"/>
        <rFont val="WenQuanYi Zen Hei"/>
        <family val="2"/>
      </rPr>
      <t xml:space="preserve">で兼ねるので別途不要。蛍光ペンを使うなら「黄色は見にくいのでピンク」（独立記事）</t>
    </r>
  </si>
  <si>
    <t xml:space="preserve">買わない</t>
  </si>
  <si>
    <t xml:space="preserve">関数電卓の買い替え</t>
  </si>
  <si>
    <r>
      <rPr>
        <sz val="10"/>
        <rFont val="Yu Gothic"/>
        <family val="0"/>
        <charset val="1"/>
      </rPr>
      <t xml:space="preserve">fx-JP500</t>
    </r>
    <r>
      <rPr>
        <sz val="10"/>
        <rFont val="WenQuanYi Zen Hei"/>
        <family val="2"/>
      </rPr>
      <t xml:space="preserve">は生産終了。後継</t>
    </r>
    <r>
      <rPr>
        <sz val="10"/>
        <rFont val="Yu Gothic"/>
        <family val="0"/>
        <charset val="1"/>
      </rPr>
      <t xml:space="preserve">fx-JP500CW</t>
    </r>
    <r>
      <rPr>
        <sz val="10"/>
        <rFont val="WenQuanYi Zen Hei"/>
        <family val="2"/>
      </rPr>
      <t xml:space="preserve">／</t>
    </r>
    <r>
      <rPr>
        <sz val="10"/>
        <rFont val="Yu Gothic"/>
        <family val="0"/>
        <charset val="1"/>
      </rPr>
      <t xml:space="preserve">Canon F-789SG </t>
    </r>
    <r>
      <rPr>
        <sz val="10"/>
        <rFont val="WenQuanYi Zen Hei"/>
        <family val="2"/>
      </rPr>
      <t xml:space="preserve">が候補</t>
    </r>
  </si>
  <si>
    <r>
      <rPr>
        <sz val="10"/>
        <rFont val="Yu Gothic"/>
        <family val="0"/>
        <charset val="1"/>
      </rPr>
      <t xml:space="preserve">★39</t>
    </r>
    <r>
      <rPr>
        <sz val="10"/>
        <rFont val="WenQuanYi Zen Hei"/>
        <family val="2"/>
      </rPr>
      <t xml:space="preserve">日前に慣れた電卓を変えるのは最悪手。今の機種が法務省の使用可能リストにあれば買い替えない。買うなら「同じ機種の予備</t>
    </r>
    <r>
      <rPr>
        <sz val="10"/>
        <rFont val="Yu Gothic"/>
        <family val="0"/>
        <charset val="1"/>
      </rPr>
      <t xml:space="preserve">1</t>
    </r>
    <r>
      <rPr>
        <sz val="10"/>
        <rFont val="WenQuanYi Zen Hei"/>
        <family val="2"/>
      </rPr>
      <t xml:space="preserve">台」だけ</t>
    </r>
  </si>
  <si>
    <r>
      <rPr>
        <sz val="10"/>
        <rFont val="Yu Gothic"/>
        <family val="0"/>
        <charset val="1"/>
      </rPr>
      <t xml:space="preserve">https://agaroot-career.jp/chousashi2/calculator/ </t>
    </r>
    <r>
      <rPr>
        <sz val="10"/>
        <rFont val="WenQuanYi Zen Hei"/>
        <family val="2"/>
      </rPr>
      <t xml:space="preserve">／ </t>
    </r>
    <r>
      <rPr>
        <sz val="10"/>
        <rFont val="Yu Gothic"/>
        <family val="0"/>
        <charset val="1"/>
      </rPr>
      <t xml:space="preserve">https://nakayama-yusuke.com/nakayama-casiofxjp500cw/</t>
    </r>
  </si>
  <si>
    <t xml:space="preserve">新しい講座・カリキュラム</t>
  </si>
  <si>
    <t xml:space="preserve">直前対策パック等</t>
  </si>
  <si>
    <r>
      <rPr>
        <sz val="10"/>
        <rFont val="Yu Gothic"/>
        <family val="0"/>
        <charset val="1"/>
      </rPr>
      <t xml:space="preserve">39</t>
    </r>
    <r>
      <rPr>
        <sz val="10"/>
        <rFont val="WenQuanYi Zen Hei"/>
        <family val="2"/>
      </rPr>
      <t xml:space="preserve">日で新規インプットは消化不良。買うのは測定（答練・模試）と作図の実演だけ</t>
    </r>
  </si>
  <si>
    <r>
      <rPr>
        <sz val="10"/>
        <rFont val="Yu Gothic"/>
        <family val="0"/>
        <charset val="1"/>
      </rPr>
      <t xml:space="preserve">https://www.agaroot.jp/chousashi/chokuzen/</t>
    </r>
    <r>
      <rPr>
        <sz val="10"/>
        <rFont val="WenQuanYi Zen Hei"/>
        <family val="2"/>
      </rPr>
      <t xml:space="preserve">（参考・買わない判断）</t>
    </r>
  </si>
  <si>
    <t xml:space="preserve">買う</t>
  </si>
  <si>
    <t xml:space="preserve">関数電卓のボタン電池（予備）</t>
  </si>
  <si>
    <t xml:space="preserve">機種の指定電池</t>
  </si>
  <si>
    <r>
      <rPr>
        <sz val="10"/>
        <rFont val="WenQuanYi Zen Hei"/>
        <family val="2"/>
      </rPr>
      <t xml:space="preserve">電池切れは一発アウトで、かつ最も安く防げるリスク。</t>
    </r>
    <r>
      <rPr>
        <sz val="10"/>
        <rFont val="Yu Gothic"/>
        <family val="0"/>
        <charset val="1"/>
      </rPr>
      <t xml:space="preserve">1</t>
    </r>
    <r>
      <rPr>
        <sz val="10"/>
        <rFont val="WenQuanYi Zen Hei"/>
        <family val="2"/>
      </rPr>
      <t xml:space="preserve">週間前に交換する</t>
    </r>
  </si>
  <si>
    <t xml:space="preserve">（一般的なリスク管理）</t>
  </si>
  <si>
    <r>
      <rPr>
        <b val="true"/>
        <sz val="10"/>
        <rFont val="WenQuanYi Zen Hei"/>
        <family val="2"/>
      </rPr>
      <t xml:space="preserve">★買い物の原則：直前期に「慣れているもの」を変えない。買ってよいのは①規定を満たしていない物の置き換え ②消耗品・予備 ③持っていない物、の</t>
    </r>
    <r>
      <rPr>
        <b val="true"/>
        <sz val="10"/>
        <rFont val="Yu Gothic"/>
        <family val="0"/>
        <charset val="1"/>
      </rPr>
      <t xml:space="preserve">3</t>
    </r>
    <r>
      <rPr>
        <b val="true"/>
        <sz val="10"/>
        <rFont val="WenQuanYi Zen Hei"/>
        <family val="2"/>
      </rPr>
      <t xml:space="preserve">つだけ。「良さそうだから買う」は道具に慣れる時間を失うぶんマイナスになる。</t>
    </r>
  </si>
</sst>
</file>

<file path=xl/styles.xml><?xml version="1.0" encoding="utf-8"?>
<styleSheet xmlns="http://schemas.openxmlformats.org/spreadsheetml/2006/main">
  <numFmts count="16">
    <numFmt numFmtId="164" formatCode="General"/>
    <numFmt numFmtId="165" formatCode="yyyy/mm/dd"/>
    <numFmt numFmtId="166" formatCode="0\日"/>
    <numFmt numFmtId="167" formatCode="0\本"/>
    <numFmt numFmtId="168" formatCode="\¥#,##0"/>
    <numFmt numFmtId="169" formatCode="0&quot;部屋&quot;"/>
    <numFmt numFmtId="170" formatCode="0\棟"/>
    <numFmt numFmtId="171" formatCode="General"/>
    <numFmt numFmtId="172" formatCode="@"/>
    <numFmt numFmtId="173" formatCode="0.0"/>
    <numFmt numFmtId="174" formatCode="\+0.0;\-0.0;0"/>
    <numFmt numFmtId="175" formatCode="\+0.0\分;\-0.0\分;0"/>
    <numFmt numFmtId="176" formatCode="0\分"/>
    <numFmt numFmtId="177" formatCode="hh:mm"/>
    <numFmt numFmtId="178" formatCode="\+0\分;\-0\分;0"/>
    <numFmt numFmtId="179" formatCode="0.0\分"/>
  </numFmts>
  <fonts count="32">
    <font>
      <sz val="11"/>
      <color theme="1"/>
      <name val="Calibri"/>
      <family val="2"/>
      <charset val="1"/>
    </font>
    <font>
      <sz val="10"/>
      <name val="Arial"/>
      <family val="0"/>
    </font>
    <font>
      <sz val="10"/>
      <name val="Arial"/>
      <family val="0"/>
    </font>
    <font>
      <sz val="10"/>
      <name val="Arial"/>
      <family val="0"/>
    </font>
    <font>
      <b val="true"/>
      <sz val="14"/>
      <color rgb="FF1F3864"/>
      <name val="WenQuanYi Zen Hei"/>
      <family val="2"/>
    </font>
    <font>
      <b val="true"/>
      <sz val="14"/>
      <color rgb="FF1F3864"/>
      <name val="Yu Gothic"/>
      <family val="0"/>
      <charset val="1"/>
    </font>
    <font>
      <sz val="9"/>
      <color rgb="FF808080"/>
      <name val="WenQuanYi Zen Hei"/>
      <family val="2"/>
    </font>
    <font>
      <sz val="9"/>
      <color rgb="FF808080"/>
      <name val="Yu Gothic"/>
      <family val="0"/>
      <charset val="1"/>
    </font>
    <font>
      <b val="true"/>
      <sz val="10"/>
      <name val="WenQuanYi Zen Hei"/>
      <family val="2"/>
    </font>
    <font>
      <sz val="10"/>
      <color rgb="FF0000FF"/>
      <name val="Yu Gothic"/>
      <family val="0"/>
      <charset val="1"/>
    </font>
    <font>
      <b val="true"/>
      <sz val="13"/>
      <color rgb="FFC00000"/>
      <name val="Yu Gothic"/>
      <family val="0"/>
      <charset val="1"/>
    </font>
    <font>
      <b val="true"/>
      <sz val="10"/>
      <name val="Yu Gothic"/>
      <family val="0"/>
      <charset val="1"/>
    </font>
    <font>
      <b val="true"/>
      <sz val="13"/>
      <color rgb="FF1F3864"/>
      <name val="Yu Gothic"/>
      <family val="0"/>
      <charset val="1"/>
    </font>
    <font>
      <b val="true"/>
      <sz val="11"/>
      <color rgb="FFBF9000"/>
      <name val="WenQuanYi Zen Hei"/>
      <family val="2"/>
    </font>
    <font>
      <b val="true"/>
      <sz val="11"/>
      <color rgb="FFBF9000"/>
      <name val="Yu Gothic"/>
      <family val="0"/>
      <charset val="1"/>
    </font>
    <font>
      <b val="true"/>
      <sz val="10"/>
      <color rgb="FFFFFFFF"/>
      <name val="WenQuanYi Zen Hei"/>
      <family val="2"/>
    </font>
    <font>
      <sz val="10"/>
      <name val="WenQuanYi Zen Hei"/>
      <family val="2"/>
    </font>
    <font>
      <sz val="10"/>
      <name val="Yu Gothic"/>
      <family val="0"/>
      <charset val="1"/>
    </font>
    <font>
      <b val="true"/>
      <sz val="10"/>
      <color rgb="FFFFFFFF"/>
      <name val="Yu Gothic"/>
      <family val="0"/>
      <charset val="1"/>
    </font>
    <font>
      <sz val="9"/>
      <color rgb="FF595959"/>
      <name val="WenQuanYi Zen Hei"/>
      <family val="2"/>
    </font>
    <font>
      <sz val="9"/>
      <color rgb="FF595959"/>
      <name val="Yu Gothic"/>
      <family val="0"/>
      <charset val="1"/>
    </font>
    <font>
      <sz val="9"/>
      <color rgb="FF0000FF"/>
      <name val="WenQuanYi Zen Hei"/>
      <family val="2"/>
    </font>
    <font>
      <sz val="9"/>
      <color rgb="FF0000FF"/>
      <name val="Yu Gothic"/>
      <family val="0"/>
      <charset val="1"/>
    </font>
    <font>
      <b val="true"/>
      <sz val="9"/>
      <color rgb="FFC00000"/>
      <name val="WenQuanYi Zen Hei"/>
      <family val="2"/>
    </font>
    <font>
      <b val="true"/>
      <sz val="9"/>
      <color rgb="FFC00000"/>
      <name val="Yu Gothic"/>
      <family val="0"/>
      <charset val="1"/>
    </font>
    <font>
      <sz val="10"/>
      <color rgb="FF0000FF"/>
      <name val="WenQuanYi Zen Hei"/>
      <family val="2"/>
    </font>
    <font>
      <b val="true"/>
      <sz val="10"/>
      <color rgb="FFC00000"/>
      <name val="Yu Gothic"/>
      <family val="0"/>
      <charset val="1"/>
    </font>
    <font>
      <sz val="10"/>
      <color rgb="FF000000"/>
      <name val="WenQuanYi Zen Hei"/>
      <family val="2"/>
    </font>
    <font>
      <sz val="10"/>
      <color rgb="FF000000"/>
      <name val="Yu Gothic"/>
      <family val="0"/>
      <charset val="1"/>
    </font>
    <font>
      <b val="true"/>
      <sz val="12"/>
      <color rgb="FF1F3864"/>
      <name val="Yu Gothic"/>
      <family val="0"/>
      <charset val="1"/>
    </font>
    <font>
      <b val="true"/>
      <sz val="12"/>
      <color rgb="FFC00000"/>
      <name val="Yu Gothic"/>
      <family val="0"/>
      <charset val="1"/>
    </font>
    <font>
      <b val="true"/>
      <sz val="11"/>
      <color rgb="FF1F3864"/>
      <name val="Yu Gothic"/>
      <family val="0"/>
      <charset val="1"/>
    </font>
  </fonts>
  <fills count="6">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2CC"/>
        <bgColor rgb="FFF8E3DE"/>
      </patternFill>
    </fill>
    <fill>
      <patternFill patternType="solid">
        <fgColor rgb="FFF8E3DE"/>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6" fillId="3" borderId="1" xfId="0" applyFont="true" applyBorder="true" applyAlignment="true" applyProtection="false">
      <alignment horizontal="general" vertical="top" textRotation="0" wrapText="true" indent="0" shrinkToFit="false"/>
      <protection locked="true" hidden="false"/>
    </xf>
    <xf numFmtId="164" fontId="11" fillId="4" borderId="0" xfId="0" applyFont="true" applyBorder="true" applyAlignment="true" applyProtection="false">
      <alignment horizontal="general" vertical="top" textRotation="0" wrapText="true" indent="0" shrinkToFit="false"/>
      <protection locked="true" hidden="false"/>
    </xf>
    <xf numFmtId="164" fontId="17" fillId="3" borderId="1" xfId="0" applyFont="true" applyBorder="true" applyAlignment="true" applyProtection="false">
      <alignment horizontal="general" vertical="top" textRotation="0" wrapText="true" indent="0" shrinkToFit="false"/>
      <protection locked="true" hidden="false"/>
    </xf>
    <xf numFmtId="164" fontId="18" fillId="2" borderId="1"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9" fontId="9" fillId="0" borderId="1" xfId="0" applyFont="true" applyBorder="true" applyAlignment="true" applyProtection="false">
      <alignment horizontal="general" vertical="top" textRotation="0" wrapText="true" indent="0" shrinkToFit="false"/>
      <protection locked="true" hidden="false"/>
    </xf>
    <xf numFmtId="168" fontId="11" fillId="0" borderId="1" xfId="0" applyFont="true" applyBorder="true" applyAlignment="true" applyProtection="false">
      <alignment horizontal="general" vertical="top" textRotation="0" wrapText="true" indent="0" shrinkToFit="false"/>
      <protection locked="true" hidden="false"/>
    </xf>
    <xf numFmtId="170" fontId="9"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true" applyAlignment="true" applyProtection="false">
      <alignment horizontal="general" vertical="top"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center" vertical="bottom" textRotation="0" wrapText="false" indent="0" shrinkToFit="false"/>
      <protection locked="true" hidden="false"/>
    </xf>
    <xf numFmtId="171" fontId="11" fillId="0" borderId="1" xfId="0" applyFont="true" applyBorder="true" applyAlignment="true" applyProtection="false">
      <alignment horizontal="center" vertical="bottom" textRotation="0" wrapText="false" indent="0" shrinkToFit="false"/>
      <protection locked="true" hidden="false"/>
    </xf>
    <xf numFmtId="172" fontId="9" fillId="0" borderId="1"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25" fillId="0" borderId="1" xfId="0" applyFont="true" applyBorder="true" applyAlignment="true" applyProtection="false">
      <alignment horizontal="center" vertical="center" textRotation="0" wrapText="false" indent="0" shrinkToFit="false"/>
      <protection locked="true" hidden="false"/>
    </xf>
    <xf numFmtId="171" fontId="17" fillId="0" borderId="1" xfId="0" applyFont="true" applyBorder="true" applyAlignment="true" applyProtection="false">
      <alignment horizontal="center" vertical="center" textRotation="0" wrapText="false" indent="0" shrinkToFit="false"/>
      <protection locked="true" hidden="false"/>
    </xf>
    <xf numFmtId="171" fontId="26" fillId="0" borderId="1" xfId="0" applyFont="true" applyBorder="true" applyAlignment="true" applyProtection="false">
      <alignment horizontal="center" vertical="center" textRotation="0" wrapText="false" indent="0" shrinkToFit="false"/>
      <protection locked="true" hidden="false"/>
    </xf>
    <xf numFmtId="164" fontId="25" fillId="0" borderId="1" xfId="0" applyFont="true" applyBorder="true" applyAlignment="true" applyProtection="false">
      <alignment horizontal="left" vertical="center" textRotation="0" wrapText="true" indent="0" shrinkToFit="false"/>
      <protection locked="true" hidden="false"/>
    </xf>
    <xf numFmtId="164" fontId="27" fillId="0" borderId="1" xfId="0" applyFont="true" applyBorder="true" applyAlignment="true" applyProtection="false">
      <alignment horizontal="left" vertical="center" textRotation="0" wrapText="false" indent="0" shrinkToFit="false"/>
      <protection locked="true" hidden="false"/>
    </xf>
    <xf numFmtId="173" fontId="28" fillId="0" borderId="1" xfId="0" applyFont="true" applyBorder="true" applyAlignment="true" applyProtection="false">
      <alignment horizontal="center" vertical="center" textRotation="0" wrapText="false" indent="0" shrinkToFit="false"/>
      <protection locked="true" hidden="false"/>
    </xf>
    <xf numFmtId="171" fontId="28" fillId="0" borderId="1" xfId="0" applyFont="true" applyBorder="true" applyAlignment="true" applyProtection="false">
      <alignment horizontal="center" vertical="center" textRotation="0" wrapText="false" indent="0" shrinkToFit="false"/>
      <protection locked="true" hidden="false"/>
    </xf>
    <xf numFmtId="174" fontId="26" fillId="0" borderId="1" xfId="0" applyFont="true" applyBorder="true" applyAlignment="true" applyProtection="false">
      <alignment horizontal="center" vertical="center" textRotation="0" wrapText="false" indent="0" shrinkToFit="false"/>
      <protection locked="true" hidden="false"/>
    </xf>
    <xf numFmtId="164" fontId="27" fillId="0" borderId="1" xfId="0" applyFont="true" applyBorder="true" applyAlignment="true" applyProtection="false">
      <alignment horizontal="left" vertical="center" textRotation="0" wrapText="true" indent="0" shrinkToFit="false"/>
      <protection locked="true" hidden="false"/>
    </xf>
    <xf numFmtId="167" fontId="29" fillId="0" borderId="0" xfId="0" applyFont="true" applyBorder="false" applyAlignment="true" applyProtection="false">
      <alignment horizontal="center" vertical="bottom" textRotation="0" wrapText="false" indent="0" shrinkToFit="false"/>
      <protection locked="true" hidden="false"/>
    </xf>
    <xf numFmtId="175" fontId="30"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76" fontId="9" fillId="0" borderId="1" xfId="0" applyFont="true" applyBorder="true" applyAlignment="true" applyProtection="false">
      <alignment horizontal="center" vertical="top" textRotation="0" wrapText="true" indent="0" shrinkToFit="false"/>
      <protection locked="true" hidden="false"/>
    </xf>
    <xf numFmtId="164" fontId="19"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76" fontId="31" fillId="0" borderId="1" xfId="0" applyFont="true" applyBorder="true" applyAlignment="true" applyProtection="false">
      <alignment horizontal="center"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77" fontId="9" fillId="0" borderId="0" xfId="0" applyFont="true" applyBorder="false" applyAlignment="true" applyProtection="false">
      <alignment horizontal="center" vertical="bottom" textRotation="0" wrapText="fals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76" fontId="17" fillId="0" borderId="1" xfId="0" applyFont="true" applyBorder="true" applyAlignment="true" applyProtection="false">
      <alignment horizontal="center" vertical="center" textRotation="0" wrapText="true" indent="0" shrinkToFit="false"/>
      <protection locked="true" hidden="false"/>
    </xf>
    <xf numFmtId="177" fontId="29"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general" vertical="center" textRotation="0" wrapText="true" indent="0" shrinkToFit="false"/>
      <protection locked="true" hidden="false"/>
    </xf>
    <xf numFmtId="178" fontId="26" fillId="0" borderId="1" xfId="0" applyFont="true" applyBorder="true" applyAlignment="true" applyProtection="false">
      <alignment horizontal="center" vertical="center" textRotation="0" wrapText="false" indent="0" shrinkToFit="false"/>
      <protection locked="true" hidden="false"/>
    </xf>
    <xf numFmtId="179" fontId="30" fillId="0" borderId="0" xfId="0" applyFont="true" applyBorder="false" applyAlignment="true" applyProtection="false">
      <alignment horizontal="center" vertical="bottom" textRotation="0" wrapText="false" indent="0" shrinkToFit="false"/>
      <protection locked="true" hidden="false"/>
    </xf>
    <xf numFmtId="164" fontId="11" fillId="5"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E3DE"/>
      <rgbColor rgb="FF3366FF"/>
      <rgbColor rgb="FF33CCCC"/>
      <rgbColor rgb="FF99CC00"/>
      <rgbColor rgb="FFFFCC00"/>
      <rgbColor rgb="FFBF90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3" min="3" style="0" width="66"/>
  </cols>
  <sheetData>
    <row r="1" customFormat="false" ht="19.4"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n">
        <f aca="false">DATE(2026,10,18)</f>
        <v>46313</v>
      </c>
    </row>
    <row r="5" customFormat="false" ht="15" hidden="false" customHeight="false" outlineLevel="0" collapsed="false">
      <c r="A5" s="3" t="s">
        <v>3</v>
      </c>
      <c r="B5" s="5" t="n">
        <f aca="false">DATE(2026,9,8)</f>
        <v>46273</v>
      </c>
    </row>
    <row r="6" customFormat="false" ht="17.15" hidden="false" customHeight="false" outlineLevel="0" collapsed="false">
      <c r="A6" s="3" t="s">
        <v>4</v>
      </c>
      <c r="B6" s="6" t="n">
        <f aca="false">B4-B5</f>
        <v>40</v>
      </c>
    </row>
    <row r="7" customFormat="false" ht="17.15" hidden="false" customHeight="false" outlineLevel="0" collapsed="false">
      <c r="A7" s="3" t="s">
        <v>5</v>
      </c>
      <c r="B7" s="7" t="n">
        <f aca="false">ROUND(B6/7*2,0)</f>
        <v>11</v>
      </c>
    </row>
    <row r="9" customFormat="false" ht="15" hidden="false" customHeight="false" outlineLevel="0" collapsed="false">
      <c r="A9" s="8" t="s">
        <v>6</v>
      </c>
    </row>
    <row r="10" customFormat="false" ht="15" hidden="false" customHeight="false" outlineLevel="0" collapsed="false">
      <c r="A10" s="9" t="s">
        <v>7</v>
      </c>
      <c r="B10" s="9" t="s">
        <v>8</v>
      </c>
      <c r="C10" s="9" t="s">
        <v>9</v>
      </c>
    </row>
    <row r="11" customFormat="false" ht="26.85" hidden="false" customHeight="false" outlineLevel="0" collapsed="false">
      <c r="A11" s="10" t="s">
        <v>10</v>
      </c>
      <c r="B11" s="10" t="s">
        <v>11</v>
      </c>
      <c r="C11" s="11" t="s">
        <v>12</v>
      </c>
    </row>
    <row r="12" customFormat="false" ht="26.85" hidden="false" customHeight="false" outlineLevel="0" collapsed="false">
      <c r="A12" s="12" t="s">
        <v>13</v>
      </c>
      <c r="B12" s="12" t="s">
        <v>14</v>
      </c>
      <c r="C12" s="12" t="s">
        <v>15</v>
      </c>
    </row>
    <row r="13" customFormat="false" ht="26.85" hidden="false" customHeight="false" outlineLevel="0" collapsed="false">
      <c r="A13" s="10" t="s">
        <v>16</v>
      </c>
      <c r="B13" s="11" t="s">
        <v>17</v>
      </c>
      <c r="C13" s="10" t="s">
        <v>18</v>
      </c>
    </row>
    <row r="14" customFormat="false" ht="15" hidden="false" customHeight="false" outlineLevel="0" collapsed="false">
      <c r="A14" s="12" t="s">
        <v>19</v>
      </c>
      <c r="B14" s="12" t="s">
        <v>20</v>
      </c>
      <c r="C14" s="12" t="s">
        <v>21</v>
      </c>
    </row>
    <row r="15" customFormat="false" ht="26.85" hidden="false" customHeight="false" outlineLevel="0" collapsed="false">
      <c r="A15" s="10" t="s">
        <v>22</v>
      </c>
      <c r="B15" s="10" t="s">
        <v>23</v>
      </c>
      <c r="C15" s="10" t="s">
        <v>24</v>
      </c>
    </row>
    <row r="17" customFormat="false" ht="39.75" hidden="false" customHeight="true" outlineLevel="0" collapsed="false">
      <c r="A17" s="13" t="s">
        <v>25</v>
      </c>
      <c r="B17" s="13"/>
      <c r="C17" s="13"/>
    </row>
  </sheetData>
  <mergeCells count="1">
    <mergeCell ref="A17:C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28"/>
    <col collapsed="false" customWidth="true" hidden="false" outlineLevel="0" max="3" min="3" style="0" width="90"/>
  </cols>
  <sheetData>
    <row r="1" customFormat="false" ht="17.35" hidden="false" customHeight="false" outlineLevel="0" collapsed="false">
      <c r="A1" s="1" t="s">
        <v>26</v>
      </c>
    </row>
    <row r="2" customFormat="false" ht="15" hidden="false" customHeight="false" outlineLevel="0" collapsed="false">
      <c r="A2" s="2" t="s">
        <v>27</v>
      </c>
    </row>
    <row r="4" customFormat="false" ht="15" hidden="false" customHeight="false" outlineLevel="0" collapsed="false">
      <c r="A4" s="9" t="s">
        <v>28</v>
      </c>
      <c r="B4" s="9" t="s">
        <v>29</v>
      </c>
      <c r="C4" s="9" t="s">
        <v>30</v>
      </c>
    </row>
    <row r="5" customFormat="false" ht="15" hidden="false" customHeight="false" outlineLevel="0" collapsed="false">
      <c r="A5" s="10" t="s">
        <v>31</v>
      </c>
      <c r="B5" s="10" t="s">
        <v>32</v>
      </c>
      <c r="C5" s="10" t="s">
        <v>33</v>
      </c>
    </row>
    <row r="6" customFormat="false" ht="26.85" hidden="false" customHeight="false" outlineLevel="0" collapsed="false">
      <c r="A6" s="12" t="s">
        <v>34</v>
      </c>
      <c r="B6" s="12" t="s">
        <v>35</v>
      </c>
      <c r="C6" s="12" t="s">
        <v>36</v>
      </c>
    </row>
    <row r="7" customFormat="false" ht="39.55" hidden="false" customHeight="false" outlineLevel="0" collapsed="false">
      <c r="A7" s="10" t="s">
        <v>37</v>
      </c>
      <c r="B7" s="10" t="s">
        <v>38</v>
      </c>
      <c r="C7" s="10" t="s">
        <v>39</v>
      </c>
    </row>
    <row r="8" customFormat="false" ht="39.55" hidden="false" customHeight="false" outlineLevel="0" collapsed="false">
      <c r="A8" s="12" t="s">
        <v>40</v>
      </c>
      <c r="B8" s="12" t="s">
        <v>41</v>
      </c>
      <c r="C8" s="12" t="s">
        <v>39</v>
      </c>
    </row>
    <row r="9" customFormat="false" ht="38.05" hidden="false" customHeight="false" outlineLevel="0" collapsed="false">
      <c r="A9" s="10" t="s">
        <v>42</v>
      </c>
      <c r="B9" s="11" t="s">
        <v>43</v>
      </c>
      <c r="C9" s="10" t="s">
        <v>33</v>
      </c>
    </row>
    <row r="10" customFormat="false" ht="26.85" hidden="false" customHeight="false" outlineLevel="0" collapsed="false">
      <c r="A10" s="14" t="s">
        <v>44</v>
      </c>
      <c r="B10" s="14" t="s">
        <v>45</v>
      </c>
      <c r="C10" s="14" t="s">
        <v>46</v>
      </c>
    </row>
    <row r="11" customFormat="false" ht="26.85" hidden="false" customHeight="false" outlineLevel="0" collapsed="false">
      <c r="A11" s="10" t="s">
        <v>47</v>
      </c>
      <c r="B11" s="11" t="s">
        <v>48</v>
      </c>
      <c r="C11" s="11" t="s">
        <v>49</v>
      </c>
    </row>
    <row r="12" customFormat="false" ht="39.55" hidden="false" customHeight="false" outlineLevel="0" collapsed="false">
      <c r="A12" s="12" t="s">
        <v>50</v>
      </c>
      <c r="B12" s="12" t="s">
        <v>51</v>
      </c>
      <c r="C12" s="12" t="s">
        <v>52</v>
      </c>
    </row>
    <row r="14" customFormat="false" ht="15" hidden="false" customHeight="false" outlineLevel="0" collapsed="false">
      <c r="A14" s="8" t="s">
        <v>53</v>
      </c>
    </row>
    <row r="15" customFormat="false" ht="15" hidden="false" customHeight="false" outlineLevel="0" collapsed="false">
      <c r="A15" s="15" t="s">
        <v>54</v>
      </c>
      <c r="B15" s="9" t="s">
        <v>55</v>
      </c>
      <c r="C15" s="9" t="s">
        <v>56</v>
      </c>
    </row>
    <row r="16" customFormat="false" ht="15" hidden="false" customHeight="false" outlineLevel="0" collapsed="false">
      <c r="A16" s="10" t="n">
        <v>1</v>
      </c>
      <c r="B16" s="10" t="s">
        <v>57</v>
      </c>
      <c r="C16" s="10" t="s">
        <v>58</v>
      </c>
    </row>
    <row r="17" customFormat="false" ht="15" hidden="false" customHeight="false" outlineLevel="0" collapsed="false">
      <c r="A17" s="12" t="n">
        <v>2</v>
      </c>
      <c r="B17" s="12" t="s">
        <v>59</v>
      </c>
      <c r="C17" s="12" t="s">
        <v>60</v>
      </c>
    </row>
    <row r="18" customFormat="false" ht="15" hidden="false" customHeight="false" outlineLevel="0" collapsed="false">
      <c r="A18" s="10" t="n">
        <v>3</v>
      </c>
      <c r="B18" s="10" t="s">
        <v>61</v>
      </c>
      <c r="C18" s="10" t="s">
        <v>62</v>
      </c>
    </row>
    <row r="19" customFormat="false" ht="15" hidden="false" customHeight="false" outlineLevel="0" collapsed="false">
      <c r="A19" s="12" t="n">
        <v>4</v>
      </c>
      <c r="B19" s="12" t="s">
        <v>63</v>
      </c>
      <c r="C19" s="12" t="s">
        <v>64</v>
      </c>
    </row>
    <row r="20" customFormat="false" ht="15" hidden="false" customHeight="false" outlineLevel="0" collapsed="false">
      <c r="A20" s="10" t="n">
        <v>5</v>
      </c>
      <c r="B20" s="10" t="s">
        <v>65</v>
      </c>
      <c r="C20" s="10" t="s">
        <v>66</v>
      </c>
    </row>
    <row r="21" customFormat="false" ht="15" hidden="false" customHeight="false" outlineLevel="0" collapsed="false">
      <c r="A21" s="12" t="n">
        <v>6</v>
      </c>
      <c r="B21" s="12" t="s">
        <v>67</v>
      </c>
      <c r="C21" s="12" t="s">
        <v>68</v>
      </c>
    </row>
    <row r="22" customFormat="false" ht="15" hidden="false" customHeight="false" outlineLevel="0" collapsed="false">
      <c r="A22" s="10" t="n">
        <v>7</v>
      </c>
      <c r="B22" s="10" t="s">
        <v>69</v>
      </c>
      <c r="C22" s="10" t="s">
        <v>70</v>
      </c>
    </row>
    <row r="23" customFormat="false" ht="15" hidden="false" customHeight="false" outlineLevel="0" collapsed="false">
      <c r="A23" s="12" t="n">
        <v>8</v>
      </c>
      <c r="B23" s="12" t="s">
        <v>71</v>
      </c>
      <c r="C23" s="12" t="s">
        <v>72</v>
      </c>
    </row>
    <row r="24" customFormat="false" ht="15" hidden="false" customHeight="false" outlineLevel="0" collapsed="false">
      <c r="A24" s="10" t="n">
        <v>9</v>
      </c>
      <c r="B24" s="10" t="s">
        <v>73</v>
      </c>
      <c r="C24" s="10" t="s">
        <v>74</v>
      </c>
    </row>
    <row r="25" customFormat="false" ht="15" hidden="false" customHeight="false" outlineLevel="0" collapsed="false">
      <c r="A25" s="12" t="n">
        <v>10</v>
      </c>
      <c r="B25" s="12" t="s">
        <v>75</v>
      </c>
      <c r="C25" s="12" t="s">
        <v>76</v>
      </c>
    </row>
    <row r="26" customFormat="false" ht="15" hidden="false" customHeight="false" outlineLevel="0" collapsed="false">
      <c r="A26" s="10" t="n">
        <v>11</v>
      </c>
      <c r="B26" s="11" t="s">
        <v>77</v>
      </c>
      <c r="C26" s="10" t="s">
        <v>78</v>
      </c>
    </row>
    <row r="28" customFormat="false" ht="39.75" hidden="false" customHeight="true" outlineLevel="0" collapsed="false">
      <c r="A28" s="16" t="s">
        <v>79</v>
      </c>
      <c r="B28" s="16"/>
      <c r="C28" s="16"/>
    </row>
  </sheetData>
  <mergeCells count="1">
    <mergeCell ref="A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2"/>
    <col collapsed="false" customWidth="true" hidden="false" outlineLevel="0" max="3" min="3" style="0" width="30"/>
    <col collapsed="false" customWidth="true" hidden="false" outlineLevel="0" max="4" min="4" style="0" width="26"/>
    <col collapsed="false" customWidth="true" hidden="false" outlineLevel="0" max="5" min="5" style="0" width="32"/>
    <col collapsed="false" customWidth="true" hidden="false" outlineLevel="0" max="6" min="6" style="0" width="16"/>
  </cols>
  <sheetData>
    <row r="1" customFormat="false" ht="19.4" hidden="false" customHeight="false" outlineLevel="0" collapsed="false">
      <c r="A1" s="1" t="s">
        <v>80</v>
      </c>
    </row>
    <row r="2" customFormat="false" ht="15" hidden="false" customHeight="false" outlineLevel="0" collapsed="false">
      <c r="A2" s="17" t="s">
        <v>81</v>
      </c>
    </row>
    <row r="4" customFormat="false" ht="15" hidden="false" customHeight="false" outlineLevel="0" collapsed="false">
      <c r="A4" s="15" t="s">
        <v>54</v>
      </c>
      <c r="B4" s="9" t="s">
        <v>82</v>
      </c>
      <c r="C4" s="9" t="s">
        <v>83</v>
      </c>
      <c r="D4" s="9" t="s">
        <v>84</v>
      </c>
      <c r="E4" s="9" t="s">
        <v>85</v>
      </c>
      <c r="F4" s="9" t="s">
        <v>86</v>
      </c>
    </row>
    <row r="5" customFormat="false" ht="26.85" hidden="false" customHeight="false" outlineLevel="0" collapsed="false">
      <c r="A5" s="10" t="n">
        <v>1</v>
      </c>
      <c r="B5" s="10" t="s">
        <v>87</v>
      </c>
      <c r="C5" s="10" t="s">
        <v>88</v>
      </c>
      <c r="D5" s="10" t="s">
        <v>89</v>
      </c>
      <c r="E5" s="10" t="s">
        <v>90</v>
      </c>
      <c r="F5" s="10" t="s">
        <v>91</v>
      </c>
    </row>
    <row r="6" customFormat="false" ht="26.85" hidden="false" customHeight="false" outlineLevel="0" collapsed="false">
      <c r="A6" s="12" t="n">
        <v>2</v>
      </c>
      <c r="B6" s="12" t="s">
        <v>92</v>
      </c>
      <c r="C6" s="12" t="s">
        <v>93</v>
      </c>
      <c r="D6" s="12" t="s">
        <v>94</v>
      </c>
      <c r="E6" s="14" t="s">
        <v>95</v>
      </c>
      <c r="F6" s="12" t="s">
        <v>91</v>
      </c>
    </row>
    <row r="7" customFormat="false" ht="26.85" hidden="false" customHeight="false" outlineLevel="0" collapsed="false">
      <c r="A7" s="10" t="n">
        <v>3</v>
      </c>
      <c r="B7" s="10" t="s">
        <v>96</v>
      </c>
      <c r="C7" s="10" t="s">
        <v>97</v>
      </c>
      <c r="D7" s="11" t="s">
        <v>98</v>
      </c>
      <c r="E7" s="11" t="s">
        <v>99</v>
      </c>
      <c r="F7" s="10" t="s">
        <v>100</v>
      </c>
    </row>
    <row r="8" customFormat="false" ht="39.55" hidden="false" customHeight="false" outlineLevel="0" collapsed="false">
      <c r="A8" s="12" t="n">
        <v>4</v>
      </c>
      <c r="B8" s="14" t="s">
        <v>101</v>
      </c>
      <c r="C8" s="12" t="s">
        <v>102</v>
      </c>
      <c r="D8" s="12" t="s">
        <v>103</v>
      </c>
      <c r="E8" s="14" t="s">
        <v>104</v>
      </c>
      <c r="F8" s="12" t="s">
        <v>105</v>
      </c>
    </row>
    <row r="9" customFormat="false" ht="26.85" hidden="false" customHeight="false" outlineLevel="0" collapsed="false">
      <c r="A9" s="10" t="n">
        <v>5</v>
      </c>
      <c r="B9" s="10" t="s">
        <v>106</v>
      </c>
      <c r="C9" s="10" t="s">
        <v>107</v>
      </c>
      <c r="D9" s="10" t="s">
        <v>108</v>
      </c>
      <c r="E9" s="11" t="s">
        <v>109</v>
      </c>
      <c r="F9" s="10" t="s">
        <v>110</v>
      </c>
    </row>
    <row r="10" customFormat="false" ht="15" hidden="false" customHeight="false" outlineLevel="0" collapsed="false">
      <c r="A10" s="12" t="n">
        <v>6</v>
      </c>
      <c r="B10" s="12" t="s">
        <v>111</v>
      </c>
      <c r="C10" s="12" t="s">
        <v>112</v>
      </c>
      <c r="D10" s="12" t="s">
        <v>113</v>
      </c>
      <c r="E10" s="12" t="s">
        <v>114</v>
      </c>
      <c r="F10" s="14" t="s">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46"/>
    <col collapsed="false" customWidth="true" hidden="false" outlineLevel="0" max="3" min="3" style="0" width="48"/>
  </cols>
  <sheetData>
    <row r="1" customFormat="false" ht="19.4" hidden="false" customHeight="false" outlineLevel="0" collapsed="false">
      <c r="A1" s="1" t="s">
        <v>116</v>
      </c>
    </row>
    <row r="2" customFormat="false" ht="15" hidden="false" customHeight="false" outlineLevel="0" collapsed="false">
      <c r="A2" s="2" t="s">
        <v>117</v>
      </c>
    </row>
    <row r="4" customFormat="false" ht="15" hidden="false" customHeight="false" outlineLevel="0" collapsed="false">
      <c r="A4" s="9" t="s">
        <v>28</v>
      </c>
      <c r="B4" s="9" t="s">
        <v>118</v>
      </c>
      <c r="C4" s="9" t="s">
        <v>119</v>
      </c>
    </row>
    <row r="5" customFormat="false" ht="15" hidden="false" customHeight="false" outlineLevel="0" collapsed="false">
      <c r="A5" s="10" t="s">
        <v>120</v>
      </c>
      <c r="B5" s="18" t="n">
        <v>100000</v>
      </c>
      <c r="C5" s="19" t="s">
        <v>121</v>
      </c>
    </row>
    <row r="6" customFormat="false" ht="15" hidden="false" customHeight="false" outlineLevel="0" collapsed="false">
      <c r="A6" s="10" t="s">
        <v>122</v>
      </c>
      <c r="B6" s="20" t="n">
        <v>100</v>
      </c>
      <c r="C6" s="19" t="s">
        <v>123</v>
      </c>
    </row>
    <row r="7" customFormat="false" ht="15" hidden="false" customHeight="false" outlineLevel="0" collapsed="false">
      <c r="A7" s="10" t="s">
        <v>124</v>
      </c>
      <c r="B7" s="21" t="n">
        <f aca="false">B5*B6</f>
        <v>10000000</v>
      </c>
      <c r="C7" s="19" t="s">
        <v>125</v>
      </c>
    </row>
    <row r="8" customFormat="false" ht="15" hidden="false" customHeight="false" outlineLevel="0" collapsed="false">
      <c r="A8" s="10" t="s">
        <v>126</v>
      </c>
      <c r="B8" s="22" t="n">
        <v>4</v>
      </c>
      <c r="C8" s="19" t="s">
        <v>127</v>
      </c>
    </row>
    <row r="9" customFormat="false" ht="15" hidden="false" customHeight="false" outlineLevel="0" collapsed="false">
      <c r="A9" s="10" t="s">
        <v>128</v>
      </c>
      <c r="B9" s="21" t="n">
        <f aca="false">B7*B8</f>
        <v>40000000</v>
      </c>
      <c r="C9" s="19" t="s">
        <v>129</v>
      </c>
    </row>
    <row r="11" customFormat="false" ht="15" hidden="false" customHeight="false" outlineLevel="0" collapsed="false">
      <c r="A11" s="8" t="s">
        <v>130</v>
      </c>
    </row>
    <row r="12" customFormat="false" ht="15" hidden="false" customHeight="false" outlineLevel="0" collapsed="false">
      <c r="A12" s="9" t="s">
        <v>131</v>
      </c>
      <c r="B12" s="9" t="s">
        <v>132</v>
      </c>
      <c r="C12" s="9" t="s">
        <v>133</v>
      </c>
    </row>
    <row r="13" customFormat="false" ht="15" hidden="false" customHeight="false" outlineLevel="0" collapsed="false">
      <c r="A13" s="10" t="s">
        <v>134</v>
      </c>
      <c r="B13" s="10" t="s">
        <v>135</v>
      </c>
      <c r="C13" s="10" t="s">
        <v>136</v>
      </c>
    </row>
    <row r="14" customFormat="false" ht="26.85" hidden="false" customHeight="false" outlineLevel="0" collapsed="false">
      <c r="A14" s="12" t="s">
        <v>137</v>
      </c>
      <c r="B14" s="12" t="s">
        <v>138</v>
      </c>
      <c r="C14" s="12" t="s">
        <v>139</v>
      </c>
    </row>
    <row r="15" customFormat="false" ht="15" hidden="false" customHeight="false" outlineLevel="0" collapsed="false">
      <c r="A15" s="10" t="s">
        <v>140</v>
      </c>
      <c r="B15" s="10" t="s">
        <v>141</v>
      </c>
      <c r="C15" s="10" t="s">
        <v>142</v>
      </c>
    </row>
    <row r="16" customFormat="false" ht="26.85" hidden="false" customHeight="false" outlineLevel="0" collapsed="false">
      <c r="A16" s="12" t="s">
        <v>143</v>
      </c>
      <c r="B16" s="12" t="s">
        <v>144</v>
      </c>
      <c r="C16" s="12" t="s">
        <v>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34"/>
    <col collapsed="false" customWidth="true" hidden="false" outlineLevel="0" max="4" min="4" style="0" width="36"/>
    <col collapsed="false" customWidth="true" hidden="false" outlineLevel="0" max="5" min="5" style="0" width="20"/>
    <col collapsed="false" customWidth="true" hidden="false" outlineLevel="0" max="6" min="6" style="0" width="12"/>
  </cols>
  <sheetData>
    <row r="1" customFormat="false" ht="19.4" hidden="false" customHeight="false" outlineLevel="0" collapsed="false">
      <c r="A1" s="1" t="s">
        <v>146</v>
      </c>
    </row>
    <row r="2" customFormat="false" ht="15" hidden="false" customHeight="false" outlineLevel="0" collapsed="false">
      <c r="A2" s="2" t="s">
        <v>147</v>
      </c>
    </row>
    <row r="4" customFormat="false" ht="15" hidden="false" customHeight="false" outlineLevel="0" collapsed="false">
      <c r="A4" s="15" t="s">
        <v>54</v>
      </c>
      <c r="B4" s="9" t="s">
        <v>148</v>
      </c>
      <c r="C4" s="9" t="s">
        <v>149</v>
      </c>
      <c r="D4" s="9" t="s">
        <v>150</v>
      </c>
      <c r="E4" s="9" t="s">
        <v>151</v>
      </c>
      <c r="F4" s="9" t="s">
        <v>152</v>
      </c>
    </row>
    <row r="5" customFormat="false" ht="39.55" hidden="false" customHeight="false" outlineLevel="0" collapsed="false">
      <c r="A5" s="10" t="n">
        <v>1</v>
      </c>
      <c r="B5" s="10" t="s">
        <v>153</v>
      </c>
      <c r="C5" s="10" t="s">
        <v>154</v>
      </c>
      <c r="D5" s="10" t="s">
        <v>155</v>
      </c>
      <c r="E5" s="10" t="s">
        <v>156</v>
      </c>
      <c r="F5" s="11" t="s">
        <v>157</v>
      </c>
    </row>
    <row r="6" customFormat="false" ht="26.85" hidden="false" customHeight="false" outlineLevel="0" collapsed="false">
      <c r="A6" s="12" t="n">
        <v>2</v>
      </c>
      <c r="B6" s="12" t="s">
        <v>158</v>
      </c>
      <c r="C6" s="12" t="s">
        <v>159</v>
      </c>
      <c r="D6" s="12" t="s">
        <v>160</v>
      </c>
      <c r="E6" s="12" t="s">
        <v>161</v>
      </c>
      <c r="F6" s="14" t="s">
        <v>162</v>
      </c>
    </row>
    <row r="7" customFormat="false" ht="26.85" hidden="false" customHeight="false" outlineLevel="0" collapsed="false">
      <c r="A7" s="10" t="n">
        <v>3</v>
      </c>
      <c r="B7" s="10" t="s">
        <v>163</v>
      </c>
      <c r="C7" s="10" t="s">
        <v>164</v>
      </c>
      <c r="D7" s="10" t="s">
        <v>165</v>
      </c>
      <c r="E7" s="10" t="s">
        <v>166</v>
      </c>
      <c r="F7" s="11" t="s">
        <v>167</v>
      </c>
    </row>
    <row r="8" customFormat="false" ht="26.85" hidden="false" customHeight="false" outlineLevel="0" collapsed="false">
      <c r="A8" s="12" t="n">
        <v>4</v>
      </c>
      <c r="B8" s="12" t="s">
        <v>168</v>
      </c>
      <c r="C8" s="12" t="s">
        <v>169</v>
      </c>
      <c r="D8" s="12" t="s">
        <v>170</v>
      </c>
      <c r="E8" s="12" t="s">
        <v>171</v>
      </c>
      <c r="F8" s="14" t="s">
        <v>172</v>
      </c>
    </row>
    <row r="9" customFormat="false" ht="39.55" hidden="false" customHeight="false" outlineLevel="0" collapsed="false">
      <c r="A9" s="10" t="n">
        <v>5</v>
      </c>
      <c r="B9" s="10" t="s">
        <v>173</v>
      </c>
      <c r="C9" s="10" t="s">
        <v>174</v>
      </c>
      <c r="D9" s="10" t="s">
        <v>175</v>
      </c>
      <c r="E9" s="11" t="s">
        <v>176</v>
      </c>
      <c r="F9" s="11" t="s">
        <v>177</v>
      </c>
    </row>
    <row r="10" customFormat="false" ht="26.85" hidden="false" customHeight="false" outlineLevel="0" collapsed="false">
      <c r="A10" s="12" t="n">
        <v>6</v>
      </c>
      <c r="B10" s="12" t="s">
        <v>178</v>
      </c>
      <c r="C10" s="12" t="s">
        <v>179</v>
      </c>
      <c r="D10" s="14" t="s">
        <v>180</v>
      </c>
      <c r="E10" s="12" t="s">
        <v>181</v>
      </c>
      <c r="F10" s="14" t="s">
        <v>182</v>
      </c>
    </row>
    <row r="11" customFormat="false" ht="26.85" hidden="false" customHeight="false" outlineLevel="0" collapsed="false">
      <c r="A11" s="10" t="n">
        <v>7</v>
      </c>
      <c r="B11" s="10" t="s">
        <v>183</v>
      </c>
      <c r="C11" s="10" t="s">
        <v>184</v>
      </c>
      <c r="D11" s="10" t="s">
        <v>185</v>
      </c>
      <c r="E11" s="10" t="s">
        <v>181</v>
      </c>
      <c r="F11" s="11" t="s">
        <v>182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34"/>
    <col collapsed="false" customWidth="true" hidden="false" outlineLevel="0" max="4" min="4" style="0" width="26"/>
    <col collapsed="false" customWidth="true" hidden="false" outlineLevel="0" max="5" min="5" style="0" width="34"/>
  </cols>
  <sheetData>
    <row r="1" customFormat="false" ht="19.4" hidden="false" customHeight="false" outlineLevel="0" collapsed="false">
      <c r="A1" s="1" t="s">
        <v>186</v>
      </c>
    </row>
    <row r="2" customFormat="false" ht="15" hidden="false" customHeight="false" outlineLevel="0" collapsed="false">
      <c r="A2" s="2" t="s">
        <v>187</v>
      </c>
    </row>
    <row r="4" customFormat="false" ht="15" hidden="false" customHeight="false" outlineLevel="0" collapsed="false">
      <c r="A4" s="9" t="s">
        <v>188</v>
      </c>
      <c r="B4" s="9" t="s">
        <v>189</v>
      </c>
      <c r="C4" s="9" t="s">
        <v>190</v>
      </c>
      <c r="D4" s="9" t="s">
        <v>191</v>
      </c>
      <c r="E4" s="9" t="s">
        <v>192</v>
      </c>
    </row>
    <row r="5" customFormat="false" ht="26.85" hidden="false" customHeight="false" outlineLevel="0" collapsed="false">
      <c r="A5" s="11" t="s">
        <v>193</v>
      </c>
      <c r="B5" s="11" t="s">
        <v>194</v>
      </c>
      <c r="C5" s="10" t="s">
        <v>195</v>
      </c>
      <c r="D5" s="11" t="s">
        <v>196</v>
      </c>
      <c r="E5" s="10" t="s">
        <v>197</v>
      </c>
    </row>
    <row r="6" customFormat="false" ht="26.85" hidden="false" customHeight="false" outlineLevel="0" collapsed="false">
      <c r="A6" s="14" t="s">
        <v>198</v>
      </c>
      <c r="B6" s="14" t="s">
        <v>194</v>
      </c>
      <c r="C6" s="12" t="s">
        <v>199</v>
      </c>
      <c r="D6" s="12" t="s">
        <v>200</v>
      </c>
      <c r="E6" s="12" t="s">
        <v>201</v>
      </c>
    </row>
    <row r="7" customFormat="false" ht="26.85" hidden="false" customHeight="false" outlineLevel="0" collapsed="false">
      <c r="A7" s="11" t="s">
        <v>202</v>
      </c>
      <c r="B7" s="11" t="s">
        <v>194</v>
      </c>
      <c r="C7" s="11" t="s">
        <v>203</v>
      </c>
      <c r="D7" s="11" t="s">
        <v>204</v>
      </c>
      <c r="E7" s="10" t="s">
        <v>205</v>
      </c>
    </row>
    <row r="8" customFormat="false" ht="26.85" hidden="false" customHeight="false" outlineLevel="0" collapsed="false">
      <c r="A8" s="14" t="s">
        <v>206</v>
      </c>
      <c r="B8" s="14" t="s">
        <v>207</v>
      </c>
      <c r="C8" s="12" t="s">
        <v>208</v>
      </c>
      <c r="D8" s="14" t="s">
        <v>209</v>
      </c>
      <c r="E8" s="12" t="s">
        <v>210</v>
      </c>
    </row>
    <row r="9" customFormat="false" ht="15" hidden="false" customHeight="false" outlineLevel="0" collapsed="false">
      <c r="A9" s="11" t="s">
        <v>211</v>
      </c>
      <c r="B9" s="11" t="s">
        <v>207</v>
      </c>
      <c r="C9" s="10" t="s">
        <v>212</v>
      </c>
      <c r="D9" s="11" t="s">
        <v>213</v>
      </c>
      <c r="E9" s="10" t="s">
        <v>214</v>
      </c>
    </row>
    <row r="10" customFormat="false" ht="26.85" hidden="false" customHeight="false" outlineLevel="0" collapsed="false">
      <c r="A10" s="14" t="s">
        <v>215</v>
      </c>
      <c r="B10" s="12" t="s">
        <v>216</v>
      </c>
      <c r="C10" s="12" t="s">
        <v>217</v>
      </c>
      <c r="D10" s="14" t="s">
        <v>115</v>
      </c>
      <c r="E10" s="12" t="s">
        <v>218</v>
      </c>
    </row>
    <row r="12" customFormat="false" ht="39.75" hidden="false" customHeight="true" outlineLevel="0" collapsed="false">
      <c r="A12" s="16" t="s">
        <v>219</v>
      </c>
      <c r="B12" s="16"/>
      <c r="C12" s="16"/>
      <c r="D12" s="16"/>
      <c r="E12" s="16"/>
    </row>
  </sheetData>
  <mergeCells count="1">
    <mergeCell ref="A12:E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74"/>
    <col collapsed="false" customWidth="true" hidden="false" outlineLevel="0" max="3" min="3" style="0" width="10"/>
    <col collapsed="false" customWidth="true" hidden="false" outlineLevel="0" max="4" min="4" style="0" width="14"/>
  </cols>
  <sheetData>
    <row r="1" customFormat="false" ht="19.4" hidden="false" customHeight="false" outlineLevel="0" collapsed="false">
      <c r="A1" s="23" t="s">
        <v>220</v>
      </c>
    </row>
    <row r="2" customFormat="false" ht="15" hidden="false" customHeight="false" outlineLevel="0" collapsed="false">
      <c r="A2" s="2" t="s">
        <v>221</v>
      </c>
    </row>
    <row r="4" customFormat="false" ht="15" hidden="false" customHeight="false" outlineLevel="0" collapsed="false">
      <c r="A4" s="15" t="s">
        <v>222</v>
      </c>
      <c r="B4" s="9" t="s">
        <v>223</v>
      </c>
      <c r="C4" s="9" t="s">
        <v>224</v>
      </c>
      <c r="D4" s="9" t="s">
        <v>152</v>
      </c>
    </row>
    <row r="5" customFormat="false" ht="15" hidden="false" customHeight="false" outlineLevel="0" collapsed="false">
      <c r="A5" s="10"/>
      <c r="B5" s="10" t="s">
        <v>225</v>
      </c>
      <c r="C5" s="10" t="s">
        <v>226</v>
      </c>
      <c r="D5" s="11" t="s">
        <v>227</v>
      </c>
    </row>
    <row r="6" customFormat="false" ht="15" hidden="false" customHeight="false" outlineLevel="0" collapsed="false">
      <c r="A6" s="12"/>
      <c r="B6" s="12" t="s">
        <v>228</v>
      </c>
      <c r="C6" s="12" t="s">
        <v>226</v>
      </c>
      <c r="D6" s="14" t="s">
        <v>227</v>
      </c>
    </row>
    <row r="7" customFormat="false" ht="15" hidden="false" customHeight="false" outlineLevel="0" collapsed="false">
      <c r="A7" s="10"/>
      <c r="B7" s="10" t="s">
        <v>229</v>
      </c>
      <c r="C7" s="10" t="s">
        <v>226</v>
      </c>
      <c r="D7" s="11" t="s">
        <v>227</v>
      </c>
    </row>
    <row r="8" customFormat="false" ht="15" hidden="false" customHeight="false" outlineLevel="0" collapsed="false">
      <c r="A8" s="12"/>
      <c r="B8" s="12" t="s">
        <v>230</v>
      </c>
      <c r="C8" s="12" t="s">
        <v>226</v>
      </c>
      <c r="D8" s="14" t="s">
        <v>227</v>
      </c>
    </row>
    <row r="9" customFormat="false" ht="15" hidden="false" customHeight="false" outlineLevel="0" collapsed="false">
      <c r="A9" s="10"/>
      <c r="B9" s="10" t="s">
        <v>231</v>
      </c>
      <c r="C9" s="10" t="s">
        <v>226</v>
      </c>
      <c r="D9" s="11" t="s">
        <v>232</v>
      </c>
    </row>
    <row r="10" customFormat="false" ht="15" hidden="false" customHeight="false" outlineLevel="0" collapsed="false">
      <c r="A10" s="12"/>
      <c r="B10" s="12" t="s">
        <v>233</v>
      </c>
      <c r="C10" s="12" t="s">
        <v>234</v>
      </c>
      <c r="D10" s="14" t="s">
        <v>235</v>
      </c>
    </row>
    <row r="11" customFormat="false" ht="15" hidden="false" customHeight="false" outlineLevel="0" collapsed="false">
      <c r="A11" s="10"/>
      <c r="B11" s="10" t="s">
        <v>236</v>
      </c>
      <c r="C11" s="10" t="s">
        <v>234</v>
      </c>
      <c r="D11" s="11" t="s">
        <v>235</v>
      </c>
    </row>
    <row r="12" customFormat="false" ht="15" hidden="false" customHeight="false" outlineLevel="0" collapsed="false">
      <c r="A12" s="12"/>
      <c r="B12" s="12" t="s">
        <v>237</v>
      </c>
      <c r="C12" s="12" t="s">
        <v>234</v>
      </c>
      <c r="D12" s="14" t="s">
        <v>238</v>
      </c>
    </row>
    <row r="13" customFormat="false" ht="15" hidden="false" customHeight="false" outlineLevel="0" collapsed="false">
      <c r="A13" s="10"/>
      <c r="B13" s="10" t="s">
        <v>239</v>
      </c>
      <c r="C13" s="10" t="s">
        <v>226</v>
      </c>
      <c r="D13" s="11" t="s">
        <v>240</v>
      </c>
    </row>
    <row r="14" customFormat="false" ht="15" hidden="false" customHeight="false" outlineLevel="0" collapsed="false">
      <c r="A14" s="12"/>
      <c r="B14" s="12" t="s">
        <v>241</v>
      </c>
      <c r="C14" s="12" t="s">
        <v>234</v>
      </c>
      <c r="D14" s="14" t="s">
        <v>238</v>
      </c>
    </row>
    <row r="15" customFormat="false" ht="15" hidden="false" customHeight="false" outlineLevel="0" collapsed="false">
      <c r="A15" s="10"/>
      <c r="B15" s="11" t="s">
        <v>242</v>
      </c>
      <c r="C15" s="10" t="s">
        <v>234</v>
      </c>
      <c r="D15" s="11" t="s">
        <v>243</v>
      </c>
    </row>
    <row r="16" customFormat="false" ht="15" hidden="false" customHeight="false" outlineLevel="0" collapsed="false">
      <c r="A16" s="12"/>
      <c r="B16" s="12" t="s">
        <v>244</v>
      </c>
      <c r="C16" s="12" t="s">
        <v>234</v>
      </c>
      <c r="D16" s="14" t="s">
        <v>245</v>
      </c>
    </row>
    <row r="17" customFormat="false" ht="15" hidden="false" customHeight="false" outlineLevel="0" collapsed="false">
      <c r="A17" s="10"/>
      <c r="B17" s="10" t="s">
        <v>246</v>
      </c>
      <c r="C17" s="10" t="s">
        <v>234</v>
      </c>
      <c r="D17" s="11" t="s">
        <v>247</v>
      </c>
    </row>
    <row r="18" customFormat="false" ht="15" hidden="false" customHeight="false" outlineLevel="0" collapsed="false">
      <c r="A18" s="12"/>
      <c r="B18" s="12" t="s">
        <v>248</v>
      </c>
      <c r="C18" s="12" t="s">
        <v>234</v>
      </c>
      <c r="D18" s="12" t="s">
        <v>249</v>
      </c>
    </row>
    <row r="20" customFormat="false" ht="39.75" hidden="false" customHeight="true" outlineLevel="0" collapsed="false">
      <c r="A20" s="24" t="s">
        <v>250</v>
      </c>
      <c r="B20" s="24"/>
      <c r="C20" s="24"/>
      <c r="D20" s="24"/>
    </row>
  </sheetData>
  <mergeCells count="1">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0"/>
    <col collapsed="false" customWidth="true" hidden="false" outlineLevel="0" max="4" min="4" style="0" width="8"/>
    <col collapsed="false" customWidth="true" hidden="false" outlineLevel="0" max="5" min="5" style="0" width="12"/>
    <col collapsed="false" customWidth="true" hidden="false" outlineLevel="0" max="6" min="6" style="0" width="10"/>
    <col collapsed="false" customWidth="true" hidden="false" outlineLevel="0" max="7" min="7" style="0" width="8"/>
    <col collapsed="false" customWidth="true" hidden="false" outlineLevel="0" max="8" min="8" style="0" width="40"/>
    <col collapsed="false" customWidth="true" hidden="false" outlineLevel="0" max="9" min="9" style="0" width="8"/>
    <col collapsed="false" customWidth="true" hidden="false" outlineLevel="0" max="10" min="10" style="0" width="10"/>
    <col collapsed="false" customWidth="true" hidden="false" outlineLevel="0" max="11" min="11" style="0" width="14"/>
    <col collapsed="false" customWidth="true" hidden="false" outlineLevel="0" max="12" min="12" style="0" width="46"/>
  </cols>
  <sheetData>
    <row r="1" customFormat="false" ht="19.4" hidden="false" customHeight="false" outlineLevel="0" collapsed="false">
      <c r="A1" s="1" t="s">
        <v>251</v>
      </c>
    </row>
    <row r="2" customFormat="false" ht="15" hidden="false" customHeight="false" outlineLevel="0" collapsed="false">
      <c r="A2" s="2" t="s">
        <v>252</v>
      </c>
    </row>
    <row r="3" customFormat="false" ht="15" hidden="false" customHeight="false" outlineLevel="0" collapsed="false">
      <c r="A3" s="25" t="s">
        <v>253</v>
      </c>
    </row>
    <row r="4" customFormat="false" ht="15" hidden="false" customHeight="false" outlineLevel="0" collapsed="false">
      <c r="A4" s="26" t="s">
        <v>254</v>
      </c>
    </row>
    <row r="5" customFormat="false" ht="15" hidden="false" customHeight="false" outlineLevel="0" collapsed="false">
      <c r="A5" s="8" t="s">
        <v>255</v>
      </c>
    </row>
    <row r="6" customFormat="false" ht="15" hidden="false" customHeight="false" outlineLevel="0" collapsed="false">
      <c r="A6" s="9" t="s">
        <v>256</v>
      </c>
      <c r="B6" s="9" t="s">
        <v>257</v>
      </c>
      <c r="C6" s="9" t="s">
        <v>258</v>
      </c>
      <c r="D6" s="9" t="s">
        <v>259</v>
      </c>
      <c r="E6" s="9" t="s">
        <v>260</v>
      </c>
      <c r="F6" s="9" t="s">
        <v>261</v>
      </c>
    </row>
    <row r="7" customFormat="false" ht="15" hidden="false" customHeight="false" outlineLevel="0" collapsed="false">
      <c r="A7" s="27" t="s">
        <v>262</v>
      </c>
      <c r="B7" s="27" t="n">
        <v>15</v>
      </c>
      <c r="C7" s="27" t="n">
        <v>15</v>
      </c>
      <c r="D7" s="27" t="n">
        <v>10</v>
      </c>
      <c r="E7" s="27" t="n">
        <v>20</v>
      </c>
      <c r="F7" s="28" t="n">
        <f aca="false">SUM(B7:E7)</f>
        <v>60</v>
      </c>
    </row>
    <row r="8" customFormat="false" ht="15" hidden="false" customHeight="false" outlineLevel="0" collapsed="false">
      <c r="A8" s="27" t="s">
        <v>263</v>
      </c>
      <c r="B8" s="27" t="n">
        <v>15</v>
      </c>
      <c r="C8" s="27" t="n">
        <v>0</v>
      </c>
      <c r="D8" s="27" t="n">
        <v>15</v>
      </c>
      <c r="E8" s="27" t="n">
        <v>20</v>
      </c>
      <c r="F8" s="28" t="n">
        <f aca="false">SUM(B8:E8)</f>
        <v>50</v>
      </c>
    </row>
    <row r="9" customFormat="false" ht="15" hidden="false" customHeight="false" outlineLevel="0" collapsed="false">
      <c r="A9" s="2" t="s">
        <v>264</v>
      </c>
    </row>
    <row r="11" customFormat="false" ht="15" hidden="false" customHeight="false" outlineLevel="0" collapsed="false">
      <c r="A11" s="8" t="s">
        <v>265</v>
      </c>
    </row>
    <row r="12" customFormat="false" ht="15" hidden="false" customHeight="false" outlineLevel="0" collapsed="false">
      <c r="A12" s="9" t="s">
        <v>266</v>
      </c>
      <c r="B12" s="9" t="s">
        <v>267</v>
      </c>
      <c r="C12" s="9" t="s">
        <v>256</v>
      </c>
      <c r="D12" s="9" t="s">
        <v>257</v>
      </c>
      <c r="E12" s="9" t="s">
        <v>258</v>
      </c>
      <c r="F12" s="9" t="s">
        <v>259</v>
      </c>
      <c r="G12" s="9" t="s">
        <v>260</v>
      </c>
      <c r="H12" s="9" t="s">
        <v>268</v>
      </c>
      <c r="I12" s="9" t="s">
        <v>269</v>
      </c>
      <c r="J12" s="9" t="s">
        <v>270</v>
      </c>
      <c r="K12" s="9" t="s">
        <v>271</v>
      </c>
      <c r="L12" s="9" t="s">
        <v>272</v>
      </c>
    </row>
    <row r="13" customFormat="false" ht="26.85" hidden="false" customHeight="false" outlineLevel="0" collapsed="false">
      <c r="A13" s="29" t="s">
        <v>227</v>
      </c>
      <c r="B13" s="30" t="s">
        <v>273</v>
      </c>
      <c r="C13" s="31" t="s">
        <v>262</v>
      </c>
      <c r="D13" s="31" t="n">
        <v>22</v>
      </c>
      <c r="E13" s="31" t="n">
        <v>18</v>
      </c>
      <c r="F13" s="31" t="n">
        <v>12</v>
      </c>
      <c r="G13" s="31" t="n">
        <v>28</v>
      </c>
      <c r="H13" s="32" t="n">
        <f aca="false">IF(COUNT(D13:G13)=0,"",SUM(D13:G13))</f>
        <v>80</v>
      </c>
      <c r="I13" s="32" t="n">
        <f aca="false">IF($C13="","",INDEX($F$7:$F$8,MATCH($C13,$A$7:$A$8,0)))</f>
        <v>60</v>
      </c>
      <c r="J13" s="33" t="n">
        <f aca="false">IF(OR(H13="",I13=""),"",H13-I13)</f>
        <v>20</v>
      </c>
      <c r="K13" s="32" t="str">
        <f aca="false">IF(COUNT(D13:G13)=0,"",INDEX($D$12:$G$12,MATCH(MAX(D13:G13),D13:G13,0)))</f>
        <v>作図</v>
      </c>
      <c r="L13" s="34" t="s">
        <v>274</v>
      </c>
    </row>
    <row r="14" customFormat="false" ht="15" hidden="false" customHeight="false" outlineLevel="0" collapsed="false">
      <c r="A14" s="30"/>
      <c r="B14" s="30"/>
      <c r="C14" s="31"/>
      <c r="D14" s="31"/>
      <c r="E14" s="31"/>
      <c r="F14" s="31"/>
      <c r="G14" s="31"/>
      <c r="H14" s="32" t="str">
        <f aca="false">IF(COUNT(D14:G14)=0,"",SUM(D14:G14))</f>
        <v/>
      </c>
      <c r="I14" s="32" t="str">
        <f aca="false">IF($C14="","",INDEX($F$7:$F$8,MATCH($C14,$A$7:$A$8,0)))</f>
        <v/>
      </c>
      <c r="J14" s="33" t="str">
        <f aca="false">IF(OR(H14="",I14=""),"",H14-I14)</f>
        <v/>
      </c>
      <c r="K14" s="32" t="str">
        <f aca="false">IF(COUNT(D14:G14)=0,"",INDEX($D$12:$G$12,MATCH(MAX(D14:G14),D14:G14,0)))</f>
        <v/>
      </c>
      <c r="L14" s="34"/>
    </row>
    <row r="15" customFormat="false" ht="15" hidden="false" customHeight="false" outlineLevel="0" collapsed="false">
      <c r="A15" s="30"/>
      <c r="B15" s="30"/>
      <c r="C15" s="31"/>
      <c r="D15" s="31"/>
      <c r="E15" s="31"/>
      <c r="F15" s="31"/>
      <c r="G15" s="31"/>
      <c r="H15" s="32" t="str">
        <f aca="false">IF(COUNT(D15:G15)=0,"",SUM(D15:G15))</f>
        <v/>
      </c>
      <c r="I15" s="32" t="str">
        <f aca="false">IF($C15="","",INDEX($F$7:$F$8,MATCH($C15,$A$7:$A$8,0)))</f>
        <v/>
      </c>
      <c r="J15" s="33" t="str">
        <f aca="false">IF(OR(H15="",I15=""),"",H15-I15)</f>
        <v/>
      </c>
      <c r="K15" s="32" t="str">
        <f aca="false">IF(COUNT(D15:G15)=0,"",INDEX($D$12:$G$12,MATCH(MAX(D15:G15),D15:G15,0)))</f>
        <v/>
      </c>
      <c r="L15" s="34"/>
    </row>
    <row r="16" customFormat="false" ht="15" hidden="false" customHeight="false" outlineLevel="0" collapsed="false">
      <c r="A16" s="30"/>
      <c r="B16" s="30"/>
      <c r="C16" s="31"/>
      <c r="D16" s="31"/>
      <c r="E16" s="31"/>
      <c r="F16" s="31"/>
      <c r="G16" s="31"/>
      <c r="H16" s="32" t="str">
        <f aca="false">IF(COUNT(D16:G16)=0,"",SUM(D16:G16))</f>
        <v/>
      </c>
      <c r="I16" s="32" t="str">
        <f aca="false">IF($C16="","",INDEX($F$7:$F$8,MATCH($C16,$A$7:$A$8,0)))</f>
        <v/>
      </c>
      <c r="J16" s="33" t="str">
        <f aca="false">IF(OR(H16="",I16=""),"",H16-I16)</f>
        <v/>
      </c>
      <c r="K16" s="32" t="str">
        <f aca="false">IF(COUNT(D16:G16)=0,"",INDEX($D$12:$G$12,MATCH(MAX(D16:G16),D16:G16,0)))</f>
        <v/>
      </c>
      <c r="L16" s="34"/>
    </row>
    <row r="17" customFormat="false" ht="15" hidden="false" customHeight="false" outlineLevel="0" collapsed="false">
      <c r="A17" s="30"/>
      <c r="B17" s="30"/>
      <c r="C17" s="31"/>
      <c r="D17" s="31"/>
      <c r="E17" s="31"/>
      <c r="F17" s="31"/>
      <c r="G17" s="31"/>
      <c r="H17" s="32" t="str">
        <f aca="false">IF(COUNT(D17:G17)=0,"",SUM(D17:G17))</f>
        <v/>
      </c>
      <c r="I17" s="32" t="str">
        <f aca="false">IF($C17="","",INDEX($F$7:$F$8,MATCH($C17,$A$7:$A$8,0)))</f>
        <v/>
      </c>
      <c r="J17" s="33" t="str">
        <f aca="false">IF(OR(H17="",I17=""),"",H17-I17)</f>
        <v/>
      </c>
      <c r="K17" s="32" t="str">
        <f aca="false">IF(COUNT(D17:G17)=0,"",INDEX($D$12:$G$12,MATCH(MAX(D17:G17),D17:G17,0)))</f>
        <v/>
      </c>
      <c r="L17" s="34"/>
    </row>
    <row r="18" customFormat="false" ht="15" hidden="false" customHeight="false" outlineLevel="0" collapsed="false">
      <c r="A18" s="30"/>
      <c r="B18" s="30"/>
      <c r="C18" s="31"/>
      <c r="D18" s="31"/>
      <c r="E18" s="31"/>
      <c r="F18" s="31"/>
      <c r="G18" s="31"/>
      <c r="H18" s="32" t="str">
        <f aca="false">IF(COUNT(D18:G18)=0,"",SUM(D18:G18))</f>
        <v/>
      </c>
      <c r="I18" s="32" t="str">
        <f aca="false">IF($C18="","",INDEX($F$7:$F$8,MATCH($C18,$A$7:$A$8,0)))</f>
        <v/>
      </c>
      <c r="J18" s="33" t="str">
        <f aca="false">IF(OR(H18="",I18=""),"",H18-I18)</f>
        <v/>
      </c>
      <c r="K18" s="32" t="str">
        <f aca="false">IF(COUNT(D18:G18)=0,"",INDEX($D$12:$G$12,MATCH(MAX(D18:G18),D18:G18,0)))</f>
        <v/>
      </c>
      <c r="L18" s="34"/>
    </row>
    <row r="19" customFormat="false" ht="15" hidden="false" customHeight="false" outlineLevel="0" collapsed="false">
      <c r="A19" s="30"/>
      <c r="B19" s="30"/>
      <c r="C19" s="31"/>
      <c r="D19" s="31"/>
      <c r="E19" s="31"/>
      <c r="F19" s="31"/>
      <c r="G19" s="31"/>
      <c r="H19" s="32" t="str">
        <f aca="false">IF(COUNT(D19:G19)=0,"",SUM(D19:G19))</f>
        <v/>
      </c>
      <c r="I19" s="32" t="str">
        <f aca="false">IF($C19="","",INDEX($F$7:$F$8,MATCH($C19,$A$7:$A$8,0)))</f>
        <v/>
      </c>
      <c r="J19" s="33" t="str">
        <f aca="false">IF(OR(H19="",I19=""),"",H19-I19)</f>
        <v/>
      </c>
      <c r="K19" s="32" t="str">
        <f aca="false">IF(COUNT(D19:G19)=0,"",INDEX($D$12:$G$12,MATCH(MAX(D19:G19),D19:G19,0)))</f>
        <v/>
      </c>
      <c r="L19" s="34"/>
    </row>
    <row r="20" customFormat="false" ht="15" hidden="false" customHeight="false" outlineLevel="0" collapsed="false">
      <c r="A20" s="30"/>
      <c r="B20" s="30"/>
      <c r="C20" s="31"/>
      <c r="D20" s="31"/>
      <c r="E20" s="31"/>
      <c r="F20" s="31"/>
      <c r="G20" s="31"/>
      <c r="H20" s="32" t="str">
        <f aca="false">IF(COUNT(D20:G20)=0,"",SUM(D20:G20))</f>
        <v/>
      </c>
      <c r="I20" s="32" t="str">
        <f aca="false">IF($C20="","",INDEX($F$7:$F$8,MATCH($C20,$A$7:$A$8,0)))</f>
        <v/>
      </c>
      <c r="J20" s="33" t="str">
        <f aca="false">IF(OR(H20="",I20=""),"",H20-I20)</f>
        <v/>
      </c>
      <c r="K20" s="32" t="str">
        <f aca="false">IF(COUNT(D20:G20)=0,"",INDEX($D$12:$G$12,MATCH(MAX(D20:G20),D20:G20,0)))</f>
        <v/>
      </c>
      <c r="L20" s="34"/>
    </row>
    <row r="21" customFormat="false" ht="15" hidden="false" customHeight="false" outlineLevel="0" collapsed="false">
      <c r="A21" s="30"/>
      <c r="B21" s="30"/>
      <c r="C21" s="31"/>
      <c r="D21" s="31"/>
      <c r="E21" s="31"/>
      <c r="F21" s="31"/>
      <c r="G21" s="31"/>
      <c r="H21" s="32" t="str">
        <f aca="false">IF(COUNT(D21:G21)=0,"",SUM(D21:G21))</f>
        <v/>
      </c>
      <c r="I21" s="32" t="str">
        <f aca="false">IF($C21="","",INDEX($F$7:$F$8,MATCH($C21,$A$7:$A$8,0)))</f>
        <v/>
      </c>
      <c r="J21" s="33" t="str">
        <f aca="false">IF(OR(H21="",I21=""),"",H21-I21)</f>
        <v/>
      </c>
      <c r="K21" s="32" t="str">
        <f aca="false">IF(COUNT(D21:G21)=0,"",INDEX($D$12:$G$12,MATCH(MAX(D21:G21),D21:G21,0)))</f>
        <v/>
      </c>
      <c r="L21" s="34"/>
    </row>
    <row r="22" customFormat="false" ht="15" hidden="false" customHeight="false" outlineLevel="0" collapsed="false">
      <c r="A22" s="30"/>
      <c r="B22" s="30"/>
      <c r="C22" s="31"/>
      <c r="D22" s="31"/>
      <c r="E22" s="31"/>
      <c r="F22" s="31"/>
      <c r="G22" s="31"/>
      <c r="H22" s="32" t="str">
        <f aca="false">IF(COUNT(D22:G22)=0,"",SUM(D22:G22))</f>
        <v/>
      </c>
      <c r="I22" s="32" t="str">
        <f aca="false">IF($C22="","",INDEX($F$7:$F$8,MATCH($C22,$A$7:$A$8,0)))</f>
        <v/>
      </c>
      <c r="J22" s="33" t="str">
        <f aca="false">IF(OR(H22="",I22=""),"",H22-I22)</f>
        <v/>
      </c>
      <c r="K22" s="32" t="str">
        <f aca="false">IF(COUNT(D22:G22)=0,"",INDEX($D$12:$G$12,MATCH(MAX(D22:G22),D22:G22,0)))</f>
        <v/>
      </c>
      <c r="L22" s="34"/>
    </row>
    <row r="23" customFormat="false" ht="15" hidden="false" customHeight="false" outlineLevel="0" collapsed="false">
      <c r="A23" s="30"/>
      <c r="B23" s="30"/>
      <c r="C23" s="31"/>
      <c r="D23" s="31"/>
      <c r="E23" s="31"/>
      <c r="F23" s="31"/>
      <c r="G23" s="31"/>
      <c r="H23" s="32" t="str">
        <f aca="false">IF(COUNT(D23:G23)=0,"",SUM(D23:G23))</f>
        <v/>
      </c>
      <c r="I23" s="32" t="str">
        <f aca="false">IF($C23="","",INDEX($F$7:$F$8,MATCH($C23,$A$7:$A$8,0)))</f>
        <v/>
      </c>
      <c r="J23" s="33" t="str">
        <f aca="false">IF(OR(H23="",I23=""),"",H23-I23)</f>
        <v/>
      </c>
      <c r="K23" s="32" t="str">
        <f aca="false">IF(COUNT(D23:G23)=0,"",INDEX($D$12:$G$12,MATCH(MAX(D23:G23),D23:G23,0)))</f>
        <v/>
      </c>
      <c r="L23" s="34"/>
    </row>
    <row r="24" customFormat="false" ht="15" hidden="false" customHeight="false" outlineLevel="0" collapsed="false">
      <c r="A24" s="30"/>
      <c r="B24" s="30"/>
      <c r="C24" s="31"/>
      <c r="D24" s="31"/>
      <c r="E24" s="31"/>
      <c r="F24" s="31"/>
      <c r="G24" s="31"/>
      <c r="H24" s="32" t="str">
        <f aca="false">IF(COUNT(D24:G24)=0,"",SUM(D24:G24))</f>
        <v/>
      </c>
      <c r="I24" s="32" t="str">
        <f aca="false">IF($C24="","",INDEX($F$7:$F$8,MATCH($C24,$A$7:$A$8,0)))</f>
        <v/>
      </c>
      <c r="J24" s="33" t="str">
        <f aca="false">IF(OR(H24="",I24=""),"",H24-I24)</f>
        <v/>
      </c>
      <c r="K24" s="32" t="str">
        <f aca="false">IF(COUNT(D24:G24)=0,"",INDEX($D$12:$G$12,MATCH(MAX(D24:G24),D24:G24,0)))</f>
        <v/>
      </c>
      <c r="L24" s="34"/>
    </row>
    <row r="25" customFormat="false" ht="15" hidden="false" customHeight="false" outlineLevel="0" collapsed="false">
      <c r="A25" s="30"/>
      <c r="B25" s="30"/>
      <c r="C25" s="31"/>
      <c r="D25" s="31"/>
      <c r="E25" s="31"/>
      <c r="F25" s="31"/>
      <c r="G25" s="31"/>
      <c r="H25" s="32" t="str">
        <f aca="false">IF(COUNT(D25:G25)=0,"",SUM(D25:G25))</f>
        <v/>
      </c>
      <c r="I25" s="32" t="str">
        <f aca="false">IF($C25="","",INDEX($F$7:$F$8,MATCH($C25,$A$7:$A$8,0)))</f>
        <v/>
      </c>
      <c r="J25" s="33" t="str">
        <f aca="false">IF(OR(H25="",I25=""),"",H25-I25)</f>
        <v/>
      </c>
      <c r="K25" s="32" t="str">
        <f aca="false">IF(COUNT(D25:G25)=0,"",INDEX($D$12:$G$12,MATCH(MAX(D25:G25),D25:G25,0)))</f>
        <v/>
      </c>
      <c r="L25" s="34"/>
    </row>
    <row r="26" customFormat="false" ht="15" hidden="false" customHeight="false" outlineLevel="0" collapsed="false">
      <c r="A26" s="30"/>
      <c r="B26" s="30"/>
      <c r="C26" s="31"/>
      <c r="D26" s="31"/>
      <c r="E26" s="31"/>
      <c r="F26" s="31"/>
      <c r="G26" s="31"/>
      <c r="H26" s="32" t="str">
        <f aca="false">IF(COUNT(D26:G26)=0,"",SUM(D26:G26))</f>
        <v/>
      </c>
      <c r="I26" s="32" t="str">
        <f aca="false">IF($C26="","",INDEX($F$7:$F$8,MATCH($C26,$A$7:$A$8,0)))</f>
        <v/>
      </c>
      <c r="J26" s="33" t="str">
        <f aca="false">IF(OR(H26="",I26=""),"",H26-I26)</f>
        <v/>
      </c>
      <c r="K26" s="32" t="str">
        <f aca="false">IF(COUNT(D26:G26)=0,"",INDEX($D$12:$G$12,MATCH(MAX(D26:G26),D26:G26,0)))</f>
        <v/>
      </c>
      <c r="L26" s="34"/>
    </row>
    <row r="27" customFormat="false" ht="15" hidden="false" customHeight="false" outlineLevel="0" collapsed="false">
      <c r="A27" s="30"/>
      <c r="B27" s="30"/>
      <c r="C27" s="31"/>
      <c r="D27" s="31"/>
      <c r="E27" s="31"/>
      <c r="F27" s="31"/>
      <c r="G27" s="31"/>
      <c r="H27" s="32" t="str">
        <f aca="false">IF(COUNT(D27:G27)=0,"",SUM(D27:G27))</f>
        <v/>
      </c>
      <c r="I27" s="32" t="str">
        <f aca="false">IF($C27="","",INDEX($F$7:$F$8,MATCH($C27,$A$7:$A$8,0)))</f>
        <v/>
      </c>
      <c r="J27" s="33" t="str">
        <f aca="false">IF(OR(H27="",I27=""),"",H27-I27)</f>
        <v/>
      </c>
      <c r="K27" s="32" t="str">
        <f aca="false">IF(COUNT(D27:G27)=0,"",INDEX($D$12:$G$12,MATCH(MAX(D27:G27),D27:G27,0)))</f>
        <v/>
      </c>
      <c r="L27" s="34"/>
    </row>
    <row r="28" customFormat="false" ht="15" hidden="false" customHeight="false" outlineLevel="0" collapsed="false">
      <c r="A28" s="30"/>
      <c r="B28" s="30"/>
      <c r="C28" s="31"/>
      <c r="D28" s="31"/>
      <c r="E28" s="31"/>
      <c r="F28" s="31"/>
      <c r="G28" s="31"/>
      <c r="H28" s="32" t="str">
        <f aca="false">IF(COUNT(D28:G28)=0,"",SUM(D28:G28))</f>
        <v/>
      </c>
      <c r="I28" s="32" t="str">
        <f aca="false">IF($C28="","",INDEX($F$7:$F$8,MATCH($C28,$A$7:$A$8,0)))</f>
        <v/>
      </c>
      <c r="J28" s="33" t="str">
        <f aca="false">IF(OR(H28="",I28=""),"",H28-I28)</f>
        <v/>
      </c>
      <c r="K28" s="32" t="str">
        <f aca="false">IF(COUNT(D28:G28)=0,"",INDEX($D$12:$G$12,MATCH(MAX(D28:G28),D28:G28,0)))</f>
        <v/>
      </c>
      <c r="L28" s="34"/>
    </row>
    <row r="29" customFormat="false" ht="15" hidden="false" customHeight="false" outlineLevel="0" collapsed="false">
      <c r="A29" s="30"/>
      <c r="B29" s="30"/>
      <c r="C29" s="31"/>
      <c r="D29" s="31"/>
      <c r="E29" s="31"/>
      <c r="F29" s="31"/>
      <c r="G29" s="31"/>
      <c r="H29" s="32" t="str">
        <f aca="false">IF(COUNT(D29:G29)=0,"",SUM(D29:G29))</f>
        <v/>
      </c>
      <c r="I29" s="32" t="str">
        <f aca="false">IF($C29="","",INDEX($F$7:$F$8,MATCH($C29,$A$7:$A$8,0)))</f>
        <v/>
      </c>
      <c r="J29" s="33" t="str">
        <f aca="false">IF(OR(H29="",I29=""),"",H29-I29)</f>
        <v/>
      </c>
      <c r="K29" s="32" t="str">
        <f aca="false">IF(COUNT(D29:G29)=0,"",INDEX($D$12:$G$12,MATCH(MAX(D29:G29),D29:G29,0)))</f>
        <v/>
      </c>
      <c r="L29" s="34"/>
    </row>
    <row r="30" customFormat="false" ht="15" hidden="false" customHeight="false" outlineLevel="0" collapsed="false">
      <c r="A30" s="30"/>
      <c r="B30" s="30"/>
      <c r="C30" s="31"/>
      <c r="D30" s="31"/>
      <c r="E30" s="31"/>
      <c r="F30" s="31"/>
      <c r="G30" s="31"/>
      <c r="H30" s="32" t="str">
        <f aca="false">IF(COUNT(D30:G30)=0,"",SUM(D30:G30))</f>
        <v/>
      </c>
      <c r="I30" s="32" t="str">
        <f aca="false">IF($C30="","",INDEX($F$7:$F$8,MATCH($C30,$A$7:$A$8,0)))</f>
        <v/>
      </c>
      <c r="J30" s="33" t="str">
        <f aca="false">IF(OR(H30="",I30=""),"",H30-I30)</f>
        <v/>
      </c>
      <c r="K30" s="32" t="str">
        <f aca="false">IF(COUNT(D30:G30)=0,"",INDEX($D$12:$G$12,MATCH(MAX(D30:G30),D30:G30,0)))</f>
        <v/>
      </c>
      <c r="L30" s="34"/>
    </row>
    <row r="31" customFormat="false" ht="15" hidden="false" customHeight="false" outlineLevel="0" collapsed="false">
      <c r="A31" s="30"/>
      <c r="B31" s="30"/>
      <c r="C31" s="31"/>
      <c r="D31" s="31"/>
      <c r="E31" s="31"/>
      <c r="F31" s="31"/>
      <c r="G31" s="31"/>
      <c r="H31" s="32" t="str">
        <f aca="false">IF(COUNT(D31:G31)=0,"",SUM(D31:G31))</f>
        <v/>
      </c>
      <c r="I31" s="32" t="str">
        <f aca="false">IF($C31="","",INDEX($F$7:$F$8,MATCH($C31,$A$7:$A$8,0)))</f>
        <v/>
      </c>
      <c r="J31" s="33" t="str">
        <f aca="false">IF(OR(H31="",I31=""),"",H31-I31)</f>
        <v/>
      </c>
      <c r="K31" s="32" t="str">
        <f aca="false">IF(COUNT(D31:G31)=0,"",INDEX($D$12:$G$12,MATCH(MAX(D31:G31),D31:G31,0)))</f>
        <v/>
      </c>
      <c r="L31" s="34"/>
    </row>
    <row r="32" customFormat="false" ht="15" hidden="false" customHeight="false" outlineLevel="0" collapsed="false">
      <c r="A32" s="30"/>
      <c r="B32" s="30"/>
      <c r="C32" s="31"/>
      <c r="D32" s="31"/>
      <c r="E32" s="31"/>
      <c r="F32" s="31"/>
      <c r="G32" s="31"/>
      <c r="H32" s="32" t="str">
        <f aca="false">IF(COUNT(D32:G32)=0,"",SUM(D32:G32))</f>
        <v/>
      </c>
      <c r="I32" s="32" t="str">
        <f aca="false">IF($C32="","",INDEX($F$7:$F$8,MATCH($C32,$A$7:$A$8,0)))</f>
        <v/>
      </c>
      <c r="J32" s="33" t="str">
        <f aca="false">IF(OR(H32="",I32=""),"",H32-I32)</f>
        <v/>
      </c>
      <c r="K32" s="32" t="str">
        <f aca="false">IF(COUNT(D32:G32)=0,"",INDEX($D$12:$G$12,MATCH(MAX(D32:G32),D32:G32,0)))</f>
        <v/>
      </c>
      <c r="L32" s="34"/>
    </row>
    <row r="33" customFormat="false" ht="15" hidden="false" customHeight="false" outlineLevel="0" collapsed="false">
      <c r="A33" s="30"/>
      <c r="B33" s="30"/>
      <c r="C33" s="31"/>
      <c r="D33" s="31"/>
      <c r="E33" s="31"/>
      <c r="F33" s="31"/>
      <c r="G33" s="31"/>
      <c r="H33" s="32" t="str">
        <f aca="false">IF(COUNT(D33:G33)=0,"",SUM(D33:G33))</f>
        <v/>
      </c>
      <c r="I33" s="32" t="str">
        <f aca="false">IF($C33="","",INDEX($F$7:$F$8,MATCH($C33,$A$7:$A$8,0)))</f>
        <v/>
      </c>
      <c r="J33" s="33" t="str">
        <f aca="false">IF(OR(H33="",I33=""),"",H33-I33)</f>
        <v/>
      </c>
      <c r="K33" s="32" t="str">
        <f aca="false">IF(COUNT(D33:G33)=0,"",INDEX($D$12:$G$12,MATCH(MAX(D33:G33),D33:G33,0)))</f>
        <v/>
      </c>
      <c r="L33" s="34"/>
    </row>
    <row r="34" customFormat="false" ht="15" hidden="false" customHeight="false" outlineLevel="0" collapsed="false">
      <c r="A34" s="30"/>
      <c r="B34" s="30"/>
      <c r="C34" s="31"/>
      <c r="D34" s="31"/>
      <c r="E34" s="31"/>
      <c r="F34" s="31"/>
      <c r="G34" s="31"/>
      <c r="H34" s="32" t="str">
        <f aca="false">IF(COUNT(D34:G34)=0,"",SUM(D34:G34))</f>
        <v/>
      </c>
      <c r="I34" s="32" t="str">
        <f aca="false">IF($C34="","",INDEX($F$7:$F$8,MATCH($C34,$A$7:$A$8,0)))</f>
        <v/>
      </c>
      <c r="J34" s="33" t="str">
        <f aca="false">IF(OR(H34="",I34=""),"",H34-I34)</f>
        <v/>
      </c>
      <c r="K34" s="32" t="str">
        <f aca="false">IF(COUNT(D34:G34)=0,"",INDEX($D$12:$G$12,MATCH(MAX(D34:G34),D34:G34,0)))</f>
        <v/>
      </c>
      <c r="L34" s="34"/>
    </row>
    <row r="35" customFormat="false" ht="15" hidden="false" customHeight="false" outlineLevel="0" collapsed="false">
      <c r="A35" s="30"/>
      <c r="B35" s="30"/>
      <c r="C35" s="31"/>
      <c r="D35" s="31"/>
      <c r="E35" s="31"/>
      <c r="F35" s="31"/>
      <c r="G35" s="31"/>
      <c r="H35" s="32" t="str">
        <f aca="false">IF(COUNT(D35:G35)=0,"",SUM(D35:G35))</f>
        <v/>
      </c>
      <c r="I35" s="32" t="str">
        <f aca="false">IF($C35="","",INDEX($F$7:$F$8,MATCH($C35,$A$7:$A$8,0)))</f>
        <v/>
      </c>
      <c r="J35" s="33" t="str">
        <f aca="false">IF(OR(H35="",I35=""),"",H35-I35)</f>
        <v/>
      </c>
      <c r="K35" s="32" t="str">
        <f aca="false">IF(COUNT(D35:G35)=0,"",INDEX($D$12:$G$12,MATCH(MAX(D35:G35),D35:G35,0)))</f>
        <v/>
      </c>
      <c r="L35" s="34"/>
    </row>
    <row r="36" customFormat="false" ht="15" hidden="false" customHeight="false" outlineLevel="0" collapsed="false">
      <c r="A36" s="30"/>
      <c r="B36" s="30"/>
      <c r="C36" s="31"/>
      <c r="D36" s="31"/>
      <c r="E36" s="31"/>
      <c r="F36" s="31"/>
      <c r="G36" s="31"/>
      <c r="H36" s="32" t="str">
        <f aca="false">IF(COUNT(D36:G36)=0,"",SUM(D36:G36))</f>
        <v/>
      </c>
      <c r="I36" s="32" t="str">
        <f aca="false">IF($C36="","",INDEX($F$7:$F$8,MATCH($C36,$A$7:$A$8,0)))</f>
        <v/>
      </c>
      <c r="J36" s="33" t="str">
        <f aca="false">IF(OR(H36="",I36=""),"",H36-I36)</f>
        <v/>
      </c>
      <c r="K36" s="32" t="str">
        <f aca="false">IF(COUNT(D36:G36)=0,"",INDEX($D$12:$G$12,MATCH(MAX(D36:G36),D36:G36,0)))</f>
        <v/>
      </c>
      <c r="L36" s="34"/>
    </row>
    <row r="37" customFormat="false" ht="15" hidden="false" customHeight="false" outlineLevel="0" collapsed="false">
      <c r="A37" s="30"/>
      <c r="B37" s="30"/>
      <c r="C37" s="31"/>
      <c r="D37" s="31"/>
      <c r="E37" s="31"/>
      <c r="F37" s="31"/>
      <c r="G37" s="31"/>
      <c r="H37" s="32" t="str">
        <f aca="false">IF(COUNT(D37:G37)=0,"",SUM(D37:G37))</f>
        <v/>
      </c>
      <c r="I37" s="32" t="str">
        <f aca="false">IF($C37="","",INDEX($F$7:$F$8,MATCH($C37,$A$7:$A$8,0)))</f>
        <v/>
      </c>
      <c r="J37" s="33" t="str">
        <f aca="false">IF(OR(H37="",I37=""),"",H37-I37)</f>
        <v/>
      </c>
      <c r="K37" s="32" t="str">
        <f aca="false">IF(COUNT(D37:G37)=0,"",INDEX($D$12:$G$12,MATCH(MAX(D37:G37),D37:G37,0)))</f>
        <v/>
      </c>
      <c r="L37" s="34"/>
    </row>
    <row r="38" customFormat="false" ht="15" hidden="false" customHeight="false" outlineLevel="0" collapsed="false">
      <c r="A38" s="30"/>
      <c r="B38" s="30"/>
      <c r="C38" s="31"/>
      <c r="D38" s="31"/>
      <c r="E38" s="31"/>
      <c r="F38" s="31"/>
      <c r="G38" s="31"/>
      <c r="H38" s="32" t="str">
        <f aca="false">IF(COUNT(D38:G38)=0,"",SUM(D38:G38))</f>
        <v/>
      </c>
      <c r="I38" s="32" t="str">
        <f aca="false">IF($C38="","",INDEX($F$7:$F$8,MATCH($C38,$A$7:$A$8,0)))</f>
        <v/>
      </c>
      <c r="J38" s="33" t="str">
        <f aca="false">IF(OR(H38="",I38=""),"",H38-I38)</f>
        <v/>
      </c>
      <c r="K38" s="32" t="str">
        <f aca="false">IF(COUNT(D38:G38)=0,"",INDEX($D$12:$G$12,MATCH(MAX(D38:G38),D38:G38,0)))</f>
        <v/>
      </c>
      <c r="L38" s="34"/>
    </row>
    <row r="39" customFormat="false" ht="15" hidden="false" customHeight="false" outlineLevel="0" collapsed="false">
      <c r="A39" s="30"/>
      <c r="B39" s="30"/>
      <c r="C39" s="31"/>
      <c r="D39" s="31"/>
      <c r="E39" s="31"/>
      <c r="F39" s="31"/>
      <c r="G39" s="31"/>
      <c r="H39" s="32" t="str">
        <f aca="false">IF(COUNT(D39:G39)=0,"",SUM(D39:G39))</f>
        <v/>
      </c>
      <c r="I39" s="32" t="str">
        <f aca="false">IF($C39="","",INDEX($F$7:$F$8,MATCH($C39,$A$7:$A$8,0)))</f>
        <v/>
      </c>
      <c r="J39" s="33" t="str">
        <f aca="false">IF(OR(H39="",I39=""),"",H39-I39)</f>
        <v/>
      </c>
      <c r="K39" s="32" t="str">
        <f aca="false">IF(COUNT(D39:G39)=0,"",INDEX($D$12:$G$12,MATCH(MAX(D39:G39),D39:G39,0)))</f>
        <v/>
      </c>
      <c r="L39" s="34"/>
    </row>
    <row r="40" customFormat="false" ht="15" hidden="false" customHeight="false" outlineLevel="0" collapsed="false">
      <c r="A40" s="30"/>
      <c r="B40" s="30"/>
      <c r="C40" s="31"/>
      <c r="D40" s="31"/>
      <c r="E40" s="31"/>
      <c r="F40" s="31"/>
      <c r="G40" s="31"/>
      <c r="H40" s="32" t="str">
        <f aca="false">IF(COUNT(D40:G40)=0,"",SUM(D40:G40))</f>
        <v/>
      </c>
      <c r="I40" s="32" t="str">
        <f aca="false">IF($C40="","",INDEX($F$7:$F$8,MATCH($C40,$A$7:$A$8,0)))</f>
        <v/>
      </c>
      <c r="J40" s="33" t="str">
        <f aca="false">IF(OR(H40="",I40=""),"",H40-I40)</f>
        <v/>
      </c>
      <c r="K40" s="32" t="str">
        <f aca="false">IF(COUNT(D40:G40)=0,"",INDEX($D$12:$G$12,MATCH(MAX(D40:G40),D40:G40,0)))</f>
        <v/>
      </c>
      <c r="L40" s="34"/>
    </row>
    <row r="41" customFormat="false" ht="15" hidden="false" customHeight="false" outlineLevel="0" collapsed="false">
      <c r="A41" s="30"/>
      <c r="B41" s="30"/>
      <c r="C41" s="31"/>
      <c r="D41" s="31"/>
      <c r="E41" s="31"/>
      <c r="F41" s="31"/>
      <c r="G41" s="31"/>
      <c r="H41" s="32" t="str">
        <f aca="false">IF(COUNT(D41:G41)=0,"",SUM(D41:G41))</f>
        <v/>
      </c>
      <c r="I41" s="32" t="str">
        <f aca="false">IF($C41="","",INDEX($F$7:$F$8,MATCH($C41,$A$7:$A$8,0)))</f>
        <v/>
      </c>
      <c r="J41" s="33" t="str">
        <f aca="false">IF(OR(H41="",I41=""),"",H41-I41)</f>
        <v/>
      </c>
      <c r="K41" s="32" t="str">
        <f aca="false">IF(COUNT(D41:G41)=0,"",INDEX($D$12:$G$12,MATCH(MAX(D41:G41),D41:G41,0)))</f>
        <v/>
      </c>
      <c r="L41" s="34"/>
    </row>
    <row r="42" customFormat="false" ht="15" hidden="false" customHeight="false" outlineLevel="0" collapsed="false">
      <c r="A42" s="30"/>
      <c r="B42" s="30"/>
      <c r="C42" s="31"/>
      <c r="D42" s="31"/>
      <c r="E42" s="31"/>
      <c r="F42" s="31"/>
      <c r="G42" s="31"/>
      <c r="H42" s="32" t="str">
        <f aca="false">IF(COUNT(D42:G42)=0,"",SUM(D42:G42))</f>
        <v/>
      </c>
      <c r="I42" s="32" t="str">
        <f aca="false">IF($C42="","",INDEX($F$7:$F$8,MATCH($C42,$A$7:$A$8,0)))</f>
        <v/>
      </c>
      <c r="J42" s="33" t="str">
        <f aca="false">IF(OR(H42="",I42=""),"",H42-I42)</f>
        <v/>
      </c>
      <c r="K42" s="32" t="str">
        <f aca="false">IF(COUNT(D42:G42)=0,"",INDEX($D$12:$G$12,MATCH(MAX(D42:G42),D42:G42,0)))</f>
        <v/>
      </c>
      <c r="L42" s="34"/>
    </row>
    <row r="44" customFormat="false" ht="15" hidden="false" customHeight="false" outlineLevel="0" collapsed="false">
      <c r="A44" s="8" t="s">
        <v>275</v>
      </c>
    </row>
    <row r="45" customFormat="false" ht="15" hidden="false" customHeight="false" outlineLevel="0" collapsed="false">
      <c r="A45" s="9" t="s">
        <v>276</v>
      </c>
      <c r="B45" s="9" t="s">
        <v>277</v>
      </c>
      <c r="C45" s="9" t="s">
        <v>278</v>
      </c>
      <c r="D45" s="9" t="s">
        <v>279</v>
      </c>
      <c r="E45" s="9" t="s">
        <v>280</v>
      </c>
      <c r="F45" s="9" t="s">
        <v>281</v>
      </c>
      <c r="G45" s="9" t="s">
        <v>279</v>
      </c>
      <c r="H45" s="9" t="s">
        <v>282</v>
      </c>
    </row>
    <row r="46" customFormat="false" ht="26.85" hidden="false" customHeight="false" outlineLevel="0" collapsed="false">
      <c r="A46" s="35" t="s">
        <v>257</v>
      </c>
      <c r="B46" s="36" t="n">
        <f aca="false">IFERROR(AVERAGEIF($C$13:$C$42,"土地",D$13:D$42),"")</f>
        <v>22</v>
      </c>
      <c r="C46" s="37" t="n">
        <f aca="false">B7</f>
        <v>15</v>
      </c>
      <c r="D46" s="38" t="n">
        <f aca="false">IF(B46="","",B46-C46)</f>
        <v>7</v>
      </c>
      <c r="E46" s="36" t="str">
        <f aca="false">IFERROR(AVERAGEIF($C$13:$C$42,"建物",D$13:D$42),"")</f>
        <v/>
      </c>
      <c r="F46" s="37" t="n">
        <f aca="false">B8</f>
        <v>15</v>
      </c>
      <c r="G46" s="38" t="str">
        <f aca="false">IF(E46="","",E46-F46)</f>
        <v/>
      </c>
      <c r="H46" s="39" t="s">
        <v>283</v>
      </c>
    </row>
    <row r="47" customFormat="false" ht="26.85" hidden="false" customHeight="false" outlineLevel="0" collapsed="false">
      <c r="A47" s="35" t="s">
        <v>258</v>
      </c>
      <c r="B47" s="36" t="n">
        <f aca="false">IFERROR(AVERAGEIF($C$13:$C$42,"土地",E$13:E$42),"")</f>
        <v>18</v>
      </c>
      <c r="C47" s="37" t="n">
        <f aca="false">C7</f>
        <v>15</v>
      </c>
      <c r="D47" s="38" t="n">
        <f aca="false">IF(B47="","",B47-C47)</f>
        <v>3</v>
      </c>
      <c r="E47" s="36" t="str">
        <f aca="false">IFERROR(AVERAGEIF($C$13:$C$42,"建物",E$13:E$42),"")</f>
        <v/>
      </c>
      <c r="F47" s="37" t="n">
        <f aca="false">C8</f>
        <v>0</v>
      </c>
      <c r="G47" s="38" t="str">
        <f aca="false">IF(E47="","",E47-F47)</f>
        <v/>
      </c>
      <c r="H47" s="39" t="s">
        <v>284</v>
      </c>
    </row>
    <row r="48" customFormat="false" ht="26.85" hidden="false" customHeight="false" outlineLevel="0" collapsed="false">
      <c r="A48" s="35" t="s">
        <v>259</v>
      </c>
      <c r="B48" s="36" t="n">
        <f aca="false">IFERROR(AVERAGEIF($C$13:$C$42,"土地",F$13:F$42),"")</f>
        <v>12</v>
      </c>
      <c r="C48" s="37" t="n">
        <f aca="false">D7</f>
        <v>10</v>
      </c>
      <c r="D48" s="38" t="n">
        <f aca="false">IF(B48="","",B48-C48)</f>
        <v>2</v>
      </c>
      <c r="E48" s="36" t="str">
        <f aca="false">IFERROR(AVERAGEIF($C$13:$C$42,"建物",F$13:F$42),"")</f>
        <v/>
      </c>
      <c r="F48" s="37" t="n">
        <f aca="false">D8</f>
        <v>15</v>
      </c>
      <c r="G48" s="38" t="str">
        <f aca="false">IF(E48="","",E48-F48)</f>
        <v/>
      </c>
      <c r="H48" s="39" t="s">
        <v>285</v>
      </c>
    </row>
    <row r="49" customFormat="false" ht="26.85" hidden="false" customHeight="false" outlineLevel="0" collapsed="false">
      <c r="A49" s="35" t="s">
        <v>260</v>
      </c>
      <c r="B49" s="36" t="n">
        <f aca="false">IFERROR(AVERAGEIF($C$13:$C$42,"土地",G$13:G$42),"")</f>
        <v>28</v>
      </c>
      <c r="C49" s="37" t="n">
        <f aca="false">E7</f>
        <v>20</v>
      </c>
      <c r="D49" s="38" t="n">
        <f aca="false">IF(B49="","",B49-C49)</f>
        <v>8</v>
      </c>
      <c r="E49" s="36" t="str">
        <f aca="false">IFERROR(AVERAGEIF($C$13:$C$42,"建物",G$13:G$42),"")</f>
        <v/>
      </c>
      <c r="F49" s="37" t="n">
        <f aca="false">E8</f>
        <v>20</v>
      </c>
      <c r="G49" s="38" t="str">
        <f aca="false">IF(E49="","",E49-F49)</f>
        <v/>
      </c>
      <c r="H49" s="39" t="s">
        <v>286</v>
      </c>
    </row>
    <row r="51" customFormat="false" ht="16.4" hidden="false" customHeight="false" outlineLevel="0" collapsed="false">
      <c r="A51" s="3" t="s">
        <v>287</v>
      </c>
      <c r="B51" s="40" t="n">
        <f aca="false">COUNT(H13:H42)</f>
        <v>1</v>
      </c>
      <c r="C51" s="2" t="s">
        <v>288</v>
      </c>
    </row>
    <row r="52" customFormat="false" ht="16.4" hidden="false" customHeight="false" outlineLevel="0" collapsed="false">
      <c r="A52" s="3" t="s">
        <v>289</v>
      </c>
      <c r="B52" s="41" t="n">
        <f aca="false">IFERROR(AVERAGE(J13:J42),"")</f>
        <v>20</v>
      </c>
      <c r="C52" s="17" t="s">
        <v>290</v>
      </c>
    </row>
    <row r="54" customFormat="false" ht="39.75" hidden="false" customHeight="true" outlineLevel="0" collapsed="false">
      <c r="A54" s="13" t="s">
        <v>291</v>
      </c>
      <c r="B54" s="13"/>
      <c r="C54" s="13"/>
      <c r="D54" s="13"/>
      <c r="E54" s="13"/>
      <c r="F54" s="13"/>
      <c r="G54" s="13"/>
      <c r="H54" s="13"/>
    </row>
  </sheetData>
  <mergeCells count="1">
    <mergeCell ref="A54:H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46"/>
    <col collapsed="false" customWidth="true" hidden="false" outlineLevel="0" max="3" min="3" style="0" width="22"/>
    <col collapsed="false" customWidth="true" hidden="false" outlineLevel="0" max="4" min="4" style="0" width="54"/>
    <col collapsed="false" customWidth="true" hidden="false" outlineLevel="0" max="5" min="5" style="0" width="10"/>
    <col collapsed="false" customWidth="true" hidden="false" outlineLevel="0" max="6" min="6" style="0" width="9"/>
    <col collapsed="false" customWidth="true" hidden="false" outlineLevel="0" max="7" min="7" style="0" width="11"/>
    <col collapsed="false" customWidth="true" hidden="false" outlineLevel="0" max="8" min="8" style="0" width="52"/>
  </cols>
  <sheetData>
    <row r="1" customFormat="false" ht="19.4" hidden="false" customHeight="false" outlineLevel="0" collapsed="false">
      <c r="A1" s="1" t="s">
        <v>292</v>
      </c>
    </row>
    <row r="2" customFormat="false" ht="15" hidden="false" customHeight="false" outlineLevel="0" collapsed="false">
      <c r="A2" s="2" t="s">
        <v>293</v>
      </c>
    </row>
    <row r="4" customFormat="false" ht="15" hidden="false" customHeight="false" outlineLevel="0" collapsed="false">
      <c r="A4" s="8" t="s">
        <v>294</v>
      </c>
    </row>
    <row r="5" customFormat="false" ht="15" hidden="false" customHeight="false" outlineLevel="0" collapsed="false">
      <c r="A5" s="9" t="s">
        <v>295</v>
      </c>
      <c r="B5" s="9" t="s">
        <v>29</v>
      </c>
      <c r="C5" s="9" t="s">
        <v>296</v>
      </c>
    </row>
    <row r="6" customFormat="false" ht="39.55" hidden="false" customHeight="false" outlineLevel="0" collapsed="false">
      <c r="A6" s="11" t="s">
        <v>297</v>
      </c>
      <c r="B6" s="10" t="s">
        <v>298</v>
      </c>
      <c r="C6" s="10" t="s">
        <v>299</v>
      </c>
    </row>
    <row r="7" customFormat="false" ht="39.55" hidden="false" customHeight="false" outlineLevel="0" collapsed="false">
      <c r="A7" s="14" t="s">
        <v>300</v>
      </c>
      <c r="B7" s="12" t="s">
        <v>301</v>
      </c>
      <c r="C7" s="12" t="s">
        <v>302</v>
      </c>
    </row>
    <row r="8" customFormat="false" ht="26.85" hidden="false" customHeight="false" outlineLevel="0" collapsed="false">
      <c r="A8" s="11" t="s">
        <v>303</v>
      </c>
      <c r="B8" s="10" t="s">
        <v>304</v>
      </c>
      <c r="C8" s="10" t="s">
        <v>305</v>
      </c>
    </row>
    <row r="9" customFormat="false" ht="26.85" hidden="false" customHeight="false" outlineLevel="0" collapsed="false">
      <c r="A9" s="14" t="s">
        <v>306</v>
      </c>
      <c r="B9" s="12" t="s">
        <v>307</v>
      </c>
      <c r="C9" s="14" t="s">
        <v>308</v>
      </c>
    </row>
    <row r="11" customFormat="false" ht="15" hidden="false" customHeight="false" outlineLevel="0" collapsed="false">
      <c r="A11" s="42" t="s">
        <v>309</v>
      </c>
    </row>
    <row r="12" customFormat="false" ht="15" hidden="false" customHeight="false" outlineLevel="0" collapsed="false">
      <c r="A12" s="9" t="s">
        <v>310</v>
      </c>
      <c r="B12" s="9" t="s">
        <v>311</v>
      </c>
      <c r="C12" s="9" t="s">
        <v>312</v>
      </c>
    </row>
    <row r="13" customFormat="false" ht="37.3" hidden="false" customHeight="false" outlineLevel="0" collapsed="false">
      <c r="A13" s="43" t="s">
        <v>313</v>
      </c>
      <c r="B13" s="44" t="n">
        <v>20</v>
      </c>
      <c r="C13" s="45" t="s">
        <v>314</v>
      </c>
    </row>
    <row r="14" customFormat="false" ht="37.3" hidden="false" customHeight="false" outlineLevel="0" collapsed="false">
      <c r="A14" s="43" t="s">
        <v>315</v>
      </c>
      <c r="B14" s="44" t="n">
        <v>50</v>
      </c>
      <c r="C14" s="45" t="s">
        <v>316</v>
      </c>
    </row>
    <row r="15" customFormat="false" ht="25.35" hidden="false" customHeight="false" outlineLevel="0" collapsed="false">
      <c r="A15" s="43" t="s">
        <v>317</v>
      </c>
      <c r="B15" s="44" t="n">
        <v>60</v>
      </c>
      <c r="C15" s="45" t="s">
        <v>318</v>
      </c>
    </row>
    <row r="16" customFormat="false" ht="26.85" hidden="false" customHeight="false" outlineLevel="0" collapsed="false">
      <c r="A16" s="43" t="s">
        <v>319</v>
      </c>
      <c r="B16" s="44" t="n">
        <v>20</v>
      </c>
      <c r="C16" s="45" t="s">
        <v>320</v>
      </c>
    </row>
    <row r="17" customFormat="false" ht="15" hidden="false" customHeight="false" outlineLevel="0" collapsed="false">
      <c r="A17" s="46" t="s">
        <v>261</v>
      </c>
      <c r="B17" s="47" t="n">
        <f aca="false">SUM(B13:B16)</f>
        <v>150</v>
      </c>
      <c r="C17" s="46" t="str">
        <f aca="false">IF(B17=150,"OK：150分ちょうど","調整が必要：150分との差 "&amp;TEXT(B17-150,"+0;-0")&amp;"分")</f>
        <v>OK：150分ちょうど</v>
      </c>
    </row>
    <row r="19" customFormat="false" ht="39.75" hidden="false" customHeight="true" outlineLevel="0" collapsed="false">
      <c r="A19" s="16" t="s">
        <v>321</v>
      </c>
      <c r="B19" s="16"/>
      <c r="C19" s="16"/>
    </row>
    <row r="21" customFormat="false" ht="15" hidden="false" customHeight="false" outlineLevel="0" collapsed="false">
      <c r="A21" s="8" t="s">
        <v>322</v>
      </c>
    </row>
    <row r="22" customFormat="false" ht="15" hidden="false" customHeight="false" outlineLevel="0" collapsed="false">
      <c r="A22" s="48" t="s">
        <v>323</v>
      </c>
      <c r="B22" s="49" t="n">
        <f aca="false">TIME(13,0,0)</f>
        <v>0.541666666666667</v>
      </c>
    </row>
    <row r="23" customFormat="false" ht="15" hidden="false" customHeight="false" outlineLevel="0" collapsed="false">
      <c r="A23" s="9" t="s">
        <v>310</v>
      </c>
      <c r="B23" s="9" t="s">
        <v>311</v>
      </c>
      <c r="C23" s="9" t="s">
        <v>324</v>
      </c>
      <c r="D23" s="9" t="s">
        <v>325</v>
      </c>
    </row>
    <row r="24" customFormat="false" ht="15" hidden="false" customHeight="false" outlineLevel="0" collapsed="false">
      <c r="A24" s="50" t="s">
        <v>313</v>
      </c>
      <c r="B24" s="51" t="n">
        <f aca="false">B13</f>
        <v>20</v>
      </c>
      <c r="C24" s="52" t="n">
        <f aca="false">$B$22+TIME(0,$B$13,0)</f>
        <v>0.555555555555556</v>
      </c>
      <c r="D24" s="53" t="s">
        <v>326</v>
      </c>
    </row>
    <row r="25" customFormat="false" ht="15" hidden="false" customHeight="false" outlineLevel="0" collapsed="false">
      <c r="A25" s="50" t="s">
        <v>315</v>
      </c>
      <c r="B25" s="51" t="n">
        <f aca="false">B14</f>
        <v>50</v>
      </c>
      <c r="C25" s="52" t="n">
        <f aca="false">$B$22+TIME(0,$B$13+$B$14,0)</f>
        <v>0.590277777777778</v>
      </c>
      <c r="D25" s="53" t="s">
        <v>327</v>
      </c>
    </row>
    <row r="26" customFormat="false" ht="15" hidden="false" customHeight="false" outlineLevel="0" collapsed="false">
      <c r="A26" s="50" t="s">
        <v>317</v>
      </c>
      <c r="B26" s="51" t="n">
        <f aca="false">B15</f>
        <v>60</v>
      </c>
      <c r="C26" s="52" t="n">
        <f aca="false">$B$22+TIME(0,$B$13+$B$14+$B$15,0)</f>
        <v>0.631944444444444</v>
      </c>
      <c r="D26" s="53" t="s">
        <v>328</v>
      </c>
    </row>
    <row r="27" customFormat="false" ht="26.85" hidden="false" customHeight="false" outlineLevel="0" collapsed="false">
      <c r="A27" s="50" t="s">
        <v>319</v>
      </c>
      <c r="B27" s="51" t="n">
        <f aca="false">B16</f>
        <v>20</v>
      </c>
      <c r="C27" s="52" t="n">
        <f aca="false">$B$22+TIME(0,$B$13+$B$14+$B$15+$B$16,0)</f>
        <v>0.645833333333333</v>
      </c>
      <c r="D27" s="53" t="s">
        <v>329</v>
      </c>
    </row>
    <row r="28" customFormat="false" ht="39.75" hidden="false" customHeight="true" outlineLevel="0" collapsed="false">
      <c r="A28" s="16" t="s">
        <v>330</v>
      </c>
      <c r="B28" s="16"/>
      <c r="C28" s="16"/>
      <c r="D28" s="16"/>
    </row>
    <row r="30" customFormat="false" ht="15" hidden="false" customHeight="false" outlineLevel="0" collapsed="false">
      <c r="A30" s="8" t="s">
        <v>331</v>
      </c>
    </row>
    <row r="31" customFormat="false" ht="15" hidden="false" customHeight="false" outlineLevel="0" collapsed="false">
      <c r="A31" s="9" t="s">
        <v>266</v>
      </c>
      <c r="B31" s="9" t="s">
        <v>332</v>
      </c>
      <c r="C31" s="9" t="s">
        <v>263</v>
      </c>
      <c r="D31" s="9" t="s">
        <v>262</v>
      </c>
      <c r="E31" s="9" t="s">
        <v>333</v>
      </c>
      <c r="F31" s="9" t="s">
        <v>261</v>
      </c>
      <c r="G31" s="15" t="s">
        <v>334</v>
      </c>
      <c r="H31" s="9" t="s">
        <v>335</v>
      </c>
    </row>
    <row r="32" customFormat="false" ht="26.85" hidden="false" customHeight="false" outlineLevel="0" collapsed="false">
      <c r="A32" s="29" t="s">
        <v>238</v>
      </c>
      <c r="B32" s="31" t="n">
        <v>34</v>
      </c>
      <c r="C32" s="31" t="n">
        <v>55</v>
      </c>
      <c r="D32" s="31" t="n">
        <v>62</v>
      </c>
      <c r="E32" s="31" t="n">
        <v>0</v>
      </c>
      <c r="F32" s="32" t="n">
        <f aca="false">IF(COUNT(B32:E32)=0,"",SUM(B32:E32))</f>
        <v>151</v>
      </c>
      <c r="G32" s="54" t="n">
        <f aca="false">IF(F32="","",F32-150)</f>
        <v>1</v>
      </c>
      <c r="H32" s="34" t="s">
        <v>336</v>
      </c>
    </row>
    <row r="33" customFormat="false" ht="15" hidden="false" customHeight="false" outlineLevel="0" collapsed="false">
      <c r="A33" s="30"/>
      <c r="B33" s="31"/>
      <c r="C33" s="31"/>
      <c r="D33" s="31"/>
      <c r="E33" s="31"/>
      <c r="F33" s="32" t="str">
        <f aca="false">IF(COUNT(B33:E33)=0,"",SUM(B33:E33))</f>
        <v/>
      </c>
      <c r="G33" s="54" t="str">
        <f aca="false">IF(F33="","",F33-150)</f>
        <v/>
      </c>
      <c r="H33" s="34"/>
    </row>
    <row r="34" customFormat="false" ht="15" hidden="false" customHeight="false" outlineLevel="0" collapsed="false">
      <c r="A34" s="30"/>
      <c r="B34" s="31"/>
      <c r="C34" s="31"/>
      <c r="D34" s="31"/>
      <c r="E34" s="31"/>
      <c r="F34" s="32" t="str">
        <f aca="false">IF(COUNT(B34:E34)=0,"",SUM(B34:E34))</f>
        <v/>
      </c>
      <c r="G34" s="54" t="str">
        <f aca="false">IF(F34="","",F34-150)</f>
        <v/>
      </c>
      <c r="H34" s="34"/>
    </row>
    <row r="35" customFormat="false" ht="15" hidden="false" customHeight="false" outlineLevel="0" collapsed="false">
      <c r="A35" s="30"/>
      <c r="B35" s="31"/>
      <c r="C35" s="31"/>
      <c r="D35" s="31"/>
      <c r="E35" s="31"/>
      <c r="F35" s="32" t="str">
        <f aca="false">IF(COUNT(B35:E35)=0,"",SUM(B35:E35))</f>
        <v/>
      </c>
      <c r="G35" s="54" t="str">
        <f aca="false">IF(F35="","",F35-150)</f>
        <v/>
      </c>
      <c r="H35" s="34"/>
    </row>
    <row r="36" customFormat="false" ht="15" hidden="false" customHeight="false" outlineLevel="0" collapsed="false">
      <c r="A36" s="30"/>
      <c r="B36" s="31"/>
      <c r="C36" s="31"/>
      <c r="D36" s="31"/>
      <c r="E36" s="31"/>
      <c r="F36" s="32" t="str">
        <f aca="false">IF(COUNT(B36:E36)=0,"",SUM(B36:E36))</f>
        <v/>
      </c>
      <c r="G36" s="54" t="str">
        <f aca="false">IF(F36="","",F36-150)</f>
        <v/>
      </c>
      <c r="H36" s="34"/>
    </row>
    <row r="37" customFormat="false" ht="15" hidden="false" customHeight="false" outlineLevel="0" collapsed="false">
      <c r="A37" s="30"/>
      <c r="B37" s="31"/>
      <c r="C37" s="31"/>
      <c r="D37" s="31"/>
      <c r="E37" s="31"/>
      <c r="F37" s="32" t="str">
        <f aca="false">IF(COUNT(B37:E37)=0,"",SUM(B37:E37))</f>
        <v/>
      </c>
      <c r="G37" s="54" t="str">
        <f aca="false">IF(F37="","",F37-150)</f>
        <v/>
      </c>
      <c r="H37" s="34"/>
    </row>
    <row r="38" customFormat="false" ht="15" hidden="false" customHeight="false" outlineLevel="0" collapsed="false">
      <c r="A38" s="30"/>
      <c r="B38" s="31"/>
      <c r="C38" s="31"/>
      <c r="D38" s="31"/>
      <c r="E38" s="31"/>
      <c r="F38" s="32" t="str">
        <f aca="false">IF(COUNT(B38:E38)=0,"",SUM(B38:E38))</f>
        <v/>
      </c>
      <c r="G38" s="54" t="str">
        <f aca="false">IF(F38="","",F38-150)</f>
        <v/>
      </c>
      <c r="H38" s="34"/>
    </row>
    <row r="39" customFormat="false" ht="15" hidden="false" customHeight="false" outlineLevel="0" collapsed="false">
      <c r="A39" s="30"/>
      <c r="B39" s="31"/>
      <c r="C39" s="31"/>
      <c r="D39" s="31"/>
      <c r="E39" s="31"/>
      <c r="F39" s="32" t="str">
        <f aca="false">IF(COUNT(B39:E39)=0,"",SUM(B39:E39))</f>
        <v/>
      </c>
      <c r="G39" s="54" t="str">
        <f aca="false">IF(F39="","",F39-150)</f>
        <v/>
      </c>
      <c r="H39" s="34"/>
    </row>
    <row r="40" customFormat="false" ht="15" hidden="false" customHeight="false" outlineLevel="0" collapsed="false">
      <c r="A40" s="30"/>
      <c r="B40" s="31"/>
      <c r="C40" s="31"/>
      <c r="D40" s="31"/>
      <c r="E40" s="31"/>
      <c r="F40" s="32" t="str">
        <f aca="false">IF(COUNT(B40:E40)=0,"",SUM(B40:E40))</f>
        <v/>
      </c>
      <c r="G40" s="54" t="str">
        <f aca="false">IF(F40="","",F40-150)</f>
        <v/>
      </c>
      <c r="H40" s="34"/>
    </row>
    <row r="41" customFormat="false" ht="15" hidden="false" customHeight="false" outlineLevel="0" collapsed="false">
      <c r="A41" s="30"/>
      <c r="B41" s="31"/>
      <c r="C41" s="31"/>
      <c r="D41" s="31"/>
      <c r="E41" s="31"/>
      <c r="F41" s="32" t="str">
        <f aca="false">IF(COUNT(B41:E41)=0,"",SUM(B41:E41))</f>
        <v/>
      </c>
      <c r="G41" s="54" t="str">
        <f aca="false">IF(F41="","",F41-150)</f>
        <v/>
      </c>
      <c r="H41" s="34"/>
    </row>
    <row r="42" customFormat="false" ht="15" hidden="false" customHeight="false" outlineLevel="0" collapsed="false">
      <c r="A42" s="30"/>
      <c r="B42" s="31"/>
      <c r="C42" s="31"/>
      <c r="D42" s="31"/>
      <c r="E42" s="31"/>
      <c r="F42" s="32" t="str">
        <f aca="false">IF(COUNT(B42:E42)=0,"",SUM(B42:E42))</f>
        <v/>
      </c>
      <c r="G42" s="54" t="str">
        <f aca="false">IF(F42="","",F42-150)</f>
        <v/>
      </c>
      <c r="H42" s="34"/>
    </row>
    <row r="43" customFormat="false" ht="15" hidden="false" customHeight="false" outlineLevel="0" collapsed="false">
      <c r="A43" s="30"/>
      <c r="B43" s="31"/>
      <c r="C43" s="31"/>
      <c r="D43" s="31"/>
      <c r="E43" s="31"/>
      <c r="F43" s="32" t="str">
        <f aca="false">IF(COUNT(B43:E43)=0,"",SUM(B43:E43))</f>
        <v/>
      </c>
      <c r="G43" s="54" t="str">
        <f aca="false">IF(F43="","",F43-150)</f>
        <v/>
      </c>
      <c r="H43" s="34"/>
    </row>
    <row r="45" customFormat="false" ht="16.4" hidden="false" customHeight="false" outlineLevel="0" collapsed="false">
      <c r="A45" s="3" t="s">
        <v>337</v>
      </c>
      <c r="B45" s="40" t="n">
        <f aca="false">COUNT(F32:F43)</f>
        <v>1</v>
      </c>
      <c r="C45" s="2" t="s">
        <v>338</v>
      </c>
    </row>
    <row r="46" customFormat="false" ht="16.4" hidden="false" customHeight="false" outlineLevel="0" collapsed="false">
      <c r="A46" s="3" t="s">
        <v>339</v>
      </c>
      <c r="B46" s="55" t="n">
        <f aca="false">IFERROR(AVERAGE(B32:B43),"")</f>
        <v>34</v>
      </c>
      <c r="C46" s="17" t="s">
        <v>340</v>
      </c>
    </row>
    <row r="48" customFormat="false" ht="15" hidden="false" customHeight="false" outlineLevel="0" collapsed="false">
      <c r="A48" s="8" t="s">
        <v>341</v>
      </c>
    </row>
    <row r="49" customFormat="false" ht="15" hidden="false" customHeight="false" outlineLevel="0" collapsed="false">
      <c r="A49" s="9" t="s">
        <v>342</v>
      </c>
      <c r="B49" s="9" t="s">
        <v>343</v>
      </c>
      <c r="C49" s="9" t="s">
        <v>344</v>
      </c>
      <c r="D49" s="9" t="s">
        <v>345</v>
      </c>
    </row>
    <row r="50" customFormat="false" ht="15" hidden="false" customHeight="false" outlineLevel="0" collapsed="false">
      <c r="A50" s="11" t="s">
        <v>346</v>
      </c>
      <c r="B50" s="10" t="s">
        <v>347</v>
      </c>
      <c r="C50" s="10" t="s">
        <v>348</v>
      </c>
      <c r="D50" s="10" t="s">
        <v>349</v>
      </c>
    </row>
    <row r="51" customFormat="false" ht="26.85" hidden="false" customHeight="false" outlineLevel="0" collapsed="false">
      <c r="A51" s="14" t="s">
        <v>346</v>
      </c>
      <c r="B51" s="12" t="s">
        <v>350</v>
      </c>
      <c r="C51" s="12" t="s">
        <v>351</v>
      </c>
      <c r="D51" s="12" t="s">
        <v>352</v>
      </c>
    </row>
    <row r="52" customFormat="false" ht="26.85" hidden="false" customHeight="false" outlineLevel="0" collapsed="false">
      <c r="A52" s="11" t="s">
        <v>346</v>
      </c>
      <c r="B52" s="10" t="s">
        <v>353</v>
      </c>
      <c r="C52" s="10" t="s">
        <v>354</v>
      </c>
      <c r="D52" s="10" t="s">
        <v>355</v>
      </c>
    </row>
    <row r="53" customFormat="false" ht="15" hidden="false" customHeight="false" outlineLevel="0" collapsed="false">
      <c r="A53" s="14" t="s">
        <v>346</v>
      </c>
      <c r="B53" s="12" t="s">
        <v>356</v>
      </c>
      <c r="C53" s="12" t="s">
        <v>357</v>
      </c>
      <c r="D53" s="12" t="s">
        <v>358</v>
      </c>
    </row>
    <row r="54" customFormat="false" ht="15" hidden="false" customHeight="false" outlineLevel="0" collapsed="false">
      <c r="A54" s="11" t="s">
        <v>346</v>
      </c>
      <c r="B54" s="10" t="s">
        <v>359</v>
      </c>
      <c r="C54" s="10" t="s">
        <v>360</v>
      </c>
      <c r="D54" s="10" t="s">
        <v>361</v>
      </c>
    </row>
    <row r="55" customFormat="false" ht="15" hidden="false" customHeight="false" outlineLevel="0" collapsed="false">
      <c r="A55" s="14" t="s">
        <v>346</v>
      </c>
      <c r="B55" s="12" t="s">
        <v>362</v>
      </c>
      <c r="C55" s="12" t="s">
        <v>363</v>
      </c>
      <c r="D55" s="12" t="s">
        <v>364</v>
      </c>
    </row>
    <row r="57" customFormat="false" ht="39.75" hidden="false" customHeight="true" outlineLevel="0" collapsed="false">
      <c r="A57" s="16" t="s">
        <v>365</v>
      </c>
      <c r="B57" s="16"/>
      <c r="C57" s="16"/>
      <c r="D57" s="16"/>
    </row>
  </sheetData>
  <mergeCells count="3">
    <mergeCell ref="A19:C19"/>
    <mergeCell ref="A28:D28"/>
    <mergeCell ref="A57:D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66"/>
  </cols>
  <sheetData>
    <row r="1" customFormat="false" ht="19.4" hidden="false" customHeight="false" outlineLevel="0" collapsed="false">
      <c r="A1" s="1" t="s">
        <v>366</v>
      </c>
    </row>
    <row r="2" customFormat="false" ht="15" hidden="false" customHeight="false" outlineLevel="0" collapsed="false">
      <c r="A2" s="2" t="s">
        <v>367</v>
      </c>
    </row>
    <row r="4" customFormat="false" ht="15" hidden="false" customHeight="false" outlineLevel="0" collapsed="false">
      <c r="A4" s="8" t="s">
        <v>368</v>
      </c>
    </row>
    <row r="5" customFormat="false" ht="15" hidden="false" customHeight="false" outlineLevel="0" collapsed="false">
      <c r="A5" s="9" t="s">
        <v>369</v>
      </c>
      <c r="B5" s="9" t="s">
        <v>370</v>
      </c>
      <c r="C5" s="9" t="s">
        <v>371</v>
      </c>
    </row>
    <row r="6" customFormat="false" ht="39.55" hidden="false" customHeight="false" outlineLevel="0" collapsed="false">
      <c r="A6" s="10" t="s">
        <v>372</v>
      </c>
      <c r="B6" s="11" t="s">
        <v>373</v>
      </c>
      <c r="C6" s="10" t="s">
        <v>374</v>
      </c>
    </row>
    <row r="7" customFormat="false" ht="26.85" hidden="false" customHeight="false" outlineLevel="0" collapsed="false">
      <c r="A7" s="12" t="s">
        <v>375</v>
      </c>
      <c r="B7" s="12" t="s">
        <v>376</v>
      </c>
      <c r="C7" s="12" t="s">
        <v>377</v>
      </c>
    </row>
    <row r="8" customFormat="false" ht="26.85" hidden="false" customHeight="false" outlineLevel="0" collapsed="false">
      <c r="A8" s="10" t="s">
        <v>378</v>
      </c>
      <c r="B8" s="10" t="s">
        <v>379</v>
      </c>
      <c r="C8" s="11" t="s">
        <v>380</v>
      </c>
    </row>
    <row r="9" customFormat="false" ht="26.85" hidden="false" customHeight="false" outlineLevel="0" collapsed="false">
      <c r="A9" s="12" t="s">
        <v>381</v>
      </c>
      <c r="B9" s="12" t="s">
        <v>382</v>
      </c>
      <c r="C9" s="12" t="s">
        <v>383</v>
      </c>
    </row>
    <row r="10" customFormat="false" ht="15" hidden="false" customHeight="false" outlineLevel="0" collapsed="false">
      <c r="A10" s="10" t="s">
        <v>384</v>
      </c>
      <c r="B10" s="10" t="s">
        <v>385</v>
      </c>
      <c r="C10" s="10" t="s">
        <v>386</v>
      </c>
    </row>
    <row r="12" customFormat="false" ht="15" hidden="false" customHeight="false" outlineLevel="0" collapsed="false">
      <c r="A12" s="8" t="s">
        <v>387</v>
      </c>
    </row>
    <row r="13" customFormat="false" ht="15" hidden="false" customHeight="false" outlineLevel="0" collapsed="false">
      <c r="A13" s="9" t="s">
        <v>388</v>
      </c>
      <c r="B13" s="9" t="s">
        <v>389</v>
      </c>
      <c r="C13" s="9" t="s">
        <v>390</v>
      </c>
    </row>
    <row r="14" customFormat="false" ht="26.85" hidden="false" customHeight="false" outlineLevel="0" collapsed="false">
      <c r="A14" s="10" t="s">
        <v>391</v>
      </c>
      <c r="B14" s="10" t="s">
        <v>392</v>
      </c>
      <c r="C14" s="10" t="s">
        <v>393</v>
      </c>
    </row>
    <row r="15" customFormat="false" ht="26.85" hidden="false" customHeight="false" outlineLevel="0" collapsed="false">
      <c r="A15" s="12" t="s">
        <v>394</v>
      </c>
      <c r="B15" s="12" t="s">
        <v>395</v>
      </c>
      <c r="C15" s="12" t="s">
        <v>396</v>
      </c>
    </row>
    <row r="16" customFormat="false" ht="26.85" hidden="false" customHeight="false" outlineLevel="0" collapsed="false">
      <c r="A16" s="10" t="s">
        <v>397</v>
      </c>
      <c r="B16" s="10" t="s">
        <v>398</v>
      </c>
      <c r="C16" s="10" t="s">
        <v>399</v>
      </c>
    </row>
    <row r="18" customFormat="false" ht="39.75" hidden="false" customHeight="true" outlineLevel="0" collapsed="false">
      <c r="A18" s="56" t="s">
        <v>400</v>
      </c>
      <c r="B18" s="56"/>
      <c r="C18" s="56"/>
    </row>
  </sheetData>
  <mergeCells count="1">
    <mergeCell ref="A18:C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46"/>
    <col collapsed="false" customWidth="true" hidden="false" outlineLevel="0" max="4" min="4" style="0" width="24"/>
    <col collapsed="false" customWidth="true" hidden="false" outlineLevel="0" max="5" min="5" style="0" width="40"/>
    <col collapsed="false" customWidth="true" hidden="false" outlineLevel="0" max="6" min="6" style="0" width="8"/>
  </cols>
  <sheetData>
    <row r="1" customFormat="false" ht="17.35" hidden="false" customHeight="false" outlineLevel="0" collapsed="false">
      <c r="A1" s="1" t="s">
        <v>401</v>
      </c>
    </row>
    <row r="2" customFormat="false" ht="15" hidden="false" customHeight="false" outlineLevel="0" collapsed="false">
      <c r="A2" s="2" t="s">
        <v>402</v>
      </c>
    </row>
    <row r="3" customFormat="false" ht="15" hidden="false" customHeight="false" outlineLevel="0" collapsed="false">
      <c r="A3" s="25" t="s">
        <v>403</v>
      </c>
    </row>
    <row r="5" customFormat="false" ht="15" hidden="false" customHeight="false" outlineLevel="0" collapsed="false">
      <c r="A5" s="15" t="s">
        <v>54</v>
      </c>
      <c r="B5" s="9" t="s">
        <v>404</v>
      </c>
      <c r="C5" s="9" t="s">
        <v>405</v>
      </c>
      <c r="D5" s="9" t="s">
        <v>406</v>
      </c>
      <c r="E5" s="9" t="s">
        <v>407</v>
      </c>
      <c r="F5" s="9" t="s">
        <v>408</v>
      </c>
    </row>
    <row r="6" customFormat="false" ht="30" hidden="false" customHeight="true" outlineLevel="0" collapsed="false">
      <c r="A6" s="10" t="n">
        <v>1</v>
      </c>
      <c r="B6" s="10" t="s">
        <v>409</v>
      </c>
      <c r="C6" s="10" t="s">
        <v>410</v>
      </c>
      <c r="D6" s="10" t="s">
        <v>411</v>
      </c>
      <c r="E6" s="57"/>
      <c r="F6" s="58"/>
    </row>
    <row r="7" customFormat="false" ht="30" hidden="false" customHeight="true" outlineLevel="0" collapsed="false">
      <c r="A7" s="12" t="n">
        <v>2</v>
      </c>
      <c r="B7" s="12" t="s">
        <v>409</v>
      </c>
      <c r="C7" s="12" t="s">
        <v>412</v>
      </c>
      <c r="D7" s="12" t="s">
        <v>413</v>
      </c>
      <c r="E7" s="59"/>
      <c r="F7" s="60"/>
    </row>
    <row r="8" customFormat="false" ht="30" hidden="false" customHeight="true" outlineLevel="0" collapsed="false">
      <c r="A8" s="10" t="n">
        <v>3</v>
      </c>
      <c r="B8" s="10" t="s">
        <v>409</v>
      </c>
      <c r="C8" s="10" t="s">
        <v>414</v>
      </c>
      <c r="D8" s="10" t="s">
        <v>415</v>
      </c>
      <c r="E8" s="57"/>
      <c r="F8" s="58"/>
    </row>
    <row r="9" customFormat="false" ht="30" hidden="false" customHeight="true" outlineLevel="0" collapsed="false">
      <c r="A9" s="12" t="n">
        <v>4</v>
      </c>
      <c r="B9" s="12" t="s">
        <v>409</v>
      </c>
      <c r="C9" s="14" t="s">
        <v>416</v>
      </c>
      <c r="D9" s="12" t="s">
        <v>417</v>
      </c>
      <c r="E9" s="59"/>
      <c r="F9" s="60"/>
    </row>
    <row r="10" customFormat="false" ht="30" hidden="false" customHeight="true" outlineLevel="0" collapsed="false">
      <c r="A10" s="10" t="n">
        <v>5</v>
      </c>
      <c r="B10" s="10" t="s">
        <v>409</v>
      </c>
      <c r="C10" s="10" t="s">
        <v>418</v>
      </c>
      <c r="D10" s="10" t="s">
        <v>419</v>
      </c>
      <c r="E10" s="57"/>
      <c r="F10" s="58"/>
    </row>
    <row r="11" customFormat="false" ht="30" hidden="false" customHeight="true" outlineLevel="0" collapsed="false">
      <c r="A11" s="12" t="n">
        <v>6</v>
      </c>
      <c r="B11" s="12" t="s">
        <v>409</v>
      </c>
      <c r="C11" s="12" t="s">
        <v>420</v>
      </c>
      <c r="D11" s="14" t="s">
        <v>421</v>
      </c>
      <c r="E11" s="59"/>
      <c r="F11" s="60"/>
    </row>
    <row r="12" customFormat="false" ht="30" hidden="false" customHeight="true" outlineLevel="0" collapsed="false">
      <c r="A12" s="10" t="n">
        <v>7</v>
      </c>
      <c r="B12" s="10" t="s">
        <v>409</v>
      </c>
      <c r="C12" s="10" t="s">
        <v>422</v>
      </c>
      <c r="D12" s="10" t="s">
        <v>423</v>
      </c>
      <c r="E12" s="57"/>
      <c r="F12" s="58"/>
    </row>
    <row r="13" customFormat="false" ht="30" hidden="false" customHeight="true" outlineLevel="0" collapsed="false">
      <c r="A13" s="12" t="n">
        <v>8</v>
      </c>
      <c r="B13" s="12" t="s">
        <v>424</v>
      </c>
      <c r="C13" s="12" t="s">
        <v>425</v>
      </c>
      <c r="D13" s="12" t="s">
        <v>426</v>
      </c>
      <c r="E13" s="59"/>
      <c r="F13" s="60"/>
    </row>
    <row r="14" customFormat="false" ht="30" hidden="false" customHeight="true" outlineLevel="0" collapsed="false">
      <c r="A14" s="10" t="n">
        <v>9</v>
      </c>
      <c r="B14" s="10" t="s">
        <v>424</v>
      </c>
      <c r="C14" s="10" t="s">
        <v>427</v>
      </c>
      <c r="D14" s="10" t="s">
        <v>428</v>
      </c>
      <c r="E14" s="57"/>
      <c r="F14" s="58"/>
    </row>
    <row r="15" customFormat="false" ht="30" hidden="false" customHeight="true" outlineLevel="0" collapsed="false">
      <c r="A15" s="12" t="n">
        <v>10</v>
      </c>
      <c r="B15" s="12" t="s">
        <v>424</v>
      </c>
      <c r="C15" s="12" t="s">
        <v>429</v>
      </c>
      <c r="D15" s="12" t="s">
        <v>430</v>
      </c>
      <c r="E15" s="59"/>
      <c r="F15" s="60"/>
    </row>
    <row r="16" customFormat="false" ht="30" hidden="false" customHeight="true" outlineLevel="0" collapsed="false">
      <c r="A16" s="10" t="n">
        <v>11</v>
      </c>
      <c r="B16" s="10" t="s">
        <v>431</v>
      </c>
      <c r="C16" s="10" t="s">
        <v>432</v>
      </c>
      <c r="D16" s="10" t="s">
        <v>433</v>
      </c>
      <c r="E16" s="57"/>
      <c r="F16" s="58"/>
    </row>
    <row r="17" customFormat="false" ht="30" hidden="false" customHeight="true" outlineLevel="0" collapsed="false">
      <c r="A17" s="12" t="n">
        <v>12</v>
      </c>
      <c r="B17" s="12" t="s">
        <v>431</v>
      </c>
      <c r="C17" s="12" t="s">
        <v>434</v>
      </c>
      <c r="D17" s="12" t="s">
        <v>435</v>
      </c>
      <c r="E17" s="59"/>
      <c r="F17" s="60"/>
    </row>
    <row r="18" customFormat="false" ht="30" hidden="false" customHeight="true" outlineLevel="0" collapsed="false">
      <c r="A18" s="10" t="n">
        <v>13</v>
      </c>
      <c r="B18" s="10" t="s">
        <v>431</v>
      </c>
      <c r="C18" s="10" t="s">
        <v>436</v>
      </c>
      <c r="D18" s="10" t="s">
        <v>437</v>
      </c>
      <c r="E18" s="57"/>
      <c r="F18" s="58"/>
    </row>
    <row r="20" customFormat="false" ht="39.75" hidden="false" customHeight="true" outlineLevel="0" collapsed="false">
      <c r="A20" s="16" t="s">
        <v>438</v>
      </c>
      <c r="B20" s="16"/>
      <c r="C20" s="16"/>
      <c r="D20" s="16"/>
      <c r="E20" s="16"/>
      <c r="F20" s="16"/>
    </row>
  </sheetData>
  <mergeCells count="1">
    <mergeCell ref="A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84"/>
    <col collapsed="false" customWidth="true" hidden="false" outlineLevel="0" max="4" min="4" style="0" width="46"/>
  </cols>
  <sheetData>
    <row r="1" customFormat="false" ht="19.4" hidden="false" customHeight="false" outlineLevel="0" collapsed="false">
      <c r="A1" s="1" t="s">
        <v>439</v>
      </c>
    </row>
    <row r="2" customFormat="false" ht="15" hidden="false" customHeight="false" outlineLevel="0" collapsed="false">
      <c r="A2" s="2" t="s">
        <v>440</v>
      </c>
    </row>
    <row r="4" customFormat="false" ht="15" hidden="false" customHeight="false" outlineLevel="0" collapsed="false">
      <c r="A4" s="9" t="s">
        <v>441</v>
      </c>
      <c r="B4" s="9" t="s">
        <v>442</v>
      </c>
      <c r="C4" s="9" t="s">
        <v>443</v>
      </c>
      <c r="D4" s="9" t="s">
        <v>444</v>
      </c>
    </row>
    <row r="5" customFormat="false" ht="26.85" hidden="false" customHeight="false" outlineLevel="0" collapsed="false">
      <c r="A5" s="11" t="s">
        <v>445</v>
      </c>
      <c r="B5" s="11" t="s">
        <v>446</v>
      </c>
      <c r="C5" s="10" t="s">
        <v>447</v>
      </c>
      <c r="D5" s="11" t="s">
        <v>448</v>
      </c>
    </row>
    <row r="6" customFormat="false" ht="26.85" hidden="false" customHeight="false" outlineLevel="0" collapsed="false">
      <c r="A6" s="14" t="s">
        <v>449</v>
      </c>
      <c r="B6" s="14" t="s">
        <v>450</v>
      </c>
      <c r="C6" s="12" t="s">
        <v>451</v>
      </c>
      <c r="D6" s="12" t="s">
        <v>452</v>
      </c>
    </row>
    <row r="7" customFormat="false" ht="26.85" hidden="false" customHeight="false" outlineLevel="0" collapsed="false">
      <c r="A7" s="11" t="s">
        <v>453</v>
      </c>
      <c r="B7" s="11" t="s">
        <v>454</v>
      </c>
      <c r="C7" s="10" t="s">
        <v>455</v>
      </c>
      <c r="D7" s="10" t="s">
        <v>456</v>
      </c>
    </row>
    <row r="8" customFormat="false" ht="15" hidden="false" customHeight="false" outlineLevel="0" collapsed="false">
      <c r="A8" s="12" t="s">
        <v>457</v>
      </c>
      <c r="B8" s="14" t="s">
        <v>458</v>
      </c>
      <c r="C8" s="12" t="s">
        <v>459</v>
      </c>
      <c r="D8" s="12" t="s">
        <v>460</v>
      </c>
    </row>
    <row r="9" customFormat="false" ht="15" hidden="false" customHeight="false" outlineLevel="0" collapsed="false">
      <c r="A9" s="10" t="s">
        <v>461</v>
      </c>
      <c r="B9" s="11" t="s">
        <v>462</v>
      </c>
      <c r="C9" s="11" t="s">
        <v>463</v>
      </c>
      <c r="D9" s="11" t="s">
        <v>115</v>
      </c>
    </row>
    <row r="11" customFormat="false" ht="15" hidden="false" customHeight="false" outlineLevel="0" collapsed="false">
      <c r="A11" s="8" t="s">
        <v>464</v>
      </c>
    </row>
    <row r="12" customFormat="false" ht="15" hidden="false" customHeight="false" outlineLevel="0" collapsed="false">
      <c r="A12" s="15" t="s">
        <v>222</v>
      </c>
      <c r="B12" s="9" t="s">
        <v>465</v>
      </c>
      <c r="C12" s="9" t="s">
        <v>466</v>
      </c>
    </row>
    <row r="13" customFormat="false" ht="15" hidden="false" customHeight="false" outlineLevel="0" collapsed="false">
      <c r="A13" s="10"/>
      <c r="B13" s="10" t="s">
        <v>467</v>
      </c>
      <c r="C13" s="10" t="s">
        <v>468</v>
      </c>
    </row>
    <row r="14" customFormat="false" ht="15" hidden="false" customHeight="false" outlineLevel="0" collapsed="false">
      <c r="A14" s="12"/>
      <c r="B14" s="12" t="s">
        <v>469</v>
      </c>
      <c r="C14" s="12" t="s">
        <v>470</v>
      </c>
    </row>
    <row r="15" customFormat="false" ht="15" hidden="false" customHeight="false" outlineLevel="0" collapsed="false">
      <c r="A15" s="10"/>
      <c r="B15" s="10" t="s">
        <v>471</v>
      </c>
      <c r="C15" s="10" t="s">
        <v>472</v>
      </c>
    </row>
    <row r="16" customFormat="false" ht="15" hidden="false" customHeight="false" outlineLevel="0" collapsed="false">
      <c r="A16" s="12"/>
      <c r="B16" s="14" t="s">
        <v>473</v>
      </c>
      <c r="C16" s="12" t="s">
        <v>474</v>
      </c>
    </row>
    <row r="17" customFormat="false" ht="15" hidden="false" customHeight="false" outlineLevel="0" collapsed="false">
      <c r="A17" s="10"/>
      <c r="B17" s="10" t="s">
        <v>475</v>
      </c>
      <c r="C17" s="10" t="s">
        <v>476</v>
      </c>
    </row>
    <row r="18" customFormat="false" ht="15" hidden="false" customHeight="false" outlineLevel="0" collapsed="false">
      <c r="A18" s="12"/>
      <c r="B18" s="12" t="s">
        <v>477</v>
      </c>
      <c r="C18" s="12" t="s">
        <v>478</v>
      </c>
    </row>
    <row r="19" customFormat="false" ht="15" hidden="false" customHeight="false" outlineLevel="0" collapsed="false">
      <c r="A19" s="10"/>
      <c r="B19" s="10" t="s">
        <v>479</v>
      </c>
      <c r="C19" s="10" t="s">
        <v>480</v>
      </c>
    </row>
    <row r="20" customFormat="false" ht="15" hidden="false" customHeight="false" outlineLevel="0" collapsed="false">
      <c r="A20" s="12"/>
      <c r="B20" s="12" t="s">
        <v>481</v>
      </c>
      <c r="C20" s="12" t="s">
        <v>482</v>
      </c>
    </row>
    <row r="21" customFormat="false" ht="15" hidden="false" customHeight="false" outlineLevel="0" collapsed="false">
      <c r="A21" s="10"/>
      <c r="B21" s="10" t="s">
        <v>483</v>
      </c>
      <c r="C21" s="10"/>
    </row>
    <row r="22" customFormat="false" ht="15" hidden="false" customHeight="false" outlineLevel="0" collapsed="false">
      <c r="A22" s="12"/>
      <c r="B22" s="12" t="s">
        <v>484</v>
      </c>
      <c r="C22" s="12" t="s">
        <v>485</v>
      </c>
    </row>
    <row r="23" customFormat="false" ht="15" hidden="false" customHeight="false" outlineLevel="0" collapsed="false">
      <c r="A23" s="10"/>
      <c r="B23" s="10" t="s">
        <v>486</v>
      </c>
      <c r="C23" s="10" t="s">
        <v>487</v>
      </c>
    </row>
    <row r="24" customFormat="false" ht="15" hidden="false" customHeight="false" outlineLevel="0" collapsed="false">
      <c r="A24" s="12"/>
      <c r="B24" s="12" t="s">
        <v>488</v>
      </c>
      <c r="C24" s="12" t="s">
        <v>489</v>
      </c>
    </row>
    <row r="25" customFormat="false" ht="15" hidden="false" customHeight="false" outlineLevel="0" collapsed="false">
      <c r="A25" s="10"/>
      <c r="B25" s="10" t="s">
        <v>490</v>
      </c>
      <c r="C25" s="10" t="s">
        <v>491</v>
      </c>
    </row>
    <row r="26" customFormat="false" ht="15" hidden="false" customHeight="false" outlineLevel="0" collapsed="false">
      <c r="A26" s="12"/>
      <c r="B26" s="12" t="s">
        <v>492</v>
      </c>
      <c r="C26" s="12" t="s">
        <v>493</v>
      </c>
    </row>
    <row r="27" customFormat="false" ht="15" hidden="false" customHeight="false" outlineLevel="0" collapsed="false">
      <c r="A27" s="10"/>
      <c r="B27" s="10" t="s">
        <v>494</v>
      </c>
      <c r="C27" s="10" t="s">
        <v>495</v>
      </c>
    </row>
    <row r="28" customFormat="false" ht="15" hidden="false" customHeight="false" outlineLevel="0" collapsed="false">
      <c r="A28" s="12"/>
      <c r="B28" s="12" t="s">
        <v>496</v>
      </c>
      <c r="C28" s="12" t="s">
        <v>497</v>
      </c>
    </row>
    <row r="29" customFormat="false" ht="15" hidden="false" customHeight="false" outlineLevel="0" collapsed="false">
      <c r="A29" s="10"/>
      <c r="B29" s="10" t="s">
        <v>498</v>
      </c>
      <c r="C29" s="10" t="s">
        <v>499</v>
      </c>
    </row>
    <row r="30" customFormat="false" ht="15" hidden="false" customHeight="false" outlineLevel="0" collapsed="false">
      <c r="A30" s="12"/>
      <c r="B30" s="12" t="s">
        <v>500</v>
      </c>
      <c r="C30" s="12" t="s">
        <v>501</v>
      </c>
    </row>
    <row r="31" customFormat="false" ht="15" hidden="false" customHeight="false" outlineLevel="0" collapsed="false">
      <c r="A31" s="10"/>
      <c r="B31" s="10" t="s">
        <v>502</v>
      </c>
      <c r="C31" s="11" t="s">
        <v>503</v>
      </c>
    </row>
    <row r="33" customFormat="false" ht="39.75" hidden="false" customHeight="true" outlineLevel="0" collapsed="false">
      <c r="A33" s="16" t="s">
        <v>504</v>
      </c>
      <c r="B33" s="16"/>
      <c r="C33" s="16"/>
    </row>
  </sheetData>
  <mergeCells count="1">
    <mergeCell ref="A33:C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0"/>
    <col collapsed="false" customWidth="true" hidden="false" outlineLevel="0" max="4" min="4" style="0" width="50"/>
    <col collapsed="false" customWidth="true" hidden="false" outlineLevel="0" max="5" min="5" style="0" width="42"/>
  </cols>
  <sheetData>
    <row r="1" customFormat="false" ht="19.4" hidden="false" customHeight="false" outlineLevel="0" collapsed="false">
      <c r="A1" s="1" t="s">
        <v>505</v>
      </c>
    </row>
    <row r="2" customFormat="false" ht="15" hidden="false" customHeight="false" outlineLevel="0" collapsed="false">
      <c r="A2" s="2" t="s">
        <v>506</v>
      </c>
    </row>
    <row r="4" customFormat="false" ht="15" hidden="false" customHeight="false" outlineLevel="0" collapsed="false">
      <c r="A4" s="8" t="s">
        <v>507</v>
      </c>
    </row>
    <row r="5" customFormat="false" ht="15" hidden="false" customHeight="false" outlineLevel="0" collapsed="false">
      <c r="A5" s="15" t="s">
        <v>222</v>
      </c>
      <c r="B5" s="9" t="s">
        <v>508</v>
      </c>
      <c r="C5" s="9" t="s">
        <v>152</v>
      </c>
      <c r="D5" s="9" t="s">
        <v>509</v>
      </c>
      <c r="E5" s="9" t="s">
        <v>30</v>
      </c>
    </row>
    <row r="6" customFormat="false" ht="39.55" hidden="false" customHeight="false" outlineLevel="0" collapsed="false">
      <c r="A6" s="10"/>
      <c r="B6" s="10" t="s">
        <v>510</v>
      </c>
      <c r="C6" s="11" t="s">
        <v>511</v>
      </c>
      <c r="D6" s="10" t="s">
        <v>512</v>
      </c>
      <c r="E6" s="10" t="s">
        <v>513</v>
      </c>
    </row>
    <row r="7" customFormat="false" ht="26.85" hidden="false" customHeight="false" outlineLevel="0" collapsed="false">
      <c r="A7" s="12"/>
      <c r="B7" s="12" t="s">
        <v>514</v>
      </c>
      <c r="C7" s="14" t="s">
        <v>515</v>
      </c>
      <c r="D7" s="12" t="s">
        <v>516</v>
      </c>
      <c r="E7" s="14" t="s">
        <v>517</v>
      </c>
    </row>
    <row r="8" customFormat="false" ht="39.55" hidden="false" customHeight="false" outlineLevel="0" collapsed="false">
      <c r="A8" s="10"/>
      <c r="B8" s="10" t="s">
        <v>518</v>
      </c>
      <c r="C8" s="11" t="s">
        <v>167</v>
      </c>
      <c r="D8" s="10" t="s">
        <v>519</v>
      </c>
      <c r="E8" s="11" t="s">
        <v>520</v>
      </c>
    </row>
    <row r="9" customFormat="false" ht="36.55" hidden="false" customHeight="false" outlineLevel="0" collapsed="false">
      <c r="A9" s="12"/>
      <c r="B9" s="12" t="s">
        <v>521</v>
      </c>
      <c r="C9" s="14" t="s">
        <v>167</v>
      </c>
      <c r="D9" s="12" t="s">
        <v>522</v>
      </c>
      <c r="E9" s="14" t="s">
        <v>523</v>
      </c>
    </row>
    <row r="10" customFormat="false" ht="39.55" hidden="false" customHeight="false" outlineLevel="0" collapsed="false">
      <c r="A10" s="10"/>
      <c r="B10" s="11" t="s">
        <v>524</v>
      </c>
      <c r="C10" s="11" t="s">
        <v>525</v>
      </c>
      <c r="D10" s="10" t="s">
        <v>526</v>
      </c>
      <c r="E10" s="11" t="s">
        <v>527</v>
      </c>
    </row>
    <row r="11" customFormat="false" ht="26.85" hidden="false" customHeight="false" outlineLevel="0" collapsed="false">
      <c r="A11" s="12"/>
      <c r="B11" s="12" t="s">
        <v>528</v>
      </c>
      <c r="C11" s="14" t="s">
        <v>529</v>
      </c>
      <c r="D11" s="12" t="s">
        <v>530</v>
      </c>
      <c r="E11" s="12" t="s">
        <v>531</v>
      </c>
    </row>
    <row r="12" customFormat="false" ht="26.85" hidden="false" customHeight="false" outlineLevel="0" collapsed="false">
      <c r="A12" s="10"/>
      <c r="B12" s="10" t="s">
        <v>532</v>
      </c>
      <c r="C12" s="11" t="s">
        <v>515</v>
      </c>
      <c r="D12" s="10" t="s">
        <v>533</v>
      </c>
      <c r="E12" s="11" t="s">
        <v>534</v>
      </c>
    </row>
    <row r="13" customFormat="false" ht="26.85" hidden="false" customHeight="false" outlineLevel="0" collapsed="false">
      <c r="A13" s="12"/>
      <c r="B13" s="12" t="s">
        <v>535</v>
      </c>
      <c r="C13" s="14" t="s">
        <v>536</v>
      </c>
      <c r="D13" s="12" t="s">
        <v>537</v>
      </c>
      <c r="E13" s="14" t="s">
        <v>538</v>
      </c>
    </row>
    <row r="14" customFormat="false" ht="26.85" hidden="false" customHeight="false" outlineLevel="0" collapsed="false">
      <c r="A14" s="10"/>
      <c r="B14" s="10" t="s">
        <v>539</v>
      </c>
      <c r="C14" s="11" t="s">
        <v>540</v>
      </c>
      <c r="D14" s="10" t="s">
        <v>541</v>
      </c>
      <c r="E14" s="11" t="s">
        <v>542</v>
      </c>
    </row>
    <row r="16" customFormat="false" ht="15" hidden="false" customHeight="false" outlineLevel="0" collapsed="false">
      <c r="A16" s="8" t="s">
        <v>543</v>
      </c>
    </row>
    <row r="17" customFormat="false" ht="15" hidden="false" customHeight="false" outlineLevel="0" collapsed="false">
      <c r="A17" s="9" t="s">
        <v>544</v>
      </c>
      <c r="B17" s="9" t="s">
        <v>545</v>
      </c>
      <c r="C17" s="9" t="s">
        <v>546</v>
      </c>
      <c r="D17" s="9" t="s">
        <v>547</v>
      </c>
      <c r="E17" s="9" t="s">
        <v>30</v>
      </c>
    </row>
    <row r="18" customFormat="false" ht="61.9" hidden="false" customHeight="false" outlineLevel="0" collapsed="false">
      <c r="A18" s="10" t="s">
        <v>548</v>
      </c>
      <c r="B18" s="10" t="s">
        <v>549</v>
      </c>
      <c r="C18" s="10" t="s">
        <v>550</v>
      </c>
      <c r="D18" s="10" t="s">
        <v>551</v>
      </c>
      <c r="E18" s="10" t="s">
        <v>552</v>
      </c>
    </row>
    <row r="19" customFormat="false" ht="26.85" hidden="false" customHeight="false" outlineLevel="0" collapsed="false">
      <c r="A19" s="12" t="s">
        <v>548</v>
      </c>
      <c r="B19" s="12" t="s">
        <v>553</v>
      </c>
      <c r="C19" s="14" t="s">
        <v>115</v>
      </c>
      <c r="D19" s="12" t="s">
        <v>554</v>
      </c>
      <c r="E19" s="14" t="s">
        <v>542</v>
      </c>
    </row>
    <row r="20" customFormat="false" ht="26.85" hidden="false" customHeight="false" outlineLevel="0" collapsed="false">
      <c r="A20" s="10" t="s">
        <v>226</v>
      </c>
      <c r="B20" s="10" t="s">
        <v>555</v>
      </c>
      <c r="C20" s="10" t="s">
        <v>556</v>
      </c>
      <c r="D20" s="10" t="s">
        <v>557</v>
      </c>
      <c r="E20" s="11" t="s">
        <v>558</v>
      </c>
    </row>
    <row r="21" customFormat="false" ht="58.95" hidden="false" customHeight="false" outlineLevel="0" collapsed="false">
      <c r="A21" s="12" t="s">
        <v>226</v>
      </c>
      <c r="B21" s="12" t="s">
        <v>479</v>
      </c>
      <c r="C21" s="12" t="s">
        <v>559</v>
      </c>
      <c r="D21" s="12" t="s">
        <v>560</v>
      </c>
      <c r="E21" s="14" t="s">
        <v>561</v>
      </c>
    </row>
    <row r="22" customFormat="false" ht="15" hidden="false" customHeight="false" outlineLevel="0" collapsed="false">
      <c r="A22" s="10" t="s">
        <v>562</v>
      </c>
      <c r="B22" s="10" t="s">
        <v>563</v>
      </c>
      <c r="C22" s="10" t="s">
        <v>564</v>
      </c>
      <c r="D22" s="10" t="s">
        <v>565</v>
      </c>
      <c r="E22" s="11" t="s">
        <v>558</v>
      </c>
    </row>
    <row r="23" customFormat="false" ht="15" hidden="false" customHeight="false" outlineLevel="0" collapsed="false">
      <c r="A23" s="12" t="s">
        <v>562</v>
      </c>
      <c r="B23" s="12" t="s">
        <v>484</v>
      </c>
      <c r="C23" s="14" t="s">
        <v>566</v>
      </c>
      <c r="D23" s="12" t="s">
        <v>567</v>
      </c>
      <c r="E23" s="14" t="s">
        <v>558</v>
      </c>
    </row>
    <row r="24" customFormat="false" ht="39.55" hidden="false" customHeight="false" outlineLevel="0" collapsed="false">
      <c r="A24" s="10" t="s">
        <v>562</v>
      </c>
      <c r="B24" s="10" t="s">
        <v>568</v>
      </c>
      <c r="C24" s="10" t="s">
        <v>569</v>
      </c>
      <c r="D24" s="10" t="s">
        <v>570</v>
      </c>
      <c r="E24" s="11" t="s">
        <v>571</v>
      </c>
    </row>
    <row r="25" customFormat="false" ht="26.85" hidden="false" customHeight="false" outlineLevel="0" collapsed="false">
      <c r="A25" s="12" t="s">
        <v>572</v>
      </c>
      <c r="B25" s="14" t="s">
        <v>573</v>
      </c>
      <c r="C25" s="14" t="s">
        <v>115</v>
      </c>
      <c r="D25" s="14" t="s">
        <v>574</v>
      </c>
      <c r="E25" s="14" t="s">
        <v>542</v>
      </c>
    </row>
    <row r="26" customFormat="false" ht="36.55" hidden="false" customHeight="false" outlineLevel="0" collapsed="false">
      <c r="A26" s="10" t="s">
        <v>575</v>
      </c>
      <c r="B26" s="10" t="s">
        <v>576</v>
      </c>
      <c r="C26" s="11" t="s">
        <v>577</v>
      </c>
      <c r="D26" s="11" t="s">
        <v>578</v>
      </c>
      <c r="E26" s="11" t="s">
        <v>579</v>
      </c>
    </row>
    <row r="27" customFormat="false" ht="26.85" hidden="false" customHeight="false" outlineLevel="0" collapsed="false">
      <c r="A27" s="12" t="s">
        <v>575</v>
      </c>
      <c r="B27" s="12" t="s">
        <v>580</v>
      </c>
      <c r="C27" s="12" t="s">
        <v>581</v>
      </c>
      <c r="D27" s="14" t="s">
        <v>582</v>
      </c>
      <c r="E27" s="14" t="s">
        <v>583</v>
      </c>
    </row>
    <row r="28" customFormat="false" ht="15" hidden="false" customHeight="false" outlineLevel="0" collapsed="false">
      <c r="A28" s="10" t="s">
        <v>584</v>
      </c>
      <c r="B28" s="10" t="s">
        <v>585</v>
      </c>
      <c r="C28" s="10" t="s">
        <v>586</v>
      </c>
      <c r="D28" s="10" t="s">
        <v>587</v>
      </c>
      <c r="E28" s="10" t="s">
        <v>588</v>
      </c>
    </row>
    <row r="30" customFormat="false" ht="39.75" hidden="false" customHeight="true" outlineLevel="0" collapsed="false">
      <c r="A30" s="16" t="s">
        <v>589</v>
      </c>
      <c r="B30" s="16"/>
      <c r="C30" s="16"/>
      <c r="D30" s="16"/>
      <c r="E30" s="16"/>
    </row>
  </sheetData>
  <mergeCells count="1">
    <mergeCell ref="A30:E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2026-09-10T08:47:00Z</dcterms:created>
  <dc:creator>openpyxl</dc:creator>
  <dc:description/>
  <dc:language>en-US</dc:language>
  <cp:lastModifiedBy/>
  <dcterms:modified xsi:type="dcterms:W3CDTF">2026-09-10T08:47:00Z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
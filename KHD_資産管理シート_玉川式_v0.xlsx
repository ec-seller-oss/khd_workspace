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7.xml" ContentType="application/vnd.openxmlformats-officedocument.spreadsheetml.pivotCacheRecords+xml"/>
  <Override PartName="/xl/pivotCache/pivotCacheDefinition18.xml" ContentType="application/vnd.openxmlformats-officedocument.spreadsheetml.pivotCacheDefinition+xml"/>
  <Override PartName="/xl/pivotCache/pivotCacheRecords18.xml" ContentType="application/vnd.openxmlformats-officedocument.spreadsheetml.pivotCacheRecords+xml"/>
  <Override PartName="/xl/pivotCache/pivotCacheDefinition19.xml" ContentType="application/vnd.openxmlformats-officedocument.spreadsheetml.pivotCacheDefinition+xml"/>
  <Override PartName="/xl/pivotCache/pivotCacheRecords19.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03"/>
  <workbookPr/>
  <mc:AlternateContent xmlns:mc="http://schemas.openxmlformats.org/markup-compatibility/2006">
    <mc:Choice Requires="x15">
      <x15ac:absPath xmlns:x15ac="http://schemas.microsoft.com/office/spreadsheetml/2010/11/ac" url="\\192.168.20.100\work_share7\04_書籍とメディア\04-00-09 2023-06-14_資産管理のすべて_書籍資料\2付録\"/>
    </mc:Choice>
  </mc:AlternateContent>
  <xr:revisionPtr revIDLastSave="0" documentId="13_ncr:1_{50676CD7-B718-4435-B9EF-03842FABD540}" xr6:coauthVersionLast="47" xr6:coauthVersionMax="47" xr10:uidLastSave="{00000000-0000-0000-0000-000000000000}"/>
  <bookViews>
    <workbookView xWindow="-120" yWindow="-120" windowWidth="29040" windowHeight="15840" tabRatio="848" firstSheet="6" activeTab="6" xr2:uid="{22C34AB1-09A7-4822-A35A-68AA56746645}"/>
  </bookViews>
  <sheets>
    <sheet name="sold" sheetId="19" r:id="rId1"/>
    <sheet name="pivot" sheetId="1" r:id="rId2"/>
    <sheet name="settings" sheetId="2" r:id="rId3"/>
    <sheet name="asset" sheetId="3" r:id="rId4"/>
    <sheet name="1法人概要" sheetId="4" r:id="rId5"/>
    <sheet name="2法人連結" sheetId="5" r:id="rId6"/>
    <sheet name="3物件一覧" sheetId="6" r:id="rId7"/>
    <sheet name="4借入集計" sheetId="7" r:id="rId8"/>
    <sheet name="5借入一覧" sheetId="8" r:id="rId9"/>
    <sheet name="6減価償却" sheetId="9" r:id="rId10"/>
    <sheet name="7償却一覧" sheetId="10" r:id="rId11"/>
    <sheet name="8賃料集計" sheetId="11" r:id="rId12"/>
    <sheet name="9賃料一覧" sheetId="12" r:id="rId13"/>
    <sheet name="A.BM集計" sheetId="13" r:id="rId14"/>
    <sheet name="B筆一覧" sheetId="14" r:id="rId15"/>
    <sheet name="C直近決算" sheetId="18" r:id="rId16"/>
    <sheet name="D直近試算表" sheetId="15" r:id="rId17"/>
  </sheets>
  <definedNames>
    <definedName name="_xlnm._FilterDatabase" localSheetId="8" hidden="1">'5借入一覧'!$A$1:$AP$32</definedName>
    <definedName name="_xlnm._FilterDatabase" localSheetId="10" hidden="1">'7償却一覧'!$A$4:$Q$4</definedName>
    <definedName name="_xlnm._FilterDatabase" localSheetId="12" hidden="1">'9賃料一覧'!$A$3:$AQ$3</definedName>
    <definedName name="_xlnm._FilterDatabase" localSheetId="14" hidden="1">B筆一覧!$A$2:$Q$61</definedName>
    <definedName name="_xlnm._FilterDatabase" localSheetId="16" hidden="1">D直近試算表!$A$1:$A$216</definedName>
    <definedName name="_xlnm._FilterDatabase" localSheetId="2" hidden="1">settings!$A$2:$E$286</definedName>
    <definedName name="chinryo_list">'9賃料一覧'!$A$3:$T$1500</definedName>
    <definedName name="current_year">settings!$L$3</definedName>
    <definedName name="dt">pivot!$A$1</definedName>
    <definedName name="id_settings">settings!$A$2:$D$542</definedName>
    <definedName name="id2_asset">asset!$F$4:$CC$112</definedName>
    <definedName name="id3_asset_sum">asset!$B$2:$E$96</definedName>
    <definedName name="kariire_list">'5借入一覧'!$A$1:$AC$278</definedName>
    <definedName name="_xlnm.Print_Area" localSheetId="6">'3物件一覧'!$A$1:$AA$79</definedName>
    <definedName name="_xlnm.Print_Area" localSheetId="7">'4借入集計'!$A$1:$J$134</definedName>
    <definedName name="_xlnm.Print_Area" localSheetId="8">'5借入一覧'!$A$1:$AC$32</definedName>
    <definedName name="_xlnm.Print_Area" localSheetId="10">'7償却一覧'!$A$1:$Q$153</definedName>
    <definedName name="_xlnm.Print_Area" localSheetId="12">'9賃料一覧'!$A$1:$T$323</definedName>
    <definedName name="_xlnm.Print_Area" localSheetId="14">B筆一覧!$A$1:$Q$66</definedName>
    <definedName name="_xlnm.Print_Area" localSheetId="15">C直近決算!$A$1:$M$213</definedName>
    <definedName name="_xlnm.Print_Area" localSheetId="2">settings!$F$32:$L$41</definedName>
    <definedName name="_xlnm.Print_Area" localSheetId="0">sold!$A$1:$E$29</definedName>
    <definedName name="_xlnm.Print_Titles" localSheetId="6">'3物件一覧'!$A:$B</definedName>
    <definedName name="_xlnm.Print_Titles" localSheetId="8">'5借入一覧'!$1:$1</definedName>
    <definedName name="_xlnm.Print_Titles" localSheetId="10">'7償却一覧'!$1:$4</definedName>
    <definedName name="_xlnm.Print_Titles" localSheetId="12">'9賃料一覧'!$1:$3</definedName>
    <definedName name="_xlnm.Print_Titles" localSheetId="14">B筆一覧!$2:$2</definedName>
    <definedName name="tax_capital">settings!$L$21</definedName>
    <definedName name="tax_income">settings!$L$19</definedName>
    <definedName name="修繕明細">A.BM集計!$A$33:$J$291</definedName>
  </definedNames>
  <calcPr calcId="191028" concurrentCalc="0"/>
  <pivotCaches>
    <pivotCache cacheId="24627" r:id="rId18"/>
    <pivotCache cacheId="24628" r:id="rId19"/>
    <pivotCache cacheId="24629" r:id="rId20"/>
    <pivotCache cacheId="24630" r:id="rId21"/>
    <pivotCache cacheId="24631" r:id="rId22"/>
    <pivotCache cacheId="24632" r:id="rId23"/>
    <pivotCache cacheId="24633" r:id="rId24"/>
    <pivotCache cacheId="24634" r:id="rId25"/>
    <pivotCache cacheId="24635" r:id="rId26"/>
    <pivotCache cacheId="24636" r:id="rId27"/>
    <pivotCache cacheId="24637" r:id="rId28"/>
    <pivotCache cacheId="24638" r:id="rId29"/>
    <pivotCache cacheId="24639" r:id="rId30"/>
    <pivotCache cacheId="24640" r:id="rId31"/>
    <pivotCache cacheId="24641" r:id="rId32"/>
    <pivotCache cacheId="24642" r:id="rId33"/>
    <pivotCache cacheId="24643" r:id="rId34"/>
    <pivotCache cacheId="24644" r:id="rId35"/>
    <pivotCache cacheId="24645" r:id="rId3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Y10" i="1" l="1"/>
  <c r="F116" i="11"/>
  <c r="L5" i="11"/>
  <c r="L6" i="11"/>
  <c r="L7" i="11"/>
  <c r="L8" i="11"/>
  <c r="L9" i="11"/>
  <c r="L10" i="11"/>
  <c r="L11" i="11"/>
  <c r="L12" i="11"/>
  <c r="L13" i="11"/>
  <c r="L14" i="11"/>
  <c r="L15" i="11"/>
  <c r="L16" i="11"/>
  <c r="L17" i="11"/>
  <c r="L18" i="11"/>
  <c r="L19" i="11"/>
  <c r="L20" i="11"/>
  <c r="L21" i="11"/>
  <c r="L22" i="11"/>
  <c r="L23" i="11"/>
  <c r="L24" i="11"/>
  <c r="L25" i="11"/>
  <c r="G116" i="11"/>
  <c r="CY9" i="1"/>
  <c r="F115" i="11"/>
  <c r="G115" i="11"/>
  <c r="CY8" i="1"/>
  <c r="F114" i="11"/>
  <c r="G114" i="11"/>
  <c r="H114" i="11"/>
  <c r="H115" i="11"/>
  <c r="H116" i="11"/>
  <c r="CY11" i="1"/>
  <c r="F117" i="11"/>
  <c r="G117" i="11"/>
  <c r="H117" i="11"/>
  <c r="CY12" i="1"/>
  <c r="F118" i="11"/>
  <c r="G118" i="11"/>
  <c r="H118" i="11"/>
  <c r="CY13" i="1"/>
  <c r="F119" i="11"/>
  <c r="G119" i="11"/>
  <c r="H119" i="11"/>
  <c r="CY14" i="1"/>
  <c r="F120" i="11"/>
  <c r="G120" i="11"/>
  <c r="H120" i="11"/>
  <c r="CY15" i="1"/>
  <c r="F121" i="11"/>
  <c r="G121" i="11"/>
  <c r="H121" i="11"/>
  <c r="CY16" i="1"/>
  <c r="F122" i="11"/>
  <c r="G122" i="11"/>
  <c r="H122" i="11"/>
  <c r="CY17" i="1"/>
  <c r="F123" i="11"/>
  <c r="G123" i="11"/>
  <c r="H123" i="11"/>
  <c r="CY18" i="1"/>
  <c r="F124" i="11"/>
  <c r="G124" i="11"/>
  <c r="H124" i="11"/>
  <c r="CY19" i="1"/>
  <c r="F125" i="11"/>
  <c r="G125" i="11"/>
  <c r="H125" i="11"/>
  <c r="CY20" i="1"/>
  <c r="F126" i="11"/>
  <c r="G126" i="11"/>
  <c r="H126" i="11"/>
  <c r="CY21" i="1"/>
  <c r="F127" i="11"/>
  <c r="G127" i="11"/>
  <c r="H127" i="11"/>
  <c r="CY22" i="1"/>
  <c r="F128" i="11"/>
  <c r="G128" i="11"/>
  <c r="H128" i="11"/>
  <c r="CY23" i="1"/>
  <c r="F129" i="11"/>
  <c r="G129" i="11"/>
  <c r="H129" i="11"/>
  <c r="CY24" i="1"/>
  <c r="F130" i="11"/>
  <c r="G130" i="11"/>
  <c r="H130" i="11"/>
  <c r="CY25" i="1"/>
  <c r="F131" i="11"/>
  <c r="G131" i="11"/>
  <c r="H131" i="11"/>
  <c r="CY26" i="1"/>
  <c r="F132" i="11"/>
  <c r="G132" i="11"/>
  <c r="H132" i="11"/>
  <c r="CY27" i="1"/>
  <c r="F133" i="11"/>
  <c r="G133" i="11"/>
  <c r="H133" i="11"/>
  <c r="CY28" i="1"/>
  <c r="F134" i="11"/>
  <c r="G134" i="11"/>
  <c r="H134" i="11"/>
  <c r="CY29" i="1"/>
  <c r="F135" i="11"/>
  <c r="G135" i="11"/>
  <c r="H135" i="11"/>
  <c r="CY30" i="1"/>
  <c r="F136" i="11"/>
  <c r="G136" i="11"/>
  <c r="H136" i="11"/>
  <c r="CY31" i="1"/>
  <c r="F137" i="11"/>
  <c r="G137" i="11"/>
  <c r="H137" i="11"/>
  <c r="CY32" i="1"/>
  <c r="F138" i="11"/>
  <c r="G138" i="11"/>
  <c r="H138" i="11"/>
  <c r="CY33" i="1"/>
  <c r="F139" i="11"/>
  <c r="G139" i="11"/>
  <c r="H139" i="11"/>
  <c r="CY34" i="1"/>
  <c r="F140" i="11"/>
  <c r="G140" i="11"/>
  <c r="H140" i="11"/>
  <c r="CY35" i="1"/>
  <c r="F141" i="11"/>
  <c r="G141" i="11"/>
  <c r="H141" i="11"/>
  <c r="CY36" i="1"/>
  <c r="F142" i="11"/>
  <c r="G142" i="11"/>
  <c r="H142" i="11"/>
  <c r="CY37" i="1"/>
  <c r="F143" i="11"/>
  <c r="G143" i="11"/>
  <c r="H143" i="11"/>
  <c r="CY38" i="1"/>
  <c r="F144" i="11"/>
  <c r="G144" i="11"/>
  <c r="H144" i="11"/>
  <c r="CY39" i="1"/>
  <c r="F145" i="11"/>
  <c r="G145" i="11"/>
  <c r="H145" i="11"/>
  <c r="CY40" i="1"/>
  <c r="F146" i="11"/>
  <c r="G146" i="11"/>
  <c r="H146" i="11"/>
  <c r="CY41" i="1"/>
  <c r="F147" i="11"/>
  <c r="G147" i="11"/>
  <c r="H147" i="11"/>
  <c r="CY42" i="1"/>
  <c r="F148" i="11"/>
  <c r="G148" i="11"/>
  <c r="H148" i="11"/>
  <c r="CY43" i="1"/>
  <c r="F149" i="11"/>
  <c r="G149" i="11"/>
  <c r="H149" i="11"/>
  <c r="CY44" i="1"/>
  <c r="F150" i="11"/>
  <c r="G150" i="11"/>
  <c r="H150" i="11"/>
  <c r="CY45" i="1"/>
  <c r="F151" i="11"/>
  <c r="G151" i="11"/>
  <c r="H151" i="11"/>
  <c r="CY46" i="1"/>
  <c r="F152" i="11"/>
  <c r="G152" i="11"/>
  <c r="H152" i="11"/>
  <c r="CY47" i="1"/>
  <c r="F153" i="11"/>
  <c r="G153" i="11"/>
  <c r="H153" i="11"/>
  <c r="Q14" i="2"/>
  <c r="Q15" i="2"/>
  <c r="C59" i="11"/>
  <c r="C60" i="11"/>
  <c r="C61" i="11"/>
  <c r="C62" i="11"/>
  <c r="C63" i="11"/>
  <c r="C64" i="11"/>
  <c r="C65" i="11"/>
  <c r="C66" i="11"/>
  <c r="C67" i="11"/>
  <c r="C68" i="11"/>
  <c r="C69" i="11"/>
  <c r="C70" i="11"/>
  <c r="C71" i="11"/>
  <c r="C72" i="11"/>
  <c r="C73" i="11"/>
  <c r="C74" i="11"/>
  <c r="C75" i="11"/>
  <c r="C76" i="11"/>
  <c r="C77" i="11"/>
  <c r="C58" i="11"/>
  <c r="C6" i="11"/>
  <c r="D6" i="11"/>
  <c r="E6" i="11"/>
  <c r="F6" i="11"/>
  <c r="G6" i="11"/>
  <c r="H6" i="11"/>
  <c r="I6" i="11"/>
  <c r="J6" i="11"/>
  <c r="K6" i="11"/>
  <c r="C7" i="11"/>
  <c r="D7" i="11"/>
  <c r="E7" i="11"/>
  <c r="F7" i="11"/>
  <c r="G7" i="11"/>
  <c r="H7" i="11"/>
  <c r="I7" i="11"/>
  <c r="J7" i="11"/>
  <c r="K7" i="11"/>
  <c r="C8" i="11"/>
  <c r="D8" i="11"/>
  <c r="E8" i="11"/>
  <c r="F8" i="11"/>
  <c r="G8" i="11"/>
  <c r="H8" i="11"/>
  <c r="I8" i="11"/>
  <c r="J8" i="11"/>
  <c r="K8" i="11"/>
  <c r="C9" i="11"/>
  <c r="D9" i="11"/>
  <c r="E9" i="11"/>
  <c r="F9" i="11"/>
  <c r="G9" i="11"/>
  <c r="H9" i="11"/>
  <c r="I9" i="11"/>
  <c r="J9" i="11"/>
  <c r="K9" i="11"/>
  <c r="C10" i="11"/>
  <c r="D10" i="11"/>
  <c r="E10" i="11"/>
  <c r="F10" i="11"/>
  <c r="G10" i="11"/>
  <c r="H10" i="11"/>
  <c r="I10" i="11"/>
  <c r="J10" i="11"/>
  <c r="K10" i="11"/>
  <c r="C11" i="11"/>
  <c r="D11" i="11"/>
  <c r="E11" i="11"/>
  <c r="F11" i="11"/>
  <c r="G11" i="11"/>
  <c r="H11" i="11"/>
  <c r="I11" i="11"/>
  <c r="J11" i="11"/>
  <c r="K11" i="11"/>
  <c r="C12" i="11"/>
  <c r="D12" i="11"/>
  <c r="E12" i="11"/>
  <c r="F12" i="11"/>
  <c r="G12" i="11"/>
  <c r="H12" i="11"/>
  <c r="I12" i="11"/>
  <c r="J12" i="11"/>
  <c r="K12" i="11"/>
  <c r="C13" i="11"/>
  <c r="D13" i="11"/>
  <c r="E13" i="11"/>
  <c r="F13" i="11"/>
  <c r="G13" i="11"/>
  <c r="H13" i="11"/>
  <c r="I13" i="11"/>
  <c r="J13" i="11"/>
  <c r="K13" i="11"/>
  <c r="C14" i="11"/>
  <c r="D14" i="11"/>
  <c r="E14" i="11"/>
  <c r="F14" i="11"/>
  <c r="G14" i="11"/>
  <c r="H14" i="11"/>
  <c r="I14" i="11"/>
  <c r="J14" i="11"/>
  <c r="K14" i="11"/>
  <c r="C15" i="11"/>
  <c r="D15" i="11"/>
  <c r="E15" i="11"/>
  <c r="F15" i="11"/>
  <c r="G15" i="11"/>
  <c r="H15" i="11"/>
  <c r="I15" i="11"/>
  <c r="J15" i="11"/>
  <c r="K15" i="11"/>
  <c r="C16" i="11"/>
  <c r="D16" i="11"/>
  <c r="E16" i="11"/>
  <c r="F16" i="11"/>
  <c r="G16" i="11"/>
  <c r="H16" i="11"/>
  <c r="I16" i="11"/>
  <c r="J16" i="11"/>
  <c r="K16" i="11"/>
  <c r="C17" i="11"/>
  <c r="D17" i="11"/>
  <c r="E17" i="11"/>
  <c r="F17" i="11"/>
  <c r="G17" i="11"/>
  <c r="H17" i="11"/>
  <c r="I17" i="11"/>
  <c r="J17" i="11"/>
  <c r="K17" i="11"/>
  <c r="C18" i="11"/>
  <c r="D18" i="11"/>
  <c r="E18" i="11"/>
  <c r="F18" i="11"/>
  <c r="G18" i="11"/>
  <c r="H18" i="11"/>
  <c r="I18" i="11"/>
  <c r="J18" i="11"/>
  <c r="K18" i="11"/>
  <c r="C19" i="11"/>
  <c r="D19" i="11"/>
  <c r="E19" i="11"/>
  <c r="F19" i="11"/>
  <c r="G19" i="11"/>
  <c r="H19" i="11"/>
  <c r="I19" i="11"/>
  <c r="J19" i="11"/>
  <c r="K19" i="11"/>
  <c r="C20" i="11"/>
  <c r="D20" i="11"/>
  <c r="E20" i="11"/>
  <c r="F20" i="11"/>
  <c r="G20" i="11"/>
  <c r="H20" i="11"/>
  <c r="I20" i="11"/>
  <c r="J20" i="11"/>
  <c r="K20" i="11"/>
  <c r="C21" i="11"/>
  <c r="D21" i="11"/>
  <c r="E21" i="11"/>
  <c r="F21" i="11"/>
  <c r="G21" i="11"/>
  <c r="H21" i="11"/>
  <c r="I21" i="11"/>
  <c r="J21" i="11"/>
  <c r="K21" i="11"/>
  <c r="C22" i="11"/>
  <c r="D22" i="11"/>
  <c r="E22" i="11"/>
  <c r="F22" i="11"/>
  <c r="G22" i="11"/>
  <c r="H22" i="11"/>
  <c r="I22" i="11"/>
  <c r="J22" i="11"/>
  <c r="K22" i="11"/>
  <c r="C23" i="11"/>
  <c r="D23" i="11"/>
  <c r="E23" i="11"/>
  <c r="F23" i="11"/>
  <c r="G23" i="11"/>
  <c r="H23" i="11"/>
  <c r="I23" i="11"/>
  <c r="J23" i="11"/>
  <c r="K23" i="11"/>
  <c r="C24" i="11"/>
  <c r="D24" i="11"/>
  <c r="E24" i="11"/>
  <c r="F24" i="11"/>
  <c r="G24" i="11"/>
  <c r="H24" i="11"/>
  <c r="I24" i="11"/>
  <c r="J24" i="11"/>
  <c r="K24" i="11"/>
  <c r="D5" i="11"/>
  <c r="E5" i="11"/>
  <c r="F5" i="11"/>
  <c r="G5" i="11"/>
  <c r="H5" i="11"/>
  <c r="I5" i="11"/>
  <c r="J5" i="11"/>
  <c r="K5" i="11"/>
  <c r="C5" i="11"/>
  <c r="G54" i="3"/>
  <c r="H54" i="3"/>
  <c r="I54" i="3"/>
  <c r="J54" i="3"/>
  <c r="K54" i="3"/>
  <c r="L54" i="3"/>
  <c r="M54" i="3"/>
  <c r="N54" i="3"/>
  <c r="O54" i="3"/>
  <c r="P54" i="3"/>
  <c r="Q54" i="3"/>
  <c r="R54" i="3"/>
  <c r="S54" i="3"/>
  <c r="T54" i="3"/>
  <c r="U54" i="3"/>
  <c r="V54" i="3"/>
  <c r="W54" i="3"/>
  <c r="X54" i="3"/>
  <c r="Y54" i="3"/>
  <c r="Z54" i="3"/>
  <c r="AA54" i="3"/>
  <c r="AB54" i="3"/>
  <c r="AC54" i="3"/>
  <c r="AD54" i="3"/>
  <c r="AE54" i="3"/>
  <c r="AF54" i="3"/>
  <c r="AG54" i="3"/>
  <c r="AH54" i="3"/>
  <c r="AI54" i="3"/>
  <c r="AJ54" i="3"/>
  <c r="AK54" i="3"/>
  <c r="AL54" i="3"/>
  <c r="AM54" i="3"/>
  <c r="AN54" i="3"/>
  <c r="AO54" i="3"/>
  <c r="AP54" i="3"/>
  <c r="AQ54" i="3"/>
  <c r="AR54" i="3"/>
  <c r="AS54" i="3"/>
  <c r="AT54" i="3"/>
  <c r="AU54" i="3"/>
  <c r="AV54" i="3"/>
  <c r="AW54" i="3"/>
  <c r="AX54" i="3"/>
  <c r="AY54" i="3"/>
  <c r="AZ54" i="3"/>
  <c r="BA54" i="3"/>
  <c r="BB54" i="3"/>
  <c r="BC54" i="3"/>
  <c r="BD54" i="3"/>
  <c r="BE54" i="3"/>
  <c r="BF54" i="3"/>
  <c r="BG54" i="3"/>
  <c r="BH54" i="3"/>
  <c r="BI54" i="3"/>
  <c r="BJ54" i="3"/>
  <c r="BK54" i="3"/>
  <c r="BL54" i="3"/>
  <c r="BM54" i="3"/>
  <c r="BN54" i="3"/>
  <c r="BO54" i="3"/>
  <c r="BP54" i="3"/>
  <c r="BQ54" i="3"/>
  <c r="BR54" i="3"/>
  <c r="BS54" i="3"/>
  <c r="BT54" i="3"/>
  <c r="BU54" i="3"/>
  <c r="BV54" i="3"/>
  <c r="BW54" i="3"/>
  <c r="BX54" i="3"/>
  <c r="BY54" i="3"/>
  <c r="BZ54" i="3"/>
  <c r="CA54" i="3"/>
  <c r="CB54" i="3"/>
  <c r="F54" i="3"/>
  <c r="G53" i="3"/>
  <c r="H53" i="3"/>
  <c r="I53" i="3"/>
  <c r="J53" i="3"/>
  <c r="K53" i="3"/>
  <c r="L53" i="3"/>
  <c r="M53" i="3"/>
  <c r="N53" i="3"/>
  <c r="O53" i="3"/>
  <c r="P53" i="3"/>
  <c r="Q53" i="3"/>
  <c r="R53" i="3"/>
  <c r="S53" i="3"/>
  <c r="T53" i="3"/>
  <c r="U53" i="3"/>
  <c r="V53" i="3"/>
  <c r="W53" i="3"/>
  <c r="X53" i="3"/>
  <c r="Y53" i="3"/>
  <c r="Z53" i="3"/>
  <c r="AA53" i="3"/>
  <c r="AB53" i="3"/>
  <c r="AC53" i="3"/>
  <c r="AD53" i="3"/>
  <c r="AE53" i="3"/>
  <c r="AF53" i="3"/>
  <c r="AG53" i="3"/>
  <c r="AH53" i="3"/>
  <c r="AI53" i="3"/>
  <c r="AJ53" i="3"/>
  <c r="AK53" i="3"/>
  <c r="AL53" i="3"/>
  <c r="AM53" i="3"/>
  <c r="AN53" i="3"/>
  <c r="AO53" i="3"/>
  <c r="AP53" i="3"/>
  <c r="AQ53" i="3"/>
  <c r="AR53" i="3"/>
  <c r="AS53" i="3"/>
  <c r="AT53" i="3"/>
  <c r="AU53" i="3"/>
  <c r="AV53" i="3"/>
  <c r="AW53" i="3"/>
  <c r="AX53" i="3"/>
  <c r="AY53" i="3"/>
  <c r="AZ53" i="3"/>
  <c r="BA53" i="3"/>
  <c r="BB53" i="3"/>
  <c r="BC53" i="3"/>
  <c r="BD53" i="3"/>
  <c r="BE53" i="3"/>
  <c r="BF53" i="3"/>
  <c r="BG53" i="3"/>
  <c r="BH53" i="3"/>
  <c r="BI53" i="3"/>
  <c r="BJ53" i="3"/>
  <c r="BK53" i="3"/>
  <c r="BL53" i="3"/>
  <c r="BM53" i="3"/>
  <c r="BN53" i="3"/>
  <c r="BO53" i="3"/>
  <c r="BP53" i="3"/>
  <c r="BQ53" i="3"/>
  <c r="BR53" i="3"/>
  <c r="BS53" i="3"/>
  <c r="BT53" i="3"/>
  <c r="BU53" i="3"/>
  <c r="BV53" i="3"/>
  <c r="BW53" i="3"/>
  <c r="BX53" i="3"/>
  <c r="BY53" i="3"/>
  <c r="BZ53" i="3"/>
  <c r="CA53" i="3"/>
  <c r="CB53" i="3"/>
  <c r="F53" i="3"/>
  <c r="E40" i="6"/>
  <c r="F40" i="6"/>
  <c r="G40" i="6"/>
  <c r="H40" i="6"/>
  <c r="I40" i="6"/>
  <c r="J40" i="6"/>
  <c r="K40" i="6"/>
  <c r="L40" i="6"/>
  <c r="M40" i="6"/>
  <c r="N40" i="6"/>
  <c r="O40" i="6"/>
  <c r="P40" i="6"/>
  <c r="Q40" i="6"/>
  <c r="R40" i="6"/>
  <c r="S40" i="6"/>
  <c r="T40" i="6"/>
  <c r="U40" i="6"/>
  <c r="V40" i="6"/>
  <c r="W40" i="6"/>
  <c r="X40" i="6"/>
  <c r="Y40" i="6"/>
  <c r="Z40" i="6"/>
  <c r="AA40" i="6"/>
  <c r="AB40" i="6"/>
  <c r="AC40" i="6"/>
  <c r="AD40" i="6"/>
  <c r="AE40" i="6"/>
  <c r="AF40" i="6"/>
  <c r="AG40" i="6"/>
  <c r="AH40" i="6"/>
  <c r="AI40" i="6"/>
  <c r="AJ40" i="6"/>
  <c r="AK40" i="6"/>
  <c r="AL40" i="6"/>
  <c r="AM40" i="6"/>
  <c r="AN40" i="6"/>
  <c r="AO40" i="6"/>
  <c r="AP40" i="6"/>
  <c r="AQ40" i="6"/>
  <c r="AR40" i="6"/>
  <c r="AS40" i="6"/>
  <c r="AT40" i="6"/>
  <c r="AU40" i="6"/>
  <c r="AV40" i="6"/>
  <c r="AW40" i="6"/>
  <c r="AX40" i="6"/>
  <c r="AY40" i="6"/>
  <c r="AZ40" i="6"/>
  <c r="BA40" i="6"/>
  <c r="D40" i="6"/>
  <c r="C40" i="6"/>
  <c r="E39" i="6"/>
  <c r="F39" i="6"/>
  <c r="G39" i="6"/>
  <c r="H39" i="6"/>
  <c r="I39" i="6"/>
  <c r="J39" i="6"/>
  <c r="K39" i="6"/>
  <c r="L39" i="6"/>
  <c r="M39" i="6"/>
  <c r="N39" i="6"/>
  <c r="O39" i="6"/>
  <c r="P39" i="6"/>
  <c r="Q39" i="6"/>
  <c r="R39" i="6"/>
  <c r="S39" i="6"/>
  <c r="T39" i="6"/>
  <c r="U39" i="6"/>
  <c r="V39" i="6"/>
  <c r="W39" i="6"/>
  <c r="X39" i="6"/>
  <c r="Y39" i="6"/>
  <c r="Z39" i="6"/>
  <c r="AA39" i="6"/>
  <c r="AB39" i="6"/>
  <c r="AC39" i="6"/>
  <c r="AD39" i="6"/>
  <c r="AE39" i="6"/>
  <c r="AF39" i="6"/>
  <c r="AG39" i="6"/>
  <c r="AH39" i="6"/>
  <c r="AI39" i="6"/>
  <c r="AJ39" i="6"/>
  <c r="AK39" i="6"/>
  <c r="AL39" i="6"/>
  <c r="AM39" i="6"/>
  <c r="AN39" i="6"/>
  <c r="AO39" i="6"/>
  <c r="AP39" i="6"/>
  <c r="AQ39" i="6"/>
  <c r="AR39" i="6"/>
  <c r="AS39" i="6"/>
  <c r="AT39" i="6"/>
  <c r="AU39" i="6"/>
  <c r="AV39" i="6"/>
  <c r="AW39" i="6"/>
  <c r="AX39" i="6"/>
  <c r="AY39" i="6"/>
  <c r="AZ39" i="6"/>
  <c r="BA39" i="6"/>
  <c r="D39" i="6"/>
  <c r="L77" i="11"/>
  <c r="K77" i="11"/>
  <c r="J77" i="11"/>
  <c r="L76" i="11"/>
  <c r="K76" i="11"/>
  <c r="J76" i="11"/>
  <c r="L75" i="11"/>
  <c r="K75" i="11"/>
  <c r="J75" i="11"/>
  <c r="L74" i="11"/>
  <c r="K74" i="11"/>
  <c r="J74" i="11"/>
  <c r="L73" i="11"/>
  <c r="K73" i="11"/>
  <c r="J73" i="11"/>
  <c r="L72" i="11"/>
  <c r="K72" i="11"/>
  <c r="J72" i="11"/>
  <c r="L71" i="11"/>
  <c r="K71" i="11"/>
  <c r="J71" i="11"/>
  <c r="L70" i="11"/>
  <c r="K70" i="11"/>
  <c r="J70" i="11"/>
  <c r="L69" i="11"/>
  <c r="K69" i="11"/>
  <c r="J69" i="11"/>
  <c r="L68" i="11"/>
  <c r="K68" i="11"/>
  <c r="J68" i="11"/>
  <c r="L67" i="11"/>
  <c r="K67" i="11"/>
  <c r="J67" i="11"/>
  <c r="L66" i="11"/>
  <c r="K66" i="11"/>
  <c r="J66" i="11"/>
  <c r="L65" i="11"/>
  <c r="K65" i="11"/>
  <c r="J65" i="11"/>
  <c r="L64" i="11"/>
  <c r="K64" i="11"/>
  <c r="J64" i="11"/>
  <c r="L63" i="11"/>
  <c r="K63" i="11"/>
  <c r="J63" i="11"/>
  <c r="L62" i="11"/>
  <c r="K62" i="11"/>
  <c r="J62" i="11"/>
  <c r="L61" i="11"/>
  <c r="K61" i="11"/>
  <c r="J61" i="11"/>
  <c r="L60" i="11"/>
  <c r="K60" i="11"/>
  <c r="J60" i="11"/>
  <c r="L59" i="11"/>
  <c r="K59" i="11"/>
  <c r="J59" i="11"/>
  <c r="L58" i="11"/>
  <c r="K58" i="11"/>
  <c r="J58" i="11"/>
  <c r="CX47" i="1"/>
  <c r="E153" i="11"/>
  <c r="CW47" i="1"/>
  <c r="D153" i="11"/>
  <c r="CV47" i="1"/>
  <c r="C153" i="11"/>
  <c r="CU47" i="1"/>
  <c r="B153" i="11"/>
  <c r="CX46" i="1"/>
  <c r="E152" i="11"/>
  <c r="CW46" i="1"/>
  <c r="D152" i="11"/>
  <c r="CV46" i="1"/>
  <c r="C152" i="11"/>
  <c r="CU46" i="1"/>
  <c r="B152" i="11"/>
  <c r="CX45" i="1"/>
  <c r="E151" i="11"/>
  <c r="CW45" i="1"/>
  <c r="D151" i="11"/>
  <c r="CV45" i="1"/>
  <c r="C151" i="11"/>
  <c r="CU45" i="1"/>
  <c r="B151" i="11"/>
  <c r="CX44" i="1"/>
  <c r="E150" i="11"/>
  <c r="CW44" i="1"/>
  <c r="D150" i="11"/>
  <c r="CV44" i="1"/>
  <c r="C150" i="11"/>
  <c r="CU44" i="1"/>
  <c r="B150" i="11"/>
  <c r="CX43" i="1"/>
  <c r="E149" i="11"/>
  <c r="CW43" i="1"/>
  <c r="D149" i="11"/>
  <c r="CV43" i="1"/>
  <c r="C149" i="11"/>
  <c r="CU43" i="1"/>
  <c r="B149" i="11"/>
  <c r="CX42" i="1"/>
  <c r="E148" i="11"/>
  <c r="CW42" i="1"/>
  <c r="D148" i="11"/>
  <c r="CV42" i="1"/>
  <c r="C148" i="11"/>
  <c r="CU42" i="1"/>
  <c r="B148" i="11"/>
  <c r="CX41" i="1"/>
  <c r="E147" i="11"/>
  <c r="CW41" i="1"/>
  <c r="D147" i="11"/>
  <c r="CV41" i="1"/>
  <c r="C147" i="11"/>
  <c r="CU41" i="1"/>
  <c r="B147" i="11"/>
  <c r="CX40" i="1"/>
  <c r="E146" i="11"/>
  <c r="CW40" i="1"/>
  <c r="D146" i="11"/>
  <c r="CV40" i="1"/>
  <c r="C146" i="11"/>
  <c r="CU40" i="1"/>
  <c r="B146" i="11"/>
  <c r="CX39" i="1"/>
  <c r="E145" i="11"/>
  <c r="CW39" i="1"/>
  <c r="D145" i="11"/>
  <c r="CV39" i="1"/>
  <c r="C145" i="11"/>
  <c r="CU39" i="1"/>
  <c r="B145" i="11"/>
  <c r="CX38" i="1"/>
  <c r="E144" i="11"/>
  <c r="CW38" i="1"/>
  <c r="D144" i="11"/>
  <c r="CV38" i="1"/>
  <c r="C144" i="11"/>
  <c r="CU38" i="1"/>
  <c r="B144" i="11"/>
  <c r="CX37" i="1"/>
  <c r="E143" i="11"/>
  <c r="CW37" i="1"/>
  <c r="D143" i="11"/>
  <c r="CV37" i="1"/>
  <c r="C143" i="11"/>
  <c r="CU37" i="1"/>
  <c r="B143" i="11"/>
  <c r="CX36" i="1"/>
  <c r="E142" i="11"/>
  <c r="CW36" i="1"/>
  <c r="D142" i="11"/>
  <c r="CV36" i="1"/>
  <c r="C142" i="11"/>
  <c r="CU36" i="1"/>
  <c r="B142" i="11"/>
  <c r="CX35" i="1"/>
  <c r="E141" i="11"/>
  <c r="CW35" i="1"/>
  <c r="D141" i="11"/>
  <c r="CV35" i="1"/>
  <c r="C141" i="11"/>
  <c r="CU35" i="1"/>
  <c r="B141" i="11"/>
  <c r="CX34" i="1"/>
  <c r="E140" i="11"/>
  <c r="CW34" i="1"/>
  <c r="D140" i="11"/>
  <c r="CV34" i="1"/>
  <c r="C140" i="11"/>
  <c r="CU34" i="1"/>
  <c r="B140" i="11"/>
  <c r="CX33" i="1"/>
  <c r="E139" i="11"/>
  <c r="CW33" i="1"/>
  <c r="D139" i="11"/>
  <c r="CV33" i="1"/>
  <c r="C139" i="11"/>
  <c r="CU33" i="1"/>
  <c r="B139" i="11"/>
  <c r="CX32" i="1"/>
  <c r="E138" i="11"/>
  <c r="CW32" i="1"/>
  <c r="D138" i="11"/>
  <c r="CV32" i="1"/>
  <c r="C138" i="11"/>
  <c r="CU32" i="1"/>
  <c r="B138" i="11"/>
  <c r="CX31" i="1"/>
  <c r="E137" i="11"/>
  <c r="CW31" i="1"/>
  <c r="D137" i="11"/>
  <c r="CV31" i="1"/>
  <c r="C137" i="11"/>
  <c r="CU31" i="1"/>
  <c r="B137" i="11"/>
  <c r="CX30" i="1"/>
  <c r="E136" i="11"/>
  <c r="CW30" i="1"/>
  <c r="D136" i="11"/>
  <c r="CV30" i="1"/>
  <c r="C136" i="11"/>
  <c r="CU30" i="1"/>
  <c r="B136" i="11"/>
  <c r="CX29" i="1"/>
  <c r="E135" i="11"/>
  <c r="CW29" i="1"/>
  <c r="D135" i="11"/>
  <c r="CV29" i="1"/>
  <c r="C135" i="11"/>
  <c r="CU29" i="1"/>
  <c r="B135" i="11"/>
  <c r="CX28" i="1"/>
  <c r="E134" i="11"/>
  <c r="CW28" i="1"/>
  <c r="D134" i="11"/>
  <c r="CV28" i="1"/>
  <c r="C134" i="11"/>
  <c r="CU28" i="1"/>
  <c r="B134" i="11"/>
  <c r="CX27" i="1"/>
  <c r="E133" i="11"/>
  <c r="CW27" i="1"/>
  <c r="D133" i="11"/>
  <c r="CV27" i="1"/>
  <c r="C133" i="11"/>
  <c r="CU27" i="1"/>
  <c r="B133" i="11"/>
  <c r="CX26" i="1"/>
  <c r="E132" i="11"/>
  <c r="CW26" i="1"/>
  <c r="D132" i="11"/>
  <c r="CV26" i="1"/>
  <c r="C132" i="11"/>
  <c r="CU26" i="1"/>
  <c r="B132" i="11"/>
  <c r="CX25" i="1"/>
  <c r="E131" i="11"/>
  <c r="CW25" i="1"/>
  <c r="D131" i="11"/>
  <c r="CV25" i="1"/>
  <c r="C131" i="11"/>
  <c r="CU25" i="1"/>
  <c r="B131" i="11"/>
  <c r="CX24" i="1"/>
  <c r="E130" i="11"/>
  <c r="CW24" i="1"/>
  <c r="D130" i="11"/>
  <c r="CV24" i="1"/>
  <c r="C130" i="11"/>
  <c r="CU24" i="1"/>
  <c r="B130" i="11"/>
  <c r="CX23" i="1"/>
  <c r="E129" i="11"/>
  <c r="CW23" i="1"/>
  <c r="D129" i="11"/>
  <c r="CV23" i="1"/>
  <c r="C129" i="11"/>
  <c r="CU23" i="1"/>
  <c r="B129" i="11"/>
  <c r="CX22" i="1"/>
  <c r="E128" i="11"/>
  <c r="CW22" i="1"/>
  <c r="D128" i="11"/>
  <c r="CV22" i="1"/>
  <c r="C128" i="11"/>
  <c r="CU22" i="1"/>
  <c r="B128" i="11"/>
  <c r="CX21" i="1"/>
  <c r="E127" i="11"/>
  <c r="CW21" i="1"/>
  <c r="D127" i="11"/>
  <c r="CV21" i="1"/>
  <c r="C127" i="11"/>
  <c r="CU21" i="1"/>
  <c r="B127" i="11"/>
  <c r="CX20" i="1"/>
  <c r="E126" i="11"/>
  <c r="CW20" i="1"/>
  <c r="D126" i="11"/>
  <c r="CV20" i="1"/>
  <c r="C126" i="11"/>
  <c r="CU20" i="1"/>
  <c r="B126" i="11"/>
  <c r="CX19" i="1"/>
  <c r="E125" i="11"/>
  <c r="CW19" i="1"/>
  <c r="D125" i="11"/>
  <c r="CV19" i="1"/>
  <c r="C125" i="11"/>
  <c r="CU19" i="1"/>
  <c r="B125" i="11"/>
  <c r="CX18" i="1"/>
  <c r="E124" i="11"/>
  <c r="CW18" i="1"/>
  <c r="D124" i="11"/>
  <c r="CV18" i="1"/>
  <c r="C124" i="11"/>
  <c r="CU18" i="1"/>
  <c r="B124" i="11"/>
  <c r="CX17" i="1"/>
  <c r="E123" i="11"/>
  <c r="CW17" i="1"/>
  <c r="D123" i="11"/>
  <c r="CV17" i="1"/>
  <c r="C123" i="11"/>
  <c r="CU17" i="1"/>
  <c r="B123" i="11"/>
  <c r="CX16" i="1"/>
  <c r="E122" i="11"/>
  <c r="CW16" i="1"/>
  <c r="D122" i="11"/>
  <c r="CV16" i="1"/>
  <c r="C122" i="11"/>
  <c r="CU16" i="1"/>
  <c r="B122" i="11"/>
  <c r="CX15" i="1"/>
  <c r="E121" i="11"/>
  <c r="CW15" i="1"/>
  <c r="D121" i="11"/>
  <c r="CV15" i="1"/>
  <c r="C121" i="11"/>
  <c r="CU15" i="1"/>
  <c r="B121" i="11"/>
  <c r="CX14" i="1"/>
  <c r="E120" i="11"/>
  <c r="CW14" i="1"/>
  <c r="D120" i="11"/>
  <c r="CV14" i="1"/>
  <c r="C120" i="11"/>
  <c r="CU14" i="1"/>
  <c r="B120" i="11"/>
  <c r="CX13" i="1"/>
  <c r="E119" i="11"/>
  <c r="CW13" i="1"/>
  <c r="D119" i="11"/>
  <c r="CV13" i="1"/>
  <c r="C119" i="11"/>
  <c r="CU13" i="1"/>
  <c r="B119" i="11"/>
  <c r="CX12" i="1"/>
  <c r="E118" i="11"/>
  <c r="CW12" i="1"/>
  <c r="D118" i="11"/>
  <c r="CV12" i="1"/>
  <c r="C118" i="11"/>
  <c r="CU12" i="1"/>
  <c r="B118" i="11"/>
  <c r="CX11" i="1"/>
  <c r="E117" i="11"/>
  <c r="CW11" i="1"/>
  <c r="D117" i="11"/>
  <c r="CV11" i="1"/>
  <c r="C117" i="11"/>
  <c r="CU11" i="1"/>
  <c r="B117" i="11"/>
  <c r="CX10" i="1"/>
  <c r="E116" i="11"/>
  <c r="CW10" i="1"/>
  <c r="D116" i="11"/>
  <c r="CV10" i="1"/>
  <c r="C116" i="11"/>
  <c r="CU10" i="1"/>
  <c r="B116" i="11"/>
  <c r="CX9" i="1"/>
  <c r="E115" i="11"/>
  <c r="CW9" i="1"/>
  <c r="D115" i="11"/>
  <c r="CV9" i="1"/>
  <c r="C115" i="11"/>
  <c r="CU9" i="1"/>
  <c r="B115" i="11"/>
  <c r="CX8" i="1"/>
  <c r="E114" i="11"/>
  <c r="CW8" i="1"/>
  <c r="D114" i="11"/>
  <c r="CV8" i="1"/>
  <c r="C114" i="11"/>
  <c r="CU8" i="1"/>
  <c r="B114" i="11"/>
  <c r="E15" i="6"/>
  <c r="F15" i="6"/>
  <c r="G15" i="6"/>
  <c r="H15" i="6"/>
  <c r="I15" i="6"/>
  <c r="J15" i="6"/>
  <c r="K15" i="6"/>
  <c r="L15" i="6"/>
  <c r="M15" i="6"/>
  <c r="N15" i="6"/>
  <c r="O15" i="6"/>
  <c r="P15" i="6"/>
  <c r="Q15" i="6"/>
  <c r="R15" i="6"/>
  <c r="S15" i="6"/>
  <c r="T15" i="6"/>
  <c r="U15" i="6"/>
  <c r="V15" i="6"/>
  <c r="W15" i="6"/>
  <c r="X15" i="6"/>
  <c r="Y15" i="6"/>
  <c r="Z15" i="6"/>
  <c r="AA15" i="6"/>
  <c r="AB15" i="6"/>
  <c r="AC15" i="6"/>
  <c r="AD15" i="6"/>
  <c r="AE15" i="6"/>
  <c r="AF15" i="6"/>
  <c r="AG15" i="6"/>
  <c r="AH15" i="6"/>
  <c r="AI15" i="6"/>
  <c r="AJ15" i="6"/>
  <c r="AK15" i="6"/>
  <c r="AL15" i="6"/>
  <c r="AM15" i="6"/>
  <c r="AN15" i="6"/>
  <c r="AO15" i="6"/>
  <c r="AP15" i="6"/>
  <c r="AQ15" i="6"/>
  <c r="AR15" i="6"/>
  <c r="AS15" i="6"/>
  <c r="AT15" i="6"/>
  <c r="AU15" i="6"/>
  <c r="AV15" i="6"/>
  <c r="AW15" i="6"/>
  <c r="AX15" i="6"/>
  <c r="AY15" i="6"/>
  <c r="AZ15" i="6"/>
  <c r="BA15" i="6"/>
  <c r="E16" i="6"/>
  <c r="F16" i="6"/>
  <c r="G16" i="6"/>
  <c r="H16" i="6"/>
  <c r="I16" i="6"/>
  <c r="J16" i="6"/>
  <c r="K16" i="6"/>
  <c r="L16" i="6"/>
  <c r="M16" i="6"/>
  <c r="N16" i="6"/>
  <c r="O16" i="6"/>
  <c r="P16" i="6"/>
  <c r="Q16" i="6"/>
  <c r="R16" i="6"/>
  <c r="S16" i="6"/>
  <c r="T16" i="6"/>
  <c r="U16" i="6"/>
  <c r="V16" i="6"/>
  <c r="W16" i="6"/>
  <c r="X16" i="6"/>
  <c r="Y16" i="6"/>
  <c r="Z16" i="6"/>
  <c r="AA16" i="6"/>
  <c r="AB16" i="6"/>
  <c r="AC16" i="6"/>
  <c r="AD16" i="6"/>
  <c r="AE16" i="6"/>
  <c r="AF16" i="6"/>
  <c r="AG16" i="6"/>
  <c r="AH16" i="6"/>
  <c r="AI16" i="6"/>
  <c r="AJ16" i="6"/>
  <c r="AK16" i="6"/>
  <c r="AL16" i="6"/>
  <c r="AM16" i="6"/>
  <c r="AN16" i="6"/>
  <c r="AO16" i="6"/>
  <c r="AP16" i="6"/>
  <c r="AQ16" i="6"/>
  <c r="AR16" i="6"/>
  <c r="AS16" i="6"/>
  <c r="AT16" i="6"/>
  <c r="AU16" i="6"/>
  <c r="AV16" i="6"/>
  <c r="AW16" i="6"/>
  <c r="AX16" i="6"/>
  <c r="AY16" i="6"/>
  <c r="AZ16" i="6"/>
  <c r="BA16" i="6"/>
  <c r="E17" i="6"/>
  <c r="F17" i="6"/>
  <c r="G17" i="6"/>
  <c r="H17" i="6"/>
  <c r="I17" i="6"/>
  <c r="J17" i="6"/>
  <c r="K17" i="6"/>
  <c r="L17" i="6"/>
  <c r="M17" i="6"/>
  <c r="N17" i="6"/>
  <c r="O17" i="6"/>
  <c r="P17" i="6"/>
  <c r="Q17" i="6"/>
  <c r="R17" i="6"/>
  <c r="S17" i="6"/>
  <c r="T17" i="6"/>
  <c r="U17" i="6"/>
  <c r="V17" i="6"/>
  <c r="W17" i="6"/>
  <c r="X17" i="6"/>
  <c r="Y17" i="6"/>
  <c r="Z17" i="6"/>
  <c r="AA17" i="6"/>
  <c r="AB17" i="6"/>
  <c r="AC17" i="6"/>
  <c r="AD17" i="6"/>
  <c r="AE17" i="6"/>
  <c r="AF17" i="6"/>
  <c r="AG17" i="6"/>
  <c r="AH17" i="6"/>
  <c r="AI17" i="6"/>
  <c r="AJ17" i="6"/>
  <c r="AK17" i="6"/>
  <c r="AL17" i="6"/>
  <c r="AM17" i="6"/>
  <c r="AN17" i="6"/>
  <c r="AO17" i="6"/>
  <c r="AP17" i="6"/>
  <c r="AQ17" i="6"/>
  <c r="AR17" i="6"/>
  <c r="AS17" i="6"/>
  <c r="AT17" i="6"/>
  <c r="AU17" i="6"/>
  <c r="AV17" i="6"/>
  <c r="AW17" i="6"/>
  <c r="AX17" i="6"/>
  <c r="AY17" i="6"/>
  <c r="AZ17" i="6"/>
  <c r="BA17" i="6"/>
  <c r="E18" i="6"/>
  <c r="F18" i="6"/>
  <c r="G18" i="6"/>
  <c r="H18" i="6"/>
  <c r="I18" i="6"/>
  <c r="J18" i="6"/>
  <c r="K18" i="6"/>
  <c r="L18" i="6"/>
  <c r="M18" i="6"/>
  <c r="N18" i="6"/>
  <c r="O18" i="6"/>
  <c r="P18" i="6"/>
  <c r="Q18" i="6"/>
  <c r="R18" i="6"/>
  <c r="S18" i="6"/>
  <c r="T18" i="6"/>
  <c r="U18" i="6"/>
  <c r="V18" i="6"/>
  <c r="W18" i="6"/>
  <c r="X18" i="6"/>
  <c r="Y18" i="6"/>
  <c r="Z18" i="6"/>
  <c r="AA18" i="6"/>
  <c r="AB18" i="6"/>
  <c r="AC18" i="6"/>
  <c r="AD18" i="6"/>
  <c r="AE18" i="6"/>
  <c r="AF18" i="6"/>
  <c r="AG18" i="6"/>
  <c r="AH18" i="6"/>
  <c r="AI18" i="6"/>
  <c r="AJ18" i="6"/>
  <c r="AK18" i="6"/>
  <c r="AL18" i="6"/>
  <c r="AM18" i="6"/>
  <c r="AN18" i="6"/>
  <c r="AO18" i="6"/>
  <c r="AP18" i="6"/>
  <c r="AQ18" i="6"/>
  <c r="AR18" i="6"/>
  <c r="AS18" i="6"/>
  <c r="AT18" i="6"/>
  <c r="AU18" i="6"/>
  <c r="AV18" i="6"/>
  <c r="AW18" i="6"/>
  <c r="AX18" i="6"/>
  <c r="AY18" i="6"/>
  <c r="AZ18" i="6"/>
  <c r="BA18" i="6"/>
  <c r="E19" i="6"/>
  <c r="F19" i="6"/>
  <c r="G19" i="6"/>
  <c r="H19" i="6"/>
  <c r="I19" i="6"/>
  <c r="J19" i="6"/>
  <c r="K19" i="6"/>
  <c r="L19" i="6"/>
  <c r="M19" i="6"/>
  <c r="N19" i="6"/>
  <c r="O19" i="6"/>
  <c r="P19" i="6"/>
  <c r="Q19" i="6"/>
  <c r="R19" i="6"/>
  <c r="S19" i="6"/>
  <c r="T19" i="6"/>
  <c r="U19" i="6"/>
  <c r="V19" i="6"/>
  <c r="W19" i="6"/>
  <c r="X19" i="6"/>
  <c r="Y19" i="6"/>
  <c r="Z19" i="6"/>
  <c r="AA19" i="6"/>
  <c r="AB19" i="6"/>
  <c r="AC19" i="6"/>
  <c r="AD19" i="6"/>
  <c r="AE19" i="6"/>
  <c r="AF19" i="6"/>
  <c r="AG19" i="6"/>
  <c r="AH19" i="6"/>
  <c r="AI19" i="6"/>
  <c r="AJ19" i="6"/>
  <c r="AK19" i="6"/>
  <c r="AL19" i="6"/>
  <c r="AM19" i="6"/>
  <c r="AN19" i="6"/>
  <c r="AO19" i="6"/>
  <c r="AP19" i="6"/>
  <c r="AQ19" i="6"/>
  <c r="AR19" i="6"/>
  <c r="AS19" i="6"/>
  <c r="AT19" i="6"/>
  <c r="AU19" i="6"/>
  <c r="AV19" i="6"/>
  <c r="AW19" i="6"/>
  <c r="AX19" i="6"/>
  <c r="AY19" i="6"/>
  <c r="AZ19" i="6"/>
  <c r="BA19" i="6"/>
  <c r="D18" i="6"/>
  <c r="D17" i="6"/>
  <c r="D16" i="6"/>
  <c r="D15" i="6"/>
  <c r="C18" i="6"/>
  <c r="C17" i="6"/>
  <c r="C16" i="6"/>
  <c r="C72" i="6"/>
  <c r="C66" i="6"/>
  <c r="E23" i="3"/>
  <c r="B22" i="1"/>
  <c r="E24" i="3"/>
  <c r="E18" i="3"/>
  <c r="F6" i="3"/>
  <c r="F45" i="3"/>
  <c r="F74" i="3"/>
  <c r="F75" i="3"/>
  <c r="F31" i="3"/>
  <c r="F30" i="3"/>
  <c r="F36" i="3"/>
  <c r="F76" i="3"/>
  <c r="G6" i="3"/>
  <c r="G45" i="3"/>
  <c r="G74" i="3"/>
  <c r="G75" i="3"/>
  <c r="G31" i="3"/>
  <c r="G30" i="3"/>
  <c r="G36" i="3"/>
  <c r="G76" i="3"/>
  <c r="H6" i="3"/>
  <c r="H45" i="3"/>
  <c r="H74" i="3"/>
  <c r="H75" i="3"/>
  <c r="H31" i="3"/>
  <c r="H30" i="3"/>
  <c r="H36" i="3"/>
  <c r="H76" i="3"/>
  <c r="I6" i="3"/>
  <c r="I45" i="3"/>
  <c r="I74" i="3"/>
  <c r="I75" i="3"/>
  <c r="I31" i="3"/>
  <c r="I30" i="3"/>
  <c r="I36" i="3"/>
  <c r="I76" i="3"/>
  <c r="J6" i="3"/>
  <c r="J45" i="3"/>
  <c r="J74" i="3"/>
  <c r="J75" i="3"/>
  <c r="J31" i="3"/>
  <c r="J30" i="3"/>
  <c r="J36" i="3"/>
  <c r="J76" i="3"/>
  <c r="K6" i="3"/>
  <c r="K45" i="3"/>
  <c r="K74" i="3"/>
  <c r="K75" i="3"/>
  <c r="K31" i="3"/>
  <c r="K30" i="3"/>
  <c r="K36" i="3"/>
  <c r="K76" i="3"/>
  <c r="L6" i="3"/>
  <c r="L45" i="3"/>
  <c r="L74" i="3"/>
  <c r="L75" i="3"/>
  <c r="L31" i="3"/>
  <c r="L30" i="3"/>
  <c r="L36" i="3"/>
  <c r="L76" i="3"/>
  <c r="M6" i="3"/>
  <c r="M45" i="3"/>
  <c r="M74" i="3"/>
  <c r="M75" i="3"/>
  <c r="M31" i="3"/>
  <c r="M30" i="3"/>
  <c r="M36" i="3"/>
  <c r="M76" i="3"/>
  <c r="N6" i="3"/>
  <c r="N45" i="3"/>
  <c r="N74" i="3"/>
  <c r="N75" i="3"/>
  <c r="N31" i="3"/>
  <c r="N30" i="3"/>
  <c r="N36" i="3"/>
  <c r="N76" i="3"/>
  <c r="O6" i="3"/>
  <c r="O45" i="3"/>
  <c r="O74" i="3"/>
  <c r="O75" i="3"/>
  <c r="O31" i="3"/>
  <c r="O30" i="3"/>
  <c r="O36" i="3"/>
  <c r="O76" i="3"/>
  <c r="P6" i="3"/>
  <c r="P45" i="3"/>
  <c r="P74" i="3"/>
  <c r="P75" i="3"/>
  <c r="P31" i="3"/>
  <c r="P30" i="3"/>
  <c r="P36" i="3"/>
  <c r="P76" i="3"/>
  <c r="Q6" i="3"/>
  <c r="Q45" i="3"/>
  <c r="Q74" i="3"/>
  <c r="Q75" i="3"/>
  <c r="Q31" i="3"/>
  <c r="Q30" i="3"/>
  <c r="Q36" i="3"/>
  <c r="Q76" i="3"/>
  <c r="R6" i="3"/>
  <c r="R45" i="3"/>
  <c r="R74" i="3"/>
  <c r="R75" i="3"/>
  <c r="R31" i="3"/>
  <c r="R30" i="3"/>
  <c r="R36" i="3"/>
  <c r="R76" i="3"/>
  <c r="S6" i="3"/>
  <c r="S45" i="3"/>
  <c r="S74" i="3"/>
  <c r="S75" i="3"/>
  <c r="S31" i="3"/>
  <c r="S30" i="3"/>
  <c r="S36" i="3"/>
  <c r="S76" i="3"/>
  <c r="T6" i="3"/>
  <c r="T45" i="3"/>
  <c r="T74" i="3"/>
  <c r="T75" i="3"/>
  <c r="T31" i="3"/>
  <c r="T30" i="3"/>
  <c r="T36" i="3"/>
  <c r="T76" i="3"/>
  <c r="U6" i="3"/>
  <c r="U45" i="3"/>
  <c r="U74" i="3"/>
  <c r="U75" i="3"/>
  <c r="U31" i="3"/>
  <c r="U30" i="3"/>
  <c r="U36" i="3"/>
  <c r="U76" i="3"/>
  <c r="V6" i="3"/>
  <c r="V45" i="3"/>
  <c r="V74" i="3"/>
  <c r="V75" i="3"/>
  <c r="V31" i="3"/>
  <c r="V30" i="3"/>
  <c r="V36" i="3"/>
  <c r="V76" i="3"/>
  <c r="W6" i="3"/>
  <c r="W45" i="3"/>
  <c r="W74" i="3"/>
  <c r="W75" i="3"/>
  <c r="W31" i="3"/>
  <c r="W30" i="3"/>
  <c r="W36" i="3"/>
  <c r="W76" i="3"/>
  <c r="X6" i="3"/>
  <c r="X45" i="3"/>
  <c r="X74" i="3"/>
  <c r="X75" i="3"/>
  <c r="X31" i="3"/>
  <c r="X30" i="3"/>
  <c r="X36" i="3"/>
  <c r="X76" i="3"/>
  <c r="Y6" i="3"/>
  <c r="Y74" i="3"/>
  <c r="Y75" i="3"/>
  <c r="Y31" i="3"/>
  <c r="Y30" i="3"/>
  <c r="Y36" i="3"/>
  <c r="Y76" i="3"/>
  <c r="Z6" i="3"/>
  <c r="Z45" i="3"/>
  <c r="Z74" i="3"/>
  <c r="Z75" i="3"/>
  <c r="Z31" i="3"/>
  <c r="Z29" i="3"/>
  <c r="Z30" i="3"/>
  <c r="Z36" i="3"/>
  <c r="Z76" i="3"/>
  <c r="AA6" i="3"/>
  <c r="AA45" i="3"/>
  <c r="AA74" i="3"/>
  <c r="AA75" i="3"/>
  <c r="AA31" i="3"/>
  <c r="AA29" i="3"/>
  <c r="AA30" i="3"/>
  <c r="AA36" i="3"/>
  <c r="AA76" i="3"/>
  <c r="AB6" i="3"/>
  <c r="AB45" i="3"/>
  <c r="AB74" i="3"/>
  <c r="AB75" i="3"/>
  <c r="AB31" i="3"/>
  <c r="AB30" i="3"/>
  <c r="AB36" i="3"/>
  <c r="AB76" i="3"/>
  <c r="AC6" i="3"/>
  <c r="AC45" i="3"/>
  <c r="AC74" i="3"/>
  <c r="AC75" i="3"/>
  <c r="AC31" i="3"/>
  <c r="AC30" i="3"/>
  <c r="AC36" i="3"/>
  <c r="AC76" i="3"/>
  <c r="AD6" i="3"/>
  <c r="AD45" i="3"/>
  <c r="AD74" i="3"/>
  <c r="AD75" i="3"/>
  <c r="AD31" i="3"/>
  <c r="AD30" i="3"/>
  <c r="AD36" i="3"/>
  <c r="AD76" i="3"/>
  <c r="AE6" i="3"/>
  <c r="AE45" i="3"/>
  <c r="AE74" i="3"/>
  <c r="AE75" i="3"/>
  <c r="AE31" i="3"/>
  <c r="AE30" i="3"/>
  <c r="AE36" i="3"/>
  <c r="AE76" i="3"/>
  <c r="AF6" i="3"/>
  <c r="AF45" i="3"/>
  <c r="AF74" i="3"/>
  <c r="AF75" i="3"/>
  <c r="AF31" i="3"/>
  <c r="AF30" i="3"/>
  <c r="AF36" i="3"/>
  <c r="AF76" i="3"/>
  <c r="AG6" i="3"/>
  <c r="AG45" i="3"/>
  <c r="AG74" i="3"/>
  <c r="AG75" i="3"/>
  <c r="AG31" i="3"/>
  <c r="AG30" i="3"/>
  <c r="AG36" i="3"/>
  <c r="AG76" i="3"/>
  <c r="AH6" i="3"/>
  <c r="AH45" i="3"/>
  <c r="AH74" i="3"/>
  <c r="AH75" i="3"/>
  <c r="AH31" i="3"/>
  <c r="AH30" i="3"/>
  <c r="AH36" i="3"/>
  <c r="AH76" i="3"/>
  <c r="AI6" i="3"/>
  <c r="AI45" i="3"/>
  <c r="AI74" i="3"/>
  <c r="AI75" i="3"/>
  <c r="AI31" i="3"/>
  <c r="AI30" i="3"/>
  <c r="AI36" i="3"/>
  <c r="AI76" i="3"/>
  <c r="AJ6" i="3"/>
  <c r="AJ45" i="3"/>
  <c r="AJ74" i="3"/>
  <c r="AJ75" i="3"/>
  <c r="AJ31" i="3"/>
  <c r="AJ30" i="3"/>
  <c r="AJ36" i="3"/>
  <c r="AJ76" i="3"/>
  <c r="AK6" i="3"/>
  <c r="AK45" i="3"/>
  <c r="AK74" i="3"/>
  <c r="AK75" i="3"/>
  <c r="AK31" i="3"/>
  <c r="AK30" i="3"/>
  <c r="AK36" i="3"/>
  <c r="AK76" i="3"/>
  <c r="AL6" i="3"/>
  <c r="AL45" i="3"/>
  <c r="AL74" i="3"/>
  <c r="AL75" i="3"/>
  <c r="AL31" i="3"/>
  <c r="AL30" i="3"/>
  <c r="AL36" i="3"/>
  <c r="AL76" i="3"/>
  <c r="AM6" i="3"/>
  <c r="AM45" i="3"/>
  <c r="AM74" i="3"/>
  <c r="AM75" i="3"/>
  <c r="AM31" i="3"/>
  <c r="AM30" i="3"/>
  <c r="AM36" i="3"/>
  <c r="AM76" i="3"/>
  <c r="AN6" i="3"/>
  <c r="AN45" i="3"/>
  <c r="AN74" i="3"/>
  <c r="AN75" i="3"/>
  <c r="AN31" i="3"/>
  <c r="AN30" i="3"/>
  <c r="AN36" i="3"/>
  <c r="AN76" i="3"/>
  <c r="AO6" i="3"/>
  <c r="AO45" i="3"/>
  <c r="AO74" i="3"/>
  <c r="AO75" i="3"/>
  <c r="AO31" i="3"/>
  <c r="AO30" i="3"/>
  <c r="AO36" i="3"/>
  <c r="AO76" i="3"/>
  <c r="AP6" i="3"/>
  <c r="AP45" i="3"/>
  <c r="AP74" i="3"/>
  <c r="AP75" i="3"/>
  <c r="AP31" i="3"/>
  <c r="AP30" i="3"/>
  <c r="AP36" i="3"/>
  <c r="AP76" i="3"/>
  <c r="AQ6" i="3"/>
  <c r="AQ45" i="3"/>
  <c r="AQ74" i="3"/>
  <c r="AQ75" i="3"/>
  <c r="AQ31" i="3"/>
  <c r="AQ30" i="3"/>
  <c r="AQ36" i="3"/>
  <c r="AQ76" i="3"/>
  <c r="AR6" i="3"/>
  <c r="AR45" i="3"/>
  <c r="AR74" i="3"/>
  <c r="AR75" i="3"/>
  <c r="AR31" i="3"/>
  <c r="AR30" i="3"/>
  <c r="AR36" i="3"/>
  <c r="AR76" i="3"/>
  <c r="AS6" i="3"/>
  <c r="AS45" i="3"/>
  <c r="AS74" i="3"/>
  <c r="AS75" i="3"/>
  <c r="AS31" i="3"/>
  <c r="AS30" i="3"/>
  <c r="AS36" i="3"/>
  <c r="AS76" i="3"/>
  <c r="AT6" i="3"/>
  <c r="AT45" i="3"/>
  <c r="AT74" i="3"/>
  <c r="AT75" i="3"/>
  <c r="AT31" i="3"/>
  <c r="AT30" i="3"/>
  <c r="AT36" i="3"/>
  <c r="AT76" i="3"/>
  <c r="AU6" i="3"/>
  <c r="AU45" i="3"/>
  <c r="AU74" i="3"/>
  <c r="AU75" i="3"/>
  <c r="AU31" i="3"/>
  <c r="AU30" i="3"/>
  <c r="AU36" i="3"/>
  <c r="AU76" i="3"/>
  <c r="AV6" i="3"/>
  <c r="AV45" i="3"/>
  <c r="AV74" i="3"/>
  <c r="AV75" i="3"/>
  <c r="AV31" i="3"/>
  <c r="AV30" i="3"/>
  <c r="AV36" i="3"/>
  <c r="AV76" i="3"/>
  <c r="AW6" i="3"/>
  <c r="AW45" i="3"/>
  <c r="AW74" i="3"/>
  <c r="AW75" i="3"/>
  <c r="AW31" i="3"/>
  <c r="AW30" i="3"/>
  <c r="AW36" i="3"/>
  <c r="AW76" i="3"/>
  <c r="AX6" i="3"/>
  <c r="AX45" i="3"/>
  <c r="AX74" i="3"/>
  <c r="AX75" i="3"/>
  <c r="AX31" i="3"/>
  <c r="AX30" i="3"/>
  <c r="AX36" i="3"/>
  <c r="AX76" i="3"/>
  <c r="AY6" i="3"/>
  <c r="AY45" i="3"/>
  <c r="AY74" i="3"/>
  <c r="AY75" i="3"/>
  <c r="AY31" i="3"/>
  <c r="AY30" i="3"/>
  <c r="AY36" i="3"/>
  <c r="AY76" i="3"/>
  <c r="AZ6" i="3"/>
  <c r="AZ45" i="3"/>
  <c r="AZ74" i="3"/>
  <c r="AZ75" i="3"/>
  <c r="AZ31" i="3"/>
  <c r="AZ30" i="3"/>
  <c r="AZ36" i="3"/>
  <c r="AZ76" i="3"/>
  <c r="BA6" i="3"/>
  <c r="BA45" i="3"/>
  <c r="BA74" i="3"/>
  <c r="BA75" i="3"/>
  <c r="BA31" i="3"/>
  <c r="BA30" i="3"/>
  <c r="BA36" i="3"/>
  <c r="BA76" i="3"/>
  <c r="BB6" i="3"/>
  <c r="BB45" i="3"/>
  <c r="BB74" i="3"/>
  <c r="BB75" i="3"/>
  <c r="BB31" i="3"/>
  <c r="BB30" i="3"/>
  <c r="BB36" i="3"/>
  <c r="BB76" i="3"/>
  <c r="BC6" i="3"/>
  <c r="BC45" i="3"/>
  <c r="BC74" i="3"/>
  <c r="BC75" i="3"/>
  <c r="BC31" i="3"/>
  <c r="BC30" i="3"/>
  <c r="BC36" i="3"/>
  <c r="BC76" i="3"/>
  <c r="BD6" i="3"/>
  <c r="BD45" i="3"/>
  <c r="BD74" i="3"/>
  <c r="BD75" i="3"/>
  <c r="BD31" i="3"/>
  <c r="BD30" i="3"/>
  <c r="BD36" i="3"/>
  <c r="BD76" i="3"/>
  <c r="BE6" i="3"/>
  <c r="BE45" i="3"/>
  <c r="BE74" i="3"/>
  <c r="BE75" i="3"/>
  <c r="BE31" i="3"/>
  <c r="BE30" i="3"/>
  <c r="BE36" i="3"/>
  <c r="BE76" i="3"/>
  <c r="BF6" i="3"/>
  <c r="BF45" i="3"/>
  <c r="BF74" i="3"/>
  <c r="BF75" i="3"/>
  <c r="BF31" i="3"/>
  <c r="BF30" i="3"/>
  <c r="BF36" i="3"/>
  <c r="BF76" i="3"/>
  <c r="BG6" i="3"/>
  <c r="BG45" i="3"/>
  <c r="BG74" i="3"/>
  <c r="BG75" i="3"/>
  <c r="BG31" i="3"/>
  <c r="BG30" i="3"/>
  <c r="BG36" i="3"/>
  <c r="BG76" i="3"/>
  <c r="BH6" i="3"/>
  <c r="BH45" i="3"/>
  <c r="BH74" i="3"/>
  <c r="BH75" i="3"/>
  <c r="BH31" i="3"/>
  <c r="BH30" i="3"/>
  <c r="BH36" i="3"/>
  <c r="BH76" i="3"/>
  <c r="BI6" i="3"/>
  <c r="BI45" i="3"/>
  <c r="BI74" i="3"/>
  <c r="BI75" i="3"/>
  <c r="BI31" i="3"/>
  <c r="BI30" i="3"/>
  <c r="BI36" i="3"/>
  <c r="BI76" i="3"/>
  <c r="BJ6" i="3"/>
  <c r="BJ45" i="3"/>
  <c r="BJ74" i="3"/>
  <c r="BJ75" i="3"/>
  <c r="BJ31" i="3"/>
  <c r="BJ30" i="3"/>
  <c r="BJ36" i="3"/>
  <c r="BJ76" i="3"/>
  <c r="BK6" i="3"/>
  <c r="BK45" i="3"/>
  <c r="BK74" i="3"/>
  <c r="BK75" i="3"/>
  <c r="BK31" i="3"/>
  <c r="BK30" i="3"/>
  <c r="BK36" i="3"/>
  <c r="BK76" i="3"/>
  <c r="BL6" i="3"/>
  <c r="BL45" i="3"/>
  <c r="BL74" i="3"/>
  <c r="BL75" i="3"/>
  <c r="BL31" i="3"/>
  <c r="BL30" i="3"/>
  <c r="BL36" i="3"/>
  <c r="BL76" i="3"/>
  <c r="BM6" i="3"/>
  <c r="BM45" i="3"/>
  <c r="BM74" i="3"/>
  <c r="BM75" i="3"/>
  <c r="BM31" i="3"/>
  <c r="BM30" i="3"/>
  <c r="BM36" i="3"/>
  <c r="BM76" i="3"/>
  <c r="BN6" i="3"/>
  <c r="BN45" i="3"/>
  <c r="BN74" i="3"/>
  <c r="BN75" i="3"/>
  <c r="BN31" i="3"/>
  <c r="BN30" i="3"/>
  <c r="BN36" i="3"/>
  <c r="BN76" i="3"/>
  <c r="BO6" i="3"/>
  <c r="BO45" i="3"/>
  <c r="BO74" i="3"/>
  <c r="BO75" i="3"/>
  <c r="BO31" i="3"/>
  <c r="BO30" i="3"/>
  <c r="BO36" i="3"/>
  <c r="BO76" i="3"/>
  <c r="BP6" i="3"/>
  <c r="BP45" i="3"/>
  <c r="BP74" i="3"/>
  <c r="BP75" i="3"/>
  <c r="BP31" i="3"/>
  <c r="BP30" i="3"/>
  <c r="BP36" i="3"/>
  <c r="BP76" i="3"/>
  <c r="BQ6" i="3"/>
  <c r="BQ45" i="3"/>
  <c r="BQ74" i="3"/>
  <c r="BQ75" i="3"/>
  <c r="BQ31" i="3"/>
  <c r="BQ30" i="3"/>
  <c r="BQ36" i="3"/>
  <c r="BQ76" i="3"/>
  <c r="BR6" i="3"/>
  <c r="BR45" i="3"/>
  <c r="BR74" i="3"/>
  <c r="BR75" i="3"/>
  <c r="BR31" i="3"/>
  <c r="BR30" i="3"/>
  <c r="BR36" i="3"/>
  <c r="BR76" i="3"/>
  <c r="BS6" i="3"/>
  <c r="BS45" i="3"/>
  <c r="BS74" i="3"/>
  <c r="BS75" i="3"/>
  <c r="BS31" i="3"/>
  <c r="BS30" i="3"/>
  <c r="BS36" i="3"/>
  <c r="BS76" i="3"/>
  <c r="BT6" i="3"/>
  <c r="BT45" i="3"/>
  <c r="BT74" i="3"/>
  <c r="BT75" i="3"/>
  <c r="BT31" i="3"/>
  <c r="BT30" i="3"/>
  <c r="BT36" i="3"/>
  <c r="BT76" i="3"/>
  <c r="BU6" i="3"/>
  <c r="BU45" i="3"/>
  <c r="BU74" i="3"/>
  <c r="BU75" i="3"/>
  <c r="BU31" i="3"/>
  <c r="BU30" i="3"/>
  <c r="BU36" i="3"/>
  <c r="BU76" i="3"/>
  <c r="BV6" i="3"/>
  <c r="BV45" i="3"/>
  <c r="BV74" i="3"/>
  <c r="BV75" i="3"/>
  <c r="BV31" i="3"/>
  <c r="BV30" i="3"/>
  <c r="BV36" i="3"/>
  <c r="BV76" i="3"/>
  <c r="BW6" i="3"/>
  <c r="BW45" i="3"/>
  <c r="BW74" i="3"/>
  <c r="BW75" i="3"/>
  <c r="BW31" i="3"/>
  <c r="BW30" i="3"/>
  <c r="BW36" i="3"/>
  <c r="BW76" i="3"/>
  <c r="BX6" i="3"/>
  <c r="BX45" i="3"/>
  <c r="BX74" i="3"/>
  <c r="BX75" i="3"/>
  <c r="BX31" i="3"/>
  <c r="BX30" i="3"/>
  <c r="BX36" i="3"/>
  <c r="BX76" i="3"/>
  <c r="BY6" i="3"/>
  <c r="BY45" i="3"/>
  <c r="BY74" i="3"/>
  <c r="BY75" i="3"/>
  <c r="BY31" i="3"/>
  <c r="BY30" i="3"/>
  <c r="BY36" i="3"/>
  <c r="BY76" i="3"/>
  <c r="BZ6" i="3"/>
  <c r="BZ45" i="3"/>
  <c r="BZ74" i="3"/>
  <c r="BZ75" i="3"/>
  <c r="BZ31" i="3"/>
  <c r="BZ30" i="3"/>
  <c r="BZ36" i="3"/>
  <c r="BZ76" i="3"/>
  <c r="CA6" i="3"/>
  <c r="CA45" i="3"/>
  <c r="CA74" i="3"/>
  <c r="CA75" i="3"/>
  <c r="CA31" i="3"/>
  <c r="CA30" i="3"/>
  <c r="CA36" i="3"/>
  <c r="CA76" i="3"/>
  <c r="CB6" i="3"/>
  <c r="CB45" i="3"/>
  <c r="CB74" i="3"/>
  <c r="CB75" i="3"/>
  <c r="CB31" i="3"/>
  <c r="CB30" i="3"/>
  <c r="CB36" i="3"/>
  <c r="CB76" i="3"/>
  <c r="E76" i="3"/>
  <c r="E75" i="3"/>
  <c r="E74" i="3"/>
  <c r="F55" i="3"/>
  <c r="F56" i="3"/>
  <c r="F58" i="3"/>
  <c r="F59" i="3"/>
  <c r="F61" i="3"/>
  <c r="F57" i="3"/>
  <c r="F62" i="3"/>
  <c r="F60" i="3"/>
  <c r="F63" i="3"/>
  <c r="F64" i="3"/>
  <c r="F66" i="3"/>
  <c r="F33" i="3"/>
  <c r="F32" i="3"/>
  <c r="F37" i="3"/>
  <c r="F67" i="3"/>
  <c r="G55" i="3"/>
  <c r="G56" i="3"/>
  <c r="G58" i="3"/>
  <c r="G59" i="3"/>
  <c r="G61" i="3"/>
  <c r="G57" i="3"/>
  <c r="G62" i="3"/>
  <c r="G60" i="3"/>
  <c r="G63" i="3"/>
  <c r="G64" i="3"/>
  <c r="G66" i="3"/>
  <c r="G33" i="3"/>
  <c r="G32" i="3"/>
  <c r="G37" i="3"/>
  <c r="G67" i="3"/>
  <c r="H55" i="3"/>
  <c r="H56" i="3"/>
  <c r="H58" i="3"/>
  <c r="H59" i="3"/>
  <c r="H61" i="3"/>
  <c r="H57" i="3"/>
  <c r="H62" i="3"/>
  <c r="H60" i="3"/>
  <c r="H63" i="3"/>
  <c r="H64" i="3"/>
  <c r="H66" i="3"/>
  <c r="H33" i="3"/>
  <c r="H32" i="3"/>
  <c r="H37" i="3"/>
  <c r="H67" i="3"/>
  <c r="I55" i="3"/>
  <c r="I56" i="3"/>
  <c r="I58" i="3"/>
  <c r="I59" i="3"/>
  <c r="I61" i="3"/>
  <c r="I57" i="3"/>
  <c r="I62" i="3"/>
  <c r="I60" i="3"/>
  <c r="I63" i="3"/>
  <c r="I64" i="3"/>
  <c r="I66" i="3"/>
  <c r="I33" i="3"/>
  <c r="I32" i="3"/>
  <c r="I37" i="3"/>
  <c r="I67" i="3"/>
  <c r="J55" i="3"/>
  <c r="J56" i="3"/>
  <c r="J58" i="3"/>
  <c r="J59" i="3"/>
  <c r="J61" i="3"/>
  <c r="J57" i="3"/>
  <c r="J62" i="3"/>
  <c r="J60" i="3"/>
  <c r="J63" i="3"/>
  <c r="J64" i="3"/>
  <c r="J66" i="3"/>
  <c r="J33" i="3"/>
  <c r="J32" i="3"/>
  <c r="J37" i="3"/>
  <c r="J67" i="3"/>
  <c r="K55" i="3"/>
  <c r="K56" i="3"/>
  <c r="K58" i="3"/>
  <c r="K59" i="3"/>
  <c r="K61" i="3"/>
  <c r="K57" i="3"/>
  <c r="K62" i="3"/>
  <c r="K60" i="3"/>
  <c r="K63" i="3"/>
  <c r="K64" i="3"/>
  <c r="K66" i="3"/>
  <c r="K33" i="3"/>
  <c r="K32" i="3"/>
  <c r="K37" i="3"/>
  <c r="K67" i="3"/>
  <c r="L55" i="3"/>
  <c r="L56" i="3"/>
  <c r="L58" i="3"/>
  <c r="L59" i="3"/>
  <c r="L61" i="3"/>
  <c r="L57" i="3"/>
  <c r="L62" i="3"/>
  <c r="L60" i="3"/>
  <c r="L63" i="3"/>
  <c r="L64" i="3"/>
  <c r="L66" i="3"/>
  <c r="L33" i="3"/>
  <c r="L32" i="3"/>
  <c r="L37" i="3"/>
  <c r="L67" i="3"/>
  <c r="M55" i="3"/>
  <c r="M56" i="3"/>
  <c r="M58" i="3"/>
  <c r="M59" i="3"/>
  <c r="M61" i="3"/>
  <c r="M57" i="3"/>
  <c r="M62" i="3"/>
  <c r="M60" i="3"/>
  <c r="M63" i="3"/>
  <c r="M64" i="3"/>
  <c r="M66" i="3"/>
  <c r="M33" i="3"/>
  <c r="M32" i="3"/>
  <c r="M37" i="3"/>
  <c r="M67" i="3"/>
  <c r="N55" i="3"/>
  <c r="N56" i="3"/>
  <c r="N58" i="3"/>
  <c r="N59" i="3"/>
  <c r="N61" i="3"/>
  <c r="N57" i="3"/>
  <c r="N62" i="3"/>
  <c r="N60" i="3"/>
  <c r="N63" i="3"/>
  <c r="N64" i="3"/>
  <c r="N66" i="3"/>
  <c r="N33" i="3"/>
  <c r="N32" i="3"/>
  <c r="N37" i="3"/>
  <c r="N67" i="3"/>
  <c r="O55" i="3"/>
  <c r="O56" i="3"/>
  <c r="O58" i="3"/>
  <c r="O59" i="3"/>
  <c r="O61" i="3"/>
  <c r="O57" i="3"/>
  <c r="O62" i="3"/>
  <c r="O60" i="3"/>
  <c r="O63" i="3"/>
  <c r="O64" i="3"/>
  <c r="O66" i="3"/>
  <c r="O33" i="3"/>
  <c r="O32" i="3"/>
  <c r="O37" i="3"/>
  <c r="O67" i="3"/>
  <c r="P55" i="3"/>
  <c r="P56" i="3"/>
  <c r="P58" i="3"/>
  <c r="P59" i="3"/>
  <c r="P61" i="3"/>
  <c r="P57" i="3"/>
  <c r="P62" i="3"/>
  <c r="P60" i="3"/>
  <c r="P63" i="3"/>
  <c r="P64" i="3"/>
  <c r="P66" i="3"/>
  <c r="P33" i="3"/>
  <c r="P32" i="3"/>
  <c r="P37" i="3"/>
  <c r="P67" i="3"/>
  <c r="Q55" i="3"/>
  <c r="Q56" i="3"/>
  <c r="Q58" i="3"/>
  <c r="Q59" i="3"/>
  <c r="Q61" i="3"/>
  <c r="Q57" i="3"/>
  <c r="Q62" i="3"/>
  <c r="Q60" i="3"/>
  <c r="Q63" i="3"/>
  <c r="Q64" i="3"/>
  <c r="Q66" i="3"/>
  <c r="Q33" i="3"/>
  <c r="Q32" i="3"/>
  <c r="Q37" i="3"/>
  <c r="Q67" i="3"/>
  <c r="R55" i="3"/>
  <c r="R56" i="3"/>
  <c r="R58" i="3"/>
  <c r="R59" i="3"/>
  <c r="R61" i="3"/>
  <c r="R57" i="3"/>
  <c r="R62" i="3"/>
  <c r="R60" i="3"/>
  <c r="R63" i="3"/>
  <c r="R64" i="3"/>
  <c r="R66" i="3"/>
  <c r="R33" i="3"/>
  <c r="R32" i="3"/>
  <c r="R37" i="3"/>
  <c r="R67" i="3"/>
  <c r="S55" i="3"/>
  <c r="S56" i="3"/>
  <c r="S58" i="3"/>
  <c r="S59" i="3"/>
  <c r="S61" i="3"/>
  <c r="S57" i="3"/>
  <c r="S62" i="3"/>
  <c r="S60" i="3"/>
  <c r="S63" i="3"/>
  <c r="S64" i="3"/>
  <c r="S66" i="3"/>
  <c r="S33" i="3"/>
  <c r="S32" i="3"/>
  <c r="S37" i="3"/>
  <c r="S67" i="3"/>
  <c r="T55" i="3"/>
  <c r="T56" i="3"/>
  <c r="T58" i="3"/>
  <c r="T59" i="3"/>
  <c r="T61" i="3"/>
  <c r="T57" i="3"/>
  <c r="T62" i="3"/>
  <c r="T60" i="3"/>
  <c r="T63" i="3"/>
  <c r="T64" i="3"/>
  <c r="T66" i="3"/>
  <c r="T33" i="3"/>
  <c r="T32" i="3"/>
  <c r="T37" i="3"/>
  <c r="T67" i="3"/>
  <c r="U55" i="3"/>
  <c r="U56" i="3"/>
  <c r="U58" i="3"/>
  <c r="U59" i="3"/>
  <c r="U61" i="3"/>
  <c r="U57" i="3"/>
  <c r="U62" i="3"/>
  <c r="U60" i="3"/>
  <c r="U63" i="3"/>
  <c r="U64" i="3"/>
  <c r="U66" i="3"/>
  <c r="U33" i="3"/>
  <c r="U32" i="3"/>
  <c r="U37" i="3"/>
  <c r="U67" i="3"/>
  <c r="V55" i="3"/>
  <c r="V56" i="3"/>
  <c r="V58" i="3"/>
  <c r="V59" i="3"/>
  <c r="V61" i="3"/>
  <c r="V57" i="3"/>
  <c r="V62" i="3"/>
  <c r="V60" i="3"/>
  <c r="V63" i="3"/>
  <c r="V64" i="3"/>
  <c r="V66" i="3"/>
  <c r="V33" i="3"/>
  <c r="V32" i="3"/>
  <c r="V37" i="3"/>
  <c r="V67" i="3"/>
  <c r="W55" i="3"/>
  <c r="W56" i="3"/>
  <c r="W58" i="3"/>
  <c r="W59" i="3"/>
  <c r="W61" i="3"/>
  <c r="W57" i="3"/>
  <c r="W62" i="3"/>
  <c r="W60" i="3"/>
  <c r="W63" i="3"/>
  <c r="W64" i="3"/>
  <c r="W66" i="3"/>
  <c r="W33" i="3"/>
  <c r="W32" i="3"/>
  <c r="W37" i="3"/>
  <c r="W67" i="3"/>
  <c r="X55" i="3"/>
  <c r="X56" i="3"/>
  <c r="X58" i="3"/>
  <c r="X59" i="3"/>
  <c r="X61" i="3"/>
  <c r="X57" i="3"/>
  <c r="X62" i="3"/>
  <c r="X60" i="3"/>
  <c r="X63" i="3"/>
  <c r="X64" i="3"/>
  <c r="X66" i="3"/>
  <c r="X33" i="3"/>
  <c r="X32" i="3"/>
  <c r="X37" i="3"/>
  <c r="X67" i="3"/>
  <c r="Y55" i="3"/>
  <c r="Y56" i="3"/>
  <c r="Y58" i="3"/>
  <c r="Y59" i="3"/>
  <c r="Y61" i="3"/>
  <c r="Y57" i="3"/>
  <c r="Y62" i="3"/>
  <c r="Y60" i="3"/>
  <c r="Y63" i="3"/>
  <c r="Y64" i="3"/>
  <c r="Y66" i="3"/>
  <c r="Y33" i="3"/>
  <c r="Y32" i="3"/>
  <c r="Y37" i="3"/>
  <c r="Y67" i="3"/>
  <c r="Z55" i="3"/>
  <c r="Z56" i="3"/>
  <c r="Z58" i="3"/>
  <c r="Z59" i="3"/>
  <c r="Z61" i="3"/>
  <c r="Z57" i="3"/>
  <c r="Z62" i="3"/>
  <c r="Z60" i="3"/>
  <c r="Z63" i="3"/>
  <c r="Z64" i="3"/>
  <c r="Z66" i="3"/>
  <c r="Z33" i="3"/>
  <c r="Z32" i="3"/>
  <c r="Z37" i="3"/>
  <c r="Z67" i="3"/>
  <c r="AA55" i="3"/>
  <c r="AA56" i="3"/>
  <c r="AA58" i="3"/>
  <c r="AA59" i="3"/>
  <c r="AA61" i="3"/>
  <c r="AA57" i="3"/>
  <c r="AA62" i="3"/>
  <c r="AA60" i="3"/>
  <c r="AA63" i="3"/>
  <c r="AA64" i="3"/>
  <c r="AA66" i="3"/>
  <c r="AA33" i="3"/>
  <c r="AA32" i="3"/>
  <c r="AA37" i="3"/>
  <c r="AA67" i="3"/>
  <c r="AB55" i="3"/>
  <c r="AB56" i="3"/>
  <c r="AB58" i="3"/>
  <c r="AB59" i="3"/>
  <c r="AB61" i="3"/>
  <c r="AB57" i="3"/>
  <c r="AB62" i="3"/>
  <c r="AB60" i="3"/>
  <c r="AB63" i="3"/>
  <c r="AB64" i="3"/>
  <c r="AB66" i="3"/>
  <c r="AB33" i="3"/>
  <c r="AB32" i="3"/>
  <c r="AB37" i="3"/>
  <c r="AB67" i="3"/>
  <c r="AC55" i="3"/>
  <c r="AC56" i="3"/>
  <c r="AC58" i="3"/>
  <c r="AC59" i="3"/>
  <c r="AC61" i="3"/>
  <c r="AC57" i="3"/>
  <c r="AC62" i="3"/>
  <c r="AC60" i="3"/>
  <c r="AC63" i="3"/>
  <c r="AC64" i="3"/>
  <c r="AC66" i="3"/>
  <c r="AC33" i="3"/>
  <c r="AC32" i="3"/>
  <c r="AC37" i="3"/>
  <c r="AC67" i="3"/>
  <c r="AD55" i="3"/>
  <c r="AD56" i="3"/>
  <c r="AD58" i="3"/>
  <c r="AD59" i="3"/>
  <c r="AD61" i="3"/>
  <c r="AD57" i="3"/>
  <c r="AD62" i="3"/>
  <c r="AD60" i="3"/>
  <c r="AD63" i="3"/>
  <c r="AD64" i="3"/>
  <c r="AD66" i="3"/>
  <c r="AD33" i="3"/>
  <c r="AD32" i="3"/>
  <c r="AD37" i="3"/>
  <c r="AD67" i="3"/>
  <c r="AE55" i="3"/>
  <c r="AE56" i="3"/>
  <c r="AE58" i="3"/>
  <c r="AE59" i="3"/>
  <c r="AE61" i="3"/>
  <c r="AE57" i="3"/>
  <c r="AE62" i="3"/>
  <c r="AE60" i="3"/>
  <c r="AE63" i="3"/>
  <c r="AE64" i="3"/>
  <c r="AE66" i="3"/>
  <c r="AE33" i="3"/>
  <c r="AE32" i="3"/>
  <c r="AE37" i="3"/>
  <c r="AE67" i="3"/>
  <c r="AF55" i="3"/>
  <c r="AF56" i="3"/>
  <c r="AF58" i="3"/>
  <c r="AF59" i="3"/>
  <c r="AF61" i="3"/>
  <c r="AF57" i="3"/>
  <c r="AF62" i="3"/>
  <c r="AF60" i="3"/>
  <c r="AF63" i="3"/>
  <c r="AF64" i="3"/>
  <c r="AF66" i="3"/>
  <c r="AF33" i="3"/>
  <c r="AF32" i="3"/>
  <c r="AF37" i="3"/>
  <c r="AF67" i="3"/>
  <c r="AG55" i="3"/>
  <c r="AG56" i="3"/>
  <c r="AG58" i="3"/>
  <c r="AG59" i="3"/>
  <c r="AG61" i="3"/>
  <c r="AG57" i="3"/>
  <c r="AG62" i="3"/>
  <c r="AG60" i="3"/>
  <c r="AG63" i="3"/>
  <c r="AG64" i="3"/>
  <c r="AG66" i="3"/>
  <c r="AG33" i="3"/>
  <c r="AG32" i="3"/>
  <c r="AG37" i="3"/>
  <c r="AG67" i="3"/>
  <c r="AH55" i="3"/>
  <c r="AH56" i="3"/>
  <c r="AH58" i="3"/>
  <c r="AH59" i="3"/>
  <c r="AH61" i="3"/>
  <c r="AH57" i="3"/>
  <c r="AH62" i="3"/>
  <c r="AH60" i="3"/>
  <c r="AH63" i="3"/>
  <c r="AH64" i="3"/>
  <c r="AH66" i="3"/>
  <c r="AH33" i="3"/>
  <c r="AH32" i="3"/>
  <c r="AH37" i="3"/>
  <c r="AH67" i="3"/>
  <c r="AI55" i="3"/>
  <c r="AI56" i="3"/>
  <c r="AI58" i="3"/>
  <c r="AI59" i="3"/>
  <c r="AI61" i="3"/>
  <c r="AI57" i="3"/>
  <c r="AI62" i="3"/>
  <c r="AI60" i="3"/>
  <c r="AI63" i="3"/>
  <c r="AI64" i="3"/>
  <c r="AI66" i="3"/>
  <c r="AI33" i="3"/>
  <c r="AI32" i="3"/>
  <c r="AI37" i="3"/>
  <c r="AI67" i="3"/>
  <c r="AJ55" i="3"/>
  <c r="AJ56" i="3"/>
  <c r="AJ58" i="3"/>
  <c r="AJ59" i="3"/>
  <c r="AJ61" i="3"/>
  <c r="AJ57" i="3"/>
  <c r="AJ62" i="3"/>
  <c r="AJ60" i="3"/>
  <c r="AJ63" i="3"/>
  <c r="AJ64" i="3"/>
  <c r="AJ66" i="3"/>
  <c r="AJ33" i="3"/>
  <c r="AJ32" i="3"/>
  <c r="AJ37" i="3"/>
  <c r="AJ67" i="3"/>
  <c r="AK55" i="3"/>
  <c r="AK56" i="3"/>
  <c r="AK58" i="3"/>
  <c r="AK59" i="3"/>
  <c r="AK61" i="3"/>
  <c r="AK57" i="3"/>
  <c r="AK62" i="3"/>
  <c r="AK60" i="3"/>
  <c r="AK63" i="3"/>
  <c r="AK64" i="3"/>
  <c r="AK66" i="3"/>
  <c r="AK33" i="3"/>
  <c r="AK32" i="3"/>
  <c r="AK37" i="3"/>
  <c r="AK67" i="3"/>
  <c r="AL55" i="3"/>
  <c r="AL56" i="3"/>
  <c r="AL58" i="3"/>
  <c r="AL59" i="3"/>
  <c r="AL61" i="3"/>
  <c r="AL57" i="3"/>
  <c r="AL62" i="3"/>
  <c r="AL60" i="3"/>
  <c r="AL63" i="3"/>
  <c r="AL64" i="3"/>
  <c r="AL66" i="3"/>
  <c r="AL33" i="3"/>
  <c r="AL32" i="3"/>
  <c r="AL37" i="3"/>
  <c r="AL67" i="3"/>
  <c r="AM55" i="3"/>
  <c r="AM56" i="3"/>
  <c r="AM58" i="3"/>
  <c r="AM59" i="3"/>
  <c r="AM61" i="3"/>
  <c r="AM57" i="3"/>
  <c r="AM62" i="3"/>
  <c r="AM60" i="3"/>
  <c r="AM63" i="3"/>
  <c r="AM64" i="3"/>
  <c r="AM66" i="3"/>
  <c r="AM33" i="3"/>
  <c r="AM32" i="3"/>
  <c r="AM37" i="3"/>
  <c r="AM67" i="3"/>
  <c r="AN55" i="3"/>
  <c r="AN56" i="3"/>
  <c r="AN58" i="3"/>
  <c r="AN59" i="3"/>
  <c r="AN61" i="3"/>
  <c r="AN57" i="3"/>
  <c r="AN62" i="3"/>
  <c r="AN60" i="3"/>
  <c r="AN63" i="3"/>
  <c r="AN64" i="3"/>
  <c r="AN66" i="3"/>
  <c r="AN33" i="3"/>
  <c r="AN32" i="3"/>
  <c r="AN37" i="3"/>
  <c r="AN67" i="3"/>
  <c r="AO55" i="3"/>
  <c r="AO56" i="3"/>
  <c r="AO58" i="3"/>
  <c r="AO59" i="3"/>
  <c r="AO61" i="3"/>
  <c r="AO57" i="3"/>
  <c r="AO62" i="3"/>
  <c r="AO60" i="3"/>
  <c r="AO63" i="3"/>
  <c r="AO64" i="3"/>
  <c r="AO66" i="3"/>
  <c r="AO33" i="3"/>
  <c r="AO32" i="3"/>
  <c r="AO37" i="3"/>
  <c r="AO67" i="3"/>
  <c r="AP55" i="3"/>
  <c r="AP56" i="3"/>
  <c r="AP58" i="3"/>
  <c r="AP59" i="3"/>
  <c r="AP61" i="3"/>
  <c r="AP57" i="3"/>
  <c r="AP62" i="3"/>
  <c r="AP60" i="3"/>
  <c r="AP63" i="3"/>
  <c r="AP64" i="3"/>
  <c r="AP66" i="3"/>
  <c r="AP33" i="3"/>
  <c r="AP32" i="3"/>
  <c r="AP37" i="3"/>
  <c r="AP67" i="3"/>
  <c r="AQ55" i="3"/>
  <c r="AQ56" i="3"/>
  <c r="AQ58" i="3"/>
  <c r="AQ59" i="3"/>
  <c r="AQ61" i="3"/>
  <c r="AQ57" i="3"/>
  <c r="AQ62" i="3"/>
  <c r="AQ60" i="3"/>
  <c r="AQ63" i="3"/>
  <c r="AQ64" i="3"/>
  <c r="AQ66" i="3"/>
  <c r="AQ33" i="3"/>
  <c r="AQ32" i="3"/>
  <c r="AQ37" i="3"/>
  <c r="AQ67" i="3"/>
  <c r="AR55" i="3"/>
  <c r="AR56" i="3"/>
  <c r="AR58" i="3"/>
  <c r="AR59" i="3"/>
  <c r="AR61" i="3"/>
  <c r="AR57" i="3"/>
  <c r="AR62" i="3"/>
  <c r="AR60" i="3"/>
  <c r="AR63" i="3"/>
  <c r="AR64" i="3"/>
  <c r="AR66" i="3"/>
  <c r="AR33" i="3"/>
  <c r="AR32" i="3"/>
  <c r="AR37" i="3"/>
  <c r="AR67" i="3"/>
  <c r="AS55" i="3"/>
  <c r="AS56" i="3"/>
  <c r="AS58" i="3"/>
  <c r="AS59" i="3"/>
  <c r="AS61" i="3"/>
  <c r="AS57" i="3"/>
  <c r="AS62" i="3"/>
  <c r="AS60" i="3"/>
  <c r="AS63" i="3"/>
  <c r="AS64" i="3"/>
  <c r="AS66" i="3"/>
  <c r="AS33" i="3"/>
  <c r="AS32" i="3"/>
  <c r="AS37" i="3"/>
  <c r="AS67" i="3"/>
  <c r="AT55" i="3"/>
  <c r="AT56" i="3"/>
  <c r="AT58" i="3"/>
  <c r="AT59" i="3"/>
  <c r="AT61" i="3"/>
  <c r="AT57" i="3"/>
  <c r="AT62" i="3"/>
  <c r="AT60" i="3"/>
  <c r="AT63" i="3"/>
  <c r="AT64" i="3"/>
  <c r="AT66" i="3"/>
  <c r="AT33" i="3"/>
  <c r="AT32" i="3"/>
  <c r="AT37" i="3"/>
  <c r="AT67" i="3"/>
  <c r="AU55" i="3"/>
  <c r="AU56" i="3"/>
  <c r="AU58" i="3"/>
  <c r="AU59" i="3"/>
  <c r="AU61" i="3"/>
  <c r="AU57" i="3"/>
  <c r="AU62" i="3"/>
  <c r="AU60" i="3"/>
  <c r="AU63" i="3"/>
  <c r="AU64" i="3"/>
  <c r="AU66" i="3"/>
  <c r="AU33" i="3"/>
  <c r="AU32" i="3"/>
  <c r="AU37" i="3"/>
  <c r="AU67" i="3"/>
  <c r="AV55" i="3"/>
  <c r="AV56" i="3"/>
  <c r="AV58" i="3"/>
  <c r="AV59" i="3"/>
  <c r="AV61" i="3"/>
  <c r="AV57" i="3"/>
  <c r="AV62" i="3"/>
  <c r="AV60" i="3"/>
  <c r="AV63" i="3"/>
  <c r="AV64" i="3"/>
  <c r="AV66" i="3"/>
  <c r="AV33" i="3"/>
  <c r="AV32" i="3"/>
  <c r="AV37" i="3"/>
  <c r="AV67" i="3"/>
  <c r="AW55" i="3"/>
  <c r="AW56" i="3"/>
  <c r="AW58" i="3"/>
  <c r="AW59" i="3"/>
  <c r="AW61" i="3"/>
  <c r="AW57" i="3"/>
  <c r="AW62" i="3"/>
  <c r="AW60" i="3"/>
  <c r="AW63" i="3"/>
  <c r="AW64" i="3"/>
  <c r="AW66" i="3"/>
  <c r="AW33" i="3"/>
  <c r="AW32" i="3"/>
  <c r="AW37" i="3"/>
  <c r="AW67" i="3"/>
  <c r="AX55" i="3"/>
  <c r="AX56" i="3"/>
  <c r="AX58" i="3"/>
  <c r="AX59" i="3"/>
  <c r="AX61" i="3"/>
  <c r="AX57" i="3"/>
  <c r="AX62" i="3"/>
  <c r="AX60" i="3"/>
  <c r="AX63" i="3"/>
  <c r="AX64" i="3"/>
  <c r="AX66" i="3"/>
  <c r="AX33" i="3"/>
  <c r="AX32" i="3"/>
  <c r="AX37" i="3"/>
  <c r="AX67" i="3"/>
  <c r="AY55" i="3"/>
  <c r="AY56" i="3"/>
  <c r="AY58" i="3"/>
  <c r="AY59" i="3"/>
  <c r="AY61" i="3"/>
  <c r="AY57" i="3"/>
  <c r="AY62" i="3"/>
  <c r="AY60" i="3"/>
  <c r="AY63" i="3"/>
  <c r="AY64" i="3"/>
  <c r="AY66" i="3"/>
  <c r="AY33" i="3"/>
  <c r="AY32" i="3"/>
  <c r="AY37" i="3"/>
  <c r="AY67" i="3"/>
  <c r="AZ55" i="3"/>
  <c r="AZ56" i="3"/>
  <c r="AZ58" i="3"/>
  <c r="AZ59" i="3"/>
  <c r="AZ61" i="3"/>
  <c r="AZ57" i="3"/>
  <c r="AZ62" i="3"/>
  <c r="AZ60" i="3"/>
  <c r="AZ63" i="3"/>
  <c r="AZ64" i="3"/>
  <c r="AZ66" i="3"/>
  <c r="AZ33" i="3"/>
  <c r="AZ32" i="3"/>
  <c r="AZ37" i="3"/>
  <c r="AZ67" i="3"/>
  <c r="BA55" i="3"/>
  <c r="BA56" i="3"/>
  <c r="BA58" i="3"/>
  <c r="BA59" i="3"/>
  <c r="BA61" i="3"/>
  <c r="BA57" i="3"/>
  <c r="BA62" i="3"/>
  <c r="BA60" i="3"/>
  <c r="BA63" i="3"/>
  <c r="BA64" i="3"/>
  <c r="BA66" i="3"/>
  <c r="BA33" i="3"/>
  <c r="BA32" i="3"/>
  <c r="BA37" i="3"/>
  <c r="BA67" i="3"/>
  <c r="BB55" i="3"/>
  <c r="BB56" i="3"/>
  <c r="BB58" i="3"/>
  <c r="BB59" i="3"/>
  <c r="BB61" i="3"/>
  <c r="BB57" i="3"/>
  <c r="BB62" i="3"/>
  <c r="BB60" i="3"/>
  <c r="BB63" i="3"/>
  <c r="BB64" i="3"/>
  <c r="BB66" i="3"/>
  <c r="BB33" i="3"/>
  <c r="BB32" i="3"/>
  <c r="BB37" i="3"/>
  <c r="BB67" i="3"/>
  <c r="BC55" i="3"/>
  <c r="BC56" i="3"/>
  <c r="BC58" i="3"/>
  <c r="BC59" i="3"/>
  <c r="BC61" i="3"/>
  <c r="BC57" i="3"/>
  <c r="BC62" i="3"/>
  <c r="BC60" i="3"/>
  <c r="BC63" i="3"/>
  <c r="BC64" i="3"/>
  <c r="BC66" i="3"/>
  <c r="BC33" i="3"/>
  <c r="BC32" i="3"/>
  <c r="BC37" i="3"/>
  <c r="BC67" i="3"/>
  <c r="BD55" i="3"/>
  <c r="BD56" i="3"/>
  <c r="BD58" i="3"/>
  <c r="BD59" i="3"/>
  <c r="BD61" i="3"/>
  <c r="BD57" i="3"/>
  <c r="BD62" i="3"/>
  <c r="BD60" i="3"/>
  <c r="BD63" i="3"/>
  <c r="BD64" i="3"/>
  <c r="BD66" i="3"/>
  <c r="BD33" i="3"/>
  <c r="BD32" i="3"/>
  <c r="BD37" i="3"/>
  <c r="BD67" i="3"/>
  <c r="BE55" i="3"/>
  <c r="BE56" i="3"/>
  <c r="BE58" i="3"/>
  <c r="BE59" i="3"/>
  <c r="BE61" i="3"/>
  <c r="BE57" i="3"/>
  <c r="BE62" i="3"/>
  <c r="BE60" i="3"/>
  <c r="BE63" i="3"/>
  <c r="BE64" i="3"/>
  <c r="BE66" i="3"/>
  <c r="BE33" i="3"/>
  <c r="BE32" i="3"/>
  <c r="BE37" i="3"/>
  <c r="BE67" i="3"/>
  <c r="BF55" i="3"/>
  <c r="BF56" i="3"/>
  <c r="BF58" i="3"/>
  <c r="BF59" i="3"/>
  <c r="BF61" i="3"/>
  <c r="BF57" i="3"/>
  <c r="BF62" i="3"/>
  <c r="BF60" i="3"/>
  <c r="BF63" i="3"/>
  <c r="BF64" i="3"/>
  <c r="BF66" i="3"/>
  <c r="BF33" i="3"/>
  <c r="BF32" i="3"/>
  <c r="BF37" i="3"/>
  <c r="BF67" i="3"/>
  <c r="BG55" i="3"/>
  <c r="BG56" i="3"/>
  <c r="BG58" i="3"/>
  <c r="BG59" i="3"/>
  <c r="BG61" i="3"/>
  <c r="BG57" i="3"/>
  <c r="BG62" i="3"/>
  <c r="BG60" i="3"/>
  <c r="BG63" i="3"/>
  <c r="BG64" i="3"/>
  <c r="BG66" i="3"/>
  <c r="BG33" i="3"/>
  <c r="BG32" i="3"/>
  <c r="BG37" i="3"/>
  <c r="BG67" i="3"/>
  <c r="BH55" i="3"/>
  <c r="BH56" i="3"/>
  <c r="BH58" i="3"/>
  <c r="BH59" i="3"/>
  <c r="BH61" i="3"/>
  <c r="BH57" i="3"/>
  <c r="BH62" i="3"/>
  <c r="BH60" i="3"/>
  <c r="BH63" i="3"/>
  <c r="BH64" i="3"/>
  <c r="BH66" i="3"/>
  <c r="BH33" i="3"/>
  <c r="BH32" i="3"/>
  <c r="BH37" i="3"/>
  <c r="BH67" i="3"/>
  <c r="BI55" i="3"/>
  <c r="BI56" i="3"/>
  <c r="BI58" i="3"/>
  <c r="BI59" i="3"/>
  <c r="BI61" i="3"/>
  <c r="BI57" i="3"/>
  <c r="BI62" i="3"/>
  <c r="BI60" i="3"/>
  <c r="BI63" i="3"/>
  <c r="BI64" i="3"/>
  <c r="BI66" i="3"/>
  <c r="BI33" i="3"/>
  <c r="BI32" i="3"/>
  <c r="BI37" i="3"/>
  <c r="BI67" i="3"/>
  <c r="BJ55" i="3"/>
  <c r="BJ56" i="3"/>
  <c r="BJ58" i="3"/>
  <c r="BJ59" i="3"/>
  <c r="BJ61" i="3"/>
  <c r="BJ57" i="3"/>
  <c r="BJ62" i="3"/>
  <c r="BJ60" i="3"/>
  <c r="BJ63" i="3"/>
  <c r="BJ64" i="3"/>
  <c r="BJ66" i="3"/>
  <c r="BJ33" i="3"/>
  <c r="BJ32" i="3"/>
  <c r="BJ37" i="3"/>
  <c r="BJ67" i="3"/>
  <c r="BK55" i="3"/>
  <c r="BK56" i="3"/>
  <c r="BK58" i="3"/>
  <c r="BK59" i="3"/>
  <c r="BK61" i="3"/>
  <c r="BK57" i="3"/>
  <c r="BK62" i="3"/>
  <c r="BK60" i="3"/>
  <c r="BK63" i="3"/>
  <c r="BK64" i="3"/>
  <c r="BK66" i="3"/>
  <c r="BK33" i="3"/>
  <c r="BK32" i="3"/>
  <c r="BK37" i="3"/>
  <c r="BK67" i="3"/>
  <c r="BL55" i="3"/>
  <c r="BL56" i="3"/>
  <c r="BL58" i="3"/>
  <c r="BL59" i="3"/>
  <c r="BL61" i="3"/>
  <c r="BL57" i="3"/>
  <c r="BL62" i="3"/>
  <c r="BL60" i="3"/>
  <c r="BL63" i="3"/>
  <c r="BL64" i="3"/>
  <c r="BL66" i="3"/>
  <c r="BL33" i="3"/>
  <c r="BL32" i="3"/>
  <c r="BL37" i="3"/>
  <c r="BL67" i="3"/>
  <c r="BM55" i="3"/>
  <c r="BM56" i="3"/>
  <c r="BM58" i="3"/>
  <c r="BM59" i="3"/>
  <c r="BM61" i="3"/>
  <c r="BM57" i="3"/>
  <c r="BM62" i="3"/>
  <c r="BM60" i="3"/>
  <c r="BM63" i="3"/>
  <c r="BM64" i="3"/>
  <c r="BM66" i="3"/>
  <c r="BM33" i="3"/>
  <c r="BM32" i="3"/>
  <c r="BM37" i="3"/>
  <c r="BM67" i="3"/>
  <c r="BN55" i="3"/>
  <c r="BN56" i="3"/>
  <c r="BN58" i="3"/>
  <c r="BN59" i="3"/>
  <c r="BN61" i="3"/>
  <c r="BN57" i="3"/>
  <c r="BN62" i="3"/>
  <c r="BN60" i="3"/>
  <c r="BN63" i="3"/>
  <c r="BN64" i="3"/>
  <c r="BN66" i="3"/>
  <c r="BN33" i="3"/>
  <c r="BN32" i="3"/>
  <c r="BN37" i="3"/>
  <c r="BN67" i="3"/>
  <c r="BO55" i="3"/>
  <c r="BO56" i="3"/>
  <c r="BO58" i="3"/>
  <c r="BO59" i="3"/>
  <c r="BO61" i="3"/>
  <c r="BO57" i="3"/>
  <c r="BO62" i="3"/>
  <c r="BO60" i="3"/>
  <c r="BO63" i="3"/>
  <c r="BO64" i="3"/>
  <c r="BO66" i="3"/>
  <c r="BO33" i="3"/>
  <c r="BO32" i="3"/>
  <c r="BO37" i="3"/>
  <c r="BO67" i="3"/>
  <c r="BP55" i="3"/>
  <c r="BP56" i="3"/>
  <c r="BP58" i="3"/>
  <c r="BP59" i="3"/>
  <c r="BP61" i="3"/>
  <c r="BP57" i="3"/>
  <c r="BP62" i="3"/>
  <c r="BP60" i="3"/>
  <c r="BP63" i="3"/>
  <c r="BP64" i="3"/>
  <c r="BP66" i="3"/>
  <c r="BP33" i="3"/>
  <c r="BP32" i="3"/>
  <c r="BP37" i="3"/>
  <c r="BP67" i="3"/>
  <c r="BQ55" i="3"/>
  <c r="BQ56" i="3"/>
  <c r="BQ58" i="3"/>
  <c r="BQ59" i="3"/>
  <c r="BQ61" i="3"/>
  <c r="BQ57" i="3"/>
  <c r="BQ62" i="3"/>
  <c r="BQ60" i="3"/>
  <c r="BQ63" i="3"/>
  <c r="BQ64" i="3"/>
  <c r="BQ66" i="3"/>
  <c r="BQ33" i="3"/>
  <c r="BQ32" i="3"/>
  <c r="BQ37" i="3"/>
  <c r="BQ67" i="3"/>
  <c r="BR55" i="3"/>
  <c r="BR56" i="3"/>
  <c r="BR58" i="3"/>
  <c r="BR59" i="3"/>
  <c r="BR61" i="3"/>
  <c r="BR57" i="3"/>
  <c r="BR62" i="3"/>
  <c r="BR60" i="3"/>
  <c r="BR63" i="3"/>
  <c r="BR64" i="3"/>
  <c r="BR66" i="3"/>
  <c r="BR33" i="3"/>
  <c r="BR32" i="3"/>
  <c r="BR37" i="3"/>
  <c r="BR67" i="3"/>
  <c r="BS55" i="3"/>
  <c r="BS56" i="3"/>
  <c r="BS58" i="3"/>
  <c r="BS59" i="3"/>
  <c r="BS61" i="3"/>
  <c r="BS57" i="3"/>
  <c r="BS62" i="3"/>
  <c r="BS60" i="3"/>
  <c r="BS63" i="3"/>
  <c r="BS64" i="3"/>
  <c r="BS66" i="3"/>
  <c r="BS33" i="3"/>
  <c r="BS32" i="3"/>
  <c r="BS37" i="3"/>
  <c r="BS67" i="3"/>
  <c r="BT55" i="3"/>
  <c r="BT56" i="3"/>
  <c r="BT58" i="3"/>
  <c r="BT59" i="3"/>
  <c r="BT61" i="3"/>
  <c r="BT57" i="3"/>
  <c r="BT62" i="3"/>
  <c r="BT60" i="3"/>
  <c r="BT63" i="3"/>
  <c r="BT64" i="3"/>
  <c r="BT66" i="3"/>
  <c r="BT33" i="3"/>
  <c r="BT32" i="3"/>
  <c r="BT37" i="3"/>
  <c r="BT67" i="3"/>
  <c r="BU55" i="3"/>
  <c r="BU56" i="3"/>
  <c r="BU58" i="3"/>
  <c r="BU59" i="3"/>
  <c r="BU61" i="3"/>
  <c r="BU57" i="3"/>
  <c r="BU62" i="3"/>
  <c r="BU60" i="3"/>
  <c r="BU63" i="3"/>
  <c r="BU64" i="3"/>
  <c r="BU66" i="3"/>
  <c r="BU33" i="3"/>
  <c r="BU32" i="3"/>
  <c r="BU37" i="3"/>
  <c r="BU67" i="3"/>
  <c r="BV55" i="3"/>
  <c r="BV56" i="3"/>
  <c r="BV58" i="3"/>
  <c r="BV59" i="3"/>
  <c r="BV61" i="3"/>
  <c r="BV57" i="3"/>
  <c r="BV62" i="3"/>
  <c r="BV60" i="3"/>
  <c r="BV63" i="3"/>
  <c r="BV64" i="3"/>
  <c r="BV66" i="3"/>
  <c r="BV33" i="3"/>
  <c r="BV32" i="3"/>
  <c r="BV37" i="3"/>
  <c r="BV67" i="3"/>
  <c r="BW55" i="3"/>
  <c r="BW56" i="3"/>
  <c r="BW58" i="3"/>
  <c r="BW59" i="3"/>
  <c r="BW61" i="3"/>
  <c r="BW57" i="3"/>
  <c r="BW62" i="3"/>
  <c r="BW60" i="3"/>
  <c r="BW63" i="3"/>
  <c r="BW64" i="3"/>
  <c r="BW66" i="3"/>
  <c r="BW33" i="3"/>
  <c r="BW32" i="3"/>
  <c r="BW37" i="3"/>
  <c r="BW67" i="3"/>
  <c r="BX55" i="3"/>
  <c r="BX56" i="3"/>
  <c r="BX58" i="3"/>
  <c r="BX59" i="3"/>
  <c r="BX61" i="3"/>
  <c r="BX57" i="3"/>
  <c r="BX62" i="3"/>
  <c r="BX60" i="3"/>
  <c r="BX63" i="3"/>
  <c r="BX64" i="3"/>
  <c r="BX66" i="3"/>
  <c r="BX33" i="3"/>
  <c r="BX32" i="3"/>
  <c r="BX37" i="3"/>
  <c r="BX67" i="3"/>
  <c r="BY55" i="3"/>
  <c r="BY56" i="3"/>
  <c r="BY58" i="3"/>
  <c r="BY59" i="3"/>
  <c r="BY61" i="3"/>
  <c r="BY57" i="3"/>
  <c r="BY62" i="3"/>
  <c r="BY60" i="3"/>
  <c r="BY63" i="3"/>
  <c r="BY64" i="3"/>
  <c r="BY66" i="3"/>
  <c r="BY33" i="3"/>
  <c r="BY32" i="3"/>
  <c r="BY37" i="3"/>
  <c r="BY67" i="3"/>
  <c r="BZ55" i="3"/>
  <c r="BZ56" i="3"/>
  <c r="BZ58" i="3"/>
  <c r="BZ59" i="3"/>
  <c r="BZ61" i="3"/>
  <c r="BZ57" i="3"/>
  <c r="BZ62" i="3"/>
  <c r="BZ60" i="3"/>
  <c r="BZ63" i="3"/>
  <c r="BZ64" i="3"/>
  <c r="BZ66" i="3"/>
  <c r="BZ33" i="3"/>
  <c r="BZ32" i="3"/>
  <c r="BZ37" i="3"/>
  <c r="BZ67" i="3"/>
  <c r="CA55" i="3"/>
  <c r="CA56" i="3"/>
  <c r="CA58" i="3"/>
  <c r="CA59" i="3"/>
  <c r="CA61" i="3"/>
  <c r="CA57" i="3"/>
  <c r="CA62" i="3"/>
  <c r="CA60" i="3"/>
  <c r="CA63" i="3"/>
  <c r="CA64" i="3"/>
  <c r="CA66" i="3"/>
  <c r="CA33" i="3"/>
  <c r="CA32" i="3"/>
  <c r="CA37" i="3"/>
  <c r="CA67" i="3"/>
  <c r="CB55" i="3"/>
  <c r="CB56" i="3"/>
  <c r="CB58" i="3"/>
  <c r="CB59" i="3"/>
  <c r="CB61" i="3"/>
  <c r="CB57" i="3"/>
  <c r="CB62" i="3"/>
  <c r="CB60" i="3"/>
  <c r="CB63" i="3"/>
  <c r="CB64" i="3"/>
  <c r="CB66" i="3"/>
  <c r="CB33" i="3"/>
  <c r="CB32" i="3"/>
  <c r="CB37" i="3"/>
  <c r="CB67" i="3"/>
  <c r="E67" i="3"/>
  <c r="F68" i="3"/>
  <c r="F69" i="3"/>
  <c r="F70" i="3"/>
  <c r="G68" i="3"/>
  <c r="G69" i="3"/>
  <c r="G70" i="3"/>
  <c r="H68" i="3"/>
  <c r="H69" i="3"/>
  <c r="H70" i="3"/>
  <c r="I68" i="3"/>
  <c r="I69" i="3"/>
  <c r="I70" i="3"/>
  <c r="J68" i="3"/>
  <c r="J69" i="3"/>
  <c r="J70" i="3"/>
  <c r="K68" i="3"/>
  <c r="K69" i="3"/>
  <c r="K70" i="3"/>
  <c r="L68" i="3"/>
  <c r="L69" i="3"/>
  <c r="L70" i="3"/>
  <c r="M68" i="3"/>
  <c r="M69" i="3"/>
  <c r="M70" i="3"/>
  <c r="N68" i="3"/>
  <c r="N69" i="3"/>
  <c r="N70" i="3"/>
  <c r="O68" i="3"/>
  <c r="O69" i="3"/>
  <c r="O70" i="3"/>
  <c r="P68" i="3"/>
  <c r="P69" i="3"/>
  <c r="P70" i="3"/>
  <c r="Q68" i="3"/>
  <c r="Q69" i="3"/>
  <c r="Q70" i="3"/>
  <c r="R68" i="3"/>
  <c r="R69" i="3"/>
  <c r="R70" i="3"/>
  <c r="S68" i="3"/>
  <c r="S69" i="3"/>
  <c r="S70" i="3"/>
  <c r="T68" i="3"/>
  <c r="T69" i="3"/>
  <c r="T70" i="3"/>
  <c r="U68" i="3"/>
  <c r="U69" i="3"/>
  <c r="U70" i="3"/>
  <c r="V68" i="3"/>
  <c r="V69" i="3"/>
  <c r="V70" i="3"/>
  <c r="W68" i="3"/>
  <c r="W69" i="3"/>
  <c r="W70" i="3"/>
  <c r="X68" i="3"/>
  <c r="X69" i="3"/>
  <c r="X70" i="3"/>
  <c r="Y68" i="3"/>
  <c r="Y69" i="3"/>
  <c r="Y70" i="3"/>
  <c r="Z68" i="3"/>
  <c r="Z69" i="3"/>
  <c r="Z70" i="3"/>
  <c r="AA68" i="3"/>
  <c r="AA69" i="3"/>
  <c r="AA70" i="3"/>
  <c r="AB68" i="3"/>
  <c r="AB69" i="3"/>
  <c r="AB70" i="3"/>
  <c r="AC68" i="3"/>
  <c r="AC69" i="3"/>
  <c r="AC70" i="3"/>
  <c r="AD68" i="3"/>
  <c r="AD69" i="3"/>
  <c r="AD70" i="3"/>
  <c r="AE68" i="3"/>
  <c r="AE69" i="3"/>
  <c r="AE70" i="3"/>
  <c r="AF68" i="3"/>
  <c r="AF69" i="3"/>
  <c r="AF70" i="3"/>
  <c r="AG68" i="3"/>
  <c r="AG69" i="3"/>
  <c r="AG70" i="3"/>
  <c r="AH68" i="3"/>
  <c r="AH69" i="3"/>
  <c r="AH70" i="3"/>
  <c r="AI68" i="3"/>
  <c r="AI69" i="3"/>
  <c r="AI70" i="3"/>
  <c r="AJ68" i="3"/>
  <c r="AJ69" i="3"/>
  <c r="AJ70" i="3"/>
  <c r="AK68" i="3"/>
  <c r="AK69" i="3"/>
  <c r="AK70" i="3"/>
  <c r="AL68" i="3"/>
  <c r="AL69" i="3"/>
  <c r="AL70" i="3"/>
  <c r="AM68" i="3"/>
  <c r="AM69" i="3"/>
  <c r="AM70" i="3"/>
  <c r="AN68" i="3"/>
  <c r="AN69" i="3"/>
  <c r="AN70" i="3"/>
  <c r="AO68" i="3"/>
  <c r="AO69" i="3"/>
  <c r="AO70" i="3"/>
  <c r="AP68" i="3"/>
  <c r="AP69" i="3"/>
  <c r="AP70" i="3"/>
  <c r="AQ68" i="3"/>
  <c r="AQ69" i="3"/>
  <c r="AQ70" i="3"/>
  <c r="AR68" i="3"/>
  <c r="AR69" i="3"/>
  <c r="AR70" i="3"/>
  <c r="AS68" i="3"/>
  <c r="AS69" i="3"/>
  <c r="AS70" i="3"/>
  <c r="AT68" i="3"/>
  <c r="AT69" i="3"/>
  <c r="AT70" i="3"/>
  <c r="AU68" i="3"/>
  <c r="AU69" i="3"/>
  <c r="AU70" i="3"/>
  <c r="AV68" i="3"/>
  <c r="AV69" i="3"/>
  <c r="AV70" i="3"/>
  <c r="AW68" i="3"/>
  <c r="AW69" i="3"/>
  <c r="AW70" i="3"/>
  <c r="AX68" i="3"/>
  <c r="AX69" i="3"/>
  <c r="AX70" i="3"/>
  <c r="AY68" i="3"/>
  <c r="AY69" i="3"/>
  <c r="AY70" i="3"/>
  <c r="AZ68" i="3"/>
  <c r="AZ69" i="3"/>
  <c r="AZ70" i="3"/>
  <c r="BA68" i="3"/>
  <c r="BA69" i="3"/>
  <c r="BA70" i="3"/>
  <c r="BB68" i="3"/>
  <c r="BB69" i="3"/>
  <c r="BB70" i="3"/>
  <c r="BC68" i="3"/>
  <c r="BC69" i="3"/>
  <c r="BC70" i="3"/>
  <c r="BD68" i="3"/>
  <c r="BD69" i="3"/>
  <c r="BD70" i="3"/>
  <c r="BE68" i="3"/>
  <c r="BE69" i="3"/>
  <c r="BE70" i="3"/>
  <c r="BF68" i="3"/>
  <c r="BF69" i="3"/>
  <c r="BF70" i="3"/>
  <c r="BG68" i="3"/>
  <c r="BG69" i="3"/>
  <c r="BG70" i="3"/>
  <c r="BH68" i="3"/>
  <c r="BH69" i="3"/>
  <c r="BH70" i="3"/>
  <c r="BI68" i="3"/>
  <c r="BI69" i="3"/>
  <c r="BI70" i="3"/>
  <c r="BJ68" i="3"/>
  <c r="BJ69" i="3"/>
  <c r="BJ70" i="3"/>
  <c r="BK68" i="3"/>
  <c r="BK69" i="3"/>
  <c r="BK70" i="3"/>
  <c r="BL68" i="3"/>
  <c r="BL69" i="3"/>
  <c r="BL70" i="3"/>
  <c r="BM68" i="3"/>
  <c r="BM69" i="3"/>
  <c r="BM70" i="3"/>
  <c r="BN68" i="3"/>
  <c r="BN69" i="3"/>
  <c r="BN70" i="3"/>
  <c r="BO68" i="3"/>
  <c r="BO69" i="3"/>
  <c r="BO70" i="3"/>
  <c r="BP68" i="3"/>
  <c r="BP69" i="3"/>
  <c r="BP70" i="3"/>
  <c r="BQ68" i="3"/>
  <c r="BQ69" i="3"/>
  <c r="BQ70" i="3"/>
  <c r="BR68" i="3"/>
  <c r="BR69" i="3"/>
  <c r="BR70" i="3"/>
  <c r="BS68" i="3"/>
  <c r="BS69" i="3"/>
  <c r="BS70" i="3"/>
  <c r="BT68" i="3"/>
  <c r="BT69" i="3"/>
  <c r="BT70" i="3"/>
  <c r="BU68" i="3"/>
  <c r="BU69" i="3"/>
  <c r="BU70" i="3"/>
  <c r="BV68" i="3"/>
  <c r="BV69" i="3"/>
  <c r="BV70" i="3"/>
  <c r="BW68" i="3"/>
  <c r="BW69" i="3"/>
  <c r="BW70" i="3"/>
  <c r="BX68" i="3"/>
  <c r="BX69" i="3"/>
  <c r="BX70" i="3"/>
  <c r="BY68" i="3"/>
  <c r="BY69" i="3"/>
  <c r="BY70" i="3"/>
  <c r="BZ68" i="3"/>
  <c r="BZ69" i="3"/>
  <c r="BZ70" i="3"/>
  <c r="CA68" i="3"/>
  <c r="CA69" i="3"/>
  <c r="CA70" i="3"/>
  <c r="CB68" i="3"/>
  <c r="CB69" i="3"/>
  <c r="CB70" i="3"/>
  <c r="E70" i="3"/>
  <c r="F35" i="3"/>
  <c r="F34" i="3"/>
  <c r="F38" i="3"/>
  <c r="G35" i="3"/>
  <c r="G34" i="3"/>
  <c r="G38" i="3"/>
  <c r="H35" i="3"/>
  <c r="H34" i="3"/>
  <c r="H38" i="3"/>
  <c r="I35" i="3"/>
  <c r="I34" i="3"/>
  <c r="I38" i="3"/>
  <c r="J35" i="3"/>
  <c r="J34" i="3"/>
  <c r="J38" i="3"/>
  <c r="K35" i="3"/>
  <c r="K34" i="3"/>
  <c r="K38" i="3"/>
  <c r="L35" i="3"/>
  <c r="L34" i="3"/>
  <c r="L38" i="3"/>
  <c r="M35" i="3"/>
  <c r="M34" i="3"/>
  <c r="M38" i="3"/>
  <c r="N35" i="3"/>
  <c r="N34" i="3"/>
  <c r="N38" i="3"/>
  <c r="O35" i="3"/>
  <c r="O34" i="3"/>
  <c r="O38" i="3"/>
  <c r="P35" i="3"/>
  <c r="P34" i="3"/>
  <c r="P38" i="3"/>
  <c r="Q35" i="3"/>
  <c r="Q34" i="3"/>
  <c r="Q38" i="3"/>
  <c r="R35" i="3"/>
  <c r="R34" i="3"/>
  <c r="R38" i="3"/>
  <c r="S35" i="3"/>
  <c r="S34" i="3"/>
  <c r="S38" i="3"/>
  <c r="T35" i="3"/>
  <c r="T34" i="3"/>
  <c r="T38" i="3"/>
  <c r="U35" i="3"/>
  <c r="U34" i="3"/>
  <c r="U38" i="3"/>
  <c r="V35" i="3"/>
  <c r="V34" i="3"/>
  <c r="V38" i="3"/>
  <c r="W35" i="3"/>
  <c r="W34" i="3"/>
  <c r="W38" i="3"/>
  <c r="X35" i="3"/>
  <c r="X34" i="3"/>
  <c r="X38" i="3"/>
  <c r="Y35" i="3"/>
  <c r="Y34" i="3"/>
  <c r="Y38" i="3"/>
  <c r="Z35" i="3"/>
  <c r="Z34" i="3"/>
  <c r="Z38" i="3"/>
  <c r="AA35" i="3"/>
  <c r="AA34" i="3"/>
  <c r="AA38" i="3"/>
  <c r="AB35" i="3"/>
  <c r="AB34" i="3"/>
  <c r="AB38" i="3"/>
  <c r="AC35" i="3"/>
  <c r="AC34" i="3"/>
  <c r="AC38" i="3"/>
  <c r="AD35" i="3"/>
  <c r="AD34" i="3"/>
  <c r="AD38" i="3"/>
  <c r="AE35" i="3"/>
  <c r="AE34" i="3"/>
  <c r="AE38" i="3"/>
  <c r="AF35" i="3"/>
  <c r="AF34" i="3"/>
  <c r="AF38" i="3"/>
  <c r="AG35" i="3"/>
  <c r="AG34" i="3"/>
  <c r="AG38" i="3"/>
  <c r="AH35" i="3"/>
  <c r="AH34" i="3"/>
  <c r="AH38" i="3"/>
  <c r="AI35" i="3"/>
  <c r="AI34" i="3"/>
  <c r="AI38" i="3"/>
  <c r="AJ35" i="3"/>
  <c r="AJ34" i="3"/>
  <c r="AJ38" i="3"/>
  <c r="AK35" i="3"/>
  <c r="AK34" i="3"/>
  <c r="AK38" i="3"/>
  <c r="AL35" i="3"/>
  <c r="AL34" i="3"/>
  <c r="AL38" i="3"/>
  <c r="AM35" i="3"/>
  <c r="AM34" i="3"/>
  <c r="AM38" i="3"/>
  <c r="AN35" i="3"/>
  <c r="AN34" i="3"/>
  <c r="AN38" i="3"/>
  <c r="AO35" i="3"/>
  <c r="AO34" i="3"/>
  <c r="AO38" i="3"/>
  <c r="AP35" i="3"/>
  <c r="AP34" i="3"/>
  <c r="AP38" i="3"/>
  <c r="AQ35" i="3"/>
  <c r="AQ34" i="3"/>
  <c r="AQ38" i="3"/>
  <c r="AR35" i="3"/>
  <c r="AR34" i="3"/>
  <c r="AR38" i="3"/>
  <c r="AS35" i="3"/>
  <c r="AS34" i="3"/>
  <c r="AS38" i="3"/>
  <c r="AT35" i="3"/>
  <c r="AT34" i="3"/>
  <c r="AT38" i="3"/>
  <c r="AU35" i="3"/>
  <c r="AU34" i="3"/>
  <c r="AU38" i="3"/>
  <c r="AV35" i="3"/>
  <c r="AV34" i="3"/>
  <c r="AV38" i="3"/>
  <c r="AW35" i="3"/>
  <c r="AW34" i="3"/>
  <c r="AW38" i="3"/>
  <c r="AX35" i="3"/>
  <c r="AX34" i="3"/>
  <c r="AX38" i="3"/>
  <c r="AY35" i="3"/>
  <c r="AY34" i="3"/>
  <c r="AY38" i="3"/>
  <c r="AZ35" i="3"/>
  <c r="AZ34" i="3"/>
  <c r="AZ38" i="3"/>
  <c r="BA35" i="3"/>
  <c r="BA34" i="3"/>
  <c r="BA38" i="3"/>
  <c r="BB35" i="3"/>
  <c r="BB34" i="3"/>
  <c r="BB38" i="3"/>
  <c r="BC35" i="3"/>
  <c r="BC34" i="3"/>
  <c r="BC38" i="3"/>
  <c r="BD35" i="3"/>
  <c r="BD34" i="3"/>
  <c r="BD38" i="3"/>
  <c r="BE35" i="3"/>
  <c r="BE34" i="3"/>
  <c r="BE38" i="3"/>
  <c r="BF35" i="3"/>
  <c r="BF34" i="3"/>
  <c r="BF38" i="3"/>
  <c r="BG35" i="3"/>
  <c r="BG34" i="3"/>
  <c r="BG38" i="3"/>
  <c r="BH35" i="3"/>
  <c r="BH34" i="3"/>
  <c r="BH38" i="3"/>
  <c r="BI35" i="3"/>
  <c r="BI34" i="3"/>
  <c r="BI38" i="3"/>
  <c r="BJ35" i="3"/>
  <c r="BJ34" i="3"/>
  <c r="BJ38" i="3"/>
  <c r="BK35" i="3"/>
  <c r="BK34" i="3"/>
  <c r="BK38" i="3"/>
  <c r="BL35" i="3"/>
  <c r="BL34" i="3"/>
  <c r="BL38" i="3"/>
  <c r="BM35" i="3"/>
  <c r="BM34" i="3"/>
  <c r="BM38" i="3"/>
  <c r="BN35" i="3"/>
  <c r="BN34" i="3"/>
  <c r="BN38" i="3"/>
  <c r="BO35" i="3"/>
  <c r="BO34" i="3"/>
  <c r="BO38" i="3"/>
  <c r="BP35" i="3"/>
  <c r="BP34" i="3"/>
  <c r="BP38" i="3"/>
  <c r="BQ35" i="3"/>
  <c r="BQ34" i="3"/>
  <c r="BQ38" i="3"/>
  <c r="BR35" i="3"/>
  <c r="BR34" i="3"/>
  <c r="BR38" i="3"/>
  <c r="BS35" i="3"/>
  <c r="BS34" i="3"/>
  <c r="BS38" i="3"/>
  <c r="BT35" i="3"/>
  <c r="BT34" i="3"/>
  <c r="BT38" i="3"/>
  <c r="BU35" i="3"/>
  <c r="BU34" i="3"/>
  <c r="BU38" i="3"/>
  <c r="BV35" i="3"/>
  <c r="BV34" i="3"/>
  <c r="BV38" i="3"/>
  <c r="BW35" i="3"/>
  <c r="BW34" i="3"/>
  <c r="BW38" i="3"/>
  <c r="BX35" i="3"/>
  <c r="BX34" i="3"/>
  <c r="BX38" i="3"/>
  <c r="BY35" i="3"/>
  <c r="BY34" i="3"/>
  <c r="BY38" i="3"/>
  <c r="BZ35" i="3"/>
  <c r="BZ34" i="3"/>
  <c r="BZ38" i="3"/>
  <c r="CA35" i="3"/>
  <c r="CA34" i="3"/>
  <c r="CA38" i="3"/>
  <c r="CB35" i="3"/>
  <c r="CB34" i="3"/>
  <c r="CB38" i="3"/>
  <c r="E38" i="3"/>
  <c r="E72" i="3"/>
  <c r="F71" i="3"/>
  <c r="G71" i="3"/>
  <c r="H71" i="3"/>
  <c r="I71" i="3"/>
  <c r="J71" i="3"/>
  <c r="K71" i="3"/>
  <c r="L71" i="3"/>
  <c r="M71" i="3"/>
  <c r="N71" i="3"/>
  <c r="O71" i="3"/>
  <c r="P71" i="3"/>
  <c r="Q71" i="3"/>
  <c r="R71" i="3"/>
  <c r="S71" i="3"/>
  <c r="T71" i="3"/>
  <c r="U71" i="3"/>
  <c r="V71" i="3"/>
  <c r="W71" i="3"/>
  <c r="X71" i="3"/>
  <c r="Y71" i="3"/>
  <c r="Z71" i="3"/>
  <c r="AA71" i="3"/>
  <c r="AB71" i="3"/>
  <c r="AC71" i="3"/>
  <c r="AD71" i="3"/>
  <c r="AE71" i="3"/>
  <c r="AF71" i="3"/>
  <c r="AG71" i="3"/>
  <c r="AH71" i="3"/>
  <c r="AI71" i="3"/>
  <c r="AJ71" i="3"/>
  <c r="AK71" i="3"/>
  <c r="AL71" i="3"/>
  <c r="AM71" i="3"/>
  <c r="AN71" i="3"/>
  <c r="AO71" i="3"/>
  <c r="AP71" i="3"/>
  <c r="AQ71" i="3"/>
  <c r="AR71" i="3"/>
  <c r="AS71" i="3"/>
  <c r="AT71" i="3"/>
  <c r="AU71" i="3"/>
  <c r="AV71" i="3"/>
  <c r="AW71" i="3"/>
  <c r="AX71" i="3"/>
  <c r="AY71" i="3"/>
  <c r="AZ71" i="3"/>
  <c r="BA71" i="3"/>
  <c r="BB71" i="3"/>
  <c r="BC71" i="3"/>
  <c r="BD71" i="3"/>
  <c r="BE71" i="3"/>
  <c r="BF71" i="3"/>
  <c r="BG71" i="3"/>
  <c r="BH71" i="3"/>
  <c r="BI71" i="3"/>
  <c r="BJ71" i="3"/>
  <c r="BK71" i="3"/>
  <c r="BL71" i="3"/>
  <c r="BM71" i="3"/>
  <c r="BN71" i="3"/>
  <c r="BO71" i="3"/>
  <c r="BP71" i="3"/>
  <c r="BQ71" i="3"/>
  <c r="BR71" i="3"/>
  <c r="BS71" i="3"/>
  <c r="BT71" i="3"/>
  <c r="BU71" i="3"/>
  <c r="BV71" i="3"/>
  <c r="BW71" i="3"/>
  <c r="BX71" i="3"/>
  <c r="BY71" i="3"/>
  <c r="BZ71" i="3"/>
  <c r="CA71" i="3"/>
  <c r="CB71" i="3"/>
  <c r="E71" i="3"/>
  <c r="E69" i="3"/>
  <c r="E68" i="3"/>
  <c r="F23" i="3"/>
  <c r="F24" i="3"/>
  <c r="G23" i="3"/>
  <c r="G24" i="3"/>
  <c r="H23" i="3"/>
  <c r="H24" i="3"/>
  <c r="I23" i="3"/>
  <c r="I24" i="3"/>
  <c r="J23" i="3"/>
  <c r="J24" i="3"/>
  <c r="K23" i="3"/>
  <c r="K24" i="3"/>
  <c r="L23" i="3"/>
  <c r="L24" i="3"/>
  <c r="M23" i="3"/>
  <c r="M24" i="3"/>
  <c r="N23" i="3"/>
  <c r="N24" i="3"/>
  <c r="O23" i="3"/>
  <c r="O24" i="3"/>
  <c r="P23" i="3"/>
  <c r="P24" i="3"/>
  <c r="Q23" i="3"/>
  <c r="Q24" i="3"/>
  <c r="R23" i="3"/>
  <c r="R24" i="3"/>
  <c r="S23" i="3"/>
  <c r="S24" i="3"/>
  <c r="T23" i="3"/>
  <c r="T24" i="3"/>
  <c r="U23" i="3"/>
  <c r="U24" i="3"/>
  <c r="V23" i="3"/>
  <c r="V24" i="3"/>
  <c r="W23" i="3"/>
  <c r="W24" i="3"/>
  <c r="X23" i="3"/>
  <c r="X24" i="3"/>
  <c r="Y23" i="3"/>
  <c r="Y24" i="3"/>
  <c r="Z23" i="3"/>
  <c r="Z24" i="3"/>
  <c r="AA23" i="3"/>
  <c r="AA24" i="3"/>
  <c r="AB23" i="3"/>
  <c r="AB24" i="3"/>
  <c r="AC23" i="3"/>
  <c r="AC24" i="3"/>
  <c r="AD23" i="3"/>
  <c r="AD24" i="3"/>
  <c r="AE23" i="3"/>
  <c r="AE24" i="3"/>
  <c r="AF23" i="3"/>
  <c r="AF24" i="3"/>
  <c r="AG23" i="3"/>
  <c r="AG24" i="3"/>
  <c r="AH23" i="3"/>
  <c r="AH24" i="3"/>
  <c r="AI23" i="3"/>
  <c r="AI24" i="3"/>
  <c r="AJ23" i="3"/>
  <c r="AJ24" i="3"/>
  <c r="AK23" i="3"/>
  <c r="AK24" i="3"/>
  <c r="AL23" i="3"/>
  <c r="AL24" i="3"/>
  <c r="AM23" i="3"/>
  <c r="AM24" i="3"/>
  <c r="AN23" i="3"/>
  <c r="AN24" i="3"/>
  <c r="AO23" i="3"/>
  <c r="AO24" i="3"/>
  <c r="AP23" i="3"/>
  <c r="AP24" i="3"/>
  <c r="AQ23" i="3"/>
  <c r="AQ24" i="3"/>
  <c r="AR23" i="3"/>
  <c r="AR24" i="3"/>
  <c r="AS23" i="3"/>
  <c r="AS24" i="3"/>
  <c r="AT23" i="3"/>
  <c r="AT24" i="3"/>
  <c r="AU23" i="3"/>
  <c r="AU24" i="3"/>
  <c r="AV23" i="3"/>
  <c r="AV24" i="3"/>
  <c r="AW23" i="3"/>
  <c r="AW24" i="3"/>
  <c r="AX23" i="3"/>
  <c r="AX24" i="3"/>
  <c r="AY23" i="3"/>
  <c r="AY24" i="3"/>
  <c r="AZ23" i="3"/>
  <c r="AZ24" i="3"/>
  <c r="BA23" i="3"/>
  <c r="BA24" i="3"/>
  <c r="BB23" i="3"/>
  <c r="BB24" i="3"/>
  <c r="BC23" i="3"/>
  <c r="BC24" i="3"/>
  <c r="BD23" i="3"/>
  <c r="BD24" i="3"/>
  <c r="BE23" i="3"/>
  <c r="BE24" i="3"/>
  <c r="BF23" i="3"/>
  <c r="BF24" i="3"/>
  <c r="BG23" i="3"/>
  <c r="BG24" i="3"/>
  <c r="BH23" i="3"/>
  <c r="BH24" i="3"/>
  <c r="BI23" i="3"/>
  <c r="BI24" i="3"/>
  <c r="BJ23" i="3"/>
  <c r="BJ24" i="3"/>
  <c r="BK23" i="3"/>
  <c r="BK24" i="3"/>
  <c r="BL23" i="3"/>
  <c r="BL24" i="3"/>
  <c r="BM23" i="3"/>
  <c r="BM24" i="3"/>
  <c r="BN23" i="3"/>
  <c r="BN24" i="3"/>
  <c r="BO23" i="3"/>
  <c r="BO24" i="3"/>
  <c r="BP23" i="3"/>
  <c r="BP24" i="3"/>
  <c r="BQ23" i="3"/>
  <c r="BQ24" i="3"/>
  <c r="BR23" i="3"/>
  <c r="BR24" i="3"/>
  <c r="BS23" i="3"/>
  <c r="BS24" i="3"/>
  <c r="BT23" i="3"/>
  <c r="BT24" i="3"/>
  <c r="BU23" i="3"/>
  <c r="BU24" i="3"/>
  <c r="BV23" i="3"/>
  <c r="BV24" i="3"/>
  <c r="BW23" i="3"/>
  <c r="BW24" i="3"/>
  <c r="BX23" i="3"/>
  <c r="BX24" i="3"/>
  <c r="BY23" i="3"/>
  <c r="BY24" i="3"/>
  <c r="BZ23" i="3"/>
  <c r="BZ24" i="3"/>
  <c r="CA23" i="3"/>
  <c r="CA24" i="3"/>
  <c r="CB23" i="3"/>
  <c r="CB24" i="3"/>
  <c r="C8" i="5"/>
  <c r="C9" i="5"/>
  <c r="C10" i="5"/>
  <c r="C11" i="5"/>
  <c r="C12" i="5"/>
  <c r="C13" i="5"/>
  <c r="C14" i="5"/>
  <c r="C21" i="5"/>
  <c r="E17" i="5"/>
  <c r="M295" i="12"/>
  <c r="Y295" i="12"/>
  <c r="Q295" i="12"/>
  <c r="B5" i="11"/>
  <c r="B6" i="11"/>
  <c r="B7" i="11"/>
  <c r="B8" i="11"/>
  <c r="B9" i="11"/>
  <c r="B10" i="11"/>
  <c r="B11" i="11"/>
  <c r="B12" i="11"/>
  <c r="B13" i="11"/>
  <c r="B14" i="11"/>
  <c r="B15" i="11"/>
  <c r="B16" i="11"/>
  <c r="B17" i="11"/>
  <c r="B18" i="11"/>
  <c r="B19" i="11"/>
  <c r="B20" i="11"/>
  <c r="B21" i="11"/>
  <c r="B22" i="11"/>
  <c r="B23" i="11"/>
  <c r="B24" i="11"/>
  <c r="M278" i="12"/>
  <c r="Y278" i="12"/>
  <c r="Q278" i="12"/>
  <c r="M320" i="12"/>
  <c r="Y320" i="12"/>
  <c r="Q320" i="12"/>
  <c r="M80" i="12"/>
  <c r="Y80" i="12"/>
  <c r="Q80" i="12"/>
  <c r="M26" i="12"/>
  <c r="Y26" i="12"/>
  <c r="Q26" i="12"/>
  <c r="M319" i="12"/>
  <c r="Y319" i="12"/>
  <c r="Q319" i="12"/>
  <c r="M253" i="12"/>
  <c r="Y253" i="12"/>
  <c r="Q253" i="12"/>
  <c r="M74" i="12"/>
  <c r="Y74" i="12"/>
  <c r="Q74" i="12"/>
  <c r="M78" i="12"/>
  <c r="Y78" i="12"/>
  <c r="Q78" i="12"/>
  <c r="M72" i="12"/>
  <c r="Y72" i="12"/>
  <c r="Q72" i="12"/>
  <c r="M75" i="12"/>
  <c r="Y75" i="12"/>
  <c r="Q75" i="12"/>
  <c r="M73" i="12"/>
  <c r="Y73" i="12"/>
  <c r="Q73" i="12"/>
  <c r="M79" i="12"/>
  <c r="Y79" i="12"/>
  <c r="Q79" i="12"/>
  <c r="M76" i="12"/>
  <c r="Y76" i="12"/>
  <c r="Q76" i="12"/>
  <c r="M69" i="12"/>
  <c r="Y69" i="12"/>
  <c r="Q69" i="12"/>
  <c r="M277" i="12"/>
  <c r="Y277" i="12"/>
  <c r="Q277" i="12"/>
  <c r="M298" i="12"/>
  <c r="Y298" i="12"/>
  <c r="Q298" i="12"/>
  <c r="M67" i="12"/>
  <c r="Y67" i="12"/>
  <c r="Q67" i="12"/>
  <c r="M68" i="12"/>
  <c r="Y68" i="12"/>
  <c r="Q68" i="12"/>
  <c r="M181" i="12"/>
  <c r="Y181" i="12"/>
  <c r="Q181" i="12"/>
  <c r="M142" i="12"/>
  <c r="Y142" i="12"/>
  <c r="Q142" i="12"/>
  <c r="M179" i="12"/>
  <c r="Y179" i="12"/>
  <c r="Q179" i="12"/>
  <c r="M141" i="12"/>
  <c r="Y141" i="12"/>
  <c r="Q141" i="12"/>
  <c r="M294" i="12"/>
  <c r="Y294" i="12"/>
  <c r="Q294" i="12"/>
  <c r="M66" i="12"/>
  <c r="Y66" i="12"/>
  <c r="Q66" i="12"/>
  <c r="M128" i="12"/>
  <c r="Y128" i="12"/>
  <c r="Q128" i="12"/>
  <c r="M132" i="12"/>
  <c r="Y132" i="12"/>
  <c r="Q132" i="12"/>
  <c r="M140" i="12"/>
  <c r="Y140" i="12"/>
  <c r="Q140" i="12"/>
  <c r="M84" i="12"/>
  <c r="Y84" i="12"/>
  <c r="Q84" i="12"/>
  <c r="M62" i="12"/>
  <c r="Y62" i="12"/>
  <c r="Q62" i="12"/>
  <c r="M124" i="12"/>
  <c r="Y124" i="12"/>
  <c r="Q124" i="12"/>
  <c r="M299" i="12"/>
  <c r="Y299" i="12"/>
  <c r="Q299" i="12"/>
  <c r="M177" i="12"/>
  <c r="Y177" i="12"/>
  <c r="Q177" i="12"/>
  <c r="M70" i="12"/>
  <c r="Y70" i="12"/>
  <c r="Q70" i="12"/>
  <c r="M292" i="12"/>
  <c r="Y292" i="12"/>
  <c r="Q292" i="12"/>
  <c r="M59" i="12"/>
  <c r="Y59" i="12"/>
  <c r="Q59" i="12"/>
  <c r="M61" i="12"/>
  <c r="Y61" i="12"/>
  <c r="Q61" i="12"/>
  <c r="M168" i="12"/>
  <c r="Y168" i="12"/>
  <c r="Q168" i="12"/>
  <c r="M187" i="12"/>
  <c r="Y187" i="12"/>
  <c r="Q187" i="12"/>
  <c r="M211" i="12"/>
  <c r="Y211" i="12"/>
  <c r="Q211" i="12"/>
  <c r="C42" i="6"/>
  <c r="E1" i="6"/>
  <c r="E42" i="6"/>
  <c r="F1" i="6"/>
  <c r="F42" i="6"/>
  <c r="G1" i="6"/>
  <c r="G42" i="6"/>
  <c r="H1" i="6"/>
  <c r="H42" i="6"/>
  <c r="I1" i="6"/>
  <c r="I42" i="6"/>
  <c r="J1" i="6"/>
  <c r="J42" i="6"/>
  <c r="K1" i="6"/>
  <c r="K42" i="6"/>
  <c r="L1" i="6"/>
  <c r="L42" i="6"/>
  <c r="M1" i="6"/>
  <c r="M42" i="6"/>
  <c r="N1" i="6"/>
  <c r="N42" i="6"/>
  <c r="O1" i="6"/>
  <c r="O42" i="6"/>
  <c r="P1" i="6"/>
  <c r="P42" i="6"/>
  <c r="Q1" i="6"/>
  <c r="Q42" i="6"/>
  <c r="R1" i="6"/>
  <c r="R42" i="6"/>
  <c r="S1" i="6"/>
  <c r="S42" i="6"/>
  <c r="T1" i="6"/>
  <c r="T42" i="6"/>
  <c r="U1" i="6"/>
  <c r="U42" i="6"/>
  <c r="V1" i="6"/>
  <c r="V42" i="6"/>
  <c r="W1" i="6"/>
  <c r="W42" i="6"/>
  <c r="X1" i="6"/>
  <c r="X42" i="6"/>
  <c r="Y1" i="6"/>
  <c r="Y42" i="6"/>
  <c r="Z1" i="6"/>
  <c r="Z42" i="6"/>
  <c r="AA1" i="6"/>
  <c r="AA42" i="6"/>
  <c r="AB1" i="6"/>
  <c r="AB42" i="6"/>
  <c r="AC1" i="6"/>
  <c r="AC42" i="6"/>
  <c r="AD1" i="6"/>
  <c r="AD42" i="6"/>
  <c r="AE1" i="6"/>
  <c r="AE42" i="6"/>
  <c r="AF1" i="6"/>
  <c r="AF42" i="6"/>
  <c r="AG1" i="6"/>
  <c r="AG42" i="6"/>
  <c r="AH1" i="6"/>
  <c r="AH42" i="6"/>
  <c r="AI1" i="6"/>
  <c r="AI42" i="6"/>
  <c r="AJ1" i="6"/>
  <c r="AJ42" i="6"/>
  <c r="AK1" i="6"/>
  <c r="AK42" i="6"/>
  <c r="AL1" i="6"/>
  <c r="AL42" i="6"/>
  <c r="AM1" i="6"/>
  <c r="AM42" i="6"/>
  <c r="AN1" i="6"/>
  <c r="AN42" i="6"/>
  <c r="AO1" i="6"/>
  <c r="AO42" i="6"/>
  <c r="AP1" i="6"/>
  <c r="AP42" i="6"/>
  <c r="AQ1" i="6"/>
  <c r="AQ42" i="6"/>
  <c r="AR1" i="6"/>
  <c r="AR42" i="6"/>
  <c r="AS1" i="6"/>
  <c r="AS42" i="6"/>
  <c r="AT1" i="6"/>
  <c r="AT42" i="6"/>
  <c r="AU1" i="6"/>
  <c r="AU42" i="6"/>
  <c r="AV1" i="6"/>
  <c r="AV42" i="6"/>
  <c r="AW1" i="6"/>
  <c r="AW42" i="6"/>
  <c r="AX1" i="6"/>
  <c r="AX42" i="6"/>
  <c r="AY1" i="6"/>
  <c r="AY42" i="6"/>
  <c r="AZ1" i="6"/>
  <c r="AZ42" i="6"/>
  <c r="BA1" i="6"/>
  <c r="BA42" i="6"/>
  <c r="D1" i="6"/>
  <c r="D42" i="6"/>
  <c r="E22" i="6"/>
  <c r="F22" i="6"/>
  <c r="G22" i="6"/>
  <c r="H22" i="6"/>
  <c r="I22" i="6"/>
  <c r="J22" i="6"/>
  <c r="K22" i="6"/>
  <c r="L22" i="6"/>
  <c r="M22" i="6"/>
  <c r="N22" i="6"/>
  <c r="O22" i="6"/>
  <c r="P22" i="6"/>
  <c r="Q22" i="6"/>
  <c r="R22" i="6"/>
  <c r="S22" i="6"/>
  <c r="T22" i="6"/>
  <c r="U22" i="6"/>
  <c r="V22" i="6"/>
  <c r="W22" i="6"/>
  <c r="X22" i="6"/>
  <c r="Y22" i="6"/>
  <c r="Z22" i="6"/>
  <c r="AA22" i="6"/>
  <c r="AB22" i="6"/>
  <c r="AC22" i="6"/>
  <c r="AD22" i="6"/>
  <c r="AE22" i="6"/>
  <c r="AF22" i="6"/>
  <c r="AG22" i="6"/>
  <c r="AH22" i="6"/>
  <c r="AI22" i="6"/>
  <c r="AJ22" i="6"/>
  <c r="AK22" i="6"/>
  <c r="AL22" i="6"/>
  <c r="AM22" i="6"/>
  <c r="AN22" i="6"/>
  <c r="AO22" i="6"/>
  <c r="AP22" i="6"/>
  <c r="AQ22" i="6"/>
  <c r="AR22" i="6"/>
  <c r="AS22" i="6"/>
  <c r="AT22" i="6"/>
  <c r="AU22" i="6"/>
  <c r="AV22" i="6"/>
  <c r="AW22" i="6"/>
  <c r="AX22" i="6"/>
  <c r="AY22" i="6"/>
  <c r="AZ22" i="6"/>
  <c r="BA22" i="6"/>
  <c r="D22" i="6"/>
  <c r="D20" i="6"/>
  <c r="E20" i="6"/>
  <c r="F20" i="6"/>
  <c r="G20" i="6"/>
  <c r="H20" i="6"/>
  <c r="I20" i="6"/>
  <c r="J20" i="6"/>
  <c r="K20" i="6"/>
  <c r="L20" i="6"/>
  <c r="M20" i="6"/>
  <c r="N20" i="6"/>
  <c r="O20" i="6"/>
  <c r="P20" i="6"/>
  <c r="Q20" i="6"/>
  <c r="R20" i="6"/>
  <c r="S20" i="6"/>
  <c r="T20" i="6"/>
  <c r="U20" i="6"/>
  <c r="V20" i="6"/>
  <c r="W20" i="6"/>
  <c r="X20" i="6"/>
  <c r="Y20" i="6"/>
  <c r="Z20" i="6"/>
  <c r="AA20" i="6"/>
  <c r="AB20" i="6"/>
  <c r="AC20" i="6"/>
  <c r="AD20" i="6"/>
  <c r="AE20" i="6"/>
  <c r="AF20" i="6"/>
  <c r="AG20" i="6"/>
  <c r="AH20" i="6"/>
  <c r="AI20" i="6"/>
  <c r="AJ20" i="6"/>
  <c r="AK20" i="6"/>
  <c r="AL20" i="6"/>
  <c r="AM20" i="6"/>
  <c r="AN20" i="6"/>
  <c r="AO20" i="6"/>
  <c r="AP20" i="6"/>
  <c r="AQ20" i="6"/>
  <c r="AR20" i="6"/>
  <c r="AS20" i="6"/>
  <c r="AT20" i="6"/>
  <c r="AU20" i="6"/>
  <c r="AV20" i="6"/>
  <c r="AW20" i="6"/>
  <c r="AX20" i="6"/>
  <c r="AY20" i="6"/>
  <c r="AZ20" i="6"/>
  <c r="BA20" i="6"/>
  <c r="C22" i="6"/>
  <c r="M5" i="12"/>
  <c r="Y5" i="12"/>
  <c r="Q5" i="12"/>
  <c r="M6" i="12"/>
  <c r="Y6" i="12"/>
  <c r="Q6" i="12"/>
  <c r="M7" i="12"/>
  <c r="Y7" i="12"/>
  <c r="Q7" i="12"/>
  <c r="M8" i="12"/>
  <c r="Y8" i="12"/>
  <c r="Q8" i="12"/>
  <c r="M9" i="12"/>
  <c r="Y9" i="12"/>
  <c r="Q9" i="12"/>
  <c r="M10" i="12"/>
  <c r="Y10" i="12"/>
  <c r="Q10" i="12"/>
  <c r="M11" i="12"/>
  <c r="Y11" i="12"/>
  <c r="Q11" i="12"/>
  <c r="M12" i="12"/>
  <c r="Y12" i="12"/>
  <c r="Q12" i="12"/>
  <c r="M13" i="12"/>
  <c r="Y13" i="12"/>
  <c r="Q13" i="12"/>
  <c r="M14" i="12"/>
  <c r="Y14" i="12"/>
  <c r="Q14" i="12"/>
  <c r="M15" i="12"/>
  <c r="Y15" i="12"/>
  <c r="Q15" i="12"/>
  <c r="M16" i="12"/>
  <c r="Y16" i="12"/>
  <c r="Q16" i="12"/>
  <c r="M17" i="12"/>
  <c r="Y17" i="12"/>
  <c r="Q17" i="12"/>
  <c r="M18" i="12"/>
  <c r="Y18" i="12"/>
  <c r="Q18" i="12"/>
  <c r="M19" i="12"/>
  <c r="Y19" i="12"/>
  <c r="Q19" i="12"/>
  <c r="M20" i="12"/>
  <c r="Y20" i="12"/>
  <c r="Q20" i="12"/>
  <c r="M21" i="12"/>
  <c r="Y21" i="12"/>
  <c r="Q21" i="12"/>
  <c r="M22" i="12"/>
  <c r="Y22" i="12"/>
  <c r="Q22" i="12"/>
  <c r="M23" i="12"/>
  <c r="Y23" i="12"/>
  <c r="Q23" i="12"/>
  <c r="M24" i="12"/>
  <c r="Y24" i="12"/>
  <c r="Q24" i="12"/>
  <c r="M25" i="12"/>
  <c r="Y25" i="12"/>
  <c r="Q25" i="12"/>
  <c r="M27" i="12"/>
  <c r="Y27" i="12"/>
  <c r="Q27" i="12"/>
  <c r="M28" i="12"/>
  <c r="Y28" i="12"/>
  <c r="Q28" i="12"/>
  <c r="M29" i="12"/>
  <c r="Y29" i="12"/>
  <c r="Q29" i="12"/>
  <c r="M30" i="12"/>
  <c r="Y30" i="12"/>
  <c r="Q30" i="12"/>
  <c r="M31" i="12"/>
  <c r="Y31" i="12"/>
  <c r="Q31" i="12"/>
  <c r="M32" i="12"/>
  <c r="Y32" i="12"/>
  <c r="Q32" i="12"/>
  <c r="M33" i="12"/>
  <c r="Y33" i="12"/>
  <c r="Q33" i="12"/>
  <c r="M34" i="12"/>
  <c r="Y34" i="12"/>
  <c r="Q34" i="12"/>
  <c r="M35" i="12"/>
  <c r="Y35" i="12"/>
  <c r="Q35" i="12"/>
  <c r="M36" i="12"/>
  <c r="Y36" i="12"/>
  <c r="Q36" i="12"/>
  <c r="M37" i="12"/>
  <c r="Y37" i="12"/>
  <c r="Q37" i="12"/>
  <c r="M38" i="12"/>
  <c r="Y38" i="12"/>
  <c r="Q38" i="12"/>
  <c r="M39" i="12"/>
  <c r="Y39" i="12"/>
  <c r="Q39" i="12"/>
  <c r="M40" i="12"/>
  <c r="Y40" i="12"/>
  <c r="Q40" i="12"/>
  <c r="M41" i="12"/>
  <c r="Y41" i="12"/>
  <c r="Q41" i="12"/>
  <c r="M42" i="12"/>
  <c r="Y42" i="12"/>
  <c r="Q42" i="12"/>
  <c r="M43" i="12"/>
  <c r="Y43" i="12"/>
  <c r="Q43" i="12"/>
  <c r="M44" i="12"/>
  <c r="Y44" i="12"/>
  <c r="Q44" i="12"/>
  <c r="M45" i="12"/>
  <c r="Y45" i="12"/>
  <c r="Q45" i="12"/>
  <c r="M46" i="12"/>
  <c r="Y46" i="12"/>
  <c r="Q46" i="12"/>
  <c r="M47" i="12"/>
  <c r="Y47" i="12"/>
  <c r="Q47" i="12"/>
  <c r="M48" i="12"/>
  <c r="Y48" i="12"/>
  <c r="Q48" i="12"/>
  <c r="M49" i="12"/>
  <c r="Y49" i="12"/>
  <c r="Q49" i="12"/>
  <c r="M50" i="12"/>
  <c r="Y50" i="12"/>
  <c r="Q50" i="12"/>
  <c r="M51" i="12"/>
  <c r="Y51" i="12"/>
  <c r="Q51" i="12"/>
  <c r="M52" i="12"/>
  <c r="Y52" i="12"/>
  <c r="Q52" i="12"/>
  <c r="M53" i="12"/>
  <c r="Y53" i="12"/>
  <c r="Q53" i="12"/>
  <c r="M54" i="12"/>
  <c r="Y54" i="12"/>
  <c r="Q54" i="12"/>
  <c r="M55" i="12"/>
  <c r="Y55" i="12"/>
  <c r="Q55" i="12"/>
  <c r="M56" i="12"/>
  <c r="Y56" i="12"/>
  <c r="Q56" i="12"/>
  <c r="M57" i="12"/>
  <c r="Y57" i="12"/>
  <c r="Q57" i="12"/>
  <c r="M58" i="12"/>
  <c r="Y58" i="12"/>
  <c r="Q58" i="12"/>
  <c r="M60" i="12"/>
  <c r="Y60" i="12"/>
  <c r="Q60" i="12"/>
  <c r="M63" i="12"/>
  <c r="Y63" i="12"/>
  <c r="Q63" i="12"/>
  <c r="M64" i="12"/>
  <c r="Y64" i="12"/>
  <c r="Q64" i="12"/>
  <c r="M65" i="12"/>
  <c r="Y65" i="12"/>
  <c r="Q65" i="12"/>
  <c r="M71" i="12"/>
  <c r="Y71" i="12"/>
  <c r="Q71" i="12"/>
  <c r="M77" i="12"/>
  <c r="Y77" i="12"/>
  <c r="Q77" i="12"/>
  <c r="M81" i="12"/>
  <c r="Y81" i="12"/>
  <c r="Q81" i="12"/>
  <c r="M82" i="12"/>
  <c r="Y82" i="12"/>
  <c r="Q82" i="12"/>
  <c r="M83" i="12"/>
  <c r="Y83" i="12"/>
  <c r="Q83" i="12"/>
  <c r="M85" i="12"/>
  <c r="Y85" i="12"/>
  <c r="Q85" i="12"/>
  <c r="M86" i="12"/>
  <c r="Y86" i="12"/>
  <c r="Q86" i="12"/>
  <c r="M87" i="12"/>
  <c r="Y87" i="12"/>
  <c r="Q87" i="12"/>
  <c r="M88" i="12"/>
  <c r="Y88" i="12"/>
  <c r="Q88" i="12"/>
  <c r="M89" i="12"/>
  <c r="Y89" i="12"/>
  <c r="Q89" i="12"/>
  <c r="M90" i="12"/>
  <c r="Y90" i="12"/>
  <c r="Q90" i="12"/>
  <c r="M91" i="12"/>
  <c r="Y91" i="12"/>
  <c r="Q91" i="12"/>
  <c r="M92" i="12"/>
  <c r="Y92" i="12"/>
  <c r="Q92" i="12"/>
  <c r="M93" i="12"/>
  <c r="Y93" i="12"/>
  <c r="Q93" i="12"/>
  <c r="M94" i="12"/>
  <c r="Y94" i="12"/>
  <c r="Q94" i="12"/>
  <c r="M95" i="12"/>
  <c r="Y95" i="12"/>
  <c r="Q95" i="12"/>
  <c r="M96" i="12"/>
  <c r="Y96" i="12"/>
  <c r="Q96" i="12"/>
  <c r="M97" i="12"/>
  <c r="Y97" i="12"/>
  <c r="Q97" i="12"/>
  <c r="M98" i="12"/>
  <c r="Y98" i="12"/>
  <c r="Q98" i="12"/>
  <c r="M99" i="12"/>
  <c r="Y99" i="12"/>
  <c r="Q99" i="12"/>
  <c r="M100" i="12"/>
  <c r="Y100" i="12"/>
  <c r="Q100" i="12"/>
  <c r="M101" i="12"/>
  <c r="Y101" i="12"/>
  <c r="Q101" i="12"/>
  <c r="M102" i="12"/>
  <c r="Y102" i="12"/>
  <c r="Q102" i="12"/>
  <c r="M103" i="12"/>
  <c r="Y103" i="12"/>
  <c r="Q103" i="12"/>
  <c r="M104" i="12"/>
  <c r="Y104" i="12"/>
  <c r="Q104" i="12"/>
  <c r="M105" i="12"/>
  <c r="Y105" i="12"/>
  <c r="Q105" i="12"/>
  <c r="M106" i="12"/>
  <c r="Y106" i="12"/>
  <c r="Q106" i="12"/>
  <c r="M107" i="12"/>
  <c r="Y107" i="12"/>
  <c r="Q107" i="12"/>
  <c r="M108" i="12"/>
  <c r="Y108" i="12"/>
  <c r="Q108" i="12"/>
  <c r="M109" i="12"/>
  <c r="Y109" i="12"/>
  <c r="Q109" i="12"/>
  <c r="M110" i="12"/>
  <c r="Y110" i="12"/>
  <c r="Q110" i="12"/>
  <c r="M111" i="12"/>
  <c r="Y111" i="12"/>
  <c r="Q111" i="12"/>
  <c r="M112" i="12"/>
  <c r="Y112" i="12"/>
  <c r="Q112" i="12"/>
  <c r="M113" i="12"/>
  <c r="Y113" i="12"/>
  <c r="Q113" i="12"/>
  <c r="M114" i="12"/>
  <c r="Y114" i="12"/>
  <c r="Q114" i="12"/>
  <c r="M115" i="12"/>
  <c r="Y115" i="12"/>
  <c r="Q115" i="12"/>
  <c r="M116" i="12"/>
  <c r="Y116" i="12"/>
  <c r="Q116" i="12"/>
  <c r="M117" i="12"/>
  <c r="Y117" i="12"/>
  <c r="Q117" i="12"/>
  <c r="M118" i="12"/>
  <c r="Y118" i="12"/>
  <c r="Q118" i="12"/>
  <c r="M119" i="12"/>
  <c r="Y119" i="12"/>
  <c r="Q119" i="12"/>
  <c r="M120" i="12"/>
  <c r="Y120" i="12"/>
  <c r="Q120" i="12"/>
  <c r="M121" i="12"/>
  <c r="Y121" i="12"/>
  <c r="Q121" i="12"/>
  <c r="M122" i="12"/>
  <c r="Y122" i="12"/>
  <c r="Q122" i="12"/>
  <c r="M123" i="12"/>
  <c r="Y123" i="12"/>
  <c r="Q123" i="12"/>
  <c r="M125" i="12"/>
  <c r="Y125" i="12"/>
  <c r="Q125" i="12"/>
  <c r="M126" i="12"/>
  <c r="Y126" i="12"/>
  <c r="Q126" i="12"/>
  <c r="M127" i="12"/>
  <c r="Y127" i="12"/>
  <c r="Q127" i="12"/>
  <c r="M129" i="12"/>
  <c r="Y129" i="12"/>
  <c r="Q129" i="12"/>
  <c r="M130" i="12"/>
  <c r="Y130" i="12"/>
  <c r="Q130" i="12"/>
  <c r="M131" i="12"/>
  <c r="Y131" i="12"/>
  <c r="Q131" i="12"/>
  <c r="M133" i="12"/>
  <c r="Y133" i="12"/>
  <c r="Q133" i="12"/>
  <c r="M134" i="12"/>
  <c r="Y134" i="12"/>
  <c r="Q134" i="12"/>
  <c r="M135" i="12"/>
  <c r="Y135" i="12"/>
  <c r="Q135" i="12"/>
  <c r="M136" i="12"/>
  <c r="Y136" i="12"/>
  <c r="Q136" i="12"/>
  <c r="M137" i="12"/>
  <c r="Y137" i="12"/>
  <c r="Q137" i="12"/>
  <c r="M138" i="12"/>
  <c r="Y138" i="12"/>
  <c r="Q138" i="12"/>
  <c r="M139" i="12"/>
  <c r="Y139" i="12"/>
  <c r="Q139" i="12"/>
  <c r="M143" i="12"/>
  <c r="Y143" i="12"/>
  <c r="Q143" i="12"/>
  <c r="M144" i="12"/>
  <c r="Y144" i="12"/>
  <c r="Q144" i="12"/>
  <c r="M145" i="12"/>
  <c r="Y145" i="12"/>
  <c r="Q145" i="12"/>
  <c r="M146" i="12"/>
  <c r="Y146" i="12"/>
  <c r="Q146" i="12"/>
  <c r="M147" i="12"/>
  <c r="Y147" i="12"/>
  <c r="Q147" i="12"/>
  <c r="M148" i="12"/>
  <c r="Y148" i="12"/>
  <c r="Q148" i="12"/>
  <c r="M149" i="12"/>
  <c r="Y149" i="12"/>
  <c r="Q149" i="12"/>
  <c r="M150" i="12"/>
  <c r="Y150" i="12"/>
  <c r="Q150" i="12"/>
  <c r="M151" i="12"/>
  <c r="Y151" i="12"/>
  <c r="Q151" i="12"/>
  <c r="M152" i="12"/>
  <c r="Y152" i="12"/>
  <c r="Q152" i="12"/>
  <c r="M153" i="12"/>
  <c r="Y153" i="12"/>
  <c r="Q153" i="12"/>
  <c r="M154" i="12"/>
  <c r="Y154" i="12"/>
  <c r="Q154" i="12"/>
  <c r="M155" i="12"/>
  <c r="Y155" i="12"/>
  <c r="Q155" i="12"/>
  <c r="M156" i="12"/>
  <c r="Y156" i="12"/>
  <c r="Q156" i="12"/>
  <c r="M157" i="12"/>
  <c r="Y157" i="12"/>
  <c r="Q157" i="12"/>
  <c r="M158" i="12"/>
  <c r="Y158" i="12"/>
  <c r="Q158" i="12"/>
  <c r="M159" i="12"/>
  <c r="Y159" i="12"/>
  <c r="Q159" i="12"/>
  <c r="M160" i="12"/>
  <c r="Y160" i="12"/>
  <c r="Q160" i="12"/>
  <c r="M161" i="12"/>
  <c r="Y161" i="12"/>
  <c r="Q161" i="12"/>
  <c r="M162" i="12"/>
  <c r="Y162" i="12"/>
  <c r="Q162" i="12"/>
  <c r="M163" i="12"/>
  <c r="Y163" i="12"/>
  <c r="Q163" i="12"/>
  <c r="M164" i="12"/>
  <c r="Y164" i="12"/>
  <c r="Q164" i="12"/>
  <c r="M165" i="12"/>
  <c r="Y165" i="12"/>
  <c r="Q165" i="12"/>
  <c r="M166" i="12"/>
  <c r="Y166" i="12"/>
  <c r="Q166" i="12"/>
  <c r="M167" i="12"/>
  <c r="Y167" i="12"/>
  <c r="Q167" i="12"/>
  <c r="M169" i="12"/>
  <c r="Y169" i="12"/>
  <c r="Q169" i="12"/>
  <c r="M170" i="12"/>
  <c r="Y170" i="12"/>
  <c r="Q170" i="12"/>
  <c r="M171" i="12"/>
  <c r="Y171" i="12"/>
  <c r="Q171" i="12"/>
  <c r="M172" i="12"/>
  <c r="Y172" i="12"/>
  <c r="Q172" i="12"/>
  <c r="M173" i="12"/>
  <c r="Y173" i="12"/>
  <c r="Q173" i="12"/>
  <c r="M174" i="12"/>
  <c r="Y174" i="12"/>
  <c r="Q174" i="12"/>
  <c r="M175" i="12"/>
  <c r="Y175" i="12"/>
  <c r="Q175" i="12"/>
  <c r="M176" i="12"/>
  <c r="Y176" i="12"/>
  <c r="Q176" i="12"/>
  <c r="M178" i="12"/>
  <c r="Y178" i="12"/>
  <c r="Q178" i="12"/>
  <c r="M180" i="12"/>
  <c r="Y180" i="12"/>
  <c r="Q180" i="12"/>
  <c r="M182" i="12"/>
  <c r="Y182" i="12"/>
  <c r="Q182" i="12"/>
  <c r="M183" i="12"/>
  <c r="Y183" i="12"/>
  <c r="Q183" i="12"/>
  <c r="M184" i="12"/>
  <c r="Y184" i="12"/>
  <c r="Q184" i="12"/>
  <c r="M185" i="12"/>
  <c r="Y185" i="12"/>
  <c r="Q185" i="12"/>
  <c r="M186" i="12"/>
  <c r="Y186" i="12"/>
  <c r="Q186" i="12"/>
  <c r="M188" i="12"/>
  <c r="Y188" i="12"/>
  <c r="Q188" i="12"/>
  <c r="M189" i="12"/>
  <c r="Y189" i="12"/>
  <c r="Q189" i="12"/>
  <c r="M190" i="12"/>
  <c r="Y190" i="12"/>
  <c r="Q190" i="12"/>
  <c r="M191" i="12"/>
  <c r="Y191" i="12"/>
  <c r="Q191" i="12"/>
  <c r="M192" i="12"/>
  <c r="Y192" i="12"/>
  <c r="Q192" i="12"/>
  <c r="M193" i="12"/>
  <c r="Y193" i="12"/>
  <c r="Q193" i="12"/>
  <c r="M194" i="12"/>
  <c r="Y194" i="12"/>
  <c r="Q194" i="12"/>
  <c r="M195" i="12"/>
  <c r="Y195" i="12"/>
  <c r="Q195" i="12"/>
  <c r="M196" i="12"/>
  <c r="Y196" i="12"/>
  <c r="Q196" i="12"/>
  <c r="M197" i="12"/>
  <c r="Y197" i="12"/>
  <c r="Q197" i="12"/>
  <c r="M198" i="12"/>
  <c r="Y198" i="12"/>
  <c r="Q198" i="12"/>
  <c r="M199" i="12"/>
  <c r="Y199" i="12"/>
  <c r="Q199" i="12"/>
  <c r="M200" i="12"/>
  <c r="Y200" i="12"/>
  <c r="Q200" i="12"/>
  <c r="M201" i="12"/>
  <c r="Y201" i="12"/>
  <c r="Q201" i="12"/>
  <c r="M202" i="12"/>
  <c r="Y202" i="12"/>
  <c r="Q202" i="12"/>
  <c r="M203" i="12"/>
  <c r="Y203" i="12"/>
  <c r="Q203" i="12"/>
  <c r="M204" i="12"/>
  <c r="Y204" i="12"/>
  <c r="Q204" i="12"/>
  <c r="M205" i="12"/>
  <c r="Y205" i="12"/>
  <c r="Q205" i="12"/>
  <c r="M206" i="12"/>
  <c r="Y206" i="12"/>
  <c r="Q206" i="12"/>
  <c r="M207" i="12"/>
  <c r="Y207" i="12"/>
  <c r="Q207" i="12"/>
  <c r="M208" i="12"/>
  <c r="Y208" i="12"/>
  <c r="Q208" i="12"/>
  <c r="M209" i="12"/>
  <c r="Y209" i="12"/>
  <c r="Q209" i="12"/>
  <c r="M210" i="12"/>
  <c r="Y210" i="12"/>
  <c r="Q210" i="12"/>
  <c r="M212" i="12"/>
  <c r="Y212" i="12"/>
  <c r="Q212" i="12"/>
  <c r="M213" i="12"/>
  <c r="Y213" i="12"/>
  <c r="Q213" i="12"/>
  <c r="M214" i="12"/>
  <c r="Y214" i="12"/>
  <c r="Q214" i="12"/>
  <c r="M215" i="12"/>
  <c r="Y215" i="12"/>
  <c r="Q215" i="12"/>
  <c r="M216" i="12"/>
  <c r="Y216" i="12"/>
  <c r="Q216" i="12"/>
  <c r="M217" i="12"/>
  <c r="Y217" i="12"/>
  <c r="Q217" i="12"/>
  <c r="M218" i="12"/>
  <c r="Y218" i="12"/>
  <c r="Q218" i="12"/>
  <c r="M219" i="12"/>
  <c r="Y219" i="12"/>
  <c r="Q219" i="12"/>
  <c r="M220" i="12"/>
  <c r="Y220" i="12"/>
  <c r="Q220" i="12"/>
  <c r="M221" i="12"/>
  <c r="Y221" i="12"/>
  <c r="Q221" i="12"/>
  <c r="M222" i="12"/>
  <c r="Y222" i="12"/>
  <c r="Q222" i="12"/>
  <c r="M223" i="12"/>
  <c r="Y223" i="12"/>
  <c r="Q223" i="12"/>
  <c r="M224" i="12"/>
  <c r="Y224" i="12"/>
  <c r="Q224" i="12"/>
  <c r="M225" i="12"/>
  <c r="Y225" i="12"/>
  <c r="Q225" i="12"/>
  <c r="M226" i="12"/>
  <c r="Y226" i="12"/>
  <c r="Q226" i="12"/>
  <c r="M227" i="12"/>
  <c r="Y227" i="12"/>
  <c r="Q227" i="12"/>
  <c r="M228" i="12"/>
  <c r="Y228" i="12"/>
  <c r="Q228" i="12"/>
  <c r="M229" i="12"/>
  <c r="Y229" i="12"/>
  <c r="Q229" i="12"/>
  <c r="M230" i="12"/>
  <c r="Y230" i="12"/>
  <c r="Q230" i="12"/>
  <c r="M231" i="12"/>
  <c r="Y231" i="12"/>
  <c r="Q231" i="12"/>
  <c r="M232" i="12"/>
  <c r="Y232" i="12"/>
  <c r="Q232" i="12"/>
  <c r="M233" i="12"/>
  <c r="Y233" i="12"/>
  <c r="Q233" i="12"/>
  <c r="M234" i="12"/>
  <c r="Y234" i="12"/>
  <c r="Q234" i="12"/>
  <c r="M235" i="12"/>
  <c r="Y235" i="12"/>
  <c r="Q235" i="12"/>
  <c r="M236" i="12"/>
  <c r="Y236" i="12"/>
  <c r="Q236" i="12"/>
  <c r="M237" i="12"/>
  <c r="Y237" i="12"/>
  <c r="Q237" i="12"/>
  <c r="M238" i="12"/>
  <c r="Y238" i="12"/>
  <c r="Q238" i="12"/>
  <c r="M239" i="12"/>
  <c r="Y239" i="12"/>
  <c r="Q239" i="12"/>
  <c r="M240" i="12"/>
  <c r="Y240" i="12"/>
  <c r="Q240" i="12"/>
  <c r="M241" i="12"/>
  <c r="Y241" i="12"/>
  <c r="Q241" i="12"/>
  <c r="M242" i="12"/>
  <c r="Y242" i="12"/>
  <c r="Q242" i="12"/>
  <c r="M243" i="12"/>
  <c r="Y243" i="12"/>
  <c r="Q243" i="12"/>
  <c r="M244" i="12"/>
  <c r="Y244" i="12"/>
  <c r="Q244" i="12"/>
  <c r="M245" i="12"/>
  <c r="Y245" i="12"/>
  <c r="Q245" i="12"/>
  <c r="M246" i="12"/>
  <c r="Y246" i="12"/>
  <c r="Q246" i="12"/>
  <c r="M247" i="12"/>
  <c r="Y247" i="12"/>
  <c r="Q247" i="12"/>
  <c r="M248" i="12"/>
  <c r="Y248" i="12"/>
  <c r="Q248" i="12"/>
  <c r="M249" i="12"/>
  <c r="Y249" i="12"/>
  <c r="Q249" i="12"/>
  <c r="M250" i="12"/>
  <c r="Y250" i="12"/>
  <c r="Q250" i="12"/>
  <c r="M251" i="12"/>
  <c r="Y251" i="12"/>
  <c r="Q251" i="12"/>
  <c r="M252" i="12"/>
  <c r="Y252" i="12"/>
  <c r="Q252" i="12"/>
  <c r="M254" i="12"/>
  <c r="Y254" i="12"/>
  <c r="Q254" i="12"/>
  <c r="M255" i="12"/>
  <c r="Y255" i="12"/>
  <c r="Q255" i="12"/>
  <c r="M256" i="12"/>
  <c r="Y256" i="12"/>
  <c r="Q256" i="12"/>
  <c r="M257" i="12"/>
  <c r="Y257" i="12"/>
  <c r="Q257" i="12"/>
  <c r="M258" i="12"/>
  <c r="Y258" i="12"/>
  <c r="Q258" i="12"/>
  <c r="M259" i="12"/>
  <c r="Y259" i="12"/>
  <c r="Q259" i="12"/>
  <c r="M260" i="12"/>
  <c r="Y260" i="12"/>
  <c r="Q260" i="12"/>
  <c r="M261" i="12"/>
  <c r="Y261" i="12"/>
  <c r="Q261" i="12"/>
  <c r="M262" i="12"/>
  <c r="Y262" i="12"/>
  <c r="Q262" i="12"/>
  <c r="M263" i="12"/>
  <c r="Y263" i="12"/>
  <c r="Q263" i="12"/>
  <c r="M264" i="12"/>
  <c r="Y264" i="12"/>
  <c r="Q264" i="12"/>
  <c r="M265" i="12"/>
  <c r="Y265" i="12"/>
  <c r="Q265" i="12"/>
  <c r="M266" i="12"/>
  <c r="Y266" i="12"/>
  <c r="Q266" i="12"/>
  <c r="M267" i="12"/>
  <c r="Y267" i="12"/>
  <c r="Q267" i="12"/>
  <c r="M268" i="12"/>
  <c r="Y268" i="12"/>
  <c r="Q268" i="12"/>
  <c r="M269" i="12"/>
  <c r="Y269" i="12"/>
  <c r="Q269" i="12"/>
  <c r="M270" i="12"/>
  <c r="Y270" i="12"/>
  <c r="Q270" i="12"/>
  <c r="M271" i="12"/>
  <c r="Y271" i="12"/>
  <c r="Q271" i="12"/>
  <c r="M272" i="12"/>
  <c r="Y272" i="12"/>
  <c r="Q272" i="12"/>
  <c r="M273" i="12"/>
  <c r="Y273" i="12"/>
  <c r="Q273" i="12"/>
  <c r="M274" i="12"/>
  <c r="Y274" i="12"/>
  <c r="Q274" i="12"/>
  <c r="M275" i="12"/>
  <c r="Y275" i="12"/>
  <c r="Q275" i="12"/>
  <c r="M276" i="12"/>
  <c r="Y276" i="12"/>
  <c r="Q276" i="12"/>
  <c r="M279" i="12"/>
  <c r="Y279" i="12"/>
  <c r="Q279" i="12"/>
  <c r="M280" i="12"/>
  <c r="Y280" i="12"/>
  <c r="Q280" i="12"/>
  <c r="M281" i="12"/>
  <c r="Y281" i="12"/>
  <c r="Q281" i="12"/>
  <c r="M282" i="12"/>
  <c r="Y282" i="12"/>
  <c r="Q282" i="12"/>
  <c r="M283" i="12"/>
  <c r="Y283" i="12"/>
  <c r="Q283" i="12"/>
  <c r="M284" i="12"/>
  <c r="Y284" i="12"/>
  <c r="Q284" i="12"/>
  <c r="M285" i="12"/>
  <c r="Y285" i="12"/>
  <c r="Q285" i="12"/>
  <c r="M286" i="12"/>
  <c r="Y286" i="12"/>
  <c r="Q286" i="12"/>
  <c r="M287" i="12"/>
  <c r="Y287" i="12"/>
  <c r="Q287" i="12"/>
  <c r="M288" i="12"/>
  <c r="Y288" i="12"/>
  <c r="Q288" i="12"/>
  <c r="M289" i="12"/>
  <c r="Y289" i="12"/>
  <c r="Q289" i="12"/>
  <c r="M290" i="12"/>
  <c r="Y290" i="12"/>
  <c r="Q290" i="12"/>
  <c r="M291" i="12"/>
  <c r="Y291" i="12"/>
  <c r="Q291" i="12"/>
  <c r="M293" i="12"/>
  <c r="Y293" i="12"/>
  <c r="Q293" i="12"/>
  <c r="M296" i="12"/>
  <c r="Y296" i="12"/>
  <c r="Q296" i="12"/>
  <c r="M297" i="12"/>
  <c r="Y297" i="12"/>
  <c r="Q297" i="12"/>
  <c r="M300" i="12"/>
  <c r="Y300" i="12"/>
  <c r="Q300" i="12"/>
  <c r="M301" i="12"/>
  <c r="Y301" i="12"/>
  <c r="Q301" i="12"/>
  <c r="M302" i="12"/>
  <c r="Y302" i="12"/>
  <c r="Q302" i="12"/>
  <c r="M303" i="12"/>
  <c r="Y303" i="12"/>
  <c r="Q303" i="12"/>
  <c r="M304" i="12"/>
  <c r="Y304" i="12"/>
  <c r="Q304" i="12"/>
  <c r="M305" i="12"/>
  <c r="Y305" i="12"/>
  <c r="Q305" i="12"/>
  <c r="M306" i="12"/>
  <c r="Y306" i="12"/>
  <c r="Q306" i="12"/>
  <c r="M307" i="12"/>
  <c r="Y307" i="12"/>
  <c r="Q307" i="12"/>
  <c r="M308" i="12"/>
  <c r="Y308" i="12"/>
  <c r="Q308" i="12"/>
  <c r="M309" i="12"/>
  <c r="Y309" i="12"/>
  <c r="Q309" i="12"/>
  <c r="M310" i="12"/>
  <c r="Y310" i="12"/>
  <c r="Q310" i="12"/>
  <c r="M311" i="12"/>
  <c r="Y311" i="12"/>
  <c r="Q311" i="12"/>
  <c r="M312" i="12"/>
  <c r="Y312" i="12"/>
  <c r="Q312" i="12"/>
  <c r="M313" i="12"/>
  <c r="Y313" i="12"/>
  <c r="Q313" i="12"/>
  <c r="M314" i="12"/>
  <c r="Y314" i="12"/>
  <c r="Q314" i="12"/>
  <c r="M315" i="12"/>
  <c r="Y315" i="12"/>
  <c r="Q315" i="12"/>
  <c r="M316" i="12"/>
  <c r="Y316" i="12"/>
  <c r="Q316" i="12"/>
  <c r="M317" i="12"/>
  <c r="Y317" i="12"/>
  <c r="Q317" i="12"/>
  <c r="M318" i="12"/>
  <c r="Y318" i="12"/>
  <c r="Q318" i="12"/>
  <c r="M321" i="12"/>
  <c r="Y321" i="12"/>
  <c r="Q321" i="12"/>
  <c r="M4" i="12"/>
  <c r="Y4" i="12"/>
  <c r="Q4" i="12"/>
  <c r="L3" i="2"/>
  <c r="B29" i="11"/>
  <c r="J29" i="11"/>
  <c r="B30" i="11"/>
  <c r="J30" i="11"/>
  <c r="B31" i="11"/>
  <c r="J31" i="11"/>
  <c r="B32" i="11"/>
  <c r="J32" i="11"/>
  <c r="B33" i="11"/>
  <c r="J33" i="11"/>
  <c r="B34" i="11"/>
  <c r="J34" i="11"/>
  <c r="B35" i="11"/>
  <c r="J35" i="11"/>
  <c r="B36" i="11"/>
  <c r="J36" i="11"/>
  <c r="B37" i="11"/>
  <c r="J37" i="11"/>
  <c r="B38" i="11"/>
  <c r="J38" i="11"/>
  <c r="B39" i="11"/>
  <c r="J39" i="11"/>
  <c r="B40" i="11"/>
  <c r="J40" i="11"/>
  <c r="B41" i="11"/>
  <c r="J41" i="11"/>
  <c r="B42" i="11"/>
  <c r="J42" i="11"/>
  <c r="B43" i="11"/>
  <c r="J43" i="11"/>
  <c r="B44" i="11"/>
  <c r="J44" i="11"/>
  <c r="B45" i="11"/>
  <c r="J45" i="11"/>
  <c r="B46" i="11"/>
  <c r="J46" i="11"/>
  <c r="B47" i="11"/>
  <c r="J47" i="11"/>
  <c r="B48" i="11"/>
  <c r="J48" i="11"/>
  <c r="J49" i="11"/>
  <c r="C30" i="11"/>
  <c r="D30" i="11"/>
  <c r="E30" i="11"/>
  <c r="F30" i="11"/>
  <c r="G30" i="11"/>
  <c r="H30" i="11"/>
  <c r="I30" i="11"/>
  <c r="K30" i="11"/>
  <c r="C31" i="11"/>
  <c r="D31" i="11"/>
  <c r="E31" i="11"/>
  <c r="F31" i="11"/>
  <c r="G31" i="11"/>
  <c r="H31" i="11"/>
  <c r="I31" i="11"/>
  <c r="K31" i="11"/>
  <c r="C32" i="11"/>
  <c r="D32" i="11"/>
  <c r="E32" i="11"/>
  <c r="F32" i="11"/>
  <c r="G32" i="11"/>
  <c r="H32" i="11"/>
  <c r="I32" i="11"/>
  <c r="K32" i="11"/>
  <c r="C33" i="11"/>
  <c r="D33" i="11"/>
  <c r="E33" i="11"/>
  <c r="F33" i="11"/>
  <c r="G33" i="11"/>
  <c r="H33" i="11"/>
  <c r="I33" i="11"/>
  <c r="K33" i="11"/>
  <c r="C34" i="11"/>
  <c r="D34" i="11"/>
  <c r="E34" i="11"/>
  <c r="F34" i="11"/>
  <c r="G34" i="11"/>
  <c r="H34" i="11"/>
  <c r="I34" i="11"/>
  <c r="K34" i="11"/>
  <c r="C35" i="11"/>
  <c r="D35" i="11"/>
  <c r="E35" i="11"/>
  <c r="F35" i="11"/>
  <c r="G35" i="11"/>
  <c r="H35" i="11"/>
  <c r="I35" i="11"/>
  <c r="K35" i="11"/>
  <c r="C36" i="11"/>
  <c r="D36" i="11"/>
  <c r="E36" i="11"/>
  <c r="F36" i="11"/>
  <c r="G36" i="11"/>
  <c r="H36" i="11"/>
  <c r="I36" i="11"/>
  <c r="K36" i="11"/>
  <c r="C37" i="11"/>
  <c r="D37" i="11"/>
  <c r="E37" i="11"/>
  <c r="F37" i="11"/>
  <c r="G37" i="11"/>
  <c r="H37" i="11"/>
  <c r="I37" i="11"/>
  <c r="K37" i="11"/>
  <c r="C38" i="11"/>
  <c r="D38" i="11"/>
  <c r="E38" i="11"/>
  <c r="F38" i="11"/>
  <c r="G38" i="11"/>
  <c r="H38" i="11"/>
  <c r="I38" i="11"/>
  <c r="K38" i="11"/>
  <c r="C39" i="11"/>
  <c r="D39" i="11"/>
  <c r="E39" i="11"/>
  <c r="F39" i="11"/>
  <c r="G39" i="11"/>
  <c r="H39" i="11"/>
  <c r="I39" i="11"/>
  <c r="K39" i="11"/>
  <c r="C40" i="11"/>
  <c r="D40" i="11"/>
  <c r="E40" i="11"/>
  <c r="F40" i="11"/>
  <c r="G40" i="11"/>
  <c r="H40" i="11"/>
  <c r="I40" i="11"/>
  <c r="K40" i="11"/>
  <c r="C41" i="11"/>
  <c r="D41" i="11"/>
  <c r="E41" i="11"/>
  <c r="F41" i="11"/>
  <c r="G41" i="11"/>
  <c r="H41" i="11"/>
  <c r="I41" i="11"/>
  <c r="K41" i="11"/>
  <c r="C42" i="11"/>
  <c r="D42" i="11"/>
  <c r="E42" i="11"/>
  <c r="F42" i="11"/>
  <c r="G42" i="11"/>
  <c r="H42" i="11"/>
  <c r="I42" i="11"/>
  <c r="K42" i="11"/>
  <c r="C43" i="11"/>
  <c r="D43" i="11"/>
  <c r="E43" i="11"/>
  <c r="F43" i="11"/>
  <c r="G43" i="11"/>
  <c r="H43" i="11"/>
  <c r="I43" i="11"/>
  <c r="K43" i="11"/>
  <c r="C44" i="11"/>
  <c r="D44" i="11"/>
  <c r="E44" i="11"/>
  <c r="F44" i="11"/>
  <c r="G44" i="11"/>
  <c r="H44" i="11"/>
  <c r="I44" i="11"/>
  <c r="K44" i="11"/>
  <c r="C45" i="11"/>
  <c r="D45" i="11"/>
  <c r="E45" i="11"/>
  <c r="F45" i="11"/>
  <c r="G45" i="11"/>
  <c r="H45" i="11"/>
  <c r="I45" i="11"/>
  <c r="K45" i="11"/>
  <c r="C46" i="11"/>
  <c r="D46" i="11"/>
  <c r="E46" i="11"/>
  <c r="F46" i="11"/>
  <c r="G46" i="11"/>
  <c r="H46" i="11"/>
  <c r="I46" i="11"/>
  <c r="K46" i="11"/>
  <c r="C47" i="11"/>
  <c r="D47" i="11"/>
  <c r="E47" i="11"/>
  <c r="F47" i="11"/>
  <c r="G47" i="11"/>
  <c r="H47" i="11"/>
  <c r="I47" i="11"/>
  <c r="K47" i="11"/>
  <c r="C48" i="11"/>
  <c r="D48" i="11"/>
  <c r="E48" i="11"/>
  <c r="F48" i="11"/>
  <c r="G48" i="11"/>
  <c r="H48" i="11"/>
  <c r="I48" i="11"/>
  <c r="K48" i="11"/>
  <c r="D29" i="11"/>
  <c r="E29" i="11"/>
  <c r="F29" i="11"/>
  <c r="G29" i="11"/>
  <c r="H29" i="11"/>
  <c r="I29" i="11"/>
  <c r="K29" i="11"/>
  <c r="C29" i="11"/>
  <c r="J25" i="11"/>
  <c r="C39" i="6"/>
  <c r="C41" i="6"/>
  <c r="E59" i="3"/>
  <c r="C59" i="6"/>
  <c r="C60" i="6"/>
  <c r="E58" i="3"/>
  <c r="C58" i="6"/>
  <c r="E61" i="3"/>
  <c r="C61" i="6"/>
  <c r="E62" i="3"/>
  <c r="C62" i="6"/>
  <c r="C63" i="6"/>
  <c r="C65" i="6"/>
  <c r="C68" i="6"/>
  <c r="C69" i="6"/>
  <c r="C70" i="6"/>
  <c r="C71" i="6"/>
  <c r="C73" i="6"/>
  <c r="Q49" i="2"/>
  <c r="Q48" i="2"/>
  <c r="Q50" i="2"/>
  <c r="Q43" i="2"/>
  <c r="Q42" i="2"/>
  <c r="R43" i="2"/>
  <c r="R50" i="2"/>
  <c r="Q47" i="2"/>
  <c r="Q46" i="2"/>
  <c r="R47" i="2"/>
  <c r="H72" i="6"/>
  <c r="I72" i="6"/>
  <c r="J72" i="6"/>
  <c r="K72" i="6"/>
  <c r="L72" i="6"/>
  <c r="M72" i="6"/>
  <c r="N72" i="6"/>
  <c r="O72" i="6"/>
  <c r="P72" i="6"/>
  <c r="Q72" i="6"/>
  <c r="R72" i="6"/>
  <c r="S72" i="6"/>
  <c r="T72" i="6"/>
  <c r="U72" i="6"/>
  <c r="V72" i="6"/>
  <c r="W72" i="6"/>
  <c r="E72" i="6"/>
  <c r="F72" i="6"/>
  <c r="G72" i="6"/>
  <c r="D72" i="6"/>
  <c r="Q45" i="2"/>
  <c r="Q44" i="2"/>
  <c r="R45" i="2"/>
  <c r="Q41" i="2"/>
  <c r="E59" i="6"/>
  <c r="E57" i="6"/>
  <c r="E41" i="6"/>
  <c r="E58" i="6"/>
  <c r="E61" i="6"/>
  <c r="E62" i="6"/>
  <c r="E63" i="6"/>
  <c r="E60" i="6"/>
  <c r="E65" i="6"/>
  <c r="E66" i="6"/>
  <c r="E68" i="6"/>
  <c r="E69" i="6"/>
  <c r="E70" i="6"/>
  <c r="E71" i="6"/>
  <c r="E73" i="6"/>
  <c r="F59" i="6"/>
  <c r="F57" i="6"/>
  <c r="F41" i="6"/>
  <c r="F58" i="6"/>
  <c r="F61" i="6"/>
  <c r="F62" i="6"/>
  <c r="F63" i="6"/>
  <c r="F60" i="6"/>
  <c r="F65" i="6"/>
  <c r="F66" i="6"/>
  <c r="F68" i="6"/>
  <c r="F69" i="6"/>
  <c r="F70" i="6"/>
  <c r="F71" i="6"/>
  <c r="F73" i="6"/>
  <c r="G59" i="6"/>
  <c r="G57" i="6"/>
  <c r="G41" i="6"/>
  <c r="G58" i="6"/>
  <c r="G61" i="6"/>
  <c r="G62" i="6"/>
  <c r="G63" i="6"/>
  <c r="G60" i="6"/>
  <c r="G65" i="6"/>
  <c r="G66" i="6"/>
  <c r="G68" i="6"/>
  <c r="G69" i="6"/>
  <c r="G70" i="6"/>
  <c r="G71" i="6"/>
  <c r="G73" i="6"/>
  <c r="H59" i="6"/>
  <c r="H57" i="6"/>
  <c r="H41" i="6"/>
  <c r="H58" i="6"/>
  <c r="H61" i="6"/>
  <c r="H62" i="6"/>
  <c r="H63" i="6"/>
  <c r="H60" i="6"/>
  <c r="H65" i="6"/>
  <c r="H66" i="6"/>
  <c r="H68" i="6"/>
  <c r="H69" i="6"/>
  <c r="H70" i="6"/>
  <c r="H71" i="6"/>
  <c r="H73" i="6"/>
  <c r="I59" i="6"/>
  <c r="I57" i="6"/>
  <c r="I41" i="6"/>
  <c r="I58" i="6"/>
  <c r="I61" i="6"/>
  <c r="I62" i="6"/>
  <c r="I63" i="6"/>
  <c r="I60" i="6"/>
  <c r="I65" i="6"/>
  <c r="I66" i="6"/>
  <c r="I68" i="6"/>
  <c r="I69" i="6"/>
  <c r="I70" i="6"/>
  <c r="I71" i="6"/>
  <c r="I73" i="6"/>
  <c r="J59" i="6"/>
  <c r="J57" i="6"/>
  <c r="J41" i="6"/>
  <c r="J58" i="6"/>
  <c r="J61" i="6"/>
  <c r="J62" i="6"/>
  <c r="J63" i="6"/>
  <c r="J60" i="6"/>
  <c r="J65" i="6"/>
  <c r="J66" i="6"/>
  <c r="J68" i="6"/>
  <c r="J69" i="6"/>
  <c r="J70" i="6"/>
  <c r="J71" i="6"/>
  <c r="J73" i="6"/>
  <c r="K59" i="6"/>
  <c r="K57" i="6"/>
  <c r="K41" i="6"/>
  <c r="K58" i="6"/>
  <c r="K61" i="6"/>
  <c r="K62" i="6"/>
  <c r="K63" i="6"/>
  <c r="K60" i="6"/>
  <c r="K65" i="6"/>
  <c r="K66" i="6"/>
  <c r="K68" i="6"/>
  <c r="K69" i="6"/>
  <c r="K70" i="6"/>
  <c r="K71" i="6"/>
  <c r="K73" i="6"/>
  <c r="L59" i="6"/>
  <c r="L57" i="6"/>
  <c r="L41" i="6"/>
  <c r="L58" i="6"/>
  <c r="L61" i="6"/>
  <c r="L62" i="6"/>
  <c r="L63" i="6"/>
  <c r="L60" i="6"/>
  <c r="L65" i="6"/>
  <c r="L66" i="6"/>
  <c r="L68" i="6"/>
  <c r="L69" i="6"/>
  <c r="L70" i="6"/>
  <c r="L71" i="6"/>
  <c r="L73" i="6"/>
  <c r="M59" i="6"/>
  <c r="M57" i="6"/>
  <c r="M41" i="6"/>
  <c r="M58" i="6"/>
  <c r="M61" i="6"/>
  <c r="M62" i="6"/>
  <c r="M63" i="6"/>
  <c r="M60" i="6"/>
  <c r="M65" i="6"/>
  <c r="M66" i="6"/>
  <c r="M68" i="6"/>
  <c r="M69" i="6"/>
  <c r="M70" i="6"/>
  <c r="M71" i="6"/>
  <c r="M73" i="6"/>
  <c r="N59" i="6"/>
  <c r="N57" i="6"/>
  <c r="N41" i="6"/>
  <c r="N58" i="6"/>
  <c r="N61" i="6"/>
  <c r="N62" i="6"/>
  <c r="N63" i="6"/>
  <c r="N60" i="6"/>
  <c r="N65" i="6"/>
  <c r="N66" i="6"/>
  <c r="N68" i="6"/>
  <c r="N69" i="6"/>
  <c r="N70" i="6"/>
  <c r="N71" i="6"/>
  <c r="N73" i="6"/>
  <c r="O59" i="6"/>
  <c r="O57" i="6"/>
  <c r="O41" i="6"/>
  <c r="O58" i="6"/>
  <c r="O61" i="6"/>
  <c r="O62" i="6"/>
  <c r="O63" i="6"/>
  <c r="O60" i="6"/>
  <c r="O65" i="6"/>
  <c r="O66" i="6"/>
  <c r="O68" i="6"/>
  <c r="O69" i="6"/>
  <c r="O70" i="6"/>
  <c r="O71" i="6"/>
  <c r="O73" i="6"/>
  <c r="P59" i="6"/>
  <c r="P57" i="6"/>
  <c r="P41" i="6"/>
  <c r="P58" i="6"/>
  <c r="P61" i="6"/>
  <c r="P62" i="6"/>
  <c r="P63" i="6"/>
  <c r="P60" i="6"/>
  <c r="P65" i="6"/>
  <c r="P66" i="6"/>
  <c r="P68" i="6"/>
  <c r="P69" i="6"/>
  <c r="P70" i="6"/>
  <c r="P71" i="6"/>
  <c r="P73" i="6"/>
  <c r="Q59" i="6"/>
  <c r="Q57" i="6"/>
  <c r="Q41" i="6"/>
  <c r="Q58" i="6"/>
  <c r="Q61" i="6"/>
  <c r="Q62" i="6"/>
  <c r="Q63" i="6"/>
  <c r="Q60" i="6"/>
  <c r="Q65" i="6"/>
  <c r="Q66" i="6"/>
  <c r="Q68" i="6"/>
  <c r="Q69" i="6"/>
  <c r="Q70" i="6"/>
  <c r="Q71" i="6"/>
  <c r="Q73" i="6"/>
  <c r="R59" i="6"/>
  <c r="R57" i="6"/>
  <c r="R41" i="6"/>
  <c r="R58" i="6"/>
  <c r="R61" i="6"/>
  <c r="R62" i="6"/>
  <c r="R63" i="6"/>
  <c r="R60" i="6"/>
  <c r="R65" i="6"/>
  <c r="R66" i="6"/>
  <c r="R68" i="6"/>
  <c r="R69" i="6"/>
  <c r="R70" i="6"/>
  <c r="R71" i="6"/>
  <c r="R73" i="6"/>
  <c r="S59" i="6"/>
  <c r="S57" i="6"/>
  <c r="S41" i="6"/>
  <c r="S58" i="6"/>
  <c r="S61" i="6"/>
  <c r="S62" i="6"/>
  <c r="S63" i="6"/>
  <c r="S60" i="6"/>
  <c r="S65" i="6"/>
  <c r="S66" i="6"/>
  <c r="S68" i="6"/>
  <c r="S69" i="6"/>
  <c r="S70" i="6"/>
  <c r="S71" i="6"/>
  <c r="S73" i="6"/>
  <c r="T59" i="6"/>
  <c r="T57" i="6"/>
  <c r="T41" i="6"/>
  <c r="T58" i="6"/>
  <c r="T61" i="6"/>
  <c r="T62" i="6"/>
  <c r="T63" i="6"/>
  <c r="T60" i="6"/>
  <c r="T65" i="6"/>
  <c r="T66" i="6"/>
  <c r="T68" i="6"/>
  <c r="T69" i="6"/>
  <c r="T70" i="6"/>
  <c r="T71" i="6"/>
  <c r="T73" i="6"/>
  <c r="U59" i="6"/>
  <c r="U57" i="6"/>
  <c r="U41" i="6"/>
  <c r="U58" i="6"/>
  <c r="U61" i="6"/>
  <c r="U62" i="6"/>
  <c r="U63" i="6"/>
  <c r="U60" i="6"/>
  <c r="U65" i="6"/>
  <c r="U66" i="6"/>
  <c r="U68" i="6"/>
  <c r="U69" i="6"/>
  <c r="U70" i="6"/>
  <c r="U71" i="6"/>
  <c r="U73" i="6"/>
  <c r="V59" i="6"/>
  <c r="V57" i="6"/>
  <c r="V41" i="6"/>
  <c r="V58" i="6"/>
  <c r="V61" i="6"/>
  <c r="V62" i="6"/>
  <c r="V63" i="6"/>
  <c r="V60" i="6"/>
  <c r="V65" i="6"/>
  <c r="V66" i="6"/>
  <c r="V68" i="6"/>
  <c r="V69" i="6"/>
  <c r="V70" i="6"/>
  <c r="V71" i="6"/>
  <c r="V73" i="6"/>
  <c r="W59" i="6"/>
  <c r="W57" i="6"/>
  <c r="W41" i="6"/>
  <c r="W58" i="6"/>
  <c r="W61" i="6"/>
  <c r="W62" i="6"/>
  <c r="W63" i="6"/>
  <c r="W60" i="6"/>
  <c r="W65" i="6"/>
  <c r="W66" i="6"/>
  <c r="W68" i="6"/>
  <c r="W69" i="6"/>
  <c r="W70" i="6"/>
  <c r="W71" i="6"/>
  <c r="W73" i="6"/>
  <c r="X59" i="6"/>
  <c r="X57" i="6"/>
  <c r="X41" i="6"/>
  <c r="X58" i="6"/>
  <c r="X61" i="6"/>
  <c r="X62" i="6"/>
  <c r="X63" i="6"/>
  <c r="X60" i="6"/>
  <c r="X65" i="6"/>
  <c r="X66" i="6"/>
  <c r="X68" i="6"/>
  <c r="X69" i="6"/>
  <c r="X70" i="6"/>
  <c r="X71" i="6"/>
  <c r="X72" i="6"/>
  <c r="X73" i="6"/>
  <c r="Y59" i="6"/>
  <c r="Y57" i="6"/>
  <c r="Y41" i="6"/>
  <c r="Y58" i="6"/>
  <c r="Y61" i="6"/>
  <c r="Y62" i="6"/>
  <c r="Y63" i="6"/>
  <c r="Y60" i="6"/>
  <c r="Y65" i="6"/>
  <c r="Y66" i="6"/>
  <c r="Y68" i="6"/>
  <c r="Y69" i="6"/>
  <c r="Y70" i="6"/>
  <c r="Y71" i="6"/>
  <c r="Y72" i="6"/>
  <c r="Y73" i="6"/>
  <c r="Z59" i="6"/>
  <c r="Z57" i="6"/>
  <c r="Z41" i="6"/>
  <c r="Z58" i="6"/>
  <c r="Z61" i="6"/>
  <c r="Z62" i="6"/>
  <c r="Z63" i="6"/>
  <c r="Z60" i="6"/>
  <c r="Z65" i="6"/>
  <c r="Z66" i="6"/>
  <c r="Z68" i="6"/>
  <c r="Z69" i="6"/>
  <c r="Z70" i="6"/>
  <c r="Z71" i="6"/>
  <c r="Z72" i="6"/>
  <c r="Z73" i="6"/>
  <c r="AA59" i="6"/>
  <c r="AA57" i="6"/>
  <c r="AA41" i="6"/>
  <c r="AA58" i="6"/>
  <c r="AA61" i="6"/>
  <c r="AA62" i="6"/>
  <c r="AA63" i="6"/>
  <c r="AA60" i="6"/>
  <c r="AA65" i="6"/>
  <c r="AA66" i="6"/>
  <c r="AA68" i="6"/>
  <c r="AA69" i="6"/>
  <c r="AA70" i="6"/>
  <c r="AA71" i="6"/>
  <c r="AA72" i="6"/>
  <c r="AA73" i="6"/>
  <c r="AB59" i="6"/>
  <c r="AB57" i="6"/>
  <c r="AB41" i="6"/>
  <c r="AB58" i="6"/>
  <c r="AB61" i="6"/>
  <c r="AB62" i="6"/>
  <c r="AB63" i="6"/>
  <c r="AB60" i="6"/>
  <c r="AB65" i="6"/>
  <c r="AB66" i="6"/>
  <c r="AB68" i="6"/>
  <c r="AB69" i="6"/>
  <c r="AB70" i="6"/>
  <c r="AB71" i="6"/>
  <c r="AB72" i="6"/>
  <c r="AB73" i="6"/>
  <c r="AC59" i="6"/>
  <c r="AC57" i="6"/>
  <c r="AC41" i="6"/>
  <c r="AC58" i="6"/>
  <c r="AC61" i="6"/>
  <c r="AC62" i="6"/>
  <c r="AC63" i="6"/>
  <c r="AC60" i="6"/>
  <c r="AC65" i="6"/>
  <c r="AC66" i="6"/>
  <c r="AC68" i="6"/>
  <c r="AC69" i="6"/>
  <c r="AC70" i="6"/>
  <c r="AC71" i="6"/>
  <c r="AC72" i="6"/>
  <c r="AC73" i="6"/>
  <c r="AD59" i="6"/>
  <c r="AD57" i="6"/>
  <c r="AD41" i="6"/>
  <c r="AD58" i="6"/>
  <c r="AD61" i="6"/>
  <c r="AD62" i="6"/>
  <c r="AD63" i="6"/>
  <c r="AD60" i="6"/>
  <c r="AD65" i="6"/>
  <c r="AD66" i="6"/>
  <c r="AD68" i="6"/>
  <c r="AD69" i="6"/>
  <c r="AD70" i="6"/>
  <c r="AD71" i="6"/>
  <c r="AD72" i="6"/>
  <c r="AD73" i="6"/>
  <c r="AE59" i="6"/>
  <c r="AE57" i="6"/>
  <c r="AE41" i="6"/>
  <c r="AE58" i="6"/>
  <c r="AE61" i="6"/>
  <c r="AE62" i="6"/>
  <c r="AE63" i="6"/>
  <c r="AE60" i="6"/>
  <c r="AE65" i="6"/>
  <c r="AE66" i="6"/>
  <c r="AE68" i="6"/>
  <c r="AE69" i="6"/>
  <c r="AE70" i="6"/>
  <c r="AE71" i="6"/>
  <c r="AE72" i="6"/>
  <c r="AE73" i="6"/>
  <c r="AF59" i="6"/>
  <c r="AF57" i="6"/>
  <c r="AF41" i="6"/>
  <c r="AF58" i="6"/>
  <c r="AF61" i="6"/>
  <c r="AF62" i="6"/>
  <c r="AF63" i="6"/>
  <c r="AF60" i="6"/>
  <c r="AF65" i="6"/>
  <c r="AF66" i="6"/>
  <c r="AF68" i="6"/>
  <c r="AF69" i="6"/>
  <c r="AF70" i="6"/>
  <c r="AF71" i="6"/>
  <c r="AF72" i="6"/>
  <c r="AF73" i="6"/>
  <c r="AG59" i="6"/>
  <c r="AG57" i="6"/>
  <c r="AG41" i="6"/>
  <c r="AG58" i="6"/>
  <c r="AG61" i="6"/>
  <c r="AG62" i="6"/>
  <c r="AG63" i="6"/>
  <c r="AG60" i="6"/>
  <c r="AG65" i="6"/>
  <c r="AG66" i="6"/>
  <c r="AG68" i="6"/>
  <c r="AG69" i="6"/>
  <c r="AG70" i="6"/>
  <c r="AG71" i="6"/>
  <c r="AG72" i="6"/>
  <c r="AG73" i="6"/>
  <c r="AH59" i="6"/>
  <c r="AH57" i="6"/>
  <c r="AH41" i="6"/>
  <c r="AH58" i="6"/>
  <c r="AH61" i="6"/>
  <c r="AH62" i="6"/>
  <c r="AH63" i="6"/>
  <c r="AH60" i="6"/>
  <c r="AH65" i="6"/>
  <c r="AH66" i="6"/>
  <c r="AH68" i="6"/>
  <c r="AH69" i="6"/>
  <c r="AH70" i="6"/>
  <c r="AH71" i="6"/>
  <c r="AH72" i="6"/>
  <c r="AH73" i="6"/>
  <c r="AI59" i="6"/>
  <c r="AI57" i="6"/>
  <c r="AI41" i="6"/>
  <c r="AI58" i="6"/>
  <c r="AI61" i="6"/>
  <c r="AI62" i="6"/>
  <c r="AI63" i="6"/>
  <c r="AI60" i="6"/>
  <c r="AI65" i="6"/>
  <c r="AI66" i="6"/>
  <c r="AI68" i="6"/>
  <c r="AI69" i="6"/>
  <c r="AI70" i="6"/>
  <c r="AI71" i="6"/>
  <c r="AI72" i="6"/>
  <c r="AI73" i="6"/>
  <c r="AJ59" i="6"/>
  <c r="AJ57" i="6"/>
  <c r="AJ41" i="6"/>
  <c r="AJ58" i="6"/>
  <c r="AJ61" i="6"/>
  <c r="AJ62" i="6"/>
  <c r="AJ63" i="6"/>
  <c r="AJ60" i="6"/>
  <c r="AJ65" i="6"/>
  <c r="AJ66" i="6"/>
  <c r="AJ68" i="6"/>
  <c r="AJ69" i="6"/>
  <c r="AJ70" i="6"/>
  <c r="AJ71" i="6"/>
  <c r="AJ72" i="6"/>
  <c r="AJ73" i="6"/>
  <c r="AK59" i="6"/>
  <c r="AK57" i="6"/>
  <c r="AK41" i="6"/>
  <c r="AK58" i="6"/>
  <c r="AK61" i="6"/>
  <c r="AK62" i="6"/>
  <c r="AK63" i="6"/>
  <c r="AK60" i="6"/>
  <c r="AK65" i="6"/>
  <c r="AK66" i="6"/>
  <c r="AK68" i="6"/>
  <c r="AK69" i="6"/>
  <c r="AK70" i="6"/>
  <c r="AK71" i="6"/>
  <c r="AK72" i="6"/>
  <c r="AK73" i="6"/>
  <c r="AL59" i="6"/>
  <c r="AL57" i="6"/>
  <c r="AL41" i="6"/>
  <c r="AL58" i="6"/>
  <c r="AL61" i="6"/>
  <c r="AL62" i="6"/>
  <c r="AL63" i="6"/>
  <c r="AL60" i="6"/>
  <c r="AL65" i="6"/>
  <c r="AL66" i="6"/>
  <c r="AL68" i="6"/>
  <c r="AL69" i="6"/>
  <c r="AL70" i="6"/>
  <c r="AL71" i="6"/>
  <c r="AL72" i="6"/>
  <c r="AL73" i="6"/>
  <c r="AM59" i="6"/>
  <c r="AM57" i="6"/>
  <c r="AM41" i="6"/>
  <c r="AM58" i="6"/>
  <c r="AM61" i="6"/>
  <c r="AM62" i="6"/>
  <c r="AM63" i="6"/>
  <c r="AM60" i="6"/>
  <c r="AM65" i="6"/>
  <c r="AM66" i="6"/>
  <c r="AM68" i="6"/>
  <c r="AM69" i="6"/>
  <c r="AM70" i="6"/>
  <c r="AM71" i="6"/>
  <c r="AM72" i="6"/>
  <c r="AM73" i="6"/>
  <c r="AN59" i="6"/>
  <c r="AN57" i="6"/>
  <c r="AN41" i="6"/>
  <c r="AN58" i="6"/>
  <c r="AN61" i="6"/>
  <c r="AN62" i="6"/>
  <c r="AN63" i="6"/>
  <c r="AN60" i="6"/>
  <c r="AN65" i="6"/>
  <c r="AN66" i="6"/>
  <c r="AN68" i="6"/>
  <c r="AN69" i="6"/>
  <c r="AN70" i="6"/>
  <c r="AN71" i="6"/>
  <c r="AN72" i="6"/>
  <c r="AN73" i="6"/>
  <c r="AO59" i="6"/>
  <c r="AO57" i="6"/>
  <c r="AO41" i="6"/>
  <c r="AO58" i="6"/>
  <c r="AO61" i="6"/>
  <c r="AO62" i="6"/>
  <c r="AO63" i="6"/>
  <c r="AO60" i="6"/>
  <c r="AO65" i="6"/>
  <c r="AO66" i="6"/>
  <c r="AO68" i="6"/>
  <c r="AO69" i="6"/>
  <c r="AO70" i="6"/>
  <c r="AO71" i="6"/>
  <c r="AO72" i="6"/>
  <c r="AO73" i="6"/>
  <c r="AP59" i="6"/>
  <c r="AP57" i="6"/>
  <c r="AP41" i="6"/>
  <c r="AP58" i="6"/>
  <c r="AP61" i="6"/>
  <c r="AP62" i="6"/>
  <c r="AP63" i="6"/>
  <c r="AP60" i="6"/>
  <c r="AP65" i="6"/>
  <c r="AP66" i="6"/>
  <c r="AP68" i="6"/>
  <c r="AP69" i="6"/>
  <c r="AP70" i="6"/>
  <c r="AP71" i="6"/>
  <c r="AP72" i="6"/>
  <c r="AP73" i="6"/>
  <c r="AQ59" i="6"/>
  <c r="AQ57" i="6"/>
  <c r="AQ41" i="6"/>
  <c r="AQ58" i="6"/>
  <c r="AQ61" i="6"/>
  <c r="AQ62" i="6"/>
  <c r="AQ63" i="6"/>
  <c r="AQ60" i="6"/>
  <c r="AQ65" i="6"/>
  <c r="AQ66" i="6"/>
  <c r="AQ68" i="6"/>
  <c r="AQ69" i="6"/>
  <c r="AQ70" i="6"/>
  <c r="AQ71" i="6"/>
  <c r="AQ72" i="6"/>
  <c r="AQ73" i="6"/>
  <c r="AR59" i="6"/>
  <c r="AR57" i="6"/>
  <c r="AR41" i="6"/>
  <c r="AR58" i="6"/>
  <c r="AR61" i="6"/>
  <c r="AR62" i="6"/>
  <c r="AR63" i="6"/>
  <c r="AR60" i="6"/>
  <c r="AR65" i="6"/>
  <c r="AR66" i="6"/>
  <c r="AR68" i="6"/>
  <c r="AR69" i="6"/>
  <c r="AR70" i="6"/>
  <c r="AR71" i="6"/>
  <c r="AR72" i="6"/>
  <c r="AR73" i="6"/>
  <c r="AS59" i="6"/>
  <c r="AS57" i="6"/>
  <c r="AS41" i="6"/>
  <c r="AS58" i="6"/>
  <c r="AS61" i="6"/>
  <c r="AS62" i="6"/>
  <c r="AS63" i="6"/>
  <c r="AS60" i="6"/>
  <c r="AS65" i="6"/>
  <c r="AS66" i="6"/>
  <c r="AS68" i="6"/>
  <c r="AS69" i="6"/>
  <c r="AS70" i="6"/>
  <c r="AS71" i="6"/>
  <c r="AS72" i="6"/>
  <c r="AS73" i="6"/>
  <c r="AT59" i="6"/>
  <c r="AT57" i="6"/>
  <c r="AT41" i="6"/>
  <c r="AT58" i="6"/>
  <c r="AT61" i="6"/>
  <c r="AT62" i="6"/>
  <c r="AT63" i="6"/>
  <c r="AT60" i="6"/>
  <c r="AT65" i="6"/>
  <c r="AT66" i="6"/>
  <c r="AT68" i="6"/>
  <c r="AT69" i="6"/>
  <c r="AT70" i="6"/>
  <c r="AT71" i="6"/>
  <c r="AT72" i="6"/>
  <c r="AT73" i="6"/>
  <c r="AU59" i="6"/>
  <c r="AU57" i="6"/>
  <c r="AU41" i="6"/>
  <c r="AU58" i="6"/>
  <c r="AU61" i="6"/>
  <c r="AU62" i="6"/>
  <c r="AU63" i="6"/>
  <c r="AU60" i="6"/>
  <c r="AU65" i="6"/>
  <c r="AU66" i="6"/>
  <c r="AU68" i="6"/>
  <c r="AU69" i="6"/>
  <c r="AU70" i="6"/>
  <c r="AU71" i="6"/>
  <c r="AU72" i="6"/>
  <c r="AU73" i="6"/>
  <c r="AV59" i="6"/>
  <c r="AV57" i="6"/>
  <c r="AV41" i="6"/>
  <c r="AV58" i="6"/>
  <c r="AV61" i="6"/>
  <c r="AV62" i="6"/>
  <c r="AV63" i="6"/>
  <c r="AV60" i="6"/>
  <c r="AV65" i="6"/>
  <c r="AV66" i="6"/>
  <c r="AV68" i="6"/>
  <c r="AV69" i="6"/>
  <c r="AV70" i="6"/>
  <c r="AV71" i="6"/>
  <c r="AV72" i="6"/>
  <c r="AV73" i="6"/>
  <c r="AW59" i="6"/>
  <c r="AW57" i="6"/>
  <c r="AW41" i="6"/>
  <c r="AW58" i="6"/>
  <c r="AW61" i="6"/>
  <c r="AW62" i="6"/>
  <c r="AW63" i="6"/>
  <c r="AW60" i="6"/>
  <c r="AW65" i="6"/>
  <c r="AW66" i="6"/>
  <c r="AW68" i="6"/>
  <c r="AW69" i="6"/>
  <c r="AW70" i="6"/>
  <c r="AW71" i="6"/>
  <c r="AW72" i="6"/>
  <c r="AW73" i="6"/>
  <c r="AX59" i="6"/>
  <c r="AX57" i="6"/>
  <c r="AX41" i="6"/>
  <c r="AX58" i="6"/>
  <c r="AX61" i="6"/>
  <c r="AX62" i="6"/>
  <c r="AX63" i="6"/>
  <c r="AX60" i="6"/>
  <c r="AX65" i="6"/>
  <c r="AX66" i="6"/>
  <c r="AX68" i="6"/>
  <c r="AX69" i="6"/>
  <c r="AX70" i="6"/>
  <c r="AX71" i="6"/>
  <c r="AX72" i="6"/>
  <c r="AX73" i="6"/>
  <c r="AY59" i="6"/>
  <c r="AY57" i="6"/>
  <c r="AY41" i="6"/>
  <c r="AY58" i="6"/>
  <c r="AY61" i="6"/>
  <c r="AY62" i="6"/>
  <c r="AY63" i="6"/>
  <c r="AY60" i="6"/>
  <c r="AY65" i="6"/>
  <c r="AY66" i="6"/>
  <c r="AY68" i="6"/>
  <c r="AY69" i="6"/>
  <c r="AY70" i="6"/>
  <c r="AY71" i="6"/>
  <c r="AY72" i="6"/>
  <c r="AY73" i="6"/>
  <c r="AZ59" i="6"/>
  <c r="AZ57" i="6"/>
  <c r="AZ41" i="6"/>
  <c r="AZ58" i="6"/>
  <c r="AZ61" i="6"/>
  <c r="AZ62" i="6"/>
  <c r="AZ63" i="6"/>
  <c r="AZ60" i="6"/>
  <c r="AZ65" i="6"/>
  <c r="AZ66" i="6"/>
  <c r="AZ68" i="6"/>
  <c r="AZ69" i="6"/>
  <c r="AZ70" i="6"/>
  <c r="AZ71" i="6"/>
  <c r="AZ72" i="6"/>
  <c r="AZ73" i="6"/>
  <c r="BA59" i="6"/>
  <c r="BA57" i="6"/>
  <c r="BA41" i="6"/>
  <c r="BA58" i="6"/>
  <c r="BA61" i="6"/>
  <c r="BA62" i="6"/>
  <c r="BA63" i="6"/>
  <c r="BA60" i="6"/>
  <c r="BA65" i="6"/>
  <c r="BA66" i="6"/>
  <c r="BA68" i="6"/>
  <c r="BA69" i="6"/>
  <c r="BA70" i="6"/>
  <c r="BA71" i="6"/>
  <c r="BA72" i="6"/>
  <c r="BA73" i="6"/>
  <c r="G72" i="3"/>
  <c r="H72" i="3"/>
  <c r="I72" i="3"/>
  <c r="J72" i="3"/>
  <c r="K72" i="3"/>
  <c r="L72" i="3"/>
  <c r="M72" i="3"/>
  <c r="N72" i="3"/>
  <c r="O72" i="3"/>
  <c r="P72" i="3"/>
  <c r="Q72" i="3"/>
  <c r="R72" i="3"/>
  <c r="S72" i="3"/>
  <c r="T72" i="3"/>
  <c r="U72" i="3"/>
  <c r="V72" i="3"/>
  <c r="W72" i="3"/>
  <c r="X72" i="3"/>
  <c r="Y72" i="3"/>
  <c r="Z72" i="3"/>
  <c r="AA72" i="3"/>
  <c r="AB72" i="3"/>
  <c r="AC72" i="3"/>
  <c r="AD72" i="3"/>
  <c r="AE72" i="3"/>
  <c r="AF72" i="3"/>
  <c r="AG72" i="3"/>
  <c r="AH72" i="3"/>
  <c r="AI72" i="3"/>
  <c r="AJ72" i="3"/>
  <c r="AK72" i="3"/>
  <c r="AL72" i="3"/>
  <c r="AM72" i="3"/>
  <c r="AN72" i="3"/>
  <c r="AO72" i="3"/>
  <c r="AP72" i="3"/>
  <c r="AQ72" i="3"/>
  <c r="AR72" i="3"/>
  <c r="AS72" i="3"/>
  <c r="AT72" i="3"/>
  <c r="AU72" i="3"/>
  <c r="AV72" i="3"/>
  <c r="AW72" i="3"/>
  <c r="AX72" i="3"/>
  <c r="AY72" i="3"/>
  <c r="AZ72" i="3"/>
  <c r="BA72" i="3"/>
  <c r="BB72" i="3"/>
  <c r="BC72" i="3"/>
  <c r="BD72" i="3"/>
  <c r="BE72" i="3"/>
  <c r="BF72" i="3"/>
  <c r="BG72" i="3"/>
  <c r="BH72" i="3"/>
  <c r="BI72" i="3"/>
  <c r="BJ72" i="3"/>
  <c r="BK72" i="3"/>
  <c r="BL72" i="3"/>
  <c r="BM72" i="3"/>
  <c r="BN72" i="3"/>
  <c r="BO72" i="3"/>
  <c r="BP72" i="3"/>
  <c r="BQ72" i="3"/>
  <c r="BR72" i="3"/>
  <c r="BS72" i="3"/>
  <c r="BT72" i="3"/>
  <c r="BU72" i="3"/>
  <c r="BV72" i="3"/>
  <c r="BW72" i="3"/>
  <c r="BX72" i="3"/>
  <c r="BY72" i="3"/>
  <c r="BZ72" i="3"/>
  <c r="CA72" i="3"/>
  <c r="CB72" i="3"/>
  <c r="D59" i="6"/>
  <c r="D57" i="6"/>
  <c r="D41" i="6"/>
  <c r="D58" i="6"/>
  <c r="D61" i="6"/>
  <c r="D62" i="6"/>
  <c r="D63" i="6"/>
  <c r="D60" i="6"/>
  <c r="D65" i="6"/>
  <c r="Q39" i="2"/>
  <c r="E54" i="3"/>
  <c r="E60" i="3"/>
  <c r="E63" i="3"/>
  <c r="E64" i="3"/>
  <c r="E66" i="3"/>
  <c r="Q38" i="2"/>
  <c r="R39" i="2"/>
  <c r="E90" i="11"/>
  <c r="C90" i="11"/>
  <c r="F90" i="11"/>
  <c r="E84" i="11"/>
  <c r="E85" i="11"/>
  <c r="E86" i="11"/>
  <c r="E87" i="11"/>
  <c r="E88" i="11"/>
  <c r="E89" i="11"/>
  <c r="E91" i="11"/>
  <c r="E83" i="11"/>
  <c r="C83" i="11"/>
  <c r="C84" i="11"/>
  <c r="C85" i="11"/>
  <c r="C86" i="11"/>
  <c r="C87" i="11"/>
  <c r="C88" i="11"/>
  <c r="C89" i="11"/>
  <c r="C91" i="11"/>
  <c r="C92" i="11"/>
  <c r="D90" i="11"/>
  <c r="J148" i="10"/>
  <c r="K148" i="10"/>
  <c r="J149" i="10"/>
  <c r="K149" i="10"/>
  <c r="K150" i="10"/>
  <c r="K151" i="10"/>
  <c r="Q35" i="2"/>
  <c r="M115" i="11"/>
  <c r="M116" i="11"/>
  <c r="M117" i="11"/>
  <c r="M118" i="11"/>
  <c r="M119" i="11"/>
  <c r="M120" i="11"/>
  <c r="M121" i="11"/>
  <c r="M122" i="11"/>
  <c r="M123" i="11"/>
  <c r="M124" i="11"/>
  <c r="M125" i="11"/>
  <c r="M126" i="11"/>
  <c r="M127" i="11"/>
  <c r="M128" i="11"/>
  <c r="M129" i="11"/>
  <c r="M130" i="11"/>
  <c r="M131" i="11"/>
  <c r="M132" i="11"/>
  <c r="M133" i="11"/>
  <c r="M134" i="11"/>
  <c r="M135" i="11"/>
  <c r="M136" i="11"/>
  <c r="Q36" i="2"/>
  <c r="M140" i="11"/>
  <c r="M141" i="11"/>
  <c r="M142" i="11"/>
  <c r="M143" i="11"/>
  <c r="M144" i="11"/>
  <c r="M145" i="11"/>
  <c r="M146" i="11"/>
  <c r="M147" i="11"/>
  <c r="M148" i="11"/>
  <c r="M149" i="11"/>
  <c r="M150" i="11"/>
  <c r="M151" i="11"/>
  <c r="Q37" i="2"/>
  <c r="R37" i="2"/>
  <c r="B21" i="1"/>
  <c r="B58" i="11"/>
  <c r="B59" i="11"/>
  <c r="B60" i="11"/>
  <c r="B61" i="11"/>
  <c r="B62" i="11"/>
  <c r="B63" i="11"/>
  <c r="B64" i="11"/>
  <c r="B65" i="11"/>
  <c r="B66" i="11"/>
  <c r="B67" i="11"/>
  <c r="B68" i="11"/>
  <c r="B69" i="11"/>
  <c r="B70" i="11"/>
  <c r="B71" i="11"/>
  <c r="B72" i="11"/>
  <c r="B73" i="11"/>
  <c r="B74" i="11"/>
  <c r="B75" i="11"/>
  <c r="B76" i="11"/>
  <c r="B77" i="11"/>
  <c r="C78" i="11"/>
  <c r="Q34" i="2"/>
  <c r="R35" i="2"/>
  <c r="D59" i="11"/>
  <c r="D61" i="11"/>
  <c r="D73" i="11"/>
  <c r="D63" i="11"/>
  <c r="D60" i="11"/>
  <c r="D65" i="11"/>
  <c r="D69" i="11"/>
  <c r="D67" i="11"/>
  <c r="D64" i="11"/>
  <c r="D62" i="11"/>
  <c r="D70" i="11"/>
  <c r="D58" i="11"/>
  <c r="D66" i="11"/>
  <c r="D72" i="11"/>
  <c r="D71" i="11"/>
  <c r="D74" i="11"/>
  <c r="D75" i="11"/>
  <c r="D76" i="11"/>
  <c r="D77" i="11"/>
  <c r="D68" i="11"/>
  <c r="D78" i="11"/>
  <c r="F78" i="11"/>
  <c r="Q32" i="2"/>
  <c r="E92" i="11"/>
  <c r="F92" i="11"/>
  <c r="Q33" i="2"/>
  <c r="R33" i="2"/>
  <c r="B30" i="8"/>
  <c r="S3" i="8"/>
  <c r="S4" i="8"/>
  <c r="S5" i="8"/>
  <c r="S6" i="8"/>
  <c r="S7" i="8"/>
  <c r="S8" i="8"/>
  <c r="S9" i="8"/>
  <c r="S10" i="8"/>
  <c r="S11" i="8"/>
  <c r="S12" i="8"/>
  <c r="S13" i="8"/>
  <c r="S14" i="8"/>
  <c r="S15" i="8"/>
  <c r="S16" i="8"/>
  <c r="S17" i="8"/>
  <c r="S18" i="8"/>
  <c r="S19" i="8"/>
  <c r="S20" i="8"/>
  <c r="S21" i="8"/>
  <c r="S22" i="8"/>
  <c r="S23" i="8"/>
  <c r="S24" i="8"/>
  <c r="S25" i="8"/>
  <c r="S26" i="8"/>
  <c r="S27" i="8"/>
  <c r="S28" i="8"/>
  <c r="S29" i="8"/>
  <c r="S30" i="8"/>
  <c r="S31" i="8"/>
  <c r="S32" i="8"/>
  <c r="S2" i="8"/>
  <c r="B6" i="1"/>
  <c r="B7" i="1"/>
  <c r="B10" i="1"/>
  <c r="B11" i="1"/>
  <c r="B12" i="1"/>
  <c r="B13" i="1"/>
  <c r="B14" i="1"/>
  <c r="B15" i="1"/>
  <c r="B16" i="1"/>
  <c r="B17" i="1"/>
  <c r="B18" i="1"/>
  <c r="B19" i="1"/>
  <c r="B20" i="1"/>
  <c r="B3" i="1"/>
  <c r="B4" i="1"/>
  <c r="B5" i="1"/>
  <c r="EW535" i="1" a="1"/>
  <c r="EW535" i="1"/>
  <c r="EW536" i="1" a="1"/>
  <c r="EW536" i="1"/>
  <c r="EW537" i="1" a="1"/>
  <c r="EW537" i="1"/>
  <c r="EW538" i="1" a="1"/>
  <c r="EW538" i="1"/>
  <c r="EW539" i="1" a="1"/>
  <c r="EW539" i="1"/>
  <c r="EW540" i="1" a="1"/>
  <c r="EW540" i="1"/>
  <c r="EW541" i="1" a="1"/>
  <c r="EW541" i="1"/>
  <c r="EW542" i="1" a="1"/>
  <c r="EW542" i="1"/>
  <c r="EW543" i="1" a="1"/>
  <c r="EW543" i="1"/>
  <c r="EW544" i="1" a="1"/>
  <c r="EW544" i="1"/>
  <c r="EW545" i="1" a="1"/>
  <c r="EW545" i="1"/>
  <c r="EW546" i="1" a="1"/>
  <c r="EW546" i="1"/>
  <c r="EW547" i="1" a="1"/>
  <c r="EW547" i="1"/>
  <c r="EW548" i="1" a="1"/>
  <c r="EW548" i="1"/>
  <c r="EW549" i="1" a="1"/>
  <c r="EW549" i="1"/>
  <c r="EW550" i="1" a="1"/>
  <c r="EW550" i="1"/>
  <c r="EW551" i="1" a="1"/>
  <c r="EW551" i="1"/>
  <c r="EW552" i="1" a="1"/>
  <c r="EW552" i="1"/>
  <c r="EW553" i="1" a="1"/>
  <c r="EW553" i="1"/>
  <c r="EW554" i="1" a="1"/>
  <c r="EW554" i="1"/>
  <c r="EW555" i="1" a="1"/>
  <c r="EW555" i="1"/>
  <c r="EW556" i="1" a="1"/>
  <c r="EW556" i="1"/>
  <c r="EW557" i="1" a="1"/>
  <c r="EW557" i="1"/>
  <c r="EW558" i="1" a="1"/>
  <c r="EW558" i="1"/>
  <c r="EW559" i="1" a="1"/>
  <c r="EW559" i="1"/>
  <c r="EW560" i="1" a="1"/>
  <c r="EW560" i="1"/>
  <c r="EW561" i="1" a="1"/>
  <c r="EW561" i="1"/>
  <c r="EW562" i="1" a="1"/>
  <c r="EW562" i="1"/>
  <c r="EW563" i="1" a="1"/>
  <c r="EW563" i="1"/>
  <c r="EW564" i="1" a="1"/>
  <c r="EW564" i="1"/>
  <c r="EW565" i="1" a="1"/>
  <c r="EW565" i="1"/>
  <c r="EW566" i="1" a="1"/>
  <c r="EW566" i="1"/>
  <c r="EW567" i="1" a="1"/>
  <c r="EW567" i="1"/>
  <c r="EW568" i="1" a="1"/>
  <c r="EW568" i="1"/>
  <c r="EW569" i="1" a="1"/>
  <c r="EW569" i="1"/>
  <c r="EW570" i="1" a="1"/>
  <c r="EW570" i="1"/>
  <c r="EW571" i="1" a="1"/>
  <c r="EW571" i="1"/>
  <c r="EW572" i="1" a="1"/>
  <c r="EW572" i="1"/>
  <c r="EW573" i="1" a="1"/>
  <c r="EW573" i="1"/>
  <c r="EW574" i="1" a="1"/>
  <c r="EW574" i="1"/>
  <c r="EW575" i="1" a="1"/>
  <c r="EW575" i="1"/>
  <c r="EW576" i="1" a="1"/>
  <c r="EW576" i="1"/>
  <c r="EW577" i="1" a="1"/>
  <c r="EW577" i="1"/>
  <c r="EW578" i="1" a="1"/>
  <c r="EW578" i="1"/>
  <c r="EW579" i="1" a="1"/>
  <c r="EW579" i="1"/>
  <c r="EW580" i="1" a="1"/>
  <c r="EW580" i="1"/>
  <c r="EW581" i="1" a="1"/>
  <c r="EW581" i="1"/>
  <c r="EW582" i="1" a="1"/>
  <c r="EW582" i="1"/>
  <c r="EW583" i="1" a="1"/>
  <c r="EW583" i="1"/>
  <c r="EW584" i="1" a="1"/>
  <c r="EW584" i="1"/>
  <c r="EW585" i="1" a="1"/>
  <c r="EW585" i="1"/>
  <c r="EW586" i="1" a="1"/>
  <c r="EW586" i="1"/>
  <c r="EW587" i="1" a="1"/>
  <c r="EW587" i="1"/>
  <c r="EW588" i="1" a="1"/>
  <c r="EW588" i="1"/>
  <c r="EW589" i="1" a="1"/>
  <c r="EW589" i="1"/>
  <c r="EW590" i="1" a="1"/>
  <c r="EW590" i="1"/>
  <c r="EW591" i="1" a="1"/>
  <c r="EW591" i="1"/>
  <c r="EW592" i="1" a="1"/>
  <c r="EW592" i="1"/>
  <c r="EW593" i="1" a="1"/>
  <c r="EW593" i="1"/>
  <c r="EW594" i="1" a="1"/>
  <c r="EW594" i="1"/>
  <c r="EW595" i="1" a="1"/>
  <c r="EW595" i="1"/>
  <c r="EW596" i="1" a="1"/>
  <c r="EW596" i="1"/>
  <c r="EW597" i="1" a="1"/>
  <c r="EW597" i="1"/>
  <c r="EW598" i="1" a="1"/>
  <c r="EW598" i="1"/>
  <c r="EW599" i="1" a="1"/>
  <c r="EW599" i="1"/>
  <c r="EW600" i="1" a="1"/>
  <c r="EW600" i="1"/>
  <c r="EW601" i="1" a="1"/>
  <c r="EW601" i="1"/>
  <c r="EW602" i="1" a="1"/>
  <c r="EW602" i="1"/>
  <c r="EW603" i="1" a="1"/>
  <c r="EW603" i="1"/>
  <c r="EW604" i="1" a="1"/>
  <c r="EW604" i="1"/>
  <c r="EW605" i="1" a="1"/>
  <c r="EW605" i="1"/>
  <c r="EW606" i="1" a="1"/>
  <c r="EW606" i="1"/>
  <c r="EW607" i="1" a="1"/>
  <c r="EW607" i="1"/>
  <c r="EW608" i="1" a="1"/>
  <c r="EW608" i="1"/>
  <c r="EW609" i="1" a="1"/>
  <c r="EW609" i="1"/>
  <c r="EW610" i="1" a="1"/>
  <c r="EW610" i="1"/>
  <c r="EW611" i="1" a="1"/>
  <c r="EW611" i="1"/>
  <c r="EW612" i="1" a="1"/>
  <c r="EW612" i="1"/>
  <c r="EW613" i="1" a="1"/>
  <c r="EW613" i="1"/>
  <c r="EW614" i="1" a="1"/>
  <c r="EW614" i="1"/>
  <c r="EW615" i="1" a="1"/>
  <c r="EW615" i="1"/>
  <c r="EW616" i="1" a="1"/>
  <c r="EW616" i="1"/>
  <c r="EW617" i="1" a="1"/>
  <c r="EW617" i="1"/>
  <c r="EW618" i="1" a="1"/>
  <c r="EW618" i="1"/>
  <c r="EW619" i="1" a="1"/>
  <c r="EW619" i="1"/>
  <c r="EW620" i="1" a="1"/>
  <c r="EW620" i="1"/>
  <c r="EW621" i="1" a="1"/>
  <c r="EW621" i="1"/>
  <c r="EW622" i="1" a="1"/>
  <c r="EW622" i="1"/>
  <c r="EW623" i="1" a="1"/>
  <c r="EW623" i="1"/>
  <c r="EW624" i="1" a="1"/>
  <c r="EW624" i="1"/>
  <c r="EW625" i="1" a="1"/>
  <c r="EW625" i="1"/>
  <c r="EW626" i="1" a="1"/>
  <c r="EW626" i="1"/>
  <c r="EW627" i="1" a="1"/>
  <c r="EW627" i="1"/>
  <c r="EW628" i="1" a="1"/>
  <c r="EW628" i="1"/>
  <c r="EW629" i="1" a="1"/>
  <c r="EW629" i="1"/>
  <c r="EW630" i="1" a="1"/>
  <c r="EW630" i="1"/>
  <c r="EW631" i="1" a="1"/>
  <c r="EW631" i="1"/>
  <c r="EW632" i="1" a="1"/>
  <c r="EW632" i="1"/>
  <c r="EW633" i="1" a="1"/>
  <c r="EW633" i="1"/>
  <c r="EW634" i="1" a="1"/>
  <c r="EW634" i="1"/>
  <c r="EW635" i="1" a="1"/>
  <c r="EW635" i="1"/>
  <c r="EW636" i="1" a="1"/>
  <c r="EW636" i="1"/>
  <c r="EW637" i="1" a="1"/>
  <c r="EW637" i="1"/>
  <c r="EW638" i="1" a="1"/>
  <c r="EW638" i="1"/>
  <c r="EW639" i="1" a="1"/>
  <c r="EW639" i="1"/>
  <c r="EW640" i="1" a="1"/>
  <c r="EW640" i="1"/>
  <c r="EW641" i="1" a="1"/>
  <c r="EW641" i="1"/>
  <c r="EW642" i="1" a="1"/>
  <c r="EW642" i="1"/>
  <c r="EW643" i="1" a="1"/>
  <c r="EW643" i="1"/>
  <c r="EW644" i="1" a="1"/>
  <c r="EW644" i="1"/>
  <c r="EW645" i="1" a="1"/>
  <c r="EW645" i="1"/>
  <c r="EW646" i="1" a="1"/>
  <c r="EW646" i="1"/>
  <c r="EW647" i="1" a="1"/>
  <c r="EW647" i="1"/>
  <c r="EW648" i="1" a="1"/>
  <c r="EW648" i="1"/>
  <c r="EW649" i="1" a="1"/>
  <c r="EW649" i="1"/>
  <c r="EW650" i="1" a="1"/>
  <c r="EW650" i="1"/>
  <c r="EW651" i="1" a="1"/>
  <c r="EW651" i="1"/>
  <c r="EW652" i="1" a="1"/>
  <c r="EW652" i="1"/>
  <c r="EW653" i="1" a="1"/>
  <c r="EW653" i="1"/>
  <c r="EW654" i="1" a="1"/>
  <c r="EW654" i="1"/>
  <c r="EW655" i="1" a="1"/>
  <c r="EW655" i="1"/>
  <c r="EW656" i="1" a="1"/>
  <c r="EW656" i="1"/>
  <c r="EW657" i="1" a="1"/>
  <c r="EW657" i="1"/>
  <c r="EW658" i="1" a="1"/>
  <c r="EW658" i="1"/>
  <c r="EW659" i="1" a="1"/>
  <c r="EW659" i="1"/>
  <c r="EW660" i="1" a="1"/>
  <c r="EW660" i="1"/>
  <c r="EW661" i="1" a="1"/>
  <c r="EW661" i="1"/>
  <c r="EW662" i="1" a="1"/>
  <c r="EW662" i="1"/>
  <c r="EW663" i="1" a="1"/>
  <c r="EW663" i="1"/>
  <c r="EW664" i="1" a="1"/>
  <c r="EW664" i="1"/>
  <c r="EW665" i="1" a="1"/>
  <c r="EW665" i="1"/>
  <c r="EW666" i="1" a="1"/>
  <c r="EW666" i="1"/>
  <c r="EW667" i="1" a="1"/>
  <c r="EW667" i="1"/>
  <c r="EW668" i="1" a="1"/>
  <c r="EW668" i="1"/>
  <c r="EW669" i="1" a="1"/>
  <c r="EW669" i="1"/>
  <c r="EW670" i="1" a="1"/>
  <c r="EW670" i="1"/>
  <c r="EW671" i="1" a="1"/>
  <c r="EW671" i="1"/>
  <c r="EW672" i="1" a="1"/>
  <c r="EW672" i="1"/>
  <c r="EW673" i="1" a="1"/>
  <c r="EW673" i="1"/>
  <c r="EW674" i="1" a="1"/>
  <c r="EW674" i="1"/>
  <c r="EW675" i="1" a="1"/>
  <c r="EW675" i="1"/>
  <c r="EW676" i="1" a="1"/>
  <c r="EW676" i="1"/>
  <c r="EW677" i="1" a="1"/>
  <c r="EW677" i="1"/>
  <c r="EW678" i="1" a="1"/>
  <c r="EW678" i="1"/>
  <c r="EW679" i="1" a="1"/>
  <c r="EW679" i="1"/>
  <c r="EW680" i="1" a="1"/>
  <c r="EW680" i="1"/>
  <c r="EW681" i="1" a="1"/>
  <c r="EW681" i="1"/>
  <c r="EW682" i="1" a="1"/>
  <c r="EW682" i="1"/>
  <c r="EW683" i="1" a="1"/>
  <c r="EW683" i="1"/>
  <c r="EW684" i="1" a="1"/>
  <c r="EW684" i="1"/>
  <c r="EW685" i="1" a="1"/>
  <c r="EW685" i="1"/>
  <c r="EW686" i="1" a="1"/>
  <c r="EW686" i="1"/>
  <c r="EW687" i="1" a="1"/>
  <c r="EW687" i="1"/>
  <c r="EW688" i="1" a="1"/>
  <c r="EW688" i="1"/>
  <c r="EW689" i="1" a="1"/>
  <c r="EW689" i="1"/>
  <c r="EW690" i="1" a="1"/>
  <c r="EW690" i="1"/>
  <c r="EW691" i="1" a="1"/>
  <c r="EW691" i="1"/>
  <c r="EW692" i="1" a="1"/>
  <c r="EW692" i="1"/>
  <c r="EW693" i="1" a="1"/>
  <c r="EW693" i="1"/>
  <c r="EW694" i="1" a="1"/>
  <c r="EW694" i="1"/>
  <c r="EW695" i="1" a="1"/>
  <c r="EW695" i="1"/>
  <c r="EW696" i="1" a="1"/>
  <c r="EW696" i="1"/>
  <c r="EW697" i="1" a="1"/>
  <c r="EW697" i="1"/>
  <c r="EW698" i="1" a="1"/>
  <c r="EW698" i="1"/>
  <c r="EW699" i="1" a="1"/>
  <c r="EW699" i="1"/>
  <c r="EW700" i="1" a="1"/>
  <c r="EW700" i="1"/>
  <c r="EW701" i="1" a="1"/>
  <c r="EW701" i="1"/>
  <c r="EW702" i="1" a="1"/>
  <c r="EW702" i="1"/>
  <c r="EW703" i="1" a="1"/>
  <c r="EW703" i="1"/>
  <c r="EW704" i="1" a="1"/>
  <c r="EW704" i="1"/>
  <c r="EW705" i="1" a="1"/>
  <c r="EW705" i="1"/>
  <c r="EW706" i="1" a="1"/>
  <c r="EW706" i="1"/>
  <c r="EW707" i="1" a="1"/>
  <c r="EW707" i="1"/>
  <c r="EW708" i="1" a="1"/>
  <c r="EW708" i="1"/>
  <c r="EW709" i="1" a="1"/>
  <c r="EW709" i="1"/>
  <c r="EW710" i="1" a="1"/>
  <c r="EW710" i="1"/>
  <c r="EW711" i="1" a="1"/>
  <c r="EW711" i="1"/>
  <c r="EW712" i="1" a="1"/>
  <c r="EW712" i="1"/>
  <c r="EW713" i="1" a="1"/>
  <c r="EW713" i="1"/>
  <c r="EW714" i="1" a="1"/>
  <c r="EW714" i="1"/>
  <c r="EW715" i="1" a="1"/>
  <c r="EW715" i="1"/>
  <c r="EW716" i="1" a="1"/>
  <c r="EW716" i="1"/>
  <c r="EW717" i="1" a="1"/>
  <c r="EW717" i="1"/>
  <c r="EW718" i="1" a="1"/>
  <c r="EW718" i="1"/>
  <c r="EW719" i="1" a="1"/>
  <c r="EW719" i="1"/>
  <c r="EW720" i="1" a="1"/>
  <c r="EW720" i="1"/>
  <c r="EW721" i="1" a="1"/>
  <c r="EW721" i="1"/>
  <c r="EW722" i="1" a="1"/>
  <c r="EW722" i="1"/>
  <c r="EW723" i="1" a="1"/>
  <c r="EW723" i="1"/>
  <c r="EW724" i="1" a="1"/>
  <c r="EW724" i="1"/>
  <c r="EW725" i="1" a="1"/>
  <c r="EW725" i="1"/>
  <c r="EW726" i="1" a="1"/>
  <c r="EW726" i="1"/>
  <c r="EW727" i="1" a="1"/>
  <c r="EW727" i="1"/>
  <c r="EW728" i="1" a="1"/>
  <c r="EW728" i="1"/>
  <c r="EW729" i="1" a="1"/>
  <c r="EW729" i="1"/>
  <c r="EW730" i="1" a="1"/>
  <c r="EW730" i="1"/>
  <c r="EW731" i="1" a="1"/>
  <c r="EW731" i="1"/>
  <c r="EW732" i="1" a="1"/>
  <c r="EW732" i="1"/>
  <c r="EW733" i="1" a="1"/>
  <c r="EW733" i="1"/>
  <c r="EW734" i="1" a="1"/>
  <c r="EW734" i="1"/>
  <c r="EW735" i="1" a="1"/>
  <c r="EW735" i="1"/>
  <c r="EW736" i="1" a="1"/>
  <c r="EW736" i="1"/>
  <c r="EW737" i="1" a="1"/>
  <c r="EW737" i="1"/>
  <c r="EW738" i="1" a="1"/>
  <c r="EW738" i="1"/>
  <c r="EW739" i="1" a="1"/>
  <c r="EW739" i="1"/>
  <c r="EW740" i="1" a="1"/>
  <c r="EW740" i="1"/>
  <c r="EW741" i="1" a="1"/>
  <c r="EW741" i="1"/>
  <c r="EW742" i="1" a="1"/>
  <c r="EW742" i="1"/>
  <c r="EW743" i="1" a="1"/>
  <c r="EW743" i="1"/>
  <c r="EW744" i="1" a="1"/>
  <c r="EW744" i="1"/>
  <c r="EW745" i="1" a="1"/>
  <c r="EW745" i="1"/>
  <c r="EW746" i="1" a="1"/>
  <c r="EW746" i="1"/>
  <c r="EW747" i="1" a="1"/>
  <c r="EW747" i="1"/>
  <c r="EW748" i="1" a="1"/>
  <c r="EW748" i="1"/>
  <c r="EW749" i="1" a="1"/>
  <c r="EW749" i="1"/>
  <c r="EW750" i="1" a="1"/>
  <c r="EW750" i="1"/>
  <c r="EW751" i="1" a="1"/>
  <c r="EW751" i="1"/>
  <c r="EW752" i="1" a="1"/>
  <c r="EW752" i="1"/>
  <c r="EW753" i="1" a="1"/>
  <c r="EW753" i="1"/>
  <c r="EW754" i="1" a="1"/>
  <c r="EW754" i="1"/>
  <c r="EW755" i="1" a="1"/>
  <c r="EW755" i="1"/>
  <c r="EW756" i="1" a="1"/>
  <c r="EW756" i="1"/>
  <c r="EW757" i="1" a="1"/>
  <c r="EW757" i="1"/>
  <c r="EW758" i="1" a="1"/>
  <c r="EW758" i="1"/>
  <c r="EW759" i="1" a="1"/>
  <c r="EW759" i="1"/>
  <c r="EW760" i="1" a="1"/>
  <c r="EW760" i="1"/>
  <c r="EW761" i="1" a="1"/>
  <c r="EW761" i="1"/>
  <c r="EW762" i="1" a="1"/>
  <c r="EW762" i="1"/>
  <c r="EW763" i="1" a="1"/>
  <c r="EW763" i="1"/>
  <c r="EW764" i="1" a="1"/>
  <c r="EW764" i="1"/>
  <c r="EW765" i="1" a="1"/>
  <c r="EW765" i="1"/>
  <c r="EW766" i="1" a="1"/>
  <c r="EW766" i="1"/>
  <c r="EW767" i="1" a="1"/>
  <c r="EW767" i="1"/>
  <c r="EW768" i="1" a="1"/>
  <c r="EW768" i="1"/>
  <c r="EW769" i="1" a="1"/>
  <c r="EW769" i="1"/>
  <c r="EW770" i="1" a="1"/>
  <c r="EW770" i="1"/>
  <c r="EW771" i="1" a="1"/>
  <c r="EW771" i="1"/>
  <c r="EW772" i="1" a="1"/>
  <c r="EW772" i="1"/>
  <c r="EW773" i="1" a="1"/>
  <c r="EW773" i="1"/>
  <c r="EW774" i="1" a="1"/>
  <c r="EW774" i="1"/>
  <c r="EW775" i="1" a="1"/>
  <c r="EW775" i="1"/>
  <c r="EW776" i="1" a="1"/>
  <c r="EW776" i="1"/>
  <c r="EW777" i="1" a="1"/>
  <c r="EW777" i="1"/>
  <c r="EW778" i="1" a="1"/>
  <c r="EW778" i="1"/>
  <c r="EW779" i="1" a="1"/>
  <c r="EW779" i="1"/>
  <c r="EW780" i="1" a="1"/>
  <c r="EW780" i="1"/>
  <c r="EW781" i="1" a="1"/>
  <c r="EW781" i="1"/>
  <c r="EW782" i="1" a="1"/>
  <c r="EW782" i="1"/>
  <c r="EW783" i="1" a="1"/>
  <c r="EW783" i="1"/>
  <c r="EW784" i="1" a="1"/>
  <c r="EW784" i="1"/>
  <c r="EW785" i="1" a="1"/>
  <c r="EW785" i="1"/>
  <c r="EW786" i="1" a="1"/>
  <c r="EW786" i="1"/>
  <c r="EW787" i="1" a="1"/>
  <c r="EW787" i="1"/>
  <c r="EW788" i="1" a="1"/>
  <c r="EW788" i="1"/>
  <c r="EW789" i="1" a="1"/>
  <c r="EW789" i="1"/>
  <c r="EW790" i="1" a="1"/>
  <c r="EW790" i="1"/>
  <c r="EW791" i="1" a="1"/>
  <c r="EW791" i="1"/>
  <c r="EW792" i="1" a="1"/>
  <c r="EW792" i="1"/>
  <c r="EW793" i="1" a="1"/>
  <c r="EW793" i="1"/>
  <c r="EW794" i="1" a="1"/>
  <c r="EW794" i="1"/>
  <c r="EW795" i="1" a="1"/>
  <c r="EW795" i="1"/>
  <c r="EW796" i="1" a="1"/>
  <c r="EW796" i="1"/>
  <c r="EW797" i="1" a="1"/>
  <c r="EW797" i="1"/>
  <c r="EW798" i="1" a="1"/>
  <c r="EW798" i="1"/>
  <c r="EW799" i="1" a="1"/>
  <c r="EW799" i="1"/>
  <c r="EW800" i="1" a="1"/>
  <c r="EW800" i="1"/>
  <c r="EW801" i="1" a="1"/>
  <c r="EW801" i="1"/>
  <c r="EW802" i="1" a="1"/>
  <c r="EW802" i="1"/>
  <c r="EW803" i="1" a="1"/>
  <c r="EW803" i="1"/>
  <c r="EW804" i="1" a="1"/>
  <c r="EW804" i="1"/>
  <c r="EW805" i="1" a="1"/>
  <c r="EW805" i="1"/>
  <c r="EW806" i="1" a="1"/>
  <c r="EW806" i="1"/>
  <c r="EW807" i="1" a="1"/>
  <c r="EW807" i="1"/>
  <c r="EW808" i="1" a="1"/>
  <c r="EW808" i="1"/>
  <c r="EW809" i="1" a="1"/>
  <c r="EW809" i="1"/>
  <c r="EW810" i="1" a="1"/>
  <c r="EW810" i="1"/>
  <c r="EW811" i="1" a="1"/>
  <c r="EW811" i="1"/>
  <c r="EW812" i="1" a="1"/>
  <c r="EW812" i="1"/>
  <c r="EW813" i="1" a="1"/>
  <c r="EW813" i="1"/>
  <c r="EW814" i="1" a="1"/>
  <c r="EW814" i="1"/>
  <c r="EW815" i="1" a="1"/>
  <c r="EW815" i="1"/>
  <c r="EW816" i="1" a="1"/>
  <c r="EW816" i="1"/>
  <c r="EW817" i="1" a="1"/>
  <c r="EW817" i="1"/>
  <c r="EW818" i="1" a="1"/>
  <c r="EW818" i="1"/>
  <c r="EW819" i="1" a="1"/>
  <c r="EW819" i="1"/>
  <c r="EW820" i="1" a="1"/>
  <c r="EW820" i="1"/>
  <c r="EW821" i="1" a="1"/>
  <c r="EW821" i="1"/>
  <c r="EW822" i="1" a="1"/>
  <c r="EW822" i="1"/>
  <c r="EW823" i="1" a="1"/>
  <c r="EW823" i="1"/>
  <c r="EW824" i="1" a="1"/>
  <c r="EW824" i="1"/>
  <c r="EW825" i="1" a="1"/>
  <c r="EW825" i="1"/>
  <c r="EW826" i="1" a="1"/>
  <c r="EW826" i="1"/>
  <c r="EW827" i="1" a="1"/>
  <c r="EW827" i="1"/>
  <c r="EW828" i="1" a="1"/>
  <c r="EW828" i="1"/>
  <c r="EW829" i="1" a="1"/>
  <c r="EW829" i="1"/>
  <c r="EW830" i="1" a="1"/>
  <c r="EW830" i="1"/>
  <c r="EW831" i="1" a="1"/>
  <c r="EW831" i="1"/>
  <c r="EW832" i="1" a="1"/>
  <c r="EW832" i="1"/>
  <c r="EW833" i="1" a="1"/>
  <c r="EW833" i="1"/>
  <c r="EW834" i="1" a="1"/>
  <c r="EW834" i="1"/>
  <c r="EW835" i="1" a="1"/>
  <c r="EW835" i="1"/>
  <c r="EW836" i="1" a="1"/>
  <c r="EW836" i="1"/>
  <c r="EW837" i="1" a="1"/>
  <c r="EW837" i="1"/>
  <c r="EW838" i="1" a="1"/>
  <c r="EW838" i="1"/>
  <c r="EW839" i="1" a="1"/>
  <c r="EW839" i="1"/>
  <c r="EW840" i="1" a="1"/>
  <c r="EW840" i="1"/>
  <c r="EW841" i="1" a="1"/>
  <c r="EW841" i="1"/>
  <c r="EW842" i="1" a="1"/>
  <c r="EW842" i="1"/>
  <c r="EW843" i="1" a="1"/>
  <c r="EW843" i="1"/>
  <c r="EW844" i="1" a="1"/>
  <c r="EW844" i="1"/>
  <c r="EW845" i="1" a="1"/>
  <c r="EW845" i="1"/>
  <c r="EW846" i="1" a="1"/>
  <c r="EW846" i="1"/>
  <c r="EW847" i="1" a="1"/>
  <c r="EW847" i="1"/>
  <c r="EW848" i="1" a="1"/>
  <c r="EW848" i="1"/>
  <c r="EW849" i="1" a="1"/>
  <c r="EW849" i="1"/>
  <c r="EW850" i="1" a="1"/>
  <c r="EW850" i="1"/>
  <c r="EW851" i="1" a="1"/>
  <c r="EW851" i="1"/>
  <c r="EW852" i="1" a="1"/>
  <c r="EW852" i="1"/>
  <c r="EW853" i="1" a="1"/>
  <c r="EW853" i="1"/>
  <c r="EW854" i="1" a="1"/>
  <c r="EW854" i="1"/>
  <c r="EW855" i="1" a="1"/>
  <c r="EW855" i="1"/>
  <c r="EW856" i="1" a="1"/>
  <c r="EW856" i="1"/>
  <c r="EW857" i="1" a="1"/>
  <c r="EW857" i="1"/>
  <c r="EW858" i="1" a="1"/>
  <c r="EW858" i="1"/>
  <c r="EW859" i="1" a="1"/>
  <c r="EW859" i="1"/>
  <c r="EW860" i="1" a="1"/>
  <c r="EW860" i="1"/>
  <c r="EW861" i="1" a="1"/>
  <c r="EW861" i="1"/>
  <c r="EW862" i="1" a="1"/>
  <c r="EW862" i="1"/>
  <c r="EW863" i="1" a="1"/>
  <c r="EW863" i="1"/>
  <c r="EW864" i="1" a="1"/>
  <c r="EW864" i="1"/>
  <c r="EW865" i="1" a="1"/>
  <c r="EW865" i="1"/>
  <c r="EW866" i="1" a="1"/>
  <c r="EW866" i="1"/>
  <c r="EW867" i="1" a="1"/>
  <c r="EW867" i="1"/>
  <c r="EW868" i="1" a="1"/>
  <c r="EW868" i="1"/>
  <c r="EW869" i="1" a="1"/>
  <c r="EW869" i="1"/>
  <c r="EW870" i="1" a="1"/>
  <c r="EW870" i="1"/>
  <c r="EW871" i="1" a="1"/>
  <c r="EW871" i="1"/>
  <c r="EW872" i="1" a="1"/>
  <c r="EW872" i="1"/>
  <c r="EW873" i="1" a="1"/>
  <c r="EW873" i="1"/>
  <c r="EW874" i="1" a="1"/>
  <c r="EW874" i="1"/>
  <c r="EW875" i="1" a="1"/>
  <c r="EW875" i="1"/>
  <c r="EW876" i="1" a="1"/>
  <c r="EW876" i="1"/>
  <c r="EW877" i="1" a="1"/>
  <c r="EW877" i="1"/>
  <c r="EW878" i="1" a="1"/>
  <c r="EW878" i="1"/>
  <c r="EW879" i="1" a="1"/>
  <c r="EW879" i="1"/>
  <c r="EW880" i="1" a="1"/>
  <c r="EW880" i="1"/>
  <c r="EW881" i="1" a="1"/>
  <c r="EW881" i="1"/>
  <c r="EW882" i="1" a="1"/>
  <c r="EW882" i="1"/>
  <c r="EW883" i="1" a="1"/>
  <c r="EW883" i="1"/>
  <c r="EW884" i="1" a="1"/>
  <c r="EW884" i="1"/>
  <c r="EW885" i="1" a="1"/>
  <c r="EW885" i="1"/>
  <c r="EW886" i="1" a="1"/>
  <c r="EW886" i="1"/>
  <c r="EW887" i="1" a="1"/>
  <c r="EW887" i="1"/>
  <c r="EW888" i="1" a="1"/>
  <c r="EW888" i="1"/>
  <c r="EW889" i="1" a="1"/>
  <c r="EW889" i="1"/>
  <c r="EW890" i="1" a="1"/>
  <c r="EW890" i="1"/>
  <c r="EW891" i="1" a="1"/>
  <c r="EW891" i="1"/>
  <c r="EW892" i="1" a="1"/>
  <c r="EW892" i="1"/>
  <c r="EW893" i="1" a="1"/>
  <c r="EW893" i="1"/>
  <c r="EW894" i="1" a="1"/>
  <c r="EW894" i="1"/>
  <c r="EW895" i="1" a="1"/>
  <c r="EW895" i="1"/>
  <c r="EW896" i="1" a="1"/>
  <c r="EW896" i="1"/>
  <c r="EW897" i="1" a="1"/>
  <c r="EW897" i="1"/>
  <c r="EW898" i="1" a="1"/>
  <c r="EW898" i="1"/>
  <c r="EW899" i="1" a="1"/>
  <c r="EW899" i="1"/>
  <c r="EW900" i="1" a="1"/>
  <c r="EW900" i="1"/>
  <c r="EW901" i="1" a="1"/>
  <c r="EW901" i="1"/>
  <c r="EW902" i="1" a="1"/>
  <c r="EW902" i="1"/>
  <c r="EW903" i="1" a="1"/>
  <c r="EW903" i="1"/>
  <c r="EW904" i="1" a="1"/>
  <c r="EW904" i="1"/>
  <c r="EW905" i="1" a="1"/>
  <c r="EW905" i="1"/>
  <c r="EW906" i="1" a="1"/>
  <c r="EW906" i="1"/>
  <c r="EW907" i="1" a="1"/>
  <c r="EW907" i="1"/>
  <c r="EW908" i="1" a="1"/>
  <c r="EW908" i="1"/>
  <c r="EW909" i="1" a="1"/>
  <c r="EW909" i="1"/>
  <c r="EW910" i="1" a="1"/>
  <c r="EW910" i="1"/>
  <c r="EW911" i="1" a="1"/>
  <c r="EW911" i="1"/>
  <c r="EW912" i="1" a="1"/>
  <c r="EW912" i="1"/>
  <c r="EW913" i="1" a="1"/>
  <c r="EW913" i="1"/>
  <c r="EW914" i="1" a="1"/>
  <c r="EW914" i="1"/>
  <c r="EW915" i="1" a="1"/>
  <c r="EW915" i="1"/>
  <c r="EW916" i="1" a="1"/>
  <c r="EW916" i="1"/>
  <c r="EW917" i="1" a="1"/>
  <c r="EW917" i="1"/>
  <c r="EW918" i="1" a="1"/>
  <c r="EW918" i="1"/>
  <c r="EW919" i="1" a="1"/>
  <c r="EW919" i="1"/>
  <c r="EW920" i="1" a="1"/>
  <c r="EW920" i="1"/>
  <c r="EW921" i="1" a="1"/>
  <c r="EW921" i="1"/>
  <c r="EW922" i="1" a="1"/>
  <c r="EW922" i="1"/>
  <c r="EW923" i="1" a="1"/>
  <c r="EW923" i="1"/>
  <c r="EW924" i="1" a="1"/>
  <c r="EW924" i="1"/>
  <c r="EW925" i="1" a="1"/>
  <c r="EW925" i="1"/>
  <c r="EW926" i="1" a="1"/>
  <c r="EW926" i="1"/>
  <c r="EW927" i="1" a="1"/>
  <c r="EW927" i="1"/>
  <c r="EW928" i="1" a="1"/>
  <c r="EW928" i="1"/>
  <c r="EW929" i="1" a="1"/>
  <c r="EW929" i="1"/>
  <c r="EW930" i="1" a="1"/>
  <c r="EW930" i="1"/>
  <c r="EW931" i="1" a="1"/>
  <c r="EW931" i="1"/>
  <c r="EW932" i="1" a="1"/>
  <c r="EW932" i="1"/>
  <c r="EW933" i="1" a="1"/>
  <c r="EW933" i="1"/>
  <c r="EW934" i="1" a="1"/>
  <c r="EW934" i="1"/>
  <c r="EW935" i="1" a="1"/>
  <c r="EW935" i="1"/>
  <c r="EW936" i="1" a="1"/>
  <c r="EW936" i="1"/>
  <c r="EW937" i="1" a="1"/>
  <c r="EW937" i="1"/>
  <c r="EW938" i="1" a="1"/>
  <c r="EW938" i="1"/>
  <c r="EW939" i="1" a="1"/>
  <c r="EW939" i="1"/>
  <c r="EW940" i="1" a="1"/>
  <c r="EW940" i="1"/>
  <c r="EW941" i="1" a="1"/>
  <c r="EW941" i="1"/>
  <c r="EW942" i="1" a="1"/>
  <c r="EW942" i="1"/>
  <c r="EW943" i="1" a="1"/>
  <c r="EW943" i="1"/>
  <c r="EW944" i="1" a="1"/>
  <c r="EW944" i="1"/>
  <c r="EW945" i="1" a="1"/>
  <c r="EW945" i="1"/>
  <c r="EW946" i="1" a="1"/>
  <c r="EW946" i="1"/>
  <c r="EW947" i="1" a="1"/>
  <c r="EW947" i="1"/>
  <c r="EW948" i="1" a="1"/>
  <c r="EW948" i="1"/>
  <c r="EW949" i="1" a="1"/>
  <c r="EW949" i="1"/>
  <c r="EW950" i="1" a="1"/>
  <c r="EW950" i="1"/>
  <c r="EW951" i="1" a="1"/>
  <c r="EW951" i="1"/>
  <c r="EW952" i="1" a="1"/>
  <c r="EW952" i="1"/>
  <c r="EW953" i="1" a="1"/>
  <c r="EW953" i="1"/>
  <c r="EW954" i="1" a="1"/>
  <c r="EW954" i="1"/>
  <c r="EW955" i="1" a="1"/>
  <c r="EW955" i="1"/>
  <c r="EW956" i="1" a="1"/>
  <c r="EW956" i="1"/>
  <c r="EW957" i="1" a="1"/>
  <c r="EW957" i="1"/>
  <c r="EW958" i="1" a="1"/>
  <c r="EW958" i="1"/>
  <c r="EW959" i="1" a="1"/>
  <c r="EW959" i="1"/>
  <c r="EW960" i="1" a="1"/>
  <c r="EW960" i="1"/>
  <c r="EW961" i="1" a="1"/>
  <c r="EW961" i="1"/>
  <c r="EW962" i="1" a="1"/>
  <c r="EW962" i="1"/>
  <c r="EW963" i="1" a="1"/>
  <c r="EW963" i="1"/>
  <c r="EW964" i="1" a="1"/>
  <c r="EW964" i="1"/>
  <c r="EW965" i="1" a="1"/>
  <c r="EW965" i="1"/>
  <c r="EW966" i="1" a="1"/>
  <c r="EW966" i="1"/>
  <c r="EW967" i="1" a="1"/>
  <c r="EW967" i="1"/>
  <c r="EW968" i="1" a="1"/>
  <c r="EW968" i="1"/>
  <c r="EW969" i="1" a="1"/>
  <c r="EW969" i="1"/>
  <c r="EW970" i="1" a="1"/>
  <c r="EW970" i="1"/>
  <c r="EW971" i="1" a="1"/>
  <c r="EW971" i="1"/>
  <c r="EW972" i="1" a="1"/>
  <c r="EW972" i="1"/>
  <c r="EW973" i="1" a="1"/>
  <c r="EW973" i="1"/>
  <c r="EW974" i="1" a="1"/>
  <c r="EW974" i="1"/>
  <c r="EW975" i="1" a="1"/>
  <c r="EW975" i="1"/>
  <c r="EW976" i="1" a="1"/>
  <c r="EW976" i="1"/>
  <c r="EW977" i="1" a="1"/>
  <c r="EW977" i="1"/>
  <c r="EW978" i="1" a="1"/>
  <c r="EW978" i="1"/>
  <c r="EW979" i="1" a="1"/>
  <c r="EW979" i="1"/>
  <c r="EW980" i="1" a="1"/>
  <c r="EW980" i="1"/>
  <c r="EW981" i="1" a="1"/>
  <c r="EW981" i="1"/>
  <c r="EW982" i="1" a="1"/>
  <c r="EW982" i="1"/>
  <c r="EW983" i="1" a="1"/>
  <c r="EW983" i="1"/>
  <c r="EW984" i="1" a="1"/>
  <c r="EW984" i="1"/>
  <c r="EW985" i="1" a="1"/>
  <c r="EW985" i="1"/>
  <c r="EW986" i="1" a="1"/>
  <c r="EW986" i="1"/>
  <c r="EW987" i="1" a="1"/>
  <c r="EW987" i="1"/>
  <c r="EW988" i="1" a="1"/>
  <c r="EW988" i="1"/>
  <c r="EW989" i="1" a="1"/>
  <c r="EW989" i="1"/>
  <c r="EW990" i="1" a="1"/>
  <c r="EW990" i="1"/>
  <c r="EW991" i="1" a="1"/>
  <c r="EW991" i="1"/>
  <c r="EW992" i="1" a="1"/>
  <c r="EW992" i="1"/>
  <c r="EW993" i="1" a="1"/>
  <c r="EW993" i="1"/>
  <c r="EW994" i="1" a="1"/>
  <c r="EW994" i="1"/>
  <c r="EW995" i="1" a="1"/>
  <c r="EW995" i="1"/>
  <c r="EW996" i="1" a="1"/>
  <c r="EW996" i="1"/>
  <c r="EW997" i="1" a="1"/>
  <c r="EW997" i="1"/>
  <c r="EW998" i="1" a="1"/>
  <c r="EW998" i="1"/>
  <c r="EW999" i="1" a="1"/>
  <c r="EW999" i="1"/>
  <c r="EW1000" i="1" a="1"/>
  <c r="EW1000" i="1"/>
  <c r="EW1001" i="1" a="1"/>
  <c r="EW1001" i="1"/>
  <c r="EW1002" i="1" a="1"/>
  <c r="EW1002" i="1"/>
  <c r="EW1003" i="1" a="1"/>
  <c r="EW1003" i="1"/>
  <c r="EW1004" i="1" a="1"/>
  <c r="EW1004" i="1"/>
  <c r="EW1005" i="1" a="1"/>
  <c r="EW1005" i="1"/>
  <c r="EW1006" i="1" a="1"/>
  <c r="EW1006" i="1"/>
  <c r="EW1007" i="1" a="1"/>
  <c r="EW1007" i="1"/>
  <c r="EW35" i="1" a="1"/>
  <c r="EW35" i="1"/>
  <c r="EW36" i="1" a="1"/>
  <c r="EW36" i="1"/>
  <c r="EW37" i="1" a="1"/>
  <c r="EW37" i="1"/>
  <c r="EW38" i="1" a="1"/>
  <c r="EW38" i="1"/>
  <c r="EW39" i="1" a="1"/>
  <c r="EW39" i="1"/>
  <c r="EW40" i="1" a="1"/>
  <c r="EW40" i="1"/>
  <c r="EW41" i="1" a="1"/>
  <c r="EW41" i="1"/>
  <c r="EW42" i="1" a="1"/>
  <c r="EW42" i="1"/>
  <c r="EW43" i="1" a="1"/>
  <c r="EW43" i="1"/>
  <c r="EW44" i="1" a="1"/>
  <c r="EW44" i="1"/>
  <c r="EW45" i="1" a="1"/>
  <c r="EW45" i="1"/>
  <c r="EW46" i="1" a="1"/>
  <c r="EW46" i="1"/>
  <c r="EW47" i="1" a="1"/>
  <c r="EW47" i="1"/>
  <c r="EW48" i="1" a="1"/>
  <c r="EW48" i="1"/>
  <c r="EW49" i="1" a="1"/>
  <c r="EW49" i="1"/>
  <c r="EW50" i="1" a="1"/>
  <c r="EW50" i="1"/>
  <c r="EW51" i="1" a="1"/>
  <c r="EW51" i="1"/>
  <c r="EW52" i="1" a="1"/>
  <c r="EW52" i="1"/>
  <c r="EW53" i="1" a="1"/>
  <c r="EW53" i="1"/>
  <c r="EW54" i="1" a="1"/>
  <c r="EW54" i="1"/>
  <c r="EW55" i="1" a="1"/>
  <c r="EW55" i="1"/>
  <c r="EW56" i="1" a="1"/>
  <c r="EW56" i="1"/>
  <c r="EW57" i="1" a="1"/>
  <c r="EW57" i="1"/>
  <c r="EW58" i="1" a="1"/>
  <c r="EW58" i="1"/>
  <c r="EW59" i="1" a="1"/>
  <c r="EW59" i="1"/>
  <c r="EW60" i="1" a="1"/>
  <c r="EW60" i="1"/>
  <c r="EW61" i="1" a="1"/>
  <c r="EW61" i="1"/>
  <c r="EW62" i="1" a="1"/>
  <c r="EW62" i="1"/>
  <c r="EW63" i="1" a="1"/>
  <c r="EW63" i="1"/>
  <c r="EW64" i="1" a="1"/>
  <c r="EW64" i="1"/>
  <c r="EW65" i="1" a="1"/>
  <c r="EW65" i="1"/>
  <c r="EW66" i="1" a="1"/>
  <c r="EW66" i="1"/>
  <c r="EW67" i="1" a="1"/>
  <c r="EW67" i="1"/>
  <c r="EW68" i="1" a="1"/>
  <c r="EW68" i="1"/>
  <c r="EW69" i="1" a="1"/>
  <c r="EW69" i="1"/>
  <c r="EW70" i="1" a="1"/>
  <c r="EW70" i="1"/>
  <c r="EW71" i="1" a="1"/>
  <c r="EW71" i="1"/>
  <c r="EW72" i="1" a="1"/>
  <c r="EW72" i="1"/>
  <c r="EW73" i="1" a="1"/>
  <c r="EW73" i="1"/>
  <c r="EW74" i="1" a="1"/>
  <c r="EW74" i="1"/>
  <c r="EW75" i="1" a="1"/>
  <c r="EW75" i="1"/>
  <c r="EW76" i="1" a="1"/>
  <c r="EW76" i="1"/>
  <c r="EW77" i="1" a="1"/>
  <c r="EW77" i="1"/>
  <c r="EW78" i="1" a="1"/>
  <c r="EW78" i="1"/>
  <c r="EW79" i="1" a="1"/>
  <c r="EW79" i="1"/>
  <c r="EW80" i="1" a="1"/>
  <c r="EW80" i="1"/>
  <c r="EW81" i="1" a="1"/>
  <c r="EW81" i="1"/>
  <c r="EW82" i="1" a="1"/>
  <c r="EW82" i="1"/>
  <c r="EW83" i="1" a="1"/>
  <c r="EW83" i="1"/>
  <c r="EW84" i="1" a="1"/>
  <c r="EW84" i="1"/>
  <c r="EW85" i="1" a="1"/>
  <c r="EW85" i="1"/>
  <c r="EW86" i="1" a="1"/>
  <c r="EW86" i="1"/>
  <c r="EW87" i="1" a="1"/>
  <c r="EW87" i="1"/>
  <c r="EW88" i="1" a="1"/>
  <c r="EW88" i="1"/>
  <c r="EW89" i="1" a="1"/>
  <c r="EW89" i="1"/>
  <c r="EW90" i="1" a="1"/>
  <c r="EW90" i="1"/>
  <c r="EW91" i="1" a="1"/>
  <c r="EW91" i="1"/>
  <c r="EW92" i="1" a="1"/>
  <c r="EW92" i="1"/>
  <c r="EW93" i="1" a="1"/>
  <c r="EW93" i="1"/>
  <c r="EW94" i="1" a="1"/>
  <c r="EW94" i="1"/>
  <c r="EW95" i="1" a="1"/>
  <c r="EW95" i="1"/>
  <c r="EW96" i="1" a="1"/>
  <c r="EW96" i="1"/>
  <c r="EW97" i="1" a="1"/>
  <c r="EW97" i="1"/>
  <c r="EW98" i="1" a="1"/>
  <c r="EW98" i="1"/>
  <c r="EW99" i="1" a="1"/>
  <c r="EW99" i="1"/>
  <c r="EW100" i="1" a="1"/>
  <c r="EW100" i="1"/>
  <c r="EW101" i="1" a="1"/>
  <c r="EW101" i="1"/>
  <c r="EW102" i="1" a="1"/>
  <c r="EW102" i="1"/>
  <c r="EW103" i="1" a="1"/>
  <c r="EW103" i="1"/>
  <c r="EW104" i="1" a="1"/>
  <c r="EW104" i="1"/>
  <c r="EW105" i="1" a="1"/>
  <c r="EW105" i="1"/>
  <c r="EW106" i="1" a="1"/>
  <c r="EW106" i="1"/>
  <c r="EW107" i="1" a="1"/>
  <c r="EW107" i="1"/>
  <c r="EW108" i="1" a="1"/>
  <c r="EW108" i="1"/>
  <c r="EW109" i="1" a="1"/>
  <c r="EW109" i="1"/>
  <c r="EW110" i="1" a="1"/>
  <c r="EW110" i="1"/>
  <c r="EW111" i="1" a="1"/>
  <c r="EW111" i="1"/>
  <c r="EW112" i="1" a="1"/>
  <c r="EW112" i="1"/>
  <c r="EW113" i="1" a="1"/>
  <c r="EW113" i="1"/>
  <c r="EW114" i="1" a="1"/>
  <c r="EW114" i="1"/>
  <c r="EW115" i="1" a="1"/>
  <c r="EW115" i="1"/>
  <c r="EW116" i="1" a="1"/>
  <c r="EW116" i="1"/>
  <c r="EW117" i="1" a="1"/>
  <c r="EW117" i="1"/>
  <c r="EW118" i="1" a="1"/>
  <c r="EW118" i="1"/>
  <c r="EW119" i="1" a="1"/>
  <c r="EW119" i="1"/>
  <c r="EW120" i="1" a="1"/>
  <c r="EW120" i="1"/>
  <c r="EW121" i="1" a="1"/>
  <c r="EW121" i="1"/>
  <c r="EW122" i="1" a="1"/>
  <c r="EW122" i="1"/>
  <c r="EW123" i="1" a="1"/>
  <c r="EW123" i="1"/>
  <c r="EW124" i="1" a="1"/>
  <c r="EW124" i="1"/>
  <c r="EW125" i="1" a="1"/>
  <c r="EW125" i="1"/>
  <c r="EW126" i="1" a="1"/>
  <c r="EW126" i="1"/>
  <c r="EW127" i="1" a="1"/>
  <c r="EW127" i="1"/>
  <c r="EW128" i="1" a="1"/>
  <c r="EW128" i="1"/>
  <c r="EW129" i="1" a="1"/>
  <c r="EW129" i="1"/>
  <c r="EW130" i="1" a="1"/>
  <c r="EW130" i="1"/>
  <c r="EW131" i="1" a="1"/>
  <c r="EW131" i="1"/>
  <c r="EW132" i="1" a="1"/>
  <c r="EW132" i="1"/>
  <c r="EW133" i="1" a="1"/>
  <c r="EW133" i="1"/>
  <c r="EW134" i="1" a="1"/>
  <c r="EW134" i="1"/>
  <c r="EW135" i="1" a="1"/>
  <c r="EW135" i="1"/>
  <c r="EW136" i="1" a="1"/>
  <c r="EW136" i="1"/>
  <c r="EW137" i="1" a="1"/>
  <c r="EW137" i="1"/>
  <c r="EW138" i="1" a="1"/>
  <c r="EW138" i="1"/>
  <c r="EW139" i="1" a="1"/>
  <c r="EW139" i="1"/>
  <c r="EW140" i="1" a="1"/>
  <c r="EW140" i="1"/>
  <c r="EW141" i="1" a="1"/>
  <c r="EW141" i="1"/>
  <c r="EW142" i="1" a="1"/>
  <c r="EW142" i="1"/>
  <c r="EW143" i="1" a="1"/>
  <c r="EW143" i="1"/>
  <c r="EW144" i="1" a="1"/>
  <c r="EW144" i="1"/>
  <c r="EW145" i="1" a="1"/>
  <c r="EW145" i="1"/>
  <c r="EW146" i="1" a="1"/>
  <c r="EW146" i="1"/>
  <c r="EW147" i="1" a="1"/>
  <c r="EW147" i="1"/>
  <c r="EW148" i="1" a="1"/>
  <c r="EW148" i="1"/>
  <c r="EW149" i="1" a="1"/>
  <c r="EW149" i="1"/>
  <c r="EW150" i="1" a="1"/>
  <c r="EW150" i="1"/>
  <c r="EW151" i="1" a="1"/>
  <c r="EW151" i="1"/>
  <c r="EW152" i="1" a="1"/>
  <c r="EW152" i="1"/>
  <c r="EW153" i="1" a="1"/>
  <c r="EW153" i="1"/>
  <c r="EW154" i="1" a="1"/>
  <c r="EW154" i="1"/>
  <c r="EW155" i="1" a="1"/>
  <c r="EW155" i="1"/>
  <c r="EW156" i="1" a="1"/>
  <c r="EW156" i="1"/>
  <c r="EW157" i="1" a="1"/>
  <c r="EW157" i="1"/>
  <c r="EW158" i="1" a="1"/>
  <c r="EW158" i="1"/>
  <c r="EW159" i="1" a="1"/>
  <c r="EW159" i="1"/>
  <c r="EW160" i="1" a="1"/>
  <c r="EW160" i="1"/>
  <c r="EW161" i="1" a="1"/>
  <c r="EW161" i="1"/>
  <c r="EW162" i="1" a="1"/>
  <c r="EW162" i="1"/>
  <c r="EW163" i="1" a="1"/>
  <c r="EW163" i="1"/>
  <c r="EW164" i="1" a="1"/>
  <c r="EW164" i="1"/>
  <c r="EW165" i="1" a="1"/>
  <c r="EW165" i="1"/>
  <c r="EW166" i="1" a="1"/>
  <c r="EW166" i="1"/>
  <c r="EW167" i="1" a="1"/>
  <c r="EW167" i="1"/>
  <c r="EW168" i="1" a="1"/>
  <c r="EW168" i="1"/>
  <c r="EW169" i="1" a="1"/>
  <c r="EW169" i="1"/>
  <c r="EW170" i="1" a="1"/>
  <c r="EW170" i="1"/>
  <c r="EW171" i="1" a="1"/>
  <c r="EW171" i="1"/>
  <c r="EW172" i="1" a="1"/>
  <c r="EW172" i="1"/>
  <c r="EW173" i="1" a="1"/>
  <c r="EW173" i="1"/>
  <c r="EW174" i="1" a="1"/>
  <c r="EW174" i="1"/>
  <c r="EW175" i="1" a="1"/>
  <c r="EW175" i="1"/>
  <c r="EW176" i="1" a="1"/>
  <c r="EW176" i="1"/>
  <c r="EW177" i="1" a="1"/>
  <c r="EW177" i="1"/>
  <c r="EW178" i="1" a="1"/>
  <c r="EW178" i="1"/>
  <c r="EW179" i="1" a="1"/>
  <c r="EW179" i="1"/>
  <c r="EW180" i="1" a="1"/>
  <c r="EW180" i="1"/>
  <c r="EW181" i="1" a="1"/>
  <c r="EW181" i="1"/>
  <c r="EW182" i="1" a="1"/>
  <c r="EW182" i="1"/>
  <c r="EW183" i="1" a="1"/>
  <c r="EW183" i="1"/>
  <c r="EW184" i="1" a="1"/>
  <c r="EW184" i="1"/>
  <c r="EW185" i="1" a="1"/>
  <c r="EW185" i="1"/>
  <c r="EW186" i="1" a="1"/>
  <c r="EW186" i="1"/>
  <c r="EW187" i="1" a="1"/>
  <c r="EW187" i="1"/>
  <c r="EW188" i="1" a="1"/>
  <c r="EW188" i="1"/>
  <c r="EW189" i="1" a="1"/>
  <c r="EW189" i="1"/>
  <c r="EW190" i="1" a="1"/>
  <c r="EW190" i="1"/>
  <c r="EW191" i="1" a="1"/>
  <c r="EW191" i="1"/>
  <c r="EW192" i="1" a="1"/>
  <c r="EW192" i="1"/>
  <c r="EW193" i="1" a="1"/>
  <c r="EW193" i="1"/>
  <c r="EW194" i="1" a="1"/>
  <c r="EW194" i="1"/>
  <c r="EW195" i="1" a="1"/>
  <c r="EW195" i="1"/>
  <c r="EW196" i="1" a="1"/>
  <c r="EW196" i="1"/>
  <c r="EW197" i="1" a="1"/>
  <c r="EW197" i="1"/>
  <c r="EW198" i="1" a="1"/>
  <c r="EW198" i="1"/>
  <c r="EW199" i="1" a="1"/>
  <c r="EW199" i="1"/>
  <c r="EW200" i="1" a="1"/>
  <c r="EW200" i="1"/>
  <c r="EW201" i="1" a="1"/>
  <c r="EW201" i="1"/>
  <c r="EW202" i="1" a="1"/>
  <c r="EW202" i="1"/>
  <c r="EW203" i="1" a="1"/>
  <c r="EW203" i="1"/>
  <c r="EW204" i="1" a="1"/>
  <c r="EW204" i="1"/>
  <c r="EW205" i="1" a="1"/>
  <c r="EW205" i="1"/>
  <c r="EW206" i="1" a="1"/>
  <c r="EW206" i="1"/>
  <c r="EW207" i="1" a="1"/>
  <c r="EW207" i="1"/>
  <c r="EW208" i="1" a="1"/>
  <c r="EW208" i="1"/>
  <c r="EW209" i="1" a="1"/>
  <c r="EW209" i="1"/>
  <c r="EW210" i="1" a="1"/>
  <c r="EW210" i="1"/>
  <c r="EW211" i="1" a="1"/>
  <c r="EW211" i="1"/>
  <c r="EW212" i="1" a="1"/>
  <c r="EW212" i="1"/>
  <c r="EW213" i="1" a="1"/>
  <c r="EW213" i="1"/>
  <c r="EW214" i="1" a="1"/>
  <c r="EW214" i="1"/>
  <c r="EW215" i="1" a="1"/>
  <c r="EW215" i="1"/>
  <c r="EW216" i="1" a="1"/>
  <c r="EW216" i="1"/>
  <c r="EW217" i="1" a="1"/>
  <c r="EW217" i="1"/>
  <c r="EW218" i="1" a="1"/>
  <c r="EW218" i="1"/>
  <c r="EW219" i="1" a="1"/>
  <c r="EW219" i="1"/>
  <c r="EW220" i="1" a="1"/>
  <c r="EW220" i="1"/>
  <c r="EW221" i="1" a="1"/>
  <c r="EW221" i="1"/>
  <c r="EW222" i="1" a="1"/>
  <c r="EW222" i="1"/>
  <c r="EW223" i="1" a="1"/>
  <c r="EW223" i="1"/>
  <c r="EW224" i="1" a="1"/>
  <c r="EW224" i="1"/>
  <c r="EW225" i="1" a="1"/>
  <c r="EW225" i="1"/>
  <c r="EW226" i="1" a="1"/>
  <c r="EW226" i="1"/>
  <c r="EW227" i="1" a="1"/>
  <c r="EW227" i="1"/>
  <c r="EW228" i="1" a="1"/>
  <c r="EW228" i="1"/>
  <c r="EW229" i="1" a="1"/>
  <c r="EW229" i="1"/>
  <c r="EW230" i="1" a="1"/>
  <c r="EW230" i="1"/>
  <c r="EW231" i="1" a="1"/>
  <c r="EW231" i="1"/>
  <c r="EW232" i="1" a="1"/>
  <c r="EW232" i="1"/>
  <c r="EW233" i="1" a="1"/>
  <c r="EW233" i="1"/>
  <c r="EW234" i="1" a="1"/>
  <c r="EW234" i="1"/>
  <c r="EW235" i="1" a="1"/>
  <c r="EW235" i="1"/>
  <c r="EW236" i="1" a="1"/>
  <c r="EW236" i="1"/>
  <c r="EW237" i="1" a="1"/>
  <c r="EW237" i="1"/>
  <c r="EW238" i="1" a="1"/>
  <c r="EW238" i="1"/>
  <c r="EW239" i="1" a="1"/>
  <c r="EW239" i="1"/>
  <c r="EW240" i="1" a="1"/>
  <c r="EW240" i="1"/>
  <c r="EW241" i="1" a="1"/>
  <c r="EW241" i="1"/>
  <c r="EW242" i="1" a="1"/>
  <c r="EW242" i="1"/>
  <c r="EW243" i="1" a="1"/>
  <c r="EW243" i="1"/>
  <c r="EW244" i="1" a="1"/>
  <c r="EW244" i="1"/>
  <c r="EW245" i="1" a="1"/>
  <c r="EW245" i="1"/>
  <c r="EW246" i="1" a="1"/>
  <c r="EW246" i="1"/>
  <c r="EW247" i="1" a="1"/>
  <c r="EW247" i="1"/>
  <c r="EW248" i="1" a="1"/>
  <c r="EW248" i="1"/>
  <c r="EW249" i="1" a="1"/>
  <c r="EW249" i="1"/>
  <c r="EW250" i="1" a="1"/>
  <c r="EW250" i="1"/>
  <c r="EW251" i="1" a="1"/>
  <c r="EW251" i="1"/>
  <c r="EW252" i="1" a="1"/>
  <c r="EW252" i="1"/>
  <c r="EW253" i="1" a="1"/>
  <c r="EW253" i="1"/>
  <c r="EW254" i="1" a="1"/>
  <c r="EW254" i="1"/>
  <c r="EW255" i="1" a="1"/>
  <c r="EW255" i="1"/>
  <c r="EW256" i="1" a="1"/>
  <c r="EW256" i="1"/>
  <c r="EW257" i="1" a="1"/>
  <c r="EW257" i="1"/>
  <c r="EW258" i="1" a="1"/>
  <c r="EW258" i="1"/>
  <c r="EW259" i="1" a="1"/>
  <c r="EW259" i="1"/>
  <c r="EW260" i="1" a="1"/>
  <c r="EW260" i="1"/>
  <c r="EW261" i="1" a="1"/>
  <c r="EW261" i="1"/>
  <c r="EW262" i="1" a="1"/>
  <c r="EW262" i="1"/>
  <c r="EW263" i="1" a="1"/>
  <c r="EW263" i="1"/>
  <c r="EW264" i="1" a="1"/>
  <c r="EW264" i="1"/>
  <c r="EW265" i="1" a="1"/>
  <c r="EW265" i="1"/>
  <c r="EW266" i="1" a="1"/>
  <c r="EW266" i="1"/>
  <c r="EW267" i="1" a="1"/>
  <c r="EW267" i="1"/>
  <c r="EW268" i="1" a="1"/>
  <c r="EW268" i="1"/>
  <c r="EW269" i="1" a="1"/>
  <c r="EW269" i="1"/>
  <c r="EW270" i="1" a="1"/>
  <c r="EW270" i="1"/>
  <c r="EW271" i="1" a="1"/>
  <c r="EW271" i="1"/>
  <c r="EW272" i="1" a="1"/>
  <c r="EW272" i="1"/>
  <c r="EW273" i="1" a="1"/>
  <c r="EW273" i="1"/>
  <c r="EW274" i="1" a="1"/>
  <c r="EW274" i="1"/>
  <c r="EW275" i="1" a="1"/>
  <c r="EW275" i="1"/>
  <c r="EW276" i="1" a="1"/>
  <c r="EW276" i="1"/>
  <c r="EW277" i="1" a="1"/>
  <c r="EW277" i="1"/>
  <c r="EW278" i="1" a="1"/>
  <c r="EW278" i="1"/>
  <c r="EW279" i="1" a="1"/>
  <c r="EW279" i="1"/>
  <c r="EW280" i="1" a="1"/>
  <c r="EW280" i="1"/>
  <c r="EW281" i="1" a="1"/>
  <c r="EW281" i="1"/>
  <c r="EW282" i="1" a="1"/>
  <c r="EW282" i="1"/>
  <c r="EW283" i="1" a="1"/>
  <c r="EW283" i="1"/>
  <c r="EW284" i="1" a="1"/>
  <c r="EW284" i="1"/>
  <c r="EW285" i="1" a="1"/>
  <c r="EW285" i="1"/>
  <c r="EW286" i="1" a="1"/>
  <c r="EW286" i="1"/>
  <c r="EW287" i="1" a="1"/>
  <c r="EW287" i="1"/>
  <c r="EW288" i="1" a="1"/>
  <c r="EW288" i="1"/>
  <c r="EW289" i="1" a="1"/>
  <c r="EW289" i="1"/>
  <c r="EW290" i="1" a="1"/>
  <c r="EW290" i="1"/>
  <c r="EW291" i="1" a="1"/>
  <c r="EW291" i="1"/>
  <c r="EW292" i="1" a="1"/>
  <c r="EW292" i="1"/>
  <c r="EW293" i="1" a="1"/>
  <c r="EW293" i="1"/>
  <c r="EW294" i="1" a="1"/>
  <c r="EW294" i="1"/>
  <c r="EW295" i="1" a="1"/>
  <c r="EW295" i="1"/>
  <c r="EW296" i="1" a="1"/>
  <c r="EW296" i="1"/>
  <c r="EW297" i="1" a="1"/>
  <c r="EW297" i="1"/>
  <c r="EW298" i="1" a="1"/>
  <c r="EW298" i="1"/>
  <c r="EW299" i="1" a="1"/>
  <c r="EW299" i="1"/>
  <c r="EW300" i="1" a="1"/>
  <c r="EW300" i="1"/>
  <c r="EW301" i="1" a="1"/>
  <c r="EW301" i="1"/>
  <c r="EW302" i="1" a="1"/>
  <c r="EW302" i="1"/>
  <c r="EW303" i="1" a="1"/>
  <c r="EW303" i="1"/>
  <c r="EW304" i="1" a="1"/>
  <c r="EW304" i="1"/>
  <c r="EW305" i="1" a="1"/>
  <c r="EW305" i="1"/>
  <c r="EW306" i="1" a="1"/>
  <c r="EW306" i="1"/>
  <c r="EW307" i="1" a="1"/>
  <c r="EW307" i="1"/>
  <c r="EW308" i="1" a="1"/>
  <c r="EW308" i="1"/>
  <c r="EW309" i="1" a="1"/>
  <c r="EW309" i="1"/>
  <c r="EW310" i="1" a="1"/>
  <c r="EW310" i="1"/>
  <c r="EW311" i="1" a="1"/>
  <c r="EW311" i="1"/>
  <c r="EW312" i="1" a="1"/>
  <c r="EW312" i="1"/>
  <c r="EW313" i="1" a="1"/>
  <c r="EW313" i="1"/>
  <c r="EW314" i="1" a="1"/>
  <c r="EW314" i="1"/>
  <c r="EW315" i="1" a="1"/>
  <c r="EW315" i="1"/>
  <c r="EW316" i="1" a="1"/>
  <c r="EW316" i="1"/>
  <c r="EW317" i="1" a="1"/>
  <c r="EW317" i="1"/>
  <c r="EW318" i="1" a="1"/>
  <c r="EW318" i="1"/>
  <c r="EW319" i="1" a="1"/>
  <c r="EW319" i="1"/>
  <c r="EW320" i="1" a="1"/>
  <c r="EW320" i="1"/>
  <c r="EW321" i="1" a="1"/>
  <c r="EW321" i="1"/>
  <c r="EW322" i="1" a="1"/>
  <c r="EW322" i="1"/>
  <c r="EW323" i="1" a="1"/>
  <c r="EW323" i="1"/>
  <c r="EW324" i="1" a="1"/>
  <c r="EW324" i="1"/>
  <c r="EW325" i="1" a="1"/>
  <c r="EW325" i="1"/>
  <c r="EW326" i="1" a="1"/>
  <c r="EW326" i="1"/>
  <c r="EW327" i="1" a="1"/>
  <c r="EW327" i="1"/>
  <c r="EW328" i="1" a="1"/>
  <c r="EW328" i="1"/>
  <c r="EW329" i="1" a="1"/>
  <c r="EW329" i="1"/>
  <c r="EW330" i="1" a="1"/>
  <c r="EW330" i="1"/>
  <c r="EW331" i="1" a="1"/>
  <c r="EW331" i="1"/>
  <c r="EW332" i="1" a="1"/>
  <c r="EW332" i="1"/>
  <c r="EW333" i="1" a="1"/>
  <c r="EW333" i="1"/>
  <c r="EW334" i="1" a="1"/>
  <c r="EW334" i="1"/>
  <c r="EW335" i="1" a="1"/>
  <c r="EW335" i="1"/>
  <c r="EW336" i="1" a="1"/>
  <c r="EW336" i="1"/>
  <c r="EW337" i="1" a="1"/>
  <c r="EW337" i="1"/>
  <c r="EW338" i="1" a="1"/>
  <c r="EW338" i="1"/>
  <c r="EW339" i="1" a="1"/>
  <c r="EW339" i="1"/>
  <c r="EW340" i="1" a="1"/>
  <c r="EW340" i="1"/>
  <c r="EW341" i="1" a="1"/>
  <c r="EW341" i="1"/>
  <c r="EW342" i="1" a="1"/>
  <c r="EW342" i="1"/>
  <c r="EW343" i="1" a="1"/>
  <c r="EW343" i="1"/>
  <c r="EW344" i="1" a="1"/>
  <c r="EW344" i="1"/>
  <c r="EW345" i="1" a="1"/>
  <c r="EW345" i="1"/>
  <c r="EW346" i="1" a="1"/>
  <c r="EW346" i="1"/>
  <c r="EW347" i="1" a="1"/>
  <c r="EW347" i="1"/>
  <c r="EW348" i="1" a="1"/>
  <c r="EW348" i="1"/>
  <c r="EW349" i="1" a="1"/>
  <c r="EW349" i="1"/>
  <c r="EW350" i="1" a="1"/>
  <c r="EW350" i="1"/>
  <c r="EW351" i="1" a="1"/>
  <c r="EW351" i="1"/>
  <c r="EW352" i="1" a="1"/>
  <c r="EW352" i="1"/>
  <c r="EW353" i="1" a="1"/>
  <c r="EW353" i="1"/>
  <c r="EW354" i="1" a="1"/>
  <c r="EW354" i="1"/>
  <c r="EW355" i="1" a="1"/>
  <c r="EW355" i="1"/>
  <c r="EW356" i="1" a="1"/>
  <c r="EW356" i="1"/>
  <c r="EW357" i="1" a="1"/>
  <c r="EW357" i="1"/>
  <c r="EW358" i="1" a="1"/>
  <c r="EW358" i="1"/>
  <c r="EW359" i="1" a="1"/>
  <c r="EW359" i="1"/>
  <c r="EW360" i="1" a="1"/>
  <c r="EW360" i="1"/>
  <c r="EW361" i="1" a="1"/>
  <c r="EW361" i="1"/>
  <c r="EW362" i="1" a="1"/>
  <c r="EW362" i="1"/>
  <c r="EW363" i="1" a="1"/>
  <c r="EW363" i="1"/>
  <c r="EW364" i="1" a="1"/>
  <c r="EW364" i="1"/>
  <c r="EW365" i="1" a="1"/>
  <c r="EW365" i="1"/>
  <c r="EW366" i="1" a="1"/>
  <c r="EW366" i="1"/>
  <c r="EW367" i="1" a="1"/>
  <c r="EW367" i="1"/>
  <c r="EW368" i="1" a="1"/>
  <c r="EW368" i="1"/>
  <c r="EW369" i="1" a="1"/>
  <c r="EW369" i="1"/>
  <c r="EW370" i="1" a="1"/>
  <c r="EW370" i="1"/>
  <c r="EW371" i="1" a="1"/>
  <c r="EW371" i="1"/>
  <c r="EW372" i="1" a="1"/>
  <c r="EW372" i="1"/>
  <c r="EW373" i="1" a="1"/>
  <c r="EW373" i="1"/>
  <c r="EW374" i="1" a="1"/>
  <c r="EW374" i="1"/>
  <c r="EW375" i="1" a="1"/>
  <c r="EW375" i="1"/>
  <c r="EW376" i="1" a="1"/>
  <c r="EW376" i="1"/>
  <c r="EW377" i="1" a="1"/>
  <c r="EW377" i="1"/>
  <c r="EW378" i="1" a="1"/>
  <c r="EW378" i="1"/>
  <c r="EW379" i="1" a="1"/>
  <c r="EW379" i="1"/>
  <c r="EW380" i="1" a="1"/>
  <c r="EW380" i="1"/>
  <c r="EW381" i="1" a="1"/>
  <c r="EW381" i="1"/>
  <c r="EW382" i="1" a="1"/>
  <c r="EW382" i="1"/>
  <c r="EW383" i="1" a="1"/>
  <c r="EW383" i="1"/>
  <c r="EW384" i="1" a="1"/>
  <c r="EW384" i="1"/>
  <c r="EW385" i="1" a="1"/>
  <c r="EW385" i="1"/>
  <c r="EW386" i="1" a="1"/>
  <c r="EW386" i="1"/>
  <c r="EW387" i="1" a="1"/>
  <c r="EW387" i="1"/>
  <c r="EW388" i="1" a="1"/>
  <c r="EW388" i="1"/>
  <c r="EW389" i="1" a="1"/>
  <c r="EW389" i="1"/>
  <c r="EW390" i="1" a="1"/>
  <c r="EW390" i="1"/>
  <c r="EW391" i="1" a="1"/>
  <c r="EW391" i="1"/>
  <c r="EW392" i="1" a="1"/>
  <c r="EW392" i="1"/>
  <c r="EW393" i="1" a="1"/>
  <c r="EW393" i="1"/>
  <c r="EW394" i="1" a="1"/>
  <c r="EW394" i="1"/>
  <c r="EW395" i="1" a="1"/>
  <c r="EW395" i="1"/>
  <c r="EW396" i="1" a="1"/>
  <c r="EW396" i="1"/>
  <c r="EW397" i="1" a="1"/>
  <c r="EW397" i="1"/>
  <c r="EW398" i="1" a="1"/>
  <c r="EW398" i="1"/>
  <c r="EW399" i="1" a="1"/>
  <c r="EW399" i="1"/>
  <c r="EW400" i="1" a="1"/>
  <c r="EW400" i="1"/>
  <c r="EW401" i="1" a="1"/>
  <c r="EW401" i="1"/>
  <c r="EW402" i="1" a="1"/>
  <c r="EW402" i="1"/>
  <c r="EW403" i="1" a="1"/>
  <c r="EW403" i="1"/>
  <c r="EW404" i="1" a="1"/>
  <c r="EW404" i="1"/>
  <c r="EW405" i="1" a="1"/>
  <c r="EW405" i="1"/>
  <c r="EW406" i="1" a="1"/>
  <c r="EW406" i="1"/>
  <c r="EW407" i="1" a="1"/>
  <c r="EW407" i="1"/>
  <c r="EW408" i="1" a="1"/>
  <c r="EW408" i="1"/>
  <c r="EW409" i="1" a="1"/>
  <c r="EW409" i="1"/>
  <c r="EW410" i="1" a="1"/>
  <c r="EW410" i="1"/>
  <c r="EW411" i="1" a="1"/>
  <c r="EW411" i="1"/>
  <c r="EW412" i="1" a="1"/>
  <c r="EW412" i="1"/>
  <c r="EW413" i="1" a="1"/>
  <c r="EW413" i="1"/>
  <c r="EW414" i="1" a="1"/>
  <c r="EW414" i="1"/>
  <c r="EW415" i="1" a="1"/>
  <c r="EW415" i="1"/>
  <c r="EW416" i="1" a="1"/>
  <c r="EW416" i="1"/>
  <c r="EW417" i="1" a="1"/>
  <c r="EW417" i="1"/>
  <c r="EW418" i="1" a="1"/>
  <c r="EW418" i="1"/>
  <c r="EW419" i="1" a="1"/>
  <c r="EW419" i="1"/>
  <c r="EW420" i="1" a="1"/>
  <c r="EW420" i="1"/>
  <c r="EW421" i="1" a="1"/>
  <c r="EW421" i="1"/>
  <c r="EW422" i="1" a="1"/>
  <c r="EW422" i="1"/>
  <c r="EW423" i="1" a="1"/>
  <c r="EW423" i="1"/>
  <c r="EW424" i="1" a="1"/>
  <c r="EW424" i="1"/>
  <c r="EW425" i="1" a="1"/>
  <c r="EW425" i="1"/>
  <c r="EW426" i="1" a="1"/>
  <c r="EW426" i="1"/>
  <c r="EW427" i="1" a="1"/>
  <c r="EW427" i="1"/>
  <c r="EW428" i="1" a="1"/>
  <c r="EW428" i="1"/>
  <c r="EW429" i="1" a="1"/>
  <c r="EW429" i="1"/>
  <c r="EW430" i="1" a="1"/>
  <c r="EW430" i="1"/>
  <c r="EW431" i="1" a="1"/>
  <c r="EW431" i="1"/>
  <c r="EW432" i="1" a="1"/>
  <c r="EW432" i="1"/>
  <c r="EW433" i="1" a="1"/>
  <c r="EW433" i="1"/>
  <c r="EW434" i="1" a="1"/>
  <c r="EW434" i="1"/>
  <c r="EW435" i="1" a="1"/>
  <c r="EW435" i="1"/>
  <c r="EW436" i="1" a="1"/>
  <c r="EW436" i="1"/>
  <c r="EW437" i="1" a="1"/>
  <c r="EW437" i="1"/>
  <c r="EW438" i="1" a="1"/>
  <c r="EW438" i="1"/>
  <c r="EW439" i="1" a="1"/>
  <c r="EW439" i="1"/>
  <c r="EW440" i="1" a="1"/>
  <c r="EW440" i="1"/>
  <c r="EW441" i="1" a="1"/>
  <c r="EW441" i="1"/>
  <c r="EW442" i="1" a="1"/>
  <c r="EW442" i="1"/>
  <c r="EW443" i="1" a="1"/>
  <c r="EW443" i="1"/>
  <c r="EW444" i="1" a="1"/>
  <c r="EW444" i="1"/>
  <c r="EW445" i="1" a="1"/>
  <c r="EW445" i="1"/>
  <c r="EW446" i="1" a="1"/>
  <c r="EW446" i="1"/>
  <c r="EW447" i="1" a="1"/>
  <c r="EW447" i="1"/>
  <c r="EW448" i="1" a="1"/>
  <c r="EW448" i="1"/>
  <c r="EW449" i="1" a="1"/>
  <c r="EW449" i="1"/>
  <c r="EW450" i="1" a="1"/>
  <c r="EW450" i="1"/>
  <c r="EW451" i="1" a="1"/>
  <c r="EW451" i="1"/>
  <c r="EW452" i="1" a="1"/>
  <c r="EW452" i="1"/>
  <c r="EW453" i="1" a="1"/>
  <c r="EW453" i="1"/>
  <c r="EW454" i="1" a="1"/>
  <c r="EW454" i="1"/>
  <c r="EW455" i="1" a="1"/>
  <c r="EW455" i="1"/>
  <c r="EW456" i="1" a="1"/>
  <c r="EW456" i="1"/>
  <c r="EW457" i="1" a="1"/>
  <c r="EW457" i="1"/>
  <c r="EW458" i="1" a="1"/>
  <c r="EW458" i="1"/>
  <c r="EW459" i="1" a="1"/>
  <c r="EW459" i="1"/>
  <c r="EW460" i="1" a="1"/>
  <c r="EW460" i="1"/>
  <c r="EW461" i="1" a="1"/>
  <c r="EW461" i="1"/>
  <c r="EW462" i="1" a="1"/>
  <c r="EW462" i="1"/>
  <c r="EW463" i="1" a="1"/>
  <c r="EW463" i="1"/>
  <c r="EW464" i="1" a="1"/>
  <c r="EW464" i="1"/>
  <c r="EW465" i="1" a="1"/>
  <c r="EW465" i="1"/>
  <c r="EW466" i="1" a="1"/>
  <c r="EW466" i="1"/>
  <c r="EW467" i="1" a="1"/>
  <c r="EW467" i="1"/>
  <c r="EW468" i="1" a="1"/>
  <c r="EW468" i="1"/>
  <c r="EW469" i="1" a="1"/>
  <c r="EW469" i="1"/>
  <c r="EW470" i="1" a="1"/>
  <c r="EW470" i="1"/>
  <c r="EW471" i="1" a="1"/>
  <c r="EW471" i="1"/>
  <c r="EW472" i="1" a="1"/>
  <c r="EW472" i="1"/>
  <c r="EW473" i="1" a="1"/>
  <c r="EW473" i="1"/>
  <c r="EW474" i="1" a="1"/>
  <c r="EW474" i="1"/>
  <c r="EW475" i="1" a="1"/>
  <c r="EW475" i="1"/>
  <c r="EW476" i="1" a="1"/>
  <c r="EW476" i="1"/>
  <c r="EW477" i="1" a="1"/>
  <c r="EW477" i="1"/>
  <c r="EW478" i="1" a="1"/>
  <c r="EW478" i="1"/>
  <c r="EW479" i="1" a="1"/>
  <c r="EW479" i="1"/>
  <c r="EW480" i="1" a="1"/>
  <c r="EW480" i="1"/>
  <c r="EW481" i="1" a="1"/>
  <c r="EW481" i="1"/>
  <c r="EW482" i="1" a="1"/>
  <c r="EW482" i="1"/>
  <c r="EW483" i="1" a="1"/>
  <c r="EW483" i="1"/>
  <c r="EW484" i="1" a="1"/>
  <c r="EW484" i="1"/>
  <c r="EW485" i="1" a="1"/>
  <c r="EW485" i="1"/>
  <c r="EW486" i="1" a="1"/>
  <c r="EW486" i="1"/>
  <c r="EW487" i="1" a="1"/>
  <c r="EW487" i="1"/>
  <c r="EW488" i="1" a="1"/>
  <c r="EW488" i="1"/>
  <c r="EW489" i="1" a="1"/>
  <c r="EW489" i="1"/>
  <c r="EW490" i="1" a="1"/>
  <c r="EW490" i="1"/>
  <c r="EW491" i="1" a="1"/>
  <c r="EW491" i="1"/>
  <c r="EW492" i="1" a="1"/>
  <c r="EW492" i="1"/>
  <c r="EW493" i="1" a="1"/>
  <c r="EW493" i="1"/>
  <c r="EW494" i="1" a="1"/>
  <c r="EW494" i="1"/>
  <c r="EW495" i="1" a="1"/>
  <c r="EW495" i="1"/>
  <c r="EW496" i="1" a="1"/>
  <c r="EW496" i="1"/>
  <c r="EW497" i="1" a="1"/>
  <c r="EW497" i="1"/>
  <c r="EW498" i="1" a="1"/>
  <c r="EW498" i="1"/>
  <c r="EW499" i="1" a="1"/>
  <c r="EW499" i="1"/>
  <c r="EW500" i="1" a="1"/>
  <c r="EW500" i="1"/>
  <c r="EW501" i="1" a="1"/>
  <c r="EW501" i="1"/>
  <c r="EW502" i="1" a="1"/>
  <c r="EW502" i="1"/>
  <c r="EW503" i="1" a="1"/>
  <c r="EW503" i="1"/>
  <c r="EW504" i="1" a="1"/>
  <c r="EW504" i="1"/>
  <c r="EW505" i="1" a="1"/>
  <c r="EW505" i="1"/>
  <c r="EW506" i="1" a="1"/>
  <c r="EW506" i="1"/>
  <c r="EW507" i="1" a="1"/>
  <c r="EW507" i="1"/>
  <c r="EW508" i="1" a="1"/>
  <c r="EW508" i="1"/>
  <c r="EW509" i="1" a="1"/>
  <c r="EW509" i="1"/>
  <c r="EW510" i="1" a="1"/>
  <c r="EW510" i="1"/>
  <c r="EW511" i="1" a="1"/>
  <c r="EW511" i="1"/>
  <c r="EW512" i="1" a="1"/>
  <c r="EW512" i="1"/>
  <c r="EW513" i="1" a="1"/>
  <c r="EW513" i="1"/>
  <c r="EW514" i="1" a="1"/>
  <c r="EW514" i="1"/>
  <c r="EW515" i="1" a="1"/>
  <c r="EW515" i="1"/>
  <c r="EW516" i="1" a="1"/>
  <c r="EW516" i="1"/>
  <c r="EW517" i="1" a="1"/>
  <c r="EW517" i="1"/>
  <c r="EW518" i="1" a="1"/>
  <c r="EW518" i="1"/>
  <c r="EW519" i="1" a="1"/>
  <c r="EW519" i="1"/>
  <c r="EW520" i="1" a="1"/>
  <c r="EW520" i="1"/>
  <c r="EW521" i="1" a="1"/>
  <c r="EW521" i="1"/>
  <c r="EW522" i="1" a="1"/>
  <c r="EW522" i="1"/>
  <c r="EW523" i="1" a="1"/>
  <c r="EW523" i="1"/>
  <c r="EW524" i="1" a="1"/>
  <c r="EW524" i="1"/>
  <c r="EW525" i="1" a="1"/>
  <c r="EW525" i="1"/>
  <c r="EW526" i="1" a="1"/>
  <c r="EW526" i="1"/>
  <c r="EW527" i="1" a="1"/>
  <c r="EW527" i="1"/>
  <c r="EW528" i="1" a="1"/>
  <c r="EW528" i="1"/>
  <c r="EW529" i="1" a="1"/>
  <c r="EW529" i="1"/>
  <c r="EW530" i="1" a="1"/>
  <c r="EW530" i="1"/>
  <c r="EW531" i="1" a="1"/>
  <c r="EW531" i="1"/>
  <c r="EW532" i="1" a="1"/>
  <c r="EW532" i="1"/>
  <c r="EW533" i="1" a="1"/>
  <c r="EW533" i="1"/>
  <c r="EW534" i="1" a="1"/>
  <c r="EW534" i="1"/>
  <c r="EW9" i="1" a="1"/>
  <c r="EW9" i="1"/>
  <c r="EW10" i="1" a="1"/>
  <c r="EW10" i="1"/>
  <c r="EW11" i="1" a="1"/>
  <c r="EW11" i="1"/>
  <c r="EW12" i="1" a="1"/>
  <c r="EW12" i="1"/>
  <c r="EW13" i="1" a="1"/>
  <c r="EW13" i="1"/>
  <c r="EW14" i="1" a="1"/>
  <c r="EW14" i="1"/>
  <c r="EW15" i="1" a="1"/>
  <c r="EW15" i="1"/>
  <c r="EW16" i="1" a="1"/>
  <c r="EW16" i="1"/>
  <c r="EW17" i="1" a="1"/>
  <c r="EW17" i="1"/>
  <c r="EW18" i="1" a="1"/>
  <c r="EW18" i="1"/>
  <c r="EW19" i="1" a="1"/>
  <c r="EW19" i="1"/>
  <c r="EW20" i="1" a="1"/>
  <c r="EW20" i="1"/>
  <c r="EW21" i="1" a="1"/>
  <c r="EW21" i="1"/>
  <c r="EW22" i="1" a="1"/>
  <c r="EW22" i="1"/>
  <c r="EW23" i="1" a="1"/>
  <c r="EW23" i="1"/>
  <c r="EW24" i="1" a="1"/>
  <c r="EW24" i="1"/>
  <c r="EW25" i="1" a="1"/>
  <c r="EW25" i="1"/>
  <c r="EW26" i="1" a="1"/>
  <c r="EW26" i="1"/>
  <c r="EW27" i="1" a="1"/>
  <c r="EW27" i="1"/>
  <c r="EW28" i="1" a="1"/>
  <c r="EW28" i="1"/>
  <c r="EW29" i="1" a="1"/>
  <c r="EW29" i="1"/>
  <c r="EW30" i="1" a="1"/>
  <c r="EW30" i="1"/>
  <c r="EW31" i="1" a="1"/>
  <c r="EW31" i="1"/>
  <c r="EW32" i="1" a="1"/>
  <c r="EW32" i="1"/>
  <c r="EW33" i="1" a="1"/>
  <c r="EW33" i="1"/>
  <c r="EW34" i="1" a="1"/>
  <c r="EW34" i="1"/>
  <c r="EW8" i="1" a="1"/>
  <c r="EW8" i="1"/>
  <c r="B34" i="6"/>
  <c r="D18" i="1"/>
  <c r="Q12" i="2"/>
  <c r="R15" i="2"/>
  <c r="Q13" i="2"/>
  <c r="AD4" i="12"/>
  <c r="AD5" i="12"/>
  <c r="AD6" i="12"/>
  <c r="AD7" i="12"/>
  <c r="AD8" i="12"/>
  <c r="AD9" i="12"/>
  <c r="AD10" i="12"/>
  <c r="AD11" i="12"/>
  <c r="AD12" i="12"/>
  <c r="AD13" i="12"/>
  <c r="AD14" i="12"/>
  <c r="AD15" i="12"/>
  <c r="AD16" i="12"/>
  <c r="AD17" i="12"/>
  <c r="AD18" i="12"/>
  <c r="AD19" i="12"/>
  <c r="AD20" i="12"/>
  <c r="AD21" i="12"/>
  <c r="AD22" i="12"/>
  <c r="AD23" i="12"/>
  <c r="AD24" i="12"/>
  <c r="AD25" i="12"/>
  <c r="AD26" i="12"/>
  <c r="AD27" i="12"/>
  <c r="AD28" i="12"/>
  <c r="AD29" i="12"/>
  <c r="AD30" i="12"/>
  <c r="AD31" i="12"/>
  <c r="AD32" i="12"/>
  <c r="AD33" i="12"/>
  <c r="AD34" i="12"/>
  <c r="AD35" i="12"/>
  <c r="AD36" i="12"/>
  <c r="AD37" i="12"/>
  <c r="AD38" i="12"/>
  <c r="AD39" i="12"/>
  <c r="AD40" i="12"/>
  <c r="AD41" i="12"/>
  <c r="AD42" i="12"/>
  <c r="AD43" i="12"/>
  <c r="AD44" i="12"/>
  <c r="AD45" i="12"/>
  <c r="AD46" i="12"/>
  <c r="AD47" i="12"/>
  <c r="AD48" i="12"/>
  <c r="AD49" i="12"/>
  <c r="AD50" i="12"/>
  <c r="AD51" i="12"/>
  <c r="AD52" i="12"/>
  <c r="AD53" i="12"/>
  <c r="AD54" i="12"/>
  <c r="AD55" i="12"/>
  <c r="AD56" i="12"/>
  <c r="AD57" i="12"/>
  <c r="AD58" i="12"/>
  <c r="AD59" i="12"/>
  <c r="AD60" i="12"/>
  <c r="AD61" i="12"/>
  <c r="AD62" i="12"/>
  <c r="AD63" i="12"/>
  <c r="AD64" i="12"/>
  <c r="AD65" i="12"/>
  <c r="AD66" i="12"/>
  <c r="AD67" i="12"/>
  <c r="AD68" i="12"/>
  <c r="AD69" i="12"/>
  <c r="AD70" i="12"/>
  <c r="AD71" i="12"/>
  <c r="AD72" i="12"/>
  <c r="AD73" i="12"/>
  <c r="AD74" i="12"/>
  <c r="AD75" i="12"/>
  <c r="AD76" i="12"/>
  <c r="AD77" i="12"/>
  <c r="AD78" i="12"/>
  <c r="AD79" i="12"/>
  <c r="AD80" i="12"/>
  <c r="AD81" i="12"/>
  <c r="AD82" i="12"/>
  <c r="AD83" i="12"/>
  <c r="AD84" i="12"/>
  <c r="AD85" i="12"/>
  <c r="AD86" i="12"/>
  <c r="AD87" i="12"/>
  <c r="AD88" i="12"/>
  <c r="AD89" i="12"/>
  <c r="AD90" i="12"/>
  <c r="AD91" i="12"/>
  <c r="AD92" i="12"/>
  <c r="AD93" i="12"/>
  <c r="AD94" i="12"/>
  <c r="AD95" i="12"/>
  <c r="AD96" i="12"/>
  <c r="AD97" i="12"/>
  <c r="AD98" i="12"/>
  <c r="AD99" i="12"/>
  <c r="AD100" i="12"/>
  <c r="AD101" i="12"/>
  <c r="AD102" i="12"/>
  <c r="AD103" i="12"/>
  <c r="AD104" i="12"/>
  <c r="AD105" i="12"/>
  <c r="AD106" i="12"/>
  <c r="AD107" i="12"/>
  <c r="AD108" i="12"/>
  <c r="AD109" i="12"/>
  <c r="AD110" i="12"/>
  <c r="AD111" i="12"/>
  <c r="AD112" i="12"/>
  <c r="AD113" i="12"/>
  <c r="AD114" i="12"/>
  <c r="AD115" i="12"/>
  <c r="AD116" i="12"/>
  <c r="AD117" i="12"/>
  <c r="AD118" i="12"/>
  <c r="AD119" i="12"/>
  <c r="AD120" i="12"/>
  <c r="AD121" i="12"/>
  <c r="AD122" i="12"/>
  <c r="AD123" i="12"/>
  <c r="AD124" i="12"/>
  <c r="AD125" i="12"/>
  <c r="AD126" i="12"/>
  <c r="AD127" i="12"/>
  <c r="AD128" i="12"/>
  <c r="AD129" i="12"/>
  <c r="AD130" i="12"/>
  <c r="AD131" i="12"/>
  <c r="AD132" i="12"/>
  <c r="AD133" i="12"/>
  <c r="AD134" i="12"/>
  <c r="AD135" i="12"/>
  <c r="AD136" i="12"/>
  <c r="AD137" i="12"/>
  <c r="AD138" i="12"/>
  <c r="AD139" i="12"/>
  <c r="AD140" i="12"/>
  <c r="AD141" i="12"/>
  <c r="AD142" i="12"/>
  <c r="AD143" i="12"/>
  <c r="AD144" i="12"/>
  <c r="AD145" i="12"/>
  <c r="AD146" i="12"/>
  <c r="AD147" i="12"/>
  <c r="AD148" i="12"/>
  <c r="AD149" i="12"/>
  <c r="AD150" i="12"/>
  <c r="AD151" i="12"/>
  <c r="AD152" i="12"/>
  <c r="AD153" i="12"/>
  <c r="AD154" i="12"/>
  <c r="AD155" i="12"/>
  <c r="AD156" i="12"/>
  <c r="AD157" i="12"/>
  <c r="AD158" i="12"/>
  <c r="AD159" i="12"/>
  <c r="AD160" i="12"/>
  <c r="AD161" i="12"/>
  <c r="AD162" i="12"/>
  <c r="AD163" i="12"/>
  <c r="AD164" i="12"/>
  <c r="AD165" i="12"/>
  <c r="AD166" i="12"/>
  <c r="AD167" i="12"/>
  <c r="AD168" i="12"/>
  <c r="AD169" i="12"/>
  <c r="AD170" i="12"/>
  <c r="AD171" i="12"/>
  <c r="AD172" i="12"/>
  <c r="AD173" i="12"/>
  <c r="AD174" i="12"/>
  <c r="AD175" i="12"/>
  <c r="AD176" i="12"/>
  <c r="AD177" i="12"/>
  <c r="AD178" i="12"/>
  <c r="AD179" i="12"/>
  <c r="AD180" i="12"/>
  <c r="AD181" i="12"/>
  <c r="AD182" i="12"/>
  <c r="AD183" i="12"/>
  <c r="AD184" i="12"/>
  <c r="AD185" i="12"/>
  <c r="AD186" i="12"/>
  <c r="AD187" i="12"/>
  <c r="AD188" i="12"/>
  <c r="AD189" i="12"/>
  <c r="AD190" i="12"/>
  <c r="AD191" i="12"/>
  <c r="AD192" i="12"/>
  <c r="AD193" i="12"/>
  <c r="AD194" i="12"/>
  <c r="AD195" i="12"/>
  <c r="AD196" i="12"/>
  <c r="AD197" i="12"/>
  <c r="AD198" i="12"/>
  <c r="AD199" i="12"/>
  <c r="AD200" i="12"/>
  <c r="AD201" i="12"/>
  <c r="AD202" i="12"/>
  <c r="AD203" i="12"/>
  <c r="AD204" i="12"/>
  <c r="AD205" i="12"/>
  <c r="AD206" i="12"/>
  <c r="AD207" i="12"/>
  <c r="AD208" i="12"/>
  <c r="AD209" i="12"/>
  <c r="AD210" i="12"/>
  <c r="AD211" i="12"/>
  <c r="AD212" i="12"/>
  <c r="AD213" i="12"/>
  <c r="AD214" i="12"/>
  <c r="AD215" i="12"/>
  <c r="AD216" i="12"/>
  <c r="AD217" i="12"/>
  <c r="AD218" i="12"/>
  <c r="AD219" i="12"/>
  <c r="AD220" i="12"/>
  <c r="AD221" i="12"/>
  <c r="AD222" i="12"/>
  <c r="AD223" i="12"/>
  <c r="AD224" i="12"/>
  <c r="AD225" i="12"/>
  <c r="AD226" i="12"/>
  <c r="AD227" i="12"/>
  <c r="AD228" i="12"/>
  <c r="AD229" i="12"/>
  <c r="AD230" i="12"/>
  <c r="AD231" i="12"/>
  <c r="AD232" i="12"/>
  <c r="AD233" i="12"/>
  <c r="AD234" i="12"/>
  <c r="AD235" i="12"/>
  <c r="AD236" i="12"/>
  <c r="AD237" i="12"/>
  <c r="AD238" i="12"/>
  <c r="AD239" i="12"/>
  <c r="AD240" i="12"/>
  <c r="AD241" i="12"/>
  <c r="AD242" i="12"/>
  <c r="AD243" i="12"/>
  <c r="AD244" i="12"/>
  <c r="AD245" i="12"/>
  <c r="AD246" i="12"/>
  <c r="AD247" i="12"/>
  <c r="AD248" i="12"/>
  <c r="AD249" i="12"/>
  <c r="AD250" i="12"/>
  <c r="AD251" i="12"/>
  <c r="AD252" i="12"/>
  <c r="AD253" i="12"/>
  <c r="AD254" i="12"/>
  <c r="AD255" i="12"/>
  <c r="AD256" i="12"/>
  <c r="AD257" i="12"/>
  <c r="AD258" i="12"/>
  <c r="AD259" i="12"/>
  <c r="AD260" i="12"/>
  <c r="AD261" i="12"/>
  <c r="AD262" i="12"/>
  <c r="AD263" i="12"/>
  <c r="AD264" i="12"/>
  <c r="AD265" i="12"/>
  <c r="AD266" i="12"/>
  <c r="AD267" i="12"/>
  <c r="AD268" i="12"/>
  <c r="AD269" i="12"/>
  <c r="AD270" i="12"/>
  <c r="AD271" i="12"/>
  <c r="AD272" i="12"/>
  <c r="AD273" i="12"/>
  <c r="AD274" i="12"/>
  <c r="AD275" i="12"/>
  <c r="AD276" i="12"/>
  <c r="AD277" i="12"/>
  <c r="AD278" i="12"/>
  <c r="AD279" i="12"/>
  <c r="AD280" i="12"/>
  <c r="AD281" i="12"/>
  <c r="AD282" i="12"/>
  <c r="AD283" i="12"/>
  <c r="AD284" i="12"/>
  <c r="AD285" i="12"/>
  <c r="AD286" i="12"/>
  <c r="AD287" i="12"/>
  <c r="AD288" i="12"/>
  <c r="AD289" i="12"/>
  <c r="AD290" i="12"/>
  <c r="AD291" i="12"/>
  <c r="AD292" i="12"/>
  <c r="AD293" i="12"/>
  <c r="AD294" i="12"/>
  <c r="AD295" i="12"/>
  <c r="AD296" i="12"/>
  <c r="AD297" i="12"/>
  <c r="AD298" i="12"/>
  <c r="AD299" i="12"/>
  <c r="AD300" i="12"/>
  <c r="AD301" i="12"/>
  <c r="AD302" i="12"/>
  <c r="AD303" i="12"/>
  <c r="AD304" i="12"/>
  <c r="AD305" i="12"/>
  <c r="AD306" i="12"/>
  <c r="AD307" i="12"/>
  <c r="AD308" i="12"/>
  <c r="AD309" i="12"/>
  <c r="AD310" i="12"/>
  <c r="AD311" i="12"/>
  <c r="AD312" i="12"/>
  <c r="AD313" i="12"/>
  <c r="AD314" i="12"/>
  <c r="AD315" i="12"/>
  <c r="AD316" i="12"/>
  <c r="AD317" i="12"/>
  <c r="AD318" i="12"/>
  <c r="AD319" i="12"/>
  <c r="AD320" i="12"/>
  <c r="AD321" i="12"/>
  <c r="Q10" i="2"/>
  <c r="R10" i="2"/>
  <c r="Q11" i="2"/>
  <c r="C50" i="6"/>
  <c r="C51" i="6"/>
  <c r="E9" i="5"/>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J98" i="10"/>
  <c r="J99" i="10"/>
  <c r="J100" i="10"/>
  <c r="J101" i="10"/>
  <c r="J102" i="10"/>
  <c r="J103" i="10"/>
  <c r="J104" i="10"/>
  <c r="J105" i="10"/>
  <c r="J106" i="10"/>
  <c r="J107" i="10"/>
  <c r="J108"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50" i="10"/>
  <c r="J151" i="10"/>
  <c r="J5" i="10"/>
  <c r="BA79" i="6"/>
  <c r="BA56" i="6"/>
  <c r="BA74" i="6"/>
  <c r="BA75" i="6"/>
  <c r="BA76" i="6"/>
  <c r="BA78" i="6"/>
  <c r="BA77" i="6"/>
  <c r="BA67" i="6"/>
  <c r="BA64" i="6"/>
  <c r="BA55" i="6"/>
  <c r="BA54" i="6"/>
  <c r="BA53" i="6"/>
  <c r="BA51" i="6"/>
  <c r="BA50" i="6"/>
  <c r="BA49" i="6"/>
  <c r="BA48" i="6"/>
  <c r="BA47" i="6"/>
  <c r="BA46" i="6"/>
  <c r="BA44" i="6"/>
  <c r="BA43" i="6"/>
  <c r="BA37" i="6"/>
  <c r="BA36" i="6"/>
  <c r="BA35" i="6"/>
  <c r="BA34" i="6"/>
  <c r="BA24" i="6"/>
  <c r="BA32" i="6"/>
  <c r="BA31" i="6"/>
  <c r="BA29" i="6"/>
  <c r="BA30" i="6"/>
  <c r="BA28" i="6"/>
  <c r="BA26" i="6"/>
  <c r="BA27" i="6"/>
  <c r="BA25" i="6"/>
  <c r="BA23" i="6"/>
  <c r="BA21" i="6"/>
  <c r="BA13" i="6"/>
  <c r="BA14" i="6"/>
  <c r="BA12" i="6"/>
  <c r="BA11" i="6"/>
  <c r="BA9" i="6"/>
  <c r="BA10" i="6"/>
  <c r="BA8" i="6"/>
  <c r="BA7" i="6"/>
  <c r="BA6" i="6"/>
  <c r="BA5" i="6"/>
  <c r="BA4" i="6"/>
  <c r="AZ79" i="6"/>
  <c r="AZ56" i="6"/>
  <c r="AZ74" i="6"/>
  <c r="AZ75" i="6"/>
  <c r="AZ76" i="6"/>
  <c r="AZ78" i="6"/>
  <c r="AZ77" i="6"/>
  <c r="AZ67" i="6"/>
  <c r="AZ64" i="6"/>
  <c r="AZ55" i="6"/>
  <c r="AZ54" i="6"/>
  <c r="AZ53" i="6"/>
  <c r="AZ51" i="6"/>
  <c r="AZ50" i="6"/>
  <c r="AZ49" i="6"/>
  <c r="AZ48" i="6"/>
  <c r="AZ47" i="6"/>
  <c r="AZ46" i="6"/>
  <c r="AZ44" i="6"/>
  <c r="AZ43" i="6"/>
  <c r="AZ37" i="6"/>
  <c r="AZ36" i="6"/>
  <c r="AZ35" i="6"/>
  <c r="AZ34" i="6"/>
  <c r="AZ24" i="6"/>
  <c r="AZ32" i="6"/>
  <c r="AZ31" i="6"/>
  <c r="AZ29" i="6"/>
  <c r="AZ30" i="6"/>
  <c r="AZ28" i="6"/>
  <c r="AZ26" i="6"/>
  <c r="AZ27" i="6"/>
  <c r="AZ25" i="6"/>
  <c r="AZ23" i="6"/>
  <c r="AZ21" i="6"/>
  <c r="AZ13" i="6"/>
  <c r="AZ14" i="6"/>
  <c r="AZ12" i="6"/>
  <c r="AZ11" i="6"/>
  <c r="AZ9" i="6"/>
  <c r="AZ10" i="6"/>
  <c r="AZ8" i="6"/>
  <c r="AZ7" i="6"/>
  <c r="AZ6" i="6"/>
  <c r="AZ5" i="6"/>
  <c r="AZ4" i="6"/>
  <c r="AY79" i="6"/>
  <c r="AY56" i="6"/>
  <c r="AY74" i="6"/>
  <c r="AY75" i="6"/>
  <c r="AY76" i="6"/>
  <c r="AY78" i="6"/>
  <c r="AY77" i="6"/>
  <c r="AY67" i="6"/>
  <c r="AY64" i="6"/>
  <c r="AY55" i="6"/>
  <c r="AY54" i="6"/>
  <c r="AY53" i="6"/>
  <c r="AY51" i="6"/>
  <c r="AY50" i="6"/>
  <c r="AY49" i="6"/>
  <c r="AY48" i="6"/>
  <c r="AY47" i="6"/>
  <c r="AY46" i="6"/>
  <c r="AY44" i="6"/>
  <c r="AY43" i="6"/>
  <c r="AY37" i="6"/>
  <c r="AY36" i="6"/>
  <c r="AY35" i="6"/>
  <c r="AY34" i="6"/>
  <c r="AY24" i="6"/>
  <c r="AY32" i="6"/>
  <c r="AY31" i="6"/>
  <c r="AY29" i="6"/>
  <c r="AY30" i="6"/>
  <c r="AY28" i="6"/>
  <c r="AY26" i="6"/>
  <c r="AY27" i="6"/>
  <c r="AY25" i="6"/>
  <c r="AY23" i="6"/>
  <c r="AY21" i="6"/>
  <c r="AY13" i="6"/>
  <c r="AY14" i="6"/>
  <c r="AY12" i="6"/>
  <c r="AY11" i="6"/>
  <c r="AY9" i="6"/>
  <c r="AY10" i="6"/>
  <c r="AY8" i="6"/>
  <c r="AY7" i="6"/>
  <c r="AY6" i="6"/>
  <c r="AY5" i="6"/>
  <c r="AY4" i="6"/>
  <c r="AX79" i="6"/>
  <c r="AX56" i="6"/>
  <c r="AX74" i="6"/>
  <c r="AX75" i="6"/>
  <c r="AX76" i="6"/>
  <c r="AX78" i="6"/>
  <c r="AX77" i="6"/>
  <c r="AX67" i="6"/>
  <c r="AX64" i="6"/>
  <c r="AX55" i="6"/>
  <c r="AX54" i="6"/>
  <c r="AX53" i="6"/>
  <c r="AX51" i="6"/>
  <c r="AX50" i="6"/>
  <c r="AX49" i="6"/>
  <c r="AX48" i="6"/>
  <c r="AX47" i="6"/>
  <c r="AX46" i="6"/>
  <c r="AX44" i="6"/>
  <c r="AX43" i="6"/>
  <c r="AX37" i="6"/>
  <c r="AX36" i="6"/>
  <c r="AX35" i="6"/>
  <c r="AX34" i="6"/>
  <c r="AX24" i="6"/>
  <c r="AX32" i="6"/>
  <c r="AX31" i="6"/>
  <c r="AX29" i="6"/>
  <c r="AX30" i="6"/>
  <c r="AX28" i="6"/>
  <c r="AX26" i="6"/>
  <c r="AX27" i="6"/>
  <c r="AX25" i="6"/>
  <c r="AX23" i="6"/>
  <c r="AX21" i="6"/>
  <c r="AX13" i="6"/>
  <c r="AX14" i="6"/>
  <c r="AX12" i="6"/>
  <c r="AX11" i="6"/>
  <c r="AX9" i="6"/>
  <c r="AX10" i="6"/>
  <c r="AX8" i="6"/>
  <c r="AX7" i="6"/>
  <c r="AX6" i="6"/>
  <c r="AX5" i="6"/>
  <c r="AX4" i="6"/>
  <c r="AW79" i="6"/>
  <c r="AW56" i="6"/>
  <c r="AW74" i="6"/>
  <c r="AW75" i="6"/>
  <c r="AW76" i="6"/>
  <c r="AW78" i="6"/>
  <c r="AW77" i="6"/>
  <c r="AW67" i="6"/>
  <c r="AW64" i="6"/>
  <c r="AW55" i="6"/>
  <c r="AW54" i="6"/>
  <c r="AW53" i="6"/>
  <c r="AW51" i="6"/>
  <c r="AW50" i="6"/>
  <c r="AW49" i="6"/>
  <c r="AW48" i="6"/>
  <c r="AW47" i="6"/>
  <c r="AW46" i="6"/>
  <c r="AW44" i="6"/>
  <c r="AW43" i="6"/>
  <c r="AW37" i="6"/>
  <c r="AW36" i="6"/>
  <c r="AW35" i="6"/>
  <c r="AW34" i="6"/>
  <c r="AW24" i="6"/>
  <c r="AW32" i="6"/>
  <c r="AW31" i="6"/>
  <c r="AW29" i="6"/>
  <c r="AW30" i="6"/>
  <c r="AW28" i="6"/>
  <c r="AW26" i="6"/>
  <c r="AW27" i="6"/>
  <c r="AW25" i="6"/>
  <c r="AW23" i="6"/>
  <c r="AW21" i="6"/>
  <c r="AW13" i="6"/>
  <c r="AW14" i="6"/>
  <c r="AW12" i="6"/>
  <c r="AW11" i="6"/>
  <c r="AW9" i="6"/>
  <c r="AW10" i="6"/>
  <c r="AW8" i="6"/>
  <c r="AW7" i="6"/>
  <c r="AW6" i="6"/>
  <c r="AW5" i="6"/>
  <c r="AW4" i="6"/>
  <c r="AV79" i="6"/>
  <c r="AV56" i="6"/>
  <c r="AV74" i="6"/>
  <c r="AV75" i="6"/>
  <c r="AV76" i="6"/>
  <c r="AV78" i="6"/>
  <c r="AV77" i="6"/>
  <c r="AV67" i="6"/>
  <c r="AV64" i="6"/>
  <c r="AV55" i="6"/>
  <c r="AV54" i="6"/>
  <c r="AV53" i="6"/>
  <c r="AV51" i="6"/>
  <c r="AV50" i="6"/>
  <c r="AV49" i="6"/>
  <c r="AV48" i="6"/>
  <c r="AV47" i="6"/>
  <c r="AV46" i="6"/>
  <c r="AV44" i="6"/>
  <c r="AV43" i="6"/>
  <c r="AV37" i="6"/>
  <c r="AV36" i="6"/>
  <c r="AV35" i="6"/>
  <c r="AV34" i="6"/>
  <c r="AV24" i="6"/>
  <c r="AV32" i="6"/>
  <c r="AV31" i="6"/>
  <c r="AV29" i="6"/>
  <c r="AV30" i="6"/>
  <c r="AV28" i="6"/>
  <c r="AV26" i="6"/>
  <c r="AV27" i="6"/>
  <c r="AV25" i="6"/>
  <c r="AV23" i="6"/>
  <c r="AV21" i="6"/>
  <c r="AV13" i="6"/>
  <c r="AV14" i="6"/>
  <c r="AV12" i="6"/>
  <c r="AV11" i="6"/>
  <c r="AV9" i="6"/>
  <c r="AV10" i="6"/>
  <c r="AV8" i="6"/>
  <c r="AV7" i="6"/>
  <c r="AV6" i="6"/>
  <c r="AV5" i="6"/>
  <c r="AV4" i="6"/>
  <c r="AU79" i="6"/>
  <c r="AU56" i="6"/>
  <c r="AU74" i="6"/>
  <c r="AU75" i="6"/>
  <c r="AU76" i="6"/>
  <c r="AU78" i="6"/>
  <c r="AU77" i="6"/>
  <c r="AU67" i="6"/>
  <c r="AU64" i="6"/>
  <c r="AU55" i="6"/>
  <c r="AU54" i="6"/>
  <c r="AU53" i="6"/>
  <c r="AU51" i="6"/>
  <c r="AU50" i="6"/>
  <c r="AU49" i="6"/>
  <c r="AU48" i="6"/>
  <c r="AU47" i="6"/>
  <c r="AU46" i="6"/>
  <c r="AU44" i="6"/>
  <c r="AU43" i="6"/>
  <c r="AU37" i="6"/>
  <c r="AU36" i="6"/>
  <c r="AU35" i="6"/>
  <c r="AU34" i="6"/>
  <c r="AU24" i="6"/>
  <c r="AU32" i="6"/>
  <c r="AU31" i="6"/>
  <c r="AU29" i="6"/>
  <c r="AU30" i="6"/>
  <c r="AU28" i="6"/>
  <c r="AU26" i="6"/>
  <c r="AU27" i="6"/>
  <c r="AU25" i="6"/>
  <c r="AU23" i="6"/>
  <c r="AU21" i="6"/>
  <c r="AU13" i="6"/>
  <c r="AU14" i="6"/>
  <c r="AU12" i="6"/>
  <c r="AU11" i="6"/>
  <c r="AU9" i="6"/>
  <c r="AU10" i="6"/>
  <c r="AU8" i="6"/>
  <c r="AU7" i="6"/>
  <c r="AU6" i="6"/>
  <c r="AU5" i="6"/>
  <c r="AU4" i="6"/>
  <c r="AT79" i="6"/>
  <c r="AT56" i="6"/>
  <c r="AT74" i="6"/>
  <c r="AT75" i="6"/>
  <c r="AT76" i="6"/>
  <c r="AT78" i="6"/>
  <c r="AT77" i="6"/>
  <c r="AT67" i="6"/>
  <c r="AT64" i="6"/>
  <c r="AT55" i="6"/>
  <c r="AT54" i="6"/>
  <c r="AT53" i="6"/>
  <c r="AT51" i="6"/>
  <c r="AT50" i="6"/>
  <c r="AT49" i="6"/>
  <c r="AT48" i="6"/>
  <c r="AT47" i="6"/>
  <c r="AT46" i="6"/>
  <c r="AT44" i="6"/>
  <c r="AT43" i="6"/>
  <c r="AT37" i="6"/>
  <c r="AT36" i="6"/>
  <c r="AT35" i="6"/>
  <c r="AT34" i="6"/>
  <c r="AT24" i="6"/>
  <c r="AT32" i="6"/>
  <c r="AT31" i="6"/>
  <c r="AT29" i="6"/>
  <c r="AT30" i="6"/>
  <c r="AT28" i="6"/>
  <c r="AT26" i="6"/>
  <c r="AT27" i="6"/>
  <c r="AT25" i="6"/>
  <c r="AT23" i="6"/>
  <c r="AT21" i="6"/>
  <c r="AT13" i="6"/>
  <c r="AT14" i="6"/>
  <c r="AT12" i="6"/>
  <c r="AT11" i="6"/>
  <c r="AT9" i="6"/>
  <c r="AT10" i="6"/>
  <c r="AT8" i="6"/>
  <c r="AT7" i="6"/>
  <c r="AT6" i="6"/>
  <c r="AT5" i="6"/>
  <c r="AT4" i="6"/>
  <c r="AS79" i="6"/>
  <c r="AS56" i="6"/>
  <c r="AS74" i="6"/>
  <c r="AS75" i="6"/>
  <c r="AS76" i="6"/>
  <c r="AS78" i="6"/>
  <c r="AS77" i="6"/>
  <c r="AS67" i="6"/>
  <c r="AS64" i="6"/>
  <c r="AS55" i="6"/>
  <c r="AS54" i="6"/>
  <c r="AS53" i="6"/>
  <c r="AS51" i="6"/>
  <c r="AS50" i="6"/>
  <c r="AS49" i="6"/>
  <c r="AS48" i="6"/>
  <c r="AS47" i="6"/>
  <c r="AS46" i="6"/>
  <c r="AS44" i="6"/>
  <c r="AS43" i="6"/>
  <c r="AS37" i="6"/>
  <c r="AS36" i="6"/>
  <c r="AS35" i="6"/>
  <c r="AS34" i="6"/>
  <c r="AS24" i="6"/>
  <c r="AS32" i="6"/>
  <c r="AS31" i="6"/>
  <c r="AS29" i="6"/>
  <c r="AS30" i="6"/>
  <c r="AS28" i="6"/>
  <c r="AS26" i="6"/>
  <c r="AS27" i="6"/>
  <c r="AS25" i="6"/>
  <c r="AS23" i="6"/>
  <c r="AS21" i="6"/>
  <c r="AS13" i="6"/>
  <c r="AS14" i="6"/>
  <c r="AS12" i="6"/>
  <c r="AS11" i="6"/>
  <c r="AS9" i="6"/>
  <c r="AS10" i="6"/>
  <c r="AS8" i="6"/>
  <c r="AS7" i="6"/>
  <c r="AS6" i="6"/>
  <c r="AS5" i="6"/>
  <c r="AS4" i="6"/>
  <c r="AR79" i="6"/>
  <c r="AR56" i="6"/>
  <c r="AR74" i="6"/>
  <c r="AR75" i="6"/>
  <c r="AR76" i="6"/>
  <c r="AR78" i="6"/>
  <c r="AR77" i="6"/>
  <c r="AR67" i="6"/>
  <c r="AR64" i="6"/>
  <c r="AR55" i="6"/>
  <c r="AR54" i="6"/>
  <c r="AR53" i="6"/>
  <c r="AR51" i="6"/>
  <c r="AR50" i="6"/>
  <c r="AR49" i="6"/>
  <c r="AR48" i="6"/>
  <c r="AR47" i="6"/>
  <c r="AR46" i="6"/>
  <c r="AR44" i="6"/>
  <c r="AR43" i="6"/>
  <c r="AR37" i="6"/>
  <c r="AR36" i="6"/>
  <c r="AR35" i="6"/>
  <c r="AR34" i="6"/>
  <c r="AR24" i="6"/>
  <c r="AR32" i="6"/>
  <c r="AR31" i="6"/>
  <c r="AR29" i="6"/>
  <c r="AR30" i="6"/>
  <c r="AR28" i="6"/>
  <c r="AR26" i="6"/>
  <c r="AR27" i="6"/>
  <c r="AR25" i="6"/>
  <c r="AR23" i="6"/>
  <c r="AR21" i="6"/>
  <c r="AR13" i="6"/>
  <c r="AR14" i="6"/>
  <c r="AR12" i="6"/>
  <c r="AR11" i="6"/>
  <c r="AR9" i="6"/>
  <c r="AR10" i="6"/>
  <c r="AR8" i="6"/>
  <c r="AR7" i="6"/>
  <c r="AR6" i="6"/>
  <c r="AR5" i="6"/>
  <c r="AR4" i="6"/>
  <c r="AQ79" i="6"/>
  <c r="AQ56" i="6"/>
  <c r="AQ74" i="6"/>
  <c r="AQ75" i="6"/>
  <c r="AQ76" i="6"/>
  <c r="AQ78" i="6"/>
  <c r="AQ77" i="6"/>
  <c r="AQ67" i="6"/>
  <c r="AQ64" i="6"/>
  <c r="AQ55" i="6"/>
  <c r="AQ54" i="6"/>
  <c r="AQ53" i="6"/>
  <c r="AQ51" i="6"/>
  <c r="AQ50" i="6"/>
  <c r="AQ49" i="6"/>
  <c r="AQ48" i="6"/>
  <c r="AQ47" i="6"/>
  <c r="AQ46" i="6"/>
  <c r="AQ44" i="6"/>
  <c r="AQ43" i="6"/>
  <c r="AQ37" i="6"/>
  <c r="AQ36" i="6"/>
  <c r="AQ35" i="6"/>
  <c r="AQ34" i="6"/>
  <c r="AQ24" i="6"/>
  <c r="AQ32" i="6"/>
  <c r="AQ31" i="6"/>
  <c r="AQ29" i="6"/>
  <c r="AQ30" i="6"/>
  <c r="AQ28" i="6"/>
  <c r="AQ26" i="6"/>
  <c r="AQ27" i="6"/>
  <c r="AQ25" i="6"/>
  <c r="AQ23" i="6"/>
  <c r="AQ21" i="6"/>
  <c r="AQ13" i="6"/>
  <c r="AQ14" i="6"/>
  <c r="AQ12" i="6"/>
  <c r="AQ11" i="6"/>
  <c r="AQ9" i="6"/>
  <c r="AQ10" i="6"/>
  <c r="AQ8" i="6"/>
  <c r="AQ7" i="6"/>
  <c r="AQ6" i="6"/>
  <c r="AQ5" i="6"/>
  <c r="AQ4" i="6"/>
  <c r="AP79" i="6"/>
  <c r="AP56" i="6"/>
  <c r="AP74" i="6"/>
  <c r="AP75" i="6"/>
  <c r="AP76" i="6"/>
  <c r="AP78" i="6"/>
  <c r="AP77" i="6"/>
  <c r="AP67" i="6"/>
  <c r="AP64" i="6"/>
  <c r="AP55" i="6"/>
  <c r="AP54" i="6"/>
  <c r="AP53" i="6"/>
  <c r="AP51" i="6"/>
  <c r="AP50" i="6"/>
  <c r="AP49" i="6"/>
  <c r="AP48" i="6"/>
  <c r="AP47" i="6"/>
  <c r="AP46" i="6"/>
  <c r="AP44" i="6"/>
  <c r="AP43" i="6"/>
  <c r="AP37" i="6"/>
  <c r="AP36" i="6"/>
  <c r="AP35" i="6"/>
  <c r="AP34" i="6"/>
  <c r="AP24" i="6"/>
  <c r="AP32" i="6"/>
  <c r="AP31" i="6"/>
  <c r="AP29" i="6"/>
  <c r="AP30" i="6"/>
  <c r="AP28" i="6"/>
  <c r="AP26" i="6"/>
  <c r="AP27" i="6"/>
  <c r="AP25" i="6"/>
  <c r="AP23" i="6"/>
  <c r="AP21" i="6"/>
  <c r="AP13" i="6"/>
  <c r="AP14" i="6"/>
  <c r="AP12" i="6"/>
  <c r="AP11" i="6"/>
  <c r="AP9" i="6"/>
  <c r="AP10" i="6"/>
  <c r="AP8" i="6"/>
  <c r="AP7" i="6"/>
  <c r="AP6" i="6"/>
  <c r="AP5" i="6"/>
  <c r="AP4" i="6"/>
  <c r="AO79" i="6"/>
  <c r="AO56" i="6"/>
  <c r="AO74" i="6"/>
  <c r="AO75" i="6"/>
  <c r="AO76" i="6"/>
  <c r="AO78" i="6"/>
  <c r="AO77" i="6"/>
  <c r="AO67" i="6"/>
  <c r="AO64" i="6"/>
  <c r="AO55" i="6"/>
  <c r="AO54" i="6"/>
  <c r="AO53" i="6"/>
  <c r="AO51" i="6"/>
  <c r="AO50" i="6"/>
  <c r="AO49" i="6"/>
  <c r="AO48" i="6"/>
  <c r="AO47" i="6"/>
  <c r="AO46" i="6"/>
  <c r="AO44" i="6"/>
  <c r="AO43" i="6"/>
  <c r="AO37" i="6"/>
  <c r="AO36" i="6"/>
  <c r="AO35" i="6"/>
  <c r="AO34" i="6"/>
  <c r="AO24" i="6"/>
  <c r="AO32" i="6"/>
  <c r="AO31" i="6"/>
  <c r="AO29" i="6"/>
  <c r="AO30" i="6"/>
  <c r="AO28" i="6"/>
  <c r="AO26" i="6"/>
  <c r="AO27" i="6"/>
  <c r="AO25" i="6"/>
  <c r="AO23" i="6"/>
  <c r="AO21" i="6"/>
  <c r="AO13" i="6"/>
  <c r="AO14" i="6"/>
  <c r="AO12" i="6"/>
  <c r="AO11" i="6"/>
  <c r="AO9" i="6"/>
  <c r="AO10" i="6"/>
  <c r="AO8" i="6"/>
  <c r="AO7" i="6"/>
  <c r="AO6" i="6"/>
  <c r="AO5" i="6"/>
  <c r="AO4" i="6"/>
  <c r="AN79" i="6"/>
  <c r="AN56" i="6"/>
  <c r="AN74" i="6"/>
  <c r="AN75" i="6"/>
  <c r="AN76" i="6"/>
  <c r="AN78" i="6"/>
  <c r="AN77" i="6"/>
  <c r="AN67" i="6"/>
  <c r="AN64" i="6"/>
  <c r="AN55" i="6"/>
  <c r="AN54" i="6"/>
  <c r="AN53" i="6"/>
  <c r="AN51" i="6"/>
  <c r="AN50" i="6"/>
  <c r="AN49" i="6"/>
  <c r="AN48" i="6"/>
  <c r="AN47" i="6"/>
  <c r="AN46" i="6"/>
  <c r="AN44" i="6"/>
  <c r="AN43" i="6"/>
  <c r="AN37" i="6"/>
  <c r="AN36" i="6"/>
  <c r="AN35" i="6"/>
  <c r="AN34" i="6"/>
  <c r="AN24" i="6"/>
  <c r="AN32" i="6"/>
  <c r="AN31" i="6"/>
  <c r="AN29" i="6"/>
  <c r="AN30" i="6"/>
  <c r="AN28" i="6"/>
  <c r="AN26" i="6"/>
  <c r="AN27" i="6"/>
  <c r="AN25" i="6"/>
  <c r="AN23" i="6"/>
  <c r="AN21" i="6"/>
  <c r="AN13" i="6"/>
  <c r="AN14" i="6"/>
  <c r="AN12" i="6"/>
  <c r="AN11" i="6"/>
  <c r="AN9" i="6"/>
  <c r="AN10" i="6"/>
  <c r="AN8" i="6"/>
  <c r="AN7" i="6"/>
  <c r="AN6" i="6"/>
  <c r="AN5" i="6"/>
  <c r="AN4" i="6"/>
  <c r="AM79" i="6"/>
  <c r="AM56" i="6"/>
  <c r="AM74" i="6"/>
  <c r="AM75" i="6"/>
  <c r="AM76" i="6"/>
  <c r="AM78" i="6"/>
  <c r="AM77" i="6"/>
  <c r="AM67" i="6"/>
  <c r="AM64" i="6"/>
  <c r="AM55" i="6"/>
  <c r="AM54" i="6"/>
  <c r="AM53" i="6"/>
  <c r="AM51" i="6"/>
  <c r="AM50" i="6"/>
  <c r="AM49" i="6"/>
  <c r="AM48" i="6"/>
  <c r="AM47" i="6"/>
  <c r="AM46" i="6"/>
  <c r="AM44" i="6"/>
  <c r="AM43" i="6"/>
  <c r="AM37" i="6"/>
  <c r="AM36" i="6"/>
  <c r="AM35" i="6"/>
  <c r="AM34" i="6"/>
  <c r="AM24" i="6"/>
  <c r="AM32" i="6"/>
  <c r="AM31" i="6"/>
  <c r="AM29" i="6"/>
  <c r="AM30" i="6"/>
  <c r="AM28" i="6"/>
  <c r="AM26" i="6"/>
  <c r="AM27" i="6"/>
  <c r="AM25" i="6"/>
  <c r="AM23" i="6"/>
  <c r="AM21" i="6"/>
  <c r="AM13" i="6"/>
  <c r="AM14" i="6"/>
  <c r="AM12" i="6"/>
  <c r="AM11" i="6"/>
  <c r="AM9" i="6"/>
  <c r="AM10" i="6"/>
  <c r="AM8" i="6"/>
  <c r="AM7" i="6"/>
  <c r="AM6" i="6"/>
  <c r="AM5" i="6"/>
  <c r="AM4" i="6"/>
  <c r="AL79" i="6"/>
  <c r="AL56" i="6"/>
  <c r="AL74" i="6"/>
  <c r="AL75" i="6"/>
  <c r="AL76" i="6"/>
  <c r="AL78" i="6"/>
  <c r="AL77" i="6"/>
  <c r="AL67" i="6"/>
  <c r="AL64" i="6"/>
  <c r="AL55" i="6"/>
  <c r="AL54" i="6"/>
  <c r="AL53" i="6"/>
  <c r="AL51" i="6"/>
  <c r="AL50" i="6"/>
  <c r="AL49" i="6"/>
  <c r="AL48" i="6"/>
  <c r="AL47" i="6"/>
  <c r="AL46" i="6"/>
  <c r="AL44" i="6"/>
  <c r="AL43" i="6"/>
  <c r="AL37" i="6"/>
  <c r="AL36" i="6"/>
  <c r="AL35" i="6"/>
  <c r="AL34" i="6"/>
  <c r="AL24" i="6"/>
  <c r="AL32" i="6"/>
  <c r="AL31" i="6"/>
  <c r="AL29" i="6"/>
  <c r="AL30" i="6"/>
  <c r="AL28" i="6"/>
  <c r="AL26" i="6"/>
  <c r="AL27" i="6"/>
  <c r="AL25" i="6"/>
  <c r="AL23" i="6"/>
  <c r="AL21" i="6"/>
  <c r="AL13" i="6"/>
  <c r="AL14" i="6"/>
  <c r="AL12" i="6"/>
  <c r="AL11" i="6"/>
  <c r="AL9" i="6"/>
  <c r="AL10" i="6"/>
  <c r="AL8" i="6"/>
  <c r="AL7" i="6"/>
  <c r="AL6" i="6"/>
  <c r="AL5" i="6"/>
  <c r="AL4" i="6"/>
  <c r="AK79" i="6"/>
  <c r="AK56" i="6"/>
  <c r="AK74" i="6"/>
  <c r="AK75" i="6"/>
  <c r="AK76" i="6"/>
  <c r="AK78" i="6"/>
  <c r="AK77" i="6"/>
  <c r="AK67" i="6"/>
  <c r="AK64" i="6"/>
  <c r="AK55" i="6"/>
  <c r="AK54" i="6"/>
  <c r="AK53" i="6"/>
  <c r="AK51" i="6"/>
  <c r="AK50" i="6"/>
  <c r="AK49" i="6"/>
  <c r="AK48" i="6"/>
  <c r="AK47" i="6"/>
  <c r="AK46" i="6"/>
  <c r="AK44" i="6"/>
  <c r="AK43" i="6"/>
  <c r="AK37" i="6"/>
  <c r="AK36" i="6"/>
  <c r="AK35" i="6"/>
  <c r="AK34" i="6"/>
  <c r="AK24" i="6"/>
  <c r="AK32" i="6"/>
  <c r="AK31" i="6"/>
  <c r="AK29" i="6"/>
  <c r="AK30" i="6"/>
  <c r="AK28" i="6"/>
  <c r="AK26" i="6"/>
  <c r="AK27" i="6"/>
  <c r="AK25" i="6"/>
  <c r="AK23" i="6"/>
  <c r="AK21" i="6"/>
  <c r="AK13" i="6"/>
  <c r="AK14" i="6"/>
  <c r="AK12" i="6"/>
  <c r="AK11" i="6"/>
  <c r="AK9" i="6"/>
  <c r="AK10" i="6"/>
  <c r="AK8" i="6"/>
  <c r="AK7" i="6"/>
  <c r="AK6" i="6"/>
  <c r="AK5" i="6"/>
  <c r="AK4" i="6"/>
  <c r="AJ79" i="6"/>
  <c r="AJ56" i="6"/>
  <c r="AJ74" i="6"/>
  <c r="AJ75" i="6"/>
  <c r="AJ76" i="6"/>
  <c r="AJ78" i="6"/>
  <c r="AJ77" i="6"/>
  <c r="AJ67" i="6"/>
  <c r="AJ64" i="6"/>
  <c r="AJ55" i="6"/>
  <c r="AJ54" i="6"/>
  <c r="AJ53" i="6"/>
  <c r="AJ51" i="6"/>
  <c r="AJ50" i="6"/>
  <c r="AJ49" i="6"/>
  <c r="AJ48" i="6"/>
  <c r="AJ47" i="6"/>
  <c r="AJ46" i="6"/>
  <c r="AJ44" i="6"/>
  <c r="AJ43" i="6"/>
  <c r="AJ37" i="6"/>
  <c r="AJ36" i="6"/>
  <c r="AJ35" i="6"/>
  <c r="AJ34" i="6"/>
  <c r="AJ24" i="6"/>
  <c r="AJ32" i="6"/>
  <c r="AJ31" i="6"/>
  <c r="AJ29" i="6"/>
  <c r="AJ30" i="6"/>
  <c r="AJ28" i="6"/>
  <c r="AJ26" i="6"/>
  <c r="AJ27" i="6"/>
  <c r="AJ25" i="6"/>
  <c r="AJ23" i="6"/>
  <c r="AJ21" i="6"/>
  <c r="AJ13" i="6"/>
  <c r="AJ14" i="6"/>
  <c r="AJ12" i="6"/>
  <c r="AJ11" i="6"/>
  <c r="AJ9" i="6"/>
  <c r="AJ10" i="6"/>
  <c r="AJ8" i="6"/>
  <c r="AJ7" i="6"/>
  <c r="AJ6" i="6"/>
  <c r="AJ5" i="6"/>
  <c r="AJ4" i="6"/>
  <c r="AI79" i="6"/>
  <c r="AI56" i="6"/>
  <c r="AI74" i="6"/>
  <c r="AI75" i="6"/>
  <c r="AI76" i="6"/>
  <c r="AI78" i="6"/>
  <c r="AI77" i="6"/>
  <c r="AI67" i="6"/>
  <c r="AI64" i="6"/>
  <c r="AI55" i="6"/>
  <c r="AI54" i="6"/>
  <c r="AI53" i="6"/>
  <c r="AI51" i="6"/>
  <c r="AI50" i="6"/>
  <c r="AI49" i="6"/>
  <c r="AI48" i="6"/>
  <c r="AI47" i="6"/>
  <c r="AI46" i="6"/>
  <c r="AI44" i="6"/>
  <c r="AI43" i="6"/>
  <c r="AI37" i="6"/>
  <c r="AI36" i="6"/>
  <c r="AI35" i="6"/>
  <c r="AI34" i="6"/>
  <c r="AI24" i="6"/>
  <c r="AI32" i="6"/>
  <c r="AI31" i="6"/>
  <c r="AI29" i="6"/>
  <c r="AI30" i="6"/>
  <c r="AI28" i="6"/>
  <c r="AI26" i="6"/>
  <c r="AI27" i="6"/>
  <c r="AI25" i="6"/>
  <c r="AI23" i="6"/>
  <c r="AI21" i="6"/>
  <c r="AI13" i="6"/>
  <c r="AI14" i="6"/>
  <c r="AI12" i="6"/>
  <c r="AI11" i="6"/>
  <c r="AI9" i="6"/>
  <c r="AI10" i="6"/>
  <c r="AI8" i="6"/>
  <c r="AI7" i="6"/>
  <c r="AI6" i="6"/>
  <c r="AI5" i="6"/>
  <c r="AI4" i="6"/>
  <c r="AH79" i="6"/>
  <c r="AH56" i="6"/>
  <c r="AH74" i="6"/>
  <c r="AH75" i="6"/>
  <c r="AH76" i="6"/>
  <c r="AH78" i="6"/>
  <c r="AH77" i="6"/>
  <c r="AH67" i="6"/>
  <c r="AH64" i="6"/>
  <c r="AH55" i="6"/>
  <c r="AH54" i="6"/>
  <c r="AH53" i="6"/>
  <c r="AH51" i="6"/>
  <c r="AH50" i="6"/>
  <c r="AH49" i="6"/>
  <c r="AH48" i="6"/>
  <c r="AH47" i="6"/>
  <c r="AH46" i="6"/>
  <c r="AH44" i="6"/>
  <c r="AH43" i="6"/>
  <c r="AH37" i="6"/>
  <c r="AH36" i="6"/>
  <c r="AH35" i="6"/>
  <c r="AH34" i="6"/>
  <c r="AH24" i="6"/>
  <c r="AH32" i="6"/>
  <c r="AH31" i="6"/>
  <c r="AH29" i="6"/>
  <c r="AH30" i="6"/>
  <c r="AH28" i="6"/>
  <c r="AH26" i="6"/>
  <c r="AH27" i="6"/>
  <c r="AH25" i="6"/>
  <c r="AH23" i="6"/>
  <c r="AH21" i="6"/>
  <c r="AH13" i="6"/>
  <c r="AH14" i="6"/>
  <c r="AH12" i="6"/>
  <c r="AH11" i="6"/>
  <c r="AH9" i="6"/>
  <c r="AH10" i="6"/>
  <c r="AH8" i="6"/>
  <c r="AH7" i="6"/>
  <c r="AH6" i="6"/>
  <c r="AH5" i="6"/>
  <c r="AH4" i="6"/>
  <c r="AG79" i="6"/>
  <c r="AG56" i="6"/>
  <c r="AG74" i="6"/>
  <c r="AG75" i="6"/>
  <c r="AG76" i="6"/>
  <c r="AG78" i="6"/>
  <c r="AG77" i="6"/>
  <c r="AG67" i="6"/>
  <c r="AG64" i="6"/>
  <c r="AG55" i="6"/>
  <c r="AG54" i="6"/>
  <c r="AG53" i="6"/>
  <c r="AG51" i="6"/>
  <c r="AG50" i="6"/>
  <c r="AG49" i="6"/>
  <c r="AG48" i="6"/>
  <c r="AG47" i="6"/>
  <c r="AG46" i="6"/>
  <c r="AG44" i="6"/>
  <c r="AG43" i="6"/>
  <c r="AG37" i="6"/>
  <c r="AG36" i="6"/>
  <c r="AG35" i="6"/>
  <c r="AG34" i="6"/>
  <c r="AG24" i="6"/>
  <c r="AG32" i="6"/>
  <c r="AG31" i="6"/>
  <c r="AG29" i="6"/>
  <c r="AG30" i="6"/>
  <c r="AG28" i="6"/>
  <c r="AG26" i="6"/>
  <c r="AG27" i="6"/>
  <c r="AG25" i="6"/>
  <c r="AG23" i="6"/>
  <c r="AG21" i="6"/>
  <c r="AG13" i="6"/>
  <c r="AG14" i="6"/>
  <c r="AG12" i="6"/>
  <c r="AG11" i="6"/>
  <c r="AG9" i="6"/>
  <c r="AG10" i="6"/>
  <c r="AG8" i="6"/>
  <c r="AG7" i="6"/>
  <c r="AG6" i="6"/>
  <c r="AG5" i="6"/>
  <c r="AG4" i="6"/>
  <c r="AF79" i="6"/>
  <c r="AF56" i="6"/>
  <c r="AF74" i="6"/>
  <c r="AF75" i="6"/>
  <c r="AF76" i="6"/>
  <c r="AF78" i="6"/>
  <c r="AF77" i="6"/>
  <c r="AF67" i="6"/>
  <c r="AF64" i="6"/>
  <c r="AF55" i="6"/>
  <c r="AF54" i="6"/>
  <c r="AF53" i="6"/>
  <c r="AF51" i="6"/>
  <c r="AF50" i="6"/>
  <c r="AF49" i="6"/>
  <c r="AF48" i="6"/>
  <c r="AF47" i="6"/>
  <c r="AF46" i="6"/>
  <c r="AF44" i="6"/>
  <c r="AF43" i="6"/>
  <c r="AF37" i="6"/>
  <c r="AF36" i="6"/>
  <c r="AF35" i="6"/>
  <c r="AF34" i="6"/>
  <c r="AF24" i="6"/>
  <c r="AF32" i="6"/>
  <c r="AF31" i="6"/>
  <c r="AF29" i="6"/>
  <c r="AF30" i="6"/>
  <c r="AF28" i="6"/>
  <c r="AF26" i="6"/>
  <c r="AF27" i="6"/>
  <c r="AF25" i="6"/>
  <c r="AF23" i="6"/>
  <c r="AF21" i="6"/>
  <c r="AF13" i="6"/>
  <c r="AF14" i="6"/>
  <c r="AF12" i="6"/>
  <c r="AF11" i="6"/>
  <c r="AF9" i="6"/>
  <c r="AF10" i="6"/>
  <c r="AF8" i="6"/>
  <c r="AF7" i="6"/>
  <c r="AF6" i="6"/>
  <c r="AF5" i="6"/>
  <c r="AF4" i="6"/>
  <c r="AE79" i="6"/>
  <c r="AE56" i="6"/>
  <c r="AE74" i="6"/>
  <c r="AE75" i="6"/>
  <c r="AE76" i="6"/>
  <c r="AE78" i="6"/>
  <c r="AE77" i="6"/>
  <c r="AE67" i="6"/>
  <c r="AE64" i="6"/>
  <c r="AE55" i="6"/>
  <c r="AE54" i="6"/>
  <c r="AE53" i="6"/>
  <c r="AE51" i="6"/>
  <c r="AE50" i="6"/>
  <c r="AE49" i="6"/>
  <c r="AE48" i="6"/>
  <c r="AE47" i="6"/>
  <c r="AE46" i="6"/>
  <c r="AE44" i="6"/>
  <c r="AE43" i="6"/>
  <c r="AE37" i="6"/>
  <c r="AE36" i="6"/>
  <c r="AE35" i="6"/>
  <c r="AE34" i="6"/>
  <c r="AE24" i="6"/>
  <c r="AE32" i="6"/>
  <c r="AE31" i="6"/>
  <c r="AE29" i="6"/>
  <c r="AE30" i="6"/>
  <c r="AE28" i="6"/>
  <c r="AE26" i="6"/>
  <c r="AE27" i="6"/>
  <c r="AE25" i="6"/>
  <c r="AE23" i="6"/>
  <c r="AE21" i="6"/>
  <c r="AE13" i="6"/>
  <c r="AE14" i="6"/>
  <c r="AE12" i="6"/>
  <c r="AE11" i="6"/>
  <c r="AE9" i="6"/>
  <c r="AE10" i="6"/>
  <c r="AE8" i="6"/>
  <c r="AE7" i="6"/>
  <c r="AE6" i="6"/>
  <c r="AE5" i="6"/>
  <c r="AE4" i="6"/>
  <c r="AD79" i="6"/>
  <c r="AD56" i="6"/>
  <c r="AD74" i="6"/>
  <c r="AD75" i="6"/>
  <c r="AD76" i="6"/>
  <c r="AD78" i="6"/>
  <c r="AD77" i="6"/>
  <c r="AD67" i="6"/>
  <c r="AD64" i="6"/>
  <c r="AD55" i="6"/>
  <c r="AD54" i="6"/>
  <c r="AD53" i="6"/>
  <c r="AD51" i="6"/>
  <c r="AD50" i="6"/>
  <c r="AD49" i="6"/>
  <c r="AD48" i="6"/>
  <c r="AD47" i="6"/>
  <c r="AD46" i="6"/>
  <c r="AD44" i="6"/>
  <c r="AD43" i="6"/>
  <c r="AD37" i="6"/>
  <c r="AD36" i="6"/>
  <c r="AD35" i="6"/>
  <c r="AD34" i="6"/>
  <c r="AD24" i="6"/>
  <c r="AD32" i="6"/>
  <c r="AD31" i="6"/>
  <c r="AD29" i="6"/>
  <c r="AD30" i="6"/>
  <c r="AD28" i="6"/>
  <c r="AD26" i="6"/>
  <c r="AD27" i="6"/>
  <c r="AD25" i="6"/>
  <c r="AD23" i="6"/>
  <c r="AD21" i="6"/>
  <c r="AD13" i="6"/>
  <c r="AD14" i="6"/>
  <c r="AD12" i="6"/>
  <c r="AD11" i="6"/>
  <c r="AD9" i="6"/>
  <c r="AD10" i="6"/>
  <c r="AD8" i="6"/>
  <c r="AD7" i="6"/>
  <c r="AD6" i="6"/>
  <c r="AD5" i="6"/>
  <c r="AD4" i="6"/>
  <c r="AC79" i="6"/>
  <c r="AC56" i="6"/>
  <c r="AC74" i="6"/>
  <c r="AC75" i="6"/>
  <c r="AC76" i="6"/>
  <c r="AC78" i="6"/>
  <c r="AC77" i="6"/>
  <c r="AC67" i="6"/>
  <c r="AC64" i="6"/>
  <c r="AC55" i="6"/>
  <c r="AC54" i="6"/>
  <c r="AC53" i="6"/>
  <c r="AC51" i="6"/>
  <c r="AC50" i="6"/>
  <c r="AC49" i="6"/>
  <c r="AC48" i="6"/>
  <c r="AC47" i="6"/>
  <c r="AC46" i="6"/>
  <c r="AC44" i="6"/>
  <c r="AC43" i="6"/>
  <c r="AC37" i="6"/>
  <c r="AC36" i="6"/>
  <c r="AC35" i="6"/>
  <c r="AC34" i="6"/>
  <c r="AC24" i="6"/>
  <c r="AC32" i="6"/>
  <c r="AC31" i="6"/>
  <c r="AC29" i="6"/>
  <c r="AC30" i="6"/>
  <c r="AC28" i="6"/>
  <c r="AC26" i="6"/>
  <c r="AC27" i="6"/>
  <c r="AC25" i="6"/>
  <c r="AC23" i="6"/>
  <c r="AC21" i="6"/>
  <c r="AC13" i="6"/>
  <c r="AC14" i="6"/>
  <c r="AC12" i="6"/>
  <c r="AC11" i="6"/>
  <c r="AC9" i="6"/>
  <c r="AC10" i="6"/>
  <c r="AC8" i="6"/>
  <c r="AC7" i="6"/>
  <c r="AC6" i="6"/>
  <c r="AC5" i="6"/>
  <c r="AC4" i="6"/>
  <c r="AB79" i="6"/>
  <c r="AB56" i="6"/>
  <c r="AB74" i="6"/>
  <c r="AB75" i="6"/>
  <c r="AB76" i="6"/>
  <c r="AB78" i="6"/>
  <c r="AB77" i="6"/>
  <c r="AB67" i="6"/>
  <c r="AB64" i="6"/>
  <c r="AB55" i="6"/>
  <c r="AB54" i="6"/>
  <c r="AB53" i="6"/>
  <c r="AB51" i="6"/>
  <c r="AB50" i="6"/>
  <c r="AB49" i="6"/>
  <c r="AB48" i="6"/>
  <c r="AB47" i="6"/>
  <c r="AB46" i="6"/>
  <c r="AB44" i="6"/>
  <c r="AB43" i="6"/>
  <c r="AB37" i="6"/>
  <c r="AB36" i="6"/>
  <c r="AB35" i="6"/>
  <c r="AB34" i="6"/>
  <c r="AB24" i="6"/>
  <c r="AB32" i="6"/>
  <c r="AB31" i="6"/>
  <c r="AB29" i="6"/>
  <c r="AB30" i="6"/>
  <c r="AB28" i="6"/>
  <c r="AB26" i="6"/>
  <c r="AB27" i="6"/>
  <c r="AB25" i="6"/>
  <c r="AB23" i="6"/>
  <c r="AB21" i="6"/>
  <c r="AB13" i="6"/>
  <c r="AB14" i="6"/>
  <c r="AB12" i="6"/>
  <c r="AB11" i="6"/>
  <c r="AB9" i="6"/>
  <c r="AB10" i="6"/>
  <c r="AB8" i="6"/>
  <c r="AB7" i="6"/>
  <c r="AB6" i="6"/>
  <c r="AB5" i="6"/>
  <c r="AB4" i="6"/>
  <c r="AA79" i="6"/>
  <c r="AA56" i="6"/>
  <c r="AA74" i="6"/>
  <c r="AA75" i="6"/>
  <c r="AA76" i="6"/>
  <c r="AA78" i="6"/>
  <c r="AA77" i="6"/>
  <c r="AA67" i="6"/>
  <c r="AA64" i="6"/>
  <c r="AA55" i="6"/>
  <c r="AA54" i="6"/>
  <c r="AA53" i="6"/>
  <c r="AA51" i="6"/>
  <c r="AA50" i="6"/>
  <c r="AA49" i="6"/>
  <c r="AA48" i="6"/>
  <c r="AA47" i="6"/>
  <c r="AA46" i="6"/>
  <c r="AA44" i="6"/>
  <c r="AA43" i="6"/>
  <c r="AA37" i="6"/>
  <c r="AA36" i="6"/>
  <c r="AA35" i="6"/>
  <c r="AA34" i="6"/>
  <c r="AA24" i="6"/>
  <c r="AA32" i="6"/>
  <c r="AA31" i="6"/>
  <c r="AA29" i="6"/>
  <c r="AA30" i="6"/>
  <c r="AA28" i="6"/>
  <c r="AA26" i="6"/>
  <c r="AA27" i="6"/>
  <c r="AA25" i="6"/>
  <c r="AA23" i="6"/>
  <c r="AA21" i="6"/>
  <c r="AA13" i="6"/>
  <c r="AA14" i="6"/>
  <c r="AA12" i="6"/>
  <c r="AA11" i="6"/>
  <c r="AA9" i="6"/>
  <c r="AA10" i="6"/>
  <c r="AA8" i="6"/>
  <c r="AA7" i="6"/>
  <c r="AA6" i="6"/>
  <c r="AA5" i="6"/>
  <c r="AA4" i="6"/>
  <c r="Z79" i="6"/>
  <c r="Z56" i="6"/>
  <c r="Z74" i="6"/>
  <c r="Z75" i="6"/>
  <c r="Z76" i="6"/>
  <c r="Z78" i="6"/>
  <c r="Z77" i="6"/>
  <c r="Z67" i="6"/>
  <c r="Z64" i="6"/>
  <c r="Z55" i="6"/>
  <c r="Z54" i="6"/>
  <c r="Z53" i="6"/>
  <c r="Z51" i="6"/>
  <c r="Z50" i="6"/>
  <c r="Z49" i="6"/>
  <c r="Z48" i="6"/>
  <c r="Z47" i="6"/>
  <c r="Z46" i="6"/>
  <c r="Z44" i="6"/>
  <c r="Z43" i="6"/>
  <c r="Z37" i="6"/>
  <c r="Z36" i="6"/>
  <c r="Z35" i="6"/>
  <c r="Z34" i="6"/>
  <c r="Z24" i="6"/>
  <c r="Z32" i="6"/>
  <c r="Z31" i="6"/>
  <c r="Z29" i="6"/>
  <c r="Z30" i="6"/>
  <c r="Z28" i="6"/>
  <c r="Z26" i="6"/>
  <c r="Z27" i="6"/>
  <c r="Z25" i="6"/>
  <c r="Z23" i="6"/>
  <c r="Z21" i="6"/>
  <c r="Z13" i="6"/>
  <c r="Z14" i="6"/>
  <c r="Z12" i="6"/>
  <c r="Z11" i="6"/>
  <c r="Z9" i="6"/>
  <c r="Z10" i="6"/>
  <c r="Z8" i="6"/>
  <c r="Z7" i="6"/>
  <c r="Z6" i="6"/>
  <c r="Z5" i="6"/>
  <c r="Z4" i="6"/>
  <c r="Y79" i="6"/>
  <c r="Y56" i="6"/>
  <c r="Y74" i="6"/>
  <c r="Y75" i="6"/>
  <c r="Y76" i="6"/>
  <c r="Y78" i="6"/>
  <c r="Y77" i="6"/>
  <c r="Y67" i="6"/>
  <c r="Y64" i="6"/>
  <c r="Y55" i="6"/>
  <c r="Y54" i="6"/>
  <c r="Y53" i="6"/>
  <c r="Y51" i="6"/>
  <c r="Y50" i="6"/>
  <c r="Y49" i="6"/>
  <c r="Y48" i="6"/>
  <c r="Y47" i="6"/>
  <c r="Y46" i="6"/>
  <c r="Y44" i="6"/>
  <c r="Y43" i="6"/>
  <c r="Y37" i="6"/>
  <c r="Y36" i="6"/>
  <c r="Y35" i="6"/>
  <c r="Y34" i="6"/>
  <c r="Y24" i="6"/>
  <c r="Y32" i="6"/>
  <c r="Y31" i="6"/>
  <c r="Y29" i="6"/>
  <c r="Y30" i="6"/>
  <c r="Y28" i="6"/>
  <c r="Y26" i="6"/>
  <c r="Y27" i="6"/>
  <c r="Y25" i="6"/>
  <c r="Y23" i="6"/>
  <c r="Y21" i="6"/>
  <c r="Y13" i="6"/>
  <c r="Y14" i="6"/>
  <c r="Y12" i="6"/>
  <c r="Y11" i="6"/>
  <c r="Y9" i="6"/>
  <c r="Y10" i="6"/>
  <c r="Y8" i="6"/>
  <c r="Y7" i="6"/>
  <c r="Y6" i="6"/>
  <c r="Y5" i="6"/>
  <c r="Y4" i="6"/>
  <c r="X79" i="6"/>
  <c r="X56" i="6"/>
  <c r="X74" i="6"/>
  <c r="X75" i="6"/>
  <c r="X76" i="6"/>
  <c r="X78" i="6"/>
  <c r="X77" i="6"/>
  <c r="X67" i="6"/>
  <c r="X64" i="6"/>
  <c r="X55" i="6"/>
  <c r="X54" i="6"/>
  <c r="X53" i="6"/>
  <c r="X51" i="6"/>
  <c r="X50" i="6"/>
  <c r="X49" i="6"/>
  <c r="X48" i="6"/>
  <c r="X47" i="6"/>
  <c r="X46" i="6"/>
  <c r="X44" i="6"/>
  <c r="X43" i="6"/>
  <c r="X37" i="6"/>
  <c r="X36" i="6"/>
  <c r="X35" i="6"/>
  <c r="X34" i="6"/>
  <c r="X24" i="6"/>
  <c r="X32" i="6"/>
  <c r="X31" i="6"/>
  <c r="X29" i="6"/>
  <c r="X30" i="6"/>
  <c r="X28" i="6"/>
  <c r="X26" i="6"/>
  <c r="X27" i="6"/>
  <c r="X25" i="6"/>
  <c r="X23" i="6"/>
  <c r="X21" i="6"/>
  <c r="X13" i="6"/>
  <c r="X14" i="6"/>
  <c r="X12" i="6"/>
  <c r="X11" i="6"/>
  <c r="X9" i="6"/>
  <c r="X10" i="6"/>
  <c r="X8" i="6"/>
  <c r="X7" i="6"/>
  <c r="X6" i="6"/>
  <c r="X5" i="6"/>
  <c r="X4" i="6"/>
  <c r="Q30" i="2"/>
  <c r="Q21" i="2"/>
  <c r="Q22" i="2"/>
  <c r="Q20" i="2"/>
  <c r="Q23" i="2"/>
  <c r="E45" i="3"/>
  <c r="C56" i="6"/>
  <c r="C74" i="6"/>
  <c r="C75" i="6"/>
  <c r="C76" i="6"/>
  <c r="C78" i="6"/>
  <c r="E66" i="5"/>
  <c r="E31" i="3"/>
  <c r="B6" i="13"/>
  <c r="C6" i="13"/>
  <c r="B7" i="13"/>
  <c r="C7" i="13"/>
  <c r="B8" i="13"/>
  <c r="C8" i="13"/>
  <c r="B9" i="13"/>
  <c r="C9" i="13"/>
  <c r="B10" i="13"/>
  <c r="C10" i="13"/>
  <c r="B11" i="13"/>
  <c r="C11" i="13"/>
  <c r="B12" i="13"/>
  <c r="C12" i="13"/>
  <c r="B13" i="13"/>
  <c r="C13" i="13"/>
  <c r="B14" i="13"/>
  <c r="C14" i="13"/>
  <c r="B15" i="13"/>
  <c r="C15" i="13"/>
  <c r="B16" i="13"/>
  <c r="C16" i="13"/>
  <c r="B17" i="13"/>
  <c r="C17" i="13"/>
  <c r="B18" i="13"/>
  <c r="C18" i="13"/>
  <c r="B19" i="13"/>
  <c r="C19" i="13"/>
  <c r="B20" i="13"/>
  <c r="C20" i="13"/>
  <c r="B21" i="13"/>
  <c r="C21" i="13"/>
  <c r="B22" i="13"/>
  <c r="C22" i="13"/>
  <c r="B23" i="13"/>
  <c r="C23" i="13"/>
  <c r="B24" i="13"/>
  <c r="C24" i="13"/>
  <c r="B25" i="13"/>
  <c r="C25" i="13"/>
  <c r="C26" i="13"/>
  <c r="D6" i="13"/>
  <c r="D7" i="13"/>
  <c r="D8" i="13"/>
  <c r="D9" i="13"/>
  <c r="D10" i="13"/>
  <c r="D11" i="13"/>
  <c r="D12" i="13"/>
  <c r="D13" i="13"/>
  <c r="D14" i="13"/>
  <c r="D15" i="13"/>
  <c r="D16" i="13"/>
  <c r="D17" i="13"/>
  <c r="D18" i="13"/>
  <c r="D19" i="13"/>
  <c r="D20" i="13"/>
  <c r="D21" i="13"/>
  <c r="D22" i="13"/>
  <c r="D23" i="13"/>
  <c r="D24" i="13"/>
  <c r="D25" i="13"/>
  <c r="D26" i="13"/>
  <c r="E6" i="13"/>
  <c r="E7" i="13"/>
  <c r="E8" i="13"/>
  <c r="E9" i="13"/>
  <c r="E10" i="13"/>
  <c r="E11" i="13"/>
  <c r="E12" i="13"/>
  <c r="E13" i="13"/>
  <c r="E14" i="13"/>
  <c r="E15" i="13"/>
  <c r="E16" i="13"/>
  <c r="E17" i="13"/>
  <c r="E18" i="13"/>
  <c r="E19" i="13"/>
  <c r="E20" i="13"/>
  <c r="E21" i="13"/>
  <c r="E22" i="13"/>
  <c r="E23" i="13"/>
  <c r="E24" i="13"/>
  <c r="E25" i="13"/>
  <c r="E26" i="13"/>
  <c r="F6" i="13"/>
  <c r="F7" i="13"/>
  <c r="F8" i="13"/>
  <c r="F9" i="13"/>
  <c r="F10" i="13"/>
  <c r="F11" i="13"/>
  <c r="F12" i="13"/>
  <c r="F13" i="13"/>
  <c r="F14" i="13"/>
  <c r="F15" i="13"/>
  <c r="F16" i="13"/>
  <c r="F17" i="13"/>
  <c r="F18" i="13"/>
  <c r="F19" i="13"/>
  <c r="F20" i="13"/>
  <c r="F21" i="13"/>
  <c r="F22" i="13"/>
  <c r="F23" i="13"/>
  <c r="F24" i="13"/>
  <c r="F25" i="13"/>
  <c r="F26" i="13"/>
  <c r="G6" i="13"/>
  <c r="G7" i="13"/>
  <c r="G8" i="13"/>
  <c r="G9" i="13"/>
  <c r="G10" i="13"/>
  <c r="G11" i="13"/>
  <c r="G12" i="13"/>
  <c r="G13" i="13"/>
  <c r="G14" i="13"/>
  <c r="G15" i="13"/>
  <c r="G16" i="13"/>
  <c r="G17" i="13"/>
  <c r="G18" i="13"/>
  <c r="G19" i="13"/>
  <c r="G20" i="13"/>
  <c r="G21" i="13"/>
  <c r="G22" i="13"/>
  <c r="G23" i="13"/>
  <c r="G24" i="13"/>
  <c r="G25" i="13"/>
  <c r="G26" i="13"/>
  <c r="H6" i="13"/>
  <c r="H7" i="13"/>
  <c r="H8" i="13"/>
  <c r="H9" i="13"/>
  <c r="H10" i="13"/>
  <c r="H11" i="13"/>
  <c r="H12" i="13"/>
  <c r="H13" i="13"/>
  <c r="H14" i="13"/>
  <c r="H15" i="13"/>
  <c r="H16" i="13"/>
  <c r="H17" i="13"/>
  <c r="H18" i="13"/>
  <c r="H19" i="13"/>
  <c r="H20" i="13"/>
  <c r="H21" i="13"/>
  <c r="H22" i="13"/>
  <c r="H23" i="13"/>
  <c r="H24" i="13"/>
  <c r="H25" i="13"/>
  <c r="H26" i="13"/>
  <c r="I6" i="13"/>
  <c r="I7" i="13"/>
  <c r="I8" i="13"/>
  <c r="I9" i="13"/>
  <c r="I10" i="13"/>
  <c r="I11" i="13"/>
  <c r="I12" i="13"/>
  <c r="I13" i="13"/>
  <c r="I14" i="13"/>
  <c r="I15" i="13"/>
  <c r="I16" i="13"/>
  <c r="I17" i="13"/>
  <c r="I18" i="13"/>
  <c r="I19" i="13"/>
  <c r="I20" i="13"/>
  <c r="I21" i="13"/>
  <c r="I22" i="13"/>
  <c r="I23" i="13"/>
  <c r="I24" i="13"/>
  <c r="I25" i="13"/>
  <c r="I26" i="13"/>
  <c r="J6" i="13"/>
  <c r="J7" i="13"/>
  <c r="J8" i="13"/>
  <c r="J9" i="13"/>
  <c r="J10" i="13"/>
  <c r="J11" i="13"/>
  <c r="J12" i="13"/>
  <c r="J13" i="13"/>
  <c r="J14" i="13"/>
  <c r="J15" i="13"/>
  <c r="J16" i="13"/>
  <c r="J17" i="13"/>
  <c r="J18" i="13"/>
  <c r="J19" i="13"/>
  <c r="J20" i="13"/>
  <c r="J21" i="13"/>
  <c r="J22" i="13"/>
  <c r="J23" i="13"/>
  <c r="J24" i="13"/>
  <c r="J25" i="13"/>
  <c r="J26" i="13"/>
  <c r="K6" i="13"/>
  <c r="K7" i="13"/>
  <c r="K8" i="13"/>
  <c r="K9" i="13"/>
  <c r="K10" i="13"/>
  <c r="K11" i="13"/>
  <c r="K12" i="13"/>
  <c r="K13" i="13"/>
  <c r="K14" i="13"/>
  <c r="K15" i="13"/>
  <c r="K16" i="13"/>
  <c r="K17" i="13"/>
  <c r="K18" i="13"/>
  <c r="K19" i="13"/>
  <c r="K20" i="13"/>
  <c r="K21" i="13"/>
  <c r="K22" i="13"/>
  <c r="K23" i="13"/>
  <c r="K24" i="13"/>
  <c r="K25" i="13"/>
  <c r="K26" i="13"/>
  <c r="L26" i="13"/>
  <c r="L6" i="13"/>
  <c r="L7" i="13"/>
  <c r="L8" i="13"/>
  <c r="L9" i="13"/>
  <c r="L10" i="13"/>
  <c r="L11" i="13"/>
  <c r="L12" i="13"/>
  <c r="L13" i="13"/>
  <c r="L14" i="13"/>
  <c r="L15" i="13"/>
  <c r="L16" i="13"/>
  <c r="L17" i="13"/>
  <c r="L18" i="13"/>
  <c r="L19" i="13"/>
  <c r="L20" i="13"/>
  <c r="L21" i="13"/>
  <c r="L22" i="13"/>
  <c r="L23" i="13"/>
  <c r="L24" i="13"/>
  <c r="L25" i="13"/>
  <c r="E53" i="3"/>
  <c r="B3" i="8"/>
  <c r="B4" i="8"/>
  <c r="B5" i="8"/>
  <c r="B6" i="8"/>
  <c r="B7" i="8"/>
  <c r="B8" i="8"/>
  <c r="B9" i="8"/>
  <c r="B10" i="8"/>
  <c r="B11" i="8"/>
  <c r="B12" i="8"/>
  <c r="B13" i="8"/>
  <c r="B14" i="8"/>
  <c r="B15" i="8"/>
  <c r="B16" i="8"/>
  <c r="B17" i="8"/>
  <c r="B18" i="8"/>
  <c r="B19" i="8"/>
  <c r="B20" i="8"/>
  <c r="B21" i="8"/>
  <c r="B22" i="8"/>
  <c r="B23" i="8"/>
  <c r="B24" i="8"/>
  <c r="B25" i="8"/>
  <c r="B26" i="8"/>
  <c r="B27" i="8"/>
  <c r="B28" i="8"/>
  <c r="B29" i="8"/>
  <c r="B31" i="8"/>
  <c r="B32" i="8"/>
  <c r="B2" i="8"/>
  <c r="D31" i="5"/>
  <c r="D39" i="5"/>
  <c r="E35" i="5"/>
  <c r="D35" i="5"/>
  <c r="D36" i="5"/>
  <c r="D37" i="5"/>
  <c r="C28" i="6"/>
  <c r="C27" i="6"/>
  <c r="C26" i="6"/>
  <c r="E8" i="5"/>
  <c r="E18" i="5"/>
  <c r="E21" i="5"/>
  <c r="E16" i="5"/>
  <c r="Q5" i="2"/>
  <c r="Q3" i="2"/>
  <c r="R3" i="2"/>
  <c r="Q6" i="2"/>
  <c r="Q4" i="2"/>
  <c r="R4" i="2"/>
  <c r="R5" i="2"/>
  <c r="R6" i="2"/>
  <c r="Q7" i="2"/>
  <c r="Q8" i="2"/>
  <c r="R7" i="2"/>
  <c r="Q9" i="2"/>
  <c r="R9" i="2"/>
  <c r="R8" i="2"/>
  <c r="Q24" i="2"/>
  <c r="Q25" i="2"/>
  <c r="Q26" i="2"/>
  <c r="Q27" i="2"/>
  <c r="Q28" i="2"/>
  <c r="Q29" i="2"/>
  <c r="Q31" i="2"/>
  <c r="E31" i="5"/>
  <c r="E39" i="5"/>
  <c r="E40" i="5"/>
  <c r="D40" i="5"/>
  <c r="E41" i="5"/>
  <c r="D41" i="5"/>
  <c r="D29" i="5"/>
  <c r="D27" i="5"/>
  <c r="CB65" i="3"/>
  <c r="CA65" i="3"/>
  <c r="BZ65" i="3"/>
  <c r="BY65" i="3"/>
  <c r="BX65" i="3"/>
  <c r="BW65" i="3"/>
  <c r="BV65" i="3"/>
  <c r="BU65" i="3"/>
  <c r="BT65" i="3"/>
  <c r="BS65" i="3"/>
  <c r="BR65" i="3"/>
  <c r="BQ65" i="3"/>
  <c r="CB39" i="3"/>
  <c r="CA39" i="3"/>
  <c r="BZ39" i="3"/>
  <c r="BY39" i="3"/>
  <c r="BX39" i="3"/>
  <c r="BW39" i="3"/>
  <c r="BV39" i="3"/>
  <c r="BU39" i="3"/>
  <c r="BT39" i="3"/>
  <c r="BS39" i="3"/>
  <c r="BR39" i="3"/>
  <c r="BQ39" i="3"/>
  <c r="CB26" i="3"/>
  <c r="CA26" i="3"/>
  <c r="BZ26" i="3"/>
  <c r="BY26" i="3"/>
  <c r="BX26" i="3"/>
  <c r="BW26" i="3"/>
  <c r="BV26" i="3"/>
  <c r="BU26" i="3"/>
  <c r="BT26" i="3"/>
  <c r="BS26" i="3"/>
  <c r="BR26" i="3"/>
  <c r="BQ26" i="3"/>
  <c r="CB25" i="3"/>
  <c r="CA25" i="3"/>
  <c r="BZ25" i="3"/>
  <c r="BY25" i="3"/>
  <c r="BX25" i="3"/>
  <c r="BW25" i="3"/>
  <c r="BV25" i="3"/>
  <c r="BU25" i="3"/>
  <c r="BT25" i="3"/>
  <c r="BS25" i="3"/>
  <c r="BR25" i="3"/>
  <c r="BQ25" i="3"/>
  <c r="CB22" i="3"/>
  <c r="CA22" i="3"/>
  <c r="BZ22" i="3"/>
  <c r="BY22" i="3"/>
  <c r="BX22" i="3"/>
  <c r="BW22" i="3"/>
  <c r="BV22" i="3"/>
  <c r="BU22" i="3"/>
  <c r="BT22" i="3"/>
  <c r="BS22" i="3"/>
  <c r="BR22" i="3"/>
  <c r="BQ22" i="3"/>
  <c r="CB9" i="3"/>
  <c r="CA9" i="3"/>
  <c r="BZ9" i="3"/>
  <c r="BY9" i="3"/>
  <c r="BX9" i="3"/>
  <c r="BW9" i="3"/>
  <c r="BV9" i="3"/>
  <c r="BU9" i="3"/>
  <c r="BT9" i="3"/>
  <c r="BS9" i="3"/>
  <c r="BR9" i="3"/>
  <c r="BQ9" i="3"/>
  <c r="H4" i="9"/>
  <c r="E4" i="9"/>
  <c r="D151" i="10"/>
  <c r="B151" i="10"/>
  <c r="D150" i="10"/>
  <c r="B150" i="10"/>
  <c r="G39" i="3"/>
  <c r="H39" i="3"/>
  <c r="I39" i="3"/>
  <c r="J39" i="3"/>
  <c r="K39" i="3"/>
  <c r="L39" i="3"/>
  <c r="M39" i="3"/>
  <c r="N39" i="3"/>
  <c r="O39" i="3"/>
  <c r="P39" i="3"/>
  <c r="Q39" i="3"/>
  <c r="R39" i="3"/>
  <c r="S39" i="3"/>
  <c r="T39" i="3"/>
  <c r="U39" i="3"/>
  <c r="V39" i="3"/>
  <c r="W39" i="3"/>
  <c r="X39" i="3"/>
  <c r="Y39" i="3"/>
  <c r="Z39" i="3"/>
  <c r="AA39" i="3"/>
  <c r="AB39" i="3"/>
  <c r="AC39" i="3"/>
  <c r="AD39" i="3"/>
  <c r="AE39" i="3"/>
  <c r="AF39" i="3"/>
  <c r="AG39" i="3"/>
  <c r="AH39" i="3"/>
  <c r="AI39" i="3"/>
  <c r="AJ39" i="3"/>
  <c r="AK39" i="3"/>
  <c r="AL39" i="3"/>
  <c r="AM39" i="3"/>
  <c r="AN39" i="3"/>
  <c r="AO39" i="3"/>
  <c r="AP39" i="3"/>
  <c r="AQ39" i="3"/>
  <c r="AR39" i="3"/>
  <c r="AS39" i="3"/>
  <c r="AT39" i="3"/>
  <c r="AU39" i="3"/>
  <c r="AV39" i="3"/>
  <c r="AW39" i="3"/>
  <c r="AX39" i="3"/>
  <c r="AY39" i="3"/>
  <c r="AZ39" i="3"/>
  <c r="BA39" i="3"/>
  <c r="BB39" i="3"/>
  <c r="BC39" i="3"/>
  <c r="BD39" i="3"/>
  <c r="BE39" i="3"/>
  <c r="BF39" i="3"/>
  <c r="BG39" i="3"/>
  <c r="BH39" i="3"/>
  <c r="BI39" i="3"/>
  <c r="BJ39" i="3"/>
  <c r="BK39" i="3"/>
  <c r="BL39" i="3"/>
  <c r="BM39" i="3"/>
  <c r="BN39" i="3"/>
  <c r="BO39" i="3"/>
  <c r="BP39" i="3"/>
  <c r="E34" i="6"/>
  <c r="F34" i="6"/>
  <c r="G34" i="6"/>
  <c r="H34" i="6"/>
  <c r="I34" i="6"/>
  <c r="J34" i="6"/>
  <c r="K34" i="6"/>
  <c r="L34" i="6"/>
  <c r="M34" i="6"/>
  <c r="N34" i="6"/>
  <c r="O34" i="6"/>
  <c r="P34" i="6"/>
  <c r="Q34" i="6"/>
  <c r="R34" i="6"/>
  <c r="S34" i="6"/>
  <c r="T34" i="6"/>
  <c r="U34" i="6"/>
  <c r="V34" i="6"/>
  <c r="W34" i="6"/>
  <c r="E35" i="6"/>
  <c r="F35" i="6"/>
  <c r="G35" i="6"/>
  <c r="H35" i="6"/>
  <c r="I35" i="6"/>
  <c r="J35" i="6"/>
  <c r="K35" i="6"/>
  <c r="L35" i="6"/>
  <c r="M35" i="6"/>
  <c r="N35" i="6"/>
  <c r="O35" i="6"/>
  <c r="P35" i="6"/>
  <c r="Q35" i="6"/>
  <c r="R35" i="6"/>
  <c r="S35" i="6"/>
  <c r="T35" i="6"/>
  <c r="U35" i="6"/>
  <c r="V35" i="6"/>
  <c r="W35" i="6"/>
  <c r="E36" i="6"/>
  <c r="F36" i="6"/>
  <c r="G36" i="6"/>
  <c r="H36" i="6"/>
  <c r="I36" i="6"/>
  <c r="J36" i="6"/>
  <c r="K36" i="6"/>
  <c r="L36" i="6"/>
  <c r="M36" i="6"/>
  <c r="N36" i="6"/>
  <c r="O36" i="6"/>
  <c r="P36" i="6"/>
  <c r="Q36" i="6"/>
  <c r="R36" i="6"/>
  <c r="S36" i="6"/>
  <c r="T36" i="6"/>
  <c r="U36" i="6"/>
  <c r="V36" i="6"/>
  <c r="W36" i="6"/>
  <c r="E37" i="6"/>
  <c r="F37" i="6"/>
  <c r="G37" i="6"/>
  <c r="H37" i="6"/>
  <c r="I37" i="6"/>
  <c r="J37" i="6"/>
  <c r="K37" i="6"/>
  <c r="L37" i="6"/>
  <c r="M37" i="6"/>
  <c r="N37" i="6"/>
  <c r="O37" i="6"/>
  <c r="P37" i="6"/>
  <c r="Q37" i="6"/>
  <c r="R37" i="6"/>
  <c r="S37" i="6"/>
  <c r="T37" i="6"/>
  <c r="U37" i="6"/>
  <c r="V37" i="6"/>
  <c r="W37" i="6"/>
  <c r="D27" i="8"/>
  <c r="G27" i="8"/>
  <c r="I27" i="8"/>
  <c r="K27" i="8"/>
  <c r="M27" i="8"/>
  <c r="Z27" i="8"/>
  <c r="AA27" i="8"/>
  <c r="AF27" i="8"/>
  <c r="AH27" i="8"/>
  <c r="AJ27" i="8"/>
  <c r="AL27" i="8"/>
  <c r="AO27" i="8"/>
  <c r="AP27" i="8"/>
  <c r="D24" i="6"/>
  <c r="W79" i="6"/>
  <c r="W56" i="6"/>
  <c r="W74" i="6"/>
  <c r="W75" i="6"/>
  <c r="W76" i="6"/>
  <c r="W78" i="6"/>
  <c r="EZ129" i="1"/>
  <c r="FE129" i="1"/>
  <c r="FA129" i="1"/>
  <c r="FF129" i="1"/>
  <c r="FB129" i="1"/>
  <c r="FG129" i="1"/>
  <c r="FC129" i="1"/>
  <c r="FH129" i="1"/>
  <c r="FD129" i="1"/>
  <c r="FI129" i="1"/>
  <c r="FJ129" i="1"/>
  <c r="FK129" i="1"/>
  <c r="FL129" i="1"/>
  <c r="EZ229" i="1"/>
  <c r="FE229" i="1"/>
  <c r="FA229" i="1"/>
  <c r="FF229" i="1"/>
  <c r="FB229" i="1"/>
  <c r="FG229" i="1"/>
  <c r="FC229" i="1"/>
  <c r="FH229" i="1"/>
  <c r="FD229" i="1"/>
  <c r="FI229" i="1"/>
  <c r="FJ229" i="1"/>
  <c r="FK229" i="1"/>
  <c r="FL229" i="1"/>
  <c r="W77" i="6"/>
  <c r="W67" i="6"/>
  <c r="W64" i="6"/>
  <c r="W55" i="6"/>
  <c r="W54" i="6"/>
  <c r="W53" i="6"/>
  <c r="W51" i="6"/>
  <c r="W50" i="6"/>
  <c r="W49" i="6"/>
  <c r="W48" i="6"/>
  <c r="W47" i="6"/>
  <c r="W46" i="6"/>
  <c r="W44" i="6"/>
  <c r="W43" i="6"/>
  <c r="W24" i="6"/>
  <c r="W32" i="6"/>
  <c r="W31" i="6"/>
  <c r="W29" i="6"/>
  <c r="W30" i="6"/>
  <c r="W28" i="6"/>
  <c r="W26" i="6"/>
  <c r="W27" i="6"/>
  <c r="D21" i="8"/>
  <c r="D25" i="8"/>
  <c r="W25" i="6"/>
  <c r="W23" i="6"/>
  <c r="W21" i="6"/>
  <c r="W13" i="6"/>
  <c r="W14" i="6"/>
  <c r="W12" i="6"/>
  <c r="W11" i="6"/>
  <c r="W9" i="6"/>
  <c r="W10" i="6"/>
  <c r="W8" i="6"/>
  <c r="W7" i="6"/>
  <c r="W6" i="6"/>
  <c r="W5" i="6"/>
  <c r="AA9" i="3"/>
  <c r="Y9" i="3"/>
  <c r="W4" i="6"/>
  <c r="V79" i="6"/>
  <c r="V56" i="6"/>
  <c r="V74" i="6"/>
  <c r="V75" i="6"/>
  <c r="V76" i="6"/>
  <c r="V78" i="6"/>
  <c r="EZ128" i="1"/>
  <c r="FE128" i="1"/>
  <c r="FA128" i="1"/>
  <c r="FF128" i="1"/>
  <c r="FB128" i="1"/>
  <c r="FG128" i="1"/>
  <c r="FC128" i="1"/>
  <c r="FH128" i="1"/>
  <c r="FD128" i="1"/>
  <c r="FI128" i="1"/>
  <c r="FJ128" i="1"/>
  <c r="FK128" i="1"/>
  <c r="FL128" i="1"/>
  <c r="EZ228" i="1"/>
  <c r="FE228" i="1"/>
  <c r="FA228" i="1"/>
  <c r="FF228" i="1"/>
  <c r="FB228" i="1"/>
  <c r="FG228" i="1"/>
  <c r="FC228" i="1"/>
  <c r="FH228" i="1"/>
  <c r="FD228" i="1"/>
  <c r="FI228" i="1"/>
  <c r="FJ228" i="1"/>
  <c r="FK228" i="1"/>
  <c r="FL228" i="1"/>
  <c r="V77" i="6"/>
  <c r="V67" i="6"/>
  <c r="V64" i="6"/>
  <c r="V55" i="6"/>
  <c r="V54" i="6"/>
  <c r="V53" i="6"/>
  <c r="V51" i="6"/>
  <c r="V50" i="6"/>
  <c r="V49" i="6"/>
  <c r="V48" i="6"/>
  <c r="V47" i="6"/>
  <c r="V46" i="6"/>
  <c r="V44" i="6"/>
  <c r="V43" i="6"/>
  <c r="V24" i="6"/>
  <c r="V32" i="6"/>
  <c r="V31" i="6"/>
  <c r="V29" i="6"/>
  <c r="V30" i="6"/>
  <c r="V28" i="6"/>
  <c r="V26" i="6"/>
  <c r="V27" i="6"/>
  <c r="V25" i="6"/>
  <c r="V23" i="6"/>
  <c r="V21" i="6"/>
  <c r="V13" i="6"/>
  <c r="V14" i="6"/>
  <c r="V12" i="6"/>
  <c r="V11" i="6"/>
  <c r="V9" i="6"/>
  <c r="V10" i="6"/>
  <c r="V8" i="6"/>
  <c r="V7" i="6"/>
  <c r="V6" i="6"/>
  <c r="V5" i="6"/>
  <c r="Z9" i="3"/>
  <c r="X9" i="3"/>
  <c r="V4" i="6"/>
  <c r="O149" i="10"/>
  <c r="O148" i="10"/>
  <c r="D149" i="10"/>
  <c r="D148" i="10"/>
  <c r="B149" i="10"/>
  <c r="B148" i="10"/>
  <c r="B24" i="9"/>
  <c r="L24" i="9"/>
  <c r="K24" i="9"/>
  <c r="J24" i="9"/>
  <c r="I24" i="9"/>
  <c r="H24" i="9"/>
  <c r="G24" i="9"/>
  <c r="F24" i="9"/>
  <c r="E24" i="9"/>
  <c r="D24" i="9"/>
  <c r="C24" i="9"/>
  <c r="B23" i="9"/>
  <c r="L23" i="9"/>
  <c r="K23" i="9"/>
  <c r="J23" i="9"/>
  <c r="I23" i="9"/>
  <c r="H23" i="9"/>
  <c r="G23" i="9"/>
  <c r="F23" i="9"/>
  <c r="E23" i="9"/>
  <c r="D23" i="9"/>
  <c r="C23" i="9"/>
  <c r="E65" i="14"/>
  <c r="E64" i="14"/>
  <c r="E63" i="14"/>
  <c r="E62" i="14"/>
  <c r="C65" i="14"/>
  <c r="C64" i="14"/>
  <c r="C63" i="14"/>
  <c r="C62" i="14"/>
  <c r="F122" i="13"/>
  <c r="F121" i="13"/>
  <c r="D122" i="13"/>
  <c r="D121" i="13"/>
  <c r="B122" i="13"/>
  <c r="B121" i="13"/>
  <c r="I75" i="11"/>
  <c r="N75" i="11"/>
  <c r="M75" i="11"/>
  <c r="I74" i="11"/>
  <c r="N74" i="11"/>
  <c r="M74" i="11"/>
  <c r="F75" i="11"/>
  <c r="E75" i="11"/>
  <c r="F74" i="11"/>
  <c r="E74" i="11"/>
  <c r="L34" i="11"/>
  <c r="M34" i="11"/>
  <c r="L29" i="11"/>
  <c r="M29" i="11"/>
  <c r="L30" i="11"/>
  <c r="M30" i="11"/>
  <c r="L31" i="11"/>
  <c r="M31" i="11"/>
  <c r="L32" i="11"/>
  <c r="M32" i="11"/>
  <c r="L33" i="11"/>
  <c r="M33" i="11"/>
  <c r="L35" i="11"/>
  <c r="M35" i="11"/>
  <c r="L36" i="11"/>
  <c r="M36" i="11"/>
  <c r="L45" i="11"/>
  <c r="M45" i="11"/>
  <c r="L47" i="11"/>
  <c r="M47" i="11"/>
  <c r="L37" i="11"/>
  <c r="M37" i="11"/>
  <c r="L38" i="11"/>
  <c r="M38" i="11"/>
  <c r="L39" i="11"/>
  <c r="M39" i="11"/>
  <c r="L40" i="11"/>
  <c r="M40" i="11"/>
  <c r="L41" i="11"/>
  <c r="M41" i="11"/>
  <c r="L42" i="11"/>
  <c r="M42" i="11"/>
  <c r="L43" i="11"/>
  <c r="M43" i="11"/>
  <c r="L44" i="11"/>
  <c r="M44" i="11"/>
  <c r="L48" i="11"/>
  <c r="M48" i="11"/>
  <c r="L46" i="11"/>
  <c r="M46" i="11"/>
  <c r="M49" i="11"/>
  <c r="N34" i="11"/>
  <c r="N33" i="11"/>
  <c r="N32" i="11"/>
  <c r="N31" i="11"/>
  <c r="N30" i="11"/>
  <c r="N29" i="11"/>
  <c r="O29" i="11"/>
  <c r="O30" i="11"/>
  <c r="O31" i="11"/>
  <c r="O32" i="11"/>
  <c r="O33" i="11"/>
  <c r="O34" i="11"/>
  <c r="N35" i="11"/>
  <c r="O35" i="11"/>
  <c r="N36" i="11"/>
  <c r="O36" i="11"/>
  <c r="N45" i="11"/>
  <c r="N44" i="11"/>
  <c r="N43" i="11"/>
  <c r="N42" i="11"/>
  <c r="N41" i="11"/>
  <c r="N40" i="11"/>
  <c r="N39" i="11"/>
  <c r="N38" i="11"/>
  <c r="N37" i="11"/>
  <c r="O37" i="11"/>
  <c r="O38" i="11"/>
  <c r="O39" i="11"/>
  <c r="O40" i="11"/>
  <c r="O41" i="11"/>
  <c r="O42" i="11"/>
  <c r="O43" i="11"/>
  <c r="O44" i="11"/>
  <c r="O45" i="11"/>
  <c r="N47" i="11"/>
  <c r="N46" i="11"/>
  <c r="O46" i="11"/>
  <c r="O47" i="11"/>
  <c r="M21" i="11"/>
  <c r="M23" i="11"/>
  <c r="M5" i="11"/>
  <c r="M6" i="11"/>
  <c r="M7" i="11"/>
  <c r="M8" i="11"/>
  <c r="M9" i="11"/>
  <c r="M10" i="11"/>
  <c r="M11" i="11"/>
  <c r="M12" i="11"/>
  <c r="M13" i="11"/>
  <c r="M14" i="11"/>
  <c r="M15" i="11"/>
  <c r="M16" i="11"/>
  <c r="M17" i="11"/>
  <c r="M18" i="11"/>
  <c r="M19" i="11"/>
  <c r="M20" i="11"/>
  <c r="M22" i="11"/>
  <c r="M24" i="11"/>
  <c r="M25" i="11"/>
  <c r="N20" i="11"/>
  <c r="N19" i="11"/>
  <c r="N23" i="11"/>
  <c r="N21" i="11"/>
  <c r="N18" i="11"/>
  <c r="N17" i="11"/>
  <c r="N16" i="11"/>
  <c r="N15" i="11"/>
  <c r="N14" i="11"/>
  <c r="N13" i="11"/>
  <c r="N12" i="11"/>
  <c r="N11" i="11"/>
  <c r="N10" i="11"/>
  <c r="N9" i="11"/>
  <c r="N8" i="11"/>
  <c r="N7" i="11"/>
  <c r="N6" i="11"/>
  <c r="N5" i="11"/>
  <c r="O5" i="11"/>
  <c r="O6" i="11"/>
  <c r="O7" i="11"/>
  <c r="O8" i="11"/>
  <c r="O9" i="11"/>
  <c r="O10" i="11"/>
  <c r="O11" i="11"/>
  <c r="O12" i="11"/>
  <c r="O13" i="11"/>
  <c r="O14" i="11"/>
  <c r="O15" i="11"/>
  <c r="O16" i="11"/>
  <c r="O17" i="11"/>
  <c r="O18" i="11"/>
  <c r="O19" i="11"/>
  <c r="O20" i="11"/>
  <c r="O21" i="11"/>
  <c r="N22" i="11"/>
  <c r="O22" i="11"/>
  <c r="O23" i="11"/>
  <c r="AC321" i="12"/>
  <c r="Z321" i="12"/>
  <c r="AB321" i="12"/>
  <c r="AA321" i="12"/>
  <c r="P321" i="12"/>
  <c r="G321" i="12"/>
  <c r="C321" i="12"/>
  <c r="Z320" i="12"/>
  <c r="AB320" i="12"/>
  <c r="P320" i="12"/>
  <c r="AA320" i="12"/>
  <c r="G320" i="12"/>
  <c r="AC320" i="12"/>
  <c r="C320" i="12"/>
  <c r="Z65" i="3"/>
  <c r="AA65" i="3"/>
  <c r="AB65" i="3"/>
  <c r="AC65" i="3"/>
  <c r="AD65" i="3"/>
  <c r="AE65" i="3"/>
  <c r="AF65" i="3"/>
  <c r="AG65" i="3"/>
  <c r="AH65" i="3"/>
  <c r="AI65" i="3"/>
  <c r="AJ65" i="3"/>
  <c r="AK65" i="3"/>
  <c r="AL65" i="3"/>
  <c r="AM65" i="3"/>
  <c r="AN65" i="3"/>
  <c r="AO65" i="3"/>
  <c r="AP65" i="3"/>
  <c r="AQ65" i="3"/>
  <c r="AR65" i="3"/>
  <c r="AS65" i="3"/>
  <c r="AT65" i="3"/>
  <c r="AU65" i="3"/>
  <c r="AV65" i="3"/>
  <c r="AW65" i="3"/>
  <c r="AX65" i="3"/>
  <c r="AY65" i="3"/>
  <c r="AZ65" i="3"/>
  <c r="BA65" i="3"/>
  <c r="BB65" i="3"/>
  <c r="BC65" i="3"/>
  <c r="BD65" i="3"/>
  <c r="BE65" i="3"/>
  <c r="BF65" i="3"/>
  <c r="BG65" i="3"/>
  <c r="BH65" i="3"/>
  <c r="BI65" i="3"/>
  <c r="BJ65" i="3"/>
  <c r="BK65" i="3"/>
  <c r="BL65" i="3"/>
  <c r="BM65" i="3"/>
  <c r="BN65" i="3"/>
  <c r="BO65" i="3"/>
  <c r="BP65" i="3"/>
  <c r="AO21" i="8"/>
  <c r="AP21" i="8"/>
  <c r="AL21" i="8"/>
  <c r="AJ21" i="8"/>
  <c r="AH21" i="8"/>
  <c r="AF21" i="8"/>
  <c r="Z21" i="8"/>
  <c r="AA21" i="8"/>
  <c r="M21" i="8"/>
  <c r="K21" i="8"/>
  <c r="I21" i="8"/>
  <c r="G21" i="8"/>
  <c r="BP26" i="3"/>
  <c r="BO26" i="3"/>
  <c r="BN26" i="3"/>
  <c r="BM26" i="3"/>
  <c r="BL26" i="3"/>
  <c r="BK26" i="3"/>
  <c r="BJ26" i="3"/>
  <c r="BI26" i="3"/>
  <c r="BH26" i="3"/>
  <c r="BG26" i="3"/>
  <c r="BF26" i="3"/>
  <c r="BE26" i="3"/>
  <c r="BD26" i="3"/>
  <c r="BC26" i="3"/>
  <c r="BB26" i="3"/>
  <c r="BA26" i="3"/>
  <c r="AZ26" i="3"/>
  <c r="AY26" i="3"/>
  <c r="AX26" i="3"/>
  <c r="AW26" i="3"/>
  <c r="AV26" i="3"/>
  <c r="AU26" i="3"/>
  <c r="AT26" i="3"/>
  <c r="AS26" i="3"/>
  <c r="AR26" i="3"/>
  <c r="AQ26" i="3"/>
  <c r="AP26" i="3"/>
  <c r="AO26" i="3"/>
  <c r="AN26" i="3"/>
  <c r="AM26" i="3"/>
  <c r="AL26" i="3"/>
  <c r="AK26" i="3"/>
  <c r="AJ26" i="3"/>
  <c r="AI26" i="3"/>
  <c r="AH26" i="3"/>
  <c r="AG26" i="3"/>
  <c r="AF26" i="3"/>
  <c r="AE26" i="3"/>
  <c r="AD26" i="3"/>
  <c r="AC26" i="3"/>
  <c r="AB26" i="3"/>
  <c r="AA26" i="3"/>
  <c r="Z26" i="3"/>
  <c r="BP25" i="3"/>
  <c r="BO25" i="3"/>
  <c r="BN25" i="3"/>
  <c r="BM25" i="3"/>
  <c r="BL25" i="3"/>
  <c r="BK25" i="3"/>
  <c r="BJ25" i="3"/>
  <c r="BI25" i="3"/>
  <c r="BH25" i="3"/>
  <c r="BG25" i="3"/>
  <c r="BF25" i="3"/>
  <c r="BE25" i="3"/>
  <c r="BD25" i="3"/>
  <c r="BC25" i="3"/>
  <c r="BB25" i="3"/>
  <c r="BA25" i="3"/>
  <c r="AZ25" i="3"/>
  <c r="AY25" i="3"/>
  <c r="AX25" i="3"/>
  <c r="AW25" i="3"/>
  <c r="AV25" i="3"/>
  <c r="AU25" i="3"/>
  <c r="AT25" i="3"/>
  <c r="AS25" i="3"/>
  <c r="AR25" i="3"/>
  <c r="AQ25" i="3"/>
  <c r="AP25" i="3"/>
  <c r="AO25" i="3"/>
  <c r="AN25" i="3"/>
  <c r="AM25" i="3"/>
  <c r="AL25" i="3"/>
  <c r="AK25" i="3"/>
  <c r="AJ25" i="3"/>
  <c r="AI25" i="3"/>
  <c r="AH25" i="3"/>
  <c r="AG25" i="3"/>
  <c r="AF25" i="3"/>
  <c r="AE25" i="3"/>
  <c r="AD25" i="3"/>
  <c r="AC25" i="3"/>
  <c r="AB25" i="3"/>
  <c r="AA25" i="3"/>
  <c r="Z25" i="3"/>
  <c r="BP22" i="3"/>
  <c r="BO22" i="3"/>
  <c r="BN22" i="3"/>
  <c r="BM22" i="3"/>
  <c r="BL22" i="3"/>
  <c r="BK22" i="3"/>
  <c r="BJ22" i="3"/>
  <c r="BI22" i="3"/>
  <c r="BH22" i="3"/>
  <c r="BG22" i="3"/>
  <c r="BF22" i="3"/>
  <c r="BE22" i="3"/>
  <c r="BD22" i="3"/>
  <c r="BC22" i="3"/>
  <c r="BB22" i="3"/>
  <c r="BA22" i="3"/>
  <c r="AZ22" i="3"/>
  <c r="AY22" i="3"/>
  <c r="AX22" i="3"/>
  <c r="AW22" i="3"/>
  <c r="AV22" i="3"/>
  <c r="AU22" i="3"/>
  <c r="AT22" i="3"/>
  <c r="AS22" i="3"/>
  <c r="AR22" i="3"/>
  <c r="AQ22" i="3"/>
  <c r="AP22" i="3"/>
  <c r="AO22" i="3"/>
  <c r="AN22" i="3"/>
  <c r="AM22" i="3"/>
  <c r="AL22" i="3"/>
  <c r="AK22" i="3"/>
  <c r="AJ22" i="3"/>
  <c r="AI22" i="3"/>
  <c r="AH22" i="3"/>
  <c r="AG22" i="3"/>
  <c r="AF22" i="3"/>
  <c r="AE22" i="3"/>
  <c r="AD22" i="3"/>
  <c r="AC22" i="3"/>
  <c r="AB22" i="3"/>
  <c r="AA22" i="3"/>
  <c r="Z22" i="3"/>
  <c r="BP9" i="3"/>
  <c r="BO9" i="3"/>
  <c r="BN9" i="3"/>
  <c r="BM9" i="3"/>
  <c r="BL9" i="3"/>
  <c r="BK9" i="3"/>
  <c r="BJ9" i="3"/>
  <c r="BI9" i="3"/>
  <c r="BH9" i="3"/>
  <c r="BG9" i="3"/>
  <c r="BF9" i="3"/>
  <c r="BE9" i="3"/>
  <c r="BD9" i="3"/>
  <c r="BC9" i="3"/>
  <c r="BB9" i="3"/>
  <c r="BA9" i="3"/>
  <c r="AZ9" i="3"/>
  <c r="AY9" i="3"/>
  <c r="AX9" i="3"/>
  <c r="AW9" i="3"/>
  <c r="AV9" i="3"/>
  <c r="AU9" i="3"/>
  <c r="AT9" i="3"/>
  <c r="AS9" i="3"/>
  <c r="AR9" i="3"/>
  <c r="AQ9" i="3"/>
  <c r="AP9" i="3"/>
  <c r="AO9" i="3"/>
  <c r="AN9" i="3"/>
  <c r="AM9" i="3"/>
  <c r="AL9" i="3"/>
  <c r="AK9" i="3"/>
  <c r="AJ9" i="3"/>
  <c r="AI9" i="3"/>
  <c r="AH9" i="3"/>
  <c r="AG9" i="3"/>
  <c r="AF9" i="3"/>
  <c r="AE9" i="3"/>
  <c r="AD9" i="3"/>
  <c r="AC9" i="3"/>
  <c r="AB9" i="3"/>
  <c r="AF2" i="8"/>
  <c r="AH2" i="8"/>
  <c r="AJ2" i="8"/>
  <c r="AL2" i="8"/>
  <c r="AO2" i="8"/>
  <c r="AP2" i="8"/>
  <c r="AF3" i="8"/>
  <c r="AH3" i="8"/>
  <c r="AJ3" i="8"/>
  <c r="AL3" i="8"/>
  <c r="AO3" i="8"/>
  <c r="AP3" i="8"/>
  <c r="AF4" i="8"/>
  <c r="AH4" i="8"/>
  <c r="AJ4" i="8"/>
  <c r="AL4" i="8"/>
  <c r="AO4" i="8"/>
  <c r="AP4" i="8"/>
  <c r="AF5" i="8"/>
  <c r="AH5" i="8"/>
  <c r="AJ5" i="8"/>
  <c r="AL5" i="8"/>
  <c r="AO5" i="8"/>
  <c r="AP5" i="8"/>
  <c r="AF6" i="8"/>
  <c r="AH6" i="8"/>
  <c r="AJ6" i="8"/>
  <c r="AL6" i="8"/>
  <c r="AO6" i="8"/>
  <c r="AP6" i="8"/>
  <c r="AF7" i="8"/>
  <c r="AH7" i="8"/>
  <c r="AJ7" i="8"/>
  <c r="AL7" i="8"/>
  <c r="AO7" i="8"/>
  <c r="AP7" i="8"/>
  <c r="AF8" i="8"/>
  <c r="AH8" i="8"/>
  <c r="AJ8" i="8"/>
  <c r="AL8" i="8"/>
  <c r="AO8" i="8"/>
  <c r="AP8" i="8"/>
  <c r="AF9" i="8"/>
  <c r="AH9" i="8"/>
  <c r="AJ9" i="8"/>
  <c r="AL9" i="8"/>
  <c r="AO9" i="8"/>
  <c r="AP9" i="8"/>
  <c r="AF10" i="8"/>
  <c r="AH10" i="8"/>
  <c r="AJ10" i="8"/>
  <c r="AL10" i="8"/>
  <c r="AO10" i="8"/>
  <c r="AP10" i="8"/>
  <c r="AF11" i="8"/>
  <c r="AH11" i="8"/>
  <c r="AJ11" i="8"/>
  <c r="AL11" i="8"/>
  <c r="AO11" i="8"/>
  <c r="AP11" i="8"/>
  <c r="AF12" i="8"/>
  <c r="AH12" i="8"/>
  <c r="AJ12" i="8"/>
  <c r="AL12" i="8"/>
  <c r="AO12" i="8"/>
  <c r="AP12" i="8"/>
  <c r="AF13" i="8"/>
  <c r="AH13" i="8"/>
  <c r="AJ13" i="8"/>
  <c r="AL13" i="8"/>
  <c r="AO13" i="8"/>
  <c r="AP13" i="8"/>
  <c r="AF14" i="8"/>
  <c r="AH14" i="8"/>
  <c r="AJ14" i="8"/>
  <c r="AL14" i="8"/>
  <c r="AO14" i="8"/>
  <c r="AP14" i="8"/>
  <c r="AF15" i="8"/>
  <c r="AH15" i="8"/>
  <c r="AJ15" i="8"/>
  <c r="AL15" i="8"/>
  <c r="AO15" i="8"/>
  <c r="AP15" i="8"/>
  <c r="AF16" i="8"/>
  <c r="AH16" i="8"/>
  <c r="AJ16" i="8"/>
  <c r="AL16" i="8"/>
  <c r="AO16" i="8"/>
  <c r="AP16" i="8"/>
  <c r="AF17" i="8"/>
  <c r="AH17" i="8"/>
  <c r="AJ17" i="8"/>
  <c r="AL17" i="8"/>
  <c r="AO17" i="8"/>
  <c r="AP17" i="8"/>
  <c r="AF18" i="8"/>
  <c r="AH18" i="8"/>
  <c r="AJ18" i="8"/>
  <c r="AL18" i="8"/>
  <c r="AO18" i="8"/>
  <c r="AP18" i="8"/>
  <c r="AF19" i="8"/>
  <c r="AH19" i="8"/>
  <c r="AJ19" i="8"/>
  <c r="AL19" i="8"/>
  <c r="AO19" i="8"/>
  <c r="AP19" i="8"/>
  <c r="AF20" i="8"/>
  <c r="AH20" i="8"/>
  <c r="AJ20" i="8"/>
  <c r="AL20" i="8"/>
  <c r="AO20" i="8"/>
  <c r="AP20" i="8"/>
  <c r="E24" i="6"/>
  <c r="F24" i="6"/>
  <c r="G24" i="6"/>
  <c r="H24" i="6"/>
  <c r="I24" i="6"/>
  <c r="J24" i="6"/>
  <c r="K24" i="6"/>
  <c r="L24" i="6"/>
  <c r="M24" i="6"/>
  <c r="N24" i="6"/>
  <c r="O24" i="6"/>
  <c r="P24" i="6"/>
  <c r="Q24" i="6"/>
  <c r="R24" i="6"/>
  <c r="S24" i="6"/>
  <c r="T24" i="6"/>
  <c r="U24" i="6"/>
  <c r="D23" i="8"/>
  <c r="D3" i="8"/>
  <c r="D2" i="8"/>
  <c r="E25" i="6"/>
  <c r="D24" i="8"/>
  <c r="D4" i="8"/>
  <c r="D8" i="8"/>
  <c r="F25" i="6"/>
  <c r="D5" i="8"/>
  <c r="G25" i="6"/>
  <c r="D26" i="8"/>
  <c r="D6" i="8"/>
  <c r="H25" i="6"/>
  <c r="D7" i="8"/>
  <c r="I25" i="6"/>
  <c r="D28" i="8"/>
  <c r="D9" i="8"/>
  <c r="J25" i="6"/>
  <c r="D29" i="8"/>
  <c r="D10" i="8"/>
  <c r="K25" i="6"/>
  <c r="D31" i="8"/>
  <c r="D11" i="8"/>
  <c r="D12" i="8"/>
  <c r="L25" i="6"/>
  <c r="D32" i="8"/>
  <c r="D13" i="8"/>
  <c r="M25" i="6"/>
  <c r="D14" i="8"/>
  <c r="N25" i="6"/>
  <c r="D15" i="8"/>
  <c r="O25" i="6"/>
  <c r="D16" i="8"/>
  <c r="P25" i="6"/>
  <c r="D17" i="8"/>
  <c r="Q25" i="6"/>
  <c r="D18" i="8"/>
  <c r="R25" i="6"/>
  <c r="D20" i="8"/>
  <c r="S25" i="6"/>
  <c r="T25" i="6"/>
  <c r="U25" i="6"/>
  <c r="E26" i="6"/>
  <c r="F26" i="6"/>
  <c r="G26" i="6"/>
  <c r="H26" i="6"/>
  <c r="I26" i="6"/>
  <c r="J26" i="6"/>
  <c r="K26" i="6"/>
  <c r="L26" i="6"/>
  <c r="M26" i="6"/>
  <c r="N26" i="6"/>
  <c r="O26" i="6"/>
  <c r="P26" i="6"/>
  <c r="Q26" i="6"/>
  <c r="R26" i="6"/>
  <c r="S26" i="6"/>
  <c r="T26" i="6"/>
  <c r="U26" i="6"/>
  <c r="E27" i="6"/>
  <c r="F27" i="6"/>
  <c r="G27" i="6"/>
  <c r="H27" i="6"/>
  <c r="I27" i="6"/>
  <c r="J27" i="6"/>
  <c r="K27" i="6"/>
  <c r="L27" i="6"/>
  <c r="M27" i="6"/>
  <c r="N27" i="6"/>
  <c r="O27" i="6"/>
  <c r="P27" i="6"/>
  <c r="Q27" i="6"/>
  <c r="R27" i="6"/>
  <c r="S27" i="6"/>
  <c r="T27" i="6"/>
  <c r="U27" i="6"/>
  <c r="E28" i="6"/>
  <c r="F28" i="6"/>
  <c r="G28" i="6"/>
  <c r="H28" i="6"/>
  <c r="I28" i="6"/>
  <c r="J28" i="6"/>
  <c r="K28" i="6"/>
  <c r="L28" i="6"/>
  <c r="M28" i="6"/>
  <c r="N28" i="6"/>
  <c r="O28" i="6"/>
  <c r="P28" i="6"/>
  <c r="Q28" i="6"/>
  <c r="R28" i="6"/>
  <c r="S28" i="6"/>
  <c r="T28" i="6"/>
  <c r="U28" i="6"/>
  <c r="E29" i="6"/>
  <c r="F29" i="6"/>
  <c r="G29" i="6"/>
  <c r="H29" i="6"/>
  <c r="I29" i="6"/>
  <c r="J29" i="6"/>
  <c r="K29" i="6"/>
  <c r="L29" i="6"/>
  <c r="M29" i="6"/>
  <c r="N29" i="6"/>
  <c r="O29" i="6"/>
  <c r="P29" i="6"/>
  <c r="Q29" i="6"/>
  <c r="R29" i="6"/>
  <c r="S29" i="6"/>
  <c r="T29" i="6"/>
  <c r="U29" i="6"/>
  <c r="E30" i="6"/>
  <c r="F30" i="6"/>
  <c r="G30" i="6"/>
  <c r="H30" i="6"/>
  <c r="I30" i="6"/>
  <c r="J30" i="6"/>
  <c r="K30" i="6"/>
  <c r="L30" i="6"/>
  <c r="M30" i="6"/>
  <c r="N30" i="6"/>
  <c r="O30" i="6"/>
  <c r="P30" i="6"/>
  <c r="Q30" i="6"/>
  <c r="R30" i="6"/>
  <c r="S30" i="6"/>
  <c r="T30" i="6"/>
  <c r="U30" i="6"/>
  <c r="E31" i="6"/>
  <c r="F31" i="6"/>
  <c r="G31" i="6"/>
  <c r="H31" i="6"/>
  <c r="I31" i="6"/>
  <c r="J31" i="6"/>
  <c r="K31" i="6"/>
  <c r="L31" i="6"/>
  <c r="M31" i="6"/>
  <c r="N31" i="6"/>
  <c r="O31" i="6"/>
  <c r="P31" i="6"/>
  <c r="Q31" i="6"/>
  <c r="R31" i="6"/>
  <c r="S31" i="6"/>
  <c r="T31" i="6"/>
  <c r="U31" i="6"/>
  <c r="E32" i="6"/>
  <c r="F32" i="6"/>
  <c r="G32" i="6"/>
  <c r="H32" i="6"/>
  <c r="I32" i="6"/>
  <c r="J32" i="6"/>
  <c r="K32" i="6"/>
  <c r="L32" i="6"/>
  <c r="M32" i="6"/>
  <c r="N32" i="6"/>
  <c r="O32" i="6"/>
  <c r="P32" i="6"/>
  <c r="Q32" i="6"/>
  <c r="R32" i="6"/>
  <c r="S32" i="6"/>
  <c r="T32" i="6"/>
  <c r="U32" i="6"/>
  <c r="D32" i="6"/>
  <c r="D31" i="6"/>
  <c r="D29" i="6"/>
  <c r="D30" i="6"/>
  <c r="D28" i="6"/>
  <c r="D26" i="6"/>
  <c r="D27" i="6"/>
  <c r="D22" i="8"/>
  <c r="D25" i="6"/>
  <c r="G3" i="8"/>
  <c r="G4" i="8"/>
  <c r="G5" i="8"/>
  <c r="G6" i="8"/>
  <c r="G7" i="8"/>
  <c r="G8" i="8"/>
  <c r="G9" i="8"/>
  <c r="G10" i="8"/>
  <c r="G11" i="8"/>
  <c r="G12" i="8"/>
  <c r="G13" i="8"/>
  <c r="G14" i="8"/>
  <c r="G15" i="8"/>
  <c r="G16" i="8"/>
  <c r="G17" i="8"/>
  <c r="G18" i="8"/>
  <c r="G19" i="8"/>
  <c r="G20" i="8"/>
  <c r="G2" i="8"/>
  <c r="I4" i="8"/>
  <c r="I5" i="8"/>
  <c r="I6" i="8"/>
  <c r="I7" i="8"/>
  <c r="I8" i="8"/>
  <c r="I9" i="8"/>
  <c r="I10" i="8"/>
  <c r="I11" i="8"/>
  <c r="I12" i="8"/>
  <c r="I13" i="8"/>
  <c r="I14" i="8"/>
  <c r="I15" i="8"/>
  <c r="I16" i="8"/>
  <c r="I17" i="8"/>
  <c r="I18" i="8"/>
  <c r="I19" i="8"/>
  <c r="I20" i="8"/>
  <c r="I3" i="8"/>
  <c r="I2" i="8"/>
  <c r="D19" i="8"/>
  <c r="Z20" i="8"/>
  <c r="AA20" i="8"/>
  <c r="Z19" i="8"/>
  <c r="AA19" i="8"/>
  <c r="Z18" i="8"/>
  <c r="AA18" i="8"/>
  <c r="Z17" i="8"/>
  <c r="AA17" i="8"/>
  <c r="Z16" i="8"/>
  <c r="AA16" i="8"/>
  <c r="Z15" i="8"/>
  <c r="AA15" i="8"/>
  <c r="Z14" i="8"/>
  <c r="AA14" i="8"/>
  <c r="Z13" i="8"/>
  <c r="AA13" i="8"/>
  <c r="Z12" i="8"/>
  <c r="AA12" i="8"/>
  <c r="Z11" i="8"/>
  <c r="AA11" i="8"/>
  <c r="Z10" i="8"/>
  <c r="AA10" i="8"/>
  <c r="Z9" i="8"/>
  <c r="AA9" i="8"/>
  <c r="Z8" i="8"/>
  <c r="AA8" i="8"/>
  <c r="Z7" i="8"/>
  <c r="AA7" i="8"/>
  <c r="Z6" i="8"/>
  <c r="AA6" i="8"/>
  <c r="Z5" i="8"/>
  <c r="AA5" i="8"/>
  <c r="Z4" i="8"/>
  <c r="AA4" i="8"/>
  <c r="Z3" i="8"/>
  <c r="AA3" i="8"/>
  <c r="Z2" i="8"/>
  <c r="AA2" i="8"/>
  <c r="M3" i="8"/>
  <c r="M4" i="8"/>
  <c r="M5" i="8"/>
  <c r="M6" i="8"/>
  <c r="M7" i="8"/>
  <c r="M8" i="8"/>
  <c r="M9" i="8"/>
  <c r="M10" i="8"/>
  <c r="M11" i="8"/>
  <c r="M12" i="8"/>
  <c r="M13" i="8"/>
  <c r="M14" i="8"/>
  <c r="M15" i="8"/>
  <c r="M16" i="8"/>
  <c r="M17" i="8"/>
  <c r="M18" i="8"/>
  <c r="M19" i="8"/>
  <c r="M20" i="8"/>
  <c r="M2" i="8"/>
  <c r="K2" i="8"/>
  <c r="K3" i="8"/>
  <c r="K4" i="8"/>
  <c r="K5" i="8"/>
  <c r="K6" i="8"/>
  <c r="K7" i="8"/>
  <c r="K8" i="8"/>
  <c r="K9" i="8"/>
  <c r="K10" i="8"/>
  <c r="K11" i="8"/>
  <c r="K12" i="8"/>
  <c r="K13" i="8"/>
  <c r="K14" i="8"/>
  <c r="K15" i="8"/>
  <c r="K16" i="8"/>
  <c r="K17" i="8"/>
  <c r="K18" i="8"/>
  <c r="K19" i="8"/>
  <c r="K20" i="8"/>
  <c r="F22" i="3"/>
  <c r="L150" i="11"/>
  <c r="L149" i="11"/>
  <c r="L148" i="11"/>
  <c r="L147" i="11"/>
  <c r="L146" i="11"/>
  <c r="L145" i="11"/>
  <c r="L144" i="11"/>
  <c r="L143" i="11"/>
  <c r="L142" i="11"/>
  <c r="L141" i="11"/>
  <c r="L140" i="11"/>
  <c r="L135" i="11"/>
  <c r="L134" i="11"/>
  <c r="L133" i="11"/>
  <c r="L132" i="11"/>
  <c r="L131" i="11"/>
  <c r="L130" i="11"/>
  <c r="L129" i="11"/>
  <c r="L128" i="11"/>
  <c r="L127" i="11"/>
  <c r="L126" i="11"/>
  <c r="L125" i="11"/>
  <c r="L124" i="11"/>
  <c r="L123" i="11"/>
  <c r="L122" i="11"/>
  <c r="L121" i="11"/>
  <c r="L120" i="11"/>
  <c r="L119" i="11"/>
  <c r="L118" i="11"/>
  <c r="L117" i="11"/>
  <c r="L116" i="11"/>
  <c r="L115" i="11"/>
  <c r="G187" i="12"/>
  <c r="G168" i="12"/>
  <c r="G295" i="12"/>
  <c r="G278" i="12"/>
  <c r="G80" i="12"/>
  <c r="G26" i="12"/>
  <c r="G319" i="12"/>
  <c r="G253" i="12"/>
  <c r="G74" i="12"/>
  <c r="G72" i="12"/>
  <c r="G78" i="12"/>
  <c r="G75" i="12"/>
  <c r="G73" i="12"/>
  <c r="G76" i="12"/>
  <c r="G79" i="12"/>
  <c r="G69" i="12"/>
  <c r="G277" i="12"/>
  <c r="G298" i="12"/>
  <c r="G67" i="12"/>
  <c r="G68" i="12"/>
  <c r="G181" i="12"/>
  <c r="G179" i="12"/>
  <c r="G142" i="12"/>
  <c r="G141" i="12"/>
  <c r="G294" i="12"/>
  <c r="G66" i="12"/>
  <c r="G132" i="12"/>
  <c r="G128" i="12"/>
  <c r="G140" i="12"/>
  <c r="G84" i="12"/>
  <c r="G62" i="12"/>
  <c r="G124" i="12"/>
  <c r="G292" i="12"/>
  <c r="G177" i="12"/>
  <c r="G70" i="12"/>
  <c r="G299" i="12"/>
  <c r="G59" i="12"/>
  <c r="G61" i="12"/>
  <c r="G139" i="12"/>
  <c r="G211" i="12"/>
  <c r="I77" i="11"/>
  <c r="I76" i="11"/>
  <c r="I73" i="11"/>
  <c r="I72" i="11"/>
  <c r="I71" i="11"/>
  <c r="I70" i="11"/>
  <c r="I69" i="11"/>
  <c r="I68" i="11"/>
  <c r="I67" i="11"/>
  <c r="I66" i="11"/>
  <c r="I65" i="11"/>
  <c r="I64" i="11"/>
  <c r="I63" i="11"/>
  <c r="I62" i="11"/>
  <c r="I61" i="11"/>
  <c r="I60" i="11"/>
  <c r="I59" i="11"/>
  <c r="I58" i="11"/>
  <c r="E59" i="11"/>
  <c r="E61" i="11"/>
  <c r="E73" i="11"/>
  <c r="E63" i="11"/>
  <c r="E60" i="11"/>
  <c r="E65" i="11"/>
  <c r="E69" i="11"/>
  <c r="E67" i="11"/>
  <c r="E64" i="11"/>
  <c r="E62" i="11"/>
  <c r="E70" i="11"/>
  <c r="E58" i="11"/>
  <c r="E66" i="11"/>
  <c r="E72" i="11"/>
  <c r="E71" i="11"/>
  <c r="E76" i="11"/>
  <c r="E77" i="11"/>
  <c r="E68" i="11"/>
  <c r="F59" i="11"/>
  <c r="F61" i="11"/>
  <c r="F73" i="11"/>
  <c r="F63" i="11"/>
  <c r="F60" i="11"/>
  <c r="F65" i="11"/>
  <c r="F69" i="11"/>
  <c r="F67" i="11"/>
  <c r="F64" i="11"/>
  <c r="F62" i="11"/>
  <c r="F70" i="11"/>
  <c r="F58" i="11"/>
  <c r="F66" i="11"/>
  <c r="F72" i="11"/>
  <c r="F71" i="11"/>
  <c r="F76" i="11"/>
  <c r="F77" i="11"/>
  <c r="F68" i="11"/>
  <c r="G5" i="12"/>
  <c r="G6" i="12"/>
  <c r="G7" i="12"/>
  <c r="G8" i="12"/>
  <c r="G9" i="12"/>
  <c r="G10" i="12"/>
  <c r="G11" i="12"/>
  <c r="G12" i="12"/>
  <c r="G13" i="12"/>
  <c r="G14" i="12"/>
  <c r="G15" i="12"/>
  <c r="G16" i="12"/>
  <c r="G17" i="12"/>
  <c r="G18" i="12"/>
  <c r="G19" i="12"/>
  <c r="G20" i="12"/>
  <c r="G21" i="12"/>
  <c r="G22" i="12"/>
  <c r="G23" i="12"/>
  <c r="G24" i="12"/>
  <c r="G25"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60" i="12"/>
  <c r="G63" i="12"/>
  <c r="G64" i="12"/>
  <c r="G65" i="12"/>
  <c r="G71" i="12"/>
  <c r="G77" i="12"/>
  <c r="G81" i="12"/>
  <c r="G82" i="12"/>
  <c r="G83"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5" i="12"/>
  <c r="G126" i="12"/>
  <c r="G127" i="12"/>
  <c r="G129" i="12"/>
  <c r="G130" i="12"/>
  <c r="G131" i="12"/>
  <c r="G133" i="12"/>
  <c r="G134" i="12"/>
  <c r="G135" i="12"/>
  <c r="G136" i="12"/>
  <c r="G137" i="12"/>
  <c r="G138"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9" i="12"/>
  <c r="G170" i="12"/>
  <c r="G171" i="12"/>
  <c r="G172" i="12"/>
  <c r="G173" i="12"/>
  <c r="G174" i="12"/>
  <c r="G175" i="12"/>
  <c r="G176" i="12"/>
  <c r="G178" i="12"/>
  <c r="G180" i="12"/>
  <c r="G182" i="12"/>
  <c r="G183" i="12"/>
  <c r="G184" i="12"/>
  <c r="G185" i="12"/>
  <c r="G186" i="12"/>
  <c r="G188" i="12"/>
  <c r="G189" i="12"/>
  <c r="G190" i="12"/>
  <c r="G191" i="12"/>
  <c r="G192" i="12"/>
  <c r="G193" i="12"/>
  <c r="G194" i="12"/>
  <c r="G195" i="12"/>
  <c r="G196" i="12"/>
  <c r="G197" i="12"/>
  <c r="G198" i="12"/>
  <c r="G199" i="12"/>
  <c r="G200" i="12"/>
  <c r="G201" i="12"/>
  <c r="G202" i="12"/>
  <c r="G203" i="12"/>
  <c r="G204" i="12"/>
  <c r="G205" i="12"/>
  <c r="G206" i="12"/>
  <c r="G207" i="12"/>
  <c r="G208" i="12"/>
  <c r="G209" i="12"/>
  <c r="G210"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9" i="12"/>
  <c r="G280" i="12"/>
  <c r="G281" i="12"/>
  <c r="G282" i="12"/>
  <c r="G283" i="12"/>
  <c r="G284" i="12"/>
  <c r="G285" i="12"/>
  <c r="G286" i="12"/>
  <c r="G287" i="12"/>
  <c r="G288" i="12"/>
  <c r="G289" i="12"/>
  <c r="G290" i="12"/>
  <c r="G291" i="12"/>
  <c r="G293" i="12"/>
  <c r="G296" i="12"/>
  <c r="G297" i="12"/>
  <c r="G300" i="12"/>
  <c r="G301" i="12"/>
  <c r="G302" i="12"/>
  <c r="G303" i="12"/>
  <c r="G304" i="12"/>
  <c r="G305" i="12"/>
  <c r="G306" i="12"/>
  <c r="G307" i="12"/>
  <c r="G308" i="12"/>
  <c r="G309" i="12"/>
  <c r="G310" i="12"/>
  <c r="G311" i="12"/>
  <c r="G312" i="12"/>
  <c r="G313" i="12"/>
  <c r="G314" i="12"/>
  <c r="G315" i="12"/>
  <c r="G316" i="12"/>
  <c r="G317" i="12"/>
  <c r="G318" i="12"/>
  <c r="E43" i="6"/>
  <c r="F43" i="6"/>
  <c r="G43" i="6"/>
  <c r="H43" i="6"/>
  <c r="I43" i="6"/>
  <c r="J43" i="6"/>
  <c r="K43" i="6"/>
  <c r="L43" i="6"/>
  <c r="M43" i="6"/>
  <c r="N43" i="6"/>
  <c r="O43" i="6"/>
  <c r="P43" i="6"/>
  <c r="Q43" i="6"/>
  <c r="R43" i="6"/>
  <c r="S43" i="6"/>
  <c r="T43" i="6"/>
  <c r="U43" i="6"/>
  <c r="D43" i="6"/>
  <c r="AO32" i="8"/>
  <c r="AP32" i="8"/>
  <c r="AL32" i="8"/>
  <c r="AJ32" i="8"/>
  <c r="AH32" i="8"/>
  <c r="AF32" i="8"/>
  <c r="Z32" i="8"/>
  <c r="AA32" i="8"/>
  <c r="AO31" i="8"/>
  <c r="AP31" i="8"/>
  <c r="AL31" i="8"/>
  <c r="AJ31" i="8"/>
  <c r="AH31" i="8"/>
  <c r="AF31" i="8"/>
  <c r="Z31" i="8"/>
  <c r="AA31" i="8"/>
  <c r="M32" i="8"/>
  <c r="K32" i="8"/>
  <c r="M31" i="8"/>
  <c r="K31" i="8"/>
  <c r="G32" i="8"/>
  <c r="G31" i="8"/>
  <c r="D68" i="6"/>
  <c r="E67" i="6"/>
  <c r="F67" i="6"/>
  <c r="G67" i="6"/>
  <c r="H67" i="6"/>
  <c r="I67" i="6"/>
  <c r="J67" i="6"/>
  <c r="K67" i="6"/>
  <c r="L67" i="6"/>
  <c r="M67" i="6"/>
  <c r="N67" i="6"/>
  <c r="O67" i="6"/>
  <c r="P67" i="6"/>
  <c r="Q67" i="6"/>
  <c r="R67" i="6"/>
  <c r="S67" i="6"/>
  <c r="T67" i="6"/>
  <c r="U67" i="6"/>
  <c r="D64" i="6"/>
  <c r="E64" i="6"/>
  <c r="F64" i="6"/>
  <c r="G64" i="6"/>
  <c r="H64" i="6"/>
  <c r="I64" i="6"/>
  <c r="J64" i="6"/>
  <c r="K64" i="6"/>
  <c r="L64" i="6"/>
  <c r="M64" i="6"/>
  <c r="N64" i="6"/>
  <c r="O64" i="6"/>
  <c r="P64" i="6"/>
  <c r="Q64" i="6"/>
  <c r="R64" i="6"/>
  <c r="S64" i="6"/>
  <c r="T64" i="6"/>
  <c r="U64" i="6"/>
  <c r="D56" i="6"/>
  <c r="E56" i="6"/>
  <c r="F56" i="6"/>
  <c r="G56" i="6"/>
  <c r="H56" i="6"/>
  <c r="I56" i="6"/>
  <c r="J56" i="6"/>
  <c r="K56" i="6"/>
  <c r="L56" i="6"/>
  <c r="M56" i="6"/>
  <c r="N56" i="6"/>
  <c r="O56" i="6"/>
  <c r="P56" i="6"/>
  <c r="Q56" i="6"/>
  <c r="R56" i="6"/>
  <c r="S56" i="6"/>
  <c r="T56" i="6"/>
  <c r="U56" i="6"/>
  <c r="D50" i="6"/>
  <c r="E50" i="6"/>
  <c r="F50" i="6"/>
  <c r="G50" i="6"/>
  <c r="H50" i="6"/>
  <c r="I50" i="6"/>
  <c r="J50" i="6"/>
  <c r="K50" i="6"/>
  <c r="L50" i="6"/>
  <c r="M50" i="6"/>
  <c r="N50" i="6"/>
  <c r="O50" i="6"/>
  <c r="P50" i="6"/>
  <c r="Q50" i="6"/>
  <c r="R50" i="6"/>
  <c r="S50" i="6"/>
  <c r="T50" i="6"/>
  <c r="U50" i="6"/>
  <c r="D21" i="6"/>
  <c r="E21" i="6"/>
  <c r="F21" i="6"/>
  <c r="G21" i="6"/>
  <c r="H21" i="6"/>
  <c r="I21" i="6"/>
  <c r="J21" i="6"/>
  <c r="K21" i="6"/>
  <c r="L21" i="6"/>
  <c r="M21" i="6"/>
  <c r="N21" i="6"/>
  <c r="O21" i="6"/>
  <c r="P21" i="6"/>
  <c r="Q21" i="6"/>
  <c r="R21" i="6"/>
  <c r="S21" i="6"/>
  <c r="T21" i="6"/>
  <c r="U21" i="6"/>
  <c r="D19" i="6"/>
  <c r="E51" i="5"/>
  <c r="E61" i="5"/>
  <c r="D42" i="5"/>
  <c r="D32" i="5"/>
  <c r="E74" i="6"/>
  <c r="F74" i="6"/>
  <c r="G74" i="6"/>
  <c r="H74" i="6"/>
  <c r="I74" i="6"/>
  <c r="J74" i="6"/>
  <c r="K74" i="6"/>
  <c r="L74" i="6"/>
  <c r="M74" i="6"/>
  <c r="N74" i="6"/>
  <c r="O74" i="6"/>
  <c r="P74" i="6"/>
  <c r="Q74" i="6"/>
  <c r="R74" i="6"/>
  <c r="S74" i="6"/>
  <c r="T74" i="6"/>
  <c r="U74" i="6"/>
  <c r="D74" i="6"/>
  <c r="C67" i="6"/>
  <c r="E44" i="6"/>
  <c r="F44" i="6"/>
  <c r="G44" i="6"/>
  <c r="H44" i="6"/>
  <c r="I44" i="6"/>
  <c r="J44" i="6"/>
  <c r="K44" i="6"/>
  <c r="L44" i="6"/>
  <c r="M44" i="6"/>
  <c r="N44" i="6"/>
  <c r="O44" i="6"/>
  <c r="P44" i="6"/>
  <c r="Q44" i="6"/>
  <c r="R44" i="6"/>
  <c r="S44" i="6"/>
  <c r="T44" i="6"/>
  <c r="U44" i="6"/>
  <c r="C15" i="6"/>
  <c r="C19" i="6"/>
  <c r="G65" i="3"/>
  <c r="H65" i="3"/>
  <c r="I65" i="3"/>
  <c r="J65" i="3"/>
  <c r="K65" i="3"/>
  <c r="L65" i="3"/>
  <c r="M65" i="3"/>
  <c r="N65" i="3"/>
  <c r="O65" i="3"/>
  <c r="P65" i="3"/>
  <c r="Q65" i="3"/>
  <c r="R65" i="3"/>
  <c r="S65" i="3"/>
  <c r="T65" i="3"/>
  <c r="U65" i="3"/>
  <c r="V65" i="3"/>
  <c r="W65" i="3"/>
  <c r="X65" i="3"/>
  <c r="Y65" i="3"/>
  <c r="F65" i="3"/>
  <c r="G26" i="3"/>
  <c r="H26" i="3"/>
  <c r="I26" i="3"/>
  <c r="J26" i="3"/>
  <c r="K26" i="3"/>
  <c r="L26" i="3"/>
  <c r="M26" i="3"/>
  <c r="N26" i="3"/>
  <c r="O26" i="3"/>
  <c r="P26" i="3"/>
  <c r="Q26" i="3"/>
  <c r="R26" i="3"/>
  <c r="S26" i="3"/>
  <c r="T26" i="3"/>
  <c r="U26" i="3"/>
  <c r="V26" i="3"/>
  <c r="W26" i="3"/>
  <c r="X26" i="3"/>
  <c r="Y26" i="3"/>
  <c r="F26" i="3"/>
  <c r="G25" i="3"/>
  <c r="H25" i="3"/>
  <c r="I25" i="3"/>
  <c r="J25" i="3"/>
  <c r="K25" i="3"/>
  <c r="L25" i="3"/>
  <c r="M25" i="3"/>
  <c r="N25" i="3"/>
  <c r="O25" i="3"/>
  <c r="P25" i="3"/>
  <c r="Q25" i="3"/>
  <c r="R25" i="3"/>
  <c r="S25" i="3"/>
  <c r="T25" i="3"/>
  <c r="U25" i="3"/>
  <c r="V25" i="3"/>
  <c r="W25" i="3"/>
  <c r="X25" i="3"/>
  <c r="Y25" i="3"/>
  <c r="F25" i="3"/>
  <c r="Z300" i="12"/>
  <c r="AA300" i="12"/>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5" i="10"/>
  <c r="F108" i="13"/>
  <c r="F107" i="13"/>
  <c r="D108" i="13"/>
  <c r="D107" i="13"/>
  <c r="B108" i="13"/>
  <c r="B107" i="13"/>
  <c r="B8" i="9"/>
  <c r="H8" i="9"/>
  <c r="I8" i="9"/>
  <c r="J8" i="9"/>
  <c r="K8" i="9"/>
  <c r="L8" i="9"/>
  <c r="B9" i="9"/>
  <c r="H9" i="9"/>
  <c r="I9" i="9"/>
  <c r="J9" i="9"/>
  <c r="K9" i="9"/>
  <c r="L9" i="9"/>
  <c r="B10" i="9"/>
  <c r="H10" i="9"/>
  <c r="I10" i="9"/>
  <c r="J10" i="9"/>
  <c r="K10" i="9"/>
  <c r="L10" i="9"/>
  <c r="B11" i="9"/>
  <c r="H11" i="9"/>
  <c r="I11" i="9"/>
  <c r="J11" i="9"/>
  <c r="K11" i="9"/>
  <c r="L11" i="9"/>
  <c r="B12" i="9"/>
  <c r="H12" i="9"/>
  <c r="I12" i="9"/>
  <c r="J12" i="9"/>
  <c r="K12" i="9"/>
  <c r="L12" i="9"/>
  <c r="B13" i="9"/>
  <c r="H13" i="9"/>
  <c r="I13" i="9"/>
  <c r="J13" i="9"/>
  <c r="K13" i="9"/>
  <c r="L13" i="9"/>
  <c r="B14" i="9"/>
  <c r="H14" i="9"/>
  <c r="I14" i="9"/>
  <c r="J14" i="9"/>
  <c r="K14" i="9"/>
  <c r="L14" i="9"/>
  <c r="B15" i="9"/>
  <c r="H15" i="9"/>
  <c r="I15" i="9"/>
  <c r="J15" i="9"/>
  <c r="K15" i="9"/>
  <c r="L15" i="9"/>
  <c r="B16" i="9"/>
  <c r="H16" i="9"/>
  <c r="I16" i="9"/>
  <c r="J16" i="9"/>
  <c r="K16" i="9"/>
  <c r="L16" i="9"/>
  <c r="B17" i="9"/>
  <c r="H17" i="9"/>
  <c r="I17" i="9"/>
  <c r="J17" i="9"/>
  <c r="K17" i="9"/>
  <c r="L17" i="9"/>
  <c r="B18" i="9"/>
  <c r="H18" i="9"/>
  <c r="I18" i="9"/>
  <c r="J18" i="9"/>
  <c r="K18" i="9"/>
  <c r="L18" i="9"/>
  <c r="B19" i="9"/>
  <c r="H19" i="9"/>
  <c r="I19" i="9"/>
  <c r="J19" i="9"/>
  <c r="K19" i="9"/>
  <c r="L19" i="9"/>
  <c r="B20" i="9"/>
  <c r="H20" i="9"/>
  <c r="I20" i="9"/>
  <c r="J20" i="9"/>
  <c r="K20" i="9"/>
  <c r="L20" i="9"/>
  <c r="B21" i="9"/>
  <c r="H21" i="9"/>
  <c r="I21" i="9"/>
  <c r="J21" i="9"/>
  <c r="K21" i="9"/>
  <c r="L21" i="9"/>
  <c r="B22" i="9"/>
  <c r="H22" i="9"/>
  <c r="I22" i="9"/>
  <c r="J22" i="9"/>
  <c r="K22" i="9"/>
  <c r="L22" i="9"/>
  <c r="B25" i="9"/>
  <c r="H25" i="9"/>
  <c r="I25" i="9"/>
  <c r="J25" i="9"/>
  <c r="K25" i="9"/>
  <c r="L25" i="9"/>
  <c r="B26" i="9"/>
  <c r="H26" i="9"/>
  <c r="I26" i="9"/>
  <c r="J26" i="9"/>
  <c r="K26" i="9"/>
  <c r="L26" i="9"/>
  <c r="B7" i="9"/>
  <c r="H7" i="9"/>
  <c r="L7" i="9"/>
  <c r="K7" i="9"/>
  <c r="J7" i="9"/>
  <c r="I7" i="9"/>
  <c r="E8" i="9"/>
  <c r="F8" i="9"/>
  <c r="G8" i="9"/>
  <c r="E9" i="9"/>
  <c r="F9" i="9"/>
  <c r="G9" i="9"/>
  <c r="E10" i="9"/>
  <c r="F10" i="9"/>
  <c r="G10" i="9"/>
  <c r="E11" i="9"/>
  <c r="F11" i="9"/>
  <c r="G11" i="9"/>
  <c r="E12" i="9"/>
  <c r="F12" i="9"/>
  <c r="G12" i="9"/>
  <c r="E13" i="9"/>
  <c r="F13" i="9"/>
  <c r="G13" i="9"/>
  <c r="E14" i="9"/>
  <c r="F14" i="9"/>
  <c r="G14" i="9"/>
  <c r="E15" i="9"/>
  <c r="F15" i="9"/>
  <c r="G15" i="9"/>
  <c r="E16" i="9"/>
  <c r="F16" i="9"/>
  <c r="G16" i="9"/>
  <c r="E17" i="9"/>
  <c r="F17" i="9"/>
  <c r="G17" i="9"/>
  <c r="E18" i="9"/>
  <c r="F18" i="9"/>
  <c r="G18" i="9"/>
  <c r="E19" i="9"/>
  <c r="F19" i="9"/>
  <c r="G19" i="9"/>
  <c r="E20" i="9"/>
  <c r="F20" i="9"/>
  <c r="G20" i="9"/>
  <c r="E21" i="9"/>
  <c r="F21" i="9"/>
  <c r="G21" i="9"/>
  <c r="E22" i="9"/>
  <c r="F22" i="9"/>
  <c r="G22" i="9"/>
  <c r="E25" i="9"/>
  <c r="F25" i="9"/>
  <c r="G25" i="9"/>
  <c r="E26" i="9"/>
  <c r="F26" i="9"/>
  <c r="G26" i="9"/>
  <c r="G7" i="9"/>
  <c r="F7" i="9"/>
  <c r="E7" i="9"/>
  <c r="D8" i="9"/>
  <c r="D9" i="9"/>
  <c r="D10" i="9"/>
  <c r="D11" i="9"/>
  <c r="D12" i="9"/>
  <c r="D13" i="9"/>
  <c r="D14" i="9"/>
  <c r="D15" i="9"/>
  <c r="D16" i="9"/>
  <c r="D17" i="9"/>
  <c r="D18" i="9"/>
  <c r="D19" i="9"/>
  <c r="D20" i="9"/>
  <c r="D21" i="9"/>
  <c r="D22" i="9"/>
  <c r="D25" i="9"/>
  <c r="D26" i="9"/>
  <c r="D7" i="9"/>
  <c r="C8" i="9"/>
  <c r="C9" i="9"/>
  <c r="C10" i="9"/>
  <c r="C11" i="9"/>
  <c r="C12" i="9"/>
  <c r="C13" i="9"/>
  <c r="C14" i="9"/>
  <c r="C15" i="9"/>
  <c r="C16" i="9"/>
  <c r="C17" i="9"/>
  <c r="C18" i="9"/>
  <c r="C19" i="9"/>
  <c r="C20" i="9"/>
  <c r="C21" i="9"/>
  <c r="C22" i="9"/>
  <c r="C25" i="9"/>
  <c r="C26" i="9"/>
  <c r="C7" i="9"/>
  <c r="I31" i="8"/>
  <c r="I32" i="8"/>
  <c r="AL30" i="8"/>
  <c r="AJ30" i="8"/>
  <c r="AH30" i="8"/>
  <c r="AF30" i="8"/>
  <c r="Z30" i="8"/>
  <c r="AA30" i="8"/>
  <c r="M30" i="8"/>
  <c r="K30" i="8"/>
  <c r="I30" i="8"/>
  <c r="G30" i="8"/>
  <c r="D30" i="8"/>
  <c r="EH2" i="1"/>
  <c r="M3" i="10"/>
  <c r="N3" i="10"/>
  <c r="O3" i="10"/>
  <c r="E57" i="3"/>
  <c r="E56" i="3"/>
  <c r="E35" i="3"/>
  <c r="E33" i="3"/>
  <c r="AO29" i="8"/>
  <c r="AP29" i="8"/>
  <c r="AL29" i="8"/>
  <c r="AJ29" i="8"/>
  <c r="AH29" i="8"/>
  <c r="AF29" i="8"/>
  <c r="Z29" i="8"/>
  <c r="AA29" i="8"/>
  <c r="M29" i="8"/>
  <c r="K29" i="8"/>
  <c r="I29" i="8"/>
  <c r="G29" i="8"/>
  <c r="E75" i="6"/>
  <c r="E76" i="6"/>
  <c r="E78" i="6"/>
  <c r="F75" i="6"/>
  <c r="F76" i="6"/>
  <c r="F78" i="6"/>
  <c r="G75" i="6"/>
  <c r="G76" i="6"/>
  <c r="G78" i="6"/>
  <c r="H75" i="6"/>
  <c r="H76" i="6"/>
  <c r="H78" i="6"/>
  <c r="I75" i="6"/>
  <c r="I76" i="6"/>
  <c r="I78" i="6"/>
  <c r="J75" i="6"/>
  <c r="J76" i="6"/>
  <c r="J78" i="6"/>
  <c r="K75" i="6"/>
  <c r="K76" i="6"/>
  <c r="K78" i="6"/>
  <c r="L75" i="6"/>
  <c r="L76" i="6"/>
  <c r="L78" i="6"/>
  <c r="M75" i="6"/>
  <c r="M76" i="6"/>
  <c r="M78" i="6"/>
  <c r="N75" i="6"/>
  <c r="N76" i="6"/>
  <c r="N78" i="6"/>
  <c r="O75" i="6"/>
  <c r="O76" i="6"/>
  <c r="O78" i="6"/>
  <c r="P75" i="6"/>
  <c r="P76" i="6"/>
  <c r="P78" i="6"/>
  <c r="Q75" i="6"/>
  <c r="Q76" i="6"/>
  <c r="Q78" i="6"/>
  <c r="R75" i="6"/>
  <c r="R76" i="6"/>
  <c r="R78" i="6"/>
  <c r="S75" i="6"/>
  <c r="S76" i="6"/>
  <c r="S78" i="6"/>
  <c r="T75" i="6"/>
  <c r="T76" i="6"/>
  <c r="T78" i="6"/>
  <c r="U75" i="6"/>
  <c r="U76" i="6"/>
  <c r="U78" i="6"/>
  <c r="D75" i="6"/>
  <c r="D76" i="6"/>
  <c r="E48" i="6"/>
  <c r="F48" i="6"/>
  <c r="G48" i="6"/>
  <c r="H48" i="6"/>
  <c r="I48" i="6"/>
  <c r="J48" i="6"/>
  <c r="K48" i="6"/>
  <c r="L48" i="6"/>
  <c r="M48" i="6"/>
  <c r="N48" i="6"/>
  <c r="O48" i="6"/>
  <c r="P48" i="6"/>
  <c r="Q48" i="6"/>
  <c r="R48" i="6"/>
  <c r="S48" i="6"/>
  <c r="T48" i="6"/>
  <c r="U48" i="6"/>
  <c r="E49" i="6"/>
  <c r="F49" i="6"/>
  <c r="G49" i="6"/>
  <c r="H49" i="6"/>
  <c r="I49" i="6"/>
  <c r="J49" i="6"/>
  <c r="K49" i="6"/>
  <c r="L49" i="6"/>
  <c r="M49" i="6"/>
  <c r="N49" i="6"/>
  <c r="O49" i="6"/>
  <c r="P49" i="6"/>
  <c r="Q49" i="6"/>
  <c r="R49" i="6"/>
  <c r="S49" i="6"/>
  <c r="T49" i="6"/>
  <c r="U49" i="6"/>
  <c r="D49" i="6"/>
  <c r="D48" i="6"/>
  <c r="C2" i="6"/>
  <c r="Q1" i="14"/>
  <c r="EZ109" i="1"/>
  <c r="FE109" i="1"/>
  <c r="FA109" i="1"/>
  <c r="FF109" i="1"/>
  <c r="FB109" i="1"/>
  <c r="FG109" i="1"/>
  <c r="FC109" i="1"/>
  <c r="FH109" i="1"/>
  <c r="FD109" i="1"/>
  <c r="FI109" i="1"/>
  <c r="FJ109" i="1"/>
  <c r="FK109" i="1"/>
  <c r="FL109" i="1"/>
  <c r="E77" i="6"/>
  <c r="EZ110" i="1"/>
  <c r="FE110" i="1"/>
  <c r="FA110" i="1"/>
  <c r="FF110" i="1"/>
  <c r="FB110" i="1"/>
  <c r="FG110" i="1"/>
  <c r="FC110" i="1"/>
  <c r="FH110" i="1"/>
  <c r="FD110" i="1"/>
  <c r="FI110" i="1"/>
  <c r="FJ110" i="1"/>
  <c r="FK110" i="1"/>
  <c r="FL110" i="1"/>
  <c r="F77" i="6"/>
  <c r="EZ111" i="1"/>
  <c r="FE111" i="1"/>
  <c r="FA111" i="1"/>
  <c r="FF111" i="1"/>
  <c r="FB111" i="1"/>
  <c r="FG111" i="1"/>
  <c r="FC111" i="1"/>
  <c r="FH111" i="1"/>
  <c r="FD111" i="1"/>
  <c r="FI111" i="1"/>
  <c r="FJ111" i="1"/>
  <c r="FK111" i="1"/>
  <c r="FL111" i="1"/>
  <c r="G77" i="6"/>
  <c r="EZ112" i="1"/>
  <c r="FE112" i="1"/>
  <c r="FA112" i="1"/>
  <c r="FF112" i="1"/>
  <c r="FB112" i="1"/>
  <c r="FG112" i="1"/>
  <c r="FC112" i="1"/>
  <c r="FH112" i="1"/>
  <c r="FD112" i="1"/>
  <c r="FI112" i="1"/>
  <c r="FJ112" i="1"/>
  <c r="FK112" i="1"/>
  <c r="FL112" i="1"/>
  <c r="H77" i="6"/>
  <c r="EZ113" i="1"/>
  <c r="FE113" i="1"/>
  <c r="FA113" i="1"/>
  <c r="FF113" i="1"/>
  <c r="FB113" i="1"/>
  <c r="FG113" i="1"/>
  <c r="FC113" i="1"/>
  <c r="FH113" i="1"/>
  <c r="FD113" i="1"/>
  <c r="FI113" i="1"/>
  <c r="FJ113" i="1"/>
  <c r="FK113" i="1"/>
  <c r="FL113" i="1"/>
  <c r="I77" i="6"/>
  <c r="EZ114" i="1"/>
  <c r="FE114" i="1"/>
  <c r="FA114" i="1"/>
  <c r="FF114" i="1"/>
  <c r="FB114" i="1"/>
  <c r="FG114" i="1"/>
  <c r="FC114" i="1"/>
  <c r="FH114" i="1"/>
  <c r="FD114" i="1"/>
  <c r="FI114" i="1"/>
  <c r="FJ114" i="1"/>
  <c r="FK114" i="1"/>
  <c r="FL114" i="1"/>
  <c r="J77" i="6"/>
  <c r="EZ116" i="1"/>
  <c r="FE116" i="1"/>
  <c r="FA116" i="1"/>
  <c r="FF116" i="1"/>
  <c r="FB116" i="1"/>
  <c r="FG116" i="1"/>
  <c r="FC116" i="1"/>
  <c r="FH116" i="1"/>
  <c r="FD116" i="1"/>
  <c r="FI116" i="1"/>
  <c r="FJ116" i="1"/>
  <c r="FK116" i="1"/>
  <c r="FL116" i="1"/>
  <c r="K77" i="6"/>
  <c r="EZ118" i="1"/>
  <c r="FE118" i="1"/>
  <c r="FA118" i="1"/>
  <c r="FF118" i="1"/>
  <c r="FB118" i="1"/>
  <c r="FG118" i="1"/>
  <c r="FC118" i="1"/>
  <c r="FH118" i="1"/>
  <c r="FD118" i="1"/>
  <c r="FI118" i="1"/>
  <c r="FJ118" i="1"/>
  <c r="FK118" i="1"/>
  <c r="FL118" i="1"/>
  <c r="L77" i="6"/>
  <c r="EZ119" i="1"/>
  <c r="FE119" i="1"/>
  <c r="FA119" i="1"/>
  <c r="FF119" i="1"/>
  <c r="FB119" i="1"/>
  <c r="FG119" i="1"/>
  <c r="FC119" i="1"/>
  <c r="FH119" i="1"/>
  <c r="FD119" i="1"/>
  <c r="FI119" i="1"/>
  <c r="FJ119" i="1"/>
  <c r="FK119" i="1"/>
  <c r="FL119" i="1"/>
  <c r="M77" i="6"/>
  <c r="EZ120" i="1"/>
  <c r="FE120" i="1"/>
  <c r="FA120" i="1"/>
  <c r="FF120" i="1"/>
  <c r="FB120" i="1"/>
  <c r="FG120" i="1"/>
  <c r="FC120" i="1"/>
  <c r="FH120" i="1"/>
  <c r="FD120" i="1"/>
  <c r="FI120" i="1"/>
  <c r="FJ120" i="1"/>
  <c r="FK120" i="1"/>
  <c r="FL120" i="1"/>
  <c r="N77" i="6"/>
  <c r="EZ121" i="1"/>
  <c r="FE121" i="1"/>
  <c r="FA121" i="1"/>
  <c r="FF121" i="1"/>
  <c r="FB121" i="1"/>
  <c r="FG121" i="1"/>
  <c r="FC121" i="1"/>
  <c r="FH121" i="1"/>
  <c r="FD121" i="1"/>
  <c r="FI121" i="1"/>
  <c r="FJ121" i="1"/>
  <c r="FK121" i="1"/>
  <c r="FL121" i="1"/>
  <c r="O77" i="6"/>
  <c r="EZ122" i="1"/>
  <c r="FE122" i="1"/>
  <c r="FA122" i="1"/>
  <c r="FF122" i="1"/>
  <c r="FB122" i="1"/>
  <c r="FG122" i="1"/>
  <c r="FC122" i="1"/>
  <c r="FH122" i="1"/>
  <c r="FD122" i="1"/>
  <c r="FI122" i="1"/>
  <c r="FJ122" i="1"/>
  <c r="FK122" i="1"/>
  <c r="FL122" i="1"/>
  <c r="P77" i="6"/>
  <c r="EZ123" i="1"/>
  <c r="FE123" i="1"/>
  <c r="FA123" i="1"/>
  <c r="FF123" i="1"/>
  <c r="FB123" i="1"/>
  <c r="FG123" i="1"/>
  <c r="FC123" i="1"/>
  <c r="FH123" i="1"/>
  <c r="FD123" i="1"/>
  <c r="FI123" i="1"/>
  <c r="FJ123" i="1"/>
  <c r="FK123" i="1"/>
  <c r="FL123" i="1"/>
  <c r="Q77" i="6"/>
  <c r="EZ124" i="1"/>
  <c r="FE124" i="1"/>
  <c r="FA124" i="1"/>
  <c r="FF124" i="1"/>
  <c r="FB124" i="1"/>
  <c r="FG124" i="1"/>
  <c r="FC124" i="1"/>
  <c r="FH124" i="1"/>
  <c r="FD124" i="1"/>
  <c r="FI124" i="1"/>
  <c r="FJ124" i="1"/>
  <c r="FK124" i="1"/>
  <c r="FL124" i="1"/>
  <c r="R77" i="6"/>
  <c r="EZ127" i="1"/>
  <c r="FE127" i="1"/>
  <c r="FA127" i="1"/>
  <c r="FF127" i="1"/>
  <c r="FB127" i="1"/>
  <c r="FG127" i="1"/>
  <c r="FC127" i="1"/>
  <c r="FH127" i="1"/>
  <c r="FD127" i="1"/>
  <c r="FI127" i="1"/>
  <c r="FJ127" i="1"/>
  <c r="FK127" i="1"/>
  <c r="FL127" i="1"/>
  <c r="S77" i="6"/>
  <c r="T77" i="6"/>
  <c r="U77" i="6"/>
  <c r="EZ108" i="1"/>
  <c r="FE108" i="1"/>
  <c r="FA108" i="1"/>
  <c r="FF108" i="1"/>
  <c r="FB108" i="1"/>
  <c r="FG108" i="1"/>
  <c r="FC108" i="1"/>
  <c r="FH108" i="1"/>
  <c r="FD108" i="1"/>
  <c r="FI108" i="1"/>
  <c r="FJ108" i="1"/>
  <c r="FK108" i="1"/>
  <c r="FL108" i="1"/>
  <c r="D77" i="6"/>
  <c r="EZ9" i="1"/>
  <c r="FE9" i="1"/>
  <c r="FA9" i="1"/>
  <c r="FF9" i="1"/>
  <c r="FB9" i="1"/>
  <c r="FG9" i="1"/>
  <c r="FC9" i="1"/>
  <c r="FH9" i="1"/>
  <c r="FD9" i="1"/>
  <c r="FI9" i="1"/>
  <c r="FJ9" i="1"/>
  <c r="FK9" i="1"/>
  <c r="FL9" i="1"/>
  <c r="EZ10" i="1"/>
  <c r="FE10" i="1"/>
  <c r="FA10" i="1"/>
  <c r="FF10" i="1"/>
  <c r="FB10" i="1"/>
  <c r="FG10" i="1"/>
  <c r="FC10" i="1"/>
  <c r="FH10" i="1"/>
  <c r="FD10" i="1"/>
  <c r="FI10" i="1"/>
  <c r="FJ10" i="1"/>
  <c r="FK10" i="1"/>
  <c r="FL10" i="1"/>
  <c r="EZ11" i="1"/>
  <c r="FE11" i="1"/>
  <c r="FA11" i="1"/>
  <c r="FF11" i="1"/>
  <c r="FB11" i="1"/>
  <c r="FG11" i="1"/>
  <c r="FC11" i="1"/>
  <c r="FH11" i="1"/>
  <c r="FD11" i="1"/>
  <c r="FI11" i="1"/>
  <c r="FJ11" i="1"/>
  <c r="FK11" i="1"/>
  <c r="FL11" i="1"/>
  <c r="EZ12" i="1"/>
  <c r="FE12" i="1"/>
  <c r="FA12" i="1"/>
  <c r="FF12" i="1"/>
  <c r="FB12" i="1"/>
  <c r="FG12" i="1"/>
  <c r="FC12" i="1"/>
  <c r="FH12" i="1"/>
  <c r="FD12" i="1"/>
  <c r="FI12" i="1"/>
  <c r="FJ12" i="1"/>
  <c r="FK12" i="1"/>
  <c r="FL12" i="1"/>
  <c r="EZ13" i="1"/>
  <c r="FE13" i="1"/>
  <c r="FA13" i="1"/>
  <c r="FF13" i="1"/>
  <c r="FB13" i="1"/>
  <c r="FG13" i="1"/>
  <c r="FC13" i="1"/>
  <c r="FH13" i="1"/>
  <c r="FD13" i="1"/>
  <c r="FI13" i="1"/>
  <c r="FJ13" i="1"/>
  <c r="FK13" i="1"/>
  <c r="FL13" i="1"/>
  <c r="EZ14" i="1"/>
  <c r="FE14" i="1"/>
  <c r="FA14" i="1"/>
  <c r="FF14" i="1"/>
  <c r="FB14" i="1"/>
  <c r="FG14" i="1"/>
  <c r="FC14" i="1"/>
  <c r="FH14" i="1"/>
  <c r="FD14" i="1"/>
  <c r="FI14" i="1"/>
  <c r="FJ14" i="1"/>
  <c r="FK14" i="1"/>
  <c r="FL14" i="1"/>
  <c r="EZ15" i="1"/>
  <c r="FE15" i="1"/>
  <c r="FA15" i="1"/>
  <c r="FF15" i="1"/>
  <c r="FB15" i="1"/>
  <c r="FG15" i="1"/>
  <c r="FC15" i="1"/>
  <c r="FH15" i="1"/>
  <c r="FD15" i="1"/>
  <c r="FI15" i="1"/>
  <c r="FJ15" i="1"/>
  <c r="FK15" i="1"/>
  <c r="FL15" i="1"/>
  <c r="EZ16" i="1"/>
  <c r="FE16" i="1"/>
  <c r="FA16" i="1"/>
  <c r="FF16" i="1"/>
  <c r="FB16" i="1"/>
  <c r="FG16" i="1"/>
  <c r="FC16" i="1"/>
  <c r="FH16" i="1"/>
  <c r="FD16" i="1"/>
  <c r="FI16" i="1"/>
  <c r="FJ16" i="1"/>
  <c r="FK16" i="1"/>
  <c r="FL16" i="1"/>
  <c r="EZ17" i="1"/>
  <c r="FE17" i="1"/>
  <c r="FA17" i="1"/>
  <c r="FF17" i="1"/>
  <c r="FB17" i="1"/>
  <c r="FG17" i="1"/>
  <c r="FC17" i="1"/>
  <c r="FH17" i="1"/>
  <c r="FD17" i="1"/>
  <c r="FI17" i="1"/>
  <c r="FJ17" i="1"/>
  <c r="FK17" i="1"/>
  <c r="FL17" i="1"/>
  <c r="EZ18" i="1"/>
  <c r="FE18" i="1"/>
  <c r="FA18" i="1"/>
  <c r="FF18" i="1"/>
  <c r="FB18" i="1"/>
  <c r="FG18" i="1"/>
  <c r="FC18" i="1"/>
  <c r="FH18" i="1"/>
  <c r="FD18" i="1"/>
  <c r="FI18" i="1"/>
  <c r="FJ18" i="1"/>
  <c r="FK18" i="1"/>
  <c r="FL18" i="1"/>
  <c r="EZ19" i="1"/>
  <c r="FE19" i="1"/>
  <c r="FA19" i="1"/>
  <c r="FF19" i="1"/>
  <c r="FB19" i="1"/>
  <c r="FG19" i="1"/>
  <c r="FC19" i="1"/>
  <c r="FH19" i="1"/>
  <c r="FD19" i="1"/>
  <c r="FI19" i="1"/>
  <c r="FJ19" i="1"/>
  <c r="FK19" i="1"/>
  <c r="FL19" i="1"/>
  <c r="EZ20" i="1"/>
  <c r="FE20" i="1"/>
  <c r="FA20" i="1"/>
  <c r="FF20" i="1"/>
  <c r="FB20" i="1"/>
  <c r="FG20" i="1"/>
  <c r="FC20" i="1"/>
  <c r="FH20" i="1"/>
  <c r="FD20" i="1"/>
  <c r="FI20" i="1"/>
  <c r="FJ20" i="1"/>
  <c r="FK20" i="1"/>
  <c r="FL20" i="1"/>
  <c r="EZ21" i="1"/>
  <c r="FE21" i="1"/>
  <c r="FA21" i="1"/>
  <c r="FF21" i="1"/>
  <c r="FB21" i="1"/>
  <c r="FG21" i="1"/>
  <c r="FC21" i="1"/>
  <c r="FH21" i="1"/>
  <c r="FD21" i="1"/>
  <c r="FI21" i="1"/>
  <c r="FJ21" i="1"/>
  <c r="FK21" i="1"/>
  <c r="FL21" i="1"/>
  <c r="EZ22" i="1"/>
  <c r="FE22" i="1"/>
  <c r="FA22" i="1"/>
  <c r="FF22" i="1"/>
  <c r="FB22" i="1"/>
  <c r="FG22" i="1"/>
  <c r="FC22" i="1"/>
  <c r="FH22" i="1"/>
  <c r="FD22" i="1"/>
  <c r="FI22" i="1"/>
  <c r="FJ22" i="1"/>
  <c r="FK22" i="1"/>
  <c r="FL22" i="1"/>
  <c r="EZ23" i="1"/>
  <c r="FE23" i="1"/>
  <c r="FA23" i="1"/>
  <c r="FF23" i="1"/>
  <c r="FB23" i="1"/>
  <c r="FG23" i="1"/>
  <c r="FC23" i="1"/>
  <c r="FH23" i="1"/>
  <c r="FD23" i="1"/>
  <c r="FI23" i="1"/>
  <c r="FJ23" i="1"/>
  <c r="FK23" i="1"/>
  <c r="FL23" i="1"/>
  <c r="EZ24" i="1"/>
  <c r="FE24" i="1"/>
  <c r="FA24" i="1"/>
  <c r="FF24" i="1"/>
  <c r="FB24" i="1"/>
  <c r="FG24" i="1"/>
  <c r="FC24" i="1"/>
  <c r="FH24" i="1"/>
  <c r="FD24" i="1"/>
  <c r="FI24" i="1"/>
  <c r="FJ24" i="1"/>
  <c r="FK24" i="1"/>
  <c r="FL24" i="1"/>
  <c r="EZ25" i="1"/>
  <c r="FE25" i="1"/>
  <c r="FA25" i="1"/>
  <c r="FF25" i="1"/>
  <c r="FB25" i="1"/>
  <c r="FG25" i="1"/>
  <c r="FC25" i="1"/>
  <c r="FH25" i="1"/>
  <c r="FD25" i="1"/>
  <c r="FI25" i="1"/>
  <c r="FJ25" i="1"/>
  <c r="FK25" i="1"/>
  <c r="FL25" i="1"/>
  <c r="EZ26" i="1"/>
  <c r="FE26" i="1"/>
  <c r="FA26" i="1"/>
  <c r="FF26" i="1"/>
  <c r="FB26" i="1"/>
  <c r="FG26" i="1"/>
  <c r="FC26" i="1"/>
  <c r="FH26" i="1"/>
  <c r="FD26" i="1"/>
  <c r="FI26" i="1"/>
  <c r="FJ26" i="1"/>
  <c r="FK26" i="1"/>
  <c r="FL26" i="1"/>
  <c r="EZ27" i="1"/>
  <c r="FE27" i="1"/>
  <c r="FA27" i="1"/>
  <c r="FF27" i="1"/>
  <c r="FB27" i="1"/>
  <c r="FG27" i="1"/>
  <c r="FC27" i="1"/>
  <c r="FH27" i="1"/>
  <c r="FD27" i="1"/>
  <c r="FI27" i="1"/>
  <c r="FJ27" i="1"/>
  <c r="FK27" i="1"/>
  <c r="FL27" i="1"/>
  <c r="EZ28" i="1"/>
  <c r="FE28" i="1"/>
  <c r="FA28" i="1"/>
  <c r="FF28" i="1"/>
  <c r="FB28" i="1"/>
  <c r="FG28" i="1"/>
  <c r="FC28" i="1"/>
  <c r="FH28" i="1"/>
  <c r="FD28" i="1"/>
  <c r="FI28" i="1"/>
  <c r="FJ28" i="1"/>
  <c r="FK28" i="1"/>
  <c r="FL28" i="1"/>
  <c r="EZ29" i="1"/>
  <c r="FE29" i="1"/>
  <c r="FA29" i="1"/>
  <c r="FF29" i="1"/>
  <c r="FB29" i="1"/>
  <c r="FG29" i="1"/>
  <c r="FC29" i="1"/>
  <c r="FH29" i="1"/>
  <c r="FD29" i="1"/>
  <c r="FI29" i="1"/>
  <c r="FJ29" i="1"/>
  <c r="FK29" i="1"/>
  <c r="FL29" i="1"/>
  <c r="EZ30" i="1"/>
  <c r="FE30" i="1"/>
  <c r="FA30" i="1"/>
  <c r="FF30" i="1"/>
  <c r="FB30" i="1"/>
  <c r="FG30" i="1"/>
  <c r="FC30" i="1"/>
  <c r="FH30" i="1"/>
  <c r="FD30" i="1"/>
  <c r="FI30" i="1"/>
  <c r="FJ30" i="1"/>
  <c r="FK30" i="1"/>
  <c r="FL30" i="1"/>
  <c r="EZ31" i="1"/>
  <c r="FE31" i="1"/>
  <c r="FA31" i="1"/>
  <c r="FF31" i="1"/>
  <c r="FB31" i="1"/>
  <c r="FG31" i="1"/>
  <c r="FC31" i="1"/>
  <c r="FH31" i="1"/>
  <c r="FD31" i="1"/>
  <c r="FI31" i="1"/>
  <c r="FJ31" i="1"/>
  <c r="FK31" i="1"/>
  <c r="FL31" i="1"/>
  <c r="EZ32" i="1"/>
  <c r="FE32" i="1"/>
  <c r="FA32" i="1"/>
  <c r="FF32" i="1"/>
  <c r="FB32" i="1"/>
  <c r="FG32" i="1"/>
  <c r="FC32" i="1"/>
  <c r="FH32" i="1"/>
  <c r="FD32" i="1"/>
  <c r="FI32" i="1"/>
  <c r="FJ32" i="1"/>
  <c r="FK32" i="1"/>
  <c r="FL32" i="1"/>
  <c r="EZ33" i="1"/>
  <c r="FE33" i="1"/>
  <c r="FA33" i="1"/>
  <c r="FF33" i="1"/>
  <c r="FB33" i="1"/>
  <c r="FG33" i="1"/>
  <c r="FC33" i="1"/>
  <c r="FH33" i="1"/>
  <c r="FD33" i="1"/>
  <c r="FI33" i="1"/>
  <c r="FJ33" i="1"/>
  <c r="FK33" i="1"/>
  <c r="FL33" i="1"/>
  <c r="EZ34" i="1"/>
  <c r="FE34" i="1"/>
  <c r="FA34" i="1"/>
  <c r="FF34" i="1"/>
  <c r="FB34" i="1"/>
  <c r="FG34" i="1"/>
  <c r="FC34" i="1"/>
  <c r="FH34" i="1"/>
  <c r="FD34" i="1"/>
  <c r="FI34" i="1"/>
  <c r="FJ34" i="1"/>
  <c r="FK34" i="1"/>
  <c r="FL34" i="1"/>
  <c r="EZ35" i="1"/>
  <c r="FE35" i="1"/>
  <c r="FA35" i="1"/>
  <c r="FF35" i="1"/>
  <c r="FB35" i="1"/>
  <c r="FG35" i="1"/>
  <c r="FC35" i="1"/>
  <c r="FH35" i="1"/>
  <c r="FD35" i="1"/>
  <c r="FI35" i="1"/>
  <c r="FJ35" i="1"/>
  <c r="FK35" i="1"/>
  <c r="FL35" i="1"/>
  <c r="EZ36" i="1"/>
  <c r="FE36" i="1"/>
  <c r="FA36" i="1"/>
  <c r="FF36" i="1"/>
  <c r="FB36" i="1"/>
  <c r="FG36" i="1"/>
  <c r="FC36" i="1"/>
  <c r="FH36" i="1"/>
  <c r="FD36" i="1"/>
  <c r="FI36" i="1"/>
  <c r="FJ36" i="1"/>
  <c r="FK36" i="1"/>
  <c r="FL36" i="1"/>
  <c r="EZ37" i="1"/>
  <c r="FE37" i="1"/>
  <c r="FA37" i="1"/>
  <c r="FF37" i="1"/>
  <c r="FB37" i="1"/>
  <c r="FG37" i="1"/>
  <c r="FC37" i="1"/>
  <c r="FH37" i="1"/>
  <c r="FD37" i="1"/>
  <c r="FI37" i="1"/>
  <c r="FJ37" i="1"/>
  <c r="FK37" i="1"/>
  <c r="FL37" i="1"/>
  <c r="EZ38" i="1"/>
  <c r="FE38" i="1"/>
  <c r="FA38" i="1"/>
  <c r="FF38" i="1"/>
  <c r="FB38" i="1"/>
  <c r="FG38" i="1"/>
  <c r="FC38" i="1"/>
  <c r="FH38" i="1"/>
  <c r="FD38" i="1"/>
  <c r="FI38" i="1"/>
  <c r="FJ38" i="1"/>
  <c r="FK38" i="1"/>
  <c r="FL38" i="1"/>
  <c r="EZ39" i="1"/>
  <c r="FE39" i="1"/>
  <c r="FA39" i="1"/>
  <c r="FF39" i="1"/>
  <c r="FB39" i="1"/>
  <c r="FG39" i="1"/>
  <c r="FC39" i="1"/>
  <c r="FH39" i="1"/>
  <c r="FD39" i="1"/>
  <c r="FI39" i="1"/>
  <c r="FJ39" i="1"/>
  <c r="FK39" i="1"/>
  <c r="FL39" i="1"/>
  <c r="EZ40" i="1"/>
  <c r="FE40" i="1"/>
  <c r="FA40" i="1"/>
  <c r="FF40" i="1"/>
  <c r="FB40" i="1"/>
  <c r="FG40" i="1"/>
  <c r="FC40" i="1"/>
  <c r="FH40" i="1"/>
  <c r="FD40" i="1"/>
  <c r="FI40" i="1"/>
  <c r="FJ40" i="1"/>
  <c r="FK40" i="1"/>
  <c r="FL40" i="1"/>
  <c r="EZ41" i="1"/>
  <c r="FE41" i="1"/>
  <c r="FA41" i="1"/>
  <c r="FF41" i="1"/>
  <c r="FB41" i="1"/>
  <c r="FG41" i="1"/>
  <c r="FC41" i="1"/>
  <c r="FH41" i="1"/>
  <c r="FD41" i="1"/>
  <c r="FI41" i="1"/>
  <c r="FJ41" i="1"/>
  <c r="FK41" i="1"/>
  <c r="FL41" i="1"/>
  <c r="EZ42" i="1"/>
  <c r="FE42" i="1"/>
  <c r="FA42" i="1"/>
  <c r="FF42" i="1"/>
  <c r="FB42" i="1"/>
  <c r="FG42" i="1"/>
  <c r="FC42" i="1"/>
  <c r="FH42" i="1"/>
  <c r="FD42" i="1"/>
  <c r="FI42" i="1"/>
  <c r="FJ42" i="1"/>
  <c r="FK42" i="1"/>
  <c r="FL42" i="1"/>
  <c r="EZ43" i="1"/>
  <c r="FE43" i="1"/>
  <c r="FA43" i="1"/>
  <c r="FF43" i="1"/>
  <c r="FB43" i="1"/>
  <c r="FG43" i="1"/>
  <c r="FC43" i="1"/>
  <c r="FH43" i="1"/>
  <c r="FD43" i="1"/>
  <c r="FI43" i="1"/>
  <c r="FJ43" i="1"/>
  <c r="FK43" i="1"/>
  <c r="FL43" i="1"/>
  <c r="EZ44" i="1"/>
  <c r="FE44" i="1"/>
  <c r="FA44" i="1"/>
  <c r="FF44" i="1"/>
  <c r="FB44" i="1"/>
  <c r="FG44" i="1"/>
  <c r="FC44" i="1"/>
  <c r="FH44" i="1"/>
  <c r="FD44" i="1"/>
  <c r="FI44" i="1"/>
  <c r="FJ44" i="1"/>
  <c r="FK44" i="1"/>
  <c r="FL44" i="1"/>
  <c r="EZ45" i="1"/>
  <c r="FE45" i="1"/>
  <c r="FA45" i="1"/>
  <c r="FF45" i="1"/>
  <c r="FB45" i="1"/>
  <c r="FG45" i="1"/>
  <c r="FC45" i="1"/>
  <c r="FH45" i="1"/>
  <c r="FD45" i="1"/>
  <c r="FI45" i="1"/>
  <c r="FJ45" i="1"/>
  <c r="FK45" i="1"/>
  <c r="FL45" i="1"/>
  <c r="EZ46" i="1"/>
  <c r="FE46" i="1"/>
  <c r="FA46" i="1"/>
  <c r="FF46" i="1"/>
  <c r="FB46" i="1"/>
  <c r="FG46" i="1"/>
  <c r="FC46" i="1"/>
  <c r="FH46" i="1"/>
  <c r="FD46" i="1"/>
  <c r="FI46" i="1"/>
  <c r="FJ46" i="1"/>
  <c r="FK46" i="1"/>
  <c r="FL46" i="1"/>
  <c r="EZ47" i="1"/>
  <c r="FE47" i="1"/>
  <c r="FA47" i="1"/>
  <c r="FF47" i="1"/>
  <c r="FB47" i="1"/>
  <c r="FG47" i="1"/>
  <c r="FC47" i="1"/>
  <c r="FH47" i="1"/>
  <c r="FD47" i="1"/>
  <c r="FI47" i="1"/>
  <c r="FJ47" i="1"/>
  <c r="FK47" i="1"/>
  <c r="FL47" i="1"/>
  <c r="EZ48" i="1"/>
  <c r="FE48" i="1"/>
  <c r="FA48" i="1"/>
  <c r="FF48" i="1"/>
  <c r="FB48" i="1"/>
  <c r="FG48" i="1"/>
  <c r="FC48" i="1"/>
  <c r="FH48" i="1"/>
  <c r="FD48" i="1"/>
  <c r="FI48" i="1"/>
  <c r="FJ48" i="1"/>
  <c r="FK48" i="1"/>
  <c r="FL48" i="1"/>
  <c r="EZ49" i="1"/>
  <c r="FE49" i="1"/>
  <c r="FA49" i="1"/>
  <c r="FF49" i="1"/>
  <c r="FB49" i="1"/>
  <c r="FG49" i="1"/>
  <c r="FC49" i="1"/>
  <c r="FH49" i="1"/>
  <c r="FD49" i="1"/>
  <c r="FI49" i="1"/>
  <c r="FJ49" i="1"/>
  <c r="FK49" i="1"/>
  <c r="FL49" i="1"/>
  <c r="EZ50" i="1"/>
  <c r="FE50" i="1"/>
  <c r="FA50" i="1"/>
  <c r="FF50" i="1"/>
  <c r="FB50" i="1"/>
  <c r="FG50" i="1"/>
  <c r="FC50" i="1"/>
  <c r="FH50" i="1"/>
  <c r="FD50" i="1"/>
  <c r="FI50" i="1"/>
  <c r="FJ50" i="1"/>
  <c r="FK50" i="1"/>
  <c r="FL50" i="1"/>
  <c r="EZ51" i="1"/>
  <c r="FE51" i="1"/>
  <c r="FA51" i="1"/>
  <c r="FF51" i="1"/>
  <c r="FB51" i="1"/>
  <c r="FG51" i="1"/>
  <c r="FC51" i="1"/>
  <c r="FH51" i="1"/>
  <c r="FD51" i="1"/>
  <c r="FI51" i="1"/>
  <c r="FJ51" i="1"/>
  <c r="FK51" i="1"/>
  <c r="FL51" i="1"/>
  <c r="EZ52" i="1"/>
  <c r="FE52" i="1"/>
  <c r="FA52" i="1"/>
  <c r="FF52" i="1"/>
  <c r="FB52" i="1"/>
  <c r="FG52" i="1"/>
  <c r="FC52" i="1"/>
  <c r="FH52" i="1"/>
  <c r="FD52" i="1"/>
  <c r="FI52" i="1"/>
  <c r="FJ52" i="1"/>
  <c r="FK52" i="1"/>
  <c r="FL52" i="1"/>
  <c r="EZ53" i="1"/>
  <c r="FE53" i="1"/>
  <c r="FA53" i="1"/>
  <c r="FF53" i="1"/>
  <c r="FB53" i="1"/>
  <c r="FG53" i="1"/>
  <c r="FC53" i="1"/>
  <c r="FH53" i="1"/>
  <c r="FD53" i="1"/>
  <c r="FI53" i="1"/>
  <c r="FJ53" i="1"/>
  <c r="FK53" i="1"/>
  <c r="FL53" i="1"/>
  <c r="EZ54" i="1"/>
  <c r="FE54" i="1"/>
  <c r="FA54" i="1"/>
  <c r="FF54" i="1"/>
  <c r="FB54" i="1"/>
  <c r="FG54" i="1"/>
  <c r="FC54" i="1"/>
  <c r="FH54" i="1"/>
  <c r="FD54" i="1"/>
  <c r="FI54" i="1"/>
  <c r="FJ54" i="1"/>
  <c r="FK54" i="1"/>
  <c r="FL54" i="1"/>
  <c r="EZ55" i="1"/>
  <c r="FE55" i="1"/>
  <c r="FA55" i="1"/>
  <c r="FF55" i="1"/>
  <c r="FB55" i="1"/>
  <c r="FG55" i="1"/>
  <c r="FC55" i="1"/>
  <c r="FH55" i="1"/>
  <c r="FD55" i="1"/>
  <c r="FI55" i="1"/>
  <c r="FJ55" i="1"/>
  <c r="FK55" i="1"/>
  <c r="FL55" i="1"/>
  <c r="EZ56" i="1"/>
  <c r="FE56" i="1"/>
  <c r="FA56" i="1"/>
  <c r="FF56" i="1"/>
  <c r="FB56" i="1"/>
  <c r="FG56" i="1"/>
  <c r="FC56" i="1"/>
  <c r="FH56" i="1"/>
  <c r="FD56" i="1"/>
  <c r="FI56" i="1"/>
  <c r="FJ56" i="1"/>
  <c r="FK56" i="1"/>
  <c r="FL56" i="1"/>
  <c r="EZ57" i="1"/>
  <c r="FE57" i="1"/>
  <c r="FA57" i="1"/>
  <c r="FF57" i="1"/>
  <c r="FB57" i="1"/>
  <c r="FG57" i="1"/>
  <c r="FC57" i="1"/>
  <c r="FH57" i="1"/>
  <c r="FD57" i="1"/>
  <c r="FI57" i="1"/>
  <c r="FJ57" i="1"/>
  <c r="FK57" i="1"/>
  <c r="FL57" i="1"/>
  <c r="EZ58" i="1"/>
  <c r="FE58" i="1"/>
  <c r="FA58" i="1"/>
  <c r="FF58" i="1"/>
  <c r="FB58" i="1"/>
  <c r="FG58" i="1"/>
  <c r="FC58" i="1"/>
  <c r="FH58" i="1"/>
  <c r="FD58" i="1"/>
  <c r="FI58" i="1"/>
  <c r="FJ58" i="1"/>
  <c r="FK58" i="1"/>
  <c r="FL58" i="1"/>
  <c r="EZ59" i="1"/>
  <c r="FE59" i="1"/>
  <c r="FA59" i="1"/>
  <c r="FF59" i="1"/>
  <c r="FB59" i="1"/>
  <c r="FG59" i="1"/>
  <c r="FC59" i="1"/>
  <c r="FH59" i="1"/>
  <c r="FD59" i="1"/>
  <c r="FI59" i="1"/>
  <c r="FJ59" i="1"/>
  <c r="FK59" i="1"/>
  <c r="FL59" i="1"/>
  <c r="EZ60" i="1"/>
  <c r="FE60" i="1"/>
  <c r="FA60" i="1"/>
  <c r="FF60" i="1"/>
  <c r="FB60" i="1"/>
  <c r="FG60" i="1"/>
  <c r="FC60" i="1"/>
  <c r="FH60" i="1"/>
  <c r="FD60" i="1"/>
  <c r="FI60" i="1"/>
  <c r="FJ60" i="1"/>
  <c r="FK60" i="1"/>
  <c r="FL60" i="1"/>
  <c r="EZ61" i="1"/>
  <c r="FE61" i="1"/>
  <c r="FA61" i="1"/>
  <c r="FF61" i="1"/>
  <c r="FB61" i="1"/>
  <c r="FG61" i="1"/>
  <c r="FC61" i="1"/>
  <c r="FH61" i="1"/>
  <c r="FD61" i="1"/>
  <c r="FI61" i="1"/>
  <c r="FJ61" i="1"/>
  <c r="FK61" i="1"/>
  <c r="FL61" i="1"/>
  <c r="EZ62" i="1"/>
  <c r="FE62" i="1"/>
  <c r="FA62" i="1"/>
  <c r="FF62" i="1"/>
  <c r="FB62" i="1"/>
  <c r="FG62" i="1"/>
  <c r="FC62" i="1"/>
  <c r="FH62" i="1"/>
  <c r="FD62" i="1"/>
  <c r="FI62" i="1"/>
  <c r="FJ62" i="1"/>
  <c r="FK62" i="1"/>
  <c r="FL62" i="1"/>
  <c r="EZ63" i="1"/>
  <c r="FE63" i="1"/>
  <c r="FA63" i="1"/>
  <c r="FF63" i="1"/>
  <c r="FB63" i="1"/>
  <c r="FG63" i="1"/>
  <c r="FC63" i="1"/>
  <c r="FH63" i="1"/>
  <c r="FD63" i="1"/>
  <c r="FI63" i="1"/>
  <c r="FJ63" i="1"/>
  <c r="FK63" i="1"/>
  <c r="FL63" i="1"/>
  <c r="EZ64" i="1"/>
  <c r="FE64" i="1"/>
  <c r="FA64" i="1"/>
  <c r="FF64" i="1"/>
  <c r="FB64" i="1"/>
  <c r="FG64" i="1"/>
  <c r="FC64" i="1"/>
  <c r="FH64" i="1"/>
  <c r="FD64" i="1"/>
  <c r="FI64" i="1"/>
  <c r="FJ64" i="1"/>
  <c r="FK64" i="1"/>
  <c r="FL64" i="1"/>
  <c r="EZ65" i="1"/>
  <c r="FE65" i="1"/>
  <c r="FA65" i="1"/>
  <c r="FF65" i="1"/>
  <c r="FB65" i="1"/>
  <c r="FG65" i="1"/>
  <c r="FC65" i="1"/>
  <c r="FH65" i="1"/>
  <c r="FD65" i="1"/>
  <c r="FI65" i="1"/>
  <c r="FJ65" i="1"/>
  <c r="FK65" i="1"/>
  <c r="FL65" i="1"/>
  <c r="EZ66" i="1"/>
  <c r="FE66" i="1"/>
  <c r="FA66" i="1"/>
  <c r="FF66" i="1"/>
  <c r="FB66" i="1"/>
  <c r="FG66" i="1"/>
  <c r="FC66" i="1"/>
  <c r="FH66" i="1"/>
  <c r="FD66" i="1"/>
  <c r="FI66" i="1"/>
  <c r="FJ66" i="1"/>
  <c r="FK66" i="1"/>
  <c r="FL66" i="1"/>
  <c r="EZ67" i="1"/>
  <c r="FE67" i="1"/>
  <c r="FA67" i="1"/>
  <c r="FF67" i="1"/>
  <c r="FB67" i="1"/>
  <c r="FG67" i="1"/>
  <c r="FC67" i="1"/>
  <c r="FH67" i="1"/>
  <c r="FD67" i="1"/>
  <c r="FI67" i="1"/>
  <c r="FJ67" i="1"/>
  <c r="FK67" i="1"/>
  <c r="FL67" i="1"/>
  <c r="EZ68" i="1"/>
  <c r="FE68" i="1"/>
  <c r="FA68" i="1"/>
  <c r="FF68" i="1"/>
  <c r="FB68" i="1"/>
  <c r="FG68" i="1"/>
  <c r="FC68" i="1"/>
  <c r="FH68" i="1"/>
  <c r="FD68" i="1"/>
  <c r="FI68" i="1"/>
  <c r="FJ68" i="1"/>
  <c r="FK68" i="1"/>
  <c r="FL68" i="1"/>
  <c r="EZ69" i="1"/>
  <c r="FE69" i="1"/>
  <c r="FA69" i="1"/>
  <c r="FF69" i="1"/>
  <c r="FB69" i="1"/>
  <c r="FG69" i="1"/>
  <c r="FC69" i="1"/>
  <c r="FH69" i="1"/>
  <c r="FD69" i="1"/>
  <c r="FI69" i="1"/>
  <c r="FJ69" i="1"/>
  <c r="FK69" i="1"/>
  <c r="FL69" i="1"/>
  <c r="EZ70" i="1"/>
  <c r="FE70" i="1"/>
  <c r="FA70" i="1"/>
  <c r="FF70" i="1"/>
  <c r="FB70" i="1"/>
  <c r="FG70" i="1"/>
  <c r="FC70" i="1"/>
  <c r="FH70" i="1"/>
  <c r="FD70" i="1"/>
  <c r="FI70" i="1"/>
  <c r="FJ70" i="1"/>
  <c r="FK70" i="1"/>
  <c r="FL70" i="1"/>
  <c r="EZ71" i="1"/>
  <c r="FE71" i="1"/>
  <c r="FA71" i="1"/>
  <c r="FF71" i="1"/>
  <c r="FB71" i="1"/>
  <c r="FG71" i="1"/>
  <c r="FC71" i="1"/>
  <c r="FH71" i="1"/>
  <c r="FD71" i="1"/>
  <c r="FI71" i="1"/>
  <c r="FJ71" i="1"/>
  <c r="FK71" i="1"/>
  <c r="FL71" i="1"/>
  <c r="EZ72" i="1"/>
  <c r="FE72" i="1"/>
  <c r="FA72" i="1"/>
  <c r="FF72" i="1"/>
  <c r="FB72" i="1"/>
  <c r="FG72" i="1"/>
  <c r="FC72" i="1"/>
  <c r="FH72" i="1"/>
  <c r="FD72" i="1"/>
  <c r="FI72" i="1"/>
  <c r="FJ72" i="1"/>
  <c r="FK72" i="1"/>
  <c r="FL72" i="1"/>
  <c r="EZ73" i="1"/>
  <c r="FE73" i="1"/>
  <c r="FA73" i="1"/>
  <c r="FF73" i="1"/>
  <c r="FB73" i="1"/>
  <c r="FG73" i="1"/>
  <c r="FC73" i="1"/>
  <c r="FH73" i="1"/>
  <c r="FD73" i="1"/>
  <c r="FI73" i="1"/>
  <c r="FJ73" i="1"/>
  <c r="FK73" i="1"/>
  <c r="FL73" i="1"/>
  <c r="EZ74" i="1"/>
  <c r="FE74" i="1"/>
  <c r="FA74" i="1"/>
  <c r="FF74" i="1"/>
  <c r="FB74" i="1"/>
  <c r="FG74" i="1"/>
  <c r="FC74" i="1"/>
  <c r="FH74" i="1"/>
  <c r="FD74" i="1"/>
  <c r="FI74" i="1"/>
  <c r="FJ74" i="1"/>
  <c r="FK74" i="1"/>
  <c r="FL74" i="1"/>
  <c r="EZ75" i="1"/>
  <c r="FE75" i="1"/>
  <c r="FA75" i="1"/>
  <c r="FF75" i="1"/>
  <c r="FB75" i="1"/>
  <c r="FG75" i="1"/>
  <c r="FC75" i="1"/>
  <c r="FH75" i="1"/>
  <c r="FD75" i="1"/>
  <c r="FI75" i="1"/>
  <c r="FJ75" i="1"/>
  <c r="FK75" i="1"/>
  <c r="FL75" i="1"/>
  <c r="EZ76" i="1"/>
  <c r="FE76" i="1"/>
  <c r="FA76" i="1"/>
  <c r="FF76" i="1"/>
  <c r="FB76" i="1"/>
  <c r="FG76" i="1"/>
  <c r="FC76" i="1"/>
  <c r="FH76" i="1"/>
  <c r="FD76" i="1"/>
  <c r="FI76" i="1"/>
  <c r="FJ76" i="1"/>
  <c r="FK76" i="1"/>
  <c r="FL76" i="1"/>
  <c r="EZ77" i="1"/>
  <c r="FE77" i="1"/>
  <c r="FA77" i="1"/>
  <c r="FF77" i="1"/>
  <c r="FB77" i="1"/>
  <c r="FG77" i="1"/>
  <c r="FC77" i="1"/>
  <c r="FH77" i="1"/>
  <c r="FD77" i="1"/>
  <c r="FI77" i="1"/>
  <c r="FJ77" i="1"/>
  <c r="FK77" i="1"/>
  <c r="FL77" i="1"/>
  <c r="EZ78" i="1"/>
  <c r="FE78" i="1"/>
  <c r="FA78" i="1"/>
  <c r="FF78" i="1"/>
  <c r="FB78" i="1"/>
  <c r="FG78" i="1"/>
  <c r="FC78" i="1"/>
  <c r="FH78" i="1"/>
  <c r="FD78" i="1"/>
  <c r="FI78" i="1"/>
  <c r="FJ78" i="1"/>
  <c r="FK78" i="1"/>
  <c r="FL78" i="1"/>
  <c r="EZ79" i="1"/>
  <c r="FE79" i="1"/>
  <c r="FA79" i="1"/>
  <c r="FF79" i="1"/>
  <c r="FB79" i="1"/>
  <c r="FG79" i="1"/>
  <c r="FC79" i="1"/>
  <c r="FH79" i="1"/>
  <c r="FD79" i="1"/>
  <c r="FI79" i="1"/>
  <c r="FJ79" i="1"/>
  <c r="FK79" i="1"/>
  <c r="FL79" i="1"/>
  <c r="EZ80" i="1"/>
  <c r="FE80" i="1"/>
  <c r="FA80" i="1"/>
  <c r="FF80" i="1"/>
  <c r="FB80" i="1"/>
  <c r="FG80" i="1"/>
  <c r="FC80" i="1"/>
  <c r="FH80" i="1"/>
  <c r="FD80" i="1"/>
  <c r="FI80" i="1"/>
  <c r="FJ80" i="1"/>
  <c r="FK80" i="1"/>
  <c r="FL80" i="1"/>
  <c r="EZ81" i="1"/>
  <c r="FE81" i="1"/>
  <c r="FA81" i="1"/>
  <c r="FF81" i="1"/>
  <c r="FB81" i="1"/>
  <c r="FG81" i="1"/>
  <c r="FC81" i="1"/>
  <c r="FH81" i="1"/>
  <c r="FD81" i="1"/>
  <c r="FI81" i="1"/>
  <c r="FJ81" i="1"/>
  <c r="FK81" i="1"/>
  <c r="FL81" i="1"/>
  <c r="EZ82" i="1"/>
  <c r="FE82" i="1"/>
  <c r="FA82" i="1"/>
  <c r="FF82" i="1"/>
  <c r="FB82" i="1"/>
  <c r="FG82" i="1"/>
  <c r="FC82" i="1"/>
  <c r="FH82" i="1"/>
  <c r="FD82" i="1"/>
  <c r="FI82" i="1"/>
  <c r="FJ82" i="1"/>
  <c r="FK82" i="1"/>
  <c r="FL82" i="1"/>
  <c r="EZ83" i="1"/>
  <c r="FE83" i="1"/>
  <c r="FA83" i="1"/>
  <c r="FF83" i="1"/>
  <c r="FB83" i="1"/>
  <c r="FG83" i="1"/>
  <c r="FC83" i="1"/>
  <c r="FH83" i="1"/>
  <c r="FD83" i="1"/>
  <c r="FI83" i="1"/>
  <c r="FJ83" i="1"/>
  <c r="FK83" i="1"/>
  <c r="FL83" i="1"/>
  <c r="EZ84" i="1"/>
  <c r="FE84" i="1"/>
  <c r="FA84" i="1"/>
  <c r="FF84" i="1"/>
  <c r="FB84" i="1"/>
  <c r="FG84" i="1"/>
  <c r="FC84" i="1"/>
  <c r="FH84" i="1"/>
  <c r="FD84" i="1"/>
  <c r="FI84" i="1"/>
  <c r="FJ84" i="1"/>
  <c r="FK84" i="1"/>
  <c r="FL84" i="1"/>
  <c r="EZ85" i="1"/>
  <c r="FE85" i="1"/>
  <c r="FA85" i="1"/>
  <c r="FF85" i="1"/>
  <c r="FB85" i="1"/>
  <c r="FG85" i="1"/>
  <c r="FC85" i="1"/>
  <c r="FH85" i="1"/>
  <c r="FD85" i="1"/>
  <c r="FI85" i="1"/>
  <c r="FJ85" i="1"/>
  <c r="FK85" i="1"/>
  <c r="FL85" i="1"/>
  <c r="EZ86" i="1"/>
  <c r="FE86" i="1"/>
  <c r="FA86" i="1"/>
  <c r="FF86" i="1"/>
  <c r="FB86" i="1"/>
  <c r="FG86" i="1"/>
  <c r="FC86" i="1"/>
  <c r="FH86" i="1"/>
  <c r="FD86" i="1"/>
  <c r="FI86" i="1"/>
  <c r="FJ86" i="1"/>
  <c r="FK86" i="1"/>
  <c r="FL86" i="1"/>
  <c r="EZ87" i="1"/>
  <c r="FE87" i="1"/>
  <c r="FA87" i="1"/>
  <c r="FF87" i="1"/>
  <c r="FB87" i="1"/>
  <c r="FG87" i="1"/>
  <c r="FC87" i="1"/>
  <c r="FH87" i="1"/>
  <c r="FD87" i="1"/>
  <c r="FI87" i="1"/>
  <c r="FJ87" i="1"/>
  <c r="FK87" i="1"/>
  <c r="FL87" i="1"/>
  <c r="EZ88" i="1"/>
  <c r="FE88" i="1"/>
  <c r="FA88" i="1"/>
  <c r="FF88" i="1"/>
  <c r="FB88" i="1"/>
  <c r="FG88" i="1"/>
  <c r="FC88" i="1"/>
  <c r="FH88" i="1"/>
  <c r="FD88" i="1"/>
  <c r="FI88" i="1"/>
  <c r="FJ88" i="1"/>
  <c r="FK88" i="1"/>
  <c r="FL88" i="1"/>
  <c r="EZ89" i="1"/>
  <c r="FE89" i="1"/>
  <c r="FA89" i="1"/>
  <c r="FF89" i="1"/>
  <c r="FB89" i="1"/>
  <c r="FG89" i="1"/>
  <c r="FC89" i="1"/>
  <c r="FH89" i="1"/>
  <c r="FD89" i="1"/>
  <c r="FI89" i="1"/>
  <c r="FJ89" i="1"/>
  <c r="FK89" i="1"/>
  <c r="FL89" i="1"/>
  <c r="EZ90" i="1"/>
  <c r="FE90" i="1"/>
  <c r="FA90" i="1"/>
  <c r="FF90" i="1"/>
  <c r="FB90" i="1"/>
  <c r="FG90" i="1"/>
  <c r="FC90" i="1"/>
  <c r="FH90" i="1"/>
  <c r="FD90" i="1"/>
  <c r="FI90" i="1"/>
  <c r="FJ90" i="1"/>
  <c r="FK90" i="1"/>
  <c r="FL90" i="1"/>
  <c r="EZ91" i="1"/>
  <c r="FE91" i="1"/>
  <c r="FA91" i="1"/>
  <c r="FF91" i="1"/>
  <c r="FB91" i="1"/>
  <c r="FG91" i="1"/>
  <c r="FC91" i="1"/>
  <c r="FH91" i="1"/>
  <c r="FD91" i="1"/>
  <c r="FI91" i="1"/>
  <c r="FJ91" i="1"/>
  <c r="FK91" i="1"/>
  <c r="FL91" i="1"/>
  <c r="EZ92" i="1"/>
  <c r="FE92" i="1"/>
  <c r="FA92" i="1"/>
  <c r="FF92" i="1"/>
  <c r="FB92" i="1"/>
  <c r="FG92" i="1"/>
  <c r="FC92" i="1"/>
  <c r="FH92" i="1"/>
  <c r="FD92" i="1"/>
  <c r="FI92" i="1"/>
  <c r="FJ92" i="1"/>
  <c r="FK92" i="1"/>
  <c r="FL92" i="1"/>
  <c r="EZ93" i="1"/>
  <c r="FE93" i="1"/>
  <c r="FA93" i="1"/>
  <c r="FF93" i="1"/>
  <c r="FB93" i="1"/>
  <c r="FG93" i="1"/>
  <c r="FC93" i="1"/>
  <c r="FH93" i="1"/>
  <c r="FD93" i="1"/>
  <c r="FI93" i="1"/>
  <c r="FJ93" i="1"/>
  <c r="FK93" i="1"/>
  <c r="FL93" i="1"/>
  <c r="EZ94" i="1"/>
  <c r="FE94" i="1"/>
  <c r="FA94" i="1"/>
  <c r="FF94" i="1"/>
  <c r="FB94" i="1"/>
  <c r="FG94" i="1"/>
  <c r="FC94" i="1"/>
  <c r="FH94" i="1"/>
  <c r="FD94" i="1"/>
  <c r="FI94" i="1"/>
  <c r="FJ94" i="1"/>
  <c r="FK94" i="1"/>
  <c r="FL94" i="1"/>
  <c r="EZ95" i="1"/>
  <c r="FE95" i="1"/>
  <c r="FA95" i="1"/>
  <c r="FF95" i="1"/>
  <c r="FB95" i="1"/>
  <c r="FG95" i="1"/>
  <c r="FC95" i="1"/>
  <c r="FH95" i="1"/>
  <c r="FD95" i="1"/>
  <c r="FI95" i="1"/>
  <c r="FJ95" i="1"/>
  <c r="FK95" i="1"/>
  <c r="FL95" i="1"/>
  <c r="EZ96" i="1"/>
  <c r="FE96" i="1"/>
  <c r="FA96" i="1"/>
  <c r="FF96" i="1"/>
  <c r="FB96" i="1"/>
  <c r="FG96" i="1"/>
  <c r="FC96" i="1"/>
  <c r="FH96" i="1"/>
  <c r="FD96" i="1"/>
  <c r="FI96" i="1"/>
  <c r="FJ96" i="1"/>
  <c r="FK96" i="1"/>
  <c r="FL96" i="1"/>
  <c r="EZ97" i="1"/>
  <c r="FE97" i="1"/>
  <c r="FA97" i="1"/>
  <c r="FF97" i="1"/>
  <c r="FB97" i="1"/>
  <c r="FG97" i="1"/>
  <c r="FC97" i="1"/>
  <c r="FH97" i="1"/>
  <c r="FD97" i="1"/>
  <c r="FI97" i="1"/>
  <c r="FJ97" i="1"/>
  <c r="FK97" i="1"/>
  <c r="FL97" i="1"/>
  <c r="EZ98" i="1"/>
  <c r="FE98" i="1"/>
  <c r="FA98" i="1"/>
  <c r="FF98" i="1"/>
  <c r="FB98" i="1"/>
  <c r="FG98" i="1"/>
  <c r="FC98" i="1"/>
  <c r="FH98" i="1"/>
  <c r="FD98" i="1"/>
  <c r="FI98" i="1"/>
  <c r="FJ98" i="1"/>
  <c r="FK98" i="1"/>
  <c r="FL98" i="1"/>
  <c r="EZ99" i="1"/>
  <c r="FE99" i="1"/>
  <c r="FA99" i="1"/>
  <c r="FF99" i="1"/>
  <c r="FB99" i="1"/>
  <c r="FG99" i="1"/>
  <c r="FC99" i="1"/>
  <c r="FH99" i="1"/>
  <c r="FD99" i="1"/>
  <c r="FI99" i="1"/>
  <c r="FJ99" i="1"/>
  <c r="FK99" i="1"/>
  <c r="FL99" i="1"/>
  <c r="EZ100" i="1"/>
  <c r="FE100" i="1"/>
  <c r="FA100" i="1"/>
  <c r="FF100" i="1"/>
  <c r="FB100" i="1"/>
  <c r="FG100" i="1"/>
  <c r="FC100" i="1"/>
  <c r="FH100" i="1"/>
  <c r="FD100" i="1"/>
  <c r="FI100" i="1"/>
  <c r="FJ100" i="1"/>
  <c r="FK100" i="1"/>
  <c r="FL100" i="1"/>
  <c r="EZ101" i="1"/>
  <c r="FE101" i="1"/>
  <c r="FA101" i="1"/>
  <c r="FF101" i="1"/>
  <c r="FB101" i="1"/>
  <c r="FG101" i="1"/>
  <c r="FC101" i="1"/>
  <c r="FH101" i="1"/>
  <c r="FD101" i="1"/>
  <c r="FI101" i="1"/>
  <c r="FJ101" i="1"/>
  <c r="FK101" i="1"/>
  <c r="FL101" i="1"/>
  <c r="EZ102" i="1"/>
  <c r="FE102" i="1"/>
  <c r="FA102" i="1"/>
  <c r="FF102" i="1"/>
  <c r="FB102" i="1"/>
  <c r="FG102" i="1"/>
  <c r="FC102" i="1"/>
  <c r="FH102" i="1"/>
  <c r="FD102" i="1"/>
  <c r="FI102" i="1"/>
  <c r="FJ102" i="1"/>
  <c r="FK102" i="1"/>
  <c r="FL102" i="1"/>
  <c r="EZ103" i="1"/>
  <c r="FE103" i="1"/>
  <c r="FA103" i="1"/>
  <c r="FF103" i="1"/>
  <c r="FB103" i="1"/>
  <c r="FG103" i="1"/>
  <c r="FC103" i="1"/>
  <c r="FH103" i="1"/>
  <c r="FD103" i="1"/>
  <c r="FI103" i="1"/>
  <c r="FJ103" i="1"/>
  <c r="FK103" i="1"/>
  <c r="FL103" i="1"/>
  <c r="EZ104" i="1"/>
  <c r="FE104" i="1"/>
  <c r="FA104" i="1"/>
  <c r="FF104" i="1"/>
  <c r="FB104" i="1"/>
  <c r="FG104" i="1"/>
  <c r="FC104" i="1"/>
  <c r="FH104" i="1"/>
  <c r="FD104" i="1"/>
  <c r="FI104" i="1"/>
  <c r="FJ104" i="1"/>
  <c r="FK104" i="1"/>
  <c r="FL104" i="1"/>
  <c r="EZ105" i="1"/>
  <c r="FE105" i="1"/>
  <c r="FA105" i="1"/>
  <c r="FF105" i="1"/>
  <c r="FB105" i="1"/>
  <c r="FG105" i="1"/>
  <c r="FC105" i="1"/>
  <c r="FH105" i="1"/>
  <c r="FD105" i="1"/>
  <c r="FI105" i="1"/>
  <c r="FJ105" i="1"/>
  <c r="FK105" i="1"/>
  <c r="FL105" i="1"/>
  <c r="EZ106" i="1"/>
  <c r="FE106" i="1"/>
  <c r="FA106" i="1"/>
  <c r="FF106" i="1"/>
  <c r="FB106" i="1"/>
  <c r="FG106" i="1"/>
  <c r="FC106" i="1"/>
  <c r="FH106" i="1"/>
  <c r="FD106" i="1"/>
  <c r="FI106" i="1"/>
  <c r="FJ106" i="1"/>
  <c r="FK106" i="1"/>
  <c r="FL106" i="1"/>
  <c r="EZ107" i="1"/>
  <c r="FE107" i="1"/>
  <c r="FA107" i="1"/>
  <c r="FF107" i="1"/>
  <c r="FB107" i="1"/>
  <c r="FG107" i="1"/>
  <c r="FC107" i="1"/>
  <c r="FH107" i="1"/>
  <c r="FD107" i="1"/>
  <c r="FI107" i="1"/>
  <c r="FJ107" i="1"/>
  <c r="FK107" i="1"/>
  <c r="FL107" i="1"/>
  <c r="EZ115" i="1"/>
  <c r="FE115" i="1"/>
  <c r="FA115" i="1"/>
  <c r="FF115" i="1"/>
  <c r="FB115" i="1"/>
  <c r="FG115" i="1"/>
  <c r="FC115" i="1"/>
  <c r="FH115" i="1"/>
  <c r="FD115" i="1"/>
  <c r="FI115" i="1"/>
  <c r="FJ115" i="1"/>
  <c r="FK115" i="1"/>
  <c r="FL115" i="1"/>
  <c r="EZ117" i="1"/>
  <c r="FE117" i="1"/>
  <c r="FA117" i="1"/>
  <c r="FF117" i="1"/>
  <c r="FB117" i="1"/>
  <c r="FG117" i="1"/>
  <c r="FC117" i="1"/>
  <c r="FH117" i="1"/>
  <c r="FD117" i="1"/>
  <c r="FI117" i="1"/>
  <c r="FJ117" i="1"/>
  <c r="FK117" i="1"/>
  <c r="FL117" i="1"/>
  <c r="EZ125" i="1"/>
  <c r="FE125" i="1"/>
  <c r="FA125" i="1"/>
  <c r="FF125" i="1"/>
  <c r="FB125" i="1"/>
  <c r="FG125" i="1"/>
  <c r="FC125" i="1"/>
  <c r="FH125" i="1"/>
  <c r="FD125" i="1"/>
  <c r="FI125" i="1"/>
  <c r="FJ125" i="1"/>
  <c r="FK125" i="1"/>
  <c r="FL125" i="1"/>
  <c r="EZ126" i="1"/>
  <c r="FE126" i="1"/>
  <c r="FA126" i="1"/>
  <c r="FF126" i="1"/>
  <c r="FB126" i="1"/>
  <c r="FG126" i="1"/>
  <c r="FC126" i="1"/>
  <c r="FH126" i="1"/>
  <c r="FD126" i="1"/>
  <c r="FI126" i="1"/>
  <c r="FJ126" i="1"/>
  <c r="FK126" i="1"/>
  <c r="FL126" i="1"/>
  <c r="EZ130" i="1"/>
  <c r="FE130" i="1"/>
  <c r="FA130" i="1"/>
  <c r="FF130" i="1"/>
  <c r="FB130" i="1"/>
  <c r="FG130" i="1"/>
  <c r="FC130" i="1"/>
  <c r="FH130" i="1"/>
  <c r="FD130" i="1"/>
  <c r="FI130" i="1"/>
  <c r="FJ130" i="1"/>
  <c r="FK130" i="1"/>
  <c r="FL130" i="1"/>
  <c r="EZ131" i="1"/>
  <c r="FE131" i="1"/>
  <c r="FA131" i="1"/>
  <c r="FF131" i="1"/>
  <c r="FB131" i="1"/>
  <c r="FG131" i="1"/>
  <c r="FC131" i="1"/>
  <c r="FH131" i="1"/>
  <c r="FD131" i="1"/>
  <c r="FI131" i="1"/>
  <c r="FJ131" i="1"/>
  <c r="FK131" i="1"/>
  <c r="FL131" i="1"/>
  <c r="EZ132" i="1"/>
  <c r="FE132" i="1"/>
  <c r="FA132" i="1"/>
  <c r="FF132" i="1"/>
  <c r="FB132" i="1"/>
  <c r="FG132" i="1"/>
  <c r="FC132" i="1"/>
  <c r="FH132" i="1"/>
  <c r="FD132" i="1"/>
  <c r="FI132" i="1"/>
  <c r="FJ132" i="1"/>
  <c r="FK132" i="1"/>
  <c r="FL132" i="1"/>
  <c r="EZ133" i="1"/>
  <c r="FE133" i="1"/>
  <c r="FA133" i="1"/>
  <c r="FF133" i="1"/>
  <c r="FB133" i="1"/>
  <c r="FG133" i="1"/>
  <c r="FC133" i="1"/>
  <c r="FH133" i="1"/>
  <c r="FD133" i="1"/>
  <c r="FI133" i="1"/>
  <c r="FJ133" i="1"/>
  <c r="FK133" i="1"/>
  <c r="FL133" i="1"/>
  <c r="EZ134" i="1"/>
  <c r="FE134" i="1"/>
  <c r="FA134" i="1"/>
  <c r="FF134" i="1"/>
  <c r="FB134" i="1"/>
  <c r="FG134" i="1"/>
  <c r="FC134" i="1"/>
  <c r="FH134" i="1"/>
  <c r="FD134" i="1"/>
  <c r="FI134" i="1"/>
  <c r="FJ134" i="1"/>
  <c r="FK134" i="1"/>
  <c r="FL134" i="1"/>
  <c r="EZ135" i="1"/>
  <c r="FE135" i="1"/>
  <c r="FA135" i="1"/>
  <c r="FF135" i="1"/>
  <c r="FB135" i="1"/>
  <c r="FG135" i="1"/>
  <c r="FC135" i="1"/>
  <c r="FH135" i="1"/>
  <c r="FD135" i="1"/>
  <c r="FI135" i="1"/>
  <c r="FJ135" i="1"/>
  <c r="FK135" i="1"/>
  <c r="FL135" i="1"/>
  <c r="EZ136" i="1"/>
  <c r="FE136" i="1"/>
  <c r="FA136" i="1"/>
  <c r="FF136" i="1"/>
  <c r="FB136" i="1"/>
  <c r="FG136" i="1"/>
  <c r="FC136" i="1"/>
  <c r="FH136" i="1"/>
  <c r="FD136" i="1"/>
  <c r="FI136" i="1"/>
  <c r="FJ136" i="1"/>
  <c r="FK136" i="1"/>
  <c r="FL136" i="1"/>
  <c r="EZ137" i="1"/>
  <c r="FE137" i="1"/>
  <c r="FA137" i="1"/>
  <c r="FF137" i="1"/>
  <c r="FB137" i="1"/>
  <c r="FG137" i="1"/>
  <c r="FC137" i="1"/>
  <c r="FH137" i="1"/>
  <c r="FD137" i="1"/>
  <c r="FI137" i="1"/>
  <c r="FJ137" i="1"/>
  <c r="FK137" i="1"/>
  <c r="FL137" i="1"/>
  <c r="EZ138" i="1"/>
  <c r="FE138" i="1"/>
  <c r="FA138" i="1"/>
  <c r="FF138" i="1"/>
  <c r="FB138" i="1"/>
  <c r="FG138" i="1"/>
  <c r="FC138" i="1"/>
  <c r="FH138" i="1"/>
  <c r="FD138" i="1"/>
  <c r="FI138" i="1"/>
  <c r="FJ138" i="1"/>
  <c r="FK138" i="1"/>
  <c r="FL138" i="1"/>
  <c r="EZ139" i="1"/>
  <c r="FE139" i="1"/>
  <c r="FA139" i="1"/>
  <c r="FF139" i="1"/>
  <c r="FB139" i="1"/>
  <c r="FG139" i="1"/>
  <c r="FC139" i="1"/>
  <c r="FH139" i="1"/>
  <c r="FD139" i="1"/>
  <c r="FI139" i="1"/>
  <c r="FJ139" i="1"/>
  <c r="FK139" i="1"/>
  <c r="FL139" i="1"/>
  <c r="EZ140" i="1"/>
  <c r="FE140" i="1"/>
  <c r="FA140" i="1"/>
  <c r="FF140" i="1"/>
  <c r="FB140" i="1"/>
  <c r="FG140" i="1"/>
  <c r="FC140" i="1"/>
  <c r="FH140" i="1"/>
  <c r="FD140" i="1"/>
  <c r="FI140" i="1"/>
  <c r="FJ140" i="1"/>
  <c r="FK140" i="1"/>
  <c r="FL140" i="1"/>
  <c r="EZ141" i="1"/>
  <c r="FE141" i="1"/>
  <c r="FA141" i="1"/>
  <c r="FF141" i="1"/>
  <c r="FB141" i="1"/>
  <c r="FG141" i="1"/>
  <c r="FC141" i="1"/>
  <c r="FH141" i="1"/>
  <c r="FD141" i="1"/>
  <c r="FI141" i="1"/>
  <c r="FJ141" i="1"/>
  <c r="FK141" i="1"/>
  <c r="FL141" i="1"/>
  <c r="EZ142" i="1"/>
  <c r="FE142" i="1"/>
  <c r="FA142" i="1"/>
  <c r="FF142" i="1"/>
  <c r="FB142" i="1"/>
  <c r="FG142" i="1"/>
  <c r="FC142" i="1"/>
  <c r="FH142" i="1"/>
  <c r="FD142" i="1"/>
  <c r="FI142" i="1"/>
  <c r="FJ142" i="1"/>
  <c r="FK142" i="1"/>
  <c r="FL142" i="1"/>
  <c r="EZ143" i="1"/>
  <c r="FE143" i="1"/>
  <c r="FA143" i="1"/>
  <c r="FF143" i="1"/>
  <c r="FB143" i="1"/>
  <c r="FG143" i="1"/>
  <c r="FC143" i="1"/>
  <c r="FH143" i="1"/>
  <c r="FD143" i="1"/>
  <c r="FI143" i="1"/>
  <c r="FJ143" i="1"/>
  <c r="FK143" i="1"/>
  <c r="FL143" i="1"/>
  <c r="EZ144" i="1"/>
  <c r="FE144" i="1"/>
  <c r="FA144" i="1"/>
  <c r="FF144" i="1"/>
  <c r="FB144" i="1"/>
  <c r="FG144" i="1"/>
  <c r="FC144" i="1"/>
  <c r="FH144" i="1"/>
  <c r="FD144" i="1"/>
  <c r="FI144" i="1"/>
  <c r="FJ144" i="1"/>
  <c r="FK144" i="1"/>
  <c r="FL144" i="1"/>
  <c r="EZ145" i="1"/>
  <c r="FE145" i="1"/>
  <c r="FA145" i="1"/>
  <c r="FF145" i="1"/>
  <c r="FB145" i="1"/>
  <c r="FG145" i="1"/>
  <c r="FC145" i="1"/>
  <c r="FH145" i="1"/>
  <c r="FD145" i="1"/>
  <c r="FI145" i="1"/>
  <c r="FJ145" i="1"/>
  <c r="FK145" i="1"/>
  <c r="FL145" i="1"/>
  <c r="EZ146" i="1"/>
  <c r="FE146" i="1"/>
  <c r="FA146" i="1"/>
  <c r="FF146" i="1"/>
  <c r="FB146" i="1"/>
  <c r="FG146" i="1"/>
  <c r="FC146" i="1"/>
  <c r="FH146" i="1"/>
  <c r="FD146" i="1"/>
  <c r="FI146" i="1"/>
  <c r="FJ146" i="1"/>
  <c r="FK146" i="1"/>
  <c r="FL146" i="1"/>
  <c r="EZ147" i="1"/>
  <c r="FE147" i="1"/>
  <c r="FA147" i="1"/>
  <c r="FF147" i="1"/>
  <c r="FB147" i="1"/>
  <c r="FG147" i="1"/>
  <c r="FC147" i="1"/>
  <c r="FH147" i="1"/>
  <c r="FD147" i="1"/>
  <c r="FI147" i="1"/>
  <c r="FJ147" i="1"/>
  <c r="FK147" i="1"/>
  <c r="FL147" i="1"/>
  <c r="EZ148" i="1"/>
  <c r="FE148" i="1"/>
  <c r="FA148" i="1"/>
  <c r="FF148" i="1"/>
  <c r="FB148" i="1"/>
  <c r="FG148" i="1"/>
  <c r="FC148" i="1"/>
  <c r="FH148" i="1"/>
  <c r="FD148" i="1"/>
  <c r="FI148" i="1"/>
  <c r="FJ148" i="1"/>
  <c r="FK148" i="1"/>
  <c r="FL148" i="1"/>
  <c r="EZ149" i="1"/>
  <c r="FE149" i="1"/>
  <c r="FA149" i="1"/>
  <c r="FF149" i="1"/>
  <c r="FB149" i="1"/>
  <c r="FG149" i="1"/>
  <c r="FC149" i="1"/>
  <c r="FH149" i="1"/>
  <c r="FD149" i="1"/>
  <c r="FI149" i="1"/>
  <c r="FJ149" i="1"/>
  <c r="FK149" i="1"/>
  <c r="FL149" i="1"/>
  <c r="EZ150" i="1"/>
  <c r="FE150" i="1"/>
  <c r="FA150" i="1"/>
  <c r="FF150" i="1"/>
  <c r="FB150" i="1"/>
  <c r="FG150" i="1"/>
  <c r="FC150" i="1"/>
  <c r="FH150" i="1"/>
  <c r="FD150" i="1"/>
  <c r="FI150" i="1"/>
  <c r="FJ150" i="1"/>
  <c r="FK150" i="1"/>
  <c r="FL150" i="1"/>
  <c r="EZ151" i="1"/>
  <c r="FE151" i="1"/>
  <c r="FA151" i="1"/>
  <c r="FF151" i="1"/>
  <c r="FB151" i="1"/>
  <c r="FG151" i="1"/>
  <c r="FC151" i="1"/>
  <c r="FH151" i="1"/>
  <c r="FD151" i="1"/>
  <c r="FI151" i="1"/>
  <c r="FJ151" i="1"/>
  <c r="FK151" i="1"/>
  <c r="FL151" i="1"/>
  <c r="EZ152" i="1"/>
  <c r="FE152" i="1"/>
  <c r="FA152" i="1"/>
  <c r="FF152" i="1"/>
  <c r="FB152" i="1"/>
  <c r="FG152" i="1"/>
  <c r="FC152" i="1"/>
  <c r="FH152" i="1"/>
  <c r="FD152" i="1"/>
  <c r="FI152" i="1"/>
  <c r="FJ152" i="1"/>
  <c r="FK152" i="1"/>
  <c r="FL152" i="1"/>
  <c r="EZ153" i="1"/>
  <c r="FE153" i="1"/>
  <c r="FA153" i="1"/>
  <c r="FF153" i="1"/>
  <c r="FB153" i="1"/>
  <c r="FG153" i="1"/>
  <c r="FC153" i="1"/>
  <c r="FH153" i="1"/>
  <c r="FD153" i="1"/>
  <c r="FI153" i="1"/>
  <c r="FJ153" i="1"/>
  <c r="FK153" i="1"/>
  <c r="FL153" i="1"/>
  <c r="EZ154" i="1"/>
  <c r="FE154" i="1"/>
  <c r="FA154" i="1"/>
  <c r="FF154" i="1"/>
  <c r="FB154" i="1"/>
  <c r="FG154" i="1"/>
  <c r="FC154" i="1"/>
  <c r="FH154" i="1"/>
  <c r="FD154" i="1"/>
  <c r="FI154" i="1"/>
  <c r="FJ154" i="1"/>
  <c r="FK154" i="1"/>
  <c r="FL154" i="1"/>
  <c r="EZ155" i="1"/>
  <c r="FE155" i="1"/>
  <c r="FA155" i="1"/>
  <c r="FF155" i="1"/>
  <c r="FB155" i="1"/>
  <c r="FG155" i="1"/>
  <c r="FC155" i="1"/>
  <c r="FH155" i="1"/>
  <c r="FD155" i="1"/>
  <c r="FI155" i="1"/>
  <c r="FJ155" i="1"/>
  <c r="FK155" i="1"/>
  <c r="FL155" i="1"/>
  <c r="EZ156" i="1"/>
  <c r="FE156" i="1"/>
  <c r="FA156" i="1"/>
  <c r="FF156" i="1"/>
  <c r="FB156" i="1"/>
  <c r="FG156" i="1"/>
  <c r="FC156" i="1"/>
  <c r="FH156" i="1"/>
  <c r="FD156" i="1"/>
  <c r="FI156" i="1"/>
  <c r="FJ156" i="1"/>
  <c r="FK156" i="1"/>
  <c r="FL156" i="1"/>
  <c r="EZ157" i="1"/>
  <c r="FE157" i="1"/>
  <c r="FA157" i="1"/>
  <c r="FF157" i="1"/>
  <c r="FB157" i="1"/>
  <c r="FG157" i="1"/>
  <c r="FC157" i="1"/>
  <c r="FH157" i="1"/>
  <c r="FD157" i="1"/>
  <c r="FI157" i="1"/>
  <c r="FJ157" i="1"/>
  <c r="FK157" i="1"/>
  <c r="FL157" i="1"/>
  <c r="EZ158" i="1"/>
  <c r="FE158" i="1"/>
  <c r="FA158" i="1"/>
  <c r="FF158" i="1"/>
  <c r="FB158" i="1"/>
  <c r="FG158" i="1"/>
  <c r="FC158" i="1"/>
  <c r="FH158" i="1"/>
  <c r="FD158" i="1"/>
  <c r="FI158" i="1"/>
  <c r="FJ158" i="1"/>
  <c r="FK158" i="1"/>
  <c r="FL158" i="1"/>
  <c r="EZ159" i="1"/>
  <c r="FE159" i="1"/>
  <c r="FA159" i="1"/>
  <c r="FF159" i="1"/>
  <c r="FB159" i="1"/>
  <c r="FG159" i="1"/>
  <c r="FC159" i="1"/>
  <c r="FH159" i="1"/>
  <c r="FD159" i="1"/>
  <c r="FI159" i="1"/>
  <c r="FJ159" i="1"/>
  <c r="FK159" i="1"/>
  <c r="FL159" i="1"/>
  <c r="EZ160" i="1"/>
  <c r="FE160" i="1"/>
  <c r="FA160" i="1"/>
  <c r="FF160" i="1"/>
  <c r="FB160" i="1"/>
  <c r="FG160" i="1"/>
  <c r="FC160" i="1"/>
  <c r="FH160" i="1"/>
  <c r="FD160" i="1"/>
  <c r="FI160" i="1"/>
  <c r="FJ160" i="1"/>
  <c r="FK160" i="1"/>
  <c r="FL160" i="1"/>
  <c r="EZ161" i="1"/>
  <c r="FE161" i="1"/>
  <c r="FA161" i="1"/>
  <c r="FF161" i="1"/>
  <c r="FB161" i="1"/>
  <c r="FG161" i="1"/>
  <c r="FC161" i="1"/>
  <c r="FH161" i="1"/>
  <c r="FD161" i="1"/>
  <c r="FI161" i="1"/>
  <c r="FJ161" i="1"/>
  <c r="FK161" i="1"/>
  <c r="FL161" i="1"/>
  <c r="EZ162" i="1"/>
  <c r="FE162" i="1"/>
  <c r="FA162" i="1"/>
  <c r="FF162" i="1"/>
  <c r="FB162" i="1"/>
  <c r="FG162" i="1"/>
  <c r="FC162" i="1"/>
  <c r="FH162" i="1"/>
  <c r="FD162" i="1"/>
  <c r="FI162" i="1"/>
  <c r="FJ162" i="1"/>
  <c r="FK162" i="1"/>
  <c r="FL162" i="1"/>
  <c r="EZ163" i="1"/>
  <c r="FE163" i="1"/>
  <c r="FA163" i="1"/>
  <c r="FF163" i="1"/>
  <c r="FB163" i="1"/>
  <c r="FG163" i="1"/>
  <c r="FC163" i="1"/>
  <c r="FH163" i="1"/>
  <c r="FD163" i="1"/>
  <c r="FI163" i="1"/>
  <c r="FJ163" i="1"/>
  <c r="FK163" i="1"/>
  <c r="FL163" i="1"/>
  <c r="EZ164" i="1"/>
  <c r="FE164" i="1"/>
  <c r="FA164" i="1"/>
  <c r="FF164" i="1"/>
  <c r="FB164" i="1"/>
  <c r="FG164" i="1"/>
  <c r="FC164" i="1"/>
  <c r="FH164" i="1"/>
  <c r="FD164" i="1"/>
  <c r="FI164" i="1"/>
  <c r="FJ164" i="1"/>
  <c r="FK164" i="1"/>
  <c r="FL164" i="1"/>
  <c r="EZ165" i="1"/>
  <c r="FE165" i="1"/>
  <c r="FA165" i="1"/>
  <c r="FF165" i="1"/>
  <c r="FB165" i="1"/>
  <c r="FG165" i="1"/>
  <c r="FC165" i="1"/>
  <c r="FH165" i="1"/>
  <c r="FD165" i="1"/>
  <c r="FI165" i="1"/>
  <c r="FJ165" i="1"/>
  <c r="FK165" i="1"/>
  <c r="FL165" i="1"/>
  <c r="EZ166" i="1"/>
  <c r="FE166" i="1"/>
  <c r="FA166" i="1"/>
  <c r="FF166" i="1"/>
  <c r="FB166" i="1"/>
  <c r="FG166" i="1"/>
  <c r="FC166" i="1"/>
  <c r="FH166" i="1"/>
  <c r="FD166" i="1"/>
  <c r="FI166" i="1"/>
  <c r="FJ166" i="1"/>
  <c r="FK166" i="1"/>
  <c r="FL166" i="1"/>
  <c r="EZ167" i="1"/>
  <c r="FE167" i="1"/>
  <c r="FA167" i="1"/>
  <c r="FF167" i="1"/>
  <c r="FB167" i="1"/>
  <c r="FG167" i="1"/>
  <c r="FC167" i="1"/>
  <c r="FH167" i="1"/>
  <c r="FD167" i="1"/>
  <c r="FI167" i="1"/>
  <c r="FJ167" i="1"/>
  <c r="FK167" i="1"/>
  <c r="FL167" i="1"/>
  <c r="EZ168" i="1"/>
  <c r="FE168" i="1"/>
  <c r="FA168" i="1"/>
  <c r="FF168" i="1"/>
  <c r="FB168" i="1"/>
  <c r="FG168" i="1"/>
  <c r="FC168" i="1"/>
  <c r="FH168" i="1"/>
  <c r="FD168" i="1"/>
  <c r="FI168" i="1"/>
  <c r="FJ168" i="1"/>
  <c r="FK168" i="1"/>
  <c r="FL168" i="1"/>
  <c r="EZ169" i="1"/>
  <c r="FE169" i="1"/>
  <c r="FA169" i="1"/>
  <c r="FF169" i="1"/>
  <c r="FB169" i="1"/>
  <c r="FG169" i="1"/>
  <c r="FC169" i="1"/>
  <c r="FH169" i="1"/>
  <c r="FD169" i="1"/>
  <c r="FI169" i="1"/>
  <c r="FJ169" i="1"/>
  <c r="FK169" i="1"/>
  <c r="FL169" i="1"/>
  <c r="EZ170" i="1"/>
  <c r="FE170" i="1"/>
  <c r="FA170" i="1"/>
  <c r="FF170" i="1"/>
  <c r="FB170" i="1"/>
  <c r="FG170" i="1"/>
  <c r="FC170" i="1"/>
  <c r="FH170" i="1"/>
  <c r="FD170" i="1"/>
  <c r="FI170" i="1"/>
  <c r="FJ170" i="1"/>
  <c r="FK170" i="1"/>
  <c r="FL170" i="1"/>
  <c r="EZ171" i="1"/>
  <c r="FE171" i="1"/>
  <c r="FA171" i="1"/>
  <c r="FF171" i="1"/>
  <c r="FB171" i="1"/>
  <c r="FG171" i="1"/>
  <c r="FC171" i="1"/>
  <c r="FH171" i="1"/>
  <c r="FD171" i="1"/>
  <c r="FI171" i="1"/>
  <c r="FJ171" i="1"/>
  <c r="FK171" i="1"/>
  <c r="FL171" i="1"/>
  <c r="EZ172" i="1"/>
  <c r="FE172" i="1"/>
  <c r="FA172" i="1"/>
  <c r="FF172" i="1"/>
  <c r="FB172" i="1"/>
  <c r="FG172" i="1"/>
  <c r="FC172" i="1"/>
  <c r="FH172" i="1"/>
  <c r="FD172" i="1"/>
  <c r="FI172" i="1"/>
  <c r="FJ172" i="1"/>
  <c r="FK172" i="1"/>
  <c r="FL172" i="1"/>
  <c r="EZ173" i="1"/>
  <c r="FE173" i="1"/>
  <c r="FA173" i="1"/>
  <c r="FF173" i="1"/>
  <c r="FB173" i="1"/>
  <c r="FG173" i="1"/>
  <c r="FC173" i="1"/>
  <c r="FH173" i="1"/>
  <c r="FD173" i="1"/>
  <c r="FI173" i="1"/>
  <c r="FJ173" i="1"/>
  <c r="FK173" i="1"/>
  <c r="FL173" i="1"/>
  <c r="EZ174" i="1"/>
  <c r="FE174" i="1"/>
  <c r="FA174" i="1"/>
  <c r="FF174" i="1"/>
  <c r="FB174" i="1"/>
  <c r="FG174" i="1"/>
  <c r="FC174" i="1"/>
  <c r="FH174" i="1"/>
  <c r="FD174" i="1"/>
  <c r="FI174" i="1"/>
  <c r="FJ174" i="1"/>
  <c r="FK174" i="1"/>
  <c r="FL174" i="1"/>
  <c r="EZ175" i="1"/>
  <c r="FE175" i="1"/>
  <c r="FA175" i="1"/>
  <c r="FF175" i="1"/>
  <c r="FB175" i="1"/>
  <c r="FG175" i="1"/>
  <c r="FC175" i="1"/>
  <c r="FH175" i="1"/>
  <c r="FD175" i="1"/>
  <c r="FI175" i="1"/>
  <c r="FJ175" i="1"/>
  <c r="FK175" i="1"/>
  <c r="FL175" i="1"/>
  <c r="EZ176" i="1"/>
  <c r="FE176" i="1"/>
  <c r="FA176" i="1"/>
  <c r="FF176" i="1"/>
  <c r="FB176" i="1"/>
  <c r="FG176" i="1"/>
  <c r="FC176" i="1"/>
  <c r="FH176" i="1"/>
  <c r="FD176" i="1"/>
  <c r="FI176" i="1"/>
  <c r="FJ176" i="1"/>
  <c r="FK176" i="1"/>
  <c r="FL176" i="1"/>
  <c r="EZ177" i="1"/>
  <c r="FE177" i="1"/>
  <c r="FA177" i="1"/>
  <c r="FF177" i="1"/>
  <c r="FB177" i="1"/>
  <c r="FG177" i="1"/>
  <c r="FC177" i="1"/>
  <c r="FH177" i="1"/>
  <c r="FD177" i="1"/>
  <c r="FI177" i="1"/>
  <c r="FJ177" i="1"/>
  <c r="FK177" i="1"/>
  <c r="FL177" i="1"/>
  <c r="EZ178" i="1"/>
  <c r="FE178" i="1"/>
  <c r="FA178" i="1"/>
  <c r="FF178" i="1"/>
  <c r="FB178" i="1"/>
  <c r="FG178" i="1"/>
  <c r="FC178" i="1"/>
  <c r="FH178" i="1"/>
  <c r="FD178" i="1"/>
  <c r="FI178" i="1"/>
  <c r="FJ178" i="1"/>
  <c r="FK178" i="1"/>
  <c r="FL178" i="1"/>
  <c r="EZ179" i="1"/>
  <c r="FE179" i="1"/>
  <c r="FA179" i="1"/>
  <c r="FF179" i="1"/>
  <c r="FB179" i="1"/>
  <c r="FG179" i="1"/>
  <c r="FC179" i="1"/>
  <c r="FH179" i="1"/>
  <c r="FD179" i="1"/>
  <c r="FI179" i="1"/>
  <c r="FJ179" i="1"/>
  <c r="FK179" i="1"/>
  <c r="FL179" i="1"/>
  <c r="EZ180" i="1"/>
  <c r="FE180" i="1"/>
  <c r="FA180" i="1"/>
  <c r="FF180" i="1"/>
  <c r="FB180" i="1"/>
  <c r="FG180" i="1"/>
  <c r="FC180" i="1"/>
  <c r="FH180" i="1"/>
  <c r="FD180" i="1"/>
  <c r="FI180" i="1"/>
  <c r="FJ180" i="1"/>
  <c r="FK180" i="1"/>
  <c r="FL180" i="1"/>
  <c r="EZ181" i="1"/>
  <c r="FE181" i="1"/>
  <c r="FA181" i="1"/>
  <c r="FF181" i="1"/>
  <c r="FB181" i="1"/>
  <c r="FG181" i="1"/>
  <c r="FC181" i="1"/>
  <c r="FH181" i="1"/>
  <c r="FD181" i="1"/>
  <c r="FI181" i="1"/>
  <c r="FJ181" i="1"/>
  <c r="FK181" i="1"/>
  <c r="FL181" i="1"/>
  <c r="EZ182" i="1"/>
  <c r="FE182" i="1"/>
  <c r="FA182" i="1"/>
  <c r="FF182" i="1"/>
  <c r="FB182" i="1"/>
  <c r="FG182" i="1"/>
  <c r="FC182" i="1"/>
  <c r="FH182" i="1"/>
  <c r="FD182" i="1"/>
  <c r="FI182" i="1"/>
  <c r="FJ182" i="1"/>
  <c r="FK182" i="1"/>
  <c r="FL182" i="1"/>
  <c r="EZ183" i="1"/>
  <c r="FE183" i="1"/>
  <c r="FA183" i="1"/>
  <c r="FF183" i="1"/>
  <c r="FB183" i="1"/>
  <c r="FG183" i="1"/>
  <c r="FC183" i="1"/>
  <c r="FH183" i="1"/>
  <c r="FD183" i="1"/>
  <c r="FI183" i="1"/>
  <c r="FJ183" i="1"/>
  <c r="FK183" i="1"/>
  <c r="FL183" i="1"/>
  <c r="EZ184" i="1"/>
  <c r="FE184" i="1"/>
  <c r="FA184" i="1"/>
  <c r="FF184" i="1"/>
  <c r="FB184" i="1"/>
  <c r="FG184" i="1"/>
  <c r="FC184" i="1"/>
  <c r="FH184" i="1"/>
  <c r="FD184" i="1"/>
  <c r="FI184" i="1"/>
  <c r="FJ184" i="1"/>
  <c r="FK184" i="1"/>
  <c r="FL184" i="1"/>
  <c r="EZ185" i="1"/>
  <c r="FE185" i="1"/>
  <c r="FA185" i="1"/>
  <c r="FF185" i="1"/>
  <c r="FB185" i="1"/>
  <c r="FG185" i="1"/>
  <c r="FC185" i="1"/>
  <c r="FH185" i="1"/>
  <c r="FD185" i="1"/>
  <c r="FI185" i="1"/>
  <c r="FJ185" i="1"/>
  <c r="FK185" i="1"/>
  <c r="FL185" i="1"/>
  <c r="EZ186" i="1"/>
  <c r="FE186" i="1"/>
  <c r="FA186" i="1"/>
  <c r="FF186" i="1"/>
  <c r="FB186" i="1"/>
  <c r="FG186" i="1"/>
  <c r="FC186" i="1"/>
  <c r="FH186" i="1"/>
  <c r="FD186" i="1"/>
  <c r="FI186" i="1"/>
  <c r="FJ186" i="1"/>
  <c r="FK186" i="1"/>
  <c r="FL186" i="1"/>
  <c r="EZ187" i="1"/>
  <c r="FE187" i="1"/>
  <c r="FA187" i="1"/>
  <c r="FF187" i="1"/>
  <c r="FB187" i="1"/>
  <c r="FG187" i="1"/>
  <c r="FC187" i="1"/>
  <c r="FH187" i="1"/>
  <c r="FD187" i="1"/>
  <c r="FI187" i="1"/>
  <c r="FJ187" i="1"/>
  <c r="FK187" i="1"/>
  <c r="FL187" i="1"/>
  <c r="EZ188" i="1"/>
  <c r="FE188" i="1"/>
  <c r="FA188" i="1"/>
  <c r="FF188" i="1"/>
  <c r="FB188" i="1"/>
  <c r="FG188" i="1"/>
  <c r="FC188" i="1"/>
  <c r="FH188" i="1"/>
  <c r="FD188" i="1"/>
  <c r="FI188" i="1"/>
  <c r="FJ188" i="1"/>
  <c r="FK188" i="1"/>
  <c r="FL188" i="1"/>
  <c r="EZ189" i="1"/>
  <c r="FE189" i="1"/>
  <c r="FA189" i="1"/>
  <c r="FF189" i="1"/>
  <c r="FB189" i="1"/>
  <c r="FG189" i="1"/>
  <c r="FC189" i="1"/>
  <c r="FH189" i="1"/>
  <c r="FD189" i="1"/>
  <c r="FI189" i="1"/>
  <c r="FJ189" i="1"/>
  <c r="FK189" i="1"/>
  <c r="FL189" i="1"/>
  <c r="EZ190" i="1"/>
  <c r="FE190" i="1"/>
  <c r="FA190" i="1"/>
  <c r="FF190" i="1"/>
  <c r="FB190" i="1"/>
  <c r="FG190" i="1"/>
  <c r="FC190" i="1"/>
  <c r="FH190" i="1"/>
  <c r="FD190" i="1"/>
  <c r="FI190" i="1"/>
  <c r="FJ190" i="1"/>
  <c r="FK190" i="1"/>
  <c r="FL190" i="1"/>
  <c r="EZ191" i="1"/>
  <c r="FE191" i="1"/>
  <c r="FA191" i="1"/>
  <c r="FF191" i="1"/>
  <c r="FB191" i="1"/>
  <c r="FG191" i="1"/>
  <c r="FC191" i="1"/>
  <c r="FH191" i="1"/>
  <c r="FD191" i="1"/>
  <c r="FI191" i="1"/>
  <c r="FJ191" i="1"/>
  <c r="FK191" i="1"/>
  <c r="FL191" i="1"/>
  <c r="EZ192" i="1"/>
  <c r="FE192" i="1"/>
  <c r="FA192" i="1"/>
  <c r="FF192" i="1"/>
  <c r="FB192" i="1"/>
  <c r="FG192" i="1"/>
  <c r="FC192" i="1"/>
  <c r="FH192" i="1"/>
  <c r="FD192" i="1"/>
  <c r="FI192" i="1"/>
  <c r="FJ192" i="1"/>
  <c r="FK192" i="1"/>
  <c r="FL192" i="1"/>
  <c r="EZ193" i="1"/>
  <c r="FE193" i="1"/>
  <c r="FA193" i="1"/>
  <c r="FF193" i="1"/>
  <c r="FB193" i="1"/>
  <c r="FG193" i="1"/>
  <c r="FC193" i="1"/>
  <c r="FH193" i="1"/>
  <c r="FD193" i="1"/>
  <c r="FI193" i="1"/>
  <c r="FJ193" i="1"/>
  <c r="FK193" i="1"/>
  <c r="FL193" i="1"/>
  <c r="EZ194" i="1"/>
  <c r="FE194" i="1"/>
  <c r="FA194" i="1"/>
  <c r="FF194" i="1"/>
  <c r="FB194" i="1"/>
  <c r="FG194" i="1"/>
  <c r="FC194" i="1"/>
  <c r="FH194" i="1"/>
  <c r="FD194" i="1"/>
  <c r="FI194" i="1"/>
  <c r="FJ194" i="1"/>
  <c r="FK194" i="1"/>
  <c r="FL194" i="1"/>
  <c r="EZ195" i="1"/>
  <c r="FE195" i="1"/>
  <c r="FA195" i="1"/>
  <c r="FF195" i="1"/>
  <c r="FB195" i="1"/>
  <c r="FG195" i="1"/>
  <c r="FC195" i="1"/>
  <c r="FH195" i="1"/>
  <c r="FD195" i="1"/>
  <c r="FI195" i="1"/>
  <c r="FJ195" i="1"/>
  <c r="FK195" i="1"/>
  <c r="FL195" i="1"/>
  <c r="EZ196" i="1"/>
  <c r="FE196" i="1"/>
  <c r="FA196" i="1"/>
  <c r="FF196" i="1"/>
  <c r="FB196" i="1"/>
  <c r="FG196" i="1"/>
  <c r="FC196" i="1"/>
  <c r="FH196" i="1"/>
  <c r="FD196" i="1"/>
  <c r="FI196" i="1"/>
  <c r="FJ196" i="1"/>
  <c r="FK196" i="1"/>
  <c r="FL196" i="1"/>
  <c r="EZ197" i="1"/>
  <c r="FE197" i="1"/>
  <c r="FA197" i="1"/>
  <c r="FF197" i="1"/>
  <c r="FB197" i="1"/>
  <c r="FG197" i="1"/>
  <c r="FC197" i="1"/>
  <c r="FH197" i="1"/>
  <c r="FD197" i="1"/>
  <c r="FI197" i="1"/>
  <c r="FJ197" i="1"/>
  <c r="FK197" i="1"/>
  <c r="FL197" i="1"/>
  <c r="EZ198" i="1"/>
  <c r="FE198" i="1"/>
  <c r="FA198" i="1"/>
  <c r="FF198" i="1"/>
  <c r="FB198" i="1"/>
  <c r="FG198" i="1"/>
  <c r="FC198" i="1"/>
  <c r="FH198" i="1"/>
  <c r="FD198" i="1"/>
  <c r="FI198" i="1"/>
  <c r="FJ198" i="1"/>
  <c r="FK198" i="1"/>
  <c r="FL198" i="1"/>
  <c r="EZ199" i="1"/>
  <c r="FE199" i="1"/>
  <c r="FA199" i="1"/>
  <c r="FF199" i="1"/>
  <c r="FB199" i="1"/>
  <c r="FG199" i="1"/>
  <c r="FC199" i="1"/>
  <c r="FH199" i="1"/>
  <c r="FD199" i="1"/>
  <c r="FI199" i="1"/>
  <c r="FJ199" i="1"/>
  <c r="FK199" i="1"/>
  <c r="FL199" i="1"/>
  <c r="EZ200" i="1"/>
  <c r="FE200" i="1"/>
  <c r="FA200" i="1"/>
  <c r="FF200" i="1"/>
  <c r="FB200" i="1"/>
  <c r="FG200" i="1"/>
  <c r="FC200" i="1"/>
  <c r="FH200" i="1"/>
  <c r="FD200" i="1"/>
  <c r="FI200" i="1"/>
  <c r="FJ200" i="1"/>
  <c r="FK200" i="1"/>
  <c r="FL200" i="1"/>
  <c r="EZ201" i="1"/>
  <c r="FE201" i="1"/>
  <c r="FA201" i="1"/>
  <c r="FF201" i="1"/>
  <c r="FB201" i="1"/>
  <c r="FG201" i="1"/>
  <c r="FC201" i="1"/>
  <c r="FH201" i="1"/>
  <c r="FD201" i="1"/>
  <c r="FI201" i="1"/>
  <c r="FJ201" i="1"/>
  <c r="FK201" i="1"/>
  <c r="FL201" i="1"/>
  <c r="EZ202" i="1"/>
  <c r="FE202" i="1"/>
  <c r="FA202" i="1"/>
  <c r="FF202" i="1"/>
  <c r="FB202" i="1"/>
  <c r="FG202" i="1"/>
  <c r="FC202" i="1"/>
  <c r="FH202" i="1"/>
  <c r="FD202" i="1"/>
  <c r="FI202" i="1"/>
  <c r="FJ202" i="1"/>
  <c r="FK202" i="1"/>
  <c r="FL202" i="1"/>
  <c r="EZ203" i="1"/>
  <c r="FE203" i="1"/>
  <c r="FA203" i="1"/>
  <c r="FF203" i="1"/>
  <c r="FB203" i="1"/>
  <c r="FG203" i="1"/>
  <c r="FC203" i="1"/>
  <c r="FH203" i="1"/>
  <c r="FD203" i="1"/>
  <c r="FI203" i="1"/>
  <c r="FJ203" i="1"/>
  <c r="FK203" i="1"/>
  <c r="FL203" i="1"/>
  <c r="EZ204" i="1"/>
  <c r="FE204" i="1"/>
  <c r="FA204" i="1"/>
  <c r="FF204" i="1"/>
  <c r="FB204" i="1"/>
  <c r="FG204" i="1"/>
  <c r="FC204" i="1"/>
  <c r="FH204" i="1"/>
  <c r="FD204" i="1"/>
  <c r="FI204" i="1"/>
  <c r="FJ204" i="1"/>
  <c r="FK204" i="1"/>
  <c r="FL204" i="1"/>
  <c r="EZ205" i="1"/>
  <c r="FE205" i="1"/>
  <c r="FA205" i="1"/>
  <c r="FF205" i="1"/>
  <c r="FB205" i="1"/>
  <c r="FG205" i="1"/>
  <c r="FC205" i="1"/>
  <c r="FH205" i="1"/>
  <c r="FD205" i="1"/>
  <c r="FI205" i="1"/>
  <c r="FJ205" i="1"/>
  <c r="FK205" i="1"/>
  <c r="FL205" i="1"/>
  <c r="EZ206" i="1"/>
  <c r="FE206" i="1"/>
  <c r="FA206" i="1"/>
  <c r="FF206" i="1"/>
  <c r="FB206" i="1"/>
  <c r="FG206" i="1"/>
  <c r="FC206" i="1"/>
  <c r="FH206" i="1"/>
  <c r="FD206" i="1"/>
  <c r="FI206" i="1"/>
  <c r="FJ206" i="1"/>
  <c r="FK206" i="1"/>
  <c r="FL206" i="1"/>
  <c r="EZ207" i="1"/>
  <c r="FE207" i="1"/>
  <c r="FA207" i="1"/>
  <c r="FF207" i="1"/>
  <c r="FB207" i="1"/>
  <c r="FG207" i="1"/>
  <c r="FC207" i="1"/>
  <c r="FH207" i="1"/>
  <c r="FD207" i="1"/>
  <c r="FI207" i="1"/>
  <c r="FJ207" i="1"/>
  <c r="FK207" i="1"/>
  <c r="FL207" i="1"/>
  <c r="EZ208" i="1"/>
  <c r="FE208" i="1"/>
  <c r="FA208" i="1"/>
  <c r="FF208" i="1"/>
  <c r="FB208" i="1"/>
  <c r="FG208" i="1"/>
  <c r="FC208" i="1"/>
  <c r="FH208" i="1"/>
  <c r="FD208" i="1"/>
  <c r="FI208" i="1"/>
  <c r="FJ208" i="1"/>
  <c r="FK208" i="1"/>
  <c r="FL208" i="1"/>
  <c r="EZ209" i="1"/>
  <c r="FE209" i="1"/>
  <c r="FA209" i="1"/>
  <c r="FF209" i="1"/>
  <c r="FB209" i="1"/>
  <c r="FG209" i="1"/>
  <c r="FC209" i="1"/>
  <c r="FH209" i="1"/>
  <c r="FD209" i="1"/>
  <c r="FI209" i="1"/>
  <c r="FJ209" i="1"/>
  <c r="FK209" i="1"/>
  <c r="FL209" i="1"/>
  <c r="EZ210" i="1"/>
  <c r="FE210" i="1"/>
  <c r="FA210" i="1"/>
  <c r="FF210" i="1"/>
  <c r="FB210" i="1"/>
  <c r="FG210" i="1"/>
  <c r="FC210" i="1"/>
  <c r="FH210" i="1"/>
  <c r="FD210" i="1"/>
  <c r="FI210" i="1"/>
  <c r="FJ210" i="1"/>
  <c r="FK210" i="1"/>
  <c r="FL210" i="1"/>
  <c r="EZ211" i="1"/>
  <c r="FE211" i="1"/>
  <c r="FA211" i="1"/>
  <c r="FF211" i="1"/>
  <c r="FB211" i="1"/>
  <c r="FG211" i="1"/>
  <c r="FC211" i="1"/>
  <c r="FH211" i="1"/>
  <c r="FD211" i="1"/>
  <c r="FI211" i="1"/>
  <c r="FJ211" i="1"/>
  <c r="FK211" i="1"/>
  <c r="FL211" i="1"/>
  <c r="EZ212" i="1"/>
  <c r="FE212" i="1"/>
  <c r="FA212" i="1"/>
  <c r="FF212" i="1"/>
  <c r="FB212" i="1"/>
  <c r="FG212" i="1"/>
  <c r="FC212" i="1"/>
  <c r="FH212" i="1"/>
  <c r="FD212" i="1"/>
  <c r="FI212" i="1"/>
  <c r="FJ212" i="1"/>
  <c r="FK212" i="1"/>
  <c r="FL212" i="1"/>
  <c r="EZ213" i="1"/>
  <c r="FE213" i="1"/>
  <c r="FA213" i="1"/>
  <c r="FF213" i="1"/>
  <c r="FB213" i="1"/>
  <c r="FG213" i="1"/>
  <c r="FC213" i="1"/>
  <c r="FH213" i="1"/>
  <c r="FD213" i="1"/>
  <c r="FI213" i="1"/>
  <c r="FJ213" i="1"/>
  <c r="FK213" i="1"/>
  <c r="FL213" i="1"/>
  <c r="EZ214" i="1"/>
  <c r="FE214" i="1"/>
  <c r="FA214" i="1"/>
  <c r="FF214" i="1"/>
  <c r="FB214" i="1"/>
  <c r="FG214" i="1"/>
  <c r="FC214" i="1"/>
  <c r="FH214" i="1"/>
  <c r="FD214" i="1"/>
  <c r="FI214" i="1"/>
  <c r="FJ214" i="1"/>
  <c r="FK214" i="1"/>
  <c r="FL214" i="1"/>
  <c r="EZ215" i="1"/>
  <c r="FE215" i="1"/>
  <c r="FA215" i="1"/>
  <c r="FF215" i="1"/>
  <c r="FB215" i="1"/>
  <c r="FG215" i="1"/>
  <c r="FC215" i="1"/>
  <c r="FH215" i="1"/>
  <c r="FD215" i="1"/>
  <c r="FI215" i="1"/>
  <c r="FJ215" i="1"/>
  <c r="FK215" i="1"/>
  <c r="FL215" i="1"/>
  <c r="EZ216" i="1"/>
  <c r="FE216" i="1"/>
  <c r="FA216" i="1"/>
  <c r="FF216" i="1"/>
  <c r="FB216" i="1"/>
  <c r="FG216" i="1"/>
  <c r="FC216" i="1"/>
  <c r="FH216" i="1"/>
  <c r="FD216" i="1"/>
  <c r="FI216" i="1"/>
  <c r="FJ216" i="1"/>
  <c r="FK216" i="1"/>
  <c r="FL216" i="1"/>
  <c r="EZ217" i="1"/>
  <c r="FE217" i="1"/>
  <c r="FA217" i="1"/>
  <c r="FF217" i="1"/>
  <c r="FB217" i="1"/>
  <c r="FG217" i="1"/>
  <c r="FC217" i="1"/>
  <c r="FH217" i="1"/>
  <c r="FD217" i="1"/>
  <c r="FI217" i="1"/>
  <c r="FJ217" i="1"/>
  <c r="FK217" i="1"/>
  <c r="FL217" i="1"/>
  <c r="EZ218" i="1"/>
  <c r="FE218" i="1"/>
  <c r="FA218" i="1"/>
  <c r="FF218" i="1"/>
  <c r="FB218" i="1"/>
  <c r="FG218" i="1"/>
  <c r="FC218" i="1"/>
  <c r="FH218" i="1"/>
  <c r="FD218" i="1"/>
  <c r="FI218" i="1"/>
  <c r="FJ218" i="1"/>
  <c r="FK218" i="1"/>
  <c r="FL218" i="1"/>
  <c r="EZ219" i="1"/>
  <c r="FE219" i="1"/>
  <c r="FA219" i="1"/>
  <c r="FF219" i="1"/>
  <c r="FB219" i="1"/>
  <c r="FG219" i="1"/>
  <c r="FC219" i="1"/>
  <c r="FH219" i="1"/>
  <c r="FD219" i="1"/>
  <c r="FI219" i="1"/>
  <c r="FJ219" i="1"/>
  <c r="FK219" i="1"/>
  <c r="FL219" i="1"/>
  <c r="EZ220" i="1"/>
  <c r="FE220" i="1"/>
  <c r="FA220" i="1"/>
  <c r="FF220" i="1"/>
  <c r="FB220" i="1"/>
  <c r="FG220" i="1"/>
  <c r="FC220" i="1"/>
  <c r="FH220" i="1"/>
  <c r="FD220" i="1"/>
  <c r="FI220" i="1"/>
  <c r="FJ220" i="1"/>
  <c r="FK220" i="1"/>
  <c r="FL220" i="1"/>
  <c r="EZ221" i="1"/>
  <c r="FE221" i="1"/>
  <c r="FA221" i="1"/>
  <c r="FF221" i="1"/>
  <c r="FB221" i="1"/>
  <c r="FG221" i="1"/>
  <c r="FC221" i="1"/>
  <c r="FH221" i="1"/>
  <c r="FD221" i="1"/>
  <c r="FI221" i="1"/>
  <c r="FJ221" i="1"/>
  <c r="FK221" i="1"/>
  <c r="FL221" i="1"/>
  <c r="EZ222" i="1"/>
  <c r="FE222" i="1"/>
  <c r="FA222" i="1"/>
  <c r="FF222" i="1"/>
  <c r="FB222" i="1"/>
  <c r="FG222" i="1"/>
  <c r="FC222" i="1"/>
  <c r="FH222" i="1"/>
  <c r="FD222" i="1"/>
  <c r="FI222" i="1"/>
  <c r="FJ222" i="1"/>
  <c r="FK222" i="1"/>
  <c r="FL222" i="1"/>
  <c r="EZ223" i="1"/>
  <c r="FE223" i="1"/>
  <c r="FA223" i="1"/>
  <c r="FF223" i="1"/>
  <c r="FB223" i="1"/>
  <c r="FG223" i="1"/>
  <c r="FC223" i="1"/>
  <c r="FH223" i="1"/>
  <c r="FD223" i="1"/>
  <c r="FI223" i="1"/>
  <c r="FJ223" i="1"/>
  <c r="FK223" i="1"/>
  <c r="FL223" i="1"/>
  <c r="EZ224" i="1"/>
  <c r="FE224" i="1"/>
  <c r="FA224" i="1"/>
  <c r="FF224" i="1"/>
  <c r="FB224" i="1"/>
  <c r="FG224" i="1"/>
  <c r="FC224" i="1"/>
  <c r="FH224" i="1"/>
  <c r="FD224" i="1"/>
  <c r="FI224" i="1"/>
  <c r="FJ224" i="1"/>
  <c r="FK224" i="1"/>
  <c r="FL224" i="1"/>
  <c r="EZ225" i="1"/>
  <c r="FE225" i="1"/>
  <c r="FA225" i="1"/>
  <c r="FF225" i="1"/>
  <c r="FB225" i="1"/>
  <c r="FG225" i="1"/>
  <c r="FC225" i="1"/>
  <c r="FH225" i="1"/>
  <c r="FD225" i="1"/>
  <c r="FI225" i="1"/>
  <c r="FJ225" i="1"/>
  <c r="FK225" i="1"/>
  <c r="FL225" i="1"/>
  <c r="EZ226" i="1"/>
  <c r="FE226" i="1"/>
  <c r="FA226" i="1"/>
  <c r="FF226" i="1"/>
  <c r="FB226" i="1"/>
  <c r="FG226" i="1"/>
  <c r="FC226" i="1"/>
  <c r="FH226" i="1"/>
  <c r="FD226" i="1"/>
  <c r="FI226" i="1"/>
  <c r="FJ226" i="1"/>
  <c r="FK226" i="1"/>
  <c r="FL226" i="1"/>
  <c r="EZ227" i="1"/>
  <c r="FE227" i="1"/>
  <c r="FA227" i="1"/>
  <c r="FF227" i="1"/>
  <c r="FB227" i="1"/>
  <c r="FG227" i="1"/>
  <c r="FC227" i="1"/>
  <c r="FH227" i="1"/>
  <c r="FD227" i="1"/>
  <c r="FI227" i="1"/>
  <c r="FJ227" i="1"/>
  <c r="FK227" i="1"/>
  <c r="FL227" i="1"/>
  <c r="EZ230" i="1"/>
  <c r="FE230" i="1"/>
  <c r="FA230" i="1"/>
  <c r="FF230" i="1"/>
  <c r="FB230" i="1"/>
  <c r="FG230" i="1"/>
  <c r="FC230" i="1"/>
  <c r="FH230" i="1"/>
  <c r="FD230" i="1"/>
  <c r="FI230" i="1"/>
  <c r="FJ230" i="1"/>
  <c r="FK230" i="1"/>
  <c r="FL230" i="1"/>
  <c r="EZ231" i="1"/>
  <c r="FE231" i="1"/>
  <c r="FA231" i="1"/>
  <c r="FF231" i="1"/>
  <c r="FB231" i="1"/>
  <c r="FG231" i="1"/>
  <c r="FC231" i="1"/>
  <c r="FH231" i="1"/>
  <c r="FD231" i="1"/>
  <c r="FI231" i="1"/>
  <c r="FJ231" i="1"/>
  <c r="FK231" i="1"/>
  <c r="FL231" i="1"/>
  <c r="EZ232" i="1"/>
  <c r="FE232" i="1"/>
  <c r="FA232" i="1"/>
  <c r="FF232" i="1"/>
  <c r="FB232" i="1"/>
  <c r="FG232" i="1"/>
  <c r="FC232" i="1"/>
  <c r="FH232" i="1"/>
  <c r="FD232" i="1"/>
  <c r="FI232" i="1"/>
  <c r="FJ232" i="1"/>
  <c r="FK232" i="1"/>
  <c r="FL232" i="1"/>
  <c r="EZ233" i="1"/>
  <c r="FE233" i="1"/>
  <c r="FA233" i="1"/>
  <c r="FF233" i="1"/>
  <c r="FB233" i="1"/>
  <c r="FG233" i="1"/>
  <c r="FC233" i="1"/>
  <c r="FH233" i="1"/>
  <c r="FD233" i="1"/>
  <c r="FI233" i="1"/>
  <c r="FJ233" i="1"/>
  <c r="FK233" i="1"/>
  <c r="FL233" i="1"/>
  <c r="EZ234" i="1"/>
  <c r="FE234" i="1"/>
  <c r="FA234" i="1"/>
  <c r="FF234" i="1"/>
  <c r="FB234" i="1"/>
  <c r="FG234" i="1"/>
  <c r="FC234" i="1"/>
  <c r="FH234" i="1"/>
  <c r="FD234" i="1"/>
  <c r="FI234" i="1"/>
  <c r="FJ234" i="1"/>
  <c r="FK234" i="1"/>
  <c r="FL234" i="1"/>
  <c r="EZ235" i="1"/>
  <c r="FE235" i="1"/>
  <c r="FA235" i="1"/>
  <c r="FF235" i="1"/>
  <c r="FB235" i="1"/>
  <c r="FG235" i="1"/>
  <c r="FC235" i="1"/>
  <c r="FH235" i="1"/>
  <c r="FD235" i="1"/>
  <c r="FI235" i="1"/>
  <c r="FJ235" i="1"/>
  <c r="FK235" i="1"/>
  <c r="FL235" i="1"/>
  <c r="EZ236" i="1"/>
  <c r="FE236" i="1"/>
  <c r="FA236" i="1"/>
  <c r="FF236" i="1"/>
  <c r="FB236" i="1"/>
  <c r="FG236" i="1"/>
  <c r="FC236" i="1"/>
  <c r="FH236" i="1"/>
  <c r="FD236" i="1"/>
  <c r="FI236" i="1"/>
  <c r="FJ236" i="1"/>
  <c r="FK236" i="1"/>
  <c r="FL236" i="1"/>
  <c r="EZ237" i="1"/>
  <c r="FE237" i="1"/>
  <c r="FA237" i="1"/>
  <c r="FF237" i="1"/>
  <c r="FB237" i="1"/>
  <c r="FG237" i="1"/>
  <c r="FC237" i="1"/>
  <c r="FH237" i="1"/>
  <c r="FD237" i="1"/>
  <c r="FI237" i="1"/>
  <c r="FJ237" i="1"/>
  <c r="FK237" i="1"/>
  <c r="FL237" i="1"/>
  <c r="EZ238" i="1"/>
  <c r="FE238" i="1"/>
  <c r="FA238" i="1"/>
  <c r="FF238" i="1"/>
  <c r="FB238" i="1"/>
  <c r="FG238" i="1"/>
  <c r="FC238" i="1"/>
  <c r="FH238" i="1"/>
  <c r="FD238" i="1"/>
  <c r="FI238" i="1"/>
  <c r="FJ238" i="1"/>
  <c r="FK238" i="1"/>
  <c r="FL238" i="1"/>
  <c r="EZ239" i="1"/>
  <c r="FE239" i="1"/>
  <c r="FA239" i="1"/>
  <c r="FF239" i="1"/>
  <c r="FB239" i="1"/>
  <c r="FG239" i="1"/>
  <c r="FC239" i="1"/>
  <c r="FH239" i="1"/>
  <c r="FD239" i="1"/>
  <c r="FI239" i="1"/>
  <c r="FJ239" i="1"/>
  <c r="FK239" i="1"/>
  <c r="FL239" i="1"/>
  <c r="EZ240" i="1"/>
  <c r="FE240" i="1"/>
  <c r="FA240" i="1"/>
  <c r="FF240" i="1"/>
  <c r="FB240" i="1"/>
  <c r="FG240" i="1"/>
  <c r="FC240" i="1"/>
  <c r="FH240" i="1"/>
  <c r="FD240" i="1"/>
  <c r="FI240" i="1"/>
  <c r="FJ240" i="1"/>
  <c r="FK240" i="1"/>
  <c r="FL240" i="1"/>
  <c r="EZ241" i="1"/>
  <c r="FE241" i="1"/>
  <c r="FA241" i="1"/>
  <c r="FF241" i="1"/>
  <c r="FB241" i="1"/>
  <c r="FG241" i="1"/>
  <c r="FC241" i="1"/>
  <c r="FH241" i="1"/>
  <c r="FD241" i="1"/>
  <c r="FI241" i="1"/>
  <c r="FJ241" i="1"/>
  <c r="FK241" i="1"/>
  <c r="FL241" i="1"/>
  <c r="EZ242" i="1"/>
  <c r="FE242" i="1"/>
  <c r="FA242" i="1"/>
  <c r="FF242" i="1"/>
  <c r="FB242" i="1"/>
  <c r="FG242" i="1"/>
  <c r="FC242" i="1"/>
  <c r="FH242" i="1"/>
  <c r="FD242" i="1"/>
  <c r="FI242" i="1"/>
  <c r="FJ242" i="1"/>
  <c r="FK242" i="1"/>
  <c r="FL242" i="1"/>
  <c r="EZ243" i="1"/>
  <c r="FE243" i="1"/>
  <c r="FA243" i="1"/>
  <c r="FF243" i="1"/>
  <c r="FB243" i="1"/>
  <c r="FG243" i="1"/>
  <c r="FC243" i="1"/>
  <c r="FH243" i="1"/>
  <c r="FD243" i="1"/>
  <c r="FI243" i="1"/>
  <c r="FJ243" i="1"/>
  <c r="FK243" i="1"/>
  <c r="FL243" i="1"/>
  <c r="EZ244" i="1"/>
  <c r="FE244" i="1"/>
  <c r="FA244" i="1"/>
  <c r="FF244" i="1"/>
  <c r="FB244" i="1"/>
  <c r="FG244" i="1"/>
  <c r="FC244" i="1"/>
  <c r="FH244" i="1"/>
  <c r="FD244" i="1"/>
  <c r="FI244" i="1"/>
  <c r="FJ244" i="1"/>
  <c r="FK244" i="1"/>
  <c r="FL244" i="1"/>
  <c r="EZ245" i="1"/>
  <c r="FE245" i="1"/>
  <c r="FA245" i="1"/>
  <c r="FF245" i="1"/>
  <c r="FB245" i="1"/>
  <c r="FG245" i="1"/>
  <c r="FC245" i="1"/>
  <c r="FH245" i="1"/>
  <c r="FD245" i="1"/>
  <c r="FI245" i="1"/>
  <c r="FJ245" i="1"/>
  <c r="FK245" i="1"/>
  <c r="FL245" i="1"/>
  <c r="EZ246" i="1"/>
  <c r="FE246" i="1"/>
  <c r="FA246" i="1"/>
  <c r="FF246" i="1"/>
  <c r="FB246" i="1"/>
  <c r="FG246" i="1"/>
  <c r="FC246" i="1"/>
  <c r="FH246" i="1"/>
  <c r="FD246" i="1"/>
  <c r="FI246" i="1"/>
  <c r="FJ246" i="1"/>
  <c r="FK246" i="1"/>
  <c r="FL246" i="1"/>
  <c r="EZ247" i="1"/>
  <c r="FE247" i="1"/>
  <c r="FA247" i="1"/>
  <c r="FF247" i="1"/>
  <c r="FB247" i="1"/>
  <c r="FG247" i="1"/>
  <c r="FC247" i="1"/>
  <c r="FH247" i="1"/>
  <c r="FD247" i="1"/>
  <c r="FI247" i="1"/>
  <c r="FJ247" i="1"/>
  <c r="FK247" i="1"/>
  <c r="FL247" i="1"/>
  <c r="EZ248" i="1"/>
  <c r="FE248" i="1"/>
  <c r="FA248" i="1"/>
  <c r="FF248" i="1"/>
  <c r="FB248" i="1"/>
  <c r="FG248" i="1"/>
  <c r="FC248" i="1"/>
  <c r="FH248" i="1"/>
  <c r="FD248" i="1"/>
  <c r="FI248" i="1"/>
  <c r="FJ248" i="1"/>
  <c r="FK248" i="1"/>
  <c r="FL248" i="1"/>
  <c r="EZ249" i="1"/>
  <c r="FE249" i="1"/>
  <c r="FA249" i="1"/>
  <c r="FF249" i="1"/>
  <c r="FB249" i="1"/>
  <c r="FG249" i="1"/>
  <c r="FC249" i="1"/>
  <c r="FH249" i="1"/>
  <c r="FD249" i="1"/>
  <c r="FI249" i="1"/>
  <c r="FJ249" i="1"/>
  <c r="FK249" i="1"/>
  <c r="FL249" i="1"/>
  <c r="EZ250" i="1"/>
  <c r="FE250" i="1"/>
  <c r="FA250" i="1"/>
  <c r="FF250" i="1"/>
  <c r="FB250" i="1"/>
  <c r="FG250" i="1"/>
  <c r="FC250" i="1"/>
  <c r="FH250" i="1"/>
  <c r="FD250" i="1"/>
  <c r="FI250" i="1"/>
  <c r="FJ250" i="1"/>
  <c r="FK250" i="1"/>
  <c r="FL250" i="1"/>
  <c r="EZ251" i="1"/>
  <c r="FE251" i="1"/>
  <c r="FA251" i="1"/>
  <c r="FF251" i="1"/>
  <c r="FB251" i="1"/>
  <c r="FG251" i="1"/>
  <c r="FC251" i="1"/>
  <c r="FH251" i="1"/>
  <c r="FD251" i="1"/>
  <c r="FI251" i="1"/>
  <c r="FJ251" i="1"/>
  <c r="FK251" i="1"/>
  <c r="FL251" i="1"/>
  <c r="EZ252" i="1"/>
  <c r="FE252" i="1"/>
  <c r="FA252" i="1"/>
  <c r="FF252" i="1"/>
  <c r="FB252" i="1"/>
  <c r="FG252" i="1"/>
  <c r="FC252" i="1"/>
  <c r="FH252" i="1"/>
  <c r="FD252" i="1"/>
  <c r="FI252" i="1"/>
  <c r="FJ252" i="1"/>
  <c r="FK252" i="1"/>
  <c r="FL252" i="1"/>
  <c r="EZ253" i="1"/>
  <c r="FE253" i="1"/>
  <c r="FA253" i="1"/>
  <c r="FF253" i="1"/>
  <c r="FB253" i="1"/>
  <c r="FG253" i="1"/>
  <c r="FC253" i="1"/>
  <c r="FH253" i="1"/>
  <c r="FD253" i="1"/>
  <c r="FI253" i="1"/>
  <c r="FJ253" i="1"/>
  <c r="FK253" i="1"/>
  <c r="FL253" i="1"/>
  <c r="EZ254" i="1"/>
  <c r="FE254" i="1"/>
  <c r="FA254" i="1"/>
  <c r="FF254" i="1"/>
  <c r="FB254" i="1"/>
  <c r="FG254" i="1"/>
  <c r="FC254" i="1"/>
  <c r="FH254" i="1"/>
  <c r="FD254" i="1"/>
  <c r="FI254" i="1"/>
  <c r="FJ254" i="1"/>
  <c r="FK254" i="1"/>
  <c r="FL254" i="1"/>
  <c r="EZ255" i="1"/>
  <c r="FE255" i="1"/>
  <c r="FA255" i="1"/>
  <c r="FF255" i="1"/>
  <c r="FB255" i="1"/>
  <c r="FG255" i="1"/>
  <c r="FC255" i="1"/>
  <c r="FH255" i="1"/>
  <c r="FD255" i="1"/>
  <c r="FI255" i="1"/>
  <c r="FJ255" i="1"/>
  <c r="FK255" i="1"/>
  <c r="FL255" i="1"/>
  <c r="EZ256" i="1"/>
  <c r="FE256" i="1"/>
  <c r="FA256" i="1"/>
  <c r="FF256" i="1"/>
  <c r="FB256" i="1"/>
  <c r="FG256" i="1"/>
  <c r="FC256" i="1"/>
  <c r="FH256" i="1"/>
  <c r="FD256" i="1"/>
  <c r="FI256" i="1"/>
  <c r="FJ256" i="1"/>
  <c r="FK256" i="1"/>
  <c r="FL256" i="1"/>
  <c r="EZ257" i="1"/>
  <c r="FE257" i="1"/>
  <c r="FA257" i="1"/>
  <c r="FF257" i="1"/>
  <c r="FB257" i="1"/>
  <c r="FG257" i="1"/>
  <c r="FC257" i="1"/>
  <c r="FH257" i="1"/>
  <c r="FD257" i="1"/>
  <c r="FI257" i="1"/>
  <c r="FJ257" i="1"/>
  <c r="FK257" i="1"/>
  <c r="FL257" i="1"/>
  <c r="EZ258" i="1"/>
  <c r="FE258" i="1"/>
  <c r="FA258" i="1"/>
  <c r="FF258" i="1"/>
  <c r="FB258" i="1"/>
  <c r="FG258" i="1"/>
  <c r="FC258" i="1"/>
  <c r="FH258" i="1"/>
  <c r="FD258" i="1"/>
  <c r="FI258" i="1"/>
  <c r="FJ258" i="1"/>
  <c r="FK258" i="1"/>
  <c r="FL258" i="1"/>
  <c r="EZ259" i="1"/>
  <c r="FE259" i="1"/>
  <c r="FA259" i="1"/>
  <c r="FF259" i="1"/>
  <c r="FB259" i="1"/>
  <c r="FG259" i="1"/>
  <c r="FC259" i="1"/>
  <c r="FH259" i="1"/>
  <c r="FD259" i="1"/>
  <c r="FI259" i="1"/>
  <c r="FJ259" i="1"/>
  <c r="FK259" i="1"/>
  <c r="FL259" i="1"/>
  <c r="EZ260" i="1"/>
  <c r="FE260" i="1"/>
  <c r="FA260" i="1"/>
  <c r="FF260" i="1"/>
  <c r="FB260" i="1"/>
  <c r="FG260" i="1"/>
  <c r="FC260" i="1"/>
  <c r="FH260" i="1"/>
  <c r="FD260" i="1"/>
  <c r="FI260" i="1"/>
  <c r="FJ260" i="1"/>
  <c r="FK260" i="1"/>
  <c r="FL260" i="1"/>
  <c r="EZ261" i="1"/>
  <c r="FE261" i="1"/>
  <c r="FA261" i="1"/>
  <c r="FF261" i="1"/>
  <c r="FB261" i="1"/>
  <c r="FG261" i="1"/>
  <c r="FC261" i="1"/>
  <c r="FH261" i="1"/>
  <c r="FD261" i="1"/>
  <c r="FI261" i="1"/>
  <c r="FJ261" i="1"/>
  <c r="FK261" i="1"/>
  <c r="FL261" i="1"/>
  <c r="EZ262" i="1"/>
  <c r="FE262" i="1"/>
  <c r="FA262" i="1"/>
  <c r="FF262" i="1"/>
  <c r="FB262" i="1"/>
  <c r="FG262" i="1"/>
  <c r="FC262" i="1"/>
  <c r="FH262" i="1"/>
  <c r="FD262" i="1"/>
  <c r="FI262" i="1"/>
  <c r="FJ262" i="1"/>
  <c r="FK262" i="1"/>
  <c r="FL262" i="1"/>
  <c r="EZ263" i="1"/>
  <c r="FE263" i="1"/>
  <c r="FA263" i="1"/>
  <c r="FF263" i="1"/>
  <c r="FB263" i="1"/>
  <c r="FG263" i="1"/>
  <c r="FC263" i="1"/>
  <c r="FH263" i="1"/>
  <c r="FD263" i="1"/>
  <c r="FI263" i="1"/>
  <c r="FJ263" i="1"/>
  <c r="FK263" i="1"/>
  <c r="FL263" i="1"/>
  <c r="EZ264" i="1"/>
  <c r="FE264" i="1"/>
  <c r="FA264" i="1"/>
  <c r="FF264" i="1"/>
  <c r="FB264" i="1"/>
  <c r="FG264" i="1"/>
  <c r="FC264" i="1"/>
  <c r="FH264" i="1"/>
  <c r="FD264" i="1"/>
  <c r="FI264" i="1"/>
  <c r="FJ264" i="1"/>
  <c r="FK264" i="1"/>
  <c r="FL264" i="1"/>
  <c r="EZ265" i="1"/>
  <c r="FE265" i="1"/>
  <c r="FA265" i="1"/>
  <c r="FF265" i="1"/>
  <c r="FB265" i="1"/>
  <c r="FG265" i="1"/>
  <c r="FC265" i="1"/>
  <c r="FH265" i="1"/>
  <c r="FD265" i="1"/>
  <c r="FI265" i="1"/>
  <c r="FJ265" i="1"/>
  <c r="FK265" i="1"/>
  <c r="FL265" i="1"/>
  <c r="EZ266" i="1"/>
  <c r="FE266" i="1"/>
  <c r="FA266" i="1"/>
  <c r="FF266" i="1"/>
  <c r="FB266" i="1"/>
  <c r="FG266" i="1"/>
  <c r="FC266" i="1"/>
  <c r="FH266" i="1"/>
  <c r="FD266" i="1"/>
  <c r="FI266" i="1"/>
  <c r="FJ266" i="1"/>
  <c r="FK266" i="1"/>
  <c r="FL266" i="1"/>
  <c r="EZ267" i="1"/>
  <c r="FE267" i="1"/>
  <c r="FA267" i="1"/>
  <c r="FF267" i="1"/>
  <c r="FB267" i="1"/>
  <c r="FG267" i="1"/>
  <c r="FC267" i="1"/>
  <c r="FH267" i="1"/>
  <c r="FD267" i="1"/>
  <c r="FI267" i="1"/>
  <c r="FJ267" i="1"/>
  <c r="FK267" i="1"/>
  <c r="FL267" i="1"/>
  <c r="EZ268" i="1"/>
  <c r="FE268" i="1"/>
  <c r="FA268" i="1"/>
  <c r="FF268" i="1"/>
  <c r="FB268" i="1"/>
  <c r="FG268" i="1"/>
  <c r="FC268" i="1"/>
  <c r="FH268" i="1"/>
  <c r="FD268" i="1"/>
  <c r="FI268" i="1"/>
  <c r="FJ268" i="1"/>
  <c r="FK268" i="1"/>
  <c r="FL268" i="1"/>
  <c r="EZ269" i="1"/>
  <c r="FE269" i="1"/>
  <c r="FA269" i="1"/>
  <c r="FF269" i="1"/>
  <c r="FB269" i="1"/>
  <c r="FG269" i="1"/>
  <c r="FC269" i="1"/>
  <c r="FH269" i="1"/>
  <c r="FD269" i="1"/>
  <c r="FI269" i="1"/>
  <c r="FJ269" i="1"/>
  <c r="FK269" i="1"/>
  <c r="FL269" i="1"/>
  <c r="EZ270" i="1"/>
  <c r="FE270" i="1"/>
  <c r="FA270" i="1"/>
  <c r="FF270" i="1"/>
  <c r="FB270" i="1"/>
  <c r="FG270" i="1"/>
  <c r="FC270" i="1"/>
  <c r="FH270" i="1"/>
  <c r="FD270" i="1"/>
  <c r="FI270" i="1"/>
  <c r="FJ270" i="1"/>
  <c r="FK270" i="1"/>
  <c r="FL270" i="1"/>
  <c r="EZ271" i="1"/>
  <c r="FE271" i="1"/>
  <c r="FA271" i="1"/>
  <c r="FF271" i="1"/>
  <c r="FB271" i="1"/>
  <c r="FG271" i="1"/>
  <c r="FC271" i="1"/>
  <c r="FH271" i="1"/>
  <c r="FD271" i="1"/>
  <c r="FI271" i="1"/>
  <c r="FJ271" i="1"/>
  <c r="FK271" i="1"/>
  <c r="FL271" i="1"/>
  <c r="EZ272" i="1"/>
  <c r="FE272" i="1"/>
  <c r="FA272" i="1"/>
  <c r="FF272" i="1"/>
  <c r="FB272" i="1"/>
  <c r="FG272" i="1"/>
  <c r="FC272" i="1"/>
  <c r="FH272" i="1"/>
  <c r="FD272" i="1"/>
  <c r="FI272" i="1"/>
  <c r="FJ272" i="1"/>
  <c r="FK272" i="1"/>
  <c r="FL272" i="1"/>
  <c r="EZ273" i="1"/>
  <c r="FE273" i="1"/>
  <c r="FA273" i="1"/>
  <c r="FF273" i="1"/>
  <c r="FB273" i="1"/>
  <c r="FG273" i="1"/>
  <c r="FC273" i="1"/>
  <c r="FH273" i="1"/>
  <c r="FD273" i="1"/>
  <c r="FI273" i="1"/>
  <c r="FJ273" i="1"/>
  <c r="FK273" i="1"/>
  <c r="FL273" i="1"/>
  <c r="EZ274" i="1"/>
  <c r="FE274" i="1"/>
  <c r="FA274" i="1"/>
  <c r="FF274" i="1"/>
  <c r="FB274" i="1"/>
  <c r="FG274" i="1"/>
  <c r="FC274" i="1"/>
  <c r="FH274" i="1"/>
  <c r="FD274" i="1"/>
  <c r="FI274" i="1"/>
  <c r="FJ274" i="1"/>
  <c r="FK274" i="1"/>
  <c r="FL274" i="1"/>
  <c r="EZ275" i="1"/>
  <c r="FE275" i="1"/>
  <c r="FA275" i="1"/>
  <c r="FF275" i="1"/>
  <c r="FB275" i="1"/>
  <c r="FG275" i="1"/>
  <c r="FC275" i="1"/>
  <c r="FH275" i="1"/>
  <c r="FD275" i="1"/>
  <c r="FI275" i="1"/>
  <c r="FJ275" i="1"/>
  <c r="FK275" i="1"/>
  <c r="FL275" i="1"/>
  <c r="EZ276" i="1"/>
  <c r="FE276" i="1"/>
  <c r="FA276" i="1"/>
  <c r="FF276" i="1"/>
  <c r="FB276" i="1"/>
  <c r="FG276" i="1"/>
  <c r="FC276" i="1"/>
  <c r="FH276" i="1"/>
  <c r="FD276" i="1"/>
  <c r="FI276" i="1"/>
  <c r="FJ276" i="1"/>
  <c r="FK276" i="1"/>
  <c r="FL276" i="1"/>
  <c r="EZ277" i="1"/>
  <c r="FE277" i="1"/>
  <c r="FA277" i="1"/>
  <c r="FF277" i="1"/>
  <c r="FB277" i="1"/>
  <c r="FG277" i="1"/>
  <c r="FC277" i="1"/>
  <c r="FH277" i="1"/>
  <c r="FD277" i="1"/>
  <c r="FI277" i="1"/>
  <c r="FJ277" i="1"/>
  <c r="FK277" i="1"/>
  <c r="FL277" i="1"/>
  <c r="EZ278" i="1"/>
  <c r="FE278" i="1"/>
  <c r="FA278" i="1"/>
  <c r="FF278" i="1"/>
  <c r="FB278" i="1"/>
  <c r="FG278" i="1"/>
  <c r="FC278" i="1"/>
  <c r="FH278" i="1"/>
  <c r="FD278" i="1"/>
  <c r="FI278" i="1"/>
  <c r="FJ278" i="1"/>
  <c r="FK278" i="1"/>
  <c r="FL278" i="1"/>
  <c r="EZ279" i="1"/>
  <c r="FE279" i="1"/>
  <c r="FA279" i="1"/>
  <c r="FF279" i="1"/>
  <c r="FB279" i="1"/>
  <c r="FG279" i="1"/>
  <c r="FC279" i="1"/>
  <c r="FH279" i="1"/>
  <c r="FD279" i="1"/>
  <c r="FI279" i="1"/>
  <c r="FJ279" i="1"/>
  <c r="FK279" i="1"/>
  <c r="FL279" i="1"/>
  <c r="EZ280" i="1"/>
  <c r="FE280" i="1"/>
  <c r="FA280" i="1"/>
  <c r="FF280" i="1"/>
  <c r="FB280" i="1"/>
  <c r="FG280" i="1"/>
  <c r="FC280" i="1"/>
  <c r="FH280" i="1"/>
  <c r="FD280" i="1"/>
  <c r="FI280" i="1"/>
  <c r="FJ280" i="1"/>
  <c r="FK280" i="1"/>
  <c r="FL280" i="1"/>
  <c r="EZ281" i="1"/>
  <c r="FE281" i="1"/>
  <c r="FA281" i="1"/>
  <c r="FF281" i="1"/>
  <c r="FB281" i="1"/>
  <c r="FG281" i="1"/>
  <c r="FC281" i="1"/>
  <c r="FH281" i="1"/>
  <c r="FD281" i="1"/>
  <c r="FI281" i="1"/>
  <c r="FJ281" i="1"/>
  <c r="FK281" i="1"/>
  <c r="FL281" i="1"/>
  <c r="EZ282" i="1"/>
  <c r="FE282" i="1"/>
  <c r="FA282" i="1"/>
  <c r="FF282" i="1"/>
  <c r="FB282" i="1"/>
  <c r="FG282" i="1"/>
  <c r="FC282" i="1"/>
  <c r="FH282" i="1"/>
  <c r="FD282" i="1"/>
  <c r="FI282" i="1"/>
  <c r="FJ282" i="1"/>
  <c r="FK282" i="1"/>
  <c r="FL282" i="1"/>
  <c r="EZ283" i="1"/>
  <c r="FE283" i="1"/>
  <c r="FA283" i="1"/>
  <c r="FF283" i="1"/>
  <c r="FB283" i="1"/>
  <c r="FG283" i="1"/>
  <c r="FC283" i="1"/>
  <c r="FH283" i="1"/>
  <c r="FD283" i="1"/>
  <c r="FI283" i="1"/>
  <c r="FJ283" i="1"/>
  <c r="FK283" i="1"/>
  <c r="FL283" i="1"/>
  <c r="EZ284" i="1"/>
  <c r="FE284" i="1"/>
  <c r="FA284" i="1"/>
  <c r="FF284" i="1"/>
  <c r="FB284" i="1"/>
  <c r="FG284" i="1"/>
  <c r="FC284" i="1"/>
  <c r="FH284" i="1"/>
  <c r="FD284" i="1"/>
  <c r="FI284" i="1"/>
  <c r="FJ284" i="1"/>
  <c r="FK284" i="1"/>
  <c r="FL284" i="1"/>
  <c r="EZ285" i="1"/>
  <c r="FE285" i="1"/>
  <c r="FA285" i="1"/>
  <c r="FF285" i="1"/>
  <c r="FB285" i="1"/>
  <c r="FG285" i="1"/>
  <c r="FC285" i="1"/>
  <c r="FH285" i="1"/>
  <c r="FD285" i="1"/>
  <c r="FI285" i="1"/>
  <c r="FJ285" i="1"/>
  <c r="FK285" i="1"/>
  <c r="FL285" i="1"/>
  <c r="EZ286" i="1"/>
  <c r="FE286" i="1"/>
  <c r="FA286" i="1"/>
  <c r="FF286" i="1"/>
  <c r="FB286" i="1"/>
  <c r="FG286" i="1"/>
  <c r="FC286" i="1"/>
  <c r="FH286" i="1"/>
  <c r="FD286" i="1"/>
  <c r="FI286" i="1"/>
  <c r="FJ286" i="1"/>
  <c r="FK286" i="1"/>
  <c r="FL286" i="1"/>
  <c r="EZ287" i="1"/>
  <c r="FE287" i="1"/>
  <c r="FA287" i="1"/>
  <c r="FF287" i="1"/>
  <c r="FB287" i="1"/>
  <c r="FG287" i="1"/>
  <c r="FC287" i="1"/>
  <c r="FH287" i="1"/>
  <c r="FD287" i="1"/>
  <c r="FI287" i="1"/>
  <c r="FJ287" i="1"/>
  <c r="FK287" i="1"/>
  <c r="FL287" i="1"/>
  <c r="EZ288" i="1"/>
  <c r="FE288" i="1"/>
  <c r="FA288" i="1"/>
  <c r="FF288" i="1"/>
  <c r="FB288" i="1"/>
  <c r="FG288" i="1"/>
  <c r="FC288" i="1"/>
  <c r="FH288" i="1"/>
  <c r="FD288" i="1"/>
  <c r="FI288" i="1"/>
  <c r="FJ288" i="1"/>
  <c r="FK288" i="1"/>
  <c r="FL288" i="1"/>
  <c r="EZ289" i="1"/>
  <c r="FE289" i="1"/>
  <c r="FA289" i="1"/>
  <c r="FF289" i="1"/>
  <c r="FB289" i="1"/>
  <c r="FG289" i="1"/>
  <c r="FC289" i="1"/>
  <c r="FH289" i="1"/>
  <c r="FD289" i="1"/>
  <c r="FI289" i="1"/>
  <c r="FJ289" i="1"/>
  <c r="FK289" i="1"/>
  <c r="FL289" i="1"/>
  <c r="EZ290" i="1"/>
  <c r="FE290" i="1"/>
  <c r="FA290" i="1"/>
  <c r="FF290" i="1"/>
  <c r="FB290" i="1"/>
  <c r="FG290" i="1"/>
  <c r="FC290" i="1"/>
  <c r="FH290" i="1"/>
  <c r="FD290" i="1"/>
  <c r="FI290" i="1"/>
  <c r="FJ290" i="1"/>
  <c r="FK290" i="1"/>
  <c r="FL290" i="1"/>
  <c r="EZ291" i="1"/>
  <c r="FE291" i="1"/>
  <c r="FA291" i="1"/>
  <c r="FF291" i="1"/>
  <c r="FB291" i="1"/>
  <c r="FG291" i="1"/>
  <c r="FC291" i="1"/>
  <c r="FH291" i="1"/>
  <c r="FD291" i="1"/>
  <c r="FI291" i="1"/>
  <c r="FJ291" i="1"/>
  <c r="FK291" i="1"/>
  <c r="FL291" i="1"/>
  <c r="EZ292" i="1"/>
  <c r="FE292" i="1"/>
  <c r="FA292" i="1"/>
  <c r="FF292" i="1"/>
  <c r="FB292" i="1"/>
  <c r="FG292" i="1"/>
  <c r="FC292" i="1"/>
  <c r="FH292" i="1"/>
  <c r="FD292" i="1"/>
  <c r="FI292" i="1"/>
  <c r="FJ292" i="1"/>
  <c r="FK292" i="1"/>
  <c r="FL292" i="1"/>
  <c r="EZ293" i="1"/>
  <c r="FE293" i="1"/>
  <c r="FA293" i="1"/>
  <c r="FF293" i="1"/>
  <c r="FB293" i="1"/>
  <c r="FG293" i="1"/>
  <c r="FC293" i="1"/>
  <c r="FH293" i="1"/>
  <c r="FD293" i="1"/>
  <c r="FI293" i="1"/>
  <c r="FJ293" i="1"/>
  <c r="FK293" i="1"/>
  <c r="FL293" i="1"/>
  <c r="EZ294" i="1"/>
  <c r="FE294" i="1"/>
  <c r="FA294" i="1"/>
  <c r="FF294" i="1"/>
  <c r="FB294" i="1"/>
  <c r="FG294" i="1"/>
  <c r="FC294" i="1"/>
  <c r="FH294" i="1"/>
  <c r="FD294" i="1"/>
  <c r="FI294" i="1"/>
  <c r="FJ294" i="1"/>
  <c r="FK294" i="1"/>
  <c r="FL294" i="1"/>
  <c r="EZ295" i="1"/>
  <c r="FE295" i="1"/>
  <c r="FA295" i="1"/>
  <c r="FF295" i="1"/>
  <c r="FB295" i="1"/>
  <c r="FG295" i="1"/>
  <c r="FC295" i="1"/>
  <c r="FH295" i="1"/>
  <c r="FD295" i="1"/>
  <c r="FI295" i="1"/>
  <c r="FJ295" i="1"/>
  <c r="FK295" i="1"/>
  <c r="FL295" i="1"/>
  <c r="EZ296" i="1"/>
  <c r="FE296" i="1"/>
  <c r="FA296" i="1"/>
  <c r="FF296" i="1"/>
  <c r="FB296" i="1"/>
  <c r="FG296" i="1"/>
  <c r="FC296" i="1"/>
  <c r="FH296" i="1"/>
  <c r="FD296" i="1"/>
  <c r="FI296" i="1"/>
  <c r="FJ296" i="1"/>
  <c r="FK296" i="1"/>
  <c r="FL296" i="1"/>
  <c r="EZ297" i="1"/>
  <c r="FE297" i="1"/>
  <c r="FA297" i="1"/>
  <c r="FF297" i="1"/>
  <c r="FB297" i="1"/>
  <c r="FG297" i="1"/>
  <c r="FC297" i="1"/>
  <c r="FH297" i="1"/>
  <c r="FD297" i="1"/>
  <c r="FI297" i="1"/>
  <c r="FJ297" i="1"/>
  <c r="FK297" i="1"/>
  <c r="FL297" i="1"/>
  <c r="EZ298" i="1"/>
  <c r="FE298" i="1"/>
  <c r="FA298" i="1"/>
  <c r="FF298" i="1"/>
  <c r="FB298" i="1"/>
  <c r="FG298" i="1"/>
  <c r="FC298" i="1"/>
  <c r="FH298" i="1"/>
  <c r="FD298" i="1"/>
  <c r="FI298" i="1"/>
  <c r="FJ298" i="1"/>
  <c r="FK298" i="1"/>
  <c r="FL298" i="1"/>
  <c r="EZ299" i="1"/>
  <c r="FE299" i="1"/>
  <c r="FA299" i="1"/>
  <c r="FF299" i="1"/>
  <c r="FB299" i="1"/>
  <c r="FG299" i="1"/>
  <c r="FC299" i="1"/>
  <c r="FH299" i="1"/>
  <c r="FD299" i="1"/>
  <c r="FI299" i="1"/>
  <c r="FJ299" i="1"/>
  <c r="FK299" i="1"/>
  <c r="FL299" i="1"/>
  <c r="EZ300" i="1"/>
  <c r="FE300" i="1"/>
  <c r="FA300" i="1"/>
  <c r="FF300" i="1"/>
  <c r="FB300" i="1"/>
  <c r="FG300" i="1"/>
  <c r="FC300" i="1"/>
  <c r="FH300" i="1"/>
  <c r="FD300" i="1"/>
  <c r="FI300" i="1"/>
  <c r="FJ300" i="1"/>
  <c r="FK300" i="1"/>
  <c r="FL300" i="1"/>
  <c r="EZ301" i="1"/>
  <c r="FE301" i="1"/>
  <c r="FA301" i="1"/>
  <c r="FF301" i="1"/>
  <c r="FB301" i="1"/>
  <c r="FG301" i="1"/>
  <c r="FC301" i="1"/>
  <c r="FH301" i="1"/>
  <c r="FD301" i="1"/>
  <c r="FI301" i="1"/>
  <c r="FJ301" i="1"/>
  <c r="FK301" i="1"/>
  <c r="FL301" i="1"/>
  <c r="EZ302" i="1"/>
  <c r="FE302" i="1"/>
  <c r="FA302" i="1"/>
  <c r="FF302" i="1"/>
  <c r="FB302" i="1"/>
  <c r="FG302" i="1"/>
  <c r="FC302" i="1"/>
  <c r="FH302" i="1"/>
  <c r="FD302" i="1"/>
  <c r="FI302" i="1"/>
  <c r="FJ302" i="1"/>
  <c r="FK302" i="1"/>
  <c r="FL302" i="1"/>
  <c r="EZ303" i="1"/>
  <c r="FE303" i="1"/>
  <c r="FA303" i="1"/>
  <c r="FF303" i="1"/>
  <c r="FB303" i="1"/>
  <c r="FG303" i="1"/>
  <c r="FC303" i="1"/>
  <c r="FH303" i="1"/>
  <c r="FD303" i="1"/>
  <c r="FI303" i="1"/>
  <c r="FJ303" i="1"/>
  <c r="FK303" i="1"/>
  <c r="FL303" i="1"/>
  <c r="EZ304" i="1"/>
  <c r="FE304" i="1"/>
  <c r="FA304" i="1"/>
  <c r="FF304" i="1"/>
  <c r="FB304" i="1"/>
  <c r="FG304" i="1"/>
  <c r="FC304" i="1"/>
  <c r="FH304" i="1"/>
  <c r="FD304" i="1"/>
  <c r="FI304" i="1"/>
  <c r="FJ304" i="1"/>
  <c r="FK304" i="1"/>
  <c r="FL304" i="1"/>
  <c r="EZ305" i="1"/>
  <c r="FE305" i="1"/>
  <c r="FA305" i="1"/>
  <c r="FF305" i="1"/>
  <c r="FB305" i="1"/>
  <c r="FG305" i="1"/>
  <c r="FC305" i="1"/>
  <c r="FH305" i="1"/>
  <c r="FD305" i="1"/>
  <c r="FI305" i="1"/>
  <c r="FJ305" i="1"/>
  <c r="FK305" i="1"/>
  <c r="FL305" i="1"/>
  <c r="EZ306" i="1"/>
  <c r="FE306" i="1"/>
  <c r="FA306" i="1"/>
  <c r="FF306" i="1"/>
  <c r="FB306" i="1"/>
  <c r="FG306" i="1"/>
  <c r="FC306" i="1"/>
  <c r="FH306" i="1"/>
  <c r="FD306" i="1"/>
  <c r="FI306" i="1"/>
  <c r="FJ306" i="1"/>
  <c r="FK306" i="1"/>
  <c r="FL306" i="1"/>
  <c r="EZ307" i="1"/>
  <c r="FE307" i="1"/>
  <c r="FA307" i="1"/>
  <c r="FF307" i="1"/>
  <c r="FB307" i="1"/>
  <c r="FG307" i="1"/>
  <c r="FC307" i="1"/>
  <c r="FH307" i="1"/>
  <c r="FD307" i="1"/>
  <c r="FI307" i="1"/>
  <c r="FJ307" i="1"/>
  <c r="FK307" i="1"/>
  <c r="FL307" i="1"/>
  <c r="EZ8" i="1"/>
  <c r="FE8" i="1"/>
  <c r="FA8" i="1"/>
  <c r="FF8" i="1"/>
  <c r="FB8" i="1"/>
  <c r="FG8" i="1"/>
  <c r="FC8" i="1"/>
  <c r="FH8" i="1"/>
  <c r="FD8" i="1"/>
  <c r="FI8" i="1"/>
  <c r="FJ8" i="1"/>
  <c r="FK8" i="1"/>
  <c r="FL8" i="1"/>
  <c r="FK308" i="1"/>
  <c r="FK309" i="1"/>
  <c r="FK310" i="1"/>
  <c r="FK311" i="1"/>
  <c r="FK312" i="1"/>
  <c r="FK313" i="1"/>
  <c r="FK314" i="1"/>
  <c r="FK315" i="1"/>
  <c r="FK316" i="1"/>
  <c r="FK317" i="1"/>
  <c r="FK318" i="1"/>
  <c r="FK319" i="1"/>
  <c r="FK320" i="1"/>
  <c r="FK321" i="1"/>
  <c r="FK322" i="1"/>
  <c r="FK323" i="1"/>
  <c r="FK324" i="1"/>
  <c r="FK325" i="1"/>
  <c r="FK326" i="1"/>
  <c r="FK327" i="1"/>
  <c r="FK328" i="1"/>
  <c r="FK329" i="1"/>
  <c r="FK330" i="1"/>
  <c r="FK331" i="1"/>
  <c r="FK332" i="1"/>
  <c r="FK333" i="1"/>
  <c r="FK334" i="1"/>
  <c r="FK335" i="1"/>
  <c r="FK336" i="1"/>
  <c r="FK337" i="1"/>
  <c r="FK338" i="1"/>
  <c r="FK339" i="1"/>
  <c r="FK340" i="1"/>
  <c r="FK341" i="1"/>
  <c r="FK342" i="1"/>
  <c r="FK343" i="1"/>
  <c r="FK344" i="1"/>
  <c r="FK345" i="1"/>
  <c r="FK346" i="1"/>
  <c r="FK347" i="1"/>
  <c r="FK348" i="1"/>
  <c r="FK349" i="1"/>
  <c r="FK350" i="1"/>
  <c r="FK351" i="1"/>
  <c r="FK352" i="1"/>
  <c r="FK353" i="1"/>
  <c r="FK354" i="1"/>
  <c r="FK355" i="1"/>
  <c r="FK356" i="1"/>
  <c r="FK357" i="1"/>
  <c r="FK358" i="1"/>
  <c r="FK359" i="1"/>
  <c r="FK360" i="1"/>
  <c r="FK361" i="1"/>
  <c r="FK362" i="1"/>
  <c r="FK363" i="1"/>
  <c r="FK364" i="1"/>
  <c r="FK365" i="1"/>
  <c r="FK366" i="1"/>
  <c r="FK367" i="1"/>
  <c r="FK368" i="1"/>
  <c r="FK369" i="1"/>
  <c r="FK370" i="1"/>
  <c r="FK371" i="1"/>
  <c r="FK372" i="1"/>
  <c r="FK373" i="1"/>
  <c r="FK374" i="1"/>
  <c r="FK375" i="1"/>
  <c r="FK376" i="1"/>
  <c r="FK377" i="1"/>
  <c r="FK378" i="1"/>
  <c r="FK379" i="1"/>
  <c r="FK380" i="1"/>
  <c r="FK381" i="1"/>
  <c r="FK382" i="1"/>
  <c r="FK383" i="1"/>
  <c r="FK384" i="1"/>
  <c r="FK385" i="1"/>
  <c r="FK386" i="1"/>
  <c r="FK387" i="1"/>
  <c r="FK388" i="1"/>
  <c r="FK389" i="1"/>
  <c r="FK390" i="1"/>
  <c r="FK391" i="1"/>
  <c r="FK392" i="1"/>
  <c r="FK393" i="1"/>
  <c r="FK394" i="1"/>
  <c r="FK395" i="1"/>
  <c r="FK396" i="1"/>
  <c r="FK397" i="1"/>
  <c r="FK398" i="1"/>
  <c r="FK399" i="1"/>
  <c r="FK400" i="1"/>
  <c r="FK401" i="1"/>
  <c r="FK402" i="1"/>
  <c r="FK403" i="1"/>
  <c r="FK404" i="1"/>
  <c r="FK405" i="1"/>
  <c r="FK406" i="1"/>
  <c r="FK407" i="1"/>
  <c r="FK408" i="1"/>
  <c r="FK409" i="1"/>
  <c r="FK410" i="1"/>
  <c r="FK411" i="1"/>
  <c r="FK412" i="1"/>
  <c r="FK413" i="1"/>
  <c r="FK414" i="1"/>
  <c r="FK415" i="1"/>
  <c r="FK416" i="1"/>
  <c r="FK417" i="1"/>
  <c r="FK418" i="1"/>
  <c r="FK419" i="1"/>
  <c r="FK420" i="1"/>
  <c r="FK421" i="1"/>
  <c r="FK422" i="1"/>
  <c r="FK423" i="1"/>
  <c r="FK424" i="1"/>
  <c r="FK425" i="1"/>
  <c r="FK426" i="1"/>
  <c r="FK427" i="1"/>
  <c r="FK428" i="1"/>
  <c r="FK429" i="1"/>
  <c r="FK430" i="1"/>
  <c r="FK431" i="1"/>
  <c r="FK432" i="1"/>
  <c r="FK433" i="1"/>
  <c r="FK434" i="1"/>
  <c r="FK435" i="1"/>
  <c r="FK436" i="1"/>
  <c r="FK437" i="1"/>
  <c r="FK438" i="1"/>
  <c r="FK439" i="1"/>
  <c r="FK440" i="1"/>
  <c r="FK441" i="1"/>
  <c r="FK442" i="1"/>
  <c r="FK443" i="1"/>
  <c r="FK444" i="1"/>
  <c r="FK445" i="1"/>
  <c r="FK446" i="1"/>
  <c r="FK447" i="1"/>
  <c r="FK448" i="1"/>
  <c r="FK449" i="1"/>
  <c r="FK450" i="1"/>
  <c r="FK451" i="1"/>
  <c r="FK452" i="1"/>
  <c r="FK453" i="1"/>
  <c r="FK454" i="1"/>
  <c r="FK455" i="1"/>
  <c r="FK456" i="1"/>
  <c r="FK457" i="1"/>
  <c r="FK458" i="1"/>
  <c r="FK459" i="1"/>
  <c r="FK460" i="1"/>
  <c r="FK461" i="1"/>
  <c r="FK462" i="1"/>
  <c r="FK463" i="1"/>
  <c r="FK464" i="1"/>
  <c r="FK465" i="1"/>
  <c r="FK466" i="1"/>
  <c r="FK467" i="1"/>
  <c r="FK468" i="1"/>
  <c r="FK469" i="1"/>
  <c r="FK470" i="1"/>
  <c r="FK471" i="1"/>
  <c r="FK472" i="1"/>
  <c r="FK473" i="1"/>
  <c r="FK474" i="1"/>
  <c r="FK475" i="1"/>
  <c r="FK476" i="1"/>
  <c r="FK477" i="1"/>
  <c r="FK478" i="1"/>
  <c r="FK479" i="1"/>
  <c r="FK480" i="1"/>
  <c r="FK481" i="1"/>
  <c r="FK482" i="1"/>
  <c r="FK483" i="1"/>
  <c r="FK484" i="1"/>
  <c r="FK485" i="1"/>
  <c r="FK486" i="1"/>
  <c r="FK487" i="1"/>
  <c r="FK488" i="1"/>
  <c r="FK489" i="1"/>
  <c r="FK490" i="1"/>
  <c r="FK491" i="1"/>
  <c r="FK492" i="1"/>
  <c r="FK493" i="1"/>
  <c r="FK494" i="1"/>
  <c r="FK495" i="1"/>
  <c r="FK496" i="1"/>
  <c r="FK497" i="1"/>
  <c r="FK498" i="1"/>
  <c r="FK499" i="1"/>
  <c r="FK500" i="1"/>
  <c r="FK501" i="1"/>
  <c r="FK502" i="1"/>
  <c r="FK503" i="1"/>
  <c r="FK504" i="1"/>
  <c r="FK505" i="1"/>
  <c r="FK506" i="1"/>
  <c r="FK507" i="1"/>
  <c r="FK508" i="1"/>
  <c r="FK509" i="1"/>
  <c r="FK510" i="1"/>
  <c r="FK511" i="1"/>
  <c r="FK512" i="1"/>
  <c r="FK513" i="1"/>
  <c r="FK514" i="1"/>
  <c r="FK515" i="1"/>
  <c r="FK516" i="1"/>
  <c r="FK517" i="1"/>
  <c r="FK518" i="1"/>
  <c r="FK519" i="1"/>
  <c r="FK520" i="1"/>
  <c r="FK521" i="1"/>
  <c r="FK522" i="1"/>
  <c r="FK523" i="1"/>
  <c r="FK524" i="1"/>
  <c r="FK525" i="1"/>
  <c r="FK526" i="1"/>
  <c r="FK527" i="1"/>
  <c r="FK528" i="1"/>
  <c r="FK529" i="1"/>
  <c r="FK530" i="1"/>
  <c r="FK531" i="1"/>
  <c r="FK532" i="1"/>
  <c r="FK533" i="1"/>
  <c r="FK534" i="1"/>
  <c r="FK535" i="1"/>
  <c r="FK536" i="1"/>
  <c r="FK537" i="1"/>
  <c r="FK538" i="1"/>
  <c r="FK539" i="1"/>
  <c r="FK540" i="1"/>
  <c r="FK541" i="1"/>
  <c r="FK542" i="1"/>
  <c r="FK543" i="1"/>
  <c r="FK544" i="1"/>
  <c r="FK545" i="1"/>
  <c r="FK546" i="1"/>
  <c r="FK547" i="1"/>
  <c r="FK548" i="1"/>
  <c r="FK549" i="1"/>
  <c r="FK550" i="1"/>
  <c r="FK551" i="1"/>
  <c r="FK552" i="1"/>
  <c r="FK553" i="1"/>
  <c r="FK554" i="1"/>
  <c r="FK555" i="1"/>
  <c r="FK556" i="1"/>
  <c r="FK557" i="1"/>
  <c r="FK558" i="1"/>
  <c r="FK559" i="1"/>
  <c r="FK560" i="1"/>
  <c r="FK561" i="1"/>
  <c r="FK562" i="1"/>
  <c r="FK563" i="1"/>
  <c r="FK564" i="1"/>
  <c r="FK565" i="1"/>
  <c r="FK566" i="1"/>
  <c r="FK567" i="1"/>
  <c r="FK568" i="1"/>
  <c r="FK569" i="1"/>
  <c r="FK570" i="1"/>
  <c r="FK571" i="1"/>
  <c r="FK572" i="1"/>
  <c r="FK573" i="1"/>
  <c r="FK574" i="1"/>
  <c r="FK575" i="1"/>
  <c r="FK576" i="1"/>
  <c r="FK577" i="1"/>
  <c r="FK578" i="1"/>
  <c r="FK579" i="1"/>
  <c r="FK580" i="1"/>
  <c r="FK581" i="1"/>
  <c r="FK582" i="1"/>
  <c r="FK583" i="1"/>
  <c r="FK584" i="1"/>
  <c r="FK585" i="1"/>
  <c r="FK586" i="1"/>
  <c r="FK587" i="1"/>
  <c r="FK588" i="1"/>
  <c r="FK589" i="1"/>
  <c r="FK590" i="1"/>
  <c r="FK591" i="1"/>
  <c r="FK592" i="1"/>
  <c r="FK593" i="1"/>
  <c r="FK594" i="1"/>
  <c r="FK595" i="1"/>
  <c r="FK596" i="1"/>
  <c r="FK597" i="1"/>
  <c r="FK598" i="1"/>
  <c r="FK599" i="1"/>
  <c r="FK600" i="1"/>
  <c r="FK601" i="1"/>
  <c r="FK602" i="1"/>
  <c r="FK603" i="1"/>
  <c r="FK604" i="1"/>
  <c r="FK605" i="1"/>
  <c r="FK606" i="1"/>
  <c r="FK607" i="1"/>
  <c r="FK608" i="1"/>
  <c r="FK609" i="1"/>
  <c r="FK610" i="1"/>
  <c r="FK611" i="1"/>
  <c r="FK612" i="1"/>
  <c r="FK613" i="1"/>
  <c r="FK614" i="1"/>
  <c r="FK615" i="1"/>
  <c r="FK616" i="1"/>
  <c r="FK617" i="1"/>
  <c r="FK618" i="1"/>
  <c r="FK619" i="1"/>
  <c r="FK620" i="1"/>
  <c r="FK621" i="1"/>
  <c r="FK622" i="1"/>
  <c r="FK623" i="1"/>
  <c r="FK624" i="1"/>
  <c r="FK625" i="1"/>
  <c r="FK626" i="1"/>
  <c r="FK627" i="1"/>
  <c r="FK628" i="1"/>
  <c r="FK629" i="1"/>
  <c r="FK630" i="1"/>
  <c r="FK631" i="1"/>
  <c r="FK632" i="1"/>
  <c r="FK633" i="1"/>
  <c r="FK634" i="1"/>
  <c r="FK635" i="1"/>
  <c r="FK636" i="1"/>
  <c r="FK637" i="1"/>
  <c r="FK638" i="1"/>
  <c r="FK639" i="1"/>
  <c r="FK640" i="1"/>
  <c r="FK641" i="1"/>
  <c r="FK642" i="1"/>
  <c r="FK643" i="1"/>
  <c r="FK644" i="1"/>
  <c r="FK645" i="1"/>
  <c r="FK646" i="1"/>
  <c r="FK647" i="1"/>
  <c r="FK648" i="1"/>
  <c r="FK649" i="1"/>
  <c r="FK650" i="1"/>
  <c r="FK651" i="1"/>
  <c r="FK652" i="1"/>
  <c r="FK653" i="1"/>
  <c r="FK654" i="1"/>
  <c r="FK655" i="1"/>
  <c r="FK656" i="1"/>
  <c r="FK657" i="1"/>
  <c r="FK658" i="1"/>
  <c r="FK659" i="1"/>
  <c r="FK660" i="1"/>
  <c r="FK661" i="1"/>
  <c r="FK662" i="1"/>
  <c r="FK663" i="1"/>
  <c r="FK664" i="1"/>
  <c r="FK665" i="1"/>
  <c r="FK666" i="1"/>
  <c r="FK667" i="1"/>
  <c r="FK668" i="1"/>
  <c r="FK669" i="1"/>
  <c r="FK670" i="1"/>
  <c r="FK671" i="1"/>
  <c r="FK672" i="1"/>
  <c r="FK673" i="1"/>
  <c r="FK674" i="1"/>
  <c r="FK675" i="1"/>
  <c r="FK676" i="1"/>
  <c r="FK677" i="1"/>
  <c r="FK678" i="1"/>
  <c r="FK679" i="1"/>
  <c r="FK680" i="1"/>
  <c r="FK681" i="1"/>
  <c r="FK682" i="1"/>
  <c r="FK683" i="1"/>
  <c r="FK684" i="1"/>
  <c r="FK685" i="1"/>
  <c r="FK686" i="1"/>
  <c r="FK687" i="1"/>
  <c r="FK688" i="1"/>
  <c r="FK689" i="1"/>
  <c r="FK690" i="1"/>
  <c r="FK691" i="1"/>
  <c r="FK692" i="1"/>
  <c r="FK693" i="1"/>
  <c r="FK694" i="1"/>
  <c r="FK695" i="1"/>
  <c r="FK696" i="1"/>
  <c r="FK697" i="1"/>
  <c r="FK698" i="1"/>
  <c r="FK699" i="1"/>
  <c r="FK700" i="1"/>
  <c r="FK701" i="1"/>
  <c r="FK702" i="1"/>
  <c r="FK703" i="1"/>
  <c r="FK704" i="1"/>
  <c r="FK705" i="1"/>
  <c r="FK706" i="1"/>
  <c r="FK707" i="1"/>
  <c r="FK708" i="1"/>
  <c r="FK709" i="1"/>
  <c r="FK710" i="1"/>
  <c r="FK711" i="1"/>
  <c r="FK712" i="1"/>
  <c r="FK713" i="1"/>
  <c r="FK714" i="1"/>
  <c r="FK715" i="1"/>
  <c r="FK716" i="1"/>
  <c r="FK717" i="1"/>
  <c r="FK718" i="1"/>
  <c r="FK719" i="1"/>
  <c r="FK720" i="1"/>
  <c r="FK721" i="1"/>
  <c r="FK722" i="1"/>
  <c r="FK723" i="1"/>
  <c r="FK724" i="1"/>
  <c r="FK725" i="1"/>
  <c r="FK726" i="1"/>
  <c r="FK727" i="1"/>
  <c r="FK728" i="1"/>
  <c r="FK729" i="1"/>
  <c r="FK730" i="1"/>
  <c r="FK731" i="1"/>
  <c r="FK732" i="1"/>
  <c r="FK733" i="1"/>
  <c r="FK734" i="1"/>
  <c r="FK735" i="1"/>
  <c r="FK736" i="1"/>
  <c r="FK737" i="1"/>
  <c r="FK738" i="1"/>
  <c r="FK739" i="1"/>
  <c r="FK740" i="1"/>
  <c r="FK741" i="1"/>
  <c r="FK742" i="1"/>
  <c r="FK743" i="1"/>
  <c r="FK744" i="1"/>
  <c r="FK745" i="1"/>
  <c r="FK746" i="1"/>
  <c r="FK747" i="1"/>
  <c r="FK748" i="1"/>
  <c r="FK749" i="1"/>
  <c r="FK750" i="1"/>
  <c r="FK751" i="1"/>
  <c r="FK752" i="1"/>
  <c r="FK753" i="1"/>
  <c r="FK754" i="1"/>
  <c r="FK755" i="1"/>
  <c r="FK756" i="1"/>
  <c r="FK757" i="1"/>
  <c r="FK758" i="1"/>
  <c r="FK759" i="1"/>
  <c r="FK760" i="1"/>
  <c r="FK761" i="1"/>
  <c r="FK762" i="1"/>
  <c r="FK763" i="1"/>
  <c r="FK764" i="1"/>
  <c r="FK765" i="1"/>
  <c r="FK766" i="1"/>
  <c r="FK767" i="1"/>
  <c r="FK768" i="1"/>
  <c r="FK769" i="1"/>
  <c r="FK770" i="1"/>
  <c r="FK771" i="1"/>
  <c r="FK772" i="1"/>
  <c r="FK773" i="1"/>
  <c r="FK774" i="1"/>
  <c r="FK775" i="1"/>
  <c r="FK776" i="1"/>
  <c r="FK777" i="1"/>
  <c r="FK778" i="1"/>
  <c r="FK779" i="1"/>
  <c r="FK780" i="1"/>
  <c r="FK781" i="1"/>
  <c r="FK782" i="1"/>
  <c r="FK783" i="1"/>
  <c r="FK784" i="1"/>
  <c r="FK785" i="1"/>
  <c r="FK786" i="1"/>
  <c r="FK787" i="1"/>
  <c r="FK788" i="1"/>
  <c r="FK789" i="1"/>
  <c r="FK790" i="1"/>
  <c r="FK791" i="1"/>
  <c r="FK792" i="1"/>
  <c r="FK793" i="1"/>
  <c r="FK794" i="1"/>
  <c r="FK795" i="1"/>
  <c r="FK796" i="1"/>
  <c r="FK797" i="1"/>
  <c r="FK798" i="1"/>
  <c r="FK799" i="1"/>
  <c r="FK800" i="1"/>
  <c r="FK801" i="1"/>
  <c r="FK802" i="1"/>
  <c r="FK803" i="1"/>
  <c r="FK804" i="1"/>
  <c r="FK805" i="1"/>
  <c r="FK806" i="1"/>
  <c r="FK807" i="1"/>
  <c r="FK808" i="1"/>
  <c r="FK809" i="1"/>
  <c r="FK810" i="1"/>
  <c r="FK811" i="1"/>
  <c r="FK812" i="1"/>
  <c r="FK813" i="1"/>
  <c r="FK814" i="1"/>
  <c r="FK815" i="1"/>
  <c r="FK816" i="1"/>
  <c r="FK817" i="1"/>
  <c r="FK818" i="1"/>
  <c r="FK819" i="1"/>
  <c r="FK820" i="1"/>
  <c r="FK821" i="1"/>
  <c r="FK822" i="1"/>
  <c r="FK823" i="1"/>
  <c r="FK824" i="1"/>
  <c r="FK825" i="1"/>
  <c r="FK826" i="1"/>
  <c r="FK827" i="1"/>
  <c r="FK828" i="1"/>
  <c r="FK829" i="1"/>
  <c r="FK830" i="1"/>
  <c r="FK831" i="1"/>
  <c r="FK832" i="1"/>
  <c r="FK833" i="1"/>
  <c r="FK834" i="1"/>
  <c r="FK835" i="1"/>
  <c r="FK836" i="1"/>
  <c r="FK837" i="1"/>
  <c r="FK838" i="1"/>
  <c r="FK839" i="1"/>
  <c r="FK840" i="1"/>
  <c r="FK841" i="1"/>
  <c r="FK842" i="1"/>
  <c r="FK843" i="1"/>
  <c r="FK844" i="1"/>
  <c r="FK845" i="1"/>
  <c r="FK846" i="1"/>
  <c r="FK847" i="1"/>
  <c r="FK848" i="1"/>
  <c r="FK849" i="1"/>
  <c r="FK850" i="1"/>
  <c r="FK851" i="1"/>
  <c r="FK852" i="1"/>
  <c r="FK853" i="1"/>
  <c r="FK854" i="1"/>
  <c r="FK855" i="1"/>
  <c r="FK856" i="1"/>
  <c r="FK857" i="1"/>
  <c r="FK858" i="1"/>
  <c r="FK859" i="1"/>
  <c r="FK860" i="1"/>
  <c r="FK861" i="1"/>
  <c r="FK862" i="1"/>
  <c r="FK863" i="1"/>
  <c r="FK864" i="1"/>
  <c r="FK865" i="1"/>
  <c r="FK866" i="1"/>
  <c r="FK867" i="1"/>
  <c r="FK868" i="1"/>
  <c r="FK869" i="1"/>
  <c r="FK870" i="1"/>
  <c r="FK871" i="1"/>
  <c r="FK872" i="1"/>
  <c r="FK873" i="1"/>
  <c r="FK874" i="1"/>
  <c r="FK875" i="1"/>
  <c r="FK876" i="1"/>
  <c r="FK877" i="1"/>
  <c r="FK878" i="1"/>
  <c r="FK879" i="1"/>
  <c r="FK880" i="1"/>
  <c r="FK881" i="1"/>
  <c r="FK882" i="1"/>
  <c r="FK883" i="1"/>
  <c r="FK884" i="1"/>
  <c r="FK885" i="1"/>
  <c r="FK886" i="1"/>
  <c r="FK887" i="1"/>
  <c r="FK888" i="1"/>
  <c r="FK889" i="1"/>
  <c r="FK890" i="1"/>
  <c r="FK891" i="1"/>
  <c r="FK892" i="1"/>
  <c r="FK893" i="1"/>
  <c r="FK894" i="1"/>
  <c r="FK895" i="1"/>
  <c r="FK896" i="1"/>
  <c r="FK897" i="1"/>
  <c r="FK898" i="1"/>
  <c r="FK899" i="1"/>
  <c r="FK900" i="1"/>
  <c r="FK901" i="1"/>
  <c r="FK902" i="1"/>
  <c r="FK903" i="1"/>
  <c r="FK904" i="1"/>
  <c r="FK905" i="1"/>
  <c r="FK906" i="1"/>
  <c r="FK907" i="1"/>
  <c r="FK908" i="1"/>
  <c r="FK909" i="1"/>
  <c r="FK910" i="1"/>
  <c r="FK911" i="1"/>
  <c r="FK912" i="1"/>
  <c r="FK913" i="1"/>
  <c r="FK914" i="1"/>
  <c r="FK915" i="1"/>
  <c r="FK916" i="1"/>
  <c r="FK917" i="1"/>
  <c r="FK918" i="1"/>
  <c r="FK919" i="1"/>
  <c r="FK920" i="1"/>
  <c r="FK921" i="1"/>
  <c r="FK922" i="1"/>
  <c r="FK923" i="1"/>
  <c r="FK924" i="1"/>
  <c r="FK925" i="1"/>
  <c r="FK926" i="1"/>
  <c r="FK927" i="1"/>
  <c r="FK928" i="1"/>
  <c r="FK929" i="1"/>
  <c r="FK930" i="1"/>
  <c r="FK931" i="1"/>
  <c r="FK932" i="1"/>
  <c r="FK933" i="1"/>
  <c r="FK934" i="1"/>
  <c r="FK935" i="1"/>
  <c r="FK936" i="1"/>
  <c r="FK937" i="1"/>
  <c r="FK938" i="1"/>
  <c r="FK939" i="1"/>
  <c r="FK940" i="1"/>
  <c r="FK941" i="1"/>
  <c r="FK942" i="1"/>
  <c r="FK943" i="1"/>
  <c r="FK944" i="1"/>
  <c r="FK945" i="1"/>
  <c r="FK946" i="1"/>
  <c r="FK947" i="1"/>
  <c r="FK948" i="1"/>
  <c r="FK949" i="1"/>
  <c r="FK950" i="1"/>
  <c r="FK951" i="1"/>
  <c r="FK952" i="1"/>
  <c r="FK953" i="1"/>
  <c r="FK954" i="1"/>
  <c r="FK955" i="1"/>
  <c r="FK956" i="1"/>
  <c r="FK957" i="1"/>
  <c r="FK958" i="1"/>
  <c r="FK959" i="1"/>
  <c r="FK960" i="1"/>
  <c r="FK961" i="1"/>
  <c r="FK962" i="1"/>
  <c r="FK963" i="1"/>
  <c r="FK964" i="1"/>
  <c r="FK965" i="1"/>
  <c r="FK966" i="1"/>
  <c r="FK967" i="1"/>
  <c r="FK968" i="1"/>
  <c r="FK969" i="1"/>
  <c r="FK970" i="1"/>
  <c r="FK971" i="1"/>
  <c r="FK972" i="1"/>
  <c r="FK973" i="1"/>
  <c r="FK974" i="1"/>
  <c r="FK975" i="1"/>
  <c r="FK976" i="1"/>
  <c r="FK977" i="1"/>
  <c r="FK978" i="1"/>
  <c r="FK979" i="1"/>
  <c r="FK980" i="1"/>
  <c r="FK981" i="1"/>
  <c r="FK982" i="1"/>
  <c r="FK983" i="1"/>
  <c r="FK984" i="1"/>
  <c r="FK985" i="1"/>
  <c r="FK986" i="1"/>
  <c r="FK987" i="1"/>
  <c r="FK988" i="1"/>
  <c r="FK989" i="1"/>
  <c r="FK990" i="1"/>
  <c r="FK991" i="1"/>
  <c r="FK992" i="1"/>
  <c r="FK993" i="1"/>
  <c r="FK994" i="1"/>
  <c r="FK995" i="1"/>
  <c r="FK996" i="1"/>
  <c r="FK997" i="1"/>
  <c r="FK998" i="1"/>
  <c r="FK999" i="1"/>
  <c r="FK1000" i="1"/>
  <c r="FK1001" i="1"/>
  <c r="FK1002" i="1"/>
  <c r="FK1003" i="1"/>
  <c r="FK1004" i="1"/>
  <c r="FK1005" i="1"/>
  <c r="FK1006" i="1"/>
  <c r="FK1007" i="1"/>
  <c r="H55" i="6"/>
  <c r="I55" i="6"/>
  <c r="J55" i="6"/>
  <c r="K55" i="6"/>
  <c r="L55" i="6"/>
  <c r="M55" i="6"/>
  <c r="N55" i="6"/>
  <c r="O55" i="6"/>
  <c r="P55" i="6"/>
  <c r="Q55" i="6"/>
  <c r="R55" i="6"/>
  <c r="S55" i="6"/>
  <c r="T55" i="6"/>
  <c r="U55" i="6"/>
  <c r="E55" i="6"/>
  <c r="F55" i="6"/>
  <c r="G55" i="6"/>
  <c r="D55" i="6"/>
  <c r="AJ22" i="8"/>
  <c r="AJ23" i="8"/>
  <c r="AJ24" i="8"/>
  <c r="AJ25" i="8"/>
  <c r="AJ26" i="8"/>
  <c r="AJ28" i="8"/>
  <c r="G22" i="3"/>
  <c r="H22" i="3"/>
  <c r="I22" i="3"/>
  <c r="J22" i="3"/>
  <c r="K22" i="3"/>
  <c r="L22" i="3"/>
  <c r="M22" i="3"/>
  <c r="N22" i="3"/>
  <c r="O22" i="3"/>
  <c r="P22" i="3"/>
  <c r="Q22" i="3"/>
  <c r="R22" i="3"/>
  <c r="S22" i="3"/>
  <c r="T22" i="3"/>
  <c r="U22" i="3"/>
  <c r="V22" i="3"/>
  <c r="W22" i="3"/>
  <c r="X22" i="3"/>
  <c r="Y22" i="3"/>
  <c r="M23" i="8"/>
  <c r="D44" i="6"/>
  <c r="D23" i="6"/>
  <c r="G9" i="3"/>
  <c r="E4" i="6"/>
  <c r="H9" i="3"/>
  <c r="F4" i="6"/>
  <c r="I9" i="3"/>
  <c r="G4" i="6"/>
  <c r="J9" i="3"/>
  <c r="H4" i="6"/>
  <c r="K9" i="3"/>
  <c r="I4" i="6"/>
  <c r="L9" i="3"/>
  <c r="J4" i="6"/>
  <c r="M9" i="3"/>
  <c r="K4" i="6"/>
  <c r="O9" i="3"/>
  <c r="L4" i="6"/>
  <c r="P9" i="3"/>
  <c r="M4" i="6"/>
  <c r="Q9" i="3"/>
  <c r="N4" i="6"/>
  <c r="R9" i="3"/>
  <c r="O4" i="6"/>
  <c r="S9" i="3"/>
  <c r="P4" i="6"/>
  <c r="T9" i="3"/>
  <c r="Q4" i="6"/>
  <c r="U9" i="3"/>
  <c r="R4" i="6"/>
  <c r="W9" i="3"/>
  <c r="S4" i="6"/>
  <c r="T4" i="6"/>
  <c r="U4" i="6"/>
  <c r="E5" i="6"/>
  <c r="F5" i="6"/>
  <c r="G5" i="6"/>
  <c r="H5" i="6"/>
  <c r="I5" i="6"/>
  <c r="J5" i="6"/>
  <c r="K5" i="6"/>
  <c r="L5" i="6"/>
  <c r="M5" i="6"/>
  <c r="N5" i="6"/>
  <c r="O5" i="6"/>
  <c r="P5" i="6"/>
  <c r="Q5" i="6"/>
  <c r="R5" i="6"/>
  <c r="S5" i="6"/>
  <c r="T5" i="6"/>
  <c r="U5" i="6"/>
  <c r="E6" i="6"/>
  <c r="F6" i="6"/>
  <c r="G6" i="6"/>
  <c r="H6" i="6"/>
  <c r="I6" i="6"/>
  <c r="J6" i="6"/>
  <c r="K6" i="6"/>
  <c r="L6" i="6"/>
  <c r="M6" i="6"/>
  <c r="N6" i="6"/>
  <c r="O6" i="6"/>
  <c r="P6" i="6"/>
  <c r="Q6" i="6"/>
  <c r="R6" i="6"/>
  <c r="S6" i="6"/>
  <c r="T6" i="6"/>
  <c r="U6" i="6"/>
  <c r="E7" i="6"/>
  <c r="F7" i="6"/>
  <c r="G7" i="6"/>
  <c r="H7" i="6"/>
  <c r="I7" i="6"/>
  <c r="J7" i="6"/>
  <c r="K7" i="6"/>
  <c r="L7" i="6"/>
  <c r="M7" i="6"/>
  <c r="N7" i="6"/>
  <c r="O7" i="6"/>
  <c r="P7" i="6"/>
  <c r="Q7" i="6"/>
  <c r="R7" i="6"/>
  <c r="S7" i="6"/>
  <c r="T7" i="6"/>
  <c r="U7" i="6"/>
  <c r="E8" i="6"/>
  <c r="F8" i="6"/>
  <c r="G8" i="6"/>
  <c r="H8" i="6"/>
  <c r="I8" i="6"/>
  <c r="J8" i="6"/>
  <c r="K8" i="6"/>
  <c r="L8" i="6"/>
  <c r="M8" i="6"/>
  <c r="N8" i="6"/>
  <c r="O8" i="6"/>
  <c r="P8" i="6"/>
  <c r="Q8" i="6"/>
  <c r="R8" i="6"/>
  <c r="S8" i="6"/>
  <c r="T8" i="6"/>
  <c r="U8" i="6"/>
  <c r="F9" i="3"/>
  <c r="D4" i="6"/>
  <c r="D5" i="6"/>
  <c r="D6" i="6"/>
  <c r="D7" i="6"/>
  <c r="D8" i="6"/>
  <c r="E12" i="6"/>
  <c r="F12" i="6"/>
  <c r="G12" i="6"/>
  <c r="H12" i="6"/>
  <c r="I12" i="6"/>
  <c r="J12" i="6"/>
  <c r="K12" i="6"/>
  <c r="L12" i="6"/>
  <c r="M12" i="6"/>
  <c r="N12" i="6"/>
  <c r="O12" i="6"/>
  <c r="P12" i="6"/>
  <c r="Q12" i="6"/>
  <c r="R12" i="6"/>
  <c r="S12" i="6"/>
  <c r="T12" i="6"/>
  <c r="U12" i="6"/>
  <c r="D12" i="6"/>
  <c r="I23" i="6"/>
  <c r="J23" i="6"/>
  <c r="K23" i="6"/>
  <c r="L23" i="6"/>
  <c r="M23" i="6"/>
  <c r="N23" i="6"/>
  <c r="O23" i="6"/>
  <c r="P23" i="6"/>
  <c r="Q23" i="6"/>
  <c r="R23" i="6"/>
  <c r="S23" i="6"/>
  <c r="T23" i="6"/>
  <c r="U23" i="6"/>
  <c r="E23" i="6"/>
  <c r="F23" i="6"/>
  <c r="G23" i="6"/>
  <c r="H23" i="6"/>
  <c r="A2" i="9"/>
  <c r="A2" i="10"/>
  <c r="A2" i="13"/>
  <c r="A31" i="13"/>
  <c r="A2" i="12"/>
  <c r="A1" i="11"/>
  <c r="A1" i="7"/>
  <c r="B1" i="6"/>
  <c r="E57" i="5"/>
  <c r="E24" i="5"/>
  <c r="E5" i="5"/>
  <c r="C4" i="4"/>
  <c r="D49" i="5"/>
  <c r="D50" i="5"/>
  <c r="D51" i="5"/>
  <c r="D66" i="5"/>
  <c r="D61" i="5"/>
  <c r="D53" i="5"/>
  <c r="E49" i="5"/>
  <c r="E50" i="5"/>
  <c r="D44" i="5"/>
  <c r="E42" i="5"/>
  <c r="C64" i="6"/>
  <c r="E29" i="5"/>
  <c r="D33" i="5"/>
  <c r="D30" i="5"/>
  <c r="E65" i="3"/>
  <c r="E55" i="3"/>
  <c r="D28" i="5"/>
  <c r="E27" i="5"/>
  <c r="C57" i="6"/>
  <c r="C55" i="6"/>
  <c r="E9" i="6"/>
  <c r="F9" i="6"/>
  <c r="G9" i="6"/>
  <c r="H9" i="6"/>
  <c r="I9" i="6"/>
  <c r="J9" i="6"/>
  <c r="K9" i="6"/>
  <c r="L9" i="6"/>
  <c r="M9" i="6"/>
  <c r="N9" i="6"/>
  <c r="O9" i="6"/>
  <c r="P9" i="6"/>
  <c r="Q9" i="6"/>
  <c r="R9" i="6"/>
  <c r="S9" i="6"/>
  <c r="T9" i="6"/>
  <c r="U9" i="6"/>
  <c r="E10" i="6"/>
  <c r="F10" i="6"/>
  <c r="G10" i="6"/>
  <c r="H10" i="6"/>
  <c r="I10" i="6"/>
  <c r="J10" i="6"/>
  <c r="K10" i="6"/>
  <c r="L10" i="6"/>
  <c r="M10" i="6"/>
  <c r="N10" i="6"/>
  <c r="O10" i="6"/>
  <c r="P10" i="6"/>
  <c r="Q10" i="6"/>
  <c r="R10" i="6"/>
  <c r="S10" i="6"/>
  <c r="T10" i="6"/>
  <c r="U10" i="6"/>
  <c r="E11" i="6"/>
  <c r="F11" i="6"/>
  <c r="G11" i="6"/>
  <c r="H11" i="6"/>
  <c r="I11" i="6"/>
  <c r="J11" i="6"/>
  <c r="K11" i="6"/>
  <c r="L11" i="6"/>
  <c r="M11" i="6"/>
  <c r="N11" i="6"/>
  <c r="O11" i="6"/>
  <c r="P11" i="6"/>
  <c r="Q11" i="6"/>
  <c r="R11" i="6"/>
  <c r="S11" i="6"/>
  <c r="T11" i="6"/>
  <c r="U11" i="6"/>
  <c r="E13" i="6"/>
  <c r="F13" i="6"/>
  <c r="G13" i="6"/>
  <c r="H13" i="6"/>
  <c r="I13" i="6"/>
  <c r="J13" i="6"/>
  <c r="K13" i="6"/>
  <c r="L13" i="6"/>
  <c r="M13" i="6"/>
  <c r="N13" i="6"/>
  <c r="O13" i="6"/>
  <c r="P13" i="6"/>
  <c r="Q13" i="6"/>
  <c r="R13" i="6"/>
  <c r="S13" i="6"/>
  <c r="T13" i="6"/>
  <c r="U13" i="6"/>
  <c r="E14" i="6"/>
  <c r="F14" i="6"/>
  <c r="G14" i="6"/>
  <c r="H14" i="6"/>
  <c r="I14" i="6"/>
  <c r="J14" i="6"/>
  <c r="K14" i="6"/>
  <c r="L14" i="6"/>
  <c r="M14" i="6"/>
  <c r="N14" i="6"/>
  <c r="O14" i="6"/>
  <c r="P14" i="6"/>
  <c r="Q14" i="6"/>
  <c r="R14" i="6"/>
  <c r="S14" i="6"/>
  <c r="T14" i="6"/>
  <c r="U14" i="6"/>
  <c r="E46" i="6"/>
  <c r="F46" i="6"/>
  <c r="G46" i="6"/>
  <c r="H46" i="6"/>
  <c r="I46" i="6"/>
  <c r="J46" i="6"/>
  <c r="K46" i="6"/>
  <c r="L46" i="6"/>
  <c r="M46" i="6"/>
  <c r="N46" i="6"/>
  <c r="O46" i="6"/>
  <c r="P46" i="6"/>
  <c r="Q46" i="6"/>
  <c r="R46" i="6"/>
  <c r="S46" i="6"/>
  <c r="T46" i="6"/>
  <c r="U46" i="6"/>
  <c r="E47" i="6"/>
  <c r="F47" i="6"/>
  <c r="G47" i="6"/>
  <c r="H47" i="6"/>
  <c r="I47" i="6"/>
  <c r="J47" i="6"/>
  <c r="K47" i="6"/>
  <c r="L47" i="6"/>
  <c r="M47" i="6"/>
  <c r="N47" i="6"/>
  <c r="O47" i="6"/>
  <c r="P47" i="6"/>
  <c r="Q47" i="6"/>
  <c r="R47" i="6"/>
  <c r="S47" i="6"/>
  <c r="T47" i="6"/>
  <c r="U47" i="6"/>
  <c r="E51" i="6"/>
  <c r="F51" i="6"/>
  <c r="G51" i="6"/>
  <c r="H51" i="6"/>
  <c r="I51" i="6"/>
  <c r="J51" i="6"/>
  <c r="K51" i="6"/>
  <c r="L51" i="6"/>
  <c r="M51" i="6"/>
  <c r="N51" i="6"/>
  <c r="O51" i="6"/>
  <c r="P51" i="6"/>
  <c r="Q51" i="6"/>
  <c r="R51" i="6"/>
  <c r="S51" i="6"/>
  <c r="T51" i="6"/>
  <c r="U51" i="6"/>
  <c r="E53" i="6"/>
  <c r="F53" i="6"/>
  <c r="G53" i="6"/>
  <c r="H53" i="6"/>
  <c r="I53" i="6"/>
  <c r="J53" i="6"/>
  <c r="K53" i="6"/>
  <c r="L53" i="6"/>
  <c r="M53" i="6"/>
  <c r="N53" i="6"/>
  <c r="O53" i="6"/>
  <c r="P53" i="6"/>
  <c r="Q53" i="6"/>
  <c r="R53" i="6"/>
  <c r="S53" i="6"/>
  <c r="T53" i="6"/>
  <c r="U53" i="6"/>
  <c r="E54" i="6"/>
  <c r="F54" i="6"/>
  <c r="G54" i="6"/>
  <c r="H54" i="6"/>
  <c r="I54" i="6"/>
  <c r="J54" i="6"/>
  <c r="K54" i="6"/>
  <c r="L54" i="6"/>
  <c r="M54" i="6"/>
  <c r="N54" i="6"/>
  <c r="O54" i="6"/>
  <c r="P54" i="6"/>
  <c r="Q54" i="6"/>
  <c r="R54" i="6"/>
  <c r="S54" i="6"/>
  <c r="T54" i="6"/>
  <c r="U54" i="6"/>
  <c r="D51" i="6"/>
  <c r="D13" i="6"/>
  <c r="C54" i="6"/>
  <c r="C53" i="6"/>
  <c r="E79" i="6"/>
  <c r="F79" i="6"/>
  <c r="G79" i="6"/>
  <c r="H79" i="6"/>
  <c r="I79" i="6"/>
  <c r="J79" i="6"/>
  <c r="K79" i="6"/>
  <c r="L79" i="6"/>
  <c r="M79" i="6"/>
  <c r="N79" i="6"/>
  <c r="O79" i="6"/>
  <c r="P79" i="6"/>
  <c r="Q79" i="6"/>
  <c r="R79" i="6"/>
  <c r="S79" i="6"/>
  <c r="T79" i="6"/>
  <c r="U79" i="6"/>
  <c r="D79" i="6"/>
  <c r="D54" i="6"/>
  <c r="D53" i="6"/>
  <c r="C43" i="6"/>
  <c r="C49" i="6"/>
  <c r="C48" i="6"/>
  <c r="C47" i="6"/>
  <c r="C46" i="6"/>
  <c r="D47" i="6"/>
  <c r="D46" i="6"/>
  <c r="Z22" i="8"/>
  <c r="AA22" i="8"/>
  <c r="Z23" i="8"/>
  <c r="AA23" i="8"/>
  <c r="Z24" i="8"/>
  <c r="AA24" i="8"/>
  <c r="Z25" i="8"/>
  <c r="AA25" i="8"/>
  <c r="Z26" i="8"/>
  <c r="AA26" i="8"/>
  <c r="Z28" i="8"/>
  <c r="AA28" i="8"/>
  <c r="N9" i="3"/>
  <c r="V9" i="3"/>
  <c r="D14" i="6"/>
  <c r="D9" i="6"/>
  <c r="D11" i="6"/>
  <c r="D10" i="6"/>
  <c r="B25" i="4"/>
  <c r="B11" i="4"/>
  <c r="B12" i="4"/>
  <c r="B13" i="4"/>
  <c r="B14" i="4"/>
  <c r="B15" i="4"/>
  <c r="B16" i="4"/>
  <c r="B17" i="4"/>
  <c r="B18" i="4"/>
  <c r="B19" i="4"/>
  <c r="B20" i="4"/>
  <c r="B21" i="4"/>
  <c r="B22" i="4"/>
  <c r="B23" i="4"/>
  <c r="B10" i="4"/>
  <c r="AO28" i="8"/>
  <c r="AP28" i="8"/>
  <c r="AL28" i="8"/>
  <c r="AH28" i="8"/>
  <c r="AF28" i="8"/>
  <c r="M28" i="8"/>
  <c r="K28" i="8"/>
  <c r="I28" i="8"/>
  <c r="G28" i="8"/>
  <c r="AO22" i="8"/>
  <c r="AP22" i="8"/>
  <c r="AO23" i="8"/>
  <c r="AP23" i="8"/>
  <c r="AO24" i="8"/>
  <c r="AP24" i="8"/>
  <c r="AO25" i="8"/>
  <c r="AP25" i="8"/>
  <c r="AO26" i="8"/>
  <c r="AP26" i="8"/>
  <c r="AL22" i="8"/>
  <c r="AL23" i="8"/>
  <c r="AL24" i="8"/>
  <c r="AL25" i="8"/>
  <c r="AL26" i="8"/>
  <c r="AH22" i="8"/>
  <c r="AH23" i="8"/>
  <c r="AH24" i="8"/>
  <c r="AH25" i="8"/>
  <c r="AH26" i="8"/>
  <c r="AF22" i="8"/>
  <c r="AF23" i="8"/>
  <c r="AF24" i="8"/>
  <c r="AF25" i="8"/>
  <c r="AF26" i="8"/>
  <c r="G22" i="8"/>
  <c r="G23" i="8"/>
  <c r="G24" i="8"/>
  <c r="G25" i="8"/>
  <c r="G26" i="8"/>
  <c r="M26" i="8"/>
  <c r="M25" i="8"/>
  <c r="M24" i="8"/>
  <c r="M22" i="8"/>
  <c r="I26" i="8"/>
  <c r="I25" i="8"/>
  <c r="I24" i="8"/>
  <c r="I23" i="8"/>
  <c r="I22" i="8"/>
  <c r="K22" i="8"/>
  <c r="K23" i="8"/>
  <c r="K24" i="8"/>
  <c r="K25" i="8"/>
  <c r="K26" i="8"/>
  <c r="E4" i="14"/>
  <c r="E5" i="14"/>
  <c r="E6" i="14"/>
  <c r="E7" i="14"/>
  <c r="E8" i="14"/>
  <c r="E9" i="14"/>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54" i="14"/>
  <c r="E55" i="14"/>
  <c r="E56" i="14"/>
  <c r="E57" i="14"/>
  <c r="E58" i="14"/>
  <c r="E59" i="14"/>
  <c r="E60" i="14"/>
  <c r="E61" i="14"/>
  <c r="E3"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4" i="14"/>
  <c r="C5" i="14"/>
  <c r="C6" i="14"/>
  <c r="C7" i="14"/>
  <c r="C8" i="14"/>
  <c r="C9" i="14"/>
  <c r="C10" i="14"/>
  <c r="C11" i="14"/>
  <c r="C12" i="14"/>
  <c r="C13" i="14"/>
  <c r="C14" i="14"/>
  <c r="C15" i="14"/>
  <c r="C16" i="14"/>
  <c r="C17" i="14"/>
  <c r="C18" i="14"/>
  <c r="C19" i="14"/>
  <c r="C20" i="14"/>
  <c r="C21" i="14"/>
  <c r="C22" i="14"/>
  <c r="C3" i="14"/>
  <c r="N142" i="11"/>
  <c r="N141" i="11"/>
  <c r="N140" i="11"/>
  <c r="O140" i="11"/>
  <c r="O141" i="11"/>
  <c r="O142" i="11"/>
  <c r="N143" i="11"/>
  <c r="O143" i="11"/>
  <c r="N144" i="11"/>
  <c r="O144" i="11"/>
  <c r="N145" i="11"/>
  <c r="O145" i="11"/>
  <c r="N146" i="11"/>
  <c r="O146" i="11"/>
  <c r="N147" i="11"/>
  <c r="O147" i="11"/>
  <c r="N148" i="11"/>
  <c r="O148" i="11"/>
  <c r="N149" i="11"/>
  <c r="O149" i="11"/>
  <c r="N150" i="11"/>
  <c r="O150" i="11"/>
  <c r="N151" i="11"/>
  <c r="L151" i="11"/>
  <c r="N115" i="11"/>
  <c r="N116" i="11"/>
  <c r="N117" i="11"/>
  <c r="N118" i="11"/>
  <c r="N119" i="11"/>
  <c r="N120" i="11"/>
  <c r="N121" i="11"/>
  <c r="N122" i="11"/>
  <c r="N123" i="11"/>
  <c r="N124" i="11"/>
  <c r="N125" i="11"/>
  <c r="N126" i="11"/>
  <c r="N127" i="11"/>
  <c r="N128" i="11"/>
  <c r="N129" i="11"/>
  <c r="N130" i="11"/>
  <c r="N131" i="11"/>
  <c r="N132" i="11"/>
  <c r="N133" i="11"/>
  <c r="N134" i="11"/>
  <c r="N135" i="11"/>
  <c r="N136" i="11"/>
  <c r="O115" i="11"/>
  <c r="O116" i="11"/>
  <c r="O117" i="11"/>
  <c r="O118" i="11"/>
  <c r="O119" i="11"/>
  <c r="O120" i="11"/>
  <c r="O121" i="11"/>
  <c r="O122" i="11"/>
  <c r="O123" i="11"/>
  <c r="O124" i="11"/>
  <c r="O125" i="11"/>
  <c r="O126" i="11"/>
  <c r="O127" i="11"/>
  <c r="O128" i="11"/>
  <c r="O129" i="11"/>
  <c r="O130" i="11"/>
  <c r="O131" i="11"/>
  <c r="O132" i="11"/>
  <c r="O133" i="11"/>
  <c r="O134" i="11"/>
  <c r="O135" i="11"/>
  <c r="L136" i="11"/>
  <c r="C187" i="12"/>
  <c r="C168" i="12"/>
  <c r="C295" i="12"/>
  <c r="C278" i="12"/>
  <c r="C80" i="12"/>
  <c r="C26" i="12"/>
  <c r="C319" i="12"/>
  <c r="C253" i="12"/>
  <c r="C74" i="12"/>
  <c r="C72" i="12"/>
  <c r="C78" i="12"/>
  <c r="C73" i="12"/>
  <c r="C75" i="12"/>
  <c r="C69" i="12"/>
  <c r="C76" i="12"/>
  <c r="C79" i="12"/>
  <c r="C277" i="12"/>
  <c r="C298" i="12"/>
  <c r="C67" i="12"/>
  <c r="C68" i="12"/>
  <c r="C181" i="12"/>
  <c r="C179" i="12"/>
  <c r="C142" i="12"/>
  <c r="C141" i="12"/>
  <c r="C294" i="12"/>
  <c r="C66" i="12"/>
  <c r="C140" i="12"/>
  <c r="C132" i="12"/>
  <c r="C128" i="12"/>
  <c r="C84" i="12"/>
  <c r="C62" i="12"/>
  <c r="C124" i="12"/>
  <c r="C177" i="12"/>
  <c r="C292" i="12"/>
  <c r="C70" i="12"/>
  <c r="C299" i="12"/>
  <c r="C61" i="12"/>
  <c r="C59" i="12"/>
  <c r="C134" i="12"/>
  <c r="C139" i="12"/>
  <c r="C211" i="12"/>
  <c r="CT11" i="1"/>
  <c r="CT12" i="1"/>
  <c r="CT13" i="1"/>
  <c r="CT14" i="1"/>
  <c r="CT15" i="1"/>
  <c r="CT16" i="1"/>
  <c r="CT17" i="1"/>
  <c r="CT18" i="1"/>
  <c r="CT19" i="1"/>
  <c r="CT20" i="1"/>
  <c r="CT21" i="1"/>
  <c r="CT22" i="1"/>
  <c r="CT23" i="1"/>
  <c r="CT24" i="1"/>
  <c r="CT25" i="1"/>
  <c r="CT26" i="1"/>
  <c r="CT27" i="1"/>
  <c r="CT28" i="1"/>
  <c r="CT29" i="1"/>
  <c r="CT30" i="1"/>
  <c r="CT31" i="1"/>
  <c r="CT32" i="1"/>
  <c r="CT33" i="1"/>
  <c r="CT34" i="1"/>
  <c r="CT35" i="1"/>
  <c r="CT36" i="1"/>
  <c r="CT37" i="1"/>
  <c r="CT38" i="1"/>
  <c r="CT39" i="1"/>
  <c r="CT40" i="1"/>
  <c r="CT41" i="1"/>
  <c r="CT42" i="1"/>
  <c r="CT43" i="1"/>
  <c r="CT44" i="1"/>
  <c r="CT45" i="1"/>
  <c r="CT46" i="1"/>
  <c r="CT47" i="1"/>
  <c r="CT9" i="1"/>
  <c r="CT10" i="1"/>
  <c r="CT8" i="1"/>
  <c r="K78" i="11"/>
  <c r="L78" i="11"/>
  <c r="M58" i="11"/>
  <c r="M59" i="11"/>
  <c r="M60" i="11"/>
  <c r="M61" i="11"/>
  <c r="M62" i="11"/>
  <c r="M63" i="11"/>
  <c r="M64" i="11"/>
  <c r="M65" i="11"/>
  <c r="M66" i="11"/>
  <c r="M67" i="11"/>
  <c r="M68" i="11"/>
  <c r="M69" i="11"/>
  <c r="M70" i="11"/>
  <c r="M71" i="11"/>
  <c r="M72" i="11"/>
  <c r="M73" i="11"/>
  <c r="M76" i="11"/>
  <c r="M77" i="11"/>
  <c r="M78" i="11"/>
  <c r="N58" i="11"/>
  <c r="N59" i="11"/>
  <c r="N60" i="11"/>
  <c r="N61" i="11"/>
  <c r="N62" i="11"/>
  <c r="N63" i="11"/>
  <c r="N64" i="11"/>
  <c r="N65" i="11"/>
  <c r="N66" i="11"/>
  <c r="N67" i="11"/>
  <c r="N68" i="11"/>
  <c r="N69" i="11"/>
  <c r="N70" i="11"/>
  <c r="N71" i="11"/>
  <c r="N72" i="11"/>
  <c r="N73" i="11"/>
  <c r="N76" i="11"/>
  <c r="N77" i="11"/>
  <c r="N78" i="11"/>
  <c r="J78" i="11"/>
  <c r="AC5" i="12"/>
  <c r="AC6" i="12"/>
  <c r="AC7" i="12"/>
  <c r="AC8" i="12"/>
  <c r="AC9" i="12"/>
  <c r="AC10" i="12"/>
  <c r="AC11" i="12"/>
  <c r="AC12" i="12"/>
  <c r="AC13" i="12"/>
  <c r="AC14" i="12"/>
  <c r="AC15" i="12"/>
  <c r="AC16" i="12"/>
  <c r="AC17" i="12"/>
  <c r="AC18" i="12"/>
  <c r="AC19" i="12"/>
  <c r="AC20" i="12"/>
  <c r="AC21" i="12"/>
  <c r="AC22" i="12"/>
  <c r="AC23" i="12"/>
  <c r="AC24" i="12"/>
  <c r="AC25" i="12"/>
  <c r="AC26" i="12"/>
  <c r="AC27" i="12"/>
  <c r="AC28" i="12"/>
  <c r="AC29" i="12"/>
  <c r="AC30" i="12"/>
  <c r="AC31" i="12"/>
  <c r="AC32" i="12"/>
  <c r="AC33" i="12"/>
  <c r="AC34" i="12"/>
  <c r="AC35" i="12"/>
  <c r="AC36" i="12"/>
  <c r="AC37" i="12"/>
  <c r="AC38" i="12"/>
  <c r="AC39" i="12"/>
  <c r="AC40" i="12"/>
  <c r="AC41" i="12"/>
  <c r="AC42" i="12"/>
  <c r="AC43" i="12"/>
  <c r="AC44" i="12"/>
  <c r="AC45" i="12"/>
  <c r="AC46" i="12"/>
  <c r="AC47" i="12"/>
  <c r="AC48" i="12"/>
  <c r="AC49" i="12"/>
  <c r="AC50" i="12"/>
  <c r="AC51" i="12"/>
  <c r="AC52" i="12"/>
  <c r="AC53" i="12"/>
  <c r="AC54" i="12"/>
  <c r="AC55" i="12"/>
  <c r="AC56" i="12"/>
  <c r="AC57" i="12"/>
  <c r="AC58" i="12"/>
  <c r="AC59" i="12"/>
  <c r="AC60" i="12"/>
  <c r="AC61" i="12"/>
  <c r="AC62" i="12"/>
  <c r="AC63" i="12"/>
  <c r="AC64" i="12"/>
  <c r="AC65" i="12"/>
  <c r="AC66" i="12"/>
  <c r="AC67" i="12"/>
  <c r="AC68" i="12"/>
  <c r="AC69" i="12"/>
  <c r="AC70" i="12"/>
  <c r="AC71" i="12"/>
  <c r="AC72" i="12"/>
  <c r="AC73" i="12"/>
  <c r="AC74" i="12"/>
  <c r="AC75" i="12"/>
  <c r="AC76" i="12"/>
  <c r="AC77" i="12"/>
  <c r="AC78" i="12"/>
  <c r="AC79" i="12"/>
  <c r="AC80" i="12"/>
  <c r="AC81" i="12"/>
  <c r="AC82" i="12"/>
  <c r="AC83" i="12"/>
  <c r="AC84" i="12"/>
  <c r="AC85" i="12"/>
  <c r="AC86" i="12"/>
  <c r="AC87" i="12"/>
  <c r="AC88" i="12"/>
  <c r="AC89" i="12"/>
  <c r="AC90" i="12"/>
  <c r="AC91" i="12"/>
  <c r="AC92" i="12"/>
  <c r="AC93" i="12"/>
  <c r="AC94" i="12"/>
  <c r="AC95" i="12"/>
  <c r="AC96" i="12"/>
  <c r="AC97" i="12"/>
  <c r="AC98" i="12"/>
  <c r="AC99" i="12"/>
  <c r="AC100" i="12"/>
  <c r="AC101" i="12"/>
  <c r="AC102" i="12"/>
  <c r="AC103" i="12"/>
  <c r="AC104" i="12"/>
  <c r="AC105" i="12"/>
  <c r="AC106" i="12"/>
  <c r="AC107" i="12"/>
  <c r="AC108" i="12"/>
  <c r="AC109" i="12"/>
  <c r="AC110" i="12"/>
  <c r="AC111" i="12"/>
  <c r="AC112" i="12"/>
  <c r="AC113" i="12"/>
  <c r="AC114" i="12"/>
  <c r="AC115" i="12"/>
  <c r="AC116" i="12"/>
  <c r="AC117" i="12"/>
  <c r="AC118" i="12"/>
  <c r="AC119" i="12"/>
  <c r="AC120" i="12"/>
  <c r="AC121" i="12"/>
  <c r="AC122" i="12"/>
  <c r="AC123" i="12"/>
  <c r="AC124" i="12"/>
  <c r="AC125" i="12"/>
  <c r="AC126" i="12"/>
  <c r="AC127" i="12"/>
  <c r="AC128" i="12"/>
  <c r="AC129" i="12"/>
  <c r="AC130" i="12"/>
  <c r="AC131" i="12"/>
  <c r="AC132" i="12"/>
  <c r="AC133" i="12"/>
  <c r="AC134" i="12"/>
  <c r="AC135" i="12"/>
  <c r="AC136" i="12"/>
  <c r="AC137" i="12"/>
  <c r="AC138" i="12"/>
  <c r="AC139" i="12"/>
  <c r="AC140" i="12"/>
  <c r="AC141" i="12"/>
  <c r="AC142" i="12"/>
  <c r="AC143" i="12"/>
  <c r="AC144" i="12"/>
  <c r="AC145" i="12"/>
  <c r="AC146" i="12"/>
  <c r="AC147" i="12"/>
  <c r="AC148" i="12"/>
  <c r="AC149" i="12"/>
  <c r="AC150" i="12"/>
  <c r="AC151" i="12"/>
  <c r="AC152" i="12"/>
  <c r="AC153" i="12"/>
  <c r="AC154" i="12"/>
  <c r="AC155" i="12"/>
  <c r="AC156" i="12"/>
  <c r="AC157" i="12"/>
  <c r="AC158" i="12"/>
  <c r="AC159" i="12"/>
  <c r="AC160" i="12"/>
  <c r="AC161" i="12"/>
  <c r="AC162" i="12"/>
  <c r="AC163" i="12"/>
  <c r="AC164" i="12"/>
  <c r="AC165" i="12"/>
  <c r="AC166" i="12"/>
  <c r="AC167" i="12"/>
  <c r="AC168" i="12"/>
  <c r="AC169" i="12"/>
  <c r="AC170" i="12"/>
  <c r="AC171" i="12"/>
  <c r="AC172" i="12"/>
  <c r="AC173" i="12"/>
  <c r="AC174" i="12"/>
  <c r="AC175" i="12"/>
  <c r="AC176" i="12"/>
  <c r="AC177" i="12"/>
  <c r="AC178" i="12"/>
  <c r="AC179" i="12"/>
  <c r="AC180" i="12"/>
  <c r="AC181" i="12"/>
  <c r="AC182" i="12"/>
  <c r="AC183" i="12"/>
  <c r="AC184" i="12"/>
  <c r="AC185" i="12"/>
  <c r="AC186" i="12"/>
  <c r="AC187" i="12"/>
  <c r="AC188" i="12"/>
  <c r="AC189" i="12"/>
  <c r="AC190" i="12"/>
  <c r="AC191" i="12"/>
  <c r="AC192" i="12"/>
  <c r="AC193" i="12"/>
  <c r="AC194" i="12"/>
  <c r="AC195" i="12"/>
  <c r="AC196" i="12"/>
  <c r="AC197" i="12"/>
  <c r="AC198" i="12"/>
  <c r="AC199" i="12"/>
  <c r="AC200" i="12"/>
  <c r="AC201" i="12"/>
  <c r="AC202" i="12"/>
  <c r="AC203" i="12"/>
  <c r="AC204" i="12"/>
  <c r="AC205" i="12"/>
  <c r="AC206" i="12"/>
  <c r="AC207" i="12"/>
  <c r="AC208" i="12"/>
  <c r="AC209" i="12"/>
  <c r="AC210" i="12"/>
  <c r="AC211" i="12"/>
  <c r="AC212" i="12"/>
  <c r="AC213" i="12"/>
  <c r="AC214" i="12"/>
  <c r="AC215" i="12"/>
  <c r="AC216" i="12"/>
  <c r="AC217" i="12"/>
  <c r="AC218" i="12"/>
  <c r="AC219" i="12"/>
  <c r="AC220" i="12"/>
  <c r="AC221" i="12"/>
  <c r="AC222" i="12"/>
  <c r="AC223" i="12"/>
  <c r="AC224" i="12"/>
  <c r="AC225" i="12"/>
  <c r="AC226" i="12"/>
  <c r="AC227" i="12"/>
  <c r="AC228" i="12"/>
  <c r="AC229" i="12"/>
  <c r="AC230" i="12"/>
  <c r="AC231" i="12"/>
  <c r="AC232" i="12"/>
  <c r="AC233" i="12"/>
  <c r="AC234" i="12"/>
  <c r="AC235" i="12"/>
  <c r="AC236" i="12"/>
  <c r="AC237" i="12"/>
  <c r="AC238" i="12"/>
  <c r="AC239" i="12"/>
  <c r="AC240" i="12"/>
  <c r="AC241" i="12"/>
  <c r="AC242" i="12"/>
  <c r="AC243" i="12"/>
  <c r="AC244" i="12"/>
  <c r="AC245" i="12"/>
  <c r="AC246" i="12"/>
  <c r="AC247" i="12"/>
  <c r="AC248" i="12"/>
  <c r="AC249" i="12"/>
  <c r="AC250" i="12"/>
  <c r="AC251" i="12"/>
  <c r="AC252" i="12"/>
  <c r="AC253" i="12"/>
  <c r="AC254" i="12"/>
  <c r="AC255" i="12"/>
  <c r="AC256" i="12"/>
  <c r="AC257" i="12"/>
  <c r="AC258" i="12"/>
  <c r="AC259" i="12"/>
  <c r="AC260" i="12"/>
  <c r="AC261" i="12"/>
  <c r="AC262" i="12"/>
  <c r="AC263" i="12"/>
  <c r="AC264" i="12"/>
  <c r="AC265" i="12"/>
  <c r="AC266" i="12"/>
  <c r="AC267" i="12"/>
  <c r="AC268" i="12"/>
  <c r="AC269" i="12"/>
  <c r="AC270" i="12"/>
  <c r="AC271" i="12"/>
  <c r="AC272" i="12"/>
  <c r="AC273" i="12"/>
  <c r="AC274" i="12"/>
  <c r="AC275" i="12"/>
  <c r="AC276" i="12"/>
  <c r="AC277" i="12"/>
  <c r="AC278" i="12"/>
  <c r="AC279" i="12"/>
  <c r="AC280" i="12"/>
  <c r="AC281" i="12"/>
  <c r="AC282" i="12"/>
  <c r="AC283" i="12"/>
  <c r="AC284" i="12"/>
  <c r="AC285" i="12"/>
  <c r="AC286" i="12"/>
  <c r="AC287" i="12"/>
  <c r="AC288" i="12"/>
  <c r="AC289" i="12"/>
  <c r="AC290" i="12"/>
  <c r="AC291" i="12"/>
  <c r="AC292" i="12"/>
  <c r="AC293" i="12"/>
  <c r="AC294" i="12"/>
  <c r="AC295" i="12"/>
  <c r="AC296" i="12"/>
  <c r="AC297" i="12"/>
  <c r="AC298" i="12"/>
  <c r="AC299" i="12"/>
  <c r="AC300" i="12"/>
  <c r="AC301" i="12"/>
  <c r="AC302" i="12"/>
  <c r="AC303" i="12"/>
  <c r="AC304" i="12"/>
  <c r="AC305" i="12"/>
  <c r="AC306" i="12"/>
  <c r="AC307" i="12"/>
  <c r="AC308" i="12"/>
  <c r="AC309" i="12"/>
  <c r="AC310" i="12"/>
  <c r="AC311" i="12"/>
  <c r="AC312" i="12"/>
  <c r="AC313" i="12"/>
  <c r="AC314" i="12"/>
  <c r="AC315" i="12"/>
  <c r="AC316" i="12"/>
  <c r="AC317" i="12"/>
  <c r="AC318" i="12"/>
  <c r="AC319" i="12"/>
  <c r="AC4" i="12"/>
  <c r="Z317" i="12"/>
  <c r="AB317" i="12"/>
  <c r="Z318" i="12"/>
  <c r="AB318" i="12"/>
  <c r="Z319" i="12"/>
  <c r="AB319" i="12"/>
  <c r="Z214" i="12"/>
  <c r="AB214" i="12"/>
  <c r="Z215" i="12"/>
  <c r="AB215" i="12"/>
  <c r="Z216" i="12"/>
  <c r="AB216" i="12"/>
  <c r="Z217" i="12"/>
  <c r="AB217" i="12"/>
  <c r="Z218" i="12"/>
  <c r="AB218" i="12"/>
  <c r="Z219" i="12"/>
  <c r="AB219" i="12"/>
  <c r="Z220" i="12"/>
  <c r="AB220" i="12"/>
  <c r="Z221" i="12"/>
  <c r="AB221" i="12"/>
  <c r="Z222" i="12"/>
  <c r="AB222" i="12"/>
  <c r="Z223" i="12"/>
  <c r="AB223" i="12"/>
  <c r="Z224" i="12"/>
  <c r="AB224" i="12"/>
  <c r="Z225" i="12"/>
  <c r="AB225" i="12"/>
  <c r="Z226" i="12"/>
  <c r="AB226" i="12"/>
  <c r="Z227" i="12"/>
  <c r="AB227" i="12"/>
  <c r="Z228" i="12"/>
  <c r="AB228" i="12"/>
  <c r="Z229" i="12"/>
  <c r="AB229" i="12"/>
  <c r="Z230" i="12"/>
  <c r="AB230" i="12"/>
  <c r="Z231" i="12"/>
  <c r="AB231" i="12"/>
  <c r="Z232" i="12"/>
  <c r="AB232" i="12"/>
  <c r="Z233" i="12"/>
  <c r="AB233" i="12"/>
  <c r="Z234" i="12"/>
  <c r="AB234" i="12"/>
  <c r="Z235" i="12"/>
  <c r="AB235" i="12"/>
  <c r="Z236" i="12"/>
  <c r="AB236" i="12"/>
  <c r="Z237" i="12"/>
  <c r="AB237" i="12"/>
  <c r="Z238" i="12"/>
  <c r="AB238" i="12"/>
  <c r="Z239" i="12"/>
  <c r="AB239" i="12"/>
  <c r="Z240" i="12"/>
  <c r="AB240" i="12"/>
  <c r="Z241" i="12"/>
  <c r="AB241" i="12"/>
  <c r="Z242" i="12"/>
  <c r="AB242" i="12"/>
  <c r="Z243" i="12"/>
  <c r="AB243" i="12"/>
  <c r="Z244" i="12"/>
  <c r="AB244" i="12"/>
  <c r="Z245" i="12"/>
  <c r="AB245" i="12"/>
  <c r="Z246" i="12"/>
  <c r="AB246" i="12"/>
  <c r="Z247" i="12"/>
  <c r="AB247" i="12"/>
  <c r="Z248" i="12"/>
  <c r="AB248" i="12"/>
  <c r="Z249" i="12"/>
  <c r="AB249" i="12"/>
  <c r="Z250" i="12"/>
  <c r="AB250" i="12"/>
  <c r="Z251" i="12"/>
  <c r="AB251" i="12"/>
  <c r="Z252" i="12"/>
  <c r="AB252" i="12"/>
  <c r="Z253" i="12"/>
  <c r="AB253" i="12"/>
  <c r="Z254" i="12"/>
  <c r="AB254" i="12"/>
  <c r="Z255" i="12"/>
  <c r="AB255" i="12"/>
  <c r="Z256" i="12"/>
  <c r="AB256" i="12"/>
  <c r="Z257" i="12"/>
  <c r="AB257" i="12"/>
  <c r="Z258" i="12"/>
  <c r="AB258" i="12"/>
  <c r="Z259" i="12"/>
  <c r="AB259" i="12"/>
  <c r="Z260" i="12"/>
  <c r="AB260" i="12"/>
  <c r="Z261" i="12"/>
  <c r="AB261" i="12"/>
  <c r="Z262" i="12"/>
  <c r="AB262" i="12"/>
  <c r="Z263" i="12"/>
  <c r="AB263" i="12"/>
  <c r="Z264" i="12"/>
  <c r="AB264" i="12"/>
  <c r="Z265" i="12"/>
  <c r="AB265" i="12"/>
  <c r="Z266" i="12"/>
  <c r="AB266" i="12"/>
  <c r="Z267" i="12"/>
  <c r="AB267" i="12"/>
  <c r="Z268" i="12"/>
  <c r="AB268" i="12"/>
  <c r="Z269" i="12"/>
  <c r="AB269" i="12"/>
  <c r="Z270" i="12"/>
  <c r="AB270" i="12"/>
  <c r="Z271" i="12"/>
  <c r="AB271" i="12"/>
  <c r="Z272" i="12"/>
  <c r="AB272" i="12"/>
  <c r="Z273" i="12"/>
  <c r="AB273" i="12"/>
  <c r="Z274" i="12"/>
  <c r="AB274" i="12"/>
  <c r="Z275" i="12"/>
  <c r="AB275" i="12"/>
  <c r="Z276" i="12"/>
  <c r="AB276" i="12"/>
  <c r="Z277" i="12"/>
  <c r="AB277" i="12"/>
  <c r="Z278" i="12"/>
  <c r="AB278" i="12"/>
  <c r="Z279" i="12"/>
  <c r="AB279" i="12"/>
  <c r="Z280" i="12"/>
  <c r="AB280" i="12"/>
  <c r="Z281" i="12"/>
  <c r="AB281" i="12"/>
  <c r="Z282" i="12"/>
  <c r="AB282" i="12"/>
  <c r="Z283" i="12"/>
  <c r="AB283" i="12"/>
  <c r="Z284" i="12"/>
  <c r="AB284" i="12"/>
  <c r="Z285" i="12"/>
  <c r="AB285" i="12"/>
  <c r="Z286" i="12"/>
  <c r="AB286" i="12"/>
  <c r="Z287" i="12"/>
  <c r="AB287" i="12"/>
  <c r="Z288" i="12"/>
  <c r="AB288" i="12"/>
  <c r="Z289" i="12"/>
  <c r="AB289" i="12"/>
  <c r="Z290" i="12"/>
  <c r="AB290" i="12"/>
  <c r="Z291" i="12"/>
  <c r="AB291" i="12"/>
  <c r="Z292" i="12"/>
  <c r="AB292" i="12"/>
  <c r="Z293" i="12"/>
  <c r="AB293" i="12"/>
  <c r="Z294" i="12"/>
  <c r="AB294" i="12"/>
  <c r="Z295" i="12"/>
  <c r="AB295" i="12"/>
  <c r="Z296" i="12"/>
  <c r="AB296" i="12"/>
  <c r="Z297" i="12"/>
  <c r="AB297" i="12"/>
  <c r="Z298" i="12"/>
  <c r="AB298" i="12"/>
  <c r="Z299" i="12"/>
  <c r="AB299" i="12"/>
  <c r="AB300" i="12"/>
  <c r="Z301" i="12"/>
  <c r="AB301" i="12"/>
  <c r="Z302" i="12"/>
  <c r="AB302" i="12"/>
  <c r="Z303" i="12"/>
  <c r="AB303" i="12"/>
  <c r="Z304" i="12"/>
  <c r="AB304" i="12"/>
  <c r="Z305" i="12"/>
  <c r="AB305" i="12"/>
  <c r="Z306" i="12"/>
  <c r="AB306" i="12"/>
  <c r="Z307" i="12"/>
  <c r="AB307" i="12"/>
  <c r="Z308" i="12"/>
  <c r="AB308" i="12"/>
  <c r="Z309" i="12"/>
  <c r="AB309" i="12"/>
  <c r="Z310" i="12"/>
  <c r="AB310" i="12"/>
  <c r="Z311" i="12"/>
  <c r="AB311" i="12"/>
  <c r="Z312" i="12"/>
  <c r="AB312" i="12"/>
  <c r="Z313" i="12"/>
  <c r="AB313" i="12"/>
  <c r="Z314" i="12"/>
  <c r="AB314" i="12"/>
  <c r="Z315" i="12"/>
  <c r="AB315" i="12"/>
  <c r="Z316" i="12"/>
  <c r="AB316" i="12"/>
  <c r="Z200" i="12"/>
  <c r="AB200" i="12"/>
  <c r="Z201" i="12"/>
  <c r="AB201" i="12"/>
  <c r="Z202" i="12"/>
  <c r="AB202" i="12"/>
  <c r="Z203" i="12"/>
  <c r="AB203" i="12"/>
  <c r="Z204" i="12"/>
  <c r="AB204" i="12"/>
  <c r="Z205" i="12"/>
  <c r="AB205" i="12"/>
  <c r="Z206" i="12"/>
  <c r="AB206" i="12"/>
  <c r="Z207" i="12"/>
  <c r="AB207" i="12"/>
  <c r="Z208" i="12"/>
  <c r="AB208" i="12"/>
  <c r="Z209" i="12"/>
  <c r="AB209" i="12"/>
  <c r="Z210" i="12"/>
  <c r="AB210" i="12"/>
  <c r="Z211" i="12"/>
  <c r="AB211" i="12"/>
  <c r="Z212" i="12"/>
  <c r="AB212" i="12"/>
  <c r="Z213" i="12"/>
  <c r="AB213" i="12"/>
  <c r="Z30" i="12"/>
  <c r="AB30" i="12"/>
  <c r="Z31" i="12"/>
  <c r="AB31" i="12"/>
  <c r="Z32" i="12"/>
  <c r="AB32" i="12"/>
  <c r="Z33" i="12"/>
  <c r="AB33" i="12"/>
  <c r="Z34" i="12"/>
  <c r="AB34" i="12"/>
  <c r="Z35" i="12"/>
  <c r="AB35" i="12"/>
  <c r="Z36" i="12"/>
  <c r="AB36" i="12"/>
  <c r="Z37" i="12"/>
  <c r="AB37" i="12"/>
  <c r="Z38" i="12"/>
  <c r="AB38" i="12"/>
  <c r="Z39" i="12"/>
  <c r="AB39" i="12"/>
  <c r="Z40" i="12"/>
  <c r="AB40" i="12"/>
  <c r="Z41" i="12"/>
  <c r="AB41" i="12"/>
  <c r="Z42" i="12"/>
  <c r="AB42" i="12"/>
  <c r="Z43" i="12"/>
  <c r="AB43" i="12"/>
  <c r="Z44" i="12"/>
  <c r="AB44" i="12"/>
  <c r="Z45" i="12"/>
  <c r="AB45" i="12"/>
  <c r="Z46" i="12"/>
  <c r="AB46" i="12"/>
  <c r="Z47" i="12"/>
  <c r="AB47" i="12"/>
  <c r="Z48" i="12"/>
  <c r="AB48" i="12"/>
  <c r="Z49" i="12"/>
  <c r="AB49" i="12"/>
  <c r="Z50" i="12"/>
  <c r="AB50" i="12"/>
  <c r="Z51" i="12"/>
  <c r="AB51" i="12"/>
  <c r="Z52" i="12"/>
  <c r="AB52" i="12"/>
  <c r="Z53" i="12"/>
  <c r="AB53" i="12"/>
  <c r="Z54" i="12"/>
  <c r="AB54" i="12"/>
  <c r="Z55" i="12"/>
  <c r="AB55" i="12"/>
  <c r="Z56" i="12"/>
  <c r="AB56" i="12"/>
  <c r="Z57" i="12"/>
  <c r="AB57" i="12"/>
  <c r="Z58" i="12"/>
  <c r="AB58" i="12"/>
  <c r="Z59" i="12"/>
  <c r="AB59" i="12"/>
  <c r="Z60" i="12"/>
  <c r="AB60" i="12"/>
  <c r="Z61" i="12"/>
  <c r="AB61" i="12"/>
  <c r="Z62" i="12"/>
  <c r="AB62" i="12"/>
  <c r="Z63" i="12"/>
  <c r="AB63" i="12"/>
  <c r="Z64" i="12"/>
  <c r="AB64" i="12"/>
  <c r="Z65" i="12"/>
  <c r="AB65" i="12"/>
  <c r="Z66" i="12"/>
  <c r="AB66" i="12"/>
  <c r="Z67" i="12"/>
  <c r="AB67" i="12"/>
  <c r="Z68" i="12"/>
  <c r="AB68" i="12"/>
  <c r="Z69" i="12"/>
  <c r="AB69" i="12"/>
  <c r="Z70" i="12"/>
  <c r="AB70" i="12"/>
  <c r="Z71" i="12"/>
  <c r="AB71" i="12"/>
  <c r="Z72" i="12"/>
  <c r="AB72" i="12"/>
  <c r="Z73" i="12"/>
  <c r="AB73" i="12"/>
  <c r="Z74" i="12"/>
  <c r="AB74" i="12"/>
  <c r="Z75" i="12"/>
  <c r="AB75" i="12"/>
  <c r="Z76" i="12"/>
  <c r="AB76" i="12"/>
  <c r="Z77" i="12"/>
  <c r="AB77" i="12"/>
  <c r="Z78" i="12"/>
  <c r="AB78" i="12"/>
  <c r="Z79" i="12"/>
  <c r="AB79" i="12"/>
  <c r="Z80" i="12"/>
  <c r="AB80" i="12"/>
  <c r="Z81" i="12"/>
  <c r="AB81" i="12"/>
  <c r="Z82" i="12"/>
  <c r="AB82" i="12"/>
  <c r="Z83" i="12"/>
  <c r="AB83" i="12"/>
  <c r="Z84" i="12"/>
  <c r="AB84" i="12"/>
  <c r="Z85" i="12"/>
  <c r="AB85" i="12"/>
  <c r="Z86" i="12"/>
  <c r="AB86" i="12"/>
  <c r="Z87" i="12"/>
  <c r="AB87" i="12"/>
  <c r="Z88" i="12"/>
  <c r="AB88" i="12"/>
  <c r="Z89" i="12"/>
  <c r="AB89" i="12"/>
  <c r="Z90" i="12"/>
  <c r="AB90" i="12"/>
  <c r="Z91" i="12"/>
  <c r="AB91" i="12"/>
  <c r="Z92" i="12"/>
  <c r="AB92" i="12"/>
  <c r="Z93" i="12"/>
  <c r="AB93" i="12"/>
  <c r="Z94" i="12"/>
  <c r="AB94" i="12"/>
  <c r="Z95" i="12"/>
  <c r="AB95" i="12"/>
  <c r="Z96" i="12"/>
  <c r="AB96" i="12"/>
  <c r="Z97" i="12"/>
  <c r="AB97" i="12"/>
  <c r="Z98" i="12"/>
  <c r="AB98" i="12"/>
  <c r="Z99" i="12"/>
  <c r="AB99" i="12"/>
  <c r="Z100" i="12"/>
  <c r="AB100" i="12"/>
  <c r="Z101" i="12"/>
  <c r="AB101" i="12"/>
  <c r="Z102" i="12"/>
  <c r="AB102" i="12"/>
  <c r="Z103" i="12"/>
  <c r="AB103" i="12"/>
  <c r="Z104" i="12"/>
  <c r="AB104" i="12"/>
  <c r="Z105" i="12"/>
  <c r="AB105" i="12"/>
  <c r="Z106" i="12"/>
  <c r="AB106" i="12"/>
  <c r="Z107" i="12"/>
  <c r="AB107" i="12"/>
  <c r="Z108" i="12"/>
  <c r="AB108" i="12"/>
  <c r="Z109" i="12"/>
  <c r="AB109" i="12"/>
  <c r="Z110" i="12"/>
  <c r="AB110" i="12"/>
  <c r="Z111" i="12"/>
  <c r="AB111" i="12"/>
  <c r="Z112" i="12"/>
  <c r="AB112" i="12"/>
  <c r="Z113" i="12"/>
  <c r="AB113" i="12"/>
  <c r="Z114" i="12"/>
  <c r="AB114" i="12"/>
  <c r="Z115" i="12"/>
  <c r="AB115" i="12"/>
  <c r="Z116" i="12"/>
  <c r="AB116" i="12"/>
  <c r="Z117" i="12"/>
  <c r="AB117" i="12"/>
  <c r="Z118" i="12"/>
  <c r="AB118" i="12"/>
  <c r="Z119" i="12"/>
  <c r="AB119" i="12"/>
  <c r="Z120" i="12"/>
  <c r="AB120" i="12"/>
  <c r="Z121" i="12"/>
  <c r="AB121" i="12"/>
  <c r="Z122" i="12"/>
  <c r="AB122" i="12"/>
  <c r="Z123" i="12"/>
  <c r="AB123" i="12"/>
  <c r="Z124" i="12"/>
  <c r="AB124" i="12"/>
  <c r="Z125" i="12"/>
  <c r="AB125" i="12"/>
  <c r="Z126" i="12"/>
  <c r="AB126" i="12"/>
  <c r="Z127" i="12"/>
  <c r="AB127" i="12"/>
  <c r="Z128" i="12"/>
  <c r="AB128" i="12"/>
  <c r="Z129" i="12"/>
  <c r="AB129" i="12"/>
  <c r="Z130" i="12"/>
  <c r="AB130" i="12"/>
  <c r="Z131" i="12"/>
  <c r="AB131" i="12"/>
  <c r="Z132" i="12"/>
  <c r="AB132" i="12"/>
  <c r="Z133" i="12"/>
  <c r="AB133" i="12"/>
  <c r="Z134" i="12"/>
  <c r="AB134" i="12"/>
  <c r="Z135" i="12"/>
  <c r="AB135" i="12"/>
  <c r="Z136" i="12"/>
  <c r="AB136" i="12"/>
  <c r="Z137" i="12"/>
  <c r="AB137" i="12"/>
  <c r="Z138" i="12"/>
  <c r="AB138" i="12"/>
  <c r="Z139" i="12"/>
  <c r="AB139" i="12"/>
  <c r="Z140" i="12"/>
  <c r="AB140" i="12"/>
  <c r="Z141" i="12"/>
  <c r="AB141" i="12"/>
  <c r="Z142" i="12"/>
  <c r="AB142" i="12"/>
  <c r="Z143" i="12"/>
  <c r="AB143" i="12"/>
  <c r="Z144" i="12"/>
  <c r="AB144" i="12"/>
  <c r="Z145" i="12"/>
  <c r="AB145" i="12"/>
  <c r="Z146" i="12"/>
  <c r="AB146" i="12"/>
  <c r="Z147" i="12"/>
  <c r="AB147" i="12"/>
  <c r="Z148" i="12"/>
  <c r="AB148" i="12"/>
  <c r="Z149" i="12"/>
  <c r="AB149" i="12"/>
  <c r="Z150" i="12"/>
  <c r="AB150" i="12"/>
  <c r="Z151" i="12"/>
  <c r="AB151" i="12"/>
  <c r="Z152" i="12"/>
  <c r="AB152" i="12"/>
  <c r="Z153" i="12"/>
  <c r="AB153" i="12"/>
  <c r="Z154" i="12"/>
  <c r="AB154" i="12"/>
  <c r="Z155" i="12"/>
  <c r="AB155" i="12"/>
  <c r="Z156" i="12"/>
  <c r="AB156" i="12"/>
  <c r="Z157" i="12"/>
  <c r="AB157" i="12"/>
  <c r="Z158" i="12"/>
  <c r="AB158" i="12"/>
  <c r="Z159" i="12"/>
  <c r="AB159" i="12"/>
  <c r="Z160" i="12"/>
  <c r="AB160" i="12"/>
  <c r="Z161" i="12"/>
  <c r="AB161" i="12"/>
  <c r="Z162" i="12"/>
  <c r="AB162" i="12"/>
  <c r="Z163" i="12"/>
  <c r="AB163" i="12"/>
  <c r="Z164" i="12"/>
  <c r="AB164" i="12"/>
  <c r="Z165" i="12"/>
  <c r="AB165" i="12"/>
  <c r="Z166" i="12"/>
  <c r="AB166" i="12"/>
  <c r="Z167" i="12"/>
  <c r="AB167" i="12"/>
  <c r="Z168" i="12"/>
  <c r="AB168" i="12"/>
  <c r="Z169" i="12"/>
  <c r="AB169" i="12"/>
  <c r="Z170" i="12"/>
  <c r="AB170" i="12"/>
  <c r="Z171" i="12"/>
  <c r="AB171" i="12"/>
  <c r="Z172" i="12"/>
  <c r="AB172" i="12"/>
  <c r="Z173" i="12"/>
  <c r="AB173" i="12"/>
  <c r="Z174" i="12"/>
  <c r="AB174" i="12"/>
  <c r="Z175" i="12"/>
  <c r="AB175" i="12"/>
  <c r="Z176" i="12"/>
  <c r="AB176" i="12"/>
  <c r="Z177" i="12"/>
  <c r="AB177" i="12"/>
  <c r="Z178" i="12"/>
  <c r="AB178" i="12"/>
  <c r="Z179" i="12"/>
  <c r="AB179" i="12"/>
  <c r="Z180" i="12"/>
  <c r="AB180" i="12"/>
  <c r="Z181" i="12"/>
  <c r="AB181" i="12"/>
  <c r="Z182" i="12"/>
  <c r="AB182" i="12"/>
  <c r="Z183" i="12"/>
  <c r="AB183" i="12"/>
  <c r="Z184" i="12"/>
  <c r="AB184" i="12"/>
  <c r="Z185" i="12"/>
  <c r="AB185" i="12"/>
  <c r="Z186" i="12"/>
  <c r="AB186" i="12"/>
  <c r="Z187" i="12"/>
  <c r="AB187" i="12"/>
  <c r="Z188" i="12"/>
  <c r="AB188" i="12"/>
  <c r="Z189" i="12"/>
  <c r="AB189" i="12"/>
  <c r="Z190" i="12"/>
  <c r="AB190" i="12"/>
  <c r="Z191" i="12"/>
  <c r="AB191" i="12"/>
  <c r="Z192" i="12"/>
  <c r="AB192" i="12"/>
  <c r="Z193" i="12"/>
  <c r="AB193" i="12"/>
  <c r="Z194" i="12"/>
  <c r="AB194" i="12"/>
  <c r="Z195" i="12"/>
  <c r="AB195" i="12"/>
  <c r="Z196" i="12"/>
  <c r="AB196" i="12"/>
  <c r="Z197" i="12"/>
  <c r="AB197" i="12"/>
  <c r="Z198" i="12"/>
  <c r="AB198" i="12"/>
  <c r="Z199" i="12"/>
  <c r="AB199" i="12"/>
  <c r="Z5" i="12"/>
  <c r="AB5" i="12"/>
  <c r="Z6" i="12"/>
  <c r="AB6" i="12"/>
  <c r="Z7" i="12"/>
  <c r="AB7" i="12"/>
  <c r="Z8" i="12"/>
  <c r="AB8" i="12"/>
  <c r="Z9" i="12"/>
  <c r="AB9" i="12"/>
  <c r="Z10" i="12"/>
  <c r="AB10" i="12"/>
  <c r="Z11" i="12"/>
  <c r="AB11" i="12"/>
  <c r="Z12" i="12"/>
  <c r="AB12" i="12"/>
  <c r="Z13" i="12"/>
  <c r="AB13" i="12"/>
  <c r="Z14" i="12"/>
  <c r="AB14" i="12"/>
  <c r="Z15" i="12"/>
  <c r="AB15" i="12"/>
  <c r="Z16" i="12"/>
  <c r="AB16" i="12"/>
  <c r="Z17" i="12"/>
  <c r="AB17" i="12"/>
  <c r="Z18" i="12"/>
  <c r="AB18" i="12"/>
  <c r="Z19" i="12"/>
  <c r="AB19" i="12"/>
  <c r="Z20" i="12"/>
  <c r="AB20" i="12"/>
  <c r="Z21" i="12"/>
  <c r="AB21" i="12"/>
  <c r="Z22" i="12"/>
  <c r="AB22" i="12"/>
  <c r="Z23" i="12"/>
  <c r="AB23" i="12"/>
  <c r="Z24" i="12"/>
  <c r="AB24" i="12"/>
  <c r="Z25" i="12"/>
  <c r="AB25" i="12"/>
  <c r="Z26" i="12"/>
  <c r="AB26" i="12"/>
  <c r="Z27" i="12"/>
  <c r="AB27" i="12"/>
  <c r="Z28" i="12"/>
  <c r="AB28" i="12"/>
  <c r="Z29" i="12"/>
  <c r="AB29" i="12"/>
  <c r="Z4" i="12"/>
  <c r="AB4" i="12"/>
  <c r="AA312" i="12"/>
  <c r="AA313" i="12"/>
  <c r="AA314" i="12"/>
  <c r="AA315" i="12"/>
  <c r="AA316" i="12"/>
  <c r="AA317" i="12"/>
  <c r="AA318" i="12"/>
  <c r="AA319" i="12"/>
  <c r="AA221" i="12"/>
  <c r="AA222" i="12"/>
  <c r="AA223" i="12"/>
  <c r="AA224" i="12"/>
  <c r="AA225" i="12"/>
  <c r="AA226" i="12"/>
  <c r="AA227" i="12"/>
  <c r="AA228" i="12"/>
  <c r="AA229" i="12"/>
  <c r="AA230" i="12"/>
  <c r="AA231" i="12"/>
  <c r="AA232" i="12"/>
  <c r="AA233" i="12"/>
  <c r="AA234" i="12"/>
  <c r="AA235" i="12"/>
  <c r="AA236" i="12"/>
  <c r="AA237" i="12"/>
  <c r="AA238" i="12"/>
  <c r="AA239" i="12"/>
  <c r="AA240" i="12"/>
  <c r="AA241" i="12"/>
  <c r="AA242" i="12"/>
  <c r="AA243" i="12"/>
  <c r="AA244" i="12"/>
  <c r="AA245" i="12"/>
  <c r="AA246" i="12"/>
  <c r="AA247" i="12"/>
  <c r="AA248" i="12"/>
  <c r="AA249" i="12"/>
  <c r="AA250" i="12"/>
  <c r="AA251" i="12"/>
  <c r="AA252" i="12"/>
  <c r="AA253" i="12"/>
  <c r="AA254" i="12"/>
  <c r="AA255" i="12"/>
  <c r="AA256" i="12"/>
  <c r="AA257" i="12"/>
  <c r="AA258" i="12"/>
  <c r="AA259" i="12"/>
  <c r="AA260" i="12"/>
  <c r="AA261" i="12"/>
  <c r="AA262" i="12"/>
  <c r="AA263" i="12"/>
  <c r="AA264" i="12"/>
  <c r="AA265" i="12"/>
  <c r="AA266" i="12"/>
  <c r="AA267" i="12"/>
  <c r="AA268" i="12"/>
  <c r="AA269" i="12"/>
  <c r="AA270" i="12"/>
  <c r="AA271" i="12"/>
  <c r="AA272" i="12"/>
  <c r="AA273" i="12"/>
  <c r="AA274" i="12"/>
  <c r="AA275" i="12"/>
  <c r="AA276" i="12"/>
  <c r="AA277" i="12"/>
  <c r="AA278" i="12"/>
  <c r="AA279" i="12"/>
  <c r="AA280" i="12"/>
  <c r="AA281" i="12"/>
  <c r="AA282" i="12"/>
  <c r="AA283" i="12"/>
  <c r="AA284" i="12"/>
  <c r="AA285" i="12"/>
  <c r="AA286" i="12"/>
  <c r="AA287" i="12"/>
  <c r="AA288" i="12"/>
  <c r="AA289" i="12"/>
  <c r="AA290" i="12"/>
  <c r="AA291" i="12"/>
  <c r="AA292" i="12"/>
  <c r="AA293" i="12"/>
  <c r="AA294" i="12"/>
  <c r="AA295" i="12"/>
  <c r="AA296" i="12"/>
  <c r="AA297" i="12"/>
  <c r="AA298" i="12"/>
  <c r="AA299" i="12"/>
  <c r="AA301" i="12"/>
  <c r="AA302" i="12"/>
  <c r="AA303" i="12"/>
  <c r="AA304" i="12"/>
  <c r="AA305" i="12"/>
  <c r="AA306" i="12"/>
  <c r="AA307" i="12"/>
  <c r="AA308" i="12"/>
  <c r="AA309" i="12"/>
  <c r="AA310" i="12"/>
  <c r="AA311" i="12"/>
  <c r="AA198" i="12"/>
  <c r="AA199" i="12"/>
  <c r="AA200" i="12"/>
  <c r="AA201" i="12"/>
  <c r="AA202" i="12"/>
  <c r="AA203" i="12"/>
  <c r="AA204" i="12"/>
  <c r="AA205" i="12"/>
  <c r="AA206" i="12"/>
  <c r="AA207" i="12"/>
  <c r="AA208" i="12"/>
  <c r="AA209" i="12"/>
  <c r="AA210" i="12"/>
  <c r="AA211" i="12"/>
  <c r="AA212" i="12"/>
  <c r="AA213" i="12"/>
  <c r="AA214" i="12"/>
  <c r="AA215" i="12"/>
  <c r="AA216" i="12"/>
  <c r="AA217" i="12"/>
  <c r="AA218" i="12"/>
  <c r="AA219" i="12"/>
  <c r="AA220" i="12"/>
  <c r="AA5" i="12"/>
  <c r="AA6" i="12"/>
  <c r="AA7" i="12"/>
  <c r="AA8" i="12"/>
  <c r="AA9" i="12"/>
  <c r="AA10" i="12"/>
  <c r="AA11" i="12"/>
  <c r="AA12" i="12"/>
  <c r="AA13" i="12"/>
  <c r="AA14" i="12"/>
  <c r="AA15" i="12"/>
  <c r="AA16" i="12"/>
  <c r="AA17" i="12"/>
  <c r="AA18" i="12"/>
  <c r="AA19" i="12"/>
  <c r="AA20" i="12"/>
  <c r="AA21" i="12"/>
  <c r="AA22" i="12"/>
  <c r="AA23" i="12"/>
  <c r="AA24" i="12"/>
  <c r="AA25" i="12"/>
  <c r="AA26" i="12"/>
  <c r="AA27" i="12"/>
  <c r="AA28" i="12"/>
  <c r="AA29" i="12"/>
  <c r="AA30" i="12"/>
  <c r="AA31" i="12"/>
  <c r="AA32" i="12"/>
  <c r="AA33" i="12"/>
  <c r="AA34" i="12"/>
  <c r="AA35" i="12"/>
  <c r="AA36" i="12"/>
  <c r="AA37" i="12"/>
  <c r="AA38" i="12"/>
  <c r="AA39" i="12"/>
  <c r="AA40" i="12"/>
  <c r="AA41" i="12"/>
  <c r="AA42" i="12"/>
  <c r="AA43" i="12"/>
  <c r="AA44" i="12"/>
  <c r="AA45" i="12"/>
  <c r="AA46" i="12"/>
  <c r="AA47" i="12"/>
  <c r="AA48" i="12"/>
  <c r="AA49" i="12"/>
  <c r="AA50" i="12"/>
  <c r="AA51" i="12"/>
  <c r="AA52" i="12"/>
  <c r="AA53" i="12"/>
  <c r="AA54" i="12"/>
  <c r="AA55" i="12"/>
  <c r="AA56" i="12"/>
  <c r="AA57" i="12"/>
  <c r="AA58" i="12"/>
  <c r="AA59" i="12"/>
  <c r="AA60" i="12"/>
  <c r="AA61" i="12"/>
  <c r="AA62" i="12"/>
  <c r="AA63" i="12"/>
  <c r="AA64" i="12"/>
  <c r="AA65" i="12"/>
  <c r="AA66" i="12"/>
  <c r="AA67" i="12"/>
  <c r="AA68" i="12"/>
  <c r="AA69" i="12"/>
  <c r="AA70" i="12"/>
  <c r="AA71" i="12"/>
  <c r="AA72" i="12"/>
  <c r="AA73" i="12"/>
  <c r="AA74" i="12"/>
  <c r="AA75" i="12"/>
  <c r="AA76" i="12"/>
  <c r="AA77" i="12"/>
  <c r="AA78" i="12"/>
  <c r="AA79" i="12"/>
  <c r="AA80" i="12"/>
  <c r="AA81" i="12"/>
  <c r="AA82" i="12"/>
  <c r="AA83" i="12"/>
  <c r="AA84" i="12"/>
  <c r="AA85" i="12"/>
  <c r="AA86" i="12"/>
  <c r="AA87" i="12"/>
  <c r="AA88" i="12"/>
  <c r="AA89" i="12"/>
  <c r="AA90" i="12"/>
  <c r="AA91" i="12"/>
  <c r="AA92" i="12"/>
  <c r="AA93" i="12"/>
  <c r="AA94" i="12"/>
  <c r="AA95" i="12"/>
  <c r="AA96" i="12"/>
  <c r="AA97" i="12"/>
  <c r="AA98" i="12"/>
  <c r="AA99" i="12"/>
  <c r="AA100" i="12"/>
  <c r="AA101" i="12"/>
  <c r="AA102" i="12"/>
  <c r="AA103" i="12"/>
  <c r="AA104" i="12"/>
  <c r="AA105" i="12"/>
  <c r="AA106" i="12"/>
  <c r="AA107" i="12"/>
  <c r="AA108" i="12"/>
  <c r="AA109" i="12"/>
  <c r="AA110" i="12"/>
  <c r="AA111" i="12"/>
  <c r="AA112" i="12"/>
  <c r="AA113" i="12"/>
  <c r="AA114" i="12"/>
  <c r="AA115" i="12"/>
  <c r="AA116" i="12"/>
  <c r="AA117" i="12"/>
  <c r="AA118" i="12"/>
  <c r="AA119" i="12"/>
  <c r="AA120" i="12"/>
  <c r="AA121" i="12"/>
  <c r="AA122" i="12"/>
  <c r="AA123" i="12"/>
  <c r="AA124" i="12"/>
  <c r="AA125" i="12"/>
  <c r="AA126" i="12"/>
  <c r="AA127" i="12"/>
  <c r="AA128" i="12"/>
  <c r="AA129" i="12"/>
  <c r="AA130" i="12"/>
  <c r="AA131" i="12"/>
  <c r="AA132" i="12"/>
  <c r="AA133" i="12"/>
  <c r="AA134" i="12"/>
  <c r="AA135" i="12"/>
  <c r="AA136" i="12"/>
  <c r="AA137" i="12"/>
  <c r="AA138" i="12"/>
  <c r="AA139" i="12"/>
  <c r="AA140" i="12"/>
  <c r="AA141" i="12"/>
  <c r="AA142" i="12"/>
  <c r="AA143" i="12"/>
  <c r="AA144" i="12"/>
  <c r="AA145" i="12"/>
  <c r="AA146" i="12"/>
  <c r="AA147" i="12"/>
  <c r="AA148" i="12"/>
  <c r="AA149" i="12"/>
  <c r="AA150" i="12"/>
  <c r="AA151" i="12"/>
  <c r="AA152" i="12"/>
  <c r="AA153" i="12"/>
  <c r="AA154" i="12"/>
  <c r="AA155" i="12"/>
  <c r="AA156" i="12"/>
  <c r="AA157" i="12"/>
  <c r="AA158" i="12"/>
  <c r="AA159" i="12"/>
  <c r="AA160" i="12"/>
  <c r="AA161" i="12"/>
  <c r="AA162" i="12"/>
  <c r="AA163" i="12"/>
  <c r="AA164" i="12"/>
  <c r="AA165" i="12"/>
  <c r="AA166" i="12"/>
  <c r="AA167" i="12"/>
  <c r="AA168" i="12"/>
  <c r="AA169" i="12"/>
  <c r="AA170" i="12"/>
  <c r="AA171" i="12"/>
  <c r="AA172" i="12"/>
  <c r="AA173" i="12"/>
  <c r="AA174" i="12"/>
  <c r="AA175" i="12"/>
  <c r="AA176" i="12"/>
  <c r="AA177" i="12"/>
  <c r="AA178" i="12"/>
  <c r="AA179" i="12"/>
  <c r="AA180" i="12"/>
  <c r="AA181" i="12"/>
  <c r="AA182" i="12"/>
  <c r="AA183" i="12"/>
  <c r="AA184" i="12"/>
  <c r="AA185" i="12"/>
  <c r="AA186" i="12"/>
  <c r="AA187" i="12"/>
  <c r="AA188" i="12"/>
  <c r="AA189" i="12"/>
  <c r="AA190" i="12"/>
  <c r="AA191" i="12"/>
  <c r="AA192" i="12"/>
  <c r="AA193" i="12"/>
  <c r="AA194" i="12"/>
  <c r="AA195" i="12"/>
  <c r="AA196" i="12"/>
  <c r="AA197" i="12"/>
  <c r="AA4" i="12"/>
  <c r="P5" i="12"/>
  <c r="P6" i="12"/>
  <c r="P7" i="12"/>
  <c r="P8" i="12"/>
  <c r="P9" i="12"/>
  <c r="P10"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4" i="12"/>
  <c r="P125" i="12"/>
  <c r="P126" i="12"/>
  <c r="P127" i="12"/>
  <c r="P128" i="12"/>
  <c r="P129" i="12"/>
  <c r="P130" i="12"/>
  <c r="P131" i="12"/>
  <c r="P132" i="12"/>
  <c r="P133" i="12"/>
  <c r="P134" i="12"/>
  <c r="P135" i="12"/>
  <c r="P136" i="12"/>
  <c r="P137" i="12"/>
  <c r="P138" i="12"/>
  <c r="P139" i="12"/>
  <c r="P140" i="12"/>
  <c r="P141" i="12"/>
  <c r="P142" i="12"/>
  <c r="P143" i="12"/>
  <c r="P144" i="12"/>
  <c r="P145" i="12"/>
  <c r="P146" i="12"/>
  <c r="P147" i="12"/>
  <c r="P148" i="12"/>
  <c r="P149" i="12"/>
  <c r="P150" i="12"/>
  <c r="P151" i="12"/>
  <c r="P152" i="12"/>
  <c r="P153" i="12"/>
  <c r="P154" i="12"/>
  <c r="P155" i="12"/>
  <c r="P156" i="12"/>
  <c r="P157" i="12"/>
  <c r="P158" i="12"/>
  <c r="P159" i="12"/>
  <c r="P160" i="12"/>
  <c r="P161" i="12"/>
  <c r="P162" i="12"/>
  <c r="P163" i="12"/>
  <c r="P164" i="12"/>
  <c r="P165" i="12"/>
  <c r="P166" i="12"/>
  <c r="P167" i="12"/>
  <c r="P168" i="12"/>
  <c r="P169" i="12"/>
  <c r="P170" i="12"/>
  <c r="P171" i="12"/>
  <c r="P172" i="12"/>
  <c r="P173" i="12"/>
  <c r="P174" i="12"/>
  <c r="P175" i="12"/>
  <c r="P176" i="12"/>
  <c r="P177" i="12"/>
  <c r="P178" i="12"/>
  <c r="P179" i="12"/>
  <c r="P180" i="12"/>
  <c r="P181" i="12"/>
  <c r="P182" i="12"/>
  <c r="P183" i="12"/>
  <c r="P184" i="12"/>
  <c r="P185" i="12"/>
  <c r="P186" i="12"/>
  <c r="P187" i="12"/>
  <c r="P188" i="12"/>
  <c r="P189" i="12"/>
  <c r="P190" i="12"/>
  <c r="P191" i="12"/>
  <c r="P192" i="12"/>
  <c r="P193" i="12"/>
  <c r="P194" i="12"/>
  <c r="P195" i="12"/>
  <c r="P196" i="12"/>
  <c r="P197" i="12"/>
  <c r="P198" i="12"/>
  <c r="P199" i="12"/>
  <c r="P200" i="12"/>
  <c r="P201" i="12"/>
  <c r="P202" i="12"/>
  <c r="P203" i="12"/>
  <c r="P204" i="12"/>
  <c r="P205" i="12"/>
  <c r="P206" i="12"/>
  <c r="P207" i="12"/>
  <c r="P208" i="12"/>
  <c r="P209" i="12"/>
  <c r="P210" i="12"/>
  <c r="P211" i="12"/>
  <c r="P212" i="12"/>
  <c r="P213" i="12"/>
  <c r="P214" i="12"/>
  <c r="P215" i="12"/>
  <c r="P216" i="12"/>
  <c r="P217" i="12"/>
  <c r="P218" i="12"/>
  <c r="P219" i="12"/>
  <c r="P220" i="12"/>
  <c r="P221" i="12"/>
  <c r="P222" i="12"/>
  <c r="P223" i="12"/>
  <c r="P224" i="12"/>
  <c r="P225" i="12"/>
  <c r="P226" i="12"/>
  <c r="P227" i="12"/>
  <c r="P228" i="12"/>
  <c r="P229" i="12"/>
  <c r="P230" i="12"/>
  <c r="P231" i="12"/>
  <c r="P232" i="12"/>
  <c r="P233" i="12"/>
  <c r="P234" i="12"/>
  <c r="P235" i="12"/>
  <c r="P236" i="12"/>
  <c r="P237" i="12"/>
  <c r="P238" i="12"/>
  <c r="P239" i="12"/>
  <c r="P240" i="12"/>
  <c r="P241" i="12"/>
  <c r="P242" i="12"/>
  <c r="P243" i="12"/>
  <c r="P244" i="12"/>
  <c r="P245" i="12"/>
  <c r="P246" i="12"/>
  <c r="P247" i="12"/>
  <c r="P248" i="12"/>
  <c r="P249" i="12"/>
  <c r="P250" i="12"/>
  <c r="P251" i="12"/>
  <c r="P252" i="12"/>
  <c r="P253" i="12"/>
  <c r="P254" i="12"/>
  <c r="P255" i="12"/>
  <c r="P256" i="12"/>
  <c r="P257" i="12"/>
  <c r="P258" i="12"/>
  <c r="P259" i="12"/>
  <c r="P260" i="12"/>
  <c r="P261" i="12"/>
  <c r="P262" i="12"/>
  <c r="P263" i="12"/>
  <c r="P264" i="12"/>
  <c r="P265" i="12"/>
  <c r="P266" i="12"/>
  <c r="P267" i="12"/>
  <c r="P268" i="12"/>
  <c r="P269" i="12"/>
  <c r="P270" i="12"/>
  <c r="P271" i="12"/>
  <c r="P272" i="12"/>
  <c r="P273" i="12"/>
  <c r="P274" i="12"/>
  <c r="P275" i="12"/>
  <c r="P276" i="12"/>
  <c r="P277" i="12"/>
  <c r="P278" i="12"/>
  <c r="P279" i="12"/>
  <c r="P280" i="12"/>
  <c r="P281" i="12"/>
  <c r="P282" i="12"/>
  <c r="P283" i="12"/>
  <c r="P284" i="12"/>
  <c r="P285" i="12"/>
  <c r="P286" i="12"/>
  <c r="P287" i="12"/>
  <c r="P288" i="12"/>
  <c r="P289" i="12"/>
  <c r="P290" i="12"/>
  <c r="P291" i="12"/>
  <c r="P292" i="12"/>
  <c r="P293" i="12"/>
  <c r="P294" i="12"/>
  <c r="P295" i="12"/>
  <c r="P296" i="12"/>
  <c r="P297" i="12"/>
  <c r="P298" i="12"/>
  <c r="P299" i="12"/>
  <c r="P300" i="12"/>
  <c r="P301" i="12"/>
  <c r="P302" i="12"/>
  <c r="P303" i="12"/>
  <c r="P304" i="12"/>
  <c r="P305" i="12"/>
  <c r="P306" i="12"/>
  <c r="P307" i="12"/>
  <c r="P308" i="12"/>
  <c r="P309" i="12"/>
  <c r="P310" i="12"/>
  <c r="P311" i="12"/>
  <c r="P312" i="12"/>
  <c r="P313" i="12"/>
  <c r="P314" i="12"/>
  <c r="P315" i="12"/>
  <c r="P316" i="12"/>
  <c r="P317" i="12"/>
  <c r="P318" i="12"/>
  <c r="P319" i="12"/>
  <c r="P4" i="12"/>
  <c r="F91" i="11"/>
  <c r="F83" i="11"/>
  <c r="F84" i="11"/>
  <c r="F85" i="11"/>
  <c r="F86" i="11"/>
  <c r="F87" i="11"/>
  <c r="F88" i="11"/>
  <c r="F89" i="11"/>
  <c r="D84" i="11"/>
  <c r="D85" i="11"/>
  <c r="D86" i="11"/>
  <c r="D87" i="11"/>
  <c r="D88" i="11"/>
  <c r="D89" i="11"/>
  <c r="D91" i="11"/>
  <c r="D92" i="11"/>
  <c r="D83" i="11"/>
  <c r="E78" i="11"/>
  <c r="N48" i="11"/>
  <c r="N49" i="11"/>
  <c r="D49" i="11"/>
  <c r="E49" i="11"/>
  <c r="F49" i="11"/>
  <c r="G49" i="11"/>
  <c r="H49" i="11"/>
  <c r="I49" i="11"/>
  <c r="K49" i="11"/>
  <c r="L49" i="11"/>
  <c r="C49" i="11"/>
  <c r="O48" i="11"/>
  <c r="N24" i="11"/>
  <c r="O24" i="11"/>
  <c r="N25" i="11"/>
  <c r="C25" i="11"/>
  <c r="D25" i="11"/>
  <c r="E25" i="11"/>
  <c r="F25" i="11"/>
  <c r="G25" i="11"/>
  <c r="H25" i="11"/>
  <c r="I25" i="11"/>
  <c r="K25" i="11"/>
  <c r="D120" i="13"/>
  <c r="B120" i="13"/>
  <c r="D119" i="13"/>
  <c r="B119" i="13"/>
  <c r="D118" i="13"/>
  <c r="B118" i="13"/>
  <c r="D117" i="13"/>
  <c r="B117" i="13"/>
  <c r="D116" i="13"/>
  <c r="B116" i="13"/>
  <c r="D115" i="13"/>
  <c r="B115" i="13"/>
  <c r="D114" i="13"/>
  <c r="B114" i="13"/>
  <c r="D113" i="13"/>
  <c r="B113" i="13"/>
  <c r="D112" i="13"/>
  <c r="B112" i="13"/>
  <c r="D111" i="13"/>
  <c r="B111" i="13"/>
  <c r="D110" i="13"/>
  <c r="B110" i="13"/>
  <c r="D109" i="13"/>
  <c r="B109" i="13"/>
  <c r="D106" i="13"/>
  <c r="B106" i="13"/>
  <c r="D105" i="13"/>
  <c r="B105" i="13"/>
  <c r="D104" i="13"/>
  <c r="B104" i="13"/>
  <c r="D103" i="13"/>
  <c r="B103" i="13"/>
  <c r="D102" i="13"/>
  <c r="B102" i="13"/>
  <c r="D101" i="13"/>
  <c r="B101" i="13"/>
  <c r="D100" i="13"/>
  <c r="B100" i="13"/>
  <c r="D99" i="13"/>
  <c r="B99" i="13"/>
  <c r="D98" i="13"/>
  <c r="B98" i="13"/>
  <c r="D97" i="13"/>
  <c r="B97" i="13"/>
  <c r="D96" i="13"/>
  <c r="B96" i="13"/>
  <c r="D95" i="13"/>
  <c r="B95" i="13"/>
  <c r="D94" i="13"/>
  <c r="B94" i="13"/>
  <c r="D93" i="13"/>
  <c r="B93" i="13"/>
  <c r="D92" i="13"/>
  <c r="B92" i="13"/>
  <c r="D91" i="13"/>
  <c r="B91" i="13"/>
  <c r="D90" i="13"/>
  <c r="B90" i="13"/>
  <c r="D89" i="13"/>
  <c r="B89" i="13"/>
  <c r="D88" i="13"/>
  <c r="B88" i="13"/>
  <c r="D87" i="13"/>
  <c r="B87" i="13"/>
  <c r="D86" i="13"/>
  <c r="B86" i="13"/>
  <c r="D85" i="13"/>
  <c r="B85" i="13"/>
  <c r="D84" i="13"/>
  <c r="B84" i="13"/>
  <c r="D83" i="13"/>
  <c r="B83" i="13"/>
  <c r="D82" i="13"/>
  <c r="B82" i="13"/>
  <c r="D81" i="13"/>
  <c r="B81" i="13"/>
  <c r="D80" i="13"/>
  <c r="B80" i="13"/>
  <c r="D79" i="13"/>
  <c r="B79" i="13"/>
  <c r="D78" i="13"/>
  <c r="B78" i="13"/>
  <c r="D77" i="13"/>
  <c r="B77" i="13"/>
  <c r="D76" i="13"/>
  <c r="B76" i="13"/>
  <c r="D75" i="13"/>
  <c r="B75" i="13"/>
  <c r="D74" i="13"/>
  <c r="B74" i="13"/>
  <c r="D73" i="13"/>
  <c r="B73" i="13"/>
  <c r="D72" i="13"/>
  <c r="B72" i="13"/>
  <c r="D71" i="13"/>
  <c r="B71" i="13"/>
  <c r="D70" i="13"/>
  <c r="B70" i="13"/>
  <c r="D69" i="13"/>
  <c r="B69" i="13"/>
  <c r="D68" i="13"/>
  <c r="B68" i="13"/>
  <c r="D67" i="13"/>
  <c r="B67" i="13"/>
  <c r="D66" i="13"/>
  <c r="B66" i="13"/>
  <c r="D65" i="13"/>
  <c r="B65" i="13"/>
  <c r="D64" i="13"/>
  <c r="B64" i="13"/>
  <c r="D63" i="13"/>
  <c r="B63" i="13"/>
  <c r="D62" i="13"/>
  <c r="B62" i="13"/>
  <c r="D61" i="13"/>
  <c r="B61" i="13"/>
  <c r="D60" i="13"/>
  <c r="B60" i="13"/>
  <c r="D59" i="13"/>
  <c r="B59" i="13"/>
  <c r="D58" i="13"/>
  <c r="B58" i="13"/>
  <c r="D57" i="13"/>
  <c r="B57" i="13"/>
  <c r="D56" i="13"/>
  <c r="B56" i="13"/>
  <c r="D55" i="13"/>
  <c r="B55" i="13"/>
  <c r="D54" i="13"/>
  <c r="B54" i="13"/>
  <c r="D53" i="13"/>
  <c r="B53" i="13"/>
  <c r="D52" i="13"/>
  <c r="B52" i="13"/>
  <c r="D51" i="13"/>
  <c r="B51" i="13"/>
  <c r="D50" i="13"/>
  <c r="B50" i="13"/>
  <c r="D49" i="13"/>
  <c r="B49" i="13"/>
  <c r="D48" i="13"/>
  <c r="B48" i="13"/>
  <c r="D47" i="13"/>
  <c r="B47" i="13"/>
  <c r="D46" i="13"/>
  <c r="B46" i="13"/>
  <c r="D45" i="13"/>
  <c r="B45" i="13"/>
  <c r="D44" i="13"/>
  <c r="B44" i="13"/>
  <c r="D43" i="13"/>
  <c r="B43" i="13"/>
  <c r="D42" i="13"/>
  <c r="B42" i="13"/>
  <c r="D41" i="13"/>
  <c r="B41" i="13"/>
  <c r="D40" i="13"/>
  <c r="B40" i="13"/>
  <c r="D39" i="13"/>
  <c r="B39" i="13"/>
  <c r="D38" i="13"/>
  <c r="B38" i="13"/>
  <c r="D37" i="13"/>
  <c r="B37" i="13"/>
  <c r="D36" i="13"/>
  <c r="B36" i="13"/>
  <c r="D35" i="13"/>
  <c r="B35" i="13"/>
  <c r="C318" i="12"/>
  <c r="C317" i="12"/>
  <c r="C316" i="12"/>
  <c r="C315" i="12"/>
  <c r="C314" i="12"/>
  <c r="C313" i="12"/>
  <c r="C312" i="12"/>
  <c r="C311" i="12"/>
  <c r="C310" i="12"/>
  <c r="C309" i="12"/>
  <c r="C308" i="12"/>
  <c r="C307" i="12"/>
  <c r="C306" i="12"/>
  <c r="C305" i="12"/>
  <c r="C304" i="12"/>
  <c r="C303" i="12"/>
  <c r="C302" i="12"/>
  <c r="C301" i="12"/>
  <c r="C300" i="12"/>
  <c r="C297" i="12"/>
  <c r="C296" i="12"/>
  <c r="C293" i="12"/>
  <c r="C291" i="12"/>
  <c r="C290" i="12"/>
  <c r="C289" i="12"/>
  <c r="C288" i="12"/>
  <c r="C287" i="12"/>
  <c r="C286" i="12"/>
  <c r="C285" i="12"/>
  <c r="C284" i="12"/>
  <c r="C283" i="12"/>
  <c r="C282" i="12"/>
  <c r="C281" i="12"/>
  <c r="C280" i="12"/>
  <c r="C279" i="12"/>
  <c r="C276" i="12"/>
  <c r="C275" i="12"/>
  <c r="C274" i="12"/>
  <c r="C273" i="12"/>
  <c r="C272" i="12"/>
  <c r="C271" i="12"/>
  <c r="C270" i="12"/>
  <c r="C269" i="12"/>
  <c r="C268" i="12"/>
  <c r="C267" i="12"/>
  <c r="C266" i="12"/>
  <c r="C265" i="12"/>
  <c r="C264" i="12"/>
  <c r="C263" i="12"/>
  <c r="C262" i="12"/>
  <c r="C261" i="12"/>
  <c r="C260" i="12"/>
  <c r="C259" i="12"/>
  <c r="C258" i="12"/>
  <c r="C257" i="12"/>
  <c r="C256" i="12"/>
  <c r="C255" i="12"/>
  <c r="C254" i="12"/>
  <c r="C252" i="12"/>
  <c r="C251" i="12"/>
  <c r="C250" i="12"/>
  <c r="C249" i="12"/>
  <c r="C248" i="12"/>
  <c r="C247" i="12"/>
  <c r="C246" i="12"/>
  <c r="C245" i="12"/>
  <c r="C244" i="12"/>
  <c r="C243" i="12"/>
  <c r="C242" i="12"/>
  <c r="C241" i="12"/>
  <c r="C240" i="12"/>
  <c r="C239" i="12"/>
  <c r="C238" i="12"/>
  <c r="C237" i="12"/>
  <c r="C236" i="12"/>
  <c r="C235" i="12"/>
  <c r="C234" i="12"/>
  <c r="C233" i="12"/>
  <c r="C232" i="12"/>
  <c r="C231" i="12"/>
  <c r="C230" i="12"/>
  <c r="C229" i="12"/>
  <c r="C228" i="12"/>
  <c r="C227" i="12"/>
  <c r="C226" i="12"/>
  <c r="C225" i="12"/>
  <c r="C224" i="12"/>
  <c r="C223" i="12"/>
  <c r="C222" i="12"/>
  <c r="C221" i="12"/>
  <c r="C220" i="12"/>
  <c r="C219" i="12"/>
  <c r="C218" i="12"/>
  <c r="C217" i="12"/>
  <c r="C216" i="12"/>
  <c r="C215" i="12"/>
  <c r="C214" i="12"/>
  <c r="C213" i="12"/>
  <c r="C212" i="12"/>
  <c r="C210" i="12"/>
  <c r="C209" i="12"/>
  <c r="C208" i="12"/>
  <c r="C207" i="12"/>
  <c r="C206" i="12"/>
  <c r="C205" i="12"/>
  <c r="C204" i="12"/>
  <c r="C203" i="12"/>
  <c r="C202" i="12"/>
  <c r="C201" i="12"/>
  <c r="C200" i="12"/>
  <c r="C199" i="12"/>
  <c r="C198" i="12"/>
  <c r="C197" i="12"/>
  <c r="C196" i="12"/>
  <c r="C195" i="12"/>
  <c r="C194" i="12"/>
  <c r="C193" i="12"/>
  <c r="C192" i="12"/>
  <c r="C191" i="12"/>
  <c r="C190" i="12"/>
  <c r="C189" i="12"/>
  <c r="C188" i="12"/>
  <c r="C186" i="12"/>
  <c r="C185" i="12"/>
  <c r="C184" i="12"/>
  <c r="C183" i="12"/>
  <c r="C182" i="12"/>
  <c r="C180" i="12"/>
  <c r="C178" i="12"/>
  <c r="C176" i="12"/>
  <c r="C175" i="12"/>
  <c r="C174" i="12"/>
  <c r="C173" i="12"/>
  <c r="C172" i="12"/>
  <c r="C171" i="12"/>
  <c r="C170" i="12"/>
  <c r="C169" i="12"/>
  <c r="C167" i="12"/>
  <c r="C166" i="12"/>
  <c r="C165" i="12"/>
  <c r="C164" i="12"/>
  <c r="C163" i="12"/>
  <c r="C162" i="12"/>
  <c r="C161" i="12"/>
  <c r="C160" i="12"/>
  <c r="C159" i="12"/>
  <c r="C158" i="12"/>
  <c r="C157" i="12"/>
  <c r="C156" i="12"/>
  <c r="C155" i="12"/>
  <c r="C154" i="12"/>
  <c r="C153" i="12"/>
  <c r="C152" i="12"/>
  <c r="C151" i="12"/>
  <c r="C150" i="12"/>
  <c r="C149" i="12"/>
  <c r="C148" i="12"/>
  <c r="C147" i="12"/>
  <c r="C146" i="12"/>
  <c r="C145" i="12"/>
  <c r="C144" i="12"/>
  <c r="C143" i="12"/>
  <c r="C138" i="12"/>
  <c r="C137" i="12"/>
  <c r="C136" i="12"/>
  <c r="C135" i="12"/>
  <c r="C133" i="12"/>
  <c r="C131" i="12"/>
  <c r="C130" i="12"/>
  <c r="C129" i="12"/>
  <c r="C127" i="12"/>
  <c r="C126" i="12"/>
  <c r="C125" i="12"/>
  <c r="C123" i="12"/>
  <c r="C122" i="12"/>
  <c r="C121" i="12"/>
  <c r="C120" i="12"/>
  <c r="C119" i="12"/>
  <c r="C118" i="12"/>
  <c r="C117" i="12"/>
  <c r="C116" i="12"/>
  <c r="C115" i="12"/>
  <c r="C114" i="12"/>
  <c r="C113" i="12"/>
  <c r="C112" i="12"/>
  <c r="C111" i="12"/>
  <c r="C110" i="12"/>
  <c r="C109" i="12"/>
  <c r="C108" i="12"/>
  <c r="C107" i="12"/>
  <c r="C106" i="12"/>
  <c r="C105" i="12"/>
  <c r="C104" i="12"/>
  <c r="C103" i="12"/>
  <c r="C102" i="12"/>
  <c r="C101" i="12"/>
  <c r="C100" i="12"/>
  <c r="C99" i="12"/>
  <c r="C98" i="12"/>
  <c r="C97" i="12"/>
  <c r="C96" i="12"/>
  <c r="C95" i="12"/>
  <c r="C94" i="12"/>
  <c r="C93" i="12"/>
  <c r="C92" i="12"/>
  <c r="C91" i="12"/>
  <c r="C90" i="12"/>
  <c r="C89" i="12"/>
  <c r="C88" i="12"/>
  <c r="C87" i="12"/>
  <c r="C86" i="12"/>
  <c r="C85" i="12"/>
  <c r="C83" i="12"/>
  <c r="C82" i="12"/>
  <c r="C81" i="12"/>
  <c r="C77" i="12"/>
  <c r="C71" i="12"/>
  <c r="C65" i="12"/>
  <c r="C64" i="12"/>
  <c r="C63" i="12"/>
  <c r="C60" i="12"/>
  <c r="C58" i="12"/>
  <c r="C57" i="12"/>
  <c r="C56" i="12"/>
  <c r="C55" i="12"/>
  <c r="C54" i="12"/>
  <c r="C53" i="12"/>
  <c r="C52" i="12"/>
  <c r="C51" i="12"/>
  <c r="C50" i="12"/>
  <c r="C49" i="12"/>
  <c r="C48" i="12"/>
  <c r="C47" i="12"/>
  <c r="C46" i="12"/>
  <c r="C45" i="12"/>
  <c r="C44" i="12"/>
  <c r="C43" i="12"/>
  <c r="C42" i="12"/>
  <c r="C41" i="12"/>
  <c r="C40" i="12"/>
  <c r="C39" i="12"/>
  <c r="C38" i="12"/>
  <c r="C37" i="12"/>
  <c r="C36" i="12"/>
  <c r="C35" i="12"/>
  <c r="C34" i="12"/>
  <c r="C33" i="12"/>
  <c r="C32" i="12"/>
  <c r="C31" i="12"/>
  <c r="C30" i="12"/>
  <c r="C29" i="12"/>
  <c r="C28" i="12"/>
  <c r="C27" i="12"/>
  <c r="C25" i="12"/>
  <c r="C24" i="12"/>
  <c r="C23" i="12"/>
  <c r="C22" i="12"/>
  <c r="C21" i="12"/>
  <c r="C20" i="12"/>
  <c r="C19" i="12"/>
  <c r="C18" i="12"/>
  <c r="C17" i="12"/>
  <c r="C16" i="12"/>
  <c r="C15" i="12"/>
  <c r="C14" i="12"/>
  <c r="C13" i="12"/>
  <c r="C12" i="12"/>
  <c r="C11" i="12"/>
  <c r="C10" i="12"/>
  <c r="C9" i="12"/>
  <c r="C8" i="12"/>
  <c r="C7" i="12"/>
  <c r="C6" i="12"/>
  <c r="C5" i="12"/>
  <c r="C4" i="12"/>
  <c r="D147" i="10"/>
  <c r="B147" i="10"/>
  <c r="D146" i="10"/>
  <c r="B146" i="10"/>
  <c r="D145" i="10"/>
  <c r="B145" i="10"/>
  <c r="D144" i="10"/>
  <c r="B144" i="10"/>
  <c r="D143" i="10"/>
  <c r="B143" i="10"/>
  <c r="D142" i="10"/>
  <c r="B142" i="10"/>
  <c r="D141" i="10"/>
  <c r="B141" i="10"/>
  <c r="D140" i="10"/>
  <c r="B140" i="10"/>
  <c r="D139" i="10"/>
  <c r="B139" i="10"/>
  <c r="D138" i="10"/>
  <c r="B138" i="10"/>
  <c r="D137" i="10"/>
  <c r="B137" i="10"/>
  <c r="D136" i="10"/>
  <c r="B136" i="10"/>
  <c r="D135" i="10"/>
  <c r="B135" i="10"/>
  <c r="D134" i="10"/>
  <c r="B134" i="10"/>
  <c r="D133" i="10"/>
  <c r="B133" i="10"/>
  <c r="D132" i="10"/>
  <c r="B132" i="10"/>
  <c r="D131" i="10"/>
  <c r="B131" i="10"/>
  <c r="D130" i="10"/>
  <c r="B130" i="10"/>
  <c r="D129" i="10"/>
  <c r="B129" i="10"/>
  <c r="D128" i="10"/>
  <c r="B128" i="10"/>
  <c r="D127" i="10"/>
  <c r="B127" i="10"/>
  <c r="D126" i="10"/>
  <c r="B126" i="10"/>
  <c r="D125" i="10"/>
  <c r="B125" i="10"/>
  <c r="D124" i="10"/>
  <c r="B124" i="10"/>
  <c r="D123" i="10"/>
  <c r="B123" i="10"/>
  <c r="D122" i="10"/>
  <c r="B122" i="10"/>
  <c r="D121" i="10"/>
  <c r="B121" i="10"/>
  <c r="D120" i="10"/>
  <c r="B120" i="10"/>
  <c r="D119" i="10"/>
  <c r="B119" i="10"/>
  <c r="D118" i="10"/>
  <c r="B118" i="10"/>
  <c r="D117" i="10"/>
  <c r="B117" i="10"/>
  <c r="D116" i="10"/>
  <c r="B116" i="10"/>
  <c r="D115" i="10"/>
  <c r="B115" i="10"/>
  <c r="D114" i="10"/>
  <c r="B114" i="10"/>
  <c r="D113" i="10"/>
  <c r="B113" i="10"/>
  <c r="D112" i="10"/>
  <c r="B112" i="10"/>
  <c r="D111" i="10"/>
  <c r="B111" i="10"/>
  <c r="D110" i="10"/>
  <c r="B110" i="10"/>
  <c r="D109" i="10"/>
  <c r="B109" i="10"/>
  <c r="D108" i="10"/>
  <c r="B108" i="10"/>
  <c r="D107" i="10"/>
  <c r="B107" i="10"/>
  <c r="D106" i="10"/>
  <c r="B106" i="10"/>
  <c r="D105" i="10"/>
  <c r="B105" i="10"/>
  <c r="D104" i="10"/>
  <c r="B104" i="10"/>
  <c r="D103" i="10"/>
  <c r="B103" i="10"/>
  <c r="D102" i="10"/>
  <c r="B102" i="10"/>
  <c r="D101" i="10"/>
  <c r="B101" i="10"/>
  <c r="D100" i="10"/>
  <c r="B100" i="10"/>
  <c r="D99" i="10"/>
  <c r="B99" i="10"/>
  <c r="D98" i="10"/>
  <c r="B98" i="10"/>
  <c r="D97" i="10"/>
  <c r="B97" i="10"/>
  <c r="D96" i="10"/>
  <c r="B96" i="10"/>
  <c r="D95" i="10"/>
  <c r="B95" i="10"/>
  <c r="D94" i="10"/>
  <c r="B94" i="10"/>
  <c r="D93" i="10"/>
  <c r="B93" i="10"/>
  <c r="D92" i="10"/>
  <c r="B92" i="10"/>
  <c r="D91" i="10"/>
  <c r="B91" i="10"/>
  <c r="D90" i="10"/>
  <c r="B90" i="10"/>
  <c r="D89" i="10"/>
  <c r="B89" i="10"/>
  <c r="D88" i="10"/>
  <c r="B88" i="10"/>
  <c r="D87" i="10"/>
  <c r="B87" i="10"/>
  <c r="D86" i="10"/>
  <c r="B86" i="10"/>
  <c r="D85" i="10"/>
  <c r="B85" i="10"/>
  <c r="D84" i="10"/>
  <c r="B84" i="10"/>
  <c r="D83" i="10"/>
  <c r="B83" i="10"/>
  <c r="D82" i="10"/>
  <c r="B82" i="10"/>
  <c r="D81" i="10"/>
  <c r="B81" i="10"/>
  <c r="D80" i="10"/>
  <c r="B80" i="10"/>
  <c r="D79" i="10"/>
  <c r="B79" i="10"/>
  <c r="D78" i="10"/>
  <c r="B78" i="10"/>
  <c r="D77" i="10"/>
  <c r="B77" i="10"/>
  <c r="D76" i="10"/>
  <c r="B76" i="10"/>
  <c r="D75" i="10"/>
  <c r="B75" i="10"/>
  <c r="D74" i="10"/>
  <c r="B74" i="10"/>
  <c r="D73" i="10"/>
  <c r="B73" i="10"/>
  <c r="D72" i="10"/>
  <c r="B72" i="10"/>
  <c r="D71" i="10"/>
  <c r="B71" i="10"/>
  <c r="D70" i="10"/>
  <c r="B70" i="10"/>
  <c r="D69" i="10"/>
  <c r="B69" i="10"/>
  <c r="D68" i="10"/>
  <c r="B68" i="10"/>
  <c r="D67" i="10"/>
  <c r="B67" i="10"/>
  <c r="D66" i="10"/>
  <c r="B66" i="10"/>
  <c r="D65" i="10"/>
  <c r="B65" i="10"/>
  <c r="D64" i="10"/>
  <c r="B64" i="10"/>
  <c r="D63" i="10"/>
  <c r="B63" i="10"/>
  <c r="D62" i="10"/>
  <c r="B62" i="10"/>
  <c r="D61" i="10"/>
  <c r="B61" i="10"/>
  <c r="D60" i="10"/>
  <c r="B60" i="10"/>
  <c r="D59" i="10"/>
  <c r="B59" i="10"/>
  <c r="D58" i="10"/>
  <c r="B58" i="10"/>
  <c r="D57" i="10"/>
  <c r="B57" i="10"/>
  <c r="D56" i="10"/>
  <c r="B56" i="10"/>
  <c r="D55" i="10"/>
  <c r="B55" i="10"/>
  <c r="D54" i="10"/>
  <c r="B54" i="10"/>
  <c r="D53" i="10"/>
  <c r="B53" i="10"/>
  <c r="D52" i="10"/>
  <c r="B52" i="10"/>
  <c r="D51" i="10"/>
  <c r="B51" i="10"/>
  <c r="D50" i="10"/>
  <c r="B50" i="10"/>
  <c r="D49" i="10"/>
  <c r="B49" i="10"/>
  <c r="D48" i="10"/>
  <c r="B48" i="10"/>
  <c r="D47" i="10"/>
  <c r="B47" i="10"/>
  <c r="D46" i="10"/>
  <c r="B46" i="10"/>
  <c r="D45" i="10"/>
  <c r="B45" i="10"/>
  <c r="D44" i="10"/>
  <c r="B44" i="10"/>
  <c r="D43" i="10"/>
  <c r="B43" i="10"/>
  <c r="D42" i="10"/>
  <c r="B42" i="10"/>
  <c r="D41" i="10"/>
  <c r="B41" i="10"/>
  <c r="D40" i="10"/>
  <c r="B40" i="10"/>
  <c r="D39" i="10"/>
  <c r="B39" i="10"/>
  <c r="D38" i="10"/>
  <c r="B38" i="10"/>
  <c r="D37" i="10"/>
  <c r="B37" i="10"/>
  <c r="D36" i="10"/>
  <c r="B36" i="10"/>
  <c r="D35" i="10"/>
  <c r="B35" i="10"/>
  <c r="D34" i="10"/>
  <c r="B34" i="10"/>
  <c r="D33" i="10"/>
  <c r="B33" i="10"/>
  <c r="D32" i="10"/>
  <c r="B32" i="10"/>
  <c r="D31" i="10"/>
  <c r="B31" i="10"/>
  <c r="D30" i="10"/>
  <c r="B30" i="10"/>
  <c r="D29" i="10"/>
  <c r="B29" i="10"/>
  <c r="D28" i="10"/>
  <c r="B28" i="10"/>
  <c r="D27" i="10"/>
  <c r="B27" i="10"/>
  <c r="D26" i="10"/>
  <c r="B26" i="10"/>
  <c r="D25" i="10"/>
  <c r="B25" i="10"/>
  <c r="D24" i="10"/>
  <c r="B24" i="10"/>
  <c r="D23" i="10"/>
  <c r="B23" i="10"/>
  <c r="D22" i="10"/>
  <c r="B22" i="10"/>
  <c r="D21" i="10"/>
  <c r="B21" i="10"/>
  <c r="D20" i="10"/>
  <c r="B20" i="10"/>
  <c r="D19" i="10"/>
  <c r="B19" i="10"/>
  <c r="D18" i="10"/>
  <c r="B18" i="10"/>
  <c r="D17" i="10"/>
  <c r="B17" i="10"/>
  <c r="D16" i="10"/>
  <c r="B16" i="10"/>
  <c r="D15" i="10"/>
  <c r="B15" i="10"/>
  <c r="D14" i="10"/>
  <c r="B14" i="10"/>
  <c r="D13" i="10"/>
  <c r="B13" i="10"/>
  <c r="D12" i="10"/>
  <c r="B12" i="10"/>
  <c r="D11" i="10"/>
  <c r="B11" i="10"/>
  <c r="D10" i="10"/>
  <c r="B10" i="10"/>
  <c r="D9" i="10"/>
  <c r="B9" i="10"/>
  <c r="D8" i="10"/>
  <c r="B8" i="10"/>
  <c r="D7" i="10"/>
  <c r="B7" i="10"/>
  <c r="D6" i="10"/>
  <c r="B6" i="10"/>
  <c r="D5" i="10"/>
  <c r="B5" i="10"/>
  <c r="L27" i="9"/>
  <c r="K27" i="9"/>
  <c r="J27" i="9"/>
  <c r="I27" i="9"/>
  <c r="H27" i="9"/>
  <c r="G27" i="9"/>
  <c r="F27" i="9"/>
  <c r="E27" i="9"/>
  <c r="D27" i="9"/>
  <c r="C27" i="9"/>
  <c r="G4" i="12"/>
  <c r="E43" i="5"/>
  <c r="D43" i="5"/>
  <c r="D45" i="5"/>
  <c r="D46" i="5"/>
  <c r="D60" i="5"/>
  <c r="E60" i="5"/>
  <c r="E62" i="5"/>
  <c r="D62" i="5"/>
  <c r="D63" i="5"/>
  <c r="D64" i="5"/>
  <c r="E64" i="5"/>
  <c r="D48" i="5"/>
  <c r="E48" i="5"/>
  <c r="E52" i="5"/>
  <c r="D52" i="5"/>
  <c r="D54" i="5"/>
  <c r="D55" i="5"/>
  <c r="D67" i="5"/>
  <c r="D68" i="5"/>
  <c r="D69" i="5"/>
  <c r="E69" i="5"/>
  <c r="D78" i="6"/>
  <c r="E32" i="3"/>
  <c r="E34" i="3"/>
  <c r="D66" i="6"/>
  <c r="D67" i="6"/>
  <c r="D34" i="6"/>
  <c r="F39" i="3"/>
  <c r="D35" i="6"/>
  <c r="D36" i="6"/>
  <c r="D37" i="6"/>
  <c r="E37" i="3"/>
  <c r="E39" i="3"/>
  <c r="Q19" i="2"/>
  <c r="E30" i="3"/>
  <c r="E36" i="3"/>
  <c r="Q16" i="2"/>
  <c r="R23" i="2"/>
  <c r="Q17" i="2"/>
  <c r="R27" i="2"/>
  <c r="Q18" i="2"/>
  <c r="R31" i="2"/>
  <c r="R1" i="2"/>
  <c r="C34" i="6"/>
  <c r="C35" i="6"/>
  <c r="C36" i="6"/>
  <c r="C37" i="6"/>
  <c r="D69" i="6"/>
  <c r="D70" i="6"/>
  <c r="D71" i="6"/>
  <c r="D73" i="6"/>
  <c r="F72" i="3"/>
  <c r="Q40"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<sst xmlns="http://schemas.openxmlformats.org/spreadsheetml/2006/main" count="11449" uniqueCount="2353">
  <si>
    <t>売却済み物件</t>
    <rPh sb="0" eb="2">
      <t>バイキャク</t>
    </rPh>
    <rPh sb="2" eb="3">
      <t>ズ</t>
    </rPh>
    <rPh sb="4" eb="6">
      <t>ブッケン</t>
    </rPh>
    <phoneticPr fontId="5"/>
  </si>
  <si>
    <t>減価償却</t>
    <rPh sb="0" eb="2">
      <t>ゲンカ</t>
    </rPh>
    <rPh sb="2" eb="4">
      <t>ショウキャク</t>
    </rPh>
    <phoneticPr fontId="5"/>
  </si>
  <si>
    <t>維持費用明細(税込)</t>
    <rPh sb="0" eb="2">
      <t>イジ</t>
    </rPh>
    <rPh sb="4" eb="6">
      <t>メイサイ</t>
    </rPh>
    <phoneticPr fontId="5"/>
  </si>
  <si>
    <t>土地建物 筆の一覧　固定資産税評価額/固定資産税/都市計画税額</t>
    <rPh sb="0" eb="2">
      <t>トチ</t>
    </rPh>
    <rPh sb="2" eb="4">
      <t>タテモノ</t>
    </rPh>
    <rPh sb="5" eb="6">
      <t>フデ</t>
    </rPh>
    <rPh sb="7" eb="9">
      <t>イチラン</t>
    </rPh>
    <rPh sb="10" eb="12">
      <t>コテイ</t>
    </rPh>
    <rPh sb="12" eb="15">
      <t>シサンゼイ</t>
    </rPh>
    <rPh sb="15" eb="18">
      <t>ヒョウカガク</t>
    </rPh>
    <rPh sb="19" eb="21">
      <t>コテイ</t>
    </rPh>
    <rPh sb="21" eb="24">
      <t>シサンゼイ</t>
    </rPh>
    <rPh sb="25" eb="27">
      <t>トシ</t>
    </rPh>
    <rPh sb="27" eb="29">
      <t>ケイカク</t>
    </rPh>
    <rPh sb="29" eb="30">
      <t>ゼイ</t>
    </rPh>
    <rPh sb="30" eb="31">
      <t>ガク</t>
    </rPh>
    <phoneticPr fontId="5"/>
  </si>
  <si>
    <t>仙台駅前コーポ</t>
  </si>
  <si>
    <t>あおばマンション</t>
  </si>
  <si>
    <t>1.物件ID</t>
    <rPh sb="2" eb="4">
      <t>ブッケン</t>
    </rPh>
    <phoneticPr fontId="5"/>
  </si>
  <si>
    <t>2.対象物件</t>
    <rPh sb="2" eb="4">
      <t>タイショウ</t>
    </rPh>
    <rPh sb="4" eb="6">
      <t>ブッケン</t>
    </rPh>
    <phoneticPr fontId="5"/>
  </si>
  <si>
    <t>3.法人ID</t>
    <rPh sb="2" eb="4">
      <t>ホウジン</t>
    </rPh>
    <phoneticPr fontId="5"/>
  </si>
  <si>
    <t>4.法人名</t>
    <rPh sb="2" eb="4">
      <t>ホウジン</t>
    </rPh>
    <rPh sb="4" eb="5">
      <t>メイ</t>
    </rPh>
    <phoneticPr fontId="5"/>
  </si>
  <si>
    <t>5.資産種類名</t>
  </si>
  <si>
    <t>6.償却方法</t>
  </si>
  <si>
    <t>7.資産名称</t>
  </si>
  <si>
    <t>8.取得年月日</t>
  </si>
  <si>
    <t>9.耐用年数
(年)</t>
    <rPh sb="8" eb="9">
      <t>ネン</t>
    </rPh>
    <phoneticPr fontId="5"/>
  </si>
  <si>
    <t>10.取得後経過年(目安)</t>
    <rPh sb="3" eb="6">
      <t>シュトクゴ</t>
    </rPh>
    <rPh sb="6" eb="8">
      <t>ケイカ</t>
    </rPh>
    <rPh sb="8" eb="9">
      <t>ネン</t>
    </rPh>
    <rPh sb="10" eb="12">
      <t>メヤス</t>
    </rPh>
    <phoneticPr fontId="5"/>
  </si>
  <si>
    <t>11.残存耐用年(目安)</t>
    <rPh sb="3" eb="5">
      <t>ザンゾン</t>
    </rPh>
    <rPh sb="5" eb="7">
      <t>タイヨウ</t>
    </rPh>
    <rPh sb="7" eb="8">
      <t>ネン</t>
    </rPh>
    <rPh sb="9" eb="11">
      <t>メヤス</t>
    </rPh>
    <phoneticPr fontId="5"/>
  </si>
  <si>
    <t>12.取得価額</t>
  </si>
  <si>
    <t>13.期首帳簿価額</t>
  </si>
  <si>
    <t>14.年間償却額</t>
    <rPh sb="3" eb="5">
      <t>ネンカン</t>
    </rPh>
    <phoneticPr fontId="5"/>
  </si>
  <si>
    <t>15.期末帳簿価額</t>
  </si>
  <si>
    <t>16.購入後の
CAPEX</t>
    <rPh sb="3" eb="6">
      <t>コウニュウゴ</t>
    </rPh>
    <phoneticPr fontId="5"/>
  </si>
  <si>
    <t>17.摘要</t>
    <rPh sb="3" eb="5">
      <t>テキヨウ</t>
    </rPh>
    <phoneticPr fontId="5"/>
  </si>
  <si>
    <t>1.連番</t>
    <rPh sb="2" eb="4">
      <t>レンバン</t>
    </rPh>
    <phoneticPr fontId="5"/>
  </si>
  <si>
    <t>2.物件ID</t>
    <rPh sb="2" eb="4">
      <t>ブッケン</t>
    </rPh>
    <phoneticPr fontId="5"/>
  </si>
  <si>
    <t>3.物件名</t>
    <rPh sb="2" eb="5">
      <t>ブッケンメイ</t>
    </rPh>
    <phoneticPr fontId="5"/>
  </si>
  <si>
    <t>4.区画名</t>
  </si>
  <si>
    <t>5.専有面積</t>
  </si>
  <si>
    <t>6.クラスID</t>
  </si>
  <si>
    <t>7.クラス</t>
  </si>
  <si>
    <t>8.間取り</t>
  </si>
  <si>
    <t>9.賃料</t>
  </si>
  <si>
    <t>10.共益費</t>
  </si>
  <si>
    <t>11.その他</t>
  </si>
  <si>
    <t>12.消費税</t>
  </si>
  <si>
    <t>13.現況賃料税込(自動)</t>
    <rPh sb="10" eb="12">
      <t>ジドウ</t>
    </rPh>
    <phoneticPr fontId="5"/>
  </si>
  <si>
    <t>14.再募集賃料税抜</t>
    <phoneticPr fontId="5"/>
  </si>
  <si>
    <t>15.再募集賃料税</t>
    <phoneticPr fontId="5"/>
  </si>
  <si>
    <t>16.再募集税込(自動)</t>
    <phoneticPr fontId="5"/>
  </si>
  <si>
    <t>17.満室想定税込(自動)</t>
    <phoneticPr fontId="5"/>
  </si>
  <si>
    <t>18.入居者国籍</t>
    <phoneticPr fontId="5"/>
  </si>
  <si>
    <t>19.賃貸用</t>
    <phoneticPr fontId="5"/>
  </si>
  <si>
    <t>20.メモ</t>
    <phoneticPr fontId="5"/>
  </si>
  <si>
    <t>sepa1</t>
    <phoneticPr fontId="5"/>
  </si>
  <si>
    <t>31.区画ID</t>
    <phoneticPr fontId="5"/>
  </si>
  <si>
    <t>32.購入時賃料税抜</t>
    <phoneticPr fontId="5"/>
  </si>
  <si>
    <t>sepa2</t>
    <phoneticPr fontId="5"/>
  </si>
  <si>
    <t>41.入居中判定</t>
    <phoneticPr fontId="5"/>
  </si>
  <si>
    <t>42.満室想定税抜(自動)</t>
    <phoneticPr fontId="5"/>
  </si>
  <si>
    <t>43.賃料増減余地(自動)</t>
    <rPh sb="3" eb="5">
      <t>チンリョウ</t>
    </rPh>
    <rPh sb="5" eb="7">
      <t>ゾウゲン</t>
    </rPh>
    <rPh sb="7" eb="9">
      <t>ヨチ</t>
    </rPh>
    <rPh sb="10" eb="12">
      <t>ジドウ</t>
    </rPh>
    <phoneticPr fontId="5"/>
  </si>
  <si>
    <t>44.購入後の賃料増加額税抜（自動）</t>
    <phoneticPr fontId="5"/>
  </si>
  <si>
    <t>45.物理区画判定(自動)</t>
    <phoneticPr fontId="5"/>
  </si>
  <si>
    <t>46.論理区画判定(自動)</t>
    <phoneticPr fontId="5"/>
  </si>
  <si>
    <t>物件ID</t>
    <rPh sb="0" eb="2">
      <t>ブッケン</t>
    </rPh>
    <phoneticPr fontId="5"/>
  </si>
  <si>
    <t>物件名</t>
    <rPh sb="0" eb="3">
      <t>ブッケンメイ</t>
    </rPh>
    <phoneticPr fontId="5"/>
  </si>
  <si>
    <t>BM費用ID</t>
    <rPh sb="2" eb="4">
      <t>ヒヨウ</t>
    </rPh>
    <phoneticPr fontId="5"/>
  </si>
  <si>
    <t>BM費用項目(自動)</t>
    <rPh sb="2" eb="4">
      <t>ヒヨウ</t>
    </rPh>
    <rPh sb="4" eb="6">
      <t>コウモク</t>
    </rPh>
    <rPh sb="7" eb="9">
      <t>ジドウ</t>
    </rPh>
    <phoneticPr fontId="5"/>
  </si>
  <si>
    <t>月額合計</t>
    <rPh sb="0" eb="2">
      <t>ゲツガク</t>
    </rPh>
    <rPh sb="2" eb="4">
      <t>ゴウケイ</t>
    </rPh>
    <phoneticPr fontId="5"/>
  </si>
  <si>
    <t>年換算(×12)</t>
    <rPh sb="0" eb="3">
      <t>ネンカンサン</t>
    </rPh>
    <phoneticPr fontId="5"/>
  </si>
  <si>
    <t>摘要</t>
    <rPh sb="0" eb="2">
      <t>テキヨウ</t>
    </rPh>
    <phoneticPr fontId="5"/>
  </si>
  <si>
    <t>連番</t>
    <rPh sb="0" eb="2">
      <t>レンバン</t>
    </rPh>
    <phoneticPr fontId="5"/>
  </si>
  <si>
    <t>物件
ID</t>
    <rPh sb="0" eb="2">
      <t>ブッケン</t>
    </rPh>
    <phoneticPr fontId="5"/>
  </si>
  <si>
    <t>資産クラスID</t>
    <rPh sb="0" eb="2">
      <t>シサン</t>
    </rPh>
    <phoneticPr fontId="5"/>
  </si>
  <si>
    <t>資産クラス</t>
    <rPh sb="0" eb="2">
      <t>シサン</t>
    </rPh>
    <phoneticPr fontId="5"/>
  </si>
  <si>
    <t>地番</t>
    <rPh sb="0" eb="2">
      <t>チバン</t>
    </rPh>
    <phoneticPr fontId="5"/>
  </si>
  <si>
    <t>家屋番号</t>
    <rPh sb="0" eb="4">
      <t>カオクバンゴウ</t>
    </rPh>
    <phoneticPr fontId="5"/>
  </si>
  <si>
    <t>所有/
借地権</t>
    <rPh sb="0" eb="2">
      <t>ショユウ</t>
    </rPh>
    <rPh sb="4" eb="6">
      <t>シャクチ</t>
    </rPh>
    <phoneticPr fontId="5"/>
  </si>
  <si>
    <t>面積ネット
(持分按分後の実質)</t>
    <rPh sb="0" eb="2">
      <t>メンセキ</t>
    </rPh>
    <rPh sb="7" eb="9">
      <t>モチブン</t>
    </rPh>
    <rPh sb="9" eb="11">
      <t>アンブン</t>
    </rPh>
    <rPh sb="13" eb="15">
      <t>ジッシツ</t>
    </rPh>
    <phoneticPr fontId="5"/>
  </si>
  <si>
    <t>面積グロス
(評価証明上の表記)</t>
    <rPh sb="0" eb="2">
      <t>メンセキ</t>
    </rPh>
    <rPh sb="11" eb="12">
      <t>ジョウ</t>
    </rPh>
    <rPh sb="13" eb="15">
      <t>ヒョウキ</t>
    </rPh>
    <phoneticPr fontId="5"/>
  </si>
  <si>
    <t>共有持分
分子</t>
    <rPh sb="0" eb="2">
      <t>キョウユウ</t>
    </rPh>
    <rPh sb="2" eb="4">
      <t>モチブン</t>
    </rPh>
    <rPh sb="5" eb="7">
      <t>ブンシ</t>
    </rPh>
    <phoneticPr fontId="5"/>
  </si>
  <si>
    <t>共有持分
分母</t>
    <rPh sb="0" eb="2">
      <t>キョウユウ</t>
    </rPh>
    <rPh sb="2" eb="4">
      <t>モチブン</t>
    </rPh>
    <rPh sb="5" eb="7">
      <t>ブンボ</t>
    </rPh>
    <phoneticPr fontId="5"/>
  </si>
  <si>
    <t>区分
分子</t>
    <rPh sb="0" eb="2">
      <t>クブン</t>
    </rPh>
    <rPh sb="3" eb="5">
      <t>ブンシ</t>
    </rPh>
    <phoneticPr fontId="5"/>
  </si>
  <si>
    <t>区分
分母</t>
    <rPh sb="0" eb="2">
      <t>クブン</t>
    </rPh>
    <rPh sb="3" eb="5">
      <t>ブンボ</t>
    </rPh>
    <phoneticPr fontId="5"/>
  </si>
  <si>
    <t>当該資産
評価額</t>
    <rPh sb="0" eb="2">
      <t>トウガイ</t>
    </rPh>
    <rPh sb="2" eb="4">
      <t>シサン</t>
    </rPh>
    <rPh sb="5" eb="8">
      <t>ヒョウカガク</t>
    </rPh>
    <phoneticPr fontId="5"/>
  </si>
  <si>
    <t>当期固定資産税額</t>
    <rPh sb="0" eb="2">
      <t>トウキ</t>
    </rPh>
    <rPh sb="2" eb="4">
      <t>コテイ</t>
    </rPh>
    <rPh sb="4" eb="7">
      <t>シサンゼイ</t>
    </rPh>
    <rPh sb="7" eb="8">
      <t>ガク</t>
    </rPh>
    <phoneticPr fontId="5"/>
  </si>
  <si>
    <t>当期都市計画税額</t>
    <rPh sb="0" eb="2">
      <t>トウキ</t>
    </rPh>
    <rPh sb="2" eb="4">
      <t>トシ</t>
    </rPh>
    <rPh sb="4" eb="6">
      <t>ケイカク</t>
    </rPh>
    <rPh sb="6" eb="8">
      <t>ゼイガク</t>
    </rPh>
    <phoneticPr fontId="5"/>
  </si>
  <si>
    <t>物件ID</t>
  </si>
  <si>
    <t>物件概要</t>
    <rPh sb="0" eb="2">
      <t>ブッケン</t>
    </rPh>
    <rPh sb="2" eb="4">
      <t>ガイヨウ</t>
    </rPh>
    <phoneticPr fontId="5"/>
  </si>
  <si>
    <t>現所有者</t>
  </si>
  <si>
    <t>交通</t>
  </si>
  <si>
    <t>コアプラス沖縄株式会社</t>
  </si>
  <si>
    <t>住所</t>
  </si>
  <si>
    <t>東北本線「仙台」歩10分</t>
  </si>
  <si>
    <t>田園都市線「青葉台」歩5分</t>
  </si>
  <si>
    <t>一棟or区分</t>
  </si>
  <si>
    <t>宮城県仙台市宮城野区名掛丁991-55</t>
  </si>
  <si>
    <t>神奈川県横浜市青葉区青葉台9-25-1</t>
  </si>
  <si>
    <t>権利形態</t>
  </si>
  <si>
    <t>一棟</t>
  </si>
  <si>
    <t>土地面積</t>
    <phoneticPr fontId="5"/>
  </si>
  <si>
    <t>土地面積（坪）</t>
  </si>
  <si>
    <t>建物のべ床</t>
    <phoneticPr fontId="5"/>
  </si>
  <si>
    <t>建物構造</t>
  </si>
  <si>
    <t>所有権</t>
  </si>
  <si>
    <t>建物築年</t>
  </si>
  <si>
    <t>RC/B1-5F</t>
  </si>
  <si>
    <t>建物経過年数</t>
  </si>
  <si>
    <t>総区画数</t>
  </si>
  <si>
    <t>うち住居数</t>
  </si>
  <si>
    <t>うち事務所/店舗数</t>
  </si>
  <si>
    <t>うち駐車場</t>
    <phoneticPr fontId="5"/>
  </si>
  <si>
    <t>うちその他</t>
    <phoneticPr fontId="5"/>
  </si>
  <si>
    <t>用途と計画</t>
  </si>
  <si>
    <t>購入年月</t>
  </si>
  <si>
    <t>購入価格</t>
  </si>
  <si>
    <t>物件メモ</t>
    <rPh sb="0" eb="2">
      <t>ブッケン</t>
    </rPh>
    <phoneticPr fontId="5"/>
  </si>
  <si>
    <t>売却価格</t>
    <rPh sb="0" eb="2">
      <t>バイキャク</t>
    </rPh>
    <rPh sb="2" eb="4">
      <t>カカク</t>
    </rPh>
    <phoneticPr fontId="5"/>
  </si>
  <si>
    <t>売却益概算</t>
    <rPh sb="0" eb="3">
      <t>バイキャクエキ</t>
    </rPh>
    <rPh sb="3" eb="5">
      <t>ガイサン</t>
    </rPh>
    <phoneticPr fontId="5"/>
  </si>
  <si>
    <t>売却時利回り</t>
    <rPh sb="0" eb="3">
      <t>バイキャクジ</t>
    </rPh>
    <rPh sb="3" eb="5">
      <t>リマワ</t>
    </rPh>
    <phoneticPr fontId="5"/>
  </si>
  <si>
    <t>ピボットテーブルの一覧</t>
    <rPh sb="9" eb="11">
      <t>イチラン</t>
    </rPh>
    <phoneticPr fontId="5"/>
  </si>
  <si>
    <t>Pivot1</t>
    <phoneticPr fontId="5"/>
  </si>
  <si>
    <t>Pivot2</t>
    <phoneticPr fontId="5"/>
  </si>
  <si>
    <t>Pivot3</t>
    <phoneticPr fontId="5"/>
  </si>
  <si>
    <t>Pivot4</t>
    <phoneticPr fontId="5"/>
  </si>
  <si>
    <t>Pivot5</t>
    <phoneticPr fontId="5"/>
  </si>
  <si>
    <t>Pivot8</t>
    <phoneticPr fontId="5"/>
  </si>
  <si>
    <t>Pivot19</t>
    <phoneticPr fontId="5"/>
  </si>
  <si>
    <t>Pivot9</t>
    <phoneticPr fontId="5"/>
  </si>
  <si>
    <t>Pivot10</t>
    <phoneticPr fontId="5"/>
  </si>
  <si>
    <t>Pivot11</t>
    <phoneticPr fontId="5"/>
  </si>
  <si>
    <t>Pivot12</t>
    <phoneticPr fontId="5"/>
  </si>
  <si>
    <t>Pivot13</t>
    <phoneticPr fontId="5"/>
  </si>
  <si>
    <t>Pivot14</t>
    <phoneticPr fontId="5"/>
  </si>
  <si>
    <t>Pivot15</t>
    <phoneticPr fontId="5"/>
  </si>
  <si>
    <t>Pivot16</t>
    <phoneticPr fontId="5"/>
  </si>
  <si>
    <t>Pivot17</t>
    <phoneticPr fontId="5"/>
  </si>
  <si>
    <t>Pivot18</t>
    <phoneticPr fontId="5"/>
  </si>
  <si>
    <t>Pivot20</t>
    <phoneticPr fontId="5"/>
  </si>
  <si>
    <t>ピボット番号</t>
    <rPh sb="4" eb="6">
      <t>バンゴウ</t>
    </rPh>
    <phoneticPr fontId="5"/>
  </si>
  <si>
    <t>リンク</t>
    <phoneticPr fontId="5"/>
  </si>
  <si>
    <t>シート</t>
    <phoneticPr fontId="5"/>
  </si>
  <si>
    <t>項目</t>
    <rPh sb="0" eb="2">
      <t>コウモク</t>
    </rPh>
    <phoneticPr fontId="5"/>
  </si>
  <si>
    <t>条件1</t>
    <rPh sb="0" eb="2">
      <t>ジョウケン</t>
    </rPh>
    <phoneticPr fontId="5"/>
  </si>
  <si>
    <t>設定1</t>
    <rPh sb="0" eb="2">
      <t>セッテイ</t>
    </rPh>
    <phoneticPr fontId="5"/>
  </si>
  <si>
    <t>条件2</t>
    <rPh sb="0" eb="2">
      <t>ジョウケン</t>
    </rPh>
    <phoneticPr fontId="5"/>
  </si>
  <si>
    <t>設定2</t>
    <rPh sb="0" eb="2">
      <t>セッテイ</t>
    </rPh>
    <phoneticPr fontId="5"/>
  </si>
  <si>
    <t>BM費用集計</t>
    <rPh sb="2" eb="4">
      <t>ヒヨウ</t>
    </rPh>
    <rPh sb="4" eb="6">
      <t>シュウケイ</t>
    </rPh>
    <phoneticPr fontId="5"/>
  </si>
  <si>
    <t>取得時簿価</t>
    <rPh sb="0" eb="3">
      <t>シュトクジ</t>
    </rPh>
    <rPh sb="3" eb="5">
      <t>ボカ</t>
    </rPh>
    <phoneticPr fontId="5"/>
  </si>
  <si>
    <t>2022年期首簿価</t>
    <rPh sb="5" eb="7">
      <t>キシュ</t>
    </rPh>
    <rPh sb="7" eb="9">
      <t>ボカ</t>
    </rPh>
    <phoneticPr fontId="5"/>
  </si>
  <si>
    <t>2022年(1年間)の償却額</t>
    <rPh sb="4" eb="5">
      <t>ネン</t>
    </rPh>
    <rPh sb="7" eb="8">
      <t>ネン</t>
    </rPh>
    <rPh sb="8" eb="9">
      <t>カン</t>
    </rPh>
    <rPh sb="11" eb="14">
      <t>ショウキャクガク</t>
    </rPh>
    <phoneticPr fontId="5"/>
  </si>
  <si>
    <t xml:space="preserve">満室想定賃料(税込・月額) </t>
    <rPh sb="0" eb="2">
      <t>マンシツ</t>
    </rPh>
    <rPh sb="2" eb="4">
      <t>ソウテイ</t>
    </rPh>
    <rPh sb="4" eb="6">
      <t>チンリョウ</t>
    </rPh>
    <rPh sb="7" eb="9">
      <t>ゼイコミ</t>
    </rPh>
    <rPh sb="10" eb="12">
      <t>ゲツガク</t>
    </rPh>
    <phoneticPr fontId="5"/>
  </si>
  <si>
    <t xml:space="preserve">現況賃料(税込・月額) </t>
    <rPh sb="0" eb="2">
      <t>ゲンキョウ</t>
    </rPh>
    <rPh sb="2" eb="4">
      <t>チンリョウ</t>
    </rPh>
    <rPh sb="5" eb="7">
      <t>ゼイコミ</t>
    </rPh>
    <rPh sb="8" eb="10">
      <t>ゲツガク</t>
    </rPh>
    <phoneticPr fontId="5"/>
  </si>
  <si>
    <t>資産クラス別（非賃貸を除く）金額ベース入居率</t>
    <rPh sb="0" eb="2">
      <t>シサン</t>
    </rPh>
    <rPh sb="5" eb="6">
      <t>ベツ</t>
    </rPh>
    <rPh sb="14" eb="16">
      <t>キンガク</t>
    </rPh>
    <rPh sb="19" eb="22">
      <t>ニュウキョリツ</t>
    </rPh>
    <phoneticPr fontId="5"/>
  </si>
  <si>
    <t>賃料増減の推移(非賃貸を含む・月額)</t>
    <rPh sb="0" eb="2">
      <t>チンリョウ</t>
    </rPh>
    <rPh sb="2" eb="4">
      <t>ゾウゲン</t>
    </rPh>
    <rPh sb="5" eb="7">
      <t>スイイ</t>
    </rPh>
    <rPh sb="8" eb="9">
      <t>ヒ</t>
    </rPh>
    <rPh sb="9" eb="11">
      <t>チンタイ</t>
    </rPh>
    <rPh sb="12" eb="13">
      <t>フク</t>
    </rPh>
    <rPh sb="15" eb="17">
      <t>ゲツガク</t>
    </rPh>
    <phoneticPr fontId="5"/>
  </si>
  <si>
    <t>大口テナントの一覧(非賃貸を含む)</t>
    <rPh sb="0" eb="2">
      <t>オオグチ</t>
    </rPh>
    <rPh sb="7" eb="9">
      <t>イチラン</t>
    </rPh>
    <phoneticPr fontId="5"/>
  </si>
  <si>
    <t>賃貸用資産（非賃貸を除く）の賃料帯別ヒストグラム</t>
    <rPh sb="0" eb="3">
      <t>チンタイヨウ</t>
    </rPh>
    <rPh sb="3" eb="5">
      <t>シサン</t>
    </rPh>
    <rPh sb="14" eb="16">
      <t>チンリョウ</t>
    </rPh>
    <rPh sb="16" eb="17">
      <t>タイ</t>
    </rPh>
    <rPh sb="17" eb="18">
      <t>ベツ</t>
    </rPh>
    <phoneticPr fontId="5"/>
  </si>
  <si>
    <t>総区画数</t>
    <phoneticPr fontId="5"/>
  </si>
  <si>
    <t>C41</t>
  </si>
  <si>
    <t>グループ全体P/L</t>
    <rPh sb="4" eb="6">
      <t>ゼンタイ</t>
    </rPh>
    <phoneticPr fontId="5"/>
  </si>
  <si>
    <t>3物件一覧</t>
    <phoneticPr fontId="5"/>
  </si>
  <si>
    <t>5借入一覧</t>
    <phoneticPr fontId="5"/>
  </si>
  <si>
    <t>A.BM集計</t>
    <phoneticPr fontId="5"/>
  </si>
  <si>
    <t>6減価償却</t>
    <phoneticPr fontId="5"/>
  </si>
  <si>
    <t>8賃料集計</t>
    <phoneticPr fontId="5"/>
  </si>
  <si>
    <t>住居系</t>
    <rPh sb="0" eb="2">
      <t>ジュウキョ</t>
    </rPh>
    <rPh sb="2" eb="3">
      <t>ケイ</t>
    </rPh>
    <phoneticPr fontId="5"/>
  </si>
  <si>
    <t>事務所・店舗系</t>
    <rPh sb="0" eb="3">
      <t>ジムショ</t>
    </rPh>
    <rPh sb="4" eb="7">
      <t>テンポケイ</t>
    </rPh>
    <phoneticPr fontId="5"/>
  </si>
  <si>
    <t>B筆一覧</t>
    <phoneticPr fontId="5"/>
  </si>
  <si>
    <t>対象物件</t>
    <phoneticPr fontId="5"/>
  </si>
  <si>
    <t>2法人連結</t>
    <phoneticPr fontId="5"/>
  </si>
  <si>
    <t>共同担保の提供状況</t>
  </si>
  <si>
    <t>当初借入額集計</t>
    <rPh sb="0" eb="2">
      <t>トウショ</t>
    </rPh>
    <rPh sb="2" eb="5">
      <t>カリイレガク</t>
    </rPh>
    <rPh sb="5" eb="7">
      <t>シュウケイ</t>
    </rPh>
    <phoneticPr fontId="5"/>
  </si>
  <si>
    <t>Pivot2</t>
  </si>
  <si>
    <t>16.購入後の
CAPEX</t>
  </si>
  <si>
    <t>BM集計</t>
    <rPh sb="2" eb="4">
      <t>シュウケイ</t>
    </rPh>
    <phoneticPr fontId="5"/>
  </si>
  <si>
    <t>償却1</t>
    <rPh sb="0" eb="2">
      <t>ショウキャク</t>
    </rPh>
    <phoneticPr fontId="5"/>
  </si>
  <si>
    <t>償却2</t>
    <rPh sb="0" eb="2">
      <t>ショウキャク</t>
    </rPh>
    <phoneticPr fontId="5"/>
  </si>
  <si>
    <t>償却3</t>
    <rPh sb="0" eb="2">
      <t>ショウキャク</t>
    </rPh>
    <phoneticPr fontId="5"/>
  </si>
  <si>
    <t>賃料1</t>
    <rPh sb="0" eb="2">
      <t>チンリョウ</t>
    </rPh>
    <phoneticPr fontId="5"/>
  </si>
  <si>
    <t>賃料2</t>
    <rPh sb="0" eb="2">
      <t>チンリョウ</t>
    </rPh>
    <phoneticPr fontId="5"/>
  </si>
  <si>
    <t>賃料3</t>
    <rPh sb="0" eb="2">
      <t>チンリョウ</t>
    </rPh>
    <phoneticPr fontId="5"/>
  </si>
  <si>
    <t>46.論理区画判定(自動)</t>
  </si>
  <si>
    <t>45.物理区画判定(自動)</t>
  </si>
  <si>
    <t>行ラベル</t>
  </si>
  <si>
    <t>合計 / 22.元金返済月額</t>
  </si>
  <si>
    <t>合計 / 23.利息月額</t>
  </si>
  <si>
    <t>合計 / 24.支払月額</t>
  </si>
  <si>
    <t>合計 / 25.残債</t>
  </si>
  <si>
    <t>2.状況</t>
  </si>
  <si>
    <t>返済中</t>
  </si>
  <si>
    <t>Pivot3</t>
  </si>
  <si>
    <t>合計 / 年換算(×12)</t>
  </si>
  <si>
    <t>列ラベル</t>
  </si>
  <si>
    <t>(複数のアイテム)</t>
  </si>
  <si>
    <t>合計 / 13.期首帳簿価額</t>
  </si>
  <si>
    <t>合計 / 14.年間償却額</t>
  </si>
  <si>
    <r>
      <t>賃貸用</t>
    </r>
    <r>
      <rPr>
        <b/>
        <sz val="11"/>
        <color rgb="FF00B050"/>
        <rFont val="ＭＳ Ｐゴシック"/>
        <family val="3"/>
        <charset val="128"/>
        <scheme val="minor"/>
      </rPr>
      <t>yes</t>
    </r>
    <r>
      <rPr>
        <b/>
        <sz val="11"/>
        <rFont val="ＭＳ Ｐゴシック"/>
        <family val="3"/>
        <charset val="128"/>
        <scheme val="minor"/>
      </rPr>
      <t>+</t>
    </r>
    <r>
      <rPr>
        <b/>
        <sz val="11"/>
        <color rgb="FFFF0000"/>
        <rFont val="ＭＳ Ｐゴシック"/>
        <family val="3"/>
        <charset val="128"/>
        <scheme val="minor"/>
      </rPr>
      <t>no</t>
    </r>
    <r>
      <rPr>
        <sz val="11"/>
        <color theme="1"/>
        <rFont val="ＭＳ Ｐゴシック"/>
        <family val="2"/>
        <charset val="128"/>
        <scheme val="minor"/>
      </rPr>
      <t>のすべて</t>
    </r>
    <rPh sb="0" eb="3">
      <t>チンタイヨウ</t>
    </rPh>
    <phoneticPr fontId="5"/>
  </si>
  <si>
    <t>19.賃貸用</t>
  </si>
  <si>
    <t>yes</t>
  </si>
  <si>
    <t>住居</t>
  </si>
  <si>
    <t>Pivot4</t>
  </si>
  <si>
    <t>建物管理料</t>
  </si>
  <si>
    <t>電気料金(電灯)</t>
  </si>
  <si>
    <t>電気料金(低圧)</t>
  </si>
  <si>
    <t>その他</t>
  </si>
  <si>
    <t>火災保険料</t>
  </si>
  <si>
    <t>水道料金</t>
  </si>
  <si>
    <t>区分管理費</t>
  </si>
  <si>
    <t>区分修繕積立金</t>
  </si>
  <si>
    <t>(空白)</t>
  </si>
  <si>
    <t>立替金</t>
  </si>
  <si>
    <t>総計</t>
  </si>
  <si>
    <t>建物等</t>
  </si>
  <si>
    <t>土地</t>
  </si>
  <si>
    <t>器具備品</t>
  </si>
  <si>
    <t>建物</t>
  </si>
  <si>
    <t>建物附属設備</t>
  </si>
  <si>
    <t>構築物</t>
  </si>
  <si>
    <t>合計 / 32.購入時賃料税抜</t>
  </si>
  <si>
    <t>合計 / 42.満室想定税抜(自動)</t>
  </si>
  <si>
    <t>合計 / 14.再募集賃料税抜</t>
  </si>
  <si>
    <t>土地3種</t>
  </si>
  <si>
    <t>全体の 合計 / 面積ネット
(持分按分後の実質)</t>
  </si>
  <si>
    <t>全体の 合計 / 当該資産
評価額</t>
  </si>
  <si>
    <t>全体の 合計 / 当期固定資産税額</t>
  </si>
  <si>
    <t>全体の 合計 / 当期都市計画税額</t>
  </si>
  <si>
    <t>合計 / 45.物理区画判定(自動)</t>
  </si>
  <si>
    <t>カーサ南池袋</t>
  </si>
  <si>
    <t>合計 / 14.当初借入額</t>
  </si>
  <si>
    <t>Pivot5</t>
  </si>
  <si>
    <t>賃貸用</t>
    <rPh sb="0" eb="3">
      <t>チンタイヨウ</t>
    </rPh>
    <phoneticPr fontId="5"/>
  </si>
  <si>
    <t>yes+noのすべて</t>
  </si>
  <si>
    <t>論理区画</t>
    <rPh sb="0" eb="2">
      <t>ロンリ</t>
    </rPh>
    <rPh sb="2" eb="4">
      <t>クカク</t>
    </rPh>
    <phoneticPr fontId="5"/>
  </si>
  <si>
    <t>あり</t>
  </si>
  <si>
    <t>合計 / 12.12.取得価額</t>
  </si>
  <si>
    <t>合計 / 13.現況賃料税込(自動)</t>
  </si>
  <si>
    <t>合計 / 17.満室想定税込(自動)</t>
  </si>
  <si>
    <t>合計 / 17.満室想定税込(自動)2</t>
  </si>
  <si>
    <t>序列</t>
    <rPh sb="0" eb="2">
      <t>ジョレツ</t>
    </rPh>
    <phoneticPr fontId="5"/>
  </si>
  <si>
    <t>ID</t>
  </si>
  <si>
    <t>区画名</t>
    <rPh sb="0" eb="2">
      <t>クカク</t>
    </rPh>
    <rPh sb="2" eb="3">
      <t>メイ</t>
    </rPh>
    <phoneticPr fontId="5"/>
  </si>
  <si>
    <t>クラス</t>
  </si>
  <si>
    <t>間取り</t>
    <rPh sb="0" eb="2">
      <t>マド</t>
    </rPh>
    <phoneticPr fontId="5"/>
  </si>
  <si>
    <t>満室想定税込(自動)</t>
    <rPh sb="0" eb="2">
      <t>マンシツ</t>
    </rPh>
    <rPh sb="2" eb="4">
      <t>ソウテイ</t>
    </rPh>
    <rPh sb="4" eb="6">
      <t>ゼイコミ</t>
    </rPh>
    <rPh sb="7" eb="9">
      <t>ジドウ</t>
    </rPh>
    <phoneticPr fontId="5"/>
  </si>
  <si>
    <t>店舗事務所系物理区画</t>
  </si>
  <si>
    <t>アンテナ</t>
  </si>
  <si>
    <t>倉庫</t>
  </si>
  <si>
    <t>駐車場</t>
  </si>
  <si>
    <t>カーサ目白台ハウス</t>
  </si>
  <si>
    <t>担保提供種別ID</t>
    <phoneticPr fontId="5"/>
  </si>
  <si>
    <t>共同担保物件ID</t>
    <phoneticPr fontId="5"/>
  </si>
  <si>
    <t>行番号</t>
    <rPh sb="0" eb="3">
      <t>ギョウバンゴウ</t>
    </rPh>
    <phoneticPr fontId="5"/>
  </si>
  <si>
    <t>データ</t>
    <phoneticPr fontId="5"/>
  </si>
  <si>
    <t>列</t>
    <rPh sb="0" eb="1">
      <t>レツ</t>
    </rPh>
    <phoneticPr fontId="5"/>
  </si>
  <si>
    <t>共同担保,</t>
    <phoneticPr fontId="5"/>
  </si>
  <si>
    <t>第一抵当,</t>
    <phoneticPr fontId="5"/>
  </si>
  <si>
    <t>第二抵当,</t>
    <phoneticPr fontId="5"/>
  </si>
  <si>
    <t>第三抵当,</t>
    <phoneticPr fontId="5"/>
  </si>
  <si>
    <t>第四抵当,</t>
    <phoneticPr fontId="5"/>
  </si>
  <si>
    <t>出力1</t>
    <rPh sb="0" eb="2">
      <t>シュツリョク</t>
    </rPh>
    <phoneticPr fontId="5"/>
  </si>
  <si>
    <t>出力2</t>
    <rPh sb="0" eb="2">
      <t>シュツリョク</t>
    </rPh>
    <phoneticPr fontId="5"/>
  </si>
  <si>
    <t>出力3</t>
    <rPh sb="0" eb="2">
      <t>シュツリョク</t>
    </rPh>
    <phoneticPr fontId="5"/>
  </si>
  <si>
    <t>出力4</t>
    <rPh sb="0" eb="2">
      <t>シュツリョク</t>
    </rPh>
    <phoneticPr fontId="5"/>
  </si>
  <si>
    <t>出力5</t>
    <rPh sb="0" eb="2">
      <t>シュツリョク</t>
    </rPh>
    <phoneticPr fontId="5"/>
  </si>
  <si>
    <t>文字列結合1</t>
    <rPh sb="0" eb="3">
      <t>モジレツ</t>
    </rPh>
    <rPh sb="3" eb="5">
      <t>ケツゴウ</t>
    </rPh>
    <phoneticPr fontId="5"/>
  </si>
  <si>
    <t>文字列結合2</t>
    <rPh sb="0" eb="3">
      <t>モジレツ</t>
    </rPh>
    <rPh sb="3" eb="5">
      <t>ケツゴウ</t>
    </rPh>
    <phoneticPr fontId="5"/>
  </si>
  <si>
    <t>文字列結合3</t>
    <rPh sb="0" eb="3">
      <t>モジレツ</t>
    </rPh>
    <rPh sb="3" eb="5">
      <t>ケツゴウ</t>
    </rPh>
    <phoneticPr fontId="5"/>
  </si>
  <si>
    <t>運転資金</t>
  </si>
  <si>
    <t>Pivot6</t>
  </si>
  <si>
    <t>削除</t>
    <rPh sb="0" eb="2">
      <t>サクジョ</t>
    </rPh>
    <phoneticPr fontId="5"/>
  </si>
  <si>
    <t>yesのみ</t>
    <phoneticPr fontId="5"/>
  </si>
  <si>
    <t>事務所</t>
  </si>
  <si>
    <t>自販機</t>
  </si>
  <si>
    <t>店舗</t>
  </si>
  <si>
    <t>個数 / 17.満室想定税込(自動)</t>
  </si>
  <si>
    <t>合計 / 面積ネット
(持分按分後の実質)</t>
  </si>
  <si>
    <t>合計 / 当該資産
評価額</t>
  </si>
  <si>
    <t>合計 / 当期固定資産税額</t>
  </si>
  <si>
    <t>合計 / 当期都市計画税額</t>
  </si>
  <si>
    <t>コアプラスレジデンス梅田</t>
  </si>
  <si>
    <t>間接部門</t>
  </si>
  <si>
    <t>AG</t>
    <phoneticPr fontId="5"/>
  </si>
  <si>
    <t>AE</t>
    <phoneticPr fontId="5"/>
  </si>
  <si>
    <t>対象物件なし(運転資金)</t>
  </si>
  <si>
    <t>Pivot7</t>
  </si>
  <si>
    <t>noのみ</t>
    <phoneticPr fontId="5"/>
  </si>
  <si>
    <t>&lt;0 または (空白)</t>
  </si>
  <si>
    <t>コアプラス大塚</t>
  </si>
  <si>
    <t>その他(間接部門)</t>
  </si>
  <si>
    <t>修繕資金</t>
  </si>
  <si>
    <t>Pivot8</t>
  </si>
  <si>
    <t>0-9999</t>
  </si>
  <si>
    <t>コアプラス池袋</t>
  </si>
  <si>
    <t>Pivot9</t>
  </si>
  <si>
    <t>no</t>
  </si>
  <si>
    <t>10000-19999</t>
  </si>
  <si>
    <t>メゾン雑司ヶ谷</t>
  </si>
  <si>
    <t>プラウD目白301号</t>
  </si>
  <si>
    <t>Pivot10</t>
  </si>
  <si>
    <t>ビジネス新大阪123号</t>
  </si>
  <si>
    <t>20000-29999</t>
  </si>
  <si>
    <t>レジデンス目白豊島</t>
  </si>
  <si>
    <t>目白アパート</t>
  </si>
  <si>
    <t>Pivot11</t>
  </si>
  <si>
    <t>プラウD目白301号室</t>
  </si>
  <si>
    <t>30000-39999</t>
  </si>
  <si>
    <t>高田馬場第4玉川ビル</t>
  </si>
  <si>
    <t>目白アパート1号館</t>
  </si>
  <si>
    <t>Pivot12</t>
  </si>
  <si>
    <t>住居系_賃貸用資産（非賃貸を除く）の賃料帯別ヒストグラム</t>
    <rPh sb="4" eb="7">
      <t>チンタイヨウ</t>
    </rPh>
    <rPh sb="7" eb="9">
      <t>シサン</t>
    </rPh>
    <rPh sb="18" eb="20">
      <t>チンリョウ</t>
    </rPh>
    <rPh sb="20" eb="21">
      <t>タイ</t>
    </rPh>
    <rPh sb="21" eb="22">
      <t>ベツ</t>
    </rPh>
    <phoneticPr fontId="5"/>
  </si>
  <si>
    <t>クラス</t>
    <phoneticPr fontId="5"/>
  </si>
  <si>
    <t>住居</t>
    <rPh sb="0" eb="2">
      <t>ジュウキョ</t>
    </rPh>
    <phoneticPr fontId="5"/>
  </si>
  <si>
    <t>40000-49999</t>
  </si>
  <si>
    <t>西池袋駅前ビル</t>
  </si>
  <si>
    <t>住宅ローン</t>
  </si>
  <si>
    <t>Pivot13</t>
  </si>
  <si>
    <t>事務所・店舗系_賃貸用資産（非賃貸を除く）の賃料帯別ヒストグラム</t>
    <rPh sb="0" eb="3">
      <t>ジムショ</t>
    </rPh>
    <rPh sb="4" eb="7">
      <t>テンポケイ</t>
    </rPh>
    <phoneticPr fontId="5"/>
  </si>
  <si>
    <t>住居以外複数</t>
    <rPh sb="0" eb="2">
      <t>ジュウキョ</t>
    </rPh>
    <rPh sb="2" eb="4">
      <t>イガイ</t>
    </rPh>
    <rPh sb="4" eb="6">
      <t>フクスウ</t>
    </rPh>
    <phoneticPr fontId="5"/>
  </si>
  <si>
    <t>50000-59999</t>
  </si>
  <si>
    <t>Pivot14</t>
  </si>
  <si>
    <t>60000-69999</t>
  </si>
  <si>
    <t>親族借入</t>
  </si>
  <si>
    <t>Pivot15</t>
  </si>
  <si>
    <t>C24総区画数</t>
    <phoneticPr fontId="5"/>
  </si>
  <si>
    <t>第3目白ハイツ</t>
  </si>
  <si>
    <t>70000-79999</t>
  </si>
  <si>
    <t>Pivot16</t>
  </si>
  <si>
    <t>池袋ハウス</t>
  </si>
  <si>
    <t>80000-89999</t>
  </si>
  <si>
    <t>他業借入</t>
  </si>
  <si>
    <t>Pivot17</t>
  </si>
  <si>
    <t>東池袋ハイツ</t>
  </si>
  <si>
    <t>90000-99999</t>
  </si>
  <si>
    <t>0-99999</t>
  </si>
  <si>
    <t>Pivot18</t>
  </si>
  <si>
    <t>南池袋マンション</t>
  </si>
  <si>
    <t>100000-109999</t>
  </si>
  <si>
    <t>不動産購入</t>
  </si>
  <si>
    <t>豊島目白ビル</t>
  </si>
  <si>
    <t>110000-119999</t>
  </si>
  <si>
    <t>Pivot20</t>
  </si>
  <si>
    <t>不動産当初借入額、返済中のみ</t>
    <rPh sb="0" eb="3">
      <t>フドウサン</t>
    </rPh>
    <rPh sb="3" eb="8">
      <t>トウショカリイレガク</t>
    </rPh>
    <rPh sb="9" eb="12">
      <t>ヘンサイチュウ</t>
    </rPh>
    <phoneticPr fontId="5"/>
  </si>
  <si>
    <t>120000-129999</t>
  </si>
  <si>
    <t>賃貸資産以外の償却</t>
  </si>
  <si>
    <t>目白カーサ二番館</t>
  </si>
  <si>
    <t>130000-139999</t>
  </si>
  <si>
    <t>140000-149999</t>
  </si>
  <si>
    <t>目白アパート2号館</t>
  </si>
  <si>
    <t>150000-159999</t>
  </si>
  <si>
    <t>160000-169999</t>
  </si>
  <si>
    <t>170000-179999</t>
  </si>
  <si>
    <t>目白アパート1号2号_二棟一括</t>
  </si>
  <si>
    <t>180000-189999</t>
  </si>
  <si>
    <t>100000-199999</t>
  </si>
  <si>
    <t>190000-200000</t>
  </si>
  <si>
    <t>&gt;200000</t>
  </si>
  <si>
    <t>200000-299999</t>
  </si>
  <si>
    <t>300000-399999</t>
  </si>
  <si>
    <t>400000-499999</t>
  </si>
  <si>
    <t>500000-599999</t>
  </si>
  <si>
    <t>600000-699999</t>
  </si>
  <si>
    <t>700000-799999</t>
  </si>
  <si>
    <t>800000-899999</t>
  </si>
  <si>
    <t>900000-1000000</t>
  </si>
  <si>
    <t>&gt;1000000</t>
  </si>
  <si>
    <t>賃貸部門</t>
  </si>
  <si>
    <t>その他(賃貸部門)</t>
  </si>
  <si>
    <t>AK</t>
    <phoneticPr fontId="5"/>
  </si>
  <si>
    <t>AI</t>
    <phoneticPr fontId="5"/>
  </si>
  <si>
    <t>名称マスタ</t>
    <rPh sb="0" eb="2">
      <t>メイショウ</t>
    </rPh>
    <phoneticPr fontId="5"/>
  </si>
  <si>
    <t>水色のセルのみ入力します。</t>
    <rPh sb="0" eb="2">
      <t>ミズイロ</t>
    </rPh>
    <rPh sb="7" eb="9">
      <t>ニュウリョク</t>
    </rPh>
    <phoneticPr fontId="5"/>
  </si>
  <si>
    <t>基本設定1</t>
    <rPh sb="0" eb="2">
      <t>キホン</t>
    </rPh>
    <rPh sb="2" eb="4">
      <t>セッテイ</t>
    </rPh>
    <phoneticPr fontId="5"/>
  </si>
  <si>
    <t>整合性ベリファイ</t>
    <rPh sb="0" eb="3">
      <t>セイゴウセイ</t>
    </rPh>
    <phoneticPr fontId="5"/>
  </si>
  <si>
    <t>ID</t>
    <phoneticPr fontId="5"/>
  </si>
  <si>
    <t>値</t>
    <rPh sb="0" eb="1">
      <t>アタイ</t>
    </rPh>
    <phoneticPr fontId="5"/>
  </si>
  <si>
    <t>摘要1</t>
    <rPh sb="0" eb="2">
      <t>テキヨウ</t>
    </rPh>
    <phoneticPr fontId="5"/>
  </si>
  <si>
    <t>摘要2</t>
    <rPh sb="0" eb="2">
      <t>テキヨウ</t>
    </rPh>
    <phoneticPr fontId="5"/>
  </si>
  <si>
    <t>摘要3</t>
    <rPh sb="0" eb="2">
      <t>テキヨウ</t>
    </rPh>
    <phoneticPr fontId="5"/>
  </si>
  <si>
    <t>解説</t>
    <rPh sb="0" eb="2">
      <t>カイセツ</t>
    </rPh>
    <phoneticPr fontId="5"/>
  </si>
  <si>
    <t>入力規則</t>
    <rPh sb="0" eb="2">
      <t>ニュウリョク</t>
    </rPh>
    <rPh sb="2" eb="4">
      <t>キソク</t>
    </rPh>
    <phoneticPr fontId="5"/>
  </si>
  <si>
    <t>入力値</t>
    <rPh sb="0" eb="3">
      <t>ニュウリョクチ</t>
    </rPh>
    <phoneticPr fontId="5"/>
  </si>
  <si>
    <t>金額</t>
    <rPh sb="0" eb="2">
      <t>キンガク</t>
    </rPh>
    <phoneticPr fontId="5"/>
  </si>
  <si>
    <t>整合性</t>
    <rPh sb="0" eb="3">
      <t>セイゴウセイ</t>
    </rPh>
    <phoneticPr fontId="5"/>
  </si>
  <si>
    <t>西池袋駅前ビル</t>
    <rPh sb="0" eb="3">
      <t>ニシイケブクロ</t>
    </rPh>
    <rPh sb="3" eb="5">
      <t>エキマエ</t>
    </rPh>
    <phoneticPr fontId="5"/>
  </si>
  <si>
    <t>一棟名称</t>
    <rPh sb="0" eb="2">
      <t>イットウ</t>
    </rPh>
    <rPh sb="2" eb="4">
      <t>メイショウ</t>
    </rPh>
    <phoneticPr fontId="5"/>
  </si>
  <si>
    <t>全体</t>
    <rPh sb="0" eb="2">
      <t>ゼンタイ</t>
    </rPh>
    <phoneticPr fontId="5"/>
  </si>
  <si>
    <t>現在の西暦</t>
    <rPh sb="0" eb="2">
      <t>ゲンザイ</t>
    </rPh>
    <rPh sb="3" eb="5">
      <t>セイレキ</t>
    </rPh>
    <phoneticPr fontId="5"/>
  </si>
  <si>
    <t>今日の日付(年)</t>
    <rPh sb="0" eb="2">
      <t>キョウ</t>
    </rPh>
    <rPh sb="3" eb="5">
      <t>ヒヅケ</t>
    </rPh>
    <rPh sb="6" eb="7">
      <t>ネン</t>
    </rPh>
    <phoneticPr fontId="5"/>
  </si>
  <si>
    <t>自動</t>
    <rPh sb="0" eb="2">
      <t>ジドウ</t>
    </rPh>
    <phoneticPr fontId="5"/>
  </si>
  <si>
    <t>全体PLBS</t>
    <phoneticPr fontId="5"/>
  </si>
  <si>
    <t>資産合計</t>
    <rPh sb="0" eb="2">
      <t>シサン</t>
    </rPh>
    <rPh sb="2" eb="4">
      <t>ゴウケイ</t>
    </rPh>
    <phoneticPr fontId="5"/>
  </si>
  <si>
    <t>池袋ハウス</t>
    <rPh sb="0" eb="2">
      <t>イケブクロ</t>
    </rPh>
    <phoneticPr fontId="5"/>
  </si>
  <si>
    <t>現在の事業年度</t>
    <rPh sb="0" eb="2">
      <t>ゲンザイ</t>
    </rPh>
    <rPh sb="3" eb="5">
      <t>ジギョウ</t>
    </rPh>
    <rPh sb="5" eb="7">
      <t>ネンド</t>
    </rPh>
    <phoneticPr fontId="5"/>
  </si>
  <si>
    <t>ユーザー設定入力</t>
    <rPh sb="4" eb="6">
      <t>セッテイ</t>
    </rPh>
    <rPh sb="6" eb="8">
      <t>ニュウリョク</t>
    </rPh>
    <phoneticPr fontId="5"/>
  </si>
  <si>
    <t>西暦4桁</t>
    <rPh sb="0" eb="2">
      <t>セイレキ</t>
    </rPh>
    <rPh sb="3" eb="4">
      <t>ケタ</t>
    </rPh>
    <phoneticPr fontId="5"/>
  </si>
  <si>
    <t>純資産合計</t>
    <rPh sb="0" eb="3">
      <t>ジュンシサン</t>
    </rPh>
    <rPh sb="3" eb="5">
      <t>ゴウケイ</t>
    </rPh>
    <phoneticPr fontId="5"/>
  </si>
  <si>
    <t>カーサ目白台ハウス</t>
    <phoneticPr fontId="5"/>
  </si>
  <si>
    <t>1法人概要</t>
  </si>
  <si>
    <t>本資料作成日:</t>
    <rPh sb="0" eb="1">
      <t>ホン</t>
    </rPh>
    <rPh sb="1" eb="3">
      <t>シリョウ</t>
    </rPh>
    <rPh sb="3" eb="5">
      <t>サクセイ</t>
    </rPh>
    <rPh sb="5" eb="6">
      <t>ヒ</t>
    </rPh>
    <phoneticPr fontId="5"/>
  </si>
  <si>
    <t>Excelデータ作成日</t>
    <rPh sb="8" eb="11">
      <t>サクセイビ</t>
    </rPh>
    <phoneticPr fontId="5"/>
  </si>
  <si>
    <t>日付形式</t>
    <rPh sb="0" eb="2">
      <t>ヒヅケ</t>
    </rPh>
    <rPh sb="2" eb="4">
      <t>ケイシキ</t>
    </rPh>
    <phoneticPr fontId="5"/>
  </si>
  <si>
    <t>負債純資産合計</t>
    <rPh sb="0" eb="2">
      <t>フサイ</t>
    </rPh>
    <rPh sb="2" eb="5">
      <t>ジュンシサン</t>
    </rPh>
    <rPh sb="5" eb="7">
      <t>ゴウケイ</t>
    </rPh>
    <phoneticPr fontId="5"/>
  </si>
  <si>
    <t>コアプラス池袋</t>
    <rPh sb="5" eb="7">
      <t>イケブクロ</t>
    </rPh>
    <phoneticPr fontId="5"/>
  </si>
  <si>
    <t>2法人連結</t>
  </si>
  <si>
    <t>G全体B/S基準日</t>
    <rPh sb="1" eb="3">
      <t>ゼンタイ</t>
    </rPh>
    <rPh sb="6" eb="9">
      <t>キジュンビ</t>
    </rPh>
    <phoneticPr fontId="5"/>
  </si>
  <si>
    <t>通常は本日現在</t>
    <rPh sb="0" eb="2">
      <t>ツウジョウ</t>
    </rPh>
    <rPh sb="3" eb="5">
      <t>ホンジツ</t>
    </rPh>
    <rPh sb="5" eb="7">
      <t>ゲンザイ</t>
    </rPh>
    <phoneticPr fontId="5"/>
  </si>
  <si>
    <t>負債合計</t>
    <rPh sb="0" eb="2">
      <t>フサイ</t>
    </rPh>
    <rPh sb="2" eb="4">
      <t>ゴウケイ</t>
    </rPh>
    <phoneticPr fontId="5"/>
  </si>
  <si>
    <t>目白アパート</t>
    <rPh sb="0" eb="2">
      <t>メジロ</t>
    </rPh>
    <phoneticPr fontId="5"/>
  </si>
  <si>
    <t>G全体P/L集計期間</t>
    <rPh sb="1" eb="3">
      <t>ゼンタイ</t>
    </rPh>
    <rPh sb="6" eb="8">
      <t>シュウケイ</t>
    </rPh>
    <rPh sb="8" eb="10">
      <t>キカン</t>
    </rPh>
    <phoneticPr fontId="5"/>
  </si>
  <si>
    <t xml:space="preserve"> 2022年1月～12月予測など</t>
    <phoneticPr fontId="5"/>
  </si>
  <si>
    <t>文字列</t>
    <rPh sb="0" eb="3">
      <t>モジレツ</t>
    </rPh>
    <phoneticPr fontId="5"/>
  </si>
  <si>
    <t>2023年1月～12月予測</t>
    <phoneticPr fontId="5"/>
  </si>
  <si>
    <t>借入集計</t>
  </si>
  <si>
    <t>金融機関別借入</t>
    <rPh sb="0" eb="2">
      <t>キンユウ</t>
    </rPh>
    <rPh sb="2" eb="5">
      <t>キカンベツ</t>
    </rPh>
    <rPh sb="5" eb="7">
      <t>カリイレ</t>
    </rPh>
    <phoneticPr fontId="5"/>
  </si>
  <si>
    <t>東池袋ハイツ</t>
    <rPh sb="0" eb="3">
      <t>ヒガシイケブクロ</t>
    </rPh>
    <phoneticPr fontId="5"/>
  </si>
  <si>
    <t>G全体C/F集計期間</t>
    <rPh sb="1" eb="3">
      <t>ゼンタイ</t>
    </rPh>
    <rPh sb="6" eb="8">
      <t>シュウケイ</t>
    </rPh>
    <rPh sb="8" eb="10">
      <t>キカン</t>
    </rPh>
    <phoneticPr fontId="5"/>
  </si>
  <si>
    <t>会社別銀行借入</t>
    <rPh sb="0" eb="2">
      <t>カイシャ</t>
    </rPh>
    <rPh sb="2" eb="3">
      <t>ベツ</t>
    </rPh>
    <rPh sb="3" eb="5">
      <t>ギンコウ</t>
    </rPh>
    <rPh sb="5" eb="7">
      <t>カリイレ</t>
    </rPh>
    <phoneticPr fontId="5"/>
  </si>
  <si>
    <t>メゾン雑司ヶ谷</t>
    <rPh sb="3" eb="7">
      <t>ゾウシガヤ</t>
    </rPh>
    <phoneticPr fontId="5"/>
  </si>
  <si>
    <t>作成基準日</t>
    <rPh sb="0" eb="2">
      <t>サクセイ</t>
    </rPh>
    <rPh sb="2" eb="5">
      <t>キジュンビ</t>
    </rPh>
    <phoneticPr fontId="5"/>
  </si>
  <si>
    <t>物件別銀行借入</t>
    <rPh sb="0" eb="3">
      <t>ブッケンベツ</t>
    </rPh>
    <rPh sb="3" eb="5">
      <t>ギンコウ</t>
    </rPh>
    <rPh sb="5" eb="7">
      <t>カリイレ</t>
    </rPh>
    <phoneticPr fontId="5"/>
  </si>
  <si>
    <t>カーサ南池袋</t>
    <rPh sb="3" eb="6">
      <t>ミナミイケブクロ</t>
    </rPh>
    <phoneticPr fontId="5"/>
  </si>
  <si>
    <t>4借入集計</t>
    <phoneticPr fontId="5"/>
  </si>
  <si>
    <t>9賃料一覧</t>
    <phoneticPr fontId="5"/>
  </si>
  <si>
    <t>全論理あり区画満室想定</t>
    <rPh sb="0" eb="1">
      <t>ゼン</t>
    </rPh>
    <rPh sb="1" eb="3">
      <t>ロンリ</t>
    </rPh>
    <rPh sb="5" eb="7">
      <t>クカク</t>
    </rPh>
    <rPh sb="7" eb="9">
      <t>マンシツ</t>
    </rPh>
    <rPh sb="9" eb="11">
      <t>ソウテイ</t>
    </rPh>
    <phoneticPr fontId="5"/>
  </si>
  <si>
    <t>仙台駅前コーポ</t>
    <rPh sb="0" eb="2">
      <t>センダイ</t>
    </rPh>
    <rPh sb="2" eb="4">
      <t>エキマエ</t>
    </rPh>
    <phoneticPr fontId="5"/>
  </si>
  <si>
    <t>売却済み</t>
    <rPh sb="0" eb="2">
      <t>バイキャク</t>
    </rPh>
    <rPh sb="2" eb="3">
      <t>ズ</t>
    </rPh>
    <phoneticPr fontId="5"/>
  </si>
  <si>
    <t>6減価償却</t>
  </si>
  <si>
    <t>全論理なし区画満室想定</t>
    <rPh sb="0" eb="1">
      <t>ゼン</t>
    </rPh>
    <rPh sb="1" eb="3">
      <t>ロンリ</t>
    </rPh>
    <rPh sb="5" eb="7">
      <t>クカク</t>
    </rPh>
    <rPh sb="7" eb="9">
      <t>マンシツ</t>
    </rPh>
    <rPh sb="9" eb="11">
      <t>ソウテイ</t>
    </rPh>
    <phoneticPr fontId="5"/>
  </si>
  <si>
    <t>目白カーサ二番館</t>
    <rPh sb="0" eb="2">
      <t>メジロ</t>
    </rPh>
    <rPh sb="5" eb="6">
      <t>ニ</t>
    </rPh>
    <rPh sb="6" eb="8">
      <t>バンカン</t>
    </rPh>
    <phoneticPr fontId="5"/>
  </si>
  <si>
    <t>期首期末簿価の年度</t>
    <rPh sb="0" eb="2">
      <t>キシュ</t>
    </rPh>
    <rPh sb="2" eb="4">
      <t>キマツ</t>
    </rPh>
    <rPh sb="4" eb="6">
      <t>ボカ</t>
    </rPh>
    <rPh sb="7" eb="9">
      <t>ネンド</t>
    </rPh>
    <phoneticPr fontId="5"/>
  </si>
  <si>
    <t>満室想定</t>
    <rPh sb="0" eb="4">
      <t>マンシツソウテイ</t>
    </rPh>
    <phoneticPr fontId="5"/>
  </si>
  <si>
    <t>豊島目白ビル</t>
    <rPh sb="0" eb="2">
      <t>トシマ</t>
    </rPh>
    <rPh sb="2" eb="4">
      <t>メジロ</t>
    </rPh>
    <phoneticPr fontId="5"/>
  </si>
  <si>
    <t>pivot</t>
    <phoneticPr fontId="5"/>
  </si>
  <si>
    <t>満室想定(全)</t>
    <rPh sb="0" eb="4">
      <t>マンシツソウテイ</t>
    </rPh>
    <rPh sb="5" eb="6">
      <t>ゼン</t>
    </rPh>
    <phoneticPr fontId="5"/>
  </si>
  <si>
    <t>第3目白ハイツ</t>
    <rPh sb="0" eb="1">
      <t>ダイ</t>
    </rPh>
    <rPh sb="2" eb="4">
      <t>メジロ</t>
    </rPh>
    <phoneticPr fontId="5"/>
  </si>
  <si>
    <t>満室想定(賃貸区画yes)</t>
    <rPh sb="0" eb="4">
      <t>マンシツソウテイ</t>
    </rPh>
    <rPh sb="5" eb="7">
      <t>チンタイ</t>
    </rPh>
    <rPh sb="7" eb="9">
      <t>クカク</t>
    </rPh>
    <phoneticPr fontId="5"/>
  </si>
  <si>
    <t>レジデンス目白豊島</t>
    <rPh sb="7" eb="9">
      <t>トシマ</t>
    </rPh>
    <phoneticPr fontId="5"/>
  </si>
  <si>
    <t>評価額と固都税年度</t>
    <rPh sb="0" eb="3">
      <t>ヒョウカガク</t>
    </rPh>
    <rPh sb="4" eb="7">
      <t>コトゼイ</t>
    </rPh>
    <rPh sb="7" eb="9">
      <t>ネンド</t>
    </rPh>
    <phoneticPr fontId="5"/>
  </si>
  <si>
    <t>令和3年度</t>
    <rPh sb="0" eb="2">
      <t>レイワ</t>
    </rPh>
    <rPh sb="3" eb="5">
      <t>ネンド</t>
    </rPh>
    <phoneticPr fontId="5"/>
  </si>
  <si>
    <t>満室想定(賃貸区画no)</t>
    <rPh sb="0" eb="4">
      <t>マンシツソウテイ</t>
    </rPh>
    <rPh sb="5" eb="7">
      <t>チンタイ</t>
    </rPh>
    <rPh sb="7" eb="9">
      <t>クカク</t>
    </rPh>
    <phoneticPr fontId="5"/>
  </si>
  <si>
    <t>コアプラス大塚</t>
    <rPh sb="5" eb="7">
      <t>オオツカ</t>
    </rPh>
    <phoneticPr fontId="5"/>
  </si>
  <si>
    <t>asset</t>
    <phoneticPr fontId="5"/>
  </si>
  <si>
    <t>物件関連残債総計</t>
    <rPh sb="0" eb="2">
      <t>ブッケン</t>
    </rPh>
    <rPh sb="2" eb="4">
      <t>カンレン</t>
    </rPh>
    <rPh sb="4" eb="6">
      <t>ザンサイ</t>
    </rPh>
    <rPh sb="6" eb="8">
      <t>ソウケイ</t>
    </rPh>
    <phoneticPr fontId="5"/>
  </si>
  <si>
    <t>コアプラスレジデンス梅田</t>
    <rPh sb="10" eb="12">
      <t>ウメダ</t>
    </rPh>
    <phoneticPr fontId="5"/>
  </si>
  <si>
    <t>基本設定2</t>
    <rPh sb="0" eb="2">
      <t>キホン</t>
    </rPh>
    <rPh sb="2" eb="4">
      <t>セッテイ</t>
    </rPh>
    <phoneticPr fontId="5"/>
  </si>
  <si>
    <t>物件関連金利総計(月額)</t>
    <rPh sb="0" eb="2">
      <t>ブッケン</t>
    </rPh>
    <rPh sb="2" eb="4">
      <t>カンレン</t>
    </rPh>
    <rPh sb="6" eb="8">
      <t>ソウケイ</t>
    </rPh>
    <rPh sb="9" eb="11">
      <t>ゲツガク</t>
    </rPh>
    <phoneticPr fontId="5"/>
  </si>
  <si>
    <t>高田馬場第4玉川ビル</t>
    <rPh sb="0" eb="4">
      <t>タカダノババ</t>
    </rPh>
    <rPh sb="4" eb="5">
      <t>ダイ</t>
    </rPh>
    <rPh sb="6" eb="8">
      <t>タマガワ</t>
    </rPh>
    <phoneticPr fontId="5"/>
  </si>
  <si>
    <t>物件関連元金総計(月額)</t>
    <rPh sb="0" eb="2">
      <t>ブッケン</t>
    </rPh>
    <rPh sb="2" eb="4">
      <t>カンレン</t>
    </rPh>
    <rPh sb="6" eb="8">
      <t>ソウケイ</t>
    </rPh>
    <phoneticPr fontId="5"/>
  </si>
  <si>
    <t>あおばマンション</t>
    <phoneticPr fontId="5"/>
  </si>
  <si>
    <t>複数</t>
    <rPh sb="0" eb="2">
      <t>フクスウ</t>
    </rPh>
    <phoneticPr fontId="5"/>
  </si>
  <si>
    <t>賃料収入への税率</t>
    <rPh sb="0" eb="2">
      <t>チンリョウ</t>
    </rPh>
    <rPh sb="2" eb="4">
      <t>シュウニュウ</t>
    </rPh>
    <rPh sb="6" eb="8">
      <t>ゼイリツ</t>
    </rPh>
    <phoneticPr fontId="5"/>
  </si>
  <si>
    <t>ユーザー設定税率</t>
    <rPh sb="4" eb="6">
      <t>セッテイ</t>
    </rPh>
    <rPh sb="6" eb="8">
      <t>ゼイリツ</t>
    </rPh>
    <phoneticPr fontId="5"/>
  </si>
  <si>
    <t>数値%</t>
    <rPh sb="0" eb="2">
      <t>スウチ</t>
    </rPh>
    <phoneticPr fontId="5"/>
  </si>
  <si>
    <t>物件関連支払総計(月額)</t>
    <rPh sb="0" eb="2">
      <t>ブッケン</t>
    </rPh>
    <rPh sb="2" eb="4">
      <t>カンレン</t>
    </rPh>
    <rPh sb="4" eb="6">
      <t>シハラ</t>
    </rPh>
    <rPh sb="9" eb="11">
      <t>ゲツガク</t>
    </rPh>
    <phoneticPr fontId="5"/>
  </si>
  <si>
    <t>南池袋マンション</t>
    <rPh sb="0" eb="3">
      <t>ミナミイケブクロ</t>
    </rPh>
    <phoneticPr fontId="5"/>
  </si>
  <si>
    <t>想定税率</t>
    <rPh sb="0" eb="2">
      <t>ソウテイ</t>
    </rPh>
    <rPh sb="2" eb="4">
      <t>ゼイリツ</t>
    </rPh>
    <phoneticPr fontId="5"/>
  </si>
  <si>
    <t>法人全体への想定税率</t>
    <rPh sb="0" eb="2">
      <t>ホウジン</t>
    </rPh>
    <rPh sb="2" eb="4">
      <t>ゼンタイ</t>
    </rPh>
    <rPh sb="6" eb="8">
      <t>ソウテイ</t>
    </rPh>
    <rPh sb="8" eb="10">
      <t>ゼイリツ</t>
    </rPh>
    <phoneticPr fontId="5"/>
  </si>
  <si>
    <t>借入総額</t>
    <rPh sb="0" eb="2">
      <t>カリイレ</t>
    </rPh>
    <rPh sb="2" eb="4">
      <t>ソウガク</t>
    </rPh>
    <phoneticPr fontId="5"/>
  </si>
  <si>
    <t>目白アパート1号館</t>
    <rPh sb="0" eb="2">
      <t>メジロ</t>
    </rPh>
    <rPh sb="7" eb="8">
      <t>ゴウ</t>
    </rPh>
    <rPh sb="8" eb="9">
      <t>カン</t>
    </rPh>
    <phoneticPr fontId="5"/>
  </si>
  <si>
    <t>二棟一括購入</t>
    <rPh sb="0" eb="2">
      <t>ニトウ</t>
    </rPh>
    <rPh sb="2" eb="4">
      <t>イッカツ</t>
    </rPh>
    <rPh sb="4" eb="6">
      <t>コウニュウ</t>
    </rPh>
    <phoneticPr fontId="5"/>
  </si>
  <si>
    <t>物件譲渡益の税率</t>
    <rPh sb="0" eb="2">
      <t>ブッケン</t>
    </rPh>
    <rPh sb="2" eb="5">
      <t>ジョウトエキ</t>
    </rPh>
    <rPh sb="6" eb="8">
      <t>ゼイリツ</t>
    </rPh>
    <phoneticPr fontId="5"/>
  </si>
  <si>
    <t>621対象物件なし(運転資金)</t>
    <phoneticPr fontId="5"/>
  </si>
  <si>
    <t>目白アパート2号館</t>
    <rPh sb="0" eb="2">
      <t>メジロ</t>
    </rPh>
    <rPh sb="7" eb="8">
      <t>ゴウ</t>
    </rPh>
    <phoneticPr fontId="5"/>
  </si>
  <si>
    <t>622複数の物件一括</t>
    <phoneticPr fontId="5"/>
  </si>
  <si>
    <t>物件名予備3</t>
    <rPh sb="0" eb="3">
      <t>ブッケンメイ</t>
    </rPh>
    <rPh sb="3" eb="5">
      <t>ヨビ</t>
    </rPh>
    <phoneticPr fontId="5"/>
  </si>
  <si>
    <t>基本設定3</t>
    <rPh sb="0" eb="2">
      <t>キホン</t>
    </rPh>
    <rPh sb="2" eb="4">
      <t>セッテイ</t>
    </rPh>
    <phoneticPr fontId="5"/>
  </si>
  <si>
    <t>総額-621-622</t>
    <rPh sb="0" eb="2">
      <t>ソウガク</t>
    </rPh>
    <phoneticPr fontId="5"/>
  </si>
  <si>
    <t>物件名予備4</t>
    <rPh sb="0" eb="3">
      <t>ブッケンメイ</t>
    </rPh>
    <rPh sb="3" eb="5">
      <t>ヨビ</t>
    </rPh>
    <phoneticPr fontId="5"/>
  </si>
  <si>
    <t>月額金利総額</t>
    <rPh sb="0" eb="2">
      <t>ゲツガク</t>
    </rPh>
    <rPh sb="2" eb="4">
      <t>キンリ</t>
    </rPh>
    <rPh sb="4" eb="6">
      <t>ソウガク</t>
    </rPh>
    <phoneticPr fontId="5"/>
  </si>
  <si>
    <t>物件名予備5</t>
    <rPh sb="0" eb="3">
      <t>ブッケンメイ</t>
    </rPh>
    <rPh sb="3" eb="5">
      <t>ヨビ</t>
    </rPh>
    <phoneticPr fontId="5"/>
  </si>
  <si>
    <t>法人株式・債券等証券投資</t>
    <rPh sb="0" eb="2">
      <t>ホウジン</t>
    </rPh>
    <rPh sb="2" eb="4">
      <t>カブシキ</t>
    </rPh>
    <rPh sb="5" eb="7">
      <t>サイケン</t>
    </rPh>
    <rPh sb="7" eb="8">
      <t>トウ</t>
    </rPh>
    <rPh sb="8" eb="10">
      <t>ショウケン</t>
    </rPh>
    <rPh sb="10" eb="12">
      <t>トウシ</t>
    </rPh>
    <phoneticPr fontId="5"/>
  </si>
  <si>
    <t>法人による証券投資額</t>
    <rPh sb="0" eb="2">
      <t>ホウジン</t>
    </rPh>
    <rPh sb="5" eb="7">
      <t>ショウケン</t>
    </rPh>
    <rPh sb="7" eb="10">
      <t>トウシガク</t>
    </rPh>
    <phoneticPr fontId="5"/>
  </si>
  <si>
    <t>数値\</t>
    <rPh sb="0" eb="2">
      <t>スウチ</t>
    </rPh>
    <phoneticPr fontId="5"/>
  </si>
  <si>
    <t>物件名予備6</t>
    <rPh sb="0" eb="3">
      <t>ブッケンメイ</t>
    </rPh>
    <rPh sb="3" eb="5">
      <t>ヨビ</t>
    </rPh>
    <phoneticPr fontId="5"/>
  </si>
  <si>
    <t>個人預金等</t>
    <rPh sb="0" eb="2">
      <t>コジン</t>
    </rPh>
    <rPh sb="2" eb="4">
      <t>ヨキン</t>
    </rPh>
    <rPh sb="4" eb="5">
      <t>トウ</t>
    </rPh>
    <phoneticPr fontId="5"/>
  </si>
  <si>
    <t>個人保有預金等の額</t>
    <rPh sb="0" eb="2">
      <t>コジン</t>
    </rPh>
    <rPh sb="2" eb="4">
      <t>ホユウ</t>
    </rPh>
    <rPh sb="4" eb="6">
      <t>ヨキン</t>
    </rPh>
    <rPh sb="6" eb="7">
      <t>トウ</t>
    </rPh>
    <rPh sb="8" eb="9">
      <t>ガク</t>
    </rPh>
    <phoneticPr fontId="5"/>
  </si>
  <si>
    <t>物件名予備7</t>
    <rPh sb="0" eb="3">
      <t>ブッケンメイ</t>
    </rPh>
    <rPh sb="3" eb="5">
      <t>ヨビ</t>
    </rPh>
    <phoneticPr fontId="5"/>
  </si>
  <si>
    <t>個人株式・債券等証券投資</t>
    <rPh sb="0" eb="2">
      <t>コジン</t>
    </rPh>
    <rPh sb="2" eb="4">
      <t>カブシキ</t>
    </rPh>
    <rPh sb="5" eb="7">
      <t>サイケン</t>
    </rPh>
    <rPh sb="7" eb="8">
      <t>トウ</t>
    </rPh>
    <rPh sb="8" eb="10">
      <t>ショウケン</t>
    </rPh>
    <rPh sb="10" eb="12">
      <t>トウシ</t>
    </rPh>
    <phoneticPr fontId="5"/>
  </si>
  <si>
    <t>個人で保有する額</t>
    <rPh sb="0" eb="2">
      <t>コジン</t>
    </rPh>
    <rPh sb="3" eb="5">
      <t>ホユウ</t>
    </rPh>
    <rPh sb="7" eb="8">
      <t>ガク</t>
    </rPh>
    <phoneticPr fontId="5"/>
  </si>
  <si>
    <t>物件名予備8</t>
    <rPh sb="0" eb="3">
      <t>ブッケンメイ</t>
    </rPh>
    <rPh sb="3" eb="5">
      <t>ヨビ</t>
    </rPh>
    <phoneticPr fontId="5"/>
  </si>
  <si>
    <t>その他資産</t>
    <rPh sb="2" eb="3">
      <t>タ</t>
    </rPh>
    <rPh sb="3" eb="5">
      <t>シサン</t>
    </rPh>
    <phoneticPr fontId="5"/>
  </si>
  <si>
    <t>相続予定の親資産など</t>
    <rPh sb="0" eb="2">
      <t>ソウゾク</t>
    </rPh>
    <rPh sb="2" eb="4">
      <t>ヨテイ</t>
    </rPh>
    <rPh sb="5" eb="6">
      <t>オヤ</t>
    </rPh>
    <rPh sb="6" eb="8">
      <t>シサン</t>
    </rPh>
    <phoneticPr fontId="5"/>
  </si>
  <si>
    <t>月額元金総額</t>
    <rPh sb="0" eb="2">
      <t>ゲツガク</t>
    </rPh>
    <rPh sb="2" eb="4">
      <t>ガンキン</t>
    </rPh>
    <rPh sb="4" eb="6">
      <t>ソウガク</t>
    </rPh>
    <phoneticPr fontId="5"/>
  </si>
  <si>
    <t>物件名予備9</t>
    <rPh sb="0" eb="3">
      <t>ブッケンメイ</t>
    </rPh>
    <rPh sb="3" eb="5">
      <t>ヨビ</t>
    </rPh>
    <phoneticPr fontId="5"/>
  </si>
  <si>
    <t>会社経費/年</t>
    <rPh sb="0" eb="2">
      <t>カイシャ</t>
    </rPh>
    <rPh sb="2" eb="4">
      <t>ケイヒ</t>
    </rPh>
    <rPh sb="5" eb="6">
      <t>ネン</t>
    </rPh>
    <phoneticPr fontId="5"/>
  </si>
  <si>
    <t>人件費以外の販管費</t>
    <rPh sb="0" eb="3">
      <t>ジンケンヒ</t>
    </rPh>
    <rPh sb="3" eb="5">
      <t>イガイ</t>
    </rPh>
    <rPh sb="6" eb="9">
      <t>ハンカンヒ</t>
    </rPh>
    <phoneticPr fontId="5"/>
  </si>
  <si>
    <t>物件名予備10</t>
    <rPh sb="0" eb="3">
      <t>ブッケンメイ</t>
    </rPh>
    <rPh sb="3" eb="5">
      <t>ヨビ</t>
    </rPh>
    <phoneticPr fontId="5"/>
  </si>
  <si>
    <t>役員報酬・人件費/年</t>
    <rPh sb="0" eb="2">
      <t>ヤクイン</t>
    </rPh>
    <rPh sb="2" eb="4">
      <t>ホウシュウ</t>
    </rPh>
    <rPh sb="5" eb="8">
      <t>ジンケンヒ</t>
    </rPh>
    <phoneticPr fontId="5"/>
  </si>
  <si>
    <t>ユーザー任意入力</t>
    <rPh sb="4" eb="6">
      <t>ニンイ</t>
    </rPh>
    <rPh sb="6" eb="8">
      <t>ニュウリョク</t>
    </rPh>
    <phoneticPr fontId="5"/>
  </si>
  <si>
    <t>物件名予備11</t>
    <rPh sb="0" eb="3">
      <t>ブッケンメイ</t>
    </rPh>
    <rPh sb="3" eb="5">
      <t>ヨビ</t>
    </rPh>
    <phoneticPr fontId="5"/>
  </si>
  <si>
    <t>物件名予備12</t>
    <rPh sb="0" eb="3">
      <t>ブッケンメイ</t>
    </rPh>
    <rPh sb="3" eb="5">
      <t>ヨビ</t>
    </rPh>
    <phoneticPr fontId="5"/>
  </si>
  <si>
    <t>3.賃貸用資産の入居率（非賃貸を除く・金額ベース）入居率</t>
    <rPh sb="25" eb="28">
      <t>ニュウキョリツ</t>
    </rPh>
    <phoneticPr fontId="5"/>
  </si>
  <si>
    <t>物件名予備13</t>
    <rPh sb="0" eb="3">
      <t>ブッケンメイ</t>
    </rPh>
    <rPh sb="3" eb="5">
      <t>ヨビ</t>
    </rPh>
    <phoneticPr fontId="5"/>
  </si>
  <si>
    <t>玉川式 財務資料Excelシート GO30B Enterprise Edition.</t>
    <rPh sb="0" eb="2">
      <t>タマガワ</t>
    </rPh>
    <rPh sb="2" eb="3">
      <t>シキ</t>
    </rPh>
    <rPh sb="4" eb="8">
      <t>ザイムシリョウ</t>
    </rPh>
    <phoneticPr fontId="5"/>
  </si>
  <si>
    <t>4.資産クラス別入居率（非賃貸を除く・金額ベース）入居率</t>
    <rPh sb="25" eb="28">
      <t>ニュウキョリツ</t>
    </rPh>
    <phoneticPr fontId="5"/>
  </si>
  <si>
    <t>物件名予備14</t>
    <rPh sb="0" eb="3">
      <t>ブッケンメイ</t>
    </rPh>
    <rPh sb="3" eb="5">
      <t>ヨビ</t>
    </rPh>
    <phoneticPr fontId="5"/>
  </si>
  <si>
    <t>Rev.9 2023.07.23</t>
    <phoneticPr fontId="5"/>
  </si>
  <si>
    <t>3.賃貸用資産の入居率（非賃貸を除く・金額ベース）a</t>
    <phoneticPr fontId="5"/>
  </si>
  <si>
    <t>物件名予備15</t>
    <rPh sb="0" eb="3">
      <t>ブッケンメイ</t>
    </rPh>
    <rPh sb="3" eb="5">
      <t>ヨビ</t>
    </rPh>
    <phoneticPr fontId="5"/>
  </si>
  <si>
    <t>https://ytamagawa.com/</t>
    <phoneticPr fontId="5"/>
  </si>
  <si>
    <t>4.資産クラス別入居率（非賃貸を除く・金額ベース）e</t>
    <phoneticPr fontId="5"/>
  </si>
  <si>
    <t>物件名予備16</t>
    <rPh sb="0" eb="3">
      <t>ブッケンメイ</t>
    </rPh>
    <rPh sb="3" eb="5">
      <t>ヨビ</t>
    </rPh>
    <phoneticPr fontId="5"/>
  </si>
  <si>
    <t>このExcelシートの著作権は玉川陽介に帰属します。</t>
    <rPh sb="11" eb="14">
      <t>チョサクケン</t>
    </rPh>
    <rPh sb="15" eb="19">
      <t>タマガワヨウスケ</t>
    </rPh>
    <rPh sb="20" eb="22">
      <t>キゾク</t>
    </rPh>
    <phoneticPr fontId="5"/>
  </si>
  <si>
    <t>7.賃貸用資産の賃料帯別ヒストグラム（非賃貸を除く）住居系</t>
    <phoneticPr fontId="5"/>
  </si>
  <si>
    <t>物件名予備17</t>
    <rPh sb="0" eb="3">
      <t>ブッケンメイ</t>
    </rPh>
    <rPh sb="3" eb="5">
      <t>ヨビ</t>
    </rPh>
    <phoneticPr fontId="5"/>
  </si>
  <si>
    <t>ご自身の資産管理の範囲内に限り金融機関に提出するなどを含めて商利用可能です。</t>
    <rPh sb="1" eb="3">
      <t>ジシン</t>
    </rPh>
    <rPh sb="4" eb="6">
      <t>シサン</t>
    </rPh>
    <rPh sb="6" eb="8">
      <t>カンリ</t>
    </rPh>
    <rPh sb="9" eb="12">
      <t>ハンイナイ</t>
    </rPh>
    <rPh sb="13" eb="14">
      <t>カギ</t>
    </rPh>
    <rPh sb="15" eb="17">
      <t>キンユウ</t>
    </rPh>
    <rPh sb="17" eb="19">
      <t>キカン</t>
    </rPh>
    <rPh sb="20" eb="22">
      <t>テイシュツ</t>
    </rPh>
    <rPh sb="27" eb="28">
      <t>フク</t>
    </rPh>
    <rPh sb="30" eb="31">
      <t>ショウ</t>
    </rPh>
    <rPh sb="31" eb="33">
      <t>リヨウ</t>
    </rPh>
    <rPh sb="33" eb="35">
      <t>カノウ</t>
    </rPh>
    <phoneticPr fontId="5"/>
  </si>
  <si>
    <t>7.賃貸用資産の賃料帯別ヒストグラム（非賃貸を除く）事務所・店舗系</t>
    <phoneticPr fontId="5"/>
  </si>
  <si>
    <t>物件名予備18</t>
    <rPh sb="0" eb="3">
      <t>ブッケンメイ</t>
    </rPh>
    <rPh sb="3" eb="5">
      <t>ヨビ</t>
    </rPh>
    <phoneticPr fontId="5"/>
  </si>
  <si>
    <t>ただし、不特定多数の顧客へ送付するなど再頒布すること、保護パスワードを解除して改造することは</t>
    <rPh sb="4" eb="7">
      <t>フトクテイ</t>
    </rPh>
    <rPh sb="7" eb="9">
      <t>タスウ</t>
    </rPh>
    <rPh sb="27" eb="29">
      <t>ホゴ</t>
    </rPh>
    <rPh sb="35" eb="37">
      <t>カイジョ</t>
    </rPh>
    <rPh sb="39" eb="41">
      <t>カイゾウ</t>
    </rPh>
    <phoneticPr fontId="5"/>
  </si>
  <si>
    <t>NOI/年</t>
  </si>
  <si>
    <t>物件名予備19</t>
    <rPh sb="0" eb="3">
      <t>ブッケンメイ</t>
    </rPh>
    <rPh sb="3" eb="5">
      <t>ヨビ</t>
    </rPh>
    <phoneticPr fontId="5"/>
  </si>
  <si>
    <t>利用規約により禁止されています。詳しくは上記のサイトをご覧ください。</t>
    <rPh sb="16" eb="17">
      <t>クワ</t>
    </rPh>
    <rPh sb="20" eb="22">
      <t>ジョウキ</t>
    </rPh>
    <rPh sb="28" eb="29">
      <t>ラン</t>
    </rPh>
    <phoneticPr fontId="5"/>
  </si>
  <si>
    <t>NOI</t>
  </si>
  <si>
    <t>物件名予備20</t>
    <rPh sb="0" eb="3">
      <t>ブッケンメイ</t>
    </rPh>
    <rPh sb="3" eb="5">
      <t>ヨビ</t>
    </rPh>
    <phoneticPr fontId="5"/>
  </si>
  <si>
    <t>このExcelシートの利用により生じた損害について筆者は一切の責任を負いません。</t>
    <rPh sb="11" eb="13">
      <t>リヨウ</t>
    </rPh>
    <rPh sb="16" eb="17">
      <t>ショウ</t>
    </rPh>
    <rPh sb="19" eb="21">
      <t>ソンガイ</t>
    </rPh>
    <rPh sb="25" eb="27">
      <t>ヒッシャ</t>
    </rPh>
    <rPh sb="28" eb="30">
      <t>イッサイ</t>
    </rPh>
    <rPh sb="31" eb="33">
      <t>セキニン</t>
    </rPh>
    <rPh sb="34" eb="35">
      <t>オ</t>
    </rPh>
    <phoneticPr fontId="5"/>
  </si>
  <si>
    <t>物件名予備21</t>
    <rPh sb="0" eb="3">
      <t>ブッケンメイ</t>
    </rPh>
    <rPh sb="3" eb="5">
      <t>ヨビ</t>
    </rPh>
    <phoneticPr fontId="5"/>
  </si>
  <si>
    <t>金利支払(賃貸部門+住宅ローン)</t>
    <rPh sb="5" eb="7">
      <t>チンタイ</t>
    </rPh>
    <rPh sb="7" eb="9">
      <t>ブモン</t>
    </rPh>
    <rPh sb="10" eb="12">
      <t>ジュウタク</t>
    </rPh>
    <phoneticPr fontId="5"/>
  </si>
  <si>
    <t>物件名予備22</t>
    <rPh sb="0" eb="3">
      <t>ブッケンメイ</t>
    </rPh>
    <rPh sb="3" eb="5">
      <t>ヨビ</t>
    </rPh>
    <phoneticPr fontId="5"/>
  </si>
  <si>
    <t>想定税額</t>
    <rPh sb="0" eb="2">
      <t>ソウテイ</t>
    </rPh>
    <rPh sb="2" eb="4">
      <t>ゼイガク</t>
    </rPh>
    <phoneticPr fontId="5"/>
  </si>
  <si>
    <t>物件名予備23</t>
    <rPh sb="0" eb="3">
      <t>ブッケンメイ</t>
    </rPh>
    <rPh sb="3" eb="5">
      <t>ヨビ</t>
    </rPh>
    <phoneticPr fontId="5"/>
  </si>
  <si>
    <t>※差額あっても異常ではない</t>
    <rPh sb="1" eb="3">
      <t>サガク</t>
    </rPh>
    <rPh sb="7" eb="9">
      <t>イジョウ</t>
    </rPh>
    <phoneticPr fontId="5"/>
  </si>
  <si>
    <t>物件名予備24</t>
    <rPh sb="0" eb="3">
      <t>ブッケンメイ</t>
    </rPh>
    <rPh sb="3" eb="5">
      <t>ヨビ</t>
    </rPh>
    <phoneticPr fontId="5"/>
  </si>
  <si>
    <t>想定税引後利益</t>
  </si>
  <si>
    <t>物件名予備25</t>
    <rPh sb="0" eb="3">
      <t>ブッケンメイ</t>
    </rPh>
    <rPh sb="3" eb="5">
      <t>ヨビ</t>
    </rPh>
    <phoneticPr fontId="5"/>
  </si>
  <si>
    <t>物件名予備26</t>
    <rPh sb="0" eb="3">
      <t>ブッケンメイ</t>
    </rPh>
    <rPh sb="3" eb="5">
      <t>ヨビ</t>
    </rPh>
    <phoneticPr fontId="5"/>
  </si>
  <si>
    <t>物件関連元金総計(月額)*12</t>
    <rPh sb="0" eb="2">
      <t>ブッケン</t>
    </rPh>
    <rPh sb="2" eb="4">
      <t>カンレン</t>
    </rPh>
    <rPh sb="6" eb="8">
      <t>ソウケイ</t>
    </rPh>
    <phoneticPr fontId="5"/>
  </si>
  <si>
    <t>物件名予備27</t>
    <rPh sb="0" eb="3">
      <t>ブッケンメイ</t>
    </rPh>
    <rPh sb="3" eb="5">
      <t>ヨビ</t>
    </rPh>
    <phoneticPr fontId="5"/>
  </si>
  <si>
    <t>元金返済/年額</t>
    <rPh sb="5" eb="6">
      <t>ネン</t>
    </rPh>
    <phoneticPr fontId="5"/>
  </si>
  <si>
    <t>物件名予備28</t>
    <rPh sb="0" eb="3">
      <t>ブッケンメイ</t>
    </rPh>
    <rPh sb="3" eb="5">
      <t>ヨビ</t>
    </rPh>
    <phoneticPr fontId="5"/>
  </si>
  <si>
    <t>想定税引後CF</t>
  </si>
  <si>
    <t>物件名予備29</t>
    <rPh sb="0" eb="3">
      <t>ブッケンメイ</t>
    </rPh>
    <rPh sb="3" eb="5">
      <t>ヨビ</t>
    </rPh>
    <phoneticPr fontId="5"/>
  </si>
  <si>
    <t>物件名予備30</t>
    <rPh sb="0" eb="3">
      <t>ブッケンメイ</t>
    </rPh>
    <rPh sb="3" eb="5">
      <t>ヨビ</t>
    </rPh>
    <phoneticPr fontId="5"/>
  </si>
  <si>
    <t>n/a</t>
    <phoneticPr fontId="5"/>
  </si>
  <si>
    <t>上記差額</t>
    <rPh sb="0" eb="2">
      <t>ジョウキ</t>
    </rPh>
    <rPh sb="2" eb="4">
      <t>サガク</t>
    </rPh>
    <phoneticPr fontId="5"/>
  </si>
  <si>
    <t>物件名予備31</t>
    <rPh sb="0" eb="3">
      <t>ブッケンメイ</t>
    </rPh>
    <rPh sb="3" eb="5">
      <t>ヨビ</t>
    </rPh>
    <phoneticPr fontId="5"/>
  </si>
  <si>
    <t>物件名予備32</t>
    <rPh sb="0" eb="3">
      <t>ブッケンメイ</t>
    </rPh>
    <rPh sb="3" eb="5">
      <t>ヨビ</t>
    </rPh>
    <phoneticPr fontId="5"/>
  </si>
  <si>
    <t>物件名予備33</t>
    <rPh sb="0" eb="3">
      <t>ブッケンメイ</t>
    </rPh>
    <rPh sb="3" eb="5">
      <t>ヨビ</t>
    </rPh>
    <phoneticPr fontId="5"/>
  </si>
  <si>
    <t>物件名予備34</t>
    <rPh sb="0" eb="3">
      <t>ブッケンメイ</t>
    </rPh>
    <rPh sb="3" eb="5">
      <t>ヨビ</t>
    </rPh>
    <phoneticPr fontId="5"/>
  </si>
  <si>
    <t>物件名予備35</t>
    <rPh sb="0" eb="3">
      <t>ブッケンメイ</t>
    </rPh>
    <rPh sb="3" eb="5">
      <t>ヨビ</t>
    </rPh>
    <phoneticPr fontId="5"/>
  </si>
  <si>
    <t>物件名予備36</t>
    <rPh sb="0" eb="3">
      <t>ブッケンメイ</t>
    </rPh>
    <rPh sb="3" eb="5">
      <t>ヨビ</t>
    </rPh>
    <phoneticPr fontId="5"/>
  </si>
  <si>
    <t>物件名予備37</t>
    <rPh sb="0" eb="3">
      <t>ブッケンメイ</t>
    </rPh>
    <rPh sb="3" eb="5">
      <t>ヨビ</t>
    </rPh>
    <phoneticPr fontId="5"/>
  </si>
  <si>
    <t>物件名予備38</t>
    <rPh sb="0" eb="3">
      <t>ブッケンメイ</t>
    </rPh>
    <rPh sb="3" eb="5">
      <t>ヨビ</t>
    </rPh>
    <phoneticPr fontId="5"/>
  </si>
  <si>
    <t>物件名予備39</t>
    <rPh sb="0" eb="3">
      <t>ブッケンメイ</t>
    </rPh>
    <rPh sb="3" eb="5">
      <t>ヨビ</t>
    </rPh>
    <phoneticPr fontId="5"/>
  </si>
  <si>
    <t>物件名予備40</t>
    <rPh sb="0" eb="3">
      <t>ブッケンメイ</t>
    </rPh>
    <rPh sb="3" eb="5">
      <t>ヨビ</t>
    </rPh>
    <phoneticPr fontId="5"/>
  </si>
  <si>
    <t>ビジネス新大阪123号</t>
    <rPh sb="4" eb="7">
      <t>シンオオサカ</t>
    </rPh>
    <rPh sb="10" eb="11">
      <t>ゴウ</t>
    </rPh>
    <phoneticPr fontId="5"/>
  </si>
  <si>
    <t>区分名称</t>
    <rPh sb="0" eb="2">
      <t>クブン</t>
    </rPh>
    <rPh sb="2" eb="4">
      <t>メイショウ</t>
    </rPh>
    <phoneticPr fontId="5"/>
  </si>
  <si>
    <t>プラウD目白301号</t>
    <rPh sb="4" eb="6">
      <t>メジロ</t>
    </rPh>
    <rPh sb="9" eb="10">
      <t>ゴウ</t>
    </rPh>
    <phoneticPr fontId="5"/>
  </si>
  <si>
    <t>区分予備1</t>
    <rPh sb="0" eb="2">
      <t>クブン</t>
    </rPh>
    <rPh sb="2" eb="4">
      <t>ヨビ</t>
    </rPh>
    <phoneticPr fontId="5"/>
  </si>
  <si>
    <t>区分予備2</t>
    <rPh sb="0" eb="2">
      <t>クブン</t>
    </rPh>
    <rPh sb="2" eb="4">
      <t>ヨビ</t>
    </rPh>
    <phoneticPr fontId="5"/>
  </si>
  <si>
    <t>区分予備3</t>
    <rPh sb="0" eb="2">
      <t>クブン</t>
    </rPh>
    <rPh sb="2" eb="4">
      <t>ヨビ</t>
    </rPh>
    <phoneticPr fontId="5"/>
  </si>
  <si>
    <t>区分予備4</t>
    <rPh sb="0" eb="2">
      <t>クブン</t>
    </rPh>
    <rPh sb="2" eb="4">
      <t>ヨビ</t>
    </rPh>
    <phoneticPr fontId="5"/>
  </si>
  <si>
    <t>区分予備5</t>
    <rPh sb="0" eb="2">
      <t>クブン</t>
    </rPh>
    <rPh sb="2" eb="4">
      <t>ヨビ</t>
    </rPh>
    <phoneticPr fontId="5"/>
  </si>
  <si>
    <t>区分予備6</t>
    <rPh sb="0" eb="2">
      <t>クブン</t>
    </rPh>
    <rPh sb="2" eb="4">
      <t>ヨビ</t>
    </rPh>
    <phoneticPr fontId="5"/>
  </si>
  <si>
    <t>区分予備7</t>
    <rPh sb="0" eb="2">
      <t>クブン</t>
    </rPh>
    <rPh sb="2" eb="4">
      <t>ヨビ</t>
    </rPh>
    <phoneticPr fontId="5"/>
  </si>
  <si>
    <t>区分予備8</t>
    <rPh sb="0" eb="2">
      <t>クブン</t>
    </rPh>
    <rPh sb="2" eb="4">
      <t>ヨビ</t>
    </rPh>
    <phoneticPr fontId="5"/>
  </si>
  <si>
    <t>区分予備9</t>
    <rPh sb="0" eb="2">
      <t>クブン</t>
    </rPh>
    <rPh sb="2" eb="4">
      <t>ヨビ</t>
    </rPh>
    <phoneticPr fontId="5"/>
  </si>
  <si>
    <t>区分予備10</t>
    <rPh sb="0" eb="2">
      <t>クブン</t>
    </rPh>
    <rPh sb="2" eb="4">
      <t>ヨビ</t>
    </rPh>
    <phoneticPr fontId="5"/>
  </si>
  <si>
    <t>区分予備11</t>
    <rPh sb="0" eb="2">
      <t>クブン</t>
    </rPh>
    <rPh sb="2" eb="4">
      <t>ヨビ</t>
    </rPh>
    <phoneticPr fontId="5"/>
  </si>
  <si>
    <t>区分予備12</t>
    <rPh sb="0" eb="2">
      <t>クブン</t>
    </rPh>
    <rPh sb="2" eb="4">
      <t>ヨビ</t>
    </rPh>
    <phoneticPr fontId="5"/>
  </si>
  <si>
    <t>区分予備13</t>
    <rPh sb="0" eb="2">
      <t>クブン</t>
    </rPh>
    <rPh sb="2" eb="4">
      <t>ヨビ</t>
    </rPh>
    <phoneticPr fontId="5"/>
  </si>
  <si>
    <t>区分予備14</t>
    <rPh sb="0" eb="2">
      <t>クブン</t>
    </rPh>
    <rPh sb="2" eb="4">
      <t>ヨビ</t>
    </rPh>
    <phoneticPr fontId="5"/>
  </si>
  <si>
    <t>区分予備15</t>
    <rPh sb="0" eb="2">
      <t>クブン</t>
    </rPh>
    <rPh sb="2" eb="4">
      <t>ヨビ</t>
    </rPh>
    <phoneticPr fontId="5"/>
  </si>
  <si>
    <t>区分予備16</t>
    <rPh sb="0" eb="2">
      <t>クブン</t>
    </rPh>
    <rPh sb="2" eb="4">
      <t>ヨビ</t>
    </rPh>
    <phoneticPr fontId="5"/>
  </si>
  <si>
    <t>区分予備17</t>
    <rPh sb="0" eb="2">
      <t>クブン</t>
    </rPh>
    <rPh sb="2" eb="4">
      <t>ヨビ</t>
    </rPh>
    <phoneticPr fontId="5"/>
  </si>
  <si>
    <t>区分予備18</t>
    <rPh sb="0" eb="2">
      <t>クブン</t>
    </rPh>
    <rPh sb="2" eb="4">
      <t>ヨビ</t>
    </rPh>
    <phoneticPr fontId="5"/>
  </si>
  <si>
    <t>区分予備19</t>
    <rPh sb="0" eb="2">
      <t>クブン</t>
    </rPh>
    <rPh sb="2" eb="4">
      <t>ヨビ</t>
    </rPh>
    <phoneticPr fontId="5"/>
  </si>
  <si>
    <t>区分予備20</t>
    <rPh sb="0" eb="2">
      <t>クブン</t>
    </rPh>
    <rPh sb="2" eb="4">
      <t>ヨビ</t>
    </rPh>
    <phoneticPr fontId="5"/>
  </si>
  <si>
    <t>区分予備21</t>
    <rPh sb="0" eb="2">
      <t>クブン</t>
    </rPh>
    <rPh sb="2" eb="4">
      <t>ヨビ</t>
    </rPh>
    <phoneticPr fontId="5"/>
  </si>
  <si>
    <t>区分予備22</t>
    <rPh sb="0" eb="2">
      <t>クブン</t>
    </rPh>
    <rPh sb="2" eb="4">
      <t>ヨビ</t>
    </rPh>
    <phoneticPr fontId="5"/>
  </si>
  <si>
    <t>区分予備23</t>
    <rPh sb="0" eb="2">
      <t>クブン</t>
    </rPh>
    <rPh sb="2" eb="4">
      <t>ヨビ</t>
    </rPh>
    <phoneticPr fontId="5"/>
  </si>
  <si>
    <t>区分予備24</t>
    <rPh sb="0" eb="2">
      <t>クブン</t>
    </rPh>
    <rPh sb="2" eb="4">
      <t>ヨビ</t>
    </rPh>
    <phoneticPr fontId="5"/>
  </si>
  <si>
    <t>区分予備25</t>
    <rPh sb="0" eb="2">
      <t>クブン</t>
    </rPh>
    <rPh sb="2" eb="4">
      <t>ヨビ</t>
    </rPh>
    <phoneticPr fontId="5"/>
  </si>
  <si>
    <t>区分予備26</t>
    <rPh sb="0" eb="2">
      <t>クブン</t>
    </rPh>
    <rPh sb="2" eb="4">
      <t>ヨビ</t>
    </rPh>
    <phoneticPr fontId="5"/>
  </si>
  <si>
    <t>区分予備27</t>
    <rPh sb="0" eb="2">
      <t>クブン</t>
    </rPh>
    <rPh sb="2" eb="4">
      <t>ヨビ</t>
    </rPh>
    <phoneticPr fontId="5"/>
  </si>
  <si>
    <t>区分予備28</t>
    <rPh sb="0" eb="2">
      <t>クブン</t>
    </rPh>
    <rPh sb="2" eb="4">
      <t>ヨビ</t>
    </rPh>
    <phoneticPr fontId="5"/>
  </si>
  <si>
    <t>区分予備29</t>
    <rPh sb="0" eb="2">
      <t>クブン</t>
    </rPh>
    <rPh sb="2" eb="4">
      <t>ヨビ</t>
    </rPh>
    <phoneticPr fontId="5"/>
  </si>
  <si>
    <t>区分予備30</t>
    <rPh sb="0" eb="2">
      <t>クブン</t>
    </rPh>
    <rPh sb="2" eb="4">
      <t>ヨビ</t>
    </rPh>
    <phoneticPr fontId="5"/>
  </si>
  <si>
    <t>区分予備31</t>
    <rPh sb="0" eb="2">
      <t>クブン</t>
    </rPh>
    <rPh sb="2" eb="4">
      <t>ヨビ</t>
    </rPh>
    <phoneticPr fontId="5"/>
  </si>
  <si>
    <t>区分予備32</t>
    <rPh sb="0" eb="2">
      <t>クブン</t>
    </rPh>
    <rPh sb="2" eb="4">
      <t>ヨビ</t>
    </rPh>
    <phoneticPr fontId="5"/>
  </si>
  <si>
    <t>区分予備33</t>
    <rPh sb="0" eb="2">
      <t>クブン</t>
    </rPh>
    <rPh sb="2" eb="4">
      <t>ヨビ</t>
    </rPh>
    <phoneticPr fontId="5"/>
  </si>
  <si>
    <t>区分予備34</t>
    <rPh sb="0" eb="2">
      <t>クブン</t>
    </rPh>
    <rPh sb="2" eb="4">
      <t>ヨビ</t>
    </rPh>
    <phoneticPr fontId="5"/>
  </si>
  <si>
    <t>区分予備35</t>
    <rPh sb="0" eb="2">
      <t>クブン</t>
    </rPh>
    <rPh sb="2" eb="4">
      <t>ヨビ</t>
    </rPh>
    <phoneticPr fontId="5"/>
  </si>
  <si>
    <t>区分予備36</t>
    <rPh sb="0" eb="2">
      <t>クブン</t>
    </rPh>
    <rPh sb="2" eb="4">
      <t>ヨビ</t>
    </rPh>
    <phoneticPr fontId="5"/>
  </si>
  <si>
    <t>区分予備37</t>
    <rPh sb="0" eb="2">
      <t>クブン</t>
    </rPh>
    <rPh sb="2" eb="4">
      <t>ヨビ</t>
    </rPh>
    <phoneticPr fontId="5"/>
  </si>
  <si>
    <t>区分予備38</t>
    <rPh sb="0" eb="2">
      <t>クブン</t>
    </rPh>
    <rPh sb="2" eb="4">
      <t>ヨビ</t>
    </rPh>
    <phoneticPr fontId="5"/>
  </si>
  <si>
    <t>区分予備39</t>
    <rPh sb="0" eb="2">
      <t>クブン</t>
    </rPh>
    <rPh sb="2" eb="4">
      <t>ヨビ</t>
    </rPh>
    <phoneticPr fontId="5"/>
  </si>
  <si>
    <t>区分予備40</t>
    <rPh sb="0" eb="2">
      <t>クブン</t>
    </rPh>
    <rPh sb="2" eb="4">
      <t>ヨビ</t>
    </rPh>
    <phoneticPr fontId="5"/>
  </si>
  <si>
    <t>玉川陽介</t>
  </si>
  <si>
    <t>経営者と親族</t>
    <rPh sb="0" eb="3">
      <t>ケイエイシャ</t>
    </rPh>
    <rPh sb="4" eb="6">
      <t>シンゾク</t>
    </rPh>
    <phoneticPr fontId="5"/>
  </si>
  <si>
    <t>玉川花子</t>
    <rPh sb="0" eb="2">
      <t>タマガワ</t>
    </rPh>
    <rPh sb="2" eb="4">
      <t>ハナコ</t>
    </rPh>
    <phoneticPr fontId="5"/>
  </si>
  <si>
    <t>玉川太郎</t>
    <rPh sb="0" eb="2">
      <t>タマガワ</t>
    </rPh>
    <rPh sb="2" eb="4">
      <t>タロウ</t>
    </rPh>
    <phoneticPr fontId="5"/>
  </si>
  <si>
    <t>鈴木次郎</t>
    <rPh sb="0" eb="2">
      <t>スズキ</t>
    </rPh>
    <rPh sb="2" eb="4">
      <t>ジロウ</t>
    </rPh>
    <phoneticPr fontId="5"/>
  </si>
  <si>
    <t>親族予備1</t>
    <rPh sb="0" eb="2">
      <t>シンゾク</t>
    </rPh>
    <rPh sb="2" eb="4">
      <t>ヨビ</t>
    </rPh>
    <phoneticPr fontId="5"/>
  </si>
  <si>
    <t>親族予備2</t>
    <rPh sb="0" eb="2">
      <t>シンゾク</t>
    </rPh>
    <rPh sb="2" eb="4">
      <t>ヨビ</t>
    </rPh>
    <phoneticPr fontId="5"/>
  </si>
  <si>
    <t>親族予備3</t>
    <rPh sb="0" eb="2">
      <t>シンゾク</t>
    </rPh>
    <rPh sb="2" eb="4">
      <t>ヨビ</t>
    </rPh>
    <phoneticPr fontId="5"/>
  </si>
  <si>
    <t>親族予備4</t>
    <rPh sb="0" eb="2">
      <t>シンゾク</t>
    </rPh>
    <rPh sb="2" eb="4">
      <t>ヨビ</t>
    </rPh>
    <phoneticPr fontId="5"/>
  </si>
  <si>
    <t>親族予備5</t>
    <rPh sb="0" eb="2">
      <t>シンゾク</t>
    </rPh>
    <rPh sb="2" eb="4">
      <t>ヨビ</t>
    </rPh>
    <phoneticPr fontId="5"/>
  </si>
  <si>
    <t>親族予備6</t>
    <rPh sb="0" eb="2">
      <t>シンゾク</t>
    </rPh>
    <rPh sb="2" eb="4">
      <t>ヨビ</t>
    </rPh>
    <phoneticPr fontId="5"/>
  </si>
  <si>
    <t>親族予備7</t>
    <rPh sb="0" eb="2">
      <t>シンゾク</t>
    </rPh>
    <rPh sb="2" eb="4">
      <t>ヨビ</t>
    </rPh>
    <phoneticPr fontId="5"/>
  </si>
  <si>
    <t>親族予備8</t>
    <rPh sb="0" eb="2">
      <t>シンゾク</t>
    </rPh>
    <rPh sb="2" eb="4">
      <t>ヨビ</t>
    </rPh>
    <phoneticPr fontId="5"/>
  </si>
  <si>
    <t>親族予備9</t>
    <rPh sb="0" eb="2">
      <t>シンゾク</t>
    </rPh>
    <rPh sb="2" eb="4">
      <t>ヨビ</t>
    </rPh>
    <phoneticPr fontId="5"/>
  </si>
  <si>
    <t>親族予備10</t>
    <rPh sb="0" eb="2">
      <t>シンゾク</t>
    </rPh>
    <rPh sb="2" eb="4">
      <t>ヨビ</t>
    </rPh>
    <phoneticPr fontId="5"/>
  </si>
  <si>
    <t>コアプラス東京株式会社</t>
    <rPh sb="5" eb="7">
      <t>トウキョウ</t>
    </rPh>
    <rPh sb="7" eb="11">
      <t>カブシキガイシャ</t>
    </rPh>
    <phoneticPr fontId="5"/>
  </si>
  <si>
    <t>法人名</t>
    <rPh sb="0" eb="2">
      <t>ホウジン</t>
    </rPh>
    <rPh sb="2" eb="3">
      <t>メイ</t>
    </rPh>
    <phoneticPr fontId="5"/>
  </si>
  <si>
    <t>コアプラス名古屋株式会社</t>
    <rPh sb="5" eb="8">
      <t>ナゴヤ</t>
    </rPh>
    <rPh sb="8" eb="12">
      <t>カブシキガイシャ</t>
    </rPh>
    <phoneticPr fontId="5"/>
  </si>
  <si>
    <t>有限会社コアプラス2号</t>
    <rPh sb="0" eb="4">
      <t>ユウゲンガイシャ</t>
    </rPh>
    <rPh sb="10" eb="11">
      <t>ゴウ</t>
    </rPh>
    <phoneticPr fontId="5"/>
  </si>
  <si>
    <t>コアプラス大阪株式会社</t>
    <rPh sb="5" eb="7">
      <t>オオサカ</t>
    </rPh>
    <rPh sb="7" eb="11">
      <t>カブシキガイシャ</t>
    </rPh>
    <phoneticPr fontId="5"/>
  </si>
  <si>
    <t>コアプラス仙台株式会社</t>
    <rPh sb="5" eb="7">
      <t>センダイ</t>
    </rPh>
    <rPh sb="7" eb="11">
      <t>カブシキガイシャ</t>
    </rPh>
    <phoneticPr fontId="5"/>
  </si>
  <si>
    <t>コアプラス札幌株式会社</t>
    <rPh sb="5" eb="7">
      <t>サッポロ</t>
    </rPh>
    <rPh sb="7" eb="11">
      <t>カブシキガイシャ</t>
    </rPh>
    <phoneticPr fontId="5"/>
  </si>
  <si>
    <t>コアプラス福岡株式会社</t>
    <rPh sb="5" eb="7">
      <t>フクオカ</t>
    </rPh>
    <rPh sb="7" eb="11">
      <t>カブシキガイシャ</t>
    </rPh>
    <phoneticPr fontId="5"/>
  </si>
  <si>
    <t>コアプラス京都株式会社</t>
    <rPh sb="5" eb="7">
      <t>キョウト</t>
    </rPh>
    <rPh sb="7" eb="11">
      <t>カブシキガイシャ</t>
    </rPh>
    <phoneticPr fontId="5"/>
  </si>
  <si>
    <t>コアプラス四国株式会社</t>
    <rPh sb="5" eb="7">
      <t>シコク</t>
    </rPh>
    <rPh sb="7" eb="11">
      <t>カブシキガイシャ</t>
    </rPh>
    <phoneticPr fontId="5"/>
  </si>
  <si>
    <t>コアプラス沖縄株式会社</t>
    <rPh sb="5" eb="7">
      <t>オキナワ</t>
    </rPh>
    <rPh sb="7" eb="11">
      <t>カブシキガイシャ</t>
    </rPh>
    <phoneticPr fontId="5"/>
  </si>
  <si>
    <t>コアプラスホールディングス株式会社</t>
  </si>
  <si>
    <t>法人予備1</t>
    <rPh sb="0" eb="2">
      <t>ホウジン</t>
    </rPh>
    <rPh sb="2" eb="4">
      <t>ヨビ</t>
    </rPh>
    <phoneticPr fontId="5"/>
  </si>
  <si>
    <t>法人予備2</t>
    <rPh sb="0" eb="2">
      <t>ホウジン</t>
    </rPh>
    <rPh sb="2" eb="4">
      <t>ヨビ</t>
    </rPh>
    <phoneticPr fontId="5"/>
  </si>
  <si>
    <t>法人予備3</t>
    <rPh sb="0" eb="2">
      <t>ホウジン</t>
    </rPh>
    <rPh sb="2" eb="4">
      <t>ヨビ</t>
    </rPh>
    <phoneticPr fontId="5"/>
  </si>
  <si>
    <t>法人予備4</t>
    <rPh sb="0" eb="2">
      <t>ホウジン</t>
    </rPh>
    <rPh sb="2" eb="4">
      <t>ヨビ</t>
    </rPh>
    <phoneticPr fontId="5"/>
  </si>
  <si>
    <t>法人予備5</t>
    <rPh sb="0" eb="2">
      <t>ホウジン</t>
    </rPh>
    <rPh sb="2" eb="4">
      <t>ヨビ</t>
    </rPh>
    <phoneticPr fontId="5"/>
  </si>
  <si>
    <t>法人予備6</t>
    <rPh sb="0" eb="2">
      <t>ホウジン</t>
    </rPh>
    <rPh sb="2" eb="4">
      <t>ヨビ</t>
    </rPh>
    <phoneticPr fontId="5"/>
  </si>
  <si>
    <t>法人予備7</t>
    <rPh sb="0" eb="2">
      <t>ホウジン</t>
    </rPh>
    <rPh sb="2" eb="4">
      <t>ヨビ</t>
    </rPh>
    <phoneticPr fontId="5"/>
  </si>
  <si>
    <t>法人予備8</t>
    <rPh sb="0" eb="2">
      <t>ホウジン</t>
    </rPh>
    <rPh sb="2" eb="4">
      <t>ヨビ</t>
    </rPh>
    <phoneticPr fontId="5"/>
  </si>
  <si>
    <t>法人予備9</t>
    <rPh sb="0" eb="2">
      <t>ホウジン</t>
    </rPh>
    <rPh sb="2" eb="4">
      <t>ヨビ</t>
    </rPh>
    <phoneticPr fontId="5"/>
  </si>
  <si>
    <t>法人予備10</t>
    <rPh sb="0" eb="2">
      <t>ホウジン</t>
    </rPh>
    <rPh sb="2" eb="4">
      <t>ヨビ</t>
    </rPh>
    <phoneticPr fontId="5"/>
  </si>
  <si>
    <t>法人予備11</t>
    <rPh sb="0" eb="2">
      <t>ホウジン</t>
    </rPh>
    <rPh sb="2" eb="4">
      <t>ヨビ</t>
    </rPh>
    <phoneticPr fontId="5"/>
  </si>
  <si>
    <t>法人予備12</t>
    <rPh sb="0" eb="2">
      <t>ホウジン</t>
    </rPh>
    <rPh sb="2" eb="4">
      <t>ヨビ</t>
    </rPh>
    <phoneticPr fontId="5"/>
  </si>
  <si>
    <t>法人予備13</t>
    <rPh sb="0" eb="2">
      <t>ホウジン</t>
    </rPh>
    <rPh sb="2" eb="4">
      <t>ヨビ</t>
    </rPh>
    <phoneticPr fontId="5"/>
  </si>
  <si>
    <t>法人予備14</t>
    <rPh sb="0" eb="2">
      <t>ホウジン</t>
    </rPh>
    <rPh sb="2" eb="4">
      <t>ヨビ</t>
    </rPh>
    <phoneticPr fontId="5"/>
  </si>
  <si>
    <t>法人予備15</t>
    <rPh sb="0" eb="2">
      <t>ホウジン</t>
    </rPh>
    <rPh sb="2" eb="4">
      <t>ヨビ</t>
    </rPh>
    <phoneticPr fontId="5"/>
  </si>
  <si>
    <t>法人予備16</t>
    <rPh sb="0" eb="2">
      <t>ホウジン</t>
    </rPh>
    <rPh sb="2" eb="4">
      <t>ヨビ</t>
    </rPh>
    <phoneticPr fontId="5"/>
  </si>
  <si>
    <t>法人予備17</t>
    <rPh sb="0" eb="2">
      <t>ホウジン</t>
    </rPh>
    <rPh sb="2" eb="4">
      <t>ヨビ</t>
    </rPh>
    <phoneticPr fontId="5"/>
  </si>
  <si>
    <t>法人予備18</t>
    <rPh sb="0" eb="2">
      <t>ホウジン</t>
    </rPh>
    <rPh sb="2" eb="4">
      <t>ヨビ</t>
    </rPh>
    <phoneticPr fontId="5"/>
  </si>
  <si>
    <t>法人予備19</t>
    <rPh sb="0" eb="2">
      <t>ホウジン</t>
    </rPh>
    <rPh sb="2" eb="4">
      <t>ヨビ</t>
    </rPh>
    <phoneticPr fontId="5"/>
  </si>
  <si>
    <t>法人予備20</t>
    <rPh sb="0" eb="2">
      <t>ホウジン</t>
    </rPh>
    <rPh sb="2" eb="4">
      <t>ヨビ</t>
    </rPh>
    <phoneticPr fontId="5"/>
  </si>
  <si>
    <t>法人予備21</t>
    <rPh sb="0" eb="2">
      <t>ホウジン</t>
    </rPh>
    <rPh sb="2" eb="4">
      <t>ヨビ</t>
    </rPh>
    <phoneticPr fontId="5"/>
  </si>
  <si>
    <t>法人予備22</t>
    <rPh sb="0" eb="2">
      <t>ホウジン</t>
    </rPh>
    <rPh sb="2" eb="4">
      <t>ヨビ</t>
    </rPh>
    <phoneticPr fontId="5"/>
  </si>
  <si>
    <t>法人予備23</t>
    <rPh sb="0" eb="2">
      <t>ホウジン</t>
    </rPh>
    <rPh sb="2" eb="4">
      <t>ヨビ</t>
    </rPh>
    <phoneticPr fontId="5"/>
  </si>
  <si>
    <t>法人予備24</t>
    <rPh sb="0" eb="2">
      <t>ホウジン</t>
    </rPh>
    <rPh sb="2" eb="4">
      <t>ヨビ</t>
    </rPh>
    <phoneticPr fontId="5"/>
  </si>
  <si>
    <t>法人予備25</t>
    <rPh sb="0" eb="2">
      <t>ホウジン</t>
    </rPh>
    <rPh sb="2" eb="4">
      <t>ヨビ</t>
    </rPh>
    <phoneticPr fontId="5"/>
  </si>
  <si>
    <t>石垣銀行</t>
    <rPh sb="0" eb="2">
      <t>イシガキ</t>
    </rPh>
    <rPh sb="2" eb="4">
      <t>ギンコウ</t>
    </rPh>
    <phoneticPr fontId="5"/>
  </si>
  <si>
    <t>金融機関名</t>
    <rPh sb="0" eb="2">
      <t>キンユウ</t>
    </rPh>
    <rPh sb="2" eb="5">
      <t>キカンメイ</t>
    </rPh>
    <phoneticPr fontId="5"/>
  </si>
  <si>
    <t>首里信金</t>
    <rPh sb="0" eb="2">
      <t>シュリ</t>
    </rPh>
    <rPh sb="2" eb="4">
      <t>シンキン</t>
    </rPh>
    <phoneticPr fontId="5"/>
  </si>
  <si>
    <t>名護信金</t>
    <rPh sb="0" eb="2">
      <t>ナゴ</t>
    </rPh>
    <rPh sb="2" eb="4">
      <t>シンキン</t>
    </rPh>
    <phoneticPr fontId="5"/>
  </si>
  <si>
    <t>読谷信金</t>
    <rPh sb="2" eb="4">
      <t>シンキン</t>
    </rPh>
    <phoneticPr fontId="5"/>
  </si>
  <si>
    <t>宜野湾信組</t>
    <rPh sb="3" eb="5">
      <t>シンクミ</t>
    </rPh>
    <phoneticPr fontId="5"/>
  </si>
  <si>
    <t>恩納銀行</t>
    <rPh sb="2" eb="4">
      <t>ギンコウ</t>
    </rPh>
    <phoneticPr fontId="5"/>
  </si>
  <si>
    <t>嘉手納銀行</t>
    <rPh sb="3" eb="5">
      <t>ギンコウ</t>
    </rPh>
    <phoneticPr fontId="5"/>
  </si>
  <si>
    <t>奄美信金</t>
    <rPh sb="0" eb="2">
      <t>アマミ</t>
    </rPh>
    <rPh sb="2" eb="4">
      <t>シンキン</t>
    </rPh>
    <phoneticPr fontId="5"/>
  </si>
  <si>
    <t>竹富信金</t>
    <rPh sb="0" eb="2">
      <t>タケトミ</t>
    </rPh>
    <rPh sb="2" eb="4">
      <t>シンキン</t>
    </rPh>
    <phoneticPr fontId="5"/>
  </si>
  <si>
    <t>西表信金</t>
    <rPh sb="0" eb="2">
      <t>イリオモテ</t>
    </rPh>
    <rPh sb="2" eb="4">
      <t>シンキン</t>
    </rPh>
    <phoneticPr fontId="5"/>
  </si>
  <si>
    <t>宮古信組</t>
    <rPh sb="0" eb="2">
      <t>ミヤコ</t>
    </rPh>
    <rPh sb="2" eb="4">
      <t>シンクミ</t>
    </rPh>
    <phoneticPr fontId="5"/>
  </si>
  <si>
    <t>座間味信金</t>
    <rPh sb="0" eb="3">
      <t>ザマミ</t>
    </rPh>
    <rPh sb="3" eb="5">
      <t>シンキン</t>
    </rPh>
    <phoneticPr fontId="5"/>
  </si>
  <si>
    <t>金融機関予備1</t>
    <rPh sb="0" eb="2">
      <t>キンユウ</t>
    </rPh>
    <rPh sb="2" eb="4">
      <t>キカン</t>
    </rPh>
    <rPh sb="4" eb="6">
      <t>ヨビ</t>
    </rPh>
    <phoneticPr fontId="5"/>
  </si>
  <si>
    <t>金融機関予備2</t>
    <rPh sb="0" eb="2">
      <t>キンユウ</t>
    </rPh>
    <rPh sb="2" eb="4">
      <t>キカン</t>
    </rPh>
    <rPh sb="4" eb="6">
      <t>ヨビ</t>
    </rPh>
    <phoneticPr fontId="5"/>
  </si>
  <si>
    <t>金融機関予備3</t>
    <rPh sb="0" eb="2">
      <t>キンユウ</t>
    </rPh>
    <rPh sb="2" eb="4">
      <t>キカン</t>
    </rPh>
    <rPh sb="4" eb="6">
      <t>ヨビ</t>
    </rPh>
    <phoneticPr fontId="5"/>
  </si>
  <si>
    <t>金融機関予備4</t>
    <rPh sb="0" eb="2">
      <t>キンユウ</t>
    </rPh>
    <rPh sb="2" eb="4">
      <t>キカン</t>
    </rPh>
    <rPh sb="4" eb="6">
      <t>ヨビ</t>
    </rPh>
    <phoneticPr fontId="5"/>
  </si>
  <si>
    <t>金融機関予備5</t>
    <rPh sb="0" eb="2">
      <t>キンユウ</t>
    </rPh>
    <rPh sb="2" eb="4">
      <t>キカン</t>
    </rPh>
    <rPh sb="4" eb="6">
      <t>ヨビ</t>
    </rPh>
    <phoneticPr fontId="5"/>
  </si>
  <si>
    <t>金融機関予備6</t>
    <rPh sb="0" eb="2">
      <t>キンユウ</t>
    </rPh>
    <rPh sb="2" eb="4">
      <t>キカン</t>
    </rPh>
    <rPh sb="4" eb="6">
      <t>ヨビ</t>
    </rPh>
    <phoneticPr fontId="5"/>
  </si>
  <si>
    <t>金融機関予備7</t>
    <rPh sb="0" eb="2">
      <t>キンユウ</t>
    </rPh>
    <rPh sb="2" eb="4">
      <t>キカン</t>
    </rPh>
    <rPh sb="4" eb="6">
      <t>ヨビ</t>
    </rPh>
    <phoneticPr fontId="5"/>
  </si>
  <si>
    <t>金融機関予備8</t>
    <rPh sb="0" eb="2">
      <t>キンユウ</t>
    </rPh>
    <rPh sb="2" eb="4">
      <t>キカン</t>
    </rPh>
    <rPh sb="4" eb="6">
      <t>ヨビ</t>
    </rPh>
    <phoneticPr fontId="5"/>
  </si>
  <si>
    <t>金融機関予備9</t>
    <rPh sb="0" eb="2">
      <t>キンユウ</t>
    </rPh>
    <rPh sb="2" eb="4">
      <t>キカン</t>
    </rPh>
    <rPh sb="4" eb="6">
      <t>ヨビ</t>
    </rPh>
    <phoneticPr fontId="5"/>
  </si>
  <si>
    <t>金融機関予備10</t>
    <rPh sb="0" eb="2">
      <t>キンユウ</t>
    </rPh>
    <rPh sb="2" eb="4">
      <t>キカン</t>
    </rPh>
    <rPh sb="4" eb="6">
      <t>ヨビ</t>
    </rPh>
    <phoneticPr fontId="5"/>
  </si>
  <si>
    <t>金融機関予備11</t>
    <rPh sb="0" eb="2">
      <t>キンユウ</t>
    </rPh>
    <rPh sb="2" eb="4">
      <t>キカン</t>
    </rPh>
    <rPh sb="4" eb="6">
      <t>ヨビ</t>
    </rPh>
    <phoneticPr fontId="5"/>
  </si>
  <si>
    <t>金融機関予備12</t>
    <rPh sb="0" eb="2">
      <t>キンユウ</t>
    </rPh>
    <rPh sb="2" eb="4">
      <t>キカン</t>
    </rPh>
    <rPh sb="4" eb="6">
      <t>ヨビ</t>
    </rPh>
    <phoneticPr fontId="5"/>
  </si>
  <si>
    <t>金融機関予備13</t>
    <rPh sb="0" eb="2">
      <t>キンユウ</t>
    </rPh>
    <rPh sb="2" eb="4">
      <t>キカン</t>
    </rPh>
    <rPh sb="4" eb="6">
      <t>ヨビ</t>
    </rPh>
    <phoneticPr fontId="5"/>
  </si>
  <si>
    <t>金融機関予備14</t>
    <rPh sb="0" eb="2">
      <t>キンユウ</t>
    </rPh>
    <rPh sb="2" eb="4">
      <t>キカン</t>
    </rPh>
    <rPh sb="4" eb="6">
      <t>ヨビ</t>
    </rPh>
    <phoneticPr fontId="5"/>
  </si>
  <si>
    <t>金融機関予備15</t>
    <rPh sb="0" eb="2">
      <t>キンユウ</t>
    </rPh>
    <rPh sb="2" eb="4">
      <t>キカン</t>
    </rPh>
    <rPh sb="4" eb="6">
      <t>ヨビ</t>
    </rPh>
    <phoneticPr fontId="5"/>
  </si>
  <si>
    <t>金融機関予備16</t>
    <rPh sb="0" eb="2">
      <t>キンユウ</t>
    </rPh>
    <rPh sb="2" eb="4">
      <t>キカン</t>
    </rPh>
    <rPh sb="4" eb="6">
      <t>ヨビ</t>
    </rPh>
    <phoneticPr fontId="5"/>
  </si>
  <si>
    <t>金融機関予備17</t>
    <rPh sb="0" eb="2">
      <t>キンユウ</t>
    </rPh>
    <rPh sb="2" eb="4">
      <t>キカン</t>
    </rPh>
    <rPh sb="4" eb="6">
      <t>ヨビ</t>
    </rPh>
    <phoneticPr fontId="5"/>
  </si>
  <si>
    <t>金融機関予備18</t>
    <rPh sb="0" eb="2">
      <t>キンユウ</t>
    </rPh>
    <rPh sb="2" eb="4">
      <t>キカン</t>
    </rPh>
    <rPh sb="4" eb="6">
      <t>ヨビ</t>
    </rPh>
    <phoneticPr fontId="5"/>
  </si>
  <si>
    <t>金融機関予備19</t>
    <rPh sb="0" eb="2">
      <t>キンユウ</t>
    </rPh>
    <rPh sb="2" eb="4">
      <t>キカン</t>
    </rPh>
    <rPh sb="4" eb="6">
      <t>ヨビ</t>
    </rPh>
    <phoneticPr fontId="5"/>
  </si>
  <si>
    <t>金融機関予備20</t>
    <rPh sb="0" eb="2">
      <t>キンユウ</t>
    </rPh>
    <rPh sb="2" eb="4">
      <t>キカン</t>
    </rPh>
    <rPh sb="4" eb="6">
      <t>ヨビ</t>
    </rPh>
    <phoneticPr fontId="5"/>
  </si>
  <si>
    <t>金融機関予備21</t>
    <rPh sb="0" eb="2">
      <t>キンユウ</t>
    </rPh>
    <rPh sb="2" eb="4">
      <t>キカン</t>
    </rPh>
    <rPh sb="4" eb="6">
      <t>ヨビ</t>
    </rPh>
    <phoneticPr fontId="5"/>
  </si>
  <si>
    <t>金融機関予備22</t>
    <rPh sb="0" eb="2">
      <t>キンユウ</t>
    </rPh>
    <rPh sb="2" eb="4">
      <t>キカン</t>
    </rPh>
    <rPh sb="4" eb="6">
      <t>ヨビ</t>
    </rPh>
    <phoneticPr fontId="5"/>
  </si>
  <si>
    <t>金融機関予備23</t>
    <rPh sb="0" eb="2">
      <t>キンユウ</t>
    </rPh>
    <rPh sb="2" eb="4">
      <t>キカン</t>
    </rPh>
    <rPh sb="4" eb="6">
      <t>ヨビ</t>
    </rPh>
    <phoneticPr fontId="5"/>
  </si>
  <si>
    <t>金融機関予備24</t>
    <rPh sb="0" eb="2">
      <t>キンユウ</t>
    </rPh>
    <rPh sb="2" eb="4">
      <t>キカン</t>
    </rPh>
    <rPh sb="4" eb="6">
      <t>ヨビ</t>
    </rPh>
    <phoneticPr fontId="5"/>
  </si>
  <si>
    <t>金融機関予備25</t>
    <rPh sb="0" eb="2">
      <t>キンユウ</t>
    </rPh>
    <rPh sb="2" eb="4">
      <t>キカン</t>
    </rPh>
    <rPh sb="4" eb="6">
      <t>ヨビ</t>
    </rPh>
    <phoneticPr fontId="5"/>
  </si>
  <si>
    <t>金融機関予備26</t>
    <rPh sb="0" eb="2">
      <t>キンユウ</t>
    </rPh>
    <rPh sb="2" eb="4">
      <t>キカン</t>
    </rPh>
    <rPh sb="4" eb="6">
      <t>ヨビ</t>
    </rPh>
    <phoneticPr fontId="5"/>
  </si>
  <si>
    <t>金融機関予備27</t>
    <rPh sb="0" eb="2">
      <t>キンユウ</t>
    </rPh>
    <rPh sb="2" eb="4">
      <t>キカン</t>
    </rPh>
    <rPh sb="4" eb="6">
      <t>ヨビ</t>
    </rPh>
    <phoneticPr fontId="5"/>
  </si>
  <si>
    <t>金融機関予備28</t>
    <rPh sb="0" eb="2">
      <t>キンユウ</t>
    </rPh>
    <rPh sb="2" eb="4">
      <t>キカン</t>
    </rPh>
    <rPh sb="4" eb="6">
      <t>ヨビ</t>
    </rPh>
    <phoneticPr fontId="5"/>
  </si>
  <si>
    <t>金融機関予備29</t>
    <rPh sb="0" eb="2">
      <t>キンユウ</t>
    </rPh>
    <rPh sb="2" eb="4">
      <t>キカン</t>
    </rPh>
    <rPh sb="4" eb="6">
      <t>ヨビ</t>
    </rPh>
    <phoneticPr fontId="5"/>
  </si>
  <si>
    <t>金融機関予備30</t>
    <rPh sb="0" eb="2">
      <t>キンユウ</t>
    </rPh>
    <rPh sb="2" eb="4">
      <t>キカン</t>
    </rPh>
    <rPh sb="4" eb="6">
      <t>ヨビ</t>
    </rPh>
    <phoneticPr fontId="5"/>
  </si>
  <si>
    <t>金融機関予備31</t>
    <rPh sb="0" eb="2">
      <t>キンユウ</t>
    </rPh>
    <rPh sb="2" eb="4">
      <t>キカン</t>
    </rPh>
    <rPh sb="4" eb="6">
      <t>ヨビ</t>
    </rPh>
    <phoneticPr fontId="5"/>
  </si>
  <si>
    <t>金融機関予備32</t>
    <rPh sb="0" eb="2">
      <t>キンユウ</t>
    </rPh>
    <rPh sb="2" eb="4">
      <t>キカン</t>
    </rPh>
    <rPh sb="4" eb="6">
      <t>ヨビ</t>
    </rPh>
    <phoneticPr fontId="5"/>
  </si>
  <si>
    <t>金融機関予備33</t>
    <rPh sb="0" eb="2">
      <t>キンユウ</t>
    </rPh>
    <rPh sb="2" eb="4">
      <t>キカン</t>
    </rPh>
    <rPh sb="4" eb="6">
      <t>ヨビ</t>
    </rPh>
    <phoneticPr fontId="5"/>
  </si>
  <si>
    <t>金融機関予備34</t>
    <rPh sb="0" eb="2">
      <t>キンユウ</t>
    </rPh>
    <rPh sb="2" eb="4">
      <t>キカン</t>
    </rPh>
    <rPh sb="4" eb="6">
      <t>ヨビ</t>
    </rPh>
    <phoneticPr fontId="5"/>
  </si>
  <si>
    <t>金融機関予備35</t>
    <rPh sb="0" eb="2">
      <t>キンユウ</t>
    </rPh>
    <rPh sb="2" eb="4">
      <t>キカン</t>
    </rPh>
    <rPh sb="4" eb="6">
      <t>ヨビ</t>
    </rPh>
    <phoneticPr fontId="5"/>
  </si>
  <si>
    <t>金融機関予備36</t>
    <rPh sb="0" eb="2">
      <t>キンユウ</t>
    </rPh>
    <rPh sb="2" eb="4">
      <t>キカン</t>
    </rPh>
    <rPh sb="4" eb="6">
      <t>ヨビ</t>
    </rPh>
    <phoneticPr fontId="5"/>
  </si>
  <si>
    <t>金融機関予備37</t>
    <rPh sb="0" eb="2">
      <t>キンユウ</t>
    </rPh>
    <rPh sb="2" eb="4">
      <t>キカン</t>
    </rPh>
    <rPh sb="4" eb="6">
      <t>ヨビ</t>
    </rPh>
    <phoneticPr fontId="5"/>
  </si>
  <si>
    <t>金融機関予備38</t>
    <rPh sb="0" eb="2">
      <t>キンユウ</t>
    </rPh>
    <rPh sb="2" eb="4">
      <t>キカン</t>
    </rPh>
    <rPh sb="4" eb="6">
      <t>ヨビ</t>
    </rPh>
    <phoneticPr fontId="5"/>
  </si>
  <si>
    <t>金融機関予備39</t>
    <rPh sb="0" eb="2">
      <t>キンユウ</t>
    </rPh>
    <rPh sb="2" eb="4">
      <t>キカン</t>
    </rPh>
    <rPh sb="4" eb="6">
      <t>ヨビ</t>
    </rPh>
    <phoneticPr fontId="5"/>
  </si>
  <si>
    <t>金融機関予備40</t>
    <rPh sb="0" eb="2">
      <t>キンユウ</t>
    </rPh>
    <rPh sb="2" eb="4">
      <t>キカン</t>
    </rPh>
    <rPh sb="4" eb="6">
      <t>ヨビ</t>
    </rPh>
    <phoneticPr fontId="5"/>
  </si>
  <si>
    <t>金融機関予備41</t>
    <rPh sb="0" eb="2">
      <t>キンユウ</t>
    </rPh>
    <rPh sb="2" eb="4">
      <t>キカン</t>
    </rPh>
    <rPh sb="4" eb="6">
      <t>ヨビ</t>
    </rPh>
    <phoneticPr fontId="5"/>
  </si>
  <si>
    <t>金融機関予備42</t>
    <rPh sb="0" eb="2">
      <t>キンユウ</t>
    </rPh>
    <rPh sb="2" eb="4">
      <t>キカン</t>
    </rPh>
    <rPh sb="4" eb="6">
      <t>ヨビ</t>
    </rPh>
    <phoneticPr fontId="5"/>
  </si>
  <si>
    <t>金融機関予備43</t>
    <rPh sb="0" eb="2">
      <t>キンユウ</t>
    </rPh>
    <rPh sb="2" eb="4">
      <t>キカン</t>
    </rPh>
    <rPh sb="4" eb="6">
      <t>ヨビ</t>
    </rPh>
    <phoneticPr fontId="5"/>
  </si>
  <si>
    <t>金融機関予備44</t>
    <rPh sb="0" eb="2">
      <t>キンユウ</t>
    </rPh>
    <rPh sb="2" eb="4">
      <t>キカン</t>
    </rPh>
    <rPh sb="4" eb="6">
      <t>ヨビ</t>
    </rPh>
    <phoneticPr fontId="5"/>
  </si>
  <si>
    <t>金融機関予備45</t>
    <rPh sb="0" eb="2">
      <t>キンユウ</t>
    </rPh>
    <rPh sb="2" eb="4">
      <t>キカン</t>
    </rPh>
    <rPh sb="4" eb="6">
      <t>ヨビ</t>
    </rPh>
    <phoneticPr fontId="5"/>
  </si>
  <si>
    <t>金融機関予備46</t>
    <rPh sb="0" eb="2">
      <t>キンユウ</t>
    </rPh>
    <rPh sb="2" eb="4">
      <t>キカン</t>
    </rPh>
    <rPh sb="4" eb="6">
      <t>ヨビ</t>
    </rPh>
    <phoneticPr fontId="5"/>
  </si>
  <si>
    <t>金融機関予備47</t>
    <rPh sb="0" eb="2">
      <t>キンユウ</t>
    </rPh>
    <rPh sb="2" eb="4">
      <t>キカン</t>
    </rPh>
    <rPh sb="4" eb="6">
      <t>ヨビ</t>
    </rPh>
    <phoneticPr fontId="5"/>
  </si>
  <si>
    <t>金融機関予備48</t>
    <rPh sb="0" eb="2">
      <t>キンユウ</t>
    </rPh>
    <rPh sb="2" eb="4">
      <t>キカン</t>
    </rPh>
    <rPh sb="4" eb="6">
      <t>ヨビ</t>
    </rPh>
    <phoneticPr fontId="5"/>
  </si>
  <si>
    <t>金融機関予備49</t>
    <rPh sb="0" eb="2">
      <t>キンユウ</t>
    </rPh>
    <rPh sb="2" eb="4">
      <t>キカン</t>
    </rPh>
    <rPh sb="4" eb="6">
      <t>ヨビ</t>
    </rPh>
    <phoneticPr fontId="5"/>
  </si>
  <si>
    <t>金融機関予備50</t>
    <rPh sb="0" eb="2">
      <t>キンユウ</t>
    </rPh>
    <rPh sb="2" eb="4">
      <t>キカン</t>
    </rPh>
    <rPh sb="4" eb="6">
      <t>ヨビ</t>
    </rPh>
    <phoneticPr fontId="5"/>
  </si>
  <si>
    <t>金融機関予備51</t>
    <rPh sb="0" eb="2">
      <t>キンユウ</t>
    </rPh>
    <rPh sb="2" eb="4">
      <t>キカン</t>
    </rPh>
    <rPh sb="4" eb="6">
      <t>ヨビ</t>
    </rPh>
    <phoneticPr fontId="5"/>
  </si>
  <si>
    <t>金融機関予備52</t>
    <rPh sb="0" eb="2">
      <t>キンユウ</t>
    </rPh>
    <rPh sb="2" eb="4">
      <t>キカン</t>
    </rPh>
    <rPh sb="4" eb="6">
      <t>ヨビ</t>
    </rPh>
    <phoneticPr fontId="5"/>
  </si>
  <si>
    <t>金融機関予備53</t>
    <rPh sb="0" eb="2">
      <t>キンユウ</t>
    </rPh>
    <rPh sb="2" eb="4">
      <t>キカン</t>
    </rPh>
    <rPh sb="4" eb="6">
      <t>ヨビ</t>
    </rPh>
    <phoneticPr fontId="5"/>
  </si>
  <si>
    <t>金融機関予備54</t>
    <rPh sb="0" eb="2">
      <t>キンユウ</t>
    </rPh>
    <rPh sb="2" eb="4">
      <t>キカン</t>
    </rPh>
    <rPh sb="4" eb="6">
      <t>ヨビ</t>
    </rPh>
    <phoneticPr fontId="5"/>
  </si>
  <si>
    <t>金融機関予備55</t>
    <rPh sb="0" eb="2">
      <t>キンユウ</t>
    </rPh>
    <rPh sb="2" eb="4">
      <t>キカン</t>
    </rPh>
    <rPh sb="4" eb="6">
      <t>ヨビ</t>
    </rPh>
    <phoneticPr fontId="5"/>
  </si>
  <si>
    <t>金融機関予備56</t>
    <rPh sb="0" eb="2">
      <t>キンユウ</t>
    </rPh>
    <rPh sb="2" eb="4">
      <t>キカン</t>
    </rPh>
    <rPh sb="4" eb="6">
      <t>ヨビ</t>
    </rPh>
    <phoneticPr fontId="5"/>
  </si>
  <si>
    <t>金融機関予備57</t>
    <rPh sb="0" eb="2">
      <t>キンユウ</t>
    </rPh>
    <rPh sb="2" eb="4">
      <t>キカン</t>
    </rPh>
    <rPh sb="4" eb="6">
      <t>ヨビ</t>
    </rPh>
    <phoneticPr fontId="5"/>
  </si>
  <si>
    <t>金融機関予備58</t>
    <rPh sb="0" eb="2">
      <t>キンユウ</t>
    </rPh>
    <rPh sb="2" eb="4">
      <t>キカン</t>
    </rPh>
    <rPh sb="4" eb="6">
      <t>ヨビ</t>
    </rPh>
    <phoneticPr fontId="5"/>
  </si>
  <si>
    <t>不動産購入</t>
    <rPh sb="0" eb="3">
      <t>フドウサン</t>
    </rPh>
    <rPh sb="3" eb="5">
      <t>コウニュウ</t>
    </rPh>
    <phoneticPr fontId="8"/>
  </si>
  <si>
    <t>借入一覧</t>
    <rPh sb="0" eb="2">
      <t>カリイレ</t>
    </rPh>
    <rPh sb="2" eb="4">
      <t>イチラン</t>
    </rPh>
    <phoneticPr fontId="5"/>
  </si>
  <si>
    <t>使途ID</t>
    <phoneticPr fontId="5"/>
  </si>
  <si>
    <t>変更不可</t>
    <rPh sb="0" eb="2">
      <t>ヘンコウ</t>
    </rPh>
    <rPh sb="2" eb="4">
      <t>フカ</t>
    </rPh>
    <phoneticPr fontId="5"/>
  </si>
  <si>
    <t>修繕資金</t>
    <rPh sb="0" eb="2">
      <t>シュウゼン</t>
    </rPh>
    <rPh sb="2" eb="4">
      <t>シキン</t>
    </rPh>
    <phoneticPr fontId="8"/>
  </si>
  <si>
    <t>運転資金</t>
    <rPh sb="0" eb="2">
      <t>ウンテン</t>
    </rPh>
    <rPh sb="2" eb="4">
      <t>シキン</t>
    </rPh>
    <phoneticPr fontId="5"/>
  </si>
  <si>
    <t>他業借入</t>
    <rPh sb="0" eb="2">
      <t>タギョウ</t>
    </rPh>
    <rPh sb="2" eb="4">
      <t>カリイレ</t>
    </rPh>
    <phoneticPr fontId="5"/>
  </si>
  <si>
    <t>住宅ローン</t>
    <rPh sb="0" eb="2">
      <t>ジュウタク</t>
    </rPh>
    <phoneticPr fontId="5"/>
  </si>
  <si>
    <t>親族借入</t>
    <rPh sb="0" eb="4">
      <t>シンゾクカリイレ</t>
    </rPh>
    <phoneticPr fontId="5"/>
  </si>
  <si>
    <t>その他(間接部門)</t>
    <rPh sb="2" eb="3">
      <t>タ</t>
    </rPh>
    <rPh sb="4" eb="6">
      <t>カンセツ</t>
    </rPh>
    <rPh sb="6" eb="8">
      <t>ブモン</t>
    </rPh>
    <phoneticPr fontId="5"/>
  </si>
  <si>
    <t>その他(賃貸部門)</t>
    <rPh sb="2" eb="3">
      <t>タ</t>
    </rPh>
    <rPh sb="4" eb="6">
      <t>チンタイ</t>
    </rPh>
    <rPh sb="6" eb="8">
      <t>ブモン</t>
    </rPh>
    <phoneticPr fontId="5"/>
  </si>
  <si>
    <t>無担保</t>
    <rPh sb="0" eb="3">
      <t>ムタンポ</t>
    </rPh>
    <phoneticPr fontId="5"/>
  </si>
  <si>
    <t>担保物件ID</t>
    <rPh sb="0" eb="2">
      <t>タンポ</t>
    </rPh>
    <rPh sb="2" eb="4">
      <t>ブッケン</t>
    </rPh>
    <phoneticPr fontId="5"/>
  </si>
  <si>
    <t>預金担保</t>
    <rPh sb="0" eb="2">
      <t>ヨキン</t>
    </rPh>
    <rPh sb="2" eb="4">
      <t>タンポ</t>
    </rPh>
    <phoneticPr fontId="5"/>
  </si>
  <si>
    <t>ユーザー定義担保物件</t>
    <rPh sb="4" eb="6">
      <t>テイギ</t>
    </rPh>
    <rPh sb="6" eb="8">
      <t>タンポ</t>
    </rPh>
    <rPh sb="8" eb="10">
      <t>ブッケン</t>
    </rPh>
    <phoneticPr fontId="5"/>
  </si>
  <si>
    <t>対象物件なし(運転資金)</t>
    <rPh sb="0" eb="2">
      <t>タイショウ</t>
    </rPh>
    <rPh sb="2" eb="4">
      <t>ブッケン</t>
    </rPh>
    <rPh sb="7" eb="11">
      <t>ウンテンシキン</t>
    </rPh>
    <phoneticPr fontId="5"/>
  </si>
  <si>
    <t>対象物件ID</t>
    <rPh sb="0" eb="4">
      <t>タイショウブッケン</t>
    </rPh>
    <phoneticPr fontId="5"/>
  </si>
  <si>
    <t>複数の物件一括</t>
    <rPh sb="0" eb="2">
      <t>フクスウ</t>
    </rPh>
    <rPh sb="3" eb="5">
      <t>ブッケン</t>
    </rPh>
    <rPh sb="5" eb="7">
      <t>イッカツ</t>
    </rPh>
    <phoneticPr fontId="5"/>
  </si>
  <si>
    <t>ユーザー定義対象物件</t>
    <rPh sb="4" eb="6">
      <t>テイギ</t>
    </rPh>
    <rPh sb="6" eb="10">
      <t>タイショウブッケン</t>
    </rPh>
    <phoneticPr fontId="5"/>
  </si>
  <si>
    <t>賃料一覧</t>
    <rPh sb="0" eb="2">
      <t>チンリョウ</t>
    </rPh>
    <rPh sb="2" eb="4">
      <t>イチラン</t>
    </rPh>
    <phoneticPr fontId="5"/>
  </si>
  <si>
    <t>クラスID</t>
    <phoneticPr fontId="5"/>
  </si>
  <si>
    <t>オペレーショナル</t>
  </si>
  <si>
    <t>ユーザー設定クラス</t>
    <rPh sb="4" eb="6">
      <t>セッテイ</t>
    </rPh>
    <phoneticPr fontId="5"/>
  </si>
  <si>
    <t>火災保険料</t>
    <rPh sb="0" eb="2">
      <t>カサイ</t>
    </rPh>
    <rPh sb="2" eb="5">
      <t>ホケンリョウ</t>
    </rPh>
    <phoneticPr fontId="8"/>
  </si>
  <si>
    <t>水道料金</t>
    <rPh sb="0" eb="2">
      <t>スイドウ</t>
    </rPh>
    <rPh sb="2" eb="4">
      <t>リョウキン</t>
    </rPh>
    <phoneticPr fontId="4"/>
  </si>
  <si>
    <t>電気料金(電灯)</t>
    <rPh sb="5" eb="7">
      <t>デントウ</t>
    </rPh>
    <phoneticPr fontId="5"/>
  </si>
  <si>
    <t>電気料金(低圧)</t>
    <rPh sb="5" eb="7">
      <t>テイアツ</t>
    </rPh>
    <phoneticPr fontId="5"/>
  </si>
  <si>
    <t>建物管理料</t>
    <rPh sb="0" eb="2">
      <t>タテモノ</t>
    </rPh>
    <rPh sb="2" eb="5">
      <t>カンリリョウ</t>
    </rPh>
    <phoneticPr fontId="4"/>
  </si>
  <si>
    <t>区分管理費</t>
    <rPh sb="0" eb="2">
      <t>クブン</t>
    </rPh>
    <rPh sb="2" eb="5">
      <t>カンリヒ</t>
    </rPh>
    <phoneticPr fontId="4"/>
  </si>
  <si>
    <t>区分修繕積立金</t>
    <rPh sb="0" eb="2">
      <t>クブン</t>
    </rPh>
    <rPh sb="2" eb="4">
      <t>シュウゼン</t>
    </rPh>
    <rPh sb="4" eb="5">
      <t>ツ</t>
    </rPh>
    <rPh sb="5" eb="6">
      <t>タ</t>
    </rPh>
    <rPh sb="6" eb="7">
      <t>キン</t>
    </rPh>
    <phoneticPr fontId="4"/>
  </si>
  <si>
    <t>その他</t>
    <rPh sb="2" eb="3">
      <t>タ</t>
    </rPh>
    <phoneticPr fontId="4"/>
  </si>
  <si>
    <t>立替金</t>
    <rPh sb="0" eb="3">
      <t>タテカエキン</t>
    </rPh>
    <phoneticPr fontId="4"/>
  </si>
  <si>
    <t>ユーザー設定BM費用</t>
    <rPh sb="4" eb="6">
      <t>セッテイ</t>
    </rPh>
    <rPh sb="8" eb="10">
      <t>ヒヨウ</t>
    </rPh>
    <phoneticPr fontId="5"/>
  </si>
  <si>
    <t>土地</t>
    <rPh sb="0" eb="2">
      <t>トチ</t>
    </rPh>
    <phoneticPr fontId="5"/>
  </si>
  <si>
    <t>筆一覧</t>
    <rPh sb="0" eb="3">
      <t>フデイチラン</t>
    </rPh>
    <phoneticPr fontId="5"/>
  </si>
  <si>
    <t>土地(道路)</t>
    <rPh sb="0" eb="2">
      <t>トチ</t>
    </rPh>
    <rPh sb="3" eb="5">
      <t>ドウロ</t>
    </rPh>
    <phoneticPr fontId="5"/>
  </si>
  <si>
    <t>土地(私道)</t>
    <rPh sb="0" eb="2">
      <t>トチ</t>
    </rPh>
    <rPh sb="3" eb="5">
      <t>シドウ</t>
    </rPh>
    <phoneticPr fontId="5"/>
  </si>
  <si>
    <t>建物</t>
    <rPh sb="0" eb="2">
      <t>タテモノ</t>
    </rPh>
    <phoneticPr fontId="4"/>
  </si>
  <si>
    <t>ユーザー設定資産クラス</t>
    <rPh sb="4" eb="6">
      <t>セッテイ</t>
    </rPh>
    <rPh sb="6" eb="8">
      <t>シサン</t>
    </rPh>
    <phoneticPr fontId="5"/>
  </si>
  <si>
    <t>共同担保</t>
    <rPh sb="0" eb="2">
      <t>キョウドウ</t>
    </rPh>
    <rPh sb="2" eb="4">
      <t>タンポ</t>
    </rPh>
    <phoneticPr fontId="5"/>
  </si>
  <si>
    <t>担保提供種別</t>
    <rPh sb="0" eb="2">
      <t>タンポ</t>
    </rPh>
    <rPh sb="2" eb="4">
      <t>テイキョウ</t>
    </rPh>
    <rPh sb="4" eb="6">
      <t>シュベツ</t>
    </rPh>
    <phoneticPr fontId="5"/>
  </si>
  <si>
    <t>第一抵当</t>
    <rPh sb="0" eb="2">
      <t>ダイイチ</t>
    </rPh>
    <rPh sb="2" eb="4">
      <t>テイトウ</t>
    </rPh>
    <phoneticPr fontId="5"/>
  </si>
  <si>
    <t>第二抵当</t>
    <rPh sb="0" eb="2">
      <t>ダイニ</t>
    </rPh>
    <rPh sb="2" eb="4">
      <t>テイトウ</t>
    </rPh>
    <phoneticPr fontId="5"/>
  </si>
  <si>
    <t>第三抵当</t>
    <rPh sb="0" eb="2">
      <t>ダイサン</t>
    </rPh>
    <rPh sb="2" eb="4">
      <t>テイトウ</t>
    </rPh>
    <phoneticPr fontId="5"/>
  </si>
  <si>
    <t>第四抵当</t>
    <rPh sb="0" eb="2">
      <t>ダイシ</t>
    </rPh>
    <rPh sb="2" eb="4">
      <t>テイトウ</t>
    </rPh>
    <phoneticPr fontId="5"/>
  </si>
  <si>
    <t>ユーザー設定担保提供種別</t>
    <rPh sb="4" eb="6">
      <t>セッテイ</t>
    </rPh>
    <rPh sb="6" eb="8">
      <t>タンポ</t>
    </rPh>
    <rPh sb="8" eb="10">
      <t>テイキョウ</t>
    </rPh>
    <rPh sb="10" eb="12">
      <t>シュベツ</t>
    </rPh>
    <phoneticPr fontId="5"/>
  </si>
  <si>
    <t>元利均等</t>
    <phoneticPr fontId="5"/>
  </si>
  <si>
    <t>返済方法</t>
    <rPh sb="0" eb="2">
      <t>ヘンサイ</t>
    </rPh>
    <rPh sb="2" eb="4">
      <t>ホウホウ</t>
    </rPh>
    <phoneticPr fontId="5"/>
  </si>
  <si>
    <t>予約語</t>
    <rPh sb="0" eb="3">
      <t>ヨヤクゴ</t>
    </rPh>
    <phoneticPr fontId="5"/>
  </si>
  <si>
    <t>元金均等</t>
    <phoneticPr fontId="5"/>
  </si>
  <si>
    <t>期日一括</t>
    <phoneticPr fontId="5"/>
  </si>
  <si>
    <t>金利スワップ</t>
    <phoneticPr fontId="5"/>
  </si>
  <si>
    <t>ユーザー定義返済方法</t>
    <rPh sb="4" eb="6">
      <t>テイギ</t>
    </rPh>
    <rPh sb="6" eb="8">
      <t>ヘンサイ</t>
    </rPh>
    <rPh sb="8" eb="10">
      <t>ホウホウ</t>
    </rPh>
    <phoneticPr fontId="5"/>
  </si>
  <si>
    <t>定額法</t>
  </si>
  <si>
    <t>定率法</t>
  </si>
  <si>
    <t>非償却</t>
    <phoneticPr fontId="5"/>
  </si>
  <si>
    <t>少額資産</t>
  </si>
  <si>
    <t>一括決算</t>
  </si>
  <si>
    <t>ユーザー設定償却方法</t>
    <rPh sb="4" eb="6">
      <t>セッテイ</t>
    </rPh>
    <rPh sb="6" eb="8">
      <t>ショウキャク</t>
    </rPh>
    <rPh sb="8" eb="10">
      <t>ホウホウ</t>
    </rPh>
    <phoneticPr fontId="5"/>
  </si>
  <si>
    <t>土地</t>
    <phoneticPr fontId="5"/>
  </si>
  <si>
    <t>建物</t>
    <phoneticPr fontId="5"/>
  </si>
  <si>
    <t>建物附属設備</t>
    <phoneticPr fontId="5"/>
  </si>
  <si>
    <t>器具備品</t>
    <phoneticPr fontId="5"/>
  </si>
  <si>
    <t>構築物</t>
    <phoneticPr fontId="5"/>
  </si>
  <si>
    <t>ユーザー設定資産種類</t>
    <rPh sb="4" eb="6">
      <t>セッテイ</t>
    </rPh>
    <rPh sb="6" eb="8">
      <t>シサン</t>
    </rPh>
    <rPh sb="8" eb="10">
      <t>シュルイ</t>
    </rPh>
    <phoneticPr fontId="5"/>
  </si>
  <si>
    <t>目白アパート1号2号_二棟一括</t>
    <rPh sb="0" eb="2">
      <t>メジロ</t>
    </rPh>
    <rPh sb="7" eb="8">
      <t>ゴウ</t>
    </rPh>
    <rPh sb="9" eb="10">
      <t>ゴウ</t>
    </rPh>
    <rPh sb="11" eb="12">
      <t>ニ</t>
    </rPh>
    <rPh sb="12" eb="13">
      <t>トウ</t>
    </rPh>
    <rPh sb="13" eb="15">
      <t>イッカツ</t>
    </rPh>
    <phoneticPr fontId="5"/>
  </si>
  <si>
    <t>賃貸資産以外の償却</t>
    <rPh sb="0" eb="2">
      <t>チンタイ</t>
    </rPh>
    <rPh sb="2" eb="4">
      <t>シサン</t>
    </rPh>
    <rPh sb="4" eb="6">
      <t>イガイ</t>
    </rPh>
    <rPh sb="7" eb="9">
      <t>ショウキャク</t>
    </rPh>
    <phoneticPr fontId="5"/>
  </si>
  <si>
    <t>物件情報入力</t>
    <rPh sb="0" eb="2">
      <t>ブッケン</t>
    </rPh>
    <rPh sb="2" eb="4">
      <t>ジョウホウ</t>
    </rPh>
    <rPh sb="4" eb="6">
      <t>ニュウリョク</t>
    </rPh>
    <phoneticPr fontId="5"/>
  </si>
  <si>
    <t>規則</t>
    <rPh sb="0" eb="2">
      <t>キソク</t>
    </rPh>
    <phoneticPr fontId="5"/>
  </si>
  <si>
    <t>入力</t>
    <rPh sb="0" eb="2">
      <t>ニュウリョク</t>
    </rPh>
    <phoneticPr fontId="5"/>
  </si>
  <si>
    <t>合計</t>
    <rPh sb="0" eb="2">
      <t>ゴウケイ</t>
    </rPh>
    <phoneticPr fontId="5"/>
  </si>
  <si>
    <t>物件1</t>
    <rPh sb="0" eb="2">
      <t>ブッケン</t>
    </rPh>
    <phoneticPr fontId="5"/>
  </si>
  <si>
    <t>物件2</t>
    <rPh sb="0" eb="2">
      <t>ブッケン</t>
    </rPh>
    <phoneticPr fontId="5"/>
  </si>
  <si>
    <t>物件3</t>
    <rPh sb="0" eb="2">
      <t>ブッケン</t>
    </rPh>
    <phoneticPr fontId="5"/>
  </si>
  <si>
    <t>物件4</t>
    <rPh sb="0" eb="2">
      <t>ブッケン</t>
    </rPh>
    <phoneticPr fontId="5"/>
  </si>
  <si>
    <t>物件5</t>
    <rPh sb="0" eb="2">
      <t>ブッケン</t>
    </rPh>
    <phoneticPr fontId="5"/>
  </si>
  <si>
    <t>物件6</t>
    <rPh sb="0" eb="2">
      <t>ブッケン</t>
    </rPh>
    <phoneticPr fontId="5"/>
  </si>
  <si>
    <t>物件7</t>
    <rPh sb="0" eb="2">
      <t>ブッケン</t>
    </rPh>
    <phoneticPr fontId="5"/>
  </si>
  <si>
    <t>物件8</t>
    <rPh sb="0" eb="2">
      <t>ブッケン</t>
    </rPh>
    <phoneticPr fontId="5"/>
  </si>
  <si>
    <t>物件9</t>
    <rPh sb="0" eb="2">
      <t>ブッケン</t>
    </rPh>
    <phoneticPr fontId="5"/>
  </si>
  <si>
    <t>物件10</t>
    <rPh sb="0" eb="2">
      <t>ブッケン</t>
    </rPh>
    <phoneticPr fontId="5"/>
  </si>
  <si>
    <t>物件11</t>
    <rPh sb="0" eb="2">
      <t>ブッケン</t>
    </rPh>
    <phoneticPr fontId="5"/>
  </si>
  <si>
    <t>物件12</t>
    <rPh sb="0" eb="2">
      <t>ブッケン</t>
    </rPh>
    <phoneticPr fontId="5"/>
  </si>
  <si>
    <t>物件13</t>
    <rPh sb="0" eb="2">
      <t>ブッケン</t>
    </rPh>
    <phoneticPr fontId="5"/>
  </si>
  <si>
    <t>物件14</t>
    <rPh sb="0" eb="2">
      <t>ブッケン</t>
    </rPh>
    <phoneticPr fontId="5"/>
  </si>
  <si>
    <t>物件15</t>
    <rPh sb="0" eb="2">
      <t>ブッケン</t>
    </rPh>
    <phoneticPr fontId="5"/>
  </si>
  <si>
    <t>物件16</t>
    <rPh sb="0" eb="2">
      <t>ブッケン</t>
    </rPh>
    <phoneticPr fontId="5"/>
  </si>
  <si>
    <t>物件17</t>
    <rPh sb="0" eb="2">
      <t>ブッケン</t>
    </rPh>
    <phoneticPr fontId="5"/>
  </si>
  <si>
    <t>物件18</t>
    <rPh sb="0" eb="2">
      <t>ブッケン</t>
    </rPh>
    <phoneticPr fontId="5"/>
  </si>
  <si>
    <t>物件19</t>
    <rPh sb="0" eb="2">
      <t>ブッケン</t>
    </rPh>
    <phoneticPr fontId="5"/>
  </si>
  <si>
    <t>物件20</t>
    <rPh sb="0" eb="2">
      <t>ブッケン</t>
    </rPh>
    <phoneticPr fontId="5"/>
  </si>
  <si>
    <t>物件21</t>
    <rPh sb="0" eb="2">
      <t>ブッケン</t>
    </rPh>
    <phoneticPr fontId="5"/>
  </si>
  <si>
    <t>物件22</t>
    <rPh sb="0" eb="2">
      <t>ブッケン</t>
    </rPh>
    <phoneticPr fontId="5"/>
  </si>
  <si>
    <t>物件23</t>
    <rPh sb="0" eb="2">
      <t>ブッケン</t>
    </rPh>
    <phoneticPr fontId="5"/>
  </si>
  <si>
    <t>物件24</t>
    <rPh sb="0" eb="2">
      <t>ブッケン</t>
    </rPh>
    <phoneticPr fontId="5"/>
  </si>
  <si>
    <t>物件25</t>
    <rPh sb="0" eb="2">
      <t>ブッケン</t>
    </rPh>
    <phoneticPr fontId="5"/>
  </si>
  <si>
    <t>物件26</t>
    <rPh sb="0" eb="2">
      <t>ブッケン</t>
    </rPh>
    <phoneticPr fontId="5"/>
  </si>
  <si>
    <t>物件27</t>
    <rPh sb="0" eb="2">
      <t>ブッケン</t>
    </rPh>
    <phoneticPr fontId="5"/>
  </si>
  <si>
    <t>物件28</t>
    <rPh sb="0" eb="2">
      <t>ブッケン</t>
    </rPh>
    <phoneticPr fontId="5"/>
  </si>
  <si>
    <t>物件29</t>
    <rPh sb="0" eb="2">
      <t>ブッケン</t>
    </rPh>
    <phoneticPr fontId="5"/>
  </si>
  <si>
    <t>物件30</t>
    <rPh sb="0" eb="2">
      <t>ブッケン</t>
    </rPh>
    <phoneticPr fontId="5"/>
  </si>
  <si>
    <t>物件31</t>
    <rPh sb="0" eb="2">
      <t>ブッケン</t>
    </rPh>
    <phoneticPr fontId="5"/>
  </si>
  <si>
    <t>物件32</t>
    <rPh sb="0" eb="2">
      <t>ブッケン</t>
    </rPh>
    <phoneticPr fontId="5"/>
  </si>
  <si>
    <t>物件33</t>
    <rPh sb="0" eb="2">
      <t>ブッケン</t>
    </rPh>
    <phoneticPr fontId="5"/>
  </si>
  <si>
    <t>物件34</t>
    <rPh sb="0" eb="2">
      <t>ブッケン</t>
    </rPh>
    <phoneticPr fontId="5"/>
  </si>
  <si>
    <t>物件35</t>
    <rPh sb="0" eb="2">
      <t>ブッケン</t>
    </rPh>
    <phoneticPr fontId="5"/>
  </si>
  <si>
    <t>物件36</t>
    <rPh sb="0" eb="2">
      <t>ブッケン</t>
    </rPh>
    <phoneticPr fontId="5"/>
  </si>
  <si>
    <t>物件37</t>
    <rPh sb="0" eb="2">
      <t>ブッケン</t>
    </rPh>
    <phoneticPr fontId="5"/>
  </si>
  <si>
    <t>物件38</t>
    <rPh sb="0" eb="2">
      <t>ブッケン</t>
    </rPh>
    <phoneticPr fontId="5"/>
  </si>
  <si>
    <t>物件39</t>
    <rPh sb="0" eb="2">
      <t>ブッケン</t>
    </rPh>
    <phoneticPr fontId="5"/>
  </si>
  <si>
    <t>物件40</t>
    <rPh sb="0" eb="2">
      <t>ブッケン</t>
    </rPh>
    <phoneticPr fontId="5"/>
  </si>
  <si>
    <t>物件41</t>
    <rPh sb="0" eb="2">
      <t>ブッケン</t>
    </rPh>
    <phoneticPr fontId="5"/>
  </si>
  <si>
    <t>物件42</t>
    <rPh sb="0" eb="2">
      <t>ブッケン</t>
    </rPh>
    <phoneticPr fontId="5"/>
  </si>
  <si>
    <t>物件43</t>
    <rPh sb="0" eb="2">
      <t>ブッケン</t>
    </rPh>
    <phoneticPr fontId="5"/>
  </si>
  <si>
    <t>物件44</t>
    <rPh sb="0" eb="2">
      <t>ブッケン</t>
    </rPh>
    <phoneticPr fontId="5"/>
  </si>
  <si>
    <t>物件45</t>
    <rPh sb="0" eb="2">
      <t>ブッケン</t>
    </rPh>
    <phoneticPr fontId="5"/>
  </si>
  <si>
    <t>物件46</t>
    <rPh sb="0" eb="2">
      <t>ブッケン</t>
    </rPh>
    <phoneticPr fontId="5"/>
  </si>
  <si>
    <t>物件47</t>
    <rPh sb="0" eb="2">
      <t>ブッケン</t>
    </rPh>
    <phoneticPr fontId="5"/>
  </si>
  <si>
    <t>物件48</t>
    <rPh sb="0" eb="2">
      <t>ブッケン</t>
    </rPh>
    <phoneticPr fontId="5"/>
  </si>
  <si>
    <t>物件49</t>
    <rPh sb="0" eb="2">
      <t>ブッケン</t>
    </rPh>
    <phoneticPr fontId="5"/>
  </si>
  <si>
    <t>物件50</t>
    <rPh sb="0" eb="2">
      <t>ブッケン</t>
    </rPh>
    <phoneticPr fontId="5"/>
  </si>
  <si>
    <t>物件51</t>
    <rPh sb="0" eb="2">
      <t>ブッケン</t>
    </rPh>
    <phoneticPr fontId="5"/>
  </si>
  <si>
    <t>物件52</t>
    <rPh sb="0" eb="2">
      <t>ブッケン</t>
    </rPh>
    <phoneticPr fontId="5"/>
  </si>
  <si>
    <t>物件53</t>
    <rPh sb="0" eb="2">
      <t>ブッケン</t>
    </rPh>
    <phoneticPr fontId="5"/>
  </si>
  <si>
    <t>物件54</t>
    <rPh sb="0" eb="2">
      <t>ブッケン</t>
    </rPh>
    <phoneticPr fontId="5"/>
  </si>
  <si>
    <t>物件55</t>
    <rPh sb="0" eb="2">
      <t>ブッケン</t>
    </rPh>
    <phoneticPr fontId="5"/>
  </si>
  <si>
    <t>物件56</t>
    <rPh sb="0" eb="2">
      <t>ブッケン</t>
    </rPh>
    <phoneticPr fontId="5"/>
  </si>
  <si>
    <t>物件57</t>
    <rPh sb="0" eb="2">
      <t>ブッケン</t>
    </rPh>
    <phoneticPr fontId="5"/>
  </si>
  <si>
    <t>物件58</t>
    <rPh sb="0" eb="2">
      <t>ブッケン</t>
    </rPh>
    <phoneticPr fontId="5"/>
  </si>
  <si>
    <t>物件59</t>
    <rPh sb="0" eb="2">
      <t>ブッケン</t>
    </rPh>
    <phoneticPr fontId="5"/>
  </si>
  <si>
    <t>物件60</t>
    <rPh sb="0" eb="2">
      <t>ブッケン</t>
    </rPh>
    <phoneticPr fontId="5"/>
  </si>
  <si>
    <t>物件61</t>
    <rPh sb="0" eb="2">
      <t>ブッケン</t>
    </rPh>
    <phoneticPr fontId="5"/>
  </si>
  <si>
    <t>物件62</t>
    <rPh sb="0" eb="2">
      <t>ブッケン</t>
    </rPh>
    <phoneticPr fontId="5"/>
  </si>
  <si>
    <t>物件63</t>
    <rPh sb="0" eb="2">
      <t>ブッケン</t>
    </rPh>
    <phoneticPr fontId="5"/>
  </si>
  <si>
    <t>物件64</t>
    <rPh sb="0" eb="2">
      <t>ブッケン</t>
    </rPh>
    <phoneticPr fontId="5"/>
  </si>
  <si>
    <t>物件65</t>
    <rPh sb="0" eb="2">
      <t>ブッケン</t>
    </rPh>
    <phoneticPr fontId="5"/>
  </si>
  <si>
    <t>物件66</t>
    <rPh sb="0" eb="2">
      <t>ブッケン</t>
    </rPh>
    <phoneticPr fontId="5"/>
  </si>
  <si>
    <t>物件67</t>
    <rPh sb="0" eb="2">
      <t>ブッケン</t>
    </rPh>
    <phoneticPr fontId="5"/>
  </si>
  <si>
    <t>物件68</t>
    <rPh sb="0" eb="2">
      <t>ブッケン</t>
    </rPh>
    <phoneticPr fontId="5"/>
  </si>
  <si>
    <t>物件69</t>
    <rPh sb="0" eb="2">
      <t>ブッケン</t>
    </rPh>
    <phoneticPr fontId="5"/>
  </si>
  <si>
    <t>物件70</t>
    <rPh sb="0" eb="2">
      <t>ブッケン</t>
    </rPh>
    <phoneticPr fontId="5"/>
  </si>
  <si>
    <t>物件71</t>
    <rPh sb="0" eb="2">
      <t>ブッケン</t>
    </rPh>
    <phoneticPr fontId="5"/>
  </si>
  <si>
    <t>物件72</t>
    <rPh sb="0" eb="2">
      <t>ブッケン</t>
    </rPh>
    <phoneticPr fontId="5"/>
  </si>
  <si>
    <t>物件73</t>
    <rPh sb="0" eb="2">
      <t>ブッケン</t>
    </rPh>
    <phoneticPr fontId="5"/>
  </si>
  <si>
    <t>物件74</t>
    <rPh sb="0" eb="2">
      <t>ブッケン</t>
    </rPh>
    <phoneticPr fontId="5"/>
  </si>
  <si>
    <t>物件75</t>
    <rPh sb="0" eb="2">
      <t>ブッケン</t>
    </rPh>
    <phoneticPr fontId="5"/>
  </si>
  <si>
    <t>物件設定</t>
    <rPh sb="2" eb="4">
      <t>セッテイ</t>
    </rPh>
    <phoneticPr fontId="5"/>
  </si>
  <si>
    <t>-</t>
    <phoneticPr fontId="5"/>
  </si>
  <si>
    <t>数値（3桁）</t>
    <rPh sb="0" eb="2">
      <t>スウチ</t>
    </rPh>
    <rPh sb="4" eb="5">
      <t>ケタ</t>
    </rPh>
    <phoneticPr fontId="5"/>
  </si>
  <si>
    <t>必須</t>
    <rPh sb="0" eb="2">
      <t>ヒッス</t>
    </rPh>
    <phoneticPr fontId="5"/>
  </si>
  <si>
    <t>売却済みフラグ</t>
    <rPh sb="0" eb="2">
      <t>バイキャク</t>
    </rPh>
    <rPh sb="2" eb="3">
      <t>ズ</t>
    </rPh>
    <phoneticPr fontId="5"/>
  </si>
  <si>
    <t>yes/no</t>
    <phoneticPr fontId="5"/>
  </si>
  <si>
    <t>no</t>
    <phoneticPr fontId="5"/>
  </si>
  <si>
    <t>yes</t>
    <phoneticPr fontId="5"/>
  </si>
  <si>
    <t>物件名称</t>
    <rPh sb="0" eb="2">
      <t>ブッケン</t>
    </rPh>
    <rPh sb="2" eb="4">
      <t>メイショウ</t>
    </rPh>
    <phoneticPr fontId="5"/>
  </si>
  <si>
    <t>物件概要</t>
  </si>
  <si>
    <t>所有法人ID</t>
    <rPh sb="0" eb="2">
      <t>ショユウ</t>
    </rPh>
    <rPh sb="2" eb="4">
      <t>ホウジン</t>
    </rPh>
    <phoneticPr fontId="5"/>
  </si>
  <si>
    <t>山手線「池袋」歩7分</t>
    <rPh sb="0" eb="2">
      <t>ヤマテ</t>
    </rPh>
    <rPh sb="2" eb="3">
      <t>セン</t>
    </rPh>
    <rPh sb="4" eb="6">
      <t>イケブクロ</t>
    </rPh>
    <rPh sb="9" eb="10">
      <t>フン</t>
    </rPh>
    <phoneticPr fontId="5"/>
  </si>
  <si>
    <t>山手線「池袋」歩8分</t>
    <rPh sb="0" eb="2">
      <t>ヤマテ</t>
    </rPh>
    <rPh sb="2" eb="3">
      <t>セン</t>
    </rPh>
    <rPh sb="4" eb="6">
      <t>イケブクロ</t>
    </rPh>
    <rPh sb="9" eb="10">
      <t>フン</t>
    </rPh>
    <phoneticPr fontId="5"/>
  </si>
  <si>
    <t>山手線「目白」歩10分</t>
    <rPh sb="0" eb="2">
      <t>ヤマテ</t>
    </rPh>
    <rPh sb="2" eb="3">
      <t>セン</t>
    </rPh>
    <rPh sb="4" eb="6">
      <t>メジロ</t>
    </rPh>
    <rPh sb="10" eb="11">
      <t>フン</t>
    </rPh>
    <phoneticPr fontId="5"/>
  </si>
  <si>
    <t>山手線「池袋」歩10分</t>
    <rPh sb="0" eb="2">
      <t>ヤマテ</t>
    </rPh>
    <rPh sb="2" eb="3">
      <t>セン</t>
    </rPh>
    <rPh sb="4" eb="6">
      <t>イケブクロ</t>
    </rPh>
    <rPh sb="10" eb="11">
      <t>フン</t>
    </rPh>
    <phoneticPr fontId="5"/>
  </si>
  <si>
    <t>西武池袋線｢椎名町｣歩7分</t>
    <rPh sb="0" eb="2">
      <t>セイブ</t>
    </rPh>
    <rPh sb="2" eb="4">
      <t>イケブクロ</t>
    </rPh>
    <rPh sb="4" eb="5">
      <t>セン</t>
    </rPh>
    <rPh sb="6" eb="9">
      <t>シイナマチ</t>
    </rPh>
    <rPh sb="10" eb="11">
      <t>アル</t>
    </rPh>
    <rPh sb="12" eb="13">
      <t>フン</t>
    </rPh>
    <phoneticPr fontId="5"/>
  </si>
  <si>
    <t>中央線「高円寺」
歩4分</t>
    <rPh sb="0" eb="2">
      <t>チュウオウ</t>
    </rPh>
    <rPh sb="2" eb="3">
      <t>セン</t>
    </rPh>
    <rPh sb="4" eb="7">
      <t>コウエンジ</t>
    </rPh>
    <rPh sb="9" eb="10">
      <t>ホ</t>
    </rPh>
    <rPh sb="11" eb="12">
      <t>フン</t>
    </rPh>
    <phoneticPr fontId="5"/>
  </si>
  <si>
    <t>東京メトロ副都心線「雑司ヶ谷」歩8分</t>
    <rPh sb="0" eb="2">
      <t>トウキョウ</t>
    </rPh>
    <rPh sb="5" eb="9">
      <t>フクトシンセン</t>
    </rPh>
    <rPh sb="10" eb="14">
      <t>ゾウシガヤ</t>
    </rPh>
    <rPh sb="15" eb="16">
      <t>ホ</t>
    </rPh>
    <rPh sb="17" eb="18">
      <t>フン</t>
    </rPh>
    <phoneticPr fontId="5"/>
  </si>
  <si>
    <t>東北本線「仙台」歩10分</t>
    <rPh sb="5" eb="7">
      <t>センダイ</t>
    </rPh>
    <rPh sb="8" eb="9">
      <t>ホ</t>
    </rPh>
    <rPh sb="11" eb="12">
      <t>フン</t>
    </rPh>
    <phoneticPr fontId="5"/>
  </si>
  <si>
    <t>御堂筋線「梅田」歩7分</t>
    <rPh sb="0" eb="4">
      <t>ミドウスジセン</t>
    </rPh>
    <rPh sb="5" eb="7">
      <t>ウメダ</t>
    </rPh>
    <rPh sb="8" eb="9">
      <t>ホ</t>
    </rPh>
    <rPh sb="10" eb="11">
      <t>フン</t>
    </rPh>
    <phoneticPr fontId="5"/>
  </si>
  <si>
    <t>田園都市線「青葉台」歩5分</t>
    <rPh sb="0" eb="2">
      <t>デンエン</t>
    </rPh>
    <rPh sb="2" eb="5">
      <t>トシセン</t>
    </rPh>
    <rPh sb="6" eb="9">
      <t>アオバダイ</t>
    </rPh>
    <rPh sb="10" eb="11">
      <t>ホ</t>
    </rPh>
    <rPh sb="12" eb="13">
      <t>フン</t>
    </rPh>
    <phoneticPr fontId="5"/>
  </si>
  <si>
    <t>山手線「池袋」歩10分
都電荒川線「雑司ヶ谷」歩5分</t>
    <rPh sb="0" eb="2">
      <t>ヤマテ</t>
    </rPh>
    <rPh sb="2" eb="3">
      <t>セン</t>
    </rPh>
    <rPh sb="4" eb="6">
      <t>イケブクロ</t>
    </rPh>
    <rPh sb="10" eb="11">
      <t>フン</t>
    </rPh>
    <rPh sb="18" eb="22">
      <t>ゾウシガヤ</t>
    </rPh>
    <rPh sb="23" eb="24">
      <t>ホ</t>
    </rPh>
    <rPh sb="25" eb="26">
      <t>フン</t>
    </rPh>
    <phoneticPr fontId="5"/>
  </si>
  <si>
    <t>豊島区西池袋3-7-21</t>
    <rPh sb="0" eb="3">
      <t>トシマク</t>
    </rPh>
    <rPh sb="3" eb="6">
      <t>ニシイケブクロ</t>
    </rPh>
    <phoneticPr fontId="5"/>
  </si>
  <si>
    <t>豊島区池袋6-1-22</t>
    <rPh sb="0" eb="3">
      <t>トシマク</t>
    </rPh>
    <rPh sb="3" eb="5">
      <t>イケブクロ</t>
    </rPh>
    <phoneticPr fontId="5"/>
  </si>
  <si>
    <t>文京区目白台7-1-19</t>
    <rPh sb="0" eb="3">
      <t>ブンキョウク</t>
    </rPh>
    <rPh sb="3" eb="6">
      <t>メジロダイ</t>
    </rPh>
    <phoneticPr fontId="5"/>
  </si>
  <si>
    <t>豊島区池袋9-2-1</t>
    <rPh sb="0" eb="3">
      <t>トシマク</t>
    </rPh>
    <rPh sb="3" eb="5">
      <t>イケブクロ</t>
    </rPh>
    <phoneticPr fontId="5"/>
  </si>
  <si>
    <t>豊島区目白6-11-21</t>
    <rPh sb="0" eb="3">
      <t>トシマク</t>
    </rPh>
    <rPh sb="3" eb="5">
      <t>メジロ</t>
    </rPh>
    <phoneticPr fontId="5"/>
  </si>
  <si>
    <t>杉並区高円寺9-1-6</t>
    <rPh sb="0" eb="3">
      <t>スギナミク</t>
    </rPh>
    <rPh sb="3" eb="6">
      <t>コウエンジ</t>
    </rPh>
    <phoneticPr fontId="5"/>
  </si>
  <si>
    <t>宮城県仙台市宮城野区名掛丁991-55</t>
    <phoneticPr fontId="5"/>
  </si>
  <si>
    <t>大阪府大阪市北区梅田3-9-9</t>
    <phoneticPr fontId="5"/>
  </si>
  <si>
    <t>神奈川県横浜市青葉区青葉台9-25-1</t>
    <phoneticPr fontId="5"/>
  </si>
  <si>
    <t>豊島区目白7-11-9</t>
    <rPh sb="0" eb="3">
      <t>トシマク</t>
    </rPh>
    <rPh sb="3" eb="5">
      <t>メジロ</t>
    </rPh>
    <phoneticPr fontId="5"/>
  </si>
  <si>
    <t>豊島区目白7-15-5</t>
    <rPh sb="0" eb="3">
      <t>トシマク</t>
    </rPh>
    <rPh sb="3" eb="5">
      <t>メジロ</t>
    </rPh>
    <phoneticPr fontId="5"/>
  </si>
  <si>
    <t>豊島区目白7-15-6</t>
    <rPh sb="0" eb="3">
      <t>トシマク</t>
    </rPh>
    <rPh sb="3" eb="5">
      <t>メジロ</t>
    </rPh>
    <phoneticPr fontId="5"/>
  </si>
  <si>
    <t>一棟</t>
    <rPh sb="0" eb="2">
      <t>イットウ</t>
    </rPh>
    <phoneticPr fontId="5"/>
  </si>
  <si>
    <t>区分</t>
    <rPh sb="0" eb="2">
      <t>クブン</t>
    </rPh>
    <phoneticPr fontId="5"/>
  </si>
  <si>
    <t>所有権</t>
    <rPh sb="0" eb="3">
      <t>ショユウケン</t>
    </rPh>
    <phoneticPr fontId="5"/>
  </si>
  <si>
    <t>借地権</t>
    <rPh sb="0" eb="3">
      <t>シャクチケン</t>
    </rPh>
    <phoneticPr fontId="5"/>
  </si>
  <si>
    <t>RC/B1F-4F</t>
    <phoneticPr fontId="5"/>
  </si>
  <si>
    <t>RC/B1F-3F</t>
    <phoneticPr fontId="5"/>
  </si>
  <si>
    <t>RC/1-6F</t>
    <phoneticPr fontId="5"/>
  </si>
  <si>
    <t>RC/1-5F</t>
    <phoneticPr fontId="5"/>
  </si>
  <si>
    <t>RC/B1-5F</t>
    <phoneticPr fontId="5"/>
  </si>
  <si>
    <t>鉄骨造/1-8F</t>
    <rPh sb="0" eb="3">
      <t>テッコツゾウ</t>
    </rPh>
    <phoneticPr fontId="5"/>
  </si>
  <si>
    <t>RC/1-11F</t>
    <phoneticPr fontId="5"/>
  </si>
  <si>
    <t>RC/1-4F</t>
    <phoneticPr fontId="5"/>
  </si>
  <si>
    <t>鉄骨/B1-3F</t>
    <rPh sb="0" eb="2">
      <t>テッコツ</t>
    </rPh>
    <phoneticPr fontId="5"/>
  </si>
  <si>
    <t>SRC/1-8F</t>
    <phoneticPr fontId="5"/>
  </si>
  <si>
    <t>鉄骨造/1-4F</t>
    <rPh sb="0" eb="3">
      <t>テッコツゾウ</t>
    </rPh>
    <phoneticPr fontId="5"/>
  </si>
  <si>
    <t>木造/B1-2F</t>
    <rPh sb="0" eb="2">
      <t>モクゾウ</t>
    </rPh>
    <phoneticPr fontId="5"/>
  </si>
  <si>
    <t>日付</t>
    <rPh sb="0" eb="2">
      <t>ヒヅケ</t>
    </rPh>
    <phoneticPr fontId="5"/>
  </si>
  <si>
    <t>長期保有</t>
    <rPh sb="0" eb="4">
      <t>チョウキホユウ</t>
    </rPh>
    <phoneticPr fontId="5"/>
  </si>
  <si>
    <t>短期転売</t>
    <rPh sb="0" eb="2">
      <t>タンキ</t>
    </rPh>
    <rPh sb="2" eb="4">
      <t>テンバイ</t>
    </rPh>
    <phoneticPr fontId="5"/>
  </si>
  <si>
    <t>大阪拠点</t>
    <rPh sb="0" eb="2">
      <t>オオサカ</t>
    </rPh>
    <rPh sb="2" eb="4">
      <t>キョテン</t>
    </rPh>
    <phoneticPr fontId="5"/>
  </si>
  <si>
    <t>社長自宅</t>
    <rPh sb="0" eb="2">
      <t>シャチョウ</t>
    </rPh>
    <rPh sb="2" eb="4">
      <t>ジタク</t>
    </rPh>
    <phoneticPr fontId="5"/>
  </si>
  <si>
    <t>賃貸資産当初購入価格</t>
    <rPh sb="0" eb="4">
      <t>チンタイシサン</t>
    </rPh>
    <rPh sb="4" eb="6">
      <t>トウショ</t>
    </rPh>
    <rPh sb="6" eb="8">
      <t>コウニュウ</t>
    </rPh>
    <rPh sb="8" eb="10">
      <t>カカク</t>
    </rPh>
    <phoneticPr fontId="5"/>
  </si>
  <si>
    <t>数値（\）</t>
    <rPh sb="0" eb="2">
      <t>スウチ</t>
    </rPh>
    <phoneticPr fontId="5"/>
  </si>
  <si>
    <t>駅前立地</t>
    <rPh sb="0" eb="2">
      <t>エキマエ</t>
    </rPh>
    <rPh sb="2" eb="4">
      <t>リッチ</t>
    </rPh>
    <phoneticPr fontId="5"/>
  </si>
  <si>
    <t>主たる借入</t>
    <rPh sb="0" eb="1">
      <t>シュ</t>
    </rPh>
    <phoneticPr fontId="5"/>
  </si>
  <si>
    <t>主たる融資ID</t>
    <rPh sb="0" eb="1">
      <t>シュ</t>
    </rPh>
    <rPh sb="3" eb="5">
      <t>ユウシ</t>
    </rPh>
    <phoneticPr fontId="5"/>
  </si>
  <si>
    <t>借入金融機関</t>
  </si>
  <si>
    <t>当初借入金額</t>
  </si>
  <si>
    <t>購入時自己資金</t>
  </si>
  <si>
    <t>金利</t>
  </si>
  <si>
    <t>融資期間</t>
  </si>
  <si>
    <t>借入返済</t>
    <rPh sb="0" eb="2">
      <t>カリイレ</t>
    </rPh>
    <phoneticPr fontId="5"/>
  </si>
  <si>
    <t>複数棟一括融資の名称</t>
    <rPh sb="0" eb="3">
      <t>フクスウトウ</t>
    </rPh>
    <rPh sb="3" eb="5">
      <t>イッカツ</t>
    </rPh>
    <rPh sb="5" eb="7">
      <t>ユウシ</t>
    </rPh>
    <rPh sb="8" eb="10">
      <t>メイショウ</t>
    </rPh>
    <phoneticPr fontId="5"/>
  </si>
  <si>
    <t>複数棟一括融資の按分率</t>
    <rPh sb="0" eb="3">
      <t>フクスウトウ</t>
    </rPh>
    <rPh sb="3" eb="5">
      <t>イッカツ</t>
    </rPh>
    <rPh sb="5" eb="7">
      <t>ユウシ</t>
    </rPh>
    <rPh sb="8" eb="11">
      <t>アンブンリツ</t>
    </rPh>
    <phoneticPr fontId="5"/>
  </si>
  <si>
    <t>数値（%）</t>
    <rPh sb="0" eb="2">
      <t>スウチ</t>
    </rPh>
    <phoneticPr fontId="5"/>
  </si>
  <si>
    <t>複数棟一括融資の残債</t>
    <rPh sb="0" eb="3">
      <t>フクスウトウ</t>
    </rPh>
    <rPh sb="3" eb="5">
      <t>イッカツ</t>
    </rPh>
    <rPh sb="5" eb="7">
      <t>ユウシ</t>
    </rPh>
    <rPh sb="8" eb="10">
      <t>ザンサイ</t>
    </rPh>
    <phoneticPr fontId="5"/>
  </si>
  <si>
    <t>物件ID単体に対する残債計</t>
    <rPh sb="0" eb="2">
      <t>ブッケン</t>
    </rPh>
    <rPh sb="4" eb="6">
      <t>タンタイ</t>
    </rPh>
    <rPh sb="7" eb="8">
      <t>タイ</t>
    </rPh>
    <rPh sb="10" eb="12">
      <t>ザンサイ</t>
    </rPh>
    <rPh sb="12" eb="13">
      <t>ケイ</t>
    </rPh>
    <phoneticPr fontId="5"/>
  </si>
  <si>
    <t>複数棟一括融資の金利(月額)</t>
    <rPh sb="0" eb="3">
      <t>フクスウトウ</t>
    </rPh>
    <rPh sb="3" eb="5">
      <t>イッカツ</t>
    </rPh>
    <rPh sb="5" eb="7">
      <t>ユウシ</t>
    </rPh>
    <phoneticPr fontId="5"/>
  </si>
  <si>
    <t>物件ID単体に対する金利計(月額)</t>
    <rPh sb="0" eb="2">
      <t>ブッケン</t>
    </rPh>
    <rPh sb="4" eb="6">
      <t>タンタイ</t>
    </rPh>
    <rPh sb="7" eb="8">
      <t>タイ</t>
    </rPh>
    <rPh sb="12" eb="13">
      <t>ケイ</t>
    </rPh>
    <rPh sb="14" eb="16">
      <t>ゲツガク</t>
    </rPh>
    <phoneticPr fontId="5"/>
  </si>
  <si>
    <t>複数棟一括融資の元金(月額)</t>
    <rPh sb="0" eb="3">
      <t>フクスウトウ</t>
    </rPh>
    <rPh sb="3" eb="5">
      <t>イッカツ</t>
    </rPh>
    <rPh sb="5" eb="7">
      <t>ユウシ</t>
    </rPh>
    <phoneticPr fontId="5"/>
  </si>
  <si>
    <t>物件ID単体に対する元金計(月額)</t>
    <rPh sb="0" eb="2">
      <t>ブッケン</t>
    </rPh>
    <rPh sb="4" eb="6">
      <t>タンタイ</t>
    </rPh>
    <rPh sb="7" eb="8">
      <t>タイ</t>
    </rPh>
    <rPh sb="12" eb="13">
      <t>ケイ</t>
    </rPh>
    <phoneticPr fontId="5"/>
  </si>
  <si>
    <t>評価額</t>
    <phoneticPr fontId="5"/>
  </si>
  <si>
    <t>固定資産税路線価</t>
  </si>
  <si>
    <t>相続税路線価</t>
  </si>
  <si>
    <t>580C</t>
    <phoneticPr fontId="5"/>
  </si>
  <si>
    <t>135D</t>
    <phoneticPr fontId="5"/>
  </si>
  <si>
    <t>430C</t>
    <phoneticPr fontId="5"/>
  </si>
  <si>
    <t>180D</t>
    <phoneticPr fontId="5"/>
  </si>
  <si>
    <t>770C</t>
    <phoneticPr fontId="5"/>
  </si>
  <si>
    <t>470C</t>
    <phoneticPr fontId="5"/>
  </si>
  <si>
    <t>270D</t>
    <phoneticPr fontId="5"/>
  </si>
  <si>
    <t>510C</t>
    <phoneticPr fontId="5"/>
  </si>
  <si>
    <t>530C</t>
    <phoneticPr fontId="5"/>
  </si>
  <si>
    <t>550D</t>
    <phoneticPr fontId="5"/>
  </si>
  <si>
    <t>620C</t>
    <phoneticPr fontId="5"/>
  </si>
  <si>
    <t>450C</t>
    <phoneticPr fontId="5"/>
  </si>
  <si>
    <t>460C</t>
    <phoneticPr fontId="5"/>
  </si>
  <si>
    <t>310D</t>
    <phoneticPr fontId="5"/>
  </si>
  <si>
    <t>760C</t>
    <phoneticPr fontId="5"/>
  </si>
  <si>
    <t>収益指標（参考値）</t>
  </si>
  <si>
    <t>想定売却表面利回り</t>
    <rPh sb="4" eb="6">
      <t>ヒョウメン</t>
    </rPh>
    <rPh sb="6" eb="8">
      <t>リマワ</t>
    </rPh>
    <phoneticPr fontId="5"/>
  </si>
  <si>
    <t>数値(%)</t>
    <rPh sb="0" eb="2">
      <t>スウチ</t>
    </rPh>
    <phoneticPr fontId="5"/>
  </si>
  <si>
    <t>想定物件時価</t>
  </si>
  <si>
    <t>賃貸設定</t>
    <rPh sb="0" eb="2">
      <t>チンタイ</t>
    </rPh>
    <rPh sb="2" eb="4">
      <t>セッテイ</t>
    </rPh>
    <phoneticPr fontId="5"/>
  </si>
  <si>
    <t>管理会社</t>
  </si>
  <si>
    <t>慶良間管理(株)</t>
    <rPh sb="0" eb="3">
      <t>ケラマ</t>
    </rPh>
    <rPh sb="3" eb="5">
      <t>カンリ</t>
    </rPh>
    <rPh sb="5" eb="8">
      <t>カブ</t>
    </rPh>
    <phoneticPr fontId="5"/>
  </si>
  <si>
    <t>自主管理</t>
    <rPh sb="0" eb="2">
      <t>ジシュ</t>
    </rPh>
    <phoneticPr fontId="5"/>
  </si>
  <si>
    <t>大阪住居管理(株)</t>
    <rPh sb="0" eb="2">
      <t>オオサカ</t>
    </rPh>
    <rPh sb="2" eb="4">
      <t>ジュウキョ</t>
    </rPh>
    <rPh sb="4" eb="6">
      <t>カンリ</t>
    </rPh>
    <rPh sb="6" eb="9">
      <t>カブ</t>
    </rPh>
    <phoneticPr fontId="5"/>
  </si>
  <si>
    <t>PM管理料率(税込)</t>
    <rPh sb="2" eb="5">
      <t>カンリリョウ</t>
    </rPh>
    <rPh sb="5" eb="6">
      <t>リツ</t>
    </rPh>
    <rPh sb="7" eb="9">
      <t>ゼイコミ</t>
    </rPh>
    <phoneticPr fontId="5"/>
  </si>
  <si>
    <t>平均入居年数(年)</t>
    <rPh sb="0" eb="2">
      <t>ヘイキン</t>
    </rPh>
    <rPh sb="2" eb="4">
      <t>ニュウキョ</t>
    </rPh>
    <rPh sb="4" eb="6">
      <t>ネンスウ</t>
    </rPh>
    <rPh sb="7" eb="8">
      <t>ネン</t>
    </rPh>
    <phoneticPr fontId="5"/>
  </si>
  <si>
    <t>数値</t>
    <rPh sb="0" eb="2">
      <t>スウチ</t>
    </rPh>
    <phoneticPr fontId="5"/>
  </si>
  <si>
    <t>募集にかかる平均期間（月）</t>
    <rPh sb="0" eb="2">
      <t>ボシュウ</t>
    </rPh>
    <rPh sb="6" eb="8">
      <t>ヘイキン</t>
    </rPh>
    <rPh sb="8" eb="10">
      <t>キカン</t>
    </rPh>
    <rPh sb="11" eb="12">
      <t>ツキ</t>
    </rPh>
    <phoneticPr fontId="5"/>
  </si>
  <si>
    <t>平均募集費用(カ月)</t>
    <rPh sb="0" eb="2">
      <t>ヘイキン</t>
    </rPh>
    <rPh sb="2" eb="4">
      <t>ボシュウ</t>
    </rPh>
    <rPh sb="4" eb="6">
      <t>ヒヨウ</t>
    </rPh>
    <phoneticPr fontId="5"/>
  </si>
  <si>
    <t>平均原状回復費用(カ月)</t>
    <rPh sb="0" eb="2">
      <t>ヘイキン</t>
    </rPh>
    <rPh sb="2" eb="4">
      <t>ゲンジョウ</t>
    </rPh>
    <rPh sb="4" eb="6">
      <t>カイフク</t>
    </rPh>
    <rPh sb="6" eb="8">
      <t>ヒヨウ</t>
    </rPh>
    <phoneticPr fontId="5"/>
  </si>
  <si>
    <t>満室想定賃料/年(非賃貸含む)</t>
    <rPh sb="12" eb="13">
      <t>フク</t>
    </rPh>
    <phoneticPr fontId="5"/>
  </si>
  <si>
    <t>満室想定賃料/年(非賃貸除く)</t>
  </si>
  <si>
    <t>想定入居率</t>
    <rPh sb="0" eb="2">
      <t>ソウテイ</t>
    </rPh>
    <rPh sb="2" eb="5">
      <t>ニュウキョリツ</t>
    </rPh>
    <phoneticPr fontId="5"/>
  </si>
  <si>
    <t>想定入居金額</t>
    <rPh sb="0" eb="2">
      <t>ソウテイ</t>
    </rPh>
    <rPh sb="2" eb="5">
      <t>ニュウキョキン</t>
    </rPh>
    <rPh sb="5" eb="6">
      <t>ガク</t>
    </rPh>
    <phoneticPr fontId="5"/>
  </si>
  <si>
    <t>現況賃料/年</t>
  </si>
  <si>
    <t>想定空室損</t>
    <rPh sb="0" eb="2">
      <t>ソウテイ</t>
    </rPh>
    <rPh sb="2" eb="4">
      <t>クウシツ</t>
    </rPh>
    <rPh sb="4" eb="5">
      <t>ゾン</t>
    </rPh>
    <phoneticPr fontId="5"/>
  </si>
  <si>
    <t>入居者管理料(PM)/年</t>
  </si>
  <si>
    <t>BM固定費等/年</t>
    <rPh sb="2" eb="5">
      <t>コテイヒ</t>
    </rPh>
    <rPh sb="5" eb="6">
      <t>トウ</t>
    </rPh>
    <phoneticPr fontId="5"/>
  </si>
  <si>
    <t>募集費用/年</t>
    <rPh sb="5" eb="6">
      <t>ネン</t>
    </rPh>
    <phoneticPr fontId="5"/>
  </si>
  <si>
    <t>修繕・原状回復費用/年</t>
    <rPh sb="7" eb="9">
      <t>ヒヨウ</t>
    </rPh>
    <rPh sb="10" eb="11">
      <t>ネン</t>
    </rPh>
    <phoneticPr fontId="5"/>
  </si>
  <si>
    <t>固定資産税+都市計画税</t>
    <rPh sb="0" eb="2">
      <t>コテイ</t>
    </rPh>
    <rPh sb="2" eb="5">
      <t>シサンゼイ</t>
    </rPh>
    <rPh sb="6" eb="11">
      <t>トシケイカクゼイ</t>
    </rPh>
    <phoneticPr fontId="5"/>
  </si>
  <si>
    <t>賃貸経費合計(空室損含む)</t>
    <rPh sb="0" eb="2">
      <t>チンタイ</t>
    </rPh>
    <rPh sb="2" eb="4">
      <t>ケイヒ</t>
    </rPh>
    <rPh sb="4" eb="6">
      <t>ゴウケイ</t>
    </rPh>
    <rPh sb="7" eb="9">
      <t>クウシツ</t>
    </rPh>
    <rPh sb="9" eb="10">
      <t>ゾン</t>
    </rPh>
    <rPh sb="10" eb="11">
      <t>フク</t>
    </rPh>
    <phoneticPr fontId="5"/>
  </si>
  <si>
    <t>賃貸経費率</t>
    <rPh sb="0" eb="2">
      <t>チンタイ</t>
    </rPh>
    <rPh sb="2" eb="5">
      <t>ケイヒリツ</t>
    </rPh>
    <phoneticPr fontId="5"/>
  </si>
  <si>
    <t>NOI/年</t>
    <phoneticPr fontId="5"/>
  </si>
  <si>
    <t>金利差引後利益(スプレッド)</t>
    <rPh sb="0" eb="2">
      <t>キンリ</t>
    </rPh>
    <rPh sb="2" eb="4">
      <t>サシヒキ</t>
    </rPh>
    <rPh sb="4" eb="5">
      <t>ゴ</t>
    </rPh>
    <rPh sb="5" eb="7">
      <t>リエキ</t>
    </rPh>
    <phoneticPr fontId="5"/>
  </si>
  <si>
    <t>減価償却</t>
    <rPh sb="0" eb="4">
      <t>ゲンカショウキャク</t>
    </rPh>
    <phoneticPr fontId="5"/>
  </si>
  <si>
    <t>想定税引前利益</t>
  </si>
  <si>
    <t>売却試算</t>
    <rPh sb="0" eb="2">
      <t>バイキャク</t>
    </rPh>
    <rPh sb="2" eb="4">
      <t>シサン</t>
    </rPh>
    <phoneticPr fontId="5"/>
  </si>
  <si>
    <t>簿価合計</t>
    <rPh sb="0" eb="2">
      <t>ボカ</t>
    </rPh>
    <rPh sb="2" eb="4">
      <t>ゴウケイ</t>
    </rPh>
    <phoneticPr fontId="5"/>
  </si>
  <si>
    <t>譲渡益課税</t>
  </si>
  <si>
    <t>解散価値</t>
  </si>
  <si>
    <t>印刷欄外メモ</t>
    <rPh sb="0" eb="2">
      <t>インサツ</t>
    </rPh>
    <rPh sb="2" eb="4">
      <t>ランガイ</t>
    </rPh>
    <phoneticPr fontId="5"/>
  </si>
  <si>
    <t>竣工図原本</t>
    <rPh sb="0" eb="3">
      <t>シュンコウズ</t>
    </rPh>
    <rPh sb="3" eb="5">
      <t>ゲンポン</t>
    </rPh>
    <phoneticPr fontId="5"/>
  </si>
  <si>
    <t>あり</t>
    <phoneticPr fontId="5"/>
  </si>
  <si>
    <t>構造計算書原本</t>
    <rPh sb="0" eb="2">
      <t>コウゾウ</t>
    </rPh>
    <rPh sb="2" eb="5">
      <t>ケイサンショ</t>
    </rPh>
    <rPh sb="5" eb="7">
      <t>ゲンポン</t>
    </rPh>
    <phoneticPr fontId="5"/>
  </si>
  <si>
    <t>非該当</t>
    <rPh sb="0" eb="3">
      <t>ヒガイトウ</t>
    </rPh>
    <phoneticPr fontId="5"/>
  </si>
  <si>
    <t>私道協定書原本</t>
    <rPh sb="0" eb="2">
      <t>シドウ</t>
    </rPh>
    <rPh sb="2" eb="5">
      <t>キョウテイショ</t>
    </rPh>
    <rPh sb="5" eb="7">
      <t>ゲンポン</t>
    </rPh>
    <phoneticPr fontId="5"/>
  </si>
  <si>
    <t>なし</t>
    <phoneticPr fontId="5"/>
  </si>
  <si>
    <t>その他協定書原本</t>
    <rPh sb="2" eb="3">
      <t>タ</t>
    </rPh>
    <rPh sb="3" eb="6">
      <t>キョウテイショ</t>
    </rPh>
    <rPh sb="6" eb="8">
      <t>ゲンポン</t>
    </rPh>
    <phoneticPr fontId="5"/>
  </si>
  <si>
    <t>筆界民民全確定済み</t>
    <rPh sb="0" eb="2">
      <t>ヒッカイ</t>
    </rPh>
    <rPh sb="2" eb="3">
      <t>ミン</t>
    </rPh>
    <rPh sb="3" eb="4">
      <t>ミン</t>
    </rPh>
    <rPh sb="4" eb="7">
      <t>ゼンカクテイ</t>
    </rPh>
    <rPh sb="5" eb="7">
      <t>カクテイ</t>
    </rPh>
    <rPh sb="7" eb="8">
      <t>ズ</t>
    </rPh>
    <phoneticPr fontId="5"/>
  </si>
  <si>
    <t>済み</t>
    <rPh sb="0" eb="1">
      <t>ス</t>
    </rPh>
    <phoneticPr fontId="5"/>
  </si>
  <si>
    <t>未済み</t>
    <rPh sb="0" eb="2">
      <t>ミス</t>
    </rPh>
    <phoneticPr fontId="5"/>
  </si>
  <si>
    <t>筆界官民全確定済み</t>
    <rPh sb="0" eb="2">
      <t>ヒッカイ</t>
    </rPh>
    <rPh sb="2" eb="3">
      <t>カン</t>
    </rPh>
    <rPh sb="3" eb="4">
      <t>ミン</t>
    </rPh>
    <rPh sb="4" eb="5">
      <t>ゼン</t>
    </rPh>
    <rPh sb="5" eb="7">
      <t>カクテイ</t>
    </rPh>
    <rPh sb="7" eb="8">
      <t>ズ</t>
    </rPh>
    <phoneticPr fontId="5"/>
  </si>
  <si>
    <t>筆界民隣地総数</t>
    <rPh sb="0" eb="2">
      <t>ヒッカイ</t>
    </rPh>
    <rPh sb="2" eb="3">
      <t>ミン</t>
    </rPh>
    <rPh sb="3" eb="5">
      <t>リンチ</t>
    </rPh>
    <rPh sb="5" eb="7">
      <t>ソウスウ</t>
    </rPh>
    <phoneticPr fontId="5"/>
  </si>
  <si>
    <t>定期消防点検指摘事項</t>
    <rPh sb="0" eb="2">
      <t>テイキ</t>
    </rPh>
    <rPh sb="2" eb="4">
      <t>ショウボウ</t>
    </rPh>
    <rPh sb="4" eb="6">
      <t>テンケン</t>
    </rPh>
    <rPh sb="6" eb="10">
      <t>シテキジコウ</t>
    </rPh>
    <phoneticPr fontId="5"/>
  </si>
  <si>
    <t>水質検査定期実施</t>
    <rPh sb="0" eb="2">
      <t>スイシツ</t>
    </rPh>
    <rPh sb="2" eb="4">
      <t>ケンサ</t>
    </rPh>
    <rPh sb="4" eb="6">
      <t>テイキ</t>
    </rPh>
    <rPh sb="6" eb="8">
      <t>ジッシ</t>
    </rPh>
    <phoneticPr fontId="5"/>
  </si>
  <si>
    <t>特殊建物定期調査</t>
    <phoneticPr fontId="5"/>
  </si>
  <si>
    <t>検査済証</t>
    <rPh sb="0" eb="2">
      <t>ケンサ</t>
    </rPh>
    <rPh sb="2" eb="3">
      <t>ズ</t>
    </rPh>
    <rPh sb="3" eb="4">
      <t>ショウ</t>
    </rPh>
    <phoneticPr fontId="5"/>
  </si>
  <si>
    <t>遵法性</t>
    <rPh sb="0" eb="2">
      <t>ジュンポウ</t>
    </rPh>
    <rPh sb="2" eb="3">
      <t>セイ</t>
    </rPh>
    <phoneticPr fontId="5"/>
  </si>
  <si>
    <t>適法</t>
    <rPh sb="0" eb="2">
      <t>テキホウ</t>
    </rPh>
    <phoneticPr fontId="5"/>
  </si>
  <si>
    <t>過去データ蓄積</t>
    <rPh sb="0" eb="2">
      <t>カコ</t>
    </rPh>
    <rPh sb="5" eb="7">
      <t>チクセキ</t>
    </rPh>
    <phoneticPr fontId="5"/>
  </si>
  <si>
    <t>R3固定資産税路線価</t>
    <phoneticPr fontId="5"/>
  </si>
  <si>
    <t>R3相続税路線価</t>
    <phoneticPr fontId="5"/>
  </si>
  <si>
    <t>R2固定資産税路線価</t>
    <phoneticPr fontId="5"/>
  </si>
  <si>
    <t>R2相続税路線価</t>
    <phoneticPr fontId="5"/>
  </si>
  <si>
    <t>R1固定資産税路線価</t>
    <phoneticPr fontId="5"/>
  </si>
  <si>
    <t>R1相続税路線価</t>
    <phoneticPr fontId="5"/>
  </si>
  <si>
    <t>グループ法人概要</t>
    <rPh sb="4" eb="6">
      <t>ホウジン</t>
    </rPh>
    <rPh sb="6" eb="8">
      <t>ガイヨウ</t>
    </rPh>
    <phoneticPr fontId="5"/>
  </si>
  <si>
    <t>グループ法人と個人</t>
    <rPh sb="4" eb="6">
      <t>ホウジン</t>
    </rPh>
    <rPh sb="7" eb="9">
      <t>コジン</t>
    </rPh>
    <phoneticPr fontId="5"/>
  </si>
  <si>
    <t>法人ID</t>
    <rPh sb="0" eb="2">
      <t>ホウジン</t>
    </rPh>
    <phoneticPr fontId="5"/>
  </si>
  <si>
    <t>会社名/氏名</t>
    <rPh sb="0" eb="3">
      <t>カイシャメイ</t>
    </rPh>
    <rPh sb="4" eb="6">
      <t>シメイ</t>
    </rPh>
    <phoneticPr fontId="5"/>
  </si>
  <si>
    <t>住所</t>
    <rPh sb="0" eb="2">
      <t>ジュウショ</t>
    </rPh>
    <phoneticPr fontId="5"/>
  </si>
  <si>
    <t>代表名</t>
    <rPh sb="0" eb="2">
      <t>ダイヒョウ</t>
    </rPh>
    <rPh sb="2" eb="3">
      <t>メイ</t>
    </rPh>
    <phoneticPr fontId="5"/>
  </si>
  <si>
    <t>役割</t>
    <rPh sb="0" eb="2">
      <t>ヤクワリ</t>
    </rPh>
    <phoneticPr fontId="5"/>
  </si>
  <si>
    <t>設立日/生年月日</t>
    <rPh sb="0" eb="3">
      <t>セツリツビ</t>
    </rPh>
    <rPh sb="4" eb="6">
      <t>セイネン</t>
    </rPh>
    <rPh sb="6" eb="8">
      <t>ガッピ</t>
    </rPh>
    <phoneticPr fontId="5"/>
  </si>
  <si>
    <t>資本金</t>
    <rPh sb="0" eb="3">
      <t>シホンキン</t>
    </rPh>
    <phoneticPr fontId="5"/>
  </si>
  <si>
    <t>決算期</t>
    <rPh sb="0" eb="3">
      <t>ケッサンキ</t>
    </rPh>
    <phoneticPr fontId="5"/>
  </si>
  <si>
    <t>前回決算の事業年度</t>
    <rPh sb="0" eb="2">
      <t>ゼンカイ</t>
    </rPh>
    <rPh sb="5" eb="7">
      <t>ジギョウ</t>
    </rPh>
    <rPh sb="7" eb="9">
      <t>ネンド</t>
    </rPh>
    <phoneticPr fontId="5"/>
  </si>
  <si>
    <t>株主</t>
    <rPh sb="0" eb="2">
      <t>カブヌシ</t>
    </rPh>
    <phoneticPr fontId="5"/>
  </si>
  <si>
    <t>法人番号</t>
    <rPh sb="0" eb="2">
      <t>ホウジン</t>
    </rPh>
    <rPh sb="2" eb="4">
      <t>バンゴウ</t>
    </rPh>
    <phoneticPr fontId="5"/>
  </si>
  <si>
    <t>令和4年消費税区分</t>
  </si>
  <si>
    <t>インボイス登録番号</t>
    <rPh sb="5" eb="7">
      <t>トウロク</t>
    </rPh>
    <rPh sb="7" eb="9">
      <t>バンゴウ</t>
    </rPh>
    <phoneticPr fontId="5"/>
  </si>
  <si>
    <t>東京都豊島区目白1丁目5番1号</t>
    <rPh sb="0" eb="3">
      <t>トウキョウト</t>
    </rPh>
    <rPh sb="3" eb="6">
      <t>トシマク</t>
    </rPh>
    <rPh sb="6" eb="8">
      <t>メジロ</t>
    </rPh>
    <rPh sb="9" eb="11">
      <t>チョウメ</t>
    </rPh>
    <rPh sb="12" eb="13">
      <t>バン</t>
    </rPh>
    <rPh sb="14" eb="15">
      <t>ゴウ</t>
    </rPh>
    <phoneticPr fontId="5"/>
  </si>
  <si>
    <t>代表</t>
    <rPh sb="0" eb="2">
      <t>ダイヒョウ</t>
    </rPh>
    <phoneticPr fontId="5"/>
  </si>
  <si>
    <t>-</t>
  </si>
  <si>
    <t>免税(給与所得のみ)</t>
    <rPh sb="0" eb="2">
      <t>メンゼイ</t>
    </rPh>
    <phoneticPr fontId="5"/>
  </si>
  <si>
    <t>妻(相続人)</t>
    <rPh sb="0" eb="1">
      <t>ツマ</t>
    </rPh>
    <rPh sb="2" eb="5">
      <t>ソウゾクニン</t>
    </rPh>
    <phoneticPr fontId="5"/>
  </si>
  <si>
    <t>子(相続人)</t>
    <rPh sb="0" eb="1">
      <t>コ</t>
    </rPh>
    <rPh sb="2" eb="5">
      <t>ソウゾクニン</t>
    </rPh>
    <phoneticPr fontId="5"/>
  </si>
  <si>
    <t>沖縄県国頭郡恩納村名嘉真1967-1</t>
    <phoneticPr fontId="5"/>
  </si>
  <si>
    <t>養子(相続人)</t>
    <rPh sb="0" eb="2">
      <t>ヨウシ</t>
    </rPh>
    <rPh sb="3" eb="6">
      <t>ソウゾクニン</t>
    </rPh>
    <phoneticPr fontId="5"/>
  </si>
  <si>
    <t>東京都豊島区西池袋3丁目7番6号</t>
    <rPh sb="0" eb="3">
      <t>トウキョウト</t>
    </rPh>
    <rPh sb="3" eb="6">
      <t>トシマク</t>
    </rPh>
    <rPh sb="6" eb="9">
      <t>ニシイケブクロ</t>
    </rPh>
    <rPh sb="10" eb="12">
      <t>チョウメ</t>
    </rPh>
    <rPh sb="13" eb="14">
      <t>バン</t>
    </rPh>
    <rPh sb="15" eb="16">
      <t>ゴウ</t>
    </rPh>
    <phoneticPr fontId="5"/>
  </si>
  <si>
    <t>玉川陽介</t>
    <rPh sb="0" eb="4">
      <t>ナマエ</t>
    </rPh>
    <phoneticPr fontId="5"/>
  </si>
  <si>
    <t>賃料回収等</t>
    <rPh sb="0" eb="2">
      <t>チンリョウ</t>
    </rPh>
    <rPh sb="2" eb="4">
      <t>カイシュウ</t>
    </rPh>
    <rPh sb="4" eb="5">
      <t>トウ</t>
    </rPh>
    <phoneticPr fontId="5"/>
  </si>
  <si>
    <t>12末</t>
    <rPh sb="2" eb="3">
      <t>スエ</t>
    </rPh>
    <phoneticPr fontId="5"/>
  </si>
  <si>
    <t>コアプラスHD 100%</t>
    <phoneticPr fontId="5"/>
  </si>
  <si>
    <t>1234567890123</t>
  </si>
  <si>
    <t>原則</t>
    <rPh sb="0" eb="2">
      <t>ゲンソク</t>
    </rPh>
    <phoneticPr fontId="5"/>
  </si>
  <si>
    <t>資産保有</t>
    <rPh sb="0" eb="2">
      <t>シサン</t>
    </rPh>
    <rPh sb="2" eb="4">
      <t>ホユウ</t>
    </rPh>
    <phoneticPr fontId="5"/>
  </si>
  <si>
    <t>2469135780246</t>
  </si>
  <si>
    <t>免税</t>
    <rPh sb="0" eb="2">
      <t>メンゼイ</t>
    </rPh>
    <phoneticPr fontId="5"/>
  </si>
  <si>
    <t>大阪市東淀川区西淡路1丁目1-9</t>
    <phoneticPr fontId="5"/>
  </si>
  <si>
    <t>大阪での資産保有</t>
    <rPh sb="0" eb="2">
      <t>オオサカ</t>
    </rPh>
    <rPh sb="4" eb="6">
      <t>シサン</t>
    </rPh>
    <rPh sb="6" eb="8">
      <t>ホユウ</t>
    </rPh>
    <phoneticPr fontId="5"/>
  </si>
  <si>
    <t>4938271560492</t>
  </si>
  <si>
    <t>簡易</t>
    <rPh sb="0" eb="2">
      <t>カンイ</t>
    </rPh>
    <phoneticPr fontId="5"/>
  </si>
  <si>
    <t>9876543120984</t>
  </si>
  <si>
    <t>1975308624196</t>
  </si>
  <si>
    <t>3950617248392</t>
  </si>
  <si>
    <t>7901234496784</t>
  </si>
  <si>
    <t>1580246899356</t>
  </si>
  <si>
    <t>3160493798712</t>
  </si>
  <si>
    <t>持株会社</t>
    <rPh sb="0" eb="4">
      <t>モチカブガイシャ</t>
    </rPh>
    <phoneticPr fontId="5"/>
  </si>
  <si>
    <t>玉川陽介 100%</t>
    <rPh sb="0" eb="4">
      <t>タマガワヨウスケ</t>
    </rPh>
    <phoneticPr fontId="5"/>
  </si>
  <si>
    <t>1580241299356</t>
  </si>
  <si>
    <t>解散</t>
    <rPh sb="0" eb="2">
      <t>カイサン</t>
    </rPh>
    <phoneticPr fontId="5"/>
  </si>
  <si>
    <t>N/A</t>
  </si>
  <si>
    <t>すでに解散</t>
    <rPh sb="3" eb="5">
      <t>カイサン</t>
    </rPh>
    <phoneticPr fontId="5"/>
  </si>
  <si>
    <t>2345678902345</t>
  </si>
  <si>
    <r>
      <t>※金融機関のみなさまへ。本資料は融資を検討頂くことのみを目的とした</t>
    </r>
    <r>
      <rPr>
        <sz val="12"/>
        <color rgb="FFFF0000"/>
        <rFont val="ＭＳ Ｐゴシック"/>
        <family val="3"/>
        <charset val="128"/>
        <scheme val="minor"/>
      </rPr>
      <t>機微な個人情報を含む機密資料であり金融機関内部限り</t>
    </r>
    <r>
      <rPr>
        <sz val="12"/>
        <rFont val="ＭＳ Ｐゴシック"/>
        <family val="3"/>
        <charset val="128"/>
        <scheme val="minor"/>
      </rPr>
      <t>です。不動産、金融証券業者、税理士ほか第三者との共有はご遠慮ください。</t>
    </r>
    <rPh sb="1" eb="3">
      <t>キンユウ</t>
    </rPh>
    <rPh sb="3" eb="5">
      <t>キカン</t>
    </rPh>
    <rPh sb="12" eb="13">
      <t>ホン</t>
    </rPh>
    <rPh sb="13" eb="15">
      <t>シリョウ</t>
    </rPh>
    <rPh sb="16" eb="18">
      <t>ユウシ</t>
    </rPh>
    <rPh sb="19" eb="21">
      <t>ケントウ</t>
    </rPh>
    <rPh sb="21" eb="22">
      <t>イタダ</t>
    </rPh>
    <rPh sb="28" eb="30">
      <t>モクテキ</t>
    </rPh>
    <rPh sb="33" eb="35">
      <t>キビ</t>
    </rPh>
    <rPh sb="36" eb="38">
      <t>コジン</t>
    </rPh>
    <rPh sb="38" eb="40">
      <t>ジョウホウ</t>
    </rPh>
    <rPh sb="41" eb="42">
      <t>フク</t>
    </rPh>
    <rPh sb="43" eb="45">
      <t>キミツ</t>
    </rPh>
    <rPh sb="45" eb="47">
      <t>シリョウ</t>
    </rPh>
    <rPh sb="50" eb="52">
      <t>キンユウ</t>
    </rPh>
    <rPh sb="52" eb="54">
      <t>キカン</t>
    </rPh>
    <rPh sb="54" eb="56">
      <t>ナイブ</t>
    </rPh>
    <rPh sb="56" eb="57">
      <t>カギ</t>
    </rPh>
    <rPh sb="61" eb="64">
      <t>フドウサン</t>
    </rPh>
    <rPh sb="65" eb="67">
      <t>キンユウ</t>
    </rPh>
    <rPh sb="67" eb="69">
      <t>ショウケン</t>
    </rPh>
    <rPh sb="69" eb="71">
      <t>ギョウシャ</t>
    </rPh>
    <rPh sb="72" eb="75">
      <t>ゼイリシ</t>
    </rPh>
    <rPh sb="77" eb="80">
      <t>ダイサンシャ</t>
    </rPh>
    <rPh sb="82" eb="84">
      <t>キョウユウ</t>
    </rPh>
    <rPh sb="86" eb="88">
      <t>エンリョ</t>
    </rPh>
    <phoneticPr fontId="5"/>
  </si>
  <si>
    <t>全法人連結による貸借対照表、損益計算書、キャッシュフローの試算</t>
    <rPh sb="0" eb="3">
      <t>ゼンホウジン</t>
    </rPh>
    <rPh sb="3" eb="5">
      <t>レンケツ</t>
    </rPh>
    <rPh sb="8" eb="13">
      <t>タイシャクタイショウヒョウ</t>
    </rPh>
    <rPh sb="14" eb="19">
      <t>ソンエキケイサンショ</t>
    </rPh>
    <rPh sb="29" eb="31">
      <t>シサン</t>
    </rPh>
    <phoneticPr fontId="5"/>
  </si>
  <si>
    <t>1.グループ全体B/S</t>
    <rPh sb="6" eb="8">
      <t>ゼンタイ</t>
    </rPh>
    <phoneticPr fontId="5"/>
  </si>
  <si>
    <t>資産</t>
    <rPh sb="0" eb="2">
      <t>シサン</t>
    </rPh>
    <phoneticPr fontId="5"/>
  </si>
  <si>
    <t>負債と純資産</t>
    <rPh sb="0" eb="2">
      <t>フサイ</t>
    </rPh>
    <rPh sb="3" eb="6">
      <t>ジュンシサン</t>
    </rPh>
    <phoneticPr fontId="5"/>
  </si>
  <si>
    <t>資産名</t>
    <rPh sb="0" eb="2">
      <t>シサン</t>
    </rPh>
    <rPh sb="2" eb="3">
      <t>メイ</t>
    </rPh>
    <phoneticPr fontId="5"/>
  </si>
  <si>
    <t>合計額</t>
    <rPh sb="0" eb="3">
      <t>ゴウケイガク</t>
    </rPh>
    <phoneticPr fontId="5"/>
  </si>
  <si>
    <t>負債資産名</t>
    <rPh sb="0" eb="2">
      <t>フサイ</t>
    </rPh>
    <rPh sb="2" eb="4">
      <t>シサン</t>
    </rPh>
    <rPh sb="4" eb="5">
      <t>メイ</t>
    </rPh>
    <phoneticPr fontId="5"/>
  </si>
  <si>
    <t>不動産時価</t>
    <rPh sb="0" eb="3">
      <t>フドウサン</t>
    </rPh>
    <rPh sb="3" eb="5">
      <t>ジカ</t>
    </rPh>
    <phoneticPr fontId="5"/>
  </si>
  <si>
    <t>借入金</t>
    <rPh sb="0" eb="3">
      <t>カリイレキン</t>
    </rPh>
    <phoneticPr fontId="5"/>
  </si>
  <si>
    <t>※不動産価格は自己評価による時価</t>
    <rPh sb="1" eb="4">
      <t>フドウサン</t>
    </rPh>
    <rPh sb="4" eb="6">
      <t>カカク</t>
    </rPh>
    <rPh sb="7" eb="9">
      <t>ジコ</t>
    </rPh>
    <rPh sb="9" eb="11">
      <t>ヒョウカ</t>
    </rPh>
    <rPh sb="14" eb="16">
      <t>ジカ</t>
    </rPh>
    <phoneticPr fontId="5"/>
  </si>
  <si>
    <t>法人現預金等</t>
    <rPh sb="0" eb="2">
      <t>ホウジン</t>
    </rPh>
    <rPh sb="2" eb="3">
      <t>ゲン</t>
    </rPh>
    <rPh sb="3" eb="5">
      <t>ヨキン</t>
    </rPh>
    <rPh sb="5" eb="6">
      <t>トウ</t>
    </rPh>
    <phoneticPr fontId="5"/>
  </si>
  <si>
    <t>敷金預かり債務</t>
    <rPh sb="0" eb="2">
      <t>シキキン</t>
    </rPh>
    <rPh sb="2" eb="3">
      <t>アズ</t>
    </rPh>
    <rPh sb="5" eb="7">
      <t>サイム</t>
    </rPh>
    <phoneticPr fontId="5"/>
  </si>
  <si>
    <t>※借入金は5借入一覧シートに計と一致する</t>
    <rPh sb="1" eb="4">
      <t>カリイレキン</t>
    </rPh>
    <rPh sb="14" eb="15">
      <t>ケイ</t>
    </rPh>
    <rPh sb="16" eb="18">
      <t>イッチ</t>
    </rPh>
    <phoneticPr fontId="5"/>
  </si>
  <si>
    <t>信用金庫等出資金</t>
    <rPh sb="0" eb="2">
      <t>シンヨウ</t>
    </rPh>
    <rPh sb="2" eb="4">
      <t>キンコ</t>
    </rPh>
    <rPh sb="4" eb="5">
      <t>トウ</t>
    </rPh>
    <rPh sb="5" eb="8">
      <t>シュッシキン</t>
    </rPh>
    <phoneticPr fontId="5"/>
  </si>
  <si>
    <t>現金同等物</t>
    <rPh sb="0" eb="2">
      <t>ゲンキン</t>
    </rPh>
    <rPh sb="2" eb="5">
      <t>ドウトウブツ</t>
    </rPh>
    <phoneticPr fontId="5"/>
  </si>
  <si>
    <t>不動産解散価値(時価評価)</t>
    <rPh sb="0" eb="3">
      <t>フドウサン</t>
    </rPh>
    <rPh sb="3" eb="5">
      <t>カイサン</t>
    </rPh>
    <rPh sb="5" eb="7">
      <t>カチ</t>
    </rPh>
    <rPh sb="8" eb="10">
      <t>ジカ</t>
    </rPh>
    <rPh sb="10" eb="12">
      <t>ヒョウカ</t>
    </rPh>
    <phoneticPr fontId="5"/>
  </si>
  <si>
    <t>※不動産解散価値(時価評価)は税引前</t>
    <rPh sb="15" eb="18">
      <t>ゼイビキマエ</t>
    </rPh>
    <phoneticPr fontId="5"/>
  </si>
  <si>
    <t>2.グループ全体P/L</t>
    <rPh sb="6" eb="8">
      <t>ゼンタイ</t>
    </rPh>
    <phoneticPr fontId="5"/>
  </si>
  <si>
    <t>収支概要</t>
    <rPh sb="0" eb="2">
      <t>シュウシ</t>
    </rPh>
    <rPh sb="2" eb="4">
      <t>ガイヨウ</t>
    </rPh>
    <phoneticPr fontId="5"/>
  </si>
  <si>
    <t>重要指標</t>
    <rPh sb="0" eb="2">
      <t>ジュウヨウ</t>
    </rPh>
    <rPh sb="2" eb="4">
      <t>シヒョウ</t>
    </rPh>
    <phoneticPr fontId="5"/>
  </si>
  <si>
    <t>年額</t>
    <rPh sb="0" eb="2">
      <t>ネンガク</t>
    </rPh>
    <phoneticPr fontId="5"/>
  </si>
  <si>
    <t>月額</t>
    <rPh sb="0" eb="2">
      <t>ゲツガク</t>
    </rPh>
    <phoneticPr fontId="5"/>
  </si>
  <si>
    <t>賃料収入と賃貸経費</t>
    <rPh sb="0" eb="2">
      <t>チンリョウ</t>
    </rPh>
    <rPh sb="2" eb="4">
      <t>シュウニュウ</t>
    </rPh>
    <rPh sb="5" eb="7">
      <t>チンタイ</t>
    </rPh>
    <rPh sb="7" eb="9">
      <t>ケイヒ</t>
    </rPh>
    <phoneticPr fontId="5"/>
  </si>
  <si>
    <t>満室想定賃料</t>
    <rPh sb="0" eb="2">
      <t>マンシツ</t>
    </rPh>
    <rPh sb="2" eb="4">
      <t>ソウテイ</t>
    </rPh>
    <rPh sb="4" eb="6">
      <t>チンリョウ</t>
    </rPh>
    <phoneticPr fontId="5"/>
  </si>
  <si>
    <t>※非賃貸除く満室想定</t>
    <phoneticPr fontId="5"/>
  </si>
  <si>
    <t>空室損率</t>
    <rPh sb="0" eb="2">
      <t>クウシツ</t>
    </rPh>
    <rPh sb="2" eb="3">
      <t>ゾン</t>
    </rPh>
    <rPh sb="3" eb="4">
      <t>リツ</t>
    </rPh>
    <phoneticPr fontId="5"/>
  </si>
  <si>
    <t>賃貸経費</t>
    <rPh sb="0" eb="2">
      <t>チンタイ</t>
    </rPh>
    <rPh sb="2" eb="4">
      <t>ケイヒ</t>
    </rPh>
    <phoneticPr fontId="5"/>
  </si>
  <si>
    <t>※空室損を含む賃貸経費計</t>
    <rPh sb="1" eb="3">
      <t>クウシツ</t>
    </rPh>
    <rPh sb="3" eb="4">
      <t>ゾン</t>
    </rPh>
    <rPh sb="5" eb="6">
      <t>フク</t>
    </rPh>
    <rPh sb="7" eb="9">
      <t>チンタイ</t>
    </rPh>
    <rPh sb="9" eb="11">
      <t>ケイヒ</t>
    </rPh>
    <rPh sb="11" eb="12">
      <t>ケイ</t>
    </rPh>
    <phoneticPr fontId="5"/>
  </si>
  <si>
    <t>経費率</t>
    <rPh sb="0" eb="3">
      <t>ケイヒリツ</t>
    </rPh>
    <phoneticPr fontId="5"/>
  </si>
  <si>
    <t>◆</t>
    <phoneticPr fontId="5"/>
  </si>
  <si>
    <t>NOI</t>
    <phoneticPr fontId="5"/>
  </si>
  <si>
    <t>NOI%</t>
    <phoneticPr fontId="5"/>
  </si>
  <si>
    <t>※NOI/購入価格</t>
    <rPh sb="5" eb="7">
      <t>コウニュウ</t>
    </rPh>
    <rPh sb="7" eb="9">
      <t>カカク</t>
    </rPh>
    <phoneticPr fontId="5"/>
  </si>
  <si>
    <t>賃貸部門のみ借入</t>
    <rPh sb="0" eb="2">
      <t>チンタイ</t>
    </rPh>
    <rPh sb="2" eb="4">
      <t>ブモン</t>
    </rPh>
    <rPh sb="6" eb="8">
      <t>カリイレ</t>
    </rPh>
    <phoneticPr fontId="5"/>
  </si>
  <si>
    <t>賃貸部門金利（不動産購入・修繕等）</t>
    <rPh sb="0" eb="2">
      <t>チンタイ</t>
    </rPh>
    <rPh sb="2" eb="4">
      <t>ブモン</t>
    </rPh>
    <rPh sb="4" eb="6">
      <t>キンリ</t>
    </rPh>
    <rPh sb="7" eb="10">
      <t>フドウサン</t>
    </rPh>
    <rPh sb="10" eb="12">
      <t>コウニュウ</t>
    </rPh>
    <rPh sb="13" eb="16">
      <t>シュウゼントウ</t>
    </rPh>
    <phoneticPr fontId="5"/>
  </si>
  <si>
    <t>※不動産購入、修繕などのみの金利</t>
    <rPh sb="1" eb="4">
      <t>フドウサン</t>
    </rPh>
    <rPh sb="4" eb="6">
      <t>コウニュウ</t>
    </rPh>
    <rPh sb="7" eb="9">
      <t>シュウゼン</t>
    </rPh>
    <rPh sb="14" eb="16">
      <t>キンリ</t>
    </rPh>
    <phoneticPr fontId="5"/>
  </si>
  <si>
    <t>賃貸部門借入残高</t>
    <rPh sb="0" eb="2">
      <t>チンタイ</t>
    </rPh>
    <rPh sb="2" eb="4">
      <t>ブモン</t>
    </rPh>
    <rPh sb="4" eb="6">
      <t>カリイレ</t>
    </rPh>
    <rPh sb="6" eb="8">
      <t>ザンダカ</t>
    </rPh>
    <phoneticPr fontId="5"/>
  </si>
  <si>
    <t>賃貸部門加重平均借入金利</t>
    <rPh sb="0" eb="2">
      <t>チンタイ</t>
    </rPh>
    <rPh sb="2" eb="4">
      <t>ブモン</t>
    </rPh>
    <rPh sb="4" eb="6">
      <t>カジュウ</t>
    </rPh>
    <rPh sb="6" eb="8">
      <t>ヘイキン</t>
    </rPh>
    <rPh sb="8" eb="10">
      <t>カリイレ</t>
    </rPh>
    <rPh sb="10" eb="12">
      <t>キンリ</t>
    </rPh>
    <phoneticPr fontId="5"/>
  </si>
  <si>
    <t>賃貸部門のみ税引前利益</t>
    <rPh sb="0" eb="2">
      <t>チンタイ</t>
    </rPh>
    <rPh sb="2" eb="4">
      <t>ブモン</t>
    </rPh>
    <rPh sb="9" eb="11">
      <t>リエキ</t>
    </rPh>
    <phoneticPr fontId="5"/>
  </si>
  <si>
    <t>※再掲</t>
    <rPh sb="1" eb="3">
      <t>サイケイ</t>
    </rPh>
    <phoneticPr fontId="5"/>
  </si>
  <si>
    <t>賃貸部門金利（物件購入・修繕等）</t>
    <rPh sb="0" eb="2">
      <t>チンタイ</t>
    </rPh>
    <rPh sb="2" eb="4">
      <t>ブモン</t>
    </rPh>
    <rPh sb="4" eb="6">
      <t>キンリ</t>
    </rPh>
    <rPh sb="7" eb="9">
      <t>ブッケン</t>
    </rPh>
    <rPh sb="9" eb="11">
      <t>コウニュウ</t>
    </rPh>
    <rPh sb="12" eb="15">
      <t>シュウゼントウ</t>
    </rPh>
    <phoneticPr fontId="5"/>
  </si>
  <si>
    <t>金利差引後利益(スプレッド)</t>
    <rPh sb="0" eb="2">
      <t>キンリ</t>
    </rPh>
    <rPh sb="2" eb="3">
      <t>サ</t>
    </rPh>
    <rPh sb="3" eb="4">
      <t>ヒ</t>
    </rPh>
    <rPh sb="4" eb="5">
      <t>ゴ</t>
    </rPh>
    <rPh sb="5" eb="7">
      <t>リエキ</t>
    </rPh>
    <phoneticPr fontId="5"/>
  </si>
  <si>
    <t>※長期の賃貸不動産部門のみ</t>
    <rPh sb="1" eb="3">
      <t>チョウキ</t>
    </rPh>
    <phoneticPr fontId="5"/>
  </si>
  <si>
    <t>賃貸部門税引前利益</t>
    <rPh sb="0" eb="2">
      <t>チンタイ</t>
    </rPh>
    <rPh sb="2" eb="4">
      <t>ブモン</t>
    </rPh>
    <rPh sb="7" eb="9">
      <t>リエキ</t>
    </rPh>
    <phoneticPr fontId="5"/>
  </si>
  <si>
    <t>想定税引後利益</t>
    <rPh sb="0" eb="2">
      <t>ソウテイ</t>
    </rPh>
    <rPh sb="5" eb="7">
      <t>リエキ</t>
    </rPh>
    <phoneticPr fontId="5"/>
  </si>
  <si>
    <t>グループ運営経費を含めた決算書上の利益</t>
    <rPh sb="4" eb="6">
      <t>ウンエイ</t>
    </rPh>
    <rPh sb="6" eb="8">
      <t>ケイヒ</t>
    </rPh>
    <rPh sb="9" eb="10">
      <t>フク</t>
    </rPh>
    <rPh sb="12" eb="15">
      <t>ケッサンショ</t>
    </rPh>
    <rPh sb="15" eb="16">
      <t>ジョウ</t>
    </rPh>
    <rPh sb="17" eb="19">
      <t>リエキ</t>
    </rPh>
    <phoneticPr fontId="5"/>
  </si>
  <si>
    <t>会社経費</t>
    <rPh sb="0" eb="2">
      <t>カイシャ</t>
    </rPh>
    <rPh sb="2" eb="4">
      <t>ケイヒ</t>
    </rPh>
    <phoneticPr fontId="5"/>
  </si>
  <si>
    <t>※前年度から推計</t>
    <rPh sb="1" eb="4">
      <t>ゼンネンド</t>
    </rPh>
    <rPh sb="6" eb="8">
      <t>スイケイ</t>
    </rPh>
    <phoneticPr fontId="5"/>
  </si>
  <si>
    <t>役員報酬・人件費</t>
    <rPh sb="0" eb="2">
      <t>ヤクイン</t>
    </rPh>
    <rPh sb="2" eb="4">
      <t>ホウシュウ</t>
    </rPh>
    <rPh sb="5" eb="8">
      <t>ジンケンヒ</t>
    </rPh>
    <phoneticPr fontId="5"/>
  </si>
  <si>
    <t>間接部門金利(運転資金等)</t>
    <rPh sb="0" eb="2">
      <t>カンセツ</t>
    </rPh>
    <rPh sb="2" eb="4">
      <t>ブモン</t>
    </rPh>
    <rPh sb="4" eb="6">
      <t>キンリ</t>
    </rPh>
    <rPh sb="7" eb="9">
      <t>ウンテン</t>
    </rPh>
    <rPh sb="9" eb="11">
      <t>シキン</t>
    </rPh>
    <rPh sb="11" eb="12">
      <t>トウ</t>
    </rPh>
    <phoneticPr fontId="5"/>
  </si>
  <si>
    <t>※運転資金、住宅ローン、その他金利計</t>
    <rPh sb="1" eb="5">
      <t>ウンテンシキン</t>
    </rPh>
    <rPh sb="6" eb="8">
      <t>ジュウタク</t>
    </rPh>
    <rPh sb="14" eb="15">
      <t>タ</t>
    </rPh>
    <rPh sb="15" eb="17">
      <t>キンリ</t>
    </rPh>
    <rPh sb="17" eb="18">
      <t>ケイ</t>
    </rPh>
    <phoneticPr fontId="5"/>
  </si>
  <si>
    <t>税引前利益</t>
    <rPh sb="0" eb="3">
      <t>ゼイビキマエ</t>
    </rPh>
    <rPh sb="3" eb="5">
      <t>リエキ</t>
    </rPh>
    <phoneticPr fontId="5"/>
  </si>
  <si>
    <t>税額</t>
    <rPh sb="0" eb="2">
      <t>ゼイガク</t>
    </rPh>
    <phoneticPr fontId="5"/>
  </si>
  <si>
    <t>税引後利益</t>
    <rPh sb="0" eb="3">
      <t>ゼイビキゴ</t>
    </rPh>
    <rPh sb="3" eb="5">
      <t>リエキ</t>
    </rPh>
    <phoneticPr fontId="5"/>
  </si>
  <si>
    <t>3.グループ全体C/F</t>
    <rPh sb="6" eb="8">
      <t>ゼンタイ</t>
    </rPh>
    <phoneticPr fontId="5"/>
  </si>
  <si>
    <t>賃貸部門のみC/F</t>
    <rPh sb="0" eb="2">
      <t>チンタイ</t>
    </rPh>
    <rPh sb="2" eb="4">
      <t>ブモン</t>
    </rPh>
    <phoneticPr fontId="5"/>
  </si>
  <si>
    <t>賃貸部門元金返済</t>
    <rPh sb="0" eb="2">
      <t>チンタイ</t>
    </rPh>
    <rPh sb="2" eb="4">
      <t>ブモン</t>
    </rPh>
    <rPh sb="4" eb="6">
      <t>ガンキン</t>
    </rPh>
    <rPh sb="6" eb="8">
      <t>ヘンサイ</t>
    </rPh>
    <phoneticPr fontId="5"/>
  </si>
  <si>
    <t>賃貸部門税引前CF</t>
    <rPh sb="0" eb="2">
      <t>チンタイ</t>
    </rPh>
    <rPh sb="2" eb="4">
      <t>ブモン</t>
    </rPh>
    <phoneticPr fontId="5"/>
  </si>
  <si>
    <t>想定税引後CF</t>
    <rPh sb="0" eb="2">
      <t>ソウテイ</t>
    </rPh>
    <rPh sb="2" eb="5">
      <t>ゼイビキゴ</t>
    </rPh>
    <phoneticPr fontId="5"/>
  </si>
  <si>
    <t>グループ全体C/F</t>
    <rPh sb="4" eb="6">
      <t>ゼンタイ</t>
    </rPh>
    <phoneticPr fontId="5"/>
  </si>
  <si>
    <t>間接部門元金返済(運転資金等)</t>
    <rPh sb="0" eb="2">
      <t>カンセツ</t>
    </rPh>
    <rPh sb="2" eb="4">
      <t>ブモン</t>
    </rPh>
    <rPh sb="4" eb="6">
      <t>ガンキン</t>
    </rPh>
    <rPh sb="6" eb="8">
      <t>ヘンサイ</t>
    </rPh>
    <phoneticPr fontId="5"/>
  </si>
  <si>
    <t>運転経費差引後税引前CF</t>
    <rPh sb="0" eb="2">
      <t>ウンテン</t>
    </rPh>
    <rPh sb="2" eb="4">
      <t>ケイヒ</t>
    </rPh>
    <rPh sb="4" eb="5">
      <t>サ</t>
    </rPh>
    <rPh sb="5" eb="6">
      <t>ヒ</t>
    </rPh>
    <rPh sb="6" eb="7">
      <t>ゴ</t>
    </rPh>
    <phoneticPr fontId="5"/>
  </si>
  <si>
    <t>税引後CF</t>
    <rPh sb="0" eb="3">
      <t>ゼイビキゴ</t>
    </rPh>
    <phoneticPr fontId="5"/>
  </si>
  <si>
    <t>合計
または加重平均</t>
    <rPh sb="0" eb="2">
      <t>ゴウケイ</t>
    </rPh>
    <rPh sb="6" eb="8">
      <t>カジュウ</t>
    </rPh>
    <rPh sb="8" eb="10">
      <t>ヘイキン</t>
    </rPh>
    <phoneticPr fontId="5"/>
  </si>
  <si>
    <t>課税明細より</t>
    <rPh sb="0" eb="2">
      <t>カゼイ</t>
    </rPh>
    <rPh sb="2" eb="4">
      <t>メイサイ</t>
    </rPh>
    <phoneticPr fontId="5"/>
  </si>
  <si>
    <t>〃</t>
    <phoneticPr fontId="5"/>
  </si>
  <si>
    <t>主たる借入</t>
    <rPh sb="0" eb="1">
      <t>シュ</t>
    </rPh>
    <rPh sb="3" eb="5">
      <t>カリイレ</t>
    </rPh>
    <phoneticPr fontId="5"/>
  </si>
  <si>
    <t>借入ID</t>
    <rPh sb="0" eb="2">
      <t>カリイレ</t>
    </rPh>
    <phoneticPr fontId="5"/>
  </si>
  <si>
    <t>借入金融機関</t>
    <phoneticPr fontId="5"/>
  </si>
  <si>
    <t>当初借入金額</t>
    <phoneticPr fontId="5"/>
  </si>
  <si>
    <t>融資残存期間</t>
  </si>
  <si>
    <t>借入条件</t>
  </si>
  <si>
    <t>融資メモ</t>
    <rPh sb="0" eb="2">
      <t>ユウシ</t>
    </rPh>
    <phoneticPr fontId="5"/>
  </si>
  <si>
    <t>借入返済計</t>
    <rPh sb="0" eb="2">
      <t>カリイレ</t>
    </rPh>
    <rPh sb="4" eb="5">
      <t>ケイ</t>
    </rPh>
    <phoneticPr fontId="5"/>
  </si>
  <si>
    <t>支払総額/月額</t>
    <rPh sb="6" eb="7">
      <t>ガク</t>
    </rPh>
    <phoneticPr fontId="5"/>
  </si>
  <si>
    <t>元金返済/月額</t>
    <phoneticPr fontId="5"/>
  </si>
  <si>
    <t>金利支払/月額</t>
    <phoneticPr fontId="5"/>
  </si>
  <si>
    <t>賃貸収入</t>
  </si>
  <si>
    <t>満室想定賃料/年（全室）</t>
  </si>
  <si>
    <t>非賃貸部想定賃料</t>
  </si>
  <si>
    <t>満室想定賃料/年(非賃貸除く)</t>
    <phoneticPr fontId="5"/>
  </si>
  <si>
    <t>入居率</t>
    <phoneticPr fontId="5"/>
  </si>
  <si>
    <t>評価額</t>
  </si>
  <si>
    <t>土地固定資産税評価額</t>
  </si>
  <si>
    <t>建物固定資産税評価額</t>
  </si>
  <si>
    <t>固定資産税額</t>
  </si>
  <si>
    <t>都市計画税額</t>
  </si>
  <si>
    <t>収益指標参考値（年換算）</t>
    <rPh sb="4" eb="7">
      <t>サンコウチ</t>
    </rPh>
    <rPh sb="8" eb="11">
      <t>ネンカンサン</t>
    </rPh>
    <phoneticPr fontId="5"/>
  </si>
  <si>
    <t>満室想定賃料/当初購入価格</t>
  </si>
  <si>
    <t>現況賃料/当初購入価格</t>
  </si>
  <si>
    <t>空室損</t>
  </si>
  <si>
    <t>入居者管理料(PM)</t>
  </si>
  <si>
    <t>BM固定費等</t>
    <rPh sb="2" eb="5">
      <t>コテイヒ</t>
    </rPh>
    <rPh sb="5" eb="6">
      <t>トウ</t>
    </rPh>
    <phoneticPr fontId="5"/>
  </si>
  <si>
    <t>募集費用</t>
    <phoneticPr fontId="5"/>
  </si>
  <si>
    <t>修繕・原状回復費</t>
    <rPh sb="7" eb="8">
      <t>ヒ</t>
    </rPh>
    <phoneticPr fontId="5"/>
  </si>
  <si>
    <t>固都税合計</t>
    <rPh sb="0" eb="3">
      <t>コトゼイ</t>
    </rPh>
    <rPh sb="3" eb="5">
      <t>ゴウケイ</t>
    </rPh>
    <phoneticPr fontId="5"/>
  </si>
  <si>
    <t>賃貸経費計(空室損含)</t>
    <rPh sb="0" eb="2">
      <t>チンタイ</t>
    </rPh>
    <rPh sb="2" eb="4">
      <t>ケイヒ</t>
    </rPh>
    <rPh sb="4" eb="5">
      <t>ケイ</t>
    </rPh>
    <rPh sb="6" eb="8">
      <t>クウシツ</t>
    </rPh>
    <rPh sb="8" eb="9">
      <t>ゾン</t>
    </rPh>
    <rPh sb="9" eb="10">
      <t>フク</t>
    </rPh>
    <phoneticPr fontId="5"/>
  </si>
  <si>
    <t>金利支払</t>
  </si>
  <si>
    <t>金利差引後利益(スプレッド)</t>
    <rPh sb="2" eb="5">
      <t>サシヒキゴ</t>
    </rPh>
    <phoneticPr fontId="5"/>
  </si>
  <si>
    <t>減価償却</t>
  </si>
  <si>
    <t>元金返済</t>
    <phoneticPr fontId="5"/>
  </si>
  <si>
    <t>土地建物簿価計</t>
    <rPh sb="0" eb="2">
      <t>トチ</t>
    </rPh>
    <rPh sb="2" eb="4">
      <t>タテモノ</t>
    </rPh>
    <phoneticPr fontId="5"/>
  </si>
  <si>
    <t>税引前売却益</t>
  </si>
  <si>
    <t>共同担保の提供状況</t>
    <phoneticPr fontId="5"/>
  </si>
  <si>
    <t>解散価値</t>
    <phoneticPr fontId="5"/>
  </si>
  <si>
    <t>合計／平均</t>
    <rPh sb="0" eb="2">
      <t>ゴウケイ</t>
    </rPh>
    <rPh sb="3" eb="5">
      <t>ヘイキン</t>
    </rPh>
    <phoneticPr fontId="5"/>
  </si>
  <si>
    <t>借入金集計1</t>
    <rPh sb="0" eb="3">
      <t>カリイレキン</t>
    </rPh>
    <rPh sb="3" eb="5">
      <t>シュウケイ</t>
    </rPh>
    <phoneticPr fontId="5"/>
  </si>
  <si>
    <t>残債</t>
  </si>
  <si>
    <t>資金使途</t>
  </si>
  <si>
    <t>金融機関</t>
  </si>
  <si>
    <t>首里信金</t>
  </si>
  <si>
    <t>読谷信金</t>
  </si>
  <si>
    <t>竹富信金</t>
  </si>
  <si>
    <t>恩納銀行</t>
  </si>
  <si>
    <t>石垣銀行</t>
  </si>
  <si>
    <t>宜野湾信組</t>
  </si>
  <si>
    <t>奄美信金</t>
  </si>
  <si>
    <t>座間味信金</t>
  </si>
  <si>
    <t>名護信金</t>
  </si>
  <si>
    <t>嘉手納銀行</t>
  </si>
  <si>
    <t>西表信金</t>
  </si>
  <si>
    <t>宮古信組</t>
  </si>
  <si>
    <t>玉川花子</t>
  </si>
  <si>
    <t>法人別銀行借入</t>
    <rPh sb="0" eb="2">
      <t>ホウジン</t>
    </rPh>
    <rPh sb="2" eb="3">
      <t>ベツ</t>
    </rPh>
    <rPh sb="3" eb="5">
      <t>ギンコウ</t>
    </rPh>
    <rPh sb="5" eb="7">
      <t>カリイレ</t>
    </rPh>
    <phoneticPr fontId="5"/>
  </si>
  <si>
    <t>借入主体</t>
  </si>
  <si>
    <t>コアプラス大阪株式会社</t>
  </si>
  <si>
    <t>コアプラス名古屋株式会社</t>
  </si>
  <si>
    <t>コアプラス仙台株式会社</t>
  </si>
  <si>
    <t>コアプラス札幌株式会社</t>
  </si>
  <si>
    <t>コアプラス東京株式会社</t>
  </si>
  <si>
    <t>コアプラス福岡株式会社</t>
  </si>
  <si>
    <t>コアプラス京都株式会社</t>
  </si>
  <si>
    <t>コアプラス四国株式会社</t>
  </si>
  <si>
    <t>金融機関別利率（参考）</t>
    <rPh sb="0" eb="2">
      <t>キンユウ</t>
    </rPh>
    <rPh sb="2" eb="5">
      <t>キカンベツ</t>
    </rPh>
    <rPh sb="5" eb="7">
      <t>リリツ</t>
    </rPh>
    <rPh sb="8" eb="10">
      <t>サンコウ</t>
    </rPh>
    <phoneticPr fontId="5"/>
  </si>
  <si>
    <t>加重平均金利.</t>
  </si>
  <si>
    <t>借入金集計2</t>
    <rPh sb="0" eb="3">
      <t>カリイレキン</t>
    </rPh>
    <rPh sb="3" eb="5">
      <t>シュウケイ</t>
    </rPh>
    <phoneticPr fontId="5"/>
  </si>
  <si>
    <t>法人×使途×物件</t>
    <phoneticPr fontId="5"/>
  </si>
  <si>
    <t>対象</t>
  </si>
  <si>
    <t>元金返済月額</t>
  </si>
  <si>
    <t>利息月額</t>
  </si>
  <si>
    <t>支払月額</t>
  </si>
  <si>
    <t>残債なし</t>
  </si>
  <si>
    <t>1.融資ID</t>
  </si>
  <si>
    <t>3.金融機関ID</t>
  </si>
  <si>
    <t>4.金融機関名</t>
  </si>
  <si>
    <t>5.支店名</t>
  </si>
  <si>
    <t>6.借入主体会社ID</t>
  </si>
  <si>
    <t>7.借入主体</t>
  </si>
  <si>
    <t>8.使途ID</t>
  </si>
  <si>
    <t>9.使途</t>
  </si>
  <si>
    <t>10.対象物件ID</t>
  </si>
  <si>
    <t>11.対象物件</t>
  </si>
  <si>
    <t>12.担保物件ID</t>
  </si>
  <si>
    <t>13.担保物件</t>
  </si>
  <si>
    <t>14.当初借入額</t>
  </si>
  <si>
    <t>15.当初借入日</t>
  </si>
  <si>
    <t>16.金利</t>
  </si>
  <si>
    <t>17.金利条件</t>
  </si>
  <si>
    <t>18.借入期間</t>
  </si>
  <si>
    <t>19.返済ピッチ</t>
  </si>
  <si>
    <t>20.返済方法</t>
  </si>
  <si>
    <t>21.残債時点</t>
  </si>
  <si>
    <t>22.元金返済月額</t>
  </si>
  <si>
    <t>23.利息月額</t>
  </si>
  <si>
    <t>24.支払月額</t>
  </si>
  <si>
    <t>25.残債</t>
  </si>
  <si>
    <t>26.残債当初比</t>
  </si>
  <si>
    <t>27.融資残存年</t>
  </si>
  <si>
    <t>28.保証会社</t>
  </si>
  <si>
    <t>29.融資メモ</t>
  </si>
  <si>
    <t>→ここから先は印刷範囲外</t>
    <phoneticPr fontId="5"/>
  </si>
  <si>
    <t>30.担保提供種別ID1</t>
    <phoneticPr fontId="5"/>
  </si>
  <si>
    <t>31.担保提供種別1</t>
    <phoneticPr fontId="5"/>
  </si>
  <si>
    <t>32.共同担保物件ID1</t>
    <phoneticPr fontId="5"/>
  </si>
  <si>
    <t>33.共同担保物件1</t>
    <phoneticPr fontId="5"/>
  </si>
  <si>
    <t>34.担保提供種別ID2</t>
    <phoneticPr fontId="5"/>
  </si>
  <si>
    <t>35.担保提供種別2</t>
    <phoneticPr fontId="5"/>
  </si>
  <si>
    <t>36.共同担保物件ID2</t>
    <phoneticPr fontId="5"/>
  </si>
  <si>
    <t>37.共同担保物件2</t>
    <phoneticPr fontId="5"/>
  </si>
  <si>
    <t>38.アップフロント条件</t>
    <phoneticPr fontId="5"/>
  </si>
  <si>
    <t>39.解約ペナルティ条件</t>
    <phoneticPr fontId="5"/>
  </si>
  <si>
    <t>40.利息支払開始日</t>
    <rPh sb="3" eb="5">
      <t>リソク</t>
    </rPh>
    <phoneticPr fontId="5"/>
  </si>
  <si>
    <t>41.元金返済開始日</t>
    <phoneticPr fontId="5"/>
  </si>
  <si>
    <t>→ここから先は過去の記録蓄積</t>
    <rPh sb="5" eb="6">
      <t>サキ</t>
    </rPh>
    <rPh sb="7" eb="9">
      <t>カコ</t>
    </rPh>
    <rPh sb="10" eb="12">
      <t>キロク</t>
    </rPh>
    <rPh sb="12" eb="14">
      <t>チクセキ</t>
    </rPh>
    <phoneticPr fontId="5"/>
  </si>
  <si>
    <t>残債時点c2022-03</t>
    <rPh sb="0" eb="2">
      <t>ザンサイ</t>
    </rPh>
    <rPh sb="2" eb="4">
      <t>ジテン</t>
    </rPh>
    <phoneticPr fontId="5"/>
  </si>
  <si>
    <t>元金返済月額c2022-03</t>
    <rPh sb="0" eb="2">
      <t>ガンキン</t>
    </rPh>
    <rPh sb="2" eb="4">
      <t>ヘンサイ</t>
    </rPh>
    <rPh sb="4" eb="6">
      <t>ゲツガク</t>
    </rPh>
    <phoneticPr fontId="5"/>
  </si>
  <si>
    <t>利息月額c2022-03</t>
    <rPh sb="0" eb="2">
      <t>リソク</t>
    </rPh>
    <rPh sb="2" eb="4">
      <t>ゲツガク</t>
    </rPh>
    <phoneticPr fontId="5"/>
  </si>
  <si>
    <t>支払月額c2022-03</t>
    <rPh sb="0" eb="2">
      <t>シハライ</t>
    </rPh>
    <rPh sb="2" eb="4">
      <t>ゲツガク</t>
    </rPh>
    <phoneticPr fontId="5"/>
  </si>
  <si>
    <t>残債c2022-03</t>
    <rPh sb="0" eb="2">
      <t>ザンサイ</t>
    </rPh>
    <phoneticPr fontId="5"/>
  </si>
  <si>
    <t>大阪支店</t>
    <rPh sb="0" eb="2">
      <t>オオサカ</t>
    </rPh>
    <rPh sb="2" eb="4">
      <t>シテン</t>
    </rPh>
    <phoneticPr fontId="5"/>
  </si>
  <si>
    <t>信金基準金利+1.00%</t>
    <rPh sb="0" eb="2">
      <t>シンキン</t>
    </rPh>
    <rPh sb="2" eb="4">
      <t>キジュン</t>
    </rPh>
    <rPh sb="4" eb="6">
      <t>キンリ</t>
    </rPh>
    <phoneticPr fontId="5"/>
  </si>
  <si>
    <t>元利均等</t>
    <rPh sb="0" eb="4">
      <t>ガンリキントウ</t>
    </rPh>
    <phoneticPr fontId="5"/>
  </si>
  <si>
    <t>沖縄支店</t>
    <rPh sb="0" eb="2">
      <t>オキナワ</t>
    </rPh>
    <rPh sb="2" eb="4">
      <t>シテン</t>
    </rPh>
    <phoneticPr fontId="5"/>
  </si>
  <si>
    <t>池袋支店</t>
    <rPh sb="0" eb="2">
      <t>イケブクロ</t>
    </rPh>
    <rPh sb="2" eb="4">
      <t>シテン</t>
    </rPh>
    <phoneticPr fontId="5"/>
  </si>
  <si>
    <t>目白支店</t>
    <rPh sb="0" eb="2">
      <t>メジロ</t>
    </rPh>
    <rPh sb="2" eb="4">
      <t>シテン</t>
    </rPh>
    <phoneticPr fontId="5"/>
  </si>
  <si>
    <t>高田馬場支店</t>
    <rPh sb="0" eb="4">
      <t>タカダノババ</t>
    </rPh>
    <rPh sb="4" eb="6">
      <t>シテン</t>
    </rPh>
    <phoneticPr fontId="5"/>
  </si>
  <si>
    <t>3m TIBOR +1.00%</t>
    <phoneticPr fontId="5"/>
  </si>
  <si>
    <t>東京支店</t>
    <rPh sb="0" eb="4">
      <t>トウキョウシテン</t>
    </rPh>
    <phoneticPr fontId="5"/>
  </si>
  <si>
    <t>完済</t>
    <rPh sb="0" eb="2">
      <t>カンサイ</t>
    </rPh>
    <phoneticPr fontId="2"/>
  </si>
  <si>
    <t>2棟一括</t>
    <rPh sb="1" eb="2">
      <t>トウ</t>
    </rPh>
    <rPh sb="2" eb="4">
      <t>イッカツ</t>
    </rPh>
    <phoneticPr fontId="5"/>
  </si>
  <si>
    <t>元金均等</t>
    <rPh sb="0" eb="4">
      <t>ガンキンキントウ</t>
    </rPh>
    <phoneticPr fontId="5"/>
  </si>
  <si>
    <t>保証協会</t>
    <rPh sb="0" eb="2">
      <t>ホショウ</t>
    </rPh>
    <rPh sb="2" eb="4">
      <t>キョウカイ</t>
    </rPh>
    <phoneticPr fontId="5"/>
  </si>
  <si>
    <t>コロナ融資</t>
    <rPh sb="3" eb="5">
      <t>ユウシ</t>
    </rPh>
    <phoneticPr fontId="5"/>
  </si>
  <si>
    <t>書籍事業のため</t>
    <rPh sb="0" eb="2">
      <t>ショセキ</t>
    </rPh>
    <rPh sb="2" eb="4">
      <t>ジギョウ</t>
    </rPh>
    <phoneticPr fontId="5"/>
  </si>
  <si>
    <t>目白アパート1号館単体のみ。2号館は対象外</t>
    <rPh sb="9" eb="11">
      <t>タンタイ</t>
    </rPh>
    <rPh sb="15" eb="17">
      <t>ゴウカン</t>
    </rPh>
    <rPh sb="18" eb="21">
      <t>タイショウガイ</t>
    </rPh>
    <phoneticPr fontId="2"/>
  </si>
  <si>
    <t>期日一括</t>
  </si>
  <si>
    <t>減価償却（概算）</t>
    <rPh sb="0" eb="2">
      <t>ゲンカ</t>
    </rPh>
    <rPh sb="2" eb="4">
      <t>ショウキャク</t>
    </rPh>
    <rPh sb="5" eb="7">
      <t>ガイサン</t>
    </rPh>
    <phoneticPr fontId="5"/>
  </si>
  <si>
    <t>※期中取得は取得時点の簿価を期首簿価としているため税務上の集計とは一致しない</t>
    <rPh sb="1" eb="3">
      <t>キチュウ</t>
    </rPh>
    <rPh sb="3" eb="5">
      <t>シュトク</t>
    </rPh>
    <rPh sb="6" eb="8">
      <t>シュトク</t>
    </rPh>
    <rPh sb="8" eb="10">
      <t>ジテン</t>
    </rPh>
    <rPh sb="11" eb="13">
      <t>ボカ</t>
    </rPh>
    <rPh sb="14" eb="16">
      <t>キシュ</t>
    </rPh>
    <rPh sb="16" eb="18">
      <t>ボカ</t>
    </rPh>
    <rPh sb="25" eb="28">
      <t>ゼイムジョウ</t>
    </rPh>
    <rPh sb="29" eb="31">
      <t>シュウケイ</t>
    </rPh>
    <rPh sb="33" eb="35">
      <t>イッチ</t>
    </rPh>
    <phoneticPr fontId="5"/>
  </si>
  <si>
    <t>a.土地合計</t>
    <rPh sb="2" eb="4">
      <t>トチ</t>
    </rPh>
    <rPh sb="4" eb="6">
      <t>ゴウケイ</t>
    </rPh>
    <phoneticPr fontId="5"/>
  </si>
  <si>
    <t>b.建物等合計</t>
    <rPh sb="2" eb="4">
      <t>タテモノ</t>
    </rPh>
    <rPh sb="4" eb="5">
      <t>トウ</t>
    </rPh>
    <rPh sb="5" eb="7">
      <t>ゴウケイ</t>
    </rPh>
    <phoneticPr fontId="5"/>
  </si>
  <si>
    <t>c.土地合計</t>
    <rPh sb="2" eb="4">
      <t>トチ</t>
    </rPh>
    <rPh sb="4" eb="6">
      <t>ゴウケイ</t>
    </rPh>
    <phoneticPr fontId="5"/>
  </si>
  <si>
    <t>d.建物等合計</t>
    <rPh sb="2" eb="4">
      <t>タテモノ</t>
    </rPh>
    <rPh sb="4" eb="5">
      <t>トウ</t>
    </rPh>
    <rPh sb="5" eb="7">
      <t>ゴウケイ</t>
    </rPh>
    <phoneticPr fontId="5"/>
  </si>
  <si>
    <t>e.土地建物計
(c+d)</t>
    <rPh sb="2" eb="4">
      <t>トチ</t>
    </rPh>
    <rPh sb="4" eb="6">
      <t>タテモノ</t>
    </rPh>
    <rPh sb="6" eb="7">
      <t>ケイ</t>
    </rPh>
    <phoneticPr fontId="5"/>
  </si>
  <si>
    <t>f.建物</t>
    <phoneticPr fontId="5"/>
  </si>
  <si>
    <t>g.建物附属設備</t>
    <phoneticPr fontId="5"/>
  </si>
  <si>
    <t>h.構築物</t>
    <phoneticPr fontId="5"/>
  </si>
  <si>
    <t>i.器具備品</t>
    <rPh sb="2" eb="4">
      <t>キグ</t>
    </rPh>
    <rPh sb="4" eb="6">
      <t>ビヒン</t>
    </rPh>
    <phoneticPr fontId="5"/>
  </si>
  <si>
    <t>j.償却1年計
(f～i合計)</t>
    <rPh sb="2" eb="4">
      <t>ショウキャク</t>
    </rPh>
    <rPh sb="5" eb="6">
      <t>ネン</t>
    </rPh>
    <rPh sb="6" eb="7">
      <t>ケイ</t>
    </rPh>
    <rPh sb="12" eb="14">
      <t>ゴウケイ</t>
    </rPh>
    <phoneticPr fontId="5"/>
  </si>
  <si>
    <t>総計</t>
    <phoneticPr fontId="5"/>
  </si>
  <si>
    <t>減価償却内訳</t>
    <rPh sb="0" eb="4">
      <t>ゲンカショウキャク</t>
    </rPh>
    <rPh sb="4" eb="6">
      <t>ウチワケ</t>
    </rPh>
    <phoneticPr fontId="5"/>
  </si>
  <si>
    <t>5.資産種類名</t>
    <phoneticPr fontId="5"/>
  </si>
  <si>
    <t>6.償却方法</t>
    <phoneticPr fontId="5"/>
  </si>
  <si>
    <t>7.資産名称</t>
    <phoneticPr fontId="5"/>
  </si>
  <si>
    <t>8.取得年月日</t>
    <phoneticPr fontId="5"/>
  </si>
  <si>
    <t>12.取得価額</t>
    <phoneticPr fontId="5"/>
  </si>
  <si>
    <t>13.期首帳簿価額</t>
    <phoneticPr fontId="5"/>
  </si>
  <si>
    <t>15.期末帳簿価額</t>
    <phoneticPr fontId="5"/>
  </si>
  <si>
    <t>101西池袋駅前ビル</t>
  </si>
  <si>
    <t>20150601</t>
  </si>
  <si>
    <t>28</t>
  </si>
  <si>
    <t>0</t>
  </si>
  <si>
    <t>鉄骨鉄筋ｺﾝｸﾘｰﾄ 共同住宅</t>
  </si>
  <si>
    <t>非償却</t>
  </si>
  <si>
    <t/>
  </si>
  <si>
    <t>101西池袋駅前ビル電気空調設備工事</t>
  </si>
  <si>
    <t>20180806</t>
  </si>
  <si>
    <t>13</t>
  </si>
  <si>
    <t>1</t>
  </si>
  <si>
    <t xml:space="preserve"> </t>
  </si>
  <si>
    <t>101西池袋駅前ビルﾀﾞｲｷﾝ天井ｶｾｯﾄ冷暖房ｴｱｺﾝ</t>
  </si>
  <si>
    <t>20190814</t>
  </si>
  <si>
    <t>101西池袋駅前ビル宅配ﾎﾞｯｸｽ</t>
  </si>
  <si>
    <t>20200331</t>
  </si>
  <si>
    <t>10</t>
  </si>
  <si>
    <t>102池袋ハウス</t>
  </si>
  <si>
    <t>20170928</t>
  </si>
  <si>
    <t>24</t>
  </si>
  <si>
    <t>鉄筋ｺﾝｸﾘｰﾄ造 共同住宅</t>
  </si>
  <si>
    <t>不動産取得税</t>
  </si>
  <si>
    <t>102池袋ハウス不動産取得税</t>
  </si>
  <si>
    <t>20180101</t>
  </si>
  <si>
    <t>102池袋ハウス汚水ポンプ交換</t>
  </si>
  <si>
    <t>20180301</t>
  </si>
  <si>
    <t>15</t>
  </si>
  <si>
    <t>102池袋ハウス給水管部分更新</t>
  </si>
  <si>
    <t>20201231</t>
  </si>
  <si>
    <t>102池袋ハウス203改修工事</t>
  </si>
  <si>
    <t>20210731</t>
  </si>
  <si>
    <t>102池袋ハウス109改修工事</t>
  </si>
  <si>
    <t>20210915</t>
  </si>
  <si>
    <t>102池袋ハウス303改修工事</t>
  </si>
  <si>
    <t>102池袋ハウス205改修工事</t>
  </si>
  <si>
    <t>20211015</t>
  </si>
  <si>
    <t>102池袋ハウス306改修工事</t>
  </si>
  <si>
    <t>102池袋ハウス406改修工事</t>
  </si>
  <si>
    <t>20211231</t>
  </si>
  <si>
    <t>103カーサ目白台ハウス</t>
  </si>
  <si>
    <t>20150715</t>
  </si>
  <si>
    <t>26</t>
  </si>
  <si>
    <t>103カーサ目白台ハウス102号改修工事</t>
  </si>
  <si>
    <t>20160304</t>
  </si>
  <si>
    <t>103カーサ目白台ハウス電気空調設備工事</t>
  </si>
  <si>
    <t>20180706</t>
  </si>
  <si>
    <t>103カーサ目白台ハウスｻｲﾝ工事</t>
  </si>
  <si>
    <t>20181212</t>
  </si>
  <si>
    <t>18</t>
  </si>
  <si>
    <t>104コアプラス池袋</t>
  </si>
  <si>
    <t>20140228</t>
  </si>
  <si>
    <t>30</t>
  </si>
  <si>
    <t>鉄骨鉄筋ｺﾝｸﾘｰﾄ造 事務所用</t>
  </si>
  <si>
    <t>104コアプラス池袋1階事務所内装</t>
  </si>
  <si>
    <t>20141101</t>
  </si>
  <si>
    <t>50</t>
  </si>
  <si>
    <t>104コアプラス池袋外構工事</t>
  </si>
  <si>
    <t>104コアプラス池袋大規模修繕工事</t>
  </si>
  <si>
    <t>104コアプラス池袋電気工事</t>
  </si>
  <si>
    <t>104コアプラス池袋バルコニー</t>
  </si>
  <si>
    <t>前掲のもの以外 その他</t>
  </si>
  <si>
    <t>104コアプラス池袋ポスト等</t>
  </si>
  <si>
    <t>前掲の区分によら ない　その他</t>
  </si>
  <si>
    <t>104コアプラス池袋ｹｰﾌﾞﾙﾃﾚﾋﾞ配線</t>
  </si>
  <si>
    <t>ｺﾝｸﾘｰﾄﾌﾞﾛｯｸ造 へい</t>
  </si>
  <si>
    <t>104コアプラス池袋301改修工事</t>
  </si>
  <si>
    <t>20160502</t>
  </si>
  <si>
    <t>104コアプラス池袋201室内改修工事</t>
  </si>
  <si>
    <t>20180901</t>
  </si>
  <si>
    <t>105目白アパート</t>
  </si>
  <si>
    <t>20140912</t>
  </si>
  <si>
    <t>鉄筋ｺﾝｸﾘｰﾄ 共同住宅</t>
  </si>
  <si>
    <t>105目白アパート舗装ｺﾝｸﾘ敷</t>
  </si>
  <si>
    <t>20150916</t>
  </si>
  <si>
    <t>105目白アパート201内装工事</t>
  </si>
  <si>
    <t>105目白アパート広告塔解体工</t>
  </si>
  <si>
    <t>20190829</t>
  </si>
  <si>
    <t>105目白アパート雑排水管新設</t>
  </si>
  <si>
    <t>20190918</t>
  </si>
  <si>
    <t>105目白アパート給水管直結工</t>
  </si>
  <si>
    <t>20191216</t>
  </si>
  <si>
    <t>105目白アパート301改修工</t>
  </si>
  <si>
    <t>20191220</t>
  </si>
  <si>
    <t>105目白アパート防護ﾈｯﾄ設置</t>
  </si>
  <si>
    <t>20211214</t>
  </si>
  <si>
    <t>106東池袋ハイツ</t>
  </si>
  <si>
    <t>20141201</t>
  </si>
  <si>
    <t>鉄筋ｺﾝｸﾘｰﾄ造 住宅</t>
  </si>
  <si>
    <t>106東池袋ハイツ宅配ﾎﾞｯｸｽ設置</t>
  </si>
  <si>
    <t>20180926</t>
  </si>
  <si>
    <t>107メゾン雑司ヶ谷</t>
  </si>
  <si>
    <t>20151015</t>
  </si>
  <si>
    <t>23</t>
  </si>
  <si>
    <t xml:space="preserve">鉄骨鉄筋ｺﾝｸﾘｰﾄ造 </t>
  </si>
  <si>
    <t>107メゾン雑司ヶ谷集合ﾎﾟｽﾄ宅配ﾎﾞｯ</t>
  </si>
  <si>
    <t>20190815</t>
  </si>
  <si>
    <t>107メゾン雑司ヶ谷共用廊下電気工事</t>
  </si>
  <si>
    <t>20210531</t>
  </si>
  <si>
    <t>107メゾン雑司ヶ谷共用廊下ｸﾛｽ貼り</t>
  </si>
  <si>
    <t>107メゾン雑司ヶ谷CAPEX工事</t>
  </si>
  <si>
    <t>20210930</t>
  </si>
  <si>
    <t>109カーサ南池袋</t>
  </si>
  <si>
    <t>20151225</t>
  </si>
  <si>
    <t>9</t>
  </si>
  <si>
    <t>鉄筋ｺﾝｸﾘｰﾄ造 陸屋根5階建</t>
  </si>
  <si>
    <t>109カーサ南池袋不動産取得税</t>
  </si>
  <si>
    <t>109カーサ南池袋107号室改修工事</t>
  </si>
  <si>
    <t>20160513</t>
  </si>
  <si>
    <t>109カーサ南池袋112号室改修工事</t>
  </si>
  <si>
    <t>109カーサ南池袋電気工事</t>
  </si>
  <si>
    <t>109カーサ南池袋122号室改修工事</t>
  </si>
  <si>
    <t>20161202</t>
  </si>
  <si>
    <t>109カーサ南池袋宅配ﾎﾞｯｸｽ設置</t>
  </si>
  <si>
    <t>20210131</t>
  </si>
  <si>
    <t>109カーサ南池袋108号室改修工事</t>
  </si>
  <si>
    <t>109カーサ南池袋屋上給水ﾎﾟﾝﾌﾟ</t>
  </si>
  <si>
    <t>20210831</t>
  </si>
  <si>
    <t>109カーサ南池袋132号室改修工事</t>
  </si>
  <si>
    <t>109カーサ南池袋共用部排水管更</t>
  </si>
  <si>
    <t>109カーサ南池袋105号室改修工事</t>
  </si>
  <si>
    <t>20211031</t>
  </si>
  <si>
    <t>111目白カーサ二番館</t>
  </si>
  <si>
    <t>20160224</t>
  </si>
  <si>
    <t>14</t>
  </si>
  <si>
    <t>112豊島目白ビル</t>
  </si>
  <si>
    <t>20160329</t>
  </si>
  <si>
    <t>27</t>
  </si>
  <si>
    <t xml:space="preserve">鉄筋ｺﾝｸﾘｰﾄ造 </t>
  </si>
  <si>
    <t>113第3目白ハイツ</t>
  </si>
  <si>
    <t>20160630</t>
  </si>
  <si>
    <t>鉄筋ｺﾝｸﾘｰﾄ造 陸屋根4階建</t>
  </si>
  <si>
    <t>113第3目白ハイツ歩道ｲﾝﾀｰﾛｯｷﾝｸﾞ設置工事</t>
  </si>
  <si>
    <t>20190725</t>
  </si>
  <si>
    <t>113第3目白ハイツ201改修工事</t>
  </si>
  <si>
    <t>20210311</t>
  </si>
  <si>
    <t>113第3目白ハイツ301改修工事</t>
  </si>
  <si>
    <t>20210612</t>
  </si>
  <si>
    <t>113第3目白ハイツ403改修工事</t>
  </si>
  <si>
    <t>113第3目白ハイツ303改修工事</t>
  </si>
  <si>
    <t>20210715</t>
  </si>
  <si>
    <t>113第3目白ハイツ206改修工事</t>
  </si>
  <si>
    <t>113第3目白ハイツ204改修工事</t>
  </si>
  <si>
    <t>20210816</t>
  </si>
  <si>
    <t>114レジデンス目白豊島</t>
  </si>
  <si>
    <t>20160830</t>
  </si>
  <si>
    <t>114レジデンス目白豊島斜壁防水工</t>
  </si>
  <si>
    <t>115コアプラス大塚</t>
  </si>
  <si>
    <t>20170427</t>
  </si>
  <si>
    <t>33</t>
  </si>
  <si>
    <t>116コアプラスレジデンス梅田</t>
  </si>
  <si>
    <t>20170428</t>
  </si>
  <si>
    <t>25</t>
  </si>
  <si>
    <t xml:space="preserve">鉄筋鉄骨ｺﾝｸﾘｰﾄ造 </t>
  </si>
  <si>
    <t>116コアプラスレジデンス梅田8階改修工事</t>
  </si>
  <si>
    <t>20170831</t>
  </si>
  <si>
    <t>116コアプラスレジデンス梅田302CAPEX</t>
  </si>
  <si>
    <t>20180419</t>
  </si>
  <si>
    <t>116コアプラスレジデンス梅田宅配ﾎﾞｯｸｽ等設置</t>
  </si>
  <si>
    <t>20190328</t>
  </si>
  <si>
    <t>116コアプラスレジデンス梅田801CAPEX</t>
  </si>
  <si>
    <t>20190501</t>
  </si>
  <si>
    <t>116コアプラスレジデンス梅田202CAPEX</t>
  </si>
  <si>
    <t>20190701</t>
  </si>
  <si>
    <t>116コアプラスレジデンス梅田401CAPEX</t>
  </si>
  <si>
    <t>20191101</t>
  </si>
  <si>
    <t>116コアプラスレジデンス梅田402CAPEX</t>
  </si>
  <si>
    <t>20191201</t>
  </si>
  <si>
    <t>116コアプラスレジデンス梅田601CAPEX</t>
  </si>
  <si>
    <t>20191217</t>
  </si>
  <si>
    <t>116コアプラスレジデンス梅田廊下ｶﾞﾗﾘ交換</t>
  </si>
  <si>
    <t>20210114</t>
  </si>
  <si>
    <t>116コアプラスレジデンス梅田702CAPEX</t>
  </si>
  <si>
    <t>20210209</t>
  </si>
  <si>
    <t>116コアプラスレジデンス梅田給水ﾎﾟﾝﾌﾟ更新</t>
  </si>
  <si>
    <t>20210513</t>
  </si>
  <si>
    <t>20210610</t>
  </si>
  <si>
    <t>116コアプラスレジデンス梅田浴室ﾄﾞｱﾉﾌﾞ交換</t>
  </si>
  <si>
    <t>116コアプラスレジデンス梅田ｲﾝﾀｰﾈｯﾄ導入工事</t>
  </si>
  <si>
    <t>20210910</t>
  </si>
  <si>
    <t>116コアプラスレジデンス梅田IDF盤改修工事</t>
  </si>
  <si>
    <t>20211011</t>
  </si>
  <si>
    <t>20211211</t>
  </si>
  <si>
    <t>116コアプラスレジデンス梅田501CAPEX</t>
  </si>
  <si>
    <t>117高田馬場第4玉川ビル</t>
  </si>
  <si>
    <t>鉄骨造陸屋根 共同住宅・車庫等</t>
  </si>
  <si>
    <t>20180331</t>
  </si>
  <si>
    <t>解体撤去工事 電気設備工事</t>
  </si>
  <si>
    <t>20210115</t>
  </si>
  <si>
    <t>202号室 CAPEX工事</t>
  </si>
  <si>
    <t>203号室 CAPEX工事</t>
  </si>
  <si>
    <t>20210315</t>
  </si>
  <si>
    <t>201号室 CAPEX工事</t>
  </si>
  <si>
    <t>20211205</t>
  </si>
  <si>
    <t>302号室 CAPEX工事</t>
  </si>
  <si>
    <t>120南池袋マンション</t>
  </si>
  <si>
    <t>20180109</t>
  </si>
  <si>
    <t>20180401</t>
  </si>
  <si>
    <t>CAPEX工事 その他改修工事</t>
  </si>
  <si>
    <t>221ビジネス新大阪123号</t>
  </si>
  <si>
    <t>20210121</t>
  </si>
  <si>
    <t>12</t>
  </si>
  <si>
    <t>20210721</t>
  </si>
  <si>
    <t xml:space="preserve">不動産取得税 </t>
  </si>
  <si>
    <t>222プラウD目白301号室101号室</t>
  </si>
  <si>
    <t>鉄筋ｺﾝｸﾘｰﾄ</t>
  </si>
  <si>
    <t xml:space="preserve">ﾘﾌｫｰﾑ工事 </t>
  </si>
  <si>
    <t>999賃貸資産以外の償却生産性Ａ類型</t>
  </si>
  <si>
    <t>20150716</t>
  </si>
  <si>
    <t>5</t>
  </si>
  <si>
    <t>999賃貸資産以外の償却</t>
  </si>
  <si>
    <t>20190925</t>
  </si>
  <si>
    <t>PC、サーバー</t>
  </si>
  <si>
    <t>20191001</t>
  </si>
  <si>
    <t>4</t>
  </si>
  <si>
    <t>20200418</t>
  </si>
  <si>
    <t>家具</t>
    <rPh sb="0" eb="2">
      <t>カグ</t>
    </rPh>
    <phoneticPr fontId="5"/>
  </si>
  <si>
    <t>20200601</t>
  </si>
  <si>
    <t>20200828</t>
  </si>
  <si>
    <t>20210102</t>
  </si>
  <si>
    <t>20210213</t>
  </si>
  <si>
    <t>20210221</t>
  </si>
  <si>
    <t>20210225</t>
  </si>
  <si>
    <t>20210601</t>
  </si>
  <si>
    <t>20210604</t>
  </si>
  <si>
    <t>20210623</t>
  </si>
  <si>
    <t>20210626</t>
  </si>
  <si>
    <t>20210730</t>
  </si>
  <si>
    <t>20210807</t>
  </si>
  <si>
    <t>20211224</t>
  </si>
  <si>
    <t>121目白アパート1号館</t>
  </si>
  <si>
    <t>仮入力</t>
    <rPh sb="0" eb="3">
      <t>カリニュウリョク</t>
    </rPh>
    <phoneticPr fontId="5"/>
  </si>
  <si>
    <t>122目白アパート2号館</t>
  </si>
  <si>
    <r>
      <t>1.満室想定賃料</t>
    </r>
    <r>
      <rPr>
        <sz val="10"/>
        <color theme="1"/>
        <rFont val="Meiryo UI"/>
        <family val="3"/>
        <charset val="128"/>
      </rPr>
      <t xml:space="preserve">(税込・月額) </t>
    </r>
    <rPh sb="2" eb="4">
      <t>マンシツ</t>
    </rPh>
    <rPh sb="4" eb="6">
      <t>ソウテイ</t>
    </rPh>
    <rPh sb="6" eb="8">
      <t>チンリョウ</t>
    </rPh>
    <rPh sb="9" eb="11">
      <t>ゼイコミ</t>
    </rPh>
    <rPh sb="12" eb="14">
      <t>ゲツガク</t>
    </rPh>
    <phoneticPr fontId="5"/>
  </si>
  <si>
    <t>※自社利用など非賃貸区画を含む</t>
    <rPh sb="1" eb="3">
      <t>ジシャ</t>
    </rPh>
    <rPh sb="3" eb="5">
      <t>リヨウ</t>
    </rPh>
    <rPh sb="7" eb="8">
      <t>ヒ</t>
    </rPh>
    <rPh sb="8" eb="10">
      <t>チンタイ</t>
    </rPh>
    <rPh sb="10" eb="12">
      <t>クカク</t>
    </rPh>
    <rPh sb="13" eb="14">
      <t>フク</t>
    </rPh>
    <phoneticPr fontId="5"/>
  </si>
  <si>
    <t>総計</t>
    <rPh sb="0" eb="2">
      <t>ソウケイ</t>
    </rPh>
    <phoneticPr fontId="5"/>
  </si>
  <si>
    <t>年換算(*12)</t>
    <rPh sb="0" eb="3">
      <t>ネンカンサン</t>
    </rPh>
    <phoneticPr fontId="5"/>
  </si>
  <si>
    <t>寄与率</t>
    <rPh sb="0" eb="3">
      <t>キヨリツ</t>
    </rPh>
    <phoneticPr fontId="5"/>
  </si>
  <si>
    <t>累積寄与率</t>
    <rPh sb="0" eb="2">
      <t>ルイセキ</t>
    </rPh>
    <rPh sb="2" eb="5">
      <t>キヨリツ</t>
    </rPh>
    <phoneticPr fontId="5"/>
  </si>
  <si>
    <r>
      <t>2.現況賃料</t>
    </r>
    <r>
      <rPr>
        <sz val="10"/>
        <color theme="1"/>
        <rFont val="Meiryo UI"/>
        <family val="3"/>
        <charset val="128"/>
      </rPr>
      <t xml:space="preserve">(税込・月額) </t>
    </r>
    <rPh sb="2" eb="4">
      <t>ゲンキョウ</t>
    </rPh>
    <rPh sb="4" eb="6">
      <t>チンリョウ</t>
    </rPh>
    <rPh sb="7" eb="9">
      <t>ゼイコミ</t>
    </rPh>
    <rPh sb="10" eb="12">
      <t>ゲツガク</t>
    </rPh>
    <phoneticPr fontId="5"/>
  </si>
  <si>
    <r>
      <t>3.賃貸用資産の入居率</t>
    </r>
    <r>
      <rPr>
        <sz val="10"/>
        <color theme="1"/>
        <rFont val="Meiryo UI"/>
        <family val="3"/>
        <charset val="128"/>
      </rPr>
      <t>（非賃貸を除く・金額ベース）</t>
    </r>
    <rPh sb="2" eb="5">
      <t>チンタイヨウ</t>
    </rPh>
    <rPh sb="5" eb="7">
      <t>シサン</t>
    </rPh>
    <rPh sb="8" eb="11">
      <t>ニュウキョリツ</t>
    </rPh>
    <phoneticPr fontId="5"/>
  </si>
  <si>
    <r>
      <t>5.賃料増減の推移</t>
    </r>
    <r>
      <rPr>
        <sz val="10"/>
        <color theme="1"/>
        <rFont val="Meiryo UI"/>
        <family val="3"/>
        <charset val="128"/>
      </rPr>
      <t>(非賃貸を含む・月額)</t>
    </r>
    <rPh sb="2" eb="4">
      <t>チンリョウ</t>
    </rPh>
    <rPh sb="4" eb="6">
      <t>ゾウゲン</t>
    </rPh>
    <rPh sb="7" eb="9">
      <t>スイイ</t>
    </rPh>
    <rPh sb="10" eb="11">
      <t>ヒ</t>
    </rPh>
    <rPh sb="11" eb="13">
      <t>チンタイ</t>
    </rPh>
    <rPh sb="14" eb="15">
      <t>フク</t>
    </rPh>
    <rPh sb="17" eb="19">
      <t>ゲツガク</t>
    </rPh>
    <phoneticPr fontId="5"/>
  </si>
  <si>
    <t>金額ベース</t>
  </si>
  <si>
    <t>a.満室想定賃料</t>
    <rPh sb="2" eb="4">
      <t>マンシツ</t>
    </rPh>
    <rPh sb="4" eb="6">
      <t>ソウテイ</t>
    </rPh>
    <rPh sb="6" eb="8">
      <t>チンリョウ</t>
    </rPh>
    <phoneticPr fontId="5"/>
  </si>
  <si>
    <t>b.現況賃料</t>
    <rPh sb="2" eb="4">
      <t>ゲンキョウ</t>
    </rPh>
    <rPh sb="4" eb="6">
      <t>チンリョウ</t>
    </rPh>
    <phoneticPr fontId="5"/>
  </si>
  <si>
    <t>c.当月空室損</t>
    <rPh sb="2" eb="4">
      <t>トウゲツ</t>
    </rPh>
    <rPh sb="4" eb="6">
      <t>クウシツ</t>
    </rPh>
    <rPh sb="6" eb="7">
      <t>ゾン</t>
    </rPh>
    <phoneticPr fontId="5"/>
  </si>
  <si>
    <t>d.入居率(=b/a)</t>
    <rPh sb="2" eb="5">
      <t>ニュウキョリツ</t>
    </rPh>
    <phoneticPr fontId="5"/>
  </si>
  <si>
    <t>i.購入時満室想定(税抜）</t>
    <rPh sb="2" eb="5">
      <t>コウニュウジ</t>
    </rPh>
    <rPh sb="5" eb="7">
      <t>マンシツ</t>
    </rPh>
    <rPh sb="7" eb="9">
      <t>ソウテイ</t>
    </rPh>
    <rPh sb="10" eb="12">
      <t>ゼイヌ</t>
    </rPh>
    <phoneticPr fontId="5"/>
  </si>
  <si>
    <t>j.満室想定(税抜)</t>
    <rPh sb="2" eb="4">
      <t>マンシツ</t>
    </rPh>
    <rPh sb="4" eb="6">
      <t>ソウテイ</t>
    </rPh>
    <rPh sb="7" eb="9">
      <t>ゼイヌキ</t>
    </rPh>
    <phoneticPr fontId="5"/>
  </si>
  <si>
    <t>k.再募集時賃料(税抜)</t>
    <rPh sb="2" eb="5">
      <t>サイボシュウ</t>
    </rPh>
    <rPh sb="5" eb="6">
      <t>ジ</t>
    </rPh>
    <rPh sb="6" eb="8">
      <t>チンリョウ</t>
    </rPh>
    <rPh sb="9" eb="10">
      <t>ゼイ</t>
    </rPh>
    <rPh sb="10" eb="11">
      <t>ヌ</t>
    </rPh>
    <phoneticPr fontId="5"/>
  </si>
  <si>
    <t>l.購入後賃料増加額=(j-i)</t>
    <rPh sb="2" eb="5">
      <t>コウニュウゴ</t>
    </rPh>
    <rPh sb="5" eb="7">
      <t>チンリョウ</t>
    </rPh>
    <rPh sb="7" eb="10">
      <t>ゾウカガク</t>
    </rPh>
    <phoneticPr fontId="5"/>
  </si>
  <si>
    <t>m.賃料増額余地(=k-j)</t>
    <rPh sb="4" eb="6">
      <t>ゾウガク</t>
    </rPh>
    <rPh sb="6" eb="8">
      <t>ヨチ</t>
    </rPh>
    <phoneticPr fontId="5"/>
  </si>
  <si>
    <t>※賃料増減余地のプラスは再募集で増加余地あり。マイナスは現況が割高。税抜。</t>
    <rPh sb="34" eb="36">
      <t>ゼイヌ</t>
    </rPh>
    <phoneticPr fontId="5"/>
  </si>
  <si>
    <r>
      <t>4.資産クラス別入居率</t>
    </r>
    <r>
      <rPr>
        <sz val="10"/>
        <color theme="1"/>
        <rFont val="Meiryo UI"/>
        <family val="3"/>
        <charset val="128"/>
      </rPr>
      <t>（非賃貸を除く・金額ベース）</t>
    </r>
    <rPh sb="2" eb="4">
      <t>シサン</t>
    </rPh>
    <rPh sb="7" eb="8">
      <t>ベツ</t>
    </rPh>
    <rPh sb="8" eb="11">
      <t>ニュウキョリツ</t>
    </rPh>
    <phoneticPr fontId="5"/>
  </si>
  <si>
    <t>e.満室想定月額</t>
    <rPh sb="2" eb="6">
      <t>マンシツソウテイ</t>
    </rPh>
    <rPh sb="6" eb="8">
      <t>ゲツガク</t>
    </rPh>
    <phoneticPr fontId="5"/>
  </si>
  <si>
    <t>f.満室想定比率</t>
    <rPh sb="2" eb="6">
      <t>マンシツソウテイ</t>
    </rPh>
    <rPh sb="6" eb="8">
      <t>ヒリツ</t>
    </rPh>
    <phoneticPr fontId="5"/>
  </si>
  <si>
    <t>g.現況賃料月額</t>
    <rPh sb="2" eb="4">
      <t>ゲンキョウ</t>
    </rPh>
    <rPh sb="4" eb="6">
      <t>チンリョウ</t>
    </rPh>
    <rPh sb="6" eb="8">
      <t>ゲツガク</t>
    </rPh>
    <phoneticPr fontId="5"/>
  </si>
  <si>
    <t>h.入居率(=g/e)</t>
    <rPh sb="2" eb="5">
      <t>ニュウキョリツ</t>
    </rPh>
    <phoneticPr fontId="5"/>
  </si>
  <si>
    <t>オペレーショナル</t>
    <phoneticPr fontId="5"/>
  </si>
  <si>
    <t>その他</t>
    <rPh sb="2" eb="3">
      <t>タ</t>
    </rPh>
    <phoneticPr fontId="5"/>
  </si>
  <si>
    <r>
      <t>6.大口テナントの一覧</t>
    </r>
    <r>
      <rPr>
        <sz val="10"/>
        <color theme="1"/>
        <rFont val="Meiryo UI"/>
        <family val="3"/>
        <charset val="128"/>
      </rPr>
      <t>(非賃貸を含む)</t>
    </r>
    <rPh sb="2" eb="4">
      <t>オオグチ</t>
    </rPh>
    <rPh sb="9" eb="11">
      <t>イチラン</t>
    </rPh>
    <phoneticPr fontId="5"/>
  </si>
  <si>
    <r>
      <t>7.賃貸用資産の賃料帯別ヒストグラム</t>
    </r>
    <r>
      <rPr>
        <sz val="10"/>
        <color theme="1"/>
        <rFont val="Meiryo UI"/>
        <family val="3"/>
        <charset val="128"/>
      </rPr>
      <t>（非賃貸を除く）</t>
    </r>
    <rPh sb="2" eb="5">
      <t>チンタイヨウ</t>
    </rPh>
    <rPh sb="5" eb="7">
      <t>シサン</t>
    </rPh>
    <rPh sb="8" eb="10">
      <t>チンリョウ</t>
    </rPh>
    <rPh sb="10" eb="11">
      <t>タイ</t>
    </rPh>
    <rPh sb="11" eb="12">
      <t>ベツ</t>
    </rPh>
    <phoneticPr fontId="5"/>
  </si>
  <si>
    <t>寄与率順位</t>
    <rPh sb="0" eb="3">
      <t>キヨリツ</t>
    </rPh>
    <rPh sb="3" eb="5">
      <t>ジュンイ</t>
    </rPh>
    <phoneticPr fontId="5"/>
  </si>
  <si>
    <t>部屋名</t>
    <rPh sb="0" eb="2">
      <t>ヘヤ</t>
    </rPh>
    <rPh sb="2" eb="3">
      <t>メイ</t>
    </rPh>
    <phoneticPr fontId="5"/>
  </si>
  <si>
    <t>満室想定(税込)</t>
    <rPh sb="0" eb="2">
      <t>マンシツ</t>
    </rPh>
    <rPh sb="2" eb="4">
      <t>ソウテイ</t>
    </rPh>
    <rPh sb="4" eb="8">
      <t>ゼイコミ</t>
    </rPh>
    <rPh sb="5" eb="7">
      <t>ゼイコミ</t>
    </rPh>
    <phoneticPr fontId="5"/>
  </si>
  <si>
    <t>寄与率対満室想定</t>
    <rPh sb="0" eb="3">
      <t>キヨリツ</t>
    </rPh>
    <rPh sb="3" eb="4">
      <t>タイ</t>
    </rPh>
    <phoneticPr fontId="5"/>
  </si>
  <si>
    <t>寄与率累積</t>
    <rPh sb="0" eb="3">
      <t>キヨリツ</t>
    </rPh>
    <rPh sb="3" eb="5">
      <t>ルイセキ</t>
    </rPh>
    <phoneticPr fontId="5"/>
  </si>
  <si>
    <t>賃料範囲</t>
    <rPh sb="0" eb="2">
      <t>チンリョウ</t>
    </rPh>
    <rPh sb="2" eb="4">
      <t>ハンイ</t>
    </rPh>
    <phoneticPr fontId="5"/>
  </si>
  <si>
    <t>(賃料/万円)</t>
    <rPh sb="1" eb="3">
      <t>チンリョウ</t>
    </rPh>
    <rPh sb="4" eb="6">
      <t>マンエン</t>
    </rPh>
    <phoneticPr fontId="5"/>
  </si>
  <si>
    <t>契約数</t>
    <rPh sb="0" eb="2">
      <t>ケイヤク</t>
    </rPh>
    <rPh sb="2" eb="3">
      <t>スウ</t>
    </rPh>
    <phoneticPr fontId="5"/>
  </si>
  <si>
    <t>17.満室想定賃料</t>
    <phoneticPr fontId="5"/>
  </si>
  <si>
    <t>金額比率</t>
    <rPh sb="0" eb="2">
      <t>キンガク</t>
    </rPh>
    <rPh sb="2" eb="4">
      <t>ヒリツ</t>
    </rPh>
    <phoneticPr fontId="5"/>
  </si>
  <si>
    <t>累積比率</t>
    <rPh sb="0" eb="2">
      <t>ルイセキ</t>
    </rPh>
    <rPh sb="2" eb="4">
      <t>ヒリツ</t>
    </rPh>
    <phoneticPr fontId="5"/>
  </si>
  <si>
    <t>++</t>
  </si>
  <si>
    <t>※住居系、事務所・店舗系ともに満室想定賃料(税込)での集計</t>
    <rPh sb="1" eb="3">
      <t>ジュウキョ</t>
    </rPh>
    <rPh sb="3" eb="4">
      <t>ケイ</t>
    </rPh>
    <rPh sb="5" eb="8">
      <t>ジムショ</t>
    </rPh>
    <rPh sb="9" eb="12">
      <t>テンポケイ</t>
    </rPh>
    <rPh sb="15" eb="17">
      <t>マンシツ</t>
    </rPh>
    <rPh sb="17" eb="19">
      <t>ソウテイ</t>
    </rPh>
    <rPh sb="19" eb="21">
      <t>チンリョウ</t>
    </rPh>
    <rPh sb="22" eb="24">
      <t>ゼイコミ</t>
    </rPh>
    <rPh sb="27" eb="29">
      <t>シュウケイ</t>
    </rPh>
    <phoneticPr fontId="1"/>
  </si>
  <si>
    <t>賃料内訳表</t>
    <rPh sb="0" eb="2">
      <t>チンリョウ</t>
    </rPh>
    <rPh sb="2" eb="5">
      <t>ウチワケヒョウ</t>
    </rPh>
    <phoneticPr fontId="14"/>
  </si>
  <si>
    <t>→印刷範囲外</t>
    <rPh sb="1" eb="3">
      <t>インサツ</t>
    </rPh>
    <rPh sb="3" eb="6">
      <t>ハンイガイ</t>
    </rPh>
    <phoneticPr fontId="14"/>
  </si>
  <si>
    <t>賃料増減の管理項目</t>
    <phoneticPr fontId="5"/>
  </si>
  <si>
    <t>→過去の賃料記録</t>
    <rPh sb="1" eb="3">
      <t>カコ</t>
    </rPh>
    <rPh sb="4" eb="6">
      <t>チンリョウ</t>
    </rPh>
    <rPh sb="6" eb="8">
      <t>キロク</t>
    </rPh>
    <phoneticPr fontId="14"/>
  </si>
  <si>
    <t>ユーザー入力項目</t>
    <rPh sb="4" eb="6">
      <t>ニュウリョク</t>
    </rPh>
    <rPh sb="6" eb="8">
      <t>コウモク</t>
    </rPh>
    <phoneticPr fontId="14"/>
  </si>
  <si>
    <t>すべて自動計算項目</t>
    <rPh sb="3" eb="5">
      <t>ジドウ</t>
    </rPh>
    <rPh sb="5" eb="7">
      <t>ケイサン</t>
    </rPh>
    <rPh sb="7" eb="9">
      <t>コウモク</t>
    </rPh>
    <phoneticPr fontId="14"/>
  </si>
  <si>
    <t>2022-03現在</t>
  </si>
  <si>
    <t>9.賃料</t>
    <phoneticPr fontId="5"/>
  </si>
  <si>
    <t>14.再募集賃料税抜</t>
  </si>
  <si>
    <t>15.再募集賃料税</t>
  </si>
  <si>
    <t>16.再募集税込(自動)</t>
  </si>
  <si>
    <t>17.満室想定税込(自動)</t>
  </si>
  <si>
    <t>18.入居者国籍</t>
  </si>
  <si>
    <t>20.メモ</t>
  </si>
  <si>
    <t>101</t>
  </si>
  <si>
    <t>1K</t>
  </si>
  <si>
    <t>日本人等</t>
  </si>
  <si>
    <t>101_101</t>
  </si>
  <si>
    <t>102</t>
  </si>
  <si>
    <t>101_102</t>
  </si>
  <si>
    <t>103</t>
  </si>
  <si>
    <t>101_103</t>
  </si>
  <si>
    <t>105</t>
  </si>
  <si>
    <t>法人契約</t>
  </si>
  <si>
    <t>101_105</t>
  </si>
  <si>
    <t>106</t>
  </si>
  <si>
    <t>中華系</t>
  </si>
  <si>
    <t>101_106</t>
  </si>
  <si>
    <t>201</t>
  </si>
  <si>
    <t>101_201</t>
  </si>
  <si>
    <t>202</t>
  </si>
  <si>
    <t>住居法人契約</t>
  </si>
  <si>
    <t>101_202</t>
  </si>
  <si>
    <t>203</t>
  </si>
  <si>
    <t>101_203</t>
  </si>
  <si>
    <t>205</t>
  </si>
  <si>
    <t>101_205</t>
  </si>
  <si>
    <t>301</t>
  </si>
  <si>
    <t>101_301</t>
  </si>
  <si>
    <t>302</t>
  </si>
  <si>
    <t>101_302</t>
  </si>
  <si>
    <t>303</t>
  </si>
  <si>
    <t>101_303</t>
  </si>
  <si>
    <t>305</t>
  </si>
  <si>
    <t>101_305</t>
  </si>
  <si>
    <t>306</t>
  </si>
  <si>
    <t>101_306</t>
  </si>
  <si>
    <t>307</t>
  </si>
  <si>
    <t>101_307</t>
  </si>
  <si>
    <t>308</t>
  </si>
  <si>
    <t>101_308</t>
  </si>
  <si>
    <t>401</t>
  </si>
  <si>
    <t>101_401</t>
  </si>
  <si>
    <t>402</t>
  </si>
  <si>
    <t>101_402</t>
  </si>
  <si>
    <t>403</t>
  </si>
  <si>
    <t>101_403</t>
  </si>
  <si>
    <t>405</t>
  </si>
  <si>
    <t>101_405</t>
  </si>
  <si>
    <t>406</t>
  </si>
  <si>
    <t>101_406</t>
  </si>
  <si>
    <t>407</t>
  </si>
  <si>
    <t>101_407</t>
  </si>
  <si>
    <t>100</t>
  </si>
  <si>
    <t>事務所</t>
    <rPh sb="0" eb="3">
      <t>ジムショ</t>
    </rPh>
    <phoneticPr fontId="4"/>
  </si>
  <si>
    <t>101_100</t>
  </si>
  <si>
    <t>RF1</t>
  </si>
  <si>
    <t>楽天</t>
    <phoneticPr fontId="5"/>
  </si>
  <si>
    <t>101_RF1</t>
  </si>
  <si>
    <t>楽天</t>
  </si>
  <si>
    <t>NTF1</t>
  </si>
  <si>
    <t>フレッツ光</t>
    <rPh sb="4" eb="5">
      <t>ヒカリ</t>
    </rPh>
    <phoneticPr fontId="5"/>
  </si>
  <si>
    <t>101_NTF1</t>
  </si>
  <si>
    <t>102_101</t>
  </si>
  <si>
    <t>102_102</t>
  </si>
  <si>
    <t>102_103</t>
  </si>
  <si>
    <t>102_105</t>
  </si>
  <si>
    <t>102_106</t>
  </si>
  <si>
    <t>107</t>
  </si>
  <si>
    <t>102_107</t>
  </si>
  <si>
    <t>108</t>
  </si>
  <si>
    <t>102_108</t>
  </si>
  <si>
    <t>109</t>
  </si>
  <si>
    <t>102_109</t>
  </si>
  <si>
    <t>110</t>
  </si>
  <si>
    <t>102_110</t>
  </si>
  <si>
    <t>102_201</t>
  </si>
  <si>
    <t>102_202</t>
  </si>
  <si>
    <t>102_203</t>
  </si>
  <si>
    <t>102_205</t>
  </si>
  <si>
    <t>206</t>
  </si>
  <si>
    <t>102_206</t>
  </si>
  <si>
    <t>207</t>
  </si>
  <si>
    <t>102_207</t>
  </si>
  <si>
    <t>208</t>
  </si>
  <si>
    <t>102_208</t>
  </si>
  <si>
    <t>209</t>
  </si>
  <si>
    <t>102_209</t>
  </si>
  <si>
    <t>102_301</t>
  </si>
  <si>
    <t>102_302</t>
  </si>
  <si>
    <t>102_303</t>
  </si>
  <si>
    <t>102_305</t>
  </si>
  <si>
    <t>102_306</t>
  </si>
  <si>
    <t>102_307</t>
  </si>
  <si>
    <t>102_308</t>
  </si>
  <si>
    <t>309</t>
  </si>
  <si>
    <t>102_309</t>
  </si>
  <si>
    <t>310</t>
  </si>
  <si>
    <t>102_310</t>
  </si>
  <si>
    <t>311</t>
  </si>
  <si>
    <t>102_311</t>
  </si>
  <si>
    <t>312</t>
  </si>
  <si>
    <t>102_312</t>
  </si>
  <si>
    <t>102_401</t>
  </si>
  <si>
    <t>102_402</t>
  </si>
  <si>
    <t>2DK</t>
  </si>
  <si>
    <t>102_403</t>
  </si>
  <si>
    <t>1LDK</t>
  </si>
  <si>
    <t>102_405</t>
  </si>
  <si>
    <t>102_406</t>
  </si>
  <si>
    <t>102_407</t>
  </si>
  <si>
    <t>P1</t>
  </si>
  <si>
    <t>駐車場</t>
    <rPh sb="0" eb="3">
      <t>チュウシャジョウ</t>
    </rPh>
    <phoneticPr fontId="4"/>
  </si>
  <si>
    <t>102_P1</t>
  </si>
  <si>
    <t>P2</t>
  </si>
  <si>
    <t>102_P2</t>
  </si>
  <si>
    <t>CL1</t>
  </si>
  <si>
    <t>コインランドリー</t>
    <phoneticPr fontId="5"/>
  </si>
  <si>
    <t>102_CL1</t>
  </si>
  <si>
    <t>コインランドリー</t>
  </si>
  <si>
    <t>103_101</t>
  </si>
  <si>
    <t>103_102</t>
  </si>
  <si>
    <t>103_103</t>
  </si>
  <si>
    <t>103_201</t>
  </si>
  <si>
    <t>103_202</t>
  </si>
  <si>
    <t>103_203</t>
  </si>
  <si>
    <t>2LDK</t>
  </si>
  <si>
    <t>103_301</t>
  </si>
  <si>
    <t>103_302</t>
  </si>
  <si>
    <t>103_303</t>
  </si>
  <si>
    <t>103_401</t>
  </si>
  <si>
    <t>103_402</t>
  </si>
  <si>
    <t>103_403</t>
  </si>
  <si>
    <t>501</t>
  </si>
  <si>
    <t>103_501</t>
  </si>
  <si>
    <t>502</t>
  </si>
  <si>
    <t>103_502</t>
  </si>
  <si>
    <t>503</t>
  </si>
  <si>
    <t>103_503</t>
  </si>
  <si>
    <t>103_P2</t>
  </si>
  <si>
    <t>P3</t>
  </si>
  <si>
    <t>103_P3</t>
  </si>
  <si>
    <t>P5</t>
  </si>
  <si>
    <t>103_P5</t>
  </si>
  <si>
    <t>店舗</t>
    <rPh sb="0" eb="2">
      <t>テンポ</t>
    </rPh>
    <phoneticPr fontId="4"/>
  </si>
  <si>
    <t>104_101</t>
  </si>
  <si>
    <t>104_102</t>
  </si>
  <si>
    <t>1R</t>
  </si>
  <si>
    <t>104_201</t>
  </si>
  <si>
    <t>104_202</t>
  </si>
  <si>
    <t>104_203</t>
  </si>
  <si>
    <t>104_301</t>
  </si>
  <si>
    <t>一時的な空室</t>
    <rPh sb="0" eb="3">
      <t>イチジテキ</t>
    </rPh>
    <rPh sb="4" eb="6">
      <t>クウシツ</t>
    </rPh>
    <phoneticPr fontId="5"/>
  </si>
  <si>
    <t>104_302</t>
  </si>
  <si>
    <t>104_303</t>
  </si>
  <si>
    <t>3DK</t>
  </si>
  <si>
    <t>その他新興国</t>
  </si>
  <si>
    <t>105_101</t>
  </si>
  <si>
    <t>105_102</t>
  </si>
  <si>
    <t>105_201</t>
  </si>
  <si>
    <t>105_202</t>
  </si>
  <si>
    <t>105_203</t>
  </si>
  <si>
    <t>204</t>
  </si>
  <si>
    <t>105_204</t>
  </si>
  <si>
    <t>105_301</t>
  </si>
  <si>
    <t>105_302</t>
  </si>
  <si>
    <t>105_303</t>
  </si>
  <si>
    <t>304</t>
  </si>
  <si>
    <t>105_304</t>
  </si>
  <si>
    <t>105_401</t>
  </si>
  <si>
    <t>105_402</t>
  </si>
  <si>
    <t>105_403</t>
  </si>
  <si>
    <t>404</t>
  </si>
  <si>
    <t>105_404</t>
  </si>
  <si>
    <t>105_501</t>
  </si>
  <si>
    <t>105_502</t>
  </si>
  <si>
    <t>105_503</t>
  </si>
  <si>
    <t>504</t>
  </si>
  <si>
    <t>105_504</t>
  </si>
  <si>
    <t>601</t>
  </si>
  <si>
    <t>105_601</t>
  </si>
  <si>
    <t>602</t>
  </si>
  <si>
    <t>105_602</t>
  </si>
  <si>
    <t>603</t>
  </si>
  <si>
    <t>105_603</t>
  </si>
  <si>
    <t>701</t>
  </si>
  <si>
    <t>105_701</t>
  </si>
  <si>
    <t>702</t>
  </si>
  <si>
    <t>105_702</t>
  </si>
  <si>
    <t>703</t>
  </si>
  <si>
    <t>105_703</t>
  </si>
  <si>
    <t>105_P1</t>
  </si>
  <si>
    <t>105_P2</t>
  </si>
  <si>
    <t>A01</t>
  </si>
  <si>
    <t>倉庫</t>
    <rPh sb="0" eb="2">
      <t>ソウコ</t>
    </rPh>
    <phoneticPr fontId="4"/>
  </si>
  <si>
    <t>105_A01</t>
  </si>
  <si>
    <t>105_RF1</t>
  </si>
  <si>
    <t>RF2</t>
  </si>
  <si>
    <t>ソフトバンクモバイル</t>
    <phoneticPr fontId="5"/>
  </si>
  <si>
    <t>105_RF2</t>
  </si>
  <si>
    <t>ソフトバンクモバイル</t>
  </si>
  <si>
    <t>105_NTF1</t>
  </si>
  <si>
    <t>NTD1</t>
  </si>
  <si>
    <t>電柱</t>
    <rPh sb="0" eb="2">
      <t>デンチュウ</t>
    </rPh>
    <phoneticPr fontId="5"/>
  </si>
  <si>
    <t>105_NTD1</t>
  </si>
  <si>
    <t>106_101</t>
  </si>
  <si>
    <t>106_102</t>
  </si>
  <si>
    <t>106_201</t>
  </si>
  <si>
    <t>106_202</t>
  </si>
  <si>
    <t>106_203</t>
  </si>
  <si>
    <t>106_204</t>
  </si>
  <si>
    <t>106_301</t>
  </si>
  <si>
    <t>106_302</t>
  </si>
  <si>
    <t>106_303</t>
  </si>
  <si>
    <t>106_304</t>
  </si>
  <si>
    <t>106_401</t>
  </si>
  <si>
    <t>106_402</t>
  </si>
  <si>
    <t>106_403</t>
  </si>
  <si>
    <t>106_404</t>
  </si>
  <si>
    <t>106_501</t>
  </si>
  <si>
    <t>106_502</t>
  </si>
  <si>
    <t>106_503</t>
  </si>
  <si>
    <t>106_504</t>
  </si>
  <si>
    <t>106_601</t>
  </si>
  <si>
    <t>106_602</t>
  </si>
  <si>
    <t>106_603</t>
  </si>
  <si>
    <t>106_RF1</t>
  </si>
  <si>
    <t>その他</t>
    <rPh sb="2" eb="3">
      <t>タ</t>
    </rPh>
    <phoneticPr fontId="14"/>
  </si>
  <si>
    <t>106_NTF1</t>
  </si>
  <si>
    <t>107_201</t>
  </si>
  <si>
    <t>107_202</t>
  </si>
  <si>
    <t>107_203</t>
  </si>
  <si>
    <t>107_205</t>
  </si>
  <si>
    <t>107_206</t>
  </si>
  <si>
    <t>107_207</t>
  </si>
  <si>
    <t>107_208</t>
  </si>
  <si>
    <t>210</t>
  </si>
  <si>
    <t>欧米先進国</t>
  </si>
  <si>
    <t>107_210</t>
  </si>
  <si>
    <t>211</t>
  </si>
  <si>
    <t>107_211</t>
  </si>
  <si>
    <t>212</t>
  </si>
  <si>
    <t>107_212</t>
  </si>
  <si>
    <t>213</t>
  </si>
  <si>
    <t>107_213</t>
  </si>
  <si>
    <t>215</t>
  </si>
  <si>
    <t>107_215</t>
  </si>
  <si>
    <t>107_301</t>
  </si>
  <si>
    <t>107_302</t>
  </si>
  <si>
    <t>1DK</t>
  </si>
  <si>
    <t>107_303</t>
  </si>
  <si>
    <t>107_305</t>
  </si>
  <si>
    <t>107_306</t>
  </si>
  <si>
    <t>107_307</t>
  </si>
  <si>
    <t>107_308</t>
  </si>
  <si>
    <t>107_310</t>
  </si>
  <si>
    <t>新興国系</t>
  </si>
  <si>
    <t>107_311</t>
  </si>
  <si>
    <t>107_312</t>
  </si>
  <si>
    <t>1F</t>
  </si>
  <si>
    <t>107_1F</t>
  </si>
  <si>
    <t>107_NTD1</t>
  </si>
  <si>
    <t>109_101</t>
  </si>
  <si>
    <t>109_102</t>
  </si>
  <si>
    <t>109_103</t>
  </si>
  <si>
    <t>109_105</t>
  </si>
  <si>
    <t>109_107</t>
  </si>
  <si>
    <t>109_108</t>
  </si>
  <si>
    <t>111</t>
  </si>
  <si>
    <t>3LDK</t>
  </si>
  <si>
    <t>109_111</t>
  </si>
  <si>
    <t>112</t>
  </si>
  <si>
    <t>109_112</t>
  </si>
  <si>
    <t>221</t>
  </si>
  <si>
    <t>109_221</t>
  </si>
  <si>
    <t>222</t>
  </si>
  <si>
    <t>109_222</t>
  </si>
  <si>
    <t>331</t>
  </si>
  <si>
    <t>109_331</t>
  </si>
  <si>
    <t>332</t>
  </si>
  <si>
    <t>109_332</t>
  </si>
  <si>
    <t>109_P1</t>
  </si>
  <si>
    <t>109_RF1</t>
  </si>
  <si>
    <t>ドコモ</t>
    <phoneticPr fontId="5"/>
  </si>
  <si>
    <t>109_RF2</t>
  </si>
  <si>
    <t>ドコモ</t>
  </si>
  <si>
    <t>109_NTF1</t>
  </si>
  <si>
    <t>109_100</t>
  </si>
  <si>
    <t>SL1</t>
  </si>
  <si>
    <t>一括貸し</t>
  </si>
  <si>
    <t>公益団体に一括貸し</t>
    <rPh sb="0" eb="2">
      <t>コウエキ</t>
    </rPh>
    <rPh sb="2" eb="4">
      <t>ダンタイ</t>
    </rPh>
    <rPh sb="5" eb="7">
      <t>イッカツ</t>
    </rPh>
    <rPh sb="7" eb="8">
      <t>カ</t>
    </rPh>
    <phoneticPr fontId="5"/>
  </si>
  <si>
    <t>111_SL1</t>
  </si>
  <si>
    <t>普通借家想定91000円</t>
    <rPh sb="0" eb="2">
      <t>フツウ</t>
    </rPh>
    <rPh sb="2" eb="4">
      <t>シャッカ</t>
    </rPh>
    <rPh sb="4" eb="6">
      <t>ソウテイ</t>
    </rPh>
    <rPh sb="11" eb="12">
      <t>エン</t>
    </rPh>
    <phoneticPr fontId="5"/>
  </si>
  <si>
    <t>111_201</t>
  </si>
  <si>
    <t>111_202</t>
  </si>
  <si>
    <t>111_203</t>
  </si>
  <si>
    <t>111_205</t>
  </si>
  <si>
    <t>111_301</t>
  </si>
  <si>
    <t>111_302</t>
  </si>
  <si>
    <t>111_303</t>
  </si>
  <si>
    <t>111_401</t>
  </si>
  <si>
    <t>111_402</t>
  </si>
  <si>
    <t>111_403</t>
  </si>
  <si>
    <t>PSL1</t>
  </si>
  <si>
    <t>111_PSL1</t>
  </si>
  <si>
    <t>PSL2</t>
  </si>
  <si>
    <t>111_PSL2</t>
  </si>
  <si>
    <t>P001</t>
  </si>
  <si>
    <t>yes</t>
    <phoneticPr fontId="14"/>
  </si>
  <si>
    <t>自動車駐車場</t>
    <rPh sb="0" eb="3">
      <t>ジドウシャ</t>
    </rPh>
    <rPh sb="3" eb="6">
      <t>チュウシャジョウ</t>
    </rPh>
    <phoneticPr fontId="14"/>
  </si>
  <si>
    <t>111_P001</t>
  </si>
  <si>
    <t>P002</t>
  </si>
  <si>
    <t>111_P002</t>
  </si>
  <si>
    <t>P003</t>
  </si>
  <si>
    <t>111_P003</t>
  </si>
  <si>
    <t>P004</t>
  </si>
  <si>
    <t>111_P004</t>
  </si>
  <si>
    <t>P005</t>
  </si>
  <si>
    <t>111_P005</t>
  </si>
  <si>
    <t>P006</t>
  </si>
  <si>
    <t>111_P006</t>
  </si>
  <si>
    <t>B001</t>
  </si>
  <si>
    <t>バイク置き場</t>
    <rPh sb="3" eb="4">
      <t>オ</t>
    </rPh>
    <rPh sb="5" eb="6">
      <t>バ</t>
    </rPh>
    <phoneticPr fontId="14"/>
  </si>
  <si>
    <t>111_B001</t>
  </si>
  <si>
    <t>B002</t>
  </si>
  <si>
    <t>111_B002</t>
  </si>
  <si>
    <t>B003</t>
  </si>
  <si>
    <t>111_B003</t>
  </si>
  <si>
    <t>B004</t>
  </si>
  <si>
    <t>111_B004</t>
  </si>
  <si>
    <t>B005</t>
  </si>
  <si>
    <t>111_B005</t>
  </si>
  <si>
    <t>112_101</t>
  </si>
  <si>
    <t>113_101</t>
  </si>
  <si>
    <t>113_102</t>
  </si>
  <si>
    <t>113_103</t>
  </si>
  <si>
    <t>104</t>
  </si>
  <si>
    <t>113_104</t>
  </si>
  <si>
    <t>113_105</t>
  </si>
  <si>
    <t>113_106</t>
  </si>
  <si>
    <t>113_201</t>
  </si>
  <si>
    <t>113_202</t>
  </si>
  <si>
    <t>113_203</t>
  </si>
  <si>
    <t>113_204</t>
  </si>
  <si>
    <t>113_205</t>
  </si>
  <si>
    <t>113_206</t>
  </si>
  <si>
    <t>113_301</t>
  </si>
  <si>
    <t>113_302</t>
  </si>
  <si>
    <t>113_303</t>
  </si>
  <si>
    <t>113_304</t>
  </si>
  <si>
    <t>113_305</t>
  </si>
  <si>
    <t>113_306</t>
  </si>
  <si>
    <t>113_401</t>
  </si>
  <si>
    <t>113_402</t>
  </si>
  <si>
    <t>113_403</t>
  </si>
  <si>
    <t>113_404</t>
  </si>
  <si>
    <t>113_405</t>
  </si>
  <si>
    <t>113_406</t>
  </si>
  <si>
    <t>113_P1</t>
  </si>
  <si>
    <t>113_NTF1</t>
  </si>
  <si>
    <t>114_201</t>
  </si>
  <si>
    <t>114_202</t>
  </si>
  <si>
    <t>114_203</t>
  </si>
  <si>
    <t>114_205</t>
  </si>
  <si>
    <t>114_206</t>
  </si>
  <si>
    <t>114_301</t>
  </si>
  <si>
    <t>114_302</t>
  </si>
  <si>
    <t>114_303</t>
  </si>
  <si>
    <t>114_305</t>
  </si>
  <si>
    <t>114_306</t>
  </si>
  <si>
    <t>114_401</t>
  </si>
  <si>
    <t>114_402</t>
  </si>
  <si>
    <t>114_403</t>
  </si>
  <si>
    <t>114_405</t>
  </si>
  <si>
    <t>114_406</t>
  </si>
  <si>
    <t>114_101</t>
  </si>
  <si>
    <t>115_201</t>
  </si>
  <si>
    <t>115_202</t>
  </si>
  <si>
    <t>115_203</t>
  </si>
  <si>
    <t>115_205</t>
  </si>
  <si>
    <t>115_206</t>
  </si>
  <si>
    <t>115_301</t>
  </si>
  <si>
    <t>115_302</t>
  </si>
  <si>
    <t>115_303</t>
  </si>
  <si>
    <t>115_305</t>
  </si>
  <si>
    <t>115_306</t>
  </si>
  <si>
    <t>115_401</t>
  </si>
  <si>
    <t>115_402</t>
  </si>
  <si>
    <t>115_403</t>
  </si>
  <si>
    <t>115_405</t>
  </si>
  <si>
    <t>115_406</t>
  </si>
  <si>
    <t>115_501</t>
  </si>
  <si>
    <t>115_502</t>
  </si>
  <si>
    <t>115_503</t>
  </si>
  <si>
    <t>505</t>
  </si>
  <si>
    <t>115_505</t>
  </si>
  <si>
    <t>506</t>
  </si>
  <si>
    <t>115_506</t>
  </si>
  <si>
    <t>115_601</t>
  </si>
  <si>
    <t>115_602</t>
  </si>
  <si>
    <t>115_603</t>
  </si>
  <si>
    <t>115_101</t>
  </si>
  <si>
    <t>BF1</t>
  </si>
  <si>
    <t>駐輪場</t>
    <rPh sb="0" eb="3">
      <t>チュウリンジョウ</t>
    </rPh>
    <phoneticPr fontId="5"/>
  </si>
  <si>
    <t>115_BF1</t>
  </si>
  <si>
    <t>LPWA</t>
    <phoneticPr fontId="5"/>
  </si>
  <si>
    <t>115_RF1</t>
  </si>
  <si>
    <t>LPWA</t>
  </si>
  <si>
    <t>115_NTF1</t>
  </si>
  <si>
    <t>116_201</t>
  </si>
  <si>
    <t>116_202</t>
  </si>
  <si>
    <t>116_301</t>
  </si>
  <si>
    <t>116_302</t>
  </si>
  <si>
    <t>116_401</t>
  </si>
  <si>
    <t>116_402</t>
  </si>
  <si>
    <t>116_501</t>
  </si>
  <si>
    <t>116_502</t>
  </si>
  <si>
    <t>116_601</t>
  </si>
  <si>
    <t>116_602</t>
  </si>
  <si>
    <t>116_701</t>
  </si>
  <si>
    <t>116_702</t>
  </si>
  <si>
    <t>801</t>
  </si>
  <si>
    <t>116_801</t>
  </si>
  <si>
    <t>802</t>
  </si>
  <si>
    <t>116_802</t>
  </si>
  <si>
    <t>116_101</t>
  </si>
  <si>
    <t>116_RF1</t>
  </si>
  <si>
    <t>フレッツ光</t>
    <phoneticPr fontId="5"/>
  </si>
  <si>
    <t>116_NTF1</t>
  </si>
  <si>
    <t>フレッツ光</t>
  </si>
  <si>
    <t>2SLDK</t>
  </si>
  <si>
    <t>117_101</t>
  </si>
  <si>
    <t>B101</t>
  </si>
  <si>
    <t>117_B101</t>
  </si>
  <si>
    <t>2K</t>
  </si>
  <si>
    <t>117_201</t>
  </si>
  <si>
    <t>117_202</t>
  </si>
  <si>
    <t>117_203</t>
  </si>
  <si>
    <t>117_301</t>
  </si>
  <si>
    <t>117_302</t>
  </si>
  <si>
    <t>117_303</t>
  </si>
  <si>
    <t>117_P1</t>
  </si>
  <si>
    <t>120_101</t>
  </si>
  <si>
    <t>120_102</t>
  </si>
  <si>
    <t>120_103</t>
  </si>
  <si>
    <t>120_201</t>
  </si>
  <si>
    <t>120_202</t>
  </si>
  <si>
    <t>120_203</t>
  </si>
  <si>
    <t>120_301</t>
  </si>
  <si>
    <t>120_302</t>
  </si>
  <si>
    <t>120_401</t>
  </si>
  <si>
    <t>TD1</t>
  </si>
  <si>
    <t>120_TD1</t>
  </si>
  <si>
    <t>VND1</t>
  </si>
  <si>
    <t>自販機</t>
    <rPh sb="0" eb="3">
      <t>ジハンキ</t>
    </rPh>
    <phoneticPr fontId="14"/>
  </si>
  <si>
    <t>120_VND1</t>
  </si>
  <si>
    <t>724</t>
  </si>
  <si>
    <t>221_724</t>
  </si>
  <si>
    <t>自己利用社宅</t>
    <rPh sb="0" eb="4">
      <t>ジコリヨウ</t>
    </rPh>
    <phoneticPr fontId="5"/>
  </si>
  <si>
    <t>222_201</t>
  </si>
  <si>
    <t>ビルメンテナンス費用集計</t>
    <rPh sb="8" eb="10">
      <t>ヒヨウ</t>
    </rPh>
    <rPh sb="10" eb="12">
      <t>シュウケイ</t>
    </rPh>
    <phoneticPr fontId="5"/>
  </si>
  <si>
    <t>立替金</t>
    <rPh sb="0" eb="3">
      <t>タテカエキン</t>
    </rPh>
    <phoneticPr fontId="5"/>
  </si>
  <si>
    <t>※いずれも税込。年額。</t>
    <rPh sb="5" eb="7">
      <t>ゼイコミ</t>
    </rPh>
    <rPh sb="8" eb="10">
      <t>ネンガク</t>
    </rPh>
    <phoneticPr fontId="5"/>
  </si>
  <si>
    <t>ビルメンテナンス費用明細</t>
    <rPh sb="8" eb="10">
      <t>ヒヨウ</t>
    </rPh>
    <rPh sb="10" eb="12">
      <t>メイサイ</t>
    </rPh>
    <phoneticPr fontId="5"/>
  </si>
  <si>
    <t>BM費用明細(税込)</t>
    <rPh sb="2" eb="4">
      <t>ヒヨウ</t>
    </rPh>
    <rPh sb="4" eb="6">
      <t>メイサイ</t>
    </rPh>
    <phoneticPr fontId="5"/>
  </si>
  <si>
    <t>n/a</t>
  </si>
  <si>
    <t>公共料金（共用水道②）9-10月分</t>
  </si>
  <si>
    <t>無料インターネット利用料（定額）</t>
  </si>
  <si>
    <t>建物管理料（定額メンテナンス）</t>
  </si>
  <si>
    <t>公共料金（共用電気-従量電灯）10月分</t>
  </si>
  <si>
    <t>公共料金（共用水道）9-10月分</t>
  </si>
  <si>
    <t>公共料金（共用水道-ランドリー室）9-10月分</t>
  </si>
  <si>
    <t>公共料金（共用電気-低圧電力）10月分</t>
  </si>
  <si>
    <t>公共料金（共用水道）10-11月分</t>
  </si>
  <si>
    <t>公共料金（共用水道①）9-10月分</t>
  </si>
  <si>
    <t>水道代の立て替え払い</t>
    <rPh sb="0" eb="3">
      <t>スイドウダイ</t>
    </rPh>
    <rPh sb="4" eb="5">
      <t>タ</t>
    </rPh>
    <rPh sb="6" eb="7">
      <t>カ</t>
    </rPh>
    <rPh sb="8" eb="9">
      <t>バラ</t>
    </rPh>
    <phoneticPr fontId="5"/>
  </si>
  <si>
    <t>水道代の立て替え払い立替に対応する回収額。差額は差損益</t>
    <rPh sb="0" eb="3">
      <t>スイドウダイ</t>
    </rPh>
    <rPh sb="4" eb="5">
      <t>タ</t>
    </rPh>
    <rPh sb="6" eb="7">
      <t>カ</t>
    </rPh>
    <rPh sb="8" eb="9">
      <t>バラ</t>
    </rPh>
    <rPh sb="10" eb="12">
      <t>タテカエ</t>
    </rPh>
    <rPh sb="13" eb="15">
      <t>タイオウ</t>
    </rPh>
    <rPh sb="17" eb="20">
      <t>カイシュウガク</t>
    </rPh>
    <rPh sb="21" eb="23">
      <t>サガク</t>
    </rPh>
    <rPh sb="24" eb="27">
      <t>サソンエキ</t>
    </rPh>
    <phoneticPr fontId="5"/>
  </si>
  <si>
    <t>CATV利用料（イッツコム）</t>
  </si>
  <si>
    <t>土地建物の筆一覧　固定資産税評価額/固定資産税/都市計画税額</t>
    <rPh sb="0" eb="2">
      <t>トチ</t>
    </rPh>
    <rPh sb="2" eb="4">
      <t>タテモノ</t>
    </rPh>
    <rPh sb="5" eb="6">
      <t>フデ</t>
    </rPh>
    <rPh sb="6" eb="8">
      <t>イチラン</t>
    </rPh>
    <rPh sb="9" eb="11">
      <t>コテイ</t>
    </rPh>
    <rPh sb="11" eb="14">
      <t>シサンゼイ</t>
    </rPh>
    <rPh sb="14" eb="17">
      <t>ヒョウカガク</t>
    </rPh>
    <rPh sb="18" eb="20">
      <t>コテイ</t>
    </rPh>
    <rPh sb="20" eb="23">
      <t>シサンゼイ</t>
    </rPh>
    <rPh sb="24" eb="26">
      <t>トシ</t>
    </rPh>
    <rPh sb="26" eb="28">
      <t>ケイカク</t>
    </rPh>
    <rPh sb="28" eb="29">
      <t>ゼイ</t>
    </rPh>
    <rPh sb="29" eb="30">
      <t>ガク</t>
    </rPh>
    <phoneticPr fontId="5"/>
  </si>
  <si>
    <t>区分持分分子</t>
    <rPh sb="0" eb="2">
      <t>クブン</t>
    </rPh>
    <rPh sb="2" eb="4">
      <t>モチブン</t>
    </rPh>
    <rPh sb="4" eb="6">
      <t>ブンシ</t>
    </rPh>
    <phoneticPr fontId="5"/>
  </si>
  <si>
    <t>区分持分分母</t>
    <rPh sb="0" eb="2">
      <t>クブン</t>
    </rPh>
    <rPh sb="2" eb="4">
      <t>モチブン</t>
    </rPh>
    <rPh sb="4" eb="5">
      <t>ハハ</t>
    </rPh>
    <phoneticPr fontId="5"/>
  </si>
  <si>
    <t>R3固定資産
税額</t>
    <rPh sb="2" eb="6">
      <t>コテイシサン</t>
    </rPh>
    <rPh sb="7" eb="9">
      <t>ゼイガク</t>
    </rPh>
    <phoneticPr fontId="5"/>
  </si>
  <si>
    <t>R3都市計画
税額</t>
    <rPh sb="2" eb="4">
      <t>トシ</t>
    </rPh>
    <rPh sb="4" eb="6">
      <t>ケイカク</t>
    </rPh>
    <rPh sb="7" eb="9">
      <t>ゼイガク</t>
    </rPh>
    <phoneticPr fontId="5"/>
  </si>
  <si>
    <t>R3評価証明
評価額</t>
    <rPh sb="2" eb="4">
      <t>ヒョウカ</t>
    </rPh>
    <rPh sb="4" eb="6">
      <t>ショウメイ</t>
    </rPh>
    <rPh sb="7" eb="10">
      <t>ヒョウカガク</t>
    </rPh>
    <phoneticPr fontId="5"/>
  </si>
  <si>
    <t>R3固定資産税
課税標準額</t>
    <rPh sb="2" eb="4">
      <t>コテイ</t>
    </rPh>
    <rPh sb="4" eb="7">
      <t>シサンゼイ</t>
    </rPh>
    <rPh sb="8" eb="10">
      <t>カゼイ</t>
    </rPh>
    <rPh sb="10" eb="12">
      <t>ヒョウジュン</t>
    </rPh>
    <rPh sb="12" eb="13">
      <t>ガク</t>
    </rPh>
    <phoneticPr fontId="5"/>
  </si>
  <si>
    <t>R2固定資産
税額</t>
    <rPh sb="2" eb="6">
      <t>コテイシサン</t>
    </rPh>
    <rPh sb="7" eb="9">
      <t>ゼイガク</t>
    </rPh>
    <phoneticPr fontId="5"/>
  </si>
  <si>
    <t>R2都市計画
税額</t>
    <rPh sb="2" eb="4">
      <t>トシ</t>
    </rPh>
    <rPh sb="4" eb="6">
      <t>ケイカク</t>
    </rPh>
    <rPh sb="7" eb="9">
      <t>ゼイガク</t>
    </rPh>
    <phoneticPr fontId="5"/>
  </si>
  <si>
    <t>R2評価証明
評価額</t>
    <rPh sb="2" eb="4">
      <t>ヒョウカ</t>
    </rPh>
    <rPh sb="4" eb="6">
      <t>ショウメイ</t>
    </rPh>
    <rPh sb="7" eb="10">
      <t>ヒョウカガク</t>
    </rPh>
    <phoneticPr fontId="5"/>
  </si>
  <si>
    <t>R2固定資産税
課税標準額</t>
    <rPh sb="2" eb="4">
      <t>コテイ</t>
    </rPh>
    <rPh sb="4" eb="7">
      <t>シサンゼイ</t>
    </rPh>
    <rPh sb="8" eb="10">
      <t>カゼイ</t>
    </rPh>
    <rPh sb="10" eb="12">
      <t>ヒョウジュン</t>
    </rPh>
    <rPh sb="12" eb="13">
      <t>ガク</t>
    </rPh>
    <phoneticPr fontId="5"/>
  </si>
  <si>
    <t>東京都豊島区西池袋3-11-1</t>
    <rPh sb="0" eb="3">
      <t>トウキョウト</t>
    </rPh>
    <rPh sb="3" eb="6">
      <t>トシマク</t>
    </rPh>
    <rPh sb="6" eb="9">
      <t>ニシイケブクロ</t>
    </rPh>
    <phoneticPr fontId="5"/>
  </si>
  <si>
    <t>東京都豊島区西池袋4-10-1</t>
    <rPh sb="0" eb="3">
      <t>トウキョウト</t>
    </rPh>
    <rPh sb="3" eb="6">
      <t>トシマク</t>
    </rPh>
    <rPh sb="6" eb="9">
      <t>ニシイケブクロ</t>
    </rPh>
    <phoneticPr fontId="5"/>
  </si>
  <si>
    <t>東京都豊島区西池袋3-11-2</t>
    <rPh sb="0" eb="3">
      <t>トウキョウト</t>
    </rPh>
    <rPh sb="3" eb="6">
      <t>トシマク</t>
    </rPh>
    <rPh sb="6" eb="9">
      <t>ニシイケブクロ</t>
    </rPh>
    <phoneticPr fontId="5"/>
  </si>
  <si>
    <t>東京都豊島区西池袋4-10-2</t>
    <rPh sb="0" eb="3">
      <t>トウキョウト</t>
    </rPh>
    <rPh sb="3" eb="6">
      <t>トシマク</t>
    </rPh>
    <rPh sb="6" eb="9">
      <t>ニシイケブクロ</t>
    </rPh>
    <phoneticPr fontId="5"/>
  </si>
  <si>
    <t>東京都豊島区西池袋3-11-3</t>
    <rPh sb="0" eb="3">
      <t>トウキョウト</t>
    </rPh>
    <rPh sb="3" eb="6">
      <t>トシマク</t>
    </rPh>
    <rPh sb="6" eb="9">
      <t>ニシイケブクロ</t>
    </rPh>
    <phoneticPr fontId="5"/>
  </si>
  <si>
    <t>東京都豊島区西池袋4-10-3</t>
    <rPh sb="0" eb="3">
      <t>トウキョウト</t>
    </rPh>
    <rPh sb="3" eb="6">
      <t>トシマク</t>
    </rPh>
    <rPh sb="6" eb="9">
      <t>ニシイケブクロ</t>
    </rPh>
    <phoneticPr fontId="5"/>
  </si>
  <si>
    <t>東京都豊島区西池袋3-11-4</t>
    <rPh sb="0" eb="3">
      <t>トウキョウト</t>
    </rPh>
    <rPh sb="3" eb="6">
      <t>トシマク</t>
    </rPh>
    <rPh sb="6" eb="9">
      <t>ニシイケブクロ</t>
    </rPh>
    <phoneticPr fontId="5"/>
  </si>
  <si>
    <t>東京都豊島区西池袋4-10-4</t>
    <rPh sb="0" eb="3">
      <t>トウキョウト</t>
    </rPh>
    <rPh sb="3" eb="6">
      <t>トシマク</t>
    </rPh>
    <rPh sb="6" eb="9">
      <t>ニシイケブクロ</t>
    </rPh>
    <phoneticPr fontId="5"/>
  </si>
  <si>
    <t>東京都豊島区西池袋3-11-5</t>
    <rPh sb="0" eb="3">
      <t>トウキョウト</t>
    </rPh>
    <rPh sb="3" eb="6">
      <t>トシマク</t>
    </rPh>
    <rPh sb="6" eb="9">
      <t>ニシイケブクロ</t>
    </rPh>
    <phoneticPr fontId="5"/>
  </si>
  <si>
    <t>東京都豊島区西池袋4-10-5</t>
    <rPh sb="0" eb="3">
      <t>トウキョウト</t>
    </rPh>
    <rPh sb="3" eb="6">
      <t>トシマク</t>
    </rPh>
    <rPh sb="6" eb="9">
      <t>ニシイケブクロ</t>
    </rPh>
    <phoneticPr fontId="5"/>
  </si>
  <si>
    <t>東京都豊島区西池袋3-11-6</t>
    <rPh sb="0" eb="3">
      <t>トウキョウト</t>
    </rPh>
    <rPh sb="3" eb="6">
      <t>トシマク</t>
    </rPh>
    <rPh sb="6" eb="9">
      <t>ニシイケブクロ</t>
    </rPh>
    <phoneticPr fontId="5"/>
  </si>
  <si>
    <t>東京都豊島区西池袋4-10-6</t>
    <rPh sb="0" eb="3">
      <t>トウキョウト</t>
    </rPh>
    <rPh sb="3" eb="6">
      <t>トシマク</t>
    </rPh>
    <rPh sb="6" eb="9">
      <t>ニシイケブクロ</t>
    </rPh>
    <phoneticPr fontId="5"/>
  </si>
  <si>
    <t>東京都豊島区西池袋3-11-7</t>
    <rPh sb="0" eb="3">
      <t>トウキョウト</t>
    </rPh>
    <rPh sb="3" eb="6">
      <t>トシマク</t>
    </rPh>
    <rPh sb="6" eb="9">
      <t>ニシイケブクロ</t>
    </rPh>
    <phoneticPr fontId="5"/>
  </si>
  <si>
    <t>東京都豊島区西池袋4-10-7</t>
    <rPh sb="0" eb="3">
      <t>トウキョウト</t>
    </rPh>
    <rPh sb="3" eb="6">
      <t>トシマク</t>
    </rPh>
    <rPh sb="6" eb="9">
      <t>ニシイケブクロ</t>
    </rPh>
    <phoneticPr fontId="5"/>
  </si>
  <si>
    <t>東京都豊島区西池袋3-11-8</t>
    <rPh sb="0" eb="3">
      <t>トウキョウト</t>
    </rPh>
    <rPh sb="3" eb="6">
      <t>トシマク</t>
    </rPh>
    <rPh sb="6" eb="9">
      <t>ニシイケブクロ</t>
    </rPh>
    <phoneticPr fontId="5"/>
  </si>
  <si>
    <t>東京都豊島区西池袋4-10-8</t>
    <rPh sb="0" eb="3">
      <t>トウキョウト</t>
    </rPh>
    <rPh sb="3" eb="6">
      <t>トシマク</t>
    </rPh>
    <rPh sb="6" eb="9">
      <t>ニシイケブクロ</t>
    </rPh>
    <phoneticPr fontId="5"/>
  </si>
  <si>
    <t>東京都豊島区西池袋3-11-9</t>
    <rPh sb="0" eb="3">
      <t>トウキョウト</t>
    </rPh>
    <rPh sb="3" eb="6">
      <t>トシマク</t>
    </rPh>
    <rPh sb="6" eb="9">
      <t>ニシイケブクロ</t>
    </rPh>
    <phoneticPr fontId="5"/>
  </si>
  <si>
    <t>東京都豊島区西池袋4-10-9</t>
    <rPh sb="0" eb="3">
      <t>トウキョウト</t>
    </rPh>
    <rPh sb="3" eb="6">
      <t>トシマク</t>
    </rPh>
    <rPh sb="6" eb="9">
      <t>ニシイケブクロ</t>
    </rPh>
    <phoneticPr fontId="5"/>
  </si>
  <si>
    <t>東京都豊島区西池袋3-11-10</t>
    <rPh sb="0" eb="3">
      <t>トウキョウト</t>
    </rPh>
    <rPh sb="3" eb="6">
      <t>トシマク</t>
    </rPh>
    <rPh sb="6" eb="9">
      <t>ニシイケブクロ</t>
    </rPh>
    <phoneticPr fontId="5"/>
  </si>
  <si>
    <t>東京都豊島区西池袋4-10-10</t>
    <rPh sb="0" eb="3">
      <t>トウキョウト</t>
    </rPh>
    <rPh sb="3" eb="6">
      <t>トシマク</t>
    </rPh>
    <rPh sb="6" eb="9">
      <t>ニシイケブクロ</t>
    </rPh>
    <phoneticPr fontId="5"/>
  </si>
  <si>
    <t>東京都豊島区西池袋3-11-11</t>
    <rPh sb="0" eb="3">
      <t>トウキョウト</t>
    </rPh>
    <rPh sb="3" eb="6">
      <t>トシマク</t>
    </rPh>
    <rPh sb="6" eb="9">
      <t>ニシイケブクロ</t>
    </rPh>
    <phoneticPr fontId="5"/>
  </si>
  <si>
    <t>東京都豊島区西池袋4-10-11</t>
    <rPh sb="0" eb="3">
      <t>トウキョウト</t>
    </rPh>
    <rPh sb="3" eb="6">
      <t>トシマク</t>
    </rPh>
    <rPh sb="6" eb="9">
      <t>ニシイケブクロ</t>
    </rPh>
    <phoneticPr fontId="5"/>
  </si>
  <si>
    <t>東京都豊島区西池袋3-11-12</t>
    <rPh sb="0" eb="3">
      <t>トウキョウト</t>
    </rPh>
    <rPh sb="3" eb="6">
      <t>トシマク</t>
    </rPh>
    <rPh sb="6" eb="9">
      <t>ニシイケブクロ</t>
    </rPh>
    <phoneticPr fontId="5"/>
  </si>
  <si>
    <t>東京都豊島区西池袋4-10-12</t>
    <rPh sb="0" eb="3">
      <t>トウキョウト</t>
    </rPh>
    <rPh sb="3" eb="6">
      <t>トシマク</t>
    </rPh>
    <rPh sb="6" eb="9">
      <t>ニシイケブクロ</t>
    </rPh>
    <phoneticPr fontId="5"/>
  </si>
  <si>
    <t>東京都豊島区西池袋3-11-13</t>
    <rPh sb="0" eb="3">
      <t>トウキョウト</t>
    </rPh>
    <rPh sb="3" eb="6">
      <t>トシマク</t>
    </rPh>
    <rPh sb="6" eb="9">
      <t>ニシイケブクロ</t>
    </rPh>
    <phoneticPr fontId="5"/>
  </si>
  <si>
    <t>東京都豊島区西池袋4-10-13</t>
    <rPh sb="0" eb="3">
      <t>トウキョウト</t>
    </rPh>
    <rPh sb="3" eb="6">
      <t>トシマク</t>
    </rPh>
    <rPh sb="6" eb="9">
      <t>ニシイケブクロ</t>
    </rPh>
    <phoneticPr fontId="5"/>
  </si>
  <si>
    <t>東京都豊島区西池袋3-11-14</t>
    <rPh sb="0" eb="3">
      <t>トウキョウト</t>
    </rPh>
    <rPh sb="3" eb="6">
      <t>トシマク</t>
    </rPh>
    <rPh sb="6" eb="9">
      <t>ニシイケブクロ</t>
    </rPh>
    <phoneticPr fontId="5"/>
  </si>
  <si>
    <t>東京都豊島区西池袋4-10-14</t>
    <rPh sb="0" eb="3">
      <t>トウキョウト</t>
    </rPh>
    <rPh sb="3" eb="6">
      <t>トシマク</t>
    </rPh>
    <rPh sb="6" eb="9">
      <t>ニシイケブクロ</t>
    </rPh>
    <phoneticPr fontId="5"/>
  </si>
  <si>
    <t>東京都豊島区西池袋3-11-15</t>
    <rPh sb="0" eb="3">
      <t>トウキョウト</t>
    </rPh>
    <rPh sb="3" eb="6">
      <t>トシマク</t>
    </rPh>
    <rPh sb="6" eb="9">
      <t>ニシイケブクロ</t>
    </rPh>
    <phoneticPr fontId="5"/>
  </si>
  <si>
    <t>東京都豊島区西池袋4-10-15</t>
    <rPh sb="0" eb="3">
      <t>トウキョウト</t>
    </rPh>
    <rPh sb="3" eb="6">
      <t>トシマク</t>
    </rPh>
    <rPh sb="6" eb="9">
      <t>ニシイケブクロ</t>
    </rPh>
    <phoneticPr fontId="5"/>
  </si>
  <si>
    <t>東京都豊島区西池袋3-11-16</t>
    <rPh sb="0" eb="3">
      <t>トウキョウト</t>
    </rPh>
    <rPh sb="3" eb="6">
      <t>トシマク</t>
    </rPh>
    <rPh sb="6" eb="9">
      <t>ニシイケブクロ</t>
    </rPh>
    <phoneticPr fontId="5"/>
  </si>
  <si>
    <t>東京都豊島区西池袋4-10-16</t>
    <rPh sb="0" eb="3">
      <t>トウキョウト</t>
    </rPh>
    <rPh sb="3" eb="6">
      <t>トシマク</t>
    </rPh>
    <rPh sb="6" eb="9">
      <t>ニシイケブクロ</t>
    </rPh>
    <phoneticPr fontId="5"/>
  </si>
  <si>
    <t>東京都豊島区西池袋3-11-17</t>
    <rPh sb="0" eb="3">
      <t>トウキョウト</t>
    </rPh>
    <rPh sb="3" eb="6">
      <t>トシマク</t>
    </rPh>
    <rPh sb="6" eb="9">
      <t>ニシイケブクロ</t>
    </rPh>
    <phoneticPr fontId="5"/>
  </si>
  <si>
    <t>東京都豊島区西池袋4-10-17</t>
    <rPh sb="0" eb="3">
      <t>トウキョウト</t>
    </rPh>
    <rPh sb="3" eb="6">
      <t>トシマク</t>
    </rPh>
    <rPh sb="6" eb="9">
      <t>ニシイケブクロ</t>
    </rPh>
    <phoneticPr fontId="5"/>
  </si>
  <si>
    <t>東京都豊島区西池袋3-11-18</t>
    <rPh sb="0" eb="3">
      <t>トウキョウト</t>
    </rPh>
    <rPh sb="3" eb="6">
      <t>トシマク</t>
    </rPh>
    <rPh sb="6" eb="9">
      <t>ニシイケブクロ</t>
    </rPh>
    <phoneticPr fontId="5"/>
  </si>
  <si>
    <t>東京都豊島区西池袋4-10-18</t>
    <rPh sb="0" eb="3">
      <t>トウキョウト</t>
    </rPh>
    <rPh sb="3" eb="6">
      <t>トシマク</t>
    </rPh>
    <rPh sb="6" eb="9">
      <t>ニシイケブクロ</t>
    </rPh>
    <phoneticPr fontId="5"/>
  </si>
  <si>
    <t>東京都豊島区西池袋3-11-19</t>
    <rPh sb="0" eb="3">
      <t>トウキョウト</t>
    </rPh>
    <rPh sb="3" eb="6">
      <t>トシマク</t>
    </rPh>
    <rPh sb="6" eb="9">
      <t>ニシイケブクロ</t>
    </rPh>
    <phoneticPr fontId="5"/>
  </si>
  <si>
    <t>東京都豊島区西池袋4-10-19</t>
    <rPh sb="0" eb="3">
      <t>トウキョウト</t>
    </rPh>
    <rPh sb="3" eb="6">
      <t>トシマク</t>
    </rPh>
    <rPh sb="6" eb="9">
      <t>ニシイケブクロ</t>
    </rPh>
    <phoneticPr fontId="5"/>
  </si>
  <si>
    <t>東京都豊島区西池袋3-11-20</t>
    <rPh sb="0" eb="3">
      <t>トウキョウト</t>
    </rPh>
    <rPh sb="3" eb="6">
      <t>トシマク</t>
    </rPh>
    <rPh sb="6" eb="9">
      <t>ニシイケブクロ</t>
    </rPh>
    <phoneticPr fontId="5"/>
  </si>
  <si>
    <t>東京都豊島区西池袋4-10-20</t>
    <rPh sb="0" eb="3">
      <t>トウキョウト</t>
    </rPh>
    <rPh sb="3" eb="6">
      <t>トシマク</t>
    </rPh>
    <rPh sb="6" eb="9">
      <t>ニシイケブクロ</t>
    </rPh>
    <phoneticPr fontId="5"/>
  </si>
  <si>
    <t>東京都豊島区西池袋3-11-21</t>
    <rPh sb="0" eb="3">
      <t>トウキョウト</t>
    </rPh>
    <rPh sb="3" eb="6">
      <t>トシマク</t>
    </rPh>
    <rPh sb="6" eb="9">
      <t>ニシイケブクロ</t>
    </rPh>
    <phoneticPr fontId="5"/>
  </si>
  <si>
    <t>東京都豊島区西池袋4-10-21</t>
    <rPh sb="0" eb="3">
      <t>トウキョウト</t>
    </rPh>
    <rPh sb="3" eb="6">
      <t>トシマク</t>
    </rPh>
    <rPh sb="6" eb="9">
      <t>ニシイケブクロ</t>
    </rPh>
    <phoneticPr fontId="5"/>
  </si>
  <si>
    <t>東京都豊島区西池袋3-11-22</t>
    <rPh sb="0" eb="3">
      <t>トウキョウト</t>
    </rPh>
    <rPh sb="3" eb="6">
      <t>トシマク</t>
    </rPh>
    <rPh sb="6" eb="9">
      <t>ニシイケブクロ</t>
    </rPh>
    <phoneticPr fontId="5"/>
  </si>
  <si>
    <t>東京都豊島区西池袋4-10-22</t>
    <rPh sb="0" eb="3">
      <t>トウキョウト</t>
    </rPh>
    <rPh sb="3" eb="6">
      <t>トシマク</t>
    </rPh>
    <rPh sb="6" eb="9">
      <t>ニシイケブクロ</t>
    </rPh>
    <phoneticPr fontId="5"/>
  </si>
  <si>
    <t>東京都豊島区西池袋3-11-23</t>
    <rPh sb="0" eb="3">
      <t>トウキョウト</t>
    </rPh>
    <rPh sb="3" eb="6">
      <t>トシマク</t>
    </rPh>
    <rPh sb="6" eb="9">
      <t>ニシイケブクロ</t>
    </rPh>
    <phoneticPr fontId="5"/>
  </si>
  <si>
    <t>東京都豊島区西池袋4-10-23</t>
    <rPh sb="0" eb="3">
      <t>トウキョウト</t>
    </rPh>
    <rPh sb="3" eb="6">
      <t>トシマク</t>
    </rPh>
    <rPh sb="6" eb="9">
      <t>ニシイケブクロ</t>
    </rPh>
    <phoneticPr fontId="5"/>
  </si>
  <si>
    <t>東京都豊島区西池袋3-11-24</t>
    <rPh sb="0" eb="3">
      <t>トウキョウト</t>
    </rPh>
    <rPh sb="3" eb="6">
      <t>トシマク</t>
    </rPh>
    <rPh sb="6" eb="9">
      <t>ニシイケブクロ</t>
    </rPh>
    <phoneticPr fontId="5"/>
  </si>
  <si>
    <t>東京都豊島区西池袋4-10-24</t>
    <rPh sb="0" eb="3">
      <t>トウキョウト</t>
    </rPh>
    <rPh sb="3" eb="6">
      <t>トシマク</t>
    </rPh>
    <rPh sb="6" eb="9">
      <t>ニシイケブクロ</t>
    </rPh>
    <phoneticPr fontId="5"/>
  </si>
  <si>
    <t>東京都豊島区西池袋3-11-25</t>
    <rPh sb="0" eb="3">
      <t>トウキョウト</t>
    </rPh>
    <rPh sb="3" eb="6">
      <t>トシマク</t>
    </rPh>
    <rPh sb="6" eb="9">
      <t>ニシイケブクロ</t>
    </rPh>
    <phoneticPr fontId="5"/>
  </si>
  <si>
    <t>東京都豊島区西池袋4-10-25</t>
    <rPh sb="0" eb="3">
      <t>トウキョウト</t>
    </rPh>
    <rPh sb="3" eb="6">
      <t>トシマク</t>
    </rPh>
    <rPh sb="6" eb="9">
      <t>ニシイケブクロ</t>
    </rPh>
    <phoneticPr fontId="5"/>
  </si>
  <si>
    <t>東京都豊島区西池袋3-11-26</t>
    <rPh sb="0" eb="3">
      <t>トウキョウト</t>
    </rPh>
    <rPh sb="3" eb="6">
      <t>トシマク</t>
    </rPh>
    <rPh sb="6" eb="9">
      <t>ニシイケブクロ</t>
    </rPh>
    <phoneticPr fontId="5"/>
  </si>
  <si>
    <t>東京都豊島区西池袋4-10-26</t>
    <rPh sb="0" eb="3">
      <t>トウキョウト</t>
    </rPh>
    <rPh sb="3" eb="6">
      <t>トシマク</t>
    </rPh>
    <rPh sb="6" eb="9">
      <t>ニシイケブクロ</t>
    </rPh>
    <phoneticPr fontId="5"/>
  </si>
  <si>
    <t>東京都豊島区西池袋3-11-27</t>
    <rPh sb="0" eb="3">
      <t>トウキョウト</t>
    </rPh>
    <rPh sb="3" eb="6">
      <t>トシマク</t>
    </rPh>
    <rPh sb="6" eb="9">
      <t>ニシイケブクロ</t>
    </rPh>
    <phoneticPr fontId="5"/>
  </si>
  <si>
    <t>東京都豊島区西池袋4-10-27</t>
    <rPh sb="0" eb="3">
      <t>トウキョウト</t>
    </rPh>
    <rPh sb="3" eb="6">
      <t>トシマク</t>
    </rPh>
    <rPh sb="6" eb="9">
      <t>ニシイケブクロ</t>
    </rPh>
    <phoneticPr fontId="5"/>
  </si>
  <si>
    <t>東京都豊島区西池袋3-11-28</t>
    <rPh sb="0" eb="3">
      <t>トウキョウト</t>
    </rPh>
    <rPh sb="3" eb="6">
      <t>トシマク</t>
    </rPh>
    <rPh sb="6" eb="9">
      <t>ニシイケブクロ</t>
    </rPh>
    <phoneticPr fontId="5"/>
  </si>
  <si>
    <t>東京都豊島区西池袋4-10-28</t>
    <rPh sb="0" eb="3">
      <t>トウキョウト</t>
    </rPh>
    <rPh sb="3" eb="6">
      <t>トシマク</t>
    </rPh>
    <rPh sb="6" eb="9">
      <t>ニシイケブクロ</t>
    </rPh>
    <phoneticPr fontId="5"/>
  </si>
  <si>
    <t>東京都豊島区西池袋3-11-29</t>
    <rPh sb="0" eb="3">
      <t>トウキョウト</t>
    </rPh>
    <rPh sb="3" eb="6">
      <t>トシマク</t>
    </rPh>
    <rPh sb="6" eb="9">
      <t>ニシイケブクロ</t>
    </rPh>
    <phoneticPr fontId="5"/>
  </si>
  <si>
    <t>東京都豊島区西池袋4-10-29</t>
    <rPh sb="0" eb="3">
      <t>トウキョウト</t>
    </rPh>
    <rPh sb="3" eb="6">
      <t>トシマク</t>
    </rPh>
    <rPh sb="6" eb="9">
      <t>ニシイケブクロ</t>
    </rPh>
    <phoneticPr fontId="5"/>
  </si>
  <si>
    <t>不明</t>
    <rPh sb="0" eb="2">
      <t>フメイ</t>
    </rPh>
    <phoneticPr fontId="1"/>
  </si>
  <si>
    <t>東京都豊島区西池袋3-11-30</t>
    <rPh sb="0" eb="3">
      <t>トウキョウト</t>
    </rPh>
    <rPh sb="3" eb="6">
      <t>トシマク</t>
    </rPh>
    <rPh sb="6" eb="9">
      <t>ニシイケブクロ</t>
    </rPh>
    <phoneticPr fontId="5"/>
  </si>
  <si>
    <t>東京都豊島区西池袋4-10-30</t>
    <rPh sb="0" eb="3">
      <t>トウキョウト</t>
    </rPh>
    <rPh sb="3" eb="6">
      <t>トシマク</t>
    </rPh>
    <rPh sb="6" eb="9">
      <t>ニシイケブクロ</t>
    </rPh>
    <phoneticPr fontId="5"/>
  </si>
  <si>
    <t>東京都豊島区西池袋3-11-31</t>
    <rPh sb="0" eb="3">
      <t>トウキョウト</t>
    </rPh>
    <rPh sb="3" eb="6">
      <t>トシマク</t>
    </rPh>
    <rPh sb="6" eb="9">
      <t>ニシイケブクロ</t>
    </rPh>
    <phoneticPr fontId="5"/>
  </si>
  <si>
    <t>東京都豊島区西池袋4-10-31</t>
    <rPh sb="0" eb="3">
      <t>トウキョウト</t>
    </rPh>
    <rPh sb="3" eb="6">
      <t>トシマク</t>
    </rPh>
    <rPh sb="6" eb="9">
      <t>ニシイケブクロ</t>
    </rPh>
    <phoneticPr fontId="5"/>
  </si>
  <si>
    <t>東京都豊島区西池袋3-11-32</t>
    <rPh sb="0" eb="3">
      <t>トウキョウト</t>
    </rPh>
    <rPh sb="3" eb="6">
      <t>トシマク</t>
    </rPh>
    <rPh sb="6" eb="9">
      <t>ニシイケブクロ</t>
    </rPh>
    <phoneticPr fontId="5"/>
  </si>
  <si>
    <t>2021年12月末現在 連結P/L 試算表</t>
    <rPh sb="18" eb="21">
      <t>シサンヒョウ</t>
    </rPh>
    <phoneticPr fontId="5"/>
  </si>
  <si>
    <t>令和3年</t>
    <rPh sb="3" eb="4">
      <t>ネン</t>
    </rPh>
    <phoneticPr fontId="5"/>
  </si>
  <si>
    <t>※当連結表は税込経理に統一のため決算書のP/L数値と合わない法人がありますが異常ではありません</t>
    <rPh sb="1" eb="2">
      <t>トウ</t>
    </rPh>
    <rPh sb="2" eb="4">
      <t>レンケツ</t>
    </rPh>
    <rPh sb="4" eb="5">
      <t>ヒョウ</t>
    </rPh>
    <rPh sb="6" eb="8">
      <t>ゼイコミ</t>
    </rPh>
    <rPh sb="8" eb="10">
      <t>ケイリ</t>
    </rPh>
    <rPh sb="11" eb="13">
      <t>トウイツ</t>
    </rPh>
    <rPh sb="16" eb="19">
      <t>ケッサンショ</t>
    </rPh>
    <rPh sb="23" eb="25">
      <t>スウチ</t>
    </rPh>
    <rPh sb="26" eb="27">
      <t>ア</t>
    </rPh>
    <rPh sb="30" eb="32">
      <t>ホウジン</t>
    </rPh>
    <rPh sb="38" eb="40">
      <t>イジョウ</t>
    </rPh>
    <phoneticPr fontId="5"/>
  </si>
  <si>
    <t>P/L</t>
  </si>
  <si>
    <t>会社名</t>
  </si>
  <si>
    <t>勘定科目</t>
  </si>
  <si>
    <t>連結</t>
    <rPh sb="0" eb="2">
      <t>レンケツ</t>
    </rPh>
    <phoneticPr fontId="5"/>
  </si>
  <si>
    <t>単純計</t>
    <rPh sb="0" eb="2">
      <t>タンジュン</t>
    </rPh>
    <phoneticPr fontId="5"/>
  </si>
  <si>
    <t>1.コアプラス東京(株)</t>
    <rPh sb="7" eb="9">
      <t>トウキョウ</t>
    </rPh>
    <rPh sb="9" eb="12">
      <t>カブ</t>
    </rPh>
    <phoneticPr fontId="5"/>
  </si>
  <si>
    <t>2.コアプラス名古屋(株)</t>
    <rPh sb="7" eb="10">
      <t>ナゴヤ</t>
    </rPh>
    <phoneticPr fontId="5"/>
  </si>
  <si>
    <t>3.コアプラス大阪(株)</t>
    <rPh sb="7" eb="9">
      <t>オオサカ</t>
    </rPh>
    <phoneticPr fontId="5"/>
  </si>
  <si>
    <t>4.コアプラス仙台(株)</t>
    <rPh sb="7" eb="9">
      <t>センダイ</t>
    </rPh>
    <phoneticPr fontId="5"/>
  </si>
  <si>
    <t>5.コアプラス札幌(株)</t>
    <rPh sb="7" eb="9">
      <t>サッポロ</t>
    </rPh>
    <phoneticPr fontId="5"/>
  </si>
  <si>
    <t>6.コアプラス福岡(株)</t>
    <rPh sb="7" eb="9">
      <t>フクオカ</t>
    </rPh>
    <phoneticPr fontId="5"/>
  </si>
  <si>
    <t>7.コアプラス京都(株)</t>
    <rPh sb="7" eb="9">
      <t>キョウト</t>
    </rPh>
    <phoneticPr fontId="5"/>
  </si>
  <si>
    <t>8.コアプラス四国(株)</t>
    <rPh sb="7" eb="9">
      <t>シコク</t>
    </rPh>
    <phoneticPr fontId="5"/>
  </si>
  <si>
    <t>9.コアプラス沖縄(株)</t>
    <rPh sb="7" eb="9">
      <t>オキナワ</t>
    </rPh>
    <phoneticPr fontId="5"/>
  </si>
  <si>
    <t>10.コアプラスホールディングス(株)</t>
  </si>
  <si>
    <t>501[売上高]</t>
  </si>
  <si>
    <t>502賃料･共益費収入</t>
  </si>
  <si>
    <t>503その他賃貸収入</t>
  </si>
  <si>
    <t>504礼金･更新･違約金</t>
  </si>
  <si>
    <t>505原状回復入居者負担金</t>
  </si>
  <si>
    <t>506不動産賃貸を除く他業収入</t>
  </si>
  <si>
    <t>507保有不動産売却</t>
  </si>
  <si>
    <t>514その他売上高</t>
  </si>
  <si>
    <t>515ｸﾞﾙｰﾌﾟ間取引売上</t>
  </si>
  <si>
    <t>516売上高合計</t>
  </si>
  <si>
    <t>517[売上原価]</t>
  </si>
  <si>
    <t>518期首商品棚卸高</t>
  </si>
  <si>
    <t>519当期商品仕入高</t>
  </si>
  <si>
    <t>520合計</t>
  </si>
  <si>
    <t>521期末商品棚卸高</t>
  </si>
  <si>
    <t>522売上原価</t>
  </si>
  <si>
    <t>523売上総損益金額</t>
  </si>
  <si>
    <t>536[販売管理費]</t>
  </si>
  <si>
    <t>537役員報酬</t>
  </si>
  <si>
    <t>538給料手当</t>
  </si>
  <si>
    <t>539法定福利費</t>
  </si>
  <si>
    <t>540福利厚生費</t>
  </si>
  <si>
    <t>541PM管理手数料</t>
  </si>
  <si>
    <t>542BM建物管理料</t>
  </si>
  <si>
    <t>543物件公共料金</t>
  </si>
  <si>
    <t>544AD広告宣伝費</t>
  </si>
  <si>
    <t>545その他賃貸経費</t>
  </si>
  <si>
    <t>546修繕･原状回復費</t>
  </si>
  <si>
    <t>548外注費(不動産)</t>
  </si>
  <si>
    <t>549外注費(一般)</t>
  </si>
  <si>
    <t>550ｸﾞﾙｰﾌﾟ内業務委託費</t>
  </si>
  <si>
    <t>551広告宣伝費</t>
  </si>
  <si>
    <t>552交際費</t>
  </si>
  <si>
    <t>553会議費</t>
  </si>
  <si>
    <t>554旅費交通費</t>
  </si>
  <si>
    <t>555通信費</t>
  </si>
  <si>
    <t>556消耗品費</t>
  </si>
  <si>
    <t>557事務用品費</t>
  </si>
  <si>
    <t>558水道光熱費</t>
  </si>
  <si>
    <t>560支払手数料</t>
  </si>
  <si>
    <t>561融資ｱｯﾌﾟﾌﾛﾝﾄ等</t>
  </si>
  <si>
    <t>562地代家賃</t>
  </si>
  <si>
    <t>563保険料</t>
  </si>
  <si>
    <t>564租税公課(固都税)</t>
  </si>
  <si>
    <t>565租税公課(その他)</t>
  </si>
  <si>
    <t>567減価償却費</t>
  </si>
  <si>
    <t>568長期前払費用償却</t>
  </si>
  <si>
    <t>569繰延消費税償却(消費税)</t>
  </si>
  <si>
    <t>570繰延資産償却(販)</t>
  </si>
  <si>
    <t>571荷造運賃</t>
  </si>
  <si>
    <t>572新聞図書費</t>
  </si>
  <si>
    <t>574ﾘｰｽ料</t>
  </si>
  <si>
    <t>575寄付金</t>
  </si>
  <si>
    <t>576貸倒損失(販)</t>
  </si>
  <si>
    <t>577雑費</t>
  </si>
  <si>
    <t>578販売管理費計</t>
  </si>
  <si>
    <t>579営業損益金額</t>
  </si>
  <si>
    <t>599[営業外収益]</t>
  </si>
  <si>
    <t>600受取利息</t>
  </si>
  <si>
    <t>601受取配当金</t>
  </si>
  <si>
    <t>602雑収入(一般)</t>
  </si>
  <si>
    <t>603雑収入(税金還付)</t>
  </si>
  <si>
    <t>604雑収入(消費税)</t>
  </si>
  <si>
    <t>605受取和解金</t>
  </si>
  <si>
    <t>606政府補助金等収入</t>
  </si>
  <si>
    <t>607保険金収入</t>
  </si>
  <si>
    <t>608営業外収益合計</t>
  </si>
  <si>
    <t>619[営業外費用]</t>
  </si>
  <si>
    <t>620支払利息</t>
  </si>
  <si>
    <t>621雑損失(一般)</t>
  </si>
  <si>
    <t>622雑損失(消費税)</t>
  </si>
  <si>
    <t>623営業外費用合計</t>
  </si>
  <si>
    <t>624経常損益金額</t>
  </si>
  <si>
    <t>637[特別利益]</t>
  </si>
  <si>
    <t>638前期損益修正益</t>
  </si>
  <si>
    <t>639固定資産売却益</t>
  </si>
  <si>
    <t>640HD受贈益</t>
  </si>
  <si>
    <t>641特別利益合計</t>
  </si>
  <si>
    <t>651[特別損失]</t>
  </si>
  <si>
    <t>652投資有価証券売却損</t>
  </si>
  <si>
    <t>653HD寄附金</t>
  </si>
  <si>
    <t>654特別損失合計</t>
  </si>
  <si>
    <t>664[当期純損益]</t>
  </si>
  <si>
    <t>665税引前当期純損益金額</t>
  </si>
  <si>
    <t>666法人税等</t>
  </si>
  <si>
    <t>667法人税等調整額</t>
  </si>
  <si>
    <t>668当期純損益金額</t>
  </si>
  <si>
    <t>2021年12月末現在 連結B/S 試算表</t>
    <rPh sb="18" eb="21">
      <t>シサンヒョウ</t>
    </rPh>
    <phoneticPr fontId="5"/>
  </si>
  <si>
    <t>B/S</t>
  </si>
  <si>
    <t>1.コアプラス東京(株)</t>
  </si>
  <si>
    <t>2.コアプラス名古屋(株)</t>
  </si>
  <si>
    <t>3.コアプラス大阪(株)</t>
  </si>
  <si>
    <t>4.コアプラス仙台(株)</t>
  </si>
  <si>
    <t>5.コアプラス札幌(株)</t>
  </si>
  <si>
    <t>6.コアプラス福岡(株)</t>
  </si>
  <si>
    <t>7.コアプラス京都(株)</t>
  </si>
  <si>
    <t>8.コアプラス四国(株)</t>
  </si>
  <si>
    <t>9.コアプラス沖縄(株)</t>
  </si>
  <si>
    <t>101[現金･預金]</t>
  </si>
  <si>
    <t>102現金</t>
  </si>
  <si>
    <t>103普通預金</t>
  </si>
  <si>
    <t>104定期預金</t>
  </si>
  <si>
    <t>105定期積金</t>
  </si>
  <si>
    <t>106通知預金</t>
  </si>
  <si>
    <t>107現金･預金合計</t>
  </si>
  <si>
    <t>118[売上債権]</t>
  </si>
  <si>
    <t>119売掛金</t>
  </si>
  <si>
    <t>120売上債権合計</t>
  </si>
  <si>
    <t>131[有価証券]</t>
  </si>
  <si>
    <t>132有価証券合計</t>
  </si>
  <si>
    <t>139[棚卸資産]</t>
  </si>
  <si>
    <t>140商品</t>
  </si>
  <si>
    <t>141棚卸資産合計</t>
  </si>
  <si>
    <t>148[他流動資産]</t>
  </si>
  <si>
    <t>149前渡金</t>
  </si>
  <si>
    <t>150立替金</t>
  </si>
  <si>
    <t>151前払費用</t>
  </si>
  <si>
    <t>152繰延税金資産(流)</t>
  </si>
  <si>
    <t>153短期貸付金</t>
  </si>
  <si>
    <t>154役員貸付金</t>
  </si>
  <si>
    <t>155未収入金(ｸﾞﾙｰﾌﾟ間取引</t>
  </si>
  <si>
    <t>156未収入金(税金還付)</t>
  </si>
  <si>
    <t>157未収入金(一般)</t>
  </si>
  <si>
    <t>158仮払金(一般)</t>
  </si>
  <si>
    <t>159仮払金(ｸﾞﾙｰﾌﾟ内送金)</t>
  </si>
  <si>
    <t>160仮払消費税等</t>
  </si>
  <si>
    <t>161他流動資産合計</t>
  </si>
  <si>
    <t>162流動資産合計</t>
  </si>
  <si>
    <t>172[有形固定資産]</t>
  </si>
  <si>
    <t>173建物</t>
  </si>
  <si>
    <t>174附属設備</t>
  </si>
  <si>
    <t>175構築物</t>
  </si>
  <si>
    <t>176工具器具備品</t>
  </si>
  <si>
    <t>177一括償却資産</t>
  </si>
  <si>
    <t>178減価償却累計額</t>
  </si>
  <si>
    <t>179土地</t>
  </si>
  <si>
    <t>180建設仮勘定</t>
  </si>
  <si>
    <t>181有形固定資産計</t>
  </si>
  <si>
    <t>195[無形固定資産]</t>
  </si>
  <si>
    <t>196無形固定資産計</t>
  </si>
  <si>
    <t>208[投資その他の資産]</t>
  </si>
  <si>
    <t>209投資有価証券</t>
  </si>
  <si>
    <t>210出資金</t>
  </si>
  <si>
    <t>211差入保証金</t>
  </si>
  <si>
    <t>212長期前払費用(一般)</t>
  </si>
  <si>
    <t>213繰延消費税(消費税)</t>
  </si>
  <si>
    <t>214保険積立金</t>
  </si>
  <si>
    <t>216関係会社株式</t>
  </si>
  <si>
    <t>217投資その他の資産合計</t>
  </si>
  <si>
    <t>218固定資産合計</t>
  </si>
  <si>
    <t>228[繰延資産]</t>
  </si>
  <si>
    <t>229開業費</t>
  </si>
  <si>
    <t>230創立費</t>
  </si>
  <si>
    <t>231繰延資産合計</t>
  </si>
  <si>
    <t>246資産合計</t>
  </si>
  <si>
    <t>259[仕入債務]</t>
  </si>
  <si>
    <t>260仕入債務合計</t>
  </si>
  <si>
    <t>273[他流動負債]</t>
  </si>
  <si>
    <t>274役員借入金</t>
  </si>
  <si>
    <t>275短期借入金</t>
  </si>
  <si>
    <t>276前受収益</t>
  </si>
  <si>
    <t>277未払金(ｸﾞﾙｰﾌﾟ間取引)</t>
  </si>
  <si>
    <t>278未払金(給与)</t>
  </si>
  <si>
    <t>279未払金(一般)</t>
  </si>
  <si>
    <t>280未払費用</t>
  </si>
  <si>
    <t>281未払法人税等</t>
  </si>
  <si>
    <t>282未払消費税等</t>
  </si>
  <si>
    <t>283前受金</t>
  </si>
  <si>
    <t>284預り金(一般)</t>
  </si>
  <si>
    <t>285預り金(年金保険源泉税)</t>
  </si>
  <si>
    <t>286仮受金(賃料回収)</t>
  </si>
  <si>
    <t>287仮受金(ｸﾞﾙｰﾌﾟ内送金)</t>
  </si>
  <si>
    <t>288仮受金(一般)</t>
  </si>
  <si>
    <t>289預り保証金</t>
  </si>
  <si>
    <t>290仮受消費税等</t>
  </si>
  <si>
    <t>291他流動負債合計</t>
  </si>
  <si>
    <t>292流動負債合計</t>
  </si>
  <si>
    <t>302[固定負債]</t>
  </si>
  <si>
    <t>303長期借入金(不動産購入)</t>
  </si>
  <si>
    <t>304長期借入金(運転資金)</t>
  </si>
  <si>
    <t>305長期借入金(修繕資金)</t>
  </si>
  <si>
    <t>306長期借入金(その他)</t>
  </si>
  <si>
    <t>307長期未払金(一般)</t>
  </si>
  <si>
    <t>308預り敷金</t>
  </si>
  <si>
    <t>310固定負債合計</t>
  </si>
  <si>
    <t>311負債合計</t>
  </si>
  <si>
    <t>322[資本金]</t>
  </si>
  <si>
    <t>323資本金</t>
  </si>
  <si>
    <t>324資本金合計</t>
  </si>
  <si>
    <t>336[新株式申込証拠金]</t>
  </si>
  <si>
    <t>337新株式申込証拠金合計</t>
  </si>
  <si>
    <t>348[資本剰余金]</t>
  </si>
  <si>
    <t>349資本準備金合計</t>
  </si>
  <si>
    <t>350その他資本剰余金</t>
  </si>
  <si>
    <t>351その他資本剰余金合計</t>
  </si>
  <si>
    <t>352資本剰余金合計</t>
  </si>
  <si>
    <t>362[利益剰余金]</t>
  </si>
  <si>
    <t>363利益準備金合計</t>
  </si>
  <si>
    <t>364任意積立金合計</t>
  </si>
  <si>
    <t>365繰越利益</t>
  </si>
  <si>
    <t>366当期純損益金額</t>
  </si>
  <si>
    <t>367繰越利益剰余金合計</t>
  </si>
  <si>
    <t>368その他利益剰余金合計</t>
  </si>
  <si>
    <t>369利益剰余金合計</t>
  </si>
  <si>
    <t>380[自己株式]</t>
  </si>
  <si>
    <t>381自己株式合計</t>
  </si>
  <si>
    <t>393[自己株式申込証拠金]</t>
  </si>
  <si>
    <t>394自己株式申込証拠金合計</t>
  </si>
  <si>
    <t>395株主資本合計</t>
  </si>
  <si>
    <t>406[評価･換算差額等]</t>
  </si>
  <si>
    <t>407評価･換算差額等合計</t>
  </si>
  <si>
    <t>417[新株予約権]</t>
  </si>
  <si>
    <t>418新株予約権合計</t>
  </si>
  <si>
    <t>419純資産合計</t>
  </si>
  <si>
    <t>420負債･純資産合計</t>
  </si>
  <si>
    <t>2022年3月末現在 連結P/L 試算表</t>
    <rPh sb="17" eb="20">
      <t>シサンヒョウ</t>
    </rPh>
    <phoneticPr fontId="5"/>
  </si>
  <si>
    <t>令和4年</t>
    <rPh sb="3" eb="4">
      <t>ネン</t>
    </rPh>
    <phoneticPr fontId="5"/>
  </si>
  <si>
    <t>2022年3月末現在 連結B/S 試算表</t>
    <rPh sb="17" eb="20">
      <t>シサンヒョウ</t>
    </rPh>
    <phoneticPr fontId="5"/>
  </si>
  <si>
    <t>107現金･預金合計</t>
    <phoneticPr fontId="5"/>
  </si>
  <si>
    <t>210出資金</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</si>
</sst>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8">
    <numFmt numFmtId="5" formatCode="&quot;¥&quot;#,##0;&quot;¥&quot;\-#,##0"/>
    <numFmt numFmtId="6" formatCode="&quot;¥&quot;#,##0;[Red]&quot;¥&quot;\-#,##0"/>
    <numFmt numFmtId="176" formatCode="[$-F800]dddd\,\ mmmm\ dd\,\ yyyy"/>
    <numFmt numFmtId="177" formatCode="#,##0_);[Red]\(#,##0\)"/>
    <numFmt numFmtId="178" formatCode="yyyy&quot;年&quot;m&quot;月&quot;d&quot;日&quot;&quot;現&quot;&quot;在&quot;"/>
    <numFmt numFmtId="179" formatCode="General&quot;万円&quot;"/>
    <numFmt numFmtId="180" formatCode="General&quot;期&quot;"/>
    <numFmt numFmtId="181" formatCode="0_);[Red]\(0\)"/>
    <numFmt numFmtId="182" formatCode="&quot;¥&quot;#,##0_);[Red]\(&quot;¥&quot;#,##0\)"/>
    <numFmt numFmtId="183" formatCode="#,###&quot;万円&quot;;[Red]\-#,###&quot;万円&quot;"/>
    <numFmt numFmtId="184" formatCode="0.0%"/>
    <numFmt numFmtId="185" formatCode="#,##0&quot;万円&quot;;[Red]\-#,##0&quot;万円&quot;"/>
    <numFmt numFmtId="186" formatCode="#,###&quot;万円&quot;"/>
    <numFmt numFmtId="187" formatCode="yyyy&quot;年&quot;m&quot;月&quot;d&quot;日&quot;&quot;現在&quot;"/>
    <numFmt numFmtId="188" formatCode="0_ &quot;坪&quot;"/>
    <numFmt numFmtId="189" formatCode="#&quot;年&quot;"/>
    <numFmt numFmtId="190" formatCode="#,##0_ &quot;万円&quot;"/>
    <numFmt numFmtId="191" formatCode="#,##0&quot;万円&quot;"/>
    <numFmt numFmtId="192" formatCode="#.#\ &quot;㎡&quot;"/>
    <numFmt numFmtId="193" formatCode="[$-411]ggge&quot;年&quot;m&quot;月&quot;d&quot;日&quot;;@"/>
    <numFmt numFmtId="194" formatCode="General&quot;年&quot;"/>
    <numFmt numFmtId="195" formatCode="yyyy&quot;年&quot;m&quot;月&quot;d&quot;日&quot;;@"/>
    <numFmt numFmtId="196" formatCode="#,##0_ "/>
    <numFmt numFmtId="197" formatCode="#,##0.0_ "/>
    <numFmt numFmtId="198" formatCode="0.00_ &quot;㎡&quot;"/>
    <numFmt numFmtId="199" formatCode="General\ &quot;㎡&quot;"/>
    <numFmt numFmtId="200" formatCode="0.00_ "/>
    <numFmt numFmtId="201" formatCode="#.000&quot;%&quot;"/>
    <numFmt numFmtId="202" formatCode="0&quot;年&quot;"/>
    <numFmt numFmtId="203" formatCode="&quot;C&quot;General"/>
    <numFmt numFmtId="204" formatCode="&quot;B&quot;General"/>
    <numFmt numFmtId="205" formatCode="&quot;E&quot;General"/>
    <numFmt numFmtId="206" formatCode="&quot;F&quot;General"/>
    <numFmt numFmtId="207" formatCode="General&quot;年度&quot;"/>
    <numFmt numFmtId="208" formatCode="0.0_ "/>
    <numFmt numFmtId="209" formatCode="&quot;D&quot;General"/>
    <numFmt numFmtId="210" formatCode="&quot;G&quot;General"/>
    <numFmt numFmtId="211" formatCode="0.000&quot;%&quot;"/>
  </numFmts>
  <fonts count="43">
    <font>
      <sz val="11"/>
      <color theme="1"/>
      <name val="ＭＳ Ｐゴシック"/>
      <family val="2"/>
      <charset val="128"/>
      <scheme val="minor"/>
    </font>
    <font>
      <sz val="11"/>
      <color theme="1"/>
      <name val="ＭＳ Ｐゴシック"/>
      <family val="2"/>
      <charset val="128"/>
      <scheme val="minor"/>
    </font>
    <font>
      <b/>
      <sz val="11"/>
      <color theme="0"/>
      <name val="ＭＳ Ｐゴシック"/>
      <family val="2"/>
      <charset val="128"/>
      <scheme val="minor"/>
    </font>
    <font>
      <b/>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b/>
      <sz val="11"/>
      <color theme="1"/>
      <name val="ＭＳ Ｐゴシック"/>
      <family val="3"/>
      <charset val="128"/>
      <scheme val="minor"/>
    </font>
    <font>
      <sz val="11"/>
      <color theme="0"/>
      <name val="ＭＳ Ｐゴシック"/>
      <family val="3"/>
      <charset val="128"/>
      <scheme val="minor"/>
    </font>
    <font>
      <sz val="18"/>
      <color theme="1"/>
      <name val="ＭＳ Ｐゴシック"/>
      <family val="2"/>
      <charset val="128"/>
      <scheme val="minor"/>
    </font>
    <font>
      <sz val="11"/>
      <color rgb="FFFF0000"/>
      <name val="ＭＳ Ｐゴシック"/>
      <family val="3"/>
      <charset val="128"/>
      <scheme val="minor"/>
    </font>
    <font>
      <sz val="10"/>
      <color theme="1"/>
      <name val="ＭＳ Ｐゴシック"/>
      <family val="2"/>
      <charset val="128"/>
      <scheme val="minor"/>
    </font>
    <font>
      <sz val="12"/>
      <color rgb="FFFF0000"/>
      <name val="ＭＳ Ｐゴシック"/>
      <family val="3"/>
      <charset val="128"/>
      <scheme val="minor"/>
    </font>
    <font>
      <sz val="12"/>
      <name val="ＭＳ Ｐゴシック"/>
      <family val="3"/>
      <charset val="128"/>
      <scheme val="minor"/>
    </font>
    <font>
      <sz val="12"/>
      <color theme="1"/>
      <name val="ＭＳ Ｐゴシック"/>
      <family val="3"/>
      <charset val="128"/>
      <scheme val="minor"/>
    </font>
    <font>
      <b/>
      <sz val="11"/>
      <color theme="0"/>
      <name val="ＭＳ Ｐゴシック"/>
      <family val="3"/>
      <charset val="128"/>
      <scheme val="minor"/>
    </font>
    <font>
      <sz val="11"/>
      <name val="ＭＳ Ｐゴシック"/>
      <family val="3"/>
      <charset val="128"/>
      <scheme val="minor"/>
    </font>
    <font>
      <sz val="16"/>
      <color theme="1"/>
      <name val="ＭＳ Ｐゴシック"/>
      <family val="3"/>
      <charset val="128"/>
      <scheme val="minor"/>
    </font>
    <font>
      <b/>
      <sz val="11"/>
      <color rgb="FF92D050"/>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0"/>
      <color theme="1"/>
      <name val="ＭＳ Ｐゴシック"/>
      <family val="3"/>
      <charset val="128"/>
      <scheme val="minor"/>
    </font>
    <font>
      <sz val="10"/>
      <color theme="0"/>
      <name val="ＭＳ Ｐゴシック"/>
      <family val="3"/>
      <charset val="128"/>
      <scheme val="minor"/>
    </font>
    <font>
      <sz val="18"/>
      <color theme="1"/>
      <name val="ＭＳ Ｐゴシック"/>
      <family val="3"/>
      <charset val="128"/>
      <scheme val="minor"/>
    </font>
    <font>
      <sz val="14"/>
      <color theme="1"/>
      <name val="ＭＳ Ｐゴシック"/>
      <family val="3"/>
      <charset val="128"/>
      <scheme val="minor"/>
    </font>
    <font>
      <sz val="18"/>
      <color theme="1"/>
      <name val="Meiryo UI"/>
      <family val="3"/>
      <charset val="128"/>
    </font>
    <font>
      <b/>
      <sz val="11"/>
      <name val="ＭＳ Ｐゴシック"/>
      <family val="3"/>
      <charset val="128"/>
      <scheme val="minor"/>
    </font>
    <font>
      <sz val="9"/>
      <color theme="1"/>
      <name val="ＭＳ Ｐゴシック"/>
      <family val="3"/>
      <charset val="128"/>
      <scheme val="minor"/>
    </font>
    <font>
      <sz val="20"/>
      <color theme="0"/>
      <name val="ＭＳ Ｐゴシック"/>
      <family val="3"/>
      <charset val="128"/>
      <scheme val="minor"/>
    </font>
    <font>
      <sz val="20"/>
      <color theme="1"/>
      <name val="ＭＳ Ｐゴシック"/>
      <family val="2"/>
      <charset val="128"/>
      <scheme val="minor"/>
    </font>
    <font>
      <b/>
      <sz val="14"/>
      <color theme="1"/>
      <name val="ＭＳ Ｐゴシック"/>
      <family val="3"/>
      <charset val="128"/>
      <scheme val="minor"/>
    </font>
    <font>
      <b/>
      <sz val="9"/>
      <color theme="1"/>
      <name val="ＭＳ Ｐゴシック"/>
      <family val="3"/>
      <charset val="128"/>
      <scheme val="minor"/>
    </font>
    <font>
      <b/>
      <sz val="14"/>
      <color theme="0"/>
      <name val="ＭＳ Ｐゴシック"/>
      <family val="3"/>
      <charset val="128"/>
      <scheme val="minor"/>
    </font>
    <font>
      <sz val="8"/>
      <color theme="1"/>
      <name val="ＭＳ Ｐゴシック"/>
      <family val="3"/>
      <charset val="128"/>
      <scheme val="minor"/>
    </font>
    <font>
      <sz val="11"/>
      <color theme="1"/>
      <name val="Meiryo UI"/>
      <family val="3"/>
      <charset val="128"/>
    </font>
    <font>
      <sz val="12"/>
      <color theme="1"/>
      <name val="ＭＳ Ｐゴシック"/>
      <family val="2"/>
      <charset val="128"/>
      <scheme val="minor"/>
    </font>
    <font>
      <sz val="11"/>
      <color theme="8" tint="-0.249977111117893"/>
      <name val="ＭＳ Ｐゴシック"/>
      <family val="3"/>
      <charset val="128"/>
      <scheme val="minor"/>
    </font>
    <font>
      <sz val="9"/>
      <color theme="1"/>
      <name val="ＭＳ Ｐゴシック"/>
      <family val="2"/>
      <charset val="128"/>
      <scheme val="minor"/>
    </font>
    <font>
      <u/>
      <sz val="11"/>
      <color theme="10"/>
      <name val="ＭＳ Ｐゴシック"/>
      <family val="2"/>
      <charset val="128"/>
      <scheme val="minor"/>
    </font>
    <font>
      <b/>
      <sz val="11"/>
      <color rgb="FF00B050"/>
      <name val="ＭＳ Ｐゴシック"/>
      <family val="3"/>
      <charset val="128"/>
      <scheme val="minor"/>
    </font>
    <font>
      <sz val="10"/>
      <color theme="1"/>
      <name val="Meiryo UI"/>
      <family val="3"/>
      <charset val="128"/>
    </font>
    <font>
      <sz val="9"/>
      <color theme="0"/>
      <name val="ＭＳ Ｐゴシック"/>
      <family val="3"/>
      <charset val="128"/>
      <scheme val="minor"/>
    </font>
    <font>
      <sz val="11"/>
      <color rgb="FFFF0000"/>
      <name val="ＭＳ Ｐゴシック"/>
      <family val="2"/>
      <charset val="128"/>
      <scheme val="minor"/>
    </font>
    <font>
      <b/>
      <sz val="11"/>
      <color rgb="FFFF0000"/>
      <name val="ＭＳ Ｐゴシック"/>
      <family val="3"/>
      <charset val="128"/>
      <scheme val="minor"/>
    </font>
  </fonts>
  <fills count="41">
    <fill>
      <patternFill patternType="none"/>
    </fill>
    <fill>
      <patternFill patternType="gray125"/>
    </fill>
    <fill>
      <patternFill patternType="solid">
        <fgColor theme="3" tint="-0.249977111117893"/>
        <bgColor indexed="64"/>
      </patternFill>
    </fill>
    <fill>
      <patternFill patternType="solid">
        <fgColor theme="1" tint="4.9989318521683403E-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8" tint="-0.249977111117893"/>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8" tint="-0.499984740745262"/>
        <bgColor indexed="64"/>
      </patternFill>
    </fill>
    <fill>
      <patternFill patternType="solid">
        <fgColor theme="6" tint="0.59999389629810485"/>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6" tint="-0.249977111117893"/>
        <bgColor indexed="64"/>
      </patternFill>
    </fill>
    <fill>
      <patternFill patternType="solid">
        <fgColor theme="4" tint="0.79998168889431442"/>
        <bgColor indexed="64"/>
      </patternFill>
    </fill>
    <fill>
      <patternFill patternType="solid">
        <fgColor theme="3" tint="0.39997558519241921"/>
        <bgColor theme="6" tint="0.79998168889431442"/>
      </patternFill>
    </fill>
    <fill>
      <patternFill patternType="solid">
        <fgColor theme="2" tint="-0.499984740745262"/>
        <bgColor indexed="64"/>
      </patternFill>
    </fill>
    <fill>
      <patternFill patternType="solid">
        <fgColor theme="2" tint="-0.249977111117893"/>
        <bgColor indexed="64"/>
      </patternFill>
    </fill>
    <fill>
      <patternFill patternType="solid">
        <fgColor theme="3" tint="-0.249977111117893"/>
        <bgColor theme="4"/>
      </patternFill>
    </fill>
    <fill>
      <patternFill patternType="solid">
        <fgColor theme="7" tint="0.79998168889431442"/>
        <bgColor indexed="64"/>
      </patternFill>
    </fill>
    <fill>
      <patternFill patternType="solid">
        <fgColor theme="8" tint="-0.249977111117893"/>
        <bgColor theme="4"/>
      </patternFill>
    </fill>
    <fill>
      <patternFill patternType="solid">
        <fgColor theme="4"/>
        <bgColor theme="4"/>
      </patternFill>
    </fill>
    <fill>
      <patternFill patternType="solid">
        <fgColor theme="0" tint="-0.14999847407452621"/>
        <bgColor theme="4"/>
      </patternFill>
    </fill>
    <fill>
      <patternFill patternType="solid">
        <fgColor theme="4" tint="-0.499984740745262"/>
        <bgColor indexed="64"/>
      </patternFill>
    </fill>
    <fill>
      <patternFill patternType="solid">
        <fgColor rgb="FFFFC000"/>
        <bgColor indexed="64"/>
      </patternFill>
    </fill>
    <fill>
      <patternFill patternType="solid">
        <fgColor theme="8" tint="0.39997558519241921"/>
        <bgColor theme="4" tint="0.79998168889431442"/>
      </patternFill>
    </fill>
    <fill>
      <patternFill patternType="solid">
        <fgColor theme="8" tint="0.59999389629810485"/>
        <bgColor theme="4" tint="0.79998168889431442"/>
      </patternFill>
    </fill>
    <fill>
      <patternFill patternType="solid">
        <fgColor theme="9" tint="-0.499984740745262"/>
        <bgColor indexed="64"/>
      </patternFill>
    </fill>
    <fill>
      <patternFill patternType="solid">
        <fgColor theme="5" tint="0.39997558519241921"/>
        <bgColor theme="4" tint="0.79998168889431442"/>
      </patternFill>
    </fill>
    <fill>
      <patternFill patternType="solid">
        <fgColor theme="5" tint="0.59999389629810485"/>
        <bgColor theme="4" tint="0.79998168889431442"/>
      </patternFill>
    </fill>
    <fill>
      <patternFill patternType="solid">
        <fgColor theme="7" tint="0.59999389629810485"/>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style="double">
        <color indexed="64"/>
      </bottom>
      <diagonal/>
    </border>
    <border>
      <left/>
      <right style="thin">
        <color indexed="64"/>
      </right>
      <top/>
      <bottom style="double">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uble">
        <color indexed="64"/>
      </bottom>
      <diagonal/>
    </border>
    <border>
      <left/>
      <right/>
      <top style="hair">
        <color auto="1"/>
      </top>
      <bottom style="hair">
        <color auto="1"/>
      </bottom>
      <diagonal/>
    </border>
    <border>
      <left/>
      <right/>
      <top/>
      <bottom style="thin">
        <color theme="6" tint="0.39997558519241921"/>
      </bottom>
      <diagonal/>
    </border>
    <border>
      <left/>
      <right/>
      <top/>
      <bottom style="hair">
        <color auto="1"/>
      </bottom>
      <diagonal/>
    </border>
    <border>
      <left/>
      <right/>
      <top style="thin">
        <color theme="4" tint="0.39997558519241921"/>
      </top>
      <bottom/>
      <diagonal/>
    </border>
    <border>
      <left/>
      <right/>
      <top/>
      <bottom style="thin">
        <color theme="4" tint="0.39997558519241921"/>
      </bottom>
      <diagonal/>
    </border>
    <border>
      <left/>
      <right/>
      <top style="hair">
        <color auto="1"/>
      </top>
      <bottom style="double">
        <color indexed="64"/>
      </bottom>
      <diagonal/>
    </border>
    <border>
      <left style="thin">
        <color theme="3"/>
      </left>
      <right/>
      <top style="thin">
        <color theme="3"/>
      </top>
      <bottom/>
      <diagonal/>
    </border>
    <border>
      <left/>
      <right/>
      <top style="thin">
        <color theme="3"/>
      </top>
      <bottom/>
      <diagonal/>
    </border>
    <border>
      <left/>
      <right style="thin">
        <color theme="3"/>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right/>
      <top style="hair">
        <color auto="1"/>
      </top>
      <bottom/>
      <diagonal/>
    </border>
  </borders>
  <cellStyleXfs count="2">
    <xf numFmtId="0" fontId="0" fillId="0" borderId="0">
      <alignment vertical="center"/>
    </xf>
    <xf numFmtId="0" fontId="37" fillId="0" borderId="0" applyNumberFormat="0" applyFill="0" applyBorder="0" applyAlignment="0" applyProtection="0">
      <alignment vertical="center"/>
    </xf>
  </cellStyleXfs>
  <cellXfs count="638">
    <xf numFmtId="0" fontId="0" fillId="0" borderId="0" xfId="0">
      <alignment vertical="center"/>
    </xf>
    <xf numFmtId="0" fontId="7" fillId="2" borderId="0" xfId="0" applyFont="1" applyFill="1">
      <alignment vertical="center"/>
    </xf>
    <xf numFmtId="0" fontId="4" fillId="2" borderId="0" xfId="0" applyFont="1" applyFill="1">
      <alignment vertical="center"/>
    </xf>
    <xf numFmtId="0" fontId="0" fillId="0" borderId="0" xfId="0" applyAlignment="1">
      <alignment vertical="center" shrinkToFit="1"/>
    </xf>
    <xf numFmtId="0" fontId="0" fillId="5" borderId="0" xfId="0" applyFill="1">
      <alignment vertical="center"/>
    </xf>
    <xf numFmtId="0" fontId="0" fillId="0" borderId="0" xfId="0" applyAlignment="1">
      <alignment horizontal="left" vertical="center"/>
    </xf>
    <xf numFmtId="0" fontId="0" fillId="0" borderId="0" xfId="0" applyAlignment="1">
      <alignment horizontal="right" vertical="center"/>
    </xf>
    <xf numFmtId="0" fontId="14" fillId="12" borderId="7" xfId="0" applyFont="1" applyFill="1" applyBorder="1">
      <alignment vertical="center"/>
    </xf>
    <xf numFmtId="0" fontId="0" fillId="4" borderId="4" xfId="0" applyFill="1" applyBorder="1" applyAlignment="1" applyProtection="1">
      <alignment vertical="center" shrinkToFit="1"/>
      <protection locked="0"/>
    </xf>
    <xf numFmtId="0" fontId="4" fillId="7" borderId="2" xfId="0" applyFont="1" applyFill="1" applyBorder="1" applyProtection="1">
      <alignment vertical="center"/>
      <protection locked="0"/>
    </xf>
    <xf numFmtId="0" fontId="7" fillId="7" borderId="5" xfId="0" applyFont="1" applyFill="1" applyBorder="1" applyAlignment="1" applyProtection="1">
      <alignment horizontal="right" vertical="center" wrapText="1"/>
      <protection locked="0"/>
    </xf>
    <xf numFmtId="0" fontId="1" fillId="4" borderId="4" xfId="0" applyFont="1" applyFill="1" applyBorder="1" applyAlignment="1" applyProtection="1">
      <alignment vertical="center" shrinkToFit="1"/>
      <protection locked="0"/>
    </xf>
    <xf numFmtId="0" fontId="1" fillId="4" borderId="2" xfId="0" applyFont="1" applyFill="1" applyBorder="1">
      <alignment vertical="center"/>
    </xf>
    <xf numFmtId="0" fontId="1" fillId="4" borderId="4" xfId="0" applyFont="1" applyFill="1" applyBorder="1" applyAlignment="1">
      <alignment vertical="center" shrinkToFit="1"/>
    </xf>
    <xf numFmtId="0" fontId="18" fillId="4" borderId="4" xfId="0" applyFont="1" applyFill="1" applyBorder="1" applyAlignment="1" applyProtection="1">
      <alignment vertical="center" shrinkToFit="1"/>
      <protection locked="0"/>
    </xf>
    <xf numFmtId="0" fontId="0" fillId="4" borderId="4" xfId="0" applyFill="1" applyBorder="1" applyAlignment="1">
      <alignment vertical="center" shrinkToFit="1"/>
    </xf>
    <xf numFmtId="0" fontId="1" fillId="0" borderId="5" xfId="0" applyFont="1" applyBorder="1" applyAlignment="1" applyProtection="1">
      <alignment horizontal="right" vertical="center" wrapText="1"/>
      <protection locked="0"/>
    </xf>
    <xf numFmtId="0" fontId="0" fillId="0" borderId="5" xfId="0" applyBorder="1" applyAlignment="1" applyProtection="1">
      <alignment horizontal="right" vertical="center" wrapText="1"/>
      <protection locked="0"/>
    </xf>
    <xf numFmtId="192" fontId="1" fillId="0" borderId="5" xfId="0" applyNumberFormat="1" applyFont="1" applyBorder="1" applyAlignment="1" applyProtection="1">
      <alignment horizontal="right" vertical="center" wrapText="1"/>
      <protection locked="0"/>
    </xf>
    <xf numFmtId="188" fontId="1" fillId="0" borderId="5" xfId="0" applyNumberFormat="1" applyFont="1" applyBorder="1" applyAlignment="1">
      <alignment horizontal="right" vertical="center" wrapText="1"/>
    </xf>
    <xf numFmtId="194" fontId="1" fillId="0" borderId="5" xfId="0" applyNumberFormat="1" applyFont="1" applyBorder="1" applyAlignment="1">
      <alignment horizontal="right" vertical="center" wrapText="1"/>
    </xf>
    <xf numFmtId="0" fontId="14" fillId="4" borderId="1" xfId="0" applyFont="1" applyFill="1" applyBorder="1" applyAlignment="1" applyProtection="1">
      <alignment horizontal="right" vertical="center" wrapText="1"/>
      <protection locked="0"/>
    </xf>
    <xf numFmtId="0" fontId="7" fillId="4" borderId="5" xfId="0" applyFont="1" applyFill="1" applyBorder="1" applyAlignment="1" applyProtection="1">
      <alignment horizontal="right" vertical="center" wrapText="1"/>
      <protection locked="0"/>
    </xf>
    <xf numFmtId="0" fontId="0" fillId="0" borderId="0" xfId="0" applyProtection="1">
      <alignment vertical="center"/>
      <protection locked="0"/>
    </xf>
    <xf numFmtId="176" fontId="8" fillId="0" borderId="0" xfId="0" applyNumberFormat="1" applyFont="1" applyAlignment="1" applyProtection="1">
      <alignment horizontal="right" vertical="center"/>
      <protection locked="0"/>
    </xf>
    <xf numFmtId="0" fontId="8" fillId="0" borderId="0" xfId="0" applyFont="1" applyAlignment="1" applyProtection="1">
      <alignment horizontal="right" vertical="center"/>
      <protection locked="0"/>
    </xf>
    <xf numFmtId="187" fontId="8" fillId="0" borderId="0" xfId="0" applyNumberFormat="1" applyFont="1" applyAlignment="1" applyProtection="1">
      <alignment horizontal="center" vertical="center"/>
      <protection locked="0"/>
    </xf>
    <xf numFmtId="187" fontId="8" fillId="0" borderId="14" xfId="0" applyNumberFormat="1" applyFont="1" applyBorder="1" applyAlignment="1" applyProtection="1">
      <alignment horizontal="left" vertical="center"/>
      <protection locked="0"/>
    </xf>
    <xf numFmtId="187" fontId="8" fillId="0" borderId="14" xfId="0" applyNumberFormat="1" applyFont="1" applyBorder="1" applyAlignment="1" applyProtection="1">
      <alignment horizontal="center" vertical="center"/>
      <protection locked="0"/>
    </xf>
    <xf numFmtId="0" fontId="4" fillId="0" borderId="0" xfId="0" applyFont="1">
      <alignment vertical="center"/>
    </xf>
    <xf numFmtId="0" fontId="7" fillId="0" borderId="0" xfId="0" applyFont="1">
      <alignment vertical="center"/>
    </xf>
    <xf numFmtId="5" fontId="0" fillId="0" borderId="0" xfId="0" applyNumberFormat="1" applyAlignment="1" applyProtection="1">
      <alignment horizontal="right" vertical="center"/>
      <protection locked="0"/>
    </xf>
    <xf numFmtId="0" fontId="0" fillId="21" borderId="1" xfId="0" applyFill="1" applyBorder="1" applyAlignment="1" applyProtection="1">
      <alignment horizontal="left" vertical="center" shrinkToFit="1"/>
      <protection locked="0"/>
    </xf>
    <xf numFmtId="0" fontId="14" fillId="26" borderId="0" xfId="0" applyFont="1" applyFill="1" applyAlignment="1">
      <alignment vertical="center" shrinkToFit="1"/>
    </xf>
    <xf numFmtId="0" fontId="0" fillId="24" borderId="19" xfId="0" applyFill="1" applyBorder="1" applyProtection="1">
      <alignment vertical="center"/>
      <protection locked="0"/>
    </xf>
    <xf numFmtId="0" fontId="0" fillId="21" borderId="19" xfId="0" applyFill="1" applyBorder="1" applyProtection="1">
      <alignment vertical="center"/>
      <protection locked="0"/>
    </xf>
    <xf numFmtId="0" fontId="0" fillId="14" borderId="19" xfId="0" applyFill="1" applyBorder="1" applyProtection="1">
      <alignment vertical="center"/>
      <protection locked="0"/>
    </xf>
    <xf numFmtId="0" fontId="0" fillId="29" borderId="19" xfId="0" applyFill="1" applyBorder="1" applyProtection="1">
      <alignment vertical="center"/>
      <protection locked="0"/>
    </xf>
    <xf numFmtId="0" fontId="15" fillId="29" borderId="19" xfId="0" applyFont="1" applyFill="1" applyBorder="1" applyProtection="1">
      <alignment vertical="center"/>
      <protection locked="0"/>
    </xf>
    <xf numFmtId="0" fontId="0" fillId="6" borderId="19" xfId="0" applyFill="1" applyBorder="1" applyProtection="1">
      <alignment vertical="center"/>
      <protection locked="0"/>
    </xf>
    <xf numFmtId="0" fontId="0" fillId="13" borderId="19" xfId="0" applyFill="1" applyBorder="1" applyProtection="1">
      <alignment vertical="center"/>
      <protection locked="0"/>
    </xf>
    <xf numFmtId="0" fontId="0" fillId="15" borderId="19" xfId="0" applyFill="1" applyBorder="1" applyProtection="1">
      <alignment vertical="center"/>
      <protection locked="0"/>
    </xf>
    <xf numFmtId="0" fontId="0" fillId="10" borderId="19" xfId="0" applyFill="1" applyBorder="1" applyProtection="1">
      <alignment vertical="center"/>
      <protection locked="0"/>
    </xf>
    <xf numFmtId="0" fontId="0" fillId="0" borderId="21" xfId="0" applyBorder="1" applyAlignment="1" applyProtection="1">
      <alignment horizontal="right" vertical="center" shrinkToFit="1"/>
      <protection locked="0"/>
    </xf>
    <xf numFmtId="0" fontId="0" fillId="0" borderId="19" xfId="0" applyBorder="1" applyAlignment="1" applyProtection="1">
      <alignment horizontal="right" vertical="center" shrinkToFit="1"/>
      <protection locked="0"/>
    </xf>
    <xf numFmtId="49" fontId="0" fillId="0" borderId="19" xfId="0" applyNumberFormat="1" applyBorder="1" applyAlignment="1" applyProtection="1">
      <alignment horizontal="right" vertical="center" shrinkToFit="1"/>
      <protection locked="0"/>
    </xf>
    <xf numFmtId="198" fontId="0" fillId="0" borderId="19" xfId="0" applyNumberFormat="1" applyBorder="1" applyAlignment="1" applyProtection="1">
      <alignment horizontal="right" vertical="center" shrinkToFit="1"/>
      <protection locked="0"/>
    </xf>
    <xf numFmtId="0" fontId="15" fillId="0" borderId="19" xfId="0" applyFont="1" applyBorder="1" applyAlignment="1" applyProtection="1">
      <alignment horizontal="right" vertical="center" shrinkToFit="1"/>
      <protection locked="0"/>
    </xf>
    <xf numFmtId="49" fontId="15" fillId="0" borderId="19" xfId="0" applyNumberFormat="1" applyFont="1" applyBorder="1" applyAlignment="1" applyProtection="1">
      <alignment horizontal="right" vertical="center" shrinkToFit="1"/>
      <protection locked="0"/>
    </xf>
    <xf numFmtId="198" fontId="15" fillId="0" borderId="19" xfId="0" applyNumberFormat="1" applyFont="1" applyBorder="1" applyAlignment="1" applyProtection="1">
      <alignment horizontal="right" vertical="center" shrinkToFit="1"/>
      <protection locked="0"/>
    </xf>
    <xf numFmtId="182" fontId="18" fillId="0" borderId="0" xfId="0" applyNumberFormat="1" applyFont="1" applyAlignment="1" applyProtection="1">
      <alignment horizontal="left" vertical="center"/>
      <protection locked="0"/>
    </xf>
    <xf numFmtId="0" fontId="18" fillId="0" borderId="0" xfId="0" applyFont="1" applyProtection="1">
      <alignment vertical="center"/>
      <protection locked="0"/>
    </xf>
    <xf numFmtId="182" fontId="26" fillId="0" borderId="0" xfId="0" applyNumberFormat="1" applyFont="1" applyAlignment="1" applyProtection="1">
      <alignment horizontal="left" vertical="center"/>
      <protection locked="0"/>
    </xf>
    <xf numFmtId="182" fontId="21" fillId="16" borderId="0" xfId="0" applyNumberFormat="1" applyFont="1" applyFill="1" applyAlignment="1" applyProtection="1">
      <alignment horizontal="left" vertical="center" wrapText="1"/>
      <protection locked="0"/>
    </xf>
    <xf numFmtId="0" fontId="7" fillId="0" borderId="0" xfId="0" applyFont="1" applyAlignment="1" applyProtection="1">
      <alignment vertical="center" wrapText="1"/>
      <protection locked="0"/>
    </xf>
    <xf numFmtId="182" fontId="0" fillId="0" borderId="0" xfId="0" applyNumberFormat="1" applyAlignment="1" applyProtection="1">
      <alignment horizontal="left" vertical="center" shrinkToFit="1"/>
      <protection locked="0"/>
    </xf>
    <xf numFmtId="5" fontId="0" fillId="0" borderId="0" xfId="0" applyNumberFormat="1" applyAlignment="1" applyProtection="1">
      <alignment horizontal="left" vertical="center"/>
      <protection locked="0"/>
    </xf>
    <xf numFmtId="5" fontId="0" fillId="0" borderId="0" xfId="0" applyNumberFormat="1">
      <alignment vertical="center"/>
    </xf>
    <xf numFmtId="5" fontId="15" fillId="0" borderId="0" xfId="0" applyNumberFormat="1" applyFont="1" applyAlignment="1" applyProtection="1">
      <alignment horizontal="left" vertical="center"/>
      <protection locked="0"/>
    </xf>
    <xf numFmtId="5" fontId="15" fillId="0" borderId="0" xfId="0" applyNumberFormat="1" applyFont="1" applyAlignment="1" applyProtection="1">
      <alignment horizontal="right" vertical="center"/>
      <protection locked="0"/>
    </xf>
    <xf numFmtId="182" fontId="0" fillId="0" borderId="0" xfId="0" applyNumberFormat="1" applyAlignment="1" applyProtection="1">
      <alignment horizontal="right" vertical="center"/>
      <protection locked="0"/>
    </xf>
    <xf numFmtId="0" fontId="0" fillId="0" borderId="0" xfId="0" applyAlignment="1" applyProtection="1">
      <alignment horizontal="left" vertical="center"/>
      <protection locked="0"/>
    </xf>
    <xf numFmtId="0" fontId="0" fillId="0" borderId="0" xfId="0" applyAlignment="1" applyProtection="1">
      <alignment horizontal="right" vertical="center"/>
      <protection locked="0"/>
    </xf>
    <xf numFmtId="0" fontId="23" fillId="0" borderId="0" xfId="0" applyFont="1" applyProtection="1">
      <alignment vertical="center"/>
      <protection locked="0"/>
    </xf>
    <xf numFmtId="5" fontId="0" fillId="0" borderId="0" xfId="0" applyNumberFormat="1" applyProtection="1">
      <alignment vertical="center"/>
      <protection locked="0"/>
    </xf>
    <xf numFmtId="0" fontId="24" fillId="0" borderId="0" xfId="0" applyFont="1" applyProtection="1">
      <alignment vertical="center"/>
      <protection locked="0"/>
    </xf>
    <xf numFmtId="5" fontId="18" fillId="12" borderId="3" xfId="0" applyNumberFormat="1" applyFont="1" applyFill="1" applyBorder="1" applyProtection="1">
      <alignment vertical="center"/>
      <protection locked="0"/>
    </xf>
    <xf numFmtId="0" fontId="0" fillId="0" borderId="18" xfId="0" applyBorder="1">
      <alignment vertical="center"/>
    </xf>
    <xf numFmtId="0" fontId="7" fillId="12" borderId="2" xfId="0" applyFont="1" applyFill="1" applyBorder="1" applyProtection="1">
      <alignment vertical="center"/>
      <protection locked="0"/>
    </xf>
    <xf numFmtId="0" fontId="18" fillId="12" borderId="3" xfId="0" applyFont="1" applyFill="1" applyBorder="1">
      <alignment vertical="center"/>
    </xf>
    <xf numFmtId="0" fontId="18" fillId="12" borderId="3" xfId="0" applyFont="1" applyFill="1" applyBorder="1" applyAlignment="1" applyProtection="1">
      <alignment horizontal="left" vertical="center"/>
      <protection locked="0"/>
    </xf>
    <xf numFmtId="0" fontId="18" fillId="12" borderId="3" xfId="0" applyFont="1" applyFill="1" applyBorder="1" applyProtection="1">
      <alignment vertical="center"/>
      <protection locked="0"/>
    </xf>
    <xf numFmtId="0" fontId="15" fillId="32" borderId="1" xfId="0" applyFont="1" applyFill="1" applyBorder="1" applyProtection="1">
      <alignment vertical="center"/>
      <protection locked="0"/>
    </xf>
    <xf numFmtId="0" fontId="15" fillId="32" borderId="1" xfId="0" applyFont="1" applyFill="1" applyBorder="1">
      <alignment vertical="center"/>
    </xf>
    <xf numFmtId="5" fontId="15" fillId="32" borderId="1" xfId="0" applyNumberFormat="1" applyFont="1" applyFill="1" applyBorder="1" applyProtection="1">
      <alignment vertical="center"/>
      <protection locked="0"/>
    </xf>
    <xf numFmtId="0" fontId="15" fillId="32" borderId="2" xfId="0" applyFont="1" applyFill="1" applyBorder="1" applyProtection="1">
      <alignment vertical="center"/>
      <protection locked="0"/>
    </xf>
    <xf numFmtId="49" fontId="0" fillId="0" borderId="0" xfId="0" applyNumberFormat="1" applyProtection="1">
      <alignment vertical="center"/>
      <protection locked="0"/>
    </xf>
    <xf numFmtId="199" fontId="0" fillId="0" borderId="0" xfId="0" applyNumberFormat="1" applyProtection="1">
      <alignment vertical="center"/>
      <protection locked="0"/>
    </xf>
    <xf numFmtId="182" fontId="0" fillId="0" borderId="0" xfId="0" applyNumberFormat="1" applyProtection="1">
      <alignment vertical="center"/>
      <protection locked="0"/>
    </xf>
    <xf numFmtId="0" fontId="4" fillId="33" borderId="0" xfId="0" applyFont="1" applyFill="1" applyAlignment="1" applyProtection="1">
      <alignment vertical="center" wrapText="1"/>
      <protection locked="0"/>
    </xf>
    <xf numFmtId="0" fontId="7" fillId="33" borderId="0" xfId="0" applyFont="1" applyFill="1" applyAlignment="1" applyProtection="1">
      <alignment vertical="center" wrapText="1"/>
      <protection locked="0"/>
    </xf>
    <xf numFmtId="0" fontId="7" fillId="33" borderId="0" xfId="0" applyFont="1" applyFill="1">
      <alignment vertical="center"/>
    </xf>
    <xf numFmtId="0" fontId="7" fillId="33" borderId="0" xfId="0" applyFont="1" applyFill="1" applyAlignment="1" applyProtection="1">
      <alignment vertical="center" shrinkToFit="1"/>
      <protection locked="0"/>
    </xf>
    <xf numFmtId="0" fontId="7" fillId="33" borderId="0" xfId="0" applyFont="1" applyFill="1" applyProtection="1">
      <alignment vertical="center"/>
      <protection locked="0"/>
    </xf>
    <xf numFmtId="49" fontId="7" fillId="33" borderId="0" xfId="0" applyNumberFormat="1" applyFont="1" applyFill="1" applyProtection="1">
      <alignment vertical="center"/>
      <protection locked="0"/>
    </xf>
    <xf numFmtId="49" fontId="7" fillId="33" borderId="0" xfId="0" applyNumberFormat="1" applyFont="1" applyFill="1" applyAlignment="1" applyProtection="1">
      <alignment vertical="center" wrapText="1"/>
      <protection locked="0"/>
    </xf>
    <xf numFmtId="182" fontId="4" fillId="26" borderId="0" xfId="0" applyNumberFormat="1" applyFont="1" applyFill="1" applyAlignment="1" applyProtection="1">
      <alignment vertical="center" wrapText="1"/>
      <protection locked="0"/>
    </xf>
    <xf numFmtId="182" fontId="7" fillId="26" borderId="0" xfId="0" applyNumberFormat="1" applyFont="1" applyFill="1" applyAlignment="1" applyProtection="1">
      <alignment vertical="center" wrapText="1"/>
      <protection locked="0"/>
    </xf>
    <xf numFmtId="182" fontId="0" fillId="15" borderId="0" xfId="0" applyNumberFormat="1" applyFill="1" applyAlignment="1" applyProtection="1">
      <alignment vertical="center" wrapText="1"/>
      <protection locked="0"/>
    </xf>
    <xf numFmtId="182" fontId="0" fillId="27" borderId="0" xfId="0" applyNumberFormat="1" applyFill="1" applyAlignment="1" applyProtection="1">
      <alignment vertical="center" wrapText="1"/>
      <protection locked="0"/>
    </xf>
    <xf numFmtId="0" fontId="27" fillId="7" borderId="0" xfId="0" applyFont="1" applyFill="1">
      <alignment vertical="center"/>
    </xf>
    <xf numFmtId="0" fontId="28" fillId="7" borderId="0" xfId="0" applyFont="1" applyFill="1">
      <alignment vertical="center"/>
    </xf>
    <xf numFmtId="0" fontId="0" fillId="7" borderId="0" xfId="0" applyFill="1">
      <alignment vertical="center"/>
    </xf>
    <xf numFmtId="0" fontId="29" fillId="34" borderId="0" xfId="0" applyFont="1" applyFill="1">
      <alignment vertical="center"/>
    </xf>
    <xf numFmtId="0" fontId="3" fillId="35" borderId="0" xfId="0" applyFont="1" applyFill="1">
      <alignment vertical="center"/>
    </xf>
    <xf numFmtId="0" fontId="3" fillId="36" borderId="23" xfId="0" applyFont="1" applyFill="1" applyBorder="1">
      <alignment vertical="center"/>
    </xf>
    <xf numFmtId="0" fontId="30" fillId="36" borderId="23" xfId="0" applyFont="1" applyFill="1" applyBorder="1" applyAlignment="1">
      <alignment vertical="center" wrapText="1" shrinkToFit="1"/>
    </xf>
    <xf numFmtId="0" fontId="0" fillId="10" borderId="0" xfId="0" applyFill="1" applyAlignment="1">
      <alignment horizontal="left" vertical="center" shrinkToFit="1"/>
    </xf>
    <xf numFmtId="6" fontId="0" fillId="6" borderId="0" xfId="0" applyNumberFormat="1" applyFill="1" applyAlignment="1">
      <alignment vertical="center" shrinkToFit="1"/>
    </xf>
    <xf numFmtId="6" fontId="0" fillId="0" borderId="0" xfId="0" applyNumberFormat="1">
      <alignment vertical="center"/>
    </xf>
    <xf numFmtId="0" fontId="18" fillId="10" borderId="0" xfId="0" applyFont="1" applyFill="1" applyAlignment="1">
      <alignment horizontal="left" vertical="center" shrinkToFit="1"/>
    </xf>
    <xf numFmtId="6" fontId="18" fillId="6" borderId="0" xfId="0" applyNumberFormat="1" applyFont="1" applyFill="1" applyAlignment="1">
      <alignment vertical="center" shrinkToFit="1"/>
    </xf>
    <xf numFmtId="0" fontId="27" fillId="37" borderId="0" xfId="0" applyFont="1" applyFill="1">
      <alignment vertical="center"/>
    </xf>
    <xf numFmtId="0" fontId="7" fillId="37" borderId="0" xfId="0" applyFont="1" applyFill="1">
      <alignment vertical="center"/>
    </xf>
    <xf numFmtId="0" fontId="3" fillId="38" borderId="0" xfId="0" applyFont="1" applyFill="1">
      <alignment vertical="center"/>
    </xf>
    <xf numFmtId="0" fontId="3" fillId="39" borderId="23" xfId="0" applyFont="1" applyFill="1" applyBorder="1">
      <alignment vertical="center"/>
    </xf>
    <xf numFmtId="0" fontId="30" fillId="39" borderId="23" xfId="0" applyFont="1" applyFill="1" applyBorder="1" applyAlignment="1">
      <alignment vertical="center" wrapText="1" shrinkToFit="1"/>
    </xf>
    <xf numFmtId="0" fontId="3" fillId="39" borderId="23" xfId="0" applyFont="1" applyFill="1" applyBorder="1" applyAlignment="1">
      <alignment vertical="center" wrapText="1" shrinkToFit="1"/>
    </xf>
    <xf numFmtId="0" fontId="20" fillId="10" borderId="22" xfId="0" applyFont="1" applyFill="1" applyBorder="1" applyAlignment="1">
      <alignment horizontal="left" vertical="center" shrinkToFit="1"/>
    </xf>
    <xf numFmtId="6" fontId="0" fillId="21" borderId="22" xfId="0" applyNumberFormat="1" applyFill="1" applyBorder="1" applyAlignment="1">
      <alignment vertical="center" shrinkToFit="1"/>
    </xf>
    <xf numFmtId="6" fontId="0" fillId="0" borderId="22" xfId="0" applyNumberFormat="1" applyBorder="1" applyAlignment="1">
      <alignment vertical="center" shrinkToFit="1"/>
    </xf>
    <xf numFmtId="0" fontId="20" fillId="10" borderId="0" xfId="0" applyFont="1" applyFill="1" applyAlignment="1">
      <alignment horizontal="left" vertical="center" shrinkToFit="1"/>
    </xf>
    <xf numFmtId="6" fontId="0" fillId="21" borderId="0" xfId="0" applyNumberFormat="1" applyFill="1" applyAlignment="1">
      <alignment vertical="center" shrinkToFit="1"/>
    </xf>
    <xf numFmtId="6" fontId="0" fillId="0" borderId="0" xfId="0" applyNumberFormat="1" applyAlignment="1">
      <alignment vertical="center" shrinkToFit="1"/>
    </xf>
    <xf numFmtId="0" fontId="31" fillId="9" borderId="0" xfId="0" applyFont="1" applyFill="1">
      <alignment vertical="center"/>
    </xf>
    <xf numFmtId="0" fontId="0" fillId="0" borderId="0" xfId="0" pivotButton="1">
      <alignment vertical="center"/>
    </xf>
    <xf numFmtId="0" fontId="0" fillId="18" borderId="7" xfId="0" applyFill="1" applyBorder="1" applyProtection="1">
      <alignment vertical="center"/>
      <protection locked="0"/>
    </xf>
    <xf numFmtId="0" fontId="0" fillId="19" borderId="7" xfId="0" applyFill="1" applyBorder="1" applyProtection="1">
      <alignment vertical="center"/>
      <protection locked="0"/>
    </xf>
    <xf numFmtId="0" fontId="32" fillId="21" borderId="1" xfId="0" applyFont="1" applyFill="1" applyBorder="1" applyAlignment="1" applyProtection="1">
      <alignment horizontal="left" vertical="center" wrapText="1"/>
      <protection locked="0"/>
    </xf>
    <xf numFmtId="182" fontId="0" fillId="21" borderId="1" xfId="0" applyNumberFormat="1" applyFill="1" applyBorder="1" applyAlignment="1" applyProtection="1">
      <alignment horizontal="left" vertical="center" shrinkToFit="1"/>
      <protection locked="0"/>
    </xf>
    <xf numFmtId="0" fontId="33" fillId="22" borderId="0" xfId="0" applyFont="1" applyFill="1">
      <alignment vertical="center"/>
    </xf>
    <xf numFmtId="0" fontId="33" fillId="21" borderId="0" xfId="0" applyFont="1" applyFill="1">
      <alignment vertical="center"/>
    </xf>
    <xf numFmtId="5" fontId="0" fillId="0" borderId="0" xfId="0" applyNumberFormat="1" applyAlignment="1">
      <alignment horizontal="right" vertical="center"/>
    </xf>
    <xf numFmtId="5" fontId="0" fillId="0" borderId="18" xfId="0" applyNumberFormat="1" applyBorder="1" applyAlignment="1">
      <alignment horizontal="right" vertical="center"/>
    </xf>
    <xf numFmtId="5" fontId="21" fillId="30" borderId="0" xfId="0" applyNumberFormat="1" applyFont="1" applyFill="1" applyAlignment="1" applyProtection="1">
      <alignment horizontal="right" vertical="center" wrapText="1"/>
      <protection locked="0"/>
    </xf>
    <xf numFmtId="0" fontId="21" fillId="30" borderId="0" xfId="0" applyFont="1" applyFill="1" applyAlignment="1" applyProtection="1">
      <alignment horizontal="right" vertical="center" wrapText="1"/>
      <protection locked="0"/>
    </xf>
    <xf numFmtId="5" fontId="0" fillId="0" borderId="0" xfId="0" applyNumberFormat="1" applyAlignment="1" applyProtection="1">
      <alignment horizontal="right" vertical="center" shrinkToFit="1"/>
      <protection locked="0"/>
    </xf>
    <xf numFmtId="0" fontId="0" fillId="0" borderId="0" xfId="0" applyAlignment="1" applyProtection="1">
      <alignment horizontal="right" vertical="center" shrinkToFit="1"/>
      <protection locked="0"/>
    </xf>
    <xf numFmtId="0" fontId="33" fillId="15" borderId="0" xfId="0" applyFont="1" applyFill="1">
      <alignment vertical="center"/>
    </xf>
    <xf numFmtId="182" fontId="0" fillId="0" borderId="0" xfId="0" applyNumberFormat="1" applyAlignment="1" applyProtection="1">
      <alignment horizontal="right" vertical="center" shrinkToFit="1"/>
      <protection locked="0"/>
    </xf>
    <xf numFmtId="9" fontId="0" fillId="0" borderId="0" xfId="0" applyNumberFormat="1">
      <alignment vertical="center"/>
    </xf>
    <xf numFmtId="199" fontId="21" fillId="33" borderId="0" xfId="0" applyNumberFormat="1" applyFont="1" applyFill="1" applyAlignment="1" applyProtection="1">
      <alignment vertical="center" wrapText="1"/>
      <protection locked="0"/>
    </xf>
    <xf numFmtId="0" fontId="0" fillId="0" borderId="0" xfId="0" applyAlignment="1">
      <alignment horizontal="left" vertical="center" indent="1"/>
    </xf>
    <xf numFmtId="0" fontId="0" fillId="0" borderId="0" xfId="0" applyAlignment="1">
      <alignment horizontal="left" vertical="center" indent="2"/>
    </xf>
    <xf numFmtId="176" fontId="0" fillId="0" borderId="5" xfId="0" applyNumberFormat="1" applyBorder="1" applyAlignment="1" applyProtection="1">
      <alignment horizontal="right" vertical="center" wrapText="1"/>
      <protection locked="0"/>
    </xf>
    <xf numFmtId="5" fontId="0" fillId="0" borderId="5" xfId="0" applyNumberFormat="1" applyBorder="1" applyAlignment="1" applyProtection="1">
      <alignment horizontal="right" vertical="center" wrapText="1"/>
      <protection locked="0"/>
    </xf>
    <xf numFmtId="0" fontId="0" fillId="0" borderId="0" xfId="0" applyAlignment="1">
      <alignment vertical="center" wrapText="1"/>
    </xf>
    <xf numFmtId="0" fontId="7" fillId="2" borderId="0" xfId="0" applyFont="1" applyFill="1" applyAlignment="1">
      <alignment vertical="center" shrinkToFit="1"/>
    </xf>
    <xf numFmtId="203" fontId="0" fillId="4" borderId="2" xfId="0" applyNumberFormat="1" applyFill="1" applyBorder="1" applyProtection="1">
      <alignment vertical="center"/>
      <protection locked="0"/>
    </xf>
    <xf numFmtId="203" fontId="0" fillId="4" borderId="2" xfId="0" applyNumberFormat="1" applyFill="1" applyBorder="1" applyAlignment="1" applyProtection="1">
      <alignment vertical="center" shrinkToFit="1"/>
      <protection locked="0"/>
    </xf>
    <xf numFmtId="0" fontId="0" fillId="0" borderId="5" xfId="0" applyBorder="1" applyAlignment="1" applyProtection="1">
      <alignment horizontal="right" vertical="center" shrinkToFit="1"/>
      <protection locked="0"/>
    </xf>
    <xf numFmtId="0" fontId="0" fillId="4" borderId="4" xfId="0" applyFill="1" applyBorder="1" applyProtection="1">
      <alignment vertical="center"/>
      <protection locked="0"/>
    </xf>
    <xf numFmtId="0" fontId="0" fillId="17" borderId="0" xfId="0" applyFill="1" applyProtection="1">
      <alignment vertical="center"/>
      <protection locked="0"/>
    </xf>
    <xf numFmtId="5" fontId="7" fillId="12" borderId="0" xfId="0" applyNumberFormat="1" applyFont="1" applyFill="1" applyProtection="1">
      <alignment vertical="center"/>
      <protection locked="0"/>
    </xf>
    <xf numFmtId="0" fontId="33" fillId="24" borderId="0" xfId="0" applyFont="1" applyFill="1">
      <alignment vertical="center"/>
    </xf>
    <xf numFmtId="0" fontId="33" fillId="14" borderId="0" xfId="0" applyFont="1" applyFill="1">
      <alignment vertical="center"/>
    </xf>
    <xf numFmtId="0" fontId="37" fillId="0" borderId="0" xfId="1">
      <alignment vertical="center"/>
    </xf>
    <xf numFmtId="0" fontId="6" fillId="0" borderId="0" xfId="0" applyFont="1" applyAlignment="1">
      <alignment horizontal="left" vertical="center"/>
    </xf>
    <xf numFmtId="0" fontId="7" fillId="2" borderId="0" xfId="0" applyFont="1" applyFill="1" applyAlignment="1">
      <alignment horizontal="left" vertical="center"/>
    </xf>
    <xf numFmtId="205" fontId="0" fillId="0" borderId="0" xfId="0" applyNumberFormat="1" applyAlignment="1">
      <alignment horizontal="left" vertical="center"/>
    </xf>
    <xf numFmtId="0" fontId="0" fillId="0" borderId="28" xfId="0" applyBorder="1" applyAlignment="1">
      <alignment horizontal="left" vertical="center"/>
    </xf>
    <xf numFmtId="0" fontId="37" fillId="0" borderId="28" xfId="1" applyBorder="1" applyAlignment="1">
      <alignment horizontal="left" vertical="center"/>
    </xf>
    <xf numFmtId="0" fontId="0" fillId="0" borderId="30" xfId="0" applyBorder="1" applyAlignment="1">
      <alignment horizontal="left" vertical="center"/>
    </xf>
    <xf numFmtId="0" fontId="0" fillId="0" borderId="31" xfId="0" applyBorder="1">
      <alignment vertical="center"/>
    </xf>
    <xf numFmtId="0" fontId="0" fillId="0" borderId="31" xfId="0" applyBorder="1" applyAlignment="1">
      <alignment vertical="center" shrinkToFit="1"/>
    </xf>
    <xf numFmtId="0" fontId="14" fillId="7" borderId="25" xfId="0" applyFont="1" applyFill="1" applyBorder="1" applyAlignment="1">
      <alignment horizontal="left" vertical="center"/>
    </xf>
    <xf numFmtId="0" fontId="14" fillId="7" borderId="26" xfId="0" applyFont="1" applyFill="1" applyBorder="1">
      <alignment vertical="center"/>
    </xf>
    <xf numFmtId="0" fontId="14" fillId="7" borderId="26" xfId="0" applyFont="1" applyFill="1" applyBorder="1" applyAlignment="1">
      <alignment vertical="center" shrinkToFit="1"/>
    </xf>
    <xf numFmtId="0" fontId="40" fillId="30" borderId="0" xfId="0" applyFont="1" applyFill="1" applyAlignment="1" applyProtection="1">
      <alignment horizontal="right" vertical="center" wrapText="1"/>
      <protection locked="0"/>
    </xf>
    <xf numFmtId="0" fontId="7" fillId="28" borderId="0" xfId="0" applyFont="1" applyFill="1" applyAlignment="1">
      <alignment horizontal="left" vertical="center" shrinkToFit="1"/>
    </xf>
    <xf numFmtId="0" fontId="7" fillId="28" borderId="0" xfId="0" applyFont="1" applyFill="1" applyAlignment="1" applyProtection="1">
      <alignment horizontal="left" vertical="center" shrinkToFit="1"/>
      <protection locked="0"/>
    </xf>
    <xf numFmtId="49" fontId="7" fillId="28" borderId="0" xfId="0" applyNumberFormat="1" applyFont="1" applyFill="1" applyAlignment="1" applyProtection="1">
      <alignment horizontal="left" vertical="center" shrinkToFit="1"/>
      <protection locked="0"/>
    </xf>
    <xf numFmtId="198" fontId="7" fillId="28" borderId="0" xfId="0" applyNumberFormat="1" applyFont="1" applyFill="1" applyAlignment="1" applyProtection="1">
      <alignment horizontal="left" vertical="center" shrinkToFit="1"/>
      <protection locked="0"/>
    </xf>
    <xf numFmtId="0" fontId="7" fillId="28" borderId="0" xfId="0" applyFont="1" applyFill="1" applyAlignment="1" applyProtection="1">
      <alignment horizontal="left" vertical="center" wrapText="1"/>
      <protection locked="0"/>
    </xf>
    <xf numFmtId="5" fontId="7" fillId="28" borderId="0" xfId="0" applyNumberFormat="1" applyFont="1" applyFill="1" applyAlignment="1" applyProtection="1">
      <alignment horizontal="left" vertical="center" wrapText="1"/>
      <protection locked="0"/>
    </xf>
    <xf numFmtId="5" fontId="7" fillId="28" borderId="0" xfId="0" applyNumberFormat="1" applyFont="1" applyFill="1" applyAlignment="1" applyProtection="1">
      <alignment horizontal="left" vertical="center" shrinkToFit="1"/>
      <protection locked="0"/>
    </xf>
    <xf numFmtId="5" fontId="21" fillId="28" borderId="0" xfId="0" applyNumberFormat="1" applyFont="1" applyFill="1" applyAlignment="1" applyProtection="1">
      <alignment horizontal="left" vertical="center" wrapText="1"/>
      <protection locked="0"/>
    </xf>
    <xf numFmtId="5" fontId="7" fillId="31" borderId="0" xfId="0" applyNumberFormat="1" applyFont="1" applyFill="1" applyAlignment="1" applyProtection="1">
      <alignment horizontal="right" vertical="center"/>
      <protection locked="0"/>
    </xf>
    <xf numFmtId="5" fontId="40" fillId="31" borderId="0" xfId="0" applyNumberFormat="1" applyFont="1" applyFill="1" applyAlignment="1" applyProtection="1">
      <alignment horizontal="right" vertical="center"/>
      <protection locked="0"/>
    </xf>
    <xf numFmtId="5" fontId="7" fillId="31" borderId="0" xfId="0" applyNumberFormat="1" applyFont="1" applyFill="1" applyAlignment="1" applyProtection="1">
      <alignment horizontal="left" vertical="center"/>
      <protection locked="0"/>
    </xf>
    <xf numFmtId="0" fontId="4" fillId="4" borderId="2" xfId="0" applyFont="1" applyFill="1" applyBorder="1" applyProtection="1">
      <alignment vertical="center"/>
      <protection locked="0"/>
    </xf>
    <xf numFmtId="203" fontId="4" fillId="4" borderId="2" xfId="0" applyNumberFormat="1" applyFont="1" applyFill="1" applyBorder="1" applyProtection="1">
      <alignment vertical="center"/>
      <protection locked="0"/>
    </xf>
    <xf numFmtId="0" fontId="9" fillId="0" borderId="0" xfId="0" applyFont="1">
      <alignment vertical="center"/>
    </xf>
    <xf numFmtId="0" fontId="4" fillId="8" borderId="4" xfId="0" applyFont="1" applyFill="1" applyBorder="1" applyAlignment="1">
      <alignment vertical="center" shrinkToFit="1"/>
    </xf>
    <xf numFmtId="0" fontId="0" fillId="5" borderId="0" xfId="0" applyFill="1" applyAlignment="1">
      <alignment horizontal="right" vertical="center"/>
    </xf>
    <xf numFmtId="204" fontId="0" fillId="4" borderId="2" xfId="0" applyNumberFormat="1" applyFill="1" applyBorder="1" applyAlignment="1">
      <alignment vertical="center" shrinkToFit="1"/>
    </xf>
    <xf numFmtId="0" fontId="4" fillId="7" borderId="4" xfId="0" applyFont="1" applyFill="1" applyBorder="1" applyAlignment="1">
      <alignment vertical="center" shrinkToFit="1"/>
    </xf>
    <xf numFmtId="176" fontId="0" fillId="5" borderId="0" xfId="0" applyNumberFormat="1" applyFill="1">
      <alignment vertical="center"/>
    </xf>
    <xf numFmtId="176" fontId="0" fillId="5" borderId="0" xfId="0" applyNumberFormat="1" applyFill="1" applyAlignment="1">
      <alignment horizontal="right" vertical="center"/>
    </xf>
    <xf numFmtId="14" fontId="0" fillId="5" borderId="0" xfId="0" applyNumberFormat="1" applyFill="1">
      <alignment vertical="center"/>
    </xf>
    <xf numFmtId="14" fontId="0" fillId="5" borderId="0" xfId="0" applyNumberFormat="1" applyFill="1" applyAlignment="1">
      <alignment horizontal="right" vertical="center"/>
    </xf>
    <xf numFmtId="5" fontId="1" fillId="4" borderId="4" xfId="0" applyNumberFormat="1" applyFont="1" applyFill="1" applyBorder="1" applyAlignment="1">
      <alignment vertical="center" shrinkToFit="1"/>
    </xf>
    <xf numFmtId="5" fontId="0" fillId="5" borderId="0" xfId="0" applyNumberFormat="1" applyFill="1">
      <alignment vertical="center"/>
    </xf>
    <xf numFmtId="5" fontId="0" fillId="5" borderId="0" xfId="0" applyNumberFormat="1" applyFill="1" applyAlignment="1">
      <alignment horizontal="right" vertical="center"/>
    </xf>
    <xf numFmtId="5" fontId="0" fillId="4" borderId="4" xfId="0" applyNumberFormat="1" applyFill="1" applyBorder="1" applyAlignment="1">
      <alignment vertical="center" shrinkToFit="1"/>
    </xf>
    <xf numFmtId="0" fontId="7" fillId="7" borderId="4" xfId="0" applyFont="1" applyFill="1" applyBorder="1" applyAlignment="1">
      <alignment vertical="center" shrinkToFit="1"/>
    </xf>
    <xf numFmtId="5" fontId="0" fillId="0" borderId="0" xfId="0" applyNumberFormat="1" applyAlignment="1">
      <alignment horizontal="left" vertical="center"/>
    </xf>
    <xf numFmtId="201" fontId="0" fillId="0" borderId="0" xfId="0" applyNumberFormat="1" applyAlignment="1">
      <alignment horizontal="left" vertical="center"/>
    </xf>
    <xf numFmtId="202" fontId="0" fillId="0" borderId="0" xfId="0" applyNumberFormat="1" applyAlignment="1">
      <alignment horizontal="left" vertical="center"/>
    </xf>
    <xf numFmtId="0" fontId="4" fillId="7" borderId="2" xfId="0" applyFont="1" applyFill="1" applyBorder="1">
      <alignment vertical="center"/>
    </xf>
    <xf numFmtId="5" fontId="18" fillId="0" borderId="0" xfId="0" applyNumberFormat="1" applyFont="1" applyAlignment="1">
      <alignment horizontal="left" vertical="center"/>
    </xf>
    <xf numFmtId="177" fontId="0" fillId="4" borderId="4" xfId="0" applyNumberFormat="1" applyFill="1" applyBorder="1" applyAlignment="1">
      <alignment vertical="center" shrinkToFit="1"/>
    </xf>
    <xf numFmtId="10" fontId="0" fillId="5" borderId="0" xfId="0" applyNumberFormat="1" applyFill="1">
      <alignment vertical="center"/>
    </xf>
    <xf numFmtId="10" fontId="0" fillId="5" borderId="0" xfId="0" applyNumberFormat="1" applyFill="1" applyAlignment="1">
      <alignment horizontal="right" vertical="center"/>
    </xf>
    <xf numFmtId="184" fontId="0" fillId="5" borderId="0" xfId="0" applyNumberFormat="1" applyFill="1" applyAlignment="1">
      <alignment horizontal="right" vertical="center"/>
    </xf>
    <xf numFmtId="184" fontId="0" fillId="0" borderId="0" xfId="0" applyNumberFormat="1" applyAlignment="1">
      <alignment horizontal="left" vertical="center"/>
    </xf>
    <xf numFmtId="0" fontId="4" fillId="9" borderId="4" xfId="0" applyFont="1" applyFill="1" applyBorder="1" applyAlignment="1">
      <alignment vertical="center" shrinkToFit="1"/>
    </xf>
    <xf numFmtId="0" fontId="0" fillId="6" borderId="0" xfId="0" applyFill="1" applyAlignment="1" applyProtection="1">
      <alignment horizontal="left" vertical="center"/>
      <protection locked="0"/>
    </xf>
    <xf numFmtId="176" fontId="0" fillId="6" borderId="0" xfId="0" applyNumberFormat="1" applyFill="1" applyAlignment="1" applyProtection="1">
      <alignment horizontal="left" vertical="center"/>
      <protection locked="0"/>
    </xf>
    <xf numFmtId="14" fontId="0" fillId="6" borderId="0" xfId="0" applyNumberFormat="1" applyFill="1" applyAlignment="1" applyProtection="1">
      <alignment horizontal="left" vertical="center"/>
      <protection locked="0"/>
    </xf>
    <xf numFmtId="5" fontId="0" fillId="6" borderId="0" xfId="0" applyNumberFormat="1" applyFill="1" applyAlignment="1" applyProtection="1">
      <alignment horizontal="left" vertical="center"/>
      <protection locked="0"/>
    </xf>
    <xf numFmtId="9" fontId="0" fillId="6" borderId="0" xfId="0" applyNumberFormat="1" applyFill="1" applyAlignment="1" applyProtection="1">
      <alignment horizontal="left" vertical="center"/>
      <protection locked="0"/>
    </xf>
    <xf numFmtId="10" fontId="0" fillId="6" borderId="0" xfId="0" applyNumberFormat="1" applyFill="1" applyAlignment="1" applyProtection="1">
      <alignment horizontal="left" vertical="center"/>
      <protection locked="0"/>
    </xf>
    <xf numFmtId="0" fontId="7" fillId="3" borderId="0" xfId="0" applyFont="1" applyFill="1" applyAlignment="1" applyProtection="1">
      <alignment vertical="center" shrinkToFit="1"/>
      <protection locked="0"/>
    </xf>
    <xf numFmtId="0" fontId="7" fillId="3" borderId="0" xfId="0" applyFont="1" applyFill="1" applyProtection="1">
      <alignment vertical="center"/>
      <protection locked="0"/>
    </xf>
    <xf numFmtId="0" fontId="7" fillId="3" borderId="0" xfId="0" applyFont="1" applyFill="1" applyAlignment="1" applyProtection="1">
      <alignment horizontal="left" vertical="center"/>
      <protection locked="0"/>
    </xf>
    <xf numFmtId="0" fontId="18" fillId="0" borderId="0" xfId="0" applyFont="1" applyAlignment="1" applyProtection="1">
      <alignment vertical="center" wrapText="1"/>
      <protection locked="0"/>
    </xf>
    <xf numFmtId="193" fontId="7" fillId="12" borderId="0" xfId="0" applyNumberFormat="1" applyFont="1" applyFill="1" applyAlignment="1" applyProtection="1">
      <alignment horizontal="left" vertical="center" wrapText="1"/>
      <protection locked="0"/>
    </xf>
    <xf numFmtId="0" fontId="7" fillId="12" borderId="0" xfId="0" applyFont="1" applyFill="1" applyAlignment="1" applyProtection="1">
      <alignment horizontal="left" vertical="center" wrapText="1"/>
      <protection locked="0"/>
    </xf>
    <xf numFmtId="5" fontId="7" fillId="12" borderId="0" xfId="0" applyNumberFormat="1" applyFont="1" applyFill="1" applyAlignment="1" applyProtection="1">
      <alignment horizontal="left" vertical="center" wrapText="1"/>
      <protection locked="0"/>
    </xf>
    <xf numFmtId="0" fontId="34" fillId="0" borderId="0" xfId="0" applyFont="1" applyProtection="1">
      <alignment vertical="center"/>
      <protection locked="0"/>
    </xf>
    <xf numFmtId="193" fontId="13" fillId="0" borderId="0" xfId="0" applyNumberFormat="1" applyFont="1" applyProtection="1">
      <alignment vertical="center"/>
      <protection locked="0"/>
    </xf>
    <xf numFmtId="5" fontId="13" fillId="0" borderId="0" xfId="0" applyNumberFormat="1" applyFont="1" applyProtection="1">
      <alignment vertical="center"/>
      <protection locked="0"/>
    </xf>
    <xf numFmtId="182" fontId="13" fillId="0" borderId="0" xfId="0" applyNumberFormat="1" applyFont="1" applyProtection="1">
      <alignment vertical="center"/>
      <protection locked="0"/>
    </xf>
    <xf numFmtId="193" fontId="0" fillId="0" borderId="0" xfId="0" applyNumberFormat="1" applyProtection="1">
      <alignment vertical="center"/>
      <protection locked="0"/>
    </xf>
    <xf numFmtId="201" fontId="13" fillId="0" borderId="0" xfId="0" applyNumberFormat="1" applyFont="1" applyProtection="1">
      <alignment vertical="center"/>
      <protection locked="0"/>
    </xf>
    <xf numFmtId="0" fontId="34" fillId="0" borderId="0" xfId="0" applyFont="1" applyAlignment="1" applyProtection="1">
      <alignment vertical="center" wrapText="1"/>
      <protection locked="0"/>
    </xf>
    <xf numFmtId="202" fontId="34" fillId="0" borderId="0" xfId="0" applyNumberFormat="1" applyFont="1" applyProtection="1">
      <alignment vertical="center"/>
      <protection locked="0"/>
    </xf>
    <xf numFmtId="0" fontId="0" fillId="0" borderId="0" xfId="0" applyAlignment="1" applyProtection="1">
      <alignment vertical="center" wrapText="1"/>
      <protection locked="0"/>
    </xf>
    <xf numFmtId="200" fontId="0" fillId="0" borderId="0" xfId="0" applyNumberFormat="1" applyProtection="1">
      <alignment vertical="center"/>
      <protection locked="0"/>
    </xf>
    <xf numFmtId="202" fontId="0" fillId="0" borderId="0" xfId="0" applyNumberFormat="1" applyProtection="1">
      <alignment vertical="center"/>
      <protection locked="0"/>
    </xf>
    <xf numFmtId="182" fontId="0" fillId="0" borderId="0" xfId="0" applyNumberFormat="1" applyAlignment="1" applyProtection="1">
      <alignment horizontal="left" vertical="center"/>
      <protection locked="0"/>
    </xf>
    <xf numFmtId="182" fontId="0" fillId="0" borderId="0" xfId="0" applyNumberFormat="1" applyAlignment="1" applyProtection="1">
      <alignment vertical="center" shrinkToFit="1"/>
      <protection locked="0"/>
    </xf>
    <xf numFmtId="209" fontId="4" fillId="7" borderId="2" xfId="0" applyNumberFormat="1" applyFont="1" applyFill="1" applyBorder="1" applyProtection="1">
      <alignment vertical="center"/>
      <protection locked="0"/>
    </xf>
    <xf numFmtId="10" fontId="0" fillId="0" borderId="17" xfId="0" applyNumberFormat="1" applyBorder="1" applyAlignment="1" applyProtection="1">
      <alignment horizontal="right" vertical="center" wrapText="1"/>
      <protection locked="0"/>
    </xf>
    <xf numFmtId="193" fontId="13" fillId="0" borderId="0" xfId="0" applyNumberFormat="1" applyFont="1" applyAlignment="1" applyProtection="1">
      <alignment horizontal="right" vertical="center"/>
      <protection locked="0"/>
    </xf>
    <xf numFmtId="193" fontId="0" fillId="0" borderId="0" xfId="0" applyNumberFormat="1" applyAlignment="1" applyProtection="1">
      <alignment horizontal="right" vertical="center"/>
      <protection locked="0"/>
    </xf>
    <xf numFmtId="0" fontId="1" fillId="0" borderId="0" xfId="0" applyFont="1" applyProtection="1">
      <alignment vertical="center"/>
      <protection locked="0"/>
    </xf>
    <xf numFmtId="49" fontId="1" fillId="0" borderId="0" xfId="0" applyNumberFormat="1" applyFont="1" applyProtection="1">
      <alignment vertical="center"/>
      <protection locked="0"/>
    </xf>
    <xf numFmtId="0" fontId="13" fillId="0" borderId="0" xfId="0" applyFont="1" applyProtection="1">
      <alignment vertical="center"/>
      <protection locked="0"/>
    </xf>
    <xf numFmtId="49" fontId="13" fillId="0" borderId="0" xfId="0" applyNumberFormat="1" applyFont="1" applyProtection="1">
      <alignment vertical="center"/>
      <protection locked="0"/>
    </xf>
    <xf numFmtId="49" fontId="13" fillId="0" borderId="0" xfId="0" applyNumberFormat="1" applyFont="1" applyAlignment="1" applyProtection="1">
      <alignment horizontal="left" vertical="center"/>
      <protection locked="0"/>
    </xf>
    <xf numFmtId="0" fontId="11" fillId="0" borderId="0" xfId="0" applyFont="1" applyProtection="1">
      <alignment vertical="center"/>
      <protection locked="0"/>
    </xf>
    <xf numFmtId="178" fontId="13" fillId="0" borderId="0" xfId="0" applyNumberFormat="1" applyFont="1" applyAlignment="1" applyProtection="1">
      <alignment horizontal="left" vertical="center"/>
      <protection locked="0"/>
    </xf>
    <xf numFmtId="0" fontId="14" fillId="7" borderId="2" xfId="0" applyFont="1" applyFill="1" applyBorder="1" applyProtection="1">
      <alignment vertical="center"/>
      <protection locked="0"/>
    </xf>
    <xf numFmtId="0" fontId="7" fillId="7" borderId="3" xfId="0" applyFont="1" applyFill="1" applyBorder="1" applyProtection="1">
      <alignment vertical="center"/>
      <protection locked="0"/>
    </xf>
    <xf numFmtId="49" fontId="7" fillId="7" borderId="3" xfId="0" applyNumberFormat="1" applyFont="1" applyFill="1" applyBorder="1" applyProtection="1">
      <alignment vertical="center"/>
      <protection locked="0"/>
    </xf>
    <xf numFmtId="0" fontId="0" fillId="5" borderId="1" xfId="0" applyFill="1" applyBorder="1" applyProtection="1">
      <alignment vertical="center"/>
      <protection locked="0"/>
    </xf>
    <xf numFmtId="0" fontId="1" fillId="5" borderId="2" xfId="0" applyFont="1" applyFill="1" applyBorder="1" applyAlignment="1" applyProtection="1">
      <alignment horizontal="left" vertical="center"/>
      <protection locked="0"/>
    </xf>
    <xf numFmtId="0" fontId="1" fillId="5" borderId="4" xfId="0" applyFont="1" applyFill="1" applyBorder="1" applyAlignment="1" applyProtection="1">
      <alignment horizontal="left" vertical="center"/>
      <protection locked="0"/>
    </xf>
    <xf numFmtId="0" fontId="1" fillId="5" borderId="1" xfId="0" applyFont="1" applyFill="1" applyBorder="1" applyProtection="1">
      <alignment vertical="center"/>
      <protection locked="0"/>
    </xf>
    <xf numFmtId="0" fontId="0" fillId="5" borderId="1" xfId="0" applyFill="1" applyBorder="1" applyAlignment="1" applyProtection="1">
      <alignment vertical="center" shrinkToFit="1"/>
      <protection locked="0"/>
    </xf>
    <xf numFmtId="49" fontId="1" fillId="5" borderId="1" xfId="0" applyNumberFormat="1" applyFont="1" applyFill="1" applyBorder="1" applyAlignment="1" applyProtection="1">
      <alignment horizontal="left" vertical="center"/>
      <protection locked="0"/>
    </xf>
    <xf numFmtId="49" fontId="0" fillId="5" borderId="1" xfId="0" applyNumberFormat="1" applyFill="1" applyBorder="1" applyAlignment="1" applyProtection="1">
      <alignment horizontal="left" vertical="center"/>
      <protection locked="0"/>
    </xf>
    <xf numFmtId="0" fontId="1" fillId="10" borderId="5" xfId="0" applyFont="1" applyFill="1" applyBorder="1" applyProtection="1">
      <alignment vertical="center"/>
      <protection locked="0"/>
    </xf>
    <xf numFmtId="0" fontId="1" fillId="10" borderId="6" xfId="0" applyFont="1" applyFill="1" applyBorder="1" applyProtection="1">
      <alignment vertical="center"/>
      <protection locked="0"/>
    </xf>
    <xf numFmtId="0" fontId="1" fillId="10" borderId="0" xfId="0" applyFont="1" applyFill="1" applyProtection="1">
      <alignment vertical="center"/>
      <protection locked="0"/>
    </xf>
    <xf numFmtId="0" fontId="1" fillId="10" borderId="5" xfId="0" applyFont="1" applyFill="1" applyBorder="1" applyAlignment="1" applyProtection="1">
      <alignment vertical="center" shrinkToFit="1"/>
      <protection locked="0"/>
    </xf>
    <xf numFmtId="176" fontId="1" fillId="10" borderId="5" xfId="0" applyNumberFormat="1" applyFont="1" applyFill="1" applyBorder="1" applyAlignment="1" applyProtection="1">
      <alignment horizontal="right" vertical="center"/>
      <protection locked="0"/>
    </xf>
    <xf numFmtId="179" fontId="1" fillId="10" borderId="5" xfId="0" applyNumberFormat="1" applyFont="1" applyFill="1" applyBorder="1" applyProtection="1">
      <alignment vertical="center"/>
      <protection locked="0"/>
    </xf>
    <xf numFmtId="180" fontId="1" fillId="10" borderId="6" xfId="0" applyNumberFormat="1" applyFont="1" applyFill="1" applyBorder="1" applyAlignment="1" applyProtection="1">
      <alignment horizontal="left" vertical="center"/>
      <protection locked="0"/>
    </xf>
    <xf numFmtId="0" fontId="0" fillId="10" borderId="6" xfId="0" applyFill="1" applyBorder="1" applyProtection="1">
      <alignment vertical="center"/>
      <protection locked="0"/>
    </xf>
    <xf numFmtId="49" fontId="1" fillId="10" borderId="5" xfId="0" applyNumberFormat="1" applyFont="1" applyFill="1" applyBorder="1" applyAlignment="1" applyProtection="1">
      <alignment horizontal="left" vertical="center"/>
      <protection locked="0"/>
    </xf>
    <xf numFmtId="49" fontId="0" fillId="10" borderId="5" xfId="0" applyNumberFormat="1" applyFill="1" applyBorder="1" applyAlignment="1" applyProtection="1">
      <alignment horizontal="left" vertical="center"/>
      <protection locked="0"/>
    </xf>
    <xf numFmtId="0" fontId="1" fillId="0" borderId="5" xfId="0" applyFont="1" applyBorder="1" applyProtection="1">
      <alignment vertical="center"/>
      <protection locked="0"/>
    </xf>
    <xf numFmtId="0" fontId="1" fillId="0" borderId="6" xfId="0" applyFont="1" applyBorder="1" applyProtection="1">
      <alignment vertical="center"/>
      <protection locked="0"/>
    </xf>
    <xf numFmtId="0" fontId="1" fillId="0" borderId="5" xfId="0" applyFont="1" applyBorder="1" applyAlignment="1" applyProtection="1">
      <alignment vertical="center" shrinkToFit="1"/>
      <protection locked="0"/>
    </xf>
    <xf numFmtId="176" fontId="1" fillId="0" borderId="5" xfId="0" applyNumberFormat="1" applyFont="1" applyBorder="1" applyAlignment="1" applyProtection="1">
      <alignment horizontal="right" vertical="center"/>
      <protection locked="0"/>
    </xf>
    <xf numFmtId="179" fontId="1" fillId="0" borderId="5" xfId="0" applyNumberFormat="1" applyFont="1" applyBorder="1" applyProtection="1">
      <alignment vertical="center"/>
      <protection locked="0"/>
    </xf>
    <xf numFmtId="180" fontId="1" fillId="0" borderId="6" xfId="0" applyNumberFormat="1" applyFont="1" applyBorder="1" applyAlignment="1" applyProtection="1">
      <alignment horizontal="left" vertical="center"/>
      <protection locked="0"/>
    </xf>
    <xf numFmtId="0" fontId="0" fillId="0" borderId="6" xfId="0" applyBorder="1" applyProtection="1">
      <alignment vertical="center"/>
      <protection locked="0"/>
    </xf>
    <xf numFmtId="49" fontId="1" fillId="0" borderId="5" xfId="0" applyNumberFormat="1" applyFont="1" applyBorder="1" applyAlignment="1" applyProtection="1">
      <alignment horizontal="left" vertical="center"/>
      <protection locked="0"/>
    </xf>
    <xf numFmtId="0" fontId="0" fillId="10" borderId="5" xfId="0" applyFill="1" applyBorder="1" applyProtection="1">
      <alignment vertical="center"/>
      <protection locked="0"/>
    </xf>
    <xf numFmtId="0" fontId="0" fillId="0" borderId="5" xfId="0" applyBorder="1" applyProtection="1">
      <alignment vertical="center"/>
      <protection locked="0"/>
    </xf>
    <xf numFmtId="49" fontId="0" fillId="0" borderId="5" xfId="0" applyNumberFormat="1" applyBorder="1" applyAlignment="1" applyProtection="1">
      <alignment horizontal="left" vertical="center"/>
      <protection locked="0"/>
    </xf>
    <xf numFmtId="0" fontId="0" fillId="10" borderId="5" xfId="0" applyFill="1" applyBorder="1" applyAlignment="1" applyProtection="1">
      <alignment vertical="center" shrinkToFit="1"/>
      <protection locked="0"/>
    </xf>
    <xf numFmtId="179" fontId="7" fillId="7" borderId="3" xfId="0" applyNumberFormat="1" applyFont="1" applyFill="1" applyBorder="1" applyProtection="1">
      <alignment vertical="center"/>
      <protection locked="0"/>
    </xf>
    <xf numFmtId="0" fontId="15" fillId="11" borderId="1" xfId="0" applyFont="1" applyFill="1" applyBorder="1" applyProtection="1">
      <alignment vertical="center"/>
      <protection locked="0"/>
    </xf>
    <xf numFmtId="0" fontId="15" fillId="11" borderId="2" xfId="0" applyFont="1" applyFill="1" applyBorder="1" applyProtection="1">
      <alignment vertical="center"/>
      <protection locked="0"/>
    </xf>
    <xf numFmtId="0" fontId="15" fillId="11" borderId="3" xfId="0" applyFont="1" applyFill="1" applyBorder="1" applyProtection="1">
      <alignment vertical="center"/>
      <protection locked="0"/>
    </xf>
    <xf numFmtId="0" fontId="15" fillId="11" borderId="1" xfId="0" applyFont="1" applyFill="1" applyBorder="1" applyAlignment="1" applyProtection="1">
      <alignment vertical="center" shrinkToFit="1"/>
      <protection locked="0"/>
    </xf>
    <xf numFmtId="176" fontId="15" fillId="11" borderId="1" xfId="0" applyNumberFormat="1" applyFont="1" applyFill="1" applyBorder="1" applyProtection="1">
      <alignment vertical="center"/>
      <protection locked="0"/>
    </xf>
    <xf numFmtId="179" fontId="15" fillId="11" borderId="1" xfId="0" applyNumberFormat="1" applyFont="1" applyFill="1" applyBorder="1" applyProtection="1">
      <alignment vertical="center"/>
      <protection locked="0"/>
    </xf>
    <xf numFmtId="49" fontId="15" fillId="11" borderId="1" xfId="0" applyNumberFormat="1" applyFont="1" applyFill="1" applyBorder="1" applyProtection="1">
      <alignment vertical="center"/>
      <protection locked="0"/>
    </xf>
    <xf numFmtId="0" fontId="12" fillId="0" borderId="0" xfId="0" applyFont="1" applyProtection="1">
      <alignment vertical="center"/>
      <protection locked="0"/>
    </xf>
    <xf numFmtId="203" fontId="0" fillId="4" borderId="2" xfId="0" applyNumberFormat="1" applyFill="1" applyBorder="1" applyAlignment="1">
      <alignment vertical="center" shrinkToFit="1"/>
    </xf>
    <xf numFmtId="0" fontId="0" fillId="0" borderId="5" xfId="0" applyBorder="1" applyAlignment="1">
      <alignment horizontal="right" vertical="center" shrinkToFit="1"/>
    </xf>
    <xf numFmtId="203" fontId="0" fillId="4" borderId="2" xfId="0" applyNumberFormat="1" applyFill="1" applyBorder="1">
      <alignment vertical="center"/>
    </xf>
    <xf numFmtId="0" fontId="0" fillId="4" borderId="4" xfId="0" applyFill="1" applyBorder="1">
      <alignment vertical="center"/>
    </xf>
    <xf numFmtId="0" fontId="0" fillId="0" borderId="5" xfId="0" applyBorder="1" applyAlignment="1">
      <alignment horizontal="right" vertical="center" wrapText="1"/>
    </xf>
    <xf numFmtId="192" fontId="1" fillId="0" borderId="5" xfId="0" applyNumberFormat="1" applyFont="1" applyBorder="1" applyAlignment="1">
      <alignment horizontal="right" vertical="center" wrapText="1"/>
    </xf>
    <xf numFmtId="176" fontId="0" fillId="0" borderId="5" xfId="0" applyNumberFormat="1" applyBorder="1" applyAlignment="1">
      <alignment horizontal="right" vertical="center" wrapText="1"/>
    </xf>
    <xf numFmtId="0" fontId="1" fillId="0" borderId="5" xfId="0" applyFont="1" applyBorder="1" applyAlignment="1">
      <alignment horizontal="right" vertical="center" wrapText="1"/>
    </xf>
    <xf numFmtId="0" fontId="18" fillId="4" borderId="4" xfId="0" applyFont="1" applyFill="1" applyBorder="1" applyAlignment="1">
      <alignment vertical="center" shrinkToFit="1"/>
    </xf>
    <xf numFmtId="5" fontId="0" fillId="0" borderId="5" xfId="0" applyNumberFormat="1" applyBorder="1" applyAlignment="1">
      <alignment horizontal="right" vertical="center" wrapText="1"/>
    </xf>
    <xf numFmtId="209" fontId="4" fillId="7" borderId="2" xfId="0" applyNumberFormat="1" applyFont="1" applyFill="1" applyBorder="1">
      <alignment vertical="center"/>
    </xf>
    <xf numFmtId="0" fontId="35" fillId="7" borderId="5" xfId="0" applyFont="1" applyFill="1" applyBorder="1" applyAlignment="1">
      <alignment horizontal="right" vertical="center" wrapText="1"/>
    </xf>
    <xf numFmtId="6" fontId="1" fillId="4" borderId="4" xfId="0" applyNumberFormat="1" applyFont="1" applyFill="1" applyBorder="1" applyAlignment="1">
      <alignment vertical="center" shrinkToFit="1"/>
    </xf>
    <xf numFmtId="6" fontId="0" fillId="0" borderId="5" xfId="0" applyNumberFormat="1" applyBorder="1" applyAlignment="1">
      <alignment horizontal="right" vertical="center" wrapText="1"/>
    </xf>
    <xf numFmtId="201" fontId="1" fillId="0" borderId="5" xfId="0" applyNumberFormat="1" applyFont="1" applyBorder="1" applyAlignment="1">
      <alignment horizontal="right" vertical="center" wrapText="1"/>
    </xf>
    <xf numFmtId="202" fontId="1" fillId="0" borderId="5" xfId="0" applyNumberFormat="1" applyFont="1" applyBorder="1" applyAlignment="1">
      <alignment horizontal="right" vertical="center" wrapText="1"/>
    </xf>
    <xf numFmtId="0" fontId="10" fillId="4" borderId="4" xfId="0" applyFont="1" applyFill="1" applyBorder="1" applyAlignment="1">
      <alignment horizontal="left" vertical="center" shrinkToFit="1"/>
    </xf>
    <xf numFmtId="5" fontId="7" fillId="7" borderId="5" xfId="0" applyNumberFormat="1" applyFont="1" applyFill="1" applyBorder="1" applyAlignment="1">
      <alignment horizontal="right" vertical="center" wrapText="1"/>
    </xf>
    <xf numFmtId="209" fontId="7" fillId="7" borderId="2" xfId="0" applyNumberFormat="1" applyFont="1" applyFill="1" applyBorder="1">
      <alignment vertical="center"/>
    </xf>
    <xf numFmtId="0" fontId="7" fillId="7" borderId="2" xfId="0" applyFont="1" applyFill="1" applyBorder="1">
      <alignment vertical="center"/>
    </xf>
    <xf numFmtId="181" fontId="7" fillId="7" borderId="5" xfId="0" applyNumberFormat="1" applyFont="1" applyFill="1" applyBorder="1" applyAlignment="1">
      <alignment horizontal="right" vertical="center" wrapText="1"/>
    </xf>
    <xf numFmtId="196" fontId="1" fillId="0" borderId="5" xfId="0" applyNumberFormat="1" applyFont="1" applyBorder="1" applyAlignment="1">
      <alignment horizontal="right" vertical="center" wrapText="1"/>
    </xf>
    <xf numFmtId="184" fontId="1" fillId="0" borderId="5" xfId="0" applyNumberFormat="1" applyFont="1" applyBorder="1" applyAlignment="1">
      <alignment horizontal="right" vertical="center" wrapText="1"/>
    </xf>
    <xf numFmtId="182" fontId="1" fillId="0" borderId="5" xfId="0" applyNumberFormat="1" applyFont="1" applyBorder="1" applyAlignment="1">
      <alignment horizontal="right" vertical="center" wrapText="1"/>
    </xf>
    <xf numFmtId="6" fontId="1" fillId="0" borderId="5" xfId="0" applyNumberFormat="1" applyFont="1" applyBorder="1" applyAlignment="1">
      <alignment horizontal="right" vertical="center" wrapText="1"/>
    </xf>
    <xf numFmtId="196" fontId="0" fillId="0" borderId="5" xfId="0" applyNumberFormat="1" applyBorder="1" applyAlignment="1">
      <alignment horizontal="right" vertical="center" wrapText="1"/>
    </xf>
    <xf numFmtId="10" fontId="1" fillId="0" borderId="5" xfId="0" applyNumberFormat="1" applyFont="1" applyBorder="1" applyAlignment="1">
      <alignment horizontal="right" vertical="center" wrapText="1"/>
    </xf>
    <xf numFmtId="10" fontId="0" fillId="0" borderId="5" xfId="0" applyNumberFormat="1" applyBorder="1" applyAlignment="1">
      <alignment horizontal="right" vertical="center" wrapText="1"/>
    </xf>
    <xf numFmtId="183" fontId="1" fillId="0" borderId="5" xfId="0" applyNumberFormat="1" applyFont="1" applyBorder="1" applyAlignment="1">
      <alignment horizontal="right" vertical="center" wrapText="1"/>
    </xf>
    <xf numFmtId="184" fontId="0" fillId="0" borderId="5" xfId="0" applyNumberFormat="1" applyBorder="1" applyAlignment="1">
      <alignment horizontal="right" vertical="center" wrapText="1"/>
    </xf>
    <xf numFmtId="185" fontId="0" fillId="0" borderId="5" xfId="0" applyNumberFormat="1" applyBorder="1" applyAlignment="1">
      <alignment horizontal="right" vertical="center" wrapText="1"/>
    </xf>
    <xf numFmtId="185" fontId="1" fillId="0" borderId="5" xfId="0" applyNumberFormat="1" applyFont="1" applyBorder="1" applyAlignment="1">
      <alignment horizontal="right" vertical="center" wrapText="1"/>
    </xf>
    <xf numFmtId="185" fontId="19" fillId="0" borderId="5" xfId="0" applyNumberFormat="1" applyFont="1" applyBorder="1" applyAlignment="1">
      <alignment horizontal="right" vertical="center" wrapText="1"/>
    </xf>
    <xf numFmtId="183" fontId="0" fillId="0" borderId="5" xfId="0" applyNumberFormat="1" applyBorder="1" applyAlignment="1">
      <alignment horizontal="right" vertical="center" wrapText="1"/>
    </xf>
    <xf numFmtId="177" fontId="1" fillId="4" borderId="4" xfId="0" applyNumberFormat="1" applyFont="1" applyFill="1" applyBorder="1" applyAlignment="1">
      <alignment vertical="center" shrinkToFit="1"/>
    </xf>
    <xf numFmtId="203" fontId="0" fillId="4" borderId="2" xfId="0" applyNumberFormat="1" applyFill="1" applyBorder="1" applyAlignment="1">
      <alignment vertical="center" wrapText="1"/>
    </xf>
    <xf numFmtId="0" fontId="0" fillId="4" borderId="4" xfId="0" applyFill="1" applyBorder="1" applyAlignment="1">
      <alignment vertical="center" wrapText="1"/>
    </xf>
    <xf numFmtId="5" fontId="1" fillId="0" borderId="5" xfId="0" applyNumberFormat="1" applyFont="1" applyBorder="1" applyAlignment="1">
      <alignment horizontal="right" vertical="center" wrapText="1"/>
    </xf>
    <xf numFmtId="177" fontId="10" fillId="4" borderId="4" xfId="0" applyNumberFormat="1" applyFont="1" applyFill="1" applyBorder="1" applyAlignment="1">
      <alignment vertical="center" wrapText="1" shrinkToFit="1"/>
    </xf>
    <xf numFmtId="0" fontId="0" fillId="0" borderId="2" xfId="0" applyBorder="1">
      <alignment vertical="center"/>
    </xf>
    <xf numFmtId="177" fontId="1" fillId="0" borderId="4" xfId="0" applyNumberFormat="1" applyFont="1" applyBorder="1" applyAlignment="1">
      <alignment vertical="center" shrinkToFit="1"/>
    </xf>
    <xf numFmtId="0" fontId="14" fillId="16" borderId="1" xfId="0" applyFont="1" applyFill="1" applyBorder="1" applyAlignment="1">
      <alignment horizontal="right" vertical="center" wrapText="1"/>
    </xf>
    <xf numFmtId="187" fontId="15" fillId="0" borderId="2" xfId="0" applyNumberFormat="1" applyFont="1" applyBorder="1" applyAlignment="1">
      <alignment horizontal="left" vertical="center"/>
    </xf>
    <xf numFmtId="187" fontId="15" fillId="0" borderId="4" xfId="0" applyNumberFormat="1" applyFont="1" applyBorder="1" applyAlignment="1">
      <alignment horizontal="left" vertical="center"/>
    </xf>
    <xf numFmtId="0" fontId="0" fillId="24" borderId="0" xfId="0" applyFill="1" applyProtection="1">
      <alignment vertical="center"/>
      <protection locked="0"/>
    </xf>
    <xf numFmtId="49" fontId="0" fillId="0" borderId="0" xfId="0" applyNumberFormat="1" applyAlignment="1" applyProtection="1">
      <alignment horizontal="right" vertical="center" shrinkToFit="1"/>
      <protection locked="0"/>
    </xf>
    <xf numFmtId="198" fontId="0" fillId="0" borderId="0" xfId="0" applyNumberFormat="1" applyAlignment="1" applyProtection="1">
      <alignment horizontal="right" vertical="center" shrinkToFit="1"/>
      <protection locked="0"/>
    </xf>
    <xf numFmtId="0" fontId="19" fillId="0" borderId="0" xfId="0" applyFont="1" applyAlignment="1" applyProtection="1">
      <alignment horizontal="right" vertical="center" shrinkToFit="1"/>
      <protection locked="0"/>
    </xf>
    <xf numFmtId="0" fontId="0" fillId="0" borderId="0" xfId="0" applyAlignment="1" applyProtection="1">
      <alignment horizontal="left" vertical="center" shrinkToFit="1"/>
      <protection locked="0"/>
    </xf>
    <xf numFmtId="0" fontId="19" fillId="0" borderId="19" xfId="0" applyFont="1" applyBorder="1" applyAlignment="1" applyProtection="1">
      <alignment horizontal="right" vertical="center" shrinkToFit="1"/>
      <protection locked="0"/>
    </xf>
    <xf numFmtId="5" fontId="0" fillId="0" borderId="19" xfId="0" applyNumberFormat="1" applyBorder="1" applyAlignment="1" applyProtection="1">
      <alignment horizontal="right" vertical="center" shrinkToFit="1"/>
      <protection locked="0"/>
    </xf>
    <xf numFmtId="182" fontId="0" fillId="0" borderId="19" xfId="0" applyNumberFormat="1" applyBorder="1" applyAlignment="1" applyProtection="1">
      <alignment horizontal="right" vertical="center" shrinkToFit="1"/>
      <protection locked="0"/>
    </xf>
    <xf numFmtId="0" fontId="0" fillId="0" borderId="19" xfId="0" applyBorder="1" applyAlignment="1" applyProtection="1">
      <alignment horizontal="left" vertical="center" shrinkToFit="1"/>
      <protection locked="0"/>
    </xf>
    <xf numFmtId="211" fontId="13" fillId="0" borderId="0" xfId="0" applyNumberFormat="1" applyFont="1" applyProtection="1">
      <alignment vertical="center"/>
      <protection locked="0"/>
    </xf>
    <xf numFmtId="0" fontId="14" fillId="8" borderId="0" xfId="0" applyFont="1" applyFill="1">
      <alignment vertical="center"/>
    </xf>
    <xf numFmtId="0" fontId="0" fillId="40" borderId="0" xfId="0" applyFill="1">
      <alignment vertical="center"/>
    </xf>
    <xf numFmtId="0" fontId="7" fillId="2" borderId="0" xfId="0" applyFont="1" applyFill="1" applyProtection="1">
      <alignment vertical="center"/>
      <protection locked="0"/>
    </xf>
    <xf numFmtId="0" fontId="9" fillId="0" borderId="0" xfId="0" applyFont="1" applyAlignment="1" applyProtection="1">
      <alignment vertical="center" shrinkToFit="1"/>
      <protection locked="0"/>
    </xf>
    <xf numFmtId="0" fontId="14" fillId="7" borderId="27" xfId="0" applyFont="1" applyFill="1" applyBorder="1" applyProtection="1">
      <alignment vertical="center"/>
      <protection locked="0"/>
    </xf>
    <xf numFmtId="0" fontId="0" fillId="0" borderId="29" xfId="0" applyBorder="1" applyProtection="1">
      <alignment vertical="center"/>
      <protection locked="0"/>
    </xf>
    <xf numFmtId="0" fontId="0" fillId="0" borderId="32" xfId="0" applyBorder="1" applyProtection="1">
      <alignment vertical="center"/>
      <protection locked="0"/>
    </xf>
    <xf numFmtId="0" fontId="6" fillId="0" borderId="0" xfId="0" applyFont="1" applyAlignment="1" applyProtection="1">
      <alignment horizontal="left" vertical="center"/>
      <protection locked="0"/>
    </xf>
    <xf numFmtId="208" fontId="41" fillId="0" borderId="0" xfId="0" applyNumberFormat="1" applyFont="1" applyProtection="1">
      <alignment vertical="center"/>
      <protection locked="0"/>
    </xf>
    <xf numFmtId="206" fontId="7" fillId="2" borderId="0" xfId="0" applyNumberFormat="1" applyFont="1" applyFill="1" applyAlignment="1" applyProtection="1">
      <alignment horizontal="left" vertical="center"/>
      <protection locked="0"/>
    </xf>
    <xf numFmtId="0" fontId="4" fillId="2" borderId="0" xfId="0" applyFont="1" applyFill="1" applyProtection="1">
      <alignment vertical="center"/>
      <protection locked="0"/>
    </xf>
    <xf numFmtId="5" fontId="7" fillId="2" borderId="0" xfId="0" applyNumberFormat="1" applyFont="1" applyFill="1" applyProtection="1">
      <alignment vertical="center"/>
      <protection locked="0"/>
    </xf>
    <xf numFmtId="208" fontId="7" fillId="2" borderId="0" xfId="0" applyNumberFormat="1" applyFont="1" applyFill="1" applyProtection="1">
      <alignment vertical="center"/>
      <protection locked="0"/>
    </xf>
    <xf numFmtId="206" fontId="0" fillId="0" borderId="0" xfId="0" applyNumberFormat="1" applyAlignment="1" applyProtection="1">
      <alignment horizontal="left" vertical="center"/>
      <protection locked="0"/>
    </xf>
    <xf numFmtId="208" fontId="0" fillId="0" borderId="0" xfId="0" applyNumberFormat="1" applyProtection="1">
      <alignment vertical="center"/>
      <protection locked="0"/>
    </xf>
    <xf numFmtId="0" fontId="6" fillId="0" borderId="0" xfId="0" applyFont="1" applyProtection="1">
      <alignment vertical="center"/>
      <protection locked="0"/>
    </xf>
    <xf numFmtId="0" fontId="9" fillId="0" borderId="0" xfId="0" applyFont="1" applyAlignment="1" applyProtection="1">
      <alignment horizontal="right" vertical="center"/>
      <protection locked="0"/>
    </xf>
    <xf numFmtId="10" fontId="0" fillId="0" borderId="0" xfId="0" applyNumberFormat="1" applyProtection="1">
      <alignment vertical="center"/>
      <protection locked="0"/>
    </xf>
    <xf numFmtId="0" fontId="4" fillId="3" borderId="6" xfId="0" applyFont="1" applyFill="1" applyBorder="1" applyProtection="1">
      <alignment vertical="center"/>
      <protection locked="0"/>
    </xf>
    <xf numFmtId="210" fontId="4" fillId="8" borderId="1" xfId="0" applyNumberFormat="1" applyFont="1" applyFill="1" applyBorder="1" applyAlignment="1">
      <alignment vertical="center" shrinkToFit="1"/>
    </xf>
    <xf numFmtId="210" fontId="4" fillId="7" borderId="1" xfId="0" applyNumberFormat="1" applyFont="1" applyFill="1" applyBorder="1" applyAlignment="1">
      <alignment vertical="center" shrinkToFit="1"/>
    </xf>
    <xf numFmtId="210" fontId="7" fillId="7" borderId="1" xfId="0" applyNumberFormat="1" applyFont="1" applyFill="1" applyBorder="1" applyAlignment="1">
      <alignment vertical="center" shrinkToFit="1"/>
    </xf>
    <xf numFmtId="210" fontId="4" fillId="9" borderId="1" xfId="0" applyNumberFormat="1" applyFont="1" applyFill="1" applyBorder="1" applyAlignment="1">
      <alignment vertical="center" shrinkToFit="1"/>
    </xf>
    <xf numFmtId="176" fontId="13" fillId="0" borderId="0" xfId="0" applyNumberFormat="1" applyFont="1" applyAlignment="1" applyProtection="1">
      <alignment horizontal="left" vertical="center"/>
      <protection locked="0"/>
    </xf>
    <xf numFmtId="0" fontId="1" fillId="10" borderId="6" xfId="0" applyFont="1" applyFill="1" applyBorder="1">
      <alignment vertical="center"/>
    </xf>
    <xf numFmtId="0" fontId="1" fillId="0" borderId="6" xfId="0" applyFont="1" applyBorder="1">
      <alignment vertical="center"/>
    </xf>
    <xf numFmtId="0" fontId="0" fillId="10" borderId="6" xfId="0" applyFill="1" applyBorder="1">
      <alignment vertical="center"/>
    </xf>
    <xf numFmtId="0" fontId="0" fillId="0" borderId="6" xfId="0" applyBorder="1">
      <alignment vertical="center"/>
    </xf>
    <xf numFmtId="0" fontId="15" fillId="11" borderId="2" xfId="0" applyFont="1" applyFill="1" applyBorder="1">
      <alignment vertical="center"/>
    </xf>
    <xf numFmtId="0" fontId="36" fillId="0" borderId="0" xfId="0" applyFont="1" applyAlignment="1" applyProtection="1">
      <alignment vertical="center" shrinkToFit="1"/>
      <protection locked="0"/>
    </xf>
    <xf numFmtId="195" fontId="14" fillId="7" borderId="0" xfId="0" applyNumberFormat="1" applyFont="1" applyFill="1" applyAlignment="1" applyProtection="1">
      <alignment horizontal="left" vertical="center"/>
      <protection locked="0"/>
    </xf>
    <xf numFmtId="0" fontId="16" fillId="0" borderId="0" xfId="0" applyFont="1" applyProtection="1">
      <alignment vertical="center"/>
      <protection locked="0"/>
    </xf>
    <xf numFmtId="187" fontId="0" fillId="0" borderId="0" xfId="0" applyNumberFormat="1" applyAlignment="1" applyProtection="1">
      <alignment horizontal="right" vertical="center"/>
      <protection locked="0"/>
    </xf>
    <xf numFmtId="0" fontId="14" fillId="12" borderId="7" xfId="0" applyFont="1" applyFill="1" applyBorder="1" applyProtection="1">
      <alignment vertical="center"/>
      <protection locked="0"/>
    </xf>
    <xf numFmtId="0" fontId="1" fillId="12" borderId="8" xfId="0" applyFont="1" applyFill="1" applyBorder="1" applyProtection="1">
      <alignment vertical="center"/>
      <protection locked="0"/>
    </xf>
    <xf numFmtId="0" fontId="0" fillId="5" borderId="1" xfId="0" applyFill="1" applyBorder="1" applyAlignment="1" applyProtection="1">
      <alignment horizontal="left" vertical="center"/>
      <protection locked="0"/>
    </xf>
    <xf numFmtId="0" fontId="26" fillId="0" borderId="0" xfId="0" applyFont="1" applyAlignment="1" applyProtection="1">
      <alignment vertical="center" shrinkToFit="1"/>
      <protection locked="0"/>
    </xf>
    <xf numFmtId="0" fontId="26" fillId="0" borderId="0" xfId="0" applyFont="1" applyProtection="1">
      <alignment vertical="center"/>
      <protection locked="0"/>
    </xf>
    <xf numFmtId="0" fontId="1" fillId="0" borderId="10" xfId="0" applyFont="1" applyBorder="1" applyProtection="1">
      <alignment vertical="center"/>
      <protection locked="0"/>
    </xf>
    <xf numFmtId="0" fontId="18" fillId="19" borderId="2" xfId="0" applyFont="1" applyFill="1" applyBorder="1" applyProtection="1">
      <alignment vertical="center"/>
      <protection locked="0"/>
    </xf>
    <xf numFmtId="0" fontId="18" fillId="0" borderId="2" xfId="0" applyFont="1" applyBorder="1" applyProtection="1">
      <alignment vertical="center"/>
      <protection locked="0"/>
    </xf>
    <xf numFmtId="0" fontId="18" fillId="17" borderId="2" xfId="0" applyFont="1" applyFill="1" applyBorder="1" applyProtection="1">
      <alignment vertical="center"/>
      <protection locked="0"/>
    </xf>
    <xf numFmtId="0" fontId="1" fillId="0" borderId="14" xfId="0" applyFont="1" applyBorder="1" applyProtection="1">
      <alignment vertical="center"/>
      <protection locked="0"/>
    </xf>
    <xf numFmtId="0" fontId="0" fillId="0" borderId="14" xfId="0" applyBorder="1" applyAlignment="1" applyProtection="1">
      <alignment horizontal="right" vertical="center"/>
      <protection locked="0"/>
    </xf>
    <xf numFmtId="0" fontId="14" fillId="12" borderId="4" xfId="0" applyFont="1" applyFill="1" applyBorder="1" applyProtection="1">
      <alignment vertical="center"/>
      <protection locked="0"/>
    </xf>
    <xf numFmtId="0" fontId="15" fillId="5" borderId="2" xfId="0" applyFont="1" applyFill="1" applyBorder="1" applyProtection="1">
      <alignment vertical="center"/>
      <protection locked="0"/>
    </xf>
    <xf numFmtId="0" fontId="15" fillId="5" borderId="3" xfId="0" applyFont="1" applyFill="1" applyBorder="1" applyAlignment="1" applyProtection="1">
      <alignment horizontal="right" vertical="center"/>
      <protection locked="0"/>
    </xf>
    <xf numFmtId="183" fontId="15" fillId="5" borderId="3" xfId="0" applyNumberFormat="1" applyFont="1" applyFill="1" applyBorder="1" applyProtection="1">
      <alignment vertical="center"/>
      <protection locked="0"/>
    </xf>
    <xf numFmtId="183" fontId="15" fillId="5" borderId="4" xfId="0" applyNumberFormat="1" applyFont="1" applyFill="1" applyBorder="1" applyProtection="1">
      <alignment vertical="center"/>
      <protection locked="0"/>
    </xf>
    <xf numFmtId="0" fontId="0" fillId="0" borderId="7" xfId="0" applyBorder="1" applyProtection="1">
      <alignment vertical="center"/>
      <protection locked="0"/>
    </xf>
    <xf numFmtId="0" fontId="0" fillId="0" borderId="15" xfId="0" applyBorder="1" applyAlignment="1" applyProtection="1">
      <alignment horizontal="right" vertical="center"/>
      <protection locked="0"/>
    </xf>
    <xf numFmtId="0" fontId="15" fillId="0" borderId="6" xfId="0" applyFont="1" applyBorder="1" applyProtection="1">
      <alignment vertical="center"/>
      <protection locked="0"/>
    </xf>
    <xf numFmtId="186" fontId="26" fillId="0" borderId="0" xfId="0" applyNumberFormat="1" applyFont="1" applyAlignment="1" applyProtection="1">
      <alignment vertical="center" shrinkToFit="1"/>
      <protection locked="0"/>
    </xf>
    <xf numFmtId="0" fontId="15" fillId="0" borderId="0" xfId="0" applyFont="1" applyAlignment="1" applyProtection="1">
      <alignment horizontal="right" vertical="center"/>
      <protection locked="0"/>
    </xf>
    <xf numFmtId="183" fontId="0" fillId="0" borderId="0" xfId="0" applyNumberFormat="1" applyProtection="1">
      <alignment vertical="center"/>
      <protection locked="0"/>
    </xf>
    <xf numFmtId="0" fontId="0" fillId="0" borderId="10" xfId="0" applyBorder="1" applyProtection="1">
      <alignment vertical="center"/>
      <protection locked="0"/>
    </xf>
    <xf numFmtId="0" fontId="1" fillId="0" borderId="0" xfId="0" applyFont="1" applyAlignment="1" applyProtection="1">
      <alignment horizontal="right" vertical="center"/>
      <protection locked="0"/>
    </xf>
    <xf numFmtId="6" fontId="17" fillId="0" borderId="9" xfId="0" applyNumberFormat="1" applyFont="1" applyBorder="1" applyAlignment="1">
      <alignment horizontal="right" vertical="center"/>
    </xf>
    <xf numFmtId="0" fontId="1" fillId="0" borderId="9" xfId="0" applyFont="1" applyBorder="1">
      <alignment vertical="center"/>
    </xf>
    <xf numFmtId="0" fontId="0" fillId="0" borderId="9" xfId="0" applyBorder="1">
      <alignment vertical="center"/>
    </xf>
    <xf numFmtId="6" fontId="38" fillId="0" borderId="4" xfId="0" applyNumberFormat="1" applyFont="1" applyBorder="1" applyAlignment="1">
      <alignment horizontal="right" vertical="center"/>
    </xf>
    <xf numFmtId="6" fontId="1" fillId="0" borderId="9" xfId="0" applyNumberFormat="1" applyFont="1" applyBorder="1" applyAlignment="1">
      <alignment horizontal="right" vertical="center"/>
    </xf>
    <xf numFmtId="0" fontId="1" fillId="0" borderId="11" xfId="0" applyFont="1" applyBorder="1">
      <alignment vertical="center"/>
    </xf>
    <xf numFmtId="6" fontId="6" fillId="19" borderId="4" xfId="0" applyNumberFormat="1" applyFont="1" applyFill="1" applyBorder="1" applyAlignment="1">
      <alignment horizontal="right" vertical="center"/>
    </xf>
    <xf numFmtId="6" fontId="38" fillId="17" borderId="4" xfId="0" applyNumberFormat="1" applyFont="1" applyFill="1" applyBorder="1" applyAlignment="1">
      <alignment horizontal="right" vertical="center"/>
    </xf>
    <xf numFmtId="183" fontId="1" fillId="0" borderId="15" xfId="0" applyNumberFormat="1" applyFont="1" applyBorder="1">
      <alignment vertical="center"/>
    </xf>
    <xf numFmtId="183" fontId="1" fillId="0" borderId="8" xfId="0" applyNumberFormat="1" applyFont="1" applyBorder="1">
      <alignment vertical="center"/>
    </xf>
    <xf numFmtId="184" fontId="1" fillId="0" borderId="0" xfId="0" applyNumberFormat="1" applyFont="1">
      <alignment vertical="center"/>
    </xf>
    <xf numFmtId="183" fontId="0" fillId="0" borderId="9" xfId="0" applyNumberFormat="1" applyBorder="1" applyAlignment="1">
      <alignment horizontal="right" vertical="center"/>
    </xf>
    <xf numFmtId="185" fontId="1" fillId="0" borderId="0" xfId="0" applyNumberFormat="1" applyFont="1">
      <alignment vertical="center"/>
    </xf>
    <xf numFmtId="185" fontId="0" fillId="0" borderId="9" xfId="0" applyNumberFormat="1" applyBorder="1" applyAlignment="1">
      <alignment horizontal="right" vertical="center"/>
    </xf>
    <xf numFmtId="9" fontId="1" fillId="0" borderId="0" xfId="0" applyNumberFormat="1" applyFont="1">
      <alignment vertical="center"/>
    </xf>
    <xf numFmtId="183" fontId="1" fillId="0" borderId="0" xfId="0" applyNumberFormat="1" applyFont="1">
      <alignment vertical="center"/>
    </xf>
    <xf numFmtId="183" fontId="1" fillId="0" borderId="9" xfId="0" applyNumberFormat="1" applyFont="1" applyBorder="1">
      <alignment vertical="center"/>
    </xf>
    <xf numFmtId="10" fontId="1" fillId="0" borderId="0" xfId="0" applyNumberFormat="1" applyFont="1">
      <alignment vertical="center"/>
    </xf>
    <xf numFmtId="183" fontId="15" fillId="5" borderId="3" xfId="0" applyNumberFormat="1" applyFont="1" applyFill="1" applyBorder="1">
      <alignment vertical="center"/>
    </xf>
    <xf numFmtId="183" fontId="15" fillId="5" borderId="4" xfId="0" applyNumberFormat="1" applyFont="1" applyFill="1" applyBorder="1">
      <alignment vertical="center"/>
    </xf>
    <xf numFmtId="183" fontId="15" fillId="0" borderId="9" xfId="0" applyNumberFormat="1" applyFont="1" applyBorder="1">
      <alignment vertical="center"/>
    </xf>
    <xf numFmtId="183" fontId="15" fillId="0" borderId="9" xfId="0" applyNumberFormat="1" applyFont="1" applyBorder="1" applyAlignment="1">
      <alignment horizontal="right" vertical="center"/>
    </xf>
    <xf numFmtId="183" fontId="0" fillId="0" borderId="0" xfId="0" applyNumberFormat="1">
      <alignment vertical="center"/>
    </xf>
    <xf numFmtId="183" fontId="0" fillId="0" borderId="9" xfId="0" applyNumberFormat="1" applyBorder="1">
      <alignment vertical="center"/>
    </xf>
    <xf numFmtId="183" fontId="1" fillId="0" borderId="14" xfId="0" applyNumberFormat="1" applyFont="1" applyBorder="1">
      <alignment vertical="center"/>
    </xf>
    <xf numFmtId="183" fontId="0" fillId="0" borderId="11" xfId="0" applyNumberFormat="1" applyBorder="1" applyAlignment="1">
      <alignment horizontal="right" vertical="center"/>
    </xf>
    <xf numFmtId="183" fontId="1" fillId="0" borderId="11" xfId="0" applyNumberFormat="1" applyFont="1" applyBorder="1">
      <alignment vertical="center"/>
    </xf>
    <xf numFmtId="0" fontId="1" fillId="4" borderId="1" xfId="0" applyFont="1" applyFill="1" applyBorder="1" applyAlignment="1">
      <alignment horizontal="right" vertical="center" wrapText="1"/>
    </xf>
    <xf numFmtId="0" fontId="1" fillId="15" borderId="5" xfId="0" applyFont="1" applyFill="1" applyBorder="1" applyAlignment="1">
      <alignment horizontal="right" vertical="center" wrapText="1"/>
    </xf>
    <xf numFmtId="0" fontId="7" fillId="7" borderId="5" xfId="0" applyFont="1" applyFill="1" applyBorder="1" applyAlignment="1">
      <alignment horizontal="right" vertical="center" wrapText="1"/>
    </xf>
    <xf numFmtId="0" fontId="1" fillId="15" borderId="5" xfId="0" applyFont="1" applyFill="1" applyBorder="1" applyAlignment="1">
      <alignment horizontal="right" vertical="center" shrinkToFit="1"/>
    </xf>
    <xf numFmtId="0" fontId="0" fillId="15" borderId="5" xfId="0" applyFill="1" applyBorder="1" applyAlignment="1">
      <alignment horizontal="right" vertical="center" wrapText="1"/>
    </xf>
    <xf numFmtId="188" fontId="0" fillId="15" borderId="5" xfId="0" applyNumberFormat="1" applyFill="1" applyBorder="1" applyAlignment="1">
      <alignment horizontal="right" vertical="center" wrapText="1"/>
    </xf>
    <xf numFmtId="189" fontId="1" fillId="15" borderId="5" xfId="0" applyNumberFormat="1" applyFont="1" applyFill="1" applyBorder="1" applyAlignment="1">
      <alignment horizontal="right" vertical="center" wrapText="1"/>
    </xf>
    <xf numFmtId="182" fontId="1" fillId="15" borderId="5" xfId="0" applyNumberFormat="1" applyFont="1" applyFill="1" applyBorder="1" applyAlignment="1">
      <alignment horizontal="right" vertical="center" wrapText="1" shrinkToFit="1"/>
    </xf>
    <xf numFmtId="190" fontId="1" fillId="15" borderId="5" xfId="0" applyNumberFormat="1" applyFont="1" applyFill="1" applyBorder="1" applyAlignment="1">
      <alignment horizontal="right" vertical="center" wrapText="1"/>
    </xf>
    <xf numFmtId="5" fontId="0" fillId="15" borderId="5" xfId="0" applyNumberFormat="1" applyFill="1" applyBorder="1" applyAlignment="1">
      <alignment horizontal="right" vertical="center" wrapText="1"/>
    </xf>
    <xf numFmtId="5" fontId="1" fillId="15" borderId="5" xfId="0" applyNumberFormat="1" applyFont="1" applyFill="1" applyBorder="1" applyAlignment="1">
      <alignment horizontal="right" vertical="center" wrapText="1" shrinkToFit="1"/>
    </xf>
    <xf numFmtId="5" fontId="1" fillId="15" borderId="5" xfId="0" applyNumberFormat="1" applyFont="1" applyFill="1" applyBorder="1" applyAlignment="1">
      <alignment horizontal="right" vertical="center" wrapText="1"/>
    </xf>
    <xf numFmtId="6" fontId="1" fillId="15" borderId="5" xfId="0" applyNumberFormat="1" applyFont="1" applyFill="1" applyBorder="1" applyAlignment="1">
      <alignment horizontal="right" vertical="center" wrapText="1"/>
    </xf>
    <xf numFmtId="10" fontId="19" fillId="15" borderId="5" xfId="0" applyNumberFormat="1" applyFont="1" applyFill="1" applyBorder="1" applyAlignment="1">
      <alignment horizontal="right" vertical="center" wrapText="1"/>
    </xf>
    <xf numFmtId="5" fontId="20" fillId="15" borderId="5" xfId="0" applyNumberFormat="1" applyFont="1" applyFill="1" applyBorder="1" applyAlignment="1">
      <alignment horizontal="right" vertical="top" wrapText="1" shrinkToFit="1"/>
    </xf>
    <xf numFmtId="182" fontId="0" fillId="15" borderId="5" xfId="0" applyNumberFormat="1" applyFill="1" applyBorder="1" applyAlignment="1">
      <alignment horizontal="right" vertical="center" wrapText="1"/>
    </xf>
    <xf numFmtId="182" fontId="1" fillId="15" borderId="5" xfId="0" applyNumberFormat="1" applyFont="1" applyFill="1" applyBorder="1" applyAlignment="1">
      <alignment horizontal="right" vertical="center" wrapText="1"/>
    </xf>
    <xf numFmtId="184" fontId="1" fillId="15" borderId="5" xfId="0" applyNumberFormat="1" applyFont="1" applyFill="1" applyBorder="1" applyAlignment="1">
      <alignment horizontal="right" vertical="center" wrapText="1"/>
    </xf>
    <xf numFmtId="191" fontId="7" fillId="7" borderId="5" xfId="0" applyNumberFormat="1" applyFont="1" applyFill="1" applyBorder="1" applyAlignment="1">
      <alignment horizontal="right" vertical="center" wrapText="1"/>
    </xf>
    <xf numFmtId="10" fontId="0" fillId="15" borderId="5" xfId="0" applyNumberFormat="1" applyFill="1" applyBorder="1" applyAlignment="1">
      <alignment horizontal="right" vertical="center" wrapText="1"/>
    </xf>
    <xf numFmtId="10" fontId="1" fillId="15" borderId="5" xfId="0" applyNumberFormat="1" applyFont="1" applyFill="1" applyBorder="1" applyAlignment="1">
      <alignment horizontal="right" vertical="center" wrapText="1"/>
    </xf>
    <xf numFmtId="183" fontId="0" fillId="15" borderId="5" xfId="0" applyNumberFormat="1" applyFill="1" applyBorder="1" applyAlignment="1">
      <alignment horizontal="right" vertical="center" wrapText="1"/>
    </xf>
    <xf numFmtId="185" fontId="1" fillId="15" borderId="5" xfId="0" applyNumberFormat="1" applyFont="1" applyFill="1" applyBorder="1" applyAlignment="1">
      <alignment horizontal="right" vertical="center" wrapText="1"/>
    </xf>
    <xf numFmtId="183" fontId="1" fillId="15" borderId="5" xfId="0" applyNumberFormat="1" applyFont="1" applyFill="1" applyBorder="1" applyAlignment="1">
      <alignment horizontal="right" vertical="center" wrapText="1"/>
    </xf>
    <xf numFmtId="0" fontId="0" fillId="0" borderId="0" xfId="0" applyAlignment="1" applyProtection="1">
      <alignment vertical="center" shrinkToFit="1"/>
      <protection locked="0"/>
    </xf>
    <xf numFmtId="0" fontId="0" fillId="0" borderId="0" xfId="0" pivotButton="1" applyAlignment="1" applyProtection="1">
      <alignment vertical="center" shrinkToFit="1"/>
      <protection locked="0"/>
    </xf>
    <xf numFmtId="5" fontId="0" fillId="0" borderId="0" xfId="0" applyNumberFormat="1" applyAlignment="1" applyProtection="1">
      <alignment vertical="center" shrinkToFit="1"/>
      <protection locked="0"/>
    </xf>
    <xf numFmtId="184" fontId="0" fillId="0" borderId="0" xfId="0" applyNumberFormat="1" applyAlignment="1" applyProtection="1">
      <alignment vertical="center" shrinkToFit="1"/>
      <protection locked="0"/>
    </xf>
    <xf numFmtId="184" fontId="0" fillId="0" borderId="0" xfId="0" applyNumberFormat="1" applyAlignment="1" applyProtection="1">
      <alignment horizontal="right" vertical="center" shrinkToFit="1"/>
      <protection locked="0"/>
    </xf>
    <xf numFmtId="10" fontId="0" fillId="0" borderId="0" xfId="0" applyNumberFormat="1" applyAlignment="1" applyProtection="1">
      <alignment horizontal="right" vertical="center" shrinkToFit="1"/>
      <protection locked="0"/>
    </xf>
    <xf numFmtId="187" fontId="12" fillId="0" borderId="0" xfId="0" applyNumberFormat="1" applyFont="1" applyAlignment="1" applyProtection="1">
      <alignment horizontal="left" vertical="center" shrinkToFit="1"/>
      <protection locked="0"/>
    </xf>
    <xf numFmtId="195" fontId="25" fillId="17" borderId="0" xfId="0" applyNumberFormat="1" applyFont="1" applyFill="1" applyAlignment="1" applyProtection="1">
      <alignment horizontal="left" vertical="center" shrinkToFit="1"/>
      <protection locked="0"/>
    </xf>
    <xf numFmtId="195" fontId="25" fillId="17" borderId="0" xfId="0" applyNumberFormat="1" applyFont="1" applyFill="1" applyAlignment="1" applyProtection="1">
      <alignment horizontal="left" vertical="center"/>
      <protection locked="0"/>
    </xf>
    <xf numFmtId="0" fontId="0" fillId="0" borderId="0" xfId="0" applyAlignment="1" applyProtection="1">
      <alignment horizontal="left" vertical="center" indent="2"/>
      <protection locked="0"/>
    </xf>
    <xf numFmtId="9" fontId="13" fillId="0" borderId="0" xfId="0" applyNumberFormat="1" applyFont="1" applyProtection="1">
      <alignment vertical="center"/>
      <protection locked="0"/>
    </xf>
    <xf numFmtId="193" fontId="34" fillId="0" borderId="0" xfId="0" applyNumberFormat="1" applyFont="1" applyProtection="1">
      <alignment vertical="center"/>
      <protection locked="0"/>
    </xf>
    <xf numFmtId="9" fontId="0" fillId="0" borderId="0" xfId="0" applyNumberFormat="1" applyProtection="1">
      <alignment vertical="center"/>
      <protection locked="0"/>
    </xf>
    <xf numFmtId="0" fontId="7" fillId="2" borderId="0" xfId="0" applyFont="1" applyFill="1" applyAlignment="1">
      <alignment horizontal="left" vertical="center" wrapText="1"/>
    </xf>
    <xf numFmtId="5" fontId="7" fillId="2" borderId="0" xfId="0" applyNumberFormat="1" applyFont="1" applyFill="1" applyAlignment="1">
      <alignment horizontal="left" vertical="center" wrapText="1"/>
    </xf>
    <xf numFmtId="193" fontId="7" fillId="2" borderId="0" xfId="0" applyNumberFormat="1" applyFont="1" applyFill="1" applyAlignment="1">
      <alignment horizontal="left" vertical="center" wrapText="1"/>
    </xf>
    <xf numFmtId="200" fontId="7" fillId="2" borderId="0" xfId="0" applyNumberFormat="1" applyFont="1" applyFill="1" applyAlignment="1">
      <alignment horizontal="left" vertical="center" wrapText="1"/>
    </xf>
    <xf numFmtId="202" fontId="7" fillId="2" borderId="0" xfId="0" applyNumberFormat="1" applyFont="1" applyFill="1" applyAlignment="1">
      <alignment horizontal="left" vertical="center" wrapText="1"/>
    </xf>
    <xf numFmtId="182" fontId="7" fillId="2" borderId="0" xfId="0" applyNumberFormat="1" applyFont="1" applyFill="1" applyAlignment="1">
      <alignment horizontal="left" vertical="center" wrapText="1"/>
    </xf>
    <xf numFmtId="9" fontId="7" fillId="2" borderId="0" xfId="0" applyNumberFormat="1" applyFont="1" applyFill="1" applyAlignment="1">
      <alignment horizontal="left" vertical="center" wrapText="1"/>
    </xf>
    <xf numFmtId="0" fontId="18" fillId="0" borderId="0" xfId="0" applyFont="1" applyAlignment="1">
      <alignment vertical="center" wrapText="1"/>
    </xf>
    <xf numFmtId="0" fontId="34" fillId="0" borderId="0" xfId="0" applyFont="1">
      <alignment vertical="center"/>
    </xf>
    <xf numFmtId="0" fontId="34" fillId="0" borderId="0" xfId="0" applyFont="1" applyAlignment="1">
      <alignment vertical="center" wrapText="1"/>
    </xf>
    <xf numFmtId="9" fontId="13" fillId="0" borderId="0" xfId="0" applyNumberFormat="1" applyFont="1">
      <alignment vertical="center"/>
    </xf>
    <xf numFmtId="202" fontId="34" fillId="0" borderId="0" xfId="0" applyNumberFormat="1" applyFont="1">
      <alignment vertical="center"/>
    </xf>
    <xf numFmtId="0" fontId="4" fillId="0" borderId="0" xfId="0" applyFont="1" applyProtection="1">
      <alignment vertical="center"/>
      <protection locked="0"/>
    </xf>
    <xf numFmtId="0" fontId="7" fillId="0" borderId="0" xfId="0" applyFont="1" applyProtection="1">
      <alignment vertical="center"/>
      <protection locked="0"/>
    </xf>
    <xf numFmtId="0" fontId="8" fillId="0" borderId="0" xfId="0" applyFont="1">
      <alignment vertical="center"/>
    </xf>
    <xf numFmtId="5" fontId="0" fillId="0" borderId="6" xfId="0" applyNumberFormat="1" applyBorder="1" applyAlignment="1">
      <alignment horizontal="right" vertical="center"/>
    </xf>
    <xf numFmtId="5" fontId="0" fillId="0" borderId="9" xfId="0" applyNumberFormat="1" applyBorder="1" applyAlignment="1">
      <alignment horizontal="right" vertical="center"/>
    </xf>
    <xf numFmtId="197" fontId="0" fillId="0" borderId="6" xfId="0" applyNumberFormat="1" applyBorder="1">
      <alignment vertical="center"/>
    </xf>
    <xf numFmtId="0" fontId="0" fillId="0" borderId="18" xfId="0" applyBorder="1" applyAlignment="1">
      <alignment horizontal="left" vertical="center"/>
    </xf>
    <xf numFmtId="5" fontId="0" fillId="0" borderId="12" xfId="0" applyNumberFormat="1" applyBorder="1" applyAlignment="1">
      <alignment horizontal="right" vertical="center"/>
    </xf>
    <xf numFmtId="5" fontId="0" fillId="0" borderId="13" xfId="0" applyNumberFormat="1" applyBorder="1" applyAlignment="1">
      <alignment horizontal="right" vertical="center"/>
    </xf>
    <xf numFmtId="197" fontId="0" fillId="0" borderId="12" xfId="0" applyNumberFormat="1" applyBorder="1">
      <alignment vertical="center"/>
    </xf>
    <xf numFmtId="0" fontId="0" fillId="19" borderId="2" xfId="0" applyFill="1" applyBorder="1" applyAlignment="1">
      <alignment horizontal="left" vertical="center"/>
    </xf>
    <xf numFmtId="0" fontId="0" fillId="19" borderId="3" xfId="0" applyFill="1" applyBorder="1" applyAlignment="1">
      <alignment horizontal="left" vertical="center"/>
    </xf>
    <xf numFmtId="182" fontId="0" fillId="19" borderId="3" xfId="0" applyNumberFormat="1" applyFill="1" applyBorder="1" applyAlignment="1">
      <alignment horizontal="left" vertical="center"/>
    </xf>
    <xf numFmtId="207" fontId="0" fillId="19" borderId="3" xfId="0" applyNumberFormat="1" applyFill="1" applyBorder="1" applyAlignment="1">
      <alignment horizontal="left" vertical="center"/>
    </xf>
    <xf numFmtId="0" fontId="0" fillId="19" borderId="4" xfId="0" applyFill="1" applyBorder="1" applyAlignment="1">
      <alignment horizontal="left" vertical="center"/>
    </xf>
    <xf numFmtId="0" fontId="0" fillId="21" borderId="1" xfId="0" applyFill="1" applyBorder="1" applyAlignment="1">
      <alignment horizontal="left" vertical="center" shrinkToFit="1"/>
    </xf>
    <xf numFmtId="0" fontId="32" fillId="21" borderId="1" xfId="0" applyFont="1" applyFill="1" applyBorder="1" applyAlignment="1">
      <alignment horizontal="left" vertical="center" wrapText="1"/>
    </xf>
    <xf numFmtId="182" fontId="0" fillId="21" borderId="1" xfId="0" applyNumberFormat="1" applyFill="1" applyBorder="1" applyAlignment="1">
      <alignment horizontal="left" vertical="center" shrinkToFit="1"/>
    </xf>
    <xf numFmtId="0" fontId="0" fillId="21" borderId="1" xfId="0" applyFill="1" applyBorder="1" applyAlignment="1">
      <alignment horizontal="left" vertical="center" wrapText="1" shrinkToFit="1"/>
    </xf>
    <xf numFmtId="0" fontId="22" fillId="0" borderId="0" xfId="0" applyFont="1">
      <alignment vertical="center"/>
    </xf>
    <xf numFmtId="0" fontId="23" fillId="0" borderId="0" xfId="0" applyFont="1" applyAlignment="1" applyProtection="1">
      <alignment horizontal="left" vertical="center"/>
      <protection locked="0"/>
    </xf>
    <xf numFmtId="184" fontId="0" fillId="0" borderId="0" xfId="0" applyNumberFormat="1" applyProtection="1">
      <alignment vertical="center"/>
      <protection locked="0"/>
    </xf>
    <xf numFmtId="5" fontId="23" fillId="0" borderId="0" xfId="0" applyNumberFormat="1" applyFont="1" applyProtection="1">
      <alignment vertical="center"/>
      <protection locked="0"/>
    </xf>
    <xf numFmtId="0" fontId="0" fillId="11" borderId="0" xfId="0" applyFill="1" applyAlignment="1" applyProtection="1">
      <alignment vertical="center" shrinkToFit="1"/>
      <protection locked="0"/>
    </xf>
    <xf numFmtId="0" fontId="24" fillId="22" borderId="0" xfId="0" applyFont="1" applyFill="1">
      <alignment vertical="center"/>
    </xf>
    <xf numFmtId="5" fontId="0" fillId="22" borderId="0" xfId="0" applyNumberFormat="1" applyFill="1">
      <alignment vertical="center"/>
    </xf>
    <xf numFmtId="0" fontId="14" fillId="12" borderId="0" xfId="0" applyFont="1" applyFill="1" applyAlignment="1">
      <alignment vertical="center" shrinkToFit="1"/>
    </xf>
    <xf numFmtId="0" fontId="0" fillId="11" borderId="0" xfId="0" applyFill="1" applyAlignment="1">
      <alignment vertical="center" shrinkToFit="1"/>
    </xf>
    <xf numFmtId="0" fontId="0" fillId="11" borderId="21" xfId="0" applyFill="1" applyBorder="1" applyAlignment="1">
      <alignment vertical="center" shrinkToFit="1"/>
    </xf>
    <xf numFmtId="5" fontId="0" fillId="11" borderId="0" xfId="0" applyNumberFormat="1" applyFill="1" applyAlignment="1">
      <alignment horizontal="right" vertical="center" shrinkToFit="1"/>
    </xf>
    <xf numFmtId="9" fontId="0" fillId="11" borderId="0" xfId="0" applyNumberFormat="1" applyFill="1" applyAlignment="1">
      <alignment horizontal="right" vertical="center" shrinkToFit="1"/>
    </xf>
    <xf numFmtId="0" fontId="0" fillId="11" borderId="19" xfId="0" applyFill="1" applyBorder="1" applyAlignment="1">
      <alignment vertical="center" shrinkToFit="1"/>
    </xf>
    <xf numFmtId="5" fontId="0" fillId="11" borderId="19" xfId="0" applyNumberFormat="1" applyFill="1" applyBorder="1" applyAlignment="1">
      <alignment horizontal="right" vertical="center" shrinkToFit="1"/>
    </xf>
    <xf numFmtId="9" fontId="0" fillId="11" borderId="19" xfId="0" applyNumberFormat="1" applyFill="1" applyBorder="1" applyAlignment="1">
      <alignment horizontal="right" vertical="center" shrinkToFit="1"/>
    </xf>
    <xf numFmtId="0" fontId="0" fillId="11" borderId="24" xfId="0" applyFill="1" applyBorder="1" applyAlignment="1">
      <alignment vertical="center" shrinkToFit="1"/>
    </xf>
    <xf numFmtId="5" fontId="0" fillId="11" borderId="24" xfId="0" applyNumberFormat="1" applyFill="1" applyBorder="1" applyAlignment="1">
      <alignment horizontal="right" vertical="center" shrinkToFit="1"/>
    </xf>
    <xf numFmtId="9" fontId="0" fillId="11" borderId="24" xfId="0" applyNumberFormat="1" applyFill="1" applyBorder="1" applyAlignment="1">
      <alignment horizontal="right" vertical="center" shrinkToFit="1"/>
    </xf>
    <xf numFmtId="5" fontId="0" fillId="0" borderId="0" xfId="0" applyNumberFormat="1" applyAlignment="1">
      <alignment vertical="center" shrinkToFit="1"/>
    </xf>
    <xf numFmtId="9" fontId="0" fillId="0" borderId="0" xfId="0" applyNumberFormat="1" applyAlignment="1">
      <alignment vertical="center" shrinkToFit="1"/>
    </xf>
    <xf numFmtId="0" fontId="24" fillId="21" borderId="0" xfId="0" applyFont="1" applyFill="1">
      <alignment vertical="center"/>
    </xf>
    <xf numFmtId="5" fontId="0" fillId="21" borderId="0" xfId="0" applyNumberFormat="1" applyFill="1">
      <alignment vertical="center"/>
    </xf>
    <xf numFmtId="0" fontId="14" fillId="9" borderId="0" xfId="0" applyFont="1" applyFill="1" applyAlignment="1">
      <alignment vertical="center" shrinkToFit="1"/>
    </xf>
    <xf numFmtId="5" fontId="0" fillId="11" borderId="0" xfId="0" applyNumberFormat="1" applyFill="1" applyAlignment="1">
      <alignment vertical="center" shrinkToFit="1"/>
    </xf>
    <xf numFmtId="9" fontId="0" fillId="11" borderId="0" xfId="0" applyNumberFormat="1" applyFill="1" applyAlignment="1">
      <alignment vertical="center" shrinkToFit="1"/>
    </xf>
    <xf numFmtId="5" fontId="0" fillId="11" borderId="19" xfId="0" applyNumberFormat="1" applyFill="1" applyBorder="1" applyAlignment="1">
      <alignment vertical="center" shrinkToFit="1"/>
    </xf>
    <xf numFmtId="9" fontId="0" fillId="11" borderId="19" xfId="0" applyNumberFormat="1" applyFill="1" applyBorder="1" applyAlignment="1">
      <alignment vertical="center" shrinkToFit="1"/>
    </xf>
    <xf numFmtId="0" fontId="0" fillId="0" borderId="19" xfId="0" applyBorder="1" applyAlignment="1">
      <alignment vertical="center" shrinkToFit="1"/>
    </xf>
    <xf numFmtId="5" fontId="0" fillId="11" borderId="24" xfId="0" applyNumberFormat="1" applyFill="1" applyBorder="1" applyAlignment="1">
      <alignment vertical="center" shrinkToFit="1"/>
    </xf>
    <xf numFmtId="9" fontId="0" fillId="11" borderId="24" xfId="0" applyNumberFormat="1" applyFill="1" applyBorder="1" applyAlignment="1">
      <alignment vertical="center" shrinkToFit="1"/>
    </xf>
    <xf numFmtId="0" fontId="24" fillId="14" borderId="0" xfId="0" applyFont="1" applyFill="1">
      <alignment vertical="center"/>
    </xf>
    <xf numFmtId="5" fontId="0" fillId="14" borderId="0" xfId="0" applyNumberFormat="1" applyFill="1">
      <alignment vertical="center"/>
    </xf>
    <xf numFmtId="0" fontId="0" fillId="14" borderId="0" xfId="0" applyFill="1" applyAlignment="1">
      <alignment vertical="center" shrinkToFit="1"/>
    </xf>
    <xf numFmtId="5" fontId="14" fillId="23" borderId="0" xfId="0" applyNumberFormat="1" applyFont="1" applyFill="1" applyAlignment="1">
      <alignment vertical="center" shrinkToFit="1"/>
    </xf>
    <xf numFmtId="0" fontId="0" fillId="11" borderId="33" xfId="0" applyFill="1" applyBorder="1" applyAlignment="1">
      <alignment vertical="center" shrinkToFit="1"/>
    </xf>
    <xf numFmtId="184" fontId="0" fillId="0" borderId="0" xfId="0" applyNumberFormat="1">
      <alignment vertical="center"/>
    </xf>
    <xf numFmtId="0" fontId="0" fillId="0" borderId="19" xfId="0" applyBorder="1">
      <alignment vertical="center"/>
    </xf>
    <xf numFmtId="5" fontId="0" fillId="0" borderId="19" xfId="0" applyNumberFormat="1" applyBorder="1">
      <alignment vertical="center"/>
    </xf>
    <xf numFmtId="6" fontId="0" fillId="0" borderId="19" xfId="0" applyNumberFormat="1" applyBorder="1">
      <alignment vertical="center"/>
    </xf>
    <xf numFmtId="184" fontId="0" fillId="0" borderId="19" xfId="0" applyNumberFormat="1" applyBorder="1">
      <alignment vertical="center"/>
    </xf>
    <xf numFmtId="0" fontId="0" fillId="11" borderId="18" xfId="0" applyFill="1" applyBorder="1" applyAlignment="1">
      <alignment vertical="center" shrinkToFit="1"/>
    </xf>
    <xf numFmtId="5" fontId="0" fillId="0" borderId="18" xfId="0" applyNumberFormat="1" applyBorder="1">
      <alignment vertical="center"/>
    </xf>
    <xf numFmtId="6" fontId="0" fillId="0" borderId="18" xfId="0" applyNumberFormat="1" applyBorder="1">
      <alignment vertical="center"/>
    </xf>
    <xf numFmtId="184" fontId="0" fillId="0" borderId="18" xfId="0" applyNumberFormat="1" applyBorder="1">
      <alignment vertical="center"/>
    </xf>
    <xf numFmtId="0" fontId="10" fillId="24" borderId="0" xfId="0" applyFont="1" applyFill="1" applyAlignment="1">
      <alignment vertical="center" shrinkToFit="1"/>
    </xf>
    <xf numFmtId="5" fontId="2" fillId="25" borderId="20" xfId="0" applyNumberFormat="1" applyFont="1" applyFill="1" applyBorder="1" applyAlignment="1">
      <alignment vertical="center" shrinkToFit="1"/>
    </xf>
    <xf numFmtId="5" fontId="14" fillId="25" borderId="20" xfId="0" applyNumberFormat="1" applyFont="1" applyFill="1" applyBorder="1" applyAlignment="1">
      <alignment vertical="center" shrinkToFit="1"/>
    </xf>
    <xf numFmtId="5" fontId="14" fillId="25" borderId="20" xfId="0" applyNumberFormat="1" applyFont="1" applyFill="1" applyBorder="1" applyAlignment="1">
      <alignment vertical="center" wrapText="1" shrinkToFit="1"/>
    </xf>
    <xf numFmtId="0" fontId="14" fillId="25" borderId="20" xfId="0" applyFont="1" applyFill="1" applyBorder="1" applyAlignment="1">
      <alignment vertical="center" wrapText="1" shrinkToFit="1"/>
    </xf>
    <xf numFmtId="0" fontId="14" fillId="23" borderId="0" xfId="0" applyFont="1" applyFill="1" applyAlignment="1">
      <alignment vertical="center" shrinkToFit="1"/>
    </xf>
    <xf numFmtId="184" fontId="0" fillId="0" borderId="0" xfId="0" applyNumberFormat="1" applyAlignment="1">
      <alignment horizontal="right" vertical="center"/>
    </xf>
    <xf numFmtId="184" fontId="0" fillId="0" borderId="18" xfId="0" applyNumberFormat="1" applyBorder="1" applyAlignment="1">
      <alignment horizontal="right" vertical="center"/>
    </xf>
    <xf numFmtId="0" fontId="24" fillId="15" borderId="0" xfId="0" applyFont="1" applyFill="1">
      <alignment vertical="center"/>
    </xf>
    <xf numFmtId="0" fontId="0" fillId="15" borderId="0" xfId="0" applyFill="1">
      <alignment vertical="center"/>
    </xf>
    <xf numFmtId="5" fontId="14" fillId="26" borderId="0" xfId="0" applyNumberFormat="1" applyFont="1" applyFill="1" applyAlignment="1">
      <alignment vertical="center" shrinkToFit="1"/>
    </xf>
    <xf numFmtId="0" fontId="14" fillId="26" borderId="0" xfId="0" applyFont="1" applyFill="1" applyAlignment="1">
      <alignment horizontal="center" vertical="center" shrinkToFit="1"/>
    </xf>
    <xf numFmtId="0" fontId="0" fillId="11" borderId="0" xfId="0" applyFill="1" applyAlignment="1">
      <alignment horizontal="left" vertical="center" shrinkToFit="1"/>
    </xf>
    <xf numFmtId="184" fontId="0" fillId="11" borderId="0" xfId="0" applyNumberFormat="1" applyFill="1" applyAlignment="1">
      <alignment vertical="center" shrinkToFit="1"/>
    </xf>
    <xf numFmtId="0" fontId="0" fillId="26" borderId="0" xfId="0" applyFill="1">
      <alignment vertical="center"/>
    </xf>
    <xf numFmtId="184" fontId="0" fillId="26" borderId="0" xfId="0" applyNumberFormat="1" applyFill="1">
      <alignment vertical="center"/>
    </xf>
    <xf numFmtId="5" fontId="25" fillId="27" borderId="0" xfId="0" applyNumberFormat="1" applyFont="1" applyFill="1" applyAlignment="1">
      <alignment vertical="center" shrinkToFit="1"/>
    </xf>
    <xf numFmtId="0" fontId="0" fillId="0" borderId="18" xfId="0" applyBorder="1" applyAlignment="1">
      <alignment horizontal="right" vertical="center"/>
    </xf>
    <xf numFmtId="9" fontId="0" fillId="0" borderId="18" xfId="0" applyNumberFormat="1" applyBorder="1">
      <alignment vertical="center"/>
    </xf>
    <xf numFmtId="0" fontId="0" fillId="15" borderId="0" xfId="0" applyFill="1" applyAlignment="1">
      <alignment vertical="center" shrinkToFit="1"/>
    </xf>
    <xf numFmtId="0" fontId="4" fillId="0" borderId="0" xfId="0" applyFont="1" applyAlignment="1" applyProtection="1">
      <alignment horizontal="right" vertical="center"/>
      <protection locked="0"/>
    </xf>
    <xf numFmtId="182" fontId="0" fillId="0" borderId="19" xfId="0" applyNumberFormat="1" applyBorder="1" applyAlignment="1" applyProtection="1">
      <alignment horizontal="right" vertical="center"/>
      <protection locked="0"/>
    </xf>
    <xf numFmtId="49" fontId="7" fillId="28" borderId="0" xfId="0" applyNumberFormat="1" applyFont="1" applyFill="1" applyAlignment="1">
      <alignment horizontal="left" vertical="center" shrinkToFit="1"/>
    </xf>
    <xf numFmtId="198" fontId="7" fillId="28" borderId="0" xfId="0" applyNumberFormat="1" applyFont="1" applyFill="1" applyAlignment="1">
      <alignment horizontal="left" vertical="center" shrinkToFit="1"/>
    </xf>
    <xf numFmtId="0" fontId="7" fillId="28" borderId="0" xfId="0" applyFont="1" applyFill="1" applyAlignment="1">
      <alignment horizontal="left" vertical="center" wrapText="1"/>
    </xf>
    <xf numFmtId="5" fontId="7" fillId="28" borderId="0" xfId="0" applyNumberFormat="1" applyFont="1" applyFill="1" applyAlignment="1">
      <alignment horizontal="left" vertical="center" wrapText="1"/>
    </xf>
    <xf numFmtId="5" fontId="7" fillId="28" borderId="0" xfId="0" applyNumberFormat="1" applyFont="1" applyFill="1" applyAlignment="1">
      <alignment horizontal="left" vertical="center" shrinkToFit="1"/>
    </xf>
    <xf numFmtId="5" fontId="21" fillId="28" borderId="0" xfId="0" applyNumberFormat="1" applyFont="1" applyFill="1" applyAlignment="1">
      <alignment horizontal="left" vertical="center" wrapText="1"/>
    </xf>
    <xf numFmtId="182" fontId="21" fillId="16" borderId="0" xfId="0" applyNumberFormat="1" applyFont="1" applyFill="1" applyAlignment="1">
      <alignment horizontal="left" vertical="center" wrapText="1"/>
    </xf>
    <xf numFmtId="5" fontId="21" fillId="30" borderId="0" xfId="0" applyNumberFormat="1" applyFont="1" applyFill="1" applyAlignment="1">
      <alignment horizontal="right" vertical="center" wrapText="1"/>
    </xf>
    <xf numFmtId="0" fontId="40" fillId="30" borderId="0" xfId="0" applyFont="1" applyFill="1" applyAlignment="1">
      <alignment horizontal="right" vertical="center" wrapText="1"/>
    </xf>
    <xf numFmtId="0" fontId="21" fillId="30" borderId="0" xfId="0" applyFont="1" applyFill="1" applyAlignment="1">
      <alignment horizontal="right" vertical="center" wrapText="1"/>
    </xf>
    <xf numFmtId="0" fontId="18" fillId="0" borderId="0" xfId="0" applyFont="1" applyAlignment="1">
      <alignment horizontal="left" vertical="center"/>
    </xf>
    <xf numFmtId="0" fontId="18" fillId="0" borderId="0" xfId="0" applyFont="1" applyAlignment="1">
      <alignment horizontal="right" vertical="center" shrinkToFit="1"/>
    </xf>
    <xf numFmtId="0" fontId="18" fillId="0" borderId="0" xfId="0" applyFont="1" applyAlignment="1">
      <alignment horizontal="right" vertical="center"/>
    </xf>
    <xf numFmtId="0" fontId="26" fillId="0" borderId="0" xfId="0" applyFont="1" applyAlignment="1">
      <alignment horizontal="left" vertical="center"/>
    </xf>
    <xf numFmtId="5" fontId="18" fillId="0" borderId="0" xfId="0" applyNumberFormat="1" applyFont="1" applyAlignment="1">
      <alignment horizontal="right" vertical="center" shrinkToFit="1"/>
    </xf>
    <xf numFmtId="5" fontId="0" fillId="0" borderId="0" xfId="0" applyNumberFormat="1" applyAlignment="1">
      <alignment horizontal="right" vertical="center" shrinkToFit="1"/>
    </xf>
    <xf numFmtId="0" fontId="0" fillId="0" borderId="0" xfId="0" applyAlignment="1">
      <alignment horizontal="right" vertical="center" shrinkToFit="1"/>
    </xf>
    <xf numFmtId="0" fontId="4" fillId="0" borderId="0" xfId="0" applyFont="1" applyAlignment="1">
      <alignment horizontal="right" vertical="center"/>
    </xf>
    <xf numFmtId="5" fontId="0" fillId="0" borderId="19" xfId="0" applyNumberFormat="1" applyBorder="1" applyAlignment="1">
      <alignment horizontal="right" vertical="center" shrinkToFit="1"/>
    </xf>
    <xf numFmtId="0" fontId="0" fillId="0" borderId="19" xfId="0" applyBorder="1" applyAlignment="1">
      <alignment horizontal="right" vertical="center" shrinkToFit="1"/>
    </xf>
    <xf numFmtId="0" fontId="0" fillId="24" borderId="0" xfId="0" applyFill="1">
      <alignment vertical="center"/>
    </xf>
    <xf numFmtId="0" fontId="0" fillId="24" borderId="19" xfId="0" applyFill="1" applyBorder="1">
      <alignment vertical="center"/>
    </xf>
    <xf numFmtId="0" fontId="0" fillId="21" borderId="19" xfId="0" applyFill="1" applyBorder="1">
      <alignment vertical="center"/>
    </xf>
    <xf numFmtId="0" fontId="0" fillId="14" borderId="19" xfId="0" applyFill="1" applyBorder="1">
      <alignment vertical="center"/>
    </xf>
    <xf numFmtId="0" fontId="15" fillId="29" borderId="19" xfId="0" applyFont="1" applyFill="1" applyBorder="1">
      <alignment vertical="center"/>
    </xf>
    <xf numFmtId="0" fontId="0" fillId="6" borderId="19" xfId="0" applyFill="1" applyBorder="1">
      <alignment vertical="center"/>
    </xf>
    <xf numFmtId="0" fontId="0" fillId="13" borderId="19" xfId="0" applyFill="1" applyBorder="1">
      <alignment vertical="center"/>
    </xf>
    <xf numFmtId="0" fontId="0" fillId="15" borderId="19" xfId="0" applyFill="1" applyBorder="1">
      <alignment vertical="center"/>
    </xf>
    <xf numFmtId="0" fontId="0" fillId="29" borderId="19" xfId="0" applyFill="1" applyBorder="1">
      <alignment vertical="center"/>
    </xf>
    <xf numFmtId="0" fontId="0" fillId="10" borderId="19" xfId="0" applyFill="1" applyBorder="1">
      <alignment vertical="center"/>
    </xf>
    <xf numFmtId="6" fontId="0" fillId="0" borderId="0" xfId="0" applyNumberFormat="1" applyAlignment="1" applyProtection="1">
      <alignment horizontal="left" vertical="center"/>
      <protection locked="0"/>
    </xf>
    <xf numFmtId="5" fontId="7" fillId="12" borderId="2" xfId="0" applyNumberFormat="1" applyFont="1" applyFill="1" applyBorder="1">
      <alignment vertical="center"/>
    </xf>
    <xf numFmtId="5" fontId="18" fillId="12" borderId="3" xfId="0" applyNumberFormat="1" applyFont="1" applyFill="1" applyBorder="1">
      <alignment vertical="center"/>
    </xf>
    <xf numFmtId="5" fontId="18" fillId="12" borderId="4" xfId="0" applyNumberFormat="1" applyFont="1" applyFill="1" applyBorder="1">
      <alignment vertical="center"/>
    </xf>
    <xf numFmtId="0" fontId="15" fillId="5" borderId="1" xfId="0" applyFont="1" applyFill="1" applyBorder="1">
      <alignment vertical="center"/>
    </xf>
    <xf numFmtId="0" fontId="23" fillId="0" borderId="0" xfId="0" applyFont="1">
      <alignment vertical="center"/>
    </xf>
    <xf numFmtId="0" fontId="7" fillId="12" borderId="2" xfId="0" applyFont="1" applyFill="1" applyBorder="1">
      <alignment vertical="center"/>
    </xf>
    <xf numFmtId="0" fontId="18" fillId="12" borderId="3" xfId="0" applyFont="1" applyFill="1" applyBorder="1" applyAlignment="1">
      <alignment horizontal="left" vertical="center"/>
    </xf>
    <xf numFmtId="5" fontId="15" fillId="32" borderId="1" xfId="0" applyNumberFormat="1" applyFont="1" applyFill="1" applyBorder="1">
      <alignment vertical="center"/>
    </xf>
    <xf numFmtId="0" fontId="15" fillId="32" borderId="2" xfId="0" applyFont="1" applyFill="1" applyBorder="1">
      <alignment vertical="center"/>
    </xf>
    <xf numFmtId="0" fontId="15" fillId="32" borderId="3" xfId="0" applyFont="1" applyFill="1" applyBorder="1">
      <alignment vertical="center"/>
    </xf>
    <xf numFmtId="0" fontId="4" fillId="33" borderId="0" xfId="0" applyFont="1" applyFill="1" applyAlignment="1">
      <alignment vertical="center" wrapText="1"/>
    </xf>
    <xf numFmtId="0" fontId="7" fillId="33" borderId="0" xfId="0" applyFont="1" applyFill="1" applyAlignment="1">
      <alignment vertical="center" wrapText="1"/>
    </xf>
    <xf numFmtId="0" fontId="7" fillId="33" borderId="0" xfId="0" applyFont="1" applyFill="1" applyAlignment="1">
      <alignment vertical="center" shrinkToFit="1"/>
    </xf>
    <xf numFmtId="49" fontId="7" fillId="33" borderId="0" xfId="0" applyNumberFormat="1" applyFont="1" applyFill="1">
      <alignment vertical="center"/>
    </xf>
    <xf numFmtId="49" fontId="7" fillId="33" borderId="0" xfId="0" applyNumberFormat="1" applyFont="1" applyFill="1" applyAlignment="1">
      <alignment vertical="center" wrapText="1"/>
    </xf>
    <xf numFmtId="199" fontId="21" fillId="33" borderId="0" xfId="0" applyNumberFormat="1" applyFont="1" applyFill="1" applyAlignment="1">
      <alignment vertical="center" wrapText="1"/>
    </xf>
    <xf numFmtId="182" fontId="7" fillId="26" borderId="0" xfId="0" applyNumberFormat="1" applyFont="1" applyFill="1" applyAlignment="1">
      <alignment vertical="center" wrapText="1"/>
    </xf>
    <xf numFmtId="182" fontId="4" fillId="26" borderId="0" xfId="0" applyNumberFormat="1" applyFont="1" applyFill="1" applyAlignment="1">
      <alignment vertical="center" wrapText="1"/>
    </xf>
    <xf numFmtId="187" fontId="14" fillId="16" borderId="0" xfId="0" applyNumberFormat="1" applyFont="1" applyFill="1" applyAlignment="1" applyProtection="1">
      <alignment horizontal="left" vertical="center" shrinkToFit="1"/>
      <protection locked="0"/>
    </xf>
    <xf numFmtId="0" fontId="0" fillId="6" borderId="0" xfId="0" applyFill="1" applyProtection="1">
      <alignment vertical="center"/>
      <protection locked="0"/>
    </xf>
    <xf numFmtId="0" fontId="0" fillId="6" borderId="0" xfId="0" applyFill="1" applyAlignment="1" applyProtection="1">
      <alignment horizontal="right" vertical="center"/>
      <protection locked="0"/>
    </xf>
    <xf numFmtId="176" fontId="0" fillId="6" borderId="0" xfId="0" applyNumberFormat="1" applyFill="1" applyAlignment="1" applyProtection="1">
      <alignment horizontal="right" vertical="center"/>
      <protection locked="0"/>
    </xf>
    <xf numFmtId="9" fontId="0" fillId="6" borderId="0" xfId="0" applyNumberFormat="1" applyFill="1" applyAlignment="1" applyProtection="1">
      <alignment horizontal="right" vertical="center"/>
      <protection locked="0"/>
    </xf>
    <xf numFmtId="5" fontId="0" fillId="6" borderId="0" xfId="0" applyNumberFormat="1" applyFill="1" applyAlignment="1" applyProtection="1">
      <alignment horizontal="right" vertical="center"/>
      <protection locked="0"/>
    </xf>
    <xf numFmtId="0" fontId="0" fillId="0" borderId="0" xfId="0" pivotButton="1" applyProtection="1">
      <alignment vertical="center"/>
      <protection locked="0"/>
    </xf>
    <xf numFmtId="187" fontId="8" fillId="0" borderId="0" xfId="0" applyNumberFormat="1" applyFont="1" applyAlignment="1">
      <alignment horizontal="left" vertical="center"/>
    </xf>
    <xf numFmtId="0" fontId="0" fillId="4" borderId="15" xfId="0" applyFill="1" applyBorder="1" applyAlignment="1">
      <alignment horizontal="center" vertical="center"/>
    </xf>
    <xf numFmtId="0" fontId="0" fillId="4" borderId="0" xfId="0" applyFill="1" applyAlignment="1">
      <alignment horizontal="center" vertical="center"/>
    </xf>
    <xf numFmtId="0" fontId="0" fillId="4" borderId="14" xfId="0" applyFill="1" applyBorder="1" applyAlignment="1">
      <alignment horizontal="center" vertical="center"/>
    </xf>
    <xf numFmtId="0" fontId="0" fillId="5" borderId="0" xfId="0" applyFill="1" applyAlignment="1">
      <alignment horizontal="center" vertical="center"/>
    </xf>
    <xf numFmtId="0" fontId="0" fillId="5" borderId="14" xfId="0" applyFill="1" applyBorder="1" applyAlignment="1">
      <alignment horizontal="center" vertical="center"/>
    </xf>
    <xf numFmtId="0" fontId="0" fillId="17" borderId="7" xfId="0" applyFill="1" applyBorder="1" applyAlignment="1">
      <alignment horizontal="center" vertical="center"/>
    </xf>
    <xf numFmtId="0" fontId="0" fillId="17" borderId="8" xfId="0" applyFill="1" applyBorder="1" applyAlignment="1">
      <alignment horizontal="center" vertical="center"/>
    </xf>
    <xf numFmtId="0" fontId="18" fillId="18" borderId="7" xfId="0" applyFont="1" applyFill="1" applyBorder="1" applyAlignment="1">
      <alignment horizontal="center" vertical="center"/>
    </xf>
    <xf numFmtId="0" fontId="0" fillId="18" borderId="15" xfId="0" applyFill="1" applyBorder="1" applyAlignment="1">
      <alignment horizontal="center" vertical="center"/>
    </xf>
    <xf numFmtId="0" fontId="0" fillId="5" borderId="16" xfId="0" applyFill="1" applyBorder="1" applyAlignment="1">
      <alignment horizontal="center" vertical="center"/>
    </xf>
    <xf numFmtId="0" fontId="0" fillId="5" borderId="5" xfId="0" applyFill="1" applyBorder="1" applyAlignment="1">
      <alignment horizontal="center" vertical="center"/>
    </xf>
    <xf numFmtId="0" fontId="0" fillId="5" borderId="17" xfId="0" applyFill="1" applyBorder="1" applyAlignment="1">
      <alignment horizontal="center" vertical="center"/>
    </xf>
    <xf numFmtId="0" fontId="0" fillId="14" borderId="6" xfId="0" applyFill="1" applyBorder="1" applyAlignment="1">
      <alignment horizontal="center" vertical="center"/>
    </xf>
    <xf numFmtId="0" fontId="0" fillId="14" borderId="10" xfId="0" applyFill="1" applyBorder="1" applyAlignment="1">
      <alignment horizontal="center" vertical="center"/>
    </xf>
    <xf numFmtId="0" fontId="0" fillId="14" borderId="9" xfId="0" applyFill="1" applyBorder="1" applyAlignment="1">
      <alignment horizontal="center" vertical="center"/>
    </xf>
    <xf numFmtId="0" fontId="0" fillId="14" borderId="11" xfId="0" applyFill="1" applyBorder="1" applyAlignment="1">
      <alignment horizontal="center" vertical="center"/>
    </xf>
    <xf numFmtId="0" fontId="0" fillId="20" borderId="6" xfId="0" applyFill="1" applyBorder="1" applyAlignment="1">
      <alignment horizontal="center" vertical="center"/>
    </xf>
    <xf numFmtId="0" fontId="0" fillId="20" borderId="10" xfId="0" applyFill="1" applyBorder="1" applyAlignment="1">
      <alignment horizontal="center" vertical="center"/>
    </xf>
    <xf numFmtId="0" fontId="0" fillId="20" borderId="0" xfId="0" applyFill="1" applyAlignment="1">
      <alignment horizontal="center" vertical="center"/>
    </xf>
    <xf numFmtId="0" fontId="0" fillId="20" borderId="14" xfId="0" applyFill="1" applyBorder="1" applyAlignment="1">
      <alignment horizontal="center" vertical="center"/>
    </xf>
    <xf numFmtId="0" fontId="0" fillId="20" borderId="0" xfId="0" applyFill="1" applyAlignment="1">
      <alignment horizontal="center" vertical="center" wrapText="1"/>
    </xf>
    <xf numFmtId="0" fontId="0" fillId="21" borderId="6" xfId="0" applyFill="1" applyBorder="1" applyAlignment="1">
      <alignment horizontal="center" vertical="center"/>
    </xf>
    <xf numFmtId="0" fontId="0" fillId="21" borderId="10" xfId="0" applyFill="1" applyBorder="1" applyAlignment="1">
      <alignment horizontal="center" vertical="center"/>
    </xf>
    <xf numFmtId="0" fontId="0" fillId="21" borderId="0" xfId="0" applyFill="1" applyAlignment="1">
      <alignment horizontal="center" vertical="center"/>
    </xf>
    <xf numFmtId="0" fontId="0" fillId="21" borderId="14" xfId="0" applyFill="1" applyBorder="1" applyAlignment="1">
      <alignment horizontal="center" vertical="center"/>
    </xf>
    <xf numFmtId="0" fontId="18" fillId="19" borderId="7" xfId="0" applyFont="1" applyFill="1" applyBorder="1" applyAlignment="1">
      <alignment horizontal="center" vertical="center"/>
    </xf>
    <xf numFmtId="0" fontId="0" fillId="19" borderId="15" xfId="0" applyFill="1" applyBorder="1" applyAlignment="1">
      <alignment horizontal="center" vertical="center"/>
    </xf>
    <xf numFmtId="0" fontId="0" fillId="19" borderId="8" xfId="0" applyFill="1" applyBorder="1" applyAlignment="1">
      <alignment horizontal="center" vertical="center"/>
    </xf>
    <xf numFmtId="0" fontId="0" fillId="21" borderId="16" xfId="0" applyFill="1" applyBorder="1" applyAlignment="1">
      <alignment horizontal="center" vertical="center" wrapText="1"/>
    </xf>
    <xf numFmtId="0" fontId="0" fillId="21" borderId="17" xfId="0" applyFill="1" applyBorder="1" applyAlignment="1">
      <alignment horizontal="center" vertical="center"/>
    </xf>
    <xf numFmtId="187" fontId="22" fillId="0" borderId="14" xfId="0" applyNumberFormat="1" applyFont="1" applyBorder="1" applyAlignment="1">
      <alignment horizontal="left" vertical="center"/>
    </xf>
    <xf numFmtId="0" fontId="24" fillId="24" borderId="0" xfId="0" applyFont="1" applyFill="1" applyAlignment="1">
      <alignment horizontal="left" vertical="center" shrinkToFit="1"/>
    </xf>
    <xf numFmtId="187" fontId="23" fillId="0" borderId="0" xfId="0" applyNumberFormat="1" applyFont="1" applyAlignment="1" applyProtection="1">
      <alignment horizontal="left" vertical="center"/>
      <protection locked="0"/>
    </xf>
    <xf numFmtId="187" fontId="23" fillId="0" borderId="0" xfId="0" applyNumberFormat="1" applyFont="1" applyAlignment="1">
      <alignment horizontal="left" vertical="center"/>
    </xf>
  </cellXfs>
  <cellStyles count="2">
    <cellStyle name="ハイパーリンク" xfId="1" builtinId="8"/>
    <cellStyle name="標準" xfId="0" builtinId="0"/>
  </cellStyles>
  <dxfs count="175">
    <dxf>
      <fill>
        <patternFill patternType="none">
          <bgColor auto="1"/>
        </patternFill>
      </fill>
      <border>
        <left/>
        <right/>
        <top/>
        <bottom/>
      </border>
    </dxf>
    <dxf>
      <font>
        <color theme="0"/>
      </font>
      <fill>
        <patternFill patternType="none">
          <bgColor auto="1"/>
        </patternFill>
      </fill>
      <border>
        <left/>
        <right/>
        <top/>
        <bottom/>
      </border>
    </dxf>
    <dxf>
      <fill>
        <patternFill>
          <bgColor theme="0" tint="-0.14996795556505021"/>
        </patternFill>
      </fill>
    </dxf>
    <dxf>
      <numFmt numFmtId="184" formatCode="0.0%"/>
    </dxf>
    <dxf>
      <numFmt numFmtId="184" formatCode="0.0%"/>
    </dxf>
    <dxf>
      <alignment indent="0" shrinkToFit="1"/>
    </dxf>
    <dxf>
      <alignment indent="0" shrinkToFit="1"/>
    </dxf>
    <dxf>
      <alignment indent="0" shrinkToFit="1"/>
    </dxf>
    <dxf>
      <alignment shrinkToFit="1"/>
    </dxf>
    <dxf>
      <alignment shrinkToFit="1"/>
    </dxf>
    <dxf>
      <alignment shrinkToFit="1"/>
    </dxf>
    <dxf>
      <alignment shrinkToFit="1"/>
    </dxf>
    <dxf>
      <alignment shrinkToFit="1"/>
    </dxf>
    <dxf>
      <alignment shrinkToFit="1"/>
    </dxf>
    <dxf>
      <numFmt numFmtId="14" formatCode="0.00%"/>
    </dxf>
    <dxf>
      <alignment horizontal="right"/>
    </dxf>
    <dxf>
      <protection locked="0"/>
    </dxf>
    <dxf>
      <protection locked="0"/>
    </dxf>
    <dxf>
      <protection locked="0"/>
    </dxf>
    <dxf>
      <protection locked="0"/>
    </dxf>
    <dxf>
      <protection locked="0"/>
    </dxf>
    <dxf>
      <protection locked="0"/>
    </dxf>
    <dxf>
      <alignment horizontal="right"/>
    </dxf>
    <dxf>
      <numFmt numFmtId="9" formatCode="&quot;¥&quot;#,##0;&quot;¥&quot;\-#,##0"/>
    </dxf>
    <dxf>
      <numFmt numFmtId="9" formatCode="&quot;¥&quot;#,##0;&quot;¥&quot;\-#,##0"/>
    </dxf>
    <dxf>
      <numFmt numFmtId="9" formatCode="&quot;¥&quot;#,##0;&quot;¥&quot;\-#,##0"/>
    </dxf>
    <dxf>
      <numFmt numFmtId="9" formatCode="&quot;¥&quot;#,##0;&quot;¥&quot;\-#,##0"/>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alignment indent="0" shrinkToFit="1"/>
    </dxf>
    <dxf>
      <alignment indent="0" shrinkToFit="1"/>
    </dxf>
    <dxf>
      <alignment indent="0" shrinkToFit="1"/>
    </dxf>
    <dxf>
      <alignment indent="0" shrinkToFit="1"/>
    </dxf>
    <dxf>
      <alignment shrinkToFit="1"/>
    </dxf>
    <dxf>
      <alignment shrinkToFit="1"/>
    </dxf>
    <dxf>
      <alignment shrinkToFit="1"/>
    </dxf>
    <dxf>
      <alignment shrinkToFit="1"/>
    </dxf>
    <dxf>
      <alignment shrinkToFit="1"/>
    </dxf>
    <dxf>
      <alignment shrinkToFit="1"/>
    </dxf>
    <dxf>
      <alignment shrinkToFit="1"/>
    </dxf>
    <dxf>
      <alignment shrinkToFit="1"/>
    </dxf>
    <dxf>
      <alignment shrinkToFit="1"/>
    </dxf>
    <dxf>
      <alignment shrinkToFit="1"/>
    </dxf>
    <dxf>
      <protection locked="0"/>
    </dxf>
    <dxf>
      <protection locked="0"/>
    </dxf>
    <dxf>
      <protection locked="0"/>
    </dxf>
    <dxf>
      <protection locked="0"/>
    </dxf>
    <dxf>
      <protection locked="0"/>
    </dxf>
    <dxf>
      <protection locked="0"/>
    </dxf>
    <dxf>
      <protection locked="0"/>
    </dxf>
    <dxf>
      <protection locked="0"/>
    </dxf>
    <dxf>
      <protection locked="0"/>
    </dxf>
    <dxf>
      <protection locked="0"/>
    </dxf>
    <dxf>
      <alignment indent="0" shrinkToFit="1"/>
    </dxf>
    <dxf>
      <alignment indent="0" shrinkToFit="1"/>
    </dxf>
    <dxf>
      <alignment indent="0" shrinkToFit="1"/>
    </dxf>
    <dxf>
      <alignment indent="0" shrinkToFit="1"/>
    </dxf>
    <dxf>
      <alignment shrinkToFit="1"/>
    </dxf>
    <dxf>
      <alignment shrinkToFit="1"/>
    </dxf>
    <dxf>
      <alignment shrinkToFit="1"/>
    </dxf>
    <dxf>
      <alignment shrinkToFit="1"/>
    </dxf>
    <dxf>
      <alignment shrinkToFit="1"/>
    </dxf>
    <dxf>
      <alignment shrinkToFit="1"/>
    </dxf>
    <dxf>
      <alignment shrinkToFit="1"/>
    </dxf>
    <dxf>
      <alignment shrinkToFit="1"/>
    </dxf>
    <dxf>
      <alignment shrinkToFit="1"/>
    </dxf>
    <dxf>
      <alignment shrinkToFit="1"/>
    </dxf>
    <dxf>
      <protection locked="0"/>
    </dxf>
    <dxf>
      <protection locked="0"/>
    </dxf>
    <dxf>
      <protection locked="0"/>
    </dxf>
    <dxf>
      <protection locked="0"/>
    </dxf>
    <dxf>
      <protection locked="0"/>
    </dxf>
    <dxf>
      <protection locked="0"/>
    </dxf>
    <dxf>
      <protection locked="0"/>
    </dxf>
    <dxf>
      <protection locked="0"/>
    </dxf>
    <dxf>
      <protection locked="0"/>
    </dxf>
    <dxf>
      <protection locked="0"/>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pivotCacheDefinition" Target="pivotCache/pivotCacheDefinition9.xml"/><Relationship Id="rId39" Type="http://schemas.openxmlformats.org/officeDocument/2006/relationships/sharedStrings" Target="sharedStrings.xml"/><Relationship Id="rId21" Type="http://schemas.openxmlformats.org/officeDocument/2006/relationships/pivotCacheDefinition" Target="pivotCache/pivotCacheDefinition4.xml"/><Relationship Id="rId34" Type="http://schemas.openxmlformats.org/officeDocument/2006/relationships/pivotCacheDefinition" Target="pivotCache/pivotCacheDefinition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openxmlformats.org/officeDocument/2006/relationships/pivotCacheDefinition" Target="pivotCache/pivotCacheDefinition12.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32" Type="http://schemas.openxmlformats.org/officeDocument/2006/relationships/pivotCacheDefinition" Target="pivotCache/pivotCacheDefinition15.xml"/><Relationship Id="rId37" Type="http://schemas.openxmlformats.org/officeDocument/2006/relationships/theme" Target="theme/theme1.xml"/><Relationship Id="rId40"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pivotCacheDefinition" Target="pivotCache/pivotCacheDefinition11.xml"/><Relationship Id="rId36" Type="http://schemas.openxmlformats.org/officeDocument/2006/relationships/pivotCacheDefinition" Target="pivotCache/pivotCacheDefinition19.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openxmlformats.org/officeDocument/2006/relationships/pivotCacheDefinition" Target="pivotCache/pivotCacheDefinition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pivotCacheDefinition" Target="pivotCache/pivotCacheDefinition10.xml"/><Relationship Id="rId30" Type="http://schemas.openxmlformats.org/officeDocument/2006/relationships/pivotCacheDefinition" Target="pivotCache/pivotCacheDefinition13.xml"/><Relationship Id="rId35" Type="http://schemas.openxmlformats.org/officeDocument/2006/relationships/pivotCacheDefinition" Target="pivotCache/pivotCacheDefinition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8.xml"/><Relationship Id="rId33" Type="http://schemas.openxmlformats.org/officeDocument/2006/relationships/pivotCacheDefinition" Target="pivotCache/pivotCacheDefinition16.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1218311</xdr:colOff>
      <xdr:row>1</xdr:row>
      <xdr:rowOff>128793</xdr:rowOff>
    </xdr:to>
    <xdr:pic>
      <xdr:nvPicPr>
        <xdr:cNvPr id="2" name="グラフィックス 1">
          <a:extLst>
            <a:ext uri="{FF2B5EF4-FFF2-40B4-BE49-F238E27FC236}">
              <a16:creationId xmlns:a16="http://schemas.microsoft.com/office/drawing/2014/main" id="{0D0F3D57-A1C0-4546-A104-33B29D4F62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0"/>
          <a:ext cx="2589911" cy="300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2628900</xdr:colOff>
      <xdr:row>1</xdr:row>
      <xdr:rowOff>133350</xdr:rowOff>
    </xdr:to>
    <xdr:pic>
      <xdr:nvPicPr>
        <xdr:cNvPr id="2" name="グラフィックス 1">
          <a:extLst>
            <a:ext uri="{FF2B5EF4-FFF2-40B4-BE49-F238E27FC236}">
              <a16:creationId xmlns:a16="http://schemas.microsoft.com/office/drawing/2014/main" id="{D19F6147-D51A-4170-80F7-2BB68EE6EF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0"/>
          <a:ext cx="2628900" cy="3048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1" Type="http://schemas.openxmlformats.org/officeDocument/2006/relationships/pivotCacheRecords" Target="pivotCacheRecords16.xml"/></Relationships>
</file>

<file path=xl/pivotCache/_rels/pivotCacheDefinition17.xml.rels><?xml version="1.0" encoding="UTF-8" standalone="yes"?>
<Relationships xmlns="http://schemas.openxmlformats.org/package/2006/relationships"><Relationship Id="rId1" Type="http://schemas.openxmlformats.org/officeDocument/2006/relationships/pivotCacheRecords" Target="pivotCacheRecords17.xml"/></Relationships>
</file>

<file path=xl/pivotCache/_rels/pivotCacheDefinition18.xml.rels><?xml version="1.0" encoding="UTF-8" standalone="yes"?>
<Relationships xmlns="http://schemas.openxmlformats.org/package/2006/relationships"><Relationship Id="rId1" Type="http://schemas.openxmlformats.org/officeDocument/2006/relationships/pivotCacheRecords" Target="pivotCacheRecords18.xml"/></Relationships>
</file>

<file path=xl/pivotCache/_rels/pivotCacheDefinition19.xml.rels><?xml version="1.0" encoding="UTF-8" standalone="yes"?>
<Relationships xmlns="http://schemas.openxmlformats.org/package/2006/relationships"><Relationship Id="rId1" Type="http://schemas.openxmlformats.org/officeDocument/2006/relationships/pivotCacheRecords" Target="pivotCacheRecords1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49768519" createdVersion="8" refreshedVersion="8" minRefreshableVersion="3" recordCount="175" xr:uid="{63ADB569-A29C-4D70-B134-D9504D27A260}">
  <cacheSource type="worksheet">
    <worksheetSource ref="A1:AC500" sheet="5借入一覧"/>
  </cacheSource>
  <cacheFields count="29">
    <cacheField name="1.融資ID" numFmtId="0">
      <sharedItems containsString="0" containsBlank="1" containsNumber="1" containsInteger="1" minValue="801" maxValue="832"/>
    </cacheField>
    <cacheField name="2.状況" numFmtId="0">
      <sharedItems containsBlank="1" count="3">
        <s v="返済中"/>
        <s v="完済"/>
        <m/>
      </sharedItems>
    </cacheField>
    <cacheField name="3.金融機関ID" numFmtId="0">
      <sharedItems containsString="0" containsBlank="1" containsNumber="1" containsInteger="1" minValue="302" maxValue="512"/>
    </cacheField>
    <cacheField name="4.金融機関名" numFmtId="0">
      <sharedItems containsBlank="1"/>
    </cacheField>
    <cacheField name="5.支店名" numFmtId="0">
      <sharedItems containsBlank="1"/>
    </cacheField>
    <cacheField name="6.借入主体会社ID" numFmtId="0">
      <sharedItems containsString="0" containsBlank="1" containsNumber="1" containsInteger="1" minValue="301" maxValue="410"/>
    </cacheField>
    <cacheField name="7.借入主体" numFmtId="0">
      <sharedItems containsBlank="1"/>
    </cacheField>
    <cacheField name="8.使途ID" numFmtId="0">
      <sharedItems containsString="0" containsBlank="1" containsNumber="1" containsInteger="1" minValue="601" maxValue="608"/>
    </cacheField>
    <cacheField name="9.使途" numFmtId="0">
      <sharedItems containsBlank="1" count="9">
        <s v="不動産購入"/>
        <s v="運転資金"/>
        <s v="修繕資金"/>
        <s v="住宅ローン"/>
        <s v="他業借入"/>
        <s v="親族借入"/>
        <s v="その他(間接部門)"/>
        <s v="その他(賃貸部門)"/>
        <m/>
      </sharedItems>
    </cacheField>
    <cacheField name="10.対象物件ID" numFmtId="0">
      <sharedItems containsString="0" containsBlank="1" containsNumber="1" containsInteger="1" minValue="101" maxValue="971"/>
    </cacheField>
    <cacheField name="11.対象物件" numFmtId="0">
      <sharedItems containsBlank="1" count="23">
        <s v="池袋ハウス"/>
        <s v="コアプラス池袋"/>
        <s v="目白アパート"/>
        <s v="東池袋ハイツ"/>
        <s v="西池袋駅前ビル"/>
        <s v="カーサ目白台ハウス"/>
        <s v="メゾン雑司ヶ谷"/>
        <s v="カーサ南池袋"/>
        <s v="仙台駅前コーポ"/>
        <s v="目白カーサ二番館"/>
        <s v="豊島目白ビル"/>
        <s v="第3目白ハイツ"/>
        <s v="レジデンス目白豊島"/>
        <s v="コアプラス大塚"/>
        <s v="コアプラスレジデンス梅田"/>
        <s v="高田馬場第4玉川ビル"/>
        <s v="あおばマンション"/>
        <s v="南池袋マンション"/>
        <s v="目白アパート1号2号_二棟一括"/>
        <s v="プラウD目白301号"/>
        <s v="対象物件なし(運転資金)"/>
        <s v="目白アパート1号館"/>
        <m/>
      </sharedItems>
    </cacheField>
    <cacheField name="12.担保物件ID" numFmtId="0">
      <sharedItems containsString="0" containsBlank="1" containsNumber="1" containsInteger="1" minValue="101" maxValue="971"/>
    </cacheField>
    <cacheField name="13.担保物件" numFmtId="0">
      <sharedItems containsBlank="1"/>
    </cacheField>
    <cacheField name="14.当初借入額" numFmtId="5">
      <sharedItems containsString="0" containsBlank="1" containsNumber="1" containsInteger="1" minValue="2000000" maxValue="550000000"/>
    </cacheField>
    <cacheField name="15.当初借入日" numFmtId="193">
      <sharedItems containsNonDate="0" containsDate="1" containsString="0" containsBlank="1" minDate="2013-02-15T00:00:00" maxDate="2021-10-01T00:00:00"/>
    </cacheField>
    <cacheField name="16.金利" numFmtId="0">
      <sharedItems containsString="0" containsBlank="1" containsNumber="1" minValue="0" maxValue="2.9636"/>
    </cacheField>
    <cacheField name="17.金利条件" numFmtId="0">
      <sharedItems containsBlank="1"/>
    </cacheField>
    <cacheField name="18.借入期間" numFmtId="202">
      <sharedItems containsString="0" containsBlank="1" containsNumber="1" containsInteger="1" minValue="5" maxValue="40"/>
    </cacheField>
    <cacheField name="19.返済ピッチ" numFmtId="0">
      <sharedItems containsString="0" containsBlank="1" containsNumber="1" containsInteger="1" minValue="5" maxValue="40"/>
    </cacheField>
    <cacheField name="20.返済方法" numFmtId="0">
      <sharedItems containsBlank="1"/>
    </cacheField>
    <cacheField name="21.残債時点" numFmtId="193">
      <sharedItems containsDate="1" containsBlank="1" containsMixedTypes="1" minDate="2022-06-06T00:00:00" maxDate="2022-10-01T00:00:00"/>
    </cacheField>
    <cacheField name="22.元金返済月額" numFmtId="182">
      <sharedItems containsString="0" containsBlank="1" containsNumber="1" containsInteger="1" minValue="0" maxValue="1209934"/>
    </cacheField>
    <cacheField name="23.利息月額" numFmtId="182">
      <sharedItems containsString="0" containsBlank="1" containsNumber="1" containsInteger="1" minValue="0" maxValue="674466"/>
    </cacheField>
    <cacheField name="24.支払月額" numFmtId="182">
      <sharedItems containsString="0" containsBlank="1" containsNumber="1" containsInteger="1" minValue="0" maxValue="1724718"/>
    </cacheField>
    <cacheField name="25.残債" numFmtId="182">
      <sharedItems containsString="0" containsBlank="1" containsNumber="1" containsInteger="1" minValue="2000000" maxValue="489470974"/>
    </cacheField>
    <cacheField name="26.残債当初比" numFmtId="9">
      <sharedItems containsString="0" containsBlank="1" containsNumber="1" minValue="0" maxValue="1"/>
    </cacheField>
    <cacheField name="27.融資残存年" numFmtId="0">
      <sharedItems containsString="0" containsBlank="1" containsNumber="1" containsInteger="1" minValue="0" maxValue="34"/>
    </cacheField>
    <cacheField name="28.保証会社" numFmtId="0">
      <sharedItems containsBlank="1"/>
    </cacheField>
    <cacheField name="29.融資メモ"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49768519" createdVersion="8" refreshedVersion="8" minRefreshableVersion="3" recordCount="175" xr:uid="{577E99CE-4B47-4745-9903-98C63646C7AE}">
  <cacheSource type="worksheet">
    <worksheetSource ref="A1:AP482" sheet="5借入一覧"/>
  </cacheSource>
  <cacheFields count="42">
    <cacheField name="1.融資ID" numFmtId="0">
      <sharedItems containsString="0" containsBlank="1" containsNumber="1" containsInteger="1" minValue="801" maxValue="832"/>
    </cacheField>
    <cacheField name="2.状況" numFmtId="0">
      <sharedItems containsBlank="1"/>
    </cacheField>
    <cacheField name="3.金融機関ID" numFmtId="0">
      <sharedItems containsString="0" containsBlank="1" containsNumber="1" containsInteger="1" minValue="302" maxValue="512"/>
    </cacheField>
    <cacheField name="4.金融機関名" numFmtId="0">
      <sharedItems containsBlank="1"/>
    </cacheField>
    <cacheField name="5.支店名" numFmtId="0">
      <sharedItems containsBlank="1"/>
    </cacheField>
    <cacheField name="6.借入主体会社ID" numFmtId="0">
      <sharedItems containsString="0" containsBlank="1" containsNumber="1" containsInteger="1" minValue="301" maxValue="410"/>
    </cacheField>
    <cacheField name="7.借入主体" numFmtId="0">
      <sharedItems containsBlank="1"/>
    </cacheField>
    <cacheField name="8.使途ID" numFmtId="0">
      <sharedItems containsString="0" containsBlank="1" containsNumber="1" containsInteger="1" minValue="601" maxValue="608"/>
    </cacheField>
    <cacheField name="9.使途" numFmtId="0">
      <sharedItems containsBlank="1"/>
    </cacheField>
    <cacheField name="10.対象物件ID" numFmtId="0">
      <sharedItems containsString="0" containsBlank="1" containsNumber="1" containsInteger="1" minValue="101" maxValue="971"/>
    </cacheField>
    <cacheField name="11.対象物件" numFmtId="0">
      <sharedItems containsBlank="1" count="23">
        <s v="池袋ハウス"/>
        <s v="コアプラス池袋"/>
        <s v="目白アパート"/>
        <s v="東池袋ハイツ"/>
        <s v="西池袋駅前ビル"/>
        <s v="カーサ目白台ハウス"/>
        <s v="メゾン雑司ヶ谷"/>
        <s v="カーサ南池袋"/>
        <s v="仙台駅前コーポ"/>
        <s v="目白カーサ二番館"/>
        <s v="豊島目白ビル"/>
        <s v="第3目白ハイツ"/>
        <s v="レジデンス目白豊島"/>
        <s v="コアプラス大塚"/>
        <s v="コアプラスレジデンス梅田"/>
        <s v="高田馬場第4玉川ビル"/>
        <s v="あおばマンション"/>
        <s v="南池袋マンション"/>
        <s v="目白アパート1号2号_二棟一括"/>
        <s v="プラウD目白301号"/>
        <s v="対象物件なし(運転資金)"/>
        <s v="目白アパート1号館"/>
        <m/>
      </sharedItems>
    </cacheField>
    <cacheField name="12.担保物件ID" numFmtId="0">
      <sharedItems containsString="0" containsBlank="1" containsNumber="1" containsInteger="1" minValue="101" maxValue="971"/>
    </cacheField>
    <cacheField name="13.担保物件" numFmtId="0">
      <sharedItems containsBlank="1"/>
    </cacheField>
    <cacheField name="14.当初借入額" numFmtId="5">
      <sharedItems containsString="0" containsBlank="1" containsNumber="1" containsInteger="1" minValue="2000000" maxValue="550000000"/>
    </cacheField>
    <cacheField name="15.当初借入日" numFmtId="193">
      <sharedItems containsNonDate="0" containsDate="1" containsString="0" containsBlank="1" minDate="2013-02-15T00:00:00" maxDate="2021-10-01T00:00:00"/>
    </cacheField>
    <cacheField name="16.金利" numFmtId="0">
      <sharedItems containsString="0" containsBlank="1" containsNumber="1" minValue="0" maxValue="2.9636"/>
    </cacheField>
    <cacheField name="17.金利条件" numFmtId="0">
      <sharedItems containsBlank="1"/>
    </cacheField>
    <cacheField name="18.借入期間" numFmtId="202">
      <sharedItems containsString="0" containsBlank="1" containsNumber="1" containsInteger="1" minValue="5" maxValue="40"/>
    </cacheField>
    <cacheField name="19.返済ピッチ" numFmtId="0">
      <sharedItems containsString="0" containsBlank="1" containsNumber="1" containsInteger="1" minValue="5" maxValue="40"/>
    </cacheField>
    <cacheField name="20.返済方法" numFmtId="0">
      <sharedItems containsBlank="1"/>
    </cacheField>
    <cacheField name="21.残債時点" numFmtId="193">
      <sharedItems containsDate="1" containsBlank="1" containsMixedTypes="1" minDate="2022-06-06T00:00:00" maxDate="2022-10-01T00:00:00"/>
    </cacheField>
    <cacheField name="22.元金返済月額" numFmtId="182">
      <sharedItems containsString="0" containsBlank="1" containsNumber="1" containsInteger="1" minValue="0" maxValue="1209934"/>
    </cacheField>
    <cacheField name="23.利息月額" numFmtId="182">
      <sharedItems containsString="0" containsBlank="1" containsNumber="1" containsInteger="1" minValue="0" maxValue="674466"/>
    </cacheField>
    <cacheField name="24.支払月額" numFmtId="182">
      <sharedItems containsString="0" containsBlank="1" containsNumber="1" containsInteger="1" minValue="0" maxValue="1724718"/>
    </cacheField>
    <cacheField name="25.残債" numFmtId="182">
      <sharedItems containsString="0" containsBlank="1" containsNumber="1" containsInteger="1" minValue="2000000" maxValue="489470974"/>
    </cacheField>
    <cacheField name="26.残債当初比" numFmtId="9">
      <sharedItems containsString="0" containsBlank="1" containsNumber="1" minValue="0" maxValue="1"/>
    </cacheField>
    <cacheField name="27.融資残存年" numFmtId="0">
      <sharedItems containsString="0" containsBlank="1" containsNumber="1" containsInteger="1" minValue="0" maxValue="34"/>
    </cacheField>
    <cacheField name="28.保証会社" numFmtId="0">
      <sharedItems containsBlank="1"/>
    </cacheField>
    <cacheField name="29.融資メモ" numFmtId="0">
      <sharedItems containsBlank="1"/>
    </cacheField>
    <cacheField name="→ここから先は印刷範囲外" numFmtId="0">
      <sharedItems containsNonDate="0" containsString="0" containsBlank="1"/>
    </cacheField>
    <cacheField name="30.担保提供種別ID1" numFmtId="0">
      <sharedItems containsString="0" containsBlank="1" containsNumber="1" containsInteger="1" minValue="671" maxValue="673"/>
    </cacheField>
    <cacheField name="31.担保提供種別1" numFmtId="0">
      <sharedItems containsBlank="1"/>
    </cacheField>
    <cacheField name="32.共同担保物件ID1" numFmtId="0">
      <sharedItems containsString="0" containsBlank="1" containsNumber="1" containsInteger="1" minValue="106" maxValue="109"/>
    </cacheField>
    <cacheField name="33.共同担保物件1" numFmtId="0">
      <sharedItems containsBlank="1"/>
    </cacheField>
    <cacheField name="34.担保提供種別ID2" numFmtId="0">
      <sharedItems containsString="0" containsBlank="1" containsNumber="1" containsInteger="1" minValue="671" maxValue="671"/>
    </cacheField>
    <cacheField name="35.担保提供種別2" numFmtId="0">
      <sharedItems containsBlank="1"/>
    </cacheField>
    <cacheField name="36.共同担保物件ID2" numFmtId="0">
      <sharedItems containsString="0" containsBlank="1" containsNumber="1" containsInteger="1" minValue="111" maxValue="111"/>
    </cacheField>
    <cacheField name="37.共同担保物件2" numFmtId="0">
      <sharedItems containsBlank="1"/>
    </cacheField>
    <cacheField name="38.アップフロント条件" numFmtId="0">
      <sharedItems containsNonDate="0" containsString="0" containsBlank="1"/>
    </cacheField>
    <cacheField name="39.解約ペナルティ条件" numFmtId="0">
      <sharedItems containsNonDate="0" containsString="0" containsBlank="1"/>
    </cacheField>
    <cacheField name="40.利息支払開始日" numFmtId="0">
      <sharedItems containsNonDate="0" containsDate="1" containsString="0" containsBlank="1" minDate="2013-02-15T00:00:00" maxDate="2031-10-01T00:00:00"/>
    </cacheField>
    <cacheField name="41.元金返済開始日" numFmtId="0">
      <sharedItems containsNonDate="0" containsDate="1" containsString="0" containsBlank="1" minDate="2013-02-15T00:00:00" maxDate="2031-10-01T00: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49884258" createdVersion="8" refreshedVersion="8" minRefreshableVersion="3" recordCount="365" xr:uid="{9F646B73-2098-4A13-843D-FB981805F362}">
  <cacheSource type="worksheet">
    <worksheetSource ref="A3:AD2006" sheet="9賃料一覧"/>
  </cacheSource>
  <cacheFields count="31">
    <cacheField name="1.連番" numFmtId="0">
      <sharedItems containsString="0" containsBlank="1" containsNumber="1" containsInteger="1" minValue="1" maxValue="318"/>
    </cacheField>
    <cacheField name="2.物件ID" numFmtId="0">
      <sharedItems containsString="0" containsBlank="1" containsNumber="1" containsInteger="1" minValue="101" maxValue="222"/>
    </cacheField>
    <cacheField name="3.物件名" numFmtId="0">
      <sharedItems containsBlank="1" count="22">
        <s v="西池袋駅前ビル"/>
        <s v="池袋ハウス"/>
        <s v="カーサ目白台ハウス"/>
        <s v="コアプラス池袋"/>
        <s v="目白アパート"/>
        <s v="東池袋ハイツ"/>
        <s v="メゾン雑司ヶ谷"/>
        <s v="カーサ南池袋"/>
        <s v="目白カーサ二番館"/>
        <s v="豊島目白ビル"/>
        <s v="第3目白ハイツ"/>
        <s v="レジデンス目白豊島"/>
        <s v="コアプラス大塚"/>
        <s v="コアプラスレジデンス梅田"/>
        <s v="高田馬場第4玉川ビル"/>
        <s v="南池袋マンション"/>
        <s v="ビジネス新大阪123号"/>
        <s v="プラウD目白301号"/>
        <s v="目白アパート1号館"/>
        <s v="目白アパート2号館"/>
        <m/>
        <s v="プラウD目白301号室" u="1"/>
      </sharedItems>
    </cacheField>
    <cacheField name="4.区画名" numFmtId="0">
      <sharedItems containsBlank="1" containsMixedTypes="1" containsNumber="1" containsInteger="1" minValue="101" maxValue="101"/>
    </cacheField>
    <cacheField name="5.専有面積" numFmtId="0">
      <sharedItems containsBlank="1" containsMixedTypes="1" containsNumber="1" minValue="0" maxValue="491.32"/>
    </cacheField>
    <cacheField name="6.クラスID" numFmtId="0">
      <sharedItems containsString="0" containsBlank="1" containsNumber="1" containsInteger="1" minValue="631" maxValue="639"/>
    </cacheField>
    <cacheField name="7.クラス" numFmtId="0">
      <sharedItems containsBlank="1" count="9">
        <s v="住居"/>
        <s v="事務所"/>
        <s v="アンテナ"/>
        <s v="その他"/>
        <s v="駐車場"/>
        <s v="店舗"/>
        <s v="倉庫"/>
        <s v="自販機"/>
        <m/>
      </sharedItems>
      <fieldGroup par="30"/>
    </cacheField>
    <cacheField name="8.間取り" numFmtId="0">
      <sharedItems containsBlank="1"/>
    </cacheField>
    <cacheField name="9.賃料" numFmtId="0">
      <sharedItems containsBlank="1" containsMixedTypes="1" containsNumber="1" containsInteger="1" minValue="0" maxValue="2300000"/>
    </cacheField>
    <cacheField name="10.共益費" numFmtId="0">
      <sharedItems containsBlank="1" containsMixedTypes="1" containsNumber="1" containsInteger="1" minValue="0" maxValue="10000"/>
    </cacheField>
    <cacheField name="11.その他" numFmtId="0">
      <sharedItems containsBlank="1" containsMixedTypes="1" containsNumber="1" containsInteger="1" minValue="0" maxValue="1852"/>
    </cacheField>
    <cacheField name="12.消費税" numFmtId="0">
      <sharedItems containsBlank="1" containsMixedTypes="1" containsNumber="1" containsInteger="1" minValue="0" maxValue="230000"/>
    </cacheField>
    <cacheField name="13.現況賃料税込(自動)" numFmtId="0">
      <sharedItems containsString="0" containsBlank="1" containsNumber="1" containsInteger="1" minValue="0" maxValue="2530000"/>
    </cacheField>
    <cacheField name="14.再募集賃料税抜" numFmtId="0">
      <sharedItems containsString="0" containsBlank="1" containsNumber="1" containsInteger="1" minValue="0" maxValue="2300000"/>
    </cacheField>
    <cacheField name="15.再募集賃料税" numFmtId="0">
      <sharedItems containsString="0" containsBlank="1" containsNumber="1" minValue="0" maxValue="230000"/>
    </cacheField>
    <cacheField name="16.再募集税込(自動)" numFmtId="0">
      <sharedItems containsString="0" containsBlank="1" containsNumber="1" minValue="0" maxValue="2530000"/>
    </cacheField>
    <cacheField name="17.満室想定税込(自動)" numFmtId="0">
      <sharedItems containsString="0" containsBlank="1" containsNumber="1" containsInteger="1" minValue="0" maxValue="2530000" count="124">
        <n v="65000"/>
        <n v="69800"/>
        <n v="63000"/>
        <n v="67000"/>
        <n v="59000"/>
        <n v="66000"/>
        <n v="62000"/>
        <n v="70000"/>
        <n v="60000"/>
        <n v="69000"/>
        <n v="64000"/>
        <n v="72000"/>
        <n v="302500"/>
        <n v="99000"/>
        <n v="0"/>
        <n v="80000"/>
        <n v="77000"/>
        <n v="79000"/>
        <n v="85000"/>
        <n v="75000"/>
        <n v="68000"/>
        <n v="82000"/>
        <n v="89000"/>
        <n v="92000"/>
        <n v="74000"/>
        <n v="104000"/>
        <n v="162000"/>
        <n v="117000"/>
        <n v="169000"/>
        <n v="36000"/>
        <n v="173148"/>
        <n v="189444"/>
        <n v="187000"/>
        <n v="198000"/>
        <n v="165000"/>
        <n v="94286"/>
        <n v="218000"/>
        <n v="208000"/>
        <n v="220000"/>
        <n v="140000"/>
        <n v="305800"/>
        <n v="44000"/>
        <n v="38500"/>
        <n v="169400"/>
        <n v="132000"/>
        <n v="73000"/>
        <n v="88000"/>
        <n v="139000"/>
        <n v="103204"/>
        <n v="108000"/>
        <n v="105000"/>
        <n v="99204"/>
        <n v="101018"/>
        <n v="110000"/>
        <n v="100000"/>
        <n v="125000"/>
        <n v="101223"/>
        <n v="96408"/>
        <n v="90000"/>
        <n v="129000"/>
        <n v="135000"/>
        <n v="115000"/>
        <n v="95000"/>
        <n v="100204"/>
        <n v="117037"/>
        <n v="13200"/>
        <n v="22324"/>
        <n v="126000"/>
        <n v="167000"/>
        <n v="150000"/>
        <n v="134000"/>
        <n v="170000"/>
        <n v="152000"/>
        <n v="145000"/>
        <n v="160000"/>
        <n v="155000"/>
        <n v="180000"/>
        <n v="71000"/>
        <n v="55000"/>
        <n v="54000"/>
        <n v="61000"/>
        <n v="58000"/>
        <n v="58700"/>
        <n v="1100000"/>
        <n v="50000"/>
        <n v="83000"/>
        <n v="106000"/>
        <n v="185000"/>
        <n v="27000"/>
        <n v="58813"/>
        <n v="14098"/>
        <n v="17600"/>
        <n v="1758634"/>
        <n v="91000"/>
        <n v="91740"/>
        <n v="22000"/>
        <n v="11000"/>
        <n v="5500"/>
        <n v="2530000"/>
        <n v="118000"/>
        <n v="120000"/>
        <n v="130000"/>
        <n v="123000"/>
        <n v="121000"/>
        <n v="131000"/>
        <n v="53000"/>
        <n v="94600"/>
        <n v="264815"/>
        <n v="128000"/>
        <n v="133000"/>
        <n v="137000"/>
        <n v="192093"/>
        <n v="356481"/>
        <n v="122000"/>
        <n v="158000"/>
        <n v="148000"/>
        <n v="175000"/>
        <n v="413600"/>
        <n v="190000"/>
        <n v="14300"/>
        <n v="35000"/>
        <n v="295000"/>
        <n v="330000"/>
        <m/>
      </sharedItems>
      <fieldGroup base="16">
        <rangePr autoStart="0" autoEnd="0" startNum="0" endNum="1000000" groupInterval="100000"/>
        <groupItems count="12">
          <s v="&lt;0 または (空白)"/>
          <s v="0-99999"/>
          <s v="100000-199999"/>
          <s v="200000-299999"/>
          <s v="300000-399999"/>
          <s v="400000-499999"/>
          <s v="500000-599999"/>
          <s v="600000-699999"/>
          <s v="700000-799999"/>
          <s v="800000-899999"/>
          <s v="900000-1000000"/>
          <s v="&gt;1000000"/>
        </groupItems>
      </fieldGroup>
    </cacheField>
    <cacheField name="18.入居者国籍" numFmtId="0">
      <sharedItems containsBlank="1"/>
    </cacheField>
    <cacheField name="19.賃貸用" numFmtId="0">
      <sharedItems containsBlank="1" count="3">
        <s v="yes"/>
        <s v="no"/>
        <m/>
      </sharedItems>
    </cacheField>
    <cacheField name="20.メモ" numFmtId="0">
      <sharedItems containsBlank="1"/>
    </cacheField>
    <cacheField name="sepa1" numFmtId="0">
      <sharedItems containsNonDate="0" containsString="0" containsBlank="1"/>
    </cacheField>
    <cacheField name="31.区画ID" numFmtId="0">
      <sharedItems containsBlank="1"/>
    </cacheField>
    <cacheField name="32.購入時賃料税抜" numFmtId="0">
      <sharedItems containsString="0" containsBlank="1" containsNumber="1" containsInteger="1" minValue="0" maxValue="2500000"/>
    </cacheField>
    <cacheField name="sepa2" numFmtId="0">
      <sharedItems containsNonDate="0" containsString="0" containsBlank="1"/>
    </cacheField>
    <cacheField name="41.入居中判定" numFmtId="0">
      <sharedItems containsString="0" containsBlank="1" containsNumber="1" containsInteger="1" minValue="0" maxValue="1"/>
    </cacheField>
    <cacheField name="42.満室想定税抜(自動)" numFmtId="0">
      <sharedItems containsString="0" containsBlank="1" containsNumber="1" containsInteger="1" minValue="0" maxValue="2300000"/>
    </cacheField>
    <cacheField name="43.賃料増減余地(自動)" numFmtId="0">
      <sharedItems containsString="0" containsBlank="1" containsNumber="1" containsInteger="1" minValue="-32000" maxValue="32000"/>
    </cacheField>
    <cacheField name="44.購入後の賃料増加額税抜（自動）" numFmtId="0">
      <sharedItems containsString="0" containsBlank="1" containsNumber="1" containsInteger="1" minValue="-200000" maxValue="224074"/>
    </cacheField>
    <cacheField name="45.物理区画判定(自動)" numFmtId="0">
      <sharedItems containsString="0" containsBlank="1" containsNumber="1" containsInteger="1" minValue="0" maxValue="1" count="3">
        <n v="1"/>
        <n v="0"/>
        <m/>
      </sharedItems>
    </cacheField>
    <cacheField name="46.論理区画判定(自動)" numFmtId="0">
      <sharedItems containsString="0" containsBlank="1" containsNumber="1" containsInteger="1" minValue="0" maxValue="1" count="3">
        <n v="1"/>
        <n v="0"/>
        <m/>
      </sharedItems>
    </cacheField>
    <cacheField name="7.クラス2" numFmtId="0" databaseField="0">
      <fieldGroup base="6">
        <discretePr count="9">
          <x v="0"/>
          <x v="7"/>
          <x v="1"/>
          <x v="2"/>
          <x v="3"/>
          <x v="7"/>
          <x v="4"/>
          <x v="5"/>
          <x v="6"/>
        </discretePr>
        <groupItems count="8">
          <s v="住居"/>
          <s v="アンテナ"/>
          <s v="その他"/>
          <s v="駐車場"/>
          <s v="倉庫"/>
          <s v="自販機"/>
          <m/>
          <s v="ｸﾞﾙｰﾌﾟ1"/>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49999997" createdVersion="8" refreshedVersion="8" minRefreshableVersion="3" recordCount="64" xr:uid="{3E0FD875-5B94-4461-8DB0-E740C92BF00B}">
  <cacheSource type="worksheet">
    <worksheetSource ref="A2:Q400" sheet="B筆一覧"/>
  </cacheSource>
  <cacheFields count="18">
    <cacheField name="連番" numFmtId="0">
      <sharedItems containsString="0" containsBlank="1" containsNumber="1" containsInteger="1" minValue="1" maxValue="63"/>
    </cacheField>
    <cacheField name="物件_x000a_ID" numFmtId="0">
      <sharedItems containsString="0" containsBlank="1" containsNumber="1" containsInteger="1" minValue="101" maxValue="222"/>
    </cacheField>
    <cacheField name="物件名" numFmtId="0">
      <sharedItems containsBlank="1" count="22">
        <s v="西池袋駅前ビル"/>
        <s v="池袋ハウス"/>
        <s v="カーサ目白台ハウス"/>
        <s v="コアプラス池袋"/>
        <s v="目白アパート"/>
        <s v="東池袋ハイツ"/>
        <s v="メゾン雑司ヶ谷"/>
        <s v="カーサ南池袋"/>
        <s v="目白カーサ二番館"/>
        <s v="豊島目白ビル"/>
        <s v="第3目白ハイツ"/>
        <s v="レジデンス目白豊島"/>
        <s v="コアプラス大塚"/>
        <s v="コアプラスレジデンス梅田"/>
        <s v="高田馬場第4玉川ビル"/>
        <s v="南池袋マンション"/>
        <s v="ビジネス新大阪123号"/>
        <s v="プラウD目白301号"/>
        <s v="目白アパート1号館"/>
        <s v="目白アパート2号館"/>
        <m/>
        <s v="プラウD目白301号室" u="1"/>
      </sharedItems>
    </cacheField>
    <cacheField name="資産クラスID" numFmtId="0">
      <sharedItems containsString="0" containsBlank="1" containsNumber="1" containsInteger="1" minValue="661" maxValue="664"/>
    </cacheField>
    <cacheField name="資産クラス" numFmtId="0">
      <sharedItems containsBlank="1" count="5">
        <s v="土地"/>
        <s v="土地(私道)"/>
        <s v="建物"/>
        <s v="土地(道路)"/>
        <m/>
      </sharedItems>
      <fieldGroup par="17"/>
    </cacheField>
    <cacheField name="地番" numFmtId="0">
      <sharedItems containsBlank="1"/>
    </cacheField>
    <cacheField name="家屋番号" numFmtId="0">
      <sharedItems containsNonDate="0" containsString="0" containsBlank="1"/>
    </cacheField>
    <cacheField name="所有/_x000a_借地権" numFmtId="0">
      <sharedItems containsBlank="1"/>
    </cacheField>
    <cacheField name="面積ネット_x000a_(持分按分後の実質)" numFmtId="0">
      <sharedItems containsString="0" containsBlank="1" containsNumber="1" minValue="0.21" maxValue="1490.43"/>
    </cacheField>
    <cacheField name="面積グロス_x000a_(評価証明上の表記)" numFmtId="0">
      <sharedItems containsString="0" containsBlank="1" containsNumber="1" minValue="0.21" maxValue="2237.1999999999998"/>
    </cacheField>
    <cacheField name="共有持分_x000a_分子" numFmtId="0">
      <sharedItems containsBlank="1" containsMixedTypes="1" containsNumber="1" containsInteger="1" minValue="1" maxValue="1"/>
    </cacheField>
    <cacheField name="共有持分_x000a_分母" numFmtId="0">
      <sharedItems containsBlank="1" containsMixedTypes="1" containsNumber="1" containsInteger="1" minValue="1" maxValue="1"/>
    </cacheField>
    <cacheField name="区分持分分子" numFmtId="0">
      <sharedItems containsBlank="1" containsMixedTypes="1" containsNumber="1" containsInteger="1" minValue="1" maxValue="9055"/>
    </cacheField>
    <cacheField name="区分持分分母" numFmtId="0">
      <sharedItems containsBlank="1" containsMixedTypes="1" containsNumber="1" containsInteger="1" minValue="1" maxValue="324677"/>
    </cacheField>
    <cacheField name="当期固定資産税額" numFmtId="0">
      <sharedItems containsString="0" containsBlank="1" containsNumber="1" containsInteger="1" minValue="0" maxValue="1729873"/>
    </cacheField>
    <cacheField name="当期都市計画税額" numFmtId="0">
      <sharedItems containsString="0" containsBlank="1" containsNumber="1" containsInteger="1" minValue="0" maxValue="370687"/>
    </cacheField>
    <cacheField name="当該資産_x000a_評価額" numFmtId="0">
      <sharedItems containsString="0" containsBlank="1" containsNumber="1" minValue="0" maxValue="174271390"/>
    </cacheField>
    <cacheField name="資産クラス2" numFmtId="0" databaseField="0">
      <fieldGroup base="4">
        <discretePr count="5">
          <x v="2"/>
          <x v="2"/>
          <x v="0"/>
          <x v="2"/>
          <x v="1"/>
        </discretePr>
        <groupItems count="3">
          <s v="建物"/>
          <m/>
          <s v="ｸﾞﾙｰﾌﾟ1"/>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49999997" createdVersion="8" refreshedVersion="8" minRefreshableVersion="3" recordCount="365" xr:uid="{4EF3DA74-D885-403B-B2D0-E674B7F62E51}">
  <cacheSource type="worksheet">
    <worksheetSource ref="A3:AD2000" sheet="9賃料一覧"/>
  </cacheSource>
  <cacheFields count="30">
    <cacheField name="1.連番" numFmtId="0">
      <sharedItems containsString="0" containsBlank="1" containsNumber="1" containsInteger="1" minValue="1" maxValue="318"/>
    </cacheField>
    <cacheField name="2.物件ID" numFmtId="0">
      <sharedItems containsString="0" containsBlank="1" containsNumber="1" containsInteger="1" minValue="101" maxValue="222"/>
    </cacheField>
    <cacheField name="3.物件名" numFmtId="0">
      <sharedItems containsBlank="1" count="22">
        <s v="西池袋駅前ビル"/>
        <s v="池袋ハウス"/>
        <s v="カーサ目白台ハウス"/>
        <s v="コアプラス池袋"/>
        <s v="目白アパート"/>
        <s v="東池袋ハイツ"/>
        <s v="メゾン雑司ヶ谷"/>
        <s v="カーサ南池袋"/>
        <s v="目白カーサ二番館"/>
        <s v="豊島目白ビル"/>
        <s v="第3目白ハイツ"/>
        <s v="レジデンス目白豊島"/>
        <s v="コアプラス大塚"/>
        <s v="コアプラスレジデンス梅田"/>
        <s v="高田馬場第4玉川ビル"/>
        <s v="南池袋マンション"/>
        <s v="ビジネス新大阪123号"/>
        <s v="プラウD目白301号"/>
        <s v="目白アパート1号館"/>
        <s v="目白アパート2号館"/>
        <m/>
        <s v="プラウD目白301号室" u="1"/>
      </sharedItems>
    </cacheField>
    <cacheField name="4.区画名" numFmtId="0">
      <sharedItems containsBlank="1" containsMixedTypes="1" containsNumber="1" containsInteger="1" minValue="101" maxValue="101"/>
    </cacheField>
    <cacheField name="5.専有面積" numFmtId="0">
      <sharedItems containsBlank="1" containsMixedTypes="1" containsNumber="1" minValue="0" maxValue="491.32"/>
    </cacheField>
    <cacheField name="6.クラスID" numFmtId="0">
      <sharedItems containsString="0" containsBlank="1" containsNumber="1" containsInteger="1" minValue="631" maxValue="639"/>
    </cacheField>
    <cacheField name="7.クラス" numFmtId="0">
      <sharedItems containsBlank="1"/>
    </cacheField>
    <cacheField name="8.間取り" numFmtId="0">
      <sharedItems containsBlank="1"/>
    </cacheField>
    <cacheField name="9.賃料" numFmtId="0">
      <sharedItems containsBlank="1" containsMixedTypes="1" containsNumber="1" containsInteger="1" minValue="0" maxValue="2300000"/>
    </cacheField>
    <cacheField name="10.共益費" numFmtId="0">
      <sharedItems containsBlank="1" containsMixedTypes="1" containsNumber="1" containsInteger="1" minValue="0" maxValue="10000"/>
    </cacheField>
    <cacheField name="11.その他" numFmtId="0">
      <sharedItems containsBlank="1" containsMixedTypes="1" containsNumber="1" containsInteger="1" minValue="0" maxValue="1852"/>
    </cacheField>
    <cacheField name="12.消費税" numFmtId="0">
      <sharedItems containsBlank="1" containsMixedTypes="1" containsNumber="1" containsInteger="1" minValue="0" maxValue="230000"/>
    </cacheField>
    <cacheField name="13.現況賃料税込(自動)" numFmtId="0">
      <sharedItems containsString="0" containsBlank="1" containsNumber="1" containsInteger="1" minValue="0" maxValue="2530000"/>
    </cacheField>
    <cacheField name="14.再募集賃料税抜" numFmtId="0">
      <sharedItems containsString="0" containsBlank="1" containsNumber="1" containsInteger="1" minValue="0" maxValue="2300000"/>
    </cacheField>
    <cacheField name="15.再募集賃料税" numFmtId="0">
      <sharedItems containsString="0" containsBlank="1" containsNumber="1" minValue="0" maxValue="230000"/>
    </cacheField>
    <cacheField name="16.再募集税込(自動)" numFmtId="0">
      <sharedItems containsString="0" containsBlank="1" containsNumber="1" minValue="0" maxValue="2530000"/>
    </cacheField>
    <cacheField name="17.満室想定税込(自動)" numFmtId="0">
      <sharedItems containsString="0" containsBlank="1" containsNumber="1" containsInteger="1" minValue="0" maxValue="2530000"/>
    </cacheField>
    <cacheField name="18.入居者国籍" numFmtId="0">
      <sharedItems containsBlank="1"/>
    </cacheField>
    <cacheField name="19.賃貸用" numFmtId="0">
      <sharedItems containsBlank="1"/>
    </cacheField>
    <cacheField name="20.メモ" numFmtId="0">
      <sharedItems containsBlank="1"/>
    </cacheField>
    <cacheField name="sepa1" numFmtId="0">
      <sharedItems containsNonDate="0" containsString="0" containsBlank="1"/>
    </cacheField>
    <cacheField name="31.区画ID" numFmtId="0">
      <sharedItems containsBlank="1"/>
    </cacheField>
    <cacheField name="32.購入時賃料税抜" numFmtId="0">
      <sharedItems containsString="0" containsBlank="1" containsNumber="1" containsInteger="1" minValue="0" maxValue="2500000"/>
    </cacheField>
    <cacheField name="sepa2" numFmtId="0">
      <sharedItems containsNonDate="0" containsString="0" containsBlank="1"/>
    </cacheField>
    <cacheField name="41.入居中判定" numFmtId="0">
      <sharedItems containsString="0" containsBlank="1" containsNumber="1" containsInteger="1" minValue="0" maxValue="1"/>
    </cacheField>
    <cacheField name="42.満室想定税抜(自動)" numFmtId="0">
      <sharedItems containsString="0" containsBlank="1" containsNumber="1" containsInteger="1" minValue="0" maxValue="2300000"/>
    </cacheField>
    <cacheField name="43.賃料増減余地(自動)" numFmtId="0">
      <sharedItems containsString="0" containsBlank="1" containsNumber="1" containsInteger="1" minValue="-32000" maxValue="32000"/>
    </cacheField>
    <cacheField name="44.購入後の賃料増加額税抜（自動）" numFmtId="0">
      <sharedItems containsString="0" containsBlank="1" containsNumber="1" containsInteger="1" minValue="-200000" maxValue="224074"/>
    </cacheField>
    <cacheField name="45.物理区画判定(自動)" numFmtId="0">
      <sharedItems containsString="0" containsBlank="1" containsNumber="1" containsInteger="1" minValue="0" maxValue="1"/>
    </cacheField>
    <cacheField name="46.論理区画判定(自動)" numFmtId="0">
      <sharedItems containsString="0" containsBlank="1" containsNumber="1" containsInteger="1" minValue="0" maxValue="1" count="3">
        <n v="1"/>
        <n v="0"/>
        <m/>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50115742" createdVersion="8" refreshedVersion="8" minRefreshableVersion="3" recordCount="148" xr:uid="{879F6ACC-869F-4E11-A9C2-A1C0951FB6F0}">
  <cacheSource type="worksheet">
    <worksheetSource ref="A4:Q1002" sheet="7償却一覧"/>
  </cacheSource>
  <cacheFields count="17">
    <cacheField name="1.物件ID" numFmtId="0">
      <sharedItems containsString="0" containsBlank="1" containsNumber="1" containsInteger="1" minValue="101" maxValue="999"/>
    </cacheField>
    <cacheField name="2.対象物件" numFmtId="0">
      <sharedItems containsBlank="1" count="23">
        <s v="西池袋駅前ビル"/>
        <s v="池袋ハウス"/>
        <s v="カーサ目白台ハウス"/>
        <s v="コアプラス池袋"/>
        <s v="目白アパート"/>
        <s v="東池袋ハイツ"/>
        <s v="メゾン雑司ヶ谷"/>
        <s v="カーサ南池袋"/>
        <s v="目白カーサ二番館"/>
        <s v="豊島目白ビル"/>
        <s v="第3目白ハイツ"/>
        <s v="レジデンス目白豊島"/>
        <s v="コアプラス大塚"/>
        <s v="コアプラスレジデンス梅田"/>
        <s v="高田馬場第4玉川ビル"/>
        <s v="南池袋マンション"/>
        <s v="ビジネス新大阪123号"/>
        <s v="プラウD目白301号"/>
        <s v="賃貸資産以外の償却"/>
        <s v="目白アパート1号館"/>
        <s v="目白アパート2号館"/>
        <m/>
        <s v="プラウD目白301号室" u="1"/>
      </sharedItems>
    </cacheField>
    <cacheField name="3.法人ID" numFmtId="0">
      <sharedItems containsString="0" containsBlank="1" containsNumber="1" containsInteger="1" minValue="401" maxValue="409"/>
    </cacheField>
    <cacheField name="4.法人名" numFmtId="0">
      <sharedItems containsBlank="1"/>
    </cacheField>
    <cacheField name="5.資産種類名" numFmtId="0">
      <sharedItems containsBlank="1" count="6">
        <s v="建物"/>
        <s v="土地"/>
        <s v="建物附属設備"/>
        <s v="器具備品"/>
        <s v="構築物"/>
        <m/>
      </sharedItems>
    </cacheField>
    <cacheField name="6.償却方法" numFmtId="0">
      <sharedItems containsBlank="1"/>
    </cacheField>
    <cacheField name="7.資産名称" numFmtId="0">
      <sharedItems containsBlank="1"/>
    </cacheField>
    <cacheField name="8.取得年月日" numFmtId="0">
      <sharedItems containsBlank="1"/>
    </cacheField>
    <cacheField name="9.耐用年数_x000a_(年)" numFmtId="0">
      <sharedItems containsBlank="1" containsMixedTypes="1" containsNumber="1" containsInteger="1" minValue="15" maxValue="15"/>
    </cacheField>
    <cacheField name="10.取得後経過年(目安)" numFmtId="0">
      <sharedItems containsString="0" containsBlank="1" containsNumber="1" containsInteger="1" minValue="2" maxValue="9"/>
    </cacheField>
    <cacheField name="11.残存耐用年(目安)" numFmtId="0">
      <sharedItems containsBlank="1" containsMixedTypes="1" containsNumber="1" containsInteger="1" minValue="-3" maxValue="41"/>
    </cacheField>
    <cacheField name="12.取得価額" numFmtId="182">
      <sharedItems containsString="0" containsBlank="1" containsNumber="1" containsInteger="1" minValue="13300" maxValue="397310797"/>
    </cacheField>
    <cacheField name="13.期首帳簿価額" numFmtId="182">
      <sharedItems containsString="0" containsBlank="1" containsNumber="1" containsInteger="1" minValue="1" maxValue="397310797"/>
    </cacheField>
    <cacheField name="14.年間償却額" numFmtId="182">
      <sharedItems containsString="0" containsBlank="1" containsNumber="1" containsInteger="1" minValue="0" maxValue="8734332"/>
    </cacheField>
    <cacheField name="15.期末帳簿価額" numFmtId="182">
      <sharedItems containsString="0" containsBlank="1" containsNumber="1" containsInteger="1" minValue="1" maxValue="397310797"/>
    </cacheField>
    <cacheField name="16.購入後の_x000a_CAPEX" numFmtId="0">
      <sharedItems containsBlank="1" containsMixedTypes="1" containsNumber="1" containsInteger="1" minValue="0" maxValue="1"/>
    </cacheField>
    <cacheField name="17.摘要" numFmtId="0">
      <sharedItems containsBlank="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50115742" createdVersion="8" refreshedVersion="8" minRefreshableVersion="3" recordCount="148" xr:uid="{0321FC50-C712-4764-8831-A5C76C661352}">
  <cacheSource type="worksheet">
    <worksheetSource ref="A4:Q1001" sheet="7償却一覧"/>
  </cacheSource>
  <cacheFields count="18">
    <cacheField name="1.物件ID" numFmtId="0">
      <sharedItems containsString="0" containsBlank="1" containsNumber="1" containsInteger="1" minValue="101" maxValue="999"/>
    </cacheField>
    <cacheField name="2.対象物件" numFmtId="0">
      <sharedItems containsBlank="1" count="23">
        <s v="西池袋駅前ビル"/>
        <s v="池袋ハウス"/>
        <s v="カーサ目白台ハウス"/>
        <s v="コアプラス池袋"/>
        <s v="目白アパート"/>
        <s v="東池袋ハイツ"/>
        <s v="メゾン雑司ヶ谷"/>
        <s v="カーサ南池袋"/>
        <s v="目白カーサ二番館"/>
        <s v="豊島目白ビル"/>
        <s v="第3目白ハイツ"/>
        <s v="レジデンス目白豊島"/>
        <s v="コアプラス大塚"/>
        <s v="コアプラスレジデンス梅田"/>
        <s v="高田馬場第4玉川ビル"/>
        <s v="南池袋マンション"/>
        <s v="ビジネス新大阪123号"/>
        <s v="プラウD目白301号"/>
        <s v="賃貸資産以外の償却"/>
        <s v="目白アパート1号館"/>
        <s v="目白アパート2号館"/>
        <m/>
        <s v="プラウD目白301号室" u="1"/>
      </sharedItems>
    </cacheField>
    <cacheField name="3.法人ID" numFmtId="0">
      <sharedItems containsString="0" containsBlank="1" containsNumber="1" containsInteger="1" minValue="401" maxValue="409"/>
    </cacheField>
    <cacheField name="4.法人名" numFmtId="0">
      <sharedItems containsBlank="1"/>
    </cacheField>
    <cacheField name="5.資産種類名" numFmtId="0">
      <sharedItems containsBlank="1" count="6">
        <s v="建物"/>
        <s v="土地"/>
        <s v="建物附属設備"/>
        <s v="器具備品"/>
        <s v="構築物"/>
        <m/>
      </sharedItems>
      <fieldGroup par="17"/>
    </cacheField>
    <cacheField name="6.償却方法" numFmtId="0">
      <sharedItems containsBlank="1"/>
    </cacheField>
    <cacheField name="7.資産名称" numFmtId="0">
      <sharedItems containsBlank="1"/>
    </cacheField>
    <cacheField name="8.取得年月日" numFmtId="0">
      <sharedItems containsBlank="1"/>
    </cacheField>
    <cacheField name="9.耐用年数_x000a_(年)" numFmtId="0">
      <sharedItems containsBlank="1" containsMixedTypes="1" containsNumber="1" containsInteger="1" minValue="15" maxValue="15"/>
    </cacheField>
    <cacheField name="10.取得後経過年(目安)" numFmtId="0">
      <sharedItems containsString="0" containsBlank="1" containsNumber="1" containsInteger="1" minValue="2" maxValue="9"/>
    </cacheField>
    <cacheField name="11.残存耐用年(目安)" numFmtId="0">
      <sharedItems containsBlank="1" containsMixedTypes="1" containsNumber="1" containsInteger="1" minValue="-3" maxValue="41"/>
    </cacheField>
    <cacheField name="12.取得価額" numFmtId="182">
      <sharedItems containsString="0" containsBlank="1" containsNumber="1" containsInteger="1" minValue="13300" maxValue="397310797"/>
    </cacheField>
    <cacheField name="13.期首帳簿価額" numFmtId="182">
      <sharedItems containsString="0" containsBlank="1" containsNumber="1" containsInteger="1" minValue="1" maxValue="397310797"/>
    </cacheField>
    <cacheField name="14.年間償却額" numFmtId="182">
      <sharedItems containsString="0" containsBlank="1" containsNumber="1" containsInteger="1" minValue="0" maxValue="8734332"/>
    </cacheField>
    <cacheField name="15.期末帳簿価額" numFmtId="182">
      <sharedItems containsString="0" containsBlank="1" containsNumber="1" containsInteger="1" minValue="1" maxValue="397310797"/>
    </cacheField>
    <cacheField name="16.購入後の_x000a_CAPEX" numFmtId="0">
      <sharedItems containsBlank="1" containsMixedTypes="1" containsNumber="1" containsInteger="1" minValue="0" maxValue="1"/>
    </cacheField>
    <cacheField name="17.摘要" numFmtId="0">
      <sharedItems containsBlank="1"/>
    </cacheField>
    <cacheField name="5.資産種類名2" numFmtId="0" databaseField="0">
      <fieldGroup base="4">
        <discretePr count="6">
          <x v="2"/>
          <x v="0"/>
          <x v="2"/>
          <x v="2"/>
          <x v="2"/>
          <x v="1"/>
        </discretePr>
        <groupItems count="3">
          <s v="土地"/>
          <m/>
          <s v="ｸﾞﾙｰﾌﾟ1"/>
        </groupItems>
      </fieldGroup>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50231481" createdVersion="8" refreshedVersion="8" minRefreshableVersion="3" recordCount="148" xr:uid="{6269492F-C67B-4257-9BB6-A86377894BE1}">
  <cacheSource type="worksheet">
    <worksheetSource ref="A4:Q1000" sheet="7償却一覧"/>
  </cacheSource>
  <cacheFields count="18">
    <cacheField name="1.物件ID" numFmtId="0">
      <sharedItems containsString="0" containsBlank="1" containsNumber="1" containsInteger="1" minValue="101" maxValue="999"/>
    </cacheField>
    <cacheField name="2.対象物件" numFmtId="0">
      <sharedItems containsBlank="1" count="23">
        <s v="西池袋駅前ビル"/>
        <s v="池袋ハウス"/>
        <s v="カーサ目白台ハウス"/>
        <s v="コアプラス池袋"/>
        <s v="目白アパート"/>
        <s v="東池袋ハイツ"/>
        <s v="メゾン雑司ヶ谷"/>
        <s v="カーサ南池袋"/>
        <s v="目白カーサ二番館"/>
        <s v="豊島目白ビル"/>
        <s v="第3目白ハイツ"/>
        <s v="レジデンス目白豊島"/>
        <s v="コアプラス大塚"/>
        <s v="コアプラスレジデンス梅田"/>
        <s v="高田馬場第4玉川ビル"/>
        <s v="南池袋マンション"/>
        <s v="ビジネス新大阪123号"/>
        <s v="プラウD目白301号"/>
        <s v="賃貸資産以外の償却"/>
        <s v="目白アパート1号館"/>
        <s v="目白アパート2号館"/>
        <m/>
        <s v="プラウD目白301号室" u="1"/>
      </sharedItems>
    </cacheField>
    <cacheField name="3.法人ID" numFmtId="0">
      <sharedItems containsString="0" containsBlank="1" containsNumber="1" containsInteger="1" minValue="401" maxValue="409"/>
    </cacheField>
    <cacheField name="4.法人名" numFmtId="0">
      <sharedItems containsBlank="1"/>
    </cacheField>
    <cacheField name="5.資産種類名" numFmtId="0">
      <sharedItems containsBlank="1" count="6">
        <s v="建物"/>
        <s v="土地"/>
        <s v="建物附属設備"/>
        <s v="器具備品"/>
        <s v="構築物"/>
        <m/>
      </sharedItems>
      <fieldGroup par="17"/>
    </cacheField>
    <cacheField name="6.償却方法" numFmtId="0">
      <sharedItems containsBlank="1"/>
    </cacheField>
    <cacheField name="7.資産名称" numFmtId="0">
      <sharedItems containsBlank="1"/>
    </cacheField>
    <cacheField name="8.取得年月日" numFmtId="0">
      <sharedItems containsBlank="1"/>
    </cacheField>
    <cacheField name="9.耐用年数_x000a_(年)" numFmtId="0">
      <sharedItems containsBlank="1" containsMixedTypes="1" containsNumber="1" containsInteger="1" minValue="15" maxValue="15"/>
    </cacheField>
    <cacheField name="10.取得後経過年(目安)" numFmtId="0">
      <sharedItems containsString="0" containsBlank="1" containsNumber="1" containsInteger="1" minValue="2" maxValue="9"/>
    </cacheField>
    <cacheField name="11.残存耐用年(目安)" numFmtId="0">
      <sharedItems containsBlank="1" containsMixedTypes="1" containsNumber="1" containsInteger="1" minValue="-3" maxValue="41"/>
    </cacheField>
    <cacheField name="12.取得価額" numFmtId="182">
      <sharedItems containsString="0" containsBlank="1" containsNumber="1" containsInteger="1" minValue="13300" maxValue="397310797"/>
    </cacheField>
    <cacheField name="13.期首帳簿価額" numFmtId="182">
      <sharedItems containsString="0" containsBlank="1" containsNumber="1" containsInteger="1" minValue="1" maxValue="397310797"/>
    </cacheField>
    <cacheField name="14.年間償却額" numFmtId="182">
      <sharedItems containsString="0" containsBlank="1" containsNumber="1" containsInteger="1" minValue="0" maxValue="8734332"/>
    </cacheField>
    <cacheField name="15.期末帳簿価額" numFmtId="182">
      <sharedItems containsString="0" containsBlank="1" containsNumber="1" containsInteger="1" minValue="1" maxValue="397310797"/>
    </cacheField>
    <cacheField name="16.購入後の_x000a_CAPEX" numFmtId="0">
      <sharedItems containsBlank="1" containsMixedTypes="1" containsNumber="1" containsInteger="1" minValue="0" maxValue="1" count="5">
        <s v="0"/>
        <s v="1"/>
        <n v="1"/>
        <n v="0"/>
        <m/>
      </sharedItems>
    </cacheField>
    <cacheField name="17.摘要" numFmtId="0">
      <sharedItems containsBlank="1"/>
    </cacheField>
    <cacheField name="5.資産種類名2" numFmtId="0" databaseField="0">
      <fieldGroup base="4">
        <discretePr count="6">
          <x v="2"/>
          <x v="0"/>
          <x v="2"/>
          <x v="2"/>
          <x v="2"/>
          <x v="1"/>
        </discretePr>
        <groupItems count="3">
          <s v="土地"/>
          <m/>
          <s v="ｸﾞﾙｰﾌﾟ1"/>
        </groupItems>
      </fieldGroup>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50231481" createdVersion="8" refreshedVersion="8" minRefreshableVersion="3" recordCount="89" xr:uid="{AB14332D-1EA8-46EE-BA9B-EB31FB87C3BA}">
  <cacheSource type="worksheet">
    <worksheetSource ref="A34:G591" sheet="A.BM集計"/>
  </cacheSource>
  <cacheFields count="7">
    <cacheField name="物件ID" numFmtId="0">
      <sharedItems containsString="0" containsBlank="1" containsNumber="1" containsInteger="1" minValue="101" maxValue="222"/>
    </cacheField>
    <cacheField name="物件名" numFmtId="0">
      <sharedItems containsBlank="1" count="22">
        <s v="西池袋駅前ビル"/>
        <s v="池袋ハウス"/>
        <s v="カーサ目白台ハウス"/>
        <s v="コアプラス池袋"/>
        <s v="目白アパート"/>
        <s v="東池袋ハイツ"/>
        <s v="メゾン雑司ヶ谷"/>
        <s v="カーサ南池袋"/>
        <s v="目白カーサ二番館"/>
        <s v="豊島目白ビル"/>
        <s v="第3目白ハイツ"/>
        <s v="レジデンス目白豊島"/>
        <s v="コアプラス大塚"/>
        <s v="コアプラスレジデンス梅田"/>
        <s v="高田馬場第4玉川ビル"/>
        <s v="南池袋マンション"/>
        <s v="ビジネス新大阪123号"/>
        <s v="プラウD目白301号"/>
        <s v="目白アパート1号館"/>
        <s v="目白アパート2号館"/>
        <m/>
        <s v="プラウD目白301号室" u="1"/>
      </sharedItems>
    </cacheField>
    <cacheField name="BM費用ID" numFmtId="0">
      <sharedItems containsString="0" containsBlank="1" containsNumber="1" containsInteger="1" minValue="651" maxValue="659"/>
    </cacheField>
    <cacheField name="BM費用項目(自動)" numFmtId="0">
      <sharedItems containsBlank="1" count="10">
        <s v="火災保険料"/>
        <s v="水道料金"/>
        <s v="その他"/>
        <s v="建物管理料"/>
        <s v="電気料金(電灯)"/>
        <s v="電気料金(低圧)"/>
        <s v="立替金"/>
        <s v="区分管理費"/>
        <s v="区分修繕積立金"/>
        <m/>
      </sharedItems>
    </cacheField>
    <cacheField name="月額合計" numFmtId="0">
      <sharedItems containsBlank="1" containsMixedTypes="1" containsNumber="1" containsInteger="1" minValue="-50500" maxValue="150150"/>
    </cacheField>
    <cacheField name="年換算(×12)" numFmtId="0">
      <sharedItems containsString="0" containsBlank="1" containsNumber="1" containsInteger="1" minValue="-606000" maxValue="1801800"/>
    </cacheField>
    <cacheField name="摘要" numFmtId="0">
      <sharedItems containsBlank="1"/>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5034722" createdVersion="8" refreshedVersion="8" minRefreshableVersion="3" recordCount="175" xr:uid="{363505C7-2C0E-43FA-BD67-4B7EC16AA01C}">
  <cacheSource type="worksheet">
    <worksheetSource ref="A1:AP477" sheet="5借入一覧"/>
  </cacheSource>
  <cacheFields count="42">
    <cacheField name="1.融資ID" numFmtId="0">
      <sharedItems containsString="0" containsBlank="1" containsNumber="1" containsInteger="1" minValue="801" maxValue="832"/>
    </cacheField>
    <cacheField name="2.状況" numFmtId="0">
      <sharedItems containsBlank="1"/>
    </cacheField>
    <cacheField name="3.金融機関ID" numFmtId="0">
      <sharedItems containsString="0" containsBlank="1" containsNumber="1" containsInteger="1" minValue="302" maxValue="512"/>
    </cacheField>
    <cacheField name="4.金融機関名" numFmtId="0">
      <sharedItems containsBlank="1" count="14">
        <s v="首里信金"/>
        <s v="名護信金"/>
        <s v="読谷信金"/>
        <s v="宜野湾信組"/>
        <s v="恩納銀行"/>
        <s v="嘉手納銀行"/>
        <s v="奄美信金"/>
        <s v="竹富信金"/>
        <s v="西表信金"/>
        <s v="宮古信組"/>
        <s v="座間味信金"/>
        <s v="石垣銀行"/>
        <s v="玉川花子"/>
        <m/>
      </sharedItems>
    </cacheField>
    <cacheField name="5.支店名" numFmtId="0">
      <sharedItems containsBlank="1"/>
    </cacheField>
    <cacheField name="6.借入主体会社ID" numFmtId="0">
      <sharedItems containsString="0" containsBlank="1" containsNumber="1" containsInteger="1" minValue="301" maxValue="410"/>
    </cacheField>
    <cacheField name="7.借入主体" numFmtId="0">
      <sharedItems containsBlank="1"/>
    </cacheField>
    <cacheField name="8.使途ID" numFmtId="0">
      <sharedItems containsString="0" containsBlank="1" containsNumber="1" containsInteger="1" minValue="601" maxValue="608"/>
    </cacheField>
    <cacheField name="9.使途" numFmtId="0">
      <sharedItems containsBlank="1" count="9">
        <s v="不動産購入"/>
        <s v="運転資金"/>
        <s v="修繕資金"/>
        <s v="住宅ローン"/>
        <s v="他業借入"/>
        <s v="親族借入"/>
        <s v="その他(間接部門)"/>
        <s v="その他(賃貸部門)"/>
        <m/>
      </sharedItems>
    </cacheField>
    <cacheField name="10.対象物件ID" numFmtId="0">
      <sharedItems containsString="0" containsBlank="1" containsNumber="1" containsInteger="1" minValue="101" maxValue="971"/>
    </cacheField>
    <cacheField name="11.対象物件" numFmtId="0">
      <sharedItems containsBlank="1"/>
    </cacheField>
    <cacheField name="12.担保物件ID" numFmtId="0">
      <sharedItems containsString="0" containsBlank="1" containsNumber="1" containsInteger="1" minValue="101" maxValue="971"/>
    </cacheField>
    <cacheField name="13.担保物件" numFmtId="0">
      <sharedItems containsBlank="1"/>
    </cacheField>
    <cacheField name="14.当初借入額" numFmtId="5">
      <sharedItems containsString="0" containsBlank="1" containsNumber="1" containsInteger="1" minValue="2000000" maxValue="550000000"/>
    </cacheField>
    <cacheField name="15.当初借入日" numFmtId="193">
      <sharedItems containsNonDate="0" containsDate="1" containsString="0" containsBlank="1" minDate="2013-02-15T00:00:00" maxDate="2021-10-01T00:00:00"/>
    </cacheField>
    <cacheField name="16.金利" numFmtId="0">
      <sharedItems containsString="0" containsBlank="1" containsNumber="1" minValue="0" maxValue="2.9636"/>
    </cacheField>
    <cacheField name="17.金利条件" numFmtId="0">
      <sharedItems containsBlank="1"/>
    </cacheField>
    <cacheField name="18.借入期間" numFmtId="202">
      <sharedItems containsString="0" containsBlank="1" containsNumber="1" containsInteger="1" minValue="5" maxValue="40"/>
    </cacheField>
    <cacheField name="19.返済ピッチ" numFmtId="0">
      <sharedItems containsString="0" containsBlank="1" containsNumber="1" containsInteger="1" minValue="5" maxValue="40"/>
    </cacheField>
    <cacheField name="20.返済方法" numFmtId="0">
      <sharedItems containsBlank="1"/>
    </cacheField>
    <cacheField name="21.残債時点" numFmtId="193">
      <sharedItems containsDate="1" containsBlank="1" containsMixedTypes="1" minDate="2022-06-06T00:00:00" maxDate="2022-10-01T00:00:00"/>
    </cacheField>
    <cacheField name="22.元金返済月額" numFmtId="182">
      <sharedItems containsString="0" containsBlank="1" containsNumber="1" containsInteger="1" minValue="0" maxValue="1209934"/>
    </cacheField>
    <cacheField name="23.利息月額" numFmtId="182">
      <sharedItems containsString="0" containsBlank="1" containsNumber="1" containsInteger="1" minValue="0" maxValue="674466"/>
    </cacheField>
    <cacheField name="24.支払月額" numFmtId="182">
      <sharedItems containsString="0" containsBlank="1" containsNumber="1" containsInteger="1" minValue="0" maxValue="1724718"/>
    </cacheField>
    <cacheField name="25.残債" numFmtId="182">
      <sharedItems containsString="0" containsBlank="1" containsNumber="1" containsInteger="1" minValue="2000000" maxValue="489470974"/>
    </cacheField>
    <cacheField name="26.残債当初比" numFmtId="9">
      <sharedItems containsString="0" containsBlank="1" containsNumber="1" minValue="0" maxValue="1"/>
    </cacheField>
    <cacheField name="27.融資残存年" numFmtId="0">
      <sharedItems containsString="0" containsBlank="1" containsNumber="1" containsInteger="1" minValue="0" maxValue="34"/>
    </cacheField>
    <cacheField name="28.保証会社" numFmtId="0">
      <sharedItems containsBlank="1"/>
    </cacheField>
    <cacheField name="29.融資メモ" numFmtId="0">
      <sharedItems containsBlank="1"/>
    </cacheField>
    <cacheField name="→ここから先は印刷範囲外" numFmtId="0">
      <sharedItems containsNonDate="0" containsString="0" containsBlank="1"/>
    </cacheField>
    <cacheField name="30.担保提供種別ID1" numFmtId="0">
      <sharedItems containsString="0" containsBlank="1" containsNumber="1" containsInteger="1" minValue="671" maxValue="673"/>
    </cacheField>
    <cacheField name="31.担保提供種別1" numFmtId="0">
      <sharedItems containsBlank="1"/>
    </cacheField>
    <cacheField name="32.共同担保物件ID1" numFmtId="0">
      <sharedItems containsString="0" containsBlank="1" containsNumber="1" containsInteger="1" minValue="106" maxValue="109"/>
    </cacheField>
    <cacheField name="33.共同担保物件1" numFmtId="0">
      <sharedItems containsBlank="1"/>
    </cacheField>
    <cacheField name="34.担保提供種別ID2" numFmtId="0">
      <sharedItems containsString="0" containsBlank="1" containsNumber="1" containsInteger="1" minValue="671" maxValue="671"/>
    </cacheField>
    <cacheField name="35.担保提供種別2" numFmtId="0">
      <sharedItems containsBlank="1"/>
    </cacheField>
    <cacheField name="36.共同担保物件ID2" numFmtId="0">
      <sharedItems containsString="0" containsBlank="1" containsNumber="1" containsInteger="1" minValue="111" maxValue="111"/>
    </cacheField>
    <cacheField name="37.共同担保物件2" numFmtId="0">
      <sharedItems containsBlank="1"/>
    </cacheField>
    <cacheField name="38.アップフロント条件" numFmtId="0">
      <sharedItems containsNonDate="0" containsString="0" containsBlank="1"/>
    </cacheField>
    <cacheField name="39.解約ペナルティ条件" numFmtId="0">
      <sharedItems containsNonDate="0" containsString="0" containsBlank="1"/>
    </cacheField>
    <cacheField name="40.利息支払開始日" numFmtId="0">
      <sharedItems containsNonDate="0" containsDate="1" containsString="0" containsBlank="1" minDate="2013-02-15T00:00:00" maxDate="2031-10-01T00:00:00"/>
    </cacheField>
    <cacheField name="41.元金返済開始日" numFmtId="0">
      <sharedItems containsNonDate="0" containsDate="1" containsString="0" containsBlank="1" minDate="2013-02-15T00:00:00" maxDate="2031-10-01T00:00:00"/>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50578704" createdVersion="8" refreshedVersion="8" minRefreshableVersion="3" recordCount="175" xr:uid="{1F17B3EB-45D8-4422-964F-4578BCDD02B7}">
  <cacheSource type="worksheet">
    <worksheetSource ref="A1:AP480" sheet="5借入一覧"/>
  </cacheSource>
  <cacheFields count="43">
    <cacheField name="1.融資ID" numFmtId="0">
      <sharedItems containsString="0" containsBlank="1" containsNumber="1" containsInteger="1" minValue="801" maxValue="832"/>
    </cacheField>
    <cacheField name="2.状況" numFmtId="0">
      <sharedItems containsBlank="1"/>
    </cacheField>
    <cacheField name="3.金融機関ID" numFmtId="0">
      <sharedItems containsString="0" containsBlank="1" containsNumber="1" containsInteger="1" minValue="302" maxValue="512"/>
    </cacheField>
    <cacheField name="4.金融機関名" numFmtId="0">
      <sharedItems containsBlank="1" count="14">
        <s v="首里信金"/>
        <s v="名護信金"/>
        <s v="読谷信金"/>
        <s v="宜野湾信組"/>
        <s v="恩納銀行"/>
        <s v="嘉手納銀行"/>
        <s v="奄美信金"/>
        <s v="竹富信金"/>
        <s v="西表信金"/>
        <s v="宮古信組"/>
        <s v="座間味信金"/>
        <s v="石垣銀行"/>
        <s v="玉川花子"/>
        <m/>
      </sharedItems>
    </cacheField>
    <cacheField name="5.支店名" numFmtId="0">
      <sharedItems containsBlank="1"/>
    </cacheField>
    <cacheField name="6.借入主体会社ID" numFmtId="0">
      <sharedItems containsString="0" containsBlank="1" containsNumber="1" containsInteger="1" minValue="301" maxValue="410"/>
    </cacheField>
    <cacheField name="7.借入主体" numFmtId="0">
      <sharedItems containsBlank="1"/>
    </cacheField>
    <cacheField name="8.使途ID" numFmtId="0">
      <sharedItems containsString="0" containsBlank="1" containsNumber="1" containsInteger="1" minValue="601" maxValue="608"/>
    </cacheField>
    <cacheField name="9.使途" numFmtId="0">
      <sharedItems containsBlank="1"/>
    </cacheField>
    <cacheField name="10.対象物件ID" numFmtId="0">
      <sharedItems containsString="0" containsBlank="1" containsNumber="1" containsInteger="1" minValue="101" maxValue="971"/>
    </cacheField>
    <cacheField name="11.対象物件" numFmtId="0">
      <sharedItems containsBlank="1"/>
    </cacheField>
    <cacheField name="12.担保物件ID" numFmtId="0">
      <sharedItems containsString="0" containsBlank="1" containsNumber="1" containsInteger="1" minValue="101" maxValue="971"/>
    </cacheField>
    <cacheField name="13.担保物件" numFmtId="0">
      <sharedItems containsBlank="1"/>
    </cacheField>
    <cacheField name="14.当初借入額" numFmtId="5">
      <sharedItems containsString="0" containsBlank="1" containsNumber="1" containsInteger="1" minValue="2000000" maxValue="550000000"/>
    </cacheField>
    <cacheField name="15.当初借入日" numFmtId="193">
      <sharedItems containsNonDate="0" containsDate="1" containsString="0" containsBlank="1" minDate="2013-02-15T00:00:00" maxDate="2021-10-01T00:00:00"/>
    </cacheField>
    <cacheField name="16.金利" numFmtId="0">
      <sharedItems containsString="0" containsBlank="1" containsNumber="1" minValue="0" maxValue="2.9636"/>
    </cacheField>
    <cacheField name="17.金利条件" numFmtId="0">
      <sharedItems containsBlank="1"/>
    </cacheField>
    <cacheField name="18.借入期間" numFmtId="202">
      <sharedItems containsString="0" containsBlank="1" containsNumber="1" containsInteger="1" minValue="5" maxValue="40"/>
    </cacheField>
    <cacheField name="19.返済ピッチ" numFmtId="0">
      <sharedItems containsString="0" containsBlank="1" containsNumber="1" containsInteger="1" minValue="5" maxValue="40"/>
    </cacheField>
    <cacheField name="20.返済方法" numFmtId="0">
      <sharedItems containsBlank="1"/>
    </cacheField>
    <cacheField name="21.残債時点" numFmtId="193">
      <sharedItems containsDate="1" containsBlank="1" containsMixedTypes="1" minDate="2022-06-06T00:00:00" maxDate="2022-10-01T00:00:00"/>
    </cacheField>
    <cacheField name="22.元金返済月額" numFmtId="182">
      <sharedItems containsString="0" containsBlank="1" containsNumber="1" containsInteger="1" minValue="0" maxValue="1209934"/>
    </cacheField>
    <cacheField name="23.利息月額" numFmtId="182">
      <sharedItems containsString="0" containsBlank="1" containsNumber="1" containsInteger="1" minValue="0" maxValue="674466"/>
    </cacheField>
    <cacheField name="24.支払月額" numFmtId="182">
      <sharedItems containsString="0" containsBlank="1" containsNumber="1" containsInteger="1" minValue="0" maxValue="1724718"/>
    </cacheField>
    <cacheField name="25.残債" numFmtId="182">
      <sharedItems containsString="0" containsBlank="1" containsNumber="1" containsInteger="1" minValue="2000000" maxValue="489470974"/>
    </cacheField>
    <cacheField name="26.残債当初比" numFmtId="9">
      <sharedItems containsString="0" containsBlank="1" containsNumber="1" minValue="0" maxValue="1"/>
    </cacheField>
    <cacheField name="27.融資残存年" numFmtId="0">
      <sharedItems containsString="0" containsBlank="1" containsNumber="1" containsInteger="1" minValue="0" maxValue="34"/>
    </cacheField>
    <cacheField name="28.保証会社" numFmtId="0">
      <sharedItems containsBlank="1"/>
    </cacheField>
    <cacheField name="29.融資メモ" numFmtId="0">
      <sharedItems containsBlank="1"/>
    </cacheField>
    <cacheField name="→ここから先は印刷範囲外" numFmtId="0">
      <sharedItems containsNonDate="0" containsString="0" containsBlank="1"/>
    </cacheField>
    <cacheField name="30.担保提供種別ID1" numFmtId="0">
      <sharedItems containsString="0" containsBlank="1" containsNumber="1" containsInteger="1" minValue="671" maxValue="673"/>
    </cacheField>
    <cacheField name="31.担保提供種別1" numFmtId="0">
      <sharedItems containsBlank="1"/>
    </cacheField>
    <cacheField name="32.共同担保物件ID1" numFmtId="0">
      <sharedItems containsString="0" containsBlank="1" containsNumber="1" containsInteger="1" minValue="106" maxValue="109"/>
    </cacheField>
    <cacheField name="33.共同担保物件1" numFmtId="0">
      <sharedItems containsBlank="1"/>
    </cacheField>
    <cacheField name="34.担保提供種別ID2" numFmtId="0">
      <sharedItems containsString="0" containsBlank="1" containsNumber="1" containsInteger="1" minValue="671" maxValue="671"/>
    </cacheField>
    <cacheField name="35.担保提供種別2" numFmtId="0">
      <sharedItems containsBlank="1"/>
    </cacheField>
    <cacheField name="36.共同担保物件ID2" numFmtId="0">
      <sharedItems containsString="0" containsBlank="1" containsNumber="1" containsInteger="1" minValue="111" maxValue="111"/>
    </cacheField>
    <cacheField name="37.共同担保物件2" numFmtId="0">
      <sharedItems containsBlank="1"/>
    </cacheField>
    <cacheField name="38.アップフロント条件" numFmtId="0">
      <sharedItems containsNonDate="0" containsString="0" containsBlank="1"/>
    </cacheField>
    <cacheField name="39.解約ペナルティ条件" numFmtId="0">
      <sharedItems containsNonDate="0" containsString="0" containsBlank="1"/>
    </cacheField>
    <cacheField name="40.利息支払開始日" numFmtId="0">
      <sharedItems containsNonDate="0" containsDate="1" containsString="0" containsBlank="1" minDate="2013-02-15T00:00:00" maxDate="2031-10-01T00:00:00"/>
    </cacheField>
    <cacheField name="41.元金返済開始日" numFmtId="0">
      <sharedItems containsNonDate="0" containsDate="1" containsString="0" containsBlank="1" minDate="2013-02-15T00:00:00" maxDate="2031-10-01T00:00:00"/>
    </cacheField>
    <cacheField name="加重平均金利" numFmtId="0" formula=" ('23.利息月額'*12)/'25.残債'" databaseField="0"/>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50694443" createdVersion="8" refreshedVersion="8" minRefreshableVersion="3" recordCount="175" xr:uid="{5C1210DE-82BF-4589-A0B1-C160B40D3769}">
  <cacheSource type="worksheet">
    <worksheetSource ref="A1:AC487" sheet="5借入一覧"/>
  </cacheSource>
  <cacheFields count="30">
    <cacheField name="1.融資ID" numFmtId="0">
      <sharedItems containsString="0" containsBlank="1" containsNumber="1" containsInteger="1" minValue="801" maxValue="832"/>
    </cacheField>
    <cacheField name="2.状況" numFmtId="0">
      <sharedItems containsBlank="1"/>
    </cacheField>
    <cacheField name="3.金融機関ID" numFmtId="0">
      <sharedItems containsString="0" containsBlank="1" containsNumber="1" containsInteger="1" minValue="302" maxValue="512"/>
    </cacheField>
    <cacheField name="4.金融機関名" numFmtId="0">
      <sharedItems containsBlank="1"/>
    </cacheField>
    <cacheField name="5.支店名" numFmtId="0">
      <sharedItems containsBlank="1"/>
    </cacheField>
    <cacheField name="6.借入主体会社ID" numFmtId="0">
      <sharedItems containsString="0" containsBlank="1" containsNumber="1" containsInteger="1" minValue="301" maxValue="410"/>
    </cacheField>
    <cacheField name="7.借入主体" numFmtId="0">
      <sharedItems containsBlank="1"/>
    </cacheField>
    <cacheField name="8.使途ID" numFmtId="0">
      <sharedItems containsString="0" containsBlank="1" containsNumber="1" containsInteger="1" minValue="601" maxValue="608"/>
    </cacheField>
    <cacheField name="9.使途" numFmtId="0">
      <sharedItems containsBlank="1" count="9">
        <s v="不動産購入"/>
        <s v="運転資金"/>
        <s v="修繕資金"/>
        <s v="住宅ローン"/>
        <s v="他業借入"/>
        <s v="親族借入"/>
        <s v="その他(間接部門)"/>
        <s v="その他(賃貸部門)"/>
        <m/>
      </sharedItems>
      <fieldGroup par="29"/>
    </cacheField>
    <cacheField name="10.対象物件ID" numFmtId="0">
      <sharedItems containsString="0" containsBlank="1" containsNumber="1" containsInteger="1" minValue="101" maxValue="971"/>
    </cacheField>
    <cacheField name="11.対象物件" numFmtId="0">
      <sharedItems containsBlank="1" count="23">
        <s v="池袋ハウス"/>
        <s v="コアプラス池袋"/>
        <s v="目白アパート"/>
        <s v="東池袋ハイツ"/>
        <s v="西池袋駅前ビル"/>
        <s v="カーサ目白台ハウス"/>
        <s v="メゾン雑司ヶ谷"/>
        <s v="カーサ南池袋"/>
        <s v="仙台駅前コーポ"/>
        <s v="目白カーサ二番館"/>
        <s v="豊島目白ビル"/>
        <s v="第3目白ハイツ"/>
        <s v="レジデンス目白豊島"/>
        <s v="コアプラス大塚"/>
        <s v="コアプラスレジデンス梅田"/>
        <s v="高田馬場第4玉川ビル"/>
        <s v="あおばマンション"/>
        <s v="南池袋マンション"/>
        <s v="目白アパート1号2号_二棟一括"/>
        <s v="プラウD目白301号"/>
        <s v="対象物件なし(運転資金)"/>
        <s v="目白アパート1号館"/>
        <m/>
      </sharedItems>
    </cacheField>
    <cacheField name="12.担保物件ID" numFmtId="0">
      <sharedItems containsString="0" containsBlank="1" containsNumber="1" containsInteger="1" minValue="101" maxValue="971"/>
    </cacheField>
    <cacheField name="13.担保物件" numFmtId="0">
      <sharedItems containsBlank="1"/>
    </cacheField>
    <cacheField name="14.当初借入額" numFmtId="5">
      <sharedItems containsString="0" containsBlank="1" containsNumber="1" containsInteger="1" minValue="2000000" maxValue="550000000"/>
    </cacheField>
    <cacheField name="15.当初借入日" numFmtId="193">
      <sharedItems containsNonDate="0" containsDate="1" containsString="0" containsBlank="1" minDate="2013-02-15T00:00:00" maxDate="2021-10-01T00:00:00"/>
    </cacheField>
    <cacheField name="16.金利" numFmtId="0">
      <sharedItems containsString="0" containsBlank="1" containsNumber="1" minValue="0" maxValue="2.9636"/>
    </cacheField>
    <cacheField name="17.金利条件" numFmtId="0">
      <sharedItems containsBlank="1"/>
    </cacheField>
    <cacheField name="18.借入期間" numFmtId="202">
      <sharedItems containsString="0" containsBlank="1" containsNumber="1" containsInteger="1" minValue="5" maxValue="40"/>
    </cacheField>
    <cacheField name="19.返済ピッチ" numFmtId="0">
      <sharedItems containsString="0" containsBlank="1" containsNumber="1" containsInteger="1" minValue="5" maxValue="40"/>
    </cacheField>
    <cacheField name="20.返済方法" numFmtId="0">
      <sharedItems containsBlank="1"/>
    </cacheField>
    <cacheField name="21.残債時点" numFmtId="193">
      <sharedItems containsDate="1" containsBlank="1" containsMixedTypes="1" minDate="2022-06-06T00:00:00" maxDate="2022-10-01T00:00:00"/>
    </cacheField>
    <cacheField name="22.元金返済月額" numFmtId="182">
      <sharedItems containsString="0" containsBlank="1" containsNumber="1" containsInteger="1" minValue="0" maxValue="1209934"/>
    </cacheField>
    <cacheField name="23.利息月額" numFmtId="182">
      <sharedItems containsString="0" containsBlank="1" containsNumber="1" containsInteger="1" minValue="0" maxValue="674466"/>
    </cacheField>
    <cacheField name="24.支払月額" numFmtId="182">
      <sharedItems containsString="0" containsBlank="1" containsNumber="1" containsInteger="1" minValue="0" maxValue="1724718"/>
    </cacheField>
    <cacheField name="25.残債" numFmtId="182">
      <sharedItems containsString="0" containsBlank="1" containsNumber="1" containsInteger="1" minValue="2000000" maxValue="489470974"/>
    </cacheField>
    <cacheField name="26.残債当初比" numFmtId="9">
      <sharedItems containsString="0" containsBlank="1" containsNumber="1" minValue="0" maxValue="1"/>
    </cacheField>
    <cacheField name="27.融資残存年" numFmtId="0">
      <sharedItems containsString="0" containsBlank="1" containsNumber="1" containsInteger="1" minValue="0" maxValue="34"/>
    </cacheField>
    <cacheField name="28.保証会社" numFmtId="0">
      <sharedItems containsBlank="1"/>
    </cacheField>
    <cacheField name="29.融資メモ" numFmtId="0">
      <sharedItems containsBlank="1"/>
    </cacheField>
    <cacheField name="9.使途2" numFmtId="0" databaseField="0">
      <fieldGroup base="8">
        <discretePr count="9">
          <x v="0"/>
          <x v="1"/>
          <x v="0"/>
          <x v="1"/>
          <x v="1"/>
          <x v="1"/>
          <x v="1"/>
          <x v="0"/>
          <x v="1"/>
        </discretePr>
        <groupItems count="2">
          <s v="ｸﾞﾙｰﾌﾟ1"/>
          <s v="ｸﾞﾙｰﾌﾟ2"/>
        </groupItems>
      </fieldGroup>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50694443" createdVersion="8" refreshedVersion="8" minRefreshableVersion="3" recordCount="175" xr:uid="{89E23A72-7572-4F02-A0DB-7DBEF9CC801E}">
  <cacheSource type="worksheet">
    <worksheetSource ref="A1:AP479" sheet="5借入一覧"/>
  </cacheSource>
  <cacheFields count="42">
    <cacheField name="1.融資ID" numFmtId="0">
      <sharedItems containsString="0" containsBlank="1" containsNumber="1" containsInteger="1" minValue="801" maxValue="832"/>
    </cacheField>
    <cacheField name="2.状況" numFmtId="0">
      <sharedItems containsBlank="1"/>
    </cacheField>
    <cacheField name="3.金融機関ID" numFmtId="0">
      <sharedItems containsString="0" containsBlank="1" containsNumber="1" containsInteger="1" minValue="302" maxValue="512"/>
    </cacheField>
    <cacheField name="4.金融機関名" numFmtId="0">
      <sharedItems containsBlank="1"/>
    </cacheField>
    <cacheField name="5.支店名" numFmtId="0">
      <sharedItems containsBlank="1"/>
    </cacheField>
    <cacheField name="6.借入主体会社ID" numFmtId="0">
      <sharedItems containsString="0" containsBlank="1" containsNumber="1" containsInteger="1" minValue="301" maxValue="410"/>
    </cacheField>
    <cacheField name="7.借入主体" numFmtId="0">
      <sharedItems containsBlank="1" count="11">
        <s v="コアプラス名古屋株式会社"/>
        <s v="コアプラス大阪株式会社"/>
        <s v="コアプラス仙台株式会社"/>
        <s v="コアプラス札幌株式会社"/>
        <s v="コアプラス東京株式会社"/>
        <s v="コアプラス福岡株式会社"/>
        <s v="コアプラス四国株式会社"/>
        <s v="コアプラス沖縄株式会社"/>
        <s v="コアプラス京都株式会社"/>
        <s v="玉川陽介"/>
        <m/>
      </sharedItems>
    </cacheField>
    <cacheField name="8.使途ID" numFmtId="0">
      <sharedItems containsString="0" containsBlank="1" containsNumber="1" containsInteger="1" minValue="601" maxValue="608"/>
    </cacheField>
    <cacheField name="9.使途" numFmtId="0">
      <sharedItems containsBlank="1" count="9">
        <s v="不動産購入"/>
        <s v="運転資金"/>
        <s v="修繕資金"/>
        <s v="住宅ローン"/>
        <s v="他業借入"/>
        <s v="親族借入"/>
        <s v="その他(間接部門)"/>
        <s v="その他(賃貸部門)"/>
        <m/>
      </sharedItems>
    </cacheField>
    <cacheField name="10.対象物件ID" numFmtId="0">
      <sharedItems containsString="0" containsBlank="1" containsNumber="1" containsInteger="1" minValue="101" maxValue="971"/>
    </cacheField>
    <cacheField name="11.対象物件" numFmtId="0">
      <sharedItems containsBlank="1"/>
    </cacheField>
    <cacheField name="12.担保物件ID" numFmtId="0">
      <sharedItems containsString="0" containsBlank="1" containsNumber="1" containsInteger="1" minValue="101" maxValue="971"/>
    </cacheField>
    <cacheField name="13.担保物件" numFmtId="0">
      <sharedItems containsBlank="1"/>
    </cacheField>
    <cacheField name="14.当初借入額" numFmtId="5">
      <sharedItems containsString="0" containsBlank="1" containsNumber="1" containsInteger="1" minValue="2000000" maxValue="550000000"/>
    </cacheField>
    <cacheField name="15.当初借入日" numFmtId="193">
      <sharedItems containsNonDate="0" containsDate="1" containsString="0" containsBlank="1" minDate="2013-02-15T00:00:00" maxDate="2021-10-01T00:00:00"/>
    </cacheField>
    <cacheField name="16.金利" numFmtId="0">
      <sharedItems containsString="0" containsBlank="1" containsNumber="1" minValue="0" maxValue="2.9636"/>
    </cacheField>
    <cacheField name="17.金利条件" numFmtId="0">
      <sharedItems containsBlank="1"/>
    </cacheField>
    <cacheField name="18.借入期間" numFmtId="202">
      <sharedItems containsString="0" containsBlank="1" containsNumber="1" containsInteger="1" minValue="5" maxValue="40"/>
    </cacheField>
    <cacheField name="19.返済ピッチ" numFmtId="0">
      <sharedItems containsString="0" containsBlank="1" containsNumber="1" containsInteger="1" minValue="5" maxValue="40"/>
    </cacheField>
    <cacheField name="20.返済方法" numFmtId="0">
      <sharedItems containsBlank="1"/>
    </cacheField>
    <cacheField name="21.残債時点" numFmtId="193">
      <sharedItems containsDate="1" containsBlank="1" containsMixedTypes="1" minDate="2022-06-06T00:00:00" maxDate="2022-10-01T00:00:00"/>
    </cacheField>
    <cacheField name="22.元金返済月額" numFmtId="182">
      <sharedItems containsString="0" containsBlank="1" containsNumber="1" containsInteger="1" minValue="0" maxValue="1209934"/>
    </cacheField>
    <cacheField name="23.利息月額" numFmtId="182">
      <sharedItems containsString="0" containsBlank="1" containsNumber="1" containsInteger="1" minValue="0" maxValue="674466"/>
    </cacheField>
    <cacheField name="24.支払月額" numFmtId="182">
      <sharedItems containsString="0" containsBlank="1" containsNumber="1" containsInteger="1" minValue="0" maxValue="1724718"/>
    </cacheField>
    <cacheField name="25.残債" numFmtId="182">
      <sharedItems containsString="0" containsBlank="1" containsNumber="1" containsInteger="1" minValue="2000000" maxValue="489470974"/>
    </cacheField>
    <cacheField name="26.残債当初比" numFmtId="9">
      <sharedItems containsString="0" containsBlank="1" containsNumber="1" minValue="0" maxValue="1"/>
    </cacheField>
    <cacheField name="27.融資残存年" numFmtId="0">
      <sharedItems containsString="0" containsBlank="1" containsNumber="1" containsInteger="1" minValue="0" maxValue="34"/>
    </cacheField>
    <cacheField name="28.保証会社" numFmtId="0">
      <sharedItems containsBlank="1"/>
    </cacheField>
    <cacheField name="29.融資メモ" numFmtId="0">
      <sharedItems containsBlank="1"/>
    </cacheField>
    <cacheField name="→ここから先は印刷範囲外" numFmtId="0">
      <sharedItems containsNonDate="0" containsString="0" containsBlank="1"/>
    </cacheField>
    <cacheField name="30.担保提供種別ID1" numFmtId="0">
      <sharedItems containsString="0" containsBlank="1" containsNumber="1" containsInteger="1" minValue="671" maxValue="673"/>
    </cacheField>
    <cacheField name="31.担保提供種別1" numFmtId="0">
      <sharedItems containsBlank="1"/>
    </cacheField>
    <cacheField name="32.共同担保物件ID1" numFmtId="0">
      <sharedItems containsString="0" containsBlank="1" containsNumber="1" containsInteger="1" minValue="106" maxValue="109"/>
    </cacheField>
    <cacheField name="33.共同担保物件1" numFmtId="0">
      <sharedItems containsBlank="1"/>
    </cacheField>
    <cacheField name="34.担保提供種別ID2" numFmtId="0">
      <sharedItems containsString="0" containsBlank="1" containsNumber="1" containsInteger="1" minValue="671" maxValue="671"/>
    </cacheField>
    <cacheField name="35.担保提供種別2" numFmtId="0">
      <sharedItems containsBlank="1"/>
    </cacheField>
    <cacheField name="36.共同担保物件ID2" numFmtId="0">
      <sharedItems containsString="0" containsBlank="1" containsNumber="1" containsInteger="1" minValue="111" maxValue="111"/>
    </cacheField>
    <cacheField name="37.共同担保物件2" numFmtId="0">
      <sharedItems containsBlank="1"/>
    </cacheField>
    <cacheField name="38.アップフロント条件" numFmtId="0">
      <sharedItems containsNonDate="0" containsString="0" containsBlank="1"/>
    </cacheField>
    <cacheField name="39.解約ペナルティ条件" numFmtId="0">
      <sharedItems containsNonDate="0" containsString="0" containsBlank="1"/>
    </cacheField>
    <cacheField name="40.利息支払開始日" numFmtId="0">
      <sharedItems containsNonDate="0" containsDate="1" containsString="0" containsBlank="1" minDate="2013-02-15T00:00:00" maxDate="2031-10-01T00:00:00"/>
    </cacheField>
    <cacheField name="41.元金返済開始日" numFmtId="0">
      <sharedItems containsNonDate="0" containsDate="1" containsString="0" containsBlank="1" minDate="2013-02-15T00:00:00" maxDate="2031-10-01T00:00:00"/>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50810182" createdVersion="8" refreshedVersion="8" minRefreshableVersion="3" recordCount="365" xr:uid="{AEBE6432-218E-4FD8-B43B-63E625F3C06E}">
  <cacheSource type="worksheet">
    <worksheetSource ref="A3:AD2001" sheet="9賃料一覧"/>
  </cacheSource>
  <cacheFields count="30">
    <cacheField name="1.連番" numFmtId="0">
      <sharedItems containsString="0" containsBlank="1" containsNumber="1" containsInteger="1" minValue="1" maxValue="318"/>
    </cacheField>
    <cacheField name="2.物件ID" numFmtId="0">
      <sharedItems containsString="0" containsBlank="1" containsNumber="1" containsInteger="1" minValue="101" maxValue="222"/>
    </cacheField>
    <cacheField name="3.物件名" numFmtId="0">
      <sharedItems containsBlank="1" count="21">
        <s v="西池袋駅前ビル"/>
        <s v="池袋ハウス"/>
        <s v="カーサ目白台ハウス"/>
        <s v="コアプラス池袋"/>
        <s v="目白アパート"/>
        <s v="東池袋ハイツ"/>
        <s v="メゾン雑司ヶ谷"/>
        <s v="カーサ南池袋"/>
        <s v="目白カーサ二番館"/>
        <s v="豊島目白ビル"/>
        <s v="第3目白ハイツ"/>
        <s v="レジデンス目白豊島"/>
        <s v="コアプラス大塚"/>
        <s v="コアプラスレジデンス梅田"/>
        <s v="高田馬場第4玉川ビル"/>
        <s v="南池袋マンション"/>
        <s v="ビジネス新大阪123号"/>
        <s v="プラウD目白301号"/>
        <s v="目白アパート1号館"/>
        <s v="目白アパート2号館"/>
        <m/>
      </sharedItems>
    </cacheField>
    <cacheField name="4.区画名" numFmtId="0">
      <sharedItems containsBlank="1" containsMixedTypes="1" containsNumber="1" containsInteger="1" minValue="101" maxValue="101"/>
    </cacheField>
    <cacheField name="5.専有面積" numFmtId="0">
      <sharedItems containsBlank="1" containsMixedTypes="1" containsNumber="1" minValue="0" maxValue="491.32"/>
    </cacheField>
    <cacheField name="6.クラスID" numFmtId="0">
      <sharedItems containsString="0" containsBlank="1" containsNumber="1" containsInteger="1" minValue="631" maxValue="639"/>
    </cacheField>
    <cacheField name="7.クラス" numFmtId="0">
      <sharedItems containsBlank="1" count="9">
        <s v="住居"/>
        <s v="事務所"/>
        <s v="アンテナ"/>
        <s v="その他"/>
        <s v="駐車場"/>
        <s v="店舗"/>
        <s v="倉庫"/>
        <s v="自販機"/>
        <m/>
      </sharedItems>
    </cacheField>
    <cacheField name="8.間取り" numFmtId="0">
      <sharedItems containsBlank="1"/>
    </cacheField>
    <cacheField name="9.賃料" numFmtId="0">
      <sharedItems containsBlank="1" containsMixedTypes="1" containsNumber="1" containsInteger="1" minValue="0" maxValue="2300000"/>
    </cacheField>
    <cacheField name="10.共益費" numFmtId="0">
      <sharedItems containsBlank="1" containsMixedTypes="1" containsNumber="1" containsInteger="1" minValue="0" maxValue="10000"/>
    </cacheField>
    <cacheField name="11.その他" numFmtId="0">
      <sharedItems containsBlank="1" containsMixedTypes="1" containsNumber="1" containsInteger="1" minValue="0" maxValue="1852"/>
    </cacheField>
    <cacheField name="12.消費税" numFmtId="0">
      <sharedItems containsBlank="1" containsMixedTypes="1" containsNumber="1" containsInteger="1" minValue="0" maxValue="230000"/>
    </cacheField>
    <cacheField name="13.現況賃料税込(自動)" numFmtId="0">
      <sharedItems containsString="0" containsBlank="1" containsNumber="1" containsInteger="1" minValue="0" maxValue="2530000"/>
    </cacheField>
    <cacheField name="14.再募集賃料税抜" numFmtId="0">
      <sharedItems containsString="0" containsBlank="1" containsNumber="1" containsInteger="1" minValue="0" maxValue="2300000"/>
    </cacheField>
    <cacheField name="15.再募集賃料税" numFmtId="0">
      <sharedItems containsString="0" containsBlank="1" containsNumber="1" minValue="0" maxValue="230000"/>
    </cacheField>
    <cacheField name="16.再募集税込(自動)" numFmtId="0">
      <sharedItems containsString="0" containsBlank="1" containsNumber="1" minValue="0" maxValue="2530000"/>
    </cacheField>
    <cacheField name="17.満室想定税込(自動)" numFmtId="0">
      <sharedItems containsString="0" containsBlank="1" containsNumber="1" containsInteger="1" minValue="0" maxValue="2530000"/>
    </cacheField>
    <cacheField name="18.入居者国籍" numFmtId="0">
      <sharedItems containsBlank="1"/>
    </cacheField>
    <cacheField name="19.賃貸用" numFmtId="0">
      <sharedItems containsBlank="1" count="3">
        <s v="yes"/>
        <s v="no"/>
        <m/>
      </sharedItems>
    </cacheField>
    <cacheField name="20.メモ" numFmtId="0">
      <sharedItems containsBlank="1"/>
    </cacheField>
    <cacheField name="sepa1" numFmtId="0">
      <sharedItems containsNonDate="0" containsString="0" containsBlank="1"/>
    </cacheField>
    <cacheField name="31.区画ID" numFmtId="0">
      <sharedItems containsBlank="1"/>
    </cacheField>
    <cacheField name="32.購入時賃料税抜" numFmtId="0">
      <sharedItems containsString="0" containsBlank="1" containsNumber="1" containsInteger="1" minValue="0" maxValue="2500000"/>
    </cacheField>
    <cacheField name="sepa2" numFmtId="0">
      <sharedItems containsNonDate="0" containsString="0" containsBlank="1"/>
    </cacheField>
    <cacheField name="41.入居中判定" numFmtId="0">
      <sharedItems containsString="0" containsBlank="1" containsNumber="1" containsInteger="1" minValue="0" maxValue="1"/>
    </cacheField>
    <cacheField name="42.満室想定税抜(自動)" numFmtId="0">
      <sharedItems containsString="0" containsBlank="1" containsNumber="1" containsInteger="1" minValue="0" maxValue="2300000"/>
    </cacheField>
    <cacheField name="43.賃料増減余地(自動)" numFmtId="0">
      <sharedItems containsString="0" containsBlank="1" containsNumber="1" containsInteger="1" minValue="-32000" maxValue="32000"/>
    </cacheField>
    <cacheField name="44.購入後の賃料増加額税抜（自動）" numFmtId="0">
      <sharedItems containsString="0" containsBlank="1" containsNumber="1" containsInteger="1" minValue="-200000" maxValue="224074"/>
    </cacheField>
    <cacheField name="45.物理区画判定(自動)" numFmtId="0">
      <sharedItems containsString="0" containsBlank="1" containsNumber="1" containsInteger="1" minValue="0" maxValue="1"/>
    </cacheField>
    <cacheField name="46.論理区画判定(自動)" numFmtId="0">
      <sharedItems containsString="0" containsBlank="1" containsNumber="1" containsInteger="1" minValue="0" maxValue="1" count="3">
        <n v="1"/>
        <n v="0"/>
        <m/>
      </sharedItems>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50925928" createdVersion="8" refreshedVersion="8" minRefreshableVersion="3" recordCount="365" xr:uid="{C559CEC3-09A1-4A8B-840A-C23F48B85861}">
  <cacheSource type="worksheet">
    <worksheetSource ref="A3:AD2002" sheet="9賃料一覧"/>
  </cacheSource>
  <cacheFields count="30">
    <cacheField name="1.連番" numFmtId="0">
      <sharedItems containsString="0" containsBlank="1" containsNumber="1" containsInteger="1" minValue="1" maxValue="318"/>
    </cacheField>
    <cacheField name="2.物件ID" numFmtId="0">
      <sharedItems containsString="0" containsBlank="1" containsNumber="1" containsInteger="1" minValue="101" maxValue="222"/>
    </cacheField>
    <cacheField name="3.物件名" numFmtId="0">
      <sharedItems containsBlank="1" count="22">
        <s v="西池袋駅前ビル"/>
        <s v="池袋ハウス"/>
        <s v="カーサ目白台ハウス"/>
        <s v="コアプラス池袋"/>
        <s v="目白アパート"/>
        <s v="東池袋ハイツ"/>
        <s v="メゾン雑司ヶ谷"/>
        <s v="カーサ南池袋"/>
        <s v="目白カーサ二番館"/>
        <s v="豊島目白ビル"/>
        <s v="第3目白ハイツ"/>
        <s v="レジデンス目白豊島"/>
        <s v="コアプラス大塚"/>
        <s v="コアプラスレジデンス梅田"/>
        <s v="高田馬場第4玉川ビル"/>
        <s v="南池袋マンション"/>
        <s v="ビジネス新大阪123号"/>
        <s v="プラウD目白301号"/>
        <s v="目白アパート1号館"/>
        <s v="目白アパート2号館"/>
        <m/>
        <s v="プラウD目白301号室" u="1"/>
      </sharedItems>
    </cacheField>
    <cacheField name="4.区画名" numFmtId="0">
      <sharedItems containsBlank="1" containsMixedTypes="1" containsNumber="1" containsInteger="1" minValue="101" maxValue="101"/>
    </cacheField>
    <cacheField name="5.専有面積" numFmtId="0">
      <sharedItems containsBlank="1" containsMixedTypes="1" containsNumber="1" minValue="0" maxValue="491.32"/>
    </cacheField>
    <cacheField name="6.クラスID" numFmtId="0">
      <sharedItems containsString="0" containsBlank="1" containsNumber="1" containsInteger="1" minValue="631" maxValue="639"/>
    </cacheField>
    <cacheField name="7.クラス" numFmtId="0">
      <sharedItems containsBlank="1" count="9">
        <s v="住居"/>
        <s v="事務所"/>
        <s v="アンテナ"/>
        <s v="その他"/>
        <s v="駐車場"/>
        <s v="店舗"/>
        <s v="倉庫"/>
        <s v="自販機"/>
        <m/>
      </sharedItems>
    </cacheField>
    <cacheField name="8.間取り" numFmtId="0">
      <sharedItems containsBlank="1"/>
    </cacheField>
    <cacheField name="9.賃料" numFmtId="0">
      <sharedItems containsBlank="1" containsMixedTypes="1" containsNumber="1" containsInteger="1" minValue="0" maxValue="2300000"/>
    </cacheField>
    <cacheField name="10.共益費" numFmtId="0">
      <sharedItems containsBlank="1" containsMixedTypes="1" containsNumber="1" containsInteger="1" minValue="0" maxValue="10000"/>
    </cacheField>
    <cacheField name="11.その他" numFmtId="0">
      <sharedItems containsBlank="1" containsMixedTypes="1" containsNumber="1" containsInteger="1" minValue="0" maxValue="1852"/>
    </cacheField>
    <cacheField name="12.消費税" numFmtId="0">
      <sharedItems containsBlank="1" containsMixedTypes="1" containsNumber="1" containsInteger="1" minValue="0" maxValue="230000"/>
    </cacheField>
    <cacheField name="13.現況賃料税込(自動)" numFmtId="0">
      <sharedItems containsString="0" containsBlank="1" containsNumber="1" containsInteger="1" minValue="0" maxValue="2530000"/>
    </cacheField>
    <cacheField name="14.再募集賃料税抜" numFmtId="0">
      <sharedItems containsString="0" containsBlank="1" containsNumber="1" containsInteger="1" minValue="0" maxValue="2300000"/>
    </cacheField>
    <cacheField name="15.再募集賃料税" numFmtId="0">
      <sharedItems containsString="0" containsBlank="1" containsNumber="1" minValue="0" maxValue="230000"/>
    </cacheField>
    <cacheField name="16.再募集税込(自動)" numFmtId="0">
      <sharedItems containsString="0" containsBlank="1" containsNumber="1" minValue="0" maxValue="2530000"/>
    </cacheField>
    <cacheField name="17.満室想定税込(自動)" numFmtId="0">
      <sharedItems containsString="0" containsBlank="1" containsNumber="1" containsInteger="1" minValue="0" maxValue="2530000"/>
    </cacheField>
    <cacheField name="18.入居者国籍" numFmtId="0">
      <sharedItems containsBlank="1"/>
    </cacheField>
    <cacheField name="19.賃貸用" numFmtId="0">
      <sharedItems containsBlank="1"/>
    </cacheField>
    <cacheField name="20.メモ" numFmtId="0">
      <sharedItems containsBlank="1"/>
    </cacheField>
    <cacheField name="sepa1" numFmtId="0">
      <sharedItems containsNonDate="0" containsString="0" containsBlank="1"/>
    </cacheField>
    <cacheField name="31.区画ID" numFmtId="0">
      <sharedItems containsBlank="1"/>
    </cacheField>
    <cacheField name="32.購入時賃料税抜" numFmtId="0">
      <sharedItems containsString="0" containsBlank="1" containsNumber="1" containsInteger="1" minValue="0" maxValue="2500000"/>
    </cacheField>
    <cacheField name="sepa2" numFmtId="0">
      <sharedItems containsNonDate="0" containsString="0" containsBlank="1"/>
    </cacheField>
    <cacheField name="41.入居中判定" numFmtId="0">
      <sharedItems containsString="0" containsBlank="1" containsNumber="1" containsInteger="1" minValue="0" maxValue="1"/>
    </cacheField>
    <cacheField name="42.満室想定税抜(自動)" numFmtId="0">
      <sharedItems containsString="0" containsBlank="1" containsNumber="1" containsInteger="1" minValue="0" maxValue="2300000"/>
    </cacheField>
    <cacheField name="43.賃料増減余地(自動)" numFmtId="0">
      <sharedItems containsString="0" containsBlank="1" containsNumber="1" containsInteger="1" minValue="-32000" maxValue="32000"/>
    </cacheField>
    <cacheField name="44.購入後の賃料増加額税抜（自動）" numFmtId="0">
      <sharedItems containsString="0" containsBlank="1" containsNumber="1" containsInteger="1" minValue="-200000" maxValue="224074"/>
    </cacheField>
    <cacheField name="45.物理区画判定(自動)" numFmtId="0">
      <sharedItems containsString="0" containsBlank="1" containsNumber="1" containsInteger="1" minValue="0" maxValue="1"/>
    </cacheField>
    <cacheField name="46.論理区画判定(自動)" numFmtId="0">
      <sharedItems containsString="0" containsBlank="1" containsNumber="1" containsInteger="1" minValue="0" maxValue="1" count="3">
        <n v="1"/>
        <n v="0"/>
        <m/>
      </sharedItems>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51041666" createdVersion="8" refreshedVersion="8" minRefreshableVersion="3" recordCount="365" xr:uid="{BCB5F20F-C3C9-4E2B-88E4-5B7ED229AEFE}">
  <cacheSource type="worksheet">
    <worksheetSource ref="A3:AD2003" sheet="9賃料一覧"/>
  </cacheSource>
  <cacheFields count="30">
    <cacheField name="1.連番" numFmtId="0">
      <sharedItems containsString="0" containsBlank="1" containsNumber="1" containsInteger="1" minValue="1" maxValue="318"/>
    </cacheField>
    <cacheField name="2.物件ID" numFmtId="0">
      <sharedItems containsString="0" containsBlank="1" containsNumber="1" containsInteger="1" minValue="101" maxValue="222"/>
    </cacheField>
    <cacheField name="3.物件名" numFmtId="0">
      <sharedItems containsBlank="1"/>
    </cacheField>
    <cacheField name="4.区画名" numFmtId="0">
      <sharedItems containsBlank="1" containsMixedTypes="1" containsNumber="1" containsInteger="1" minValue="101" maxValue="101"/>
    </cacheField>
    <cacheField name="5.専有面積" numFmtId="0">
      <sharedItems containsBlank="1" containsMixedTypes="1" containsNumber="1" minValue="0" maxValue="491.32"/>
    </cacheField>
    <cacheField name="6.クラスID" numFmtId="0">
      <sharedItems containsString="0" containsBlank="1" containsNumber="1" containsInteger="1" minValue="631" maxValue="639"/>
    </cacheField>
    <cacheField name="7.クラス" numFmtId="0">
      <sharedItems containsBlank="1" count="9">
        <s v="住居"/>
        <s v="事務所"/>
        <s v="アンテナ"/>
        <s v="その他"/>
        <s v="駐車場"/>
        <s v="店舗"/>
        <s v="倉庫"/>
        <s v="自販機"/>
        <m/>
      </sharedItems>
    </cacheField>
    <cacheField name="8.間取り" numFmtId="0">
      <sharedItems containsBlank="1"/>
    </cacheField>
    <cacheField name="9.賃料" numFmtId="0">
      <sharedItems containsBlank="1" containsMixedTypes="1" containsNumber="1" containsInteger="1" minValue="0" maxValue="2300000"/>
    </cacheField>
    <cacheField name="10.共益費" numFmtId="0">
      <sharedItems containsBlank="1" containsMixedTypes="1" containsNumber="1" containsInteger="1" minValue="0" maxValue="10000"/>
    </cacheField>
    <cacheField name="11.その他" numFmtId="0">
      <sharedItems containsBlank="1" containsMixedTypes="1" containsNumber="1" containsInteger="1" minValue="0" maxValue="1852"/>
    </cacheField>
    <cacheField name="12.消費税" numFmtId="0">
      <sharedItems containsBlank="1" containsMixedTypes="1" containsNumber="1" containsInteger="1" minValue="0" maxValue="230000"/>
    </cacheField>
    <cacheField name="13.現況賃料税込(自動)" numFmtId="0">
      <sharedItems containsString="0" containsBlank="1" containsNumber="1" containsInteger="1" minValue="0" maxValue="2530000"/>
    </cacheField>
    <cacheField name="14.再募集賃料税抜" numFmtId="0">
      <sharedItems containsString="0" containsBlank="1" containsNumber="1" containsInteger="1" minValue="0" maxValue="2300000"/>
    </cacheField>
    <cacheField name="15.再募集賃料税" numFmtId="0">
      <sharedItems containsString="0" containsBlank="1" containsNumber="1" minValue="0" maxValue="230000"/>
    </cacheField>
    <cacheField name="16.再募集税込(自動)" numFmtId="0">
      <sharedItems containsString="0" containsBlank="1" containsNumber="1" minValue="0" maxValue="2530000"/>
    </cacheField>
    <cacheField name="17.満室想定税込(自動)" numFmtId="0">
      <sharedItems containsString="0" containsBlank="1" containsNumber="1" containsInteger="1" minValue="0" maxValue="2530000"/>
    </cacheField>
    <cacheField name="18.入居者国籍" numFmtId="0">
      <sharedItems containsBlank="1"/>
    </cacheField>
    <cacheField name="19.賃貸用" numFmtId="0">
      <sharedItems containsBlank="1" count="3">
        <s v="yes"/>
        <s v="no"/>
        <m/>
      </sharedItems>
    </cacheField>
    <cacheField name="20.メモ" numFmtId="0">
      <sharedItems containsBlank="1"/>
    </cacheField>
    <cacheField name="sepa1" numFmtId="0">
      <sharedItems containsNonDate="0" containsString="0" containsBlank="1"/>
    </cacheField>
    <cacheField name="31.区画ID" numFmtId="0">
      <sharedItems containsBlank="1"/>
    </cacheField>
    <cacheField name="32.購入時賃料税抜" numFmtId="0">
      <sharedItems containsString="0" containsBlank="1" containsNumber="1" containsInteger="1" minValue="0" maxValue="2500000"/>
    </cacheField>
    <cacheField name="sepa2" numFmtId="0">
      <sharedItems containsNonDate="0" containsString="0" containsBlank="1"/>
    </cacheField>
    <cacheField name="41.入居中判定" numFmtId="0">
      <sharedItems containsString="0" containsBlank="1" containsNumber="1" containsInteger="1" minValue="0" maxValue="1"/>
    </cacheField>
    <cacheField name="42.満室想定税抜(自動)" numFmtId="0">
      <sharedItems containsString="0" containsBlank="1" containsNumber="1" containsInteger="1" minValue="0" maxValue="2300000"/>
    </cacheField>
    <cacheField name="43.賃料増減余地(自動)" numFmtId="0">
      <sharedItems containsString="0" containsBlank="1" containsNumber="1" containsInteger="1" minValue="-32000" maxValue="32000"/>
    </cacheField>
    <cacheField name="44.購入後の賃料増加額税抜（自動）" numFmtId="0">
      <sharedItems containsString="0" containsBlank="1" containsNumber="1" containsInteger="1" minValue="-200000" maxValue="224074"/>
    </cacheField>
    <cacheField name="45.物理区画判定(自動)" numFmtId="0">
      <sharedItems containsString="0" containsBlank="1" containsNumber="1" containsInteger="1" minValue="0" maxValue="1"/>
    </cacheField>
    <cacheField name="46.論理区画判定(自動)" numFmtId="0">
      <sharedItems containsString="0" containsBlank="1" containsNumber="1" containsInteger="1" minValue="0" maxValue="1" count="3">
        <n v="1"/>
        <n v="0"/>
        <m/>
      </sharedItems>
    </cacheField>
  </cacheFields>
  <extLst>
    <ext xmlns:x14="http://schemas.microsoft.com/office/spreadsheetml/2009/9/main" uri="{725AE2AE-9491-48be-B2B4-4EB974FC3084}">
      <x14:pivotCacheDefinitio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51041666" createdVersion="8" refreshedVersion="8" minRefreshableVersion="3" recordCount="365" xr:uid="{4A985C52-F628-4B5F-BA70-2D8A22419FB0}">
  <cacheSource type="worksheet">
    <worksheetSource ref="A3:AD2004" sheet="9賃料一覧"/>
  </cacheSource>
  <cacheFields count="30">
    <cacheField name="1.連番" numFmtId="0">
      <sharedItems containsString="0" containsBlank="1" containsNumber="1" containsInteger="1" minValue="1" maxValue="318" count="31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m/>
      </sharedItems>
    </cacheField>
    <cacheField name="2.物件ID" numFmtId="0">
      <sharedItems containsString="0" containsBlank="1" containsNumber="1" containsInteger="1" minValue="101" maxValue="222"/>
    </cacheField>
    <cacheField name="3.物件名" numFmtId="0">
      <sharedItems containsBlank="1" count="21">
        <s v="西池袋駅前ビル"/>
        <s v="池袋ハウス"/>
        <s v="カーサ目白台ハウス"/>
        <s v="コアプラス池袋"/>
        <s v="目白アパート"/>
        <s v="東池袋ハイツ"/>
        <s v="メゾン雑司ヶ谷"/>
        <s v="カーサ南池袋"/>
        <s v="目白カーサ二番館"/>
        <s v="豊島目白ビル"/>
        <s v="第3目白ハイツ"/>
        <s v="レジデンス目白豊島"/>
        <s v="コアプラス大塚"/>
        <s v="コアプラスレジデンス梅田"/>
        <s v="高田馬場第4玉川ビル"/>
        <s v="南池袋マンション"/>
        <s v="ビジネス新大阪123号"/>
        <s v="プラウD目白301号"/>
        <s v="目白アパート1号館"/>
        <s v="目白アパート2号館"/>
        <m/>
      </sharedItems>
    </cacheField>
    <cacheField name="4.区画名" numFmtId="0">
      <sharedItems containsBlank="1" containsMixedTypes="1" containsNumber="1" containsInteger="1" minValue="101" maxValue="101"/>
    </cacheField>
    <cacheField name="5.専有面積" numFmtId="0">
      <sharedItems containsBlank="1" containsMixedTypes="1" containsNumber="1" minValue="0" maxValue="491.32"/>
    </cacheField>
    <cacheField name="6.クラスID" numFmtId="0">
      <sharedItems containsString="0" containsBlank="1" containsNumber="1" containsInteger="1" minValue="631" maxValue="639"/>
    </cacheField>
    <cacheField name="7.クラス" numFmtId="0">
      <sharedItems containsBlank="1" count="9">
        <s v="住居"/>
        <s v="事務所"/>
        <s v="アンテナ"/>
        <s v="その他"/>
        <s v="駐車場"/>
        <s v="店舗"/>
        <s v="倉庫"/>
        <s v="自販機"/>
        <m/>
      </sharedItems>
    </cacheField>
    <cacheField name="8.間取り" numFmtId="0">
      <sharedItems containsBlank="1"/>
    </cacheField>
    <cacheField name="9.賃料" numFmtId="0">
      <sharedItems containsBlank="1" containsMixedTypes="1" containsNumber="1" containsInteger="1" minValue="0" maxValue="2300000"/>
    </cacheField>
    <cacheField name="10.共益費" numFmtId="0">
      <sharedItems containsBlank="1" containsMixedTypes="1" containsNumber="1" containsInteger="1" minValue="0" maxValue="10000"/>
    </cacheField>
    <cacheField name="11.その他" numFmtId="0">
      <sharedItems containsBlank="1" containsMixedTypes="1" containsNumber="1" containsInteger="1" minValue="0" maxValue="1852"/>
    </cacheField>
    <cacheField name="12.消費税" numFmtId="0">
      <sharedItems containsBlank="1" containsMixedTypes="1" containsNumber="1" containsInteger="1" minValue="0" maxValue="230000"/>
    </cacheField>
    <cacheField name="13.現況賃料税込(自動)" numFmtId="0">
      <sharedItems containsString="0" containsBlank="1" containsNumber="1" containsInteger="1" minValue="0" maxValue="2530000"/>
    </cacheField>
    <cacheField name="14.再募集賃料税抜" numFmtId="0">
      <sharedItems containsString="0" containsBlank="1" containsNumber="1" containsInteger="1" minValue="0" maxValue="2300000"/>
    </cacheField>
    <cacheField name="15.再募集賃料税" numFmtId="0">
      <sharedItems containsString="0" containsBlank="1" containsNumber="1" minValue="0" maxValue="230000"/>
    </cacheField>
    <cacheField name="16.再募集税込(自動)" numFmtId="0">
      <sharedItems containsString="0" containsBlank="1" containsNumber="1" minValue="0" maxValue="2530000"/>
    </cacheField>
    <cacheField name="17.満室想定税込(自動)" numFmtId="0">
      <sharedItems containsString="0" containsBlank="1" containsNumber="1" containsInteger="1" minValue="0" maxValue="2530000"/>
    </cacheField>
    <cacheField name="18.入居者国籍" numFmtId="0">
      <sharedItems containsBlank="1"/>
    </cacheField>
    <cacheField name="19.賃貸用" numFmtId="0">
      <sharedItems containsBlank="1" count="3">
        <s v="yes"/>
        <s v="no"/>
        <m/>
      </sharedItems>
    </cacheField>
    <cacheField name="20.メモ" numFmtId="0">
      <sharedItems containsBlank="1"/>
    </cacheField>
    <cacheField name="sepa1" numFmtId="0">
      <sharedItems containsNonDate="0" containsString="0" containsBlank="1"/>
    </cacheField>
    <cacheField name="31.区画ID" numFmtId="0">
      <sharedItems containsBlank="1"/>
    </cacheField>
    <cacheField name="32.購入時賃料税抜" numFmtId="0">
      <sharedItems containsString="0" containsBlank="1" containsNumber="1" containsInteger="1" minValue="0" maxValue="2500000"/>
    </cacheField>
    <cacheField name="sepa2" numFmtId="0">
      <sharedItems containsNonDate="0" containsString="0" containsBlank="1"/>
    </cacheField>
    <cacheField name="41.入居中判定" numFmtId="0">
      <sharedItems containsString="0" containsBlank="1" containsNumber="1" containsInteger="1" minValue="0" maxValue="1"/>
    </cacheField>
    <cacheField name="42.満室想定税抜(自動)" numFmtId="0">
      <sharedItems containsString="0" containsBlank="1" containsNumber="1" containsInteger="1" minValue="0" maxValue="2300000"/>
    </cacheField>
    <cacheField name="43.賃料増減余地(自動)" numFmtId="0">
      <sharedItems containsString="0" containsBlank="1" containsNumber="1" containsInteger="1" minValue="-32000" maxValue="32000"/>
    </cacheField>
    <cacheField name="44.購入後の賃料増加額税抜（自動）" numFmtId="0">
      <sharedItems containsString="0" containsBlank="1" containsNumber="1" containsInteger="1" minValue="-200000" maxValue="224074"/>
    </cacheField>
    <cacheField name="45.物理区画判定(自動)" numFmtId="0">
      <sharedItems containsString="0" containsBlank="1" containsNumber="1" containsInteger="1" minValue="0" maxValue="1"/>
    </cacheField>
    <cacheField name="46.論理区画判定(自動)" numFmtId="0">
      <sharedItems containsString="0" containsBlank="1" containsNumber="1" containsInteger="1" minValue="0" maxValue="1" count="3">
        <n v="1"/>
        <n v="0"/>
        <m/>
      </sharedItems>
    </cacheField>
  </cacheFields>
  <extLst>
    <ext xmlns:x14="http://schemas.microsoft.com/office/spreadsheetml/2009/9/main" uri="{725AE2AE-9491-48be-B2B4-4EB974FC3084}">
      <x14:pivotCacheDefinitio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51157405" createdVersion="8" refreshedVersion="8" minRefreshableVersion="3" recordCount="365" xr:uid="{ADC11B0E-D87C-4016-8D9B-CC78F3C1B075}">
  <cacheSource type="worksheet">
    <worksheetSource ref="A3:AD2005" sheet="9賃料一覧"/>
  </cacheSource>
  <cacheFields count="30">
    <cacheField name="1.連番" numFmtId="0">
      <sharedItems containsString="0" containsBlank="1" containsNumber="1" containsInteger="1" minValue="1" maxValue="318"/>
    </cacheField>
    <cacheField name="2.物件ID" numFmtId="0">
      <sharedItems containsString="0" containsBlank="1" containsNumber="1" containsInteger="1" minValue="101" maxValue="222"/>
    </cacheField>
    <cacheField name="3.物件名" numFmtId="0">
      <sharedItems containsBlank="1"/>
    </cacheField>
    <cacheField name="4.区画名" numFmtId="0">
      <sharedItems containsBlank="1" containsMixedTypes="1" containsNumber="1" containsInteger="1" minValue="101" maxValue="101"/>
    </cacheField>
    <cacheField name="5.専有面積" numFmtId="0">
      <sharedItems containsBlank="1" containsMixedTypes="1" containsNumber="1" minValue="0" maxValue="491.32"/>
    </cacheField>
    <cacheField name="6.クラスID" numFmtId="0">
      <sharedItems containsString="0" containsBlank="1" containsNumber="1" containsInteger="1" minValue="631" maxValue="639"/>
    </cacheField>
    <cacheField name="7.クラス" numFmtId="0">
      <sharedItems containsBlank="1" count="9">
        <s v="住居"/>
        <s v="事務所"/>
        <s v="アンテナ"/>
        <s v="その他"/>
        <s v="駐車場"/>
        <s v="店舗"/>
        <s v="倉庫"/>
        <s v="自販機"/>
        <m/>
      </sharedItems>
    </cacheField>
    <cacheField name="8.間取り" numFmtId="0">
      <sharedItems containsBlank="1"/>
    </cacheField>
    <cacheField name="9.賃料" numFmtId="0">
      <sharedItems containsBlank="1" containsMixedTypes="1" containsNumber="1" containsInteger="1" minValue="0" maxValue="2300000"/>
    </cacheField>
    <cacheField name="10.共益費" numFmtId="0">
      <sharedItems containsBlank="1" containsMixedTypes="1" containsNumber="1" containsInteger="1" minValue="0" maxValue="10000"/>
    </cacheField>
    <cacheField name="11.その他" numFmtId="0">
      <sharedItems containsBlank="1" containsMixedTypes="1" containsNumber="1" containsInteger="1" minValue="0" maxValue="1852"/>
    </cacheField>
    <cacheField name="12.消費税" numFmtId="0">
      <sharedItems containsBlank="1" containsMixedTypes="1" containsNumber="1" containsInteger="1" minValue="0" maxValue="230000"/>
    </cacheField>
    <cacheField name="13.現況賃料税込(自動)" numFmtId="0">
      <sharedItems containsString="0" containsBlank="1" containsNumber="1" containsInteger="1" minValue="0" maxValue="2530000"/>
    </cacheField>
    <cacheField name="14.再募集賃料税抜" numFmtId="0">
      <sharedItems containsString="0" containsBlank="1" containsNumber="1" containsInteger="1" minValue="0" maxValue="2300000"/>
    </cacheField>
    <cacheField name="15.再募集賃料税" numFmtId="0">
      <sharedItems containsString="0" containsBlank="1" containsNumber="1" minValue="0" maxValue="230000"/>
    </cacheField>
    <cacheField name="16.再募集税込(自動)" numFmtId="0">
      <sharedItems containsString="0" containsBlank="1" containsNumber="1" minValue="0" maxValue="2530000"/>
    </cacheField>
    <cacheField name="17.満室想定税込(自動)" numFmtId="0">
      <sharedItems containsString="0" containsBlank="1" containsNumber="1" containsInteger="1" minValue="0" maxValue="2530000" count="124">
        <n v="65000"/>
        <n v="69800"/>
        <n v="63000"/>
        <n v="67000"/>
        <n v="59000"/>
        <n v="66000"/>
        <n v="62000"/>
        <n v="70000"/>
        <n v="60000"/>
        <n v="69000"/>
        <n v="64000"/>
        <n v="72000"/>
        <n v="302500"/>
        <n v="99000"/>
        <n v="0"/>
        <n v="80000"/>
        <n v="77000"/>
        <n v="79000"/>
        <n v="85000"/>
        <n v="75000"/>
        <n v="68000"/>
        <n v="82000"/>
        <n v="89000"/>
        <n v="92000"/>
        <n v="74000"/>
        <n v="104000"/>
        <n v="162000"/>
        <n v="117000"/>
        <n v="169000"/>
        <n v="36000"/>
        <n v="173148"/>
        <n v="189444"/>
        <n v="187000"/>
        <n v="198000"/>
        <n v="165000"/>
        <n v="94286"/>
        <n v="218000"/>
        <n v="208000"/>
        <n v="220000"/>
        <n v="140000"/>
        <n v="305800"/>
        <n v="44000"/>
        <n v="38500"/>
        <n v="169400"/>
        <n v="132000"/>
        <n v="73000"/>
        <n v="88000"/>
        <n v="139000"/>
        <n v="103204"/>
        <n v="108000"/>
        <n v="105000"/>
        <n v="99204"/>
        <n v="101018"/>
        <n v="110000"/>
        <n v="100000"/>
        <n v="125000"/>
        <n v="101223"/>
        <n v="96408"/>
        <n v="90000"/>
        <n v="129000"/>
        <n v="135000"/>
        <n v="115000"/>
        <n v="95000"/>
        <n v="100204"/>
        <n v="117037"/>
        <n v="13200"/>
        <n v="22324"/>
        <n v="126000"/>
        <n v="167000"/>
        <n v="150000"/>
        <n v="134000"/>
        <n v="170000"/>
        <n v="152000"/>
        <n v="145000"/>
        <n v="160000"/>
        <n v="155000"/>
        <n v="180000"/>
        <n v="71000"/>
        <n v="55000"/>
        <n v="54000"/>
        <n v="61000"/>
        <n v="58000"/>
        <n v="58700"/>
        <n v="1100000"/>
        <n v="50000"/>
        <n v="83000"/>
        <n v="106000"/>
        <n v="185000"/>
        <n v="27000"/>
        <n v="58813"/>
        <n v="14098"/>
        <n v="17600"/>
        <n v="1758634"/>
        <n v="91000"/>
        <n v="91740"/>
        <n v="22000"/>
        <n v="11000"/>
        <n v="5500"/>
        <n v="2530000"/>
        <n v="118000"/>
        <n v="120000"/>
        <n v="130000"/>
        <n v="123000"/>
        <n v="121000"/>
        <n v="131000"/>
        <n v="53000"/>
        <n v="94600"/>
        <n v="264815"/>
        <n v="128000"/>
        <n v="133000"/>
        <n v="137000"/>
        <n v="192093"/>
        <n v="356481"/>
        <n v="122000"/>
        <n v="158000"/>
        <n v="148000"/>
        <n v="175000"/>
        <n v="413600"/>
        <n v="190000"/>
        <n v="14300"/>
        <n v="35000"/>
        <n v="295000"/>
        <n v="330000"/>
        <m/>
      </sharedItems>
      <fieldGroup base="16">
        <rangePr autoStart="0" autoEnd="0" startNum="0" endNum="200000" groupInterval="10000"/>
        <groupItems count="22">
          <s v="&lt;0 または (空白)"/>
          <s v="0-9999"/>
          <s v="10000-19999"/>
          <s v="20000-29999"/>
          <s v="30000-39999"/>
          <s v="40000-49999"/>
          <s v="50000-59999"/>
          <s v="60000-69999"/>
          <s v="70000-79999"/>
          <s v="80000-89999"/>
          <s v="90000-99999"/>
          <s v="100000-109999"/>
          <s v="110000-119999"/>
          <s v="120000-129999"/>
          <s v="130000-139999"/>
          <s v="140000-149999"/>
          <s v="150000-159999"/>
          <s v="160000-169999"/>
          <s v="170000-179999"/>
          <s v="180000-189999"/>
          <s v="190000-200000"/>
          <s v="&gt;200000"/>
        </groupItems>
      </fieldGroup>
    </cacheField>
    <cacheField name="18.入居者国籍" numFmtId="0">
      <sharedItems containsBlank="1"/>
    </cacheField>
    <cacheField name="19.賃貸用" numFmtId="0">
      <sharedItems containsBlank="1" count="3">
        <s v="yes"/>
        <s v="no"/>
        <m/>
      </sharedItems>
    </cacheField>
    <cacheField name="20.メモ" numFmtId="0">
      <sharedItems containsBlank="1"/>
    </cacheField>
    <cacheField name="sepa1" numFmtId="0">
      <sharedItems containsNonDate="0" containsString="0" containsBlank="1"/>
    </cacheField>
    <cacheField name="31.区画ID" numFmtId="0">
      <sharedItems containsBlank="1"/>
    </cacheField>
    <cacheField name="32.購入時賃料税抜" numFmtId="0">
      <sharedItems containsString="0" containsBlank="1" containsNumber="1" containsInteger="1" minValue="0" maxValue="2500000"/>
    </cacheField>
    <cacheField name="sepa2" numFmtId="0">
      <sharedItems containsNonDate="0" containsString="0" containsBlank="1"/>
    </cacheField>
    <cacheField name="41.入居中判定" numFmtId="0">
      <sharedItems containsString="0" containsBlank="1" containsNumber="1" containsInteger="1" minValue="0" maxValue="1"/>
    </cacheField>
    <cacheField name="42.満室想定税抜(自動)" numFmtId="0">
      <sharedItems containsString="0" containsBlank="1" containsNumber="1" containsInteger="1" minValue="0" maxValue="2300000"/>
    </cacheField>
    <cacheField name="43.賃料増減余地(自動)" numFmtId="0">
      <sharedItems containsString="0" containsBlank="1" containsNumber="1" containsInteger="1" minValue="-32000" maxValue="32000"/>
    </cacheField>
    <cacheField name="44.購入後の賃料増加額税抜（自動）" numFmtId="0">
      <sharedItems containsString="0" containsBlank="1" containsNumber="1" containsInteger="1" minValue="-200000" maxValue="224074"/>
    </cacheField>
    <cacheField name="45.物理区画判定(自動)" numFmtId="0">
      <sharedItems containsString="0" containsBlank="1" containsNumber="1" containsInteger="1" minValue="0" maxValue="1"/>
    </cacheField>
    <cacheField name="46.論理区画判定(自動)" numFmtId="0">
      <sharedItems containsString="0" containsBlank="1" containsNumber="1" containsInteger="1" minValue="0" maxValue="1" count="3">
        <n v="1"/>
        <n v="0"/>
        <m/>
      </sharedItems>
    </cacheField>
  </cacheFields>
  <extLst>
    <ext xmlns:x14="http://schemas.microsoft.com/office/spreadsheetml/2009/9/main" uri="{725AE2AE-9491-48be-B2B4-4EB974FC3084}">
      <x14:pivotCacheDefinition/>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51273151" createdVersion="8" refreshedVersion="8" minRefreshableVersion="3" recordCount="175" xr:uid="{CB3DA061-F6CB-43C9-BF0C-4458781862B2}">
  <cacheSource type="worksheet">
    <worksheetSource ref="A1:AP481" sheet="5借入一覧"/>
  </cacheSource>
  <cacheFields count="43">
    <cacheField name="1.融資ID" numFmtId="0">
      <sharedItems containsString="0" containsBlank="1" containsNumber="1" containsInteger="1" minValue="801" maxValue="832"/>
    </cacheField>
    <cacheField name="2.状況" numFmtId="0">
      <sharedItems containsBlank="1"/>
    </cacheField>
    <cacheField name="3.金融機関ID" numFmtId="0">
      <sharedItems containsString="0" containsBlank="1" containsNumber="1" containsInteger="1" minValue="302" maxValue="512"/>
    </cacheField>
    <cacheField name="4.金融機関名" numFmtId="0">
      <sharedItems containsBlank="1"/>
    </cacheField>
    <cacheField name="5.支店名" numFmtId="0">
      <sharedItems containsBlank="1"/>
    </cacheField>
    <cacheField name="6.借入主体会社ID" numFmtId="0">
      <sharedItems containsString="0" containsBlank="1" containsNumber="1" containsInteger="1" minValue="301" maxValue="410"/>
    </cacheField>
    <cacheField name="7.借入主体" numFmtId="0">
      <sharedItems containsBlank="1" count="11">
        <s v="コアプラス名古屋株式会社"/>
        <s v="コアプラス大阪株式会社"/>
        <s v="コアプラス仙台株式会社"/>
        <s v="コアプラス札幌株式会社"/>
        <s v="コアプラス東京株式会社"/>
        <s v="コアプラス福岡株式会社"/>
        <s v="コアプラス四国株式会社"/>
        <s v="コアプラス沖縄株式会社"/>
        <s v="コアプラス京都株式会社"/>
        <s v="玉川陽介"/>
        <m/>
      </sharedItems>
    </cacheField>
    <cacheField name="8.使途ID" numFmtId="0">
      <sharedItems containsString="0" containsBlank="1" containsNumber="1" containsInteger="1" minValue="601" maxValue="608"/>
    </cacheField>
    <cacheField name="9.使途" numFmtId="0">
      <sharedItems containsBlank="1" count="9">
        <s v="不動産購入"/>
        <s v="運転資金"/>
        <s v="修繕資金"/>
        <s v="住宅ローン"/>
        <s v="他業借入"/>
        <s v="親族借入"/>
        <s v="その他(間接部門)"/>
        <s v="その他(賃貸部門)"/>
        <m/>
      </sharedItems>
    </cacheField>
    <cacheField name="10.対象物件ID" numFmtId="0">
      <sharedItems containsString="0" containsBlank="1" containsNumber="1" containsInteger="1" minValue="101" maxValue="971"/>
    </cacheField>
    <cacheField name="11.対象物件" numFmtId="0">
      <sharedItems containsBlank="1" count="23">
        <s v="池袋ハウス"/>
        <s v="コアプラス池袋"/>
        <s v="目白アパート"/>
        <s v="東池袋ハイツ"/>
        <s v="西池袋駅前ビル"/>
        <s v="カーサ目白台ハウス"/>
        <s v="メゾン雑司ヶ谷"/>
        <s v="カーサ南池袋"/>
        <s v="仙台駅前コーポ"/>
        <s v="目白カーサ二番館"/>
        <s v="豊島目白ビル"/>
        <s v="第3目白ハイツ"/>
        <s v="レジデンス目白豊島"/>
        <s v="コアプラス大塚"/>
        <s v="コアプラスレジデンス梅田"/>
        <s v="高田馬場第4玉川ビル"/>
        <s v="あおばマンション"/>
        <s v="南池袋マンション"/>
        <s v="目白アパート1号2号_二棟一括"/>
        <s v="プラウD目白301号"/>
        <s v="対象物件なし(運転資金)"/>
        <s v="目白アパート1号館"/>
        <m/>
      </sharedItems>
    </cacheField>
    <cacheField name="12.担保物件ID" numFmtId="0">
      <sharedItems containsString="0" containsBlank="1" containsNumber="1" containsInteger="1" minValue="101" maxValue="971"/>
    </cacheField>
    <cacheField name="13.担保物件" numFmtId="0">
      <sharedItems containsBlank="1"/>
    </cacheField>
    <cacheField name="14.当初借入額" numFmtId="5">
      <sharedItems containsString="0" containsBlank="1" containsNumber="1" containsInteger="1" minValue="2000000" maxValue="550000000"/>
    </cacheField>
    <cacheField name="15.当初借入日" numFmtId="193">
      <sharedItems containsNonDate="0" containsDate="1" containsString="0" containsBlank="1" minDate="2013-02-15T00:00:00" maxDate="2021-10-01T00:00:00"/>
    </cacheField>
    <cacheField name="16.金利" numFmtId="0">
      <sharedItems containsString="0" containsBlank="1" containsNumber="1" minValue="0" maxValue="2.9636"/>
    </cacheField>
    <cacheField name="17.金利条件" numFmtId="0">
      <sharedItems containsBlank="1"/>
    </cacheField>
    <cacheField name="18.借入期間" numFmtId="202">
      <sharedItems containsString="0" containsBlank="1" containsNumber="1" containsInteger="1" minValue="5" maxValue="40"/>
    </cacheField>
    <cacheField name="19.返済ピッチ" numFmtId="0">
      <sharedItems containsString="0" containsBlank="1" containsNumber="1" containsInteger="1" minValue="5" maxValue="40"/>
    </cacheField>
    <cacheField name="20.返済方法" numFmtId="0">
      <sharedItems containsBlank="1"/>
    </cacheField>
    <cacheField name="21.残債時点" numFmtId="193">
      <sharedItems containsDate="1" containsBlank="1" containsMixedTypes="1" minDate="2022-06-06T00:00:00" maxDate="2022-10-01T00:00:00"/>
    </cacheField>
    <cacheField name="22.元金返済月額" numFmtId="182">
      <sharedItems containsString="0" containsBlank="1" containsNumber="1" containsInteger="1" minValue="0" maxValue="1209934"/>
    </cacheField>
    <cacheField name="23.利息月額" numFmtId="182">
      <sharedItems containsString="0" containsBlank="1" containsNumber="1" containsInteger="1" minValue="0" maxValue="674466"/>
    </cacheField>
    <cacheField name="24.支払月額" numFmtId="182">
      <sharedItems containsString="0" containsBlank="1" containsNumber="1" containsInteger="1" minValue="0" maxValue="1724718"/>
    </cacheField>
    <cacheField name="25.残債" numFmtId="182">
      <sharedItems containsString="0" containsBlank="1" containsNumber="1" containsInteger="1" minValue="2000000" maxValue="489470974"/>
    </cacheField>
    <cacheField name="26.残債当初比" numFmtId="9">
      <sharedItems containsString="0" containsBlank="1" containsNumber="1" minValue="0" maxValue="1"/>
    </cacheField>
    <cacheField name="27.融資残存年" numFmtId="0">
      <sharedItems containsString="0" containsBlank="1" containsNumber="1" containsInteger="1" minValue="0" maxValue="34"/>
    </cacheField>
    <cacheField name="28.保証会社" numFmtId="0">
      <sharedItems containsBlank="1"/>
    </cacheField>
    <cacheField name="29.融資メモ" numFmtId="0">
      <sharedItems containsBlank="1"/>
    </cacheField>
    <cacheField name="→ここから先は印刷範囲外" numFmtId="0">
      <sharedItems containsNonDate="0" containsString="0" containsBlank="1"/>
    </cacheField>
    <cacheField name="30.担保提供種別ID1" numFmtId="0">
      <sharedItems containsString="0" containsBlank="1" containsNumber="1" containsInteger="1" minValue="671" maxValue="673"/>
    </cacheField>
    <cacheField name="31.担保提供種別1" numFmtId="0">
      <sharedItems containsBlank="1"/>
    </cacheField>
    <cacheField name="32.共同担保物件ID1" numFmtId="0">
      <sharedItems containsString="0" containsBlank="1" containsNumber="1" containsInteger="1" minValue="106" maxValue="109"/>
    </cacheField>
    <cacheField name="33.共同担保物件1" numFmtId="0">
      <sharedItems containsBlank="1"/>
    </cacheField>
    <cacheField name="34.担保提供種別ID2" numFmtId="0">
      <sharedItems containsString="0" containsBlank="1" containsNumber="1" containsInteger="1" minValue="671" maxValue="671"/>
    </cacheField>
    <cacheField name="35.担保提供種別2" numFmtId="0">
      <sharedItems containsBlank="1"/>
    </cacheField>
    <cacheField name="36.共同担保物件ID2" numFmtId="0">
      <sharedItems containsString="0" containsBlank="1" containsNumber="1" containsInteger="1" minValue="111" maxValue="111"/>
    </cacheField>
    <cacheField name="37.共同担保物件2" numFmtId="0">
      <sharedItems containsBlank="1"/>
    </cacheField>
    <cacheField name="38.アップフロント条件" numFmtId="0">
      <sharedItems containsNonDate="0" containsString="0" containsBlank="1"/>
    </cacheField>
    <cacheField name="39.解約ペナルティ条件" numFmtId="0">
      <sharedItems containsNonDate="0" containsString="0" containsBlank="1"/>
    </cacheField>
    <cacheField name="40.利息支払開始日" numFmtId="0">
      <sharedItems containsNonDate="0" containsDate="1" containsString="0" containsBlank="1" minDate="2013-02-15T00:00:00" maxDate="2031-10-01T00:00:00"/>
    </cacheField>
    <cacheField name="41.元金返済開始日" numFmtId="0">
      <sharedItems containsNonDate="0" containsDate="1" containsString="0" containsBlank="1" minDate="2013-02-15T00:00:00" maxDate="2031-10-01T00:00:00"/>
    </cacheField>
    <cacheField name="加重平均金利" numFmtId="0" formula=" (#NAME?*12)/#NAME?"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
  <r>
    <n v="801"/>
    <x v="0"/>
    <n v="502"/>
    <s v="首里信金"/>
    <s v="大阪支店"/>
    <n v="402"/>
    <s v="コアプラス名古屋株式会社"/>
    <n v="601"/>
    <x v="0"/>
    <n v="102"/>
    <x v="0"/>
    <n v="102"/>
    <s v="池袋ハウス"/>
    <n v="550000000"/>
    <d v="2013-02-15T00:00:00"/>
    <n v="1.65"/>
    <s v="信金基準金利+1.00%"/>
    <n v="35"/>
    <n v="35"/>
    <s v="元利均等"/>
    <d v="2022-09-20T00:00:00"/>
    <n v="1050252"/>
    <n v="674466"/>
    <n v="1724718"/>
    <n v="489470974"/>
    <n v="0.88994722545454541"/>
    <n v="25"/>
    <m/>
    <m/>
  </r>
  <r>
    <n v="802"/>
    <x v="0"/>
    <n v="503"/>
    <s v="名護信金"/>
    <s v="沖縄支店"/>
    <n v="404"/>
    <s v="コアプラス大阪株式会社"/>
    <n v="601"/>
    <x v="0"/>
    <n v="104"/>
    <x v="1"/>
    <n v="104"/>
    <s v="コアプラス池袋"/>
    <n v="85000000"/>
    <d v="2014-02-20T00:00:00"/>
    <n v="1"/>
    <s v="信金基準金利+1.00%"/>
    <n v="25"/>
    <n v="25"/>
    <s v="元利均等"/>
    <d v="2022-09-20T00:00:00"/>
    <n v="273127"/>
    <n v="48972"/>
    <n v="322099"/>
    <n v="58496261"/>
    <n v="0.68819130588235289"/>
    <n v="16"/>
    <m/>
    <m/>
  </r>
  <r>
    <n v="803"/>
    <x v="0"/>
    <n v="504"/>
    <s v="読谷信金"/>
    <s v="池袋支店"/>
    <n v="405"/>
    <s v="コアプラス仙台株式会社"/>
    <n v="601"/>
    <x v="0"/>
    <n v="105"/>
    <x v="2"/>
    <n v="105"/>
    <s v="目白アパート"/>
    <n v="265000000"/>
    <d v="2014-09-12T00:00:00"/>
    <n v="1"/>
    <s v="信金基準金利+1.00%"/>
    <n v="25"/>
    <n v="25"/>
    <s v="元利均等"/>
    <d v="2022-09-20T00:00:00"/>
    <n v="845627"/>
    <n v="156620"/>
    <n v="1002247"/>
    <n v="187106609"/>
    <n v="0.7060626754716981"/>
    <n v="16"/>
    <m/>
    <m/>
  </r>
  <r>
    <n v="804"/>
    <x v="0"/>
    <n v="505"/>
    <s v="宜野湾信組"/>
    <s v="目白支店"/>
    <n v="404"/>
    <s v="コアプラス大阪株式会社"/>
    <n v="601"/>
    <x v="0"/>
    <n v="104"/>
    <x v="1"/>
    <n v="104"/>
    <s v="コアプラス池袋"/>
    <n v="17000000"/>
    <d v="2014-11-05T00:00:00"/>
    <n v="1"/>
    <s v="信金基準金利+1.00%"/>
    <n v="25"/>
    <n v="25"/>
    <s v="元利均等"/>
    <d v="2022-09-20T00:00:00"/>
    <n v="55801"/>
    <n v="10004"/>
    <n v="65805"/>
    <n v="11950562"/>
    <n v="0.70297423529411762"/>
    <n v="16"/>
    <m/>
    <m/>
  </r>
  <r>
    <n v="805"/>
    <x v="0"/>
    <n v="506"/>
    <s v="恩納銀行"/>
    <s v="高田馬場支店"/>
    <n v="406"/>
    <s v="コアプラス札幌株式会社"/>
    <n v="601"/>
    <x v="0"/>
    <n v="106"/>
    <x v="3"/>
    <n v="106"/>
    <s v="東池袋ハイツ"/>
    <n v="376000000"/>
    <d v="2014-12-01T00:00:00"/>
    <n v="1"/>
    <s v="3m TIBOR +1.00%"/>
    <n v="30"/>
    <n v="30"/>
    <s v="元利均等"/>
    <d v="2022-09-20T00:00:00"/>
    <n v="970634"/>
    <n v="241754"/>
    <n v="1212388"/>
    <n v="289146337"/>
    <n v="0.76900621542553194"/>
    <n v="21"/>
    <m/>
    <m/>
  </r>
  <r>
    <n v="806"/>
    <x v="0"/>
    <n v="507"/>
    <s v="嘉手納銀行"/>
    <s v="東京支店"/>
    <n v="401"/>
    <s v="コアプラス東京株式会社"/>
    <n v="601"/>
    <x v="0"/>
    <n v="101"/>
    <x v="4"/>
    <n v="101"/>
    <s v="西池袋駅前ビル"/>
    <n v="226000000"/>
    <d v="2015-06-01T00:00:00"/>
    <n v="1"/>
    <s v="信金基準金利+1.00%"/>
    <n v="25"/>
    <n v="25"/>
    <s v="元利均等"/>
    <d v="2022-09-30T00:00:00"/>
    <n v="712666"/>
    <n v="139065"/>
    <n v="851731"/>
    <n v="166166517"/>
    <n v="0.73525007522123897"/>
    <n v="17"/>
    <m/>
    <m/>
  </r>
  <r>
    <n v="807"/>
    <x v="0"/>
    <n v="508"/>
    <s v="奄美信金"/>
    <s v="大阪支店"/>
    <n v="404"/>
    <s v="コアプラス大阪株式会社"/>
    <n v="601"/>
    <x v="0"/>
    <n v="103"/>
    <x v="5"/>
    <n v="103"/>
    <s v="カーサ目白台ハウス"/>
    <n v="413500000"/>
    <d v="2015-07-15T00:00:00"/>
    <n v="1.1000000000000001"/>
    <s v="信金基準金利+1.00%"/>
    <n v="30"/>
    <n v="30"/>
    <s v="元利均等"/>
    <d v="2022-09-20T00:00:00"/>
    <n v="1049552"/>
    <n v="299492"/>
    <n v="1349044"/>
    <n v="325693047"/>
    <n v="0.78764944860943165"/>
    <n v="22"/>
    <m/>
    <m/>
  </r>
  <r>
    <n v="808"/>
    <x v="0"/>
    <n v="509"/>
    <s v="竹富信金"/>
    <s v="沖縄支店"/>
    <n v="407"/>
    <s v="コアプラス福岡株式会社"/>
    <n v="601"/>
    <x v="0"/>
    <n v="107"/>
    <x v="6"/>
    <n v="107"/>
    <s v="メゾン雑司ヶ谷"/>
    <n v="392000000"/>
    <d v="2015-10-15T00:00:00"/>
    <n v="1.2"/>
    <s v="信金基準金利+1.00%"/>
    <n v="30"/>
    <n v="30"/>
    <s v="元利均等"/>
    <d v="2022-09-30T00:00:00"/>
    <n v="982474"/>
    <n v="314688"/>
    <n v="1297162"/>
    <n v="313706389"/>
    <n v="0.80027140051020407"/>
    <n v="22"/>
    <m/>
    <m/>
  </r>
  <r>
    <n v="809"/>
    <x v="0"/>
    <n v="510"/>
    <s v="西表信金"/>
    <s v="東京支店"/>
    <n v="409"/>
    <s v="コアプラス四国株式会社"/>
    <n v="601"/>
    <x v="0"/>
    <n v="109"/>
    <x v="7"/>
    <n v="109"/>
    <s v="カーサ南池袋"/>
    <n v="180000000"/>
    <d v="2015-12-24T00:00:00"/>
    <n v="1.5"/>
    <s v="信金基準金利+1.00%"/>
    <n v="30"/>
    <n v="30"/>
    <s v="元利均等"/>
    <d v="2022-09-30T00:00:00"/>
    <n v="437860"/>
    <n v="183356"/>
    <n v="621216"/>
    <n v="146247653"/>
    <n v="0.81248696111111107"/>
    <n v="22"/>
    <m/>
    <m/>
  </r>
  <r>
    <n v="810"/>
    <x v="1"/>
    <n v="511"/>
    <s v="宮古信組"/>
    <s v="大阪支店"/>
    <n v="410"/>
    <s v="コアプラス沖縄株式会社"/>
    <n v="601"/>
    <x v="0"/>
    <n v="110"/>
    <x v="8"/>
    <n v="110"/>
    <s v="仙台駅前コーポ"/>
    <n v="250000000"/>
    <d v="2016-01-21T00:00:00"/>
    <n v="1.375"/>
    <s v="信金基準金利+1.00%"/>
    <n v="30"/>
    <n v="30"/>
    <s v="元利均等"/>
    <s v="完済"/>
    <m/>
    <m/>
    <m/>
    <m/>
    <n v="0"/>
    <n v="0"/>
    <m/>
    <m/>
  </r>
  <r>
    <n v="811"/>
    <x v="0"/>
    <n v="512"/>
    <s v="座間味信金"/>
    <s v="沖縄支店"/>
    <n v="401"/>
    <s v="コアプラス東京株式会社"/>
    <n v="601"/>
    <x v="0"/>
    <n v="111"/>
    <x v="9"/>
    <n v="111"/>
    <s v="目白カーサ二番館"/>
    <n v="280000000"/>
    <d v="2016-02-24T00:00:00"/>
    <n v="1.3"/>
    <s v="3m TIBOR +1.00%"/>
    <n v="30"/>
    <n v="30"/>
    <s v="元利均等"/>
    <d v="2022-09-20T00:00:00"/>
    <n v="692442"/>
    <n v="247247"/>
    <n v="939689"/>
    <n v="227542871"/>
    <n v="0.8126531107142857"/>
    <n v="23"/>
    <m/>
    <m/>
  </r>
  <r>
    <n v="812"/>
    <x v="0"/>
    <n v="501"/>
    <s v="石垣銀行"/>
    <s v="池袋支店"/>
    <n v="402"/>
    <s v="コアプラス名古屋株式会社"/>
    <n v="601"/>
    <x v="0"/>
    <n v="112"/>
    <x v="10"/>
    <n v="112"/>
    <s v="豊島目白ビル"/>
    <n v="450000000"/>
    <d v="2016-03-29T00:00:00"/>
    <n v="1.3"/>
    <s v="信金基準金利+1.00%"/>
    <n v="30"/>
    <n v="30"/>
    <s v="元利均等"/>
    <d v="2022-09-30T00:00:00"/>
    <n v="1111644"/>
    <n v="398578"/>
    <n v="1510222"/>
    <n v="366807279"/>
    <n v="0.81512728666666667"/>
    <n v="23"/>
    <m/>
    <m/>
  </r>
  <r>
    <n v="813"/>
    <x v="0"/>
    <n v="502"/>
    <s v="首里信金"/>
    <s v="目白支店"/>
    <n v="404"/>
    <s v="コアプラス大阪株式会社"/>
    <n v="601"/>
    <x v="0"/>
    <n v="113"/>
    <x v="11"/>
    <n v="113"/>
    <s v="第3目白ハイツ"/>
    <n v="495000000"/>
    <d v="2016-06-30T00:00:00"/>
    <n v="1.375"/>
    <s v="信金基準金利+1.00%"/>
    <n v="30"/>
    <n v="30"/>
    <s v="元利均等"/>
    <d v="2022-09-30T00:00:00"/>
    <n v="1209934"/>
    <n v="468878"/>
    <n v="1678812"/>
    <n v="407992887"/>
    <n v="0.82422805454545456"/>
    <n v="23"/>
    <m/>
    <m/>
  </r>
  <r>
    <n v="814"/>
    <x v="0"/>
    <n v="503"/>
    <s v="名護信金"/>
    <s v="高田馬場支店"/>
    <n v="404"/>
    <s v="コアプラス大阪株式会社"/>
    <n v="601"/>
    <x v="0"/>
    <n v="114"/>
    <x v="12"/>
    <n v="114"/>
    <s v="レジデンス目白豊島"/>
    <n v="189000000"/>
    <d v="2016-08-30T00:00:00"/>
    <n v="1.3"/>
    <s v="信金基準金利+1.00%"/>
    <n v="40"/>
    <n v="40"/>
    <s v="元利均等"/>
    <d v="2022-09-20T00:00:00"/>
    <n v="324776"/>
    <n v="180387"/>
    <n v="505163"/>
    <n v="166191734"/>
    <n v="0.87932134391534389"/>
    <n v="33"/>
    <m/>
    <m/>
  </r>
  <r>
    <n v="815"/>
    <x v="0"/>
    <n v="504"/>
    <s v="読谷信金"/>
    <s v="東京支店"/>
    <n v="405"/>
    <s v="コアプラス仙台株式会社"/>
    <n v="601"/>
    <x v="0"/>
    <n v="115"/>
    <x v="13"/>
    <n v="115"/>
    <s v="コアプラス大塚"/>
    <n v="530000000"/>
    <d v="2017-04-27T00:00:00"/>
    <n v="1.3"/>
    <s v="信金基準金利+1.00%"/>
    <n v="40"/>
    <n v="40"/>
    <s v="元利均等"/>
    <d v="2022-09-20T00:00:00"/>
    <n v="902892"/>
    <n v="513702"/>
    <n v="1416594"/>
    <n v="473298872"/>
    <n v="0.8930167396226415"/>
    <n v="34"/>
    <m/>
    <m/>
  </r>
  <r>
    <n v="816"/>
    <x v="0"/>
    <n v="505"/>
    <s v="宜野湾信組"/>
    <s v="大阪支店"/>
    <n v="406"/>
    <s v="コアプラス札幌株式会社"/>
    <n v="601"/>
    <x v="0"/>
    <n v="116"/>
    <x v="14"/>
    <n v="116"/>
    <s v="コアプラスレジデンス梅田"/>
    <n v="369000000"/>
    <d v="2017-04-28T00:00:00"/>
    <n v="1.45"/>
    <s v="信金基準金利+1.00%"/>
    <n v="40"/>
    <n v="40"/>
    <s v="元利均等"/>
    <d v="2022-09-30T00:00:00"/>
    <n v="613310"/>
    <n v="400259"/>
    <n v="1013569"/>
    <n v="330636161"/>
    <n v="0.89603295663956639"/>
    <n v="34"/>
    <m/>
    <m/>
  </r>
  <r>
    <n v="817"/>
    <x v="0"/>
    <n v="506"/>
    <s v="恩納銀行"/>
    <s v="沖縄支店"/>
    <n v="407"/>
    <s v="コアプラス福岡株式会社"/>
    <n v="601"/>
    <x v="0"/>
    <n v="117"/>
    <x v="15"/>
    <n v="117"/>
    <s v="高田馬場第4玉川ビル"/>
    <n v="118000000"/>
    <d v="2017-08-31T00:00:00"/>
    <n v="1.675"/>
    <s v="3m TIBOR +1.00%"/>
    <n v="35"/>
    <n v="35"/>
    <s v="元利均等"/>
    <d v="2022-09-20T00:00:00"/>
    <n v="224843"/>
    <n v="146653"/>
    <n v="371496"/>
    <n v="104842675"/>
    <n v="0.88849724576271183"/>
    <n v="29"/>
    <m/>
    <m/>
  </r>
  <r>
    <n v="818"/>
    <x v="1"/>
    <n v="507"/>
    <s v="嘉手納銀行"/>
    <s v="東京支店"/>
    <n v="410"/>
    <s v="コアプラス沖縄株式会社"/>
    <n v="601"/>
    <x v="0"/>
    <n v="118"/>
    <x v="16"/>
    <n v="118"/>
    <s v="あおばマンション"/>
    <n v="189000000"/>
    <d v="2017-08-31T00:00:00"/>
    <n v="1.675"/>
    <s v="信金基準金利+1.00%"/>
    <n v="35"/>
    <n v="35"/>
    <s v="元利均等"/>
    <s v="完済"/>
    <m/>
    <m/>
    <m/>
    <m/>
    <n v="0"/>
    <n v="0"/>
    <m/>
    <m/>
  </r>
  <r>
    <n v="820"/>
    <x v="0"/>
    <n v="509"/>
    <s v="竹富信金"/>
    <s v="東京支店"/>
    <n v="408"/>
    <s v="コアプラス京都株式会社"/>
    <n v="601"/>
    <x v="0"/>
    <n v="120"/>
    <x v="17"/>
    <n v="120"/>
    <s v="南池袋マンション"/>
    <n v="155000000"/>
    <d v="2018-01-09T00:00:00"/>
    <n v="1.65"/>
    <s v="3m TIBOR +1.00%"/>
    <n v="35"/>
    <n v="35"/>
    <s v="元利均等"/>
    <d v="2022-09-30T00:00:00"/>
    <n v="294357"/>
    <n v="191699"/>
    <n v="486056"/>
    <n v="139123336"/>
    <n v="0.89756990967741934"/>
    <n v="30"/>
    <m/>
    <m/>
  </r>
  <r>
    <n v="821"/>
    <x v="0"/>
    <n v="509"/>
    <s v="竹富信金"/>
    <s v="東京支店"/>
    <n v="408"/>
    <s v="コアプラス京都株式会社"/>
    <n v="601"/>
    <x v="0"/>
    <n v="971"/>
    <x v="18"/>
    <n v="971"/>
    <s v="目白アパート1号2号_二棟一括"/>
    <n v="80000000"/>
    <d v="2020-09-29T00:00:00"/>
    <n v="1.6"/>
    <s v="3m TIBOR +1.00%"/>
    <n v="26"/>
    <n v="26"/>
    <s v="元利均等"/>
    <d v="2022-09-01T00:00:00"/>
    <n v="213926"/>
    <n v="100486"/>
    <n v="314412"/>
    <n v="75151106"/>
    <n v="0.93938882499999998"/>
    <n v="23"/>
    <m/>
    <s v="2棟一括"/>
  </r>
  <r>
    <n v="822"/>
    <x v="1"/>
    <n v="509"/>
    <s v="竹富信金"/>
    <s v="高田馬場支店"/>
    <n v="402"/>
    <s v="コアプラス名古屋株式会社"/>
    <n v="603"/>
    <x v="1"/>
    <n v="102"/>
    <x v="0"/>
    <n v="611"/>
    <s v="無担保"/>
    <n v="238000000"/>
    <d v="2015-10-27T00:00:00"/>
    <n v="1.675"/>
    <s v="信金基準金利+1.00%"/>
    <n v="30"/>
    <n v="30"/>
    <s v="元金均等"/>
    <s v="完済"/>
    <m/>
    <m/>
    <m/>
    <m/>
    <n v="0"/>
    <n v="0"/>
    <m/>
    <m/>
  </r>
  <r>
    <n v="823"/>
    <x v="0"/>
    <n v="506"/>
    <s v="恩納銀行"/>
    <s v="沖縄支店"/>
    <n v="406"/>
    <s v="コアプラス札幌株式会社"/>
    <n v="602"/>
    <x v="2"/>
    <n v="116"/>
    <x v="14"/>
    <n v="116"/>
    <s v="コアプラスレジデンス梅田"/>
    <n v="15000000"/>
    <d v="2017-07-12T00:00:00"/>
    <n v="0.97499999999999998"/>
    <s v="信金基準金利+1.00%"/>
    <n v="10"/>
    <n v="10"/>
    <s v="元金均等"/>
    <d v="2022-06-30T00:00:00"/>
    <n v="125000"/>
    <n v="6210"/>
    <n v="131210"/>
    <n v="7500000"/>
    <n v="0.5"/>
    <n v="4"/>
    <m/>
    <m/>
  </r>
  <r>
    <n v="824"/>
    <x v="0"/>
    <n v="511"/>
    <s v="宮古信組"/>
    <s v="大阪支店"/>
    <n v="405"/>
    <s v="コアプラス仙台株式会社"/>
    <n v="602"/>
    <x v="2"/>
    <n v="105"/>
    <x v="2"/>
    <n v="105"/>
    <s v="目白アパート"/>
    <n v="17900000"/>
    <d v="2019-06-28T00:00:00"/>
    <n v="0.97499999999999998"/>
    <s v="信金基準金利+1.00%"/>
    <n v="10"/>
    <n v="10"/>
    <s v="元利均等"/>
    <d v="2022-06-30T00:00:00"/>
    <n v="150000"/>
    <n v="10351"/>
    <n v="160351"/>
    <n v="12500000"/>
    <n v="0.6983240223463687"/>
    <n v="6"/>
    <m/>
    <m/>
  </r>
  <r>
    <n v="825"/>
    <x v="0"/>
    <n v="512"/>
    <s v="座間味信金"/>
    <s v="沖縄支店"/>
    <n v="301"/>
    <s v="玉川陽介"/>
    <n v="605"/>
    <x v="3"/>
    <n v="222"/>
    <x v="19"/>
    <n v="222"/>
    <s v="プラウD目白301号"/>
    <n v="94000000"/>
    <d v="2021-03-11T00:00:00"/>
    <n v="2.8"/>
    <s v="信金基準金利+1.00%"/>
    <n v="30"/>
    <n v="30"/>
    <s v="元利均等"/>
    <d v="2022-06-06T00:00:00"/>
    <n v="169657"/>
    <n v="221433"/>
    <n v="391090"/>
    <n v="91457870"/>
    <n v="0.97295606382978728"/>
    <n v="28"/>
    <m/>
    <m/>
  </r>
  <r>
    <n v="826"/>
    <x v="0"/>
    <n v="501"/>
    <s v="石垣銀行"/>
    <s v="池袋支店"/>
    <n v="401"/>
    <s v="コアプラス東京株式会社"/>
    <n v="602"/>
    <x v="2"/>
    <n v="222"/>
    <x v="19"/>
    <n v="222"/>
    <s v="プラウD目白301号"/>
    <n v="20556000"/>
    <d v="2021-06-30T00:00:00"/>
    <n v="2.9636"/>
    <s v="信金基準金利+1.00%"/>
    <n v="5"/>
    <n v="5"/>
    <s v="元金均等"/>
    <d v="2022-06-27T00:00:00"/>
    <n v="326683"/>
    <n v="42817"/>
    <n v="369500"/>
    <n v="16705681"/>
    <n v="0.81269123370305507"/>
    <n v="3"/>
    <m/>
    <m/>
  </r>
  <r>
    <n v="827"/>
    <x v="0"/>
    <n v="502"/>
    <s v="首里信金"/>
    <s v="目白支店"/>
    <n v="401"/>
    <s v="コアプラス東京株式会社"/>
    <n v="603"/>
    <x v="1"/>
    <n v="621"/>
    <x v="20"/>
    <n v="611"/>
    <s v="無担保"/>
    <n v="11000000"/>
    <d v="2021-09-30T00:00:00"/>
    <n v="1.875"/>
    <s v="信金基準金利+1.00%"/>
    <n v="10"/>
    <n v="10"/>
    <s v="元金均等"/>
    <d v="2022-06-30T00:00:00"/>
    <n v="84461"/>
    <n v="16139"/>
    <n v="100600"/>
    <n v="10244573"/>
    <n v="0.93132481818181823"/>
    <n v="8"/>
    <s v="保証協会"/>
    <s v="コロナ融資"/>
  </r>
  <r>
    <n v="828"/>
    <x v="0"/>
    <n v="502"/>
    <s v="首里信金"/>
    <s v="高田馬場支店"/>
    <n v="301"/>
    <s v="玉川陽介"/>
    <n v="604"/>
    <x v="4"/>
    <n v="621"/>
    <x v="20"/>
    <n v="611"/>
    <s v="無担保"/>
    <n v="11000000"/>
    <d v="2021-09-30T00:00:00"/>
    <n v="1.875"/>
    <s v="信金基準金利+1.00%"/>
    <n v="10"/>
    <n v="10"/>
    <s v="元金均等"/>
    <d v="2022-06-30T00:00:00"/>
    <n v="84461"/>
    <n v="16139"/>
    <n v="100600"/>
    <n v="10244573"/>
    <n v="0.93132481818181823"/>
    <n v="8"/>
    <m/>
    <s v="書籍事業のため"/>
  </r>
  <r>
    <n v="829"/>
    <x v="0"/>
    <n v="502"/>
    <s v="首里信金"/>
    <s v="東京支店"/>
    <n v="401"/>
    <s v="コアプラス東京株式会社"/>
    <n v="602"/>
    <x v="2"/>
    <n v="121"/>
    <x v="21"/>
    <n v="611"/>
    <s v="無担保"/>
    <n v="10000000"/>
    <d v="2021-09-30T00:00:00"/>
    <n v="1.85"/>
    <s v="信金基準金利+1.00%"/>
    <n v="15"/>
    <n v="15"/>
    <s v="元金均等"/>
    <d v="2022-06-30T00:00:00"/>
    <n v="49298"/>
    <n v="14364"/>
    <n v="63662"/>
    <n v="9268450"/>
    <n v="0.92684500000000003"/>
    <n v="13"/>
    <m/>
    <s v="目白アパート1号館単体のみ。2号館は対象外"/>
  </r>
  <r>
    <n v="830"/>
    <x v="0"/>
    <n v="302"/>
    <s v="玉川花子"/>
    <s v="-"/>
    <n v="401"/>
    <s v="コアプラス東京株式会社"/>
    <n v="606"/>
    <x v="5"/>
    <n v="621"/>
    <x v="20"/>
    <n v="611"/>
    <s v="無担保"/>
    <n v="2000000"/>
    <d v="2021-09-30T00:00:00"/>
    <n v="0"/>
    <s v="なし"/>
    <n v="10"/>
    <n v="10"/>
    <s v="期日一括"/>
    <d v="2022-06-30T00:00:00"/>
    <n v="0"/>
    <n v="0"/>
    <n v="0"/>
    <n v="2000000"/>
    <n v="1"/>
    <n v="8"/>
    <m/>
    <m/>
  </r>
  <r>
    <n v="831"/>
    <x v="1"/>
    <n v="501"/>
    <s v="石垣銀行"/>
    <s v="沖縄支店"/>
    <n v="401"/>
    <s v="コアプラス東京株式会社"/>
    <n v="607"/>
    <x v="6"/>
    <n v="621"/>
    <x v="20"/>
    <n v="611"/>
    <s v="無担保"/>
    <n v="11000000"/>
    <d v="2017-08-31T00:00:00"/>
    <n v="1.675"/>
    <s v="信金基準金利+1.00%"/>
    <n v="10"/>
    <n v="10"/>
    <s v="元金均等"/>
    <s v="完済"/>
    <m/>
    <m/>
    <m/>
    <m/>
    <n v="0"/>
    <n v="0"/>
    <m/>
    <m/>
  </r>
  <r>
    <n v="832"/>
    <x v="1"/>
    <n v="501"/>
    <s v="石垣銀行"/>
    <s v="東京支店"/>
    <n v="401"/>
    <s v="コアプラス東京株式会社"/>
    <n v="608"/>
    <x v="7"/>
    <n v="621"/>
    <x v="20"/>
    <n v="611"/>
    <s v="無担保"/>
    <n v="11000000"/>
    <d v="2017-08-31T00:00:00"/>
    <n v="1.675"/>
    <s v="信金基準金利+1.00%"/>
    <n v="10"/>
    <n v="10"/>
    <s v="元金均等"/>
    <s v="完済"/>
    <m/>
    <m/>
    <m/>
    <m/>
    <n v="0"/>
    <n v="0"/>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
  <r>
    <n v="801"/>
    <s v="返済中"/>
    <n v="502"/>
    <s v="首里信金"/>
    <s v="大阪支店"/>
    <n v="402"/>
    <s v="コアプラス名古屋株式会社"/>
    <n v="601"/>
    <s v="不動産購入"/>
    <n v="102"/>
    <x v="0"/>
    <n v="102"/>
    <s v="池袋ハウス"/>
    <n v="550000000"/>
    <d v="2013-02-15T00:00:00"/>
    <n v="1.65"/>
    <s v="信金基準金利+1.00%"/>
    <n v="35"/>
    <n v="35"/>
    <s v="元利均等"/>
    <d v="2022-09-20T00:00:00"/>
    <n v="1050252"/>
    <n v="674466"/>
    <n v="1724718"/>
    <n v="489470974"/>
    <n v="0.88994722545454541"/>
    <n v="25"/>
    <m/>
    <m/>
    <m/>
    <m/>
    <s v="なし"/>
    <m/>
    <s v="なし"/>
    <m/>
    <s v="なし"/>
    <m/>
    <s v="なし"/>
    <m/>
    <m/>
    <d v="2013-02-15T00:00:00"/>
    <d v="2013-02-15T00:00:00"/>
  </r>
  <r>
    <n v="802"/>
    <s v="返済中"/>
    <n v="503"/>
    <s v="名護信金"/>
    <s v="沖縄支店"/>
    <n v="404"/>
    <s v="コアプラス大阪株式会社"/>
    <n v="601"/>
    <s v="不動産購入"/>
    <n v="104"/>
    <x v="1"/>
    <n v="104"/>
    <s v="コアプラス池袋"/>
    <n v="85000000"/>
    <d v="2014-02-20T00:00:00"/>
    <n v="1"/>
    <s v="信金基準金利+1.00%"/>
    <n v="25"/>
    <n v="25"/>
    <s v="元利均等"/>
    <d v="2022-09-20T00:00:00"/>
    <n v="273127"/>
    <n v="48972"/>
    <n v="322099"/>
    <n v="58496261"/>
    <n v="0.68819130588235289"/>
    <n v="16"/>
    <m/>
    <m/>
    <m/>
    <m/>
    <s v="なし"/>
    <m/>
    <s v="なし"/>
    <m/>
    <s v="なし"/>
    <m/>
    <s v="なし"/>
    <m/>
    <m/>
    <d v="2014-02-20T00:00:00"/>
    <d v="2014-02-20T00:00:00"/>
  </r>
  <r>
    <n v="803"/>
    <s v="返済中"/>
    <n v="504"/>
    <s v="読谷信金"/>
    <s v="池袋支店"/>
    <n v="405"/>
    <s v="コアプラス仙台株式会社"/>
    <n v="601"/>
    <s v="不動産購入"/>
    <n v="105"/>
    <x v="2"/>
    <n v="105"/>
    <s v="目白アパート"/>
    <n v="265000000"/>
    <d v="2014-09-12T00:00:00"/>
    <n v="1"/>
    <s v="信金基準金利+1.00%"/>
    <n v="25"/>
    <n v="25"/>
    <s v="元利均等"/>
    <d v="2022-09-20T00:00:00"/>
    <n v="845627"/>
    <n v="156620"/>
    <n v="1002247"/>
    <n v="187106609"/>
    <n v="0.7060626754716981"/>
    <n v="16"/>
    <m/>
    <m/>
    <m/>
    <m/>
    <s v="なし"/>
    <m/>
    <s v="なし"/>
    <m/>
    <s v="なし"/>
    <m/>
    <s v="なし"/>
    <m/>
    <m/>
    <d v="2014-09-12T00:00:00"/>
    <d v="2014-09-12T00:00:00"/>
  </r>
  <r>
    <n v="804"/>
    <s v="返済中"/>
    <n v="505"/>
    <s v="宜野湾信組"/>
    <s v="目白支店"/>
    <n v="404"/>
    <s v="コアプラス大阪株式会社"/>
    <n v="601"/>
    <s v="不動産購入"/>
    <n v="104"/>
    <x v="1"/>
    <n v="104"/>
    <s v="コアプラス池袋"/>
    <n v="17000000"/>
    <d v="2014-11-05T00:00:00"/>
    <n v="1"/>
    <s v="信金基準金利+1.00%"/>
    <n v="25"/>
    <n v="25"/>
    <s v="元利均等"/>
    <d v="2022-09-20T00:00:00"/>
    <n v="55801"/>
    <n v="10004"/>
    <n v="65805"/>
    <n v="11950562"/>
    <n v="0.70297423529411762"/>
    <n v="16"/>
    <m/>
    <m/>
    <m/>
    <m/>
    <s v="なし"/>
    <m/>
    <s v="なし"/>
    <m/>
    <s v="なし"/>
    <m/>
    <s v="なし"/>
    <m/>
    <m/>
    <d v="2014-11-05T00:00:00"/>
    <d v="2014-11-05T00:00:00"/>
  </r>
  <r>
    <n v="805"/>
    <s v="返済中"/>
    <n v="506"/>
    <s v="恩納銀行"/>
    <s v="高田馬場支店"/>
    <n v="406"/>
    <s v="コアプラス札幌株式会社"/>
    <n v="601"/>
    <s v="不動産購入"/>
    <n v="106"/>
    <x v="3"/>
    <n v="106"/>
    <s v="東池袋ハイツ"/>
    <n v="376000000"/>
    <d v="2014-12-01T00:00:00"/>
    <n v="1"/>
    <s v="3m TIBOR +1.00%"/>
    <n v="30"/>
    <n v="30"/>
    <s v="元利均等"/>
    <d v="2022-09-20T00:00:00"/>
    <n v="970634"/>
    <n v="241754"/>
    <n v="1212388"/>
    <n v="289146337"/>
    <n v="0.76900621542553194"/>
    <n v="21"/>
    <m/>
    <m/>
    <m/>
    <m/>
    <s v="なし"/>
    <m/>
    <s v="なし"/>
    <m/>
    <s v="なし"/>
    <m/>
    <s v="なし"/>
    <m/>
    <m/>
    <d v="2014-12-01T00:00:00"/>
    <d v="2014-12-01T00:00:00"/>
  </r>
  <r>
    <n v="806"/>
    <s v="返済中"/>
    <n v="507"/>
    <s v="嘉手納銀行"/>
    <s v="東京支店"/>
    <n v="401"/>
    <s v="コアプラス東京株式会社"/>
    <n v="601"/>
    <s v="不動産購入"/>
    <n v="101"/>
    <x v="4"/>
    <n v="101"/>
    <s v="西池袋駅前ビル"/>
    <n v="226000000"/>
    <d v="2015-06-01T00:00:00"/>
    <n v="1"/>
    <s v="信金基準金利+1.00%"/>
    <n v="25"/>
    <n v="25"/>
    <s v="元利均等"/>
    <d v="2022-09-30T00:00:00"/>
    <n v="712666"/>
    <n v="139065"/>
    <n v="851731"/>
    <n v="166166517"/>
    <n v="0.73525007522123897"/>
    <n v="17"/>
    <m/>
    <m/>
    <m/>
    <m/>
    <s v="なし"/>
    <m/>
    <s v="なし"/>
    <m/>
    <s v="なし"/>
    <m/>
    <s v="なし"/>
    <m/>
    <m/>
    <d v="2015-06-01T00:00:00"/>
    <d v="2015-06-01T00:00:00"/>
  </r>
  <r>
    <n v="807"/>
    <s v="返済中"/>
    <n v="508"/>
    <s v="奄美信金"/>
    <s v="大阪支店"/>
    <n v="404"/>
    <s v="コアプラス大阪株式会社"/>
    <n v="601"/>
    <s v="不動産購入"/>
    <n v="103"/>
    <x v="5"/>
    <n v="103"/>
    <s v="カーサ目白台ハウス"/>
    <n v="413500000"/>
    <d v="2015-07-15T00:00:00"/>
    <n v="1.1000000000000001"/>
    <s v="信金基準金利+1.00%"/>
    <n v="30"/>
    <n v="30"/>
    <s v="元利均等"/>
    <d v="2022-09-20T00:00:00"/>
    <n v="1049552"/>
    <n v="299492"/>
    <n v="1349044"/>
    <n v="325693047"/>
    <n v="0.78764944860943165"/>
    <n v="22"/>
    <m/>
    <m/>
    <m/>
    <m/>
    <s v="なし"/>
    <m/>
    <s v="なし"/>
    <m/>
    <s v="なし"/>
    <m/>
    <s v="なし"/>
    <m/>
    <m/>
    <d v="2015-07-15T00:00:00"/>
    <d v="2015-07-15T00:00:00"/>
  </r>
  <r>
    <n v="808"/>
    <s v="返済中"/>
    <n v="509"/>
    <s v="竹富信金"/>
    <s v="沖縄支店"/>
    <n v="407"/>
    <s v="コアプラス福岡株式会社"/>
    <n v="601"/>
    <s v="不動産購入"/>
    <n v="107"/>
    <x v="6"/>
    <n v="107"/>
    <s v="メゾン雑司ヶ谷"/>
    <n v="392000000"/>
    <d v="2015-10-15T00:00:00"/>
    <n v="1.2"/>
    <s v="信金基準金利+1.00%"/>
    <n v="30"/>
    <n v="30"/>
    <s v="元利均等"/>
    <d v="2022-09-30T00:00:00"/>
    <n v="982474"/>
    <n v="314688"/>
    <n v="1297162"/>
    <n v="313706389"/>
    <n v="0.80027140051020407"/>
    <n v="22"/>
    <m/>
    <m/>
    <m/>
    <m/>
    <s v="なし"/>
    <m/>
    <s v="なし"/>
    <m/>
    <s v="なし"/>
    <m/>
    <s v="なし"/>
    <m/>
    <m/>
    <d v="2015-10-15T00:00:00"/>
    <d v="2015-10-15T00:00:00"/>
  </r>
  <r>
    <n v="809"/>
    <s v="返済中"/>
    <n v="510"/>
    <s v="西表信金"/>
    <s v="東京支店"/>
    <n v="409"/>
    <s v="コアプラス四国株式会社"/>
    <n v="601"/>
    <s v="不動産購入"/>
    <n v="109"/>
    <x v="7"/>
    <n v="109"/>
    <s v="カーサ南池袋"/>
    <n v="180000000"/>
    <d v="2015-12-24T00:00:00"/>
    <n v="1.5"/>
    <s v="信金基準金利+1.00%"/>
    <n v="30"/>
    <n v="30"/>
    <s v="元利均等"/>
    <d v="2022-09-30T00:00:00"/>
    <n v="437860"/>
    <n v="183356"/>
    <n v="621216"/>
    <n v="146247653"/>
    <n v="0.81248696111111107"/>
    <n v="22"/>
    <m/>
    <m/>
    <m/>
    <m/>
    <s v="なし"/>
    <m/>
    <s v="なし"/>
    <m/>
    <s v="なし"/>
    <m/>
    <s v="なし"/>
    <m/>
    <m/>
    <d v="2015-12-24T00:00:00"/>
    <d v="2015-12-24T00:00:00"/>
  </r>
  <r>
    <n v="810"/>
    <s v="完済"/>
    <n v="511"/>
    <s v="宮古信組"/>
    <s v="大阪支店"/>
    <n v="410"/>
    <s v="コアプラス沖縄株式会社"/>
    <n v="601"/>
    <s v="不動産購入"/>
    <n v="110"/>
    <x v="8"/>
    <n v="110"/>
    <s v="仙台駅前コーポ"/>
    <n v="250000000"/>
    <d v="2016-01-21T00:00:00"/>
    <n v="1.375"/>
    <s v="信金基準金利+1.00%"/>
    <n v="30"/>
    <n v="30"/>
    <s v="元利均等"/>
    <s v="完済"/>
    <m/>
    <m/>
    <m/>
    <m/>
    <n v="0"/>
    <n v="0"/>
    <m/>
    <m/>
    <m/>
    <m/>
    <s v="なし"/>
    <m/>
    <s v="なし"/>
    <m/>
    <s v="なし"/>
    <m/>
    <s v="なし"/>
    <m/>
    <m/>
    <d v="2016-01-21T00:00:00"/>
    <d v="2016-01-21T00:00:00"/>
  </r>
  <r>
    <n v="811"/>
    <s v="返済中"/>
    <n v="512"/>
    <s v="座間味信金"/>
    <s v="沖縄支店"/>
    <n v="401"/>
    <s v="コアプラス東京株式会社"/>
    <n v="601"/>
    <s v="不動産購入"/>
    <n v="111"/>
    <x v="9"/>
    <n v="111"/>
    <s v="目白カーサ二番館"/>
    <n v="280000000"/>
    <d v="2016-02-24T00:00:00"/>
    <n v="1.3"/>
    <s v="3m TIBOR +1.00%"/>
    <n v="30"/>
    <n v="30"/>
    <s v="元利均等"/>
    <d v="2022-09-20T00:00:00"/>
    <n v="692442"/>
    <n v="247247"/>
    <n v="939689"/>
    <n v="227542871"/>
    <n v="0.8126531107142857"/>
    <n v="23"/>
    <m/>
    <m/>
    <m/>
    <m/>
    <s v="なし"/>
    <m/>
    <s v="なし"/>
    <m/>
    <s v="なし"/>
    <m/>
    <s v="なし"/>
    <m/>
    <m/>
    <d v="2016-02-24T00:00:00"/>
    <d v="2016-02-24T00:00:00"/>
  </r>
  <r>
    <n v="812"/>
    <s v="返済中"/>
    <n v="501"/>
    <s v="石垣銀行"/>
    <s v="池袋支店"/>
    <n v="402"/>
    <s v="コアプラス名古屋株式会社"/>
    <n v="601"/>
    <s v="不動産購入"/>
    <n v="112"/>
    <x v="10"/>
    <n v="112"/>
    <s v="豊島目白ビル"/>
    <n v="450000000"/>
    <d v="2016-03-29T00:00:00"/>
    <n v="1.3"/>
    <s v="信金基準金利+1.00%"/>
    <n v="30"/>
    <n v="30"/>
    <s v="元利均等"/>
    <d v="2022-09-30T00:00:00"/>
    <n v="1111644"/>
    <n v="398578"/>
    <n v="1510222"/>
    <n v="366807279"/>
    <n v="0.81512728666666667"/>
    <n v="23"/>
    <m/>
    <m/>
    <m/>
    <m/>
    <s v="なし"/>
    <m/>
    <s v="なし"/>
    <m/>
    <s v="なし"/>
    <m/>
    <s v="なし"/>
    <m/>
    <m/>
    <d v="2016-03-29T00:00:00"/>
    <d v="2016-03-29T00:00:00"/>
  </r>
  <r>
    <n v="813"/>
    <s v="返済中"/>
    <n v="502"/>
    <s v="首里信金"/>
    <s v="目白支店"/>
    <n v="404"/>
    <s v="コアプラス大阪株式会社"/>
    <n v="601"/>
    <s v="不動産購入"/>
    <n v="113"/>
    <x v="11"/>
    <n v="113"/>
    <s v="第3目白ハイツ"/>
    <n v="495000000"/>
    <d v="2016-06-30T00:00:00"/>
    <n v="1.375"/>
    <s v="信金基準金利+1.00%"/>
    <n v="30"/>
    <n v="30"/>
    <s v="元利均等"/>
    <d v="2022-09-30T00:00:00"/>
    <n v="1209934"/>
    <n v="468878"/>
    <n v="1678812"/>
    <n v="407992887"/>
    <n v="0.82422805454545456"/>
    <n v="23"/>
    <m/>
    <m/>
    <m/>
    <m/>
    <s v="なし"/>
    <m/>
    <s v="なし"/>
    <m/>
    <s v="なし"/>
    <m/>
    <s v="なし"/>
    <m/>
    <m/>
    <d v="2016-06-30T00:00:00"/>
    <d v="2016-06-30T00:00:00"/>
  </r>
  <r>
    <n v="814"/>
    <s v="返済中"/>
    <n v="503"/>
    <s v="名護信金"/>
    <s v="高田馬場支店"/>
    <n v="404"/>
    <s v="コアプラス大阪株式会社"/>
    <n v="601"/>
    <s v="不動産購入"/>
    <n v="114"/>
    <x v="12"/>
    <n v="114"/>
    <s v="レジデンス目白豊島"/>
    <n v="189000000"/>
    <d v="2016-08-30T00:00:00"/>
    <n v="1.3"/>
    <s v="信金基準金利+1.00%"/>
    <n v="40"/>
    <n v="40"/>
    <s v="元利均等"/>
    <d v="2022-09-20T00:00:00"/>
    <n v="324776"/>
    <n v="180387"/>
    <n v="505163"/>
    <n v="166191734"/>
    <n v="0.87932134391534389"/>
    <n v="33"/>
    <m/>
    <m/>
    <m/>
    <m/>
    <s v="なし"/>
    <m/>
    <s v="なし"/>
    <m/>
    <s v="なし"/>
    <m/>
    <s v="なし"/>
    <m/>
    <m/>
    <d v="2016-08-30T00:00:00"/>
    <d v="2016-08-30T00:00:00"/>
  </r>
  <r>
    <n v="815"/>
    <s v="返済中"/>
    <n v="504"/>
    <s v="読谷信金"/>
    <s v="東京支店"/>
    <n v="405"/>
    <s v="コアプラス仙台株式会社"/>
    <n v="601"/>
    <s v="不動産購入"/>
    <n v="115"/>
    <x v="13"/>
    <n v="115"/>
    <s v="コアプラス大塚"/>
    <n v="530000000"/>
    <d v="2017-04-27T00:00:00"/>
    <n v="1.3"/>
    <s v="信金基準金利+1.00%"/>
    <n v="40"/>
    <n v="40"/>
    <s v="元利均等"/>
    <d v="2022-09-20T00:00:00"/>
    <n v="902892"/>
    <n v="513702"/>
    <n v="1416594"/>
    <n v="473298872"/>
    <n v="0.8930167396226415"/>
    <n v="34"/>
    <m/>
    <m/>
    <m/>
    <m/>
    <s v="なし"/>
    <m/>
    <s v="なし"/>
    <m/>
    <s v="なし"/>
    <m/>
    <s v="なし"/>
    <m/>
    <m/>
    <d v="2017-04-27T00:00:00"/>
    <d v="2017-04-27T00:00:00"/>
  </r>
  <r>
    <n v="816"/>
    <s v="返済中"/>
    <n v="505"/>
    <s v="宜野湾信組"/>
    <s v="大阪支店"/>
    <n v="406"/>
    <s v="コアプラス札幌株式会社"/>
    <n v="601"/>
    <s v="不動産購入"/>
    <n v="116"/>
    <x v="14"/>
    <n v="116"/>
    <s v="コアプラスレジデンス梅田"/>
    <n v="369000000"/>
    <d v="2017-04-28T00:00:00"/>
    <n v="1.45"/>
    <s v="信金基準金利+1.00%"/>
    <n v="40"/>
    <n v="40"/>
    <s v="元利均等"/>
    <d v="2022-09-30T00:00:00"/>
    <n v="613310"/>
    <n v="400259"/>
    <n v="1013569"/>
    <n v="330636161"/>
    <n v="0.89603295663956639"/>
    <n v="34"/>
    <m/>
    <m/>
    <m/>
    <m/>
    <s v="なし"/>
    <m/>
    <s v="なし"/>
    <m/>
    <s v="なし"/>
    <m/>
    <s v="なし"/>
    <m/>
    <m/>
    <d v="2017-04-28T00:00:00"/>
    <d v="2017-04-28T00:00:00"/>
  </r>
  <r>
    <n v="817"/>
    <s v="返済中"/>
    <n v="506"/>
    <s v="恩納銀行"/>
    <s v="沖縄支店"/>
    <n v="407"/>
    <s v="コアプラス福岡株式会社"/>
    <n v="601"/>
    <s v="不動産購入"/>
    <n v="117"/>
    <x v="15"/>
    <n v="117"/>
    <s v="高田馬場第4玉川ビル"/>
    <n v="118000000"/>
    <d v="2017-08-31T00:00:00"/>
    <n v="1.675"/>
    <s v="3m TIBOR +1.00%"/>
    <n v="35"/>
    <n v="35"/>
    <s v="元利均等"/>
    <d v="2022-09-20T00:00:00"/>
    <n v="224843"/>
    <n v="146653"/>
    <n v="371496"/>
    <n v="104842675"/>
    <n v="0.88849724576271183"/>
    <n v="29"/>
    <m/>
    <m/>
    <m/>
    <m/>
    <s v="なし"/>
    <m/>
    <s v="なし"/>
    <m/>
    <s v="なし"/>
    <m/>
    <s v="なし"/>
    <m/>
    <m/>
    <d v="2017-08-31T00:00:00"/>
    <d v="2017-08-31T00:00:00"/>
  </r>
  <r>
    <n v="818"/>
    <s v="完済"/>
    <n v="507"/>
    <s v="嘉手納銀行"/>
    <s v="東京支店"/>
    <n v="410"/>
    <s v="コアプラス沖縄株式会社"/>
    <n v="601"/>
    <s v="不動産購入"/>
    <n v="118"/>
    <x v="16"/>
    <n v="118"/>
    <s v="あおばマンション"/>
    <n v="189000000"/>
    <d v="2017-08-31T00:00:00"/>
    <n v="1.675"/>
    <s v="信金基準金利+1.00%"/>
    <n v="35"/>
    <n v="35"/>
    <s v="元利均等"/>
    <s v="完済"/>
    <m/>
    <m/>
    <m/>
    <m/>
    <n v="0"/>
    <n v="0"/>
    <m/>
    <m/>
    <m/>
    <m/>
    <s v="なし"/>
    <m/>
    <s v="なし"/>
    <m/>
    <s v="なし"/>
    <m/>
    <s v="なし"/>
    <m/>
    <m/>
    <d v="2017-08-31T00:00:00"/>
    <d v="2017-08-31T00:00:00"/>
  </r>
  <r>
    <n v="820"/>
    <s v="返済中"/>
    <n v="509"/>
    <s v="竹富信金"/>
    <s v="東京支店"/>
    <n v="408"/>
    <s v="コアプラス京都株式会社"/>
    <n v="601"/>
    <s v="不動産購入"/>
    <n v="120"/>
    <x v="17"/>
    <n v="120"/>
    <s v="南池袋マンション"/>
    <n v="155000000"/>
    <d v="2018-01-09T00:00:00"/>
    <n v="1.65"/>
    <s v="3m TIBOR +1.00%"/>
    <n v="35"/>
    <n v="35"/>
    <s v="元利均等"/>
    <d v="2022-09-30T00:00:00"/>
    <n v="294357"/>
    <n v="191699"/>
    <n v="486056"/>
    <n v="139123336"/>
    <n v="0.89756990967741934"/>
    <n v="30"/>
    <m/>
    <m/>
    <m/>
    <m/>
    <s v="なし"/>
    <m/>
    <s v="なし"/>
    <m/>
    <s v="なし"/>
    <m/>
    <s v="なし"/>
    <m/>
    <m/>
    <d v="2018-01-09T00:00:00"/>
    <d v="2018-01-09T00:00:00"/>
  </r>
  <r>
    <n v="821"/>
    <s v="返済中"/>
    <n v="509"/>
    <s v="竹富信金"/>
    <s v="東京支店"/>
    <n v="408"/>
    <s v="コアプラス京都株式会社"/>
    <n v="601"/>
    <s v="不動産購入"/>
    <n v="971"/>
    <x v="18"/>
    <n v="971"/>
    <s v="目白アパート1号2号_二棟一括"/>
    <n v="80000000"/>
    <d v="2020-09-29T00:00:00"/>
    <n v="1.6"/>
    <s v="3m TIBOR +1.00%"/>
    <n v="26"/>
    <n v="26"/>
    <s v="元利均等"/>
    <d v="2022-09-01T00:00:00"/>
    <n v="213926"/>
    <n v="100486"/>
    <n v="314412"/>
    <n v="75151106"/>
    <n v="0.93938882499999998"/>
    <n v="23"/>
    <m/>
    <s v="2棟一括"/>
    <m/>
    <m/>
    <s v="なし"/>
    <m/>
    <s v="なし"/>
    <m/>
    <s v="なし"/>
    <m/>
    <s v="なし"/>
    <m/>
    <m/>
    <d v="2020-09-29T00:00:00"/>
    <d v="2020-09-29T00:00:00"/>
  </r>
  <r>
    <n v="822"/>
    <s v="完済"/>
    <n v="509"/>
    <s v="竹富信金"/>
    <s v="高田馬場支店"/>
    <n v="402"/>
    <s v="コアプラス名古屋株式会社"/>
    <n v="603"/>
    <s v="運転資金"/>
    <n v="102"/>
    <x v="0"/>
    <n v="611"/>
    <s v="無担保"/>
    <n v="238000000"/>
    <d v="2015-10-27T00:00:00"/>
    <n v="1.675"/>
    <s v="信金基準金利+1.00%"/>
    <n v="30"/>
    <n v="30"/>
    <s v="元金均等"/>
    <s v="完済"/>
    <m/>
    <m/>
    <m/>
    <m/>
    <n v="0"/>
    <n v="0"/>
    <m/>
    <m/>
    <m/>
    <m/>
    <s v="なし"/>
    <m/>
    <s v="なし"/>
    <m/>
    <s v="なし"/>
    <m/>
    <s v="なし"/>
    <m/>
    <m/>
    <d v="2015-10-27T00:00:00"/>
    <d v="2015-10-27T00:00:00"/>
  </r>
  <r>
    <n v="823"/>
    <s v="返済中"/>
    <n v="506"/>
    <s v="恩納銀行"/>
    <s v="沖縄支店"/>
    <n v="406"/>
    <s v="コアプラス札幌株式会社"/>
    <n v="602"/>
    <s v="修繕資金"/>
    <n v="116"/>
    <x v="14"/>
    <n v="116"/>
    <s v="コアプラスレジデンス梅田"/>
    <n v="15000000"/>
    <d v="2017-07-12T00:00:00"/>
    <n v="0.97499999999999998"/>
    <s v="信金基準金利+1.00%"/>
    <n v="10"/>
    <n v="10"/>
    <s v="元金均等"/>
    <d v="2022-06-30T00:00:00"/>
    <n v="125000"/>
    <n v="6210"/>
    <n v="131210"/>
    <n v="7500000"/>
    <n v="0.5"/>
    <n v="4"/>
    <m/>
    <m/>
    <m/>
    <n v="671"/>
    <s v="共同担保"/>
    <n v="106"/>
    <s v="東池袋ハイツ"/>
    <m/>
    <s v="なし"/>
    <m/>
    <s v="なし"/>
    <m/>
    <m/>
    <d v="2017-07-12T00:00:00"/>
    <d v="2017-07-12T00:00:00"/>
  </r>
  <r>
    <n v="824"/>
    <s v="返済中"/>
    <n v="511"/>
    <s v="宮古信組"/>
    <s v="大阪支店"/>
    <n v="405"/>
    <s v="コアプラス仙台株式会社"/>
    <n v="602"/>
    <s v="修繕資金"/>
    <n v="105"/>
    <x v="2"/>
    <n v="105"/>
    <s v="目白アパート"/>
    <n v="17900000"/>
    <d v="2019-06-28T00:00:00"/>
    <n v="0.97499999999999998"/>
    <s v="信金基準金利+1.00%"/>
    <n v="10"/>
    <n v="10"/>
    <s v="元利均等"/>
    <d v="2022-06-30T00:00:00"/>
    <n v="150000"/>
    <n v="10351"/>
    <n v="160351"/>
    <n v="12500000"/>
    <n v="0.6983240223463687"/>
    <n v="6"/>
    <m/>
    <m/>
    <m/>
    <n v="673"/>
    <s v="第二抵当"/>
    <n v="107"/>
    <s v="メゾン雑司ヶ谷"/>
    <m/>
    <s v="なし"/>
    <m/>
    <s v="なし"/>
    <m/>
    <m/>
    <d v="2019-06-28T00:00:00"/>
    <d v="2019-06-28T00:00:00"/>
  </r>
  <r>
    <n v="825"/>
    <s v="返済中"/>
    <n v="512"/>
    <s v="座間味信金"/>
    <s v="沖縄支店"/>
    <n v="301"/>
    <s v="玉川陽介"/>
    <n v="605"/>
    <s v="住宅ローン"/>
    <n v="222"/>
    <x v="19"/>
    <n v="222"/>
    <s v="プラウD目白301号"/>
    <n v="94000000"/>
    <d v="2021-03-11T00:00:00"/>
    <n v="2.8"/>
    <s v="信金基準金利+1.00%"/>
    <n v="30"/>
    <n v="30"/>
    <s v="元利均等"/>
    <d v="2022-06-06T00:00:00"/>
    <n v="169657"/>
    <n v="221433"/>
    <n v="391090"/>
    <n v="91457870"/>
    <n v="0.97295606382978728"/>
    <n v="28"/>
    <m/>
    <m/>
    <m/>
    <n v="673"/>
    <s v="第二抵当"/>
    <n v="109"/>
    <s v="カーサ南池袋"/>
    <n v="671"/>
    <s v="共同担保"/>
    <n v="111"/>
    <s v="目白カーサ二番館"/>
    <m/>
    <m/>
    <d v="2021-03-11T00:00:00"/>
    <d v="2021-03-11T00:00:00"/>
  </r>
  <r>
    <n v="826"/>
    <s v="返済中"/>
    <n v="501"/>
    <s v="石垣銀行"/>
    <s v="池袋支店"/>
    <n v="401"/>
    <s v="コアプラス東京株式会社"/>
    <n v="602"/>
    <s v="修繕資金"/>
    <n v="222"/>
    <x v="19"/>
    <n v="222"/>
    <s v="プラウD目白301号"/>
    <n v="20556000"/>
    <d v="2021-06-30T00:00:00"/>
    <n v="2.9636"/>
    <s v="信金基準金利+1.00%"/>
    <n v="5"/>
    <n v="5"/>
    <s v="元金均等"/>
    <d v="2022-06-27T00:00:00"/>
    <n v="326683"/>
    <n v="42817"/>
    <n v="369500"/>
    <n v="16705681"/>
    <n v="0.81269123370305507"/>
    <n v="3"/>
    <m/>
    <m/>
    <m/>
    <n v="671"/>
    <s v="共同担保"/>
    <n v="109"/>
    <s v="カーサ南池袋"/>
    <m/>
    <s v="なし"/>
    <m/>
    <s v="なし"/>
    <m/>
    <m/>
    <d v="2021-06-30T00:00:00"/>
    <d v="2021-06-30T00:00:00"/>
  </r>
  <r>
    <n v="827"/>
    <s v="返済中"/>
    <n v="502"/>
    <s v="首里信金"/>
    <s v="目白支店"/>
    <n v="401"/>
    <s v="コアプラス東京株式会社"/>
    <n v="603"/>
    <s v="運転資金"/>
    <n v="621"/>
    <x v="20"/>
    <n v="611"/>
    <s v="無担保"/>
    <n v="11000000"/>
    <d v="2021-09-30T00:00:00"/>
    <n v="1.875"/>
    <s v="信金基準金利+1.00%"/>
    <n v="10"/>
    <n v="10"/>
    <s v="元金均等"/>
    <d v="2022-06-30T00:00:00"/>
    <n v="84461"/>
    <n v="16139"/>
    <n v="100600"/>
    <n v="10244573"/>
    <n v="0.93132481818181823"/>
    <n v="8"/>
    <s v="保証協会"/>
    <s v="コロナ融資"/>
    <m/>
    <m/>
    <s v="なし"/>
    <m/>
    <s v="なし"/>
    <m/>
    <s v="なし"/>
    <m/>
    <s v="なし"/>
    <m/>
    <m/>
    <d v="2021-09-30T00:00:00"/>
    <d v="2021-09-30T00:00:00"/>
  </r>
  <r>
    <n v="828"/>
    <s v="返済中"/>
    <n v="502"/>
    <s v="首里信金"/>
    <s v="高田馬場支店"/>
    <n v="301"/>
    <s v="玉川陽介"/>
    <n v="604"/>
    <s v="他業借入"/>
    <n v="621"/>
    <x v="20"/>
    <n v="611"/>
    <s v="無担保"/>
    <n v="11000000"/>
    <d v="2021-09-30T00:00:00"/>
    <n v="1.875"/>
    <s v="信金基準金利+1.00%"/>
    <n v="10"/>
    <n v="10"/>
    <s v="元金均等"/>
    <d v="2022-06-30T00:00:00"/>
    <n v="84461"/>
    <n v="16139"/>
    <n v="100600"/>
    <n v="10244573"/>
    <n v="0.93132481818181823"/>
    <n v="8"/>
    <m/>
    <s v="書籍事業のため"/>
    <m/>
    <m/>
    <s v="なし"/>
    <m/>
    <s v="なし"/>
    <m/>
    <s v="なし"/>
    <m/>
    <s v="なし"/>
    <m/>
    <m/>
    <d v="2021-09-30T00:00:00"/>
    <d v="2021-09-30T00:00:00"/>
  </r>
  <r>
    <n v="829"/>
    <s v="返済中"/>
    <n v="502"/>
    <s v="首里信金"/>
    <s v="東京支店"/>
    <n v="401"/>
    <s v="コアプラス東京株式会社"/>
    <n v="602"/>
    <s v="修繕資金"/>
    <n v="121"/>
    <x v="21"/>
    <n v="611"/>
    <s v="無担保"/>
    <n v="10000000"/>
    <d v="2021-09-30T00:00:00"/>
    <n v="1.85"/>
    <s v="信金基準金利+1.00%"/>
    <n v="15"/>
    <n v="15"/>
    <s v="元金均等"/>
    <d v="2022-06-30T00:00:00"/>
    <n v="49298"/>
    <n v="14364"/>
    <n v="63662"/>
    <n v="9268450"/>
    <n v="0.92684500000000003"/>
    <n v="13"/>
    <m/>
    <s v="目白アパート1号館単体のみ。2号館は対象外"/>
    <m/>
    <m/>
    <s v="なし"/>
    <m/>
    <s v="なし"/>
    <m/>
    <s v="なし"/>
    <m/>
    <s v="なし"/>
    <m/>
    <m/>
    <d v="2021-09-30T00:00:00"/>
    <d v="2021-09-30T00:00:00"/>
  </r>
  <r>
    <n v="830"/>
    <s v="返済中"/>
    <n v="302"/>
    <s v="玉川花子"/>
    <s v="-"/>
    <n v="401"/>
    <s v="コアプラス東京株式会社"/>
    <n v="606"/>
    <s v="親族借入"/>
    <n v="621"/>
    <x v="20"/>
    <n v="611"/>
    <s v="無担保"/>
    <n v="2000000"/>
    <d v="2021-09-30T00:00:00"/>
    <n v="0"/>
    <s v="なし"/>
    <n v="10"/>
    <n v="10"/>
    <s v="期日一括"/>
    <d v="2022-06-30T00:00:00"/>
    <n v="0"/>
    <n v="0"/>
    <n v="0"/>
    <n v="2000000"/>
    <n v="1"/>
    <n v="8"/>
    <m/>
    <m/>
    <m/>
    <m/>
    <s v="なし"/>
    <m/>
    <s v="なし"/>
    <m/>
    <s v="なし"/>
    <m/>
    <s v="なし"/>
    <m/>
    <m/>
    <d v="2031-09-30T00:00:00"/>
    <d v="2031-09-30T00:00:00"/>
  </r>
  <r>
    <n v="831"/>
    <s v="完済"/>
    <n v="501"/>
    <s v="石垣銀行"/>
    <s v="沖縄支店"/>
    <n v="401"/>
    <s v="コアプラス東京株式会社"/>
    <n v="607"/>
    <s v="その他(間接部門)"/>
    <n v="621"/>
    <x v="20"/>
    <n v="611"/>
    <s v="無担保"/>
    <n v="11000000"/>
    <d v="2017-08-31T00:00:00"/>
    <n v="1.675"/>
    <s v="信金基準金利+1.00%"/>
    <n v="10"/>
    <n v="10"/>
    <s v="元金均等"/>
    <s v="完済"/>
    <m/>
    <m/>
    <m/>
    <m/>
    <n v="0"/>
    <n v="0"/>
    <m/>
    <m/>
    <m/>
    <m/>
    <s v="なし"/>
    <m/>
    <s v="なし"/>
    <m/>
    <s v="なし"/>
    <m/>
    <s v="なし"/>
    <m/>
    <m/>
    <d v="2017-08-31T00:00:00"/>
    <d v="2017-08-31T00:00:00"/>
  </r>
  <r>
    <n v="832"/>
    <s v="完済"/>
    <n v="501"/>
    <s v="石垣銀行"/>
    <s v="東京支店"/>
    <n v="401"/>
    <s v="コアプラス東京株式会社"/>
    <n v="608"/>
    <s v="その他(賃貸部門)"/>
    <n v="621"/>
    <x v="20"/>
    <n v="611"/>
    <s v="無担保"/>
    <n v="11000000"/>
    <d v="2017-08-31T00:00:00"/>
    <n v="1.675"/>
    <s v="信金基準金利+1.00%"/>
    <n v="10"/>
    <n v="10"/>
    <s v="元金均等"/>
    <s v="完済"/>
    <m/>
    <m/>
    <m/>
    <m/>
    <n v="0"/>
    <n v="0"/>
    <m/>
    <m/>
    <m/>
    <m/>
    <s v="なし"/>
    <m/>
    <s v="なし"/>
    <m/>
    <s v="なし"/>
    <m/>
    <s v="なし"/>
    <m/>
    <m/>
    <d v="2017-08-31T00:00:00"/>
    <d v="2017-08-31T00:00:00"/>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n v="1"/>
    <n v="101"/>
    <x v="0"/>
    <s v="101"/>
    <n v="16.89"/>
    <n v="631"/>
    <x v="0"/>
    <s v="1K"/>
    <n v="62000"/>
    <n v="3000"/>
    <n v="0"/>
    <n v="0"/>
    <n v="65000"/>
    <n v="65000"/>
    <n v="0"/>
    <n v="65000"/>
    <x v="0"/>
    <s v="日本人等"/>
    <x v="0"/>
    <s v=""/>
    <m/>
    <s v="101_101"/>
    <n v="65000"/>
    <m/>
    <n v="1"/>
    <n v="65000"/>
    <n v="0"/>
    <n v="0"/>
    <x v="0"/>
    <x v="0"/>
  </r>
  <r>
    <n v="2"/>
    <n v="101"/>
    <x v="0"/>
    <s v="102"/>
    <n v="16.75"/>
    <n v="631"/>
    <x v="0"/>
    <s v="1K"/>
    <n v="62000"/>
    <n v="3000"/>
    <n v="0"/>
    <n v="0"/>
    <n v="65000"/>
    <n v="65000"/>
    <n v="0"/>
    <n v="65000"/>
    <x v="0"/>
    <s v="日本人等"/>
    <x v="0"/>
    <s v=""/>
    <m/>
    <s v="101_102"/>
    <n v="61000"/>
    <m/>
    <n v="1"/>
    <n v="65000"/>
    <n v="0"/>
    <n v="4000"/>
    <x v="0"/>
    <x v="0"/>
  </r>
  <r>
    <n v="3"/>
    <n v="101"/>
    <x v="0"/>
    <s v="103"/>
    <n v="16.600000000000001"/>
    <n v="631"/>
    <x v="0"/>
    <s v="1K"/>
    <n v="69800"/>
    <n v="0"/>
    <n v="0"/>
    <n v="0"/>
    <n v="69800"/>
    <n v="69800"/>
    <n v="0"/>
    <n v="69800"/>
    <x v="1"/>
    <s v="日本人等"/>
    <x v="0"/>
    <s v=""/>
    <m/>
    <s v="101_103"/>
    <n v="66000"/>
    <m/>
    <n v="1"/>
    <n v="69800"/>
    <n v="0"/>
    <n v="3800"/>
    <x v="0"/>
    <x v="0"/>
  </r>
  <r>
    <n v="4"/>
    <n v="101"/>
    <x v="0"/>
    <s v="105"/>
    <n v="16.739999999999998"/>
    <n v="631"/>
    <x v="0"/>
    <s v="1K"/>
    <n v="60000"/>
    <n v="3000"/>
    <n v="0"/>
    <n v="0"/>
    <n v="63000"/>
    <n v="70000"/>
    <n v="0"/>
    <n v="70000"/>
    <x v="2"/>
    <s v="法人契約"/>
    <x v="0"/>
    <s v=""/>
    <m/>
    <s v="101_105"/>
    <n v="62000"/>
    <m/>
    <n v="1"/>
    <n v="63000"/>
    <n v="7000"/>
    <n v="1000"/>
    <x v="0"/>
    <x v="0"/>
  </r>
  <r>
    <n v="5"/>
    <n v="101"/>
    <x v="0"/>
    <s v="106"/>
    <n v="16.739999999999998"/>
    <n v="631"/>
    <x v="0"/>
    <s v="1K"/>
    <n v="64000"/>
    <n v="3000"/>
    <n v="0"/>
    <n v="0"/>
    <n v="67000"/>
    <n v="67000"/>
    <n v="0"/>
    <n v="67000"/>
    <x v="3"/>
    <s v="中華系"/>
    <x v="0"/>
    <s v=""/>
    <m/>
    <s v="101_106"/>
    <n v="65000"/>
    <m/>
    <n v="1"/>
    <n v="67000"/>
    <n v="0"/>
    <n v="2000"/>
    <x v="0"/>
    <x v="0"/>
  </r>
  <r>
    <n v="6"/>
    <n v="101"/>
    <x v="0"/>
    <s v="201"/>
    <n v="16.53"/>
    <n v="631"/>
    <x v="0"/>
    <s v="1K"/>
    <n v="56000"/>
    <n v="3000"/>
    <n v="0"/>
    <n v="0"/>
    <n v="59000"/>
    <n v="67000"/>
    <n v="0"/>
    <n v="67000"/>
    <x v="4"/>
    <s v="日本人等"/>
    <x v="0"/>
    <s v=""/>
    <m/>
    <s v="101_201"/>
    <n v="67000"/>
    <m/>
    <n v="1"/>
    <n v="59000"/>
    <n v="8000"/>
    <n v="-8000"/>
    <x v="0"/>
    <x v="0"/>
  </r>
  <r>
    <n v="7"/>
    <n v="101"/>
    <x v="0"/>
    <s v="202"/>
    <n v="16.75"/>
    <n v="631"/>
    <x v="0"/>
    <s v="1K"/>
    <n v="62000"/>
    <n v="3000"/>
    <n v="0"/>
    <n v="0"/>
    <n v="65000"/>
    <n v="65000"/>
    <n v="0"/>
    <n v="65000"/>
    <x v="0"/>
    <s v="住居法人契約"/>
    <x v="0"/>
    <s v=""/>
    <m/>
    <s v="101_202"/>
    <n v="65000"/>
    <m/>
    <n v="1"/>
    <n v="65000"/>
    <n v="0"/>
    <n v="0"/>
    <x v="0"/>
    <x v="0"/>
  </r>
  <r>
    <n v="8"/>
    <n v="101"/>
    <x v="0"/>
    <s v="203"/>
    <n v="16.600000000000001"/>
    <n v="631"/>
    <x v="0"/>
    <s v="1K"/>
    <n v="63000"/>
    <n v="3000"/>
    <n v="0"/>
    <n v="0"/>
    <n v="66000"/>
    <n v="70000"/>
    <n v="0"/>
    <n v="70000"/>
    <x v="5"/>
    <s v="日本人等"/>
    <x v="0"/>
    <s v=""/>
    <m/>
    <s v="101_203"/>
    <n v="67000"/>
    <m/>
    <n v="1"/>
    <n v="66000"/>
    <n v="4000"/>
    <n v="-1000"/>
    <x v="0"/>
    <x v="0"/>
  </r>
  <r>
    <n v="9"/>
    <n v="101"/>
    <x v="0"/>
    <s v="205"/>
    <n v="16.739999999999998"/>
    <n v="631"/>
    <x v="0"/>
    <s v="1K"/>
    <n v="63000"/>
    <n v="3000"/>
    <n v="0"/>
    <n v="0"/>
    <n v="66000"/>
    <n v="68000"/>
    <n v="0"/>
    <n v="68000"/>
    <x v="5"/>
    <s v="日本人等"/>
    <x v="0"/>
    <s v=""/>
    <m/>
    <s v="101_205"/>
    <n v="67000"/>
    <m/>
    <n v="1"/>
    <n v="66000"/>
    <n v="2000"/>
    <n v="-1000"/>
    <x v="0"/>
    <x v="0"/>
  </r>
  <r>
    <n v="10"/>
    <n v="101"/>
    <x v="0"/>
    <s v="301"/>
    <n v="16.559999999999999"/>
    <n v="631"/>
    <x v="0"/>
    <s v="1K"/>
    <n v="62000"/>
    <n v="0"/>
    <n v="0"/>
    <n v="0"/>
    <n v="62000"/>
    <n v="62000"/>
    <n v="0"/>
    <n v="62000"/>
    <x v="6"/>
    <s v="日本人等"/>
    <x v="0"/>
    <s v=""/>
    <m/>
    <s v="101_301"/>
    <n v="62000"/>
    <m/>
    <n v="1"/>
    <n v="62000"/>
    <n v="0"/>
    <n v="0"/>
    <x v="0"/>
    <x v="0"/>
  </r>
  <r>
    <n v="11"/>
    <n v="101"/>
    <x v="0"/>
    <s v="302"/>
    <n v="16.559999999999999"/>
    <n v="631"/>
    <x v="0"/>
    <s v="1K"/>
    <n v="63000"/>
    <n v="3000"/>
    <n v="0"/>
    <n v="0"/>
    <n v="66000"/>
    <n v="66000"/>
    <n v="0"/>
    <n v="66000"/>
    <x v="5"/>
    <s v="日本人等"/>
    <x v="0"/>
    <s v=""/>
    <m/>
    <s v="101_302"/>
    <n v="65000"/>
    <m/>
    <n v="1"/>
    <n v="66000"/>
    <n v="0"/>
    <n v="1000"/>
    <x v="0"/>
    <x v="0"/>
  </r>
  <r>
    <n v="12"/>
    <n v="101"/>
    <x v="0"/>
    <s v="303"/>
    <n v="16.559999999999999"/>
    <n v="631"/>
    <x v="0"/>
    <s v="1K"/>
    <n v="62000"/>
    <n v="3000"/>
    <n v="0"/>
    <n v="0"/>
    <n v="65000"/>
    <n v="65000"/>
    <n v="0"/>
    <n v="65000"/>
    <x v="0"/>
    <s v="日本人等"/>
    <x v="0"/>
    <s v=""/>
    <m/>
    <s v="101_303"/>
    <n v="65000"/>
    <m/>
    <n v="1"/>
    <n v="65000"/>
    <n v="0"/>
    <n v="0"/>
    <x v="0"/>
    <x v="0"/>
  </r>
  <r>
    <n v="13"/>
    <n v="101"/>
    <x v="0"/>
    <s v="305"/>
    <n v="16.77"/>
    <n v="631"/>
    <x v="0"/>
    <s v="1K"/>
    <n v="67000"/>
    <n v="3000"/>
    <n v="0"/>
    <n v="0"/>
    <n v="70000"/>
    <n v="70000"/>
    <n v="0"/>
    <n v="70000"/>
    <x v="7"/>
    <s v="中華系"/>
    <x v="0"/>
    <s v=""/>
    <m/>
    <s v="101_305"/>
    <n v="68000"/>
    <m/>
    <n v="1"/>
    <n v="70000"/>
    <n v="0"/>
    <n v="2000"/>
    <x v="0"/>
    <x v="0"/>
  </r>
  <r>
    <n v="14"/>
    <n v="101"/>
    <x v="0"/>
    <s v="306"/>
    <n v="16.53"/>
    <n v="631"/>
    <x v="0"/>
    <s v="1K"/>
    <n v="57000"/>
    <n v="3000"/>
    <n v="0"/>
    <n v="0"/>
    <n v="60000"/>
    <n v="70000"/>
    <n v="0"/>
    <n v="70000"/>
    <x v="8"/>
    <s v="中華系"/>
    <x v="0"/>
    <s v=""/>
    <m/>
    <s v="101_306"/>
    <n v="63000"/>
    <m/>
    <n v="1"/>
    <n v="60000"/>
    <n v="10000"/>
    <n v="-3000"/>
    <x v="0"/>
    <x v="0"/>
  </r>
  <r>
    <n v="15"/>
    <n v="101"/>
    <x v="0"/>
    <s v="307"/>
    <n v="16.75"/>
    <n v="631"/>
    <x v="0"/>
    <s v="1K"/>
    <n v="56000"/>
    <n v="3000"/>
    <n v="0"/>
    <n v="0"/>
    <n v="59000"/>
    <n v="65000"/>
    <n v="0"/>
    <n v="65000"/>
    <x v="4"/>
    <s v="日本人等"/>
    <x v="0"/>
    <s v=""/>
    <m/>
    <s v="101_307"/>
    <n v="67000"/>
    <m/>
    <n v="1"/>
    <n v="59000"/>
    <n v="6000"/>
    <n v="-8000"/>
    <x v="0"/>
    <x v="0"/>
  </r>
  <r>
    <n v="16"/>
    <n v="101"/>
    <x v="0"/>
    <s v="308"/>
    <n v="16.600000000000001"/>
    <n v="631"/>
    <x v="0"/>
    <s v="1K"/>
    <n v="69000"/>
    <n v="0"/>
    <n v="0"/>
    <n v="0"/>
    <n v="69000"/>
    <n v="69000"/>
    <n v="0"/>
    <n v="69000"/>
    <x v="9"/>
    <s v="日本人等"/>
    <x v="0"/>
    <s v=""/>
    <m/>
    <s v="101_308"/>
    <n v="69000"/>
    <m/>
    <n v="1"/>
    <n v="69000"/>
    <n v="0"/>
    <n v="0"/>
    <x v="0"/>
    <x v="0"/>
  </r>
  <r>
    <n v="17"/>
    <n v="101"/>
    <x v="0"/>
    <s v="401"/>
    <n v="16.559999999999999"/>
    <n v="631"/>
    <x v="0"/>
    <s v="1K"/>
    <n v="67000"/>
    <n v="3000"/>
    <n v="0"/>
    <n v="0"/>
    <n v="70000"/>
    <n v="70000"/>
    <n v="0"/>
    <n v="70000"/>
    <x v="7"/>
    <s v="日本人等"/>
    <x v="0"/>
    <s v=""/>
    <m/>
    <s v="101_401"/>
    <n v="66000"/>
    <m/>
    <n v="1"/>
    <n v="70000"/>
    <n v="0"/>
    <n v="4000"/>
    <x v="0"/>
    <x v="0"/>
  </r>
  <r>
    <n v="18"/>
    <n v="101"/>
    <x v="0"/>
    <s v="402"/>
    <n v="16.559999999999999"/>
    <n v="631"/>
    <x v="0"/>
    <s v="1K"/>
    <n v="62000"/>
    <n v="2000"/>
    <n v="0"/>
    <n v="0"/>
    <n v="64000"/>
    <n v="64000"/>
    <n v="0"/>
    <n v="64000"/>
    <x v="10"/>
    <s v="日本人等"/>
    <x v="0"/>
    <s v=""/>
    <m/>
    <s v="101_402"/>
    <n v="64000"/>
    <m/>
    <n v="1"/>
    <n v="64000"/>
    <n v="0"/>
    <n v="0"/>
    <x v="0"/>
    <x v="0"/>
  </r>
  <r>
    <n v="19"/>
    <n v="101"/>
    <x v="0"/>
    <s v="403"/>
    <n v="16.559999999999999"/>
    <n v="631"/>
    <x v="0"/>
    <s v="1K"/>
    <n v="60000"/>
    <n v="3000"/>
    <n v="0"/>
    <n v="0"/>
    <n v="63000"/>
    <n v="70000"/>
    <n v="0"/>
    <n v="70000"/>
    <x v="2"/>
    <s v="日本人等"/>
    <x v="0"/>
    <s v=""/>
    <m/>
    <s v="101_403"/>
    <n v="65000"/>
    <m/>
    <n v="1"/>
    <n v="63000"/>
    <n v="7000"/>
    <n v="-2000"/>
    <x v="0"/>
    <x v="0"/>
  </r>
  <r>
    <n v="20"/>
    <n v="101"/>
    <x v="0"/>
    <s v="405"/>
    <n v="16.77"/>
    <n v="631"/>
    <x v="0"/>
    <s v="1K"/>
    <n v="69000"/>
    <n v="3000"/>
    <n v="0"/>
    <n v="0"/>
    <n v="72000"/>
    <n v="72000"/>
    <n v="0"/>
    <n v="72000"/>
    <x v="11"/>
    <s v="日本人等"/>
    <x v="0"/>
    <s v=""/>
    <m/>
    <s v="101_405"/>
    <n v="65000"/>
    <m/>
    <n v="1"/>
    <n v="72000"/>
    <n v="0"/>
    <n v="7000"/>
    <x v="0"/>
    <x v="0"/>
  </r>
  <r>
    <n v="21"/>
    <n v="101"/>
    <x v="0"/>
    <s v="406"/>
    <n v="16.53"/>
    <n v="631"/>
    <x v="0"/>
    <s v="1K"/>
    <n v="62000"/>
    <n v="3000"/>
    <n v="0"/>
    <n v="0"/>
    <n v="65000"/>
    <n v="70000"/>
    <n v="0"/>
    <n v="70000"/>
    <x v="0"/>
    <s v="日本人等"/>
    <x v="0"/>
    <s v=""/>
    <m/>
    <s v="101_406"/>
    <n v="70000"/>
    <m/>
    <n v="1"/>
    <n v="65000"/>
    <n v="5000"/>
    <n v="-5000"/>
    <x v="0"/>
    <x v="0"/>
  </r>
  <r>
    <n v="22"/>
    <n v="101"/>
    <x v="0"/>
    <s v="407"/>
    <n v="17.829999999999998"/>
    <n v="631"/>
    <x v="0"/>
    <s v="1K"/>
    <n v="67000"/>
    <n v="0"/>
    <n v="0"/>
    <n v="0"/>
    <n v="67000"/>
    <n v="67000"/>
    <n v="0"/>
    <n v="67000"/>
    <x v="3"/>
    <s v="日本人等"/>
    <x v="0"/>
    <s v=""/>
    <m/>
    <s v="101_407"/>
    <n v="67000"/>
    <m/>
    <n v="1"/>
    <n v="67000"/>
    <n v="0"/>
    <n v="0"/>
    <x v="0"/>
    <x v="0"/>
  </r>
  <r>
    <n v="23"/>
    <n v="101"/>
    <x v="0"/>
    <s v="100"/>
    <n v="104.58"/>
    <n v="632"/>
    <x v="1"/>
    <s v="事務所"/>
    <n v="275000"/>
    <n v="0"/>
    <n v="0"/>
    <n v="27500"/>
    <n v="302500"/>
    <n v="275000"/>
    <n v="27500"/>
    <n v="302500"/>
    <x v="12"/>
    <s v="法人契約"/>
    <x v="0"/>
    <s v=""/>
    <m/>
    <s v="101_100"/>
    <n v="250000"/>
    <m/>
    <n v="1"/>
    <n v="275000"/>
    <n v="0"/>
    <n v="25000"/>
    <x v="0"/>
    <x v="0"/>
  </r>
  <r>
    <n v="24"/>
    <n v="101"/>
    <x v="0"/>
    <s v="RF1"/>
    <n v="0"/>
    <n v="635"/>
    <x v="2"/>
    <s v="その他"/>
    <n v="90000"/>
    <n v="0"/>
    <n v="0"/>
    <n v="9000"/>
    <n v="99000"/>
    <n v="90000"/>
    <n v="9000"/>
    <n v="99000"/>
    <x v="13"/>
    <s v="-"/>
    <x v="0"/>
    <s v="楽天"/>
    <m/>
    <s v="101_RF1"/>
    <n v="0"/>
    <m/>
    <n v="1"/>
    <n v="90000"/>
    <n v="0"/>
    <n v="90000"/>
    <x v="0"/>
    <x v="0"/>
  </r>
  <r>
    <n v="25"/>
    <n v="101"/>
    <x v="0"/>
    <s v="NTF1"/>
    <s v="-"/>
    <n v="639"/>
    <x v="3"/>
    <s v="その他"/>
    <n v="0"/>
    <n v="0"/>
    <n v="0"/>
    <n v="0"/>
    <n v="0"/>
    <n v="0"/>
    <n v="0"/>
    <n v="0"/>
    <x v="14"/>
    <s v="-"/>
    <x v="1"/>
    <s v="フレッツ光"/>
    <m/>
    <s v="101_NTF1"/>
    <n v="0"/>
    <m/>
    <n v="0"/>
    <n v="0"/>
    <n v="0"/>
    <n v="0"/>
    <x v="1"/>
    <x v="0"/>
  </r>
  <r>
    <n v="26"/>
    <n v="102"/>
    <x v="1"/>
    <s v="101"/>
    <n v="23.95"/>
    <n v="631"/>
    <x v="0"/>
    <s v="1K"/>
    <n v="73000"/>
    <n v="7000"/>
    <n v="0"/>
    <n v="0"/>
    <n v="80000"/>
    <n v="80000"/>
    <n v="0"/>
    <n v="80000"/>
    <x v="15"/>
    <s v="日本人等"/>
    <x v="0"/>
    <s v=""/>
    <m/>
    <s v="102_101"/>
    <n v="63000"/>
    <m/>
    <n v="1"/>
    <n v="80000"/>
    <n v="0"/>
    <n v="17000"/>
    <x v="0"/>
    <x v="0"/>
  </r>
  <r>
    <n v="27"/>
    <n v="102"/>
    <x v="1"/>
    <s v="102"/>
    <n v="20.079999999999998"/>
    <n v="631"/>
    <x v="0"/>
    <s v="1K"/>
    <n v="55000"/>
    <n v="7000"/>
    <n v="0"/>
    <n v="0"/>
    <n v="62000"/>
    <n v="62000"/>
    <n v="0"/>
    <n v="62000"/>
    <x v="6"/>
    <s v="日本人等"/>
    <x v="0"/>
    <s v=""/>
    <m/>
    <s v="102_102"/>
    <n v="62000"/>
    <m/>
    <n v="1"/>
    <n v="62000"/>
    <n v="0"/>
    <n v="0"/>
    <x v="0"/>
    <x v="0"/>
  </r>
  <r>
    <n v="28"/>
    <n v="102"/>
    <x v="1"/>
    <s v="103"/>
    <n v="23.25"/>
    <n v="631"/>
    <x v="0"/>
    <s v="1K"/>
    <n v="70000"/>
    <n v="7000"/>
    <n v="0"/>
    <n v="0"/>
    <n v="77000"/>
    <n v="77000"/>
    <n v="0"/>
    <n v="77000"/>
    <x v="16"/>
    <s v="中華系"/>
    <x v="0"/>
    <s v=""/>
    <m/>
    <s v="102_103"/>
    <n v="68000"/>
    <m/>
    <n v="1"/>
    <n v="77000"/>
    <n v="0"/>
    <n v="9000"/>
    <x v="0"/>
    <x v="0"/>
  </r>
  <r>
    <n v="29"/>
    <n v="102"/>
    <x v="1"/>
    <s v="105"/>
    <n v="23.25"/>
    <n v="631"/>
    <x v="0"/>
    <s v="1K"/>
    <n v="72000"/>
    <n v="7000"/>
    <n v="0"/>
    <n v="0"/>
    <n v="79000"/>
    <n v="79000"/>
    <n v="0"/>
    <n v="79000"/>
    <x v="17"/>
    <s v="中華系"/>
    <x v="0"/>
    <s v=""/>
    <m/>
    <s v="102_105"/>
    <n v="67000"/>
    <m/>
    <n v="1"/>
    <n v="79000"/>
    <n v="0"/>
    <n v="12000"/>
    <x v="0"/>
    <x v="0"/>
  </r>
  <r>
    <n v="30"/>
    <n v="102"/>
    <x v="1"/>
    <s v="106"/>
    <n v="27.3"/>
    <n v="631"/>
    <x v="0"/>
    <s v="1K"/>
    <n v="73000"/>
    <n v="7000"/>
    <n v="0"/>
    <n v="0"/>
    <n v="80000"/>
    <n v="80000"/>
    <n v="0"/>
    <n v="80000"/>
    <x v="15"/>
    <s v="中華系"/>
    <x v="0"/>
    <s v=""/>
    <m/>
    <s v="102_106"/>
    <n v="75000"/>
    <m/>
    <n v="1"/>
    <n v="80000"/>
    <n v="0"/>
    <n v="5000"/>
    <x v="0"/>
    <x v="0"/>
  </r>
  <r>
    <n v="31"/>
    <n v="102"/>
    <x v="1"/>
    <s v="107"/>
    <n v="27.3"/>
    <n v="631"/>
    <x v="0"/>
    <s v="1K"/>
    <n v="78000"/>
    <n v="7000"/>
    <n v="0"/>
    <n v="0"/>
    <n v="85000"/>
    <n v="85000"/>
    <n v="0"/>
    <n v="85000"/>
    <x v="18"/>
    <s v="日本人等"/>
    <x v="0"/>
    <s v=""/>
    <m/>
    <s v="102_107"/>
    <n v="70000"/>
    <m/>
    <n v="1"/>
    <n v="85000"/>
    <n v="0"/>
    <n v="15000"/>
    <x v="0"/>
    <x v="0"/>
  </r>
  <r>
    <n v="32"/>
    <n v="102"/>
    <x v="1"/>
    <s v="108"/>
    <n v="22.98"/>
    <n v="631"/>
    <x v="0"/>
    <s v="1K"/>
    <n v="68000"/>
    <n v="7000"/>
    <n v="0"/>
    <n v="0"/>
    <n v="75000"/>
    <n v="75000"/>
    <n v="0"/>
    <n v="75000"/>
    <x v="19"/>
    <s v="日本人等"/>
    <x v="0"/>
    <s v=""/>
    <m/>
    <s v="102_108"/>
    <n v="64000"/>
    <m/>
    <n v="1"/>
    <n v="75000"/>
    <n v="0"/>
    <n v="11000"/>
    <x v="0"/>
    <x v="0"/>
  </r>
  <r>
    <n v="33"/>
    <n v="102"/>
    <x v="1"/>
    <s v="109"/>
    <n v="22.98"/>
    <n v="631"/>
    <x v="0"/>
    <s v="1K"/>
    <n v="61000"/>
    <n v="7000"/>
    <n v="0"/>
    <n v="0"/>
    <n v="68000"/>
    <n v="76000"/>
    <n v="0"/>
    <n v="76000"/>
    <x v="20"/>
    <s v="日本人等"/>
    <x v="0"/>
    <s v=""/>
    <m/>
    <s v="102_109"/>
    <n v="66000"/>
    <m/>
    <n v="1"/>
    <n v="68000"/>
    <n v="8000"/>
    <n v="2000"/>
    <x v="0"/>
    <x v="0"/>
  </r>
  <r>
    <n v="34"/>
    <n v="102"/>
    <x v="1"/>
    <s v="110"/>
    <n v="23.27"/>
    <n v="631"/>
    <x v="0"/>
    <s v="1K"/>
    <n v="61000"/>
    <n v="7000"/>
    <n v="0"/>
    <n v="0"/>
    <n v="68000"/>
    <n v="68000"/>
    <n v="0"/>
    <n v="68000"/>
    <x v="20"/>
    <s v="日本人等"/>
    <x v="0"/>
    <s v=""/>
    <m/>
    <s v="102_110"/>
    <n v="68000"/>
    <m/>
    <n v="1"/>
    <n v="68000"/>
    <n v="0"/>
    <n v="0"/>
    <x v="0"/>
    <x v="0"/>
  </r>
  <r>
    <n v="35"/>
    <n v="102"/>
    <x v="1"/>
    <s v="201"/>
    <n v="23.95"/>
    <n v="631"/>
    <x v="0"/>
    <s v="1K"/>
    <n v="70000"/>
    <n v="7000"/>
    <n v="0"/>
    <n v="0"/>
    <n v="77000"/>
    <n v="77000"/>
    <n v="0"/>
    <n v="77000"/>
    <x v="16"/>
    <s v="日本人等"/>
    <x v="0"/>
    <s v=""/>
    <m/>
    <s v="102_201"/>
    <n v="93000"/>
    <m/>
    <n v="1"/>
    <n v="77000"/>
    <n v="0"/>
    <n v="-16000"/>
    <x v="0"/>
    <x v="0"/>
  </r>
  <r>
    <n v="36"/>
    <n v="102"/>
    <x v="1"/>
    <s v="202"/>
    <n v="20.079999999999998"/>
    <n v="631"/>
    <x v="0"/>
    <s v="1K"/>
    <n v="75000"/>
    <n v="7000"/>
    <n v="0"/>
    <n v="0"/>
    <n v="82000"/>
    <n v="82000"/>
    <n v="0"/>
    <n v="82000"/>
    <x v="21"/>
    <s v="中華系"/>
    <x v="0"/>
    <s v=""/>
    <m/>
    <s v="102_202"/>
    <n v="67000"/>
    <m/>
    <n v="1"/>
    <n v="82000"/>
    <n v="0"/>
    <n v="15000"/>
    <x v="0"/>
    <x v="0"/>
  </r>
  <r>
    <n v="37"/>
    <n v="102"/>
    <x v="1"/>
    <s v="203"/>
    <n v="23.25"/>
    <n v="631"/>
    <x v="0"/>
    <s v="1K"/>
    <n v="73000"/>
    <n v="7000"/>
    <n v="0"/>
    <n v="0"/>
    <n v="80000"/>
    <n v="85000"/>
    <n v="0"/>
    <n v="85000"/>
    <x v="15"/>
    <s v="日本人等"/>
    <x v="0"/>
    <s v=""/>
    <m/>
    <s v="102_203"/>
    <n v="77000"/>
    <m/>
    <n v="1"/>
    <n v="80000"/>
    <n v="5000"/>
    <n v="3000"/>
    <x v="0"/>
    <x v="0"/>
  </r>
  <r>
    <n v="38"/>
    <n v="102"/>
    <x v="1"/>
    <s v="205"/>
    <n v="23.25"/>
    <n v="631"/>
    <x v="0"/>
    <s v="1K"/>
    <n v="68000"/>
    <n v="7000"/>
    <n v="0"/>
    <n v="0"/>
    <n v="75000"/>
    <n v="69000"/>
    <n v="0"/>
    <n v="69000"/>
    <x v="19"/>
    <s v="日本人等"/>
    <x v="0"/>
    <s v=""/>
    <m/>
    <s v="102_205"/>
    <n v="69000"/>
    <m/>
    <n v="1"/>
    <n v="75000"/>
    <n v="-6000"/>
    <n v="6000"/>
    <x v="0"/>
    <x v="0"/>
  </r>
  <r>
    <n v="39"/>
    <n v="102"/>
    <x v="1"/>
    <s v="206"/>
    <n v="27.3"/>
    <n v="631"/>
    <x v="0"/>
    <s v="1K"/>
    <n v="73000"/>
    <n v="7000"/>
    <n v="0"/>
    <n v="0"/>
    <n v="80000"/>
    <n v="86000"/>
    <n v="0"/>
    <n v="86000"/>
    <x v="15"/>
    <s v="中華系"/>
    <x v="0"/>
    <s v=""/>
    <m/>
    <s v="102_206"/>
    <n v="73000"/>
    <m/>
    <n v="1"/>
    <n v="80000"/>
    <n v="6000"/>
    <n v="7000"/>
    <x v="0"/>
    <x v="0"/>
  </r>
  <r>
    <n v="40"/>
    <n v="102"/>
    <x v="1"/>
    <s v="207"/>
    <n v="27.3"/>
    <n v="631"/>
    <x v="0"/>
    <s v="1K"/>
    <n v="82000"/>
    <n v="7000"/>
    <n v="0"/>
    <n v="0"/>
    <n v="89000"/>
    <n v="92000"/>
    <n v="0"/>
    <n v="92000"/>
    <x v="22"/>
    <s v="中華系"/>
    <x v="0"/>
    <s v=""/>
    <m/>
    <s v="102_207"/>
    <n v="72000"/>
    <m/>
    <n v="1"/>
    <n v="89000"/>
    <n v="3000"/>
    <n v="17000"/>
    <x v="0"/>
    <x v="0"/>
  </r>
  <r>
    <n v="41"/>
    <n v="102"/>
    <x v="1"/>
    <s v="208"/>
    <n v="22.98"/>
    <n v="631"/>
    <x v="0"/>
    <s v="1K"/>
    <n v="78000"/>
    <n v="7000"/>
    <n v="0"/>
    <n v="0"/>
    <n v="85000"/>
    <n v="85000"/>
    <n v="0"/>
    <n v="85000"/>
    <x v="18"/>
    <s v="中華系"/>
    <x v="0"/>
    <s v=""/>
    <m/>
    <s v="102_208"/>
    <n v="76000"/>
    <m/>
    <n v="1"/>
    <n v="85000"/>
    <n v="0"/>
    <n v="9000"/>
    <x v="0"/>
    <x v="0"/>
  </r>
  <r>
    <n v="42"/>
    <n v="102"/>
    <x v="1"/>
    <s v="209"/>
    <n v="22.98"/>
    <n v="631"/>
    <x v="0"/>
    <s v="1K"/>
    <n v="75000"/>
    <n v="7000"/>
    <n v="0"/>
    <n v="0"/>
    <n v="82000"/>
    <n v="82000"/>
    <n v="0"/>
    <n v="82000"/>
    <x v="21"/>
    <s v="中華系"/>
    <x v="0"/>
    <s v=""/>
    <m/>
    <s v="102_209"/>
    <n v="69000"/>
    <m/>
    <n v="1"/>
    <n v="82000"/>
    <n v="0"/>
    <n v="13000"/>
    <x v="0"/>
    <x v="0"/>
  </r>
  <r>
    <n v="43"/>
    <n v="102"/>
    <x v="1"/>
    <s v="301"/>
    <n v="23.95"/>
    <n v="631"/>
    <x v="0"/>
    <s v="1K"/>
    <n v="78000"/>
    <n v="7000"/>
    <n v="0"/>
    <n v="0"/>
    <n v="85000"/>
    <n v="85000"/>
    <n v="0"/>
    <n v="85000"/>
    <x v="18"/>
    <s v="中華系"/>
    <x v="0"/>
    <s v=""/>
    <m/>
    <s v="102_301"/>
    <n v="75000"/>
    <m/>
    <n v="1"/>
    <n v="85000"/>
    <n v="0"/>
    <n v="10000"/>
    <x v="0"/>
    <x v="0"/>
  </r>
  <r>
    <n v="44"/>
    <n v="102"/>
    <x v="1"/>
    <s v="302"/>
    <n v="20.079999999999998"/>
    <n v="631"/>
    <x v="0"/>
    <s v="1K"/>
    <n v="65000"/>
    <n v="10000"/>
    <n v="0"/>
    <n v="0"/>
    <n v="75000"/>
    <n v="75000"/>
    <n v="0"/>
    <n v="75000"/>
    <x v="19"/>
    <s v="日本人等"/>
    <x v="0"/>
    <s v=""/>
    <m/>
    <s v="102_302"/>
    <n v="75000"/>
    <m/>
    <n v="1"/>
    <n v="75000"/>
    <n v="0"/>
    <n v="0"/>
    <x v="0"/>
    <x v="0"/>
  </r>
  <r>
    <n v="45"/>
    <n v="102"/>
    <x v="1"/>
    <s v="303"/>
    <n v="23.25"/>
    <n v="631"/>
    <x v="0"/>
    <s v="1K"/>
    <n v="72000"/>
    <n v="7000"/>
    <n v="0"/>
    <n v="0"/>
    <n v="79000"/>
    <n v="77000"/>
    <n v="0"/>
    <n v="77000"/>
    <x v="17"/>
    <s v="中華系"/>
    <x v="0"/>
    <s v=""/>
    <m/>
    <s v="102_303"/>
    <n v="73000"/>
    <m/>
    <n v="1"/>
    <n v="79000"/>
    <n v="-2000"/>
    <n v="6000"/>
    <x v="0"/>
    <x v="0"/>
  </r>
  <r>
    <n v="46"/>
    <n v="102"/>
    <x v="1"/>
    <s v="305"/>
    <n v="23.25"/>
    <n v="631"/>
    <x v="0"/>
    <s v="1K"/>
    <n v="78000"/>
    <n v="7000"/>
    <n v="0"/>
    <n v="0"/>
    <n v="85000"/>
    <n v="85000"/>
    <n v="0"/>
    <n v="85000"/>
    <x v="18"/>
    <s v="中華系"/>
    <x v="0"/>
    <s v=""/>
    <m/>
    <s v="102_305"/>
    <n v="73000"/>
    <m/>
    <n v="1"/>
    <n v="85000"/>
    <n v="0"/>
    <n v="12000"/>
    <x v="0"/>
    <x v="0"/>
  </r>
  <r>
    <n v="47"/>
    <n v="102"/>
    <x v="1"/>
    <s v="306"/>
    <n v="27.3"/>
    <n v="631"/>
    <x v="0"/>
    <s v="1K"/>
    <n v="73000"/>
    <n v="7000"/>
    <n v="0"/>
    <n v="0"/>
    <n v="80000"/>
    <n v="75000"/>
    <n v="0"/>
    <n v="75000"/>
    <x v="15"/>
    <s v="中華系"/>
    <x v="0"/>
    <s v=""/>
    <m/>
    <s v="102_306"/>
    <n v="75000"/>
    <m/>
    <n v="1"/>
    <n v="80000"/>
    <n v="-5000"/>
    <n v="5000"/>
    <x v="0"/>
    <x v="0"/>
  </r>
  <r>
    <n v="48"/>
    <n v="102"/>
    <x v="1"/>
    <s v="307"/>
    <n v="27.3"/>
    <n v="631"/>
    <x v="0"/>
    <s v="1K"/>
    <n v="85000"/>
    <n v="7000"/>
    <n v="0"/>
    <n v="0"/>
    <n v="92000"/>
    <n v="92000"/>
    <n v="0"/>
    <n v="92000"/>
    <x v="23"/>
    <s v="中華系"/>
    <x v="0"/>
    <s v=""/>
    <m/>
    <s v="102_307"/>
    <n v="73000"/>
    <m/>
    <n v="1"/>
    <n v="92000"/>
    <n v="0"/>
    <n v="19000"/>
    <x v="0"/>
    <x v="0"/>
  </r>
  <r>
    <n v="49"/>
    <n v="102"/>
    <x v="1"/>
    <s v="308"/>
    <n v="22.98"/>
    <n v="631"/>
    <x v="0"/>
    <s v="1K"/>
    <n v="67000"/>
    <n v="7000"/>
    <n v="0"/>
    <n v="0"/>
    <n v="74000"/>
    <n v="74000"/>
    <n v="0"/>
    <n v="74000"/>
    <x v="24"/>
    <s v="中華系"/>
    <x v="0"/>
    <s v=""/>
    <m/>
    <s v="102_308"/>
    <n v="73000"/>
    <m/>
    <n v="1"/>
    <n v="74000"/>
    <n v="0"/>
    <n v="1000"/>
    <x v="0"/>
    <x v="0"/>
  </r>
  <r>
    <n v="50"/>
    <n v="102"/>
    <x v="1"/>
    <s v="309"/>
    <n v="22.98"/>
    <n v="631"/>
    <x v="0"/>
    <s v="1K"/>
    <n v="75000"/>
    <n v="7000"/>
    <n v="0"/>
    <n v="0"/>
    <n v="82000"/>
    <n v="85000"/>
    <n v="0"/>
    <n v="85000"/>
    <x v="21"/>
    <s v="中華系"/>
    <x v="0"/>
    <s v=""/>
    <m/>
    <s v="102_309"/>
    <n v="73000"/>
    <m/>
    <n v="1"/>
    <n v="82000"/>
    <n v="3000"/>
    <n v="9000"/>
    <x v="0"/>
    <x v="0"/>
  </r>
  <r>
    <n v="51"/>
    <n v="102"/>
    <x v="1"/>
    <s v="310"/>
    <n v="23.27"/>
    <n v="631"/>
    <x v="0"/>
    <s v="1K"/>
    <n v="73000"/>
    <n v="7000"/>
    <n v="0"/>
    <n v="0"/>
    <n v="80000"/>
    <n v="89000"/>
    <n v="0"/>
    <n v="89000"/>
    <x v="15"/>
    <s v="日本人等"/>
    <x v="0"/>
    <s v=""/>
    <m/>
    <s v="102_310"/>
    <n v="74000"/>
    <m/>
    <n v="1"/>
    <n v="80000"/>
    <n v="9000"/>
    <n v="6000"/>
    <x v="0"/>
    <x v="0"/>
  </r>
  <r>
    <n v="52"/>
    <n v="102"/>
    <x v="1"/>
    <s v="311"/>
    <n v="20.92"/>
    <n v="631"/>
    <x v="0"/>
    <s v="1K"/>
    <n v="61000"/>
    <n v="7000"/>
    <n v="0"/>
    <n v="0"/>
    <n v="68000"/>
    <n v="68000"/>
    <n v="0"/>
    <n v="68000"/>
    <x v="20"/>
    <s v="日本人等"/>
    <x v="0"/>
    <s v=""/>
    <m/>
    <s v="102_311"/>
    <n v="68000"/>
    <m/>
    <n v="1"/>
    <n v="68000"/>
    <n v="0"/>
    <n v="0"/>
    <x v="0"/>
    <x v="0"/>
  </r>
  <r>
    <n v="53"/>
    <n v="102"/>
    <x v="1"/>
    <s v="312"/>
    <n v="31.18"/>
    <n v="631"/>
    <x v="0"/>
    <s v="1K"/>
    <n v="82000"/>
    <n v="7000"/>
    <n v="0"/>
    <n v="0"/>
    <n v="89000"/>
    <n v="89000"/>
    <n v="0"/>
    <n v="89000"/>
    <x v="22"/>
    <s v="中華系"/>
    <x v="0"/>
    <s v=""/>
    <m/>
    <s v="102_312"/>
    <n v="89000"/>
    <m/>
    <n v="1"/>
    <n v="89000"/>
    <n v="0"/>
    <n v="0"/>
    <x v="0"/>
    <x v="0"/>
  </r>
  <r>
    <n v="54"/>
    <n v="102"/>
    <x v="1"/>
    <s v="401"/>
    <n v="34.72"/>
    <n v="631"/>
    <x v="0"/>
    <s v="1K"/>
    <n v="97000"/>
    <n v="7000"/>
    <n v="0"/>
    <n v="0"/>
    <n v="104000"/>
    <n v="104000"/>
    <n v="0"/>
    <n v="104000"/>
    <x v="25"/>
    <s v="日本人等"/>
    <x v="0"/>
    <s v=""/>
    <m/>
    <s v="102_401"/>
    <n v="97000"/>
    <m/>
    <n v="1"/>
    <n v="104000"/>
    <n v="0"/>
    <n v="7000"/>
    <x v="0"/>
    <x v="0"/>
  </r>
  <r>
    <n v="55"/>
    <n v="102"/>
    <x v="1"/>
    <s v="402"/>
    <n v="26.48"/>
    <n v="631"/>
    <x v="0"/>
    <s v="1K"/>
    <n v="92000"/>
    <n v="7000"/>
    <n v="0"/>
    <n v="0"/>
    <n v="99000"/>
    <n v="99000"/>
    <n v="0"/>
    <n v="99000"/>
    <x v="13"/>
    <s v="中華系"/>
    <x v="0"/>
    <s v=""/>
    <m/>
    <s v="102_402"/>
    <n v="91000"/>
    <m/>
    <n v="1"/>
    <n v="99000"/>
    <n v="0"/>
    <n v="8000"/>
    <x v="0"/>
    <x v="0"/>
  </r>
  <r>
    <n v="56"/>
    <n v="102"/>
    <x v="1"/>
    <s v="403"/>
    <n v="42.38"/>
    <n v="631"/>
    <x v="0"/>
    <s v="2DK"/>
    <n v="155000"/>
    <n v="7000"/>
    <n v="0"/>
    <n v="0"/>
    <n v="162000"/>
    <n v="159000"/>
    <n v="0"/>
    <n v="159000"/>
    <x v="26"/>
    <s v="中華系"/>
    <x v="0"/>
    <s v=""/>
    <m/>
    <s v="102_403"/>
    <n v="137000"/>
    <m/>
    <n v="1"/>
    <n v="162000"/>
    <n v="-3000"/>
    <n v="25000"/>
    <x v="0"/>
    <x v="0"/>
  </r>
  <r>
    <n v="57"/>
    <n v="102"/>
    <x v="1"/>
    <s v="405"/>
    <n v="51.25"/>
    <n v="631"/>
    <x v="0"/>
    <s v="1LDK"/>
    <n v="110000"/>
    <n v="7000"/>
    <n v="0"/>
    <n v="0"/>
    <n v="117000"/>
    <n v="117000"/>
    <n v="0"/>
    <n v="117000"/>
    <x v="27"/>
    <s v="日本人等"/>
    <x v="0"/>
    <s v=""/>
    <m/>
    <s v="102_405"/>
    <n v="102000"/>
    <m/>
    <n v="1"/>
    <n v="117000"/>
    <n v="0"/>
    <n v="15000"/>
    <x v="0"/>
    <x v="0"/>
  </r>
  <r>
    <n v="58"/>
    <n v="102"/>
    <x v="1"/>
    <s v="406"/>
    <n v="51.25"/>
    <n v="631"/>
    <x v="0"/>
    <s v="2DK"/>
    <n v="155000"/>
    <n v="7000"/>
    <n v="0"/>
    <n v="0"/>
    <n v="162000"/>
    <n v="167000"/>
    <n v="0"/>
    <n v="167000"/>
    <x v="26"/>
    <s v="日本人等"/>
    <x v="0"/>
    <s v=""/>
    <m/>
    <s v="102_406"/>
    <n v="147000"/>
    <m/>
    <n v="1"/>
    <n v="162000"/>
    <n v="5000"/>
    <n v="15000"/>
    <x v="0"/>
    <x v="0"/>
  </r>
  <r>
    <n v="59"/>
    <n v="102"/>
    <x v="1"/>
    <s v="407"/>
    <n v="49.79"/>
    <n v="631"/>
    <x v="0"/>
    <s v="2DK"/>
    <n v="162000"/>
    <n v="7000"/>
    <n v="0"/>
    <n v="0"/>
    <n v="169000"/>
    <n v="169000"/>
    <n v="0"/>
    <n v="169000"/>
    <x v="28"/>
    <s v="中華系"/>
    <x v="0"/>
    <s v=""/>
    <m/>
    <s v="102_407"/>
    <n v="147000"/>
    <m/>
    <n v="1"/>
    <n v="169000"/>
    <n v="0"/>
    <n v="22000"/>
    <x v="0"/>
    <x v="0"/>
  </r>
  <r>
    <n v="60"/>
    <n v="102"/>
    <x v="1"/>
    <s v="P1"/>
    <n v="0"/>
    <n v="634"/>
    <x v="4"/>
    <s v="駐車場"/>
    <n v="33000"/>
    <n v="0"/>
    <n v="0"/>
    <n v="3000"/>
    <n v="36000"/>
    <n v="30000"/>
    <n v="3000"/>
    <n v="33000"/>
    <x v="29"/>
    <s v="日本人等"/>
    <x v="0"/>
    <s v=""/>
    <m/>
    <s v="102_P1"/>
    <n v="30000"/>
    <m/>
    <n v="1"/>
    <n v="33000"/>
    <n v="-3000"/>
    <n v="3000"/>
    <x v="0"/>
    <x v="0"/>
  </r>
  <r>
    <n v="61"/>
    <n v="102"/>
    <x v="1"/>
    <s v="P2"/>
    <n v="0"/>
    <n v="634"/>
    <x v="4"/>
    <s v="駐車場"/>
    <n v="33000"/>
    <n v="0"/>
    <n v="0"/>
    <n v="3000"/>
    <n v="36000"/>
    <n v="30000"/>
    <n v="3000"/>
    <n v="33000"/>
    <x v="29"/>
    <s v="法人契約"/>
    <x v="0"/>
    <s v=""/>
    <m/>
    <s v="102_P2"/>
    <n v="30000"/>
    <m/>
    <n v="1"/>
    <n v="33000"/>
    <n v="-3000"/>
    <n v="3000"/>
    <x v="0"/>
    <x v="0"/>
  </r>
  <r>
    <n v="62"/>
    <n v="102"/>
    <x v="1"/>
    <s v="CL1"/>
    <s v="-"/>
    <n v="639"/>
    <x v="3"/>
    <s v="その他"/>
    <n v="0"/>
    <n v="0"/>
    <n v="0"/>
    <n v="0"/>
    <n v="0"/>
    <n v="0"/>
    <n v="0"/>
    <n v="0"/>
    <x v="14"/>
    <s v="-"/>
    <x v="1"/>
    <s v="コインランドリー"/>
    <m/>
    <s v="102_CL1"/>
    <n v="0"/>
    <m/>
    <n v="0"/>
    <n v="0"/>
    <n v="0"/>
    <n v="0"/>
    <x v="1"/>
    <x v="0"/>
  </r>
  <r>
    <n v="63"/>
    <n v="103"/>
    <x v="2"/>
    <s v="101"/>
    <n v="58.31"/>
    <n v="632"/>
    <x v="1"/>
    <s v="事務所"/>
    <n v="157408"/>
    <n v="0"/>
    <n v="0"/>
    <n v="15740"/>
    <n v="173148"/>
    <n v="157407"/>
    <n v="15740.727272727272"/>
    <n v="173147.72727272726"/>
    <x v="30"/>
    <s v="法人契約"/>
    <x v="0"/>
    <s v=""/>
    <m/>
    <s v="103_101"/>
    <n v="175000"/>
    <m/>
    <n v="1"/>
    <n v="157408"/>
    <n v="-1"/>
    <n v="-17592"/>
    <x v="0"/>
    <x v="0"/>
  </r>
  <r>
    <n v="64"/>
    <n v="103"/>
    <x v="2"/>
    <s v="102"/>
    <n v="57"/>
    <n v="632"/>
    <x v="1"/>
    <s v="事務所"/>
    <n v="172222"/>
    <n v="0"/>
    <n v="0"/>
    <n v="17222"/>
    <n v="189444"/>
    <n v="172221"/>
    <n v="17222.18181818182"/>
    <n v="189443.18181818182"/>
    <x v="31"/>
    <s v="日本人等"/>
    <x v="0"/>
    <s v=""/>
    <m/>
    <s v="103_102"/>
    <n v="350000"/>
    <m/>
    <n v="1"/>
    <n v="172222"/>
    <n v="-1"/>
    <n v="-177778"/>
    <x v="0"/>
    <x v="0"/>
  </r>
  <r>
    <n v="65"/>
    <n v="103"/>
    <x v="2"/>
    <s v="103"/>
    <n v="56.89"/>
    <n v="632"/>
    <x v="1"/>
    <s v="事務所"/>
    <n v="170000"/>
    <n v="0"/>
    <n v="0"/>
    <n v="17000"/>
    <n v="187000"/>
    <n v="170000"/>
    <n v="17000"/>
    <n v="187000"/>
    <x v="32"/>
    <s v="法人契約"/>
    <x v="0"/>
    <s v=""/>
    <m/>
    <s v="103_103"/>
    <n v="170000"/>
    <m/>
    <n v="1"/>
    <n v="170000"/>
    <n v="0"/>
    <n v="0"/>
    <x v="0"/>
    <x v="0"/>
  </r>
  <r>
    <n v="66"/>
    <n v="103"/>
    <x v="2"/>
    <s v="201"/>
    <n v="51.3"/>
    <n v="633"/>
    <x v="5"/>
    <s v="事務所"/>
    <n v="180000"/>
    <n v="0"/>
    <n v="0"/>
    <n v="18000"/>
    <n v="198000"/>
    <n v="180000"/>
    <n v="18000"/>
    <n v="198000"/>
    <x v="33"/>
    <s v="法人契約"/>
    <x v="0"/>
    <s v=""/>
    <m/>
    <s v="103_201"/>
    <n v="180000"/>
    <m/>
    <n v="1"/>
    <n v="180000"/>
    <n v="0"/>
    <n v="0"/>
    <x v="0"/>
    <x v="0"/>
  </r>
  <r>
    <n v="67"/>
    <n v="103"/>
    <x v="2"/>
    <s v="202"/>
    <n v="50"/>
    <n v="633"/>
    <x v="5"/>
    <s v="事務所"/>
    <n v="150000"/>
    <n v="0"/>
    <n v="0"/>
    <n v="15000"/>
    <n v="165000"/>
    <n v="150000"/>
    <n v="15000"/>
    <n v="165000"/>
    <x v="34"/>
    <s v="法人契約"/>
    <x v="0"/>
    <s v=""/>
    <m/>
    <s v="103_202"/>
    <n v="150000"/>
    <m/>
    <n v="1"/>
    <n v="150000"/>
    <n v="0"/>
    <n v="0"/>
    <x v="0"/>
    <x v="0"/>
  </r>
  <r>
    <n v="68"/>
    <n v="103"/>
    <x v="2"/>
    <s v="203"/>
    <n v="26.4"/>
    <n v="632"/>
    <x v="1"/>
    <s v="事務所"/>
    <n v="85715"/>
    <n v="0"/>
    <n v="0"/>
    <n v="8571"/>
    <n v="94286"/>
    <n v="85715"/>
    <n v="8571.545454545454"/>
    <n v="94286.545454545456"/>
    <x v="35"/>
    <s v="法人契約"/>
    <x v="0"/>
    <s v=""/>
    <m/>
    <s v="103_203"/>
    <n v="85715"/>
    <m/>
    <n v="1"/>
    <n v="85715"/>
    <n v="0"/>
    <n v="0"/>
    <x v="0"/>
    <x v="0"/>
  </r>
  <r>
    <n v="69"/>
    <n v="103"/>
    <x v="2"/>
    <s v="301"/>
    <n v="51.3"/>
    <n v="631"/>
    <x v="0"/>
    <s v="2LDK"/>
    <n v="218000"/>
    <n v="0"/>
    <n v="0"/>
    <n v="0"/>
    <n v="218000"/>
    <n v="218000"/>
    <n v="0"/>
    <n v="218000"/>
    <x v="36"/>
    <s v="日本人等"/>
    <x v="0"/>
    <s v=""/>
    <m/>
    <s v="103_301"/>
    <n v="165000"/>
    <m/>
    <n v="1"/>
    <n v="218000"/>
    <n v="0"/>
    <n v="53000"/>
    <x v="0"/>
    <x v="0"/>
  </r>
  <r>
    <n v="70"/>
    <n v="103"/>
    <x v="2"/>
    <s v="302"/>
    <n v="52.02"/>
    <n v="631"/>
    <x v="0"/>
    <s v="2DK"/>
    <n v="208000"/>
    <n v="0"/>
    <n v="0"/>
    <n v="0"/>
    <n v="208000"/>
    <n v="208000"/>
    <n v="0"/>
    <n v="208000"/>
    <x v="37"/>
    <s v="住居法人契約"/>
    <x v="0"/>
    <s v=""/>
    <m/>
    <s v="103_302"/>
    <n v="165000"/>
    <m/>
    <n v="1"/>
    <n v="208000"/>
    <n v="0"/>
    <n v="43000"/>
    <x v="0"/>
    <x v="0"/>
  </r>
  <r>
    <n v="71"/>
    <n v="103"/>
    <x v="2"/>
    <s v="303"/>
    <n v="71.069999999999993"/>
    <n v="631"/>
    <x v="0"/>
    <s v="2LDK"/>
    <n v="220000"/>
    <n v="0"/>
    <n v="0"/>
    <n v="0"/>
    <n v="220000"/>
    <n v="220000"/>
    <n v="0"/>
    <n v="220000"/>
    <x v="38"/>
    <s v="住居法人契約"/>
    <x v="0"/>
    <s v=""/>
    <m/>
    <s v="103_303"/>
    <n v="188000"/>
    <m/>
    <n v="1"/>
    <n v="220000"/>
    <n v="0"/>
    <n v="32000"/>
    <x v="0"/>
    <x v="0"/>
  </r>
  <r>
    <n v="72"/>
    <n v="103"/>
    <x v="2"/>
    <s v="401"/>
    <n v="51.3"/>
    <n v="631"/>
    <x v="0"/>
    <s v="2LDK"/>
    <n v="198000"/>
    <n v="10000"/>
    <n v="0"/>
    <n v="0"/>
    <n v="208000"/>
    <n v="198000"/>
    <n v="0"/>
    <n v="198000"/>
    <x v="37"/>
    <s v="日本人等"/>
    <x v="0"/>
    <s v=""/>
    <m/>
    <s v="103_401"/>
    <n v="180000"/>
    <m/>
    <n v="1"/>
    <n v="208000"/>
    <n v="-10000"/>
    <n v="28000"/>
    <x v="0"/>
    <x v="0"/>
  </r>
  <r>
    <n v="73"/>
    <n v="103"/>
    <x v="2"/>
    <s v="402"/>
    <n v="52.02"/>
    <n v="631"/>
    <x v="0"/>
    <s v="2LDK"/>
    <n v="198000"/>
    <n v="0"/>
    <n v="0"/>
    <n v="0"/>
    <n v="198000"/>
    <n v="198000"/>
    <n v="0"/>
    <n v="198000"/>
    <x v="33"/>
    <s v="日本人等"/>
    <x v="0"/>
    <s v=""/>
    <m/>
    <s v="103_402"/>
    <n v="170000"/>
    <m/>
    <n v="1"/>
    <n v="198000"/>
    <n v="0"/>
    <n v="28000"/>
    <x v="0"/>
    <x v="0"/>
  </r>
  <r>
    <n v="74"/>
    <n v="103"/>
    <x v="2"/>
    <s v="403"/>
    <n v="41.32"/>
    <n v="631"/>
    <x v="0"/>
    <s v="2DK"/>
    <n v="140000"/>
    <n v="0"/>
    <n v="0"/>
    <n v="0"/>
    <n v="140000"/>
    <n v="130000"/>
    <n v="0"/>
    <n v="130000"/>
    <x v="39"/>
    <s v="日本人等"/>
    <x v="0"/>
    <s v=""/>
    <m/>
    <s v="103_403"/>
    <n v="130000"/>
    <m/>
    <n v="1"/>
    <n v="140000"/>
    <n v="-10000"/>
    <n v="10000"/>
    <x v="0"/>
    <x v="0"/>
  </r>
  <r>
    <n v="75"/>
    <n v="103"/>
    <x v="2"/>
    <s v="501"/>
    <n v="48.35"/>
    <n v="631"/>
    <x v="0"/>
    <s v="2LDK"/>
    <n v="208000"/>
    <n v="10000"/>
    <n v="0"/>
    <n v="0"/>
    <n v="218000"/>
    <n v="218000"/>
    <n v="0"/>
    <n v="218000"/>
    <x v="36"/>
    <s v="住居法人契約"/>
    <x v="0"/>
    <s v=""/>
    <m/>
    <s v="103_501"/>
    <n v="220000"/>
    <m/>
    <n v="1"/>
    <n v="218000"/>
    <n v="0"/>
    <n v="-2000"/>
    <x v="0"/>
    <x v="0"/>
  </r>
  <r>
    <n v="76"/>
    <n v="103"/>
    <x v="2"/>
    <s v="502"/>
    <n v="50.76"/>
    <n v="631"/>
    <x v="0"/>
    <s v="1LDK"/>
    <n v="188000"/>
    <n v="10000"/>
    <n v="0"/>
    <n v="0"/>
    <n v="198000"/>
    <n v="198000"/>
    <n v="0"/>
    <n v="198000"/>
    <x v="33"/>
    <s v="日本人等"/>
    <x v="0"/>
    <s v=""/>
    <m/>
    <s v="103_502"/>
    <n v="180000"/>
    <m/>
    <n v="1"/>
    <n v="198000"/>
    <n v="0"/>
    <n v="18000"/>
    <x v="0"/>
    <x v="0"/>
  </r>
  <r>
    <n v="77"/>
    <n v="103"/>
    <x v="2"/>
    <s v="503"/>
    <n v="96.95"/>
    <n v="631"/>
    <x v="0"/>
    <s v="2LDK"/>
    <n v="305800"/>
    <n v="0"/>
    <n v="0"/>
    <n v="0"/>
    <n v="305800"/>
    <n v="305800"/>
    <n v="0"/>
    <n v="305800"/>
    <x v="40"/>
    <s v="住居法人契約"/>
    <x v="0"/>
    <s v=""/>
    <m/>
    <s v="103_503"/>
    <n v="270000"/>
    <m/>
    <n v="1"/>
    <n v="305800"/>
    <n v="0"/>
    <n v="35800"/>
    <x v="0"/>
    <x v="0"/>
  </r>
  <r>
    <n v="78"/>
    <n v="103"/>
    <x v="2"/>
    <s v="P2"/>
    <n v="0"/>
    <n v="634"/>
    <x v="4"/>
    <s v="駐車場"/>
    <n v="40000"/>
    <n v="0"/>
    <n v="0"/>
    <n v="4000"/>
    <n v="44000"/>
    <n v="40000"/>
    <n v="4000"/>
    <n v="44000"/>
    <x v="41"/>
    <s v="法人契約"/>
    <x v="0"/>
    <s v=""/>
    <m/>
    <s v="103_P2"/>
    <n v="40000"/>
    <m/>
    <n v="1"/>
    <n v="40000"/>
    <n v="0"/>
    <n v="0"/>
    <x v="0"/>
    <x v="0"/>
  </r>
  <r>
    <n v="79"/>
    <n v="103"/>
    <x v="2"/>
    <s v="P3"/>
    <n v="0"/>
    <n v="634"/>
    <x v="4"/>
    <s v="駐車場"/>
    <n v="35000"/>
    <n v="0"/>
    <n v="0"/>
    <n v="3500"/>
    <n v="38500"/>
    <n v="40000"/>
    <n v="4000"/>
    <n v="44000"/>
    <x v="42"/>
    <s v="法人契約"/>
    <x v="0"/>
    <s v=""/>
    <m/>
    <s v="103_P3"/>
    <n v="40000"/>
    <m/>
    <n v="1"/>
    <n v="35000"/>
    <n v="5000"/>
    <n v="-5000"/>
    <x v="0"/>
    <x v="0"/>
  </r>
  <r>
    <n v="80"/>
    <n v="103"/>
    <x v="2"/>
    <s v="P5"/>
    <n v="0"/>
    <n v="634"/>
    <x v="4"/>
    <s v="駐車場"/>
    <n v="40000"/>
    <n v="0"/>
    <n v="0"/>
    <n v="4000"/>
    <n v="44000"/>
    <n v="40000"/>
    <n v="4000"/>
    <n v="44000"/>
    <x v="41"/>
    <s v="日本人等"/>
    <x v="0"/>
    <s v=""/>
    <m/>
    <s v="103_P5"/>
    <n v="40000"/>
    <m/>
    <n v="1"/>
    <n v="40000"/>
    <n v="0"/>
    <n v="0"/>
    <x v="0"/>
    <x v="0"/>
  </r>
  <r>
    <n v="81"/>
    <n v="104"/>
    <x v="3"/>
    <s v="101"/>
    <n v="39.6"/>
    <n v="633"/>
    <x v="5"/>
    <s v="店舗"/>
    <n v="154000"/>
    <n v="0"/>
    <n v="0"/>
    <n v="15400"/>
    <n v="169400"/>
    <n v="154000"/>
    <n v="15400"/>
    <n v="169400"/>
    <x v="43"/>
    <s v="日本人等"/>
    <x v="0"/>
    <s v=""/>
    <m/>
    <s v="104_101"/>
    <n v="145000"/>
    <m/>
    <n v="1"/>
    <n v="154000"/>
    <n v="0"/>
    <n v="9000"/>
    <x v="0"/>
    <x v="0"/>
  </r>
  <r>
    <n v="82"/>
    <n v="104"/>
    <x v="3"/>
    <s v="102"/>
    <n v="31.92"/>
    <n v="632"/>
    <x v="1"/>
    <s v="事務所"/>
    <n v="120000"/>
    <n v="0"/>
    <n v="0"/>
    <n v="12000"/>
    <n v="132000"/>
    <n v="120000"/>
    <n v="12000"/>
    <n v="132000"/>
    <x v="44"/>
    <s v="住居法人契約"/>
    <x v="0"/>
    <s v=""/>
    <m/>
    <s v="104_102"/>
    <n v="80000"/>
    <m/>
    <n v="1"/>
    <n v="120000"/>
    <n v="0"/>
    <n v="40000"/>
    <x v="0"/>
    <x v="0"/>
  </r>
  <r>
    <n v="83"/>
    <n v="104"/>
    <x v="3"/>
    <s v="201"/>
    <n v="19.8"/>
    <n v="631"/>
    <x v="0"/>
    <s v="1R"/>
    <n v="70000"/>
    <n v="0"/>
    <n v="0"/>
    <n v="7000"/>
    <n v="77000"/>
    <n v="77000"/>
    <n v="0"/>
    <n v="77000"/>
    <x v="16"/>
    <s v="住居法人契約"/>
    <x v="0"/>
    <s v=""/>
    <m/>
    <s v="104_201"/>
    <n v="65000"/>
    <m/>
    <n v="1"/>
    <n v="70000"/>
    <n v="7000"/>
    <n v="5000"/>
    <x v="0"/>
    <x v="0"/>
  </r>
  <r>
    <n v="84"/>
    <n v="104"/>
    <x v="3"/>
    <s v="202"/>
    <n v="19.8"/>
    <n v="631"/>
    <x v="0"/>
    <s v="1R"/>
    <n v="73000"/>
    <n v="0"/>
    <n v="0"/>
    <n v="0"/>
    <n v="73000"/>
    <n v="73000"/>
    <n v="0"/>
    <n v="73000"/>
    <x v="45"/>
    <s v="日本人等"/>
    <x v="0"/>
    <s v=""/>
    <m/>
    <s v="104_202"/>
    <n v="63000"/>
    <m/>
    <n v="1"/>
    <n v="73000"/>
    <n v="0"/>
    <n v="10000"/>
    <x v="0"/>
    <x v="0"/>
  </r>
  <r>
    <n v="85"/>
    <n v="104"/>
    <x v="3"/>
    <s v="203"/>
    <n v="19.8"/>
    <n v="631"/>
    <x v="0"/>
    <s v="1R"/>
    <n v="75000"/>
    <n v="0"/>
    <n v="0"/>
    <n v="0"/>
    <n v="75000"/>
    <n v="75000"/>
    <n v="0"/>
    <n v="75000"/>
    <x v="19"/>
    <s v="日本人等"/>
    <x v="0"/>
    <s v=""/>
    <m/>
    <s v="104_203"/>
    <n v="70000"/>
    <m/>
    <n v="1"/>
    <n v="75000"/>
    <n v="0"/>
    <n v="5000"/>
    <x v="0"/>
    <x v="0"/>
  </r>
  <r>
    <n v="86"/>
    <n v="104"/>
    <x v="3"/>
    <s v="301"/>
    <n v="16.8"/>
    <n v="631"/>
    <x v="0"/>
    <s v="1R"/>
    <n v="70000"/>
    <n v="0"/>
    <n v="0"/>
    <n v="0"/>
    <n v="70000"/>
    <n v="70000"/>
    <n v="0"/>
    <n v="70000"/>
    <x v="7"/>
    <s v="住居法人契約"/>
    <x v="0"/>
    <s v=""/>
    <m/>
    <s v="104_301"/>
    <n v="62000"/>
    <m/>
    <n v="1"/>
    <n v="70000"/>
    <n v="0"/>
    <n v="8000"/>
    <x v="0"/>
    <x v="0"/>
  </r>
  <r>
    <n v="87"/>
    <n v="104"/>
    <x v="3"/>
    <s v="302"/>
    <n v="16.8"/>
    <n v="631"/>
    <x v="0"/>
    <s v="1R"/>
    <n v="0"/>
    <n v="0"/>
    <n v="0"/>
    <n v="0"/>
    <n v="0"/>
    <n v="88000"/>
    <n v="0"/>
    <n v="88000"/>
    <x v="46"/>
    <s v="-"/>
    <x v="0"/>
    <s v="一時的な空室"/>
    <m/>
    <s v="104_302"/>
    <n v="63000"/>
    <m/>
    <n v="0"/>
    <n v="88000"/>
    <n v="0"/>
    <n v="25000"/>
    <x v="0"/>
    <x v="0"/>
  </r>
  <r>
    <n v="88"/>
    <n v="104"/>
    <x v="3"/>
    <s v="303"/>
    <n v="16.8"/>
    <n v="631"/>
    <x v="0"/>
    <s v="1R"/>
    <n v="72000"/>
    <n v="0"/>
    <n v="0"/>
    <n v="0"/>
    <n v="72000"/>
    <n v="72000"/>
    <n v="0"/>
    <n v="72000"/>
    <x v="11"/>
    <s v="日本人等"/>
    <x v="0"/>
    <s v=""/>
    <m/>
    <s v="104_303"/>
    <n v="72000"/>
    <m/>
    <n v="1"/>
    <n v="72000"/>
    <n v="0"/>
    <n v="0"/>
    <x v="0"/>
    <x v="0"/>
  </r>
  <r>
    <n v="89"/>
    <n v="105"/>
    <x v="4"/>
    <s v="101"/>
    <n v="46.12"/>
    <n v="631"/>
    <x v="0"/>
    <s v="3DK"/>
    <n v="135000"/>
    <n v="4000"/>
    <n v="0"/>
    <n v="0"/>
    <n v="139000"/>
    <n v="139000"/>
    <n v="0"/>
    <n v="139000"/>
    <x v="47"/>
    <s v="その他新興国"/>
    <x v="0"/>
    <s v=""/>
    <m/>
    <s v="105_101"/>
    <n v="139000"/>
    <m/>
    <n v="1"/>
    <n v="139000"/>
    <n v="0"/>
    <n v="0"/>
    <x v="0"/>
    <x v="0"/>
  </r>
  <r>
    <n v="90"/>
    <n v="105"/>
    <x v="4"/>
    <s v="102"/>
    <n v="37.799999999999997"/>
    <n v="631"/>
    <x v="0"/>
    <s v="1K"/>
    <n v="100000"/>
    <n v="3000"/>
    <n v="186"/>
    <n v="18"/>
    <n v="103204"/>
    <n v="103204"/>
    <n v="0"/>
    <n v="103204"/>
    <x v="48"/>
    <s v="日本人等"/>
    <x v="0"/>
    <s v=""/>
    <m/>
    <s v="105_102"/>
    <n v="103000"/>
    <m/>
    <n v="1"/>
    <n v="103186"/>
    <n v="18"/>
    <n v="186"/>
    <x v="0"/>
    <x v="0"/>
  </r>
  <r>
    <n v="91"/>
    <n v="105"/>
    <x v="4"/>
    <s v="201"/>
    <n v="28.62"/>
    <n v="631"/>
    <x v="0"/>
    <s v="2DK"/>
    <n v="103000"/>
    <n v="5000"/>
    <n v="0"/>
    <n v="0"/>
    <n v="108000"/>
    <n v="113000"/>
    <n v="0"/>
    <n v="113000"/>
    <x v="49"/>
    <s v="その他新興国"/>
    <x v="0"/>
    <s v=""/>
    <m/>
    <s v="105_201"/>
    <n v="90200"/>
    <m/>
    <n v="1"/>
    <n v="108000"/>
    <n v="5000"/>
    <n v="17800"/>
    <x v="0"/>
    <x v="0"/>
  </r>
  <r>
    <n v="92"/>
    <n v="105"/>
    <x v="4"/>
    <s v="202"/>
    <n v="28.62"/>
    <n v="631"/>
    <x v="0"/>
    <s v="2DK"/>
    <n v="0"/>
    <n v="0"/>
    <n v="0"/>
    <n v="0"/>
    <n v="0"/>
    <n v="105000"/>
    <n v="0"/>
    <n v="105000"/>
    <x v="50"/>
    <s v="-"/>
    <x v="0"/>
    <s v="一時的な空室"/>
    <m/>
    <s v="105_202"/>
    <n v="88000"/>
    <m/>
    <n v="0"/>
    <n v="105000"/>
    <n v="0"/>
    <n v="17000"/>
    <x v="0"/>
    <x v="0"/>
  </r>
  <r>
    <n v="93"/>
    <n v="105"/>
    <x v="4"/>
    <s v="203"/>
    <n v="33.39"/>
    <n v="631"/>
    <x v="0"/>
    <s v="2DK"/>
    <n v="0"/>
    <n v="0"/>
    <n v="0"/>
    <n v="0"/>
    <n v="0"/>
    <n v="99204"/>
    <n v="0"/>
    <n v="99204"/>
    <x v="51"/>
    <s v="-"/>
    <x v="0"/>
    <s v="一時的な空室"/>
    <m/>
    <s v="105_203"/>
    <n v="99000"/>
    <m/>
    <n v="0"/>
    <n v="99204"/>
    <n v="0"/>
    <n v="204"/>
    <x v="0"/>
    <x v="0"/>
  </r>
  <r>
    <n v="94"/>
    <n v="105"/>
    <x v="4"/>
    <s v="204"/>
    <n v="37.049999999999997"/>
    <n v="631"/>
    <x v="0"/>
    <s v="2DK"/>
    <n v="100000"/>
    <n v="0"/>
    <n v="926"/>
    <n v="92"/>
    <n v="101018"/>
    <n v="101018"/>
    <n v="0"/>
    <n v="101018"/>
    <x v="52"/>
    <s v="日本人等"/>
    <x v="0"/>
    <s v=""/>
    <m/>
    <s v="105_204"/>
    <n v="120400"/>
    <m/>
    <n v="1"/>
    <n v="100926"/>
    <n v="92"/>
    <n v="-19474"/>
    <x v="0"/>
    <x v="0"/>
  </r>
  <r>
    <n v="95"/>
    <n v="105"/>
    <x v="4"/>
    <s v="301"/>
    <n v="28.62"/>
    <n v="631"/>
    <x v="0"/>
    <s v="2DK"/>
    <n v="105000"/>
    <n v="5000"/>
    <n v="0"/>
    <n v="0"/>
    <n v="110000"/>
    <n v="110000"/>
    <n v="0"/>
    <n v="110000"/>
    <x v="53"/>
    <s v="中華系"/>
    <x v="0"/>
    <s v=""/>
    <m/>
    <s v="105_301"/>
    <n v="98000"/>
    <m/>
    <n v="1"/>
    <n v="110000"/>
    <n v="0"/>
    <n v="12000"/>
    <x v="0"/>
    <x v="0"/>
  </r>
  <r>
    <n v="96"/>
    <n v="105"/>
    <x v="4"/>
    <s v="302"/>
    <n v="28.62"/>
    <n v="631"/>
    <x v="0"/>
    <s v="2DK"/>
    <n v="100000"/>
    <n v="0"/>
    <n v="0"/>
    <n v="0"/>
    <n v="100000"/>
    <n v="100000"/>
    <n v="0"/>
    <n v="100000"/>
    <x v="54"/>
    <s v="日本人等"/>
    <x v="0"/>
    <s v=""/>
    <m/>
    <s v="105_302"/>
    <n v="100000"/>
    <m/>
    <n v="1"/>
    <n v="100000"/>
    <n v="0"/>
    <n v="0"/>
    <x v="0"/>
    <x v="0"/>
  </r>
  <r>
    <n v="97"/>
    <n v="105"/>
    <x v="4"/>
    <s v="303"/>
    <n v="33.39"/>
    <n v="631"/>
    <x v="0"/>
    <s v="2DK"/>
    <n v="120000"/>
    <n v="5000"/>
    <n v="0"/>
    <n v="0"/>
    <n v="125000"/>
    <n v="125000"/>
    <n v="0"/>
    <n v="125000"/>
    <x v="55"/>
    <s v="中華系"/>
    <x v="0"/>
    <s v=""/>
    <m/>
    <s v="105_303"/>
    <n v="100000"/>
    <m/>
    <n v="1"/>
    <n v="125000"/>
    <n v="0"/>
    <n v="25000"/>
    <x v="0"/>
    <x v="0"/>
  </r>
  <r>
    <n v="98"/>
    <n v="105"/>
    <x v="4"/>
    <s v="304"/>
    <n v="37.049999999999997"/>
    <n v="631"/>
    <x v="0"/>
    <s v="2DK"/>
    <n v="100000"/>
    <n v="0"/>
    <n v="1112"/>
    <n v="111"/>
    <n v="101223"/>
    <n v="91223"/>
    <n v="0"/>
    <n v="91223"/>
    <x v="56"/>
    <s v="日本人等"/>
    <x v="0"/>
    <s v=""/>
    <m/>
    <s v="105_304"/>
    <n v="100000"/>
    <m/>
    <n v="1"/>
    <n v="101112"/>
    <n v="-9889"/>
    <n v="1112"/>
    <x v="0"/>
    <x v="0"/>
  </r>
  <r>
    <n v="99"/>
    <n v="105"/>
    <x v="4"/>
    <s v="401"/>
    <n v="28.62"/>
    <n v="631"/>
    <x v="0"/>
    <s v="2DK"/>
    <n v="93000"/>
    <n v="3000"/>
    <n v="371"/>
    <n v="37"/>
    <n v="96408"/>
    <n v="96408"/>
    <n v="0"/>
    <n v="96408"/>
    <x v="57"/>
    <s v="日本人等"/>
    <x v="0"/>
    <s v=""/>
    <m/>
    <s v="105_401"/>
    <n v="96000"/>
    <m/>
    <n v="1"/>
    <n v="96371"/>
    <n v="37"/>
    <n v="371"/>
    <x v="0"/>
    <x v="0"/>
  </r>
  <r>
    <n v="100"/>
    <n v="105"/>
    <x v="4"/>
    <s v="402"/>
    <n v="28.62"/>
    <n v="631"/>
    <x v="0"/>
    <s v="2DK"/>
    <n v="90000"/>
    <n v="0"/>
    <n v="0"/>
    <n v="0"/>
    <n v="90000"/>
    <n v="90000"/>
    <n v="0"/>
    <n v="90000"/>
    <x v="58"/>
    <s v="日本人等"/>
    <x v="0"/>
    <s v=""/>
    <m/>
    <s v="105_402"/>
    <n v="90000"/>
    <m/>
    <n v="1"/>
    <n v="90000"/>
    <n v="0"/>
    <n v="0"/>
    <x v="0"/>
    <x v="0"/>
  </r>
  <r>
    <n v="101"/>
    <n v="105"/>
    <x v="4"/>
    <s v="403"/>
    <n v="33.39"/>
    <n v="631"/>
    <x v="0"/>
    <s v="2DK"/>
    <n v="105000"/>
    <n v="5000"/>
    <n v="0"/>
    <n v="0"/>
    <n v="110000"/>
    <n v="130000"/>
    <n v="0"/>
    <n v="130000"/>
    <x v="53"/>
    <s v="日本人等"/>
    <x v="0"/>
    <s v=""/>
    <m/>
    <s v="105_403"/>
    <n v="98400"/>
    <m/>
    <n v="1"/>
    <n v="110000"/>
    <n v="20000"/>
    <n v="11600"/>
    <x v="0"/>
    <x v="0"/>
  </r>
  <r>
    <n v="102"/>
    <n v="105"/>
    <x v="4"/>
    <s v="404"/>
    <n v="37.049999999999997"/>
    <n v="631"/>
    <x v="0"/>
    <s v="2DK"/>
    <n v="125000"/>
    <n v="4000"/>
    <n v="0"/>
    <n v="0"/>
    <n v="129000"/>
    <n v="129000"/>
    <n v="0"/>
    <n v="129000"/>
    <x v="59"/>
    <s v="中華系"/>
    <x v="0"/>
    <s v=""/>
    <m/>
    <s v="105_404"/>
    <n v="119400"/>
    <m/>
    <n v="1"/>
    <n v="129000"/>
    <n v="0"/>
    <n v="9600"/>
    <x v="0"/>
    <x v="0"/>
  </r>
  <r>
    <n v="103"/>
    <n v="105"/>
    <x v="4"/>
    <s v="501"/>
    <n v="28.62"/>
    <n v="631"/>
    <x v="0"/>
    <s v="2DK"/>
    <n v="107000"/>
    <n v="3000"/>
    <n v="0"/>
    <n v="0"/>
    <n v="110000"/>
    <n v="110000"/>
    <n v="0"/>
    <n v="110000"/>
    <x v="53"/>
    <s v="日本人等"/>
    <x v="0"/>
    <s v=""/>
    <m/>
    <s v="105_501"/>
    <n v="97000"/>
    <m/>
    <n v="1"/>
    <n v="110000"/>
    <n v="0"/>
    <n v="13000"/>
    <x v="0"/>
    <x v="0"/>
  </r>
  <r>
    <n v="104"/>
    <n v="105"/>
    <x v="4"/>
    <s v="502"/>
    <n v="28.62"/>
    <n v="631"/>
    <x v="0"/>
    <s v="2DK"/>
    <n v="102000"/>
    <n v="3000"/>
    <n v="0"/>
    <n v="0"/>
    <n v="105000"/>
    <n v="105000"/>
    <n v="0"/>
    <n v="105000"/>
    <x v="50"/>
    <s v="中華系"/>
    <x v="0"/>
    <s v=""/>
    <m/>
    <s v="105_502"/>
    <n v="94000"/>
    <m/>
    <n v="1"/>
    <n v="105000"/>
    <n v="0"/>
    <n v="11000"/>
    <x v="0"/>
    <x v="0"/>
  </r>
  <r>
    <n v="105"/>
    <n v="105"/>
    <x v="4"/>
    <s v="503"/>
    <n v="33.39"/>
    <n v="631"/>
    <x v="0"/>
    <s v="2DK"/>
    <n v="103000"/>
    <n v="0"/>
    <n v="186"/>
    <n v="18"/>
    <n v="103204"/>
    <n v="103204"/>
    <n v="0"/>
    <n v="103204"/>
    <x v="48"/>
    <s v="日本人等"/>
    <x v="0"/>
    <s v=""/>
    <m/>
    <s v="105_503"/>
    <n v="100200"/>
    <m/>
    <n v="1"/>
    <n v="103186"/>
    <n v="18"/>
    <n v="2986"/>
    <x v="0"/>
    <x v="0"/>
  </r>
  <r>
    <n v="106"/>
    <n v="105"/>
    <x v="4"/>
    <s v="504"/>
    <n v="37.049999999999997"/>
    <n v="631"/>
    <x v="0"/>
    <s v="2DK"/>
    <n v="130000"/>
    <n v="5000"/>
    <n v="0"/>
    <n v="0"/>
    <n v="135000"/>
    <n v="135220"/>
    <n v="0"/>
    <n v="135220"/>
    <x v="60"/>
    <s v="中華系"/>
    <x v="0"/>
    <s v=""/>
    <m/>
    <s v="105_504"/>
    <n v="95200"/>
    <m/>
    <n v="1"/>
    <n v="135000"/>
    <n v="220"/>
    <n v="39800"/>
    <x v="0"/>
    <x v="0"/>
  </r>
  <r>
    <n v="107"/>
    <n v="105"/>
    <x v="4"/>
    <s v="601"/>
    <n v="28.62"/>
    <n v="631"/>
    <x v="0"/>
    <s v="2DK"/>
    <n v="110000"/>
    <n v="5000"/>
    <n v="0"/>
    <n v="0"/>
    <n v="115000"/>
    <n v="115000"/>
    <n v="0"/>
    <n v="115000"/>
    <x v="61"/>
    <s v="中華系"/>
    <x v="0"/>
    <s v=""/>
    <m/>
    <s v="105_601"/>
    <n v="105000"/>
    <m/>
    <n v="1"/>
    <n v="115000"/>
    <n v="0"/>
    <n v="10000"/>
    <x v="0"/>
    <x v="0"/>
  </r>
  <r>
    <n v="108"/>
    <n v="105"/>
    <x v="4"/>
    <s v="602"/>
    <n v="28.62"/>
    <n v="631"/>
    <x v="0"/>
    <s v="2DK"/>
    <n v="92000"/>
    <n v="3000"/>
    <n v="0"/>
    <n v="0"/>
    <n v="95000"/>
    <n v="95000"/>
    <n v="0"/>
    <n v="95000"/>
    <x v="62"/>
    <s v="日本人等"/>
    <x v="0"/>
    <s v=""/>
    <m/>
    <s v="105_602"/>
    <n v="95000"/>
    <m/>
    <n v="1"/>
    <n v="95000"/>
    <n v="0"/>
    <n v="0"/>
    <x v="0"/>
    <x v="0"/>
  </r>
  <r>
    <n v="109"/>
    <n v="105"/>
    <x v="4"/>
    <s v="603"/>
    <n v="33.39"/>
    <n v="631"/>
    <x v="0"/>
    <s v="2DK"/>
    <n v="100000"/>
    <n v="0"/>
    <n v="186"/>
    <n v="18"/>
    <n v="100204"/>
    <n v="100408"/>
    <n v="0"/>
    <n v="100408"/>
    <x v="63"/>
    <s v="日本人等"/>
    <x v="0"/>
    <s v=""/>
    <m/>
    <s v="105_603"/>
    <n v="100000"/>
    <m/>
    <n v="1"/>
    <n v="100186"/>
    <n v="222"/>
    <n v="186"/>
    <x v="0"/>
    <x v="0"/>
  </r>
  <r>
    <n v="110"/>
    <n v="105"/>
    <x v="4"/>
    <s v="701"/>
    <n v="23.86"/>
    <n v="631"/>
    <x v="0"/>
    <s v="1K"/>
    <n v="79000"/>
    <n v="3000"/>
    <n v="0"/>
    <n v="0"/>
    <n v="82000"/>
    <n v="89000"/>
    <n v="0"/>
    <n v="89000"/>
    <x v="21"/>
    <s v="日本人等"/>
    <x v="0"/>
    <s v=""/>
    <m/>
    <s v="105_701"/>
    <n v="75000"/>
    <m/>
    <n v="1"/>
    <n v="82000"/>
    <n v="7000"/>
    <n v="7000"/>
    <x v="0"/>
    <x v="0"/>
  </r>
  <r>
    <n v="111"/>
    <n v="105"/>
    <x v="4"/>
    <s v="702"/>
    <n v="28.62"/>
    <n v="631"/>
    <x v="0"/>
    <s v="2DK"/>
    <n v="105000"/>
    <n v="5000"/>
    <n v="0"/>
    <n v="0"/>
    <n v="110000"/>
    <n v="110000"/>
    <n v="0"/>
    <n v="110000"/>
    <x v="53"/>
    <s v="中華系"/>
    <x v="0"/>
    <s v=""/>
    <m/>
    <s v="105_702"/>
    <n v="100000"/>
    <m/>
    <n v="1"/>
    <n v="110000"/>
    <n v="0"/>
    <n v="10000"/>
    <x v="0"/>
    <x v="0"/>
  </r>
  <r>
    <n v="112"/>
    <n v="105"/>
    <x v="4"/>
    <s v="703"/>
    <n v="33.39"/>
    <n v="631"/>
    <x v="0"/>
    <s v="2DK"/>
    <n v="115000"/>
    <n v="0"/>
    <n v="1852"/>
    <n v="185"/>
    <n v="117037"/>
    <n v="117037"/>
    <n v="0"/>
    <n v="117037"/>
    <x v="64"/>
    <s v="日本人等"/>
    <x v="0"/>
    <s v=""/>
    <m/>
    <s v="105_703"/>
    <n v="117000"/>
    <m/>
    <n v="1"/>
    <n v="116852"/>
    <n v="185"/>
    <n v="-148"/>
    <x v="0"/>
    <x v="0"/>
  </r>
  <r>
    <n v="113"/>
    <n v="105"/>
    <x v="4"/>
    <s v="P1"/>
    <n v="0"/>
    <n v="634"/>
    <x v="4"/>
    <s v="駐車場"/>
    <n v="35000"/>
    <n v="0"/>
    <n v="0"/>
    <n v="3500"/>
    <n v="38500"/>
    <n v="35000"/>
    <n v="3500"/>
    <n v="38500"/>
    <x v="42"/>
    <s v="法人契約"/>
    <x v="0"/>
    <s v=""/>
    <m/>
    <s v="105_P1"/>
    <n v="35000"/>
    <m/>
    <n v="1"/>
    <n v="35000"/>
    <n v="0"/>
    <n v="0"/>
    <x v="0"/>
    <x v="0"/>
  </r>
  <r>
    <n v="114"/>
    <n v="105"/>
    <x v="4"/>
    <s v="P2"/>
    <n v="0"/>
    <n v="634"/>
    <x v="4"/>
    <s v="駐車場"/>
    <n v="35000"/>
    <n v="0"/>
    <n v="0"/>
    <n v="3500"/>
    <n v="38500"/>
    <n v="35000"/>
    <n v="3500"/>
    <n v="38500"/>
    <x v="42"/>
    <s v="法人契約"/>
    <x v="0"/>
    <s v=""/>
    <m/>
    <s v="105_P2"/>
    <n v="35000"/>
    <m/>
    <n v="1"/>
    <n v="35000"/>
    <n v="0"/>
    <n v="0"/>
    <x v="0"/>
    <x v="0"/>
  </r>
  <r>
    <n v="115"/>
    <n v="105"/>
    <x v="4"/>
    <s v="A01"/>
    <n v="47.62"/>
    <n v="633"/>
    <x v="5"/>
    <s v="倉庫"/>
    <n v="90000"/>
    <n v="0"/>
    <n v="0"/>
    <n v="9000"/>
    <n v="99000"/>
    <n v="90000"/>
    <n v="9000"/>
    <n v="99000"/>
    <x v="13"/>
    <s v="法人契約"/>
    <x v="0"/>
    <s v=""/>
    <m/>
    <s v="105_A01"/>
    <n v="90000"/>
    <m/>
    <n v="1"/>
    <n v="90000"/>
    <n v="0"/>
    <n v="0"/>
    <x v="0"/>
    <x v="0"/>
  </r>
  <r>
    <n v="116"/>
    <n v="105"/>
    <x v="4"/>
    <s v="RF1"/>
    <n v="0"/>
    <n v="635"/>
    <x v="2"/>
    <s v="その他"/>
    <n v="12000"/>
    <n v="0"/>
    <n v="0"/>
    <n v="1200"/>
    <n v="13200"/>
    <n v="12000"/>
    <n v="1199.9999999999998"/>
    <n v="13200"/>
    <x v="65"/>
    <s v="法人契約"/>
    <x v="0"/>
    <s v=""/>
    <m/>
    <s v="105_RF1"/>
    <n v="0"/>
    <m/>
    <n v="1"/>
    <n v="12000"/>
    <n v="0"/>
    <n v="12000"/>
    <x v="0"/>
    <x v="0"/>
  </r>
  <r>
    <n v="117"/>
    <n v="105"/>
    <x v="4"/>
    <s v="RF2"/>
    <n v="0"/>
    <n v="635"/>
    <x v="2"/>
    <s v="その他"/>
    <n v="22324"/>
    <n v="0"/>
    <n v="0"/>
    <n v="0"/>
    <n v="22324"/>
    <n v="20294"/>
    <n v="2029.4545454545453"/>
    <n v="22323.454545454544"/>
    <x v="66"/>
    <s v="法人契約"/>
    <x v="0"/>
    <s v="ソフトバンクモバイル"/>
    <m/>
    <s v="105_RF2"/>
    <n v="22324"/>
    <m/>
    <n v="1"/>
    <n v="22324"/>
    <n v="-2030"/>
    <n v="0"/>
    <x v="0"/>
    <x v="0"/>
  </r>
  <r>
    <n v="118"/>
    <n v="105"/>
    <x v="4"/>
    <s v="NTF1"/>
    <s v="-"/>
    <n v="639"/>
    <x v="3"/>
    <s v="その他"/>
    <n v="0"/>
    <n v="0"/>
    <n v="0"/>
    <n v="0"/>
    <n v="0"/>
    <n v="0"/>
    <n v="0"/>
    <n v="0"/>
    <x v="14"/>
    <s v="-"/>
    <x v="1"/>
    <s v="フレッツ光"/>
    <m/>
    <s v="105_NTF1"/>
    <n v="0"/>
    <m/>
    <n v="0"/>
    <n v="0"/>
    <n v="0"/>
    <n v="0"/>
    <x v="1"/>
    <x v="0"/>
  </r>
  <r>
    <n v="119"/>
    <n v="105"/>
    <x v="4"/>
    <s v="NTD1"/>
    <s v="-"/>
    <n v="639"/>
    <x v="3"/>
    <s v="その他"/>
    <n v="0"/>
    <n v="0"/>
    <n v="0"/>
    <n v="0"/>
    <n v="0"/>
    <n v="0"/>
    <n v="0"/>
    <n v="0"/>
    <x v="14"/>
    <s v="-"/>
    <x v="1"/>
    <s v="電柱"/>
    <m/>
    <s v="105_NTD1"/>
    <n v="0"/>
    <m/>
    <n v="0"/>
    <n v="0"/>
    <n v="0"/>
    <n v="0"/>
    <x v="1"/>
    <x v="0"/>
  </r>
  <r>
    <n v="120"/>
    <n v="106"/>
    <x v="5"/>
    <s v="101"/>
    <n v="48.36"/>
    <n v="631"/>
    <x v="0"/>
    <s v="2DK"/>
    <n v="116000"/>
    <n v="10000"/>
    <n v="0"/>
    <n v="0"/>
    <n v="126000"/>
    <n v="158000"/>
    <n v="0"/>
    <n v="158000"/>
    <x v="67"/>
    <s v="中華系"/>
    <x v="0"/>
    <s v=""/>
    <m/>
    <s v="106_101"/>
    <n v="127000"/>
    <m/>
    <n v="1"/>
    <n v="126000"/>
    <n v="32000"/>
    <n v="-1000"/>
    <x v="0"/>
    <x v="0"/>
  </r>
  <r>
    <n v="121"/>
    <n v="106"/>
    <x v="5"/>
    <s v="102"/>
    <n v="52.75"/>
    <n v="631"/>
    <x v="0"/>
    <s v="3DK"/>
    <n v="157000"/>
    <n v="10000"/>
    <n v="0"/>
    <n v="0"/>
    <n v="167000"/>
    <n v="167000"/>
    <n v="0"/>
    <n v="167000"/>
    <x v="68"/>
    <s v="日本人等"/>
    <x v="0"/>
    <s v=""/>
    <m/>
    <s v="106_102"/>
    <n v="139000"/>
    <m/>
    <n v="1"/>
    <n v="167000"/>
    <n v="0"/>
    <n v="28000"/>
    <x v="0"/>
    <x v="0"/>
  </r>
  <r>
    <n v="122"/>
    <n v="106"/>
    <x v="5"/>
    <s v="201"/>
    <n v="43.2"/>
    <n v="631"/>
    <x v="0"/>
    <s v="2DK"/>
    <n v="122000"/>
    <n v="7000"/>
    <n v="0"/>
    <n v="0"/>
    <n v="129000"/>
    <n v="129000"/>
    <n v="0"/>
    <n v="129000"/>
    <x v="59"/>
    <s v="日本人等"/>
    <x v="0"/>
    <s v=""/>
    <m/>
    <s v="106_201"/>
    <n v="129000"/>
    <m/>
    <n v="1"/>
    <n v="129000"/>
    <n v="0"/>
    <n v="0"/>
    <x v="0"/>
    <x v="0"/>
  </r>
  <r>
    <n v="123"/>
    <n v="106"/>
    <x v="5"/>
    <s v="202"/>
    <n v="43.2"/>
    <n v="631"/>
    <x v="0"/>
    <s v="2DK"/>
    <n v="140000"/>
    <n v="10000"/>
    <n v="0"/>
    <n v="0"/>
    <n v="150000"/>
    <n v="152000"/>
    <n v="0"/>
    <n v="152000"/>
    <x v="69"/>
    <s v="中華系"/>
    <x v="0"/>
    <s v=""/>
    <m/>
    <s v="106_202"/>
    <n v="133000"/>
    <m/>
    <n v="1"/>
    <n v="150000"/>
    <n v="2000"/>
    <n v="17000"/>
    <x v="0"/>
    <x v="0"/>
  </r>
  <r>
    <n v="124"/>
    <n v="106"/>
    <x v="5"/>
    <s v="203"/>
    <n v="48.36"/>
    <n v="631"/>
    <x v="0"/>
    <s v="2DK"/>
    <n v="124000"/>
    <n v="10000"/>
    <n v="0"/>
    <n v="0"/>
    <n v="134000"/>
    <n v="134000"/>
    <n v="0"/>
    <n v="134000"/>
    <x v="70"/>
    <s v="中華系"/>
    <x v="0"/>
    <s v=""/>
    <m/>
    <s v="106_203"/>
    <n v="137000"/>
    <m/>
    <n v="1"/>
    <n v="134000"/>
    <n v="0"/>
    <n v="-3000"/>
    <x v="0"/>
    <x v="0"/>
  </r>
  <r>
    <n v="125"/>
    <n v="106"/>
    <x v="5"/>
    <s v="204"/>
    <n v="52.75"/>
    <n v="631"/>
    <x v="0"/>
    <s v="3DK"/>
    <n v="160000"/>
    <n v="10000"/>
    <n v="0"/>
    <n v="0"/>
    <n v="170000"/>
    <n v="168000"/>
    <n v="0"/>
    <n v="168000"/>
    <x v="71"/>
    <s v="中華系"/>
    <x v="0"/>
    <s v=""/>
    <m/>
    <s v="106_204"/>
    <n v="141000"/>
    <m/>
    <n v="1"/>
    <n v="170000"/>
    <n v="-2000"/>
    <n v="29000"/>
    <x v="0"/>
    <x v="0"/>
  </r>
  <r>
    <n v="126"/>
    <n v="106"/>
    <x v="5"/>
    <s v="301"/>
    <n v="43.2"/>
    <n v="631"/>
    <x v="0"/>
    <s v="2DK"/>
    <n v="140000"/>
    <n v="10000"/>
    <n v="0"/>
    <n v="0"/>
    <n v="150000"/>
    <n v="135000"/>
    <n v="0"/>
    <n v="135000"/>
    <x v="69"/>
    <s v="中華系"/>
    <x v="0"/>
    <s v=""/>
    <m/>
    <s v="106_301"/>
    <n v="132000"/>
    <m/>
    <n v="1"/>
    <n v="150000"/>
    <n v="-15000"/>
    <n v="18000"/>
    <x v="0"/>
    <x v="0"/>
  </r>
  <r>
    <n v="127"/>
    <n v="106"/>
    <x v="5"/>
    <s v="302"/>
    <n v="43.2"/>
    <n v="631"/>
    <x v="0"/>
    <s v="2DK"/>
    <n v="142000"/>
    <n v="10000"/>
    <n v="0"/>
    <n v="0"/>
    <n v="152000"/>
    <n v="150000"/>
    <n v="0"/>
    <n v="150000"/>
    <x v="72"/>
    <s v="中華系"/>
    <x v="0"/>
    <s v=""/>
    <m/>
    <s v="106_302"/>
    <n v="135000"/>
    <m/>
    <n v="1"/>
    <n v="152000"/>
    <n v="-2000"/>
    <n v="17000"/>
    <x v="0"/>
    <x v="0"/>
  </r>
  <r>
    <n v="128"/>
    <n v="106"/>
    <x v="5"/>
    <s v="303"/>
    <n v="48.36"/>
    <n v="631"/>
    <x v="0"/>
    <s v="2DK"/>
    <n v="135000"/>
    <n v="10000"/>
    <n v="0"/>
    <n v="0"/>
    <n v="145000"/>
    <n v="145000"/>
    <n v="0"/>
    <n v="145000"/>
    <x v="73"/>
    <s v="中華系"/>
    <x v="0"/>
    <s v=""/>
    <m/>
    <s v="106_303"/>
    <n v="135000"/>
    <m/>
    <n v="1"/>
    <n v="145000"/>
    <n v="0"/>
    <n v="10000"/>
    <x v="0"/>
    <x v="0"/>
  </r>
  <r>
    <n v="129"/>
    <n v="106"/>
    <x v="5"/>
    <s v="304"/>
    <n v="52.75"/>
    <n v="631"/>
    <x v="0"/>
    <s v="3DK"/>
    <n v="160000"/>
    <n v="10000"/>
    <n v="0"/>
    <n v="0"/>
    <n v="170000"/>
    <n v="168000"/>
    <n v="0"/>
    <n v="168000"/>
    <x v="71"/>
    <s v="住居法人契約"/>
    <x v="0"/>
    <s v=""/>
    <m/>
    <s v="106_304"/>
    <n v="158000"/>
    <m/>
    <n v="1"/>
    <n v="170000"/>
    <n v="-2000"/>
    <n v="12000"/>
    <x v="0"/>
    <x v="0"/>
  </r>
  <r>
    <n v="130"/>
    <n v="106"/>
    <x v="5"/>
    <s v="401"/>
    <n v="39.42"/>
    <n v="631"/>
    <x v="0"/>
    <s v="1LDK"/>
    <n v="125000"/>
    <n v="10000"/>
    <n v="0"/>
    <n v="0"/>
    <n v="135000"/>
    <n v="123000"/>
    <n v="0"/>
    <n v="123000"/>
    <x v="60"/>
    <s v="中華系"/>
    <x v="0"/>
    <s v=""/>
    <m/>
    <s v="106_401"/>
    <n v="123000"/>
    <m/>
    <n v="1"/>
    <n v="135000"/>
    <n v="-12000"/>
    <n v="12000"/>
    <x v="0"/>
    <x v="0"/>
  </r>
  <r>
    <n v="131"/>
    <n v="106"/>
    <x v="5"/>
    <s v="402"/>
    <n v="43.2"/>
    <n v="631"/>
    <x v="0"/>
    <s v="2DK"/>
    <n v="150000"/>
    <n v="10000"/>
    <n v="0"/>
    <n v="0"/>
    <n v="160000"/>
    <n v="160000"/>
    <n v="0"/>
    <n v="160000"/>
    <x v="74"/>
    <s v="中華系"/>
    <x v="0"/>
    <s v=""/>
    <m/>
    <s v="106_402"/>
    <n v="147000"/>
    <m/>
    <n v="1"/>
    <n v="160000"/>
    <n v="0"/>
    <n v="13000"/>
    <x v="0"/>
    <x v="0"/>
  </r>
  <r>
    <n v="132"/>
    <n v="106"/>
    <x v="5"/>
    <s v="403"/>
    <n v="48.36"/>
    <n v="631"/>
    <x v="0"/>
    <s v="2DK"/>
    <n v="125000"/>
    <n v="10000"/>
    <n v="0"/>
    <n v="0"/>
    <n v="135000"/>
    <n v="135000"/>
    <n v="0"/>
    <n v="135000"/>
    <x v="60"/>
    <s v="中華系"/>
    <x v="0"/>
    <s v=""/>
    <m/>
    <s v="106_403"/>
    <n v="135000"/>
    <m/>
    <n v="1"/>
    <n v="135000"/>
    <n v="0"/>
    <n v="0"/>
    <x v="0"/>
    <x v="0"/>
  </r>
  <r>
    <n v="133"/>
    <n v="106"/>
    <x v="5"/>
    <s v="404"/>
    <n v="52.75"/>
    <n v="631"/>
    <x v="0"/>
    <s v="3DK"/>
    <n v="140000"/>
    <n v="10000"/>
    <n v="0"/>
    <n v="0"/>
    <n v="150000"/>
    <n v="150000"/>
    <n v="0"/>
    <n v="150000"/>
    <x v="69"/>
    <s v="日本人等"/>
    <x v="0"/>
    <s v=""/>
    <m/>
    <s v="106_404"/>
    <n v="150000"/>
    <m/>
    <n v="1"/>
    <n v="150000"/>
    <n v="0"/>
    <n v="0"/>
    <x v="0"/>
    <x v="0"/>
  </r>
  <r>
    <n v="134"/>
    <n v="106"/>
    <x v="5"/>
    <s v="501"/>
    <n v="29.16"/>
    <n v="631"/>
    <x v="0"/>
    <s v="1K"/>
    <n v="85000"/>
    <n v="10000"/>
    <n v="0"/>
    <n v="0"/>
    <n v="95000"/>
    <n v="95000"/>
    <n v="0"/>
    <n v="95000"/>
    <x v="62"/>
    <s v="日本人等"/>
    <x v="0"/>
    <s v=""/>
    <m/>
    <s v="106_501"/>
    <n v="90000"/>
    <m/>
    <n v="1"/>
    <n v="95000"/>
    <n v="0"/>
    <n v="5000"/>
    <x v="0"/>
    <x v="0"/>
  </r>
  <r>
    <n v="135"/>
    <n v="106"/>
    <x v="5"/>
    <s v="502"/>
    <n v="43.2"/>
    <n v="631"/>
    <x v="0"/>
    <s v="2DK"/>
    <n v="145000"/>
    <n v="10000"/>
    <n v="0"/>
    <n v="0"/>
    <n v="155000"/>
    <n v="155000"/>
    <n v="0"/>
    <n v="155000"/>
    <x v="75"/>
    <s v="中華系"/>
    <x v="0"/>
    <s v=""/>
    <m/>
    <s v="106_502"/>
    <n v="138000"/>
    <m/>
    <n v="1"/>
    <n v="155000"/>
    <n v="0"/>
    <n v="17000"/>
    <x v="0"/>
    <x v="0"/>
  </r>
  <r>
    <n v="136"/>
    <n v="106"/>
    <x v="5"/>
    <s v="503"/>
    <n v="48.36"/>
    <n v="631"/>
    <x v="0"/>
    <s v="2DK"/>
    <n v="150000"/>
    <n v="10000"/>
    <n v="0"/>
    <n v="0"/>
    <n v="160000"/>
    <n v="160000"/>
    <n v="0"/>
    <n v="160000"/>
    <x v="74"/>
    <s v="中華系"/>
    <x v="0"/>
    <s v=""/>
    <m/>
    <s v="106_503"/>
    <n v="137000"/>
    <m/>
    <n v="1"/>
    <n v="160000"/>
    <n v="0"/>
    <n v="23000"/>
    <x v="0"/>
    <x v="0"/>
  </r>
  <r>
    <n v="137"/>
    <n v="106"/>
    <x v="5"/>
    <s v="504"/>
    <n v="17.600000000000001"/>
    <n v="631"/>
    <x v="0"/>
    <s v="1K"/>
    <n v="160000"/>
    <n v="10000"/>
    <n v="0"/>
    <n v="0"/>
    <n v="170000"/>
    <n v="170000"/>
    <n v="0"/>
    <n v="170000"/>
    <x v="71"/>
    <s v="住居法人契約"/>
    <x v="0"/>
    <s v=""/>
    <m/>
    <s v="106_504"/>
    <n v="146000"/>
    <m/>
    <n v="1"/>
    <n v="170000"/>
    <n v="0"/>
    <n v="24000"/>
    <x v="0"/>
    <x v="0"/>
  </r>
  <r>
    <n v="138"/>
    <n v="106"/>
    <x v="5"/>
    <s v="601"/>
    <n v="55.84"/>
    <n v="631"/>
    <x v="0"/>
    <s v="3DK"/>
    <n v="170000"/>
    <n v="10000"/>
    <n v="0"/>
    <n v="0"/>
    <n v="180000"/>
    <n v="148000"/>
    <n v="0"/>
    <n v="148000"/>
    <x v="76"/>
    <s v="中華系"/>
    <x v="0"/>
    <s v=""/>
    <m/>
    <s v="106_601"/>
    <n v="148000"/>
    <m/>
    <n v="1"/>
    <n v="180000"/>
    <n v="-32000"/>
    <n v="32000"/>
    <x v="0"/>
    <x v="0"/>
  </r>
  <r>
    <n v="139"/>
    <n v="106"/>
    <x v="5"/>
    <s v="602"/>
    <n v="62.32"/>
    <n v="631"/>
    <x v="0"/>
    <s v="1LDK"/>
    <n v="180000"/>
    <n v="0"/>
    <n v="0"/>
    <n v="0"/>
    <n v="180000"/>
    <n v="180000"/>
    <n v="0"/>
    <n v="180000"/>
    <x v="76"/>
    <s v="住居法人契約"/>
    <x v="0"/>
    <s v=""/>
    <m/>
    <s v="106_602"/>
    <n v="165000"/>
    <m/>
    <n v="1"/>
    <n v="180000"/>
    <n v="0"/>
    <n v="15000"/>
    <x v="0"/>
    <x v="0"/>
  </r>
  <r>
    <n v="140"/>
    <n v="106"/>
    <x v="5"/>
    <s v="603"/>
    <n v="17.600000000000001"/>
    <n v="631"/>
    <x v="0"/>
    <s v="1K"/>
    <n v="68000"/>
    <n v="3000"/>
    <n v="0"/>
    <n v="0"/>
    <n v="71000"/>
    <n v="78000"/>
    <n v="0"/>
    <n v="78000"/>
    <x v="77"/>
    <s v="中華系"/>
    <x v="0"/>
    <s v=""/>
    <m/>
    <s v="106_603"/>
    <n v="75000"/>
    <m/>
    <n v="1"/>
    <n v="71000"/>
    <n v="7000"/>
    <n v="-4000"/>
    <x v="0"/>
    <x v="0"/>
  </r>
  <r>
    <n v="141"/>
    <n v="106"/>
    <x v="5"/>
    <s v="RF1"/>
    <n v="0"/>
    <n v="635"/>
    <x v="2"/>
    <s v="その他"/>
    <n v="12000"/>
    <n v="0"/>
    <n v="0"/>
    <n v="1200"/>
    <n v="13200"/>
    <n v="12000"/>
    <n v="1199.9999999999998"/>
    <n v="13200"/>
    <x v="65"/>
    <s v="-"/>
    <x v="0"/>
    <s v=""/>
    <m/>
    <s v="106_RF1"/>
    <n v="0"/>
    <m/>
    <n v="1"/>
    <n v="12000"/>
    <n v="0"/>
    <n v="12000"/>
    <x v="0"/>
    <x v="0"/>
  </r>
  <r>
    <n v="142"/>
    <n v="106"/>
    <x v="5"/>
    <s v="NTF1"/>
    <s v="-"/>
    <n v="639"/>
    <x v="3"/>
    <s v="その他"/>
    <n v="0"/>
    <n v="0"/>
    <n v="0"/>
    <n v="0"/>
    <n v="0"/>
    <n v="0"/>
    <n v="0"/>
    <n v="0"/>
    <x v="14"/>
    <s v="-"/>
    <x v="1"/>
    <s v="フレッツ光"/>
    <m/>
    <s v="106_NTF1"/>
    <n v="0"/>
    <m/>
    <n v="0"/>
    <n v="0"/>
    <n v="0"/>
    <n v="0"/>
    <x v="1"/>
    <x v="0"/>
  </r>
  <r>
    <n v="143"/>
    <n v="107"/>
    <x v="6"/>
    <s v="201"/>
    <n v="16.87"/>
    <n v="631"/>
    <x v="0"/>
    <s v="1R"/>
    <n v="52000"/>
    <n v="3000"/>
    <n v="0"/>
    <n v="0"/>
    <n v="55000"/>
    <n v="61000"/>
    <n v="0"/>
    <n v="61000"/>
    <x v="78"/>
    <s v="日本人等"/>
    <x v="0"/>
    <s v=""/>
    <m/>
    <s v="107_201"/>
    <n v="61000"/>
    <m/>
    <n v="1"/>
    <n v="55000"/>
    <n v="6000"/>
    <n v="-6000"/>
    <x v="0"/>
    <x v="0"/>
  </r>
  <r>
    <n v="144"/>
    <n v="107"/>
    <x v="6"/>
    <s v="202"/>
    <n v="16.87"/>
    <n v="631"/>
    <x v="0"/>
    <s v="1R"/>
    <n v="56000"/>
    <n v="3000"/>
    <n v="0"/>
    <n v="0"/>
    <n v="59000"/>
    <n v="59000"/>
    <n v="0"/>
    <n v="59000"/>
    <x v="4"/>
    <s v="日本人等"/>
    <x v="0"/>
    <s v=""/>
    <m/>
    <s v="107_202"/>
    <n v="59000"/>
    <m/>
    <n v="1"/>
    <n v="59000"/>
    <n v="0"/>
    <n v="0"/>
    <x v="0"/>
    <x v="0"/>
  </r>
  <r>
    <n v="145"/>
    <n v="107"/>
    <x v="6"/>
    <s v="203"/>
    <n v="19.54"/>
    <n v="631"/>
    <x v="0"/>
    <s v="1R"/>
    <n v="57000"/>
    <n v="3000"/>
    <n v="0"/>
    <n v="0"/>
    <n v="60000"/>
    <n v="60000"/>
    <n v="0"/>
    <n v="60000"/>
    <x v="8"/>
    <s v="日本人等"/>
    <x v="0"/>
    <s v=""/>
    <m/>
    <s v="107_203"/>
    <n v="59000"/>
    <m/>
    <n v="1"/>
    <n v="60000"/>
    <n v="0"/>
    <n v="1000"/>
    <x v="0"/>
    <x v="0"/>
  </r>
  <r>
    <n v="146"/>
    <n v="107"/>
    <x v="6"/>
    <s v="205"/>
    <n v="19.54"/>
    <n v="631"/>
    <x v="0"/>
    <s v="1R"/>
    <n v="61000"/>
    <n v="3000"/>
    <n v="0"/>
    <n v="0"/>
    <n v="64000"/>
    <n v="64000"/>
    <n v="0"/>
    <n v="64000"/>
    <x v="10"/>
    <s v="日本人等"/>
    <x v="0"/>
    <s v=""/>
    <m/>
    <s v="107_205"/>
    <n v="64000"/>
    <m/>
    <n v="1"/>
    <n v="64000"/>
    <n v="0"/>
    <n v="0"/>
    <x v="0"/>
    <x v="0"/>
  </r>
  <r>
    <n v="147"/>
    <n v="107"/>
    <x v="6"/>
    <s v="206"/>
    <n v="17.100000000000001"/>
    <n v="631"/>
    <x v="0"/>
    <s v="1R"/>
    <n v="67000"/>
    <n v="0"/>
    <n v="0"/>
    <n v="0"/>
    <n v="67000"/>
    <n v="67000"/>
    <n v="0"/>
    <n v="67000"/>
    <x v="3"/>
    <s v="日本人等"/>
    <x v="0"/>
    <s v=""/>
    <m/>
    <s v="107_206"/>
    <n v="70000"/>
    <m/>
    <n v="1"/>
    <n v="67000"/>
    <n v="0"/>
    <n v="-3000"/>
    <x v="0"/>
    <x v="0"/>
  </r>
  <r>
    <n v="148"/>
    <n v="107"/>
    <x v="6"/>
    <s v="207"/>
    <n v="17.100000000000001"/>
    <n v="631"/>
    <x v="0"/>
    <s v="1R"/>
    <n v="51000"/>
    <n v="3000"/>
    <n v="0"/>
    <n v="0"/>
    <n v="54000"/>
    <n v="63000"/>
    <n v="0"/>
    <n v="63000"/>
    <x v="79"/>
    <s v="日本人等"/>
    <x v="0"/>
    <s v=""/>
    <m/>
    <s v="107_207"/>
    <n v="63000"/>
    <m/>
    <n v="1"/>
    <n v="54000"/>
    <n v="9000"/>
    <n v="-9000"/>
    <x v="0"/>
    <x v="0"/>
  </r>
  <r>
    <n v="149"/>
    <n v="107"/>
    <x v="6"/>
    <s v="208"/>
    <n v="16.96"/>
    <n v="631"/>
    <x v="0"/>
    <s v="1R"/>
    <n v="59000"/>
    <n v="2000"/>
    <n v="0"/>
    <n v="0"/>
    <n v="61000"/>
    <n v="61000"/>
    <n v="0"/>
    <n v="61000"/>
    <x v="80"/>
    <s v="日本人等"/>
    <x v="0"/>
    <s v=""/>
    <m/>
    <s v="107_208"/>
    <n v="59000"/>
    <m/>
    <n v="1"/>
    <n v="61000"/>
    <n v="0"/>
    <n v="2000"/>
    <x v="0"/>
    <x v="0"/>
  </r>
  <r>
    <n v="150"/>
    <n v="107"/>
    <x v="6"/>
    <s v="210"/>
    <n v="19.54"/>
    <n v="631"/>
    <x v="0"/>
    <s v="1R"/>
    <n v="59000"/>
    <n v="3000"/>
    <n v="0"/>
    <n v="0"/>
    <n v="62000"/>
    <n v="62000"/>
    <n v="0"/>
    <n v="62000"/>
    <x v="6"/>
    <s v="欧米先進国"/>
    <x v="0"/>
    <s v=""/>
    <m/>
    <s v="107_210"/>
    <n v="65000"/>
    <m/>
    <n v="1"/>
    <n v="62000"/>
    <n v="0"/>
    <n v="-3000"/>
    <x v="0"/>
    <x v="0"/>
  </r>
  <r>
    <n v="151"/>
    <n v="107"/>
    <x v="6"/>
    <s v="211"/>
    <n v="18.47"/>
    <n v="631"/>
    <x v="0"/>
    <s v="1R"/>
    <n v="60000"/>
    <n v="5000"/>
    <n v="0"/>
    <n v="0"/>
    <n v="65000"/>
    <n v="65000"/>
    <n v="0"/>
    <n v="65000"/>
    <x v="0"/>
    <s v="日本人等"/>
    <x v="0"/>
    <s v=""/>
    <m/>
    <s v="107_211"/>
    <n v="65000"/>
    <m/>
    <n v="1"/>
    <n v="65000"/>
    <n v="0"/>
    <n v="0"/>
    <x v="0"/>
    <x v="0"/>
  </r>
  <r>
    <n v="152"/>
    <n v="107"/>
    <x v="6"/>
    <s v="212"/>
    <n v="18.47"/>
    <n v="631"/>
    <x v="0"/>
    <s v="1R"/>
    <n v="62000"/>
    <n v="0"/>
    <n v="0"/>
    <n v="0"/>
    <n v="62000"/>
    <n v="62000"/>
    <n v="0"/>
    <n v="62000"/>
    <x v="6"/>
    <s v="日本人等"/>
    <x v="0"/>
    <s v=""/>
    <m/>
    <s v="107_212"/>
    <n v="65000"/>
    <m/>
    <n v="1"/>
    <n v="62000"/>
    <n v="0"/>
    <n v="-3000"/>
    <x v="0"/>
    <x v="0"/>
  </r>
  <r>
    <n v="153"/>
    <n v="107"/>
    <x v="6"/>
    <s v="213"/>
    <n v="18.47"/>
    <n v="631"/>
    <x v="0"/>
    <s v="1R"/>
    <n v="69000"/>
    <n v="3000"/>
    <n v="0"/>
    <n v="0"/>
    <n v="72000"/>
    <n v="72000"/>
    <n v="0"/>
    <n v="72000"/>
    <x v="11"/>
    <s v="日本人等"/>
    <x v="0"/>
    <s v=""/>
    <m/>
    <s v="107_213"/>
    <n v="72000"/>
    <m/>
    <n v="1"/>
    <n v="72000"/>
    <n v="0"/>
    <n v="0"/>
    <x v="0"/>
    <x v="0"/>
  </r>
  <r>
    <n v="154"/>
    <n v="107"/>
    <x v="6"/>
    <s v="215"/>
    <n v="18.47"/>
    <n v="631"/>
    <x v="0"/>
    <s v="1R"/>
    <n v="60000"/>
    <n v="3000"/>
    <n v="0"/>
    <n v="0"/>
    <n v="63000"/>
    <n v="63000"/>
    <n v="0"/>
    <n v="63000"/>
    <x v="2"/>
    <s v="日本人等"/>
    <x v="0"/>
    <s v=""/>
    <m/>
    <s v="107_215"/>
    <n v="65000"/>
    <m/>
    <n v="1"/>
    <n v="63000"/>
    <n v="0"/>
    <n v="-2000"/>
    <x v="0"/>
    <x v="0"/>
  </r>
  <r>
    <n v="155"/>
    <n v="107"/>
    <x v="6"/>
    <s v="301"/>
    <n v="19.54"/>
    <n v="631"/>
    <x v="0"/>
    <s v="1R"/>
    <n v="57000"/>
    <n v="3000"/>
    <n v="0"/>
    <n v="0"/>
    <n v="60000"/>
    <n v="60000"/>
    <n v="0"/>
    <n v="60000"/>
    <x v="8"/>
    <s v="日本人等"/>
    <x v="0"/>
    <s v=""/>
    <m/>
    <s v="107_301"/>
    <n v="60000"/>
    <m/>
    <n v="1"/>
    <n v="60000"/>
    <n v="0"/>
    <n v="0"/>
    <x v="0"/>
    <x v="0"/>
  </r>
  <r>
    <n v="156"/>
    <n v="107"/>
    <x v="6"/>
    <s v="302"/>
    <n v="18.47"/>
    <n v="631"/>
    <x v="0"/>
    <s v="1R"/>
    <n v="58000"/>
    <n v="0"/>
    <n v="0"/>
    <n v="0"/>
    <n v="58000"/>
    <n v="58000"/>
    <n v="0"/>
    <n v="58000"/>
    <x v="81"/>
    <s v="日本人等"/>
    <x v="0"/>
    <s v=""/>
    <m/>
    <s v="107_302"/>
    <n v="58000"/>
    <m/>
    <n v="1"/>
    <n v="58000"/>
    <n v="0"/>
    <n v="0"/>
    <x v="0"/>
    <x v="0"/>
  </r>
  <r>
    <n v="157"/>
    <n v="107"/>
    <x v="6"/>
    <s v="303"/>
    <n v="27.28"/>
    <n v="631"/>
    <x v="0"/>
    <s v="1DK"/>
    <n v="82000"/>
    <n v="3000"/>
    <n v="0"/>
    <n v="0"/>
    <n v="85000"/>
    <n v="85000"/>
    <n v="0"/>
    <n v="85000"/>
    <x v="18"/>
    <s v="中華系"/>
    <x v="0"/>
    <s v=""/>
    <m/>
    <s v="107_303"/>
    <n v="88000"/>
    <m/>
    <n v="1"/>
    <n v="85000"/>
    <n v="0"/>
    <n v="-3000"/>
    <x v="0"/>
    <x v="0"/>
  </r>
  <r>
    <n v="158"/>
    <n v="107"/>
    <x v="6"/>
    <s v="305"/>
    <n v="17.47"/>
    <n v="631"/>
    <x v="0"/>
    <s v="1R"/>
    <n v="59000"/>
    <n v="3000"/>
    <n v="0"/>
    <n v="0"/>
    <n v="62000"/>
    <n v="62000"/>
    <n v="0"/>
    <n v="62000"/>
    <x v="6"/>
    <s v="日本人等"/>
    <x v="0"/>
    <s v=""/>
    <m/>
    <s v="107_305"/>
    <n v="62000"/>
    <m/>
    <n v="1"/>
    <n v="62000"/>
    <n v="0"/>
    <n v="0"/>
    <x v="0"/>
    <x v="0"/>
  </r>
  <r>
    <n v="159"/>
    <n v="107"/>
    <x v="6"/>
    <s v="306"/>
    <n v="16.96"/>
    <n v="631"/>
    <x v="0"/>
    <s v="1R"/>
    <n v="53700"/>
    <n v="5000"/>
    <n v="0"/>
    <n v="0"/>
    <n v="58700"/>
    <n v="58700"/>
    <n v="0"/>
    <n v="58700"/>
    <x v="82"/>
    <s v="日本人等"/>
    <x v="0"/>
    <s v=""/>
    <m/>
    <s v="107_306"/>
    <n v="59000"/>
    <m/>
    <n v="1"/>
    <n v="58700"/>
    <n v="0"/>
    <n v="-300"/>
    <x v="0"/>
    <x v="0"/>
  </r>
  <r>
    <n v="160"/>
    <n v="107"/>
    <x v="6"/>
    <s v="307"/>
    <n v="18.47"/>
    <n v="631"/>
    <x v="0"/>
    <s v="1R"/>
    <n v="63000"/>
    <n v="3000"/>
    <n v="0"/>
    <n v="0"/>
    <n v="66000"/>
    <n v="66000"/>
    <n v="0"/>
    <n v="66000"/>
    <x v="5"/>
    <s v="日本人等"/>
    <x v="0"/>
    <s v=""/>
    <m/>
    <s v="107_307"/>
    <n v="66000"/>
    <m/>
    <n v="1"/>
    <n v="66000"/>
    <n v="0"/>
    <n v="0"/>
    <x v="0"/>
    <x v="0"/>
  </r>
  <r>
    <n v="161"/>
    <n v="107"/>
    <x v="6"/>
    <s v="308"/>
    <n v="18.47"/>
    <n v="631"/>
    <x v="0"/>
    <s v="1R"/>
    <n v="59000"/>
    <n v="3000"/>
    <n v="0"/>
    <n v="0"/>
    <n v="62000"/>
    <n v="62000"/>
    <n v="0"/>
    <n v="62000"/>
    <x v="6"/>
    <s v="日本人等"/>
    <x v="0"/>
    <s v=""/>
    <m/>
    <s v="107_308"/>
    <n v="60000"/>
    <m/>
    <n v="1"/>
    <n v="62000"/>
    <n v="0"/>
    <n v="2000"/>
    <x v="0"/>
    <x v="0"/>
  </r>
  <r>
    <n v="162"/>
    <n v="107"/>
    <x v="6"/>
    <s v="310"/>
    <n v="19.54"/>
    <n v="631"/>
    <x v="0"/>
    <s v="1R"/>
    <n v="59000"/>
    <n v="2000"/>
    <n v="0"/>
    <n v="0"/>
    <n v="61000"/>
    <n v="61000"/>
    <n v="0"/>
    <n v="61000"/>
    <x v="80"/>
    <s v="日本人等"/>
    <x v="0"/>
    <s v=""/>
    <m/>
    <s v="107_310"/>
    <n v="62000"/>
    <m/>
    <n v="1"/>
    <n v="61000"/>
    <n v="0"/>
    <n v="-1000"/>
    <x v="0"/>
    <x v="0"/>
  </r>
  <r>
    <n v="163"/>
    <n v="107"/>
    <x v="6"/>
    <s v="311"/>
    <n v="18.47"/>
    <n v="631"/>
    <x v="0"/>
    <s v="1R"/>
    <n v="60000"/>
    <n v="3000"/>
    <n v="0"/>
    <n v="0"/>
    <n v="63000"/>
    <n v="61000"/>
    <n v="0"/>
    <n v="61000"/>
    <x v="2"/>
    <s v="新興国系"/>
    <x v="0"/>
    <s v=""/>
    <m/>
    <s v="107_311"/>
    <n v="63000"/>
    <m/>
    <n v="1"/>
    <n v="63000"/>
    <n v="-2000"/>
    <n v="0"/>
    <x v="0"/>
    <x v="0"/>
  </r>
  <r>
    <n v="164"/>
    <n v="107"/>
    <x v="6"/>
    <s v="312"/>
    <n v="16.2"/>
    <n v="631"/>
    <x v="0"/>
    <s v="1R"/>
    <n v="59000"/>
    <n v="0"/>
    <n v="0"/>
    <n v="0"/>
    <n v="59000"/>
    <n v="59000"/>
    <n v="0"/>
    <n v="59000"/>
    <x v="4"/>
    <s v="日本人等"/>
    <x v="0"/>
    <s v=""/>
    <m/>
    <s v="107_312"/>
    <n v="59000"/>
    <m/>
    <n v="1"/>
    <n v="59000"/>
    <n v="0"/>
    <n v="0"/>
    <x v="0"/>
    <x v="0"/>
  </r>
  <r>
    <n v="165"/>
    <n v="107"/>
    <x v="6"/>
    <s v="1F"/>
    <n v="430"/>
    <n v="633"/>
    <x v="5"/>
    <s v="店舗"/>
    <n v="1000000"/>
    <n v="0"/>
    <n v="0"/>
    <n v="100000"/>
    <n v="1100000"/>
    <n v="1000000"/>
    <n v="100000"/>
    <n v="1100000"/>
    <x v="83"/>
    <s v="法人契約"/>
    <x v="0"/>
    <s v=""/>
    <m/>
    <s v="107_1F"/>
    <n v="1000000"/>
    <m/>
    <n v="1"/>
    <n v="1000000"/>
    <n v="0"/>
    <n v="0"/>
    <x v="0"/>
    <x v="0"/>
  </r>
  <r>
    <n v="166"/>
    <n v="107"/>
    <x v="6"/>
    <s v="NTD1"/>
    <s v="-"/>
    <n v="639"/>
    <x v="3"/>
    <s v="その他"/>
    <n v="0"/>
    <n v="0"/>
    <n v="0"/>
    <n v="0"/>
    <n v="0"/>
    <n v="0"/>
    <n v="0"/>
    <n v="0"/>
    <x v="14"/>
    <s v="-"/>
    <x v="1"/>
    <s v="電柱"/>
    <m/>
    <s v="107_NTD1"/>
    <n v="0"/>
    <m/>
    <n v="0"/>
    <n v="0"/>
    <n v="0"/>
    <n v="0"/>
    <x v="1"/>
    <x v="0"/>
  </r>
  <r>
    <n v="167"/>
    <n v="109"/>
    <x v="7"/>
    <s v="101"/>
    <n v="21.5"/>
    <n v="631"/>
    <x v="0"/>
    <s v="1K"/>
    <n v="50000"/>
    <n v="0"/>
    <n v="0"/>
    <n v="0"/>
    <n v="50000"/>
    <n v="50000"/>
    <n v="0"/>
    <n v="50000"/>
    <x v="84"/>
    <s v="日本人等"/>
    <x v="0"/>
    <s v=""/>
    <m/>
    <s v="109_101"/>
    <n v="20000"/>
    <m/>
    <n v="1"/>
    <n v="50000"/>
    <n v="0"/>
    <n v="30000"/>
    <x v="0"/>
    <x v="0"/>
  </r>
  <r>
    <n v="168"/>
    <n v="109"/>
    <x v="7"/>
    <s v="102"/>
    <n v="21.87"/>
    <n v="631"/>
    <x v="0"/>
    <s v="1DK"/>
    <n v="68000"/>
    <n v="0"/>
    <n v="0"/>
    <n v="0"/>
    <n v="68000"/>
    <n v="68000"/>
    <n v="0"/>
    <n v="68000"/>
    <x v="20"/>
    <s v="日本人等"/>
    <x v="0"/>
    <s v=""/>
    <m/>
    <s v="109_102"/>
    <n v="68000"/>
    <m/>
    <n v="1"/>
    <n v="68000"/>
    <n v="0"/>
    <n v="0"/>
    <x v="0"/>
    <x v="0"/>
  </r>
  <r>
    <n v="169"/>
    <n v="109"/>
    <x v="7"/>
    <s v="103"/>
    <n v="17.43"/>
    <n v="631"/>
    <x v="0"/>
    <s v="1R"/>
    <n v="62000"/>
    <n v="3000"/>
    <n v="0"/>
    <n v="0"/>
    <n v="65000"/>
    <n v="65000"/>
    <n v="0"/>
    <n v="65000"/>
    <x v="0"/>
    <s v="新興国系"/>
    <x v="0"/>
    <s v=""/>
    <m/>
    <s v="109_103"/>
    <n v="60000"/>
    <m/>
    <n v="1"/>
    <n v="65000"/>
    <n v="0"/>
    <n v="5000"/>
    <x v="0"/>
    <x v="0"/>
  </r>
  <r>
    <n v="170"/>
    <n v="109"/>
    <x v="7"/>
    <s v="105"/>
    <n v="21.77"/>
    <n v="631"/>
    <x v="0"/>
    <s v="1K"/>
    <n v="67000"/>
    <n v="3000"/>
    <n v="0"/>
    <n v="0"/>
    <n v="70000"/>
    <n v="78000"/>
    <n v="0"/>
    <n v="78000"/>
    <x v="7"/>
    <s v="日本人等"/>
    <x v="0"/>
    <s v=""/>
    <m/>
    <s v="109_105"/>
    <n v="82000"/>
    <m/>
    <n v="1"/>
    <n v="70000"/>
    <n v="8000"/>
    <n v="-12000"/>
    <x v="0"/>
    <x v="0"/>
  </r>
  <r>
    <n v="171"/>
    <n v="109"/>
    <x v="7"/>
    <s v="107"/>
    <n v="25.25"/>
    <n v="631"/>
    <x v="0"/>
    <s v="1DK"/>
    <n v="80000"/>
    <n v="3000"/>
    <n v="0"/>
    <n v="0"/>
    <n v="83000"/>
    <n v="86300"/>
    <n v="0"/>
    <n v="86300"/>
    <x v="85"/>
    <s v="日本人等"/>
    <x v="0"/>
    <s v=""/>
    <m/>
    <s v="109_107"/>
    <n v="86000"/>
    <m/>
    <n v="1"/>
    <n v="83000"/>
    <n v="3300"/>
    <n v="-3000"/>
    <x v="0"/>
    <x v="0"/>
  </r>
  <r>
    <n v="172"/>
    <n v="109"/>
    <x v="7"/>
    <s v="108"/>
    <n v="34"/>
    <n v="631"/>
    <x v="0"/>
    <s v="1DK"/>
    <n v="101000"/>
    <n v="5000"/>
    <n v="0"/>
    <n v="0"/>
    <n v="106000"/>
    <n v="95000"/>
    <n v="0"/>
    <n v="95000"/>
    <x v="86"/>
    <s v="日本人等"/>
    <x v="0"/>
    <s v=""/>
    <m/>
    <s v="109_108"/>
    <n v="95000"/>
    <m/>
    <n v="1"/>
    <n v="106000"/>
    <n v="-11000"/>
    <n v="11000"/>
    <x v="0"/>
    <x v="0"/>
  </r>
  <r>
    <n v="173"/>
    <n v="109"/>
    <x v="7"/>
    <s v="111"/>
    <n v="62.64"/>
    <n v="631"/>
    <x v="0"/>
    <s v="3LDK"/>
    <n v="145000"/>
    <n v="0"/>
    <n v="0"/>
    <n v="0"/>
    <n v="145000"/>
    <n v="145000"/>
    <n v="0"/>
    <n v="145000"/>
    <x v="73"/>
    <s v="日本人等"/>
    <x v="0"/>
    <s v=""/>
    <m/>
    <s v="109_111"/>
    <n v="145000"/>
    <m/>
    <n v="1"/>
    <n v="145000"/>
    <n v="0"/>
    <n v="0"/>
    <x v="0"/>
    <x v="0"/>
  </r>
  <r>
    <n v="174"/>
    <n v="109"/>
    <x v="7"/>
    <s v="112"/>
    <n v="62.64"/>
    <n v="631"/>
    <x v="0"/>
    <s v="3LDK"/>
    <n v="160000"/>
    <n v="5000"/>
    <n v="0"/>
    <n v="0"/>
    <n v="165000"/>
    <n v="165000"/>
    <n v="0"/>
    <n v="165000"/>
    <x v="34"/>
    <s v="中華系"/>
    <x v="0"/>
    <s v=""/>
    <m/>
    <s v="109_112"/>
    <n v="150000"/>
    <m/>
    <n v="1"/>
    <n v="165000"/>
    <n v="0"/>
    <n v="15000"/>
    <x v="0"/>
    <x v="0"/>
  </r>
  <r>
    <n v="175"/>
    <n v="109"/>
    <x v="7"/>
    <s v="221"/>
    <n v="62.64"/>
    <n v="631"/>
    <x v="0"/>
    <s v="3LDK"/>
    <n v="150000"/>
    <n v="0"/>
    <n v="0"/>
    <n v="0"/>
    <n v="150000"/>
    <n v="150000"/>
    <n v="0"/>
    <n v="150000"/>
    <x v="69"/>
    <s v="住居法人契約"/>
    <x v="0"/>
    <s v=""/>
    <m/>
    <s v="109_221"/>
    <n v="150000"/>
    <m/>
    <n v="1"/>
    <n v="150000"/>
    <n v="0"/>
    <n v="0"/>
    <x v="0"/>
    <x v="0"/>
  </r>
  <r>
    <n v="176"/>
    <n v="109"/>
    <x v="7"/>
    <s v="222"/>
    <n v="62.64"/>
    <n v="631"/>
    <x v="0"/>
    <s v="3LDK"/>
    <n v="175000"/>
    <n v="5000"/>
    <n v="0"/>
    <n v="0"/>
    <n v="180000"/>
    <n v="180000"/>
    <n v="0"/>
    <n v="180000"/>
    <x v="76"/>
    <s v="日本人等"/>
    <x v="0"/>
    <s v=""/>
    <m/>
    <s v="109_222"/>
    <n v="155000"/>
    <m/>
    <n v="1"/>
    <n v="180000"/>
    <n v="0"/>
    <n v="25000"/>
    <x v="0"/>
    <x v="0"/>
  </r>
  <r>
    <n v="177"/>
    <n v="109"/>
    <x v="7"/>
    <s v="331"/>
    <n v="62.64"/>
    <n v="631"/>
    <x v="0"/>
    <s v="3LDK"/>
    <n v="150000"/>
    <n v="0"/>
    <n v="0"/>
    <n v="0"/>
    <n v="150000"/>
    <n v="150000"/>
    <n v="0"/>
    <n v="150000"/>
    <x v="69"/>
    <s v="日本人等"/>
    <x v="0"/>
    <s v=""/>
    <m/>
    <s v="109_331"/>
    <n v="150000"/>
    <m/>
    <n v="1"/>
    <n v="150000"/>
    <n v="0"/>
    <n v="0"/>
    <x v="0"/>
    <x v="0"/>
  </r>
  <r>
    <n v="178"/>
    <n v="109"/>
    <x v="7"/>
    <s v="332"/>
    <n v="62.64"/>
    <n v="631"/>
    <x v="0"/>
    <s v="3LDK"/>
    <n v="180000"/>
    <n v="5000"/>
    <n v="0"/>
    <n v="0"/>
    <n v="185000"/>
    <n v="180000"/>
    <n v="0"/>
    <n v="180000"/>
    <x v="87"/>
    <s v="日本人等"/>
    <x v="0"/>
    <s v=""/>
    <m/>
    <s v="109_332"/>
    <n v="150000"/>
    <m/>
    <n v="1"/>
    <n v="185000"/>
    <n v="-5000"/>
    <n v="35000"/>
    <x v="0"/>
    <x v="0"/>
  </r>
  <r>
    <n v="179"/>
    <n v="109"/>
    <x v="7"/>
    <s v="P1"/>
    <n v="0"/>
    <n v="634"/>
    <x v="4"/>
    <s v="駐車場"/>
    <n v="24545"/>
    <n v="0"/>
    <n v="0"/>
    <n v="2455"/>
    <n v="27000"/>
    <n v="24545"/>
    <n v="2454.5454545454545"/>
    <n v="26999.545454545456"/>
    <x v="88"/>
    <s v="法人契約"/>
    <x v="0"/>
    <s v=""/>
    <m/>
    <s v="109_P1"/>
    <n v="25000"/>
    <m/>
    <n v="1"/>
    <n v="24545"/>
    <n v="0"/>
    <n v="-455"/>
    <x v="0"/>
    <x v="0"/>
  </r>
  <r>
    <n v="180"/>
    <n v="109"/>
    <x v="7"/>
    <s v="RF1"/>
    <n v="0"/>
    <n v="635"/>
    <x v="2"/>
    <s v="その他"/>
    <n v="53467"/>
    <n v="0"/>
    <n v="0"/>
    <n v="5346"/>
    <n v="58813"/>
    <n v="53466"/>
    <n v="5346.636363636364"/>
    <n v="58812.636363636368"/>
    <x v="89"/>
    <s v="-"/>
    <x v="0"/>
    <s v="ソフトバンクモバイル"/>
    <m/>
    <s v="109_RF1"/>
    <n v="53467"/>
    <m/>
    <n v="1"/>
    <n v="53467"/>
    <n v="-1"/>
    <n v="0"/>
    <x v="0"/>
    <x v="0"/>
  </r>
  <r>
    <n v="181"/>
    <n v="109"/>
    <x v="7"/>
    <s v="RF2"/>
    <n v="0"/>
    <n v="635"/>
    <x v="2"/>
    <s v="その他"/>
    <n v="12817"/>
    <n v="0"/>
    <n v="0"/>
    <n v="1281"/>
    <n v="14098"/>
    <n v="12816"/>
    <n v="1281.6363636363637"/>
    <n v="14097.636363636364"/>
    <x v="90"/>
    <s v="-"/>
    <x v="0"/>
    <s v="ドコモ"/>
    <m/>
    <s v="109_RF2"/>
    <n v="12817"/>
    <m/>
    <n v="1"/>
    <n v="12817"/>
    <n v="-1"/>
    <n v="0"/>
    <x v="0"/>
    <x v="0"/>
  </r>
  <r>
    <n v="182"/>
    <n v="109"/>
    <x v="7"/>
    <s v="NTF1"/>
    <s v="-"/>
    <n v="639"/>
    <x v="3"/>
    <s v="その他"/>
    <n v="0"/>
    <n v="0"/>
    <n v="0"/>
    <n v="0"/>
    <n v="0"/>
    <n v="0"/>
    <n v="0"/>
    <n v="0"/>
    <x v="14"/>
    <s v="-"/>
    <x v="1"/>
    <s v="フレッツ光"/>
    <m/>
    <s v="109_NTF1"/>
    <n v="0"/>
    <m/>
    <n v="0"/>
    <n v="0"/>
    <n v="0"/>
    <n v="0"/>
    <x v="1"/>
    <x v="0"/>
  </r>
  <r>
    <n v="183"/>
    <n v="109"/>
    <x v="7"/>
    <s v="100"/>
    <n v="0"/>
    <n v="636"/>
    <x v="6"/>
    <s v="倉庫"/>
    <n v="16000"/>
    <n v="0"/>
    <n v="0"/>
    <n v="1600"/>
    <n v="17600"/>
    <n v="16000"/>
    <n v="1600"/>
    <n v="17600"/>
    <x v="91"/>
    <s v="日本人等"/>
    <x v="0"/>
    <s v=""/>
    <m/>
    <s v="109_100"/>
    <n v="0"/>
    <m/>
    <n v="1"/>
    <n v="16000"/>
    <n v="0"/>
    <n v="16000"/>
    <x v="0"/>
    <x v="0"/>
  </r>
  <r>
    <n v="184"/>
    <n v="111"/>
    <x v="8"/>
    <s v="SL1"/>
    <s v="-"/>
    <n v="631"/>
    <x v="0"/>
    <s v="1K"/>
    <n v="1758634"/>
    <n v="0"/>
    <n v="0"/>
    <n v="0"/>
    <n v="1758634"/>
    <n v="1752707"/>
    <n v="0"/>
    <n v="1752707"/>
    <x v="92"/>
    <s v="一括貸し"/>
    <x v="0"/>
    <s v="公益団体に一括貸し"/>
    <m/>
    <s v="111_SL1"/>
    <n v="1752707"/>
    <m/>
    <n v="1"/>
    <n v="1758634"/>
    <n v="-5927"/>
    <n v="5927"/>
    <x v="1"/>
    <x v="0"/>
  </r>
  <r>
    <n v="185"/>
    <n v="111"/>
    <x v="8"/>
    <s v="201"/>
    <n v="45.527000000000001"/>
    <n v="631"/>
    <x v="0"/>
    <s v="2DK"/>
    <s v="-"/>
    <s v="-"/>
    <s v="-"/>
    <s v="-"/>
    <n v="0"/>
    <n v="91000"/>
    <n v="0"/>
    <n v="91000"/>
    <x v="93"/>
    <s v="-"/>
    <x v="0"/>
    <s v="普通借家想定91000円"/>
    <m/>
    <s v="111_201"/>
    <n v="0"/>
    <m/>
    <n v="0"/>
    <n v="91000"/>
    <n v="0"/>
    <n v="91000"/>
    <x v="0"/>
    <x v="1"/>
  </r>
  <r>
    <n v="186"/>
    <n v="111"/>
    <x v="8"/>
    <s v="202"/>
    <n v="45.527000000000001"/>
    <n v="631"/>
    <x v="0"/>
    <s v="2DK"/>
    <s v="-"/>
    <s v="-"/>
    <s v="-"/>
    <s v="-"/>
    <n v="0"/>
    <n v="91000"/>
    <n v="0"/>
    <n v="91000"/>
    <x v="93"/>
    <s v="-"/>
    <x v="0"/>
    <s v="普通借家想定91000円"/>
    <m/>
    <s v="111_202"/>
    <n v="0"/>
    <m/>
    <n v="0"/>
    <n v="91000"/>
    <n v="0"/>
    <n v="91000"/>
    <x v="0"/>
    <x v="1"/>
  </r>
  <r>
    <n v="187"/>
    <n v="111"/>
    <x v="8"/>
    <s v="203"/>
    <n v="45.527000000000001"/>
    <n v="631"/>
    <x v="0"/>
    <s v="2DK"/>
    <s v="-"/>
    <s v="-"/>
    <s v="-"/>
    <s v="-"/>
    <n v="0"/>
    <n v="91000"/>
    <n v="0"/>
    <n v="91000"/>
    <x v="93"/>
    <s v="-"/>
    <x v="0"/>
    <s v="普通借家想定91000円"/>
    <m/>
    <s v="111_203"/>
    <n v="0"/>
    <m/>
    <n v="0"/>
    <n v="91000"/>
    <n v="0"/>
    <n v="91000"/>
    <x v="0"/>
    <x v="1"/>
  </r>
  <r>
    <n v="188"/>
    <n v="111"/>
    <x v="8"/>
    <s v="205"/>
    <n v="23.193000000000001"/>
    <n v="631"/>
    <x v="0"/>
    <s v="1DK"/>
    <s v="-"/>
    <s v="-"/>
    <s v="-"/>
    <s v="-"/>
    <n v="0"/>
    <n v="91000"/>
    <n v="0"/>
    <n v="91000"/>
    <x v="93"/>
    <s v="-"/>
    <x v="0"/>
    <s v="普通借家想定91000円"/>
    <m/>
    <s v="111_205"/>
    <n v="0"/>
    <m/>
    <n v="0"/>
    <n v="91000"/>
    <n v="0"/>
    <n v="91000"/>
    <x v="0"/>
    <x v="1"/>
  </r>
  <r>
    <n v="189"/>
    <n v="111"/>
    <x v="8"/>
    <s v="301"/>
    <n v="45.527000000000001"/>
    <n v="631"/>
    <x v="0"/>
    <s v="2DK"/>
    <s v="-"/>
    <s v="-"/>
    <s v="-"/>
    <s v="-"/>
    <n v="0"/>
    <n v="91000"/>
    <n v="0"/>
    <n v="91000"/>
    <x v="93"/>
    <s v="-"/>
    <x v="0"/>
    <s v="普通借家想定91000円"/>
    <m/>
    <s v="111_301"/>
    <n v="0"/>
    <m/>
    <n v="0"/>
    <n v="91000"/>
    <n v="0"/>
    <n v="91000"/>
    <x v="0"/>
    <x v="1"/>
  </r>
  <r>
    <n v="190"/>
    <n v="111"/>
    <x v="8"/>
    <s v="302"/>
    <n v="45.527000000000001"/>
    <n v="631"/>
    <x v="0"/>
    <s v="2DK"/>
    <s v="-"/>
    <s v="-"/>
    <s v="-"/>
    <s v="-"/>
    <n v="0"/>
    <n v="91000"/>
    <n v="0"/>
    <n v="91000"/>
    <x v="93"/>
    <s v="-"/>
    <x v="0"/>
    <s v="普通借家想定91000円"/>
    <m/>
    <s v="111_302"/>
    <n v="0"/>
    <m/>
    <n v="0"/>
    <n v="91000"/>
    <n v="0"/>
    <n v="91000"/>
    <x v="0"/>
    <x v="1"/>
  </r>
  <r>
    <n v="191"/>
    <n v="111"/>
    <x v="8"/>
    <s v="303"/>
    <n v="60.988999999999997"/>
    <n v="631"/>
    <x v="0"/>
    <s v="2DK"/>
    <s v="-"/>
    <s v="-"/>
    <s v="-"/>
    <s v="-"/>
    <n v="0"/>
    <n v="91000"/>
    <n v="0"/>
    <n v="91000"/>
    <x v="93"/>
    <s v="-"/>
    <x v="0"/>
    <s v="普通借家想定91000円"/>
    <m/>
    <s v="111_303"/>
    <n v="0"/>
    <m/>
    <n v="0"/>
    <n v="91000"/>
    <n v="0"/>
    <n v="91000"/>
    <x v="0"/>
    <x v="1"/>
  </r>
  <r>
    <n v="192"/>
    <n v="111"/>
    <x v="8"/>
    <s v="401"/>
    <n v="45.527000000000001"/>
    <n v="631"/>
    <x v="0"/>
    <s v="2DK"/>
    <s v="-"/>
    <s v="-"/>
    <s v="-"/>
    <s v="-"/>
    <n v="0"/>
    <n v="91000"/>
    <n v="0"/>
    <n v="91000"/>
    <x v="93"/>
    <s v="-"/>
    <x v="0"/>
    <s v="普通借家想定91000円"/>
    <m/>
    <s v="111_401"/>
    <n v="0"/>
    <m/>
    <n v="0"/>
    <n v="91000"/>
    <n v="0"/>
    <n v="91000"/>
    <x v="0"/>
    <x v="1"/>
  </r>
  <r>
    <n v="193"/>
    <n v="111"/>
    <x v="8"/>
    <s v="402"/>
    <n v="45.527000000000001"/>
    <n v="631"/>
    <x v="0"/>
    <s v="2DK"/>
    <s v="-"/>
    <s v="-"/>
    <s v="-"/>
    <s v="-"/>
    <n v="0"/>
    <n v="91000"/>
    <n v="0"/>
    <n v="91000"/>
    <x v="93"/>
    <s v="-"/>
    <x v="0"/>
    <s v="普通借家想定91000円"/>
    <m/>
    <s v="111_402"/>
    <n v="0"/>
    <m/>
    <n v="0"/>
    <n v="91000"/>
    <n v="0"/>
    <n v="91000"/>
    <x v="0"/>
    <x v="1"/>
  </r>
  <r>
    <n v="194"/>
    <n v="111"/>
    <x v="8"/>
    <s v="403"/>
    <n v="45.527000000000001"/>
    <n v="631"/>
    <x v="0"/>
    <s v="2DK"/>
    <s v="-"/>
    <s v="-"/>
    <s v="-"/>
    <s v="-"/>
    <n v="0"/>
    <n v="91000"/>
    <n v="0"/>
    <n v="91000"/>
    <x v="93"/>
    <s v="-"/>
    <x v="0"/>
    <s v="普通借家想定91000円"/>
    <m/>
    <s v="111_403"/>
    <n v="0"/>
    <m/>
    <n v="0"/>
    <n v="91000"/>
    <n v="0"/>
    <n v="91000"/>
    <x v="0"/>
    <x v="1"/>
  </r>
  <r>
    <n v="195"/>
    <n v="111"/>
    <x v="8"/>
    <s v="PSL1"/>
    <s v="-"/>
    <n v="634"/>
    <x v="4"/>
    <s v="駐車場"/>
    <n v="83400"/>
    <n v="0"/>
    <n v="0"/>
    <n v="8340"/>
    <n v="91740"/>
    <n v="83400"/>
    <n v="8340"/>
    <n v="91740"/>
    <x v="94"/>
    <s v="一括貸し"/>
    <x v="0"/>
    <s v=""/>
    <m/>
    <s v="111_PSL1"/>
    <n v="90072"/>
    <m/>
    <n v="1"/>
    <n v="83400"/>
    <n v="0"/>
    <n v="-6672"/>
    <x v="1"/>
    <x v="0"/>
  </r>
  <r>
    <n v="196"/>
    <n v="111"/>
    <x v="8"/>
    <s v="PSL2"/>
    <s v="-"/>
    <n v="634"/>
    <x v="4"/>
    <s v="駐車場"/>
    <n v="20000"/>
    <n v="0"/>
    <n v="0"/>
    <n v="2000"/>
    <n v="22000"/>
    <n v="20000"/>
    <n v="2000"/>
    <n v="22000"/>
    <x v="95"/>
    <s v="一括貸し"/>
    <x v="0"/>
    <s v=""/>
    <m/>
    <s v="111_PSL2"/>
    <n v="20571"/>
    <m/>
    <n v="1"/>
    <n v="20000"/>
    <n v="0"/>
    <n v="-571"/>
    <x v="1"/>
    <x v="0"/>
  </r>
  <r>
    <n v="197"/>
    <n v="111"/>
    <x v="8"/>
    <s v="P001"/>
    <n v="0"/>
    <n v="634"/>
    <x v="4"/>
    <s v="駐車場"/>
    <s v="-"/>
    <s v="-"/>
    <s v="-"/>
    <s v="-"/>
    <n v="0"/>
    <n v="10000"/>
    <n v="1000"/>
    <n v="11000"/>
    <x v="96"/>
    <s v="-"/>
    <x v="0"/>
    <s v="自動車駐車場"/>
    <m/>
    <s v="111_P001"/>
    <n v="0"/>
    <m/>
    <n v="0"/>
    <n v="10000"/>
    <n v="0"/>
    <n v="10000"/>
    <x v="0"/>
    <x v="1"/>
  </r>
  <r>
    <n v="198"/>
    <n v="111"/>
    <x v="8"/>
    <s v="P002"/>
    <n v="0"/>
    <n v="634"/>
    <x v="4"/>
    <s v="駐車場"/>
    <s v="-"/>
    <s v="-"/>
    <s v="-"/>
    <s v="-"/>
    <n v="0"/>
    <n v="10000"/>
    <n v="1000"/>
    <n v="11000"/>
    <x v="96"/>
    <s v="-"/>
    <x v="0"/>
    <s v="自動車駐車場"/>
    <m/>
    <s v="111_P002"/>
    <n v="0"/>
    <m/>
    <n v="0"/>
    <n v="10000"/>
    <n v="0"/>
    <n v="10000"/>
    <x v="0"/>
    <x v="1"/>
  </r>
  <r>
    <n v="199"/>
    <n v="111"/>
    <x v="8"/>
    <s v="P003"/>
    <n v="0"/>
    <n v="634"/>
    <x v="4"/>
    <s v="駐車場"/>
    <s v="-"/>
    <s v="-"/>
    <s v="-"/>
    <s v="-"/>
    <n v="0"/>
    <n v="10000"/>
    <n v="1000"/>
    <n v="11000"/>
    <x v="96"/>
    <s v="-"/>
    <x v="0"/>
    <s v="自動車駐車場"/>
    <m/>
    <s v="111_P003"/>
    <n v="0"/>
    <m/>
    <n v="0"/>
    <n v="10000"/>
    <n v="0"/>
    <n v="10000"/>
    <x v="0"/>
    <x v="1"/>
  </r>
  <r>
    <n v="200"/>
    <n v="111"/>
    <x v="8"/>
    <s v="P004"/>
    <n v="0"/>
    <n v="634"/>
    <x v="4"/>
    <s v="駐車場"/>
    <s v="-"/>
    <s v="-"/>
    <s v="-"/>
    <s v="-"/>
    <n v="0"/>
    <n v="10000"/>
    <n v="1000"/>
    <n v="11000"/>
    <x v="96"/>
    <s v="-"/>
    <x v="0"/>
    <s v="自動車駐車場"/>
    <m/>
    <s v="111_P004"/>
    <n v="0"/>
    <m/>
    <n v="0"/>
    <n v="10000"/>
    <n v="0"/>
    <n v="10000"/>
    <x v="0"/>
    <x v="1"/>
  </r>
  <r>
    <n v="201"/>
    <n v="111"/>
    <x v="8"/>
    <s v="P005"/>
    <n v="0"/>
    <n v="634"/>
    <x v="4"/>
    <s v="駐車場"/>
    <s v="-"/>
    <s v="-"/>
    <s v="-"/>
    <s v="-"/>
    <n v="0"/>
    <n v="10000"/>
    <n v="1000"/>
    <n v="11000"/>
    <x v="96"/>
    <s v="-"/>
    <x v="0"/>
    <s v="自動車駐車場"/>
    <m/>
    <s v="111_P005"/>
    <n v="0"/>
    <m/>
    <n v="0"/>
    <n v="10000"/>
    <n v="0"/>
    <n v="10000"/>
    <x v="0"/>
    <x v="1"/>
  </r>
  <r>
    <n v="202"/>
    <n v="111"/>
    <x v="8"/>
    <s v="P006"/>
    <n v="0"/>
    <n v="634"/>
    <x v="4"/>
    <s v="駐車場"/>
    <s v="-"/>
    <s v="-"/>
    <s v="-"/>
    <s v="-"/>
    <n v="0"/>
    <n v="10000"/>
    <n v="1000"/>
    <n v="11000"/>
    <x v="96"/>
    <s v="-"/>
    <x v="0"/>
    <s v="自動車駐車場"/>
    <m/>
    <s v="111_P006"/>
    <n v="0"/>
    <m/>
    <n v="0"/>
    <n v="10000"/>
    <n v="0"/>
    <n v="10000"/>
    <x v="0"/>
    <x v="1"/>
  </r>
  <r>
    <n v="203"/>
    <n v="111"/>
    <x v="8"/>
    <s v="B001"/>
    <n v="0"/>
    <n v="634"/>
    <x v="4"/>
    <s v="駐車場"/>
    <s v="-"/>
    <s v="-"/>
    <s v="-"/>
    <s v="-"/>
    <n v="0"/>
    <n v="5000"/>
    <n v="500"/>
    <n v="5500"/>
    <x v="97"/>
    <s v="-"/>
    <x v="0"/>
    <s v="バイク置き場"/>
    <m/>
    <s v="111_B001"/>
    <n v="0"/>
    <m/>
    <n v="0"/>
    <n v="5000"/>
    <n v="0"/>
    <n v="5000"/>
    <x v="0"/>
    <x v="1"/>
  </r>
  <r>
    <n v="204"/>
    <n v="111"/>
    <x v="8"/>
    <s v="B002"/>
    <n v="0"/>
    <n v="634"/>
    <x v="4"/>
    <s v="駐車場"/>
    <s v="-"/>
    <s v="-"/>
    <s v="-"/>
    <s v="-"/>
    <n v="0"/>
    <n v="5000"/>
    <n v="500"/>
    <n v="5500"/>
    <x v="97"/>
    <s v="-"/>
    <x v="0"/>
    <s v="バイク置き場"/>
    <m/>
    <s v="111_B002"/>
    <n v="0"/>
    <m/>
    <n v="0"/>
    <n v="5000"/>
    <n v="0"/>
    <n v="5000"/>
    <x v="0"/>
    <x v="1"/>
  </r>
  <r>
    <n v="205"/>
    <n v="111"/>
    <x v="8"/>
    <s v="B003"/>
    <n v="0"/>
    <n v="634"/>
    <x v="4"/>
    <s v="駐車場"/>
    <s v="-"/>
    <s v="-"/>
    <s v="-"/>
    <s v="-"/>
    <n v="0"/>
    <n v="5000"/>
    <n v="500"/>
    <n v="5500"/>
    <x v="97"/>
    <s v="-"/>
    <x v="0"/>
    <s v="バイク置き場"/>
    <m/>
    <s v="111_B003"/>
    <n v="0"/>
    <m/>
    <n v="0"/>
    <n v="5000"/>
    <n v="0"/>
    <n v="5000"/>
    <x v="0"/>
    <x v="1"/>
  </r>
  <r>
    <n v="206"/>
    <n v="111"/>
    <x v="8"/>
    <s v="B004"/>
    <n v="0"/>
    <n v="634"/>
    <x v="4"/>
    <s v="駐車場"/>
    <s v="-"/>
    <s v="-"/>
    <s v="-"/>
    <s v="-"/>
    <n v="0"/>
    <n v="5000"/>
    <n v="500"/>
    <n v="5500"/>
    <x v="97"/>
    <s v="-"/>
    <x v="0"/>
    <s v="バイク置き場"/>
    <m/>
    <s v="111_B004"/>
    <n v="0"/>
    <m/>
    <n v="0"/>
    <n v="5000"/>
    <n v="0"/>
    <n v="5000"/>
    <x v="0"/>
    <x v="1"/>
  </r>
  <r>
    <n v="207"/>
    <n v="111"/>
    <x v="8"/>
    <s v="B005"/>
    <n v="0"/>
    <n v="634"/>
    <x v="4"/>
    <s v="駐車場"/>
    <s v="-"/>
    <s v="-"/>
    <s v="-"/>
    <s v="-"/>
    <n v="0"/>
    <n v="5000"/>
    <n v="500"/>
    <n v="5500"/>
    <x v="97"/>
    <s v="-"/>
    <x v="0"/>
    <s v="バイク置き場"/>
    <m/>
    <s v="111_B005"/>
    <n v="0"/>
    <m/>
    <n v="0"/>
    <n v="5000"/>
    <n v="0"/>
    <n v="5000"/>
    <x v="0"/>
    <x v="1"/>
  </r>
  <r>
    <n v="208"/>
    <n v="112"/>
    <x v="9"/>
    <s v="101"/>
    <n v="491.32"/>
    <n v="632"/>
    <x v="1"/>
    <s v="事務所"/>
    <n v="2300000"/>
    <n v="0"/>
    <n v="0"/>
    <n v="230000"/>
    <n v="2530000"/>
    <n v="2300000"/>
    <n v="230000"/>
    <n v="2530000"/>
    <x v="98"/>
    <s v="法人契約"/>
    <x v="0"/>
    <s v=""/>
    <m/>
    <s v="112_101"/>
    <n v="2500000"/>
    <m/>
    <n v="1"/>
    <n v="2300000"/>
    <n v="0"/>
    <n v="-200000"/>
    <x v="0"/>
    <x v="0"/>
  </r>
  <r>
    <n v="209"/>
    <n v="113"/>
    <x v="10"/>
    <s v="101"/>
    <n v="54.44"/>
    <n v="631"/>
    <x v="0"/>
    <s v="3DK"/>
    <n v="120000"/>
    <n v="5000"/>
    <n v="0"/>
    <n v="0"/>
    <n v="125000"/>
    <n v="125000"/>
    <n v="0"/>
    <n v="125000"/>
    <x v="55"/>
    <s v="中華系"/>
    <x v="0"/>
    <s v=""/>
    <m/>
    <s v="113_101"/>
    <n v="117000"/>
    <m/>
    <n v="1"/>
    <n v="125000"/>
    <n v="0"/>
    <n v="8000"/>
    <x v="0"/>
    <x v="0"/>
  </r>
  <r>
    <n v="210"/>
    <n v="113"/>
    <x v="10"/>
    <s v="102"/>
    <n v="52.49"/>
    <n v="631"/>
    <x v="0"/>
    <s v="3DK"/>
    <n v="113000"/>
    <n v="5000"/>
    <n v="0"/>
    <n v="0"/>
    <n v="118000"/>
    <n v="118000"/>
    <n v="0"/>
    <n v="118000"/>
    <x v="99"/>
    <s v="日本人等"/>
    <x v="0"/>
    <s v=""/>
    <m/>
    <s v="113_102"/>
    <n v="118000"/>
    <m/>
    <n v="1"/>
    <n v="118000"/>
    <n v="0"/>
    <n v="0"/>
    <x v="0"/>
    <x v="0"/>
  </r>
  <r>
    <n v="211"/>
    <n v="113"/>
    <x v="10"/>
    <s v="103"/>
    <n v="54.44"/>
    <n v="631"/>
    <x v="0"/>
    <s v="3DK"/>
    <n v="110000"/>
    <n v="5000"/>
    <n v="0"/>
    <n v="0"/>
    <n v="115000"/>
    <n v="115000"/>
    <n v="0"/>
    <n v="115000"/>
    <x v="61"/>
    <s v="日本人等"/>
    <x v="0"/>
    <s v=""/>
    <m/>
    <s v="113_103"/>
    <n v="115000"/>
    <m/>
    <n v="1"/>
    <n v="115000"/>
    <n v="0"/>
    <n v="0"/>
    <x v="0"/>
    <x v="0"/>
  </r>
  <r>
    <n v="212"/>
    <n v="113"/>
    <x v="10"/>
    <s v="104"/>
    <n v="52.49"/>
    <n v="631"/>
    <x v="0"/>
    <s v="3DK"/>
    <n v="113000"/>
    <n v="5000"/>
    <n v="0"/>
    <n v="0"/>
    <n v="118000"/>
    <n v="118000"/>
    <n v="0"/>
    <n v="118000"/>
    <x v="99"/>
    <s v="日本人等"/>
    <x v="0"/>
    <s v=""/>
    <m/>
    <s v="113_104"/>
    <n v="118000"/>
    <m/>
    <n v="1"/>
    <n v="118000"/>
    <n v="0"/>
    <n v="0"/>
    <x v="0"/>
    <x v="0"/>
  </r>
  <r>
    <n v="213"/>
    <n v="113"/>
    <x v="10"/>
    <s v="105"/>
    <n v="54.44"/>
    <n v="631"/>
    <x v="0"/>
    <s v="3DK"/>
    <n v="110000"/>
    <n v="5000"/>
    <n v="0"/>
    <n v="0"/>
    <n v="115000"/>
    <n v="115000"/>
    <n v="0"/>
    <n v="115000"/>
    <x v="61"/>
    <s v="日本人等"/>
    <x v="0"/>
    <s v=""/>
    <m/>
    <s v="113_105"/>
    <n v="115000"/>
    <m/>
    <n v="1"/>
    <n v="115000"/>
    <n v="0"/>
    <n v="0"/>
    <x v="0"/>
    <x v="0"/>
  </r>
  <r>
    <n v="214"/>
    <n v="113"/>
    <x v="10"/>
    <s v="106"/>
    <n v="52.49"/>
    <n v="631"/>
    <x v="0"/>
    <s v="3DK"/>
    <n v="120000"/>
    <n v="5000"/>
    <n v="0"/>
    <n v="0"/>
    <n v="125000"/>
    <n v="125000"/>
    <n v="0"/>
    <n v="125000"/>
    <x v="55"/>
    <s v="中華系"/>
    <x v="0"/>
    <s v=""/>
    <m/>
    <s v="113_106"/>
    <n v="117000"/>
    <m/>
    <n v="1"/>
    <n v="125000"/>
    <n v="0"/>
    <n v="8000"/>
    <x v="0"/>
    <x v="0"/>
  </r>
  <r>
    <n v="215"/>
    <n v="113"/>
    <x v="10"/>
    <s v="201"/>
    <n v="54.44"/>
    <n v="631"/>
    <x v="0"/>
    <s v="3DK"/>
    <n v="130000"/>
    <n v="5000"/>
    <n v="0"/>
    <n v="0"/>
    <n v="135000"/>
    <n v="135000"/>
    <n v="0"/>
    <n v="135000"/>
    <x v="60"/>
    <s v="中華系"/>
    <x v="0"/>
    <s v=""/>
    <m/>
    <s v="113_201"/>
    <n v="120000"/>
    <m/>
    <n v="1"/>
    <n v="135000"/>
    <n v="0"/>
    <n v="15000"/>
    <x v="0"/>
    <x v="0"/>
  </r>
  <r>
    <n v="216"/>
    <n v="113"/>
    <x v="10"/>
    <s v="202"/>
    <n v="52.49"/>
    <n v="631"/>
    <x v="0"/>
    <s v="3DK"/>
    <n v="120000"/>
    <n v="5000"/>
    <n v="0"/>
    <n v="0"/>
    <n v="125000"/>
    <n v="125000"/>
    <n v="0"/>
    <n v="125000"/>
    <x v="55"/>
    <s v="中華系"/>
    <x v="0"/>
    <s v=""/>
    <m/>
    <s v="113_202"/>
    <n v="140000"/>
    <m/>
    <n v="1"/>
    <n v="125000"/>
    <n v="0"/>
    <n v="-15000"/>
    <x v="0"/>
    <x v="0"/>
  </r>
  <r>
    <n v="217"/>
    <n v="113"/>
    <x v="10"/>
    <s v="203"/>
    <n v="54.44"/>
    <n v="631"/>
    <x v="0"/>
    <s v="3DK"/>
    <n v="115000"/>
    <n v="5000"/>
    <n v="0"/>
    <n v="0"/>
    <n v="120000"/>
    <n v="120000"/>
    <n v="0"/>
    <n v="120000"/>
    <x v="100"/>
    <s v="日本人等"/>
    <x v="0"/>
    <s v=""/>
    <m/>
    <s v="113_203"/>
    <n v="116000"/>
    <m/>
    <n v="1"/>
    <n v="120000"/>
    <n v="0"/>
    <n v="4000"/>
    <x v="0"/>
    <x v="0"/>
  </r>
  <r>
    <n v="218"/>
    <n v="113"/>
    <x v="10"/>
    <s v="204"/>
    <n v="52.49"/>
    <n v="631"/>
    <x v="0"/>
    <s v="3DK"/>
    <n v="130000"/>
    <n v="5000"/>
    <n v="0"/>
    <n v="0"/>
    <n v="135000"/>
    <n v="119000"/>
    <n v="0"/>
    <n v="119000"/>
    <x v="60"/>
    <s v="住居法人契約"/>
    <x v="0"/>
    <s v=""/>
    <m/>
    <s v="113_204"/>
    <n v="119000"/>
    <m/>
    <n v="1"/>
    <n v="135000"/>
    <n v="-16000"/>
    <n v="16000"/>
    <x v="0"/>
    <x v="0"/>
  </r>
  <r>
    <n v="219"/>
    <n v="113"/>
    <x v="10"/>
    <s v="205"/>
    <n v="54.44"/>
    <n v="631"/>
    <x v="0"/>
    <s v="3DK"/>
    <n v="130000"/>
    <n v="5000"/>
    <n v="0"/>
    <n v="0"/>
    <n v="135000"/>
    <n v="120000"/>
    <n v="0"/>
    <n v="120000"/>
    <x v="60"/>
    <s v="住居法人契約"/>
    <x v="0"/>
    <s v=""/>
    <m/>
    <s v="113_205"/>
    <n v="120000"/>
    <m/>
    <n v="1"/>
    <n v="135000"/>
    <n v="-15000"/>
    <n v="15000"/>
    <x v="0"/>
    <x v="0"/>
  </r>
  <r>
    <n v="220"/>
    <n v="113"/>
    <x v="10"/>
    <s v="206"/>
    <n v="52.49"/>
    <n v="631"/>
    <x v="0"/>
    <s v="3DK"/>
    <n v="130000"/>
    <n v="5000"/>
    <n v="0"/>
    <n v="0"/>
    <n v="135000"/>
    <n v="125000"/>
    <n v="0"/>
    <n v="125000"/>
    <x v="60"/>
    <s v="住居法人契約"/>
    <x v="0"/>
    <s v=""/>
    <m/>
    <s v="113_206"/>
    <n v="120000"/>
    <m/>
    <n v="1"/>
    <n v="135000"/>
    <n v="-10000"/>
    <n v="15000"/>
    <x v="0"/>
    <x v="0"/>
  </r>
  <r>
    <n v="221"/>
    <n v="113"/>
    <x v="10"/>
    <s v="301"/>
    <n v="54.44"/>
    <n v="631"/>
    <x v="0"/>
    <s v="3DK"/>
    <n v="127000"/>
    <n v="5000"/>
    <n v="0"/>
    <n v="0"/>
    <n v="132000"/>
    <n v="137000"/>
    <n v="0"/>
    <n v="137000"/>
    <x v="44"/>
    <s v="日本人等"/>
    <x v="0"/>
    <s v=""/>
    <m/>
    <s v="113_301"/>
    <n v="120000"/>
    <m/>
    <n v="1"/>
    <n v="132000"/>
    <n v="5000"/>
    <n v="12000"/>
    <x v="0"/>
    <x v="0"/>
  </r>
  <r>
    <n v="222"/>
    <n v="113"/>
    <x v="10"/>
    <s v="302"/>
    <n v="52.49"/>
    <n v="631"/>
    <x v="0"/>
    <s v="3DK"/>
    <n v="125000"/>
    <n v="5000"/>
    <n v="0"/>
    <n v="0"/>
    <n v="130000"/>
    <n v="130000"/>
    <n v="0"/>
    <n v="130000"/>
    <x v="101"/>
    <s v="中華系"/>
    <x v="0"/>
    <s v=""/>
    <m/>
    <s v="113_302"/>
    <n v="125000"/>
    <m/>
    <n v="1"/>
    <n v="130000"/>
    <n v="0"/>
    <n v="5000"/>
    <x v="0"/>
    <x v="0"/>
  </r>
  <r>
    <n v="223"/>
    <n v="113"/>
    <x v="10"/>
    <s v="303"/>
    <n v="54.44"/>
    <n v="631"/>
    <x v="0"/>
    <s v="3DK"/>
    <n v="125000"/>
    <n v="5000"/>
    <n v="0"/>
    <n v="0"/>
    <n v="130000"/>
    <n v="125000"/>
    <n v="0"/>
    <n v="125000"/>
    <x v="101"/>
    <s v="中華系"/>
    <x v="0"/>
    <s v=""/>
    <m/>
    <s v="113_303"/>
    <n v="118000"/>
    <m/>
    <n v="1"/>
    <n v="130000"/>
    <n v="-5000"/>
    <n v="12000"/>
    <x v="0"/>
    <x v="0"/>
  </r>
  <r>
    <n v="224"/>
    <n v="113"/>
    <x v="10"/>
    <s v="304"/>
    <n v="52.49"/>
    <n v="631"/>
    <x v="0"/>
    <s v="3DK"/>
    <n v="115000"/>
    <n v="5000"/>
    <n v="0"/>
    <n v="0"/>
    <n v="120000"/>
    <n v="120000"/>
    <n v="0"/>
    <n v="120000"/>
    <x v="100"/>
    <s v="日本人等"/>
    <x v="0"/>
    <s v=""/>
    <m/>
    <s v="113_304"/>
    <n v="120000"/>
    <m/>
    <n v="1"/>
    <n v="120000"/>
    <n v="0"/>
    <n v="0"/>
    <x v="0"/>
    <x v="0"/>
  </r>
  <r>
    <n v="225"/>
    <n v="113"/>
    <x v="10"/>
    <s v="305"/>
    <n v="54.44"/>
    <n v="631"/>
    <x v="0"/>
    <s v="3DK"/>
    <n v="95000"/>
    <n v="0"/>
    <n v="0"/>
    <n v="0"/>
    <n v="95000"/>
    <n v="85000"/>
    <n v="0"/>
    <n v="85000"/>
    <x v="62"/>
    <s v="日本人等"/>
    <x v="0"/>
    <s v=""/>
    <m/>
    <s v="113_305"/>
    <n v="85000"/>
    <m/>
    <n v="1"/>
    <n v="95000"/>
    <n v="-10000"/>
    <n v="10000"/>
    <x v="0"/>
    <x v="0"/>
  </r>
  <r>
    <n v="226"/>
    <n v="113"/>
    <x v="10"/>
    <s v="306"/>
    <n v="52.49"/>
    <n v="631"/>
    <x v="0"/>
    <s v="3DK"/>
    <n v="118000"/>
    <n v="5000"/>
    <n v="0"/>
    <n v="0"/>
    <n v="123000"/>
    <n v="123000"/>
    <n v="0"/>
    <n v="123000"/>
    <x v="102"/>
    <s v="日本人等"/>
    <x v="0"/>
    <s v=""/>
    <m/>
    <s v="113_306"/>
    <n v="125000"/>
    <m/>
    <n v="1"/>
    <n v="123000"/>
    <n v="0"/>
    <n v="-2000"/>
    <x v="0"/>
    <x v="0"/>
  </r>
  <r>
    <n v="227"/>
    <n v="113"/>
    <x v="10"/>
    <s v="401"/>
    <n v="54.44"/>
    <n v="631"/>
    <x v="0"/>
    <s v="3DK"/>
    <n v="115000"/>
    <n v="5000"/>
    <n v="0"/>
    <n v="0"/>
    <n v="120000"/>
    <n v="120000"/>
    <n v="0"/>
    <n v="120000"/>
    <x v="100"/>
    <s v="中華系"/>
    <x v="0"/>
    <s v=""/>
    <m/>
    <s v="113_401"/>
    <n v="125000"/>
    <m/>
    <n v="1"/>
    <n v="120000"/>
    <n v="0"/>
    <n v="-5000"/>
    <x v="0"/>
    <x v="0"/>
  </r>
  <r>
    <n v="228"/>
    <n v="113"/>
    <x v="10"/>
    <s v="402"/>
    <n v="52.49"/>
    <n v="631"/>
    <x v="0"/>
    <s v="3DK"/>
    <n v="121000"/>
    <n v="5000"/>
    <n v="0"/>
    <n v="0"/>
    <n v="126000"/>
    <n v="126000"/>
    <n v="0"/>
    <n v="126000"/>
    <x v="67"/>
    <s v="日本人等"/>
    <x v="0"/>
    <s v=""/>
    <m/>
    <s v="113_402"/>
    <n v="126000"/>
    <m/>
    <n v="1"/>
    <n v="126000"/>
    <n v="0"/>
    <n v="0"/>
    <x v="0"/>
    <x v="0"/>
  </r>
  <r>
    <n v="229"/>
    <n v="113"/>
    <x v="10"/>
    <s v="403"/>
    <n v="54.44"/>
    <n v="631"/>
    <x v="0"/>
    <s v="3DK"/>
    <n v="125000"/>
    <n v="5000"/>
    <n v="0"/>
    <n v="0"/>
    <n v="130000"/>
    <n v="125000"/>
    <n v="0"/>
    <n v="125000"/>
    <x v="101"/>
    <s v="日本人等"/>
    <x v="0"/>
    <s v=""/>
    <m/>
    <s v="113_403"/>
    <n v="123000"/>
    <m/>
    <n v="1"/>
    <n v="130000"/>
    <n v="-5000"/>
    <n v="7000"/>
    <x v="0"/>
    <x v="0"/>
  </r>
  <r>
    <n v="230"/>
    <n v="113"/>
    <x v="10"/>
    <s v="404"/>
    <n v="52.49"/>
    <n v="631"/>
    <x v="0"/>
    <s v="3DK"/>
    <n v="116000"/>
    <n v="5000"/>
    <n v="0"/>
    <n v="0"/>
    <n v="121000"/>
    <n v="121000"/>
    <n v="0"/>
    <n v="121000"/>
    <x v="103"/>
    <s v="日本人等"/>
    <x v="0"/>
    <s v=""/>
    <m/>
    <s v="113_404"/>
    <n v="121000"/>
    <m/>
    <n v="1"/>
    <n v="121000"/>
    <n v="0"/>
    <n v="0"/>
    <x v="0"/>
    <x v="0"/>
  </r>
  <r>
    <n v="231"/>
    <n v="113"/>
    <x v="10"/>
    <s v="405"/>
    <n v="54.44"/>
    <n v="631"/>
    <x v="0"/>
    <s v="3DK"/>
    <n v="120000"/>
    <n v="5000"/>
    <n v="0"/>
    <n v="0"/>
    <n v="125000"/>
    <n v="125000"/>
    <n v="0"/>
    <n v="125000"/>
    <x v="55"/>
    <s v="中華系"/>
    <x v="0"/>
    <s v=""/>
    <m/>
    <s v="113_405"/>
    <n v="123000"/>
    <m/>
    <n v="1"/>
    <n v="125000"/>
    <n v="0"/>
    <n v="2000"/>
    <x v="0"/>
    <x v="0"/>
  </r>
  <r>
    <n v="232"/>
    <n v="113"/>
    <x v="10"/>
    <s v="406"/>
    <n v="52.49"/>
    <n v="631"/>
    <x v="0"/>
    <s v="3DK"/>
    <n v="126000"/>
    <n v="5000"/>
    <n v="0"/>
    <n v="0"/>
    <n v="131000"/>
    <n v="131000"/>
    <n v="0"/>
    <n v="131000"/>
    <x v="104"/>
    <s v="住居法人契約"/>
    <x v="0"/>
    <s v=""/>
    <m/>
    <s v="113_406"/>
    <n v="131000"/>
    <m/>
    <n v="1"/>
    <n v="131000"/>
    <n v="0"/>
    <n v="0"/>
    <x v="0"/>
    <x v="0"/>
  </r>
  <r>
    <n v="233"/>
    <n v="113"/>
    <x v="10"/>
    <s v="P1"/>
    <n v="0"/>
    <n v="634"/>
    <x v="4"/>
    <s v="駐車場"/>
    <n v="20000"/>
    <n v="0"/>
    <n v="0"/>
    <n v="2000"/>
    <n v="22000"/>
    <n v="20000"/>
    <n v="2000"/>
    <n v="22000"/>
    <x v="95"/>
    <s v="法人契約"/>
    <x v="0"/>
    <s v=""/>
    <m/>
    <s v="113_P1"/>
    <n v="20000"/>
    <m/>
    <n v="1"/>
    <n v="20000"/>
    <n v="0"/>
    <n v="0"/>
    <x v="0"/>
    <x v="0"/>
  </r>
  <r>
    <n v="234"/>
    <n v="113"/>
    <x v="10"/>
    <s v="NTF1"/>
    <s v="-"/>
    <n v="639"/>
    <x v="3"/>
    <s v="その他"/>
    <n v="0"/>
    <n v="0"/>
    <n v="0"/>
    <n v="0"/>
    <n v="0"/>
    <n v="0"/>
    <n v="0"/>
    <n v="0"/>
    <x v="14"/>
    <s v="-"/>
    <x v="1"/>
    <s v="フレッツ光"/>
    <m/>
    <s v="113_NTF1"/>
    <n v="0"/>
    <m/>
    <n v="0"/>
    <n v="0"/>
    <n v="0"/>
    <n v="0"/>
    <x v="1"/>
    <x v="0"/>
  </r>
  <r>
    <n v="235"/>
    <n v="114"/>
    <x v="11"/>
    <s v="201"/>
    <n v="32.4"/>
    <n v="631"/>
    <x v="0"/>
    <s v="1LDK"/>
    <n v="83000"/>
    <n v="2000"/>
    <n v="0"/>
    <n v="0"/>
    <n v="85000"/>
    <n v="85000"/>
    <n v="0"/>
    <n v="85000"/>
    <x v="18"/>
    <s v="日本人等"/>
    <x v="0"/>
    <s v=""/>
    <m/>
    <s v="114_201"/>
    <n v="85000"/>
    <m/>
    <n v="1"/>
    <n v="85000"/>
    <n v="0"/>
    <n v="0"/>
    <x v="0"/>
    <x v="0"/>
  </r>
  <r>
    <n v="236"/>
    <n v="114"/>
    <x v="11"/>
    <s v="202"/>
    <n v="18"/>
    <n v="631"/>
    <x v="0"/>
    <s v="1R"/>
    <n v="58000"/>
    <n v="2000"/>
    <n v="0"/>
    <n v="0"/>
    <n v="60000"/>
    <n v="60000"/>
    <n v="0"/>
    <n v="60000"/>
    <x v="8"/>
    <s v="中華系"/>
    <x v="0"/>
    <s v=""/>
    <m/>
    <s v="114_202"/>
    <n v="60000"/>
    <m/>
    <n v="1"/>
    <n v="60000"/>
    <n v="0"/>
    <n v="0"/>
    <x v="0"/>
    <x v="0"/>
  </r>
  <r>
    <n v="237"/>
    <n v="114"/>
    <x v="11"/>
    <s v="203"/>
    <n v="18"/>
    <n v="631"/>
    <x v="0"/>
    <s v="1R"/>
    <n v="50000"/>
    <n v="3000"/>
    <n v="0"/>
    <n v="0"/>
    <n v="53000"/>
    <n v="62000"/>
    <n v="0"/>
    <n v="62000"/>
    <x v="105"/>
    <s v="中華系"/>
    <x v="0"/>
    <s v=""/>
    <m/>
    <s v="114_203"/>
    <n v="60000"/>
    <m/>
    <n v="1"/>
    <n v="53000"/>
    <n v="9000"/>
    <n v="-7000"/>
    <x v="0"/>
    <x v="0"/>
  </r>
  <r>
    <n v="238"/>
    <n v="114"/>
    <x v="11"/>
    <s v="205"/>
    <n v="18.239999999999998"/>
    <n v="631"/>
    <x v="0"/>
    <s v="1R"/>
    <n v="63000"/>
    <n v="2000"/>
    <n v="0"/>
    <n v="0"/>
    <n v="65000"/>
    <n v="65000"/>
    <n v="0"/>
    <n v="65000"/>
    <x v="0"/>
    <s v="日本人等"/>
    <x v="0"/>
    <s v=""/>
    <m/>
    <s v="114_205"/>
    <n v="65000"/>
    <m/>
    <n v="1"/>
    <n v="65000"/>
    <n v="0"/>
    <n v="0"/>
    <x v="0"/>
    <x v="0"/>
  </r>
  <r>
    <n v="239"/>
    <n v="114"/>
    <x v="11"/>
    <s v="206"/>
    <n v="18"/>
    <n v="631"/>
    <x v="0"/>
    <s v="1R"/>
    <n v="53700"/>
    <n v="6300"/>
    <n v="0"/>
    <n v="0"/>
    <n v="60000"/>
    <n v="62000"/>
    <n v="0"/>
    <n v="62000"/>
    <x v="8"/>
    <s v="日本人等"/>
    <x v="0"/>
    <s v=""/>
    <m/>
    <s v="114_206"/>
    <n v="62000"/>
    <m/>
    <n v="1"/>
    <n v="60000"/>
    <n v="2000"/>
    <n v="-2000"/>
    <x v="0"/>
    <x v="0"/>
  </r>
  <r>
    <n v="240"/>
    <n v="114"/>
    <x v="11"/>
    <s v="301"/>
    <n v="32.4"/>
    <n v="632"/>
    <x v="1"/>
    <s v="1LDK"/>
    <n v="84000"/>
    <n v="2000"/>
    <n v="0"/>
    <n v="8600"/>
    <n v="94600"/>
    <n v="86000"/>
    <n v="8600"/>
    <n v="94600"/>
    <x v="106"/>
    <s v="住居法人契約"/>
    <x v="0"/>
    <s v=""/>
    <m/>
    <s v="114_301"/>
    <n v="86000"/>
    <m/>
    <n v="1"/>
    <n v="86000"/>
    <n v="0"/>
    <n v="0"/>
    <x v="0"/>
    <x v="0"/>
  </r>
  <r>
    <n v="241"/>
    <n v="114"/>
    <x v="11"/>
    <s v="302"/>
    <n v="18"/>
    <n v="631"/>
    <x v="0"/>
    <s v="1R"/>
    <n v="58000"/>
    <n v="2000"/>
    <n v="0"/>
    <n v="0"/>
    <n v="60000"/>
    <n v="60000"/>
    <n v="0"/>
    <n v="60000"/>
    <x v="8"/>
    <s v="日本人等"/>
    <x v="0"/>
    <s v=""/>
    <m/>
    <s v="114_302"/>
    <n v="60000"/>
    <m/>
    <n v="1"/>
    <n v="60000"/>
    <n v="0"/>
    <n v="0"/>
    <x v="0"/>
    <x v="0"/>
  </r>
  <r>
    <n v="242"/>
    <n v="114"/>
    <x v="11"/>
    <s v="303"/>
    <n v="18"/>
    <n v="631"/>
    <x v="0"/>
    <s v="1R"/>
    <n v="62000"/>
    <n v="3000"/>
    <n v="0"/>
    <n v="0"/>
    <n v="65000"/>
    <n v="67000"/>
    <n v="0"/>
    <n v="67000"/>
    <x v="0"/>
    <s v="中華系"/>
    <x v="0"/>
    <s v=""/>
    <m/>
    <s v="114_303"/>
    <n v="60000"/>
    <m/>
    <n v="1"/>
    <n v="65000"/>
    <n v="2000"/>
    <n v="5000"/>
    <x v="0"/>
    <x v="0"/>
  </r>
  <r>
    <n v="243"/>
    <n v="114"/>
    <x v="11"/>
    <s v="305"/>
    <n v="16.5"/>
    <n v="631"/>
    <x v="0"/>
    <s v="1R"/>
    <n v="60000"/>
    <n v="2000"/>
    <n v="0"/>
    <n v="0"/>
    <n v="62000"/>
    <n v="62000"/>
    <n v="0"/>
    <n v="62000"/>
    <x v="6"/>
    <s v="日本人等"/>
    <x v="0"/>
    <s v=""/>
    <m/>
    <s v="114_305"/>
    <n v="62000"/>
    <m/>
    <n v="1"/>
    <n v="62000"/>
    <n v="0"/>
    <n v="0"/>
    <x v="0"/>
    <x v="0"/>
  </r>
  <r>
    <n v="244"/>
    <n v="114"/>
    <x v="11"/>
    <s v="306"/>
    <n v="17"/>
    <n v="631"/>
    <x v="0"/>
    <s v="1R"/>
    <n v="65000"/>
    <n v="2000"/>
    <n v="0"/>
    <n v="0"/>
    <n v="67000"/>
    <n v="67000"/>
    <n v="0"/>
    <n v="67000"/>
    <x v="3"/>
    <s v="中華系"/>
    <x v="0"/>
    <s v=""/>
    <m/>
    <s v="114_306"/>
    <n v="60000"/>
    <m/>
    <n v="1"/>
    <n v="67000"/>
    <n v="0"/>
    <n v="7000"/>
    <x v="0"/>
    <x v="0"/>
  </r>
  <r>
    <n v="245"/>
    <n v="114"/>
    <x v="11"/>
    <s v="401"/>
    <n v="33"/>
    <n v="631"/>
    <x v="0"/>
    <s v="1LDK"/>
    <n v="88000"/>
    <n v="2000"/>
    <n v="0"/>
    <n v="0"/>
    <n v="90000"/>
    <n v="90000"/>
    <n v="0"/>
    <n v="90000"/>
    <x v="58"/>
    <s v="日本人等"/>
    <x v="0"/>
    <s v=""/>
    <m/>
    <s v="114_401"/>
    <n v="85000"/>
    <m/>
    <n v="1"/>
    <n v="90000"/>
    <n v="0"/>
    <n v="5000"/>
    <x v="0"/>
    <x v="0"/>
  </r>
  <r>
    <n v="246"/>
    <n v="114"/>
    <x v="11"/>
    <s v="402"/>
    <n v="18"/>
    <n v="631"/>
    <x v="0"/>
    <s v="1R"/>
    <n v="67000"/>
    <n v="2000"/>
    <n v="0"/>
    <n v="0"/>
    <n v="69000"/>
    <n v="69000"/>
    <n v="0"/>
    <n v="69000"/>
    <x v="9"/>
    <s v="中華系"/>
    <x v="0"/>
    <s v=""/>
    <m/>
    <s v="114_402"/>
    <n v="62000"/>
    <m/>
    <n v="1"/>
    <n v="69000"/>
    <n v="0"/>
    <n v="7000"/>
    <x v="0"/>
    <x v="0"/>
  </r>
  <r>
    <n v="247"/>
    <n v="114"/>
    <x v="11"/>
    <s v="403"/>
    <n v="20"/>
    <n v="631"/>
    <x v="0"/>
    <s v="1R"/>
    <n v="65000"/>
    <n v="2000"/>
    <n v="0"/>
    <n v="0"/>
    <n v="67000"/>
    <n v="67000"/>
    <n v="0"/>
    <n v="67000"/>
    <x v="3"/>
    <s v="日本人等"/>
    <x v="0"/>
    <s v=""/>
    <m/>
    <s v="114_403"/>
    <n v="67000"/>
    <m/>
    <n v="1"/>
    <n v="67000"/>
    <n v="0"/>
    <n v="0"/>
    <x v="0"/>
    <x v="0"/>
  </r>
  <r>
    <n v="248"/>
    <n v="114"/>
    <x v="11"/>
    <s v="405"/>
    <n v="18"/>
    <n v="631"/>
    <x v="0"/>
    <s v="1R"/>
    <n v="62000"/>
    <n v="3000"/>
    <n v="0"/>
    <n v="0"/>
    <n v="65000"/>
    <n v="65000"/>
    <n v="0"/>
    <n v="65000"/>
    <x v="0"/>
    <s v="中華系"/>
    <x v="0"/>
    <s v=""/>
    <m/>
    <s v="114_405"/>
    <n v="65000"/>
    <m/>
    <n v="1"/>
    <n v="65000"/>
    <n v="0"/>
    <n v="0"/>
    <x v="0"/>
    <x v="0"/>
  </r>
  <r>
    <n v="249"/>
    <n v="114"/>
    <x v="11"/>
    <s v="406"/>
    <n v="16"/>
    <n v="631"/>
    <x v="0"/>
    <s v="1R"/>
    <n v="65000"/>
    <n v="2000"/>
    <n v="0"/>
    <n v="0"/>
    <n v="67000"/>
    <n v="67000"/>
    <n v="0"/>
    <n v="67000"/>
    <x v="3"/>
    <s v="中華系"/>
    <x v="0"/>
    <s v=""/>
    <m/>
    <s v="114_406"/>
    <n v="60000"/>
    <m/>
    <n v="1"/>
    <n v="67000"/>
    <n v="0"/>
    <n v="7000"/>
    <x v="0"/>
    <x v="0"/>
  </r>
  <r>
    <n v="250"/>
    <n v="114"/>
    <x v="11"/>
    <s v="101"/>
    <n v="122.31"/>
    <n v="636"/>
    <x v="6"/>
    <s v="倉庫"/>
    <n v="240741"/>
    <n v="0"/>
    <n v="0"/>
    <n v="24074"/>
    <n v="264815"/>
    <n v="240740"/>
    <n v="24074.090909090908"/>
    <n v="264814.09090909088"/>
    <x v="107"/>
    <s v="法人契約"/>
    <x v="0"/>
    <s v=""/>
    <m/>
    <s v="114_101"/>
    <n v="240741"/>
    <m/>
    <n v="1"/>
    <n v="240741"/>
    <n v="-1"/>
    <n v="0"/>
    <x v="0"/>
    <x v="0"/>
  </r>
  <r>
    <n v="251"/>
    <n v="115"/>
    <x v="12"/>
    <s v="201"/>
    <n v="47.22"/>
    <n v="631"/>
    <x v="0"/>
    <s v="2DK"/>
    <n v="110000"/>
    <n v="5000"/>
    <n v="0"/>
    <n v="0"/>
    <n v="115000"/>
    <n v="115000"/>
    <n v="0"/>
    <n v="115000"/>
    <x v="61"/>
    <s v="その他新興国"/>
    <x v="0"/>
    <s v=""/>
    <m/>
    <s v="115_201"/>
    <n v="115000"/>
    <m/>
    <n v="1"/>
    <n v="115000"/>
    <n v="0"/>
    <n v="0"/>
    <x v="0"/>
    <x v="0"/>
  </r>
  <r>
    <n v="252"/>
    <n v="115"/>
    <x v="12"/>
    <s v="202"/>
    <n v="52"/>
    <n v="631"/>
    <x v="0"/>
    <s v="2DK"/>
    <n v="125000"/>
    <n v="5000"/>
    <n v="0"/>
    <n v="0"/>
    <n v="130000"/>
    <n v="123000"/>
    <n v="0"/>
    <n v="123000"/>
    <x v="101"/>
    <s v="日本人等"/>
    <x v="0"/>
    <s v=""/>
    <m/>
    <s v="115_202"/>
    <n v="123000"/>
    <m/>
    <n v="1"/>
    <n v="130000"/>
    <n v="-7000"/>
    <n v="7000"/>
    <x v="0"/>
    <x v="0"/>
  </r>
  <r>
    <n v="253"/>
    <n v="115"/>
    <x v="12"/>
    <s v="203"/>
    <n v="52"/>
    <n v="631"/>
    <x v="0"/>
    <s v="2DK"/>
    <n v="123000"/>
    <n v="5000"/>
    <n v="0"/>
    <n v="0"/>
    <n v="128000"/>
    <n v="123000"/>
    <n v="0"/>
    <n v="123000"/>
    <x v="108"/>
    <s v="日本人等"/>
    <x v="0"/>
    <s v=""/>
    <m/>
    <s v="115_203"/>
    <n v="123000"/>
    <m/>
    <n v="1"/>
    <n v="128000"/>
    <n v="-5000"/>
    <n v="5000"/>
    <x v="0"/>
    <x v="0"/>
  </r>
  <r>
    <n v="254"/>
    <n v="115"/>
    <x v="12"/>
    <s v="205"/>
    <n v="52"/>
    <n v="631"/>
    <x v="0"/>
    <s v="3DK"/>
    <n v="128000"/>
    <n v="5000"/>
    <n v="0"/>
    <n v="0"/>
    <n v="133000"/>
    <n v="133000"/>
    <n v="0"/>
    <n v="133000"/>
    <x v="109"/>
    <s v="中華系"/>
    <x v="0"/>
    <s v=""/>
    <m/>
    <s v="115_205"/>
    <n v="118000"/>
    <m/>
    <n v="1"/>
    <n v="133000"/>
    <n v="0"/>
    <n v="15000"/>
    <x v="0"/>
    <x v="0"/>
  </r>
  <r>
    <n v="255"/>
    <n v="115"/>
    <x v="12"/>
    <s v="206"/>
    <n v="52.36"/>
    <n v="631"/>
    <x v="0"/>
    <s v="2DK"/>
    <n v="125000"/>
    <n v="5000"/>
    <n v="0"/>
    <n v="0"/>
    <n v="130000"/>
    <n v="130000"/>
    <n v="0"/>
    <n v="130000"/>
    <x v="101"/>
    <s v="中華系"/>
    <x v="0"/>
    <s v=""/>
    <m/>
    <s v="115_206"/>
    <n v="120000"/>
    <m/>
    <n v="1"/>
    <n v="130000"/>
    <n v="0"/>
    <n v="10000"/>
    <x v="0"/>
    <x v="0"/>
  </r>
  <r>
    <n v="256"/>
    <n v="115"/>
    <x v="12"/>
    <s v="301"/>
    <n v="55.18"/>
    <n v="631"/>
    <x v="0"/>
    <s v="2DK"/>
    <n v="123000"/>
    <n v="5000"/>
    <n v="0"/>
    <n v="0"/>
    <n v="128000"/>
    <n v="128000"/>
    <n v="0"/>
    <n v="128000"/>
    <x v="108"/>
    <s v="中華系"/>
    <x v="0"/>
    <s v=""/>
    <m/>
    <s v="115_301"/>
    <n v="115000"/>
    <m/>
    <n v="1"/>
    <n v="128000"/>
    <n v="0"/>
    <n v="13000"/>
    <x v="0"/>
    <x v="0"/>
  </r>
  <r>
    <n v="257"/>
    <n v="115"/>
    <x v="12"/>
    <s v="302"/>
    <n v="52"/>
    <n v="631"/>
    <x v="0"/>
    <s v="2DK"/>
    <n v="121000"/>
    <n v="5000"/>
    <n v="0"/>
    <n v="0"/>
    <n v="126000"/>
    <n v="126000"/>
    <n v="0"/>
    <n v="126000"/>
    <x v="67"/>
    <s v="日本人等"/>
    <x v="0"/>
    <s v=""/>
    <m/>
    <s v="115_302"/>
    <n v="128000"/>
    <m/>
    <n v="1"/>
    <n v="126000"/>
    <n v="0"/>
    <n v="-2000"/>
    <x v="0"/>
    <x v="0"/>
  </r>
  <r>
    <n v="258"/>
    <n v="115"/>
    <x v="12"/>
    <s v="303"/>
    <n v="52"/>
    <n v="631"/>
    <x v="0"/>
    <s v="2DK"/>
    <n v="123000"/>
    <n v="5000"/>
    <n v="0"/>
    <n v="0"/>
    <n v="128000"/>
    <n v="128000"/>
    <n v="0"/>
    <n v="128000"/>
    <x v="108"/>
    <s v="日本人等"/>
    <x v="0"/>
    <s v=""/>
    <m/>
    <s v="115_303"/>
    <n v="128000"/>
    <m/>
    <n v="1"/>
    <n v="128000"/>
    <n v="0"/>
    <n v="0"/>
    <x v="0"/>
    <x v="0"/>
  </r>
  <r>
    <n v="259"/>
    <n v="115"/>
    <x v="12"/>
    <s v="305"/>
    <n v="52"/>
    <n v="631"/>
    <x v="0"/>
    <s v="2DK"/>
    <n v="126000"/>
    <n v="5000"/>
    <n v="0"/>
    <n v="0"/>
    <n v="131000"/>
    <n v="131000"/>
    <n v="0"/>
    <n v="131000"/>
    <x v="104"/>
    <s v="日本人等"/>
    <x v="0"/>
    <s v=""/>
    <m/>
    <s v="115_305"/>
    <n v="131000"/>
    <m/>
    <n v="1"/>
    <n v="131000"/>
    <n v="0"/>
    <n v="0"/>
    <x v="0"/>
    <x v="0"/>
  </r>
  <r>
    <n v="260"/>
    <n v="115"/>
    <x v="12"/>
    <s v="306"/>
    <n v="52.36"/>
    <n v="631"/>
    <x v="0"/>
    <s v="2DK"/>
    <n v="125000"/>
    <n v="5000"/>
    <n v="0"/>
    <n v="0"/>
    <n v="130000"/>
    <n v="130000"/>
    <n v="0"/>
    <n v="130000"/>
    <x v="101"/>
    <s v="中華系"/>
    <x v="0"/>
    <s v=""/>
    <m/>
    <s v="115_306"/>
    <n v="120000"/>
    <m/>
    <n v="1"/>
    <n v="130000"/>
    <n v="0"/>
    <n v="10000"/>
    <x v="0"/>
    <x v="0"/>
  </r>
  <r>
    <n v="261"/>
    <n v="115"/>
    <x v="12"/>
    <s v="401"/>
    <n v="55.18"/>
    <n v="631"/>
    <x v="0"/>
    <s v="2DK"/>
    <n v="127000"/>
    <n v="5000"/>
    <n v="0"/>
    <n v="0"/>
    <n v="132000"/>
    <n v="132000"/>
    <n v="0"/>
    <n v="132000"/>
    <x v="44"/>
    <s v="日本人等"/>
    <x v="0"/>
    <s v=""/>
    <m/>
    <s v="115_401"/>
    <n v="132000"/>
    <m/>
    <n v="1"/>
    <n v="132000"/>
    <n v="0"/>
    <n v="0"/>
    <x v="0"/>
    <x v="0"/>
  </r>
  <r>
    <n v="262"/>
    <n v="115"/>
    <x v="12"/>
    <s v="402"/>
    <n v="52"/>
    <n v="631"/>
    <x v="0"/>
    <s v="2DK"/>
    <n v="125000"/>
    <n v="5000"/>
    <n v="0"/>
    <n v="0"/>
    <n v="130000"/>
    <n v="130000"/>
    <n v="0"/>
    <n v="130000"/>
    <x v="101"/>
    <s v="日本人等"/>
    <x v="0"/>
    <s v=""/>
    <m/>
    <s v="115_402"/>
    <n v="125000"/>
    <m/>
    <n v="1"/>
    <n v="130000"/>
    <n v="0"/>
    <n v="5000"/>
    <x v="0"/>
    <x v="0"/>
  </r>
  <r>
    <n v="263"/>
    <n v="115"/>
    <x v="12"/>
    <s v="403"/>
    <n v="52"/>
    <n v="631"/>
    <x v="0"/>
    <s v="3DK"/>
    <n v="132000"/>
    <n v="5000"/>
    <n v="0"/>
    <n v="0"/>
    <n v="137000"/>
    <n v="137000"/>
    <n v="0"/>
    <n v="137000"/>
    <x v="110"/>
    <s v="住居法人契約"/>
    <x v="0"/>
    <s v=""/>
    <m/>
    <s v="115_403"/>
    <n v="125000"/>
    <m/>
    <n v="1"/>
    <n v="137000"/>
    <n v="0"/>
    <n v="12000"/>
    <x v="0"/>
    <x v="0"/>
  </r>
  <r>
    <n v="264"/>
    <n v="115"/>
    <x v="12"/>
    <s v="405"/>
    <n v="52"/>
    <n v="631"/>
    <x v="0"/>
    <s v="3DK"/>
    <n v="132000"/>
    <n v="5000"/>
    <n v="0"/>
    <n v="0"/>
    <n v="137000"/>
    <n v="128000"/>
    <n v="0"/>
    <n v="128000"/>
    <x v="110"/>
    <s v="中華系"/>
    <x v="0"/>
    <s v=""/>
    <m/>
    <s v="115_405"/>
    <n v="128000"/>
    <m/>
    <n v="1"/>
    <n v="137000"/>
    <n v="-9000"/>
    <n v="9000"/>
    <x v="0"/>
    <x v="0"/>
  </r>
  <r>
    <n v="265"/>
    <n v="115"/>
    <x v="12"/>
    <s v="406"/>
    <n v="52.36"/>
    <n v="631"/>
    <x v="0"/>
    <s v="2DK"/>
    <n v="123000"/>
    <n v="5000"/>
    <n v="0"/>
    <n v="0"/>
    <n v="128000"/>
    <n v="128000"/>
    <n v="0"/>
    <n v="128000"/>
    <x v="108"/>
    <s v="日本人等"/>
    <x v="0"/>
    <s v=""/>
    <m/>
    <s v="115_406"/>
    <n v="125000"/>
    <m/>
    <n v="1"/>
    <n v="128000"/>
    <n v="0"/>
    <n v="3000"/>
    <x v="0"/>
    <x v="0"/>
  </r>
  <r>
    <n v="266"/>
    <n v="115"/>
    <x v="12"/>
    <s v="501"/>
    <n v="55.18"/>
    <n v="631"/>
    <x v="0"/>
    <s v="2DK"/>
    <n v="132000"/>
    <n v="5000"/>
    <n v="0"/>
    <n v="0"/>
    <n v="137000"/>
    <n v="137000"/>
    <n v="0"/>
    <n v="137000"/>
    <x v="110"/>
    <s v="住居法人契約"/>
    <x v="0"/>
    <s v=""/>
    <m/>
    <s v="115_501"/>
    <n v="120000"/>
    <m/>
    <n v="1"/>
    <n v="137000"/>
    <n v="0"/>
    <n v="17000"/>
    <x v="0"/>
    <x v="0"/>
  </r>
  <r>
    <n v="267"/>
    <n v="115"/>
    <x v="12"/>
    <s v="502"/>
    <n v="52"/>
    <n v="631"/>
    <x v="0"/>
    <s v="2DK"/>
    <n v="128000"/>
    <n v="5000"/>
    <n v="0"/>
    <n v="0"/>
    <n v="133000"/>
    <n v="133000"/>
    <n v="0"/>
    <n v="133000"/>
    <x v="109"/>
    <s v="日本人等"/>
    <x v="0"/>
    <s v=""/>
    <m/>
    <s v="115_502"/>
    <n v="133000"/>
    <m/>
    <n v="1"/>
    <n v="133000"/>
    <n v="0"/>
    <n v="0"/>
    <x v="0"/>
    <x v="0"/>
  </r>
  <r>
    <n v="268"/>
    <n v="115"/>
    <x v="12"/>
    <s v="503"/>
    <n v="52"/>
    <n v="631"/>
    <x v="0"/>
    <s v="3DK"/>
    <n v="130000"/>
    <n v="5000"/>
    <n v="0"/>
    <n v="0"/>
    <n v="135000"/>
    <n v="135000"/>
    <n v="0"/>
    <n v="135000"/>
    <x v="60"/>
    <s v="日本人等"/>
    <x v="0"/>
    <s v=""/>
    <m/>
    <s v="115_503"/>
    <n v="128000"/>
    <m/>
    <n v="1"/>
    <n v="135000"/>
    <n v="0"/>
    <n v="7000"/>
    <x v="0"/>
    <x v="0"/>
  </r>
  <r>
    <n v="269"/>
    <n v="115"/>
    <x v="12"/>
    <s v="505"/>
    <n v="52"/>
    <n v="631"/>
    <x v="0"/>
    <s v="2DK"/>
    <n v="125000"/>
    <n v="5000"/>
    <n v="0"/>
    <n v="0"/>
    <n v="130000"/>
    <n v="125000"/>
    <n v="0"/>
    <n v="125000"/>
    <x v="101"/>
    <s v="日本人等"/>
    <x v="0"/>
    <s v=""/>
    <m/>
    <s v="115_505"/>
    <n v="125000"/>
    <m/>
    <n v="1"/>
    <n v="130000"/>
    <n v="-5000"/>
    <n v="5000"/>
    <x v="0"/>
    <x v="0"/>
  </r>
  <r>
    <n v="270"/>
    <n v="115"/>
    <x v="12"/>
    <s v="506"/>
    <n v="52.36"/>
    <n v="631"/>
    <x v="0"/>
    <s v="2DK"/>
    <n v="120000"/>
    <n v="5000"/>
    <n v="0"/>
    <n v="0"/>
    <n v="125000"/>
    <n v="125000"/>
    <n v="0"/>
    <n v="125000"/>
    <x v="55"/>
    <s v="日本人等"/>
    <x v="0"/>
    <s v=""/>
    <m/>
    <s v="115_506"/>
    <n v="125000"/>
    <m/>
    <n v="1"/>
    <n v="125000"/>
    <n v="0"/>
    <n v="0"/>
    <x v="0"/>
    <x v="0"/>
  </r>
  <r>
    <n v="271"/>
    <n v="115"/>
    <x v="12"/>
    <s v="601"/>
    <n v="52"/>
    <n v="631"/>
    <x v="0"/>
    <s v="2DK"/>
    <n v="129000"/>
    <n v="5000"/>
    <n v="0"/>
    <n v="0"/>
    <n v="134000"/>
    <n v="134000"/>
    <n v="0"/>
    <n v="134000"/>
    <x v="70"/>
    <s v="日本人等"/>
    <x v="0"/>
    <s v=""/>
    <m/>
    <s v="115_601"/>
    <n v="134000"/>
    <m/>
    <n v="1"/>
    <n v="134000"/>
    <n v="0"/>
    <n v="0"/>
    <x v="0"/>
    <x v="0"/>
  </r>
  <r>
    <n v="272"/>
    <n v="115"/>
    <x v="12"/>
    <s v="602"/>
    <n v="52"/>
    <n v="631"/>
    <x v="0"/>
    <s v="3DK"/>
    <n v="134000"/>
    <n v="5000"/>
    <n v="0"/>
    <n v="0"/>
    <n v="139000"/>
    <n v="139000"/>
    <n v="0"/>
    <n v="139000"/>
    <x v="47"/>
    <s v="日本人等"/>
    <x v="0"/>
    <s v=""/>
    <m/>
    <s v="115_602"/>
    <n v="123000"/>
    <m/>
    <n v="1"/>
    <n v="139000"/>
    <n v="0"/>
    <n v="16000"/>
    <x v="0"/>
    <x v="0"/>
  </r>
  <r>
    <n v="273"/>
    <n v="115"/>
    <x v="12"/>
    <s v="603"/>
    <n v="52"/>
    <n v="631"/>
    <x v="0"/>
    <s v="3DK"/>
    <n v="130000"/>
    <n v="5000"/>
    <n v="0"/>
    <n v="0"/>
    <n v="135000"/>
    <n v="135000"/>
    <n v="0"/>
    <n v="135000"/>
    <x v="60"/>
    <s v="日本人等"/>
    <x v="0"/>
    <s v=""/>
    <m/>
    <s v="115_603"/>
    <n v="125000"/>
    <m/>
    <n v="1"/>
    <n v="135000"/>
    <n v="0"/>
    <n v="10000"/>
    <x v="0"/>
    <x v="0"/>
  </r>
  <r>
    <n v="274"/>
    <n v="115"/>
    <x v="12"/>
    <s v="101"/>
    <n v="59.53"/>
    <n v="633"/>
    <x v="5"/>
    <s v="店舗"/>
    <n v="170000"/>
    <n v="4630"/>
    <n v="0"/>
    <n v="17463"/>
    <n v="192093"/>
    <n v="174630"/>
    <n v="17463"/>
    <n v="192093"/>
    <x v="111"/>
    <s v="日本人等"/>
    <x v="0"/>
    <s v=""/>
    <m/>
    <s v="115_101"/>
    <n v="174630"/>
    <m/>
    <n v="1"/>
    <n v="174630"/>
    <n v="0"/>
    <n v="0"/>
    <x v="0"/>
    <x v="0"/>
  </r>
  <r>
    <n v="275"/>
    <n v="115"/>
    <x v="12"/>
    <s v="BF1"/>
    <n v="0"/>
    <n v="634"/>
    <x v="4"/>
    <s v="駐車場"/>
    <n v="324074"/>
    <n v="0"/>
    <n v="0"/>
    <n v="32407"/>
    <n v="356481"/>
    <n v="324073"/>
    <n v="32407.363636363636"/>
    <n v="356480.36363636365"/>
    <x v="112"/>
    <s v="法人契約"/>
    <x v="0"/>
    <s v="駐輪場"/>
    <m/>
    <s v="115_BF1"/>
    <n v="100000"/>
    <m/>
    <n v="1"/>
    <n v="324074"/>
    <n v="-1"/>
    <n v="224074"/>
    <x v="0"/>
    <x v="0"/>
  </r>
  <r>
    <n v="276"/>
    <n v="115"/>
    <x v="12"/>
    <s v="RF1"/>
    <n v="0"/>
    <n v="635"/>
    <x v="2"/>
    <s v="その他"/>
    <n v="12000"/>
    <n v="0"/>
    <n v="0"/>
    <n v="1200"/>
    <n v="13200"/>
    <n v="12000"/>
    <n v="1199.9999999999998"/>
    <n v="13200"/>
    <x v="65"/>
    <s v="-"/>
    <x v="0"/>
    <s v="LPWA"/>
    <m/>
    <s v="115_RF1"/>
    <n v="0"/>
    <m/>
    <n v="1"/>
    <n v="12000"/>
    <n v="0"/>
    <n v="12000"/>
    <x v="0"/>
    <x v="0"/>
  </r>
  <r>
    <n v="277"/>
    <n v="115"/>
    <x v="12"/>
    <s v="NTF1"/>
    <s v="-"/>
    <n v="639"/>
    <x v="3"/>
    <s v="その他"/>
    <n v="0"/>
    <n v="0"/>
    <n v="0"/>
    <n v="0"/>
    <n v="0"/>
    <n v="0"/>
    <n v="0"/>
    <n v="0"/>
    <x v="14"/>
    <s v="-"/>
    <x v="1"/>
    <s v="フレッツ光"/>
    <m/>
    <s v="115_NTF1"/>
    <n v="0"/>
    <m/>
    <n v="0"/>
    <n v="0"/>
    <n v="0"/>
    <n v="0"/>
    <x v="1"/>
    <x v="0"/>
  </r>
  <r>
    <n v="278"/>
    <n v="116"/>
    <x v="13"/>
    <s v="201"/>
    <n v="55.01"/>
    <n v="631"/>
    <x v="0"/>
    <s v="3DK"/>
    <n v="122000"/>
    <n v="0"/>
    <n v="0"/>
    <n v="0"/>
    <n v="122000"/>
    <n v="115000"/>
    <n v="0"/>
    <n v="115000"/>
    <x v="113"/>
    <s v="住居法人契約"/>
    <x v="0"/>
    <s v=""/>
    <m/>
    <s v="116_201"/>
    <n v="115000"/>
    <m/>
    <n v="1"/>
    <n v="122000"/>
    <n v="-7000"/>
    <n v="7000"/>
    <x v="0"/>
    <x v="0"/>
  </r>
  <r>
    <n v="279"/>
    <n v="116"/>
    <x v="13"/>
    <s v="202"/>
    <n v="62.38"/>
    <n v="631"/>
    <x v="0"/>
    <s v="3DK"/>
    <n v="145000"/>
    <n v="5000"/>
    <n v="0"/>
    <n v="0"/>
    <n v="150000"/>
    <n v="160000"/>
    <n v="0"/>
    <n v="160000"/>
    <x v="69"/>
    <s v="日本人等"/>
    <x v="0"/>
    <s v=""/>
    <m/>
    <s v="116_202"/>
    <n v="145000"/>
    <m/>
    <n v="1"/>
    <n v="150000"/>
    <n v="10000"/>
    <n v="5000"/>
    <x v="0"/>
    <x v="0"/>
  </r>
  <r>
    <n v="280"/>
    <n v="116"/>
    <x v="13"/>
    <s v="301"/>
    <n v="55.01"/>
    <n v="631"/>
    <x v="0"/>
    <s v="3DK"/>
    <n v="120000"/>
    <n v="5000"/>
    <n v="0"/>
    <n v="0"/>
    <n v="125000"/>
    <n v="125000"/>
    <n v="0"/>
    <n v="125000"/>
    <x v="55"/>
    <s v="日本人等"/>
    <x v="0"/>
    <s v=""/>
    <m/>
    <s v="116_301"/>
    <n v="125000"/>
    <m/>
    <n v="1"/>
    <n v="125000"/>
    <n v="0"/>
    <n v="0"/>
    <x v="0"/>
    <x v="0"/>
  </r>
  <r>
    <n v="281"/>
    <n v="116"/>
    <x v="13"/>
    <s v="302"/>
    <n v="62.38"/>
    <n v="631"/>
    <x v="0"/>
    <s v="3DK"/>
    <n v="153000"/>
    <n v="5000"/>
    <n v="0"/>
    <n v="0"/>
    <n v="158000"/>
    <n v="155000"/>
    <n v="0"/>
    <n v="155000"/>
    <x v="114"/>
    <s v="日本人等"/>
    <x v="0"/>
    <s v=""/>
    <m/>
    <s v="116_302"/>
    <n v="140000"/>
    <m/>
    <n v="1"/>
    <n v="158000"/>
    <n v="-3000"/>
    <n v="18000"/>
    <x v="0"/>
    <x v="0"/>
  </r>
  <r>
    <n v="282"/>
    <n v="116"/>
    <x v="13"/>
    <s v="401"/>
    <n v="55.01"/>
    <n v="631"/>
    <x v="0"/>
    <s v="3DK"/>
    <n v="143000"/>
    <n v="5000"/>
    <n v="0"/>
    <n v="0"/>
    <n v="148000"/>
    <n v="140000"/>
    <n v="0"/>
    <n v="140000"/>
    <x v="115"/>
    <s v="中華系"/>
    <x v="0"/>
    <s v=""/>
    <m/>
    <s v="116_401"/>
    <n v="130000"/>
    <m/>
    <n v="1"/>
    <n v="148000"/>
    <n v="-8000"/>
    <n v="18000"/>
    <x v="0"/>
    <x v="0"/>
  </r>
  <r>
    <n v="283"/>
    <n v="116"/>
    <x v="13"/>
    <s v="402"/>
    <n v="62.38"/>
    <n v="631"/>
    <x v="0"/>
    <s v="3DK"/>
    <n v="153000"/>
    <n v="5000"/>
    <n v="0"/>
    <n v="0"/>
    <n v="158000"/>
    <n v="141000"/>
    <n v="0"/>
    <n v="141000"/>
    <x v="114"/>
    <s v="日本人等"/>
    <x v="0"/>
    <s v=""/>
    <m/>
    <s v="116_402"/>
    <n v="130000"/>
    <m/>
    <n v="1"/>
    <n v="158000"/>
    <n v="-17000"/>
    <n v="28000"/>
    <x v="0"/>
    <x v="0"/>
  </r>
  <r>
    <n v="284"/>
    <n v="116"/>
    <x v="13"/>
    <s v="501"/>
    <n v="55.01"/>
    <n v="631"/>
    <x v="0"/>
    <s v="3DK"/>
    <n v="140000"/>
    <n v="5000"/>
    <n v="0"/>
    <n v="0"/>
    <n v="145000"/>
    <n v="130000"/>
    <n v="0"/>
    <n v="130000"/>
    <x v="73"/>
    <s v="日本人等"/>
    <x v="0"/>
    <s v=""/>
    <m/>
    <s v="116_501"/>
    <n v="130000"/>
    <m/>
    <n v="1"/>
    <n v="145000"/>
    <n v="-15000"/>
    <n v="15000"/>
    <x v="0"/>
    <x v="0"/>
  </r>
  <r>
    <n v="285"/>
    <n v="116"/>
    <x v="13"/>
    <s v="502"/>
    <n v="60"/>
    <n v="631"/>
    <x v="0"/>
    <s v="3DK"/>
    <n v="135000"/>
    <n v="0"/>
    <n v="0"/>
    <n v="0"/>
    <n v="135000"/>
    <n v="135000"/>
    <n v="0"/>
    <n v="135000"/>
    <x v="60"/>
    <s v="日本人等"/>
    <x v="0"/>
    <s v=""/>
    <m/>
    <s v="116_502"/>
    <n v="135000"/>
    <m/>
    <n v="1"/>
    <n v="135000"/>
    <n v="0"/>
    <n v="0"/>
    <x v="0"/>
    <x v="0"/>
  </r>
  <r>
    <n v="286"/>
    <n v="116"/>
    <x v="13"/>
    <s v="601"/>
    <n v="65"/>
    <n v="631"/>
    <x v="0"/>
    <s v="3DK"/>
    <n v="145000"/>
    <n v="5000"/>
    <n v="0"/>
    <n v="0"/>
    <n v="150000"/>
    <n v="140000"/>
    <n v="0"/>
    <n v="140000"/>
    <x v="69"/>
    <s v="中華系"/>
    <x v="0"/>
    <s v=""/>
    <m/>
    <s v="116_601"/>
    <n v="130000"/>
    <m/>
    <n v="1"/>
    <n v="150000"/>
    <n v="-10000"/>
    <n v="20000"/>
    <x v="0"/>
    <x v="0"/>
  </r>
  <r>
    <n v="287"/>
    <n v="116"/>
    <x v="13"/>
    <s v="602"/>
    <n v="65"/>
    <n v="631"/>
    <x v="0"/>
    <s v="3DK"/>
    <n v="125000"/>
    <n v="5000"/>
    <n v="0"/>
    <n v="0"/>
    <n v="130000"/>
    <n v="130000"/>
    <n v="0"/>
    <n v="130000"/>
    <x v="101"/>
    <s v="日本人等"/>
    <x v="0"/>
    <s v=""/>
    <m/>
    <s v="116_602"/>
    <n v="130000"/>
    <m/>
    <n v="1"/>
    <n v="130000"/>
    <n v="0"/>
    <n v="0"/>
    <x v="0"/>
    <x v="0"/>
  </r>
  <r>
    <n v="288"/>
    <n v="116"/>
    <x v="13"/>
    <s v="701"/>
    <n v="65.61"/>
    <n v="631"/>
    <x v="0"/>
    <s v="3DK"/>
    <n v="138000"/>
    <n v="2000"/>
    <n v="0"/>
    <n v="0"/>
    <n v="140000"/>
    <n v="132000"/>
    <n v="0"/>
    <n v="132000"/>
    <x v="39"/>
    <s v="日本人等"/>
    <x v="0"/>
    <s v=""/>
    <m/>
    <s v="116_701"/>
    <n v="132000"/>
    <m/>
    <n v="1"/>
    <n v="140000"/>
    <n v="-8000"/>
    <n v="8000"/>
    <x v="0"/>
    <x v="0"/>
  </r>
  <r>
    <n v="289"/>
    <n v="116"/>
    <x v="13"/>
    <s v="702"/>
    <n v="62.38"/>
    <n v="631"/>
    <x v="0"/>
    <s v="3DK"/>
    <n v="160000"/>
    <n v="5000"/>
    <n v="0"/>
    <n v="0"/>
    <n v="165000"/>
    <n v="135000"/>
    <n v="0"/>
    <n v="135000"/>
    <x v="34"/>
    <s v="中華系"/>
    <x v="0"/>
    <s v=""/>
    <m/>
    <s v="116_702"/>
    <n v="135000"/>
    <m/>
    <n v="1"/>
    <n v="165000"/>
    <n v="-30000"/>
    <n v="30000"/>
    <x v="0"/>
    <x v="0"/>
  </r>
  <r>
    <n v="290"/>
    <n v="116"/>
    <x v="13"/>
    <s v="801"/>
    <n v="40"/>
    <n v="631"/>
    <x v="0"/>
    <s v="3LDK"/>
    <n v="135000"/>
    <n v="5000"/>
    <n v="0"/>
    <n v="0"/>
    <n v="140000"/>
    <n v="140000"/>
    <n v="0"/>
    <n v="140000"/>
    <x v="39"/>
    <s v="中華系"/>
    <x v="0"/>
    <s v=""/>
    <m/>
    <s v="116_801"/>
    <n v="180000"/>
    <m/>
    <n v="1"/>
    <n v="140000"/>
    <n v="0"/>
    <n v="-40000"/>
    <x v="0"/>
    <x v="0"/>
  </r>
  <r>
    <n v="291"/>
    <n v="116"/>
    <x v="13"/>
    <s v="802"/>
    <n v="62"/>
    <n v="631"/>
    <x v="0"/>
    <s v="2LDK"/>
    <n v="170000"/>
    <n v="5000"/>
    <n v="0"/>
    <n v="0"/>
    <n v="175000"/>
    <n v="175000"/>
    <n v="0"/>
    <n v="175000"/>
    <x v="116"/>
    <s v="その他新興国"/>
    <x v="0"/>
    <s v=""/>
    <m/>
    <s v="116_802"/>
    <n v="175000"/>
    <m/>
    <n v="1"/>
    <n v="175000"/>
    <n v="0"/>
    <n v="0"/>
    <x v="0"/>
    <x v="0"/>
  </r>
  <r>
    <n v="292"/>
    <n v="116"/>
    <x v="13"/>
    <s v="101"/>
    <n v="130.33000000000001"/>
    <n v="633"/>
    <x v="5"/>
    <s v="店舗"/>
    <n v="376000"/>
    <n v="0"/>
    <n v="0"/>
    <n v="37600"/>
    <n v="413600"/>
    <n v="376000"/>
    <n v="37599.999999999993"/>
    <n v="413600"/>
    <x v="117"/>
    <s v="日本人等"/>
    <x v="0"/>
    <s v=""/>
    <m/>
    <s v="116_101"/>
    <n v="350000"/>
    <m/>
    <n v="1"/>
    <n v="376000"/>
    <n v="0"/>
    <n v="26000"/>
    <x v="0"/>
    <x v="0"/>
  </r>
  <r>
    <n v="293"/>
    <n v="116"/>
    <x v="13"/>
    <s v="RF1"/>
    <n v="0"/>
    <n v="635"/>
    <x v="2"/>
    <s v="その他"/>
    <n v="12000"/>
    <n v="0"/>
    <n v="0"/>
    <n v="1200"/>
    <n v="13200"/>
    <n v="12000"/>
    <n v="1199.9999999999998"/>
    <n v="13200"/>
    <x v="65"/>
    <s v="-"/>
    <x v="0"/>
    <s v="LPWA"/>
    <m/>
    <s v="116_RF1"/>
    <n v="0"/>
    <m/>
    <n v="1"/>
    <n v="12000"/>
    <n v="0"/>
    <n v="12000"/>
    <x v="0"/>
    <x v="0"/>
  </r>
  <r>
    <n v="294"/>
    <n v="116"/>
    <x v="13"/>
    <s v="NTF1"/>
    <s v="-"/>
    <n v="639"/>
    <x v="3"/>
    <s v="その他"/>
    <n v="0"/>
    <n v="0"/>
    <n v="0"/>
    <n v="0"/>
    <n v="0"/>
    <n v="0"/>
    <n v="0"/>
    <n v="0"/>
    <x v="14"/>
    <s v="-"/>
    <x v="1"/>
    <s v="フレッツ光"/>
    <m/>
    <s v="116_NTF1"/>
    <n v="0"/>
    <m/>
    <n v="0"/>
    <n v="0"/>
    <n v="0"/>
    <n v="0"/>
    <x v="1"/>
    <x v="0"/>
  </r>
  <r>
    <n v="295"/>
    <n v="117"/>
    <x v="14"/>
    <s v="101"/>
    <n v="89.64"/>
    <n v="631"/>
    <x v="0"/>
    <s v="2SLDK"/>
    <n v="185000"/>
    <n v="5000"/>
    <n v="0"/>
    <n v="0"/>
    <n v="190000"/>
    <n v="190000"/>
    <n v="0"/>
    <n v="190000"/>
    <x v="118"/>
    <s v="日本人等"/>
    <x v="0"/>
    <s v=""/>
    <m/>
    <s v="117_101"/>
    <n v="190000"/>
    <m/>
    <n v="1"/>
    <n v="190000"/>
    <n v="0"/>
    <n v="0"/>
    <x v="0"/>
    <x v="0"/>
  </r>
  <r>
    <n v="296"/>
    <n v="117"/>
    <x v="14"/>
    <s v="B101"/>
    <n v="89.64"/>
    <n v="631"/>
    <x v="0"/>
    <s v="2SLDK"/>
    <n v="160000"/>
    <n v="5000"/>
    <n v="0"/>
    <n v="0"/>
    <n v="165000"/>
    <n v="165000"/>
    <n v="0"/>
    <n v="165000"/>
    <x v="34"/>
    <s v="住居法人契約"/>
    <x v="0"/>
    <s v=""/>
    <m/>
    <s v="117_B101"/>
    <n v="165000"/>
    <m/>
    <n v="1"/>
    <n v="165000"/>
    <n v="0"/>
    <n v="0"/>
    <x v="0"/>
    <x v="0"/>
  </r>
  <r>
    <n v="297"/>
    <n v="117"/>
    <x v="14"/>
    <s v="201"/>
    <n v="31.98"/>
    <n v="631"/>
    <x v="0"/>
    <s v="2K"/>
    <n v="84000"/>
    <n v="4000"/>
    <n v="0"/>
    <n v="0"/>
    <n v="88000"/>
    <n v="88000"/>
    <n v="0"/>
    <n v="88000"/>
    <x v="46"/>
    <s v="中華系"/>
    <x v="0"/>
    <s v=""/>
    <m/>
    <s v="117_201"/>
    <n v="83000"/>
    <m/>
    <n v="1"/>
    <n v="88000"/>
    <n v="0"/>
    <n v="5000"/>
    <x v="0"/>
    <x v="0"/>
  </r>
  <r>
    <n v="298"/>
    <n v="117"/>
    <x v="14"/>
    <s v="202"/>
    <n v="28.84"/>
    <n v="631"/>
    <x v="0"/>
    <s v="2K"/>
    <n v="78000"/>
    <n v="5000"/>
    <n v="0"/>
    <n v="0"/>
    <n v="83000"/>
    <n v="78000"/>
    <n v="0"/>
    <n v="78000"/>
    <x v="85"/>
    <s v="日本人等"/>
    <x v="0"/>
    <s v=""/>
    <m/>
    <s v="117_202"/>
    <n v="80000"/>
    <m/>
    <n v="1"/>
    <n v="83000"/>
    <n v="-5000"/>
    <n v="3000"/>
    <x v="0"/>
    <x v="0"/>
  </r>
  <r>
    <n v="299"/>
    <n v="117"/>
    <x v="14"/>
    <s v="203"/>
    <n v="28.84"/>
    <n v="631"/>
    <x v="0"/>
    <s v="2K"/>
    <n v="80000"/>
    <n v="5000"/>
    <n v="0"/>
    <n v="0"/>
    <n v="85000"/>
    <n v="84000"/>
    <n v="0"/>
    <n v="84000"/>
    <x v="18"/>
    <s v="日本人等"/>
    <x v="0"/>
    <s v=""/>
    <m/>
    <s v="117_203"/>
    <n v="79000"/>
    <m/>
    <n v="1"/>
    <n v="85000"/>
    <n v="-1000"/>
    <n v="6000"/>
    <x v="0"/>
    <x v="0"/>
  </r>
  <r>
    <n v="300"/>
    <n v="117"/>
    <x v="14"/>
    <s v="301"/>
    <n v="16.78"/>
    <n v="631"/>
    <x v="0"/>
    <s v="1R"/>
    <n v="67000"/>
    <n v="2000"/>
    <n v="0"/>
    <n v="0"/>
    <n v="69000"/>
    <n v="69000"/>
    <n v="0"/>
    <n v="69000"/>
    <x v="9"/>
    <s v="日本人等"/>
    <x v="0"/>
    <s v=""/>
    <m/>
    <s v="117_301"/>
    <n v="69000"/>
    <m/>
    <n v="1"/>
    <n v="69000"/>
    <n v="0"/>
    <n v="0"/>
    <x v="0"/>
    <x v="0"/>
  </r>
  <r>
    <n v="301"/>
    <n v="117"/>
    <x v="14"/>
    <s v="302"/>
    <n v="27.31"/>
    <n v="631"/>
    <x v="0"/>
    <s v="2K"/>
    <n v="80000"/>
    <n v="3000"/>
    <n v="0"/>
    <n v="0"/>
    <n v="83000"/>
    <n v="82000"/>
    <n v="0"/>
    <n v="82000"/>
    <x v="85"/>
    <s v="日本人等"/>
    <x v="0"/>
    <s v=""/>
    <m/>
    <s v="117_302"/>
    <n v="81000"/>
    <m/>
    <n v="1"/>
    <n v="83000"/>
    <n v="-1000"/>
    <n v="2000"/>
    <x v="0"/>
    <x v="0"/>
  </r>
  <r>
    <n v="302"/>
    <n v="117"/>
    <x v="14"/>
    <s v="303"/>
    <n v="27.31"/>
    <n v="631"/>
    <x v="0"/>
    <s v="2K"/>
    <n v="81000"/>
    <n v="2000"/>
    <n v="0"/>
    <n v="0"/>
    <n v="83000"/>
    <n v="83000"/>
    <n v="0"/>
    <n v="83000"/>
    <x v="85"/>
    <s v="日本人等"/>
    <x v="0"/>
    <s v=""/>
    <m/>
    <s v="117_303"/>
    <n v="83000"/>
    <m/>
    <n v="1"/>
    <n v="83000"/>
    <n v="0"/>
    <n v="0"/>
    <x v="0"/>
    <x v="0"/>
  </r>
  <r>
    <n v="303"/>
    <n v="117"/>
    <x v="14"/>
    <s v="P1"/>
    <n v="0"/>
    <n v="634"/>
    <x v="4"/>
    <s v="駐車場"/>
    <n v="0"/>
    <n v="0"/>
    <n v="0"/>
    <n v="0"/>
    <n v="0"/>
    <n v="13000"/>
    <n v="1300"/>
    <n v="14300"/>
    <x v="119"/>
    <s v="法人契約"/>
    <x v="0"/>
    <s v="一時的な空室"/>
    <m/>
    <s v="117_P1"/>
    <n v="14300"/>
    <m/>
    <n v="0"/>
    <n v="13000"/>
    <n v="0"/>
    <n v="-1300"/>
    <x v="0"/>
    <x v="0"/>
  </r>
  <r>
    <n v="304"/>
    <n v="120"/>
    <x v="15"/>
    <s v="101"/>
    <n v="23.07"/>
    <n v="631"/>
    <x v="0"/>
    <s v="1R"/>
    <n v="75000"/>
    <n v="0"/>
    <n v="0"/>
    <n v="0"/>
    <n v="75000"/>
    <n v="75000"/>
    <n v="0"/>
    <n v="75000"/>
    <x v="19"/>
    <s v="日本人等"/>
    <x v="0"/>
    <s v=""/>
    <m/>
    <s v="120_101"/>
    <n v="75000"/>
    <m/>
    <n v="1"/>
    <n v="75000"/>
    <n v="0"/>
    <n v="0"/>
    <x v="0"/>
    <x v="0"/>
  </r>
  <r>
    <n v="305"/>
    <n v="120"/>
    <x v="15"/>
    <s v="102"/>
    <n v="26.94"/>
    <n v="631"/>
    <x v="0"/>
    <s v="1DK"/>
    <n v="70000"/>
    <n v="0"/>
    <n v="0"/>
    <n v="0"/>
    <n v="70000"/>
    <n v="70000"/>
    <n v="0"/>
    <n v="70000"/>
    <x v="7"/>
    <s v="日本人等"/>
    <x v="0"/>
    <s v=""/>
    <m/>
    <s v="120_102"/>
    <n v="70000"/>
    <m/>
    <n v="1"/>
    <n v="70000"/>
    <n v="0"/>
    <n v="0"/>
    <x v="0"/>
    <x v="0"/>
  </r>
  <r>
    <n v="306"/>
    <n v="120"/>
    <x v="15"/>
    <s v="103"/>
    <n v="33.450000000000003"/>
    <n v="631"/>
    <x v="0"/>
    <s v="1DK"/>
    <n v="79000"/>
    <n v="4000"/>
    <n v="0"/>
    <n v="0"/>
    <n v="83000"/>
    <n v="83000"/>
    <n v="0"/>
    <n v="83000"/>
    <x v="85"/>
    <s v="日本人等"/>
    <x v="0"/>
    <s v=""/>
    <m/>
    <s v="120_103"/>
    <n v="89000"/>
    <m/>
    <n v="1"/>
    <n v="83000"/>
    <n v="0"/>
    <n v="-6000"/>
    <x v="0"/>
    <x v="0"/>
  </r>
  <r>
    <n v="307"/>
    <n v="120"/>
    <x v="15"/>
    <s v="201"/>
    <n v="43.83"/>
    <n v="631"/>
    <x v="0"/>
    <s v="1LDK"/>
    <n v="102000"/>
    <n v="3000"/>
    <n v="0"/>
    <n v="0"/>
    <n v="105000"/>
    <n v="103000"/>
    <n v="0"/>
    <n v="103000"/>
    <x v="50"/>
    <s v="日本人等"/>
    <x v="0"/>
    <s v=""/>
    <m/>
    <s v="120_201"/>
    <n v="103000"/>
    <m/>
    <n v="1"/>
    <n v="105000"/>
    <n v="-2000"/>
    <n v="2000"/>
    <x v="0"/>
    <x v="0"/>
  </r>
  <r>
    <n v="308"/>
    <n v="120"/>
    <x v="15"/>
    <s v="202"/>
    <n v="26.94"/>
    <n v="631"/>
    <x v="0"/>
    <s v="1DK"/>
    <n v="75000"/>
    <n v="0"/>
    <n v="0"/>
    <n v="0"/>
    <n v="75000"/>
    <n v="75000"/>
    <n v="0"/>
    <n v="75000"/>
    <x v="19"/>
    <s v="日本人等"/>
    <x v="0"/>
    <s v=""/>
    <m/>
    <s v="120_202"/>
    <n v="75000"/>
    <m/>
    <n v="1"/>
    <n v="75000"/>
    <n v="0"/>
    <n v="0"/>
    <x v="0"/>
    <x v="0"/>
  </r>
  <r>
    <n v="309"/>
    <n v="120"/>
    <x v="15"/>
    <s v="203"/>
    <n v="33.450000000000003"/>
    <n v="631"/>
    <x v="0"/>
    <s v="1DK"/>
    <n v="87000"/>
    <n v="3000"/>
    <n v="0"/>
    <n v="0"/>
    <n v="90000"/>
    <n v="90000"/>
    <n v="0"/>
    <n v="90000"/>
    <x v="58"/>
    <s v="日本人等"/>
    <x v="0"/>
    <s v=""/>
    <m/>
    <s v="120_203"/>
    <n v="103000"/>
    <m/>
    <n v="1"/>
    <n v="90000"/>
    <n v="0"/>
    <n v="-13000"/>
    <x v="0"/>
    <x v="0"/>
  </r>
  <r>
    <n v="310"/>
    <n v="120"/>
    <x v="15"/>
    <s v="301"/>
    <n v="38.04"/>
    <n v="631"/>
    <x v="0"/>
    <s v="1DK"/>
    <n v="105000"/>
    <n v="0"/>
    <n v="0"/>
    <n v="0"/>
    <n v="105000"/>
    <n v="105000"/>
    <n v="0"/>
    <n v="105000"/>
    <x v="50"/>
    <s v="日本人等"/>
    <x v="0"/>
    <s v=""/>
    <m/>
    <s v="120_301"/>
    <n v="105000"/>
    <m/>
    <n v="1"/>
    <n v="105000"/>
    <n v="0"/>
    <n v="0"/>
    <x v="0"/>
    <x v="0"/>
  </r>
  <r>
    <n v="311"/>
    <n v="120"/>
    <x v="15"/>
    <s v="302"/>
    <n v="51.96"/>
    <n v="631"/>
    <x v="0"/>
    <s v="2LDK"/>
    <n v="120000"/>
    <n v="5000"/>
    <n v="0"/>
    <n v="0"/>
    <n v="125000"/>
    <n v="125000"/>
    <n v="0"/>
    <n v="125000"/>
    <x v="55"/>
    <s v="日本人等"/>
    <x v="0"/>
    <s v=""/>
    <m/>
    <s v="120_302"/>
    <n v="136000"/>
    <m/>
    <n v="1"/>
    <n v="125000"/>
    <n v="0"/>
    <n v="-11000"/>
    <x v="0"/>
    <x v="0"/>
  </r>
  <r>
    <n v="312"/>
    <n v="120"/>
    <x v="15"/>
    <s v="401"/>
    <n v="51.4"/>
    <n v="631"/>
    <x v="0"/>
    <s v="2LDK"/>
    <n v="136000"/>
    <n v="4000"/>
    <n v="0"/>
    <n v="0"/>
    <n v="140000"/>
    <n v="140000"/>
    <n v="0"/>
    <n v="140000"/>
    <x v="39"/>
    <s v="日本人等"/>
    <x v="0"/>
    <s v=""/>
    <m/>
    <s v="120_401"/>
    <n v="138000"/>
    <m/>
    <n v="1"/>
    <n v="140000"/>
    <n v="0"/>
    <n v="2000"/>
    <x v="0"/>
    <x v="0"/>
  </r>
  <r>
    <n v="313"/>
    <n v="120"/>
    <x v="15"/>
    <s v="TD1"/>
    <s v="-"/>
    <n v="639"/>
    <x v="3"/>
    <s v="その他"/>
    <n v="0"/>
    <n v="0"/>
    <n v="0"/>
    <n v="0"/>
    <n v="0"/>
    <n v="0"/>
    <n v="0"/>
    <n v="0"/>
    <x v="14"/>
    <s v="-"/>
    <x v="1"/>
    <s v="電柱"/>
    <m/>
    <s v="120_TD1"/>
    <n v="0"/>
    <m/>
    <n v="0"/>
    <n v="0"/>
    <n v="0"/>
    <n v="0"/>
    <x v="1"/>
    <x v="0"/>
  </r>
  <r>
    <n v="314"/>
    <n v="120"/>
    <x v="15"/>
    <s v="VND1"/>
    <s v="-"/>
    <n v="637"/>
    <x v="7"/>
    <s v="自販機"/>
    <n v="0"/>
    <n v="0"/>
    <n v="0"/>
    <n v="0"/>
    <n v="0"/>
    <n v="0"/>
    <n v="0"/>
    <n v="0"/>
    <x v="14"/>
    <s v="-"/>
    <x v="0"/>
    <m/>
    <m/>
    <s v="120_VND1"/>
    <n v="0"/>
    <m/>
    <n v="0"/>
    <n v="0"/>
    <n v="0"/>
    <n v="0"/>
    <x v="1"/>
    <x v="0"/>
  </r>
  <r>
    <n v="315"/>
    <n v="221"/>
    <x v="16"/>
    <s v="724"/>
    <n v="15.4"/>
    <n v="632"/>
    <x v="1"/>
    <s v="1R"/>
    <n v="0"/>
    <n v="0"/>
    <n v="0"/>
    <n v="0"/>
    <n v="0"/>
    <n v="35000"/>
    <n v="0"/>
    <n v="35000"/>
    <x v="120"/>
    <s v="-"/>
    <x v="0"/>
    <s v="一時的な空室"/>
    <m/>
    <s v="221_724"/>
    <n v="35000"/>
    <m/>
    <n v="0"/>
    <n v="35000"/>
    <n v="0"/>
    <n v="0"/>
    <x v="0"/>
    <x v="0"/>
  </r>
  <r>
    <n v="316"/>
    <n v="222"/>
    <x v="17"/>
    <s v="201"/>
    <n v="76.5"/>
    <n v="631"/>
    <x v="0"/>
    <s v="2LDK"/>
    <n v="0"/>
    <n v="0"/>
    <n v="0"/>
    <n v="0"/>
    <n v="0"/>
    <n v="295000"/>
    <n v="0"/>
    <n v="295000"/>
    <x v="121"/>
    <s v="-"/>
    <x v="1"/>
    <s v="自己利用社宅"/>
    <m/>
    <s v="222_201"/>
    <n v="295000"/>
    <m/>
    <n v="0"/>
    <n v="295000"/>
    <n v="0"/>
    <n v="0"/>
    <x v="0"/>
    <x v="0"/>
  </r>
  <r>
    <n v="317"/>
    <n v="121"/>
    <x v="18"/>
    <n v="101"/>
    <n v="76.5"/>
    <n v="631"/>
    <x v="0"/>
    <s v="2LDK"/>
    <n v="330000"/>
    <n v="0"/>
    <n v="0"/>
    <n v="0"/>
    <n v="330000"/>
    <n v="330000"/>
    <n v="0"/>
    <n v="330000"/>
    <x v="122"/>
    <s v="日本人等"/>
    <x v="0"/>
    <m/>
    <m/>
    <s v="222_201"/>
    <n v="330000"/>
    <m/>
    <n v="1"/>
    <n v="330000"/>
    <n v="0"/>
    <n v="0"/>
    <x v="0"/>
    <x v="0"/>
  </r>
  <r>
    <n v="318"/>
    <n v="122"/>
    <x v="19"/>
    <n v="101"/>
    <n v="76.5"/>
    <n v="631"/>
    <x v="0"/>
    <s v="2LDK"/>
    <n v="160000"/>
    <n v="0"/>
    <n v="0"/>
    <n v="0"/>
    <n v="160000"/>
    <n v="160000"/>
    <n v="0"/>
    <n v="160000"/>
    <x v="74"/>
    <s v="日本人等"/>
    <x v="0"/>
    <m/>
    <m/>
    <s v="222_201"/>
    <n v="160000"/>
    <m/>
    <n v="1"/>
    <n v="160000"/>
    <n v="0"/>
    <n v="0"/>
    <x v="0"/>
    <x v="0"/>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
  <r>
    <n v="1"/>
    <n v="101"/>
    <x v="0"/>
    <n v="661"/>
    <x v="0"/>
    <s v="東京都豊島区西池袋3-11-1"/>
    <m/>
    <s v="所有権"/>
    <n v="261.97000000000003"/>
    <n v="261.97000000000003"/>
    <n v="1"/>
    <n v="1"/>
    <s v="-"/>
    <s v="-"/>
    <n v="226656"/>
    <n v="48569"/>
    <n v="109372730"/>
  </r>
  <r>
    <n v="2"/>
    <n v="101"/>
    <x v="0"/>
    <n v="663"/>
    <x v="1"/>
    <s v="東京都豊島区西池袋4-10-1"/>
    <m/>
    <s v="所有権"/>
    <n v="1.56"/>
    <n v="1.56"/>
    <n v="1"/>
    <n v="1"/>
    <s v="-"/>
    <s v="-"/>
    <n v="1349"/>
    <n v="289"/>
    <n v="651300"/>
  </r>
  <r>
    <n v="3"/>
    <n v="101"/>
    <x v="0"/>
    <n v="661"/>
    <x v="0"/>
    <s v="東京都豊島区西池袋3-11-2"/>
    <m/>
    <s v="所有権"/>
    <n v="49.58"/>
    <n v="49.58"/>
    <n v="1"/>
    <n v="1"/>
    <s v="-"/>
    <s v="-"/>
    <n v="42896"/>
    <n v="9192"/>
    <n v="20699690"/>
  </r>
  <r>
    <n v="4"/>
    <n v="101"/>
    <x v="0"/>
    <n v="664"/>
    <x v="2"/>
    <s v="東京都豊島区西池袋4-10-2"/>
    <m/>
    <s v="所有権"/>
    <n v="528.42999999999995"/>
    <n v="528.42999999999995"/>
    <n v="1"/>
    <n v="1"/>
    <s v="-"/>
    <s v="-"/>
    <n v="468013"/>
    <n v="100288"/>
    <n v="33429500"/>
  </r>
  <r>
    <n v="5"/>
    <n v="102"/>
    <x v="1"/>
    <n v="661"/>
    <x v="0"/>
    <s v="東京都豊島区西池袋3-11-3"/>
    <m/>
    <s v="所有権"/>
    <n v="306.51"/>
    <n v="306.51"/>
    <n v="1"/>
    <n v="1"/>
    <s v="-"/>
    <s v="-"/>
    <n v="217323"/>
    <n v="46569"/>
    <n v="110024910"/>
  </r>
  <r>
    <n v="6"/>
    <n v="102"/>
    <x v="1"/>
    <n v="661"/>
    <x v="0"/>
    <s v="東京都豊島区西池袋4-10-3"/>
    <m/>
    <s v="所有権"/>
    <n v="250.54"/>
    <n v="250.54"/>
    <n v="1"/>
    <n v="1"/>
    <s v="-"/>
    <s v="-"/>
    <n v="177780"/>
    <n v="38095"/>
    <n v="90005510"/>
  </r>
  <r>
    <n v="7"/>
    <n v="102"/>
    <x v="1"/>
    <n v="661"/>
    <x v="0"/>
    <s v="東京都豊島区西池袋3-11-4"/>
    <m/>
    <s v="所有権"/>
    <n v="175.2"/>
    <n v="175.2"/>
    <n v="1"/>
    <n v="1"/>
    <s v="-"/>
    <s v="-"/>
    <n v="124909"/>
    <n v="26766"/>
    <n v="63238170"/>
  </r>
  <r>
    <n v="8"/>
    <n v="102"/>
    <x v="1"/>
    <n v="664"/>
    <x v="2"/>
    <s v="東京都豊島区西池袋4-10-4"/>
    <m/>
    <s v="所有権"/>
    <n v="1110.3399999999999"/>
    <n v="1110.3399999999999"/>
    <n v="1"/>
    <n v="1"/>
    <s v="-"/>
    <s v="-"/>
    <n v="1063081"/>
    <n v="227803"/>
    <n v="75934400"/>
  </r>
  <r>
    <n v="9"/>
    <n v="103"/>
    <x v="2"/>
    <n v="661"/>
    <x v="0"/>
    <s v="東京都豊島区西池袋3-11-5"/>
    <m/>
    <s v="所有権"/>
    <n v="225.25"/>
    <n v="225.25"/>
    <n v="1"/>
    <n v="1"/>
    <s v="-"/>
    <s v="-"/>
    <n v="307024"/>
    <n v="65790"/>
    <n v="104204820"/>
  </r>
  <r>
    <n v="10"/>
    <n v="103"/>
    <x v="2"/>
    <n v="661"/>
    <x v="0"/>
    <s v="東京都豊島区西池袋4-10-5"/>
    <m/>
    <s v="所有権"/>
    <n v="170.08"/>
    <n v="170.08"/>
    <n v="1"/>
    <n v="1"/>
    <s v="-"/>
    <s v="-"/>
    <n v="212489"/>
    <n v="45533"/>
    <n v="72124110"/>
  </r>
  <r>
    <n v="11"/>
    <n v="103"/>
    <x v="2"/>
    <n v="664"/>
    <x v="2"/>
    <s v="東京都豊島区西池袋3-11-6"/>
    <m/>
    <s v="所有権"/>
    <n v="887.19"/>
    <n v="887.19"/>
    <n v="1"/>
    <n v="1"/>
    <s v="-"/>
    <s v="-"/>
    <n v="817962"/>
    <n v="175277"/>
    <n v="58425900"/>
  </r>
  <r>
    <n v="12"/>
    <n v="104"/>
    <x v="3"/>
    <n v="661"/>
    <x v="0"/>
    <s v="東京都豊島区西池袋4-10-6"/>
    <m/>
    <s v="所有権"/>
    <n v="137.30000000000001"/>
    <n v="137.30000000000001"/>
    <n v="1"/>
    <n v="1"/>
    <s v="-"/>
    <s v="-"/>
    <n v="109261"/>
    <n v="23413"/>
    <n v="57534050"/>
  </r>
  <r>
    <n v="13"/>
    <n v="104"/>
    <x v="3"/>
    <n v="664"/>
    <x v="2"/>
    <s v="東京都豊島区西池袋3-11-7"/>
    <m/>
    <s v="所有権"/>
    <n v="177.12"/>
    <n v="177.12"/>
    <n v="1"/>
    <n v="1"/>
    <s v="-"/>
    <s v="-"/>
    <n v="121366"/>
    <n v="26007"/>
    <n v="8669000"/>
  </r>
  <r>
    <n v="14"/>
    <n v="105"/>
    <x v="4"/>
    <n v="661"/>
    <x v="0"/>
    <s v="東京都豊島区西池袋4-10-7"/>
    <m/>
    <s v="所有権"/>
    <n v="342.64"/>
    <n v="342.64"/>
    <n v="1"/>
    <n v="1"/>
    <s v="-"/>
    <s v="-"/>
    <n v="203175"/>
    <n v="43537"/>
    <n v="102949060"/>
  </r>
  <r>
    <n v="15"/>
    <n v="105"/>
    <x v="4"/>
    <n v="664"/>
    <x v="2"/>
    <s v="東京都豊島区西池袋3-11-8"/>
    <m/>
    <s v="所有権"/>
    <n v="1072.93"/>
    <n v="1072.93"/>
    <n v="1"/>
    <n v="1"/>
    <s v="-"/>
    <s v="-"/>
    <n v="591057"/>
    <n v="126655"/>
    <n v="42218400"/>
  </r>
  <r>
    <n v="16"/>
    <n v="106"/>
    <x v="5"/>
    <n v="661"/>
    <x v="0"/>
    <s v="東京都豊島区西池袋4-10-8"/>
    <m/>
    <s v="所有権"/>
    <n v="286.89999999999998"/>
    <n v="286.89999999999998"/>
    <n v="1"/>
    <n v="1"/>
    <s v="-"/>
    <s v="-"/>
    <n v="287722"/>
    <n v="61654"/>
    <n v="149184550"/>
  </r>
  <r>
    <n v="17"/>
    <n v="106"/>
    <x v="5"/>
    <n v="664"/>
    <x v="2"/>
    <s v="東京都豊島区西池袋3-11-9"/>
    <m/>
    <s v="所有権"/>
    <n v="1133.51"/>
    <n v="1133.51"/>
    <n v="1"/>
    <n v="1"/>
    <s v="-"/>
    <s v="-"/>
    <n v="1084364"/>
    <n v="232363"/>
    <n v="77454600"/>
  </r>
  <r>
    <n v="18"/>
    <n v="107"/>
    <x v="6"/>
    <n v="661"/>
    <x v="0"/>
    <s v="東京都豊島区西池袋4-10-9"/>
    <m/>
    <s v="所有権"/>
    <n v="42.84"/>
    <n v="42.84"/>
    <n v="1"/>
    <n v="1"/>
    <s v="-"/>
    <s v="-"/>
    <n v="30011"/>
    <n v="6431"/>
    <n v="14091570"/>
  </r>
  <r>
    <n v="19"/>
    <n v="107"/>
    <x v="6"/>
    <n v="661"/>
    <x v="0"/>
    <s v="東京都豊島区西池袋3-11-10"/>
    <m/>
    <s v="所有権"/>
    <n v="517.99"/>
    <n v="517.99"/>
    <n v="1"/>
    <n v="1"/>
    <s v="-"/>
    <s v="-"/>
    <n v="341277"/>
    <n v="73130"/>
    <n v="160240680"/>
  </r>
  <r>
    <n v="20"/>
    <n v="107"/>
    <x v="6"/>
    <n v="664"/>
    <x v="2"/>
    <s v="東京都豊島区西池袋4-10-10"/>
    <m/>
    <s v="所有権"/>
    <n v="961.19"/>
    <n v="961.19"/>
    <n v="1"/>
    <n v="1"/>
    <s v="-"/>
    <s v="-"/>
    <n v="687330"/>
    <n v="147285"/>
    <n v="49095000"/>
  </r>
  <r>
    <n v="21"/>
    <n v="109"/>
    <x v="7"/>
    <n v="661"/>
    <x v="0"/>
    <s v="東京都豊島区西池袋3-11-11"/>
    <m/>
    <s v="所有権"/>
    <n v="252.09"/>
    <n v="252.09"/>
    <n v="1"/>
    <n v="1"/>
    <s v="-"/>
    <s v="-"/>
    <n v="249401"/>
    <n v="53443"/>
    <n v="123284110"/>
  </r>
  <r>
    <n v="22"/>
    <n v="109"/>
    <x v="7"/>
    <n v="664"/>
    <x v="2"/>
    <s v="東京都豊島区西池袋4-10-11"/>
    <m/>
    <s v="所有権"/>
    <n v="588.5"/>
    <n v="588.5"/>
    <n v="1"/>
    <n v="1"/>
    <s v="-"/>
    <s v="-"/>
    <n v="210214"/>
    <n v="45045"/>
    <n v="15015300"/>
  </r>
  <r>
    <n v="23"/>
    <n v="111"/>
    <x v="8"/>
    <n v="661"/>
    <x v="0"/>
    <s v="東京都豊島区西池袋3-11-12"/>
    <m/>
    <s v="所有権"/>
    <n v="278.5"/>
    <n v="278.5"/>
    <n v="1"/>
    <n v="1"/>
    <s v="-"/>
    <s v="-"/>
    <n v="276179"/>
    <n v="59181"/>
    <n v="136747950"/>
  </r>
  <r>
    <n v="24"/>
    <n v="111"/>
    <x v="8"/>
    <n v="661"/>
    <x v="0"/>
    <s v="東京都豊島区西池袋4-10-12"/>
    <m/>
    <s v="所有権"/>
    <n v="0.21"/>
    <n v="0.21"/>
    <n v="1"/>
    <n v="1"/>
    <s v="-"/>
    <s v="-"/>
    <n v="182"/>
    <n v="39"/>
    <n v="103110"/>
  </r>
  <r>
    <n v="25"/>
    <n v="111"/>
    <x v="8"/>
    <n v="664"/>
    <x v="2"/>
    <s v="東京都豊島区西池袋3-11-13"/>
    <m/>
    <s v="所有権"/>
    <n v="496.02"/>
    <n v="496.02"/>
    <n v="1"/>
    <n v="1"/>
    <s v="-"/>
    <s v="-"/>
    <n v="326207"/>
    <n v="69901"/>
    <n v="23300500"/>
  </r>
  <r>
    <n v="26"/>
    <n v="112"/>
    <x v="9"/>
    <n v="661"/>
    <x v="0"/>
    <s v="東京都豊島区西池袋4-10-13"/>
    <m/>
    <s v="所有権"/>
    <n v="143.13"/>
    <n v="143.13"/>
    <n v="1"/>
    <n v="1"/>
    <s v="-"/>
    <s v="-"/>
    <n v="785817"/>
    <n v="168388"/>
    <n v="147431050"/>
  </r>
  <r>
    <n v="27"/>
    <n v="112"/>
    <x v="9"/>
    <n v="664"/>
    <x v="2"/>
    <s v="東京都豊島区西池袋3-11-14"/>
    <m/>
    <s v="所有権"/>
    <n v="491.32"/>
    <n v="491.32"/>
    <n v="1"/>
    <n v="1"/>
    <s v="-"/>
    <s v="-"/>
    <n v="0"/>
    <n v="0"/>
    <n v="39293700"/>
  </r>
  <r>
    <n v="28"/>
    <n v="113"/>
    <x v="10"/>
    <n v="661"/>
    <x v="0"/>
    <s v="東京都豊島区西池袋4-10-14"/>
    <m/>
    <s v="所有権"/>
    <n v="471.94"/>
    <n v="471.94"/>
    <n v="1"/>
    <n v="1"/>
    <s v="-"/>
    <s v="-"/>
    <n v="221138"/>
    <n v="47386"/>
    <n v="105686710"/>
  </r>
  <r>
    <n v="29"/>
    <n v="113"/>
    <x v="10"/>
    <n v="661"/>
    <x v="0"/>
    <s v="東京都豊島区西池袋3-11-15"/>
    <m/>
    <s v="所有権"/>
    <n v="334"/>
    <n v="334"/>
    <n v="1"/>
    <n v="1"/>
    <s v="-"/>
    <s v="-"/>
    <n v="156362"/>
    <n v="33506"/>
    <n v="74729110"/>
  </r>
  <r>
    <n v="30"/>
    <n v="113"/>
    <x v="10"/>
    <n v="664"/>
    <x v="2"/>
    <s v="東京都豊島区西池袋4-10-15"/>
    <m/>
    <s v="所有権"/>
    <n v="1307.01"/>
    <n v="1307.01"/>
    <n v="1"/>
    <n v="1"/>
    <s v="-"/>
    <s v="-"/>
    <n v="884796"/>
    <n v="189598"/>
    <n v="63199800"/>
  </r>
  <r>
    <n v="31"/>
    <n v="114"/>
    <x v="11"/>
    <n v="661"/>
    <x v="0"/>
    <s v="東京都豊島区西池袋3-11-16"/>
    <m/>
    <s v="所有権"/>
    <n v="191.86"/>
    <n v="191.86"/>
    <n v="1"/>
    <n v="1"/>
    <s v="-"/>
    <s v="-"/>
    <n v="148426"/>
    <n v="31805"/>
    <n v="75806570"/>
  </r>
  <r>
    <n v="32"/>
    <n v="114"/>
    <x v="11"/>
    <n v="664"/>
    <x v="2"/>
    <s v="東京都豊島区西池袋4-10-16"/>
    <m/>
    <s v="所有権"/>
    <n v="104.63"/>
    <n v="104.63"/>
    <n v="1"/>
    <n v="1"/>
    <s v="-"/>
    <s v="-"/>
    <n v="83074"/>
    <n v="17801"/>
    <n v="20654300"/>
  </r>
  <r>
    <n v="33"/>
    <n v="114"/>
    <x v="11"/>
    <n v="664"/>
    <x v="2"/>
    <s v="東京都豊島区西池袋3-11-17"/>
    <m/>
    <s v="所有権"/>
    <n v="29.51"/>
    <n v="29.51"/>
    <n v="1"/>
    <n v="1"/>
    <s v="-"/>
    <s v="-"/>
    <n v="23424"/>
    <n v="5019"/>
    <n v="20654300"/>
  </r>
  <r>
    <n v="34"/>
    <n v="114"/>
    <x v="11"/>
    <n v="664"/>
    <x v="2"/>
    <s v="東京都豊島区西池袋4-10-17"/>
    <m/>
    <s v="所有権"/>
    <n v="14.26"/>
    <n v="14.26"/>
    <n v="1"/>
    <n v="1"/>
    <s v="-"/>
    <s v="-"/>
    <n v="11317"/>
    <n v="2425"/>
    <n v="20654300"/>
  </r>
  <r>
    <n v="35"/>
    <n v="114"/>
    <x v="11"/>
    <n v="664"/>
    <x v="2"/>
    <s v="東京都豊島区西池袋3-11-18"/>
    <m/>
    <s v="所有権"/>
    <n v="14.26"/>
    <n v="14.26"/>
    <n v="1"/>
    <n v="1"/>
    <s v="-"/>
    <s v="-"/>
    <n v="11317"/>
    <n v="2425"/>
    <n v="20654300"/>
  </r>
  <r>
    <n v="36"/>
    <n v="114"/>
    <x v="11"/>
    <n v="664"/>
    <x v="2"/>
    <s v="東京都豊島区西池袋4-10-18"/>
    <m/>
    <s v="所有権"/>
    <n v="14.26"/>
    <n v="14.26"/>
    <n v="1"/>
    <n v="1"/>
    <s v="-"/>
    <s v="-"/>
    <n v="11317"/>
    <n v="2425"/>
    <n v="20654300"/>
  </r>
  <r>
    <n v="37"/>
    <n v="114"/>
    <x v="11"/>
    <n v="664"/>
    <x v="2"/>
    <s v="東京都豊島区西池袋3-11-19"/>
    <m/>
    <s v="所有権"/>
    <n v="14.26"/>
    <n v="14.26"/>
    <n v="1"/>
    <n v="1"/>
    <s v="-"/>
    <s v="-"/>
    <n v="11317"/>
    <n v="2425"/>
    <n v="20654300"/>
  </r>
  <r>
    <n v="38"/>
    <n v="114"/>
    <x v="11"/>
    <n v="664"/>
    <x v="2"/>
    <s v="東京都豊島区西池袋4-10-19"/>
    <m/>
    <s v="所有権"/>
    <n v="29.51"/>
    <n v="29.51"/>
    <n v="1"/>
    <n v="1"/>
    <s v="-"/>
    <s v="-"/>
    <n v="23424"/>
    <n v="5019"/>
    <n v="20654300"/>
  </r>
  <r>
    <n v="39"/>
    <n v="114"/>
    <x v="11"/>
    <n v="664"/>
    <x v="2"/>
    <s v="東京都豊島区西池袋3-11-20"/>
    <m/>
    <s v="所有権"/>
    <n v="14.26"/>
    <n v="14.26"/>
    <n v="1"/>
    <n v="1"/>
    <s v="-"/>
    <s v="-"/>
    <n v="11317"/>
    <n v="2425"/>
    <n v="20654300"/>
  </r>
  <r>
    <n v="40"/>
    <n v="114"/>
    <x v="11"/>
    <n v="664"/>
    <x v="2"/>
    <s v="東京都豊島区西池袋4-10-20"/>
    <m/>
    <s v="所有権"/>
    <n v="14.26"/>
    <n v="14.26"/>
    <n v="1"/>
    <n v="1"/>
    <s v="-"/>
    <s v="-"/>
    <n v="11317"/>
    <n v="2425"/>
    <n v="20654300"/>
  </r>
  <r>
    <n v="41"/>
    <n v="114"/>
    <x v="11"/>
    <n v="664"/>
    <x v="2"/>
    <s v="東京都豊島区西池袋3-11-21"/>
    <m/>
    <s v="所有権"/>
    <n v="14.26"/>
    <n v="14.26"/>
    <n v="1"/>
    <n v="1"/>
    <s v="-"/>
    <s v="-"/>
    <n v="11317"/>
    <n v="2425"/>
    <n v="20654300"/>
  </r>
  <r>
    <n v="42"/>
    <n v="114"/>
    <x v="11"/>
    <n v="664"/>
    <x v="2"/>
    <s v="東京都豊島区西池袋4-10-21"/>
    <m/>
    <s v="所有権"/>
    <n v="14.26"/>
    <n v="14.26"/>
    <n v="1"/>
    <n v="1"/>
    <s v="-"/>
    <s v="-"/>
    <n v="11317"/>
    <n v="2425"/>
    <n v="20654300"/>
  </r>
  <r>
    <n v="43"/>
    <n v="114"/>
    <x v="11"/>
    <n v="664"/>
    <x v="2"/>
    <s v="東京都豊島区西池袋3-11-22"/>
    <m/>
    <s v="所有権"/>
    <n v="29.51"/>
    <n v="29.51"/>
    <n v="1"/>
    <n v="1"/>
    <s v="-"/>
    <s v="-"/>
    <n v="23424"/>
    <n v="5019"/>
    <n v="20654300"/>
  </r>
  <r>
    <n v="44"/>
    <n v="114"/>
    <x v="11"/>
    <n v="664"/>
    <x v="2"/>
    <s v="東京都豊島区西池袋4-10-22"/>
    <m/>
    <s v="所有権"/>
    <n v="14.26"/>
    <n v="14.26"/>
    <n v="1"/>
    <n v="1"/>
    <s v="-"/>
    <s v="-"/>
    <n v="11317"/>
    <n v="2425"/>
    <n v="20654300"/>
  </r>
  <r>
    <n v="45"/>
    <n v="114"/>
    <x v="11"/>
    <n v="664"/>
    <x v="2"/>
    <s v="東京都豊島区西池袋3-11-23"/>
    <m/>
    <s v="所有権"/>
    <n v="14.26"/>
    <n v="14.26"/>
    <n v="1"/>
    <n v="1"/>
    <s v="-"/>
    <s v="-"/>
    <n v="11317"/>
    <n v="2425"/>
    <n v="20654300"/>
  </r>
  <r>
    <n v="46"/>
    <n v="114"/>
    <x v="11"/>
    <n v="664"/>
    <x v="2"/>
    <s v="東京都豊島区西池袋4-10-23"/>
    <m/>
    <s v="所有権"/>
    <n v="14.26"/>
    <n v="14.26"/>
    <n v="1"/>
    <n v="1"/>
    <s v="-"/>
    <s v="-"/>
    <n v="11317"/>
    <n v="2425"/>
    <n v="20654300"/>
  </r>
  <r>
    <n v="47"/>
    <n v="114"/>
    <x v="11"/>
    <n v="664"/>
    <x v="2"/>
    <s v="東京都豊島区西池袋3-11-24"/>
    <m/>
    <s v="所有権"/>
    <n v="14.26"/>
    <n v="14.26"/>
    <n v="1"/>
    <n v="1"/>
    <s v="-"/>
    <s v="-"/>
    <n v="11317"/>
    <n v="2425"/>
    <n v="20654300"/>
  </r>
  <r>
    <n v="48"/>
    <n v="115"/>
    <x v="12"/>
    <n v="661"/>
    <x v="0"/>
    <s v="東京都豊島区西池袋4-10-24"/>
    <m/>
    <s v="所有権"/>
    <n v="443.07"/>
    <n v="443.07"/>
    <n v="1"/>
    <n v="1"/>
    <s v="-"/>
    <s v="-"/>
    <n v="363928"/>
    <n v="77984"/>
    <n v="174271390"/>
  </r>
  <r>
    <n v="49"/>
    <n v="115"/>
    <x v="12"/>
    <n v="664"/>
    <x v="2"/>
    <s v="東京都豊島区西池袋3-11-25"/>
    <m/>
    <s v="所有権"/>
    <n v="1490.43"/>
    <n v="1490.43"/>
    <n v="1"/>
    <n v="1"/>
    <s v="-"/>
    <s v="-"/>
    <n v="1729873"/>
    <n v="370687"/>
    <n v="123562400"/>
  </r>
  <r>
    <n v="50"/>
    <n v="116"/>
    <x v="13"/>
    <n v="661"/>
    <x v="0"/>
    <s v="東京都豊島区西池袋4-10-25"/>
    <m/>
    <s v="所有権"/>
    <n v="207.8"/>
    <n v="207.8"/>
    <n v="1"/>
    <n v="1"/>
    <s v="-"/>
    <s v="-"/>
    <n v="210432"/>
    <n v="45092"/>
    <n v="114941450"/>
  </r>
  <r>
    <n v="51"/>
    <n v="116"/>
    <x v="13"/>
    <n v="664"/>
    <x v="2"/>
    <s v="東京都豊島区西池袋3-11-26"/>
    <m/>
    <s v="所有権"/>
    <n v="966.35"/>
    <n v="966.35"/>
    <n v="1"/>
    <n v="1"/>
    <s v="-"/>
    <s v="-"/>
    <n v="755753"/>
    <n v="161947"/>
    <n v="53982400"/>
  </r>
  <r>
    <n v="52"/>
    <n v="117"/>
    <x v="14"/>
    <n v="661"/>
    <x v="0"/>
    <s v="東京都豊島区西池袋4-10-26"/>
    <m/>
    <s v="所有権"/>
    <n v="179.23"/>
    <n v="179.23"/>
    <n v="1"/>
    <n v="1"/>
    <s v="-"/>
    <s v="-"/>
    <n v="144698"/>
    <n v="31006"/>
    <n v="75126040"/>
  </r>
  <r>
    <n v="53"/>
    <n v="117"/>
    <x v="14"/>
    <n v="664"/>
    <x v="2"/>
    <s v="東京都豊島区西池袋3-11-27"/>
    <m/>
    <s v="所有権"/>
    <n v="343.46"/>
    <n v="343.46"/>
    <n v="1"/>
    <n v="1"/>
    <s v="-"/>
    <s v="-"/>
    <n v="141688"/>
    <n v="30361"/>
    <n v="10120600"/>
  </r>
  <r>
    <n v="54"/>
    <n v="120"/>
    <x v="15"/>
    <n v="661"/>
    <x v="0"/>
    <s v="東京都豊島区西池袋4-10-27"/>
    <m/>
    <s v="所有権"/>
    <n v="177.15"/>
    <n v="177.15"/>
    <n v="1"/>
    <n v="1"/>
    <s v="-"/>
    <s v="-"/>
    <n v="167336"/>
    <n v="35857"/>
    <n v="79056190"/>
  </r>
  <r>
    <n v="55"/>
    <n v="120"/>
    <x v="15"/>
    <n v="664"/>
    <x v="2"/>
    <s v="東京都豊島区西池袋3-11-28"/>
    <m/>
    <s v="所有権"/>
    <n v="349.27"/>
    <n v="349.27"/>
    <n v="1"/>
    <n v="1"/>
    <s v="-"/>
    <s v="-"/>
    <n v="264752"/>
    <n v="56732"/>
    <n v="18910900"/>
  </r>
  <r>
    <n v="56"/>
    <n v="120"/>
    <x v="15"/>
    <n v="662"/>
    <x v="3"/>
    <s v="東京都豊島区西池袋4-10-28"/>
    <m/>
    <s v="所有権"/>
    <n v="129.68"/>
    <n v="129.68"/>
    <n v="1"/>
    <n v="1"/>
    <s v="-"/>
    <s v="-"/>
    <n v="0"/>
    <n v="0"/>
    <n v="0"/>
  </r>
  <r>
    <n v="57"/>
    <n v="221"/>
    <x v="16"/>
    <n v="664"/>
    <x v="2"/>
    <s v="東京都豊島区西池袋3-11-29"/>
    <m/>
    <s v="所有権"/>
    <n v="19.899999999999999"/>
    <n v="19.899999999999999"/>
    <s v="-"/>
    <s v="-"/>
    <n v="316"/>
    <n v="100000"/>
    <n v="1761"/>
    <n v="754"/>
    <n v="892339.76"/>
  </r>
  <r>
    <n v="58"/>
    <n v="222"/>
    <x v="17"/>
    <n v="664"/>
    <x v="2"/>
    <s v="東京都豊島区西池袋4-10-29"/>
    <m/>
    <s v="所有権"/>
    <n v="79"/>
    <n v="79"/>
    <s v="-"/>
    <s v="-"/>
    <n v="1"/>
    <n v="1"/>
    <n v="98408"/>
    <n v="21087"/>
    <n v="6972378.1681486527"/>
  </r>
  <r>
    <n v="59"/>
    <n v="222"/>
    <x v="17"/>
    <n v="661"/>
    <x v="0"/>
    <s v="東京都豊島区西池袋3-11-30"/>
    <m/>
    <s v="所有権"/>
    <n v="62.47"/>
    <n v="2237.1999999999998"/>
    <s v="-"/>
    <s v="-"/>
    <n v="9055"/>
    <n v="324677"/>
    <n v="47872"/>
    <n v="10257"/>
    <n v="22311426.347878046"/>
  </r>
  <r>
    <n v="60"/>
    <n v="121"/>
    <x v="18"/>
    <n v="664"/>
    <x v="2"/>
    <s v="東京都豊島区西池袋4-10-30"/>
    <m/>
    <s v="所有権"/>
    <n v="79"/>
    <n v="79"/>
    <n v="1"/>
    <n v="1"/>
    <s v="-"/>
    <s v="-"/>
    <n v="167336"/>
    <n v="35857"/>
    <n v="79056190"/>
  </r>
  <r>
    <n v="61"/>
    <n v="121"/>
    <x v="18"/>
    <n v="661"/>
    <x v="0"/>
    <s v="東京都豊島区西池袋3-11-31"/>
    <m/>
    <s v="所有権"/>
    <n v="79"/>
    <n v="79"/>
    <n v="1"/>
    <n v="1"/>
    <s v="-"/>
    <s v="-"/>
    <n v="264752"/>
    <n v="56732"/>
    <n v="18910900"/>
  </r>
  <r>
    <n v="62"/>
    <n v="122"/>
    <x v="19"/>
    <n v="664"/>
    <x v="2"/>
    <s v="東京都豊島区西池袋4-10-31"/>
    <m/>
    <s v="所有権"/>
    <n v="79"/>
    <n v="79"/>
    <n v="1"/>
    <n v="1"/>
    <s v="-"/>
    <s v="-"/>
    <n v="167336"/>
    <n v="35857"/>
    <n v="79056190"/>
  </r>
  <r>
    <n v="63"/>
    <n v="122"/>
    <x v="19"/>
    <n v="661"/>
    <x v="0"/>
    <s v="東京都豊島区西池袋3-11-32"/>
    <m/>
    <s v="所有権"/>
    <n v="79"/>
    <n v="79"/>
    <n v="1"/>
    <n v="1"/>
    <s v="-"/>
    <s v="-"/>
    <n v="264752"/>
    <n v="56732"/>
    <n v="18910900"/>
  </r>
  <r>
    <m/>
    <m/>
    <x v="20"/>
    <m/>
    <x v="4"/>
    <m/>
    <m/>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n v="1"/>
    <n v="101"/>
    <x v="0"/>
    <s v="101"/>
    <n v="16.89"/>
    <n v="631"/>
    <s v="住居"/>
    <s v="1K"/>
    <n v="62000"/>
    <n v="3000"/>
    <n v="0"/>
    <n v="0"/>
    <n v="65000"/>
    <n v="65000"/>
    <n v="0"/>
    <n v="65000"/>
    <n v="65000"/>
    <s v="日本人等"/>
    <s v="yes"/>
    <s v=""/>
    <m/>
    <s v="101_101"/>
    <n v="65000"/>
    <m/>
    <n v="1"/>
    <n v="65000"/>
    <n v="0"/>
    <n v="0"/>
    <n v="1"/>
    <x v="0"/>
  </r>
  <r>
    <n v="2"/>
    <n v="101"/>
    <x v="0"/>
    <s v="102"/>
    <n v="16.75"/>
    <n v="631"/>
    <s v="住居"/>
    <s v="1K"/>
    <n v="62000"/>
    <n v="3000"/>
    <n v="0"/>
    <n v="0"/>
    <n v="65000"/>
    <n v="65000"/>
    <n v="0"/>
    <n v="65000"/>
    <n v="65000"/>
    <s v="日本人等"/>
    <s v="yes"/>
    <s v=""/>
    <m/>
    <s v="101_102"/>
    <n v="61000"/>
    <m/>
    <n v="1"/>
    <n v="65000"/>
    <n v="0"/>
    <n v="4000"/>
    <n v="1"/>
    <x v="0"/>
  </r>
  <r>
    <n v="3"/>
    <n v="101"/>
    <x v="0"/>
    <s v="103"/>
    <n v="16.600000000000001"/>
    <n v="631"/>
    <s v="住居"/>
    <s v="1K"/>
    <n v="69800"/>
    <n v="0"/>
    <n v="0"/>
    <n v="0"/>
    <n v="69800"/>
    <n v="69800"/>
    <n v="0"/>
    <n v="69800"/>
    <n v="69800"/>
    <s v="日本人等"/>
    <s v="yes"/>
    <s v=""/>
    <m/>
    <s v="101_103"/>
    <n v="66000"/>
    <m/>
    <n v="1"/>
    <n v="69800"/>
    <n v="0"/>
    <n v="3800"/>
    <n v="1"/>
    <x v="0"/>
  </r>
  <r>
    <n v="4"/>
    <n v="101"/>
    <x v="0"/>
    <s v="105"/>
    <n v="16.739999999999998"/>
    <n v="631"/>
    <s v="住居"/>
    <s v="1K"/>
    <n v="60000"/>
    <n v="3000"/>
    <n v="0"/>
    <n v="0"/>
    <n v="63000"/>
    <n v="70000"/>
    <n v="0"/>
    <n v="70000"/>
    <n v="63000"/>
    <s v="法人契約"/>
    <s v="yes"/>
    <s v=""/>
    <m/>
    <s v="101_105"/>
    <n v="62000"/>
    <m/>
    <n v="1"/>
    <n v="63000"/>
    <n v="7000"/>
    <n v="1000"/>
    <n v="1"/>
    <x v="0"/>
  </r>
  <r>
    <n v="5"/>
    <n v="101"/>
    <x v="0"/>
    <s v="106"/>
    <n v="16.739999999999998"/>
    <n v="631"/>
    <s v="住居"/>
    <s v="1K"/>
    <n v="64000"/>
    <n v="3000"/>
    <n v="0"/>
    <n v="0"/>
    <n v="67000"/>
    <n v="67000"/>
    <n v="0"/>
    <n v="67000"/>
    <n v="67000"/>
    <s v="中華系"/>
    <s v="yes"/>
    <s v=""/>
    <m/>
    <s v="101_106"/>
    <n v="65000"/>
    <m/>
    <n v="1"/>
    <n v="67000"/>
    <n v="0"/>
    <n v="2000"/>
    <n v="1"/>
    <x v="0"/>
  </r>
  <r>
    <n v="6"/>
    <n v="101"/>
    <x v="0"/>
    <s v="201"/>
    <n v="16.53"/>
    <n v="631"/>
    <s v="住居"/>
    <s v="1K"/>
    <n v="56000"/>
    <n v="3000"/>
    <n v="0"/>
    <n v="0"/>
    <n v="59000"/>
    <n v="67000"/>
    <n v="0"/>
    <n v="67000"/>
    <n v="59000"/>
    <s v="日本人等"/>
    <s v="yes"/>
    <s v=""/>
    <m/>
    <s v="101_201"/>
    <n v="67000"/>
    <m/>
    <n v="1"/>
    <n v="59000"/>
    <n v="8000"/>
    <n v="-8000"/>
    <n v="1"/>
    <x v="0"/>
  </r>
  <r>
    <n v="7"/>
    <n v="101"/>
    <x v="0"/>
    <s v="202"/>
    <n v="16.75"/>
    <n v="631"/>
    <s v="住居"/>
    <s v="1K"/>
    <n v="62000"/>
    <n v="3000"/>
    <n v="0"/>
    <n v="0"/>
    <n v="65000"/>
    <n v="65000"/>
    <n v="0"/>
    <n v="65000"/>
    <n v="65000"/>
    <s v="住居法人契約"/>
    <s v="yes"/>
    <s v=""/>
    <m/>
    <s v="101_202"/>
    <n v="65000"/>
    <m/>
    <n v="1"/>
    <n v="65000"/>
    <n v="0"/>
    <n v="0"/>
    <n v="1"/>
    <x v="0"/>
  </r>
  <r>
    <n v="8"/>
    <n v="101"/>
    <x v="0"/>
    <s v="203"/>
    <n v="16.600000000000001"/>
    <n v="631"/>
    <s v="住居"/>
    <s v="1K"/>
    <n v="63000"/>
    <n v="3000"/>
    <n v="0"/>
    <n v="0"/>
    <n v="66000"/>
    <n v="70000"/>
    <n v="0"/>
    <n v="70000"/>
    <n v="66000"/>
    <s v="日本人等"/>
    <s v="yes"/>
    <s v=""/>
    <m/>
    <s v="101_203"/>
    <n v="67000"/>
    <m/>
    <n v="1"/>
    <n v="66000"/>
    <n v="4000"/>
    <n v="-1000"/>
    <n v="1"/>
    <x v="0"/>
  </r>
  <r>
    <n v="9"/>
    <n v="101"/>
    <x v="0"/>
    <s v="205"/>
    <n v="16.739999999999998"/>
    <n v="631"/>
    <s v="住居"/>
    <s v="1K"/>
    <n v="63000"/>
    <n v="3000"/>
    <n v="0"/>
    <n v="0"/>
    <n v="66000"/>
    <n v="68000"/>
    <n v="0"/>
    <n v="68000"/>
    <n v="66000"/>
    <s v="日本人等"/>
    <s v="yes"/>
    <s v=""/>
    <m/>
    <s v="101_205"/>
    <n v="67000"/>
    <m/>
    <n v="1"/>
    <n v="66000"/>
    <n v="2000"/>
    <n v="-1000"/>
    <n v="1"/>
    <x v="0"/>
  </r>
  <r>
    <n v="10"/>
    <n v="101"/>
    <x v="0"/>
    <s v="301"/>
    <n v="16.559999999999999"/>
    <n v="631"/>
    <s v="住居"/>
    <s v="1K"/>
    <n v="62000"/>
    <n v="0"/>
    <n v="0"/>
    <n v="0"/>
    <n v="62000"/>
    <n v="62000"/>
    <n v="0"/>
    <n v="62000"/>
    <n v="62000"/>
    <s v="日本人等"/>
    <s v="yes"/>
    <s v=""/>
    <m/>
    <s v="101_301"/>
    <n v="62000"/>
    <m/>
    <n v="1"/>
    <n v="62000"/>
    <n v="0"/>
    <n v="0"/>
    <n v="1"/>
    <x v="0"/>
  </r>
  <r>
    <n v="11"/>
    <n v="101"/>
    <x v="0"/>
    <s v="302"/>
    <n v="16.559999999999999"/>
    <n v="631"/>
    <s v="住居"/>
    <s v="1K"/>
    <n v="63000"/>
    <n v="3000"/>
    <n v="0"/>
    <n v="0"/>
    <n v="66000"/>
    <n v="66000"/>
    <n v="0"/>
    <n v="66000"/>
    <n v="66000"/>
    <s v="日本人等"/>
    <s v="yes"/>
    <s v=""/>
    <m/>
    <s v="101_302"/>
    <n v="65000"/>
    <m/>
    <n v="1"/>
    <n v="66000"/>
    <n v="0"/>
    <n v="1000"/>
    <n v="1"/>
    <x v="0"/>
  </r>
  <r>
    <n v="12"/>
    <n v="101"/>
    <x v="0"/>
    <s v="303"/>
    <n v="16.559999999999999"/>
    <n v="631"/>
    <s v="住居"/>
    <s v="1K"/>
    <n v="62000"/>
    <n v="3000"/>
    <n v="0"/>
    <n v="0"/>
    <n v="65000"/>
    <n v="65000"/>
    <n v="0"/>
    <n v="65000"/>
    <n v="65000"/>
    <s v="日本人等"/>
    <s v="yes"/>
    <s v=""/>
    <m/>
    <s v="101_303"/>
    <n v="65000"/>
    <m/>
    <n v="1"/>
    <n v="65000"/>
    <n v="0"/>
    <n v="0"/>
    <n v="1"/>
    <x v="0"/>
  </r>
  <r>
    <n v="13"/>
    <n v="101"/>
    <x v="0"/>
    <s v="305"/>
    <n v="16.77"/>
    <n v="631"/>
    <s v="住居"/>
    <s v="1K"/>
    <n v="67000"/>
    <n v="3000"/>
    <n v="0"/>
    <n v="0"/>
    <n v="70000"/>
    <n v="70000"/>
    <n v="0"/>
    <n v="70000"/>
    <n v="70000"/>
    <s v="中華系"/>
    <s v="yes"/>
    <s v=""/>
    <m/>
    <s v="101_305"/>
    <n v="68000"/>
    <m/>
    <n v="1"/>
    <n v="70000"/>
    <n v="0"/>
    <n v="2000"/>
    <n v="1"/>
    <x v="0"/>
  </r>
  <r>
    <n v="14"/>
    <n v="101"/>
    <x v="0"/>
    <s v="306"/>
    <n v="16.53"/>
    <n v="631"/>
    <s v="住居"/>
    <s v="1K"/>
    <n v="57000"/>
    <n v="3000"/>
    <n v="0"/>
    <n v="0"/>
    <n v="60000"/>
    <n v="70000"/>
    <n v="0"/>
    <n v="70000"/>
    <n v="60000"/>
    <s v="中華系"/>
    <s v="yes"/>
    <s v=""/>
    <m/>
    <s v="101_306"/>
    <n v="63000"/>
    <m/>
    <n v="1"/>
    <n v="60000"/>
    <n v="10000"/>
    <n v="-3000"/>
    <n v="1"/>
    <x v="0"/>
  </r>
  <r>
    <n v="15"/>
    <n v="101"/>
    <x v="0"/>
    <s v="307"/>
    <n v="16.75"/>
    <n v="631"/>
    <s v="住居"/>
    <s v="1K"/>
    <n v="56000"/>
    <n v="3000"/>
    <n v="0"/>
    <n v="0"/>
    <n v="59000"/>
    <n v="65000"/>
    <n v="0"/>
    <n v="65000"/>
    <n v="59000"/>
    <s v="日本人等"/>
    <s v="yes"/>
    <s v=""/>
    <m/>
    <s v="101_307"/>
    <n v="67000"/>
    <m/>
    <n v="1"/>
    <n v="59000"/>
    <n v="6000"/>
    <n v="-8000"/>
    <n v="1"/>
    <x v="0"/>
  </r>
  <r>
    <n v="16"/>
    <n v="101"/>
    <x v="0"/>
    <s v="308"/>
    <n v="16.600000000000001"/>
    <n v="631"/>
    <s v="住居"/>
    <s v="1K"/>
    <n v="69000"/>
    <n v="0"/>
    <n v="0"/>
    <n v="0"/>
    <n v="69000"/>
    <n v="69000"/>
    <n v="0"/>
    <n v="69000"/>
    <n v="69000"/>
    <s v="日本人等"/>
    <s v="yes"/>
    <s v=""/>
    <m/>
    <s v="101_308"/>
    <n v="69000"/>
    <m/>
    <n v="1"/>
    <n v="69000"/>
    <n v="0"/>
    <n v="0"/>
    <n v="1"/>
    <x v="0"/>
  </r>
  <r>
    <n v="17"/>
    <n v="101"/>
    <x v="0"/>
    <s v="401"/>
    <n v="16.559999999999999"/>
    <n v="631"/>
    <s v="住居"/>
    <s v="1K"/>
    <n v="67000"/>
    <n v="3000"/>
    <n v="0"/>
    <n v="0"/>
    <n v="70000"/>
    <n v="70000"/>
    <n v="0"/>
    <n v="70000"/>
    <n v="70000"/>
    <s v="日本人等"/>
    <s v="yes"/>
    <s v=""/>
    <m/>
    <s v="101_401"/>
    <n v="66000"/>
    <m/>
    <n v="1"/>
    <n v="70000"/>
    <n v="0"/>
    <n v="4000"/>
    <n v="1"/>
    <x v="0"/>
  </r>
  <r>
    <n v="18"/>
    <n v="101"/>
    <x v="0"/>
    <s v="402"/>
    <n v="16.559999999999999"/>
    <n v="631"/>
    <s v="住居"/>
    <s v="1K"/>
    <n v="62000"/>
    <n v="2000"/>
    <n v="0"/>
    <n v="0"/>
    <n v="64000"/>
    <n v="64000"/>
    <n v="0"/>
    <n v="64000"/>
    <n v="64000"/>
    <s v="日本人等"/>
    <s v="yes"/>
    <s v=""/>
    <m/>
    <s v="101_402"/>
    <n v="64000"/>
    <m/>
    <n v="1"/>
    <n v="64000"/>
    <n v="0"/>
    <n v="0"/>
    <n v="1"/>
    <x v="0"/>
  </r>
  <r>
    <n v="19"/>
    <n v="101"/>
    <x v="0"/>
    <s v="403"/>
    <n v="16.559999999999999"/>
    <n v="631"/>
    <s v="住居"/>
    <s v="1K"/>
    <n v="60000"/>
    <n v="3000"/>
    <n v="0"/>
    <n v="0"/>
    <n v="63000"/>
    <n v="70000"/>
    <n v="0"/>
    <n v="70000"/>
    <n v="63000"/>
    <s v="日本人等"/>
    <s v="yes"/>
    <s v=""/>
    <m/>
    <s v="101_403"/>
    <n v="65000"/>
    <m/>
    <n v="1"/>
    <n v="63000"/>
    <n v="7000"/>
    <n v="-2000"/>
    <n v="1"/>
    <x v="0"/>
  </r>
  <r>
    <n v="20"/>
    <n v="101"/>
    <x v="0"/>
    <s v="405"/>
    <n v="16.77"/>
    <n v="631"/>
    <s v="住居"/>
    <s v="1K"/>
    <n v="69000"/>
    <n v="3000"/>
    <n v="0"/>
    <n v="0"/>
    <n v="72000"/>
    <n v="72000"/>
    <n v="0"/>
    <n v="72000"/>
    <n v="72000"/>
    <s v="日本人等"/>
    <s v="yes"/>
    <s v=""/>
    <m/>
    <s v="101_405"/>
    <n v="65000"/>
    <m/>
    <n v="1"/>
    <n v="72000"/>
    <n v="0"/>
    <n v="7000"/>
    <n v="1"/>
    <x v="0"/>
  </r>
  <r>
    <n v="21"/>
    <n v="101"/>
    <x v="0"/>
    <s v="406"/>
    <n v="16.53"/>
    <n v="631"/>
    <s v="住居"/>
    <s v="1K"/>
    <n v="62000"/>
    <n v="3000"/>
    <n v="0"/>
    <n v="0"/>
    <n v="65000"/>
    <n v="70000"/>
    <n v="0"/>
    <n v="70000"/>
    <n v="65000"/>
    <s v="日本人等"/>
    <s v="yes"/>
    <s v=""/>
    <m/>
    <s v="101_406"/>
    <n v="70000"/>
    <m/>
    <n v="1"/>
    <n v="65000"/>
    <n v="5000"/>
    <n v="-5000"/>
    <n v="1"/>
    <x v="0"/>
  </r>
  <r>
    <n v="22"/>
    <n v="101"/>
    <x v="0"/>
    <s v="407"/>
    <n v="17.829999999999998"/>
    <n v="631"/>
    <s v="住居"/>
    <s v="1K"/>
    <n v="67000"/>
    <n v="0"/>
    <n v="0"/>
    <n v="0"/>
    <n v="67000"/>
    <n v="67000"/>
    <n v="0"/>
    <n v="67000"/>
    <n v="67000"/>
    <s v="日本人等"/>
    <s v="yes"/>
    <s v=""/>
    <m/>
    <s v="101_407"/>
    <n v="67000"/>
    <m/>
    <n v="1"/>
    <n v="67000"/>
    <n v="0"/>
    <n v="0"/>
    <n v="1"/>
    <x v="0"/>
  </r>
  <r>
    <n v="23"/>
    <n v="101"/>
    <x v="0"/>
    <s v="100"/>
    <n v="104.58"/>
    <n v="632"/>
    <s v="事務所"/>
    <s v="事務所"/>
    <n v="275000"/>
    <n v="0"/>
    <n v="0"/>
    <n v="27500"/>
    <n v="302500"/>
    <n v="275000"/>
    <n v="27500"/>
    <n v="302500"/>
    <n v="302500"/>
    <s v="法人契約"/>
    <s v="yes"/>
    <s v=""/>
    <m/>
    <s v="101_100"/>
    <n v="250000"/>
    <m/>
    <n v="1"/>
    <n v="275000"/>
    <n v="0"/>
    <n v="25000"/>
    <n v="1"/>
    <x v="0"/>
  </r>
  <r>
    <n v="24"/>
    <n v="101"/>
    <x v="0"/>
    <s v="RF1"/>
    <n v="0"/>
    <n v="635"/>
    <s v="アンテナ"/>
    <s v="その他"/>
    <n v="90000"/>
    <n v="0"/>
    <n v="0"/>
    <n v="9000"/>
    <n v="99000"/>
    <n v="90000"/>
    <n v="9000"/>
    <n v="99000"/>
    <n v="99000"/>
    <s v="-"/>
    <s v="yes"/>
    <s v="楽天"/>
    <m/>
    <s v="101_RF1"/>
    <n v="0"/>
    <m/>
    <n v="1"/>
    <n v="90000"/>
    <n v="0"/>
    <n v="90000"/>
    <n v="1"/>
    <x v="0"/>
  </r>
  <r>
    <n v="25"/>
    <n v="101"/>
    <x v="0"/>
    <s v="NTF1"/>
    <s v="-"/>
    <n v="639"/>
    <s v="その他"/>
    <s v="その他"/>
    <n v="0"/>
    <n v="0"/>
    <n v="0"/>
    <n v="0"/>
    <n v="0"/>
    <n v="0"/>
    <n v="0"/>
    <n v="0"/>
    <n v="0"/>
    <s v="-"/>
    <s v="no"/>
    <s v="フレッツ光"/>
    <m/>
    <s v="101_NTF1"/>
    <n v="0"/>
    <m/>
    <n v="0"/>
    <n v="0"/>
    <n v="0"/>
    <n v="0"/>
    <n v="0"/>
    <x v="0"/>
  </r>
  <r>
    <n v="26"/>
    <n v="102"/>
    <x v="1"/>
    <s v="101"/>
    <n v="23.95"/>
    <n v="631"/>
    <s v="住居"/>
    <s v="1K"/>
    <n v="73000"/>
    <n v="7000"/>
    <n v="0"/>
    <n v="0"/>
    <n v="80000"/>
    <n v="80000"/>
    <n v="0"/>
    <n v="80000"/>
    <n v="80000"/>
    <s v="日本人等"/>
    <s v="yes"/>
    <s v=""/>
    <m/>
    <s v="102_101"/>
    <n v="63000"/>
    <m/>
    <n v="1"/>
    <n v="80000"/>
    <n v="0"/>
    <n v="17000"/>
    <n v="1"/>
    <x v="0"/>
  </r>
  <r>
    <n v="27"/>
    <n v="102"/>
    <x v="1"/>
    <s v="102"/>
    <n v="20.079999999999998"/>
    <n v="631"/>
    <s v="住居"/>
    <s v="1K"/>
    <n v="55000"/>
    <n v="7000"/>
    <n v="0"/>
    <n v="0"/>
    <n v="62000"/>
    <n v="62000"/>
    <n v="0"/>
    <n v="62000"/>
    <n v="62000"/>
    <s v="日本人等"/>
    <s v="yes"/>
    <s v=""/>
    <m/>
    <s v="102_102"/>
    <n v="62000"/>
    <m/>
    <n v="1"/>
    <n v="62000"/>
    <n v="0"/>
    <n v="0"/>
    <n v="1"/>
    <x v="0"/>
  </r>
  <r>
    <n v="28"/>
    <n v="102"/>
    <x v="1"/>
    <s v="103"/>
    <n v="23.25"/>
    <n v="631"/>
    <s v="住居"/>
    <s v="1K"/>
    <n v="70000"/>
    <n v="7000"/>
    <n v="0"/>
    <n v="0"/>
    <n v="77000"/>
    <n v="77000"/>
    <n v="0"/>
    <n v="77000"/>
    <n v="77000"/>
    <s v="中華系"/>
    <s v="yes"/>
    <s v=""/>
    <m/>
    <s v="102_103"/>
    <n v="68000"/>
    <m/>
    <n v="1"/>
    <n v="77000"/>
    <n v="0"/>
    <n v="9000"/>
    <n v="1"/>
    <x v="0"/>
  </r>
  <r>
    <n v="29"/>
    <n v="102"/>
    <x v="1"/>
    <s v="105"/>
    <n v="23.25"/>
    <n v="631"/>
    <s v="住居"/>
    <s v="1K"/>
    <n v="72000"/>
    <n v="7000"/>
    <n v="0"/>
    <n v="0"/>
    <n v="79000"/>
    <n v="79000"/>
    <n v="0"/>
    <n v="79000"/>
    <n v="79000"/>
    <s v="中華系"/>
    <s v="yes"/>
    <s v=""/>
    <m/>
    <s v="102_105"/>
    <n v="67000"/>
    <m/>
    <n v="1"/>
    <n v="79000"/>
    <n v="0"/>
    <n v="12000"/>
    <n v="1"/>
    <x v="0"/>
  </r>
  <r>
    <n v="30"/>
    <n v="102"/>
    <x v="1"/>
    <s v="106"/>
    <n v="27.3"/>
    <n v="631"/>
    <s v="住居"/>
    <s v="1K"/>
    <n v="73000"/>
    <n v="7000"/>
    <n v="0"/>
    <n v="0"/>
    <n v="80000"/>
    <n v="80000"/>
    <n v="0"/>
    <n v="80000"/>
    <n v="80000"/>
    <s v="中華系"/>
    <s v="yes"/>
    <s v=""/>
    <m/>
    <s v="102_106"/>
    <n v="75000"/>
    <m/>
    <n v="1"/>
    <n v="80000"/>
    <n v="0"/>
    <n v="5000"/>
    <n v="1"/>
    <x v="0"/>
  </r>
  <r>
    <n v="31"/>
    <n v="102"/>
    <x v="1"/>
    <s v="107"/>
    <n v="27.3"/>
    <n v="631"/>
    <s v="住居"/>
    <s v="1K"/>
    <n v="78000"/>
    <n v="7000"/>
    <n v="0"/>
    <n v="0"/>
    <n v="85000"/>
    <n v="85000"/>
    <n v="0"/>
    <n v="85000"/>
    <n v="85000"/>
    <s v="日本人等"/>
    <s v="yes"/>
    <s v=""/>
    <m/>
    <s v="102_107"/>
    <n v="70000"/>
    <m/>
    <n v="1"/>
    <n v="85000"/>
    <n v="0"/>
    <n v="15000"/>
    <n v="1"/>
    <x v="0"/>
  </r>
  <r>
    <n v="32"/>
    <n v="102"/>
    <x v="1"/>
    <s v="108"/>
    <n v="22.98"/>
    <n v="631"/>
    <s v="住居"/>
    <s v="1K"/>
    <n v="68000"/>
    <n v="7000"/>
    <n v="0"/>
    <n v="0"/>
    <n v="75000"/>
    <n v="75000"/>
    <n v="0"/>
    <n v="75000"/>
    <n v="75000"/>
    <s v="日本人等"/>
    <s v="yes"/>
    <s v=""/>
    <m/>
    <s v="102_108"/>
    <n v="64000"/>
    <m/>
    <n v="1"/>
    <n v="75000"/>
    <n v="0"/>
    <n v="11000"/>
    <n v="1"/>
    <x v="0"/>
  </r>
  <r>
    <n v="33"/>
    <n v="102"/>
    <x v="1"/>
    <s v="109"/>
    <n v="22.98"/>
    <n v="631"/>
    <s v="住居"/>
    <s v="1K"/>
    <n v="61000"/>
    <n v="7000"/>
    <n v="0"/>
    <n v="0"/>
    <n v="68000"/>
    <n v="76000"/>
    <n v="0"/>
    <n v="76000"/>
    <n v="68000"/>
    <s v="日本人等"/>
    <s v="yes"/>
    <s v=""/>
    <m/>
    <s v="102_109"/>
    <n v="66000"/>
    <m/>
    <n v="1"/>
    <n v="68000"/>
    <n v="8000"/>
    <n v="2000"/>
    <n v="1"/>
    <x v="0"/>
  </r>
  <r>
    <n v="34"/>
    <n v="102"/>
    <x v="1"/>
    <s v="110"/>
    <n v="23.27"/>
    <n v="631"/>
    <s v="住居"/>
    <s v="1K"/>
    <n v="61000"/>
    <n v="7000"/>
    <n v="0"/>
    <n v="0"/>
    <n v="68000"/>
    <n v="68000"/>
    <n v="0"/>
    <n v="68000"/>
    <n v="68000"/>
    <s v="日本人等"/>
    <s v="yes"/>
    <s v=""/>
    <m/>
    <s v="102_110"/>
    <n v="68000"/>
    <m/>
    <n v="1"/>
    <n v="68000"/>
    <n v="0"/>
    <n v="0"/>
    <n v="1"/>
    <x v="0"/>
  </r>
  <r>
    <n v="35"/>
    <n v="102"/>
    <x v="1"/>
    <s v="201"/>
    <n v="23.95"/>
    <n v="631"/>
    <s v="住居"/>
    <s v="1K"/>
    <n v="70000"/>
    <n v="7000"/>
    <n v="0"/>
    <n v="0"/>
    <n v="77000"/>
    <n v="77000"/>
    <n v="0"/>
    <n v="77000"/>
    <n v="77000"/>
    <s v="日本人等"/>
    <s v="yes"/>
    <s v=""/>
    <m/>
    <s v="102_201"/>
    <n v="93000"/>
    <m/>
    <n v="1"/>
    <n v="77000"/>
    <n v="0"/>
    <n v="-16000"/>
    <n v="1"/>
    <x v="0"/>
  </r>
  <r>
    <n v="36"/>
    <n v="102"/>
    <x v="1"/>
    <s v="202"/>
    <n v="20.079999999999998"/>
    <n v="631"/>
    <s v="住居"/>
    <s v="1K"/>
    <n v="75000"/>
    <n v="7000"/>
    <n v="0"/>
    <n v="0"/>
    <n v="82000"/>
    <n v="82000"/>
    <n v="0"/>
    <n v="82000"/>
    <n v="82000"/>
    <s v="中華系"/>
    <s v="yes"/>
    <s v=""/>
    <m/>
    <s v="102_202"/>
    <n v="67000"/>
    <m/>
    <n v="1"/>
    <n v="82000"/>
    <n v="0"/>
    <n v="15000"/>
    <n v="1"/>
    <x v="0"/>
  </r>
  <r>
    <n v="37"/>
    <n v="102"/>
    <x v="1"/>
    <s v="203"/>
    <n v="23.25"/>
    <n v="631"/>
    <s v="住居"/>
    <s v="1K"/>
    <n v="73000"/>
    <n v="7000"/>
    <n v="0"/>
    <n v="0"/>
    <n v="80000"/>
    <n v="85000"/>
    <n v="0"/>
    <n v="85000"/>
    <n v="80000"/>
    <s v="日本人等"/>
    <s v="yes"/>
    <s v=""/>
    <m/>
    <s v="102_203"/>
    <n v="77000"/>
    <m/>
    <n v="1"/>
    <n v="80000"/>
    <n v="5000"/>
    <n v="3000"/>
    <n v="1"/>
    <x v="0"/>
  </r>
  <r>
    <n v="38"/>
    <n v="102"/>
    <x v="1"/>
    <s v="205"/>
    <n v="23.25"/>
    <n v="631"/>
    <s v="住居"/>
    <s v="1K"/>
    <n v="68000"/>
    <n v="7000"/>
    <n v="0"/>
    <n v="0"/>
    <n v="75000"/>
    <n v="69000"/>
    <n v="0"/>
    <n v="69000"/>
    <n v="75000"/>
    <s v="日本人等"/>
    <s v="yes"/>
    <s v=""/>
    <m/>
    <s v="102_205"/>
    <n v="69000"/>
    <m/>
    <n v="1"/>
    <n v="75000"/>
    <n v="-6000"/>
    <n v="6000"/>
    <n v="1"/>
    <x v="0"/>
  </r>
  <r>
    <n v="39"/>
    <n v="102"/>
    <x v="1"/>
    <s v="206"/>
    <n v="27.3"/>
    <n v="631"/>
    <s v="住居"/>
    <s v="1K"/>
    <n v="73000"/>
    <n v="7000"/>
    <n v="0"/>
    <n v="0"/>
    <n v="80000"/>
    <n v="86000"/>
    <n v="0"/>
    <n v="86000"/>
    <n v="80000"/>
    <s v="中華系"/>
    <s v="yes"/>
    <s v=""/>
    <m/>
    <s v="102_206"/>
    <n v="73000"/>
    <m/>
    <n v="1"/>
    <n v="80000"/>
    <n v="6000"/>
    <n v="7000"/>
    <n v="1"/>
    <x v="0"/>
  </r>
  <r>
    <n v="40"/>
    <n v="102"/>
    <x v="1"/>
    <s v="207"/>
    <n v="27.3"/>
    <n v="631"/>
    <s v="住居"/>
    <s v="1K"/>
    <n v="82000"/>
    <n v="7000"/>
    <n v="0"/>
    <n v="0"/>
    <n v="89000"/>
    <n v="92000"/>
    <n v="0"/>
    <n v="92000"/>
    <n v="89000"/>
    <s v="中華系"/>
    <s v="yes"/>
    <s v=""/>
    <m/>
    <s v="102_207"/>
    <n v="72000"/>
    <m/>
    <n v="1"/>
    <n v="89000"/>
    <n v="3000"/>
    <n v="17000"/>
    <n v="1"/>
    <x v="0"/>
  </r>
  <r>
    <n v="41"/>
    <n v="102"/>
    <x v="1"/>
    <s v="208"/>
    <n v="22.98"/>
    <n v="631"/>
    <s v="住居"/>
    <s v="1K"/>
    <n v="78000"/>
    <n v="7000"/>
    <n v="0"/>
    <n v="0"/>
    <n v="85000"/>
    <n v="85000"/>
    <n v="0"/>
    <n v="85000"/>
    <n v="85000"/>
    <s v="中華系"/>
    <s v="yes"/>
    <s v=""/>
    <m/>
    <s v="102_208"/>
    <n v="76000"/>
    <m/>
    <n v="1"/>
    <n v="85000"/>
    <n v="0"/>
    <n v="9000"/>
    <n v="1"/>
    <x v="0"/>
  </r>
  <r>
    <n v="42"/>
    <n v="102"/>
    <x v="1"/>
    <s v="209"/>
    <n v="22.98"/>
    <n v="631"/>
    <s v="住居"/>
    <s v="1K"/>
    <n v="75000"/>
    <n v="7000"/>
    <n v="0"/>
    <n v="0"/>
    <n v="82000"/>
    <n v="82000"/>
    <n v="0"/>
    <n v="82000"/>
    <n v="82000"/>
    <s v="中華系"/>
    <s v="yes"/>
    <s v=""/>
    <m/>
    <s v="102_209"/>
    <n v="69000"/>
    <m/>
    <n v="1"/>
    <n v="82000"/>
    <n v="0"/>
    <n v="13000"/>
    <n v="1"/>
    <x v="0"/>
  </r>
  <r>
    <n v="43"/>
    <n v="102"/>
    <x v="1"/>
    <s v="301"/>
    <n v="23.95"/>
    <n v="631"/>
    <s v="住居"/>
    <s v="1K"/>
    <n v="78000"/>
    <n v="7000"/>
    <n v="0"/>
    <n v="0"/>
    <n v="85000"/>
    <n v="85000"/>
    <n v="0"/>
    <n v="85000"/>
    <n v="85000"/>
    <s v="中華系"/>
    <s v="yes"/>
    <s v=""/>
    <m/>
    <s v="102_301"/>
    <n v="75000"/>
    <m/>
    <n v="1"/>
    <n v="85000"/>
    <n v="0"/>
    <n v="10000"/>
    <n v="1"/>
    <x v="0"/>
  </r>
  <r>
    <n v="44"/>
    <n v="102"/>
    <x v="1"/>
    <s v="302"/>
    <n v="20.079999999999998"/>
    <n v="631"/>
    <s v="住居"/>
    <s v="1K"/>
    <n v="65000"/>
    <n v="10000"/>
    <n v="0"/>
    <n v="0"/>
    <n v="75000"/>
    <n v="75000"/>
    <n v="0"/>
    <n v="75000"/>
    <n v="75000"/>
    <s v="日本人等"/>
    <s v="yes"/>
    <s v=""/>
    <m/>
    <s v="102_302"/>
    <n v="75000"/>
    <m/>
    <n v="1"/>
    <n v="75000"/>
    <n v="0"/>
    <n v="0"/>
    <n v="1"/>
    <x v="0"/>
  </r>
  <r>
    <n v="45"/>
    <n v="102"/>
    <x v="1"/>
    <s v="303"/>
    <n v="23.25"/>
    <n v="631"/>
    <s v="住居"/>
    <s v="1K"/>
    <n v="72000"/>
    <n v="7000"/>
    <n v="0"/>
    <n v="0"/>
    <n v="79000"/>
    <n v="77000"/>
    <n v="0"/>
    <n v="77000"/>
    <n v="79000"/>
    <s v="中華系"/>
    <s v="yes"/>
    <s v=""/>
    <m/>
    <s v="102_303"/>
    <n v="73000"/>
    <m/>
    <n v="1"/>
    <n v="79000"/>
    <n v="-2000"/>
    <n v="6000"/>
    <n v="1"/>
    <x v="0"/>
  </r>
  <r>
    <n v="46"/>
    <n v="102"/>
    <x v="1"/>
    <s v="305"/>
    <n v="23.25"/>
    <n v="631"/>
    <s v="住居"/>
    <s v="1K"/>
    <n v="78000"/>
    <n v="7000"/>
    <n v="0"/>
    <n v="0"/>
    <n v="85000"/>
    <n v="85000"/>
    <n v="0"/>
    <n v="85000"/>
    <n v="85000"/>
    <s v="中華系"/>
    <s v="yes"/>
    <s v=""/>
    <m/>
    <s v="102_305"/>
    <n v="73000"/>
    <m/>
    <n v="1"/>
    <n v="85000"/>
    <n v="0"/>
    <n v="12000"/>
    <n v="1"/>
    <x v="0"/>
  </r>
  <r>
    <n v="47"/>
    <n v="102"/>
    <x v="1"/>
    <s v="306"/>
    <n v="27.3"/>
    <n v="631"/>
    <s v="住居"/>
    <s v="1K"/>
    <n v="73000"/>
    <n v="7000"/>
    <n v="0"/>
    <n v="0"/>
    <n v="80000"/>
    <n v="75000"/>
    <n v="0"/>
    <n v="75000"/>
    <n v="80000"/>
    <s v="中華系"/>
    <s v="yes"/>
    <s v=""/>
    <m/>
    <s v="102_306"/>
    <n v="75000"/>
    <m/>
    <n v="1"/>
    <n v="80000"/>
    <n v="-5000"/>
    <n v="5000"/>
    <n v="1"/>
    <x v="0"/>
  </r>
  <r>
    <n v="48"/>
    <n v="102"/>
    <x v="1"/>
    <s v="307"/>
    <n v="27.3"/>
    <n v="631"/>
    <s v="住居"/>
    <s v="1K"/>
    <n v="85000"/>
    <n v="7000"/>
    <n v="0"/>
    <n v="0"/>
    <n v="92000"/>
    <n v="92000"/>
    <n v="0"/>
    <n v="92000"/>
    <n v="92000"/>
    <s v="中華系"/>
    <s v="yes"/>
    <s v=""/>
    <m/>
    <s v="102_307"/>
    <n v="73000"/>
    <m/>
    <n v="1"/>
    <n v="92000"/>
    <n v="0"/>
    <n v="19000"/>
    <n v="1"/>
    <x v="0"/>
  </r>
  <r>
    <n v="49"/>
    <n v="102"/>
    <x v="1"/>
    <s v="308"/>
    <n v="22.98"/>
    <n v="631"/>
    <s v="住居"/>
    <s v="1K"/>
    <n v="67000"/>
    <n v="7000"/>
    <n v="0"/>
    <n v="0"/>
    <n v="74000"/>
    <n v="74000"/>
    <n v="0"/>
    <n v="74000"/>
    <n v="74000"/>
    <s v="中華系"/>
    <s v="yes"/>
    <s v=""/>
    <m/>
    <s v="102_308"/>
    <n v="73000"/>
    <m/>
    <n v="1"/>
    <n v="74000"/>
    <n v="0"/>
    <n v="1000"/>
    <n v="1"/>
    <x v="0"/>
  </r>
  <r>
    <n v="50"/>
    <n v="102"/>
    <x v="1"/>
    <s v="309"/>
    <n v="22.98"/>
    <n v="631"/>
    <s v="住居"/>
    <s v="1K"/>
    <n v="75000"/>
    <n v="7000"/>
    <n v="0"/>
    <n v="0"/>
    <n v="82000"/>
    <n v="85000"/>
    <n v="0"/>
    <n v="85000"/>
    <n v="82000"/>
    <s v="中華系"/>
    <s v="yes"/>
    <s v=""/>
    <m/>
    <s v="102_309"/>
    <n v="73000"/>
    <m/>
    <n v="1"/>
    <n v="82000"/>
    <n v="3000"/>
    <n v="9000"/>
    <n v="1"/>
    <x v="0"/>
  </r>
  <r>
    <n v="51"/>
    <n v="102"/>
    <x v="1"/>
    <s v="310"/>
    <n v="23.27"/>
    <n v="631"/>
    <s v="住居"/>
    <s v="1K"/>
    <n v="73000"/>
    <n v="7000"/>
    <n v="0"/>
    <n v="0"/>
    <n v="80000"/>
    <n v="89000"/>
    <n v="0"/>
    <n v="89000"/>
    <n v="80000"/>
    <s v="日本人等"/>
    <s v="yes"/>
    <s v=""/>
    <m/>
    <s v="102_310"/>
    <n v="74000"/>
    <m/>
    <n v="1"/>
    <n v="80000"/>
    <n v="9000"/>
    <n v="6000"/>
    <n v="1"/>
    <x v="0"/>
  </r>
  <r>
    <n v="52"/>
    <n v="102"/>
    <x v="1"/>
    <s v="311"/>
    <n v="20.92"/>
    <n v="631"/>
    <s v="住居"/>
    <s v="1K"/>
    <n v="61000"/>
    <n v="7000"/>
    <n v="0"/>
    <n v="0"/>
    <n v="68000"/>
    <n v="68000"/>
    <n v="0"/>
    <n v="68000"/>
    <n v="68000"/>
    <s v="日本人等"/>
    <s v="yes"/>
    <s v=""/>
    <m/>
    <s v="102_311"/>
    <n v="68000"/>
    <m/>
    <n v="1"/>
    <n v="68000"/>
    <n v="0"/>
    <n v="0"/>
    <n v="1"/>
    <x v="0"/>
  </r>
  <r>
    <n v="53"/>
    <n v="102"/>
    <x v="1"/>
    <s v="312"/>
    <n v="31.18"/>
    <n v="631"/>
    <s v="住居"/>
    <s v="1K"/>
    <n v="82000"/>
    <n v="7000"/>
    <n v="0"/>
    <n v="0"/>
    <n v="89000"/>
    <n v="89000"/>
    <n v="0"/>
    <n v="89000"/>
    <n v="89000"/>
    <s v="中華系"/>
    <s v="yes"/>
    <s v=""/>
    <m/>
    <s v="102_312"/>
    <n v="89000"/>
    <m/>
    <n v="1"/>
    <n v="89000"/>
    <n v="0"/>
    <n v="0"/>
    <n v="1"/>
    <x v="0"/>
  </r>
  <r>
    <n v="54"/>
    <n v="102"/>
    <x v="1"/>
    <s v="401"/>
    <n v="34.72"/>
    <n v="631"/>
    <s v="住居"/>
    <s v="1K"/>
    <n v="97000"/>
    <n v="7000"/>
    <n v="0"/>
    <n v="0"/>
    <n v="104000"/>
    <n v="104000"/>
    <n v="0"/>
    <n v="104000"/>
    <n v="104000"/>
    <s v="日本人等"/>
    <s v="yes"/>
    <s v=""/>
    <m/>
    <s v="102_401"/>
    <n v="97000"/>
    <m/>
    <n v="1"/>
    <n v="104000"/>
    <n v="0"/>
    <n v="7000"/>
    <n v="1"/>
    <x v="0"/>
  </r>
  <r>
    <n v="55"/>
    <n v="102"/>
    <x v="1"/>
    <s v="402"/>
    <n v="26.48"/>
    <n v="631"/>
    <s v="住居"/>
    <s v="1K"/>
    <n v="92000"/>
    <n v="7000"/>
    <n v="0"/>
    <n v="0"/>
    <n v="99000"/>
    <n v="99000"/>
    <n v="0"/>
    <n v="99000"/>
    <n v="99000"/>
    <s v="中華系"/>
    <s v="yes"/>
    <s v=""/>
    <m/>
    <s v="102_402"/>
    <n v="91000"/>
    <m/>
    <n v="1"/>
    <n v="99000"/>
    <n v="0"/>
    <n v="8000"/>
    <n v="1"/>
    <x v="0"/>
  </r>
  <r>
    <n v="56"/>
    <n v="102"/>
    <x v="1"/>
    <s v="403"/>
    <n v="42.38"/>
    <n v="631"/>
    <s v="住居"/>
    <s v="2DK"/>
    <n v="155000"/>
    <n v="7000"/>
    <n v="0"/>
    <n v="0"/>
    <n v="162000"/>
    <n v="159000"/>
    <n v="0"/>
    <n v="159000"/>
    <n v="162000"/>
    <s v="中華系"/>
    <s v="yes"/>
    <s v=""/>
    <m/>
    <s v="102_403"/>
    <n v="137000"/>
    <m/>
    <n v="1"/>
    <n v="162000"/>
    <n v="-3000"/>
    <n v="25000"/>
    <n v="1"/>
    <x v="0"/>
  </r>
  <r>
    <n v="57"/>
    <n v="102"/>
    <x v="1"/>
    <s v="405"/>
    <n v="51.25"/>
    <n v="631"/>
    <s v="住居"/>
    <s v="1LDK"/>
    <n v="110000"/>
    <n v="7000"/>
    <n v="0"/>
    <n v="0"/>
    <n v="117000"/>
    <n v="117000"/>
    <n v="0"/>
    <n v="117000"/>
    <n v="117000"/>
    <s v="日本人等"/>
    <s v="yes"/>
    <s v=""/>
    <m/>
    <s v="102_405"/>
    <n v="102000"/>
    <m/>
    <n v="1"/>
    <n v="117000"/>
    <n v="0"/>
    <n v="15000"/>
    <n v="1"/>
    <x v="0"/>
  </r>
  <r>
    <n v="58"/>
    <n v="102"/>
    <x v="1"/>
    <s v="406"/>
    <n v="51.25"/>
    <n v="631"/>
    <s v="住居"/>
    <s v="2DK"/>
    <n v="155000"/>
    <n v="7000"/>
    <n v="0"/>
    <n v="0"/>
    <n v="162000"/>
    <n v="167000"/>
    <n v="0"/>
    <n v="167000"/>
    <n v="162000"/>
    <s v="日本人等"/>
    <s v="yes"/>
    <s v=""/>
    <m/>
    <s v="102_406"/>
    <n v="147000"/>
    <m/>
    <n v="1"/>
    <n v="162000"/>
    <n v="5000"/>
    <n v="15000"/>
    <n v="1"/>
    <x v="0"/>
  </r>
  <r>
    <n v="59"/>
    <n v="102"/>
    <x v="1"/>
    <s v="407"/>
    <n v="49.79"/>
    <n v="631"/>
    <s v="住居"/>
    <s v="2DK"/>
    <n v="162000"/>
    <n v="7000"/>
    <n v="0"/>
    <n v="0"/>
    <n v="169000"/>
    <n v="169000"/>
    <n v="0"/>
    <n v="169000"/>
    <n v="169000"/>
    <s v="中華系"/>
    <s v="yes"/>
    <s v=""/>
    <m/>
    <s v="102_407"/>
    <n v="147000"/>
    <m/>
    <n v="1"/>
    <n v="169000"/>
    <n v="0"/>
    <n v="22000"/>
    <n v="1"/>
    <x v="0"/>
  </r>
  <r>
    <n v="60"/>
    <n v="102"/>
    <x v="1"/>
    <s v="P1"/>
    <n v="0"/>
    <n v="634"/>
    <s v="駐車場"/>
    <s v="駐車場"/>
    <n v="33000"/>
    <n v="0"/>
    <n v="0"/>
    <n v="3000"/>
    <n v="36000"/>
    <n v="30000"/>
    <n v="3000"/>
    <n v="33000"/>
    <n v="36000"/>
    <s v="日本人等"/>
    <s v="yes"/>
    <s v=""/>
    <m/>
    <s v="102_P1"/>
    <n v="30000"/>
    <m/>
    <n v="1"/>
    <n v="33000"/>
    <n v="-3000"/>
    <n v="3000"/>
    <n v="1"/>
    <x v="0"/>
  </r>
  <r>
    <n v="61"/>
    <n v="102"/>
    <x v="1"/>
    <s v="P2"/>
    <n v="0"/>
    <n v="634"/>
    <s v="駐車場"/>
    <s v="駐車場"/>
    <n v="33000"/>
    <n v="0"/>
    <n v="0"/>
    <n v="3000"/>
    <n v="36000"/>
    <n v="30000"/>
    <n v="3000"/>
    <n v="33000"/>
    <n v="36000"/>
    <s v="法人契約"/>
    <s v="yes"/>
    <s v=""/>
    <m/>
    <s v="102_P2"/>
    <n v="30000"/>
    <m/>
    <n v="1"/>
    <n v="33000"/>
    <n v="-3000"/>
    <n v="3000"/>
    <n v="1"/>
    <x v="0"/>
  </r>
  <r>
    <n v="62"/>
    <n v="102"/>
    <x v="1"/>
    <s v="CL1"/>
    <s v="-"/>
    <n v="639"/>
    <s v="その他"/>
    <s v="その他"/>
    <n v="0"/>
    <n v="0"/>
    <n v="0"/>
    <n v="0"/>
    <n v="0"/>
    <n v="0"/>
    <n v="0"/>
    <n v="0"/>
    <n v="0"/>
    <s v="-"/>
    <s v="no"/>
    <s v="コインランドリー"/>
    <m/>
    <s v="102_CL1"/>
    <n v="0"/>
    <m/>
    <n v="0"/>
    <n v="0"/>
    <n v="0"/>
    <n v="0"/>
    <n v="0"/>
    <x v="0"/>
  </r>
  <r>
    <n v="63"/>
    <n v="103"/>
    <x v="2"/>
    <s v="101"/>
    <n v="58.31"/>
    <n v="632"/>
    <s v="事務所"/>
    <s v="事務所"/>
    <n v="157408"/>
    <n v="0"/>
    <n v="0"/>
    <n v="15740"/>
    <n v="173148"/>
    <n v="157407"/>
    <n v="15740.727272727272"/>
    <n v="173147.72727272726"/>
    <n v="173148"/>
    <s v="法人契約"/>
    <s v="yes"/>
    <s v=""/>
    <m/>
    <s v="103_101"/>
    <n v="175000"/>
    <m/>
    <n v="1"/>
    <n v="157408"/>
    <n v="-1"/>
    <n v="-17592"/>
    <n v="1"/>
    <x v="0"/>
  </r>
  <r>
    <n v="64"/>
    <n v="103"/>
    <x v="2"/>
    <s v="102"/>
    <n v="57"/>
    <n v="632"/>
    <s v="事務所"/>
    <s v="事務所"/>
    <n v="172222"/>
    <n v="0"/>
    <n v="0"/>
    <n v="17222"/>
    <n v="189444"/>
    <n v="172221"/>
    <n v="17222.18181818182"/>
    <n v="189443.18181818182"/>
    <n v="189444"/>
    <s v="日本人等"/>
    <s v="yes"/>
    <s v=""/>
    <m/>
    <s v="103_102"/>
    <n v="350000"/>
    <m/>
    <n v="1"/>
    <n v="172222"/>
    <n v="-1"/>
    <n v="-177778"/>
    <n v="1"/>
    <x v="0"/>
  </r>
  <r>
    <n v="65"/>
    <n v="103"/>
    <x v="2"/>
    <s v="103"/>
    <n v="56.89"/>
    <n v="632"/>
    <s v="事務所"/>
    <s v="事務所"/>
    <n v="170000"/>
    <n v="0"/>
    <n v="0"/>
    <n v="17000"/>
    <n v="187000"/>
    <n v="170000"/>
    <n v="17000"/>
    <n v="187000"/>
    <n v="187000"/>
    <s v="法人契約"/>
    <s v="yes"/>
    <s v=""/>
    <m/>
    <s v="103_103"/>
    <n v="170000"/>
    <m/>
    <n v="1"/>
    <n v="170000"/>
    <n v="0"/>
    <n v="0"/>
    <n v="1"/>
    <x v="0"/>
  </r>
  <r>
    <n v="66"/>
    <n v="103"/>
    <x v="2"/>
    <s v="201"/>
    <n v="51.3"/>
    <n v="633"/>
    <s v="店舗"/>
    <s v="事務所"/>
    <n v="180000"/>
    <n v="0"/>
    <n v="0"/>
    <n v="18000"/>
    <n v="198000"/>
    <n v="180000"/>
    <n v="18000"/>
    <n v="198000"/>
    <n v="198000"/>
    <s v="法人契約"/>
    <s v="yes"/>
    <s v=""/>
    <m/>
    <s v="103_201"/>
    <n v="180000"/>
    <m/>
    <n v="1"/>
    <n v="180000"/>
    <n v="0"/>
    <n v="0"/>
    <n v="1"/>
    <x v="0"/>
  </r>
  <r>
    <n v="67"/>
    <n v="103"/>
    <x v="2"/>
    <s v="202"/>
    <n v="50"/>
    <n v="633"/>
    <s v="店舗"/>
    <s v="事務所"/>
    <n v="150000"/>
    <n v="0"/>
    <n v="0"/>
    <n v="15000"/>
    <n v="165000"/>
    <n v="150000"/>
    <n v="15000"/>
    <n v="165000"/>
    <n v="165000"/>
    <s v="法人契約"/>
    <s v="yes"/>
    <s v=""/>
    <m/>
    <s v="103_202"/>
    <n v="150000"/>
    <m/>
    <n v="1"/>
    <n v="150000"/>
    <n v="0"/>
    <n v="0"/>
    <n v="1"/>
    <x v="0"/>
  </r>
  <r>
    <n v="68"/>
    <n v="103"/>
    <x v="2"/>
    <s v="203"/>
    <n v="26.4"/>
    <n v="632"/>
    <s v="事務所"/>
    <s v="事務所"/>
    <n v="85715"/>
    <n v="0"/>
    <n v="0"/>
    <n v="8571"/>
    <n v="94286"/>
    <n v="85715"/>
    <n v="8571.545454545454"/>
    <n v="94286.545454545456"/>
    <n v="94286"/>
    <s v="法人契約"/>
    <s v="yes"/>
    <s v=""/>
    <m/>
    <s v="103_203"/>
    <n v="85715"/>
    <m/>
    <n v="1"/>
    <n v="85715"/>
    <n v="0"/>
    <n v="0"/>
    <n v="1"/>
    <x v="0"/>
  </r>
  <r>
    <n v="69"/>
    <n v="103"/>
    <x v="2"/>
    <s v="301"/>
    <n v="51.3"/>
    <n v="631"/>
    <s v="住居"/>
    <s v="2LDK"/>
    <n v="218000"/>
    <n v="0"/>
    <n v="0"/>
    <n v="0"/>
    <n v="218000"/>
    <n v="218000"/>
    <n v="0"/>
    <n v="218000"/>
    <n v="218000"/>
    <s v="日本人等"/>
    <s v="yes"/>
    <s v=""/>
    <m/>
    <s v="103_301"/>
    <n v="165000"/>
    <m/>
    <n v="1"/>
    <n v="218000"/>
    <n v="0"/>
    <n v="53000"/>
    <n v="1"/>
    <x v="0"/>
  </r>
  <r>
    <n v="70"/>
    <n v="103"/>
    <x v="2"/>
    <s v="302"/>
    <n v="52.02"/>
    <n v="631"/>
    <s v="住居"/>
    <s v="2DK"/>
    <n v="208000"/>
    <n v="0"/>
    <n v="0"/>
    <n v="0"/>
    <n v="208000"/>
    <n v="208000"/>
    <n v="0"/>
    <n v="208000"/>
    <n v="208000"/>
    <s v="住居法人契約"/>
    <s v="yes"/>
    <s v=""/>
    <m/>
    <s v="103_302"/>
    <n v="165000"/>
    <m/>
    <n v="1"/>
    <n v="208000"/>
    <n v="0"/>
    <n v="43000"/>
    <n v="1"/>
    <x v="0"/>
  </r>
  <r>
    <n v="71"/>
    <n v="103"/>
    <x v="2"/>
    <s v="303"/>
    <n v="71.069999999999993"/>
    <n v="631"/>
    <s v="住居"/>
    <s v="2LDK"/>
    <n v="220000"/>
    <n v="0"/>
    <n v="0"/>
    <n v="0"/>
    <n v="220000"/>
    <n v="220000"/>
    <n v="0"/>
    <n v="220000"/>
    <n v="220000"/>
    <s v="住居法人契約"/>
    <s v="yes"/>
    <s v=""/>
    <m/>
    <s v="103_303"/>
    <n v="188000"/>
    <m/>
    <n v="1"/>
    <n v="220000"/>
    <n v="0"/>
    <n v="32000"/>
    <n v="1"/>
    <x v="0"/>
  </r>
  <r>
    <n v="72"/>
    <n v="103"/>
    <x v="2"/>
    <s v="401"/>
    <n v="51.3"/>
    <n v="631"/>
    <s v="住居"/>
    <s v="2LDK"/>
    <n v="198000"/>
    <n v="10000"/>
    <n v="0"/>
    <n v="0"/>
    <n v="208000"/>
    <n v="198000"/>
    <n v="0"/>
    <n v="198000"/>
    <n v="208000"/>
    <s v="日本人等"/>
    <s v="yes"/>
    <s v=""/>
    <m/>
    <s v="103_401"/>
    <n v="180000"/>
    <m/>
    <n v="1"/>
    <n v="208000"/>
    <n v="-10000"/>
    <n v="28000"/>
    <n v="1"/>
    <x v="0"/>
  </r>
  <r>
    <n v="73"/>
    <n v="103"/>
    <x v="2"/>
    <s v="402"/>
    <n v="52.02"/>
    <n v="631"/>
    <s v="住居"/>
    <s v="2LDK"/>
    <n v="198000"/>
    <n v="0"/>
    <n v="0"/>
    <n v="0"/>
    <n v="198000"/>
    <n v="198000"/>
    <n v="0"/>
    <n v="198000"/>
    <n v="198000"/>
    <s v="日本人等"/>
    <s v="yes"/>
    <s v=""/>
    <m/>
    <s v="103_402"/>
    <n v="170000"/>
    <m/>
    <n v="1"/>
    <n v="198000"/>
    <n v="0"/>
    <n v="28000"/>
    <n v="1"/>
    <x v="0"/>
  </r>
  <r>
    <n v="74"/>
    <n v="103"/>
    <x v="2"/>
    <s v="403"/>
    <n v="41.32"/>
    <n v="631"/>
    <s v="住居"/>
    <s v="2DK"/>
    <n v="140000"/>
    <n v="0"/>
    <n v="0"/>
    <n v="0"/>
    <n v="140000"/>
    <n v="130000"/>
    <n v="0"/>
    <n v="130000"/>
    <n v="140000"/>
    <s v="日本人等"/>
    <s v="yes"/>
    <s v=""/>
    <m/>
    <s v="103_403"/>
    <n v="130000"/>
    <m/>
    <n v="1"/>
    <n v="140000"/>
    <n v="-10000"/>
    <n v="10000"/>
    <n v="1"/>
    <x v="0"/>
  </r>
  <r>
    <n v="75"/>
    <n v="103"/>
    <x v="2"/>
    <s v="501"/>
    <n v="48.35"/>
    <n v="631"/>
    <s v="住居"/>
    <s v="2LDK"/>
    <n v="208000"/>
    <n v="10000"/>
    <n v="0"/>
    <n v="0"/>
    <n v="218000"/>
    <n v="218000"/>
    <n v="0"/>
    <n v="218000"/>
    <n v="218000"/>
    <s v="住居法人契約"/>
    <s v="yes"/>
    <s v=""/>
    <m/>
    <s v="103_501"/>
    <n v="220000"/>
    <m/>
    <n v="1"/>
    <n v="218000"/>
    <n v="0"/>
    <n v="-2000"/>
    <n v="1"/>
    <x v="0"/>
  </r>
  <r>
    <n v="76"/>
    <n v="103"/>
    <x v="2"/>
    <s v="502"/>
    <n v="50.76"/>
    <n v="631"/>
    <s v="住居"/>
    <s v="1LDK"/>
    <n v="188000"/>
    <n v="10000"/>
    <n v="0"/>
    <n v="0"/>
    <n v="198000"/>
    <n v="198000"/>
    <n v="0"/>
    <n v="198000"/>
    <n v="198000"/>
    <s v="日本人等"/>
    <s v="yes"/>
    <s v=""/>
    <m/>
    <s v="103_502"/>
    <n v="180000"/>
    <m/>
    <n v="1"/>
    <n v="198000"/>
    <n v="0"/>
    <n v="18000"/>
    <n v="1"/>
    <x v="0"/>
  </r>
  <r>
    <n v="77"/>
    <n v="103"/>
    <x v="2"/>
    <s v="503"/>
    <n v="96.95"/>
    <n v="631"/>
    <s v="住居"/>
    <s v="2LDK"/>
    <n v="305800"/>
    <n v="0"/>
    <n v="0"/>
    <n v="0"/>
    <n v="305800"/>
    <n v="305800"/>
    <n v="0"/>
    <n v="305800"/>
    <n v="305800"/>
    <s v="住居法人契約"/>
    <s v="yes"/>
    <s v=""/>
    <m/>
    <s v="103_503"/>
    <n v="270000"/>
    <m/>
    <n v="1"/>
    <n v="305800"/>
    <n v="0"/>
    <n v="35800"/>
    <n v="1"/>
    <x v="0"/>
  </r>
  <r>
    <n v="78"/>
    <n v="103"/>
    <x v="2"/>
    <s v="P2"/>
    <n v="0"/>
    <n v="634"/>
    <s v="駐車場"/>
    <s v="駐車場"/>
    <n v="40000"/>
    <n v="0"/>
    <n v="0"/>
    <n v="4000"/>
    <n v="44000"/>
    <n v="40000"/>
    <n v="4000"/>
    <n v="44000"/>
    <n v="44000"/>
    <s v="法人契約"/>
    <s v="yes"/>
    <s v=""/>
    <m/>
    <s v="103_P2"/>
    <n v="40000"/>
    <m/>
    <n v="1"/>
    <n v="40000"/>
    <n v="0"/>
    <n v="0"/>
    <n v="1"/>
    <x v="0"/>
  </r>
  <r>
    <n v="79"/>
    <n v="103"/>
    <x v="2"/>
    <s v="P3"/>
    <n v="0"/>
    <n v="634"/>
    <s v="駐車場"/>
    <s v="駐車場"/>
    <n v="35000"/>
    <n v="0"/>
    <n v="0"/>
    <n v="3500"/>
    <n v="38500"/>
    <n v="40000"/>
    <n v="4000"/>
    <n v="44000"/>
    <n v="38500"/>
    <s v="法人契約"/>
    <s v="yes"/>
    <s v=""/>
    <m/>
    <s v="103_P3"/>
    <n v="40000"/>
    <m/>
    <n v="1"/>
    <n v="35000"/>
    <n v="5000"/>
    <n v="-5000"/>
    <n v="1"/>
    <x v="0"/>
  </r>
  <r>
    <n v="80"/>
    <n v="103"/>
    <x v="2"/>
    <s v="P5"/>
    <n v="0"/>
    <n v="634"/>
    <s v="駐車場"/>
    <s v="駐車場"/>
    <n v="40000"/>
    <n v="0"/>
    <n v="0"/>
    <n v="4000"/>
    <n v="44000"/>
    <n v="40000"/>
    <n v="4000"/>
    <n v="44000"/>
    <n v="44000"/>
    <s v="日本人等"/>
    <s v="yes"/>
    <s v=""/>
    <m/>
    <s v="103_P5"/>
    <n v="40000"/>
    <m/>
    <n v="1"/>
    <n v="40000"/>
    <n v="0"/>
    <n v="0"/>
    <n v="1"/>
    <x v="0"/>
  </r>
  <r>
    <n v="81"/>
    <n v="104"/>
    <x v="3"/>
    <s v="101"/>
    <n v="39.6"/>
    <n v="633"/>
    <s v="店舗"/>
    <s v="店舗"/>
    <n v="154000"/>
    <n v="0"/>
    <n v="0"/>
    <n v="15400"/>
    <n v="169400"/>
    <n v="154000"/>
    <n v="15400"/>
    <n v="169400"/>
    <n v="169400"/>
    <s v="日本人等"/>
    <s v="yes"/>
    <s v=""/>
    <m/>
    <s v="104_101"/>
    <n v="145000"/>
    <m/>
    <n v="1"/>
    <n v="154000"/>
    <n v="0"/>
    <n v="9000"/>
    <n v="1"/>
    <x v="0"/>
  </r>
  <r>
    <n v="82"/>
    <n v="104"/>
    <x v="3"/>
    <s v="102"/>
    <n v="31.92"/>
    <n v="632"/>
    <s v="事務所"/>
    <s v="事務所"/>
    <n v="120000"/>
    <n v="0"/>
    <n v="0"/>
    <n v="12000"/>
    <n v="132000"/>
    <n v="120000"/>
    <n v="12000"/>
    <n v="132000"/>
    <n v="132000"/>
    <s v="住居法人契約"/>
    <s v="yes"/>
    <s v=""/>
    <m/>
    <s v="104_102"/>
    <n v="80000"/>
    <m/>
    <n v="1"/>
    <n v="120000"/>
    <n v="0"/>
    <n v="40000"/>
    <n v="1"/>
    <x v="0"/>
  </r>
  <r>
    <n v="83"/>
    <n v="104"/>
    <x v="3"/>
    <s v="201"/>
    <n v="19.8"/>
    <n v="631"/>
    <s v="住居"/>
    <s v="1R"/>
    <n v="70000"/>
    <n v="0"/>
    <n v="0"/>
    <n v="7000"/>
    <n v="77000"/>
    <n v="77000"/>
    <n v="0"/>
    <n v="77000"/>
    <n v="77000"/>
    <s v="住居法人契約"/>
    <s v="yes"/>
    <s v=""/>
    <m/>
    <s v="104_201"/>
    <n v="65000"/>
    <m/>
    <n v="1"/>
    <n v="70000"/>
    <n v="7000"/>
    <n v="5000"/>
    <n v="1"/>
    <x v="0"/>
  </r>
  <r>
    <n v="84"/>
    <n v="104"/>
    <x v="3"/>
    <s v="202"/>
    <n v="19.8"/>
    <n v="631"/>
    <s v="住居"/>
    <s v="1R"/>
    <n v="73000"/>
    <n v="0"/>
    <n v="0"/>
    <n v="0"/>
    <n v="73000"/>
    <n v="73000"/>
    <n v="0"/>
    <n v="73000"/>
    <n v="73000"/>
    <s v="日本人等"/>
    <s v="yes"/>
    <s v=""/>
    <m/>
    <s v="104_202"/>
    <n v="63000"/>
    <m/>
    <n v="1"/>
    <n v="73000"/>
    <n v="0"/>
    <n v="10000"/>
    <n v="1"/>
    <x v="0"/>
  </r>
  <r>
    <n v="85"/>
    <n v="104"/>
    <x v="3"/>
    <s v="203"/>
    <n v="19.8"/>
    <n v="631"/>
    <s v="住居"/>
    <s v="1R"/>
    <n v="75000"/>
    <n v="0"/>
    <n v="0"/>
    <n v="0"/>
    <n v="75000"/>
    <n v="75000"/>
    <n v="0"/>
    <n v="75000"/>
    <n v="75000"/>
    <s v="日本人等"/>
    <s v="yes"/>
    <s v=""/>
    <m/>
    <s v="104_203"/>
    <n v="70000"/>
    <m/>
    <n v="1"/>
    <n v="75000"/>
    <n v="0"/>
    <n v="5000"/>
    <n v="1"/>
    <x v="0"/>
  </r>
  <r>
    <n v="86"/>
    <n v="104"/>
    <x v="3"/>
    <s v="301"/>
    <n v="16.8"/>
    <n v="631"/>
    <s v="住居"/>
    <s v="1R"/>
    <n v="70000"/>
    <n v="0"/>
    <n v="0"/>
    <n v="0"/>
    <n v="70000"/>
    <n v="70000"/>
    <n v="0"/>
    <n v="70000"/>
    <n v="70000"/>
    <s v="住居法人契約"/>
    <s v="yes"/>
    <s v=""/>
    <m/>
    <s v="104_301"/>
    <n v="62000"/>
    <m/>
    <n v="1"/>
    <n v="70000"/>
    <n v="0"/>
    <n v="8000"/>
    <n v="1"/>
    <x v="0"/>
  </r>
  <r>
    <n v="87"/>
    <n v="104"/>
    <x v="3"/>
    <s v="302"/>
    <n v="16.8"/>
    <n v="631"/>
    <s v="住居"/>
    <s v="1R"/>
    <n v="0"/>
    <n v="0"/>
    <n v="0"/>
    <n v="0"/>
    <n v="0"/>
    <n v="88000"/>
    <n v="0"/>
    <n v="88000"/>
    <n v="88000"/>
    <s v="-"/>
    <s v="yes"/>
    <s v="一時的な空室"/>
    <m/>
    <s v="104_302"/>
    <n v="63000"/>
    <m/>
    <n v="0"/>
    <n v="88000"/>
    <n v="0"/>
    <n v="25000"/>
    <n v="1"/>
    <x v="0"/>
  </r>
  <r>
    <n v="88"/>
    <n v="104"/>
    <x v="3"/>
    <s v="303"/>
    <n v="16.8"/>
    <n v="631"/>
    <s v="住居"/>
    <s v="1R"/>
    <n v="72000"/>
    <n v="0"/>
    <n v="0"/>
    <n v="0"/>
    <n v="72000"/>
    <n v="72000"/>
    <n v="0"/>
    <n v="72000"/>
    <n v="72000"/>
    <s v="日本人等"/>
    <s v="yes"/>
    <s v=""/>
    <m/>
    <s v="104_303"/>
    <n v="72000"/>
    <m/>
    <n v="1"/>
    <n v="72000"/>
    <n v="0"/>
    <n v="0"/>
    <n v="1"/>
    <x v="0"/>
  </r>
  <r>
    <n v="89"/>
    <n v="105"/>
    <x v="4"/>
    <s v="101"/>
    <n v="46.12"/>
    <n v="631"/>
    <s v="住居"/>
    <s v="3DK"/>
    <n v="135000"/>
    <n v="4000"/>
    <n v="0"/>
    <n v="0"/>
    <n v="139000"/>
    <n v="139000"/>
    <n v="0"/>
    <n v="139000"/>
    <n v="139000"/>
    <s v="その他新興国"/>
    <s v="yes"/>
    <s v=""/>
    <m/>
    <s v="105_101"/>
    <n v="139000"/>
    <m/>
    <n v="1"/>
    <n v="139000"/>
    <n v="0"/>
    <n v="0"/>
    <n v="1"/>
    <x v="0"/>
  </r>
  <r>
    <n v="90"/>
    <n v="105"/>
    <x v="4"/>
    <s v="102"/>
    <n v="37.799999999999997"/>
    <n v="631"/>
    <s v="住居"/>
    <s v="1K"/>
    <n v="100000"/>
    <n v="3000"/>
    <n v="186"/>
    <n v="18"/>
    <n v="103204"/>
    <n v="103204"/>
    <n v="0"/>
    <n v="103204"/>
    <n v="103204"/>
    <s v="日本人等"/>
    <s v="yes"/>
    <s v=""/>
    <m/>
    <s v="105_102"/>
    <n v="103000"/>
    <m/>
    <n v="1"/>
    <n v="103186"/>
    <n v="18"/>
    <n v="186"/>
    <n v="1"/>
    <x v="0"/>
  </r>
  <r>
    <n v="91"/>
    <n v="105"/>
    <x v="4"/>
    <s v="201"/>
    <n v="28.62"/>
    <n v="631"/>
    <s v="住居"/>
    <s v="2DK"/>
    <n v="103000"/>
    <n v="5000"/>
    <n v="0"/>
    <n v="0"/>
    <n v="108000"/>
    <n v="113000"/>
    <n v="0"/>
    <n v="113000"/>
    <n v="108000"/>
    <s v="その他新興国"/>
    <s v="yes"/>
    <s v=""/>
    <m/>
    <s v="105_201"/>
    <n v="90200"/>
    <m/>
    <n v="1"/>
    <n v="108000"/>
    <n v="5000"/>
    <n v="17800"/>
    <n v="1"/>
    <x v="0"/>
  </r>
  <r>
    <n v="92"/>
    <n v="105"/>
    <x v="4"/>
    <s v="202"/>
    <n v="28.62"/>
    <n v="631"/>
    <s v="住居"/>
    <s v="2DK"/>
    <n v="0"/>
    <n v="0"/>
    <n v="0"/>
    <n v="0"/>
    <n v="0"/>
    <n v="105000"/>
    <n v="0"/>
    <n v="105000"/>
    <n v="105000"/>
    <s v="-"/>
    <s v="yes"/>
    <s v="一時的な空室"/>
    <m/>
    <s v="105_202"/>
    <n v="88000"/>
    <m/>
    <n v="0"/>
    <n v="105000"/>
    <n v="0"/>
    <n v="17000"/>
    <n v="1"/>
    <x v="0"/>
  </r>
  <r>
    <n v="93"/>
    <n v="105"/>
    <x v="4"/>
    <s v="203"/>
    <n v="33.39"/>
    <n v="631"/>
    <s v="住居"/>
    <s v="2DK"/>
    <n v="0"/>
    <n v="0"/>
    <n v="0"/>
    <n v="0"/>
    <n v="0"/>
    <n v="99204"/>
    <n v="0"/>
    <n v="99204"/>
    <n v="99204"/>
    <s v="-"/>
    <s v="yes"/>
    <s v="一時的な空室"/>
    <m/>
    <s v="105_203"/>
    <n v="99000"/>
    <m/>
    <n v="0"/>
    <n v="99204"/>
    <n v="0"/>
    <n v="204"/>
    <n v="1"/>
    <x v="0"/>
  </r>
  <r>
    <n v="94"/>
    <n v="105"/>
    <x v="4"/>
    <s v="204"/>
    <n v="37.049999999999997"/>
    <n v="631"/>
    <s v="住居"/>
    <s v="2DK"/>
    <n v="100000"/>
    <n v="0"/>
    <n v="926"/>
    <n v="92"/>
    <n v="101018"/>
    <n v="101018"/>
    <n v="0"/>
    <n v="101018"/>
    <n v="101018"/>
    <s v="日本人等"/>
    <s v="yes"/>
    <s v=""/>
    <m/>
    <s v="105_204"/>
    <n v="120400"/>
    <m/>
    <n v="1"/>
    <n v="100926"/>
    <n v="92"/>
    <n v="-19474"/>
    <n v="1"/>
    <x v="0"/>
  </r>
  <r>
    <n v="95"/>
    <n v="105"/>
    <x v="4"/>
    <s v="301"/>
    <n v="28.62"/>
    <n v="631"/>
    <s v="住居"/>
    <s v="2DK"/>
    <n v="105000"/>
    <n v="5000"/>
    <n v="0"/>
    <n v="0"/>
    <n v="110000"/>
    <n v="110000"/>
    <n v="0"/>
    <n v="110000"/>
    <n v="110000"/>
    <s v="中華系"/>
    <s v="yes"/>
    <s v=""/>
    <m/>
    <s v="105_301"/>
    <n v="98000"/>
    <m/>
    <n v="1"/>
    <n v="110000"/>
    <n v="0"/>
    <n v="12000"/>
    <n v="1"/>
    <x v="0"/>
  </r>
  <r>
    <n v="96"/>
    <n v="105"/>
    <x v="4"/>
    <s v="302"/>
    <n v="28.62"/>
    <n v="631"/>
    <s v="住居"/>
    <s v="2DK"/>
    <n v="100000"/>
    <n v="0"/>
    <n v="0"/>
    <n v="0"/>
    <n v="100000"/>
    <n v="100000"/>
    <n v="0"/>
    <n v="100000"/>
    <n v="100000"/>
    <s v="日本人等"/>
    <s v="yes"/>
    <s v=""/>
    <m/>
    <s v="105_302"/>
    <n v="100000"/>
    <m/>
    <n v="1"/>
    <n v="100000"/>
    <n v="0"/>
    <n v="0"/>
    <n v="1"/>
    <x v="0"/>
  </r>
  <r>
    <n v="97"/>
    <n v="105"/>
    <x v="4"/>
    <s v="303"/>
    <n v="33.39"/>
    <n v="631"/>
    <s v="住居"/>
    <s v="2DK"/>
    <n v="120000"/>
    <n v="5000"/>
    <n v="0"/>
    <n v="0"/>
    <n v="125000"/>
    <n v="125000"/>
    <n v="0"/>
    <n v="125000"/>
    <n v="125000"/>
    <s v="中華系"/>
    <s v="yes"/>
    <s v=""/>
    <m/>
    <s v="105_303"/>
    <n v="100000"/>
    <m/>
    <n v="1"/>
    <n v="125000"/>
    <n v="0"/>
    <n v="25000"/>
    <n v="1"/>
    <x v="0"/>
  </r>
  <r>
    <n v="98"/>
    <n v="105"/>
    <x v="4"/>
    <s v="304"/>
    <n v="37.049999999999997"/>
    <n v="631"/>
    <s v="住居"/>
    <s v="2DK"/>
    <n v="100000"/>
    <n v="0"/>
    <n v="1112"/>
    <n v="111"/>
    <n v="101223"/>
    <n v="91223"/>
    <n v="0"/>
    <n v="91223"/>
    <n v="101223"/>
    <s v="日本人等"/>
    <s v="yes"/>
    <s v=""/>
    <m/>
    <s v="105_304"/>
    <n v="100000"/>
    <m/>
    <n v="1"/>
    <n v="101112"/>
    <n v="-9889"/>
    <n v="1112"/>
    <n v="1"/>
    <x v="0"/>
  </r>
  <r>
    <n v="99"/>
    <n v="105"/>
    <x v="4"/>
    <s v="401"/>
    <n v="28.62"/>
    <n v="631"/>
    <s v="住居"/>
    <s v="2DK"/>
    <n v="93000"/>
    <n v="3000"/>
    <n v="371"/>
    <n v="37"/>
    <n v="96408"/>
    <n v="96408"/>
    <n v="0"/>
    <n v="96408"/>
    <n v="96408"/>
    <s v="日本人等"/>
    <s v="yes"/>
    <s v=""/>
    <m/>
    <s v="105_401"/>
    <n v="96000"/>
    <m/>
    <n v="1"/>
    <n v="96371"/>
    <n v="37"/>
    <n v="371"/>
    <n v="1"/>
    <x v="0"/>
  </r>
  <r>
    <n v="100"/>
    <n v="105"/>
    <x v="4"/>
    <s v="402"/>
    <n v="28.62"/>
    <n v="631"/>
    <s v="住居"/>
    <s v="2DK"/>
    <n v="90000"/>
    <n v="0"/>
    <n v="0"/>
    <n v="0"/>
    <n v="90000"/>
    <n v="90000"/>
    <n v="0"/>
    <n v="90000"/>
    <n v="90000"/>
    <s v="日本人等"/>
    <s v="yes"/>
    <s v=""/>
    <m/>
    <s v="105_402"/>
    <n v="90000"/>
    <m/>
    <n v="1"/>
    <n v="90000"/>
    <n v="0"/>
    <n v="0"/>
    <n v="1"/>
    <x v="0"/>
  </r>
  <r>
    <n v="101"/>
    <n v="105"/>
    <x v="4"/>
    <s v="403"/>
    <n v="33.39"/>
    <n v="631"/>
    <s v="住居"/>
    <s v="2DK"/>
    <n v="105000"/>
    <n v="5000"/>
    <n v="0"/>
    <n v="0"/>
    <n v="110000"/>
    <n v="130000"/>
    <n v="0"/>
    <n v="130000"/>
    <n v="110000"/>
    <s v="日本人等"/>
    <s v="yes"/>
    <s v=""/>
    <m/>
    <s v="105_403"/>
    <n v="98400"/>
    <m/>
    <n v="1"/>
    <n v="110000"/>
    <n v="20000"/>
    <n v="11600"/>
    <n v="1"/>
    <x v="0"/>
  </r>
  <r>
    <n v="102"/>
    <n v="105"/>
    <x v="4"/>
    <s v="404"/>
    <n v="37.049999999999997"/>
    <n v="631"/>
    <s v="住居"/>
    <s v="2DK"/>
    <n v="125000"/>
    <n v="4000"/>
    <n v="0"/>
    <n v="0"/>
    <n v="129000"/>
    <n v="129000"/>
    <n v="0"/>
    <n v="129000"/>
    <n v="129000"/>
    <s v="中華系"/>
    <s v="yes"/>
    <s v=""/>
    <m/>
    <s v="105_404"/>
    <n v="119400"/>
    <m/>
    <n v="1"/>
    <n v="129000"/>
    <n v="0"/>
    <n v="9600"/>
    <n v="1"/>
    <x v="0"/>
  </r>
  <r>
    <n v="103"/>
    <n v="105"/>
    <x v="4"/>
    <s v="501"/>
    <n v="28.62"/>
    <n v="631"/>
    <s v="住居"/>
    <s v="2DK"/>
    <n v="107000"/>
    <n v="3000"/>
    <n v="0"/>
    <n v="0"/>
    <n v="110000"/>
    <n v="110000"/>
    <n v="0"/>
    <n v="110000"/>
    <n v="110000"/>
    <s v="日本人等"/>
    <s v="yes"/>
    <s v=""/>
    <m/>
    <s v="105_501"/>
    <n v="97000"/>
    <m/>
    <n v="1"/>
    <n v="110000"/>
    <n v="0"/>
    <n v="13000"/>
    <n v="1"/>
    <x v="0"/>
  </r>
  <r>
    <n v="104"/>
    <n v="105"/>
    <x v="4"/>
    <s v="502"/>
    <n v="28.62"/>
    <n v="631"/>
    <s v="住居"/>
    <s v="2DK"/>
    <n v="102000"/>
    <n v="3000"/>
    <n v="0"/>
    <n v="0"/>
    <n v="105000"/>
    <n v="105000"/>
    <n v="0"/>
    <n v="105000"/>
    <n v="105000"/>
    <s v="中華系"/>
    <s v="yes"/>
    <s v=""/>
    <m/>
    <s v="105_502"/>
    <n v="94000"/>
    <m/>
    <n v="1"/>
    <n v="105000"/>
    <n v="0"/>
    <n v="11000"/>
    <n v="1"/>
    <x v="0"/>
  </r>
  <r>
    <n v="105"/>
    <n v="105"/>
    <x v="4"/>
    <s v="503"/>
    <n v="33.39"/>
    <n v="631"/>
    <s v="住居"/>
    <s v="2DK"/>
    <n v="103000"/>
    <n v="0"/>
    <n v="186"/>
    <n v="18"/>
    <n v="103204"/>
    <n v="103204"/>
    <n v="0"/>
    <n v="103204"/>
    <n v="103204"/>
    <s v="日本人等"/>
    <s v="yes"/>
    <s v=""/>
    <m/>
    <s v="105_503"/>
    <n v="100200"/>
    <m/>
    <n v="1"/>
    <n v="103186"/>
    <n v="18"/>
    <n v="2986"/>
    <n v="1"/>
    <x v="0"/>
  </r>
  <r>
    <n v="106"/>
    <n v="105"/>
    <x v="4"/>
    <s v="504"/>
    <n v="37.049999999999997"/>
    <n v="631"/>
    <s v="住居"/>
    <s v="2DK"/>
    <n v="130000"/>
    <n v="5000"/>
    <n v="0"/>
    <n v="0"/>
    <n v="135000"/>
    <n v="135220"/>
    <n v="0"/>
    <n v="135220"/>
    <n v="135000"/>
    <s v="中華系"/>
    <s v="yes"/>
    <s v=""/>
    <m/>
    <s v="105_504"/>
    <n v="95200"/>
    <m/>
    <n v="1"/>
    <n v="135000"/>
    <n v="220"/>
    <n v="39800"/>
    <n v="1"/>
    <x v="0"/>
  </r>
  <r>
    <n v="107"/>
    <n v="105"/>
    <x v="4"/>
    <s v="601"/>
    <n v="28.62"/>
    <n v="631"/>
    <s v="住居"/>
    <s v="2DK"/>
    <n v="110000"/>
    <n v="5000"/>
    <n v="0"/>
    <n v="0"/>
    <n v="115000"/>
    <n v="115000"/>
    <n v="0"/>
    <n v="115000"/>
    <n v="115000"/>
    <s v="中華系"/>
    <s v="yes"/>
    <s v=""/>
    <m/>
    <s v="105_601"/>
    <n v="105000"/>
    <m/>
    <n v="1"/>
    <n v="115000"/>
    <n v="0"/>
    <n v="10000"/>
    <n v="1"/>
    <x v="0"/>
  </r>
  <r>
    <n v="108"/>
    <n v="105"/>
    <x v="4"/>
    <s v="602"/>
    <n v="28.62"/>
    <n v="631"/>
    <s v="住居"/>
    <s v="2DK"/>
    <n v="92000"/>
    <n v="3000"/>
    <n v="0"/>
    <n v="0"/>
    <n v="95000"/>
    <n v="95000"/>
    <n v="0"/>
    <n v="95000"/>
    <n v="95000"/>
    <s v="日本人等"/>
    <s v="yes"/>
    <s v=""/>
    <m/>
    <s v="105_602"/>
    <n v="95000"/>
    <m/>
    <n v="1"/>
    <n v="95000"/>
    <n v="0"/>
    <n v="0"/>
    <n v="1"/>
    <x v="0"/>
  </r>
  <r>
    <n v="109"/>
    <n v="105"/>
    <x v="4"/>
    <s v="603"/>
    <n v="33.39"/>
    <n v="631"/>
    <s v="住居"/>
    <s v="2DK"/>
    <n v="100000"/>
    <n v="0"/>
    <n v="186"/>
    <n v="18"/>
    <n v="100204"/>
    <n v="100408"/>
    <n v="0"/>
    <n v="100408"/>
    <n v="100204"/>
    <s v="日本人等"/>
    <s v="yes"/>
    <s v=""/>
    <m/>
    <s v="105_603"/>
    <n v="100000"/>
    <m/>
    <n v="1"/>
    <n v="100186"/>
    <n v="222"/>
    <n v="186"/>
    <n v="1"/>
    <x v="0"/>
  </r>
  <r>
    <n v="110"/>
    <n v="105"/>
    <x v="4"/>
    <s v="701"/>
    <n v="23.86"/>
    <n v="631"/>
    <s v="住居"/>
    <s v="1K"/>
    <n v="79000"/>
    <n v="3000"/>
    <n v="0"/>
    <n v="0"/>
    <n v="82000"/>
    <n v="89000"/>
    <n v="0"/>
    <n v="89000"/>
    <n v="82000"/>
    <s v="日本人等"/>
    <s v="yes"/>
    <s v=""/>
    <m/>
    <s v="105_701"/>
    <n v="75000"/>
    <m/>
    <n v="1"/>
    <n v="82000"/>
    <n v="7000"/>
    <n v="7000"/>
    <n v="1"/>
    <x v="0"/>
  </r>
  <r>
    <n v="111"/>
    <n v="105"/>
    <x v="4"/>
    <s v="702"/>
    <n v="28.62"/>
    <n v="631"/>
    <s v="住居"/>
    <s v="2DK"/>
    <n v="105000"/>
    <n v="5000"/>
    <n v="0"/>
    <n v="0"/>
    <n v="110000"/>
    <n v="110000"/>
    <n v="0"/>
    <n v="110000"/>
    <n v="110000"/>
    <s v="中華系"/>
    <s v="yes"/>
    <s v=""/>
    <m/>
    <s v="105_702"/>
    <n v="100000"/>
    <m/>
    <n v="1"/>
    <n v="110000"/>
    <n v="0"/>
    <n v="10000"/>
    <n v="1"/>
    <x v="0"/>
  </r>
  <r>
    <n v="112"/>
    <n v="105"/>
    <x v="4"/>
    <s v="703"/>
    <n v="33.39"/>
    <n v="631"/>
    <s v="住居"/>
    <s v="2DK"/>
    <n v="115000"/>
    <n v="0"/>
    <n v="1852"/>
    <n v="185"/>
    <n v="117037"/>
    <n v="117037"/>
    <n v="0"/>
    <n v="117037"/>
    <n v="117037"/>
    <s v="日本人等"/>
    <s v="yes"/>
    <s v=""/>
    <m/>
    <s v="105_703"/>
    <n v="117000"/>
    <m/>
    <n v="1"/>
    <n v="116852"/>
    <n v="185"/>
    <n v="-148"/>
    <n v="1"/>
    <x v="0"/>
  </r>
  <r>
    <n v="113"/>
    <n v="105"/>
    <x v="4"/>
    <s v="P1"/>
    <n v="0"/>
    <n v="634"/>
    <s v="駐車場"/>
    <s v="駐車場"/>
    <n v="35000"/>
    <n v="0"/>
    <n v="0"/>
    <n v="3500"/>
    <n v="38500"/>
    <n v="35000"/>
    <n v="3500"/>
    <n v="38500"/>
    <n v="38500"/>
    <s v="法人契約"/>
    <s v="yes"/>
    <s v=""/>
    <m/>
    <s v="105_P1"/>
    <n v="35000"/>
    <m/>
    <n v="1"/>
    <n v="35000"/>
    <n v="0"/>
    <n v="0"/>
    <n v="1"/>
    <x v="0"/>
  </r>
  <r>
    <n v="114"/>
    <n v="105"/>
    <x v="4"/>
    <s v="P2"/>
    <n v="0"/>
    <n v="634"/>
    <s v="駐車場"/>
    <s v="駐車場"/>
    <n v="35000"/>
    <n v="0"/>
    <n v="0"/>
    <n v="3500"/>
    <n v="38500"/>
    <n v="35000"/>
    <n v="3500"/>
    <n v="38500"/>
    <n v="38500"/>
    <s v="法人契約"/>
    <s v="yes"/>
    <s v=""/>
    <m/>
    <s v="105_P2"/>
    <n v="35000"/>
    <m/>
    <n v="1"/>
    <n v="35000"/>
    <n v="0"/>
    <n v="0"/>
    <n v="1"/>
    <x v="0"/>
  </r>
  <r>
    <n v="115"/>
    <n v="105"/>
    <x v="4"/>
    <s v="A01"/>
    <n v="47.62"/>
    <n v="633"/>
    <s v="店舗"/>
    <s v="倉庫"/>
    <n v="90000"/>
    <n v="0"/>
    <n v="0"/>
    <n v="9000"/>
    <n v="99000"/>
    <n v="90000"/>
    <n v="9000"/>
    <n v="99000"/>
    <n v="99000"/>
    <s v="法人契約"/>
    <s v="yes"/>
    <s v=""/>
    <m/>
    <s v="105_A01"/>
    <n v="90000"/>
    <m/>
    <n v="1"/>
    <n v="90000"/>
    <n v="0"/>
    <n v="0"/>
    <n v="1"/>
    <x v="0"/>
  </r>
  <r>
    <n v="116"/>
    <n v="105"/>
    <x v="4"/>
    <s v="RF1"/>
    <n v="0"/>
    <n v="635"/>
    <s v="アンテナ"/>
    <s v="その他"/>
    <n v="12000"/>
    <n v="0"/>
    <n v="0"/>
    <n v="1200"/>
    <n v="13200"/>
    <n v="12000"/>
    <n v="1199.9999999999998"/>
    <n v="13200"/>
    <n v="13200"/>
    <s v="法人契約"/>
    <s v="yes"/>
    <s v=""/>
    <m/>
    <s v="105_RF1"/>
    <n v="0"/>
    <m/>
    <n v="1"/>
    <n v="12000"/>
    <n v="0"/>
    <n v="12000"/>
    <n v="1"/>
    <x v="0"/>
  </r>
  <r>
    <n v="117"/>
    <n v="105"/>
    <x v="4"/>
    <s v="RF2"/>
    <n v="0"/>
    <n v="635"/>
    <s v="アンテナ"/>
    <s v="その他"/>
    <n v="22324"/>
    <n v="0"/>
    <n v="0"/>
    <n v="0"/>
    <n v="22324"/>
    <n v="20294"/>
    <n v="2029.4545454545453"/>
    <n v="22323.454545454544"/>
    <n v="22324"/>
    <s v="法人契約"/>
    <s v="yes"/>
    <s v="ソフトバンクモバイル"/>
    <m/>
    <s v="105_RF2"/>
    <n v="22324"/>
    <m/>
    <n v="1"/>
    <n v="22324"/>
    <n v="-2030"/>
    <n v="0"/>
    <n v="1"/>
    <x v="0"/>
  </r>
  <r>
    <n v="118"/>
    <n v="105"/>
    <x v="4"/>
    <s v="NTF1"/>
    <s v="-"/>
    <n v="639"/>
    <s v="その他"/>
    <s v="その他"/>
    <n v="0"/>
    <n v="0"/>
    <n v="0"/>
    <n v="0"/>
    <n v="0"/>
    <n v="0"/>
    <n v="0"/>
    <n v="0"/>
    <n v="0"/>
    <s v="-"/>
    <s v="no"/>
    <s v="フレッツ光"/>
    <m/>
    <s v="105_NTF1"/>
    <n v="0"/>
    <m/>
    <n v="0"/>
    <n v="0"/>
    <n v="0"/>
    <n v="0"/>
    <n v="0"/>
    <x v="0"/>
  </r>
  <r>
    <n v="119"/>
    <n v="105"/>
    <x v="4"/>
    <s v="NTD1"/>
    <s v="-"/>
    <n v="639"/>
    <s v="その他"/>
    <s v="その他"/>
    <n v="0"/>
    <n v="0"/>
    <n v="0"/>
    <n v="0"/>
    <n v="0"/>
    <n v="0"/>
    <n v="0"/>
    <n v="0"/>
    <n v="0"/>
    <s v="-"/>
    <s v="no"/>
    <s v="電柱"/>
    <m/>
    <s v="105_NTD1"/>
    <n v="0"/>
    <m/>
    <n v="0"/>
    <n v="0"/>
    <n v="0"/>
    <n v="0"/>
    <n v="0"/>
    <x v="0"/>
  </r>
  <r>
    <n v="120"/>
    <n v="106"/>
    <x v="5"/>
    <s v="101"/>
    <n v="48.36"/>
    <n v="631"/>
    <s v="住居"/>
    <s v="2DK"/>
    <n v="116000"/>
    <n v="10000"/>
    <n v="0"/>
    <n v="0"/>
    <n v="126000"/>
    <n v="158000"/>
    <n v="0"/>
    <n v="158000"/>
    <n v="126000"/>
    <s v="中華系"/>
    <s v="yes"/>
    <s v=""/>
    <m/>
    <s v="106_101"/>
    <n v="127000"/>
    <m/>
    <n v="1"/>
    <n v="126000"/>
    <n v="32000"/>
    <n v="-1000"/>
    <n v="1"/>
    <x v="0"/>
  </r>
  <r>
    <n v="121"/>
    <n v="106"/>
    <x v="5"/>
    <s v="102"/>
    <n v="52.75"/>
    <n v="631"/>
    <s v="住居"/>
    <s v="3DK"/>
    <n v="157000"/>
    <n v="10000"/>
    <n v="0"/>
    <n v="0"/>
    <n v="167000"/>
    <n v="167000"/>
    <n v="0"/>
    <n v="167000"/>
    <n v="167000"/>
    <s v="日本人等"/>
    <s v="yes"/>
    <s v=""/>
    <m/>
    <s v="106_102"/>
    <n v="139000"/>
    <m/>
    <n v="1"/>
    <n v="167000"/>
    <n v="0"/>
    <n v="28000"/>
    <n v="1"/>
    <x v="0"/>
  </r>
  <r>
    <n v="122"/>
    <n v="106"/>
    <x v="5"/>
    <s v="201"/>
    <n v="43.2"/>
    <n v="631"/>
    <s v="住居"/>
    <s v="2DK"/>
    <n v="122000"/>
    <n v="7000"/>
    <n v="0"/>
    <n v="0"/>
    <n v="129000"/>
    <n v="129000"/>
    <n v="0"/>
    <n v="129000"/>
    <n v="129000"/>
    <s v="日本人等"/>
    <s v="yes"/>
    <s v=""/>
    <m/>
    <s v="106_201"/>
    <n v="129000"/>
    <m/>
    <n v="1"/>
    <n v="129000"/>
    <n v="0"/>
    <n v="0"/>
    <n v="1"/>
    <x v="0"/>
  </r>
  <r>
    <n v="123"/>
    <n v="106"/>
    <x v="5"/>
    <s v="202"/>
    <n v="43.2"/>
    <n v="631"/>
    <s v="住居"/>
    <s v="2DK"/>
    <n v="140000"/>
    <n v="10000"/>
    <n v="0"/>
    <n v="0"/>
    <n v="150000"/>
    <n v="152000"/>
    <n v="0"/>
    <n v="152000"/>
    <n v="150000"/>
    <s v="中華系"/>
    <s v="yes"/>
    <s v=""/>
    <m/>
    <s v="106_202"/>
    <n v="133000"/>
    <m/>
    <n v="1"/>
    <n v="150000"/>
    <n v="2000"/>
    <n v="17000"/>
    <n v="1"/>
    <x v="0"/>
  </r>
  <r>
    <n v="124"/>
    <n v="106"/>
    <x v="5"/>
    <s v="203"/>
    <n v="48.36"/>
    <n v="631"/>
    <s v="住居"/>
    <s v="2DK"/>
    <n v="124000"/>
    <n v="10000"/>
    <n v="0"/>
    <n v="0"/>
    <n v="134000"/>
    <n v="134000"/>
    <n v="0"/>
    <n v="134000"/>
    <n v="134000"/>
    <s v="中華系"/>
    <s v="yes"/>
    <s v=""/>
    <m/>
    <s v="106_203"/>
    <n v="137000"/>
    <m/>
    <n v="1"/>
    <n v="134000"/>
    <n v="0"/>
    <n v="-3000"/>
    <n v="1"/>
    <x v="0"/>
  </r>
  <r>
    <n v="125"/>
    <n v="106"/>
    <x v="5"/>
    <s v="204"/>
    <n v="52.75"/>
    <n v="631"/>
    <s v="住居"/>
    <s v="3DK"/>
    <n v="160000"/>
    <n v="10000"/>
    <n v="0"/>
    <n v="0"/>
    <n v="170000"/>
    <n v="168000"/>
    <n v="0"/>
    <n v="168000"/>
    <n v="170000"/>
    <s v="中華系"/>
    <s v="yes"/>
    <s v=""/>
    <m/>
    <s v="106_204"/>
    <n v="141000"/>
    <m/>
    <n v="1"/>
    <n v="170000"/>
    <n v="-2000"/>
    <n v="29000"/>
    <n v="1"/>
    <x v="0"/>
  </r>
  <r>
    <n v="126"/>
    <n v="106"/>
    <x v="5"/>
    <s v="301"/>
    <n v="43.2"/>
    <n v="631"/>
    <s v="住居"/>
    <s v="2DK"/>
    <n v="140000"/>
    <n v="10000"/>
    <n v="0"/>
    <n v="0"/>
    <n v="150000"/>
    <n v="135000"/>
    <n v="0"/>
    <n v="135000"/>
    <n v="150000"/>
    <s v="中華系"/>
    <s v="yes"/>
    <s v=""/>
    <m/>
    <s v="106_301"/>
    <n v="132000"/>
    <m/>
    <n v="1"/>
    <n v="150000"/>
    <n v="-15000"/>
    <n v="18000"/>
    <n v="1"/>
    <x v="0"/>
  </r>
  <r>
    <n v="127"/>
    <n v="106"/>
    <x v="5"/>
    <s v="302"/>
    <n v="43.2"/>
    <n v="631"/>
    <s v="住居"/>
    <s v="2DK"/>
    <n v="142000"/>
    <n v="10000"/>
    <n v="0"/>
    <n v="0"/>
    <n v="152000"/>
    <n v="150000"/>
    <n v="0"/>
    <n v="150000"/>
    <n v="152000"/>
    <s v="中華系"/>
    <s v="yes"/>
    <s v=""/>
    <m/>
    <s v="106_302"/>
    <n v="135000"/>
    <m/>
    <n v="1"/>
    <n v="152000"/>
    <n v="-2000"/>
    <n v="17000"/>
    <n v="1"/>
    <x v="0"/>
  </r>
  <r>
    <n v="128"/>
    <n v="106"/>
    <x v="5"/>
    <s v="303"/>
    <n v="48.36"/>
    <n v="631"/>
    <s v="住居"/>
    <s v="2DK"/>
    <n v="135000"/>
    <n v="10000"/>
    <n v="0"/>
    <n v="0"/>
    <n v="145000"/>
    <n v="145000"/>
    <n v="0"/>
    <n v="145000"/>
    <n v="145000"/>
    <s v="中華系"/>
    <s v="yes"/>
    <s v=""/>
    <m/>
    <s v="106_303"/>
    <n v="135000"/>
    <m/>
    <n v="1"/>
    <n v="145000"/>
    <n v="0"/>
    <n v="10000"/>
    <n v="1"/>
    <x v="0"/>
  </r>
  <r>
    <n v="129"/>
    <n v="106"/>
    <x v="5"/>
    <s v="304"/>
    <n v="52.75"/>
    <n v="631"/>
    <s v="住居"/>
    <s v="3DK"/>
    <n v="160000"/>
    <n v="10000"/>
    <n v="0"/>
    <n v="0"/>
    <n v="170000"/>
    <n v="168000"/>
    <n v="0"/>
    <n v="168000"/>
    <n v="170000"/>
    <s v="住居法人契約"/>
    <s v="yes"/>
    <s v=""/>
    <m/>
    <s v="106_304"/>
    <n v="158000"/>
    <m/>
    <n v="1"/>
    <n v="170000"/>
    <n v="-2000"/>
    <n v="12000"/>
    <n v="1"/>
    <x v="0"/>
  </r>
  <r>
    <n v="130"/>
    <n v="106"/>
    <x v="5"/>
    <s v="401"/>
    <n v="39.42"/>
    <n v="631"/>
    <s v="住居"/>
    <s v="1LDK"/>
    <n v="125000"/>
    <n v="10000"/>
    <n v="0"/>
    <n v="0"/>
    <n v="135000"/>
    <n v="123000"/>
    <n v="0"/>
    <n v="123000"/>
    <n v="135000"/>
    <s v="中華系"/>
    <s v="yes"/>
    <s v=""/>
    <m/>
    <s v="106_401"/>
    <n v="123000"/>
    <m/>
    <n v="1"/>
    <n v="135000"/>
    <n v="-12000"/>
    <n v="12000"/>
    <n v="1"/>
    <x v="0"/>
  </r>
  <r>
    <n v="131"/>
    <n v="106"/>
    <x v="5"/>
    <s v="402"/>
    <n v="43.2"/>
    <n v="631"/>
    <s v="住居"/>
    <s v="2DK"/>
    <n v="150000"/>
    <n v="10000"/>
    <n v="0"/>
    <n v="0"/>
    <n v="160000"/>
    <n v="160000"/>
    <n v="0"/>
    <n v="160000"/>
    <n v="160000"/>
    <s v="中華系"/>
    <s v="yes"/>
    <s v=""/>
    <m/>
    <s v="106_402"/>
    <n v="147000"/>
    <m/>
    <n v="1"/>
    <n v="160000"/>
    <n v="0"/>
    <n v="13000"/>
    <n v="1"/>
    <x v="0"/>
  </r>
  <r>
    <n v="132"/>
    <n v="106"/>
    <x v="5"/>
    <s v="403"/>
    <n v="48.36"/>
    <n v="631"/>
    <s v="住居"/>
    <s v="2DK"/>
    <n v="125000"/>
    <n v="10000"/>
    <n v="0"/>
    <n v="0"/>
    <n v="135000"/>
    <n v="135000"/>
    <n v="0"/>
    <n v="135000"/>
    <n v="135000"/>
    <s v="中華系"/>
    <s v="yes"/>
    <s v=""/>
    <m/>
    <s v="106_403"/>
    <n v="135000"/>
    <m/>
    <n v="1"/>
    <n v="135000"/>
    <n v="0"/>
    <n v="0"/>
    <n v="1"/>
    <x v="0"/>
  </r>
  <r>
    <n v="133"/>
    <n v="106"/>
    <x v="5"/>
    <s v="404"/>
    <n v="52.75"/>
    <n v="631"/>
    <s v="住居"/>
    <s v="3DK"/>
    <n v="140000"/>
    <n v="10000"/>
    <n v="0"/>
    <n v="0"/>
    <n v="150000"/>
    <n v="150000"/>
    <n v="0"/>
    <n v="150000"/>
    <n v="150000"/>
    <s v="日本人等"/>
    <s v="yes"/>
    <s v=""/>
    <m/>
    <s v="106_404"/>
    <n v="150000"/>
    <m/>
    <n v="1"/>
    <n v="150000"/>
    <n v="0"/>
    <n v="0"/>
    <n v="1"/>
    <x v="0"/>
  </r>
  <r>
    <n v="134"/>
    <n v="106"/>
    <x v="5"/>
    <s v="501"/>
    <n v="29.16"/>
    <n v="631"/>
    <s v="住居"/>
    <s v="1K"/>
    <n v="85000"/>
    <n v="10000"/>
    <n v="0"/>
    <n v="0"/>
    <n v="95000"/>
    <n v="95000"/>
    <n v="0"/>
    <n v="95000"/>
    <n v="95000"/>
    <s v="日本人等"/>
    <s v="yes"/>
    <s v=""/>
    <m/>
    <s v="106_501"/>
    <n v="90000"/>
    <m/>
    <n v="1"/>
    <n v="95000"/>
    <n v="0"/>
    <n v="5000"/>
    <n v="1"/>
    <x v="0"/>
  </r>
  <r>
    <n v="135"/>
    <n v="106"/>
    <x v="5"/>
    <s v="502"/>
    <n v="43.2"/>
    <n v="631"/>
    <s v="住居"/>
    <s v="2DK"/>
    <n v="145000"/>
    <n v="10000"/>
    <n v="0"/>
    <n v="0"/>
    <n v="155000"/>
    <n v="155000"/>
    <n v="0"/>
    <n v="155000"/>
    <n v="155000"/>
    <s v="中華系"/>
    <s v="yes"/>
    <s v=""/>
    <m/>
    <s v="106_502"/>
    <n v="138000"/>
    <m/>
    <n v="1"/>
    <n v="155000"/>
    <n v="0"/>
    <n v="17000"/>
    <n v="1"/>
    <x v="0"/>
  </r>
  <r>
    <n v="136"/>
    <n v="106"/>
    <x v="5"/>
    <s v="503"/>
    <n v="48.36"/>
    <n v="631"/>
    <s v="住居"/>
    <s v="2DK"/>
    <n v="150000"/>
    <n v="10000"/>
    <n v="0"/>
    <n v="0"/>
    <n v="160000"/>
    <n v="160000"/>
    <n v="0"/>
    <n v="160000"/>
    <n v="160000"/>
    <s v="中華系"/>
    <s v="yes"/>
    <s v=""/>
    <m/>
    <s v="106_503"/>
    <n v="137000"/>
    <m/>
    <n v="1"/>
    <n v="160000"/>
    <n v="0"/>
    <n v="23000"/>
    <n v="1"/>
    <x v="0"/>
  </r>
  <r>
    <n v="137"/>
    <n v="106"/>
    <x v="5"/>
    <s v="504"/>
    <n v="17.600000000000001"/>
    <n v="631"/>
    <s v="住居"/>
    <s v="1K"/>
    <n v="160000"/>
    <n v="10000"/>
    <n v="0"/>
    <n v="0"/>
    <n v="170000"/>
    <n v="170000"/>
    <n v="0"/>
    <n v="170000"/>
    <n v="170000"/>
    <s v="住居法人契約"/>
    <s v="yes"/>
    <s v=""/>
    <m/>
    <s v="106_504"/>
    <n v="146000"/>
    <m/>
    <n v="1"/>
    <n v="170000"/>
    <n v="0"/>
    <n v="24000"/>
    <n v="1"/>
    <x v="0"/>
  </r>
  <r>
    <n v="138"/>
    <n v="106"/>
    <x v="5"/>
    <s v="601"/>
    <n v="55.84"/>
    <n v="631"/>
    <s v="住居"/>
    <s v="3DK"/>
    <n v="170000"/>
    <n v="10000"/>
    <n v="0"/>
    <n v="0"/>
    <n v="180000"/>
    <n v="148000"/>
    <n v="0"/>
    <n v="148000"/>
    <n v="180000"/>
    <s v="中華系"/>
    <s v="yes"/>
    <s v=""/>
    <m/>
    <s v="106_601"/>
    <n v="148000"/>
    <m/>
    <n v="1"/>
    <n v="180000"/>
    <n v="-32000"/>
    <n v="32000"/>
    <n v="1"/>
    <x v="0"/>
  </r>
  <r>
    <n v="139"/>
    <n v="106"/>
    <x v="5"/>
    <s v="602"/>
    <n v="62.32"/>
    <n v="631"/>
    <s v="住居"/>
    <s v="1LDK"/>
    <n v="180000"/>
    <n v="0"/>
    <n v="0"/>
    <n v="0"/>
    <n v="180000"/>
    <n v="180000"/>
    <n v="0"/>
    <n v="180000"/>
    <n v="180000"/>
    <s v="住居法人契約"/>
    <s v="yes"/>
    <s v=""/>
    <m/>
    <s v="106_602"/>
    <n v="165000"/>
    <m/>
    <n v="1"/>
    <n v="180000"/>
    <n v="0"/>
    <n v="15000"/>
    <n v="1"/>
    <x v="0"/>
  </r>
  <r>
    <n v="140"/>
    <n v="106"/>
    <x v="5"/>
    <s v="603"/>
    <n v="17.600000000000001"/>
    <n v="631"/>
    <s v="住居"/>
    <s v="1K"/>
    <n v="68000"/>
    <n v="3000"/>
    <n v="0"/>
    <n v="0"/>
    <n v="71000"/>
    <n v="78000"/>
    <n v="0"/>
    <n v="78000"/>
    <n v="71000"/>
    <s v="中華系"/>
    <s v="yes"/>
    <s v=""/>
    <m/>
    <s v="106_603"/>
    <n v="75000"/>
    <m/>
    <n v="1"/>
    <n v="71000"/>
    <n v="7000"/>
    <n v="-4000"/>
    <n v="1"/>
    <x v="0"/>
  </r>
  <r>
    <n v="141"/>
    <n v="106"/>
    <x v="5"/>
    <s v="RF1"/>
    <n v="0"/>
    <n v="635"/>
    <s v="アンテナ"/>
    <s v="その他"/>
    <n v="12000"/>
    <n v="0"/>
    <n v="0"/>
    <n v="1200"/>
    <n v="13200"/>
    <n v="12000"/>
    <n v="1199.9999999999998"/>
    <n v="13200"/>
    <n v="13200"/>
    <s v="-"/>
    <s v="yes"/>
    <s v=""/>
    <m/>
    <s v="106_RF1"/>
    <n v="0"/>
    <m/>
    <n v="1"/>
    <n v="12000"/>
    <n v="0"/>
    <n v="12000"/>
    <n v="1"/>
    <x v="0"/>
  </r>
  <r>
    <n v="142"/>
    <n v="106"/>
    <x v="5"/>
    <s v="NTF1"/>
    <s v="-"/>
    <n v="639"/>
    <s v="その他"/>
    <s v="その他"/>
    <n v="0"/>
    <n v="0"/>
    <n v="0"/>
    <n v="0"/>
    <n v="0"/>
    <n v="0"/>
    <n v="0"/>
    <n v="0"/>
    <n v="0"/>
    <s v="-"/>
    <s v="no"/>
    <s v="フレッツ光"/>
    <m/>
    <s v="106_NTF1"/>
    <n v="0"/>
    <m/>
    <n v="0"/>
    <n v="0"/>
    <n v="0"/>
    <n v="0"/>
    <n v="0"/>
    <x v="0"/>
  </r>
  <r>
    <n v="143"/>
    <n v="107"/>
    <x v="6"/>
    <s v="201"/>
    <n v="16.87"/>
    <n v="631"/>
    <s v="住居"/>
    <s v="1R"/>
    <n v="52000"/>
    <n v="3000"/>
    <n v="0"/>
    <n v="0"/>
    <n v="55000"/>
    <n v="61000"/>
    <n v="0"/>
    <n v="61000"/>
    <n v="55000"/>
    <s v="日本人等"/>
    <s v="yes"/>
    <s v=""/>
    <m/>
    <s v="107_201"/>
    <n v="61000"/>
    <m/>
    <n v="1"/>
    <n v="55000"/>
    <n v="6000"/>
    <n v="-6000"/>
    <n v="1"/>
    <x v="0"/>
  </r>
  <r>
    <n v="144"/>
    <n v="107"/>
    <x v="6"/>
    <s v="202"/>
    <n v="16.87"/>
    <n v="631"/>
    <s v="住居"/>
    <s v="1R"/>
    <n v="56000"/>
    <n v="3000"/>
    <n v="0"/>
    <n v="0"/>
    <n v="59000"/>
    <n v="59000"/>
    <n v="0"/>
    <n v="59000"/>
    <n v="59000"/>
    <s v="日本人等"/>
    <s v="yes"/>
    <s v=""/>
    <m/>
    <s v="107_202"/>
    <n v="59000"/>
    <m/>
    <n v="1"/>
    <n v="59000"/>
    <n v="0"/>
    <n v="0"/>
    <n v="1"/>
    <x v="0"/>
  </r>
  <r>
    <n v="145"/>
    <n v="107"/>
    <x v="6"/>
    <s v="203"/>
    <n v="19.54"/>
    <n v="631"/>
    <s v="住居"/>
    <s v="1R"/>
    <n v="57000"/>
    <n v="3000"/>
    <n v="0"/>
    <n v="0"/>
    <n v="60000"/>
    <n v="60000"/>
    <n v="0"/>
    <n v="60000"/>
    <n v="60000"/>
    <s v="日本人等"/>
    <s v="yes"/>
    <s v=""/>
    <m/>
    <s v="107_203"/>
    <n v="59000"/>
    <m/>
    <n v="1"/>
    <n v="60000"/>
    <n v="0"/>
    <n v="1000"/>
    <n v="1"/>
    <x v="0"/>
  </r>
  <r>
    <n v="146"/>
    <n v="107"/>
    <x v="6"/>
    <s v="205"/>
    <n v="19.54"/>
    <n v="631"/>
    <s v="住居"/>
    <s v="1R"/>
    <n v="61000"/>
    <n v="3000"/>
    <n v="0"/>
    <n v="0"/>
    <n v="64000"/>
    <n v="64000"/>
    <n v="0"/>
    <n v="64000"/>
    <n v="64000"/>
    <s v="日本人等"/>
    <s v="yes"/>
    <s v=""/>
    <m/>
    <s v="107_205"/>
    <n v="64000"/>
    <m/>
    <n v="1"/>
    <n v="64000"/>
    <n v="0"/>
    <n v="0"/>
    <n v="1"/>
    <x v="0"/>
  </r>
  <r>
    <n v="147"/>
    <n v="107"/>
    <x v="6"/>
    <s v="206"/>
    <n v="17.100000000000001"/>
    <n v="631"/>
    <s v="住居"/>
    <s v="1R"/>
    <n v="67000"/>
    <n v="0"/>
    <n v="0"/>
    <n v="0"/>
    <n v="67000"/>
    <n v="67000"/>
    <n v="0"/>
    <n v="67000"/>
    <n v="67000"/>
    <s v="日本人等"/>
    <s v="yes"/>
    <s v=""/>
    <m/>
    <s v="107_206"/>
    <n v="70000"/>
    <m/>
    <n v="1"/>
    <n v="67000"/>
    <n v="0"/>
    <n v="-3000"/>
    <n v="1"/>
    <x v="0"/>
  </r>
  <r>
    <n v="148"/>
    <n v="107"/>
    <x v="6"/>
    <s v="207"/>
    <n v="17.100000000000001"/>
    <n v="631"/>
    <s v="住居"/>
    <s v="1R"/>
    <n v="51000"/>
    <n v="3000"/>
    <n v="0"/>
    <n v="0"/>
    <n v="54000"/>
    <n v="63000"/>
    <n v="0"/>
    <n v="63000"/>
    <n v="54000"/>
    <s v="日本人等"/>
    <s v="yes"/>
    <s v=""/>
    <m/>
    <s v="107_207"/>
    <n v="63000"/>
    <m/>
    <n v="1"/>
    <n v="54000"/>
    <n v="9000"/>
    <n v="-9000"/>
    <n v="1"/>
    <x v="0"/>
  </r>
  <r>
    <n v="149"/>
    <n v="107"/>
    <x v="6"/>
    <s v="208"/>
    <n v="16.96"/>
    <n v="631"/>
    <s v="住居"/>
    <s v="1R"/>
    <n v="59000"/>
    <n v="2000"/>
    <n v="0"/>
    <n v="0"/>
    <n v="61000"/>
    <n v="61000"/>
    <n v="0"/>
    <n v="61000"/>
    <n v="61000"/>
    <s v="日本人等"/>
    <s v="yes"/>
    <s v=""/>
    <m/>
    <s v="107_208"/>
    <n v="59000"/>
    <m/>
    <n v="1"/>
    <n v="61000"/>
    <n v="0"/>
    <n v="2000"/>
    <n v="1"/>
    <x v="0"/>
  </r>
  <r>
    <n v="150"/>
    <n v="107"/>
    <x v="6"/>
    <s v="210"/>
    <n v="19.54"/>
    <n v="631"/>
    <s v="住居"/>
    <s v="1R"/>
    <n v="59000"/>
    <n v="3000"/>
    <n v="0"/>
    <n v="0"/>
    <n v="62000"/>
    <n v="62000"/>
    <n v="0"/>
    <n v="62000"/>
    <n v="62000"/>
    <s v="欧米先進国"/>
    <s v="yes"/>
    <s v=""/>
    <m/>
    <s v="107_210"/>
    <n v="65000"/>
    <m/>
    <n v="1"/>
    <n v="62000"/>
    <n v="0"/>
    <n v="-3000"/>
    <n v="1"/>
    <x v="0"/>
  </r>
  <r>
    <n v="151"/>
    <n v="107"/>
    <x v="6"/>
    <s v="211"/>
    <n v="18.47"/>
    <n v="631"/>
    <s v="住居"/>
    <s v="1R"/>
    <n v="60000"/>
    <n v="5000"/>
    <n v="0"/>
    <n v="0"/>
    <n v="65000"/>
    <n v="65000"/>
    <n v="0"/>
    <n v="65000"/>
    <n v="65000"/>
    <s v="日本人等"/>
    <s v="yes"/>
    <s v=""/>
    <m/>
    <s v="107_211"/>
    <n v="65000"/>
    <m/>
    <n v="1"/>
    <n v="65000"/>
    <n v="0"/>
    <n v="0"/>
    <n v="1"/>
    <x v="0"/>
  </r>
  <r>
    <n v="152"/>
    <n v="107"/>
    <x v="6"/>
    <s v="212"/>
    <n v="18.47"/>
    <n v="631"/>
    <s v="住居"/>
    <s v="1R"/>
    <n v="62000"/>
    <n v="0"/>
    <n v="0"/>
    <n v="0"/>
    <n v="62000"/>
    <n v="62000"/>
    <n v="0"/>
    <n v="62000"/>
    <n v="62000"/>
    <s v="日本人等"/>
    <s v="yes"/>
    <s v=""/>
    <m/>
    <s v="107_212"/>
    <n v="65000"/>
    <m/>
    <n v="1"/>
    <n v="62000"/>
    <n v="0"/>
    <n v="-3000"/>
    <n v="1"/>
    <x v="0"/>
  </r>
  <r>
    <n v="153"/>
    <n v="107"/>
    <x v="6"/>
    <s v="213"/>
    <n v="18.47"/>
    <n v="631"/>
    <s v="住居"/>
    <s v="1R"/>
    <n v="69000"/>
    <n v="3000"/>
    <n v="0"/>
    <n v="0"/>
    <n v="72000"/>
    <n v="72000"/>
    <n v="0"/>
    <n v="72000"/>
    <n v="72000"/>
    <s v="日本人等"/>
    <s v="yes"/>
    <s v=""/>
    <m/>
    <s v="107_213"/>
    <n v="72000"/>
    <m/>
    <n v="1"/>
    <n v="72000"/>
    <n v="0"/>
    <n v="0"/>
    <n v="1"/>
    <x v="0"/>
  </r>
  <r>
    <n v="154"/>
    <n v="107"/>
    <x v="6"/>
    <s v="215"/>
    <n v="18.47"/>
    <n v="631"/>
    <s v="住居"/>
    <s v="1R"/>
    <n v="60000"/>
    <n v="3000"/>
    <n v="0"/>
    <n v="0"/>
    <n v="63000"/>
    <n v="63000"/>
    <n v="0"/>
    <n v="63000"/>
    <n v="63000"/>
    <s v="日本人等"/>
    <s v="yes"/>
    <s v=""/>
    <m/>
    <s v="107_215"/>
    <n v="65000"/>
    <m/>
    <n v="1"/>
    <n v="63000"/>
    <n v="0"/>
    <n v="-2000"/>
    <n v="1"/>
    <x v="0"/>
  </r>
  <r>
    <n v="155"/>
    <n v="107"/>
    <x v="6"/>
    <s v="301"/>
    <n v="19.54"/>
    <n v="631"/>
    <s v="住居"/>
    <s v="1R"/>
    <n v="57000"/>
    <n v="3000"/>
    <n v="0"/>
    <n v="0"/>
    <n v="60000"/>
    <n v="60000"/>
    <n v="0"/>
    <n v="60000"/>
    <n v="60000"/>
    <s v="日本人等"/>
    <s v="yes"/>
    <s v=""/>
    <m/>
    <s v="107_301"/>
    <n v="60000"/>
    <m/>
    <n v="1"/>
    <n v="60000"/>
    <n v="0"/>
    <n v="0"/>
    <n v="1"/>
    <x v="0"/>
  </r>
  <r>
    <n v="156"/>
    <n v="107"/>
    <x v="6"/>
    <s v="302"/>
    <n v="18.47"/>
    <n v="631"/>
    <s v="住居"/>
    <s v="1R"/>
    <n v="58000"/>
    <n v="0"/>
    <n v="0"/>
    <n v="0"/>
    <n v="58000"/>
    <n v="58000"/>
    <n v="0"/>
    <n v="58000"/>
    <n v="58000"/>
    <s v="日本人等"/>
    <s v="yes"/>
    <s v=""/>
    <m/>
    <s v="107_302"/>
    <n v="58000"/>
    <m/>
    <n v="1"/>
    <n v="58000"/>
    <n v="0"/>
    <n v="0"/>
    <n v="1"/>
    <x v="0"/>
  </r>
  <r>
    <n v="157"/>
    <n v="107"/>
    <x v="6"/>
    <s v="303"/>
    <n v="27.28"/>
    <n v="631"/>
    <s v="住居"/>
    <s v="1DK"/>
    <n v="82000"/>
    <n v="3000"/>
    <n v="0"/>
    <n v="0"/>
    <n v="85000"/>
    <n v="85000"/>
    <n v="0"/>
    <n v="85000"/>
    <n v="85000"/>
    <s v="中華系"/>
    <s v="yes"/>
    <s v=""/>
    <m/>
    <s v="107_303"/>
    <n v="88000"/>
    <m/>
    <n v="1"/>
    <n v="85000"/>
    <n v="0"/>
    <n v="-3000"/>
    <n v="1"/>
    <x v="0"/>
  </r>
  <r>
    <n v="158"/>
    <n v="107"/>
    <x v="6"/>
    <s v="305"/>
    <n v="17.47"/>
    <n v="631"/>
    <s v="住居"/>
    <s v="1R"/>
    <n v="59000"/>
    <n v="3000"/>
    <n v="0"/>
    <n v="0"/>
    <n v="62000"/>
    <n v="62000"/>
    <n v="0"/>
    <n v="62000"/>
    <n v="62000"/>
    <s v="日本人等"/>
    <s v="yes"/>
    <s v=""/>
    <m/>
    <s v="107_305"/>
    <n v="62000"/>
    <m/>
    <n v="1"/>
    <n v="62000"/>
    <n v="0"/>
    <n v="0"/>
    <n v="1"/>
    <x v="0"/>
  </r>
  <r>
    <n v="159"/>
    <n v="107"/>
    <x v="6"/>
    <s v="306"/>
    <n v="16.96"/>
    <n v="631"/>
    <s v="住居"/>
    <s v="1R"/>
    <n v="53700"/>
    <n v="5000"/>
    <n v="0"/>
    <n v="0"/>
    <n v="58700"/>
    <n v="58700"/>
    <n v="0"/>
    <n v="58700"/>
    <n v="58700"/>
    <s v="日本人等"/>
    <s v="yes"/>
    <s v=""/>
    <m/>
    <s v="107_306"/>
    <n v="59000"/>
    <m/>
    <n v="1"/>
    <n v="58700"/>
    <n v="0"/>
    <n v="-300"/>
    <n v="1"/>
    <x v="0"/>
  </r>
  <r>
    <n v="160"/>
    <n v="107"/>
    <x v="6"/>
    <s v="307"/>
    <n v="18.47"/>
    <n v="631"/>
    <s v="住居"/>
    <s v="1R"/>
    <n v="63000"/>
    <n v="3000"/>
    <n v="0"/>
    <n v="0"/>
    <n v="66000"/>
    <n v="66000"/>
    <n v="0"/>
    <n v="66000"/>
    <n v="66000"/>
    <s v="日本人等"/>
    <s v="yes"/>
    <s v=""/>
    <m/>
    <s v="107_307"/>
    <n v="66000"/>
    <m/>
    <n v="1"/>
    <n v="66000"/>
    <n v="0"/>
    <n v="0"/>
    <n v="1"/>
    <x v="0"/>
  </r>
  <r>
    <n v="161"/>
    <n v="107"/>
    <x v="6"/>
    <s v="308"/>
    <n v="18.47"/>
    <n v="631"/>
    <s v="住居"/>
    <s v="1R"/>
    <n v="59000"/>
    <n v="3000"/>
    <n v="0"/>
    <n v="0"/>
    <n v="62000"/>
    <n v="62000"/>
    <n v="0"/>
    <n v="62000"/>
    <n v="62000"/>
    <s v="日本人等"/>
    <s v="yes"/>
    <s v=""/>
    <m/>
    <s v="107_308"/>
    <n v="60000"/>
    <m/>
    <n v="1"/>
    <n v="62000"/>
    <n v="0"/>
    <n v="2000"/>
    <n v="1"/>
    <x v="0"/>
  </r>
  <r>
    <n v="162"/>
    <n v="107"/>
    <x v="6"/>
    <s v="310"/>
    <n v="19.54"/>
    <n v="631"/>
    <s v="住居"/>
    <s v="1R"/>
    <n v="59000"/>
    <n v="2000"/>
    <n v="0"/>
    <n v="0"/>
    <n v="61000"/>
    <n v="61000"/>
    <n v="0"/>
    <n v="61000"/>
    <n v="61000"/>
    <s v="日本人等"/>
    <s v="yes"/>
    <s v=""/>
    <m/>
    <s v="107_310"/>
    <n v="62000"/>
    <m/>
    <n v="1"/>
    <n v="61000"/>
    <n v="0"/>
    <n v="-1000"/>
    <n v="1"/>
    <x v="0"/>
  </r>
  <r>
    <n v="163"/>
    <n v="107"/>
    <x v="6"/>
    <s v="311"/>
    <n v="18.47"/>
    <n v="631"/>
    <s v="住居"/>
    <s v="1R"/>
    <n v="60000"/>
    <n v="3000"/>
    <n v="0"/>
    <n v="0"/>
    <n v="63000"/>
    <n v="61000"/>
    <n v="0"/>
    <n v="61000"/>
    <n v="63000"/>
    <s v="新興国系"/>
    <s v="yes"/>
    <s v=""/>
    <m/>
    <s v="107_311"/>
    <n v="63000"/>
    <m/>
    <n v="1"/>
    <n v="63000"/>
    <n v="-2000"/>
    <n v="0"/>
    <n v="1"/>
    <x v="0"/>
  </r>
  <r>
    <n v="164"/>
    <n v="107"/>
    <x v="6"/>
    <s v="312"/>
    <n v="16.2"/>
    <n v="631"/>
    <s v="住居"/>
    <s v="1R"/>
    <n v="59000"/>
    <n v="0"/>
    <n v="0"/>
    <n v="0"/>
    <n v="59000"/>
    <n v="59000"/>
    <n v="0"/>
    <n v="59000"/>
    <n v="59000"/>
    <s v="日本人等"/>
    <s v="yes"/>
    <s v=""/>
    <m/>
    <s v="107_312"/>
    <n v="59000"/>
    <m/>
    <n v="1"/>
    <n v="59000"/>
    <n v="0"/>
    <n v="0"/>
    <n v="1"/>
    <x v="0"/>
  </r>
  <r>
    <n v="165"/>
    <n v="107"/>
    <x v="6"/>
    <s v="1F"/>
    <n v="430"/>
    <n v="633"/>
    <s v="店舗"/>
    <s v="店舗"/>
    <n v="1000000"/>
    <n v="0"/>
    <n v="0"/>
    <n v="100000"/>
    <n v="1100000"/>
    <n v="1000000"/>
    <n v="100000"/>
    <n v="1100000"/>
    <n v="1100000"/>
    <s v="法人契約"/>
    <s v="yes"/>
    <s v=""/>
    <m/>
    <s v="107_1F"/>
    <n v="1000000"/>
    <m/>
    <n v="1"/>
    <n v="1000000"/>
    <n v="0"/>
    <n v="0"/>
    <n v="1"/>
    <x v="0"/>
  </r>
  <r>
    <n v="166"/>
    <n v="107"/>
    <x v="6"/>
    <s v="NTD1"/>
    <s v="-"/>
    <n v="639"/>
    <s v="その他"/>
    <s v="その他"/>
    <n v="0"/>
    <n v="0"/>
    <n v="0"/>
    <n v="0"/>
    <n v="0"/>
    <n v="0"/>
    <n v="0"/>
    <n v="0"/>
    <n v="0"/>
    <s v="-"/>
    <s v="no"/>
    <s v="電柱"/>
    <m/>
    <s v="107_NTD1"/>
    <n v="0"/>
    <m/>
    <n v="0"/>
    <n v="0"/>
    <n v="0"/>
    <n v="0"/>
    <n v="0"/>
    <x v="0"/>
  </r>
  <r>
    <n v="167"/>
    <n v="109"/>
    <x v="7"/>
    <s v="101"/>
    <n v="21.5"/>
    <n v="631"/>
    <s v="住居"/>
    <s v="1K"/>
    <n v="50000"/>
    <n v="0"/>
    <n v="0"/>
    <n v="0"/>
    <n v="50000"/>
    <n v="50000"/>
    <n v="0"/>
    <n v="50000"/>
    <n v="50000"/>
    <s v="日本人等"/>
    <s v="yes"/>
    <s v=""/>
    <m/>
    <s v="109_101"/>
    <n v="20000"/>
    <m/>
    <n v="1"/>
    <n v="50000"/>
    <n v="0"/>
    <n v="30000"/>
    <n v="1"/>
    <x v="0"/>
  </r>
  <r>
    <n v="168"/>
    <n v="109"/>
    <x v="7"/>
    <s v="102"/>
    <n v="21.87"/>
    <n v="631"/>
    <s v="住居"/>
    <s v="1DK"/>
    <n v="68000"/>
    <n v="0"/>
    <n v="0"/>
    <n v="0"/>
    <n v="68000"/>
    <n v="68000"/>
    <n v="0"/>
    <n v="68000"/>
    <n v="68000"/>
    <s v="日本人等"/>
    <s v="yes"/>
    <s v=""/>
    <m/>
    <s v="109_102"/>
    <n v="68000"/>
    <m/>
    <n v="1"/>
    <n v="68000"/>
    <n v="0"/>
    <n v="0"/>
    <n v="1"/>
    <x v="0"/>
  </r>
  <r>
    <n v="169"/>
    <n v="109"/>
    <x v="7"/>
    <s v="103"/>
    <n v="17.43"/>
    <n v="631"/>
    <s v="住居"/>
    <s v="1R"/>
    <n v="62000"/>
    <n v="3000"/>
    <n v="0"/>
    <n v="0"/>
    <n v="65000"/>
    <n v="65000"/>
    <n v="0"/>
    <n v="65000"/>
    <n v="65000"/>
    <s v="新興国系"/>
    <s v="yes"/>
    <s v=""/>
    <m/>
    <s v="109_103"/>
    <n v="60000"/>
    <m/>
    <n v="1"/>
    <n v="65000"/>
    <n v="0"/>
    <n v="5000"/>
    <n v="1"/>
    <x v="0"/>
  </r>
  <r>
    <n v="170"/>
    <n v="109"/>
    <x v="7"/>
    <s v="105"/>
    <n v="21.77"/>
    <n v="631"/>
    <s v="住居"/>
    <s v="1K"/>
    <n v="67000"/>
    <n v="3000"/>
    <n v="0"/>
    <n v="0"/>
    <n v="70000"/>
    <n v="78000"/>
    <n v="0"/>
    <n v="78000"/>
    <n v="70000"/>
    <s v="日本人等"/>
    <s v="yes"/>
    <s v=""/>
    <m/>
    <s v="109_105"/>
    <n v="82000"/>
    <m/>
    <n v="1"/>
    <n v="70000"/>
    <n v="8000"/>
    <n v="-12000"/>
    <n v="1"/>
    <x v="0"/>
  </r>
  <r>
    <n v="171"/>
    <n v="109"/>
    <x v="7"/>
    <s v="107"/>
    <n v="25.25"/>
    <n v="631"/>
    <s v="住居"/>
    <s v="1DK"/>
    <n v="80000"/>
    <n v="3000"/>
    <n v="0"/>
    <n v="0"/>
    <n v="83000"/>
    <n v="86300"/>
    <n v="0"/>
    <n v="86300"/>
    <n v="83000"/>
    <s v="日本人等"/>
    <s v="yes"/>
    <s v=""/>
    <m/>
    <s v="109_107"/>
    <n v="86000"/>
    <m/>
    <n v="1"/>
    <n v="83000"/>
    <n v="3300"/>
    <n v="-3000"/>
    <n v="1"/>
    <x v="0"/>
  </r>
  <r>
    <n v="172"/>
    <n v="109"/>
    <x v="7"/>
    <s v="108"/>
    <n v="34"/>
    <n v="631"/>
    <s v="住居"/>
    <s v="1DK"/>
    <n v="101000"/>
    <n v="5000"/>
    <n v="0"/>
    <n v="0"/>
    <n v="106000"/>
    <n v="95000"/>
    <n v="0"/>
    <n v="95000"/>
    <n v="106000"/>
    <s v="日本人等"/>
    <s v="yes"/>
    <s v=""/>
    <m/>
    <s v="109_108"/>
    <n v="95000"/>
    <m/>
    <n v="1"/>
    <n v="106000"/>
    <n v="-11000"/>
    <n v="11000"/>
    <n v="1"/>
    <x v="0"/>
  </r>
  <r>
    <n v="173"/>
    <n v="109"/>
    <x v="7"/>
    <s v="111"/>
    <n v="62.64"/>
    <n v="631"/>
    <s v="住居"/>
    <s v="3LDK"/>
    <n v="145000"/>
    <n v="0"/>
    <n v="0"/>
    <n v="0"/>
    <n v="145000"/>
    <n v="145000"/>
    <n v="0"/>
    <n v="145000"/>
    <n v="145000"/>
    <s v="日本人等"/>
    <s v="yes"/>
    <s v=""/>
    <m/>
    <s v="109_111"/>
    <n v="145000"/>
    <m/>
    <n v="1"/>
    <n v="145000"/>
    <n v="0"/>
    <n v="0"/>
    <n v="1"/>
    <x v="0"/>
  </r>
  <r>
    <n v="174"/>
    <n v="109"/>
    <x v="7"/>
    <s v="112"/>
    <n v="62.64"/>
    <n v="631"/>
    <s v="住居"/>
    <s v="3LDK"/>
    <n v="160000"/>
    <n v="5000"/>
    <n v="0"/>
    <n v="0"/>
    <n v="165000"/>
    <n v="165000"/>
    <n v="0"/>
    <n v="165000"/>
    <n v="165000"/>
    <s v="中華系"/>
    <s v="yes"/>
    <s v=""/>
    <m/>
    <s v="109_112"/>
    <n v="150000"/>
    <m/>
    <n v="1"/>
    <n v="165000"/>
    <n v="0"/>
    <n v="15000"/>
    <n v="1"/>
    <x v="0"/>
  </r>
  <r>
    <n v="175"/>
    <n v="109"/>
    <x v="7"/>
    <s v="221"/>
    <n v="62.64"/>
    <n v="631"/>
    <s v="住居"/>
    <s v="3LDK"/>
    <n v="150000"/>
    <n v="0"/>
    <n v="0"/>
    <n v="0"/>
    <n v="150000"/>
    <n v="150000"/>
    <n v="0"/>
    <n v="150000"/>
    <n v="150000"/>
    <s v="住居法人契約"/>
    <s v="yes"/>
    <s v=""/>
    <m/>
    <s v="109_221"/>
    <n v="150000"/>
    <m/>
    <n v="1"/>
    <n v="150000"/>
    <n v="0"/>
    <n v="0"/>
    <n v="1"/>
    <x v="0"/>
  </r>
  <r>
    <n v="176"/>
    <n v="109"/>
    <x v="7"/>
    <s v="222"/>
    <n v="62.64"/>
    <n v="631"/>
    <s v="住居"/>
    <s v="3LDK"/>
    <n v="175000"/>
    <n v="5000"/>
    <n v="0"/>
    <n v="0"/>
    <n v="180000"/>
    <n v="180000"/>
    <n v="0"/>
    <n v="180000"/>
    <n v="180000"/>
    <s v="日本人等"/>
    <s v="yes"/>
    <s v=""/>
    <m/>
    <s v="109_222"/>
    <n v="155000"/>
    <m/>
    <n v="1"/>
    <n v="180000"/>
    <n v="0"/>
    <n v="25000"/>
    <n v="1"/>
    <x v="0"/>
  </r>
  <r>
    <n v="177"/>
    <n v="109"/>
    <x v="7"/>
    <s v="331"/>
    <n v="62.64"/>
    <n v="631"/>
    <s v="住居"/>
    <s v="3LDK"/>
    <n v="150000"/>
    <n v="0"/>
    <n v="0"/>
    <n v="0"/>
    <n v="150000"/>
    <n v="150000"/>
    <n v="0"/>
    <n v="150000"/>
    <n v="150000"/>
    <s v="日本人等"/>
    <s v="yes"/>
    <s v=""/>
    <m/>
    <s v="109_331"/>
    <n v="150000"/>
    <m/>
    <n v="1"/>
    <n v="150000"/>
    <n v="0"/>
    <n v="0"/>
    <n v="1"/>
    <x v="0"/>
  </r>
  <r>
    <n v="178"/>
    <n v="109"/>
    <x v="7"/>
    <s v="332"/>
    <n v="62.64"/>
    <n v="631"/>
    <s v="住居"/>
    <s v="3LDK"/>
    <n v="180000"/>
    <n v="5000"/>
    <n v="0"/>
    <n v="0"/>
    <n v="185000"/>
    <n v="180000"/>
    <n v="0"/>
    <n v="180000"/>
    <n v="185000"/>
    <s v="日本人等"/>
    <s v="yes"/>
    <s v=""/>
    <m/>
    <s v="109_332"/>
    <n v="150000"/>
    <m/>
    <n v="1"/>
    <n v="185000"/>
    <n v="-5000"/>
    <n v="35000"/>
    <n v="1"/>
    <x v="0"/>
  </r>
  <r>
    <n v="179"/>
    <n v="109"/>
    <x v="7"/>
    <s v="P1"/>
    <n v="0"/>
    <n v="634"/>
    <s v="駐車場"/>
    <s v="駐車場"/>
    <n v="24545"/>
    <n v="0"/>
    <n v="0"/>
    <n v="2455"/>
    <n v="27000"/>
    <n v="24545"/>
    <n v="2454.5454545454545"/>
    <n v="26999.545454545456"/>
    <n v="27000"/>
    <s v="法人契約"/>
    <s v="yes"/>
    <s v=""/>
    <m/>
    <s v="109_P1"/>
    <n v="25000"/>
    <m/>
    <n v="1"/>
    <n v="24545"/>
    <n v="0"/>
    <n v="-455"/>
    <n v="1"/>
    <x v="0"/>
  </r>
  <r>
    <n v="180"/>
    <n v="109"/>
    <x v="7"/>
    <s v="RF1"/>
    <n v="0"/>
    <n v="635"/>
    <s v="アンテナ"/>
    <s v="その他"/>
    <n v="53467"/>
    <n v="0"/>
    <n v="0"/>
    <n v="5346"/>
    <n v="58813"/>
    <n v="53466"/>
    <n v="5346.636363636364"/>
    <n v="58812.636363636368"/>
    <n v="58813"/>
    <s v="-"/>
    <s v="yes"/>
    <s v="ソフトバンクモバイル"/>
    <m/>
    <s v="109_RF1"/>
    <n v="53467"/>
    <m/>
    <n v="1"/>
    <n v="53467"/>
    <n v="-1"/>
    <n v="0"/>
    <n v="1"/>
    <x v="0"/>
  </r>
  <r>
    <n v="181"/>
    <n v="109"/>
    <x v="7"/>
    <s v="RF2"/>
    <n v="0"/>
    <n v="635"/>
    <s v="アンテナ"/>
    <s v="その他"/>
    <n v="12817"/>
    <n v="0"/>
    <n v="0"/>
    <n v="1281"/>
    <n v="14098"/>
    <n v="12816"/>
    <n v="1281.6363636363637"/>
    <n v="14097.636363636364"/>
    <n v="14098"/>
    <s v="-"/>
    <s v="yes"/>
    <s v="ドコモ"/>
    <m/>
    <s v="109_RF2"/>
    <n v="12817"/>
    <m/>
    <n v="1"/>
    <n v="12817"/>
    <n v="-1"/>
    <n v="0"/>
    <n v="1"/>
    <x v="0"/>
  </r>
  <r>
    <n v="182"/>
    <n v="109"/>
    <x v="7"/>
    <s v="NTF1"/>
    <s v="-"/>
    <n v="639"/>
    <s v="その他"/>
    <s v="その他"/>
    <n v="0"/>
    <n v="0"/>
    <n v="0"/>
    <n v="0"/>
    <n v="0"/>
    <n v="0"/>
    <n v="0"/>
    <n v="0"/>
    <n v="0"/>
    <s v="-"/>
    <s v="no"/>
    <s v="フレッツ光"/>
    <m/>
    <s v="109_NTF1"/>
    <n v="0"/>
    <m/>
    <n v="0"/>
    <n v="0"/>
    <n v="0"/>
    <n v="0"/>
    <n v="0"/>
    <x v="0"/>
  </r>
  <r>
    <n v="183"/>
    <n v="109"/>
    <x v="7"/>
    <s v="100"/>
    <n v="0"/>
    <n v="636"/>
    <s v="倉庫"/>
    <s v="倉庫"/>
    <n v="16000"/>
    <n v="0"/>
    <n v="0"/>
    <n v="1600"/>
    <n v="17600"/>
    <n v="16000"/>
    <n v="1600"/>
    <n v="17600"/>
    <n v="17600"/>
    <s v="日本人等"/>
    <s v="yes"/>
    <s v=""/>
    <m/>
    <s v="109_100"/>
    <n v="0"/>
    <m/>
    <n v="1"/>
    <n v="16000"/>
    <n v="0"/>
    <n v="16000"/>
    <n v="1"/>
    <x v="0"/>
  </r>
  <r>
    <n v="184"/>
    <n v="111"/>
    <x v="8"/>
    <s v="SL1"/>
    <s v="-"/>
    <n v="631"/>
    <s v="住居"/>
    <s v="1K"/>
    <n v="1758634"/>
    <n v="0"/>
    <n v="0"/>
    <n v="0"/>
    <n v="1758634"/>
    <n v="1752707"/>
    <n v="0"/>
    <n v="1752707"/>
    <n v="1758634"/>
    <s v="一括貸し"/>
    <s v="yes"/>
    <s v="公益団体に一括貸し"/>
    <m/>
    <s v="111_SL1"/>
    <n v="1752707"/>
    <m/>
    <n v="1"/>
    <n v="1758634"/>
    <n v="-5927"/>
    <n v="5927"/>
    <n v="0"/>
    <x v="0"/>
  </r>
  <r>
    <n v="185"/>
    <n v="111"/>
    <x v="8"/>
    <s v="201"/>
    <n v="45.527000000000001"/>
    <n v="631"/>
    <s v="住居"/>
    <s v="2DK"/>
    <s v="-"/>
    <s v="-"/>
    <s v="-"/>
    <s v="-"/>
    <n v="0"/>
    <n v="91000"/>
    <n v="0"/>
    <n v="91000"/>
    <n v="91000"/>
    <s v="-"/>
    <s v="yes"/>
    <s v="普通借家想定91000円"/>
    <m/>
    <s v="111_201"/>
    <n v="0"/>
    <m/>
    <n v="0"/>
    <n v="91000"/>
    <n v="0"/>
    <n v="91000"/>
    <n v="1"/>
    <x v="1"/>
  </r>
  <r>
    <n v="186"/>
    <n v="111"/>
    <x v="8"/>
    <s v="202"/>
    <n v="45.527000000000001"/>
    <n v="631"/>
    <s v="住居"/>
    <s v="2DK"/>
    <s v="-"/>
    <s v="-"/>
    <s v="-"/>
    <s v="-"/>
    <n v="0"/>
    <n v="91000"/>
    <n v="0"/>
    <n v="91000"/>
    <n v="91000"/>
    <s v="-"/>
    <s v="yes"/>
    <s v="普通借家想定91000円"/>
    <m/>
    <s v="111_202"/>
    <n v="0"/>
    <m/>
    <n v="0"/>
    <n v="91000"/>
    <n v="0"/>
    <n v="91000"/>
    <n v="1"/>
    <x v="1"/>
  </r>
  <r>
    <n v="187"/>
    <n v="111"/>
    <x v="8"/>
    <s v="203"/>
    <n v="45.527000000000001"/>
    <n v="631"/>
    <s v="住居"/>
    <s v="2DK"/>
    <s v="-"/>
    <s v="-"/>
    <s v="-"/>
    <s v="-"/>
    <n v="0"/>
    <n v="91000"/>
    <n v="0"/>
    <n v="91000"/>
    <n v="91000"/>
    <s v="-"/>
    <s v="yes"/>
    <s v="普通借家想定91000円"/>
    <m/>
    <s v="111_203"/>
    <n v="0"/>
    <m/>
    <n v="0"/>
    <n v="91000"/>
    <n v="0"/>
    <n v="91000"/>
    <n v="1"/>
    <x v="1"/>
  </r>
  <r>
    <n v="188"/>
    <n v="111"/>
    <x v="8"/>
    <s v="205"/>
    <n v="23.193000000000001"/>
    <n v="631"/>
    <s v="住居"/>
    <s v="1DK"/>
    <s v="-"/>
    <s v="-"/>
    <s v="-"/>
    <s v="-"/>
    <n v="0"/>
    <n v="91000"/>
    <n v="0"/>
    <n v="91000"/>
    <n v="91000"/>
    <s v="-"/>
    <s v="yes"/>
    <s v="普通借家想定91000円"/>
    <m/>
    <s v="111_205"/>
    <n v="0"/>
    <m/>
    <n v="0"/>
    <n v="91000"/>
    <n v="0"/>
    <n v="91000"/>
    <n v="1"/>
    <x v="1"/>
  </r>
  <r>
    <n v="189"/>
    <n v="111"/>
    <x v="8"/>
    <s v="301"/>
    <n v="45.527000000000001"/>
    <n v="631"/>
    <s v="住居"/>
    <s v="2DK"/>
    <s v="-"/>
    <s v="-"/>
    <s v="-"/>
    <s v="-"/>
    <n v="0"/>
    <n v="91000"/>
    <n v="0"/>
    <n v="91000"/>
    <n v="91000"/>
    <s v="-"/>
    <s v="yes"/>
    <s v="普通借家想定91000円"/>
    <m/>
    <s v="111_301"/>
    <n v="0"/>
    <m/>
    <n v="0"/>
    <n v="91000"/>
    <n v="0"/>
    <n v="91000"/>
    <n v="1"/>
    <x v="1"/>
  </r>
  <r>
    <n v="190"/>
    <n v="111"/>
    <x v="8"/>
    <s v="302"/>
    <n v="45.527000000000001"/>
    <n v="631"/>
    <s v="住居"/>
    <s v="2DK"/>
    <s v="-"/>
    <s v="-"/>
    <s v="-"/>
    <s v="-"/>
    <n v="0"/>
    <n v="91000"/>
    <n v="0"/>
    <n v="91000"/>
    <n v="91000"/>
    <s v="-"/>
    <s v="yes"/>
    <s v="普通借家想定91000円"/>
    <m/>
    <s v="111_302"/>
    <n v="0"/>
    <m/>
    <n v="0"/>
    <n v="91000"/>
    <n v="0"/>
    <n v="91000"/>
    <n v="1"/>
    <x v="1"/>
  </r>
  <r>
    <n v="191"/>
    <n v="111"/>
    <x v="8"/>
    <s v="303"/>
    <n v="60.988999999999997"/>
    <n v="631"/>
    <s v="住居"/>
    <s v="2DK"/>
    <s v="-"/>
    <s v="-"/>
    <s v="-"/>
    <s v="-"/>
    <n v="0"/>
    <n v="91000"/>
    <n v="0"/>
    <n v="91000"/>
    <n v="91000"/>
    <s v="-"/>
    <s v="yes"/>
    <s v="普通借家想定91000円"/>
    <m/>
    <s v="111_303"/>
    <n v="0"/>
    <m/>
    <n v="0"/>
    <n v="91000"/>
    <n v="0"/>
    <n v="91000"/>
    <n v="1"/>
    <x v="1"/>
  </r>
  <r>
    <n v="192"/>
    <n v="111"/>
    <x v="8"/>
    <s v="401"/>
    <n v="45.527000000000001"/>
    <n v="631"/>
    <s v="住居"/>
    <s v="2DK"/>
    <s v="-"/>
    <s v="-"/>
    <s v="-"/>
    <s v="-"/>
    <n v="0"/>
    <n v="91000"/>
    <n v="0"/>
    <n v="91000"/>
    <n v="91000"/>
    <s v="-"/>
    <s v="yes"/>
    <s v="普通借家想定91000円"/>
    <m/>
    <s v="111_401"/>
    <n v="0"/>
    <m/>
    <n v="0"/>
    <n v="91000"/>
    <n v="0"/>
    <n v="91000"/>
    <n v="1"/>
    <x v="1"/>
  </r>
  <r>
    <n v="193"/>
    <n v="111"/>
    <x v="8"/>
    <s v="402"/>
    <n v="45.527000000000001"/>
    <n v="631"/>
    <s v="住居"/>
    <s v="2DK"/>
    <s v="-"/>
    <s v="-"/>
    <s v="-"/>
    <s v="-"/>
    <n v="0"/>
    <n v="91000"/>
    <n v="0"/>
    <n v="91000"/>
    <n v="91000"/>
    <s v="-"/>
    <s v="yes"/>
    <s v="普通借家想定91000円"/>
    <m/>
    <s v="111_402"/>
    <n v="0"/>
    <m/>
    <n v="0"/>
    <n v="91000"/>
    <n v="0"/>
    <n v="91000"/>
    <n v="1"/>
    <x v="1"/>
  </r>
  <r>
    <n v="194"/>
    <n v="111"/>
    <x v="8"/>
    <s v="403"/>
    <n v="45.527000000000001"/>
    <n v="631"/>
    <s v="住居"/>
    <s v="2DK"/>
    <s v="-"/>
    <s v="-"/>
    <s v="-"/>
    <s v="-"/>
    <n v="0"/>
    <n v="91000"/>
    <n v="0"/>
    <n v="91000"/>
    <n v="91000"/>
    <s v="-"/>
    <s v="yes"/>
    <s v="普通借家想定91000円"/>
    <m/>
    <s v="111_403"/>
    <n v="0"/>
    <m/>
    <n v="0"/>
    <n v="91000"/>
    <n v="0"/>
    <n v="91000"/>
    <n v="1"/>
    <x v="1"/>
  </r>
  <r>
    <n v="195"/>
    <n v="111"/>
    <x v="8"/>
    <s v="PSL1"/>
    <s v="-"/>
    <n v="634"/>
    <s v="駐車場"/>
    <s v="駐車場"/>
    <n v="83400"/>
    <n v="0"/>
    <n v="0"/>
    <n v="8340"/>
    <n v="91740"/>
    <n v="83400"/>
    <n v="8340"/>
    <n v="91740"/>
    <n v="91740"/>
    <s v="一括貸し"/>
    <s v="yes"/>
    <s v=""/>
    <m/>
    <s v="111_PSL1"/>
    <n v="90072"/>
    <m/>
    <n v="1"/>
    <n v="83400"/>
    <n v="0"/>
    <n v="-6672"/>
    <n v="0"/>
    <x v="0"/>
  </r>
  <r>
    <n v="196"/>
    <n v="111"/>
    <x v="8"/>
    <s v="PSL2"/>
    <s v="-"/>
    <n v="634"/>
    <s v="駐車場"/>
    <s v="駐車場"/>
    <n v="20000"/>
    <n v="0"/>
    <n v="0"/>
    <n v="2000"/>
    <n v="22000"/>
    <n v="20000"/>
    <n v="2000"/>
    <n v="22000"/>
    <n v="22000"/>
    <s v="一括貸し"/>
    <s v="yes"/>
    <s v=""/>
    <m/>
    <s v="111_PSL2"/>
    <n v="20571"/>
    <m/>
    <n v="1"/>
    <n v="20000"/>
    <n v="0"/>
    <n v="-571"/>
    <n v="0"/>
    <x v="0"/>
  </r>
  <r>
    <n v="197"/>
    <n v="111"/>
    <x v="8"/>
    <s v="P001"/>
    <n v="0"/>
    <n v="634"/>
    <s v="駐車場"/>
    <s v="駐車場"/>
    <s v="-"/>
    <s v="-"/>
    <s v="-"/>
    <s v="-"/>
    <n v="0"/>
    <n v="10000"/>
    <n v="1000"/>
    <n v="11000"/>
    <n v="11000"/>
    <s v="-"/>
    <s v="yes"/>
    <s v="自動車駐車場"/>
    <m/>
    <s v="111_P001"/>
    <n v="0"/>
    <m/>
    <n v="0"/>
    <n v="10000"/>
    <n v="0"/>
    <n v="10000"/>
    <n v="1"/>
    <x v="1"/>
  </r>
  <r>
    <n v="198"/>
    <n v="111"/>
    <x v="8"/>
    <s v="P002"/>
    <n v="0"/>
    <n v="634"/>
    <s v="駐車場"/>
    <s v="駐車場"/>
    <s v="-"/>
    <s v="-"/>
    <s v="-"/>
    <s v="-"/>
    <n v="0"/>
    <n v="10000"/>
    <n v="1000"/>
    <n v="11000"/>
    <n v="11000"/>
    <s v="-"/>
    <s v="yes"/>
    <s v="自動車駐車場"/>
    <m/>
    <s v="111_P002"/>
    <n v="0"/>
    <m/>
    <n v="0"/>
    <n v="10000"/>
    <n v="0"/>
    <n v="10000"/>
    <n v="1"/>
    <x v="1"/>
  </r>
  <r>
    <n v="199"/>
    <n v="111"/>
    <x v="8"/>
    <s v="P003"/>
    <n v="0"/>
    <n v="634"/>
    <s v="駐車場"/>
    <s v="駐車場"/>
    <s v="-"/>
    <s v="-"/>
    <s v="-"/>
    <s v="-"/>
    <n v="0"/>
    <n v="10000"/>
    <n v="1000"/>
    <n v="11000"/>
    <n v="11000"/>
    <s v="-"/>
    <s v="yes"/>
    <s v="自動車駐車場"/>
    <m/>
    <s v="111_P003"/>
    <n v="0"/>
    <m/>
    <n v="0"/>
    <n v="10000"/>
    <n v="0"/>
    <n v="10000"/>
    <n v="1"/>
    <x v="1"/>
  </r>
  <r>
    <n v="200"/>
    <n v="111"/>
    <x v="8"/>
    <s v="P004"/>
    <n v="0"/>
    <n v="634"/>
    <s v="駐車場"/>
    <s v="駐車場"/>
    <s v="-"/>
    <s v="-"/>
    <s v="-"/>
    <s v="-"/>
    <n v="0"/>
    <n v="10000"/>
    <n v="1000"/>
    <n v="11000"/>
    <n v="11000"/>
    <s v="-"/>
    <s v="yes"/>
    <s v="自動車駐車場"/>
    <m/>
    <s v="111_P004"/>
    <n v="0"/>
    <m/>
    <n v="0"/>
    <n v="10000"/>
    <n v="0"/>
    <n v="10000"/>
    <n v="1"/>
    <x v="1"/>
  </r>
  <r>
    <n v="201"/>
    <n v="111"/>
    <x v="8"/>
    <s v="P005"/>
    <n v="0"/>
    <n v="634"/>
    <s v="駐車場"/>
    <s v="駐車場"/>
    <s v="-"/>
    <s v="-"/>
    <s v="-"/>
    <s v="-"/>
    <n v="0"/>
    <n v="10000"/>
    <n v="1000"/>
    <n v="11000"/>
    <n v="11000"/>
    <s v="-"/>
    <s v="yes"/>
    <s v="自動車駐車場"/>
    <m/>
    <s v="111_P005"/>
    <n v="0"/>
    <m/>
    <n v="0"/>
    <n v="10000"/>
    <n v="0"/>
    <n v="10000"/>
    <n v="1"/>
    <x v="1"/>
  </r>
  <r>
    <n v="202"/>
    <n v="111"/>
    <x v="8"/>
    <s v="P006"/>
    <n v="0"/>
    <n v="634"/>
    <s v="駐車場"/>
    <s v="駐車場"/>
    <s v="-"/>
    <s v="-"/>
    <s v="-"/>
    <s v="-"/>
    <n v="0"/>
    <n v="10000"/>
    <n v="1000"/>
    <n v="11000"/>
    <n v="11000"/>
    <s v="-"/>
    <s v="yes"/>
    <s v="自動車駐車場"/>
    <m/>
    <s v="111_P006"/>
    <n v="0"/>
    <m/>
    <n v="0"/>
    <n v="10000"/>
    <n v="0"/>
    <n v="10000"/>
    <n v="1"/>
    <x v="1"/>
  </r>
  <r>
    <n v="203"/>
    <n v="111"/>
    <x v="8"/>
    <s v="B001"/>
    <n v="0"/>
    <n v="634"/>
    <s v="駐車場"/>
    <s v="駐車場"/>
    <s v="-"/>
    <s v="-"/>
    <s v="-"/>
    <s v="-"/>
    <n v="0"/>
    <n v="5000"/>
    <n v="500"/>
    <n v="5500"/>
    <n v="5500"/>
    <s v="-"/>
    <s v="yes"/>
    <s v="バイク置き場"/>
    <m/>
    <s v="111_B001"/>
    <n v="0"/>
    <m/>
    <n v="0"/>
    <n v="5000"/>
    <n v="0"/>
    <n v="5000"/>
    <n v="1"/>
    <x v="1"/>
  </r>
  <r>
    <n v="204"/>
    <n v="111"/>
    <x v="8"/>
    <s v="B002"/>
    <n v="0"/>
    <n v="634"/>
    <s v="駐車場"/>
    <s v="駐車場"/>
    <s v="-"/>
    <s v="-"/>
    <s v="-"/>
    <s v="-"/>
    <n v="0"/>
    <n v="5000"/>
    <n v="500"/>
    <n v="5500"/>
    <n v="5500"/>
    <s v="-"/>
    <s v="yes"/>
    <s v="バイク置き場"/>
    <m/>
    <s v="111_B002"/>
    <n v="0"/>
    <m/>
    <n v="0"/>
    <n v="5000"/>
    <n v="0"/>
    <n v="5000"/>
    <n v="1"/>
    <x v="1"/>
  </r>
  <r>
    <n v="205"/>
    <n v="111"/>
    <x v="8"/>
    <s v="B003"/>
    <n v="0"/>
    <n v="634"/>
    <s v="駐車場"/>
    <s v="駐車場"/>
    <s v="-"/>
    <s v="-"/>
    <s v="-"/>
    <s v="-"/>
    <n v="0"/>
    <n v="5000"/>
    <n v="500"/>
    <n v="5500"/>
    <n v="5500"/>
    <s v="-"/>
    <s v="yes"/>
    <s v="バイク置き場"/>
    <m/>
    <s v="111_B003"/>
    <n v="0"/>
    <m/>
    <n v="0"/>
    <n v="5000"/>
    <n v="0"/>
    <n v="5000"/>
    <n v="1"/>
    <x v="1"/>
  </r>
  <r>
    <n v="206"/>
    <n v="111"/>
    <x v="8"/>
    <s v="B004"/>
    <n v="0"/>
    <n v="634"/>
    <s v="駐車場"/>
    <s v="駐車場"/>
    <s v="-"/>
    <s v="-"/>
    <s v="-"/>
    <s v="-"/>
    <n v="0"/>
    <n v="5000"/>
    <n v="500"/>
    <n v="5500"/>
    <n v="5500"/>
    <s v="-"/>
    <s v="yes"/>
    <s v="バイク置き場"/>
    <m/>
    <s v="111_B004"/>
    <n v="0"/>
    <m/>
    <n v="0"/>
    <n v="5000"/>
    <n v="0"/>
    <n v="5000"/>
    <n v="1"/>
    <x v="1"/>
  </r>
  <r>
    <n v="207"/>
    <n v="111"/>
    <x v="8"/>
    <s v="B005"/>
    <n v="0"/>
    <n v="634"/>
    <s v="駐車場"/>
    <s v="駐車場"/>
    <s v="-"/>
    <s v="-"/>
    <s v="-"/>
    <s v="-"/>
    <n v="0"/>
    <n v="5000"/>
    <n v="500"/>
    <n v="5500"/>
    <n v="5500"/>
    <s v="-"/>
    <s v="yes"/>
    <s v="バイク置き場"/>
    <m/>
    <s v="111_B005"/>
    <n v="0"/>
    <m/>
    <n v="0"/>
    <n v="5000"/>
    <n v="0"/>
    <n v="5000"/>
    <n v="1"/>
    <x v="1"/>
  </r>
  <r>
    <n v="208"/>
    <n v="112"/>
    <x v="9"/>
    <s v="101"/>
    <n v="491.32"/>
    <n v="632"/>
    <s v="事務所"/>
    <s v="事務所"/>
    <n v="2300000"/>
    <n v="0"/>
    <n v="0"/>
    <n v="230000"/>
    <n v="2530000"/>
    <n v="2300000"/>
    <n v="230000"/>
    <n v="2530000"/>
    <n v="2530000"/>
    <s v="法人契約"/>
    <s v="yes"/>
    <s v=""/>
    <m/>
    <s v="112_101"/>
    <n v="2500000"/>
    <m/>
    <n v="1"/>
    <n v="2300000"/>
    <n v="0"/>
    <n v="-200000"/>
    <n v="1"/>
    <x v="0"/>
  </r>
  <r>
    <n v="209"/>
    <n v="113"/>
    <x v="10"/>
    <s v="101"/>
    <n v="54.44"/>
    <n v="631"/>
    <s v="住居"/>
    <s v="3DK"/>
    <n v="120000"/>
    <n v="5000"/>
    <n v="0"/>
    <n v="0"/>
    <n v="125000"/>
    <n v="125000"/>
    <n v="0"/>
    <n v="125000"/>
    <n v="125000"/>
    <s v="中華系"/>
    <s v="yes"/>
    <s v=""/>
    <m/>
    <s v="113_101"/>
    <n v="117000"/>
    <m/>
    <n v="1"/>
    <n v="125000"/>
    <n v="0"/>
    <n v="8000"/>
    <n v="1"/>
    <x v="0"/>
  </r>
  <r>
    <n v="210"/>
    <n v="113"/>
    <x v="10"/>
    <s v="102"/>
    <n v="52.49"/>
    <n v="631"/>
    <s v="住居"/>
    <s v="3DK"/>
    <n v="113000"/>
    <n v="5000"/>
    <n v="0"/>
    <n v="0"/>
    <n v="118000"/>
    <n v="118000"/>
    <n v="0"/>
    <n v="118000"/>
    <n v="118000"/>
    <s v="日本人等"/>
    <s v="yes"/>
    <s v=""/>
    <m/>
    <s v="113_102"/>
    <n v="118000"/>
    <m/>
    <n v="1"/>
    <n v="118000"/>
    <n v="0"/>
    <n v="0"/>
    <n v="1"/>
    <x v="0"/>
  </r>
  <r>
    <n v="211"/>
    <n v="113"/>
    <x v="10"/>
    <s v="103"/>
    <n v="54.44"/>
    <n v="631"/>
    <s v="住居"/>
    <s v="3DK"/>
    <n v="110000"/>
    <n v="5000"/>
    <n v="0"/>
    <n v="0"/>
    <n v="115000"/>
    <n v="115000"/>
    <n v="0"/>
    <n v="115000"/>
    <n v="115000"/>
    <s v="日本人等"/>
    <s v="yes"/>
    <s v=""/>
    <m/>
    <s v="113_103"/>
    <n v="115000"/>
    <m/>
    <n v="1"/>
    <n v="115000"/>
    <n v="0"/>
    <n v="0"/>
    <n v="1"/>
    <x v="0"/>
  </r>
  <r>
    <n v="212"/>
    <n v="113"/>
    <x v="10"/>
    <s v="104"/>
    <n v="52.49"/>
    <n v="631"/>
    <s v="住居"/>
    <s v="3DK"/>
    <n v="113000"/>
    <n v="5000"/>
    <n v="0"/>
    <n v="0"/>
    <n v="118000"/>
    <n v="118000"/>
    <n v="0"/>
    <n v="118000"/>
    <n v="118000"/>
    <s v="日本人等"/>
    <s v="yes"/>
    <s v=""/>
    <m/>
    <s v="113_104"/>
    <n v="118000"/>
    <m/>
    <n v="1"/>
    <n v="118000"/>
    <n v="0"/>
    <n v="0"/>
    <n v="1"/>
    <x v="0"/>
  </r>
  <r>
    <n v="213"/>
    <n v="113"/>
    <x v="10"/>
    <s v="105"/>
    <n v="54.44"/>
    <n v="631"/>
    <s v="住居"/>
    <s v="3DK"/>
    <n v="110000"/>
    <n v="5000"/>
    <n v="0"/>
    <n v="0"/>
    <n v="115000"/>
    <n v="115000"/>
    <n v="0"/>
    <n v="115000"/>
    <n v="115000"/>
    <s v="日本人等"/>
    <s v="yes"/>
    <s v=""/>
    <m/>
    <s v="113_105"/>
    <n v="115000"/>
    <m/>
    <n v="1"/>
    <n v="115000"/>
    <n v="0"/>
    <n v="0"/>
    <n v="1"/>
    <x v="0"/>
  </r>
  <r>
    <n v="214"/>
    <n v="113"/>
    <x v="10"/>
    <s v="106"/>
    <n v="52.49"/>
    <n v="631"/>
    <s v="住居"/>
    <s v="3DK"/>
    <n v="120000"/>
    <n v="5000"/>
    <n v="0"/>
    <n v="0"/>
    <n v="125000"/>
    <n v="125000"/>
    <n v="0"/>
    <n v="125000"/>
    <n v="125000"/>
    <s v="中華系"/>
    <s v="yes"/>
    <s v=""/>
    <m/>
    <s v="113_106"/>
    <n v="117000"/>
    <m/>
    <n v="1"/>
    <n v="125000"/>
    <n v="0"/>
    <n v="8000"/>
    <n v="1"/>
    <x v="0"/>
  </r>
  <r>
    <n v="215"/>
    <n v="113"/>
    <x v="10"/>
    <s v="201"/>
    <n v="54.44"/>
    <n v="631"/>
    <s v="住居"/>
    <s v="3DK"/>
    <n v="130000"/>
    <n v="5000"/>
    <n v="0"/>
    <n v="0"/>
    <n v="135000"/>
    <n v="135000"/>
    <n v="0"/>
    <n v="135000"/>
    <n v="135000"/>
    <s v="中華系"/>
    <s v="yes"/>
    <s v=""/>
    <m/>
    <s v="113_201"/>
    <n v="120000"/>
    <m/>
    <n v="1"/>
    <n v="135000"/>
    <n v="0"/>
    <n v="15000"/>
    <n v="1"/>
    <x v="0"/>
  </r>
  <r>
    <n v="216"/>
    <n v="113"/>
    <x v="10"/>
    <s v="202"/>
    <n v="52.49"/>
    <n v="631"/>
    <s v="住居"/>
    <s v="3DK"/>
    <n v="120000"/>
    <n v="5000"/>
    <n v="0"/>
    <n v="0"/>
    <n v="125000"/>
    <n v="125000"/>
    <n v="0"/>
    <n v="125000"/>
    <n v="125000"/>
    <s v="中華系"/>
    <s v="yes"/>
    <s v=""/>
    <m/>
    <s v="113_202"/>
    <n v="140000"/>
    <m/>
    <n v="1"/>
    <n v="125000"/>
    <n v="0"/>
    <n v="-15000"/>
    <n v="1"/>
    <x v="0"/>
  </r>
  <r>
    <n v="217"/>
    <n v="113"/>
    <x v="10"/>
    <s v="203"/>
    <n v="54.44"/>
    <n v="631"/>
    <s v="住居"/>
    <s v="3DK"/>
    <n v="115000"/>
    <n v="5000"/>
    <n v="0"/>
    <n v="0"/>
    <n v="120000"/>
    <n v="120000"/>
    <n v="0"/>
    <n v="120000"/>
    <n v="120000"/>
    <s v="日本人等"/>
    <s v="yes"/>
    <s v=""/>
    <m/>
    <s v="113_203"/>
    <n v="116000"/>
    <m/>
    <n v="1"/>
    <n v="120000"/>
    <n v="0"/>
    <n v="4000"/>
    <n v="1"/>
    <x v="0"/>
  </r>
  <r>
    <n v="218"/>
    <n v="113"/>
    <x v="10"/>
    <s v="204"/>
    <n v="52.49"/>
    <n v="631"/>
    <s v="住居"/>
    <s v="3DK"/>
    <n v="130000"/>
    <n v="5000"/>
    <n v="0"/>
    <n v="0"/>
    <n v="135000"/>
    <n v="119000"/>
    <n v="0"/>
    <n v="119000"/>
    <n v="135000"/>
    <s v="住居法人契約"/>
    <s v="yes"/>
    <s v=""/>
    <m/>
    <s v="113_204"/>
    <n v="119000"/>
    <m/>
    <n v="1"/>
    <n v="135000"/>
    <n v="-16000"/>
    <n v="16000"/>
    <n v="1"/>
    <x v="0"/>
  </r>
  <r>
    <n v="219"/>
    <n v="113"/>
    <x v="10"/>
    <s v="205"/>
    <n v="54.44"/>
    <n v="631"/>
    <s v="住居"/>
    <s v="3DK"/>
    <n v="130000"/>
    <n v="5000"/>
    <n v="0"/>
    <n v="0"/>
    <n v="135000"/>
    <n v="120000"/>
    <n v="0"/>
    <n v="120000"/>
    <n v="135000"/>
    <s v="住居法人契約"/>
    <s v="yes"/>
    <s v=""/>
    <m/>
    <s v="113_205"/>
    <n v="120000"/>
    <m/>
    <n v="1"/>
    <n v="135000"/>
    <n v="-15000"/>
    <n v="15000"/>
    <n v="1"/>
    <x v="0"/>
  </r>
  <r>
    <n v="220"/>
    <n v="113"/>
    <x v="10"/>
    <s v="206"/>
    <n v="52.49"/>
    <n v="631"/>
    <s v="住居"/>
    <s v="3DK"/>
    <n v="130000"/>
    <n v="5000"/>
    <n v="0"/>
    <n v="0"/>
    <n v="135000"/>
    <n v="125000"/>
    <n v="0"/>
    <n v="125000"/>
    <n v="135000"/>
    <s v="住居法人契約"/>
    <s v="yes"/>
    <s v=""/>
    <m/>
    <s v="113_206"/>
    <n v="120000"/>
    <m/>
    <n v="1"/>
    <n v="135000"/>
    <n v="-10000"/>
    <n v="15000"/>
    <n v="1"/>
    <x v="0"/>
  </r>
  <r>
    <n v="221"/>
    <n v="113"/>
    <x v="10"/>
    <s v="301"/>
    <n v="54.44"/>
    <n v="631"/>
    <s v="住居"/>
    <s v="3DK"/>
    <n v="127000"/>
    <n v="5000"/>
    <n v="0"/>
    <n v="0"/>
    <n v="132000"/>
    <n v="137000"/>
    <n v="0"/>
    <n v="137000"/>
    <n v="132000"/>
    <s v="日本人等"/>
    <s v="yes"/>
    <s v=""/>
    <m/>
    <s v="113_301"/>
    <n v="120000"/>
    <m/>
    <n v="1"/>
    <n v="132000"/>
    <n v="5000"/>
    <n v="12000"/>
    <n v="1"/>
    <x v="0"/>
  </r>
  <r>
    <n v="222"/>
    <n v="113"/>
    <x v="10"/>
    <s v="302"/>
    <n v="52.49"/>
    <n v="631"/>
    <s v="住居"/>
    <s v="3DK"/>
    <n v="125000"/>
    <n v="5000"/>
    <n v="0"/>
    <n v="0"/>
    <n v="130000"/>
    <n v="130000"/>
    <n v="0"/>
    <n v="130000"/>
    <n v="130000"/>
    <s v="中華系"/>
    <s v="yes"/>
    <s v=""/>
    <m/>
    <s v="113_302"/>
    <n v="125000"/>
    <m/>
    <n v="1"/>
    <n v="130000"/>
    <n v="0"/>
    <n v="5000"/>
    <n v="1"/>
    <x v="0"/>
  </r>
  <r>
    <n v="223"/>
    <n v="113"/>
    <x v="10"/>
    <s v="303"/>
    <n v="54.44"/>
    <n v="631"/>
    <s v="住居"/>
    <s v="3DK"/>
    <n v="125000"/>
    <n v="5000"/>
    <n v="0"/>
    <n v="0"/>
    <n v="130000"/>
    <n v="125000"/>
    <n v="0"/>
    <n v="125000"/>
    <n v="130000"/>
    <s v="中華系"/>
    <s v="yes"/>
    <s v=""/>
    <m/>
    <s v="113_303"/>
    <n v="118000"/>
    <m/>
    <n v="1"/>
    <n v="130000"/>
    <n v="-5000"/>
    <n v="12000"/>
    <n v="1"/>
    <x v="0"/>
  </r>
  <r>
    <n v="224"/>
    <n v="113"/>
    <x v="10"/>
    <s v="304"/>
    <n v="52.49"/>
    <n v="631"/>
    <s v="住居"/>
    <s v="3DK"/>
    <n v="115000"/>
    <n v="5000"/>
    <n v="0"/>
    <n v="0"/>
    <n v="120000"/>
    <n v="120000"/>
    <n v="0"/>
    <n v="120000"/>
    <n v="120000"/>
    <s v="日本人等"/>
    <s v="yes"/>
    <s v=""/>
    <m/>
    <s v="113_304"/>
    <n v="120000"/>
    <m/>
    <n v="1"/>
    <n v="120000"/>
    <n v="0"/>
    <n v="0"/>
    <n v="1"/>
    <x v="0"/>
  </r>
  <r>
    <n v="225"/>
    <n v="113"/>
    <x v="10"/>
    <s v="305"/>
    <n v="54.44"/>
    <n v="631"/>
    <s v="住居"/>
    <s v="3DK"/>
    <n v="95000"/>
    <n v="0"/>
    <n v="0"/>
    <n v="0"/>
    <n v="95000"/>
    <n v="85000"/>
    <n v="0"/>
    <n v="85000"/>
    <n v="95000"/>
    <s v="日本人等"/>
    <s v="yes"/>
    <s v=""/>
    <m/>
    <s v="113_305"/>
    <n v="85000"/>
    <m/>
    <n v="1"/>
    <n v="95000"/>
    <n v="-10000"/>
    <n v="10000"/>
    <n v="1"/>
    <x v="0"/>
  </r>
  <r>
    <n v="226"/>
    <n v="113"/>
    <x v="10"/>
    <s v="306"/>
    <n v="52.49"/>
    <n v="631"/>
    <s v="住居"/>
    <s v="3DK"/>
    <n v="118000"/>
    <n v="5000"/>
    <n v="0"/>
    <n v="0"/>
    <n v="123000"/>
    <n v="123000"/>
    <n v="0"/>
    <n v="123000"/>
    <n v="123000"/>
    <s v="日本人等"/>
    <s v="yes"/>
    <s v=""/>
    <m/>
    <s v="113_306"/>
    <n v="125000"/>
    <m/>
    <n v="1"/>
    <n v="123000"/>
    <n v="0"/>
    <n v="-2000"/>
    <n v="1"/>
    <x v="0"/>
  </r>
  <r>
    <n v="227"/>
    <n v="113"/>
    <x v="10"/>
    <s v="401"/>
    <n v="54.44"/>
    <n v="631"/>
    <s v="住居"/>
    <s v="3DK"/>
    <n v="115000"/>
    <n v="5000"/>
    <n v="0"/>
    <n v="0"/>
    <n v="120000"/>
    <n v="120000"/>
    <n v="0"/>
    <n v="120000"/>
    <n v="120000"/>
    <s v="中華系"/>
    <s v="yes"/>
    <s v=""/>
    <m/>
    <s v="113_401"/>
    <n v="125000"/>
    <m/>
    <n v="1"/>
    <n v="120000"/>
    <n v="0"/>
    <n v="-5000"/>
    <n v="1"/>
    <x v="0"/>
  </r>
  <r>
    <n v="228"/>
    <n v="113"/>
    <x v="10"/>
    <s v="402"/>
    <n v="52.49"/>
    <n v="631"/>
    <s v="住居"/>
    <s v="3DK"/>
    <n v="121000"/>
    <n v="5000"/>
    <n v="0"/>
    <n v="0"/>
    <n v="126000"/>
    <n v="126000"/>
    <n v="0"/>
    <n v="126000"/>
    <n v="126000"/>
    <s v="日本人等"/>
    <s v="yes"/>
    <s v=""/>
    <m/>
    <s v="113_402"/>
    <n v="126000"/>
    <m/>
    <n v="1"/>
    <n v="126000"/>
    <n v="0"/>
    <n v="0"/>
    <n v="1"/>
    <x v="0"/>
  </r>
  <r>
    <n v="229"/>
    <n v="113"/>
    <x v="10"/>
    <s v="403"/>
    <n v="54.44"/>
    <n v="631"/>
    <s v="住居"/>
    <s v="3DK"/>
    <n v="125000"/>
    <n v="5000"/>
    <n v="0"/>
    <n v="0"/>
    <n v="130000"/>
    <n v="125000"/>
    <n v="0"/>
    <n v="125000"/>
    <n v="130000"/>
    <s v="日本人等"/>
    <s v="yes"/>
    <s v=""/>
    <m/>
    <s v="113_403"/>
    <n v="123000"/>
    <m/>
    <n v="1"/>
    <n v="130000"/>
    <n v="-5000"/>
    <n v="7000"/>
    <n v="1"/>
    <x v="0"/>
  </r>
  <r>
    <n v="230"/>
    <n v="113"/>
    <x v="10"/>
    <s v="404"/>
    <n v="52.49"/>
    <n v="631"/>
    <s v="住居"/>
    <s v="3DK"/>
    <n v="116000"/>
    <n v="5000"/>
    <n v="0"/>
    <n v="0"/>
    <n v="121000"/>
    <n v="121000"/>
    <n v="0"/>
    <n v="121000"/>
    <n v="121000"/>
    <s v="日本人等"/>
    <s v="yes"/>
    <s v=""/>
    <m/>
    <s v="113_404"/>
    <n v="121000"/>
    <m/>
    <n v="1"/>
    <n v="121000"/>
    <n v="0"/>
    <n v="0"/>
    <n v="1"/>
    <x v="0"/>
  </r>
  <r>
    <n v="231"/>
    <n v="113"/>
    <x v="10"/>
    <s v="405"/>
    <n v="54.44"/>
    <n v="631"/>
    <s v="住居"/>
    <s v="3DK"/>
    <n v="120000"/>
    <n v="5000"/>
    <n v="0"/>
    <n v="0"/>
    <n v="125000"/>
    <n v="125000"/>
    <n v="0"/>
    <n v="125000"/>
    <n v="125000"/>
    <s v="中華系"/>
    <s v="yes"/>
    <s v=""/>
    <m/>
    <s v="113_405"/>
    <n v="123000"/>
    <m/>
    <n v="1"/>
    <n v="125000"/>
    <n v="0"/>
    <n v="2000"/>
    <n v="1"/>
    <x v="0"/>
  </r>
  <r>
    <n v="232"/>
    <n v="113"/>
    <x v="10"/>
    <s v="406"/>
    <n v="52.49"/>
    <n v="631"/>
    <s v="住居"/>
    <s v="3DK"/>
    <n v="126000"/>
    <n v="5000"/>
    <n v="0"/>
    <n v="0"/>
    <n v="131000"/>
    <n v="131000"/>
    <n v="0"/>
    <n v="131000"/>
    <n v="131000"/>
    <s v="住居法人契約"/>
    <s v="yes"/>
    <s v=""/>
    <m/>
    <s v="113_406"/>
    <n v="131000"/>
    <m/>
    <n v="1"/>
    <n v="131000"/>
    <n v="0"/>
    <n v="0"/>
    <n v="1"/>
    <x v="0"/>
  </r>
  <r>
    <n v="233"/>
    <n v="113"/>
    <x v="10"/>
    <s v="P1"/>
    <n v="0"/>
    <n v="634"/>
    <s v="駐車場"/>
    <s v="駐車場"/>
    <n v="20000"/>
    <n v="0"/>
    <n v="0"/>
    <n v="2000"/>
    <n v="22000"/>
    <n v="20000"/>
    <n v="2000"/>
    <n v="22000"/>
    <n v="22000"/>
    <s v="法人契約"/>
    <s v="yes"/>
    <s v=""/>
    <m/>
    <s v="113_P1"/>
    <n v="20000"/>
    <m/>
    <n v="1"/>
    <n v="20000"/>
    <n v="0"/>
    <n v="0"/>
    <n v="1"/>
    <x v="0"/>
  </r>
  <r>
    <n v="234"/>
    <n v="113"/>
    <x v="10"/>
    <s v="NTF1"/>
    <s v="-"/>
    <n v="639"/>
    <s v="その他"/>
    <s v="その他"/>
    <n v="0"/>
    <n v="0"/>
    <n v="0"/>
    <n v="0"/>
    <n v="0"/>
    <n v="0"/>
    <n v="0"/>
    <n v="0"/>
    <n v="0"/>
    <s v="-"/>
    <s v="no"/>
    <s v="フレッツ光"/>
    <m/>
    <s v="113_NTF1"/>
    <n v="0"/>
    <m/>
    <n v="0"/>
    <n v="0"/>
    <n v="0"/>
    <n v="0"/>
    <n v="0"/>
    <x v="0"/>
  </r>
  <r>
    <n v="235"/>
    <n v="114"/>
    <x v="11"/>
    <s v="201"/>
    <n v="32.4"/>
    <n v="631"/>
    <s v="住居"/>
    <s v="1LDK"/>
    <n v="83000"/>
    <n v="2000"/>
    <n v="0"/>
    <n v="0"/>
    <n v="85000"/>
    <n v="85000"/>
    <n v="0"/>
    <n v="85000"/>
    <n v="85000"/>
    <s v="日本人等"/>
    <s v="yes"/>
    <s v=""/>
    <m/>
    <s v="114_201"/>
    <n v="85000"/>
    <m/>
    <n v="1"/>
    <n v="85000"/>
    <n v="0"/>
    <n v="0"/>
    <n v="1"/>
    <x v="0"/>
  </r>
  <r>
    <n v="236"/>
    <n v="114"/>
    <x v="11"/>
    <s v="202"/>
    <n v="18"/>
    <n v="631"/>
    <s v="住居"/>
    <s v="1R"/>
    <n v="58000"/>
    <n v="2000"/>
    <n v="0"/>
    <n v="0"/>
    <n v="60000"/>
    <n v="60000"/>
    <n v="0"/>
    <n v="60000"/>
    <n v="60000"/>
    <s v="中華系"/>
    <s v="yes"/>
    <s v=""/>
    <m/>
    <s v="114_202"/>
    <n v="60000"/>
    <m/>
    <n v="1"/>
    <n v="60000"/>
    <n v="0"/>
    <n v="0"/>
    <n v="1"/>
    <x v="0"/>
  </r>
  <r>
    <n v="237"/>
    <n v="114"/>
    <x v="11"/>
    <s v="203"/>
    <n v="18"/>
    <n v="631"/>
    <s v="住居"/>
    <s v="1R"/>
    <n v="50000"/>
    <n v="3000"/>
    <n v="0"/>
    <n v="0"/>
    <n v="53000"/>
    <n v="62000"/>
    <n v="0"/>
    <n v="62000"/>
    <n v="53000"/>
    <s v="中華系"/>
    <s v="yes"/>
    <s v=""/>
    <m/>
    <s v="114_203"/>
    <n v="60000"/>
    <m/>
    <n v="1"/>
    <n v="53000"/>
    <n v="9000"/>
    <n v="-7000"/>
    <n v="1"/>
    <x v="0"/>
  </r>
  <r>
    <n v="238"/>
    <n v="114"/>
    <x v="11"/>
    <s v="205"/>
    <n v="18.239999999999998"/>
    <n v="631"/>
    <s v="住居"/>
    <s v="1R"/>
    <n v="63000"/>
    <n v="2000"/>
    <n v="0"/>
    <n v="0"/>
    <n v="65000"/>
    <n v="65000"/>
    <n v="0"/>
    <n v="65000"/>
    <n v="65000"/>
    <s v="日本人等"/>
    <s v="yes"/>
    <s v=""/>
    <m/>
    <s v="114_205"/>
    <n v="65000"/>
    <m/>
    <n v="1"/>
    <n v="65000"/>
    <n v="0"/>
    <n v="0"/>
    <n v="1"/>
    <x v="0"/>
  </r>
  <r>
    <n v="239"/>
    <n v="114"/>
    <x v="11"/>
    <s v="206"/>
    <n v="18"/>
    <n v="631"/>
    <s v="住居"/>
    <s v="1R"/>
    <n v="53700"/>
    <n v="6300"/>
    <n v="0"/>
    <n v="0"/>
    <n v="60000"/>
    <n v="62000"/>
    <n v="0"/>
    <n v="62000"/>
    <n v="60000"/>
    <s v="日本人等"/>
    <s v="yes"/>
    <s v=""/>
    <m/>
    <s v="114_206"/>
    <n v="62000"/>
    <m/>
    <n v="1"/>
    <n v="60000"/>
    <n v="2000"/>
    <n v="-2000"/>
    <n v="1"/>
    <x v="0"/>
  </r>
  <r>
    <n v="240"/>
    <n v="114"/>
    <x v="11"/>
    <s v="301"/>
    <n v="32.4"/>
    <n v="632"/>
    <s v="事務所"/>
    <s v="1LDK"/>
    <n v="84000"/>
    <n v="2000"/>
    <n v="0"/>
    <n v="8600"/>
    <n v="94600"/>
    <n v="86000"/>
    <n v="8600"/>
    <n v="94600"/>
    <n v="94600"/>
    <s v="住居法人契約"/>
    <s v="yes"/>
    <s v=""/>
    <m/>
    <s v="114_301"/>
    <n v="86000"/>
    <m/>
    <n v="1"/>
    <n v="86000"/>
    <n v="0"/>
    <n v="0"/>
    <n v="1"/>
    <x v="0"/>
  </r>
  <r>
    <n v="241"/>
    <n v="114"/>
    <x v="11"/>
    <s v="302"/>
    <n v="18"/>
    <n v="631"/>
    <s v="住居"/>
    <s v="1R"/>
    <n v="58000"/>
    <n v="2000"/>
    <n v="0"/>
    <n v="0"/>
    <n v="60000"/>
    <n v="60000"/>
    <n v="0"/>
    <n v="60000"/>
    <n v="60000"/>
    <s v="日本人等"/>
    <s v="yes"/>
    <s v=""/>
    <m/>
    <s v="114_302"/>
    <n v="60000"/>
    <m/>
    <n v="1"/>
    <n v="60000"/>
    <n v="0"/>
    <n v="0"/>
    <n v="1"/>
    <x v="0"/>
  </r>
  <r>
    <n v="242"/>
    <n v="114"/>
    <x v="11"/>
    <s v="303"/>
    <n v="18"/>
    <n v="631"/>
    <s v="住居"/>
    <s v="1R"/>
    <n v="62000"/>
    <n v="3000"/>
    <n v="0"/>
    <n v="0"/>
    <n v="65000"/>
    <n v="67000"/>
    <n v="0"/>
    <n v="67000"/>
    <n v="65000"/>
    <s v="中華系"/>
    <s v="yes"/>
    <s v=""/>
    <m/>
    <s v="114_303"/>
    <n v="60000"/>
    <m/>
    <n v="1"/>
    <n v="65000"/>
    <n v="2000"/>
    <n v="5000"/>
    <n v="1"/>
    <x v="0"/>
  </r>
  <r>
    <n v="243"/>
    <n v="114"/>
    <x v="11"/>
    <s v="305"/>
    <n v="16.5"/>
    <n v="631"/>
    <s v="住居"/>
    <s v="1R"/>
    <n v="60000"/>
    <n v="2000"/>
    <n v="0"/>
    <n v="0"/>
    <n v="62000"/>
    <n v="62000"/>
    <n v="0"/>
    <n v="62000"/>
    <n v="62000"/>
    <s v="日本人等"/>
    <s v="yes"/>
    <s v=""/>
    <m/>
    <s v="114_305"/>
    <n v="62000"/>
    <m/>
    <n v="1"/>
    <n v="62000"/>
    <n v="0"/>
    <n v="0"/>
    <n v="1"/>
    <x v="0"/>
  </r>
  <r>
    <n v="244"/>
    <n v="114"/>
    <x v="11"/>
    <s v="306"/>
    <n v="17"/>
    <n v="631"/>
    <s v="住居"/>
    <s v="1R"/>
    <n v="65000"/>
    <n v="2000"/>
    <n v="0"/>
    <n v="0"/>
    <n v="67000"/>
    <n v="67000"/>
    <n v="0"/>
    <n v="67000"/>
    <n v="67000"/>
    <s v="中華系"/>
    <s v="yes"/>
    <s v=""/>
    <m/>
    <s v="114_306"/>
    <n v="60000"/>
    <m/>
    <n v="1"/>
    <n v="67000"/>
    <n v="0"/>
    <n v="7000"/>
    <n v="1"/>
    <x v="0"/>
  </r>
  <r>
    <n v="245"/>
    <n v="114"/>
    <x v="11"/>
    <s v="401"/>
    <n v="33"/>
    <n v="631"/>
    <s v="住居"/>
    <s v="1LDK"/>
    <n v="88000"/>
    <n v="2000"/>
    <n v="0"/>
    <n v="0"/>
    <n v="90000"/>
    <n v="90000"/>
    <n v="0"/>
    <n v="90000"/>
    <n v="90000"/>
    <s v="日本人等"/>
    <s v="yes"/>
    <s v=""/>
    <m/>
    <s v="114_401"/>
    <n v="85000"/>
    <m/>
    <n v="1"/>
    <n v="90000"/>
    <n v="0"/>
    <n v="5000"/>
    <n v="1"/>
    <x v="0"/>
  </r>
  <r>
    <n v="246"/>
    <n v="114"/>
    <x v="11"/>
    <s v="402"/>
    <n v="18"/>
    <n v="631"/>
    <s v="住居"/>
    <s v="1R"/>
    <n v="67000"/>
    <n v="2000"/>
    <n v="0"/>
    <n v="0"/>
    <n v="69000"/>
    <n v="69000"/>
    <n v="0"/>
    <n v="69000"/>
    <n v="69000"/>
    <s v="中華系"/>
    <s v="yes"/>
    <s v=""/>
    <m/>
    <s v="114_402"/>
    <n v="62000"/>
    <m/>
    <n v="1"/>
    <n v="69000"/>
    <n v="0"/>
    <n v="7000"/>
    <n v="1"/>
    <x v="0"/>
  </r>
  <r>
    <n v="247"/>
    <n v="114"/>
    <x v="11"/>
    <s v="403"/>
    <n v="20"/>
    <n v="631"/>
    <s v="住居"/>
    <s v="1R"/>
    <n v="65000"/>
    <n v="2000"/>
    <n v="0"/>
    <n v="0"/>
    <n v="67000"/>
    <n v="67000"/>
    <n v="0"/>
    <n v="67000"/>
    <n v="67000"/>
    <s v="日本人等"/>
    <s v="yes"/>
    <s v=""/>
    <m/>
    <s v="114_403"/>
    <n v="67000"/>
    <m/>
    <n v="1"/>
    <n v="67000"/>
    <n v="0"/>
    <n v="0"/>
    <n v="1"/>
    <x v="0"/>
  </r>
  <r>
    <n v="248"/>
    <n v="114"/>
    <x v="11"/>
    <s v="405"/>
    <n v="18"/>
    <n v="631"/>
    <s v="住居"/>
    <s v="1R"/>
    <n v="62000"/>
    <n v="3000"/>
    <n v="0"/>
    <n v="0"/>
    <n v="65000"/>
    <n v="65000"/>
    <n v="0"/>
    <n v="65000"/>
    <n v="65000"/>
    <s v="中華系"/>
    <s v="yes"/>
    <s v=""/>
    <m/>
    <s v="114_405"/>
    <n v="65000"/>
    <m/>
    <n v="1"/>
    <n v="65000"/>
    <n v="0"/>
    <n v="0"/>
    <n v="1"/>
    <x v="0"/>
  </r>
  <r>
    <n v="249"/>
    <n v="114"/>
    <x v="11"/>
    <s v="406"/>
    <n v="16"/>
    <n v="631"/>
    <s v="住居"/>
    <s v="1R"/>
    <n v="65000"/>
    <n v="2000"/>
    <n v="0"/>
    <n v="0"/>
    <n v="67000"/>
    <n v="67000"/>
    <n v="0"/>
    <n v="67000"/>
    <n v="67000"/>
    <s v="中華系"/>
    <s v="yes"/>
    <s v=""/>
    <m/>
    <s v="114_406"/>
    <n v="60000"/>
    <m/>
    <n v="1"/>
    <n v="67000"/>
    <n v="0"/>
    <n v="7000"/>
    <n v="1"/>
    <x v="0"/>
  </r>
  <r>
    <n v="250"/>
    <n v="114"/>
    <x v="11"/>
    <s v="101"/>
    <n v="122.31"/>
    <n v="636"/>
    <s v="倉庫"/>
    <s v="倉庫"/>
    <n v="240741"/>
    <n v="0"/>
    <n v="0"/>
    <n v="24074"/>
    <n v="264815"/>
    <n v="240740"/>
    <n v="24074.090909090908"/>
    <n v="264814.09090909088"/>
    <n v="264815"/>
    <s v="法人契約"/>
    <s v="yes"/>
    <s v=""/>
    <m/>
    <s v="114_101"/>
    <n v="240741"/>
    <m/>
    <n v="1"/>
    <n v="240741"/>
    <n v="-1"/>
    <n v="0"/>
    <n v="1"/>
    <x v="0"/>
  </r>
  <r>
    <n v="251"/>
    <n v="115"/>
    <x v="12"/>
    <s v="201"/>
    <n v="47.22"/>
    <n v="631"/>
    <s v="住居"/>
    <s v="2DK"/>
    <n v="110000"/>
    <n v="5000"/>
    <n v="0"/>
    <n v="0"/>
    <n v="115000"/>
    <n v="115000"/>
    <n v="0"/>
    <n v="115000"/>
    <n v="115000"/>
    <s v="その他新興国"/>
    <s v="yes"/>
    <s v=""/>
    <m/>
    <s v="115_201"/>
    <n v="115000"/>
    <m/>
    <n v="1"/>
    <n v="115000"/>
    <n v="0"/>
    <n v="0"/>
    <n v="1"/>
    <x v="0"/>
  </r>
  <r>
    <n v="252"/>
    <n v="115"/>
    <x v="12"/>
    <s v="202"/>
    <n v="52"/>
    <n v="631"/>
    <s v="住居"/>
    <s v="2DK"/>
    <n v="125000"/>
    <n v="5000"/>
    <n v="0"/>
    <n v="0"/>
    <n v="130000"/>
    <n v="123000"/>
    <n v="0"/>
    <n v="123000"/>
    <n v="130000"/>
    <s v="日本人等"/>
    <s v="yes"/>
    <s v=""/>
    <m/>
    <s v="115_202"/>
    <n v="123000"/>
    <m/>
    <n v="1"/>
    <n v="130000"/>
    <n v="-7000"/>
    <n v="7000"/>
    <n v="1"/>
    <x v="0"/>
  </r>
  <r>
    <n v="253"/>
    <n v="115"/>
    <x v="12"/>
    <s v="203"/>
    <n v="52"/>
    <n v="631"/>
    <s v="住居"/>
    <s v="2DK"/>
    <n v="123000"/>
    <n v="5000"/>
    <n v="0"/>
    <n v="0"/>
    <n v="128000"/>
    <n v="123000"/>
    <n v="0"/>
    <n v="123000"/>
    <n v="128000"/>
    <s v="日本人等"/>
    <s v="yes"/>
    <s v=""/>
    <m/>
    <s v="115_203"/>
    <n v="123000"/>
    <m/>
    <n v="1"/>
    <n v="128000"/>
    <n v="-5000"/>
    <n v="5000"/>
    <n v="1"/>
    <x v="0"/>
  </r>
  <r>
    <n v="254"/>
    <n v="115"/>
    <x v="12"/>
    <s v="205"/>
    <n v="52"/>
    <n v="631"/>
    <s v="住居"/>
    <s v="3DK"/>
    <n v="128000"/>
    <n v="5000"/>
    <n v="0"/>
    <n v="0"/>
    <n v="133000"/>
    <n v="133000"/>
    <n v="0"/>
    <n v="133000"/>
    <n v="133000"/>
    <s v="中華系"/>
    <s v="yes"/>
    <s v=""/>
    <m/>
    <s v="115_205"/>
    <n v="118000"/>
    <m/>
    <n v="1"/>
    <n v="133000"/>
    <n v="0"/>
    <n v="15000"/>
    <n v="1"/>
    <x v="0"/>
  </r>
  <r>
    <n v="255"/>
    <n v="115"/>
    <x v="12"/>
    <s v="206"/>
    <n v="52.36"/>
    <n v="631"/>
    <s v="住居"/>
    <s v="2DK"/>
    <n v="125000"/>
    <n v="5000"/>
    <n v="0"/>
    <n v="0"/>
    <n v="130000"/>
    <n v="130000"/>
    <n v="0"/>
    <n v="130000"/>
    <n v="130000"/>
    <s v="中華系"/>
    <s v="yes"/>
    <s v=""/>
    <m/>
    <s v="115_206"/>
    <n v="120000"/>
    <m/>
    <n v="1"/>
    <n v="130000"/>
    <n v="0"/>
    <n v="10000"/>
    <n v="1"/>
    <x v="0"/>
  </r>
  <r>
    <n v="256"/>
    <n v="115"/>
    <x v="12"/>
    <s v="301"/>
    <n v="55.18"/>
    <n v="631"/>
    <s v="住居"/>
    <s v="2DK"/>
    <n v="123000"/>
    <n v="5000"/>
    <n v="0"/>
    <n v="0"/>
    <n v="128000"/>
    <n v="128000"/>
    <n v="0"/>
    <n v="128000"/>
    <n v="128000"/>
    <s v="中華系"/>
    <s v="yes"/>
    <s v=""/>
    <m/>
    <s v="115_301"/>
    <n v="115000"/>
    <m/>
    <n v="1"/>
    <n v="128000"/>
    <n v="0"/>
    <n v="13000"/>
    <n v="1"/>
    <x v="0"/>
  </r>
  <r>
    <n v="257"/>
    <n v="115"/>
    <x v="12"/>
    <s v="302"/>
    <n v="52"/>
    <n v="631"/>
    <s v="住居"/>
    <s v="2DK"/>
    <n v="121000"/>
    <n v="5000"/>
    <n v="0"/>
    <n v="0"/>
    <n v="126000"/>
    <n v="126000"/>
    <n v="0"/>
    <n v="126000"/>
    <n v="126000"/>
    <s v="日本人等"/>
    <s v="yes"/>
    <s v=""/>
    <m/>
    <s v="115_302"/>
    <n v="128000"/>
    <m/>
    <n v="1"/>
    <n v="126000"/>
    <n v="0"/>
    <n v="-2000"/>
    <n v="1"/>
    <x v="0"/>
  </r>
  <r>
    <n v="258"/>
    <n v="115"/>
    <x v="12"/>
    <s v="303"/>
    <n v="52"/>
    <n v="631"/>
    <s v="住居"/>
    <s v="2DK"/>
    <n v="123000"/>
    <n v="5000"/>
    <n v="0"/>
    <n v="0"/>
    <n v="128000"/>
    <n v="128000"/>
    <n v="0"/>
    <n v="128000"/>
    <n v="128000"/>
    <s v="日本人等"/>
    <s v="yes"/>
    <s v=""/>
    <m/>
    <s v="115_303"/>
    <n v="128000"/>
    <m/>
    <n v="1"/>
    <n v="128000"/>
    <n v="0"/>
    <n v="0"/>
    <n v="1"/>
    <x v="0"/>
  </r>
  <r>
    <n v="259"/>
    <n v="115"/>
    <x v="12"/>
    <s v="305"/>
    <n v="52"/>
    <n v="631"/>
    <s v="住居"/>
    <s v="2DK"/>
    <n v="126000"/>
    <n v="5000"/>
    <n v="0"/>
    <n v="0"/>
    <n v="131000"/>
    <n v="131000"/>
    <n v="0"/>
    <n v="131000"/>
    <n v="131000"/>
    <s v="日本人等"/>
    <s v="yes"/>
    <s v=""/>
    <m/>
    <s v="115_305"/>
    <n v="131000"/>
    <m/>
    <n v="1"/>
    <n v="131000"/>
    <n v="0"/>
    <n v="0"/>
    <n v="1"/>
    <x v="0"/>
  </r>
  <r>
    <n v="260"/>
    <n v="115"/>
    <x v="12"/>
    <s v="306"/>
    <n v="52.36"/>
    <n v="631"/>
    <s v="住居"/>
    <s v="2DK"/>
    <n v="125000"/>
    <n v="5000"/>
    <n v="0"/>
    <n v="0"/>
    <n v="130000"/>
    <n v="130000"/>
    <n v="0"/>
    <n v="130000"/>
    <n v="130000"/>
    <s v="中華系"/>
    <s v="yes"/>
    <s v=""/>
    <m/>
    <s v="115_306"/>
    <n v="120000"/>
    <m/>
    <n v="1"/>
    <n v="130000"/>
    <n v="0"/>
    <n v="10000"/>
    <n v="1"/>
    <x v="0"/>
  </r>
  <r>
    <n v="261"/>
    <n v="115"/>
    <x v="12"/>
    <s v="401"/>
    <n v="55.18"/>
    <n v="631"/>
    <s v="住居"/>
    <s v="2DK"/>
    <n v="127000"/>
    <n v="5000"/>
    <n v="0"/>
    <n v="0"/>
    <n v="132000"/>
    <n v="132000"/>
    <n v="0"/>
    <n v="132000"/>
    <n v="132000"/>
    <s v="日本人等"/>
    <s v="yes"/>
    <s v=""/>
    <m/>
    <s v="115_401"/>
    <n v="132000"/>
    <m/>
    <n v="1"/>
    <n v="132000"/>
    <n v="0"/>
    <n v="0"/>
    <n v="1"/>
    <x v="0"/>
  </r>
  <r>
    <n v="262"/>
    <n v="115"/>
    <x v="12"/>
    <s v="402"/>
    <n v="52"/>
    <n v="631"/>
    <s v="住居"/>
    <s v="2DK"/>
    <n v="125000"/>
    <n v="5000"/>
    <n v="0"/>
    <n v="0"/>
    <n v="130000"/>
    <n v="130000"/>
    <n v="0"/>
    <n v="130000"/>
    <n v="130000"/>
    <s v="日本人等"/>
    <s v="yes"/>
    <s v=""/>
    <m/>
    <s v="115_402"/>
    <n v="125000"/>
    <m/>
    <n v="1"/>
    <n v="130000"/>
    <n v="0"/>
    <n v="5000"/>
    <n v="1"/>
    <x v="0"/>
  </r>
  <r>
    <n v="263"/>
    <n v="115"/>
    <x v="12"/>
    <s v="403"/>
    <n v="52"/>
    <n v="631"/>
    <s v="住居"/>
    <s v="3DK"/>
    <n v="132000"/>
    <n v="5000"/>
    <n v="0"/>
    <n v="0"/>
    <n v="137000"/>
    <n v="137000"/>
    <n v="0"/>
    <n v="137000"/>
    <n v="137000"/>
    <s v="住居法人契約"/>
    <s v="yes"/>
    <s v=""/>
    <m/>
    <s v="115_403"/>
    <n v="125000"/>
    <m/>
    <n v="1"/>
    <n v="137000"/>
    <n v="0"/>
    <n v="12000"/>
    <n v="1"/>
    <x v="0"/>
  </r>
  <r>
    <n v="264"/>
    <n v="115"/>
    <x v="12"/>
    <s v="405"/>
    <n v="52"/>
    <n v="631"/>
    <s v="住居"/>
    <s v="3DK"/>
    <n v="132000"/>
    <n v="5000"/>
    <n v="0"/>
    <n v="0"/>
    <n v="137000"/>
    <n v="128000"/>
    <n v="0"/>
    <n v="128000"/>
    <n v="137000"/>
    <s v="中華系"/>
    <s v="yes"/>
    <s v=""/>
    <m/>
    <s v="115_405"/>
    <n v="128000"/>
    <m/>
    <n v="1"/>
    <n v="137000"/>
    <n v="-9000"/>
    <n v="9000"/>
    <n v="1"/>
    <x v="0"/>
  </r>
  <r>
    <n v="265"/>
    <n v="115"/>
    <x v="12"/>
    <s v="406"/>
    <n v="52.36"/>
    <n v="631"/>
    <s v="住居"/>
    <s v="2DK"/>
    <n v="123000"/>
    <n v="5000"/>
    <n v="0"/>
    <n v="0"/>
    <n v="128000"/>
    <n v="128000"/>
    <n v="0"/>
    <n v="128000"/>
    <n v="128000"/>
    <s v="日本人等"/>
    <s v="yes"/>
    <s v=""/>
    <m/>
    <s v="115_406"/>
    <n v="125000"/>
    <m/>
    <n v="1"/>
    <n v="128000"/>
    <n v="0"/>
    <n v="3000"/>
    <n v="1"/>
    <x v="0"/>
  </r>
  <r>
    <n v="266"/>
    <n v="115"/>
    <x v="12"/>
    <s v="501"/>
    <n v="55.18"/>
    <n v="631"/>
    <s v="住居"/>
    <s v="2DK"/>
    <n v="132000"/>
    <n v="5000"/>
    <n v="0"/>
    <n v="0"/>
    <n v="137000"/>
    <n v="137000"/>
    <n v="0"/>
    <n v="137000"/>
    <n v="137000"/>
    <s v="住居法人契約"/>
    <s v="yes"/>
    <s v=""/>
    <m/>
    <s v="115_501"/>
    <n v="120000"/>
    <m/>
    <n v="1"/>
    <n v="137000"/>
    <n v="0"/>
    <n v="17000"/>
    <n v="1"/>
    <x v="0"/>
  </r>
  <r>
    <n v="267"/>
    <n v="115"/>
    <x v="12"/>
    <s v="502"/>
    <n v="52"/>
    <n v="631"/>
    <s v="住居"/>
    <s v="2DK"/>
    <n v="128000"/>
    <n v="5000"/>
    <n v="0"/>
    <n v="0"/>
    <n v="133000"/>
    <n v="133000"/>
    <n v="0"/>
    <n v="133000"/>
    <n v="133000"/>
    <s v="日本人等"/>
    <s v="yes"/>
    <s v=""/>
    <m/>
    <s v="115_502"/>
    <n v="133000"/>
    <m/>
    <n v="1"/>
    <n v="133000"/>
    <n v="0"/>
    <n v="0"/>
    <n v="1"/>
    <x v="0"/>
  </r>
  <r>
    <n v="268"/>
    <n v="115"/>
    <x v="12"/>
    <s v="503"/>
    <n v="52"/>
    <n v="631"/>
    <s v="住居"/>
    <s v="3DK"/>
    <n v="130000"/>
    <n v="5000"/>
    <n v="0"/>
    <n v="0"/>
    <n v="135000"/>
    <n v="135000"/>
    <n v="0"/>
    <n v="135000"/>
    <n v="135000"/>
    <s v="日本人等"/>
    <s v="yes"/>
    <s v=""/>
    <m/>
    <s v="115_503"/>
    <n v="128000"/>
    <m/>
    <n v="1"/>
    <n v="135000"/>
    <n v="0"/>
    <n v="7000"/>
    <n v="1"/>
    <x v="0"/>
  </r>
  <r>
    <n v="269"/>
    <n v="115"/>
    <x v="12"/>
    <s v="505"/>
    <n v="52"/>
    <n v="631"/>
    <s v="住居"/>
    <s v="2DK"/>
    <n v="125000"/>
    <n v="5000"/>
    <n v="0"/>
    <n v="0"/>
    <n v="130000"/>
    <n v="125000"/>
    <n v="0"/>
    <n v="125000"/>
    <n v="130000"/>
    <s v="日本人等"/>
    <s v="yes"/>
    <s v=""/>
    <m/>
    <s v="115_505"/>
    <n v="125000"/>
    <m/>
    <n v="1"/>
    <n v="130000"/>
    <n v="-5000"/>
    <n v="5000"/>
    <n v="1"/>
    <x v="0"/>
  </r>
  <r>
    <n v="270"/>
    <n v="115"/>
    <x v="12"/>
    <s v="506"/>
    <n v="52.36"/>
    <n v="631"/>
    <s v="住居"/>
    <s v="2DK"/>
    <n v="120000"/>
    <n v="5000"/>
    <n v="0"/>
    <n v="0"/>
    <n v="125000"/>
    <n v="125000"/>
    <n v="0"/>
    <n v="125000"/>
    <n v="125000"/>
    <s v="日本人等"/>
    <s v="yes"/>
    <s v=""/>
    <m/>
    <s v="115_506"/>
    <n v="125000"/>
    <m/>
    <n v="1"/>
    <n v="125000"/>
    <n v="0"/>
    <n v="0"/>
    <n v="1"/>
    <x v="0"/>
  </r>
  <r>
    <n v="271"/>
    <n v="115"/>
    <x v="12"/>
    <s v="601"/>
    <n v="52"/>
    <n v="631"/>
    <s v="住居"/>
    <s v="2DK"/>
    <n v="129000"/>
    <n v="5000"/>
    <n v="0"/>
    <n v="0"/>
    <n v="134000"/>
    <n v="134000"/>
    <n v="0"/>
    <n v="134000"/>
    <n v="134000"/>
    <s v="日本人等"/>
    <s v="yes"/>
    <s v=""/>
    <m/>
    <s v="115_601"/>
    <n v="134000"/>
    <m/>
    <n v="1"/>
    <n v="134000"/>
    <n v="0"/>
    <n v="0"/>
    <n v="1"/>
    <x v="0"/>
  </r>
  <r>
    <n v="272"/>
    <n v="115"/>
    <x v="12"/>
    <s v="602"/>
    <n v="52"/>
    <n v="631"/>
    <s v="住居"/>
    <s v="3DK"/>
    <n v="134000"/>
    <n v="5000"/>
    <n v="0"/>
    <n v="0"/>
    <n v="139000"/>
    <n v="139000"/>
    <n v="0"/>
    <n v="139000"/>
    <n v="139000"/>
    <s v="日本人等"/>
    <s v="yes"/>
    <s v=""/>
    <m/>
    <s v="115_602"/>
    <n v="123000"/>
    <m/>
    <n v="1"/>
    <n v="139000"/>
    <n v="0"/>
    <n v="16000"/>
    <n v="1"/>
    <x v="0"/>
  </r>
  <r>
    <n v="273"/>
    <n v="115"/>
    <x v="12"/>
    <s v="603"/>
    <n v="52"/>
    <n v="631"/>
    <s v="住居"/>
    <s v="3DK"/>
    <n v="130000"/>
    <n v="5000"/>
    <n v="0"/>
    <n v="0"/>
    <n v="135000"/>
    <n v="135000"/>
    <n v="0"/>
    <n v="135000"/>
    <n v="135000"/>
    <s v="日本人等"/>
    <s v="yes"/>
    <s v=""/>
    <m/>
    <s v="115_603"/>
    <n v="125000"/>
    <m/>
    <n v="1"/>
    <n v="135000"/>
    <n v="0"/>
    <n v="10000"/>
    <n v="1"/>
    <x v="0"/>
  </r>
  <r>
    <n v="274"/>
    <n v="115"/>
    <x v="12"/>
    <s v="101"/>
    <n v="59.53"/>
    <n v="633"/>
    <s v="店舗"/>
    <s v="店舗"/>
    <n v="170000"/>
    <n v="4630"/>
    <n v="0"/>
    <n v="17463"/>
    <n v="192093"/>
    <n v="174630"/>
    <n v="17463"/>
    <n v="192093"/>
    <n v="192093"/>
    <s v="日本人等"/>
    <s v="yes"/>
    <s v=""/>
    <m/>
    <s v="115_101"/>
    <n v="174630"/>
    <m/>
    <n v="1"/>
    <n v="174630"/>
    <n v="0"/>
    <n v="0"/>
    <n v="1"/>
    <x v="0"/>
  </r>
  <r>
    <n v="275"/>
    <n v="115"/>
    <x v="12"/>
    <s v="BF1"/>
    <n v="0"/>
    <n v="634"/>
    <s v="駐車場"/>
    <s v="駐車場"/>
    <n v="324074"/>
    <n v="0"/>
    <n v="0"/>
    <n v="32407"/>
    <n v="356481"/>
    <n v="324073"/>
    <n v="32407.363636363636"/>
    <n v="356480.36363636365"/>
    <n v="356481"/>
    <s v="法人契約"/>
    <s v="yes"/>
    <s v="駐輪場"/>
    <m/>
    <s v="115_BF1"/>
    <n v="100000"/>
    <m/>
    <n v="1"/>
    <n v="324074"/>
    <n v="-1"/>
    <n v="224074"/>
    <n v="1"/>
    <x v="0"/>
  </r>
  <r>
    <n v="276"/>
    <n v="115"/>
    <x v="12"/>
    <s v="RF1"/>
    <n v="0"/>
    <n v="635"/>
    <s v="アンテナ"/>
    <s v="その他"/>
    <n v="12000"/>
    <n v="0"/>
    <n v="0"/>
    <n v="1200"/>
    <n v="13200"/>
    <n v="12000"/>
    <n v="1199.9999999999998"/>
    <n v="13200"/>
    <n v="13200"/>
    <s v="-"/>
    <s v="yes"/>
    <s v="LPWA"/>
    <m/>
    <s v="115_RF1"/>
    <n v="0"/>
    <m/>
    <n v="1"/>
    <n v="12000"/>
    <n v="0"/>
    <n v="12000"/>
    <n v="1"/>
    <x v="0"/>
  </r>
  <r>
    <n v="277"/>
    <n v="115"/>
    <x v="12"/>
    <s v="NTF1"/>
    <s v="-"/>
    <n v="639"/>
    <s v="その他"/>
    <s v="その他"/>
    <n v="0"/>
    <n v="0"/>
    <n v="0"/>
    <n v="0"/>
    <n v="0"/>
    <n v="0"/>
    <n v="0"/>
    <n v="0"/>
    <n v="0"/>
    <s v="-"/>
    <s v="no"/>
    <s v="フレッツ光"/>
    <m/>
    <s v="115_NTF1"/>
    <n v="0"/>
    <m/>
    <n v="0"/>
    <n v="0"/>
    <n v="0"/>
    <n v="0"/>
    <n v="0"/>
    <x v="0"/>
  </r>
  <r>
    <n v="278"/>
    <n v="116"/>
    <x v="13"/>
    <s v="201"/>
    <n v="55.01"/>
    <n v="631"/>
    <s v="住居"/>
    <s v="3DK"/>
    <n v="122000"/>
    <n v="0"/>
    <n v="0"/>
    <n v="0"/>
    <n v="122000"/>
    <n v="115000"/>
    <n v="0"/>
    <n v="115000"/>
    <n v="122000"/>
    <s v="住居法人契約"/>
    <s v="yes"/>
    <s v=""/>
    <m/>
    <s v="116_201"/>
    <n v="115000"/>
    <m/>
    <n v="1"/>
    <n v="122000"/>
    <n v="-7000"/>
    <n v="7000"/>
    <n v="1"/>
    <x v="0"/>
  </r>
  <r>
    <n v="279"/>
    <n v="116"/>
    <x v="13"/>
    <s v="202"/>
    <n v="62.38"/>
    <n v="631"/>
    <s v="住居"/>
    <s v="3DK"/>
    <n v="145000"/>
    <n v="5000"/>
    <n v="0"/>
    <n v="0"/>
    <n v="150000"/>
    <n v="160000"/>
    <n v="0"/>
    <n v="160000"/>
    <n v="150000"/>
    <s v="日本人等"/>
    <s v="yes"/>
    <s v=""/>
    <m/>
    <s v="116_202"/>
    <n v="145000"/>
    <m/>
    <n v="1"/>
    <n v="150000"/>
    <n v="10000"/>
    <n v="5000"/>
    <n v="1"/>
    <x v="0"/>
  </r>
  <r>
    <n v="280"/>
    <n v="116"/>
    <x v="13"/>
    <s v="301"/>
    <n v="55.01"/>
    <n v="631"/>
    <s v="住居"/>
    <s v="3DK"/>
    <n v="120000"/>
    <n v="5000"/>
    <n v="0"/>
    <n v="0"/>
    <n v="125000"/>
    <n v="125000"/>
    <n v="0"/>
    <n v="125000"/>
    <n v="125000"/>
    <s v="日本人等"/>
    <s v="yes"/>
    <s v=""/>
    <m/>
    <s v="116_301"/>
    <n v="125000"/>
    <m/>
    <n v="1"/>
    <n v="125000"/>
    <n v="0"/>
    <n v="0"/>
    <n v="1"/>
    <x v="0"/>
  </r>
  <r>
    <n v="281"/>
    <n v="116"/>
    <x v="13"/>
    <s v="302"/>
    <n v="62.38"/>
    <n v="631"/>
    <s v="住居"/>
    <s v="3DK"/>
    <n v="153000"/>
    <n v="5000"/>
    <n v="0"/>
    <n v="0"/>
    <n v="158000"/>
    <n v="155000"/>
    <n v="0"/>
    <n v="155000"/>
    <n v="158000"/>
    <s v="日本人等"/>
    <s v="yes"/>
    <s v=""/>
    <m/>
    <s v="116_302"/>
    <n v="140000"/>
    <m/>
    <n v="1"/>
    <n v="158000"/>
    <n v="-3000"/>
    <n v="18000"/>
    <n v="1"/>
    <x v="0"/>
  </r>
  <r>
    <n v="282"/>
    <n v="116"/>
    <x v="13"/>
    <s v="401"/>
    <n v="55.01"/>
    <n v="631"/>
    <s v="住居"/>
    <s v="3DK"/>
    <n v="143000"/>
    <n v="5000"/>
    <n v="0"/>
    <n v="0"/>
    <n v="148000"/>
    <n v="140000"/>
    <n v="0"/>
    <n v="140000"/>
    <n v="148000"/>
    <s v="中華系"/>
    <s v="yes"/>
    <s v=""/>
    <m/>
    <s v="116_401"/>
    <n v="130000"/>
    <m/>
    <n v="1"/>
    <n v="148000"/>
    <n v="-8000"/>
    <n v="18000"/>
    <n v="1"/>
    <x v="0"/>
  </r>
  <r>
    <n v="283"/>
    <n v="116"/>
    <x v="13"/>
    <s v="402"/>
    <n v="62.38"/>
    <n v="631"/>
    <s v="住居"/>
    <s v="3DK"/>
    <n v="153000"/>
    <n v="5000"/>
    <n v="0"/>
    <n v="0"/>
    <n v="158000"/>
    <n v="141000"/>
    <n v="0"/>
    <n v="141000"/>
    <n v="158000"/>
    <s v="日本人等"/>
    <s v="yes"/>
    <s v=""/>
    <m/>
    <s v="116_402"/>
    <n v="130000"/>
    <m/>
    <n v="1"/>
    <n v="158000"/>
    <n v="-17000"/>
    <n v="28000"/>
    <n v="1"/>
    <x v="0"/>
  </r>
  <r>
    <n v="284"/>
    <n v="116"/>
    <x v="13"/>
    <s v="501"/>
    <n v="55.01"/>
    <n v="631"/>
    <s v="住居"/>
    <s v="3DK"/>
    <n v="140000"/>
    <n v="5000"/>
    <n v="0"/>
    <n v="0"/>
    <n v="145000"/>
    <n v="130000"/>
    <n v="0"/>
    <n v="130000"/>
    <n v="145000"/>
    <s v="日本人等"/>
    <s v="yes"/>
    <s v=""/>
    <m/>
    <s v="116_501"/>
    <n v="130000"/>
    <m/>
    <n v="1"/>
    <n v="145000"/>
    <n v="-15000"/>
    <n v="15000"/>
    <n v="1"/>
    <x v="0"/>
  </r>
  <r>
    <n v="285"/>
    <n v="116"/>
    <x v="13"/>
    <s v="502"/>
    <n v="60"/>
    <n v="631"/>
    <s v="住居"/>
    <s v="3DK"/>
    <n v="135000"/>
    <n v="0"/>
    <n v="0"/>
    <n v="0"/>
    <n v="135000"/>
    <n v="135000"/>
    <n v="0"/>
    <n v="135000"/>
    <n v="135000"/>
    <s v="日本人等"/>
    <s v="yes"/>
    <s v=""/>
    <m/>
    <s v="116_502"/>
    <n v="135000"/>
    <m/>
    <n v="1"/>
    <n v="135000"/>
    <n v="0"/>
    <n v="0"/>
    <n v="1"/>
    <x v="0"/>
  </r>
  <r>
    <n v="286"/>
    <n v="116"/>
    <x v="13"/>
    <s v="601"/>
    <n v="65"/>
    <n v="631"/>
    <s v="住居"/>
    <s v="3DK"/>
    <n v="145000"/>
    <n v="5000"/>
    <n v="0"/>
    <n v="0"/>
    <n v="150000"/>
    <n v="140000"/>
    <n v="0"/>
    <n v="140000"/>
    <n v="150000"/>
    <s v="中華系"/>
    <s v="yes"/>
    <s v=""/>
    <m/>
    <s v="116_601"/>
    <n v="130000"/>
    <m/>
    <n v="1"/>
    <n v="150000"/>
    <n v="-10000"/>
    <n v="20000"/>
    <n v="1"/>
    <x v="0"/>
  </r>
  <r>
    <n v="287"/>
    <n v="116"/>
    <x v="13"/>
    <s v="602"/>
    <n v="65"/>
    <n v="631"/>
    <s v="住居"/>
    <s v="3DK"/>
    <n v="125000"/>
    <n v="5000"/>
    <n v="0"/>
    <n v="0"/>
    <n v="130000"/>
    <n v="130000"/>
    <n v="0"/>
    <n v="130000"/>
    <n v="130000"/>
    <s v="日本人等"/>
    <s v="yes"/>
    <s v=""/>
    <m/>
    <s v="116_602"/>
    <n v="130000"/>
    <m/>
    <n v="1"/>
    <n v="130000"/>
    <n v="0"/>
    <n v="0"/>
    <n v="1"/>
    <x v="0"/>
  </r>
  <r>
    <n v="288"/>
    <n v="116"/>
    <x v="13"/>
    <s v="701"/>
    <n v="65.61"/>
    <n v="631"/>
    <s v="住居"/>
    <s v="3DK"/>
    <n v="138000"/>
    <n v="2000"/>
    <n v="0"/>
    <n v="0"/>
    <n v="140000"/>
    <n v="132000"/>
    <n v="0"/>
    <n v="132000"/>
    <n v="140000"/>
    <s v="日本人等"/>
    <s v="yes"/>
    <s v=""/>
    <m/>
    <s v="116_701"/>
    <n v="132000"/>
    <m/>
    <n v="1"/>
    <n v="140000"/>
    <n v="-8000"/>
    <n v="8000"/>
    <n v="1"/>
    <x v="0"/>
  </r>
  <r>
    <n v="289"/>
    <n v="116"/>
    <x v="13"/>
    <s v="702"/>
    <n v="62.38"/>
    <n v="631"/>
    <s v="住居"/>
    <s v="3DK"/>
    <n v="160000"/>
    <n v="5000"/>
    <n v="0"/>
    <n v="0"/>
    <n v="165000"/>
    <n v="135000"/>
    <n v="0"/>
    <n v="135000"/>
    <n v="165000"/>
    <s v="中華系"/>
    <s v="yes"/>
    <s v=""/>
    <m/>
    <s v="116_702"/>
    <n v="135000"/>
    <m/>
    <n v="1"/>
    <n v="165000"/>
    <n v="-30000"/>
    <n v="30000"/>
    <n v="1"/>
    <x v="0"/>
  </r>
  <r>
    <n v="290"/>
    <n v="116"/>
    <x v="13"/>
    <s v="801"/>
    <n v="40"/>
    <n v="631"/>
    <s v="住居"/>
    <s v="3LDK"/>
    <n v="135000"/>
    <n v="5000"/>
    <n v="0"/>
    <n v="0"/>
    <n v="140000"/>
    <n v="140000"/>
    <n v="0"/>
    <n v="140000"/>
    <n v="140000"/>
    <s v="中華系"/>
    <s v="yes"/>
    <s v=""/>
    <m/>
    <s v="116_801"/>
    <n v="180000"/>
    <m/>
    <n v="1"/>
    <n v="140000"/>
    <n v="0"/>
    <n v="-40000"/>
    <n v="1"/>
    <x v="0"/>
  </r>
  <r>
    <n v="291"/>
    <n v="116"/>
    <x v="13"/>
    <s v="802"/>
    <n v="62"/>
    <n v="631"/>
    <s v="住居"/>
    <s v="2LDK"/>
    <n v="170000"/>
    <n v="5000"/>
    <n v="0"/>
    <n v="0"/>
    <n v="175000"/>
    <n v="175000"/>
    <n v="0"/>
    <n v="175000"/>
    <n v="175000"/>
    <s v="その他新興国"/>
    <s v="yes"/>
    <s v=""/>
    <m/>
    <s v="116_802"/>
    <n v="175000"/>
    <m/>
    <n v="1"/>
    <n v="175000"/>
    <n v="0"/>
    <n v="0"/>
    <n v="1"/>
    <x v="0"/>
  </r>
  <r>
    <n v="292"/>
    <n v="116"/>
    <x v="13"/>
    <s v="101"/>
    <n v="130.33000000000001"/>
    <n v="633"/>
    <s v="店舗"/>
    <s v="店舗"/>
    <n v="376000"/>
    <n v="0"/>
    <n v="0"/>
    <n v="37600"/>
    <n v="413600"/>
    <n v="376000"/>
    <n v="37599.999999999993"/>
    <n v="413600"/>
    <n v="413600"/>
    <s v="日本人等"/>
    <s v="yes"/>
    <s v=""/>
    <m/>
    <s v="116_101"/>
    <n v="350000"/>
    <m/>
    <n v="1"/>
    <n v="376000"/>
    <n v="0"/>
    <n v="26000"/>
    <n v="1"/>
    <x v="0"/>
  </r>
  <r>
    <n v="293"/>
    <n v="116"/>
    <x v="13"/>
    <s v="RF1"/>
    <n v="0"/>
    <n v="635"/>
    <s v="アンテナ"/>
    <s v="その他"/>
    <n v="12000"/>
    <n v="0"/>
    <n v="0"/>
    <n v="1200"/>
    <n v="13200"/>
    <n v="12000"/>
    <n v="1199.9999999999998"/>
    <n v="13200"/>
    <n v="13200"/>
    <s v="-"/>
    <s v="yes"/>
    <s v="LPWA"/>
    <m/>
    <s v="116_RF1"/>
    <n v="0"/>
    <m/>
    <n v="1"/>
    <n v="12000"/>
    <n v="0"/>
    <n v="12000"/>
    <n v="1"/>
    <x v="0"/>
  </r>
  <r>
    <n v="294"/>
    <n v="116"/>
    <x v="13"/>
    <s v="NTF1"/>
    <s v="-"/>
    <n v="639"/>
    <s v="その他"/>
    <s v="その他"/>
    <n v="0"/>
    <n v="0"/>
    <n v="0"/>
    <n v="0"/>
    <n v="0"/>
    <n v="0"/>
    <n v="0"/>
    <n v="0"/>
    <n v="0"/>
    <s v="-"/>
    <s v="no"/>
    <s v="フレッツ光"/>
    <m/>
    <s v="116_NTF1"/>
    <n v="0"/>
    <m/>
    <n v="0"/>
    <n v="0"/>
    <n v="0"/>
    <n v="0"/>
    <n v="0"/>
    <x v="0"/>
  </r>
  <r>
    <n v="295"/>
    <n v="117"/>
    <x v="14"/>
    <s v="101"/>
    <n v="89.64"/>
    <n v="631"/>
    <s v="住居"/>
    <s v="2SLDK"/>
    <n v="185000"/>
    <n v="5000"/>
    <n v="0"/>
    <n v="0"/>
    <n v="190000"/>
    <n v="190000"/>
    <n v="0"/>
    <n v="190000"/>
    <n v="190000"/>
    <s v="日本人等"/>
    <s v="yes"/>
    <s v=""/>
    <m/>
    <s v="117_101"/>
    <n v="190000"/>
    <m/>
    <n v="1"/>
    <n v="190000"/>
    <n v="0"/>
    <n v="0"/>
    <n v="1"/>
    <x v="0"/>
  </r>
  <r>
    <n v="296"/>
    <n v="117"/>
    <x v="14"/>
    <s v="B101"/>
    <n v="89.64"/>
    <n v="631"/>
    <s v="住居"/>
    <s v="2SLDK"/>
    <n v="160000"/>
    <n v="5000"/>
    <n v="0"/>
    <n v="0"/>
    <n v="165000"/>
    <n v="165000"/>
    <n v="0"/>
    <n v="165000"/>
    <n v="165000"/>
    <s v="住居法人契約"/>
    <s v="yes"/>
    <s v=""/>
    <m/>
    <s v="117_B101"/>
    <n v="165000"/>
    <m/>
    <n v="1"/>
    <n v="165000"/>
    <n v="0"/>
    <n v="0"/>
    <n v="1"/>
    <x v="0"/>
  </r>
  <r>
    <n v="297"/>
    <n v="117"/>
    <x v="14"/>
    <s v="201"/>
    <n v="31.98"/>
    <n v="631"/>
    <s v="住居"/>
    <s v="2K"/>
    <n v="84000"/>
    <n v="4000"/>
    <n v="0"/>
    <n v="0"/>
    <n v="88000"/>
    <n v="88000"/>
    <n v="0"/>
    <n v="88000"/>
    <n v="88000"/>
    <s v="中華系"/>
    <s v="yes"/>
    <s v=""/>
    <m/>
    <s v="117_201"/>
    <n v="83000"/>
    <m/>
    <n v="1"/>
    <n v="88000"/>
    <n v="0"/>
    <n v="5000"/>
    <n v="1"/>
    <x v="0"/>
  </r>
  <r>
    <n v="298"/>
    <n v="117"/>
    <x v="14"/>
    <s v="202"/>
    <n v="28.84"/>
    <n v="631"/>
    <s v="住居"/>
    <s v="2K"/>
    <n v="78000"/>
    <n v="5000"/>
    <n v="0"/>
    <n v="0"/>
    <n v="83000"/>
    <n v="78000"/>
    <n v="0"/>
    <n v="78000"/>
    <n v="83000"/>
    <s v="日本人等"/>
    <s v="yes"/>
    <s v=""/>
    <m/>
    <s v="117_202"/>
    <n v="80000"/>
    <m/>
    <n v="1"/>
    <n v="83000"/>
    <n v="-5000"/>
    <n v="3000"/>
    <n v="1"/>
    <x v="0"/>
  </r>
  <r>
    <n v="299"/>
    <n v="117"/>
    <x v="14"/>
    <s v="203"/>
    <n v="28.84"/>
    <n v="631"/>
    <s v="住居"/>
    <s v="2K"/>
    <n v="80000"/>
    <n v="5000"/>
    <n v="0"/>
    <n v="0"/>
    <n v="85000"/>
    <n v="84000"/>
    <n v="0"/>
    <n v="84000"/>
    <n v="85000"/>
    <s v="日本人等"/>
    <s v="yes"/>
    <s v=""/>
    <m/>
    <s v="117_203"/>
    <n v="79000"/>
    <m/>
    <n v="1"/>
    <n v="85000"/>
    <n v="-1000"/>
    <n v="6000"/>
    <n v="1"/>
    <x v="0"/>
  </r>
  <r>
    <n v="300"/>
    <n v="117"/>
    <x v="14"/>
    <s v="301"/>
    <n v="16.78"/>
    <n v="631"/>
    <s v="住居"/>
    <s v="1R"/>
    <n v="67000"/>
    <n v="2000"/>
    <n v="0"/>
    <n v="0"/>
    <n v="69000"/>
    <n v="69000"/>
    <n v="0"/>
    <n v="69000"/>
    <n v="69000"/>
    <s v="日本人等"/>
    <s v="yes"/>
    <s v=""/>
    <m/>
    <s v="117_301"/>
    <n v="69000"/>
    <m/>
    <n v="1"/>
    <n v="69000"/>
    <n v="0"/>
    <n v="0"/>
    <n v="1"/>
    <x v="0"/>
  </r>
  <r>
    <n v="301"/>
    <n v="117"/>
    <x v="14"/>
    <s v="302"/>
    <n v="27.31"/>
    <n v="631"/>
    <s v="住居"/>
    <s v="2K"/>
    <n v="80000"/>
    <n v="3000"/>
    <n v="0"/>
    <n v="0"/>
    <n v="83000"/>
    <n v="82000"/>
    <n v="0"/>
    <n v="82000"/>
    <n v="83000"/>
    <s v="日本人等"/>
    <s v="yes"/>
    <s v=""/>
    <m/>
    <s v="117_302"/>
    <n v="81000"/>
    <m/>
    <n v="1"/>
    <n v="83000"/>
    <n v="-1000"/>
    <n v="2000"/>
    <n v="1"/>
    <x v="0"/>
  </r>
  <r>
    <n v="302"/>
    <n v="117"/>
    <x v="14"/>
    <s v="303"/>
    <n v="27.31"/>
    <n v="631"/>
    <s v="住居"/>
    <s v="2K"/>
    <n v="81000"/>
    <n v="2000"/>
    <n v="0"/>
    <n v="0"/>
    <n v="83000"/>
    <n v="83000"/>
    <n v="0"/>
    <n v="83000"/>
    <n v="83000"/>
    <s v="日本人等"/>
    <s v="yes"/>
    <s v=""/>
    <m/>
    <s v="117_303"/>
    <n v="83000"/>
    <m/>
    <n v="1"/>
    <n v="83000"/>
    <n v="0"/>
    <n v="0"/>
    <n v="1"/>
    <x v="0"/>
  </r>
  <r>
    <n v="303"/>
    <n v="117"/>
    <x v="14"/>
    <s v="P1"/>
    <n v="0"/>
    <n v="634"/>
    <s v="駐車場"/>
    <s v="駐車場"/>
    <n v="0"/>
    <n v="0"/>
    <n v="0"/>
    <n v="0"/>
    <n v="0"/>
    <n v="13000"/>
    <n v="1300"/>
    <n v="14300"/>
    <n v="14300"/>
    <s v="法人契約"/>
    <s v="yes"/>
    <s v="一時的な空室"/>
    <m/>
    <s v="117_P1"/>
    <n v="14300"/>
    <m/>
    <n v="0"/>
    <n v="13000"/>
    <n v="0"/>
    <n v="-1300"/>
    <n v="1"/>
    <x v="0"/>
  </r>
  <r>
    <n v="304"/>
    <n v="120"/>
    <x v="15"/>
    <s v="101"/>
    <n v="23.07"/>
    <n v="631"/>
    <s v="住居"/>
    <s v="1R"/>
    <n v="75000"/>
    <n v="0"/>
    <n v="0"/>
    <n v="0"/>
    <n v="75000"/>
    <n v="75000"/>
    <n v="0"/>
    <n v="75000"/>
    <n v="75000"/>
    <s v="日本人等"/>
    <s v="yes"/>
    <s v=""/>
    <m/>
    <s v="120_101"/>
    <n v="75000"/>
    <m/>
    <n v="1"/>
    <n v="75000"/>
    <n v="0"/>
    <n v="0"/>
    <n v="1"/>
    <x v="0"/>
  </r>
  <r>
    <n v="305"/>
    <n v="120"/>
    <x v="15"/>
    <s v="102"/>
    <n v="26.94"/>
    <n v="631"/>
    <s v="住居"/>
    <s v="1DK"/>
    <n v="70000"/>
    <n v="0"/>
    <n v="0"/>
    <n v="0"/>
    <n v="70000"/>
    <n v="70000"/>
    <n v="0"/>
    <n v="70000"/>
    <n v="70000"/>
    <s v="日本人等"/>
    <s v="yes"/>
    <s v=""/>
    <m/>
    <s v="120_102"/>
    <n v="70000"/>
    <m/>
    <n v="1"/>
    <n v="70000"/>
    <n v="0"/>
    <n v="0"/>
    <n v="1"/>
    <x v="0"/>
  </r>
  <r>
    <n v="306"/>
    <n v="120"/>
    <x v="15"/>
    <s v="103"/>
    <n v="33.450000000000003"/>
    <n v="631"/>
    <s v="住居"/>
    <s v="1DK"/>
    <n v="79000"/>
    <n v="4000"/>
    <n v="0"/>
    <n v="0"/>
    <n v="83000"/>
    <n v="83000"/>
    <n v="0"/>
    <n v="83000"/>
    <n v="83000"/>
    <s v="日本人等"/>
    <s v="yes"/>
    <s v=""/>
    <m/>
    <s v="120_103"/>
    <n v="89000"/>
    <m/>
    <n v="1"/>
    <n v="83000"/>
    <n v="0"/>
    <n v="-6000"/>
    <n v="1"/>
    <x v="0"/>
  </r>
  <r>
    <n v="307"/>
    <n v="120"/>
    <x v="15"/>
    <s v="201"/>
    <n v="43.83"/>
    <n v="631"/>
    <s v="住居"/>
    <s v="1LDK"/>
    <n v="102000"/>
    <n v="3000"/>
    <n v="0"/>
    <n v="0"/>
    <n v="105000"/>
    <n v="103000"/>
    <n v="0"/>
    <n v="103000"/>
    <n v="105000"/>
    <s v="日本人等"/>
    <s v="yes"/>
    <s v=""/>
    <m/>
    <s v="120_201"/>
    <n v="103000"/>
    <m/>
    <n v="1"/>
    <n v="105000"/>
    <n v="-2000"/>
    <n v="2000"/>
    <n v="1"/>
    <x v="0"/>
  </r>
  <r>
    <n v="308"/>
    <n v="120"/>
    <x v="15"/>
    <s v="202"/>
    <n v="26.94"/>
    <n v="631"/>
    <s v="住居"/>
    <s v="1DK"/>
    <n v="75000"/>
    <n v="0"/>
    <n v="0"/>
    <n v="0"/>
    <n v="75000"/>
    <n v="75000"/>
    <n v="0"/>
    <n v="75000"/>
    <n v="75000"/>
    <s v="日本人等"/>
    <s v="yes"/>
    <s v=""/>
    <m/>
    <s v="120_202"/>
    <n v="75000"/>
    <m/>
    <n v="1"/>
    <n v="75000"/>
    <n v="0"/>
    <n v="0"/>
    <n v="1"/>
    <x v="0"/>
  </r>
  <r>
    <n v="309"/>
    <n v="120"/>
    <x v="15"/>
    <s v="203"/>
    <n v="33.450000000000003"/>
    <n v="631"/>
    <s v="住居"/>
    <s v="1DK"/>
    <n v="87000"/>
    <n v="3000"/>
    <n v="0"/>
    <n v="0"/>
    <n v="90000"/>
    <n v="90000"/>
    <n v="0"/>
    <n v="90000"/>
    <n v="90000"/>
    <s v="日本人等"/>
    <s v="yes"/>
    <s v=""/>
    <m/>
    <s v="120_203"/>
    <n v="103000"/>
    <m/>
    <n v="1"/>
    <n v="90000"/>
    <n v="0"/>
    <n v="-13000"/>
    <n v="1"/>
    <x v="0"/>
  </r>
  <r>
    <n v="310"/>
    <n v="120"/>
    <x v="15"/>
    <s v="301"/>
    <n v="38.04"/>
    <n v="631"/>
    <s v="住居"/>
    <s v="1DK"/>
    <n v="105000"/>
    <n v="0"/>
    <n v="0"/>
    <n v="0"/>
    <n v="105000"/>
    <n v="105000"/>
    <n v="0"/>
    <n v="105000"/>
    <n v="105000"/>
    <s v="日本人等"/>
    <s v="yes"/>
    <s v=""/>
    <m/>
    <s v="120_301"/>
    <n v="105000"/>
    <m/>
    <n v="1"/>
    <n v="105000"/>
    <n v="0"/>
    <n v="0"/>
    <n v="1"/>
    <x v="0"/>
  </r>
  <r>
    <n v="311"/>
    <n v="120"/>
    <x v="15"/>
    <s v="302"/>
    <n v="51.96"/>
    <n v="631"/>
    <s v="住居"/>
    <s v="2LDK"/>
    <n v="120000"/>
    <n v="5000"/>
    <n v="0"/>
    <n v="0"/>
    <n v="125000"/>
    <n v="125000"/>
    <n v="0"/>
    <n v="125000"/>
    <n v="125000"/>
    <s v="日本人等"/>
    <s v="yes"/>
    <s v=""/>
    <m/>
    <s v="120_302"/>
    <n v="136000"/>
    <m/>
    <n v="1"/>
    <n v="125000"/>
    <n v="0"/>
    <n v="-11000"/>
    <n v="1"/>
    <x v="0"/>
  </r>
  <r>
    <n v="312"/>
    <n v="120"/>
    <x v="15"/>
    <s v="401"/>
    <n v="51.4"/>
    <n v="631"/>
    <s v="住居"/>
    <s v="2LDK"/>
    <n v="136000"/>
    <n v="4000"/>
    <n v="0"/>
    <n v="0"/>
    <n v="140000"/>
    <n v="140000"/>
    <n v="0"/>
    <n v="140000"/>
    <n v="140000"/>
    <s v="日本人等"/>
    <s v="yes"/>
    <s v=""/>
    <m/>
    <s v="120_401"/>
    <n v="138000"/>
    <m/>
    <n v="1"/>
    <n v="140000"/>
    <n v="0"/>
    <n v="2000"/>
    <n v="1"/>
    <x v="0"/>
  </r>
  <r>
    <n v="313"/>
    <n v="120"/>
    <x v="15"/>
    <s v="TD1"/>
    <s v="-"/>
    <n v="639"/>
    <s v="その他"/>
    <s v="その他"/>
    <n v="0"/>
    <n v="0"/>
    <n v="0"/>
    <n v="0"/>
    <n v="0"/>
    <n v="0"/>
    <n v="0"/>
    <n v="0"/>
    <n v="0"/>
    <s v="-"/>
    <s v="no"/>
    <s v="電柱"/>
    <m/>
    <s v="120_TD1"/>
    <n v="0"/>
    <m/>
    <n v="0"/>
    <n v="0"/>
    <n v="0"/>
    <n v="0"/>
    <n v="0"/>
    <x v="0"/>
  </r>
  <r>
    <n v="314"/>
    <n v="120"/>
    <x v="15"/>
    <s v="VND1"/>
    <s v="-"/>
    <n v="637"/>
    <s v="自販機"/>
    <s v="自販機"/>
    <n v="0"/>
    <n v="0"/>
    <n v="0"/>
    <n v="0"/>
    <n v="0"/>
    <n v="0"/>
    <n v="0"/>
    <n v="0"/>
    <n v="0"/>
    <s v="-"/>
    <s v="yes"/>
    <m/>
    <m/>
    <s v="120_VND1"/>
    <n v="0"/>
    <m/>
    <n v="0"/>
    <n v="0"/>
    <n v="0"/>
    <n v="0"/>
    <n v="0"/>
    <x v="0"/>
  </r>
  <r>
    <n v="315"/>
    <n v="221"/>
    <x v="16"/>
    <s v="724"/>
    <n v="15.4"/>
    <n v="632"/>
    <s v="事務所"/>
    <s v="1R"/>
    <n v="0"/>
    <n v="0"/>
    <n v="0"/>
    <n v="0"/>
    <n v="0"/>
    <n v="35000"/>
    <n v="0"/>
    <n v="35000"/>
    <n v="35000"/>
    <s v="-"/>
    <s v="yes"/>
    <s v="一時的な空室"/>
    <m/>
    <s v="221_724"/>
    <n v="35000"/>
    <m/>
    <n v="0"/>
    <n v="35000"/>
    <n v="0"/>
    <n v="0"/>
    <n v="1"/>
    <x v="0"/>
  </r>
  <r>
    <n v="316"/>
    <n v="222"/>
    <x v="17"/>
    <s v="201"/>
    <n v="76.5"/>
    <n v="631"/>
    <s v="住居"/>
    <s v="2LDK"/>
    <n v="0"/>
    <n v="0"/>
    <n v="0"/>
    <n v="0"/>
    <n v="0"/>
    <n v="295000"/>
    <n v="0"/>
    <n v="295000"/>
    <n v="295000"/>
    <s v="-"/>
    <s v="no"/>
    <s v="自己利用社宅"/>
    <m/>
    <s v="222_201"/>
    <n v="295000"/>
    <m/>
    <n v="0"/>
    <n v="295000"/>
    <n v="0"/>
    <n v="0"/>
    <n v="1"/>
    <x v="0"/>
  </r>
  <r>
    <n v="317"/>
    <n v="121"/>
    <x v="18"/>
    <n v="101"/>
    <n v="76.5"/>
    <n v="631"/>
    <s v="住居"/>
    <s v="2LDK"/>
    <n v="330000"/>
    <n v="0"/>
    <n v="0"/>
    <n v="0"/>
    <n v="330000"/>
    <n v="330000"/>
    <n v="0"/>
    <n v="330000"/>
    <n v="330000"/>
    <s v="日本人等"/>
    <s v="yes"/>
    <m/>
    <m/>
    <s v="222_201"/>
    <n v="330000"/>
    <m/>
    <n v="1"/>
    <n v="330000"/>
    <n v="0"/>
    <n v="0"/>
    <n v="1"/>
    <x v="0"/>
  </r>
  <r>
    <n v="318"/>
    <n v="122"/>
    <x v="19"/>
    <n v="101"/>
    <n v="76.5"/>
    <n v="631"/>
    <s v="住居"/>
    <s v="2LDK"/>
    <n v="160000"/>
    <n v="0"/>
    <n v="0"/>
    <n v="0"/>
    <n v="160000"/>
    <n v="160000"/>
    <n v="0"/>
    <n v="160000"/>
    <n v="160000"/>
    <s v="日本人等"/>
    <s v="yes"/>
    <m/>
    <m/>
    <s v="222_201"/>
    <n v="160000"/>
    <m/>
    <n v="1"/>
    <n v="160000"/>
    <n v="0"/>
    <n v="0"/>
    <n v="1"/>
    <x v="0"/>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
  <r>
    <n v="101"/>
    <x v="0"/>
    <n v="401"/>
    <s v="コアプラス東京株式会社"/>
    <x v="0"/>
    <s v="定額法"/>
    <s v="101西池袋駅前ビル"/>
    <s v="20150601"/>
    <s v="28"/>
    <n v="8"/>
    <n v="20"/>
    <n v="51870000"/>
    <n v="39637325"/>
    <n v="1867320"/>
    <n v="37770005"/>
    <s v="0"/>
    <s v="鉄骨鉄筋ｺﾝｸﾘｰﾄ 共同住宅"/>
  </r>
  <r>
    <n v="101"/>
    <x v="0"/>
    <n v="401"/>
    <s v="コアプラス東京株式会社"/>
    <x v="1"/>
    <s v="非償却"/>
    <s v="101西池袋駅前ビル"/>
    <s v="20150601"/>
    <s v=""/>
    <n v="8"/>
    <s v=""/>
    <n v="168935000"/>
    <n v="168935000"/>
    <m/>
    <n v="168935000"/>
    <s v="0"/>
    <m/>
  </r>
  <r>
    <n v="101"/>
    <x v="0"/>
    <n v="401"/>
    <s v="コアプラス東京株式会社"/>
    <x v="2"/>
    <s v="定額法"/>
    <s v="101西池袋駅前ビル電気空調設備工事"/>
    <s v="20180806"/>
    <s v="13"/>
    <n v="5"/>
    <n v="8"/>
    <n v="640440"/>
    <n v="471954"/>
    <n v="49313"/>
    <n v="422641"/>
    <s v="1"/>
    <s v=" "/>
  </r>
  <r>
    <n v="101"/>
    <x v="0"/>
    <n v="401"/>
    <s v="コアプラス東京株式会社"/>
    <x v="2"/>
    <s v="少額資産"/>
    <s v="101西池袋駅前ビルﾀﾞｲｷﾝ天井ｶｾｯﾄ冷暖房ｴｱｺﾝ"/>
    <s v="20190814"/>
    <s v=""/>
    <n v="4"/>
    <s v=""/>
    <n v="292680"/>
    <m/>
    <m/>
    <m/>
    <s v="1"/>
    <s v=" "/>
  </r>
  <r>
    <n v="101"/>
    <x v="0"/>
    <n v="401"/>
    <s v="コアプラス東京株式会社"/>
    <x v="3"/>
    <s v="定率法"/>
    <s v="101西池袋駅前ビル宅配ﾎﾞｯｸｽ"/>
    <s v="20200331"/>
    <s v="10"/>
    <n v="3"/>
    <n v="7"/>
    <n v="858420"/>
    <n v="572280"/>
    <n v="114456"/>
    <n v="457824"/>
    <s v="1"/>
    <s v=" "/>
  </r>
  <r>
    <n v="102"/>
    <x v="1"/>
    <n v="402"/>
    <s v="コアプラス名古屋株式会社"/>
    <x v="0"/>
    <s v="定額法"/>
    <s v="102池袋ハウス"/>
    <s v="20170928"/>
    <s v="24"/>
    <n v="6"/>
    <n v="18"/>
    <n v="152947603"/>
    <n v="125111141"/>
    <n v="6423799"/>
    <n v="118687342"/>
    <s v="0"/>
    <s v="鉄筋ｺﾝｸﾘｰﾄ造 共同住宅"/>
  </r>
  <r>
    <n v="102"/>
    <x v="1"/>
    <n v="402"/>
    <s v="コアプラス名古屋株式会社"/>
    <x v="1"/>
    <s v="非償却"/>
    <s v="102池袋ハウス"/>
    <s v="20170928"/>
    <s v=""/>
    <n v="6"/>
    <s v=""/>
    <n v="397310797"/>
    <n v="397310797"/>
    <m/>
    <n v="397310797"/>
    <s v="0"/>
    <s v="不動産取得税"/>
  </r>
  <r>
    <n v="102"/>
    <x v="1"/>
    <n v="402"/>
    <s v="コアプラス名古屋株式会社"/>
    <x v="0"/>
    <s v="定額法"/>
    <s v="102池袋ハウス不動産取得税"/>
    <s v="20180101"/>
    <s v="24"/>
    <n v="5"/>
    <n v="19"/>
    <n v="2278000"/>
    <n v="1895296"/>
    <n v="95676"/>
    <n v="1799620"/>
    <s v="0"/>
    <s v="鉄筋ｺﾝｸﾘｰﾄ造 共同住宅"/>
  </r>
  <r>
    <n v="102"/>
    <x v="1"/>
    <n v="402"/>
    <s v="コアプラス名古屋株式会社"/>
    <x v="1"/>
    <s v="非償却"/>
    <s v="102池袋ハウス"/>
    <s v="20180101"/>
    <s v=""/>
    <n v="5"/>
    <s v=""/>
    <n v="2958800"/>
    <n v="2958800"/>
    <m/>
    <n v="2958800"/>
    <s v="0"/>
    <s v="不動産取得税"/>
  </r>
  <r>
    <n v="102"/>
    <x v="1"/>
    <n v="402"/>
    <s v="コアプラス名古屋株式会社"/>
    <x v="2"/>
    <s v="定額法"/>
    <s v="102池袋ハウス汚水ポンプ交換"/>
    <s v="20180301"/>
    <s v="15"/>
    <n v="5"/>
    <n v="10"/>
    <n v="943077"/>
    <n v="700864"/>
    <n v="63186"/>
    <n v="637678"/>
    <s v="1"/>
    <s v=" "/>
  </r>
  <r>
    <n v="102"/>
    <x v="1"/>
    <n v="402"/>
    <s v="コアプラス名古屋株式会社"/>
    <x v="2"/>
    <s v="定額法"/>
    <s v="102池袋ハウス給水管部分更新"/>
    <s v="20201231"/>
    <s v="15"/>
    <n v="3"/>
    <n v="12"/>
    <n v="623700"/>
    <n v="578431"/>
    <n v="41787"/>
    <n v="536644"/>
    <s v="1"/>
    <s v=" "/>
  </r>
  <r>
    <n v="102"/>
    <x v="1"/>
    <n v="402"/>
    <s v="コアプラス名古屋株式会社"/>
    <x v="2"/>
    <s v="定額法"/>
    <s v="102池袋ハウス203改修工事"/>
    <s v="20210731"/>
    <s v="15"/>
    <n v="2"/>
    <n v="13"/>
    <n v="500607"/>
    <n v="483837"/>
    <n v="33540"/>
    <n v="450297"/>
    <s v="1"/>
    <s v=" "/>
  </r>
  <r>
    <n v="102"/>
    <x v="1"/>
    <n v="402"/>
    <s v="コアプラス名古屋株式会社"/>
    <x v="2"/>
    <s v="定額法"/>
    <s v="102池袋ハウス109改修工事"/>
    <s v="20210915"/>
    <s v="15"/>
    <n v="2"/>
    <n v="13"/>
    <n v="534349"/>
    <n v="522416"/>
    <n v="35801"/>
    <n v="486615"/>
    <s v="1"/>
    <s v=" "/>
  </r>
  <r>
    <n v="102"/>
    <x v="1"/>
    <n v="402"/>
    <s v="コアプラス名古屋株式会社"/>
    <x v="2"/>
    <s v="定額法"/>
    <s v="102池袋ハウス303改修工事"/>
    <s v="20210915"/>
    <s v="15"/>
    <n v="2"/>
    <n v="13"/>
    <n v="580905"/>
    <n v="567932"/>
    <n v="38920"/>
    <n v="529012"/>
    <s v="1"/>
    <s v=" "/>
  </r>
  <r>
    <n v="102"/>
    <x v="1"/>
    <n v="402"/>
    <s v="コアプラス名古屋株式会社"/>
    <x v="2"/>
    <s v="定額法"/>
    <s v="102池袋ハウス205改修工事"/>
    <s v="20211015"/>
    <s v="15"/>
    <n v="2"/>
    <n v="13"/>
    <n v="487702"/>
    <n v="479533"/>
    <n v="32676"/>
    <n v="446857"/>
    <s v="1"/>
    <s v=" "/>
  </r>
  <r>
    <n v="102"/>
    <x v="1"/>
    <n v="402"/>
    <s v="コアプラス名古屋株式会社"/>
    <x v="2"/>
    <s v="定額法"/>
    <s v="102池袋ハウス306改修工事"/>
    <s v="20211015"/>
    <s v="15"/>
    <n v="2"/>
    <n v="13"/>
    <n v="539815"/>
    <n v="530774"/>
    <n v="36167"/>
    <n v="494607"/>
    <s v="1"/>
    <s v=" "/>
  </r>
  <r>
    <n v="102"/>
    <x v="1"/>
    <n v="402"/>
    <s v="コアプラス名古屋株式会社"/>
    <x v="2"/>
    <s v="定額法"/>
    <s v="102池袋ハウス406改修工事"/>
    <s v="20211231"/>
    <s v="15"/>
    <n v="2"/>
    <n v="13"/>
    <n v="311610"/>
    <n v="309871"/>
    <n v="20877"/>
    <n v="288994"/>
    <s v="1"/>
    <s v=" "/>
  </r>
  <r>
    <n v="103"/>
    <x v="2"/>
    <n v="403"/>
    <s v="有限会社コアプラス2号"/>
    <x v="0"/>
    <s v="定額法"/>
    <s v="103カーサ目白台ハウス"/>
    <s v="20150715"/>
    <s v="26"/>
    <n v="8"/>
    <n v="18"/>
    <n v="149454010"/>
    <n v="112389418"/>
    <n v="5828706"/>
    <n v="106560712"/>
    <s v="0"/>
    <s v=" "/>
  </r>
  <r>
    <n v="103"/>
    <x v="2"/>
    <n v="403"/>
    <s v="有限会社コアプラス2号"/>
    <x v="1"/>
    <s v="非償却"/>
    <s v="103カーサ目白台ハウス"/>
    <s v="20150715"/>
    <s v=""/>
    <n v="8"/>
    <s v=""/>
    <n v="264084489"/>
    <n v="264084489"/>
    <m/>
    <n v="264084489"/>
    <s v="0"/>
    <s v=" "/>
  </r>
  <r>
    <n v="103"/>
    <x v="2"/>
    <n v="403"/>
    <s v="有限会社コアプラス2号"/>
    <x v="2"/>
    <s v="定率法"/>
    <s v="103カーサ目白台ハウス102号改修工事"/>
    <s v="20160304"/>
    <s v="10"/>
    <n v="7"/>
    <n v="3"/>
    <n v="2157840"/>
    <n v="589236"/>
    <n v="147309"/>
    <n v="441927"/>
    <s v="1"/>
    <s v=" "/>
  </r>
  <r>
    <n v="103"/>
    <x v="2"/>
    <n v="403"/>
    <s v="有限会社コアプラス2号"/>
    <x v="2"/>
    <s v="定額法"/>
    <s v="103カーサ目白台ハウス電気空調設備工事"/>
    <s v="20180706"/>
    <s v="13"/>
    <n v="5"/>
    <n v="8"/>
    <n v="441000"/>
    <n v="322151"/>
    <n v="33957"/>
    <n v="288194"/>
    <s v="1"/>
    <s v=" "/>
  </r>
  <r>
    <n v="103"/>
    <x v="2"/>
    <n v="403"/>
    <s v="有限会社コアプラス2号"/>
    <x v="2"/>
    <s v="少額資産"/>
    <s v="103カーサ目白台ハウスｻｲﾝ工事"/>
    <s v="20181212"/>
    <s v="18"/>
    <n v="5"/>
    <n v="13"/>
    <n v="253400"/>
    <m/>
    <m/>
    <m/>
    <s v="1"/>
    <s v=" "/>
  </r>
  <r>
    <n v="104"/>
    <x v="3"/>
    <n v="404"/>
    <s v="コアプラス大阪株式会社"/>
    <x v="0"/>
    <s v="定額法"/>
    <s v="104コアプラス池袋"/>
    <s v="20140228"/>
    <s v="30"/>
    <n v="9"/>
    <n v="21"/>
    <n v="16087719"/>
    <n v="11744039"/>
    <n v="546982"/>
    <n v="11197057"/>
    <s v="0"/>
    <s v="鉄骨鉄筋ｺﾝｸﾘｰﾄ造 事務所用"/>
  </r>
  <r>
    <n v="104"/>
    <x v="3"/>
    <n v="404"/>
    <s v="コアプラス大阪株式会社"/>
    <x v="1"/>
    <s v="非償却"/>
    <s v="104コアプラス池袋"/>
    <s v="20140228"/>
    <s v=""/>
    <n v="9"/>
    <s v=""/>
    <n v="78084258"/>
    <n v="78084258"/>
    <m/>
    <n v="78084258"/>
    <s v="0"/>
    <s v=" "/>
  </r>
  <r>
    <n v="104"/>
    <x v="3"/>
    <n v="404"/>
    <s v="コアプラス大阪株式会社"/>
    <x v="0"/>
    <s v="定額法"/>
    <s v="104コアプラス池袋1階事務所内装"/>
    <s v="20141101"/>
    <s v="50"/>
    <n v="9"/>
    <n v="41"/>
    <n v="6065238"/>
    <n v="5191850"/>
    <n v="121304"/>
    <n v="5070546"/>
    <s v="1"/>
    <s v=" "/>
  </r>
  <r>
    <n v="104"/>
    <x v="3"/>
    <n v="404"/>
    <s v="コアプラス大阪株式会社"/>
    <x v="0"/>
    <s v="定額法"/>
    <s v="104コアプラス池袋外構工事"/>
    <s v="20141101"/>
    <s v="50"/>
    <n v="9"/>
    <n v="41"/>
    <n v="1758750"/>
    <n v="1505491"/>
    <n v="35175"/>
    <n v="1470316"/>
    <s v="1"/>
    <s v=" "/>
  </r>
  <r>
    <n v="104"/>
    <x v="3"/>
    <n v="404"/>
    <s v="コアプラス大阪株式会社"/>
    <x v="0"/>
    <s v="定額法"/>
    <s v="104コアプラス池袋大規模修繕工事"/>
    <s v="20141101"/>
    <s v="50"/>
    <n v="9"/>
    <n v="41"/>
    <n v="8049861"/>
    <n v="6890684"/>
    <n v="160997"/>
    <n v="6729687"/>
    <s v="1"/>
    <s v=" "/>
  </r>
  <r>
    <n v="104"/>
    <x v="3"/>
    <n v="404"/>
    <s v="コアプラス大阪株式会社"/>
    <x v="2"/>
    <s v="定率法"/>
    <s v="104コアプラス池袋電気工事"/>
    <s v="20141101"/>
    <s v="15"/>
    <n v="9"/>
    <n v="6"/>
    <n v="670025"/>
    <n v="241795"/>
    <n v="32158"/>
    <n v="209637"/>
    <s v="1"/>
    <s v=" "/>
  </r>
  <r>
    <n v="104"/>
    <x v="3"/>
    <n v="404"/>
    <s v="コアプラス大阪株式会社"/>
    <x v="2"/>
    <s v="定率法"/>
    <s v="104コアプラス池袋バルコニー"/>
    <s v="20141101"/>
    <s v="10"/>
    <n v="9"/>
    <n v="1"/>
    <n v="204954"/>
    <n v="32744"/>
    <n v="16371"/>
    <n v="16373"/>
    <s v="1"/>
    <s v="前掲のもの以外 その他"/>
  </r>
  <r>
    <n v="104"/>
    <x v="3"/>
    <n v="404"/>
    <s v="コアプラス大阪株式会社"/>
    <x v="2"/>
    <s v="定率法"/>
    <s v="104コアプラス池袋ポスト等"/>
    <s v="20141101"/>
    <s v="10"/>
    <n v="9"/>
    <n v="1"/>
    <n v="543159"/>
    <n v="86773"/>
    <n v="43386"/>
    <n v="43387"/>
    <s v="1"/>
    <s v="前掲の区分によら ない　その他"/>
  </r>
  <r>
    <n v="104"/>
    <x v="3"/>
    <n v="404"/>
    <s v="コアプラス大阪株式会社"/>
    <x v="2"/>
    <s v="定率法"/>
    <s v="104コアプラス池袋ｹｰﾌﾞﾙﾃﾚﾋﾞ配線"/>
    <s v="20141101"/>
    <s v="10"/>
    <n v="9"/>
    <n v="1"/>
    <n v="122354"/>
    <n v="19549"/>
    <n v="9773"/>
    <n v="9776"/>
    <s v="1"/>
    <s v="前掲の区分によら ない　その他"/>
  </r>
  <r>
    <n v="104"/>
    <x v="3"/>
    <n v="404"/>
    <s v="コアプラス大阪株式会社"/>
    <x v="4"/>
    <s v="定率法"/>
    <s v="104コアプラス池袋"/>
    <s v="20141101"/>
    <s v="15"/>
    <n v="9"/>
    <n v="6"/>
    <n v="1265564"/>
    <n v="456706"/>
    <n v="60741"/>
    <n v="395965"/>
    <s v="1"/>
    <s v="ｺﾝｸﾘｰﾄﾌﾞﾛｯｸ造 へい"/>
  </r>
  <r>
    <n v="104"/>
    <x v="3"/>
    <n v="404"/>
    <s v="コアプラス大阪株式会社"/>
    <x v="2"/>
    <s v="定額法"/>
    <s v="104コアプラス池袋301改修工事"/>
    <s v="20160502"/>
    <s v="15"/>
    <n v="7"/>
    <n v="8"/>
    <n v="1296297"/>
    <n v="803817"/>
    <n v="86851"/>
    <n v="716966"/>
    <s v="1"/>
    <s v=" "/>
  </r>
  <r>
    <n v="104"/>
    <x v="3"/>
    <n v="404"/>
    <s v="コアプラス大阪株式会社"/>
    <x v="2"/>
    <s v="定額法"/>
    <s v="104コアプラス池袋201室内改修工事"/>
    <s v="20180901"/>
    <s v="15"/>
    <n v="5"/>
    <n v="10"/>
    <n v="3300000"/>
    <n v="2563000"/>
    <n v="221100"/>
    <n v="2341900"/>
    <s v="1"/>
    <s v=" "/>
  </r>
  <r>
    <n v="105"/>
    <x v="4"/>
    <n v="405"/>
    <s v="コアプラス仙台株式会社"/>
    <x v="0"/>
    <s v="定額法"/>
    <s v="105目白アパート"/>
    <s v="20140912"/>
    <s v="13"/>
    <n v="9"/>
    <n v="4"/>
    <n v="113432893"/>
    <n v="49296051"/>
    <n v="8734332"/>
    <n v="40561719"/>
    <s v="0"/>
    <s v="鉄筋ｺﾝｸﾘｰﾄ 共同住宅"/>
  </r>
  <r>
    <n v="105"/>
    <x v="4"/>
    <n v="405"/>
    <s v="コアプラス仙台株式会社"/>
    <x v="1"/>
    <s v="非償却"/>
    <s v="105目白アパート"/>
    <s v="20140912"/>
    <s v=""/>
    <n v="9"/>
    <s v=""/>
    <n v="192559845"/>
    <n v="192559845"/>
    <m/>
    <n v="192559845"/>
    <s v="0"/>
    <m/>
  </r>
  <r>
    <n v="105"/>
    <x v="4"/>
    <n v="405"/>
    <s v="コアプラス仙台株式会社"/>
    <x v="4"/>
    <s v="定率法"/>
    <s v="105目白アパート舗装ｺﾝｸﾘ敷"/>
    <s v="20150916"/>
    <s v="15"/>
    <n v="8"/>
    <n v="7"/>
    <n v="1484600"/>
    <n v="602604"/>
    <n v="80146"/>
    <n v="522458"/>
    <s v="1"/>
    <s v=" "/>
  </r>
  <r>
    <n v="105"/>
    <x v="4"/>
    <n v="405"/>
    <s v="コアプラス仙台株式会社"/>
    <x v="2"/>
    <s v="定額法"/>
    <s v="105目白アパート201内装工事"/>
    <s v="20180101"/>
    <s v="15"/>
    <n v="5"/>
    <n v="10"/>
    <n v="2550000"/>
    <n v="1866600"/>
    <n v="170850"/>
    <n v="1695750"/>
    <s v="1"/>
    <s v=" "/>
  </r>
  <r>
    <n v="105"/>
    <x v="4"/>
    <n v="405"/>
    <s v="コアプラス仙台株式会社"/>
    <x v="2"/>
    <s v="定額法"/>
    <s v="105目白アパート広告塔解体工"/>
    <s v="20190829"/>
    <s v="15"/>
    <n v="4"/>
    <n v="11"/>
    <n v="2106000"/>
    <n v="1765004"/>
    <n v="141102"/>
    <n v="1623902"/>
    <s v="1"/>
    <s v=" "/>
  </r>
  <r>
    <n v="105"/>
    <x v="4"/>
    <n v="405"/>
    <s v="コアプラス仙台株式会社"/>
    <x v="2"/>
    <s v="定額法"/>
    <s v="105目白アパート雑排水管新設"/>
    <s v="20190918"/>
    <s v="15"/>
    <n v="4"/>
    <n v="11"/>
    <n v="2743200"/>
    <n v="2314348"/>
    <n v="183794"/>
    <n v="2130554"/>
    <s v="1"/>
    <s v=" "/>
  </r>
  <r>
    <n v="105"/>
    <x v="4"/>
    <n v="405"/>
    <s v="コアプラス仙台株式会社"/>
    <x v="2"/>
    <s v="定額法"/>
    <s v="105目白アパート給水管直結工"/>
    <s v="20191216"/>
    <s v="15"/>
    <n v="4"/>
    <n v="11"/>
    <n v="12320000"/>
    <n v="10600334"/>
    <n v="825440"/>
    <n v="9774894"/>
    <s v="1"/>
    <s v=" "/>
  </r>
  <r>
    <n v="105"/>
    <x v="4"/>
    <n v="405"/>
    <s v="コアプラス仙台株式会社"/>
    <x v="2"/>
    <s v="定額法"/>
    <s v="105目白アパート301改修工"/>
    <s v="20191220"/>
    <s v="15"/>
    <n v="4"/>
    <n v="11"/>
    <n v="2759000"/>
    <n v="2373890"/>
    <n v="184853"/>
    <n v="2189037"/>
    <s v="1"/>
    <s v=" "/>
  </r>
  <r>
    <n v="105"/>
    <x v="4"/>
    <n v="405"/>
    <s v="コアプラス仙台株式会社"/>
    <x v="2"/>
    <s v="定額法"/>
    <s v="105目白アパート防護ﾈｯﾄ設置"/>
    <s v="20211214"/>
    <s v="15"/>
    <n v="2"/>
    <n v="13"/>
    <n v="2095170"/>
    <n v="2083472"/>
    <n v="140376"/>
    <n v="1943096"/>
    <s v="1"/>
    <s v=" "/>
  </r>
  <r>
    <n v="106"/>
    <x v="5"/>
    <n v="406"/>
    <s v="コアプラス札幌株式会社"/>
    <x v="0"/>
    <s v="定額法"/>
    <s v="106東池袋ハイツ"/>
    <s v="20141201"/>
    <s v="30"/>
    <n v="9"/>
    <n v="21"/>
    <n v="187056281"/>
    <n v="142517753"/>
    <n v="6359913"/>
    <n v="136157840"/>
    <s v="0"/>
    <s v="鉄筋ｺﾝｸﾘｰﾄ造 住宅"/>
  </r>
  <r>
    <n v="106"/>
    <x v="5"/>
    <n v="406"/>
    <s v="コアプラス札幌株式会社"/>
    <x v="1"/>
    <s v="非償却"/>
    <s v="106東池袋ハイツ"/>
    <s v="20141201"/>
    <s v=""/>
    <n v="9"/>
    <s v=""/>
    <n v="262709157"/>
    <n v="262709157"/>
    <m/>
    <n v="262709157"/>
    <s v="0"/>
    <m/>
  </r>
  <r>
    <n v="106"/>
    <x v="5"/>
    <n v="406"/>
    <s v="コアプラス札幌株式会社"/>
    <x v="3"/>
    <s v="定率法"/>
    <s v="106東池袋ハイツ宅配ﾎﾞｯｸｽ設置"/>
    <s v="20180926"/>
    <s v="10"/>
    <n v="5"/>
    <n v="5"/>
    <n v="658800"/>
    <n v="314820"/>
    <n v="62964"/>
    <n v="251856"/>
    <s v="1"/>
    <s v=" "/>
  </r>
  <r>
    <n v="107"/>
    <x v="6"/>
    <n v="407"/>
    <s v="コアプラス福岡株式会社"/>
    <x v="0"/>
    <s v="定額法"/>
    <s v="107メゾン雑司ヶ谷"/>
    <s v="20151015"/>
    <s v="23"/>
    <n v="8"/>
    <n v="15"/>
    <n v="98069650"/>
    <n v="71067811"/>
    <n v="4315064"/>
    <n v="66752747"/>
    <s v="0"/>
    <s v="鉄骨鉄筋ｺﾝｸﾘｰﾄ造 "/>
  </r>
  <r>
    <n v="107"/>
    <x v="6"/>
    <n v="407"/>
    <s v="コアプラス福岡株式会社"/>
    <x v="1"/>
    <s v="非償却"/>
    <s v="107メゾン雑司ヶ谷"/>
    <s v="20151015"/>
    <s v=""/>
    <n v="8"/>
    <s v=""/>
    <n v="286363375"/>
    <n v="286363375"/>
    <m/>
    <n v="286363375"/>
    <s v="0"/>
    <s v=" "/>
  </r>
  <r>
    <n v="107"/>
    <x v="6"/>
    <n v="407"/>
    <s v="コアプラス福岡株式会社"/>
    <x v="3"/>
    <s v="定率法"/>
    <s v="107メゾン雑司ヶ谷集合ﾎﾟｽﾄ宅配ﾎﾞｯ"/>
    <s v="20190815"/>
    <s v="10"/>
    <n v="4"/>
    <n v="6"/>
    <n v="720000"/>
    <n v="422400"/>
    <n v="84480"/>
    <n v="337920"/>
    <s v="1"/>
    <s v=" "/>
  </r>
  <r>
    <n v="107"/>
    <x v="6"/>
    <n v="407"/>
    <s v="コアプラス福岡株式会社"/>
    <x v="2"/>
    <s v="定額法"/>
    <s v="107メゾン雑司ヶ谷共用廊下電気工事"/>
    <s v="20210531"/>
    <s v="15"/>
    <n v="2"/>
    <n v="13"/>
    <n v="482200"/>
    <n v="460662"/>
    <n v="32307"/>
    <n v="428355"/>
    <s v="1"/>
    <s v=" "/>
  </r>
  <r>
    <n v="107"/>
    <x v="6"/>
    <n v="407"/>
    <s v="コアプラス福岡株式会社"/>
    <x v="2"/>
    <s v="定額法"/>
    <s v="107メゾン雑司ヶ谷共用廊下ｸﾛｽ貼り"/>
    <s v="20210531"/>
    <s v="10"/>
    <n v="2"/>
    <n v="8"/>
    <n v="941600"/>
    <n v="878827"/>
    <n v="94160"/>
    <n v="784667"/>
    <s v="1"/>
    <s v=" "/>
  </r>
  <r>
    <n v="107"/>
    <x v="6"/>
    <n v="407"/>
    <s v="コアプラス福岡株式会社"/>
    <x v="2"/>
    <s v="定額法"/>
    <s v="107メゾン雑司ヶ谷CAPEX工事"/>
    <s v="20210930"/>
    <s v="10"/>
    <n v="2"/>
    <n v="8"/>
    <n v="860100"/>
    <n v="831430"/>
    <n v="86010"/>
    <n v="745420"/>
    <s v="1"/>
    <s v=" "/>
  </r>
  <r>
    <n v="109"/>
    <x v="7"/>
    <n v="409"/>
    <s v="コアプラス四国株式会社"/>
    <x v="0"/>
    <s v="定額法"/>
    <s v="109カーサ南池袋"/>
    <s v="20151225"/>
    <s v="9"/>
    <n v="8"/>
    <n v="1"/>
    <n v="26042283"/>
    <n v="8541873"/>
    <n v="2916735"/>
    <n v="5625138"/>
    <s v="0"/>
    <s v="鉄筋ｺﾝｸﾘｰﾄ造 陸屋根5階建"/>
  </r>
  <r>
    <n v="109"/>
    <x v="7"/>
    <n v="409"/>
    <s v="コアプラス四国株式会社"/>
    <x v="1"/>
    <s v="非償却"/>
    <s v="109カーサ南池袋"/>
    <s v="20151225"/>
    <s v=""/>
    <n v="8"/>
    <s v=""/>
    <n v="163957717"/>
    <n v="163957717"/>
    <m/>
    <n v="163957717"/>
    <s v="0"/>
    <m/>
  </r>
  <r>
    <n v="109"/>
    <x v="7"/>
    <n v="409"/>
    <s v="コアプラス四国株式会社"/>
    <x v="0"/>
    <s v="定額法"/>
    <s v="109カーサ南池袋"/>
    <s v="20151225"/>
    <s v="9"/>
    <n v="8"/>
    <n v="1"/>
    <n v="450400"/>
    <n v="147736"/>
    <n v="50444"/>
    <n v="97292"/>
    <s v="0"/>
    <s v="鉄筋ｺﾝｸﾘｰﾄ造 陸屋根5階建"/>
  </r>
  <r>
    <n v="109"/>
    <x v="7"/>
    <n v="409"/>
    <s v="コアプラス四国株式会社"/>
    <x v="1"/>
    <s v="非償却"/>
    <s v="109カーサ南池袋不動産取得税"/>
    <s v="20151225"/>
    <s v=""/>
    <n v="8"/>
    <s v=""/>
    <n v="1417900"/>
    <n v="1417900"/>
    <m/>
    <n v="1417900"/>
    <s v="0"/>
    <m/>
  </r>
  <r>
    <n v="109"/>
    <x v="7"/>
    <n v="409"/>
    <s v="コアプラス四国株式会社"/>
    <x v="2"/>
    <s v="定額法"/>
    <s v="109カーサ南池袋107号室改修工事"/>
    <s v="20160513"/>
    <s v="15"/>
    <n v="7"/>
    <n v="8"/>
    <n v="1668160"/>
    <n v="1034819"/>
    <n v="111766"/>
    <n v="923053"/>
    <s v="1"/>
    <s v=" "/>
  </r>
  <r>
    <n v="109"/>
    <x v="7"/>
    <n v="409"/>
    <s v="コアプラス四国株式会社"/>
    <x v="2"/>
    <s v="定額法"/>
    <s v="109カーサ南池袋112号室改修工事"/>
    <s v="20160513"/>
    <s v="15"/>
    <n v="7"/>
    <n v="8"/>
    <n v="2349200"/>
    <n v="1457290"/>
    <n v="157396"/>
    <n v="1299894"/>
    <s v="1"/>
    <s v=" "/>
  </r>
  <r>
    <n v="109"/>
    <x v="7"/>
    <n v="409"/>
    <s v="コアプラス四国株式会社"/>
    <x v="2"/>
    <s v="定額法"/>
    <s v="109カーサ南池袋電気工事"/>
    <s v="20160513"/>
    <s v="15"/>
    <n v="7"/>
    <n v="8"/>
    <n v="1734493"/>
    <n v="1075964"/>
    <n v="116211"/>
    <n v="959753"/>
    <s v="1"/>
    <s v=" "/>
  </r>
  <r>
    <n v="109"/>
    <x v="7"/>
    <n v="409"/>
    <s v="コアプラス四国株式会社"/>
    <x v="2"/>
    <s v="定額法"/>
    <s v="109カーサ南池袋122号室改修工事"/>
    <s v="20161202"/>
    <s v="15"/>
    <n v="7"/>
    <n v="8"/>
    <n v="1549314"/>
    <n v="1021644"/>
    <n v="103804"/>
    <n v="917840"/>
    <s v="1"/>
    <m/>
  </r>
  <r>
    <n v="109"/>
    <x v="7"/>
    <n v="409"/>
    <s v="コアプラス四国株式会社"/>
    <x v="3"/>
    <s v="定率法"/>
    <s v="109カーサ南池袋宅配ﾎﾞｯｸｽ設置"/>
    <s v="20210131"/>
    <s v="10"/>
    <n v="2"/>
    <n v="8"/>
    <n v="554400"/>
    <n v="443520"/>
    <n v="88704"/>
    <n v="354816"/>
    <s v="1"/>
    <m/>
  </r>
  <r>
    <n v="109"/>
    <x v="7"/>
    <n v="409"/>
    <s v="コアプラス四国株式会社"/>
    <x v="2"/>
    <s v="定額法"/>
    <s v="109カーサ南池袋108号室改修工事"/>
    <s v="20210731"/>
    <s v="15"/>
    <n v="2"/>
    <n v="13"/>
    <n v="1873128"/>
    <n v="1810379"/>
    <n v="125499"/>
    <n v="1684880"/>
    <s v="1"/>
    <m/>
  </r>
  <r>
    <n v="109"/>
    <x v="7"/>
    <n v="409"/>
    <s v="コアプラス四国株式会社"/>
    <x v="2"/>
    <s v="定額法"/>
    <s v="109カーサ南池袋屋上給水ﾎﾟﾝﾌﾟ"/>
    <s v="20210831"/>
    <s v="15"/>
    <n v="2"/>
    <n v="13"/>
    <n v="541750"/>
    <n v="526627"/>
    <n v="36297"/>
    <n v="490330"/>
    <s v="1"/>
    <m/>
  </r>
  <r>
    <n v="109"/>
    <x v="7"/>
    <n v="409"/>
    <s v="コアプラス四国株式会社"/>
    <x v="2"/>
    <s v="定額法"/>
    <s v="109カーサ南池袋122号室改修工事"/>
    <s v="20210930"/>
    <s v="15"/>
    <n v="2"/>
    <n v="13"/>
    <n v="4073820"/>
    <n v="3982839"/>
    <n v="272945"/>
    <n v="3709894"/>
    <s v="1"/>
    <m/>
  </r>
  <r>
    <n v="109"/>
    <x v="7"/>
    <n v="409"/>
    <s v="コアプラス四国株式会社"/>
    <x v="2"/>
    <s v="定額法"/>
    <s v="109カーサ南池袋132号室改修工事"/>
    <s v="20210930"/>
    <s v="15"/>
    <n v="2"/>
    <n v="13"/>
    <n v="4304820"/>
    <n v="4208680"/>
    <n v="288422"/>
    <n v="3920258"/>
    <s v="1"/>
    <m/>
  </r>
  <r>
    <n v="109"/>
    <x v="7"/>
    <n v="409"/>
    <s v="コアプラス四国株式会社"/>
    <x v="2"/>
    <s v="定額法"/>
    <s v="109カーサ南池袋共用部排水管更"/>
    <s v="20210930"/>
    <s v="15"/>
    <n v="2"/>
    <n v="13"/>
    <n v="745860"/>
    <n v="729203"/>
    <n v="49972"/>
    <n v="679231"/>
    <s v="1"/>
    <m/>
  </r>
  <r>
    <n v="109"/>
    <x v="7"/>
    <n v="409"/>
    <s v="コアプラス四国株式会社"/>
    <x v="2"/>
    <s v="定額法"/>
    <s v="109カーサ南池袋105号室改修工事"/>
    <s v="20211031"/>
    <s v="15"/>
    <n v="2"/>
    <n v="13"/>
    <n v="2865641"/>
    <n v="2817642"/>
    <n v="191997"/>
    <n v="2625645"/>
    <s v="1"/>
    <m/>
  </r>
  <r>
    <n v="111"/>
    <x v="8"/>
    <n v="401"/>
    <s v="コアプラス東京株式会社"/>
    <x v="0"/>
    <s v="定額法"/>
    <s v="111目白カーサ二番館"/>
    <s v="20160224"/>
    <s v="14"/>
    <n v="7"/>
    <n v="7"/>
    <n v="59724146"/>
    <n v="34281663"/>
    <n v="4300138"/>
    <n v="29981525"/>
    <s v="0"/>
    <s v=" "/>
  </r>
  <r>
    <n v="111"/>
    <x v="8"/>
    <n v="401"/>
    <s v="コアプラス東京株式会社"/>
    <x v="1"/>
    <s v="非償却"/>
    <s v="111目白カーサ二番館"/>
    <s v="20160224"/>
    <s v=""/>
    <n v="7"/>
    <s v=""/>
    <n v="252984606"/>
    <n v="252984606"/>
    <m/>
    <n v="252984606"/>
    <s v="0"/>
    <s v=" "/>
  </r>
  <r>
    <n v="112"/>
    <x v="9"/>
    <n v="402"/>
    <s v="コアプラス名古屋株式会社"/>
    <x v="0"/>
    <s v="定額法"/>
    <s v="112豊島目白ビル"/>
    <s v="20160329"/>
    <s v="27"/>
    <n v="7"/>
    <n v="20"/>
    <n v="126784406"/>
    <n v="98680532"/>
    <n v="4817807"/>
    <n v="93862725"/>
    <s v="0"/>
    <s v="鉄筋ｺﾝｸﾘｰﾄ造 "/>
  </r>
  <r>
    <n v="112"/>
    <x v="9"/>
    <n v="402"/>
    <s v="コアプラス名古屋株式会社"/>
    <x v="1"/>
    <s v="非償却"/>
    <s v="112豊島目白ビル"/>
    <s v="20160329"/>
    <s v=""/>
    <n v="7"/>
    <s v=""/>
    <n v="316421235"/>
    <n v="316421235"/>
    <m/>
    <n v="316421235"/>
    <s v="0"/>
    <s v=" "/>
  </r>
  <r>
    <n v="113"/>
    <x v="10"/>
    <n v="403"/>
    <s v="有限会社コアプラス2号"/>
    <x v="0"/>
    <s v="定額法"/>
    <s v="113第3目白ハイツ"/>
    <s v="20160630"/>
    <s v="24"/>
    <n v="7"/>
    <n v="17"/>
    <n v="149989486"/>
    <n v="114816954"/>
    <n v="6299558"/>
    <n v="108517396"/>
    <s v="0"/>
    <s v="鉄筋ｺﾝｸﾘｰﾄ造 陸屋根4階建"/>
  </r>
  <r>
    <n v="113"/>
    <x v="10"/>
    <n v="403"/>
    <s v="有限会社コアプラス2号"/>
    <x v="1"/>
    <s v="非償却"/>
    <s v="113第3目白ハイツ"/>
    <s v="20160630"/>
    <s v=""/>
    <n v="7"/>
    <s v=""/>
    <n v="335018465"/>
    <n v="335018465"/>
    <m/>
    <n v="335018465"/>
    <s v="0"/>
    <m/>
  </r>
  <r>
    <n v="113"/>
    <x v="10"/>
    <n v="403"/>
    <s v="有限会社コアプラス2号"/>
    <x v="4"/>
    <s v="定額法"/>
    <s v="113第3目白ハイツ歩道ｲﾝﾀｰﾛｯｷﾝｸﾞ設置工事"/>
    <s v="20190725"/>
    <s v="15"/>
    <n v="4"/>
    <n v="11"/>
    <n v="2268000"/>
    <n v="1888110"/>
    <n v="151956"/>
    <n v="1736154"/>
    <s v="1"/>
    <s v=" "/>
  </r>
  <r>
    <n v="113"/>
    <x v="10"/>
    <n v="403"/>
    <s v="有限会社コアプラス2号"/>
    <x v="2"/>
    <s v="定額法"/>
    <s v="113第3目白ハイツ201改修工事"/>
    <s v="20210311"/>
    <s v="15"/>
    <n v="2"/>
    <n v="13"/>
    <n v="1651230"/>
    <n v="1559037"/>
    <n v="110632"/>
    <n v="1448405"/>
    <s v="1"/>
    <s v=" "/>
  </r>
  <r>
    <n v="113"/>
    <x v="10"/>
    <n v="403"/>
    <s v="有限会社コアプラス2号"/>
    <x v="2"/>
    <s v="定額法"/>
    <s v="113第3目白ハイツ301改修工事"/>
    <s v="20210612"/>
    <s v="15"/>
    <n v="2"/>
    <n v="13"/>
    <n v="1928328"/>
    <n v="1852963"/>
    <n v="129197"/>
    <n v="1723766"/>
    <s v="1"/>
    <s v=" "/>
  </r>
  <r>
    <n v="113"/>
    <x v="10"/>
    <n v="403"/>
    <s v="有限会社コアプラス2号"/>
    <x v="2"/>
    <s v="定額法"/>
    <s v="113第3目白ハイツ403改修工事"/>
    <s v="20210612"/>
    <s v="15"/>
    <n v="2"/>
    <n v="13"/>
    <n v="1523875"/>
    <n v="1464317"/>
    <n v="102099"/>
    <n v="1362218"/>
    <s v="1"/>
    <s v=" "/>
  </r>
  <r>
    <n v="113"/>
    <x v="10"/>
    <n v="403"/>
    <s v="有限会社コアプラス2号"/>
    <x v="2"/>
    <s v="定額法"/>
    <s v="113第3目白ハイツ303改修工事"/>
    <s v="20210715"/>
    <s v="15"/>
    <n v="2"/>
    <n v="13"/>
    <n v="1732160"/>
    <n v="1674133"/>
    <n v="116054"/>
    <n v="1558079"/>
    <s v="1"/>
    <s v=" "/>
  </r>
  <r>
    <n v="113"/>
    <x v="10"/>
    <n v="403"/>
    <s v="有限会社コアプラス2号"/>
    <x v="2"/>
    <s v="定額法"/>
    <s v="113第3目白ハイツ206改修工事"/>
    <s v="20210715"/>
    <s v="15"/>
    <n v="2"/>
    <n v="13"/>
    <n v="1903695"/>
    <n v="1839922"/>
    <n v="127547"/>
    <n v="1712375"/>
    <s v="1"/>
    <s v=" "/>
  </r>
  <r>
    <n v="113"/>
    <x v="10"/>
    <n v="403"/>
    <s v="有限会社コアプラス2号"/>
    <x v="2"/>
    <s v="定額法"/>
    <s v="113第3目白ハイツ204改修工事"/>
    <s v="20210816"/>
    <s v="15"/>
    <n v="2"/>
    <n v="13"/>
    <n v="2371294"/>
    <n v="2305096"/>
    <n v="158876"/>
    <n v="2146220"/>
    <s v="1"/>
    <s v=" "/>
  </r>
  <r>
    <n v="114"/>
    <x v="11"/>
    <n v="404"/>
    <s v="コアプラス大阪株式会社"/>
    <x v="0"/>
    <s v="定額法"/>
    <s v="114レジデンス目白豊島"/>
    <s v="20160830"/>
    <s v="26"/>
    <n v="7"/>
    <n v="19"/>
    <n v="52665555"/>
    <n v="41539960"/>
    <n v="2053956"/>
    <n v="39486004"/>
    <s v="0"/>
    <s v="鉄筋ｺﾝｸﾘｰﾄ造 陸屋根4階建"/>
  </r>
  <r>
    <n v="114"/>
    <x v="11"/>
    <n v="404"/>
    <s v="コアプラス大阪株式会社"/>
    <x v="1"/>
    <s v="非償却"/>
    <s v="114レジデンス目白豊島"/>
    <s v="20160830"/>
    <s v=""/>
    <n v="7"/>
    <s v=""/>
    <n v="154821009"/>
    <n v="154821009"/>
    <m/>
    <n v="154821009"/>
    <s v="0"/>
    <m/>
  </r>
  <r>
    <n v="114"/>
    <x v="11"/>
    <n v="404"/>
    <s v="コアプラス大阪株式会社"/>
    <x v="0"/>
    <s v="定額法"/>
    <s v="114レジデンス目白豊島斜壁防水工"/>
    <s v="20161202"/>
    <s v="26"/>
    <n v="7"/>
    <n v="19"/>
    <n v="1550000"/>
    <n v="1242713"/>
    <n v="60450"/>
    <n v="1182263"/>
    <s v="1"/>
    <s v=" "/>
  </r>
  <r>
    <n v="115"/>
    <x v="12"/>
    <n v="405"/>
    <s v="コアプラス仙台株式会社"/>
    <x v="0"/>
    <s v="定額法"/>
    <s v="115コアプラス大塚"/>
    <s v="20170427"/>
    <s v="33"/>
    <n v="6"/>
    <n v="27"/>
    <n v="250772634"/>
    <n v="213808751"/>
    <n v="7773951"/>
    <n v="206034800"/>
    <s v="0"/>
    <s v="鉄筋ｺﾝｸﾘｰﾄ造 "/>
  </r>
  <r>
    <n v="115"/>
    <x v="12"/>
    <n v="405"/>
    <s v="コアプラス仙台株式会社"/>
    <x v="1"/>
    <s v="非償却"/>
    <s v="115コアプラス大塚"/>
    <s v="20170427"/>
    <s v=""/>
    <n v="6"/>
    <s v=""/>
    <n v="300927161"/>
    <n v="300927161"/>
    <m/>
    <n v="300927161"/>
    <s v="0"/>
    <s v=" "/>
  </r>
  <r>
    <n v="116"/>
    <x v="13"/>
    <n v="406"/>
    <s v="コアプラス札幌株式会社"/>
    <x v="0"/>
    <s v="定額法"/>
    <s v="116コアプラスレジデンス梅田"/>
    <s v="20170428"/>
    <s v="25"/>
    <n v="6"/>
    <n v="19"/>
    <n v="147620954"/>
    <n v="119484401"/>
    <n v="5904838"/>
    <n v="113579563"/>
    <s v="0"/>
    <s v="鉄筋鉄骨ｺﾝｸﾘｰﾄ造 "/>
  </r>
  <r>
    <n v="116"/>
    <x v="13"/>
    <n v="406"/>
    <s v="コアプラス札幌株式会社"/>
    <x v="1"/>
    <s v="非償却"/>
    <s v="116コアプラスレジデンス梅田"/>
    <s v="20170428"/>
    <s v=""/>
    <n v="6"/>
    <s v=""/>
    <n v="211645475"/>
    <n v="211645475"/>
    <m/>
    <n v="211645475"/>
    <s v="0"/>
    <s v=" "/>
  </r>
  <r>
    <n v="116"/>
    <x v="13"/>
    <n v="406"/>
    <s v="コアプラス札幌株式会社"/>
    <x v="0"/>
    <s v="定額法"/>
    <s v="116コアプラスレジデンス梅田8階改修工事"/>
    <s v="20170831"/>
    <s v="25"/>
    <n v="6"/>
    <n v="19"/>
    <n v="22749200"/>
    <n v="18722592"/>
    <n v="909968"/>
    <n v="17812624"/>
    <s v="1"/>
    <s v=" "/>
  </r>
  <r>
    <n v="116"/>
    <x v="13"/>
    <n v="406"/>
    <s v="コアプラス札幌株式会社"/>
    <x v="0"/>
    <s v="定額法"/>
    <s v="116コアプラスレジデンス梅田302CAPEX"/>
    <s v="20180419"/>
    <s v="15"/>
    <n v="5"/>
    <n v="10"/>
    <n v="1089640"/>
    <n v="815871"/>
    <n v="73005"/>
    <n v="742866"/>
    <s v="1"/>
    <s v=" "/>
  </r>
  <r>
    <n v="116"/>
    <x v="13"/>
    <n v="406"/>
    <s v="コアプラス札幌株式会社"/>
    <x v="3"/>
    <s v="定率法"/>
    <s v="116コアプラスレジデンス梅田宅配ﾎﾞｯｸｽ等設置"/>
    <s v="20190328"/>
    <s v="10"/>
    <n v="4"/>
    <n v="6"/>
    <n v="778248"/>
    <n v="415066"/>
    <n v="83013"/>
    <n v="332053"/>
    <s v="1"/>
    <s v=" "/>
  </r>
  <r>
    <n v="116"/>
    <x v="13"/>
    <n v="406"/>
    <s v="コアプラス札幌株式会社"/>
    <x v="0"/>
    <s v="定額法"/>
    <s v="116コアプラスレジデンス梅田801CAPEX"/>
    <s v="20190501"/>
    <s v="15"/>
    <n v="4"/>
    <n v="11"/>
    <n v="229060"/>
    <n v="188135"/>
    <n v="15347"/>
    <n v="172788"/>
    <s v="1"/>
    <s v=" "/>
  </r>
  <r>
    <n v="116"/>
    <x v="13"/>
    <n v="406"/>
    <s v="コアプラス札幌株式会社"/>
    <x v="0"/>
    <s v="定額法"/>
    <s v="116コアプラスレジデンス梅田202CAPEX"/>
    <s v="20190701"/>
    <s v="15"/>
    <n v="4"/>
    <n v="11"/>
    <n v="533392"/>
    <n v="444050"/>
    <n v="35737"/>
    <n v="408313"/>
    <s v="1"/>
    <s v=" "/>
  </r>
  <r>
    <n v="116"/>
    <x v="13"/>
    <n v="406"/>
    <s v="コアプラス札幌株式会社"/>
    <x v="0"/>
    <s v="定額法"/>
    <s v="116コアプラスレジデンス梅田401CAPEX"/>
    <s v="20191101"/>
    <s v="15"/>
    <n v="4"/>
    <n v="11"/>
    <n v="703670"/>
    <n v="601523"/>
    <n v="47145"/>
    <n v="554378"/>
    <s v="1"/>
    <s v=" "/>
  </r>
  <r>
    <n v="116"/>
    <x v="13"/>
    <n v="406"/>
    <s v="コアプラス札幌株式会社"/>
    <x v="0"/>
    <s v="定額法"/>
    <s v="116コアプラスレジデンス梅田402CAPEX"/>
    <s v="20191201"/>
    <s v="15"/>
    <n v="4"/>
    <n v="11"/>
    <n v="565380"/>
    <n v="486464"/>
    <n v="37880"/>
    <n v="448584"/>
    <s v="1"/>
    <s v=" "/>
  </r>
  <r>
    <n v="116"/>
    <x v="13"/>
    <n v="406"/>
    <s v="コアプラス札幌株式会社"/>
    <x v="0"/>
    <s v="定額法"/>
    <s v="116コアプラスレジデンス梅田601CAPEX"/>
    <s v="20191217"/>
    <s v="15"/>
    <n v="4"/>
    <n v="11"/>
    <n v="746900"/>
    <n v="642646"/>
    <n v="50042"/>
    <n v="592604"/>
    <s v="1"/>
    <s v=" "/>
  </r>
  <r>
    <n v="116"/>
    <x v="13"/>
    <n v="406"/>
    <s v="コアプラス札幌株式会社"/>
    <x v="2"/>
    <s v="定額法"/>
    <s v="116コアプラスレジデンス梅田廊下ｶﾞﾗﾘ交換"/>
    <s v="20210114"/>
    <s v="15"/>
    <n v="2"/>
    <n v="13"/>
    <n v="182050"/>
    <n v="169853"/>
    <n v="12197"/>
    <n v="157656"/>
    <s v="1"/>
    <s v=" "/>
  </r>
  <r>
    <n v="116"/>
    <x v="13"/>
    <n v="406"/>
    <s v="コアプラス札幌株式会社"/>
    <x v="2"/>
    <s v="定額法"/>
    <s v="116コアプラスレジデンス梅田702CAPEX"/>
    <s v="20210209"/>
    <s v="15"/>
    <n v="2"/>
    <n v="13"/>
    <n v="1050341"/>
    <n v="985833"/>
    <n v="70372"/>
    <n v="915461"/>
    <s v="1"/>
    <s v=" "/>
  </r>
  <r>
    <n v="116"/>
    <x v="13"/>
    <n v="406"/>
    <s v="コアプラス札幌株式会社"/>
    <x v="2"/>
    <s v="定額法"/>
    <s v="116コアプラスレジデンス梅田給水ﾎﾟﾝﾌﾟ更新"/>
    <s v="20210209"/>
    <s v="15"/>
    <n v="2"/>
    <n v="13"/>
    <n v="251900"/>
    <n v="236430"/>
    <n v="16877"/>
    <n v="219553"/>
    <s v="1"/>
    <s v=" "/>
  </r>
  <r>
    <n v="116"/>
    <x v="13"/>
    <n v="406"/>
    <s v="コアプラス札幌株式会社"/>
    <x v="2"/>
    <s v="定額法"/>
    <s v="116コアプラスレジデンス梅田601CAPEX"/>
    <s v="20210513"/>
    <s v="15"/>
    <n v="2"/>
    <n v="13"/>
    <n v="327119"/>
    <n v="312508"/>
    <n v="21916"/>
    <n v="290592"/>
    <s v="1"/>
    <s v=" "/>
  </r>
  <r>
    <n v="116"/>
    <x v="13"/>
    <n v="406"/>
    <s v="コアプラス札幌株式会社"/>
    <x v="2"/>
    <s v="定額法"/>
    <s v="116コアプラスレジデンス梅田401CAPEX"/>
    <s v="20210610"/>
    <s v="15"/>
    <n v="2"/>
    <n v="13"/>
    <n v="557902"/>
    <n v="536098"/>
    <n v="37379"/>
    <n v="498719"/>
    <s v="1"/>
    <s v=" "/>
  </r>
  <r>
    <n v="116"/>
    <x v="13"/>
    <n v="406"/>
    <s v="コアプラス札幌株式会社"/>
    <x v="2"/>
    <s v="定額法"/>
    <s v="116コアプラスレジデンス梅田202CAPEX"/>
    <s v="20210816"/>
    <s v="15"/>
    <n v="2"/>
    <n v="13"/>
    <n v="115500"/>
    <n v="112276"/>
    <n v="7738"/>
    <n v="104538"/>
    <s v="1"/>
    <s v=" "/>
  </r>
  <r>
    <n v="116"/>
    <x v="13"/>
    <n v="406"/>
    <s v="コアプラス札幌株式会社"/>
    <x v="2"/>
    <s v="定額法"/>
    <s v="116コアプラスレジデンス梅田浴室ﾄﾞｱﾉﾌﾞ交換"/>
    <s v="20210816"/>
    <s v="15"/>
    <n v="2"/>
    <n v="13"/>
    <n v="149050"/>
    <n v="144890"/>
    <n v="9986"/>
    <n v="134904"/>
    <s v="1"/>
    <s v=" "/>
  </r>
  <r>
    <n v="116"/>
    <x v="13"/>
    <n v="406"/>
    <s v="コアプラス札幌株式会社"/>
    <x v="2"/>
    <s v="定額法"/>
    <s v="116コアプラスレジデンス梅田ｲﾝﾀｰﾈｯﾄ導入工事"/>
    <s v="20210910"/>
    <s v="15"/>
    <n v="2"/>
    <n v="13"/>
    <n v="616000"/>
    <n v="602243"/>
    <n v="41272"/>
    <n v="560971"/>
    <s v="1"/>
    <s v=" "/>
  </r>
  <r>
    <n v="116"/>
    <x v="13"/>
    <n v="406"/>
    <s v="コアプラス札幌株式会社"/>
    <x v="2"/>
    <s v="定額法"/>
    <s v="116コアプラスレジデンス梅田IDF盤改修工事"/>
    <s v="20211011"/>
    <s v="15"/>
    <n v="2"/>
    <n v="13"/>
    <n v="156530"/>
    <n v="153909"/>
    <n v="10487"/>
    <n v="143422"/>
    <s v="1"/>
    <s v=" "/>
  </r>
  <r>
    <n v="116"/>
    <x v="13"/>
    <n v="406"/>
    <s v="コアプラス札幌株式会社"/>
    <x v="2"/>
    <s v="定額法"/>
    <s v="116コアプラスレジデンス梅田302CAPEX"/>
    <s v="20211211"/>
    <s v="15"/>
    <n v="2"/>
    <n v="13"/>
    <n v="2064159"/>
    <n v="2052635"/>
    <n v="138298"/>
    <n v="1914337"/>
    <s v="1"/>
    <s v=" "/>
  </r>
  <r>
    <n v="116"/>
    <x v="13"/>
    <n v="406"/>
    <s v="コアプラス札幌株式会社"/>
    <x v="2"/>
    <s v="定額法"/>
    <s v="116コアプラスレジデンス梅田402CAPEX"/>
    <s v="20211211"/>
    <s v="15"/>
    <n v="2"/>
    <n v="13"/>
    <n v="2382841"/>
    <n v="2369537"/>
    <n v="159650"/>
    <n v="2209887"/>
    <s v="1"/>
    <s v=" "/>
  </r>
  <r>
    <n v="116"/>
    <x v="13"/>
    <n v="406"/>
    <s v="コアプラス札幌株式会社"/>
    <x v="2"/>
    <s v="定額法"/>
    <s v="116コアプラスレジデンス梅田501CAPEX"/>
    <s v="20211211"/>
    <s v="15"/>
    <n v="2"/>
    <n v="13"/>
    <n v="2679411"/>
    <n v="2664451"/>
    <n v="179520"/>
    <n v="2484931"/>
    <s v="1"/>
    <s v=" "/>
  </r>
  <r>
    <n v="117"/>
    <x v="14"/>
    <n v="407"/>
    <s v="コアプラス福岡株式会社"/>
    <x v="0"/>
    <s v="定額法"/>
    <s v="117高田馬場第4玉川ビル"/>
    <s v="20170831"/>
    <s v="9"/>
    <n v="6"/>
    <n v="3"/>
    <n v="24151178"/>
    <n v="12204400"/>
    <n v="2704931"/>
    <n v="9499469"/>
    <s v="0"/>
    <s v="鉄骨造陸屋根 共同住宅・車庫等"/>
  </r>
  <r>
    <n v="117"/>
    <x v="14"/>
    <n v="407"/>
    <s v="コアプラス福岡株式会社"/>
    <x v="1"/>
    <s v="非償却"/>
    <s v="117高田馬場第4玉川ビル"/>
    <s v="20170831"/>
    <s v=""/>
    <n v="6"/>
    <s v=""/>
    <n v="113543242"/>
    <n v="113543242"/>
    <m/>
    <n v="113543242"/>
    <s v="0"/>
    <m/>
  </r>
  <r>
    <n v="117"/>
    <x v="14"/>
    <n v="407"/>
    <s v="コアプラス福岡株式会社"/>
    <x v="2"/>
    <s v="定額法"/>
    <s v="117高田馬場第4玉川ビル"/>
    <s v="20180331"/>
    <s v="15"/>
    <n v="5"/>
    <n v="10"/>
    <n v="1620000"/>
    <n v="1203930"/>
    <n v="108540"/>
    <n v="1095390"/>
    <s v="1"/>
    <s v="解体撤去工事 電気設備工事"/>
  </r>
  <r>
    <n v="117"/>
    <x v="14"/>
    <n v="407"/>
    <s v="コアプラス福岡株式会社"/>
    <x v="2"/>
    <s v="定額法"/>
    <s v="117高田馬場第4玉川ビル"/>
    <s v="20210115"/>
    <s v="15"/>
    <n v="2"/>
    <n v="13"/>
    <n v="299434"/>
    <n v="279372"/>
    <n v="20062"/>
    <n v="259310"/>
    <s v="1"/>
    <s v="202号室 CAPEX工事"/>
  </r>
  <r>
    <n v="117"/>
    <x v="14"/>
    <n v="407"/>
    <s v="コアプラス福岡株式会社"/>
    <x v="2"/>
    <s v="定額法"/>
    <s v="117高田馬場第4玉川ビル"/>
    <s v="20210115"/>
    <s v="15"/>
    <n v="2"/>
    <n v="13"/>
    <n v="577426"/>
    <n v="538739"/>
    <n v="38687"/>
    <n v="500052"/>
    <s v="1"/>
    <s v="203号室 CAPEX工事"/>
  </r>
  <r>
    <n v="117"/>
    <x v="14"/>
    <n v="407"/>
    <s v="コアプラス福岡株式会社"/>
    <x v="2"/>
    <s v="定額法"/>
    <s v="117高田馬場第4玉川ビル"/>
    <s v="20210315"/>
    <s v="15"/>
    <n v="2"/>
    <n v="13"/>
    <n v="419912"/>
    <n v="396467"/>
    <n v="28134"/>
    <n v="368333"/>
    <s v="1"/>
    <s v="201号室 CAPEX工事"/>
  </r>
  <r>
    <n v="117"/>
    <x v="14"/>
    <n v="407"/>
    <s v="コアプラス福岡株式会社"/>
    <x v="2"/>
    <s v="定額法"/>
    <s v="117高田馬場第4玉川ビル"/>
    <s v="20211205"/>
    <s v="15"/>
    <n v="2"/>
    <n v="13"/>
    <n v="758872"/>
    <n v="754635"/>
    <n v="50844"/>
    <n v="703791"/>
    <s v="1"/>
    <s v="302号室 CAPEX工事"/>
  </r>
  <r>
    <n v="120"/>
    <x v="15"/>
    <n v="408"/>
    <s v="コアプラス京都株式会社"/>
    <x v="0"/>
    <s v="定額法"/>
    <s v="120南池袋マンション"/>
    <s v="20180109"/>
    <s v="24"/>
    <n v="5"/>
    <n v="19"/>
    <n v="33588101"/>
    <n v="27945301"/>
    <n v="1410700"/>
    <n v="26534601"/>
    <s v="0"/>
    <s v="鉄筋ｺﾝｸﾘｰﾄ造 共同住宅"/>
  </r>
  <r>
    <n v="120"/>
    <x v="15"/>
    <n v="408"/>
    <s v="コアプラス京都株式会社"/>
    <x v="1"/>
    <s v="非償却"/>
    <s v="120南池袋マンション"/>
    <s v="20180109"/>
    <s v=""/>
    <n v="5"/>
    <s v=""/>
    <n v="120828203"/>
    <n v="120828203"/>
    <m/>
    <n v="120828203"/>
    <s v="0"/>
    <m/>
  </r>
  <r>
    <n v="120"/>
    <x v="15"/>
    <n v="408"/>
    <s v="コアプラス京都株式会社"/>
    <x v="2"/>
    <s v="定額法"/>
    <s v="120南池袋マンション"/>
    <s v="20180401"/>
    <s v="15"/>
    <n v="5"/>
    <n v="10"/>
    <n v="3390000"/>
    <n v="2538263"/>
    <n v="227130"/>
    <n v="2311133"/>
    <n v="1"/>
    <s v="CAPEX工事 その他改修工事"/>
  </r>
  <r>
    <n v="221"/>
    <x v="16"/>
    <n v="408"/>
    <s v="コアプラス京都株式会社"/>
    <x v="0"/>
    <s v="定額法"/>
    <s v="221ビジネス新大阪123号"/>
    <s v="20210121"/>
    <s v="12"/>
    <n v="2"/>
    <n v="10"/>
    <n v="3025337"/>
    <n v="2771209"/>
    <n v="254128"/>
    <n v="2517081"/>
    <s v="0"/>
    <s v="鉄筋鉄骨ｺﾝｸﾘｰﾄ造 "/>
  </r>
  <r>
    <n v="221"/>
    <x v="16"/>
    <n v="408"/>
    <s v="コアプラス京都株式会社"/>
    <x v="1"/>
    <s v="非償却"/>
    <s v="221ビジネス新大阪123号"/>
    <s v="20210121"/>
    <s v=""/>
    <n v="2"/>
    <s v=""/>
    <n v="2475275"/>
    <n v="2475275"/>
    <m/>
    <n v="2475275"/>
    <s v="0"/>
    <s v=" "/>
  </r>
  <r>
    <n v="221"/>
    <x v="16"/>
    <n v="408"/>
    <s v="コアプラス京都株式会社"/>
    <x v="0"/>
    <s v="定額法"/>
    <s v="221ビジネス新大阪123号"/>
    <s v="20210721"/>
    <s v="12"/>
    <n v="2"/>
    <n v="10"/>
    <n v="27300"/>
    <n v="26154"/>
    <n v="2293"/>
    <n v="23861"/>
    <s v="0"/>
    <s v="不動産取得税 "/>
  </r>
  <r>
    <n v="221"/>
    <x v="16"/>
    <n v="408"/>
    <s v="コアプラス京都株式会社"/>
    <x v="1"/>
    <s v="非償却"/>
    <s v="221ビジネス新大阪123号"/>
    <s v="20210721"/>
    <s v=""/>
    <n v="2"/>
    <s v=""/>
    <n v="13300"/>
    <n v="13300"/>
    <m/>
    <n v="13300"/>
    <s v="0"/>
    <s v="不動産取得税 "/>
  </r>
  <r>
    <n v="222"/>
    <x v="17"/>
    <n v="401"/>
    <s v="コアプラス東京株式会社"/>
    <x v="0"/>
    <s v="定額法"/>
    <s v="222プラウD目白301号室101号室"/>
    <s v="20210311"/>
    <s v="27"/>
    <n v="2"/>
    <n v="25"/>
    <n v="19286259"/>
    <n v="18675528"/>
    <n v="732877"/>
    <n v="17942651"/>
    <s v="0"/>
    <s v="鉄筋ｺﾝｸﾘｰﾄ"/>
  </r>
  <r>
    <n v="222"/>
    <x v="17"/>
    <n v="401"/>
    <s v="コアプラス東京株式会社"/>
    <x v="1"/>
    <s v="非償却"/>
    <s v="222プラウD目白301号室101号室"/>
    <s v="20210311"/>
    <s v=""/>
    <n v="2"/>
    <s v=""/>
    <n v="57130988"/>
    <n v="57130988"/>
    <m/>
    <n v="57130988"/>
    <s v="0"/>
    <m/>
  </r>
  <r>
    <n v="222"/>
    <x v="17"/>
    <n v="401"/>
    <s v="コアプラス東京株式会社"/>
    <x v="0"/>
    <s v="定額法"/>
    <s v="222プラウD目白301号室101号室"/>
    <s v="20211031"/>
    <s v="27"/>
    <n v="2"/>
    <n v="25"/>
    <n v="10501105"/>
    <n v="10401345"/>
    <n v="399041"/>
    <n v="10002304"/>
    <s v="1"/>
    <s v="ﾘﾌｫｰﾑ工事 "/>
  </r>
  <r>
    <n v="222"/>
    <x v="17"/>
    <n v="401"/>
    <s v="コアプラス東京株式会社"/>
    <x v="2"/>
    <s v="定額法"/>
    <s v="222プラウD目白301号室101号室"/>
    <s v="20211031"/>
    <s v="15"/>
    <n v="2"/>
    <n v="13"/>
    <n v="8567856"/>
    <n v="8424345"/>
    <n v="574046"/>
    <n v="7850299"/>
    <s v="1"/>
    <s v="ﾘﾌｫｰﾑ工事 "/>
  </r>
  <r>
    <n v="999"/>
    <x v="18"/>
    <n v="401"/>
    <s v="コアプラス東京株式会社"/>
    <x v="3"/>
    <s v="定率法"/>
    <s v="999賃貸資産以外の償却生産性Ａ類型"/>
    <s v="20150716"/>
    <s v="5"/>
    <n v="8"/>
    <n v="-3"/>
    <n v="555556"/>
    <n v="1"/>
    <m/>
    <n v="1"/>
    <s v="0"/>
    <m/>
  </r>
  <r>
    <n v="999"/>
    <x v="18"/>
    <n v="401"/>
    <s v="コアプラス東京株式会社"/>
    <x v="3"/>
    <s v="定額法"/>
    <s v="999賃貸資産以外の償却"/>
    <s v="20190925"/>
    <s v="5"/>
    <n v="4"/>
    <n v="1"/>
    <n v="442600"/>
    <n v="236054"/>
    <n v="88520"/>
    <n v="147534"/>
    <s v="0"/>
    <s v="PC、サーバー"/>
  </r>
  <r>
    <n v="999"/>
    <x v="18"/>
    <n v="401"/>
    <s v="コアプラス東京株式会社"/>
    <x v="3"/>
    <s v="少額資産"/>
    <s v="999賃貸資産以外の償却"/>
    <s v="20191001"/>
    <s v="4"/>
    <n v="4"/>
    <n v="0"/>
    <n v="207300"/>
    <m/>
    <m/>
    <m/>
    <s v="0"/>
    <s v="PC、サーバー"/>
  </r>
  <r>
    <n v="999"/>
    <x v="18"/>
    <n v="401"/>
    <s v="コアプラス東京株式会社"/>
    <x v="3"/>
    <s v="少額資産"/>
    <s v="999賃貸資産以外の償却"/>
    <s v="20191001"/>
    <s v="4"/>
    <n v="4"/>
    <n v="0"/>
    <n v="102410"/>
    <m/>
    <m/>
    <m/>
    <s v="0"/>
    <s v="PC、サーバー"/>
  </r>
  <r>
    <n v="999"/>
    <x v="18"/>
    <n v="401"/>
    <s v="コアプラス東京株式会社"/>
    <x v="3"/>
    <s v="少額資産"/>
    <s v="999賃貸資産以外の償却"/>
    <s v="20200418"/>
    <s v="4"/>
    <n v="3"/>
    <n v="1"/>
    <n v="233787"/>
    <m/>
    <m/>
    <m/>
    <s v="0"/>
    <s v="家具"/>
  </r>
  <r>
    <n v="999"/>
    <x v="18"/>
    <n v="401"/>
    <s v="コアプラス東京株式会社"/>
    <x v="3"/>
    <s v="少額資産"/>
    <s v="999賃貸資産以外の償却"/>
    <s v="20200601"/>
    <s v="4"/>
    <n v="3"/>
    <n v="1"/>
    <n v="220700"/>
    <m/>
    <m/>
    <m/>
    <s v="0"/>
    <s v="家具"/>
  </r>
  <r>
    <n v="999"/>
    <x v="18"/>
    <n v="401"/>
    <s v="コアプラス東京株式会社"/>
    <x v="3"/>
    <s v="一括決算"/>
    <s v="999賃貸資産以外の償却"/>
    <s v="20200828"/>
    <s v=""/>
    <n v="3"/>
    <s v=""/>
    <n v="108431"/>
    <m/>
    <n v="36144"/>
    <m/>
    <s v="0"/>
    <s v="PC、サーバー"/>
  </r>
  <r>
    <n v="999"/>
    <x v="18"/>
    <n v="401"/>
    <s v="コアプラス東京株式会社"/>
    <x v="3"/>
    <s v="少額資産"/>
    <s v="999賃貸資産以外の償却"/>
    <s v="20210102"/>
    <s v="5"/>
    <n v="2"/>
    <n v="3"/>
    <n v="241980"/>
    <m/>
    <m/>
    <m/>
    <s v="0"/>
    <s v="PC、サーバー"/>
  </r>
  <r>
    <n v="999"/>
    <x v="18"/>
    <n v="401"/>
    <s v="コアプラス東京株式会社"/>
    <x v="3"/>
    <s v="少額資産"/>
    <s v="999賃貸資産以外の償却"/>
    <s v="20210213"/>
    <s v="5"/>
    <n v="2"/>
    <n v="3"/>
    <n v="137706"/>
    <m/>
    <m/>
    <m/>
    <s v="0"/>
    <s v="家具"/>
  </r>
  <r>
    <n v="999"/>
    <x v="18"/>
    <n v="401"/>
    <s v="コアプラス東京株式会社"/>
    <x v="3"/>
    <s v="少額資産"/>
    <s v="999賃貸資産以外の償却"/>
    <s v="20210221"/>
    <s v="4"/>
    <n v="2"/>
    <n v="2"/>
    <n v="107128"/>
    <m/>
    <m/>
    <m/>
    <s v="0"/>
    <s v="家具"/>
  </r>
  <r>
    <n v="999"/>
    <x v="18"/>
    <n v="401"/>
    <s v="コアプラス東京株式会社"/>
    <x v="3"/>
    <s v="少額資産"/>
    <s v="999賃貸資産以外の償却"/>
    <s v="20210225"/>
    <s v="4"/>
    <n v="2"/>
    <n v="2"/>
    <n v="113520"/>
    <m/>
    <m/>
    <m/>
    <s v="0"/>
    <s v="家具"/>
  </r>
  <r>
    <n v="999"/>
    <x v="18"/>
    <n v="401"/>
    <s v="コアプラス東京株式会社"/>
    <x v="3"/>
    <s v="少額資産"/>
    <s v="999賃貸資産以外の償却"/>
    <s v="20210601"/>
    <s v="4"/>
    <n v="2"/>
    <n v="2"/>
    <n v="269546"/>
    <m/>
    <m/>
    <m/>
    <s v="0"/>
    <s v="家具"/>
  </r>
  <r>
    <n v="999"/>
    <x v="18"/>
    <n v="401"/>
    <s v="コアプラス東京株式会社"/>
    <x v="3"/>
    <s v="少額資産"/>
    <s v="999賃貸資産以外の償却"/>
    <s v="20210604"/>
    <s v="4"/>
    <n v="2"/>
    <n v="2"/>
    <n v="223264"/>
    <m/>
    <m/>
    <m/>
    <s v="0"/>
    <s v="家具"/>
  </r>
  <r>
    <n v="999"/>
    <x v="18"/>
    <n v="401"/>
    <s v="コアプラス東京株式会社"/>
    <x v="3"/>
    <s v="少額資産"/>
    <s v="999賃貸資産以外の償却"/>
    <s v="20210623"/>
    <s v="4"/>
    <n v="2"/>
    <n v="2"/>
    <n v="144600"/>
    <m/>
    <m/>
    <m/>
    <s v="0"/>
    <s v="PC、サーバー"/>
  </r>
  <r>
    <n v="999"/>
    <x v="18"/>
    <n v="401"/>
    <s v="コアプラス東京株式会社"/>
    <x v="3"/>
    <s v="少額資産"/>
    <s v="999賃貸資産以外の償却"/>
    <s v="20210626"/>
    <s v="4"/>
    <n v="2"/>
    <n v="2"/>
    <n v="152164"/>
    <m/>
    <m/>
    <m/>
    <s v="0"/>
    <s v="PC、サーバー"/>
  </r>
  <r>
    <n v="999"/>
    <x v="18"/>
    <n v="401"/>
    <s v="コアプラス東京株式会社"/>
    <x v="3"/>
    <s v="少額資産"/>
    <s v="999賃貸資産以外の償却"/>
    <s v="20210730"/>
    <s v="4"/>
    <n v="2"/>
    <n v="2"/>
    <n v="114200"/>
    <m/>
    <m/>
    <m/>
    <s v="0"/>
    <s v="PC、サーバー"/>
  </r>
  <r>
    <n v="999"/>
    <x v="18"/>
    <n v="401"/>
    <s v="コアプラス東京株式会社"/>
    <x v="3"/>
    <s v="少額資産"/>
    <s v="999賃貸資産以外の償却"/>
    <s v="20210807"/>
    <s v="4"/>
    <n v="2"/>
    <n v="2"/>
    <n v="114200"/>
    <m/>
    <m/>
    <m/>
    <s v="0"/>
    <s v="PC、サーバー"/>
  </r>
  <r>
    <n v="999"/>
    <x v="18"/>
    <n v="401"/>
    <s v="コアプラス東京株式会社"/>
    <x v="3"/>
    <s v="少額資産"/>
    <s v="999賃貸資産以外の償却"/>
    <s v="20211224"/>
    <s v="4"/>
    <n v="2"/>
    <n v="2"/>
    <n v="267346"/>
    <m/>
    <m/>
    <m/>
    <s v="0"/>
    <s v="PC、サーバー"/>
  </r>
  <r>
    <n v="121"/>
    <x v="19"/>
    <n v="408"/>
    <s v="コアプラス京都株式会社"/>
    <x v="0"/>
    <s v="定額法"/>
    <s v="121目白アパート1号館"/>
    <s v="20211224"/>
    <n v="15"/>
    <n v="2"/>
    <n v="13"/>
    <n v="51251000"/>
    <n v="51251000"/>
    <n v="2500000"/>
    <n v="48751000"/>
    <n v="0"/>
    <s v="仮入力"/>
  </r>
  <r>
    <n v="122"/>
    <x v="20"/>
    <n v="408"/>
    <s v="コアプラス京都株式会社"/>
    <x v="0"/>
    <s v="定額法"/>
    <s v="122目白アパート2号館"/>
    <s v="20211224"/>
    <n v="15"/>
    <n v="2"/>
    <n v="13"/>
    <n v="31236000"/>
    <n v="31236000"/>
    <n v="2000000"/>
    <n v="29236000"/>
    <n v="0"/>
    <s v="仮入力"/>
  </r>
  <r>
    <n v="121"/>
    <x v="19"/>
    <n v="408"/>
    <s v="コアプラス京都株式会社"/>
    <x v="1"/>
    <s v="定額法"/>
    <s v="121目白アパート1号館"/>
    <s v="20211224"/>
    <m/>
    <n v="2"/>
    <s v=""/>
    <n v="5112000"/>
    <n v="5112000"/>
    <n v="0"/>
    <n v="5112000"/>
    <n v="0"/>
    <s v="仮入力"/>
  </r>
  <r>
    <n v="122"/>
    <x v="20"/>
    <n v="408"/>
    <s v="コアプラス京都株式会社"/>
    <x v="1"/>
    <s v="定額法"/>
    <s v="122目白アパート2号館"/>
    <s v="20211224"/>
    <m/>
    <n v="2"/>
    <s v=""/>
    <n v="5241000"/>
    <n v="5241000"/>
    <n v="0"/>
    <n v="5241000"/>
    <n v="0"/>
    <s v="仮入力"/>
  </r>
  <r>
    <m/>
    <x v="21"/>
    <m/>
    <m/>
    <x v="5"/>
    <m/>
    <m/>
    <m/>
    <m/>
    <m/>
    <m/>
    <m/>
    <m/>
    <m/>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
  <r>
    <n v="101"/>
    <x v="0"/>
    <n v="401"/>
    <s v="コアプラス東京株式会社"/>
    <x v="0"/>
    <s v="定額法"/>
    <s v="101西池袋駅前ビル"/>
    <s v="20150601"/>
    <s v="28"/>
    <n v="8"/>
    <n v="20"/>
    <n v="51870000"/>
    <n v="39637325"/>
    <n v="1867320"/>
    <n v="37770005"/>
    <s v="0"/>
    <s v="鉄骨鉄筋ｺﾝｸﾘｰﾄ 共同住宅"/>
  </r>
  <r>
    <n v="101"/>
    <x v="0"/>
    <n v="401"/>
    <s v="コアプラス東京株式会社"/>
    <x v="1"/>
    <s v="非償却"/>
    <s v="101西池袋駅前ビル"/>
    <s v="20150601"/>
    <s v=""/>
    <n v="8"/>
    <s v=""/>
    <n v="168935000"/>
    <n v="168935000"/>
    <m/>
    <n v="168935000"/>
    <s v="0"/>
    <m/>
  </r>
  <r>
    <n v="101"/>
    <x v="0"/>
    <n v="401"/>
    <s v="コアプラス東京株式会社"/>
    <x v="2"/>
    <s v="定額法"/>
    <s v="101西池袋駅前ビル電気空調設備工事"/>
    <s v="20180806"/>
    <s v="13"/>
    <n v="5"/>
    <n v="8"/>
    <n v="640440"/>
    <n v="471954"/>
    <n v="49313"/>
    <n v="422641"/>
    <s v="1"/>
    <s v=" "/>
  </r>
  <r>
    <n v="101"/>
    <x v="0"/>
    <n v="401"/>
    <s v="コアプラス東京株式会社"/>
    <x v="2"/>
    <s v="少額資産"/>
    <s v="101西池袋駅前ビルﾀﾞｲｷﾝ天井ｶｾｯﾄ冷暖房ｴｱｺﾝ"/>
    <s v="20190814"/>
    <s v=""/>
    <n v="4"/>
    <s v=""/>
    <n v="292680"/>
    <m/>
    <m/>
    <m/>
    <s v="1"/>
    <s v=" "/>
  </r>
  <r>
    <n v="101"/>
    <x v="0"/>
    <n v="401"/>
    <s v="コアプラス東京株式会社"/>
    <x v="3"/>
    <s v="定率法"/>
    <s v="101西池袋駅前ビル宅配ﾎﾞｯｸｽ"/>
    <s v="20200331"/>
    <s v="10"/>
    <n v="3"/>
    <n v="7"/>
    <n v="858420"/>
    <n v="572280"/>
    <n v="114456"/>
    <n v="457824"/>
    <s v="1"/>
    <s v=" "/>
  </r>
  <r>
    <n v="102"/>
    <x v="1"/>
    <n v="402"/>
    <s v="コアプラス名古屋株式会社"/>
    <x v="0"/>
    <s v="定額法"/>
    <s v="102池袋ハウス"/>
    <s v="20170928"/>
    <s v="24"/>
    <n v="6"/>
    <n v="18"/>
    <n v="152947603"/>
    <n v="125111141"/>
    <n v="6423799"/>
    <n v="118687342"/>
    <s v="0"/>
    <s v="鉄筋ｺﾝｸﾘｰﾄ造 共同住宅"/>
  </r>
  <r>
    <n v="102"/>
    <x v="1"/>
    <n v="402"/>
    <s v="コアプラス名古屋株式会社"/>
    <x v="1"/>
    <s v="非償却"/>
    <s v="102池袋ハウス"/>
    <s v="20170928"/>
    <s v=""/>
    <n v="6"/>
    <s v=""/>
    <n v="397310797"/>
    <n v="397310797"/>
    <m/>
    <n v="397310797"/>
    <s v="0"/>
    <s v="不動産取得税"/>
  </r>
  <r>
    <n v="102"/>
    <x v="1"/>
    <n v="402"/>
    <s v="コアプラス名古屋株式会社"/>
    <x v="0"/>
    <s v="定額法"/>
    <s v="102池袋ハウス不動産取得税"/>
    <s v="20180101"/>
    <s v="24"/>
    <n v="5"/>
    <n v="19"/>
    <n v="2278000"/>
    <n v="1895296"/>
    <n v="95676"/>
    <n v="1799620"/>
    <s v="0"/>
    <s v="鉄筋ｺﾝｸﾘｰﾄ造 共同住宅"/>
  </r>
  <r>
    <n v="102"/>
    <x v="1"/>
    <n v="402"/>
    <s v="コアプラス名古屋株式会社"/>
    <x v="1"/>
    <s v="非償却"/>
    <s v="102池袋ハウス"/>
    <s v="20180101"/>
    <s v=""/>
    <n v="5"/>
    <s v=""/>
    <n v="2958800"/>
    <n v="2958800"/>
    <m/>
    <n v="2958800"/>
    <s v="0"/>
    <s v="不動産取得税"/>
  </r>
  <r>
    <n v="102"/>
    <x v="1"/>
    <n v="402"/>
    <s v="コアプラス名古屋株式会社"/>
    <x v="2"/>
    <s v="定額法"/>
    <s v="102池袋ハウス汚水ポンプ交換"/>
    <s v="20180301"/>
    <s v="15"/>
    <n v="5"/>
    <n v="10"/>
    <n v="943077"/>
    <n v="700864"/>
    <n v="63186"/>
    <n v="637678"/>
    <s v="1"/>
    <s v=" "/>
  </r>
  <r>
    <n v="102"/>
    <x v="1"/>
    <n v="402"/>
    <s v="コアプラス名古屋株式会社"/>
    <x v="2"/>
    <s v="定額法"/>
    <s v="102池袋ハウス給水管部分更新"/>
    <s v="20201231"/>
    <s v="15"/>
    <n v="3"/>
    <n v="12"/>
    <n v="623700"/>
    <n v="578431"/>
    <n v="41787"/>
    <n v="536644"/>
    <s v="1"/>
    <s v=" "/>
  </r>
  <r>
    <n v="102"/>
    <x v="1"/>
    <n v="402"/>
    <s v="コアプラス名古屋株式会社"/>
    <x v="2"/>
    <s v="定額法"/>
    <s v="102池袋ハウス203改修工事"/>
    <s v="20210731"/>
    <s v="15"/>
    <n v="2"/>
    <n v="13"/>
    <n v="500607"/>
    <n v="483837"/>
    <n v="33540"/>
    <n v="450297"/>
    <s v="1"/>
    <s v=" "/>
  </r>
  <r>
    <n v="102"/>
    <x v="1"/>
    <n v="402"/>
    <s v="コアプラス名古屋株式会社"/>
    <x v="2"/>
    <s v="定額法"/>
    <s v="102池袋ハウス109改修工事"/>
    <s v="20210915"/>
    <s v="15"/>
    <n v="2"/>
    <n v="13"/>
    <n v="534349"/>
    <n v="522416"/>
    <n v="35801"/>
    <n v="486615"/>
    <s v="1"/>
    <s v=" "/>
  </r>
  <r>
    <n v="102"/>
    <x v="1"/>
    <n v="402"/>
    <s v="コアプラス名古屋株式会社"/>
    <x v="2"/>
    <s v="定額法"/>
    <s v="102池袋ハウス303改修工事"/>
    <s v="20210915"/>
    <s v="15"/>
    <n v="2"/>
    <n v="13"/>
    <n v="580905"/>
    <n v="567932"/>
    <n v="38920"/>
    <n v="529012"/>
    <s v="1"/>
    <s v=" "/>
  </r>
  <r>
    <n v="102"/>
    <x v="1"/>
    <n v="402"/>
    <s v="コアプラス名古屋株式会社"/>
    <x v="2"/>
    <s v="定額法"/>
    <s v="102池袋ハウス205改修工事"/>
    <s v="20211015"/>
    <s v="15"/>
    <n v="2"/>
    <n v="13"/>
    <n v="487702"/>
    <n v="479533"/>
    <n v="32676"/>
    <n v="446857"/>
    <s v="1"/>
    <s v=" "/>
  </r>
  <r>
    <n v="102"/>
    <x v="1"/>
    <n v="402"/>
    <s v="コアプラス名古屋株式会社"/>
    <x v="2"/>
    <s v="定額法"/>
    <s v="102池袋ハウス306改修工事"/>
    <s v="20211015"/>
    <s v="15"/>
    <n v="2"/>
    <n v="13"/>
    <n v="539815"/>
    <n v="530774"/>
    <n v="36167"/>
    <n v="494607"/>
    <s v="1"/>
    <s v=" "/>
  </r>
  <r>
    <n v="102"/>
    <x v="1"/>
    <n v="402"/>
    <s v="コアプラス名古屋株式会社"/>
    <x v="2"/>
    <s v="定額法"/>
    <s v="102池袋ハウス406改修工事"/>
    <s v="20211231"/>
    <s v="15"/>
    <n v="2"/>
    <n v="13"/>
    <n v="311610"/>
    <n v="309871"/>
    <n v="20877"/>
    <n v="288994"/>
    <s v="1"/>
    <s v=" "/>
  </r>
  <r>
    <n v="103"/>
    <x v="2"/>
    <n v="403"/>
    <s v="有限会社コアプラス2号"/>
    <x v="0"/>
    <s v="定額法"/>
    <s v="103カーサ目白台ハウス"/>
    <s v="20150715"/>
    <s v="26"/>
    <n v="8"/>
    <n v="18"/>
    <n v="149454010"/>
    <n v="112389418"/>
    <n v="5828706"/>
    <n v="106560712"/>
    <s v="0"/>
    <s v=" "/>
  </r>
  <r>
    <n v="103"/>
    <x v="2"/>
    <n v="403"/>
    <s v="有限会社コアプラス2号"/>
    <x v="1"/>
    <s v="非償却"/>
    <s v="103カーサ目白台ハウス"/>
    <s v="20150715"/>
    <s v=""/>
    <n v="8"/>
    <s v=""/>
    <n v="264084489"/>
    <n v="264084489"/>
    <m/>
    <n v="264084489"/>
    <s v="0"/>
    <s v=" "/>
  </r>
  <r>
    <n v="103"/>
    <x v="2"/>
    <n v="403"/>
    <s v="有限会社コアプラス2号"/>
    <x v="2"/>
    <s v="定率法"/>
    <s v="103カーサ目白台ハウス102号改修工事"/>
    <s v="20160304"/>
    <s v="10"/>
    <n v="7"/>
    <n v="3"/>
    <n v="2157840"/>
    <n v="589236"/>
    <n v="147309"/>
    <n v="441927"/>
    <s v="1"/>
    <s v=" "/>
  </r>
  <r>
    <n v="103"/>
    <x v="2"/>
    <n v="403"/>
    <s v="有限会社コアプラス2号"/>
    <x v="2"/>
    <s v="定額法"/>
    <s v="103カーサ目白台ハウス電気空調設備工事"/>
    <s v="20180706"/>
    <s v="13"/>
    <n v="5"/>
    <n v="8"/>
    <n v="441000"/>
    <n v="322151"/>
    <n v="33957"/>
    <n v="288194"/>
    <s v="1"/>
    <s v=" "/>
  </r>
  <r>
    <n v="103"/>
    <x v="2"/>
    <n v="403"/>
    <s v="有限会社コアプラス2号"/>
    <x v="2"/>
    <s v="少額資産"/>
    <s v="103カーサ目白台ハウスｻｲﾝ工事"/>
    <s v="20181212"/>
    <s v="18"/>
    <n v="5"/>
    <n v="13"/>
    <n v="253400"/>
    <m/>
    <m/>
    <m/>
    <s v="1"/>
    <s v=" "/>
  </r>
  <r>
    <n v="104"/>
    <x v="3"/>
    <n v="404"/>
    <s v="コアプラス大阪株式会社"/>
    <x v="0"/>
    <s v="定額法"/>
    <s v="104コアプラス池袋"/>
    <s v="20140228"/>
    <s v="30"/>
    <n v="9"/>
    <n v="21"/>
    <n v="16087719"/>
    <n v="11744039"/>
    <n v="546982"/>
    <n v="11197057"/>
    <s v="0"/>
    <s v="鉄骨鉄筋ｺﾝｸﾘｰﾄ造 事務所用"/>
  </r>
  <r>
    <n v="104"/>
    <x v="3"/>
    <n v="404"/>
    <s v="コアプラス大阪株式会社"/>
    <x v="1"/>
    <s v="非償却"/>
    <s v="104コアプラス池袋"/>
    <s v="20140228"/>
    <s v=""/>
    <n v="9"/>
    <s v=""/>
    <n v="78084258"/>
    <n v="78084258"/>
    <m/>
    <n v="78084258"/>
    <s v="0"/>
    <s v=" "/>
  </r>
  <r>
    <n v="104"/>
    <x v="3"/>
    <n v="404"/>
    <s v="コアプラス大阪株式会社"/>
    <x v="0"/>
    <s v="定額法"/>
    <s v="104コアプラス池袋1階事務所内装"/>
    <s v="20141101"/>
    <s v="50"/>
    <n v="9"/>
    <n v="41"/>
    <n v="6065238"/>
    <n v="5191850"/>
    <n v="121304"/>
    <n v="5070546"/>
    <s v="1"/>
    <s v=" "/>
  </r>
  <r>
    <n v="104"/>
    <x v="3"/>
    <n v="404"/>
    <s v="コアプラス大阪株式会社"/>
    <x v="0"/>
    <s v="定額法"/>
    <s v="104コアプラス池袋外構工事"/>
    <s v="20141101"/>
    <s v="50"/>
    <n v="9"/>
    <n v="41"/>
    <n v="1758750"/>
    <n v="1505491"/>
    <n v="35175"/>
    <n v="1470316"/>
    <s v="1"/>
    <s v=" "/>
  </r>
  <r>
    <n v="104"/>
    <x v="3"/>
    <n v="404"/>
    <s v="コアプラス大阪株式会社"/>
    <x v="0"/>
    <s v="定額法"/>
    <s v="104コアプラス池袋大規模修繕工事"/>
    <s v="20141101"/>
    <s v="50"/>
    <n v="9"/>
    <n v="41"/>
    <n v="8049861"/>
    <n v="6890684"/>
    <n v="160997"/>
    <n v="6729687"/>
    <s v="1"/>
    <s v=" "/>
  </r>
  <r>
    <n v="104"/>
    <x v="3"/>
    <n v="404"/>
    <s v="コアプラス大阪株式会社"/>
    <x v="2"/>
    <s v="定率法"/>
    <s v="104コアプラス池袋電気工事"/>
    <s v="20141101"/>
    <s v="15"/>
    <n v="9"/>
    <n v="6"/>
    <n v="670025"/>
    <n v="241795"/>
    <n v="32158"/>
    <n v="209637"/>
    <s v="1"/>
    <s v=" "/>
  </r>
  <r>
    <n v="104"/>
    <x v="3"/>
    <n v="404"/>
    <s v="コアプラス大阪株式会社"/>
    <x v="2"/>
    <s v="定率法"/>
    <s v="104コアプラス池袋バルコニー"/>
    <s v="20141101"/>
    <s v="10"/>
    <n v="9"/>
    <n v="1"/>
    <n v="204954"/>
    <n v="32744"/>
    <n v="16371"/>
    <n v="16373"/>
    <s v="1"/>
    <s v="前掲のもの以外 その他"/>
  </r>
  <r>
    <n v="104"/>
    <x v="3"/>
    <n v="404"/>
    <s v="コアプラス大阪株式会社"/>
    <x v="2"/>
    <s v="定率法"/>
    <s v="104コアプラス池袋ポスト等"/>
    <s v="20141101"/>
    <s v="10"/>
    <n v="9"/>
    <n v="1"/>
    <n v="543159"/>
    <n v="86773"/>
    <n v="43386"/>
    <n v="43387"/>
    <s v="1"/>
    <s v="前掲の区分によら ない　その他"/>
  </r>
  <r>
    <n v="104"/>
    <x v="3"/>
    <n v="404"/>
    <s v="コアプラス大阪株式会社"/>
    <x v="2"/>
    <s v="定率法"/>
    <s v="104コアプラス池袋ｹｰﾌﾞﾙﾃﾚﾋﾞ配線"/>
    <s v="20141101"/>
    <s v="10"/>
    <n v="9"/>
    <n v="1"/>
    <n v="122354"/>
    <n v="19549"/>
    <n v="9773"/>
    <n v="9776"/>
    <s v="1"/>
    <s v="前掲の区分によら ない　その他"/>
  </r>
  <r>
    <n v="104"/>
    <x v="3"/>
    <n v="404"/>
    <s v="コアプラス大阪株式会社"/>
    <x v="4"/>
    <s v="定率法"/>
    <s v="104コアプラス池袋"/>
    <s v="20141101"/>
    <s v="15"/>
    <n v="9"/>
    <n v="6"/>
    <n v="1265564"/>
    <n v="456706"/>
    <n v="60741"/>
    <n v="395965"/>
    <s v="1"/>
    <s v="ｺﾝｸﾘｰﾄﾌﾞﾛｯｸ造 へい"/>
  </r>
  <r>
    <n v="104"/>
    <x v="3"/>
    <n v="404"/>
    <s v="コアプラス大阪株式会社"/>
    <x v="2"/>
    <s v="定額法"/>
    <s v="104コアプラス池袋301改修工事"/>
    <s v="20160502"/>
    <s v="15"/>
    <n v="7"/>
    <n v="8"/>
    <n v="1296297"/>
    <n v="803817"/>
    <n v="86851"/>
    <n v="716966"/>
    <s v="1"/>
    <s v=" "/>
  </r>
  <r>
    <n v="104"/>
    <x v="3"/>
    <n v="404"/>
    <s v="コアプラス大阪株式会社"/>
    <x v="2"/>
    <s v="定額法"/>
    <s v="104コアプラス池袋201室内改修工事"/>
    <s v="20180901"/>
    <s v="15"/>
    <n v="5"/>
    <n v="10"/>
    <n v="3300000"/>
    <n v="2563000"/>
    <n v="221100"/>
    <n v="2341900"/>
    <s v="1"/>
    <s v=" "/>
  </r>
  <r>
    <n v="105"/>
    <x v="4"/>
    <n v="405"/>
    <s v="コアプラス仙台株式会社"/>
    <x v="0"/>
    <s v="定額法"/>
    <s v="105目白アパート"/>
    <s v="20140912"/>
    <s v="13"/>
    <n v="9"/>
    <n v="4"/>
    <n v="113432893"/>
    <n v="49296051"/>
    <n v="8734332"/>
    <n v="40561719"/>
    <s v="0"/>
    <s v="鉄筋ｺﾝｸﾘｰﾄ 共同住宅"/>
  </r>
  <r>
    <n v="105"/>
    <x v="4"/>
    <n v="405"/>
    <s v="コアプラス仙台株式会社"/>
    <x v="1"/>
    <s v="非償却"/>
    <s v="105目白アパート"/>
    <s v="20140912"/>
    <s v=""/>
    <n v="9"/>
    <s v=""/>
    <n v="192559845"/>
    <n v="192559845"/>
    <m/>
    <n v="192559845"/>
    <s v="0"/>
    <m/>
  </r>
  <r>
    <n v="105"/>
    <x v="4"/>
    <n v="405"/>
    <s v="コアプラス仙台株式会社"/>
    <x v="4"/>
    <s v="定率法"/>
    <s v="105目白アパート舗装ｺﾝｸﾘ敷"/>
    <s v="20150916"/>
    <s v="15"/>
    <n v="8"/>
    <n v="7"/>
    <n v="1484600"/>
    <n v="602604"/>
    <n v="80146"/>
    <n v="522458"/>
    <s v="1"/>
    <s v=" "/>
  </r>
  <r>
    <n v="105"/>
    <x v="4"/>
    <n v="405"/>
    <s v="コアプラス仙台株式会社"/>
    <x v="2"/>
    <s v="定額法"/>
    <s v="105目白アパート201内装工事"/>
    <s v="20180101"/>
    <s v="15"/>
    <n v="5"/>
    <n v="10"/>
    <n v="2550000"/>
    <n v="1866600"/>
    <n v="170850"/>
    <n v="1695750"/>
    <s v="1"/>
    <s v=" "/>
  </r>
  <r>
    <n v="105"/>
    <x v="4"/>
    <n v="405"/>
    <s v="コアプラス仙台株式会社"/>
    <x v="2"/>
    <s v="定額法"/>
    <s v="105目白アパート広告塔解体工"/>
    <s v="20190829"/>
    <s v="15"/>
    <n v="4"/>
    <n v="11"/>
    <n v="2106000"/>
    <n v="1765004"/>
    <n v="141102"/>
    <n v="1623902"/>
    <s v="1"/>
    <s v=" "/>
  </r>
  <r>
    <n v="105"/>
    <x v="4"/>
    <n v="405"/>
    <s v="コアプラス仙台株式会社"/>
    <x v="2"/>
    <s v="定額法"/>
    <s v="105目白アパート雑排水管新設"/>
    <s v="20190918"/>
    <s v="15"/>
    <n v="4"/>
    <n v="11"/>
    <n v="2743200"/>
    <n v="2314348"/>
    <n v="183794"/>
    <n v="2130554"/>
    <s v="1"/>
    <s v=" "/>
  </r>
  <r>
    <n v="105"/>
    <x v="4"/>
    <n v="405"/>
    <s v="コアプラス仙台株式会社"/>
    <x v="2"/>
    <s v="定額法"/>
    <s v="105目白アパート給水管直結工"/>
    <s v="20191216"/>
    <s v="15"/>
    <n v="4"/>
    <n v="11"/>
    <n v="12320000"/>
    <n v="10600334"/>
    <n v="825440"/>
    <n v="9774894"/>
    <s v="1"/>
    <s v=" "/>
  </r>
  <r>
    <n v="105"/>
    <x v="4"/>
    <n v="405"/>
    <s v="コアプラス仙台株式会社"/>
    <x v="2"/>
    <s v="定額法"/>
    <s v="105目白アパート301改修工"/>
    <s v="20191220"/>
    <s v="15"/>
    <n v="4"/>
    <n v="11"/>
    <n v="2759000"/>
    <n v="2373890"/>
    <n v="184853"/>
    <n v="2189037"/>
    <s v="1"/>
    <s v=" "/>
  </r>
  <r>
    <n v="105"/>
    <x v="4"/>
    <n v="405"/>
    <s v="コアプラス仙台株式会社"/>
    <x v="2"/>
    <s v="定額法"/>
    <s v="105目白アパート防護ﾈｯﾄ設置"/>
    <s v="20211214"/>
    <s v="15"/>
    <n v="2"/>
    <n v="13"/>
    <n v="2095170"/>
    <n v="2083472"/>
    <n v="140376"/>
    <n v="1943096"/>
    <s v="1"/>
    <s v=" "/>
  </r>
  <r>
    <n v="106"/>
    <x v="5"/>
    <n v="406"/>
    <s v="コアプラス札幌株式会社"/>
    <x v="0"/>
    <s v="定額法"/>
    <s v="106東池袋ハイツ"/>
    <s v="20141201"/>
    <s v="30"/>
    <n v="9"/>
    <n v="21"/>
    <n v="187056281"/>
    <n v="142517753"/>
    <n v="6359913"/>
    <n v="136157840"/>
    <s v="0"/>
    <s v="鉄筋ｺﾝｸﾘｰﾄ造 住宅"/>
  </r>
  <r>
    <n v="106"/>
    <x v="5"/>
    <n v="406"/>
    <s v="コアプラス札幌株式会社"/>
    <x v="1"/>
    <s v="非償却"/>
    <s v="106東池袋ハイツ"/>
    <s v="20141201"/>
    <s v=""/>
    <n v="9"/>
    <s v=""/>
    <n v="262709157"/>
    <n v="262709157"/>
    <m/>
    <n v="262709157"/>
    <s v="0"/>
    <m/>
  </r>
  <r>
    <n v="106"/>
    <x v="5"/>
    <n v="406"/>
    <s v="コアプラス札幌株式会社"/>
    <x v="3"/>
    <s v="定率法"/>
    <s v="106東池袋ハイツ宅配ﾎﾞｯｸｽ設置"/>
    <s v="20180926"/>
    <s v="10"/>
    <n v="5"/>
    <n v="5"/>
    <n v="658800"/>
    <n v="314820"/>
    <n v="62964"/>
    <n v="251856"/>
    <s v="1"/>
    <s v=" "/>
  </r>
  <r>
    <n v="107"/>
    <x v="6"/>
    <n v="407"/>
    <s v="コアプラス福岡株式会社"/>
    <x v="0"/>
    <s v="定額法"/>
    <s v="107メゾン雑司ヶ谷"/>
    <s v="20151015"/>
    <s v="23"/>
    <n v="8"/>
    <n v="15"/>
    <n v="98069650"/>
    <n v="71067811"/>
    <n v="4315064"/>
    <n v="66752747"/>
    <s v="0"/>
    <s v="鉄骨鉄筋ｺﾝｸﾘｰﾄ造 "/>
  </r>
  <r>
    <n v="107"/>
    <x v="6"/>
    <n v="407"/>
    <s v="コアプラス福岡株式会社"/>
    <x v="1"/>
    <s v="非償却"/>
    <s v="107メゾン雑司ヶ谷"/>
    <s v="20151015"/>
    <s v=""/>
    <n v="8"/>
    <s v=""/>
    <n v="286363375"/>
    <n v="286363375"/>
    <m/>
    <n v="286363375"/>
    <s v="0"/>
    <s v=" "/>
  </r>
  <r>
    <n v="107"/>
    <x v="6"/>
    <n v="407"/>
    <s v="コアプラス福岡株式会社"/>
    <x v="3"/>
    <s v="定率法"/>
    <s v="107メゾン雑司ヶ谷集合ﾎﾟｽﾄ宅配ﾎﾞｯ"/>
    <s v="20190815"/>
    <s v="10"/>
    <n v="4"/>
    <n v="6"/>
    <n v="720000"/>
    <n v="422400"/>
    <n v="84480"/>
    <n v="337920"/>
    <s v="1"/>
    <s v=" "/>
  </r>
  <r>
    <n v="107"/>
    <x v="6"/>
    <n v="407"/>
    <s v="コアプラス福岡株式会社"/>
    <x v="2"/>
    <s v="定額法"/>
    <s v="107メゾン雑司ヶ谷共用廊下電気工事"/>
    <s v="20210531"/>
    <s v="15"/>
    <n v="2"/>
    <n v="13"/>
    <n v="482200"/>
    <n v="460662"/>
    <n v="32307"/>
    <n v="428355"/>
    <s v="1"/>
    <s v=" "/>
  </r>
  <r>
    <n v="107"/>
    <x v="6"/>
    <n v="407"/>
    <s v="コアプラス福岡株式会社"/>
    <x v="2"/>
    <s v="定額法"/>
    <s v="107メゾン雑司ヶ谷共用廊下ｸﾛｽ貼り"/>
    <s v="20210531"/>
    <s v="10"/>
    <n v="2"/>
    <n v="8"/>
    <n v="941600"/>
    <n v="878827"/>
    <n v="94160"/>
    <n v="784667"/>
    <s v="1"/>
    <s v=" "/>
  </r>
  <r>
    <n v="107"/>
    <x v="6"/>
    <n v="407"/>
    <s v="コアプラス福岡株式会社"/>
    <x v="2"/>
    <s v="定額法"/>
    <s v="107メゾン雑司ヶ谷CAPEX工事"/>
    <s v="20210930"/>
    <s v="10"/>
    <n v="2"/>
    <n v="8"/>
    <n v="860100"/>
    <n v="831430"/>
    <n v="86010"/>
    <n v="745420"/>
    <s v="1"/>
    <s v=" "/>
  </r>
  <r>
    <n v="109"/>
    <x v="7"/>
    <n v="409"/>
    <s v="コアプラス四国株式会社"/>
    <x v="0"/>
    <s v="定額法"/>
    <s v="109カーサ南池袋"/>
    <s v="20151225"/>
    <s v="9"/>
    <n v="8"/>
    <n v="1"/>
    <n v="26042283"/>
    <n v="8541873"/>
    <n v="2916735"/>
    <n v="5625138"/>
    <s v="0"/>
    <s v="鉄筋ｺﾝｸﾘｰﾄ造 陸屋根5階建"/>
  </r>
  <r>
    <n v="109"/>
    <x v="7"/>
    <n v="409"/>
    <s v="コアプラス四国株式会社"/>
    <x v="1"/>
    <s v="非償却"/>
    <s v="109カーサ南池袋"/>
    <s v="20151225"/>
    <s v=""/>
    <n v="8"/>
    <s v=""/>
    <n v="163957717"/>
    <n v="163957717"/>
    <m/>
    <n v="163957717"/>
    <s v="0"/>
    <m/>
  </r>
  <r>
    <n v="109"/>
    <x v="7"/>
    <n v="409"/>
    <s v="コアプラス四国株式会社"/>
    <x v="0"/>
    <s v="定額法"/>
    <s v="109カーサ南池袋"/>
    <s v="20151225"/>
    <s v="9"/>
    <n v="8"/>
    <n v="1"/>
    <n v="450400"/>
    <n v="147736"/>
    <n v="50444"/>
    <n v="97292"/>
    <s v="0"/>
    <s v="鉄筋ｺﾝｸﾘｰﾄ造 陸屋根5階建"/>
  </r>
  <r>
    <n v="109"/>
    <x v="7"/>
    <n v="409"/>
    <s v="コアプラス四国株式会社"/>
    <x v="1"/>
    <s v="非償却"/>
    <s v="109カーサ南池袋不動産取得税"/>
    <s v="20151225"/>
    <s v=""/>
    <n v="8"/>
    <s v=""/>
    <n v="1417900"/>
    <n v="1417900"/>
    <m/>
    <n v="1417900"/>
    <s v="0"/>
    <m/>
  </r>
  <r>
    <n v="109"/>
    <x v="7"/>
    <n v="409"/>
    <s v="コアプラス四国株式会社"/>
    <x v="2"/>
    <s v="定額法"/>
    <s v="109カーサ南池袋107号室改修工事"/>
    <s v="20160513"/>
    <s v="15"/>
    <n v="7"/>
    <n v="8"/>
    <n v="1668160"/>
    <n v="1034819"/>
    <n v="111766"/>
    <n v="923053"/>
    <s v="1"/>
    <s v=" "/>
  </r>
  <r>
    <n v="109"/>
    <x v="7"/>
    <n v="409"/>
    <s v="コアプラス四国株式会社"/>
    <x v="2"/>
    <s v="定額法"/>
    <s v="109カーサ南池袋112号室改修工事"/>
    <s v="20160513"/>
    <s v="15"/>
    <n v="7"/>
    <n v="8"/>
    <n v="2349200"/>
    <n v="1457290"/>
    <n v="157396"/>
    <n v="1299894"/>
    <s v="1"/>
    <s v=" "/>
  </r>
  <r>
    <n v="109"/>
    <x v="7"/>
    <n v="409"/>
    <s v="コアプラス四国株式会社"/>
    <x v="2"/>
    <s v="定額法"/>
    <s v="109カーサ南池袋電気工事"/>
    <s v="20160513"/>
    <s v="15"/>
    <n v="7"/>
    <n v="8"/>
    <n v="1734493"/>
    <n v="1075964"/>
    <n v="116211"/>
    <n v="959753"/>
    <s v="1"/>
    <s v=" "/>
  </r>
  <r>
    <n v="109"/>
    <x v="7"/>
    <n v="409"/>
    <s v="コアプラス四国株式会社"/>
    <x v="2"/>
    <s v="定額法"/>
    <s v="109カーサ南池袋122号室改修工事"/>
    <s v="20161202"/>
    <s v="15"/>
    <n v="7"/>
    <n v="8"/>
    <n v="1549314"/>
    <n v="1021644"/>
    <n v="103804"/>
    <n v="917840"/>
    <s v="1"/>
    <m/>
  </r>
  <r>
    <n v="109"/>
    <x v="7"/>
    <n v="409"/>
    <s v="コアプラス四国株式会社"/>
    <x v="3"/>
    <s v="定率法"/>
    <s v="109カーサ南池袋宅配ﾎﾞｯｸｽ設置"/>
    <s v="20210131"/>
    <s v="10"/>
    <n v="2"/>
    <n v="8"/>
    <n v="554400"/>
    <n v="443520"/>
    <n v="88704"/>
    <n v="354816"/>
    <s v="1"/>
    <m/>
  </r>
  <r>
    <n v="109"/>
    <x v="7"/>
    <n v="409"/>
    <s v="コアプラス四国株式会社"/>
    <x v="2"/>
    <s v="定額法"/>
    <s v="109カーサ南池袋108号室改修工事"/>
    <s v="20210731"/>
    <s v="15"/>
    <n v="2"/>
    <n v="13"/>
    <n v="1873128"/>
    <n v="1810379"/>
    <n v="125499"/>
    <n v="1684880"/>
    <s v="1"/>
    <m/>
  </r>
  <r>
    <n v="109"/>
    <x v="7"/>
    <n v="409"/>
    <s v="コアプラス四国株式会社"/>
    <x v="2"/>
    <s v="定額法"/>
    <s v="109カーサ南池袋屋上給水ﾎﾟﾝﾌﾟ"/>
    <s v="20210831"/>
    <s v="15"/>
    <n v="2"/>
    <n v="13"/>
    <n v="541750"/>
    <n v="526627"/>
    <n v="36297"/>
    <n v="490330"/>
    <s v="1"/>
    <m/>
  </r>
  <r>
    <n v="109"/>
    <x v="7"/>
    <n v="409"/>
    <s v="コアプラス四国株式会社"/>
    <x v="2"/>
    <s v="定額法"/>
    <s v="109カーサ南池袋122号室改修工事"/>
    <s v="20210930"/>
    <s v="15"/>
    <n v="2"/>
    <n v="13"/>
    <n v="4073820"/>
    <n v="3982839"/>
    <n v="272945"/>
    <n v="3709894"/>
    <s v="1"/>
    <m/>
  </r>
  <r>
    <n v="109"/>
    <x v="7"/>
    <n v="409"/>
    <s v="コアプラス四国株式会社"/>
    <x v="2"/>
    <s v="定額法"/>
    <s v="109カーサ南池袋132号室改修工事"/>
    <s v="20210930"/>
    <s v="15"/>
    <n v="2"/>
    <n v="13"/>
    <n v="4304820"/>
    <n v="4208680"/>
    <n v="288422"/>
    <n v="3920258"/>
    <s v="1"/>
    <m/>
  </r>
  <r>
    <n v="109"/>
    <x v="7"/>
    <n v="409"/>
    <s v="コアプラス四国株式会社"/>
    <x v="2"/>
    <s v="定額法"/>
    <s v="109カーサ南池袋共用部排水管更"/>
    <s v="20210930"/>
    <s v="15"/>
    <n v="2"/>
    <n v="13"/>
    <n v="745860"/>
    <n v="729203"/>
    <n v="49972"/>
    <n v="679231"/>
    <s v="1"/>
    <m/>
  </r>
  <r>
    <n v="109"/>
    <x v="7"/>
    <n v="409"/>
    <s v="コアプラス四国株式会社"/>
    <x v="2"/>
    <s v="定額法"/>
    <s v="109カーサ南池袋105号室改修工事"/>
    <s v="20211031"/>
    <s v="15"/>
    <n v="2"/>
    <n v="13"/>
    <n v="2865641"/>
    <n v="2817642"/>
    <n v="191997"/>
    <n v="2625645"/>
    <s v="1"/>
    <m/>
  </r>
  <r>
    <n v="111"/>
    <x v="8"/>
    <n v="401"/>
    <s v="コアプラス東京株式会社"/>
    <x v="0"/>
    <s v="定額法"/>
    <s v="111目白カーサ二番館"/>
    <s v="20160224"/>
    <s v="14"/>
    <n v="7"/>
    <n v="7"/>
    <n v="59724146"/>
    <n v="34281663"/>
    <n v="4300138"/>
    <n v="29981525"/>
    <s v="0"/>
    <s v=" "/>
  </r>
  <r>
    <n v="111"/>
    <x v="8"/>
    <n v="401"/>
    <s v="コアプラス東京株式会社"/>
    <x v="1"/>
    <s v="非償却"/>
    <s v="111目白カーサ二番館"/>
    <s v="20160224"/>
    <s v=""/>
    <n v="7"/>
    <s v=""/>
    <n v="252984606"/>
    <n v="252984606"/>
    <m/>
    <n v="252984606"/>
    <s v="0"/>
    <s v=" "/>
  </r>
  <r>
    <n v="112"/>
    <x v="9"/>
    <n v="402"/>
    <s v="コアプラス名古屋株式会社"/>
    <x v="0"/>
    <s v="定額法"/>
    <s v="112豊島目白ビル"/>
    <s v="20160329"/>
    <s v="27"/>
    <n v="7"/>
    <n v="20"/>
    <n v="126784406"/>
    <n v="98680532"/>
    <n v="4817807"/>
    <n v="93862725"/>
    <s v="0"/>
    <s v="鉄筋ｺﾝｸﾘｰﾄ造 "/>
  </r>
  <r>
    <n v="112"/>
    <x v="9"/>
    <n v="402"/>
    <s v="コアプラス名古屋株式会社"/>
    <x v="1"/>
    <s v="非償却"/>
    <s v="112豊島目白ビル"/>
    <s v="20160329"/>
    <s v=""/>
    <n v="7"/>
    <s v=""/>
    <n v="316421235"/>
    <n v="316421235"/>
    <m/>
    <n v="316421235"/>
    <s v="0"/>
    <s v=" "/>
  </r>
  <r>
    <n v="113"/>
    <x v="10"/>
    <n v="403"/>
    <s v="有限会社コアプラス2号"/>
    <x v="0"/>
    <s v="定額法"/>
    <s v="113第3目白ハイツ"/>
    <s v="20160630"/>
    <s v="24"/>
    <n v="7"/>
    <n v="17"/>
    <n v="149989486"/>
    <n v="114816954"/>
    <n v="6299558"/>
    <n v="108517396"/>
    <s v="0"/>
    <s v="鉄筋ｺﾝｸﾘｰﾄ造 陸屋根4階建"/>
  </r>
  <r>
    <n v="113"/>
    <x v="10"/>
    <n v="403"/>
    <s v="有限会社コアプラス2号"/>
    <x v="1"/>
    <s v="非償却"/>
    <s v="113第3目白ハイツ"/>
    <s v="20160630"/>
    <s v=""/>
    <n v="7"/>
    <s v=""/>
    <n v="335018465"/>
    <n v="335018465"/>
    <m/>
    <n v="335018465"/>
    <s v="0"/>
    <m/>
  </r>
  <r>
    <n v="113"/>
    <x v="10"/>
    <n v="403"/>
    <s v="有限会社コアプラス2号"/>
    <x v="4"/>
    <s v="定額法"/>
    <s v="113第3目白ハイツ歩道ｲﾝﾀｰﾛｯｷﾝｸﾞ設置工事"/>
    <s v="20190725"/>
    <s v="15"/>
    <n v="4"/>
    <n v="11"/>
    <n v="2268000"/>
    <n v="1888110"/>
    <n v="151956"/>
    <n v="1736154"/>
    <s v="1"/>
    <s v=" "/>
  </r>
  <r>
    <n v="113"/>
    <x v="10"/>
    <n v="403"/>
    <s v="有限会社コアプラス2号"/>
    <x v="2"/>
    <s v="定額法"/>
    <s v="113第3目白ハイツ201改修工事"/>
    <s v="20210311"/>
    <s v="15"/>
    <n v="2"/>
    <n v="13"/>
    <n v="1651230"/>
    <n v="1559037"/>
    <n v="110632"/>
    <n v="1448405"/>
    <s v="1"/>
    <s v=" "/>
  </r>
  <r>
    <n v="113"/>
    <x v="10"/>
    <n v="403"/>
    <s v="有限会社コアプラス2号"/>
    <x v="2"/>
    <s v="定額法"/>
    <s v="113第3目白ハイツ301改修工事"/>
    <s v="20210612"/>
    <s v="15"/>
    <n v="2"/>
    <n v="13"/>
    <n v="1928328"/>
    <n v="1852963"/>
    <n v="129197"/>
    <n v="1723766"/>
    <s v="1"/>
    <s v=" "/>
  </r>
  <r>
    <n v="113"/>
    <x v="10"/>
    <n v="403"/>
    <s v="有限会社コアプラス2号"/>
    <x v="2"/>
    <s v="定額法"/>
    <s v="113第3目白ハイツ403改修工事"/>
    <s v="20210612"/>
    <s v="15"/>
    <n v="2"/>
    <n v="13"/>
    <n v="1523875"/>
    <n v="1464317"/>
    <n v="102099"/>
    <n v="1362218"/>
    <s v="1"/>
    <s v=" "/>
  </r>
  <r>
    <n v="113"/>
    <x v="10"/>
    <n v="403"/>
    <s v="有限会社コアプラス2号"/>
    <x v="2"/>
    <s v="定額法"/>
    <s v="113第3目白ハイツ303改修工事"/>
    <s v="20210715"/>
    <s v="15"/>
    <n v="2"/>
    <n v="13"/>
    <n v="1732160"/>
    <n v="1674133"/>
    <n v="116054"/>
    <n v="1558079"/>
    <s v="1"/>
    <s v=" "/>
  </r>
  <r>
    <n v="113"/>
    <x v="10"/>
    <n v="403"/>
    <s v="有限会社コアプラス2号"/>
    <x v="2"/>
    <s v="定額法"/>
    <s v="113第3目白ハイツ206改修工事"/>
    <s v="20210715"/>
    <s v="15"/>
    <n v="2"/>
    <n v="13"/>
    <n v="1903695"/>
    <n v="1839922"/>
    <n v="127547"/>
    <n v="1712375"/>
    <s v="1"/>
    <s v=" "/>
  </r>
  <r>
    <n v="113"/>
    <x v="10"/>
    <n v="403"/>
    <s v="有限会社コアプラス2号"/>
    <x v="2"/>
    <s v="定額法"/>
    <s v="113第3目白ハイツ204改修工事"/>
    <s v="20210816"/>
    <s v="15"/>
    <n v="2"/>
    <n v="13"/>
    <n v="2371294"/>
    <n v="2305096"/>
    <n v="158876"/>
    <n v="2146220"/>
    <s v="1"/>
    <s v=" "/>
  </r>
  <r>
    <n v="114"/>
    <x v="11"/>
    <n v="404"/>
    <s v="コアプラス大阪株式会社"/>
    <x v="0"/>
    <s v="定額法"/>
    <s v="114レジデンス目白豊島"/>
    <s v="20160830"/>
    <s v="26"/>
    <n v="7"/>
    <n v="19"/>
    <n v="52665555"/>
    <n v="41539960"/>
    <n v="2053956"/>
    <n v="39486004"/>
    <s v="0"/>
    <s v="鉄筋ｺﾝｸﾘｰﾄ造 陸屋根4階建"/>
  </r>
  <r>
    <n v="114"/>
    <x v="11"/>
    <n v="404"/>
    <s v="コアプラス大阪株式会社"/>
    <x v="1"/>
    <s v="非償却"/>
    <s v="114レジデンス目白豊島"/>
    <s v="20160830"/>
    <s v=""/>
    <n v="7"/>
    <s v=""/>
    <n v="154821009"/>
    <n v="154821009"/>
    <m/>
    <n v="154821009"/>
    <s v="0"/>
    <m/>
  </r>
  <r>
    <n v="114"/>
    <x v="11"/>
    <n v="404"/>
    <s v="コアプラス大阪株式会社"/>
    <x v="0"/>
    <s v="定額法"/>
    <s v="114レジデンス目白豊島斜壁防水工"/>
    <s v="20161202"/>
    <s v="26"/>
    <n v="7"/>
    <n v="19"/>
    <n v="1550000"/>
    <n v="1242713"/>
    <n v="60450"/>
    <n v="1182263"/>
    <s v="1"/>
    <s v=" "/>
  </r>
  <r>
    <n v="115"/>
    <x v="12"/>
    <n v="405"/>
    <s v="コアプラス仙台株式会社"/>
    <x v="0"/>
    <s v="定額法"/>
    <s v="115コアプラス大塚"/>
    <s v="20170427"/>
    <s v="33"/>
    <n v="6"/>
    <n v="27"/>
    <n v="250772634"/>
    <n v="213808751"/>
    <n v="7773951"/>
    <n v="206034800"/>
    <s v="0"/>
    <s v="鉄筋ｺﾝｸﾘｰﾄ造 "/>
  </r>
  <r>
    <n v="115"/>
    <x v="12"/>
    <n v="405"/>
    <s v="コアプラス仙台株式会社"/>
    <x v="1"/>
    <s v="非償却"/>
    <s v="115コアプラス大塚"/>
    <s v="20170427"/>
    <s v=""/>
    <n v="6"/>
    <s v=""/>
    <n v="300927161"/>
    <n v="300927161"/>
    <m/>
    <n v="300927161"/>
    <s v="0"/>
    <s v=" "/>
  </r>
  <r>
    <n v="116"/>
    <x v="13"/>
    <n v="406"/>
    <s v="コアプラス札幌株式会社"/>
    <x v="0"/>
    <s v="定額法"/>
    <s v="116コアプラスレジデンス梅田"/>
    <s v="20170428"/>
    <s v="25"/>
    <n v="6"/>
    <n v="19"/>
    <n v="147620954"/>
    <n v="119484401"/>
    <n v="5904838"/>
    <n v="113579563"/>
    <s v="0"/>
    <s v="鉄筋鉄骨ｺﾝｸﾘｰﾄ造 "/>
  </r>
  <r>
    <n v="116"/>
    <x v="13"/>
    <n v="406"/>
    <s v="コアプラス札幌株式会社"/>
    <x v="1"/>
    <s v="非償却"/>
    <s v="116コアプラスレジデンス梅田"/>
    <s v="20170428"/>
    <s v=""/>
    <n v="6"/>
    <s v=""/>
    <n v="211645475"/>
    <n v="211645475"/>
    <m/>
    <n v="211645475"/>
    <s v="0"/>
    <s v=" "/>
  </r>
  <r>
    <n v="116"/>
    <x v="13"/>
    <n v="406"/>
    <s v="コアプラス札幌株式会社"/>
    <x v="0"/>
    <s v="定額法"/>
    <s v="116コアプラスレジデンス梅田8階改修工事"/>
    <s v="20170831"/>
    <s v="25"/>
    <n v="6"/>
    <n v="19"/>
    <n v="22749200"/>
    <n v="18722592"/>
    <n v="909968"/>
    <n v="17812624"/>
    <s v="1"/>
    <s v=" "/>
  </r>
  <r>
    <n v="116"/>
    <x v="13"/>
    <n v="406"/>
    <s v="コアプラス札幌株式会社"/>
    <x v="0"/>
    <s v="定額法"/>
    <s v="116コアプラスレジデンス梅田302CAPEX"/>
    <s v="20180419"/>
    <s v="15"/>
    <n v="5"/>
    <n v="10"/>
    <n v="1089640"/>
    <n v="815871"/>
    <n v="73005"/>
    <n v="742866"/>
    <s v="1"/>
    <s v=" "/>
  </r>
  <r>
    <n v="116"/>
    <x v="13"/>
    <n v="406"/>
    <s v="コアプラス札幌株式会社"/>
    <x v="3"/>
    <s v="定率法"/>
    <s v="116コアプラスレジデンス梅田宅配ﾎﾞｯｸｽ等設置"/>
    <s v="20190328"/>
    <s v="10"/>
    <n v="4"/>
    <n v="6"/>
    <n v="778248"/>
    <n v="415066"/>
    <n v="83013"/>
    <n v="332053"/>
    <s v="1"/>
    <s v=" "/>
  </r>
  <r>
    <n v="116"/>
    <x v="13"/>
    <n v="406"/>
    <s v="コアプラス札幌株式会社"/>
    <x v="0"/>
    <s v="定額法"/>
    <s v="116コアプラスレジデンス梅田801CAPEX"/>
    <s v="20190501"/>
    <s v="15"/>
    <n v="4"/>
    <n v="11"/>
    <n v="229060"/>
    <n v="188135"/>
    <n v="15347"/>
    <n v="172788"/>
    <s v="1"/>
    <s v=" "/>
  </r>
  <r>
    <n v="116"/>
    <x v="13"/>
    <n v="406"/>
    <s v="コアプラス札幌株式会社"/>
    <x v="0"/>
    <s v="定額法"/>
    <s v="116コアプラスレジデンス梅田202CAPEX"/>
    <s v="20190701"/>
    <s v="15"/>
    <n v="4"/>
    <n v="11"/>
    <n v="533392"/>
    <n v="444050"/>
    <n v="35737"/>
    <n v="408313"/>
    <s v="1"/>
    <s v=" "/>
  </r>
  <r>
    <n v="116"/>
    <x v="13"/>
    <n v="406"/>
    <s v="コアプラス札幌株式会社"/>
    <x v="0"/>
    <s v="定額法"/>
    <s v="116コアプラスレジデンス梅田401CAPEX"/>
    <s v="20191101"/>
    <s v="15"/>
    <n v="4"/>
    <n v="11"/>
    <n v="703670"/>
    <n v="601523"/>
    <n v="47145"/>
    <n v="554378"/>
    <s v="1"/>
    <s v=" "/>
  </r>
  <r>
    <n v="116"/>
    <x v="13"/>
    <n v="406"/>
    <s v="コアプラス札幌株式会社"/>
    <x v="0"/>
    <s v="定額法"/>
    <s v="116コアプラスレジデンス梅田402CAPEX"/>
    <s v="20191201"/>
    <s v="15"/>
    <n v="4"/>
    <n v="11"/>
    <n v="565380"/>
    <n v="486464"/>
    <n v="37880"/>
    <n v="448584"/>
    <s v="1"/>
    <s v=" "/>
  </r>
  <r>
    <n v="116"/>
    <x v="13"/>
    <n v="406"/>
    <s v="コアプラス札幌株式会社"/>
    <x v="0"/>
    <s v="定額法"/>
    <s v="116コアプラスレジデンス梅田601CAPEX"/>
    <s v="20191217"/>
    <s v="15"/>
    <n v="4"/>
    <n v="11"/>
    <n v="746900"/>
    <n v="642646"/>
    <n v="50042"/>
    <n v="592604"/>
    <s v="1"/>
    <s v=" "/>
  </r>
  <r>
    <n v="116"/>
    <x v="13"/>
    <n v="406"/>
    <s v="コアプラス札幌株式会社"/>
    <x v="2"/>
    <s v="定額法"/>
    <s v="116コアプラスレジデンス梅田廊下ｶﾞﾗﾘ交換"/>
    <s v="20210114"/>
    <s v="15"/>
    <n v="2"/>
    <n v="13"/>
    <n v="182050"/>
    <n v="169853"/>
    <n v="12197"/>
    <n v="157656"/>
    <s v="1"/>
    <s v=" "/>
  </r>
  <r>
    <n v="116"/>
    <x v="13"/>
    <n v="406"/>
    <s v="コアプラス札幌株式会社"/>
    <x v="2"/>
    <s v="定額法"/>
    <s v="116コアプラスレジデンス梅田702CAPEX"/>
    <s v="20210209"/>
    <s v="15"/>
    <n v="2"/>
    <n v="13"/>
    <n v="1050341"/>
    <n v="985833"/>
    <n v="70372"/>
    <n v="915461"/>
    <s v="1"/>
    <s v=" "/>
  </r>
  <r>
    <n v="116"/>
    <x v="13"/>
    <n v="406"/>
    <s v="コアプラス札幌株式会社"/>
    <x v="2"/>
    <s v="定額法"/>
    <s v="116コアプラスレジデンス梅田給水ﾎﾟﾝﾌﾟ更新"/>
    <s v="20210209"/>
    <s v="15"/>
    <n v="2"/>
    <n v="13"/>
    <n v="251900"/>
    <n v="236430"/>
    <n v="16877"/>
    <n v="219553"/>
    <s v="1"/>
    <s v=" "/>
  </r>
  <r>
    <n v="116"/>
    <x v="13"/>
    <n v="406"/>
    <s v="コアプラス札幌株式会社"/>
    <x v="2"/>
    <s v="定額法"/>
    <s v="116コアプラスレジデンス梅田601CAPEX"/>
    <s v="20210513"/>
    <s v="15"/>
    <n v="2"/>
    <n v="13"/>
    <n v="327119"/>
    <n v="312508"/>
    <n v="21916"/>
    <n v="290592"/>
    <s v="1"/>
    <s v=" "/>
  </r>
  <r>
    <n v="116"/>
    <x v="13"/>
    <n v="406"/>
    <s v="コアプラス札幌株式会社"/>
    <x v="2"/>
    <s v="定額法"/>
    <s v="116コアプラスレジデンス梅田401CAPEX"/>
    <s v="20210610"/>
    <s v="15"/>
    <n v="2"/>
    <n v="13"/>
    <n v="557902"/>
    <n v="536098"/>
    <n v="37379"/>
    <n v="498719"/>
    <s v="1"/>
    <s v=" "/>
  </r>
  <r>
    <n v="116"/>
    <x v="13"/>
    <n v="406"/>
    <s v="コアプラス札幌株式会社"/>
    <x v="2"/>
    <s v="定額法"/>
    <s v="116コアプラスレジデンス梅田202CAPEX"/>
    <s v="20210816"/>
    <s v="15"/>
    <n v="2"/>
    <n v="13"/>
    <n v="115500"/>
    <n v="112276"/>
    <n v="7738"/>
    <n v="104538"/>
    <s v="1"/>
    <s v=" "/>
  </r>
  <r>
    <n v="116"/>
    <x v="13"/>
    <n v="406"/>
    <s v="コアプラス札幌株式会社"/>
    <x v="2"/>
    <s v="定額法"/>
    <s v="116コアプラスレジデンス梅田浴室ﾄﾞｱﾉﾌﾞ交換"/>
    <s v="20210816"/>
    <s v="15"/>
    <n v="2"/>
    <n v="13"/>
    <n v="149050"/>
    <n v="144890"/>
    <n v="9986"/>
    <n v="134904"/>
    <s v="1"/>
    <s v=" "/>
  </r>
  <r>
    <n v="116"/>
    <x v="13"/>
    <n v="406"/>
    <s v="コアプラス札幌株式会社"/>
    <x v="2"/>
    <s v="定額法"/>
    <s v="116コアプラスレジデンス梅田ｲﾝﾀｰﾈｯﾄ導入工事"/>
    <s v="20210910"/>
    <s v="15"/>
    <n v="2"/>
    <n v="13"/>
    <n v="616000"/>
    <n v="602243"/>
    <n v="41272"/>
    <n v="560971"/>
    <s v="1"/>
    <s v=" "/>
  </r>
  <r>
    <n v="116"/>
    <x v="13"/>
    <n v="406"/>
    <s v="コアプラス札幌株式会社"/>
    <x v="2"/>
    <s v="定額法"/>
    <s v="116コアプラスレジデンス梅田IDF盤改修工事"/>
    <s v="20211011"/>
    <s v="15"/>
    <n v="2"/>
    <n v="13"/>
    <n v="156530"/>
    <n v="153909"/>
    <n v="10487"/>
    <n v="143422"/>
    <s v="1"/>
    <s v=" "/>
  </r>
  <r>
    <n v="116"/>
    <x v="13"/>
    <n v="406"/>
    <s v="コアプラス札幌株式会社"/>
    <x v="2"/>
    <s v="定額法"/>
    <s v="116コアプラスレジデンス梅田302CAPEX"/>
    <s v="20211211"/>
    <s v="15"/>
    <n v="2"/>
    <n v="13"/>
    <n v="2064159"/>
    <n v="2052635"/>
    <n v="138298"/>
    <n v="1914337"/>
    <s v="1"/>
    <s v=" "/>
  </r>
  <r>
    <n v="116"/>
    <x v="13"/>
    <n v="406"/>
    <s v="コアプラス札幌株式会社"/>
    <x v="2"/>
    <s v="定額法"/>
    <s v="116コアプラスレジデンス梅田402CAPEX"/>
    <s v="20211211"/>
    <s v="15"/>
    <n v="2"/>
    <n v="13"/>
    <n v="2382841"/>
    <n v="2369537"/>
    <n v="159650"/>
    <n v="2209887"/>
    <s v="1"/>
    <s v=" "/>
  </r>
  <r>
    <n v="116"/>
    <x v="13"/>
    <n v="406"/>
    <s v="コアプラス札幌株式会社"/>
    <x v="2"/>
    <s v="定額法"/>
    <s v="116コアプラスレジデンス梅田501CAPEX"/>
    <s v="20211211"/>
    <s v="15"/>
    <n v="2"/>
    <n v="13"/>
    <n v="2679411"/>
    <n v="2664451"/>
    <n v="179520"/>
    <n v="2484931"/>
    <s v="1"/>
    <s v=" "/>
  </r>
  <r>
    <n v="117"/>
    <x v="14"/>
    <n v="407"/>
    <s v="コアプラス福岡株式会社"/>
    <x v="0"/>
    <s v="定額法"/>
    <s v="117高田馬場第4玉川ビル"/>
    <s v="20170831"/>
    <s v="9"/>
    <n v="6"/>
    <n v="3"/>
    <n v="24151178"/>
    <n v="12204400"/>
    <n v="2704931"/>
    <n v="9499469"/>
    <s v="0"/>
    <s v="鉄骨造陸屋根 共同住宅・車庫等"/>
  </r>
  <r>
    <n v="117"/>
    <x v="14"/>
    <n v="407"/>
    <s v="コアプラス福岡株式会社"/>
    <x v="1"/>
    <s v="非償却"/>
    <s v="117高田馬場第4玉川ビル"/>
    <s v="20170831"/>
    <s v=""/>
    <n v="6"/>
    <s v=""/>
    <n v="113543242"/>
    <n v="113543242"/>
    <m/>
    <n v="113543242"/>
    <s v="0"/>
    <m/>
  </r>
  <r>
    <n v="117"/>
    <x v="14"/>
    <n v="407"/>
    <s v="コアプラス福岡株式会社"/>
    <x v="2"/>
    <s v="定額法"/>
    <s v="117高田馬場第4玉川ビル"/>
    <s v="20180331"/>
    <s v="15"/>
    <n v="5"/>
    <n v="10"/>
    <n v="1620000"/>
    <n v="1203930"/>
    <n v="108540"/>
    <n v="1095390"/>
    <s v="1"/>
    <s v="解体撤去工事 電気設備工事"/>
  </r>
  <r>
    <n v="117"/>
    <x v="14"/>
    <n v="407"/>
    <s v="コアプラス福岡株式会社"/>
    <x v="2"/>
    <s v="定額法"/>
    <s v="117高田馬場第4玉川ビル"/>
    <s v="20210115"/>
    <s v="15"/>
    <n v="2"/>
    <n v="13"/>
    <n v="299434"/>
    <n v="279372"/>
    <n v="20062"/>
    <n v="259310"/>
    <s v="1"/>
    <s v="202号室 CAPEX工事"/>
  </r>
  <r>
    <n v="117"/>
    <x v="14"/>
    <n v="407"/>
    <s v="コアプラス福岡株式会社"/>
    <x v="2"/>
    <s v="定額法"/>
    <s v="117高田馬場第4玉川ビル"/>
    <s v="20210115"/>
    <s v="15"/>
    <n v="2"/>
    <n v="13"/>
    <n v="577426"/>
    <n v="538739"/>
    <n v="38687"/>
    <n v="500052"/>
    <s v="1"/>
    <s v="203号室 CAPEX工事"/>
  </r>
  <r>
    <n v="117"/>
    <x v="14"/>
    <n v="407"/>
    <s v="コアプラス福岡株式会社"/>
    <x v="2"/>
    <s v="定額法"/>
    <s v="117高田馬場第4玉川ビル"/>
    <s v="20210315"/>
    <s v="15"/>
    <n v="2"/>
    <n v="13"/>
    <n v="419912"/>
    <n v="396467"/>
    <n v="28134"/>
    <n v="368333"/>
    <s v="1"/>
    <s v="201号室 CAPEX工事"/>
  </r>
  <r>
    <n v="117"/>
    <x v="14"/>
    <n v="407"/>
    <s v="コアプラス福岡株式会社"/>
    <x v="2"/>
    <s v="定額法"/>
    <s v="117高田馬場第4玉川ビル"/>
    <s v="20211205"/>
    <s v="15"/>
    <n v="2"/>
    <n v="13"/>
    <n v="758872"/>
    <n v="754635"/>
    <n v="50844"/>
    <n v="703791"/>
    <s v="1"/>
    <s v="302号室 CAPEX工事"/>
  </r>
  <r>
    <n v="120"/>
    <x v="15"/>
    <n v="408"/>
    <s v="コアプラス京都株式会社"/>
    <x v="0"/>
    <s v="定額法"/>
    <s v="120南池袋マンション"/>
    <s v="20180109"/>
    <s v="24"/>
    <n v="5"/>
    <n v="19"/>
    <n v="33588101"/>
    <n v="27945301"/>
    <n v="1410700"/>
    <n v="26534601"/>
    <s v="0"/>
    <s v="鉄筋ｺﾝｸﾘｰﾄ造 共同住宅"/>
  </r>
  <r>
    <n v="120"/>
    <x v="15"/>
    <n v="408"/>
    <s v="コアプラス京都株式会社"/>
    <x v="1"/>
    <s v="非償却"/>
    <s v="120南池袋マンション"/>
    <s v="20180109"/>
    <s v=""/>
    <n v="5"/>
    <s v=""/>
    <n v="120828203"/>
    <n v="120828203"/>
    <m/>
    <n v="120828203"/>
    <s v="0"/>
    <m/>
  </r>
  <r>
    <n v="120"/>
    <x v="15"/>
    <n v="408"/>
    <s v="コアプラス京都株式会社"/>
    <x v="2"/>
    <s v="定額法"/>
    <s v="120南池袋マンション"/>
    <s v="20180401"/>
    <s v="15"/>
    <n v="5"/>
    <n v="10"/>
    <n v="3390000"/>
    <n v="2538263"/>
    <n v="227130"/>
    <n v="2311133"/>
    <n v="1"/>
    <s v="CAPEX工事 その他改修工事"/>
  </r>
  <r>
    <n v="221"/>
    <x v="16"/>
    <n v="408"/>
    <s v="コアプラス京都株式会社"/>
    <x v="0"/>
    <s v="定額法"/>
    <s v="221ビジネス新大阪123号"/>
    <s v="20210121"/>
    <s v="12"/>
    <n v="2"/>
    <n v="10"/>
    <n v="3025337"/>
    <n v="2771209"/>
    <n v="254128"/>
    <n v="2517081"/>
    <s v="0"/>
    <s v="鉄筋鉄骨ｺﾝｸﾘｰﾄ造 "/>
  </r>
  <r>
    <n v="221"/>
    <x v="16"/>
    <n v="408"/>
    <s v="コアプラス京都株式会社"/>
    <x v="1"/>
    <s v="非償却"/>
    <s v="221ビジネス新大阪123号"/>
    <s v="20210121"/>
    <s v=""/>
    <n v="2"/>
    <s v=""/>
    <n v="2475275"/>
    <n v="2475275"/>
    <m/>
    <n v="2475275"/>
    <s v="0"/>
    <s v=" "/>
  </r>
  <r>
    <n v="221"/>
    <x v="16"/>
    <n v="408"/>
    <s v="コアプラス京都株式会社"/>
    <x v="0"/>
    <s v="定額法"/>
    <s v="221ビジネス新大阪123号"/>
    <s v="20210721"/>
    <s v="12"/>
    <n v="2"/>
    <n v="10"/>
    <n v="27300"/>
    <n v="26154"/>
    <n v="2293"/>
    <n v="23861"/>
    <s v="0"/>
    <s v="不動産取得税 "/>
  </r>
  <r>
    <n v="221"/>
    <x v="16"/>
    <n v="408"/>
    <s v="コアプラス京都株式会社"/>
    <x v="1"/>
    <s v="非償却"/>
    <s v="221ビジネス新大阪123号"/>
    <s v="20210721"/>
    <s v=""/>
    <n v="2"/>
    <s v=""/>
    <n v="13300"/>
    <n v="13300"/>
    <m/>
    <n v="13300"/>
    <s v="0"/>
    <s v="不動産取得税 "/>
  </r>
  <r>
    <n v="222"/>
    <x v="17"/>
    <n v="401"/>
    <s v="コアプラス東京株式会社"/>
    <x v="0"/>
    <s v="定額法"/>
    <s v="222プラウD目白301号室101号室"/>
    <s v="20210311"/>
    <s v="27"/>
    <n v="2"/>
    <n v="25"/>
    <n v="19286259"/>
    <n v="18675528"/>
    <n v="732877"/>
    <n v="17942651"/>
    <s v="0"/>
    <s v="鉄筋ｺﾝｸﾘｰﾄ"/>
  </r>
  <r>
    <n v="222"/>
    <x v="17"/>
    <n v="401"/>
    <s v="コアプラス東京株式会社"/>
    <x v="1"/>
    <s v="非償却"/>
    <s v="222プラウD目白301号室101号室"/>
    <s v="20210311"/>
    <s v=""/>
    <n v="2"/>
    <s v=""/>
    <n v="57130988"/>
    <n v="57130988"/>
    <m/>
    <n v="57130988"/>
    <s v="0"/>
    <m/>
  </r>
  <r>
    <n v="222"/>
    <x v="17"/>
    <n v="401"/>
    <s v="コアプラス東京株式会社"/>
    <x v="0"/>
    <s v="定額法"/>
    <s v="222プラウD目白301号室101号室"/>
    <s v="20211031"/>
    <s v="27"/>
    <n v="2"/>
    <n v="25"/>
    <n v="10501105"/>
    <n v="10401345"/>
    <n v="399041"/>
    <n v="10002304"/>
    <s v="1"/>
    <s v="ﾘﾌｫｰﾑ工事 "/>
  </r>
  <r>
    <n v="222"/>
    <x v="17"/>
    <n v="401"/>
    <s v="コアプラス東京株式会社"/>
    <x v="2"/>
    <s v="定額法"/>
    <s v="222プラウD目白301号室101号室"/>
    <s v="20211031"/>
    <s v="15"/>
    <n v="2"/>
    <n v="13"/>
    <n v="8567856"/>
    <n v="8424345"/>
    <n v="574046"/>
    <n v="7850299"/>
    <s v="1"/>
    <s v="ﾘﾌｫｰﾑ工事 "/>
  </r>
  <r>
    <n v="999"/>
    <x v="18"/>
    <n v="401"/>
    <s v="コアプラス東京株式会社"/>
    <x v="3"/>
    <s v="定率法"/>
    <s v="999賃貸資産以外の償却生産性Ａ類型"/>
    <s v="20150716"/>
    <s v="5"/>
    <n v="8"/>
    <n v="-3"/>
    <n v="555556"/>
    <n v="1"/>
    <m/>
    <n v="1"/>
    <s v="0"/>
    <m/>
  </r>
  <r>
    <n v="999"/>
    <x v="18"/>
    <n v="401"/>
    <s v="コアプラス東京株式会社"/>
    <x v="3"/>
    <s v="定額法"/>
    <s v="999賃貸資産以外の償却"/>
    <s v="20190925"/>
    <s v="5"/>
    <n v="4"/>
    <n v="1"/>
    <n v="442600"/>
    <n v="236054"/>
    <n v="88520"/>
    <n v="147534"/>
    <s v="0"/>
    <s v="PC、サーバー"/>
  </r>
  <r>
    <n v="999"/>
    <x v="18"/>
    <n v="401"/>
    <s v="コアプラス東京株式会社"/>
    <x v="3"/>
    <s v="少額資産"/>
    <s v="999賃貸資産以外の償却"/>
    <s v="20191001"/>
    <s v="4"/>
    <n v="4"/>
    <n v="0"/>
    <n v="207300"/>
    <m/>
    <m/>
    <m/>
    <s v="0"/>
    <s v="PC、サーバー"/>
  </r>
  <r>
    <n v="999"/>
    <x v="18"/>
    <n v="401"/>
    <s v="コアプラス東京株式会社"/>
    <x v="3"/>
    <s v="少額資産"/>
    <s v="999賃貸資産以外の償却"/>
    <s v="20191001"/>
    <s v="4"/>
    <n v="4"/>
    <n v="0"/>
    <n v="102410"/>
    <m/>
    <m/>
    <m/>
    <s v="0"/>
    <s v="PC、サーバー"/>
  </r>
  <r>
    <n v="999"/>
    <x v="18"/>
    <n v="401"/>
    <s v="コアプラス東京株式会社"/>
    <x v="3"/>
    <s v="少額資産"/>
    <s v="999賃貸資産以外の償却"/>
    <s v="20200418"/>
    <s v="4"/>
    <n v="3"/>
    <n v="1"/>
    <n v="233787"/>
    <m/>
    <m/>
    <m/>
    <s v="0"/>
    <s v="家具"/>
  </r>
  <r>
    <n v="999"/>
    <x v="18"/>
    <n v="401"/>
    <s v="コアプラス東京株式会社"/>
    <x v="3"/>
    <s v="少額資産"/>
    <s v="999賃貸資産以外の償却"/>
    <s v="20200601"/>
    <s v="4"/>
    <n v="3"/>
    <n v="1"/>
    <n v="220700"/>
    <m/>
    <m/>
    <m/>
    <s v="0"/>
    <s v="家具"/>
  </r>
  <r>
    <n v="999"/>
    <x v="18"/>
    <n v="401"/>
    <s v="コアプラス東京株式会社"/>
    <x v="3"/>
    <s v="一括決算"/>
    <s v="999賃貸資産以外の償却"/>
    <s v="20200828"/>
    <s v=""/>
    <n v="3"/>
    <s v=""/>
    <n v="108431"/>
    <m/>
    <n v="36144"/>
    <m/>
    <s v="0"/>
    <s v="PC、サーバー"/>
  </r>
  <r>
    <n v="999"/>
    <x v="18"/>
    <n v="401"/>
    <s v="コアプラス東京株式会社"/>
    <x v="3"/>
    <s v="少額資産"/>
    <s v="999賃貸資産以外の償却"/>
    <s v="20210102"/>
    <s v="5"/>
    <n v="2"/>
    <n v="3"/>
    <n v="241980"/>
    <m/>
    <m/>
    <m/>
    <s v="0"/>
    <s v="PC、サーバー"/>
  </r>
  <r>
    <n v="999"/>
    <x v="18"/>
    <n v="401"/>
    <s v="コアプラス東京株式会社"/>
    <x v="3"/>
    <s v="少額資産"/>
    <s v="999賃貸資産以外の償却"/>
    <s v="20210213"/>
    <s v="5"/>
    <n v="2"/>
    <n v="3"/>
    <n v="137706"/>
    <m/>
    <m/>
    <m/>
    <s v="0"/>
    <s v="家具"/>
  </r>
  <r>
    <n v="999"/>
    <x v="18"/>
    <n v="401"/>
    <s v="コアプラス東京株式会社"/>
    <x v="3"/>
    <s v="少額資産"/>
    <s v="999賃貸資産以外の償却"/>
    <s v="20210221"/>
    <s v="4"/>
    <n v="2"/>
    <n v="2"/>
    <n v="107128"/>
    <m/>
    <m/>
    <m/>
    <s v="0"/>
    <s v="家具"/>
  </r>
  <r>
    <n v="999"/>
    <x v="18"/>
    <n v="401"/>
    <s v="コアプラス東京株式会社"/>
    <x v="3"/>
    <s v="少額資産"/>
    <s v="999賃貸資産以外の償却"/>
    <s v="20210225"/>
    <s v="4"/>
    <n v="2"/>
    <n v="2"/>
    <n v="113520"/>
    <m/>
    <m/>
    <m/>
    <s v="0"/>
    <s v="家具"/>
  </r>
  <r>
    <n v="999"/>
    <x v="18"/>
    <n v="401"/>
    <s v="コアプラス東京株式会社"/>
    <x v="3"/>
    <s v="少額資産"/>
    <s v="999賃貸資産以外の償却"/>
    <s v="20210601"/>
    <s v="4"/>
    <n v="2"/>
    <n v="2"/>
    <n v="269546"/>
    <m/>
    <m/>
    <m/>
    <s v="0"/>
    <s v="家具"/>
  </r>
  <r>
    <n v="999"/>
    <x v="18"/>
    <n v="401"/>
    <s v="コアプラス東京株式会社"/>
    <x v="3"/>
    <s v="少額資産"/>
    <s v="999賃貸資産以外の償却"/>
    <s v="20210604"/>
    <s v="4"/>
    <n v="2"/>
    <n v="2"/>
    <n v="223264"/>
    <m/>
    <m/>
    <m/>
    <s v="0"/>
    <s v="家具"/>
  </r>
  <r>
    <n v="999"/>
    <x v="18"/>
    <n v="401"/>
    <s v="コアプラス東京株式会社"/>
    <x v="3"/>
    <s v="少額資産"/>
    <s v="999賃貸資産以外の償却"/>
    <s v="20210623"/>
    <s v="4"/>
    <n v="2"/>
    <n v="2"/>
    <n v="144600"/>
    <m/>
    <m/>
    <m/>
    <s v="0"/>
    <s v="PC、サーバー"/>
  </r>
  <r>
    <n v="999"/>
    <x v="18"/>
    <n v="401"/>
    <s v="コアプラス東京株式会社"/>
    <x v="3"/>
    <s v="少額資産"/>
    <s v="999賃貸資産以外の償却"/>
    <s v="20210626"/>
    <s v="4"/>
    <n v="2"/>
    <n v="2"/>
    <n v="152164"/>
    <m/>
    <m/>
    <m/>
    <s v="0"/>
    <s v="PC、サーバー"/>
  </r>
  <r>
    <n v="999"/>
    <x v="18"/>
    <n v="401"/>
    <s v="コアプラス東京株式会社"/>
    <x v="3"/>
    <s v="少額資産"/>
    <s v="999賃貸資産以外の償却"/>
    <s v="20210730"/>
    <s v="4"/>
    <n v="2"/>
    <n v="2"/>
    <n v="114200"/>
    <m/>
    <m/>
    <m/>
    <s v="0"/>
    <s v="PC、サーバー"/>
  </r>
  <r>
    <n v="999"/>
    <x v="18"/>
    <n v="401"/>
    <s v="コアプラス東京株式会社"/>
    <x v="3"/>
    <s v="少額資産"/>
    <s v="999賃貸資産以外の償却"/>
    <s v="20210807"/>
    <s v="4"/>
    <n v="2"/>
    <n v="2"/>
    <n v="114200"/>
    <m/>
    <m/>
    <m/>
    <s v="0"/>
    <s v="PC、サーバー"/>
  </r>
  <r>
    <n v="999"/>
    <x v="18"/>
    <n v="401"/>
    <s v="コアプラス東京株式会社"/>
    <x v="3"/>
    <s v="少額資産"/>
    <s v="999賃貸資産以外の償却"/>
    <s v="20211224"/>
    <s v="4"/>
    <n v="2"/>
    <n v="2"/>
    <n v="267346"/>
    <m/>
    <m/>
    <m/>
    <s v="0"/>
    <s v="PC、サーバー"/>
  </r>
  <r>
    <n v="121"/>
    <x v="19"/>
    <n v="408"/>
    <s v="コアプラス京都株式会社"/>
    <x v="0"/>
    <s v="定額法"/>
    <s v="121目白アパート1号館"/>
    <s v="20211224"/>
    <n v="15"/>
    <n v="2"/>
    <n v="13"/>
    <n v="51251000"/>
    <n v="51251000"/>
    <n v="2500000"/>
    <n v="48751000"/>
    <n v="0"/>
    <s v="仮入力"/>
  </r>
  <r>
    <n v="122"/>
    <x v="20"/>
    <n v="408"/>
    <s v="コアプラス京都株式会社"/>
    <x v="0"/>
    <s v="定額法"/>
    <s v="122目白アパート2号館"/>
    <s v="20211224"/>
    <n v="15"/>
    <n v="2"/>
    <n v="13"/>
    <n v="31236000"/>
    <n v="31236000"/>
    <n v="2000000"/>
    <n v="29236000"/>
    <n v="0"/>
    <s v="仮入力"/>
  </r>
  <r>
    <n v="121"/>
    <x v="19"/>
    <n v="408"/>
    <s v="コアプラス京都株式会社"/>
    <x v="1"/>
    <s v="定額法"/>
    <s v="121目白アパート1号館"/>
    <s v="20211224"/>
    <m/>
    <n v="2"/>
    <s v=""/>
    <n v="5112000"/>
    <n v="5112000"/>
    <n v="0"/>
    <n v="5112000"/>
    <n v="0"/>
    <s v="仮入力"/>
  </r>
  <r>
    <n v="122"/>
    <x v="20"/>
    <n v="408"/>
    <s v="コアプラス京都株式会社"/>
    <x v="1"/>
    <s v="定額法"/>
    <s v="122目白アパート2号館"/>
    <s v="20211224"/>
    <m/>
    <n v="2"/>
    <s v=""/>
    <n v="5241000"/>
    <n v="5241000"/>
    <n v="0"/>
    <n v="5241000"/>
    <n v="0"/>
    <s v="仮入力"/>
  </r>
  <r>
    <m/>
    <x v="21"/>
    <m/>
    <m/>
    <x v="5"/>
    <m/>
    <m/>
    <m/>
    <m/>
    <m/>
    <m/>
    <m/>
    <m/>
    <m/>
    <m/>
    <m/>
    <m/>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
  <r>
    <n v="101"/>
    <x v="0"/>
    <n v="401"/>
    <s v="コアプラス東京株式会社"/>
    <x v="0"/>
    <s v="定額法"/>
    <s v="101西池袋駅前ビル"/>
    <s v="20150601"/>
    <s v="28"/>
    <n v="8"/>
    <n v="20"/>
    <n v="51870000"/>
    <n v="39637325"/>
    <n v="1867320"/>
    <n v="37770005"/>
    <x v="0"/>
    <s v="鉄骨鉄筋ｺﾝｸﾘｰﾄ 共同住宅"/>
  </r>
  <r>
    <n v="101"/>
    <x v="0"/>
    <n v="401"/>
    <s v="コアプラス東京株式会社"/>
    <x v="1"/>
    <s v="非償却"/>
    <s v="101西池袋駅前ビル"/>
    <s v="20150601"/>
    <s v=""/>
    <n v="8"/>
    <s v=""/>
    <n v="168935000"/>
    <n v="168935000"/>
    <m/>
    <n v="168935000"/>
    <x v="0"/>
    <m/>
  </r>
  <r>
    <n v="101"/>
    <x v="0"/>
    <n v="401"/>
    <s v="コアプラス東京株式会社"/>
    <x v="2"/>
    <s v="定額法"/>
    <s v="101西池袋駅前ビル電気空調設備工事"/>
    <s v="20180806"/>
    <s v="13"/>
    <n v="5"/>
    <n v="8"/>
    <n v="640440"/>
    <n v="471954"/>
    <n v="49313"/>
    <n v="422641"/>
    <x v="1"/>
    <s v=" "/>
  </r>
  <r>
    <n v="101"/>
    <x v="0"/>
    <n v="401"/>
    <s v="コアプラス東京株式会社"/>
    <x v="2"/>
    <s v="少額資産"/>
    <s v="101西池袋駅前ビルﾀﾞｲｷﾝ天井ｶｾｯﾄ冷暖房ｴｱｺﾝ"/>
    <s v="20190814"/>
    <s v=""/>
    <n v="4"/>
    <s v=""/>
    <n v="292680"/>
    <m/>
    <m/>
    <m/>
    <x v="1"/>
    <s v=" "/>
  </r>
  <r>
    <n v="101"/>
    <x v="0"/>
    <n v="401"/>
    <s v="コアプラス東京株式会社"/>
    <x v="3"/>
    <s v="定率法"/>
    <s v="101西池袋駅前ビル宅配ﾎﾞｯｸｽ"/>
    <s v="20200331"/>
    <s v="10"/>
    <n v="3"/>
    <n v="7"/>
    <n v="858420"/>
    <n v="572280"/>
    <n v="114456"/>
    <n v="457824"/>
    <x v="1"/>
    <s v=" "/>
  </r>
  <r>
    <n v="102"/>
    <x v="1"/>
    <n v="402"/>
    <s v="コアプラス名古屋株式会社"/>
    <x v="0"/>
    <s v="定額法"/>
    <s v="102池袋ハウス"/>
    <s v="20170928"/>
    <s v="24"/>
    <n v="6"/>
    <n v="18"/>
    <n v="152947603"/>
    <n v="125111141"/>
    <n v="6423799"/>
    <n v="118687342"/>
    <x v="0"/>
    <s v="鉄筋ｺﾝｸﾘｰﾄ造 共同住宅"/>
  </r>
  <r>
    <n v="102"/>
    <x v="1"/>
    <n v="402"/>
    <s v="コアプラス名古屋株式会社"/>
    <x v="1"/>
    <s v="非償却"/>
    <s v="102池袋ハウス"/>
    <s v="20170928"/>
    <s v=""/>
    <n v="6"/>
    <s v=""/>
    <n v="397310797"/>
    <n v="397310797"/>
    <m/>
    <n v="397310797"/>
    <x v="0"/>
    <s v="不動産取得税"/>
  </r>
  <r>
    <n v="102"/>
    <x v="1"/>
    <n v="402"/>
    <s v="コアプラス名古屋株式会社"/>
    <x v="0"/>
    <s v="定額法"/>
    <s v="102池袋ハウス不動産取得税"/>
    <s v="20180101"/>
    <s v="24"/>
    <n v="5"/>
    <n v="19"/>
    <n v="2278000"/>
    <n v="1895296"/>
    <n v="95676"/>
    <n v="1799620"/>
    <x v="0"/>
    <s v="鉄筋ｺﾝｸﾘｰﾄ造 共同住宅"/>
  </r>
  <r>
    <n v="102"/>
    <x v="1"/>
    <n v="402"/>
    <s v="コアプラス名古屋株式会社"/>
    <x v="1"/>
    <s v="非償却"/>
    <s v="102池袋ハウス"/>
    <s v="20180101"/>
    <s v=""/>
    <n v="5"/>
    <s v=""/>
    <n v="2958800"/>
    <n v="2958800"/>
    <m/>
    <n v="2958800"/>
    <x v="0"/>
    <s v="不動産取得税"/>
  </r>
  <r>
    <n v="102"/>
    <x v="1"/>
    <n v="402"/>
    <s v="コアプラス名古屋株式会社"/>
    <x v="2"/>
    <s v="定額法"/>
    <s v="102池袋ハウス汚水ポンプ交換"/>
    <s v="20180301"/>
    <s v="15"/>
    <n v="5"/>
    <n v="10"/>
    <n v="943077"/>
    <n v="700864"/>
    <n v="63186"/>
    <n v="637678"/>
    <x v="1"/>
    <s v=" "/>
  </r>
  <r>
    <n v="102"/>
    <x v="1"/>
    <n v="402"/>
    <s v="コアプラス名古屋株式会社"/>
    <x v="2"/>
    <s v="定額法"/>
    <s v="102池袋ハウス給水管部分更新"/>
    <s v="20201231"/>
    <s v="15"/>
    <n v="3"/>
    <n v="12"/>
    <n v="623700"/>
    <n v="578431"/>
    <n v="41787"/>
    <n v="536644"/>
    <x v="1"/>
    <s v=" "/>
  </r>
  <r>
    <n v="102"/>
    <x v="1"/>
    <n v="402"/>
    <s v="コアプラス名古屋株式会社"/>
    <x v="2"/>
    <s v="定額法"/>
    <s v="102池袋ハウス203改修工事"/>
    <s v="20210731"/>
    <s v="15"/>
    <n v="2"/>
    <n v="13"/>
    <n v="500607"/>
    <n v="483837"/>
    <n v="33540"/>
    <n v="450297"/>
    <x v="1"/>
    <s v=" "/>
  </r>
  <r>
    <n v="102"/>
    <x v="1"/>
    <n v="402"/>
    <s v="コアプラス名古屋株式会社"/>
    <x v="2"/>
    <s v="定額法"/>
    <s v="102池袋ハウス109改修工事"/>
    <s v="20210915"/>
    <s v="15"/>
    <n v="2"/>
    <n v="13"/>
    <n v="534349"/>
    <n v="522416"/>
    <n v="35801"/>
    <n v="486615"/>
    <x v="1"/>
    <s v=" "/>
  </r>
  <r>
    <n v="102"/>
    <x v="1"/>
    <n v="402"/>
    <s v="コアプラス名古屋株式会社"/>
    <x v="2"/>
    <s v="定額法"/>
    <s v="102池袋ハウス303改修工事"/>
    <s v="20210915"/>
    <s v="15"/>
    <n v="2"/>
    <n v="13"/>
    <n v="580905"/>
    <n v="567932"/>
    <n v="38920"/>
    <n v="529012"/>
    <x v="1"/>
    <s v=" "/>
  </r>
  <r>
    <n v="102"/>
    <x v="1"/>
    <n v="402"/>
    <s v="コアプラス名古屋株式会社"/>
    <x v="2"/>
    <s v="定額法"/>
    <s v="102池袋ハウス205改修工事"/>
    <s v="20211015"/>
    <s v="15"/>
    <n v="2"/>
    <n v="13"/>
    <n v="487702"/>
    <n v="479533"/>
    <n v="32676"/>
    <n v="446857"/>
    <x v="1"/>
    <s v=" "/>
  </r>
  <r>
    <n v="102"/>
    <x v="1"/>
    <n v="402"/>
    <s v="コアプラス名古屋株式会社"/>
    <x v="2"/>
    <s v="定額法"/>
    <s v="102池袋ハウス306改修工事"/>
    <s v="20211015"/>
    <s v="15"/>
    <n v="2"/>
    <n v="13"/>
    <n v="539815"/>
    <n v="530774"/>
    <n v="36167"/>
    <n v="494607"/>
    <x v="1"/>
    <s v=" "/>
  </r>
  <r>
    <n v="102"/>
    <x v="1"/>
    <n v="402"/>
    <s v="コアプラス名古屋株式会社"/>
    <x v="2"/>
    <s v="定額法"/>
    <s v="102池袋ハウス406改修工事"/>
    <s v="20211231"/>
    <s v="15"/>
    <n v="2"/>
    <n v="13"/>
    <n v="311610"/>
    <n v="309871"/>
    <n v="20877"/>
    <n v="288994"/>
    <x v="1"/>
    <s v=" "/>
  </r>
  <r>
    <n v="103"/>
    <x v="2"/>
    <n v="403"/>
    <s v="有限会社コアプラス2号"/>
    <x v="0"/>
    <s v="定額法"/>
    <s v="103カーサ目白台ハウス"/>
    <s v="20150715"/>
    <s v="26"/>
    <n v="8"/>
    <n v="18"/>
    <n v="149454010"/>
    <n v="112389418"/>
    <n v="5828706"/>
    <n v="106560712"/>
    <x v="0"/>
    <s v=" "/>
  </r>
  <r>
    <n v="103"/>
    <x v="2"/>
    <n v="403"/>
    <s v="有限会社コアプラス2号"/>
    <x v="1"/>
    <s v="非償却"/>
    <s v="103カーサ目白台ハウス"/>
    <s v="20150715"/>
    <s v=""/>
    <n v="8"/>
    <s v=""/>
    <n v="264084489"/>
    <n v="264084489"/>
    <m/>
    <n v="264084489"/>
    <x v="0"/>
    <s v=" "/>
  </r>
  <r>
    <n v="103"/>
    <x v="2"/>
    <n v="403"/>
    <s v="有限会社コアプラス2号"/>
    <x v="2"/>
    <s v="定率法"/>
    <s v="103カーサ目白台ハウス102号改修工事"/>
    <s v="20160304"/>
    <s v="10"/>
    <n v="7"/>
    <n v="3"/>
    <n v="2157840"/>
    <n v="589236"/>
    <n v="147309"/>
    <n v="441927"/>
    <x v="1"/>
    <s v=" "/>
  </r>
  <r>
    <n v="103"/>
    <x v="2"/>
    <n v="403"/>
    <s v="有限会社コアプラス2号"/>
    <x v="2"/>
    <s v="定額法"/>
    <s v="103カーサ目白台ハウス電気空調設備工事"/>
    <s v="20180706"/>
    <s v="13"/>
    <n v="5"/>
    <n v="8"/>
    <n v="441000"/>
    <n v="322151"/>
    <n v="33957"/>
    <n v="288194"/>
    <x v="1"/>
    <s v=" "/>
  </r>
  <r>
    <n v="103"/>
    <x v="2"/>
    <n v="403"/>
    <s v="有限会社コアプラス2号"/>
    <x v="2"/>
    <s v="少額資産"/>
    <s v="103カーサ目白台ハウスｻｲﾝ工事"/>
    <s v="20181212"/>
    <s v="18"/>
    <n v="5"/>
    <n v="13"/>
    <n v="253400"/>
    <m/>
    <m/>
    <m/>
    <x v="1"/>
    <s v=" "/>
  </r>
  <r>
    <n v="104"/>
    <x v="3"/>
    <n v="404"/>
    <s v="コアプラス大阪株式会社"/>
    <x v="0"/>
    <s v="定額法"/>
    <s v="104コアプラス池袋"/>
    <s v="20140228"/>
    <s v="30"/>
    <n v="9"/>
    <n v="21"/>
    <n v="16087719"/>
    <n v="11744039"/>
    <n v="546982"/>
    <n v="11197057"/>
    <x v="0"/>
    <s v="鉄骨鉄筋ｺﾝｸﾘｰﾄ造 事務所用"/>
  </r>
  <r>
    <n v="104"/>
    <x v="3"/>
    <n v="404"/>
    <s v="コアプラス大阪株式会社"/>
    <x v="1"/>
    <s v="非償却"/>
    <s v="104コアプラス池袋"/>
    <s v="20140228"/>
    <s v=""/>
    <n v="9"/>
    <s v=""/>
    <n v="78084258"/>
    <n v="78084258"/>
    <m/>
    <n v="78084258"/>
    <x v="0"/>
    <s v=" "/>
  </r>
  <r>
    <n v="104"/>
    <x v="3"/>
    <n v="404"/>
    <s v="コアプラス大阪株式会社"/>
    <x v="0"/>
    <s v="定額法"/>
    <s v="104コアプラス池袋1階事務所内装"/>
    <s v="20141101"/>
    <s v="50"/>
    <n v="9"/>
    <n v="41"/>
    <n v="6065238"/>
    <n v="5191850"/>
    <n v="121304"/>
    <n v="5070546"/>
    <x v="1"/>
    <s v=" "/>
  </r>
  <r>
    <n v="104"/>
    <x v="3"/>
    <n v="404"/>
    <s v="コアプラス大阪株式会社"/>
    <x v="0"/>
    <s v="定額法"/>
    <s v="104コアプラス池袋外構工事"/>
    <s v="20141101"/>
    <s v="50"/>
    <n v="9"/>
    <n v="41"/>
    <n v="1758750"/>
    <n v="1505491"/>
    <n v="35175"/>
    <n v="1470316"/>
    <x v="1"/>
    <s v=" "/>
  </r>
  <r>
    <n v="104"/>
    <x v="3"/>
    <n v="404"/>
    <s v="コアプラス大阪株式会社"/>
    <x v="0"/>
    <s v="定額法"/>
    <s v="104コアプラス池袋大規模修繕工事"/>
    <s v="20141101"/>
    <s v="50"/>
    <n v="9"/>
    <n v="41"/>
    <n v="8049861"/>
    <n v="6890684"/>
    <n v="160997"/>
    <n v="6729687"/>
    <x v="1"/>
    <s v=" "/>
  </r>
  <r>
    <n v="104"/>
    <x v="3"/>
    <n v="404"/>
    <s v="コアプラス大阪株式会社"/>
    <x v="2"/>
    <s v="定率法"/>
    <s v="104コアプラス池袋電気工事"/>
    <s v="20141101"/>
    <s v="15"/>
    <n v="9"/>
    <n v="6"/>
    <n v="670025"/>
    <n v="241795"/>
    <n v="32158"/>
    <n v="209637"/>
    <x v="1"/>
    <s v=" "/>
  </r>
  <r>
    <n v="104"/>
    <x v="3"/>
    <n v="404"/>
    <s v="コアプラス大阪株式会社"/>
    <x v="2"/>
    <s v="定率法"/>
    <s v="104コアプラス池袋バルコニー"/>
    <s v="20141101"/>
    <s v="10"/>
    <n v="9"/>
    <n v="1"/>
    <n v="204954"/>
    <n v="32744"/>
    <n v="16371"/>
    <n v="16373"/>
    <x v="1"/>
    <s v="前掲のもの以外 その他"/>
  </r>
  <r>
    <n v="104"/>
    <x v="3"/>
    <n v="404"/>
    <s v="コアプラス大阪株式会社"/>
    <x v="2"/>
    <s v="定率法"/>
    <s v="104コアプラス池袋ポスト等"/>
    <s v="20141101"/>
    <s v="10"/>
    <n v="9"/>
    <n v="1"/>
    <n v="543159"/>
    <n v="86773"/>
    <n v="43386"/>
    <n v="43387"/>
    <x v="1"/>
    <s v="前掲の区分によら ない　その他"/>
  </r>
  <r>
    <n v="104"/>
    <x v="3"/>
    <n v="404"/>
    <s v="コアプラス大阪株式会社"/>
    <x v="2"/>
    <s v="定率法"/>
    <s v="104コアプラス池袋ｹｰﾌﾞﾙﾃﾚﾋﾞ配線"/>
    <s v="20141101"/>
    <s v="10"/>
    <n v="9"/>
    <n v="1"/>
    <n v="122354"/>
    <n v="19549"/>
    <n v="9773"/>
    <n v="9776"/>
    <x v="1"/>
    <s v="前掲の区分によら ない　その他"/>
  </r>
  <r>
    <n v="104"/>
    <x v="3"/>
    <n v="404"/>
    <s v="コアプラス大阪株式会社"/>
    <x v="4"/>
    <s v="定率法"/>
    <s v="104コアプラス池袋"/>
    <s v="20141101"/>
    <s v="15"/>
    <n v="9"/>
    <n v="6"/>
    <n v="1265564"/>
    <n v="456706"/>
    <n v="60741"/>
    <n v="395965"/>
    <x v="1"/>
    <s v="ｺﾝｸﾘｰﾄﾌﾞﾛｯｸ造 へい"/>
  </r>
  <r>
    <n v="104"/>
    <x v="3"/>
    <n v="404"/>
    <s v="コアプラス大阪株式会社"/>
    <x v="2"/>
    <s v="定額法"/>
    <s v="104コアプラス池袋301改修工事"/>
    <s v="20160502"/>
    <s v="15"/>
    <n v="7"/>
    <n v="8"/>
    <n v="1296297"/>
    <n v="803817"/>
    <n v="86851"/>
    <n v="716966"/>
    <x v="1"/>
    <s v=" "/>
  </r>
  <r>
    <n v="104"/>
    <x v="3"/>
    <n v="404"/>
    <s v="コアプラス大阪株式会社"/>
    <x v="2"/>
    <s v="定額法"/>
    <s v="104コアプラス池袋201室内改修工事"/>
    <s v="20180901"/>
    <s v="15"/>
    <n v="5"/>
    <n v="10"/>
    <n v="3300000"/>
    <n v="2563000"/>
    <n v="221100"/>
    <n v="2341900"/>
    <x v="1"/>
    <s v=" "/>
  </r>
  <r>
    <n v="105"/>
    <x v="4"/>
    <n v="405"/>
    <s v="コアプラス仙台株式会社"/>
    <x v="0"/>
    <s v="定額法"/>
    <s v="105目白アパート"/>
    <s v="20140912"/>
    <s v="13"/>
    <n v="9"/>
    <n v="4"/>
    <n v="113432893"/>
    <n v="49296051"/>
    <n v="8734332"/>
    <n v="40561719"/>
    <x v="0"/>
    <s v="鉄筋ｺﾝｸﾘｰﾄ 共同住宅"/>
  </r>
  <r>
    <n v="105"/>
    <x v="4"/>
    <n v="405"/>
    <s v="コアプラス仙台株式会社"/>
    <x v="1"/>
    <s v="非償却"/>
    <s v="105目白アパート"/>
    <s v="20140912"/>
    <s v=""/>
    <n v="9"/>
    <s v=""/>
    <n v="192559845"/>
    <n v="192559845"/>
    <m/>
    <n v="192559845"/>
    <x v="0"/>
    <m/>
  </r>
  <r>
    <n v="105"/>
    <x v="4"/>
    <n v="405"/>
    <s v="コアプラス仙台株式会社"/>
    <x v="4"/>
    <s v="定率法"/>
    <s v="105目白アパート舗装ｺﾝｸﾘ敷"/>
    <s v="20150916"/>
    <s v="15"/>
    <n v="8"/>
    <n v="7"/>
    <n v="1484600"/>
    <n v="602604"/>
    <n v="80146"/>
    <n v="522458"/>
    <x v="1"/>
    <s v=" "/>
  </r>
  <r>
    <n v="105"/>
    <x v="4"/>
    <n v="405"/>
    <s v="コアプラス仙台株式会社"/>
    <x v="2"/>
    <s v="定額法"/>
    <s v="105目白アパート201内装工事"/>
    <s v="20180101"/>
    <s v="15"/>
    <n v="5"/>
    <n v="10"/>
    <n v="2550000"/>
    <n v="1866600"/>
    <n v="170850"/>
    <n v="1695750"/>
    <x v="1"/>
    <s v=" "/>
  </r>
  <r>
    <n v="105"/>
    <x v="4"/>
    <n v="405"/>
    <s v="コアプラス仙台株式会社"/>
    <x v="2"/>
    <s v="定額法"/>
    <s v="105目白アパート広告塔解体工"/>
    <s v="20190829"/>
    <s v="15"/>
    <n v="4"/>
    <n v="11"/>
    <n v="2106000"/>
    <n v="1765004"/>
    <n v="141102"/>
    <n v="1623902"/>
    <x v="1"/>
    <s v=" "/>
  </r>
  <r>
    <n v="105"/>
    <x v="4"/>
    <n v="405"/>
    <s v="コアプラス仙台株式会社"/>
    <x v="2"/>
    <s v="定額法"/>
    <s v="105目白アパート雑排水管新設"/>
    <s v="20190918"/>
    <s v="15"/>
    <n v="4"/>
    <n v="11"/>
    <n v="2743200"/>
    <n v="2314348"/>
    <n v="183794"/>
    <n v="2130554"/>
    <x v="1"/>
    <s v=" "/>
  </r>
  <r>
    <n v="105"/>
    <x v="4"/>
    <n v="405"/>
    <s v="コアプラス仙台株式会社"/>
    <x v="2"/>
    <s v="定額法"/>
    <s v="105目白アパート給水管直結工"/>
    <s v="20191216"/>
    <s v="15"/>
    <n v="4"/>
    <n v="11"/>
    <n v="12320000"/>
    <n v="10600334"/>
    <n v="825440"/>
    <n v="9774894"/>
    <x v="1"/>
    <s v=" "/>
  </r>
  <r>
    <n v="105"/>
    <x v="4"/>
    <n v="405"/>
    <s v="コアプラス仙台株式会社"/>
    <x v="2"/>
    <s v="定額法"/>
    <s v="105目白アパート301改修工"/>
    <s v="20191220"/>
    <s v="15"/>
    <n v="4"/>
    <n v="11"/>
    <n v="2759000"/>
    <n v="2373890"/>
    <n v="184853"/>
    <n v="2189037"/>
    <x v="1"/>
    <s v=" "/>
  </r>
  <r>
    <n v="105"/>
    <x v="4"/>
    <n v="405"/>
    <s v="コアプラス仙台株式会社"/>
    <x v="2"/>
    <s v="定額法"/>
    <s v="105目白アパート防護ﾈｯﾄ設置"/>
    <s v="20211214"/>
    <s v="15"/>
    <n v="2"/>
    <n v="13"/>
    <n v="2095170"/>
    <n v="2083472"/>
    <n v="140376"/>
    <n v="1943096"/>
    <x v="1"/>
    <s v=" "/>
  </r>
  <r>
    <n v="106"/>
    <x v="5"/>
    <n v="406"/>
    <s v="コアプラス札幌株式会社"/>
    <x v="0"/>
    <s v="定額法"/>
    <s v="106東池袋ハイツ"/>
    <s v="20141201"/>
    <s v="30"/>
    <n v="9"/>
    <n v="21"/>
    <n v="187056281"/>
    <n v="142517753"/>
    <n v="6359913"/>
    <n v="136157840"/>
    <x v="0"/>
    <s v="鉄筋ｺﾝｸﾘｰﾄ造 住宅"/>
  </r>
  <r>
    <n v="106"/>
    <x v="5"/>
    <n v="406"/>
    <s v="コアプラス札幌株式会社"/>
    <x v="1"/>
    <s v="非償却"/>
    <s v="106東池袋ハイツ"/>
    <s v="20141201"/>
    <s v=""/>
    <n v="9"/>
    <s v=""/>
    <n v="262709157"/>
    <n v="262709157"/>
    <m/>
    <n v="262709157"/>
    <x v="0"/>
    <m/>
  </r>
  <r>
    <n v="106"/>
    <x v="5"/>
    <n v="406"/>
    <s v="コアプラス札幌株式会社"/>
    <x v="3"/>
    <s v="定率法"/>
    <s v="106東池袋ハイツ宅配ﾎﾞｯｸｽ設置"/>
    <s v="20180926"/>
    <s v="10"/>
    <n v="5"/>
    <n v="5"/>
    <n v="658800"/>
    <n v="314820"/>
    <n v="62964"/>
    <n v="251856"/>
    <x v="1"/>
    <s v=" "/>
  </r>
  <r>
    <n v="107"/>
    <x v="6"/>
    <n v="407"/>
    <s v="コアプラス福岡株式会社"/>
    <x v="0"/>
    <s v="定額法"/>
    <s v="107メゾン雑司ヶ谷"/>
    <s v="20151015"/>
    <s v="23"/>
    <n v="8"/>
    <n v="15"/>
    <n v="98069650"/>
    <n v="71067811"/>
    <n v="4315064"/>
    <n v="66752747"/>
    <x v="0"/>
    <s v="鉄骨鉄筋ｺﾝｸﾘｰﾄ造 "/>
  </r>
  <r>
    <n v="107"/>
    <x v="6"/>
    <n v="407"/>
    <s v="コアプラス福岡株式会社"/>
    <x v="1"/>
    <s v="非償却"/>
    <s v="107メゾン雑司ヶ谷"/>
    <s v="20151015"/>
    <s v=""/>
    <n v="8"/>
    <s v=""/>
    <n v="286363375"/>
    <n v="286363375"/>
    <m/>
    <n v="286363375"/>
    <x v="0"/>
    <s v=" "/>
  </r>
  <r>
    <n v="107"/>
    <x v="6"/>
    <n v="407"/>
    <s v="コアプラス福岡株式会社"/>
    <x v="3"/>
    <s v="定率法"/>
    <s v="107メゾン雑司ヶ谷集合ﾎﾟｽﾄ宅配ﾎﾞｯ"/>
    <s v="20190815"/>
    <s v="10"/>
    <n v="4"/>
    <n v="6"/>
    <n v="720000"/>
    <n v="422400"/>
    <n v="84480"/>
    <n v="337920"/>
    <x v="1"/>
    <s v=" "/>
  </r>
  <r>
    <n v="107"/>
    <x v="6"/>
    <n v="407"/>
    <s v="コアプラス福岡株式会社"/>
    <x v="2"/>
    <s v="定額法"/>
    <s v="107メゾン雑司ヶ谷共用廊下電気工事"/>
    <s v="20210531"/>
    <s v="15"/>
    <n v="2"/>
    <n v="13"/>
    <n v="482200"/>
    <n v="460662"/>
    <n v="32307"/>
    <n v="428355"/>
    <x v="1"/>
    <s v=" "/>
  </r>
  <r>
    <n v="107"/>
    <x v="6"/>
    <n v="407"/>
    <s v="コアプラス福岡株式会社"/>
    <x v="2"/>
    <s v="定額法"/>
    <s v="107メゾン雑司ヶ谷共用廊下ｸﾛｽ貼り"/>
    <s v="20210531"/>
    <s v="10"/>
    <n v="2"/>
    <n v="8"/>
    <n v="941600"/>
    <n v="878827"/>
    <n v="94160"/>
    <n v="784667"/>
    <x v="1"/>
    <s v=" "/>
  </r>
  <r>
    <n v="107"/>
    <x v="6"/>
    <n v="407"/>
    <s v="コアプラス福岡株式会社"/>
    <x v="2"/>
    <s v="定額法"/>
    <s v="107メゾン雑司ヶ谷CAPEX工事"/>
    <s v="20210930"/>
    <s v="10"/>
    <n v="2"/>
    <n v="8"/>
    <n v="860100"/>
    <n v="831430"/>
    <n v="86010"/>
    <n v="745420"/>
    <x v="1"/>
    <s v=" "/>
  </r>
  <r>
    <n v="109"/>
    <x v="7"/>
    <n v="409"/>
    <s v="コアプラス四国株式会社"/>
    <x v="0"/>
    <s v="定額法"/>
    <s v="109カーサ南池袋"/>
    <s v="20151225"/>
    <s v="9"/>
    <n v="8"/>
    <n v="1"/>
    <n v="26042283"/>
    <n v="8541873"/>
    <n v="2916735"/>
    <n v="5625138"/>
    <x v="0"/>
    <s v="鉄筋ｺﾝｸﾘｰﾄ造 陸屋根5階建"/>
  </r>
  <r>
    <n v="109"/>
    <x v="7"/>
    <n v="409"/>
    <s v="コアプラス四国株式会社"/>
    <x v="1"/>
    <s v="非償却"/>
    <s v="109カーサ南池袋"/>
    <s v="20151225"/>
    <s v=""/>
    <n v="8"/>
    <s v=""/>
    <n v="163957717"/>
    <n v="163957717"/>
    <m/>
    <n v="163957717"/>
    <x v="0"/>
    <m/>
  </r>
  <r>
    <n v="109"/>
    <x v="7"/>
    <n v="409"/>
    <s v="コアプラス四国株式会社"/>
    <x v="0"/>
    <s v="定額法"/>
    <s v="109カーサ南池袋"/>
    <s v="20151225"/>
    <s v="9"/>
    <n v="8"/>
    <n v="1"/>
    <n v="450400"/>
    <n v="147736"/>
    <n v="50444"/>
    <n v="97292"/>
    <x v="0"/>
    <s v="鉄筋ｺﾝｸﾘｰﾄ造 陸屋根5階建"/>
  </r>
  <r>
    <n v="109"/>
    <x v="7"/>
    <n v="409"/>
    <s v="コアプラス四国株式会社"/>
    <x v="1"/>
    <s v="非償却"/>
    <s v="109カーサ南池袋不動産取得税"/>
    <s v="20151225"/>
    <s v=""/>
    <n v="8"/>
    <s v=""/>
    <n v="1417900"/>
    <n v="1417900"/>
    <m/>
    <n v="1417900"/>
    <x v="0"/>
    <m/>
  </r>
  <r>
    <n v="109"/>
    <x v="7"/>
    <n v="409"/>
    <s v="コアプラス四国株式会社"/>
    <x v="2"/>
    <s v="定額法"/>
    <s v="109カーサ南池袋107号室改修工事"/>
    <s v="20160513"/>
    <s v="15"/>
    <n v="7"/>
    <n v="8"/>
    <n v="1668160"/>
    <n v="1034819"/>
    <n v="111766"/>
    <n v="923053"/>
    <x v="1"/>
    <s v=" "/>
  </r>
  <r>
    <n v="109"/>
    <x v="7"/>
    <n v="409"/>
    <s v="コアプラス四国株式会社"/>
    <x v="2"/>
    <s v="定額法"/>
    <s v="109カーサ南池袋112号室改修工事"/>
    <s v="20160513"/>
    <s v="15"/>
    <n v="7"/>
    <n v="8"/>
    <n v="2349200"/>
    <n v="1457290"/>
    <n v="157396"/>
    <n v="1299894"/>
    <x v="1"/>
    <s v=" "/>
  </r>
  <r>
    <n v="109"/>
    <x v="7"/>
    <n v="409"/>
    <s v="コアプラス四国株式会社"/>
    <x v="2"/>
    <s v="定額法"/>
    <s v="109カーサ南池袋電気工事"/>
    <s v="20160513"/>
    <s v="15"/>
    <n v="7"/>
    <n v="8"/>
    <n v="1734493"/>
    <n v="1075964"/>
    <n v="116211"/>
    <n v="959753"/>
    <x v="1"/>
    <s v=" "/>
  </r>
  <r>
    <n v="109"/>
    <x v="7"/>
    <n v="409"/>
    <s v="コアプラス四国株式会社"/>
    <x v="2"/>
    <s v="定額法"/>
    <s v="109カーサ南池袋122号室改修工事"/>
    <s v="20161202"/>
    <s v="15"/>
    <n v="7"/>
    <n v="8"/>
    <n v="1549314"/>
    <n v="1021644"/>
    <n v="103804"/>
    <n v="917840"/>
    <x v="1"/>
    <m/>
  </r>
  <r>
    <n v="109"/>
    <x v="7"/>
    <n v="409"/>
    <s v="コアプラス四国株式会社"/>
    <x v="3"/>
    <s v="定率法"/>
    <s v="109カーサ南池袋宅配ﾎﾞｯｸｽ設置"/>
    <s v="20210131"/>
    <s v="10"/>
    <n v="2"/>
    <n v="8"/>
    <n v="554400"/>
    <n v="443520"/>
    <n v="88704"/>
    <n v="354816"/>
    <x v="1"/>
    <m/>
  </r>
  <r>
    <n v="109"/>
    <x v="7"/>
    <n v="409"/>
    <s v="コアプラス四国株式会社"/>
    <x v="2"/>
    <s v="定額法"/>
    <s v="109カーサ南池袋108号室改修工事"/>
    <s v="20210731"/>
    <s v="15"/>
    <n v="2"/>
    <n v="13"/>
    <n v="1873128"/>
    <n v="1810379"/>
    <n v="125499"/>
    <n v="1684880"/>
    <x v="1"/>
    <m/>
  </r>
  <r>
    <n v="109"/>
    <x v="7"/>
    <n v="409"/>
    <s v="コアプラス四国株式会社"/>
    <x v="2"/>
    <s v="定額法"/>
    <s v="109カーサ南池袋屋上給水ﾎﾟﾝﾌﾟ"/>
    <s v="20210831"/>
    <s v="15"/>
    <n v="2"/>
    <n v="13"/>
    <n v="541750"/>
    <n v="526627"/>
    <n v="36297"/>
    <n v="490330"/>
    <x v="1"/>
    <m/>
  </r>
  <r>
    <n v="109"/>
    <x v="7"/>
    <n v="409"/>
    <s v="コアプラス四国株式会社"/>
    <x v="2"/>
    <s v="定額法"/>
    <s v="109カーサ南池袋122号室改修工事"/>
    <s v="20210930"/>
    <s v="15"/>
    <n v="2"/>
    <n v="13"/>
    <n v="4073820"/>
    <n v="3982839"/>
    <n v="272945"/>
    <n v="3709894"/>
    <x v="1"/>
    <m/>
  </r>
  <r>
    <n v="109"/>
    <x v="7"/>
    <n v="409"/>
    <s v="コアプラス四国株式会社"/>
    <x v="2"/>
    <s v="定額法"/>
    <s v="109カーサ南池袋132号室改修工事"/>
    <s v="20210930"/>
    <s v="15"/>
    <n v="2"/>
    <n v="13"/>
    <n v="4304820"/>
    <n v="4208680"/>
    <n v="288422"/>
    <n v="3920258"/>
    <x v="1"/>
    <m/>
  </r>
  <r>
    <n v="109"/>
    <x v="7"/>
    <n v="409"/>
    <s v="コアプラス四国株式会社"/>
    <x v="2"/>
    <s v="定額法"/>
    <s v="109カーサ南池袋共用部排水管更"/>
    <s v="20210930"/>
    <s v="15"/>
    <n v="2"/>
    <n v="13"/>
    <n v="745860"/>
    <n v="729203"/>
    <n v="49972"/>
    <n v="679231"/>
    <x v="1"/>
    <m/>
  </r>
  <r>
    <n v="109"/>
    <x v="7"/>
    <n v="409"/>
    <s v="コアプラス四国株式会社"/>
    <x v="2"/>
    <s v="定額法"/>
    <s v="109カーサ南池袋105号室改修工事"/>
    <s v="20211031"/>
    <s v="15"/>
    <n v="2"/>
    <n v="13"/>
    <n v="2865641"/>
    <n v="2817642"/>
    <n v="191997"/>
    <n v="2625645"/>
    <x v="1"/>
    <m/>
  </r>
  <r>
    <n v="111"/>
    <x v="8"/>
    <n v="401"/>
    <s v="コアプラス東京株式会社"/>
    <x v="0"/>
    <s v="定額法"/>
    <s v="111目白カーサ二番館"/>
    <s v="20160224"/>
    <s v="14"/>
    <n v="7"/>
    <n v="7"/>
    <n v="59724146"/>
    <n v="34281663"/>
    <n v="4300138"/>
    <n v="29981525"/>
    <x v="0"/>
    <s v=" "/>
  </r>
  <r>
    <n v="111"/>
    <x v="8"/>
    <n v="401"/>
    <s v="コアプラス東京株式会社"/>
    <x v="1"/>
    <s v="非償却"/>
    <s v="111目白カーサ二番館"/>
    <s v="20160224"/>
    <s v=""/>
    <n v="7"/>
    <s v=""/>
    <n v="252984606"/>
    <n v="252984606"/>
    <m/>
    <n v="252984606"/>
    <x v="0"/>
    <s v=" "/>
  </r>
  <r>
    <n v="112"/>
    <x v="9"/>
    <n v="402"/>
    <s v="コアプラス名古屋株式会社"/>
    <x v="0"/>
    <s v="定額法"/>
    <s v="112豊島目白ビル"/>
    <s v="20160329"/>
    <s v="27"/>
    <n v="7"/>
    <n v="20"/>
    <n v="126784406"/>
    <n v="98680532"/>
    <n v="4817807"/>
    <n v="93862725"/>
    <x v="0"/>
    <s v="鉄筋ｺﾝｸﾘｰﾄ造 "/>
  </r>
  <r>
    <n v="112"/>
    <x v="9"/>
    <n v="402"/>
    <s v="コアプラス名古屋株式会社"/>
    <x v="1"/>
    <s v="非償却"/>
    <s v="112豊島目白ビル"/>
    <s v="20160329"/>
    <s v=""/>
    <n v="7"/>
    <s v=""/>
    <n v="316421235"/>
    <n v="316421235"/>
    <m/>
    <n v="316421235"/>
    <x v="0"/>
    <s v=" "/>
  </r>
  <r>
    <n v="113"/>
    <x v="10"/>
    <n v="403"/>
    <s v="有限会社コアプラス2号"/>
    <x v="0"/>
    <s v="定額法"/>
    <s v="113第3目白ハイツ"/>
    <s v="20160630"/>
    <s v="24"/>
    <n v="7"/>
    <n v="17"/>
    <n v="149989486"/>
    <n v="114816954"/>
    <n v="6299558"/>
    <n v="108517396"/>
    <x v="0"/>
    <s v="鉄筋ｺﾝｸﾘｰﾄ造 陸屋根4階建"/>
  </r>
  <r>
    <n v="113"/>
    <x v="10"/>
    <n v="403"/>
    <s v="有限会社コアプラス2号"/>
    <x v="1"/>
    <s v="非償却"/>
    <s v="113第3目白ハイツ"/>
    <s v="20160630"/>
    <s v=""/>
    <n v="7"/>
    <s v=""/>
    <n v="335018465"/>
    <n v="335018465"/>
    <m/>
    <n v="335018465"/>
    <x v="0"/>
    <m/>
  </r>
  <r>
    <n v="113"/>
    <x v="10"/>
    <n v="403"/>
    <s v="有限会社コアプラス2号"/>
    <x v="4"/>
    <s v="定額法"/>
    <s v="113第3目白ハイツ歩道ｲﾝﾀｰﾛｯｷﾝｸﾞ設置工事"/>
    <s v="20190725"/>
    <s v="15"/>
    <n v="4"/>
    <n v="11"/>
    <n v="2268000"/>
    <n v="1888110"/>
    <n v="151956"/>
    <n v="1736154"/>
    <x v="1"/>
    <s v=" "/>
  </r>
  <r>
    <n v="113"/>
    <x v="10"/>
    <n v="403"/>
    <s v="有限会社コアプラス2号"/>
    <x v="2"/>
    <s v="定額法"/>
    <s v="113第3目白ハイツ201改修工事"/>
    <s v="20210311"/>
    <s v="15"/>
    <n v="2"/>
    <n v="13"/>
    <n v="1651230"/>
    <n v="1559037"/>
    <n v="110632"/>
    <n v="1448405"/>
    <x v="1"/>
    <s v=" "/>
  </r>
  <r>
    <n v="113"/>
    <x v="10"/>
    <n v="403"/>
    <s v="有限会社コアプラス2号"/>
    <x v="2"/>
    <s v="定額法"/>
    <s v="113第3目白ハイツ301改修工事"/>
    <s v="20210612"/>
    <s v="15"/>
    <n v="2"/>
    <n v="13"/>
    <n v="1928328"/>
    <n v="1852963"/>
    <n v="129197"/>
    <n v="1723766"/>
    <x v="1"/>
    <s v=" "/>
  </r>
  <r>
    <n v="113"/>
    <x v="10"/>
    <n v="403"/>
    <s v="有限会社コアプラス2号"/>
    <x v="2"/>
    <s v="定額法"/>
    <s v="113第3目白ハイツ403改修工事"/>
    <s v="20210612"/>
    <s v="15"/>
    <n v="2"/>
    <n v="13"/>
    <n v="1523875"/>
    <n v="1464317"/>
    <n v="102099"/>
    <n v="1362218"/>
    <x v="1"/>
    <s v=" "/>
  </r>
  <r>
    <n v="113"/>
    <x v="10"/>
    <n v="403"/>
    <s v="有限会社コアプラス2号"/>
    <x v="2"/>
    <s v="定額法"/>
    <s v="113第3目白ハイツ303改修工事"/>
    <s v="20210715"/>
    <s v="15"/>
    <n v="2"/>
    <n v="13"/>
    <n v="1732160"/>
    <n v="1674133"/>
    <n v="116054"/>
    <n v="1558079"/>
    <x v="1"/>
    <s v=" "/>
  </r>
  <r>
    <n v="113"/>
    <x v="10"/>
    <n v="403"/>
    <s v="有限会社コアプラス2号"/>
    <x v="2"/>
    <s v="定額法"/>
    <s v="113第3目白ハイツ206改修工事"/>
    <s v="20210715"/>
    <s v="15"/>
    <n v="2"/>
    <n v="13"/>
    <n v="1903695"/>
    <n v="1839922"/>
    <n v="127547"/>
    <n v="1712375"/>
    <x v="1"/>
    <s v=" "/>
  </r>
  <r>
    <n v="113"/>
    <x v="10"/>
    <n v="403"/>
    <s v="有限会社コアプラス2号"/>
    <x v="2"/>
    <s v="定額法"/>
    <s v="113第3目白ハイツ204改修工事"/>
    <s v="20210816"/>
    <s v="15"/>
    <n v="2"/>
    <n v="13"/>
    <n v="2371294"/>
    <n v="2305096"/>
    <n v="158876"/>
    <n v="2146220"/>
    <x v="1"/>
    <s v=" "/>
  </r>
  <r>
    <n v="114"/>
    <x v="11"/>
    <n v="404"/>
    <s v="コアプラス大阪株式会社"/>
    <x v="0"/>
    <s v="定額法"/>
    <s v="114レジデンス目白豊島"/>
    <s v="20160830"/>
    <s v="26"/>
    <n v="7"/>
    <n v="19"/>
    <n v="52665555"/>
    <n v="41539960"/>
    <n v="2053956"/>
    <n v="39486004"/>
    <x v="0"/>
    <s v="鉄筋ｺﾝｸﾘｰﾄ造 陸屋根4階建"/>
  </r>
  <r>
    <n v="114"/>
    <x v="11"/>
    <n v="404"/>
    <s v="コアプラス大阪株式会社"/>
    <x v="1"/>
    <s v="非償却"/>
    <s v="114レジデンス目白豊島"/>
    <s v="20160830"/>
    <s v=""/>
    <n v="7"/>
    <s v=""/>
    <n v="154821009"/>
    <n v="154821009"/>
    <m/>
    <n v="154821009"/>
    <x v="0"/>
    <m/>
  </r>
  <r>
    <n v="114"/>
    <x v="11"/>
    <n v="404"/>
    <s v="コアプラス大阪株式会社"/>
    <x v="0"/>
    <s v="定額法"/>
    <s v="114レジデンス目白豊島斜壁防水工"/>
    <s v="20161202"/>
    <s v="26"/>
    <n v="7"/>
    <n v="19"/>
    <n v="1550000"/>
    <n v="1242713"/>
    <n v="60450"/>
    <n v="1182263"/>
    <x v="1"/>
    <s v=" "/>
  </r>
  <r>
    <n v="115"/>
    <x v="12"/>
    <n v="405"/>
    <s v="コアプラス仙台株式会社"/>
    <x v="0"/>
    <s v="定額法"/>
    <s v="115コアプラス大塚"/>
    <s v="20170427"/>
    <s v="33"/>
    <n v="6"/>
    <n v="27"/>
    <n v="250772634"/>
    <n v="213808751"/>
    <n v="7773951"/>
    <n v="206034800"/>
    <x v="0"/>
    <s v="鉄筋ｺﾝｸﾘｰﾄ造 "/>
  </r>
  <r>
    <n v="115"/>
    <x v="12"/>
    <n v="405"/>
    <s v="コアプラス仙台株式会社"/>
    <x v="1"/>
    <s v="非償却"/>
    <s v="115コアプラス大塚"/>
    <s v="20170427"/>
    <s v=""/>
    <n v="6"/>
    <s v=""/>
    <n v="300927161"/>
    <n v="300927161"/>
    <m/>
    <n v="300927161"/>
    <x v="0"/>
    <s v=" "/>
  </r>
  <r>
    <n v="116"/>
    <x v="13"/>
    <n v="406"/>
    <s v="コアプラス札幌株式会社"/>
    <x v="0"/>
    <s v="定額法"/>
    <s v="116コアプラスレジデンス梅田"/>
    <s v="20170428"/>
    <s v="25"/>
    <n v="6"/>
    <n v="19"/>
    <n v="147620954"/>
    <n v="119484401"/>
    <n v="5904838"/>
    <n v="113579563"/>
    <x v="0"/>
    <s v="鉄筋鉄骨ｺﾝｸﾘｰﾄ造 "/>
  </r>
  <r>
    <n v="116"/>
    <x v="13"/>
    <n v="406"/>
    <s v="コアプラス札幌株式会社"/>
    <x v="1"/>
    <s v="非償却"/>
    <s v="116コアプラスレジデンス梅田"/>
    <s v="20170428"/>
    <s v=""/>
    <n v="6"/>
    <s v=""/>
    <n v="211645475"/>
    <n v="211645475"/>
    <m/>
    <n v="211645475"/>
    <x v="0"/>
    <s v=" "/>
  </r>
  <r>
    <n v="116"/>
    <x v="13"/>
    <n v="406"/>
    <s v="コアプラス札幌株式会社"/>
    <x v="0"/>
    <s v="定額法"/>
    <s v="116コアプラスレジデンス梅田8階改修工事"/>
    <s v="20170831"/>
    <s v="25"/>
    <n v="6"/>
    <n v="19"/>
    <n v="22749200"/>
    <n v="18722592"/>
    <n v="909968"/>
    <n v="17812624"/>
    <x v="1"/>
    <s v=" "/>
  </r>
  <r>
    <n v="116"/>
    <x v="13"/>
    <n v="406"/>
    <s v="コアプラス札幌株式会社"/>
    <x v="0"/>
    <s v="定額法"/>
    <s v="116コアプラスレジデンス梅田302CAPEX"/>
    <s v="20180419"/>
    <s v="15"/>
    <n v="5"/>
    <n v="10"/>
    <n v="1089640"/>
    <n v="815871"/>
    <n v="73005"/>
    <n v="742866"/>
    <x v="1"/>
    <s v=" "/>
  </r>
  <r>
    <n v="116"/>
    <x v="13"/>
    <n v="406"/>
    <s v="コアプラス札幌株式会社"/>
    <x v="3"/>
    <s v="定率法"/>
    <s v="116コアプラスレジデンス梅田宅配ﾎﾞｯｸｽ等設置"/>
    <s v="20190328"/>
    <s v="10"/>
    <n v="4"/>
    <n v="6"/>
    <n v="778248"/>
    <n v="415066"/>
    <n v="83013"/>
    <n v="332053"/>
    <x v="1"/>
    <s v=" "/>
  </r>
  <r>
    <n v="116"/>
    <x v="13"/>
    <n v="406"/>
    <s v="コアプラス札幌株式会社"/>
    <x v="0"/>
    <s v="定額法"/>
    <s v="116コアプラスレジデンス梅田801CAPEX"/>
    <s v="20190501"/>
    <s v="15"/>
    <n v="4"/>
    <n v="11"/>
    <n v="229060"/>
    <n v="188135"/>
    <n v="15347"/>
    <n v="172788"/>
    <x v="1"/>
    <s v=" "/>
  </r>
  <r>
    <n v="116"/>
    <x v="13"/>
    <n v="406"/>
    <s v="コアプラス札幌株式会社"/>
    <x v="0"/>
    <s v="定額法"/>
    <s v="116コアプラスレジデンス梅田202CAPEX"/>
    <s v="20190701"/>
    <s v="15"/>
    <n v="4"/>
    <n v="11"/>
    <n v="533392"/>
    <n v="444050"/>
    <n v="35737"/>
    <n v="408313"/>
    <x v="1"/>
    <s v=" "/>
  </r>
  <r>
    <n v="116"/>
    <x v="13"/>
    <n v="406"/>
    <s v="コアプラス札幌株式会社"/>
    <x v="0"/>
    <s v="定額法"/>
    <s v="116コアプラスレジデンス梅田401CAPEX"/>
    <s v="20191101"/>
    <s v="15"/>
    <n v="4"/>
    <n v="11"/>
    <n v="703670"/>
    <n v="601523"/>
    <n v="47145"/>
    <n v="554378"/>
    <x v="1"/>
    <s v=" "/>
  </r>
  <r>
    <n v="116"/>
    <x v="13"/>
    <n v="406"/>
    <s v="コアプラス札幌株式会社"/>
    <x v="0"/>
    <s v="定額法"/>
    <s v="116コアプラスレジデンス梅田402CAPEX"/>
    <s v="20191201"/>
    <s v="15"/>
    <n v="4"/>
    <n v="11"/>
    <n v="565380"/>
    <n v="486464"/>
    <n v="37880"/>
    <n v="448584"/>
    <x v="1"/>
    <s v=" "/>
  </r>
  <r>
    <n v="116"/>
    <x v="13"/>
    <n v="406"/>
    <s v="コアプラス札幌株式会社"/>
    <x v="0"/>
    <s v="定額法"/>
    <s v="116コアプラスレジデンス梅田601CAPEX"/>
    <s v="20191217"/>
    <s v="15"/>
    <n v="4"/>
    <n v="11"/>
    <n v="746900"/>
    <n v="642646"/>
    <n v="50042"/>
    <n v="592604"/>
    <x v="1"/>
    <s v=" "/>
  </r>
  <r>
    <n v="116"/>
    <x v="13"/>
    <n v="406"/>
    <s v="コアプラス札幌株式会社"/>
    <x v="2"/>
    <s v="定額法"/>
    <s v="116コアプラスレジデンス梅田廊下ｶﾞﾗﾘ交換"/>
    <s v="20210114"/>
    <s v="15"/>
    <n v="2"/>
    <n v="13"/>
    <n v="182050"/>
    <n v="169853"/>
    <n v="12197"/>
    <n v="157656"/>
    <x v="1"/>
    <s v=" "/>
  </r>
  <r>
    <n v="116"/>
    <x v="13"/>
    <n v="406"/>
    <s v="コアプラス札幌株式会社"/>
    <x v="2"/>
    <s v="定額法"/>
    <s v="116コアプラスレジデンス梅田702CAPEX"/>
    <s v="20210209"/>
    <s v="15"/>
    <n v="2"/>
    <n v="13"/>
    <n v="1050341"/>
    <n v="985833"/>
    <n v="70372"/>
    <n v="915461"/>
    <x v="1"/>
    <s v=" "/>
  </r>
  <r>
    <n v="116"/>
    <x v="13"/>
    <n v="406"/>
    <s v="コアプラス札幌株式会社"/>
    <x v="2"/>
    <s v="定額法"/>
    <s v="116コアプラスレジデンス梅田給水ﾎﾟﾝﾌﾟ更新"/>
    <s v="20210209"/>
    <s v="15"/>
    <n v="2"/>
    <n v="13"/>
    <n v="251900"/>
    <n v="236430"/>
    <n v="16877"/>
    <n v="219553"/>
    <x v="1"/>
    <s v=" "/>
  </r>
  <r>
    <n v="116"/>
    <x v="13"/>
    <n v="406"/>
    <s v="コアプラス札幌株式会社"/>
    <x v="2"/>
    <s v="定額法"/>
    <s v="116コアプラスレジデンス梅田601CAPEX"/>
    <s v="20210513"/>
    <s v="15"/>
    <n v="2"/>
    <n v="13"/>
    <n v="327119"/>
    <n v="312508"/>
    <n v="21916"/>
    <n v="290592"/>
    <x v="1"/>
    <s v=" "/>
  </r>
  <r>
    <n v="116"/>
    <x v="13"/>
    <n v="406"/>
    <s v="コアプラス札幌株式会社"/>
    <x v="2"/>
    <s v="定額法"/>
    <s v="116コアプラスレジデンス梅田401CAPEX"/>
    <s v="20210610"/>
    <s v="15"/>
    <n v="2"/>
    <n v="13"/>
    <n v="557902"/>
    <n v="536098"/>
    <n v="37379"/>
    <n v="498719"/>
    <x v="1"/>
    <s v=" "/>
  </r>
  <r>
    <n v="116"/>
    <x v="13"/>
    <n v="406"/>
    <s v="コアプラス札幌株式会社"/>
    <x v="2"/>
    <s v="定額法"/>
    <s v="116コアプラスレジデンス梅田202CAPEX"/>
    <s v="20210816"/>
    <s v="15"/>
    <n v="2"/>
    <n v="13"/>
    <n v="115500"/>
    <n v="112276"/>
    <n v="7738"/>
    <n v="104538"/>
    <x v="1"/>
    <s v=" "/>
  </r>
  <r>
    <n v="116"/>
    <x v="13"/>
    <n v="406"/>
    <s v="コアプラス札幌株式会社"/>
    <x v="2"/>
    <s v="定額法"/>
    <s v="116コアプラスレジデンス梅田浴室ﾄﾞｱﾉﾌﾞ交換"/>
    <s v="20210816"/>
    <s v="15"/>
    <n v="2"/>
    <n v="13"/>
    <n v="149050"/>
    <n v="144890"/>
    <n v="9986"/>
    <n v="134904"/>
    <x v="1"/>
    <s v=" "/>
  </r>
  <r>
    <n v="116"/>
    <x v="13"/>
    <n v="406"/>
    <s v="コアプラス札幌株式会社"/>
    <x v="2"/>
    <s v="定額法"/>
    <s v="116コアプラスレジデンス梅田ｲﾝﾀｰﾈｯﾄ導入工事"/>
    <s v="20210910"/>
    <s v="15"/>
    <n v="2"/>
    <n v="13"/>
    <n v="616000"/>
    <n v="602243"/>
    <n v="41272"/>
    <n v="560971"/>
    <x v="1"/>
    <s v=" "/>
  </r>
  <r>
    <n v="116"/>
    <x v="13"/>
    <n v="406"/>
    <s v="コアプラス札幌株式会社"/>
    <x v="2"/>
    <s v="定額法"/>
    <s v="116コアプラスレジデンス梅田IDF盤改修工事"/>
    <s v="20211011"/>
    <s v="15"/>
    <n v="2"/>
    <n v="13"/>
    <n v="156530"/>
    <n v="153909"/>
    <n v="10487"/>
    <n v="143422"/>
    <x v="1"/>
    <s v=" "/>
  </r>
  <r>
    <n v="116"/>
    <x v="13"/>
    <n v="406"/>
    <s v="コアプラス札幌株式会社"/>
    <x v="2"/>
    <s v="定額法"/>
    <s v="116コアプラスレジデンス梅田302CAPEX"/>
    <s v="20211211"/>
    <s v="15"/>
    <n v="2"/>
    <n v="13"/>
    <n v="2064159"/>
    <n v="2052635"/>
    <n v="138298"/>
    <n v="1914337"/>
    <x v="1"/>
    <s v=" "/>
  </r>
  <r>
    <n v="116"/>
    <x v="13"/>
    <n v="406"/>
    <s v="コアプラス札幌株式会社"/>
    <x v="2"/>
    <s v="定額法"/>
    <s v="116コアプラスレジデンス梅田402CAPEX"/>
    <s v="20211211"/>
    <s v="15"/>
    <n v="2"/>
    <n v="13"/>
    <n v="2382841"/>
    <n v="2369537"/>
    <n v="159650"/>
    <n v="2209887"/>
    <x v="1"/>
    <s v=" "/>
  </r>
  <r>
    <n v="116"/>
    <x v="13"/>
    <n v="406"/>
    <s v="コアプラス札幌株式会社"/>
    <x v="2"/>
    <s v="定額法"/>
    <s v="116コアプラスレジデンス梅田501CAPEX"/>
    <s v="20211211"/>
    <s v="15"/>
    <n v="2"/>
    <n v="13"/>
    <n v="2679411"/>
    <n v="2664451"/>
    <n v="179520"/>
    <n v="2484931"/>
    <x v="1"/>
    <s v=" "/>
  </r>
  <r>
    <n v="117"/>
    <x v="14"/>
    <n v="407"/>
    <s v="コアプラス福岡株式会社"/>
    <x v="0"/>
    <s v="定額法"/>
    <s v="117高田馬場第4玉川ビル"/>
    <s v="20170831"/>
    <s v="9"/>
    <n v="6"/>
    <n v="3"/>
    <n v="24151178"/>
    <n v="12204400"/>
    <n v="2704931"/>
    <n v="9499469"/>
    <x v="0"/>
    <s v="鉄骨造陸屋根 共同住宅・車庫等"/>
  </r>
  <r>
    <n v="117"/>
    <x v="14"/>
    <n v="407"/>
    <s v="コアプラス福岡株式会社"/>
    <x v="1"/>
    <s v="非償却"/>
    <s v="117高田馬場第4玉川ビル"/>
    <s v="20170831"/>
    <s v=""/>
    <n v="6"/>
    <s v=""/>
    <n v="113543242"/>
    <n v="113543242"/>
    <m/>
    <n v="113543242"/>
    <x v="0"/>
    <m/>
  </r>
  <r>
    <n v="117"/>
    <x v="14"/>
    <n v="407"/>
    <s v="コアプラス福岡株式会社"/>
    <x v="2"/>
    <s v="定額法"/>
    <s v="117高田馬場第4玉川ビル"/>
    <s v="20180331"/>
    <s v="15"/>
    <n v="5"/>
    <n v="10"/>
    <n v="1620000"/>
    <n v="1203930"/>
    <n v="108540"/>
    <n v="1095390"/>
    <x v="1"/>
    <s v="解体撤去工事 電気設備工事"/>
  </r>
  <r>
    <n v="117"/>
    <x v="14"/>
    <n v="407"/>
    <s v="コアプラス福岡株式会社"/>
    <x v="2"/>
    <s v="定額法"/>
    <s v="117高田馬場第4玉川ビル"/>
    <s v="20210115"/>
    <s v="15"/>
    <n v="2"/>
    <n v="13"/>
    <n v="299434"/>
    <n v="279372"/>
    <n v="20062"/>
    <n v="259310"/>
    <x v="1"/>
    <s v="202号室 CAPEX工事"/>
  </r>
  <r>
    <n v="117"/>
    <x v="14"/>
    <n v="407"/>
    <s v="コアプラス福岡株式会社"/>
    <x v="2"/>
    <s v="定額法"/>
    <s v="117高田馬場第4玉川ビル"/>
    <s v="20210115"/>
    <s v="15"/>
    <n v="2"/>
    <n v="13"/>
    <n v="577426"/>
    <n v="538739"/>
    <n v="38687"/>
    <n v="500052"/>
    <x v="1"/>
    <s v="203号室 CAPEX工事"/>
  </r>
  <r>
    <n v="117"/>
    <x v="14"/>
    <n v="407"/>
    <s v="コアプラス福岡株式会社"/>
    <x v="2"/>
    <s v="定額法"/>
    <s v="117高田馬場第4玉川ビル"/>
    <s v="20210315"/>
    <s v="15"/>
    <n v="2"/>
    <n v="13"/>
    <n v="419912"/>
    <n v="396467"/>
    <n v="28134"/>
    <n v="368333"/>
    <x v="1"/>
    <s v="201号室 CAPEX工事"/>
  </r>
  <r>
    <n v="117"/>
    <x v="14"/>
    <n v="407"/>
    <s v="コアプラス福岡株式会社"/>
    <x v="2"/>
    <s v="定額法"/>
    <s v="117高田馬場第4玉川ビル"/>
    <s v="20211205"/>
    <s v="15"/>
    <n v="2"/>
    <n v="13"/>
    <n v="758872"/>
    <n v="754635"/>
    <n v="50844"/>
    <n v="703791"/>
    <x v="1"/>
    <s v="302号室 CAPEX工事"/>
  </r>
  <r>
    <n v="120"/>
    <x v="15"/>
    <n v="408"/>
    <s v="コアプラス京都株式会社"/>
    <x v="0"/>
    <s v="定額法"/>
    <s v="120南池袋マンション"/>
    <s v="20180109"/>
    <s v="24"/>
    <n v="5"/>
    <n v="19"/>
    <n v="33588101"/>
    <n v="27945301"/>
    <n v="1410700"/>
    <n v="26534601"/>
    <x v="0"/>
    <s v="鉄筋ｺﾝｸﾘｰﾄ造 共同住宅"/>
  </r>
  <r>
    <n v="120"/>
    <x v="15"/>
    <n v="408"/>
    <s v="コアプラス京都株式会社"/>
    <x v="1"/>
    <s v="非償却"/>
    <s v="120南池袋マンション"/>
    <s v="20180109"/>
    <s v=""/>
    <n v="5"/>
    <s v=""/>
    <n v="120828203"/>
    <n v="120828203"/>
    <m/>
    <n v="120828203"/>
    <x v="0"/>
    <m/>
  </r>
  <r>
    <n v="120"/>
    <x v="15"/>
    <n v="408"/>
    <s v="コアプラス京都株式会社"/>
    <x v="2"/>
    <s v="定額法"/>
    <s v="120南池袋マンション"/>
    <s v="20180401"/>
    <s v="15"/>
    <n v="5"/>
    <n v="10"/>
    <n v="3390000"/>
    <n v="2538263"/>
    <n v="227130"/>
    <n v="2311133"/>
    <x v="2"/>
    <s v="CAPEX工事 その他改修工事"/>
  </r>
  <r>
    <n v="221"/>
    <x v="16"/>
    <n v="408"/>
    <s v="コアプラス京都株式会社"/>
    <x v="0"/>
    <s v="定額法"/>
    <s v="221ビジネス新大阪123号"/>
    <s v="20210121"/>
    <s v="12"/>
    <n v="2"/>
    <n v="10"/>
    <n v="3025337"/>
    <n v="2771209"/>
    <n v="254128"/>
    <n v="2517081"/>
    <x v="0"/>
    <s v="鉄筋鉄骨ｺﾝｸﾘｰﾄ造 "/>
  </r>
  <r>
    <n v="221"/>
    <x v="16"/>
    <n v="408"/>
    <s v="コアプラス京都株式会社"/>
    <x v="1"/>
    <s v="非償却"/>
    <s v="221ビジネス新大阪123号"/>
    <s v="20210121"/>
    <s v=""/>
    <n v="2"/>
    <s v=""/>
    <n v="2475275"/>
    <n v="2475275"/>
    <m/>
    <n v="2475275"/>
    <x v="0"/>
    <s v=" "/>
  </r>
  <r>
    <n v="221"/>
    <x v="16"/>
    <n v="408"/>
    <s v="コアプラス京都株式会社"/>
    <x v="0"/>
    <s v="定額法"/>
    <s v="221ビジネス新大阪123号"/>
    <s v="20210721"/>
    <s v="12"/>
    <n v="2"/>
    <n v="10"/>
    <n v="27300"/>
    <n v="26154"/>
    <n v="2293"/>
    <n v="23861"/>
    <x v="0"/>
    <s v="不動産取得税 "/>
  </r>
  <r>
    <n v="221"/>
    <x v="16"/>
    <n v="408"/>
    <s v="コアプラス京都株式会社"/>
    <x v="1"/>
    <s v="非償却"/>
    <s v="221ビジネス新大阪123号"/>
    <s v="20210721"/>
    <s v=""/>
    <n v="2"/>
    <s v=""/>
    <n v="13300"/>
    <n v="13300"/>
    <m/>
    <n v="13300"/>
    <x v="0"/>
    <s v="不動産取得税 "/>
  </r>
  <r>
    <n v="222"/>
    <x v="17"/>
    <n v="401"/>
    <s v="コアプラス東京株式会社"/>
    <x v="0"/>
    <s v="定額法"/>
    <s v="222プラウD目白301号室101号室"/>
    <s v="20210311"/>
    <s v="27"/>
    <n v="2"/>
    <n v="25"/>
    <n v="19286259"/>
    <n v="18675528"/>
    <n v="732877"/>
    <n v="17942651"/>
    <x v="0"/>
    <s v="鉄筋ｺﾝｸﾘｰﾄ"/>
  </r>
  <r>
    <n v="222"/>
    <x v="17"/>
    <n v="401"/>
    <s v="コアプラス東京株式会社"/>
    <x v="1"/>
    <s v="非償却"/>
    <s v="222プラウD目白301号室101号室"/>
    <s v="20210311"/>
    <s v=""/>
    <n v="2"/>
    <s v=""/>
    <n v="57130988"/>
    <n v="57130988"/>
    <m/>
    <n v="57130988"/>
    <x v="0"/>
    <m/>
  </r>
  <r>
    <n v="222"/>
    <x v="17"/>
    <n v="401"/>
    <s v="コアプラス東京株式会社"/>
    <x v="0"/>
    <s v="定額法"/>
    <s v="222プラウD目白301号室101号室"/>
    <s v="20211031"/>
    <s v="27"/>
    <n v="2"/>
    <n v="25"/>
    <n v="10501105"/>
    <n v="10401345"/>
    <n v="399041"/>
    <n v="10002304"/>
    <x v="1"/>
    <s v="ﾘﾌｫｰﾑ工事 "/>
  </r>
  <r>
    <n v="222"/>
    <x v="17"/>
    <n v="401"/>
    <s v="コアプラス東京株式会社"/>
    <x v="2"/>
    <s v="定額法"/>
    <s v="222プラウD目白301号室101号室"/>
    <s v="20211031"/>
    <s v="15"/>
    <n v="2"/>
    <n v="13"/>
    <n v="8567856"/>
    <n v="8424345"/>
    <n v="574046"/>
    <n v="7850299"/>
    <x v="1"/>
    <s v="ﾘﾌｫｰﾑ工事 "/>
  </r>
  <r>
    <n v="999"/>
    <x v="18"/>
    <n v="401"/>
    <s v="コアプラス東京株式会社"/>
    <x v="3"/>
    <s v="定率法"/>
    <s v="999賃貸資産以外の償却生産性Ａ類型"/>
    <s v="20150716"/>
    <s v="5"/>
    <n v="8"/>
    <n v="-3"/>
    <n v="555556"/>
    <n v="1"/>
    <m/>
    <n v="1"/>
    <x v="0"/>
    <m/>
  </r>
  <r>
    <n v="999"/>
    <x v="18"/>
    <n v="401"/>
    <s v="コアプラス東京株式会社"/>
    <x v="3"/>
    <s v="定額法"/>
    <s v="999賃貸資産以外の償却"/>
    <s v="20190925"/>
    <s v="5"/>
    <n v="4"/>
    <n v="1"/>
    <n v="442600"/>
    <n v="236054"/>
    <n v="88520"/>
    <n v="147534"/>
    <x v="0"/>
    <s v="PC、サーバー"/>
  </r>
  <r>
    <n v="999"/>
    <x v="18"/>
    <n v="401"/>
    <s v="コアプラス東京株式会社"/>
    <x v="3"/>
    <s v="少額資産"/>
    <s v="999賃貸資産以外の償却"/>
    <s v="20191001"/>
    <s v="4"/>
    <n v="4"/>
    <n v="0"/>
    <n v="207300"/>
    <m/>
    <m/>
    <m/>
    <x v="0"/>
    <s v="PC、サーバー"/>
  </r>
  <r>
    <n v="999"/>
    <x v="18"/>
    <n v="401"/>
    <s v="コアプラス東京株式会社"/>
    <x v="3"/>
    <s v="少額資産"/>
    <s v="999賃貸資産以外の償却"/>
    <s v="20191001"/>
    <s v="4"/>
    <n v="4"/>
    <n v="0"/>
    <n v="102410"/>
    <m/>
    <m/>
    <m/>
    <x v="0"/>
    <s v="PC、サーバー"/>
  </r>
  <r>
    <n v="999"/>
    <x v="18"/>
    <n v="401"/>
    <s v="コアプラス東京株式会社"/>
    <x v="3"/>
    <s v="少額資産"/>
    <s v="999賃貸資産以外の償却"/>
    <s v="20200418"/>
    <s v="4"/>
    <n v="3"/>
    <n v="1"/>
    <n v="233787"/>
    <m/>
    <m/>
    <m/>
    <x v="0"/>
    <s v="家具"/>
  </r>
  <r>
    <n v="999"/>
    <x v="18"/>
    <n v="401"/>
    <s v="コアプラス東京株式会社"/>
    <x v="3"/>
    <s v="少額資産"/>
    <s v="999賃貸資産以外の償却"/>
    <s v="20200601"/>
    <s v="4"/>
    <n v="3"/>
    <n v="1"/>
    <n v="220700"/>
    <m/>
    <m/>
    <m/>
    <x v="0"/>
    <s v="家具"/>
  </r>
  <r>
    <n v="999"/>
    <x v="18"/>
    <n v="401"/>
    <s v="コアプラス東京株式会社"/>
    <x v="3"/>
    <s v="一括決算"/>
    <s v="999賃貸資産以外の償却"/>
    <s v="20200828"/>
    <s v=""/>
    <n v="3"/>
    <s v=""/>
    <n v="108431"/>
    <m/>
    <n v="36144"/>
    <m/>
    <x v="0"/>
    <s v="PC、サーバー"/>
  </r>
  <r>
    <n v="999"/>
    <x v="18"/>
    <n v="401"/>
    <s v="コアプラス東京株式会社"/>
    <x v="3"/>
    <s v="少額資産"/>
    <s v="999賃貸資産以外の償却"/>
    <s v="20210102"/>
    <s v="5"/>
    <n v="2"/>
    <n v="3"/>
    <n v="241980"/>
    <m/>
    <m/>
    <m/>
    <x v="0"/>
    <s v="PC、サーバー"/>
  </r>
  <r>
    <n v="999"/>
    <x v="18"/>
    <n v="401"/>
    <s v="コアプラス東京株式会社"/>
    <x v="3"/>
    <s v="少額資産"/>
    <s v="999賃貸資産以外の償却"/>
    <s v="20210213"/>
    <s v="5"/>
    <n v="2"/>
    <n v="3"/>
    <n v="137706"/>
    <m/>
    <m/>
    <m/>
    <x v="0"/>
    <s v="家具"/>
  </r>
  <r>
    <n v="999"/>
    <x v="18"/>
    <n v="401"/>
    <s v="コアプラス東京株式会社"/>
    <x v="3"/>
    <s v="少額資産"/>
    <s v="999賃貸資産以外の償却"/>
    <s v="20210221"/>
    <s v="4"/>
    <n v="2"/>
    <n v="2"/>
    <n v="107128"/>
    <m/>
    <m/>
    <m/>
    <x v="0"/>
    <s v="家具"/>
  </r>
  <r>
    <n v="999"/>
    <x v="18"/>
    <n v="401"/>
    <s v="コアプラス東京株式会社"/>
    <x v="3"/>
    <s v="少額資産"/>
    <s v="999賃貸資産以外の償却"/>
    <s v="20210225"/>
    <s v="4"/>
    <n v="2"/>
    <n v="2"/>
    <n v="113520"/>
    <m/>
    <m/>
    <m/>
    <x v="0"/>
    <s v="家具"/>
  </r>
  <r>
    <n v="999"/>
    <x v="18"/>
    <n v="401"/>
    <s v="コアプラス東京株式会社"/>
    <x v="3"/>
    <s v="少額資産"/>
    <s v="999賃貸資産以外の償却"/>
    <s v="20210601"/>
    <s v="4"/>
    <n v="2"/>
    <n v="2"/>
    <n v="269546"/>
    <m/>
    <m/>
    <m/>
    <x v="0"/>
    <s v="家具"/>
  </r>
  <r>
    <n v="999"/>
    <x v="18"/>
    <n v="401"/>
    <s v="コアプラス東京株式会社"/>
    <x v="3"/>
    <s v="少額資産"/>
    <s v="999賃貸資産以外の償却"/>
    <s v="20210604"/>
    <s v="4"/>
    <n v="2"/>
    <n v="2"/>
    <n v="223264"/>
    <m/>
    <m/>
    <m/>
    <x v="0"/>
    <s v="家具"/>
  </r>
  <r>
    <n v="999"/>
    <x v="18"/>
    <n v="401"/>
    <s v="コアプラス東京株式会社"/>
    <x v="3"/>
    <s v="少額資産"/>
    <s v="999賃貸資産以外の償却"/>
    <s v="20210623"/>
    <s v="4"/>
    <n v="2"/>
    <n v="2"/>
    <n v="144600"/>
    <m/>
    <m/>
    <m/>
    <x v="0"/>
    <s v="PC、サーバー"/>
  </r>
  <r>
    <n v="999"/>
    <x v="18"/>
    <n v="401"/>
    <s v="コアプラス東京株式会社"/>
    <x v="3"/>
    <s v="少額資産"/>
    <s v="999賃貸資産以外の償却"/>
    <s v="20210626"/>
    <s v="4"/>
    <n v="2"/>
    <n v="2"/>
    <n v="152164"/>
    <m/>
    <m/>
    <m/>
    <x v="0"/>
    <s v="PC、サーバー"/>
  </r>
  <r>
    <n v="999"/>
    <x v="18"/>
    <n v="401"/>
    <s v="コアプラス東京株式会社"/>
    <x v="3"/>
    <s v="少額資産"/>
    <s v="999賃貸資産以外の償却"/>
    <s v="20210730"/>
    <s v="4"/>
    <n v="2"/>
    <n v="2"/>
    <n v="114200"/>
    <m/>
    <m/>
    <m/>
    <x v="0"/>
    <s v="PC、サーバー"/>
  </r>
  <r>
    <n v="999"/>
    <x v="18"/>
    <n v="401"/>
    <s v="コアプラス東京株式会社"/>
    <x v="3"/>
    <s v="少額資産"/>
    <s v="999賃貸資産以外の償却"/>
    <s v="20210807"/>
    <s v="4"/>
    <n v="2"/>
    <n v="2"/>
    <n v="114200"/>
    <m/>
    <m/>
    <m/>
    <x v="0"/>
    <s v="PC、サーバー"/>
  </r>
  <r>
    <n v="999"/>
    <x v="18"/>
    <n v="401"/>
    <s v="コアプラス東京株式会社"/>
    <x v="3"/>
    <s v="少額資産"/>
    <s v="999賃貸資産以外の償却"/>
    <s v="20211224"/>
    <s v="4"/>
    <n v="2"/>
    <n v="2"/>
    <n v="267346"/>
    <m/>
    <m/>
    <m/>
    <x v="0"/>
    <s v="PC、サーバー"/>
  </r>
  <r>
    <n v="121"/>
    <x v="19"/>
    <n v="408"/>
    <s v="コアプラス京都株式会社"/>
    <x v="0"/>
    <s v="定額法"/>
    <s v="121目白アパート1号館"/>
    <s v="20211224"/>
    <n v="15"/>
    <n v="2"/>
    <n v="13"/>
    <n v="51251000"/>
    <n v="51251000"/>
    <n v="2500000"/>
    <n v="48751000"/>
    <x v="3"/>
    <s v="仮入力"/>
  </r>
  <r>
    <n v="122"/>
    <x v="20"/>
    <n v="408"/>
    <s v="コアプラス京都株式会社"/>
    <x v="0"/>
    <s v="定額法"/>
    <s v="122目白アパート2号館"/>
    <s v="20211224"/>
    <n v="15"/>
    <n v="2"/>
    <n v="13"/>
    <n v="31236000"/>
    <n v="31236000"/>
    <n v="2000000"/>
    <n v="29236000"/>
    <x v="3"/>
    <s v="仮入力"/>
  </r>
  <r>
    <n v="121"/>
    <x v="19"/>
    <n v="408"/>
    <s v="コアプラス京都株式会社"/>
    <x v="1"/>
    <s v="定額法"/>
    <s v="121目白アパート1号館"/>
    <s v="20211224"/>
    <m/>
    <n v="2"/>
    <s v=""/>
    <n v="5112000"/>
    <n v="5112000"/>
    <n v="0"/>
    <n v="5112000"/>
    <x v="3"/>
    <s v="仮入力"/>
  </r>
  <r>
    <n v="122"/>
    <x v="20"/>
    <n v="408"/>
    <s v="コアプラス京都株式会社"/>
    <x v="1"/>
    <s v="定額法"/>
    <s v="122目白アパート2号館"/>
    <s v="20211224"/>
    <m/>
    <n v="2"/>
    <s v=""/>
    <n v="5241000"/>
    <n v="5241000"/>
    <n v="0"/>
    <n v="5241000"/>
    <x v="3"/>
    <s v="仮入力"/>
  </r>
  <r>
    <m/>
    <x v="21"/>
    <m/>
    <m/>
    <x v="5"/>
    <m/>
    <m/>
    <m/>
    <m/>
    <m/>
    <m/>
    <m/>
    <m/>
    <m/>
    <m/>
    <x v="4"/>
    <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n v="101"/>
    <x v="0"/>
    <n v="651"/>
    <x v="0"/>
    <s v="n/a"/>
    <n v="11830"/>
    <m/>
  </r>
  <r>
    <n v="101"/>
    <x v="0"/>
    <n v="652"/>
    <x v="1"/>
    <n v="1562"/>
    <n v="18744"/>
    <s v="公共料金（共用水道②）9-10月分"/>
  </r>
  <r>
    <n v="101"/>
    <x v="0"/>
    <n v="658"/>
    <x v="2"/>
    <n v="12047"/>
    <n v="144564"/>
    <s v="無料インターネット利用料（定額）"/>
  </r>
  <r>
    <n v="101"/>
    <x v="0"/>
    <n v="655"/>
    <x v="3"/>
    <n v="49720"/>
    <n v="596640"/>
    <s v="建物管理料（定額メンテナンス）"/>
  </r>
  <r>
    <n v="101"/>
    <x v="0"/>
    <n v="653"/>
    <x v="4"/>
    <n v="20991"/>
    <n v="251892"/>
    <s v="公共料金（共用電気-従量電灯）10月分"/>
  </r>
  <r>
    <n v="102"/>
    <x v="1"/>
    <n v="651"/>
    <x v="0"/>
    <s v="n/a"/>
    <n v="44050"/>
    <m/>
  </r>
  <r>
    <n v="102"/>
    <x v="1"/>
    <n v="652"/>
    <x v="1"/>
    <n v="1903"/>
    <n v="22836"/>
    <s v="公共料金（共用水道）9-10月分"/>
  </r>
  <r>
    <n v="102"/>
    <x v="1"/>
    <n v="652"/>
    <x v="1"/>
    <n v="1903"/>
    <n v="22836"/>
    <s v="公共料金（共用水道-ランドリー室）9-10月分"/>
  </r>
  <r>
    <n v="102"/>
    <x v="1"/>
    <n v="658"/>
    <x v="2"/>
    <n v="11000"/>
    <n v="132000"/>
    <s v="無料インターネット利用料（定額）"/>
  </r>
  <r>
    <n v="102"/>
    <x v="1"/>
    <n v="655"/>
    <x v="3"/>
    <n v="142340"/>
    <n v="1708080"/>
    <s v="建物管理料（定額メンテナンス）"/>
  </r>
  <r>
    <n v="102"/>
    <x v="1"/>
    <n v="653"/>
    <x v="4"/>
    <n v="31860"/>
    <n v="382320"/>
    <s v="公共料金（共用電気-従量電灯）10月分"/>
  </r>
  <r>
    <n v="102"/>
    <x v="1"/>
    <n v="654"/>
    <x v="5"/>
    <n v="22751"/>
    <n v="273012"/>
    <s v="公共料金（共用電気-低圧電力）10月分"/>
  </r>
  <r>
    <n v="103"/>
    <x v="2"/>
    <n v="651"/>
    <x v="0"/>
    <s v="n/a"/>
    <n v="19430"/>
    <m/>
  </r>
  <r>
    <n v="103"/>
    <x v="2"/>
    <n v="652"/>
    <x v="1"/>
    <n v="1562"/>
    <n v="18744"/>
    <s v="公共料金（共用水道）9-10月分"/>
  </r>
  <r>
    <n v="103"/>
    <x v="2"/>
    <n v="655"/>
    <x v="3"/>
    <n v="121440"/>
    <n v="1457280"/>
    <s v="建物管理料（定額メンテナンス）"/>
  </r>
  <r>
    <n v="103"/>
    <x v="2"/>
    <n v="653"/>
    <x v="4"/>
    <n v="12666"/>
    <n v="151992"/>
    <s v="公共料金（共用電気-従量電灯）10月分"/>
  </r>
  <r>
    <n v="103"/>
    <x v="2"/>
    <n v="654"/>
    <x v="5"/>
    <n v="23874"/>
    <n v="286488"/>
    <s v="公共料金（共用電気-低圧電力）10月分"/>
  </r>
  <r>
    <n v="104"/>
    <x v="3"/>
    <n v="651"/>
    <x v="0"/>
    <s v="n/a"/>
    <n v="6600"/>
    <m/>
  </r>
  <r>
    <n v="104"/>
    <x v="3"/>
    <n v="652"/>
    <x v="1"/>
    <n v="1903"/>
    <n v="22836"/>
    <s v="公共料金（共用水道）9-10月分"/>
  </r>
  <r>
    <n v="104"/>
    <x v="3"/>
    <n v="655"/>
    <x v="3"/>
    <n v="31350"/>
    <n v="376200"/>
    <s v="建物管理料（定額メンテナンス）"/>
  </r>
  <r>
    <n v="104"/>
    <x v="3"/>
    <n v="653"/>
    <x v="4"/>
    <n v="1031"/>
    <n v="12372"/>
    <s v="公共料金（共用電気-従量電灯）10月分"/>
  </r>
  <r>
    <n v="105"/>
    <x v="4"/>
    <n v="651"/>
    <x v="0"/>
    <s v="n/a"/>
    <n v="20710"/>
    <m/>
  </r>
  <r>
    <n v="105"/>
    <x v="4"/>
    <n v="652"/>
    <x v="1"/>
    <n v="1903"/>
    <n v="22836"/>
    <s v="公共料金（共用水道）9-10月分"/>
  </r>
  <r>
    <n v="105"/>
    <x v="4"/>
    <n v="655"/>
    <x v="3"/>
    <n v="96470"/>
    <n v="1157640"/>
    <s v="建物管理料（定額メンテナンス）"/>
  </r>
  <r>
    <n v="105"/>
    <x v="4"/>
    <n v="653"/>
    <x v="4"/>
    <n v="18092"/>
    <n v="217104"/>
    <s v="公共料金（共用電気-従量電灯）10月分"/>
  </r>
  <r>
    <n v="105"/>
    <x v="4"/>
    <n v="654"/>
    <x v="5"/>
    <n v="13524"/>
    <n v="162288"/>
    <s v="公共料金（共用電気-低圧電力）10月分"/>
  </r>
  <r>
    <n v="106"/>
    <x v="5"/>
    <n v="651"/>
    <x v="0"/>
    <s v="n/a"/>
    <n v="45780"/>
    <m/>
  </r>
  <r>
    <n v="106"/>
    <x v="5"/>
    <n v="652"/>
    <x v="1"/>
    <n v="1562"/>
    <n v="18744"/>
    <s v="公共料金（共用水道）10-11月分"/>
  </r>
  <r>
    <n v="106"/>
    <x v="5"/>
    <n v="655"/>
    <x v="3"/>
    <n v="150150"/>
    <n v="1801800"/>
    <s v="建物管理料（定額メンテナンス）"/>
  </r>
  <r>
    <n v="106"/>
    <x v="5"/>
    <n v="653"/>
    <x v="4"/>
    <n v="23134"/>
    <n v="277608"/>
    <s v="公共料金（共用電気-従量電灯）10月分"/>
  </r>
  <r>
    <n v="106"/>
    <x v="5"/>
    <n v="654"/>
    <x v="5"/>
    <n v="13723"/>
    <n v="164676"/>
    <s v="公共料金（共用電気-低圧電力）10月分"/>
  </r>
  <r>
    <n v="107"/>
    <x v="6"/>
    <n v="651"/>
    <x v="0"/>
    <s v="n/a"/>
    <n v="20610"/>
    <m/>
  </r>
  <r>
    <n v="107"/>
    <x v="6"/>
    <n v="652"/>
    <x v="1"/>
    <n v="1903"/>
    <n v="22836"/>
    <s v="公共料金（共用水道）9-10月分"/>
  </r>
  <r>
    <n v="107"/>
    <x v="6"/>
    <n v="655"/>
    <x v="3"/>
    <n v="72490"/>
    <n v="869880"/>
    <s v="建物管理料（定額メンテナンス）"/>
  </r>
  <r>
    <n v="107"/>
    <x v="6"/>
    <n v="653"/>
    <x v="4"/>
    <n v="4341"/>
    <n v="52092"/>
    <s v="公共料金（共用電気-従量電灯）10月分"/>
  </r>
  <r>
    <n v="107"/>
    <x v="6"/>
    <n v="654"/>
    <x v="5"/>
    <n v="8976"/>
    <n v="107712"/>
    <s v="公共料金（共用電気-低圧電力）10月分"/>
  </r>
  <r>
    <n v="109"/>
    <x v="7"/>
    <n v="651"/>
    <x v="0"/>
    <s v="n/a"/>
    <n v="12950"/>
    <m/>
  </r>
  <r>
    <n v="109"/>
    <x v="7"/>
    <n v="655"/>
    <x v="3"/>
    <n v="32890"/>
    <n v="394680"/>
    <s v="建物管理料（定額メンテナンス）"/>
  </r>
  <r>
    <n v="109"/>
    <x v="7"/>
    <n v="653"/>
    <x v="4"/>
    <n v="17563"/>
    <n v="210756"/>
    <s v="公共料金（共用電気-従量電灯）10月分"/>
  </r>
  <r>
    <n v="109"/>
    <x v="7"/>
    <n v="654"/>
    <x v="5"/>
    <n v="7040"/>
    <n v="84480"/>
    <s v="公共料金（共用電気-低圧電力）10月分"/>
  </r>
  <r>
    <n v="111"/>
    <x v="8"/>
    <n v="651"/>
    <x v="0"/>
    <s v="n/a"/>
    <n v="19920"/>
    <m/>
  </r>
  <r>
    <n v="111"/>
    <x v="8"/>
    <n v="652"/>
    <x v="1"/>
    <n v="1562"/>
    <n v="18744"/>
    <s v="公共料金（共用水道）9-10月分"/>
  </r>
  <r>
    <n v="111"/>
    <x v="8"/>
    <n v="655"/>
    <x v="3"/>
    <n v="69850"/>
    <n v="838200"/>
    <s v="建物管理料（定額メンテナンス）"/>
  </r>
  <r>
    <n v="111"/>
    <x v="8"/>
    <n v="653"/>
    <x v="4"/>
    <n v="11357"/>
    <n v="136284"/>
    <s v="公共料金（共用電気-従量電灯）10月分"/>
  </r>
  <r>
    <n v="111"/>
    <x v="8"/>
    <n v="654"/>
    <x v="5"/>
    <n v="20490"/>
    <n v="245880"/>
    <s v="公共料金（共用電気-低圧電力）10月分"/>
  </r>
  <r>
    <n v="112"/>
    <x v="9"/>
    <n v="651"/>
    <x v="0"/>
    <s v="n/a"/>
    <n v="10340"/>
    <m/>
  </r>
  <r>
    <n v="112"/>
    <x v="9"/>
    <n v="655"/>
    <x v="3"/>
    <n v="54952"/>
    <n v="659419"/>
    <s v="建物管理料（定額メンテナンス）"/>
  </r>
  <r>
    <n v="113"/>
    <x v="10"/>
    <n v="651"/>
    <x v="0"/>
    <s v="n/a"/>
    <n v="51350"/>
    <m/>
  </r>
  <r>
    <n v="113"/>
    <x v="10"/>
    <n v="652"/>
    <x v="1"/>
    <n v="1903"/>
    <n v="22836"/>
    <s v="公共料金（共用水道①）9-10月分"/>
  </r>
  <r>
    <n v="113"/>
    <x v="10"/>
    <n v="652"/>
    <x v="1"/>
    <n v="1903"/>
    <n v="22836"/>
    <s v="公共料金（共用水道②）9-10月分"/>
  </r>
  <r>
    <n v="113"/>
    <x v="10"/>
    <n v="655"/>
    <x v="3"/>
    <n v="70730"/>
    <n v="848760"/>
    <s v="建物管理料（定額メンテナンス）"/>
  </r>
  <r>
    <n v="113"/>
    <x v="10"/>
    <n v="653"/>
    <x v="4"/>
    <n v="7643"/>
    <n v="91716"/>
    <s v="公共料金（共用電気-従量電灯）10月分"/>
  </r>
  <r>
    <n v="113"/>
    <x v="10"/>
    <n v="654"/>
    <x v="5"/>
    <n v="23543"/>
    <n v="282516"/>
    <s v="公共料金（共用電気-低圧電力）10月分"/>
  </r>
  <r>
    <n v="114"/>
    <x v="11"/>
    <n v="651"/>
    <x v="0"/>
    <s v="n/a"/>
    <n v="7710"/>
    <m/>
  </r>
  <r>
    <n v="114"/>
    <x v="11"/>
    <n v="655"/>
    <x v="3"/>
    <n v="33770"/>
    <n v="405240"/>
    <s v="建物管理料（定額メンテナンス）"/>
  </r>
  <r>
    <n v="114"/>
    <x v="11"/>
    <n v="653"/>
    <x v="4"/>
    <n v="3252"/>
    <n v="39024"/>
    <s v="公共料金（共用電気-従量電灯）10月分"/>
  </r>
  <r>
    <n v="114"/>
    <x v="11"/>
    <n v="654"/>
    <x v="5"/>
    <n v="3916"/>
    <n v="46992"/>
    <s v="公共料金（共用電気-低圧電力）10月分"/>
  </r>
  <r>
    <n v="115"/>
    <x v="12"/>
    <n v="651"/>
    <x v="0"/>
    <s v="n/a"/>
    <n v="34430"/>
    <m/>
  </r>
  <r>
    <n v="115"/>
    <x v="12"/>
    <n v="652"/>
    <x v="1"/>
    <n v="1903"/>
    <n v="22836"/>
    <s v="公共料金（共用水道①）9-10月分"/>
  </r>
  <r>
    <n v="115"/>
    <x v="12"/>
    <n v="652"/>
    <x v="1"/>
    <n v="1903"/>
    <n v="22836"/>
    <s v="公共料金（共用水道②）9-10月分"/>
  </r>
  <r>
    <n v="115"/>
    <x v="12"/>
    <n v="655"/>
    <x v="3"/>
    <n v="108460"/>
    <n v="1301520"/>
    <s v="建物管理料（定額メンテナンス）"/>
  </r>
  <r>
    <n v="115"/>
    <x v="12"/>
    <n v="653"/>
    <x v="4"/>
    <n v="20057"/>
    <n v="240684"/>
    <s v="公共料金（共用電気-従量電灯）10月分"/>
  </r>
  <r>
    <n v="115"/>
    <x v="12"/>
    <n v="654"/>
    <x v="5"/>
    <n v="24595"/>
    <n v="295140"/>
    <s v="公共料金（共用電気-低圧電力）10月分"/>
  </r>
  <r>
    <n v="116"/>
    <x v="13"/>
    <n v="651"/>
    <x v="0"/>
    <s v="n/a"/>
    <n v="20620"/>
    <m/>
  </r>
  <r>
    <n v="116"/>
    <x v="13"/>
    <n v="652"/>
    <x v="1"/>
    <n v="1903"/>
    <n v="22836"/>
    <s v="公共料金（共用水道）9-10月分"/>
  </r>
  <r>
    <n v="116"/>
    <x v="13"/>
    <n v="658"/>
    <x v="2"/>
    <n v="11000"/>
    <n v="132000"/>
    <s v="無料インターネット利用料（定額）"/>
  </r>
  <r>
    <n v="116"/>
    <x v="13"/>
    <n v="655"/>
    <x v="3"/>
    <n v="96690"/>
    <n v="1160280"/>
    <s v="建物管理料（定額メンテナンス）"/>
  </r>
  <r>
    <n v="116"/>
    <x v="13"/>
    <n v="653"/>
    <x v="4"/>
    <n v="8484"/>
    <n v="101808"/>
    <s v="公共料金（共用電気-従量電灯）10月分"/>
  </r>
  <r>
    <n v="116"/>
    <x v="13"/>
    <n v="654"/>
    <x v="5"/>
    <n v="21625"/>
    <n v="259500"/>
    <s v="公共料金（共用電気-低圧電力）10月分"/>
  </r>
  <r>
    <n v="117"/>
    <x v="14"/>
    <n v="651"/>
    <x v="0"/>
    <s v="n/a"/>
    <n v="21200"/>
    <m/>
  </r>
  <r>
    <n v="117"/>
    <x v="14"/>
    <n v="655"/>
    <x v="3"/>
    <n v="19250"/>
    <n v="231000"/>
    <s v="建物管理料（定額メンテナンス）"/>
  </r>
  <r>
    <n v="117"/>
    <x v="14"/>
    <n v="653"/>
    <x v="4"/>
    <n v="763"/>
    <n v="9156"/>
    <s v="公共料金（共用電気-従量電灯）10月分"/>
  </r>
  <r>
    <n v="117"/>
    <x v="14"/>
    <n v="659"/>
    <x v="6"/>
    <n v="50000"/>
    <n v="600000"/>
    <s v="水道代の立て替え払い"/>
  </r>
  <r>
    <n v="117"/>
    <x v="14"/>
    <n v="659"/>
    <x v="6"/>
    <n v="-50500"/>
    <n v="-606000"/>
    <s v="水道代の立て替え払い立替に対応する回収額。差額は差損益"/>
  </r>
  <r>
    <n v="120"/>
    <x v="15"/>
    <n v="651"/>
    <x v="0"/>
    <s v="n/a"/>
    <n v="13630"/>
    <m/>
  </r>
  <r>
    <n v="120"/>
    <x v="15"/>
    <n v="652"/>
    <x v="1"/>
    <n v="1562"/>
    <n v="18744"/>
    <s v="公共料金（共用水道）9-10月分"/>
  </r>
  <r>
    <n v="120"/>
    <x v="15"/>
    <n v="658"/>
    <x v="2"/>
    <n v="1320"/>
    <n v="15840"/>
    <s v="CATV利用料（イッツコム）"/>
  </r>
  <r>
    <n v="120"/>
    <x v="15"/>
    <n v="655"/>
    <x v="3"/>
    <n v="25300"/>
    <n v="303600"/>
    <s v="建物管理料（定額メンテナンス）"/>
  </r>
  <r>
    <n v="120"/>
    <x v="15"/>
    <n v="653"/>
    <x v="4"/>
    <n v="10126"/>
    <n v="121512"/>
    <s v="公共料金（共用電気-従量電灯）10月分"/>
  </r>
  <r>
    <n v="120"/>
    <x v="15"/>
    <n v="654"/>
    <x v="5"/>
    <n v="3642"/>
    <n v="43704"/>
    <s v="公共料金（共用電気-低圧電力）10月分"/>
  </r>
  <r>
    <n v="221"/>
    <x v="16"/>
    <n v="651"/>
    <x v="0"/>
    <s v="n/a"/>
    <n v="2060"/>
    <m/>
  </r>
  <r>
    <n v="221"/>
    <x v="16"/>
    <n v="656"/>
    <x v="7"/>
    <n v="4050"/>
    <n v="48600"/>
    <m/>
  </r>
  <r>
    <n v="221"/>
    <x v="16"/>
    <n v="657"/>
    <x v="8"/>
    <n v="1350"/>
    <n v="16200"/>
    <m/>
  </r>
  <r>
    <n v="222"/>
    <x v="17"/>
    <n v="651"/>
    <x v="0"/>
    <s v="n/a"/>
    <n v="7360"/>
    <m/>
  </r>
  <r>
    <n v="222"/>
    <x v="17"/>
    <n v="656"/>
    <x v="7"/>
    <n v="13600"/>
    <n v="163200"/>
    <m/>
  </r>
  <r>
    <n v="222"/>
    <x v="17"/>
    <n v="657"/>
    <x v="8"/>
    <n v="14500"/>
    <n v="174000"/>
    <m/>
  </r>
  <r>
    <n v="121"/>
    <x v="18"/>
    <n v="655"/>
    <x v="3"/>
    <n v="20000"/>
    <n v="240000"/>
    <m/>
  </r>
  <r>
    <n v="122"/>
    <x v="19"/>
    <n v="655"/>
    <x v="3"/>
    <n v="20000"/>
    <n v="240000"/>
    <m/>
  </r>
  <r>
    <m/>
    <x v="20"/>
    <m/>
    <x v="9"/>
    <m/>
    <m/>
    <m/>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
  <r>
    <n v="801"/>
    <s v="返済中"/>
    <n v="502"/>
    <x v="0"/>
    <s v="大阪支店"/>
    <n v="402"/>
    <s v="コアプラス名古屋株式会社"/>
    <n v="601"/>
    <x v="0"/>
    <n v="102"/>
    <s v="池袋ハウス"/>
    <n v="102"/>
    <s v="池袋ハウス"/>
    <n v="550000000"/>
    <d v="2013-02-15T00:00:00"/>
    <n v="1.65"/>
    <s v="信金基準金利+1.00%"/>
    <n v="35"/>
    <n v="35"/>
    <s v="元利均等"/>
    <d v="2022-09-20T00:00:00"/>
    <n v="1050252"/>
    <n v="674466"/>
    <n v="1724718"/>
    <n v="489470974"/>
    <n v="0.88994722545454541"/>
    <n v="25"/>
    <m/>
    <m/>
    <m/>
    <m/>
    <s v="なし"/>
    <m/>
    <s v="なし"/>
    <m/>
    <s v="なし"/>
    <m/>
    <s v="なし"/>
    <m/>
    <m/>
    <d v="2013-02-15T00:00:00"/>
    <d v="2013-02-15T00:00:00"/>
  </r>
  <r>
    <n v="802"/>
    <s v="返済中"/>
    <n v="503"/>
    <x v="1"/>
    <s v="沖縄支店"/>
    <n v="404"/>
    <s v="コアプラス大阪株式会社"/>
    <n v="601"/>
    <x v="0"/>
    <n v="104"/>
    <s v="コアプラス池袋"/>
    <n v="104"/>
    <s v="コアプラス池袋"/>
    <n v="85000000"/>
    <d v="2014-02-20T00:00:00"/>
    <n v="1"/>
    <s v="信金基準金利+1.00%"/>
    <n v="25"/>
    <n v="25"/>
    <s v="元利均等"/>
    <d v="2022-09-20T00:00:00"/>
    <n v="273127"/>
    <n v="48972"/>
    <n v="322099"/>
    <n v="58496261"/>
    <n v="0.68819130588235289"/>
    <n v="16"/>
    <m/>
    <m/>
    <m/>
    <m/>
    <s v="なし"/>
    <m/>
    <s v="なし"/>
    <m/>
    <s v="なし"/>
    <m/>
    <s v="なし"/>
    <m/>
    <m/>
    <d v="2014-02-20T00:00:00"/>
    <d v="2014-02-20T00:00:00"/>
  </r>
  <r>
    <n v="803"/>
    <s v="返済中"/>
    <n v="504"/>
    <x v="2"/>
    <s v="池袋支店"/>
    <n v="405"/>
    <s v="コアプラス仙台株式会社"/>
    <n v="601"/>
    <x v="0"/>
    <n v="105"/>
    <s v="目白アパート"/>
    <n v="105"/>
    <s v="目白アパート"/>
    <n v="265000000"/>
    <d v="2014-09-12T00:00:00"/>
    <n v="1"/>
    <s v="信金基準金利+1.00%"/>
    <n v="25"/>
    <n v="25"/>
    <s v="元利均等"/>
    <d v="2022-09-20T00:00:00"/>
    <n v="845627"/>
    <n v="156620"/>
    <n v="1002247"/>
    <n v="187106609"/>
    <n v="0.7060626754716981"/>
    <n v="16"/>
    <m/>
    <m/>
    <m/>
    <m/>
    <s v="なし"/>
    <m/>
    <s v="なし"/>
    <m/>
    <s v="なし"/>
    <m/>
    <s v="なし"/>
    <m/>
    <m/>
    <d v="2014-09-12T00:00:00"/>
    <d v="2014-09-12T00:00:00"/>
  </r>
  <r>
    <n v="804"/>
    <s v="返済中"/>
    <n v="505"/>
    <x v="3"/>
    <s v="目白支店"/>
    <n v="404"/>
    <s v="コアプラス大阪株式会社"/>
    <n v="601"/>
    <x v="0"/>
    <n v="104"/>
    <s v="コアプラス池袋"/>
    <n v="104"/>
    <s v="コアプラス池袋"/>
    <n v="17000000"/>
    <d v="2014-11-05T00:00:00"/>
    <n v="1"/>
    <s v="信金基準金利+1.00%"/>
    <n v="25"/>
    <n v="25"/>
    <s v="元利均等"/>
    <d v="2022-09-20T00:00:00"/>
    <n v="55801"/>
    <n v="10004"/>
    <n v="65805"/>
    <n v="11950562"/>
    <n v="0.70297423529411762"/>
    <n v="16"/>
    <m/>
    <m/>
    <m/>
    <m/>
    <s v="なし"/>
    <m/>
    <s v="なし"/>
    <m/>
    <s v="なし"/>
    <m/>
    <s v="なし"/>
    <m/>
    <m/>
    <d v="2014-11-05T00:00:00"/>
    <d v="2014-11-05T00:00:00"/>
  </r>
  <r>
    <n v="805"/>
    <s v="返済中"/>
    <n v="506"/>
    <x v="4"/>
    <s v="高田馬場支店"/>
    <n v="406"/>
    <s v="コアプラス札幌株式会社"/>
    <n v="601"/>
    <x v="0"/>
    <n v="106"/>
    <s v="東池袋ハイツ"/>
    <n v="106"/>
    <s v="東池袋ハイツ"/>
    <n v="376000000"/>
    <d v="2014-12-01T00:00:00"/>
    <n v="1"/>
    <s v="3m TIBOR +1.00%"/>
    <n v="30"/>
    <n v="30"/>
    <s v="元利均等"/>
    <d v="2022-09-20T00:00:00"/>
    <n v="970634"/>
    <n v="241754"/>
    <n v="1212388"/>
    <n v="289146337"/>
    <n v="0.76900621542553194"/>
    <n v="21"/>
    <m/>
    <m/>
    <m/>
    <m/>
    <s v="なし"/>
    <m/>
    <s v="なし"/>
    <m/>
    <s v="なし"/>
    <m/>
    <s v="なし"/>
    <m/>
    <m/>
    <d v="2014-12-01T00:00:00"/>
    <d v="2014-12-01T00:00:00"/>
  </r>
  <r>
    <n v="806"/>
    <s v="返済中"/>
    <n v="507"/>
    <x v="5"/>
    <s v="東京支店"/>
    <n v="401"/>
    <s v="コアプラス東京株式会社"/>
    <n v="601"/>
    <x v="0"/>
    <n v="101"/>
    <s v="西池袋駅前ビル"/>
    <n v="101"/>
    <s v="西池袋駅前ビル"/>
    <n v="226000000"/>
    <d v="2015-06-01T00:00:00"/>
    <n v="1"/>
    <s v="信金基準金利+1.00%"/>
    <n v="25"/>
    <n v="25"/>
    <s v="元利均等"/>
    <d v="2022-09-30T00:00:00"/>
    <n v="712666"/>
    <n v="139065"/>
    <n v="851731"/>
    <n v="166166517"/>
    <n v="0.73525007522123897"/>
    <n v="17"/>
    <m/>
    <m/>
    <m/>
    <m/>
    <s v="なし"/>
    <m/>
    <s v="なし"/>
    <m/>
    <s v="なし"/>
    <m/>
    <s v="なし"/>
    <m/>
    <m/>
    <d v="2015-06-01T00:00:00"/>
    <d v="2015-06-01T00:00:00"/>
  </r>
  <r>
    <n v="807"/>
    <s v="返済中"/>
    <n v="508"/>
    <x v="6"/>
    <s v="大阪支店"/>
    <n v="404"/>
    <s v="コアプラス大阪株式会社"/>
    <n v="601"/>
    <x v="0"/>
    <n v="103"/>
    <s v="カーサ目白台ハウス"/>
    <n v="103"/>
    <s v="カーサ目白台ハウス"/>
    <n v="413500000"/>
    <d v="2015-07-15T00:00:00"/>
    <n v="1.1000000000000001"/>
    <s v="信金基準金利+1.00%"/>
    <n v="30"/>
    <n v="30"/>
    <s v="元利均等"/>
    <d v="2022-09-20T00:00:00"/>
    <n v="1049552"/>
    <n v="299492"/>
    <n v="1349044"/>
    <n v="325693047"/>
    <n v="0.78764944860943165"/>
    <n v="22"/>
    <m/>
    <m/>
    <m/>
    <m/>
    <s v="なし"/>
    <m/>
    <s v="なし"/>
    <m/>
    <s v="なし"/>
    <m/>
    <s v="なし"/>
    <m/>
    <m/>
    <d v="2015-07-15T00:00:00"/>
    <d v="2015-07-15T00:00:00"/>
  </r>
  <r>
    <n v="808"/>
    <s v="返済中"/>
    <n v="509"/>
    <x v="7"/>
    <s v="沖縄支店"/>
    <n v="407"/>
    <s v="コアプラス福岡株式会社"/>
    <n v="601"/>
    <x v="0"/>
    <n v="107"/>
    <s v="メゾン雑司ヶ谷"/>
    <n v="107"/>
    <s v="メゾン雑司ヶ谷"/>
    <n v="392000000"/>
    <d v="2015-10-15T00:00:00"/>
    <n v="1.2"/>
    <s v="信金基準金利+1.00%"/>
    <n v="30"/>
    <n v="30"/>
    <s v="元利均等"/>
    <d v="2022-09-30T00:00:00"/>
    <n v="982474"/>
    <n v="314688"/>
    <n v="1297162"/>
    <n v="313706389"/>
    <n v="0.80027140051020407"/>
    <n v="22"/>
    <m/>
    <m/>
    <m/>
    <m/>
    <s v="なし"/>
    <m/>
    <s v="なし"/>
    <m/>
    <s v="なし"/>
    <m/>
    <s v="なし"/>
    <m/>
    <m/>
    <d v="2015-10-15T00:00:00"/>
    <d v="2015-10-15T00:00:00"/>
  </r>
  <r>
    <n v="809"/>
    <s v="返済中"/>
    <n v="510"/>
    <x v="8"/>
    <s v="東京支店"/>
    <n v="409"/>
    <s v="コアプラス四国株式会社"/>
    <n v="601"/>
    <x v="0"/>
    <n v="109"/>
    <s v="カーサ南池袋"/>
    <n v="109"/>
    <s v="カーサ南池袋"/>
    <n v="180000000"/>
    <d v="2015-12-24T00:00:00"/>
    <n v="1.5"/>
    <s v="信金基準金利+1.00%"/>
    <n v="30"/>
    <n v="30"/>
    <s v="元利均等"/>
    <d v="2022-09-30T00:00:00"/>
    <n v="437860"/>
    <n v="183356"/>
    <n v="621216"/>
    <n v="146247653"/>
    <n v="0.81248696111111107"/>
    <n v="22"/>
    <m/>
    <m/>
    <m/>
    <m/>
    <s v="なし"/>
    <m/>
    <s v="なし"/>
    <m/>
    <s v="なし"/>
    <m/>
    <s v="なし"/>
    <m/>
    <m/>
    <d v="2015-12-24T00:00:00"/>
    <d v="2015-12-24T00:00:00"/>
  </r>
  <r>
    <n v="810"/>
    <s v="完済"/>
    <n v="511"/>
    <x v="9"/>
    <s v="大阪支店"/>
    <n v="410"/>
    <s v="コアプラス沖縄株式会社"/>
    <n v="601"/>
    <x v="0"/>
    <n v="110"/>
    <s v="仙台駅前コーポ"/>
    <n v="110"/>
    <s v="仙台駅前コーポ"/>
    <n v="250000000"/>
    <d v="2016-01-21T00:00:00"/>
    <n v="1.375"/>
    <s v="信金基準金利+1.00%"/>
    <n v="30"/>
    <n v="30"/>
    <s v="元利均等"/>
    <s v="完済"/>
    <m/>
    <m/>
    <m/>
    <m/>
    <n v="0"/>
    <n v="0"/>
    <m/>
    <m/>
    <m/>
    <m/>
    <s v="なし"/>
    <m/>
    <s v="なし"/>
    <m/>
    <s v="なし"/>
    <m/>
    <s v="なし"/>
    <m/>
    <m/>
    <d v="2016-01-21T00:00:00"/>
    <d v="2016-01-21T00:00:00"/>
  </r>
  <r>
    <n v="811"/>
    <s v="返済中"/>
    <n v="512"/>
    <x v="10"/>
    <s v="沖縄支店"/>
    <n v="401"/>
    <s v="コアプラス東京株式会社"/>
    <n v="601"/>
    <x v="0"/>
    <n v="111"/>
    <s v="目白カーサ二番館"/>
    <n v="111"/>
    <s v="目白カーサ二番館"/>
    <n v="280000000"/>
    <d v="2016-02-24T00:00:00"/>
    <n v="1.3"/>
    <s v="3m TIBOR +1.00%"/>
    <n v="30"/>
    <n v="30"/>
    <s v="元利均等"/>
    <d v="2022-09-20T00:00:00"/>
    <n v="692442"/>
    <n v="247247"/>
    <n v="939689"/>
    <n v="227542871"/>
    <n v="0.8126531107142857"/>
    <n v="23"/>
    <m/>
    <m/>
    <m/>
    <m/>
    <s v="なし"/>
    <m/>
    <s v="なし"/>
    <m/>
    <s v="なし"/>
    <m/>
    <s v="なし"/>
    <m/>
    <m/>
    <d v="2016-02-24T00:00:00"/>
    <d v="2016-02-24T00:00:00"/>
  </r>
  <r>
    <n v="812"/>
    <s v="返済中"/>
    <n v="501"/>
    <x v="11"/>
    <s v="池袋支店"/>
    <n v="402"/>
    <s v="コアプラス名古屋株式会社"/>
    <n v="601"/>
    <x v="0"/>
    <n v="112"/>
    <s v="豊島目白ビル"/>
    <n v="112"/>
    <s v="豊島目白ビル"/>
    <n v="450000000"/>
    <d v="2016-03-29T00:00:00"/>
    <n v="1.3"/>
    <s v="信金基準金利+1.00%"/>
    <n v="30"/>
    <n v="30"/>
    <s v="元利均等"/>
    <d v="2022-09-30T00:00:00"/>
    <n v="1111644"/>
    <n v="398578"/>
    <n v="1510222"/>
    <n v="366807279"/>
    <n v="0.81512728666666667"/>
    <n v="23"/>
    <m/>
    <m/>
    <m/>
    <m/>
    <s v="なし"/>
    <m/>
    <s v="なし"/>
    <m/>
    <s v="なし"/>
    <m/>
    <s v="なし"/>
    <m/>
    <m/>
    <d v="2016-03-29T00:00:00"/>
    <d v="2016-03-29T00:00:00"/>
  </r>
  <r>
    <n v="813"/>
    <s v="返済中"/>
    <n v="502"/>
    <x v="0"/>
    <s v="目白支店"/>
    <n v="404"/>
    <s v="コアプラス大阪株式会社"/>
    <n v="601"/>
    <x v="0"/>
    <n v="113"/>
    <s v="第3目白ハイツ"/>
    <n v="113"/>
    <s v="第3目白ハイツ"/>
    <n v="495000000"/>
    <d v="2016-06-30T00:00:00"/>
    <n v="1.375"/>
    <s v="信金基準金利+1.00%"/>
    <n v="30"/>
    <n v="30"/>
    <s v="元利均等"/>
    <d v="2022-09-30T00:00:00"/>
    <n v="1209934"/>
    <n v="468878"/>
    <n v="1678812"/>
    <n v="407992887"/>
    <n v="0.82422805454545456"/>
    <n v="23"/>
    <m/>
    <m/>
    <m/>
    <m/>
    <s v="なし"/>
    <m/>
    <s v="なし"/>
    <m/>
    <s v="なし"/>
    <m/>
    <s v="なし"/>
    <m/>
    <m/>
    <d v="2016-06-30T00:00:00"/>
    <d v="2016-06-30T00:00:00"/>
  </r>
  <r>
    <n v="814"/>
    <s v="返済中"/>
    <n v="503"/>
    <x v="1"/>
    <s v="高田馬場支店"/>
    <n v="404"/>
    <s v="コアプラス大阪株式会社"/>
    <n v="601"/>
    <x v="0"/>
    <n v="114"/>
    <s v="レジデンス目白豊島"/>
    <n v="114"/>
    <s v="レジデンス目白豊島"/>
    <n v="189000000"/>
    <d v="2016-08-30T00:00:00"/>
    <n v="1.3"/>
    <s v="信金基準金利+1.00%"/>
    <n v="40"/>
    <n v="40"/>
    <s v="元利均等"/>
    <d v="2022-09-20T00:00:00"/>
    <n v="324776"/>
    <n v="180387"/>
    <n v="505163"/>
    <n v="166191734"/>
    <n v="0.87932134391534389"/>
    <n v="33"/>
    <m/>
    <m/>
    <m/>
    <m/>
    <s v="なし"/>
    <m/>
    <s v="なし"/>
    <m/>
    <s v="なし"/>
    <m/>
    <s v="なし"/>
    <m/>
    <m/>
    <d v="2016-08-30T00:00:00"/>
    <d v="2016-08-30T00:00:00"/>
  </r>
  <r>
    <n v="815"/>
    <s v="返済中"/>
    <n v="504"/>
    <x v="2"/>
    <s v="東京支店"/>
    <n v="405"/>
    <s v="コアプラス仙台株式会社"/>
    <n v="601"/>
    <x v="0"/>
    <n v="115"/>
    <s v="コアプラス大塚"/>
    <n v="115"/>
    <s v="コアプラス大塚"/>
    <n v="530000000"/>
    <d v="2017-04-27T00:00:00"/>
    <n v="1.3"/>
    <s v="信金基準金利+1.00%"/>
    <n v="40"/>
    <n v="40"/>
    <s v="元利均等"/>
    <d v="2022-09-20T00:00:00"/>
    <n v="902892"/>
    <n v="513702"/>
    <n v="1416594"/>
    <n v="473298872"/>
    <n v="0.8930167396226415"/>
    <n v="34"/>
    <m/>
    <m/>
    <m/>
    <m/>
    <s v="なし"/>
    <m/>
    <s v="なし"/>
    <m/>
    <s v="なし"/>
    <m/>
    <s v="なし"/>
    <m/>
    <m/>
    <d v="2017-04-27T00:00:00"/>
    <d v="2017-04-27T00:00:00"/>
  </r>
  <r>
    <n v="816"/>
    <s v="返済中"/>
    <n v="505"/>
    <x v="3"/>
    <s v="大阪支店"/>
    <n v="406"/>
    <s v="コアプラス札幌株式会社"/>
    <n v="601"/>
    <x v="0"/>
    <n v="116"/>
    <s v="コアプラスレジデンス梅田"/>
    <n v="116"/>
    <s v="コアプラスレジデンス梅田"/>
    <n v="369000000"/>
    <d v="2017-04-28T00:00:00"/>
    <n v="1.45"/>
    <s v="信金基準金利+1.00%"/>
    <n v="40"/>
    <n v="40"/>
    <s v="元利均等"/>
    <d v="2022-09-30T00:00:00"/>
    <n v="613310"/>
    <n v="400259"/>
    <n v="1013569"/>
    <n v="330636161"/>
    <n v="0.89603295663956639"/>
    <n v="34"/>
    <m/>
    <m/>
    <m/>
    <m/>
    <s v="なし"/>
    <m/>
    <s v="なし"/>
    <m/>
    <s v="なし"/>
    <m/>
    <s v="なし"/>
    <m/>
    <m/>
    <d v="2017-04-28T00:00:00"/>
    <d v="2017-04-28T00:00:00"/>
  </r>
  <r>
    <n v="817"/>
    <s v="返済中"/>
    <n v="506"/>
    <x v="4"/>
    <s v="沖縄支店"/>
    <n v="407"/>
    <s v="コアプラス福岡株式会社"/>
    <n v="601"/>
    <x v="0"/>
    <n v="117"/>
    <s v="高田馬場第4玉川ビル"/>
    <n v="117"/>
    <s v="高田馬場第4玉川ビル"/>
    <n v="118000000"/>
    <d v="2017-08-31T00:00:00"/>
    <n v="1.675"/>
    <s v="3m TIBOR +1.00%"/>
    <n v="35"/>
    <n v="35"/>
    <s v="元利均等"/>
    <d v="2022-09-20T00:00:00"/>
    <n v="224843"/>
    <n v="146653"/>
    <n v="371496"/>
    <n v="104842675"/>
    <n v="0.88849724576271183"/>
    <n v="29"/>
    <m/>
    <m/>
    <m/>
    <m/>
    <s v="なし"/>
    <m/>
    <s v="なし"/>
    <m/>
    <s v="なし"/>
    <m/>
    <s v="なし"/>
    <m/>
    <m/>
    <d v="2017-08-31T00:00:00"/>
    <d v="2017-08-31T00:00:00"/>
  </r>
  <r>
    <n v="818"/>
    <s v="完済"/>
    <n v="507"/>
    <x v="5"/>
    <s v="東京支店"/>
    <n v="410"/>
    <s v="コアプラス沖縄株式会社"/>
    <n v="601"/>
    <x v="0"/>
    <n v="118"/>
    <s v="あおばマンション"/>
    <n v="118"/>
    <s v="あおばマンション"/>
    <n v="189000000"/>
    <d v="2017-08-31T00:00:00"/>
    <n v="1.675"/>
    <s v="信金基準金利+1.00%"/>
    <n v="35"/>
    <n v="35"/>
    <s v="元利均等"/>
    <s v="完済"/>
    <m/>
    <m/>
    <m/>
    <m/>
    <n v="0"/>
    <n v="0"/>
    <m/>
    <m/>
    <m/>
    <m/>
    <s v="なし"/>
    <m/>
    <s v="なし"/>
    <m/>
    <s v="なし"/>
    <m/>
    <s v="なし"/>
    <m/>
    <m/>
    <d v="2017-08-31T00:00:00"/>
    <d v="2017-08-31T00:00:00"/>
  </r>
  <r>
    <n v="820"/>
    <s v="返済中"/>
    <n v="509"/>
    <x v="7"/>
    <s v="東京支店"/>
    <n v="408"/>
    <s v="コアプラス京都株式会社"/>
    <n v="601"/>
    <x v="0"/>
    <n v="120"/>
    <s v="南池袋マンション"/>
    <n v="120"/>
    <s v="南池袋マンション"/>
    <n v="155000000"/>
    <d v="2018-01-09T00:00:00"/>
    <n v="1.65"/>
    <s v="3m TIBOR +1.00%"/>
    <n v="35"/>
    <n v="35"/>
    <s v="元利均等"/>
    <d v="2022-09-30T00:00:00"/>
    <n v="294357"/>
    <n v="191699"/>
    <n v="486056"/>
    <n v="139123336"/>
    <n v="0.89756990967741934"/>
    <n v="30"/>
    <m/>
    <m/>
    <m/>
    <m/>
    <s v="なし"/>
    <m/>
    <s v="なし"/>
    <m/>
    <s v="なし"/>
    <m/>
    <s v="なし"/>
    <m/>
    <m/>
    <d v="2018-01-09T00:00:00"/>
    <d v="2018-01-09T00:00:00"/>
  </r>
  <r>
    <n v="821"/>
    <s v="返済中"/>
    <n v="509"/>
    <x v="7"/>
    <s v="東京支店"/>
    <n v="408"/>
    <s v="コアプラス京都株式会社"/>
    <n v="601"/>
    <x v="0"/>
    <n v="971"/>
    <s v="目白アパート1号2号_二棟一括"/>
    <n v="971"/>
    <s v="目白アパート1号2号_二棟一括"/>
    <n v="80000000"/>
    <d v="2020-09-29T00:00:00"/>
    <n v="1.6"/>
    <s v="3m TIBOR +1.00%"/>
    <n v="26"/>
    <n v="26"/>
    <s v="元利均等"/>
    <d v="2022-09-01T00:00:00"/>
    <n v="213926"/>
    <n v="100486"/>
    <n v="314412"/>
    <n v="75151106"/>
    <n v="0.93938882499999998"/>
    <n v="23"/>
    <m/>
    <s v="2棟一括"/>
    <m/>
    <m/>
    <s v="なし"/>
    <m/>
    <s v="なし"/>
    <m/>
    <s v="なし"/>
    <m/>
    <s v="なし"/>
    <m/>
    <m/>
    <d v="2020-09-29T00:00:00"/>
    <d v="2020-09-29T00:00:00"/>
  </r>
  <r>
    <n v="822"/>
    <s v="完済"/>
    <n v="509"/>
    <x v="7"/>
    <s v="高田馬場支店"/>
    <n v="402"/>
    <s v="コアプラス名古屋株式会社"/>
    <n v="603"/>
    <x v="1"/>
    <n v="102"/>
    <s v="池袋ハウス"/>
    <n v="611"/>
    <s v="無担保"/>
    <n v="238000000"/>
    <d v="2015-10-27T00:00:00"/>
    <n v="1.675"/>
    <s v="信金基準金利+1.00%"/>
    <n v="30"/>
    <n v="30"/>
    <s v="元金均等"/>
    <s v="完済"/>
    <m/>
    <m/>
    <m/>
    <m/>
    <n v="0"/>
    <n v="0"/>
    <m/>
    <m/>
    <m/>
    <m/>
    <s v="なし"/>
    <m/>
    <s v="なし"/>
    <m/>
    <s v="なし"/>
    <m/>
    <s v="なし"/>
    <m/>
    <m/>
    <d v="2015-10-27T00:00:00"/>
    <d v="2015-10-27T00:00:00"/>
  </r>
  <r>
    <n v="823"/>
    <s v="返済中"/>
    <n v="506"/>
    <x v="4"/>
    <s v="沖縄支店"/>
    <n v="406"/>
    <s v="コアプラス札幌株式会社"/>
    <n v="602"/>
    <x v="2"/>
    <n v="116"/>
    <s v="コアプラスレジデンス梅田"/>
    <n v="116"/>
    <s v="コアプラスレジデンス梅田"/>
    <n v="15000000"/>
    <d v="2017-07-12T00:00:00"/>
    <n v="0.97499999999999998"/>
    <s v="信金基準金利+1.00%"/>
    <n v="10"/>
    <n v="10"/>
    <s v="元金均等"/>
    <d v="2022-06-30T00:00:00"/>
    <n v="125000"/>
    <n v="6210"/>
    <n v="131210"/>
    <n v="7500000"/>
    <n v="0.5"/>
    <n v="4"/>
    <m/>
    <m/>
    <m/>
    <n v="671"/>
    <s v="共同担保"/>
    <n v="106"/>
    <s v="東池袋ハイツ"/>
    <m/>
    <s v="なし"/>
    <m/>
    <s v="なし"/>
    <m/>
    <m/>
    <d v="2017-07-12T00:00:00"/>
    <d v="2017-07-12T00:00:00"/>
  </r>
  <r>
    <n v="824"/>
    <s v="返済中"/>
    <n v="511"/>
    <x v="9"/>
    <s v="大阪支店"/>
    <n v="405"/>
    <s v="コアプラス仙台株式会社"/>
    <n v="602"/>
    <x v="2"/>
    <n v="105"/>
    <s v="目白アパート"/>
    <n v="105"/>
    <s v="目白アパート"/>
    <n v="17900000"/>
    <d v="2019-06-28T00:00:00"/>
    <n v="0.97499999999999998"/>
    <s v="信金基準金利+1.00%"/>
    <n v="10"/>
    <n v="10"/>
    <s v="元利均等"/>
    <d v="2022-06-30T00:00:00"/>
    <n v="150000"/>
    <n v="10351"/>
    <n v="160351"/>
    <n v="12500000"/>
    <n v="0.6983240223463687"/>
    <n v="6"/>
    <m/>
    <m/>
    <m/>
    <n v="673"/>
    <s v="第二抵当"/>
    <n v="107"/>
    <s v="メゾン雑司ヶ谷"/>
    <m/>
    <s v="なし"/>
    <m/>
    <s v="なし"/>
    <m/>
    <m/>
    <d v="2019-06-28T00:00:00"/>
    <d v="2019-06-28T00:00:00"/>
  </r>
  <r>
    <n v="825"/>
    <s v="返済中"/>
    <n v="512"/>
    <x v="10"/>
    <s v="沖縄支店"/>
    <n v="301"/>
    <s v="玉川陽介"/>
    <n v="605"/>
    <x v="3"/>
    <n v="222"/>
    <s v="プラウD目白301号"/>
    <n v="222"/>
    <s v="プラウD目白301号"/>
    <n v="94000000"/>
    <d v="2021-03-11T00:00:00"/>
    <n v="2.8"/>
    <s v="信金基準金利+1.00%"/>
    <n v="30"/>
    <n v="30"/>
    <s v="元利均等"/>
    <d v="2022-06-06T00:00:00"/>
    <n v="169657"/>
    <n v="221433"/>
    <n v="391090"/>
    <n v="91457870"/>
    <n v="0.97295606382978728"/>
    <n v="28"/>
    <m/>
    <m/>
    <m/>
    <n v="673"/>
    <s v="第二抵当"/>
    <n v="109"/>
    <s v="カーサ南池袋"/>
    <n v="671"/>
    <s v="共同担保"/>
    <n v="111"/>
    <s v="目白カーサ二番館"/>
    <m/>
    <m/>
    <d v="2021-03-11T00:00:00"/>
    <d v="2021-03-11T00:00:00"/>
  </r>
  <r>
    <n v="826"/>
    <s v="返済中"/>
    <n v="501"/>
    <x v="11"/>
    <s v="池袋支店"/>
    <n v="401"/>
    <s v="コアプラス東京株式会社"/>
    <n v="602"/>
    <x v="2"/>
    <n v="222"/>
    <s v="プラウD目白301号"/>
    <n v="222"/>
    <s v="プラウD目白301号"/>
    <n v="20556000"/>
    <d v="2021-06-30T00:00:00"/>
    <n v="2.9636"/>
    <s v="信金基準金利+1.00%"/>
    <n v="5"/>
    <n v="5"/>
    <s v="元金均等"/>
    <d v="2022-06-27T00:00:00"/>
    <n v="326683"/>
    <n v="42817"/>
    <n v="369500"/>
    <n v="16705681"/>
    <n v="0.81269123370305507"/>
    <n v="3"/>
    <m/>
    <m/>
    <m/>
    <n v="671"/>
    <s v="共同担保"/>
    <n v="109"/>
    <s v="カーサ南池袋"/>
    <m/>
    <s v="なし"/>
    <m/>
    <s v="なし"/>
    <m/>
    <m/>
    <d v="2021-06-30T00:00:00"/>
    <d v="2021-06-30T00:00:00"/>
  </r>
  <r>
    <n v="827"/>
    <s v="返済中"/>
    <n v="502"/>
    <x v="0"/>
    <s v="目白支店"/>
    <n v="401"/>
    <s v="コアプラス東京株式会社"/>
    <n v="603"/>
    <x v="1"/>
    <n v="621"/>
    <s v="対象物件なし(運転資金)"/>
    <n v="611"/>
    <s v="無担保"/>
    <n v="11000000"/>
    <d v="2021-09-30T00:00:00"/>
    <n v="1.875"/>
    <s v="信金基準金利+1.00%"/>
    <n v="10"/>
    <n v="10"/>
    <s v="元金均等"/>
    <d v="2022-06-30T00:00:00"/>
    <n v="84461"/>
    <n v="16139"/>
    <n v="100600"/>
    <n v="10244573"/>
    <n v="0.93132481818181823"/>
    <n v="8"/>
    <s v="保証協会"/>
    <s v="コロナ融資"/>
    <m/>
    <m/>
    <s v="なし"/>
    <m/>
    <s v="なし"/>
    <m/>
    <s v="なし"/>
    <m/>
    <s v="なし"/>
    <m/>
    <m/>
    <d v="2021-09-30T00:00:00"/>
    <d v="2021-09-30T00:00:00"/>
  </r>
  <r>
    <n v="828"/>
    <s v="返済中"/>
    <n v="502"/>
    <x v="0"/>
    <s v="高田馬場支店"/>
    <n v="301"/>
    <s v="玉川陽介"/>
    <n v="604"/>
    <x v="4"/>
    <n v="621"/>
    <s v="対象物件なし(運転資金)"/>
    <n v="611"/>
    <s v="無担保"/>
    <n v="11000000"/>
    <d v="2021-09-30T00:00:00"/>
    <n v="1.875"/>
    <s v="信金基準金利+1.00%"/>
    <n v="10"/>
    <n v="10"/>
    <s v="元金均等"/>
    <d v="2022-06-30T00:00:00"/>
    <n v="84461"/>
    <n v="16139"/>
    <n v="100600"/>
    <n v="10244573"/>
    <n v="0.93132481818181823"/>
    <n v="8"/>
    <m/>
    <s v="書籍事業のため"/>
    <m/>
    <m/>
    <s v="なし"/>
    <m/>
    <s v="なし"/>
    <m/>
    <s v="なし"/>
    <m/>
    <s v="なし"/>
    <m/>
    <m/>
    <d v="2021-09-30T00:00:00"/>
    <d v="2021-09-30T00:00:00"/>
  </r>
  <r>
    <n v="829"/>
    <s v="返済中"/>
    <n v="502"/>
    <x v="0"/>
    <s v="東京支店"/>
    <n v="401"/>
    <s v="コアプラス東京株式会社"/>
    <n v="602"/>
    <x v="2"/>
    <n v="121"/>
    <s v="目白アパート1号館"/>
    <n v="611"/>
    <s v="無担保"/>
    <n v="10000000"/>
    <d v="2021-09-30T00:00:00"/>
    <n v="1.85"/>
    <s v="信金基準金利+1.00%"/>
    <n v="15"/>
    <n v="15"/>
    <s v="元金均等"/>
    <d v="2022-06-30T00:00:00"/>
    <n v="49298"/>
    <n v="14364"/>
    <n v="63662"/>
    <n v="9268450"/>
    <n v="0.92684500000000003"/>
    <n v="13"/>
    <m/>
    <s v="目白アパート1号館単体のみ。2号館は対象外"/>
    <m/>
    <m/>
    <s v="なし"/>
    <m/>
    <s v="なし"/>
    <m/>
    <s v="なし"/>
    <m/>
    <s v="なし"/>
    <m/>
    <m/>
    <d v="2021-09-30T00:00:00"/>
    <d v="2021-09-30T00:00:00"/>
  </r>
  <r>
    <n v="830"/>
    <s v="返済中"/>
    <n v="302"/>
    <x v="12"/>
    <s v="-"/>
    <n v="401"/>
    <s v="コアプラス東京株式会社"/>
    <n v="606"/>
    <x v="5"/>
    <n v="621"/>
    <s v="対象物件なし(運転資金)"/>
    <n v="611"/>
    <s v="無担保"/>
    <n v="2000000"/>
    <d v="2021-09-30T00:00:00"/>
    <n v="0"/>
    <s v="なし"/>
    <n v="10"/>
    <n v="10"/>
    <s v="期日一括"/>
    <d v="2022-06-30T00:00:00"/>
    <n v="0"/>
    <n v="0"/>
    <n v="0"/>
    <n v="2000000"/>
    <n v="1"/>
    <n v="8"/>
    <m/>
    <m/>
    <m/>
    <m/>
    <s v="なし"/>
    <m/>
    <s v="なし"/>
    <m/>
    <s v="なし"/>
    <m/>
    <s v="なし"/>
    <m/>
    <m/>
    <d v="2031-09-30T00:00:00"/>
    <d v="2031-09-30T00:00:00"/>
  </r>
  <r>
    <n v="831"/>
    <s v="完済"/>
    <n v="501"/>
    <x v="11"/>
    <s v="沖縄支店"/>
    <n v="401"/>
    <s v="コアプラス東京株式会社"/>
    <n v="607"/>
    <x v="6"/>
    <n v="621"/>
    <s v="対象物件なし(運転資金)"/>
    <n v="611"/>
    <s v="無担保"/>
    <n v="11000000"/>
    <d v="2017-08-31T00:00:00"/>
    <n v="1.675"/>
    <s v="信金基準金利+1.00%"/>
    <n v="10"/>
    <n v="10"/>
    <s v="元金均等"/>
    <s v="完済"/>
    <m/>
    <m/>
    <m/>
    <m/>
    <n v="0"/>
    <n v="0"/>
    <m/>
    <m/>
    <m/>
    <m/>
    <s v="なし"/>
    <m/>
    <s v="なし"/>
    <m/>
    <s v="なし"/>
    <m/>
    <s v="なし"/>
    <m/>
    <m/>
    <d v="2017-08-31T00:00:00"/>
    <d v="2017-08-31T00:00:00"/>
  </r>
  <r>
    <n v="832"/>
    <s v="完済"/>
    <n v="501"/>
    <x v="11"/>
    <s v="東京支店"/>
    <n v="401"/>
    <s v="コアプラス東京株式会社"/>
    <n v="608"/>
    <x v="7"/>
    <n v="621"/>
    <s v="対象物件なし(運転資金)"/>
    <n v="611"/>
    <s v="無担保"/>
    <n v="11000000"/>
    <d v="2017-08-31T00:00:00"/>
    <n v="1.675"/>
    <s v="信金基準金利+1.00%"/>
    <n v="10"/>
    <n v="10"/>
    <s v="元金均等"/>
    <s v="完済"/>
    <m/>
    <m/>
    <m/>
    <m/>
    <n v="0"/>
    <n v="0"/>
    <m/>
    <m/>
    <m/>
    <m/>
    <s v="なし"/>
    <m/>
    <s v="なし"/>
    <m/>
    <s v="なし"/>
    <m/>
    <s v="なし"/>
    <m/>
    <m/>
    <d v="2017-08-31T00:00:00"/>
    <d v="2017-08-31T00:00:00"/>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
  <r>
    <n v="801"/>
    <s v="返済中"/>
    <n v="502"/>
    <x v="0"/>
    <s v="大阪支店"/>
    <n v="402"/>
    <s v="コアプラス名古屋株式会社"/>
    <n v="601"/>
    <s v="不動産購入"/>
    <n v="102"/>
    <s v="池袋ハウス"/>
    <n v="102"/>
    <s v="池袋ハウス"/>
    <n v="550000000"/>
    <d v="2013-02-15T00:00:00"/>
    <n v="1.65"/>
    <s v="信金基準金利+1.00%"/>
    <n v="35"/>
    <n v="35"/>
    <s v="元利均等"/>
    <d v="2022-09-20T00:00:00"/>
    <n v="1050252"/>
    <n v="674466"/>
    <n v="1724718"/>
    <n v="489470974"/>
    <n v="0.88994722545454541"/>
    <n v="25"/>
    <m/>
    <m/>
    <m/>
    <m/>
    <s v="なし"/>
    <m/>
    <s v="なし"/>
    <m/>
    <s v="なし"/>
    <m/>
    <s v="なし"/>
    <m/>
    <m/>
    <d v="2013-02-15T00:00:00"/>
    <d v="2013-02-15T00:00:00"/>
  </r>
  <r>
    <n v="802"/>
    <s v="返済中"/>
    <n v="503"/>
    <x v="1"/>
    <s v="沖縄支店"/>
    <n v="404"/>
    <s v="コアプラス大阪株式会社"/>
    <n v="601"/>
    <s v="不動産購入"/>
    <n v="104"/>
    <s v="コアプラス池袋"/>
    <n v="104"/>
    <s v="コアプラス池袋"/>
    <n v="85000000"/>
    <d v="2014-02-20T00:00:00"/>
    <n v="1"/>
    <s v="信金基準金利+1.00%"/>
    <n v="25"/>
    <n v="25"/>
    <s v="元利均等"/>
    <d v="2022-09-20T00:00:00"/>
    <n v="273127"/>
    <n v="48972"/>
    <n v="322099"/>
    <n v="58496261"/>
    <n v="0.68819130588235289"/>
    <n v="16"/>
    <m/>
    <m/>
    <m/>
    <m/>
    <s v="なし"/>
    <m/>
    <s v="なし"/>
    <m/>
    <s v="なし"/>
    <m/>
    <s v="なし"/>
    <m/>
    <m/>
    <d v="2014-02-20T00:00:00"/>
    <d v="2014-02-20T00:00:00"/>
  </r>
  <r>
    <n v="803"/>
    <s v="返済中"/>
    <n v="504"/>
    <x v="2"/>
    <s v="池袋支店"/>
    <n v="405"/>
    <s v="コアプラス仙台株式会社"/>
    <n v="601"/>
    <s v="不動産購入"/>
    <n v="105"/>
    <s v="目白アパート"/>
    <n v="105"/>
    <s v="目白アパート"/>
    <n v="265000000"/>
    <d v="2014-09-12T00:00:00"/>
    <n v="1"/>
    <s v="信金基準金利+1.00%"/>
    <n v="25"/>
    <n v="25"/>
    <s v="元利均等"/>
    <d v="2022-09-20T00:00:00"/>
    <n v="845627"/>
    <n v="156620"/>
    <n v="1002247"/>
    <n v="187106609"/>
    <n v="0.7060626754716981"/>
    <n v="16"/>
    <m/>
    <m/>
    <m/>
    <m/>
    <s v="なし"/>
    <m/>
    <s v="なし"/>
    <m/>
    <s v="なし"/>
    <m/>
    <s v="なし"/>
    <m/>
    <m/>
    <d v="2014-09-12T00:00:00"/>
    <d v="2014-09-12T00:00:00"/>
  </r>
  <r>
    <n v="804"/>
    <s v="返済中"/>
    <n v="505"/>
    <x v="3"/>
    <s v="目白支店"/>
    <n v="404"/>
    <s v="コアプラス大阪株式会社"/>
    <n v="601"/>
    <s v="不動産購入"/>
    <n v="104"/>
    <s v="コアプラス池袋"/>
    <n v="104"/>
    <s v="コアプラス池袋"/>
    <n v="17000000"/>
    <d v="2014-11-05T00:00:00"/>
    <n v="1"/>
    <s v="信金基準金利+1.00%"/>
    <n v="25"/>
    <n v="25"/>
    <s v="元利均等"/>
    <d v="2022-09-20T00:00:00"/>
    <n v="55801"/>
    <n v="10004"/>
    <n v="65805"/>
    <n v="11950562"/>
    <n v="0.70297423529411762"/>
    <n v="16"/>
    <m/>
    <m/>
    <m/>
    <m/>
    <s v="なし"/>
    <m/>
    <s v="なし"/>
    <m/>
    <s v="なし"/>
    <m/>
    <s v="なし"/>
    <m/>
    <m/>
    <d v="2014-11-05T00:00:00"/>
    <d v="2014-11-05T00:00:00"/>
  </r>
  <r>
    <n v="805"/>
    <s v="返済中"/>
    <n v="506"/>
    <x v="4"/>
    <s v="高田馬場支店"/>
    <n v="406"/>
    <s v="コアプラス札幌株式会社"/>
    <n v="601"/>
    <s v="不動産購入"/>
    <n v="106"/>
    <s v="東池袋ハイツ"/>
    <n v="106"/>
    <s v="東池袋ハイツ"/>
    <n v="376000000"/>
    <d v="2014-12-01T00:00:00"/>
    <n v="1"/>
    <s v="3m TIBOR +1.00%"/>
    <n v="30"/>
    <n v="30"/>
    <s v="元利均等"/>
    <d v="2022-09-20T00:00:00"/>
    <n v="970634"/>
    <n v="241754"/>
    <n v="1212388"/>
    <n v="289146337"/>
    <n v="0.76900621542553194"/>
    <n v="21"/>
    <m/>
    <m/>
    <m/>
    <m/>
    <s v="なし"/>
    <m/>
    <s v="なし"/>
    <m/>
    <s v="なし"/>
    <m/>
    <s v="なし"/>
    <m/>
    <m/>
    <d v="2014-12-01T00:00:00"/>
    <d v="2014-12-01T00:00:00"/>
  </r>
  <r>
    <n v="806"/>
    <s v="返済中"/>
    <n v="507"/>
    <x v="5"/>
    <s v="東京支店"/>
    <n v="401"/>
    <s v="コアプラス東京株式会社"/>
    <n v="601"/>
    <s v="不動産購入"/>
    <n v="101"/>
    <s v="西池袋駅前ビル"/>
    <n v="101"/>
    <s v="西池袋駅前ビル"/>
    <n v="226000000"/>
    <d v="2015-06-01T00:00:00"/>
    <n v="1"/>
    <s v="信金基準金利+1.00%"/>
    <n v="25"/>
    <n v="25"/>
    <s v="元利均等"/>
    <d v="2022-09-30T00:00:00"/>
    <n v="712666"/>
    <n v="139065"/>
    <n v="851731"/>
    <n v="166166517"/>
    <n v="0.73525007522123897"/>
    <n v="17"/>
    <m/>
    <m/>
    <m/>
    <m/>
    <s v="なし"/>
    <m/>
    <s v="なし"/>
    <m/>
    <s v="なし"/>
    <m/>
    <s v="なし"/>
    <m/>
    <m/>
    <d v="2015-06-01T00:00:00"/>
    <d v="2015-06-01T00:00:00"/>
  </r>
  <r>
    <n v="807"/>
    <s v="返済中"/>
    <n v="508"/>
    <x v="6"/>
    <s v="大阪支店"/>
    <n v="404"/>
    <s v="コアプラス大阪株式会社"/>
    <n v="601"/>
    <s v="不動産購入"/>
    <n v="103"/>
    <s v="カーサ目白台ハウス"/>
    <n v="103"/>
    <s v="カーサ目白台ハウス"/>
    <n v="413500000"/>
    <d v="2015-07-15T00:00:00"/>
    <n v="1.1000000000000001"/>
    <s v="信金基準金利+1.00%"/>
    <n v="30"/>
    <n v="30"/>
    <s v="元利均等"/>
    <d v="2022-09-20T00:00:00"/>
    <n v="1049552"/>
    <n v="299492"/>
    <n v="1349044"/>
    <n v="325693047"/>
    <n v="0.78764944860943165"/>
    <n v="22"/>
    <m/>
    <m/>
    <m/>
    <m/>
    <s v="なし"/>
    <m/>
    <s v="なし"/>
    <m/>
    <s v="なし"/>
    <m/>
    <s v="なし"/>
    <m/>
    <m/>
    <d v="2015-07-15T00:00:00"/>
    <d v="2015-07-15T00:00:00"/>
  </r>
  <r>
    <n v="808"/>
    <s v="返済中"/>
    <n v="509"/>
    <x v="7"/>
    <s v="沖縄支店"/>
    <n v="407"/>
    <s v="コアプラス福岡株式会社"/>
    <n v="601"/>
    <s v="不動産購入"/>
    <n v="107"/>
    <s v="メゾン雑司ヶ谷"/>
    <n v="107"/>
    <s v="メゾン雑司ヶ谷"/>
    <n v="392000000"/>
    <d v="2015-10-15T00:00:00"/>
    <n v="1.2"/>
    <s v="信金基準金利+1.00%"/>
    <n v="30"/>
    <n v="30"/>
    <s v="元利均等"/>
    <d v="2022-09-30T00:00:00"/>
    <n v="982474"/>
    <n v="314688"/>
    <n v="1297162"/>
    <n v="313706389"/>
    <n v="0.80027140051020407"/>
    <n v="22"/>
    <m/>
    <m/>
    <m/>
    <m/>
    <s v="なし"/>
    <m/>
    <s v="なし"/>
    <m/>
    <s v="なし"/>
    <m/>
    <s v="なし"/>
    <m/>
    <m/>
    <d v="2015-10-15T00:00:00"/>
    <d v="2015-10-15T00:00:00"/>
  </r>
  <r>
    <n v="809"/>
    <s v="返済中"/>
    <n v="510"/>
    <x v="8"/>
    <s v="東京支店"/>
    <n v="409"/>
    <s v="コアプラス四国株式会社"/>
    <n v="601"/>
    <s v="不動産購入"/>
    <n v="109"/>
    <s v="カーサ南池袋"/>
    <n v="109"/>
    <s v="カーサ南池袋"/>
    <n v="180000000"/>
    <d v="2015-12-24T00:00:00"/>
    <n v="1.5"/>
    <s v="信金基準金利+1.00%"/>
    <n v="30"/>
    <n v="30"/>
    <s v="元利均等"/>
    <d v="2022-09-30T00:00:00"/>
    <n v="437860"/>
    <n v="183356"/>
    <n v="621216"/>
    <n v="146247653"/>
    <n v="0.81248696111111107"/>
    <n v="22"/>
    <m/>
    <m/>
    <m/>
    <m/>
    <s v="なし"/>
    <m/>
    <s v="なし"/>
    <m/>
    <s v="なし"/>
    <m/>
    <s v="なし"/>
    <m/>
    <m/>
    <d v="2015-12-24T00:00:00"/>
    <d v="2015-12-24T00:00:00"/>
  </r>
  <r>
    <n v="810"/>
    <s v="完済"/>
    <n v="511"/>
    <x v="9"/>
    <s v="大阪支店"/>
    <n v="410"/>
    <s v="コアプラス沖縄株式会社"/>
    <n v="601"/>
    <s v="不動産購入"/>
    <n v="110"/>
    <s v="仙台駅前コーポ"/>
    <n v="110"/>
    <s v="仙台駅前コーポ"/>
    <n v="250000000"/>
    <d v="2016-01-21T00:00:00"/>
    <n v="1.375"/>
    <s v="信金基準金利+1.00%"/>
    <n v="30"/>
    <n v="30"/>
    <s v="元利均等"/>
    <s v="完済"/>
    <m/>
    <m/>
    <m/>
    <m/>
    <n v="0"/>
    <n v="0"/>
    <m/>
    <m/>
    <m/>
    <m/>
    <s v="なし"/>
    <m/>
    <s v="なし"/>
    <m/>
    <s v="なし"/>
    <m/>
    <s v="なし"/>
    <m/>
    <m/>
    <d v="2016-01-21T00:00:00"/>
    <d v="2016-01-21T00:00:00"/>
  </r>
  <r>
    <n v="811"/>
    <s v="返済中"/>
    <n v="512"/>
    <x v="10"/>
    <s v="沖縄支店"/>
    <n v="401"/>
    <s v="コアプラス東京株式会社"/>
    <n v="601"/>
    <s v="不動産購入"/>
    <n v="111"/>
    <s v="目白カーサ二番館"/>
    <n v="111"/>
    <s v="目白カーサ二番館"/>
    <n v="280000000"/>
    <d v="2016-02-24T00:00:00"/>
    <n v="1.3"/>
    <s v="3m TIBOR +1.00%"/>
    <n v="30"/>
    <n v="30"/>
    <s v="元利均等"/>
    <d v="2022-09-20T00:00:00"/>
    <n v="692442"/>
    <n v="247247"/>
    <n v="939689"/>
    <n v="227542871"/>
    <n v="0.8126531107142857"/>
    <n v="23"/>
    <m/>
    <m/>
    <m/>
    <m/>
    <s v="なし"/>
    <m/>
    <s v="なし"/>
    <m/>
    <s v="なし"/>
    <m/>
    <s v="なし"/>
    <m/>
    <m/>
    <d v="2016-02-24T00:00:00"/>
    <d v="2016-02-24T00:00:00"/>
  </r>
  <r>
    <n v="812"/>
    <s v="返済中"/>
    <n v="501"/>
    <x v="11"/>
    <s v="池袋支店"/>
    <n v="402"/>
    <s v="コアプラス名古屋株式会社"/>
    <n v="601"/>
    <s v="不動産購入"/>
    <n v="112"/>
    <s v="豊島目白ビル"/>
    <n v="112"/>
    <s v="豊島目白ビル"/>
    <n v="450000000"/>
    <d v="2016-03-29T00:00:00"/>
    <n v="1.3"/>
    <s v="信金基準金利+1.00%"/>
    <n v="30"/>
    <n v="30"/>
    <s v="元利均等"/>
    <d v="2022-09-30T00:00:00"/>
    <n v="1111644"/>
    <n v="398578"/>
    <n v="1510222"/>
    <n v="366807279"/>
    <n v="0.81512728666666667"/>
    <n v="23"/>
    <m/>
    <m/>
    <m/>
    <m/>
    <s v="なし"/>
    <m/>
    <s v="なし"/>
    <m/>
    <s v="なし"/>
    <m/>
    <s v="なし"/>
    <m/>
    <m/>
    <d v="2016-03-29T00:00:00"/>
    <d v="2016-03-29T00:00:00"/>
  </r>
  <r>
    <n v="813"/>
    <s v="返済中"/>
    <n v="502"/>
    <x v="0"/>
    <s v="目白支店"/>
    <n v="404"/>
    <s v="コアプラス大阪株式会社"/>
    <n v="601"/>
    <s v="不動産購入"/>
    <n v="113"/>
    <s v="第3目白ハイツ"/>
    <n v="113"/>
    <s v="第3目白ハイツ"/>
    <n v="495000000"/>
    <d v="2016-06-30T00:00:00"/>
    <n v="1.375"/>
    <s v="信金基準金利+1.00%"/>
    <n v="30"/>
    <n v="30"/>
    <s v="元利均等"/>
    <d v="2022-09-30T00:00:00"/>
    <n v="1209934"/>
    <n v="468878"/>
    <n v="1678812"/>
    <n v="407992887"/>
    <n v="0.82422805454545456"/>
    <n v="23"/>
    <m/>
    <m/>
    <m/>
    <m/>
    <s v="なし"/>
    <m/>
    <s v="なし"/>
    <m/>
    <s v="なし"/>
    <m/>
    <s v="なし"/>
    <m/>
    <m/>
    <d v="2016-06-30T00:00:00"/>
    <d v="2016-06-30T00:00:00"/>
  </r>
  <r>
    <n v="814"/>
    <s v="返済中"/>
    <n v="503"/>
    <x v="1"/>
    <s v="高田馬場支店"/>
    <n v="404"/>
    <s v="コアプラス大阪株式会社"/>
    <n v="601"/>
    <s v="不動産購入"/>
    <n v="114"/>
    <s v="レジデンス目白豊島"/>
    <n v="114"/>
    <s v="レジデンス目白豊島"/>
    <n v="189000000"/>
    <d v="2016-08-30T00:00:00"/>
    <n v="1.3"/>
    <s v="信金基準金利+1.00%"/>
    <n v="40"/>
    <n v="40"/>
    <s v="元利均等"/>
    <d v="2022-09-20T00:00:00"/>
    <n v="324776"/>
    <n v="180387"/>
    <n v="505163"/>
    <n v="166191734"/>
    <n v="0.87932134391534389"/>
    <n v="33"/>
    <m/>
    <m/>
    <m/>
    <m/>
    <s v="なし"/>
    <m/>
    <s v="なし"/>
    <m/>
    <s v="なし"/>
    <m/>
    <s v="なし"/>
    <m/>
    <m/>
    <d v="2016-08-30T00:00:00"/>
    <d v="2016-08-30T00:00:00"/>
  </r>
  <r>
    <n v="815"/>
    <s v="返済中"/>
    <n v="504"/>
    <x v="2"/>
    <s v="東京支店"/>
    <n v="405"/>
    <s v="コアプラス仙台株式会社"/>
    <n v="601"/>
    <s v="不動産購入"/>
    <n v="115"/>
    <s v="コアプラス大塚"/>
    <n v="115"/>
    <s v="コアプラス大塚"/>
    <n v="530000000"/>
    <d v="2017-04-27T00:00:00"/>
    <n v="1.3"/>
    <s v="信金基準金利+1.00%"/>
    <n v="40"/>
    <n v="40"/>
    <s v="元利均等"/>
    <d v="2022-09-20T00:00:00"/>
    <n v="902892"/>
    <n v="513702"/>
    <n v="1416594"/>
    <n v="473298872"/>
    <n v="0.8930167396226415"/>
    <n v="34"/>
    <m/>
    <m/>
    <m/>
    <m/>
    <s v="なし"/>
    <m/>
    <s v="なし"/>
    <m/>
    <s v="なし"/>
    <m/>
    <s v="なし"/>
    <m/>
    <m/>
    <d v="2017-04-27T00:00:00"/>
    <d v="2017-04-27T00:00:00"/>
  </r>
  <r>
    <n v="816"/>
    <s v="返済中"/>
    <n v="505"/>
    <x v="3"/>
    <s v="大阪支店"/>
    <n v="406"/>
    <s v="コアプラス札幌株式会社"/>
    <n v="601"/>
    <s v="不動産購入"/>
    <n v="116"/>
    <s v="コアプラスレジデンス梅田"/>
    <n v="116"/>
    <s v="コアプラスレジデンス梅田"/>
    <n v="369000000"/>
    <d v="2017-04-28T00:00:00"/>
    <n v="1.45"/>
    <s v="信金基準金利+1.00%"/>
    <n v="40"/>
    <n v="40"/>
    <s v="元利均等"/>
    <d v="2022-09-30T00:00:00"/>
    <n v="613310"/>
    <n v="400259"/>
    <n v="1013569"/>
    <n v="330636161"/>
    <n v="0.89603295663956639"/>
    <n v="34"/>
    <m/>
    <m/>
    <m/>
    <m/>
    <s v="なし"/>
    <m/>
    <s v="なし"/>
    <m/>
    <s v="なし"/>
    <m/>
    <s v="なし"/>
    <m/>
    <m/>
    <d v="2017-04-28T00:00:00"/>
    <d v="2017-04-28T00:00:00"/>
  </r>
  <r>
    <n v="817"/>
    <s v="返済中"/>
    <n v="506"/>
    <x v="4"/>
    <s v="沖縄支店"/>
    <n v="407"/>
    <s v="コアプラス福岡株式会社"/>
    <n v="601"/>
    <s v="不動産購入"/>
    <n v="117"/>
    <s v="高田馬場第4玉川ビル"/>
    <n v="117"/>
    <s v="高田馬場第4玉川ビル"/>
    <n v="118000000"/>
    <d v="2017-08-31T00:00:00"/>
    <n v="1.675"/>
    <s v="3m TIBOR +1.00%"/>
    <n v="35"/>
    <n v="35"/>
    <s v="元利均等"/>
    <d v="2022-09-20T00:00:00"/>
    <n v="224843"/>
    <n v="146653"/>
    <n v="371496"/>
    <n v="104842675"/>
    <n v="0.88849724576271183"/>
    <n v="29"/>
    <m/>
    <m/>
    <m/>
    <m/>
    <s v="なし"/>
    <m/>
    <s v="なし"/>
    <m/>
    <s v="なし"/>
    <m/>
    <s v="なし"/>
    <m/>
    <m/>
    <d v="2017-08-31T00:00:00"/>
    <d v="2017-08-31T00:00:00"/>
  </r>
  <r>
    <n v="818"/>
    <s v="完済"/>
    <n v="507"/>
    <x v="5"/>
    <s v="東京支店"/>
    <n v="410"/>
    <s v="コアプラス沖縄株式会社"/>
    <n v="601"/>
    <s v="不動産購入"/>
    <n v="118"/>
    <s v="あおばマンション"/>
    <n v="118"/>
    <s v="あおばマンション"/>
    <n v="189000000"/>
    <d v="2017-08-31T00:00:00"/>
    <n v="1.675"/>
    <s v="信金基準金利+1.00%"/>
    <n v="35"/>
    <n v="35"/>
    <s v="元利均等"/>
    <s v="完済"/>
    <m/>
    <m/>
    <m/>
    <m/>
    <n v="0"/>
    <n v="0"/>
    <m/>
    <m/>
    <m/>
    <m/>
    <s v="なし"/>
    <m/>
    <s v="なし"/>
    <m/>
    <s v="なし"/>
    <m/>
    <s v="なし"/>
    <m/>
    <m/>
    <d v="2017-08-31T00:00:00"/>
    <d v="2017-08-31T00:00:00"/>
  </r>
  <r>
    <n v="820"/>
    <s v="返済中"/>
    <n v="509"/>
    <x v="7"/>
    <s v="東京支店"/>
    <n v="408"/>
    <s v="コアプラス京都株式会社"/>
    <n v="601"/>
    <s v="不動産購入"/>
    <n v="120"/>
    <s v="南池袋マンション"/>
    <n v="120"/>
    <s v="南池袋マンション"/>
    <n v="155000000"/>
    <d v="2018-01-09T00:00:00"/>
    <n v="1.65"/>
    <s v="3m TIBOR +1.00%"/>
    <n v="35"/>
    <n v="35"/>
    <s v="元利均等"/>
    <d v="2022-09-30T00:00:00"/>
    <n v="294357"/>
    <n v="191699"/>
    <n v="486056"/>
    <n v="139123336"/>
    <n v="0.89756990967741934"/>
    <n v="30"/>
    <m/>
    <m/>
    <m/>
    <m/>
    <s v="なし"/>
    <m/>
    <s v="なし"/>
    <m/>
    <s v="なし"/>
    <m/>
    <s v="なし"/>
    <m/>
    <m/>
    <d v="2018-01-09T00:00:00"/>
    <d v="2018-01-09T00:00:00"/>
  </r>
  <r>
    <n v="821"/>
    <s v="返済中"/>
    <n v="509"/>
    <x v="7"/>
    <s v="東京支店"/>
    <n v="408"/>
    <s v="コアプラス京都株式会社"/>
    <n v="601"/>
    <s v="不動産購入"/>
    <n v="971"/>
    <s v="目白アパート1号2号_二棟一括"/>
    <n v="971"/>
    <s v="目白アパート1号2号_二棟一括"/>
    <n v="80000000"/>
    <d v="2020-09-29T00:00:00"/>
    <n v="1.6"/>
    <s v="3m TIBOR +1.00%"/>
    <n v="26"/>
    <n v="26"/>
    <s v="元利均等"/>
    <d v="2022-09-01T00:00:00"/>
    <n v="213926"/>
    <n v="100486"/>
    <n v="314412"/>
    <n v="75151106"/>
    <n v="0.93938882499999998"/>
    <n v="23"/>
    <m/>
    <s v="2棟一括"/>
    <m/>
    <m/>
    <s v="なし"/>
    <m/>
    <s v="なし"/>
    <m/>
    <s v="なし"/>
    <m/>
    <s v="なし"/>
    <m/>
    <m/>
    <d v="2020-09-29T00:00:00"/>
    <d v="2020-09-29T00:00:00"/>
  </r>
  <r>
    <n v="822"/>
    <s v="完済"/>
    <n v="509"/>
    <x v="7"/>
    <s v="高田馬場支店"/>
    <n v="402"/>
    <s v="コアプラス名古屋株式会社"/>
    <n v="603"/>
    <s v="運転資金"/>
    <n v="102"/>
    <s v="池袋ハウス"/>
    <n v="611"/>
    <s v="無担保"/>
    <n v="238000000"/>
    <d v="2015-10-27T00:00:00"/>
    <n v="1.675"/>
    <s v="信金基準金利+1.00%"/>
    <n v="30"/>
    <n v="30"/>
    <s v="元金均等"/>
    <s v="完済"/>
    <m/>
    <m/>
    <m/>
    <m/>
    <n v="0"/>
    <n v="0"/>
    <m/>
    <m/>
    <m/>
    <m/>
    <s v="なし"/>
    <m/>
    <s v="なし"/>
    <m/>
    <s v="なし"/>
    <m/>
    <s v="なし"/>
    <m/>
    <m/>
    <d v="2015-10-27T00:00:00"/>
    <d v="2015-10-27T00:00:00"/>
  </r>
  <r>
    <n v="823"/>
    <s v="返済中"/>
    <n v="506"/>
    <x v="4"/>
    <s v="沖縄支店"/>
    <n v="406"/>
    <s v="コアプラス札幌株式会社"/>
    <n v="602"/>
    <s v="修繕資金"/>
    <n v="116"/>
    <s v="コアプラスレジデンス梅田"/>
    <n v="116"/>
    <s v="コアプラスレジデンス梅田"/>
    <n v="15000000"/>
    <d v="2017-07-12T00:00:00"/>
    <n v="0.97499999999999998"/>
    <s v="信金基準金利+1.00%"/>
    <n v="10"/>
    <n v="10"/>
    <s v="元金均等"/>
    <d v="2022-06-30T00:00:00"/>
    <n v="125000"/>
    <n v="6210"/>
    <n v="131210"/>
    <n v="7500000"/>
    <n v="0.5"/>
    <n v="4"/>
    <m/>
    <m/>
    <m/>
    <n v="671"/>
    <s v="共同担保"/>
    <n v="106"/>
    <s v="東池袋ハイツ"/>
    <m/>
    <s v="なし"/>
    <m/>
    <s v="なし"/>
    <m/>
    <m/>
    <d v="2017-07-12T00:00:00"/>
    <d v="2017-07-12T00:00:00"/>
  </r>
  <r>
    <n v="824"/>
    <s v="返済中"/>
    <n v="511"/>
    <x v="9"/>
    <s v="大阪支店"/>
    <n v="405"/>
    <s v="コアプラス仙台株式会社"/>
    <n v="602"/>
    <s v="修繕資金"/>
    <n v="105"/>
    <s v="目白アパート"/>
    <n v="105"/>
    <s v="目白アパート"/>
    <n v="17900000"/>
    <d v="2019-06-28T00:00:00"/>
    <n v="0.97499999999999998"/>
    <s v="信金基準金利+1.00%"/>
    <n v="10"/>
    <n v="10"/>
    <s v="元利均等"/>
    <d v="2022-06-30T00:00:00"/>
    <n v="150000"/>
    <n v="10351"/>
    <n v="160351"/>
    <n v="12500000"/>
    <n v="0.6983240223463687"/>
    <n v="6"/>
    <m/>
    <m/>
    <m/>
    <n v="673"/>
    <s v="第二抵当"/>
    <n v="107"/>
    <s v="メゾン雑司ヶ谷"/>
    <m/>
    <s v="なし"/>
    <m/>
    <s v="なし"/>
    <m/>
    <m/>
    <d v="2019-06-28T00:00:00"/>
    <d v="2019-06-28T00:00:00"/>
  </r>
  <r>
    <n v="825"/>
    <s v="返済中"/>
    <n v="512"/>
    <x v="10"/>
    <s v="沖縄支店"/>
    <n v="301"/>
    <s v="玉川陽介"/>
    <n v="605"/>
    <s v="住宅ローン"/>
    <n v="222"/>
    <s v="プラウD目白301号"/>
    <n v="222"/>
    <s v="プラウD目白301号"/>
    <n v="94000000"/>
    <d v="2021-03-11T00:00:00"/>
    <n v="2.8"/>
    <s v="信金基準金利+1.00%"/>
    <n v="30"/>
    <n v="30"/>
    <s v="元利均等"/>
    <d v="2022-06-06T00:00:00"/>
    <n v="169657"/>
    <n v="221433"/>
    <n v="391090"/>
    <n v="91457870"/>
    <n v="0.97295606382978728"/>
    <n v="28"/>
    <m/>
    <m/>
    <m/>
    <n v="673"/>
    <s v="第二抵当"/>
    <n v="109"/>
    <s v="カーサ南池袋"/>
    <n v="671"/>
    <s v="共同担保"/>
    <n v="111"/>
    <s v="目白カーサ二番館"/>
    <m/>
    <m/>
    <d v="2021-03-11T00:00:00"/>
    <d v="2021-03-11T00:00:00"/>
  </r>
  <r>
    <n v="826"/>
    <s v="返済中"/>
    <n v="501"/>
    <x v="11"/>
    <s v="池袋支店"/>
    <n v="401"/>
    <s v="コアプラス東京株式会社"/>
    <n v="602"/>
    <s v="修繕資金"/>
    <n v="222"/>
    <s v="プラウD目白301号"/>
    <n v="222"/>
    <s v="プラウD目白301号"/>
    <n v="20556000"/>
    <d v="2021-06-30T00:00:00"/>
    <n v="2.9636"/>
    <s v="信金基準金利+1.00%"/>
    <n v="5"/>
    <n v="5"/>
    <s v="元金均等"/>
    <d v="2022-06-27T00:00:00"/>
    <n v="326683"/>
    <n v="42817"/>
    <n v="369500"/>
    <n v="16705681"/>
    <n v="0.81269123370305507"/>
    <n v="3"/>
    <m/>
    <m/>
    <m/>
    <n v="671"/>
    <s v="共同担保"/>
    <n v="109"/>
    <s v="カーサ南池袋"/>
    <m/>
    <s v="なし"/>
    <m/>
    <s v="なし"/>
    <m/>
    <m/>
    <d v="2021-06-30T00:00:00"/>
    <d v="2021-06-30T00:00:00"/>
  </r>
  <r>
    <n v="827"/>
    <s v="返済中"/>
    <n v="502"/>
    <x v="0"/>
    <s v="目白支店"/>
    <n v="401"/>
    <s v="コアプラス東京株式会社"/>
    <n v="603"/>
    <s v="運転資金"/>
    <n v="621"/>
    <s v="対象物件なし(運転資金)"/>
    <n v="611"/>
    <s v="無担保"/>
    <n v="11000000"/>
    <d v="2021-09-30T00:00:00"/>
    <n v="1.875"/>
    <s v="信金基準金利+1.00%"/>
    <n v="10"/>
    <n v="10"/>
    <s v="元金均等"/>
    <d v="2022-06-30T00:00:00"/>
    <n v="84461"/>
    <n v="16139"/>
    <n v="100600"/>
    <n v="10244573"/>
    <n v="0.93132481818181823"/>
    <n v="8"/>
    <s v="保証協会"/>
    <s v="コロナ融資"/>
    <m/>
    <m/>
    <s v="なし"/>
    <m/>
    <s v="なし"/>
    <m/>
    <s v="なし"/>
    <m/>
    <s v="なし"/>
    <m/>
    <m/>
    <d v="2021-09-30T00:00:00"/>
    <d v="2021-09-30T00:00:00"/>
  </r>
  <r>
    <n v="828"/>
    <s v="返済中"/>
    <n v="502"/>
    <x v="0"/>
    <s v="高田馬場支店"/>
    <n v="301"/>
    <s v="玉川陽介"/>
    <n v="604"/>
    <s v="他業借入"/>
    <n v="621"/>
    <s v="対象物件なし(運転資金)"/>
    <n v="611"/>
    <s v="無担保"/>
    <n v="11000000"/>
    <d v="2021-09-30T00:00:00"/>
    <n v="1.875"/>
    <s v="信金基準金利+1.00%"/>
    <n v="10"/>
    <n v="10"/>
    <s v="元金均等"/>
    <d v="2022-06-30T00:00:00"/>
    <n v="84461"/>
    <n v="16139"/>
    <n v="100600"/>
    <n v="10244573"/>
    <n v="0.93132481818181823"/>
    <n v="8"/>
    <m/>
    <s v="書籍事業のため"/>
    <m/>
    <m/>
    <s v="なし"/>
    <m/>
    <s v="なし"/>
    <m/>
    <s v="なし"/>
    <m/>
    <s v="なし"/>
    <m/>
    <m/>
    <d v="2021-09-30T00:00:00"/>
    <d v="2021-09-30T00:00:00"/>
  </r>
  <r>
    <n v="829"/>
    <s v="返済中"/>
    <n v="502"/>
    <x v="0"/>
    <s v="東京支店"/>
    <n v="401"/>
    <s v="コアプラス東京株式会社"/>
    <n v="602"/>
    <s v="修繕資金"/>
    <n v="121"/>
    <s v="目白アパート1号館"/>
    <n v="611"/>
    <s v="無担保"/>
    <n v="10000000"/>
    <d v="2021-09-30T00:00:00"/>
    <n v="1.85"/>
    <s v="信金基準金利+1.00%"/>
    <n v="15"/>
    <n v="15"/>
    <s v="元金均等"/>
    <d v="2022-06-30T00:00:00"/>
    <n v="49298"/>
    <n v="14364"/>
    <n v="63662"/>
    <n v="9268450"/>
    <n v="0.92684500000000003"/>
    <n v="13"/>
    <m/>
    <s v="目白アパート1号館単体のみ。2号館は対象外"/>
    <m/>
    <m/>
    <s v="なし"/>
    <m/>
    <s v="なし"/>
    <m/>
    <s v="なし"/>
    <m/>
    <s v="なし"/>
    <m/>
    <m/>
    <d v="2021-09-30T00:00:00"/>
    <d v="2021-09-30T00:00:00"/>
  </r>
  <r>
    <n v="830"/>
    <s v="返済中"/>
    <n v="302"/>
    <x v="12"/>
    <s v="-"/>
    <n v="401"/>
    <s v="コアプラス東京株式会社"/>
    <n v="606"/>
    <s v="親族借入"/>
    <n v="621"/>
    <s v="対象物件なし(運転資金)"/>
    <n v="611"/>
    <s v="無担保"/>
    <n v="2000000"/>
    <d v="2021-09-30T00:00:00"/>
    <n v="0"/>
    <s v="なし"/>
    <n v="10"/>
    <n v="10"/>
    <s v="期日一括"/>
    <d v="2022-06-30T00:00:00"/>
    <n v="0"/>
    <n v="0"/>
    <n v="0"/>
    <n v="2000000"/>
    <n v="1"/>
    <n v="8"/>
    <m/>
    <m/>
    <m/>
    <m/>
    <s v="なし"/>
    <m/>
    <s v="なし"/>
    <m/>
    <s v="なし"/>
    <m/>
    <s v="なし"/>
    <m/>
    <m/>
    <d v="2031-09-30T00:00:00"/>
    <d v="2031-09-30T00:00:00"/>
  </r>
  <r>
    <n v="831"/>
    <s v="完済"/>
    <n v="501"/>
    <x v="11"/>
    <s v="沖縄支店"/>
    <n v="401"/>
    <s v="コアプラス東京株式会社"/>
    <n v="607"/>
    <s v="その他(間接部門)"/>
    <n v="621"/>
    <s v="対象物件なし(運転資金)"/>
    <n v="611"/>
    <s v="無担保"/>
    <n v="11000000"/>
    <d v="2017-08-31T00:00:00"/>
    <n v="1.675"/>
    <s v="信金基準金利+1.00%"/>
    <n v="10"/>
    <n v="10"/>
    <s v="元金均等"/>
    <s v="完済"/>
    <m/>
    <m/>
    <m/>
    <m/>
    <n v="0"/>
    <n v="0"/>
    <m/>
    <m/>
    <m/>
    <m/>
    <s v="なし"/>
    <m/>
    <s v="なし"/>
    <m/>
    <s v="なし"/>
    <m/>
    <s v="なし"/>
    <m/>
    <m/>
    <d v="2017-08-31T00:00:00"/>
    <d v="2017-08-31T00:00:00"/>
  </r>
  <r>
    <n v="832"/>
    <s v="完済"/>
    <n v="501"/>
    <x v="11"/>
    <s v="東京支店"/>
    <n v="401"/>
    <s v="コアプラス東京株式会社"/>
    <n v="608"/>
    <s v="その他(賃貸部門)"/>
    <n v="621"/>
    <s v="対象物件なし(運転資金)"/>
    <n v="611"/>
    <s v="無担保"/>
    <n v="11000000"/>
    <d v="2017-08-31T00:00:00"/>
    <n v="1.675"/>
    <s v="信金基準金利+1.00%"/>
    <n v="10"/>
    <n v="10"/>
    <s v="元金均等"/>
    <s v="完済"/>
    <m/>
    <m/>
    <m/>
    <m/>
    <n v="0"/>
    <n v="0"/>
    <m/>
    <m/>
    <m/>
    <m/>
    <s v="なし"/>
    <m/>
    <s v="なし"/>
    <m/>
    <s v="なし"/>
    <m/>
    <s v="なし"/>
    <m/>
    <m/>
    <d v="2017-08-31T00:00:00"/>
    <d v="2017-08-31T00:00:00"/>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
  <r>
    <n v="801"/>
    <s v="返済中"/>
    <n v="502"/>
    <s v="首里信金"/>
    <s v="大阪支店"/>
    <n v="402"/>
    <s v="コアプラス名古屋株式会社"/>
    <n v="601"/>
    <x v="0"/>
    <n v="102"/>
    <x v="0"/>
    <n v="102"/>
    <s v="池袋ハウス"/>
    <n v="550000000"/>
    <d v="2013-02-15T00:00:00"/>
    <n v="1.65"/>
    <s v="信金基準金利+1.00%"/>
    <n v="35"/>
    <n v="35"/>
    <s v="元利均等"/>
    <d v="2022-09-20T00:00:00"/>
    <n v="1050252"/>
    <n v="674466"/>
    <n v="1724718"/>
    <n v="489470974"/>
    <n v="0.88994722545454541"/>
    <n v="25"/>
    <m/>
    <m/>
  </r>
  <r>
    <n v="802"/>
    <s v="返済中"/>
    <n v="503"/>
    <s v="名護信金"/>
    <s v="沖縄支店"/>
    <n v="404"/>
    <s v="コアプラス大阪株式会社"/>
    <n v="601"/>
    <x v="0"/>
    <n v="104"/>
    <x v="1"/>
    <n v="104"/>
    <s v="コアプラス池袋"/>
    <n v="85000000"/>
    <d v="2014-02-20T00:00:00"/>
    <n v="1"/>
    <s v="信金基準金利+1.00%"/>
    <n v="25"/>
    <n v="25"/>
    <s v="元利均等"/>
    <d v="2022-09-20T00:00:00"/>
    <n v="273127"/>
    <n v="48972"/>
    <n v="322099"/>
    <n v="58496261"/>
    <n v="0.68819130588235289"/>
    <n v="16"/>
    <m/>
    <m/>
  </r>
  <r>
    <n v="803"/>
    <s v="返済中"/>
    <n v="504"/>
    <s v="読谷信金"/>
    <s v="池袋支店"/>
    <n v="405"/>
    <s v="コアプラス仙台株式会社"/>
    <n v="601"/>
    <x v="0"/>
    <n v="105"/>
    <x v="2"/>
    <n v="105"/>
    <s v="目白アパート"/>
    <n v="265000000"/>
    <d v="2014-09-12T00:00:00"/>
    <n v="1"/>
    <s v="信金基準金利+1.00%"/>
    <n v="25"/>
    <n v="25"/>
    <s v="元利均等"/>
    <d v="2022-09-20T00:00:00"/>
    <n v="845627"/>
    <n v="156620"/>
    <n v="1002247"/>
    <n v="187106609"/>
    <n v="0.7060626754716981"/>
    <n v="16"/>
    <m/>
    <m/>
  </r>
  <r>
    <n v="804"/>
    <s v="返済中"/>
    <n v="505"/>
    <s v="宜野湾信組"/>
    <s v="目白支店"/>
    <n v="404"/>
    <s v="コアプラス大阪株式会社"/>
    <n v="601"/>
    <x v="0"/>
    <n v="104"/>
    <x v="1"/>
    <n v="104"/>
    <s v="コアプラス池袋"/>
    <n v="17000000"/>
    <d v="2014-11-05T00:00:00"/>
    <n v="1"/>
    <s v="信金基準金利+1.00%"/>
    <n v="25"/>
    <n v="25"/>
    <s v="元利均等"/>
    <d v="2022-09-20T00:00:00"/>
    <n v="55801"/>
    <n v="10004"/>
    <n v="65805"/>
    <n v="11950562"/>
    <n v="0.70297423529411762"/>
    <n v="16"/>
    <m/>
    <m/>
  </r>
  <r>
    <n v="805"/>
    <s v="返済中"/>
    <n v="506"/>
    <s v="恩納銀行"/>
    <s v="高田馬場支店"/>
    <n v="406"/>
    <s v="コアプラス札幌株式会社"/>
    <n v="601"/>
    <x v="0"/>
    <n v="106"/>
    <x v="3"/>
    <n v="106"/>
    <s v="東池袋ハイツ"/>
    <n v="376000000"/>
    <d v="2014-12-01T00:00:00"/>
    <n v="1"/>
    <s v="3m TIBOR +1.00%"/>
    <n v="30"/>
    <n v="30"/>
    <s v="元利均等"/>
    <d v="2022-09-20T00:00:00"/>
    <n v="970634"/>
    <n v="241754"/>
    <n v="1212388"/>
    <n v="289146337"/>
    <n v="0.76900621542553194"/>
    <n v="21"/>
    <m/>
    <m/>
  </r>
  <r>
    <n v="806"/>
    <s v="返済中"/>
    <n v="507"/>
    <s v="嘉手納銀行"/>
    <s v="東京支店"/>
    <n v="401"/>
    <s v="コアプラス東京株式会社"/>
    <n v="601"/>
    <x v="0"/>
    <n v="101"/>
    <x v="4"/>
    <n v="101"/>
    <s v="西池袋駅前ビル"/>
    <n v="226000000"/>
    <d v="2015-06-01T00:00:00"/>
    <n v="1"/>
    <s v="信金基準金利+1.00%"/>
    <n v="25"/>
    <n v="25"/>
    <s v="元利均等"/>
    <d v="2022-09-30T00:00:00"/>
    <n v="712666"/>
    <n v="139065"/>
    <n v="851731"/>
    <n v="166166517"/>
    <n v="0.73525007522123897"/>
    <n v="17"/>
    <m/>
    <m/>
  </r>
  <r>
    <n v="807"/>
    <s v="返済中"/>
    <n v="508"/>
    <s v="奄美信金"/>
    <s v="大阪支店"/>
    <n v="404"/>
    <s v="コアプラス大阪株式会社"/>
    <n v="601"/>
    <x v="0"/>
    <n v="103"/>
    <x v="5"/>
    <n v="103"/>
    <s v="カーサ目白台ハウス"/>
    <n v="413500000"/>
    <d v="2015-07-15T00:00:00"/>
    <n v="1.1000000000000001"/>
    <s v="信金基準金利+1.00%"/>
    <n v="30"/>
    <n v="30"/>
    <s v="元利均等"/>
    <d v="2022-09-20T00:00:00"/>
    <n v="1049552"/>
    <n v="299492"/>
    <n v="1349044"/>
    <n v="325693047"/>
    <n v="0.78764944860943165"/>
    <n v="22"/>
    <m/>
    <m/>
  </r>
  <r>
    <n v="808"/>
    <s v="返済中"/>
    <n v="509"/>
    <s v="竹富信金"/>
    <s v="沖縄支店"/>
    <n v="407"/>
    <s v="コアプラス福岡株式会社"/>
    <n v="601"/>
    <x v="0"/>
    <n v="107"/>
    <x v="6"/>
    <n v="107"/>
    <s v="メゾン雑司ヶ谷"/>
    <n v="392000000"/>
    <d v="2015-10-15T00:00:00"/>
    <n v="1.2"/>
    <s v="信金基準金利+1.00%"/>
    <n v="30"/>
    <n v="30"/>
    <s v="元利均等"/>
    <d v="2022-09-30T00:00:00"/>
    <n v="982474"/>
    <n v="314688"/>
    <n v="1297162"/>
    <n v="313706389"/>
    <n v="0.80027140051020407"/>
    <n v="22"/>
    <m/>
    <m/>
  </r>
  <r>
    <n v="809"/>
    <s v="返済中"/>
    <n v="510"/>
    <s v="西表信金"/>
    <s v="東京支店"/>
    <n v="409"/>
    <s v="コアプラス四国株式会社"/>
    <n v="601"/>
    <x v="0"/>
    <n v="109"/>
    <x v="7"/>
    <n v="109"/>
    <s v="カーサ南池袋"/>
    <n v="180000000"/>
    <d v="2015-12-24T00:00:00"/>
    <n v="1.5"/>
    <s v="信金基準金利+1.00%"/>
    <n v="30"/>
    <n v="30"/>
    <s v="元利均等"/>
    <d v="2022-09-30T00:00:00"/>
    <n v="437860"/>
    <n v="183356"/>
    <n v="621216"/>
    <n v="146247653"/>
    <n v="0.81248696111111107"/>
    <n v="22"/>
    <m/>
    <m/>
  </r>
  <r>
    <n v="810"/>
    <s v="完済"/>
    <n v="511"/>
    <s v="宮古信組"/>
    <s v="大阪支店"/>
    <n v="410"/>
    <s v="コアプラス沖縄株式会社"/>
    <n v="601"/>
    <x v="0"/>
    <n v="110"/>
    <x v="8"/>
    <n v="110"/>
    <s v="仙台駅前コーポ"/>
    <n v="250000000"/>
    <d v="2016-01-21T00:00:00"/>
    <n v="1.375"/>
    <s v="信金基準金利+1.00%"/>
    <n v="30"/>
    <n v="30"/>
    <s v="元利均等"/>
    <s v="完済"/>
    <m/>
    <m/>
    <m/>
    <m/>
    <n v="0"/>
    <n v="0"/>
    <m/>
    <m/>
  </r>
  <r>
    <n v="811"/>
    <s v="返済中"/>
    <n v="512"/>
    <s v="座間味信金"/>
    <s v="沖縄支店"/>
    <n v="401"/>
    <s v="コアプラス東京株式会社"/>
    <n v="601"/>
    <x v="0"/>
    <n v="111"/>
    <x v="9"/>
    <n v="111"/>
    <s v="目白カーサ二番館"/>
    <n v="280000000"/>
    <d v="2016-02-24T00:00:00"/>
    <n v="1.3"/>
    <s v="3m TIBOR +1.00%"/>
    <n v="30"/>
    <n v="30"/>
    <s v="元利均等"/>
    <d v="2022-09-20T00:00:00"/>
    <n v="692442"/>
    <n v="247247"/>
    <n v="939689"/>
    <n v="227542871"/>
    <n v="0.8126531107142857"/>
    <n v="23"/>
    <m/>
    <m/>
  </r>
  <r>
    <n v="812"/>
    <s v="返済中"/>
    <n v="501"/>
    <s v="石垣銀行"/>
    <s v="池袋支店"/>
    <n v="402"/>
    <s v="コアプラス名古屋株式会社"/>
    <n v="601"/>
    <x v="0"/>
    <n v="112"/>
    <x v="10"/>
    <n v="112"/>
    <s v="豊島目白ビル"/>
    <n v="450000000"/>
    <d v="2016-03-29T00:00:00"/>
    <n v="1.3"/>
    <s v="信金基準金利+1.00%"/>
    <n v="30"/>
    <n v="30"/>
    <s v="元利均等"/>
    <d v="2022-09-30T00:00:00"/>
    <n v="1111644"/>
    <n v="398578"/>
    <n v="1510222"/>
    <n v="366807279"/>
    <n v="0.81512728666666667"/>
    <n v="23"/>
    <m/>
    <m/>
  </r>
  <r>
    <n v="813"/>
    <s v="返済中"/>
    <n v="502"/>
    <s v="首里信金"/>
    <s v="目白支店"/>
    <n v="404"/>
    <s v="コアプラス大阪株式会社"/>
    <n v="601"/>
    <x v="0"/>
    <n v="113"/>
    <x v="11"/>
    <n v="113"/>
    <s v="第3目白ハイツ"/>
    <n v="495000000"/>
    <d v="2016-06-30T00:00:00"/>
    <n v="1.375"/>
    <s v="信金基準金利+1.00%"/>
    <n v="30"/>
    <n v="30"/>
    <s v="元利均等"/>
    <d v="2022-09-30T00:00:00"/>
    <n v="1209934"/>
    <n v="468878"/>
    <n v="1678812"/>
    <n v="407992887"/>
    <n v="0.82422805454545456"/>
    <n v="23"/>
    <m/>
    <m/>
  </r>
  <r>
    <n v="814"/>
    <s v="返済中"/>
    <n v="503"/>
    <s v="名護信金"/>
    <s v="高田馬場支店"/>
    <n v="404"/>
    <s v="コアプラス大阪株式会社"/>
    <n v="601"/>
    <x v="0"/>
    <n v="114"/>
    <x v="12"/>
    <n v="114"/>
    <s v="レジデンス目白豊島"/>
    <n v="189000000"/>
    <d v="2016-08-30T00:00:00"/>
    <n v="1.3"/>
    <s v="信金基準金利+1.00%"/>
    <n v="40"/>
    <n v="40"/>
    <s v="元利均等"/>
    <d v="2022-09-20T00:00:00"/>
    <n v="324776"/>
    <n v="180387"/>
    <n v="505163"/>
    <n v="166191734"/>
    <n v="0.87932134391534389"/>
    <n v="33"/>
    <m/>
    <m/>
  </r>
  <r>
    <n v="815"/>
    <s v="返済中"/>
    <n v="504"/>
    <s v="読谷信金"/>
    <s v="東京支店"/>
    <n v="405"/>
    <s v="コアプラス仙台株式会社"/>
    <n v="601"/>
    <x v="0"/>
    <n v="115"/>
    <x v="13"/>
    <n v="115"/>
    <s v="コアプラス大塚"/>
    <n v="530000000"/>
    <d v="2017-04-27T00:00:00"/>
    <n v="1.3"/>
    <s v="信金基準金利+1.00%"/>
    <n v="40"/>
    <n v="40"/>
    <s v="元利均等"/>
    <d v="2022-09-20T00:00:00"/>
    <n v="902892"/>
    <n v="513702"/>
    <n v="1416594"/>
    <n v="473298872"/>
    <n v="0.8930167396226415"/>
    <n v="34"/>
    <m/>
    <m/>
  </r>
  <r>
    <n v="816"/>
    <s v="返済中"/>
    <n v="505"/>
    <s v="宜野湾信組"/>
    <s v="大阪支店"/>
    <n v="406"/>
    <s v="コアプラス札幌株式会社"/>
    <n v="601"/>
    <x v="0"/>
    <n v="116"/>
    <x v="14"/>
    <n v="116"/>
    <s v="コアプラスレジデンス梅田"/>
    <n v="369000000"/>
    <d v="2017-04-28T00:00:00"/>
    <n v="1.45"/>
    <s v="信金基準金利+1.00%"/>
    <n v="40"/>
    <n v="40"/>
    <s v="元利均等"/>
    <d v="2022-09-30T00:00:00"/>
    <n v="613310"/>
    <n v="400259"/>
    <n v="1013569"/>
    <n v="330636161"/>
    <n v="0.89603295663956639"/>
    <n v="34"/>
    <m/>
    <m/>
  </r>
  <r>
    <n v="817"/>
    <s v="返済中"/>
    <n v="506"/>
    <s v="恩納銀行"/>
    <s v="沖縄支店"/>
    <n v="407"/>
    <s v="コアプラス福岡株式会社"/>
    <n v="601"/>
    <x v="0"/>
    <n v="117"/>
    <x v="15"/>
    <n v="117"/>
    <s v="高田馬場第4玉川ビル"/>
    <n v="118000000"/>
    <d v="2017-08-31T00:00:00"/>
    <n v="1.675"/>
    <s v="3m TIBOR +1.00%"/>
    <n v="35"/>
    <n v="35"/>
    <s v="元利均等"/>
    <d v="2022-09-20T00:00:00"/>
    <n v="224843"/>
    <n v="146653"/>
    <n v="371496"/>
    <n v="104842675"/>
    <n v="0.88849724576271183"/>
    <n v="29"/>
    <m/>
    <m/>
  </r>
  <r>
    <n v="818"/>
    <s v="完済"/>
    <n v="507"/>
    <s v="嘉手納銀行"/>
    <s v="東京支店"/>
    <n v="410"/>
    <s v="コアプラス沖縄株式会社"/>
    <n v="601"/>
    <x v="0"/>
    <n v="118"/>
    <x v="16"/>
    <n v="118"/>
    <s v="あおばマンション"/>
    <n v="189000000"/>
    <d v="2017-08-31T00:00:00"/>
    <n v="1.675"/>
    <s v="信金基準金利+1.00%"/>
    <n v="35"/>
    <n v="35"/>
    <s v="元利均等"/>
    <s v="完済"/>
    <m/>
    <m/>
    <m/>
    <m/>
    <n v="0"/>
    <n v="0"/>
    <m/>
    <m/>
  </r>
  <r>
    <n v="820"/>
    <s v="返済中"/>
    <n v="509"/>
    <s v="竹富信金"/>
    <s v="東京支店"/>
    <n v="408"/>
    <s v="コアプラス京都株式会社"/>
    <n v="601"/>
    <x v="0"/>
    <n v="120"/>
    <x v="17"/>
    <n v="120"/>
    <s v="南池袋マンション"/>
    <n v="155000000"/>
    <d v="2018-01-09T00:00:00"/>
    <n v="1.65"/>
    <s v="3m TIBOR +1.00%"/>
    <n v="35"/>
    <n v="35"/>
    <s v="元利均等"/>
    <d v="2022-09-30T00:00:00"/>
    <n v="294357"/>
    <n v="191699"/>
    <n v="486056"/>
    <n v="139123336"/>
    <n v="0.89756990967741934"/>
    <n v="30"/>
    <m/>
    <m/>
  </r>
  <r>
    <n v="821"/>
    <s v="返済中"/>
    <n v="509"/>
    <s v="竹富信金"/>
    <s v="東京支店"/>
    <n v="408"/>
    <s v="コアプラス京都株式会社"/>
    <n v="601"/>
    <x v="0"/>
    <n v="971"/>
    <x v="18"/>
    <n v="971"/>
    <s v="目白アパート1号2号_二棟一括"/>
    <n v="80000000"/>
    <d v="2020-09-29T00:00:00"/>
    <n v="1.6"/>
    <s v="3m TIBOR +1.00%"/>
    <n v="26"/>
    <n v="26"/>
    <s v="元利均等"/>
    <d v="2022-09-01T00:00:00"/>
    <n v="213926"/>
    <n v="100486"/>
    <n v="314412"/>
    <n v="75151106"/>
    <n v="0.93938882499999998"/>
    <n v="23"/>
    <m/>
    <s v="2棟一括"/>
  </r>
  <r>
    <n v="822"/>
    <s v="完済"/>
    <n v="509"/>
    <s v="竹富信金"/>
    <s v="高田馬場支店"/>
    <n v="402"/>
    <s v="コアプラス名古屋株式会社"/>
    <n v="603"/>
    <x v="1"/>
    <n v="102"/>
    <x v="0"/>
    <n v="611"/>
    <s v="無担保"/>
    <n v="238000000"/>
    <d v="2015-10-27T00:00:00"/>
    <n v="1.675"/>
    <s v="信金基準金利+1.00%"/>
    <n v="30"/>
    <n v="30"/>
    <s v="元金均等"/>
    <s v="完済"/>
    <m/>
    <m/>
    <m/>
    <m/>
    <n v="0"/>
    <n v="0"/>
    <m/>
    <m/>
  </r>
  <r>
    <n v="823"/>
    <s v="返済中"/>
    <n v="506"/>
    <s v="恩納銀行"/>
    <s v="沖縄支店"/>
    <n v="406"/>
    <s v="コアプラス札幌株式会社"/>
    <n v="602"/>
    <x v="2"/>
    <n v="116"/>
    <x v="14"/>
    <n v="116"/>
    <s v="コアプラスレジデンス梅田"/>
    <n v="15000000"/>
    <d v="2017-07-12T00:00:00"/>
    <n v="0.97499999999999998"/>
    <s v="信金基準金利+1.00%"/>
    <n v="10"/>
    <n v="10"/>
    <s v="元金均等"/>
    <d v="2022-06-30T00:00:00"/>
    <n v="125000"/>
    <n v="6210"/>
    <n v="131210"/>
    <n v="7500000"/>
    <n v="0.5"/>
    <n v="4"/>
    <m/>
    <m/>
  </r>
  <r>
    <n v="824"/>
    <s v="返済中"/>
    <n v="511"/>
    <s v="宮古信組"/>
    <s v="大阪支店"/>
    <n v="405"/>
    <s v="コアプラス仙台株式会社"/>
    <n v="602"/>
    <x v="2"/>
    <n v="105"/>
    <x v="2"/>
    <n v="105"/>
    <s v="目白アパート"/>
    <n v="17900000"/>
    <d v="2019-06-28T00:00:00"/>
    <n v="0.97499999999999998"/>
    <s v="信金基準金利+1.00%"/>
    <n v="10"/>
    <n v="10"/>
    <s v="元利均等"/>
    <d v="2022-06-30T00:00:00"/>
    <n v="150000"/>
    <n v="10351"/>
    <n v="160351"/>
    <n v="12500000"/>
    <n v="0.6983240223463687"/>
    <n v="6"/>
    <m/>
    <m/>
  </r>
  <r>
    <n v="825"/>
    <s v="返済中"/>
    <n v="512"/>
    <s v="座間味信金"/>
    <s v="沖縄支店"/>
    <n v="301"/>
    <s v="玉川陽介"/>
    <n v="605"/>
    <x v="3"/>
    <n v="222"/>
    <x v="19"/>
    <n v="222"/>
    <s v="プラウD目白301号"/>
    <n v="94000000"/>
    <d v="2021-03-11T00:00:00"/>
    <n v="2.8"/>
    <s v="信金基準金利+1.00%"/>
    <n v="30"/>
    <n v="30"/>
    <s v="元利均等"/>
    <d v="2022-06-06T00:00:00"/>
    <n v="169657"/>
    <n v="221433"/>
    <n v="391090"/>
    <n v="91457870"/>
    <n v="0.97295606382978728"/>
    <n v="28"/>
    <m/>
    <m/>
  </r>
  <r>
    <n v="826"/>
    <s v="返済中"/>
    <n v="501"/>
    <s v="石垣銀行"/>
    <s v="池袋支店"/>
    <n v="401"/>
    <s v="コアプラス東京株式会社"/>
    <n v="602"/>
    <x v="2"/>
    <n v="222"/>
    <x v="19"/>
    <n v="222"/>
    <s v="プラウD目白301号"/>
    <n v="20556000"/>
    <d v="2021-06-30T00:00:00"/>
    <n v="2.9636"/>
    <s v="信金基準金利+1.00%"/>
    <n v="5"/>
    <n v="5"/>
    <s v="元金均等"/>
    <d v="2022-06-27T00:00:00"/>
    <n v="326683"/>
    <n v="42817"/>
    <n v="369500"/>
    <n v="16705681"/>
    <n v="0.81269123370305507"/>
    <n v="3"/>
    <m/>
    <m/>
  </r>
  <r>
    <n v="827"/>
    <s v="返済中"/>
    <n v="502"/>
    <s v="首里信金"/>
    <s v="目白支店"/>
    <n v="401"/>
    <s v="コアプラス東京株式会社"/>
    <n v="603"/>
    <x v="1"/>
    <n v="621"/>
    <x v="20"/>
    <n v="611"/>
    <s v="無担保"/>
    <n v="11000000"/>
    <d v="2021-09-30T00:00:00"/>
    <n v="1.875"/>
    <s v="信金基準金利+1.00%"/>
    <n v="10"/>
    <n v="10"/>
    <s v="元金均等"/>
    <d v="2022-06-30T00:00:00"/>
    <n v="84461"/>
    <n v="16139"/>
    <n v="100600"/>
    <n v="10244573"/>
    <n v="0.93132481818181823"/>
    <n v="8"/>
    <s v="保証協会"/>
    <s v="コロナ融資"/>
  </r>
  <r>
    <n v="828"/>
    <s v="返済中"/>
    <n v="502"/>
    <s v="首里信金"/>
    <s v="高田馬場支店"/>
    <n v="301"/>
    <s v="玉川陽介"/>
    <n v="604"/>
    <x v="4"/>
    <n v="621"/>
    <x v="20"/>
    <n v="611"/>
    <s v="無担保"/>
    <n v="11000000"/>
    <d v="2021-09-30T00:00:00"/>
    <n v="1.875"/>
    <s v="信金基準金利+1.00%"/>
    <n v="10"/>
    <n v="10"/>
    <s v="元金均等"/>
    <d v="2022-06-30T00:00:00"/>
    <n v="84461"/>
    <n v="16139"/>
    <n v="100600"/>
    <n v="10244573"/>
    <n v="0.93132481818181823"/>
    <n v="8"/>
    <m/>
    <s v="書籍事業のため"/>
  </r>
  <r>
    <n v="829"/>
    <s v="返済中"/>
    <n v="502"/>
    <s v="首里信金"/>
    <s v="東京支店"/>
    <n v="401"/>
    <s v="コアプラス東京株式会社"/>
    <n v="602"/>
    <x v="2"/>
    <n v="121"/>
    <x v="21"/>
    <n v="611"/>
    <s v="無担保"/>
    <n v="10000000"/>
    <d v="2021-09-30T00:00:00"/>
    <n v="1.85"/>
    <s v="信金基準金利+1.00%"/>
    <n v="15"/>
    <n v="15"/>
    <s v="元金均等"/>
    <d v="2022-06-30T00:00:00"/>
    <n v="49298"/>
    <n v="14364"/>
    <n v="63662"/>
    <n v="9268450"/>
    <n v="0.92684500000000003"/>
    <n v="13"/>
    <m/>
    <s v="目白アパート1号館単体のみ。2号館は対象外"/>
  </r>
  <r>
    <n v="830"/>
    <s v="返済中"/>
    <n v="302"/>
    <s v="玉川花子"/>
    <s v="-"/>
    <n v="401"/>
    <s v="コアプラス東京株式会社"/>
    <n v="606"/>
    <x v="5"/>
    <n v="621"/>
    <x v="20"/>
    <n v="611"/>
    <s v="無担保"/>
    <n v="2000000"/>
    <d v="2021-09-30T00:00:00"/>
    <n v="0"/>
    <s v="なし"/>
    <n v="10"/>
    <n v="10"/>
    <s v="期日一括"/>
    <d v="2022-06-30T00:00:00"/>
    <n v="0"/>
    <n v="0"/>
    <n v="0"/>
    <n v="2000000"/>
    <n v="1"/>
    <n v="8"/>
    <m/>
    <m/>
  </r>
  <r>
    <n v="831"/>
    <s v="完済"/>
    <n v="501"/>
    <s v="石垣銀行"/>
    <s v="沖縄支店"/>
    <n v="401"/>
    <s v="コアプラス東京株式会社"/>
    <n v="607"/>
    <x v="6"/>
    <n v="621"/>
    <x v="20"/>
    <n v="611"/>
    <s v="無担保"/>
    <n v="11000000"/>
    <d v="2017-08-31T00:00:00"/>
    <n v="1.675"/>
    <s v="信金基準金利+1.00%"/>
    <n v="10"/>
    <n v="10"/>
    <s v="元金均等"/>
    <s v="完済"/>
    <m/>
    <m/>
    <m/>
    <m/>
    <n v="0"/>
    <n v="0"/>
    <m/>
    <m/>
  </r>
  <r>
    <n v="832"/>
    <s v="完済"/>
    <n v="501"/>
    <s v="石垣銀行"/>
    <s v="東京支店"/>
    <n v="401"/>
    <s v="コアプラス東京株式会社"/>
    <n v="608"/>
    <x v="7"/>
    <n v="621"/>
    <x v="20"/>
    <n v="611"/>
    <s v="無担保"/>
    <n v="11000000"/>
    <d v="2017-08-31T00:00:00"/>
    <n v="1.675"/>
    <s v="信金基準金利+1.00%"/>
    <n v="10"/>
    <n v="10"/>
    <s v="元金均等"/>
    <s v="完済"/>
    <m/>
    <m/>
    <m/>
    <m/>
    <n v="0"/>
    <n v="0"/>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
  <r>
    <n v="801"/>
    <s v="返済中"/>
    <n v="502"/>
    <s v="首里信金"/>
    <s v="大阪支店"/>
    <n v="402"/>
    <x v="0"/>
    <n v="601"/>
    <x v="0"/>
    <n v="102"/>
    <s v="池袋ハウス"/>
    <n v="102"/>
    <s v="池袋ハウス"/>
    <n v="550000000"/>
    <d v="2013-02-15T00:00:00"/>
    <n v="1.65"/>
    <s v="信金基準金利+1.00%"/>
    <n v="35"/>
    <n v="35"/>
    <s v="元利均等"/>
    <d v="2022-09-20T00:00:00"/>
    <n v="1050252"/>
    <n v="674466"/>
    <n v="1724718"/>
    <n v="489470974"/>
    <n v="0.88994722545454541"/>
    <n v="25"/>
    <m/>
    <m/>
    <m/>
    <m/>
    <s v="なし"/>
    <m/>
    <s v="なし"/>
    <m/>
    <s v="なし"/>
    <m/>
    <s v="なし"/>
    <m/>
    <m/>
    <d v="2013-02-15T00:00:00"/>
    <d v="2013-02-15T00:00:00"/>
  </r>
  <r>
    <n v="802"/>
    <s v="返済中"/>
    <n v="503"/>
    <s v="名護信金"/>
    <s v="沖縄支店"/>
    <n v="404"/>
    <x v="1"/>
    <n v="601"/>
    <x v="0"/>
    <n v="104"/>
    <s v="コアプラス池袋"/>
    <n v="104"/>
    <s v="コアプラス池袋"/>
    <n v="85000000"/>
    <d v="2014-02-20T00:00:00"/>
    <n v="1"/>
    <s v="信金基準金利+1.00%"/>
    <n v="25"/>
    <n v="25"/>
    <s v="元利均等"/>
    <d v="2022-09-20T00:00:00"/>
    <n v="273127"/>
    <n v="48972"/>
    <n v="322099"/>
    <n v="58496261"/>
    <n v="0.68819130588235289"/>
    <n v="16"/>
    <m/>
    <m/>
    <m/>
    <m/>
    <s v="なし"/>
    <m/>
    <s v="なし"/>
    <m/>
    <s v="なし"/>
    <m/>
    <s v="なし"/>
    <m/>
    <m/>
    <d v="2014-02-20T00:00:00"/>
    <d v="2014-02-20T00:00:00"/>
  </r>
  <r>
    <n v="803"/>
    <s v="返済中"/>
    <n v="504"/>
    <s v="読谷信金"/>
    <s v="池袋支店"/>
    <n v="405"/>
    <x v="2"/>
    <n v="601"/>
    <x v="0"/>
    <n v="105"/>
    <s v="目白アパート"/>
    <n v="105"/>
    <s v="目白アパート"/>
    <n v="265000000"/>
    <d v="2014-09-12T00:00:00"/>
    <n v="1"/>
    <s v="信金基準金利+1.00%"/>
    <n v="25"/>
    <n v="25"/>
    <s v="元利均等"/>
    <d v="2022-09-20T00:00:00"/>
    <n v="845627"/>
    <n v="156620"/>
    <n v="1002247"/>
    <n v="187106609"/>
    <n v="0.7060626754716981"/>
    <n v="16"/>
    <m/>
    <m/>
    <m/>
    <m/>
    <s v="なし"/>
    <m/>
    <s v="なし"/>
    <m/>
    <s v="なし"/>
    <m/>
    <s v="なし"/>
    <m/>
    <m/>
    <d v="2014-09-12T00:00:00"/>
    <d v="2014-09-12T00:00:00"/>
  </r>
  <r>
    <n v="804"/>
    <s v="返済中"/>
    <n v="505"/>
    <s v="宜野湾信組"/>
    <s v="目白支店"/>
    <n v="404"/>
    <x v="1"/>
    <n v="601"/>
    <x v="0"/>
    <n v="104"/>
    <s v="コアプラス池袋"/>
    <n v="104"/>
    <s v="コアプラス池袋"/>
    <n v="17000000"/>
    <d v="2014-11-05T00:00:00"/>
    <n v="1"/>
    <s v="信金基準金利+1.00%"/>
    <n v="25"/>
    <n v="25"/>
    <s v="元利均等"/>
    <d v="2022-09-20T00:00:00"/>
    <n v="55801"/>
    <n v="10004"/>
    <n v="65805"/>
    <n v="11950562"/>
    <n v="0.70297423529411762"/>
    <n v="16"/>
    <m/>
    <m/>
    <m/>
    <m/>
    <s v="なし"/>
    <m/>
    <s v="なし"/>
    <m/>
    <s v="なし"/>
    <m/>
    <s v="なし"/>
    <m/>
    <m/>
    <d v="2014-11-05T00:00:00"/>
    <d v="2014-11-05T00:00:00"/>
  </r>
  <r>
    <n v="805"/>
    <s v="返済中"/>
    <n v="506"/>
    <s v="恩納銀行"/>
    <s v="高田馬場支店"/>
    <n v="406"/>
    <x v="3"/>
    <n v="601"/>
    <x v="0"/>
    <n v="106"/>
    <s v="東池袋ハイツ"/>
    <n v="106"/>
    <s v="東池袋ハイツ"/>
    <n v="376000000"/>
    <d v="2014-12-01T00:00:00"/>
    <n v="1"/>
    <s v="3m TIBOR +1.00%"/>
    <n v="30"/>
    <n v="30"/>
    <s v="元利均等"/>
    <d v="2022-09-20T00:00:00"/>
    <n v="970634"/>
    <n v="241754"/>
    <n v="1212388"/>
    <n v="289146337"/>
    <n v="0.76900621542553194"/>
    <n v="21"/>
    <m/>
    <m/>
    <m/>
    <m/>
    <s v="なし"/>
    <m/>
    <s v="なし"/>
    <m/>
    <s v="なし"/>
    <m/>
    <s v="なし"/>
    <m/>
    <m/>
    <d v="2014-12-01T00:00:00"/>
    <d v="2014-12-01T00:00:00"/>
  </r>
  <r>
    <n v="806"/>
    <s v="返済中"/>
    <n v="507"/>
    <s v="嘉手納銀行"/>
    <s v="東京支店"/>
    <n v="401"/>
    <x v="4"/>
    <n v="601"/>
    <x v="0"/>
    <n v="101"/>
    <s v="西池袋駅前ビル"/>
    <n v="101"/>
    <s v="西池袋駅前ビル"/>
    <n v="226000000"/>
    <d v="2015-06-01T00:00:00"/>
    <n v="1"/>
    <s v="信金基準金利+1.00%"/>
    <n v="25"/>
    <n v="25"/>
    <s v="元利均等"/>
    <d v="2022-09-30T00:00:00"/>
    <n v="712666"/>
    <n v="139065"/>
    <n v="851731"/>
    <n v="166166517"/>
    <n v="0.73525007522123897"/>
    <n v="17"/>
    <m/>
    <m/>
    <m/>
    <m/>
    <s v="なし"/>
    <m/>
    <s v="なし"/>
    <m/>
    <s v="なし"/>
    <m/>
    <s v="なし"/>
    <m/>
    <m/>
    <d v="2015-06-01T00:00:00"/>
    <d v="2015-06-01T00:00:00"/>
  </r>
  <r>
    <n v="807"/>
    <s v="返済中"/>
    <n v="508"/>
    <s v="奄美信金"/>
    <s v="大阪支店"/>
    <n v="404"/>
    <x v="1"/>
    <n v="601"/>
    <x v="0"/>
    <n v="103"/>
    <s v="カーサ目白台ハウス"/>
    <n v="103"/>
    <s v="カーサ目白台ハウス"/>
    <n v="413500000"/>
    <d v="2015-07-15T00:00:00"/>
    <n v="1.1000000000000001"/>
    <s v="信金基準金利+1.00%"/>
    <n v="30"/>
    <n v="30"/>
    <s v="元利均等"/>
    <d v="2022-09-20T00:00:00"/>
    <n v="1049552"/>
    <n v="299492"/>
    <n v="1349044"/>
    <n v="325693047"/>
    <n v="0.78764944860943165"/>
    <n v="22"/>
    <m/>
    <m/>
    <m/>
    <m/>
    <s v="なし"/>
    <m/>
    <s v="なし"/>
    <m/>
    <s v="なし"/>
    <m/>
    <s v="なし"/>
    <m/>
    <m/>
    <d v="2015-07-15T00:00:00"/>
    <d v="2015-07-15T00:00:00"/>
  </r>
  <r>
    <n v="808"/>
    <s v="返済中"/>
    <n v="509"/>
    <s v="竹富信金"/>
    <s v="沖縄支店"/>
    <n v="407"/>
    <x v="5"/>
    <n v="601"/>
    <x v="0"/>
    <n v="107"/>
    <s v="メゾン雑司ヶ谷"/>
    <n v="107"/>
    <s v="メゾン雑司ヶ谷"/>
    <n v="392000000"/>
    <d v="2015-10-15T00:00:00"/>
    <n v="1.2"/>
    <s v="信金基準金利+1.00%"/>
    <n v="30"/>
    <n v="30"/>
    <s v="元利均等"/>
    <d v="2022-09-30T00:00:00"/>
    <n v="982474"/>
    <n v="314688"/>
    <n v="1297162"/>
    <n v="313706389"/>
    <n v="0.80027140051020407"/>
    <n v="22"/>
    <m/>
    <m/>
    <m/>
    <m/>
    <s v="なし"/>
    <m/>
    <s v="なし"/>
    <m/>
    <s v="なし"/>
    <m/>
    <s v="なし"/>
    <m/>
    <m/>
    <d v="2015-10-15T00:00:00"/>
    <d v="2015-10-15T00:00:00"/>
  </r>
  <r>
    <n v="809"/>
    <s v="返済中"/>
    <n v="510"/>
    <s v="西表信金"/>
    <s v="東京支店"/>
    <n v="409"/>
    <x v="6"/>
    <n v="601"/>
    <x v="0"/>
    <n v="109"/>
    <s v="カーサ南池袋"/>
    <n v="109"/>
    <s v="カーサ南池袋"/>
    <n v="180000000"/>
    <d v="2015-12-24T00:00:00"/>
    <n v="1.5"/>
    <s v="信金基準金利+1.00%"/>
    <n v="30"/>
    <n v="30"/>
    <s v="元利均等"/>
    <d v="2022-09-30T00:00:00"/>
    <n v="437860"/>
    <n v="183356"/>
    <n v="621216"/>
    <n v="146247653"/>
    <n v="0.81248696111111107"/>
    <n v="22"/>
    <m/>
    <m/>
    <m/>
    <m/>
    <s v="なし"/>
    <m/>
    <s v="なし"/>
    <m/>
    <s v="なし"/>
    <m/>
    <s v="なし"/>
    <m/>
    <m/>
    <d v="2015-12-24T00:00:00"/>
    <d v="2015-12-24T00:00:00"/>
  </r>
  <r>
    <n v="810"/>
    <s v="完済"/>
    <n v="511"/>
    <s v="宮古信組"/>
    <s v="大阪支店"/>
    <n v="410"/>
    <x v="7"/>
    <n v="601"/>
    <x v="0"/>
    <n v="110"/>
    <s v="仙台駅前コーポ"/>
    <n v="110"/>
    <s v="仙台駅前コーポ"/>
    <n v="250000000"/>
    <d v="2016-01-21T00:00:00"/>
    <n v="1.375"/>
    <s v="信金基準金利+1.00%"/>
    <n v="30"/>
    <n v="30"/>
    <s v="元利均等"/>
    <s v="完済"/>
    <m/>
    <m/>
    <m/>
    <m/>
    <n v="0"/>
    <n v="0"/>
    <m/>
    <m/>
    <m/>
    <m/>
    <s v="なし"/>
    <m/>
    <s v="なし"/>
    <m/>
    <s v="なし"/>
    <m/>
    <s v="なし"/>
    <m/>
    <m/>
    <d v="2016-01-21T00:00:00"/>
    <d v="2016-01-21T00:00:00"/>
  </r>
  <r>
    <n v="811"/>
    <s v="返済中"/>
    <n v="512"/>
    <s v="座間味信金"/>
    <s v="沖縄支店"/>
    <n v="401"/>
    <x v="4"/>
    <n v="601"/>
    <x v="0"/>
    <n v="111"/>
    <s v="目白カーサ二番館"/>
    <n v="111"/>
    <s v="目白カーサ二番館"/>
    <n v="280000000"/>
    <d v="2016-02-24T00:00:00"/>
    <n v="1.3"/>
    <s v="3m TIBOR +1.00%"/>
    <n v="30"/>
    <n v="30"/>
    <s v="元利均等"/>
    <d v="2022-09-20T00:00:00"/>
    <n v="692442"/>
    <n v="247247"/>
    <n v="939689"/>
    <n v="227542871"/>
    <n v="0.8126531107142857"/>
    <n v="23"/>
    <m/>
    <m/>
    <m/>
    <m/>
    <s v="なし"/>
    <m/>
    <s v="なし"/>
    <m/>
    <s v="なし"/>
    <m/>
    <s v="なし"/>
    <m/>
    <m/>
    <d v="2016-02-24T00:00:00"/>
    <d v="2016-02-24T00:00:00"/>
  </r>
  <r>
    <n v="812"/>
    <s v="返済中"/>
    <n v="501"/>
    <s v="石垣銀行"/>
    <s v="池袋支店"/>
    <n v="402"/>
    <x v="0"/>
    <n v="601"/>
    <x v="0"/>
    <n v="112"/>
    <s v="豊島目白ビル"/>
    <n v="112"/>
    <s v="豊島目白ビル"/>
    <n v="450000000"/>
    <d v="2016-03-29T00:00:00"/>
    <n v="1.3"/>
    <s v="信金基準金利+1.00%"/>
    <n v="30"/>
    <n v="30"/>
    <s v="元利均等"/>
    <d v="2022-09-30T00:00:00"/>
    <n v="1111644"/>
    <n v="398578"/>
    <n v="1510222"/>
    <n v="366807279"/>
    <n v="0.81512728666666667"/>
    <n v="23"/>
    <m/>
    <m/>
    <m/>
    <m/>
    <s v="なし"/>
    <m/>
    <s v="なし"/>
    <m/>
    <s v="なし"/>
    <m/>
    <s v="なし"/>
    <m/>
    <m/>
    <d v="2016-03-29T00:00:00"/>
    <d v="2016-03-29T00:00:00"/>
  </r>
  <r>
    <n v="813"/>
    <s v="返済中"/>
    <n v="502"/>
    <s v="首里信金"/>
    <s v="目白支店"/>
    <n v="404"/>
    <x v="1"/>
    <n v="601"/>
    <x v="0"/>
    <n v="113"/>
    <s v="第3目白ハイツ"/>
    <n v="113"/>
    <s v="第3目白ハイツ"/>
    <n v="495000000"/>
    <d v="2016-06-30T00:00:00"/>
    <n v="1.375"/>
    <s v="信金基準金利+1.00%"/>
    <n v="30"/>
    <n v="30"/>
    <s v="元利均等"/>
    <d v="2022-09-30T00:00:00"/>
    <n v="1209934"/>
    <n v="468878"/>
    <n v="1678812"/>
    <n v="407992887"/>
    <n v="0.82422805454545456"/>
    <n v="23"/>
    <m/>
    <m/>
    <m/>
    <m/>
    <s v="なし"/>
    <m/>
    <s v="なし"/>
    <m/>
    <s v="なし"/>
    <m/>
    <s v="なし"/>
    <m/>
    <m/>
    <d v="2016-06-30T00:00:00"/>
    <d v="2016-06-30T00:00:00"/>
  </r>
  <r>
    <n v="814"/>
    <s v="返済中"/>
    <n v="503"/>
    <s v="名護信金"/>
    <s v="高田馬場支店"/>
    <n v="404"/>
    <x v="1"/>
    <n v="601"/>
    <x v="0"/>
    <n v="114"/>
    <s v="レジデンス目白豊島"/>
    <n v="114"/>
    <s v="レジデンス目白豊島"/>
    <n v="189000000"/>
    <d v="2016-08-30T00:00:00"/>
    <n v="1.3"/>
    <s v="信金基準金利+1.00%"/>
    <n v="40"/>
    <n v="40"/>
    <s v="元利均等"/>
    <d v="2022-09-20T00:00:00"/>
    <n v="324776"/>
    <n v="180387"/>
    <n v="505163"/>
    <n v="166191734"/>
    <n v="0.87932134391534389"/>
    <n v="33"/>
    <m/>
    <m/>
    <m/>
    <m/>
    <s v="なし"/>
    <m/>
    <s v="なし"/>
    <m/>
    <s v="なし"/>
    <m/>
    <s v="なし"/>
    <m/>
    <m/>
    <d v="2016-08-30T00:00:00"/>
    <d v="2016-08-30T00:00:00"/>
  </r>
  <r>
    <n v="815"/>
    <s v="返済中"/>
    <n v="504"/>
    <s v="読谷信金"/>
    <s v="東京支店"/>
    <n v="405"/>
    <x v="2"/>
    <n v="601"/>
    <x v="0"/>
    <n v="115"/>
    <s v="コアプラス大塚"/>
    <n v="115"/>
    <s v="コアプラス大塚"/>
    <n v="530000000"/>
    <d v="2017-04-27T00:00:00"/>
    <n v="1.3"/>
    <s v="信金基準金利+1.00%"/>
    <n v="40"/>
    <n v="40"/>
    <s v="元利均等"/>
    <d v="2022-09-20T00:00:00"/>
    <n v="902892"/>
    <n v="513702"/>
    <n v="1416594"/>
    <n v="473298872"/>
    <n v="0.8930167396226415"/>
    <n v="34"/>
    <m/>
    <m/>
    <m/>
    <m/>
    <s v="なし"/>
    <m/>
    <s v="なし"/>
    <m/>
    <s v="なし"/>
    <m/>
    <s v="なし"/>
    <m/>
    <m/>
    <d v="2017-04-27T00:00:00"/>
    <d v="2017-04-27T00:00:00"/>
  </r>
  <r>
    <n v="816"/>
    <s v="返済中"/>
    <n v="505"/>
    <s v="宜野湾信組"/>
    <s v="大阪支店"/>
    <n v="406"/>
    <x v="3"/>
    <n v="601"/>
    <x v="0"/>
    <n v="116"/>
    <s v="コアプラスレジデンス梅田"/>
    <n v="116"/>
    <s v="コアプラスレジデンス梅田"/>
    <n v="369000000"/>
    <d v="2017-04-28T00:00:00"/>
    <n v="1.45"/>
    <s v="信金基準金利+1.00%"/>
    <n v="40"/>
    <n v="40"/>
    <s v="元利均等"/>
    <d v="2022-09-30T00:00:00"/>
    <n v="613310"/>
    <n v="400259"/>
    <n v="1013569"/>
    <n v="330636161"/>
    <n v="0.89603295663956639"/>
    <n v="34"/>
    <m/>
    <m/>
    <m/>
    <m/>
    <s v="なし"/>
    <m/>
    <s v="なし"/>
    <m/>
    <s v="なし"/>
    <m/>
    <s v="なし"/>
    <m/>
    <m/>
    <d v="2017-04-28T00:00:00"/>
    <d v="2017-04-28T00:00:00"/>
  </r>
  <r>
    <n v="817"/>
    <s v="返済中"/>
    <n v="506"/>
    <s v="恩納銀行"/>
    <s v="沖縄支店"/>
    <n v="407"/>
    <x v="5"/>
    <n v="601"/>
    <x v="0"/>
    <n v="117"/>
    <s v="高田馬場第4玉川ビル"/>
    <n v="117"/>
    <s v="高田馬場第4玉川ビル"/>
    <n v="118000000"/>
    <d v="2017-08-31T00:00:00"/>
    <n v="1.675"/>
    <s v="3m TIBOR +1.00%"/>
    <n v="35"/>
    <n v="35"/>
    <s v="元利均等"/>
    <d v="2022-09-20T00:00:00"/>
    <n v="224843"/>
    <n v="146653"/>
    <n v="371496"/>
    <n v="104842675"/>
    <n v="0.88849724576271183"/>
    <n v="29"/>
    <m/>
    <m/>
    <m/>
    <m/>
    <s v="なし"/>
    <m/>
    <s v="なし"/>
    <m/>
    <s v="なし"/>
    <m/>
    <s v="なし"/>
    <m/>
    <m/>
    <d v="2017-08-31T00:00:00"/>
    <d v="2017-08-31T00:00:00"/>
  </r>
  <r>
    <n v="818"/>
    <s v="完済"/>
    <n v="507"/>
    <s v="嘉手納銀行"/>
    <s v="東京支店"/>
    <n v="410"/>
    <x v="7"/>
    <n v="601"/>
    <x v="0"/>
    <n v="118"/>
    <s v="あおばマンション"/>
    <n v="118"/>
    <s v="あおばマンション"/>
    <n v="189000000"/>
    <d v="2017-08-31T00:00:00"/>
    <n v="1.675"/>
    <s v="信金基準金利+1.00%"/>
    <n v="35"/>
    <n v="35"/>
    <s v="元利均等"/>
    <s v="完済"/>
    <m/>
    <m/>
    <m/>
    <m/>
    <n v="0"/>
    <n v="0"/>
    <m/>
    <m/>
    <m/>
    <m/>
    <s v="なし"/>
    <m/>
    <s v="なし"/>
    <m/>
    <s v="なし"/>
    <m/>
    <s v="なし"/>
    <m/>
    <m/>
    <d v="2017-08-31T00:00:00"/>
    <d v="2017-08-31T00:00:00"/>
  </r>
  <r>
    <n v="820"/>
    <s v="返済中"/>
    <n v="509"/>
    <s v="竹富信金"/>
    <s v="東京支店"/>
    <n v="408"/>
    <x v="8"/>
    <n v="601"/>
    <x v="0"/>
    <n v="120"/>
    <s v="南池袋マンション"/>
    <n v="120"/>
    <s v="南池袋マンション"/>
    <n v="155000000"/>
    <d v="2018-01-09T00:00:00"/>
    <n v="1.65"/>
    <s v="3m TIBOR +1.00%"/>
    <n v="35"/>
    <n v="35"/>
    <s v="元利均等"/>
    <d v="2022-09-30T00:00:00"/>
    <n v="294357"/>
    <n v="191699"/>
    <n v="486056"/>
    <n v="139123336"/>
    <n v="0.89756990967741934"/>
    <n v="30"/>
    <m/>
    <m/>
    <m/>
    <m/>
    <s v="なし"/>
    <m/>
    <s v="なし"/>
    <m/>
    <s v="なし"/>
    <m/>
    <s v="なし"/>
    <m/>
    <m/>
    <d v="2018-01-09T00:00:00"/>
    <d v="2018-01-09T00:00:00"/>
  </r>
  <r>
    <n v="821"/>
    <s v="返済中"/>
    <n v="509"/>
    <s v="竹富信金"/>
    <s v="東京支店"/>
    <n v="408"/>
    <x v="8"/>
    <n v="601"/>
    <x v="0"/>
    <n v="971"/>
    <s v="目白アパート1号2号_二棟一括"/>
    <n v="971"/>
    <s v="目白アパート1号2号_二棟一括"/>
    <n v="80000000"/>
    <d v="2020-09-29T00:00:00"/>
    <n v="1.6"/>
    <s v="3m TIBOR +1.00%"/>
    <n v="26"/>
    <n v="26"/>
    <s v="元利均等"/>
    <d v="2022-09-01T00:00:00"/>
    <n v="213926"/>
    <n v="100486"/>
    <n v="314412"/>
    <n v="75151106"/>
    <n v="0.93938882499999998"/>
    <n v="23"/>
    <m/>
    <s v="2棟一括"/>
    <m/>
    <m/>
    <s v="なし"/>
    <m/>
    <s v="なし"/>
    <m/>
    <s v="なし"/>
    <m/>
    <s v="なし"/>
    <m/>
    <m/>
    <d v="2020-09-29T00:00:00"/>
    <d v="2020-09-29T00:00:00"/>
  </r>
  <r>
    <n v="822"/>
    <s v="完済"/>
    <n v="509"/>
    <s v="竹富信金"/>
    <s v="高田馬場支店"/>
    <n v="402"/>
    <x v="0"/>
    <n v="603"/>
    <x v="1"/>
    <n v="102"/>
    <s v="池袋ハウス"/>
    <n v="611"/>
    <s v="無担保"/>
    <n v="238000000"/>
    <d v="2015-10-27T00:00:00"/>
    <n v="1.675"/>
    <s v="信金基準金利+1.00%"/>
    <n v="30"/>
    <n v="30"/>
    <s v="元金均等"/>
    <s v="完済"/>
    <m/>
    <m/>
    <m/>
    <m/>
    <n v="0"/>
    <n v="0"/>
    <m/>
    <m/>
    <m/>
    <m/>
    <s v="なし"/>
    <m/>
    <s v="なし"/>
    <m/>
    <s v="なし"/>
    <m/>
    <s v="なし"/>
    <m/>
    <m/>
    <d v="2015-10-27T00:00:00"/>
    <d v="2015-10-27T00:00:00"/>
  </r>
  <r>
    <n v="823"/>
    <s v="返済中"/>
    <n v="506"/>
    <s v="恩納銀行"/>
    <s v="沖縄支店"/>
    <n v="406"/>
    <x v="3"/>
    <n v="602"/>
    <x v="2"/>
    <n v="116"/>
    <s v="コアプラスレジデンス梅田"/>
    <n v="116"/>
    <s v="コアプラスレジデンス梅田"/>
    <n v="15000000"/>
    <d v="2017-07-12T00:00:00"/>
    <n v="0.97499999999999998"/>
    <s v="信金基準金利+1.00%"/>
    <n v="10"/>
    <n v="10"/>
    <s v="元金均等"/>
    <d v="2022-06-30T00:00:00"/>
    <n v="125000"/>
    <n v="6210"/>
    <n v="131210"/>
    <n v="7500000"/>
    <n v="0.5"/>
    <n v="4"/>
    <m/>
    <m/>
    <m/>
    <n v="671"/>
    <s v="共同担保"/>
    <n v="106"/>
    <s v="東池袋ハイツ"/>
    <m/>
    <s v="なし"/>
    <m/>
    <s v="なし"/>
    <m/>
    <m/>
    <d v="2017-07-12T00:00:00"/>
    <d v="2017-07-12T00:00:00"/>
  </r>
  <r>
    <n v="824"/>
    <s v="返済中"/>
    <n v="511"/>
    <s v="宮古信組"/>
    <s v="大阪支店"/>
    <n v="405"/>
    <x v="2"/>
    <n v="602"/>
    <x v="2"/>
    <n v="105"/>
    <s v="目白アパート"/>
    <n v="105"/>
    <s v="目白アパート"/>
    <n v="17900000"/>
    <d v="2019-06-28T00:00:00"/>
    <n v="0.97499999999999998"/>
    <s v="信金基準金利+1.00%"/>
    <n v="10"/>
    <n v="10"/>
    <s v="元利均等"/>
    <d v="2022-06-30T00:00:00"/>
    <n v="150000"/>
    <n v="10351"/>
    <n v="160351"/>
    <n v="12500000"/>
    <n v="0.6983240223463687"/>
    <n v="6"/>
    <m/>
    <m/>
    <m/>
    <n v="673"/>
    <s v="第二抵当"/>
    <n v="107"/>
    <s v="メゾン雑司ヶ谷"/>
    <m/>
    <s v="なし"/>
    <m/>
    <s v="なし"/>
    <m/>
    <m/>
    <d v="2019-06-28T00:00:00"/>
    <d v="2019-06-28T00:00:00"/>
  </r>
  <r>
    <n v="825"/>
    <s v="返済中"/>
    <n v="512"/>
    <s v="座間味信金"/>
    <s v="沖縄支店"/>
    <n v="301"/>
    <x v="9"/>
    <n v="605"/>
    <x v="3"/>
    <n v="222"/>
    <s v="プラウD目白301号"/>
    <n v="222"/>
    <s v="プラウD目白301号"/>
    <n v="94000000"/>
    <d v="2021-03-11T00:00:00"/>
    <n v="2.8"/>
    <s v="信金基準金利+1.00%"/>
    <n v="30"/>
    <n v="30"/>
    <s v="元利均等"/>
    <d v="2022-06-06T00:00:00"/>
    <n v="169657"/>
    <n v="221433"/>
    <n v="391090"/>
    <n v="91457870"/>
    <n v="0.97295606382978728"/>
    <n v="28"/>
    <m/>
    <m/>
    <m/>
    <n v="673"/>
    <s v="第二抵当"/>
    <n v="109"/>
    <s v="カーサ南池袋"/>
    <n v="671"/>
    <s v="共同担保"/>
    <n v="111"/>
    <s v="目白カーサ二番館"/>
    <m/>
    <m/>
    <d v="2021-03-11T00:00:00"/>
    <d v="2021-03-11T00:00:00"/>
  </r>
  <r>
    <n v="826"/>
    <s v="返済中"/>
    <n v="501"/>
    <s v="石垣銀行"/>
    <s v="池袋支店"/>
    <n v="401"/>
    <x v="4"/>
    <n v="602"/>
    <x v="2"/>
    <n v="222"/>
    <s v="プラウD目白301号"/>
    <n v="222"/>
    <s v="プラウD目白301号"/>
    <n v="20556000"/>
    <d v="2021-06-30T00:00:00"/>
    <n v="2.9636"/>
    <s v="信金基準金利+1.00%"/>
    <n v="5"/>
    <n v="5"/>
    <s v="元金均等"/>
    <d v="2022-06-27T00:00:00"/>
    <n v="326683"/>
    <n v="42817"/>
    <n v="369500"/>
    <n v="16705681"/>
    <n v="0.81269123370305507"/>
    <n v="3"/>
    <m/>
    <m/>
    <m/>
    <n v="671"/>
    <s v="共同担保"/>
    <n v="109"/>
    <s v="カーサ南池袋"/>
    <m/>
    <s v="なし"/>
    <m/>
    <s v="なし"/>
    <m/>
    <m/>
    <d v="2021-06-30T00:00:00"/>
    <d v="2021-06-30T00:00:00"/>
  </r>
  <r>
    <n v="827"/>
    <s v="返済中"/>
    <n v="502"/>
    <s v="首里信金"/>
    <s v="目白支店"/>
    <n v="401"/>
    <x v="4"/>
    <n v="603"/>
    <x v="1"/>
    <n v="621"/>
    <s v="対象物件なし(運転資金)"/>
    <n v="611"/>
    <s v="無担保"/>
    <n v="11000000"/>
    <d v="2021-09-30T00:00:00"/>
    <n v="1.875"/>
    <s v="信金基準金利+1.00%"/>
    <n v="10"/>
    <n v="10"/>
    <s v="元金均等"/>
    <d v="2022-06-30T00:00:00"/>
    <n v="84461"/>
    <n v="16139"/>
    <n v="100600"/>
    <n v="10244573"/>
    <n v="0.93132481818181823"/>
    <n v="8"/>
    <s v="保証協会"/>
    <s v="コロナ融資"/>
    <m/>
    <m/>
    <s v="なし"/>
    <m/>
    <s v="なし"/>
    <m/>
    <s v="なし"/>
    <m/>
    <s v="なし"/>
    <m/>
    <m/>
    <d v="2021-09-30T00:00:00"/>
    <d v="2021-09-30T00:00:00"/>
  </r>
  <r>
    <n v="828"/>
    <s v="返済中"/>
    <n v="502"/>
    <s v="首里信金"/>
    <s v="高田馬場支店"/>
    <n v="301"/>
    <x v="9"/>
    <n v="604"/>
    <x v="4"/>
    <n v="621"/>
    <s v="対象物件なし(運転資金)"/>
    <n v="611"/>
    <s v="無担保"/>
    <n v="11000000"/>
    <d v="2021-09-30T00:00:00"/>
    <n v="1.875"/>
    <s v="信金基準金利+1.00%"/>
    <n v="10"/>
    <n v="10"/>
    <s v="元金均等"/>
    <d v="2022-06-30T00:00:00"/>
    <n v="84461"/>
    <n v="16139"/>
    <n v="100600"/>
    <n v="10244573"/>
    <n v="0.93132481818181823"/>
    <n v="8"/>
    <m/>
    <s v="書籍事業のため"/>
    <m/>
    <m/>
    <s v="なし"/>
    <m/>
    <s v="なし"/>
    <m/>
    <s v="なし"/>
    <m/>
    <s v="なし"/>
    <m/>
    <m/>
    <d v="2021-09-30T00:00:00"/>
    <d v="2021-09-30T00:00:00"/>
  </r>
  <r>
    <n v="829"/>
    <s v="返済中"/>
    <n v="502"/>
    <s v="首里信金"/>
    <s v="東京支店"/>
    <n v="401"/>
    <x v="4"/>
    <n v="602"/>
    <x v="2"/>
    <n v="121"/>
    <s v="目白アパート1号館"/>
    <n v="611"/>
    <s v="無担保"/>
    <n v="10000000"/>
    <d v="2021-09-30T00:00:00"/>
    <n v="1.85"/>
    <s v="信金基準金利+1.00%"/>
    <n v="15"/>
    <n v="15"/>
    <s v="元金均等"/>
    <d v="2022-06-30T00:00:00"/>
    <n v="49298"/>
    <n v="14364"/>
    <n v="63662"/>
    <n v="9268450"/>
    <n v="0.92684500000000003"/>
    <n v="13"/>
    <m/>
    <s v="目白アパート1号館単体のみ。2号館は対象外"/>
    <m/>
    <m/>
    <s v="なし"/>
    <m/>
    <s v="なし"/>
    <m/>
    <s v="なし"/>
    <m/>
    <s v="なし"/>
    <m/>
    <m/>
    <d v="2021-09-30T00:00:00"/>
    <d v="2021-09-30T00:00:00"/>
  </r>
  <r>
    <n v="830"/>
    <s v="返済中"/>
    <n v="302"/>
    <s v="玉川花子"/>
    <s v="-"/>
    <n v="401"/>
    <x v="4"/>
    <n v="606"/>
    <x v="5"/>
    <n v="621"/>
    <s v="対象物件なし(運転資金)"/>
    <n v="611"/>
    <s v="無担保"/>
    <n v="2000000"/>
    <d v="2021-09-30T00:00:00"/>
    <n v="0"/>
    <s v="なし"/>
    <n v="10"/>
    <n v="10"/>
    <s v="期日一括"/>
    <d v="2022-06-30T00:00:00"/>
    <n v="0"/>
    <n v="0"/>
    <n v="0"/>
    <n v="2000000"/>
    <n v="1"/>
    <n v="8"/>
    <m/>
    <m/>
    <m/>
    <m/>
    <s v="なし"/>
    <m/>
    <s v="なし"/>
    <m/>
    <s v="なし"/>
    <m/>
    <s v="なし"/>
    <m/>
    <m/>
    <d v="2031-09-30T00:00:00"/>
    <d v="2031-09-30T00:00:00"/>
  </r>
  <r>
    <n v="831"/>
    <s v="完済"/>
    <n v="501"/>
    <s v="石垣銀行"/>
    <s v="沖縄支店"/>
    <n v="401"/>
    <x v="4"/>
    <n v="607"/>
    <x v="6"/>
    <n v="621"/>
    <s v="対象物件なし(運転資金)"/>
    <n v="611"/>
    <s v="無担保"/>
    <n v="11000000"/>
    <d v="2017-08-31T00:00:00"/>
    <n v="1.675"/>
    <s v="信金基準金利+1.00%"/>
    <n v="10"/>
    <n v="10"/>
    <s v="元金均等"/>
    <s v="完済"/>
    <m/>
    <m/>
    <m/>
    <m/>
    <n v="0"/>
    <n v="0"/>
    <m/>
    <m/>
    <m/>
    <m/>
    <s v="なし"/>
    <m/>
    <s v="なし"/>
    <m/>
    <s v="なし"/>
    <m/>
    <s v="なし"/>
    <m/>
    <m/>
    <d v="2017-08-31T00:00:00"/>
    <d v="2017-08-31T00:00:00"/>
  </r>
  <r>
    <n v="832"/>
    <s v="完済"/>
    <n v="501"/>
    <s v="石垣銀行"/>
    <s v="東京支店"/>
    <n v="401"/>
    <x v="4"/>
    <n v="608"/>
    <x v="7"/>
    <n v="621"/>
    <s v="対象物件なし(運転資金)"/>
    <n v="611"/>
    <s v="無担保"/>
    <n v="11000000"/>
    <d v="2017-08-31T00:00:00"/>
    <n v="1.675"/>
    <s v="信金基準金利+1.00%"/>
    <n v="10"/>
    <n v="10"/>
    <s v="元金均等"/>
    <s v="完済"/>
    <m/>
    <m/>
    <m/>
    <m/>
    <n v="0"/>
    <n v="0"/>
    <m/>
    <m/>
    <m/>
    <m/>
    <s v="なし"/>
    <m/>
    <s v="なし"/>
    <m/>
    <s v="なし"/>
    <m/>
    <s v="なし"/>
    <m/>
    <m/>
    <d v="2017-08-31T00:00:00"/>
    <d v="2017-08-31T00:00:00"/>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n v="1"/>
    <n v="101"/>
    <x v="0"/>
    <s v="101"/>
    <n v="16.89"/>
    <n v="631"/>
    <x v="0"/>
    <s v="1K"/>
    <n v="62000"/>
    <n v="3000"/>
    <n v="0"/>
    <n v="0"/>
    <n v="65000"/>
    <n v="65000"/>
    <n v="0"/>
    <n v="65000"/>
    <n v="65000"/>
    <s v="日本人等"/>
    <x v="0"/>
    <s v=""/>
    <m/>
    <s v="101_101"/>
    <n v="65000"/>
    <m/>
    <n v="1"/>
    <n v="65000"/>
    <n v="0"/>
    <n v="0"/>
    <n v="1"/>
    <x v="0"/>
  </r>
  <r>
    <n v="2"/>
    <n v="101"/>
    <x v="0"/>
    <s v="102"/>
    <n v="16.75"/>
    <n v="631"/>
    <x v="0"/>
    <s v="1K"/>
    <n v="62000"/>
    <n v="3000"/>
    <n v="0"/>
    <n v="0"/>
    <n v="65000"/>
    <n v="65000"/>
    <n v="0"/>
    <n v="65000"/>
    <n v="65000"/>
    <s v="日本人等"/>
    <x v="0"/>
    <s v=""/>
    <m/>
    <s v="101_102"/>
    <n v="61000"/>
    <m/>
    <n v="1"/>
    <n v="65000"/>
    <n v="0"/>
    <n v="4000"/>
    <n v="1"/>
    <x v="0"/>
  </r>
  <r>
    <n v="3"/>
    <n v="101"/>
    <x v="0"/>
    <s v="103"/>
    <n v="16.600000000000001"/>
    <n v="631"/>
    <x v="0"/>
    <s v="1K"/>
    <n v="69800"/>
    <n v="0"/>
    <n v="0"/>
    <n v="0"/>
    <n v="69800"/>
    <n v="69800"/>
    <n v="0"/>
    <n v="69800"/>
    <n v="69800"/>
    <s v="日本人等"/>
    <x v="0"/>
    <s v=""/>
    <m/>
    <s v="101_103"/>
    <n v="66000"/>
    <m/>
    <n v="1"/>
    <n v="69800"/>
    <n v="0"/>
    <n v="3800"/>
    <n v="1"/>
    <x v="0"/>
  </r>
  <r>
    <n v="4"/>
    <n v="101"/>
    <x v="0"/>
    <s v="105"/>
    <n v="16.739999999999998"/>
    <n v="631"/>
    <x v="0"/>
    <s v="1K"/>
    <n v="60000"/>
    <n v="3000"/>
    <n v="0"/>
    <n v="0"/>
    <n v="63000"/>
    <n v="70000"/>
    <n v="0"/>
    <n v="70000"/>
    <n v="63000"/>
    <s v="法人契約"/>
    <x v="0"/>
    <s v=""/>
    <m/>
    <s v="101_105"/>
    <n v="62000"/>
    <m/>
    <n v="1"/>
    <n v="63000"/>
    <n v="7000"/>
    <n v="1000"/>
    <n v="1"/>
    <x v="0"/>
  </r>
  <r>
    <n v="5"/>
    <n v="101"/>
    <x v="0"/>
    <s v="106"/>
    <n v="16.739999999999998"/>
    <n v="631"/>
    <x v="0"/>
    <s v="1K"/>
    <n v="64000"/>
    <n v="3000"/>
    <n v="0"/>
    <n v="0"/>
    <n v="67000"/>
    <n v="67000"/>
    <n v="0"/>
    <n v="67000"/>
    <n v="67000"/>
    <s v="中華系"/>
    <x v="0"/>
    <s v=""/>
    <m/>
    <s v="101_106"/>
    <n v="65000"/>
    <m/>
    <n v="1"/>
    <n v="67000"/>
    <n v="0"/>
    <n v="2000"/>
    <n v="1"/>
    <x v="0"/>
  </r>
  <r>
    <n v="6"/>
    <n v="101"/>
    <x v="0"/>
    <s v="201"/>
    <n v="16.53"/>
    <n v="631"/>
    <x v="0"/>
    <s v="1K"/>
    <n v="56000"/>
    <n v="3000"/>
    <n v="0"/>
    <n v="0"/>
    <n v="59000"/>
    <n v="67000"/>
    <n v="0"/>
    <n v="67000"/>
    <n v="59000"/>
    <s v="日本人等"/>
    <x v="0"/>
    <s v=""/>
    <m/>
    <s v="101_201"/>
    <n v="67000"/>
    <m/>
    <n v="1"/>
    <n v="59000"/>
    <n v="8000"/>
    <n v="-8000"/>
    <n v="1"/>
    <x v="0"/>
  </r>
  <r>
    <n v="7"/>
    <n v="101"/>
    <x v="0"/>
    <s v="202"/>
    <n v="16.75"/>
    <n v="631"/>
    <x v="0"/>
    <s v="1K"/>
    <n v="62000"/>
    <n v="3000"/>
    <n v="0"/>
    <n v="0"/>
    <n v="65000"/>
    <n v="65000"/>
    <n v="0"/>
    <n v="65000"/>
    <n v="65000"/>
    <s v="住居法人契約"/>
    <x v="0"/>
    <s v=""/>
    <m/>
    <s v="101_202"/>
    <n v="65000"/>
    <m/>
    <n v="1"/>
    <n v="65000"/>
    <n v="0"/>
    <n v="0"/>
    <n v="1"/>
    <x v="0"/>
  </r>
  <r>
    <n v="8"/>
    <n v="101"/>
    <x v="0"/>
    <s v="203"/>
    <n v="16.600000000000001"/>
    <n v="631"/>
    <x v="0"/>
    <s v="1K"/>
    <n v="63000"/>
    <n v="3000"/>
    <n v="0"/>
    <n v="0"/>
    <n v="66000"/>
    <n v="70000"/>
    <n v="0"/>
    <n v="70000"/>
    <n v="66000"/>
    <s v="日本人等"/>
    <x v="0"/>
    <s v=""/>
    <m/>
    <s v="101_203"/>
    <n v="67000"/>
    <m/>
    <n v="1"/>
    <n v="66000"/>
    <n v="4000"/>
    <n v="-1000"/>
    <n v="1"/>
    <x v="0"/>
  </r>
  <r>
    <n v="9"/>
    <n v="101"/>
    <x v="0"/>
    <s v="205"/>
    <n v="16.739999999999998"/>
    <n v="631"/>
    <x v="0"/>
    <s v="1K"/>
    <n v="63000"/>
    <n v="3000"/>
    <n v="0"/>
    <n v="0"/>
    <n v="66000"/>
    <n v="68000"/>
    <n v="0"/>
    <n v="68000"/>
    <n v="66000"/>
    <s v="日本人等"/>
    <x v="0"/>
    <s v=""/>
    <m/>
    <s v="101_205"/>
    <n v="67000"/>
    <m/>
    <n v="1"/>
    <n v="66000"/>
    <n v="2000"/>
    <n v="-1000"/>
    <n v="1"/>
    <x v="0"/>
  </r>
  <r>
    <n v="10"/>
    <n v="101"/>
    <x v="0"/>
    <s v="301"/>
    <n v="16.559999999999999"/>
    <n v="631"/>
    <x v="0"/>
    <s v="1K"/>
    <n v="62000"/>
    <n v="0"/>
    <n v="0"/>
    <n v="0"/>
    <n v="62000"/>
    <n v="62000"/>
    <n v="0"/>
    <n v="62000"/>
    <n v="62000"/>
    <s v="日本人等"/>
    <x v="0"/>
    <s v=""/>
    <m/>
    <s v="101_301"/>
    <n v="62000"/>
    <m/>
    <n v="1"/>
    <n v="62000"/>
    <n v="0"/>
    <n v="0"/>
    <n v="1"/>
    <x v="0"/>
  </r>
  <r>
    <n v="11"/>
    <n v="101"/>
    <x v="0"/>
    <s v="302"/>
    <n v="16.559999999999999"/>
    <n v="631"/>
    <x v="0"/>
    <s v="1K"/>
    <n v="63000"/>
    <n v="3000"/>
    <n v="0"/>
    <n v="0"/>
    <n v="66000"/>
    <n v="66000"/>
    <n v="0"/>
    <n v="66000"/>
    <n v="66000"/>
    <s v="日本人等"/>
    <x v="0"/>
    <s v=""/>
    <m/>
    <s v="101_302"/>
    <n v="65000"/>
    <m/>
    <n v="1"/>
    <n v="66000"/>
    <n v="0"/>
    <n v="1000"/>
    <n v="1"/>
    <x v="0"/>
  </r>
  <r>
    <n v="12"/>
    <n v="101"/>
    <x v="0"/>
    <s v="303"/>
    <n v="16.559999999999999"/>
    <n v="631"/>
    <x v="0"/>
    <s v="1K"/>
    <n v="62000"/>
    <n v="3000"/>
    <n v="0"/>
    <n v="0"/>
    <n v="65000"/>
    <n v="65000"/>
    <n v="0"/>
    <n v="65000"/>
    <n v="65000"/>
    <s v="日本人等"/>
    <x v="0"/>
    <s v=""/>
    <m/>
    <s v="101_303"/>
    <n v="65000"/>
    <m/>
    <n v="1"/>
    <n v="65000"/>
    <n v="0"/>
    <n v="0"/>
    <n v="1"/>
    <x v="0"/>
  </r>
  <r>
    <n v="13"/>
    <n v="101"/>
    <x v="0"/>
    <s v="305"/>
    <n v="16.77"/>
    <n v="631"/>
    <x v="0"/>
    <s v="1K"/>
    <n v="67000"/>
    <n v="3000"/>
    <n v="0"/>
    <n v="0"/>
    <n v="70000"/>
    <n v="70000"/>
    <n v="0"/>
    <n v="70000"/>
    <n v="70000"/>
    <s v="中華系"/>
    <x v="0"/>
    <s v=""/>
    <m/>
    <s v="101_305"/>
    <n v="68000"/>
    <m/>
    <n v="1"/>
    <n v="70000"/>
    <n v="0"/>
    <n v="2000"/>
    <n v="1"/>
    <x v="0"/>
  </r>
  <r>
    <n v="14"/>
    <n v="101"/>
    <x v="0"/>
    <s v="306"/>
    <n v="16.53"/>
    <n v="631"/>
    <x v="0"/>
    <s v="1K"/>
    <n v="57000"/>
    <n v="3000"/>
    <n v="0"/>
    <n v="0"/>
    <n v="60000"/>
    <n v="70000"/>
    <n v="0"/>
    <n v="70000"/>
    <n v="60000"/>
    <s v="中華系"/>
    <x v="0"/>
    <s v=""/>
    <m/>
    <s v="101_306"/>
    <n v="63000"/>
    <m/>
    <n v="1"/>
    <n v="60000"/>
    <n v="10000"/>
    <n v="-3000"/>
    <n v="1"/>
    <x v="0"/>
  </r>
  <r>
    <n v="15"/>
    <n v="101"/>
    <x v="0"/>
    <s v="307"/>
    <n v="16.75"/>
    <n v="631"/>
    <x v="0"/>
    <s v="1K"/>
    <n v="56000"/>
    <n v="3000"/>
    <n v="0"/>
    <n v="0"/>
    <n v="59000"/>
    <n v="65000"/>
    <n v="0"/>
    <n v="65000"/>
    <n v="59000"/>
    <s v="日本人等"/>
    <x v="0"/>
    <s v=""/>
    <m/>
    <s v="101_307"/>
    <n v="67000"/>
    <m/>
    <n v="1"/>
    <n v="59000"/>
    <n v="6000"/>
    <n v="-8000"/>
    <n v="1"/>
    <x v="0"/>
  </r>
  <r>
    <n v="16"/>
    <n v="101"/>
    <x v="0"/>
    <s v="308"/>
    <n v="16.600000000000001"/>
    <n v="631"/>
    <x v="0"/>
    <s v="1K"/>
    <n v="69000"/>
    <n v="0"/>
    <n v="0"/>
    <n v="0"/>
    <n v="69000"/>
    <n v="69000"/>
    <n v="0"/>
    <n v="69000"/>
    <n v="69000"/>
    <s v="日本人等"/>
    <x v="0"/>
    <s v=""/>
    <m/>
    <s v="101_308"/>
    <n v="69000"/>
    <m/>
    <n v="1"/>
    <n v="69000"/>
    <n v="0"/>
    <n v="0"/>
    <n v="1"/>
    <x v="0"/>
  </r>
  <r>
    <n v="17"/>
    <n v="101"/>
    <x v="0"/>
    <s v="401"/>
    <n v="16.559999999999999"/>
    <n v="631"/>
    <x v="0"/>
    <s v="1K"/>
    <n v="67000"/>
    <n v="3000"/>
    <n v="0"/>
    <n v="0"/>
    <n v="70000"/>
    <n v="70000"/>
    <n v="0"/>
    <n v="70000"/>
    <n v="70000"/>
    <s v="日本人等"/>
    <x v="0"/>
    <s v=""/>
    <m/>
    <s v="101_401"/>
    <n v="66000"/>
    <m/>
    <n v="1"/>
    <n v="70000"/>
    <n v="0"/>
    <n v="4000"/>
    <n v="1"/>
    <x v="0"/>
  </r>
  <r>
    <n v="18"/>
    <n v="101"/>
    <x v="0"/>
    <s v="402"/>
    <n v="16.559999999999999"/>
    <n v="631"/>
    <x v="0"/>
    <s v="1K"/>
    <n v="62000"/>
    <n v="2000"/>
    <n v="0"/>
    <n v="0"/>
    <n v="64000"/>
    <n v="64000"/>
    <n v="0"/>
    <n v="64000"/>
    <n v="64000"/>
    <s v="日本人等"/>
    <x v="0"/>
    <s v=""/>
    <m/>
    <s v="101_402"/>
    <n v="64000"/>
    <m/>
    <n v="1"/>
    <n v="64000"/>
    <n v="0"/>
    <n v="0"/>
    <n v="1"/>
    <x v="0"/>
  </r>
  <r>
    <n v="19"/>
    <n v="101"/>
    <x v="0"/>
    <s v="403"/>
    <n v="16.559999999999999"/>
    <n v="631"/>
    <x v="0"/>
    <s v="1K"/>
    <n v="60000"/>
    <n v="3000"/>
    <n v="0"/>
    <n v="0"/>
    <n v="63000"/>
    <n v="70000"/>
    <n v="0"/>
    <n v="70000"/>
    <n v="63000"/>
    <s v="日本人等"/>
    <x v="0"/>
    <s v=""/>
    <m/>
    <s v="101_403"/>
    <n v="65000"/>
    <m/>
    <n v="1"/>
    <n v="63000"/>
    <n v="7000"/>
    <n v="-2000"/>
    <n v="1"/>
    <x v="0"/>
  </r>
  <r>
    <n v="20"/>
    <n v="101"/>
    <x v="0"/>
    <s v="405"/>
    <n v="16.77"/>
    <n v="631"/>
    <x v="0"/>
    <s v="1K"/>
    <n v="69000"/>
    <n v="3000"/>
    <n v="0"/>
    <n v="0"/>
    <n v="72000"/>
    <n v="72000"/>
    <n v="0"/>
    <n v="72000"/>
    <n v="72000"/>
    <s v="日本人等"/>
    <x v="0"/>
    <s v=""/>
    <m/>
    <s v="101_405"/>
    <n v="65000"/>
    <m/>
    <n v="1"/>
    <n v="72000"/>
    <n v="0"/>
    <n v="7000"/>
    <n v="1"/>
    <x v="0"/>
  </r>
  <r>
    <n v="21"/>
    <n v="101"/>
    <x v="0"/>
    <s v="406"/>
    <n v="16.53"/>
    <n v="631"/>
    <x v="0"/>
    <s v="1K"/>
    <n v="62000"/>
    <n v="3000"/>
    <n v="0"/>
    <n v="0"/>
    <n v="65000"/>
    <n v="70000"/>
    <n v="0"/>
    <n v="70000"/>
    <n v="65000"/>
    <s v="日本人等"/>
    <x v="0"/>
    <s v=""/>
    <m/>
    <s v="101_406"/>
    <n v="70000"/>
    <m/>
    <n v="1"/>
    <n v="65000"/>
    <n v="5000"/>
    <n v="-5000"/>
    <n v="1"/>
    <x v="0"/>
  </r>
  <r>
    <n v="22"/>
    <n v="101"/>
    <x v="0"/>
    <s v="407"/>
    <n v="17.829999999999998"/>
    <n v="631"/>
    <x v="0"/>
    <s v="1K"/>
    <n v="67000"/>
    <n v="0"/>
    <n v="0"/>
    <n v="0"/>
    <n v="67000"/>
    <n v="67000"/>
    <n v="0"/>
    <n v="67000"/>
    <n v="67000"/>
    <s v="日本人等"/>
    <x v="0"/>
    <s v=""/>
    <m/>
    <s v="101_407"/>
    <n v="67000"/>
    <m/>
    <n v="1"/>
    <n v="67000"/>
    <n v="0"/>
    <n v="0"/>
    <n v="1"/>
    <x v="0"/>
  </r>
  <r>
    <n v="23"/>
    <n v="101"/>
    <x v="0"/>
    <s v="100"/>
    <n v="104.58"/>
    <n v="632"/>
    <x v="1"/>
    <s v="事務所"/>
    <n v="275000"/>
    <n v="0"/>
    <n v="0"/>
    <n v="27500"/>
    <n v="302500"/>
    <n v="275000"/>
    <n v="27500"/>
    <n v="302500"/>
    <n v="302500"/>
    <s v="法人契約"/>
    <x v="0"/>
    <s v=""/>
    <m/>
    <s v="101_100"/>
    <n v="250000"/>
    <m/>
    <n v="1"/>
    <n v="275000"/>
    <n v="0"/>
    <n v="25000"/>
    <n v="1"/>
    <x v="0"/>
  </r>
  <r>
    <n v="24"/>
    <n v="101"/>
    <x v="0"/>
    <s v="RF1"/>
    <n v="0"/>
    <n v="635"/>
    <x v="2"/>
    <s v="その他"/>
    <n v="90000"/>
    <n v="0"/>
    <n v="0"/>
    <n v="9000"/>
    <n v="99000"/>
    <n v="90000"/>
    <n v="9000"/>
    <n v="99000"/>
    <n v="99000"/>
    <s v="-"/>
    <x v="0"/>
    <s v="楽天"/>
    <m/>
    <s v="101_RF1"/>
    <n v="0"/>
    <m/>
    <n v="1"/>
    <n v="90000"/>
    <n v="0"/>
    <n v="90000"/>
    <n v="1"/>
    <x v="0"/>
  </r>
  <r>
    <n v="25"/>
    <n v="101"/>
    <x v="0"/>
    <s v="NTF1"/>
    <s v="-"/>
    <n v="639"/>
    <x v="3"/>
    <s v="その他"/>
    <n v="0"/>
    <n v="0"/>
    <n v="0"/>
    <n v="0"/>
    <n v="0"/>
    <n v="0"/>
    <n v="0"/>
    <n v="0"/>
    <n v="0"/>
    <s v="-"/>
    <x v="1"/>
    <s v="フレッツ光"/>
    <m/>
    <s v="101_NTF1"/>
    <n v="0"/>
    <m/>
    <n v="0"/>
    <n v="0"/>
    <n v="0"/>
    <n v="0"/>
    <n v="0"/>
    <x v="0"/>
  </r>
  <r>
    <n v="26"/>
    <n v="102"/>
    <x v="1"/>
    <s v="101"/>
    <n v="23.95"/>
    <n v="631"/>
    <x v="0"/>
    <s v="1K"/>
    <n v="73000"/>
    <n v="7000"/>
    <n v="0"/>
    <n v="0"/>
    <n v="80000"/>
    <n v="80000"/>
    <n v="0"/>
    <n v="80000"/>
    <n v="80000"/>
    <s v="日本人等"/>
    <x v="0"/>
    <s v=""/>
    <m/>
    <s v="102_101"/>
    <n v="63000"/>
    <m/>
    <n v="1"/>
    <n v="80000"/>
    <n v="0"/>
    <n v="17000"/>
    <n v="1"/>
    <x v="0"/>
  </r>
  <r>
    <n v="27"/>
    <n v="102"/>
    <x v="1"/>
    <s v="102"/>
    <n v="20.079999999999998"/>
    <n v="631"/>
    <x v="0"/>
    <s v="1K"/>
    <n v="55000"/>
    <n v="7000"/>
    <n v="0"/>
    <n v="0"/>
    <n v="62000"/>
    <n v="62000"/>
    <n v="0"/>
    <n v="62000"/>
    <n v="62000"/>
    <s v="日本人等"/>
    <x v="0"/>
    <s v=""/>
    <m/>
    <s v="102_102"/>
    <n v="62000"/>
    <m/>
    <n v="1"/>
    <n v="62000"/>
    <n v="0"/>
    <n v="0"/>
    <n v="1"/>
    <x v="0"/>
  </r>
  <r>
    <n v="28"/>
    <n v="102"/>
    <x v="1"/>
    <s v="103"/>
    <n v="23.25"/>
    <n v="631"/>
    <x v="0"/>
    <s v="1K"/>
    <n v="70000"/>
    <n v="7000"/>
    <n v="0"/>
    <n v="0"/>
    <n v="77000"/>
    <n v="77000"/>
    <n v="0"/>
    <n v="77000"/>
    <n v="77000"/>
    <s v="中華系"/>
    <x v="0"/>
    <s v=""/>
    <m/>
    <s v="102_103"/>
    <n v="68000"/>
    <m/>
    <n v="1"/>
    <n v="77000"/>
    <n v="0"/>
    <n v="9000"/>
    <n v="1"/>
    <x v="0"/>
  </r>
  <r>
    <n v="29"/>
    <n v="102"/>
    <x v="1"/>
    <s v="105"/>
    <n v="23.25"/>
    <n v="631"/>
    <x v="0"/>
    <s v="1K"/>
    <n v="72000"/>
    <n v="7000"/>
    <n v="0"/>
    <n v="0"/>
    <n v="79000"/>
    <n v="79000"/>
    <n v="0"/>
    <n v="79000"/>
    <n v="79000"/>
    <s v="中華系"/>
    <x v="0"/>
    <s v=""/>
    <m/>
    <s v="102_105"/>
    <n v="67000"/>
    <m/>
    <n v="1"/>
    <n v="79000"/>
    <n v="0"/>
    <n v="12000"/>
    <n v="1"/>
    <x v="0"/>
  </r>
  <r>
    <n v="30"/>
    <n v="102"/>
    <x v="1"/>
    <s v="106"/>
    <n v="27.3"/>
    <n v="631"/>
    <x v="0"/>
    <s v="1K"/>
    <n v="73000"/>
    <n v="7000"/>
    <n v="0"/>
    <n v="0"/>
    <n v="80000"/>
    <n v="80000"/>
    <n v="0"/>
    <n v="80000"/>
    <n v="80000"/>
    <s v="中華系"/>
    <x v="0"/>
    <s v=""/>
    <m/>
    <s v="102_106"/>
    <n v="75000"/>
    <m/>
    <n v="1"/>
    <n v="80000"/>
    <n v="0"/>
    <n v="5000"/>
    <n v="1"/>
    <x v="0"/>
  </r>
  <r>
    <n v="31"/>
    <n v="102"/>
    <x v="1"/>
    <s v="107"/>
    <n v="27.3"/>
    <n v="631"/>
    <x v="0"/>
    <s v="1K"/>
    <n v="78000"/>
    <n v="7000"/>
    <n v="0"/>
    <n v="0"/>
    <n v="85000"/>
    <n v="85000"/>
    <n v="0"/>
    <n v="85000"/>
    <n v="85000"/>
    <s v="日本人等"/>
    <x v="0"/>
    <s v=""/>
    <m/>
    <s v="102_107"/>
    <n v="70000"/>
    <m/>
    <n v="1"/>
    <n v="85000"/>
    <n v="0"/>
    <n v="15000"/>
    <n v="1"/>
    <x v="0"/>
  </r>
  <r>
    <n v="32"/>
    <n v="102"/>
    <x v="1"/>
    <s v="108"/>
    <n v="22.98"/>
    <n v="631"/>
    <x v="0"/>
    <s v="1K"/>
    <n v="68000"/>
    <n v="7000"/>
    <n v="0"/>
    <n v="0"/>
    <n v="75000"/>
    <n v="75000"/>
    <n v="0"/>
    <n v="75000"/>
    <n v="75000"/>
    <s v="日本人等"/>
    <x v="0"/>
    <s v=""/>
    <m/>
    <s v="102_108"/>
    <n v="64000"/>
    <m/>
    <n v="1"/>
    <n v="75000"/>
    <n v="0"/>
    <n v="11000"/>
    <n v="1"/>
    <x v="0"/>
  </r>
  <r>
    <n v="33"/>
    <n v="102"/>
    <x v="1"/>
    <s v="109"/>
    <n v="22.98"/>
    <n v="631"/>
    <x v="0"/>
    <s v="1K"/>
    <n v="61000"/>
    <n v="7000"/>
    <n v="0"/>
    <n v="0"/>
    <n v="68000"/>
    <n v="76000"/>
    <n v="0"/>
    <n v="76000"/>
    <n v="68000"/>
    <s v="日本人等"/>
    <x v="0"/>
    <s v=""/>
    <m/>
    <s v="102_109"/>
    <n v="66000"/>
    <m/>
    <n v="1"/>
    <n v="68000"/>
    <n v="8000"/>
    <n v="2000"/>
    <n v="1"/>
    <x v="0"/>
  </r>
  <r>
    <n v="34"/>
    <n v="102"/>
    <x v="1"/>
    <s v="110"/>
    <n v="23.27"/>
    <n v="631"/>
    <x v="0"/>
    <s v="1K"/>
    <n v="61000"/>
    <n v="7000"/>
    <n v="0"/>
    <n v="0"/>
    <n v="68000"/>
    <n v="68000"/>
    <n v="0"/>
    <n v="68000"/>
    <n v="68000"/>
    <s v="日本人等"/>
    <x v="0"/>
    <s v=""/>
    <m/>
    <s v="102_110"/>
    <n v="68000"/>
    <m/>
    <n v="1"/>
    <n v="68000"/>
    <n v="0"/>
    <n v="0"/>
    <n v="1"/>
    <x v="0"/>
  </r>
  <r>
    <n v="35"/>
    <n v="102"/>
    <x v="1"/>
    <s v="201"/>
    <n v="23.95"/>
    <n v="631"/>
    <x v="0"/>
    <s v="1K"/>
    <n v="70000"/>
    <n v="7000"/>
    <n v="0"/>
    <n v="0"/>
    <n v="77000"/>
    <n v="77000"/>
    <n v="0"/>
    <n v="77000"/>
    <n v="77000"/>
    <s v="日本人等"/>
    <x v="0"/>
    <s v=""/>
    <m/>
    <s v="102_201"/>
    <n v="93000"/>
    <m/>
    <n v="1"/>
    <n v="77000"/>
    <n v="0"/>
    <n v="-16000"/>
    <n v="1"/>
    <x v="0"/>
  </r>
  <r>
    <n v="36"/>
    <n v="102"/>
    <x v="1"/>
    <s v="202"/>
    <n v="20.079999999999998"/>
    <n v="631"/>
    <x v="0"/>
    <s v="1K"/>
    <n v="75000"/>
    <n v="7000"/>
    <n v="0"/>
    <n v="0"/>
    <n v="82000"/>
    <n v="82000"/>
    <n v="0"/>
    <n v="82000"/>
    <n v="82000"/>
    <s v="中華系"/>
    <x v="0"/>
    <s v=""/>
    <m/>
    <s v="102_202"/>
    <n v="67000"/>
    <m/>
    <n v="1"/>
    <n v="82000"/>
    <n v="0"/>
    <n v="15000"/>
    <n v="1"/>
    <x v="0"/>
  </r>
  <r>
    <n v="37"/>
    <n v="102"/>
    <x v="1"/>
    <s v="203"/>
    <n v="23.25"/>
    <n v="631"/>
    <x v="0"/>
    <s v="1K"/>
    <n v="73000"/>
    <n v="7000"/>
    <n v="0"/>
    <n v="0"/>
    <n v="80000"/>
    <n v="85000"/>
    <n v="0"/>
    <n v="85000"/>
    <n v="80000"/>
    <s v="日本人等"/>
    <x v="0"/>
    <s v=""/>
    <m/>
    <s v="102_203"/>
    <n v="77000"/>
    <m/>
    <n v="1"/>
    <n v="80000"/>
    <n v="5000"/>
    <n v="3000"/>
    <n v="1"/>
    <x v="0"/>
  </r>
  <r>
    <n v="38"/>
    <n v="102"/>
    <x v="1"/>
    <s v="205"/>
    <n v="23.25"/>
    <n v="631"/>
    <x v="0"/>
    <s v="1K"/>
    <n v="68000"/>
    <n v="7000"/>
    <n v="0"/>
    <n v="0"/>
    <n v="75000"/>
    <n v="69000"/>
    <n v="0"/>
    <n v="69000"/>
    <n v="75000"/>
    <s v="日本人等"/>
    <x v="0"/>
    <s v=""/>
    <m/>
    <s v="102_205"/>
    <n v="69000"/>
    <m/>
    <n v="1"/>
    <n v="75000"/>
    <n v="-6000"/>
    <n v="6000"/>
    <n v="1"/>
    <x v="0"/>
  </r>
  <r>
    <n v="39"/>
    <n v="102"/>
    <x v="1"/>
    <s v="206"/>
    <n v="27.3"/>
    <n v="631"/>
    <x v="0"/>
    <s v="1K"/>
    <n v="73000"/>
    <n v="7000"/>
    <n v="0"/>
    <n v="0"/>
    <n v="80000"/>
    <n v="86000"/>
    <n v="0"/>
    <n v="86000"/>
    <n v="80000"/>
    <s v="中華系"/>
    <x v="0"/>
    <s v=""/>
    <m/>
    <s v="102_206"/>
    <n v="73000"/>
    <m/>
    <n v="1"/>
    <n v="80000"/>
    <n v="6000"/>
    <n v="7000"/>
    <n v="1"/>
    <x v="0"/>
  </r>
  <r>
    <n v="40"/>
    <n v="102"/>
    <x v="1"/>
    <s v="207"/>
    <n v="27.3"/>
    <n v="631"/>
    <x v="0"/>
    <s v="1K"/>
    <n v="82000"/>
    <n v="7000"/>
    <n v="0"/>
    <n v="0"/>
    <n v="89000"/>
    <n v="92000"/>
    <n v="0"/>
    <n v="92000"/>
    <n v="89000"/>
    <s v="中華系"/>
    <x v="0"/>
    <s v=""/>
    <m/>
    <s v="102_207"/>
    <n v="72000"/>
    <m/>
    <n v="1"/>
    <n v="89000"/>
    <n v="3000"/>
    <n v="17000"/>
    <n v="1"/>
    <x v="0"/>
  </r>
  <r>
    <n v="41"/>
    <n v="102"/>
    <x v="1"/>
    <s v="208"/>
    <n v="22.98"/>
    <n v="631"/>
    <x v="0"/>
    <s v="1K"/>
    <n v="78000"/>
    <n v="7000"/>
    <n v="0"/>
    <n v="0"/>
    <n v="85000"/>
    <n v="85000"/>
    <n v="0"/>
    <n v="85000"/>
    <n v="85000"/>
    <s v="中華系"/>
    <x v="0"/>
    <s v=""/>
    <m/>
    <s v="102_208"/>
    <n v="76000"/>
    <m/>
    <n v="1"/>
    <n v="85000"/>
    <n v="0"/>
    <n v="9000"/>
    <n v="1"/>
    <x v="0"/>
  </r>
  <r>
    <n v="42"/>
    <n v="102"/>
    <x v="1"/>
    <s v="209"/>
    <n v="22.98"/>
    <n v="631"/>
    <x v="0"/>
    <s v="1K"/>
    <n v="75000"/>
    <n v="7000"/>
    <n v="0"/>
    <n v="0"/>
    <n v="82000"/>
    <n v="82000"/>
    <n v="0"/>
    <n v="82000"/>
    <n v="82000"/>
    <s v="中華系"/>
    <x v="0"/>
    <s v=""/>
    <m/>
    <s v="102_209"/>
    <n v="69000"/>
    <m/>
    <n v="1"/>
    <n v="82000"/>
    <n v="0"/>
    <n v="13000"/>
    <n v="1"/>
    <x v="0"/>
  </r>
  <r>
    <n v="43"/>
    <n v="102"/>
    <x v="1"/>
    <s v="301"/>
    <n v="23.95"/>
    <n v="631"/>
    <x v="0"/>
    <s v="1K"/>
    <n v="78000"/>
    <n v="7000"/>
    <n v="0"/>
    <n v="0"/>
    <n v="85000"/>
    <n v="85000"/>
    <n v="0"/>
    <n v="85000"/>
    <n v="85000"/>
    <s v="中華系"/>
    <x v="0"/>
    <s v=""/>
    <m/>
    <s v="102_301"/>
    <n v="75000"/>
    <m/>
    <n v="1"/>
    <n v="85000"/>
    <n v="0"/>
    <n v="10000"/>
    <n v="1"/>
    <x v="0"/>
  </r>
  <r>
    <n v="44"/>
    <n v="102"/>
    <x v="1"/>
    <s v="302"/>
    <n v="20.079999999999998"/>
    <n v="631"/>
    <x v="0"/>
    <s v="1K"/>
    <n v="65000"/>
    <n v="10000"/>
    <n v="0"/>
    <n v="0"/>
    <n v="75000"/>
    <n v="75000"/>
    <n v="0"/>
    <n v="75000"/>
    <n v="75000"/>
    <s v="日本人等"/>
    <x v="0"/>
    <s v=""/>
    <m/>
    <s v="102_302"/>
    <n v="75000"/>
    <m/>
    <n v="1"/>
    <n v="75000"/>
    <n v="0"/>
    <n v="0"/>
    <n v="1"/>
    <x v="0"/>
  </r>
  <r>
    <n v="45"/>
    <n v="102"/>
    <x v="1"/>
    <s v="303"/>
    <n v="23.25"/>
    <n v="631"/>
    <x v="0"/>
    <s v="1K"/>
    <n v="72000"/>
    <n v="7000"/>
    <n v="0"/>
    <n v="0"/>
    <n v="79000"/>
    <n v="77000"/>
    <n v="0"/>
    <n v="77000"/>
    <n v="79000"/>
    <s v="中華系"/>
    <x v="0"/>
    <s v=""/>
    <m/>
    <s v="102_303"/>
    <n v="73000"/>
    <m/>
    <n v="1"/>
    <n v="79000"/>
    <n v="-2000"/>
    <n v="6000"/>
    <n v="1"/>
    <x v="0"/>
  </r>
  <r>
    <n v="46"/>
    <n v="102"/>
    <x v="1"/>
    <s v="305"/>
    <n v="23.25"/>
    <n v="631"/>
    <x v="0"/>
    <s v="1K"/>
    <n v="78000"/>
    <n v="7000"/>
    <n v="0"/>
    <n v="0"/>
    <n v="85000"/>
    <n v="85000"/>
    <n v="0"/>
    <n v="85000"/>
    <n v="85000"/>
    <s v="中華系"/>
    <x v="0"/>
    <s v=""/>
    <m/>
    <s v="102_305"/>
    <n v="73000"/>
    <m/>
    <n v="1"/>
    <n v="85000"/>
    <n v="0"/>
    <n v="12000"/>
    <n v="1"/>
    <x v="0"/>
  </r>
  <r>
    <n v="47"/>
    <n v="102"/>
    <x v="1"/>
    <s v="306"/>
    <n v="27.3"/>
    <n v="631"/>
    <x v="0"/>
    <s v="1K"/>
    <n v="73000"/>
    <n v="7000"/>
    <n v="0"/>
    <n v="0"/>
    <n v="80000"/>
    <n v="75000"/>
    <n v="0"/>
    <n v="75000"/>
    <n v="80000"/>
    <s v="中華系"/>
    <x v="0"/>
    <s v=""/>
    <m/>
    <s v="102_306"/>
    <n v="75000"/>
    <m/>
    <n v="1"/>
    <n v="80000"/>
    <n v="-5000"/>
    <n v="5000"/>
    <n v="1"/>
    <x v="0"/>
  </r>
  <r>
    <n v="48"/>
    <n v="102"/>
    <x v="1"/>
    <s v="307"/>
    <n v="27.3"/>
    <n v="631"/>
    <x v="0"/>
    <s v="1K"/>
    <n v="85000"/>
    <n v="7000"/>
    <n v="0"/>
    <n v="0"/>
    <n v="92000"/>
    <n v="92000"/>
    <n v="0"/>
    <n v="92000"/>
    <n v="92000"/>
    <s v="中華系"/>
    <x v="0"/>
    <s v=""/>
    <m/>
    <s v="102_307"/>
    <n v="73000"/>
    <m/>
    <n v="1"/>
    <n v="92000"/>
    <n v="0"/>
    <n v="19000"/>
    <n v="1"/>
    <x v="0"/>
  </r>
  <r>
    <n v="49"/>
    <n v="102"/>
    <x v="1"/>
    <s v="308"/>
    <n v="22.98"/>
    <n v="631"/>
    <x v="0"/>
    <s v="1K"/>
    <n v="67000"/>
    <n v="7000"/>
    <n v="0"/>
    <n v="0"/>
    <n v="74000"/>
    <n v="74000"/>
    <n v="0"/>
    <n v="74000"/>
    <n v="74000"/>
    <s v="中華系"/>
    <x v="0"/>
    <s v=""/>
    <m/>
    <s v="102_308"/>
    <n v="73000"/>
    <m/>
    <n v="1"/>
    <n v="74000"/>
    <n v="0"/>
    <n v="1000"/>
    <n v="1"/>
    <x v="0"/>
  </r>
  <r>
    <n v="50"/>
    <n v="102"/>
    <x v="1"/>
    <s v="309"/>
    <n v="22.98"/>
    <n v="631"/>
    <x v="0"/>
    <s v="1K"/>
    <n v="75000"/>
    <n v="7000"/>
    <n v="0"/>
    <n v="0"/>
    <n v="82000"/>
    <n v="85000"/>
    <n v="0"/>
    <n v="85000"/>
    <n v="82000"/>
    <s v="中華系"/>
    <x v="0"/>
    <s v=""/>
    <m/>
    <s v="102_309"/>
    <n v="73000"/>
    <m/>
    <n v="1"/>
    <n v="82000"/>
    <n v="3000"/>
    <n v="9000"/>
    <n v="1"/>
    <x v="0"/>
  </r>
  <r>
    <n v="51"/>
    <n v="102"/>
    <x v="1"/>
    <s v="310"/>
    <n v="23.27"/>
    <n v="631"/>
    <x v="0"/>
    <s v="1K"/>
    <n v="73000"/>
    <n v="7000"/>
    <n v="0"/>
    <n v="0"/>
    <n v="80000"/>
    <n v="89000"/>
    <n v="0"/>
    <n v="89000"/>
    <n v="80000"/>
    <s v="日本人等"/>
    <x v="0"/>
    <s v=""/>
    <m/>
    <s v="102_310"/>
    <n v="74000"/>
    <m/>
    <n v="1"/>
    <n v="80000"/>
    <n v="9000"/>
    <n v="6000"/>
    <n v="1"/>
    <x v="0"/>
  </r>
  <r>
    <n v="52"/>
    <n v="102"/>
    <x v="1"/>
    <s v="311"/>
    <n v="20.92"/>
    <n v="631"/>
    <x v="0"/>
    <s v="1K"/>
    <n v="61000"/>
    <n v="7000"/>
    <n v="0"/>
    <n v="0"/>
    <n v="68000"/>
    <n v="68000"/>
    <n v="0"/>
    <n v="68000"/>
    <n v="68000"/>
    <s v="日本人等"/>
    <x v="0"/>
    <s v=""/>
    <m/>
    <s v="102_311"/>
    <n v="68000"/>
    <m/>
    <n v="1"/>
    <n v="68000"/>
    <n v="0"/>
    <n v="0"/>
    <n v="1"/>
    <x v="0"/>
  </r>
  <r>
    <n v="53"/>
    <n v="102"/>
    <x v="1"/>
    <s v="312"/>
    <n v="31.18"/>
    <n v="631"/>
    <x v="0"/>
    <s v="1K"/>
    <n v="82000"/>
    <n v="7000"/>
    <n v="0"/>
    <n v="0"/>
    <n v="89000"/>
    <n v="89000"/>
    <n v="0"/>
    <n v="89000"/>
    <n v="89000"/>
    <s v="中華系"/>
    <x v="0"/>
    <s v=""/>
    <m/>
    <s v="102_312"/>
    <n v="89000"/>
    <m/>
    <n v="1"/>
    <n v="89000"/>
    <n v="0"/>
    <n v="0"/>
    <n v="1"/>
    <x v="0"/>
  </r>
  <r>
    <n v="54"/>
    <n v="102"/>
    <x v="1"/>
    <s v="401"/>
    <n v="34.72"/>
    <n v="631"/>
    <x v="0"/>
    <s v="1K"/>
    <n v="97000"/>
    <n v="7000"/>
    <n v="0"/>
    <n v="0"/>
    <n v="104000"/>
    <n v="104000"/>
    <n v="0"/>
    <n v="104000"/>
    <n v="104000"/>
    <s v="日本人等"/>
    <x v="0"/>
    <s v=""/>
    <m/>
    <s v="102_401"/>
    <n v="97000"/>
    <m/>
    <n v="1"/>
    <n v="104000"/>
    <n v="0"/>
    <n v="7000"/>
    <n v="1"/>
    <x v="0"/>
  </r>
  <r>
    <n v="55"/>
    <n v="102"/>
    <x v="1"/>
    <s v="402"/>
    <n v="26.48"/>
    <n v="631"/>
    <x v="0"/>
    <s v="1K"/>
    <n v="92000"/>
    <n v="7000"/>
    <n v="0"/>
    <n v="0"/>
    <n v="99000"/>
    <n v="99000"/>
    <n v="0"/>
    <n v="99000"/>
    <n v="99000"/>
    <s v="中華系"/>
    <x v="0"/>
    <s v=""/>
    <m/>
    <s v="102_402"/>
    <n v="91000"/>
    <m/>
    <n v="1"/>
    <n v="99000"/>
    <n v="0"/>
    <n v="8000"/>
    <n v="1"/>
    <x v="0"/>
  </r>
  <r>
    <n v="56"/>
    <n v="102"/>
    <x v="1"/>
    <s v="403"/>
    <n v="42.38"/>
    <n v="631"/>
    <x v="0"/>
    <s v="2DK"/>
    <n v="155000"/>
    <n v="7000"/>
    <n v="0"/>
    <n v="0"/>
    <n v="162000"/>
    <n v="159000"/>
    <n v="0"/>
    <n v="159000"/>
    <n v="162000"/>
    <s v="中華系"/>
    <x v="0"/>
    <s v=""/>
    <m/>
    <s v="102_403"/>
    <n v="137000"/>
    <m/>
    <n v="1"/>
    <n v="162000"/>
    <n v="-3000"/>
    <n v="25000"/>
    <n v="1"/>
    <x v="0"/>
  </r>
  <r>
    <n v="57"/>
    <n v="102"/>
    <x v="1"/>
    <s v="405"/>
    <n v="51.25"/>
    <n v="631"/>
    <x v="0"/>
    <s v="1LDK"/>
    <n v="110000"/>
    <n v="7000"/>
    <n v="0"/>
    <n v="0"/>
    <n v="117000"/>
    <n v="117000"/>
    <n v="0"/>
    <n v="117000"/>
    <n v="117000"/>
    <s v="日本人等"/>
    <x v="0"/>
    <s v=""/>
    <m/>
    <s v="102_405"/>
    <n v="102000"/>
    <m/>
    <n v="1"/>
    <n v="117000"/>
    <n v="0"/>
    <n v="15000"/>
    <n v="1"/>
    <x v="0"/>
  </r>
  <r>
    <n v="58"/>
    <n v="102"/>
    <x v="1"/>
    <s v="406"/>
    <n v="51.25"/>
    <n v="631"/>
    <x v="0"/>
    <s v="2DK"/>
    <n v="155000"/>
    <n v="7000"/>
    <n v="0"/>
    <n v="0"/>
    <n v="162000"/>
    <n v="167000"/>
    <n v="0"/>
    <n v="167000"/>
    <n v="162000"/>
    <s v="日本人等"/>
    <x v="0"/>
    <s v=""/>
    <m/>
    <s v="102_406"/>
    <n v="147000"/>
    <m/>
    <n v="1"/>
    <n v="162000"/>
    <n v="5000"/>
    <n v="15000"/>
    <n v="1"/>
    <x v="0"/>
  </r>
  <r>
    <n v="59"/>
    <n v="102"/>
    <x v="1"/>
    <s v="407"/>
    <n v="49.79"/>
    <n v="631"/>
    <x v="0"/>
    <s v="2DK"/>
    <n v="162000"/>
    <n v="7000"/>
    <n v="0"/>
    <n v="0"/>
    <n v="169000"/>
    <n v="169000"/>
    <n v="0"/>
    <n v="169000"/>
    <n v="169000"/>
    <s v="中華系"/>
    <x v="0"/>
    <s v=""/>
    <m/>
    <s v="102_407"/>
    <n v="147000"/>
    <m/>
    <n v="1"/>
    <n v="169000"/>
    <n v="0"/>
    <n v="22000"/>
    <n v="1"/>
    <x v="0"/>
  </r>
  <r>
    <n v="60"/>
    <n v="102"/>
    <x v="1"/>
    <s v="P1"/>
    <n v="0"/>
    <n v="634"/>
    <x v="4"/>
    <s v="駐車場"/>
    <n v="33000"/>
    <n v="0"/>
    <n v="0"/>
    <n v="3000"/>
    <n v="36000"/>
    <n v="30000"/>
    <n v="3000"/>
    <n v="33000"/>
    <n v="36000"/>
    <s v="日本人等"/>
    <x v="0"/>
    <s v=""/>
    <m/>
    <s v="102_P1"/>
    <n v="30000"/>
    <m/>
    <n v="1"/>
    <n v="33000"/>
    <n v="-3000"/>
    <n v="3000"/>
    <n v="1"/>
    <x v="0"/>
  </r>
  <r>
    <n v="61"/>
    <n v="102"/>
    <x v="1"/>
    <s v="P2"/>
    <n v="0"/>
    <n v="634"/>
    <x v="4"/>
    <s v="駐車場"/>
    <n v="33000"/>
    <n v="0"/>
    <n v="0"/>
    <n v="3000"/>
    <n v="36000"/>
    <n v="30000"/>
    <n v="3000"/>
    <n v="33000"/>
    <n v="36000"/>
    <s v="法人契約"/>
    <x v="0"/>
    <s v=""/>
    <m/>
    <s v="102_P2"/>
    <n v="30000"/>
    <m/>
    <n v="1"/>
    <n v="33000"/>
    <n v="-3000"/>
    <n v="3000"/>
    <n v="1"/>
    <x v="0"/>
  </r>
  <r>
    <n v="62"/>
    <n v="102"/>
    <x v="1"/>
    <s v="CL1"/>
    <s v="-"/>
    <n v="639"/>
    <x v="3"/>
    <s v="その他"/>
    <n v="0"/>
    <n v="0"/>
    <n v="0"/>
    <n v="0"/>
    <n v="0"/>
    <n v="0"/>
    <n v="0"/>
    <n v="0"/>
    <n v="0"/>
    <s v="-"/>
    <x v="1"/>
    <s v="コインランドリー"/>
    <m/>
    <s v="102_CL1"/>
    <n v="0"/>
    <m/>
    <n v="0"/>
    <n v="0"/>
    <n v="0"/>
    <n v="0"/>
    <n v="0"/>
    <x v="0"/>
  </r>
  <r>
    <n v="63"/>
    <n v="103"/>
    <x v="2"/>
    <s v="101"/>
    <n v="58.31"/>
    <n v="632"/>
    <x v="1"/>
    <s v="事務所"/>
    <n v="157408"/>
    <n v="0"/>
    <n v="0"/>
    <n v="15740"/>
    <n v="173148"/>
    <n v="157407"/>
    <n v="15740.727272727272"/>
    <n v="173147.72727272726"/>
    <n v="173148"/>
    <s v="法人契約"/>
    <x v="0"/>
    <s v=""/>
    <m/>
    <s v="103_101"/>
    <n v="175000"/>
    <m/>
    <n v="1"/>
    <n v="157408"/>
    <n v="-1"/>
    <n v="-17592"/>
    <n v="1"/>
    <x v="0"/>
  </r>
  <r>
    <n v="64"/>
    <n v="103"/>
    <x v="2"/>
    <s v="102"/>
    <n v="57"/>
    <n v="632"/>
    <x v="1"/>
    <s v="事務所"/>
    <n v="172222"/>
    <n v="0"/>
    <n v="0"/>
    <n v="17222"/>
    <n v="189444"/>
    <n v="172221"/>
    <n v="17222.18181818182"/>
    <n v="189443.18181818182"/>
    <n v="189444"/>
    <s v="日本人等"/>
    <x v="0"/>
    <s v=""/>
    <m/>
    <s v="103_102"/>
    <n v="350000"/>
    <m/>
    <n v="1"/>
    <n v="172222"/>
    <n v="-1"/>
    <n v="-177778"/>
    <n v="1"/>
    <x v="0"/>
  </r>
  <r>
    <n v="65"/>
    <n v="103"/>
    <x v="2"/>
    <s v="103"/>
    <n v="56.89"/>
    <n v="632"/>
    <x v="1"/>
    <s v="事務所"/>
    <n v="170000"/>
    <n v="0"/>
    <n v="0"/>
    <n v="17000"/>
    <n v="187000"/>
    <n v="170000"/>
    <n v="17000"/>
    <n v="187000"/>
    <n v="187000"/>
    <s v="法人契約"/>
    <x v="0"/>
    <s v=""/>
    <m/>
    <s v="103_103"/>
    <n v="170000"/>
    <m/>
    <n v="1"/>
    <n v="170000"/>
    <n v="0"/>
    <n v="0"/>
    <n v="1"/>
    <x v="0"/>
  </r>
  <r>
    <n v="66"/>
    <n v="103"/>
    <x v="2"/>
    <s v="201"/>
    <n v="51.3"/>
    <n v="633"/>
    <x v="5"/>
    <s v="事務所"/>
    <n v="180000"/>
    <n v="0"/>
    <n v="0"/>
    <n v="18000"/>
    <n v="198000"/>
    <n v="180000"/>
    <n v="18000"/>
    <n v="198000"/>
    <n v="198000"/>
    <s v="法人契約"/>
    <x v="0"/>
    <s v=""/>
    <m/>
    <s v="103_201"/>
    <n v="180000"/>
    <m/>
    <n v="1"/>
    <n v="180000"/>
    <n v="0"/>
    <n v="0"/>
    <n v="1"/>
    <x v="0"/>
  </r>
  <r>
    <n v="67"/>
    <n v="103"/>
    <x v="2"/>
    <s v="202"/>
    <n v="50"/>
    <n v="633"/>
    <x v="5"/>
    <s v="事務所"/>
    <n v="150000"/>
    <n v="0"/>
    <n v="0"/>
    <n v="15000"/>
    <n v="165000"/>
    <n v="150000"/>
    <n v="15000"/>
    <n v="165000"/>
    <n v="165000"/>
    <s v="法人契約"/>
    <x v="0"/>
    <s v=""/>
    <m/>
    <s v="103_202"/>
    <n v="150000"/>
    <m/>
    <n v="1"/>
    <n v="150000"/>
    <n v="0"/>
    <n v="0"/>
    <n v="1"/>
    <x v="0"/>
  </r>
  <r>
    <n v="68"/>
    <n v="103"/>
    <x v="2"/>
    <s v="203"/>
    <n v="26.4"/>
    <n v="632"/>
    <x v="1"/>
    <s v="事務所"/>
    <n v="85715"/>
    <n v="0"/>
    <n v="0"/>
    <n v="8571"/>
    <n v="94286"/>
    <n v="85715"/>
    <n v="8571.545454545454"/>
    <n v="94286.545454545456"/>
    <n v="94286"/>
    <s v="法人契約"/>
    <x v="0"/>
    <s v=""/>
    <m/>
    <s v="103_203"/>
    <n v="85715"/>
    <m/>
    <n v="1"/>
    <n v="85715"/>
    <n v="0"/>
    <n v="0"/>
    <n v="1"/>
    <x v="0"/>
  </r>
  <r>
    <n v="69"/>
    <n v="103"/>
    <x v="2"/>
    <s v="301"/>
    <n v="51.3"/>
    <n v="631"/>
    <x v="0"/>
    <s v="2LDK"/>
    <n v="218000"/>
    <n v="0"/>
    <n v="0"/>
    <n v="0"/>
    <n v="218000"/>
    <n v="218000"/>
    <n v="0"/>
    <n v="218000"/>
    <n v="218000"/>
    <s v="日本人等"/>
    <x v="0"/>
    <s v=""/>
    <m/>
    <s v="103_301"/>
    <n v="165000"/>
    <m/>
    <n v="1"/>
    <n v="218000"/>
    <n v="0"/>
    <n v="53000"/>
    <n v="1"/>
    <x v="0"/>
  </r>
  <r>
    <n v="70"/>
    <n v="103"/>
    <x v="2"/>
    <s v="302"/>
    <n v="52.02"/>
    <n v="631"/>
    <x v="0"/>
    <s v="2DK"/>
    <n v="208000"/>
    <n v="0"/>
    <n v="0"/>
    <n v="0"/>
    <n v="208000"/>
    <n v="208000"/>
    <n v="0"/>
    <n v="208000"/>
    <n v="208000"/>
    <s v="住居法人契約"/>
    <x v="0"/>
    <s v=""/>
    <m/>
    <s v="103_302"/>
    <n v="165000"/>
    <m/>
    <n v="1"/>
    <n v="208000"/>
    <n v="0"/>
    <n v="43000"/>
    <n v="1"/>
    <x v="0"/>
  </r>
  <r>
    <n v="71"/>
    <n v="103"/>
    <x v="2"/>
    <s v="303"/>
    <n v="71.069999999999993"/>
    <n v="631"/>
    <x v="0"/>
    <s v="2LDK"/>
    <n v="220000"/>
    <n v="0"/>
    <n v="0"/>
    <n v="0"/>
    <n v="220000"/>
    <n v="220000"/>
    <n v="0"/>
    <n v="220000"/>
    <n v="220000"/>
    <s v="住居法人契約"/>
    <x v="0"/>
    <s v=""/>
    <m/>
    <s v="103_303"/>
    <n v="188000"/>
    <m/>
    <n v="1"/>
    <n v="220000"/>
    <n v="0"/>
    <n v="32000"/>
    <n v="1"/>
    <x v="0"/>
  </r>
  <r>
    <n v="72"/>
    <n v="103"/>
    <x v="2"/>
    <s v="401"/>
    <n v="51.3"/>
    <n v="631"/>
    <x v="0"/>
    <s v="2LDK"/>
    <n v="198000"/>
    <n v="10000"/>
    <n v="0"/>
    <n v="0"/>
    <n v="208000"/>
    <n v="198000"/>
    <n v="0"/>
    <n v="198000"/>
    <n v="208000"/>
    <s v="日本人等"/>
    <x v="0"/>
    <s v=""/>
    <m/>
    <s v="103_401"/>
    <n v="180000"/>
    <m/>
    <n v="1"/>
    <n v="208000"/>
    <n v="-10000"/>
    <n v="28000"/>
    <n v="1"/>
    <x v="0"/>
  </r>
  <r>
    <n v="73"/>
    <n v="103"/>
    <x v="2"/>
    <s v="402"/>
    <n v="52.02"/>
    <n v="631"/>
    <x v="0"/>
    <s v="2LDK"/>
    <n v="198000"/>
    <n v="0"/>
    <n v="0"/>
    <n v="0"/>
    <n v="198000"/>
    <n v="198000"/>
    <n v="0"/>
    <n v="198000"/>
    <n v="198000"/>
    <s v="日本人等"/>
    <x v="0"/>
    <s v=""/>
    <m/>
    <s v="103_402"/>
    <n v="170000"/>
    <m/>
    <n v="1"/>
    <n v="198000"/>
    <n v="0"/>
    <n v="28000"/>
    <n v="1"/>
    <x v="0"/>
  </r>
  <r>
    <n v="74"/>
    <n v="103"/>
    <x v="2"/>
    <s v="403"/>
    <n v="41.32"/>
    <n v="631"/>
    <x v="0"/>
    <s v="2DK"/>
    <n v="140000"/>
    <n v="0"/>
    <n v="0"/>
    <n v="0"/>
    <n v="140000"/>
    <n v="130000"/>
    <n v="0"/>
    <n v="130000"/>
    <n v="140000"/>
    <s v="日本人等"/>
    <x v="0"/>
    <s v=""/>
    <m/>
    <s v="103_403"/>
    <n v="130000"/>
    <m/>
    <n v="1"/>
    <n v="140000"/>
    <n v="-10000"/>
    <n v="10000"/>
    <n v="1"/>
    <x v="0"/>
  </r>
  <r>
    <n v="75"/>
    <n v="103"/>
    <x v="2"/>
    <s v="501"/>
    <n v="48.35"/>
    <n v="631"/>
    <x v="0"/>
    <s v="2LDK"/>
    <n v="208000"/>
    <n v="10000"/>
    <n v="0"/>
    <n v="0"/>
    <n v="218000"/>
    <n v="218000"/>
    <n v="0"/>
    <n v="218000"/>
    <n v="218000"/>
    <s v="住居法人契約"/>
    <x v="0"/>
    <s v=""/>
    <m/>
    <s v="103_501"/>
    <n v="220000"/>
    <m/>
    <n v="1"/>
    <n v="218000"/>
    <n v="0"/>
    <n v="-2000"/>
    <n v="1"/>
    <x v="0"/>
  </r>
  <r>
    <n v="76"/>
    <n v="103"/>
    <x v="2"/>
    <s v="502"/>
    <n v="50.76"/>
    <n v="631"/>
    <x v="0"/>
    <s v="1LDK"/>
    <n v="188000"/>
    <n v="10000"/>
    <n v="0"/>
    <n v="0"/>
    <n v="198000"/>
    <n v="198000"/>
    <n v="0"/>
    <n v="198000"/>
    <n v="198000"/>
    <s v="日本人等"/>
    <x v="0"/>
    <s v=""/>
    <m/>
    <s v="103_502"/>
    <n v="180000"/>
    <m/>
    <n v="1"/>
    <n v="198000"/>
    <n v="0"/>
    <n v="18000"/>
    <n v="1"/>
    <x v="0"/>
  </r>
  <r>
    <n v="77"/>
    <n v="103"/>
    <x v="2"/>
    <s v="503"/>
    <n v="96.95"/>
    <n v="631"/>
    <x v="0"/>
    <s v="2LDK"/>
    <n v="305800"/>
    <n v="0"/>
    <n v="0"/>
    <n v="0"/>
    <n v="305800"/>
    <n v="305800"/>
    <n v="0"/>
    <n v="305800"/>
    <n v="305800"/>
    <s v="住居法人契約"/>
    <x v="0"/>
    <s v=""/>
    <m/>
    <s v="103_503"/>
    <n v="270000"/>
    <m/>
    <n v="1"/>
    <n v="305800"/>
    <n v="0"/>
    <n v="35800"/>
    <n v="1"/>
    <x v="0"/>
  </r>
  <r>
    <n v="78"/>
    <n v="103"/>
    <x v="2"/>
    <s v="P2"/>
    <n v="0"/>
    <n v="634"/>
    <x v="4"/>
    <s v="駐車場"/>
    <n v="40000"/>
    <n v="0"/>
    <n v="0"/>
    <n v="4000"/>
    <n v="44000"/>
    <n v="40000"/>
    <n v="4000"/>
    <n v="44000"/>
    <n v="44000"/>
    <s v="法人契約"/>
    <x v="0"/>
    <s v=""/>
    <m/>
    <s v="103_P2"/>
    <n v="40000"/>
    <m/>
    <n v="1"/>
    <n v="40000"/>
    <n v="0"/>
    <n v="0"/>
    <n v="1"/>
    <x v="0"/>
  </r>
  <r>
    <n v="79"/>
    <n v="103"/>
    <x v="2"/>
    <s v="P3"/>
    <n v="0"/>
    <n v="634"/>
    <x v="4"/>
    <s v="駐車場"/>
    <n v="35000"/>
    <n v="0"/>
    <n v="0"/>
    <n v="3500"/>
    <n v="38500"/>
    <n v="40000"/>
    <n v="4000"/>
    <n v="44000"/>
    <n v="38500"/>
    <s v="法人契約"/>
    <x v="0"/>
    <s v=""/>
    <m/>
    <s v="103_P3"/>
    <n v="40000"/>
    <m/>
    <n v="1"/>
    <n v="35000"/>
    <n v="5000"/>
    <n v="-5000"/>
    <n v="1"/>
    <x v="0"/>
  </r>
  <r>
    <n v="80"/>
    <n v="103"/>
    <x v="2"/>
    <s v="P5"/>
    <n v="0"/>
    <n v="634"/>
    <x v="4"/>
    <s v="駐車場"/>
    <n v="40000"/>
    <n v="0"/>
    <n v="0"/>
    <n v="4000"/>
    <n v="44000"/>
    <n v="40000"/>
    <n v="4000"/>
    <n v="44000"/>
    <n v="44000"/>
    <s v="日本人等"/>
    <x v="0"/>
    <s v=""/>
    <m/>
    <s v="103_P5"/>
    <n v="40000"/>
    <m/>
    <n v="1"/>
    <n v="40000"/>
    <n v="0"/>
    <n v="0"/>
    <n v="1"/>
    <x v="0"/>
  </r>
  <r>
    <n v="81"/>
    <n v="104"/>
    <x v="3"/>
    <s v="101"/>
    <n v="39.6"/>
    <n v="633"/>
    <x v="5"/>
    <s v="店舗"/>
    <n v="154000"/>
    <n v="0"/>
    <n v="0"/>
    <n v="15400"/>
    <n v="169400"/>
    <n v="154000"/>
    <n v="15400"/>
    <n v="169400"/>
    <n v="169400"/>
    <s v="日本人等"/>
    <x v="0"/>
    <s v=""/>
    <m/>
    <s v="104_101"/>
    <n v="145000"/>
    <m/>
    <n v="1"/>
    <n v="154000"/>
    <n v="0"/>
    <n v="9000"/>
    <n v="1"/>
    <x v="0"/>
  </r>
  <r>
    <n v="82"/>
    <n v="104"/>
    <x v="3"/>
    <s v="102"/>
    <n v="31.92"/>
    <n v="632"/>
    <x v="1"/>
    <s v="事務所"/>
    <n v="120000"/>
    <n v="0"/>
    <n v="0"/>
    <n v="12000"/>
    <n v="132000"/>
    <n v="120000"/>
    <n v="12000"/>
    <n v="132000"/>
    <n v="132000"/>
    <s v="住居法人契約"/>
    <x v="0"/>
    <s v=""/>
    <m/>
    <s v="104_102"/>
    <n v="80000"/>
    <m/>
    <n v="1"/>
    <n v="120000"/>
    <n v="0"/>
    <n v="40000"/>
    <n v="1"/>
    <x v="0"/>
  </r>
  <r>
    <n v="83"/>
    <n v="104"/>
    <x v="3"/>
    <s v="201"/>
    <n v="19.8"/>
    <n v="631"/>
    <x v="0"/>
    <s v="1R"/>
    <n v="70000"/>
    <n v="0"/>
    <n v="0"/>
    <n v="7000"/>
    <n v="77000"/>
    <n v="77000"/>
    <n v="0"/>
    <n v="77000"/>
    <n v="77000"/>
    <s v="住居法人契約"/>
    <x v="0"/>
    <s v=""/>
    <m/>
    <s v="104_201"/>
    <n v="65000"/>
    <m/>
    <n v="1"/>
    <n v="70000"/>
    <n v="7000"/>
    <n v="5000"/>
    <n v="1"/>
    <x v="0"/>
  </r>
  <r>
    <n v="84"/>
    <n v="104"/>
    <x v="3"/>
    <s v="202"/>
    <n v="19.8"/>
    <n v="631"/>
    <x v="0"/>
    <s v="1R"/>
    <n v="73000"/>
    <n v="0"/>
    <n v="0"/>
    <n v="0"/>
    <n v="73000"/>
    <n v="73000"/>
    <n v="0"/>
    <n v="73000"/>
    <n v="73000"/>
    <s v="日本人等"/>
    <x v="0"/>
    <s v=""/>
    <m/>
    <s v="104_202"/>
    <n v="63000"/>
    <m/>
    <n v="1"/>
    <n v="73000"/>
    <n v="0"/>
    <n v="10000"/>
    <n v="1"/>
    <x v="0"/>
  </r>
  <r>
    <n v="85"/>
    <n v="104"/>
    <x v="3"/>
    <s v="203"/>
    <n v="19.8"/>
    <n v="631"/>
    <x v="0"/>
    <s v="1R"/>
    <n v="75000"/>
    <n v="0"/>
    <n v="0"/>
    <n v="0"/>
    <n v="75000"/>
    <n v="75000"/>
    <n v="0"/>
    <n v="75000"/>
    <n v="75000"/>
    <s v="日本人等"/>
    <x v="0"/>
    <s v=""/>
    <m/>
    <s v="104_203"/>
    <n v="70000"/>
    <m/>
    <n v="1"/>
    <n v="75000"/>
    <n v="0"/>
    <n v="5000"/>
    <n v="1"/>
    <x v="0"/>
  </r>
  <r>
    <n v="86"/>
    <n v="104"/>
    <x v="3"/>
    <s v="301"/>
    <n v="16.8"/>
    <n v="631"/>
    <x v="0"/>
    <s v="1R"/>
    <n v="70000"/>
    <n v="0"/>
    <n v="0"/>
    <n v="0"/>
    <n v="70000"/>
    <n v="70000"/>
    <n v="0"/>
    <n v="70000"/>
    <n v="70000"/>
    <s v="住居法人契約"/>
    <x v="0"/>
    <s v=""/>
    <m/>
    <s v="104_301"/>
    <n v="62000"/>
    <m/>
    <n v="1"/>
    <n v="70000"/>
    <n v="0"/>
    <n v="8000"/>
    <n v="1"/>
    <x v="0"/>
  </r>
  <r>
    <n v="87"/>
    <n v="104"/>
    <x v="3"/>
    <s v="302"/>
    <n v="16.8"/>
    <n v="631"/>
    <x v="0"/>
    <s v="1R"/>
    <n v="0"/>
    <n v="0"/>
    <n v="0"/>
    <n v="0"/>
    <n v="0"/>
    <n v="88000"/>
    <n v="0"/>
    <n v="88000"/>
    <n v="88000"/>
    <s v="-"/>
    <x v="0"/>
    <s v="一時的な空室"/>
    <m/>
    <s v="104_302"/>
    <n v="63000"/>
    <m/>
    <n v="0"/>
    <n v="88000"/>
    <n v="0"/>
    <n v="25000"/>
    <n v="1"/>
    <x v="0"/>
  </r>
  <r>
    <n v="88"/>
    <n v="104"/>
    <x v="3"/>
    <s v="303"/>
    <n v="16.8"/>
    <n v="631"/>
    <x v="0"/>
    <s v="1R"/>
    <n v="72000"/>
    <n v="0"/>
    <n v="0"/>
    <n v="0"/>
    <n v="72000"/>
    <n v="72000"/>
    <n v="0"/>
    <n v="72000"/>
    <n v="72000"/>
    <s v="日本人等"/>
    <x v="0"/>
    <s v=""/>
    <m/>
    <s v="104_303"/>
    <n v="72000"/>
    <m/>
    <n v="1"/>
    <n v="72000"/>
    <n v="0"/>
    <n v="0"/>
    <n v="1"/>
    <x v="0"/>
  </r>
  <r>
    <n v="89"/>
    <n v="105"/>
    <x v="4"/>
    <s v="101"/>
    <n v="46.12"/>
    <n v="631"/>
    <x v="0"/>
    <s v="3DK"/>
    <n v="135000"/>
    <n v="4000"/>
    <n v="0"/>
    <n v="0"/>
    <n v="139000"/>
    <n v="139000"/>
    <n v="0"/>
    <n v="139000"/>
    <n v="139000"/>
    <s v="その他新興国"/>
    <x v="0"/>
    <s v=""/>
    <m/>
    <s v="105_101"/>
    <n v="139000"/>
    <m/>
    <n v="1"/>
    <n v="139000"/>
    <n v="0"/>
    <n v="0"/>
    <n v="1"/>
    <x v="0"/>
  </r>
  <r>
    <n v="90"/>
    <n v="105"/>
    <x v="4"/>
    <s v="102"/>
    <n v="37.799999999999997"/>
    <n v="631"/>
    <x v="0"/>
    <s v="1K"/>
    <n v="100000"/>
    <n v="3000"/>
    <n v="186"/>
    <n v="18"/>
    <n v="103204"/>
    <n v="103204"/>
    <n v="0"/>
    <n v="103204"/>
    <n v="103204"/>
    <s v="日本人等"/>
    <x v="0"/>
    <s v=""/>
    <m/>
    <s v="105_102"/>
    <n v="103000"/>
    <m/>
    <n v="1"/>
    <n v="103186"/>
    <n v="18"/>
    <n v="186"/>
    <n v="1"/>
    <x v="0"/>
  </r>
  <r>
    <n v="91"/>
    <n v="105"/>
    <x v="4"/>
    <s v="201"/>
    <n v="28.62"/>
    <n v="631"/>
    <x v="0"/>
    <s v="2DK"/>
    <n v="103000"/>
    <n v="5000"/>
    <n v="0"/>
    <n v="0"/>
    <n v="108000"/>
    <n v="113000"/>
    <n v="0"/>
    <n v="113000"/>
    <n v="108000"/>
    <s v="その他新興国"/>
    <x v="0"/>
    <s v=""/>
    <m/>
    <s v="105_201"/>
    <n v="90200"/>
    <m/>
    <n v="1"/>
    <n v="108000"/>
    <n v="5000"/>
    <n v="17800"/>
    <n v="1"/>
    <x v="0"/>
  </r>
  <r>
    <n v="92"/>
    <n v="105"/>
    <x v="4"/>
    <s v="202"/>
    <n v="28.62"/>
    <n v="631"/>
    <x v="0"/>
    <s v="2DK"/>
    <n v="0"/>
    <n v="0"/>
    <n v="0"/>
    <n v="0"/>
    <n v="0"/>
    <n v="105000"/>
    <n v="0"/>
    <n v="105000"/>
    <n v="105000"/>
    <s v="-"/>
    <x v="0"/>
    <s v="一時的な空室"/>
    <m/>
    <s v="105_202"/>
    <n v="88000"/>
    <m/>
    <n v="0"/>
    <n v="105000"/>
    <n v="0"/>
    <n v="17000"/>
    <n v="1"/>
    <x v="0"/>
  </r>
  <r>
    <n v="93"/>
    <n v="105"/>
    <x v="4"/>
    <s v="203"/>
    <n v="33.39"/>
    <n v="631"/>
    <x v="0"/>
    <s v="2DK"/>
    <n v="0"/>
    <n v="0"/>
    <n v="0"/>
    <n v="0"/>
    <n v="0"/>
    <n v="99204"/>
    <n v="0"/>
    <n v="99204"/>
    <n v="99204"/>
    <s v="-"/>
    <x v="0"/>
    <s v="一時的な空室"/>
    <m/>
    <s v="105_203"/>
    <n v="99000"/>
    <m/>
    <n v="0"/>
    <n v="99204"/>
    <n v="0"/>
    <n v="204"/>
    <n v="1"/>
    <x v="0"/>
  </r>
  <r>
    <n v="94"/>
    <n v="105"/>
    <x v="4"/>
    <s v="204"/>
    <n v="37.049999999999997"/>
    <n v="631"/>
    <x v="0"/>
    <s v="2DK"/>
    <n v="100000"/>
    <n v="0"/>
    <n v="926"/>
    <n v="92"/>
    <n v="101018"/>
    <n v="101018"/>
    <n v="0"/>
    <n v="101018"/>
    <n v="101018"/>
    <s v="日本人等"/>
    <x v="0"/>
    <s v=""/>
    <m/>
    <s v="105_204"/>
    <n v="120400"/>
    <m/>
    <n v="1"/>
    <n v="100926"/>
    <n v="92"/>
    <n v="-19474"/>
    <n v="1"/>
    <x v="0"/>
  </r>
  <r>
    <n v="95"/>
    <n v="105"/>
    <x v="4"/>
    <s v="301"/>
    <n v="28.62"/>
    <n v="631"/>
    <x v="0"/>
    <s v="2DK"/>
    <n v="105000"/>
    <n v="5000"/>
    <n v="0"/>
    <n v="0"/>
    <n v="110000"/>
    <n v="110000"/>
    <n v="0"/>
    <n v="110000"/>
    <n v="110000"/>
    <s v="中華系"/>
    <x v="0"/>
    <s v=""/>
    <m/>
    <s v="105_301"/>
    <n v="98000"/>
    <m/>
    <n v="1"/>
    <n v="110000"/>
    <n v="0"/>
    <n v="12000"/>
    <n v="1"/>
    <x v="0"/>
  </r>
  <r>
    <n v="96"/>
    <n v="105"/>
    <x v="4"/>
    <s v="302"/>
    <n v="28.62"/>
    <n v="631"/>
    <x v="0"/>
    <s v="2DK"/>
    <n v="100000"/>
    <n v="0"/>
    <n v="0"/>
    <n v="0"/>
    <n v="100000"/>
    <n v="100000"/>
    <n v="0"/>
    <n v="100000"/>
    <n v="100000"/>
    <s v="日本人等"/>
    <x v="0"/>
    <s v=""/>
    <m/>
    <s v="105_302"/>
    <n v="100000"/>
    <m/>
    <n v="1"/>
    <n v="100000"/>
    <n v="0"/>
    <n v="0"/>
    <n v="1"/>
    <x v="0"/>
  </r>
  <r>
    <n v="97"/>
    <n v="105"/>
    <x v="4"/>
    <s v="303"/>
    <n v="33.39"/>
    <n v="631"/>
    <x v="0"/>
    <s v="2DK"/>
    <n v="120000"/>
    <n v="5000"/>
    <n v="0"/>
    <n v="0"/>
    <n v="125000"/>
    <n v="125000"/>
    <n v="0"/>
    <n v="125000"/>
    <n v="125000"/>
    <s v="中華系"/>
    <x v="0"/>
    <s v=""/>
    <m/>
    <s v="105_303"/>
    <n v="100000"/>
    <m/>
    <n v="1"/>
    <n v="125000"/>
    <n v="0"/>
    <n v="25000"/>
    <n v="1"/>
    <x v="0"/>
  </r>
  <r>
    <n v="98"/>
    <n v="105"/>
    <x v="4"/>
    <s v="304"/>
    <n v="37.049999999999997"/>
    <n v="631"/>
    <x v="0"/>
    <s v="2DK"/>
    <n v="100000"/>
    <n v="0"/>
    <n v="1112"/>
    <n v="111"/>
    <n v="101223"/>
    <n v="91223"/>
    <n v="0"/>
    <n v="91223"/>
    <n v="101223"/>
    <s v="日本人等"/>
    <x v="0"/>
    <s v=""/>
    <m/>
    <s v="105_304"/>
    <n v="100000"/>
    <m/>
    <n v="1"/>
    <n v="101112"/>
    <n v="-9889"/>
    <n v="1112"/>
    <n v="1"/>
    <x v="0"/>
  </r>
  <r>
    <n v="99"/>
    <n v="105"/>
    <x v="4"/>
    <s v="401"/>
    <n v="28.62"/>
    <n v="631"/>
    <x v="0"/>
    <s v="2DK"/>
    <n v="93000"/>
    <n v="3000"/>
    <n v="371"/>
    <n v="37"/>
    <n v="96408"/>
    <n v="96408"/>
    <n v="0"/>
    <n v="96408"/>
    <n v="96408"/>
    <s v="日本人等"/>
    <x v="0"/>
    <s v=""/>
    <m/>
    <s v="105_401"/>
    <n v="96000"/>
    <m/>
    <n v="1"/>
    <n v="96371"/>
    <n v="37"/>
    <n v="371"/>
    <n v="1"/>
    <x v="0"/>
  </r>
  <r>
    <n v="100"/>
    <n v="105"/>
    <x v="4"/>
    <s v="402"/>
    <n v="28.62"/>
    <n v="631"/>
    <x v="0"/>
    <s v="2DK"/>
    <n v="90000"/>
    <n v="0"/>
    <n v="0"/>
    <n v="0"/>
    <n v="90000"/>
    <n v="90000"/>
    <n v="0"/>
    <n v="90000"/>
    <n v="90000"/>
    <s v="日本人等"/>
    <x v="0"/>
    <s v=""/>
    <m/>
    <s v="105_402"/>
    <n v="90000"/>
    <m/>
    <n v="1"/>
    <n v="90000"/>
    <n v="0"/>
    <n v="0"/>
    <n v="1"/>
    <x v="0"/>
  </r>
  <r>
    <n v="101"/>
    <n v="105"/>
    <x v="4"/>
    <s v="403"/>
    <n v="33.39"/>
    <n v="631"/>
    <x v="0"/>
    <s v="2DK"/>
    <n v="105000"/>
    <n v="5000"/>
    <n v="0"/>
    <n v="0"/>
    <n v="110000"/>
    <n v="130000"/>
    <n v="0"/>
    <n v="130000"/>
    <n v="110000"/>
    <s v="日本人等"/>
    <x v="0"/>
    <s v=""/>
    <m/>
    <s v="105_403"/>
    <n v="98400"/>
    <m/>
    <n v="1"/>
    <n v="110000"/>
    <n v="20000"/>
    <n v="11600"/>
    <n v="1"/>
    <x v="0"/>
  </r>
  <r>
    <n v="102"/>
    <n v="105"/>
    <x v="4"/>
    <s v="404"/>
    <n v="37.049999999999997"/>
    <n v="631"/>
    <x v="0"/>
    <s v="2DK"/>
    <n v="125000"/>
    <n v="4000"/>
    <n v="0"/>
    <n v="0"/>
    <n v="129000"/>
    <n v="129000"/>
    <n v="0"/>
    <n v="129000"/>
    <n v="129000"/>
    <s v="中華系"/>
    <x v="0"/>
    <s v=""/>
    <m/>
    <s v="105_404"/>
    <n v="119400"/>
    <m/>
    <n v="1"/>
    <n v="129000"/>
    <n v="0"/>
    <n v="9600"/>
    <n v="1"/>
    <x v="0"/>
  </r>
  <r>
    <n v="103"/>
    <n v="105"/>
    <x v="4"/>
    <s v="501"/>
    <n v="28.62"/>
    <n v="631"/>
    <x v="0"/>
    <s v="2DK"/>
    <n v="107000"/>
    <n v="3000"/>
    <n v="0"/>
    <n v="0"/>
    <n v="110000"/>
    <n v="110000"/>
    <n v="0"/>
    <n v="110000"/>
    <n v="110000"/>
    <s v="日本人等"/>
    <x v="0"/>
    <s v=""/>
    <m/>
    <s v="105_501"/>
    <n v="97000"/>
    <m/>
    <n v="1"/>
    <n v="110000"/>
    <n v="0"/>
    <n v="13000"/>
    <n v="1"/>
    <x v="0"/>
  </r>
  <r>
    <n v="104"/>
    <n v="105"/>
    <x v="4"/>
    <s v="502"/>
    <n v="28.62"/>
    <n v="631"/>
    <x v="0"/>
    <s v="2DK"/>
    <n v="102000"/>
    <n v="3000"/>
    <n v="0"/>
    <n v="0"/>
    <n v="105000"/>
    <n v="105000"/>
    <n v="0"/>
    <n v="105000"/>
    <n v="105000"/>
    <s v="中華系"/>
    <x v="0"/>
    <s v=""/>
    <m/>
    <s v="105_502"/>
    <n v="94000"/>
    <m/>
    <n v="1"/>
    <n v="105000"/>
    <n v="0"/>
    <n v="11000"/>
    <n v="1"/>
    <x v="0"/>
  </r>
  <r>
    <n v="105"/>
    <n v="105"/>
    <x v="4"/>
    <s v="503"/>
    <n v="33.39"/>
    <n v="631"/>
    <x v="0"/>
    <s v="2DK"/>
    <n v="103000"/>
    <n v="0"/>
    <n v="186"/>
    <n v="18"/>
    <n v="103204"/>
    <n v="103204"/>
    <n v="0"/>
    <n v="103204"/>
    <n v="103204"/>
    <s v="日本人等"/>
    <x v="0"/>
    <s v=""/>
    <m/>
    <s v="105_503"/>
    <n v="100200"/>
    <m/>
    <n v="1"/>
    <n v="103186"/>
    <n v="18"/>
    <n v="2986"/>
    <n v="1"/>
    <x v="0"/>
  </r>
  <r>
    <n v="106"/>
    <n v="105"/>
    <x v="4"/>
    <s v="504"/>
    <n v="37.049999999999997"/>
    <n v="631"/>
    <x v="0"/>
    <s v="2DK"/>
    <n v="130000"/>
    <n v="5000"/>
    <n v="0"/>
    <n v="0"/>
    <n v="135000"/>
    <n v="135220"/>
    <n v="0"/>
    <n v="135220"/>
    <n v="135000"/>
    <s v="中華系"/>
    <x v="0"/>
    <s v=""/>
    <m/>
    <s v="105_504"/>
    <n v="95200"/>
    <m/>
    <n v="1"/>
    <n v="135000"/>
    <n v="220"/>
    <n v="39800"/>
    <n v="1"/>
    <x v="0"/>
  </r>
  <r>
    <n v="107"/>
    <n v="105"/>
    <x v="4"/>
    <s v="601"/>
    <n v="28.62"/>
    <n v="631"/>
    <x v="0"/>
    <s v="2DK"/>
    <n v="110000"/>
    <n v="5000"/>
    <n v="0"/>
    <n v="0"/>
    <n v="115000"/>
    <n v="115000"/>
    <n v="0"/>
    <n v="115000"/>
    <n v="115000"/>
    <s v="中華系"/>
    <x v="0"/>
    <s v=""/>
    <m/>
    <s v="105_601"/>
    <n v="105000"/>
    <m/>
    <n v="1"/>
    <n v="115000"/>
    <n v="0"/>
    <n v="10000"/>
    <n v="1"/>
    <x v="0"/>
  </r>
  <r>
    <n v="108"/>
    <n v="105"/>
    <x v="4"/>
    <s v="602"/>
    <n v="28.62"/>
    <n v="631"/>
    <x v="0"/>
    <s v="2DK"/>
    <n v="92000"/>
    <n v="3000"/>
    <n v="0"/>
    <n v="0"/>
    <n v="95000"/>
    <n v="95000"/>
    <n v="0"/>
    <n v="95000"/>
    <n v="95000"/>
    <s v="日本人等"/>
    <x v="0"/>
    <s v=""/>
    <m/>
    <s v="105_602"/>
    <n v="95000"/>
    <m/>
    <n v="1"/>
    <n v="95000"/>
    <n v="0"/>
    <n v="0"/>
    <n v="1"/>
    <x v="0"/>
  </r>
  <r>
    <n v="109"/>
    <n v="105"/>
    <x v="4"/>
    <s v="603"/>
    <n v="33.39"/>
    <n v="631"/>
    <x v="0"/>
    <s v="2DK"/>
    <n v="100000"/>
    <n v="0"/>
    <n v="186"/>
    <n v="18"/>
    <n v="100204"/>
    <n v="100408"/>
    <n v="0"/>
    <n v="100408"/>
    <n v="100204"/>
    <s v="日本人等"/>
    <x v="0"/>
    <s v=""/>
    <m/>
    <s v="105_603"/>
    <n v="100000"/>
    <m/>
    <n v="1"/>
    <n v="100186"/>
    <n v="222"/>
    <n v="186"/>
    <n v="1"/>
    <x v="0"/>
  </r>
  <r>
    <n v="110"/>
    <n v="105"/>
    <x v="4"/>
    <s v="701"/>
    <n v="23.86"/>
    <n v="631"/>
    <x v="0"/>
    <s v="1K"/>
    <n v="79000"/>
    <n v="3000"/>
    <n v="0"/>
    <n v="0"/>
    <n v="82000"/>
    <n v="89000"/>
    <n v="0"/>
    <n v="89000"/>
    <n v="82000"/>
    <s v="日本人等"/>
    <x v="0"/>
    <s v=""/>
    <m/>
    <s v="105_701"/>
    <n v="75000"/>
    <m/>
    <n v="1"/>
    <n v="82000"/>
    <n v="7000"/>
    <n v="7000"/>
    <n v="1"/>
    <x v="0"/>
  </r>
  <r>
    <n v="111"/>
    <n v="105"/>
    <x v="4"/>
    <s v="702"/>
    <n v="28.62"/>
    <n v="631"/>
    <x v="0"/>
    <s v="2DK"/>
    <n v="105000"/>
    <n v="5000"/>
    <n v="0"/>
    <n v="0"/>
    <n v="110000"/>
    <n v="110000"/>
    <n v="0"/>
    <n v="110000"/>
    <n v="110000"/>
    <s v="中華系"/>
    <x v="0"/>
    <s v=""/>
    <m/>
    <s v="105_702"/>
    <n v="100000"/>
    <m/>
    <n v="1"/>
    <n v="110000"/>
    <n v="0"/>
    <n v="10000"/>
    <n v="1"/>
    <x v="0"/>
  </r>
  <r>
    <n v="112"/>
    <n v="105"/>
    <x v="4"/>
    <s v="703"/>
    <n v="33.39"/>
    <n v="631"/>
    <x v="0"/>
    <s v="2DK"/>
    <n v="115000"/>
    <n v="0"/>
    <n v="1852"/>
    <n v="185"/>
    <n v="117037"/>
    <n v="117037"/>
    <n v="0"/>
    <n v="117037"/>
    <n v="117037"/>
    <s v="日本人等"/>
    <x v="0"/>
    <s v=""/>
    <m/>
    <s v="105_703"/>
    <n v="117000"/>
    <m/>
    <n v="1"/>
    <n v="116852"/>
    <n v="185"/>
    <n v="-148"/>
    <n v="1"/>
    <x v="0"/>
  </r>
  <r>
    <n v="113"/>
    <n v="105"/>
    <x v="4"/>
    <s v="P1"/>
    <n v="0"/>
    <n v="634"/>
    <x v="4"/>
    <s v="駐車場"/>
    <n v="35000"/>
    <n v="0"/>
    <n v="0"/>
    <n v="3500"/>
    <n v="38500"/>
    <n v="35000"/>
    <n v="3500"/>
    <n v="38500"/>
    <n v="38500"/>
    <s v="法人契約"/>
    <x v="0"/>
    <s v=""/>
    <m/>
    <s v="105_P1"/>
    <n v="35000"/>
    <m/>
    <n v="1"/>
    <n v="35000"/>
    <n v="0"/>
    <n v="0"/>
    <n v="1"/>
    <x v="0"/>
  </r>
  <r>
    <n v="114"/>
    <n v="105"/>
    <x v="4"/>
    <s v="P2"/>
    <n v="0"/>
    <n v="634"/>
    <x v="4"/>
    <s v="駐車場"/>
    <n v="35000"/>
    <n v="0"/>
    <n v="0"/>
    <n v="3500"/>
    <n v="38500"/>
    <n v="35000"/>
    <n v="3500"/>
    <n v="38500"/>
    <n v="38500"/>
    <s v="法人契約"/>
    <x v="0"/>
    <s v=""/>
    <m/>
    <s v="105_P2"/>
    <n v="35000"/>
    <m/>
    <n v="1"/>
    <n v="35000"/>
    <n v="0"/>
    <n v="0"/>
    <n v="1"/>
    <x v="0"/>
  </r>
  <r>
    <n v="115"/>
    <n v="105"/>
    <x v="4"/>
    <s v="A01"/>
    <n v="47.62"/>
    <n v="633"/>
    <x v="5"/>
    <s v="倉庫"/>
    <n v="90000"/>
    <n v="0"/>
    <n v="0"/>
    <n v="9000"/>
    <n v="99000"/>
    <n v="90000"/>
    <n v="9000"/>
    <n v="99000"/>
    <n v="99000"/>
    <s v="法人契約"/>
    <x v="0"/>
    <s v=""/>
    <m/>
    <s v="105_A01"/>
    <n v="90000"/>
    <m/>
    <n v="1"/>
    <n v="90000"/>
    <n v="0"/>
    <n v="0"/>
    <n v="1"/>
    <x v="0"/>
  </r>
  <r>
    <n v="116"/>
    <n v="105"/>
    <x v="4"/>
    <s v="RF1"/>
    <n v="0"/>
    <n v="635"/>
    <x v="2"/>
    <s v="その他"/>
    <n v="12000"/>
    <n v="0"/>
    <n v="0"/>
    <n v="1200"/>
    <n v="13200"/>
    <n v="12000"/>
    <n v="1199.9999999999998"/>
    <n v="13200"/>
    <n v="13200"/>
    <s v="法人契約"/>
    <x v="0"/>
    <s v=""/>
    <m/>
    <s v="105_RF1"/>
    <n v="0"/>
    <m/>
    <n v="1"/>
    <n v="12000"/>
    <n v="0"/>
    <n v="12000"/>
    <n v="1"/>
    <x v="0"/>
  </r>
  <r>
    <n v="117"/>
    <n v="105"/>
    <x v="4"/>
    <s v="RF2"/>
    <n v="0"/>
    <n v="635"/>
    <x v="2"/>
    <s v="その他"/>
    <n v="22324"/>
    <n v="0"/>
    <n v="0"/>
    <n v="0"/>
    <n v="22324"/>
    <n v="20294"/>
    <n v="2029.4545454545453"/>
    <n v="22323.454545454544"/>
    <n v="22324"/>
    <s v="法人契約"/>
    <x v="0"/>
    <s v="ソフトバンクモバイル"/>
    <m/>
    <s v="105_RF2"/>
    <n v="22324"/>
    <m/>
    <n v="1"/>
    <n v="22324"/>
    <n v="-2030"/>
    <n v="0"/>
    <n v="1"/>
    <x v="0"/>
  </r>
  <r>
    <n v="118"/>
    <n v="105"/>
    <x v="4"/>
    <s v="NTF1"/>
    <s v="-"/>
    <n v="639"/>
    <x v="3"/>
    <s v="その他"/>
    <n v="0"/>
    <n v="0"/>
    <n v="0"/>
    <n v="0"/>
    <n v="0"/>
    <n v="0"/>
    <n v="0"/>
    <n v="0"/>
    <n v="0"/>
    <s v="-"/>
    <x v="1"/>
    <s v="フレッツ光"/>
    <m/>
    <s v="105_NTF1"/>
    <n v="0"/>
    <m/>
    <n v="0"/>
    <n v="0"/>
    <n v="0"/>
    <n v="0"/>
    <n v="0"/>
    <x v="0"/>
  </r>
  <r>
    <n v="119"/>
    <n v="105"/>
    <x v="4"/>
    <s v="NTD1"/>
    <s v="-"/>
    <n v="639"/>
    <x v="3"/>
    <s v="その他"/>
    <n v="0"/>
    <n v="0"/>
    <n v="0"/>
    <n v="0"/>
    <n v="0"/>
    <n v="0"/>
    <n v="0"/>
    <n v="0"/>
    <n v="0"/>
    <s v="-"/>
    <x v="1"/>
    <s v="電柱"/>
    <m/>
    <s v="105_NTD1"/>
    <n v="0"/>
    <m/>
    <n v="0"/>
    <n v="0"/>
    <n v="0"/>
    <n v="0"/>
    <n v="0"/>
    <x v="0"/>
  </r>
  <r>
    <n v="120"/>
    <n v="106"/>
    <x v="5"/>
    <s v="101"/>
    <n v="48.36"/>
    <n v="631"/>
    <x v="0"/>
    <s v="2DK"/>
    <n v="116000"/>
    <n v="10000"/>
    <n v="0"/>
    <n v="0"/>
    <n v="126000"/>
    <n v="158000"/>
    <n v="0"/>
    <n v="158000"/>
    <n v="126000"/>
    <s v="中華系"/>
    <x v="0"/>
    <s v=""/>
    <m/>
    <s v="106_101"/>
    <n v="127000"/>
    <m/>
    <n v="1"/>
    <n v="126000"/>
    <n v="32000"/>
    <n v="-1000"/>
    <n v="1"/>
    <x v="0"/>
  </r>
  <r>
    <n v="121"/>
    <n v="106"/>
    <x v="5"/>
    <s v="102"/>
    <n v="52.75"/>
    <n v="631"/>
    <x v="0"/>
    <s v="3DK"/>
    <n v="157000"/>
    <n v="10000"/>
    <n v="0"/>
    <n v="0"/>
    <n v="167000"/>
    <n v="167000"/>
    <n v="0"/>
    <n v="167000"/>
    <n v="167000"/>
    <s v="日本人等"/>
    <x v="0"/>
    <s v=""/>
    <m/>
    <s v="106_102"/>
    <n v="139000"/>
    <m/>
    <n v="1"/>
    <n v="167000"/>
    <n v="0"/>
    <n v="28000"/>
    <n v="1"/>
    <x v="0"/>
  </r>
  <r>
    <n v="122"/>
    <n v="106"/>
    <x v="5"/>
    <s v="201"/>
    <n v="43.2"/>
    <n v="631"/>
    <x v="0"/>
    <s v="2DK"/>
    <n v="122000"/>
    <n v="7000"/>
    <n v="0"/>
    <n v="0"/>
    <n v="129000"/>
    <n v="129000"/>
    <n v="0"/>
    <n v="129000"/>
    <n v="129000"/>
    <s v="日本人等"/>
    <x v="0"/>
    <s v=""/>
    <m/>
    <s v="106_201"/>
    <n v="129000"/>
    <m/>
    <n v="1"/>
    <n v="129000"/>
    <n v="0"/>
    <n v="0"/>
    <n v="1"/>
    <x v="0"/>
  </r>
  <r>
    <n v="123"/>
    <n v="106"/>
    <x v="5"/>
    <s v="202"/>
    <n v="43.2"/>
    <n v="631"/>
    <x v="0"/>
    <s v="2DK"/>
    <n v="140000"/>
    <n v="10000"/>
    <n v="0"/>
    <n v="0"/>
    <n v="150000"/>
    <n v="152000"/>
    <n v="0"/>
    <n v="152000"/>
    <n v="150000"/>
    <s v="中華系"/>
    <x v="0"/>
    <s v=""/>
    <m/>
    <s v="106_202"/>
    <n v="133000"/>
    <m/>
    <n v="1"/>
    <n v="150000"/>
    <n v="2000"/>
    <n v="17000"/>
    <n v="1"/>
    <x v="0"/>
  </r>
  <r>
    <n v="124"/>
    <n v="106"/>
    <x v="5"/>
    <s v="203"/>
    <n v="48.36"/>
    <n v="631"/>
    <x v="0"/>
    <s v="2DK"/>
    <n v="124000"/>
    <n v="10000"/>
    <n v="0"/>
    <n v="0"/>
    <n v="134000"/>
    <n v="134000"/>
    <n v="0"/>
    <n v="134000"/>
    <n v="134000"/>
    <s v="中華系"/>
    <x v="0"/>
    <s v=""/>
    <m/>
    <s v="106_203"/>
    <n v="137000"/>
    <m/>
    <n v="1"/>
    <n v="134000"/>
    <n v="0"/>
    <n v="-3000"/>
    <n v="1"/>
    <x v="0"/>
  </r>
  <r>
    <n v="125"/>
    <n v="106"/>
    <x v="5"/>
    <s v="204"/>
    <n v="52.75"/>
    <n v="631"/>
    <x v="0"/>
    <s v="3DK"/>
    <n v="160000"/>
    <n v="10000"/>
    <n v="0"/>
    <n v="0"/>
    <n v="170000"/>
    <n v="168000"/>
    <n v="0"/>
    <n v="168000"/>
    <n v="170000"/>
    <s v="中華系"/>
    <x v="0"/>
    <s v=""/>
    <m/>
    <s v="106_204"/>
    <n v="141000"/>
    <m/>
    <n v="1"/>
    <n v="170000"/>
    <n v="-2000"/>
    <n v="29000"/>
    <n v="1"/>
    <x v="0"/>
  </r>
  <r>
    <n v="126"/>
    <n v="106"/>
    <x v="5"/>
    <s v="301"/>
    <n v="43.2"/>
    <n v="631"/>
    <x v="0"/>
    <s v="2DK"/>
    <n v="140000"/>
    <n v="10000"/>
    <n v="0"/>
    <n v="0"/>
    <n v="150000"/>
    <n v="135000"/>
    <n v="0"/>
    <n v="135000"/>
    <n v="150000"/>
    <s v="中華系"/>
    <x v="0"/>
    <s v=""/>
    <m/>
    <s v="106_301"/>
    <n v="132000"/>
    <m/>
    <n v="1"/>
    <n v="150000"/>
    <n v="-15000"/>
    <n v="18000"/>
    <n v="1"/>
    <x v="0"/>
  </r>
  <r>
    <n v="127"/>
    <n v="106"/>
    <x v="5"/>
    <s v="302"/>
    <n v="43.2"/>
    <n v="631"/>
    <x v="0"/>
    <s v="2DK"/>
    <n v="142000"/>
    <n v="10000"/>
    <n v="0"/>
    <n v="0"/>
    <n v="152000"/>
    <n v="150000"/>
    <n v="0"/>
    <n v="150000"/>
    <n v="152000"/>
    <s v="中華系"/>
    <x v="0"/>
    <s v=""/>
    <m/>
    <s v="106_302"/>
    <n v="135000"/>
    <m/>
    <n v="1"/>
    <n v="152000"/>
    <n v="-2000"/>
    <n v="17000"/>
    <n v="1"/>
    <x v="0"/>
  </r>
  <r>
    <n v="128"/>
    <n v="106"/>
    <x v="5"/>
    <s v="303"/>
    <n v="48.36"/>
    <n v="631"/>
    <x v="0"/>
    <s v="2DK"/>
    <n v="135000"/>
    <n v="10000"/>
    <n v="0"/>
    <n v="0"/>
    <n v="145000"/>
    <n v="145000"/>
    <n v="0"/>
    <n v="145000"/>
    <n v="145000"/>
    <s v="中華系"/>
    <x v="0"/>
    <s v=""/>
    <m/>
    <s v="106_303"/>
    <n v="135000"/>
    <m/>
    <n v="1"/>
    <n v="145000"/>
    <n v="0"/>
    <n v="10000"/>
    <n v="1"/>
    <x v="0"/>
  </r>
  <r>
    <n v="129"/>
    <n v="106"/>
    <x v="5"/>
    <s v="304"/>
    <n v="52.75"/>
    <n v="631"/>
    <x v="0"/>
    <s v="3DK"/>
    <n v="160000"/>
    <n v="10000"/>
    <n v="0"/>
    <n v="0"/>
    <n v="170000"/>
    <n v="168000"/>
    <n v="0"/>
    <n v="168000"/>
    <n v="170000"/>
    <s v="住居法人契約"/>
    <x v="0"/>
    <s v=""/>
    <m/>
    <s v="106_304"/>
    <n v="158000"/>
    <m/>
    <n v="1"/>
    <n v="170000"/>
    <n v="-2000"/>
    <n v="12000"/>
    <n v="1"/>
    <x v="0"/>
  </r>
  <r>
    <n v="130"/>
    <n v="106"/>
    <x v="5"/>
    <s v="401"/>
    <n v="39.42"/>
    <n v="631"/>
    <x v="0"/>
    <s v="1LDK"/>
    <n v="125000"/>
    <n v="10000"/>
    <n v="0"/>
    <n v="0"/>
    <n v="135000"/>
    <n v="123000"/>
    <n v="0"/>
    <n v="123000"/>
    <n v="135000"/>
    <s v="中華系"/>
    <x v="0"/>
    <s v=""/>
    <m/>
    <s v="106_401"/>
    <n v="123000"/>
    <m/>
    <n v="1"/>
    <n v="135000"/>
    <n v="-12000"/>
    <n v="12000"/>
    <n v="1"/>
    <x v="0"/>
  </r>
  <r>
    <n v="131"/>
    <n v="106"/>
    <x v="5"/>
    <s v="402"/>
    <n v="43.2"/>
    <n v="631"/>
    <x v="0"/>
    <s v="2DK"/>
    <n v="150000"/>
    <n v="10000"/>
    <n v="0"/>
    <n v="0"/>
    <n v="160000"/>
    <n v="160000"/>
    <n v="0"/>
    <n v="160000"/>
    <n v="160000"/>
    <s v="中華系"/>
    <x v="0"/>
    <s v=""/>
    <m/>
    <s v="106_402"/>
    <n v="147000"/>
    <m/>
    <n v="1"/>
    <n v="160000"/>
    <n v="0"/>
    <n v="13000"/>
    <n v="1"/>
    <x v="0"/>
  </r>
  <r>
    <n v="132"/>
    <n v="106"/>
    <x v="5"/>
    <s v="403"/>
    <n v="48.36"/>
    <n v="631"/>
    <x v="0"/>
    <s v="2DK"/>
    <n v="125000"/>
    <n v="10000"/>
    <n v="0"/>
    <n v="0"/>
    <n v="135000"/>
    <n v="135000"/>
    <n v="0"/>
    <n v="135000"/>
    <n v="135000"/>
    <s v="中華系"/>
    <x v="0"/>
    <s v=""/>
    <m/>
    <s v="106_403"/>
    <n v="135000"/>
    <m/>
    <n v="1"/>
    <n v="135000"/>
    <n v="0"/>
    <n v="0"/>
    <n v="1"/>
    <x v="0"/>
  </r>
  <r>
    <n v="133"/>
    <n v="106"/>
    <x v="5"/>
    <s v="404"/>
    <n v="52.75"/>
    <n v="631"/>
    <x v="0"/>
    <s v="3DK"/>
    <n v="140000"/>
    <n v="10000"/>
    <n v="0"/>
    <n v="0"/>
    <n v="150000"/>
    <n v="150000"/>
    <n v="0"/>
    <n v="150000"/>
    <n v="150000"/>
    <s v="日本人等"/>
    <x v="0"/>
    <s v=""/>
    <m/>
    <s v="106_404"/>
    <n v="150000"/>
    <m/>
    <n v="1"/>
    <n v="150000"/>
    <n v="0"/>
    <n v="0"/>
    <n v="1"/>
    <x v="0"/>
  </r>
  <r>
    <n v="134"/>
    <n v="106"/>
    <x v="5"/>
    <s v="501"/>
    <n v="29.16"/>
    <n v="631"/>
    <x v="0"/>
    <s v="1K"/>
    <n v="85000"/>
    <n v="10000"/>
    <n v="0"/>
    <n v="0"/>
    <n v="95000"/>
    <n v="95000"/>
    <n v="0"/>
    <n v="95000"/>
    <n v="95000"/>
    <s v="日本人等"/>
    <x v="0"/>
    <s v=""/>
    <m/>
    <s v="106_501"/>
    <n v="90000"/>
    <m/>
    <n v="1"/>
    <n v="95000"/>
    <n v="0"/>
    <n v="5000"/>
    <n v="1"/>
    <x v="0"/>
  </r>
  <r>
    <n v="135"/>
    <n v="106"/>
    <x v="5"/>
    <s v="502"/>
    <n v="43.2"/>
    <n v="631"/>
    <x v="0"/>
    <s v="2DK"/>
    <n v="145000"/>
    <n v="10000"/>
    <n v="0"/>
    <n v="0"/>
    <n v="155000"/>
    <n v="155000"/>
    <n v="0"/>
    <n v="155000"/>
    <n v="155000"/>
    <s v="中華系"/>
    <x v="0"/>
    <s v=""/>
    <m/>
    <s v="106_502"/>
    <n v="138000"/>
    <m/>
    <n v="1"/>
    <n v="155000"/>
    <n v="0"/>
    <n v="17000"/>
    <n v="1"/>
    <x v="0"/>
  </r>
  <r>
    <n v="136"/>
    <n v="106"/>
    <x v="5"/>
    <s v="503"/>
    <n v="48.36"/>
    <n v="631"/>
    <x v="0"/>
    <s v="2DK"/>
    <n v="150000"/>
    <n v="10000"/>
    <n v="0"/>
    <n v="0"/>
    <n v="160000"/>
    <n v="160000"/>
    <n v="0"/>
    <n v="160000"/>
    <n v="160000"/>
    <s v="中華系"/>
    <x v="0"/>
    <s v=""/>
    <m/>
    <s v="106_503"/>
    <n v="137000"/>
    <m/>
    <n v="1"/>
    <n v="160000"/>
    <n v="0"/>
    <n v="23000"/>
    <n v="1"/>
    <x v="0"/>
  </r>
  <r>
    <n v="137"/>
    <n v="106"/>
    <x v="5"/>
    <s v="504"/>
    <n v="17.600000000000001"/>
    <n v="631"/>
    <x v="0"/>
    <s v="1K"/>
    <n v="160000"/>
    <n v="10000"/>
    <n v="0"/>
    <n v="0"/>
    <n v="170000"/>
    <n v="170000"/>
    <n v="0"/>
    <n v="170000"/>
    <n v="170000"/>
    <s v="住居法人契約"/>
    <x v="0"/>
    <s v=""/>
    <m/>
    <s v="106_504"/>
    <n v="146000"/>
    <m/>
    <n v="1"/>
    <n v="170000"/>
    <n v="0"/>
    <n v="24000"/>
    <n v="1"/>
    <x v="0"/>
  </r>
  <r>
    <n v="138"/>
    <n v="106"/>
    <x v="5"/>
    <s v="601"/>
    <n v="55.84"/>
    <n v="631"/>
    <x v="0"/>
    <s v="3DK"/>
    <n v="170000"/>
    <n v="10000"/>
    <n v="0"/>
    <n v="0"/>
    <n v="180000"/>
    <n v="148000"/>
    <n v="0"/>
    <n v="148000"/>
    <n v="180000"/>
    <s v="中華系"/>
    <x v="0"/>
    <s v=""/>
    <m/>
    <s v="106_601"/>
    <n v="148000"/>
    <m/>
    <n v="1"/>
    <n v="180000"/>
    <n v="-32000"/>
    <n v="32000"/>
    <n v="1"/>
    <x v="0"/>
  </r>
  <r>
    <n v="139"/>
    <n v="106"/>
    <x v="5"/>
    <s v="602"/>
    <n v="62.32"/>
    <n v="631"/>
    <x v="0"/>
    <s v="1LDK"/>
    <n v="180000"/>
    <n v="0"/>
    <n v="0"/>
    <n v="0"/>
    <n v="180000"/>
    <n v="180000"/>
    <n v="0"/>
    <n v="180000"/>
    <n v="180000"/>
    <s v="住居法人契約"/>
    <x v="0"/>
    <s v=""/>
    <m/>
    <s v="106_602"/>
    <n v="165000"/>
    <m/>
    <n v="1"/>
    <n v="180000"/>
    <n v="0"/>
    <n v="15000"/>
    <n v="1"/>
    <x v="0"/>
  </r>
  <r>
    <n v="140"/>
    <n v="106"/>
    <x v="5"/>
    <s v="603"/>
    <n v="17.600000000000001"/>
    <n v="631"/>
    <x v="0"/>
    <s v="1K"/>
    <n v="68000"/>
    <n v="3000"/>
    <n v="0"/>
    <n v="0"/>
    <n v="71000"/>
    <n v="78000"/>
    <n v="0"/>
    <n v="78000"/>
    <n v="71000"/>
    <s v="中華系"/>
    <x v="0"/>
    <s v=""/>
    <m/>
    <s v="106_603"/>
    <n v="75000"/>
    <m/>
    <n v="1"/>
    <n v="71000"/>
    <n v="7000"/>
    <n v="-4000"/>
    <n v="1"/>
    <x v="0"/>
  </r>
  <r>
    <n v="141"/>
    <n v="106"/>
    <x v="5"/>
    <s v="RF1"/>
    <n v="0"/>
    <n v="635"/>
    <x v="2"/>
    <s v="その他"/>
    <n v="12000"/>
    <n v="0"/>
    <n v="0"/>
    <n v="1200"/>
    <n v="13200"/>
    <n v="12000"/>
    <n v="1199.9999999999998"/>
    <n v="13200"/>
    <n v="13200"/>
    <s v="-"/>
    <x v="0"/>
    <s v=""/>
    <m/>
    <s v="106_RF1"/>
    <n v="0"/>
    <m/>
    <n v="1"/>
    <n v="12000"/>
    <n v="0"/>
    <n v="12000"/>
    <n v="1"/>
    <x v="0"/>
  </r>
  <r>
    <n v="142"/>
    <n v="106"/>
    <x v="5"/>
    <s v="NTF1"/>
    <s v="-"/>
    <n v="639"/>
    <x v="3"/>
    <s v="その他"/>
    <n v="0"/>
    <n v="0"/>
    <n v="0"/>
    <n v="0"/>
    <n v="0"/>
    <n v="0"/>
    <n v="0"/>
    <n v="0"/>
    <n v="0"/>
    <s v="-"/>
    <x v="1"/>
    <s v="フレッツ光"/>
    <m/>
    <s v="106_NTF1"/>
    <n v="0"/>
    <m/>
    <n v="0"/>
    <n v="0"/>
    <n v="0"/>
    <n v="0"/>
    <n v="0"/>
    <x v="0"/>
  </r>
  <r>
    <n v="143"/>
    <n v="107"/>
    <x v="6"/>
    <s v="201"/>
    <n v="16.87"/>
    <n v="631"/>
    <x v="0"/>
    <s v="1R"/>
    <n v="52000"/>
    <n v="3000"/>
    <n v="0"/>
    <n v="0"/>
    <n v="55000"/>
    <n v="61000"/>
    <n v="0"/>
    <n v="61000"/>
    <n v="55000"/>
    <s v="日本人等"/>
    <x v="0"/>
    <s v=""/>
    <m/>
    <s v="107_201"/>
    <n v="61000"/>
    <m/>
    <n v="1"/>
    <n v="55000"/>
    <n v="6000"/>
    <n v="-6000"/>
    <n v="1"/>
    <x v="0"/>
  </r>
  <r>
    <n v="144"/>
    <n v="107"/>
    <x v="6"/>
    <s v="202"/>
    <n v="16.87"/>
    <n v="631"/>
    <x v="0"/>
    <s v="1R"/>
    <n v="56000"/>
    <n v="3000"/>
    <n v="0"/>
    <n v="0"/>
    <n v="59000"/>
    <n v="59000"/>
    <n v="0"/>
    <n v="59000"/>
    <n v="59000"/>
    <s v="日本人等"/>
    <x v="0"/>
    <s v=""/>
    <m/>
    <s v="107_202"/>
    <n v="59000"/>
    <m/>
    <n v="1"/>
    <n v="59000"/>
    <n v="0"/>
    <n v="0"/>
    <n v="1"/>
    <x v="0"/>
  </r>
  <r>
    <n v="145"/>
    <n v="107"/>
    <x v="6"/>
    <s v="203"/>
    <n v="19.54"/>
    <n v="631"/>
    <x v="0"/>
    <s v="1R"/>
    <n v="57000"/>
    <n v="3000"/>
    <n v="0"/>
    <n v="0"/>
    <n v="60000"/>
    <n v="60000"/>
    <n v="0"/>
    <n v="60000"/>
    <n v="60000"/>
    <s v="日本人等"/>
    <x v="0"/>
    <s v=""/>
    <m/>
    <s v="107_203"/>
    <n v="59000"/>
    <m/>
    <n v="1"/>
    <n v="60000"/>
    <n v="0"/>
    <n v="1000"/>
    <n v="1"/>
    <x v="0"/>
  </r>
  <r>
    <n v="146"/>
    <n v="107"/>
    <x v="6"/>
    <s v="205"/>
    <n v="19.54"/>
    <n v="631"/>
    <x v="0"/>
    <s v="1R"/>
    <n v="61000"/>
    <n v="3000"/>
    <n v="0"/>
    <n v="0"/>
    <n v="64000"/>
    <n v="64000"/>
    <n v="0"/>
    <n v="64000"/>
    <n v="64000"/>
    <s v="日本人等"/>
    <x v="0"/>
    <s v=""/>
    <m/>
    <s v="107_205"/>
    <n v="64000"/>
    <m/>
    <n v="1"/>
    <n v="64000"/>
    <n v="0"/>
    <n v="0"/>
    <n v="1"/>
    <x v="0"/>
  </r>
  <r>
    <n v="147"/>
    <n v="107"/>
    <x v="6"/>
    <s v="206"/>
    <n v="17.100000000000001"/>
    <n v="631"/>
    <x v="0"/>
    <s v="1R"/>
    <n v="67000"/>
    <n v="0"/>
    <n v="0"/>
    <n v="0"/>
    <n v="67000"/>
    <n v="67000"/>
    <n v="0"/>
    <n v="67000"/>
    <n v="67000"/>
    <s v="日本人等"/>
    <x v="0"/>
    <s v=""/>
    <m/>
    <s v="107_206"/>
    <n v="70000"/>
    <m/>
    <n v="1"/>
    <n v="67000"/>
    <n v="0"/>
    <n v="-3000"/>
    <n v="1"/>
    <x v="0"/>
  </r>
  <r>
    <n v="148"/>
    <n v="107"/>
    <x v="6"/>
    <s v="207"/>
    <n v="17.100000000000001"/>
    <n v="631"/>
    <x v="0"/>
    <s v="1R"/>
    <n v="51000"/>
    <n v="3000"/>
    <n v="0"/>
    <n v="0"/>
    <n v="54000"/>
    <n v="63000"/>
    <n v="0"/>
    <n v="63000"/>
    <n v="54000"/>
    <s v="日本人等"/>
    <x v="0"/>
    <s v=""/>
    <m/>
    <s v="107_207"/>
    <n v="63000"/>
    <m/>
    <n v="1"/>
    <n v="54000"/>
    <n v="9000"/>
    <n v="-9000"/>
    <n v="1"/>
    <x v="0"/>
  </r>
  <r>
    <n v="149"/>
    <n v="107"/>
    <x v="6"/>
    <s v="208"/>
    <n v="16.96"/>
    <n v="631"/>
    <x v="0"/>
    <s v="1R"/>
    <n v="59000"/>
    <n v="2000"/>
    <n v="0"/>
    <n v="0"/>
    <n v="61000"/>
    <n v="61000"/>
    <n v="0"/>
    <n v="61000"/>
    <n v="61000"/>
    <s v="日本人等"/>
    <x v="0"/>
    <s v=""/>
    <m/>
    <s v="107_208"/>
    <n v="59000"/>
    <m/>
    <n v="1"/>
    <n v="61000"/>
    <n v="0"/>
    <n v="2000"/>
    <n v="1"/>
    <x v="0"/>
  </r>
  <r>
    <n v="150"/>
    <n v="107"/>
    <x v="6"/>
    <s v="210"/>
    <n v="19.54"/>
    <n v="631"/>
    <x v="0"/>
    <s v="1R"/>
    <n v="59000"/>
    <n v="3000"/>
    <n v="0"/>
    <n v="0"/>
    <n v="62000"/>
    <n v="62000"/>
    <n v="0"/>
    <n v="62000"/>
    <n v="62000"/>
    <s v="欧米先進国"/>
    <x v="0"/>
    <s v=""/>
    <m/>
    <s v="107_210"/>
    <n v="65000"/>
    <m/>
    <n v="1"/>
    <n v="62000"/>
    <n v="0"/>
    <n v="-3000"/>
    <n v="1"/>
    <x v="0"/>
  </r>
  <r>
    <n v="151"/>
    <n v="107"/>
    <x v="6"/>
    <s v="211"/>
    <n v="18.47"/>
    <n v="631"/>
    <x v="0"/>
    <s v="1R"/>
    <n v="60000"/>
    <n v="5000"/>
    <n v="0"/>
    <n v="0"/>
    <n v="65000"/>
    <n v="65000"/>
    <n v="0"/>
    <n v="65000"/>
    <n v="65000"/>
    <s v="日本人等"/>
    <x v="0"/>
    <s v=""/>
    <m/>
    <s v="107_211"/>
    <n v="65000"/>
    <m/>
    <n v="1"/>
    <n v="65000"/>
    <n v="0"/>
    <n v="0"/>
    <n v="1"/>
    <x v="0"/>
  </r>
  <r>
    <n v="152"/>
    <n v="107"/>
    <x v="6"/>
    <s v="212"/>
    <n v="18.47"/>
    <n v="631"/>
    <x v="0"/>
    <s v="1R"/>
    <n v="62000"/>
    <n v="0"/>
    <n v="0"/>
    <n v="0"/>
    <n v="62000"/>
    <n v="62000"/>
    <n v="0"/>
    <n v="62000"/>
    <n v="62000"/>
    <s v="日本人等"/>
    <x v="0"/>
    <s v=""/>
    <m/>
    <s v="107_212"/>
    <n v="65000"/>
    <m/>
    <n v="1"/>
    <n v="62000"/>
    <n v="0"/>
    <n v="-3000"/>
    <n v="1"/>
    <x v="0"/>
  </r>
  <r>
    <n v="153"/>
    <n v="107"/>
    <x v="6"/>
    <s v="213"/>
    <n v="18.47"/>
    <n v="631"/>
    <x v="0"/>
    <s v="1R"/>
    <n v="69000"/>
    <n v="3000"/>
    <n v="0"/>
    <n v="0"/>
    <n v="72000"/>
    <n v="72000"/>
    <n v="0"/>
    <n v="72000"/>
    <n v="72000"/>
    <s v="日本人等"/>
    <x v="0"/>
    <s v=""/>
    <m/>
    <s v="107_213"/>
    <n v="72000"/>
    <m/>
    <n v="1"/>
    <n v="72000"/>
    <n v="0"/>
    <n v="0"/>
    <n v="1"/>
    <x v="0"/>
  </r>
  <r>
    <n v="154"/>
    <n v="107"/>
    <x v="6"/>
    <s v="215"/>
    <n v="18.47"/>
    <n v="631"/>
    <x v="0"/>
    <s v="1R"/>
    <n v="60000"/>
    <n v="3000"/>
    <n v="0"/>
    <n v="0"/>
    <n v="63000"/>
    <n v="63000"/>
    <n v="0"/>
    <n v="63000"/>
    <n v="63000"/>
    <s v="日本人等"/>
    <x v="0"/>
    <s v=""/>
    <m/>
    <s v="107_215"/>
    <n v="65000"/>
    <m/>
    <n v="1"/>
    <n v="63000"/>
    <n v="0"/>
    <n v="-2000"/>
    <n v="1"/>
    <x v="0"/>
  </r>
  <r>
    <n v="155"/>
    <n v="107"/>
    <x v="6"/>
    <s v="301"/>
    <n v="19.54"/>
    <n v="631"/>
    <x v="0"/>
    <s v="1R"/>
    <n v="57000"/>
    <n v="3000"/>
    <n v="0"/>
    <n v="0"/>
    <n v="60000"/>
    <n v="60000"/>
    <n v="0"/>
    <n v="60000"/>
    <n v="60000"/>
    <s v="日本人等"/>
    <x v="0"/>
    <s v=""/>
    <m/>
    <s v="107_301"/>
    <n v="60000"/>
    <m/>
    <n v="1"/>
    <n v="60000"/>
    <n v="0"/>
    <n v="0"/>
    <n v="1"/>
    <x v="0"/>
  </r>
  <r>
    <n v="156"/>
    <n v="107"/>
    <x v="6"/>
    <s v="302"/>
    <n v="18.47"/>
    <n v="631"/>
    <x v="0"/>
    <s v="1R"/>
    <n v="58000"/>
    <n v="0"/>
    <n v="0"/>
    <n v="0"/>
    <n v="58000"/>
    <n v="58000"/>
    <n v="0"/>
    <n v="58000"/>
    <n v="58000"/>
    <s v="日本人等"/>
    <x v="0"/>
    <s v=""/>
    <m/>
    <s v="107_302"/>
    <n v="58000"/>
    <m/>
    <n v="1"/>
    <n v="58000"/>
    <n v="0"/>
    <n v="0"/>
    <n v="1"/>
    <x v="0"/>
  </r>
  <r>
    <n v="157"/>
    <n v="107"/>
    <x v="6"/>
    <s v="303"/>
    <n v="27.28"/>
    <n v="631"/>
    <x v="0"/>
    <s v="1DK"/>
    <n v="82000"/>
    <n v="3000"/>
    <n v="0"/>
    <n v="0"/>
    <n v="85000"/>
    <n v="85000"/>
    <n v="0"/>
    <n v="85000"/>
    <n v="85000"/>
    <s v="中華系"/>
    <x v="0"/>
    <s v=""/>
    <m/>
    <s v="107_303"/>
    <n v="88000"/>
    <m/>
    <n v="1"/>
    <n v="85000"/>
    <n v="0"/>
    <n v="-3000"/>
    <n v="1"/>
    <x v="0"/>
  </r>
  <r>
    <n v="158"/>
    <n v="107"/>
    <x v="6"/>
    <s v="305"/>
    <n v="17.47"/>
    <n v="631"/>
    <x v="0"/>
    <s v="1R"/>
    <n v="59000"/>
    <n v="3000"/>
    <n v="0"/>
    <n v="0"/>
    <n v="62000"/>
    <n v="62000"/>
    <n v="0"/>
    <n v="62000"/>
    <n v="62000"/>
    <s v="日本人等"/>
    <x v="0"/>
    <s v=""/>
    <m/>
    <s v="107_305"/>
    <n v="62000"/>
    <m/>
    <n v="1"/>
    <n v="62000"/>
    <n v="0"/>
    <n v="0"/>
    <n v="1"/>
    <x v="0"/>
  </r>
  <r>
    <n v="159"/>
    <n v="107"/>
    <x v="6"/>
    <s v="306"/>
    <n v="16.96"/>
    <n v="631"/>
    <x v="0"/>
    <s v="1R"/>
    <n v="53700"/>
    <n v="5000"/>
    <n v="0"/>
    <n v="0"/>
    <n v="58700"/>
    <n v="58700"/>
    <n v="0"/>
    <n v="58700"/>
    <n v="58700"/>
    <s v="日本人等"/>
    <x v="0"/>
    <s v=""/>
    <m/>
    <s v="107_306"/>
    <n v="59000"/>
    <m/>
    <n v="1"/>
    <n v="58700"/>
    <n v="0"/>
    <n v="-300"/>
    <n v="1"/>
    <x v="0"/>
  </r>
  <r>
    <n v="160"/>
    <n v="107"/>
    <x v="6"/>
    <s v="307"/>
    <n v="18.47"/>
    <n v="631"/>
    <x v="0"/>
    <s v="1R"/>
    <n v="63000"/>
    <n v="3000"/>
    <n v="0"/>
    <n v="0"/>
    <n v="66000"/>
    <n v="66000"/>
    <n v="0"/>
    <n v="66000"/>
    <n v="66000"/>
    <s v="日本人等"/>
    <x v="0"/>
    <s v=""/>
    <m/>
    <s v="107_307"/>
    <n v="66000"/>
    <m/>
    <n v="1"/>
    <n v="66000"/>
    <n v="0"/>
    <n v="0"/>
    <n v="1"/>
    <x v="0"/>
  </r>
  <r>
    <n v="161"/>
    <n v="107"/>
    <x v="6"/>
    <s v="308"/>
    <n v="18.47"/>
    <n v="631"/>
    <x v="0"/>
    <s v="1R"/>
    <n v="59000"/>
    <n v="3000"/>
    <n v="0"/>
    <n v="0"/>
    <n v="62000"/>
    <n v="62000"/>
    <n v="0"/>
    <n v="62000"/>
    <n v="62000"/>
    <s v="日本人等"/>
    <x v="0"/>
    <s v=""/>
    <m/>
    <s v="107_308"/>
    <n v="60000"/>
    <m/>
    <n v="1"/>
    <n v="62000"/>
    <n v="0"/>
    <n v="2000"/>
    <n v="1"/>
    <x v="0"/>
  </r>
  <r>
    <n v="162"/>
    <n v="107"/>
    <x v="6"/>
    <s v="310"/>
    <n v="19.54"/>
    <n v="631"/>
    <x v="0"/>
    <s v="1R"/>
    <n v="59000"/>
    <n v="2000"/>
    <n v="0"/>
    <n v="0"/>
    <n v="61000"/>
    <n v="61000"/>
    <n v="0"/>
    <n v="61000"/>
    <n v="61000"/>
    <s v="日本人等"/>
    <x v="0"/>
    <s v=""/>
    <m/>
    <s v="107_310"/>
    <n v="62000"/>
    <m/>
    <n v="1"/>
    <n v="61000"/>
    <n v="0"/>
    <n v="-1000"/>
    <n v="1"/>
    <x v="0"/>
  </r>
  <r>
    <n v="163"/>
    <n v="107"/>
    <x v="6"/>
    <s v="311"/>
    <n v="18.47"/>
    <n v="631"/>
    <x v="0"/>
    <s v="1R"/>
    <n v="60000"/>
    <n v="3000"/>
    <n v="0"/>
    <n v="0"/>
    <n v="63000"/>
    <n v="61000"/>
    <n v="0"/>
    <n v="61000"/>
    <n v="63000"/>
    <s v="新興国系"/>
    <x v="0"/>
    <s v=""/>
    <m/>
    <s v="107_311"/>
    <n v="63000"/>
    <m/>
    <n v="1"/>
    <n v="63000"/>
    <n v="-2000"/>
    <n v="0"/>
    <n v="1"/>
    <x v="0"/>
  </r>
  <r>
    <n v="164"/>
    <n v="107"/>
    <x v="6"/>
    <s v="312"/>
    <n v="16.2"/>
    <n v="631"/>
    <x v="0"/>
    <s v="1R"/>
    <n v="59000"/>
    <n v="0"/>
    <n v="0"/>
    <n v="0"/>
    <n v="59000"/>
    <n v="59000"/>
    <n v="0"/>
    <n v="59000"/>
    <n v="59000"/>
    <s v="日本人等"/>
    <x v="0"/>
    <s v=""/>
    <m/>
    <s v="107_312"/>
    <n v="59000"/>
    <m/>
    <n v="1"/>
    <n v="59000"/>
    <n v="0"/>
    <n v="0"/>
    <n v="1"/>
    <x v="0"/>
  </r>
  <r>
    <n v="165"/>
    <n v="107"/>
    <x v="6"/>
    <s v="1F"/>
    <n v="430"/>
    <n v="633"/>
    <x v="5"/>
    <s v="店舗"/>
    <n v="1000000"/>
    <n v="0"/>
    <n v="0"/>
    <n v="100000"/>
    <n v="1100000"/>
    <n v="1000000"/>
    <n v="100000"/>
    <n v="1100000"/>
    <n v="1100000"/>
    <s v="法人契約"/>
    <x v="0"/>
    <s v=""/>
    <m/>
    <s v="107_1F"/>
    <n v="1000000"/>
    <m/>
    <n v="1"/>
    <n v="1000000"/>
    <n v="0"/>
    <n v="0"/>
    <n v="1"/>
    <x v="0"/>
  </r>
  <r>
    <n v="166"/>
    <n v="107"/>
    <x v="6"/>
    <s v="NTD1"/>
    <s v="-"/>
    <n v="639"/>
    <x v="3"/>
    <s v="その他"/>
    <n v="0"/>
    <n v="0"/>
    <n v="0"/>
    <n v="0"/>
    <n v="0"/>
    <n v="0"/>
    <n v="0"/>
    <n v="0"/>
    <n v="0"/>
    <s v="-"/>
    <x v="1"/>
    <s v="電柱"/>
    <m/>
    <s v="107_NTD1"/>
    <n v="0"/>
    <m/>
    <n v="0"/>
    <n v="0"/>
    <n v="0"/>
    <n v="0"/>
    <n v="0"/>
    <x v="0"/>
  </r>
  <r>
    <n v="167"/>
    <n v="109"/>
    <x v="7"/>
    <s v="101"/>
    <n v="21.5"/>
    <n v="631"/>
    <x v="0"/>
    <s v="1K"/>
    <n v="50000"/>
    <n v="0"/>
    <n v="0"/>
    <n v="0"/>
    <n v="50000"/>
    <n v="50000"/>
    <n v="0"/>
    <n v="50000"/>
    <n v="50000"/>
    <s v="日本人等"/>
    <x v="0"/>
    <s v=""/>
    <m/>
    <s v="109_101"/>
    <n v="20000"/>
    <m/>
    <n v="1"/>
    <n v="50000"/>
    <n v="0"/>
    <n v="30000"/>
    <n v="1"/>
    <x v="0"/>
  </r>
  <r>
    <n v="168"/>
    <n v="109"/>
    <x v="7"/>
    <s v="102"/>
    <n v="21.87"/>
    <n v="631"/>
    <x v="0"/>
    <s v="1DK"/>
    <n v="68000"/>
    <n v="0"/>
    <n v="0"/>
    <n v="0"/>
    <n v="68000"/>
    <n v="68000"/>
    <n v="0"/>
    <n v="68000"/>
    <n v="68000"/>
    <s v="日本人等"/>
    <x v="0"/>
    <s v=""/>
    <m/>
    <s v="109_102"/>
    <n v="68000"/>
    <m/>
    <n v="1"/>
    <n v="68000"/>
    <n v="0"/>
    <n v="0"/>
    <n v="1"/>
    <x v="0"/>
  </r>
  <r>
    <n v="169"/>
    <n v="109"/>
    <x v="7"/>
    <s v="103"/>
    <n v="17.43"/>
    <n v="631"/>
    <x v="0"/>
    <s v="1R"/>
    <n v="62000"/>
    <n v="3000"/>
    <n v="0"/>
    <n v="0"/>
    <n v="65000"/>
    <n v="65000"/>
    <n v="0"/>
    <n v="65000"/>
    <n v="65000"/>
    <s v="新興国系"/>
    <x v="0"/>
    <s v=""/>
    <m/>
    <s v="109_103"/>
    <n v="60000"/>
    <m/>
    <n v="1"/>
    <n v="65000"/>
    <n v="0"/>
    <n v="5000"/>
    <n v="1"/>
    <x v="0"/>
  </r>
  <r>
    <n v="170"/>
    <n v="109"/>
    <x v="7"/>
    <s v="105"/>
    <n v="21.77"/>
    <n v="631"/>
    <x v="0"/>
    <s v="1K"/>
    <n v="67000"/>
    <n v="3000"/>
    <n v="0"/>
    <n v="0"/>
    <n v="70000"/>
    <n v="78000"/>
    <n v="0"/>
    <n v="78000"/>
    <n v="70000"/>
    <s v="日本人等"/>
    <x v="0"/>
    <s v=""/>
    <m/>
    <s v="109_105"/>
    <n v="82000"/>
    <m/>
    <n v="1"/>
    <n v="70000"/>
    <n v="8000"/>
    <n v="-12000"/>
    <n v="1"/>
    <x v="0"/>
  </r>
  <r>
    <n v="171"/>
    <n v="109"/>
    <x v="7"/>
    <s v="107"/>
    <n v="25.25"/>
    <n v="631"/>
    <x v="0"/>
    <s v="1DK"/>
    <n v="80000"/>
    <n v="3000"/>
    <n v="0"/>
    <n v="0"/>
    <n v="83000"/>
    <n v="86300"/>
    <n v="0"/>
    <n v="86300"/>
    <n v="83000"/>
    <s v="日本人等"/>
    <x v="0"/>
    <s v=""/>
    <m/>
    <s v="109_107"/>
    <n v="86000"/>
    <m/>
    <n v="1"/>
    <n v="83000"/>
    <n v="3300"/>
    <n v="-3000"/>
    <n v="1"/>
    <x v="0"/>
  </r>
  <r>
    <n v="172"/>
    <n v="109"/>
    <x v="7"/>
    <s v="108"/>
    <n v="34"/>
    <n v="631"/>
    <x v="0"/>
    <s v="1DK"/>
    <n v="101000"/>
    <n v="5000"/>
    <n v="0"/>
    <n v="0"/>
    <n v="106000"/>
    <n v="95000"/>
    <n v="0"/>
    <n v="95000"/>
    <n v="106000"/>
    <s v="日本人等"/>
    <x v="0"/>
    <s v=""/>
    <m/>
    <s v="109_108"/>
    <n v="95000"/>
    <m/>
    <n v="1"/>
    <n v="106000"/>
    <n v="-11000"/>
    <n v="11000"/>
    <n v="1"/>
    <x v="0"/>
  </r>
  <r>
    <n v="173"/>
    <n v="109"/>
    <x v="7"/>
    <s v="111"/>
    <n v="62.64"/>
    <n v="631"/>
    <x v="0"/>
    <s v="3LDK"/>
    <n v="145000"/>
    <n v="0"/>
    <n v="0"/>
    <n v="0"/>
    <n v="145000"/>
    <n v="145000"/>
    <n v="0"/>
    <n v="145000"/>
    <n v="145000"/>
    <s v="日本人等"/>
    <x v="0"/>
    <s v=""/>
    <m/>
    <s v="109_111"/>
    <n v="145000"/>
    <m/>
    <n v="1"/>
    <n v="145000"/>
    <n v="0"/>
    <n v="0"/>
    <n v="1"/>
    <x v="0"/>
  </r>
  <r>
    <n v="174"/>
    <n v="109"/>
    <x v="7"/>
    <s v="112"/>
    <n v="62.64"/>
    <n v="631"/>
    <x v="0"/>
    <s v="3LDK"/>
    <n v="160000"/>
    <n v="5000"/>
    <n v="0"/>
    <n v="0"/>
    <n v="165000"/>
    <n v="165000"/>
    <n v="0"/>
    <n v="165000"/>
    <n v="165000"/>
    <s v="中華系"/>
    <x v="0"/>
    <s v=""/>
    <m/>
    <s v="109_112"/>
    <n v="150000"/>
    <m/>
    <n v="1"/>
    <n v="165000"/>
    <n v="0"/>
    <n v="15000"/>
    <n v="1"/>
    <x v="0"/>
  </r>
  <r>
    <n v="175"/>
    <n v="109"/>
    <x v="7"/>
    <s v="221"/>
    <n v="62.64"/>
    <n v="631"/>
    <x v="0"/>
    <s v="3LDK"/>
    <n v="150000"/>
    <n v="0"/>
    <n v="0"/>
    <n v="0"/>
    <n v="150000"/>
    <n v="150000"/>
    <n v="0"/>
    <n v="150000"/>
    <n v="150000"/>
    <s v="住居法人契約"/>
    <x v="0"/>
    <s v=""/>
    <m/>
    <s v="109_221"/>
    <n v="150000"/>
    <m/>
    <n v="1"/>
    <n v="150000"/>
    <n v="0"/>
    <n v="0"/>
    <n v="1"/>
    <x v="0"/>
  </r>
  <r>
    <n v="176"/>
    <n v="109"/>
    <x v="7"/>
    <s v="222"/>
    <n v="62.64"/>
    <n v="631"/>
    <x v="0"/>
    <s v="3LDK"/>
    <n v="175000"/>
    <n v="5000"/>
    <n v="0"/>
    <n v="0"/>
    <n v="180000"/>
    <n v="180000"/>
    <n v="0"/>
    <n v="180000"/>
    <n v="180000"/>
    <s v="日本人等"/>
    <x v="0"/>
    <s v=""/>
    <m/>
    <s v="109_222"/>
    <n v="155000"/>
    <m/>
    <n v="1"/>
    <n v="180000"/>
    <n v="0"/>
    <n v="25000"/>
    <n v="1"/>
    <x v="0"/>
  </r>
  <r>
    <n v="177"/>
    <n v="109"/>
    <x v="7"/>
    <s v="331"/>
    <n v="62.64"/>
    <n v="631"/>
    <x v="0"/>
    <s v="3LDK"/>
    <n v="150000"/>
    <n v="0"/>
    <n v="0"/>
    <n v="0"/>
    <n v="150000"/>
    <n v="150000"/>
    <n v="0"/>
    <n v="150000"/>
    <n v="150000"/>
    <s v="日本人等"/>
    <x v="0"/>
    <s v=""/>
    <m/>
    <s v="109_331"/>
    <n v="150000"/>
    <m/>
    <n v="1"/>
    <n v="150000"/>
    <n v="0"/>
    <n v="0"/>
    <n v="1"/>
    <x v="0"/>
  </r>
  <r>
    <n v="178"/>
    <n v="109"/>
    <x v="7"/>
    <s v="332"/>
    <n v="62.64"/>
    <n v="631"/>
    <x v="0"/>
    <s v="3LDK"/>
    <n v="180000"/>
    <n v="5000"/>
    <n v="0"/>
    <n v="0"/>
    <n v="185000"/>
    <n v="180000"/>
    <n v="0"/>
    <n v="180000"/>
    <n v="185000"/>
    <s v="日本人等"/>
    <x v="0"/>
    <s v=""/>
    <m/>
    <s v="109_332"/>
    <n v="150000"/>
    <m/>
    <n v="1"/>
    <n v="185000"/>
    <n v="-5000"/>
    <n v="35000"/>
    <n v="1"/>
    <x v="0"/>
  </r>
  <r>
    <n v="179"/>
    <n v="109"/>
    <x v="7"/>
    <s v="P1"/>
    <n v="0"/>
    <n v="634"/>
    <x v="4"/>
    <s v="駐車場"/>
    <n v="24545"/>
    <n v="0"/>
    <n v="0"/>
    <n v="2455"/>
    <n v="27000"/>
    <n v="24545"/>
    <n v="2454.5454545454545"/>
    <n v="26999.545454545456"/>
    <n v="27000"/>
    <s v="法人契約"/>
    <x v="0"/>
    <s v=""/>
    <m/>
    <s v="109_P1"/>
    <n v="25000"/>
    <m/>
    <n v="1"/>
    <n v="24545"/>
    <n v="0"/>
    <n v="-455"/>
    <n v="1"/>
    <x v="0"/>
  </r>
  <r>
    <n v="180"/>
    <n v="109"/>
    <x v="7"/>
    <s v="RF1"/>
    <n v="0"/>
    <n v="635"/>
    <x v="2"/>
    <s v="その他"/>
    <n v="53467"/>
    <n v="0"/>
    <n v="0"/>
    <n v="5346"/>
    <n v="58813"/>
    <n v="53466"/>
    <n v="5346.636363636364"/>
    <n v="58812.636363636368"/>
    <n v="58813"/>
    <s v="-"/>
    <x v="0"/>
    <s v="ソフトバンクモバイル"/>
    <m/>
    <s v="109_RF1"/>
    <n v="53467"/>
    <m/>
    <n v="1"/>
    <n v="53467"/>
    <n v="-1"/>
    <n v="0"/>
    <n v="1"/>
    <x v="0"/>
  </r>
  <r>
    <n v="181"/>
    <n v="109"/>
    <x v="7"/>
    <s v="RF2"/>
    <n v="0"/>
    <n v="635"/>
    <x v="2"/>
    <s v="その他"/>
    <n v="12817"/>
    <n v="0"/>
    <n v="0"/>
    <n v="1281"/>
    <n v="14098"/>
    <n v="12816"/>
    <n v="1281.6363636363637"/>
    <n v="14097.636363636364"/>
    <n v="14098"/>
    <s v="-"/>
    <x v="0"/>
    <s v="ドコモ"/>
    <m/>
    <s v="109_RF2"/>
    <n v="12817"/>
    <m/>
    <n v="1"/>
    <n v="12817"/>
    <n v="-1"/>
    <n v="0"/>
    <n v="1"/>
    <x v="0"/>
  </r>
  <r>
    <n v="182"/>
    <n v="109"/>
    <x v="7"/>
    <s v="NTF1"/>
    <s v="-"/>
    <n v="639"/>
    <x v="3"/>
    <s v="その他"/>
    <n v="0"/>
    <n v="0"/>
    <n v="0"/>
    <n v="0"/>
    <n v="0"/>
    <n v="0"/>
    <n v="0"/>
    <n v="0"/>
    <n v="0"/>
    <s v="-"/>
    <x v="1"/>
    <s v="フレッツ光"/>
    <m/>
    <s v="109_NTF1"/>
    <n v="0"/>
    <m/>
    <n v="0"/>
    <n v="0"/>
    <n v="0"/>
    <n v="0"/>
    <n v="0"/>
    <x v="0"/>
  </r>
  <r>
    <n v="183"/>
    <n v="109"/>
    <x v="7"/>
    <s v="100"/>
    <n v="0"/>
    <n v="636"/>
    <x v="6"/>
    <s v="倉庫"/>
    <n v="16000"/>
    <n v="0"/>
    <n v="0"/>
    <n v="1600"/>
    <n v="17600"/>
    <n v="16000"/>
    <n v="1600"/>
    <n v="17600"/>
    <n v="17600"/>
    <s v="日本人等"/>
    <x v="0"/>
    <s v=""/>
    <m/>
    <s v="109_100"/>
    <n v="0"/>
    <m/>
    <n v="1"/>
    <n v="16000"/>
    <n v="0"/>
    <n v="16000"/>
    <n v="1"/>
    <x v="0"/>
  </r>
  <r>
    <n v="184"/>
    <n v="111"/>
    <x v="8"/>
    <s v="SL1"/>
    <s v="-"/>
    <n v="631"/>
    <x v="0"/>
    <s v="1K"/>
    <n v="1758634"/>
    <n v="0"/>
    <n v="0"/>
    <n v="0"/>
    <n v="1758634"/>
    <n v="1752707"/>
    <n v="0"/>
    <n v="1752707"/>
    <n v="1758634"/>
    <s v="一括貸し"/>
    <x v="0"/>
    <s v="公益団体に一括貸し"/>
    <m/>
    <s v="111_SL1"/>
    <n v="1752707"/>
    <m/>
    <n v="1"/>
    <n v="1758634"/>
    <n v="-5927"/>
    <n v="5927"/>
    <n v="0"/>
    <x v="0"/>
  </r>
  <r>
    <n v="185"/>
    <n v="111"/>
    <x v="8"/>
    <s v="201"/>
    <n v="45.527000000000001"/>
    <n v="631"/>
    <x v="0"/>
    <s v="2DK"/>
    <s v="-"/>
    <s v="-"/>
    <s v="-"/>
    <s v="-"/>
    <n v="0"/>
    <n v="91000"/>
    <n v="0"/>
    <n v="91000"/>
    <n v="91000"/>
    <s v="-"/>
    <x v="0"/>
    <s v="普通借家想定91000円"/>
    <m/>
    <s v="111_201"/>
    <n v="0"/>
    <m/>
    <n v="0"/>
    <n v="91000"/>
    <n v="0"/>
    <n v="91000"/>
    <n v="1"/>
    <x v="1"/>
  </r>
  <r>
    <n v="186"/>
    <n v="111"/>
    <x v="8"/>
    <s v="202"/>
    <n v="45.527000000000001"/>
    <n v="631"/>
    <x v="0"/>
    <s v="2DK"/>
    <s v="-"/>
    <s v="-"/>
    <s v="-"/>
    <s v="-"/>
    <n v="0"/>
    <n v="91000"/>
    <n v="0"/>
    <n v="91000"/>
    <n v="91000"/>
    <s v="-"/>
    <x v="0"/>
    <s v="普通借家想定91000円"/>
    <m/>
    <s v="111_202"/>
    <n v="0"/>
    <m/>
    <n v="0"/>
    <n v="91000"/>
    <n v="0"/>
    <n v="91000"/>
    <n v="1"/>
    <x v="1"/>
  </r>
  <r>
    <n v="187"/>
    <n v="111"/>
    <x v="8"/>
    <s v="203"/>
    <n v="45.527000000000001"/>
    <n v="631"/>
    <x v="0"/>
    <s v="2DK"/>
    <s v="-"/>
    <s v="-"/>
    <s v="-"/>
    <s v="-"/>
    <n v="0"/>
    <n v="91000"/>
    <n v="0"/>
    <n v="91000"/>
    <n v="91000"/>
    <s v="-"/>
    <x v="0"/>
    <s v="普通借家想定91000円"/>
    <m/>
    <s v="111_203"/>
    <n v="0"/>
    <m/>
    <n v="0"/>
    <n v="91000"/>
    <n v="0"/>
    <n v="91000"/>
    <n v="1"/>
    <x v="1"/>
  </r>
  <r>
    <n v="188"/>
    <n v="111"/>
    <x v="8"/>
    <s v="205"/>
    <n v="23.193000000000001"/>
    <n v="631"/>
    <x v="0"/>
    <s v="1DK"/>
    <s v="-"/>
    <s v="-"/>
    <s v="-"/>
    <s v="-"/>
    <n v="0"/>
    <n v="91000"/>
    <n v="0"/>
    <n v="91000"/>
    <n v="91000"/>
    <s v="-"/>
    <x v="0"/>
    <s v="普通借家想定91000円"/>
    <m/>
    <s v="111_205"/>
    <n v="0"/>
    <m/>
    <n v="0"/>
    <n v="91000"/>
    <n v="0"/>
    <n v="91000"/>
    <n v="1"/>
    <x v="1"/>
  </r>
  <r>
    <n v="189"/>
    <n v="111"/>
    <x v="8"/>
    <s v="301"/>
    <n v="45.527000000000001"/>
    <n v="631"/>
    <x v="0"/>
    <s v="2DK"/>
    <s v="-"/>
    <s v="-"/>
    <s v="-"/>
    <s v="-"/>
    <n v="0"/>
    <n v="91000"/>
    <n v="0"/>
    <n v="91000"/>
    <n v="91000"/>
    <s v="-"/>
    <x v="0"/>
    <s v="普通借家想定91000円"/>
    <m/>
    <s v="111_301"/>
    <n v="0"/>
    <m/>
    <n v="0"/>
    <n v="91000"/>
    <n v="0"/>
    <n v="91000"/>
    <n v="1"/>
    <x v="1"/>
  </r>
  <r>
    <n v="190"/>
    <n v="111"/>
    <x v="8"/>
    <s v="302"/>
    <n v="45.527000000000001"/>
    <n v="631"/>
    <x v="0"/>
    <s v="2DK"/>
    <s v="-"/>
    <s v="-"/>
    <s v="-"/>
    <s v="-"/>
    <n v="0"/>
    <n v="91000"/>
    <n v="0"/>
    <n v="91000"/>
    <n v="91000"/>
    <s v="-"/>
    <x v="0"/>
    <s v="普通借家想定91000円"/>
    <m/>
    <s v="111_302"/>
    <n v="0"/>
    <m/>
    <n v="0"/>
    <n v="91000"/>
    <n v="0"/>
    <n v="91000"/>
    <n v="1"/>
    <x v="1"/>
  </r>
  <r>
    <n v="191"/>
    <n v="111"/>
    <x v="8"/>
    <s v="303"/>
    <n v="60.988999999999997"/>
    <n v="631"/>
    <x v="0"/>
    <s v="2DK"/>
    <s v="-"/>
    <s v="-"/>
    <s v="-"/>
    <s v="-"/>
    <n v="0"/>
    <n v="91000"/>
    <n v="0"/>
    <n v="91000"/>
    <n v="91000"/>
    <s v="-"/>
    <x v="0"/>
    <s v="普通借家想定91000円"/>
    <m/>
    <s v="111_303"/>
    <n v="0"/>
    <m/>
    <n v="0"/>
    <n v="91000"/>
    <n v="0"/>
    <n v="91000"/>
    <n v="1"/>
    <x v="1"/>
  </r>
  <r>
    <n v="192"/>
    <n v="111"/>
    <x v="8"/>
    <s v="401"/>
    <n v="45.527000000000001"/>
    <n v="631"/>
    <x v="0"/>
    <s v="2DK"/>
    <s v="-"/>
    <s v="-"/>
    <s v="-"/>
    <s v="-"/>
    <n v="0"/>
    <n v="91000"/>
    <n v="0"/>
    <n v="91000"/>
    <n v="91000"/>
    <s v="-"/>
    <x v="0"/>
    <s v="普通借家想定91000円"/>
    <m/>
    <s v="111_401"/>
    <n v="0"/>
    <m/>
    <n v="0"/>
    <n v="91000"/>
    <n v="0"/>
    <n v="91000"/>
    <n v="1"/>
    <x v="1"/>
  </r>
  <r>
    <n v="193"/>
    <n v="111"/>
    <x v="8"/>
    <s v="402"/>
    <n v="45.527000000000001"/>
    <n v="631"/>
    <x v="0"/>
    <s v="2DK"/>
    <s v="-"/>
    <s v="-"/>
    <s v="-"/>
    <s v="-"/>
    <n v="0"/>
    <n v="91000"/>
    <n v="0"/>
    <n v="91000"/>
    <n v="91000"/>
    <s v="-"/>
    <x v="0"/>
    <s v="普通借家想定91000円"/>
    <m/>
    <s v="111_402"/>
    <n v="0"/>
    <m/>
    <n v="0"/>
    <n v="91000"/>
    <n v="0"/>
    <n v="91000"/>
    <n v="1"/>
    <x v="1"/>
  </r>
  <r>
    <n v="194"/>
    <n v="111"/>
    <x v="8"/>
    <s v="403"/>
    <n v="45.527000000000001"/>
    <n v="631"/>
    <x v="0"/>
    <s v="2DK"/>
    <s v="-"/>
    <s v="-"/>
    <s v="-"/>
    <s v="-"/>
    <n v="0"/>
    <n v="91000"/>
    <n v="0"/>
    <n v="91000"/>
    <n v="91000"/>
    <s v="-"/>
    <x v="0"/>
    <s v="普通借家想定91000円"/>
    <m/>
    <s v="111_403"/>
    <n v="0"/>
    <m/>
    <n v="0"/>
    <n v="91000"/>
    <n v="0"/>
    <n v="91000"/>
    <n v="1"/>
    <x v="1"/>
  </r>
  <r>
    <n v="195"/>
    <n v="111"/>
    <x v="8"/>
    <s v="PSL1"/>
    <s v="-"/>
    <n v="634"/>
    <x v="4"/>
    <s v="駐車場"/>
    <n v="83400"/>
    <n v="0"/>
    <n v="0"/>
    <n v="8340"/>
    <n v="91740"/>
    <n v="83400"/>
    <n v="8340"/>
    <n v="91740"/>
    <n v="91740"/>
    <s v="一括貸し"/>
    <x v="0"/>
    <s v=""/>
    <m/>
    <s v="111_PSL1"/>
    <n v="90072"/>
    <m/>
    <n v="1"/>
    <n v="83400"/>
    <n v="0"/>
    <n v="-6672"/>
    <n v="0"/>
    <x v="0"/>
  </r>
  <r>
    <n v="196"/>
    <n v="111"/>
    <x v="8"/>
    <s v="PSL2"/>
    <s v="-"/>
    <n v="634"/>
    <x v="4"/>
    <s v="駐車場"/>
    <n v="20000"/>
    <n v="0"/>
    <n v="0"/>
    <n v="2000"/>
    <n v="22000"/>
    <n v="20000"/>
    <n v="2000"/>
    <n v="22000"/>
    <n v="22000"/>
    <s v="一括貸し"/>
    <x v="0"/>
    <s v=""/>
    <m/>
    <s v="111_PSL2"/>
    <n v="20571"/>
    <m/>
    <n v="1"/>
    <n v="20000"/>
    <n v="0"/>
    <n v="-571"/>
    <n v="0"/>
    <x v="0"/>
  </r>
  <r>
    <n v="197"/>
    <n v="111"/>
    <x v="8"/>
    <s v="P001"/>
    <n v="0"/>
    <n v="634"/>
    <x v="4"/>
    <s v="駐車場"/>
    <s v="-"/>
    <s v="-"/>
    <s v="-"/>
    <s v="-"/>
    <n v="0"/>
    <n v="10000"/>
    <n v="1000"/>
    <n v="11000"/>
    <n v="11000"/>
    <s v="-"/>
    <x v="0"/>
    <s v="自動車駐車場"/>
    <m/>
    <s v="111_P001"/>
    <n v="0"/>
    <m/>
    <n v="0"/>
    <n v="10000"/>
    <n v="0"/>
    <n v="10000"/>
    <n v="1"/>
    <x v="1"/>
  </r>
  <r>
    <n v="198"/>
    <n v="111"/>
    <x v="8"/>
    <s v="P002"/>
    <n v="0"/>
    <n v="634"/>
    <x v="4"/>
    <s v="駐車場"/>
    <s v="-"/>
    <s v="-"/>
    <s v="-"/>
    <s v="-"/>
    <n v="0"/>
    <n v="10000"/>
    <n v="1000"/>
    <n v="11000"/>
    <n v="11000"/>
    <s v="-"/>
    <x v="0"/>
    <s v="自動車駐車場"/>
    <m/>
    <s v="111_P002"/>
    <n v="0"/>
    <m/>
    <n v="0"/>
    <n v="10000"/>
    <n v="0"/>
    <n v="10000"/>
    <n v="1"/>
    <x v="1"/>
  </r>
  <r>
    <n v="199"/>
    <n v="111"/>
    <x v="8"/>
    <s v="P003"/>
    <n v="0"/>
    <n v="634"/>
    <x v="4"/>
    <s v="駐車場"/>
    <s v="-"/>
    <s v="-"/>
    <s v="-"/>
    <s v="-"/>
    <n v="0"/>
    <n v="10000"/>
    <n v="1000"/>
    <n v="11000"/>
    <n v="11000"/>
    <s v="-"/>
    <x v="0"/>
    <s v="自動車駐車場"/>
    <m/>
    <s v="111_P003"/>
    <n v="0"/>
    <m/>
    <n v="0"/>
    <n v="10000"/>
    <n v="0"/>
    <n v="10000"/>
    <n v="1"/>
    <x v="1"/>
  </r>
  <r>
    <n v="200"/>
    <n v="111"/>
    <x v="8"/>
    <s v="P004"/>
    <n v="0"/>
    <n v="634"/>
    <x v="4"/>
    <s v="駐車場"/>
    <s v="-"/>
    <s v="-"/>
    <s v="-"/>
    <s v="-"/>
    <n v="0"/>
    <n v="10000"/>
    <n v="1000"/>
    <n v="11000"/>
    <n v="11000"/>
    <s v="-"/>
    <x v="0"/>
    <s v="自動車駐車場"/>
    <m/>
    <s v="111_P004"/>
    <n v="0"/>
    <m/>
    <n v="0"/>
    <n v="10000"/>
    <n v="0"/>
    <n v="10000"/>
    <n v="1"/>
    <x v="1"/>
  </r>
  <r>
    <n v="201"/>
    <n v="111"/>
    <x v="8"/>
    <s v="P005"/>
    <n v="0"/>
    <n v="634"/>
    <x v="4"/>
    <s v="駐車場"/>
    <s v="-"/>
    <s v="-"/>
    <s v="-"/>
    <s v="-"/>
    <n v="0"/>
    <n v="10000"/>
    <n v="1000"/>
    <n v="11000"/>
    <n v="11000"/>
    <s v="-"/>
    <x v="0"/>
    <s v="自動車駐車場"/>
    <m/>
    <s v="111_P005"/>
    <n v="0"/>
    <m/>
    <n v="0"/>
    <n v="10000"/>
    <n v="0"/>
    <n v="10000"/>
    <n v="1"/>
    <x v="1"/>
  </r>
  <r>
    <n v="202"/>
    <n v="111"/>
    <x v="8"/>
    <s v="P006"/>
    <n v="0"/>
    <n v="634"/>
    <x v="4"/>
    <s v="駐車場"/>
    <s v="-"/>
    <s v="-"/>
    <s v="-"/>
    <s v="-"/>
    <n v="0"/>
    <n v="10000"/>
    <n v="1000"/>
    <n v="11000"/>
    <n v="11000"/>
    <s v="-"/>
    <x v="0"/>
    <s v="自動車駐車場"/>
    <m/>
    <s v="111_P006"/>
    <n v="0"/>
    <m/>
    <n v="0"/>
    <n v="10000"/>
    <n v="0"/>
    <n v="10000"/>
    <n v="1"/>
    <x v="1"/>
  </r>
  <r>
    <n v="203"/>
    <n v="111"/>
    <x v="8"/>
    <s v="B001"/>
    <n v="0"/>
    <n v="634"/>
    <x v="4"/>
    <s v="駐車場"/>
    <s v="-"/>
    <s v="-"/>
    <s v="-"/>
    <s v="-"/>
    <n v="0"/>
    <n v="5000"/>
    <n v="500"/>
    <n v="5500"/>
    <n v="5500"/>
    <s v="-"/>
    <x v="0"/>
    <s v="バイク置き場"/>
    <m/>
    <s v="111_B001"/>
    <n v="0"/>
    <m/>
    <n v="0"/>
    <n v="5000"/>
    <n v="0"/>
    <n v="5000"/>
    <n v="1"/>
    <x v="1"/>
  </r>
  <r>
    <n v="204"/>
    <n v="111"/>
    <x v="8"/>
    <s v="B002"/>
    <n v="0"/>
    <n v="634"/>
    <x v="4"/>
    <s v="駐車場"/>
    <s v="-"/>
    <s v="-"/>
    <s v="-"/>
    <s v="-"/>
    <n v="0"/>
    <n v="5000"/>
    <n v="500"/>
    <n v="5500"/>
    <n v="5500"/>
    <s v="-"/>
    <x v="0"/>
    <s v="バイク置き場"/>
    <m/>
    <s v="111_B002"/>
    <n v="0"/>
    <m/>
    <n v="0"/>
    <n v="5000"/>
    <n v="0"/>
    <n v="5000"/>
    <n v="1"/>
    <x v="1"/>
  </r>
  <r>
    <n v="205"/>
    <n v="111"/>
    <x v="8"/>
    <s v="B003"/>
    <n v="0"/>
    <n v="634"/>
    <x v="4"/>
    <s v="駐車場"/>
    <s v="-"/>
    <s v="-"/>
    <s v="-"/>
    <s v="-"/>
    <n v="0"/>
    <n v="5000"/>
    <n v="500"/>
    <n v="5500"/>
    <n v="5500"/>
    <s v="-"/>
    <x v="0"/>
    <s v="バイク置き場"/>
    <m/>
    <s v="111_B003"/>
    <n v="0"/>
    <m/>
    <n v="0"/>
    <n v="5000"/>
    <n v="0"/>
    <n v="5000"/>
    <n v="1"/>
    <x v="1"/>
  </r>
  <r>
    <n v="206"/>
    <n v="111"/>
    <x v="8"/>
    <s v="B004"/>
    <n v="0"/>
    <n v="634"/>
    <x v="4"/>
    <s v="駐車場"/>
    <s v="-"/>
    <s v="-"/>
    <s v="-"/>
    <s v="-"/>
    <n v="0"/>
    <n v="5000"/>
    <n v="500"/>
    <n v="5500"/>
    <n v="5500"/>
    <s v="-"/>
    <x v="0"/>
    <s v="バイク置き場"/>
    <m/>
    <s v="111_B004"/>
    <n v="0"/>
    <m/>
    <n v="0"/>
    <n v="5000"/>
    <n v="0"/>
    <n v="5000"/>
    <n v="1"/>
    <x v="1"/>
  </r>
  <r>
    <n v="207"/>
    <n v="111"/>
    <x v="8"/>
    <s v="B005"/>
    <n v="0"/>
    <n v="634"/>
    <x v="4"/>
    <s v="駐車場"/>
    <s v="-"/>
    <s v="-"/>
    <s v="-"/>
    <s v="-"/>
    <n v="0"/>
    <n v="5000"/>
    <n v="500"/>
    <n v="5500"/>
    <n v="5500"/>
    <s v="-"/>
    <x v="0"/>
    <s v="バイク置き場"/>
    <m/>
    <s v="111_B005"/>
    <n v="0"/>
    <m/>
    <n v="0"/>
    <n v="5000"/>
    <n v="0"/>
    <n v="5000"/>
    <n v="1"/>
    <x v="1"/>
  </r>
  <r>
    <n v="208"/>
    <n v="112"/>
    <x v="9"/>
    <s v="101"/>
    <n v="491.32"/>
    <n v="632"/>
    <x v="1"/>
    <s v="事務所"/>
    <n v="2300000"/>
    <n v="0"/>
    <n v="0"/>
    <n v="230000"/>
    <n v="2530000"/>
    <n v="2300000"/>
    <n v="230000"/>
    <n v="2530000"/>
    <n v="2530000"/>
    <s v="法人契約"/>
    <x v="0"/>
    <s v=""/>
    <m/>
    <s v="112_101"/>
    <n v="2500000"/>
    <m/>
    <n v="1"/>
    <n v="2300000"/>
    <n v="0"/>
    <n v="-200000"/>
    <n v="1"/>
    <x v="0"/>
  </r>
  <r>
    <n v="209"/>
    <n v="113"/>
    <x v="10"/>
    <s v="101"/>
    <n v="54.44"/>
    <n v="631"/>
    <x v="0"/>
    <s v="3DK"/>
    <n v="120000"/>
    <n v="5000"/>
    <n v="0"/>
    <n v="0"/>
    <n v="125000"/>
    <n v="125000"/>
    <n v="0"/>
    <n v="125000"/>
    <n v="125000"/>
    <s v="中華系"/>
    <x v="0"/>
    <s v=""/>
    <m/>
    <s v="113_101"/>
    <n v="117000"/>
    <m/>
    <n v="1"/>
    <n v="125000"/>
    <n v="0"/>
    <n v="8000"/>
    <n v="1"/>
    <x v="0"/>
  </r>
  <r>
    <n v="210"/>
    <n v="113"/>
    <x v="10"/>
    <s v="102"/>
    <n v="52.49"/>
    <n v="631"/>
    <x v="0"/>
    <s v="3DK"/>
    <n v="113000"/>
    <n v="5000"/>
    <n v="0"/>
    <n v="0"/>
    <n v="118000"/>
    <n v="118000"/>
    <n v="0"/>
    <n v="118000"/>
    <n v="118000"/>
    <s v="日本人等"/>
    <x v="0"/>
    <s v=""/>
    <m/>
    <s v="113_102"/>
    <n v="118000"/>
    <m/>
    <n v="1"/>
    <n v="118000"/>
    <n v="0"/>
    <n v="0"/>
    <n v="1"/>
    <x v="0"/>
  </r>
  <r>
    <n v="211"/>
    <n v="113"/>
    <x v="10"/>
    <s v="103"/>
    <n v="54.44"/>
    <n v="631"/>
    <x v="0"/>
    <s v="3DK"/>
    <n v="110000"/>
    <n v="5000"/>
    <n v="0"/>
    <n v="0"/>
    <n v="115000"/>
    <n v="115000"/>
    <n v="0"/>
    <n v="115000"/>
    <n v="115000"/>
    <s v="日本人等"/>
    <x v="0"/>
    <s v=""/>
    <m/>
    <s v="113_103"/>
    <n v="115000"/>
    <m/>
    <n v="1"/>
    <n v="115000"/>
    <n v="0"/>
    <n v="0"/>
    <n v="1"/>
    <x v="0"/>
  </r>
  <r>
    <n v="212"/>
    <n v="113"/>
    <x v="10"/>
    <s v="104"/>
    <n v="52.49"/>
    <n v="631"/>
    <x v="0"/>
    <s v="3DK"/>
    <n v="113000"/>
    <n v="5000"/>
    <n v="0"/>
    <n v="0"/>
    <n v="118000"/>
    <n v="118000"/>
    <n v="0"/>
    <n v="118000"/>
    <n v="118000"/>
    <s v="日本人等"/>
    <x v="0"/>
    <s v=""/>
    <m/>
    <s v="113_104"/>
    <n v="118000"/>
    <m/>
    <n v="1"/>
    <n v="118000"/>
    <n v="0"/>
    <n v="0"/>
    <n v="1"/>
    <x v="0"/>
  </r>
  <r>
    <n v="213"/>
    <n v="113"/>
    <x v="10"/>
    <s v="105"/>
    <n v="54.44"/>
    <n v="631"/>
    <x v="0"/>
    <s v="3DK"/>
    <n v="110000"/>
    <n v="5000"/>
    <n v="0"/>
    <n v="0"/>
    <n v="115000"/>
    <n v="115000"/>
    <n v="0"/>
    <n v="115000"/>
    <n v="115000"/>
    <s v="日本人等"/>
    <x v="0"/>
    <s v=""/>
    <m/>
    <s v="113_105"/>
    <n v="115000"/>
    <m/>
    <n v="1"/>
    <n v="115000"/>
    <n v="0"/>
    <n v="0"/>
    <n v="1"/>
    <x v="0"/>
  </r>
  <r>
    <n v="214"/>
    <n v="113"/>
    <x v="10"/>
    <s v="106"/>
    <n v="52.49"/>
    <n v="631"/>
    <x v="0"/>
    <s v="3DK"/>
    <n v="120000"/>
    <n v="5000"/>
    <n v="0"/>
    <n v="0"/>
    <n v="125000"/>
    <n v="125000"/>
    <n v="0"/>
    <n v="125000"/>
    <n v="125000"/>
    <s v="中華系"/>
    <x v="0"/>
    <s v=""/>
    <m/>
    <s v="113_106"/>
    <n v="117000"/>
    <m/>
    <n v="1"/>
    <n v="125000"/>
    <n v="0"/>
    <n v="8000"/>
    <n v="1"/>
    <x v="0"/>
  </r>
  <r>
    <n v="215"/>
    <n v="113"/>
    <x v="10"/>
    <s v="201"/>
    <n v="54.44"/>
    <n v="631"/>
    <x v="0"/>
    <s v="3DK"/>
    <n v="130000"/>
    <n v="5000"/>
    <n v="0"/>
    <n v="0"/>
    <n v="135000"/>
    <n v="135000"/>
    <n v="0"/>
    <n v="135000"/>
    <n v="135000"/>
    <s v="中華系"/>
    <x v="0"/>
    <s v=""/>
    <m/>
    <s v="113_201"/>
    <n v="120000"/>
    <m/>
    <n v="1"/>
    <n v="135000"/>
    <n v="0"/>
    <n v="15000"/>
    <n v="1"/>
    <x v="0"/>
  </r>
  <r>
    <n v="216"/>
    <n v="113"/>
    <x v="10"/>
    <s v="202"/>
    <n v="52.49"/>
    <n v="631"/>
    <x v="0"/>
    <s v="3DK"/>
    <n v="120000"/>
    <n v="5000"/>
    <n v="0"/>
    <n v="0"/>
    <n v="125000"/>
    <n v="125000"/>
    <n v="0"/>
    <n v="125000"/>
    <n v="125000"/>
    <s v="中華系"/>
    <x v="0"/>
    <s v=""/>
    <m/>
    <s v="113_202"/>
    <n v="140000"/>
    <m/>
    <n v="1"/>
    <n v="125000"/>
    <n v="0"/>
    <n v="-15000"/>
    <n v="1"/>
    <x v="0"/>
  </r>
  <r>
    <n v="217"/>
    <n v="113"/>
    <x v="10"/>
    <s v="203"/>
    <n v="54.44"/>
    <n v="631"/>
    <x v="0"/>
    <s v="3DK"/>
    <n v="115000"/>
    <n v="5000"/>
    <n v="0"/>
    <n v="0"/>
    <n v="120000"/>
    <n v="120000"/>
    <n v="0"/>
    <n v="120000"/>
    <n v="120000"/>
    <s v="日本人等"/>
    <x v="0"/>
    <s v=""/>
    <m/>
    <s v="113_203"/>
    <n v="116000"/>
    <m/>
    <n v="1"/>
    <n v="120000"/>
    <n v="0"/>
    <n v="4000"/>
    <n v="1"/>
    <x v="0"/>
  </r>
  <r>
    <n v="218"/>
    <n v="113"/>
    <x v="10"/>
    <s v="204"/>
    <n v="52.49"/>
    <n v="631"/>
    <x v="0"/>
    <s v="3DK"/>
    <n v="130000"/>
    <n v="5000"/>
    <n v="0"/>
    <n v="0"/>
    <n v="135000"/>
    <n v="119000"/>
    <n v="0"/>
    <n v="119000"/>
    <n v="135000"/>
    <s v="住居法人契約"/>
    <x v="0"/>
    <s v=""/>
    <m/>
    <s v="113_204"/>
    <n v="119000"/>
    <m/>
    <n v="1"/>
    <n v="135000"/>
    <n v="-16000"/>
    <n v="16000"/>
    <n v="1"/>
    <x v="0"/>
  </r>
  <r>
    <n v="219"/>
    <n v="113"/>
    <x v="10"/>
    <s v="205"/>
    <n v="54.44"/>
    <n v="631"/>
    <x v="0"/>
    <s v="3DK"/>
    <n v="130000"/>
    <n v="5000"/>
    <n v="0"/>
    <n v="0"/>
    <n v="135000"/>
    <n v="120000"/>
    <n v="0"/>
    <n v="120000"/>
    <n v="135000"/>
    <s v="住居法人契約"/>
    <x v="0"/>
    <s v=""/>
    <m/>
    <s v="113_205"/>
    <n v="120000"/>
    <m/>
    <n v="1"/>
    <n v="135000"/>
    <n v="-15000"/>
    <n v="15000"/>
    <n v="1"/>
    <x v="0"/>
  </r>
  <r>
    <n v="220"/>
    <n v="113"/>
    <x v="10"/>
    <s v="206"/>
    <n v="52.49"/>
    <n v="631"/>
    <x v="0"/>
    <s v="3DK"/>
    <n v="130000"/>
    <n v="5000"/>
    <n v="0"/>
    <n v="0"/>
    <n v="135000"/>
    <n v="125000"/>
    <n v="0"/>
    <n v="125000"/>
    <n v="135000"/>
    <s v="住居法人契約"/>
    <x v="0"/>
    <s v=""/>
    <m/>
    <s v="113_206"/>
    <n v="120000"/>
    <m/>
    <n v="1"/>
    <n v="135000"/>
    <n v="-10000"/>
    <n v="15000"/>
    <n v="1"/>
    <x v="0"/>
  </r>
  <r>
    <n v="221"/>
    <n v="113"/>
    <x v="10"/>
    <s v="301"/>
    <n v="54.44"/>
    <n v="631"/>
    <x v="0"/>
    <s v="3DK"/>
    <n v="127000"/>
    <n v="5000"/>
    <n v="0"/>
    <n v="0"/>
    <n v="132000"/>
    <n v="137000"/>
    <n v="0"/>
    <n v="137000"/>
    <n v="132000"/>
    <s v="日本人等"/>
    <x v="0"/>
    <s v=""/>
    <m/>
    <s v="113_301"/>
    <n v="120000"/>
    <m/>
    <n v="1"/>
    <n v="132000"/>
    <n v="5000"/>
    <n v="12000"/>
    <n v="1"/>
    <x v="0"/>
  </r>
  <r>
    <n v="222"/>
    <n v="113"/>
    <x v="10"/>
    <s v="302"/>
    <n v="52.49"/>
    <n v="631"/>
    <x v="0"/>
    <s v="3DK"/>
    <n v="125000"/>
    <n v="5000"/>
    <n v="0"/>
    <n v="0"/>
    <n v="130000"/>
    <n v="130000"/>
    <n v="0"/>
    <n v="130000"/>
    <n v="130000"/>
    <s v="中華系"/>
    <x v="0"/>
    <s v=""/>
    <m/>
    <s v="113_302"/>
    <n v="125000"/>
    <m/>
    <n v="1"/>
    <n v="130000"/>
    <n v="0"/>
    <n v="5000"/>
    <n v="1"/>
    <x v="0"/>
  </r>
  <r>
    <n v="223"/>
    <n v="113"/>
    <x v="10"/>
    <s v="303"/>
    <n v="54.44"/>
    <n v="631"/>
    <x v="0"/>
    <s v="3DK"/>
    <n v="125000"/>
    <n v="5000"/>
    <n v="0"/>
    <n v="0"/>
    <n v="130000"/>
    <n v="125000"/>
    <n v="0"/>
    <n v="125000"/>
    <n v="130000"/>
    <s v="中華系"/>
    <x v="0"/>
    <s v=""/>
    <m/>
    <s v="113_303"/>
    <n v="118000"/>
    <m/>
    <n v="1"/>
    <n v="130000"/>
    <n v="-5000"/>
    <n v="12000"/>
    <n v="1"/>
    <x v="0"/>
  </r>
  <r>
    <n v="224"/>
    <n v="113"/>
    <x v="10"/>
    <s v="304"/>
    <n v="52.49"/>
    <n v="631"/>
    <x v="0"/>
    <s v="3DK"/>
    <n v="115000"/>
    <n v="5000"/>
    <n v="0"/>
    <n v="0"/>
    <n v="120000"/>
    <n v="120000"/>
    <n v="0"/>
    <n v="120000"/>
    <n v="120000"/>
    <s v="日本人等"/>
    <x v="0"/>
    <s v=""/>
    <m/>
    <s v="113_304"/>
    <n v="120000"/>
    <m/>
    <n v="1"/>
    <n v="120000"/>
    <n v="0"/>
    <n v="0"/>
    <n v="1"/>
    <x v="0"/>
  </r>
  <r>
    <n v="225"/>
    <n v="113"/>
    <x v="10"/>
    <s v="305"/>
    <n v="54.44"/>
    <n v="631"/>
    <x v="0"/>
    <s v="3DK"/>
    <n v="95000"/>
    <n v="0"/>
    <n v="0"/>
    <n v="0"/>
    <n v="95000"/>
    <n v="85000"/>
    <n v="0"/>
    <n v="85000"/>
    <n v="95000"/>
    <s v="日本人等"/>
    <x v="0"/>
    <s v=""/>
    <m/>
    <s v="113_305"/>
    <n v="85000"/>
    <m/>
    <n v="1"/>
    <n v="95000"/>
    <n v="-10000"/>
    <n v="10000"/>
    <n v="1"/>
    <x v="0"/>
  </r>
  <r>
    <n v="226"/>
    <n v="113"/>
    <x v="10"/>
    <s v="306"/>
    <n v="52.49"/>
    <n v="631"/>
    <x v="0"/>
    <s v="3DK"/>
    <n v="118000"/>
    <n v="5000"/>
    <n v="0"/>
    <n v="0"/>
    <n v="123000"/>
    <n v="123000"/>
    <n v="0"/>
    <n v="123000"/>
    <n v="123000"/>
    <s v="日本人等"/>
    <x v="0"/>
    <s v=""/>
    <m/>
    <s v="113_306"/>
    <n v="125000"/>
    <m/>
    <n v="1"/>
    <n v="123000"/>
    <n v="0"/>
    <n v="-2000"/>
    <n v="1"/>
    <x v="0"/>
  </r>
  <r>
    <n v="227"/>
    <n v="113"/>
    <x v="10"/>
    <s v="401"/>
    <n v="54.44"/>
    <n v="631"/>
    <x v="0"/>
    <s v="3DK"/>
    <n v="115000"/>
    <n v="5000"/>
    <n v="0"/>
    <n v="0"/>
    <n v="120000"/>
    <n v="120000"/>
    <n v="0"/>
    <n v="120000"/>
    <n v="120000"/>
    <s v="中華系"/>
    <x v="0"/>
    <s v=""/>
    <m/>
    <s v="113_401"/>
    <n v="125000"/>
    <m/>
    <n v="1"/>
    <n v="120000"/>
    <n v="0"/>
    <n v="-5000"/>
    <n v="1"/>
    <x v="0"/>
  </r>
  <r>
    <n v="228"/>
    <n v="113"/>
    <x v="10"/>
    <s v="402"/>
    <n v="52.49"/>
    <n v="631"/>
    <x v="0"/>
    <s v="3DK"/>
    <n v="121000"/>
    <n v="5000"/>
    <n v="0"/>
    <n v="0"/>
    <n v="126000"/>
    <n v="126000"/>
    <n v="0"/>
    <n v="126000"/>
    <n v="126000"/>
    <s v="日本人等"/>
    <x v="0"/>
    <s v=""/>
    <m/>
    <s v="113_402"/>
    <n v="126000"/>
    <m/>
    <n v="1"/>
    <n v="126000"/>
    <n v="0"/>
    <n v="0"/>
    <n v="1"/>
    <x v="0"/>
  </r>
  <r>
    <n v="229"/>
    <n v="113"/>
    <x v="10"/>
    <s v="403"/>
    <n v="54.44"/>
    <n v="631"/>
    <x v="0"/>
    <s v="3DK"/>
    <n v="125000"/>
    <n v="5000"/>
    <n v="0"/>
    <n v="0"/>
    <n v="130000"/>
    <n v="125000"/>
    <n v="0"/>
    <n v="125000"/>
    <n v="130000"/>
    <s v="日本人等"/>
    <x v="0"/>
    <s v=""/>
    <m/>
    <s v="113_403"/>
    <n v="123000"/>
    <m/>
    <n v="1"/>
    <n v="130000"/>
    <n v="-5000"/>
    <n v="7000"/>
    <n v="1"/>
    <x v="0"/>
  </r>
  <r>
    <n v="230"/>
    <n v="113"/>
    <x v="10"/>
    <s v="404"/>
    <n v="52.49"/>
    <n v="631"/>
    <x v="0"/>
    <s v="3DK"/>
    <n v="116000"/>
    <n v="5000"/>
    <n v="0"/>
    <n v="0"/>
    <n v="121000"/>
    <n v="121000"/>
    <n v="0"/>
    <n v="121000"/>
    <n v="121000"/>
    <s v="日本人等"/>
    <x v="0"/>
    <s v=""/>
    <m/>
    <s v="113_404"/>
    <n v="121000"/>
    <m/>
    <n v="1"/>
    <n v="121000"/>
    <n v="0"/>
    <n v="0"/>
    <n v="1"/>
    <x v="0"/>
  </r>
  <r>
    <n v="231"/>
    <n v="113"/>
    <x v="10"/>
    <s v="405"/>
    <n v="54.44"/>
    <n v="631"/>
    <x v="0"/>
    <s v="3DK"/>
    <n v="120000"/>
    <n v="5000"/>
    <n v="0"/>
    <n v="0"/>
    <n v="125000"/>
    <n v="125000"/>
    <n v="0"/>
    <n v="125000"/>
    <n v="125000"/>
    <s v="中華系"/>
    <x v="0"/>
    <s v=""/>
    <m/>
    <s v="113_405"/>
    <n v="123000"/>
    <m/>
    <n v="1"/>
    <n v="125000"/>
    <n v="0"/>
    <n v="2000"/>
    <n v="1"/>
    <x v="0"/>
  </r>
  <r>
    <n v="232"/>
    <n v="113"/>
    <x v="10"/>
    <s v="406"/>
    <n v="52.49"/>
    <n v="631"/>
    <x v="0"/>
    <s v="3DK"/>
    <n v="126000"/>
    <n v="5000"/>
    <n v="0"/>
    <n v="0"/>
    <n v="131000"/>
    <n v="131000"/>
    <n v="0"/>
    <n v="131000"/>
    <n v="131000"/>
    <s v="住居法人契約"/>
    <x v="0"/>
    <s v=""/>
    <m/>
    <s v="113_406"/>
    <n v="131000"/>
    <m/>
    <n v="1"/>
    <n v="131000"/>
    <n v="0"/>
    <n v="0"/>
    <n v="1"/>
    <x v="0"/>
  </r>
  <r>
    <n v="233"/>
    <n v="113"/>
    <x v="10"/>
    <s v="P1"/>
    <n v="0"/>
    <n v="634"/>
    <x v="4"/>
    <s v="駐車場"/>
    <n v="20000"/>
    <n v="0"/>
    <n v="0"/>
    <n v="2000"/>
    <n v="22000"/>
    <n v="20000"/>
    <n v="2000"/>
    <n v="22000"/>
    <n v="22000"/>
    <s v="法人契約"/>
    <x v="0"/>
    <s v=""/>
    <m/>
    <s v="113_P1"/>
    <n v="20000"/>
    <m/>
    <n v="1"/>
    <n v="20000"/>
    <n v="0"/>
    <n v="0"/>
    <n v="1"/>
    <x v="0"/>
  </r>
  <r>
    <n v="234"/>
    <n v="113"/>
    <x v="10"/>
    <s v="NTF1"/>
    <s v="-"/>
    <n v="639"/>
    <x v="3"/>
    <s v="その他"/>
    <n v="0"/>
    <n v="0"/>
    <n v="0"/>
    <n v="0"/>
    <n v="0"/>
    <n v="0"/>
    <n v="0"/>
    <n v="0"/>
    <n v="0"/>
    <s v="-"/>
    <x v="1"/>
    <s v="フレッツ光"/>
    <m/>
    <s v="113_NTF1"/>
    <n v="0"/>
    <m/>
    <n v="0"/>
    <n v="0"/>
    <n v="0"/>
    <n v="0"/>
    <n v="0"/>
    <x v="0"/>
  </r>
  <r>
    <n v="235"/>
    <n v="114"/>
    <x v="11"/>
    <s v="201"/>
    <n v="32.4"/>
    <n v="631"/>
    <x v="0"/>
    <s v="1LDK"/>
    <n v="83000"/>
    <n v="2000"/>
    <n v="0"/>
    <n v="0"/>
    <n v="85000"/>
    <n v="85000"/>
    <n v="0"/>
    <n v="85000"/>
    <n v="85000"/>
    <s v="日本人等"/>
    <x v="0"/>
    <s v=""/>
    <m/>
    <s v="114_201"/>
    <n v="85000"/>
    <m/>
    <n v="1"/>
    <n v="85000"/>
    <n v="0"/>
    <n v="0"/>
    <n v="1"/>
    <x v="0"/>
  </r>
  <r>
    <n v="236"/>
    <n v="114"/>
    <x v="11"/>
    <s v="202"/>
    <n v="18"/>
    <n v="631"/>
    <x v="0"/>
    <s v="1R"/>
    <n v="58000"/>
    <n v="2000"/>
    <n v="0"/>
    <n v="0"/>
    <n v="60000"/>
    <n v="60000"/>
    <n v="0"/>
    <n v="60000"/>
    <n v="60000"/>
    <s v="中華系"/>
    <x v="0"/>
    <s v=""/>
    <m/>
    <s v="114_202"/>
    <n v="60000"/>
    <m/>
    <n v="1"/>
    <n v="60000"/>
    <n v="0"/>
    <n v="0"/>
    <n v="1"/>
    <x v="0"/>
  </r>
  <r>
    <n v="237"/>
    <n v="114"/>
    <x v="11"/>
    <s v="203"/>
    <n v="18"/>
    <n v="631"/>
    <x v="0"/>
    <s v="1R"/>
    <n v="50000"/>
    <n v="3000"/>
    <n v="0"/>
    <n v="0"/>
    <n v="53000"/>
    <n v="62000"/>
    <n v="0"/>
    <n v="62000"/>
    <n v="53000"/>
    <s v="中華系"/>
    <x v="0"/>
    <s v=""/>
    <m/>
    <s v="114_203"/>
    <n v="60000"/>
    <m/>
    <n v="1"/>
    <n v="53000"/>
    <n v="9000"/>
    <n v="-7000"/>
    <n v="1"/>
    <x v="0"/>
  </r>
  <r>
    <n v="238"/>
    <n v="114"/>
    <x v="11"/>
    <s v="205"/>
    <n v="18.239999999999998"/>
    <n v="631"/>
    <x v="0"/>
    <s v="1R"/>
    <n v="63000"/>
    <n v="2000"/>
    <n v="0"/>
    <n v="0"/>
    <n v="65000"/>
    <n v="65000"/>
    <n v="0"/>
    <n v="65000"/>
    <n v="65000"/>
    <s v="日本人等"/>
    <x v="0"/>
    <s v=""/>
    <m/>
    <s v="114_205"/>
    <n v="65000"/>
    <m/>
    <n v="1"/>
    <n v="65000"/>
    <n v="0"/>
    <n v="0"/>
    <n v="1"/>
    <x v="0"/>
  </r>
  <r>
    <n v="239"/>
    <n v="114"/>
    <x v="11"/>
    <s v="206"/>
    <n v="18"/>
    <n v="631"/>
    <x v="0"/>
    <s v="1R"/>
    <n v="53700"/>
    <n v="6300"/>
    <n v="0"/>
    <n v="0"/>
    <n v="60000"/>
    <n v="62000"/>
    <n v="0"/>
    <n v="62000"/>
    <n v="60000"/>
    <s v="日本人等"/>
    <x v="0"/>
    <s v=""/>
    <m/>
    <s v="114_206"/>
    <n v="62000"/>
    <m/>
    <n v="1"/>
    <n v="60000"/>
    <n v="2000"/>
    <n v="-2000"/>
    <n v="1"/>
    <x v="0"/>
  </r>
  <r>
    <n v="240"/>
    <n v="114"/>
    <x v="11"/>
    <s v="301"/>
    <n v="32.4"/>
    <n v="632"/>
    <x v="1"/>
    <s v="1LDK"/>
    <n v="84000"/>
    <n v="2000"/>
    <n v="0"/>
    <n v="8600"/>
    <n v="94600"/>
    <n v="86000"/>
    <n v="8600"/>
    <n v="94600"/>
    <n v="94600"/>
    <s v="住居法人契約"/>
    <x v="0"/>
    <s v=""/>
    <m/>
    <s v="114_301"/>
    <n v="86000"/>
    <m/>
    <n v="1"/>
    <n v="86000"/>
    <n v="0"/>
    <n v="0"/>
    <n v="1"/>
    <x v="0"/>
  </r>
  <r>
    <n v="241"/>
    <n v="114"/>
    <x v="11"/>
    <s v="302"/>
    <n v="18"/>
    <n v="631"/>
    <x v="0"/>
    <s v="1R"/>
    <n v="58000"/>
    <n v="2000"/>
    <n v="0"/>
    <n v="0"/>
    <n v="60000"/>
    <n v="60000"/>
    <n v="0"/>
    <n v="60000"/>
    <n v="60000"/>
    <s v="日本人等"/>
    <x v="0"/>
    <s v=""/>
    <m/>
    <s v="114_302"/>
    <n v="60000"/>
    <m/>
    <n v="1"/>
    <n v="60000"/>
    <n v="0"/>
    <n v="0"/>
    <n v="1"/>
    <x v="0"/>
  </r>
  <r>
    <n v="242"/>
    <n v="114"/>
    <x v="11"/>
    <s v="303"/>
    <n v="18"/>
    <n v="631"/>
    <x v="0"/>
    <s v="1R"/>
    <n v="62000"/>
    <n v="3000"/>
    <n v="0"/>
    <n v="0"/>
    <n v="65000"/>
    <n v="67000"/>
    <n v="0"/>
    <n v="67000"/>
    <n v="65000"/>
    <s v="中華系"/>
    <x v="0"/>
    <s v=""/>
    <m/>
    <s v="114_303"/>
    <n v="60000"/>
    <m/>
    <n v="1"/>
    <n v="65000"/>
    <n v="2000"/>
    <n v="5000"/>
    <n v="1"/>
    <x v="0"/>
  </r>
  <r>
    <n v="243"/>
    <n v="114"/>
    <x v="11"/>
    <s v="305"/>
    <n v="16.5"/>
    <n v="631"/>
    <x v="0"/>
    <s v="1R"/>
    <n v="60000"/>
    <n v="2000"/>
    <n v="0"/>
    <n v="0"/>
    <n v="62000"/>
    <n v="62000"/>
    <n v="0"/>
    <n v="62000"/>
    <n v="62000"/>
    <s v="日本人等"/>
    <x v="0"/>
    <s v=""/>
    <m/>
    <s v="114_305"/>
    <n v="62000"/>
    <m/>
    <n v="1"/>
    <n v="62000"/>
    <n v="0"/>
    <n v="0"/>
    <n v="1"/>
    <x v="0"/>
  </r>
  <r>
    <n v="244"/>
    <n v="114"/>
    <x v="11"/>
    <s v="306"/>
    <n v="17"/>
    <n v="631"/>
    <x v="0"/>
    <s v="1R"/>
    <n v="65000"/>
    <n v="2000"/>
    <n v="0"/>
    <n v="0"/>
    <n v="67000"/>
    <n v="67000"/>
    <n v="0"/>
    <n v="67000"/>
    <n v="67000"/>
    <s v="中華系"/>
    <x v="0"/>
    <s v=""/>
    <m/>
    <s v="114_306"/>
    <n v="60000"/>
    <m/>
    <n v="1"/>
    <n v="67000"/>
    <n v="0"/>
    <n v="7000"/>
    <n v="1"/>
    <x v="0"/>
  </r>
  <r>
    <n v="245"/>
    <n v="114"/>
    <x v="11"/>
    <s v="401"/>
    <n v="33"/>
    <n v="631"/>
    <x v="0"/>
    <s v="1LDK"/>
    <n v="88000"/>
    <n v="2000"/>
    <n v="0"/>
    <n v="0"/>
    <n v="90000"/>
    <n v="90000"/>
    <n v="0"/>
    <n v="90000"/>
    <n v="90000"/>
    <s v="日本人等"/>
    <x v="0"/>
    <s v=""/>
    <m/>
    <s v="114_401"/>
    <n v="85000"/>
    <m/>
    <n v="1"/>
    <n v="90000"/>
    <n v="0"/>
    <n v="5000"/>
    <n v="1"/>
    <x v="0"/>
  </r>
  <r>
    <n v="246"/>
    <n v="114"/>
    <x v="11"/>
    <s v="402"/>
    <n v="18"/>
    <n v="631"/>
    <x v="0"/>
    <s v="1R"/>
    <n v="67000"/>
    <n v="2000"/>
    <n v="0"/>
    <n v="0"/>
    <n v="69000"/>
    <n v="69000"/>
    <n v="0"/>
    <n v="69000"/>
    <n v="69000"/>
    <s v="中華系"/>
    <x v="0"/>
    <s v=""/>
    <m/>
    <s v="114_402"/>
    <n v="62000"/>
    <m/>
    <n v="1"/>
    <n v="69000"/>
    <n v="0"/>
    <n v="7000"/>
    <n v="1"/>
    <x v="0"/>
  </r>
  <r>
    <n v="247"/>
    <n v="114"/>
    <x v="11"/>
    <s v="403"/>
    <n v="20"/>
    <n v="631"/>
    <x v="0"/>
    <s v="1R"/>
    <n v="65000"/>
    <n v="2000"/>
    <n v="0"/>
    <n v="0"/>
    <n v="67000"/>
    <n v="67000"/>
    <n v="0"/>
    <n v="67000"/>
    <n v="67000"/>
    <s v="日本人等"/>
    <x v="0"/>
    <s v=""/>
    <m/>
    <s v="114_403"/>
    <n v="67000"/>
    <m/>
    <n v="1"/>
    <n v="67000"/>
    <n v="0"/>
    <n v="0"/>
    <n v="1"/>
    <x v="0"/>
  </r>
  <r>
    <n v="248"/>
    <n v="114"/>
    <x v="11"/>
    <s v="405"/>
    <n v="18"/>
    <n v="631"/>
    <x v="0"/>
    <s v="1R"/>
    <n v="62000"/>
    <n v="3000"/>
    <n v="0"/>
    <n v="0"/>
    <n v="65000"/>
    <n v="65000"/>
    <n v="0"/>
    <n v="65000"/>
    <n v="65000"/>
    <s v="中華系"/>
    <x v="0"/>
    <s v=""/>
    <m/>
    <s v="114_405"/>
    <n v="65000"/>
    <m/>
    <n v="1"/>
    <n v="65000"/>
    <n v="0"/>
    <n v="0"/>
    <n v="1"/>
    <x v="0"/>
  </r>
  <r>
    <n v="249"/>
    <n v="114"/>
    <x v="11"/>
    <s v="406"/>
    <n v="16"/>
    <n v="631"/>
    <x v="0"/>
    <s v="1R"/>
    <n v="65000"/>
    <n v="2000"/>
    <n v="0"/>
    <n v="0"/>
    <n v="67000"/>
    <n v="67000"/>
    <n v="0"/>
    <n v="67000"/>
    <n v="67000"/>
    <s v="中華系"/>
    <x v="0"/>
    <s v=""/>
    <m/>
    <s v="114_406"/>
    <n v="60000"/>
    <m/>
    <n v="1"/>
    <n v="67000"/>
    <n v="0"/>
    <n v="7000"/>
    <n v="1"/>
    <x v="0"/>
  </r>
  <r>
    <n v="250"/>
    <n v="114"/>
    <x v="11"/>
    <s v="101"/>
    <n v="122.31"/>
    <n v="636"/>
    <x v="6"/>
    <s v="倉庫"/>
    <n v="240741"/>
    <n v="0"/>
    <n v="0"/>
    <n v="24074"/>
    <n v="264815"/>
    <n v="240740"/>
    <n v="24074.090909090908"/>
    <n v="264814.09090909088"/>
    <n v="264815"/>
    <s v="法人契約"/>
    <x v="0"/>
    <s v=""/>
    <m/>
    <s v="114_101"/>
    <n v="240741"/>
    <m/>
    <n v="1"/>
    <n v="240741"/>
    <n v="-1"/>
    <n v="0"/>
    <n v="1"/>
    <x v="0"/>
  </r>
  <r>
    <n v="251"/>
    <n v="115"/>
    <x v="12"/>
    <s v="201"/>
    <n v="47.22"/>
    <n v="631"/>
    <x v="0"/>
    <s v="2DK"/>
    <n v="110000"/>
    <n v="5000"/>
    <n v="0"/>
    <n v="0"/>
    <n v="115000"/>
    <n v="115000"/>
    <n v="0"/>
    <n v="115000"/>
    <n v="115000"/>
    <s v="その他新興国"/>
    <x v="0"/>
    <s v=""/>
    <m/>
    <s v="115_201"/>
    <n v="115000"/>
    <m/>
    <n v="1"/>
    <n v="115000"/>
    <n v="0"/>
    <n v="0"/>
    <n v="1"/>
    <x v="0"/>
  </r>
  <r>
    <n v="252"/>
    <n v="115"/>
    <x v="12"/>
    <s v="202"/>
    <n v="52"/>
    <n v="631"/>
    <x v="0"/>
    <s v="2DK"/>
    <n v="125000"/>
    <n v="5000"/>
    <n v="0"/>
    <n v="0"/>
    <n v="130000"/>
    <n v="123000"/>
    <n v="0"/>
    <n v="123000"/>
    <n v="130000"/>
    <s v="日本人等"/>
    <x v="0"/>
    <s v=""/>
    <m/>
    <s v="115_202"/>
    <n v="123000"/>
    <m/>
    <n v="1"/>
    <n v="130000"/>
    <n v="-7000"/>
    <n v="7000"/>
    <n v="1"/>
    <x v="0"/>
  </r>
  <r>
    <n v="253"/>
    <n v="115"/>
    <x v="12"/>
    <s v="203"/>
    <n v="52"/>
    <n v="631"/>
    <x v="0"/>
    <s v="2DK"/>
    <n v="123000"/>
    <n v="5000"/>
    <n v="0"/>
    <n v="0"/>
    <n v="128000"/>
    <n v="123000"/>
    <n v="0"/>
    <n v="123000"/>
    <n v="128000"/>
    <s v="日本人等"/>
    <x v="0"/>
    <s v=""/>
    <m/>
    <s v="115_203"/>
    <n v="123000"/>
    <m/>
    <n v="1"/>
    <n v="128000"/>
    <n v="-5000"/>
    <n v="5000"/>
    <n v="1"/>
    <x v="0"/>
  </r>
  <r>
    <n v="254"/>
    <n v="115"/>
    <x v="12"/>
    <s v="205"/>
    <n v="52"/>
    <n v="631"/>
    <x v="0"/>
    <s v="3DK"/>
    <n v="128000"/>
    <n v="5000"/>
    <n v="0"/>
    <n v="0"/>
    <n v="133000"/>
    <n v="133000"/>
    <n v="0"/>
    <n v="133000"/>
    <n v="133000"/>
    <s v="中華系"/>
    <x v="0"/>
    <s v=""/>
    <m/>
    <s v="115_205"/>
    <n v="118000"/>
    <m/>
    <n v="1"/>
    <n v="133000"/>
    <n v="0"/>
    <n v="15000"/>
    <n v="1"/>
    <x v="0"/>
  </r>
  <r>
    <n v="255"/>
    <n v="115"/>
    <x v="12"/>
    <s v="206"/>
    <n v="52.36"/>
    <n v="631"/>
    <x v="0"/>
    <s v="2DK"/>
    <n v="125000"/>
    <n v="5000"/>
    <n v="0"/>
    <n v="0"/>
    <n v="130000"/>
    <n v="130000"/>
    <n v="0"/>
    <n v="130000"/>
    <n v="130000"/>
    <s v="中華系"/>
    <x v="0"/>
    <s v=""/>
    <m/>
    <s v="115_206"/>
    <n v="120000"/>
    <m/>
    <n v="1"/>
    <n v="130000"/>
    <n v="0"/>
    <n v="10000"/>
    <n v="1"/>
    <x v="0"/>
  </r>
  <r>
    <n v="256"/>
    <n v="115"/>
    <x v="12"/>
    <s v="301"/>
    <n v="55.18"/>
    <n v="631"/>
    <x v="0"/>
    <s v="2DK"/>
    <n v="123000"/>
    <n v="5000"/>
    <n v="0"/>
    <n v="0"/>
    <n v="128000"/>
    <n v="128000"/>
    <n v="0"/>
    <n v="128000"/>
    <n v="128000"/>
    <s v="中華系"/>
    <x v="0"/>
    <s v=""/>
    <m/>
    <s v="115_301"/>
    <n v="115000"/>
    <m/>
    <n v="1"/>
    <n v="128000"/>
    <n v="0"/>
    <n v="13000"/>
    <n v="1"/>
    <x v="0"/>
  </r>
  <r>
    <n v="257"/>
    <n v="115"/>
    <x v="12"/>
    <s v="302"/>
    <n v="52"/>
    <n v="631"/>
    <x v="0"/>
    <s v="2DK"/>
    <n v="121000"/>
    <n v="5000"/>
    <n v="0"/>
    <n v="0"/>
    <n v="126000"/>
    <n v="126000"/>
    <n v="0"/>
    <n v="126000"/>
    <n v="126000"/>
    <s v="日本人等"/>
    <x v="0"/>
    <s v=""/>
    <m/>
    <s v="115_302"/>
    <n v="128000"/>
    <m/>
    <n v="1"/>
    <n v="126000"/>
    <n v="0"/>
    <n v="-2000"/>
    <n v="1"/>
    <x v="0"/>
  </r>
  <r>
    <n v="258"/>
    <n v="115"/>
    <x v="12"/>
    <s v="303"/>
    <n v="52"/>
    <n v="631"/>
    <x v="0"/>
    <s v="2DK"/>
    <n v="123000"/>
    <n v="5000"/>
    <n v="0"/>
    <n v="0"/>
    <n v="128000"/>
    <n v="128000"/>
    <n v="0"/>
    <n v="128000"/>
    <n v="128000"/>
    <s v="日本人等"/>
    <x v="0"/>
    <s v=""/>
    <m/>
    <s v="115_303"/>
    <n v="128000"/>
    <m/>
    <n v="1"/>
    <n v="128000"/>
    <n v="0"/>
    <n v="0"/>
    <n v="1"/>
    <x v="0"/>
  </r>
  <r>
    <n v="259"/>
    <n v="115"/>
    <x v="12"/>
    <s v="305"/>
    <n v="52"/>
    <n v="631"/>
    <x v="0"/>
    <s v="2DK"/>
    <n v="126000"/>
    <n v="5000"/>
    <n v="0"/>
    <n v="0"/>
    <n v="131000"/>
    <n v="131000"/>
    <n v="0"/>
    <n v="131000"/>
    <n v="131000"/>
    <s v="日本人等"/>
    <x v="0"/>
    <s v=""/>
    <m/>
    <s v="115_305"/>
    <n v="131000"/>
    <m/>
    <n v="1"/>
    <n v="131000"/>
    <n v="0"/>
    <n v="0"/>
    <n v="1"/>
    <x v="0"/>
  </r>
  <r>
    <n v="260"/>
    <n v="115"/>
    <x v="12"/>
    <s v="306"/>
    <n v="52.36"/>
    <n v="631"/>
    <x v="0"/>
    <s v="2DK"/>
    <n v="125000"/>
    <n v="5000"/>
    <n v="0"/>
    <n v="0"/>
    <n v="130000"/>
    <n v="130000"/>
    <n v="0"/>
    <n v="130000"/>
    <n v="130000"/>
    <s v="中華系"/>
    <x v="0"/>
    <s v=""/>
    <m/>
    <s v="115_306"/>
    <n v="120000"/>
    <m/>
    <n v="1"/>
    <n v="130000"/>
    <n v="0"/>
    <n v="10000"/>
    <n v="1"/>
    <x v="0"/>
  </r>
  <r>
    <n v="261"/>
    <n v="115"/>
    <x v="12"/>
    <s v="401"/>
    <n v="55.18"/>
    <n v="631"/>
    <x v="0"/>
    <s v="2DK"/>
    <n v="127000"/>
    <n v="5000"/>
    <n v="0"/>
    <n v="0"/>
    <n v="132000"/>
    <n v="132000"/>
    <n v="0"/>
    <n v="132000"/>
    <n v="132000"/>
    <s v="日本人等"/>
    <x v="0"/>
    <s v=""/>
    <m/>
    <s v="115_401"/>
    <n v="132000"/>
    <m/>
    <n v="1"/>
    <n v="132000"/>
    <n v="0"/>
    <n v="0"/>
    <n v="1"/>
    <x v="0"/>
  </r>
  <r>
    <n v="262"/>
    <n v="115"/>
    <x v="12"/>
    <s v="402"/>
    <n v="52"/>
    <n v="631"/>
    <x v="0"/>
    <s v="2DK"/>
    <n v="125000"/>
    <n v="5000"/>
    <n v="0"/>
    <n v="0"/>
    <n v="130000"/>
    <n v="130000"/>
    <n v="0"/>
    <n v="130000"/>
    <n v="130000"/>
    <s v="日本人等"/>
    <x v="0"/>
    <s v=""/>
    <m/>
    <s v="115_402"/>
    <n v="125000"/>
    <m/>
    <n v="1"/>
    <n v="130000"/>
    <n v="0"/>
    <n v="5000"/>
    <n v="1"/>
    <x v="0"/>
  </r>
  <r>
    <n v="263"/>
    <n v="115"/>
    <x v="12"/>
    <s v="403"/>
    <n v="52"/>
    <n v="631"/>
    <x v="0"/>
    <s v="3DK"/>
    <n v="132000"/>
    <n v="5000"/>
    <n v="0"/>
    <n v="0"/>
    <n v="137000"/>
    <n v="137000"/>
    <n v="0"/>
    <n v="137000"/>
    <n v="137000"/>
    <s v="住居法人契約"/>
    <x v="0"/>
    <s v=""/>
    <m/>
    <s v="115_403"/>
    <n v="125000"/>
    <m/>
    <n v="1"/>
    <n v="137000"/>
    <n v="0"/>
    <n v="12000"/>
    <n v="1"/>
    <x v="0"/>
  </r>
  <r>
    <n v="264"/>
    <n v="115"/>
    <x v="12"/>
    <s v="405"/>
    <n v="52"/>
    <n v="631"/>
    <x v="0"/>
    <s v="3DK"/>
    <n v="132000"/>
    <n v="5000"/>
    <n v="0"/>
    <n v="0"/>
    <n v="137000"/>
    <n v="128000"/>
    <n v="0"/>
    <n v="128000"/>
    <n v="137000"/>
    <s v="中華系"/>
    <x v="0"/>
    <s v=""/>
    <m/>
    <s v="115_405"/>
    <n v="128000"/>
    <m/>
    <n v="1"/>
    <n v="137000"/>
    <n v="-9000"/>
    <n v="9000"/>
    <n v="1"/>
    <x v="0"/>
  </r>
  <r>
    <n v="265"/>
    <n v="115"/>
    <x v="12"/>
    <s v="406"/>
    <n v="52.36"/>
    <n v="631"/>
    <x v="0"/>
    <s v="2DK"/>
    <n v="123000"/>
    <n v="5000"/>
    <n v="0"/>
    <n v="0"/>
    <n v="128000"/>
    <n v="128000"/>
    <n v="0"/>
    <n v="128000"/>
    <n v="128000"/>
    <s v="日本人等"/>
    <x v="0"/>
    <s v=""/>
    <m/>
    <s v="115_406"/>
    <n v="125000"/>
    <m/>
    <n v="1"/>
    <n v="128000"/>
    <n v="0"/>
    <n v="3000"/>
    <n v="1"/>
    <x v="0"/>
  </r>
  <r>
    <n v="266"/>
    <n v="115"/>
    <x v="12"/>
    <s v="501"/>
    <n v="55.18"/>
    <n v="631"/>
    <x v="0"/>
    <s v="2DK"/>
    <n v="132000"/>
    <n v="5000"/>
    <n v="0"/>
    <n v="0"/>
    <n v="137000"/>
    <n v="137000"/>
    <n v="0"/>
    <n v="137000"/>
    <n v="137000"/>
    <s v="住居法人契約"/>
    <x v="0"/>
    <s v=""/>
    <m/>
    <s v="115_501"/>
    <n v="120000"/>
    <m/>
    <n v="1"/>
    <n v="137000"/>
    <n v="0"/>
    <n v="17000"/>
    <n v="1"/>
    <x v="0"/>
  </r>
  <r>
    <n v="267"/>
    <n v="115"/>
    <x v="12"/>
    <s v="502"/>
    <n v="52"/>
    <n v="631"/>
    <x v="0"/>
    <s v="2DK"/>
    <n v="128000"/>
    <n v="5000"/>
    <n v="0"/>
    <n v="0"/>
    <n v="133000"/>
    <n v="133000"/>
    <n v="0"/>
    <n v="133000"/>
    <n v="133000"/>
    <s v="日本人等"/>
    <x v="0"/>
    <s v=""/>
    <m/>
    <s v="115_502"/>
    <n v="133000"/>
    <m/>
    <n v="1"/>
    <n v="133000"/>
    <n v="0"/>
    <n v="0"/>
    <n v="1"/>
    <x v="0"/>
  </r>
  <r>
    <n v="268"/>
    <n v="115"/>
    <x v="12"/>
    <s v="503"/>
    <n v="52"/>
    <n v="631"/>
    <x v="0"/>
    <s v="3DK"/>
    <n v="130000"/>
    <n v="5000"/>
    <n v="0"/>
    <n v="0"/>
    <n v="135000"/>
    <n v="135000"/>
    <n v="0"/>
    <n v="135000"/>
    <n v="135000"/>
    <s v="日本人等"/>
    <x v="0"/>
    <s v=""/>
    <m/>
    <s v="115_503"/>
    <n v="128000"/>
    <m/>
    <n v="1"/>
    <n v="135000"/>
    <n v="0"/>
    <n v="7000"/>
    <n v="1"/>
    <x v="0"/>
  </r>
  <r>
    <n v="269"/>
    <n v="115"/>
    <x v="12"/>
    <s v="505"/>
    <n v="52"/>
    <n v="631"/>
    <x v="0"/>
    <s v="2DK"/>
    <n v="125000"/>
    <n v="5000"/>
    <n v="0"/>
    <n v="0"/>
    <n v="130000"/>
    <n v="125000"/>
    <n v="0"/>
    <n v="125000"/>
    <n v="130000"/>
    <s v="日本人等"/>
    <x v="0"/>
    <s v=""/>
    <m/>
    <s v="115_505"/>
    <n v="125000"/>
    <m/>
    <n v="1"/>
    <n v="130000"/>
    <n v="-5000"/>
    <n v="5000"/>
    <n v="1"/>
    <x v="0"/>
  </r>
  <r>
    <n v="270"/>
    <n v="115"/>
    <x v="12"/>
    <s v="506"/>
    <n v="52.36"/>
    <n v="631"/>
    <x v="0"/>
    <s v="2DK"/>
    <n v="120000"/>
    <n v="5000"/>
    <n v="0"/>
    <n v="0"/>
    <n v="125000"/>
    <n v="125000"/>
    <n v="0"/>
    <n v="125000"/>
    <n v="125000"/>
    <s v="日本人等"/>
    <x v="0"/>
    <s v=""/>
    <m/>
    <s v="115_506"/>
    <n v="125000"/>
    <m/>
    <n v="1"/>
    <n v="125000"/>
    <n v="0"/>
    <n v="0"/>
    <n v="1"/>
    <x v="0"/>
  </r>
  <r>
    <n v="271"/>
    <n v="115"/>
    <x v="12"/>
    <s v="601"/>
    <n v="52"/>
    <n v="631"/>
    <x v="0"/>
    <s v="2DK"/>
    <n v="129000"/>
    <n v="5000"/>
    <n v="0"/>
    <n v="0"/>
    <n v="134000"/>
    <n v="134000"/>
    <n v="0"/>
    <n v="134000"/>
    <n v="134000"/>
    <s v="日本人等"/>
    <x v="0"/>
    <s v=""/>
    <m/>
    <s v="115_601"/>
    <n v="134000"/>
    <m/>
    <n v="1"/>
    <n v="134000"/>
    <n v="0"/>
    <n v="0"/>
    <n v="1"/>
    <x v="0"/>
  </r>
  <r>
    <n v="272"/>
    <n v="115"/>
    <x v="12"/>
    <s v="602"/>
    <n v="52"/>
    <n v="631"/>
    <x v="0"/>
    <s v="3DK"/>
    <n v="134000"/>
    <n v="5000"/>
    <n v="0"/>
    <n v="0"/>
    <n v="139000"/>
    <n v="139000"/>
    <n v="0"/>
    <n v="139000"/>
    <n v="139000"/>
    <s v="日本人等"/>
    <x v="0"/>
    <s v=""/>
    <m/>
    <s v="115_602"/>
    <n v="123000"/>
    <m/>
    <n v="1"/>
    <n v="139000"/>
    <n v="0"/>
    <n v="16000"/>
    <n v="1"/>
    <x v="0"/>
  </r>
  <r>
    <n v="273"/>
    <n v="115"/>
    <x v="12"/>
    <s v="603"/>
    <n v="52"/>
    <n v="631"/>
    <x v="0"/>
    <s v="3DK"/>
    <n v="130000"/>
    <n v="5000"/>
    <n v="0"/>
    <n v="0"/>
    <n v="135000"/>
    <n v="135000"/>
    <n v="0"/>
    <n v="135000"/>
    <n v="135000"/>
    <s v="日本人等"/>
    <x v="0"/>
    <s v=""/>
    <m/>
    <s v="115_603"/>
    <n v="125000"/>
    <m/>
    <n v="1"/>
    <n v="135000"/>
    <n v="0"/>
    <n v="10000"/>
    <n v="1"/>
    <x v="0"/>
  </r>
  <r>
    <n v="274"/>
    <n v="115"/>
    <x v="12"/>
    <s v="101"/>
    <n v="59.53"/>
    <n v="633"/>
    <x v="5"/>
    <s v="店舗"/>
    <n v="170000"/>
    <n v="4630"/>
    <n v="0"/>
    <n v="17463"/>
    <n v="192093"/>
    <n v="174630"/>
    <n v="17463"/>
    <n v="192093"/>
    <n v="192093"/>
    <s v="日本人等"/>
    <x v="0"/>
    <s v=""/>
    <m/>
    <s v="115_101"/>
    <n v="174630"/>
    <m/>
    <n v="1"/>
    <n v="174630"/>
    <n v="0"/>
    <n v="0"/>
    <n v="1"/>
    <x v="0"/>
  </r>
  <r>
    <n v="275"/>
    <n v="115"/>
    <x v="12"/>
    <s v="BF1"/>
    <n v="0"/>
    <n v="634"/>
    <x v="4"/>
    <s v="駐車場"/>
    <n v="324074"/>
    <n v="0"/>
    <n v="0"/>
    <n v="32407"/>
    <n v="356481"/>
    <n v="324073"/>
    <n v="32407.363636363636"/>
    <n v="356480.36363636365"/>
    <n v="356481"/>
    <s v="法人契約"/>
    <x v="0"/>
    <s v="駐輪場"/>
    <m/>
    <s v="115_BF1"/>
    <n v="100000"/>
    <m/>
    <n v="1"/>
    <n v="324074"/>
    <n v="-1"/>
    <n v="224074"/>
    <n v="1"/>
    <x v="0"/>
  </r>
  <r>
    <n v="276"/>
    <n v="115"/>
    <x v="12"/>
    <s v="RF1"/>
    <n v="0"/>
    <n v="635"/>
    <x v="2"/>
    <s v="その他"/>
    <n v="12000"/>
    <n v="0"/>
    <n v="0"/>
    <n v="1200"/>
    <n v="13200"/>
    <n v="12000"/>
    <n v="1199.9999999999998"/>
    <n v="13200"/>
    <n v="13200"/>
    <s v="-"/>
    <x v="0"/>
    <s v="LPWA"/>
    <m/>
    <s v="115_RF1"/>
    <n v="0"/>
    <m/>
    <n v="1"/>
    <n v="12000"/>
    <n v="0"/>
    <n v="12000"/>
    <n v="1"/>
    <x v="0"/>
  </r>
  <r>
    <n v="277"/>
    <n v="115"/>
    <x v="12"/>
    <s v="NTF1"/>
    <s v="-"/>
    <n v="639"/>
    <x v="3"/>
    <s v="その他"/>
    <n v="0"/>
    <n v="0"/>
    <n v="0"/>
    <n v="0"/>
    <n v="0"/>
    <n v="0"/>
    <n v="0"/>
    <n v="0"/>
    <n v="0"/>
    <s v="-"/>
    <x v="1"/>
    <s v="フレッツ光"/>
    <m/>
    <s v="115_NTF1"/>
    <n v="0"/>
    <m/>
    <n v="0"/>
    <n v="0"/>
    <n v="0"/>
    <n v="0"/>
    <n v="0"/>
    <x v="0"/>
  </r>
  <r>
    <n v="278"/>
    <n v="116"/>
    <x v="13"/>
    <s v="201"/>
    <n v="55.01"/>
    <n v="631"/>
    <x v="0"/>
    <s v="3DK"/>
    <n v="122000"/>
    <n v="0"/>
    <n v="0"/>
    <n v="0"/>
    <n v="122000"/>
    <n v="115000"/>
    <n v="0"/>
    <n v="115000"/>
    <n v="122000"/>
    <s v="住居法人契約"/>
    <x v="0"/>
    <s v=""/>
    <m/>
    <s v="116_201"/>
    <n v="115000"/>
    <m/>
    <n v="1"/>
    <n v="122000"/>
    <n v="-7000"/>
    <n v="7000"/>
    <n v="1"/>
    <x v="0"/>
  </r>
  <r>
    <n v="279"/>
    <n v="116"/>
    <x v="13"/>
    <s v="202"/>
    <n v="62.38"/>
    <n v="631"/>
    <x v="0"/>
    <s v="3DK"/>
    <n v="145000"/>
    <n v="5000"/>
    <n v="0"/>
    <n v="0"/>
    <n v="150000"/>
    <n v="160000"/>
    <n v="0"/>
    <n v="160000"/>
    <n v="150000"/>
    <s v="日本人等"/>
    <x v="0"/>
    <s v=""/>
    <m/>
    <s v="116_202"/>
    <n v="145000"/>
    <m/>
    <n v="1"/>
    <n v="150000"/>
    <n v="10000"/>
    <n v="5000"/>
    <n v="1"/>
    <x v="0"/>
  </r>
  <r>
    <n v="280"/>
    <n v="116"/>
    <x v="13"/>
    <s v="301"/>
    <n v="55.01"/>
    <n v="631"/>
    <x v="0"/>
    <s v="3DK"/>
    <n v="120000"/>
    <n v="5000"/>
    <n v="0"/>
    <n v="0"/>
    <n v="125000"/>
    <n v="125000"/>
    <n v="0"/>
    <n v="125000"/>
    <n v="125000"/>
    <s v="日本人等"/>
    <x v="0"/>
    <s v=""/>
    <m/>
    <s v="116_301"/>
    <n v="125000"/>
    <m/>
    <n v="1"/>
    <n v="125000"/>
    <n v="0"/>
    <n v="0"/>
    <n v="1"/>
    <x v="0"/>
  </r>
  <r>
    <n v="281"/>
    <n v="116"/>
    <x v="13"/>
    <s v="302"/>
    <n v="62.38"/>
    <n v="631"/>
    <x v="0"/>
    <s v="3DK"/>
    <n v="153000"/>
    <n v="5000"/>
    <n v="0"/>
    <n v="0"/>
    <n v="158000"/>
    <n v="155000"/>
    <n v="0"/>
    <n v="155000"/>
    <n v="158000"/>
    <s v="日本人等"/>
    <x v="0"/>
    <s v=""/>
    <m/>
    <s v="116_302"/>
    <n v="140000"/>
    <m/>
    <n v="1"/>
    <n v="158000"/>
    <n v="-3000"/>
    <n v="18000"/>
    <n v="1"/>
    <x v="0"/>
  </r>
  <r>
    <n v="282"/>
    <n v="116"/>
    <x v="13"/>
    <s v="401"/>
    <n v="55.01"/>
    <n v="631"/>
    <x v="0"/>
    <s v="3DK"/>
    <n v="143000"/>
    <n v="5000"/>
    <n v="0"/>
    <n v="0"/>
    <n v="148000"/>
    <n v="140000"/>
    <n v="0"/>
    <n v="140000"/>
    <n v="148000"/>
    <s v="中華系"/>
    <x v="0"/>
    <s v=""/>
    <m/>
    <s v="116_401"/>
    <n v="130000"/>
    <m/>
    <n v="1"/>
    <n v="148000"/>
    <n v="-8000"/>
    <n v="18000"/>
    <n v="1"/>
    <x v="0"/>
  </r>
  <r>
    <n v="283"/>
    <n v="116"/>
    <x v="13"/>
    <s v="402"/>
    <n v="62.38"/>
    <n v="631"/>
    <x v="0"/>
    <s v="3DK"/>
    <n v="153000"/>
    <n v="5000"/>
    <n v="0"/>
    <n v="0"/>
    <n v="158000"/>
    <n v="141000"/>
    <n v="0"/>
    <n v="141000"/>
    <n v="158000"/>
    <s v="日本人等"/>
    <x v="0"/>
    <s v=""/>
    <m/>
    <s v="116_402"/>
    <n v="130000"/>
    <m/>
    <n v="1"/>
    <n v="158000"/>
    <n v="-17000"/>
    <n v="28000"/>
    <n v="1"/>
    <x v="0"/>
  </r>
  <r>
    <n v="284"/>
    <n v="116"/>
    <x v="13"/>
    <s v="501"/>
    <n v="55.01"/>
    <n v="631"/>
    <x v="0"/>
    <s v="3DK"/>
    <n v="140000"/>
    <n v="5000"/>
    <n v="0"/>
    <n v="0"/>
    <n v="145000"/>
    <n v="130000"/>
    <n v="0"/>
    <n v="130000"/>
    <n v="145000"/>
    <s v="日本人等"/>
    <x v="0"/>
    <s v=""/>
    <m/>
    <s v="116_501"/>
    <n v="130000"/>
    <m/>
    <n v="1"/>
    <n v="145000"/>
    <n v="-15000"/>
    <n v="15000"/>
    <n v="1"/>
    <x v="0"/>
  </r>
  <r>
    <n v="285"/>
    <n v="116"/>
    <x v="13"/>
    <s v="502"/>
    <n v="60"/>
    <n v="631"/>
    <x v="0"/>
    <s v="3DK"/>
    <n v="135000"/>
    <n v="0"/>
    <n v="0"/>
    <n v="0"/>
    <n v="135000"/>
    <n v="135000"/>
    <n v="0"/>
    <n v="135000"/>
    <n v="135000"/>
    <s v="日本人等"/>
    <x v="0"/>
    <s v=""/>
    <m/>
    <s v="116_502"/>
    <n v="135000"/>
    <m/>
    <n v="1"/>
    <n v="135000"/>
    <n v="0"/>
    <n v="0"/>
    <n v="1"/>
    <x v="0"/>
  </r>
  <r>
    <n v="286"/>
    <n v="116"/>
    <x v="13"/>
    <s v="601"/>
    <n v="65"/>
    <n v="631"/>
    <x v="0"/>
    <s v="3DK"/>
    <n v="145000"/>
    <n v="5000"/>
    <n v="0"/>
    <n v="0"/>
    <n v="150000"/>
    <n v="140000"/>
    <n v="0"/>
    <n v="140000"/>
    <n v="150000"/>
    <s v="中華系"/>
    <x v="0"/>
    <s v=""/>
    <m/>
    <s v="116_601"/>
    <n v="130000"/>
    <m/>
    <n v="1"/>
    <n v="150000"/>
    <n v="-10000"/>
    <n v="20000"/>
    <n v="1"/>
    <x v="0"/>
  </r>
  <r>
    <n v="287"/>
    <n v="116"/>
    <x v="13"/>
    <s v="602"/>
    <n v="65"/>
    <n v="631"/>
    <x v="0"/>
    <s v="3DK"/>
    <n v="125000"/>
    <n v="5000"/>
    <n v="0"/>
    <n v="0"/>
    <n v="130000"/>
    <n v="130000"/>
    <n v="0"/>
    <n v="130000"/>
    <n v="130000"/>
    <s v="日本人等"/>
    <x v="0"/>
    <s v=""/>
    <m/>
    <s v="116_602"/>
    <n v="130000"/>
    <m/>
    <n v="1"/>
    <n v="130000"/>
    <n v="0"/>
    <n v="0"/>
    <n v="1"/>
    <x v="0"/>
  </r>
  <r>
    <n v="288"/>
    <n v="116"/>
    <x v="13"/>
    <s v="701"/>
    <n v="65.61"/>
    <n v="631"/>
    <x v="0"/>
    <s v="3DK"/>
    <n v="138000"/>
    <n v="2000"/>
    <n v="0"/>
    <n v="0"/>
    <n v="140000"/>
    <n v="132000"/>
    <n v="0"/>
    <n v="132000"/>
    <n v="140000"/>
    <s v="日本人等"/>
    <x v="0"/>
    <s v=""/>
    <m/>
    <s v="116_701"/>
    <n v="132000"/>
    <m/>
    <n v="1"/>
    <n v="140000"/>
    <n v="-8000"/>
    <n v="8000"/>
    <n v="1"/>
    <x v="0"/>
  </r>
  <r>
    <n v="289"/>
    <n v="116"/>
    <x v="13"/>
    <s v="702"/>
    <n v="62.38"/>
    <n v="631"/>
    <x v="0"/>
    <s v="3DK"/>
    <n v="160000"/>
    <n v="5000"/>
    <n v="0"/>
    <n v="0"/>
    <n v="165000"/>
    <n v="135000"/>
    <n v="0"/>
    <n v="135000"/>
    <n v="165000"/>
    <s v="中華系"/>
    <x v="0"/>
    <s v=""/>
    <m/>
    <s v="116_702"/>
    <n v="135000"/>
    <m/>
    <n v="1"/>
    <n v="165000"/>
    <n v="-30000"/>
    <n v="30000"/>
    <n v="1"/>
    <x v="0"/>
  </r>
  <r>
    <n v="290"/>
    <n v="116"/>
    <x v="13"/>
    <s v="801"/>
    <n v="40"/>
    <n v="631"/>
    <x v="0"/>
    <s v="3LDK"/>
    <n v="135000"/>
    <n v="5000"/>
    <n v="0"/>
    <n v="0"/>
    <n v="140000"/>
    <n v="140000"/>
    <n v="0"/>
    <n v="140000"/>
    <n v="140000"/>
    <s v="中華系"/>
    <x v="0"/>
    <s v=""/>
    <m/>
    <s v="116_801"/>
    <n v="180000"/>
    <m/>
    <n v="1"/>
    <n v="140000"/>
    <n v="0"/>
    <n v="-40000"/>
    <n v="1"/>
    <x v="0"/>
  </r>
  <r>
    <n v="291"/>
    <n v="116"/>
    <x v="13"/>
    <s v="802"/>
    <n v="62"/>
    <n v="631"/>
    <x v="0"/>
    <s v="2LDK"/>
    <n v="170000"/>
    <n v="5000"/>
    <n v="0"/>
    <n v="0"/>
    <n v="175000"/>
    <n v="175000"/>
    <n v="0"/>
    <n v="175000"/>
    <n v="175000"/>
    <s v="その他新興国"/>
    <x v="0"/>
    <s v=""/>
    <m/>
    <s v="116_802"/>
    <n v="175000"/>
    <m/>
    <n v="1"/>
    <n v="175000"/>
    <n v="0"/>
    <n v="0"/>
    <n v="1"/>
    <x v="0"/>
  </r>
  <r>
    <n v="292"/>
    <n v="116"/>
    <x v="13"/>
    <s v="101"/>
    <n v="130.33000000000001"/>
    <n v="633"/>
    <x v="5"/>
    <s v="店舗"/>
    <n v="376000"/>
    <n v="0"/>
    <n v="0"/>
    <n v="37600"/>
    <n v="413600"/>
    <n v="376000"/>
    <n v="37599.999999999993"/>
    <n v="413600"/>
    <n v="413600"/>
    <s v="日本人等"/>
    <x v="0"/>
    <s v=""/>
    <m/>
    <s v="116_101"/>
    <n v="350000"/>
    <m/>
    <n v="1"/>
    <n v="376000"/>
    <n v="0"/>
    <n v="26000"/>
    <n v="1"/>
    <x v="0"/>
  </r>
  <r>
    <n v="293"/>
    <n v="116"/>
    <x v="13"/>
    <s v="RF1"/>
    <n v="0"/>
    <n v="635"/>
    <x v="2"/>
    <s v="その他"/>
    <n v="12000"/>
    <n v="0"/>
    <n v="0"/>
    <n v="1200"/>
    <n v="13200"/>
    <n v="12000"/>
    <n v="1199.9999999999998"/>
    <n v="13200"/>
    <n v="13200"/>
    <s v="-"/>
    <x v="0"/>
    <s v="LPWA"/>
    <m/>
    <s v="116_RF1"/>
    <n v="0"/>
    <m/>
    <n v="1"/>
    <n v="12000"/>
    <n v="0"/>
    <n v="12000"/>
    <n v="1"/>
    <x v="0"/>
  </r>
  <r>
    <n v="294"/>
    <n v="116"/>
    <x v="13"/>
    <s v="NTF1"/>
    <s v="-"/>
    <n v="639"/>
    <x v="3"/>
    <s v="その他"/>
    <n v="0"/>
    <n v="0"/>
    <n v="0"/>
    <n v="0"/>
    <n v="0"/>
    <n v="0"/>
    <n v="0"/>
    <n v="0"/>
    <n v="0"/>
    <s v="-"/>
    <x v="1"/>
    <s v="フレッツ光"/>
    <m/>
    <s v="116_NTF1"/>
    <n v="0"/>
    <m/>
    <n v="0"/>
    <n v="0"/>
    <n v="0"/>
    <n v="0"/>
    <n v="0"/>
    <x v="0"/>
  </r>
  <r>
    <n v="295"/>
    <n v="117"/>
    <x v="14"/>
    <s v="101"/>
    <n v="89.64"/>
    <n v="631"/>
    <x v="0"/>
    <s v="2SLDK"/>
    <n v="185000"/>
    <n v="5000"/>
    <n v="0"/>
    <n v="0"/>
    <n v="190000"/>
    <n v="190000"/>
    <n v="0"/>
    <n v="190000"/>
    <n v="190000"/>
    <s v="日本人等"/>
    <x v="0"/>
    <s v=""/>
    <m/>
    <s v="117_101"/>
    <n v="190000"/>
    <m/>
    <n v="1"/>
    <n v="190000"/>
    <n v="0"/>
    <n v="0"/>
    <n v="1"/>
    <x v="0"/>
  </r>
  <r>
    <n v="296"/>
    <n v="117"/>
    <x v="14"/>
    <s v="B101"/>
    <n v="89.64"/>
    <n v="631"/>
    <x v="0"/>
    <s v="2SLDK"/>
    <n v="160000"/>
    <n v="5000"/>
    <n v="0"/>
    <n v="0"/>
    <n v="165000"/>
    <n v="165000"/>
    <n v="0"/>
    <n v="165000"/>
    <n v="165000"/>
    <s v="住居法人契約"/>
    <x v="0"/>
    <s v=""/>
    <m/>
    <s v="117_B101"/>
    <n v="165000"/>
    <m/>
    <n v="1"/>
    <n v="165000"/>
    <n v="0"/>
    <n v="0"/>
    <n v="1"/>
    <x v="0"/>
  </r>
  <r>
    <n v="297"/>
    <n v="117"/>
    <x v="14"/>
    <s v="201"/>
    <n v="31.98"/>
    <n v="631"/>
    <x v="0"/>
    <s v="2K"/>
    <n v="84000"/>
    <n v="4000"/>
    <n v="0"/>
    <n v="0"/>
    <n v="88000"/>
    <n v="88000"/>
    <n v="0"/>
    <n v="88000"/>
    <n v="88000"/>
    <s v="中華系"/>
    <x v="0"/>
    <s v=""/>
    <m/>
    <s v="117_201"/>
    <n v="83000"/>
    <m/>
    <n v="1"/>
    <n v="88000"/>
    <n v="0"/>
    <n v="5000"/>
    <n v="1"/>
    <x v="0"/>
  </r>
  <r>
    <n v="298"/>
    <n v="117"/>
    <x v="14"/>
    <s v="202"/>
    <n v="28.84"/>
    <n v="631"/>
    <x v="0"/>
    <s v="2K"/>
    <n v="78000"/>
    <n v="5000"/>
    <n v="0"/>
    <n v="0"/>
    <n v="83000"/>
    <n v="78000"/>
    <n v="0"/>
    <n v="78000"/>
    <n v="83000"/>
    <s v="日本人等"/>
    <x v="0"/>
    <s v=""/>
    <m/>
    <s v="117_202"/>
    <n v="80000"/>
    <m/>
    <n v="1"/>
    <n v="83000"/>
    <n v="-5000"/>
    <n v="3000"/>
    <n v="1"/>
    <x v="0"/>
  </r>
  <r>
    <n v="299"/>
    <n v="117"/>
    <x v="14"/>
    <s v="203"/>
    <n v="28.84"/>
    <n v="631"/>
    <x v="0"/>
    <s v="2K"/>
    <n v="80000"/>
    <n v="5000"/>
    <n v="0"/>
    <n v="0"/>
    <n v="85000"/>
    <n v="84000"/>
    <n v="0"/>
    <n v="84000"/>
    <n v="85000"/>
    <s v="日本人等"/>
    <x v="0"/>
    <s v=""/>
    <m/>
    <s v="117_203"/>
    <n v="79000"/>
    <m/>
    <n v="1"/>
    <n v="85000"/>
    <n v="-1000"/>
    <n v="6000"/>
    <n v="1"/>
    <x v="0"/>
  </r>
  <r>
    <n v="300"/>
    <n v="117"/>
    <x v="14"/>
    <s v="301"/>
    <n v="16.78"/>
    <n v="631"/>
    <x v="0"/>
    <s v="1R"/>
    <n v="67000"/>
    <n v="2000"/>
    <n v="0"/>
    <n v="0"/>
    <n v="69000"/>
    <n v="69000"/>
    <n v="0"/>
    <n v="69000"/>
    <n v="69000"/>
    <s v="日本人等"/>
    <x v="0"/>
    <s v=""/>
    <m/>
    <s v="117_301"/>
    <n v="69000"/>
    <m/>
    <n v="1"/>
    <n v="69000"/>
    <n v="0"/>
    <n v="0"/>
    <n v="1"/>
    <x v="0"/>
  </r>
  <r>
    <n v="301"/>
    <n v="117"/>
    <x v="14"/>
    <s v="302"/>
    <n v="27.31"/>
    <n v="631"/>
    <x v="0"/>
    <s v="2K"/>
    <n v="80000"/>
    <n v="3000"/>
    <n v="0"/>
    <n v="0"/>
    <n v="83000"/>
    <n v="82000"/>
    <n v="0"/>
    <n v="82000"/>
    <n v="83000"/>
    <s v="日本人等"/>
    <x v="0"/>
    <s v=""/>
    <m/>
    <s v="117_302"/>
    <n v="81000"/>
    <m/>
    <n v="1"/>
    <n v="83000"/>
    <n v="-1000"/>
    <n v="2000"/>
    <n v="1"/>
    <x v="0"/>
  </r>
  <r>
    <n v="302"/>
    <n v="117"/>
    <x v="14"/>
    <s v="303"/>
    <n v="27.31"/>
    <n v="631"/>
    <x v="0"/>
    <s v="2K"/>
    <n v="81000"/>
    <n v="2000"/>
    <n v="0"/>
    <n v="0"/>
    <n v="83000"/>
    <n v="83000"/>
    <n v="0"/>
    <n v="83000"/>
    <n v="83000"/>
    <s v="日本人等"/>
    <x v="0"/>
    <s v=""/>
    <m/>
    <s v="117_303"/>
    <n v="83000"/>
    <m/>
    <n v="1"/>
    <n v="83000"/>
    <n v="0"/>
    <n v="0"/>
    <n v="1"/>
    <x v="0"/>
  </r>
  <r>
    <n v="303"/>
    <n v="117"/>
    <x v="14"/>
    <s v="P1"/>
    <n v="0"/>
    <n v="634"/>
    <x v="4"/>
    <s v="駐車場"/>
    <n v="0"/>
    <n v="0"/>
    <n v="0"/>
    <n v="0"/>
    <n v="0"/>
    <n v="13000"/>
    <n v="1300"/>
    <n v="14300"/>
    <n v="14300"/>
    <s v="法人契約"/>
    <x v="0"/>
    <s v="一時的な空室"/>
    <m/>
    <s v="117_P1"/>
    <n v="14300"/>
    <m/>
    <n v="0"/>
    <n v="13000"/>
    <n v="0"/>
    <n v="-1300"/>
    <n v="1"/>
    <x v="0"/>
  </r>
  <r>
    <n v="304"/>
    <n v="120"/>
    <x v="15"/>
    <s v="101"/>
    <n v="23.07"/>
    <n v="631"/>
    <x v="0"/>
    <s v="1R"/>
    <n v="75000"/>
    <n v="0"/>
    <n v="0"/>
    <n v="0"/>
    <n v="75000"/>
    <n v="75000"/>
    <n v="0"/>
    <n v="75000"/>
    <n v="75000"/>
    <s v="日本人等"/>
    <x v="0"/>
    <s v=""/>
    <m/>
    <s v="120_101"/>
    <n v="75000"/>
    <m/>
    <n v="1"/>
    <n v="75000"/>
    <n v="0"/>
    <n v="0"/>
    <n v="1"/>
    <x v="0"/>
  </r>
  <r>
    <n v="305"/>
    <n v="120"/>
    <x v="15"/>
    <s v="102"/>
    <n v="26.94"/>
    <n v="631"/>
    <x v="0"/>
    <s v="1DK"/>
    <n v="70000"/>
    <n v="0"/>
    <n v="0"/>
    <n v="0"/>
    <n v="70000"/>
    <n v="70000"/>
    <n v="0"/>
    <n v="70000"/>
    <n v="70000"/>
    <s v="日本人等"/>
    <x v="0"/>
    <s v=""/>
    <m/>
    <s v="120_102"/>
    <n v="70000"/>
    <m/>
    <n v="1"/>
    <n v="70000"/>
    <n v="0"/>
    <n v="0"/>
    <n v="1"/>
    <x v="0"/>
  </r>
  <r>
    <n v="306"/>
    <n v="120"/>
    <x v="15"/>
    <s v="103"/>
    <n v="33.450000000000003"/>
    <n v="631"/>
    <x v="0"/>
    <s v="1DK"/>
    <n v="79000"/>
    <n v="4000"/>
    <n v="0"/>
    <n v="0"/>
    <n v="83000"/>
    <n v="83000"/>
    <n v="0"/>
    <n v="83000"/>
    <n v="83000"/>
    <s v="日本人等"/>
    <x v="0"/>
    <s v=""/>
    <m/>
    <s v="120_103"/>
    <n v="89000"/>
    <m/>
    <n v="1"/>
    <n v="83000"/>
    <n v="0"/>
    <n v="-6000"/>
    <n v="1"/>
    <x v="0"/>
  </r>
  <r>
    <n v="307"/>
    <n v="120"/>
    <x v="15"/>
    <s v="201"/>
    <n v="43.83"/>
    <n v="631"/>
    <x v="0"/>
    <s v="1LDK"/>
    <n v="102000"/>
    <n v="3000"/>
    <n v="0"/>
    <n v="0"/>
    <n v="105000"/>
    <n v="103000"/>
    <n v="0"/>
    <n v="103000"/>
    <n v="105000"/>
    <s v="日本人等"/>
    <x v="0"/>
    <s v=""/>
    <m/>
    <s v="120_201"/>
    <n v="103000"/>
    <m/>
    <n v="1"/>
    <n v="105000"/>
    <n v="-2000"/>
    <n v="2000"/>
    <n v="1"/>
    <x v="0"/>
  </r>
  <r>
    <n v="308"/>
    <n v="120"/>
    <x v="15"/>
    <s v="202"/>
    <n v="26.94"/>
    <n v="631"/>
    <x v="0"/>
    <s v="1DK"/>
    <n v="75000"/>
    <n v="0"/>
    <n v="0"/>
    <n v="0"/>
    <n v="75000"/>
    <n v="75000"/>
    <n v="0"/>
    <n v="75000"/>
    <n v="75000"/>
    <s v="日本人等"/>
    <x v="0"/>
    <s v=""/>
    <m/>
    <s v="120_202"/>
    <n v="75000"/>
    <m/>
    <n v="1"/>
    <n v="75000"/>
    <n v="0"/>
    <n v="0"/>
    <n v="1"/>
    <x v="0"/>
  </r>
  <r>
    <n v="309"/>
    <n v="120"/>
    <x v="15"/>
    <s v="203"/>
    <n v="33.450000000000003"/>
    <n v="631"/>
    <x v="0"/>
    <s v="1DK"/>
    <n v="87000"/>
    <n v="3000"/>
    <n v="0"/>
    <n v="0"/>
    <n v="90000"/>
    <n v="90000"/>
    <n v="0"/>
    <n v="90000"/>
    <n v="90000"/>
    <s v="日本人等"/>
    <x v="0"/>
    <s v=""/>
    <m/>
    <s v="120_203"/>
    <n v="103000"/>
    <m/>
    <n v="1"/>
    <n v="90000"/>
    <n v="0"/>
    <n v="-13000"/>
    <n v="1"/>
    <x v="0"/>
  </r>
  <r>
    <n v="310"/>
    <n v="120"/>
    <x v="15"/>
    <s v="301"/>
    <n v="38.04"/>
    <n v="631"/>
    <x v="0"/>
    <s v="1DK"/>
    <n v="105000"/>
    <n v="0"/>
    <n v="0"/>
    <n v="0"/>
    <n v="105000"/>
    <n v="105000"/>
    <n v="0"/>
    <n v="105000"/>
    <n v="105000"/>
    <s v="日本人等"/>
    <x v="0"/>
    <s v=""/>
    <m/>
    <s v="120_301"/>
    <n v="105000"/>
    <m/>
    <n v="1"/>
    <n v="105000"/>
    <n v="0"/>
    <n v="0"/>
    <n v="1"/>
    <x v="0"/>
  </r>
  <r>
    <n v="311"/>
    <n v="120"/>
    <x v="15"/>
    <s v="302"/>
    <n v="51.96"/>
    <n v="631"/>
    <x v="0"/>
    <s v="2LDK"/>
    <n v="120000"/>
    <n v="5000"/>
    <n v="0"/>
    <n v="0"/>
    <n v="125000"/>
    <n v="125000"/>
    <n v="0"/>
    <n v="125000"/>
    <n v="125000"/>
    <s v="日本人等"/>
    <x v="0"/>
    <s v=""/>
    <m/>
    <s v="120_302"/>
    <n v="136000"/>
    <m/>
    <n v="1"/>
    <n v="125000"/>
    <n v="0"/>
    <n v="-11000"/>
    <n v="1"/>
    <x v="0"/>
  </r>
  <r>
    <n v="312"/>
    <n v="120"/>
    <x v="15"/>
    <s v="401"/>
    <n v="51.4"/>
    <n v="631"/>
    <x v="0"/>
    <s v="2LDK"/>
    <n v="136000"/>
    <n v="4000"/>
    <n v="0"/>
    <n v="0"/>
    <n v="140000"/>
    <n v="140000"/>
    <n v="0"/>
    <n v="140000"/>
    <n v="140000"/>
    <s v="日本人等"/>
    <x v="0"/>
    <s v=""/>
    <m/>
    <s v="120_401"/>
    <n v="138000"/>
    <m/>
    <n v="1"/>
    <n v="140000"/>
    <n v="0"/>
    <n v="2000"/>
    <n v="1"/>
    <x v="0"/>
  </r>
  <r>
    <n v="313"/>
    <n v="120"/>
    <x v="15"/>
    <s v="TD1"/>
    <s v="-"/>
    <n v="639"/>
    <x v="3"/>
    <s v="その他"/>
    <n v="0"/>
    <n v="0"/>
    <n v="0"/>
    <n v="0"/>
    <n v="0"/>
    <n v="0"/>
    <n v="0"/>
    <n v="0"/>
    <n v="0"/>
    <s v="-"/>
    <x v="1"/>
    <s v="電柱"/>
    <m/>
    <s v="120_TD1"/>
    <n v="0"/>
    <m/>
    <n v="0"/>
    <n v="0"/>
    <n v="0"/>
    <n v="0"/>
    <n v="0"/>
    <x v="0"/>
  </r>
  <r>
    <n v="314"/>
    <n v="120"/>
    <x v="15"/>
    <s v="VND1"/>
    <s v="-"/>
    <n v="637"/>
    <x v="7"/>
    <s v="自販機"/>
    <n v="0"/>
    <n v="0"/>
    <n v="0"/>
    <n v="0"/>
    <n v="0"/>
    <n v="0"/>
    <n v="0"/>
    <n v="0"/>
    <n v="0"/>
    <s v="-"/>
    <x v="0"/>
    <m/>
    <m/>
    <s v="120_VND1"/>
    <n v="0"/>
    <m/>
    <n v="0"/>
    <n v="0"/>
    <n v="0"/>
    <n v="0"/>
    <n v="0"/>
    <x v="0"/>
  </r>
  <r>
    <n v="315"/>
    <n v="221"/>
    <x v="16"/>
    <s v="724"/>
    <n v="15.4"/>
    <n v="632"/>
    <x v="1"/>
    <s v="1R"/>
    <n v="0"/>
    <n v="0"/>
    <n v="0"/>
    <n v="0"/>
    <n v="0"/>
    <n v="35000"/>
    <n v="0"/>
    <n v="35000"/>
    <n v="35000"/>
    <s v="-"/>
    <x v="0"/>
    <s v="一時的な空室"/>
    <m/>
    <s v="221_724"/>
    <n v="35000"/>
    <m/>
    <n v="0"/>
    <n v="35000"/>
    <n v="0"/>
    <n v="0"/>
    <n v="1"/>
    <x v="0"/>
  </r>
  <r>
    <n v="316"/>
    <n v="222"/>
    <x v="17"/>
    <s v="201"/>
    <n v="76.5"/>
    <n v="631"/>
    <x v="0"/>
    <s v="2LDK"/>
    <n v="0"/>
    <n v="0"/>
    <n v="0"/>
    <n v="0"/>
    <n v="0"/>
    <n v="295000"/>
    <n v="0"/>
    <n v="295000"/>
    <n v="295000"/>
    <s v="-"/>
    <x v="1"/>
    <s v="自己利用社宅"/>
    <m/>
    <s v="222_201"/>
    <n v="295000"/>
    <m/>
    <n v="0"/>
    <n v="295000"/>
    <n v="0"/>
    <n v="0"/>
    <n v="1"/>
    <x v="0"/>
  </r>
  <r>
    <n v="317"/>
    <n v="121"/>
    <x v="18"/>
    <n v="101"/>
    <n v="76.5"/>
    <n v="631"/>
    <x v="0"/>
    <s v="2LDK"/>
    <n v="330000"/>
    <n v="0"/>
    <n v="0"/>
    <n v="0"/>
    <n v="330000"/>
    <n v="330000"/>
    <n v="0"/>
    <n v="330000"/>
    <n v="330000"/>
    <s v="日本人等"/>
    <x v="0"/>
    <m/>
    <m/>
    <s v="222_201"/>
    <n v="330000"/>
    <m/>
    <n v="1"/>
    <n v="330000"/>
    <n v="0"/>
    <n v="0"/>
    <n v="1"/>
    <x v="0"/>
  </r>
  <r>
    <n v="318"/>
    <n v="122"/>
    <x v="19"/>
    <n v="101"/>
    <n v="76.5"/>
    <n v="631"/>
    <x v="0"/>
    <s v="2LDK"/>
    <n v="160000"/>
    <n v="0"/>
    <n v="0"/>
    <n v="0"/>
    <n v="160000"/>
    <n v="160000"/>
    <n v="0"/>
    <n v="160000"/>
    <n v="160000"/>
    <s v="日本人等"/>
    <x v="0"/>
    <m/>
    <m/>
    <s v="222_201"/>
    <n v="160000"/>
    <m/>
    <n v="1"/>
    <n v="160000"/>
    <n v="0"/>
    <n v="0"/>
    <n v="1"/>
    <x v="0"/>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n v="1"/>
    <n v="101"/>
    <x v="0"/>
    <s v="101"/>
    <n v="16.89"/>
    <n v="631"/>
    <x v="0"/>
    <s v="1K"/>
    <n v="62000"/>
    <n v="3000"/>
    <n v="0"/>
    <n v="0"/>
    <n v="65000"/>
    <n v="65000"/>
    <n v="0"/>
    <n v="65000"/>
    <n v="65000"/>
    <s v="日本人等"/>
    <s v="yes"/>
    <s v=""/>
    <m/>
    <s v="101_101"/>
    <n v="65000"/>
    <m/>
    <n v="1"/>
    <n v="65000"/>
    <n v="0"/>
    <n v="0"/>
    <n v="1"/>
    <x v="0"/>
  </r>
  <r>
    <n v="2"/>
    <n v="101"/>
    <x v="0"/>
    <s v="102"/>
    <n v="16.75"/>
    <n v="631"/>
    <x v="0"/>
    <s v="1K"/>
    <n v="62000"/>
    <n v="3000"/>
    <n v="0"/>
    <n v="0"/>
    <n v="65000"/>
    <n v="65000"/>
    <n v="0"/>
    <n v="65000"/>
    <n v="65000"/>
    <s v="日本人等"/>
    <s v="yes"/>
    <s v=""/>
    <m/>
    <s v="101_102"/>
    <n v="61000"/>
    <m/>
    <n v="1"/>
    <n v="65000"/>
    <n v="0"/>
    <n v="4000"/>
    <n v="1"/>
    <x v="0"/>
  </r>
  <r>
    <n v="3"/>
    <n v="101"/>
    <x v="0"/>
    <s v="103"/>
    <n v="16.600000000000001"/>
    <n v="631"/>
    <x v="0"/>
    <s v="1K"/>
    <n v="69800"/>
    <n v="0"/>
    <n v="0"/>
    <n v="0"/>
    <n v="69800"/>
    <n v="69800"/>
    <n v="0"/>
    <n v="69800"/>
    <n v="69800"/>
    <s v="日本人等"/>
    <s v="yes"/>
    <s v=""/>
    <m/>
    <s v="101_103"/>
    <n v="66000"/>
    <m/>
    <n v="1"/>
    <n v="69800"/>
    <n v="0"/>
    <n v="3800"/>
    <n v="1"/>
    <x v="0"/>
  </r>
  <r>
    <n v="4"/>
    <n v="101"/>
    <x v="0"/>
    <s v="105"/>
    <n v="16.739999999999998"/>
    <n v="631"/>
    <x v="0"/>
    <s v="1K"/>
    <n v="60000"/>
    <n v="3000"/>
    <n v="0"/>
    <n v="0"/>
    <n v="63000"/>
    <n v="70000"/>
    <n v="0"/>
    <n v="70000"/>
    <n v="63000"/>
    <s v="法人契約"/>
    <s v="yes"/>
    <s v=""/>
    <m/>
    <s v="101_105"/>
    <n v="62000"/>
    <m/>
    <n v="1"/>
    <n v="63000"/>
    <n v="7000"/>
    <n v="1000"/>
    <n v="1"/>
    <x v="0"/>
  </r>
  <r>
    <n v="5"/>
    <n v="101"/>
    <x v="0"/>
    <s v="106"/>
    <n v="16.739999999999998"/>
    <n v="631"/>
    <x v="0"/>
    <s v="1K"/>
    <n v="64000"/>
    <n v="3000"/>
    <n v="0"/>
    <n v="0"/>
    <n v="67000"/>
    <n v="67000"/>
    <n v="0"/>
    <n v="67000"/>
    <n v="67000"/>
    <s v="中華系"/>
    <s v="yes"/>
    <s v=""/>
    <m/>
    <s v="101_106"/>
    <n v="65000"/>
    <m/>
    <n v="1"/>
    <n v="67000"/>
    <n v="0"/>
    <n v="2000"/>
    <n v="1"/>
    <x v="0"/>
  </r>
  <r>
    <n v="6"/>
    <n v="101"/>
    <x v="0"/>
    <s v="201"/>
    <n v="16.53"/>
    <n v="631"/>
    <x v="0"/>
    <s v="1K"/>
    <n v="56000"/>
    <n v="3000"/>
    <n v="0"/>
    <n v="0"/>
    <n v="59000"/>
    <n v="67000"/>
    <n v="0"/>
    <n v="67000"/>
    <n v="59000"/>
    <s v="日本人等"/>
    <s v="yes"/>
    <s v=""/>
    <m/>
    <s v="101_201"/>
    <n v="67000"/>
    <m/>
    <n v="1"/>
    <n v="59000"/>
    <n v="8000"/>
    <n v="-8000"/>
    <n v="1"/>
    <x v="0"/>
  </r>
  <r>
    <n v="7"/>
    <n v="101"/>
    <x v="0"/>
    <s v="202"/>
    <n v="16.75"/>
    <n v="631"/>
    <x v="0"/>
    <s v="1K"/>
    <n v="62000"/>
    <n v="3000"/>
    <n v="0"/>
    <n v="0"/>
    <n v="65000"/>
    <n v="65000"/>
    <n v="0"/>
    <n v="65000"/>
    <n v="65000"/>
    <s v="住居法人契約"/>
    <s v="yes"/>
    <s v=""/>
    <m/>
    <s v="101_202"/>
    <n v="65000"/>
    <m/>
    <n v="1"/>
    <n v="65000"/>
    <n v="0"/>
    <n v="0"/>
    <n v="1"/>
    <x v="0"/>
  </r>
  <r>
    <n v="8"/>
    <n v="101"/>
    <x v="0"/>
    <s v="203"/>
    <n v="16.600000000000001"/>
    <n v="631"/>
    <x v="0"/>
    <s v="1K"/>
    <n v="63000"/>
    <n v="3000"/>
    <n v="0"/>
    <n v="0"/>
    <n v="66000"/>
    <n v="70000"/>
    <n v="0"/>
    <n v="70000"/>
    <n v="66000"/>
    <s v="日本人等"/>
    <s v="yes"/>
    <s v=""/>
    <m/>
    <s v="101_203"/>
    <n v="67000"/>
    <m/>
    <n v="1"/>
    <n v="66000"/>
    <n v="4000"/>
    <n v="-1000"/>
    <n v="1"/>
    <x v="0"/>
  </r>
  <r>
    <n v="9"/>
    <n v="101"/>
    <x v="0"/>
    <s v="205"/>
    <n v="16.739999999999998"/>
    <n v="631"/>
    <x v="0"/>
    <s v="1K"/>
    <n v="63000"/>
    <n v="3000"/>
    <n v="0"/>
    <n v="0"/>
    <n v="66000"/>
    <n v="68000"/>
    <n v="0"/>
    <n v="68000"/>
    <n v="66000"/>
    <s v="日本人等"/>
    <s v="yes"/>
    <s v=""/>
    <m/>
    <s v="101_205"/>
    <n v="67000"/>
    <m/>
    <n v="1"/>
    <n v="66000"/>
    <n v="2000"/>
    <n v="-1000"/>
    <n v="1"/>
    <x v="0"/>
  </r>
  <r>
    <n v="10"/>
    <n v="101"/>
    <x v="0"/>
    <s v="301"/>
    <n v="16.559999999999999"/>
    <n v="631"/>
    <x v="0"/>
    <s v="1K"/>
    <n v="62000"/>
    <n v="0"/>
    <n v="0"/>
    <n v="0"/>
    <n v="62000"/>
    <n v="62000"/>
    <n v="0"/>
    <n v="62000"/>
    <n v="62000"/>
    <s v="日本人等"/>
    <s v="yes"/>
    <s v=""/>
    <m/>
    <s v="101_301"/>
    <n v="62000"/>
    <m/>
    <n v="1"/>
    <n v="62000"/>
    <n v="0"/>
    <n v="0"/>
    <n v="1"/>
    <x v="0"/>
  </r>
  <r>
    <n v="11"/>
    <n v="101"/>
    <x v="0"/>
    <s v="302"/>
    <n v="16.559999999999999"/>
    <n v="631"/>
    <x v="0"/>
    <s v="1K"/>
    <n v="63000"/>
    <n v="3000"/>
    <n v="0"/>
    <n v="0"/>
    <n v="66000"/>
    <n v="66000"/>
    <n v="0"/>
    <n v="66000"/>
    <n v="66000"/>
    <s v="日本人等"/>
    <s v="yes"/>
    <s v=""/>
    <m/>
    <s v="101_302"/>
    <n v="65000"/>
    <m/>
    <n v="1"/>
    <n v="66000"/>
    <n v="0"/>
    <n v="1000"/>
    <n v="1"/>
    <x v="0"/>
  </r>
  <r>
    <n v="12"/>
    <n v="101"/>
    <x v="0"/>
    <s v="303"/>
    <n v="16.559999999999999"/>
    <n v="631"/>
    <x v="0"/>
    <s v="1K"/>
    <n v="62000"/>
    <n v="3000"/>
    <n v="0"/>
    <n v="0"/>
    <n v="65000"/>
    <n v="65000"/>
    <n v="0"/>
    <n v="65000"/>
    <n v="65000"/>
    <s v="日本人等"/>
    <s v="yes"/>
    <s v=""/>
    <m/>
    <s v="101_303"/>
    <n v="65000"/>
    <m/>
    <n v="1"/>
    <n v="65000"/>
    <n v="0"/>
    <n v="0"/>
    <n v="1"/>
    <x v="0"/>
  </r>
  <r>
    <n v="13"/>
    <n v="101"/>
    <x v="0"/>
    <s v="305"/>
    <n v="16.77"/>
    <n v="631"/>
    <x v="0"/>
    <s v="1K"/>
    <n v="67000"/>
    <n v="3000"/>
    <n v="0"/>
    <n v="0"/>
    <n v="70000"/>
    <n v="70000"/>
    <n v="0"/>
    <n v="70000"/>
    <n v="70000"/>
    <s v="中華系"/>
    <s v="yes"/>
    <s v=""/>
    <m/>
    <s v="101_305"/>
    <n v="68000"/>
    <m/>
    <n v="1"/>
    <n v="70000"/>
    <n v="0"/>
    <n v="2000"/>
    <n v="1"/>
    <x v="0"/>
  </r>
  <r>
    <n v="14"/>
    <n v="101"/>
    <x v="0"/>
    <s v="306"/>
    <n v="16.53"/>
    <n v="631"/>
    <x v="0"/>
    <s v="1K"/>
    <n v="57000"/>
    <n v="3000"/>
    <n v="0"/>
    <n v="0"/>
    <n v="60000"/>
    <n v="70000"/>
    <n v="0"/>
    <n v="70000"/>
    <n v="60000"/>
    <s v="中華系"/>
    <s v="yes"/>
    <s v=""/>
    <m/>
    <s v="101_306"/>
    <n v="63000"/>
    <m/>
    <n v="1"/>
    <n v="60000"/>
    <n v="10000"/>
    <n v="-3000"/>
    <n v="1"/>
    <x v="0"/>
  </r>
  <r>
    <n v="15"/>
    <n v="101"/>
    <x v="0"/>
    <s v="307"/>
    <n v="16.75"/>
    <n v="631"/>
    <x v="0"/>
    <s v="1K"/>
    <n v="56000"/>
    <n v="3000"/>
    <n v="0"/>
    <n v="0"/>
    <n v="59000"/>
    <n v="65000"/>
    <n v="0"/>
    <n v="65000"/>
    <n v="59000"/>
    <s v="日本人等"/>
    <s v="yes"/>
    <s v=""/>
    <m/>
    <s v="101_307"/>
    <n v="67000"/>
    <m/>
    <n v="1"/>
    <n v="59000"/>
    <n v="6000"/>
    <n v="-8000"/>
    <n v="1"/>
    <x v="0"/>
  </r>
  <r>
    <n v="16"/>
    <n v="101"/>
    <x v="0"/>
    <s v="308"/>
    <n v="16.600000000000001"/>
    <n v="631"/>
    <x v="0"/>
    <s v="1K"/>
    <n v="69000"/>
    <n v="0"/>
    <n v="0"/>
    <n v="0"/>
    <n v="69000"/>
    <n v="69000"/>
    <n v="0"/>
    <n v="69000"/>
    <n v="69000"/>
    <s v="日本人等"/>
    <s v="yes"/>
    <s v=""/>
    <m/>
    <s v="101_308"/>
    <n v="69000"/>
    <m/>
    <n v="1"/>
    <n v="69000"/>
    <n v="0"/>
    <n v="0"/>
    <n v="1"/>
    <x v="0"/>
  </r>
  <r>
    <n v="17"/>
    <n v="101"/>
    <x v="0"/>
    <s v="401"/>
    <n v="16.559999999999999"/>
    <n v="631"/>
    <x v="0"/>
    <s v="1K"/>
    <n v="67000"/>
    <n v="3000"/>
    <n v="0"/>
    <n v="0"/>
    <n v="70000"/>
    <n v="70000"/>
    <n v="0"/>
    <n v="70000"/>
    <n v="70000"/>
    <s v="日本人等"/>
    <s v="yes"/>
    <s v=""/>
    <m/>
    <s v="101_401"/>
    <n v="66000"/>
    <m/>
    <n v="1"/>
    <n v="70000"/>
    <n v="0"/>
    <n v="4000"/>
    <n v="1"/>
    <x v="0"/>
  </r>
  <r>
    <n v="18"/>
    <n v="101"/>
    <x v="0"/>
    <s v="402"/>
    <n v="16.559999999999999"/>
    <n v="631"/>
    <x v="0"/>
    <s v="1K"/>
    <n v="62000"/>
    <n v="2000"/>
    <n v="0"/>
    <n v="0"/>
    <n v="64000"/>
    <n v="64000"/>
    <n v="0"/>
    <n v="64000"/>
    <n v="64000"/>
    <s v="日本人等"/>
    <s v="yes"/>
    <s v=""/>
    <m/>
    <s v="101_402"/>
    <n v="64000"/>
    <m/>
    <n v="1"/>
    <n v="64000"/>
    <n v="0"/>
    <n v="0"/>
    <n v="1"/>
    <x v="0"/>
  </r>
  <r>
    <n v="19"/>
    <n v="101"/>
    <x v="0"/>
    <s v="403"/>
    <n v="16.559999999999999"/>
    <n v="631"/>
    <x v="0"/>
    <s v="1K"/>
    <n v="60000"/>
    <n v="3000"/>
    <n v="0"/>
    <n v="0"/>
    <n v="63000"/>
    <n v="70000"/>
    <n v="0"/>
    <n v="70000"/>
    <n v="63000"/>
    <s v="日本人等"/>
    <s v="yes"/>
    <s v=""/>
    <m/>
    <s v="101_403"/>
    <n v="65000"/>
    <m/>
    <n v="1"/>
    <n v="63000"/>
    <n v="7000"/>
    <n v="-2000"/>
    <n v="1"/>
    <x v="0"/>
  </r>
  <r>
    <n v="20"/>
    <n v="101"/>
    <x v="0"/>
    <s v="405"/>
    <n v="16.77"/>
    <n v="631"/>
    <x v="0"/>
    <s v="1K"/>
    <n v="69000"/>
    <n v="3000"/>
    <n v="0"/>
    <n v="0"/>
    <n v="72000"/>
    <n v="72000"/>
    <n v="0"/>
    <n v="72000"/>
    <n v="72000"/>
    <s v="日本人等"/>
    <s v="yes"/>
    <s v=""/>
    <m/>
    <s v="101_405"/>
    <n v="65000"/>
    <m/>
    <n v="1"/>
    <n v="72000"/>
    <n v="0"/>
    <n v="7000"/>
    <n v="1"/>
    <x v="0"/>
  </r>
  <r>
    <n v="21"/>
    <n v="101"/>
    <x v="0"/>
    <s v="406"/>
    <n v="16.53"/>
    <n v="631"/>
    <x v="0"/>
    <s v="1K"/>
    <n v="62000"/>
    <n v="3000"/>
    <n v="0"/>
    <n v="0"/>
    <n v="65000"/>
    <n v="70000"/>
    <n v="0"/>
    <n v="70000"/>
    <n v="65000"/>
    <s v="日本人等"/>
    <s v="yes"/>
    <s v=""/>
    <m/>
    <s v="101_406"/>
    <n v="70000"/>
    <m/>
    <n v="1"/>
    <n v="65000"/>
    <n v="5000"/>
    <n v="-5000"/>
    <n v="1"/>
    <x v="0"/>
  </r>
  <r>
    <n v="22"/>
    <n v="101"/>
    <x v="0"/>
    <s v="407"/>
    <n v="17.829999999999998"/>
    <n v="631"/>
    <x v="0"/>
    <s v="1K"/>
    <n v="67000"/>
    <n v="0"/>
    <n v="0"/>
    <n v="0"/>
    <n v="67000"/>
    <n v="67000"/>
    <n v="0"/>
    <n v="67000"/>
    <n v="67000"/>
    <s v="日本人等"/>
    <s v="yes"/>
    <s v=""/>
    <m/>
    <s v="101_407"/>
    <n v="67000"/>
    <m/>
    <n v="1"/>
    <n v="67000"/>
    <n v="0"/>
    <n v="0"/>
    <n v="1"/>
    <x v="0"/>
  </r>
  <r>
    <n v="23"/>
    <n v="101"/>
    <x v="0"/>
    <s v="100"/>
    <n v="104.58"/>
    <n v="632"/>
    <x v="1"/>
    <s v="事務所"/>
    <n v="275000"/>
    <n v="0"/>
    <n v="0"/>
    <n v="27500"/>
    <n v="302500"/>
    <n v="275000"/>
    <n v="27500"/>
    <n v="302500"/>
    <n v="302500"/>
    <s v="法人契約"/>
    <s v="yes"/>
    <s v=""/>
    <m/>
    <s v="101_100"/>
    <n v="250000"/>
    <m/>
    <n v="1"/>
    <n v="275000"/>
    <n v="0"/>
    <n v="25000"/>
    <n v="1"/>
    <x v="0"/>
  </r>
  <r>
    <n v="24"/>
    <n v="101"/>
    <x v="0"/>
    <s v="RF1"/>
    <n v="0"/>
    <n v="635"/>
    <x v="2"/>
    <s v="その他"/>
    <n v="90000"/>
    <n v="0"/>
    <n v="0"/>
    <n v="9000"/>
    <n v="99000"/>
    <n v="90000"/>
    <n v="9000"/>
    <n v="99000"/>
    <n v="99000"/>
    <s v="-"/>
    <s v="yes"/>
    <s v="楽天"/>
    <m/>
    <s v="101_RF1"/>
    <n v="0"/>
    <m/>
    <n v="1"/>
    <n v="90000"/>
    <n v="0"/>
    <n v="90000"/>
    <n v="1"/>
    <x v="0"/>
  </r>
  <r>
    <n v="25"/>
    <n v="101"/>
    <x v="0"/>
    <s v="NTF1"/>
    <s v="-"/>
    <n v="639"/>
    <x v="3"/>
    <s v="その他"/>
    <n v="0"/>
    <n v="0"/>
    <n v="0"/>
    <n v="0"/>
    <n v="0"/>
    <n v="0"/>
    <n v="0"/>
    <n v="0"/>
    <n v="0"/>
    <s v="-"/>
    <s v="no"/>
    <s v="フレッツ光"/>
    <m/>
    <s v="101_NTF1"/>
    <n v="0"/>
    <m/>
    <n v="0"/>
    <n v="0"/>
    <n v="0"/>
    <n v="0"/>
    <n v="0"/>
    <x v="0"/>
  </r>
  <r>
    <n v="26"/>
    <n v="102"/>
    <x v="1"/>
    <s v="101"/>
    <n v="23.95"/>
    <n v="631"/>
    <x v="0"/>
    <s v="1K"/>
    <n v="73000"/>
    <n v="7000"/>
    <n v="0"/>
    <n v="0"/>
    <n v="80000"/>
    <n v="80000"/>
    <n v="0"/>
    <n v="80000"/>
    <n v="80000"/>
    <s v="日本人等"/>
    <s v="yes"/>
    <s v=""/>
    <m/>
    <s v="102_101"/>
    <n v="63000"/>
    <m/>
    <n v="1"/>
    <n v="80000"/>
    <n v="0"/>
    <n v="17000"/>
    <n v="1"/>
    <x v="0"/>
  </r>
  <r>
    <n v="27"/>
    <n v="102"/>
    <x v="1"/>
    <s v="102"/>
    <n v="20.079999999999998"/>
    <n v="631"/>
    <x v="0"/>
    <s v="1K"/>
    <n v="55000"/>
    <n v="7000"/>
    <n v="0"/>
    <n v="0"/>
    <n v="62000"/>
    <n v="62000"/>
    <n v="0"/>
    <n v="62000"/>
    <n v="62000"/>
    <s v="日本人等"/>
    <s v="yes"/>
    <s v=""/>
    <m/>
    <s v="102_102"/>
    <n v="62000"/>
    <m/>
    <n v="1"/>
    <n v="62000"/>
    <n v="0"/>
    <n v="0"/>
    <n v="1"/>
    <x v="0"/>
  </r>
  <r>
    <n v="28"/>
    <n v="102"/>
    <x v="1"/>
    <s v="103"/>
    <n v="23.25"/>
    <n v="631"/>
    <x v="0"/>
    <s v="1K"/>
    <n v="70000"/>
    <n v="7000"/>
    <n v="0"/>
    <n v="0"/>
    <n v="77000"/>
    <n v="77000"/>
    <n v="0"/>
    <n v="77000"/>
    <n v="77000"/>
    <s v="中華系"/>
    <s v="yes"/>
    <s v=""/>
    <m/>
    <s v="102_103"/>
    <n v="68000"/>
    <m/>
    <n v="1"/>
    <n v="77000"/>
    <n v="0"/>
    <n v="9000"/>
    <n v="1"/>
    <x v="0"/>
  </r>
  <r>
    <n v="29"/>
    <n v="102"/>
    <x v="1"/>
    <s v="105"/>
    <n v="23.25"/>
    <n v="631"/>
    <x v="0"/>
    <s v="1K"/>
    <n v="72000"/>
    <n v="7000"/>
    <n v="0"/>
    <n v="0"/>
    <n v="79000"/>
    <n v="79000"/>
    <n v="0"/>
    <n v="79000"/>
    <n v="79000"/>
    <s v="中華系"/>
    <s v="yes"/>
    <s v=""/>
    <m/>
    <s v="102_105"/>
    <n v="67000"/>
    <m/>
    <n v="1"/>
    <n v="79000"/>
    <n v="0"/>
    <n v="12000"/>
    <n v="1"/>
    <x v="0"/>
  </r>
  <r>
    <n v="30"/>
    <n v="102"/>
    <x v="1"/>
    <s v="106"/>
    <n v="27.3"/>
    <n v="631"/>
    <x v="0"/>
    <s v="1K"/>
    <n v="73000"/>
    <n v="7000"/>
    <n v="0"/>
    <n v="0"/>
    <n v="80000"/>
    <n v="80000"/>
    <n v="0"/>
    <n v="80000"/>
    <n v="80000"/>
    <s v="中華系"/>
    <s v="yes"/>
    <s v=""/>
    <m/>
    <s v="102_106"/>
    <n v="75000"/>
    <m/>
    <n v="1"/>
    <n v="80000"/>
    <n v="0"/>
    <n v="5000"/>
    <n v="1"/>
    <x v="0"/>
  </r>
  <r>
    <n v="31"/>
    <n v="102"/>
    <x v="1"/>
    <s v="107"/>
    <n v="27.3"/>
    <n v="631"/>
    <x v="0"/>
    <s v="1K"/>
    <n v="78000"/>
    <n v="7000"/>
    <n v="0"/>
    <n v="0"/>
    <n v="85000"/>
    <n v="85000"/>
    <n v="0"/>
    <n v="85000"/>
    <n v="85000"/>
    <s v="日本人等"/>
    <s v="yes"/>
    <s v=""/>
    <m/>
    <s v="102_107"/>
    <n v="70000"/>
    <m/>
    <n v="1"/>
    <n v="85000"/>
    <n v="0"/>
    <n v="15000"/>
    <n v="1"/>
    <x v="0"/>
  </r>
  <r>
    <n v="32"/>
    <n v="102"/>
    <x v="1"/>
    <s v="108"/>
    <n v="22.98"/>
    <n v="631"/>
    <x v="0"/>
    <s v="1K"/>
    <n v="68000"/>
    <n v="7000"/>
    <n v="0"/>
    <n v="0"/>
    <n v="75000"/>
    <n v="75000"/>
    <n v="0"/>
    <n v="75000"/>
    <n v="75000"/>
    <s v="日本人等"/>
    <s v="yes"/>
    <s v=""/>
    <m/>
    <s v="102_108"/>
    <n v="64000"/>
    <m/>
    <n v="1"/>
    <n v="75000"/>
    <n v="0"/>
    <n v="11000"/>
    <n v="1"/>
    <x v="0"/>
  </r>
  <r>
    <n v="33"/>
    <n v="102"/>
    <x v="1"/>
    <s v="109"/>
    <n v="22.98"/>
    <n v="631"/>
    <x v="0"/>
    <s v="1K"/>
    <n v="61000"/>
    <n v="7000"/>
    <n v="0"/>
    <n v="0"/>
    <n v="68000"/>
    <n v="76000"/>
    <n v="0"/>
    <n v="76000"/>
    <n v="68000"/>
    <s v="日本人等"/>
    <s v="yes"/>
    <s v=""/>
    <m/>
    <s v="102_109"/>
    <n v="66000"/>
    <m/>
    <n v="1"/>
    <n v="68000"/>
    <n v="8000"/>
    <n v="2000"/>
    <n v="1"/>
    <x v="0"/>
  </r>
  <r>
    <n v="34"/>
    <n v="102"/>
    <x v="1"/>
    <s v="110"/>
    <n v="23.27"/>
    <n v="631"/>
    <x v="0"/>
    <s v="1K"/>
    <n v="61000"/>
    <n v="7000"/>
    <n v="0"/>
    <n v="0"/>
    <n v="68000"/>
    <n v="68000"/>
    <n v="0"/>
    <n v="68000"/>
    <n v="68000"/>
    <s v="日本人等"/>
    <s v="yes"/>
    <s v=""/>
    <m/>
    <s v="102_110"/>
    <n v="68000"/>
    <m/>
    <n v="1"/>
    <n v="68000"/>
    <n v="0"/>
    <n v="0"/>
    <n v="1"/>
    <x v="0"/>
  </r>
  <r>
    <n v="35"/>
    <n v="102"/>
    <x v="1"/>
    <s v="201"/>
    <n v="23.95"/>
    <n v="631"/>
    <x v="0"/>
    <s v="1K"/>
    <n v="70000"/>
    <n v="7000"/>
    <n v="0"/>
    <n v="0"/>
    <n v="77000"/>
    <n v="77000"/>
    <n v="0"/>
    <n v="77000"/>
    <n v="77000"/>
    <s v="日本人等"/>
    <s v="yes"/>
    <s v=""/>
    <m/>
    <s v="102_201"/>
    <n v="93000"/>
    <m/>
    <n v="1"/>
    <n v="77000"/>
    <n v="0"/>
    <n v="-16000"/>
    <n v="1"/>
    <x v="0"/>
  </r>
  <r>
    <n v="36"/>
    <n v="102"/>
    <x v="1"/>
    <s v="202"/>
    <n v="20.079999999999998"/>
    <n v="631"/>
    <x v="0"/>
    <s v="1K"/>
    <n v="75000"/>
    <n v="7000"/>
    <n v="0"/>
    <n v="0"/>
    <n v="82000"/>
    <n v="82000"/>
    <n v="0"/>
    <n v="82000"/>
    <n v="82000"/>
    <s v="中華系"/>
    <s v="yes"/>
    <s v=""/>
    <m/>
    <s v="102_202"/>
    <n v="67000"/>
    <m/>
    <n v="1"/>
    <n v="82000"/>
    <n v="0"/>
    <n v="15000"/>
    <n v="1"/>
    <x v="0"/>
  </r>
  <r>
    <n v="37"/>
    <n v="102"/>
    <x v="1"/>
    <s v="203"/>
    <n v="23.25"/>
    <n v="631"/>
    <x v="0"/>
    <s v="1K"/>
    <n v="73000"/>
    <n v="7000"/>
    <n v="0"/>
    <n v="0"/>
    <n v="80000"/>
    <n v="85000"/>
    <n v="0"/>
    <n v="85000"/>
    <n v="80000"/>
    <s v="日本人等"/>
    <s v="yes"/>
    <s v=""/>
    <m/>
    <s v="102_203"/>
    <n v="77000"/>
    <m/>
    <n v="1"/>
    <n v="80000"/>
    <n v="5000"/>
    <n v="3000"/>
    <n v="1"/>
    <x v="0"/>
  </r>
  <r>
    <n v="38"/>
    <n v="102"/>
    <x v="1"/>
    <s v="205"/>
    <n v="23.25"/>
    <n v="631"/>
    <x v="0"/>
    <s v="1K"/>
    <n v="68000"/>
    <n v="7000"/>
    <n v="0"/>
    <n v="0"/>
    <n v="75000"/>
    <n v="69000"/>
    <n v="0"/>
    <n v="69000"/>
    <n v="75000"/>
    <s v="日本人等"/>
    <s v="yes"/>
    <s v=""/>
    <m/>
    <s v="102_205"/>
    <n v="69000"/>
    <m/>
    <n v="1"/>
    <n v="75000"/>
    <n v="-6000"/>
    <n v="6000"/>
    <n v="1"/>
    <x v="0"/>
  </r>
  <r>
    <n v="39"/>
    <n v="102"/>
    <x v="1"/>
    <s v="206"/>
    <n v="27.3"/>
    <n v="631"/>
    <x v="0"/>
    <s v="1K"/>
    <n v="73000"/>
    <n v="7000"/>
    <n v="0"/>
    <n v="0"/>
    <n v="80000"/>
    <n v="86000"/>
    <n v="0"/>
    <n v="86000"/>
    <n v="80000"/>
    <s v="中華系"/>
    <s v="yes"/>
    <s v=""/>
    <m/>
    <s v="102_206"/>
    <n v="73000"/>
    <m/>
    <n v="1"/>
    <n v="80000"/>
    <n v="6000"/>
    <n v="7000"/>
    <n v="1"/>
    <x v="0"/>
  </r>
  <r>
    <n v="40"/>
    <n v="102"/>
    <x v="1"/>
    <s v="207"/>
    <n v="27.3"/>
    <n v="631"/>
    <x v="0"/>
    <s v="1K"/>
    <n v="82000"/>
    <n v="7000"/>
    <n v="0"/>
    <n v="0"/>
    <n v="89000"/>
    <n v="92000"/>
    <n v="0"/>
    <n v="92000"/>
    <n v="89000"/>
    <s v="中華系"/>
    <s v="yes"/>
    <s v=""/>
    <m/>
    <s v="102_207"/>
    <n v="72000"/>
    <m/>
    <n v="1"/>
    <n v="89000"/>
    <n v="3000"/>
    <n v="17000"/>
    <n v="1"/>
    <x v="0"/>
  </r>
  <r>
    <n v="41"/>
    <n v="102"/>
    <x v="1"/>
    <s v="208"/>
    <n v="22.98"/>
    <n v="631"/>
    <x v="0"/>
    <s v="1K"/>
    <n v="78000"/>
    <n v="7000"/>
    <n v="0"/>
    <n v="0"/>
    <n v="85000"/>
    <n v="85000"/>
    <n v="0"/>
    <n v="85000"/>
    <n v="85000"/>
    <s v="中華系"/>
    <s v="yes"/>
    <s v=""/>
    <m/>
    <s v="102_208"/>
    <n v="76000"/>
    <m/>
    <n v="1"/>
    <n v="85000"/>
    <n v="0"/>
    <n v="9000"/>
    <n v="1"/>
    <x v="0"/>
  </r>
  <r>
    <n v="42"/>
    <n v="102"/>
    <x v="1"/>
    <s v="209"/>
    <n v="22.98"/>
    <n v="631"/>
    <x v="0"/>
    <s v="1K"/>
    <n v="75000"/>
    <n v="7000"/>
    <n v="0"/>
    <n v="0"/>
    <n v="82000"/>
    <n v="82000"/>
    <n v="0"/>
    <n v="82000"/>
    <n v="82000"/>
    <s v="中華系"/>
    <s v="yes"/>
    <s v=""/>
    <m/>
    <s v="102_209"/>
    <n v="69000"/>
    <m/>
    <n v="1"/>
    <n v="82000"/>
    <n v="0"/>
    <n v="13000"/>
    <n v="1"/>
    <x v="0"/>
  </r>
  <r>
    <n v="43"/>
    <n v="102"/>
    <x v="1"/>
    <s v="301"/>
    <n v="23.95"/>
    <n v="631"/>
    <x v="0"/>
    <s v="1K"/>
    <n v="78000"/>
    <n v="7000"/>
    <n v="0"/>
    <n v="0"/>
    <n v="85000"/>
    <n v="85000"/>
    <n v="0"/>
    <n v="85000"/>
    <n v="85000"/>
    <s v="中華系"/>
    <s v="yes"/>
    <s v=""/>
    <m/>
    <s v="102_301"/>
    <n v="75000"/>
    <m/>
    <n v="1"/>
    <n v="85000"/>
    <n v="0"/>
    <n v="10000"/>
    <n v="1"/>
    <x v="0"/>
  </r>
  <r>
    <n v="44"/>
    <n v="102"/>
    <x v="1"/>
    <s v="302"/>
    <n v="20.079999999999998"/>
    <n v="631"/>
    <x v="0"/>
    <s v="1K"/>
    <n v="65000"/>
    <n v="10000"/>
    <n v="0"/>
    <n v="0"/>
    <n v="75000"/>
    <n v="75000"/>
    <n v="0"/>
    <n v="75000"/>
    <n v="75000"/>
    <s v="日本人等"/>
    <s v="yes"/>
    <s v=""/>
    <m/>
    <s v="102_302"/>
    <n v="75000"/>
    <m/>
    <n v="1"/>
    <n v="75000"/>
    <n v="0"/>
    <n v="0"/>
    <n v="1"/>
    <x v="0"/>
  </r>
  <r>
    <n v="45"/>
    <n v="102"/>
    <x v="1"/>
    <s v="303"/>
    <n v="23.25"/>
    <n v="631"/>
    <x v="0"/>
    <s v="1K"/>
    <n v="72000"/>
    <n v="7000"/>
    <n v="0"/>
    <n v="0"/>
    <n v="79000"/>
    <n v="77000"/>
    <n v="0"/>
    <n v="77000"/>
    <n v="79000"/>
    <s v="中華系"/>
    <s v="yes"/>
    <s v=""/>
    <m/>
    <s v="102_303"/>
    <n v="73000"/>
    <m/>
    <n v="1"/>
    <n v="79000"/>
    <n v="-2000"/>
    <n v="6000"/>
    <n v="1"/>
    <x v="0"/>
  </r>
  <r>
    <n v="46"/>
    <n v="102"/>
    <x v="1"/>
    <s v="305"/>
    <n v="23.25"/>
    <n v="631"/>
    <x v="0"/>
    <s v="1K"/>
    <n v="78000"/>
    <n v="7000"/>
    <n v="0"/>
    <n v="0"/>
    <n v="85000"/>
    <n v="85000"/>
    <n v="0"/>
    <n v="85000"/>
    <n v="85000"/>
    <s v="中華系"/>
    <s v="yes"/>
    <s v=""/>
    <m/>
    <s v="102_305"/>
    <n v="73000"/>
    <m/>
    <n v="1"/>
    <n v="85000"/>
    <n v="0"/>
    <n v="12000"/>
    <n v="1"/>
    <x v="0"/>
  </r>
  <r>
    <n v="47"/>
    <n v="102"/>
    <x v="1"/>
    <s v="306"/>
    <n v="27.3"/>
    <n v="631"/>
    <x v="0"/>
    <s v="1K"/>
    <n v="73000"/>
    <n v="7000"/>
    <n v="0"/>
    <n v="0"/>
    <n v="80000"/>
    <n v="75000"/>
    <n v="0"/>
    <n v="75000"/>
    <n v="80000"/>
    <s v="中華系"/>
    <s v="yes"/>
    <s v=""/>
    <m/>
    <s v="102_306"/>
    <n v="75000"/>
    <m/>
    <n v="1"/>
    <n v="80000"/>
    <n v="-5000"/>
    <n v="5000"/>
    <n v="1"/>
    <x v="0"/>
  </r>
  <r>
    <n v="48"/>
    <n v="102"/>
    <x v="1"/>
    <s v="307"/>
    <n v="27.3"/>
    <n v="631"/>
    <x v="0"/>
    <s v="1K"/>
    <n v="85000"/>
    <n v="7000"/>
    <n v="0"/>
    <n v="0"/>
    <n v="92000"/>
    <n v="92000"/>
    <n v="0"/>
    <n v="92000"/>
    <n v="92000"/>
    <s v="中華系"/>
    <s v="yes"/>
    <s v=""/>
    <m/>
    <s v="102_307"/>
    <n v="73000"/>
    <m/>
    <n v="1"/>
    <n v="92000"/>
    <n v="0"/>
    <n v="19000"/>
    <n v="1"/>
    <x v="0"/>
  </r>
  <r>
    <n v="49"/>
    <n v="102"/>
    <x v="1"/>
    <s v="308"/>
    <n v="22.98"/>
    <n v="631"/>
    <x v="0"/>
    <s v="1K"/>
    <n v="67000"/>
    <n v="7000"/>
    <n v="0"/>
    <n v="0"/>
    <n v="74000"/>
    <n v="74000"/>
    <n v="0"/>
    <n v="74000"/>
    <n v="74000"/>
    <s v="中華系"/>
    <s v="yes"/>
    <s v=""/>
    <m/>
    <s v="102_308"/>
    <n v="73000"/>
    <m/>
    <n v="1"/>
    <n v="74000"/>
    <n v="0"/>
    <n v="1000"/>
    <n v="1"/>
    <x v="0"/>
  </r>
  <r>
    <n v="50"/>
    <n v="102"/>
    <x v="1"/>
    <s v="309"/>
    <n v="22.98"/>
    <n v="631"/>
    <x v="0"/>
    <s v="1K"/>
    <n v="75000"/>
    <n v="7000"/>
    <n v="0"/>
    <n v="0"/>
    <n v="82000"/>
    <n v="85000"/>
    <n v="0"/>
    <n v="85000"/>
    <n v="82000"/>
    <s v="中華系"/>
    <s v="yes"/>
    <s v=""/>
    <m/>
    <s v="102_309"/>
    <n v="73000"/>
    <m/>
    <n v="1"/>
    <n v="82000"/>
    <n v="3000"/>
    <n v="9000"/>
    <n v="1"/>
    <x v="0"/>
  </r>
  <r>
    <n v="51"/>
    <n v="102"/>
    <x v="1"/>
    <s v="310"/>
    <n v="23.27"/>
    <n v="631"/>
    <x v="0"/>
    <s v="1K"/>
    <n v="73000"/>
    <n v="7000"/>
    <n v="0"/>
    <n v="0"/>
    <n v="80000"/>
    <n v="89000"/>
    <n v="0"/>
    <n v="89000"/>
    <n v="80000"/>
    <s v="日本人等"/>
    <s v="yes"/>
    <s v=""/>
    <m/>
    <s v="102_310"/>
    <n v="74000"/>
    <m/>
    <n v="1"/>
    <n v="80000"/>
    <n v="9000"/>
    <n v="6000"/>
    <n v="1"/>
    <x v="0"/>
  </r>
  <r>
    <n v="52"/>
    <n v="102"/>
    <x v="1"/>
    <s v="311"/>
    <n v="20.92"/>
    <n v="631"/>
    <x v="0"/>
    <s v="1K"/>
    <n v="61000"/>
    <n v="7000"/>
    <n v="0"/>
    <n v="0"/>
    <n v="68000"/>
    <n v="68000"/>
    <n v="0"/>
    <n v="68000"/>
    <n v="68000"/>
    <s v="日本人等"/>
    <s v="yes"/>
    <s v=""/>
    <m/>
    <s v="102_311"/>
    <n v="68000"/>
    <m/>
    <n v="1"/>
    <n v="68000"/>
    <n v="0"/>
    <n v="0"/>
    <n v="1"/>
    <x v="0"/>
  </r>
  <r>
    <n v="53"/>
    <n v="102"/>
    <x v="1"/>
    <s v="312"/>
    <n v="31.18"/>
    <n v="631"/>
    <x v="0"/>
    <s v="1K"/>
    <n v="82000"/>
    <n v="7000"/>
    <n v="0"/>
    <n v="0"/>
    <n v="89000"/>
    <n v="89000"/>
    <n v="0"/>
    <n v="89000"/>
    <n v="89000"/>
    <s v="中華系"/>
    <s v="yes"/>
    <s v=""/>
    <m/>
    <s v="102_312"/>
    <n v="89000"/>
    <m/>
    <n v="1"/>
    <n v="89000"/>
    <n v="0"/>
    <n v="0"/>
    <n v="1"/>
    <x v="0"/>
  </r>
  <r>
    <n v="54"/>
    <n v="102"/>
    <x v="1"/>
    <s v="401"/>
    <n v="34.72"/>
    <n v="631"/>
    <x v="0"/>
    <s v="1K"/>
    <n v="97000"/>
    <n v="7000"/>
    <n v="0"/>
    <n v="0"/>
    <n v="104000"/>
    <n v="104000"/>
    <n v="0"/>
    <n v="104000"/>
    <n v="104000"/>
    <s v="日本人等"/>
    <s v="yes"/>
    <s v=""/>
    <m/>
    <s v="102_401"/>
    <n v="97000"/>
    <m/>
    <n v="1"/>
    <n v="104000"/>
    <n v="0"/>
    <n v="7000"/>
    <n v="1"/>
    <x v="0"/>
  </r>
  <r>
    <n v="55"/>
    <n v="102"/>
    <x v="1"/>
    <s v="402"/>
    <n v="26.48"/>
    <n v="631"/>
    <x v="0"/>
    <s v="1K"/>
    <n v="92000"/>
    <n v="7000"/>
    <n v="0"/>
    <n v="0"/>
    <n v="99000"/>
    <n v="99000"/>
    <n v="0"/>
    <n v="99000"/>
    <n v="99000"/>
    <s v="中華系"/>
    <s v="yes"/>
    <s v=""/>
    <m/>
    <s v="102_402"/>
    <n v="91000"/>
    <m/>
    <n v="1"/>
    <n v="99000"/>
    <n v="0"/>
    <n v="8000"/>
    <n v="1"/>
    <x v="0"/>
  </r>
  <r>
    <n v="56"/>
    <n v="102"/>
    <x v="1"/>
    <s v="403"/>
    <n v="42.38"/>
    <n v="631"/>
    <x v="0"/>
    <s v="2DK"/>
    <n v="155000"/>
    <n v="7000"/>
    <n v="0"/>
    <n v="0"/>
    <n v="162000"/>
    <n v="159000"/>
    <n v="0"/>
    <n v="159000"/>
    <n v="162000"/>
    <s v="中華系"/>
    <s v="yes"/>
    <s v=""/>
    <m/>
    <s v="102_403"/>
    <n v="137000"/>
    <m/>
    <n v="1"/>
    <n v="162000"/>
    <n v="-3000"/>
    <n v="25000"/>
    <n v="1"/>
    <x v="0"/>
  </r>
  <r>
    <n v="57"/>
    <n v="102"/>
    <x v="1"/>
    <s v="405"/>
    <n v="51.25"/>
    <n v="631"/>
    <x v="0"/>
    <s v="1LDK"/>
    <n v="110000"/>
    <n v="7000"/>
    <n v="0"/>
    <n v="0"/>
    <n v="117000"/>
    <n v="117000"/>
    <n v="0"/>
    <n v="117000"/>
    <n v="117000"/>
    <s v="日本人等"/>
    <s v="yes"/>
    <s v=""/>
    <m/>
    <s v="102_405"/>
    <n v="102000"/>
    <m/>
    <n v="1"/>
    <n v="117000"/>
    <n v="0"/>
    <n v="15000"/>
    <n v="1"/>
    <x v="0"/>
  </r>
  <r>
    <n v="58"/>
    <n v="102"/>
    <x v="1"/>
    <s v="406"/>
    <n v="51.25"/>
    <n v="631"/>
    <x v="0"/>
    <s v="2DK"/>
    <n v="155000"/>
    <n v="7000"/>
    <n v="0"/>
    <n v="0"/>
    <n v="162000"/>
    <n v="167000"/>
    <n v="0"/>
    <n v="167000"/>
    <n v="162000"/>
    <s v="日本人等"/>
    <s v="yes"/>
    <s v=""/>
    <m/>
    <s v="102_406"/>
    <n v="147000"/>
    <m/>
    <n v="1"/>
    <n v="162000"/>
    <n v="5000"/>
    <n v="15000"/>
    <n v="1"/>
    <x v="0"/>
  </r>
  <r>
    <n v="59"/>
    <n v="102"/>
    <x v="1"/>
    <s v="407"/>
    <n v="49.79"/>
    <n v="631"/>
    <x v="0"/>
    <s v="2DK"/>
    <n v="162000"/>
    <n v="7000"/>
    <n v="0"/>
    <n v="0"/>
    <n v="169000"/>
    <n v="169000"/>
    <n v="0"/>
    <n v="169000"/>
    <n v="169000"/>
    <s v="中華系"/>
    <s v="yes"/>
    <s v=""/>
    <m/>
    <s v="102_407"/>
    <n v="147000"/>
    <m/>
    <n v="1"/>
    <n v="169000"/>
    <n v="0"/>
    <n v="22000"/>
    <n v="1"/>
    <x v="0"/>
  </r>
  <r>
    <n v="60"/>
    <n v="102"/>
    <x v="1"/>
    <s v="P1"/>
    <n v="0"/>
    <n v="634"/>
    <x v="4"/>
    <s v="駐車場"/>
    <n v="33000"/>
    <n v="0"/>
    <n v="0"/>
    <n v="3000"/>
    <n v="36000"/>
    <n v="30000"/>
    <n v="3000"/>
    <n v="33000"/>
    <n v="36000"/>
    <s v="日本人等"/>
    <s v="yes"/>
    <s v=""/>
    <m/>
    <s v="102_P1"/>
    <n v="30000"/>
    <m/>
    <n v="1"/>
    <n v="33000"/>
    <n v="-3000"/>
    <n v="3000"/>
    <n v="1"/>
    <x v="0"/>
  </r>
  <r>
    <n v="61"/>
    <n v="102"/>
    <x v="1"/>
    <s v="P2"/>
    <n v="0"/>
    <n v="634"/>
    <x v="4"/>
    <s v="駐車場"/>
    <n v="33000"/>
    <n v="0"/>
    <n v="0"/>
    <n v="3000"/>
    <n v="36000"/>
    <n v="30000"/>
    <n v="3000"/>
    <n v="33000"/>
    <n v="36000"/>
    <s v="法人契約"/>
    <s v="yes"/>
    <s v=""/>
    <m/>
    <s v="102_P2"/>
    <n v="30000"/>
    <m/>
    <n v="1"/>
    <n v="33000"/>
    <n v="-3000"/>
    <n v="3000"/>
    <n v="1"/>
    <x v="0"/>
  </r>
  <r>
    <n v="62"/>
    <n v="102"/>
    <x v="1"/>
    <s v="CL1"/>
    <s v="-"/>
    <n v="639"/>
    <x v="3"/>
    <s v="その他"/>
    <n v="0"/>
    <n v="0"/>
    <n v="0"/>
    <n v="0"/>
    <n v="0"/>
    <n v="0"/>
    <n v="0"/>
    <n v="0"/>
    <n v="0"/>
    <s v="-"/>
    <s v="no"/>
    <s v="コインランドリー"/>
    <m/>
    <s v="102_CL1"/>
    <n v="0"/>
    <m/>
    <n v="0"/>
    <n v="0"/>
    <n v="0"/>
    <n v="0"/>
    <n v="0"/>
    <x v="0"/>
  </r>
  <r>
    <n v="63"/>
    <n v="103"/>
    <x v="2"/>
    <s v="101"/>
    <n v="58.31"/>
    <n v="632"/>
    <x v="1"/>
    <s v="事務所"/>
    <n v="157408"/>
    <n v="0"/>
    <n v="0"/>
    <n v="15740"/>
    <n v="173148"/>
    <n v="157407"/>
    <n v="15740.727272727272"/>
    <n v="173147.72727272726"/>
    <n v="173148"/>
    <s v="法人契約"/>
    <s v="yes"/>
    <s v=""/>
    <m/>
    <s v="103_101"/>
    <n v="175000"/>
    <m/>
    <n v="1"/>
    <n v="157408"/>
    <n v="-1"/>
    <n v="-17592"/>
    <n v="1"/>
    <x v="0"/>
  </r>
  <r>
    <n v="64"/>
    <n v="103"/>
    <x v="2"/>
    <s v="102"/>
    <n v="57"/>
    <n v="632"/>
    <x v="1"/>
    <s v="事務所"/>
    <n v="172222"/>
    <n v="0"/>
    <n v="0"/>
    <n v="17222"/>
    <n v="189444"/>
    <n v="172221"/>
    <n v="17222.18181818182"/>
    <n v="189443.18181818182"/>
    <n v="189444"/>
    <s v="日本人等"/>
    <s v="yes"/>
    <s v=""/>
    <m/>
    <s v="103_102"/>
    <n v="350000"/>
    <m/>
    <n v="1"/>
    <n v="172222"/>
    <n v="-1"/>
    <n v="-177778"/>
    <n v="1"/>
    <x v="0"/>
  </r>
  <r>
    <n v="65"/>
    <n v="103"/>
    <x v="2"/>
    <s v="103"/>
    <n v="56.89"/>
    <n v="632"/>
    <x v="1"/>
    <s v="事務所"/>
    <n v="170000"/>
    <n v="0"/>
    <n v="0"/>
    <n v="17000"/>
    <n v="187000"/>
    <n v="170000"/>
    <n v="17000"/>
    <n v="187000"/>
    <n v="187000"/>
    <s v="法人契約"/>
    <s v="yes"/>
    <s v=""/>
    <m/>
    <s v="103_103"/>
    <n v="170000"/>
    <m/>
    <n v="1"/>
    <n v="170000"/>
    <n v="0"/>
    <n v="0"/>
    <n v="1"/>
    <x v="0"/>
  </r>
  <r>
    <n v="66"/>
    <n v="103"/>
    <x v="2"/>
    <s v="201"/>
    <n v="51.3"/>
    <n v="633"/>
    <x v="5"/>
    <s v="事務所"/>
    <n v="180000"/>
    <n v="0"/>
    <n v="0"/>
    <n v="18000"/>
    <n v="198000"/>
    <n v="180000"/>
    <n v="18000"/>
    <n v="198000"/>
    <n v="198000"/>
    <s v="法人契約"/>
    <s v="yes"/>
    <s v=""/>
    <m/>
    <s v="103_201"/>
    <n v="180000"/>
    <m/>
    <n v="1"/>
    <n v="180000"/>
    <n v="0"/>
    <n v="0"/>
    <n v="1"/>
    <x v="0"/>
  </r>
  <r>
    <n v="67"/>
    <n v="103"/>
    <x v="2"/>
    <s v="202"/>
    <n v="50"/>
    <n v="633"/>
    <x v="5"/>
    <s v="事務所"/>
    <n v="150000"/>
    <n v="0"/>
    <n v="0"/>
    <n v="15000"/>
    <n v="165000"/>
    <n v="150000"/>
    <n v="15000"/>
    <n v="165000"/>
    <n v="165000"/>
    <s v="法人契約"/>
    <s v="yes"/>
    <s v=""/>
    <m/>
    <s v="103_202"/>
    <n v="150000"/>
    <m/>
    <n v="1"/>
    <n v="150000"/>
    <n v="0"/>
    <n v="0"/>
    <n v="1"/>
    <x v="0"/>
  </r>
  <r>
    <n v="68"/>
    <n v="103"/>
    <x v="2"/>
    <s v="203"/>
    <n v="26.4"/>
    <n v="632"/>
    <x v="1"/>
    <s v="事務所"/>
    <n v="85715"/>
    <n v="0"/>
    <n v="0"/>
    <n v="8571"/>
    <n v="94286"/>
    <n v="85715"/>
    <n v="8571.545454545454"/>
    <n v="94286.545454545456"/>
    <n v="94286"/>
    <s v="法人契約"/>
    <s v="yes"/>
    <s v=""/>
    <m/>
    <s v="103_203"/>
    <n v="85715"/>
    <m/>
    <n v="1"/>
    <n v="85715"/>
    <n v="0"/>
    <n v="0"/>
    <n v="1"/>
    <x v="0"/>
  </r>
  <r>
    <n v="69"/>
    <n v="103"/>
    <x v="2"/>
    <s v="301"/>
    <n v="51.3"/>
    <n v="631"/>
    <x v="0"/>
    <s v="2LDK"/>
    <n v="218000"/>
    <n v="0"/>
    <n v="0"/>
    <n v="0"/>
    <n v="218000"/>
    <n v="218000"/>
    <n v="0"/>
    <n v="218000"/>
    <n v="218000"/>
    <s v="日本人等"/>
    <s v="yes"/>
    <s v=""/>
    <m/>
    <s v="103_301"/>
    <n v="165000"/>
    <m/>
    <n v="1"/>
    <n v="218000"/>
    <n v="0"/>
    <n v="53000"/>
    <n v="1"/>
    <x v="0"/>
  </r>
  <r>
    <n v="70"/>
    <n v="103"/>
    <x v="2"/>
    <s v="302"/>
    <n v="52.02"/>
    <n v="631"/>
    <x v="0"/>
    <s v="2DK"/>
    <n v="208000"/>
    <n v="0"/>
    <n v="0"/>
    <n v="0"/>
    <n v="208000"/>
    <n v="208000"/>
    <n v="0"/>
    <n v="208000"/>
    <n v="208000"/>
    <s v="住居法人契約"/>
    <s v="yes"/>
    <s v=""/>
    <m/>
    <s v="103_302"/>
    <n v="165000"/>
    <m/>
    <n v="1"/>
    <n v="208000"/>
    <n v="0"/>
    <n v="43000"/>
    <n v="1"/>
    <x v="0"/>
  </r>
  <r>
    <n v="71"/>
    <n v="103"/>
    <x v="2"/>
    <s v="303"/>
    <n v="71.069999999999993"/>
    <n v="631"/>
    <x v="0"/>
    <s v="2LDK"/>
    <n v="220000"/>
    <n v="0"/>
    <n v="0"/>
    <n v="0"/>
    <n v="220000"/>
    <n v="220000"/>
    <n v="0"/>
    <n v="220000"/>
    <n v="220000"/>
    <s v="住居法人契約"/>
    <s v="yes"/>
    <s v=""/>
    <m/>
    <s v="103_303"/>
    <n v="188000"/>
    <m/>
    <n v="1"/>
    <n v="220000"/>
    <n v="0"/>
    <n v="32000"/>
    <n v="1"/>
    <x v="0"/>
  </r>
  <r>
    <n v="72"/>
    <n v="103"/>
    <x v="2"/>
    <s v="401"/>
    <n v="51.3"/>
    <n v="631"/>
    <x v="0"/>
    <s v="2LDK"/>
    <n v="198000"/>
    <n v="10000"/>
    <n v="0"/>
    <n v="0"/>
    <n v="208000"/>
    <n v="198000"/>
    <n v="0"/>
    <n v="198000"/>
    <n v="208000"/>
    <s v="日本人等"/>
    <s v="yes"/>
    <s v=""/>
    <m/>
    <s v="103_401"/>
    <n v="180000"/>
    <m/>
    <n v="1"/>
    <n v="208000"/>
    <n v="-10000"/>
    <n v="28000"/>
    <n v="1"/>
    <x v="0"/>
  </r>
  <r>
    <n v="73"/>
    <n v="103"/>
    <x v="2"/>
    <s v="402"/>
    <n v="52.02"/>
    <n v="631"/>
    <x v="0"/>
    <s v="2LDK"/>
    <n v="198000"/>
    <n v="0"/>
    <n v="0"/>
    <n v="0"/>
    <n v="198000"/>
    <n v="198000"/>
    <n v="0"/>
    <n v="198000"/>
    <n v="198000"/>
    <s v="日本人等"/>
    <s v="yes"/>
    <s v=""/>
    <m/>
    <s v="103_402"/>
    <n v="170000"/>
    <m/>
    <n v="1"/>
    <n v="198000"/>
    <n v="0"/>
    <n v="28000"/>
    <n v="1"/>
    <x v="0"/>
  </r>
  <r>
    <n v="74"/>
    <n v="103"/>
    <x v="2"/>
    <s v="403"/>
    <n v="41.32"/>
    <n v="631"/>
    <x v="0"/>
    <s v="2DK"/>
    <n v="140000"/>
    <n v="0"/>
    <n v="0"/>
    <n v="0"/>
    <n v="140000"/>
    <n v="130000"/>
    <n v="0"/>
    <n v="130000"/>
    <n v="140000"/>
    <s v="日本人等"/>
    <s v="yes"/>
    <s v=""/>
    <m/>
    <s v="103_403"/>
    <n v="130000"/>
    <m/>
    <n v="1"/>
    <n v="140000"/>
    <n v="-10000"/>
    <n v="10000"/>
    <n v="1"/>
    <x v="0"/>
  </r>
  <r>
    <n v="75"/>
    <n v="103"/>
    <x v="2"/>
    <s v="501"/>
    <n v="48.35"/>
    <n v="631"/>
    <x v="0"/>
    <s v="2LDK"/>
    <n v="208000"/>
    <n v="10000"/>
    <n v="0"/>
    <n v="0"/>
    <n v="218000"/>
    <n v="218000"/>
    <n v="0"/>
    <n v="218000"/>
    <n v="218000"/>
    <s v="住居法人契約"/>
    <s v="yes"/>
    <s v=""/>
    <m/>
    <s v="103_501"/>
    <n v="220000"/>
    <m/>
    <n v="1"/>
    <n v="218000"/>
    <n v="0"/>
    <n v="-2000"/>
    <n v="1"/>
    <x v="0"/>
  </r>
  <r>
    <n v="76"/>
    <n v="103"/>
    <x v="2"/>
    <s v="502"/>
    <n v="50.76"/>
    <n v="631"/>
    <x v="0"/>
    <s v="1LDK"/>
    <n v="188000"/>
    <n v="10000"/>
    <n v="0"/>
    <n v="0"/>
    <n v="198000"/>
    <n v="198000"/>
    <n v="0"/>
    <n v="198000"/>
    <n v="198000"/>
    <s v="日本人等"/>
    <s v="yes"/>
    <s v=""/>
    <m/>
    <s v="103_502"/>
    <n v="180000"/>
    <m/>
    <n v="1"/>
    <n v="198000"/>
    <n v="0"/>
    <n v="18000"/>
    <n v="1"/>
    <x v="0"/>
  </r>
  <r>
    <n v="77"/>
    <n v="103"/>
    <x v="2"/>
    <s v="503"/>
    <n v="96.95"/>
    <n v="631"/>
    <x v="0"/>
    <s v="2LDK"/>
    <n v="305800"/>
    <n v="0"/>
    <n v="0"/>
    <n v="0"/>
    <n v="305800"/>
    <n v="305800"/>
    <n v="0"/>
    <n v="305800"/>
    <n v="305800"/>
    <s v="住居法人契約"/>
    <s v="yes"/>
    <s v=""/>
    <m/>
    <s v="103_503"/>
    <n v="270000"/>
    <m/>
    <n v="1"/>
    <n v="305800"/>
    <n v="0"/>
    <n v="35800"/>
    <n v="1"/>
    <x v="0"/>
  </r>
  <r>
    <n v="78"/>
    <n v="103"/>
    <x v="2"/>
    <s v="P2"/>
    <n v="0"/>
    <n v="634"/>
    <x v="4"/>
    <s v="駐車場"/>
    <n v="40000"/>
    <n v="0"/>
    <n v="0"/>
    <n v="4000"/>
    <n v="44000"/>
    <n v="40000"/>
    <n v="4000"/>
    <n v="44000"/>
    <n v="44000"/>
    <s v="法人契約"/>
    <s v="yes"/>
    <s v=""/>
    <m/>
    <s v="103_P2"/>
    <n v="40000"/>
    <m/>
    <n v="1"/>
    <n v="40000"/>
    <n v="0"/>
    <n v="0"/>
    <n v="1"/>
    <x v="0"/>
  </r>
  <r>
    <n v="79"/>
    <n v="103"/>
    <x v="2"/>
    <s v="P3"/>
    <n v="0"/>
    <n v="634"/>
    <x v="4"/>
    <s v="駐車場"/>
    <n v="35000"/>
    <n v="0"/>
    <n v="0"/>
    <n v="3500"/>
    <n v="38500"/>
    <n v="40000"/>
    <n v="4000"/>
    <n v="44000"/>
    <n v="38500"/>
    <s v="法人契約"/>
    <s v="yes"/>
    <s v=""/>
    <m/>
    <s v="103_P3"/>
    <n v="40000"/>
    <m/>
    <n v="1"/>
    <n v="35000"/>
    <n v="5000"/>
    <n v="-5000"/>
    <n v="1"/>
    <x v="0"/>
  </r>
  <r>
    <n v="80"/>
    <n v="103"/>
    <x v="2"/>
    <s v="P5"/>
    <n v="0"/>
    <n v="634"/>
    <x v="4"/>
    <s v="駐車場"/>
    <n v="40000"/>
    <n v="0"/>
    <n v="0"/>
    <n v="4000"/>
    <n v="44000"/>
    <n v="40000"/>
    <n v="4000"/>
    <n v="44000"/>
    <n v="44000"/>
    <s v="日本人等"/>
    <s v="yes"/>
    <s v=""/>
    <m/>
    <s v="103_P5"/>
    <n v="40000"/>
    <m/>
    <n v="1"/>
    <n v="40000"/>
    <n v="0"/>
    <n v="0"/>
    <n v="1"/>
    <x v="0"/>
  </r>
  <r>
    <n v="81"/>
    <n v="104"/>
    <x v="3"/>
    <s v="101"/>
    <n v="39.6"/>
    <n v="633"/>
    <x v="5"/>
    <s v="店舗"/>
    <n v="154000"/>
    <n v="0"/>
    <n v="0"/>
    <n v="15400"/>
    <n v="169400"/>
    <n v="154000"/>
    <n v="15400"/>
    <n v="169400"/>
    <n v="169400"/>
    <s v="日本人等"/>
    <s v="yes"/>
    <s v=""/>
    <m/>
    <s v="104_101"/>
    <n v="145000"/>
    <m/>
    <n v="1"/>
    <n v="154000"/>
    <n v="0"/>
    <n v="9000"/>
    <n v="1"/>
    <x v="0"/>
  </r>
  <r>
    <n v="82"/>
    <n v="104"/>
    <x v="3"/>
    <s v="102"/>
    <n v="31.92"/>
    <n v="632"/>
    <x v="1"/>
    <s v="事務所"/>
    <n v="120000"/>
    <n v="0"/>
    <n v="0"/>
    <n v="12000"/>
    <n v="132000"/>
    <n v="120000"/>
    <n v="12000"/>
    <n v="132000"/>
    <n v="132000"/>
    <s v="住居法人契約"/>
    <s v="yes"/>
    <s v=""/>
    <m/>
    <s v="104_102"/>
    <n v="80000"/>
    <m/>
    <n v="1"/>
    <n v="120000"/>
    <n v="0"/>
    <n v="40000"/>
    <n v="1"/>
    <x v="0"/>
  </r>
  <r>
    <n v="83"/>
    <n v="104"/>
    <x v="3"/>
    <s v="201"/>
    <n v="19.8"/>
    <n v="631"/>
    <x v="0"/>
    <s v="1R"/>
    <n v="70000"/>
    <n v="0"/>
    <n v="0"/>
    <n v="7000"/>
    <n v="77000"/>
    <n v="77000"/>
    <n v="0"/>
    <n v="77000"/>
    <n v="77000"/>
    <s v="住居法人契約"/>
    <s v="yes"/>
    <s v=""/>
    <m/>
    <s v="104_201"/>
    <n v="65000"/>
    <m/>
    <n v="1"/>
    <n v="70000"/>
    <n v="7000"/>
    <n v="5000"/>
    <n v="1"/>
    <x v="0"/>
  </r>
  <r>
    <n v="84"/>
    <n v="104"/>
    <x v="3"/>
    <s v="202"/>
    <n v="19.8"/>
    <n v="631"/>
    <x v="0"/>
    <s v="1R"/>
    <n v="73000"/>
    <n v="0"/>
    <n v="0"/>
    <n v="0"/>
    <n v="73000"/>
    <n v="73000"/>
    <n v="0"/>
    <n v="73000"/>
    <n v="73000"/>
    <s v="日本人等"/>
    <s v="yes"/>
    <s v=""/>
    <m/>
    <s v="104_202"/>
    <n v="63000"/>
    <m/>
    <n v="1"/>
    <n v="73000"/>
    <n v="0"/>
    <n v="10000"/>
    <n v="1"/>
    <x v="0"/>
  </r>
  <r>
    <n v="85"/>
    <n v="104"/>
    <x v="3"/>
    <s v="203"/>
    <n v="19.8"/>
    <n v="631"/>
    <x v="0"/>
    <s v="1R"/>
    <n v="75000"/>
    <n v="0"/>
    <n v="0"/>
    <n v="0"/>
    <n v="75000"/>
    <n v="75000"/>
    <n v="0"/>
    <n v="75000"/>
    <n v="75000"/>
    <s v="日本人等"/>
    <s v="yes"/>
    <s v=""/>
    <m/>
    <s v="104_203"/>
    <n v="70000"/>
    <m/>
    <n v="1"/>
    <n v="75000"/>
    <n v="0"/>
    <n v="5000"/>
    <n v="1"/>
    <x v="0"/>
  </r>
  <r>
    <n v="86"/>
    <n v="104"/>
    <x v="3"/>
    <s v="301"/>
    <n v="16.8"/>
    <n v="631"/>
    <x v="0"/>
    <s v="1R"/>
    <n v="70000"/>
    <n v="0"/>
    <n v="0"/>
    <n v="0"/>
    <n v="70000"/>
    <n v="70000"/>
    <n v="0"/>
    <n v="70000"/>
    <n v="70000"/>
    <s v="住居法人契約"/>
    <s v="yes"/>
    <s v=""/>
    <m/>
    <s v="104_301"/>
    <n v="62000"/>
    <m/>
    <n v="1"/>
    <n v="70000"/>
    <n v="0"/>
    <n v="8000"/>
    <n v="1"/>
    <x v="0"/>
  </r>
  <r>
    <n v="87"/>
    <n v="104"/>
    <x v="3"/>
    <s v="302"/>
    <n v="16.8"/>
    <n v="631"/>
    <x v="0"/>
    <s v="1R"/>
    <n v="0"/>
    <n v="0"/>
    <n v="0"/>
    <n v="0"/>
    <n v="0"/>
    <n v="88000"/>
    <n v="0"/>
    <n v="88000"/>
    <n v="88000"/>
    <s v="-"/>
    <s v="yes"/>
    <s v="一時的な空室"/>
    <m/>
    <s v="104_302"/>
    <n v="63000"/>
    <m/>
    <n v="0"/>
    <n v="88000"/>
    <n v="0"/>
    <n v="25000"/>
    <n v="1"/>
    <x v="0"/>
  </r>
  <r>
    <n v="88"/>
    <n v="104"/>
    <x v="3"/>
    <s v="303"/>
    <n v="16.8"/>
    <n v="631"/>
    <x v="0"/>
    <s v="1R"/>
    <n v="72000"/>
    <n v="0"/>
    <n v="0"/>
    <n v="0"/>
    <n v="72000"/>
    <n v="72000"/>
    <n v="0"/>
    <n v="72000"/>
    <n v="72000"/>
    <s v="日本人等"/>
    <s v="yes"/>
    <s v=""/>
    <m/>
    <s v="104_303"/>
    <n v="72000"/>
    <m/>
    <n v="1"/>
    <n v="72000"/>
    <n v="0"/>
    <n v="0"/>
    <n v="1"/>
    <x v="0"/>
  </r>
  <r>
    <n v="89"/>
    <n v="105"/>
    <x v="4"/>
    <s v="101"/>
    <n v="46.12"/>
    <n v="631"/>
    <x v="0"/>
    <s v="3DK"/>
    <n v="135000"/>
    <n v="4000"/>
    <n v="0"/>
    <n v="0"/>
    <n v="139000"/>
    <n v="139000"/>
    <n v="0"/>
    <n v="139000"/>
    <n v="139000"/>
    <s v="その他新興国"/>
    <s v="yes"/>
    <s v=""/>
    <m/>
    <s v="105_101"/>
    <n v="139000"/>
    <m/>
    <n v="1"/>
    <n v="139000"/>
    <n v="0"/>
    <n v="0"/>
    <n v="1"/>
    <x v="0"/>
  </r>
  <r>
    <n v="90"/>
    <n v="105"/>
    <x v="4"/>
    <s v="102"/>
    <n v="37.799999999999997"/>
    <n v="631"/>
    <x v="0"/>
    <s v="1K"/>
    <n v="100000"/>
    <n v="3000"/>
    <n v="186"/>
    <n v="18"/>
    <n v="103204"/>
    <n v="103204"/>
    <n v="0"/>
    <n v="103204"/>
    <n v="103204"/>
    <s v="日本人等"/>
    <s v="yes"/>
    <s v=""/>
    <m/>
    <s v="105_102"/>
    <n v="103000"/>
    <m/>
    <n v="1"/>
    <n v="103186"/>
    <n v="18"/>
    <n v="186"/>
    <n v="1"/>
    <x v="0"/>
  </r>
  <r>
    <n v="91"/>
    <n v="105"/>
    <x v="4"/>
    <s v="201"/>
    <n v="28.62"/>
    <n v="631"/>
    <x v="0"/>
    <s v="2DK"/>
    <n v="103000"/>
    <n v="5000"/>
    <n v="0"/>
    <n v="0"/>
    <n v="108000"/>
    <n v="113000"/>
    <n v="0"/>
    <n v="113000"/>
    <n v="108000"/>
    <s v="その他新興国"/>
    <s v="yes"/>
    <s v=""/>
    <m/>
    <s v="105_201"/>
    <n v="90200"/>
    <m/>
    <n v="1"/>
    <n v="108000"/>
    <n v="5000"/>
    <n v="17800"/>
    <n v="1"/>
    <x v="0"/>
  </r>
  <r>
    <n v="92"/>
    <n v="105"/>
    <x v="4"/>
    <s v="202"/>
    <n v="28.62"/>
    <n v="631"/>
    <x v="0"/>
    <s v="2DK"/>
    <n v="0"/>
    <n v="0"/>
    <n v="0"/>
    <n v="0"/>
    <n v="0"/>
    <n v="105000"/>
    <n v="0"/>
    <n v="105000"/>
    <n v="105000"/>
    <s v="-"/>
    <s v="yes"/>
    <s v="一時的な空室"/>
    <m/>
    <s v="105_202"/>
    <n v="88000"/>
    <m/>
    <n v="0"/>
    <n v="105000"/>
    <n v="0"/>
    <n v="17000"/>
    <n v="1"/>
    <x v="0"/>
  </r>
  <r>
    <n v="93"/>
    <n v="105"/>
    <x v="4"/>
    <s v="203"/>
    <n v="33.39"/>
    <n v="631"/>
    <x v="0"/>
    <s v="2DK"/>
    <n v="0"/>
    <n v="0"/>
    <n v="0"/>
    <n v="0"/>
    <n v="0"/>
    <n v="99204"/>
    <n v="0"/>
    <n v="99204"/>
    <n v="99204"/>
    <s v="-"/>
    <s v="yes"/>
    <s v="一時的な空室"/>
    <m/>
    <s v="105_203"/>
    <n v="99000"/>
    <m/>
    <n v="0"/>
    <n v="99204"/>
    <n v="0"/>
    <n v="204"/>
    <n v="1"/>
    <x v="0"/>
  </r>
  <r>
    <n v="94"/>
    <n v="105"/>
    <x v="4"/>
    <s v="204"/>
    <n v="37.049999999999997"/>
    <n v="631"/>
    <x v="0"/>
    <s v="2DK"/>
    <n v="100000"/>
    <n v="0"/>
    <n v="926"/>
    <n v="92"/>
    <n v="101018"/>
    <n v="101018"/>
    <n v="0"/>
    <n v="101018"/>
    <n v="101018"/>
    <s v="日本人等"/>
    <s v="yes"/>
    <s v=""/>
    <m/>
    <s v="105_204"/>
    <n v="120400"/>
    <m/>
    <n v="1"/>
    <n v="100926"/>
    <n v="92"/>
    <n v="-19474"/>
    <n v="1"/>
    <x v="0"/>
  </r>
  <r>
    <n v="95"/>
    <n v="105"/>
    <x v="4"/>
    <s v="301"/>
    <n v="28.62"/>
    <n v="631"/>
    <x v="0"/>
    <s v="2DK"/>
    <n v="105000"/>
    <n v="5000"/>
    <n v="0"/>
    <n v="0"/>
    <n v="110000"/>
    <n v="110000"/>
    <n v="0"/>
    <n v="110000"/>
    <n v="110000"/>
    <s v="中華系"/>
    <s v="yes"/>
    <s v=""/>
    <m/>
    <s v="105_301"/>
    <n v="98000"/>
    <m/>
    <n v="1"/>
    <n v="110000"/>
    <n v="0"/>
    <n v="12000"/>
    <n v="1"/>
    <x v="0"/>
  </r>
  <r>
    <n v="96"/>
    <n v="105"/>
    <x v="4"/>
    <s v="302"/>
    <n v="28.62"/>
    <n v="631"/>
    <x v="0"/>
    <s v="2DK"/>
    <n v="100000"/>
    <n v="0"/>
    <n v="0"/>
    <n v="0"/>
    <n v="100000"/>
    <n v="100000"/>
    <n v="0"/>
    <n v="100000"/>
    <n v="100000"/>
    <s v="日本人等"/>
    <s v="yes"/>
    <s v=""/>
    <m/>
    <s v="105_302"/>
    <n v="100000"/>
    <m/>
    <n v="1"/>
    <n v="100000"/>
    <n v="0"/>
    <n v="0"/>
    <n v="1"/>
    <x v="0"/>
  </r>
  <r>
    <n v="97"/>
    <n v="105"/>
    <x v="4"/>
    <s v="303"/>
    <n v="33.39"/>
    <n v="631"/>
    <x v="0"/>
    <s v="2DK"/>
    <n v="120000"/>
    <n v="5000"/>
    <n v="0"/>
    <n v="0"/>
    <n v="125000"/>
    <n v="125000"/>
    <n v="0"/>
    <n v="125000"/>
    <n v="125000"/>
    <s v="中華系"/>
    <s v="yes"/>
    <s v=""/>
    <m/>
    <s v="105_303"/>
    <n v="100000"/>
    <m/>
    <n v="1"/>
    <n v="125000"/>
    <n v="0"/>
    <n v="25000"/>
    <n v="1"/>
    <x v="0"/>
  </r>
  <r>
    <n v="98"/>
    <n v="105"/>
    <x v="4"/>
    <s v="304"/>
    <n v="37.049999999999997"/>
    <n v="631"/>
    <x v="0"/>
    <s v="2DK"/>
    <n v="100000"/>
    <n v="0"/>
    <n v="1112"/>
    <n v="111"/>
    <n v="101223"/>
    <n v="91223"/>
    <n v="0"/>
    <n v="91223"/>
    <n v="101223"/>
    <s v="日本人等"/>
    <s v="yes"/>
    <s v=""/>
    <m/>
    <s v="105_304"/>
    <n v="100000"/>
    <m/>
    <n v="1"/>
    <n v="101112"/>
    <n v="-9889"/>
    <n v="1112"/>
    <n v="1"/>
    <x v="0"/>
  </r>
  <r>
    <n v="99"/>
    <n v="105"/>
    <x v="4"/>
    <s v="401"/>
    <n v="28.62"/>
    <n v="631"/>
    <x v="0"/>
    <s v="2DK"/>
    <n v="93000"/>
    <n v="3000"/>
    <n v="371"/>
    <n v="37"/>
    <n v="96408"/>
    <n v="96408"/>
    <n v="0"/>
    <n v="96408"/>
    <n v="96408"/>
    <s v="日本人等"/>
    <s v="yes"/>
    <s v=""/>
    <m/>
    <s v="105_401"/>
    <n v="96000"/>
    <m/>
    <n v="1"/>
    <n v="96371"/>
    <n v="37"/>
    <n v="371"/>
    <n v="1"/>
    <x v="0"/>
  </r>
  <r>
    <n v="100"/>
    <n v="105"/>
    <x v="4"/>
    <s v="402"/>
    <n v="28.62"/>
    <n v="631"/>
    <x v="0"/>
    <s v="2DK"/>
    <n v="90000"/>
    <n v="0"/>
    <n v="0"/>
    <n v="0"/>
    <n v="90000"/>
    <n v="90000"/>
    <n v="0"/>
    <n v="90000"/>
    <n v="90000"/>
    <s v="日本人等"/>
    <s v="yes"/>
    <s v=""/>
    <m/>
    <s v="105_402"/>
    <n v="90000"/>
    <m/>
    <n v="1"/>
    <n v="90000"/>
    <n v="0"/>
    <n v="0"/>
    <n v="1"/>
    <x v="0"/>
  </r>
  <r>
    <n v="101"/>
    <n v="105"/>
    <x v="4"/>
    <s v="403"/>
    <n v="33.39"/>
    <n v="631"/>
    <x v="0"/>
    <s v="2DK"/>
    <n v="105000"/>
    <n v="5000"/>
    <n v="0"/>
    <n v="0"/>
    <n v="110000"/>
    <n v="130000"/>
    <n v="0"/>
    <n v="130000"/>
    <n v="110000"/>
    <s v="日本人等"/>
    <s v="yes"/>
    <s v=""/>
    <m/>
    <s v="105_403"/>
    <n v="98400"/>
    <m/>
    <n v="1"/>
    <n v="110000"/>
    <n v="20000"/>
    <n v="11600"/>
    <n v="1"/>
    <x v="0"/>
  </r>
  <r>
    <n v="102"/>
    <n v="105"/>
    <x v="4"/>
    <s v="404"/>
    <n v="37.049999999999997"/>
    <n v="631"/>
    <x v="0"/>
    <s v="2DK"/>
    <n v="125000"/>
    <n v="4000"/>
    <n v="0"/>
    <n v="0"/>
    <n v="129000"/>
    <n v="129000"/>
    <n v="0"/>
    <n v="129000"/>
    <n v="129000"/>
    <s v="中華系"/>
    <s v="yes"/>
    <s v=""/>
    <m/>
    <s v="105_404"/>
    <n v="119400"/>
    <m/>
    <n v="1"/>
    <n v="129000"/>
    <n v="0"/>
    <n v="9600"/>
    <n v="1"/>
    <x v="0"/>
  </r>
  <r>
    <n v="103"/>
    <n v="105"/>
    <x v="4"/>
    <s v="501"/>
    <n v="28.62"/>
    <n v="631"/>
    <x v="0"/>
    <s v="2DK"/>
    <n v="107000"/>
    <n v="3000"/>
    <n v="0"/>
    <n v="0"/>
    <n v="110000"/>
    <n v="110000"/>
    <n v="0"/>
    <n v="110000"/>
    <n v="110000"/>
    <s v="日本人等"/>
    <s v="yes"/>
    <s v=""/>
    <m/>
    <s v="105_501"/>
    <n v="97000"/>
    <m/>
    <n v="1"/>
    <n v="110000"/>
    <n v="0"/>
    <n v="13000"/>
    <n v="1"/>
    <x v="0"/>
  </r>
  <r>
    <n v="104"/>
    <n v="105"/>
    <x v="4"/>
    <s v="502"/>
    <n v="28.62"/>
    <n v="631"/>
    <x v="0"/>
    <s v="2DK"/>
    <n v="102000"/>
    <n v="3000"/>
    <n v="0"/>
    <n v="0"/>
    <n v="105000"/>
    <n v="105000"/>
    <n v="0"/>
    <n v="105000"/>
    <n v="105000"/>
    <s v="中華系"/>
    <s v="yes"/>
    <s v=""/>
    <m/>
    <s v="105_502"/>
    <n v="94000"/>
    <m/>
    <n v="1"/>
    <n v="105000"/>
    <n v="0"/>
    <n v="11000"/>
    <n v="1"/>
    <x v="0"/>
  </r>
  <r>
    <n v="105"/>
    <n v="105"/>
    <x v="4"/>
    <s v="503"/>
    <n v="33.39"/>
    <n v="631"/>
    <x v="0"/>
    <s v="2DK"/>
    <n v="103000"/>
    <n v="0"/>
    <n v="186"/>
    <n v="18"/>
    <n v="103204"/>
    <n v="103204"/>
    <n v="0"/>
    <n v="103204"/>
    <n v="103204"/>
    <s v="日本人等"/>
    <s v="yes"/>
    <s v=""/>
    <m/>
    <s v="105_503"/>
    <n v="100200"/>
    <m/>
    <n v="1"/>
    <n v="103186"/>
    <n v="18"/>
    <n v="2986"/>
    <n v="1"/>
    <x v="0"/>
  </r>
  <r>
    <n v="106"/>
    <n v="105"/>
    <x v="4"/>
    <s v="504"/>
    <n v="37.049999999999997"/>
    <n v="631"/>
    <x v="0"/>
    <s v="2DK"/>
    <n v="130000"/>
    <n v="5000"/>
    <n v="0"/>
    <n v="0"/>
    <n v="135000"/>
    <n v="135220"/>
    <n v="0"/>
    <n v="135220"/>
    <n v="135000"/>
    <s v="中華系"/>
    <s v="yes"/>
    <s v=""/>
    <m/>
    <s v="105_504"/>
    <n v="95200"/>
    <m/>
    <n v="1"/>
    <n v="135000"/>
    <n v="220"/>
    <n v="39800"/>
    <n v="1"/>
    <x v="0"/>
  </r>
  <r>
    <n v="107"/>
    <n v="105"/>
    <x v="4"/>
    <s v="601"/>
    <n v="28.62"/>
    <n v="631"/>
    <x v="0"/>
    <s v="2DK"/>
    <n v="110000"/>
    <n v="5000"/>
    <n v="0"/>
    <n v="0"/>
    <n v="115000"/>
    <n v="115000"/>
    <n v="0"/>
    <n v="115000"/>
    <n v="115000"/>
    <s v="中華系"/>
    <s v="yes"/>
    <s v=""/>
    <m/>
    <s v="105_601"/>
    <n v="105000"/>
    <m/>
    <n v="1"/>
    <n v="115000"/>
    <n v="0"/>
    <n v="10000"/>
    <n v="1"/>
    <x v="0"/>
  </r>
  <r>
    <n v="108"/>
    <n v="105"/>
    <x v="4"/>
    <s v="602"/>
    <n v="28.62"/>
    <n v="631"/>
    <x v="0"/>
    <s v="2DK"/>
    <n v="92000"/>
    <n v="3000"/>
    <n v="0"/>
    <n v="0"/>
    <n v="95000"/>
    <n v="95000"/>
    <n v="0"/>
    <n v="95000"/>
    <n v="95000"/>
    <s v="日本人等"/>
    <s v="yes"/>
    <s v=""/>
    <m/>
    <s v="105_602"/>
    <n v="95000"/>
    <m/>
    <n v="1"/>
    <n v="95000"/>
    <n v="0"/>
    <n v="0"/>
    <n v="1"/>
    <x v="0"/>
  </r>
  <r>
    <n v="109"/>
    <n v="105"/>
    <x v="4"/>
    <s v="603"/>
    <n v="33.39"/>
    <n v="631"/>
    <x v="0"/>
    <s v="2DK"/>
    <n v="100000"/>
    <n v="0"/>
    <n v="186"/>
    <n v="18"/>
    <n v="100204"/>
    <n v="100408"/>
    <n v="0"/>
    <n v="100408"/>
    <n v="100204"/>
    <s v="日本人等"/>
    <s v="yes"/>
    <s v=""/>
    <m/>
    <s v="105_603"/>
    <n v="100000"/>
    <m/>
    <n v="1"/>
    <n v="100186"/>
    <n v="222"/>
    <n v="186"/>
    <n v="1"/>
    <x v="0"/>
  </r>
  <r>
    <n v="110"/>
    <n v="105"/>
    <x v="4"/>
    <s v="701"/>
    <n v="23.86"/>
    <n v="631"/>
    <x v="0"/>
    <s v="1K"/>
    <n v="79000"/>
    <n v="3000"/>
    <n v="0"/>
    <n v="0"/>
    <n v="82000"/>
    <n v="89000"/>
    <n v="0"/>
    <n v="89000"/>
    <n v="82000"/>
    <s v="日本人等"/>
    <s v="yes"/>
    <s v=""/>
    <m/>
    <s v="105_701"/>
    <n v="75000"/>
    <m/>
    <n v="1"/>
    <n v="82000"/>
    <n v="7000"/>
    <n v="7000"/>
    <n v="1"/>
    <x v="0"/>
  </r>
  <r>
    <n v="111"/>
    <n v="105"/>
    <x v="4"/>
    <s v="702"/>
    <n v="28.62"/>
    <n v="631"/>
    <x v="0"/>
    <s v="2DK"/>
    <n v="105000"/>
    <n v="5000"/>
    <n v="0"/>
    <n v="0"/>
    <n v="110000"/>
    <n v="110000"/>
    <n v="0"/>
    <n v="110000"/>
    <n v="110000"/>
    <s v="中華系"/>
    <s v="yes"/>
    <s v=""/>
    <m/>
    <s v="105_702"/>
    <n v="100000"/>
    <m/>
    <n v="1"/>
    <n v="110000"/>
    <n v="0"/>
    <n v="10000"/>
    <n v="1"/>
    <x v="0"/>
  </r>
  <r>
    <n v="112"/>
    <n v="105"/>
    <x v="4"/>
    <s v="703"/>
    <n v="33.39"/>
    <n v="631"/>
    <x v="0"/>
    <s v="2DK"/>
    <n v="115000"/>
    <n v="0"/>
    <n v="1852"/>
    <n v="185"/>
    <n v="117037"/>
    <n v="117037"/>
    <n v="0"/>
    <n v="117037"/>
    <n v="117037"/>
    <s v="日本人等"/>
    <s v="yes"/>
    <s v=""/>
    <m/>
    <s v="105_703"/>
    <n v="117000"/>
    <m/>
    <n v="1"/>
    <n v="116852"/>
    <n v="185"/>
    <n v="-148"/>
    <n v="1"/>
    <x v="0"/>
  </r>
  <r>
    <n v="113"/>
    <n v="105"/>
    <x v="4"/>
    <s v="P1"/>
    <n v="0"/>
    <n v="634"/>
    <x v="4"/>
    <s v="駐車場"/>
    <n v="35000"/>
    <n v="0"/>
    <n v="0"/>
    <n v="3500"/>
    <n v="38500"/>
    <n v="35000"/>
    <n v="3500"/>
    <n v="38500"/>
    <n v="38500"/>
    <s v="法人契約"/>
    <s v="yes"/>
    <s v=""/>
    <m/>
    <s v="105_P1"/>
    <n v="35000"/>
    <m/>
    <n v="1"/>
    <n v="35000"/>
    <n v="0"/>
    <n v="0"/>
    <n v="1"/>
    <x v="0"/>
  </r>
  <r>
    <n v="114"/>
    <n v="105"/>
    <x v="4"/>
    <s v="P2"/>
    <n v="0"/>
    <n v="634"/>
    <x v="4"/>
    <s v="駐車場"/>
    <n v="35000"/>
    <n v="0"/>
    <n v="0"/>
    <n v="3500"/>
    <n v="38500"/>
    <n v="35000"/>
    <n v="3500"/>
    <n v="38500"/>
    <n v="38500"/>
    <s v="法人契約"/>
    <s v="yes"/>
    <s v=""/>
    <m/>
    <s v="105_P2"/>
    <n v="35000"/>
    <m/>
    <n v="1"/>
    <n v="35000"/>
    <n v="0"/>
    <n v="0"/>
    <n v="1"/>
    <x v="0"/>
  </r>
  <r>
    <n v="115"/>
    <n v="105"/>
    <x v="4"/>
    <s v="A01"/>
    <n v="47.62"/>
    <n v="633"/>
    <x v="5"/>
    <s v="倉庫"/>
    <n v="90000"/>
    <n v="0"/>
    <n v="0"/>
    <n v="9000"/>
    <n v="99000"/>
    <n v="90000"/>
    <n v="9000"/>
    <n v="99000"/>
    <n v="99000"/>
    <s v="法人契約"/>
    <s v="yes"/>
    <s v=""/>
    <m/>
    <s v="105_A01"/>
    <n v="90000"/>
    <m/>
    <n v="1"/>
    <n v="90000"/>
    <n v="0"/>
    <n v="0"/>
    <n v="1"/>
    <x v="0"/>
  </r>
  <r>
    <n v="116"/>
    <n v="105"/>
    <x v="4"/>
    <s v="RF1"/>
    <n v="0"/>
    <n v="635"/>
    <x v="2"/>
    <s v="その他"/>
    <n v="12000"/>
    <n v="0"/>
    <n v="0"/>
    <n v="1200"/>
    <n v="13200"/>
    <n v="12000"/>
    <n v="1199.9999999999998"/>
    <n v="13200"/>
    <n v="13200"/>
    <s v="法人契約"/>
    <s v="yes"/>
    <s v=""/>
    <m/>
    <s v="105_RF1"/>
    <n v="0"/>
    <m/>
    <n v="1"/>
    <n v="12000"/>
    <n v="0"/>
    <n v="12000"/>
    <n v="1"/>
    <x v="0"/>
  </r>
  <r>
    <n v="117"/>
    <n v="105"/>
    <x v="4"/>
    <s v="RF2"/>
    <n v="0"/>
    <n v="635"/>
    <x v="2"/>
    <s v="その他"/>
    <n v="22324"/>
    <n v="0"/>
    <n v="0"/>
    <n v="0"/>
    <n v="22324"/>
    <n v="20294"/>
    <n v="2029.4545454545453"/>
    <n v="22323.454545454544"/>
    <n v="22324"/>
    <s v="法人契約"/>
    <s v="yes"/>
    <s v="ソフトバンクモバイル"/>
    <m/>
    <s v="105_RF2"/>
    <n v="22324"/>
    <m/>
    <n v="1"/>
    <n v="22324"/>
    <n v="-2030"/>
    <n v="0"/>
    <n v="1"/>
    <x v="0"/>
  </r>
  <r>
    <n v="118"/>
    <n v="105"/>
    <x v="4"/>
    <s v="NTF1"/>
    <s v="-"/>
    <n v="639"/>
    <x v="3"/>
    <s v="その他"/>
    <n v="0"/>
    <n v="0"/>
    <n v="0"/>
    <n v="0"/>
    <n v="0"/>
    <n v="0"/>
    <n v="0"/>
    <n v="0"/>
    <n v="0"/>
    <s v="-"/>
    <s v="no"/>
    <s v="フレッツ光"/>
    <m/>
    <s v="105_NTF1"/>
    <n v="0"/>
    <m/>
    <n v="0"/>
    <n v="0"/>
    <n v="0"/>
    <n v="0"/>
    <n v="0"/>
    <x v="0"/>
  </r>
  <r>
    <n v="119"/>
    <n v="105"/>
    <x v="4"/>
    <s v="NTD1"/>
    <s v="-"/>
    <n v="639"/>
    <x v="3"/>
    <s v="その他"/>
    <n v="0"/>
    <n v="0"/>
    <n v="0"/>
    <n v="0"/>
    <n v="0"/>
    <n v="0"/>
    <n v="0"/>
    <n v="0"/>
    <n v="0"/>
    <s v="-"/>
    <s v="no"/>
    <s v="電柱"/>
    <m/>
    <s v="105_NTD1"/>
    <n v="0"/>
    <m/>
    <n v="0"/>
    <n v="0"/>
    <n v="0"/>
    <n v="0"/>
    <n v="0"/>
    <x v="0"/>
  </r>
  <r>
    <n v="120"/>
    <n v="106"/>
    <x v="5"/>
    <s v="101"/>
    <n v="48.36"/>
    <n v="631"/>
    <x v="0"/>
    <s v="2DK"/>
    <n v="116000"/>
    <n v="10000"/>
    <n v="0"/>
    <n v="0"/>
    <n v="126000"/>
    <n v="158000"/>
    <n v="0"/>
    <n v="158000"/>
    <n v="126000"/>
    <s v="中華系"/>
    <s v="yes"/>
    <s v=""/>
    <m/>
    <s v="106_101"/>
    <n v="127000"/>
    <m/>
    <n v="1"/>
    <n v="126000"/>
    <n v="32000"/>
    <n v="-1000"/>
    <n v="1"/>
    <x v="0"/>
  </r>
  <r>
    <n v="121"/>
    <n v="106"/>
    <x v="5"/>
    <s v="102"/>
    <n v="52.75"/>
    <n v="631"/>
    <x v="0"/>
    <s v="3DK"/>
    <n v="157000"/>
    <n v="10000"/>
    <n v="0"/>
    <n v="0"/>
    <n v="167000"/>
    <n v="167000"/>
    <n v="0"/>
    <n v="167000"/>
    <n v="167000"/>
    <s v="日本人等"/>
    <s v="yes"/>
    <s v=""/>
    <m/>
    <s v="106_102"/>
    <n v="139000"/>
    <m/>
    <n v="1"/>
    <n v="167000"/>
    <n v="0"/>
    <n v="28000"/>
    <n v="1"/>
    <x v="0"/>
  </r>
  <r>
    <n v="122"/>
    <n v="106"/>
    <x v="5"/>
    <s v="201"/>
    <n v="43.2"/>
    <n v="631"/>
    <x v="0"/>
    <s v="2DK"/>
    <n v="122000"/>
    <n v="7000"/>
    <n v="0"/>
    <n v="0"/>
    <n v="129000"/>
    <n v="129000"/>
    <n v="0"/>
    <n v="129000"/>
    <n v="129000"/>
    <s v="日本人等"/>
    <s v="yes"/>
    <s v=""/>
    <m/>
    <s v="106_201"/>
    <n v="129000"/>
    <m/>
    <n v="1"/>
    <n v="129000"/>
    <n v="0"/>
    <n v="0"/>
    <n v="1"/>
    <x v="0"/>
  </r>
  <r>
    <n v="123"/>
    <n v="106"/>
    <x v="5"/>
    <s v="202"/>
    <n v="43.2"/>
    <n v="631"/>
    <x v="0"/>
    <s v="2DK"/>
    <n v="140000"/>
    <n v="10000"/>
    <n v="0"/>
    <n v="0"/>
    <n v="150000"/>
    <n v="152000"/>
    <n v="0"/>
    <n v="152000"/>
    <n v="150000"/>
    <s v="中華系"/>
    <s v="yes"/>
    <s v=""/>
    <m/>
    <s v="106_202"/>
    <n v="133000"/>
    <m/>
    <n v="1"/>
    <n v="150000"/>
    <n v="2000"/>
    <n v="17000"/>
    <n v="1"/>
    <x v="0"/>
  </r>
  <r>
    <n v="124"/>
    <n v="106"/>
    <x v="5"/>
    <s v="203"/>
    <n v="48.36"/>
    <n v="631"/>
    <x v="0"/>
    <s v="2DK"/>
    <n v="124000"/>
    <n v="10000"/>
    <n v="0"/>
    <n v="0"/>
    <n v="134000"/>
    <n v="134000"/>
    <n v="0"/>
    <n v="134000"/>
    <n v="134000"/>
    <s v="中華系"/>
    <s v="yes"/>
    <s v=""/>
    <m/>
    <s v="106_203"/>
    <n v="137000"/>
    <m/>
    <n v="1"/>
    <n v="134000"/>
    <n v="0"/>
    <n v="-3000"/>
    <n v="1"/>
    <x v="0"/>
  </r>
  <r>
    <n v="125"/>
    <n v="106"/>
    <x v="5"/>
    <s v="204"/>
    <n v="52.75"/>
    <n v="631"/>
    <x v="0"/>
    <s v="3DK"/>
    <n v="160000"/>
    <n v="10000"/>
    <n v="0"/>
    <n v="0"/>
    <n v="170000"/>
    <n v="168000"/>
    <n v="0"/>
    <n v="168000"/>
    <n v="170000"/>
    <s v="中華系"/>
    <s v="yes"/>
    <s v=""/>
    <m/>
    <s v="106_204"/>
    <n v="141000"/>
    <m/>
    <n v="1"/>
    <n v="170000"/>
    <n v="-2000"/>
    <n v="29000"/>
    <n v="1"/>
    <x v="0"/>
  </r>
  <r>
    <n v="126"/>
    <n v="106"/>
    <x v="5"/>
    <s v="301"/>
    <n v="43.2"/>
    <n v="631"/>
    <x v="0"/>
    <s v="2DK"/>
    <n v="140000"/>
    <n v="10000"/>
    <n v="0"/>
    <n v="0"/>
    <n v="150000"/>
    <n v="135000"/>
    <n v="0"/>
    <n v="135000"/>
    <n v="150000"/>
    <s v="中華系"/>
    <s v="yes"/>
    <s v=""/>
    <m/>
    <s v="106_301"/>
    <n v="132000"/>
    <m/>
    <n v="1"/>
    <n v="150000"/>
    <n v="-15000"/>
    <n v="18000"/>
    <n v="1"/>
    <x v="0"/>
  </r>
  <r>
    <n v="127"/>
    <n v="106"/>
    <x v="5"/>
    <s v="302"/>
    <n v="43.2"/>
    <n v="631"/>
    <x v="0"/>
    <s v="2DK"/>
    <n v="142000"/>
    <n v="10000"/>
    <n v="0"/>
    <n v="0"/>
    <n v="152000"/>
    <n v="150000"/>
    <n v="0"/>
    <n v="150000"/>
    <n v="152000"/>
    <s v="中華系"/>
    <s v="yes"/>
    <s v=""/>
    <m/>
    <s v="106_302"/>
    <n v="135000"/>
    <m/>
    <n v="1"/>
    <n v="152000"/>
    <n v="-2000"/>
    <n v="17000"/>
    <n v="1"/>
    <x v="0"/>
  </r>
  <r>
    <n v="128"/>
    <n v="106"/>
    <x v="5"/>
    <s v="303"/>
    <n v="48.36"/>
    <n v="631"/>
    <x v="0"/>
    <s v="2DK"/>
    <n v="135000"/>
    <n v="10000"/>
    <n v="0"/>
    <n v="0"/>
    <n v="145000"/>
    <n v="145000"/>
    <n v="0"/>
    <n v="145000"/>
    <n v="145000"/>
    <s v="中華系"/>
    <s v="yes"/>
    <s v=""/>
    <m/>
    <s v="106_303"/>
    <n v="135000"/>
    <m/>
    <n v="1"/>
    <n v="145000"/>
    <n v="0"/>
    <n v="10000"/>
    <n v="1"/>
    <x v="0"/>
  </r>
  <r>
    <n v="129"/>
    <n v="106"/>
    <x v="5"/>
    <s v="304"/>
    <n v="52.75"/>
    <n v="631"/>
    <x v="0"/>
    <s v="3DK"/>
    <n v="160000"/>
    <n v="10000"/>
    <n v="0"/>
    <n v="0"/>
    <n v="170000"/>
    <n v="168000"/>
    <n v="0"/>
    <n v="168000"/>
    <n v="170000"/>
    <s v="住居法人契約"/>
    <s v="yes"/>
    <s v=""/>
    <m/>
    <s v="106_304"/>
    <n v="158000"/>
    <m/>
    <n v="1"/>
    <n v="170000"/>
    <n v="-2000"/>
    <n v="12000"/>
    <n v="1"/>
    <x v="0"/>
  </r>
  <r>
    <n v="130"/>
    <n v="106"/>
    <x v="5"/>
    <s v="401"/>
    <n v="39.42"/>
    <n v="631"/>
    <x v="0"/>
    <s v="1LDK"/>
    <n v="125000"/>
    <n v="10000"/>
    <n v="0"/>
    <n v="0"/>
    <n v="135000"/>
    <n v="123000"/>
    <n v="0"/>
    <n v="123000"/>
    <n v="135000"/>
    <s v="中華系"/>
    <s v="yes"/>
    <s v=""/>
    <m/>
    <s v="106_401"/>
    <n v="123000"/>
    <m/>
    <n v="1"/>
    <n v="135000"/>
    <n v="-12000"/>
    <n v="12000"/>
    <n v="1"/>
    <x v="0"/>
  </r>
  <r>
    <n v="131"/>
    <n v="106"/>
    <x v="5"/>
    <s v="402"/>
    <n v="43.2"/>
    <n v="631"/>
    <x v="0"/>
    <s v="2DK"/>
    <n v="150000"/>
    <n v="10000"/>
    <n v="0"/>
    <n v="0"/>
    <n v="160000"/>
    <n v="160000"/>
    <n v="0"/>
    <n v="160000"/>
    <n v="160000"/>
    <s v="中華系"/>
    <s v="yes"/>
    <s v=""/>
    <m/>
    <s v="106_402"/>
    <n v="147000"/>
    <m/>
    <n v="1"/>
    <n v="160000"/>
    <n v="0"/>
    <n v="13000"/>
    <n v="1"/>
    <x v="0"/>
  </r>
  <r>
    <n v="132"/>
    <n v="106"/>
    <x v="5"/>
    <s v="403"/>
    <n v="48.36"/>
    <n v="631"/>
    <x v="0"/>
    <s v="2DK"/>
    <n v="125000"/>
    <n v="10000"/>
    <n v="0"/>
    <n v="0"/>
    <n v="135000"/>
    <n v="135000"/>
    <n v="0"/>
    <n v="135000"/>
    <n v="135000"/>
    <s v="中華系"/>
    <s v="yes"/>
    <s v=""/>
    <m/>
    <s v="106_403"/>
    <n v="135000"/>
    <m/>
    <n v="1"/>
    <n v="135000"/>
    <n v="0"/>
    <n v="0"/>
    <n v="1"/>
    <x v="0"/>
  </r>
  <r>
    <n v="133"/>
    <n v="106"/>
    <x v="5"/>
    <s v="404"/>
    <n v="52.75"/>
    <n v="631"/>
    <x v="0"/>
    <s v="3DK"/>
    <n v="140000"/>
    <n v="10000"/>
    <n v="0"/>
    <n v="0"/>
    <n v="150000"/>
    <n v="150000"/>
    <n v="0"/>
    <n v="150000"/>
    <n v="150000"/>
    <s v="日本人等"/>
    <s v="yes"/>
    <s v=""/>
    <m/>
    <s v="106_404"/>
    <n v="150000"/>
    <m/>
    <n v="1"/>
    <n v="150000"/>
    <n v="0"/>
    <n v="0"/>
    <n v="1"/>
    <x v="0"/>
  </r>
  <r>
    <n v="134"/>
    <n v="106"/>
    <x v="5"/>
    <s v="501"/>
    <n v="29.16"/>
    <n v="631"/>
    <x v="0"/>
    <s v="1K"/>
    <n v="85000"/>
    <n v="10000"/>
    <n v="0"/>
    <n v="0"/>
    <n v="95000"/>
    <n v="95000"/>
    <n v="0"/>
    <n v="95000"/>
    <n v="95000"/>
    <s v="日本人等"/>
    <s v="yes"/>
    <s v=""/>
    <m/>
    <s v="106_501"/>
    <n v="90000"/>
    <m/>
    <n v="1"/>
    <n v="95000"/>
    <n v="0"/>
    <n v="5000"/>
    <n v="1"/>
    <x v="0"/>
  </r>
  <r>
    <n v="135"/>
    <n v="106"/>
    <x v="5"/>
    <s v="502"/>
    <n v="43.2"/>
    <n v="631"/>
    <x v="0"/>
    <s v="2DK"/>
    <n v="145000"/>
    <n v="10000"/>
    <n v="0"/>
    <n v="0"/>
    <n v="155000"/>
    <n v="155000"/>
    <n v="0"/>
    <n v="155000"/>
    <n v="155000"/>
    <s v="中華系"/>
    <s v="yes"/>
    <s v=""/>
    <m/>
    <s v="106_502"/>
    <n v="138000"/>
    <m/>
    <n v="1"/>
    <n v="155000"/>
    <n v="0"/>
    <n v="17000"/>
    <n v="1"/>
    <x v="0"/>
  </r>
  <r>
    <n v="136"/>
    <n v="106"/>
    <x v="5"/>
    <s v="503"/>
    <n v="48.36"/>
    <n v="631"/>
    <x v="0"/>
    <s v="2DK"/>
    <n v="150000"/>
    <n v="10000"/>
    <n v="0"/>
    <n v="0"/>
    <n v="160000"/>
    <n v="160000"/>
    <n v="0"/>
    <n v="160000"/>
    <n v="160000"/>
    <s v="中華系"/>
    <s v="yes"/>
    <s v=""/>
    <m/>
    <s v="106_503"/>
    <n v="137000"/>
    <m/>
    <n v="1"/>
    <n v="160000"/>
    <n v="0"/>
    <n v="23000"/>
    <n v="1"/>
    <x v="0"/>
  </r>
  <r>
    <n v="137"/>
    <n v="106"/>
    <x v="5"/>
    <s v="504"/>
    <n v="17.600000000000001"/>
    <n v="631"/>
    <x v="0"/>
    <s v="1K"/>
    <n v="160000"/>
    <n v="10000"/>
    <n v="0"/>
    <n v="0"/>
    <n v="170000"/>
    <n v="170000"/>
    <n v="0"/>
    <n v="170000"/>
    <n v="170000"/>
    <s v="住居法人契約"/>
    <s v="yes"/>
    <s v=""/>
    <m/>
    <s v="106_504"/>
    <n v="146000"/>
    <m/>
    <n v="1"/>
    <n v="170000"/>
    <n v="0"/>
    <n v="24000"/>
    <n v="1"/>
    <x v="0"/>
  </r>
  <r>
    <n v="138"/>
    <n v="106"/>
    <x v="5"/>
    <s v="601"/>
    <n v="55.84"/>
    <n v="631"/>
    <x v="0"/>
    <s v="3DK"/>
    <n v="170000"/>
    <n v="10000"/>
    <n v="0"/>
    <n v="0"/>
    <n v="180000"/>
    <n v="148000"/>
    <n v="0"/>
    <n v="148000"/>
    <n v="180000"/>
    <s v="中華系"/>
    <s v="yes"/>
    <s v=""/>
    <m/>
    <s v="106_601"/>
    <n v="148000"/>
    <m/>
    <n v="1"/>
    <n v="180000"/>
    <n v="-32000"/>
    <n v="32000"/>
    <n v="1"/>
    <x v="0"/>
  </r>
  <r>
    <n v="139"/>
    <n v="106"/>
    <x v="5"/>
    <s v="602"/>
    <n v="62.32"/>
    <n v="631"/>
    <x v="0"/>
    <s v="1LDK"/>
    <n v="180000"/>
    <n v="0"/>
    <n v="0"/>
    <n v="0"/>
    <n v="180000"/>
    <n v="180000"/>
    <n v="0"/>
    <n v="180000"/>
    <n v="180000"/>
    <s v="住居法人契約"/>
    <s v="yes"/>
    <s v=""/>
    <m/>
    <s v="106_602"/>
    <n v="165000"/>
    <m/>
    <n v="1"/>
    <n v="180000"/>
    <n v="0"/>
    <n v="15000"/>
    <n v="1"/>
    <x v="0"/>
  </r>
  <r>
    <n v="140"/>
    <n v="106"/>
    <x v="5"/>
    <s v="603"/>
    <n v="17.600000000000001"/>
    <n v="631"/>
    <x v="0"/>
    <s v="1K"/>
    <n v="68000"/>
    <n v="3000"/>
    <n v="0"/>
    <n v="0"/>
    <n v="71000"/>
    <n v="78000"/>
    <n v="0"/>
    <n v="78000"/>
    <n v="71000"/>
    <s v="中華系"/>
    <s v="yes"/>
    <s v=""/>
    <m/>
    <s v="106_603"/>
    <n v="75000"/>
    <m/>
    <n v="1"/>
    <n v="71000"/>
    <n v="7000"/>
    <n v="-4000"/>
    <n v="1"/>
    <x v="0"/>
  </r>
  <r>
    <n v="141"/>
    <n v="106"/>
    <x v="5"/>
    <s v="RF1"/>
    <n v="0"/>
    <n v="635"/>
    <x v="2"/>
    <s v="その他"/>
    <n v="12000"/>
    <n v="0"/>
    <n v="0"/>
    <n v="1200"/>
    <n v="13200"/>
    <n v="12000"/>
    <n v="1199.9999999999998"/>
    <n v="13200"/>
    <n v="13200"/>
    <s v="-"/>
    <s v="yes"/>
    <s v=""/>
    <m/>
    <s v="106_RF1"/>
    <n v="0"/>
    <m/>
    <n v="1"/>
    <n v="12000"/>
    <n v="0"/>
    <n v="12000"/>
    <n v="1"/>
    <x v="0"/>
  </r>
  <r>
    <n v="142"/>
    <n v="106"/>
    <x v="5"/>
    <s v="NTF1"/>
    <s v="-"/>
    <n v="639"/>
    <x v="3"/>
    <s v="その他"/>
    <n v="0"/>
    <n v="0"/>
    <n v="0"/>
    <n v="0"/>
    <n v="0"/>
    <n v="0"/>
    <n v="0"/>
    <n v="0"/>
    <n v="0"/>
    <s v="-"/>
    <s v="no"/>
    <s v="フレッツ光"/>
    <m/>
    <s v="106_NTF1"/>
    <n v="0"/>
    <m/>
    <n v="0"/>
    <n v="0"/>
    <n v="0"/>
    <n v="0"/>
    <n v="0"/>
    <x v="0"/>
  </r>
  <r>
    <n v="143"/>
    <n v="107"/>
    <x v="6"/>
    <s v="201"/>
    <n v="16.87"/>
    <n v="631"/>
    <x v="0"/>
    <s v="1R"/>
    <n v="52000"/>
    <n v="3000"/>
    <n v="0"/>
    <n v="0"/>
    <n v="55000"/>
    <n v="61000"/>
    <n v="0"/>
    <n v="61000"/>
    <n v="55000"/>
    <s v="日本人等"/>
    <s v="yes"/>
    <s v=""/>
    <m/>
    <s v="107_201"/>
    <n v="61000"/>
    <m/>
    <n v="1"/>
    <n v="55000"/>
    <n v="6000"/>
    <n v="-6000"/>
    <n v="1"/>
    <x v="0"/>
  </r>
  <r>
    <n v="144"/>
    <n v="107"/>
    <x v="6"/>
    <s v="202"/>
    <n v="16.87"/>
    <n v="631"/>
    <x v="0"/>
    <s v="1R"/>
    <n v="56000"/>
    <n v="3000"/>
    <n v="0"/>
    <n v="0"/>
    <n v="59000"/>
    <n v="59000"/>
    <n v="0"/>
    <n v="59000"/>
    <n v="59000"/>
    <s v="日本人等"/>
    <s v="yes"/>
    <s v=""/>
    <m/>
    <s v="107_202"/>
    <n v="59000"/>
    <m/>
    <n v="1"/>
    <n v="59000"/>
    <n v="0"/>
    <n v="0"/>
    <n v="1"/>
    <x v="0"/>
  </r>
  <r>
    <n v="145"/>
    <n v="107"/>
    <x v="6"/>
    <s v="203"/>
    <n v="19.54"/>
    <n v="631"/>
    <x v="0"/>
    <s v="1R"/>
    <n v="57000"/>
    <n v="3000"/>
    <n v="0"/>
    <n v="0"/>
    <n v="60000"/>
    <n v="60000"/>
    <n v="0"/>
    <n v="60000"/>
    <n v="60000"/>
    <s v="日本人等"/>
    <s v="yes"/>
    <s v=""/>
    <m/>
    <s v="107_203"/>
    <n v="59000"/>
    <m/>
    <n v="1"/>
    <n v="60000"/>
    <n v="0"/>
    <n v="1000"/>
    <n v="1"/>
    <x v="0"/>
  </r>
  <r>
    <n v="146"/>
    <n v="107"/>
    <x v="6"/>
    <s v="205"/>
    <n v="19.54"/>
    <n v="631"/>
    <x v="0"/>
    <s v="1R"/>
    <n v="61000"/>
    <n v="3000"/>
    <n v="0"/>
    <n v="0"/>
    <n v="64000"/>
    <n v="64000"/>
    <n v="0"/>
    <n v="64000"/>
    <n v="64000"/>
    <s v="日本人等"/>
    <s v="yes"/>
    <s v=""/>
    <m/>
    <s v="107_205"/>
    <n v="64000"/>
    <m/>
    <n v="1"/>
    <n v="64000"/>
    <n v="0"/>
    <n v="0"/>
    <n v="1"/>
    <x v="0"/>
  </r>
  <r>
    <n v="147"/>
    <n v="107"/>
    <x v="6"/>
    <s v="206"/>
    <n v="17.100000000000001"/>
    <n v="631"/>
    <x v="0"/>
    <s v="1R"/>
    <n v="67000"/>
    <n v="0"/>
    <n v="0"/>
    <n v="0"/>
    <n v="67000"/>
    <n v="67000"/>
    <n v="0"/>
    <n v="67000"/>
    <n v="67000"/>
    <s v="日本人等"/>
    <s v="yes"/>
    <s v=""/>
    <m/>
    <s v="107_206"/>
    <n v="70000"/>
    <m/>
    <n v="1"/>
    <n v="67000"/>
    <n v="0"/>
    <n v="-3000"/>
    <n v="1"/>
    <x v="0"/>
  </r>
  <r>
    <n v="148"/>
    <n v="107"/>
    <x v="6"/>
    <s v="207"/>
    <n v="17.100000000000001"/>
    <n v="631"/>
    <x v="0"/>
    <s v="1R"/>
    <n v="51000"/>
    <n v="3000"/>
    <n v="0"/>
    <n v="0"/>
    <n v="54000"/>
    <n v="63000"/>
    <n v="0"/>
    <n v="63000"/>
    <n v="54000"/>
    <s v="日本人等"/>
    <s v="yes"/>
    <s v=""/>
    <m/>
    <s v="107_207"/>
    <n v="63000"/>
    <m/>
    <n v="1"/>
    <n v="54000"/>
    <n v="9000"/>
    <n v="-9000"/>
    <n v="1"/>
    <x v="0"/>
  </r>
  <r>
    <n v="149"/>
    <n v="107"/>
    <x v="6"/>
    <s v="208"/>
    <n v="16.96"/>
    <n v="631"/>
    <x v="0"/>
    <s v="1R"/>
    <n v="59000"/>
    <n v="2000"/>
    <n v="0"/>
    <n v="0"/>
    <n v="61000"/>
    <n v="61000"/>
    <n v="0"/>
    <n v="61000"/>
    <n v="61000"/>
    <s v="日本人等"/>
    <s v="yes"/>
    <s v=""/>
    <m/>
    <s v="107_208"/>
    <n v="59000"/>
    <m/>
    <n v="1"/>
    <n v="61000"/>
    <n v="0"/>
    <n v="2000"/>
    <n v="1"/>
    <x v="0"/>
  </r>
  <r>
    <n v="150"/>
    <n v="107"/>
    <x v="6"/>
    <s v="210"/>
    <n v="19.54"/>
    <n v="631"/>
    <x v="0"/>
    <s v="1R"/>
    <n v="59000"/>
    <n v="3000"/>
    <n v="0"/>
    <n v="0"/>
    <n v="62000"/>
    <n v="62000"/>
    <n v="0"/>
    <n v="62000"/>
    <n v="62000"/>
    <s v="欧米先進国"/>
    <s v="yes"/>
    <s v=""/>
    <m/>
    <s v="107_210"/>
    <n v="65000"/>
    <m/>
    <n v="1"/>
    <n v="62000"/>
    <n v="0"/>
    <n v="-3000"/>
    <n v="1"/>
    <x v="0"/>
  </r>
  <r>
    <n v="151"/>
    <n v="107"/>
    <x v="6"/>
    <s v="211"/>
    <n v="18.47"/>
    <n v="631"/>
    <x v="0"/>
    <s v="1R"/>
    <n v="60000"/>
    <n v="5000"/>
    <n v="0"/>
    <n v="0"/>
    <n v="65000"/>
    <n v="65000"/>
    <n v="0"/>
    <n v="65000"/>
    <n v="65000"/>
    <s v="日本人等"/>
    <s v="yes"/>
    <s v=""/>
    <m/>
    <s v="107_211"/>
    <n v="65000"/>
    <m/>
    <n v="1"/>
    <n v="65000"/>
    <n v="0"/>
    <n v="0"/>
    <n v="1"/>
    <x v="0"/>
  </r>
  <r>
    <n v="152"/>
    <n v="107"/>
    <x v="6"/>
    <s v="212"/>
    <n v="18.47"/>
    <n v="631"/>
    <x v="0"/>
    <s v="1R"/>
    <n v="62000"/>
    <n v="0"/>
    <n v="0"/>
    <n v="0"/>
    <n v="62000"/>
    <n v="62000"/>
    <n v="0"/>
    <n v="62000"/>
    <n v="62000"/>
    <s v="日本人等"/>
    <s v="yes"/>
    <s v=""/>
    <m/>
    <s v="107_212"/>
    <n v="65000"/>
    <m/>
    <n v="1"/>
    <n v="62000"/>
    <n v="0"/>
    <n v="-3000"/>
    <n v="1"/>
    <x v="0"/>
  </r>
  <r>
    <n v="153"/>
    <n v="107"/>
    <x v="6"/>
    <s v="213"/>
    <n v="18.47"/>
    <n v="631"/>
    <x v="0"/>
    <s v="1R"/>
    <n v="69000"/>
    <n v="3000"/>
    <n v="0"/>
    <n v="0"/>
    <n v="72000"/>
    <n v="72000"/>
    <n v="0"/>
    <n v="72000"/>
    <n v="72000"/>
    <s v="日本人等"/>
    <s v="yes"/>
    <s v=""/>
    <m/>
    <s v="107_213"/>
    <n v="72000"/>
    <m/>
    <n v="1"/>
    <n v="72000"/>
    <n v="0"/>
    <n v="0"/>
    <n v="1"/>
    <x v="0"/>
  </r>
  <r>
    <n v="154"/>
    <n v="107"/>
    <x v="6"/>
    <s v="215"/>
    <n v="18.47"/>
    <n v="631"/>
    <x v="0"/>
    <s v="1R"/>
    <n v="60000"/>
    <n v="3000"/>
    <n v="0"/>
    <n v="0"/>
    <n v="63000"/>
    <n v="63000"/>
    <n v="0"/>
    <n v="63000"/>
    <n v="63000"/>
    <s v="日本人等"/>
    <s v="yes"/>
    <s v=""/>
    <m/>
    <s v="107_215"/>
    <n v="65000"/>
    <m/>
    <n v="1"/>
    <n v="63000"/>
    <n v="0"/>
    <n v="-2000"/>
    <n v="1"/>
    <x v="0"/>
  </r>
  <r>
    <n v="155"/>
    <n v="107"/>
    <x v="6"/>
    <s v="301"/>
    <n v="19.54"/>
    <n v="631"/>
    <x v="0"/>
    <s v="1R"/>
    <n v="57000"/>
    <n v="3000"/>
    <n v="0"/>
    <n v="0"/>
    <n v="60000"/>
    <n v="60000"/>
    <n v="0"/>
    <n v="60000"/>
    <n v="60000"/>
    <s v="日本人等"/>
    <s v="yes"/>
    <s v=""/>
    <m/>
    <s v="107_301"/>
    <n v="60000"/>
    <m/>
    <n v="1"/>
    <n v="60000"/>
    <n v="0"/>
    <n v="0"/>
    <n v="1"/>
    <x v="0"/>
  </r>
  <r>
    <n v="156"/>
    <n v="107"/>
    <x v="6"/>
    <s v="302"/>
    <n v="18.47"/>
    <n v="631"/>
    <x v="0"/>
    <s v="1R"/>
    <n v="58000"/>
    <n v="0"/>
    <n v="0"/>
    <n v="0"/>
    <n v="58000"/>
    <n v="58000"/>
    <n v="0"/>
    <n v="58000"/>
    <n v="58000"/>
    <s v="日本人等"/>
    <s v="yes"/>
    <s v=""/>
    <m/>
    <s v="107_302"/>
    <n v="58000"/>
    <m/>
    <n v="1"/>
    <n v="58000"/>
    <n v="0"/>
    <n v="0"/>
    <n v="1"/>
    <x v="0"/>
  </r>
  <r>
    <n v="157"/>
    <n v="107"/>
    <x v="6"/>
    <s v="303"/>
    <n v="27.28"/>
    <n v="631"/>
    <x v="0"/>
    <s v="1DK"/>
    <n v="82000"/>
    <n v="3000"/>
    <n v="0"/>
    <n v="0"/>
    <n v="85000"/>
    <n v="85000"/>
    <n v="0"/>
    <n v="85000"/>
    <n v="85000"/>
    <s v="中華系"/>
    <s v="yes"/>
    <s v=""/>
    <m/>
    <s v="107_303"/>
    <n v="88000"/>
    <m/>
    <n v="1"/>
    <n v="85000"/>
    <n v="0"/>
    <n v="-3000"/>
    <n v="1"/>
    <x v="0"/>
  </r>
  <r>
    <n v="158"/>
    <n v="107"/>
    <x v="6"/>
    <s v="305"/>
    <n v="17.47"/>
    <n v="631"/>
    <x v="0"/>
    <s v="1R"/>
    <n v="59000"/>
    <n v="3000"/>
    <n v="0"/>
    <n v="0"/>
    <n v="62000"/>
    <n v="62000"/>
    <n v="0"/>
    <n v="62000"/>
    <n v="62000"/>
    <s v="日本人等"/>
    <s v="yes"/>
    <s v=""/>
    <m/>
    <s v="107_305"/>
    <n v="62000"/>
    <m/>
    <n v="1"/>
    <n v="62000"/>
    <n v="0"/>
    <n v="0"/>
    <n v="1"/>
    <x v="0"/>
  </r>
  <r>
    <n v="159"/>
    <n v="107"/>
    <x v="6"/>
    <s v="306"/>
    <n v="16.96"/>
    <n v="631"/>
    <x v="0"/>
    <s v="1R"/>
    <n v="53700"/>
    <n v="5000"/>
    <n v="0"/>
    <n v="0"/>
    <n v="58700"/>
    <n v="58700"/>
    <n v="0"/>
    <n v="58700"/>
    <n v="58700"/>
    <s v="日本人等"/>
    <s v="yes"/>
    <s v=""/>
    <m/>
    <s v="107_306"/>
    <n v="59000"/>
    <m/>
    <n v="1"/>
    <n v="58700"/>
    <n v="0"/>
    <n v="-300"/>
    <n v="1"/>
    <x v="0"/>
  </r>
  <r>
    <n v="160"/>
    <n v="107"/>
    <x v="6"/>
    <s v="307"/>
    <n v="18.47"/>
    <n v="631"/>
    <x v="0"/>
    <s v="1R"/>
    <n v="63000"/>
    <n v="3000"/>
    <n v="0"/>
    <n v="0"/>
    <n v="66000"/>
    <n v="66000"/>
    <n v="0"/>
    <n v="66000"/>
    <n v="66000"/>
    <s v="日本人等"/>
    <s v="yes"/>
    <s v=""/>
    <m/>
    <s v="107_307"/>
    <n v="66000"/>
    <m/>
    <n v="1"/>
    <n v="66000"/>
    <n v="0"/>
    <n v="0"/>
    <n v="1"/>
    <x v="0"/>
  </r>
  <r>
    <n v="161"/>
    <n v="107"/>
    <x v="6"/>
    <s v="308"/>
    <n v="18.47"/>
    <n v="631"/>
    <x v="0"/>
    <s v="1R"/>
    <n v="59000"/>
    <n v="3000"/>
    <n v="0"/>
    <n v="0"/>
    <n v="62000"/>
    <n v="62000"/>
    <n v="0"/>
    <n v="62000"/>
    <n v="62000"/>
    <s v="日本人等"/>
    <s v="yes"/>
    <s v=""/>
    <m/>
    <s v="107_308"/>
    <n v="60000"/>
    <m/>
    <n v="1"/>
    <n v="62000"/>
    <n v="0"/>
    <n v="2000"/>
    <n v="1"/>
    <x v="0"/>
  </r>
  <r>
    <n v="162"/>
    <n v="107"/>
    <x v="6"/>
    <s v="310"/>
    <n v="19.54"/>
    <n v="631"/>
    <x v="0"/>
    <s v="1R"/>
    <n v="59000"/>
    <n v="2000"/>
    <n v="0"/>
    <n v="0"/>
    <n v="61000"/>
    <n v="61000"/>
    <n v="0"/>
    <n v="61000"/>
    <n v="61000"/>
    <s v="日本人等"/>
    <s v="yes"/>
    <s v=""/>
    <m/>
    <s v="107_310"/>
    <n v="62000"/>
    <m/>
    <n v="1"/>
    <n v="61000"/>
    <n v="0"/>
    <n v="-1000"/>
    <n v="1"/>
    <x v="0"/>
  </r>
  <r>
    <n v="163"/>
    <n v="107"/>
    <x v="6"/>
    <s v="311"/>
    <n v="18.47"/>
    <n v="631"/>
    <x v="0"/>
    <s v="1R"/>
    <n v="60000"/>
    <n v="3000"/>
    <n v="0"/>
    <n v="0"/>
    <n v="63000"/>
    <n v="61000"/>
    <n v="0"/>
    <n v="61000"/>
    <n v="63000"/>
    <s v="新興国系"/>
    <s v="yes"/>
    <s v=""/>
    <m/>
    <s v="107_311"/>
    <n v="63000"/>
    <m/>
    <n v="1"/>
    <n v="63000"/>
    <n v="-2000"/>
    <n v="0"/>
    <n v="1"/>
    <x v="0"/>
  </r>
  <r>
    <n v="164"/>
    <n v="107"/>
    <x v="6"/>
    <s v="312"/>
    <n v="16.2"/>
    <n v="631"/>
    <x v="0"/>
    <s v="1R"/>
    <n v="59000"/>
    <n v="0"/>
    <n v="0"/>
    <n v="0"/>
    <n v="59000"/>
    <n v="59000"/>
    <n v="0"/>
    <n v="59000"/>
    <n v="59000"/>
    <s v="日本人等"/>
    <s v="yes"/>
    <s v=""/>
    <m/>
    <s v="107_312"/>
    <n v="59000"/>
    <m/>
    <n v="1"/>
    <n v="59000"/>
    <n v="0"/>
    <n v="0"/>
    <n v="1"/>
    <x v="0"/>
  </r>
  <r>
    <n v="165"/>
    <n v="107"/>
    <x v="6"/>
    <s v="1F"/>
    <n v="430"/>
    <n v="633"/>
    <x v="5"/>
    <s v="店舗"/>
    <n v="1000000"/>
    <n v="0"/>
    <n v="0"/>
    <n v="100000"/>
    <n v="1100000"/>
    <n v="1000000"/>
    <n v="100000"/>
    <n v="1100000"/>
    <n v="1100000"/>
    <s v="法人契約"/>
    <s v="yes"/>
    <s v=""/>
    <m/>
    <s v="107_1F"/>
    <n v="1000000"/>
    <m/>
    <n v="1"/>
    <n v="1000000"/>
    <n v="0"/>
    <n v="0"/>
    <n v="1"/>
    <x v="0"/>
  </r>
  <r>
    <n v="166"/>
    <n v="107"/>
    <x v="6"/>
    <s v="NTD1"/>
    <s v="-"/>
    <n v="639"/>
    <x v="3"/>
    <s v="その他"/>
    <n v="0"/>
    <n v="0"/>
    <n v="0"/>
    <n v="0"/>
    <n v="0"/>
    <n v="0"/>
    <n v="0"/>
    <n v="0"/>
    <n v="0"/>
    <s v="-"/>
    <s v="no"/>
    <s v="電柱"/>
    <m/>
    <s v="107_NTD1"/>
    <n v="0"/>
    <m/>
    <n v="0"/>
    <n v="0"/>
    <n v="0"/>
    <n v="0"/>
    <n v="0"/>
    <x v="0"/>
  </r>
  <r>
    <n v="167"/>
    <n v="109"/>
    <x v="7"/>
    <s v="101"/>
    <n v="21.5"/>
    <n v="631"/>
    <x v="0"/>
    <s v="1K"/>
    <n v="50000"/>
    <n v="0"/>
    <n v="0"/>
    <n v="0"/>
    <n v="50000"/>
    <n v="50000"/>
    <n v="0"/>
    <n v="50000"/>
    <n v="50000"/>
    <s v="日本人等"/>
    <s v="yes"/>
    <s v=""/>
    <m/>
    <s v="109_101"/>
    <n v="20000"/>
    <m/>
    <n v="1"/>
    <n v="50000"/>
    <n v="0"/>
    <n v="30000"/>
    <n v="1"/>
    <x v="0"/>
  </r>
  <r>
    <n v="168"/>
    <n v="109"/>
    <x v="7"/>
    <s v="102"/>
    <n v="21.87"/>
    <n v="631"/>
    <x v="0"/>
    <s v="1DK"/>
    <n v="68000"/>
    <n v="0"/>
    <n v="0"/>
    <n v="0"/>
    <n v="68000"/>
    <n v="68000"/>
    <n v="0"/>
    <n v="68000"/>
    <n v="68000"/>
    <s v="日本人等"/>
    <s v="yes"/>
    <s v=""/>
    <m/>
    <s v="109_102"/>
    <n v="68000"/>
    <m/>
    <n v="1"/>
    <n v="68000"/>
    <n v="0"/>
    <n v="0"/>
    <n v="1"/>
    <x v="0"/>
  </r>
  <r>
    <n v="169"/>
    <n v="109"/>
    <x v="7"/>
    <s v="103"/>
    <n v="17.43"/>
    <n v="631"/>
    <x v="0"/>
    <s v="1R"/>
    <n v="62000"/>
    <n v="3000"/>
    <n v="0"/>
    <n v="0"/>
    <n v="65000"/>
    <n v="65000"/>
    <n v="0"/>
    <n v="65000"/>
    <n v="65000"/>
    <s v="新興国系"/>
    <s v="yes"/>
    <s v=""/>
    <m/>
    <s v="109_103"/>
    <n v="60000"/>
    <m/>
    <n v="1"/>
    <n v="65000"/>
    <n v="0"/>
    <n v="5000"/>
    <n v="1"/>
    <x v="0"/>
  </r>
  <r>
    <n v="170"/>
    <n v="109"/>
    <x v="7"/>
    <s v="105"/>
    <n v="21.77"/>
    <n v="631"/>
    <x v="0"/>
    <s v="1K"/>
    <n v="67000"/>
    <n v="3000"/>
    <n v="0"/>
    <n v="0"/>
    <n v="70000"/>
    <n v="78000"/>
    <n v="0"/>
    <n v="78000"/>
    <n v="70000"/>
    <s v="日本人等"/>
    <s v="yes"/>
    <s v=""/>
    <m/>
    <s v="109_105"/>
    <n v="82000"/>
    <m/>
    <n v="1"/>
    <n v="70000"/>
    <n v="8000"/>
    <n v="-12000"/>
    <n v="1"/>
    <x v="0"/>
  </r>
  <r>
    <n v="171"/>
    <n v="109"/>
    <x v="7"/>
    <s v="107"/>
    <n v="25.25"/>
    <n v="631"/>
    <x v="0"/>
    <s v="1DK"/>
    <n v="80000"/>
    <n v="3000"/>
    <n v="0"/>
    <n v="0"/>
    <n v="83000"/>
    <n v="86300"/>
    <n v="0"/>
    <n v="86300"/>
    <n v="83000"/>
    <s v="日本人等"/>
    <s v="yes"/>
    <s v=""/>
    <m/>
    <s v="109_107"/>
    <n v="86000"/>
    <m/>
    <n v="1"/>
    <n v="83000"/>
    <n v="3300"/>
    <n v="-3000"/>
    <n v="1"/>
    <x v="0"/>
  </r>
  <r>
    <n v="172"/>
    <n v="109"/>
    <x v="7"/>
    <s v="108"/>
    <n v="34"/>
    <n v="631"/>
    <x v="0"/>
    <s v="1DK"/>
    <n v="101000"/>
    <n v="5000"/>
    <n v="0"/>
    <n v="0"/>
    <n v="106000"/>
    <n v="95000"/>
    <n v="0"/>
    <n v="95000"/>
    <n v="106000"/>
    <s v="日本人等"/>
    <s v="yes"/>
    <s v=""/>
    <m/>
    <s v="109_108"/>
    <n v="95000"/>
    <m/>
    <n v="1"/>
    <n v="106000"/>
    <n v="-11000"/>
    <n v="11000"/>
    <n v="1"/>
    <x v="0"/>
  </r>
  <r>
    <n v="173"/>
    <n v="109"/>
    <x v="7"/>
    <s v="111"/>
    <n v="62.64"/>
    <n v="631"/>
    <x v="0"/>
    <s v="3LDK"/>
    <n v="145000"/>
    <n v="0"/>
    <n v="0"/>
    <n v="0"/>
    <n v="145000"/>
    <n v="145000"/>
    <n v="0"/>
    <n v="145000"/>
    <n v="145000"/>
    <s v="日本人等"/>
    <s v="yes"/>
    <s v=""/>
    <m/>
    <s v="109_111"/>
    <n v="145000"/>
    <m/>
    <n v="1"/>
    <n v="145000"/>
    <n v="0"/>
    <n v="0"/>
    <n v="1"/>
    <x v="0"/>
  </r>
  <r>
    <n v="174"/>
    <n v="109"/>
    <x v="7"/>
    <s v="112"/>
    <n v="62.64"/>
    <n v="631"/>
    <x v="0"/>
    <s v="3LDK"/>
    <n v="160000"/>
    <n v="5000"/>
    <n v="0"/>
    <n v="0"/>
    <n v="165000"/>
    <n v="165000"/>
    <n v="0"/>
    <n v="165000"/>
    <n v="165000"/>
    <s v="中華系"/>
    <s v="yes"/>
    <s v=""/>
    <m/>
    <s v="109_112"/>
    <n v="150000"/>
    <m/>
    <n v="1"/>
    <n v="165000"/>
    <n v="0"/>
    <n v="15000"/>
    <n v="1"/>
    <x v="0"/>
  </r>
  <r>
    <n v="175"/>
    <n v="109"/>
    <x v="7"/>
    <s v="221"/>
    <n v="62.64"/>
    <n v="631"/>
    <x v="0"/>
    <s v="3LDK"/>
    <n v="150000"/>
    <n v="0"/>
    <n v="0"/>
    <n v="0"/>
    <n v="150000"/>
    <n v="150000"/>
    <n v="0"/>
    <n v="150000"/>
    <n v="150000"/>
    <s v="住居法人契約"/>
    <s v="yes"/>
    <s v=""/>
    <m/>
    <s v="109_221"/>
    <n v="150000"/>
    <m/>
    <n v="1"/>
    <n v="150000"/>
    <n v="0"/>
    <n v="0"/>
    <n v="1"/>
    <x v="0"/>
  </r>
  <r>
    <n v="176"/>
    <n v="109"/>
    <x v="7"/>
    <s v="222"/>
    <n v="62.64"/>
    <n v="631"/>
    <x v="0"/>
    <s v="3LDK"/>
    <n v="175000"/>
    <n v="5000"/>
    <n v="0"/>
    <n v="0"/>
    <n v="180000"/>
    <n v="180000"/>
    <n v="0"/>
    <n v="180000"/>
    <n v="180000"/>
    <s v="日本人等"/>
    <s v="yes"/>
    <s v=""/>
    <m/>
    <s v="109_222"/>
    <n v="155000"/>
    <m/>
    <n v="1"/>
    <n v="180000"/>
    <n v="0"/>
    <n v="25000"/>
    <n v="1"/>
    <x v="0"/>
  </r>
  <r>
    <n v="177"/>
    <n v="109"/>
    <x v="7"/>
    <s v="331"/>
    <n v="62.64"/>
    <n v="631"/>
    <x v="0"/>
    <s v="3LDK"/>
    <n v="150000"/>
    <n v="0"/>
    <n v="0"/>
    <n v="0"/>
    <n v="150000"/>
    <n v="150000"/>
    <n v="0"/>
    <n v="150000"/>
    <n v="150000"/>
    <s v="日本人等"/>
    <s v="yes"/>
    <s v=""/>
    <m/>
    <s v="109_331"/>
    <n v="150000"/>
    <m/>
    <n v="1"/>
    <n v="150000"/>
    <n v="0"/>
    <n v="0"/>
    <n v="1"/>
    <x v="0"/>
  </r>
  <r>
    <n v="178"/>
    <n v="109"/>
    <x v="7"/>
    <s v="332"/>
    <n v="62.64"/>
    <n v="631"/>
    <x v="0"/>
    <s v="3LDK"/>
    <n v="180000"/>
    <n v="5000"/>
    <n v="0"/>
    <n v="0"/>
    <n v="185000"/>
    <n v="180000"/>
    <n v="0"/>
    <n v="180000"/>
    <n v="185000"/>
    <s v="日本人等"/>
    <s v="yes"/>
    <s v=""/>
    <m/>
    <s v="109_332"/>
    <n v="150000"/>
    <m/>
    <n v="1"/>
    <n v="185000"/>
    <n v="-5000"/>
    <n v="35000"/>
    <n v="1"/>
    <x v="0"/>
  </r>
  <r>
    <n v="179"/>
    <n v="109"/>
    <x v="7"/>
    <s v="P1"/>
    <n v="0"/>
    <n v="634"/>
    <x v="4"/>
    <s v="駐車場"/>
    <n v="24545"/>
    <n v="0"/>
    <n v="0"/>
    <n v="2455"/>
    <n v="27000"/>
    <n v="24545"/>
    <n v="2454.5454545454545"/>
    <n v="26999.545454545456"/>
    <n v="27000"/>
    <s v="法人契約"/>
    <s v="yes"/>
    <s v=""/>
    <m/>
    <s v="109_P1"/>
    <n v="25000"/>
    <m/>
    <n v="1"/>
    <n v="24545"/>
    <n v="0"/>
    <n v="-455"/>
    <n v="1"/>
    <x v="0"/>
  </r>
  <r>
    <n v="180"/>
    <n v="109"/>
    <x v="7"/>
    <s v="RF1"/>
    <n v="0"/>
    <n v="635"/>
    <x v="2"/>
    <s v="その他"/>
    <n v="53467"/>
    <n v="0"/>
    <n v="0"/>
    <n v="5346"/>
    <n v="58813"/>
    <n v="53466"/>
    <n v="5346.636363636364"/>
    <n v="58812.636363636368"/>
    <n v="58813"/>
    <s v="-"/>
    <s v="yes"/>
    <s v="ソフトバンクモバイル"/>
    <m/>
    <s v="109_RF1"/>
    <n v="53467"/>
    <m/>
    <n v="1"/>
    <n v="53467"/>
    <n v="-1"/>
    <n v="0"/>
    <n v="1"/>
    <x v="0"/>
  </r>
  <r>
    <n v="181"/>
    <n v="109"/>
    <x v="7"/>
    <s v="RF2"/>
    <n v="0"/>
    <n v="635"/>
    <x v="2"/>
    <s v="その他"/>
    <n v="12817"/>
    <n v="0"/>
    <n v="0"/>
    <n v="1281"/>
    <n v="14098"/>
    <n v="12816"/>
    <n v="1281.6363636363637"/>
    <n v="14097.636363636364"/>
    <n v="14098"/>
    <s v="-"/>
    <s v="yes"/>
    <s v="ドコモ"/>
    <m/>
    <s v="109_RF2"/>
    <n v="12817"/>
    <m/>
    <n v="1"/>
    <n v="12817"/>
    <n v="-1"/>
    <n v="0"/>
    <n v="1"/>
    <x v="0"/>
  </r>
  <r>
    <n v="182"/>
    <n v="109"/>
    <x v="7"/>
    <s v="NTF1"/>
    <s v="-"/>
    <n v="639"/>
    <x v="3"/>
    <s v="その他"/>
    <n v="0"/>
    <n v="0"/>
    <n v="0"/>
    <n v="0"/>
    <n v="0"/>
    <n v="0"/>
    <n v="0"/>
    <n v="0"/>
    <n v="0"/>
    <s v="-"/>
    <s v="no"/>
    <s v="フレッツ光"/>
    <m/>
    <s v="109_NTF1"/>
    <n v="0"/>
    <m/>
    <n v="0"/>
    <n v="0"/>
    <n v="0"/>
    <n v="0"/>
    <n v="0"/>
    <x v="0"/>
  </r>
  <r>
    <n v="183"/>
    <n v="109"/>
    <x v="7"/>
    <s v="100"/>
    <n v="0"/>
    <n v="636"/>
    <x v="6"/>
    <s v="倉庫"/>
    <n v="16000"/>
    <n v="0"/>
    <n v="0"/>
    <n v="1600"/>
    <n v="17600"/>
    <n v="16000"/>
    <n v="1600"/>
    <n v="17600"/>
    <n v="17600"/>
    <s v="日本人等"/>
    <s v="yes"/>
    <s v=""/>
    <m/>
    <s v="109_100"/>
    <n v="0"/>
    <m/>
    <n v="1"/>
    <n v="16000"/>
    <n v="0"/>
    <n v="16000"/>
    <n v="1"/>
    <x v="0"/>
  </r>
  <r>
    <n v="184"/>
    <n v="111"/>
    <x v="8"/>
    <s v="SL1"/>
    <s v="-"/>
    <n v="631"/>
    <x v="0"/>
    <s v="1K"/>
    <n v="1758634"/>
    <n v="0"/>
    <n v="0"/>
    <n v="0"/>
    <n v="1758634"/>
    <n v="1752707"/>
    <n v="0"/>
    <n v="1752707"/>
    <n v="1758634"/>
    <s v="一括貸し"/>
    <s v="yes"/>
    <s v="公益団体に一括貸し"/>
    <m/>
    <s v="111_SL1"/>
    <n v="1752707"/>
    <m/>
    <n v="1"/>
    <n v="1758634"/>
    <n v="-5927"/>
    <n v="5927"/>
    <n v="0"/>
    <x v="0"/>
  </r>
  <r>
    <n v="185"/>
    <n v="111"/>
    <x v="8"/>
    <s v="201"/>
    <n v="45.527000000000001"/>
    <n v="631"/>
    <x v="0"/>
    <s v="2DK"/>
    <s v="-"/>
    <s v="-"/>
    <s v="-"/>
    <s v="-"/>
    <n v="0"/>
    <n v="91000"/>
    <n v="0"/>
    <n v="91000"/>
    <n v="91000"/>
    <s v="-"/>
    <s v="yes"/>
    <s v="普通借家想定91000円"/>
    <m/>
    <s v="111_201"/>
    <n v="0"/>
    <m/>
    <n v="0"/>
    <n v="91000"/>
    <n v="0"/>
    <n v="91000"/>
    <n v="1"/>
    <x v="1"/>
  </r>
  <r>
    <n v="186"/>
    <n v="111"/>
    <x v="8"/>
    <s v="202"/>
    <n v="45.527000000000001"/>
    <n v="631"/>
    <x v="0"/>
    <s v="2DK"/>
    <s v="-"/>
    <s v="-"/>
    <s v="-"/>
    <s v="-"/>
    <n v="0"/>
    <n v="91000"/>
    <n v="0"/>
    <n v="91000"/>
    <n v="91000"/>
    <s v="-"/>
    <s v="yes"/>
    <s v="普通借家想定91000円"/>
    <m/>
    <s v="111_202"/>
    <n v="0"/>
    <m/>
    <n v="0"/>
    <n v="91000"/>
    <n v="0"/>
    <n v="91000"/>
    <n v="1"/>
    <x v="1"/>
  </r>
  <r>
    <n v="187"/>
    <n v="111"/>
    <x v="8"/>
    <s v="203"/>
    <n v="45.527000000000001"/>
    <n v="631"/>
    <x v="0"/>
    <s v="2DK"/>
    <s v="-"/>
    <s v="-"/>
    <s v="-"/>
    <s v="-"/>
    <n v="0"/>
    <n v="91000"/>
    <n v="0"/>
    <n v="91000"/>
    <n v="91000"/>
    <s v="-"/>
    <s v="yes"/>
    <s v="普通借家想定91000円"/>
    <m/>
    <s v="111_203"/>
    <n v="0"/>
    <m/>
    <n v="0"/>
    <n v="91000"/>
    <n v="0"/>
    <n v="91000"/>
    <n v="1"/>
    <x v="1"/>
  </r>
  <r>
    <n v="188"/>
    <n v="111"/>
    <x v="8"/>
    <s v="205"/>
    <n v="23.193000000000001"/>
    <n v="631"/>
    <x v="0"/>
    <s v="1DK"/>
    <s v="-"/>
    <s v="-"/>
    <s v="-"/>
    <s v="-"/>
    <n v="0"/>
    <n v="91000"/>
    <n v="0"/>
    <n v="91000"/>
    <n v="91000"/>
    <s v="-"/>
    <s v="yes"/>
    <s v="普通借家想定91000円"/>
    <m/>
    <s v="111_205"/>
    <n v="0"/>
    <m/>
    <n v="0"/>
    <n v="91000"/>
    <n v="0"/>
    <n v="91000"/>
    <n v="1"/>
    <x v="1"/>
  </r>
  <r>
    <n v="189"/>
    <n v="111"/>
    <x v="8"/>
    <s v="301"/>
    <n v="45.527000000000001"/>
    <n v="631"/>
    <x v="0"/>
    <s v="2DK"/>
    <s v="-"/>
    <s v="-"/>
    <s v="-"/>
    <s v="-"/>
    <n v="0"/>
    <n v="91000"/>
    <n v="0"/>
    <n v="91000"/>
    <n v="91000"/>
    <s v="-"/>
    <s v="yes"/>
    <s v="普通借家想定91000円"/>
    <m/>
    <s v="111_301"/>
    <n v="0"/>
    <m/>
    <n v="0"/>
    <n v="91000"/>
    <n v="0"/>
    <n v="91000"/>
    <n v="1"/>
    <x v="1"/>
  </r>
  <r>
    <n v="190"/>
    <n v="111"/>
    <x v="8"/>
    <s v="302"/>
    <n v="45.527000000000001"/>
    <n v="631"/>
    <x v="0"/>
    <s v="2DK"/>
    <s v="-"/>
    <s v="-"/>
    <s v="-"/>
    <s v="-"/>
    <n v="0"/>
    <n v="91000"/>
    <n v="0"/>
    <n v="91000"/>
    <n v="91000"/>
    <s v="-"/>
    <s v="yes"/>
    <s v="普通借家想定91000円"/>
    <m/>
    <s v="111_302"/>
    <n v="0"/>
    <m/>
    <n v="0"/>
    <n v="91000"/>
    <n v="0"/>
    <n v="91000"/>
    <n v="1"/>
    <x v="1"/>
  </r>
  <r>
    <n v="191"/>
    <n v="111"/>
    <x v="8"/>
    <s v="303"/>
    <n v="60.988999999999997"/>
    <n v="631"/>
    <x v="0"/>
    <s v="2DK"/>
    <s v="-"/>
    <s v="-"/>
    <s v="-"/>
    <s v="-"/>
    <n v="0"/>
    <n v="91000"/>
    <n v="0"/>
    <n v="91000"/>
    <n v="91000"/>
    <s v="-"/>
    <s v="yes"/>
    <s v="普通借家想定91000円"/>
    <m/>
    <s v="111_303"/>
    <n v="0"/>
    <m/>
    <n v="0"/>
    <n v="91000"/>
    <n v="0"/>
    <n v="91000"/>
    <n v="1"/>
    <x v="1"/>
  </r>
  <r>
    <n v="192"/>
    <n v="111"/>
    <x v="8"/>
    <s v="401"/>
    <n v="45.527000000000001"/>
    <n v="631"/>
    <x v="0"/>
    <s v="2DK"/>
    <s v="-"/>
    <s v="-"/>
    <s v="-"/>
    <s v="-"/>
    <n v="0"/>
    <n v="91000"/>
    <n v="0"/>
    <n v="91000"/>
    <n v="91000"/>
    <s v="-"/>
    <s v="yes"/>
    <s v="普通借家想定91000円"/>
    <m/>
    <s v="111_401"/>
    <n v="0"/>
    <m/>
    <n v="0"/>
    <n v="91000"/>
    <n v="0"/>
    <n v="91000"/>
    <n v="1"/>
    <x v="1"/>
  </r>
  <r>
    <n v="193"/>
    <n v="111"/>
    <x v="8"/>
    <s v="402"/>
    <n v="45.527000000000001"/>
    <n v="631"/>
    <x v="0"/>
    <s v="2DK"/>
    <s v="-"/>
    <s v="-"/>
    <s v="-"/>
    <s v="-"/>
    <n v="0"/>
    <n v="91000"/>
    <n v="0"/>
    <n v="91000"/>
    <n v="91000"/>
    <s v="-"/>
    <s v="yes"/>
    <s v="普通借家想定91000円"/>
    <m/>
    <s v="111_402"/>
    <n v="0"/>
    <m/>
    <n v="0"/>
    <n v="91000"/>
    <n v="0"/>
    <n v="91000"/>
    <n v="1"/>
    <x v="1"/>
  </r>
  <r>
    <n v="194"/>
    <n v="111"/>
    <x v="8"/>
    <s v="403"/>
    <n v="45.527000000000001"/>
    <n v="631"/>
    <x v="0"/>
    <s v="2DK"/>
    <s v="-"/>
    <s v="-"/>
    <s v="-"/>
    <s v="-"/>
    <n v="0"/>
    <n v="91000"/>
    <n v="0"/>
    <n v="91000"/>
    <n v="91000"/>
    <s v="-"/>
    <s v="yes"/>
    <s v="普通借家想定91000円"/>
    <m/>
    <s v="111_403"/>
    <n v="0"/>
    <m/>
    <n v="0"/>
    <n v="91000"/>
    <n v="0"/>
    <n v="91000"/>
    <n v="1"/>
    <x v="1"/>
  </r>
  <r>
    <n v="195"/>
    <n v="111"/>
    <x v="8"/>
    <s v="PSL1"/>
    <s v="-"/>
    <n v="634"/>
    <x v="4"/>
    <s v="駐車場"/>
    <n v="83400"/>
    <n v="0"/>
    <n v="0"/>
    <n v="8340"/>
    <n v="91740"/>
    <n v="83400"/>
    <n v="8340"/>
    <n v="91740"/>
    <n v="91740"/>
    <s v="一括貸し"/>
    <s v="yes"/>
    <s v=""/>
    <m/>
    <s v="111_PSL1"/>
    <n v="90072"/>
    <m/>
    <n v="1"/>
    <n v="83400"/>
    <n v="0"/>
    <n v="-6672"/>
    <n v="0"/>
    <x v="0"/>
  </r>
  <r>
    <n v="196"/>
    <n v="111"/>
    <x v="8"/>
    <s v="PSL2"/>
    <s v="-"/>
    <n v="634"/>
    <x v="4"/>
    <s v="駐車場"/>
    <n v="20000"/>
    <n v="0"/>
    <n v="0"/>
    <n v="2000"/>
    <n v="22000"/>
    <n v="20000"/>
    <n v="2000"/>
    <n v="22000"/>
    <n v="22000"/>
    <s v="一括貸し"/>
    <s v="yes"/>
    <s v=""/>
    <m/>
    <s v="111_PSL2"/>
    <n v="20571"/>
    <m/>
    <n v="1"/>
    <n v="20000"/>
    <n v="0"/>
    <n v="-571"/>
    <n v="0"/>
    <x v="0"/>
  </r>
  <r>
    <n v="197"/>
    <n v="111"/>
    <x v="8"/>
    <s v="P001"/>
    <n v="0"/>
    <n v="634"/>
    <x v="4"/>
    <s v="駐車場"/>
    <s v="-"/>
    <s v="-"/>
    <s v="-"/>
    <s v="-"/>
    <n v="0"/>
    <n v="10000"/>
    <n v="1000"/>
    <n v="11000"/>
    <n v="11000"/>
    <s v="-"/>
    <s v="yes"/>
    <s v="自動車駐車場"/>
    <m/>
    <s v="111_P001"/>
    <n v="0"/>
    <m/>
    <n v="0"/>
    <n v="10000"/>
    <n v="0"/>
    <n v="10000"/>
    <n v="1"/>
    <x v="1"/>
  </r>
  <r>
    <n v="198"/>
    <n v="111"/>
    <x v="8"/>
    <s v="P002"/>
    <n v="0"/>
    <n v="634"/>
    <x v="4"/>
    <s v="駐車場"/>
    <s v="-"/>
    <s v="-"/>
    <s v="-"/>
    <s v="-"/>
    <n v="0"/>
    <n v="10000"/>
    <n v="1000"/>
    <n v="11000"/>
    <n v="11000"/>
    <s v="-"/>
    <s v="yes"/>
    <s v="自動車駐車場"/>
    <m/>
    <s v="111_P002"/>
    <n v="0"/>
    <m/>
    <n v="0"/>
    <n v="10000"/>
    <n v="0"/>
    <n v="10000"/>
    <n v="1"/>
    <x v="1"/>
  </r>
  <r>
    <n v="199"/>
    <n v="111"/>
    <x v="8"/>
    <s v="P003"/>
    <n v="0"/>
    <n v="634"/>
    <x v="4"/>
    <s v="駐車場"/>
    <s v="-"/>
    <s v="-"/>
    <s v="-"/>
    <s v="-"/>
    <n v="0"/>
    <n v="10000"/>
    <n v="1000"/>
    <n v="11000"/>
    <n v="11000"/>
    <s v="-"/>
    <s v="yes"/>
    <s v="自動車駐車場"/>
    <m/>
    <s v="111_P003"/>
    <n v="0"/>
    <m/>
    <n v="0"/>
    <n v="10000"/>
    <n v="0"/>
    <n v="10000"/>
    <n v="1"/>
    <x v="1"/>
  </r>
  <r>
    <n v="200"/>
    <n v="111"/>
    <x v="8"/>
    <s v="P004"/>
    <n v="0"/>
    <n v="634"/>
    <x v="4"/>
    <s v="駐車場"/>
    <s v="-"/>
    <s v="-"/>
    <s v="-"/>
    <s v="-"/>
    <n v="0"/>
    <n v="10000"/>
    <n v="1000"/>
    <n v="11000"/>
    <n v="11000"/>
    <s v="-"/>
    <s v="yes"/>
    <s v="自動車駐車場"/>
    <m/>
    <s v="111_P004"/>
    <n v="0"/>
    <m/>
    <n v="0"/>
    <n v="10000"/>
    <n v="0"/>
    <n v="10000"/>
    <n v="1"/>
    <x v="1"/>
  </r>
  <r>
    <n v="201"/>
    <n v="111"/>
    <x v="8"/>
    <s v="P005"/>
    <n v="0"/>
    <n v="634"/>
    <x v="4"/>
    <s v="駐車場"/>
    <s v="-"/>
    <s v="-"/>
    <s v="-"/>
    <s v="-"/>
    <n v="0"/>
    <n v="10000"/>
    <n v="1000"/>
    <n v="11000"/>
    <n v="11000"/>
    <s v="-"/>
    <s v="yes"/>
    <s v="自動車駐車場"/>
    <m/>
    <s v="111_P005"/>
    <n v="0"/>
    <m/>
    <n v="0"/>
    <n v="10000"/>
    <n v="0"/>
    <n v="10000"/>
    <n v="1"/>
    <x v="1"/>
  </r>
  <r>
    <n v="202"/>
    <n v="111"/>
    <x v="8"/>
    <s v="P006"/>
    <n v="0"/>
    <n v="634"/>
    <x v="4"/>
    <s v="駐車場"/>
    <s v="-"/>
    <s v="-"/>
    <s v="-"/>
    <s v="-"/>
    <n v="0"/>
    <n v="10000"/>
    <n v="1000"/>
    <n v="11000"/>
    <n v="11000"/>
    <s v="-"/>
    <s v="yes"/>
    <s v="自動車駐車場"/>
    <m/>
    <s v="111_P006"/>
    <n v="0"/>
    <m/>
    <n v="0"/>
    <n v="10000"/>
    <n v="0"/>
    <n v="10000"/>
    <n v="1"/>
    <x v="1"/>
  </r>
  <r>
    <n v="203"/>
    <n v="111"/>
    <x v="8"/>
    <s v="B001"/>
    <n v="0"/>
    <n v="634"/>
    <x v="4"/>
    <s v="駐車場"/>
    <s v="-"/>
    <s v="-"/>
    <s v="-"/>
    <s v="-"/>
    <n v="0"/>
    <n v="5000"/>
    <n v="500"/>
    <n v="5500"/>
    <n v="5500"/>
    <s v="-"/>
    <s v="yes"/>
    <s v="バイク置き場"/>
    <m/>
    <s v="111_B001"/>
    <n v="0"/>
    <m/>
    <n v="0"/>
    <n v="5000"/>
    <n v="0"/>
    <n v="5000"/>
    <n v="1"/>
    <x v="1"/>
  </r>
  <r>
    <n v="204"/>
    <n v="111"/>
    <x v="8"/>
    <s v="B002"/>
    <n v="0"/>
    <n v="634"/>
    <x v="4"/>
    <s v="駐車場"/>
    <s v="-"/>
    <s v="-"/>
    <s v="-"/>
    <s v="-"/>
    <n v="0"/>
    <n v="5000"/>
    <n v="500"/>
    <n v="5500"/>
    <n v="5500"/>
    <s v="-"/>
    <s v="yes"/>
    <s v="バイク置き場"/>
    <m/>
    <s v="111_B002"/>
    <n v="0"/>
    <m/>
    <n v="0"/>
    <n v="5000"/>
    <n v="0"/>
    <n v="5000"/>
    <n v="1"/>
    <x v="1"/>
  </r>
  <r>
    <n v="205"/>
    <n v="111"/>
    <x v="8"/>
    <s v="B003"/>
    <n v="0"/>
    <n v="634"/>
    <x v="4"/>
    <s v="駐車場"/>
    <s v="-"/>
    <s v="-"/>
    <s v="-"/>
    <s v="-"/>
    <n v="0"/>
    <n v="5000"/>
    <n v="500"/>
    <n v="5500"/>
    <n v="5500"/>
    <s v="-"/>
    <s v="yes"/>
    <s v="バイク置き場"/>
    <m/>
    <s v="111_B003"/>
    <n v="0"/>
    <m/>
    <n v="0"/>
    <n v="5000"/>
    <n v="0"/>
    <n v="5000"/>
    <n v="1"/>
    <x v="1"/>
  </r>
  <r>
    <n v="206"/>
    <n v="111"/>
    <x v="8"/>
    <s v="B004"/>
    <n v="0"/>
    <n v="634"/>
    <x v="4"/>
    <s v="駐車場"/>
    <s v="-"/>
    <s v="-"/>
    <s v="-"/>
    <s v="-"/>
    <n v="0"/>
    <n v="5000"/>
    <n v="500"/>
    <n v="5500"/>
    <n v="5500"/>
    <s v="-"/>
    <s v="yes"/>
    <s v="バイク置き場"/>
    <m/>
    <s v="111_B004"/>
    <n v="0"/>
    <m/>
    <n v="0"/>
    <n v="5000"/>
    <n v="0"/>
    <n v="5000"/>
    <n v="1"/>
    <x v="1"/>
  </r>
  <r>
    <n v="207"/>
    <n v="111"/>
    <x v="8"/>
    <s v="B005"/>
    <n v="0"/>
    <n v="634"/>
    <x v="4"/>
    <s v="駐車場"/>
    <s v="-"/>
    <s v="-"/>
    <s v="-"/>
    <s v="-"/>
    <n v="0"/>
    <n v="5000"/>
    <n v="500"/>
    <n v="5500"/>
    <n v="5500"/>
    <s v="-"/>
    <s v="yes"/>
    <s v="バイク置き場"/>
    <m/>
    <s v="111_B005"/>
    <n v="0"/>
    <m/>
    <n v="0"/>
    <n v="5000"/>
    <n v="0"/>
    <n v="5000"/>
    <n v="1"/>
    <x v="1"/>
  </r>
  <r>
    <n v="208"/>
    <n v="112"/>
    <x v="9"/>
    <s v="101"/>
    <n v="491.32"/>
    <n v="632"/>
    <x v="1"/>
    <s v="事務所"/>
    <n v="2300000"/>
    <n v="0"/>
    <n v="0"/>
    <n v="230000"/>
    <n v="2530000"/>
    <n v="2300000"/>
    <n v="230000"/>
    <n v="2530000"/>
    <n v="2530000"/>
    <s v="法人契約"/>
    <s v="yes"/>
    <s v=""/>
    <m/>
    <s v="112_101"/>
    <n v="2500000"/>
    <m/>
    <n v="1"/>
    <n v="2300000"/>
    <n v="0"/>
    <n v="-200000"/>
    <n v="1"/>
    <x v="0"/>
  </r>
  <r>
    <n v="209"/>
    <n v="113"/>
    <x v="10"/>
    <s v="101"/>
    <n v="54.44"/>
    <n v="631"/>
    <x v="0"/>
    <s v="3DK"/>
    <n v="120000"/>
    <n v="5000"/>
    <n v="0"/>
    <n v="0"/>
    <n v="125000"/>
    <n v="125000"/>
    <n v="0"/>
    <n v="125000"/>
    <n v="125000"/>
    <s v="中華系"/>
    <s v="yes"/>
    <s v=""/>
    <m/>
    <s v="113_101"/>
    <n v="117000"/>
    <m/>
    <n v="1"/>
    <n v="125000"/>
    <n v="0"/>
    <n v="8000"/>
    <n v="1"/>
    <x v="0"/>
  </r>
  <r>
    <n v="210"/>
    <n v="113"/>
    <x v="10"/>
    <s v="102"/>
    <n v="52.49"/>
    <n v="631"/>
    <x v="0"/>
    <s v="3DK"/>
    <n v="113000"/>
    <n v="5000"/>
    <n v="0"/>
    <n v="0"/>
    <n v="118000"/>
    <n v="118000"/>
    <n v="0"/>
    <n v="118000"/>
    <n v="118000"/>
    <s v="日本人等"/>
    <s v="yes"/>
    <s v=""/>
    <m/>
    <s v="113_102"/>
    <n v="118000"/>
    <m/>
    <n v="1"/>
    <n v="118000"/>
    <n v="0"/>
    <n v="0"/>
    <n v="1"/>
    <x v="0"/>
  </r>
  <r>
    <n v="211"/>
    <n v="113"/>
    <x v="10"/>
    <s v="103"/>
    <n v="54.44"/>
    <n v="631"/>
    <x v="0"/>
    <s v="3DK"/>
    <n v="110000"/>
    <n v="5000"/>
    <n v="0"/>
    <n v="0"/>
    <n v="115000"/>
    <n v="115000"/>
    <n v="0"/>
    <n v="115000"/>
    <n v="115000"/>
    <s v="日本人等"/>
    <s v="yes"/>
    <s v=""/>
    <m/>
    <s v="113_103"/>
    <n v="115000"/>
    <m/>
    <n v="1"/>
    <n v="115000"/>
    <n v="0"/>
    <n v="0"/>
    <n v="1"/>
    <x v="0"/>
  </r>
  <r>
    <n v="212"/>
    <n v="113"/>
    <x v="10"/>
    <s v="104"/>
    <n v="52.49"/>
    <n v="631"/>
    <x v="0"/>
    <s v="3DK"/>
    <n v="113000"/>
    <n v="5000"/>
    <n v="0"/>
    <n v="0"/>
    <n v="118000"/>
    <n v="118000"/>
    <n v="0"/>
    <n v="118000"/>
    <n v="118000"/>
    <s v="日本人等"/>
    <s v="yes"/>
    <s v=""/>
    <m/>
    <s v="113_104"/>
    <n v="118000"/>
    <m/>
    <n v="1"/>
    <n v="118000"/>
    <n v="0"/>
    <n v="0"/>
    <n v="1"/>
    <x v="0"/>
  </r>
  <r>
    <n v="213"/>
    <n v="113"/>
    <x v="10"/>
    <s v="105"/>
    <n v="54.44"/>
    <n v="631"/>
    <x v="0"/>
    <s v="3DK"/>
    <n v="110000"/>
    <n v="5000"/>
    <n v="0"/>
    <n v="0"/>
    <n v="115000"/>
    <n v="115000"/>
    <n v="0"/>
    <n v="115000"/>
    <n v="115000"/>
    <s v="日本人等"/>
    <s v="yes"/>
    <s v=""/>
    <m/>
    <s v="113_105"/>
    <n v="115000"/>
    <m/>
    <n v="1"/>
    <n v="115000"/>
    <n v="0"/>
    <n v="0"/>
    <n v="1"/>
    <x v="0"/>
  </r>
  <r>
    <n v="214"/>
    <n v="113"/>
    <x v="10"/>
    <s v="106"/>
    <n v="52.49"/>
    <n v="631"/>
    <x v="0"/>
    <s v="3DK"/>
    <n v="120000"/>
    <n v="5000"/>
    <n v="0"/>
    <n v="0"/>
    <n v="125000"/>
    <n v="125000"/>
    <n v="0"/>
    <n v="125000"/>
    <n v="125000"/>
    <s v="中華系"/>
    <s v="yes"/>
    <s v=""/>
    <m/>
    <s v="113_106"/>
    <n v="117000"/>
    <m/>
    <n v="1"/>
    <n v="125000"/>
    <n v="0"/>
    <n v="8000"/>
    <n v="1"/>
    <x v="0"/>
  </r>
  <r>
    <n v="215"/>
    <n v="113"/>
    <x v="10"/>
    <s v="201"/>
    <n v="54.44"/>
    <n v="631"/>
    <x v="0"/>
    <s v="3DK"/>
    <n v="130000"/>
    <n v="5000"/>
    <n v="0"/>
    <n v="0"/>
    <n v="135000"/>
    <n v="135000"/>
    <n v="0"/>
    <n v="135000"/>
    <n v="135000"/>
    <s v="中華系"/>
    <s v="yes"/>
    <s v=""/>
    <m/>
    <s v="113_201"/>
    <n v="120000"/>
    <m/>
    <n v="1"/>
    <n v="135000"/>
    <n v="0"/>
    <n v="15000"/>
    <n v="1"/>
    <x v="0"/>
  </r>
  <r>
    <n v="216"/>
    <n v="113"/>
    <x v="10"/>
    <s v="202"/>
    <n v="52.49"/>
    <n v="631"/>
    <x v="0"/>
    <s v="3DK"/>
    <n v="120000"/>
    <n v="5000"/>
    <n v="0"/>
    <n v="0"/>
    <n v="125000"/>
    <n v="125000"/>
    <n v="0"/>
    <n v="125000"/>
    <n v="125000"/>
    <s v="中華系"/>
    <s v="yes"/>
    <s v=""/>
    <m/>
    <s v="113_202"/>
    <n v="140000"/>
    <m/>
    <n v="1"/>
    <n v="125000"/>
    <n v="0"/>
    <n v="-15000"/>
    <n v="1"/>
    <x v="0"/>
  </r>
  <r>
    <n v="217"/>
    <n v="113"/>
    <x v="10"/>
    <s v="203"/>
    <n v="54.44"/>
    <n v="631"/>
    <x v="0"/>
    <s v="3DK"/>
    <n v="115000"/>
    <n v="5000"/>
    <n v="0"/>
    <n v="0"/>
    <n v="120000"/>
    <n v="120000"/>
    <n v="0"/>
    <n v="120000"/>
    <n v="120000"/>
    <s v="日本人等"/>
    <s v="yes"/>
    <s v=""/>
    <m/>
    <s v="113_203"/>
    <n v="116000"/>
    <m/>
    <n v="1"/>
    <n v="120000"/>
    <n v="0"/>
    <n v="4000"/>
    <n v="1"/>
    <x v="0"/>
  </r>
  <r>
    <n v="218"/>
    <n v="113"/>
    <x v="10"/>
    <s v="204"/>
    <n v="52.49"/>
    <n v="631"/>
    <x v="0"/>
    <s v="3DK"/>
    <n v="130000"/>
    <n v="5000"/>
    <n v="0"/>
    <n v="0"/>
    <n v="135000"/>
    <n v="119000"/>
    <n v="0"/>
    <n v="119000"/>
    <n v="135000"/>
    <s v="住居法人契約"/>
    <s v="yes"/>
    <s v=""/>
    <m/>
    <s v="113_204"/>
    <n v="119000"/>
    <m/>
    <n v="1"/>
    <n v="135000"/>
    <n v="-16000"/>
    <n v="16000"/>
    <n v="1"/>
    <x v="0"/>
  </r>
  <r>
    <n v="219"/>
    <n v="113"/>
    <x v="10"/>
    <s v="205"/>
    <n v="54.44"/>
    <n v="631"/>
    <x v="0"/>
    <s v="3DK"/>
    <n v="130000"/>
    <n v="5000"/>
    <n v="0"/>
    <n v="0"/>
    <n v="135000"/>
    <n v="120000"/>
    <n v="0"/>
    <n v="120000"/>
    <n v="135000"/>
    <s v="住居法人契約"/>
    <s v="yes"/>
    <s v=""/>
    <m/>
    <s v="113_205"/>
    <n v="120000"/>
    <m/>
    <n v="1"/>
    <n v="135000"/>
    <n v="-15000"/>
    <n v="15000"/>
    <n v="1"/>
    <x v="0"/>
  </r>
  <r>
    <n v="220"/>
    <n v="113"/>
    <x v="10"/>
    <s v="206"/>
    <n v="52.49"/>
    <n v="631"/>
    <x v="0"/>
    <s v="3DK"/>
    <n v="130000"/>
    <n v="5000"/>
    <n v="0"/>
    <n v="0"/>
    <n v="135000"/>
    <n v="125000"/>
    <n v="0"/>
    <n v="125000"/>
    <n v="135000"/>
    <s v="住居法人契約"/>
    <s v="yes"/>
    <s v=""/>
    <m/>
    <s v="113_206"/>
    <n v="120000"/>
    <m/>
    <n v="1"/>
    <n v="135000"/>
    <n v="-10000"/>
    <n v="15000"/>
    <n v="1"/>
    <x v="0"/>
  </r>
  <r>
    <n v="221"/>
    <n v="113"/>
    <x v="10"/>
    <s v="301"/>
    <n v="54.44"/>
    <n v="631"/>
    <x v="0"/>
    <s v="3DK"/>
    <n v="127000"/>
    <n v="5000"/>
    <n v="0"/>
    <n v="0"/>
    <n v="132000"/>
    <n v="137000"/>
    <n v="0"/>
    <n v="137000"/>
    <n v="132000"/>
    <s v="日本人等"/>
    <s v="yes"/>
    <s v=""/>
    <m/>
    <s v="113_301"/>
    <n v="120000"/>
    <m/>
    <n v="1"/>
    <n v="132000"/>
    <n v="5000"/>
    <n v="12000"/>
    <n v="1"/>
    <x v="0"/>
  </r>
  <r>
    <n v="222"/>
    <n v="113"/>
    <x v="10"/>
    <s v="302"/>
    <n v="52.49"/>
    <n v="631"/>
    <x v="0"/>
    <s v="3DK"/>
    <n v="125000"/>
    <n v="5000"/>
    <n v="0"/>
    <n v="0"/>
    <n v="130000"/>
    <n v="130000"/>
    <n v="0"/>
    <n v="130000"/>
    <n v="130000"/>
    <s v="中華系"/>
    <s v="yes"/>
    <s v=""/>
    <m/>
    <s v="113_302"/>
    <n v="125000"/>
    <m/>
    <n v="1"/>
    <n v="130000"/>
    <n v="0"/>
    <n v="5000"/>
    <n v="1"/>
    <x v="0"/>
  </r>
  <r>
    <n v="223"/>
    <n v="113"/>
    <x v="10"/>
    <s v="303"/>
    <n v="54.44"/>
    <n v="631"/>
    <x v="0"/>
    <s v="3DK"/>
    <n v="125000"/>
    <n v="5000"/>
    <n v="0"/>
    <n v="0"/>
    <n v="130000"/>
    <n v="125000"/>
    <n v="0"/>
    <n v="125000"/>
    <n v="130000"/>
    <s v="中華系"/>
    <s v="yes"/>
    <s v=""/>
    <m/>
    <s v="113_303"/>
    <n v="118000"/>
    <m/>
    <n v="1"/>
    <n v="130000"/>
    <n v="-5000"/>
    <n v="12000"/>
    <n v="1"/>
    <x v="0"/>
  </r>
  <r>
    <n v="224"/>
    <n v="113"/>
    <x v="10"/>
    <s v="304"/>
    <n v="52.49"/>
    <n v="631"/>
    <x v="0"/>
    <s v="3DK"/>
    <n v="115000"/>
    <n v="5000"/>
    <n v="0"/>
    <n v="0"/>
    <n v="120000"/>
    <n v="120000"/>
    <n v="0"/>
    <n v="120000"/>
    <n v="120000"/>
    <s v="日本人等"/>
    <s v="yes"/>
    <s v=""/>
    <m/>
    <s v="113_304"/>
    <n v="120000"/>
    <m/>
    <n v="1"/>
    <n v="120000"/>
    <n v="0"/>
    <n v="0"/>
    <n v="1"/>
    <x v="0"/>
  </r>
  <r>
    <n v="225"/>
    <n v="113"/>
    <x v="10"/>
    <s v="305"/>
    <n v="54.44"/>
    <n v="631"/>
    <x v="0"/>
    <s v="3DK"/>
    <n v="95000"/>
    <n v="0"/>
    <n v="0"/>
    <n v="0"/>
    <n v="95000"/>
    <n v="85000"/>
    <n v="0"/>
    <n v="85000"/>
    <n v="95000"/>
    <s v="日本人等"/>
    <s v="yes"/>
    <s v=""/>
    <m/>
    <s v="113_305"/>
    <n v="85000"/>
    <m/>
    <n v="1"/>
    <n v="95000"/>
    <n v="-10000"/>
    <n v="10000"/>
    <n v="1"/>
    <x v="0"/>
  </r>
  <r>
    <n v="226"/>
    <n v="113"/>
    <x v="10"/>
    <s v="306"/>
    <n v="52.49"/>
    <n v="631"/>
    <x v="0"/>
    <s v="3DK"/>
    <n v="118000"/>
    <n v="5000"/>
    <n v="0"/>
    <n v="0"/>
    <n v="123000"/>
    <n v="123000"/>
    <n v="0"/>
    <n v="123000"/>
    <n v="123000"/>
    <s v="日本人等"/>
    <s v="yes"/>
    <s v=""/>
    <m/>
    <s v="113_306"/>
    <n v="125000"/>
    <m/>
    <n v="1"/>
    <n v="123000"/>
    <n v="0"/>
    <n v="-2000"/>
    <n v="1"/>
    <x v="0"/>
  </r>
  <r>
    <n v="227"/>
    <n v="113"/>
    <x v="10"/>
    <s v="401"/>
    <n v="54.44"/>
    <n v="631"/>
    <x v="0"/>
    <s v="3DK"/>
    <n v="115000"/>
    <n v="5000"/>
    <n v="0"/>
    <n v="0"/>
    <n v="120000"/>
    <n v="120000"/>
    <n v="0"/>
    <n v="120000"/>
    <n v="120000"/>
    <s v="中華系"/>
    <s v="yes"/>
    <s v=""/>
    <m/>
    <s v="113_401"/>
    <n v="125000"/>
    <m/>
    <n v="1"/>
    <n v="120000"/>
    <n v="0"/>
    <n v="-5000"/>
    <n v="1"/>
    <x v="0"/>
  </r>
  <r>
    <n v="228"/>
    <n v="113"/>
    <x v="10"/>
    <s v="402"/>
    <n v="52.49"/>
    <n v="631"/>
    <x v="0"/>
    <s v="3DK"/>
    <n v="121000"/>
    <n v="5000"/>
    <n v="0"/>
    <n v="0"/>
    <n v="126000"/>
    <n v="126000"/>
    <n v="0"/>
    <n v="126000"/>
    <n v="126000"/>
    <s v="日本人等"/>
    <s v="yes"/>
    <s v=""/>
    <m/>
    <s v="113_402"/>
    <n v="126000"/>
    <m/>
    <n v="1"/>
    <n v="126000"/>
    <n v="0"/>
    <n v="0"/>
    <n v="1"/>
    <x v="0"/>
  </r>
  <r>
    <n v="229"/>
    <n v="113"/>
    <x v="10"/>
    <s v="403"/>
    <n v="54.44"/>
    <n v="631"/>
    <x v="0"/>
    <s v="3DK"/>
    <n v="125000"/>
    <n v="5000"/>
    <n v="0"/>
    <n v="0"/>
    <n v="130000"/>
    <n v="125000"/>
    <n v="0"/>
    <n v="125000"/>
    <n v="130000"/>
    <s v="日本人等"/>
    <s v="yes"/>
    <s v=""/>
    <m/>
    <s v="113_403"/>
    <n v="123000"/>
    <m/>
    <n v="1"/>
    <n v="130000"/>
    <n v="-5000"/>
    <n v="7000"/>
    <n v="1"/>
    <x v="0"/>
  </r>
  <r>
    <n v="230"/>
    <n v="113"/>
    <x v="10"/>
    <s v="404"/>
    <n v="52.49"/>
    <n v="631"/>
    <x v="0"/>
    <s v="3DK"/>
    <n v="116000"/>
    <n v="5000"/>
    <n v="0"/>
    <n v="0"/>
    <n v="121000"/>
    <n v="121000"/>
    <n v="0"/>
    <n v="121000"/>
    <n v="121000"/>
    <s v="日本人等"/>
    <s v="yes"/>
    <s v=""/>
    <m/>
    <s v="113_404"/>
    <n v="121000"/>
    <m/>
    <n v="1"/>
    <n v="121000"/>
    <n v="0"/>
    <n v="0"/>
    <n v="1"/>
    <x v="0"/>
  </r>
  <r>
    <n v="231"/>
    <n v="113"/>
    <x v="10"/>
    <s v="405"/>
    <n v="54.44"/>
    <n v="631"/>
    <x v="0"/>
    <s v="3DK"/>
    <n v="120000"/>
    <n v="5000"/>
    <n v="0"/>
    <n v="0"/>
    <n v="125000"/>
    <n v="125000"/>
    <n v="0"/>
    <n v="125000"/>
    <n v="125000"/>
    <s v="中華系"/>
    <s v="yes"/>
    <s v=""/>
    <m/>
    <s v="113_405"/>
    <n v="123000"/>
    <m/>
    <n v="1"/>
    <n v="125000"/>
    <n v="0"/>
    <n v="2000"/>
    <n v="1"/>
    <x v="0"/>
  </r>
  <r>
    <n v="232"/>
    <n v="113"/>
    <x v="10"/>
    <s v="406"/>
    <n v="52.49"/>
    <n v="631"/>
    <x v="0"/>
    <s v="3DK"/>
    <n v="126000"/>
    <n v="5000"/>
    <n v="0"/>
    <n v="0"/>
    <n v="131000"/>
    <n v="131000"/>
    <n v="0"/>
    <n v="131000"/>
    <n v="131000"/>
    <s v="住居法人契約"/>
    <s v="yes"/>
    <s v=""/>
    <m/>
    <s v="113_406"/>
    <n v="131000"/>
    <m/>
    <n v="1"/>
    <n v="131000"/>
    <n v="0"/>
    <n v="0"/>
    <n v="1"/>
    <x v="0"/>
  </r>
  <r>
    <n v="233"/>
    <n v="113"/>
    <x v="10"/>
    <s v="P1"/>
    <n v="0"/>
    <n v="634"/>
    <x v="4"/>
    <s v="駐車場"/>
    <n v="20000"/>
    <n v="0"/>
    <n v="0"/>
    <n v="2000"/>
    <n v="22000"/>
    <n v="20000"/>
    <n v="2000"/>
    <n v="22000"/>
    <n v="22000"/>
    <s v="法人契約"/>
    <s v="yes"/>
    <s v=""/>
    <m/>
    <s v="113_P1"/>
    <n v="20000"/>
    <m/>
    <n v="1"/>
    <n v="20000"/>
    <n v="0"/>
    <n v="0"/>
    <n v="1"/>
    <x v="0"/>
  </r>
  <r>
    <n v="234"/>
    <n v="113"/>
    <x v="10"/>
    <s v="NTF1"/>
    <s v="-"/>
    <n v="639"/>
    <x v="3"/>
    <s v="その他"/>
    <n v="0"/>
    <n v="0"/>
    <n v="0"/>
    <n v="0"/>
    <n v="0"/>
    <n v="0"/>
    <n v="0"/>
    <n v="0"/>
    <n v="0"/>
    <s v="-"/>
    <s v="no"/>
    <s v="フレッツ光"/>
    <m/>
    <s v="113_NTF1"/>
    <n v="0"/>
    <m/>
    <n v="0"/>
    <n v="0"/>
    <n v="0"/>
    <n v="0"/>
    <n v="0"/>
    <x v="0"/>
  </r>
  <r>
    <n v="235"/>
    <n v="114"/>
    <x v="11"/>
    <s v="201"/>
    <n v="32.4"/>
    <n v="631"/>
    <x v="0"/>
    <s v="1LDK"/>
    <n v="83000"/>
    <n v="2000"/>
    <n v="0"/>
    <n v="0"/>
    <n v="85000"/>
    <n v="85000"/>
    <n v="0"/>
    <n v="85000"/>
    <n v="85000"/>
    <s v="日本人等"/>
    <s v="yes"/>
    <s v=""/>
    <m/>
    <s v="114_201"/>
    <n v="85000"/>
    <m/>
    <n v="1"/>
    <n v="85000"/>
    <n v="0"/>
    <n v="0"/>
    <n v="1"/>
    <x v="0"/>
  </r>
  <r>
    <n v="236"/>
    <n v="114"/>
    <x v="11"/>
    <s v="202"/>
    <n v="18"/>
    <n v="631"/>
    <x v="0"/>
    <s v="1R"/>
    <n v="58000"/>
    <n v="2000"/>
    <n v="0"/>
    <n v="0"/>
    <n v="60000"/>
    <n v="60000"/>
    <n v="0"/>
    <n v="60000"/>
    <n v="60000"/>
    <s v="中華系"/>
    <s v="yes"/>
    <s v=""/>
    <m/>
    <s v="114_202"/>
    <n v="60000"/>
    <m/>
    <n v="1"/>
    <n v="60000"/>
    <n v="0"/>
    <n v="0"/>
    <n v="1"/>
    <x v="0"/>
  </r>
  <r>
    <n v="237"/>
    <n v="114"/>
    <x v="11"/>
    <s v="203"/>
    <n v="18"/>
    <n v="631"/>
    <x v="0"/>
    <s v="1R"/>
    <n v="50000"/>
    <n v="3000"/>
    <n v="0"/>
    <n v="0"/>
    <n v="53000"/>
    <n v="62000"/>
    <n v="0"/>
    <n v="62000"/>
    <n v="53000"/>
    <s v="中華系"/>
    <s v="yes"/>
    <s v=""/>
    <m/>
    <s v="114_203"/>
    <n v="60000"/>
    <m/>
    <n v="1"/>
    <n v="53000"/>
    <n v="9000"/>
    <n v="-7000"/>
    <n v="1"/>
    <x v="0"/>
  </r>
  <r>
    <n v="238"/>
    <n v="114"/>
    <x v="11"/>
    <s v="205"/>
    <n v="18.239999999999998"/>
    <n v="631"/>
    <x v="0"/>
    <s v="1R"/>
    <n v="63000"/>
    <n v="2000"/>
    <n v="0"/>
    <n v="0"/>
    <n v="65000"/>
    <n v="65000"/>
    <n v="0"/>
    <n v="65000"/>
    <n v="65000"/>
    <s v="日本人等"/>
    <s v="yes"/>
    <s v=""/>
    <m/>
    <s v="114_205"/>
    <n v="65000"/>
    <m/>
    <n v="1"/>
    <n v="65000"/>
    <n v="0"/>
    <n v="0"/>
    <n v="1"/>
    <x v="0"/>
  </r>
  <r>
    <n v="239"/>
    <n v="114"/>
    <x v="11"/>
    <s v="206"/>
    <n v="18"/>
    <n v="631"/>
    <x v="0"/>
    <s v="1R"/>
    <n v="53700"/>
    <n v="6300"/>
    <n v="0"/>
    <n v="0"/>
    <n v="60000"/>
    <n v="62000"/>
    <n v="0"/>
    <n v="62000"/>
    <n v="60000"/>
    <s v="日本人等"/>
    <s v="yes"/>
    <s v=""/>
    <m/>
    <s v="114_206"/>
    <n v="62000"/>
    <m/>
    <n v="1"/>
    <n v="60000"/>
    <n v="2000"/>
    <n v="-2000"/>
    <n v="1"/>
    <x v="0"/>
  </r>
  <r>
    <n v="240"/>
    <n v="114"/>
    <x v="11"/>
    <s v="301"/>
    <n v="32.4"/>
    <n v="632"/>
    <x v="1"/>
    <s v="1LDK"/>
    <n v="84000"/>
    <n v="2000"/>
    <n v="0"/>
    <n v="8600"/>
    <n v="94600"/>
    <n v="86000"/>
    <n v="8600"/>
    <n v="94600"/>
    <n v="94600"/>
    <s v="住居法人契約"/>
    <s v="yes"/>
    <s v=""/>
    <m/>
    <s v="114_301"/>
    <n v="86000"/>
    <m/>
    <n v="1"/>
    <n v="86000"/>
    <n v="0"/>
    <n v="0"/>
    <n v="1"/>
    <x v="0"/>
  </r>
  <r>
    <n v="241"/>
    <n v="114"/>
    <x v="11"/>
    <s v="302"/>
    <n v="18"/>
    <n v="631"/>
    <x v="0"/>
    <s v="1R"/>
    <n v="58000"/>
    <n v="2000"/>
    <n v="0"/>
    <n v="0"/>
    <n v="60000"/>
    <n v="60000"/>
    <n v="0"/>
    <n v="60000"/>
    <n v="60000"/>
    <s v="日本人等"/>
    <s v="yes"/>
    <s v=""/>
    <m/>
    <s v="114_302"/>
    <n v="60000"/>
    <m/>
    <n v="1"/>
    <n v="60000"/>
    <n v="0"/>
    <n v="0"/>
    <n v="1"/>
    <x v="0"/>
  </r>
  <r>
    <n v="242"/>
    <n v="114"/>
    <x v="11"/>
    <s v="303"/>
    <n v="18"/>
    <n v="631"/>
    <x v="0"/>
    <s v="1R"/>
    <n v="62000"/>
    <n v="3000"/>
    <n v="0"/>
    <n v="0"/>
    <n v="65000"/>
    <n v="67000"/>
    <n v="0"/>
    <n v="67000"/>
    <n v="65000"/>
    <s v="中華系"/>
    <s v="yes"/>
    <s v=""/>
    <m/>
    <s v="114_303"/>
    <n v="60000"/>
    <m/>
    <n v="1"/>
    <n v="65000"/>
    <n v="2000"/>
    <n v="5000"/>
    <n v="1"/>
    <x v="0"/>
  </r>
  <r>
    <n v="243"/>
    <n v="114"/>
    <x v="11"/>
    <s v="305"/>
    <n v="16.5"/>
    <n v="631"/>
    <x v="0"/>
    <s v="1R"/>
    <n v="60000"/>
    <n v="2000"/>
    <n v="0"/>
    <n v="0"/>
    <n v="62000"/>
    <n v="62000"/>
    <n v="0"/>
    <n v="62000"/>
    <n v="62000"/>
    <s v="日本人等"/>
    <s v="yes"/>
    <s v=""/>
    <m/>
    <s v="114_305"/>
    <n v="62000"/>
    <m/>
    <n v="1"/>
    <n v="62000"/>
    <n v="0"/>
    <n v="0"/>
    <n v="1"/>
    <x v="0"/>
  </r>
  <r>
    <n v="244"/>
    <n v="114"/>
    <x v="11"/>
    <s v="306"/>
    <n v="17"/>
    <n v="631"/>
    <x v="0"/>
    <s v="1R"/>
    <n v="65000"/>
    <n v="2000"/>
    <n v="0"/>
    <n v="0"/>
    <n v="67000"/>
    <n v="67000"/>
    <n v="0"/>
    <n v="67000"/>
    <n v="67000"/>
    <s v="中華系"/>
    <s v="yes"/>
    <s v=""/>
    <m/>
    <s v="114_306"/>
    <n v="60000"/>
    <m/>
    <n v="1"/>
    <n v="67000"/>
    <n v="0"/>
    <n v="7000"/>
    <n v="1"/>
    <x v="0"/>
  </r>
  <r>
    <n v="245"/>
    <n v="114"/>
    <x v="11"/>
    <s v="401"/>
    <n v="33"/>
    <n v="631"/>
    <x v="0"/>
    <s v="1LDK"/>
    <n v="88000"/>
    <n v="2000"/>
    <n v="0"/>
    <n v="0"/>
    <n v="90000"/>
    <n v="90000"/>
    <n v="0"/>
    <n v="90000"/>
    <n v="90000"/>
    <s v="日本人等"/>
    <s v="yes"/>
    <s v=""/>
    <m/>
    <s v="114_401"/>
    <n v="85000"/>
    <m/>
    <n v="1"/>
    <n v="90000"/>
    <n v="0"/>
    <n v="5000"/>
    <n v="1"/>
    <x v="0"/>
  </r>
  <r>
    <n v="246"/>
    <n v="114"/>
    <x v="11"/>
    <s v="402"/>
    <n v="18"/>
    <n v="631"/>
    <x v="0"/>
    <s v="1R"/>
    <n v="67000"/>
    <n v="2000"/>
    <n v="0"/>
    <n v="0"/>
    <n v="69000"/>
    <n v="69000"/>
    <n v="0"/>
    <n v="69000"/>
    <n v="69000"/>
    <s v="中華系"/>
    <s v="yes"/>
    <s v=""/>
    <m/>
    <s v="114_402"/>
    <n v="62000"/>
    <m/>
    <n v="1"/>
    <n v="69000"/>
    <n v="0"/>
    <n v="7000"/>
    <n v="1"/>
    <x v="0"/>
  </r>
  <r>
    <n v="247"/>
    <n v="114"/>
    <x v="11"/>
    <s v="403"/>
    <n v="20"/>
    <n v="631"/>
    <x v="0"/>
    <s v="1R"/>
    <n v="65000"/>
    <n v="2000"/>
    <n v="0"/>
    <n v="0"/>
    <n v="67000"/>
    <n v="67000"/>
    <n v="0"/>
    <n v="67000"/>
    <n v="67000"/>
    <s v="日本人等"/>
    <s v="yes"/>
    <s v=""/>
    <m/>
    <s v="114_403"/>
    <n v="67000"/>
    <m/>
    <n v="1"/>
    <n v="67000"/>
    <n v="0"/>
    <n v="0"/>
    <n v="1"/>
    <x v="0"/>
  </r>
  <r>
    <n v="248"/>
    <n v="114"/>
    <x v="11"/>
    <s v="405"/>
    <n v="18"/>
    <n v="631"/>
    <x v="0"/>
    <s v="1R"/>
    <n v="62000"/>
    <n v="3000"/>
    <n v="0"/>
    <n v="0"/>
    <n v="65000"/>
    <n v="65000"/>
    <n v="0"/>
    <n v="65000"/>
    <n v="65000"/>
    <s v="中華系"/>
    <s v="yes"/>
    <s v=""/>
    <m/>
    <s v="114_405"/>
    <n v="65000"/>
    <m/>
    <n v="1"/>
    <n v="65000"/>
    <n v="0"/>
    <n v="0"/>
    <n v="1"/>
    <x v="0"/>
  </r>
  <r>
    <n v="249"/>
    <n v="114"/>
    <x v="11"/>
    <s v="406"/>
    <n v="16"/>
    <n v="631"/>
    <x v="0"/>
    <s v="1R"/>
    <n v="65000"/>
    <n v="2000"/>
    <n v="0"/>
    <n v="0"/>
    <n v="67000"/>
    <n v="67000"/>
    <n v="0"/>
    <n v="67000"/>
    <n v="67000"/>
    <s v="中華系"/>
    <s v="yes"/>
    <s v=""/>
    <m/>
    <s v="114_406"/>
    <n v="60000"/>
    <m/>
    <n v="1"/>
    <n v="67000"/>
    <n v="0"/>
    <n v="7000"/>
    <n v="1"/>
    <x v="0"/>
  </r>
  <r>
    <n v="250"/>
    <n v="114"/>
    <x v="11"/>
    <s v="101"/>
    <n v="122.31"/>
    <n v="636"/>
    <x v="6"/>
    <s v="倉庫"/>
    <n v="240741"/>
    <n v="0"/>
    <n v="0"/>
    <n v="24074"/>
    <n v="264815"/>
    <n v="240740"/>
    <n v="24074.090909090908"/>
    <n v="264814.09090909088"/>
    <n v="264815"/>
    <s v="法人契約"/>
    <s v="yes"/>
    <s v=""/>
    <m/>
    <s v="114_101"/>
    <n v="240741"/>
    <m/>
    <n v="1"/>
    <n v="240741"/>
    <n v="-1"/>
    <n v="0"/>
    <n v="1"/>
    <x v="0"/>
  </r>
  <r>
    <n v="251"/>
    <n v="115"/>
    <x v="12"/>
    <s v="201"/>
    <n v="47.22"/>
    <n v="631"/>
    <x v="0"/>
    <s v="2DK"/>
    <n v="110000"/>
    <n v="5000"/>
    <n v="0"/>
    <n v="0"/>
    <n v="115000"/>
    <n v="115000"/>
    <n v="0"/>
    <n v="115000"/>
    <n v="115000"/>
    <s v="その他新興国"/>
    <s v="yes"/>
    <s v=""/>
    <m/>
    <s v="115_201"/>
    <n v="115000"/>
    <m/>
    <n v="1"/>
    <n v="115000"/>
    <n v="0"/>
    <n v="0"/>
    <n v="1"/>
    <x v="0"/>
  </r>
  <r>
    <n v="252"/>
    <n v="115"/>
    <x v="12"/>
    <s v="202"/>
    <n v="52"/>
    <n v="631"/>
    <x v="0"/>
    <s v="2DK"/>
    <n v="125000"/>
    <n v="5000"/>
    <n v="0"/>
    <n v="0"/>
    <n v="130000"/>
    <n v="123000"/>
    <n v="0"/>
    <n v="123000"/>
    <n v="130000"/>
    <s v="日本人等"/>
    <s v="yes"/>
    <s v=""/>
    <m/>
    <s v="115_202"/>
    <n v="123000"/>
    <m/>
    <n v="1"/>
    <n v="130000"/>
    <n v="-7000"/>
    <n v="7000"/>
    <n v="1"/>
    <x v="0"/>
  </r>
  <r>
    <n v="253"/>
    <n v="115"/>
    <x v="12"/>
    <s v="203"/>
    <n v="52"/>
    <n v="631"/>
    <x v="0"/>
    <s v="2DK"/>
    <n v="123000"/>
    <n v="5000"/>
    <n v="0"/>
    <n v="0"/>
    <n v="128000"/>
    <n v="123000"/>
    <n v="0"/>
    <n v="123000"/>
    <n v="128000"/>
    <s v="日本人等"/>
    <s v="yes"/>
    <s v=""/>
    <m/>
    <s v="115_203"/>
    <n v="123000"/>
    <m/>
    <n v="1"/>
    <n v="128000"/>
    <n v="-5000"/>
    <n v="5000"/>
    <n v="1"/>
    <x v="0"/>
  </r>
  <r>
    <n v="254"/>
    <n v="115"/>
    <x v="12"/>
    <s v="205"/>
    <n v="52"/>
    <n v="631"/>
    <x v="0"/>
    <s v="3DK"/>
    <n v="128000"/>
    <n v="5000"/>
    <n v="0"/>
    <n v="0"/>
    <n v="133000"/>
    <n v="133000"/>
    <n v="0"/>
    <n v="133000"/>
    <n v="133000"/>
    <s v="中華系"/>
    <s v="yes"/>
    <s v=""/>
    <m/>
    <s v="115_205"/>
    <n v="118000"/>
    <m/>
    <n v="1"/>
    <n v="133000"/>
    <n v="0"/>
    <n v="15000"/>
    <n v="1"/>
    <x v="0"/>
  </r>
  <r>
    <n v="255"/>
    <n v="115"/>
    <x v="12"/>
    <s v="206"/>
    <n v="52.36"/>
    <n v="631"/>
    <x v="0"/>
    <s v="2DK"/>
    <n v="125000"/>
    <n v="5000"/>
    <n v="0"/>
    <n v="0"/>
    <n v="130000"/>
    <n v="130000"/>
    <n v="0"/>
    <n v="130000"/>
    <n v="130000"/>
    <s v="中華系"/>
    <s v="yes"/>
    <s v=""/>
    <m/>
    <s v="115_206"/>
    <n v="120000"/>
    <m/>
    <n v="1"/>
    <n v="130000"/>
    <n v="0"/>
    <n v="10000"/>
    <n v="1"/>
    <x v="0"/>
  </r>
  <r>
    <n v="256"/>
    <n v="115"/>
    <x v="12"/>
    <s v="301"/>
    <n v="55.18"/>
    <n v="631"/>
    <x v="0"/>
    <s v="2DK"/>
    <n v="123000"/>
    <n v="5000"/>
    <n v="0"/>
    <n v="0"/>
    <n v="128000"/>
    <n v="128000"/>
    <n v="0"/>
    <n v="128000"/>
    <n v="128000"/>
    <s v="中華系"/>
    <s v="yes"/>
    <s v=""/>
    <m/>
    <s v="115_301"/>
    <n v="115000"/>
    <m/>
    <n v="1"/>
    <n v="128000"/>
    <n v="0"/>
    <n v="13000"/>
    <n v="1"/>
    <x v="0"/>
  </r>
  <r>
    <n v="257"/>
    <n v="115"/>
    <x v="12"/>
    <s v="302"/>
    <n v="52"/>
    <n v="631"/>
    <x v="0"/>
    <s v="2DK"/>
    <n v="121000"/>
    <n v="5000"/>
    <n v="0"/>
    <n v="0"/>
    <n v="126000"/>
    <n v="126000"/>
    <n v="0"/>
    <n v="126000"/>
    <n v="126000"/>
    <s v="日本人等"/>
    <s v="yes"/>
    <s v=""/>
    <m/>
    <s v="115_302"/>
    <n v="128000"/>
    <m/>
    <n v="1"/>
    <n v="126000"/>
    <n v="0"/>
    <n v="-2000"/>
    <n v="1"/>
    <x v="0"/>
  </r>
  <r>
    <n v="258"/>
    <n v="115"/>
    <x v="12"/>
    <s v="303"/>
    <n v="52"/>
    <n v="631"/>
    <x v="0"/>
    <s v="2DK"/>
    <n v="123000"/>
    <n v="5000"/>
    <n v="0"/>
    <n v="0"/>
    <n v="128000"/>
    <n v="128000"/>
    <n v="0"/>
    <n v="128000"/>
    <n v="128000"/>
    <s v="日本人等"/>
    <s v="yes"/>
    <s v=""/>
    <m/>
    <s v="115_303"/>
    <n v="128000"/>
    <m/>
    <n v="1"/>
    <n v="128000"/>
    <n v="0"/>
    <n v="0"/>
    <n v="1"/>
    <x v="0"/>
  </r>
  <r>
    <n v="259"/>
    <n v="115"/>
    <x v="12"/>
    <s v="305"/>
    <n v="52"/>
    <n v="631"/>
    <x v="0"/>
    <s v="2DK"/>
    <n v="126000"/>
    <n v="5000"/>
    <n v="0"/>
    <n v="0"/>
    <n v="131000"/>
    <n v="131000"/>
    <n v="0"/>
    <n v="131000"/>
    <n v="131000"/>
    <s v="日本人等"/>
    <s v="yes"/>
    <s v=""/>
    <m/>
    <s v="115_305"/>
    <n v="131000"/>
    <m/>
    <n v="1"/>
    <n v="131000"/>
    <n v="0"/>
    <n v="0"/>
    <n v="1"/>
    <x v="0"/>
  </r>
  <r>
    <n v="260"/>
    <n v="115"/>
    <x v="12"/>
    <s v="306"/>
    <n v="52.36"/>
    <n v="631"/>
    <x v="0"/>
    <s v="2DK"/>
    <n v="125000"/>
    <n v="5000"/>
    <n v="0"/>
    <n v="0"/>
    <n v="130000"/>
    <n v="130000"/>
    <n v="0"/>
    <n v="130000"/>
    <n v="130000"/>
    <s v="中華系"/>
    <s v="yes"/>
    <s v=""/>
    <m/>
    <s v="115_306"/>
    <n v="120000"/>
    <m/>
    <n v="1"/>
    <n v="130000"/>
    <n v="0"/>
    <n v="10000"/>
    <n v="1"/>
    <x v="0"/>
  </r>
  <r>
    <n v="261"/>
    <n v="115"/>
    <x v="12"/>
    <s v="401"/>
    <n v="55.18"/>
    <n v="631"/>
    <x v="0"/>
    <s v="2DK"/>
    <n v="127000"/>
    <n v="5000"/>
    <n v="0"/>
    <n v="0"/>
    <n v="132000"/>
    <n v="132000"/>
    <n v="0"/>
    <n v="132000"/>
    <n v="132000"/>
    <s v="日本人等"/>
    <s v="yes"/>
    <s v=""/>
    <m/>
    <s v="115_401"/>
    <n v="132000"/>
    <m/>
    <n v="1"/>
    <n v="132000"/>
    <n v="0"/>
    <n v="0"/>
    <n v="1"/>
    <x v="0"/>
  </r>
  <r>
    <n v="262"/>
    <n v="115"/>
    <x v="12"/>
    <s v="402"/>
    <n v="52"/>
    <n v="631"/>
    <x v="0"/>
    <s v="2DK"/>
    <n v="125000"/>
    <n v="5000"/>
    <n v="0"/>
    <n v="0"/>
    <n v="130000"/>
    <n v="130000"/>
    <n v="0"/>
    <n v="130000"/>
    <n v="130000"/>
    <s v="日本人等"/>
    <s v="yes"/>
    <s v=""/>
    <m/>
    <s v="115_402"/>
    <n v="125000"/>
    <m/>
    <n v="1"/>
    <n v="130000"/>
    <n v="0"/>
    <n v="5000"/>
    <n v="1"/>
    <x v="0"/>
  </r>
  <r>
    <n v="263"/>
    <n v="115"/>
    <x v="12"/>
    <s v="403"/>
    <n v="52"/>
    <n v="631"/>
    <x v="0"/>
    <s v="3DK"/>
    <n v="132000"/>
    <n v="5000"/>
    <n v="0"/>
    <n v="0"/>
    <n v="137000"/>
    <n v="137000"/>
    <n v="0"/>
    <n v="137000"/>
    <n v="137000"/>
    <s v="住居法人契約"/>
    <s v="yes"/>
    <s v=""/>
    <m/>
    <s v="115_403"/>
    <n v="125000"/>
    <m/>
    <n v="1"/>
    <n v="137000"/>
    <n v="0"/>
    <n v="12000"/>
    <n v="1"/>
    <x v="0"/>
  </r>
  <r>
    <n v="264"/>
    <n v="115"/>
    <x v="12"/>
    <s v="405"/>
    <n v="52"/>
    <n v="631"/>
    <x v="0"/>
    <s v="3DK"/>
    <n v="132000"/>
    <n v="5000"/>
    <n v="0"/>
    <n v="0"/>
    <n v="137000"/>
    <n v="128000"/>
    <n v="0"/>
    <n v="128000"/>
    <n v="137000"/>
    <s v="中華系"/>
    <s v="yes"/>
    <s v=""/>
    <m/>
    <s v="115_405"/>
    <n v="128000"/>
    <m/>
    <n v="1"/>
    <n v="137000"/>
    <n v="-9000"/>
    <n v="9000"/>
    <n v="1"/>
    <x v="0"/>
  </r>
  <r>
    <n v="265"/>
    <n v="115"/>
    <x v="12"/>
    <s v="406"/>
    <n v="52.36"/>
    <n v="631"/>
    <x v="0"/>
    <s v="2DK"/>
    <n v="123000"/>
    <n v="5000"/>
    <n v="0"/>
    <n v="0"/>
    <n v="128000"/>
    <n v="128000"/>
    <n v="0"/>
    <n v="128000"/>
    <n v="128000"/>
    <s v="日本人等"/>
    <s v="yes"/>
    <s v=""/>
    <m/>
    <s v="115_406"/>
    <n v="125000"/>
    <m/>
    <n v="1"/>
    <n v="128000"/>
    <n v="0"/>
    <n v="3000"/>
    <n v="1"/>
    <x v="0"/>
  </r>
  <r>
    <n v="266"/>
    <n v="115"/>
    <x v="12"/>
    <s v="501"/>
    <n v="55.18"/>
    <n v="631"/>
    <x v="0"/>
    <s v="2DK"/>
    <n v="132000"/>
    <n v="5000"/>
    <n v="0"/>
    <n v="0"/>
    <n v="137000"/>
    <n v="137000"/>
    <n v="0"/>
    <n v="137000"/>
    <n v="137000"/>
    <s v="住居法人契約"/>
    <s v="yes"/>
    <s v=""/>
    <m/>
    <s v="115_501"/>
    <n v="120000"/>
    <m/>
    <n v="1"/>
    <n v="137000"/>
    <n v="0"/>
    <n v="17000"/>
    <n v="1"/>
    <x v="0"/>
  </r>
  <r>
    <n v="267"/>
    <n v="115"/>
    <x v="12"/>
    <s v="502"/>
    <n v="52"/>
    <n v="631"/>
    <x v="0"/>
    <s v="2DK"/>
    <n v="128000"/>
    <n v="5000"/>
    <n v="0"/>
    <n v="0"/>
    <n v="133000"/>
    <n v="133000"/>
    <n v="0"/>
    <n v="133000"/>
    <n v="133000"/>
    <s v="日本人等"/>
    <s v="yes"/>
    <s v=""/>
    <m/>
    <s v="115_502"/>
    <n v="133000"/>
    <m/>
    <n v="1"/>
    <n v="133000"/>
    <n v="0"/>
    <n v="0"/>
    <n v="1"/>
    <x v="0"/>
  </r>
  <r>
    <n v="268"/>
    <n v="115"/>
    <x v="12"/>
    <s v="503"/>
    <n v="52"/>
    <n v="631"/>
    <x v="0"/>
    <s v="3DK"/>
    <n v="130000"/>
    <n v="5000"/>
    <n v="0"/>
    <n v="0"/>
    <n v="135000"/>
    <n v="135000"/>
    <n v="0"/>
    <n v="135000"/>
    <n v="135000"/>
    <s v="日本人等"/>
    <s v="yes"/>
    <s v=""/>
    <m/>
    <s v="115_503"/>
    <n v="128000"/>
    <m/>
    <n v="1"/>
    <n v="135000"/>
    <n v="0"/>
    <n v="7000"/>
    <n v="1"/>
    <x v="0"/>
  </r>
  <r>
    <n v="269"/>
    <n v="115"/>
    <x v="12"/>
    <s v="505"/>
    <n v="52"/>
    <n v="631"/>
    <x v="0"/>
    <s v="2DK"/>
    <n v="125000"/>
    <n v="5000"/>
    <n v="0"/>
    <n v="0"/>
    <n v="130000"/>
    <n v="125000"/>
    <n v="0"/>
    <n v="125000"/>
    <n v="130000"/>
    <s v="日本人等"/>
    <s v="yes"/>
    <s v=""/>
    <m/>
    <s v="115_505"/>
    <n v="125000"/>
    <m/>
    <n v="1"/>
    <n v="130000"/>
    <n v="-5000"/>
    <n v="5000"/>
    <n v="1"/>
    <x v="0"/>
  </r>
  <r>
    <n v="270"/>
    <n v="115"/>
    <x v="12"/>
    <s v="506"/>
    <n v="52.36"/>
    <n v="631"/>
    <x v="0"/>
    <s v="2DK"/>
    <n v="120000"/>
    <n v="5000"/>
    <n v="0"/>
    <n v="0"/>
    <n v="125000"/>
    <n v="125000"/>
    <n v="0"/>
    <n v="125000"/>
    <n v="125000"/>
    <s v="日本人等"/>
    <s v="yes"/>
    <s v=""/>
    <m/>
    <s v="115_506"/>
    <n v="125000"/>
    <m/>
    <n v="1"/>
    <n v="125000"/>
    <n v="0"/>
    <n v="0"/>
    <n v="1"/>
    <x v="0"/>
  </r>
  <r>
    <n v="271"/>
    <n v="115"/>
    <x v="12"/>
    <s v="601"/>
    <n v="52"/>
    <n v="631"/>
    <x v="0"/>
    <s v="2DK"/>
    <n v="129000"/>
    <n v="5000"/>
    <n v="0"/>
    <n v="0"/>
    <n v="134000"/>
    <n v="134000"/>
    <n v="0"/>
    <n v="134000"/>
    <n v="134000"/>
    <s v="日本人等"/>
    <s v="yes"/>
    <s v=""/>
    <m/>
    <s v="115_601"/>
    <n v="134000"/>
    <m/>
    <n v="1"/>
    <n v="134000"/>
    <n v="0"/>
    <n v="0"/>
    <n v="1"/>
    <x v="0"/>
  </r>
  <r>
    <n v="272"/>
    <n v="115"/>
    <x v="12"/>
    <s v="602"/>
    <n v="52"/>
    <n v="631"/>
    <x v="0"/>
    <s v="3DK"/>
    <n v="134000"/>
    <n v="5000"/>
    <n v="0"/>
    <n v="0"/>
    <n v="139000"/>
    <n v="139000"/>
    <n v="0"/>
    <n v="139000"/>
    <n v="139000"/>
    <s v="日本人等"/>
    <s v="yes"/>
    <s v=""/>
    <m/>
    <s v="115_602"/>
    <n v="123000"/>
    <m/>
    <n v="1"/>
    <n v="139000"/>
    <n v="0"/>
    <n v="16000"/>
    <n v="1"/>
    <x v="0"/>
  </r>
  <r>
    <n v="273"/>
    <n v="115"/>
    <x v="12"/>
    <s v="603"/>
    <n v="52"/>
    <n v="631"/>
    <x v="0"/>
    <s v="3DK"/>
    <n v="130000"/>
    <n v="5000"/>
    <n v="0"/>
    <n v="0"/>
    <n v="135000"/>
    <n v="135000"/>
    <n v="0"/>
    <n v="135000"/>
    <n v="135000"/>
    <s v="日本人等"/>
    <s v="yes"/>
    <s v=""/>
    <m/>
    <s v="115_603"/>
    <n v="125000"/>
    <m/>
    <n v="1"/>
    <n v="135000"/>
    <n v="0"/>
    <n v="10000"/>
    <n v="1"/>
    <x v="0"/>
  </r>
  <r>
    <n v="274"/>
    <n v="115"/>
    <x v="12"/>
    <s v="101"/>
    <n v="59.53"/>
    <n v="633"/>
    <x v="5"/>
    <s v="店舗"/>
    <n v="170000"/>
    <n v="4630"/>
    <n v="0"/>
    <n v="17463"/>
    <n v="192093"/>
    <n v="174630"/>
    <n v="17463"/>
    <n v="192093"/>
    <n v="192093"/>
    <s v="日本人等"/>
    <s v="yes"/>
    <s v=""/>
    <m/>
    <s v="115_101"/>
    <n v="174630"/>
    <m/>
    <n v="1"/>
    <n v="174630"/>
    <n v="0"/>
    <n v="0"/>
    <n v="1"/>
    <x v="0"/>
  </r>
  <r>
    <n v="275"/>
    <n v="115"/>
    <x v="12"/>
    <s v="BF1"/>
    <n v="0"/>
    <n v="634"/>
    <x v="4"/>
    <s v="駐車場"/>
    <n v="324074"/>
    <n v="0"/>
    <n v="0"/>
    <n v="32407"/>
    <n v="356481"/>
    <n v="324073"/>
    <n v="32407.363636363636"/>
    <n v="356480.36363636365"/>
    <n v="356481"/>
    <s v="法人契約"/>
    <s v="yes"/>
    <s v="駐輪場"/>
    <m/>
    <s v="115_BF1"/>
    <n v="100000"/>
    <m/>
    <n v="1"/>
    <n v="324074"/>
    <n v="-1"/>
    <n v="224074"/>
    <n v="1"/>
    <x v="0"/>
  </r>
  <r>
    <n v="276"/>
    <n v="115"/>
    <x v="12"/>
    <s v="RF1"/>
    <n v="0"/>
    <n v="635"/>
    <x v="2"/>
    <s v="その他"/>
    <n v="12000"/>
    <n v="0"/>
    <n v="0"/>
    <n v="1200"/>
    <n v="13200"/>
    <n v="12000"/>
    <n v="1199.9999999999998"/>
    <n v="13200"/>
    <n v="13200"/>
    <s v="-"/>
    <s v="yes"/>
    <s v="LPWA"/>
    <m/>
    <s v="115_RF1"/>
    <n v="0"/>
    <m/>
    <n v="1"/>
    <n v="12000"/>
    <n v="0"/>
    <n v="12000"/>
    <n v="1"/>
    <x v="0"/>
  </r>
  <r>
    <n v="277"/>
    <n v="115"/>
    <x v="12"/>
    <s v="NTF1"/>
    <s v="-"/>
    <n v="639"/>
    <x v="3"/>
    <s v="その他"/>
    <n v="0"/>
    <n v="0"/>
    <n v="0"/>
    <n v="0"/>
    <n v="0"/>
    <n v="0"/>
    <n v="0"/>
    <n v="0"/>
    <n v="0"/>
    <s v="-"/>
    <s v="no"/>
    <s v="フレッツ光"/>
    <m/>
    <s v="115_NTF1"/>
    <n v="0"/>
    <m/>
    <n v="0"/>
    <n v="0"/>
    <n v="0"/>
    <n v="0"/>
    <n v="0"/>
    <x v="0"/>
  </r>
  <r>
    <n v="278"/>
    <n v="116"/>
    <x v="13"/>
    <s v="201"/>
    <n v="55.01"/>
    <n v="631"/>
    <x v="0"/>
    <s v="3DK"/>
    <n v="122000"/>
    <n v="0"/>
    <n v="0"/>
    <n v="0"/>
    <n v="122000"/>
    <n v="115000"/>
    <n v="0"/>
    <n v="115000"/>
    <n v="122000"/>
    <s v="住居法人契約"/>
    <s v="yes"/>
    <s v=""/>
    <m/>
    <s v="116_201"/>
    <n v="115000"/>
    <m/>
    <n v="1"/>
    <n v="122000"/>
    <n v="-7000"/>
    <n v="7000"/>
    <n v="1"/>
    <x v="0"/>
  </r>
  <r>
    <n v="279"/>
    <n v="116"/>
    <x v="13"/>
    <s v="202"/>
    <n v="62.38"/>
    <n v="631"/>
    <x v="0"/>
    <s v="3DK"/>
    <n v="145000"/>
    <n v="5000"/>
    <n v="0"/>
    <n v="0"/>
    <n v="150000"/>
    <n v="160000"/>
    <n v="0"/>
    <n v="160000"/>
    <n v="150000"/>
    <s v="日本人等"/>
    <s v="yes"/>
    <s v=""/>
    <m/>
    <s v="116_202"/>
    <n v="145000"/>
    <m/>
    <n v="1"/>
    <n v="150000"/>
    <n v="10000"/>
    <n v="5000"/>
    <n v="1"/>
    <x v="0"/>
  </r>
  <r>
    <n v="280"/>
    <n v="116"/>
    <x v="13"/>
    <s v="301"/>
    <n v="55.01"/>
    <n v="631"/>
    <x v="0"/>
    <s v="3DK"/>
    <n v="120000"/>
    <n v="5000"/>
    <n v="0"/>
    <n v="0"/>
    <n v="125000"/>
    <n v="125000"/>
    <n v="0"/>
    <n v="125000"/>
    <n v="125000"/>
    <s v="日本人等"/>
    <s v="yes"/>
    <s v=""/>
    <m/>
    <s v="116_301"/>
    <n v="125000"/>
    <m/>
    <n v="1"/>
    <n v="125000"/>
    <n v="0"/>
    <n v="0"/>
    <n v="1"/>
    <x v="0"/>
  </r>
  <r>
    <n v="281"/>
    <n v="116"/>
    <x v="13"/>
    <s v="302"/>
    <n v="62.38"/>
    <n v="631"/>
    <x v="0"/>
    <s v="3DK"/>
    <n v="153000"/>
    <n v="5000"/>
    <n v="0"/>
    <n v="0"/>
    <n v="158000"/>
    <n v="155000"/>
    <n v="0"/>
    <n v="155000"/>
    <n v="158000"/>
    <s v="日本人等"/>
    <s v="yes"/>
    <s v=""/>
    <m/>
    <s v="116_302"/>
    <n v="140000"/>
    <m/>
    <n v="1"/>
    <n v="158000"/>
    <n v="-3000"/>
    <n v="18000"/>
    <n v="1"/>
    <x v="0"/>
  </r>
  <r>
    <n v="282"/>
    <n v="116"/>
    <x v="13"/>
    <s v="401"/>
    <n v="55.01"/>
    <n v="631"/>
    <x v="0"/>
    <s v="3DK"/>
    <n v="143000"/>
    <n v="5000"/>
    <n v="0"/>
    <n v="0"/>
    <n v="148000"/>
    <n v="140000"/>
    <n v="0"/>
    <n v="140000"/>
    <n v="148000"/>
    <s v="中華系"/>
    <s v="yes"/>
    <s v=""/>
    <m/>
    <s v="116_401"/>
    <n v="130000"/>
    <m/>
    <n v="1"/>
    <n v="148000"/>
    <n v="-8000"/>
    <n v="18000"/>
    <n v="1"/>
    <x v="0"/>
  </r>
  <r>
    <n v="283"/>
    <n v="116"/>
    <x v="13"/>
    <s v="402"/>
    <n v="62.38"/>
    <n v="631"/>
    <x v="0"/>
    <s v="3DK"/>
    <n v="153000"/>
    <n v="5000"/>
    <n v="0"/>
    <n v="0"/>
    <n v="158000"/>
    <n v="141000"/>
    <n v="0"/>
    <n v="141000"/>
    <n v="158000"/>
    <s v="日本人等"/>
    <s v="yes"/>
    <s v=""/>
    <m/>
    <s v="116_402"/>
    <n v="130000"/>
    <m/>
    <n v="1"/>
    <n v="158000"/>
    <n v="-17000"/>
    <n v="28000"/>
    <n v="1"/>
    <x v="0"/>
  </r>
  <r>
    <n v="284"/>
    <n v="116"/>
    <x v="13"/>
    <s v="501"/>
    <n v="55.01"/>
    <n v="631"/>
    <x v="0"/>
    <s v="3DK"/>
    <n v="140000"/>
    <n v="5000"/>
    <n v="0"/>
    <n v="0"/>
    <n v="145000"/>
    <n v="130000"/>
    <n v="0"/>
    <n v="130000"/>
    <n v="145000"/>
    <s v="日本人等"/>
    <s v="yes"/>
    <s v=""/>
    <m/>
    <s v="116_501"/>
    <n v="130000"/>
    <m/>
    <n v="1"/>
    <n v="145000"/>
    <n v="-15000"/>
    <n v="15000"/>
    <n v="1"/>
    <x v="0"/>
  </r>
  <r>
    <n v="285"/>
    <n v="116"/>
    <x v="13"/>
    <s v="502"/>
    <n v="60"/>
    <n v="631"/>
    <x v="0"/>
    <s v="3DK"/>
    <n v="135000"/>
    <n v="0"/>
    <n v="0"/>
    <n v="0"/>
    <n v="135000"/>
    <n v="135000"/>
    <n v="0"/>
    <n v="135000"/>
    <n v="135000"/>
    <s v="日本人等"/>
    <s v="yes"/>
    <s v=""/>
    <m/>
    <s v="116_502"/>
    <n v="135000"/>
    <m/>
    <n v="1"/>
    <n v="135000"/>
    <n v="0"/>
    <n v="0"/>
    <n v="1"/>
    <x v="0"/>
  </r>
  <r>
    <n v="286"/>
    <n v="116"/>
    <x v="13"/>
    <s v="601"/>
    <n v="65"/>
    <n v="631"/>
    <x v="0"/>
    <s v="3DK"/>
    <n v="145000"/>
    <n v="5000"/>
    <n v="0"/>
    <n v="0"/>
    <n v="150000"/>
    <n v="140000"/>
    <n v="0"/>
    <n v="140000"/>
    <n v="150000"/>
    <s v="中華系"/>
    <s v="yes"/>
    <s v=""/>
    <m/>
    <s v="116_601"/>
    <n v="130000"/>
    <m/>
    <n v="1"/>
    <n v="150000"/>
    <n v="-10000"/>
    <n v="20000"/>
    <n v="1"/>
    <x v="0"/>
  </r>
  <r>
    <n v="287"/>
    <n v="116"/>
    <x v="13"/>
    <s v="602"/>
    <n v="65"/>
    <n v="631"/>
    <x v="0"/>
    <s v="3DK"/>
    <n v="125000"/>
    <n v="5000"/>
    <n v="0"/>
    <n v="0"/>
    <n v="130000"/>
    <n v="130000"/>
    <n v="0"/>
    <n v="130000"/>
    <n v="130000"/>
    <s v="日本人等"/>
    <s v="yes"/>
    <s v=""/>
    <m/>
    <s v="116_602"/>
    <n v="130000"/>
    <m/>
    <n v="1"/>
    <n v="130000"/>
    <n v="0"/>
    <n v="0"/>
    <n v="1"/>
    <x v="0"/>
  </r>
  <r>
    <n v="288"/>
    <n v="116"/>
    <x v="13"/>
    <s v="701"/>
    <n v="65.61"/>
    <n v="631"/>
    <x v="0"/>
    <s v="3DK"/>
    <n v="138000"/>
    <n v="2000"/>
    <n v="0"/>
    <n v="0"/>
    <n v="140000"/>
    <n v="132000"/>
    <n v="0"/>
    <n v="132000"/>
    <n v="140000"/>
    <s v="日本人等"/>
    <s v="yes"/>
    <s v=""/>
    <m/>
    <s v="116_701"/>
    <n v="132000"/>
    <m/>
    <n v="1"/>
    <n v="140000"/>
    <n v="-8000"/>
    <n v="8000"/>
    <n v="1"/>
    <x v="0"/>
  </r>
  <r>
    <n v="289"/>
    <n v="116"/>
    <x v="13"/>
    <s v="702"/>
    <n v="62.38"/>
    <n v="631"/>
    <x v="0"/>
    <s v="3DK"/>
    <n v="160000"/>
    <n v="5000"/>
    <n v="0"/>
    <n v="0"/>
    <n v="165000"/>
    <n v="135000"/>
    <n v="0"/>
    <n v="135000"/>
    <n v="165000"/>
    <s v="中華系"/>
    <s v="yes"/>
    <s v=""/>
    <m/>
    <s v="116_702"/>
    <n v="135000"/>
    <m/>
    <n v="1"/>
    <n v="165000"/>
    <n v="-30000"/>
    <n v="30000"/>
    <n v="1"/>
    <x v="0"/>
  </r>
  <r>
    <n v="290"/>
    <n v="116"/>
    <x v="13"/>
    <s v="801"/>
    <n v="40"/>
    <n v="631"/>
    <x v="0"/>
    <s v="3LDK"/>
    <n v="135000"/>
    <n v="5000"/>
    <n v="0"/>
    <n v="0"/>
    <n v="140000"/>
    <n v="140000"/>
    <n v="0"/>
    <n v="140000"/>
    <n v="140000"/>
    <s v="中華系"/>
    <s v="yes"/>
    <s v=""/>
    <m/>
    <s v="116_801"/>
    <n v="180000"/>
    <m/>
    <n v="1"/>
    <n v="140000"/>
    <n v="0"/>
    <n v="-40000"/>
    <n v="1"/>
    <x v="0"/>
  </r>
  <r>
    <n v="291"/>
    <n v="116"/>
    <x v="13"/>
    <s v="802"/>
    <n v="62"/>
    <n v="631"/>
    <x v="0"/>
    <s v="2LDK"/>
    <n v="170000"/>
    <n v="5000"/>
    <n v="0"/>
    <n v="0"/>
    <n v="175000"/>
    <n v="175000"/>
    <n v="0"/>
    <n v="175000"/>
    <n v="175000"/>
    <s v="その他新興国"/>
    <s v="yes"/>
    <s v=""/>
    <m/>
    <s v="116_802"/>
    <n v="175000"/>
    <m/>
    <n v="1"/>
    <n v="175000"/>
    <n v="0"/>
    <n v="0"/>
    <n v="1"/>
    <x v="0"/>
  </r>
  <r>
    <n v="292"/>
    <n v="116"/>
    <x v="13"/>
    <s v="101"/>
    <n v="130.33000000000001"/>
    <n v="633"/>
    <x v="5"/>
    <s v="店舗"/>
    <n v="376000"/>
    <n v="0"/>
    <n v="0"/>
    <n v="37600"/>
    <n v="413600"/>
    <n v="376000"/>
    <n v="37599.999999999993"/>
    <n v="413600"/>
    <n v="413600"/>
    <s v="日本人等"/>
    <s v="yes"/>
    <s v=""/>
    <m/>
    <s v="116_101"/>
    <n v="350000"/>
    <m/>
    <n v="1"/>
    <n v="376000"/>
    <n v="0"/>
    <n v="26000"/>
    <n v="1"/>
    <x v="0"/>
  </r>
  <r>
    <n v="293"/>
    <n v="116"/>
    <x v="13"/>
    <s v="RF1"/>
    <n v="0"/>
    <n v="635"/>
    <x v="2"/>
    <s v="その他"/>
    <n v="12000"/>
    <n v="0"/>
    <n v="0"/>
    <n v="1200"/>
    <n v="13200"/>
    <n v="12000"/>
    <n v="1199.9999999999998"/>
    <n v="13200"/>
    <n v="13200"/>
    <s v="-"/>
    <s v="yes"/>
    <s v="LPWA"/>
    <m/>
    <s v="116_RF1"/>
    <n v="0"/>
    <m/>
    <n v="1"/>
    <n v="12000"/>
    <n v="0"/>
    <n v="12000"/>
    <n v="1"/>
    <x v="0"/>
  </r>
  <r>
    <n v="294"/>
    <n v="116"/>
    <x v="13"/>
    <s v="NTF1"/>
    <s v="-"/>
    <n v="639"/>
    <x v="3"/>
    <s v="その他"/>
    <n v="0"/>
    <n v="0"/>
    <n v="0"/>
    <n v="0"/>
    <n v="0"/>
    <n v="0"/>
    <n v="0"/>
    <n v="0"/>
    <n v="0"/>
    <s v="-"/>
    <s v="no"/>
    <s v="フレッツ光"/>
    <m/>
    <s v="116_NTF1"/>
    <n v="0"/>
    <m/>
    <n v="0"/>
    <n v="0"/>
    <n v="0"/>
    <n v="0"/>
    <n v="0"/>
    <x v="0"/>
  </r>
  <r>
    <n v="295"/>
    <n v="117"/>
    <x v="14"/>
    <s v="101"/>
    <n v="89.64"/>
    <n v="631"/>
    <x v="0"/>
    <s v="2SLDK"/>
    <n v="185000"/>
    <n v="5000"/>
    <n v="0"/>
    <n v="0"/>
    <n v="190000"/>
    <n v="190000"/>
    <n v="0"/>
    <n v="190000"/>
    <n v="190000"/>
    <s v="日本人等"/>
    <s v="yes"/>
    <s v=""/>
    <m/>
    <s v="117_101"/>
    <n v="190000"/>
    <m/>
    <n v="1"/>
    <n v="190000"/>
    <n v="0"/>
    <n v="0"/>
    <n v="1"/>
    <x v="0"/>
  </r>
  <r>
    <n v="296"/>
    <n v="117"/>
    <x v="14"/>
    <s v="B101"/>
    <n v="89.64"/>
    <n v="631"/>
    <x v="0"/>
    <s v="2SLDK"/>
    <n v="160000"/>
    <n v="5000"/>
    <n v="0"/>
    <n v="0"/>
    <n v="165000"/>
    <n v="165000"/>
    <n v="0"/>
    <n v="165000"/>
    <n v="165000"/>
    <s v="住居法人契約"/>
    <s v="yes"/>
    <s v=""/>
    <m/>
    <s v="117_B101"/>
    <n v="165000"/>
    <m/>
    <n v="1"/>
    <n v="165000"/>
    <n v="0"/>
    <n v="0"/>
    <n v="1"/>
    <x v="0"/>
  </r>
  <r>
    <n v="297"/>
    <n v="117"/>
    <x v="14"/>
    <s v="201"/>
    <n v="31.98"/>
    <n v="631"/>
    <x v="0"/>
    <s v="2K"/>
    <n v="84000"/>
    <n v="4000"/>
    <n v="0"/>
    <n v="0"/>
    <n v="88000"/>
    <n v="88000"/>
    <n v="0"/>
    <n v="88000"/>
    <n v="88000"/>
    <s v="中華系"/>
    <s v="yes"/>
    <s v=""/>
    <m/>
    <s v="117_201"/>
    <n v="83000"/>
    <m/>
    <n v="1"/>
    <n v="88000"/>
    <n v="0"/>
    <n v="5000"/>
    <n v="1"/>
    <x v="0"/>
  </r>
  <r>
    <n v="298"/>
    <n v="117"/>
    <x v="14"/>
    <s v="202"/>
    <n v="28.84"/>
    <n v="631"/>
    <x v="0"/>
    <s v="2K"/>
    <n v="78000"/>
    <n v="5000"/>
    <n v="0"/>
    <n v="0"/>
    <n v="83000"/>
    <n v="78000"/>
    <n v="0"/>
    <n v="78000"/>
    <n v="83000"/>
    <s v="日本人等"/>
    <s v="yes"/>
    <s v=""/>
    <m/>
    <s v="117_202"/>
    <n v="80000"/>
    <m/>
    <n v="1"/>
    <n v="83000"/>
    <n v="-5000"/>
    <n v="3000"/>
    <n v="1"/>
    <x v="0"/>
  </r>
  <r>
    <n v="299"/>
    <n v="117"/>
    <x v="14"/>
    <s v="203"/>
    <n v="28.84"/>
    <n v="631"/>
    <x v="0"/>
    <s v="2K"/>
    <n v="80000"/>
    <n v="5000"/>
    <n v="0"/>
    <n v="0"/>
    <n v="85000"/>
    <n v="84000"/>
    <n v="0"/>
    <n v="84000"/>
    <n v="85000"/>
    <s v="日本人等"/>
    <s v="yes"/>
    <s v=""/>
    <m/>
    <s v="117_203"/>
    <n v="79000"/>
    <m/>
    <n v="1"/>
    <n v="85000"/>
    <n v="-1000"/>
    <n v="6000"/>
    <n v="1"/>
    <x v="0"/>
  </r>
  <r>
    <n v="300"/>
    <n v="117"/>
    <x v="14"/>
    <s v="301"/>
    <n v="16.78"/>
    <n v="631"/>
    <x v="0"/>
    <s v="1R"/>
    <n v="67000"/>
    <n v="2000"/>
    <n v="0"/>
    <n v="0"/>
    <n v="69000"/>
    <n v="69000"/>
    <n v="0"/>
    <n v="69000"/>
    <n v="69000"/>
    <s v="日本人等"/>
    <s v="yes"/>
    <s v=""/>
    <m/>
    <s v="117_301"/>
    <n v="69000"/>
    <m/>
    <n v="1"/>
    <n v="69000"/>
    <n v="0"/>
    <n v="0"/>
    <n v="1"/>
    <x v="0"/>
  </r>
  <r>
    <n v="301"/>
    <n v="117"/>
    <x v="14"/>
    <s v="302"/>
    <n v="27.31"/>
    <n v="631"/>
    <x v="0"/>
    <s v="2K"/>
    <n v="80000"/>
    <n v="3000"/>
    <n v="0"/>
    <n v="0"/>
    <n v="83000"/>
    <n v="82000"/>
    <n v="0"/>
    <n v="82000"/>
    <n v="83000"/>
    <s v="日本人等"/>
    <s v="yes"/>
    <s v=""/>
    <m/>
    <s v="117_302"/>
    <n v="81000"/>
    <m/>
    <n v="1"/>
    <n v="83000"/>
    <n v="-1000"/>
    <n v="2000"/>
    <n v="1"/>
    <x v="0"/>
  </r>
  <r>
    <n v="302"/>
    <n v="117"/>
    <x v="14"/>
    <s v="303"/>
    <n v="27.31"/>
    <n v="631"/>
    <x v="0"/>
    <s v="2K"/>
    <n v="81000"/>
    <n v="2000"/>
    <n v="0"/>
    <n v="0"/>
    <n v="83000"/>
    <n v="83000"/>
    <n v="0"/>
    <n v="83000"/>
    <n v="83000"/>
    <s v="日本人等"/>
    <s v="yes"/>
    <s v=""/>
    <m/>
    <s v="117_303"/>
    <n v="83000"/>
    <m/>
    <n v="1"/>
    <n v="83000"/>
    <n v="0"/>
    <n v="0"/>
    <n v="1"/>
    <x v="0"/>
  </r>
  <r>
    <n v="303"/>
    <n v="117"/>
    <x v="14"/>
    <s v="P1"/>
    <n v="0"/>
    <n v="634"/>
    <x v="4"/>
    <s v="駐車場"/>
    <n v="0"/>
    <n v="0"/>
    <n v="0"/>
    <n v="0"/>
    <n v="0"/>
    <n v="13000"/>
    <n v="1300"/>
    <n v="14300"/>
    <n v="14300"/>
    <s v="法人契約"/>
    <s v="yes"/>
    <s v="一時的な空室"/>
    <m/>
    <s v="117_P1"/>
    <n v="14300"/>
    <m/>
    <n v="0"/>
    <n v="13000"/>
    <n v="0"/>
    <n v="-1300"/>
    <n v="1"/>
    <x v="0"/>
  </r>
  <r>
    <n v="304"/>
    <n v="120"/>
    <x v="15"/>
    <s v="101"/>
    <n v="23.07"/>
    <n v="631"/>
    <x v="0"/>
    <s v="1R"/>
    <n v="75000"/>
    <n v="0"/>
    <n v="0"/>
    <n v="0"/>
    <n v="75000"/>
    <n v="75000"/>
    <n v="0"/>
    <n v="75000"/>
    <n v="75000"/>
    <s v="日本人等"/>
    <s v="yes"/>
    <s v=""/>
    <m/>
    <s v="120_101"/>
    <n v="75000"/>
    <m/>
    <n v="1"/>
    <n v="75000"/>
    <n v="0"/>
    <n v="0"/>
    <n v="1"/>
    <x v="0"/>
  </r>
  <r>
    <n v="305"/>
    <n v="120"/>
    <x v="15"/>
    <s v="102"/>
    <n v="26.94"/>
    <n v="631"/>
    <x v="0"/>
    <s v="1DK"/>
    <n v="70000"/>
    <n v="0"/>
    <n v="0"/>
    <n v="0"/>
    <n v="70000"/>
    <n v="70000"/>
    <n v="0"/>
    <n v="70000"/>
    <n v="70000"/>
    <s v="日本人等"/>
    <s v="yes"/>
    <s v=""/>
    <m/>
    <s v="120_102"/>
    <n v="70000"/>
    <m/>
    <n v="1"/>
    <n v="70000"/>
    <n v="0"/>
    <n v="0"/>
    <n v="1"/>
    <x v="0"/>
  </r>
  <r>
    <n v="306"/>
    <n v="120"/>
    <x v="15"/>
    <s v="103"/>
    <n v="33.450000000000003"/>
    <n v="631"/>
    <x v="0"/>
    <s v="1DK"/>
    <n v="79000"/>
    <n v="4000"/>
    <n v="0"/>
    <n v="0"/>
    <n v="83000"/>
    <n v="83000"/>
    <n v="0"/>
    <n v="83000"/>
    <n v="83000"/>
    <s v="日本人等"/>
    <s v="yes"/>
    <s v=""/>
    <m/>
    <s v="120_103"/>
    <n v="89000"/>
    <m/>
    <n v="1"/>
    <n v="83000"/>
    <n v="0"/>
    <n v="-6000"/>
    <n v="1"/>
    <x v="0"/>
  </r>
  <r>
    <n v="307"/>
    <n v="120"/>
    <x v="15"/>
    <s v="201"/>
    <n v="43.83"/>
    <n v="631"/>
    <x v="0"/>
    <s v="1LDK"/>
    <n v="102000"/>
    <n v="3000"/>
    <n v="0"/>
    <n v="0"/>
    <n v="105000"/>
    <n v="103000"/>
    <n v="0"/>
    <n v="103000"/>
    <n v="105000"/>
    <s v="日本人等"/>
    <s v="yes"/>
    <s v=""/>
    <m/>
    <s v="120_201"/>
    <n v="103000"/>
    <m/>
    <n v="1"/>
    <n v="105000"/>
    <n v="-2000"/>
    <n v="2000"/>
    <n v="1"/>
    <x v="0"/>
  </r>
  <r>
    <n v="308"/>
    <n v="120"/>
    <x v="15"/>
    <s v="202"/>
    <n v="26.94"/>
    <n v="631"/>
    <x v="0"/>
    <s v="1DK"/>
    <n v="75000"/>
    <n v="0"/>
    <n v="0"/>
    <n v="0"/>
    <n v="75000"/>
    <n v="75000"/>
    <n v="0"/>
    <n v="75000"/>
    <n v="75000"/>
    <s v="日本人等"/>
    <s v="yes"/>
    <s v=""/>
    <m/>
    <s v="120_202"/>
    <n v="75000"/>
    <m/>
    <n v="1"/>
    <n v="75000"/>
    <n v="0"/>
    <n v="0"/>
    <n v="1"/>
    <x v="0"/>
  </r>
  <r>
    <n v="309"/>
    <n v="120"/>
    <x v="15"/>
    <s v="203"/>
    <n v="33.450000000000003"/>
    <n v="631"/>
    <x v="0"/>
    <s v="1DK"/>
    <n v="87000"/>
    <n v="3000"/>
    <n v="0"/>
    <n v="0"/>
    <n v="90000"/>
    <n v="90000"/>
    <n v="0"/>
    <n v="90000"/>
    <n v="90000"/>
    <s v="日本人等"/>
    <s v="yes"/>
    <s v=""/>
    <m/>
    <s v="120_203"/>
    <n v="103000"/>
    <m/>
    <n v="1"/>
    <n v="90000"/>
    <n v="0"/>
    <n v="-13000"/>
    <n v="1"/>
    <x v="0"/>
  </r>
  <r>
    <n v="310"/>
    <n v="120"/>
    <x v="15"/>
    <s v="301"/>
    <n v="38.04"/>
    <n v="631"/>
    <x v="0"/>
    <s v="1DK"/>
    <n v="105000"/>
    <n v="0"/>
    <n v="0"/>
    <n v="0"/>
    <n v="105000"/>
    <n v="105000"/>
    <n v="0"/>
    <n v="105000"/>
    <n v="105000"/>
    <s v="日本人等"/>
    <s v="yes"/>
    <s v=""/>
    <m/>
    <s v="120_301"/>
    <n v="105000"/>
    <m/>
    <n v="1"/>
    <n v="105000"/>
    <n v="0"/>
    <n v="0"/>
    <n v="1"/>
    <x v="0"/>
  </r>
  <r>
    <n v="311"/>
    <n v="120"/>
    <x v="15"/>
    <s v="302"/>
    <n v="51.96"/>
    <n v="631"/>
    <x v="0"/>
    <s v="2LDK"/>
    <n v="120000"/>
    <n v="5000"/>
    <n v="0"/>
    <n v="0"/>
    <n v="125000"/>
    <n v="125000"/>
    <n v="0"/>
    <n v="125000"/>
    <n v="125000"/>
    <s v="日本人等"/>
    <s v="yes"/>
    <s v=""/>
    <m/>
    <s v="120_302"/>
    <n v="136000"/>
    <m/>
    <n v="1"/>
    <n v="125000"/>
    <n v="0"/>
    <n v="-11000"/>
    <n v="1"/>
    <x v="0"/>
  </r>
  <r>
    <n v="312"/>
    <n v="120"/>
    <x v="15"/>
    <s v="401"/>
    <n v="51.4"/>
    <n v="631"/>
    <x v="0"/>
    <s v="2LDK"/>
    <n v="136000"/>
    <n v="4000"/>
    <n v="0"/>
    <n v="0"/>
    <n v="140000"/>
    <n v="140000"/>
    <n v="0"/>
    <n v="140000"/>
    <n v="140000"/>
    <s v="日本人等"/>
    <s v="yes"/>
    <s v=""/>
    <m/>
    <s v="120_401"/>
    <n v="138000"/>
    <m/>
    <n v="1"/>
    <n v="140000"/>
    <n v="0"/>
    <n v="2000"/>
    <n v="1"/>
    <x v="0"/>
  </r>
  <r>
    <n v="313"/>
    <n v="120"/>
    <x v="15"/>
    <s v="TD1"/>
    <s v="-"/>
    <n v="639"/>
    <x v="3"/>
    <s v="その他"/>
    <n v="0"/>
    <n v="0"/>
    <n v="0"/>
    <n v="0"/>
    <n v="0"/>
    <n v="0"/>
    <n v="0"/>
    <n v="0"/>
    <n v="0"/>
    <s v="-"/>
    <s v="no"/>
    <s v="電柱"/>
    <m/>
    <s v="120_TD1"/>
    <n v="0"/>
    <m/>
    <n v="0"/>
    <n v="0"/>
    <n v="0"/>
    <n v="0"/>
    <n v="0"/>
    <x v="0"/>
  </r>
  <r>
    <n v="314"/>
    <n v="120"/>
    <x v="15"/>
    <s v="VND1"/>
    <s v="-"/>
    <n v="637"/>
    <x v="7"/>
    <s v="自販機"/>
    <n v="0"/>
    <n v="0"/>
    <n v="0"/>
    <n v="0"/>
    <n v="0"/>
    <n v="0"/>
    <n v="0"/>
    <n v="0"/>
    <n v="0"/>
    <s v="-"/>
    <s v="yes"/>
    <m/>
    <m/>
    <s v="120_VND1"/>
    <n v="0"/>
    <m/>
    <n v="0"/>
    <n v="0"/>
    <n v="0"/>
    <n v="0"/>
    <n v="0"/>
    <x v="0"/>
  </r>
  <r>
    <n v="315"/>
    <n v="221"/>
    <x v="16"/>
    <s v="724"/>
    <n v="15.4"/>
    <n v="632"/>
    <x v="1"/>
    <s v="1R"/>
    <n v="0"/>
    <n v="0"/>
    <n v="0"/>
    <n v="0"/>
    <n v="0"/>
    <n v="35000"/>
    <n v="0"/>
    <n v="35000"/>
    <n v="35000"/>
    <s v="-"/>
    <s v="yes"/>
    <s v="一時的な空室"/>
    <m/>
    <s v="221_724"/>
    <n v="35000"/>
    <m/>
    <n v="0"/>
    <n v="35000"/>
    <n v="0"/>
    <n v="0"/>
    <n v="1"/>
    <x v="0"/>
  </r>
  <r>
    <n v="316"/>
    <n v="222"/>
    <x v="17"/>
    <s v="201"/>
    <n v="76.5"/>
    <n v="631"/>
    <x v="0"/>
    <s v="2LDK"/>
    <n v="0"/>
    <n v="0"/>
    <n v="0"/>
    <n v="0"/>
    <n v="0"/>
    <n v="295000"/>
    <n v="0"/>
    <n v="295000"/>
    <n v="295000"/>
    <s v="-"/>
    <s v="no"/>
    <s v="自己利用社宅"/>
    <m/>
    <s v="222_201"/>
    <n v="295000"/>
    <m/>
    <n v="0"/>
    <n v="295000"/>
    <n v="0"/>
    <n v="0"/>
    <n v="1"/>
    <x v="0"/>
  </r>
  <r>
    <n v="317"/>
    <n v="121"/>
    <x v="18"/>
    <n v="101"/>
    <n v="76.5"/>
    <n v="631"/>
    <x v="0"/>
    <s v="2LDK"/>
    <n v="330000"/>
    <n v="0"/>
    <n v="0"/>
    <n v="0"/>
    <n v="330000"/>
    <n v="330000"/>
    <n v="0"/>
    <n v="330000"/>
    <n v="330000"/>
    <s v="日本人等"/>
    <s v="yes"/>
    <m/>
    <m/>
    <s v="222_201"/>
    <n v="330000"/>
    <m/>
    <n v="1"/>
    <n v="330000"/>
    <n v="0"/>
    <n v="0"/>
    <n v="1"/>
    <x v="0"/>
  </r>
  <r>
    <n v="318"/>
    <n v="122"/>
    <x v="19"/>
    <n v="101"/>
    <n v="76.5"/>
    <n v="631"/>
    <x v="0"/>
    <s v="2LDK"/>
    <n v="160000"/>
    <n v="0"/>
    <n v="0"/>
    <n v="0"/>
    <n v="160000"/>
    <n v="160000"/>
    <n v="0"/>
    <n v="160000"/>
    <n v="160000"/>
    <s v="日本人等"/>
    <s v="yes"/>
    <m/>
    <m/>
    <s v="222_201"/>
    <n v="160000"/>
    <m/>
    <n v="1"/>
    <n v="160000"/>
    <n v="0"/>
    <n v="0"/>
    <n v="1"/>
    <x v="0"/>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pivotCacheRecords>
</file>

<file path=xl/pivotCache/pivotCacheRecords1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n v="1"/>
    <n v="101"/>
    <s v="西池袋駅前ビル"/>
    <s v="101"/>
    <n v="16.89"/>
    <n v="631"/>
    <x v="0"/>
    <s v="1K"/>
    <n v="62000"/>
    <n v="3000"/>
    <n v="0"/>
    <n v="0"/>
    <n v="65000"/>
    <n v="65000"/>
    <n v="0"/>
    <n v="65000"/>
    <n v="65000"/>
    <s v="日本人等"/>
    <x v="0"/>
    <s v=""/>
    <m/>
    <s v="101_101"/>
    <n v="65000"/>
    <m/>
    <n v="1"/>
    <n v="65000"/>
    <n v="0"/>
    <n v="0"/>
    <n v="1"/>
    <x v="0"/>
  </r>
  <r>
    <n v="2"/>
    <n v="101"/>
    <s v="西池袋駅前ビル"/>
    <s v="102"/>
    <n v="16.75"/>
    <n v="631"/>
    <x v="0"/>
    <s v="1K"/>
    <n v="62000"/>
    <n v="3000"/>
    <n v="0"/>
    <n v="0"/>
    <n v="65000"/>
    <n v="65000"/>
    <n v="0"/>
    <n v="65000"/>
    <n v="65000"/>
    <s v="日本人等"/>
    <x v="0"/>
    <s v=""/>
    <m/>
    <s v="101_102"/>
    <n v="61000"/>
    <m/>
    <n v="1"/>
    <n v="65000"/>
    <n v="0"/>
    <n v="4000"/>
    <n v="1"/>
    <x v="0"/>
  </r>
  <r>
    <n v="3"/>
    <n v="101"/>
    <s v="西池袋駅前ビル"/>
    <s v="103"/>
    <n v="16.600000000000001"/>
    <n v="631"/>
    <x v="0"/>
    <s v="1K"/>
    <n v="69800"/>
    <n v="0"/>
    <n v="0"/>
    <n v="0"/>
    <n v="69800"/>
    <n v="69800"/>
    <n v="0"/>
    <n v="69800"/>
    <n v="69800"/>
    <s v="日本人等"/>
    <x v="0"/>
    <s v=""/>
    <m/>
    <s v="101_103"/>
    <n v="66000"/>
    <m/>
    <n v="1"/>
    <n v="69800"/>
    <n v="0"/>
    <n v="3800"/>
    <n v="1"/>
    <x v="0"/>
  </r>
  <r>
    <n v="4"/>
    <n v="101"/>
    <s v="西池袋駅前ビル"/>
    <s v="105"/>
    <n v="16.739999999999998"/>
    <n v="631"/>
    <x v="0"/>
    <s v="1K"/>
    <n v="60000"/>
    <n v="3000"/>
    <n v="0"/>
    <n v="0"/>
    <n v="63000"/>
    <n v="70000"/>
    <n v="0"/>
    <n v="70000"/>
    <n v="63000"/>
    <s v="法人契約"/>
    <x v="0"/>
    <s v=""/>
    <m/>
    <s v="101_105"/>
    <n v="62000"/>
    <m/>
    <n v="1"/>
    <n v="63000"/>
    <n v="7000"/>
    <n v="1000"/>
    <n v="1"/>
    <x v="0"/>
  </r>
  <r>
    <n v="5"/>
    <n v="101"/>
    <s v="西池袋駅前ビル"/>
    <s v="106"/>
    <n v="16.739999999999998"/>
    <n v="631"/>
    <x v="0"/>
    <s v="1K"/>
    <n v="64000"/>
    <n v="3000"/>
    <n v="0"/>
    <n v="0"/>
    <n v="67000"/>
    <n v="67000"/>
    <n v="0"/>
    <n v="67000"/>
    <n v="67000"/>
    <s v="中華系"/>
    <x v="0"/>
    <s v=""/>
    <m/>
    <s v="101_106"/>
    <n v="65000"/>
    <m/>
    <n v="1"/>
    <n v="67000"/>
    <n v="0"/>
    <n v="2000"/>
    <n v="1"/>
    <x v="0"/>
  </r>
  <r>
    <n v="6"/>
    <n v="101"/>
    <s v="西池袋駅前ビル"/>
    <s v="201"/>
    <n v="16.53"/>
    <n v="631"/>
    <x v="0"/>
    <s v="1K"/>
    <n v="56000"/>
    <n v="3000"/>
    <n v="0"/>
    <n v="0"/>
    <n v="59000"/>
    <n v="67000"/>
    <n v="0"/>
    <n v="67000"/>
    <n v="59000"/>
    <s v="日本人等"/>
    <x v="0"/>
    <s v=""/>
    <m/>
    <s v="101_201"/>
    <n v="67000"/>
    <m/>
    <n v="1"/>
    <n v="59000"/>
    <n v="8000"/>
    <n v="-8000"/>
    <n v="1"/>
    <x v="0"/>
  </r>
  <r>
    <n v="7"/>
    <n v="101"/>
    <s v="西池袋駅前ビル"/>
    <s v="202"/>
    <n v="16.75"/>
    <n v="631"/>
    <x v="0"/>
    <s v="1K"/>
    <n v="62000"/>
    <n v="3000"/>
    <n v="0"/>
    <n v="0"/>
    <n v="65000"/>
    <n v="65000"/>
    <n v="0"/>
    <n v="65000"/>
    <n v="65000"/>
    <s v="住居法人契約"/>
    <x v="0"/>
    <s v=""/>
    <m/>
    <s v="101_202"/>
    <n v="65000"/>
    <m/>
    <n v="1"/>
    <n v="65000"/>
    <n v="0"/>
    <n v="0"/>
    <n v="1"/>
    <x v="0"/>
  </r>
  <r>
    <n v="8"/>
    <n v="101"/>
    <s v="西池袋駅前ビル"/>
    <s v="203"/>
    <n v="16.600000000000001"/>
    <n v="631"/>
    <x v="0"/>
    <s v="1K"/>
    <n v="63000"/>
    <n v="3000"/>
    <n v="0"/>
    <n v="0"/>
    <n v="66000"/>
    <n v="70000"/>
    <n v="0"/>
    <n v="70000"/>
    <n v="66000"/>
    <s v="日本人等"/>
    <x v="0"/>
    <s v=""/>
    <m/>
    <s v="101_203"/>
    <n v="67000"/>
    <m/>
    <n v="1"/>
    <n v="66000"/>
    <n v="4000"/>
    <n v="-1000"/>
    <n v="1"/>
    <x v="0"/>
  </r>
  <r>
    <n v="9"/>
    <n v="101"/>
    <s v="西池袋駅前ビル"/>
    <s v="205"/>
    <n v="16.739999999999998"/>
    <n v="631"/>
    <x v="0"/>
    <s v="1K"/>
    <n v="63000"/>
    <n v="3000"/>
    <n v="0"/>
    <n v="0"/>
    <n v="66000"/>
    <n v="68000"/>
    <n v="0"/>
    <n v="68000"/>
    <n v="66000"/>
    <s v="日本人等"/>
    <x v="0"/>
    <s v=""/>
    <m/>
    <s v="101_205"/>
    <n v="67000"/>
    <m/>
    <n v="1"/>
    <n v="66000"/>
    <n v="2000"/>
    <n v="-1000"/>
    <n v="1"/>
    <x v="0"/>
  </r>
  <r>
    <n v="10"/>
    <n v="101"/>
    <s v="西池袋駅前ビル"/>
    <s v="301"/>
    <n v="16.559999999999999"/>
    <n v="631"/>
    <x v="0"/>
    <s v="1K"/>
    <n v="62000"/>
    <n v="0"/>
    <n v="0"/>
    <n v="0"/>
    <n v="62000"/>
    <n v="62000"/>
    <n v="0"/>
    <n v="62000"/>
    <n v="62000"/>
    <s v="日本人等"/>
    <x v="0"/>
    <s v=""/>
    <m/>
    <s v="101_301"/>
    <n v="62000"/>
    <m/>
    <n v="1"/>
    <n v="62000"/>
    <n v="0"/>
    <n v="0"/>
    <n v="1"/>
    <x v="0"/>
  </r>
  <r>
    <n v="11"/>
    <n v="101"/>
    <s v="西池袋駅前ビル"/>
    <s v="302"/>
    <n v="16.559999999999999"/>
    <n v="631"/>
    <x v="0"/>
    <s v="1K"/>
    <n v="63000"/>
    <n v="3000"/>
    <n v="0"/>
    <n v="0"/>
    <n v="66000"/>
    <n v="66000"/>
    <n v="0"/>
    <n v="66000"/>
    <n v="66000"/>
    <s v="日本人等"/>
    <x v="0"/>
    <s v=""/>
    <m/>
    <s v="101_302"/>
    <n v="65000"/>
    <m/>
    <n v="1"/>
    <n v="66000"/>
    <n v="0"/>
    <n v="1000"/>
    <n v="1"/>
    <x v="0"/>
  </r>
  <r>
    <n v="12"/>
    <n v="101"/>
    <s v="西池袋駅前ビル"/>
    <s v="303"/>
    <n v="16.559999999999999"/>
    <n v="631"/>
    <x v="0"/>
    <s v="1K"/>
    <n v="62000"/>
    <n v="3000"/>
    <n v="0"/>
    <n v="0"/>
    <n v="65000"/>
    <n v="65000"/>
    <n v="0"/>
    <n v="65000"/>
    <n v="65000"/>
    <s v="日本人等"/>
    <x v="0"/>
    <s v=""/>
    <m/>
    <s v="101_303"/>
    <n v="65000"/>
    <m/>
    <n v="1"/>
    <n v="65000"/>
    <n v="0"/>
    <n v="0"/>
    <n v="1"/>
    <x v="0"/>
  </r>
  <r>
    <n v="13"/>
    <n v="101"/>
    <s v="西池袋駅前ビル"/>
    <s v="305"/>
    <n v="16.77"/>
    <n v="631"/>
    <x v="0"/>
    <s v="1K"/>
    <n v="67000"/>
    <n v="3000"/>
    <n v="0"/>
    <n v="0"/>
    <n v="70000"/>
    <n v="70000"/>
    <n v="0"/>
    <n v="70000"/>
    <n v="70000"/>
    <s v="中華系"/>
    <x v="0"/>
    <s v=""/>
    <m/>
    <s v="101_305"/>
    <n v="68000"/>
    <m/>
    <n v="1"/>
    <n v="70000"/>
    <n v="0"/>
    <n v="2000"/>
    <n v="1"/>
    <x v="0"/>
  </r>
  <r>
    <n v="14"/>
    <n v="101"/>
    <s v="西池袋駅前ビル"/>
    <s v="306"/>
    <n v="16.53"/>
    <n v="631"/>
    <x v="0"/>
    <s v="1K"/>
    <n v="57000"/>
    <n v="3000"/>
    <n v="0"/>
    <n v="0"/>
    <n v="60000"/>
    <n v="70000"/>
    <n v="0"/>
    <n v="70000"/>
    <n v="60000"/>
    <s v="中華系"/>
    <x v="0"/>
    <s v=""/>
    <m/>
    <s v="101_306"/>
    <n v="63000"/>
    <m/>
    <n v="1"/>
    <n v="60000"/>
    <n v="10000"/>
    <n v="-3000"/>
    <n v="1"/>
    <x v="0"/>
  </r>
  <r>
    <n v="15"/>
    <n v="101"/>
    <s v="西池袋駅前ビル"/>
    <s v="307"/>
    <n v="16.75"/>
    <n v="631"/>
    <x v="0"/>
    <s v="1K"/>
    <n v="56000"/>
    <n v="3000"/>
    <n v="0"/>
    <n v="0"/>
    <n v="59000"/>
    <n v="65000"/>
    <n v="0"/>
    <n v="65000"/>
    <n v="59000"/>
    <s v="日本人等"/>
    <x v="0"/>
    <s v=""/>
    <m/>
    <s v="101_307"/>
    <n v="67000"/>
    <m/>
    <n v="1"/>
    <n v="59000"/>
    <n v="6000"/>
    <n v="-8000"/>
    <n v="1"/>
    <x v="0"/>
  </r>
  <r>
    <n v="16"/>
    <n v="101"/>
    <s v="西池袋駅前ビル"/>
    <s v="308"/>
    <n v="16.600000000000001"/>
    <n v="631"/>
    <x v="0"/>
    <s v="1K"/>
    <n v="69000"/>
    <n v="0"/>
    <n v="0"/>
    <n v="0"/>
    <n v="69000"/>
    <n v="69000"/>
    <n v="0"/>
    <n v="69000"/>
    <n v="69000"/>
    <s v="日本人等"/>
    <x v="0"/>
    <s v=""/>
    <m/>
    <s v="101_308"/>
    <n v="69000"/>
    <m/>
    <n v="1"/>
    <n v="69000"/>
    <n v="0"/>
    <n v="0"/>
    <n v="1"/>
    <x v="0"/>
  </r>
  <r>
    <n v="17"/>
    <n v="101"/>
    <s v="西池袋駅前ビル"/>
    <s v="401"/>
    <n v="16.559999999999999"/>
    <n v="631"/>
    <x v="0"/>
    <s v="1K"/>
    <n v="67000"/>
    <n v="3000"/>
    <n v="0"/>
    <n v="0"/>
    <n v="70000"/>
    <n v="70000"/>
    <n v="0"/>
    <n v="70000"/>
    <n v="70000"/>
    <s v="日本人等"/>
    <x v="0"/>
    <s v=""/>
    <m/>
    <s v="101_401"/>
    <n v="66000"/>
    <m/>
    <n v="1"/>
    <n v="70000"/>
    <n v="0"/>
    <n v="4000"/>
    <n v="1"/>
    <x v="0"/>
  </r>
  <r>
    <n v="18"/>
    <n v="101"/>
    <s v="西池袋駅前ビル"/>
    <s v="402"/>
    <n v="16.559999999999999"/>
    <n v="631"/>
    <x v="0"/>
    <s v="1K"/>
    <n v="62000"/>
    <n v="2000"/>
    <n v="0"/>
    <n v="0"/>
    <n v="64000"/>
    <n v="64000"/>
    <n v="0"/>
    <n v="64000"/>
    <n v="64000"/>
    <s v="日本人等"/>
    <x v="0"/>
    <s v=""/>
    <m/>
    <s v="101_402"/>
    <n v="64000"/>
    <m/>
    <n v="1"/>
    <n v="64000"/>
    <n v="0"/>
    <n v="0"/>
    <n v="1"/>
    <x v="0"/>
  </r>
  <r>
    <n v="19"/>
    <n v="101"/>
    <s v="西池袋駅前ビル"/>
    <s v="403"/>
    <n v="16.559999999999999"/>
    <n v="631"/>
    <x v="0"/>
    <s v="1K"/>
    <n v="60000"/>
    <n v="3000"/>
    <n v="0"/>
    <n v="0"/>
    <n v="63000"/>
    <n v="70000"/>
    <n v="0"/>
    <n v="70000"/>
    <n v="63000"/>
    <s v="日本人等"/>
    <x v="0"/>
    <s v=""/>
    <m/>
    <s v="101_403"/>
    <n v="65000"/>
    <m/>
    <n v="1"/>
    <n v="63000"/>
    <n v="7000"/>
    <n v="-2000"/>
    <n v="1"/>
    <x v="0"/>
  </r>
  <r>
    <n v="20"/>
    <n v="101"/>
    <s v="西池袋駅前ビル"/>
    <s v="405"/>
    <n v="16.77"/>
    <n v="631"/>
    <x v="0"/>
    <s v="1K"/>
    <n v="69000"/>
    <n v="3000"/>
    <n v="0"/>
    <n v="0"/>
    <n v="72000"/>
    <n v="72000"/>
    <n v="0"/>
    <n v="72000"/>
    <n v="72000"/>
    <s v="日本人等"/>
    <x v="0"/>
    <s v=""/>
    <m/>
    <s v="101_405"/>
    <n v="65000"/>
    <m/>
    <n v="1"/>
    <n v="72000"/>
    <n v="0"/>
    <n v="7000"/>
    <n v="1"/>
    <x v="0"/>
  </r>
  <r>
    <n v="21"/>
    <n v="101"/>
    <s v="西池袋駅前ビル"/>
    <s v="406"/>
    <n v="16.53"/>
    <n v="631"/>
    <x v="0"/>
    <s v="1K"/>
    <n v="62000"/>
    <n v="3000"/>
    <n v="0"/>
    <n v="0"/>
    <n v="65000"/>
    <n v="70000"/>
    <n v="0"/>
    <n v="70000"/>
    <n v="65000"/>
    <s v="日本人等"/>
    <x v="0"/>
    <s v=""/>
    <m/>
    <s v="101_406"/>
    <n v="70000"/>
    <m/>
    <n v="1"/>
    <n v="65000"/>
    <n v="5000"/>
    <n v="-5000"/>
    <n v="1"/>
    <x v="0"/>
  </r>
  <r>
    <n v="22"/>
    <n v="101"/>
    <s v="西池袋駅前ビル"/>
    <s v="407"/>
    <n v="17.829999999999998"/>
    <n v="631"/>
    <x v="0"/>
    <s v="1K"/>
    <n v="67000"/>
    <n v="0"/>
    <n v="0"/>
    <n v="0"/>
    <n v="67000"/>
    <n v="67000"/>
    <n v="0"/>
    <n v="67000"/>
    <n v="67000"/>
    <s v="日本人等"/>
    <x v="0"/>
    <s v=""/>
    <m/>
    <s v="101_407"/>
    <n v="67000"/>
    <m/>
    <n v="1"/>
    <n v="67000"/>
    <n v="0"/>
    <n v="0"/>
    <n v="1"/>
    <x v="0"/>
  </r>
  <r>
    <n v="23"/>
    <n v="101"/>
    <s v="西池袋駅前ビル"/>
    <s v="100"/>
    <n v="104.58"/>
    <n v="632"/>
    <x v="1"/>
    <s v="事務所"/>
    <n v="275000"/>
    <n v="0"/>
    <n v="0"/>
    <n v="27500"/>
    <n v="302500"/>
    <n v="275000"/>
    <n v="27500"/>
    <n v="302500"/>
    <n v="302500"/>
    <s v="法人契約"/>
    <x v="0"/>
    <s v=""/>
    <m/>
    <s v="101_100"/>
    <n v="250000"/>
    <m/>
    <n v="1"/>
    <n v="275000"/>
    <n v="0"/>
    <n v="25000"/>
    <n v="1"/>
    <x v="0"/>
  </r>
  <r>
    <n v="24"/>
    <n v="101"/>
    <s v="西池袋駅前ビル"/>
    <s v="RF1"/>
    <n v="0"/>
    <n v="635"/>
    <x v="2"/>
    <s v="その他"/>
    <n v="90000"/>
    <n v="0"/>
    <n v="0"/>
    <n v="9000"/>
    <n v="99000"/>
    <n v="90000"/>
    <n v="9000"/>
    <n v="99000"/>
    <n v="99000"/>
    <s v="-"/>
    <x v="0"/>
    <s v="楽天"/>
    <m/>
    <s v="101_RF1"/>
    <n v="0"/>
    <m/>
    <n v="1"/>
    <n v="90000"/>
    <n v="0"/>
    <n v="90000"/>
    <n v="1"/>
    <x v="0"/>
  </r>
  <r>
    <n v="25"/>
    <n v="101"/>
    <s v="西池袋駅前ビル"/>
    <s v="NTF1"/>
    <s v="-"/>
    <n v="639"/>
    <x v="3"/>
    <s v="その他"/>
    <n v="0"/>
    <n v="0"/>
    <n v="0"/>
    <n v="0"/>
    <n v="0"/>
    <n v="0"/>
    <n v="0"/>
    <n v="0"/>
    <n v="0"/>
    <s v="-"/>
    <x v="1"/>
    <s v="フレッツ光"/>
    <m/>
    <s v="101_NTF1"/>
    <n v="0"/>
    <m/>
    <n v="0"/>
    <n v="0"/>
    <n v="0"/>
    <n v="0"/>
    <n v="0"/>
    <x v="0"/>
  </r>
  <r>
    <n v="26"/>
    <n v="102"/>
    <s v="池袋ハウス"/>
    <s v="101"/>
    <n v="23.95"/>
    <n v="631"/>
    <x v="0"/>
    <s v="1K"/>
    <n v="73000"/>
    <n v="7000"/>
    <n v="0"/>
    <n v="0"/>
    <n v="80000"/>
    <n v="80000"/>
    <n v="0"/>
    <n v="80000"/>
    <n v="80000"/>
    <s v="日本人等"/>
    <x v="0"/>
    <s v=""/>
    <m/>
    <s v="102_101"/>
    <n v="63000"/>
    <m/>
    <n v="1"/>
    <n v="80000"/>
    <n v="0"/>
    <n v="17000"/>
    <n v="1"/>
    <x v="0"/>
  </r>
  <r>
    <n v="27"/>
    <n v="102"/>
    <s v="池袋ハウス"/>
    <s v="102"/>
    <n v="20.079999999999998"/>
    <n v="631"/>
    <x v="0"/>
    <s v="1K"/>
    <n v="55000"/>
    <n v="7000"/>
    <n v="0"/>
    <n v="0"/>
    <n v="62000"/>
    <n v="62000"/>
    <n v="0"/>
    <n v="62000"/>
    <n v="62000"/>
    <s v="日本人等"/>
    <x v="0"/>
    <s v=""/>
    <m/>
    <s v="102_102"/>
    <n v="62000"/>
    <m/>
    <n v="1"/>
    <n v="62000"/>
    <n v="0"/>
    <n v="0"/>
    <n v="1"/>
    <x v="0"/>
  </r>
  <r>
    <n v="28"/>
    <n v="102"/>
    <s v="池袋ハウス"/>
    <s v="103"/>
    <n v="23.25"/>
    <n v="631"/>
    <x v="0"/>
    <s v="1K"/>
    <n v="70000"/>
    <n v="7000"/>
    <n v="0"/>
    <n v="0"/>
    <n v="77000"/>
    <n v="77000"/>
    <n v="0"/>
    <n v="77000"/>
    <n v="77000"/>
    <s v="中華系"/>
    <x v="0"/>
    <s v=""/>
    <m/>
    <s v="102_103"/>
    <n v="68000"/>
    <m/>
    <n v="1"/>
    <n v="77000"/>
    <n v="0"/>
    <n v="9000"/>
    <n v="1"/>
    <x v="0"/>
  </r>
  <r>
    <n v="29"/>
    <n v="102"/>
    <s v="池袋ハウス"/>
    <s v="105"/>
    <n v="23.25"/>
    <n v="631"/>
    <x v="0"/>
    <s v="1K"/>
    <n v="72000"/>
    <n v="7000"/>
    <n v="0"/>
    <n v="0"/>
    <n v="79000"/>
    <n v="79000"/>
    <n v="0"/>
    <n v="79000"/>
    <n v="79000"/>
    <s v="中華系"/>
    <x v="0"/>
    <s v=""/>
    <m/>
    <s v="102_105"/>
    <n v="67000"/>
    <m/>
    <n v="1"/>
    <n v="79000"/>
    <n v="0"/>
    <n v="12000"/>
    <n v="1"/>
    <x v="0"/>
  </r>
  <r>
    <n v="30"/>
    <n v="102"/>
    <s v="池袋ハウス"/>
    <s v="106"/>
    <n v="27.3"/>
    <n v="631"/>
    <x v="0"/>
    <s v="1K"/>
    <n v="73000"/>
    <n v="7000"/>
    <n v="0"/>
    <n v="0"/>
    <n v="80000"/>
    <n v="80000"/>
    <n v="0"/>
    <n v="80000"/>
    <n v="80000"/>
    <s v="中華系"/>
    <x v="0"/>
    <s v=""/>
    <m/>
    <s v="102_106"/>
    <n v="75000"/>
    <m/>
    <n v="1"/>
    <n v="80000"/>
    <n v="0"/>
    <n v="5000"/>
    <n v="1"/>
    <x v="0"/>
  </r>
  <r>
    <n v="31"/>
    <n v="102"/>
    <s v="池袋ハウス"/>
    <s v="107"/>
    <n v="27.3"/>
    <n v="631"/>
    <x v="0"/>
    <s v="1K"/>
    <n v="78000"/>
    <n v="7000"/>
    <n v="0"/>
    <n v="0"/>
    <n v="85000"/>
    <n v="85000"/>
    <n v="0"/>
    <n v="85000"/>
    <n v="85000"/>
    <s v="日本人等"/>
    <x v="0"/>
    <s v=""/>
    <m/>
    <s v="102_107"/>
    <n v="70000"/>
    <m/>
    <n v="1"/>
    <n v="85000"/>
    <n v="0"/>
    <n v="15000"/>
    <n v="1"/>
    <x v="0"/>
  </r>
  <r>
    <n v="32"/>
    <n v="102"/>
    <s v="池袋ハウス"/>
    <s v="108"/>
    <n v="22.98"/>
    <n v="631"/>
    <x v="0"/>
    <s v="1K"/>
    <n v="68000"/>
    <n v="7000"/>
    <n v="0"/>
    <n v="0"/>
    <n v="75000"/>
    <n v="75000"/>
    <n v="0"/>
    <n v="75000"/>
    <n v="75000"/>
    <s v="日本人等"/>
    <x v="0"/>
    <s v=""/>
    <m/>
    <s v="102_108"/>
    <n v="64000"/>
    <m/>
    <n v="1"/>
    <n v="75000"/>
    <n v="0"/>
    <n v="11000"/>
    <n v="1"/>
    <x v="0"/>
  </r>
  <r>
    <n v="33"/>
    <n v="102"/>
    <s v="池袋ハウス"/>
    <s v="109"/>
    <n v="22.98"/>
    <n v="631"/>
    <x v="0"/>
    <s v="1K"/>
    <n v="61000"/>
    <n v="7000"/>
    <n v="0"/>
    <n v="0"/>
    <n v="68000"/>
    <n v="76000"/>
    <n v="0"/>
    <n v="76000"/>
    <n v="68000"/>
    <s v="日本人等"/>
    <x v="0"/>
    <s v=""/>
    <m/>
    <s v="102_109"/>
    <n v="66000"/>
    <m/>
    <n v="1"/>
    <n v="68000"/>
    <n v="8000"/>
    <n v="2000"/>
    <n v="1"/>
    <x v="0"/>
  </r>
  <r>
    <n v="34"/>
    <n v="102"/>
    <s v="池袋ハウス"/>
    <s v="110"/>
    <n v="23.27"/>
    <n v="631"/>
    <x v="0"/>
    <s v="1K"/>
    <n v="61000"/>
    <n v="7000"/>
    <n v="0"/>
    <n v="0"/>
    <n v="68000"/>
    <n v="68000"/>
    <n v="0"/>
    <n v="68000"/>
    <n v="68000"/>
    <s v="日本人等"/>
    <x v="0"/>
    <s v=""/>
    <m/>
    <s v="102_110"/>
    <n v="68000"/>
    <m/>
    <n v="1"/>
    <n v="68000"/>
    <n v="0"/>
    <n v="0"/>
    <n v="1"/>
    <x v="0"/>
  </r>
  <r>
    <n v="35"/>
    <n v="102"/>
    <s v="池袋ハウス"/>
    <s v="201"/>
    <n v="23.95"/>
    <n v="631"/>
    <x v="0"/>
    <s v="1K"/>
    <n v="70000"/>
    <n v="7000"/>
    <n v="0"/>
    <n v="0"/>
    <n v="77000"/>
    <n v="77000"/>
    <n v="0"/>
    <n v="77000"/>
    <n v="77000"/>
    <s v="日本人等"/>
    <x v="0"/>
    <s v=""/>
    <m/>
    <s v="102_201"/>
    <n v="93000"/>
    <m/>
    <n v="1"/>
    <n v="77000"/>
    <n v="0"/>
    <n v="-16000"/>
    <n v="1"/>
    <x v="0"/>
  </r>
  <r>
    <n v="36"/>
    <n v="102"/>
    <s v="池袋ハウス"/>
    <s v="202"/>
    <n v="20.079999999999998"/>
    <n v="631"/>
    <x v="0"/>
    <s v="1K"/>
    <n v="75000"/>
    <n v="7000"/>
    <n v="0"/>
    <n v="0"/>
    <n v="82000"/>
    <n v="82000"/>
    <n v="0"/>
    <n v="82000"/>
    <n v="82000"/>
    <s v="中華系"/>
    <x v="0"/>
    <s v=""/>
    <m/>
    <s v="102_202"/>
    <n v="67000"/>
    <m/>
    <n v="1"/>
    <n v="82000"/>
    <n v="0"/>
    <n v="15000"/>
    <n v="1"/>
    <x v="0"/>
  </r>
  <r>
    <n v="37"/>
    <n v="102"/>
    <s v="池袋ハウス"/>
    <s v="203"/>
    <n v="23.25"/>
    <n v="631"/>
    <x v="0"/>
    <s v="1K"/>
    <n v="73000"/>
    <n v="7000"/>
    <n v="0"/>
    <n v="0"/>
    <n v="80000"/>
    <n v="85000"/>
    <n v="0"/>
    <n v="85000"/>
    <n v="80000"/>
    <s v="日本人等"/>
    <x v="0"/>
    <s v=""/>
    <m/>
    <s v="102_203"/>
    <n v="77000"/>
    <m/>
    <n v="1"/>
    <n v="80000"/>
    <n v="5000"/>
    <n v="3000"/>
    <n v="1"/>
    <x v="0"/>
  </r>
  <r>
    <n v="38"/>
    <n v="102"/>
    <s v="池袋ハウス"/>
    <s v="205"/>
    <n v="23.25"/>
    <n v="631"/>
    <x v="0"/>
    <s v="1K"/>
    <n v="68000"/>
    <n v="7000"/>
    <n v="0"/>
    <n v="0"/>
    <n v="75000"/>
    <n v="69000"/>
    <n v="0"/>
    <n v="69000"/>
    <n v="75000"/>
    <s v="日本人等"/>
    <x v="0"/>
    <s v=""/>
    <m/>
    <s v="102_205"/>
    <n v="69000"/>
    <m/>
    <n v="1"/>
    <n v="75000"/>
    <n v="-6000"/>
    <n v="6000"/>
    <n v="1"/>
    <x v="0"/>
  </r>
  <r>
    <n v="39"/>
    <n v="102"/>
    <s v="池袋ハウス"/>
    <s v="206"/>
    <n v="27.3"/>
    <n v="631"/>
    <x v="0"/>
    <s v="1K"/>
    <n v="73000"/>
    <n v="7000"/>
    <n v="0"/>
    <n v="0"/>
    <n v="80000"/>
    <n v="86000"/>
    <n v="0"/>
    <n v="86000"/>
    <n v="80000"/>
    <s v="中華系"/>
    <x v="0"/>
    <s v=""/>
    <m/>
    <s v="102_206"/>
    <n v="73000"/>
    <m/>
    <n v="1"/>
    <n v="80000"/>
    <n v="6000"/>
    <n v="7000"/>
    <n v="1"/>
    <x v="0"/>
  </r>
  <r>
    <n v="40"/>
    <n v="102"/>
    <s v="池袋ハウス"/>
    <s v="207"/>
    <n v="27.3"/>
    <n v="631"/>
    <x v="0"/>
    <s v="1K"/>
    <n v="82000"/>
    <n v="7000"/>
    <n v="0"/>
    <n v="0"/>
    <n v="89000"/>
    <n v="92000"/>
    <n v="0"/>
    <n v="92000"/>
    <n v="89000"/>
    <s v="中華系"/>
    <x v="0"/>
    <s v=""/>
    <m/>
    <s v="102_207"/>
    <n v="72000"/>
    <m/>
    <n v="1"/>
    <n v="89000"/>
    <n v="3000"/>
    <n v="17000"/>
    <n v="1"/>
    <x v="0"/>
  </r>
  <r>
    <n v="41"/>
    <n v="102"/>
    <s v="池袋ハウス"/>
    <s v="208"/>
    <n v="22.98"/>
    <n v="631"/>
    <x v="0"/>
    <s v="1K"/>
    <n v="78000"/>
    <n v="7000"/>
    <n v="0"/>
    <n v="0"/>
    <n v="85000"/>
    <n v="85000"/>
    <n v="0"/>
    <n v="85000"/>
    <n v="85000"/>
    <s v="中華系"/>
    <x v="0"/>
    <s v=""/>
    <m/>
    <s v="102_208"/>
    <n v="76000"/>
    <m/>
    <n v="1"/>
    <n v="85000"/>
    <n v="0"/>
    <n v="9000"/>
    <n v="1"/>
    <x v="0"/>
  </r>
  <r>
    <n v="42"/>
    <n v="102"/>
    <s v="池袋ハウス"/>
    <s v="209"/>
    <n v="22.98"/>
    <n v="631"/>
    <x v="0"/>
    <s v="1K"/>
    <n v="75000"/>
    <n v="7000"/>
    <n v="0"/>
    <n v="0"/>
    <n v="82000"/>
    <n v="82000"/>
    <n v="0"/>
    <n v="82000"/>
    <n v="82000"/>
    <s v="中華系"/>
    <x v="0"/>
    <s v=""/>
    <m/>
    <s v="102_209"/>
    <n v="69000"/>
    <m/>
    <n v="1"/>
    <n v="82000"/>
    <n v="0"/>
    <n v="13000"/>
    <n v="1"/>
    <x v="0"/>
  </r>
  <r>
    <n v="43"/>
    <n v="102"/>
    <s v="池袋ハウス"/>
    <s v="301"/>
    <n v="23.95"/>
    <n v="631"/>
    <x v="0"/>
    <s v="1K"/>
    <n v="78000"/>
    <n v="7000"/>
    <n v="0"/>
    <n v="0"/>
    <n v="85000"/>
    <n v="85000"/>
    <n v="0"/>
    <n v="85000"/>
    <n v="85000"/>
    <s v="中華系"/>
    <x v="0"/>
    <s v=""/>
    <m/>
    <s v="102_301"/>
    <n v="75000"/>
    <m/>
    <n v="1"/>
    <n v="85000"/>
    <n v="0"/>
    <n v="10000"/>
    <n v="1"/>
    <x v="0"/>
  </r>
  <r>
    <n v="44"/>
    <n v="102"/>
    <s v="池袋ハウス"/>
    <s v="302"/>
    <n v="20.079999999999998"/>
    <n v="631"/>
    <x v="0"/>
    <s v="1K"/>
    <n v="65000"/>
    <n v="10000"/>
    <n v="0"/>
    <n v="0"/>
    <n v="75000"/>
    <n v="75000"/>
    <n v="0"/>
    <n v="75000"/>
    <n v="75000"/>
    <s v="日本人等"/>
    <x v="0"/>
    <s v=""/>
    <m/>
    <s v="102_302"/>
    <n v="75000"/>
    <m/>
    <n v="1"/>
    <n v="75000"/>
    <n v="0"/>
    <n v="0"/>
    <n v="1"/>
    <x v="0"/>
  </r>
  <r>
    <n v="45"/>
    <n v="102"/>
    <s v="池袋ハウス"/>
    <s v="303"/>
    <n v="23.25"/>
    <n v="631"/>
    <x v="0"/>
    <s v="1K"/>
    <n v="72000"/>
    <n v="7000"/>
    <n v="0"/>
    <n v="0"/>
    <n v="79000"/>
    <n v="77000"/>
    <n v="0"/>
    <n v="77000"/>
    <n v="79000"/>
    <s v="中華系"/>
    <x v="0"/>
    <s v=""/>
    <m/>
    <s v="102_303"/>
    <n v="73000"/>
    <m/>
    <n v="1"/>
    <n v="79000"/>
    <n v="-2000"/>
    <n v="6000"/>
    <n v="1"/>
    <x v="0"/>
  </r>
  <r>
    <n v="46"/>
    <n v="102"/>
    <s v="池袋ハウス"/>
    <s v="305"/>
    <n v="23.25"/>
    <n v="631"/>
    <x v="0"/>
    <s v="1K"/>
    <n v="78000"/>
    <n v="7000"/>
    <n v="0"/>
    <n v="0"/>
    <n v="85000"/>
    <n v="85000"/>
    <n v="0"/>
    <n v="85000"/>
    <n v="85000"/>
    <s v="中華系"/>
    <x v="0"/>
    <s v=""/>
    <m/>
    <s v="102_305"/>
    <n v="73000"/>
    <m/>
    <n v="1"/>
    <n v="85000"/>
    <n v="0"/>
    <n v="12000"/>
    <n v="1"/>
    <x v="0"/>
  </r>
  <r>
    <n v="47"/>
    <n v="102"/>
    <s v="池袋ハウス"/>
    <s v="306"/>
    <n v="27.3"/>
    <n v="631"/>
    <x v="0"/>
    <s v="1K"/>
    <n v="73000"/>
    <n v="7000"/>
    <n v="0"/>
    <n v="0"/>
    <n v="80000"/>
    <n v="75000"/>
    <n v="0"/>
    <n v="75000"/>
    <n v="80000"/>
    <s v="中華系"/>
    <x v="0"/>
    <s v=""/>
    <m/>
    <s v="102_306"/>
    <n v="75000"/>
    <m/>
    <n v="1"/>
    <n v="80000"/>
    <n v="-5000"/>
    <n v="5000"/>
    <n v="1"/>
    <x v="0"/>
  </r>
  <r>
    <n v="48"/>
    <n v="102"/>
    <s v="池袋ハウス"/>
    <s v="307"/>
    <n v="27.3"/>
    <n v="631"/>
    <x v="0"/>
    <s v="1K"/>
    <n v="85000"/>
    <n v="7000"/>
    <n v="0"/>
    <n v="0"/>
    <n v="92000"/>
    <n v="92000"/>
    <n v="0"/>
    <n v="92000"/>
    <n v="92000"/>
    <s v="中華系"/>
    <x v="0"/>
    <s v=""/>
    <m/>
    <s v="102_307"/>
    <n v="73000"/>
    <m/>
    <n v="1"/>
    <n v="92000"/>
    <n v="0"/>
    <n v="19000"/>
    <n v="1"/>
    <x v="0"/>
  </r>
  <r>
    <n v="49"/>
    <n v="102"/>
    <s v="池袋ハウス"/>
    <s v="308"/>
    <n v="22.98"/>
    <n v="631"/>
    <x v="0"/>
    <s v="1K"/>
    <n v="67000"/>
    <n v="7000"/>
    <n v="0"/>
    <n v="0"/>
    <n v="74000"/>
    <n v="74000"/>
    <n v="0"/>
    <n v="74000"/>
    <n v="74000"/>
    <s v="中華系"/>
    <x v="0"/>
    <s v=""/>
    <m/>
    <s v="102_308"/>
    <n v="73000"/>
    <m/>
    <n v="1"/>
    <n v="74000"/>
    <n v="0"/>
    <n v="1000"/>
    <n v="1"/>
    <x v="0"/>
  </r>
  <r>
    <n v="50"/>
    <n v="102"/>
    <s v="池袋ハウス"/>
    <s v="309"/>
    <n v="22.98"/>
    <n v="631"/>
    <x v="0"/>
    <s v="1K"/>
    <n v="75000"/>
    <n v="7000"/>
    <n v="0"/>
    <n v="0"/>
    <n v="82000"/>
    <n v="85000"/>
    <n v="0"/>
    <n v="85000"/>
    <n v="82000"/>
    <s v="中華系"/>
    <x v="0"/>
    <s v=""/>
    <m/>
    <s v="102_309"/>
    <n v="73000"/>
    <m/>
    <n v="1"/>
    <n v="82000"/>
    <n v="3000"/>
    <n v="9000"/>
    <n v="1"/>
    <x v="0"/>
  </r>
  <r>
    <n v="51"/>
    <n v="102"/>
    <s v="池袋ハウス"/>
    <s v="310"/>
    <n v="23.27"/>
    <n v="631"/>
    <x v="0"/>
    <s v="1K"/>
    <n v="73000"/>
    <n v="7000"/>
    <n v="0"/>
    <n v="0"/>
    <n v="80000"/>
    <n v="89000"/>
    <n v="0"/>
    <n v="89000"/>
    <n v="80000"/>
    <s v="日本人等"/>
    <x v="0"/>
    <s v=""/>
    <m/>
    <s v="102_310"/>
    <n v="74000"/>
    <m/>
    <n v="1"/>
    <n v="80000"/>
    <n v="9000"/>
    <n v="6000"/>
    <n v="1"/>
    <x v="0"/>
  </r>
  <r>
    <n v="52"/>
    <n v="102"/>
    <s v="池袋ハウス"/>
    <s v="311"/>
    <n v="20.92"/>
    <n v="631"/>
    <x v="0"/>
    <s v="1K"/>
    <n v="61000"/>
    <n v="7000"/>
    <n v="0"/>
    <n v="0"/>
    <n v="68000"/>
    <n v="68000"/>
    <n v="0"/>
    <n v="68000"/>
    <n v="68000"/>
    <s v="日本人等"/>
    <x v="0"/>
    <s v=""/>
    <m/>
    <s v="102_311"/>
    <n v="68000"/>
    <m/>
    <n v="1"/>
    <n v="68000"/>
    <n v="0"/>
    <n v="0"/>
    <n v="1"/>
    <x v="0"/>
  </r>
  <r>
    <n v="53"/>
    <n v="102"/>
    <s v="池袋ハウス"/>
    <s v="312"/>
    <n v="31.18"/>
    <n v="631"/>
    <x v="0"/>
    <s v="1K"/>
    <n v="82000"/>
    <n v="7000"/>
    <n v="0"/>
    <n v="0"/>
    <n v="89000"/>
    <n v="89000"/>
    <n v="0"/>
    <n v="89000"/>
    <n v="89000"/>
    <s v="中華系"/>
    <x v="0"/>
    <s v=""/>
    <m/>
    <s v="102_312"/>
    <n v="89000"/>
    <m/>
    <n v="1"/>
    <n v="89000"/>
    <n v="0"/>
    <n v="0"/>
    <n v="1"/>
    <x v="0"/>
  </r>
  <r>
    <n v="54"/>
    <n v="102"/>
    <s v="池袋ハウス"/>
    <s v="401"/>
    <n v="34.72"/>
    <n v="631"/>
    <x v="0"/>
    <s v="1K"/>
    <n v="97000"/>
    <n v="7000"/>
    <n v="0"/>
    <n v="0"/>
    <n v="104000"/>
    <n v="104000"/>
    <n v="0"/>
    <n v="104000"/>
    <n v="104000"/>
    <s v="日本人等"/>
    <x v="0"/>
    <s v=""/>
    <m/>
    <s v="102_401"/>
    <n v="97000"/>
    <m/>
    <n v="1"/>
    <n v="104000"/>
    <n v="0"/>
    <n v="7000"/>
    <n v="1"/>
    <x v="0"/>
  </r>
  <r>
    <n v="55"/>
    <n v="102"/>
    <s v="池袋ハウス"/>
    <s v="402"/>
    <n v="26.48"/>
    <n v="631"/>
    <x v="0"/>
    <s v="1K"/>
    <n v="92000"/>
    <n v="7000"/>
    <n v="0"/>
    <n v="0"/>
    <n v="99000"/>
    <n v="99000"/>
    <n v="0"/>
    <n v="99000"/>
    <n v="99000"/>
    <s v="中華系"/>
    <x v="0"/>
    <s v=""/>
    <m/>
    <s v="102_402"/>
    <n v="91000"/>
    <m/>
    <n v="1"/>
    <n v="99000"/>
    <n v="0"/>
    <n v="8000"/>
    <n v="1"/>
    <x v="0"/>
  </r>
  <r>
    <n v="56"/>
    <n v="102"/>
    <s v="池袋ハウス"/>
    <s v="403"/>
    <n v="42.38"/>
    <n v="631"/>
    <x v="0"/>
    <s v="2DK"/>
    <n v="155000"/>
    <n v="7000"/>
    <n v="0"/>
    <n v="0"/>
    <n v="162000"/>
    <n v="159000"/>
    <n v="0"/>
    <n v="159000"/>
    <n v="162000"/>
    <s v="中華系"/>
    <x v="0"/>
    <s v=""/>
    <m/>
    <s v="102_403"/>
    <n v="137000"/>
    <m/>
    <n v="1"/>
    <n v="162000"/>
    <n v="-3000"/>
    <n v="25000"/>
    <n v="1"/>
    <x v="0"/>
  </r>
  <r>
    <n v="57"/>
    <n v="102"/>
    <s v="池袋ハウス"/>
    <s v="405"/>
    <n v="51.25"/>
    <n v="631"/>
    <x v="0"/>
    <s v="1LDK"/>
    <n v="110000"/>
    <n v="7000"/>
    <n v="0"/>
    <n v="0"/>
    <n v="117000"/>
    <n v="117000"/>
    <n v="0"/>
    <n v="117000"/>
    <n v="117000"/>
    <s v="日本人等"/>
    <x v="0"/>
    <s v=""/>
    <m/>
    <s v="102_405"/>
    <n v="102000"/>
    <m/>
    <n v="1"/>
    <n v="117000"/>
    <n v="0"/>
    <n v="15000"/>
    <n v="1"/>
    <x v="0"/>
  </r>
  <r>
    <n v="58"/>
    <n v="102"/>
    <s v="池袋ハウス"/>
    <s v="406"/>
    <n v="51.25"/>
    <n v="631"/>
    <x v="0"/>
    <s v="2DK"/>
    <n v="155000"/>
    <n v="7000"/>
    <n v="0"/>
    <n v="0"/>
    <n v="162000"/>
    <n v="167000"/>
    <n v="0"/>
    <n v="167000"/>
    <n v="162000"/>
    <s v="日本人等"/>
    <x v="0"/>
    <s v=""/>
    <m/>
    <s v="102_406"/>
    <n v="147000"/>
    <m/>
    <n v="1"/>
    <n v="162000"/>
    <n v="5000"/>
    <n v="15000"/>
    <n v="1"/>
    <x v="0"/>
  </r>
  <r>
    <n v="59"/>
    <n v="102"/>
    <s v="池袋ハウス"/>
    <s v="407"/>
    <n v="49.79"/>
    <n v="631"/>
    <x v="0"/>
    <s v="2DK"/>
    <n v="162000"/>
    <n v="7000"/>
    <n v="0"/>
    <n v="0"/>
    <n v="169000"/>
    <n v="169000"/>
    <n v="0"/>
    <n v="169000"/>
    <n v="169000"/>
    <s v="中華系"/>
    <x v="0"/>
    <s v=""/>
    <m/>
    <s v="102_407"/>
    <n v="147000"/>
    <m/>
    <n v="1"/>
    <n v="169000"/>
    <n v="0"/>
    <n v="22000"/>
    <n v="1"/>
    <x v="0"/>
  </r>
  <r>
    <n v="60"/>
    <n v="102"/>
    <s v="池袋ハウス"/>
    <s v="P1"/>
    <n v="0"/>
    <n v="634"/>
    <x v="4"/>
    <s v="駐車場"/>
    <n v="33000"/>
    <n v="0"/>
    <n v="0"/>
    <n v="3000"/>
    <n v="36000"/>
    <n v="30000"/>
    <n v="3000"/>
    <n v="33000"/>
    <n v="36000"/>
    <s v="日本人等"/>
    <x v="0"/>
    <s v=""/>
    <m/>
    <s v="102_P1"/>
    <n v="30000"/>
    <m/>
    <n v="1"/>
    <n v="33000"/>
    <n v="-3000"/>
    <n v="3000"/>
    <n v="1"/>
    <x v="0"/>
  </r>
  <r>
    <n v="61"/>
    <n v="102"/>
    <s v="池袋ハウス"/>
    <s v="P2"/>
    <n v="0"/>
    <n v="634"/>
    <x v="4"/>
    <s v="駐車場"/>
    <n v="33000"/>
    <n v="0"/>
    <n v="0"/>
    <n v="3000"/>
    <n v="36000"/>
    <n v="30000"/>
    <n v="3000"/>
    <n v="33000"/>
    <n v="36000"/>
    <s v="法人契約"/>
    <x v="0"/>
    <s v=""/>
    <m/>
    <s v="102_P2"/>
    <n v="30000"/>
    <m/>
    <n v="1"/>
    <n v="33000"/>
    <n v="-3000"/>
    <n v="3000"/>
    <n v="1"/>
    <x v="0"/>
  </r>
  <r>
    <n v="62"/>
    <n v="102"/>
    <s v="池袋ハウス"/>
    <s v="CL1"/>
    <s v="-"/>
    <n v="639"/>
    <x v="3"/>
    <s v="その他"/>
    <n v="0"/>
    <n v="0"/>
    <n v="0"/>
    <n v="0"/>
    <n v="0"/>
    <n v="0"/>
    <n v="0"/>
    <n v="0"/>
    <n v="0"/>
    <s v="-"/>
    <x v="1"/>
    <s v="コインランドリー"/>
    <m/>
    <s v="102_CL1"/>
    <n v="0"/>
    <m/>
    <n v="0"/>
    <n v="0"/>
    <n v="0"/>
    <n v="0"/>
    <n v="0"/>
    <x v="0"/>
  </r>
  <r>
    <n v="63"/>
    <n v="103"/>
    <s v="カーサ目白台ハウス"/>
    <s v="101"/>
    <n v="58.31"/>
    <n v="632"/>
    <x v="1"/>
    <s v="事務所"/>
    <n v="157408"/>
    <n v="0"/>
    <n v="0"/>
    <n v="15740"/>
    <n v="173148"/>
    <n v="157407"/>
    <n v="15740.727272727272"/>
    <n v="173147.72727272726"/>
    <n v="173148"/>
    <s v="法人契約"/>
    <x v="0"/>
    <s v=""/>
    <m/>
    <s v="103_101"/>
    <n v="175000"/>
    <m/>
    <n v="1"/>
    <n v="157408"/>
    <n v="-1"/>
    <n v="-17592"/>
    <n v="1"/>
    <x v="0"/>
  </r>
  <r>
    <n v="64"/>
    <n v="103"/>
    <s v="カーサ目白台ハウス"/>
    <s v="102"/>
    <n v="57"/>
    <n v="632"/>
    <x v="1"/>
    <s v="事務所"/>
    <n v="172222"/>
    <n v="0"/>
    <n v="0"/>
    <n v="17222"/>
    <n v="189444"/>
    <n v="172221"/>
    <n v="17222.18181818182"/>
    <n v="189443.18181818182"/>
    <n v="189444"/>
    <s v="日本人等"/>
    <x v="0"/>
    <s v=""/>
    <m/>
    <s v="103_102"/>
    <n v="350000"/>
    <m/>
    <n v="1"/>
    <n v="172222"/>
    <n v="-1"/>
    <n v="-177778"/>
    <n v="1"/>
    <x v="0"/>
  </r>
  <r>
    <n v="65"/>
    <n v="103"/>
    <s v="カーサ目白台ハウス"/>
    <s v="103"/>
    <n v="56.89"/>
    <n v="632"/>
    <x v="1"/>
    <s v="事務所"/>
    <n v="170000"/>
    <n v="0"/>
    <n v="0"/>
    <n v="17000"/>
    <n v="187000"/>
    <n v="170000"/>
    <n v="17000"/>
    <n v="187000"/>
    <n v="187000"/>
    <s v="法人契約"/>
    <x v="0"/>
    <s v=""/>
    <m/>
    <s v="103_103"/>
    <n v="170000"/>
    <m/>
    <n v="1"/>
    <n v="170000"/>
    <n v="0"/>
    <n v="0"/>
    <n v="1"/>
    <x v="0"/>
  </r>
  <r>
    <n v="66"/>
    <n v="103"/>
    <s v="カーサ目白台ハウス"/>
    <s v="201"/>
    <n v="51.3"/>
    <n v="633"/>
    <x v="5"/>
    <s v="事務所"/>
    <n v="180000"/>
    <n v="0"/>
    <n v="0"/>
    <n v="18000"/>
    <n v="198000"/>
    <n v="180000"/>
    <n v="18000"/>
    <n v="198000"/>
    <n v="198000"/>
    <s v="法人契約"/>
    <x v="0"/>
    <s v=""/>
    <m/>
    <s v="103_201"/>
    <n v="180000"/>
    <m/>
    <n v="1"/>
    <n v="180000"/>
    <n v="0"/>
    <n v="0"/>
    <n v="1"/>
    <x v="0"/>
  </r>
  <r>
    <n v="67"/>
    <n v="103"/>
    <s v="カーサ目白台ハウス"/>
    <s v="202"/>
    <n v="50"/>
    <n v="633"/>
    <x v="5"/>
    <s v="事務所"/>
    <n v="150000"/>
    <n v="0"/>
    <n v="0"/>
    <n v="15000"/>
    <n v="165000"/>
    <n v="150000"/>
    <n v="15000"/>
    <n v="165000"/>
    <n v="165000"/>
    <s v="法人契約"/>
    <x v="0"/>
    <s v=""/>
    <m/>
    <s v="103_202"/>
    <n v="150000"/>
    <m/>
    <n v="1"/>
    <n v="150000"/>
    <n v="0"/>
    <n v="0"/>
    <n v="1"/>
    <x v="0"/>
  </r>
  <r>
    <n v="68"/>
    <n v="103"/>
    <s v="カーサ目白台ハウス"/>
    <s v="203"/>
    <n v="26.4"/>
    <n v="632"/>
    <x v="1"/>
    <s v="事務所"/>
    <n v="85715"/>
    <n v="0"/>
    <n v="0"/>
    <n v="8571"/>
    <n v="94286"/>
    <n v="85715"/>
    <n v="8571.545454545454"/>
    <n v="94286.545454545456"/>
    <n v="94286"/>
    <s v="法人契約"/>
    <x v="0"/>
    <s v=""/>
    <m/>
    <s v="103_203"/>
    <n v="85715"/>
    <m/>
    <n v="1"/>
    <n v="85715"/>
    <n v="0"/>
    <n v="0"/>
    <n v="1"/>
    <x v="0"/>
  </r>
  <r>
    <n v="69"/>
    <n v="103"/>
    <s v="カーサ目白台ハウス"/>
    <s v="301"/>
    <n v="51.3"/>
    <n v="631"/>
    <x v="0"/>
    <s v="2LDK"/>
    <n v="218000"/>
    <n v="0"/>
    <n v="0"/>
    <n v="0"/>
    <n v="218000"/>
    <n v="218000"/>
    <n v="0"/>
    <n v="218000"/>
    <n v="218000"/>
    <s v="日本人等"/>
    <x v="0"/>
    <s v=""/>
    <m/>
    <s v="103_301"/>
    <n v="165000"/>
    <m/>
    <n v="1"/>
    <n v="218000"/>
    <n v="0"/>
    <n v="53000"/>
    <n v="1"/>
    <x v="0"/>
  </r>
  <r>
    <n v="70"/>
    <n v="103"/>
    <s v="カーサ目白台ハウス"/>
    <s v="302"/>
    <n v="52.02"/>
    <n v="631"/>
    <x v="0"/>
    <s v="2DK"/>
    <n v="208000"/>
    <n v="0"/>
    <n v="0"/>
    <n v="0"/>
    <n v="208000"/>
    <n v="208000"/>
    <n v="0"/>
    <n v="208000"/>
    <n v="208000"/>
    <s v="住居法人契約"/>
    <x v="0"/>
    <s v=""/>
    <m/>
    <s v="103_302"/>
    <n v="165000"/>
    <m/>
    <n v="1"/>
    <n v="208000"/>
    <n v="0"/>
    <n v="43000"/>
    <n v="1"/>
    <x v="0"/>
  </r>
  <r>
    <n v="71"/>
    <n v="103"/>
    <s v="カーサ目白台ハウス"/>
    <s v="303"/>
    <n v="71.069999999999993"/>
    <n v="631"/>
    <x v="0"/>
    <s v="2LDK"/>
    <n v="220000"/>
    <n v="0"/>
    <n v="0"/>
    <n v="0"/>
    <n v="220000"/>
    <n v="220000"/>
    <n v="0"/>
    <n v="220000"/>
    <n v="220000"/>
    <s v="住居法人契約"/>
    <x v="0"/>
    <s v=""/>
    <m/>
    <s v="103_303"/>
    <n v="188000"/>
    <m/>
    <n v="1"/>
    <n v="220000"/>
    <n v="0"/>
    <n v="32000"/>
    <n v="1"/>
    <x v="0"/>
  </r>
  <r>
    <n v="72"/>
    <n v="103"/>
    <s v="カーサ目白台ハウス"/>
    <s v="401"/>
    <n v="51.3"/>
    <n v="631"/>
    <x v="0"/>
    <s v="2LDK"/>
    <n v="198000"/>
    <n v="10000"/>
    <n v="0"/>
    <n v="0"/>
    <n v="208000"/>
    <n v="198000"/>
    <n v="0"/>
    <n v="198000"/>
    <n v="208000"/>
    <s v="日本人等"/>
    <x v="0"/>
    <s v=""/>
    <m/>
    <s v="103_401"/>
    <n v="180000"/>
    <m/>
    <n v="1"/>
    <n v="208000"/>
    <n v="-10000"/>
    <n v="28000"/>
    <n v="1"/>
    <x v="0"/>
  </r>
  <r>
    <n v="73"/>
    <n v="103"/>
    <s v="カーサ目白台ハウス"/>
    <s v="402"/>
    <n v="52.02"/>
    <n v="631"/>
    <x v="0"/>
    <s v="2LDK"/>
    <n v="198000"/>
    <n v="0"/>
    <n v="0"/>
    <n v="0"/>
    <n v="198000"/>
    <n v="198000"/>
    <n v="0"/>
    <n v="198000"/>
    <n v="198000"/>
    <s v="日本人等"/>
    <x v="0"/>
    <s v=""/>
    <m/>
    <s v="103_402"/>
    <n v="170000"/>
    <m/>
    <n v="1"/>
    <n v="198000"/>
    <n v="0"/>
    <n v="28000"/>
    <n v="1"/>
    <x v="0"/>
  </r>
  <r>
    <n v="74"/>
    <n v="103"/>
    <s v="カーサ目白台ハウス"/>
    <s v="403"/>
    <n v="41.32"/>
    <n v="631"/>
    <x v="0"/>
    <s v="2DK"/>
    <n v="140000"/>
    <n v="0"/>
    <n v="0"/>
    <n v="0"/>
    <n v="140000"/>
    <n v="130000"/>
    <n v="0"/>
    <n v="130000"/>
    <n v="140000"/>
    <s v="日本人等"/>
    <x v="0"/>
    <s v=""/>
    <m/>
    <s v="103_403"/>
    <n v="130000"/>
    <m/>
    <n v="1"/>
    <n v="140000"/>
    <n v="-10000"/>
    <n v="10000"/>
    <n v="1"/>
    <x v="0"/>
  </r>
  <r>
    <n v="75"/>
    <n v="103"/>
    <s v="カーサ目白台ハウス"/>
    <s v="501"/>
    <n v="48.35"/>
    <n v="631"/>
    <x v="0"/>
    <s v="2LDK"/>
    <n v="208000"/>
    <n v="10000"/>
    <n v="0"/>
    <n v="0"/>
    <n v="218000"/>
    <n v="218000"/>
    <n v="0"/>
    <n v="218000"/>
    <n v="218000"/>
    <s v="住居法人契約"/>
    <x v="0"/>
    <s v=""/>
    <m/>
    <s v="103_501"/>
    <n v="220000"/>
    <m/>
    <n v="1"/>
    <n v="218000"/>
    <n v="0"/>
    <n v="-2000"/>
    <n v="1"/>
    <x v="0"/>
  </r>
  <r>
    <n v="76"/>
    <n v="103"/>
    <s v="カーサ目白台ハウス"/>
    <s v="502"/>
    <n v="50.76"/>
    <n v="631"/>
    <x v="0"/>
    <s v="1LDK"/>
    <n v="188000"/>
    <n v="10000"/>
    <n v="0"/>
    <n v="0"/>
    <n v="198000"/>
    <n v="198000"/>
    <n v="0"/>
    <n v="198000"/>
    <n v="198000"/>
    <s v="日本人等"/>
    <x v="0"/>
    <s v=""/>
    <m/>
    <s v="103_502"/>
    <n v="180000"/>
    <m/>
    <n v="1"/>
    <n v="198000"/>
    <n v="0"/>
    <n v="18000"/>
    <n v="1"/>
    <x v="0"/>
  </r>
  <r>
    <n v="77"/>
    <n v="103"/>
    <s v="カーサ目白台ハウス"/>
    <s v="503"/>
    <n v="96.95"/>
    <n v="631"/>
    <x v="0"/>
    <s v="2LDK"/>
    <n v="305800"/>
    <n v="0"/>
    <n v="0"/>
    <n v="0"/>
    <n v="305800"/>
    <n v="305800"/>
    <n v="0"/>
    <n v="305800"/>
    <n v="305800"/>
    <s v="住居法人契約"/>
    <x v="0"/>
    <s v=""/>
    <m/>
    <s v="103_503"/>
    <n v="270000"/>
    <m/>
    <n v="1"/>
    <n v="305800"/>
    <n v="0"/>
    <n v="35800"/>
    <n v="1"/>
    <x v="0"/>
  </r>
  <r>
    <n v="78"/>
    <n v="103"/>
    <s v="カーサ目白台ハウス"/>
    <s v="P2"/>
    <n v="0"/>
    <n v="634"/>
    <x v="4"/>
    <s v="駐車場"/>
    <n v="40000"/>
    <n v="0"/>
    <n v="0"/>
    <n v="4000"/>
    <n v="44000"/>
    <n v="40000"/>
    <n v="4000"/>
    <n v="44000"/>
    <n v="44000"/>
    <s v="法人契約"/>
    <x v="0"/>
    <s v=""/>
    <m/>
    <s v="103_P2"/>
    <n v="40000"/>
    <m/>
    <n v="1"/>
    <n v="40000"/>
    <n v="0"/>
    <n v="0"/>
    <n v="1"/>
    <x v="0"/>
  </r>
  <r>
    <n v="79"/>
    <n v="103"/>
    <s v="カーサ目白台ハウス"/>
    <s v="P3"/>
    <n v="0"/>
    <n v="634"/>
    <x v="4"/>
    <s v="駐車場"/>
    <n v="35000"/>
    <n v="0"/>
    <n v="0"/>
    <n v="3500"/>
    <n v="38500"/>
    <n v="40000"/>
    <n v="4000"/>
    <n v="44000"/>
    <n v="38500"/>
    <s v="法人契約"/>
    <x v="0"/>
    <s v=""/>
    <m/>
    <s v="103_P3"/>
    <n v="40000"/>
    <m/>
    <n v="1"/>
    <n v="35000"/>
    <n v="5000"/>
    <n v="-5000"/>
    <n v="1"/>
    <x v="0"/>
  </r>
  <r>
    <n v="80"/>
    <n v="103"/>
    <s v="カーサ目白台ハウス"/>
    <s v="P5"/>
    <n v="0"/>
    <n v="634"/>
    <x v="4"/>
    <s v="駐車場"/>
    <n v="40000"/>
    <n v="0"/>
    <n v="0"/>
    <n v="4000"/>
    <n v="44000"/>
    <n v="40000"/>
    <n v="4000"/>
    <n v="44000"/>
    <n v="44000"/>
    <s v="日本人等"/>
    <x v="0"/>
    <s v=""/>
    <m/>
    <s v="103_P5"/>
    <n v="40000"/>
    <m/>
    <n v="1"/>
    <n v="40000"/>
    <n v="0"/>
    <n v="0"/>
    <n v="1"/>
    <x v="0"/>
  </r>
  <r>
    <n v="81"/>
    <n v="104"/>
    <s v="コアプラス池袋"/>
    <s v="101"/>
    <n v="39.6"/>
    <n v="633"/>
    <x v="5"/>
    <s v="店舗"/>
    <n v="154000"/>
    <n v="0"/>
    <n v="0"/>
    <n v="15400"/>
    <n v="169400"/>
    <n v="154000"/>
    <n v="15400"/>
    <n v="169400"/>
    <n v="169400"/>
    <s v="日本人等"/>
    <x v="0"/>
    <s v=""/>
    <m/>
    <s v="104_101"/>
    <n v="145000"/>
    <m/>
    <n v="1"/>
    <n v="154000"/>
    <n v="0"/>
    <n v="9000"/>
    <n v="1"/>
    <x v="0"/>
  </r>
  <r>
    <n v="82"/>
    <n v="104"/>
    <s v="コアプラス池袋"/>
    <s v="102"/>
    <n v="31.92"/>
    <n v="632"/>
    <x v="1"/>
    <s v="事務所"/>
    <n v="120000"/>
    <n v="0"/>
    <n v="0"/>
    <n v="12000"/>
    <n v="132000"/>
    <n v="120000"/>
    <n v="12000"/>
    <n v="132000"/>
    <n v="132000"/>
    <s v="住居法人契約"/>
    <x v="0"/>
    <s v=""/>
    <m/>
    <s v="104_102"/>
    <n v="80000"/>
    <m/>
    <n v="1"/>
    <n v="120000"/>
    <n v="0"/>
    <n v="40000"/>
    <n v="1"/>
    <x v="0"/>
  </r>
  <r>
    <n v="83"/>
    <n v="104"/>
    <s v="コアプラス池袋"/>
    <s v="201"/>
    <n v="19.8"/>
    <n v="631"/>
    <x v="0"/>
    <s v="1R"/>
    <n v="70000"/>
    <n v="0"/>
    <n v="0"/>
    <n v="7000"/>
    <n v="77000"/>
    <n v="77000"/>
    <n v="0"/>
    <n v="77000"/>
    <n v="77000"/>
    <s v="住居法人契約"/>
    <x v="0"/>
    <s v=""/>
    <m/>
    <s v="104_201"/>
    <n v="65000"/>
    <m/>
    <n v="1"/>
    <n v="70000"/>
    <n v="7000"/>
    <n v="5000"/>
    <n v="1"/>
    <x v="0"/>
  </r>
  <r>
    <n v="84"/>
    <n v="104"/>
    <s v="コアプラス池袋"/>
    <s v="202"/>
    <n v="19.8"/>
    <n v="631"/>
    <x v="0"/>
    <s v="1R"/>
    <n v="73000"/>
    <n v="0"/>
    <n v="0"/>
    <n v="0"/>
    <n v="73000"/>
    <n v="73000"/>
    <n v="0"/>
    <n v="73000"/>
    <n v="73000"/>
    <s v="日本人等"/>
    <x v="0"/>
    <s v=""/>
    <m/>
    <s v="104_202"/>
    <n v="63000"/>
    <m/>
    <n v="1"/>
    <n v="73000"/>
    <n v="0"/>
    <n v="10000"/>
    <n v="1"/>
    <x v="0"/>
  </r>
  <r>
    <n v="85"/>
    <n v="104"/>
    <s v="コアプラス池袋"/>
    <s v="203"/>
    <n v="19.8"/>
    <n v="631"/>
    <x v="0"/>
    <s v="1R"/>
    <n v="75000"/>
    <n v="0"/>
    <n v="0"/>
    <n v="0"/>
    <n v="75000"/>
    <n v="75000"/>
    <n v="0"/>
    <n v="75000"/>
    <n v="75000"/>
    <s v="日本人等"/>
    <x v="0"/>
    <s v=""/>
    <m/>
    <s v="104_203"/>
    <n v="70000"/>
    <m/>
    <n v="1"/>
    <n v="75000"/>
    <n v="0"/>
    <n v="5000"/>
    <n v="1"/>
    <x v="0"/>
  </r>
  <r>
    <n v="86"/>
    <n v="104"/>
    <s v="コアプラス池袋"/>
    <s v="301"/>
    <n v="16.8"/>
    <n v="631"/>
    <x v="0"/>
    <s v="1R"/>
    <n v="70000"/>
    <n v="0"/>
    <n v="0"/>
    <n v="0"/>
    <n v="70000"/>
    <n v="70000"/>
    <n v="0"/>
    <n v="70000"/>
    <n v="70000"/>
    <s v="住居法人契約"/>
    <x v="0"/>
    <s v=""/>
    <m/>
    <s v="104_301"/>
    <n v="62000"/>
    <m/>
    <n v="1"/>
    <n v="70000"/>
    <n v="0"/>
    <n v="8000"/>
    <n v="1"/>
    <x v="0"/>
  </r>
  <r>
    <n v="87"/>
    <n v="104"/>
    <s v="コアプラス池袋"/>
    <s v="302"/>
    <n v="16.8"/>
    <n v="631"/>
    <x v="0"/>
    <s v="1R"/>
    <n v="0"/>
    <n v="0"/>
    <n v="0"/>
    <n v="0"/>
    <n v="0"/>
    <n v="88000"/>
    <n v="0"/>
    <n v="88000"/>
    <n v="88000"/>
    <s v="-"/>
    <x v="0"/>
    <s v="一時的な空室"/>
    <m/>
    <s v="104_302"/>
    <n v="63000"/>
    <m/>
    <n v="0"/>
    <n v="88000"/>
    <n v="0"/>
    <n v="25000"/>
    <n v="1"/>
    <x v="0"/>
  </r>
  <r>
    <n v="88"/>
    <n v="104"/>
    <s v="コアプラス池袋"/>
    <s v="303"/>
    <n v="16.8"/>
    <n v="631"/>
    <x v="0"/>
    <s v="1R"/>
    <n v="72000"/>
    <n v="0"/>
    <n v="0"/>
    <n v="0"/>
    <n v="72000"/>
    <n v="72000"/>
    <n v="0"/>
    <n v="72000"/>
    <n v="72000"/>
    <s v="日本人等"/>
    <x v="0"/>
    <s v=""/>
    <m/>
    <s v="104_303"/>
    <n v="72000"/>
    <m/>
    <n v="1"/>
    <n v="72000"/>
    <n v="0"/>
    <n v="0"/>
    <n v="1"/>
    <x v="0"/>
  </r>
  <r>
    <n v="89"/>
    <n v="105"/>
    <s v="目白アパート"/>
    <s v="101"/>
    <n v="46.12"/>
    <n v="631"/>
    <x v="0"/>
    <s v="3DK"/>
    <n v="135000"/>
    <n v="4000"/>
    <n v="0"/>
    <n v="0"/>
    <n v="139000"/>
    <n v="139000"/>
    <n v="0"/>
    <n v="139000"/>
    <n v="139000"/>
    <s v="その他新興国"/>
    <x v="0"/>
    <s v=""/>
    <m/>
    <s v="105_101"/>
    <n v="139000"/>
    <m/>
    <n v="1"/>
    <n v="139000"/>
    <n v="0"/>
    <n v="0"/>
    <n v="1"/>
    <x v="0"/>
  </r>
  <r>
    <n v="90"/>
    <n v="105"/>
    <s v="目白アパート"/>
    <s v="102"/>
    <n v="37.799999999999997"/>
    <n v="631"/>
    <x v="0"/>
    <s v="1K"/>
    <n v="100000"/>
    <n v="3000"/>
    <n v="186"/>
    <n v="18"/>
    <n v="103204"/>
    <n v="103204"/>
    <n v="0"/>
    <n v="103204"/>
    <n v="103204"/>
    <s v="日本人等"/>
    <x v="0"/>
    <s v=""/>
    <m/>
    <s v="105_102"/>
    <n v="103000"/>
    <m/>
    <n v="1"/>
    <n v="103186"/>
    <n v="18"/>
    <n v="186"/>
    <n v="1"/>
    <x v="0"/>
  </r>
  <r>
    <n v="91"/>
    <n v="105"/>
    <s v="目白アパート"/>
    <s v="201"/>
    <n v="28.62"/>
    <n v="631"/>
    <x v="0"/>
    <s v="2DK"/>
    <n v="103000"/>
    <n v="5000"/>
    <n v="0"/>
    <n v="0"/>
    <n v="108000"/>
    <n v="113000"/>
    <n v="0"/>
    <n v="113000"/>
    <n v="108000"/>
    <s v="その他新興国"/>
    <x v="0"/>
    <s v=""/>
    <m/>
    <s v="105_201"/>
    <n v="90200"/>
    <m/>
    <n v="1"/>
    <n v="108000"/>
    <n v="5000"/>
    <n v="17800"/>
    <n v="1"/>
    <x v="0"/>
  </r>
  <r>
    <n v="92"/>
    <n v="105"/>
    <s v="目白アパート"/>
    <s v="202"/>
    <n v="28.62"/>
    <n v="631"/>
    <x v="0"/>
    <s v="2DK"/>
    <n v="0"/>
    <n v="0"/>
    <n v="0"/>
    <n v="0"/>
    <n v="0"/>
    <n v="105000"/>
    <n v="0"/>
    <n v="105000"/>
    <n v="105000"/>
    <s v="-"/>
    <x v="0"/>
    <s v="一時的な空室"/>
    <m/>
    <s v="105_202"/>
    <n v="88000"/>
    <m/>
    <n v="0"/>
    <n v="105000"/>
    <n v="0"/>
    <n v="17000"/>
    <n v="1"/>
    <x v="0"/>
  </r>
  <r>
    <n v="93"/>
    <n v="105"/>
    <s v="目白アパート"/>
    <s v="203"/>
    <n v="33.39"/>
    <n v="631"/>
    <x v="0"/>
    <s v="2DK"/>
    <n v="0"/>
    <n v="0"/>
    <n v="0"/>
    <n v="0"/>
    <n v="0"/>
    <n v="99204"/>
    <n v="0"/>
    <n v="99204"/>
    <n v="99204"/>
    <s v="-"/>
    <x v="0"/>
    <s v="一時的な空室"/>
    <m/>
    <s v="105_203"/>
    <n v="99000"/>
    <m/>
    <n v="0"/>
    <n v="99204"/>
    <n v="0"/>
    <n v="204"/>
    <n v="1"/>
    <x v="0"/>
  </r>
  <r>
    <n v="94"/>
    <n v="105"/>
    <s v="目白アパート"/>
    <s v="204"/>
    <n v="37.049999999999997"/>
    <n v="631"/>
    <x v="0"/>
    <s v="2DK"/>
    <n v="100000"/>
    <n v="0"/>
    <n v="926"/>
    <n v="92"/>
    <n v="101018"/>
    <n v="101018"/>
    <n v="0"/>
    <n v="101018"/>
    <n v="101018"/>
    <s v="日本人等"/>
    <x v="0"/>
    <s v=""/>
    <m/>
    <s v="105_204"/>
    <n v="120400"/>
    <m/>
    <n v="1"/>
    <n v="100926"/>
    <n v="92"/>
    <n v="-19474"/>
    <n v="1"/>
    <x v="0"/>
  </r>
  <r>
    <n v="95"/>
    <n v="105"/>
    <s v="目白アパート"/>
    <s v="301"/>
    <n v="28.62"/>
    <n v="631"/>
    <x v="0"/>
    <s v="2DK"/>
    <n v="105000"/>
    <n v="5000"/>
    <n v="0"/>
    <n v="0"/>
    <n v="110000"/>
    <n v="110000"/>
    <n v="0"/>
    <n v="110000"/>
    <n v="110000"/>
    <s v="中華系"/>
    <x v="0"/>
    <s v=""/>
    <m/>
    <s v="105_301"/>
    <n v="98000"/>
    <m/>
    <n v="1"/>
    <n v="110000"/>
    <n v="0"/>
    <n v="12000"/>
    <n v="1"/>
    <x v="0"/>
  </r>
  <r>
    <n v="96"/>
    <n v="105"/>
    <s v="目白アパート"/>
    <s v="302"/>
    <n v="28.62"/>
    <n v="631"/>
    <x v="0"/>
    <s v="2DK"/>
    <n v="100000"/>
    <n v="0"/>
    <n v="0"/>
    <n v="0"/>
    <n v="100000"/>
    <n v="100000"/>
    <n v="0"/>
    <n v="100000"/>
    <n v="100000"/>
    <s v="日本人等"/>
    <x v="0"/>
    <s v=""/>
    <m/>
    <s v="105_302"/>
    <n v="100000"/>
    <m/>
    <n v="1"/>
    <n v="100000"/>
    <n v="0"/>
    <n v="0"/>
    <n v="1"/>
    <x v="0"/>
  </r>
  <r>
    <n v="97"/>
    <n v="105"/>
    <s v="目白アパート"/>
    <s v="303"/>
    <n v="33.39"/>
    <n v="631"/>
    <x v="0"/>
    <s v="2DK"/>
    <n v="120000"/>
    <n v="5000"/>
    <n v="0"/>
    <n v="0"/>
    <n v="125000"/>
    <n v="125000"/>
    <n v="0"/>
    <n v="125000"/>
    <n v="125000"/>
    <s v="中華系"/>
    <x v="0"/>
    <s v=""/>
    <m/>
    <s v="105_303"/>
    <n v="100000"/>
    <m/>
    <n v="1"/>
    <n v="125000"/>
    <n v="0"/>
    <n v="25000"/>
    <n v="1"/>
    <x v="0"/>
  </r>
  <r>
    <n v="98"/>
    <n v="105"/>
    <s v="目白アパート"/>
    <s v="304"/>
    <n v="37.049999999999997"/>
    <n v="631"/>
    <x v="0"/>
    <s v="2DK"/>
    <n v="100000"/>
    <n v="0"/>
    <n v="1112"/>
    <n v="111"/>
    <n v="101223"/>
    <n v="91223"/>
    <n v="0"/>
    <n v="91223"/>
    <n v="101223"/>
    <s v="日本人等"/>
    <x v="0"/>
    <s v=""/>
    <m/>
    <s v="105_304"/>
    <n v="100000"/>
    <m/>
    <n v="1"/>
    <n v="101112"/>
    <n v="-9889"/>
    <n v="1112"/>
    <n v="1"/>
    <x v="0"/>
  </r>
  <r>
    <n v="99"/>
    <n v="105"/>
    <s v="目白アパート"/>
    <s v="401"/>
    <n v="28.62"/>
    <n v="631"/>
    <x v="0"/>
    <s v="2DK"/>
    <n v="93000"/>
    <n v="3000"/>
    <n v="371"/>
    <n v="37"/>
    <n v="96408"/>
    <n v="96408"/>
    <n v="0"/>
    <n v="96408"/>
    <n v="96408"/>
    <s v="日本人等"/>
    <x v="0"/>
    <s v=""/>
    <m/>
    <s v="105_401"/>
    <n v="96000"/>
    <m/>
    <n v="1"/>
    <n v="96371"/>
    <n v="37"/>
    <n v="371"/>
    <n v="1"/>
    <x v="0"/>
  </r>
  <r>
    <n v="100"/>
    <n v="105"/>
    <s v="目白アパート"/>
    <s v="402"/>
    <n v="28.62"/>
    <n v="631"/>
    <x v="0"/>
    <s v="2DK"/>
    <n v="90000"/>
    <n v="0"/>
    <n v="0"/>
    <n v="0"/>
    <n v="90000"/>
    <n v="90000"/>
    <n v="0"/>
    <n v="90000"/>
    <n v="90000"/>
    <s v="日本人等"/>
    <x v="0"/>
    <s v=""/>
    <m/>
    <s v="105_402"/>
    <n v="90000"/>
    <m/>
    <n v="1"/>
    <n v="90000"/>
    <n v="0"/>
    <n v="0"/>
    <n v="1"/>
    <x v="0"/>
  </r>
  <r>
    <n v="101"/>
    <n v="105"/>
    <s v="目白アパート"/>
    <s v="403"/>
    <n v="33.39"/>
    <n v="631"/>
    <x v="0"/>
    <s v="2DK"/>
    <n v="105000"/>
    <n v="5000"/>
    <n v="0"/>
    <n v="0"/>
    <n v="110000"/>
    <n v="130000"/>
    <n v="0"/>
    <n v="130000"/>
    <n v="110000"/>
    <s v="日本人等"/>
    <x v="0"/>
    <s v=""/>
    <m/>
    <s v="105_403"/>
    <n v="98400"/>
    <m/>
    <n v="1"/>
    <n v="110000"/>
    <n v="20000"/>
    <n v="11600"/>
    <n v="1"/>
    <x v="0"/>
  </r>
  <r>
    <n v="102"/>
    <n v="105"/>
    <s v="目白アパート"/>
    <s v="404"/>
    <n v="37.049999999999997"/>
    <n v="631"/>
    <x v="0"/>
    <s v="2DK"/>
    <n v="125000"/>
    <n v="4000"/>
    <n v="0"/>
    <n v="0"/>
    <n v="129000"/>
    <n v="129000"/>
    <n v="0"/>
    <n v="129000"/>
    <n v="129000"/>
    <s v="中華系"/>
    <x v="0"/>
    <s v=""/>
    <m/>
    <s v="105_404"/>
    <n v="119400"/>
    <m/>
    <n v="1"/>
    <n v="129000"/>
    <n v="0"/>
    <n v="9600"/>
    <n v="1"/>
    <x v="0"/>
  </r>
  <r>
    <n v="103"/>
    <n v="105"/>
    <s v="目白アパート"/>
    <s v="501"/>
    <n v="28.62"/>
    <n v="631"/>
    <x v="0"/>
    <s v="2DK"/>
    <n v="107000"/>
    <n v="3000"/>
    <n v="0"/>
    <n v="0"/>
    <n v="110000"/>
    <n v="110000"/>
    <n v="0"/>
    <n v="110000"/>
    <n v="110000"/>
    <s v="日本人等"/>
    <x v="0"/>
    <s v=""/>
    <m/>
    <s v="105_501"/>
    <n v="97000"/>
    <m/>
    <n v="1"/>
    <n v="110000"/>
    <n v="0"/>
    <n v="13000"/>
    <n v="1"/>
    <x v="0"/>
  </r>
  <r>
    <n v="104"/>
    <n v="105"/>
    <s v="目白アパート"/>
    <s v="502"/>
    <n v="28.62"/>
    <n v="631"/>
    <x v="0"/>
    <s v="2DK"/>
    <n v="102000"/>
    <n v="3000"/>
    <n v="0"/>
    <n v="0"/>
    <n v="105000"/>
    <n v="105000"/>
    <n v="0"/>
    <n v="105000"/>
    <n v="105000"/>
    <s v="中華系"/>
    <x v="0"/>
    <s v=""/>
    <m/>
    <s v="105_502"/>
    <n v="94000"/>
    <m/>
    <n v="1"/>
    <n v="105000"/>
    <n v="0"/>
    <n v="11000"/>
    <n v="1"/>
    <x v="0"/>
  </r>
  <r>
    <n v="105"/>
    <n v="105"/>
    <s v="目白アパート"/>
    <s v="503"/>
    <n v="33.39"/>
    <n v="631"/>
    <x v="0"/>
    <s v="2DK"/>
    <n v="103000"/>
    <n v="0"/>
    <n v="186"/>
    <n v="18"/>
    <n v="103204"/>
    <n v="103204"/>
    <n v="0"/>
    <n v="103204"/>
    <n v="103204"/>
    <s v="日本人等"/>
    <x v="0"/>
    <s v=""/>
    <m/>
    <s v="105_503"/>
    <n v="100200"/>
    <m/>
    <n v="1"/>
    <n v="103186"/>
    <n v="18"/>
    <n v="2986"/>
    <n v="1"/>
    <x v="0"/>
  </r>
  <r>
    <n v="106"/>
    <n v="105"/>
    <s v="目白アパート"/>
    <s v="504"/>
    <n v="37.049999999999997"/>
    <n v="631"/>
    <x v="0"/>
    <s v="2DK"/>
    <n v="130000"/>
    <n v="5000"/>
    <n v="0"/>
    <n v="0"/>
    <n v="135000"/>
    <n v="135220"/>
    <n v="0"/>
    <n v="135220"/>
    <n v="135000"/>
    <s v="中華系"/>
    <x v="0"/>
    <s v=""/>
    <m/>
    <s v="105_504"/>
    <n v="95200"/>
    <m/>
    <n v="1"/>
    <n v="135000"/>
    <n v="220"/>
    <n v="39800"/>
    <n v="1"/>
    <x v="0"/>
  </r>
  <r>
    <n v="107"/>
    <n v="105"/>
    <s v="目白アパート"/>
    <s v="601"/>
    <n v="28.62"/>
    <n v="631"/>
    <x v="0"/>
    <s v="2DK"/>
    <n v="110000"/>
    <n v="5000"/>
    <n v="0"/>
    <n v="0"/>
    <n v="115000"/>
    <n v="115000"/>
    <n v="0"/>
    <n v="115000"/>
    <n v="115000"/>
    <s v="中華系"/>
    <x v="0"/>
    <s v=""/>
    <m/>
    <s v="105_601"/>
    <n v="105000"/>
    <m/>
    <n v="1"/>
    <n v="115000"/>
    <n v="0"/>
    <n v="10000"/>
    <n v="1"/>
    <x v="0"/>
  </r>
  <r>
    <n v="108"/>
    <n v="105"/>
    <s v="目白アパート"/>
    <s v="602"/>
    <n v="28.62"/>
    <n v="631"/>
    <x v="0"/>
    <s v="2DK"/>
    <n v="92000"/>
    <n v="3000"/>
    <n v="0"/>
    <n v="0"/>
    <n v="95000"/>
    <n v="95000"/>
    <n v="0"/>
    <n v="95000"/>
    <n v="95000"/>
    <s v="日本人等"/>
    <x v="0"/>
    <s v=""/>
    <m/>
    <s v="105_602"/>
    <n v="95000"/>
    <m/>
    <n v="1"/>
    <n v="95000"/>
    <n v="0"/>
    <n v="0"/>
    <n v="1"/>
    <x v="0"/>
  </r>
  <r>
    <n v="109"/>
    <n v="105"/>
    <s v="目白アパート"/>
    <s v="603"/>
    <n v="33.39"/>
    <n v="631"/>
    <x v="0"/>
    <s v="2DK"/>
    <n v="100000"/>
    <n v="0"/>
    <n v="186"/>
    <n v="18"/>
    <n v="100204"/>
    <n v="100408"/>
    <n v="0"/>
    <n v="100408"/>
    <n v="100204"/>
    <s v="日本人等"/>
    <x v="0"/>
    <s v=""/>
    <m/>
    <s v="105_603"/>
    <n v="100000"/>
    <m/>
    <n v="1"/>
    <n v="100186"/>
    <n v="222"/>
    <n v="186"/>
    <n v="1"/>
    <x v="0"/>
  </r>
  <r>
    <n v="110"/>
    <n v="105"/>
    <s v="目白アパート"/>
    <s v="701"/>
    <n v="23.86"/>
    <n v="631"/>
    <x v="0"/>
    <s v="1K"/>
    <n v="79000"/>
    <n v="3000"/>
    <n v="0"/>
    <n v="0"/>
    <n v="82000"/>
    <n v="89000"/>
    <n v="0"/>
    <n v="89000"/>
    <n v="82000"/>
    <s v="日本人等"/>
    <x v="0"/>
    <s v=""/>
    <m/>
    <s v="105_701"/>
    <n v="75000"/>
    <m/>
    <n v="1"/>
    <n v="82000"/>
    <n v="7000"/>
    <n v="7000"/>
    <n v="1"/>
    <x v="0"/>
  </r>
  <r>
    <n v="111"/>
    <n v="105"/>
    <s v="目白アパート"/>
    <s v="702"/>
    <n v="28.62"/>
    <n v="631"/>
    <x v="0"/>
    <s v="2DK"/>
    <n v="105000"/>
    <n v="5000"/>
    <n v="0"/>
    <n v="0"/>
    <n v="110000"/>
    <n v="110000"/>
    <n v="0"/>
    <n v="110000"/>
    <n v="110000"/>
    <s v="中華系"/>
    <x v="0"/>
    <s v=""/>
    <m/>
    <s v="105_702"/>
    <n v="100000"/>
    <m/>
    <n v="1"/>
    <n v="110000"/>
    <n v="0"/>
    <n v="10000"/>
    <n v="1"/>
    <x v="0"/>
  </r>
  <r>
    <n v="112"/>
    <n v="105"/>
    <s v="目白アパート"/>
    <s v="703"/>
    <n v="33.39"/>
    <n v="631"/>
    <x v="0"/>
    <s v="2DK"/>
    <n v="115000"/>
    <n v="0"/>
    <n v="1852"/>
    <n v="185"/>
    <n v="117037"/>
    <n v="117037"/>
    <n v="0"/>
    <n v="117037"/>
    <n v="117037"/>
    <s v="日本人等"/>
    <x v="0"/>
    <s v=""/>
    <m/>
    <s v="105_703"/>
    <n v="117000"/>
    <m/>
    <n v="1"/>
    <n v="116852"/>
    <n v="185"/>
    <n v="-148"/>
    <n v="1"/>
    <x v="0"/>
  </r>
  <r>
    <n v="113"/>
    <n v="105"/>
    <s v="目白アパート"/>
    <s v="P1"/>
    <n v="0"/>
    <n v="634"/>
    <x v="4"/>
    <s v="駐車場"/>
    <n v="35000"/>
    <n v="0"/>
    <n v="0"/>
    <n v="3500"/>
    <n v="38500"/>
    <n v="35000"/>
    <n v="3500"/>
    <n v="38500"/>
    <n v="38500"/>
    <s v="法人契約"/>
    <x v="0"/>
    <s v=""/>
    <m/>
    <s v="105_P1"/>
    <n v="35000"/>
    <m/>
    <n v="1"/>
    <n v="35000"/>
    <n v="0"/>
    <n v="0"/>
    <n v="1"/>
    <x v="0"/>
  </r>
  <r>
    <n v="114"/>
    <n v="105"/>
    <s v="目白アパート"/>
    <s v="P2"/>
    <n v="0"/>
    <n v="634"/>
    <x v="4"/>
    <s v="駐車場"/>
    <n v="35000"/>
    <n v="0"/>
    <n v="0"/>
    <n v="3500"/>
    <n v="38500"/>
    <n v="35000"/>
    <n v="3500"/>
    <n v="38500"/>
    <n v="38500"/>
    <s v="法人契約"/>
    <x v="0"/>
    <s v=""/>
    <m/>
    <s v="105_P2"/>
    <n v="35000"/>
    <m/>
    <n v="1"/>
    <n v="35000"/>
    <n v="0"/>
    <n v="0"/>
    <n v="1"/>
    <x v="0"/>
  </r>
  <r>
    <n v="115"/>
    <n v="105"/>
    <s v="目白アパート"/>
    <s v="A01"/>
    <n v="47.62"/>
    <n v="633"/>
    <x v="5"/>
    <s v="倉庫"/>
    <n v="90000"/>
    <n v="0"/>
    <n v="0"/>
    <n v="9000"/>
    <n v="99000"/>
    <n v="90000"/>
    <n v="9000"/>
    <n v="99000"/>
    <n v="99000"/>
    <s v="法人契約"/>
    <x v="0"/>
    <s v=""/>
    <m/>
    <s v="105_A01"/>
    <n v="90000"/>
    <m/>
    <n v="1"/>
    <n v="90000"/>
    <n v="0"/>
    <n v="0"/>
    <n v="1"/>
    <x v="0"/>
  </r>
  <r>
    <n v="116"/>
    <n v="105"/>
    <s v="目白アパート"/>
    <s v="RF1"/>
    <n v="0"/>
    <n v="635"/>
    <x v="2"/>
    <s v="その他"/>
    <n v="12000"/>
    <n v="0"/>
    <n v="0"/>
    <n v="1200"/>
    <n v="13200"/>
    <n v="12000"/>
    <n v="1199.9999999999998"/>
    <n v="13200"/>
    <n v="13200"/>
    <s v="法人契約"/>
    <x v="0"/>
    <s v=""/>
    <m/>
    <s v="105_RF1"/>
    <n v="0"/>
    <m/>
    <n v="1"/>
    <n v="12000"/>
    <n v="0"/>
    <n v="12000"/>
    <n v="1"/>
    <x v="0"/>
  </r>
  <r>
    <n v="117"/>
    <n v="105"/>
    <s v="目白アパート"/>
    <s v="RF2"/>
    <n v="0"/>
    <n v="635"/>
    <x v="2"/>
    <s v="その他"/>
    <n v="22324"/>
    <n v="0"/>
    <n v="0"/>
    <n v="0"/>
    <n v="22324"/>
    <n v="20294"/>
    <n v="2029.4545454545453"/>
    <n v="22323.454545454544"/>
    <n v="22324"/>
    <s v="法人契約"/>
    <x v="0"/>
    <s v="ソフトバンクモバイル"/>
    <m/>
    <s v="105_RF2"/>
    <n v="22324"/>
    <m/>
    <n v="1"/>
    <n v="22324"/>
    <n v="-2030"/>
    <n v="0"/>
    <n v="1"/>
    <x v="0"/>
  </r>
  <r>
    <n v="118"/>
    <n v="105"/>
    <s v="目白アパート"/>
    <s v="NTF1"/>
    <s v="-"/>
    <n v="639"/>
    <x v="3"/>
    <s v="その他"/>
    <n v="0"/>
    <n v="0"/>
    <n v="0"/>
    <n v="0"/>
    <n v="0"/>
    <n v="0"/>
    <n v="0"/>
    <n v="0"/>
    <n v="0"/>
    <s v="-"/>
    <x v="1"/>
    <s v="フレッツ光"/>
    <m/>
    <s v="105_NTF1"/>
    <n v="0"/>
    <m/>
    <n v="0"/>
    <n v="0"/>
    <n v="0"/>
    <n v="0"/>
    <n v="0"/>
    <x v="0"/>
  </r>
  <r>
    <n v="119"/>
    <n v="105"/>
    <s v="目白アパート"/>
    <s v="NTD1"/>
    <s v="-"/>
    <n v="639"/>
    <x v="3"/>
    <s v="その他"/>
    <n v="0"/>
    <n v="0"/>
    <n v="0"/>
    <n v="0"/>
    <n v="0"/>
    <n v="0"/>
    <n v="0"/>
    <n v="0"/>
    <n v="0"/>
    <s v="-"/>
    <x v="1"/>
    <s v="電柱"/>
    <m/>
    <s v="105_NTD1"/>
    <n v="0"/>
    <m/>
    <n v="0"/>
    <n v="0"/>
    <n v="0"/>
    <n v="0"/>
    <n v="0"/>
    <x v="0"/>
  </r>
  <r>
    <n v="120"/>
    <n v="106"/>
    <s v="東池袋ハイツ"/>
    <s v="101"/>
    <n v="48.36"/>
    <n v="631"/>
    <x v="0"/>
    <s v="2DK"/>
    <n v="116000"/>
    <n v="10000"/>
    <n v="0"/>
    <n v="0"/>
    <n v="126000"/>
    <n v="158000"/>
    <n v="0"/>
    <n v="158000"/>
    <n v="126000"/>
    <s v="中華系"/>
    <x v="0"/>
    <s v=""/>
    <m/>
    <s v="106_101"/>
    <n v="127000"/>
    <m/>
    <n v="1"/>
    <n v="126000"/>
    <n v="32000"/>
    <n v="-1000"/>
    <n v="1"/>
    <x v="0"/>
  </r>
  <r>
    <n v="121"/>
    <n v="106"/>
    <s v="東池袋ハイツ"/>
    <s v="102"/>
    <n v="52.75"/>
    <n v="631"/>
    <x v="0"/>
    <s v="3DK"/>
    <n v="157000"/>
    <n v="10000"/>
    <n v="0"/>
    <n v="0"/>
    <n v="167000"/>
    <n v="167000"/>
    <n v="0"/>
    <n v="167000"/>
    <n v="167000"/>
    <s v="日本人等"/>
    <x v="0"/>
    <s v=""/>
    <m/>
    <s v="106_102"/>
    <n v="139000"/>
    <m/>
    <n v="1"/>
    <n v="167000"/>
    <n v="0"/>
    <n v="28000"/>
    <n v="1"/>
    <x v="0"/>
  </r>
  <r>
    <n v="122"/>
    <n v="106"/>
    <s v="東池袋ハイツ"/>
    <s v="201"/>
    <n v="43.2"/>
    <n v="631"/>
    <x v="0"/>
    <s v="2DK"/>
    <n v="122000"/>
    <n v="7000"/>
    <n v="0"/>
    <n v="0"/>
    <n v="129000"/>
    <n v="129000"/>
    <n v="0"/>
    <n v="129000"/>
    <n v="129000"/>
    <s v="日本人等"/>
    <x v="0"/>
    <s v=""/>
    <m/>
    <s v="106_201"/>
    <n v="129000"/>
    <m/>
    <n v="1"/>
    <n v="129000"/>
    <n v="0"/>
    <n v="0"/>
    <n v="1"/>
    <x v="0"/>
  </r>
  <r>
    <n v="123"/>
    <n v="106"/>
    <s v="東池袋ハイツ"/>
    <s v="202"/>
    <n v="43.2"/>
    <n v="631"/>
    <x v="0"/>
    <s v="2DK"/>
    <n v="140000"/>
    <n v="10000"/>
    <n v="0"/>
    <n v="0"/>
    <n v="150000"/>
    <n v="152000"/>
    <n v="0"/>
    <n v="152000"/>
    <n v="150000"/>
    <s v="中華系"/>
    <x v="0"/>
    <s v=""/>
    <m/>
    <s v="106_202"/>
    <n v="133000"/>
    <m/>
    <n v="1"/>
    <n v="150000"/>
    <n v="2000"/>
    <n v="17000"/>
    <n v="1"/>
    <x v="0"/>
  </r>
  <r>
    <n v="124"/>
    <n v="106"/>
    <s v="東池袋ハイツ"/>
    <s v="203"/>
    <n v="48.36"/>
    <n v="631"/>
    <x v="0"/>
    <s v="2DK"/>
    <n v="124000"/>
    <n v="10000"/>
    <n v="0"/>
    <n v="0"/>
    <n v="134000"/>
    <n v="134000"/>
    <n v="0"/>
    <n v="134000"/>
    <n v="134000"/>
    <s v="中華系"/>
    <x v="0"/>
    <s v=""/>
    <m/>
    <s v="106_203"/>
    <n v="137000"/>
    <m/>
    <n v="1"/>
    <n v="134000"/>
    <n v="0"/>
    <n v="-3000"/>
    <n v="1"/>
    <x v="0"/>
  </r>
  <r>
    <n v="125"/>
    <n v="106"/>
    <s v="東池袋ハイツ"/>
    <s v="204"/>
    <n v="52.75"/>
    <n v="631"/>
    <x v="0"/>
    <s v="3DK"/>
    <n v="160000"/>
    <n v="10000"/>
    <n v="0"/>
    <n v="0"/>
    <n v="170000"/>
    <n v="168000"/>
    <n v="0"/>
    <n v="168000"/>
    <n v="170000"/>
    <s v="中華系"/>
    <x v="0"/>
    <s v=""/>
    <m/>
    <s v="106_204"/>
    <n v="141000"/>
    <m/>
    <n v="1"/>
    <n v="170000"/>
    <n v="-2000"/>
    <n v="29000"/>
    <n v="1"/>
    <x v="0"/>
  </r>
  <r>
    <n v="126"/>
    <n v="106"/>
    <s v="東池袋ハイツ"/>
    <s v="301"/>
    <n v="43.2"/>
    <n v="631"/>
    <x v="0"/>
    <s v="2DK"/>
    <n v="140000"/>
    <n v="10000"/>
    <n v="0"/>
    <n v="0"/>
    <n v="150000"/>
    <n v="135000"/>
    <n v="0"/>
    <n v="135000"/>
    <n v="150000"/>
    <s v="中華系"/>
    <x v="0"/>
    <s v=""/>
    <m/>
    <s v="106_301"/>
    <n v="132000"/>
    <m/>
    <n v="1"/>
    <n v="150000"/>
    <n v="-15000"/>
    <n v="18000"/>
    <n v="1"/>
    <x v="0"/>
  </r>
  <r>
    <n v="127"/>
    <n v="106"/>
    <s v="東池袋ハイツ"/>
    <s v="302"/>
    <n v="43.2"/>
    <n v="631"/>
    <x v="0"/>
    <s v="2DK"/>
    <n v="142000"/>
    <n v="10000"/>
    <n v="0"/>
    <n v="0"/>
    <n v="152000"/>
    <n v="150000"/>
    <n v="0"/>
    <n v="150000"/>
    <n v="152000"/>
    <s v="中華系"/>
    <x v="0"/>
    <s v=""/>
    <m/>
    <s v="106_302"/>
    <n v="135000"/>
    <m/>
    <n v="1"/>
    <n v="152000"/>
    <n v="-2000"/>
    <n v="17000"/>
    <n v="1"/>
    <x v="0"/>
  </r>
  <r>
    <n v="128"/>
    <n v="106"/>
    <s v="東池袋ハイツ"/>
    <s v="303"/>
    <n v="48.36"/>
    <n v="631"/>
    <x v="0"/>
    <s v="2DK"/>
    <n v="135000"/>
    <n v="10000"/>
    <n v="0"/>
    <n v="0"/>
    <n v="145000"/>
    <n v="145000"/>
    <n v="0"/>
    <n v="145000"/>
    <n v="145000"/>
    <s v="中華系"/>
    <x v="0"/>
    <s v=""/>
    <m/>
    <s v="106_303"/>
    <n v="135000"/>
    <m/>
    <n v="1"/>
    <n v="145000"/>
    <n v="0"/>
    <n v="10000"/>
    <n v="1"/>
    <x v="0"/>
  </r>
  <r>
    <n v="129"/>
    <n v="106"/>
    <s v="東池袋ハイツ"/>
    <s v="304"/>
    <n v="52.75"/>
    <n v="631"/>
    <x v="0"/>
    <s v="3DK"/>
    <n v="160000"/>
    <n v="10000"/>
    <n v="0"/>
    <n v="0"/>
    <n v="170000"/>
    <n v="168000"/>
    <n v="0"/>
    <n v="168000"/>
    <n v="170000"/>
    <s v="住居法人契約"/>
    <x v="0"/>
    <s v=""/>
    <m/>
    <s v="106_304"/>
    <n v="158000"/>
    <m/>
    <n v="1"/>
    <n v="170000"/>
    <n v="-2000"/>
    <n v="12000"/>
    <n v="1"/>
    <x v="0"/>
  </r>
  <r>
    <n v="130"/>
    <n v="106"/>
    <s v="東池袋ハイツ"/>
    <s v="401"/>
    <n v="39.42"/>
    <n v="631"/>
    <x v="0"/>
    <s v="1LDK"/>
    <n v="125000"/>
    <n v="10000"/>
    <n v="0"/>
    <n v="0"/>
    <n v="135000"/>
    <n v="123000"/>
    <n v="0"/>
    <n v="123000"/>
    <n v="135000"/>
    <s v="中華系"/>
    <x v="0"/>
    <s v=""/>
    <m/>
    <s v="106_401"/>
    <n v="123000"/>
    <m/>
    <n v="1"/>
    <n v="135000"/>
    <n v="-12000"/>
    <n v="12000"/>
    <n v="1"/>
    <x v="0"/>
  </r>
  <r>
    <n v="131"/>
    <n v="106"/>
    <s v="東池袋ハイツ"/>
    <s v="402"/>
    <n v="43.2"/>
    <n v="631"/>
    <x v="0"/>
    <s v="2DK"/>
    <n v="150000"/>
    <n v="10000"/>
    <n v="0"/>
    <n v="0"/>
    <n v="160000"/>
    <n v="160000"/>
    <n v="0"/>
    <n v="160000"/>
    <n v="160000"/>
    <s v="中華系"/>
    <x v="0"/>
    <s v=""/>
    <m/>
    <s v="106_402"/>
    <n v="147000"/>
    <m/>
    <n v="1"/>
    <n v="160000"/>
    <n v="0"/>
    <n v="13000"/>
    <n v="1"/>
    <x v="0"/>
  </r>
  <r>
    <n v="132"/>
    <n v="106"/>
    <s v="東池袋ハイツ"/>
    <s v="403"/>
    <n v="48.36"/>
    <n v="631"/>
    <x v="0"/>
    <s v="2DK"/>
    <n v="125000"/>
    <n v="10000"/>
    <n v="0"/>
    <n v="0"/>
    <n v="135000"/>
    <n v="135000"/>
    <n v="0"/>
    <n v="135000"/>
    <n v="135000"/>
    <s v="中華系"/>
    <x v="0"/>
    <s v=""/>
    <m/>
    <s v="106_403"/>
    <n v="135000"/>
    <m/>
    <n v="1"/>
    <n v="135000"/>
    <n v="0"/>
    <n v="0"/>
    <n v="1"/>
    <x v="0"/>
  </r>
  <r>
    <n v="133"/>
    <n v="106"/>
    <s v="東池袋ハイツ"/>
    <s v="404"/>
    <n v="52.75"/>
    <n v="631"/>
    <x v="0"/>
    <s v="3DK"/>
    <n v="140000"/>
    <n v="10000"/>
    <n v="0"/>
    <n v="0"/>
    <n v="150000"/>
    <n v="150000"/>
    <n v="0"/>
    <n v="150000"/>
    <n v="150000"/>
    <s v="日本人等"/>
    <x v="0"/>
    <s v=""/>
    <m/>
    <s v="106_404"/>
    <n v="150000"/>
    <m/>
    <n v="1"/>
    <n v="150000"/>
    <n v="0"/>
    <n v="0"/>
    <n v="1"/>
    <x v="0"/>
  </r>
  <r>
    <n v="134"/>
    <n v="106"/>
    <s v="東池袋ハイツ"/>
    <s v="501"/>
    <n v="29.16"/>
    <n v="631"/>
    <x v="0"/>
    <s v="1K"/>
    <n v="85000"/>
    <n v="10000"/>
    <n v="0"/>
    <n v="0"/>
    <n v="95000"/>
    <n v="95000"/>
    <n v="0"/>
    <n v="95000"/>
    <n v="95000"/>
    <s v="日本人等"/>
    <x v="0"/>
    <s v=""/>
    <m/>
    <s v="106_501"/>
    <n v="90000"/>
    <m/>
    <n v="1"/>
    <n v="95000"/>
    <n v="0"/>
    <n v="5000"/>
    <n v="1"/>
    <x v="0"/>
  </r>
  <r>
    <n v="135"/>
    <n v="106"/>
    <s v="東池袋ハイツ"/>
    <s v="502"/>
    <n v="43.2"/>
    <n v="631"/>
    <x v="0"/>
    <s v="2DK"/>
    <n v="145000"/>
    <n v="10000"/>
    <n v="0"/>
    <n v="0"/>
    <n v="155000"/>
    <n v="155000"/>
    <n v="0"/>
    <n v="155000"/>
    <n v="155000"/>
    <s v="中華系"/>
    <x v="0"/>
    <s v=""/>
    <m/>
    <s v="106_502"/>
    <n v="138000"/>
    <m/>
    <n v="1"/>
    <n v="155000"/>
    <n v="0"/>
    <n v="17000"/>
    <n v="1"/>
    <x v="0"/>
  </r>
  <r>
    <n v="136"/>
    <n v="106"/>
    <s v="東池袋ハイツ"/>
    <s v="503"/>
    <n v="48.36"/>
    <n v="631"/>
    <x v="0"/>
    <s v="2DK"/>
    <n v="150000"/>
    <n v="10000"/>
    <n v="0"/>
    <n v="0"/>
    <n v="160000"/>
    <n v="160000"/>
    <n v="0"/>
    <n v="160000"/>
    <n v="160000"/>
    <s v="中華系"/>
    <x v="0"/>
    <s v=""/>
    <m/>
    <s v="106_503"/>
    <n v="137000"/>
    <m/>
    <n v="1"/>
    <n v="160000"/>
    <n v="0"/>
    <n v="23000"/>
    <n v="1"/>
    <x v="0"/>
  </r>
  <r>
    <n v="137"/>
    <n v="106"/>
    <s v="東池袋ハイツ"/>
    <s v="504"/>
    <n v="17.600000000000001"/>
    <n v="631"/>
    <x v="0"/>
    <s v="1K"/>
    <n v="160000"/>
    <n v="10000"/>
    <n v="0"/>
    <n v="0"/>
    <n v="170000"/>
    <n v="170000"/>
    <n v="0"/>
    <n v="170000"/>
    <n v="170000"/>
    <s v="住居法人契約"/>
    <x v="0"/>
    <s v=""/>
    <m/>
    <s v="106_504"/>
    <n v="146000"/>
    <m/>
    <n v="1"/>
    <n v="170000"/>
    <n v="0"/>
    <n v="24000"/>
    <n v="1"/>
    <x v="0"/>
  </r>
  <r>
    <n v="138"/>
    <n v="106"/>
    <s v="東池袋ハイツ"/>
    <s v="601"/>
    <n v="55.84"/>
    <n v="631"/>
    <x v="0"/>
    <s v="3DK"/>
    <n v="170000"/>
    <n v="10000"/>
    <n v="0"/>
    <n v="0"/>
    <n v="180000"/>
    <n v="148000"/>
    <n v="0"/>
    <n v="148000"/>
    <n v="180000"/>
    <s v="中華系"/>
    <x v="0"/>
    <s v=""/>
    <m/>
    <s v="106_601"/>
    <n v="148000"/>
    <m/>
    <n v="1"/>
    <n v="180000"/>
    <n v="-32000"/>
    <n v="32000"/>
    <n v="1"/>
    <x v="0"/>
  </r>
  <r>
    <n v="139"/>
    <n v="106"/>
    <s v="東池袋ハイツ"/>
    <s v="602"/>
    <n v="62.32"/>
    <n v="631"/>
    <x v="0"/>
    <s v="1LDK"/>
    <n v="180000"/>
    <n v="0"/>
    <n v="0"/>
    <n v="0"/>
    <n v="180000"/>
    <n v="180000"/>
    <n v="0"/>
    <n v="180000"/>
    <n v="180000"/>
    <s v="住居法人契約"/>
    <x v="0"/>
    <s v=""/>
    <m/>
    <s v="106_602"/>
    <n v="165000"/>
    <m/>
    <n v="1"/>
    <n v="180000"/>
    <n v="0"/>
    <n v="15000"/>
    <n v="1"/>
    <x v="0"/>
  </r>
  <r>
    <n v="140"/>
    <n v="106"/>
    <s v="東池袋ハイツ"/>
    <s v="603"/>
    <n v="17.600000000000001"/>
    <n v="631"/>
    <x v="0"/>
    <s v="1K"/>
    <n v="68000"/>
    <n v="3000"/>
    <n v="0"/>
    <n v="0"/>
    <n v="71000"/>
    <n v="78000"/>
    <n v="0"/>
    <n v="78000"/>
    <n v="71000"/>
    <s v="中華系"/>
    <x v="0"/>
    <s v=""/>
    <m/>
    <s v="106_603"/>
    <n v="75000"/>
    <m/>
    <n v="1"/>
    <n v="71000"/>
    <n v="7000"/>
    <n v="-4000"/>
    <n v="1"/>
    <x v="0"/>
  </r>
  <r>
    <n v="141"/>
    <n v="106"/>
    <s v="東池袋ハイツ"/>
    <s v="RF1"/>
    <n v="0"/>
    <n v="635"/>
    <x v="2"/>
    <s v="その他"/>
    <n v="12000"/>
    <n v="0"/>
    <n v="0"/>
    <n v="1200"/>
    <n v="13200"/>
    <n v="12000"/>
    <n v="1199.9999999999998"/>
    <n v="13200"/>
    <n v="13200"/>
    <s v="-"/>
    <x v="0"/>
    <s v=""/>
    <m/>
    <s v="106_RF1"/>
    <n v="0"/>
    <m/>
    <n v="1"/>
    <n v="12000"/>
    <n v="0"/>
    <n v="12000"/>
    <n v="1"/>
    <x v="0"/>
  </r>
  <r>
    <n v="142"/>
    <n v="106"/>
    <s v="東池袋ハイツ"/>
    <s v="NTF1"/>
    <s v="-"/>
    <n v="639"/>
    <x v="3"/>
    <s v="その他"/>
    <n v="0"/>
    <n v="0"/>
    <n v="0"/>
    <n v="0"/>
    <n v="0"/>
    <n v="0"/>
    <n v="0"/>
    <n v="0"/>
    <n v="0"/>
    <s v="-"/>
    <x v="1"/>
    <s v="フレッツ光"/>
    <m/>
    <s v="106_NTF1"/>
    <n v="0"/>
    <m/>
    <n v="0"/>
    <n v="0"/>
    <n v="0"/>
    <n v="0"/>
    <n v="0"/>
    <x v="0"/>
  </r>
  <r>
    <n v="143"/>
    <n v="107"/>
    <s v="メゾン雑司ヶ谷"/>
    <s v="201"/>
    <n v="16.87"/>
    <n v="631"/>
    <x v="0"/>
    <s v="1R"/>
    <n v="52000"/>
    <n v="3000"/>
    <n v="0"/>
    <n v="0"/>
    <n v="55000"/>
    <n v="61000"/>
    <n v="0"/>
    <n v="61000"/>
    <n v="55000"/>
    <s v="日本人等"/>
    <x v="0"/>
    <s v=""/>
    <m/>
    <s v="107_201"/>
    <n v="61000"/>
    <m/>
    <n v="1"/>
    <n v="55000"/>
    <n v="6000"/>
    <n v="-6000"/>
    <n v="1"/>
    <x v="0"/>
  </r>
  <r>
    <n v="144"/>
    <n v="107"/>
    <s v="メゾン雑司ヶ谷"/>
    <s v="202"/>
    <n v="16.87"/>
    <n v="631"/>
    <x v="0"/>
    <s v="1R"/>
    <n v="56000"/>
    <n v="3000"/>
    <n v="0"/>
    <n v="0"/>
    <n v="59000"/>
    <n v="59000"/>
    <n v="0"/>
    <n v="59000"/>
    <n v="59000"/>
    <s v="日本人等"/>
    <x v="0"/>
    <s v=""/>
    <m/>
    <s v="107_202"/>
    <n v="59000"/>
    <m/>
    <n v="1"/>
    <n v="59000"/>
    <n v="0"/>
    <n v="0"/>
    <n v="1"/>
    <x v="0"/>
  </r>
  <r>
    <n v="145"/>
    <n v="107"/>
    <s v="メゾン雑司ヶ谷"/>
    <s v="203"/>
    <n v="19.54"/>
    <n v="631"/>
    <x v="0"/>
    <s v="1R"/>
    <n v="57000"/>
    <n v="3000"/>
    <n v="0"/>
    <n v="0"/>
    <n v="60000"/>
    <n v="60000"/>
    <n v="0"/>
    <n v="60000"/>
    <n v="60000"/>
    <s v="日本人等"/>
    <x v="0"/>
    <s v=""/>
    <m/>
    <s v="107_203"/>
    <n v="59000"/>
    <m/>
    <n v="1"/>
    <n v="60000"/>
    <n v="0"/>
    <n v="1000"/>
    <n v="1"/>
    <x v="0"/>
  </r>
  <r>
    <n v="146"/>
    <n v="107"/>
    <s v="メゾン雑司ヶ谷"/>
    <s v="205"/>
    <n v="19.54"/>
    <n v="631"/>
    <x v="0"/>
    <s v="1R"/>
    <n v="61000"/>
    <n v="3000"/>
    <n v="0"/>
    <n v="0"/>
    <n v="64000"/>
    <n v="64000"/>
    <n v="0"/>
    <n v="64000"/>
    <n v="64000"/>
    <s v="日本人等"/>
    <x v="0"/>
    <s v=""/>
    <m/>
    <s v="107_205"/>
    <n v="64000"/>
    <m/>
    <n v="1"/>
    <n v="64000"/>
    <n v="0"/>
    <n v="0"/>
    <n v="1"/>
    <x v="0"/>
  </r>
  <r>
    <n v="147"/>
    <n v="107"/>
    <s v="メゾン雑司ヶ谷"/>
    <s v="206"/>
    <n v="17.100000000000001"/>
    <n v="631"/>
    <x v="0"/>
    <s v="1R"/>
    <n v="67000"/>
    <n v="0"/>
    <n v="0"/>
    <n v="0"/>
    <n v="67000"/>
    <n v="67000"/>
    <n v="0"/>
    <n v="67000"/>
    <n v="67000"/>
    <s v="日本人等"/>
    <x v="0"/>
    <s v=""/>
    <m/>
    <s v="107_206"/>
    <n v="70000"/>
    <m/>
    <n v="1"/>
    <n v="67000"/>
    <n v="0"/>
    <n v="-3000"/>
    <n v="1"/>
    <x v="0"/>
  </r>
  <r>
    <n v="148"/>
    <n v="107"/>
    <s v="メゾン雑司ヶ谷"/>
    <s v="207"/>
    <n v="17.100000000000001"/>
    <n v="631"/>
    <x v="0"/>
    <s v="1R"/>
    <n v="51000"/>
    <n v="3000"/>
    <n v="0"/>
    <n v="0"/>
    <n v="54000"/>
    <n v="63000"/>
    <n v="0"/>
    <n v="63000"/>
    <n v="54000"/>
    <s v="日本人等"/>
    <x v="0"/>
    <s v=""/>
    <m/>
    <s v="107_207"/>
    <n v="63000"/>
    <m/>
    <n v="1"/>
    <n v="54000"/>
    <n v="9000"/>
    <n v="-9000"/>
    <n v="1"/>
    <x v="0"/>
  </r>
  <r>
    <n v="149"/>
    <n v="107"/>
    <s v="メゾン雑司ヶ谷"/>
    <s v="208"/>
    <n v="16.96"/>
    <n v="631"/>
    <x v="0"/>
    <s v="1R"/>
    <n v="59000"/>
    <n v="2000"/>
    <n v="0"/>
    <n v="0"/>
    <n v="61000"/>
    <n v="61000"/>
    <n v="0"/>
    <n v="61000"/>
    <n v="61000"/>
    <s v="日本人等"/>
    <x v="0"/>
    <s v=""/>
    <m/>
    <s v="107_208"/>
    <n v="59000"/>
    <m/>
    <n v="1"/>
    <n v="61000"/>
    <n v="0"/>
    <n v="2000"/>
    <n v="1"/>
    <x v="0"/>
  </r>
  <r>
    <n v="150"/>
    <n v="107"/>
    <s v="メゾン雑司ヶ谷"/>
    <s v="210"/>
    <n v="19.54"/>
    <n v="631"/>
    <x v="0"/>
    <s v="1R"/>
    <n v="59000"/>
    <n v="3000"/>
    <n v="0"/>
    <n v="0"/>
    <n v="62000"/>
    <n v="62000"/>
    <n v="0"/>
    <n v="62000"/>
    <n v="62000"/>
    <s v="欧米先進国"/>
    <x v="0"/>
    <s v=""/>
    <m/>
    <s v="107_210"/>
    <n v="65000"/>
    <m/>
    <n v="1"/>
    <n v="62000"/>
    <n v="0"/>
    <n v="-3000"/>
    <n v="1"/>
    <x v="0"/>
  </r>
  <r>
    <n v="151"/>
    <n v="107"/>
    <s v="メゾン雑司ヶ谷"/>
    <s v="211"/>
    <n v="18.47"/>
    <n v="631"/>
    <x v="0"/>
    <s v="1R"/>
    <n v="60000"/>
    <n v="5000"/>
    <n v="0"/>
    <n v="0"/>
    <n v="65000"/>
    <n v="65000"/>
    <n v="0"/>
    <n v="65000"/>
    <n v="65000"/>
    <s v="日本人等"/>
    <x v="0"/>
    <s v=""/>
    <m/>
    <s v="107_211"/>
    <n v="65000"/>
    <m/>
    <n v="1"/>
    <n v="65000"/>
    <n v="0"/>
    <n v="0"/>
    <n v="1"/>
    <x v="0"/>
  </r>
  <r>
    <n v="152"/>
    <n v="107"/>
    <s v="メゾン雑司ヶ谷"/>
    <s v="212"/>
    <n v="18.47"/>
    <n v="631"/>
    <x v="0"/>
    <s v="1R"/>
    <n v="62000"/>
    <n v="0"/>
    <n v="0"/>
    <n v="0"/>
    <n v="62000"/>
    <n v="62000"/>
    <n v="0"/>
    <n v="62000"/>
    <n v="62000"/>
    <s v="日本人等"/>
    <x v="0"/>
    <s v=""/>
    <m/>
    <s v="107_212"/>
    <n v="65000"/>
    <m/>
    <n v="1"/>
    <n v="62000"/>
    <n v="0"/>
    <n v="-3000"/>
    <n v="1"/>
    <x v="0"/>
  </r>
  <r>
    <n v="153"/>
    <n v="107"/>
    <s v="メゾン雑司ヶ谷"/>
    <s v="213"/>
    <n v="18.47"/>
    <n v="631"/>
    <x v="0"/>
    <s v="1R"/>
    <n v="69000"/>
    <n v="3000"/>
    <n v="0"/>
    <n v="0"/>
    <n v="72000"/>
    <n v="72000"/>
    <n v="0"/>
    <n v="72000"/>
    <n v="72000"/>
    <s v="日本人等"/>
    <x v="0"/>
    <s v=""/>
    <m/>
    <s v="107_213"/>
    <n v="72000"/>
    <m/>
    <n v="1"/>
    <n v="72000"/>
    <n v="0"/>
    <n v="0"/>
    <n v="1"/>
    <x v="0"/>
  </r>
  <r>
    <n v="154"/>
    <n v="107"/>
    <s v="メゾン雑司ヶ谷"/>
    <s v="215"/>
    <n v="18.47"/>
    <n v="631"/>
    <x v="0"/>
    <s v="1R"/>
    <n v="60000"/>
    <n v="3000"/>
    <n v="0"/>
    <n v="0"/>
    <n v="63000"/>
    <n v="63000"/>
    <n v="0"/>
    <n v="63000"/>
    <n v="63000"/>
    <s v="日本人等"/>
    <x v="0"/>
    <s v=""/>
    <m/>
    <s v="107_215"/>
    <n v="65000"/>
    <m/>
    <n v="1"/>
    <n v="63000"/>
    <n v="0"/>
    <n v="-2000"/>
    <n v="1"/>
    <x v="0"/>
  </r>
  <r>
    <n v="155"/>
    <n v="107"/>
    <s v="メゾン雑司ヶ谷"/>
    <s v="301"/>
    <n v="19.54"/>
    <n v="631"/>
    <x v="0"/>
    <s v="1R"/>
    <n v="57000"/>
    <n v="3000"/>
    <n v="0"/>
    <n v="0"/>
    <n v="60000"/>
    <n v="60000"/>
    <n v="0"/>
    <n v="60000"/>
    <n v="60000"/>
    <s v="日本人等"/>
    <x v="0"/>
    <s v=""/>
    <m/>
    <s v="107_301"/>
    <n v="60000"/>
    <m/>
    <n v="1"/>
    <n v="60000"/>
    <n v="0"/>
    <n v="0"/>
    <n v="1"/>
    <x v="0"/>
  </r>
  <r>
    <n v="156"/>
    <n v="107"/>
    <s v="メゾン雑司ヶ谷"/>
    <s v="302"/>
    <n v="18.47"/>
    <n v="631"/>
    <x v="0"/>
    <s v="1R"/>
    <n v="58000"/>
    <n v="0"/>
    <n v="0"/>
    <n v="0"/>
    <n v="58000"/>
    <n v="58000"/>
    <n v="0"/>
    <n v="58000"/>
    <n v="58000"/>
    <s v="日本人等"/>
    <x v="0"/>
    <s v=""/>
    <m/>
    <s v="107_302"/>
    <n v="58000"/>
    <m/>
    <n v="1"/>
    <n v="58000"/>
    <n v="0"/>
    <n v="0"/>
    <n v="1"/>
    <x v="0"/>
  </r>
  <r>
    <n v="157"/>
    <n v="107"/>
    <s v="メゾン雑司ヶ谷"/>
    <s v="303"/>
    <n v="27.28"/>
    <n v="631"/>
    <x v="0"/>
    <s v="1DK"/>
    <n v="82000"/>
    <n v="3000"/>
    <n v="0"/>
    <n v="0"/>
    <n v="85000"/>
    <n v="85000"/>
    <n v="0"/>
    <n v="85000"/>
    <n v="85000"/>
    <s v="中華系"/>
    <x v="0"/>
    <s v=""/>
    <m/>
    <s v="107_303"/>
    <n v="88000"/>
    <m/>
    <n v="1"/>
    <n v="85000"/>
    <n v="0"/>
    <n v="-3000"/>
    <n v="1"/>
    <x v="0"/>
  </r>
  <r>
    <n v="158"/>
    <n v="107"/>
    <s v="メゾン雑司ヶ谷"/>
    <s v="305"/>
    <n v="17.47"/>
    <n v="631"/>
    <x v="0"/>
    <s v="1R"/>
    <n v="59000"/>
    <n v="3000"/>
    <n v="0"/>
    <n v="0"/>
    <n v="62000"/>
    <n v="62000"/>
    <n v="0"/>
    <n v="62000"/>
    <n v="62000"/>
    <s v="日本人等"/>
    <x v="0"/>
    <s v=""/>
    <m/>
    <s v="107_305"/>
    <n v="62000"/>
    <m/>
    <n v="1"/>
    <n v="62000"/>
    <n v="0"/>
    <n v="0"/>
    <n v="1"/>
    <x v="0"/>
  </r>
  <r>
    <n v="159"/>
    <n v="107"/>
    <s v="メゾン雑司ヶ谷"/>
    <s v="306"/>
    <n v="16.96"/>
    <n v="631"/>
    <x v="0"/>
    <s v="1R"/>
    <n v="53700"/>
    <n v="5000"/>
    <n v="0"/>
    <n v="0"/>
    <n v="58700"/>
    <n v="58700"/>
    <n v="0"/>
    <n v="58700"/>
    <n v="58700"/>
    <s v="日本人等"/>
    <x v="0"/>
    <s v=""/>
    <m/>
    <s v="107_306"/>
    <n v="59000"/>
    <m/>
    <n v="1"/>
    <n v="58700"/>
    <n v="0"/>
    <n v="-300"/>
    <n v="1"/>
    <x v="0"/>
  </r>
  <r>
    <n v="160"/>
    <n v="107"/>
    <s v="メゾン雑司ヶ谷"/>
    <s v="307"/>
    <n v="18.47"/>
    <n v="631"/>
    <x v="0"/>
    <s v="1R"/>
    <n v="63000"/>
    <n v="3000"/>
    <n v="0"/>
    <n v="0"/>
    <n v="66000"/>
    <n v="66000"/>
    <n v="0"/>
    <n v="66000"/>
    <n v="66000"/>
    <s v="日本人等"/>
    <x v="0"/>
    <s v=""/>
    <m/>
    <s v="107_307"/>
    <n v="66000"/>
    <m/>
    <n v="1"/>
    <n v="66000"/>
    <n v="0"/>
    <n v="0"/>
    <n v="1"/>
    <x v="0"/>
  </r>
  <r>
    <n v="161"/>
    <n v="107"/>
    <s v="メゾン雑司ヶ谷"/>
    <s v="308"/>
    <n v="18.47"/>
    <n v="631"/>
    <x v="0"/>
    <s v="1R"/>
    <n v="59000"/>
    <n v="3000"/>
    <n v="0"/>
    <n v="0"/>
    <n v="62000"/>
    <n v="62000"/>
    <n v="0"/>
    <n v="62000"/>
    <n v="62000"/>
    <s v="日本人等"/>
    <x v="0"/>
    <s v=""/>
    <m/>
    <s v="107_308"/>
    <n v="60000"/>
    <m/>
    <n v="1"/>
    <n v="62000"/>
    <n v="0"/>
    <n v="2000"/>
    <n v="1"/>
    <x v="0"/>
  </r>
  <r>
    <n v="162"/>
    <n v="107"/>
    <s v="メゾン雑司ヶ谷"/>
    <s v="310"/>
    <n v="19.54"/>
    <n v="631"/>
    <x v="0"/>
    <s v="1R"/>
    <n v="59000"/>
    <n v="2000"/>
    <n v="0"/>
    <n v="0"/>
    <n v="61000"/>
    <n v="61000"/>
    <n v="0"/>
    <n v="61000"/>
    <n v="61000"/>
    <s v="日本人等"/>
    <x v="0"/>
    <s v=""/>
    <m/>
    <s v="107_310"/>
    <n v="62000"/>
    <m/>
    <n v="1"/>
    <n v="61000"/>
    <n v="0"/>
    <n v="-1000"/>
    <n v="1"/>
    <x v="0"/>
  </r>
  <r>
    <n v="163"/>
    <n v="107"/>
    <s v="メゾン雑司ヶ谷"/>
    <s v="311"/>
    <n v="18.47"/>
    <n v="631"/>
    <x v="0"/>
    <s v="1R"/>
    <n v="60000"/>
    <n v="3000"/>
    <n v="0"/>
    <n v="0"/>
    <n v="63000"/>
    <n v="61000"/>
    <n v="0"/>
    <n v="61000"/>
    <n v="63000"/>
    <s v="新興国系"/>
    <x v="0"/>
    <s v=""/>
    <m/>
    <s v="107_311"/>
    <n v="63000"/>
    <m/>
    <n v="1"/>
    <n v="63000"/>
    <n v="-2000"/>
    <n v="0"/>
    <n v="1"/>
    <x v="0"/>
  </r>
  <r>
    <n v="164"/>
    <n v="107"/>
    <s v="メゾン雑司ヶ谷"/>
    <s v="312"/>
    <n v="16.2"/>
    <n v="631"/>
    <x v="0"/>
    <s v="1R"/>
    <n v="59000"/>
    <n v="0"/>
    <n v="0"/>
    <n v="0"/>
    <n v="59000"/>
    <n v="59000"/>
    <n v="0"/>
    <n v="59000"/>
    <n v="59000"/>
    <s v="日本人等"/>
    <x v="0"/>
    <s v=""/>
    <m/>
    <s v="107_312"/>
    <n v="59000"/>
    <m/>
    <n v="1"/>
    <n v="59000"/>
    <n v="0"/>
    <n v="0"/>
    <n v="1"/>
    <x v="0"/>
  </r>
  <r>
    <n v="165"/>
    <n v="107"/>
    <s v="メゾン雑司ヶ谷"/>
    <s v="1F"/>
    <n v="430"/>
    <n v="633"/>
    <x v="5"/>
    <s v="店舗"/>
    <n v="1000000"/>
    <n v="0"/>
    <n v="0"/>
    <n v="100000"/>
    <n v="1100000"/>
    <n v="1000000"/>
    <n v="100000"/>
    <n v="1100000"/>
    <n v="1100000"/>
    <s v="法人契約"/>
    <x v="0"/>
    <s v=""/>
    <m/>
    <s v="107_1F"/>
    <n v="1000000"/>
    <m/>
    <n v="1"/>
    <n v="1000000"/>
    <n v="0"/>
    <n v="0"/>
    <n v="1"/>
    <x v="0"/>
  </r>
  <r>
    <n v="166"/>
    <n v="107"/>
    <s v="メゾン雑司ヶ谷"/>
    <s v="NTD1"/>
    <s v="-"/>
    <n v="639"/>
    <x v="3"/>
    <s v="その他"/>
    <n v="0"/>
    <n v="0"/>
    <n v="0"/>
    <n v="0"/>
    <n v="0"/>
    <n v="0"/>
    <n v="0"/>
    <n v="0"/>
    <n v="0"/>
    <s v="-"/>
    <x v="1"/>
    <s v="電柱"/>
    <m/>
    <s v="107_NTD1"/>
    <n v="0"/>
    <m/>
    <n v="0"/>
    <n v="0"/>
    <n v="0"/>
    <n v="0"/>
    <n v="0"/>
    <x v="0"/>
  </r>
  <r>
    <n v="167"/>
    <n v="109"/>
    <s v="カーサ南池袋"/>
    <s v="101"/>
    <n v="21.5"/>
    <n v="631"/>
    <x v="0"/>
    <s v="1K"/>
    <n v="50000"/>
    <n v="0"/>
    <n v="0"/>
    <n v="0"/>
    <n v="50000"/>
    <n v="50000"/>
    <n v="0"/>
    <n v="50000"/>
    <n v="50000"/>
    <s v="日本人等"/>
    <x v="0"/>
    <s v=""/>
    <m/>
    <s v="109_101"/>
    <n v="20000"/>
    <m/>
    <n v="1"/>
    <n v="50000"/>
    <n v="0"/>
    <n v="30000"/>
    <n v="1"/>
    <x v="0"/>
  </r>
  <r>
    <n v="168"/>
    <n v="109"/>
    <s v="カーサ南池袋"/>
    <s v="102"/>
    <n v="21.87"/>
    <n v="631"/>
    <x v="0"/>
    <s v="1DK"/>
    <n v="68000"/>
    <n v="0"/>
    <n v="0"/>
    <n v="0"/>
    <n v="68000"/>
    <n v="68000"/>
    <n v="0"/>
    <n v="68000"/>
    <n v="68000"/>
    <s v="日本人等"/>
    <x v="0"/>
    <s v=""/>
    <m/>
    <s v="109_102"/>
    <n v="68000"/>
    <m/>
    <n v="1"/>
    <n v="68000"/>
    <n v="0"/>
    <n v="0"/>
    <n v="1"/>
    <x v="0"/>
  </r>
  <r>
    <n v="169"/>
    <n v="109"/>
    <s v="カーサ南池袋"/>
    <s v="103"/>
    <n v="17.43"/>
    <n v="631"/>
    <x v="0"/>
    <s v="1R"/>
    <n v="62000"/>
    <n v="3000"/>
    <n v="0"/>
    <n v="0"/>
    <n v="65000"/>
    <n v="65000"/>
    <n v="0"/>
    <n v="65000"/>
    <n v="65000"/>
    <s v="新興国系"/>
    <x v="0"/>
    <s v=""/>
    <m/>
    <s v="109_103"/>
    <n v="60000"/>
    <m/>
    <n v="1"/>
    <n v="65000"/>
    <n v="0"/>
    <n v="5000"/>
    <n v="1"/>
    <x v="0"/>
  </r>
  <r>
    <n v="170"/>
    <n v="109"/>
    <s v="カーサ南池袋"/>
    <s v="105"/>
    <n v="21.77"/>
    <n v="631"/>
    <x v="0"/>
    <s v="1K"/>
    <n v="67000"/>
    <n v="3000"/>
    <n v="0"/>
    <n v="0"/>
    <n v="70000"/>
    <n v="78000"/>
    <n v="0"/>
    <n v="78000"/>
    <n v="70000"/>
    <s v="日本人等"/>
    <x v="0"/>
    <s v=""/>
    <m/>
    <s v="109_105"/>
    <n v="82000"/>
    <m/>
    <n v="1"/>
    <n v="70000"/>
    <n v="8000"/>
    <n v="-12000"/>
    <n v="1"/>
    <x v="0"/>
  </r>
  <r>
    <n v="171"/>
    <n v="109"/>
    <s v="カーサ南池袋"/>
    <s v="107"/>
    <n v="25.25"/>
    <n v="631"/>
    <x v="0"/>
    <s v="1DK"/>
    <n v="80000"/>
    <n v="3000"/>
    <n v="0"/>
    <n v="0"/>
    <n v="83000"/>
    <n v="86300"/>
    <n v="0"/>
    <n v="86300"/>
    <n v="83000"/>
    <s v="日本人等"/>
    <x v="0"/>
    <s v=""/>
    <m/>
    <s v="109_107"/>
    <n v="86000"/>
    <m/>
    <n v="1"/>
    <n v="83000"/>
    <n v="3300"/>
    <n v="-3000"/>
    <n v="1"/>
    <x v="0"/>
  </r>
  <r>
    <n v="172"/>
    <n v="109"/>
    <s v="カーサ南池袋"/>
    <s v="108"/>
    <n v="34"/>
    <n v="631"/>
    <x v="0"/>
    <s v="1DK"/>
    <n v="101000"/>
    <n v="5000"/>
    <n v="0"/>
    <n v="0"/>
    <n v="106000"/>
    <n v="95000"/>
    <n v="0"/>
    <n v="95000"/>
    <n v="106000"/>
    <s v="日本人等"/>
    <x v="0"/>
    <s v=""/>
    <m/>
    <s v="109_108"/>
    <n v="95000"/>
    <m/>
    <n v="1"/>
    <n v="106000"/>
    <n v="-11000"/>
    <n v="11000"/>
    <n v="1"/>
    <x v="0"/>
  </r>
  <r>
    <n v="173"/>
    <n v="109"/>
    <s v="カーサ南池袋"/>
    <s v="111"/>
    <n v="62.64"/>
    <n v="631"/>
    <x v="0"/>
    <s v="3LDK"/>
    <n v="145000"/>
    <n v="0"/>
    <n v="0"/>
    <n v="0"/>
    <n v="145000"/>
    <n v="145000"/>
    <n v="0"/>
    <n v="145000"/>
    <n v="145000"/>
    <s v="日本人等"/>
    <x v="0"/>
    <s v=""/>
    <m/>
    <s v="109_111"/>
    <n v="145000"/>
    <m/>
    <n v="1"/>
    <n v="145000"/>
    <n v="0"/>
    <n v="0"/>
    <n v="1"/>
    <x v="0"/>
  </r>
  <r>
    <n v="174"/>
    <n v="109"/>
    <s v="カーサ南池袋"/>
    <s v="112"/>
    <n v="62.64"/>
    <n v="631"/>
    <x v="0"/>
    <s v="3LDK"/>
    <n v="160000"/>
    <n v="5000"/>
    <n v="0"/>
    <n v="0"/>
    <n v="165000"/>
    <n v="165000"/>
    <n v="0"/>
    <n v="165000"/>
    <n v="165000"/>
    <s v="中華系"/>
    <x v="0"/>
    <s v=""/>
    <m/>
    <s v="109_112"/>
    <n v="150000"/>
    <m/>
    <n v="1"/>
    <n v="165000"/>
    <n v="0"/>
    <n v="15000"/>
    <n v="1"/>
    <x v="0"/>
  </r>
  <r>
    <n v="175"/>
    <n v="109"/>
    <s v="カーサ南池袋"/>
    <s v="221"/>
    <n v="62.64"/>
    <n v="631"/>
    <x v="0"/>
    <s v="3LDK"/>
    <n v="150000"/>
    <n v="0"/>
    <n v="0"/>
    <n v="0"/>
    <n v="150000"/>
    <n v="150000"/>
    <n v="0"/>
    <n v="150000"/>
    <n v="150000"/>
    <s v="住居法人契約"/>
    <x v="0"/>
    <s v=""/>
    <m/>
    <s v="109_221"/>
    <n v="150000"/>
    <m/>
    <n v="1"/>
    <n v="150000"/>
    <n v="0"/>
    <n v="0"/>
    <n v="1"/>
    <x v="0"/>
  </r>
  <r>
    <n v="176"/>
    <n v="109"/>
    <s v="カーサ南池袋"/>
    <s v="222"/>
    <n v="62.64"/>
    <n v="631"/>
    <x v="0"/>
    <s v="3LDK"/>
    <n v="175000"/>
    <n v="5000"/>
    <n v="0"/>
    <n v="0"/>
    <n v="180000"/>
    <n v="180000"/>
    <n v="0"/>
    <n v="180000"/>
    <n v="180000"/>
    <s v="日本人等"/>
    <x v="0"/>
    <s v=""/>
    <m/>
    <s v="109_222"/>
    <n v="155000"/>
    <m/>
    <n v="1"/>
    <n v="180000"/>
    <n v="0"/>
    <n v="25000"/>
    <n v="1"/>
    <x v="0"/>
  </r>
  <r>
    <n v="177"/>
    <n v="109"/>
    <s v="カーサ南池袋"/>
    <s v="331"/>
    <n v="62.64"/>
    <n v="631"/>
    <x v="0"/>
    <s v="3LDK"/>
    <n v="150000"/>
    <n v="0"/>
    <n v="0"/>
    <n v="0"/>
    <n v="150000"/>
    <n v="150000"/>
    <n v="0"/>
    <n v="150000"/>
    <n v="150000"/>
    <s v="日本人等"/>
    <x v="0"/>
    <s v=""/>
    <m/>
    <s v="109_331"/>
    <n v="150000"/>
    <m/>
    <n v="1"/>
    <n v="150000"/>
    <n v="0"/>
    <n v="0"/>
    <n v="1"/>
    <x v="0"/>
  </r>
  <r>
    <n v="178"/>
    <n v="109"/>
    <s v="カーサ南池袋"/>
    <s v="332"/>
    <n v="62.64"/>
    <n v="631"/>
    <x v="0"/>
    <s v="3LDK"/>
    <n v="180000"/>
    <n v="5000"/>
    <n v="0"/>
    <n v="0"/>
    <n v="185000"/>
    <n v="180000"/>
    <n v="0"/>
    <n v="180000"/>
    <n v="185000"/>
    <s v="日本人等"/>
    <x v="0"/>
    <s v=""/>
    <m/>
    <s v="109_332"/>
    <n v="150000"/>
    <m/>
    <n v="1"/>
    <n v="185000"/>
    <n v="-5000"/>
    <n v="35000"/>
    <n v="1"/>
    <x v="0"/>
  </r>
  <r>
    <n v="179"/>
    <n v="109"/>
    <s v="カーサ南池袋"/>
    <s v="P1"/>
    <n v="0"/>
    <n v="634"/>
    <x v="4"/>
    <s v="駐車場"/>
    <n v="24545"/>
    <n v="0"/>
    <n v="0"/>
    <n v="2455"/>
    <n v="27000"/>
    <n v="24545"/>
    <n v="2454.5454545454545"/>
    <n v="26999.545454545456"/>
    <n v="27000"/>
    <s v="法人契約"/>
    <x v="0"/>
    <s v=""/>
    <m/>
    <s v="109_P1"/>
    <n v="25000"/>
    <m/>
    <n v="1"/>
    <n v="24545"/>
    <n v="0"/>
    <n v="-455"/>
    <n v="1"/>
    <x v="0"/>
  </r>
  <r>
    <n v="180"/>
    <n v="109"/>
    <s v="カーサ南池袋"/>
    <s v="RF1"/>
    <n v="0"/>
    <n v="635"/>
    <x v="2"/>
    <s v="その他"/>
    <n v="53467"/>
    <n v="0"/>
    <n v="0"/>
    <n v="5346"/>
    <n v="58813"/>
    <n v="53466"/>
    <n v="5346.636363636364"/>
    <n v="58812.636363636368"/>
    <n v="58813"/>
    <s v="-"/>
    <x v="0"/>
    <s v="ソフトバンクモバイル"/>
    <m/>
    <s v="109_RF1"/>
    <n v="53467"/>
    <m/>
    <n v="1"/>
    <n v="53467"/>
    <n v="-1"/>
    <n v="0"/>
    <n v="1"/>
    <x v="0"/>
  </r>
  <r>
    <n v="181"/>
    <n v="109"/>
    <s v="カーサ南池袋"/>
    <s v="RF2"/>
    <n v="0"/>
    <n v="635"/>
    <x v="2"/>
    <s v="その他"/>
    <n v="12817"/>
    <n v="0"/>
    <n v="0"/>
    <n v="1281"/>
    <n v="14098"/>
    <n v="12816"/>
    <n v="1281.6363636363637"/>
    <n v="14097.636363636364"/>
    <n v="14098"/>
    <s v="-"/>
    <x v="0"/>
    <s v="ドコモ"/>
    <m/>
    <s v="109_RF2"/>
    <n v="12817"/>
    <m/>
    <n v="1"/>
    <n v="12817"/>
    <n v="-1"/>
    <n v="0"/>
    <n v="1"/>
    <x v="0"/>
  </r>
  <r>
    <n v="182"/>
    <n v="109"/>
    <s v="カーサ南池袋"/>
    <s v="NTF1"/>
    <s v="-"/>
    <n v="639"/>
    <x v="3"/>
    <s v="その他"/>
    <n v="0"/>
    <n v="0"/>
    <n v="0"/>
    <n v="0"/>
    <n v="0"/>
    <n v="0"/>
    <n v="0"/>
    <n v="0"/>
    <n v="0"/>
    <s v="-"/>
    <x v="1"/>
    <s v="フレッツ光"/>
    <m/>
    <s v="109_NTF1"/>
    <n v="0"/>
    <m/>
    <n v="0"/>
    <n v="0"/>
    <n v="0"/>
    <n v="0"/>
    <n v="0"/>
    <x v="0"/>
  </r>
  <r>
    <n v="183"/>
    <n v="109"/>
    <s v="カーサ南池袋"/>
    <s v="100"/>
    <n v="0"/>
    <n v="636"/>
    <x v="6"/>
    <s v="倉庫"/>
    <n v="16000"/>
    <n v="0"/>
    <n v="0"/>
    <n v="1600"/>
    <n v="17600"/>
    <n v="16000"/>
    <n v="1600"/>
    <n v="17600"/>
    <n v="17600"/>
    <s v="日本人等"/>
    <x v="0"/>
    <s v=""/>
    <m/>
    <s v="109_100"/>
    <n v="0"/>
    <m/>
    <n v="1"/>
    <n v="16000"/>
    <n v="0"/>
    <n v="16000"/>
    <n v="1"/>
    <x v="0"/>
  </r>
  <r>
    <n v="184"/>
    <n v="111"/>
    <s v="目白カーサ二番館"/>
    <s v="SL1"/>
    <s v="-"/>
    <n v="631"/>
    <x v="0"/>
    <s v="1K"/>
    <n v="1758634"/>
    <n v="0"/>
    <n v="0"/>
    <n v="0"/>
    <n v="1758634"/>
    <n v="1752707"/>
    <n v="0"/>
    <n v="1752707"/>
    <n v="1758634"/>
    <s v="一括貸し"/>
    <x v="0"/>
    <s v="公益団体に一括貸し"/>
    <m/>
    <s v="111_SL1"/>
    <n v="1752707"/>
    <m/>
    <n v="1"/>
    <n v="1758634"/>
    <n v="-5927"/>
    <n v="5927"/>
    <n v="0"/>
    <x v="0"/>
  </r>
  <r>
    <n v="185"/>
    <n v="111"/>
    <s v="目白カーサ二番館"/>
    <s v="201"/>
    <n v="45.527000000000001"/>
    <n v="631"/>
    <x v="0"/>
    <s v="2DK"/>
    <s v="-"/>
    <s v="-"/>
    <s v="-"/>
    <s v="-"/>
    <n v="0"/>
    <n v="91000"/>
    <n v="0"/>
    <n v="91000"/>
    <n v="91000"/>
    <s v="-"/>
    <x v="0"/>
    <s v="普通借家想定91000円"/>
    <m/>
    <s v="111_201"/>
    <n v="0"/>
    <m/>
    <n v="0"/>
    <n v="91000"/>
    <n v="0"/>
    <n v="91000"/>
    <n v="1"/>
    <x v="1"/>
  </r>
  <r>
    <n v="186"/>
    <n v="111"/>
    <s v="目白カーサ二番館"/>
    <s v="202"/>
    <n v="45.527000000000001"/>
    <n v="631"/>
    <x v="0"/>
    <s v="2DK"/>
    <s v="-"/>
    <s v="-"/>
    <s v="-"/>
    <s v="-"/>
    <n v="0"/>
    <n v="91000"/>
    <n v="0"/>
    <n v="91000"/>
    <n v="91000"/>
    <s v="-"/>
    <x v="0"/>
    <s v="普通借家想定91000円"/>
    <m/>
    <s v="111_202"/>
    <n v="0"/>
    <m/>
    <n v="0"/>
    <n v="91000"/>
    <n v="0"/>
    <n v="91000"/>
    <n v="1"/>
    <x v="1"/>
  </r>
  <r>
    <n v="187"/>
    <n v="111"/>
    <s v="目白カーサ二番館"/>
    <s v="203"/>
    <n v="45.527000000000001"/>
    <n v="631"/>
    <x v="0"/>
    <s v="2DK"/>
    <s v="-"/>
    <s v="-"/>
    <s v="-"/>
    <s v="-"/>
    <n v="0"/>
    <n v="91000"/>
    <n v="0"/>
    <n v="91000"/>
    <n v="91000"/>
    <s v="-"/>
    <x v="0"/>
    <s v="普通借家想定91000円"/>
    <m/>
    <s v="111_203"/>
    <n v="0"/>
    <m/>
    <n v="0"/>
    <n v="91000"/>
    <n v="0"/>
    <n v="91000"/>
    <n v="1"/>
    <x v="1"/>
  </r>
  <r>
    <n v="188"/>
    <n v="111"/>
    <s v="目白カーサ二番館"/>
    <s v="205"/>
    <n v="23.193000000000001"/>
    <n v="631"/>
    <x v="0"/>
    <s v="1DK"/>
    <s v="-"/>
    <s v="-"/>
    <s v="-"/>
    <s v="-"/>
    <n v="0"/>
    <n v="91000"/>
    <n v="0"/>
    <n v="91000"/>
    <n v="91000"/>
    <s v="-"/>
    <x v="0"/>
    <s v="普通借家想定91000円"/>
    <m/>
    <s v="111_205"/>
    <n v="0"/>
    <m/>
    <n v="0"/>
    <n v="91000"/>
    <n v="0"/>
    <n v="91000"/>
    <n v="1"/>
    <x v="1"/>
  </r>
  <r>
    <n v="189"/>
    <n v="111"/>
    <s v="目白カーサ二番館"/>
    <s v="301"/>
    <n v="45.527000000000001"/>
    <n v="631"/>
    <x v="0"/>
    <s v="2DK"/>
    <s v="-"/>
    <s v="-"/>
    <s v="-"/>
    <s v="-"/>
    <n v="0"/>
    <n v="91000"/>
    <n v="0"/>
    <n v="91000"/>
    <n v="91000"/>
    <s v="-"/>
    <x v="0"/>
    <s v="普通借家想定91000円"/>
    <m/>
    <s v="111_301"/>
    <n v="0"/>
    <m/>
    <n v="0"/>
    <n v="91000"/>
    <n v="0"/>
    <n v="91000"/>
    <n v="1"/>
    <x v="1"/>
  </r>
  <r>
    <n v="190"/>
    <n v="111"/>
    <s v="目白カーサ二番館"/>
    <s v="302"/>
    <n v="45.527000000000001"/>
    <n v="631"/>
    <x v="0"/>
    <s v="2DK"/>
    <s v="-"/>
    <s v="-"/>
    <s v="-"/>
    <s v="-"/>
    <n v="0"/>
    <n v="91000"/>
    <n v="0"/>
    <n v="91000"/>
    <n v="91000"/>
    <s v="-"/>
    <x v="0"/>
    <s v="普通借家想定91000円"/>
    <m/>
    <s v="111_302"/>
    <n v="0"/>
    <m/>
    <n v="0"/>
    <n v="91000"/>
    <n v="0"/>
    <n v="91000"/>
    <n v="1"/>
    <x v="1"/>
  </r>
  <r>
    <n v="191"/>
    <n v="111"/>
    <s v="目白カーサ二番館"/>
    <s v="303"/>
    <n v="60.988999999999997"/>
    <n v="631"/>
    <x v="0"/>
    <s v="2DK"/>
    <s v="-"/>
    <s v="-"/>
    <s v="-"/>
    <s v="-"/>
    <n v="0"/>
    <n v="91000"/>
    <n v="0"/>
    <n v="91000"/>
    <n v="91000"/>
    <s v="-"/>
    <x v="0"/>
    <s v="普通借家想定91000円"/>
    <m/>
    <s v="111_303"/>
    <n v="0"/>
    <m/>
    <n v="0"/>
    <n v="91000"/>
    <n v="0"/>
    <n v="91000"/>
    <n v="1"/>
    <x v="1"/>
  </r>
  <r>
    <n v="192"/>
    <n v="111"/>
    <s v="目白カーサ二番館"/>
    <s v="401"/>
    <n v="45.527000000000001"/>
    <n v="631"/>
    <x v="0"/>
    <s v="2DK"/>
    <s v="-"/>
    <s v="-"/>
    <s v="-"/>
    <s v="-"/>
    <n v="0"/>
    <n v="91000"/>
    <n v="0"/>
    <n v="91000"/>
    <n v="91000"/>
    <s v="-"/>
    <x v="0"/>
    <s v="普通借家想定91000円"/>
    <m/>
    <s v="111_401"/>
    <n v="0"/>
    <m/>
    <n v="0"/>
    <n v="91000"/>
    <n v="0"/>
    <n v="91000"/>
    <n v="1"/>
    <x v="1"/>
  </r>
  <r>
    <n v="193"/>
    <n v="111"/>
    <s v="目白カーサ二番館"/>
    <s v="402"/>
    <n v="45.527000000000001"/>
    <n v="631"/>
    <x v="0"/>
    <s v="2DK"/>
    <s v="-"/>
    <s v="-"/>
    <s v="-"/>
    <s v="-"/>
    <n v="0"/>
    <n v="91000"/>
    <n v="0"/>
    <n v="91000"/>
    <n v="91000"/>
    <s v="-"/>
    <x v="0"/>
    <s v="普通借家想定91000円"/>
    <m/>
    <s v="111_402"/>
    <n v="0"/>
    <m/>
    <n v="0"/>
    <n v="91000"/>
    <n v="0"/>
    <n v="91000"/>
    <n v="1"/>
    <x v="1"/>
  </r>
  <r>
    <n v="194"/>
    <n v="111"/>
    <s v="目白カーサ二番館"/>
    <s v="403"/>
    <n v="45.527000000000001"/>
    <n v="631"/>
    <x v="0"/>
    <s v="2DK"/>
    <s v="-"/>
    <s v="-"/>
    <s v="-"/>
    <s v="-"/>
    <n v="0"/>
    <n v="91000"/>
    <n v="0"/>
    <n v="91000"/>
    <n v="91000"/>
    <s v="-"/>
    <x v="0"/>
    <s v="普通借家想定91000円"/>
    <m/>
    <s v="111_403"/>
    <n v="0"/>
    <m/>
    <n v="0"/>
    <n v="91000"/>
    <n v="0"/>
    <n v="91000"/>
    <n v="1"/>
    <x v="1"/>
  </r>
  <r>
    <n v="195"/>
    <n v="111"/>
    <s v="目白カーサ二番館"/>
    <s v="PSL1"/>
    <s v="-"/>
    <n v="634"/>
    <x v="4"/>
    <s v="駐車場"/>
    <n v="83400"/>
    <n v="0"/>
    <n v="0"/>
    <n v="8340"/>
    <n v="91740"/>
    <n v="83400"/>
    <n v="8340"/>
    <n v="91740"/>
    <n v="91740"/>
    <s v="一括貸し"/>
    <x v="0"/>
    <s v=""/>
    <m/>
    <s v="111_PSL1"/>
    <n v="90072"/>
    <m/>
    <n v="1"/>
    <n v="83400"/>
    <n v="0"/>
    <n v="-6672"/>
    <n v="0"/>
    <x v="0"/>
  </r>
  <r>
    <n v="196"/>
    <n v="111"/>
    <s v="目白カーサ二番館"/>
    <s v="PSL2"/>
    <s v="-"/>
    <n v="634"/>
    <x v="4"/>
    <s v="駐車場"/>
    <n v="20000"/>
    <n v="0"/>
    <n v="0"/>
    <n v="2000"/>
    <n v="22000"/>
    <n v="20000"/>
    <n v="2000"/>
    <n v="22000"/>
    <n v="22000"/>
    <s v="一括貸し"/>
    <x v="0"/>
    <s v=""/>
    <m/>
    <s v="111_PSL2"/>
    <n v="20571"/>
    <m/>
    <n v="1"/>
    <n v="20000"/>
    <n v="0"/>
    <n v="-571"/>
    <n v="0"/>
    <x v="0"/>
  </r>
  <r>
    <n v="197"/>
    <n v="111"/>
    <s v="目白カーサ二番館"/>
    <s v="P001"/>
    <n v="0"/>
    <n v="634"/>
    <x v="4"/>
    <s v="駐車場"/>
    <s v="-"/>
    <s v="-"/>
    <s v="-"/>
    <s v="-"/>
    <n v="0"/>
    <n v="10000"/>
    <n v="1000"/>
    <n v="11000"/>
    <n v="11000"/>
    <s v="-"/>
    <x v="0"/>
    <s v="自動車駐車場"/>
    <m/>
    <s v="111_P001"/>
    <n v="0"/>
    <m/>
    <n v="0"/>
    <n v="10000"/>
    <n v="0"/>
    <n v="10000"/>
    <n v="1"/>
    <x v="1"/>
  </r>
  <r>
    <n v="198"/>
    <n v="111"/>
    <s v="目白カーサ二番館"/>
    <s v="P002"/>
    <n v="0"/>
    <n v="634"/>
    <x v="4"/>
    <s v="駐車場"/>
    <s v="-"/>
    <s v="-"/>
    <s v="-"/>
    <s v="-"/>
    <n v="0"/>
    <n v="10000"/>
    <n v="1000"/>
    <n v="11000"/>
    <n v="11000"/>
    <s v="-"/>
    <x v="0"/>
    <s v="自動車駐車場"/>
    <m/>
    <s v="111_P002"/>
    <n v="0"/>
    <m/>
    <n v="0"/>
    <n v="10000"/>
    <n v="0"/>
    <n v="10000"/>
    <n v="1"/>
    <x v="1"/>
  </r>
  <r>
    <n v="199"/>
    <n v="111"/>
    <s v="目白カーサ二番館"/>
    <s v="P003"/>
    <n v="0"/>
    <n v="634"/>
    <x v="4"/>
    <s v="駐車場"/>
    <s v="-"/>
    <s v="-"/>
    <s v="-"/>
    <s v="-"/>
    <n v="0"/>
    <n v="10000"/>
    <n v="1000"/>
    <n v="11000"/>
    <n v="11000"/>
    <s v="-"/>
    <x v="0"/>
    <s v="自動車駐車場"/>
    <m/>
    <s v="111_P003"/>
    <n v="0"/>
    <m/>
    <n v="0"/>
    <n v="10000"/>
    <n v="0"/>
    <n v="10000"/>
    <n v="1"/>
    <x v="1"/>
  </r>
  <r>
    <n v="200"/>
    <n v="111"/>
    <s v="目白カーサ二番館"/>
    <s v="P004"/>
    <n v="0"/>
    <n v="634"/>
    <x v="4"/>
    <s v="駐車場"/>
    <s v="-"/>
    <s v="-"/>
    <s v="-"/>
    <s v="-"/>
    <n v="0"/>
    <n v="10000"/>
    <n v="1000"/>
    <n v="11000"/>
    <n v="11000"/>
    <s v="-"/>
    <x v="0"/>
    <s v="自動車駐車場"/>
    <m/>
    <s v="111_P004"/>
    <n v="0"/>
    <m/>
    <n v="0"/>
    <n v="10000"/>
    <n v="0"/>
    <n v="10000"/>
    <n v="1"/>
    <x v="1"/>
  </r>
  <r>
    <n v="201"/>
    <n v="111"/>
    <s v="目白カーサ二番館"/>
    <s v="P005"/>
    <n v="0"/>
    <n v="634"/>
    <x v="4"/>
    <s v="駐車場"/>
    <s v="-"/>
    <s v="-"/>
    <s v="-"/>
    <s v="-"/>
    <n v="0"/>
    <n v="10000"/>
    <n v="1000"/>
    <n v="11000"/>
    <n v="11000"/>
    <s v="-"/>
    <x v="0"/>
    <s v="自動車駐車場"/>
    <m/>
    <s v="111_P005"/>
    <n v="0"/>
    <m/>
    <n v="0"/>
    <n v="10000"/>
    <n v="0"/>
    <n v="10000"/>
    <n v="1"/>
    <x v="1"/>
  </r>
  <r>
    <n v="202"/>
    <n v="111"/>
    <s v="目白カーサ二番館"/>
    <s v="P006"/>
    <n v="0"/>
    <n v="634"/>
    <x v="4"/>
    <s v="駐車場"/>
    <s v="-"/>
    <s v="-"/>
    <s v="-"/>
    <s v="-"/>
    <n v="0"/>
    <n v="10000"/>
    <n v="1000"/>
    <n v="11000"/>
    <n v="11000"/>
    <s v="-"/>
    <x v="0"/>
    <s v="自動車駐車場"/>
    <m/>
    <s v="111_P006"/>
    <n v="0"/>
    <m/>
    <n v="0"/>
    <n v="10000"/>
    <n v="0"/>
    <n v="10000"/>
    <n v="1"/>
    <x v="1"/>
  </r>
  <r>
    <n v="203"/>
    <n v="111"/>
    <s v="目白カーサ二番館"/>
    <s v="B001"/>
    <n v="0"/>
    <n v="634"/>
    <x v="4"/>
    <s v="駐車場"/>
    <s v="-"/>
    <s v="-"/>
    <s v="-"/>
    <s v="-"/>
    <n v="0"/>
    <n v="5000"/>
    <n v="500"/>
    <n v="5500"/>
    <n v="5500"/>
    <s v="-"/>
    <x v="0"/>
    <s v="バイク置き場"/>
    <m/>
    <s v="111_B001"/>
    <n v="0"/>
    <m/>
    <n v="0"/>
    <n v="5000"/>
    <n v="0"/>
    <n v="5000"/>
    <n v="1"/>
    <x v="1"/>
  </r>
  <r>
    <n v="204"/>
    <n v="111"/>
    <s v="目白カーサ二番館"/>
    <s v="B002"/>
    <n v="0"/>
    <n v="634"/>
    <x v="4"/>
    <s v="駐車場"/>
    <s v="-"/>
    <s v="-"/>
    <s v="-"/>
    <s v="-"/>
    <n v="0"/>
    <n v="5000"/>
    <n v="500"/>
    <n v="5500"/>
    <n v="5500"/>
    <s v="-"/>
    <x v="0"/>
    <s v="バイク置き場"/>
    <m/>
    <s v="111_B002"/>
    <n v="0"/>
    <m/>
    <n v="0"/>
    <n v="5000"/>
    <n v="0"/>
    <n v="5000"/>
    <n v="1"/>
    <x v="1"/>
  </r>
  <r>
    <n v="205"/>
    <n v="111"/>
    <s v="目白カーサ二番館"/>
    <s v="B003"/>
    <n v="0"/>
    <n v="634"/>
    <x v="4"/>
    <s v="駐車場"/>
    <s v="-"/>
    <s v="-"/>
    <s v="-"/>
    <s v="-"/>
    <n v="0"/>
    <n v="5000"/>
    <n v="500"/>
    <n v="5500"/>
    <n v="5500"/>
    <s v="-"/>
    <x v="0"/>
    <s v="バイク置き場"/>
    <m/>
    <s v="111_B003"/>
    <n v="0"/>
    <m/>
    <n v="0"/>
    <n v="5000"/>
    <n v="0"/>
    <n v="5000"/>
    <n v="1"/>
    <x v="1"/>
  </r>
  <r>
    <n v="206"/>
    <n v="111"/>
    <s v="目白カーサ二番館"/>
    <s v="B004"/>
    <n v="0"/>
    <n v="634"/>
    <x v="4"/>
    <s v="駐車場"/>
    <s v="-"/>
    <s v="-"/>
    <s v="-"/>
    <s v="-"/>
    <n v="0"/>
    <n v="5000"/>
    <n v="500"/>
    <n v="5500"/>
    <n v="5500"/>
    <s v="-"/>
    <x v="0"/>
    <s v="バイク置き場"/>
    <m/>
    <s v="111_B004"/>
    <n v="0"/>
    <m/>
    <n v="0"/>
    <n v="5000"/>
    <n v="0"/>
    <n v="5000"/>
    <n v="1"/>
    <x v="1"/>
  </r>
  <r>
    <n v="207"/>
    <n v="111"/>
    <s v="目白カーサ二番館"/>
    <s v="B005"/>
    <n v="0"/>
    <n v="634"/>
    <x v="4"/>
    <s v="駐車場"/>
    <s v="-"/>
    <s v="-"/>
    <s v="-"/>
    <s v="-"/>
    <n v="0"/>
    <n v="5000"/>
    <n v="500"/>
    <n v="5500"/>
    <n v="5500"/>
    <s v="-"/>
    <x v="0"/>
    <s v="バイク置き場"/>
    <m/>
    <s v="111_B005"/>
    <n v="0"/>
    <m/>
    <n v="0"/>
    <n v="5000"/>
    <n v="0"/>
    <n v="5000"/>
    <n v="1"/>
    <x v="1"/>
  </r>
  <r>
    <n v="208"/>
    <n v="112"/>
    <s v="豊島目白ビル"/>
    <s v="101"/>
    <n v="491.32"/>
    <n v="632"/>
    <x v="1"/>
    <s v="事務所"/>
    <n v="2300000"/>
    <n v="0"/>
    <n v="0"/>
    <n v="230000"/>
    <n v="2530000"/>
    <n v="2300000"/>
    <n v="230000"/>
    <n v="2530000"/>
    <n v="2530000"/>
    <s v="法人契約"/>
    <x v="0"/>
    <s v=""/>
    <m/>
    <s v="112_101"/>
    <n v="2500000"/>
    <m/>
    <n v="1"/>
    <n v="2300000"/>
    <n v="0"/>
    <n v="-200000"/>
    <n v="1"/>
    <x v="0"/>
  </r>
  <r>
    <n v="209"/>
    <n v="113"/>
    <s v="第3目白ハイツ"/>
    <s v="101"/>
    <n v="54.44"/>
    <n v="631"/>
    <x v="0"/>
    <s v="3DK"/>
    <n v="120000"/>
    <n v="5000"/>
    <n v="0"/>
    <n v="0"/>
    <n v="125000"/>
    <n v="125000"/>
    <n v="0"/>
    <n v="125000"/>
    <n v="125000"/>
    <s v="中華系"/>
    <x v="0"/>
    <s v=""/>
    <m/>
    <s v="113_101"/>
    <n v="117000"/>
    <m/>
    <n v="1"/>
    <n v="125000"/>
    <n v="0"/>
    <n v="8000"/>
    <n v="1"/>
    <x v="0"/>
  </r>
  <r>
    <n v="210"/>
    <n v="113"/>
    <s v="第3目白ハイツ"/>
    <s v="102"/>
    <n v="52.49"/>
    <n v="631"/>
    <x v="0"/>
    <s v="3DK"/>
    <n v="113000"/>
    <n v="5000"/>
    <n v="0"/>
    <n v="0"/>
    <n v="118000"/>
    <n v="118000"/>
    <n v="0"/>
    <n v="118000"/>
    <n v="118000"/>
    <s v="日本人等"/>
    <x v="0"/>
    <s v=""/>
    <m/>
    <s v="113_102"/>
    <n v="118000"/>
    <m/>
    <n v="1"/>
    <n v="118000"/>
    <n v="0"/>
    <n v="0"/>
    <n v="1"/>
    <x v="0"/>
  </r>
  <r>
    <n v="211"/>
    <n v="113"/>
    <s v="第3目白ハイツ"/>
    <s v="103"/>
    <n v="54.44"/>
    <n v="631"/>
    <x v="0"/>
    <s v="3DK"/>
    <n v="110000"/>
    <n v="5000"/>
    <n v="0"/>
    <n v="0"/>
    <n v="115000"/>
    <n v="115000"/>
    <n v="0"/>
    <n v="115000"/>
    <n v="115000"/>
    <s v="日本人等"/>
    <x v="0"/>
    <s v=""/>
    <m/>
    <s v="113_103"/>
    <n v="115000"/>
    <m/>
    <n v="1"/>
    <n v="115000"/>
    <n v="0"/>
    <n v="0"/>
    <n v="1"/>
    <x v="0"/>
  </r>
  <r>
    <n v="212"/>
    <n v="113"/>
    <s v="第3目白ハイツ"/>
    <s v="104"/>
    <n v="52.49"/>
    <n v="631"/>
    <x v="0"/>
    <s v="3DK"/>
    <n v="113000"/>
    <n v="5000"/>
    <n v="0"/>
    <n v="0"/>
    <n v="118000"/>
    <n v="118000"/>
    <n v="0"/>
    <n v="118000"/>
    <n v="118000"/>
    <s v="日本人等"/>
    <x v="0"/>
    <s v=""/>
    <m/>
    <s v="113_104"/>
    <n v="118000"/>
    <m/>
    <n v="1"/>
    <n v="118000"/>
    <n v="0"/>
    <n v="0"/>
    <n v="1"/>
    <x v="0"/>
  </r>
  <r>
    <n v="213"/>
    <n v="113"/>
    <s v="第3目白ハイツ"/>
    <s v="105"/>
    <n v="54.44"/>
    <n v="631"/>
    <x v="0"/>
    <s v="3DK"/>
    <n v="110000"/>
    <n v="5000"/>
    <n v="0"/>
    <n v="0"/>
    <n v="115000"/>
    <n v="115000"/>
    <n v="0"/>
    <n v="115000"/>
    <n v="115000"/>
    <s v="日本人等"/>
    <x v="0"/>
    <s v=""/>
    <m/>
    <s v="113_105"/>
    <n v="115000"/>
    <m/>
    <n v="1"/>
    <n v="115000"/>
    <n v="0"/>
    <n v="0"/>
    <n v="1"/>
    <x v="0"/>
  </r>
  <r>
    <n v="214"/>
    <n v="113"/>
    <s v="第3目白ハイツ"/>
    <s v="106"/>
    <n v="52.49"/>
    <n v="631"/>
    <x v="0"/>
    <s v="3DK"/>
    <n v="120000"/>
    <n v="5000"/>
    <n v="0"/>
    <n v="0"/>
    <n v="125000"/>
    <n v="125000"/>
    <n v="0"/>
    <n v="125000"/>
    <n v="125000"/>
    <s v="中華系"/>
    <x v="0"/>
    <s v=""/>
    <m/>
    <s v="113_106"/>
    <n v="117000"/>
    <m/>
    <n v="1"/>
    <n v="125000"/>
    <n v="0"/>
    <n v="8000"/>
    <n v="1"/>
    <x v="0"/>
  </r>
  <r>
    <n v="215"/>
    <n v="113"/>
    <s v="第3目白ハイツ"/>
    <s v="201"/>
    <n v="54.44"/>
    <n v="631"/>
    <x v="0"/>
    <s v="3DK"/>
    <n v="130000"/>
    <n v="5000"/>
    <n v="0"/>
    <n v="0"/>
    <n v="135000"/>
    <n v="135000"/>
    <n v="0"/>
    <n v="135000"/>
    <n v="135000"/>
    <s v="中華系"/>
    <x v="0"/>
    <s v=""/>
    <m/>
    <s v="113_201"/>
    <n v="120000"/>
    <m/>
    <n v="1"/>
    <n v="135000"/>
    <n v="0"/>
    <n v="15000"/>
    <n v="1"/>
    <x v="0"/>
  </r>
  <r>
    <n v="216"/>
    <n v="113"/>
    <s v="第3目白ハイツ"/>
    <s v="202"/>
    <n v="52.49"/>
    <n v="631"/>
    <x v="0"/>
    <s v="3DK"/>
    <n v="120000"/>
    <n v="5000"/>
    <n v="0"/>
    <n v="0"/>
    <n v="125000"/>
    <n v="125000"/>
    <n v="0"/>
    <n v="125000"/>
    <n v="125000"/>
    <s v="中華系"/>
    <x v="0"/>
    <s v=""/>
    <m/>
    <s v="113_202"/>
    <n v="140000"/>
    <m/>
    <n v="1"/>
    <n v="125000"/>
    <n v="0"/>
    <n v="-15000"/>
    <n v="1"/>
    <x v="0"/>
  </r>
  <r>
    <n v="217"/>
    <n v="113"/>
    <s v="第3目白ハイツ"/>
    <s v="203"/>
    <n v="54.44"/>
    <n v="631"/>
    <x v="0"/>
    <s v="3DK"/>
    <n v="115000"/>
    <n v="5000"/>
    <n v="0"/>
    <n v="0"/>
    <n v="120000"/>
    <n v="120000"/>
    <n v="0"/>
    <n v="120000"/>
    <n v="120000"/>
    <s v="日本人等"/>
    <x v="0"/>
    <s v=""/>
    <m/>
    <s v="113_203"/>
    <n v="116000"/>
    <m/>
    <n v="1"/>
    <n v="120000"/>
    <n v="0"/>
    <n v="4000"/>
    <n v="1"/>
    <x v="0"/>
  </r>
  <r>
    <n v="218"/>
    <n v="113"/>
    <s v="第3目白ハイツ"/>
    <s v="204"/>
    <n v="52.49"/>
    <n v="631"/>
    <x v="0"/>
    <s v="3DK"/>
    <n v="130000"/>
    <n v="5000"/>
    <n v="0"/>
    <n v="0"/>
    <n v="135000"/>
    <n v="119000"/>
    <n v="0"/>
    <n v="119000"/>
    <n v="135000"/>
    <s v="住居法人契約"/>
    <x v="0"/>
    <s v=""/>
    <m/>
    <s v="113_204"/>
    <n v="119000"/>
    <m/>
    <n v="1"/>
    <n v="135000"/>
    <n v="-16000"/>
    <n v="16000"/>
    <n v="1"/>
    <x v="0"/>
  </r>
  <r>
    <n v="219"/>
    <n v="113"/>
    <s v="第3目白ハイツ"/>
    <s v="205"/>
    <n v="54.44"/>
    <n v="631"/>
    <x v="0"/>
    <s v="3DK"/>
    <n v="130000"/>
    <n v="5000"/>
    <n v="0"/>
    <n v="0"/>
    <n v="135000"/>
    <n v="120000"/>
    <n v="0"/>
    <n v="120000"/>
    <n v="135000"/>
    <s v="住居法人契約"/>
    <x v="0"/>
    <s v=""/>
    <m/>
    <s v="113_205"/>
    <n v="120000"/>
    <m/>
    <n v="1"/>
    <n v="135000"/>
    <n v="-15000"/>
    <n v="15000"/>
    <n v="1"/>
    <x v="0"/>
  </r>
  <r>
    <n v="220"/>
    <n v="113"/>
    <s v="第3目白ハイツ"/>
    <s v="206"/>
    <n v="52.49"/>
    <n v="631"/>
    <x v="0"/>
    <s v="3DK"/>
    <n v="130000"/>
    <n v="5000"/>
    <n v="0"/>
    <n v="0"/>
    <n v="135000"/>
    <n v="125000"/>
    <n v="0"/>
    <n v="125000"/>
    <n v="135000"/>
    <s v="住居法人契約"/>
    <x v="0"/>
    <s v=""/>
    <m/>
    <s v="113_206"/>
    <n v="120000"/>
    <m/>
    <n v="1"/>
    <n v="135000"/>
    <n v="-10000"/>
    <n v="15000"/>
    <n v="1"/>
    <x v="0"/>
  </r>
  <r>
    <n v="221"/>
    <n v="113"/>
    <s v="第3目白ハイツ"/>
    <s v="301"/>
    <n v="54.44"/>
    <n v="631"/>
    <x v="0"/>
    <s v="3DK"/>
    <n v="127000"/>
    <n v="5000"/>
    <n v="0"/>
    <n v="0"/>
    <n v="132000"/>
    <n v="137000"/>
    <n v="0"/>
    <n v="137000"/>
    <n v="132000"/>
    <s v="日本人等"/>
    <x v="0"/>
    <s v=""/>
    <m/>
    <s v="113_301"/>
    <n v="120000"/>
    <m/>
    <n v="1"/>
    <n v="132000"/>
    <n v="5000"/>
    <n v="12000"/>
    <n v="1"/>
    <x v="0"/>
  </r>
  <r>
    <n v="222"/>
    <n v="113"/>
    <s v="第3目白ハイツ"/>
    <s v="302"/>
    <n v="52.49"/>
    <n v="631"/>
    <x v="0"/>
    <s v="3DK"/>
    <n v="125000"/>
    <n v="5000"/>
    <n v="0"/>
    <n v="0"/>
    <n v="130000"/>
    <n v="130000"/>
    <n v="0"/>
    <n v="130000"/>
    <n v="130000"/>
    <s v="中華系"/>
    <x v="0"/>
    <s v=""/>
    <m/>
    <s v="113_302"/>
    <n v="125000"/>
    <m/>
    <n v="1"/>
    <n v="130000"/>
    <n v="0"/>
    <n v="5000"/>
    <n v="1"/>
    <x v="0"/>
  </r>
  <r>
    <n v="223"/>
    <n v="113"/>
    <s v="第3目白ハイツ"/>
    <s v="303"/>
    <n v="54.44"/>
    <n v="631"/>
    <x v="0"/>
    <s v="3DK"/>
    <n v="125000"/>
    <n v="5000"/>
    <n v="0"/>
    <n v="0"/>
    <n v="130000"/>
    <n v="125000"/>
    <n v="0"/>
    <n v="125000"/>
    <n v="130000"/>
    <s v="中華系"/>
    <x v="0"/>
    <s v=""/>
    <m/>
    <s v="113_303"/>
    <n v="118000"/>
    <m/>
    <n v="1"/>
    <n v="130000"/>
    <n v="-5000"/>
    <n v="12000"/>
    <n v="1"/>
    <x v="0"/>
  </r>
  <r>
    <n v="224"/>
    <n v="113"/>
    <s v="第3目白ハイツ"/>
    <s v="304"/>
    <n v="52.49"/>
    <n v="631"/>
    <x v="0"/>
    <s v="3DK"/>
    <n v="115000"/>
    <n v="5000"/>
    <n v="0"/>
    <n v="0"/>
    <n v="120000"/>
    <n v="120000"/>
    <n v="0"/>
    <n v="120000"/>
    <n v="120000"/>
    <s v="日本人等"/>
    <x v="0"/>
    <s v=""/>
    <m/>
    <s v="113_304"/>
    <n v="120000"/>
    <m/>
    <n v="1"/>
    <n v="120000"/>
    <n v="0"/>
    <n v="0"/>
    <n v="1"/>
    <x v="0"/>
  </r>
  <r>
    <n v="225"/>
    <n v="113"/>
    <s v="第3目白ハイツ"/>
    <s v="305"/>
    <n v="54.44"/>
    <n v="631"/>
    <x v="0"/>
    <s v="3DK"/>
    <n v="95000"/>
    <n v="0"/>
    <n v="0"/>
    <n v="0"/>
    <n v="95000"/>
    <n v="85000"/>
    <n v="0"/>
    <n v="85000"/>
    <n v="95000"/>
    <s v="日本人等"/>
    <x v="0"/>
    <s v=""/>
    <m/>
    <s v="113_305"/>
    <n v="85000"/>
    <m/>
    <n v="1"/>
    <n v="95000"/>
    <n v="-10000"/>
    <n v="10000"/>
    <n v="1"/>
    <x v="0"/>
  </r>
  <r>
    <n v="226"/>
    <n v="113"/>
    <s v="第3目白ハイツ"/>
    <s v="306"/>
    <n v="52.49"/>
    <n v="631"/>
    <x v="0"/>
    <s v="3DK"/>
    <n v="118000"/>
    <n v="5000"/>
    <n v="0"/>
    <n v="0"/>
    <n v="123000"/>
    <n v="123000"/>
    <n v="0"/>
    <n v="123000"/>
    <n v="123000"/>
    <s v="日本人等"/>
    <x v="0"/>
    <s v=""/>
    <m/>
    <s v="113_306"/>
    <n v="125000"/>
    <m/>
    <n v="1"/>
    <n v="123000"/>
    <n v="0"/>
    <n v="-2000"/>
    <n v="1"/>
    <x v="0"/>
  </r>
  <r>
    <n v="227"/>
    <n v="113"/>
    <s v="第3目白ハイツ"/>
    <s v="401"/>
    <n v="54.44"/>
    <n v="631"/>
    <x v="0"/>
    <s v="3DK"/>
    <n v="115000"/>
    <n v="5000"/>
    <n v="0"/>
    <n v="0"/>
    <n v="120000"/>
    <n v="120000"/>
    <n v="0"/>
    <n v="120000"/>
    <n v="120000"/>
    <s v="中華系"/>
    <x v="0"/>
    <s v=""/>
    <m/>
    <s v="113_401"/>
    <n v="125000"/>
    <m/>
    <n v="1"/>
    <n v="120000"/>
    <n v="0"/>
    <n v="-5000"/>
    <n v="1"/>
    <x v="0"/>
  </r>
  <r>
    <n v="228"/>
    <n v="113"/>
    <s v="第3目白ハイツ"/>
    <s v="402"/>
    <n v="52.49"/>
    <n v="631"/>
    <x v="0"/>
    <s v="3DK"/>
    <n v="121000"/>
    <n v="5000"/>
    <n v="0"/>
    <n v="0"/>
    <n v="126000"/>
    <n v="126000"/>
    <n v="0"/>
    <n v="126000"/>
    <n v="126000"/>
    <s v="日本人等"/>
    <x v="0"/>
    <s v=""/>
    <m/>
    <s v="113_402"/>
    <n v="126000"/>
    <m/>
    <n v="1"/>
    <n v="126000"/>
    <n v="0"/>
    <n v="0"/>
    <n v="1"/>
    <x v="0"/>
  </r>
  <r>
    <n v="229"/>
    <n v="113"/>
    <s v="第3目白ハイツ"/>
    <s v="403"/>
    <n v="54.44"/>
    <n v="631"/>
    <x v="0"/>
    <s v="3DK"/>
    <n v="125000"/>
    <n v="5000"/>
    <n v="0"/>
    <n v="0"/>
    <n v="130000"/>
    <n v="125000"/>
    <n v="0"/>
    <n v="125000"/>
    <n v="130000"/>
    <s v="日本人等"/>
    <x v="0"/>
    <s v=""/>
    <m/>
    <s v="113_403"/>
    <n v="123000"/>
    <m/>
    <n v="1"/>
    <n v="130000"/>
    <n v="-5000"/>
    <n v="7000"/>
    <n v="1"/>
    <x v="0"/>
  </r>
  <r>
    <n v="230"/>
    <n v="113"/>
    <s v="第3目白ハイツ"/>
    <s v="404"/>
    <n v="52.49"/>
    <n v="631"/>
    <x v="0"/>
    <s v="3DK"/>
    <n v="116000"/>
    <n v="5000"/>
    <n v="0"/>
    <n v="0"/>
    <n v="121000"/>
    <n v="121000"/>
    <n v="0"/>
    <n v="121000"/>
    <n v="121000"/>
    <s v="日本人等"/>
    <x v="0"/>
    <s v=""/>
    <m/>
    <s v="113_404"/>
    <n v="121000"/>
    <m/>
    <n v="1"/>
    <n v="121000"/>
    <n v="0"/>
    <n v="0"/>
    <n v="1"/>
    <x v="0"/>
  </r>
  <r>
    <n v="231"/>
    <n v="113"/>
    <s v="第3目白ハイツ"/>
    <s v="405"/>
    <n v="54.44"/>
    <n v="631"/>
    <x v="0"/>
    <s v="3DK"/>
    <n v="120000"/>
    <n v="5000"/>
    <n v="0"/>
    <n v="0"/>
    <n v="125000"/>
    <n v="125000"/>
    <n v="0"/>
    <n v="125000"/>
    <n v="125000"/>
    <s v="中華系"/>
    <x v="0"/>
    <s v=""/>
    <m/>
    <s v="113_405"/>
    <n v="123000"/>
    <m/>
    <n v="1"/>
    <n v="125000"/>
    <n v="0"/>
    <n v="2000"/>
    <n v="1"/>
    <x v="0"/>
  </r>
  <r>
    <n v="232"/>
    <n v="113"/>
    <s v="第3目白ハイツ"/>
    <s v="406"/>
    <n v="52.49"/>
    <n v="631"/>
    <x v="0"/>
    <s v="3DK"/>
    <n v="126000"/>
    <n v="5000"/>
    <n v="0"/>
    <n v="0"/>
    <n v="131000"/>
    <n v="131000"/>
    <n v="0"/>
    <n v="131000"/>
    <n v="131000"/>
    <s v="住居法人契約"/>
    <x v="0"/>
    <s v=""/>
    <m/>
    <s v="113_406"/>
    <n v="131000"/>
    <m/>
    <n v="1"/>
    <n v="131000"/>
    <n v="0"/>
    <n v="0"/>
    <n v="1"/>
    <x v="0"/>
  </r>
  <r>
    <n v="233"/>
    <n v="113"/>
    <s v="第3目白ハイツ"/>
    <s v="P1"/>
    <n v="0"/>
    <n v="634"/>
    <x v="4"/>
    <s v="駐車場"/>
    <n v="20000"/>
    <n v="0"/>
    <n v="0"/>
    <n v="2000"/>
    <n v="22000"/>
    <n v="20000"/>
    <n v="2000"/>
    <n v="22000"/>
    <n v="22000"/>
    <s v="法人契約"/>
    <x v="0"/>
    <s v=""/>
    <m/>
    <s v="113_P1"/>
    <n v="20000"/>
    <m/>
    <n v="1"/>
    <n v="20000"/>
    <n v="0"/>
    <n v="0"/>
    <n v="1"/>
    <x v="0"/>
  </r>
  <r>
    <n v="234"/>
    <n v="113"/>
    <s v="第3目白ハイツ"/>
    <s v="NTF1"/>
    <s v="-"/>
    <n v="639"/>
    <x v="3"/>
    <s v="その他"/>
    <n v="0"/>
    <n v="0"/>
    <n v="0"/>
    <n v="0"/>
    <n v="0"/>
    <n v="0"/>
    <n v="0"/>
    <n v="0"/>
    <n v="0"/>
    <s v="-"/>
    <x v="1"/>
    <s v="フレッツ光"/>
    <m/>
    <s v="113_NTF1"/>
    <n v="0"/>
    <m/>
    <n v="0"/>
    <n v="0"/>
    <n v="0"/>
    <n v="0"/>
    <n v="0"/>
    <x v="0"/>
  </r>
  <r>
    <n v="235"/>
    <n v="114"/>
    <s v="レジデンス目白豊島"/>
    <s v="201"/>
    <n v="32.4"/>
    <n v="631"/>
    <x v="0"/>
    <s v="1LDK"/>
    <n v="83000"/>
    <n v="2000"/>
    <n v="0"/>
    <n v="0"/>
    <n v="85000"/>
    <n v="85000"/>
    <n v="0"/>
    <n v="85000"/>
    <n v="85000"/>
    <s v="日本人等"/>
    <x v="0"/>
    <s v=""/>
    <m/>
    <s v="114_201"/>
    <n v="85000"/>
    <m/>
    <n v="1"/>
    <n v="85000"/>
    <n v="0"/>
    <n v="0"/>
    <n v="1"/>
    <x v="0"/>
  </r>
  <r>
    <n v="236"/>
    <n v="114"/>
    <s v="レジデンス目白豊島"/>
    <s v="202"/>
    <n v="18"/>
    <n v="631"/>
    <x v="0"/>
    <s v="1R"/>
    <n v="58000"/>
    <n v="2000"/>
    <n v="0"/>
    <n v="0"/>
    <n v="60000"/>
    <n v="60000"/>
    <n v="0"/>
    <n v="60000"/>
    <n v="60000"/>
    <s v="中華系"/>
    <x v="0"/>
    <s v=""/>
    <m/>
    <s v="114_202"/>
    <n v="60000"/>
    <m/>
    <n v="1"/>
    <n v="60000"/>
    <n v="0"/>
    <n v="0"/>
    <n v="1"/>
    <x v="0"/>
  </r>
  <r>
    <n v="237"/>
    <n v="114"/>
    <s v="レジデンス目白豊島"/>
    <s v="203"/>
    <n v="18"/>
    <n v="631"/>
    <x v="0"/>
    <s v="1R"/>
    <n v="50000"/>
    <n v="3000"/>
    <n v="0"/>
    <n v="0"/>
    <n v="53000"/>
    <n v="62000"/>
    <n v="0"/>
    <n v="62000"/>
    <n v="53000"/>
    <s v="中華系"/>
    <x v="0"/>
    <s v=""/>
    <m/>
    <s v="114_203"/>
    <n v="60000"/>
    <m/>
    <n v="1"/>
    <n v="53000"/>
    <n v="9000"/>
    <n v="-7000"/>
    <n v="1"/>
    <x v="0"/>
  </r>
  <r>
    <n v="238"/>
    <n v="114"/>
    <s v="レジデンス目白豊島"/>
    <s v="205"/>
    <n v="18.239999999999998"/>
    <n v="631"/>
    <x v="0"/>
    <s v="1R"/>
    <n v="63000"/>
    <n v="2000"/>
    <n v="0"/>
    <n v="0"/>
    <n v="65000"/>
    <n v="65000"/>
    <n v="0"/>
    <n v="65000"/>
    <n v="65000"/>
    <s v="日本人等"/>
    <x v="0"/>
    <s v=""/>
    <m/>
    <s v="114_205"/>
    <n v="65000"/>
    <m/>
    <n v="1"/>
    <n v="65000"/>
    <n v="0"/>
    <n v="0"/>
    <n v="1"/>
    <x v="0"/>
  </r>
  <r>
    <n v="239"/>
    <n v="114"/>
    <s v="レジデンス目白豊島"/>
    <s v="206"/>
    <n v="18"/>
    <n v="631"/>
    <x v="0"/>
    <s v="1R"/>
    <n v="53700"/>
    <n v="6300"/>
    <n v="0"/>
    <n v="0"/>
    <n v="60000"/>
    <n v="62000"/>
    <n v="0"/>
    <n v="62000"/>
    <n v="60000"/>
    <s v="日本人等"/>
    <x v="0"/>
    <s v=""/>
    <m/>
    <s v="114_206"/>
    <n v="62000"/>
    <m/>
    <n v="1"/>
    <n v="60000"/>
    <n v="2000"/>
    <n v="-2000"/>
    <n v="1"/>
    <x v="0"/>
  </r>
  <r>
    <n v="240"/>
    <n v="114"/>
    <s v="レジデンス目白豊島"/>
    <s v="301"/>
    <n v="32.4"/>
    <n v="632"/>
    <x v="1"/>
    <s v="1LDK"/>
    <n v="84000"/>
    <n v="2000"/>
    <n v="0"/>
    <n v="8600"/>
    <n v="94600"/>
    <n v="86000"/>
    <n v="8600"/>
    <n v="94600"/>
    <n v="94600"/>
    <s v="住居法人契約"/>
    <x v="0"/>
    <s v=""/>
    <m/>
    <s v="114_301"/>
    <n v="86000"/>
    <m/>
    <n v="1"/>
    <n v="86000"/>
    <n v="0"/>
    <n v="0"/>
    <n v="1"/>
    <x v="0"/>
  </r>
  <r>
    <n v="241"/>
    <n v="114"/>
    <s v="レジデンス目白豊島"/>
    <s v="302"/>
    <n v="18"/>
    <n v="631"/>
    <x v="0"/>
    <s v="1R"/>
    <n v="58000"/>
    <n v="2000"/>
    <n v="0"/>
    <n v="0"/>
    <n v="60000"/>
    <n v="60000"/>
    <n v="0"/>
    <n v="60000"/>
    <n v="60000"/>
    <s v="日本人等"/>
    <x v="0"/>
    <s v=""/>
    <m/>
    <s v="114_302"/>
    <n v="60000"/>
    <m/>
    <n v="1"/>
    <n v="60000"/>
    <n v="0"/>
    <n v="0"/>
    <n v="1"/>
    <x v="0"/>
  </r>
  <r>
    <n v="242"/>
    <n v="114"/>
    <s v="レジデンス目白豊島"/>
    <s v="303"/>
    <n v="18"/>
    <n v="631"/>
    <x v="0"/>
    <s v="1R"/>
    <n v="62000"/>
    <n v="3000"/>
    <n v="0"/>
    <n v="0"/>
    <n v="65000"/>
    <n v="67000"/>
    <n v="0"/>
    <n v="67000"/>
    <n v="65000"/>
    <s v="中華系"/>
    <x v="0"/>
    <s v=""/>
    <m/>
    <s v="114_303"/>
    <n v="60000"/>
    <m/>
    <n v="1"/>
    <n v="65000"/>
    <n v="2000"/>
    <n v="5000"/>
    <n v="1"/>
    <x v="0"/>
  </r>
  <r>
    <n v="243"/>
    <n v="114"/>
    <s v="レジデンス目白豊島"/>
    <s v="305"/>
    <n v="16.5"/>
    <n v="631"/>
    <x v="0"/>
    <s v="1R"/>
    <n v="60000"/>
    <n v="2000"/>
    <n v="0"/>
    <n v="0"/>
    <n v="62000"/>
    <n v="62000"/>
    <n v="0"/>
    <n v="62000"/>
    <n v="62000"/>
    <s v="日本人等"/>
    <x v="0"/>
    <s v=""/>
    <m/>
    <s v="114_305"/>
    <n v="62000"/>
    <m/>
    <n v="1"/>
    <n v="62000"/>
    <n v="0"/>
    <n v="0"/>
    <n v="1"/>
    <x v="0"/>
  </r>
  <r>
    <n v="244"/>
    <n v="114"/>
    <s v="レジデンス目白豊島"/>
    <s v="306"/>
    <n v="17"/>
    <n v="631"/>
    <x v="0"/>
    <s v="1R"/>
    <n v="65000"/>
    <n v="2000"/>
    <n v="0"/>
    <n v="0"/>
    <n v="67000"/>
    <n v="67000"/>
    <n v="0"/>
    <n v="67000"/>
    <n v="67000"/>
    <s v="中華系"/>
    <x v="0"/>
    <s v=""/>
    <m/>
    <s v="114_306"/>
    <n v="60000"/>
    <m/>
    <n v="1"/>
    <n v="67000"/>
    <n v="0"/>
    <n v="7000"/>
    <n v="1"/>
    <x v="0"/>
  </r>
  <r>
    <n v="245"/>
    <n v="114"/>
    <s v="レジデンス目白豊島"/>
    <s v="401"/>
    <n v="33"/>
    <n v="631"/>
    <x v="0"/>
    <s v="1LDK"/>
    <n v="88000"/>
    <n v="2000"/>
    <n v="0"/>
    <n v="0"/>
    <n v="90000"/>
    <n v="90000"/>
    <n v="0"/>
    <n v="90000"/>
    <n v="90000"/>
    <s v="日本人等"/>
    <x v="0"/>
    <s v=""/>
    <m/>
    <s v="114_401"/>
    <n v="85000"/>
    <m/>
    <n v="1"/>
    <n v="90000"/>
    <n v="0"/>
    <n v="5000"/>
    <n v="1"/>
    <x v="0"/>
  </r>
  <r>
    <n v="246"/>
    <n v="114"/>
    <s v="レジデンス目白豊島"/>
    <s v="402"/>
    <n v="18"/>
    <n v="631"/>
    <x v="0"/>
    <s v="1R"/>
    <n v="67000"/>
    <n v="2000"/>
    <n v="0"/>
    <n v="0"/>
    <n v="69000"/>
    <n v="69000"/>
    <n v="0"/>
    <n v="69000"/>
    <n v="69000"/>
    <s v="中華系"/>
    <x v="0"/>
    <s v=""/>
    <m/>
    <s v="114_402"/>
    <n v="62000"/>
    <m/>
    <n v="1"/>
    <n v="69000"/>
    <n v="0"/>
    <n v="7000"/>
    <n v="1"/>
    <x v="0"/>
  </r>
  <r>
    <n v="247"/>
    <n v="114"/>
    <s v="レジデンス目白豊島"/>
    <s v="403"/>
    <n v="20"/>
    <n v="631"/>
    <x v="0"/>
    <s v="1R"/>
    <n v="65000"/>
    <n v="2000"/>
    <n v="0"/>
    <n v="0"/>
    <n v="67000"/>
    <n v="67000"/>
    <n v="0"/>
    <n v="67000"/>
    <n v="67000"/>
    <s v="日本人等"/>
    <x v="0"/>
    <s v=""/>
    <m/>
    <s v="114_403"/>
    <n v="67000"/>
    <m/>
    <n v="1"/>
    <n v="67000"/>
    <n v="0"/>
    <n v="0"/>
    <n v="1"/>
    <x v="0"/>
  </r>
  <r>
    <n v="248"/>
    <n v="114"/>
    <s v="レジデンス目白豊島"/>
    <s v="405"/>
    <n v="18"/>
    <n v="631"/>
    <x v="0"/>
    <s v="1R"/>
    <n v="62000"/>
    <n v="3000"/>
    <n v="0"/>
    <n v="0"/>
    <n v="65000"/>
    <n v="65000"/>
    <n v="0"/>
    <n v="65000"/>
    <n v="65000"/>
    <s v="中華系"/>
    <x v="0"/>
    <s v=""/>
    <m/>
    <s v="114_405"/>
    <n v="65000"/>
    <m/>
    <n v="1"/>
    <n v="65000"/>
    <n v="0"/>
    <n v="0"/>
    <n v="1"/>
    <x v="0"/>
  </r>
  <r>
    <n v="249"/>
    <n v="114"/>
    <s v="レジデンス目白豊島"/>
    <s v="406"/>
    <n v="16"/>
    <n v="631"/>
    <x v="0"/>
    <s v="1R"/>
    <n v="65000"/>
    <n v="2000"/>
    <n v="0"/>
    <n v="0"/>
    <n v="67000"/>
    <n v="67000"/>
    <n v="0"/>
    <n v="67000"/>
    <n v="67000"/>
    <s v="中華系"/>
    <x v="0"/>
    <s v=""/>
    <m/>
    <s v="114_406"/>
    <n v="60000"/>
    <m/>
    <n v="1"/>
    <n v="67000"/>
    <n v="0"/>
    <n v="7000"/>
    <n v="1"/>
    <x v="0"/>
  </r>
  <r>
    <n v="250"/>
    <n v="114"/>
    <s v="レジデンス目白豊島"/>
    <s v="101"/>
    <n v="122.31"/>
    <n v="636"/>
    <x v="6"/>
    <s v="倉庫"/>
    <n v="240741"/>
    <n v="0"/>
    <n v="0"/>
    <n v="24074"/>
    <n v="264815"/>
    <n v="240740"/>
    <n v="24074.090909090908"/>
    <n v="264814.09090909088"/>
    <n v="264815"/>
    <s v="法人契約"/>
    <x v="0"/>
    <s v=""/>
    <m/>
    <s v="114_101"/>
    <n v="240741"/>
    <m/>
    <n v="1"/>
    <n v="240741"/>
    <n v="-1"/>
    <n v="0"/>
    <n v="1"/>
    <x v="0"/>
  </r>
  <r>
    <n v="251"/>
    <n v="115"/>
    <s v="コアプラス大塚"/>
    <s v="201"/>
    <n v="47.22"/>
    <n v="631"/>
    <x v="0"/>
    <s v="2DK"/>
    <n v="110000"/>
    <n v="5000"/>
    <n v="0"/>
    <n v="0"/>
    <n v="115000"/>
    <n v="115000"/>
    <n v="0"/>
    <n v="115000"/>
    <n v="115000"/>
    <s v="その他新興国"/>
    <x v="0"/>
    <s v=""/>
    <m/>
    <s v="115_201"/>
    <n v="115000"/>
    <m/>
    <n v="1"/>
    <n v="115000"/>
    <n v="0"/>
    <n v="0"/>
    <n v="1"/>
    <x v="0"/>
  </r>
  <r>
    <n v="252"/>
    <n v="115"/>
    <s v="コアプラス大塚"/>
    <s v="202"/>
    <n v="52"/>
    <n v="631"/>
    <x v="0"/>
    <s v="2DK"/>
    <n v="125000"/>
    <n v="5000"/>
    <n v="0"/>
    <n v="0"/>
    <n v="130000"/>
    <n v="123000"/>
    <n v="0"/>
    <n v="123000"/>
    <n v="130000"/>
    <s v="日本人等"/>
    <x v="0"/>
    <s v=""/>
    <m/>
    <s v="115_202"/>
    <n v="123000"/>
    <m/>
    <n v="1"/>
    <n v="130000"/>
    <n v="-7000"/>
    <n v="7000"/>
    <n v="1"/>
    <x v="0"/>
  </r>
  <r>
    <n v="253"/>
    <n v="115"/>
    <s v="コアプラス大塚"/>
    <s v="203"/>
    <n v="52"/>
    <n v="631"/>
    <x v="0"/>
    <s v="2DK"/>
    <n v="123000"/>
    <n v="5000"/>
    <n v="0"/>
    <n v="0"/>
    <n v="128000"/>
    <n v="123000"/>
    <n v="0"/>
    <n v="123000"/>
    <n v="128000"/>
    <s v="日本人等"/>
    <x v="0"/>
    <s v=""/>
    <m/>
    <s v="115_203"/>
    <n v="123000"/>
    <m/>
    <n v="1"/>
    <n v="128000"/>
    <n v="-5000"/>
    <n v="5000"/>
    <n v="1"/>
    <x v="0"/>
  </r>
  <r>
    <n v="254"/>
    <n v="115"/>
    <s v="コアプラス大塚"/>
    <s v="205"/>
    <n v="52"/>
    <n v="631"/>
    <x v="0"/>
    <s v="3DK"/>
    <n v="128000"/>
    <n v="5000"/>
    <n v="0"/>
    <n v="0"/>
    <n v="133000"/>
    <n v="133000"/>
    <n v="0"/>
    <n v="133000"/>
    <n v="133000"/>
    <s v="中華系"/>
    <x v="0"/>
    <s v=""/>
    <m/>
    <s v="115_205"/>
    <n v="118000"/>
    <m/>
    <n v="1"/>
    <n v="133000"/>
    <n v="0"/>
    <n v="15000"/>
    <n v="1"/>
    <x v="0"/>
  </r>
  <r>
    <n v="255"/>
    <n v="115"/>
    <s v="コアプラス大塚"/>
    <s v="206"/>
    <n v="52.36"/>
    <n v="631"/>
    <x v="0"/>
    <s v="2DK"/>
    <n v="125000"/>
    <n v="5000"/>
    <n v="0"/>
    <n v="0"/>
    <n v="130000"/>
    <n v="130000"/>
    <n v="0"/>
    <n v="130000"/>
    <n v="130000"/>
    <s v="中華系"/>
    <x v="0"/>
    <s v=""/>
    <m/>
    <s v="115_206"/>
    <n v="120000"/>
    <m/>
    <n v="1"/>
    <n v="130000"/>
    <n v="0"/>
    <n v="10000"/>
    <n v="1"/>
    <x v="0"/>
  </r>
  <r>
    <n v="256"/>
    <n v="115"/>
    <s v="コアプラス大塚"/>
    <s v="301"/>
    <n v="55.18"/>
    <n v="631"/>
    <x v="0"/>
    <s v="2DK"/>
    <n v="123000"/>
    <n v="5000"/>
    <n v="0"/>
    <n v="0"/>
    <n v="128000"/>
    <n v="128000"/>
    <n v="0"/>
    <n v="128000"/>
    <n v="128000"/>
    <s v="中華系"/>
    <x v="0"/>
    <s v=""/>
    <m/>
    <s v="115_301"/>
    <n v="115000"/>
    <m/>
    <n v="1"/>
    <n v="128000"/>
    <n v="0"/>
    <n v="13000"/>
    <n v="1"/>
    <x v="0"/>
  </r>
  <r>
    <n v="257"/>
    <n v="115"/>
    <s v="コアプラス大塚"/>
    <s v="302"/>
    <n v="52"/>
    <n v="631"/>
    <x v="0"/>
    <s v="2DK"/>
    <n v="121000"/>
    <n v="5000"/>
    <n v="0"/>
    <n v="0"/>
    <n v="126000"/>
    <n v="126000"/>
    <n v="0"/>
    <n v="126000"/>
    <n v="126000"/>
    <s v="日本人等"/>
    <x v="0"/>
    <s v=""/>
    <m/>
    <s v="115_302"/>
    <n v="128000"/>
    <m/>
    <n v="1"/>
    <n v="126000"/>
    <n v="0"/>
    <n v="-2000"/>
    <n v="1"/>
    <x v="0"/>
  </r>
  <r>
    <n v="258"/>
    <n v="115"/>
    <s v="コアプラス大塚"/>
    <s v="303"/>
    <n v="52"/>
    <n v="631"/>
    <x v="0"/>
    <s v="2DK"/>
    <n v="123000"/>
    <n v="5000"/>
    <n v="0"/>
    <n v="0"/>
    <n v="128000"/>
    <n v="128000"/>
    <n v="0"/>
    <n v="128000"/>
    <n v="128000"/>
    <s v="日本人等"/>
    <x v="0"/>
    <s v=""/>
    <m/>
    <s v="115_303"/>
    <n v="128000"/>
    <m/>
    <n v="1"/>
    <n v="128000"/>
    <n v="0"/>
    <n v="0"/>
    <n v="1"/>
    <x v="0"/>
  </r>
  <r>
    <n v="259"/>
    <n v="115"/>
    <s v="コアプラス大塚"/>
    <s v="305"/>
    <n v="52"/>
    <n v="631"/>
    <x v="0"/>
    <s v="2DK"/>
    <n v="126000"/>
    <n v="5000"/>
    <n v="0"/>
    <n v="0"/>
    <n v="131000"/>
    <n v="131000"/>
    <n v="0"/>
    <n v="131000"/>
    <n v="131000"/>
    <s v="日本人等"/>
    <x v="0"/>
    <s v=""/>
    <m/>
    <s v="115_305"/>
    <n v="131000"/>
    <m/>
    <n v="1"/>
    <n v="131000"/>
    <n v="0"/>
    <n v="0"/>
    <n v="1"/>
    <x v="0"/>
  </r>
  <r>
    <n v="260"/>
    <n v="115"/>
    <s v="コアプラス大塚"/>
    <s v="306"/>
    <n v="52.36"/>
    <n v="631"/>
    <x v="0"/>
    <s v="2DK"/>
    <n v="125000"/>
    <n v="5000"/>
    <n v="0"/>
    <n v="0"/>
    <n v="130000"/>
    <n v="130000"/>
    <n v="0"/>
    <n v="130000"/>
    <n v="130000"/>
    <s v="中華系"/>
    <x v="0"/>
    <s v=""/>
    <m/>
    <s v="115_306"/>
    <n v="120000"/>
    <m/>
    <n v="1"/>
    <n v="130000"/>
    <n v="0"/>
    <n v="10000"/>
    <n v="1"/>
    <x v="0"/>
  </r>
  <r>
    <n v="261"/>
    <n v="115"/>
    <s v="コアプラス大塚"/>
    <s v="401"/>
    <n v="55.18"/>
    <n v="631"/>
    <x v="0"/>
    <s v="2DK"/>
    <n v="127000"/>
    <n v="5000"/>
    <n v="0"/>
    <n v="0"/>
    <n v="132000"/>
    <n v="132000"/>
    <n v="0"/>
    <n v="132000"/>
    <n v="132000"/>
    <s v="日本人等"/>
    <x v="0"/>
    <s v=""/>
    <m/>
    <s v="115_401"/>
    <n v="132000"/>
    <m/>
    <n v="1"/>
    <n v="132000"/>
    <n v="0"/>
    <n v="0"/>
    <n v="1"/>
    <x v="0"/>
  </r>
  <r>
    <n v="262"/>
    <n v="115"/>
    <s v="コアプラス大塚"/>
    <s v="402"/>
    <n v="52"/>
    <n v="631"/>
    <x v="0"/>
    <s v="2DK"/>
    <n v="125000"/>
    <n v="5000"/>
    <n v="0"/>
    <n v="0"/>
    <n v="130000"/>
    <n v="130000"/>
    <n v="0"/>
    <n v="130000"/>
    <n v="130000"/>
    <s v="日本人等"/>
    <x v="0"/>
    <s v=""/>
    <m/>
    <s v="115_402"/>
    <n v="125000"/>
    <m/>
    <n v="1"/>
    <n v="130000"/>
    <n v="0"/>
    <n v="5000"/>
    <n v="1"/>
    <x v="0"/>
  </r>
  <r>
    <n v="263"/>
    <n v="115"/>
    <s v="コアプラス大塚"/>
    <s v="403"/>
    <n v="52"/>
    <n v="631"/>
    <x v="0"/>
    <s v="3DK"/>
    <n v="132000"/>
    <n v="5000"/>
    <n v="0"/>
    <n v="0"/>
    <n v="137000"/>
    <n v="137000"/>
    <n v="0"/>
    <n v="137000"/>
    <n v="137000"/>
    <s v="住居法人契約"/>
    <x v="0"/>
    <s v=""/>
    <m/>
    <s v="115_403"/>
    <n v="125000"/>
    <m/>
    <n v="1"/>
    <n v="137000"/>
    <n v="0"/>
    <n v="12000"/>
    <n v="1"/>
    <x v="0"/>
  </r>
  <r>
    <n v="264"/>
    <n v="115"/>
    <s v="コアプラス大塚"/>
    <s v="405"/>
    <n v="52"/>
    <n v="631"/>
    <x v="0"/>
    <s v="3DK"/>
    <n v="132000"/>
    <n v="5000"/>
    <n v="0"/>
    <n v="0"/>
    <n v="137000"/>
    <n v="128000"/>
    <n v="0"/>
    <n v="128000"/>
    <n v="137000"/>
    <s v="中華系"/>
    <x v="0"/>
    <s v=""/>
    <m/>
    <s v="115_405"/>
    <n v="128000"/>
    <m/>
    <n v="1"/>
    <n v="137000"/>
    <n v="-9000"/>
    <n v="9000"/>
    <n v="1"/>
    <x v="0"/>
  </r>
  <r>
    <n v="265"/>
    <n v="115"/>
    <s v="コアプラス大塚"/>
    <s v="406"/>
    <n v="52.36"/>
    <n v="631"/>
    <x v="0"/>
    <s v="2DK"/>
    <n v="123000"/>
    <n v="5000"/>
    <n v="0"/>
    <n v="0"/>
    <n v="128000"/>
    <n v="128000"/>
    <n v="0"/>
    <n v="128000"/>
    <n v="128000"/>
    <s v="日本人等"/>
    <x v="0"/>
    <s v=""/>
    <m/>
    <s v="115_406"/>
    <n v="125000"/>
    <m/>
    <n v="1"/>
    <n v="128000"/>
    <n v="0"/>
    <n v="3000"/>
    <n v="1"/>
    <x v="0"/>
  </r>
  <r>
    <n v="266"/>
    <n v="115"/>
    <s v="コアプラス大塚"/>
    <s v="501"/>
    <n v="55.18"/>
    <n v="631"/>
    <x v="0"/>
    <s v="2DK"/>
    <n v="132000"/>
    <n v="5000"/>
    <n v="0"/>
    <n v="0"/>
    <n v="137000"/>
    <n v="137000"/>
    <n v="0"/>
    <n v="137000"/>
    <n v="137000"/>
    <s v="住居法人契約"/>
    <x v="0"/>
    <s v=""/>
    <m/>
    <s v="115_501"/>
    <n v="120000"/>
    <m/>
    <n v="1"/>
    <n v="137000"/>
    <n v="0"/>
    <n v="17000"/>
    <n v="1"/>
    <x v="0"/>
  </r>
  <r>
    <n v="267"/>
    <n v="115"/>
    <s v="コアプラス大塚"/>
    <s v="502"/>
    <n v="52"/>
    <n v="631"/>
    <x v="0"/>
    <s v="2DK"/>
    <n v="128000"/>
    <n v="5000"/>
    <n v="0"/>
    <n v="0"/>
    <n v="133000"/>
    <n v="133000"/>
    <n v="0"/>
    <n v="133000"/>
    <n v="133000"/>
    <s v="日本人等"/>
    <x v="0"/>
    <s v=""/>
    <m/>
    <s v="115_502"/>
    <n v="133000"/>
    <m/>
    <n v="1"/>
    <n v="133000"/>
    <n v="0"/>
    <n v="0"/>
    <n v="1"/>
    <x v="0"/>
  </r>
  <r>
    <n v="268"/>
    <n v="115"/>
    <s v="コアプラス大塚"/>
    <s v="503"/>
    <n v="52"/>
    <n v="631"/>
    <x v="0"/>
    <s v="3DK"/>
    <n v="130000"/>
    <n v="5000"/>
    <n v="0"/>
    <n v="0"/>
    <n v="135000"/>
    <n v="135000"/>
    <n v="0"/>
    <n v="135000"/>
    <n v="135000"/>
    <s v="日本人等"/>
    <x v="0"/>
    <s v=""/>
    <m/>
    <s v="115_503"/>
    <n v="128000"/>
    <m/>
    <n v="1"/>
    <n v="135000"/>
    <n v="0"/>
    <n v="7000"/>
    <n v="1"/>
    <x v="0"/>
  </r>
  <r>
    <n v="269"/>
    <n v="115"/>
    <s v="コアプラス大塚"/>
    <s v="505"/>
    <n v="52"/>
    <n v="631"/>
    <x v="0"/>
    <s v="2DK"/>
    <n v="125000"/>
    <n v="5000"/>
    <n v="0"/>
    <n v="0"/>
    <n v="130000"/>
    <n v="125000"/>
    <n v="0"/>
    <n v="125000"/>
    <n v="130000"/>
    <s v="日本人等"/>
    <x v="0"/>
    <s v=""/>
    <m/>
    <s v="115_505"/>
    <n v="125000"/>
    <m/>
    <n v="1"/>
    <n v="130000"/>
    <n v="-5000"/>
    <n v="5000"/>
    <n v="1"/>
    <x v="0"/>
  </r>
  <r>
    <n v="270"/>
    <n v="115"/>
    <s v="コアプラス大塚"/>
    <s v="506"/>
    <n v="52.36"/>
    <n v="631"/>
    <x v="0"/>
    <s v="2DK"/>
    <n v="120000"/>
    <n v="5000"/>
    <n v="0"/>
    <n v="0"/>
    <n v="125000"/>
    <n v="125000"/>
    <n v="0"/>
    <n v="125000"/>
    <n v="125000"/>
    <s v="日本人等"/>
    <x v="0"/>
    <s v=""/>
    <m/>
    <s v="115_506"/>
    <n v="125000"/>
    <m/>
    <n v="1"/>
    <n v="125000"/>
    <n v="0"/>
    <n v="0"/>
    <n v="1"/>
    <x v="0"/>
  </r>
  <r>
    <n v="271"/>
    <n v="115"/>
    <s v="コアプラス大塚"/>
    <s v="601"/>
    <n v="52"/>
    <n v="631"/>
    <x v="0"/>
    <s v="2DK"/>
    <n v="129000"/>
    <n v="5000"/>
    <n v="0"/>
    <n v="0"/>
    <n v="134000"/>
    <n v="134000"/>
    <n v="0"/>
    <n v="134000"/>
    <n v="134000"/>
    <s v="日本人等"/>
    <x v="0"/>
    <s v=""/>
    <m/>
    <s v="115_601"/>
    <n v="134000"/>
    <m/>
    <n v="1"/>
    <n v="134000"/>
    <n v="0"/>
    <n v="0"/>
    <n v="1"/>
    <x v="0"/>
  </r>
  <r>
    <n v="272"/>
    <n v="115"/>
    <s v="コアプラス大塚"/>
    <s v="602"/>
    <n v="52"/>
    <n v="631"/>
    <x v="0"/>
    <s v="3DK"/>
    <n v="134000"/>
    <n v="5000"/>
    <n v="0"/>
    <n v="0"/>
    <n v="139000"/>
    <n v="139000"/>
    <n v="0"/>
    <n v="139000"/>
    <n v="139000"/>
    <s v="日本人等"/>
    <x v="0"/>
    <s v=""/>
    <m/>
    <s v="115_602"/>
    <n v="123000"/>
    <m/>
    <n v="1"/>
    <n v="139000"/>
    <n v="0"/>
    <n v="16000"/>
    <n v="1"/>
    <x v="0"/>
  </r>
  <r>
    <n v="273"/>
    <n v="115"/>
    <s v="コアプラス大塚"/>
    <s v="603"/>
    <n v="52"/>
    <n v="631"/>
    <x v="0"/>
    <s v="3DK"/>
    <n v="130000"/>
    <n v="5000"/>
    <n v="0"/>
    <n v="0"/>
    <n v="135000"/>
    <n v="135000"/>
    <n v="0"/>
    <n v="135000"/>
    <n v="135000"/>
    <s v="日本人等"/>
    <x v="0"/>
    <s v=""/>
    <m/>
    <s v="115_603"/>
    <n v="125000"/>
    <m/>
    <n v="1"/>
    <n v="135000"/>
    <n v="0"/>
    <n v="10000"/>
    <n v="1"/>
    <x v="0"/>
  </r>
  <r>
    <n v="274"/>
    <n v="115"/>
    <s v="コアプラス大塚"/>
    <s v="101"/>
    <n v="59.53"/>
    <n v="633"/>
    <x v="5"/>
    <s v="店舗"/>
    <n v="170000"/>
    <n v="4630"/>
    <n v="0"/>
    <n v="17463"/>
    <n v="192093"/>
    <n v="174630"/>
    <n v="17463"/>
    <n v="192093"/>
    <n v="192093"/>
    <s v="日本人等"/>
    <x v="0"/>
    <s v=""/>
    <m/>
    <s v="115_101"/>
    <n v="174630"/>
    <m/>
    <n v="1"/>
    <n v="174630"/>
    <n v="0"/>
    <n v="0"/>
    <n v="1"/>
    <x v="0"/>
  </r>
  <r>
    <n v="275"/>
    <n v="115"/>
    <s v="コアプラス大塚"/>
    <s v="BF1"/>
    <n v="0"/>
    <n v="634"/>
    <x v="4"/>
    <s v="駐車場"/>
    <n v="324074"/>
    <n v="0"/>
    <n v="0"/>
    <n v="32407"/>
    <n v="356481"/>
    <n v="324073"/>
    <n v="32407.363636363636"/>
    <n v="356480.36363636365"/>
    <n v="356481"/>
    <s v="法人契約"/>
    <x v="0"/>
    <s v="駐輪場"/>
    <m/>
    <s v="115_BF1"/>
    <n v="100000"/>
    <m/>
    <n v="1"/>
    <n v="324074"/>
    <n v="-1"/>
    <n v="224074"/>
    <n v="1"/>
    <x v="0"/>
  </r>
  <r>
    <n v="276"/>
    <n v="115"/>
    <s v="コアプラス大塚"/>
    <s v="RF1"/>
    <n v="0"/>
    <n v="635"/>
    <x v="2"/>
    <s v="その他"/>
    <n v="12000"/>
    <n v="0"/>
    <n v="0"/>
    <n v="1200"/>
    <n v="13200"/>
    <n v="12000"/>
    <n v="1199.9999999999998"/>
    <n v="13200"/>
    <n v="13200"/>
    <s v="-"/>
    <x v="0"/>
    <s v="LPWA"/>
    <m/>
    <s v="115_RF1"/>
    <n v="0"/>
    <m/>
    <n v="1"/>
    <n v="12000"/>
    <n v="0"/>
    <n v="12000"/>
    <n v="1"/>
    <x v="0"/>
  </r>
  <r>
    <n v="277"/>
    <n v="115"/>
    <s v="コアプラス大塚"/>
    <s v="NTF1"/>
    <s v="-"/>
    <n v="639"/>
    <x v="3"/>
    <s v="その他"/>
    <n v="0"/>
    <n v="0"/>
    <n v="0"/>
    <n v="0"/>
    <n v="0"/>
    <n v="0"/>
    <n v="0"/>
    <n v="0"/>
    <n v="0"/>
    <s v="-"/>
    <x v="1"/>
    <s v="フレッツ光"/>
    <m/>
    <s v="115_NTF1"/>
    <n v="0"/>
    <m/>
    <n v="0"/>
    <n v="0"/>
    <n v="0"/>
    <n v="0"/>
    <n v="0"/>
    <x v="0"/>
  </r>
  <r>
    <n v="278"/>
    <n v="116"/>
    <s v="コアプラスレジデンス梅田"/>
    <s v="201"/>
    <n v="55.01"/>
    <n v="631"/>
    <x v="0"/>
    <s v="3DK"/>
    <n v="122000"/>
    <n v="0"/>
    <n v="0"/>
    <n v="0"/>
    <n v="122000"/>
    <n v="115000"/>
    <n v="0"/>
    <n v="115000"/>
    <n v="122000"/>
    <s v="住居法人契約"/>
    <x v="0"/>
    <s v=""/>
    <m/>
    <s v="116_201"/>
    <n v="115000"/>
    <m/>
    <n v="1"/>
    <n v="122000"/>
    <n v="-7000"/>
    <n v="7000"/>
    <n v="1"/>
    <x v="0"/>
  </r>
  <r>
    <n v="279"/>
    <n v="116"/>
    <s v="コアプラスレジデンス梅田"/>
    <s v="202"/>
    <n v="62.38"/>
    <n v="631"/>
    <x v="0"/>
    <s v="3DK"/>
    <n v="145000"/>
    <n v="5000"/>
    <n v="0"/>
    <n v="0"/>
    <n v="150000"/>
    <n v="160000"/>
    <n v="0"/>
    <n v="160000"/>
    <n v="150000"/>
    <s v="日本人等"/>
    <x v="0"/>
    <s v=""/>
    <m/>
    <s v="116_202"/>
    <n v="145000"/>
    <m/>
    <n v="1"/>
    <n v="150000"/>
    <n v="10000"/>
    <n v="5000"/>
    <n v="1"/>
    <x v="0"/>
  </r>
  <r>
    <n v="280"/>
    <n v="116"/>
    <s v="コアプラスレジデンス梅田"/>
    <s v="301"/>
    <n v="55.01"/>
    <n v="631"/>
    <x v="0"/>
    <s v="3DK"/>
    <n v="120000"/>
    <n v="5000"/>
    <n v="0"/>
    <n v="0"/>
    <n v="125000"/>
    <n v="125000"/>
    <n v="0"/>
    <n v="125000"/>
    <n v="125000"/>
    <s v="日本人等"/>
    <x v="0"/>
    <s v=""/>
    <m/>
    <s v="116_301"/>
    <n v="125000"/>
    <m/>
    <n v="1"/>
    <n v="125000"/>
    <n v="0"/>
    <n v="0"/>
    <n v="1"/>
    <x v="0"/>
  </r>
  <r>
    <n v="281"/>
    <n v="116"/>
    <s v="コアプラスレジデンス梅田"/>
    <s v="302"/>
    <n v="62.38"/>
    <n v="631"/>
    <x v="0"/>
    <s v="3DK"/>
    <n v="153000"/>
    <n v="5000"/>
    <n v="0"/>
    <n v="0"/>
    <n v="158000"/>
    <n v="155000"/>
    <n v="0"/>
    <n v="155000"/>
    <n v="158000"/>
    <s v="日本人等"/>
    <x v="0"/>
    <s v=""/>
    <m/>
    <s v="116_302"/>
    <n v="140000"/>
    <m/>
    <n v="1"/>
    <n v="158000"/>
    <n v="-3000"/>
    <n v="18000"/>
    <n v="1"/>
    <x v="0"/>
  </r>
  <r>
    <n v="282"/>
    <n v="116"/>
    <s v="コアプラスレジデンス梅田"/>
    <s v="401"/>
    <n v="55.01"/>
    <n v="631"/>
    <x v="0"/>
    <s v="3DK"/>
    <n v="143000"/>
    <n v="5000"/>
    <n v="0"/>
    <n v="0"/>
    <n v="148000"/>
    <n v="140000"/>
    <n v="0"/>
    <n v="140000"/>
    <n v="148000"/>
    <s v="中華系"/>
    <x v="0"/>
    <s v=""/>
    <m/>
    <s v="116_401"/>
    <n v="130000"/>
    <m/>
    <n v="1"/>
    <n v="148000"/>
    <n v="-8000"/>
    <n v="18000"/>
    <n v="1"/>
    <x v="0"/>
  </r>
  <r>
    <n v="283"/>
    <n v="116"/>
    <s v="コアプラスレジデンス梅田"/>
    <s v="402"/>
    <n v="62.38"/>
    <n v="631"/>
    <x v="0"/>
    <s v="3DK"/>
    <n v="153000"/>
    <n v="5000"/>
    <n v="0"/>
    <n v="0"/>
    <n v="158000"/>
    <n v="141000"/>
    <n v="0"/>
    <n v="141000"/>
    <n v="158000"/>
    <s v="日本人等"/>
    <x v="0"/>
    <s v=""/>
    <m/>
    <s v="116_402"/>
    <n v="130000"/>
    <m/>
    <n v="1"/>
    <n v="158000"/>
    <n v="-17000"/>
    <n v="28000"/>
    <n v="1"/>
    <x v="0"/>
  </r>
  <r>
    <n v="284"/>
    <n v="116"/>
    <s v="コアプラスレジデンス梅田"/>
    <s v="501"/>
    <n v="55.01"/>
    <n v="631"/>
    <x v="0"/>
    <s v="3DK"/>
    <n v="140000"/>
    <n v="5000"/>
    <n v="0"/>
    <n v="0"/>
    <n v="145000"/>
    <n v="130000"/>
    <n v="0"/>
    <n v="130000"/>
    <n v="145000"/>
    <s v="日本人等"/>
    <x v="0"/>
    <s v=""/>
    <m/>
    <s v="116_501"/>
    <n v="130000"/>
    <m/>
    <n v="1"/>
    <n v="145000"/>
    <n v="-15000"/>
    <n v="15000"/>
    <n v="1"/>
    <x v="0"/>
  </r>
  <r>
    <n v="285"/>
    <n v="116"/>
    <s v="コアプラスレジデンス梅田"/>
    <s v="502"/>
    <n v="60"/>
    <n v="631"/>
    <x v="0"/>
    <s v="3DK"/>
    <n v="135000"/>
    <n v="0"/>
    <n v="0"/>
    <n v="0"/>
    <n v="135000"/>
    <n v="135000"/>
    <n v="0"/>
    <n v="135000"/>
    <n v="135000"/>
    <s v="日本人等"/>
    <x v="0"/>
    <s v=""/>
    <m/>
    <s v="116_502"/>
    <n v="135000"/>
    <m/>
    <n v="1"/>
    <n v="135000"/>
    <n v="0"/>
    <n v="0"/>
    <n v="1"/>
    <x v="0"/>
  </r>
  <r>
    <n v="286"/>
    <n v="116"/>
    <s v="コアプラスレジデンス梅田"/>
    <s v="601"/>
    <n v="65"/>
    <n v="631"/>
    <x v="0"/>
    <s v="3DK"/>
    <n v="145000"/>
    <n v="5000"/>
    <n v="0"/>
    <n v="0"/>
    <n v="150000"/>
    <n v="140000"/>
    <n v="0"/>
    <n v="140000"/>
    <n v="150000"/>
    <s v="中華系"/>
    <x v="0"/>
    <s v=""/>
    <m/>
    <s v="116_601"/>
    <n v="130000"/>
    <m/>
    <n v="1"/>
    <n v="150000"/>
    <n v="-10000"/>
    <n v="20000"/>
    <n v="1"/>
    <x v="0"/>
  </r>
  <r>
    <n v="287"/>
    <n v="116"/>
    <s v="コアプラスレジデンス梅田"/>
    <s v="602"/>
    <n v="65"/>
    <n v="631"/>
    <x v="0"/>
    <s v="3DK"/>
    <n v="125000"/>
    <n v="5000"/>
    <n v="0"/>
    <n v="0"/>
    <n v="130000"/>
    <n v="130000"/>
    <n v="0"/>
    <n v="130000"/>
    <n v="130000"/>
    <s v="日本人等"/>
    <x v="0"/>
    <s v=""/>
    <m/>
    <s v="116_602"/>
    <n v="130000"/>
    <m/>
    <n v="1"/>
    <n v="130000"/>
    <n v="0"/>
    <n v="0"/>
    <n v="1"/>
    <x v="0"/>
  </r>
  <r>
    <n v="288"/>
    <n v="116"/>
    <s v="コアプラスレジデンス梅田"/>
    <s v="701"/>
    <n v="65.61"/>
    <n v="631"/>
    <x v="0"/>
    <s v="3DK"/>
    <n v="138000"/>
    <n v="2000"/>
    <n v="0"/>
    <n v="0"/>
    <n v="140000"/>
    <n v="132000"/>
    <n v="0"/>
    <n v="132000"/>
    <n v="140000"/>
    <s v="日本人等"/>
    <x v="0"/>
    <s v=""/>
    <m/>
    <s v="116_701"/>
    <n v="132000"/>
    <m/>
    <n v="1"/>
    <n v="140000"/>
    <n v="-8000"/>
    <n v="8000"/>
    <n v="1"/>
    <x v="0"/>
  </r>
  <r>
    <n v="289"/>
    <n v="116"/>
    <s v="コアプラスレジデンス梅田"/>
    <s v="702"/>
    <n v="62.38"/>
    <n v="631"/>
    <x v="0"/>
    <s v="3DK"/>
    <n v="160000"/>
    <n v="5000"/>
    <n v="0"/>
    <n v="0"/>
    <n v="165000"/>
    <n v="135000"/>
    <n v="0"/>
    <n v="135000"/>
    <n v="165000"/>
    <s v="中華系"/>
    <x v="0"/>
    <s v=""/>
    <m/>
    <s v="116_702"/>
    <n v="135000"/>
    <m/>
    <n v="1"/>
    <n v="165000"/>
    <n v="-30000"/>
    <n v="30000"/>
    <n v="1"/>
    <x v="0"/>
  </r>
  <r>
    <n v="290"/>
    <n v="116"/>
    <s v="コアプラスレジデンス梅田"/>
    <s v="801"/>
    <n v="40"/>
    <n v="631"/>
    <x v="0"/>
    <s v="3LDK"/>
    <n v="135000"/>
    <n v="5000"/>
    <n v="0"/>
    <n v="0"/>
    <n v="140000"/>
    <n v="140000"/>
    <n v="0"/>
    <n v="140000"/>
    <n v="140000"/>
    <s v="中華系"/>
    <x v="0"/>
    <s v=""/>
    <m/>
    <s v="116_801"/>
    <n v="180000"/>
    <m/>
    <n v="1"/>
    <n v="140000"/>
    <n v="0"/>
    <n v="-40000"/>
    <n v="1"/>
    <x v="0"/>
  </r>
  <r>
    <n v="291"/>
    <n v="116"/>
    <s v="コアプラスレジデンス梅田"/>
    <s v="802"/>
    <n v="62"/>
    <n v="631"/>
    <x v="0"/>
    <s v="2LDK"/>
    <n v="170000"/>
    <n v="5000"/>
    <n v="0"/>
    <n v="0"/>
    <n v="175000"/>
    <n v="175000"/>
    <n v="0"/>
    <n v="175000"/>
    <n v="175000"/>
    <s v="その他新興国"/>
    <x v="0"/>
    <s v=""/>
    <m/>
    <s v="116_802"/>
    <n v="175000"/>
    <m/>
    <n v="1"/>
    <n v="175000"/>
    <n v="0"/>
    <n v="0"/>
    <n v="1"/>
    <x v="0"/>
  </r>
  <r>
    <n v="292"/>
    <n v="116"/>
    <s v="コアプラスレジデンス梅田"/>
    <s v="101"/>
    <n v="130.33000000000001"/>
    <n v="633"/>
    <x v="5"/>
    <s v="店舗"/>
    <n v="376000"/>
    <n v="0"/>
    <n v="0"/>
    <n v="37600"/>
    <n v="413600"/>
    <n v="376000"/>
    <n v="37599.999999999993"/>
    <n v="413600"/>
    <n v="413600"/>
    <s v="日本人等"/>
    <x v="0"/>
    <s v=""/>
    <m/>
    <s v="116_101"/>
    <n v="350000"/>
    <m/>
    <n v="1"/>
    <n v="376000"/>
    <n v="0"/>
    <n v="26000"/>
    <n v="1"/>
    <x v="0"/>
  </r>
  <r>
    <n v="293"/>
    <n v="116"/>
    <s v="コアプラスレジデンス梅田"/>
    <s v="RF1"/>
    <n v="0"/>
    <n v="635"/>
    <x v="2"/>
    <s v="その他"/>
    <n v="12000"/>
    <n v="0"/>
    <n v="0"/>
    <n v="1200"/>
    <n v="13200"/>
    <n v="12000"/>
    <n v="1199.9999999999998"/>
    <n v="13200"/>
    <n v="13200"/>
    <s v="-"/>
    <x v="0"/>
    <s v="LPWA"/>
    <m/>
    <s v="116_RF1"/>
    <n v="0"/>
    <m/>
    <n v="1"/>
    <n v="12000"/>
    <n v="0"/>
    <n v="12000"/>
    <n v="1"/>
    <x v="0"/>
  </r>
  <r>
    <n v="294"/>
    <n v="116"/>
    <s v="コアプラスレジデンス梅田"/>
    <s v="NTF1"/>
    <s v="-"/>
    <n v="639"/>
    <x v="3"/>
    <s v="その他"/>
    <n v="0"/>
    <n v="0"/>
    <n v="0"/>
    <n v="0"/>
    <n v="0"/>
    <n v="0"/>
    <n v="0"/>
    <n v="0"/>
    <n v="0"/>
    <s v="-"/>
    <x v="1"/>
    <s v="フレッツ光"/>
    <m/>
    <s v="116_NTF1"/>
    <n v="0"/>
    <m/>
    <n v="0"/>
    <n v="0"/>
    <n v="0"/>
    <n v="0"/>
    <n v="0"/>
    <x v="0"/>
  </r>
  <r>
    <n v="295"/>
    <n v="117"/>
    <s v="高田馬場第4玉川ビル"/>
    <s v="101"/>
    <n v="89.64"/>
    <n v="631"/>
    <x v="0"/>
    <s v="2SLDK"/>
    <n v="185000"/>
    <n v="5000"/>
    <n v="0"/>
    <n v="0"/>
    <n v="190000"/>
    <n v="190000"/>
    <n v="0"/>
    <n v="190000"/>
    <n v="190000"/>
    <s v="日本人等"/>
    <x v="0"/>
    <s v=""/>
    <m/>
    <s v="117_101"/>
    <n v="190000"/>
    <m/>
    <n v="1"/>
    <n v="190000"/>
    <n v="0"/>
    <n v="0"/>
    <n v="1"/>
    <x v="0"/>
  </r>
  <r>
    <n v="296"/>
    <n v="117"/>
    <s v="高田馬場第4玉川ビル"/>
    <s v="B101"/>
    <n v="89.64"/>
    <n v="631"/>
    <x v="0"/>
    <s v="2SLDK"/>
    <n v="160000"/>
    <n v="5000"/>
    <n v="0"/>
    <n v="0"/>
    <n v="165000"/>
    <n v="165000"/>
    <n v="0"/>
    <n v="165000"/>
    <n v="165000"/>
    <s v="住居法人契約"/>
    <x v="0"/>
    <s v=""/>
    <m/>
    <s v="117_B101"/>
    <n v="165000"/>
    <m/>
    <n v="1"/>
    <n v="165000"/>
    <n v="0"/>
    <n v="0"/>
    <n v="1"/>
    <x v="0"/>
  </r>
  <r>
    <n v="297"/>
    <n v="117"/>
    <s v="高田馬場第4玉川ビル"/>
    <s v="201"/>
    <n v="31.98"/>
    <n v="631"/>
    <x v="0"/>
    <s v="2K"/>
    <n v="84000"/>
    <n v="4000"/>
    <n v="0"/>
    <n v="0"/>
    <n v="88000"/>
    <n v="88000"/>
    <n v="0"/>
    <n v="88000"/>
    <n v="88000"/>
    <s v="中華系"/>
    <x v="0"/>
    <s v=""/>
    <m/>
    <s v="117_201"/>
    <n v="83000"/>
    <m/>
    <n v="1"/>
    <n v="88000"/>
    <n v="0"/>
    <n v="5000"/>
    <n v="1"/>
    <x v="0"/>
  </r>
  <r>
    <n v="298"/>
    <n v="117"/>
    <s v="高田馬場第4玉川ビル"/>
    <s v="202"/>
    <n v="28.84"/>
    <n v="631"/>
    <x v="0"/>
    <s v="2K"/>
    <n v="78000"/>
    <n v="5000"/>
    <n v="0"/>
    <n v="0"/>
    <n v="83000"/>
    <n v="78000"/>
    <n v="0"/>
    <n v="78000"/>
    <n v="83000"/>
    <s v="日本人等"/>
    <x v="0"/>
    <s v=""/>
    <m/>
    <s v="117_202"/>
    <n v="80000"/>
    <m/>
    <n v="1"/>
    <n v="83000"/>
    <n v="-5000"/>
    <n v="3000"/>
    <n v="1"/>
    <x v="0"/>
  </r>
  <r>
    <n v="299"/>
    <n v="117"/>
    <s v="高田馬場第4玉川ビル"/>
    <s v="203"/>
    <n v="28.84"/>
    <n v="631"/>
    <x v="0"/>
    <s v="2K"/>
    <n v="80000"/>
    <n v="5000"/>
    <n v="0"/>
    <n v="0"/>
    <n v="85000"/>
    <n v="84000"/>
    <n v="0"/>
    <n v="84000"/>
    <n v="85000"/>
    <s v="日本人等"/>
    <x v="0"/>
    <s v=""/>
    <m/>
    <s v="117_203"/>
    <n v="79000"/>
    <m/>
    <n v="1"/>
    <n v="85000"/>
    <n v="-1000"/>
    <n v="6000"/>
    <n v="1"/>
    <x v="0"/>
  </r>
  <r>
    <n v="300"/>
    <n v="117"/>
    <s v="高田馬場第4玉川ビル"/>
    <s v="301"/>
    <n v="16.78"/>
    <n v="631"/>
    <x v="0"/>
    <s v="1R"/>
    <n v="67000"/>
    <n v="2000"/>
    <n v="0"/>
    <n v="0"/>
    <n v="69000"/>
    <n v="69000"/>
    <n v="0"/>
    <n v="69000"/>
    <n v="69000"/>
    <s v="日本人等"/>
    <x v="0"/>
    <s v=""/>
    <m/>
    <s v="117_301"/>
    <n v="69000"/>
    <m/>
    <n v="1"/>
    <n v="69000"/>
    <n v="0"/>
    <n v="0"/>
    <n v="1"/>
    <x v="0"/>
  </r>
  <r>
    <n v="301"/>
    <n v="117"/>
    <s v="高田馬場第4玉川ビル"/>
    <s v="302"/>
    <n v="27.31"/>
    <n v="631"/>
    <x v="0"/>
    <s v="2K"/>
    <n v="80000"/>
    <n v="3000"/>
    <n v="0"/>
    <n v="0"/>
    <n v="83000"/>
    <n v="82000"/>
    <n v="0"/>
    <n v="82000"/>
    <n v="83000"/>
    <s v="日本人等"/>
    <x v="0"/>
    <s v=""/>
    <m/>
    <s v="117_302"/>
    <n v="81000"/>
    <m/>
    <n v="1"/>
    <n v="83000"/>
    <n v="-1000"/>
    <n v="2000"/>
    <n v="1"/>
    <x v="0"/>
  </r>
  <r>
    <n v="302"/>
    <n v="117"/>
    <s v="高田馬場第4玉川ビル"/>
    <s v="303"/>
    <n v="27.31"/>
    <n v="631"/>
    <x v="0"/>
    <s v="2K"/>
    <n v="81000"/>
    <n v="2000"/>
    <n v="0"/>
    <n v="0"/>
    <n v="83000"/>
    <n v="83000"/>
    <n v="0"/>
    <n v="83000"/>
    <n v="83000"/>
    <s v="日本人等"/>
    <x v="0"/>
    <s v=""/>
    <m/>
    <s v="117_303"/>
    <n v="83000"/>
    <m/>
    <n v="1"/>
    <n v="83000"/>
    <n v="0"/>
    <n v="0"/>
    <n v="1"/>
    <x v="0"/>
  </r>
  <r>
    <n v="303"/>
    <n v="117"/>
    <s v="高田馬場第4玉川ビル"/>
    <s v="P1"/>
    <n v="0"/>
    <n v="634"/>
    <x v="4"/>
    <s v="駐車場"/>
    <n v="0"/>
    <n v="0"/>
    <n v="0"/>
    <n v="0"/>
    <n v="0"/>
    <n v="13000"/>
    <n v="1300"/>
    <n v="14300"/>
    <n v="14300"/>
    <s v="法人契約"/>
    <x v="0"/>
    <s v="一時的な空室"/>
    <m/>
    <s v="117_P1"/>
    <n v="14300"/>
    <m/>
    <n v="0"/>
    <n v="13000"/>
    <n v="0"/>
    <n v="-1300"/>
    <n v="1"/>
    <x v="0"/>
  </r>
  <r>
    <n v="304"/>
    <n v="120"/>
    <s v="南池袋マンション"/>
    <s v="101"/>
    <n v="23.07"/>
    <n v="631"/>
    <x v="0"/>
    <s v="1R"/>
    <n v="75000"/>
    <n v="0"/>
    <n v="0"/>
    <n v="0"/>
    <n v="75000"/>
    <n v="75000"/>
    <n v="0"/>
    <n v="75000"/>
    <n v="75000"/>
    <s v="日本人等"/>
    <x v="0"/>
    <s v=""/>
    <m/>
    <s v="120_101"/>
    <n v="75000"/>
    <m/>
    <n v="1"/>
    <n v="75000"/>
    <n v="0"/>
    <n v="0"/>
    <n v="1"/>
    <x v="0"/>
  </r>
  <r>
    <n v="305"/>
    <n v="120"/>
    <s v="南池袋マンション"/>
    <s v="102"/>
    <n v="26.94"/>
    <n v="631"/>
    <x v="0"/>
    <s v="1DK"/>
    <n v="70000"/>
    <n v="0"/>
    <n v="0"/>
    <n v="0"/>
    <n v="70000"/>
    <n v="70000"/>
    <n v="0"/>
    <n v="70000"/>
    <n v="70000"/>
    <s v="日本人等"/>
    <x v="0"/>
    <s v=""/>
    <m/>
    <s v="120_102"/>
    <n v="70000"/>
    <m/>
    <n v="1"/>
    <n v="70000"/>
    <n v="0"/>
    <n v="0"/>
    <n v="1"/>
    <x v="0"/>
  </r>
  <r>
    <n v="306"/>
    <n v="120"/>
    <s v="南池袋マンション"/>
    <s v="103"/>
    <n v="33.450000000000003"/>
    <n v="631"/>
    <x v="0"/>
    <s v="1DK"/>
    <n v="79000"/>
    <n v="4000"/>
    <n v="0"/>
    <n v="0"/>
    <n v="83000"/>
    <n v="83000"/>
    <n v="0"/>
    <n v="83000"/>
    <n v="83000"/>
    <s v="日本人等"/>
    <x v="0"/>
    <s v=""/>
    <m/>
    <s v="120_103"/>
    <n v="89000"/>
    <m/>
    <n v="1"/>
    <n v="83000"/>
    <n v="0"/>
    <n v="-6000"/>
    <n v="1"/>
    <x v="0"/>
  </r>
  <r>
    <n v="307"/>
    <n v="120"/>
    <s v="南池袋マンション"/>
    <s v="201"/>
    <n v="43.83"/>
    <n v="631"/>
    <x v="0"/>
    <s v="1LDK"/>
    <n v="102000"/>
    <n v="3000"/>
    <n v="0"/>
    <n v="0"/>
    <n v="105000"/>
    <n v="103000"/>
    <n v="0"/>
    <n v="103000"/>
    <n v="105000"/>
    <s v="日本人等"/>
    <x v="0"/>
    <s v=""/>
    <m/>
    <s v="120_201"/>
    <n v="103000"/>
    <m/>
    <n v="1"/>
    <n v="105000"/>
    <n v="-2000"/>
    <n v="2000"/>
    <n v="1"/>
    <x v="0"/>
  </r>
  <r>
    <n v="308"/>
    <n v="120"/>
    <s v="南池袋マンション"/>
    <s v="202"/>
    <n v="26.94"/>
    <n v="631"/>
    <x v="0"/>
    <s v="1DK"/>
    <n v="75000"/>
    <n v="0"/>
    <n v="0"/>
    <n v="0"/>
    <n v="75000"/>
    <n v="75000"/>
    <n v="0"/>
    <n v="75000"/>
    <n v="75000"/>
    <s v="日本人等"/>
    <x v="0"/>
    <s v=""/>
    <m/>
    <s v="120_202"/>
    <n v="75000"/>
    <m/>
    <n v="1"/>
    <n v="75000"/>
    <n v="0"/>
    <n v="0"/>
    <n v="1"/>
    <x v="0"/>
  </r>
  <r>
    <n v="309"/>
    <n v="120"/>
    <s v="南池袋マンション"/>
    <s v="203"/>
    <n v="33.450000000000003"/>
    <n v="631"/>
    <x v="0"/>
    <s v="1DK"/>
    <n v="87000"/>
    <n v="3000"/>
    <n v="0"/>
    <n v="0"/>
    <n v="90000"/>
    <n v="90000"/>
    <n v="0"/>
    <n v="90000"/>
    <n v="90000"/>
    <s v="日本人等"/>
    <x v="0"/>
    <s v=""/>
    <m/>
    <s v="120_203"/>
    <n v="103000"/>
    <m/>
    <n v="1"/>
    <n v="90000"/>
    <n v="0"/>
    <n v="-13000"/>
    <n v="1"/>
    <x v="0"/>
  </r>
  <r>
    <n v="310"/>
    <n v="120"/>
    <s v="南池袋マンション"/>
    <s v="301"/>
    <n v="38.04"/>
    <n v="631"/>
    <x v="0"/>
    <s v="1DK"/>
    <n v="105000"/>
    <n v="0"/>
    <n v="0"/>
    <n v="0"/>
    <n v="105000"/>
    <n v="105000"/>
    <n v="0"/>
    <n v="105000"/>
    <n v="105000"/>
    <s v="日本人等"/>
    <x v="0"/>
    <s v=""/>
    <m/>
    <s v="120_301"/>
    <n v="105000"/>
    <m/>
    <n v="1"/>
    <n v="105000"/>
    <n v="0"/>
    <n v="0"/>
    <n v="1"/>
    <x v="0"/>
  </r>
  <r>
    <n v="311"/>
    <n v="120"/>
    <s v="南池袋マンション"/>
    <s v="302"/>
    <n v="51.96"/>
    <n v="631"/>
    <x v="0"/>
    <s v="2LDK"/>
    <n v="120000"/>
    <n v="5000"/>
    <n v="0"/>
    <n v="0"/>
    <n v="125000"/>
    <n v="125000"/>
    <n v="0"/>
    <n v="125000"/>
    <n v="125000"/>
    <s v="日本人等"/>
    <x v="0"/>
    <s v=""/>
    <m/>
    <s v="120_302"/>
    <n v="136000"/>
    <m/>
    <n v="1"/>
    <n v="125000"/>
    <n v="0"/>
    <n v="-11000"/>
    <n v="1"/>
    <x v="0"/>
  </r>
  <r>
    <n v="312"/>
    <n v="120"/>
    <s v="南池袋マンション"/>
    <s v="401"/>
    <n v="51.4"/>
    <n v="631"/>
    <x v="0"/>
    <s v="2LDK"/>
    <n v="136000"/>
    <n v="4000"/>
    <n v="0"/>
    <n v="0"/>
    <n v="140000"/>
    <n v="140000"/>
    <n v="0"/>
    <n v="140000"/>
    <n v="140000"/>
    <s v="日本人等"/>
    <x v="0"/>
    <s v=""/>
    <m/>
    <s v="120_401"/>
    <n v="138000"/>
    <m/>
    <n v="1"/>
    <n v="140000"/>
    <n v="0"/>
    <n v="2000"/>
    <n v="1"/>
    <x v="0"/>
  </r>
  <r>
    <n v="313"/>
    <n v="120"/>
    <s v="南池袋マンション"/>
    <s v="TD1"/>
    <s v="-"/>
    <n v="639"/>
    <x v="3"/>
    <s v="その他"/>
    <n v="0"/>
    <n v="0"/>
    <n v="0"/>
    <n v="0"/>
    <n v="0"/>
    <n v="0"/>
    <n v="0"/>
    <n v="0"/>
    <n v="0"/>
    <s v="-"/>
    <x v="1"/>
    <s v="電柱"/>
    <m/>
    <s v="120_TD1"/>
    <n v="0"/>
    <m/>
    <n v="0"/>
    <n v="0"/>
    <n v="0"/>
    <n v="0"/>
    <n v="0"/>
    <x v="0"/>
  </r>
  <r>
    <n v="314"/>
    <n v="120"/>
    <s v="南池袋マンション"/>
    <s v="VND1"/>
    <s v="-"/>
    <n v="637"/>
    <x v="7"/>
    <s v="自販機"/>
    <n v="0"/>
    <n v="0"/>
    <n v="0"/>
    <n v="0"/>
    <n v="0"/>
    <n v="0"/>
    <n v="0"/>
    <n v="0"/>
    <n v="0"/>
    <s v="-"/>
    <x v="0"/>
    <m/>
    <m/>
    <s v="120_VND1"/>
    <n v="0"/>
    <m/>
    <n v="0"/>
    <n v="0"/>
    <n v="0"/>
    <n v="0"/>
    <n v="0"/>
    <x v="0"/>
  </r>
  <r>
    <n v="315"/>
    <n v="221"/>
    <s v="ビジネス新大阪123号"/>
    <s v="724"/>
    <n v="15.4"/>
    <n v="632"/>
    <x v="1"/>
    <s v="1R"/>
    <n v="0"/>
    <n v="0"/>
    <n v="0"/>
    <n v="0"/>
    <n v="0"/>
    <n v="35000"/>
    <n v="0"/>
    <n v="35000"/>
    <n v="35000"/>
    <s v="-"/>
    <x v="0"/>
    <s v="一時的な空室"/>
    <m/>
    <s v="221_724"/>
    <n v="35000"/>
    <m/>
    <n v="0"/>
    <n v="35000"/>
    <n v="0"/>
    <n v="0"/>
    <n v="1"/>
    <x v="0"/>
  </r>
  <r>
    <n v="316"/>
    <n v="222"/>
    <s v="プラウD目白301号"/>
    <s v="201"/>
    <n v="76.5"/>
    <n v="631"/>
    <x v="0"/>
    <s v="2LDK"/>
    <n v="0"/>
    <n v="0"/>
    <n v="0"/>
    <n v="0"/>
    <n v="0"/>
    <n v="295000"/>
    <n v="0"/>
    <n v="295000"/>
    <n v="295000"/>
    <s v="-"/>
    <x v="1"/>
    <s v="自己利用社宅"/>
    <m/>
    <s v="222_201"/>
    <n v="295000"/>
    <m/>
    <n v="0"/>
    <n v="295000"/>
    <n v="0"/>
    <n v="0"/>
    <n v="1"/>
    <x v="0"/>
  </r>
  <r>
    <n v="317"/>
    <n v="121"/>
    <s v="目白アパート1号館"/>
    <n v="101"/>
    <n v="76.5"/>
    <n v="631"/>
    <x v="0"/>
    <s v="2LDK"/>
    <n v="330000"/>
    <n v="0"/>
    <n v="0"/>
    <n v="0"/>
    <n v="330000"/>
    <n v="330000"/>
    <n v="0"/>
    <n v="330000"/>
    <n v="330000"/>
    <s v="日本人等"/>
    <x v="0"/>
    <m/>
    <m/>
    <s v="222_201"/>
    <n v="330000"/>
    <m/>
    <n v="1"/>
    <n v="330000"/>
    <n v="0"/>
    <n v="0"/>
    <n v="1"/>
    <x v="0"/>
  </r>
  <r>
    <n v="318"/>
    <n v="122"/>
    <s v="目白アパート2号館"/>
    <n v="101"/>
    <n v="76.5"/>
    <n v="631"/>
    <x v="0"/>
    <s v="2LDK"/>
    <n v="160000"/>
    <n v="0"/>
    <n v="0"/>
    <n v="0"/>
    <n v="160000"/>
    <n v="160000"/>
    <n v="0"/>
    <n v="160000"/>
    <n v="160000"/>
    <s v="日本人等"/>
    <x v="0"/>
    <m/>
    <m/>
    <s v="222_201"/>
    <n v="160000"/>
    <m/>
    <n v="1"/>
    <n v="160000"/>
    <n v="0"/>
    <n v="0"/>
    <n v="1"/>
    <x v="0"/>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pivotCacheRecords>
</file>

<file path=xl/pivotCache/pivotCacheRecords1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x v="0"/>
    <n v="101"/>
    <x v="0"/>
    <s v="101"/>
    <n v="16.89"/>
    <n v="631"/>
    <x v="0"/>
    <s v="1K"/>
    <n v="62000"/>
    <n v="3000"/>
    <n v="0"/>
    <n v="0"/>
    <n v="65000"/>
    <n v="65000"/>
    <n v="0"/>
    <n v="65000"/>
    <n v="65000"/>
    <s v="日本人等"/>
    <x v="0"/>
    <s v=""/>
    <m/>
    <s v="101_101"/>
    <n v="65000"/>
    <m/>
    <n v="1"/>
    <n v="65000"/>
    <n v="0"/>
    <n v="0"/>
    <n v="1"/>
    <x v="0"/>
  </r>
  <r>
    <x v="1"/>
    <n v="101"/>
    <x v="0"/>
    <s v="102"/>
    <n v="16.75"/>
    <n v="631"/>
    <x v="0"/>
    <s v="1K"/>
    <n v="62000"/>
    <n v="3000"/>
    <n v="0"/>
    <n v="0"/>
    <n v="65000"/>
    <n v="65000"/>
    <n v="0"/>
    <n v="65000"/>
    <n v="65000"/>
    <s v="日本人等"/>
    <x v="0"/>
    <s v=""/>
    <m/>
    <s v="101_102"/>
    <n v="61000"/>
    <m/>
    <n v="1"/>
    <n v="65000"/>
    <n v="0"/>
    <n v="4000"/>
    <n v="1"/>
    <x v="0"/>
  </r>
  <r>
    <x v="2"/>
    <n v="101"/>
    <x v="0"/>
    <s v="103"/>
    <n v="16.600000000000001"/>
    <n v="631"/>
    <x v="0"/>
    <s v="1K"/>
    <n v="69800"/>
    <n v="0"/>
    <n v="0"/>
    <n v="0"/>
    <n v="69800"/>
    <n v="69800"/>
    <n v="0"/>
    <n v="69800"/>
    <n v="69800"/>
    <s v="日本人等"/>
    <x v="0"/>
    <s v=""/>
    <m/>
    <s v="101_103"/>
    <n v="66000"/>
    <m/>
    <n v="1"/>
    <n v="69800"/>
    <n v="0"/>
    <n v="3800"/>
    <n v="1"/>
    <x v="0"/>
  </r>
  <r>
    <x v="3"/>
    <n v="101"/>
    <x v="0"/>
    <s v="105"/>
    <n v="16.739999999999998"/>
    <n v="631"/>
    <x v="0"/>
    <s v="1K"/>
    <n v="60000"/>
    <n v="3000"/>
    <n v="0"/>
    <n v="0"/>
    <n v="63000"/>
    <n v="70000"/>
    <n v="0"/>
    <n v="70000"/>
    <n v="63000"/>
    <s v="法人契約"/>
    <x v="0"/>
    <s v=""/>
    <m/>
    <s v="101_105"/>
    <n v="62000"/>
    <m/>
    <n v="1"/>
    <n v="63000"/>
    <n v="7000"/>
    <n v="1000"/>
    <n v="1"/>
    <x v="0"/>
  </r>
  <r>
    <x v="4"/>
    <n v="101"/>
    <x v="0"/>
    <s v="106"/>
    <n v="16.739999999999998"/>
    <n v="631"/>
    <x v="0"/>
    <s v="1K"/>
    <n v="64000"/>
    <n v="3000"/>
    <n v="0"/>
    <n v="0"/>
    <n v="67000"/>
    <n v="67000"/>
    <n v="0"/>
    <n v="67000"/>
    <n v="67000"/>
    <s v="中華系"/>
    <x v="0"/>
    <s v=""/>
    <m/>
    <s v="101_106"/>
    <n v="65000"/>
    <m/>
    <n v="1"/>
    <n v="67000"/>
    <n v="0"/>
    <n v="2000"/>
    <n v="1"/>
    <x v="0"/>
  </r>
  <r>
    <x v="5"/>
    <n v="101"/>
    <x v="0"/>
    <s v="201"/>
    <n v="16.53"/>
    <n v="631"/>
    <x v="0"/>
    <s v="1K"/>
    <n v="56000"/>
    <n v="3000"/>
    <n v="0"/>
    <n v="0"/>
    <n v="59000"/>
    <n v="67000"/>
    <n v="0"/>
    <n v="67000"/>
    <n v="59000"/>
    <s v="日本人等"/>
    <x v="0"/>
    <s v=""/>
    <m/>
    <s v="101_201"/>
    <n v="67000"/>
    <m/>
    <n v="1"/>
    <n v="59000"/>
    <n v="8000"/>
    <n v="-8000"/>
    <n v="1"/>
    <x v="0"/>
  </r>
  <r>
    <x v="6"/>
    <n v="101"/>
    <x v="0"/>
    <s v="202"/>
    <n v="16.75"/>
    <n v="631"/>
    <x v="0"/>
    <s v="1K"/>
    <n v="62000"/>
    <n v="3000"/>
    <n v="0"/>
    <n v="0"/>
    <n v="65000"/>
    <n v="65000"/>
    <n v="0"/>
    <n v="65000"/>
    <n v="65000"/>
    <s v="住居法人契約"/>
    <x v="0"/>
    <s v=""/>
    <m/>
    <s v="101_202"/>
    <n v="65000"/>
    <m/>
    <n v="1"/>
    <n v="65000"/>
    <n v="0"/>
    <n v="0"/>
    <n v="1"/>
    <x v="0"/>
  </r>
  <r>
    <x v="7"/>
    <n v="101"/>
    <x v="0"/>
    <s v="203"/>
    <n v="16.600000000000001"/>
    <n v="631"/>
    <x v="0"/>
    <s v="1K"/>
    <n v="63000"/>
    <n v="3000"/>
    <n v="0"/>
    <n v="0"/>
    <n v="66000"/>
    <n v="70000"/>
    <n v="0"/>
    <n v="70000"/>
    <n v="66000"/>
    <s v="日本人等"/>
    <x v="0"/>
    <s v=""/>
    <m/>
    <s v="101_203"/>
    <n v="67000"/>
    <m/>
    <n v="1"/>
    <n v="66000"/>
    <n v="4000"/>
    <n v="-1000"/>
    <n v="1"/>
    <x v="0"/>
  </r>
  <r>
    <x v="8"/>
    <n v="101"/>
    <x v="0"/>
    <s v="205"/>
    <n v="16.739999999999998"/>
    <n v="631"/>
    <x v="0"/>
    <s v="1K"/>
    <n v="63000"/>
    <n v="3000"/>
    <n v="0"/>
    <n v="0"/>
    <n v="66000"/>
    <n v="68000"/>
    <n v="0"/>
    <n v="68000"/>
    <n v="66000"/>
    <s v="日本人等"/>
    <x v="0"/>
    <s v=""/>
    <m/>
    <s v="101_205"/>
    <n v="67000"/>
    <m/>
    <n v="1"/>
    <n v="66000"/>
    <n v="2000"/>
    <n v="-1000"/>
    <n v="1"/>
    <x v="0"/>
  </r>
  <r>
    <x v="9"/>
    <n v="101"/>
    <x v="0"/>
    <s v="301"/>
    <n v="16.559999999999999"/>
    <n v="631"/>
    <x v="0"/>
    <s v="1K"/>
    <n v="62000"/>
    <n v="0"/>
    <n v="0"/>
    <n v="0"/>
    <n v="62000"/>
    <n v="62000"/>
    <n v="0"/>
    <n v="62000"/>
    <n v="62000"/>
    <s v="日本人等"/>
    <x v="0"/>
    <s v=""/>
    <m/>
    <s v="101_301"/>
    <n v="62000"/>
    <m/>
    <n v="1"/>
    <n v="62000"/>
    <n v="0"/>
    <n v="0"/>
    <n v="1"/>
    <x v="0"/>
  </r>
  <r>
    <x v="10"/>
    <n v="101"/>
    <x v="0"/>
    <s v="302"/>
    <n v="16.559999999999999"/>
    <n v="631"/>
    <x v="0"/>
    <s v="1K"/>
    <n v="63000"/>
    <n v="3000"/>
    <n v="0"/>
    <n v="0"/>
    <n v="66000"/>
    <n v="66000"/>
    <n v="0"/>
    <n v="66000"/>
    <n v="66000"/>
    <s v="日本人等"/>
    <x v="0"/>
    <s v=""/>
    <m/>
    <s v="101_302"/>
    <n v="65000"/>
    <m/>
    <n v="1"/>
    <n v="66000"/>
    <n v="0"/>
    <n v="1000"/>
    <n v="1"/>
    <x v="0"/>
  </r>
  <r>
    <x v="11"/>
    <n v="101"/>
    <x v="0"/>
    <s v="303"/>
    <n v="16.559999999999999"/>
    <n v="631"/>
    <x v="0"/>
    <s v="1K"/>
    <n v="62000"/>
    <n v="3000"/>
    <n v="0"/>
    <n v="0"/>
    <n v="65000"/>
    <n v="65000"/>
    <n v="0"/>
    <n v="65000"/>
    <n v="65000"/>
    <s v="日本人等"/>
    <x v="0"/>
    <s v=""/>
    <m/>
    <s v="101_303"/>
    <n v="65000"/>
    <m/>
    <n v="1"/>
    <n v="65000"/>
    <n v="0"/>
    <n v="0"/>
    <n v="1"/>
    <x v="0"/>
  </r>
  <r>
    <x v="12"/>
    <n v="101"/>
    <x v="0"/>
    <s v="305"/>
    <n v="16.77"/>
    <n v="631"/>
    <x v="0"/>
    <s v="1K"/>
    <n v="67000"/>
    <n v="3000"/>
    <n v="0"/>
    <n v="0"/>
    <n v="70000"/>
    <n v="70000"/>
    <n v="0"/>
    <n v="70000"/>
    <n v="70000"/>
    <s v="中華系"/>
    <x v="0"/>
    <s v=""/>
    <m/>
    <s v="101_305"/>
    <n v="68000"/>
    <m/>
    <n v="1"/>
    <n v="70000"/>
    <n v="0"/>
    <n v="2000"/>
    <n v="1"/>
    <x v="0"/>
  </r>
  <r>
    <x v="13"/>
    <n v="101"/>
    <x v="0"/>
    <s v="306"/>
    <n v="16.53"/>
    <n v="631"/>
    <x v="0"/>
    <s v="1K"/>
    <n v="57000"/>
    <n v="3000"/>
    <n v="0"/>
    <n v="0"/>
    <n v="60000"/>
    <n v="70000"/>
    <n v="0"/>
    <n v="70000"/>
    <n v="60000"/>
    <s v="中華系"/>
    <x v="0"/>
    <s v=""/>
    <m/>
    <s v="101_306"/>
    <n v="63000"/>
    <m/>
    <n v="1"/>
    <n v="60000"/>
    <n v="10000"/>
    <n v="-3000"/>
    <n v="1"/>
    <x v="0"/>
  </r>
  <r>
    <x v="14"/>
    <n v="101"/>
    <x v="0"/>
    <s v="307"/>
    <n v="16.75"/>
    <n v="631"/>
    <x v="0"/>
    <s v="1K"/>
    <n v="56000"/>
    <n v="3000"/>
    <n v="0"/>
    <n v="0"/>
    <n v="59000"/>
    <n v="65000"/>
    <n v="0"/>
    <n v="65000"/>
    <n v="59000"/>
    <s v="日本人等"/>
    <x v="0"/>
    <s v=""/>
    <m/>
    <s v="101_307"/>
    <n v="67000"/>
    <m/>
    <n v="1"/>
    <n v="59000"/>
    <n v="6000"/>
    <n v="-8000"/>
    <n v="1"/>
    <x v="0"/>
  </r>
  <r>
    <x v="15"/>
    <n v="101"/>
    <x v="0"/>
    <s v="308"/>
    <n v="16.600000000000001"/>
    <n v="631"/>
    <x v="0"/>
    <s v="1K"/>
    <n v="69000"/>
    <n v="0"/>
    <n v="0"/>
    <n v="0"/>
    <n v="69000"/>
    <n v="69000"/>
    <n v="0"/>
    <n v="69000"/>
    <n v="69000"/>
    <s v="日本人等"/>
    <x v="0"/>
    <s v=""/>
    <m/>
    <s v="101_308"/>
    <n v="69000"/>
    <m/>
    <n v="1"/>
    <n v="69000"/>
    <n v="0"/>
    <n v="0"/>
    <n v="1"/>
    <x v="0"/>
  </r>
  <r>
    <x v="16"/>
    <n v="101"/>
    <x v="0"/>
    <s v="401"/>
    <n v="16.559999999999999"/>
    <n v="631"/>
    <x v="0"/>
    <s v="1K"/>
    <n v="67000"/>
    <n v="3000"/>
    <n v="0"/>
    <n v="0"/>
    <n v="70000"/>
    <n v="70000"/>
    <n v="0"/>
    <n v="70000"/>
    <n v="70000"/>
    <s v="日本人等"/>
    <x v="0"/>
    <s v=""/>
    <m/>
    <s v="101_401"/>
    <n v="66000"/>
    <m/>
    <n v="1"/>
    <n v="70000"/>
    <n v="0"/>
    <n v="4000"/>
    <n v="1"/>
    <x v="0"/>
  </r>
  <r>
    <x v="17"/>
    <n v="101"/>
    <x v="0"/>
    <s v="402"/>
    <n v="16.559999999999999"/>
    <n v="631"/>
    <x v="0"/>
    <s v="1K"/>
    <n v="62000"/>
    <n v="2000"/>
    <n v="0"/>
    <n v="0"/>
    <n v="64000"/>
    <n v="64000"/>
    <n v="0"/>
    <n v="64000"/>
    <n v="64000"/>
    <s v="日本人等"/>
    <x v="0"/>
    <s v=""/>
    <m/>
    <s v="101_402"/>
    <n v="64000"/>
    <m/>
    <n v="1"/>
    <n v="64000"/>
    <n v="0"/>
    <n v="0"/>
    <n v="1"/>
    <x v="0"/>
  </r>
  <r>
    <x v="18"/>
    <n v="101"/>
    <x v="0"/>
    <s v="403"/>
    <n v="16.559999999999999"/>
    <n v="631"/>
    <x v="0"/>
    <s v="1K"/>
    <n v="60000"/>
    <n v="3000"/>
    <n v="0"/>
    <n v="0"/>
    <n v="63000"/>
    <n v="70000"/>
    <n v="0"/>
    <n v="70000"/>
    <n v="63000"/>
    <s v="日本人等"/>
    <x v="0"/>
    <s v=""/>
    <m/>
    <s v="101_403"/>
    <n v="65000"/>
    <m/>
    <n v="1"/>
    <n v="63000"/>
    <n v="7000"/>
    <n v="-2000"/>
    <n v="1"/>
    <x v="0"/>
  </r>
  <r>
    <x v="19"/>
    <n v="101"/>
    <x v="0"/>
    <s v="405"/>
    <n v="16.77"/>
    <n v="631"/>
    <x v="0"/>
    <s v="1K"/>
    <n v="69000"/>
    <n v="3000"/>
    <n v="0"/>
    <n v="0"/>
    <n v="72000"/>
    <n v="72000"/>
    <n v="0"/>
    <n v="72000"/>
    <n v="72000"/>
    <s v="日本人等"/>
    <x v="0"/>
    <s v=""/>
    <m/>
    <s v="101_405"/>
    <n v="65000"/>
    <m/>
    <n v="1"/>
    <n v="72000"/>
    <n v="0"/>
    <n v="7000"/>
    <n v="1"/>
    <x v="0"/>
  </r>
  <r>
    <x v="20"/>
    <n v="101"/>
    <x v="0"/>
    <s v="406"/>
    <n v="16.53"/>
    <n v="631"/>
    <x v="0"/>
    <s v="1K"/>
    <n v="62000"/>
    <n v="3000"/>
    <n v="0"/>
    <n v="0"/>
    <n v="65000"/>
    <n v="70000"/>
    <n v="0"/>
    <n v="70000"/>
    <n v="65000"/>
    <s v="日本人等"/>
    <x v="0"/>
    <s v=""/>
    <m/>
    <s v="101_406"/>
    <n v="70000"/>
    <m/>
    <n v="1"/>
    <n v="65000"/>
    <n v="5000"/>
    <n v="-5000"/>
    <n v="1"/>
    <x v="0"/>
  </r>
  <r>
    <x v="21"/>
    <n v="101"/>
    <x v="0"/>
    <s v="407"/>
    <n v="17.829999999999998"/>
    <n v="631"/>
    <x v="0"/>
    <s v="1K"/>
    <n v="67000"/>
    <n v="0"/>
    <n v="0"/>
    <n v="0"/>
    <n v="67000"/>
    <n v="67000"/>
    <n v="0"/>
    <n v="67000"/>
    <n v="67000"/>
    <s v="日本人等"/>
    <x v="0"/>
    <s v=""/>
    <m/>
    <s v="101_407"/>
    <n v="67000"/>
    <m/>
    <n v="1"/>
    <n v="67000"/>
    <n v="0"/>
    <n v="0"/>
    <n v="1"/>
    <x v="0"/>
  </r>
  <r>
    <x v="22"/>
    <n v="101"/>
    <x v="0"/>
    <s v="100"/>
    <n v="104.58"/>
    <n v="632"/>
    <x v="1"/>
    <s v="事務所"/>
    <n v="275000"/>
    <n v="0"/>
    <n v="0"/>
    <n v="27500"/>
    <n v="302500"/>
    <n v="275000"/>
    <n v="27500"/>
    <n v="302500"/>
    <n v="302500"/>
    <s v="法人契約"/>
    <x v="0"/>
    <s v=""/>
    <m/>
    <s v="101_100"/>
    <n v="250000"/>
    <m/>
    <n v="1"/>
    <n v="275000"/>
    <n v="0"/>
    <n v="25000"/>
    <n v="1"/>
    <x v="0"/>
  </r>
  <r>
    <x v="23"/>
    <n v="101"/>
    <x v="0"/>
    <s v="RF1"/>
    <n v="0"/>
    <n v="635"/>
    <x v="2"/>
    <s v="その他"/>
    <n v="90000"/>
    <n v="0"/>
    <n v="0"/>
    <n v="9000"/>
    <n v="99000"/>
    <n v="90000"/>
    <n v="9000"/>
    <n v="99000"/>
    <n v="99000"/>
    <s v="-"/>
    <x v="0"/>
    <s v="楽天"/>
    <m/>
    <s v="101_RF1"/>
    <n v="0"/>
    <m/>
    <n v="1"/>
    <n v="90000"/>
    <n v="0"/>
    <n v="90000"/>
    <n v="1"/>
    <x v="0"/>
  </r>
  <r>
    <x v="24"/>
    <n v="101"/>
    <x v="0"/>
    <s v="NTF1"/>
    <s v="-"/>
    <n v="639"/>
    <x v="3"/>
    <s v="その他"/>
    <n v="0"/>
    <n v="0"/>
    <n v="0"/>
    <n v="0"/>
    <n v="0"/>
    <n v="0"/>
    <n v="0"/>
    <n v="0"/>
    <n v="0"/>
    <s v="-"/>
    <x v="1"/>
    <s v="フレッツ光"/>
    <m/>
    <s v="101_NTF1"/>
    <n v="0"/>
    <m/>
    <n v="0"/>
    <n v="0"/>
    <n v="0"/>
    <n v="0"/>
    <n v="0"/>
    <x v="0"/>
  </r>
  <r>
    <x v="25"/>
    <n v="102"/>
    <x v="1"/>
    <s v="101"/>
    <n v="23.95"/>
    <n v="631"/>
    <x v="0"/>
    <s v="1K"/>
    <n v="73000"/>
    <n v="7000"/>
    <n v="0"/>
    <n v="0"/>
    <n v="80000"/>
    <n v="80000"/>
    <n v="0"/>
    <n v="80000"/>
    <n v="80000"/>
    <s v="日本人等"/>
    <x v="0"/>
    <s v=""/>
    <m/>
    <s v="102_101"/>
    <n v="63000"/>
    <m/>
    <n v="1"/>
    <n v="80000"/>
    <n v="0"/>
    <n v="17000"/>
    <n v="1"/>
    <x v="0"/>
  </r>
  <r>
    <x v="26"/>
    <n v="102"/>
    <x v="1"/>
    <s v="102"/>
    <n v="20.079999999999998"/>
    <n v="631"/>
    <x v="0"/>
    <s v="1K"/>
    <n v="55000"/>
    <n v="7000"/>
    <n v="0"/>
    <n v="0"/>
    <n v="62000"/>
    <n v="62000"/>
    <n v="0"/>
    <n v="62000"/>
    <n v="62000"/>
    <s v="日本人等"/>
    <x v="0"/>
    <s v=""/>
    <m/>
    <s v="102_102"/>
    <n v="62000"/>
    <m/>
    <n v="1"/>
    <n v="62000"/>
    <n v="0"/>
    <n v="0"/>
    <n v="1"/>
    <x v="0"/>
  </r>
  <r>
    <x v="27"/>
    <n v="102"/>
    <x v="1"/>
    <s v="103"/>
    <n v="23.25"/>
    <n v="631"/>
    <x v="0"/>
    <s v="1K"/>
    <n v="70000"/>
    <n v="7000"/>
    <n v="0"/>
    <n v="0"/>
    <n v="77000"/>
    <n v="77000"/>
    <n v="0"/>
    <n v="77000"/>
    <n v="77000"/>
    <s v="中華系"/>
    <x v="0"/>
    <s v=""/>
    <m/>
    <s v="102_103"/>
    <n v="68000"/>
    <m/>
    <n v="1"/>
    <n v="77000"/>
    <n v="0"/>
    <n v="9000"/>
    <n v="1"/>
    <x v="0"/>
  </r>
  <r>
    <x v="28"/>
    <n v="102"/>
    <x v="1"/>
    <s v="105"/>
    <n v="23.25"/>
    <n v="631"/>
    <x v="0"/>
    <s v="1K"/>
    <n v="72000"/>
    <n v="7000"/>
    <n v="0"/>
    <n v="0"/>
    <n v="79000"/>
    <n v="79000"/>
    <n v="0"/>
    <n v="79000"/>
    <n v="79000"/>
    <s v="中華系"/>
    <x v="0"/>
    <s v=""/>
    <m/>
    <s v="102_105"/>
    <n v="67000"/>
    <m/>
    <n v="1"/>
    <n v="79000"/>
    <n v="0"/>
    <n v="12000"/>
    <n v="1"/>
    <x v="0"/>
  </r>
  <r>
    <x v="29"/>
    <n v="102"/>
    <x v="1"/>
    <s v="106"/>
    <n v="27.3"/>
    <n v="631"/>
    <x v="0"/>
    <s v="1K"/>
    <n v="73000"/>
    <n v="7000"/>
    <n v="0"/>
    <n v="0"/>
    <n v="80000"/>
    <n v="80000"/>
    <n v="0"/>
    <n v="80000"/>
    <n v="80000"/>
    <s v="中華系"/>
    <x v="0"/>
    <s v=""/>
    <m/>
    <s v="102_106"/>
    <n v="75000"/>
    <m/>
    <n v="1"/>
    <n v="80000"/>
    <n v="0"/>
    <n v="5000"/>
    <n v="1"/>
    <x v="0"/>
  </r>
  <r>
    <x v="30"/>
    <n v="102"/>
    <x v="1"/>
    <s v="107"/>
    <n v="27.3"/>
    <n v="631"/>
    <x v="0"/>
    <s v="1K"/>
    <n v="78000"/>
    <n v="7000"/>
    <n v="0"/>
    <n v="0"/>
    <n v="85000"/>
    <n v="85000"/>
    <n v="0"/>
    <n v="85000"/>
    <n v="85000"/>
    <s v="日本人等"/>
    <x v="0"/>
    <s v=""/>
    <m/>
    <s v="102_107"/>
    <n v="70000"/>
    <m/>
    <n v="1"/>
    <n v="85000"/>
    <n v="0"/>
    <n v="15000"/>
    <n v="1"/>
    <x v="0"/>
  </r>
  <r>
    <x v="31"/>
    <n v="102"/>
    <x v="1"/>
    <s v="108"/>
    <n v="22.98"/>
    <n v="631"/>
    <x v="0"/>
    <s v="1K"/>
    <n v="68000"/>
    <n v="7000"/>
    <n v="0"/>
    <n v="0"/>
    <n v="75000"/>
    <n v="75000"/>
    <n v="0"/>
    <n v="75000"/>
    <n v="75000"/>
    <s v="日本人等"/>
    <x v="0"/>
    <s v=""/>
    <m/>
    <s v="102_108"/>
    <n v="64000"/>
    <m/>
    <n v="1"/>
    <n v="75000"/>
    <n v="0"/>
    <n v="11000"/>
    <n v="1"/>
    <x v="0"/>
  </r>
  <r>
    <x v="32"/>
    <n v="102"/>
    <x v="1"/>
    <s v="109"/>
    <n v="22.98"/>
    <n v="631"/>
    <x v="0"/>
    <s v="1K"/>
    <n v="61000"/>
    <n v="7000"/>
    <n v="0"/>
    <n v="0"/>
    <n v="68000"/>
    <n v="76000"/>
    <n v="0"/>
    <n v="76000"/>
    <n v="68000"/>
    <s v="日本人等"/>
    <x v="0"/>
    <s v=""/>
    <m/>
    <s v="102_109"/>
    <n v="66000"/>
    <m/>
    <n v="1"/>
    <n v="68000"/>
    <n v="8000"/>
    <n v="2000"/>
    <n v="1"/>
    <x v="0"/>
  </r>
  <r>
    <x v="33"/>
    <n v="102"/>
    <x v="1"/>
    <s v="110"/>
    <n v="23.27"/>
    <n v="631"/>
    <x v="0"/>
    <s v="1K"/>
    <n v="61000"/>
    <n v="7000"/>
    <n v="0"/>
    <n v="0"/>
    <n v="68000"/>
    <n v="68000"/>
    <n v="0"/>
    <n v="68000"/>
    <n v="68000"/>
    <s v="日本人等"/>
    <x v="0"/>
    <s v=""/>
    <m/>
    <s v="102_110"/>
    <n v="68000"/>
    <m/>
    <n v="1"/>
    <n v="68000"/>
    <n v="0"/>
    <n v="0"/>
    <n v="1"/>
    <x v="0"/>
  </r>
  <r>
    <x v="34"/>
    <n v="102"/>
    <x v="1"/>
    <s v="201"/>
    <n v="23.95"/>
    <n v="631"/>
    <x v="0"/>
    <s v="1K"/>
    <n v="70000"/>
    <n v="7000"/>
    <n v="0"/>
    <n v="0"/>
    <n v="77000"/>
    <n v="77000"/>
    <n v="0"/>
    <n v="77000"/>
    <n v="77000"/>
    <s v="日本人等"/>
    <x v="0"/>
    <s v=""/>
    <m/>
    <s v="102_201"/>
    <n v="93000"/>
    <m/>
    <n v="1"/>
    <n v="77000"/>
    <n v="0"/>
    <n v="-16000"/>
    <n v="1"/>
    <x v="0"/>
  </r>
  <r>
    <x v="35"/>
    <n v="102"/>
    <x v="1"/>
    <s v="202"/>
    <n v="20.079999999999998"/>
    <n v="631"/>
    <x v="0"/>
    <s v="1K"/>
    <n v="75000"/>
    <n v="7000"/>
    <n v="0"/>
    <n v="0"/>
    <n v="82000"/>
    <n v="82000"/>
    <n v="0"/>
    <n v="82000"/>
    <n v="82000"/>
    <s v="中華系"/>
    <x v="0"/>
    <s v=""/>
    <m/>
    <s v="102_202"/>
    <n v="67000"/>
    <m/>
    <n v="1"/>
    <n v="82000"/>
    <n v="0"/>
    <n v="15000"/>
    <n v="1"/>
    <x v="0"/>
  </r>
  <r>
    <x v="36"/>
    <n v="102"/>
    <x v="1"/>
    <s v="203"/>
    <n v="23.25"/>
    <n v="631"/>
    <x v="0"/>
    <s v="1K"/>
    <n v="73000"/>
    <n v="7000"/>
    <n v="0"/>
    <n v="0"/>
    <n v="80000"/>
    <n v="85000"/>
    <n v="0"/>
    <n v="85000"/>
    <n v="80000"/>
    <s v="日本人等"/>
    <x v="0"/>
    <s v=""/>
    <m/>
    <s v="102_203"/>
    <n v="77000"/>
    <m/>
    <n v="1"/>
    <n v="80000"/>
    <n v="5000"/>
    <n v="3000"/>
    <n v="1"/>
    <x v="0"/>
  </r>
  <r>
    <x v="37"/>
    <n v="102"/>
    <x v="1"/>
    <s v="205"/>
    <n v="23.25"/>
    <n v="631"/>
    <x v="0"/>
    <s v="1K"/>
    <n v="68000"/>
    <n v="7000"/>
    <n v="0"/>
    <n v="0"/>
    <n v="75000"/>
    <n v="69000"/>
    <n v="0"/>
    <n v="69000"/>
    <n v="75000"/>
    <s v="日本人等"/>
    <x v="0"/>
    <s v=""/>
    <m/>
    <s v="102_205"/>
    <n v="69000"/>
    <m/>
    <n v="1"/>
    <n v="75000"/>
    <n v="-6000"/>
    <n v="6000"/>
    <n v="1"/>
    <x v="0"/>
  </r>
  <r>
    <x v="38"/>
    <n v="102"/>
    <x v="1"/>
    <s v="206"/>
    <n v="27.3"/>
    <n v="631"/>
    <x v="0"/>
    <s v="1K"/>
    <n v="73000"/>
    <n v="7000"/>
    <n v="0"/>
    <n v="0"/>
    <n v="80000"/>
    <n v="86000"/>
    <n v="0"/>
    <n v="86000"/>
    <n v="80000"/>
    <s v="中華系"/>
    <x v="0"/>
    <s v=""/>
    <m/>
    <s v="102_206"/>
    <n v="73000"/>
    <m/>
    <n v="1"/>
    <n v="80000"/>
    <n v="6000"/>
    <n v="7000"/>
    <n v="1"/>
    <x v="0"/>
  </r>
  <r>
    <x v="39"/>
    <n v="102"/>
    <x v="1"/>
    <s v="207"/>
    <n v="27.3"/>
    <n v="631"/>
    <x v="0"/>
    <s v="1K"/>
    <n v="82000"/>
    <n v="7000"/>
    <n v="0"/>
    <n v="0"/>
    <n v="89000"/>
    <n v="92000"/>
    <n v="0"/>
    <n v="92000"/>
    <n v="89000"/>
    <s v="中華系"/>
    <x v="0"/>
    <s v=""/>
    <m/>
    <s v="102_207"/>
    <n v="72000"/>
    <m/>
    <n v="1"/>
    <n v="89000"/>
    <n v="3000"/>
    <n v="17000"/>
    <n v="1"/>
    <x v="0"/>
  </r>
  <r>
    <x v="40"/>
    <n v="102"/>
    <x v="1"/>
    <s v="208"/>
    <n v="22.98"/>
    <n v="631"/>
    <x v="0"/>
    <s v="1K"/>
    <n v="78000"/>
    <n v="7000"/>
    <n v="0"/>
    <n v="0"/>
    <n v="85000"/>
    <n v="85000"/>
    <n v="0"/>
    <n v="85000"/>
    <n v="85000"/>
    <s v="中華系"/>
    <x v="0"/>
    <s v=""/>
    <m/>
    <s v="102_208"/>
    <n v="76000"/>
    <m/>
    <n v="1"/>
    <n v="85000"/>
    <n v="0"/>
    <n v="9000"/>
    <n v="1"/>
    <x v="0"/>
  </r>
  <r>
    <x v="41"/>
    <n v="102"/>
    <x v="1"/>
    <s v="209"/>
    <n v="22.98"/>
    <n v="631"/>
    <x v="0"/>
    <s v="1K"/>
    <n v="75000"/>
    <n v="7000"/>
    <n v="0"/>
    <n v="0"/>
    <n v="82000"/>
    <n v="82000"/>
    <n v="0"/>
    <n v="82000"/>
    <n v="82000"/>
    <s v="中華系"/>
    <x v="0"/>
    <s v=""/>
    <m/>
    <s v="102_209"/>
    <n v="69000"/>
    <m/>
    <n v="1"/>
    <n v="82000"/>
    <n v="0"/>
    <n v="13000"/>
    <n v="1"/>
    <x v="0"/>
  </r>
  <r>
    <x v="42"/>
    <n v="102"/>
    <x v="1"/>
    <s v="301"/>
    <n v="23.95"/>
    <n v="631"/>
    <x v="0"/>
    <s v="1K"/>
    <n v="78000"/>
    <n v="7000"/>
    <n v="0"/>
    <n v="0"/>
    <n v="85000"/>
    <n v="85000"/>
    <n v="0"/>
    <n v="85000"/>
    <n v="85000"/>
    <s v="中華系"/>
    <x v="0"/>
    <s v=""/>
    <m/>
    <s v="102_301"/>
    <n v="75000"/>
    <m/>
    <n v="1"/>
    <n v="85000"/>
    <n v="0"/>
    <n v="10000"/>
    <n v="1"/>
    <x v="0"/>
  </r>
  <r>
    <x v="43"/>
    <n v="102"/>
    <x v="1"/>
    <s v="302"/>
    <n v="20.079999999999998"/>
    <n v="631"/>
    <x v="0"/>
    <s v="1K"/>
    <n v="65000"/>
    <n v="10000"/>
    <n v="0"/>
    <n v="0"/>
    <n v="75000"/>
    <n v="75000"/>
    <n v="0"/>
    <n v="75000"/>
    <n v="75000"/>
    <s v="日本人等"/>
    <x v="0"/>
    <s v=""/>
    <m/>
    <s v="102_302"/>
    <n v="75000"/>
    <m/>
    <n v="1"/>
    <n v="75000"/>
    <n v="0"/>
    <n v="0"/>
    <n v="1"/>
    <x v="0"/>
  </r>
  <r>
    <x v="44"/>
    <n v="102"/>
    <x v="1"/>
    <s v="303"/>
    <n v="23.25"/>
    <n v="631"/>
    <x v="0"/>
    <s v="1K"/>
    <n v="72000"/>
    <n v="7000"/>
    <n v="0"/>
    <n v="0"/>
    <n v="79000"/>
    <n v="77000"/>
    <n v="0"/>
    <n v="77000"/>
    <n v="79000"/>
    <s v="中華系"/>
    <x v="0"/>
    <s v=""/>
    <m/>
    <s v="102_303"/>
    <n v="73000"/>
    <m/>
    <n v="1"/>
    <n v="79000"/>
    <n v="-2000"/>
    <n v="6000"/>
    <n v="1"/>
    <x v="0"/>
  </r>
  <r>
    <x v="45"/>
    <n v="102"/>
    <x v="1"/>
    <s v="305"/>
    <n v="23.25"/>
    <n v="631"/>
    <x v="0"/>
    <s v="1K"/>
    <n v="78000"/>
    <n v="7000"/>
    <n v="0"/>
    <n v="0"/>
    <n v="85000"/>
    <n v="85000"/>
    <n v="0"/>
    <n v="85000"/>
    <n v="85000"/>
    <s v="中華系"/>
    <x v="0"/>
    <s v=""/>
    <m/>
    <s v="102_305"/>
    <n v="73000"/>
    <m/>
    <n v="1"/>
    <n v="85000"/>
    <n v="0"/>
    <n v="12000"/>
    <n v="1"/>
    <x v="0"/>
  </r>
  <r>
    <x v="46"/>
    <n v="102"/>
    <x v="1"/>
    <s v="306"/>
    <n v="27.3"/>
    <n v="631"/>
    <x v="0"/>
    <s v="1K"/>
    <n v="73000"/>
    <n v="7000"/>
    <n v="0"/>
    <n v="0"/>
    <n v="80000"/>
    <n v="75000"/>
    <n v="0"/>
    <n v="75000"/>
    <n v="80000"/>
    <s v="中華系"/>
    <x v="0"/>
    <s v=""/>
    <m/>
    <s v="102_306"/>
    <n v="75000"/>
    <m/>
    <n v="1"/>
    <n v="80000"/>
    <n v="-5000"/>
    <n v="5000"/>
    <n v="1"/>
    <x v="0"/>
  </r>
  <r>
    <x v="47"/>
    <n v="102"/>
    <x v="1"/>
    <s v="307"/>
    <n v="27.3"/>
    <n v="631"/>
    <x v="0"/>
    <s v="1K"/>
    <n v="85000"/>
    <n v="7000"/>
    <n v="0"/>
    <n v="0"/>
    <n v="92000"/>
    <n v="92000"/>
    <n v="0"/>
    <n v="92000"/>
    <n v="92000"/>
    <s v="中華系"/>
    <x v="0"/>
    <s v=""/>
    <m/>
    <s v="102_307"/>
    <n v="73000"/>
    <m/>
    <n v="1"/>
    <n v="92000"/>
    <n v="0"/>
    <n v="19000"/>
    <n v="1"/>
    <x v="0"/>
  </r>
  <r>
    <x v="48"/>
    <n v="102"/>
    <x v="1"/>
    <s v="308"/>
    <n v="22.98"/>
    <n v="631"/>
    <x v="0"/>
    <s v="1K"/>
    <n v="67000"/>
    <n v="7000"/>
    <n v="0"/>
    <n v="0"/>
    <n v="74000"/>
    <n v="74000"/>
    <n v="0"/>
    <n v="74000"/>
    <n v="74000"/>
    <s v="中華系"/>
    <x v="0"/>
    <s v=""/>
    <m/>
    <s v="102_308"/>
    <n v="73000"/>
    <m/>
    <n v="1"/>
    <n v="74000"/>
    <n v="0"/>
    <n v="1000"/>
    <n v="1"/>
    <x v="0"/>
  </r>
  <r>
    <x v="49"/>
    <n v="102"/>
    <x v="1"/>
    <s v="309"/>
    <n v="22.98"/>
    <n v="631"/>
    <x v="0"/>
    <s v="1K"/>
    <n v="75000"/>
    <n v="7000"/>
    <n v="0"/>
    <n v="0"/>
    <n v="82000"/>
    <n v="85000"/>
    <n v="0"/>
    <n v="85000"/>
    <n v="82000"/>
    <s v="中華系"/>
    <x v="0"/>
    <s v=""/>
    <m/>
    <s v="102_309"/>
    <n v="73000"/>
    <m/>
    <n v="1"/>
    <n v="82000"/>
    <n v="3000"/>
    <n v="9000"/>
    <n v="1"/>
    <x v="0"/>
  </r>
  <r>
    <x v="50"/>
    <n v="102"/>
    <x v="1"/>
    <s v="310"/>
    <n v="23.27"/>
    <n v="631"/>
    <x v="0"/>
    <s v="1K"/>
    <n v="73000"/>
    <n v="7000"/>
    <n v="0"/>
    <n v="0"/>
    <n v="80000"/>
    <n v="89000"/>
    <n v="0"/>
    <n v="89000"/>
    <n v="80000"/>
    <s v="日本人等"/>
    <x v="0"/>
    <s v=""/>
    <m/>
    <s v="102_310"/>
    <n v="74000"/>
    <m/>
    <n v="1"/>
    <n v="80000"/>
    <n v="9000"/>
    <n v="6000"/>
    <n v="1"/>
    <x v="0"/>
  </r>
  <r>
    <x v="51"/>
    <n v="102"/>
    <x v="1"/>
    <s v="311"/>
    <n v="20.92"/>
    <n v="631"/>
    <x v="0"/>
    <s v="1K"/>
    <n v="61000"/>
    <n v="7000"/>
    <n v="0"/>
    <n v="0"/>
    <n v="68000"/>
    <n v="68000"/>
    <n v="0"/>
    <n v="68000"/>
    <n v="68000"/>
    <s v="日本人等"/>
    <x v="0"/>
    <s v=""/>
    <m/>
    <s v="102_311"/>
    <n v="68000"/>
    <m/>
    <n v="1"/>
    <n v="68000"/>
    <n v="0"/>
    <n v="0"/>
    <n v="1"/>
    <x v="0"/>
  </r>
  <r>
    <x v="52"/>
    <n v="102"/>
    <x v="1"/>
    <s v="312"/>
    <n v="31.18"/>
    <n v="631"/>
    <x v="0"/>
    <s v="1K"/>
    <n v="82000"/>
    <n v="7000"/>
    <n v="0"/>
    <n v="0"/>
    <n v="89000"/>
    <n v="89000"/>
    <n v="0"/>
    <n v="89000"/>
    <n v="89000"/>
    <s v="中華系"/>
    <x v="0"/>
    <s v=""/>
    <m/>
    <s v="102_312"/>
    <n v="89000"/>
    <m/>
    <n v="1"/>
    <n v="89000"/>
    <n v="0"/>
    <n v="0"/>
    <n v="1"/>
    <x v="0"/>
  </r>
  <r>
    <x v="53"/>
    <n v="102"/>
    <x v="1"/>
    <s v="401"/>
    <n v="34.72"/>
    <n v="631"/>
    <x v="0"/>
    <s v="1K"/>
    <n v="97000"/>
    <n v="7000"/>
    <n v="0"/>
    <n v="0"/>
    <n v="104000"/>
    <n v="104000"/>
    <n v="0"/>
    <n v="104000"/>
    <n v="104000"/>
    <s v="日本人等"/>
    <x v="0"/>
    <s v=""/>
    <m/>
    <s v="102_401"/>
    <n v="97000"/>
    <m/>
    <n v="1"/>
    <n v="104000"/>
    <n v="0"/>
    <n v="7000"/>
    <n v="1"/>
    <x v="0"/>
  </r>
  <r>
    <x v="54"/>
    <n v="102"/>
    <x v="1"/>
    <s v="402"/>
    <n v="26.48"/>
    <n v="631"/>
    <x v="0"/>
    <s v="1K"/>
    <n v="92000"/>
    <n v="7000"/>
    <n v="0"/>
    <n v="0"/>
    <n v="99000"/>
    <n v="99000"/>
    <n v="0"/>
    <n v="99000"/>
    <n v="99000"/>
    <s v="中華系"/>
    <x v="0"/>
    <s v=""/>
    <m/>
    <s v="102_402"/>
    <n v="91000"/>
    <m/>
    <n v="1"/>
    <n v="99000"/>
    <n v="0"/>
    <n v="8000"/>
    <n v="1"/>
    <x v="0"/>
  </r>
  <r>
    <x v="55"/>
    <n v="102"/>
    <x v="1"/>
    <s v="403"/>
    <n v="42.38"/>
    <n v="631"/>
    <x v="0"/>
    <s v="2DK"/>
    <n v="155000"/>
    <n v="7000"/>
    <n v="0"/>
    <n v="0"/>
    <n v="162000"/>
    <n v="159000"/>
    <n v="0"/>
    <n v="159000"/>
    <n v="162000"/>
    <s v="中華系"/>
    <x v="0"/>
    <s v=""/>
    <m/>
    <s v="102_403"/>
    <n v="137000"/>
    <m/>
    <n v="1"/>
    <n v="162000"/>
    <n v="-3000"/>
    <n v="25000"/>
    <n v="1"/>
    <x v="0"/>
  </r>
  <r>
    <x v="56"/>
    <n v="102"/>
    <x v="1"/>
    <s v="405"/>
    <n v="51.25"/>
    <n v="631"/>
    <x v="0"/>
    <s v="1LDK"/>
    <n v="110000"/>
    <n v="7000"/>
    <n v="0"/>
    <n v="0"/>
    <n v="117000"/>
    <n v="117000"/>
    <n v="0"/>
    <n v="117000"/>
    <n v="117000"/>
    <s v="日本人等"/>
    <x v="0"/>
    <s v=""/>
    <m/>
    <s v="102_405"/>
    <n v="102000"/>
    <m/>
    <n v="1"/>
    <n v="117000"/>
    <n v="0"/>
    <n v="15000"/>
    <n v="1"/>
    <x v="0"/>
  </r>
  <r>
    <x v="57"/>
    <n v="102"/>
    <x v="1"/>
    <s v="406"/>
    <n v="51.25"/>
    <n v="631"/>
    <x v="0"/>
    <s v="2DK"/>
    <n v="155000"/>
    <n v="7000"/>
    <n v="0"/>
    <n v="0"/>
    <n v="162000"/>
    <n v="167000"/>
    <n v="0"/>
    <n v="167000"/>
    <n v="162000"/>
    <s v="日本人等"/>
    <x v="0"/>
    <s v=""/>
    <m/>
    <s v="102_406"/>
    <n v="147000"/>
    <m/>
    <n v="1"/>
    <n v="162000"/>
    <n v="5000"/>
    <n v="15000"/>
    <n v="1"/>
    <x v="0"/>
  </r>
  <r>
    <x v="58"/>
    <n v="102"/>
    <x v="1"/>
    <s v="407"/>
    <n v="49.79"/>
    <n v="631"/>
    <x v="0"/>
    <s v="2DK"/>
    <n v="162000"/>
    <n v="7000"/>
    <n v="0"/>
    <n v="0"/>
    <n v="169000"/>
    <n v="169000"/>
    <n v="0"/>
    <n v="169000"/>
    <n v="169000"/>
    <s v="中華系"/>
    <x v="0"/>
    <s v=""/>
    <m/>
    <s v="102_407"/>
    <n v="147000"/>
    <m/>
    <n v="1"/>
    <n v="169000"/>
    <n v="0"/>
    <n v="22000"/>
    <n v="1"/>
    <x v="0"/>
  </r>
  <r>
    <x v="59"/>
    <n v="102"/>
    <x v="1"/>
    <s v="P1"/>
    <n v="0"/>
    <n v="634"/>
    <x v="4"/>
    <s v="駐車場"/>
    <n v="33000"/>
    <n v="0"/>
    <n v="0"/>
    <n v="3000"/>
    <n v="36000"/>
    <n v="30000"/>
    <n v="3000"/>
    <n v="33000"/>
    <n v="36000"/>
    <s v="日本人等"/>
    <x v="0"/>
    <s v=""/>
    <m/>
    <s v="102_P1"/>
    <n v="30000"/>
    <m/>
    <n v="1"/>
    <n v="33000"/>
    <n v="-3000"/>
    <n v="3000"/>
    <n v="1"/>
    <x v="0"/>
  </r>
  <r>
    <x v="60"/>
    <n v="102"/>
    <x v="1"/>
    <s v="P2"/>
    <n v="0"/>
    <n v="634"/>
    <x v="4"/>
    <s v="駐車場"/>
    <n v="33000"/>
    <n v="0"/>
    <n v="0"/>
    <n v="3000"/>
    <n v="36000"/>
    <n v="30000"/>
    <n v="3000"/>
    <n v="33000"/>
    <n v="36000"/>
    <s v="法人契約"/>
    <x v="0"/>
    <s v=""/>
    <m/>
    <s v="102_P2"/>
    <n v="30000"/>
    <m/>
    <n v="1"/>
    <n v="33000"/>
    <n v="-3000"/>
    <n v="3000"/>
    <n v="1"/>
    <x v="0"/>
  </r>
  <r>
    <x v="61"/>
    <n v="102"/>
    <x v="1"/>
    <s v="CL1"/>
    <s v="-"/>
    <n v="639"/>
    <x v="3"/>
    <s v="その他"/>
    <n v="0"/>
    <n v="0"/>
    <n v="0"/>
    <n v="0"/>
    <n v="0"/>
    <n v="0"/>
    <n v="0"/>
    <n v="0"/>
    <n v="0"/>
    <s v="-"/>
    <x v="1"/>
    <s v="コインランドリー"/>
    <m/>
    <s v="102_CL1"/>
    <n v="0"/>
    <m/>
    <n v="0"/>
    <n v="0"/>
    <n v="0"/>
    <n v="0"/>
    <n v="0"/>
    <x v="0"/>
  </r>
  <r>
    <x v="62"/>
    <n v="103"/>
    <x v="2"/>
    <s v="101"/>
    <n v="58.31"/>
    <n v="632"/>
    <x v="1"/>
    <s v="事務所"/>
    <n v="157408"/>
    <n v="0"/>
    <n v="0"/>
    <n v="15740"/>
    <n v="173148"/>
    <n v="157407"/>
    <n v="15740.727272727272"/>
    <n v="173147.72727272726"/>
    <n v="173148"/>
    <s v="法人契約"/>
    <x v="0"/>
    <s v=""/>
    <m/>
    <s v="103_101"/>
    <n v="175000"/>
    <m/>
    <n v="1"/>
    <n v="157408"/>
    <n v="-1"/>
    <n v="-17592"/>
    <n v="1"/>
    <x v="0"/>
  </r>
  <r>
    <x v="63"/>
    <n v="103"/>
    <x v="2"/>
    <s v="102"/>
    <n v="57"/>
    <n v="632"/>
    <x v="1"/>
    <s v="事務所"/>
    <n v="172222"/>
    <n v="0"/>
    <n v="0"/>
    <n v="17222"/>
    <n v="189444"/>
    <n v="172221"/>
    <n v="17222.18181818182"/>
    <n v="189443.18181818182"/>
    <n v="189444"/>
    <s v="日本人等"/>
    <x v="0"/>
    <s v=""/>
    <m/>
    <s v="103_102"/>
    <n v="350000"/>
    <m/>
    <n v="1"/>
    <n v="172222"/>
    <n v="-1"/>
    <n v="-177778"/>
    <n v="1"/>
    <x v="0"/>
  </r>
  <r>
    <x v="64"/>
    <n v="103"/>
    <x v="2"/>
    <s v="103"/>
    <n v="56.89"/>
    <n v="632"/>
    <x v="1"/>
    <s v="事務所"/>
    <n v="170000"/>
    <n v="0"/>
    <n v="0"/>
    <n v="17000"/>
    <n v="187000"/>
    <n v="170000"/>
    <n v="17000"/>
    <n v="187000"/>
    <n v="187000"/>
    <s v="法人契約"/>
    <x v="0"/>
    <s v=""/>
    <m/>
    <s v="103_103"/>
    <n v="170000"/>
    <m/>
    <n v="1"/>
    <n v="170000"/>
    <n v="0"/>
    <n v="0"/>
    <n v="1"/>
    <x v="0"/>
  </r>
  <r>
    <x v="65"/>
    <n v="103"/>
    <x v="2"/>
    <s v="201"/>
    <n v="51.3"/>
    <n v="633"/>
    <x v="5"/>
    <s v="事務所"/>
    <n v="180000"/>
    <n v="0"/>
    <n v="0"/>
    <n v="18000"/>
    <n v="198000"/>
    <n v="180000"/>
    <n v="18000"/>
    <n v="198000"/>
    <n v="198000"/>
    <s v="法人契約"/>
    <x v="0"/>
    <s v=""/>
    <m/>
    <s v="103_201"/>
    <n v="180000"/>
    <m/>
    <n v="1"/>
    <n v="180000"/>
    <n v="0"/>
    <n v="0"/>
    <n v="1"/>
    <x v="0"/>
  </r>
  <r>
    <x v="66"/>
    <n v="103"/>
    <x v="2"/>
    <s v="202"/>
    <n v="50"/>
    <n v="633"/>
    <x v="5"/>
    <s v="事務所"/>
    <n v="150000"/>
    <n v="0"/>
    <n v="0"/>
    <n v="15000"/>
    <n v="165000"/>
    <n v="150000"/>
    <n v="15000"/>
    <n v="165000"/>
    <n v="165000"/>
    <s v="法人契約"/>
    <x v="0"/>
    <s v=""/>
    <m/>
    <s v="103_202"/>
    <n v="150000"/>
    <m/>
    <n v="1"/>
    <n v="150000"/>
    <n v="0"/>
    <n v="0"/>
    <n v="1"/>
    <x v="0"/>
  </r>
  <r>
    <x v="67"/>
    <n v="103"/>
    <x v="2"/>
    <s v="203"/>
    <n v="26.4"/>
    <n v="632"/>
    <x v="1"/>
    <s v="事務所"/>
    <n v="85715"/>
    <n v="0"/>
    <n v="0"/>
    <n v="8571"/>
    <n v="94286"/>
    <n v="85715"/>
    <n v="8571.545454545454"/>
    <n v="94286.545454545456"/>
    <n v="94286"/>
    <s v="法人契約"/>
    <x v="0"/>
    <s v=""/>
    <m/>
    <s v="103_203"/>
    <n v="85715"/>
    <m/>
    <n v="1"/>
    <n v="85715"/>
    <n v="0"/>
    <n v="0"/>
    <n v="1"/>
    <x v="0"/>
  </r>
  <r>
    <x v="68"/>
    <n v="103"/>
    <x v="2"/>
    <s v="301"/>
    <n v="51.3"/>
    <n v="631"/>
    <x v="0"/>
    <s v="2LDK"/>
    <n v="218000"/>
    <n v="0"/>
    <n v="0"/>
    <n v="0"/>
    <n v="218000"/>
    <n v="218000"/>
    <n v="0"/>
    <n v="218000"/>
    <n v="218000"/>
    <s v="日本人等"/>
    <x v="0"/>
    <s v=""/>
    <m/>
    <s v="103_301"/>
    <n v="165000"/>
    <m/>
    <n v="1"/>
    <n v="218000"/>
    <n v="0"/>
    <n v="53000"/>
    <n v="1"/>
    <x v="0"/>
  </r>
  <r>
    <x v="69"/>
    <n v="103"/>
    <x v="2"/>
    <s v="302"/>
    <n v="52.02"/>
    <n v="631"/>
    <x v="0"/>
    <s v="2DK"/>
    <n v="208000"/>
    <n v="0"/>
    <n v="0"/>
    <n v="0"/>
    <n v="208000"/>
    <n v="208000"/>
    <n v="0"/>
    <n v="208000"/>
    <n v="208000"/>
    <s v="住居法人契約"/>
    <x v="0"/>
    <s v=""/>
    <m/>
    <s v="103_302"/>
    <n v="165000"/>
    <m/>
    <n v="1"/>
    <n v="208000"/>
    <n v="0"/>
    <n v="43000"/>
    <n v="1"/>
    <x v="0"/>
  </r>
  <r>
    <x v="70"/>
    <n v="103"/>
    <x v="2"/>
    <s v="303"/>
    <n v="71.069999999999993"/>
    <n v="631"/>
    <x v="0"/>
    <s v="2LDK"/>
    <n v="220000"/>
    <n v="0"/>
    <n v="0"/>
    <n v="0"/>
    <n v="220000"/>
    <n v="220000"/>
    <n v="0"/>
    <n v="220000"/>
    <n v="220000"/>
    <s v="住居法人契約"/>
    <x v="0"/>
    <s v=""/>
    <m/>
    <s v="103_303"/>
    <n v="188000"/>
    <m/>
    <n v="1"/>
    <n v="220000"/>
    <n v="0"/>
    <n v="32000"/>
    <n v="1"/>
    <x v="0"/>
  </r>
  <r>
    <x v="71"/>
    <n v="103"/>
    <x v="2"/>
    <s v="401"/>
    <n v="51.3"/>
    <n v="631"/>
    <x v="0"/>
    <s v="2LDK"/>
    <n v="198000"/>
    <n v="10000"/>
    <n v="0"/>
    <n v="0"/>
    <n v="208000"/>
    <n v="198000"/>
    <n v="0"/>
    <n v="198000"/>
    <n v="208000"/>
    <s v="日本人等"/>
    <x v="0"/>
    <s v=""/>
    <m/>
    <s v="103_401"/>
    <n v="180000"/>
    <m/>
    <n v="1"/>
    <n v="208000"/>
    <n v="-10000"/>
    <n v="28000"/>
    <n v="1"/>
    <x v="0"/>
  </r>
  <r>
    <x v="72"/>
    <n v="103"/>
    <x v="2"/>
    <s v="402"/>
    <n v="52.02"/>
    <n v="631"/>
    <x v="0"/>
    <s v="2LDK"/>
    <n v="198000"/>
    <n v="0"/>
    <n v="0"/>
    <n v="0"/>
    <n v="198000"/>
    <n v="198000"/>
    <n v="0"/>
    <n v="198000"/>
    <n v="198000"/>
    <s v="日本人等"/>
    <x v="0"/>
    <s v=""/>
    <m/>
    <s v="103_402"/>
    <n v="170000"/>
    <m/>
    <n v="1"/>
    <n v="198000"/>
    <n v="0"/>
    <n v="28000"/>
    <n v="1"/>
    <x v="0"/>
  </r>
  <r>
    <x v="73"/>
    <n v="103"/>
    <x v="2"/>
    <s v="403"/>
    <n v="41.32"/>
    <n v="631"/>
    <x v="0"/>
    <s v="2DK"/>
    <n v="140000"/>
    <n v="0"/>
    <n v="0"/>
    <n v="0"/>
    <n v="140000"/>
    <n v="130000"/>
    <n v="0"/>
    <n v="130000"/>
    <n v="140000"/>
    <s v="日本人等"/>
    <x v="0"/>
    <s v=""/>
    <m/>
    <s v="103_403"/>
    <n v="130000"/>
    <m/>
    <n v="1"/>
    <n v="140000"/>
    <n v="-10000"/>
    <n v="10000"/>
    <n v="1"/>
    <x v="0"/>
  </r>
  <r>
    <x v="74"/>
    <n v="103"/>
    <x v="2"/>
    <s v="501"/>
    <n v="48.35"/>
    <n v="631"/>
    <x v="0"/>
    <s v="2LDK"/>
    <n v="208000"/>
    <n v="10000"/>
    <n v="0"/>
    <n v="0"/>
    <n v="218000"/>
    <n v="218000"/>
    <n v="0"/>
    <n v="218000"/>
    <n v="218000"/>
    <s v="住居法人契約"/>
    <x v="0"/>
    <s v=""/>
    <m/>
    <s v="103_501"/>
    <n v="220000"/>
    <m/>
    <n v="1"/>
    <n v="218000"/>
    <n v="0"/>
    <n v="-2000"/>
    <n v="1"/>
    <x v="0"/>
  </r>
  <r>
    <x v="75"/>
    <n v="103"/>
    <x v="2"/>
    <s v="502"/>
    <n v="50.76"/>
    <n v="631"/>
    <x v="0"/>
    <s v="1LDK"/>
    <n v="188000"/>
    <n v="10000"/>
    <n v="0"/>
    <n v="0"/>
    <n v="198000"/>
    <n v="198000"/>
    <n v="0"/>
    <n v="198000"/>
    <n v="198000"/>
    <s v="日本人等"/>
    <x v="0"/>
    <s v=""/>
    <m/>
    <s v="103_502"/>
    <n v="180000"/>
    <m/>
    <n v="1"/>
    <n v="198000"/>
    <n v="0"/>
    <n v="18000"/>
    <n v="1"/>
    <x v="0"/>
  </r>
  <r>
    <x v="76"/>
    <n v="103"/>
    <x v="2"/>
    <s v="503"/>
    <n v="96.95"/>
    <n v="631"/>
    <x v="0"/>
    <s v="2LDK"/>
    <n v="305800"/>
    <n v="0"/>
    <n v="0"/>
    <n v="0"/>
    <n v="305800"/>
    <n v="305800"/>
    <n v="0"/>
    <n v="305800"/>
    <n v="305800"/>
    <s v="住居法人契約"/>
    <x v="0"/>
    <s v=""/>
    <m/>
    <s v="103_503"/>
    <n v="270000"/>
    <m/>
    <n v="1"/>
    <n v="305800"/>
    <n v="0"/>
    <n v="35800"/>
    <n v="1"/>
    <x v="0"/>
  </r>
  <r>
    <x v="77"/>
    <n v="103"/>
    <x v="2"/>
    <s v="P2"/>
    <n v="0"/>
    <n v="634"/>
    <x v="4"/>
    <s v="駐車場"/>
    <n v="40000"/>
    <n v="0"/>
    <n v="0"/>
    <n v="4000"/>
    <n v="44000"/>
    <n v="40000"/>
    <n v="4000"/>
    <n v="44000"/>
    <n v="44000"/>
    <s v="法人契約"/>
    <x v="0"/>
    <s v=""/>
    <m/>
    <s v="103_P2"/>
    <n v="40000"/>
    <m/>
    <n v="1"/>
    <n v="40000"/>
    <n v="0"/>
    <n v="0"/>
    <n v="1"/>
    <x v="0"/>
  </r>
  <r>
    <x v="78"/>
    <n v="103"/>
    <x v="2"/>
    <s v="P3"/>
    <n v="0"/>
    <n v="634"/>
    <x v="4"/>
    <s v="駐車場"/>
    <n v="35000"/>
    <n v="0"/>
    <n v="0"/>
    <n v="3500"/>
    <n v="38500"/>
    <n v="40000"/>
    <n v="4000"/>
    <n v="44000"/>
    <n v="38500"/>
    <s v="法人契約"/>
    <x v="0"/>
    <s v=""/>
    <m/>
    <s v="103_P3"/>
    <n v="40000"/>
    <m/>
    <n v="1"/>
    <n v="35000"/>
    <n v="5000"/>
    <n v="-5000"/>
    <n v="1"/>
    <x v="0"/>
  </r>
  <r>
    <x v="79"/>
    <n v="103"/>
    <x v="2"/>
    <s v="P5"/>
    <n v="0"/>
    <n v="634"/>
    <x v="4"/>
    <s v="駐車場"/>
    <n v="40000"/>
    <n v="0"/>
    <n v="0"/>
    <n v="4000"/>
    <n v="44000"/>
    <n v="40000"/>
    <n v="4000"/>
    <n v="44000"/>
    <n v="44000"/>
    <s v="日本人等"/>
    <x v="0"/>
    <s v=""/>
    <m/>
    <s v="103_P5"/>
    <n v="40000"/>
    <m/>
    <n v="1"/>
    <n v="40000"/>
    <n v="0"/>
    <n v="0"/>
    <n v="1"/>
    <x v="0"/>
  </r>
  <r>
    <x v="80"/>
    <n v="104"/>
    <x v="3"/>
    <s v="101"/>
    <n v="39.6"/>
    <n v="633"/>
    <x v="5"/>
    <s v="店舗"/>
    <n v="154000"/>
    <n v="0"/>
    <n v="0"/>
    <n v="15400"/>
    <n v="169400"/>
    <n v="154000"/>
    <n v="15400"/>
    <n v="169400"/>
    <n v="169400"/>
    <s v="日本人等"/>
    <x v="0"/>
    <s v=""/>
    <m/>
    <s v="104_101"/>
    <n v="145000"/>
    <m/>
    <n v="1"/>
    <n v="154000"/>
    <n v="0"/>
    <n v="9000"/>
    <n v="1"/>
    <x v="0"/>
  </r>
  <r>
    <x v="81"/>
    <n v="104"/>
    <x v="3"/>
    <s v="102"/>
    <n v="31.92"/>
    <n v="632"/>
    <x v="1"/>
    <s v="事務所"/>
    <n v="120000"/>
    <n v="0"/>
    <n v="0"/>
    <n v="12000"/>
    <n v="132000"/>
    <n v="120000"/>
    <n v="12000"/>
    <n v="132000"/>
    <n v="132000"/>
    <s v="住居法人契約"/>
    <x v="0"/>
    <s v=""/>
    <m/>
    <s v="104_102"/>
    <n v="80000"/>
    <m/>
    <n v="1"/>
    <n v="120000"/>
    <n v="0"/>
    <n v="40000"/>
    <n v="1"/>
    <x v="0"/>
  </r>
  <r>
    <x v="82"/>
    <n v="104"/>
    <x v="3"/>
    <s v="201"/>
    <n v="19.8"/>
    <n v="631"/>
    <x v="0"/>
    <s v="1R"/>
    <n v="70000"/>
    <n v="0"/>
    <n v="0"/>
    <n v="7000"/>
    <n v="77000"/>
    <n v="77000"/>
    <n v="0"/>
    <n v="77000"/>
    <n v="77000"/>
    <s v="住居法人契約"/>
    <x v="0"/>
    <s v=""/>
    <m/>
    <s v="104_201"/>
    <n v="65000"/>
    <m/>
    <n v="1"/>
    <n v="70000"/>
    <n v="7000"/>
    <n v="5000"/>
    <n v="1"/>
    <x v="0"/>
  </r>
  <r>
    <x v="83"/>
    <n v="104"/>
    <x v="3"/>
    <s v="202"/>
    <n v="19.8"/>
    <n v="631"/>
    <x v="0"/>
    <s v="1R"/>
    <n v="73000"/>
    <n v="0"/>
    <n v="0"/>
    <n v="0"/>
    <n v="73000"/>
    <n v="73000"/>
    <n v="0"/>
    <n v="73000"/>
    <n v="73000"/>
    <s v="日本人等"/>
    <x v="0"/>
    <s v=""/>
    <m/>
    <s v="104_202"/>
    <n v="63000"/>
    <m/>
    <n v="1"/>
    <n v="73000"/>
    <n v="0"/>
    <n v="10000"/>
    <n v="1"/>
    <x v="0"/>
  </r>
  <r>
    <x v="84"/>
    <n v="104"/>
    <x v="3"/>
    <s v="203"/>
    <n v="19.8"/>
    <n v="631"/>
    <x v="0"/>
    <s v="1R"/>
    <n v="75000"/>
    <n v="0"/>
    <n v="0"/>
    <n v="0"/>
    <n v="75000"/>
    <n v="75000"/>
    <n v="0"/>
    <n v="75000"/>
    <n v="75000"/>
    <s v="日本人等"/>
    <x v="0"/>
    <s v=""/>
    <m/>
    <s v="104_203"/>
    <n v="70000"/>
    <m/>
    <n v="1"/>
    <n v="75000"/>
    <n v="0"/>
    <n v="5000"/>
    <n v="1"/>
    <x v="0"/>
  </r>
  <r>
    <x v="85"/>
    <n v="104"/>
    <x v="3"/>
    <s v="301"/>
    <n v="16.8"/>
    <n v="631"/>
    <x v="0"/>
    <s v="1R"/>
    <n v="70000"/>
    <n v="0"/>
    <n v="0"/>
    <n v="0"/>
    <n v="70000"/>
    <n v="70000"/>
    <n v="0"/>
    <n v="70000"/>
    <n v="70000"/>
    <s v="住居法人契約"/>
    <x v="0"/>
    <s v=""/>
    <m/>
    <s v="104_301"/>
    <n v="62000"/>
    <m/>
    <n v="1"/>
    <n v="70000"/>
    <n v="0"/>
    <n v="8000"/>
    <n v="1"/>
    <x v="0"/>
  </r>
  <r>
    <x v="86"/>
    <n v="104"/>
    <x v="3"/>
    <s v="302"/>
    <n v="16.8"/>
    <n v="631"/>
    <x v="0"/>
    <s v="1R"/>
    <n v="0"/>
    <n v="0"/>
    <n v="0"/>
    <n v="0"/>
    <n v="0"/>
    <n v="88000"/>
    <n v="0"/>
    <n v="88000"/>
    <n v="88000"/>
    <s v="-"/>
    <x v="0"/>
    <s v="一時的な空室"/>
    <m/>
    <s v="104_302"/>
    <n v="63000"/>
    <m/>
    <n v="0"/>
    <n v="88000"/>
    <n v="0"/>
    <n v="25000"/>
    <n v="1"/>
    <x v="0"/>
  </r>
  <r>
    <x v="87"/>
    <n v="104"/>
    <x v="3"/>
    <s v="303"/>
    <n v="16.8"/>
    <n v="631"/>
    <x v="0"/>
    <s v="1R"/>
    <n v="72000"/>
    <n v="0"/>
    <n v="0"/>
    <n v="0"/>
    <n v="72000"/>
    <n v="72000"/>
    <n v="0"/>
    <n v="72000"/>
    <n v="72000"/>
    <s v="日本人等"/>
    <x v="0"/>
    <s v=""/>
    <m/>
    <s v="104_303"/>
    <n v="72000"/>
    <m/>
    <n v="1"/>
    <n v="72000"/>
    <n v="0"/>
    <n v="0"/>
    <n v="1"/>
    <x v="0"/>
  </r>
  <r>
    <x v="88"/>
    <n v="105"/>
    <x v="4"/>
    <s v="101"/>
    <n v="46.12"/>
    <n v="631"/>
    <x v="0"/>
    <s v="3DK"/>
    <n v="135000"/>
    <n v="4000"/>
    <n v="0"/>
    <n v="0"/>
    <n v="139000"/>
    <n v="139000"/>
    <n v="0"/>
    <n v="139000"/>
    <n v="139000"/>
    <s v="その他新興国"/>
    <x v="0"/>
    <s v=""/>
    <m/>
    <s v="105_101"/>
    <n v="139000"/>
    <m/>
    <n v="1"/>
    <n v="139000"/>
    <n v="0"/>
    <n v="0"/>
    <n v="1"/>
    <x v="0"/>
  </r>
  <r>
    <x v="89"/>
    <n v="105"/>
    <x v="4"/>
    <s v="102"/>
    <n v="37.799999999999997"/>
    <n v="631"/>
    <x v="0"/>
    <s v="1K"/>
    <n v="100000"/>
    <n v="3000"/>
    <n v="186"/>
    <n v="18"/>
    <n v="103204"/>
    <n v="103204"/>
    <n v="0"/>
    <n v="103204"/>
    <n v="103204"/>
    <s v="日本人等"/>
    <x v="0"/>
    <s v=""/>
    <m/>
    <s v="105_102"/>
    <n v="103000"/>
    <m/>
    <n v="1"/>
    <n v="103186"/>
    <n v="18"/>
    <n v="186"/>
    <n v="1"/>
    <x v="0"/>
  </r>
  <r>
    <x v="90"/>
    <n v="105"/>
    <x v="4"/>
    <s v="201"/>
    <n v="28.62"/>
    <n v="631"/>
    <x v="0"/>
    <s v="2DK"/>
    <n v="103000"/>
    <n v="5000"/>
    <n v="0"/>
    <n v="0"/>
    <n v="108000"/>
    <n v="113000"/>
    <n v="0"/>
    <n v="113000"/>
    <n v="108000"/>
    <s v="その他新興国"/>
    <x v="0"/>
    <s v=""/>
    <m/>
    <s v="105_201"/>
    <n v="90200"/>
    <m/>
    <n v="1"/>
    <n v="108000"/>
    <n v="5000"/>
    <n v="17800"/>
    <n v="1"/>
    <x v="0"/>
  </r>
  <r>
    <x v="91"/>
    <n v="105"/>
    <x v="4"/>
    <s v="202"/>
    <n v="28.62"/>
    <n v="631"/>
    <x v="0"/>
    <s v="2DK"/>
    <n v="0"/>
    <n v="0"/>
    <n v="0"/>
    <n v="0"/>
    <n v="0"/>
    <n v="105000"/>
    <n v="0"/>
    <n v="105000"/>
    <n v="105000"/>
    <s v="-"/>
    <x v="0"/>
    <s v="一時的な空室"/>
    <m/>
    <s v="105_202"/>
    <n v="88000"/>
    <m/>
    <n v="0"/>
    <n v="105000"/>
    <n v="0"/>
    <n v="17000"/>
    <n v="1"/>
    <x v="0"/>
  </r>
  <r>
    <x v="92"/>
    <n v="105"/>
    <x v="4"/>
    <s v="203"/>
    <n v="33.39"/>
    <n v="631"/>
    <x v="0"/>
    <s v="2DK"/>
    <n v="0"/>
    <n v="0"/>
    <n v="0"/>
    <n v="0"/>
    <n v="0"/>
    <n v="99204"/>
    <n v="0"/>
    <n v="99204"/>
    <n v="99204"/>
    <s v="-"/>
    <x v="0"/>
    <s v="一時的な空室"/>
    <m/>
    <s v="105_203"/>
    <n v="99000"/>
    <m/>
    <n v="0"/>
    <n v="99204"/>
    <n v="0"/>
    <n v="204"/>
    <n v="1"/>
    <x v="0"/>
  </r>
  <r>
    <x v="93"/>
    <n v="105"/>
    <x v="4"/>
    <s v="204"/>
    <n v="37.049999999999997"/>
    <n v="631"/>
    <x v="0"/>
    <s v="2DK"/>
    <n v="100000"/>
    <n v="0"/>
    <n v="926"/>
    <n v="92"/>
    <n v="101018"/>
    <n v="101018"/>
    <n v="0"/>
    <n v="101018"/>
    <n v="101018"/>
    <s v="日本人等"/>
    <x v="0"/>
    <s v=""/>
    <m/>
    <s v="105_204"/>
    <n v="120400"/>
    <m/>
    <n v="1"/>
    <n v="100926"/>
    <n v="92"/>
    <n v="-19474"/>
    <n v="1"/>
    <x v="0"/>
  </r>
  <r>
    <x v="94"/>
    <n v="105"/>
    <x v="4"/>
    <s v="301"/>
    <n v="28.62"/>
    <n v="631"/>
    <x v="0"/>
    <s v="2DK"/>
    <n v="105000"/>
    <n v="5000"/>
    <n v="0"/>
    <n v="0"/>
    <n v="110000"/>
    <n v="110000"/>
    <n v="0"/>
    <n v="110000"/>
    <n v="110000"/>
    <s v="中華系"/>
    <x v="0"/>
    <s v=""/>
    <m/>
    <s v="105_301"/>
    <n v="98000"/>
    <m/>
    <n v="1"/>
    <n v="110000"/>
    <n v="0"/>
    <n v="12000"/>
    <n v="1"/>
    <x v="0"/>
  </r>
  <r>
    <x v="95"/>
    <n v="105"/>
    <x v="4"/>
    <s v="302"/>
    <n v="28.62"/>
    <n v="631"/>
    <x v="0"/>
    <s v="2DK"/>
    <n v="100000"/>
    <n v="0"/>
    <n v="0"/>
    <n v="0"/>
    <n v="100000"/>
    <n v="100000"/>
    <n v="0"/>
    <n v="100000"/>
    <n v="100000"/>
    <s v="日本人等"/>
    <x v="0"/>
    <s v=""/>
    <m/>
    <s v="105_302"/>
    <n v="100000"/>
    <m/>
    <n v="1"/>
    <n v="100000"/>
    <n v="0"/>
    <n v="0"/>
    <n v="1"/>
    <x v="0"/>
  </r>
  <r>
    <x v="96"/>
    <n v="105"/>
    <x v="4"/>
    <s v="303"/>
    <n v="33.39"/>
    <n v="631"/>
    <x v="0"/>
    <s v="2DK"/>
    <n v="120000"/>
    <n v="5000"/>
    <n v="0"/>
    <n v="0"/>
    <n v="125000"/>
    <n v="125000"/>
    <n v="0"/>
    <n v="125000"/>
    <n v="125000"/>
    <s v="中華系"/>
    <x v="0"/>
    <s v=""/>
    <m/>
    <s v="105_303"/>
    <n v="100000"/>
    <m/>
    <n v="1"/>
    <n v="125000"/>
    <n v="0"/>
    <n v="25000"/>
    <n v="1"/>
    <x v="0"/>
  </r>
  <r>
    <x v="97"/>
    <n v="105"/>
    <x v="4"/>
    <s v="304"/>
    <n v="37.049999999999997"/>
    <n v="631"/>
    <x v="0"/>
    <s v="2DK"/>
    <n v="100000"/>
    <n v="0"/>
    <n v="1112"/>
    <n v="111"/>
    <n v="101223"/>
    <n v="91223"/>
    <n v="0"/>
    <n v="91223"/>
    <n v="101223"/>
    <s v="日本人等"/>
    <x v="0"/>
    <s v=""/>
    <m/>
    <s v="105_304"/>
    <n v="100000"/>
    <m/>
    <n v="1"/>
    <n v="101112"/>
    <n v="-9889"/>
    <n v="1112"/>
    <n v="1"/>
    <x v="0"/>
  </r>
  <r>
    <x v="98"/>
    <n v="105"/>
    <x v="4"/>
    <s v="401"/>
    <n v="28.62"/>
    <n v="631"/>
    <x v="0"/>
    <s v="2DK"/>
    <n v="93000"/>
    <n v="3000"/>
    <n v="371"/>
    <n v="37"/>
    <n v="96408"/>
    <n v="96408"/>
    <n v="0"/>
    <n v="96408"/>
    <n v="96408"/>
    <s v="日本人等"/>
    <x v="0"/>
    <s v=""/>
    <m/>
    <s v="105_401"/>
    <n v="96000"/>
    <m/>
    <n v="1"/>
    <n v="96371"/>
    <n v="37"/>
    <n v="371"/>
    <n v="1"/>
    <x v="0"/>
  </r>
  <r>
    <x v="99"/>
    <n v="105"/>
    <x v="4"/>
    <s v="402"/>
    <n v="28.62"/>
    <n v="631"/>
    <x v="0"/>
    <s v="2DK"/>
    <n v="90000"/>
    <n v="0"/>
    <n v="0"/>
    <n v="0"/>
    <n v="90000"/>
    <n v="90000"/>
    <n v="0"/>
    <n v="90000"/>
    <n v="90000"/>
    <s v="日本人等"/>
    <x v="0"/>
    <s v=""/>
    <m/>
    <s v="105_402"/>
    <n v="90000"/>
    <m/>
    <n v="1"/>
    <n v="90000"/>
    <n v="0"/>
    <n v="0"/>
    <n v="1"/>
    <x v="0"/>
  </r>
  <r>
    <x v="100"/>
    <n v="105"/>
    <x v="4"/>
    <s v="403"/>
    <n v="33.39"/>
    <n v="631"/>
    <x v="0"/>
    <s v="2DK"/>
    <n v="105000"/>
    <n v="5000"/>
    <n v="0"/>
    <n v="0"/>
    <n v="110000"/>
    <n v="130000"/>
    <n v="0"/>
    <n v="130000"/>
    <n v="110000"/>
    <s v="日本人等"/>
    <x v="0"/>
    <s v=""/>
    <m/>
    <s v="105_403"/>
    <n v="98400"/>
    <m/>
    <n v="1"/>
    <n v="110000"/>
    <n v="20000"/>
    <n v="11600"/>
    <n v="1"/>
    <x v="0"/>
  </r>
  <r>
    <x v="101"/>
    <n v="105"/>
    <x v="4"/>
    <s v="404"/>
    <n v="37.049999999999997"/>
    <n v="631"/>
    <x v="0"/>
    <s v="2DK"/>
    <n v="125000"/>
    <n v="4000"/>
    <n v="0"/>
    <n v="0"/>
    <n v="129000"/>
    <n v="129000"/>
    <n v="0"/>
    <n v="129000"/>
    <n v="129000"/>
    <s v="中華系"/>
    <x v="0"/>
    <s v=""/>
    <m/>
    <s v="105_404"/>
    <n v="119400"/>
    <m/>
    <n v="1"/>
    <n v="129000"/>
    <n v="0"/>
    <n v="9600"/>
    <n v="1"/>
    <x v="0"/>
  </r>
  <r>
    <x v="102"/>
    <n v="105"/>
    <x v="4"/>
    <s v="501"/>
    <n v="28.62"/>
    <n v="631"/>
    <x v="0"/>
    <s v="2DK"/>
    <n v="107000"/>
    <n v="3000"/>
    <n v="0"/>
    <n v="0"/>
    <n v="110000"/>
    <n v="110000"/>
    <n v="0"/>
    <n v="110000"/>
    <n v="110000"/>
    <s v="日本人等"/>
    <x v="0"/>
    <s v=""/>
    <m/>
    <s v="105_501"/>
    <n v="97000"/>
    <m/>
    <n v="1"/>
    <n v="110000"/>
    <n v="0"/>
    <n v="13000"/>
    <n v="1"/>
    <x v="0"/>
  </r>
  <r>
    <x v="103"/>
    <n v="105"/>
    <x v="4"/>
    <s v="502"/>
    <n v="28.62"/>
    <n v="631"/>
    <x v="0"/>
    <s v="2DK"/>
    <n v="102000"/>
    <n v="3000"/>
    <n v="0"/>
    <n v="0"/>
    <n v="105000"/>
    <n v="105000"/>
    <n v="0"/>
    <n v="105000"/>
    <n v="105000"/>
    <s v="中華系"/>
    <x v="0"/>
    <s v=""/>
    <m/>
    <s v="105_502"/>
    <n v="94000"/>
    <m/>
    <n v="1"/>
    <n v="105000"/>
    <n v="0"/>
    <n v="11000"/>
    <n v="1"/>
    <x v="0"/>
  </r>
  <r>
    <x v="104"/>
    <n v="105"/>
    <x v="4"/>
    <s v="503"/>
    <n v="33.39"/>
    <n v="631"/>
    <x v="0"/>
    <s v="2DK"/>
    <n v="103000"/>
    <n v="0"/>
    <n v="186"/>
    <n v="18"/>
    <n v="103204"/>
    <n v="103204"/>
    <n v="0"/>
    <n v="103204"/>
    <n v="103204"/>
    <s v="日本人等"/>
    <x v="0"/>
    <s v=""/>
    <m/>
    <s v="105_503"/>
    <n v="100200"/>
    <m/>
    <n v="1"/>
    <n v="103186"/>
    <n v="18"/>
    <n v="2986"/>
    <n v="1"/>
    <x v="0"/>
  </r>
  <r>
    <x v="105"/>
    <n v="105"/>
    <x v="4"/>
    <s v="504"/>
    <n v="37.049999999999997"/>
    <n v="631"/>
    <x v="0"/>
    <s v="2DK"/>
    <n v="130000"/>
    <n v="5000"/>
    <n v="0"/>
    <n v="0"/>
    <n v="135000"/>
    <n v="135220"/>
    <n v="0"/>
    <n v="135220"/>
    <n v="135000"/>
    <s v="中華系"/>
    <x v="0"/>
    <s v=""/>
    <m/>
    <s v="105_504"/>
    <n v="95200"/>
    <m/>
    <n v="1"/>
    <n v="135000"/>
    <n v="220"/>
    <n v="39800"/>
    <n v="1"/>
    <x v="0"/>
  </r>
  <r>
    <x v="106"/>
    <n v="105"/>
    <x v="4"/>
    <s v="601"/>
    <n v="28.62"/>
    <n v="631"/>
    <x v="0"/>
    <s v="2DK"/>
    <n v="110000"/>
    <n v="5000"/>
    <n v="0"/>
    <n v="0"/>
    <n v="115000"/>
    <n v="115000"/>
    <n v="0"/>
    <n v="115000"/>
    <n v="115000"/>
    <s v="中華系"/>
    <x v="0"/>
    <s v=""/>
    <m/>
    <s v="105_601"/>
    <n v="105000"/>
    <m/>
    <n v="1"/>
    <n v="115000"/>
    <n v="0"/>
    <n v="10000"/>
    <n v="1"/>
    <x v="0"/>
  </r>
  <r>
    <x v="107"/>
    <n v="105"/>
    <x v="4"/>
    <s v="602"/>
    <n v="28.62"/>
    <n v="631"/>
    <x v="0"/>
    <s v="2DK"/>
    <n v="92000"/>
    <n v="3000"/>
    <n v="0"/>
    <n v="0"/>
    <n v="95000"/>
    <n v="95000"/>
    <n v="0"/>
    <n v="95000"/>
    <n v="95000"/>
    <s v="日本人等"/>
    <x v="0"/>
    <s v=""/>
    <m/>
    <s v="105_602"/>
    <n v="95000"/>
    <m/>
    <n v="1"/>
    <n v="95000"/>
    <n v="0"/>
    <n v="0"/>
    <n v="1"/>
    <x v="0"/>
  </r>
  <r>
    <x v="108"/>
    <n v="105"/>
    <x v="4"/>
    <s v="603"/>
    <n v="33.39"/>
    <n v="631"/>
    <x v="0"/>
    <s v="2DK"/>
    <n v="100000"/>
    <n v="0"/>
    <n v="186"/>
    <n v="18"/>
    <n v="100204"/>
    <n v="100408"/>
    <n v="0"/>
    <n v="100408"/>
    <n v="100204"/>
    <s v="日本人等"/>
    <x v="0"/>
    <s v=""/>
    <m/>
    <s v="105_603"/>
    <n v="100000"/>
    <m/>
    <n v="1"/>
    <n v="100186"/>
    <n v="222"/>
    <n v="186"/>
    <n v="1"/>
    <x v="0"/>
  </r>
  <r>
    <x v="109"/>
    <n v="105"/>
    <x v="4"/>
    <s v="701"/>
    <n v="23.86"/>
    <n v="631"/>
    <x v="0"/>
    <s v="1K"/>
    <n v="79000"/>
    <n v="3000"/>
    <n v="0"/>
    <n v="0"/>
    <n v="82000"/>
    <n v="89000"/>
    <n v="0"/>
    <n v="89000"/>
    <n v="82000"/>
    <s v="日本人等"/>
    <x v="0"/>
    <s v=""/>
    <m/>
    <s v="105_701"/>
    <n v="75000"/>
    <m/>
    <n v="1"/>
    <n v="82000"/>
    <n v="7000"/>
    <n v="7000"/>
    <n v="1"/>
    <x v="0"/>
  </r>
  <r>
    <x v="110"/>
    <n v="105"/>
    <x v="4"/>
    <s v="702"/>
    <n v="28.62"/>
    <n v="631"/>
    <x v="0"/>
    <s v="2DK"/>
    <n v="105000"/>
    <n v="5000"/>
    <n v="0"/>
    <n v="0"/>
    <n v="110000"/>
    <n v="110000"/>
    <n v="0"/>
    <n v="110000"/>
    <n v="110000"/>
    <s v="中華系"/>
    <x v="0"/>
    <s v=""/>
    <m/>
    <s v="105_702"/>
    <n v="100000"/>
    <m/>
    <n v="1"/>
    <n v="110000"/>
    <n v="0"/>
    <n v="10000"/>
    <n v="1"/>
    <x v="0"/>
  </r>
  <r>
    <x v="111"/>
    <n v="105"/>
    <x v="4"/>
    <s v="703"/>
    <n v="33.39"/>
    <n v="631"/>
    <x v="0"/>
    <s v="2DK"/>
    <n v="115000"/>
    <n v="0"/>
    <n v="1852"/>
    <n v="185"/>
    <n v="117037"/>
    <n v="117037"/>
    <n v="0"/>
    <n v="117037"/>
    <n v="117037"/>
    <s v="日本人等"/>
    <x v="0"/>
    <s v=""/>
    <m/>
    <s v="105_703"/>
    <n v="117000"/>
    <m/>
    <n v="1"/>
    <n v="116852"/>
    <n v="185"/>
    <n v="-148"/>
    <n v="1"/>
    <x v="0"/>
  </r>
  <r>
    <x v="112"/>
    <n v="105"/>
    <x v="4"/>
    <s v="P1"/>
    <n v="0"/>
    <n v="634"/>
    <x v="4"/>
    <s v="駐車場"/>
    <n v="35000"/>
    <n v="0"/>
    <n v="0"/>
    <n v="3500"/>
    <n v="38500"/>
    <n v="35000"/>
    <n v="3500"/>
    <n v="38500"/>
    <n v="38500"/>
    <s v="法人契約"/>
    <x v="0"/>
    <s v=""/>
    <m/>
    <s v="105_P1"/>
    <n v="35000"/>
    <m/>
    <n v="1"/>
    <n v="35000"/>
    <n v="0"/>
    <n v="0"/>
    <n v="1"/>
    <x v="0"/>
  </r>
  <r>
    <x v="113"/>
    <n v="105"/>
    <x v="4"/>
    <s v="P2"/>
    <n v="0"/>
    <n v="634"/>
    <x v="4"/>
    <s v="駐車場"/>
    <n v="35000"/>
    <n v="0"/>
    <n v="0"/>
    <n v="3500"/>
    <n v="38500"/>
    <n v="35000"/>
    <n v="3500"/>
    <n v="38500"/>
    <n v="38500"/>
    <s v="法人契約"/>
    <x v="0"/>
    <s v=""/>
    <m/>
    <s v="105_P2"/>
    <n v="35000"/>
    <m/>
    <n v="1"/>
    <n v="35000"/>
    <n v="0"/>
    <n v="0"/>
    <n v="1"/>
    <x v="0"/>
  </r>
  <r>
    <x v="114"/>
    <n v="105"/>
    <x v="4"/>
    <s v="A01"/>
    <n v="47.62"/>
    <n v="633"/>
    <x v="5"/>
    <s v="倉庫"/>
    <n v="90000"/>
    <n v="0"/>
    <n v="0"/>
    <n v="9000"/>
    <n v="99000"/>
    <n v="90000"/>
    <n v="9000"/>
    <n v="99000"/>
    <n v="99000"/>
    <s v="法人契約"/>
    <x v="0"/>
    <s v=""/>
    <m/>
    <s v="105_A01"/>
    <n v="90000"/>
    <m/>
    <n v="1"/>
    <n v="90000"/>
    <n v="0"/>
    <n v="0"/>
    <n v="1"/>
    <x v="0"/>
  </r>
  <r>
    <x v="115"/>
    <n v="105"/>
    <x v="4"/>
    <s v="RF1"/>
    <n v="0"/>
    <n v="635"/>
    <x v="2"/>
    <s v="その他"/>
    <n v="12000"/>
    <n v="0"/>
    <n v="0"/>
    <n v="1200"/>
    <n v="13200"/>
    <n v="12000"/>
    <n v="1199.9999999999998"/>
    <n v="13200"/>
    <n v="13200"/>
    <s v="法人契約"/>
    <x v="0"/>
    <s v=""/>
    <m/>
    <s v="105_RF1"/>
    <n v="0"/>
    <m/>
    <n v="1"/>
    <n v="12000"/>
    <n v="0"/>
    <n v="12000"/>
    <n v="1"/>
    <x v="0"/>
  </r>
  <r>
    <x v="116"/>
    <n v="105"/>
    <x v="4"/>
    <s v="RF2"/>
    <n v="0"/>
    <n v="635"/>
    <x v="2"/>
    <s v="その他"/>
    <n v="22324"/>
    <n v="0"/>
    <n v="0"/>
    <n v="0"/>
    <n v="22324"/>
    <n v="20294"/>
    <n v="2029.4545454545453"/>
    <n v="22323.454545454544"/>
    <n v="22324"/>
    <s v="法人契約"/>
    <x v="0"/>
    <s v="ソフトバンクモバイル"/>
    <m/>
    <s v="105_RF2"/>
    <n v="22324"/>
    <m/>
    <n v="1"/>
    <n v="22324"/>
    <n v="-2030"/>
    <n v="0"/>
    <n v="1"/>
    <x v="0"/>
  </r>
  <r>
    <x v="117"/>
    <n v="105"/>
    <x v="4"/>
    <s v="NTF1"/>
    <s v="-"/>
    <n v="639"/>
    <x v="3"/>
    <s v="その他"/>
    <n v="0"/>
    <n v="0"/>
    <n v="0"/>
    <n v="0"/>
    <n v="0"/>
    <n v="0"/>
    <n v="0"/>
    <n v="0"/>
    <n v="0"/>
    <s v="-"/>
    <x v="1"/>
    <s v="フレッツ光"/>
    <m/>
    <s v="105_NTF1"/>
    <n v="0"/>
    <m/>
    <n v="0"/>
    <n v="0"/>
    <n v="0"/>
    <n v="0"/>
    <n v="0"/>
    <x v="0"/>
  </r>
  <r>
    <x v="118"/>
    <n v="105"/>
    <x v="4"/>
    <s v="NTD1"/>
    <s v="-"/>
    <n v="639"/>
    <x v="3"/>
    <s v="その他"/>
    <n v="0"/>
    <n v="0"/>
    <n v="0"/>
    <n v="0"/>
    <n v="0"/>
    <n v="0"/>
    <n v="0"/>
    <n v="0"/>
    <n v="0"/>
    <s v="-"/>
    <x v="1"/>
    <s v="電柱"/>
    <m/>
    <s v="105_NTD1"/>
    <n v="0"/>
    <m/>
    <n v="0"/>
    <n v="0"/>
    <n v="0"/>
    <n v="0"/>
    <n v="0"/>
    <x v="0"/>
  </r>
  <r>
    <x v="119"/>
    <n v="106"/>
    <x v="5"/>
    <s v="101"/>
    <n v="48.36"/>
    <n v="631"/>
    <x v="0"/>
    <s v="2DK"/>
    <n v="116000"/>
    <n v="10000"/>
    <n v="0"/>
    <n v="0"/>
    <n v="126000"/>
    <n v="158000"/>
    <n v="0"/>
    <n v="158000"/>
    <n v="126000"/>
    <s v="中華系"/>
    <x v="0"/>
    <s v=""/>
    <m/>
    <s v="106_101"/>
    <n v="127000"/>
    <m/>
    <n v="1"/>
    <n v="126000"/>
    <n v="32000"/>
    <n v="-1000"/>
    <n v="1"/>
    <x v="0"/>
  </r>
  <r>
    <x v="120"/>
    <n v="106"/>
    <x v="5"/>
    <s v="102"/>
    <n v="52.75"/>
    <n v="631"/>
    <x v="0"/>
    <s v="3DK"/>
    <n v="157000"/>
    <n v="10000"/>
    <n v="0"/>
    <n v="0"/>
    <n v="167000"/>
    <n v="167000"/>
    <n v="0"/>
    <n v="167000"/>
    <n v="167000"/>
    <s v="日本人等"/>
    <x v="0"/>
    <s v=""/>
    <m/>
    <s v="106_102"/>
    <n v="139000"/>
    <m/>
    <n v="1"/>
    <n v="167000"/>
    <n v="0"/>
    <n v="28000"/>
    <n v="1"/>
    <x v="0"/>
  </r>
  <r>
    <x v="121"/>
    <n v="106"/>
    <x v="5"/>
    <s v="201"/>
    <n v="43.2"/>
    <n v="631"/>
    <x v="0"/>
    <s v="2DK"/>
    <n v="122000"/>
    <n v="7000"/>
    <n v="0"/>
    <n v="0"/>
    <n v="129000"/>
    <n v="129000"/>
    <n v="0"/>
    <n v="129000"/>
    <n v="129000"/>
    <s v="日本人等"/>
    <x v="0"/>
    <s v=""/>
    <m/>
    <s v="106_201"/>
    <n v="129000"/>
    <m/>
    <n v="1"/>
    <n v="129000"/>
    <n v="0"/>
    <n v="0"/>
    <n v="1"/>
    <x v="0"/>
  </r>
  <r>
    <x v="122"/>
    <n v="106"/>
    <x v="5"/>
    <s v="202"/>
    <n v="43.2"/>
    <n v="631"/>
    <x v="0"/>
    <s v="2DK"/>
    <n v="140000"/>
    <n v="10000"/>
    <n v="0"/>
    <n v="0"/>
    <n v="150000"/>
    <n v="152000"/>
    <n v="0"/>
    <n v="152000"/>
    <n v="150000"/>
    <s v="中華系"/>
    <x v="0"/>
    <s v=""/>
    <m/>
    <s v="106_202"/>
    <n v="133000"/>
    <m/>
    <n v="1"/>
    <n v="150000"/>
    <n v="2000"/>
    <n v="17000"/>
    <n v="1"/>
    <x v="0"/>
  </r>
  <r>
    <x v="123"/>
    <n v="106"/>
    <x v="5"/>
    <s v="203"/>
    <n v="48.36"/>
    <n v="631"/>
    <x v="0"/>
    <s v="2DK"/>
    <n v="124000"/>
    <n v="10000"/>
    <n v="0"/>
    <n v="0"/>
    <n v="134000"/>
    <n v="134000"/>
    <n v="0"/>
    <n v="134000"/>
    <n v="134000"/>
    <s v="中華系"/>
    <x v="0"/>
    <s v=""/>
    <m/>
    <s v="106_203"/>
    <n v="137000"/>
    <m/>
    <n v="1"/>
    <n v="134000"/>
    <n v="0"/>
    <n v="-3000"/>
    <n v="1"/>
    <x v="0"/>
  </r>
  <r>
    <x v="124"/>
    <n v="106"/>
    <x v="5"/>
    <s v="204"/>
    <n v="52.75"/>
    <n v="631"/>
    <x v="0"/>
    <s v="3DK"/>
    <n v="160000"/>
    <n v="10000"/>
    <n v="0"/>
    <n v="0"/>
    <n v="170000"/>
    <n v="168000"/>
    <n v="0"/>
    <n v="168000"/>
    <n v="170000"/>
    <s v="中華系"/>
    <x v="0"/>
    <s v=""/>
    <m/>
    <s v="106_204"/>
    <n v="141000"/>
    <m/>
    <n v="1"/>
    <n v="170000"/>
    <n v="-2000"/>
    <n v="29000"/>
    <n v="1"/>
    <x v="0"/>
  </r>
  <r>
    <x v="125"/>
    <n v="106"/>
    <x v="5"/>
    <s v="301"/>
    <n v="43.2"/>
    <n v="631"/>
    <x v="0"/>
    <s v="2DK"/>
    <n v="140000"/>
    <n v="10000"/>
    <n v="0"/>
    <n v="0"/>
    <n v="150000"/>
    <n v="135000"/>
    <n v="0"/>
    <n v="135000"/>
    <n v="150000"/>
    <s v="中華系"/>
    <x v="0"/>
    <s v=""/>
    <m/>
    <s v="106_301"/>
    <n v="132000"/>
    <m/>
    <n v="1"/>
    <n v="150000"/>
    <n v="-15000"/>
    <n v="18000"/>
    <n v="1"/>
    <x v="0"/>
  </r>
  <r>
    <x v="126"/>
    <n v="106"/>
    <x v="5"/>
    <s v="302"/>
    <n v="43.2"/>
    <n v="631"/>
    <x v="0"/>
    <s v="2DK"/>
    <n v="142000"/>
    <n v="10000"/>
    <n v="0"/>
    <n v="0"/>
    <n v="152000"/>
    <n v="150000"/>
    <n v="0"/>
    <n v="150000"/>
    <n v="152000"/>
    <s v="中華系"/>
    <x v="0"/>
    <s v=""/>
    <m/>
    <s v="106_302"/>
    <n v="135000"/>
    <m/>
    <n v="1"/>
    <n v="152000"/>
    <n v="-2000"/>
    <n v="17000"/>
    <n v="1"/>
    <x v="0"/>
  </r>
  <r>
    <x v="127"/>
    <n v="106"/>
    <x v="5"/>
    <s v="303"/>
    <n v="48.36"/>
    <n v="631"/>
    <x v="0"/>
    <s v="2DK"/>
    <n v="135000"/>
    <n v="10000"/>
    <n v="0"/>
    <n v="0"/>
    <n v="145000"/>
    <n v="145000"/>
    <n v="0"/>
    <n v="145000"/>
    <n v="145000"/>
    <s v="中華系"/>
    <x v="0"/>
    <s v=""/>
    <m/>
    <s v="106_303"/>
    <n v="135000"/>
    <m/>
    <n v="1"/>
    <n v="145000"/>
    <n v="0"/>
    <n v="10000"/>
    <n v="1"/>
    <x v="0"/>
  </r>
  <r>
    <x v="128"/>
    <n v="106"/>
    <x v="5"/>
    <s v="304"/>
    <n v="52.75"/>
    <n v="631"/>
    <x v="0"/>
    <s v="3DK"/>
    <n v="160000"/>
    <n v="10000"/>
    <n v="0"/>
    <n v="0"/>
    <n v="170000"/>
    <n v="168000"/>
    <n v="0"/>
    <n v="168000"/>
    <n v="170000"/>
    <s v="住居法人契約"/>
    <x v="0"/>
    <s v=""/>
    <m/>
    <s v="106_304"/>
    <n v="158000"/>
    <m/>
    <n v="1"/>
    <n v="170000"/>
    <n v="-2000"/>
    <n v="12000"/>
    <n v="1"/>
    <x v="0"/>
  </r>
  <r>
    <x v="129"/>
    <n v="106"/>
    <x v="5"/>
    <s v="401"/>
    <n v="39.42"/>
    <n v="631"/>
    <x v="0"/>
    <s v="1LDK"/>
    <n v="125000"/>
    <n v="10000"/>
    <n v="0"/>
    <n v="0"/>
    <n v="135000"/>
    <n v="123000"/>
    <n v="0"/>
    <n v="123000"/>
    <n v="135000"/>
    <s v="中華系"/>
    <x v="0"/>
    <s v=""/>
    <m/>
    <s v="106_401"/>
    <n v="123000"/>
    <m/>
    <n v="1"/>
    <n v="135000"/>
    <n v="-12000"/>
    <n v="12000"/>
    <n v="1"/>
    <x v="0"/>
  </r>
  <r>
    <x v="130"/>
    <n v="106"/>
    <x v="5"/>
    <s v="402"/>
    <n v="43.2"/>
    <n v="631"/>
    <x v="0"/>
    <s v="2DK"/>
    <n v="150000"/>
    <n v="10000"/>
    <n v="0"/>
    <n v="0"/>
    <n v="160000"/>
    <n v="160000"/>
    <n v="0"/>
    <n v="160000"/>
    <n v="160000"/>
    <s v="中華系"/>
    <x v="0"/>
    <s v=""/>
    <m/>
    <s v="106_402"/>
    <n v="147000"/>
    <m/>
    <n v="1"/>
    <n v="160000"/>
    <n v="0"/>
    <n v="13000"/>
    <n v="1"/>
    <x v="0"/>
  </r>
  <r>
    <x v="131"/>
    <n v="106"/>
    <x v="5"/>
    <s v="403"/>
    <n v="48.36"/>
    <n v="631"/>
    <x v="0"/>
    <s v="2DK"/>
    <n v="125000"/>
    <n v="10000"/>
    <n v="0"/>
    <n v="0"/>
    <n v="135000"/>
    <n v="135000"/>
    <n v="0"/>
    <n v="135000"/>
    <n v="135000"/>
    <s v="中華系"/>
    <x v="0"/>
    <s v=""/>
    <m/>
    <s v="106_403"/>
    <n v="135000"/>
    <m/>
    <n v="1"/>
    <n v="135000"/>
    <n v="0"/>
    <n v="0"/>
    <n v="1"/>
    <x v="0"/>
  </r>
  <r>
    <x v="132"/>
    <n v="106"/>
    <x v="5"/>
    <s v="404"/>
    <n v="52.75"/>
    <n v="631"/>
    <x v="0"/>
    <s v="3DK"/>
    <n v="140000"/>
    <n v="10000"/>
    <n v="0"/>
    <n v="0"/>
    <n v="150000"/>
    <n v="150000"/>
    <n v="0"/>
    <n v="150000"/>
    <n v="150000"/>
    <s v="日本人等"/>
    <x v="0"/>
    <s v=""/>
    <m/>
    <s v="106_404"/>
    <n v="150000"/>
    <m/>
    <n v="1"/>
    <n v="150000"/>
    <n v="0"/>
    <n v="0"/>
    <n v="1"/>
    <x v="0"/>
  </r>
  <r>
    <x v="133"/>
    <n v="106"/>
    <x v="5"/>
    <s v="501"/>
    <n v="29.16"/>
    <n v="631"/>
    <x v="0"/>
    <s v="1K"/>
    <n v="85000"/>
    <n v="10000"/>
    <n v="0"/>
    <n v="0"/>
    <n v="95000"/>
    <n v="95000"/>
    <n v="0"/>
    <n v="95000"/>
    <n v="95000"/>
    <s v="日本人等"/>
    <x v="0"/>
    <s v=""/>
    <m/>
    <s v="106_501"/>
    <n v="90000"/>
    <m/>
    <n v="1"/>
    <n v="95000"/>
    <n v="0"/>
    <n v="5000"/>
    <n v="1"/>
    <x v="0"/>
  </r>
  <r>
    <x v="134"/>
    <n v="106"/>
    <x v="5"/>
    <s v="502"/>
    <n v="43.2"/>
    <n v="631"/>
    <x v="0"/>
    <s v="2DK"/>
    <n v="145000"/>
    <n v="10000"/>
    <n v="0"/>
    <n v="0"/>
    <n v="155000"/>
    <n v="155000"/>
    <n v="0"/>
    <n v="155000"/>
    <n v="155000"/>
    <s v="中華系"/>
    <x v="0"/>
    <s v=""/>
    <m/>
    <s v="106_502"/>
    <n v="138000"/>
    <m/>
    <n v="1"/>
    <n v="155000"/>
    <n v="0"/>
    <n v="17000"/>
    <n v="1"/>
    <x v="0"/>
  </r>
  <r>
    <x v="135"/>
    <n v="106"/>
    <x v="5"/>
    <s v="503"/>
    <n v="48.36"/>
    <n v="631"/>
    <x v="0"/>
    <s v="2DK"/>
    <n v="150000"/>
    <n v="10000"/>
    <n v="0"/>
    <n v="0"/>
    <n v="160000"/>
    <n v="160000"/>
    <n v="0"/>
    <n v="160000"/>
    <n v="160000"/>
    <s v="中華系"/>
    <x v="0"/>
    <s v=""/>
    <m/>
    <s v="106_503"/>
    <n v="137000"/>
    <m/>
    <n v="1"/>
    <n v="160000"/>
    <n v="0"/>
    <n v="23000"/>
    <n v="1"/>
    <x v="0"/>
  </r>
  <r>
    <x v="136"/>
    <n v="106"/>
    <x v="5"/>
    <s v="504"/>
    <n v="17.600000000000001"/>
    <n v="631"/>
    <x v="0"/>
    <s v="1K"/>
    <n v="160000"/>
    <n v="10000"/>
    <n v="0"/>
    <n v="0"/>
    <n v="170000"/>
    <n v="170000"/>
    <n v="0"/>
    <n v="170000"/>
    <n v="170000"/>
    <s v="住居法人契約"/>
    <x v="0"/>
    <s v=""/>
    <m/>
    <s v="106_504"/>
    <n v="146000"/>
    <m/>
    <n v="1"/>
    <n v="170000"/>
    <n v="0"/>
    <n v="24000"/>
    <n v="1"/>
    <x v="0"/>
  </r>
  <r>
    <x v="137"/>
    <n v="106"/>
    <x v="5"/>
    <s v="601"/>
    <n v="55.84"/>
    <n v="631"/>
    <x v="0"/>
    <s v="3DK"/>
    <n v="170000"/>
    <n v="10000"/>
    <n v="0"/>
    <n v="0"/>
    <n v="180000"/>
    <n v="148000"/>
    <n v="0"/>
    <n v="148000"/>
    <n v="180000"/>
    <s v="中華系"/>
    <x v="0"/>
    <s v=""/>
    <m/>
    <s v="106_601"/>
    <n v="148000"/>
    <m/>
    <n v="1"/>
    <n v="180000"/>
    <n v="-32000"/>
    <n v="32000"/>
    <n v="1"/>
    <x v="0"/>
  </r>
  <r>
    <x v="138"/>
    <n v="106"/>
    <x v="5"/>
    <s v="602"/>
    <n v="62.32"/>
    <n v="631"/>
    <x v="0"/>
    <s v="1LDK"/>
    <n v="180000"/>
    <n v="0"/>
    <n v="0"/>
    <n v="0"/>
    <n v="180000"/>
    <n v="180000"/>
    <n v="0"/>
    <n v="180000"/>
    <n v="180000"/>
    <s v="住居法人契約"/>
    <x v="0"/>
    <s v=""/>
    <m/>
    <s v="106_602"/>
    <n v="165000"/>
    <m/>
    <n v="1"/>
    <n v="180000"/>
    <n v="0"/>
    <n v="15000"/>
    <n v="1"/>
    <x v="0"/>
  </r>
  <r>
    <x v="139"/>
    <n v="106"/>
    <x v="5"/>
    <s v="603"/>
    <n v="17.600000000000001"/>
    <n v="631"/>
    <x v="0"/>
    <s v="1K"/>
    <n v="68000"/>
    <n v="3000"/>
    <n v="0"/>
    <n v="0"/>
    <n v="71000"/>
    <n v="78000"/>
    <n v="0"/>
    <n v="78000"/>
    <n v="71000"/>
    <s v="中華系"/>
    <x v="0"/>
    <s v=""/>
    <m/>
    <s v="106_603"/>
    <n v="75000"/>
    <m/>
    <n v="1"/>
    <n v="71000"/>
    <n v="7000"/>
    <n v="-4000"/>
    <n v="1"/>
    <x v="0"/>
  </r>
  <r>
    <x v="140"/>
    <n v="106"/>
    <x v="5"/>
    <s v="RF1"/>
    <n v="0"/>
    <n v="635"/>
    <x v="2"/>
    <s v="その他"/>
    <n v="12000"/>
    <n v="0"/>
    <n v="0"/>
    <n v="1200"/>
    <n v="13200"/>
    <n v="12000"/>
    <n v="1199.9999999999998"/>
    <n v="13200"/>
    <n v="13200"/>
    <s v="-"/>
    <x v="0"/>
    <s v=""/>
    <m/>
    <s v="106_RF1"/>
    <n v="0"/>
    <m/>
    <n v="1"/>
    <n v="12000"/>
    <n v="0"/>
    <n v="12000"/>
    <n v="1"/>
    <x v="0"/>
  </r>
  <r>
    <x v="141"/>
    <n v="106"/>
    <x v="5"/>
    <s v="NTF1"/>
    <s v="-"/>
    <n v="639"/>
    <x v="3"/>
    <s v="その他"/>
    <n v="0"/>
    <n v="0"/>
    <n v="0"/>
    <n v="0"/>
    <n v="0"/>
    <n v="0"/>
    <n v="0"/>
    <n v="0"/>
    <n v="0"/>
    <s v="-"/>
    <x v="1"/>
    <s v="フレッツ光"/>
    <m/>
    <s v="106_NTF1"/>
    <n v="0"/>
    <m/>
    <n v="0"/>
    <n v="0"/>
    <n v="0"/>
    <n v="0"/>
    <n v="0"/>
    <x v="0"/>
  </r>
  <r>
    <x v="142"/>
    <n v="107"/>
    <x v="6"/>
    <s v="201"/>
    <n v="16.87"/>
    <n v="631"/>
    <x v="0"/>
    <s v="1R"/>
    <n v="52000"/>
    <n v="3000"/>
    <n v="0"/>
    <n v="0"/>
    <n v="55000"/>
    <n v="61000"/>
    <n v="0"/>
    <n v="61000"/>
    <n v="55000"/>
    <s v="日本人等"/>
    <x v="0"/>
    <s v=""/>
    <m/>
    <s v="107_201"/>
    <n v="61000"/>
    <m/>
    <n v="1"/>
    <n v="55000"/>
    <n v="6000"/>
    <n v="-6000"/>
    <n v="1"/>
    <x v="0"/>
  </r>
  <r>
    <x v="143"/>
    <n v="107"/>
    <x v="6"/>
    <s v="202"/>
    <n v="16.87"/>
    <n v="631"/>
    <x v="0"/>
    <s v="1R"/>
    <n v="56000"/>
    <n v="3000"/>
    <n v="0"/>
    <n v="0"/>
    <n v="59000"/>
    <n v="59000"/>
    <n v="0"/>
    <n v="59000"/>
    <n v="59000"/>
    <s v="日本人等"/>
    <x v="0"/>
    <s v=""/>
    <m/>
    <s v="107_202"/>
    <n v="59000"/>
    <m/>
    <n v="1"/>
    <n v="59000"/>
    <n v="0"/>
    <n v="0"/>
    <n v="1"/>
    <x v="0"/>
  </r>
  <r>
    <x v="144"/>
    <n v="107"/>
    <x v="6"/>
    <s v="203"/>
    <n v="19.54"/>
    <n v="631"/>
    <x v="0"/>
    <s v="1R"/>
    <n v="57000"/>
    <n v="3000"/>
    <n v="0"/>
    <n v="0"/>
    <n v="60000"/>
    <n v="60000"/>
    <n v="0"/>
    <n v="60000"/>
    <n v="60000"/>
    <s v="日本人等"/>
    <x v="0"/>
    <s v=""/>
    <m/>
    <s v="107_203"/>
    <n v="59000"/>
    <m/>
    <n v="1"/>
    <n v="60000"/>
    <n v="0"/>
    <n v="1000"/>
    <n v="1"/>
    <x v="0"/>
  </r>
  <r>
    <x v="145"/>
    <n v="107"/>
    <x v="6"/>
    <s v="205"/>
    <n v="19.54"/>
    <n v="631"/>
    <x v="0"/>
    <s v="1R"/>
    <n v="61000"/>
    <n v="3000"/>
    <n v="0"/>
    <n v="0"/>
    <n v="64000"/>
    <n v="64000"/>
    <n v="0"/>
    <n v="64000"/>
    <n v="64000"/>
    <s v="日本人等"/>
    <x v="0"/>
    <s v=""/>
    <m/>
    <s v="107_205"/>
    <n v="64000"/>
    <m/>
    <n v="1"/>
    <n v="64000"/>
    <n v="0"/>
    <n v="0"/>
    <n v="1"/>
    <x v="0"/>
  </r>
  <r>
    <x v="146"/>
    <n v="107"/>
    <x v="6"/>
    <s v="206"/>
    <n v="17.100000000000001"/>
    <n v="631"/>
    <x v="0"/>
    <s v="1R"/>
    <n v="67000"/>
    <n v="0"/>
    <n v="0"/>
    <n v="0"/>
    <n v="67000"/>
    <n v="67000"/>
    <n v="0"/>
    <n v="67000"/>
    <n v="67000"/>
    <s v="日本人等"/>
    <x v="0"/>
    <s v=""/>
    <m/>
    <s v="107_206"/>
    <n v="70000"/>
    <m/>
    <n v="1"/>
    <n v="67000"/>
    <n v="0"/>
    <n v="-3000"/>
    <n v="1"/>
    <x v="0"/>
  </r>
  <r>
    <x v="147"/>
    <n v="107"/>
    <x v="6"/>
    <s v="207"/>
    <n v="17.100000000000001"/>
    <n v="631"/>
    <x v="0"/>
    <s v="1R"/>
    <n v="51000"/>
    <n v="3000"/>
    <n v="0"/>
    <n v="0"/>
    <n v="54000"/>
    <n v="63000"/>
    <n v="0"/>
    <n v="63000"/>
    <n v="54000"/>
    <s v="日本人等"/>
    <x v="0"/>
    <s v=""/>
    <m/>
    <s v="107_207"/>
    <n v="63000"/>
    <m/>
    <n v="1"/>
    <n v="54000"/>
    <n v="9000"/>
    <n v="-9000"/>
    <n v="1"/>
    <x v="0"/>
  </r>
  <r>
    <x v="148"/>
    <n v="107"/>
    <x v="6"/>
    <s v="208"/>
    <n v="16.96"/>
    <n v="631"/>
    <x v="0"/>
    <s v="1R"/>
    <n v="59000"/>
    <n v="2000"/>
    <n v="0"/>
    <n v="0"/>
    <n v="61000"/>
    <n v="61000"/>
    <n v="0"/>
    <n v="61000"/>
    <n v="61000"/>
    <s v="日本人等"/>
    <x v="0"/>
    <s v=""/>
    <m/>
    <s v="107_208"/>
    <n v="59000"/>
    <m/>
    <n v="1"/>
    <n v="61000"/>
    <n v="0"/>
    <n v="2000"/>
    <n v="1"/>
    <x v="0"/>
  </r>
  <r>
    <x v="149"/>
    <n v="107"/>
    <x v="6"/>
    <s v="210"/>
    <n v="19.54"/>
    <n v="631"/>
    <x v="0"/>
    <s v="1R"/>
    <n v="59000"/>
    <n v="3000"/>
    <n v="0"/>
    <n v="0"/>
    <n v="62000"/>
    <n v="62000"/>
    <n v="0"/>
    <n v="62000"/>
    <n v="62000"/>
    <s v="欧米先進国"/>
    <x v="0"/>
    <s v=""/>
    <m/>
    <s v="107_210"/>
    <n v="65000"/>
    <m/>
    <n v="1"/>
    <n v="62000"/>
    <n v="0"/>
    <n v="-3000"/>
    <n v="1"/>
    <x v="0"/>
  </r>
  <r>
    <x v="150"/>
    <n v="107"/>
    <x v="6"/>
    <s v="211"/>
    <n v="18.47"/>
    <n v="631"/>
    <x v="0"/>
    <s v="1R"/>
    <n v="60000"/>
    <n v="5000"/>
    <n v="0"/>
    <n v="0"/>
    <n v="65000"/>
    <n v="65000"/>
    <n v="0"/>
    <n v="65000"/>
    <n v="65000"/>
    <s v="日本人等"/>
    <x v="0"/>
    <s v=""/>
    <m/>
    <s v="107_211"/>
    <n v="65000"/>
    <m/>
    <n v="1"/>
    <n v="65000"/>
    <n v="0"/>
    <n v="0"/>
    <n v="1"/>
    <x v="0"/>
  </r>
  <r>
    <x v="151"/>
    <n v="107"/>
    <x v="6"/>
    <s v="212"/>
    <n v="18.47"/>
    <n v="631"/>
    <x v="0"/>
    <s v="1R"/>
    <n v="62000"/>
    <n v="0"/>
    <n v="0"/>
    <n v="0"/>
    <n v="62000"/>
    <n v="62000"/>
    <n v="0"/>
    <n v="62000"/>
    <n v="62000"/>
    <s v="日本人等"/>
    <x v="0"/>
    <s v=""/>
    <m/>
    <s v="107_212"/>
    <n v="65000"/>
    <m/>
    <n v="1"/>
    <n v="62000"/>
    <n v="0"/>
    <n v="-3000"/>
    <n v="1"/>
    <x v="0"/>
  </r>
  <r>
    <x v="152"/>
    <n v="107"/>
    <x v="6"/>
    <s v="213"/>
    <n v="18.47"/>
    <n v="631"/>
    <x v="0"/>
    <s v="1R"/>
    <n v="69000"/>
    <n v="3000"/>
    <n v="0"/>
    <n v="0"/>
    <n v="72000"/>
    <n v="72000"/>
    <n v="0"/>
    <n v="72000"/>
    <n v="72000"/>
    <s v="日本人等"/>
    <x v="0"/>
    <s v=""/>
    <m/>
    <s v="107_213"/>
    <n v="72000"/>
    <m/>
    <n v="1"/>
    <n v="72000"/>
    <n v="0"/>
    <n v="0"/>
    <n v="1"/>
    <x v="0"/>
  </r>
  <r>
    <x v="153"/>
    <n v="107"/>
    <x v="6"/>
    <s v="215"/>
    <n v="18.47"/>
    <n v="631"/>
    <x v="0"/>
    <s v="1R"/>
    <n v="60000"/>
    <n v="3000"/>
    <n v="0"/>
    <n v="0"/>
    <n v="63000"/>
    <n v="63000"/>
    <n v="0"/>
    <n v="63000"/>
    <n v="63000"/>
    <s v="日本人等"/>
    <x v="0"/>
    <s v=""/>
    <m/>
    <s v="107_215"/>
    <n v="65000"/>
    <m/>
    <n v="1"/>
    <n v="63000"/>
    <n v="0"/>
    <n v="-2000"/>
    <n v="1"/>
    <x v="0"/>
  </r>
  <r>
    <x v="154"/>
    <n v="107"/>
    <x v="6"/>
    <s v="301"/>
    <n v="19.54"/>
    <n v="631"/>
    <x v="0"/>
    <s v="1R"/>
    <n v="57000"/>
    <n v="3000"/>
    <n v="0"/>
    <n v="0"/>
    <n v="60000"/>
    <n v="60000"/>
    <n v="0"/>
    <n v="60000"/>
    <n v="60000"/>
    <s v="日本人等"/>
    <x v="0"/>
    <s v=""/>
    <m/>
    <s v="107_301"/>
    <n v="60000"/>
    <m/>
    <n v="1"/>
    <n v="60000"/>
    <n v="0"/>
    <n v="0"/>
    <n v="1"/>
    <x v="0"/>
  </r>
  <r>
    <x v="155"/>
    <n v="107"/>
    <x v="6"/>
    <s v="302"/>
    <n v="18.47"/>
    <n v="631"/>
    <x v="0"/>
    <s v="1R"/>
    <n v="58000"/>
    <n v="0"/>
    <n v="0"/>
    <n v="0"/>
    <n v="58000"/>
    <n v="58000"/>
    <n v="0"/>
    <n v="58000"/>
    <n v="58000"/>
    <s v="日本人等"/>
    <x v="0"/>
    <s v=""/>
    <m/>
    <s v="107_302"/>
    <n v="58000"/>
    <m/>
    <n v="1"/>
    <n v="58000"/>
    <n v="0"/>
    <n v="0"/>
    <n v="1"/>
    <x v="0"/>
  </r>
  <r>
    <x v="156"/>
    <n v="107"/>
    <x v="6"/>
    <s v="303"/>
    <n v="27.28"/>
    <n v="631"/>
    <x v="0"/>
    <s v="1DK"/>
    <n v="82000"/>
    <n v="3000"/>
    <n v="0"/>
    <n v="0"/>
    <n v="85000"/>
    <n v="85000"/>
    <n v="0"/>
    <n v="85000"/>
    <n v="85000"/>
    <s v="中華系"/>
    <x v="0"/>
    <s v=""/>
    <m/>
    <s v="107_303"/>
    <n v="88000"/>
    <m/>
    <n v="1"/>
    <n v="85000"/>
    <n v="0"/>
    <n v="-3000"/>
    <n v="1"/>
    <x v="0"/>
  </r>
  <r>
    <x v="157"/>
    <n v="107"/>
    <x v="6"/>
    <s v="305"/>
    <n v="17.47"/>
    <n v="631"/>
    <x v="0"/>
    <s v="1R"/>
    <n v="59000"/>
    <n v="3000"/>
    <n v="0"/>
    <n v="0"/>
    <n v="62000"/>
    <n v="62000"/>
    <n v="0"/>
    <n v="62000"/>
    <n v="62000"/>
    <s v="日本人等"/>
    <x v="0"/>
    <s v=""/>
    <m/>
    <s v="107_305"/>
    <n v="62000"/>
    <m/>
    <n v="1"/>
    <n v="62000"/>
    <n v="0"/>
    <n v="0"/>
    <n v="1"/>
    <x v="0"/>
  </r>
  <r>
    <x v="158"/>
    <n v="107"/>
    <x v="6"/>
    <s v="306"/>
    <n v="16.96"/>
    <n v="631"/>
    <x v="0"/>
    <s v="1R"/>
    <n v="53700"/>
    <n v="5000"/>
    <n v="0"/>
    <n v="0"/>
    <n v="58700"/>
    <n v="58700"/>
    <n v="0"/>
    <n v="58700"/>
    <n v="58700"/>
    <s v="日本人等"/>
    <x v="0"/>
    <s v=""/>
    <m/>
    <s v="107_306"/>
    <n v="59000"/>
    <m/>
    <n v="1"/>
    <n v="58700"/>
    <n v="0"/>
    <n v="-300"/>
    <n v="1"/>
    <x v="0"/>
  </r>
  <r>
    <x v="159"/>
    <n v="107"/>
    <x v="6"/>
    <s v="307"/>
    <n v="18.47"/>
    <n v="631"/>
    <x v="0"/>
    <s v="1R"/>
    <n v="63000"/>
    <n v="3000"/>
    <n v="0"/>
    <n v="0"/>
    <n v="66000"/>
    <n v="66000"/>
    <n v="0"/>
    <n v="66000"/>
    <n v="66000"/>
    <s v="日本人等"/>
    <x v="0"/>
    <s v=""/>
    <m/>
    <s v="107_307"/>
    <n v="66000"/>
    <m/>
    <n v="1"/>
    <n v="66000"/>
    <n v="0"/>
    <n v="0"/>
    <n v="1"/>
    <x v="0"/>
  </r>
  <r>
    <x v="160"/>
    <n v="107"/>
    <x v="6"/>
    <s v="308"/>
    <n v="18.47"/>
    <n v="631"/>
    <x v="0"/>
    <s v="1R"/>
    <n v="59000"/>
    <n v="3000"/>
    <n v="0"/>
    <n v="0"/>
    <n v="62000"/>
    <n v="62000"/>
    <n v="0"/>
    <n v="62000"/>
    <n v="62000"/>
    <s v="日本人等"/>
    <x v="0"/>
    <s v=""/>
    <m/>
    <s v="107_308"/>
    <n v="60000"/>
    <m/>
    <n v="1"/>
    <n v="62000"/>
    <n v="0"/>
    <n v="2000"/>
    <n v="1"/>
    <x v="0"/>
  </r>
  <r>
    <x v="161"/>
    <n v="107"/>
    <x v="6"/>
    <s v="310"/>
    <n v="19.54"/>
    <n v="631"/>
    <x v="0"/>
    <s v="1R"/>
    <n v="59000"/>
    <n v="2000"/>
    <n v="0"/>
    <n v="0"/>
    <n v="61000"/>
    <n v="61000"/>
    <n v="0"/>
    <n v="61000"/>
    <n v="61000"/>
    <s v="日本人等"/>
    <x v="0"/>
    <s v=""/>
    <m/>
    <s v="107_310"/>
    <n v="62000"/>
    <m/>
    <n v="1"/>
    <n v="61000"/>
    <n v="0"/>
    <n v="-1000"/>
    <n v="1"/>
    <x v="0"/>
  </r>
  <r>
    <x v="162"/>
    <n v="107"/>
    <x v="6"/>
    <s v="311"/>
    <n v="18.47"/>
    <n v="631"/>
    <x v="0"/>
    <s v="1R"/>
    <n v="60000"/>
    <n v="3000"/>
    <n v="0"/>
    <n v="0"/>
    <n v="63000"/>
    <n v="61000"/>
    <n v="0"/>
    <n v="61000"/>
    <n v="63000"/>
    <s v="新興国系"/>
    <x v="0"/>
    <s v=""/>
    <m/>
    <s v="107_311"/>
    <n v="63000"/>
    <m/>
    <n v="1"/>
    <n v="63000"/>
    <n v="-2000"/>
    <n v="0"/>
    <n v="1"/>
    <x v="0"/>
  </r>
  <r>
    <x v="163"/>
    <n v="107"/>
    <x v="6"/>
    <s v="312"/>
    <n v="16.2"/>
    <n v="631"/>
    <x v="0"/>
    <s v="1R"/>
    <n v="59000"/>
    <n v="0"/>
    <n v="0"/>
    <n v="0"/>
    <n v="59000"/>
    <n v="59000"/>
    <n v="0"/>
    <n v="59000"/>
    <n v="59000"/>
    <s v="日本人等"/>
    <x v="0"/>
    <s v=""/>
    <m/>
    <s v="107_312"/>
    <n v="59000"/>
    <m/>
    <n v="1"/>
    <n v="59000"/>
    <n v="0"/>
    <n v="0"/>
    <n v="1"/>
    <x v="0"/>
  </r>
  <r>
    <x v="164"/>
    <n v="107"/>
    <x v="6"/>
    <s v="1F"/>
    <n v="430"/>
    <n v="633"/>
    <x v="5"/>
    <s v="店舗"/>
    <n v="1000000"/>
    <n v="0"/>
    <n v="0"/>
    <n v="100000"/>
    <n v="1100000"/>
    <n v="1000000"/>
    <n v="100000"/>
    <n v="1100000"/>
    <n v="1100000"/>
    <s v="法人契約"/>
    <x v="0"/>
    <s v=""/>
    <m/>
    <s v="107_1F"/>
    <n v="1000000"/>
    <m/>
    <n v="1"/>
    <n v="1000000"/>
    <n v="0"/>
    <n v="0"/>
    <n v="1"/>
    <x v="0"/>
  </r>
  <r>
    <x v="165"/>
    <n v="107"/>
    <x v="6"/>
    <s v="NTD1"/>
    <s v="-"/>
    <n v="639"/>
    <x v="3"/>
    <s v="その他"/>
    <n v="0"/>
    <n v="0"/>
    <n v="0"/>
    <n v="0"/>
    <n v="0"/>
    <n v="0"/>
    <n v="0"/>
    <n v="0"/>
    <n v="0"/>
    <s v="-"/>
    <x v="1"/>
    <s v="電柱"/>
    <m/>
    <s v="107_NTD1"/>
    <n v="0"/>
    <m/>
    <n v="0"/>
    <n v="0"/>
    <n v="0"/>
    <n v="0"/>
    <n v="0"/>
    <x v="0"/>
  </r>
  <r>
    <x v="166"/>
    <n v="109"/>
    <x v="7"/>
    <s v="101"/>
    <n v="21.5"/>
    <n v="631"/>
    <x v="0"/>
    <s v="1K"/>
    <n v="50000"/>
    <n v="0"/>
    <n v="0"/>
    <n v="0"/>
    <n v="50000"/>
    <n v="50000"/>
    <n v="0"/>
    <n v="50000"/>
    <n v="50000"/>
    <s v="日本人等"/>
    <x v="0"/>
    <s v=""/>
    <m/>
    <s v="109_101"/>
    <n v="20000"/>
    <m/>
    <n v="1"/>
    <n v="50000"/>
    <n v="0"/>
    <n v="30000"/>
    <n v="1"/>
    <x v="0"/>
  </r>
  <r>
    <x v="167"/>
    <n v="109"/>
    <x v="7"/>
    <s v="102"/>
    <n v="21.87"/>
    <n v="631"/>
    <x v="0"/>
    <s v="1DK"/>
    <n v="68000"/>
    <n v="0"/>
    <n v="0"/>
    <n v="0"/>
    <n v="68000"/>
    <n v="68000"/>
    <n v="0"/>
    <n v="68000"/>
    <n v="68000"/>
    <s v="日本人等"/>
    <x v="0"/>
    <s v=""/>
    <m/>
    <s v="109_102"/>
    <n v="68000"/>
    <m/>
    <n v="1"/>
    <n v="68000"/>
    <n v="0"/>
    <n v="0"/>
    <n v="1"/>
    <x v="0"/>
  </r>
  <r>
    <x v="168"/>
    <n v="109"/>
    <x v="7"/>
    <s v="103"/>
    <n v="17.43"/>
    <n v="631"/>
    <x v="0"/>
    <s v="1R"/>
    <n v="62000"/>
    <n v="3000"/>
    <n v="0"/>
    <n v="0"/>
    <n v="65000"/>
    <n v="65000"/>
    <n v="0"/>
    <n v="65000"/>
    <n v="65000"/>
    <s v="新興国系"/>
    <x v="0"/>
    <s v=""/>
    <m/>
    <s v="109_103"/>
    <n v="60000"/>
    <m/>
    <n v="1"/>
    <n v="65000"/>
    <n v="0"/>
    <n v="5000"/>
    <n v="1"/>
    <x v="0"/>
  </r>
  <r>
    <x v="169"/>
    <n v="109"/>
    <x v="7"/>
    <s v="105"/>
    <n v="21.77"/>
    <n v="631"/>
    <x v="0"/>
    <s v="1K"/>
    <n v="67000"/>
    <n v="3000"/>
    <n v="0"/>
    <n v="0"/>
    <n v="70000"/>
    <n v="78000"/>
    <n v="0"/>
    <n v="78000"/>
    <n v="70000"/>
    <s v="日本人等"/>
    <x v="0"/>
    <s v=""/>
    <m/>
    <s v="109_105"/>
    <n v="82000"/>
    <m/>
    <n v="1"/>
    <n v="70000"/>
    <n v="8000"/>
    <n v="-12000"/>
    <n v="1"/>
    <x v="0"/>
  </r>
  <r>
    <x v="170"/>
    <n v="109"/>
    <x v="7"/>
    <s v="107"/>
    <n v="25.25"/>
    <n v="631"/>
    <x v="0"/>
    <s v="1DK"/>
    <n v="80000"/>
    <n v="3000"/>
    <n v="0"/>
    <n v="0"/>
    <n v="83000"/>
    <n v="86300"/>
    <n v="0"/>
    <n v="86300"/>
    <n v="83000"/>
    <s v="日本人等"/>
    <x v="0"/>
    <s v=""/>
    <m/>
    <s v="109_107"/>
    <n v="86000"/>
    <m/>
    <n v="1"/>
    <n v="83000"/>
    <n v="3300"/>
    <n v="-3000"/>
    <n v="1"/>
    <x v="0"/>
  </r>
  <r>
    <x v="171"/>
    <n v="109"/>
    <x v="7"/>
    <s v="108"/>
    <n v="34"/>
    <n v="631"/>
    <x v="0"/>
    <s v="1DK"/>
    <n v="101000"/>
    <n v="5000"/>
    <n v="0"/>
    <n v="0"/>
    <n v="106000"/>
    <n v="95000"/>
    <n v="0"/>
    <n v="95000"/>
    <n v="106000"/>
    <s v="日本人等"/>
    <x v="0"/>
    <s v=""/>
    <m/>
    <s v="109_108"/>
    <n v="95000"/>
    <m/>
    <n v="1"/>
    <n v="106000"/>
    <n v="-11000"/>
    <n v="11000"/>
    <n v="1"/>
    <x v="0"/>
  </r>
  <r>
    <x v="172"/>
    <n v="109"/>
    <x v="7"/>
    <s v="111"/>
    <n v="62.64"/>
    <n v="631"/>
    <x v="0"/>
    <s v="3LDK"/>
    <n v="145000"/>
    <n v="0"/>
    <n v="0"/>
    <n v="0"/>
    <n v="145000"/>
    <n v="145000"/>
    <n v="0"/>
    <n v="145000"/>
    <n v="145000"/>
    <s v="日本人等"/>
    <x v="0"/>
    <s v=""/>
    <m/>
    <s v="109_111"/>
    <n v="145000"/>
    <m/>
    <n v="1"/>
    <n v="145000"/>
    <n v="0"/>
    <n v="0"/>
    <n v="1"/>
    <x v="0"/>
  </r>
  <r>
    <x v="173"/>
    <n v="109"/>
    <x v="7"/>
    <s v="112"/>
    <n v="62.64"/>
    <n v="631"/>
    <x v="0"/>
    <s v="3LDK"/>
    <n v="160000"/>
    <n v="5000"/>
    <n v="0"/>
    <n v="0"/>
    <n v="165000"/>
    <n v="165000"/>
    <n v="0"/>
    <n v="165000"/>
    <n v="165000"/>
    <s v="中華系"/>
    <x v="0"/>
    <s v=""/>
    <m/>
    <s v="109_112"/>
    <n v="150000"/>
    <m/>
    <n v="1"/>
    <n v="165000"/>
    <n v="0"/>
    <n v="15000"/>
    <n v="1"/>
    <x v="0"/>
  </r>
  <r>
    <x v="174"/>
    <n v="109"/>
    <x v="7"/>
    <s v="221"/>
    <n v="62.64"/>
    <n v="631"/>
    <x v="0"/>
    <s v="3LDK"/>
    <n v="150000"/>
    <n v="0"/>
    <n v="0"/>
    <n v="0"/>
    <n v="150000"/>
    <n v="150000"/>
    <n v="0"/>
    <n v="150000"/>
    <n v="150000"/>
    <s v="住居法人契約"/>
    <x v="0"/>
    <s v=""/>
    <m/>
    <s v="109_221"/>
    <n v="150000"/>
    <m/>
    <n v="1"/>
    <n v="150000"/>
    <n v="0"/>
    <n v="0"/>
    <n v="1"/>
    <x v="0"/>
  </r>
  <r>
    <x v="175"/>
    <n v="109"/>
    <x v="7"/>
    <s v="222"/>
    <n v="62.64"/>
    <n v="631"/>
    <x v="0"/>
    <s v="3LDK"/>
    <n v="175000"/>
    <n v="5000"/>
    <n v="0"/>
    <n v="0"/>
    <n v="180000"/>
    <n v="180000"/>
    <n v="0"/>
    <n v="180000"/>
    <n v="180000"/>
    <s v="日本人等"/>
    <x v="0"/>
    <s v=""/>
    <m/>
    <s v="109_222"/>
    <n v="155000"/>
    <m/>
    <n v="1"/>
    <n v="180000"/>
    <n v="0"/>
    <n v="25000"/>
    <n v="1"/>
    <x v="0"/>
  </r>
  <r>
    <x v="176"/>
    <n v="109"/>
    <x v="7"/>
    <s v="331"/>
    <n v="62.64"/>
    <n v="631"/>
    <x v="0"/>
    <s v="3LDK"/>
    <n v="150000"/>
    <n v="0"/>
    <n v="0"/>
    <n v="0"/>
    <n v="150000"/>
    <n v="150000"/>
    <n v="0"/>
    <n v="150000"/>
    <n v="150000"/>
    <s v="日本人等"/>
    <x v="0"/>
    <s v=""/>
    <m/>
    <s v="109_331"/>
    <n v="150000"/>
    <m/>
    <n v="1"/>
    <n v="150000"/>
    <n v="0"/>
    <n v="0"/>
    <n v="1"/>
    <x v="0"/>
  </r>
  <r>
    <x v="177"/>
    <n v="109"/>
    <x v="7"/>
    <s v="332"/>
    <n v="62.64"/>
    <n v="631"/>
    <x v="0"/>
    <s v="3LDK"/>
    <n v="180000"/>
    <n v="5000"/>
    <n v="0"/>
    <n v="0"/>
    <n v="185000"/>
    <n v="180000"/>
    <n v="0"/>
    <n v="180000"/>
    <n v="185000"/>
    <s v="日本人等"/>
    <x v="0"/>
    <s v=""/>
    <m/>
    <s v="109_332"/>
    <n v="150000"/>
    <m/>
    <n v="1"/>
    <n v="185000"/>
    <n v="-5000"/>
    <n v="35000"/>
    <n v="1"/>
    <x v="0"/>
  </r>
  <r>
    <x v="178"/>
    <n v="109"/>
    <x v="7"/>
    <s v="P1"/>
    <n v="0"/>
    <n v="634"/>
    <x v="4"/>
    <s v="駐車場"/>
    <n v="24545"/>
    <n v="0"/>
    <n v="0"/>
    <n v="2455"/>
    <n v="27000"/>
    <n v="24545"/>
    <n v="2454.5454545454545"/>
    <n v="26999.545454545456"/>
    <n v="27000"/>
    <s v="法人契約"/>
    <x v="0"/>
    <s v=""/>
    <m/>
    <s v="109_P1"/>
    <n v="25000"/>
    <m/>
    <n v="1"/>
    <n v="24545"/>
    <n v="0"/>
    <n v="-455"/>
    <n v="1"/>
    <x v="0"/>
  </r>
  <r>
    <x v="179"/>
    <n v="109"/>
    <x v="7"/>
    <s v="RF1"/>
    <n v="0"/>
    <n v="635"/>
    <x v="2"/>
    <s v="その他"/>
    <n v="53467"/>
    <n v="0"/>
    <n v="0"/>
    <n v="5346"/>
    <n v="58813"/>
    <n v="53466"/>
    <n v="5346.636363636364"/>
    <n v="58812.636363636368"/>
    <n v="58813"/>
    <s v="-"/>
    <x v="0"/>
    <s v="ソフトバンクモバイル"/>
    <m/>
    <s v="109_RF1"/>
    <n v="53467"/>
    <m/>
    <n v="1"/>
    <n v="53467"/>
    <n v="-1"/>
    <n v="0"/>
    <n v="1"/>
    <x v="0"/>
  </r>
  <r>
    <x v="180"/>
    <n v="109"/>
    <x v="7"/>
    <s v="RF2"/>
    <n v="0"/>
    <n v="635"/>
    <x v="2"/>
    <s v="その他"/>
    <n v="12817"/>
    <n v="0"/>
    <n v="0"/>
    <n v="1281"/>
    <n v="14098"/>
    <n v="12816"/>
    <n v="1281.6363636363637"/>
    <n v="14097.636363636364"/>
    <n v="14098"/>
    <s v="-"/>
    <x v="0"/>
    <s v="ドコモ"/>
    <m/>
    <s v="109_RF2"/>
    <n v="12817"/>
    <m/>
    <n v="1"/>
    <n v="12817"/>
    <n v="-1"/>
    <n v="0"/>
    <n v="1"/>
    <x v="0"/>
  </r>
  <r>
    <x v="181"/>
    <n v="109"/>
    <x v="7"/>
    <s v="NTF1"/>
    <s v="-"/>
    <n v="639"/>
    <x v="3"/>
    <s v="その他"/>
    <n v="0"/>
    <n v="0"/>
    <n v="0"/>
    <n v="0"/>
    <n v="0"/>
    <n v="0"/>
    <n v="0"/>
    <n v="0"/>
    <n v="0"/>
    <s v="-"/>
    <x v="1"/>
    <s v="フレッツ光"/>
    <m/>
    <s v="109_NTF1"/>
    <n v="0"/>
    <m/>
    <n v="0"/>
    <n v="0"/>
    <n v="0"/>
    <n v="0"/>
    <n v="0"/>
    <x v="0"/>
  </r>
  <r>
    <x v="182"/>
    <n v="109"/>
    <x v="7"/>
    <s v="100"/>
    <n v="0"/>
    <n v="636"/>
    <x v="6"/>
    <s v="倉庫"/>
    <n v="16000"/>
    <n v="0"/>
    <n v="0"/>
    <n v="1600"/>
    <n v="17600"/>
    <n v="16000"/>
    <n v="1600"/>
    <n v="17600"/>
    <n v="17600"/>
    <s v="日本人等"/>
    <x v="0"/>
    <s v=""/>
    <m/>
    <s v="109_100"/>
    <n v="0"/>
    <m/>
    <n v="1"/>
    <n v="16000"/>
    <n v="0"/>
    <n v="16000"/>
    <n v="1"/>
    <x v="0"/>
  </r>
  <r>
    <x v="183"/>
    <n v="111"/>
    <x v="8"/>
    <s v="SL1"/>
    <s v="-"/>
    <n v="631"/>
    <x v="0"/>
    <s v="1K"/>
    <n v="1758634"/>
    <n v="0"/>
    <n v="0"/>
    <n v="0"/>
    <n v="1758634"/>
    <n v="1752707"/>
    <n v="0"/>
    <n v="1752707"/>
    <n v="1758634"/>
    <s v="一括貸し"/>
    <x v="0"/>
    <s v="公益団体に一括貸し"/>
    <m/>
    <s v="111_SL1"/>
    <n v="1752707"/>
    <m/>
    <n v="1"/>
    <n v="1758634"/>
    <n v="-5927"/>
    <n v="5927"/>
    <n v="0"/>
    <x v="0"/>
  </r>
  <r>
    <x v="184"/>
    <n v="111"/>
    <x v="8"/>
    <s v="201"/>
    <n v="45.527000000000001"/>
    <n v="631"/>
    <x v="0"/>
    <s v="2DK"/>
    <s v="-"/>
    <s v="-"/>
    <s v="-"/>
    <s v="-"/>
    <n v="0"/>
    <n v="91000"/>
    <n v="0"/>
    <n v="91000"/>
    <n v="91000"/>
    <s v="-"/>
    <x v="0"/>
    <s v="普通借家想定91000円"/>
    <m/>
    <s v="111_201"/>
    <n v="0"/>
    <m/>
    <n v="0"/>
    <n v="91000"/>
    <n v="0"/>
    <n v="91000"/>
    <n v="1"/>
    <x v="1"/>
  </r>
  <r>
    <x v="185"/>
    <n v="111"/>
    <x v="8"/>
    <s v="202"/>
    <n v="45.527000000000001"/>
    <n v="631"/>
    <x v="0"/>
    <s v="2DK"/>
    <s v="-"/>
    <s v="-"/>
    <s v="-"/>
    <s v="-"/>
    <n v="0"/>
    <n v="91000"/>
    <n v="0"/>
    <n v="91000"/>
    <n v="91000"/>
    <s v="-"/>
    <x v="0"/>
    <s v="普通借家想定91000円"/>
    <m/>
    <s v="111_202"/>
    <n v="0"/>
    <m/>
    <n v="0"/>
    <n v="91000"/>
    <n v="0"/>
    <n v="91000"/>
    <n v="1"/>
    <x v="1"/>
  </r>
  <r>
    <x v="186"/>
    <n v="111"/>
    <x v="8"/>
    <s v="203"/>
    <n v="45.527000000000001"/>
    <n v="631"/>
    <x v="0"/>
    <s v="2DK"/>
    <s v="-"/>
    <s v="-"/>
    <s v="-"/>
    <s v="-"/>
    <n v="0"/>
    <n v="91000"/>
    <n v="0"/>
    <n v="91000"/>
    <n v="91000"/>
    <s v="-"/>
    <x v="0"/>
    <s v="普通借家想定91000円"/>
    <m/>
    <s v="111_203"/>
    <n v="0"/>
    <m/>
    <n v="0"/>
    <n v="91000"/>
    <n v="0"/>
    <n v="91000"/>
    <n v="1"/>
    <x v="1"/>
  </r>
  <r>
    <x v="187"/>
    <n v="111"/>
    <x v="8"/>
    <s v="205"/>
    <n v="23.193000000000001"/>
    <n v="631"/>
    <x v="0"/>
    <s v="1DK"/>
    <s v="-"/>
    <s v="-"/>
    <s v="-"/>
    <s v="-"/>
    <n v="0"/>
    <n v="91000"/>
    <n v="0"/>
    <n v="91000"/>
    <n v="91000"/>
    <s v="-"/>
    <x v="0"/>
    <s v="普通借家想定91000円"/>
    <m/>
    <s v="111_205"/>
    <n v="0"/>
    <m/>
    <n v="0"/>
    <n v="91000"/>
    <n v="0"/>
    <n v="91000"/>
    <n v="1"/>
    <x v="1"/>
  </r>
  <r>
    <x v="188"/>
    <n v="111"/>
    <x v="8"/>
    <s v="301"/>
    <n v="45.527000000000001"/>
    <n v="631"/>
    <x v="0"/>
    <s v="2DK"/>
    <s v="-"/>
    <s v="-"/>
    <s v="-"/>
    <s v="-"/>
    <n v="0"/>
    <n v="91000"/>
    <n v="0"/>
    <n v="91000"/>
    <n v="91000"/>
    <s v="-"/>
    <x v="0"/>
    <s v="普通借家想定91000円"/>
    <m/>
    <s v="111_301"/>
    <n v="0"/>
    <m/>
    <n v="0"/>
    <n v="91000"/>
    <n v="0"/>
    <n v="91000"/>
    <n v="1"/>
    <x v="1"/>
  </r>
  <r>
    <x v="189"/>
    <n v="111"/>
    <x v="8"/>
    <s v="302"/>
    <n v="45.527000000000001"/>
    <n v="631"/>
    <x v="0"/>
    <s v="2DK"/>
    <s v="-"/>
    <s v="-"/>
    <s v="-"/>
    <s v="-"/>
    <n v="0"/>
    <n v="91000"/>
    <n v="0"/>
    <n v="91000"/>
    <n v="91000"/>
    <s v="-"/>
    <x v="0"/>
    <s v="普通借家想定91000円"/>
    <m/>
    <s v="111_302"/>
    <n v="0"/>
    <m/>
    <n v="0"/>
    <n v="91000"/>
    <n v="0"/>
    <n v="91000"/>
    <n v="1"/>
    <x v="1"/>
  </r>
  <r>
    <x v="190"/>
    <n v="111"/>
    <x v="8"/>
    <s v="303"/>
    <n v="60.988999999999997"/>
    <n v="631"/>
    <x v="0"/>
    <s v="2DK"/>
    <s v="-"/>
    <s v="-"/>
    <s v="-"/>
    <s v="-"/>
    <n v="0"/>
    <n v="91000"/>
    <n v="0"/>
    <n v="91000"/>
    <n v="91000"/>
    <s v="-"/>
    <x v="0"/>
    <s v="普通借家想定91000円"/>
    <m/>
    <s v="111_303"/>
    <n v="0"/>
    <m/>
    <n v="0"/>
    <n v="91000"/>
    <n v="0"/>
    <n v="91000"/>
    <n v="1"/>
    <x v="1"/>
  </r>
  <r>
    <x v="191"/>
    <n v="111"/>
    <x v="8"/>
    <s v="401"/>
    <n v="45.527000000000001"/>
    <n v="631"/>
    <x v="0"/>
    <s v="2DK"/>
    <s v="-"/>
    <s v="-"/>
    <s v="-"/>
    <s v="-"/>
    <n v="0"/>
    <n v="91000"/>
    <n v="0"/>
    <n v="91000"/>
    <n v="91000"/>
    <s v="-"/>
    <x v="0"/>
    <s v="普通借家想定91000円"/>
    <m/>
    <s v="111_401"/>
    <n v="0"/>
    <m/>
    <n v="0"/>
    <n v="91000"/>
    <n v="0"/>
    <n v="91000"/>
    <n v="1"/>
    <x v="1"/>
  </r>
  <r>
    <x v="192"/>
    <n v="111"/>
    <x v="8"/>
    <s v="402"/>
    <n v="45.527000000000001"/>
    <n v="631"/>
    <x v="0"/>
    <s v="2DK"/>
    <s v="-"/>
    <s v="-"/>
    <s v="-"/>
    <s v="-"/>
    <n v="0"/>
    <n v="91000"/>
    <n v="0"/>
    <n v="91000"/>
    <n v="91000"/>
    <s v="-"/>
    <x v="0"/>
    <s v="普通借家想定91000円"/>
    <m/>
    <s v="111_402"/>
    <n v="0"/>
    <m/>
    <n v="0"/>
    <n v="91000"/>
    <n v="0"/>
    <n v="91000"/>
    <n v="1"/>
    <x v="1"/>
  </r>
  <r>
    <x v="193"/>
    <n v="111"/>
    <x v="8"/>
    <s v="403"/>
    <n v="45.527000000000001"/>
    <n v="631"/>
    <x v="0"/>
    <s v="2DK"/>
    <s v="-"/>
    <s v="-"/>
    <s v="-"/>
    <s v="-"/>
    <n v="0"/>
    <n v="91000"/>
    <n v="0"/>
    <n v="91000"/>
    <n v="91000"/>
    <s v="-"/>
    <x v="0"/>
    <s v="普通借家想定91000円"/>
    <m/>
    <s v="111_403"/>
    <n v="0"/>
    <m/>
    <n v="0"/>
    <n v="91000"/>
    <n v="0"/>
    <n v="91000"/>
    <n v="1"/>
    <x v="1"/>
  </r>
  <r>
    <x v="194"/>
    <n v="111"/>
    <x v="8"/>
    <s v="PSL1"/>
    <s v="-"/>
    <n v="634"/>
    <x v="4"/>
    <s v="駐車場"/>
    <n v="83400"/>
    <n v="0"/>
    <n v="0"/>
    <n v="8340"/>
    <n v="91740"/>
    <n v="83400"/>
    <n v="8340"/>
    <n v="91740"/>
    <n v="91740"/>
    <s v="一括貸し"/>
    <x v="0"/>
    <s v=""/>
    <m/>
    <s v="111_PSL1"/>
    <n v="90072"/>
    <m/>
    <n v="1"/>
    <n v="83400"/>
    <n v="0"/>
    <n v="-6672"/>
    <n v="0"/>
    <x v="0"/>
  </r>
  <r>
    <x v="195"/>
    <n v="111"/>
    <x v="8"/>
    <s v="PSL2"/>
    <s v="-"/>
    <n v="634"/>
    <x v="4"/>
    <s v="駐車場"/>
    <n v="20000"/>
    <n v="0"/>
    <n v="0"/>
    <n v="2000"/>
    <n v="22000"/>
    <n v="20000"/>
    <n v="2000"/>
    <n v="22000"/>
    <n v="22000"/>
    <s v="一括貸し"/>
    <x v="0"/>
    <s v=""/>
    <m/>
    <s v="111_PSL2"/>
    <n v="20571"/>
    <m/>
    <n v="1"/>
    <n v="20000"/>
    <n v="0"/>
    <n v="-571"/>
    <n v="0"/>
    <x v="0"/>
  </r>
  <r>
    <x v="196"/>
    <n v="111"/>
    <x v="8"/>
    <s v="P001"/>
    <n v="0"/>
    <n v="634"/>
    <x v="4"/>
    <s v="駐車場"/>
    <s v="-"/>
    <s v="-"/>
    <s v="-"/>
    <s v="-"/>
    <n v="0"/>
    <n v="10000"/>
    <n v="1000"/>
    <n v="11000"/>
    <n v="11000"/>
    <s v="-"/>
    <x v="0"/>
    <s v="自動車駐車場"/>
    <m/>
    <s v="111_P001"/>
    <n v="0"/>
    <m/>
    <n v="0"/>
    <n v="10000"/>
    <n v="0"/>
    <n v="10000"/>
    <n v="1"/>
    <x v="1"/>
  </r>
  <r>
    <x v="197"/>
    <n v="111"/>
    <x v="8"/>
    <s v="P002"/>
    <n v="0"/>
    <n v="634"/>
    <x v="4"/>
    <s v="駐車場"/>
    <s v="-"/>
    <s v="-"/>
    <s v="-"/>
    <s v="-"/>
    <n v="0"/>
    <n v="10000"/>
    <n v="1000"/>
    <n v="11000"/>
    <n v="11000"/>
    <s v="-"/>
    <x v="0"/>
    <s v="自動車駐車場"/>
    <m/>
    <s v="111_P002"/>
    <n v="0"/>
    <m/>
    <n v="0"/>
    <n v="10000"/>
    <n v="0"/>
    <n v="10000"/>
    <n v="1"/>
    <x v="1"/>
  </r>
  <r>
    <x v="198"/>
    <n v="111"/>
    <x v="8"/>
    <s v="P003"/>
    <n v="0"/>
    <n v="634"/>
    <x v="4"/>
    <s v="駐車場"/>
    <s v="-"/>
    <s v="-"/>
    <s v="-"/>
    <s v="-"/>
    <n v="0"/>
    <n v="10000"/>
    <n v="1000"/>
    <n v="11000"/>
    <n v="11000"/>
    <s v="-"/>
    <x v="0"/>
    <s v="自動車駐車場"/>
    <m/>
    <s v="111_P003"/>
    <n v="0"/>
    <m/>
    <n v="0"/>
    <n v="10000"/>
    <n v="0"/>
    <n v="10000"/>
    <n v="1"/>
    <x v="1"/>
  </r>
  <r>
    <x v="199"/>
    <n v="111"/>
    <x v="8"/>
    <s v="P004"/>
    <n v="0"/>
    <n v="634"/>
    <x v="4"/>
    <s v="駐車場"/>
    <s v="-"/>
    <s v="-"/>
    <s v="-"/>
    <s v="-"/>
    <n v="0"/>
    <n v="10000"/>
    <n v="1000"/>
    <n v="11000"/>
    <n v="11000"/>
    <s v="-"/>
    <x v="0"/>
    <s v="自動車駐車場"/>
    <m/>
    <s v="111_P004"/>
    <n v="0"/>
    <m/>
    <n v="0"/>
    <n v="10000"/>
    <n v="0"/>
    <n v="10000"/>
    <n v="1"/>
    <x v="1"/>
  </r>
  <r>
    <x v="200"/>
    <n v="111"/>
    <x v="8"/>
    <s v="P005"/>
    <n v="0"/>
    <n v="634"/>
    <x v="4"/>
    <s v="駐車場"/>
    <s v="-"/>
    <s v="-"/>
    <s v="-"/>
    <s v="-"/>
    <n v="0"/>
    <n v="10000"/>
    <n v="1000"/>
    <n v="11000"/>
    <n v="11000"/>
    <s v="-"/>
    <x v="0"/>
    <s v="自動車駐車場"/>
    <m/>
    <s v="111_P005"/>
    <n v="0"/>
    <m/>
    <n v="0"/>
    <n v="10000"/>
    <n v="0"/>
    <n v="10000"/>
    <n v="1"/>
    <x v="1"/>
  </r>
  <r>
    <x v="201"/>
    <n v="111"/>
    <x v="8"/>
    <s v="P006"/>
    <n v="0"/>
    <n v="634"/>
    <x v="4"/>
    <s v="駐車場"/>
    <s v="-"/>
    <s v="-"/>
    <s v="-"/>
    <s v="-"/>
    <n v="0"/>
    <n v="10000"/>
    <n v="1000"/>
    <n v="11000"/>
    <n v="11000"/>
    <s v="-"/>
    <x v="0"/>
    <s v="自動車駐車場"/>
    <m/>
    <s v="111_P006"/>
    <n v="0"/>
    <m/>
    <n v="0"/>
    <n v="10000"/>
    <n v="0"/>
    <n v="10000"/>
    <n v="1"/>
    <x v="1"/>
  </r>
  <r>
    <x v="202"/>
    <n v="111"/>
    <x v="8"/>
    <s v="B001"/>
    <n v="0"/>
    <n v="634"/>
    <x v="4"/>
    <s v="駐車場"/>
    <s v="-"/>
    <s v="-"/>
    <s v="-"/>
    <s v="-"/>
    <n v="0"/>
    <n v="5000"/>
    <n v="500"/>
    <n v="5500"/>
    <n v="5500"/>
    <s v="-"/>
    <x v="0"/>
    <s v="バイク置き場"/>
    <m/>
    <s v="111_B001"/>
    <n v="0"/>
    <m/>
    <n v="0"/>
    <n v="5000"/>
    <n v="0"/>
    <n v="5000"/>
    <n v="1"/>
    <x v="1"/>
  </r>
  <r>
    <x v="203"/>
    <n v="111"/>
    <x v="8"/>
    <s v="B002"/>
    <n v="0"/>
    <n v="634"/>
    <x v="4"/>
    <s v="駐車場"/>
    <s v="-"/>
    <s v="-"/>
    <s v="-"/>
    <s v="-"/>
    <n v="0"/>
    <n v="5000"/>
    <n v="500"/>
    <n v="5500"/>
    <n v="5500"/>
    <s v="-"/>
    <x v="0"/>
    <s v="バイク置き場"/>
    <m/>
    <s v="111_B002"/>
    <n v="0"/>
    <m/>
    <n v="0"/>
    <n v="5000"/>
    <n v="0"/>
    <n v="5000"/>
    <n v="1"/>
    <x v="1"/>
  </r>
  <r>
    <x v="204"/>
    <n v="111"/>
    <x v="8"/>
    <s v="B003"/>
    <n v="0"/>
    <n v="634"/>
    <x v="4"/>
    <s v="駐車場"/>
    <s v="-"/>
    <s v="-"/>
    <s v="-"/>
    <s v="-"/>
    <n v="0"/>
    <n v="5000"/>
    <n v="500"/>
    <n v="5500"/>
    <n v="5500"/>
    <s v="-"/>
    <x v="0"/>
    <s v="バイク置き場"/>
    <m/>
    <s v="111_B003"/>
    <n v="0"/>
    <m/>
    <n v="0"/>
    <n v="5000"/>
    <n v="0"/>
    <n v="5000"/>
    <n v="1"/>
    <x v="1"/>
  </r>
  <r>
    <x v="205"/>
    <n v="111"/>
    <x v="8"/>
    <s v="B004"/>
    <n v="0"/>
    <n v="634"/>
    <x v="4"/>
    <s v="駐車場"/>
    <s v="-"/>
    <s v="-"/>
    <s v="-"/>
    <s v="-"/>
    <n v="0"/>
    <n v="5000"/>
    <n v="500"/>
    <n v="5500"/>
    <n v="5500"/>
    <s v="-"/>
    <x v="0"/>
    <s v="バイク置き場"/>
    <m/>
    <s v="111_B004"/>
    <n v="0"/>
    <m/>
    <n v="0"/>
    <n v="5000"/>
    <n v="0"/>
    <n v="5000"/>
    <n v="1"/>
    <x v="1"/>
  </r>
  <r>
    <x v="206"/>
    <n v="111"/>
    <x v="8"/>
    <s v="B005"/>
    <n v="0"/>
    <n v="634"/>
    <x v="4"/>
    <s v="駐車場"/>
    <s v="-"/>
    <s v="-"/>
    <s v="-"/>
    <s v="-"/>
    <n v="0"/>
    <n v="5000"/>
    <n v="500"/>
    <n v="5500"/>
    <n v="5500"/>
    <s v="-"/>
    <x v="0"/>
    <s v="バイク置き場"/>
    <m/>
    <s v="111_B005"/>
    <n v="0"/>
    <m/>
    <n v="0"/>
    <n v="5000"/>
    <n v="0"/>
    <n v="5000"/>
    <n v="1"/>
    <x v="1"/>
  </r>
  <r>
    <x v="207"/>
    <n v="112"/>
    <x v="9"/>
    <s v="101"/>
    <n v="491.32"/>
    <n v="632"/>
    <x v="1"/>
    <s v="事務所"/>
    <n v="2300000"/>
    <n v="0"/>
    <n v="0"/>
    <n v="230000"/>
    <n v="2530000"/>
    <n v="2300000"/>
    <n v="230000"/>
    <n v="2530000"/>
    <n v="2530000"/>
    <s v="法人契約"/>
    <x v="0"/>
    <s v=""/>
    <m/>
    <s v="112_101"/>
    <n v="2500000"/>
    <m/>
    <n v="1"/>
    <n v="2300000"/>
    <n v="0"/>
    <n v="-200000"/>
    <n v="1"/>
    <x v="0"/>
  </r>
  <r>
    <x v="208"/>
    <n v="113"/>
    <x v="10"/>
    <s v="101"/>
    <n v="54.44"/>
    <n v="631"/>
    <x v="0"/>
    <s v="3DK"/>
    <n v="120000"/>
    <n v="5000"/>
    <n v="0"/>
    <n v="0"/>
    <n v="125000"/>
    <n v="125000"/>
    <n v="0"/>
    <n v="125000"/>
    <n v="125000"/>
    <s v="中華系"/>
    <x v="0"/>
    <s v=""/>
    <m/>
    <s v="113_101"/>
    <n v="117000"/>
    <m/>
    <n v="1"/>
    <n v="125000"/>
    <n v="0"/>
    <n v="8000"/>
    <n v="1"/>
    <x v="0"/>
  </r>
  <r>
    <x v="209"/>
    <n v="113"/>
    <x v="10"/>
    <s v="102"/>
    <n v="52.49"/>
    <n v="631"/>
    <x v="0"/>
    <s v="3DK"/>
    <n v="113000"/>
    <n v="5000"/>
    <n v="0"/>
    <n v="0"/>
    <n v="118000"/>
    <n v="118000"/>
    <n v="0"/>
    <n v="118000"/>
    <n v="118000"/>
    <s v="日本人等"/>
    <x v="0"/>
    <s v=""/>
    <m/>
    <s v="113_102"/>
    <n v="118000"/>
    <m/>
    <n v="1"/>
    <n v="118000"/>
    <n v="0"/>
    <n v="0"/>
    <n v="1"/>
    <x v="0"/>
  </r>
  <r>
    <x v="210"/>
    <n v="113"/>
    <x v="10"/>
    <s v="103"/>
    <n v="54.44"/>
    <n v="631"/>
    <x v="0"/>
    <s v="3DK"/>
    <n v="110000"/>
    <n v="5000"/>
    <n v="0"/>
    <n v="0"/>
    <n v="115000"/>
    <n v="115000"/>
    <n v="0"/>
    <n v="115000"/>
    <n v="115000"/>
    <s v="日本人等"/>
    <x v="0"/>
    <s v=""/>
    <m/>
    <s v="113_103"/>
    <n v="115000"/>
    <m/>
    <n v="1"/>
    <n v="115000"/>
    <n v="0"/>
    <n v="0"/>
    <n v="1"/>
    <x v="0"/>
  </r>
  <r>
    <x v="211"/>
    <n v="113"/>
    <x v="10"/>
    <s v="104"/>
    <n v="52.49"/>
    <n v="631"/>
    <x v="0"/>
    <s v="3DK"/>
    <n v="113000"/>
    <n v="5000"/>
    <n v="0"/>
    <n v="0"/>
    <n v="118000"/>
    <n v="118000"/>
    <n v="0"/>
    <n v="118000"/>
    <n v="118000"/>
    <s v="日本人等"/>
    <x v="0"/>
    <s v=""/>
    <m/>
    <s v="113_104"/>
    <n v="118000"/>
    <m/>
    <n v="1"/>
    <n v="118000"/>
    <n v="0"/>
    <n v="0"/>
    <n v="1"/>
    <x v="0"/>
  </r>
  <r>
    <x v="212"/>
    <n v="113"/>
    <x v="10"/>
    <s v="105"/>
    <n v="54.44"/>
    <n v="631"/>
    <x v="0"/>
    <s v="3DK"/>
    <n v="110000"/>
    <n v="5000"/>
    <n v="0"/>
    <n v="0"/>
    <n v="115000"/>
    <n v="115000"/>
    <n v="0"/>
    <n v="115000"/>
    <n v="115000"/>
    <s v="日本人等"/>
    <x v="0"/>
    <s v=""/>
    <m/>
    <s v="113_105"/>
    <n v="115000"/>
    <m/>
    <n v="1"/>
    <n v="115000"/>
    <n v="0"/>
    <n v="0"/>
    <n v="1"/>
    <x v="0"/>
  </r>
  <r>
    <x v="213"/>
    <n v="113"/>
    <x v="10"/>
    <s v="106"/>
    <n v="52.49"/>
    <n v="631"/>
    <x v="0"/>
    <s v="3DK"/>
    <n v="120000"/>
    <n v="5000"/>
    <n v="0"/>
    <n v="0"/>
    <n v="125000"/>
    <n v="125000"/>
    <n v="0"/>
    <n v="125000"/>
    <n v="125000"/>
    <s v="中華系"/>
    <x v="0"/>
    <s v=""/>
    <m/>
    <s v="113_106"/>
    <n v="117000"/>
    <m/>
    <n v="1"/>
    <n v="125000"/>
    <n v="0"/>
    <n v="8000"/>
    <n v="1"/>
    <x v="0"/>
  </r>
  <r>
    <x v="214"/>
    <n v="113"/>
    <x v="10"/>
    <s v="201"/>
    <n v="54.44"/>
    <n v="631"/>
    <x v="0"/>
    <s v="3DK"/>
    <n v="130000"/>
    <n v="5000"/>
    <n v="0"/>
    <n v="0"/>
    <n v="135000"/>
    <n v="135000"/>
    <n v="0"/>
    <n v="135000"/>
    <n v="135000"/>
    <s v="中華系"/>
    <x v="0"/>
    <s v=""/>
    <m/>
    <s v="113_201"/>
    <n v="120000"/>
    <m/>
    <n v="1"/>
    <n v="135000"/>
    <n v="0"/>
    <n v="15000"/>
    <n v="1"/>
    <x v="0"/>
  </r>
  <r>
    <x v="215"/>
    <n v="113"/>
    <x v="10"/>
    <s v="202"/>
    <n v="52.49"/>
    <n v="631"/>
    <x v="0"/>
    <s v="3DK"/>
    <n v="120000"/>
    <n v="5000"/>
    <n v="0"/>
    <n v="0"/>
    <n v="125000"/>
    <n v="125000"/>
    <n v="0"/>
    <n v="125000"/>
    <n v="125000"/>
    <s v="中華系"/>
    <x v="0"/>
    <s v=""/>
    <m/>
    <s v="113_202"/>
    <n v="140000"/>
    <m/>
    <n v="1"/>
    <n v="125000"/>
    <n v="0"/>
    <n v="-15000"/>
    <n v="1"/>
    <x v="0"/>
  </r>
  <r>
    <x v="216"/>
    <n v="113"/>
    <x v="10"/>
    <s v="203"/>
    <n v="54.44"/>
    <n v="631"/>
    <x v="0"/>
    <s v="3DK"/>
    <n v="115000"/>
    <n v="5000"/>
    <n v="0"/>
    <n v="0"/>
    <n v="120000"/>
    <n v="120000"/>
    <n v="0"/>
    <n v="120000"/>
    <n v="120000"/>
    <s v="日本人等"/>
    <x v="0"/>
    <s v=""/>
    <m/>
    <s v="113_203"/>
    <n v="116000"/>
    <m/>
    <n v="1"/>
    <n v="120000"/>
    <n v="0"/>
    <n v="4000"/>
    <n v="1"/>
    <x v="0"/>
  </r>
  <r>
    <x v="217"/>
    <n v="113"/>
    <x v="10"/>
    <s v="204"/>
    <n v="52.49"/>
    <n v="631"/>
    <x v="0"/>
    <s v="3DK"/>
    <n v="130000"/>
    <n v="5000"/>
    <n v="0"/>
    <n v="0"/>
    <n v="135000"/>
    <n v="119000"/>
    <n v="0"/>
    <n v="119000"/>
    <n v="135000"/>
    <s v="住居法人契約"/>
    <x v="0"/>
    <s v=""/>
    <m/>
    <s v="113_204"/>
    <n v="119000"/>
    <m/>
    <n v="1"/>
    <n v="135000"/>
    <n v="-16000"/>
    <n v="16000"/>
    <n v="1"/>
    <x v="0"/>
  </r>
  <r>
    <x v="218"/>
    <n v="113"/>
    <x v="10"/>
    <s v="205"/>
    <n v="54.44"/>
    <n v="631"/>
    <x v="0"/>
    <s v="3DK"/>
    <n v="130000"/>
    <n v="5000"/>
    <n v="0"/>
    <n v="0"/>
    <n v="135000"/>
    <n v="120000"/>
    <n v="0"/>
    <n v="120000"/>
    <n v="135000"/>
    <s v="住居法人契約"/>
    <x v="0"/>
    <s v=""/>
    <m/>
    <s v="113_205"/>
    <n v="120000"/>
    <m/>
    <n v="1"/>
    <n v="135000"/>
    <n v="-15000"/>
    <n v="15000"/>
    <n v="1"/>
    <x v="0"/>
  </r>
  <r>
    <x v="219"/>
    <n v="113"/>
    <x v="10"/>
    <s v="206"/>
    <n v="52.49"/>
    <n v="631"/>
    <x v="0"/>
    <s v="3DK"/>
    <n v="130000"/>
    <n v="5000"/>
    <n v="0"/>
    <n v="0"/>
    <n v="135000"/>
    <n v="125000"/>
    <n v="0"/>
    <n v="125000"/>
    <n v="135000"/>
    <s v="住居法人契約"/>
    <x v="0"/>
    <s v=""/>
    <m/>
    <s v="113_206"/>
    <n v="120000"/>
    <m/>
    <n v="1"/>
    <n v="135000"/>
    <n v="-10000"/>
    <n v="15000"/>
    <n v="1"/>
    <x v="0"/>
  </r>
  <r>
    <x v="220"/>
    <n v="113"/>
    <x v="10"/>
    <s v="301"/>
    <n v="54.44"/>
    <n v="631"/>
    <x v="0"/>
    <s v="3DK"/>
    <n v="127000"/>
    <n v="5000"/>
    <n v="0"/>
    <n v="0"/>
    <n v="132000"/>
    <n v="137000"/>
    <n v="0"/>
    <n v="137000"/>
    <n v="132000"/>
    <s v="日本人等"/>
    <x v="0"/>
    <s v=""/>
    <m/>
    <s v="113_301"/>
    <n v="120000"/>
    <m/>
    <n v="1"/>
    <n v="132000"/>
    <n v="5000"/>
    <n v="12000"/>
    <n v="1"/>
    <x v="0"/>
  </r>
  <r>
    <x v="221"/>
    <n v="113"/>
    <x v="10"/>
    <s v="302"/>
    <n v="52.49"/>
    <n v="631"/>
    <x v="0"/>
    <s v="3DK"/>
    <n v="125000"/>
    <n v="5000"/>
    <n v="0"/>
    <n v="0"/>
    <n v="130000"/>
    <n v="130000"/>
    <n v="0"/>
    <n v="130000"/>
    <n v="130000"/>
    <s v="中華系"/>
    <x v="0"/>
    <s v=""/>
    <m/>
    <s v="113_302"/>
    <n v="125000"/>
    <m/>
    <n v="1"/>
    <n v="130000"/>
    <n v="0"/>
    <n v="5000"/>
    <n v="1"/>
    <x v="0"/>
  </r>
  <r>
    <x v="222"/>
    <n v="113"/>
    <x v="10"/>
    <s v="303"/>
    <n v="54.44"/>
    <n v="631"/>
    <x v="0"/>
    <s v="3DK"/>
    <n v="125000"/>
    <n v="5000"/>
    <n v="0"/>
    <n v="0"/>
    <n v="130000"/>
    <n v="125000"/>
    <n v="0"/>
    <n v="125000"/>
    <n v="130000"/>
    <s v="中華系"/>
    <x v="0"/>
    <s v=""/>
    <m/>
    <s v="113_303"/>
    <n v="118000"/>
    <m/>
    <n v="1"/>
    <n v="130000"/>
    <n v="-5000"/>
    <n v="12000"/>
    <n v="1"/>
    <x v="0"/>
  </r>
  <r>
    <x v="223"/>
    <n v="113"/>
    <x v="10"/>
    <s v="304"/>
    <n v="52.49"/>
    <n v="631"/>
    <x v="0"/>
    <s v="3DK"/>
    <n v="115000"/>
    <n v="5000"/>
    <n v="0"/>
    <n v="0"/>
    <n v="120000"/>
    <n v="120000"/>
    <n v="0"/>
    <n v="120000"/>
    <n v="120000"/>
    <s v="日本人等"/>
    <x v="0"/>
    <s v=""/>
    <m/>
    <s v="113_304"/>
    <n v="120000"/>
    <m/>
    <n v="1"/>
    <n v="120000"/>
    <n v="0"/>
    <n v="0"/>
    <n v="1"/>
    <x v="0"/>
  </r>
  <r>
    <x v="224"/>
    <n v="113"/>
    <x v="10"/>
    <s v="305"/>
    <n v="54.44"/>
    <n v="631"/>
    <x v="0"/>
    <s v="3DK"/>
    <n v="95000"/>
    <n v="0"/>
    <n v="0"/>
    <n v="0"/>
    <n v="95000"/>
    <n v="85000"/>
    <n v="0"/>
    <n v="85000"/>
    <n v="95000"/>
    <s v="日本人等"/>
    <x v="0"/>
    <s v=""/>
    <m/>
    <s v="113_305"/>
    <n v="85000"/>
    <m/>
    <n v="1"/>
    <n v="95000"/>
    <n v="-10000"/>
    <n v="10000"/>
    <n v="1"/>
    <x v="0"/>
  </r>
  <r>
    <x v="225"/>
    <n v="113"/>
    <x v="10"/>
    <s v="306"/>
    <n v="52.49"/>
    <n v="631"/>
    <x v="0"/>
    <s v="3DK"/>
    <n v="118000"/>
    <n v="5000"/>
    <n v="0"/>
    <n v="0"/>
    <n v="123000"/>
    <n v="123000"/>
    <n v="0"/>
    <n v="123000"/>
    <n v="123000"/>
    <s v="日本人等"/>
    <x v="0"/>
    <s v=""/>
    <m/>
    <s v="113_306"/>
    <n v="125000"/>
    <m/>
    <n v="1"/>
    <n v="123000"/>
    <n v="0"/>
    <n v="-2000"/>
    <n v="1"/>
    <x v="0"/>
  </r>
  <r>
    <x v="226"/>
    <n v="113"/>
    <x v="10"/>
    <s v="401"/>
    <n v="54.44"/>
    <n v="631"/>
    <x v="0"/>
    <s v="3DK"/>
    <n v="115000"/>
    <n v="5000"/>
    <n v="0"/>
    <n v="0"/>
    <n v="120000"/>
    <n v="120000"/>
    <n v="0"/>
    <n v="120000"/>
    <n v="120000"/>
    <s v="中華系"/>
    <x v="0"/>
    <s v=""/>
    <m/>
    <s v="113_401"/>
    <n v="125000"/>
    <m/>
    <n v="1"/>
    <n v="120000"/>
    <n v="0"/>
    <n v="-5000"/>
    <n v="1"/>
    <x v="0"/>
  </r>
  <r>
    <x v="227"/>
    <n v="113"/>
    <x v="10"/>
    <s v="402"/>
    <n v="52.49"/>
    <n v="631"/>
    <x v="0"/>
    <s v="3DK"/>
    <n v="121000"/>
    <n v="5000"/>
    <n v="0"/>
    <n v="0"/>
    <n v="126000"/>
    <n v="126000"/>
    <n v="0"/>
    <n v="126000"/>
    <n v="126000"/>
    <s v="日本人等"/>
    <x v="0"/>
    <s v=""/>
    <m/>
    <s v="113_402"/>
    <n v="126000"/>
    <m/>
    <n v="1"/>
    <n v="126000"/>
    <n v="0"/>
    <n v="0"/>
    <n v="1"/>
    <x v="0"/>
  </r>
  <r>
    <x v="228"/>
    <n v="113"/>
    <x v="10"/>
    <s v="403"/>
    <n v="54.44"/>
    <n v="631"/>
    <x v="0"/>
    <s v="3DK"/>
    <n v="125000"/>
    <n v="5000"/>
    <n v="0"/>
    <n v="0"/>
    <n v="130000"/>
    <n v="125000"/>
    <n v="0"/>
    <n v="125000"/>
    <n v="130000"/>
    <s v="日本人等"/>
    <x v="0"/>
    <s v=""/>
    <m/>
    <s v="113_403"/>
    <n v="123000"/>
    <m/>
    <n v="1"/>
    <n v="130000"/>
    <n v="-5000"/>
    <n v="7000"/>
    <n v="1"/>
    <x v="0"/>
  </r>
  <r>
    <x v="229"/>
    <n v="113"/>
    <x v="10"/>
    <s v="404"/>
    <n v="52.49"/>
    <n v="631"/>
    <x v="0"/>
    <s v="3DK"/>
    <n v="116000"/>
    <n v="5000"/>
    <n v="0"/>
    <n v="0"/>
    <n v="121000"/>
    <n v="121000"/>
    <n v="0"/>
    <n v="121000"/>
    <n v="121000"/>
    <s v="日本人等"/>
    <x v="0"/>
    <s v=""/>
    <m/>
    <s v="113_404"/>
    <n v="121000"/>
    <m/>
    <n v="1"/>
    <n v="121000"/>
    <n v="0"/>
    <n v="0"/>
    <n v="1"/>
    <x v="0"/>
  </r>
  <r>
    <x v="230"/>
    <n v="113"/>
    <x v="10"/>
    <s v="405"/>
    <n v="54.44"/>
    <n v="631"/>
    <x v="0"/>
    <s v="3DK"/>
    <n v="120000"/>
    <n v="5000"/>
    <n v="0"/>
    <n v="0"/>
    <n v="125000"/>
    <n v="125000"/>
    <n v="0"/>
    <n v="125000"/>
    <n v="125000"/>
    <s v="中華系"/>
    <x v="0"/>
    <s v=""/>
    <m/>
    <s v="113_405"/>
    <n v="123000"/>
    <m/>
    <n v="1"/>
    <n v="125000"/>
    <n v="0"/>
    <n v="2000"/>
    <n v="1"/>
    <x v="0"/>
  </r>
  <r>
    <x v="231"/>
    <n v="113"/>
    <x v="10"/>
    <s v="406"/>
    <n v="52.49"/>
    <n v="631"/>
    <x v="0"/>
    <s v="3DK"/>
    <n v="126000"/>
    <n v="5000"/>
    <n v="0"/>
    <n v="0"/>
    <n v="131000"/>
    <n v="131000"/>
    <n v="0"/>
    <n v="131000"/>
    <n v="131000"/>
    <s v="住居法人契約"/>
    <x v="0"/>
    <s v=""/>
    <m/>
    <s v="113_406"/>
    <n v="131000"/>
    <m/>
    <n v="1"/>
    <n v="131000"/>
    <n v="0"/>
    <n v="0"/>
    <n v="1"/>
    <x v="0"/>
  </r>
  <r>
    <x v="232"/>
    <n v="113"/>
    <x v="10"/>
    <s v="P1"/>
    <n v="0"/>
    <n v="634"/>
    <x v="4"/>
    <s v="駐車場"/>
    <n v="20000"/>
    <n v="0"/>
    <n v="0"/>
    <n v="2000"/>
    <n v="22000"/>
    <n v="20000"/>
    <n v="2000"/>
    <n v="22000"/>
    <n v="22000"/>
    <s v="法人契約"/>
    <x v="0"/>
    <s v=""/>
    <m/>
    <s v="113_P1"/>
    <n v="20000"/>
    <m/>
    <n v="1"/>
    <n v="20000"/>
    <n v="0"/>
    <n v="0"/>
    <n v="1"/>
    <x v="0"/>
  </r>
  <r>
    <x v="233"/>
    <n v="113"/>
    <x v="10"/>
    <s v="NTF1"/>
    <s v="-"/>
    <n v="639"/>
    <x v="3"/>
    <s v="その他"/>
    <n v="0"/>
    <n v="0"/>
    <n v="0"/>
    <n v="0"/>
    <n v="0"/>
    <n v="0"/>
    <n v="0"/>
    <n v="0"/>
    <n v="0"/>
    <s v="-"/>
    <x v="1"/>
    <s v="フレッツ光"/>
    <m/>
    <s v="113_NTF1"/>
    <n v="0"/>
    <m/>
    <n v="0"/>
    <n v="0"/>
    <n v="0"/>
    <n v="0"/>
    <n v="0"/>
    <x v="0"/>
  </r>
  <r>
    <x v="234"/>
    <n v="114"/>
    <x v="11"/>
    <s v="201"/>
    <n v="32.4"/>
    <n v="631"/>
    <x v="0"/>
    <s v="1LDK"/>
    <n v="83000"/>
    <n v="2000"/>
    <n v="0"/>
    <n v="0"/>
    <n v="85000"/>
    <n v="85000"/>
    <n v="0"/>
    <n v="85000"/>
    <n v="85000"/>
    <s v="日本人等"/>
    <x v="0"/>
    <s v=""/>
    <m/>
    <s v="114_201"/>
    <n v="85000"/>
    <m/>
    <n v="1"/>
    <n v="85000"/>
    <n v="0"/>
    <n v="0"/>
    <n v="1"/>
    <x v="0"/>
  </r>
  <r>
    <x v="235"/>
    <n v="114"/>
    <x v="11"/>
    <s v="202"/>
    <n v="18"/>
    <n v="631"/>
    <x v="0"/>
    <s v="1R"/>
    <n v="58000"/>
    <n v="2000"/>
    <n v="0"/>
    <n v="0"/>
    <n v="60000"/>
    <n v="60000"/>
    <n v="0"/>
    <n v="60000"/>
    <n v="60000"/>
    <s v="中華系"/>
    <x v="0"/>
    <s v=""/>
    <m/>
    <s v="114_202"/>
    <n v="60000"/>
    <m/>
    <n v="1"/>
    <n v="60000"/>
    <n v="0"/>
    <n v="0"/>
    <n v="1"/>
    <x v="0"/>
  </r>
  <r>
    <x v="236"/>
    <n v="114"/>
    <x v="11"/>
    <s v="203"/>
    <n v="18"/>
    <n v="631"/>
    <x v="0"/>
    <s v="1R"/>
    <n v="50000"/>
    <n v="3000"/>
    <n v="0"/>
    <n v="0"/>
    <n v="53000"/>
    <n v="62000"/>
    <n v="0"/>
    <n v="62000"/>
    <n v="53000"/>
    <s v="中華系"/>
    <x v="0"/>
    <s v=""/>
    <m/>
    <s v="114_203"/>
    <n v="60000"/>
    <m/>
    <n v="1"/>
    <n v="53000"/>
    <n v="9000"/>
    <n v="-7000"/>
    <n v="1"/>
    <x v="0"/>
  </r>
  <r>
    <x v="237"/>
    <n v="114"/>
    <x v="11"/>
    <s v="205"/>
    <n v="18.239999999999998"/>
    <n v="631"/>
    <x v="0"/>
    <s v="1R"/>
    <n v="63000"/>
    <n v="2000"/>
    <n v="0"/>
    <n v="0"/>
    <n v="65000"/>
    <n v="65000"/>
    <n v="0"/>
    <n v="65000"/>
    <n v="65000"/>
    <s v="日本人等"/>
    <x v="0"/>
    <s v=""/>
    <m/>
    <s v="114_205"/>
    <n v="65000"/>
    <m/>
    <n v="1"/>
    <n v="65000"/>
    <n v="0"/>
    <n v="0"/>
    <n v="1"/>
    <x v="0"/>
  </r>
  <r>
    <x v="238"/>
    <n v="114"/>
    <x v="11"/>
    <s v="206"/>
    <n v="18"/>
    <n v="631"/>
    <x v="0"/>
    <s v="1R"/>
    <n v="53700"/>
    <n v="6300"/>
    <n v="0"/>
    <n v="0"/>
    <n v="60000"/>
    <n v="62000"/>
    <n v="0"/>
    <n v="62000"/>
    <n v="60000"/>
    <s v="日本人等"/>
    <x v="0"/>
    <s v=""/>
    <m/>
    <s v="114_206"/>
    <n v="62000"/>
    <m/>
    <n v="1"/>
    <n v="60000"/>
    <n v="2000"/>
    <n v="-2000"/>
    <n v="1"/>
    <x v="0"/>
  </r>
  <r>
    <x v="239"/>
    <n v="114"/>
    <x v="11"/>
    <s v="301"/>
    <n v="32.4"/>
    <n v="632"/>
    <x v="1"/>
    <s v="1LDK"/>
    <n v="84000"/>
    <n v="2000"/>
    <n v="0"/>
    <n v="8600"/>
    <n v="94600"/>
    <n v="86000"/>
    <n v="8600"/>
    <n v="94600"/>
    <n v="94600"/>
    <s v="住居法人契約"/>
    <x v="0"/>
    <s v=""/>
    <m/>
    <s v="114_301"/>
    <n v="86000"/>
    <m/>
    <n v="1"/>
    <n v="86000"/>
    <n v="0"/>
    <n v="0"/>
    <n v="1"/>
    <x v="0"/>
  </r>
  <r>
    <x v="240"/>
    <n v="114"/>
    <x v="11"/>
    <s v="302"/>
    <n v="18"/>
    <n v="631"/>
    <x v="0"/>
    <s v="1R"/>
    <n v="58000"/>
    <n v="2000"/>
    <n v="0"/>
    <n v="0"/>
    <n v="60000"/>
    <n v="60000"/>
    <n v="0"/>
    <n v="60000"/>
    <n v="60000"/>
    <s v="日本人等"/>
    <x v="0"/>
    <s v=""/>
    <m/>
    <s v="114_302"/>
    <n v="60000"/>
    <m/>
    <n v="1"/>
    <n v="60000"/>
    <n v="0"/>
    <n v="0"/>
    <n v="1"/>
    <x v="0"/>
  </r>
  <r>
    <x v="241"/>
    <n v="114"/>
    <x v="11"/>
    <s v="303"/>
    <n v="18"/>
    <n v="631"/>
    <x v="0"/>
    <s v="1R"/>
    <n v="62000"/>
    <n v="3000"/>
    <n v="0"/>
    <n v="0"/>
    <n v="65000"/>
    <n v="67000"/>
    <n v="0"/>
    <n v="67000"/>
    <n v="65000"/>
    <s v="中華系"/>
    <x v="0"/>
    <s v=""/>
    <m/>
    <s v="114_303"/>
    <n v="60000"/>
    <m/>
    <n v="1"/>
    <n v="65000"/>
    <n v="2000"/>
    <n v="5000"/>
    <n v="1"/>
    <x v="0"/>
  </r>
  <r>
    <x v="242"/>
    <n v="114"/>
    <x v="11"/>
    <s v="305"/>
    <n v="16.5"/>
    <n v="631"/>
    <x v="0"/>
    <s v="1R"/>
    <n v="60000"/>
    <n v="2000"/>
    <n v="0"/>
    <n v="0"/>
    <n v="62000"/>
    <n v="62000"/>
    <n v="0"/>
    <n v="62000"/>
    <n v="62000"/>
    <s v="日本人等"/>
    <x v="0"/>
    <s v=""/>
    <m/>
    <s v="114_305"/>
    <n v="62000"/>
    <m/>
    <n v="1"/>
    <n v="62000"/>
    <n v="0"/>
    <n v="0"/>
    <n v="1"/>
    <x v="0"/>
  </r>
  <r>
    <x v="243"/>
    <n v="114"/>
    <x v="11"/>
    <s v="306"/>
    <n v="17"/>
    <n v="631"/>
    <x v="0"/>
    <s v="1R"/>
    <n v="65000"/>
    <n v="2000"/>
    <n v="0"/>
    <n v="0"/>
    <n v="67000"/>
    <n v="67000"/>
    <n v="0"/>
    <n v="67000"/>
    <n v="67000"/>
    <s v="中華系"/>
    <x v="0"/>
    <s v=""/>
    <m/>
    <s v="114_306"/>
    <n v="60000"/>
    <m/>
    <n v="1"/>
    <n v="67000"/>
    <n v="0"/>
    <n v="7000"/>
    <n v="1"/>
    <x v="0"/>
  </r>
  <r>
    <x v="244"/>
    <n v="114"/>
    <x v="11"/>
    <s v="401"/>
    <n v="33"/>
    <n v="631"/>
    <x v="0"/>
    <s v="1LDK"/>
    <n v="88000"/>
    <n v="2000"/>
    <n v="0"/>
    <n v="0"/>
    <n v="90000"/>
    <n v="90000"/>
    <n v="0"/>
    <n v="90000"/>
    <n v="90000"/>
    <s v="日本人等"/>
    <x v="0"/>
    <s v=""/>
    <m/>
    <s v="114_401"/>
    <n v="85000"/>
    <m/>
    <n v="1"/>
    <n v="90000"/>
    <n v="0"/>
    <n v="5000"/>
    <n v="1"/>
    <x v="0"/>
  </r>
  <r>
    <x v="245"/>
    <n v="114"/>
    <x v="11"/>
    <s v="402"/>
    <n v="18"/>
    <n v="631"/>
    <x v="0"/>
    <s v="1R"/>
    <n v="67000"/>
    <n v="2000"/>
    <n v="0"/>
    <n v="0"/>
    <n v="69000"/>
    <n v="69000"/>
    <n v="0"/>
    <n v="69000"/>
    <n v="69000"/>
    <s v="中華系"/>
    <x v="0"/>
    <s v=""/>
    <m/>
    <s v="114_402"/>
    <n v="62000"/>
    <m/>
    <n v="1"/>
    <n v="69000"/>
    <n v="0"/>
    <n v="7000"/>
    <n v="1"/>
    <x v="0"/>
  </r>
  <r>
    <x v="246"/>
    <n v="114"/>
    <x v="11"/>
    <s v="403"/>
    <n v="20"/>
    <n v="631"/>
    <x v="0"/>
    <s v="1R"/>
    <n v="65000"/>
    <n v="2000"/>
    <n v="0"/>
    <n v="0"/>
    <n v="67000"/>
    <n v="67000"/>
    <n v="0"/>
    <n v="67000"/>
    <n v="67000"/>
    <s v="日本人等"/>
    <x v="0"/>
    <s v=""/>
    <m/>
    <s v="114_403"/>
    <n v="67000"/>
    <m/>
    <n v="1"/>
    <n v="67000"/>
    <n v="0"/>
    <n v="0"/>
    <n v="1"/>
    <x v="0"/>
  </r>
  <r>
    <x v="247"/>
    <n v="114"/>
    <x v="11"/>
    <s v="405"/>
    <n v="18"/>
    <n v="631"/>
    <x v="0"/>
    <s v="1R"/>
    <n v="62000"/>
    <n v="3000"/>
    <n v="0"/>
    <n v="0"/>
    <n v="65000"/>
    <n v="65000"/>
    <n v="0"/>
    <n v="65000"/>
    <n v="65000"/>
    <s v="中華系"/>
    <x v="0"/>
    <s v=""/>
    <m/>
    <s v="114_405"/>
    <n v="65000"/>
    <m/>
    <n v="1"/>
    <n v="65000"/>
    <n v="0"/>
    <n v="0"/>
    <n v="1"/>
    <x v="0"/>
  </r>
  <r>
    <x v="248"/>
    <n v="114"/>
    <x v="11"/>
    <s v="406"/>
    <n v="16"/>
    <n v="631"/>
    <x v="0"/>
    <s v="1R"/>
    <n v="65000"/>
    <n v="2000"/>
    <n v="0"/>
    <n v="0"/>
    <n v="67000"/>
    <n v="67000"/>
    <n v="0"/>
    <n v="67000"/>
    <n v="67000"/>
    <s v="中華系"/>
    <x v="0"/>
    <s v=""/>
    <m/>
    <s v="114_406"/>
    <n v="60000"/>
    <m/>
    <n v="1"/>
    <n v="67000"/>
    <n v="0"/>
    <n v="7000"/>
    <n v="1"/>
    <x v="0"/>
  </r>
  <r>
    <x v="249"/>
    <n v="114"/>
    <x v="11"/>
    <s v="101"/>
    <n v="122.31"/>
    <n v="636"/>
    <x v="6"/>
    <s v="倉庫"/>
    <n v="240741"/>
    <n v="0"/>
    <n v="0"/>
    <n v="24074"/>
    <n v="264815"/>
    <n v="240740"/>
    <n v="24074.090909090908"/>
    <n v="264814.09090909088"/>
    <n v="264815"/>
    <s v="法人契約"/>
    <x v="0"/>
    <s v=""/>
    <m/>
    <s v="114_101"/>
    <n v="240741"/>
    <m/>
    <n v="1"/>
    <n v="240741"/>
    <n v="-1"/>
    <n v="0"/>
    <n v="1"/>
    <x v="0"/>
  </r>
  <r>
    <x v="250"/>
    <n v="115"/>
    <x v="12"/>
    <s v="201"/>
    <n v="47.22"/>
    <n v="631"/>
    <x v="0"/>
    <s v="2DK"/>
    <n v="110000"/>
    <n v="5000"/>
    <n v="0"/>
    <n v="0"/>
    <n v="115000"/>
    <n v="115000"/>
    <n v="0"/>
    <n v="115000"/>
    <n v="115000"/>
    <s v="その他新興国"/>
    <x v="0"/>
    <s v=""/>
    <m/>
    <s v="115_201"/>
    <n v="115000"/>
    <m/>
    <n v="1"/>
    <n v="115000"/>
    <n v="0"/>
    <n v="0"/>
    <n v="1"/>
    <x v="0"/>
  </r>
  <r>
    <x v="251"/>
    <n v="115"/>
    <x v="12"/>
    <s v="202"/>
    <n v="52"/>
    <n v="631"/>
    <x v="0"/>
    <s v="2DK"/>
    <n v="125000"/>
    <n v="5000"/>
    <n v="0"/>
    <n v="0"/>
    <n v="130000"/>
    <n v="123000"/>
    <n v="0"/>
    <n v="123000"/>
    <n v="130000"/>
    <s v="日本人等"/>
    <x v="0"/>
    <s v=""/>
    <m/>
    <s v="115_202"/>
    <n v="123000"/>
    <m/>
    <n v="1"/>
    <n v="130000"/>
    <n v="-7000"/>
    <n v="7000"/>
    <n v="1"/>
    <x v="0"/>
  </r>
  <r>
    <x v="252"/>
    <n v="115"/>
    <x v="12"/>
    <s v="203"/>
    <n v="52"/>
    <n v="631"/>
    <x v="0"/>
    <s v="2DK"/>
    <n v="123000"/>
    <n v="5000"/>
    <n v="0"/>
    <n v="0"/>
    <n v="128000"/>
    <n v="123000"/>
    <n v="0"/>
    <n v="123000"/>
    <n v="128000"/>
    <s v="日本人等"/>
    <x v="0"/>
    <s v=""/>
    <m/>
    <s v="115_203"/>
    <n v="123000"/>
    <m/>
    <n v="1"/>
    <n v="128000"/>
    <n v="-5000"/>
    <n v="5000"/>
    <n v="1"/>
    <x v="0"/>
  </r>
  <r>
    <x v="253"/>
    <n v="115"/>
    <x v="12"/>
    <s v="205"/>
    <n v="52"/>
    <n v="631"/>
    <x v="0"/>
    <s v="3DK"/>
    <n v="128000"/>
    <n v="5000"/>
    <n v="0"/>
    <n v="0"/>
    <n v="133000"/>
    <n v="133000"/>
    <n v="0"/>
    <n v="133000"/>
    <n v="133000"/>
    <s v="中華系"/>
    <x v="0"/>
    <s v=""/>
    <m/>
    <s v="115_205"/>
    <n v="118000"/>
    <m/>
    <n v="1"/>
    <n v="133000"/>
    <n v="0"/>
    <n v="15000"/>
    <n v="1"/>
    <x v="0"/>
  </r>
  <r>
    <x v="254"/>
    <n v="115"/>
    <x v="12"/>
    <s v="206"/>
    <n v="52.36"/>
    <n v="631"/>
    <x v="0"/>
    <s v="2DK"/>
    <n v="125000"/>
    <n v="5000"/>
    <n v="0"/>
    <n v="0"/>
    <n v="130000"/>
    <n v="130000"/>
    <n v="0"/>
    <n v="130000"/>
    <n v="130000"/>
    <s v="中華系"/>
    <x v="0"/>
    <s v=""/>
    <m/>
    <s v="115_206"/>
    <n v="120000"/>
    <m/>
    <n v="1"/>
    <n v="130000"/>
    <n v="0"/>
    <n v="10000"/>
    <n v="1"/>
    <x v="0"/>
  </r>
  <r>
    <x v="255"/>
    <n v="115"/>
    <x v="12"/>
    <s v="301"/>
    <n v="55.18"/>
    <n v="631"/>
    <x v="0"/>
    <s v="2DK"/>
    <n v="123000"/>
    <n v="5000"/>
    <n v="0"/>
    <n v="0"/>
    <n v="128000"/>
    <n v="128000"/>
    <n v="0"/>
    <n v="128000"/>
    <n v="128000"/>
    <s v="中華系"/>
    <x v="0"/>
    <s v=""/>
    <m/>
    <s v="115_301"/>
    <n v="115000"/>
    <m/>
    <n v="1"/>
    <n v="128000"/>
    <n v="0"/>
    <n v="13000"/>
    <n v="1"/>
    <x v="0"/>
  </r>
  <r>
    <x v="256"/>
    <n v="115"/>
    <x v="12"/>
    <s v="302"/>
    <n v="52"/>
    <n v="631"/>
    <x v="0"/>
    <s v="2DK"/>
    <n v="121000"/>
    <n v="5000"/>
    <n v="0"/>
    <n v="0"/>
    <n v="126000"/>
    <n v="126000"/>
    <n v="0"/>
    <n v="126000"/>
    <n v="126000"/>
    <s v="日本人等"/>
    <x v="0"/>
    <s v=""/>
    <m/>
    <s v="115_302"/>
    <n v="128000"/>
    <m/>
    <n v="1"/>
    <n v="126000"/>
    <n v="0"/>
    <n v="-2000"/>
    <n v="1"/>
    <x v="0"/>
  </r>
  <r>
    <x v="257"/>
    <n v="115"/>
    <x v="12"/>
    <s v="303"/>
    <n v="52"/>
    <n v="631"/>
    <x v="0"/>
    <s v="2DK"/>
    <n v="123000"/>
    <n v="5000"/>
    <n v="0"/>
    <n v="0"/>
    <n v="128000"/>
    <n v="128000"/>
    <n v="0"/>
    <n v="128000"/>
    <n v="128000"/>
    <s v="日本人等"/>
    <x v="0"/>
    <s v=""/>
    <m/>
    <s v="115_303"/>
    <n v="128000"/>
    <m/>
    <n v="1"/>
    <n v="128000"/>
    <n v="0"/>
    <n v="0"/>
    <n v="1"/>
    <x v="0"/>
  </r>
  <r>
    <x v="258"/>
    <n v="115"/>
    <x v="12"/>
    <s v="305"/>
    <n v="52"/>
    <n v="631"/>
    <x v="0"/>
    <s v="2DK"/>
    <n v="126000"/>
    <n v="5000"/>
    <n v="0"/>
    <n v="0"/>
    <n v="131000"/>
    <n v="131000"/>
    <n v="0"/>
    <n v="131000"/>
    <n v="131000"/>
    <s v="日本人等"/>
    <x v="0"/>
    <s v=""/>
    <m/>
    <s v="115_305"/>
    <n v="131000"/>
    <m/>
    <n v="1"/>
    <n v="131000"/>
    <n v="0"/>
    <n v="0"/>
    <n v="1"/>
    <x v="0"/>
  </r>
  <r>
    <x v="259"/>
    <n v="115"/>
    <x v="12"/>
    <s v="306"/>
    <n v="52.36"/>
    <n v="631"/>
    <x v="0"/>
    <s v="2DK"/>
    <n v="125000"/>
    <n v="5000"/>
    <n v="0"/>
    <n v="0"/>
    <n v="130000"/>
    <n v="130000"/>
    <n v="0"/>
    <n v="130000"/>
    <n v="130000"/>
    <s v="中華系"/>
    <x v="0"/>
    <s v=""/>
    <m/>
    <s v="115_306"/>
    <n v="120000"/>
    <m/>
    <n v="1"/>
    <n v="130000"/>
    <n v="0"/>
    <n v="10000"/>
    <n v="1"/>
    <x v="0"/>
  </r>
  <r>
    <x v="260"/>
    <n v="115"/>
    <x v="12"/>
    <s v="401"/>
    <n v="55.18"/>
    <n v="631"/>
    <x v="0"/>
    <s v="2DK"/>
    <n v="127000"/>
    <n v="5000"/>
    <n v="0"/>
    <n v="0"/>
    <n v="132000"/>
    <n v="132000"/>
    <n v="0"/>
    <n v="132000"/>
    <n v="132000"/>
    <s v="日本人等"/>
    <x v="0"/>
    <s v=""/>
    <m/>
    <s v="115_401"/>
    <n v="132000"/>
    <m/>
    <n v="1"/>
    <n v="132000"/>
    <n v="0"/>
    <n v="0"/>
    <n v="1"/>
    <x v="0"/>
  </r>
  <r>
    <x v="261"/>
    <n v="115"/>
    <x v="12"/>
    <s v="402"/>
    <n v="52"/>
    <n v="631"/>
    <x v="0"/>
    <s v="2DK"/>
    <n v="125000"/>
    <n v="5000"/>
    <n v="0"/>
    <n v="0"/>
    <n v="130000"/>
    <n v="130000"/>
    <n v="0"/>
    <n v="130000"/>
    <n v="130000"/>
    <s v="日本人等"/>
    <x v="0"/>
    <s v=""/>
    <m/>
    <s v="115_402"/>
    <n v="125000"/>
    <m/>
    <n v="1"/>
    <n v="130000"/>
    <n v="0"/>
    <n v="5000"/>
    <n v="1"/>
    <x v="0"/>
  </r>
  <r>
    <x v="262"/>
    <n v="115"/>
    <x v="12"/>
    <s v="403"/>
    <n v="52"/>
    <n v="631"/>
    <x v="0"/>
    <s v="3DK"/>
    <n v="132000"/>
    <n v="5000"/>
    <n v="0"/>
    <n v="0"/>
    <n v="137000"/>
    <n v="137000"/>
    <n v="0"/>
    <n v="137000"/>
    <n v="137000"/>
    <s v="住居法人契約"/>
    <x v="0"/>
    <s v=""/>
    <m/>
    <s v="115_403"/>
    <n v="125000"/>
    <m/>
    <n v="1"/>
    <n v="137000"/>
    <n v="0"/>
    <n v="12000"/>
    <n v="1"/>
    <x v="0"/>
  </r>
  <r>
    <x v="263"/>
    <n v="115"/>
    <x v="12"/>
    <s v="405"/>
    <n v="52"/>
    <n v="631"/>
    <x v="0"/>
    <s v="3DK"/>
    <n v="132000"/>
    <n v="5000"/>
    <n v="0"/>
    <n v="0"/>
    <n v="137000"/>
    <n v="128000"/>
    <n v="0"/>
    <n v="128000"/>
    <n v="137000"/>
    <s v="中華系"/>
    <x v="0"/>
    <s v=""/>
    <m/>
    <s v="115_405"/>
    <n v="128000"/>
    <m/>
    <n v="1"/>
    <n v="137000"/>
    <n v="-9000"/>
    <n v="9000"/>
    <n v="1"/>
    <x v="0"/>
  </r>
  <r>
    <x v="264"/>
    <n v="115"/>
    <x v="12"/>
    <s v="406"/>
    <n v="52.36"/>
    <n v="631"/>
    <x v="0"/>
    <s v="2DK"/>
    <n v="123000"/>
    <n v="5000"/>
    <n v="0"/>
    <n v="0"/>
    <n v="128000"/>
    <n v="128000"/>
    <n v="0"/>
    <n v="128000"/>
    <n v="128000"/>
    <s v="日本人等"/>
    <x v="0"/>
    <s v=""/>
    <m/>
    <s v="115_406"/>
    <n v="125000"/>
    <m/>
    <n v="1"/>
    <n v="128000"/>
    <n v="0"/>
    <n v="3000"/>
    <n v="1"/>
    <x v="0"/>
  </r>
  <r>
    <x v="265"/>
    <n v="115"/>
    <x v="12"/>
    <s v="501"/>
    <n v="55.18"/>
    <n v="631"/>
    <x v="0"/>
    <s v="2DK"/>
    <n v="132000"/>
    <n v="5000"/>
    <n v="0"/>
    <n v="0"/>
    <n v="137000"/>
    <n v="137000"/>
    <n v="0"/>
    <n v="137000"/>
    <n v="137000"/>
    <s v="住居法人契約"/>
    <x v="0"/>
    <s v=""/>
    <m/>
    <s v="115_501"/>
    <n v="120000"/>
    <m/>
    <n v="1"/>
    <n v="137000"/>
    <n v="0"/>
    <n v="17000"/>
    <n v="1"/>
    <x v="0"/>
  </r>
  <r>
    <x v="266"/>
    <n v="115"/>
    <x v="12"/>
    <s v="502"/>
    <n v="52"/>
    <n v="631"/>
    <x v="0"/>
    <s v="2DK"/>
    <n v="128000"/>
    <n v="5000"/>
    <n v="0"/>
    <n v="0"/>
    <n v="133000"/>
    <n v="133000"/>
    <n v="0"/>
    <n v="133000"/>
    <n v="133000"/>
    <s v="日本人等"/>
    <x v="0"/>
    <s v=""/>
    <m/>
    <s v="115_502"/>
    <n v="133000"/>
    <m/>
    <n v="1"/>
    <n v="133000"/>
    <n v="0"/>
    <n v="0"/>
    <n v="1"/>
    <x v="0"/>
  </r>
  <r>
    <x v="267"/>
    <n v="115"/>
    <x v="12"/>
    <s v="503"/>
    <n v="52"/>
    <n v="631"/>
    <x v="0"/>
    <s v="3DK"/>
    <n v="130000"/>
    <n v="5000"/>
    <n v="0"/>
    <n v="0"/>
    <n v="135000"/>
    <n v="135000"/>
    <n v="0"/>
    <n v="135000"/>
    <n v="135000"/>
    <s v="日本人等"/>
    <x v="0"/>
    <s v=""/>
    <m/>
    <s v="115_503"/>
    <n v="128000"/>
    <m/>
    <n v="1"/>
    <n v="135000"/>
    <n v="0"/>
    <n v="7000"/>
    <n v="1"/>
    <x v="0"/>
  </r>
  <r>
    <x v="268"/>
    <n v="115"/>
    <x v="12"/>
    <s v="505"/>
    <n v="52"/>
    <n v="631"/>
    <x v="0"/>
    <s v="2DK"/>
    <n v="125000"/>
    <n v="5000"/>
    <n v="0"/>
    <n v="0"/>
    <n v="130000"/>
    <n v="125000"/>
    <n v="0"/>
    <n v="125000"/>
    <n v="130000"/>
    <s v="日本人等"/>
    <x v="0"/>
    <s v=""/>
    <m/>
    <s v="115_505"/>
    <n v="125000"/>
    <m/>
    <n v="1"/>
    <n v="130000"/>
    <n v="-5000"/>
    <n v="5000"/>
    <n v="1"/>
    <x v="0"/>
  </r>
  <r>
    <x v="269"/>
    <n v="115"/>
    <x v="12"/>
    <s v="506"/>
    <n v="52.36"/>
    <n v="631"/>
    <x v="0"/>
    <s v="2DK"/>
    <n v="120000"/>
    <n v="5000"/>
    <n v="0"/>
    <n v="0"/>
    <n v="125000"/>
    <n v="125000"/>
    <n v="0"/>
    <n v="125000"/>
    <n v="125000"/>
    <s v="日本人等"/>
    <x v="0"/>
    <s v=""/>
    <m/>
    <s v="115_506"/>
    <n v="125000"/>
    <m/>
    <n v="1"/>
    <n v="125000"/>
    <n v="0"/>
    <n v="0"/>
    <n v="1"/>
    <x v="0"/>
  </r>
  <r>
    <x v="270"/>
    <n v="115"/>
    <x v="12"/>
    <s v="601"/>
    <n v="52"/>
    <n v="631"/>
    <x v="0"/>
    <s v="2DK"/>
    <n v="129000"/>
    <n v="5000"/>
    <n v="0"/>
    <n v="0"/>
    <n v="134000"/>
    <n v="134000"/>
    <n v="0"/>
    <n v="134000"/>
    <n v="134000"/>
    <s v="日本人等"/>
    <x v="0"/>
    <s v=""/>
    <m/>
    <s v="115_601"/>
    <n v="134000"/>
    <m/>
    <n v="1"/>
    <n v="134000"/>
    <n v="0"/>
    <n v="0"/>
    <n v="1"/>
    <x v="0"/>
  </r>
  <r>
    <x v="271"/>
    <n v="115"/>
    <x v="12"/>
    <s v="602"/>
    <n v="52"/>
    <n v="631"/>
    <x v="0"/>
    <s v="3DK"/>
    <n v="134000"/>
    <n v="5000"/>
    <n v="0"/>
    <n v="0"/>
    <n v="139000"/>
    <n v="139000"/>
    <n v="0"/>
    <n v="139000"/>
    <n v="139000"/>
    <s v="日本人等"/>
    <x v="0"/>
    <s v=""/>
    <m/>
    <s v="115_602"/>
    <n v="123000"/>
    <m/>
    <n v="1"/>
    <n v="139000"/>
    <n v="0"/>
    <n v="16000"/>
    <n v="1"/>
    <x v="0"/>
  </r>
  <r>
    <x v="272"/>
    <n v="115"/>
    <x v="12"/>
    <s v="603"/>
    <n v="52"/>
    <n v="631"/>
    <x v="0"/>
    <s v="3DK"/>
    <n v="130000"/>
    <n v="5000"/>
    <n v="0"/>
    <n v="0"/>
    <n v="135000"/>
    <n v="135000"/>
    <n v="0"/>
    <n v="135000"/>
    <n v="135000"/>
    <s v="日本人等"/>
    <x v="0"/>
    <s v=""/>
    <m/>
    <s v="115_603"/>
    <n v="125000"/>
    <m/>
    <n v="1"/>
    <n v="135000"/>
    <n v="0"/>
    <n v="10000"/>
    <n v="1"/>
    <x v="0"/>
  </r>
  <r>
    <x v="273"/>
    <n v="115"/>
    <x v="12"/>
    <s v="101"/>
    <n v="59.53"/>
    <n v="633"/>
    <x v="5"/>
    <s v="店舗"/>
    <n v="170000"/>
    <n v="4630"/>
    <n v="0"/>
    <n v="17463"/>
    <n v="192093"/>
    <n v="174630"/>
    <n v="17463"/>
    <n v="192093"/>
    <n v="192093"/>
    <s v="日本人等"/>
    <x v="0"/>
    <s v=""/>
    <m/>
    <s v="115_101"/>
    <n v="174630"/>
    <m/>
    <n v="1"/>
    <n v="174630"/>
    <n v="0"/>
    <n v="0"/>
    <n v="1"/>
    <x v="0"/>
  </r>
  <r>
    <x v="274"/>
    <n v="115"/>
    <x v="12"/>
    <s v="BF1"/>
    <n v="0"/>
    <n v="634"/>
    <x v="4"/>
    <s v="駐車場"/>
    <n v="324074"/>
    <n v="0"/>
    <n v="0"/>
    <n v="32407"/>
    <n v="356481"/>
    <n v="324073"/>
    <n v="32407.363636363636"/>
    <n v="356480.36363636365"/>
    <n v="356481"/>
    <s v="法人契約"/>
    <x v="0"/>
    <s v="駐輪場"/>
    <m/>
    <s v="115_BF1"/>
    <n v="100000"/>
    <m/>
    <n v="1"/>
    <n v="324074"/>
    <n v="-1"/>
    <n v="224074"/>
    <n v="1"/>
    <x v="0"/>
  </r>
  <r>
    <x v="275"/>
    <n v="115"/>
    <x v="12"/>
    <s v="RF1"/>
    <n v="0"/>
    <n v="635"/>
    <x v="2"/>
    <s v="その他"/>
    <n v="12000"/>
    <n v="0"/>
    <n v="0"/>
    <n v="1200"/>
    <n v="13200"/>
    <n v="12000"/>
    <n v="1199.9999999999998"/>
    <n v="13200"/>
    <n v="13200"/>
    <s v="-"/>
    <x v="0"/>
    <s v="LPWA"/>
    <m/>
    <s v="115_RF1"/>
    <n v="0"/>
    <m/>
    <n v="1"/>
    <n v="12000"/>
    <n v="0"/>
    <n v="12000"/>
    <n v="1"/>
    <x v="0"/>
  </r>
  <r>
    <x v="276"/>
    <n v="115"/>
    <x v="12"/>
    <s v="NTF1"/>
    <s v="-"/>
    <n v="639"/>
    <x v="3"/>
    <s v="その他"/>
    <n v="0"/>
    <n v="0"/>
    <n v="0"/>
    <n v="0"/>
    <n v="0"/>
    <n v="0"/>
    <n v="0"/>
    <n v="0"/>
    <n v="0"/>
    <s v="-"/>
    <x v="1"/>
    <s v="フレッツ光"/>
    <m/>
    <s v="115_NTF1"/>
    <n v="0"/>
    <m/>
    <n v="0"/>
    <n v="0"/>
    <n v="0"/>
    <n v="0"/>
    <n v="0"/>
    <x v="0"/>
  </r>
  <r>
    <x v="277"/>
    <n v="116"/>
    <x v="13"/>
    <s v="201"/>
    <n v="55.01"/>
    <n v="631"/>
    <x v="0"/>
    <s v="3DK"/>
    <n v="122000"/>
    <n v="0"/>
    <n v="0"/>
    <n v="0"/>
    <n v="122000"/>
    <n v="115000"/>
    <n v="0"/>
    <n v="115000"/>
    <n v="122000"/>
    <s v="住居法人契約"/>
    <x v="0"/>
    <s v=""/>
    <m/>
    <s v="116_201"/>
    <n v="115000"/>
    <m/>
    <n v="1"/>
    <n v="122000"/>
    <n v="-7000"/>
    <n v="7000"/>
    <n v="1"/>
    <x v="0"/>
  </r>
  <r>
    <x v="278"/>
    <n v="116"/>
    <x v="13"/>
    <s v="202"/>
    <n v="62.38"/>
    <n v="631"/>
    <x v="0"/>
    <s v="3DK"/>
    <n v="145000"/>
    <n v="5000"/>
    <n v="0"/>
    <n v="0"/>
    <n v="150000"/>
    <n v="160000"/>
    <n v="0"/>
    <n v="160000"/>
    <n v="150000"/>
    <s v="日本人等"/>
    <x v="0"/>
    <s v=""/>
    <m/>
    <s v="116_202"/>
    <n v="145000"/>
    <m/>
    <n v="1"/>
    <n v="150000"/>
    <n v="10000"/>
    <n v="5000"/>
    <n v="1"/>
    <x v="0"/>
  </r>
  <r>
    <x v="279"/>
    <n v="116"/>
    <x v="13"/>
    <s v="301"/>
    <n v="55.01"/>
    <n v="631"/>
    <x v="0"/>
    <s v="3DK"/>
    <n v="120000"/>
    <n v="5000"/>
    <n v="0"/>
    <n v="0"/>
    <n v="125000"/>
    <n v="125000"/>
    <n v="0"/>
    <n v="125000"/>
    <n v="125000"/>
    <s v="日本人等"/>
    <x v="0"/>
    <s v=""/>
    <m/>
    <s v="116_301"/>
    <n v="125000"/>
    <m/>
    <n v="1"/>
    <n v="125000"/>
    <n v="0"/>
    <n v="0"/>
    <n v="1"/>
    <x v="0"/>
  </r>
  <r>
    <x v="280"/>
    <n v="116"/>
    <x v="13"/>
    <s v="302"/>
    <n v="62.38"/>
    <n v="631"/>
    <x v="0"/>
    <s v="3DK"/>
    <n v="153000"/>
    <n v="5000"/>
    <n v="0"/>
    <n v="0"/>
    <n v="158000"/>
    <n v="155000"/>
    <n v="0"/>
    <n v="155000"/>
    <n v="158000"/>
    <s v="日本人等"/>
    <x v="0"/>
    <s v=""/>
    <m/>
    <s v="116_302"/>
    <n v="140000"/>
    <m/>
    <n v="1"/>
    <n v="158000"/>
    <n v="-3000"/>
    <n v="18000"/>
    <n v="1"/>
    <x v="0"/>
  </r>
  <r>
    <x v="281"/>
    <n v="116"/>
    <x v="13"/>
    <s v="401"/>
    <n v="55.01"/>
    <n v="631"/>
    <x v="0"/>
    <s v="3DK"/>
    <n v="143000"/>
    <n v="5000"/>
    <n v="0"/>
    <n v="0"/>
    <n v="148000"/>
    <n v="140000"/>
    <n v="0"/>
    <n v="140000"/>
    <n v="148000"/>
    <s v="中華系"/>
    <x v="0"/>
    <s v=""/>
    <m/>
    <s v="116_401"/>
    <n v="130000"/>
    <m/>
    <n v="1"/>
    <n v="148000"/>
    <n v="-8000"/>
    <n v="18000"/>
    <n v="1"/>
    <x v="0"/>
  </r>
  <r>
    <x v="282"/>
    <n v="116"/>
    <x v="13"/>
    <s v="402"/>
    <n v="62.38"/>
    <n v="631"/>
    <x v="0"/>
    <s v="3DK"/>
    <n v="153000"/>
    <n v="5000"/>
    <n v="0"/>
    <n v="0"/>
    <n v="158000"/>
    <n v="141000"/>
    <n v="0"/>
    <n v="141000"/>
    <n v="158000"/>
    <s v="日本人等"/>
    <x v="0"/>
    <s v=""/>
    <m/>
    <s v="116_402"/>
    <n v="130000"/>
    <m/>
    <n v="1"/>
    <n v="158000"/>
    <n v="-17000"/>
    <n v="28000"/>
    <n v="1"/>
    <x v="0"/>
  </r>
  <r>
    <x v="283"/>
    <n v="116"/>
    <x v="13"/>
    <s v="501"/>
    <n v="55.01"/>
    <n v="631"/>
    <x v="0"/>
    <s v="3DK"/>
    <n v="140000"/>
    <n v="5000"/>
    <n v="0"/>
    <n v="0"/>
    <n v="145000"/>
    <n v="130000"/>
    <n v="0"/>
    <n v="130000"/>
    <n v="145000"/>
    <s v="日本人等"/>
    <x v="0"/>
    <s v=""/>
    <m/>
    <s v="116_501"/>
    <n v="130000"/>
    <m/>
    <n v="1"/>
    <n v="145000"/>
    <n v="-15000"/>
    <n v="15000"/>
    <n v="1"/>
    <x v="0"/>
  </r>
  <r>
    <x v="284"/>
    <n v="116"/>
    <x v="13"/>
    <s v="502"/>
    <n v="60"/>
    <n v="631"/>
    <x v="0"/>
    <s v="3DK"/>
    <n v="135000"/>
    <n v="0"/>
    <n v="0"/>
    <n v="0"/>
    <n v="135000"/>
    <n v="135000"/>
    <n v="0"/>
    <n v="135000"/>
    <n v="135000"/>
    <s v="日本人等"/>
    <x v="0"/>
    <s v=""/>
    <m/>
    <s v="116_502"/>
    <n v="135000"/>
    <m/>
    <n v="1"/>
    <n v="135000"/>
    <n v="0"/>
    <n v="0"/>
    <n v="1"/>
    <x v="0"/>
  </r>
  <r>
    <x v="285"/>
    <n v="116"/>
    <x v="13"/>
    <s v="601"/>
    <n v="65"/>
    <n v="631"/>
    <x v="0"/>
    <s v="3DK"/>
    <n v="145000"/>
    <n v="5000"/>
    <n v="0"/>
    <n v="0"/>
    <n v="150000"/>
    <n v="140000"/>
    <n v="0"/>
    <n v="140000"/>
    <n v="150000"/>
    <s v="中華系"/>
    <x v="0"/>
    <s v=""/>
    <m/>
    <s v="116_601"/>
    <n v="130000"/>
    <m/>
    <n v="1"/>
    <n v="150000"/>
    <n v="-10000"/>
    <n v="20000"/>
    <n v="1"/>
    <x v="0"/>
  </r>
  <r>
    <x v="286"/>
    <n v="116"/>
    <x v="13"/>
    <s v="602"/>
    <n v="65"/>
    <n v="631"/>
    <x v="0"/>
    <s v="3DK"/>
    <n v="125000"/>
    <n v="5000"/>
    <n v="0"/>
    <n v="0"/>
    <n v="130000"/>
    <n v="130000"/>
    <n v="0"/>
    <n v="130000"/>
    <n v="130000"/>
    <s v="日本人等"/>
    <x v="0"/>
    <s v=""/>
    <m/>
    <s v="116_602"/>
    <n v="130000"/>
    <m/>
    <n v="1"/>
    <n v="130000"/>
    <n v="0"/>
    <n v="0"/>
    <n v="1"/>
    <x v="0"/>
  </r>
  <r>
    <x v="287"/>
    <n v="116"/>
    <x v="13"/>
    <s v="701"/>
    <n v="65.61"/>
    <n v="631"/>
    <x v="0"/>
    <s v="3DK"/>
    <n v="138000"/>
    <n v="2000"/>
    <n v="0"/>
    <n v="0"/>
    <n v="140000"/>
    <n v="132000"/>
    <n v="0"/>
    <n v="132000"/>
    <n v="140000"/>
    <s v="日本人等"/>
    <x v="0"/>
    <s v=""/>
    <m/>
    <s v="116_701"/>
    <n v="132000"/>
    <m/>
    <n v="1"/>
    <n v="140000"/>
    <n v="-8000"/>
    <n v="8000"/>
    <n v="1"/>
    <x v="0"/>
  </r>
  <r>
    <x v="288"/>
    <n v="116"/>
    <x v="13"/>
    <s v="702"/>
    <n v="62.38"/>
    <n v="631"/>
    <x v="0"/>
    <s v="3DK"/>
    <n v="160000"/>
    <n v="5000"/>
    <n v="0"/>
    <n v="0"/>
    <n v="165000"/>
    <n v="135000"/>
    <n v="0"/>
    <n v="135000"/>
    <n v="165000"/>
    <s v="中華系"/>
    <x v="0"/>
    <s v=""/>
    <m/>
    <s v="116_702"/>
    <n v="135000"/>
    <m/>
    <n v="1"/>
    <n v="165000"/>
    <n v="-30000"/>
    <n v="30000"/>
    <n v="1"/>
    <x v="0"/>
  </r>
  <r>
    <x v="289"/>
    <n v="116"/>
    <x v="13"/>
    <s v="801"/>
    <n v="40"/>
    <n v="631"/>
    <x v="0"/>
    <s v="3LDK"/>
    <n v="135000"/>
    <n v="5000"/>
    <n v="0"/>
    <n v="0"/>
    <n v="140000"/>
    <n v="140000"/>
    <n v="0"/>
    <n v="140000"/>
    <n v="140000"/>
    <s v="中華系"/>
    <x v="0"/>
    <s v=""/>
    <m/>
    <s v="116_801"/>
    <n v="180000"/>
    <m/>
    <n v="1"/>
    <n v="140000"/>
    <n v="0"/>
    <n v="-40000"/>
    <n v="1"/>
    <x v="0"/>
  </r>
  <r>
    <x v="290"/>
    <n v="116"/>
    <x v="13"/>
    <s v="802"/>
    <n v="62"/>
    <n v="631"/>
    <x v="0"/>
    <s v="2LDK"/>
    <n v="170000"/>
    <n v="5000"/>
    <n v="0"/>
    <n v="0"/>
    <n v="175000"/>
    <n v="175000"/>
    <n v="0"/>
    <n v="175000"/>
    <n v="175000"/>
    <s v="その他新興国"/>
    <x v="0"/>
    <s v=""/>
    <m/>
    <s v="116_802"/>
    <n v="175000"/>
    <m/>
    <n v="1"/>
    <n v="175000"/>
    <n v="0"/>
    <n v="0"/>
    <n v="1"/>
    <x v="0"/>
  </r>
  <r>
    <x v="291"/>
    <n v="116"/>
    <x v="13"/>
    <s v="101"/>
    <n v="130.33000000000001"/>
    <n v="633"/>
    <x v="5"/>
    <s v="店舗"/>
    <n v="376000"/>
    <n v="0"/>
    <n v="0"/>
    <n v="37600"/>
    <n v="413600"/>
    <n v="376000"/>
    <n v="37599.999999999993"/>
    <n v="413600"/>
    <n v="413600"/>
    <s v="日本人等"/>
    <x v="0"/>
    <s v=""/>
    <m/>
    <s v="116_101"/>
    <n v="350000"/>
    <m/>
    <n v="1"/>
    <n v="376000"/>
    <n v="0"/>
    <n v="26000"/>
    <n v="1"/>
    <x v="0"/>
  </r>
  <r>
    <x v="292"/>
    <n v="116"/>
    <x v="13"/>
    <s v="RF1"/>
    <n v="0"/>
    <n v="635"/>
    <x v="2"/>
    <s v="その他"/>
    <n v="12000"/>
    <n v="0"/>
    <n v="0"/>
    <n v="1200"/>
    <n v="13200"/>
    <n v="12000"/>
    <n v="1199.9999999999998"/>
    <n v="13200"/>
    <n v="13200"/>
    <s v="-"/>
    <x v="0"/>
    <s v="LPWA"/>
    <m/>
    <s v="116_RF1"/>
    <n v="0"/>
    <m/>
    <n v="1"/>
    <n v="12000"/>
    <n v="0"/>
    <n v="12000"/>
    <n v="1"/>
    <x v="0"/>
  </r>
  <r>
    <x v="293"/>
    <n v="116"/>
    <x v="13"/>
    <s v="NTF1"/>
    <s v="-"/>
    <n v="639"/>
    <x v="3"/>
    <s v="その他"/>
    <n v="0"/>
    <n v="0"/>
    <n v="0"/>
    <n v="0"/>
    <n v="0"/>
    <n v="0"/>
    <n v="0"/>
    <n v="0"/>
    <n v="0"/>
    <s v="-"/>
    <x v="1"/>
    <s v="フレッツ光"/>
    <m/>
    <s v="116_NTF1"/>
    <n v="0"/>
    <m/>
    <n v="0"/>
    <n v="0"/>
    <n v="0"/>
    <n v="0"/>
    <n v="0"/>
    <x v="0"/>
  </r>
  <r>
    <x v="294"/>
    <n v="117"/>
    <x v="14"/>
    <s v="101"/>
    <n v="89.64"/>
    <n v="631"/>
    <x v="0"/>
    <s v="2SLDK"/>
    <n v="185000"/>
    <n v="5000"/>
    <n v="0"/>
    <n v="0"/>
    <n v="190000"/>
    <n v="190000"/>
    <n v="0"/>
    <n v="190000"/>
    <n v="190000"/>
    <s v="日本人等"/>
    <x v="0"/>
    <s v=""/>
    <m/>
    <s v="117_101"/>
    <n v="190000"/>
    <m/>
    <n v="1"/>
    <n v="190000"/>
    <n v="0"/>
    <n v="0"/>
    <n v="1"/>
    <x v="0"/>
  </r>
  <r>
    <x v="295"/>
    <n v="117"/>
    <x v="14"/>
    <s v="B101"/>
    <n v="89.64"/>
    <n v="631"/>
    <x v="0"/>
    <s v="2SLDK"/>
    <n v="160000"/>
    <n v="5000"/>
    <n v="0"/>
    <n v="0"/>
    <n v="165000"/>
    <n v="165000"/>
    <n v="0"/>
    <n v="165000"/>
    <n v="165000"/>
    <s v="住居法人契約"/>
    <x v="0"/>
    <s v=""/>
    <m/>
    <s v="117_B101"/>
    <n v="165000"/>
    <m/>
    <n v="1"/>
    <n v="165000"/>
    <n v="0"/>
    <n v="0"/>
    <n v="1"/>
    <x v="0"/>
  </r>
  <r>
    <x v="296"/>
    <n v="117"/>
    <x v="14"/>
    <s v="201"/>
    <n v="31.98"/>
    <n v="631"/>
    <x v="0"/>
    <s v="2K"/>
    <n v="84000"/>
    <n v="4000"/>
    <n v="0"/>
    <n v="0"/>
    <n v="88000"/>
    <n v="88000"/>
    <n v="0"/>
    <n v="88000"/>
    <n v="88000"/>
    <s v="中華系"/>
    <x v="0"/>
    <s v=""/>
    <m/>
    <s v="117_201"/>
    <n v="83000"/>
    <m/>
    <n v="1"/>
    <n v="88000"/>
    <n v="0"/>
    <n v="5000"/>
    <n v="1"/>
    <x v="0"/>
  </r>
  <r>
    <x v="297"/>
    <n v="117"/>
    <x v="14"/>
    <s v="202"/>
    <n v="28.84"/>
    <n v="631"/>
    <x v="0"/>
    <s v="2K"/>
    <n v="78000"/>
    <n v="5000"/>
    <n v="0"/>
    <n v="0"/>
    <n v="83000"/>
    <n v="78000"/>
    <n v="0"/>
    <n v="78000"/>
    <n v="83000"/>
    <s v="日本人等"/>
    <x v="0"/>
    <s v=""/>
    <m/>
    <s v="117_202"/>
    <n v="80000"/>
    <m/>
    <n v="1"/>
    <n v="83000"/>
    <n v="-5000"/>
    <n v="3000"/>
    <n v="1"/>
    <x v="0"/>
  </r>
  <r>
    <x v="298"/>
    <n v="117"/>
    <x v="14"/>
    <s v="203"/>
    <n v="28.84"/>
    <n v="631"/>
    <x v="0"/>
    <s v="2K"/>
    <n v="80000"/>
    <n v="5000"/>
    <n v="0"/>
    <n v="0"/>
    <n v="85000"/>
    <n v="84000"/>
    <n v="0"/>
    <n v="84000"/>
    <n v="85000"/>
    <s v="日本人等"/>
    <x v="0"/>
    <s v=""/>
    <m/>
    <s v="117_203"/>
    <n v="79000"/>
    <m/>
    <n v="1"/>
    <n v="85000"/>
    <n v="-1000"/>
    <n v="6000"/>
    <n v="1"/>
    <x v="0"/>
  </r>
  <r>
    <x v="299"/>
    <n v="117"/>
    <x v="14"/>
    <s v="301"/>
    <n v="16.78"/>
    <n v="631"/>
    <x v="0"/>
    <s v="1R"/>
    <n v="67000"/>
    <n v="2000"/>
    <n v="0"/>
    <n v="0"/>
    <n v="69000"/>
    <n v="69000"/>
    <n v="0"/>
    <n v="69000"/>
    <n v="69000"/>
    <s v="日本人等"/>
    <x v="0"/>
    <s v=""/>
    <m/>
    <s v="117_301"/>
    <n v="69000"/>
    <m/>
    <n v="1"/>
    <n v="69000"/>
    <n v="0"/>
    <n v="0"/>
    <n v="1"/>
    <x v="0"/>
  </r>
  <r>
    <x v="300"/>
    <n v="117"/>
    <x v="14"/>
    <s v="302"/>
    <n v="27.31"/>
    <n v="631"/>
    <x v="0"/>
    <s v="2K"/>
    <n v="80000"/>
    <n v="3000"/>
    <n v="0"/>
    <n v="0"/>
    <n v="83000"/>
    <n v="82000"/>
    <n v="0"/>
    <n v="82000"/>
    <n v="83000"/>
    <s v="日本人等"/>
    <x v="0"/>
    <s v=""/>
    <m/>
    <s v="117_302"/>
    <n v="81000"/>
    <m/>
    <n v="1"/>
    <n v="83000"/>
    <n v="-1000"/>
    <n v="2000"/>
    <n v="1"/>
    <x v="0"/>
  </r>
  <r>
    <x v="301"/>
    <n v="117"/>
    <x v="14"/>
    <s v="303"/>
    <n v="27.31"/>
    <n v="631"/>
    <x v="0"/>
    <s v="2K"/>
    <n v="81000"/>
    <n v="2000"/>
    <n v="0"/>
    <n v="0"/>
    <n v="83000"/>
    <n v="83000"/>
    <n v="0"/>
    <n v="83000"/>
    <n v="83000"/>
    <s v="日本人等"/>
    <x v="0"/>
    <s v=""/>
    <m/>
    <s v="117_303"/>
    <n v="83000"/>
    <m/>
    <n v="1"/>
    <n v="83000"/>
    <n v="0"/>
    <n v="0"/>
    <n v="1"/>
    <x v="0"/>
  </r>
  <r>
    <x v="302"/>
    <n v="117"/>
    <x v="14"/>
    <s v="P1"/>
    <n v="0"/>
    <n v="634"/>
    <x v="4"/>
    <s v="駐車場"/>
    <n v="0"/>
    <n v="0"/>
    <n v="0"/>
    <n v="0"/>
    <n v="0"/>
    <n v="13000"/>
    <n v="1300"/>
    <n v="14300"/>
    <n v="14300"/>
    <s v="法人契約"/>
    <x v="0"/>
    <s v="一時的な空室"/>
    <m/>
    <s v="117_P1"/>
    <n v="14300"/>
    <m/>
    <n v="0"/>
    <n v="13000"/>
    <n v="0"/>
    <n v="-1300"/>
    <n v="1"/>
    <x v="0"/>
  </r>
  <r>
    <x v="303"/>
    <n v="120"/>
    <x v="15"/>
    <s v="101"/>
    <n v="23.07"/>
    <n v="631"/>
    <x v="0"/>
    <s v="1R"/>
    <n v="75000"/>
    <n v="0"/>
    <n v="0"/>
    <n v="0"/>
    <n v="75000"/>
    <n v="75000"/>
    <n v="0"/>
    <n v="75000"/>
    <n v="75000"/>
    <s v="日本人等"/>
    <x v="0"/>
    <s v=""/>
    <m/>
    <s v="120_101"/>
    <n v="75000"/>
    <m/>
    <n v="1"/>
    <n v="75000"/>
    <n v="0"/>
    <n v="0"/>
    <n v="1"/>
    <x v="0"/>
  </r>
  <r>
    <x v="304"/>
    <n v="120"/>
    <x v="15"/>
    <s v="102"/>
    <n v="26.94"/>
    <n v="631"/>
    <x v="0"/>
    <s v="1DK"/>
    <n v="70000"/>
    <n v="0"/>
    <n v="0"/>
    <n v="0"/>
    <n v="70000"/>
    <n v="70000"/>
    <n v="0"/>
    <n v="70000"/>
    <n v="70000"/>
    <s v="日本人等"/>
    <x v="0"/>
    <s v=""/>
    <m/>
    <s v="120_102"/>
    <n v="70000"/>
    <m/>
    <n v="1"/>
    <n v="70000"/>
    <n v="0"/>
    <n v="0"/>
    <n v="1"/>
    <x v="0"/>
  </r>
  <r>
    <x v="305"/>
    <n v="120"/>
    <x v="15"/>
    <s v="103"/>
    <n v="33.450000000000003"/>
    <n v="631"/>
    <x v="0"/>
    <s v="1DK"/>
    <n v="79000"/>
    <n v="4000"/>
    <n v="0"/>
    <n v="0"/>
    <n v="83000"/>
    <n v="83000"/>
    <n v="0"/>
    <n v="83000"/>
    <n v="83000"/>
    <s v="日本人等"/>
    <x v="0"/>
    <s v=""/>
    <m/>
    <s v="120_103"/>
    <n v="89000"/>
    <m/>
    <n v="1"/>
    <n v="83000"/>
    <n v="0"/>
    <n v="-6000"/>
    <n v="1"/>
    <x v="0"/>
  </r>
  <r>
    <x v="306"/>
    <n v="120"/>
    <x v="15"/>
    <s v="201"/>
    <n v="43.83"/>
    <n v="631"/>
    <x v="0"/>
    <s v="1LDK"/>
    <n v="102000"/>
    <n v="3000"/>
    <n v="0"/>
    <n v="0"/>
    <n v="105000"/>
    <n v="103000"/>
    <n v="0"/>
    <n v="103000"/>
    <n v="105000"/>
    <s v="日本人等"/>
    <x v="0"/>
    <s v=""/>
    <m/>
    <s v="120_201"/>
    <n v="103000"/>
    <m/>
    <n v="1"/>
    <n v="105000"/>
    <n v="-2000"/>
    <n v="2000"/>
    <n v="1"/>
    <x v="0"/>
  </r>
  <r>
    <x v="307"/>
    <n v="120"/>
    <x v="15"/>
    <s v="202"/>
    <n v="26.94"/>
    <n v="631"/>
    <x v="0"/>
    <s v="1DK"/>
    <n v="75000"/>
    <n v="0"/>
    <n v="0"/>
    <n v="0"/>
    <n v="75000"/>
    <n v="75000"/>
    <n v="0"/>
    <n v="75000"/>
    <n v="75000"/>
    <s v="日本人等"/>
    <x v="0"/>
    <s v=""/>
    <m/>
    <s v="120_202"/>
    <n v="75000"/>
    <m/>
    <n v="1"/>
    <n v="75000"/>
    <n v="0"/>
    <n v="0"/>
    <n v="1"/>
    <x v="0"/>
  </r>
  <r>
    <x v="308"/>
    <n v="120"/>
    <x v="15"/>
    <s v="203"/>
    <n v="33.450000000000003"/>
    <n v="631"/>
    <x v="0"/>
    <s v="1DK"/>
    <n v="87000"/>
    <n v="3000"/>
    <n v="0"/>
    <n v="0"/>
    <n v="90000"/>
    <n v="90000"/>
    <n v="0"/>
    <n v="90000"/>
    <n v="90000"/>
    <s v="日本人等"/>
    <x v="0"/>
    <s v=""/>
    <m/>
    <s v="120_203"/>
    <n v="103000"/>
    <m/>
    <n v="1"/>
    <n v="90000"/>
    <n v="0"/>
    <n v="-13000"/>
    <n v="1"/>
    <x v="0"/>
  </r>
  <r>
    <x v="309"/>
    <n v="120"/>
    <x v="15"/>
    <s v="301"/>
    <n v="38.04"/>
    <n v="631"/>
    <x v="0"/>
    <s v="1DK"/>
    <n v="105000"/>
    <n v="0"/>
    <n v="0"/>
    <n v="0"/>
    <n v="105000"/>
    <n v="105000"/>
    <n v="0"/>
    <n v="105000"/>
    <n v="105000"/>
    <s v="日本人等"/>
    <x v="0"/>
    <s v=""/>
    <m/>
    <s v="120_301"/>
    <n v="105000"/>
    <m/>
    <n v="1"/>
    <n v="105000"/>
    <n v="0"/>
    <n v="0"/>
    <n v="1"/>
    <x v="0"/>
  </r>
  <r>
    <x v="310"/>
    <n v="120"/>
    <x v="15"/>
    <s v="302"/>
    <n v="51.96"/>
    <n v="631"/>
    <x v="0"/>
    <s v="2LDK"/>
    <n v="120000"/>
    <n v="5000"/>
    <n v="0"/>
    <n v="0"/>
    <n v="125000"/>
    <n v="125000"/>
    <n v="0"/>
    <n v="125000"/>
    <n v="125000"/>
    <s v="日本人等"/>
    <x v="0"/>
    <s v=""/>
    <m/>
    <s v="120_302"/>
    <n v="136000"/>
    <m/>
    <n v="1"/>
    <n v="125000"/>
    <n v="0"/>
    <n v="-11000"/>
    <n v="1"/>
    <x v="0"/>
  </r>
  <r>
    <x v="311"/>
    <n v="120"/>
    <x v="15"/>
    <s v="401"/>
    <n v="51.4"/>
    <n v="631"/>
    <x v="0"/>
    <s v="2LDK"/>
    <n v="136000"/>
    <n v="4000"/>
    <n v="0"/>
    <n v="0"/>
    <n v="140000"/>
    <n v="140000"/>
    <n v="0"/>
    <n v="140000"/>
    <n v="140000"/>
    <s v="日本人等"/>
    <x v="0"/>
    <s v=""/>
    <m/>
    <s v="120_401"/>
    <n v="138000"/>
    <m/>
    <n v="1"/>
    <n v="140000"/>
    <n v="0"/>
    <n v="2000"/>
    <n v="1"/>
    <x v="0"/>
  </r>
  <r>
    <x v="312"/>
    <n v="120"/>
    <x v="15"/>
    <s v="TD1"/>
    <s v="-"/>
    <n v="639"/>
    <x v="3"/>
    <s v="その他"/>
    <n v="0"/>
    <n v="0"/>
    <n v="0"/>
    <n v="0"/>
    <n v="0"/>
    <n v="0"/>
    <n v="0"/>
    <n v="0"/>
    <n v="0"/>
    <s v="-"/>
    <x v="1"/>
    <s v="電柱"/>
    <m/>
    <s v="120_TD1"/>
    <n v="0"/>
    <m/>
    <n v="0"/>
    <n v="0"/>
    <n v="0"/>
    <n v="0"/>
    <n v="0"/>
    <x v="0"/>
  </r>
  <r>
    <x v="313"/>
    <n v="120"/>
    <x v="15"/>
    <s v="VND1"/>
    <s v="-"/>
    <n v="637"/>
    <x v="7"/>
    <s v="自販機"/>
    <n v="0"/>
    <n v="0"/>
    <n v="0"/>
    <n v="0"/>
    <n v="0"/>
    <n v="0"/>
    <n v="0"/>
    <n v="0"/>
    <n v="0"/>
    <s v="-"/>
    <x v="0"/>
    <m/>
    <m/>
    <s v="120_VND1"/>
    <n v="0"/>
    <m/>
    <n v="0"/>
    <n v="0"/>
    <n v="0"/>
    <n v="0"/>
    <n v="0"/>
    <x v="0"/>
  </r>
  <r>
    <x v="314"/>
    <n v="221"/>
    <x v="16"/>
    <s v="724"/>
    <n v="15.4"/>
    <n v="632"/>
    <x v="1"/>
    <s v="1R"/>
    <n v="0"/>
    <n v="0"/>
    <n v="0"/>
    <n v="0"/>
    <n v="0"/>
    <n v="35000"/>
    <n v="0"/>
    <n v="35000"/>
    <n v="35000"/>
    <s v="-"/>
    <x v="0"/>
    <s v="一時的な空室"/>
    <m/>
    <s v="221_724"/>
    <n v="35000"/>
    <m/>
    <n v="0"/>
    <n v="35000"/>
    <n v="0"/>
    <n v="0"/>
    <n v="1"/>
    <x v="0"/>
  </r>
  <r>
    <x v="315"/>
    <n v="222"/>
    <x v="17"/>
    <s v="201"/>
    <n v="76.5"/>
    <n v="631"/>
    <x v="0"/>
    <s v="2LDK"/>
    <n v="0"/>
    <n v="0"/>
    <n v="0"/>
    <n v="0"/>
    <n v="0"/>
    <n v="295000"/>
    <n v="0"/>
    <n v="295000"/>
    <n v="295000"/>
    <s v="-"/>
    <x v="1"/>
    <s v="自己利用社宅"/>
    <m/>
    <s v="222_201"/>
    <n v="295000"/>
    <m/>
    <n v="0"/>
    <n v="295000"/>
    <n v="0"/>
    <n v="0"/>
    <n v="1"/>
    <x v="0"/>
  </r>
  <r>
    <x v="316"/>
    <n v="121"/>
    <x v="18"/>
    <n v="101"/>
    <n v="76.5"/>
    <n v="631"/>
    <x v="0"/>
    <s v="2LDK"/>
    <n v="330000"/>
    <n v="0"/>
    <n v="0"/>
    <n v="0"/>
    <n v="330000"/>
    <n v="330000"/>
    <n v="0"/>
    <n v="330000"/>
    <n v="330000"/>
    <s v="日本人等"/>
    <x v="0"/>
    <m/>
    <m/>
    <s v="222_201"/>
    <n v="330000"/>
    <m/>
    <n v="1"/>
    <n v="330000"/>
    <n v="0"/>
    <n v="0"/>
    <n v="1"/>
    <x v="0"/>
  </r>
  <r>
    <x v="317"/>
    <n v="122"/>
    <x v="19"/>
    <n v="101"/>
    <n v="76.5"/>
    <n v="631"/>
    <x v="0"/>
    <s v="2LDK"/>
    <n v="160000"/>
    <n v="0"/>
    <n v="0"/>
    <n v="0"/>
    <n v="160000"/>
    <n v="160000"/>
    <n v="0"/>
    <n v="160000"/>
    <n v="160000"/>
    <s v="日本人等"/>
    <x v="0"/>
    <m/>
    <m/>
    <s v="222_201"/>
    <n v="160000"/>
    <m/>
    <n v="1"/>
    <n v="160000"/>
    <n v="0"/>
    <n v="0"/>
    <n v="1"/>
    <x v="0"/>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pivotCacheRecords>
</file>

<file path=xl/pivotCache/pivotCacheRecords1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n v="1"/>
    <n v="101"/>
    <s v="西池袋駅前ビル"/>
    <s v="101"/>
    <n v="16.89"/>
    <n v="631"/>
    <x v="0"/>
    <s v="1K"/>
    <n v="62000"/>
    <n v="3000"/>
    <n v="0"/>
    <n v="0"/>
    <n v="65000"/>
    <n v="65000"/>
    <n v="0"/>
    <n v="65000"/>
    <x v="0"/>
    <s v="日本人等"/>
    <x v="0"/>
    <s v=""/>
    <m/>
    <s v="101_101"/>
    <n v="65000"/>
    <m/>
    <n v="1"/>
    <n v="65000"/>
    <n v="0"/>
    <n v="0"/>
    <n v="1"/>
    <x v="0"/>
  </r>
  <r>
    <n v="2"/>
    <n v="101"/>
    <s v="西池袋駅前ビル"/>
    <s v="102"/>
    <n v="16.75"/>
    <n v="631"/>
    <x v="0"/>
    <s v="1K"/>
    <n v="62000"/>
    <n v="3000"/>
    <n v="0"/>
    <n v="0"/>
    <n v="65000"/>
    <n v="65000"/>
    <n v="0"/>
    <n v="65000"/>
    <x v="0"/>
    <s v="日本人等"/>
    <x v="0"/>
    <s v=""/>
    <m/>
    <s v="101_102"/>
    <n v="61000"/>
    <m/>
    <n v="1"/>
    <n v="65000"/>
    <n v="0"/>
    <n v="4000"/>
    <n v="1"/>
    <x v="0"/>
  </r>
  <r>
    <n v="3"/>
    <n v="101"/>
    <s v="西池袋駅前ビル"/>
    <s v="103"/>
    <n v="16.600000000000001"/>
    <n v="631"/>
    <x v="0"/>
    <s v="1K"/>
    <n v="69800"/>
    <n v="0"/>
    <n v="0"/>
    <n v="0"/>
    <n v="69800"/>
    <n v="69800"/>
    <n v="0"/>
    <n v="69800"/>
    <x v="1"/>
    <s v="日本人等"/>
    <x v="0"/>
    <s v=""/>
    <m/>
    <s v="101_103"/>
    <n v="66000"/>
    <m/>
    <n v="1"/>
    <n v="69800"/>
    <n v="0"/>
    <n v="3800"/>
    <n v="1"/>
    <x v="0"/>
  </r>
  <r>
    <n v="4"/>
    <n v="101"/>
    <s v="西池袋駅前ビル"/>
    <s v="105"/>
    <n v="16.739999999999998"/>
    <n v="631"/>
    <x v="0"/>
    <s v="1K"/>
    <n v="60000"/>
    <n v="3000"/>
    <n v="0"/>
    <n v="0"/>
    <n v="63000"/>
    <n v="70000"/>
    <n v="0"/>
    <n v="70000"/>
    <x v="2"/>
    <s v="法人契約"/>
    <x v="0"/>
    <s v=""/>
    <m/>
    <s v="101_105"/>
    <n v="62000"/>
    <m/>
    <n v="1"/>
    <n v="63000"/>
    <n v="7000"/>
    <n v="1000"/>
    <n v="1"/>
    <x v="0"/>
  </r>
  <r>
    <n v="5"/>
    <n v="101"/>
    <s v="西池袋駅前ビル"/>
    <s v="106"/>
    <n v="16.739999999999998"/>
    <n v="631"/>
    <x v="0"/>
    <s v="1K"/>
    <n v="64000"/>
    <n v="3000"/>
    <n v="0"/>
    <n v="0"/>
    <n v="67000"/>
    <n v="67000"/>
    <n v="0"/>
    <n v="67000"/>
    <x v="3"/>
    <s v="中華系"/>
    <x v="0"/>
    <s v=""/>
    <m/>
    <s v="101_106"/>
    <n v="65000"/>
    <m/>
    <n v="1"/>
    <n v="67000"/>
    <n v="0"/>
    <n v="2000"/>
    <n v="1"/>
    <x v="0"/>
  </r>
  <r>
    <n v="6"/>
    <n v="101"/>
    <s v="西池袋駅前ビル"/>
    <s v="201"/>
    <n v="16.53"/>
    <n v="631"/>
    <x v="0"/>
    <s v="1K"/>
    <n v="56000"/>
    <n v="3000"/>
    <n v="0"/>
    <n v="0"/>
    <n v="59000"/>
    <n v="67000"/>
    <n v="0"/>
    <n v="67000"/>
    <x v="4"/>
    <s v="日本人等"/>
    <x v="0"/>
    <s v=""/>
    <m/>
    <s v="101_201"/>
    <n v="67000"/>
    <m/>
    <n v="1"/>
    <n v="59000"/>
    <n v="8000"/>
    <n v="-8000"/>
    <n v="1"/>
    <x v="0"/>
  </r>
  <r>
    <n v="7"/>
    <n v="101"/>
    <s v="西池袋駅前ビル"/>
    <s v="202"/>
    <n v="16.75"/>
    <n v="631"/>
    <x v="0"/>
    <s v="1K"/>
    <n v="62000"/>
    <n v="3000"/>
    <n v="0"/>
    <n v="0"/>
    <n v="65000"/>
    <n v="65000"/>
    <n v="0"/>
    <n v="65000"/>
    <x v="0"/>
    <s v="住居法人契約"/>
    <x v="0"/>
    <s v=""/>
    <m/>
    <s v="101_202"/>
    <n v="65000"/>
    <m/>
    <n v="1"/>
    <n v="65000"/>
    <n v="0"/>
    <n v="0"/>
    <n v="1"/>
    <x v="0"/>
  </r>
  <r>
    <n v="8"/>
    <n v="101"/>
    <s v="西池袋駅前ビル"/>
    <s v="203"/>
    <n v="16.600000000000001"/>
    <n v="631"/>
    <x v="0"/>
    <s v="1K"/>
    <n v="63000"/>
    <n v="3000"/>
    <n v="0"/>
    <n v="0"/>
    <n v="66000"/>
    <n v="70000"/>
    <n v="0"/>
    <n v="70000"/>
    <x v="5"/>
    <s v="日本人等"/>
    <x v="0"/>
    <s v=""/>
    <m/>
    <s v="101_203"/>
    <n v="67000"/>
    <m/>
    <n v="1"/>
    <n v="66000"/>
    <n v="4000"/>
    <n v="-1000"/>
    <n v="1"/>
    <x v="0"/>
  </r>
  <r>
    <n v="9"/>
    <n v="101"/>
    <s v="西池袋駅前ビル"/>
    <s v="205"/>
    <n v="16.739999999999998"/>
    <n v="631"/>
    <x v="0"/>
    <s v="1K"/>
    <n v="63000"/>
    <n v="3000"/>
    <n v="0"/>
    <n v="0"/>
    <n v="66000"/>
    <n v="68000"/>
    <n v="0"/>
    <n v="68000"/>
    <x v="5"/>
    <s v="日本人等"/>
    <x v="0"/>
    <s v=""/>
    <m/>
    <s v="101_205"/>
    <n v="67000"/>
    <m/>
    <n v="1"/>
    <n v="66000"/>
    <n v="2000"/>
    <n v="-1000"/>
    <n v="1"/>
    <x v="0"/>
  </r>
  <r>
    <n v="10"/>
    <n v="101"/>
    <s v="西池袋駅前ビル"/>
    <s v="301"/>
    <n v="16.559999999999999"/>
    <n v="631"/>
    <x v="0"/>
    <s v="1K"/>
    <n v="62000"/>
    <n v="0"/>
    <n v="0"/>
    <n v="0"/>
    <n v="62000"/>
    <n v="62000"/>
    <n v="0"/>
    <n v="62000"/>
    <x v="6"/>
    <s v="日本人等"/>
    <x v="0"/>
    <s v=""/>
    <m/>
    <s v="101_301"/>
    <n v="62000"/>
    <m/>
    <n v="1"/>
    <n v="62000"/>
    <n v="0"/>
    <n v="0"/>
    <n v="1"/>
    <x v="0"/>
  </r>
  <r>
    <n v="11"/>
    <n v="101"/>
    <s v="西池袋駅前ビル"/>
    <s v="302"/>
    <n v="16.559999999999999"/>
    <n v="631"/>
    <x v="0"/>
    <s v="1K"/>
    <n v="63000"/>
    <n v="3000"/>
    <n v="0"/>
    <n v="0"/>
    <n v="66000"/>
    <n v="66000"/>
    <n v="0"/>
    <n v="66000"/>
    <x v="5"/>
    <s v="日本人等"/>
    <x v="0"/>
    <s v=""/>
    <m/>
    <s v="101_302"/>
    <n v="65000"/>
    <m/>
    <n v="1"/>
    <n v="66000"/>
    <n v="0"/>
    <n v="1000"/>
    <n v="1"/>
    <x v="0"/>
  </r>
  <r>
    <n v="12"/>
    <n v="101"/>
    <s v="西池袋駅前ビル"/>
    <s v="303"/>
    <n v="16.559999999999999"/>
    <n v="631"/>
    <x v="0"/>
    <s v="1K"/>
    <n v="62000"/>
    <n v="3000"/>
    <n v="0"/>
    <n v="0"/>
    <n v="65000"/>
    <n v="65000"/>
    <n v="0"/>
    <n v="65000"/>
    <x v="0"/>
    <s v="日本人等"/>
    <x v="0"/>
    <s v=""/>
    <m/>
    <s v="101_303"/>
    <n v="65000"/>
    <m/>
    <n v="1"/>
    <n v="65000"/>
    <n v="0"/>
    <n v="0"/>
    <n v="1"/>
    <x v="0"/>
  </r>
  <r>
    <n v="13"/>
    <n v="101"/>
    <s v="西池袋駅前ビル"/>
    <s v="305"/>
    <n v="16.77"/>
    <n v="631"/>
    <x v="0"/>
    <s v="1K"/>
    <n v="67000"/>
    <n v="3000"/>
    <n v="0"/>
    <n v="0"/>
    <n v="70000"/>
    <n v="70000"/>
    <n v="0"/>
    <n v="70000"/>
    <x v="7"/>
    <s v="中華系"/>
    <x v="0"/>
    <s v=""/>
    <m/>
    <s v="101_305"/>
    <n v="68000"/>
    <m/>
    <n v="1"/>
    <n v="70000"/>
    <n v="0"/>
    <n v="2000"/>
    <n v="1"/>
    <x v="0"/>
  </r>
  <r>
    <n v="14"/>
    <n v="101"/>
    <s v="西池袋駅前ビル"/>
    <s v="306"/>
    <n v="16.53"/>
    <n v="631"/>
    <x v="0"/>
    <s v="1K"/>
    <n v="57000"/>
    <n v="3000"/>
    <n v="0"/>
    <n v="0"/>
    <n v="60000"/>
    <n v="70000"/>
    <n v="0"/>
    <n v="70000"/>
    <x v="8"/>
    <s v="中華系"/>
    <x v="0"/>
    <s v=""/>
    <m/>
    <s v="101_306"/>
    <n v="63000"/>
    <m/>
    <n v="1"/>
    <n v="60000"/>
    <n v="10000"/>
    <n v="-3000"/>
    <n v="1"/>
    <x v="0"/>
  </r>
  <r>
    <n v="15"/>
    <n v="101"/>
    <s v="西池袋駅前ビル"/>
    <s v="307"/>
    <n v="16.75"/>
    <n v="631"/>
    <x v="0"/>
    <s v="1K"/>
    <n v="56000"/>
    <n v="3000"/>
    <n v="0"/>
    <n v="0"/>
    <n v="59000"/>
    <n v="65000"/>
    <n v="0"/>
    <n v="65000"/>
    <x v="4"/>
    <s v="日本人等"/>
    <x v="0"/>
    <s v=""/>
    <m/>
    <s v="101_307"/>
    <n v="67000"/>
    <m/>
    <n v="1"/>
    <n v="59000"/>
    <n v="6000"/>
    <n v="-8000"/>
    <n v="1"/>
    <x v="0"/>
  </r>
  <r>
    <n v="16"/>
    <n v="101"/>
    <s v="西池袋駅前ビル"/>
    <s v="308"/>
    <n v="16.600000000000001"/>
    <n v="631"/>
    <x v="0"/>
    <s v="1K"/>
    <n v="69000"/>
    <n v="0"/>
    <n v="0"/>
    <n v="0"/>
    <n v="69000"/>
    <n v="69000"/>
    <n v="0"/>
    <n v="69000"/>
    <x v="9"/>
    <s v="日本人等"/>
    <x v="0"/>
    <s v=""/>
    <m/>
    <s v="101_308"/>
    <n v="69000"/>
    <m/>
    <n v="1"/>
    <n v="69000"/>
    <n v="0"/>
    <n v="0"/>
    <n v="1"/>
    <x v="0"/>
  </r>
  <r>
    <n v="17"/>
    <n v="101"/>
    <s v="西池袋駅前ビル"/>
    <s v="401"/>
    <n v="16.559999999999999"/>
    <n v="631"/>
    <x v="0"/>
    <s v="1K"/>
    <n v="67000"/>
    <n v="3000"/>
    <n v="0"/>
    <n v="0"/>
    <n v="70000"/>
    <n v="70000"/>
    <n v="0"/>
    <n v="70000"/>
    <x v="7"/>
    <s v="日本人等"/>
    <x v="0"/>
    <s v=""/>
    <m/>
    <s v="101_401"/>
    <n v="66000"/>
    <m/>
    <n v="1"/>
    <n v="70000"/>
    <n v="0"/>
    <n v="4000"/>
    <n v="1"/>
    <x v="0"/>
  </r>
  <r>
    <n v="18"/>
    <n v="101"/>
    <s v="西池袋駅前ビル"/>
    <s v="402"/>
    <n v="16.559999999999999"/>
    <n v="631"/>
    <x v="0"/>
    <s v="1K"/>
    <n v="62000"/>
    <n v="2000"/>
    <n v="0"/>
    <n v="0"/>
    <n v="64000"/>
    <n v="64000"/>
    <n v="0"/>
    <n v="64000"/>
    <x v="10"/>
    <s v="日本人等"/>
    <x v="0"/>
    <s v=""/>
    <m/>
    <s v="101_402"/>
    <n v="64000"/>
    <m/>
    <n v="1"/>
    <n v="64000"/>
    <n v="0"/>
    <n v="0"/>
    <n v="1"/>
    <x v="0"/>
  </r>
  <r>
    <n v="19"/>
    <n v="101"/>
    <s v="西池袋駅前ビル"/>
    <s v="403"/>
    <n v="16.559999999999999"/>
    <n v="631"/>
    <x v="0"/>
    <s v="1K"/>
    <n v="60000"/>
    <n v="3000"/>
    <n v="0"/>
    <n v="0"/>
    <n v="63000"/>
    <n v="70000"/>
    <n v="0"/>
    <n v="70000"/>
    <x v="2"/>
    <s v="日本人等"/>
    <x v="0"/>
    <s v=""/>
    <m/>
    <s v="101_403"/>
    <n v="65000"/>
    <m/>
    <n v="1"/>
    <n v="63000"/>
    <n v="7000"/>
    <n v="-2000"/>
    <n v="1"/>
    <x v="0"/>
  </r>
  <r>
    <n v="20"/>
    <n v="101"/>
    <s v="西池袋駅前ビル"/>
    <s v="405"/>
    <n v="16.77"/>
    <n v="631"/>
    <x v="0"/>
    <s v="1K"/>
    <n v="69000"/>
    <n v="3000"/>
    <n v="0"/>
    <n v="0"/>
    <n v="72000"/>
    <n v="72000"/>
    <n v="0"/>
    <n v="72000"/>
    <x v="11"/>
    <s v="日本人等"/>
    <x v="0"/>
    <s v=""/>
    <m/>
    <s v="101_405"/>
    <n v="65000"/>
    <m/>
    <n v="1"/>
    <n v="72000"/>
    <n v="0"/>
    <n v="7000"/>
    <n v="1"/>
    <x v="0"/>
  </r>
  <r>
    <n v="21"/>
    <n v="101"/>
    <s v="西池袋駅前ビル"/>
    <s v="406"/>
    <n v="16.53"/>
    <n v="631"/>
    <x v="0"/>
    <s v="1K"/>
    <n v="62000"/>
    <n v="3000"/>
    <n v="0"/>
    <n v="0"/>
    <n v="65000"/>
    <n v="70000"/>
    <n v="0"/>
    <n v="70000"/>
    <x v="0"/>
    <s v="日本人等"/>
    <x v="0"/>
    <s v=""/>
    <m/>
    <s v="101_406"/>
    <n v="70000"/>
    <m/>
    <n v="1"/>
    <n v="65000"/>
    <n v="5000"/>
    <n v="-5000"/>
    <n v="1"/>
    <x v="0"/>
  </r>
  <r>
    <n v="22"/>
    <n v="101"/>
    <s v="西池袋駅前ビル"/>
    <s v="407"/>
    <n v="17.829999999999998"/>
    <n v="631"/>
    <x v="0"/>
    <s v="1K"/>
    <n v="67000"/>
    <n v="0"/>
    <n v="0"/>
    <n v="0"/>
    <n v="67000"/>
    <n v="67000"/>
    <n v="0"/>
    <n v="67000"/>
    <x v="3"/>
    <s v="日本人等"/>
    <x v="0"/>
    <s v=""/>
    <m/>
    <s v="101_407"/>
    <n v="67000"/>
    <m/>
    <n v="1"/>
    <n v="67000"/>
    <n v="0"/>
    <n v="0"/>
    <n v="1"/>
    <x v="0"/>
  </r>
  <r>
    <n v="23"/>
    <n v="101"/>
    <s v="西池袋駅前ビル"/>
    <s v="100"/>
    <n v="104.58"/>
    <n v="632"/>
    <x v="1"/>
    <s v="事務所"/>
    <n v="275000"/>
    <n v="0"/>
    <n v="0"/>
    <n v="27500"/>
    <n v="302500"/>
    <n v="275000"/>
    <n v="27500"/>
    <n v="302500"/>
    <x v="12"/>
    <s v="法人契約"/>
    <x v="0"/>
    <s v=""/>
    <m/>
    <s v="101_100"/>
    <n v="250000"/>
    <m/>
    <n v="1"/>
    <n v="275000"/>
    <n v="0"/>
    <n v="25000"/>
    <n v="1"/>
    <x v="0"/>
  </r>
  <r>
    <n v="24"/>
    <n v="101"/>
    <s v="西池袋駅前ビル"/>
    <s v="RF1"/>
    <n v="0"/>
    <n v="635"/>
    <x v="2"/>
    <s v="その他"/>
    <n v="90000"/>
    <n v="0"/>
    <n v="0"/>
    <n v="9000"/>
    <n v="99000"/>
    <n v="90000"/>
    <n v="9000"/>
    <n v="99000"/>
    <x v="13"/>
    <s v="-"/>
    <x v="0"/>
    <s v="楽天"/>
    <m/>
    <s v="101_RF1"/>
    <n v="0"/>
    <m/>
    <n v="1"/>
    <n v="90000"/>
    <n v="0"/>
    <n v="90000"/>
    <n v="1"/>
    <x v="0"/>
  </r>
  <r>
    <n v="25"/>
    <n v="101"/>
    <s v="西池袋駅前ビル"/>
    <s v="NTF1"/>
    <s v="-"/>
    <n v="639"/>
    <x v="3"/>
    <s v="その他"/>
    <n v="0"/>
    <n v="0"/>
    <n v="0"/>
    <n v="0"/>
    <n v="0"/>
    <n v="0"/>
    <n v="0"/>
    <n v="0"/>
    <x v="14"/>
    <s v="-"/>
    <x v="1"/>
    <s v="フレッツ光"/>
    <m/>
    <s v="101_NTF1"/>
    <n v="0"/>
    <m/>
    <n v="0"/>
    <n v="0"/>
    <n v="0"/>
    <n v="0"/>
    <n v="0"/>
    <x v="0"/>
  </r>
  <r>
    <n v="26"/>
    <n v="102"/>
    <s v="池袋ハウス"/>
    <s v="101"/>
    <n v="23.95"/>
    <n v="631"/>
    <x v="0"/>
    <s v="1K"/>
    <n v="73000"/>
    <n v="7000"/>
    <n v="0"/>
    <n v="0"/>
    <n v="80000"/>
    <n v="80000"/>
    <n v="0"/>
    <n v="80000"/>
    <x v="15"/>
    <s v="日本人等"/>
    <x v="0"/>
    <s v=""/>
    <m/>
    <s v="102_101"/>
    <n v="63000"/>
    <m/>
    <n v="1"/>
    <n v="80000"/>
    <n v="0"/>
    <n v="17000"/>
    <n v="1"/>
    <x v="0"/>
  </r>
  <r>
    <n v="27"/>
    <n v="102"/>
    <s v="池袋ハウス"/>
    <s v="102"/>
    <n v="20.079999999999998"/>
    <n v="631"/>
    <x v="0"/>
    <s v="1K"/>
    <n v="55000"/>
    <n v="7000"/>
    <n v="0"/>
    <n v="0"/>
    <n v="62000"/>
    <n v="62000"/>
    <n v="0"/>
    <n v="62000"/>
    <x v="6"/>
    <s v="日本人等"/>
    <x v="0"/>
    <s v=""/>
    <m/>
    <s v="102_102"/>
    <n v="62000"/>
    <m/>
    <n v="1"/>
    <n v="62000"/>
    <n v="0"/>
    <n v="0"/>
    <n v="1"/>
    <x v="0"/>
  </r>
  <r>
    <n v="28"/>
    <n v="102"/>
    <s v="池袋ハウス"/>
    <s v="103"/>
    <n v="23.25"/>
    <n v="631"/>
    <x v="0"/>
    <s v="1K"/>
    <n v="70000"/>
    <n v="7000"/>
    <n v="0"/>
    <n v="0"/>
    <n v="77000"/>
    <n v="77000"/>
    <n v="0"/>
    <n v="77000"/>
    <x v="16"/>
    <s v="中華系"/>
    <x v="0"/>
    <s v=""/>
    <m/>
    <s v="102_103"/>
    <n v="68000"/>
    <m/>
    <n v="1"/>
    <n v="77000"/>
    <n v="0"/>
    <n v="9000"/>
    <n v="1"/>
    <x v="0"/>
  </r>
  <r>
    <n v="29"/>
    <n v="102"/>
    <s v="池袋ハウス"/>
    <s v="105"/>
    <n v="23.25"/>
    <n v="631"/>
    <x v="0"/>
    <s v="1K"/>
    <n v="72000"/>
    <n v="7000"/>
    <n v="0"/>
    <n v="0"/>
    <n v="79000"/>
    <n v="79000"/>
    <n v="0"/>
    <n v="79000"/>
    <x v="17"/>
    <s v="中華系"/>
    <x v="0"/>
    <s v=""/>
    <m/>
    <s v="102_105"/>
    <n v="67000"/>
    <m/>
    <n v="1"/>
    <n v="79000"/>
    <n v="0"/>
    <n v="12000"/>
    <n v="1"/>
    <x v="0"/>
  </r>
  <r>
    <n v="30"/>
    <n v="102"/>
    <s v="池袋ハウス"/>
    <s v="106"/>
    <n v="27.3"/>
    <n v="631"/>
    <x v="0"/>
    <s v="1K"/>
    <n v="73000"/>
    <n v="7000"/>
    <n v="0"/>
    <n v="0"/>
    <n v="80000"/>
    <n v="80000"/>
    <n v="0"/>
    <n v="80000"/>
    <x v="15"/>
    <s v="中華系"/>
    <x v="0"/>
    <s v=""/>
    <m/>
    <s v="102_106"/>
    <n v="75000"/>
    <m/>
    <n v="1"/>
    <n v="80000"/>
    <n v="0"/>
    <n v="5000"/>
    <n v="1"/>
    <x v="0"/>
  </r>
  <r>
    <n v="31"/>
    <n v="102"/>
    <s v="池袋ハウス"/>
    <s v="107"/>
    <n v="27.3"/>
    <n v="631"/>
    <x v="0"/>
    <s v="1K"/>
    <n v="78000"/>
    <n v="7000"/>
    <n v="0"/>
    <n v="0"/>
    <n v="85000"/>
    <n v="85000"/>
    <n v="0"/>
    <n v="85000"/>
    <x v="18"/>
    <s v="日本人等"/>
    <x v="0"/>
    <s v=""/>
    <m/>
    <s v="102_107"/>
    <n v="70000"/>
    <m/>
    <n v="1"/>
    <n v="85000"/>
    <n v="0"/>
    <n v="15000"/>
    <n v="1"/>
    <x v="0"/>
  </r>
  <r>
    <n v="32"/>
    <n v="102"/>
    <s v="池袋ハウス"/>
    <s v="108"/>
    <n v="22.98"/>
    <n v="631"/>
    <x v="0"/>
    <s v="1K"/>
    <n v="68000"/>
    <n v="7000"/>
    <n v="0"/>
    <n v="0"/>
    <n v="75000"/>
    <n v="75000"/>
    <n v="0"/>
    <n v="75000"/>
    <x v="19"/>
    <s v="日本人等"/>
    <x v="0"/>
    <s v=""/>
    <m/>
    <s v="102_108"/>
    <n v="64000"/>
    <m/>
    <n v="1"/>
    <n v="75000"/>
    <n v="0"/>
    <n v="11000"/>
    <n v="1"/>
    <x v="0"/>
  </r>
  <r>
    <n v="33"/>
    <n v="102"/>
    <s v="池袋ハウス"/>
    <s v="109"/>
    <n v="22.98"/>
    <n v="631"/>
    <x v="0"/>
    <s v="1K"/>
    <n v="61000"/>
    <n v="7000"/>
    <n v="0"/>
    <n v="0"/>
    <n v="68000"/>
    <n v="76000"/>
    <n v="0"/>
    <n v="76000"/>
    <x v="20"/>
    <s v="日本人等"/>
    <x v="0"/>
    <s v=""/>
    <m/>
    <s v="102_109"/>
    <n v="66000"/>
    <m/>
    <n v="1"/>
    <n v="68000"/>
    <n v="8000"/>
    <n v="2000"/>
    <n v="1"/>
    <x v="0"/>
  </r>
  <r>
    <n v="34"/>
    <n v="102"/>
    <s v="池袋ハウス"/>
    <s v="110"/>
    <n v="23.27"/>
    <n v="631"/>
    <x v="0"/>
    <s v="1K"/>
    <n v="61000"/>
    <n v="7000"/>
    <n v="0"/>
    <n v="0"/>
    <n v="68000"/>
    <n v="68000"/>
    <n v="0"/>
    <n v="68000"/>
    <x v="20"/>
    <s v="日本人等"/>
    <x v="0"/>
    <s v=""/>
    <m/>
    <s v="102_110"/>
    <n v="68000"/>
    <m/>
    <n v="1"/>
    <n v="68000"/>
    <n v="0"/>
    <n v="0"/>
    <n v="1"/>
    <x v="0"/>
  </r>
  <r>
    <n v="35"/>
    <n v="102"/>
    <s v="池袋ハウス"/>
    <s v="201"/>
    <n v="23.95"/>
    <n v="631"/>
    <x v="0"/>
    <s v="1K"/>
    <n v="70000"/>
    <n v="7000"/>
    <n v="0"/>
    <n v="0"/>
    <n v="77000"/>
    <n v="77000"/>
    <n v="0"/>
    <n v="77000"/>
    <x v="16"/>
    <s v="日本人等"/>
    <x v="0"/>
    <s v=""/>
    <m/>
    <s v="102_201"/>
    <n v="93000"/>
    <m/>
    <n v="1"/>
    <n v="77000"/>
    <n v="0"/>
    <n v="-16000"/>
    <n v="1"/>
    <x v="0"/>
  </r>
  <r>
    <n v="36"/>
    <n v="102"/>
    <s v="池袋ハウス"/>
    <s v="202"/>
    <n v="20.079999999999998"/>
    <n v="631"/>
    <x v="0"/>
    <s v="1K"/>
    <n v="75000"/>
    <n v="7000"/>
    <n v="0"/>
    <n v="0"/>
    <n v="82000"/>
    <n v="82000"/>
    <n v="0"/>
    <n v="82000"/>
    <x v="21"/>
    <s v="中華系"/>
    <x v="0"/>
    <s v=""/>
    <m/>
    <s v="102_202"/>
    <n v="67000"/>
    <m/>
    <n v="1"/>
    <n v="82000"/>
    <n v="0"/>
    <n v="15000"/>
    <n v="1"/>
    <x v="0"/>
  </r>
  <r>
    <n v="37"/>
    <n v="102"/>
    <s v="池袋ハウス"/>
    <s v="203"/>
    <n v="23.25"/>
    <n v="631"/>
    <x v="0"/>
    <s v="1K"/>
    <n v="73000"/>
    <n v="7000"/>
    <n v="0"/>
    <n v="0"/>
    <n v="80000"/>
    <n v="85000"/>
    <n v="0"/>
    <n v="85000"/>
    <x v="15"/>
    <s v="日本人等"/>
    <x v="0"/>
    <s v=""/>
    <m/>
    <s v="102_203"/>
    <n v="77000"/>
    <m/>
    <n v="1"/>
    <n v="80000"/>
    <n v="5000"/>
    <n v="3000"/>
    <n v="1"/>
    <x v="0"/>
  </r>
  <r>
    <n v="38"/>
    <n v="102"/>
    <s v="池袋ハウス"/>
    <s v="205"/>
    <n v="23.25"/>
    <n v="631"/>
    <x v="0"/>
    <s v="1K"/>
    <n v="68000"/>
    <n v="7000"/>
    <n v="0"/>
    <n v="0"/>
    <n v="75000"/>
    <n v="69000"/>
    <n v="0"/>
    <n v="69000"/>
    <x v="19"/>
    <s v="日本人等"/>
    <x v="0"/>
    <s v=""/>
    <m/>
    <s v="102_205"/>
    <n v="69000"/>
    <m/>
    <n v="1"/>
    <n v="75000"/>
    <n v="-6000"/>
    <n v="6000"/>
    <n v="1"/>
    <x v="0"/>
  </r>
  <r>
    <n v="39"/>
    <n v="102"/>
    <s v="池袋ハウス"/>
    <s v="206"/>
    <n v="27.3"/>
    <n v="631"/>
    <x v="0"/>
    <s v="1K"/>
    <n v="73000"/>
    <n v="7000"/>
    <n v="0"/>
    <n v="0"/>
    <n v="80000"/>
    <n v="86000"/>
    <n v="0"/>
    <n v="86000"/>
    <x v="15"/>
    <s v="中華系"/>
    <x v="0"/>
    <s v=""/>
    <m/>
    <s v="102_206"/>
    <n v="73000"/>
    <m/>
    <n v="1"/>
    <n v="80000"/>
    <n v="6000"/>
    <n v="7000"/>
    <n v="1"/>
    <x v="0"/>
  </r>
  <r>
    <n v="40"/>
    <n v="102"/>
    <s v="池袋ハウス"/>
    <s v="207"/>
    <n v="27.3"/>
    <n v="631"/>
    <x v="0"/>
    <s v="1K"/>
    <n v="82000"/>
    <n v="7000"/>
    <n v="0"/>
    <n v="0"/>
    <n v="89000"/>
    <n v="92000"/>
    <n v="0"/>
    <n v="92000"/>
    <x v="22"/>
    <s v="中華系"/>
    <x v="0"/>
    <s v=""/>
    <m/>
    <s v="102_207"/>
    <n v="72000"/>
    <m/>
    <n v="1"/>
    <n v="89000"/>
    <n v="3000"/>
    <n v="17000"/>
    <n v="1"/>
    <x v="0"/>
  </r>
  <r>
    <n v="41"/>
    <n v="102"/>
    <s v="池袋ハウス"/>
    <s v="208"/>
    <n v="22.98"/>
    <n v="631"/>
    <x v="0"/>
    <s v="1K"/>
    <n v="78000"/>
    <n v="7000"/>
    <n v="0"/>
    <n v="0"/>
    <n v="85000"/>
    <n v="85000"/>
    <n v="0"/>
    <n v="85000"/>
    <x v="18"/>
    <s v="中華系"/>
    <x v="0"/>
    <s v=""/>
    <m/>
    <s v="102_208"/>
    <n v="76000"/>
    <m/>
    <n v="1"/>
    <n v="85000"/>
    <n v="0"/>
    <n v="9000"/>
    <n v="1"/>
    <x v="0"/>
  </r>
  <r>
    <n v="42"/>
    <n v="102"/>
    <s v="池袋ハウス"/>
    <s v="209"/>
    <n v="22.98"/>
    <n v="631"/>
    <x v="0"/>
    <s v="1K"/>
    <n v="75000"/>
    <n v="7000"/>
    <n v="0"/>
    <n v="0"/>
    <n v="82000"/>
    <n v="82000"/>
    <n v="0"/>
    <n v="82000"/>
    <x v="21"/>
    <s v="中華系"/>
    <x v="0"/>
    <s v=""/>
    <m/>
    <s v="102_209"/>
    <n v="69000"/>
    <m/>
    <n v="1"/>
    <n v="82000"/>
    <n v="0"/>
    <n v="13000"/>
    <n v="1"/>
    <x v="0"/>
  </r>
  <r>
    <n v="43"/>
    <n v="102"/>
    <s v="池袋ハウス"/>
    <s v="301"/>
    <n v="23.95"/>
    <n v="631"/>
    <x v="0"/>
    <s v="1K"/>
    <n v="78000"/>
    <n v="7000"/>
    <n v="0"/>
    <n v="0"/>
    <n v="85000"/>
    <n v="85000"/>
    <n v="0"/>
    <n v="85000"/>
    <x v="18"/>
    <s v="中華系"/>
    <x v="0"/>
    <s v=""/>
    <m/>
    <s v="102_301"/>
    <n v="75000"/>
    <m/>
    <n v="1"/>
    <n v="85000"/>
    <n v="0"/>
    <n v="10000"/>
    <n v="1"/>
    <x v="0"/>
  </r>
  <r>
    <n v="44"/>
    <n v="102"/>
    <s v="池袋ハウス"/>
    <s v="302"/>
    <n v="20.079999999999998"/>
    <n v="631"/>
    <x v="0"/>
    <s v="1K"/>
    <n v="65000"/>
    <n v="10000"/>
    <n v="0"/>
    <n v="0"/>
    <n v="75000"/>
    <n v="75000"/>
    <n v="0"/>
    <n v="75000"/>
    <x v="19"/>
    <s v="日本人等"/>
    <x v="0"/>
    <s v=""/>
    <m/>
    <s v="102_302"/>
    <n v="75000"/>
    <m/>
    <n v="1"/>
    <n v="75000"/>
    <n v="0"/>
    <n v="0"/>
    <n v="1"/>
    <x v="0"/>
  </r>
  <r>
    <n v="45"/>
    <n v="102"/>
    <s v="池袋ハウス"/>
    <s v="303"/>
    <n v="23.25"/>
    <n v="631"/>
    <x v="0"/>
    <s v="1K"/>
    <n v="72000"/>
    <n v="7000"/>
    <n v="0"/>
    <n v="0"/>
    <n v="79000"/>
    <n v="77000"/>
    <n v="0"/>
    <n v="77000"/>
    <x v="17"/>
    <s v="中華系"/>
    <x v="0"/>
    <s v=""/>
    <m/>
    <s v="102_303"/>
    <n v="73000"/>
    <m/>
    <n v="1"/>
    <n v="79000"/>
    <n v="-2000"/>
    <n v="6000"/>
    <n v="1"/>
    <x v="0"/>
  </r>
  <r>
    <n v="46"/>
    <n v="102"/>
    <s v="池袋ハウス"/>
    <s v="305"/>
    <n v="23.25"/>
    <n v="631"/>
    <x v="0"/>
    <s v="1K"/>
    <n v="78000"/>
    <n v="7000"/>
    <n v="0"/>
    <n v="0"/>
    <n v="85000"/>
    <n v="85000"/>
    <n v="0"/>
    <n v="85000"/>
    <x v="18"/>
    <s v="中華系"/>
    <x v="0"/>
    <s v=""/>
    <m/>
    <s v="102_305"/>
    <n v="73000"/>
    <m/>
    <n v="1"/>
    <n v="85000"/>
    <n v="0"/>
    <n v="12000"/>
    <n v="1"/>
    <x v="0"/>
  </r>
  <r>
    <n v="47"/>
    <n v="102"/>
    <s v="池袋ハウス"/>
    <s v="306"/>
    <n v="27.3"/>
    <n v="631"/>
    <x v="0"/>
    <s v="1K"/>
    <n v="73000"/>
    <n v="7000"/>
    <n v="0"/>
    <n v="0"/>
    <n v="80000"/>
    <n v="75000"/>
    <n v="0"/>
    <n v="75000"/>
    <x v="15"/>
    <s v="中華系"/>
    <x v="0"/>
    <s v=""/>
    <m/>
    <s v="102_306"/>
    <n v="75000"/>
    <m/>
    <n v="1"/>
    <n v="80000"/>
    <n v="-5000"/>
    <n v="5000"/>
    <n v="1"/>
    <x v="0"/>
  </r>
  <r>
    <n v="48"/>
    <n v="102"/>
    <s v="池袋ハウス"/>
    <s v="307"/>
    <n v="27.3"/>
    <n v="631"/>
    <x v="0"/>
    <s v="1K"/>
    <n v="85000"/>
    <n v="7000"/>
    <n v="0"/>
    <n v="0"/>
    <n v="92000"/>
    <n v="92000"/>
    <n v="0"/>
    <n v="92000"/>
    <x v="23"/>
    <s v="中華系"/>
    <x v="0"/>
    <s v=""/>
    <m/>
    <s v="102_307"/>
    <n v="73000"/>
    <m/>
    <n v="1"/>
    <n v="92000"/>
    <n v="0"/>
    <n v="19000"/>
    <n v="1"/>
    <x v="0"/>
  </r>
  <r>
    <n v="49"/>
    <n v="102"/>
    <s v="池袋ハウス"/>
    <s v="308"/>
    <n v="22.98"/>
    <n v="631"/>
    <x v="0"/>
    <s v="1K"/>
    <n v="67000"/>
    <n v="7000"/>
    <n v="0"/>
    <n v="0"/>
    <n v="74000"/>
    <n v="74000"/>
    <n v="0"/>
    <n v="74000"/>
    <x v="24"/>
    <s v="中華系"/>
    <x v="0"/>
    <s v=""/>
    <m/>
    <s v="102_308"/>
    <n v="73000"/>
    <m/>
    <n v="1"/>
    <n v="74000"/>
    <n v="0"/>
    <n v="1000"/>
    <n v="1"/>
    <x v="0"/>
  </r>
  <r>
    <n v="50"/>
    <n v="102"/>
    <s v="池袋ハウス"/>
    <s v="309"/>
    <n v="22.98"/>
    <n v="631"/>
    <x v="0"/>
    <s v="1K"/>
    <n v="75000"/>
    <n v="7000"/>
    <n v="0"/>
    <n v="0"/>
    <n v="82000"/>
    <n v="85000"/>
    <n v="0"/>
    <n v="85000"/>
    <x v="21"/>
    <s v="中華系"/>
    <x v="0"/>
    <s v=""/>
    <m/>
    <s v="102_309"/>
    <n v="73000"/>
    <m/>
    <n v="1"/>
    <n v="82000"/>
    <n v="3000"/>
    <n v="9000"/>
    <n v="1"/>
    <x v="0"/>
  </r>
  <r>
    <n v="51"/>
    <n v="102"/>
    <s v="池袋ハウス"/>
    <s v="310"/>
    <n v="23.27"/>
    <n v="631"/>
    <x v="0"/>
    <s v="1K"/>
    <n v="73000"/>
    <n v="7000"/>
    <n v="0"/>
    <n v="0"/>
    <n v="80000"/>
    <n v="89000"/>
    <n v="0"/>
    <n v="89000"/>
    <x v="15"/>
    <s v="日本人等"/>
    <x v="0"/>
    <s v=""/>
    <m/>
    <s v="102_310"/>
    <n v="74000"/>
    <m/>
    <n v="1"/>
    <n v="80000"/>
    <n v="9000"/>
    <n v="6000"/>
    <n v="1"/>
    <x v="0"/>
  </r>
  <r>
    <n v="52"/>
    <n v="102"/>
    <s v="池袋ハウス"/>
    <s v="311"/>
    <n v="20.92"/>
    <n v="631"/>
    <x v="0"/>
    <s v="1K"/>
    <n v="61000"/>
    <n v="7000"/>
    <n v="0"/>
    <n v="0"/>
    <n v="68000"/>
    <n v="68000"/>
    <n v="0"/>
    <n v="68000"/>
    <x v="20"/>
    <s v="日本人等"/>
    <x v="0"/>
    <s v=""/>
    <m/>
    <s v="102_311"/>
    <n v="68000"/>
    <m/>
    <n v="1"/>
    <n v="68000"/>
    <n v="0"/>
    <n v="0"/>
    <n v="1"/>
    <x v="0"/>
  </r>
  <r>
    <n v="53"/>
    <n v="102"/>
    <s v="池袋ハウス"/>
    <s v="312"/>
    <n v="31.18"/>
    <n v="631"/>
    <x v="0"/>
    <s v="1K"/>
    <n v="82000"/>
    <n v="7000"/>
    <n v="0"/>
    <n v="0"/>
    <n v="89000"/>
    <n v="89000"/>
    <n v="0"/>
    <n v="89000"/>
    <x v="22"/>
    <s v="中華系"/>
    <x v="0"/>
    <s v=""/>
    <m/>
    <s v="102_312"/>
    <n v="89000"/>
    <m/>
    <n v="1"/>
    <n v="89000"/>
    <n v="0"/>
    <n v="0"/>
    <n v="1"/>
    <x v="0"/>
  </r>
  <r>
    <n v="54"/>
    <n v="102"/>
    <s v="池袋ハウス"/>
    <s v="401"/>
    <n v="34.72"/>
    <n v="631"/>
    <x v="0"/>
    <s v="1K"/>
    <n v="97000"/>
    <n v="7000"/>
    <n v="0"/>
    <n v="0"/>
    <n v="104000"/>
    <n v="104000"/>
    <n v="0"/>
    <n v="104000"/>
    <x v="25"/>
    <s v="日本人等"/>
    <x v="0"/>
    <s v=""/>
    <m/>
    <s v="102_401"/>
    <n v="97000"/>
    <m/>
    <n v="1"/>
    <n v="104000"/>
    <n v="0"/>
    <n v="7000"/>
    <n v="1"/>
    <x v="0"/>
  </r>
  <r>
    <n v="55"/>
    <n v="102"/>
    <s v="池袋ハウス"/>
    <s v="402"/>
    <n v="26.48"/>
    <n v="631"/>
    <x v="0"/>
    <s v="1K"/>
    <n v="92000"/>
    <n v="7000"/>
    <n v="0"/>
    <n v="0"/>
    <n v="99000"/>
    <n v="99000"/>
    <n v="0"/>
    <n v="99000"/>
    <x v="13"/>
    <s v="中華系"/>
    <x v="0"/>
    <s v=""/>
    <m/>
    <s v="102_402"/>
    <n v="91000"/>
    <m/>
    <n v="1"/>
    <n v="99000"/>
    <n v="0"/>
    <n v="8000"/>
    <n v="1"/>
    <x v="0"/>
  </r>
  <r>
    <n v="56"/>
    <n v="102"/>
    <s v="池袋ハウス"/>
    <s v="403"/>
    <n v="42.38"/>
    <n v="631"/>
    <x v="0"/>
    <s v="2DK"/>
    <n v="155000"/>
    <n v="7000"/>
    <n v="0"/>
    <n v="0"/>
    <n v="162000"/>
    <n v="159000"/>
    <n v="0"/>
    <n v="159000"/>
    <x v="26"/>
    <s v="中華系"/>
    <x v="0"/>
    <s v=""/>
    <m/>
    <s v="102_403"/>
    <n v="137000"/>
    <m/>
    <n v="1"/>
    <n v="162000"/>
    <n v="-3000"/>
    <n v="25000"/>
    <n v="1"/>
    <x v="0"/>
  </r>
  <r>
    <n v="57"/>
    <n v="102"/>
    <s v="池袋ハウス"/>
    <s v="405"/>
    <n v="51.25"/>
    <n v="631"/>
    <x v="0"/>
    <s v="1LDK"/>
    <n v="110000"/>
    <n v="7000"/>
    <n v="0"/>
    <n v="0"/>
    <n v="117000"/>
    <n v="117000"/>
    <n v="0"/>
    <n v="117000"/>
    <x v="27"/>
    <s v="日本人等"/>
    <x v="0"/>
    <s v=""/>
    <m/>
    <s v="102_405"/>
    <n v="102000"/>
    <m/>
    <n v="1"/>
    <n v="117000"/>
    <n v="0"/>
    <n v="15000"/>
    <n v="1"/>
    <x v="0"/>
  </r>
  <r>
    <n v="58"/>
    <n v="102"/>
    <s v="池袋ハウス"/>
    <s v="406"/>
    <n v="51.25"/>
    <n v="631"/>
    <x v="0"/>
    <s v="2DK"/>
    <n v="155000"/>
    <n v="7000"/>
    <n v="0"/>
    <n v="0"/>
    <n v="162000"/>
    <n v="167000"/>
    <n v="0"/>
    <n v="167000"/>
    <x v="26"/>
    <s v="日本人等"/>
    <x v="0"/>
    <s v=""/>
    <m/>
    <s v="102_406"/>
    <n v="147000"/>
    <m/>
    <n v="1"/>
    <n v="162000"/>
    <n v="5000"/>
    <n v="15000"/>
    <n v="1"/>
    <x v="0"/>
  </r>
  <r>
    <n v="59"/>
    <n v="102"/>
    <s v="池袋ハウス"/>
    <s v="407"/>
    <n v="49.79"/>
    <n v="631"/>
    <x v="0"/>
    <s v="2DK"/>
    <n v="162000"/>
    <n v="7000"/>
    <n v="0"/>
    <n v="0"/>
    <n v="169000"/>
    <n v="169000"/>
    <n v="0"/>
    <n v="169000"/>
    <x v="28"/>
    <s v="中華系"/>
    <x v="0"/>
    <s v=""/>
    <m/>
    <s v="102_407"/>
    <n v="147000"/>
    <m/>
    <n v="1"/>
    <n v="169000"/>
    <n v="0"/>
    <n v="22000"/>
    <n v="1"/>
    <x v="0"/>
  </r>
  <r>
    <n v="60"/>
    <n v="102"/>
    <s v="池袋ハウス"/>
    <s v="P1"/>
    <n v="0"/>
    <n v="634"/>
    <x v="4"/>
    <s v="駐車場"/>
    <n v="33000"/>
    <n v="0"/>
    <n v="0"/>
    <n v="3000"/>
    <n v="36000"/>
    <n v="30000"/>
    <n v="3000"/>
    <n v="33000"/>
    <x v="29"/>
    <s v="日本人等"/>
    <x v="0"/>
    <s v=""/>
    <m/>
    <s v="102_P1"/>
    <n v="30000"/>
    <m/>
    <n v="1"/>
    <n v="33000"/>
    <n v="-3000"/>
    <n v="3000"/>
    <n v="1"/>
    <x v="0"/>
  </r>
  <r>
    <n v="61"/>
    <n v="102"/>
    <s v="池袋ハウス"/>
    <s v="P2"/>
    <n v="0"/>
    <n v="634"/>
    <x v="4"/>
    <s v="駐車場"/>
    <n v="33000"/>
    <n v="0"/>
    <n v="0"/>
    <n v="3000"/>
    <n v="36000"/>
    <n v="30000"/>
    <n v="3000"/>
    <n v="33000"/>
    <x v="29"/>
    <s v="法人契約"/>
    <x v="0"/>
    <s v=""/>
    <m/>
    <s v="102_P2"/>
    <n v="30000"/>
    <m/>
    <n v="1"/>
    <n v="33000"/>
    <n v="-3000"/>
    <n v="3000"/>
    <n v="1"/>
    <x v="0"/>
  </r>
  <r>
    <n v="62"/>
    <n v="102"/>
    <s v="池袋ハウス"/>
    <s v="CL1"/>
    <s v="-"/>
    <n v="639"/>
    <x v="3"/>
    <s v="その他"/>
    <n v="0"/>
    <n v="0"/>
    <n v="0"/>
    <n v="0"/>
    <n v="0"/>
    <n v="0"/>
    <n v="0"/>
    <n v="0"/>
    <x v="14"/>
    <s v="-"/>
    <x v="1"/>
    <s v="コインランドリー"/>
    <m/>
    <s v="102_CL1"/>
    <n v="0"/>
    <m/>
    <n v="0"/>
    <n v="0"/>
    <n v="0"/>
    <n v="0"/>
    <n v="0"/>
    <x v="0"/>
  </r>
  <r>
    <n v="63"/>
    <n v="103"/>
    <s v="カーサ目白台ハウス"/>
    <s v="101"/>
    <n v="58.31"/>
    <n v="632"/>
    <x v="1"/>
    <s v="事務所"/>
    <n v="157408"/>
    <n v="0"/>
    <n v="0"/>
    <n v="15740"/>
    <n v="173148"/>
    <n v="157407"/>
    <n v="15740.727272727272"/>
    <n v="173147.72727272726"/>
    <x v="30"/>
    <s v="法人契約"/>
    <x v="0"/>
    <s v=""/>
    <m/>
    <s v="103_101"/>
    <n v="175000"/>
    <m/>
    <n v="1"/>
    <n v="157408"/>
    <n v="-1"/>
    <n v="-17592"/>
    <n v="1"/>
    <x v="0"/>
  </r>
  <r>
    <n v="64"/>
    <n v="103"/>
    <s v="カーサ目白台ハウス"/>
    <s v="102"/>
    <n v="57"/>
    <n v="632"/>
    <x v="1"/>
    <s v="事務所"/>
    <n v="172222"/>
    <n v="0"/>
    <n v="0"/>
    <n v="17222"/>
    <n v="189444"/>
    <n v="172221"/>
    <n v="17222.18181818182"/>
    <n v="189443.18181818182"/>
    <x v="31"/>
    <s v="日本人等"/>
    <x v="0"/>
    <s v=""/>
    <m/>
    <s v="103_102"/>
    <n v="350000"/>
    <m/>
    <n v="1"/>
    <n v="172222"/>
    <n v="-1"/>
    <n v="-177778"/>
    <n v="1"/>
    <x v="0"/>
  </r>
  <r>
    <n v="65"/>
    <n v="103"/>
    <s v="カーサ目白台ハウス"/>
    <s v="103"/>
    <n v="56.89"/>
    <n v="632"/>
    <x v="1"/>
    <s v="事務所"/>
    <n v="170000"/>
    <n v="0"/>
    <n v="0"/>
    <n v="17000"/>
    <n v="187000"/>
    <n v="170000"/>
    <n v="17000"/>
    <n v="187000"/>
    <x v="32"/>
    <s v="法人契約"/>
    <x v="0"/>
    <s v=""/>
    <m/>
    <s v="103_103"/>
    <n v="170000"/>
    <m/>
    <n v="1"/>
    <n v="170000"/>
    <n v="0"/>
    <n v="0"/>
    <n v="1"/>
    <x v="0"/>
  </r>
  <r>
    <n v="66"/>
    <n v="103"/>
    <s v="カーサ目白台ハウス"/>
    <s v="201"/>
    <n v="51.3"/>
    <n v="633"/>
    <x v="5"/>
    <s v="事務所"/>
    <n v="180000"/>
    <n v="0"/>
    <n v="0"/>
    <n v="18000"/>
    <n v="198000"/>
    <n v="180000"/>
    <n v="18000"/>
    <n v="198000"/>
    <x v="33"/>
    <s v="法人契約"/>
    <x v="0"/>
    <s v=""/>
    <m/>
    <s v="103_201"/>
    <n v="180000"/>
    <m/>
    <n v="1"/>
    <n v="180000"/>
    <n v="0"/>
    <n v="0"/>
    <n v="1"/>
    <x v="0"/>
  </r>
  <r>
    <n v="67"/>
    <n v="103"/>
    <s v="カーサ目白台ハウス"/>
    <s v="202"/>
    <n v="50"/>
    <n v="633"/>
    <x v="5"/>
    <s v="事務所"/>
    <n v="150000"/>
    <n v="0"/>
    <n v="0"/>
    <n v="15000"/>
    <n v="165000"/>
    <n v="150000"/>
    <n v="15000"/>
    <n v="165000"/>
    <x v="34"/>
    <s v="法人契約"/>
    <x v="0"/>
    <s v=""/>
    <m/>
    <s v="103_202"/>
    <n v="150000"/>
    <m/>
    <n v="1"/>
    <n v="150000"/>
    <n v="0"/>
    <n v="0"/>
    <n v="1"/>
    <x v="0"/>
  </r>
  <r>
    <n v="68"/>
    <n v="103"/>
    <s v="カーサ目白台ハウス"/>
    <s v="203"/>
    <n v="26.4"/>
    <n v="632"/>
    <x v="1"/>
    <s v="事務所"/>
    <n v="85715"/>
    <n v="0"/>
    <n v="0"/>
    <n v="8571"/>
    <n v="94286"/>
    <n v="85715"/>
    <n v="8571.545454545454"/>
    <n v="94286.545454545456"/>
    <x v="35"/>
    <s v="法人契約"/>
    <x v="0"/>
    <s v=""/>
    <m/>
    <s v="103_203"/>
    <n v="85715"/>
    <m/>
    <n v="1"/>
    <n v="85715"/>
    <n v="0"/>
    <n v="0"/>
    <n v="1"/>
    <x v="0"/>
  </r>
  <r>
    <n v="69"/>
    <n v="103"/>
    <s v="カーサ目白台ハウス"/>
    <s v="301"/>
    <n v="51.3"/>
    <n v="631"/>
    <x v="0"/>
    <s v="2LDK"/>
    <n v="218000"/>
    <n v="0"/>
    <n v="0"/>
    <n v="0"/>
    <n v="218000"/>
    <n v="218000"/>
    <n v="0"/>
    <n v="218000"/>
    <x v="36"/>
    <s v="日本人等"/>
    <x v="0"/>
    <s v=""/>
    <m/>
    <s v="103_301"/>
    <n v="165000"/>
    <m/>
    <n v="1"/>
    <n v="218000"/>
    <n v="0"/>
    <n v="53000"/>
    <n v="1"/>
    <x v="0"/>
  </r>
  <r>
    <n v="70"/>
    <n v="103"/>
    <s v="カーサ目白台ハウス"/>
    <s v="302"/>
    <n v="52.02"/>
    <n v="631"/>
    <x v="0"/>
    <s v="2DK"/>
    <n v="208000"/>
    <n v="0"/>
    <n v="0"/>
    <n v="0"/>
    <n v="208000"/>
    <n v="208000"/>
    <n v="0"/>
    <n v="208000"/>
    <x v="37"/>
    <s v="住居法人契約"/>
    <x v="0"/>
    <s v=""/>
    <m/>
    <s v="103_302"/>
    <n v="165000"/>
    <m/>
    <n v="1"/>
    <n v="208000"/>
    <n v="0"/>
    <n v="43000"/>
    <n v="1"/>
    <x v="0"/>
  </r>
  <r>
    <n v="71"/>
    <n v="103"/>
    <s v="カーサ目白台ハウス"/>
    <s v="303"/>
    <n v="71.069999999999993"/>
    <n v="631"/>
    <x v="0"/>
    <s v="2LDK"/>
    <n v="220000"/>
    <n v="0"/>
    <n v="0"/>
    <n v="0"/>
    <n v="220000"/>
    <n v="220000"/>
    <n v="0"/>
    <n v="220000"/>
    <x v="38"/>
    <s v="住居法人契約"/>
    <x v="0"/>
    <s v=""/>
    <m/>
    <s v="103_303"/>
    <n v="188000"/>
    <m/>
    <n v="1"/>
    <n v="220000"/>
    <n v="0"/>
    <n v="32000"/>
    <n v="1"/>
    <x v="0"/>
  </r>
  <r>
    <n v="72"/>
    <n v="103"/>
    <s v="カーサ目白台ハウス"/>
    <s v="401"/>
    <n v="51.3"/>
    <n v="631"/>
    <x v="0"/>
    <s v="2LDK"/>
    <n v="198000"/>
    <n v="10000"/>
    <n v="0"/>
    <n v="0"/>
    <n v="208000"/>
    <n v="198000"/>
    <n v="0"/>
    <n v="198000"/>
    <x v="37"/>
    <s v="日本人等"/>
    <x v="0"/>
    <s v=""/>
    <m/>
    <s v="103_401"/>
    <n v="180000"/>
    <m/>
    <n v="1"/>
    <n v="208000"/>
    <n v="-10000"/>
    <n v="28000"/>
    <n v="1"/>
    <x v="0"/>
  </r>
  <r>
    <n v="73"/>
    <n v="103"/>
    <s v="カーサ目白台ハウス"/>
    <s v="402"/>
    <n v="52.02"/>
    <n v="631"/>
    <x v="0"/>
    <s v="2LDK"/>
    <n v="198000"/>
    <n v="0"/>
    <n v="0"/>
    <n v="0"/>
    <n v="198000"/>
    <n v="198000"/>
    <n v="0"/>
    <n v="198000"/>
    <x v="33"/>
    <s v="日本人等"/>
    <x v="0"/>
    <s v=""/>
    <m/>
    <s v="103_402"/>
    <n v="170000"/>
    <m/>
    <n v="1"/>
    <n v="198000"/>
    <n v="0"/>
    <n v="28000"/>
    <n v="1"/>
    <x v="0"/>
  </r>
  <r>
    <n v="74"/>
    <n v="103"/>
    <s v="カーサ目白台ハウス"/>
    <s v="403"/>
    <n v="41.32"/>
    <n v="631"/>
    <x v="0"/>
    <s v="2DK"/>
    <n v="140000"/>
    <n v="0"/>
    <n v="0"/>
    <n v="0"/>
    <n v="140000"/>
    <n v="130000"/>
    <n v="0"/>
    <n v="130000"/>
    <x v="39"/>
    <s v="日本人等"/>
    <x v="0"/>
    <s v=""/>
    <m/>
    <s v="103_403"/>
    <n v="130000"/>
    <m/>
    <n v="1"/>
    <n v="140000"/>
    <n v="-10000"/>
    <n v="10000"/>
    <n v="1"/>
    <x v="0"/>
  </r>
  <r>
    <n v="75"/>
    <n v="103"/>
    <s v="カーサ目白台ハウス"/>
    <s v="501"/>
    <n v="48.35"/>
    <n v="631"/>
    <x v="0"/>
    <s v="2LDK"/>
    <n v="208000"/>
    <n v="10000"/>
    <n v="0"/>
    <n v="0"/>
    <n v="218000"/>
    <n v="218000"/>
    <n v="0"/>
    <n v="218000"/>
    <x v="36"/>
    <s v="住居法人契約"/>
    <x v="0"/>
    <s v=""/>
    <m/>
    <s v="103_501"/>
    <n v="220000"/>
    <m/>
    <n v="1"/>
    <n v="218000"/>
    <n v="0"/>
    <n v="-2000"/>
    <n v="1"/>
    <x v="0"/>
  </r>
  <r>
    <n v="76"/>
    <n v="103"/>
    <s v="カーサ目白台ハウス"/>
    <s v="502"/>
    <n v="50.76"/>
    <n v="631"/>
    <x v="0"/>
    <s v="1LDK"/>
    <n v="188000"/>
    <n v="10000"/>
    <n v="0"/>
    <n v="0"/>
    <n v="198000"/>
    <n v="198000"/>
    <n v="0"/>
    <n v="198000"/>
    <x v="33"/>
    <s v="日本人等"/>
    <x v="0"/>
    <s v=""/>
    <m/>
    <s v="103_502"/>
    <n v="180000"/>
    <m/>
    <n v="1"/>
    <n v="198000"/>
    <n v="0"/>
    <n v="18000"/>
    <n v="1"/>
    <x v="0"/>
  </r>
  <r>
    <n v="77"/>
    <n v="103"/>
    <s v="カーサ目白台ハウス"/>
    <s v="503"/>
    <n v="96.95"/>
    <n v="631"/>
    <x v="0"/>
    <s v="2LDK"/>
    <n v="305800"/>
    <n v="0"/>
    <n v="0"/>
    <n v="0"/>
    <n v="305800"/>
    <n v="305800"/>
    <n v="0"/>
    <n v="305800"/>
    <x v="40"/>
    <s v="住居法人契約"/>
    <x v="0"/>
    <s v=""/>
    <m/>
    <s v="103_503"/>
    <n v="270000"/>
    <m/>
    <n v="1"/>
    <n v="305800"/>
    <n v="0"/>
    <n v="35800"/>
    <n v="1"/>
    <x v="0"/>
  </r>
  <r>
    <n v="78"/>
    <n v="103"/>
    <s v="カーサ目白台ハウス"/>
    <s v="P2"/>
    <n v="0"/>
    <n v="634"/>
    <x v="4"/>
    <s v="駐車場"/>
    <n v="40000"/>
    <n v="0"/>
    <n v="0"/>
    <n v="4000"/>
    <n v="44000"/>
    <n v="40000"/>
    <n v="4000"/>
    <n v="44000"/>
    <x v="41"/>
    <s v="法人契約"/>
    <x v="0"/>
    <s v=""/>
    <m/>
    <s v="103_P2"/>
    <n v="40000"/>
    <m/>
    <n v="1"/>
    <n v="40000"/>
    <n v="0"/>
    <n v="0"/>
    <n v="1"/>
    <x v="0"/>
  </r>
  <r>
    <n v="79"/>
    <n v="103"/>
    <s v="カーサ目白台ハウス"/>
    <s v="P3"/>
    <n v="0"/>
    <n v="634"/>
    <x v="4"/>
    <s v="駐車場"/>
    <n v="35000"/>
    <n v="0"/>
    <n v="0"/>
    <n v="3500"/>
    <n v="38500"/>
    <n v="40000"/>
    <n v="4000"/>
    <n v="44000"/>
    <x v="42"/>
    <s v="法人契約"/>
    <x v="0"/>
    <s v=""/>
    <m/>
    <s v="103_P3"/>
    <n v="40000"/>
    <m/>
    <n v="1"/>
    <n v="35000"/>
    <n v="5000"/>
    <n v="-5000"/>
    <n v="1"/>
    <x v="0"/>
  </r>
  <r>
    <n v="80"/>
    <n v="103"/>
    <s v="カーサ目白台ハウス"/>
    <s v="P5"/>
    <n v="0"/>
    <n v="634"/>
    <x v="4"/>
    <s v="駐車場"/>
    <n v="40000"/>
    <n v="0"/>
    <n v="0"/>
    <n v="4000"/>
    <n v="44000"/>
    <n v="40000"/>
    <n v="4000"/>
    <n v="44000"/>
    <x v="41"/>
    <s v="日本人等"/>
    <x v="0"/>
    <s v=""/>
    <m/>
    <s v="103_P5"/>
    <n v="40000"/>
    <m/>
    <n v="1"/>
    <n v="40000"/>
    <n v="0"/>
    <n v="0"/>
    <n v="1"/>
    <x v="0"/>
  </r>
  <r>
    <n v="81"/>
    <n v="104"/>
    <s v="コアプラス池袋"/>
    <s v="101"/>
    <n v="39.6"/>
    <n v="633"/>
    <x v="5"/>
    <s v="店舗"/>
    <n v="154000"/>
    <n v="0"/>
    <n v="0"/>
    <n v="15400"/>
    <n v="169400"/>
    <n v="154000"/>
    <n v="15400"/>
    <n v="169400"/>
    <x v="43"/>
    <s v="日本人等"/>
    <x v="0"/>
    <s v=""/>
    <m/>
    <s v="104_101"/>
    <n v="145000"/>
    <m/>
    <n v="1"/>
    <n v="154000"/>
    <n v="0"/>
    <n v="9000"/>
    <n v="1"/>
    <x v="0"/>
  </r>
  <r>
    <n v="82"/>
    <n v="104"/>
    <s v="コアプラス池袋"/>
    <s v="102"/>
    <n v="31.92"/>
    <n v="632"/>
    <x v="1"/>
    <s v="事務所"/>
    <n v="120000"/>
    <n v="0"/>
    <n v="0"/>
    <n v="12000"/>
    <n v="132000"/>
    <n v="120000"/>
    <n v="12000"/>
    <n v="132000"/>
    <x v="44"/>
    <s v="住居法人契約"/>
    <x v="0"/>
    <s v=""/>
    <m/>
    <s v="104_102"/>
    <n v="80000"/>
    <m/>
    <n v="1"/>
    <n v="120000"/>
    <n v="0"/>
    <n v="40000"/>
    <n v="1"/>
    <x v="0"/>
  </r>
  <r>
    <n v="83"/>
    <n v="104"/>
    <s v="コアプラス池袋"/>
    <s v="201"/>
    <n v="19.8"/>
    <n v="631"/>
    <x v="0"/>
    <s v="1R"/>
    <n v="70000"/>
    <n v="0"/>
    <n v="0"/>
    <n v="7000"/>
    <n v="77000"/>
    <n v="77000"/>
    <n v="0"/>
    <n v="77000"/>
    <x v="16"/>
    <s v="住居法人契約"/>
    <x v="0"/>
    <s v=""/>
    <m/>
    <s v="104_201"/>
    <n v="65000"/>
    <m/>
    <n v="1"/>
    <n v="70000"/>
    <n v="7000"/>
    <n v="5000"/>
    <n v="1"/>
    <x v="0"/>
  </r>
  <r>
    <n v="84"/>
    <n v="104"/>
    <s v="コアプラス池袋"/>
    <s v="202"/>
    <n v="19.8"/>
    <n v="631"/>
    <x v="0"/>
    <s v="1R"/>
    <n v="73000"/>
    <n v="0"/>
    <n v="0"/>
    <n v="0"/>
    <n v="73000"/>
    <n v="73000"/>
    <n v="0"/>
    <n v="73000"/>
    <x v="45"/>
    <s v="日本人等"/>
    <x v="0"/>
    <s v=""/>
    <m/>
    <s v="104_202"/>
    <n v="63000"/>
    <m/>
    <n v="1"/>
    <n v="73000"/>
    <n v="0"/>
    <n v="10000"/>
    <n v="1"/>
    <x v="0"/>
  </r>
  <r>
    <n v="85"/>
    <n v="104"/>
    <s v="コアプラス池袋"/>
    <s v="203"/>
    <n v="19.8"/>
    <n v="631"/>
    <x v="0"/>
    <s v="1R"/>
    <n v="75000"/>
    <n v="0"/>
    <n v="0"/>
    <n v="0"/>
    <n v="75000"/>
    <n v="75000"/>
    <n v="0"/>
    <n v="75000"/>
    <x v="19"/>
    <s v="日本人等"/>
    <x v="0"/>
    <s v=""/>
    <m/>
    <s v="104_203"/>
    <n v="70000"/>
    <m/>
    <n v="1"/>
    <n v="75000"/>
    <n v="0"/>
    <n v="5000"/>
    <n v="1"/>
    <x v="0"/>
  </r>
  <r>
    <n v="86"/>
    <n v="104"/>
    <s v="コアプラス池袋"/>
    <s v="301"/>
    <n v="16.8"/>
    <n v="631"/>
    <x v="0"/>
    <s v="1R"/>
    <n v="70000"/>
    <n v="0"/>
    <n v="0"/>
    <n v="0"/>
    <n v="70000"/>
    <n v="70000"/>
    <n v="0"/>
    <n v="70000"/>
    <x v="7"/>
    <s v="住居法人契約"/>
    <x v="0"/>
    <s v=""/>
    <m/>
    <s v="104_301"/>
    <n v="62000"/>
    <m/>
    <n v="1"/>
    <n v="70000"/>
    <n v="0"/>
    <n v="8000"/>
    <n v="1"/>
    <x v="0"/>
  </r>
  <r>
    <n v="87"/>
    <n v="104"/>
    <s v="コアプラス池袋"/>
    <s v="302"/>
    <n v="16.8"/>
    <n v="631"/>
    <x v="0"/>
    <s v="1R"/>
    <n v="0"/>
    <n v="0"/>
    <n v="0"/>
    <n v="0"/>
    <n v="0"/>
    <n v="88000"/>
    <n v="0"/>
    <n v="88000"/>
    <x v="46"/>
    <s v="-"/>
    <x v="0"/>
    <s v="一時的な空室"/>
    <m/>
    <s v="104_302"/>
    <n v="63000"/>
    <m/>
    <n v="0"/>
    <n v="88000"/>
    <n v="0"/>
    <n v="25000"/>
    <n v="1"/>
    <x v="0"/>
  </r>
  <r>
    <n v="88"/>
    <n v="104"/>
    <s v="コアプラス池袋"/>
    <s v="303"/>
    <n v="16.8"/>
    <n v="631"/>
    <x v="0"/>
    <s v="1R"/>
    <n v="72000"/>
    <n v="0"/>
    <n v="0"/>
    <n v="0"/>
    <n v="72000"/>
    <n v="72000"/>
    <n v="0"/>
    <n v="72000"/>
    <x v="11"/>
    <s v="日本人等"/>
    <x v="0"/>
    <s v=""/>
    <m/>
    <s v="104_303"/>
    <n v="72000"/>
    <m/>
    <n v="1"/>
    <n v="72000"/>
    <n v="0"/>
    <n v="0"/>
    <n v="1"/>
    <x v="0"/>
  </r>
  <r>
    <n v="89"/>
    <n v="105"/>
    <s v="目白アパート"/>
    <s v="101"/>
    <n v="46.12"/>
    <n v="631"/>
    <x v="0"/>
    <s v="3DK"/>
    <n v="135000"/>
    <n v="4000"/>
    <n v="0"/>
    <n v="0"/>
    <n v="139000"/>
    <n v="139000"/>
    <n v="0"/>
    <n v="139000"/>
    <x v="47"/>
    <s v="その他新興国"/>
    <x v="0"/>
    <s v=""/>
    <m/>
    <s v="105_101"/>
    <n v="139000"/>
    <m/>
    <n v="1"/>
    <n v="139000"/>
    <n v="0"/>
    <n v="0"/>
    <n v="1"/>
    <x v="0"/>
  </r>
  <r>
    <n v="90"/>
    <n v="105"/>
    <s v="目白アパート"/>
    <s v="102"/>
    <n v="37.799999999999997"/>
    <n v="631"/>
    <x v="0"/>
    <s v="1K"/>
    <n v="100000"/>
    <n v="3000"/>
    <n v="186"/>
    <n v="18"/>
    <n v="103204"/>
    <n v="103204"/>
    <n v="0"/>
    <n v="103204"/>
    <x v="48"/>
    <s v="日本人等"/>
    <x v="0"/>
    <s v=""/>
    <m/>
    <s v="105_102"/>
    <n v="103000"/>
    <m/>
    <n v="1"/>
    <n v="103186"/>
    <n v="18"/>
    <n v="186"/>
    <n v="1"/>
    <x v="0"/>
  </r>
  <r>
    <n v="91"/>
    <n v="105"/>
    <s v="目白アパート"/>
    <s v="201"/>
    <n v="28.62"/>
    <n v="631"/>
    <x v="0"/>
    <s v="2DK"/>
    <n v="103000"/>
    <n v="5000"/>
    <n v="0"/>
    <n v="0"/>
    <n v="108000"/>
    <n v="113000"/>
    <n v="0"/>
    <n v="113000"/>
    <x v="49"/>
    <s v="その他新興国"/>
    <x v="0"/>
    <s v=""/>
    <m/>
    <s v="105_201"/>
    <n v="90200"/>
    <m/>
    <n v="1"/>
    <n v="108000"/>
    <n v="5000"/>
    <n v="17800"/>
    <n v="1"/>
    <x v="0"/>
  </r>
  <r>
    <n v="92"/>
    <n v="105"/>
    <s v="目白アパート"/>
    <s v="202"/>
    <n v="28.62"/>
    <n v="631"/>
    <x v="0"/>
    <s v="2DK"/>
    <n v="0"/>
    <n v="0"/>
    <n v="0"/>
    <n v="0"/>
    <n v="0"/>
    <n v="105000"/>
    <n v="0"/>
    <n v="105000"/>
    <x v="50"/>
    <s v="-"/>
    <x v="0"/>
    <s v="一時的な空室"/>
    <m/>
    <s v="105_202"/>
    <n v="88000"/>
    <m/>
    <n v="0"/>
    <n v="105000"/>
    <n v="0"/>
    <n v="17000"/>
    <n v="1"/>
    <x v="0"/>
  </r>
  <r>
    <n v="93"/>
    <n v="105"/>
    <s v="目白アパート"/>
    <s v="203"/>
    <n v="33.39"/>
    <n v="631"/>
    <x v="0"/>
    <s v="2DK"/>
    <n v="0"/>
    <n v="0"/>
    <n v="0"/>
    <n v="0"/>
    <n v="0"/>
    <n v="99204"/>
    <n v="0"/>
    <n v="99204"/>
    <x v="51"/>
    <s v="-"/>
    <x v="0"/>
    <s v="一時的な空室"/>
    <m/>
    <s v="105_203"/>
    <n v="99000"/>
    <m/>
    <n v="0"/>
    <n v="99204"/>
    <n v="0"/>
    <n v="204"/>
    <n v="1"/>
    <x v="0"/>
  </r>
  <r>
    <n v="94"/>
    <n v="105"/>
    <s v="目白アパート"/>
    <s v="204"/>
    <n v="37.049999999999997"/>
    <n v="631"/>
    <x v="0"/>
    <s v="2DK"/>
    <n v="100000"/>
    <n v="0"/>
    <n v="926"/>
    <n v="92"/>
    <n v="101018"/>
    <n v="101018"/>
    <n v="0"/>
    <n v="101018"/>
    <x v="52"/>
    <s v="日本人等"/>
    <x v="0"/>
    <s v=""/>
    <m/>
    <s v="105_204"/>
    <n v="120400"/>
    <m/>
    <n v="1"/>
    <n v="100926"/>
    <n v="92"/>
    <n v="-19474"/>
    <n v="1"/>
    <x v="0"/>
  </r>
  <r>
    <n v="95"/>
    <n v="105"/>
    <s v="目白アパート"/>
    <s v="301"/>
    <n v="28.62"/>
    <n v="631"/>
    <x v="0"/>
    <s v="2DK"/>
    <n v="105000"/>
    <n v="5000"/>
    <n v="0"/>
    <n v="0"/>
    <n v="110000"/>
    <n v="110000"/>
    <n v="0"/>
    <n v="110000"/>
    <x v="53"/>
    <s v="中華系"/>
    <x v="0"/>
    <s v=""/>
    <m/>
    <s v="105_301"/>
    <n v="98000"/>
    <m/>
    <n v="1"/>
    <n v="110000"/>
    <n v="0"/>
    <n v="12000"/>
    <n v="1"/>
    <x v="0"/>
  </r>
  <r>
    <n v="96"/>
    <n v="105"/>
    <s v="目白アパート"/>
    <s v="302"/>
    <n v="28.62"/>
    <n v="631"/>
    <x v="0"/>
    <s v="2DK"/>
    <n v="100000"/>
    <n v="0"/>
    <n v="0"/>
    <n v="0"/>
    <n v="100000"/>
    <n v="100000"/>
    <n v="0"/>
    <n v="100000"/>
    <x v="54"/>
    <s v="日本人等"/>
    <x v="0"/>
    <s v=""/>
    <m/>
    <s v="105_302"/>
    <n v="100000"/>
    <m/>
    <n v="1"/>
    <n v="100000"/>
    <n v="0"/>
    <n v="0"/>
    <n v="1"/>
    <x v="0"/>
  </r>
  <r>
    <n v="97"/>
    <n v="105"/>
    <s v="目白アパート"/>
    <s v="303"/>
    <n v="33.39"/>
    <n v="631"/>
    <x v="0"/>
    <s v="2DK"/>
    <n v="120000"/>
    <n v="5000"/>
    <n v="0"/>
    <n v="0"/>
    <n v="125000"/>
    <n v="125000"/>
    <n v="0"/>
    <n v="125000"/>
    <x v="55"/>
    <s v="中華系"/>
    <x v="0"/>
    <s v=""/>
    <m/>
    <s v="105_303"/>
    <n v="100000"/>
    <m/>
    <n v="1"/>
    <n v="125000"/>
    <n v="0"/>
    <n v="25000"/>
    <n v="1"/>
    <x v="0"/>
  </r>
  <r>
    <n v="98"/>
    <n v="105"/>
    <s v="目白アパート"/>
    <s v="304"/>
    <n v="37.049999999999997"/>
    <n v="631"/>
    <x v="0"/>
    <s v="2DK"/>
    <n v="100000"/>
    <n v="0"/>
    <n v="1112"/>
    <n v="111"/>
    <n v="101223"/>
    <n v="91223"/>
    <n v="0"/>
    <n v="91223"/>
    <x v="56"/>
    <s v="日本人等"/>
    <x v="0"/>
    <s v=""/>
    <m/>
    <s v="105_304"/>
    <n v="100000"/>
    <m/>
    <n v="1"/>
    <n v="101112"/>
    <n v="-9889"/>
    <n v="1112"/>
    <n v="1"/>
    <x v="0"/>
  </r>
  <r>
    <n v="99"/>
    <n v="105"/>
    <s v="目白アパート"/>
    <s v="401"/>
    <n v="28.62"/>
    <n v="631"/>
    <x v="0"/>
    <s v="2DK"/>
    <n v="93000"/>
    <n v="3000"/>
    <n v="371"/>
    <n v="37"/>
    <n v="96408"/>
    <n v="96408"/>
    <n v="0"/>
    <n v="96408"/>
    <x v="57"/>
    <s v="日本人等"/>
    <x v="0"/>
    <s v=""/>
    <m/>
    <s v="105_401"/>
    <n v="96000"/>
    <m/>
    <n v="1"/>
    <n v="96371"/>
    <n v="37"/>
    <n v="371"/>
    <n v="1"/>
    <x v="0"/>
  </r>
  <r>
    <n v="100"/>
    <n v="105"/>
    <s v="目白アパート"/>
    <s v="402"/>
    <n v="28.62"/>
    <n v="631"/>
    <x v="0"/>
    <s v="2DK"/>
    <n v="90000"/>
    <n v="0"/>
    <n v="0"/>
    <n v="0"/>
    <n v="90000"/>
    <n v="90000"/>
    <n v="0"/>
    <n v="90000"/>
    <x v="58"/>
    <s v="日本人等"/>
    <x v="0"/>
    <s v=""/>
    <m/>
    <s v="105_402"/>
    <n v="90000"/>
    <m/>
    <n v="1"/>
    <n v="90000"/>
    <n v="0"/>
    <n v="0"/>
    <n v="1"/>
    <x v="0"/>
  </r>
  <r>
    <n v="101"/>
    <n v="105"/>
    <s v="目白アパート"/>
    <s v="403"/>
    <n v="33.39"/>
    <n v="631"/>
    <x v="0"/>
    <s v="2DK"/>
    <n v="105000"/>
    <n v="5000"/>
    <n v="0"/>
    <n v="0"/>
    <n v="110000"/>
    <n v="130000"/>
    <n v="0"/>
    <n v="130000"/>
    <x v="53"/>
    <s v="日本人等"/>
    <x v="0"/>
    <s v=""/>
    <m/>
    <s v="105_403"/>
    <n v="98400"/>
    <m/>
    <n v="1"/>
    <n v="110000"/>
    <n v="20000"/>
    <n v="11600"/>
    <n v="1"/>
    <x v="0"/>
  </r>
  <r>
    <n v="102"/>
    <n v="105"/>
    <s v="目白アパート"/>
    <s v="404"/>
    <n v="37.049999999999997"/>
    <n v="631"/>
    <x v="0"/>
    <s v="2DK"/>
    <n v="125000"/>
    <n v="4000"/>
    <n v="0"/>
    <n v="0"/>
    <n v="129000"/>
    <n v="129000"/>
    <n v="0"/>
    <n v="129000"/>
    <x v="59"/>
    <s v="中華系"/>
    <x v="0"/>
    <s v=""/>
    <m/>
    <s v="105_404"/>
    <n v="119400"/>
    <m/>
    <n v="1"/>
    <n v="129000"/>
    <n v="0"/>
    <n v="9600"/>
    <n v="1"/>
    <x v="0"/>
  </r>
  <r>
    <n v="103"/>
    <n v="105"/>
    <s v="目白アパート"/>
    <s v="501"/>
    <n v="28.62"/>
    <n v="631"/>
    <x v="0"/>
    <s v="2DK"/>
    <n v="107000"/>
    <n v="3000"/>
    <n v="0"/>
    <n v="0"/>
    <n v="110000"/>
    <n v="110000"/>
    <n v="0"/>
    <n v="110000"/>
    <x v="53"/>
    <s v="日本人等"/>
    <x v="0"/>
    <s v=""/>
    <m/>
    <s v="105_501"/>
    <n v="97000"/>
    <m/>
    <n v="1"/>
    <n v="110000"/>
    <n v="0"/>
    <n v="13000"/>
    <n v="1"/>
    <x v="0"/>
  </r>
  <r>
    <n v="104"/>
    <n v="105"/>
    <s v="目白アパート"/>
    <s v="502"/>
    <n v="28.62"/>
    <n v="631"/>
    <x v="0"/>
    <s v="2DK"/>
    <n v="102000"/>
    <n v="3000"/>
    <n v="0"/>
    <n v="0"/>
    <n v="105000"/>
    <n v="105000"/>
    <n v="0"/>
    <n v="105000"/>
    <x v="50"/>
    <s v="中華系"/>
    <x v="0"/>
    <s v=""/>
    <m/>
    <s v="105_502"/>
    <n v="94000"/>
    <m/>
    <n v="1"/>
    <n v="105000"/>
    <n v="0"/>
    <n v="11000"/>
    <n v="1"/>
    <x v="0"/>
  </r>
  <r>
    <n v="105"/>
    <n v="105"/>
    <s v="目白アパート"/>
    <s v="503"/>
    <n v="33.39"/>
    <n v="631"/>
    <x v="0"/>
    <s v="2DK"/>
    <n v="103000"/>
    <n v="0"/>
    <n v="186"/>
    <n v="18"/>
    <n v="103204"/>
    <n v="103204"/>
    <n v="0"/>
    <n v="103204"/>
    <x v="48"/>
    <s v="日本人等"/>
    <x v="0"/>
    <s v=""/>
    <m/>
    <s v="105_503"/>
    <n v="100200"/>
    <m/>
    <n v="1"/>
    <n v="103186"/>
    <n v="18"/>
    <n v="2986"/>
    <n v="1"/>
    <x v="0"/>
  </r>
  <r>
    <n v="106"/>
    <n v="105"/>
    <s v="目白アパート"/>
    <s v="504"/>
    <n v="37.049999999999997"/>
    <n v="631"/>
    <x v="0"/>
    <s v="2DK"/>
    <n v="130000"/>
    <n v="5000"/>
    <n v="0"/>
    <n v="0"/>
    <n v="135000"/>
    <n v="135220"/>
    <n v="0"/>
    <n v="135220"/>
    <x v="60"/>
    <s v="中華系"/>
    <x v="0"/>
    <s v=""/>
    <m/>
    <s v="105_504"/>
    <n v="95200"/>
    <m/>
    <n v="1"/>
    <n v="135000"/>
    <n v="220"/>
    <n v="39800"/>
    <n v="1"/>
    <x v="0"/>
  </r>
  <r>
    <n v="107"/>
    <n v="105"/>
    <s v="目白アパート"/>
    <s v="601"/>
    <n v="28.62"/>
    <n v="631"/>
    <x v="0"/>
    <s v="2DK"/>
    <n v="110000"/>
    <n v="5000"/>
    <n v="0"/>
    <n v="0"/>
    <n v="115000"/>
    <n v="115000"/>
    <n v="0"/>
    <n v="115000"/>
    <x v="61"/>
    <s v="中華系"/>
    <x v="0"/>
    <s v=""/>
    <m/>
    <s v="105_601"/>
    <n v="105000"/>
    <m/>
    <n v="1"/>
    <n v="115000"/>
    <n v="0"/>
    <n v="10000"/>
    <n v="1"/>
    <x v="0"/>
  </r>
  <r>
    <n v="108"/>
    <n v="105"/>
    <s v="目白アパート"/>
    <s v="602"/>
    <n v="28.62"/>
    <n v="631"/>
    <x v="0"/>
    <s v="2DK"/>
    <n v="92000"/>
    <n v="3000"/>
    <n v="0"/>
    <n v="0"/>
    <n v="95000"/>
    <n v="95000"/>
    <n v="0"/>
    <n v="95000"/>
    <x v="62"/>
    <s v="日本人等"/>
    <x v="0"/>
    <s v=""/>
    <m/>
    <s v="105_602"/>
    <n v="95000"/>
    <m/>
    <n v="1"/>
    <n v="95000"/>
    <n v="0"/>
    <n v="0"/>
    <n v="1"/>
    <x v="0"/>
  </r>
  <r>
    <n v="109"/>
    <n v="105"/>
    <s v="目白アパート"/>
    <s v="603"/>
    <n v="33.39"/>
    <n v="631"/>
    <x v="0"/>
    <s v="2DK"/>
    <n v="100000"/>
    <n v="0"/>
    <n v="186"/>
    <n v="18"/>
    <n v="100204"/>
    <n v="100408"/>
    <n v="0"/>
    <n v="100408"/>
    <x v="63"/>
    <s v="日本人等"/>
    <x v="0"/>
    <s v=""/>
    <m/>
    <s v="105_603"/>
    <n v="100000"/>
    <m/>
    <n v="1"/>
    <n v="100186"/>
    <n v="222"/>
    <n v="186"/>
    <n v="1"/>
    <x v="0"/>
  </r>
  <r>
    <n v="110"/>
    <n v="105"/>
    <s v="目白アパート"/>
    <s v="701"/>
    <n v="23.86"/>
    <n v="631"/>
    <x v="0"/>
    <s v="1K"/>
    <n v="79000"/>
    <n v="3000"/>
    <n v="0"/>
    <n v="0"/>
    <n v="82000"/>
    <n v="89000"/>
    <n v="0"/>
    <n v="89000"/>
    <x v="21"/>
    <s v="日本人等"/>
    <x v="0"/>
    <s v=""/>
    <m/>
    <s v="105_701"/>
    <n v="75000"/>
    <m/>
    <n v="1"/>
    <n v="82000"/>
    <n v="7000"/>
    <n v="7000"/>
    <n v="1"/>
    <x v="0"/>
  </r>
  <r>
    <n v="111"/>
    <n v="105"/>
    <s v="目白アパート"/>
    <s v="702"/>
    <n v="28.62"/>
    <n v="631"/>
    <x v="0"/>
    <s v="2DK"/>
    <n v="105000"/>
    <n v="5000"/>
    <n v="0"/>
    <n v="0"/>
    <n v="110000"/>
    <n v="110000"/>
    <n v="0"/>
    <n v="110000"/>
    <x v="53"/>
    <s v="中華系"/>
    <x v="0"/>
    <s v=""/>
    <m/>
    <s v="105_702"/>
    <n v="100000"/>
    <m/>
    <n v="1"/>
    <n v="110000"/>
    <n v="0"/>
    <n v="10000"/>
    <n v="1"/>
    <x v="0"/>
  </r>
  <r>
    <n v="112"/>
    <n v="105"/>
    <s v="目白アパート"/>
    <s v="703"/>
    <n v="33.39"/>
    <n v="631"/>
    <x v="0"/>
    <s v="2DK"/>
    <n v="115000"/>
    <n v="0"/>
    <n v="1852"/>
    <n v="185"/>
    <n v="117037"/>
    <n v="117037"/>
    <n v="0"/>
    <n v="117037"/>
    <x v="64"/>
    <s v="日本人等"/>
    <x v="0"/>
    <s v=""/>
    <m/>
    <s v="105_703"/>
    <n v="117000"/>
    <m/>
    <n v="1"/>
    <n v="116852"/>
    <n v="185"/>
    <n v="-148"/>
    <n v="1"/>
    <x v="0"/>
  </r>
  <r>
    <n v="113"/>
    <n v="105"/>
    <s v="目白アパート"/>
    <s v="P1"/>
    <n v="0"/>
    <n v="634"/>
    <x v="4"/>
    <s v="駐車場"/>
    <n v="35000"/>
    <n v="0"/>
    <n v="0"/>
    <n v="3500"/>
    <n v="38500"/>
    <n v="35000"/>
    <n v="3500"/>
    <n v="38500"/>
    <x v="42"/>
    <s v="法人契約"/>
    <x v="0"/>
    <s v=""/>
    <m/>
    <s v="105_P1"/>
    <n v="35000"/>
    <m/>
    <n v="1"/>
    <n v="35000"/>
    <n v="0"/>
    <n v="0"/>
    <n v="1"/>
    <x v="0"/>
  </r>
  <r>
    <n v="114"/>
    <n v="105"/>
    <s v="目白アパート"/>
    <s v="P2"/>
    <n v="0"/>
    <n v="634"/>
    <x v="4"/>
    <s v="駐車場"/>
    <n v="35000"/>
    <n v="0"/>
    <n v="0"/>
    <n v="3500"/>
    <n v="38500"/>
    <n v="35000"/>
    <n v="3500"/>
    <n v="38500"/>
    <x v="42"/>
    <s v="法人契約"/>
    <x v="0"/>
    <s v=""/>
    <m/>
    <s v="105_P2"/>
    <n v="35000"/>
    <m/>
    <n v="1"/>
    <n v="35000"/>
    <n v="0"/>
    <n v="0"/>
    <n v="1"/>
    <x v="0"/>
  </r>
  <r>
    <n v="115"/>
    <n v="105"/>
    <s v="目白アパート"/>
    <s v="A01"/>
    <n v="47.62"/>
    <n v="633"/>
    <x v="5"/>
    <s v="倉庫"/>
    <n v="90000"/>
    <n v="0"/>
    <n v="0"/>
    <n v="9000"/>
    <n v="99000"/>
    <n v="90000"/>
    <n v="9000"/>
    <n v="99000"/>
    <x v="13"/>
    <s v="法人契約"/>
    <x v="0"/>
    <s v=""/>
    <m/>
    <s v="105_A01"/>
    <n v="90000"/>
    <m/>
    <n v="1"/>
    <n v="90000"/>
    <n v="0"/>
    <n v="0"/>
    <n v="1"/>
    <x v="0"/>
  </r>
  <r>
    <n v="116"/>
    <n v="105"/>
    <s v="目白アパート"/>
    <s v="RF1"/>
    <n v="0"/>
    <n v="635"/>
    <x v="2"/>
    <s v="その他"/>
    <n v="12000"/>
    <n v="0"/>
    <n v="0"/>
    <n v="1200"/>
    <n v="13200"/>
    <n v="12000"/>
    <n v="1199.9999999999998"/>
    <n v="13200"/>
    <x v="65"/>
    <s v="法人契約"/>
    <x v="0"/>
    <s v=""/>
    <m/>
    <s v="105_RF1"/>
    <n v="0"/>
    <m/>
    <n v="1"/>
    <n v="12000"/>
    <n v="0"/>
    <n v="12000"/>
    <n v="1"/>
    <x v="0"/>
  </r>
  <r>
    <n v="117"/>
    <n v="105"/>
    <s v="目白アパート"/>
    <s v="RF2"/>
    <n v="0"/>
    <n v="635"/>
    <x v="2"/>
    <s v="その他"/>
    <n v="22324"/>
    <n v="0"/>
    <n v="0"/>
    <n v="0"/>
    <n v="22324"/>
    <n v="20294"/>
    <n v="2029.4545454545453"/>
    <n v="22323.454545454544"/>
    <x v="66"/>
    <s v="法人契約"/>
    <x v="0"/>
    <s v="ソフトバンクモバイル"/>
    <m/>
    <s v="105_RF2"/>
    <n v="22324"/>
    <m/>
    <n v="1"/>
    <n v="22324"/>
    <n v="-2030"/>
    <n v="0"/>
    <n v="1"/>
    <x v="0"/>
  </r>
  <r>
    <n v="118"/>
    <n v="105"/>
    <s v="目白アパート"/>
    <s v="NTF1"/>
    <s v="-"/>
    <n v="639"/>
    <x v="3"/>
    <s v="その他"/>
    <n v="0"/>
    <n v="0"/>
    <n v="0"/>
    <n v="0"/>
    <n v="0"/>
    <n v="0"/>
    <n v="0"/>
    <n v="0"/>
    <x v="14"/>
    <s v="-"/>
    <x v="1"/>
    <s v="フレッツ光"/>
    <m/>
    <s v="105_NTF1"/>
    <n v="0"/>
    <m/>
    <n v="0"/>
    <n v="0"/>
    <n v="0"/>
    <n v="0"/>
    <n v="0"/>
    <x v="0"/>
  </r>
  <r>
    <n v="119"/>
    <n v="105"/>
    <s v="目白アパート"/>
    <s v="NTD1"/>
    <s v="-"/>
    <n v="639"/>
    <x v="3"/>
    <s v="その他"/>
    <n v="0"/>
    <n v="0"/>
    <n v="0"/>
    <n v="0"/>
    <n v="0"/>
    <n v="0"/>
    <n v="0"/>
    <n v="0"/>
    <x v="14"/>
    <s v="-"/>
    <x v="1"/>
    <s v="電柱"/>
    <m/>
    <s v="105_NTD1"/>
    <n v="0"/>
    <m/>
    <n v="0"/>
    <n v="0"/>
    <n v="0"/>
    <n v="0"/>
    <n v="0"/>
    <x v="0"/>
  </r>
  <r>
    <n v="120"/>
    <n v="106"/>
    <s v="東池袋ハイツ"/>
    <s v="101"/>
    <n v="48.36"/>
    <n v="631"/>
    <x v="0"/>
    <s v="2DK"/>
    <n v="116000"/>
    <n v="10000"/>
    <n v="0"/>
    <n v="0"/>
    <n v="126000"/>
    <n v="158000"/>
    <n v="0"/>
    <n v="158000"/>
    <x v="67"/>
    <s v="中華系"/>
    <x v="0"/>
    <s v=""/>
    <m/>
    <s v="106_101"/>
    <n v="127000"/>
    <m/>
    <n v="1"/>
    <n v="126000"/>
    <n v="32000"/>
    <n v="-1000"/>
    <n v="1"/>
    <x v="0"/>
  </r>
  <r>
    <n v="121"/>
    <n v="106"/>
    <s v="東池袋ハイツ"/>
    <s v="102"/>
    <n v="52.75"/>
    <n v="631"/>
    <x v="0"/>
    <s v="3DK"/>
    <n v="157000"/>
    <n v="10000"/>
    <n v="0"/>
    <n v="0"/>
    <n v="167000"/>
    <n v="167000"/>
    <n v="0"/>
    <n v="167000"/>
    <x v="68"/>
    <s v="日本人等"/>
    <x v="0"/>
    <s v=""/>
    <m/>
    <s v="106_102"/>
    <n v="139000"/>
    <m/>
    <n v="1"/>
    <n v="167000"/>
    <n v="0"/>
    <n v="28000"/>
    <n v="1"/>
    <x v="0"/>
  </r>
  <r>
    <n v="122"/>
    <n v="106"/>
    <s v="東池袋ハイツ"/>
    <s v="201"/>
    <n v="43.2"/>
    <n v="631"/>
    <x v="0"/>
    <s v="2DK"/>
    <n v="122000"/>
    <n v="7000"/>
    <n v="0"/>
    <n v="0"/>
    <n v="129000"/>
    <n v="129000"/>
    <n v="0"/>
    <n v="129000"/>
    <x v="59"/>
    <s v="日本人等"/>
    <x v="0"/>
    <s v=""/>
    <m/>
    <s v="106_201"/>
    <n v="129000"/>
    <m/>
    <n v="1"/>
    <n v="129000"/>
    <n v="0"/>
    <n v="0"/>
    <n v="1"/>
    <x v="0"/>
  </r>
  <r>
    <n v="123"/>
    <n v="106"/>
    <s v="東池袋ハイツ"/>
    <s v="202"/>
    <n v="43.2"/>
    <n v="631"/>
    <x v="0"/>
    <s v="2DK"/>
    <n v="140000"/>
    <n v="10000"/>
    <n v="0"/>
    <n v="0"/>
    <n v="150000"/>
    <n v="152000"/>
    <n v="0"/>
    <n v="152000"/>
    <x v="69"/>
    <s v="中華系"/>
    <x v="0"/>
    <s v=""/>
    <m/>
    <s v="106_202"/>
    <n v="133000"/>
    <m/>
    <n v="1"/>
    <n v="150000"/>
    <n v="2000"/>
    <n v="17000"/>
    <n v="1"/>
    <x v="0"/>
  </r>
  <r>
    <n v="124"/>
    <n v="106"/>
    <s v="東池袋ハイツ"/>
    <s v="203"/>
    <n v="48.36"/>
    <n v="631"/>
    <x v="0"/>
    <s v="2DK"/>
    <n v="124000"/>
    <n v="10000"/>
    <n v="0"/>
    <n v="0"/>
    <n v="134000"/>
    <n v="134000"/>
    <n v="0"/>
    <n v="134000"/>
    <x v="70"/>
    <s v="中華系"/>
    <x v="0"/>
    <s v=""/>
    <m/>
    <s v="106_203"/>
    <n v="137000"/>
    <m/>
    <n v="1"/>
    <n v="134000"/>
    <n v="0"/>
    <n v="-3000"/>
    <n v="1"/>
    <x v="0"/>
  </r>
  <r>
    <n v="125"/>
    <n v="106"/>
    <s v="東池袋ハイツ"/>
    <s v="204"/>
    <n v="52.75"/>
    <n v="631"/>
    <x v="0"/>
    <s v="3DK"/>
    <n v="160000"/>
    <n v="10000"/>
    <n v="0"/>
    <n v="0"/>
    <n v="170000"/>
    <n v="168000"/>
    <n v="0"/>
    <n v="168000"/>
    <x v="71"/>
    <s v="中華系"/>
    <x v="0"/>
    <s v=""/>
    <m/>
    <s v="106_204"/>
    <n v="141000"/>
    <m/>
    <n v="1"/>
    <n v="170000"/>
    <n v="-2000"/>
    <n v="29000"/>
    <n v="1"/>
    <x v="0"/>
  </r>
  <r>
    <n v="126"/>
    <n v="106"/>
    <s v="東池袋ハイツ"/>
    <s v="301"/>
    <n v="43.2"/>
    <n v="631"/>
    <x v="0"/>
    <s v="2DK"/>
    <n v="140000"/>
    <n v="10000"/>
    <n v="0"/>
    <n v="0"/>
    <n v="150000"/>
    <n v="135000"/>
    <n v="0"/>
    <n v="135000"/>
    <x v="69"/>
    <s v="中華系"/>
    <x v="0"/>
    <s v=""/>
    <m/>
    <s v="106_301"/>
    <n v="132000"/>
    <m/>
    <n v="1"/>
    <n v="150000"/>
    <n v="-15000"/>
    <n v="18000"/>
    <n v="1"/>
    <x v="0"/>
  </r>
  <r>
    <n v="127"/>
    <n v="106"/>
    <s v="東池袋ハイツ"/>
    <s v="302"/>
    <n v="43.2"/>
    <n v="631"/>
    <x v="0"/>
    <s v="2DK"/>
    <n v="142000"/>
    <n v="10000"/>
    <n v="0"/>
    <n v="0"/>
    <n v="152000"/>
    <n v="150000"/>
    <n v="0"/>
    <n v="150000"/>
    <x v="72"/>
    <s v="中華系"/>
    <x v="0"/>
    <s v=""/>
    <m/>
    <s v="106_302"/>
    <n v="135000"/>
    <m/>
    <n v="1"/>
    <n v="152000"/>
    <n v="-2000"/>
    <n v="17000"/>
    <n v="1"/>
    <x v="0"/>
  </r>
  <r>
    <n v="128"/>
    <n v="106"/>
    <s v="東池袋ハイツ"/>
    <s v="303"/>
    <n v="48.36"/>
    <n v="631"/>
    <x v="0"/>
    <s v="2DK"/>
    <n v="135000"/>
    <n v="10000"/>
    <n v="0"/>
    <n v="0"/>
    <n v="145000"/>
    <n v="145000"/>
    <n v="0"/>
    <n v="145000"/>
    <x v="73"/>
    <s v="中華系"/>
    <x v="0"/>
    <s v=""/>
    <m/>
    <s v="106_303"/>
    <n v="135000"/>
    <m/>
    <n v="1"/>
    <n v="145000"/>
    <n v="0"/>
    <n v="10000"/>
    <n v="1"/>
    <x v="0"/>
  </r>
  <r>
    <n v="129"/>
    <n v="106"/>
    <s v="東池袋ハイツ"/>
    <s v="304"/>
    <n v="52.75"/>
    <n v="631"/>
    <x v="0"/>
    <s v="3DK"/>
    <n v="160000"/>
    <n v="10000"/>
    <n v="0"/>
    <n v="0"/>
    <n v="170000"/>
    <n v="168000"/>
    <n v="0"/>
    <n v="168000"/>
    <x v="71"/>
    <s v="住居法人契約"/>
    <x v="0"/>
    <s v=""/>
    <m/>
    <s v="106_304"/>
    <n v="158000"/>
    <m/>
    <n v="1"/>
    <n v="170000"/>
    <n v="-2000"/>
    <n v="12000"/>
    <n v="1"/>
    <x v="0"/>
  </r>
  <r>
    <n v="130"/>
    <n v="106"/>
    <s v="東池袋ハイツ"/>
    <s v="401"/>
    <n v="39.42"/>
    <n v="631"/>
    <x v="0"/>
    <s v="1LDK"/>
    <n v="125000"/>
    <n v="10000"/>
    <n v="0"/>
    <n v="0"/>
    <n v="135000"/>
    <n v="123000"/>
    <n v="0"/>
    <n v="123000"/>
    <x v="60"/>
    <s v="中華系"/>
    <x v="0"/>
    <s v=""/>
    <m/>
    <s v="106_401"/>
    <n v="123000"/>
    <m/>
    <n v="1"/>
    <n v="135000"/>
    <n v="-12000"/>
    <n v="12000"/>
    <n v="1"/>
    <x v="0"/>
  </r>
  <r>
    <n v="131"/>
    <n v="106"/>
    <s v="東池袋ハイツ"/>
    <s v="402"/>
    <n v="43.2"/>
    <n v="631"/>
    <x v="0"/>
    <s v="2DK"/>
    <n v="150000"/>
    <n v="10000"/>
    <n v="0"/>
    <n v="0"/>
    <n v="160000"/>
    <n v="160000"/>
    <n v="0"/>
    <n v="160000"/>
    <x v="74"/>
    <s v="中華系"/>
    <x v="0"/>
    <s v=""/>
    <m/>
    <s v="106_402"/>
    <n v="147000"/>
    <m/>
    <n v="1"/>
    <n v="160000"/>
    <n v="0"/>
    <n v="13000"/>
    <n v="1"/>
    <x v="0"/>
  </r>
  <r>
    <n v="132"/>
    <n v="106"/>
    <s v="東池袋ハイツ"/>
    <s v="403"/>
    <n v="48.36"/>
    <n v="631"/>
    <x v="0"/>
    <s v="2DK"/>
    <n v="125000"/>
    <n v="10000"/>
    <n v="0"/>
    <n v="0"/>
    <n v="135000"/>
    <n v="135000"/>
    <n v="0"/>
    <n v="135000"/>
    <x v="60"/>
    <s v="中華系"/>
    <x v="0"/>
    <s v=""/>
    <m/>
    <s v="106_403"/>
    <n v="135000"/>
    <m/>
    <n v="1"/>
    <n v="135000"/>
    <n v="0"/>
    <n v="0"/>
    <n v="1"/>
    <x v="0"/>
  </r>
  <r>
    <n v="133"/>
    <n v="106"/>
    <s v="東池袋ハイツ"/>
    <s v="404"/>
    <n v="52.75"/>
    <n v="631"/>
    <x v="0"/>
    <s v="3DK"/>
    <n v="140000"/>
    <n v="10000"/>
    <n v="0"/>
    <n v="0"/>
    <n v="150000"/>
    <n v="150000"/>
    <n v="0"/>
    <n v="150000"/>
    <x v="69"/>
    <s v="日本人等"/>
    <x v="0"/>
    <s v=""/>
    <m/>
    <s v="106_404"/>
    <n v="150000"/>
    <m/>
    <n v="1"/>
    <n v="150000"/>
    <n v="0"/>
    <n v="0"/>
    <n v="1"/>
    <x v="0"/>
  </r>
  <r>
    <n v="134"/>
    <n v="106"/>
    <s v="東池袋ハイツ"/>
    <s v="501"/>
    <n v="29.16"/>
    <n v="631"/>
    <x v="0"/>
    <s v="1K"/>
    <n v="85000"/>
    <n v="10000"/>
    <n v="0"/>
    <n v="0"/>
    <n v="95000"/>
    <n v="95000"/>
    <n v="0"/>
    <n v="95000"/>
    <x v="62"/>
    <s v="日本人等"/>
    <x v="0"/>
    <s v=""/>
    <m/>
    <s v="106_501"/>
    <n v="90000"/>
    <m/>
    <n v="1"/>
    <n v="95000"/>
    <n v="0"/>
    <n v="5000"/>
    <n v="1"/>
    <x v="0"/>
  </r>
  <r>
    <n v="135"/>
    <n v="106"/>
    <s v="東池袋ハイツ"/>
    <s v="502"/>
    <n v="43.2"/>
    <n v="631"/>
    <x v="0"/>
    <s v="2DK"/>
    <n v="145000"/>
    <n v="10000"/>
    <n v="0"/>
    <n v="0"/>
    <n v="155000"/>
    <n v="155000"/>
    <n v="0"/>
    <n v="155000"/>
    <x v="75"/>
    <s v="中華系"/>
    <x v="0"/>
    <s v=""/>
    <m/>
    <s v="106_502"/>
    <n v="138000"/>
    <m/>
    <n v="1"/>
    <n v="155000"/>
    <n v="0"/>
    <n v="17000"/>
    <n v="1"/>
    <x v="0"/>
  </r>
  <r>
    <n v="136"/>
    <n v="106"/>
    <s v="東池袋ハイツ"/>
    <s v="503"/>
    <n v="48.36"/>
    <n v="631"/>
    <x v="0"/>
    <s v="2DK"/>
    <n v="150000"/>
    <n v="10000"/>
    <n v="0"/>
    <n v="0"/>
    <n v="160000"/>
    <n v="160000"/>
    <n v="0"/>
    <n v="160000"/>
    <x v="74"/>
    <s v="中華系"/>
    <x v="0"/>
    <s v=""/>
    <m/>
    <s v="106_503"/>
    <n v="137000"/>
    <m/>
    <n v="1"/>
    <n v="160000"/>
    <n v="0"/>
    <n v="23000"/>
    <n v="1"/>
    <x v="0"/>
  </r>
  <r>
    <n v="137"/>
    <n v="106"/>
    <s v="東池袋ハイツ"/>
    <s v="504"/>
    <n v="17.600000000000001"/>
    <n v="631"/>
    <x v="0"/>
    <s v="1K"/>
    <n v="160000"/>
    <n v="10000"/>
    <n v="0"/>
    <n v="0"/>
    <n v="170000"/>
    <n v="170000"/>
    <n v="0"/>
    <n v="170000"/>
    <x v="71"/>
    <s v="住居法人契約"/>
    <x v="0"/>
    <s v=""/>
    <m/>
    <s v="106_504"/>
    <n v="146000"/>
    <m/>
    <n v="1"/>
    <n v="170000"/>
    <n v="0"/>
    <n v="24000"/>
    <n v="1"/>
    <x v="0"/>
  </r>
  <r>
    <n v="138"/>
    <n v="106"/>
    <s v="東池袋ハイツ"/>
    <s v="601"/>
    <n v="55.84"/>
    <n v="631"/>
    <x v="0"/>
    <s v="3DK"/>
    <n v="170000"/>
    <n v="10000"/>
    <n v="0"/>
    <n v="0"/>
    <n v="180000"/>
    <n v="148000"/>
    <n v="0"/>
    <n v="148000"/>
    <x v="76"/>
    <s v="中華系"/>
    <x v="0"/>
    <s v=""/>
    <m/>
    <s v="106_601"/>
    <n v="148000"/>
    <m/>
    <n v="1"/>
    <n v="180000"/>
    <n v="-32000"/>
    <n v="32000"/>
    <n v="1"/>
    <x v="0"/>
  </r>
  <r>
    <n v="139"/>
    <n v="106"/>
    <s v="東池袋ハイツ"/>
    <s v="602"/>
    <n v="62.32"/>
    <n v="631"/>
    <x v="0"/>
    <s v="1LDK"/>
    <n v="180000"/>
    <n v="0"/>
    <n v="0"/>
    <n v="0"/>
    <n v="180000"/>
    <n v="180000"/>
    <n v="0"/>
    <n v="180000"/>
    <x v="76"/>
    <s v="住居法人契約"/>
    <x v="0"/>
    <s v=""/>
    <m/>
    <s v="106_602"/>
    <n v="165000"/>
    <m/>
    <n v="1"/>
    <n v="180000"/>
    <n v="0"/>
    <n v="15000"/>
    <n v="1"/>
    <x v="0"/>
  </r>
  <r>
    <n v="140"/>
    <n v="106"/>
    <s v="東池袋ハイツ"/>
    <s v="603"/>
    <n v="17.600000000000001"/>
    <n v="631"/>
    <x v="0"/>
    <s v="1K"/>
    <n v="68000"/>
    <n v="3000"/>
    <n v="0"/>
    <n v="0"/>
    <n v="71000"/>
    <n v="78000"/>
    <n v="0"/>
    <n v="78000"/>
    <x v="77"/>
    <s v="中華系"/>
    <x v="0"/>
    <s v=""/>
    <m/>
    <s v="106_603"/>
    <n v="75000"/>
    <m/>
    <n v="1"/>
    <n v="71000"/>
    <n v="7000"/>
    <n v="-4000"/>
    <n v="1"/>
    <x v="0"/>
  </r>
  <r>
    <n v="141"/>
    <n v="106"/>
    <s v="東池袋ハイツ"/>
    <s v="RF1"/>
    <n v="0"/>
    <n v="635"/>
    <x v="2"/>
    <s v="その他"/>
    <n v="12000"/>
    <n v="0"/>
    <n v="0"/>
    <n v="1200"/>
    <n v="13200"/>
    <n v="12000"/>
    <n v="1199.9999999999998"/>
    <n v="13200"/>
    <x v="65"/>
    <s v="-"/>
    <x v="0"/>
    <s v=""/>
    <m/>
    <s v="106_RF1"/>
    <n v="0"/>
    <m/>
    <n v="1"/>
    <n v="12000"/>
    <n v="0"/>
    <n v="12000"/>
    <n v="1"/>
    <x v="0"/>
  </r>
  <r>
    <n v="142"/>
    <n v="106"/>
    <s v="東池袋ハイツ"/>
    <s v="NTF1"/>
    <s v="-"/>
    <n v="639"/>
    <x v="3"/>
    <s v="その他"/>
    <n v="0"/>
    <n v="0"/>
    <n v="0"/>
    <n v="0"/>
    <n v="0"/>
    <n v="0"/>
    <n v="0"/>
    <n v="0"/>
    <x v="14"/>
    <s v="-"/>
    <x v="1"/>
    <s v="フレッツ光"/>
    <m/>
    <s v="106_NTF1"/>
    <n v="0"/>
    <m/>
    <n v="0"/>
    <n v="0"/>
    <n v="0"/>
    <n v="0"/>
    <n v="0"/>
    <x v="0"/>
  </r>
  <r>
    <n v="143"/>
    <n v="107"/>
    <s v="メゾン雑司ヶ谷"/>
    <s v="201"/>
    <n v="16.87"/>
    <n v="631"/>
    <x v="0"/>
    <s v="1R"/>
    <n v="52000"/>
    <n v="3000"/>
    <n v="0"/>
    <n v="0"/>
    <n v="55000"/>
    <n v="61000"/>
    <n v="0"/>
    <n v="61000"/>
    <x v="78"/>
    <s v="日本人等"/>
    <x v="0"/>
    <s v=""/>
    <m/>
    <s v="107_201"/>
    <n v="61000"/>
    <m/>
    <n v="1"/>
    <n v="55000"/>
    <n v="6000"/>
    <n v="-6000"/>
    <n v="1"/>
    <x v="0"/>
  </r>
  <r>
    <n v="144"/>
    <n v="107"/>
    <s v="メゾン雑司ヶ谷"/>
    <s v="202"/>
    <n v="16.87"/>
    <n v="631"/>
    <x v="0"/>
    <s v="1R"/>
    <n v="56000"/>
    <n v="3000"/>
    <n v="0"/>
    <n v="0"/>
    <n v="59000"/>
    <n v="59000"/>
    <n v="0"/>
    <n v="59000"/>
    <x v="4"/>
    <s v="日本人等"/>
    <x v="0"/>
    <s v=""/>
    <m/>
    <s v="107_202"/>
    <n v="59000"/>
    <m/>
    <n v="1"/>
    <n v="59000"/>
    <n v="0"/>
    <n v="0"/>
    <n v="1"/>
    <x v="0"/>
  </r>
  <r>
    <n v="145"/>
    <n v="107"/>
    <s v="メゾン雑司ヶ谷"/>
    <s v="203"/>
    <n v="19.54"/>
    <n v="631"/>
    <x v="0"/>
    <s v="1R"/>
    <n v="57000"/>
    <n v="3000"/>
    <n v="0"/>
    <n v="0"/>
    <n v="60000"/>
    <n v="60000"/>
    <n v="0"/>
    <n v="60000"/>
    <x v="8"/>
    <s v="日本人等"/>
    <x v="0"/>
    <s v=""/>
    <m/>
    <s v="107_203"/>
    <n v="59000"/>
    <m/>
    <n v="1"/>
    <n v="60000"/>
    <n v="0"/>
    <n v="1000"/>
    <n v="1"/>
    <x v="0"/>
  </r>
  <r>
    <n v="146"/>
    <n v="107"/>
    <s v="メゾン雑司ヶ谷"/>
    <s v="205"/>
    <n v="19.54"/>
    <n v="631"/>
    <x v="0"/>
    <s v="1R"/>
    <n v="61000"/>
    <n v="3000"/>
    <n v="0"/>
    <n v="0"/>
    <n v="64000"/>
    <n v="64000"/>
    <n v="0"/>
    <n v="64000"/>
    <x v="10"/>
    <s v="日本人等"/>
    <x v="0"/>
    <s v=""/>
    <m/>
    <s v="107_205"/>
    <n v="64000"/>
    <m/>
    <n v="1"/>
    <n v="64000"/>
    <n v="0"/>
    <n v="0"/>
    <n v="1"/>
    <x v="0"/>
  </r>
  <r>
    <n v="147"/>
    <n v="107"/>
    <s v="メゾン雑司ヶ谷"/>
    <s v="206"/>
    <n v="17.100000000000001"/>
    <n v="631"/>
    <x v="0"/>
    <s v="1R"/>
    <n v="67000"/>
    <n v="0"/>
    <n v="0"/>
    <n v="0"/>
    <n v="67000"/>
    <n v="67000"/>
    <n v="0"/>
    <n v="67000"/>
    <x v="3"/>
    <s v="日本人等"/>
    <x v="0"/>
    <s v=""/>
    <m/>
    <s v="107_206"/>
    <n v="70000"/>
    <m/>
    <n v="1"/>
    <n v="67000"/>
    <n v="0"/>
    <n v="-3000"/>
    <n v="1"/>
    <x v="0"/>
  </r>
  <r>
    <n v="148"/>
    <n v="107"/>
    <s v="メゾン雑司ヶ谷"/>
    <s v="207"/>
    <n v="17.100000000000001"/>
    <n v="631"/>
    <x v="0"/>
    <s v="1R"/>
    <n v="51000"/>
    <n v="3000"/>
    <n v="0"/>
    <n v="0"/>
    <n v="54000"/>
    <n v="63000"/>
    <n v="0"/>
    <n v="63000"/>
    <x v="79"/>
    <s v="日本人等"/>
    <x v="0"/>
    <s v=""/>
    <m/>
    <s v="107_207"/>
    <n v="63000"/>
    <m/>
    <n v="1"/>
    <n v="54000"/>
    <n v="9000"/>
    <n v="-9000"/>
    <n v="1"/>
    <x v="0"/>
  </r>
  <r>
    <n v="149"/>
    <n v="107"/>
    <s v="メゾン雑司ヶ谷"/>
    <s v="208"/>
    <n v="16.96"/>
    <n v="631"/>
    <x v="0"/>
    <s v="1R"/>
    <n v="59000"/>
    <n v="2000"/>
    <n v="0"/>
    <n v="0"/>
    <n v="61000"/>
    <n v="61000"/>
    <n v="0"/>
    <n v="61000"/>
    <x v="80"/>
    <s v="日本人等"/>
    <x v="0"/>
    <s v=""/>
    <m/>
    <s v="107_208"/>
    <n v="59000"/>
    <m/>
    <n v="1"/>
    <n v="61000"/>
    <n v="0"/>
    <n v="2000"/>
    <n v="1"/>
    <x v="0"/>
  </r>
  <r>
    <n v="150"/>
    <n v="107"/>
    <s v="メゾン雑司ヶ谷"/>
    <s v="210"/>
    <n v="19.54"/>
    <n v="631"/>
    <x v="0"/>
    <s v="1R"/>
    <n v="59000"/>
    <n v="3000"/>
    <n v="0"/>
    <n v="0"/>
    <n v="62000"/>
    <n v="62000"/>
    <n v="0"/>
    <n v="62000"/>
    <x v="6"/>
    <s v="欧米先進国"/>
    <x v="0"/>
    <s v=""/>
    <m/>
    <s v="107_210"/>
    <n v="65000"/>
    <m/>
    <n v="1"/>
    <n v="62000"/>
    <n v="0"/>
    <n v="-3000"/>
    <n v="1"/>
    <x v="0"/>
  </r>
  <r>
    <n v="151"/>
    <n v="107"/>
    <s v="メゾン雑司ヶ谷"/>
    <s v="211"/>
    <n v="18.47"/>
    <n v="631"/>
    <x v="0"/>
    <s v="1R"/>
    <n v="60000"/>
    <n v="5000"/>
    <n v="0"/>
    <n v="0"/>
    <n v="65000"/>
    <n v="65000"/>
    <n v="0"/>
    <n v="65000"/>
    <x v="0"/>
    <s v="日本人等"/>
    <x v="0"/>
    <s v=""/>
    <m/>
    <s v="107_211"/>
    <n v="65000"/>
    <m/>
    <n v="1"/>
    <n v="65000"/>
    <n v="0"/>
    <n v="0"/>
    <n v="1"/>
    <x v="0"/>
  </r>
  <r>
    <n v="152"/>
    <n v="107"/>
    <s v="メゾン雑司ヶ谷"/>
    <s v="212"/>
    <n v="18.47"/>
    <n v="631"/>
    <x v="0"/>
    <s v="1R"/>
    <n v="62000"/>
    <n v="0"/>
    <n v="0"/>
    <n v="0"/>
    <n v="62000"/>
    <n v="62000"/>
    <n v="0"/>
    <n v="62000"/>
    <x v="6"/>
    <s v="日本人等"/>
    <x v="0"/>
    <s v=""/>
    <m/>
    <s v="107_212"/>
    <n v="65000"/>
    <m/>
    <n v="1"/>
    <n v="62000"/>
    <n v="0"/>
    <n v="-3000"/>
    <n v="1"/>
    <x v="0"/>
  </r>
  <r>
    <n v="153"/>
    <n v="107"/>
    <s v="メゾン雑司ヶ谷"/>
    <s v="213"/>
    <n v="18.47"/>
    <n v="631"/>
    <x v="0"/>
    <s v="1R"/>
    <n v="69000"/>
    <n v="3000"/>
    <n v="0"/>
    <n v="0"/>
    <n v="72000"/>
    <n v="72000"/>
    <n v="0"/>
    <n v="72000"/>
    <x v="11"/>
    <s v="日本人等"/>
    <x v="0"/>
    <s v=""/>
    <m/>
    <s v="107_213"/>
    <n v="72000"/>
    <m/>
    <n v="1"/>
    <n v="72000"/>
    <n v="0"/>
    <n v="0"/>
    <n v="1"/>
    <x v="0"/>
  </r>
  <r>
    <n v="154"/>
    <n v="107"/>
    <s v="メゾン雑司ヶ谷"/>
    <s v="215"/>
    <n v="18.47"/>
    <n v="631"/>
    <x v="0"/>
    <s v="1R"/>
    <n v="60000"/>
    <n v="3000"/>
    <n v="0"/>
    <n v="0"/>
    <n v="63000"/>
    <n v="63000"/>
    <n v="0"/>
    <n v="63000"/>
    <x v="2"/>
    <s v="日本人等"/>
    <x v="0"/>
    <s v=""/>
    <m/>
    <s v="107_215"/>
    <n v="65000"/>
    <m/>
    <n v="1"/>
    <n v="63000"/>
    <n v="0"/>
    <n v="-2000"/>
    <n v="1"/>
    <x v="0"/>
  </r>
  <r>
    <n v="155"/>
    <n v="107"/>
    <s v="メゾン雑司ヶ谷"/>
    <s v="301"/>
    <n v="19.54"/>
    <n v="631"/>
    <x v="0"/>
    <s v="1R"/>
    <n v="57000"/>
    <n v="3000"/>
    <n v="0"/>
    <n v="0"/>
    <n v="60000"/>
    <n v="60000"/>
    <n v="0"/>
    <n v="60000"/>
    <x v="8"/>
    <s v="日本人等"/>
    <x v="0"/>
    <s v=""/>
    <m/>
    <s v="107_301"/>
    <n v="60000"/>
    <m/>
    <n v="1"/>
    <n v="60000"/>
    <n v="0"/>
    <n v="0"/>
    <n v="1"/>
    <x v="0"/>
  </r>
  <r>
    <n v="156"/>
    <n v="107"/>
    <s v="メゾン雑司ヶ谷"/>
    <s v="302"/>
    <n v="18.47"/>
    <n v="631"/>
    <x v="0"/>
    <s v="1R"/>
    <n v="58000"/>
    <n v="0"/>
    <n v="0"/>
    <n v="0"/>
    <n v="58000"/>
    <n v="58000"/>
    <n v="0"/>
    <n v="58000"/>
    <x v="81"/>
    <s v="日本人等"/>
    <x v="0"/>
    <s v=""/>
    <m/>
    <s v="107_302"/>
    <n v="58000"/>
    <m/>
    <n v="1"/>
    <n v="58000"/>
    <n v="0"/>
    <n v="0"/>
    <n v="1"/>
    <x v="0"/>
  </r>
  <r>
    <n v="157"/>
    <n v="107"/>
    <s v="メゾン雑司ヶ谷"/>
    <s v="303"/>
    <n v="27.28"/>
    <n v="631"/>
    <x v="0"/>
    <s v="1DK"/>
    <n v="82000"/>
    <n v="3000"/>
    <n v="0"/>
    <n v="0"/>
    <n v="85000"/>
    <n v="85000"/>
    <n v="0"/>
    <n v="85000"/>
    <x v="18"/>
    <s v="中華系"/>
    <x v="0"/>
    <s v=""/>
    <m/>
    <s v="107_303"/>
    <n v="88000"/>
    <m/>
    <n v="1"/>
    <n v="85000"/>
    <n v="0"/>
    <n v="-3000"/>
    <n v="1"/>
    <x v="0"/>
  </r>
  <r>
    <n v="158"/>
    <n v="107"/>
    <s v="メゾン雑司ヶ谷"/>
    <s v="305"/>
    <n v="17.47"/>
    <n v="631"/>
    <x v="0"/>
    <s v="1R"/>
    <n v="59000"/>
    <n v="3000"/>
    <n v="0"/>
    <n v="0"/>
    <n v="62000"/>
    <n v="62000"/>
    <n v="0"/>
    <n v="62000"/>
    <x v="6"/>
    <s v="日本人等"/>
    <x v="0"/>
    <s v=""/>
    <m/>
    <s v="107_305"/>
    <n v="62000"/>
    <m/>
    <n v="1"/>
    <n v="62000"/>
    <n v="0"/>
    <n v="0"/>
    <n v="1"/>
    <x v="0"/>
  </r>
  <r>
    <n v="159"/>
    <n v="107"/>
    <s v="メゾン雑司ヶ谷"/>
    <s v="306"/>
    <n v="16.96"/>
    <n v="631"/>
    <x v="0"/>
    <s v="1R"/>
    <n v="53700"/>
    <n v="5000"/>
    <n v="0"/>
    <n v="0"/>
    <n v="58700"/>
    <n v="58700"/>
    <n v="0"/>
    <n v="58700"/>
    <x v="82"/>
    <s v="日本人等"/>
    <x v="0"/>
    <s v=""/>
    <m/>
    <s v="107_306"/>
    <n v="59000"/>
    <m/>
    <n v="1"/>
    <n v="58700"/>
    <n v="0"/>
    <n v="-300"/>
    <n v="1"/>
    <x v="0"/>
  </r>
  <r>
    <n v="160"/>
    <n v="107"/>
    <s v="メゾン雑司ヶ谷"/>
    <s v="307"/>
    <n v="18.47"/>
    <n v="631"/>
    <x v="0"/>
    <s v="1R"/>
    <n v="63000"/>
    <n v="3000"/>
    <n v="0"/>
    <n v="0"/>
    <n v="66000"/>
    <n v="66000"/>
    <n v="0"/>
    <n v="66000"/>
    <x v="5"/>
    <s v="日本人等"/>
    <x v="0"/>
    <s v=""/>
    <m/>
    <s v="107_307"/>
    <n v="66000"/>
    <m/>
    <n v="1"/>
    <n v="66000"/>
    <n v="0"/>
    <n v="0"/>
    <n v="1"/>
    <x v="0"/>
  </r>
  <r>
    <n v="161"/>
    <n v="107"/>
    <s v="メゾン雑司ヶ谷"/>
    <s v="308"/>
    <n v="18.47"/>
    <n v="631"/>
    <x v="0"/>
    <s v="1R"/>
    <n v="59000"/>
    <n v="3000"/>
    <n v="0"/>
    <n v="0"/>
    <n v="62000"/>
    <n v="62000"/>
    <n v="0"/>
    <n v="62000"/>
    <x v="6"/>
    <s v="日本人等"/>
    <x v="0"/>
    <s v=""/>
    <m/>
    <s v="107_308"/>
    <n v="60000"/>
    <m/>
    <n v="1"/>
    <n v="62000"/>
    <n v="0"/>
    <n v="2000"/>
    <n v="1"/>
    <x v="0"/>
  </r>
  <r>
    <n v="162"/>
    <n v="107"/>
    <s v="メゾン雑司ヶ谷"/>
    <s v="310"/>
    <n v="19.54"/>
    <n v="631"/>
    <x v="0"/>
    <s v="1R"/>
    <n v="59000"/>
    <n v="2000"/>
    <n v="0"/>
    <n v="0"/>
    <n v="61000"/>
    <n v="61000"/>
    <n v="0"/>
    <n v="61000"/>
    <x v="80"/>
    <s v="日本人等"/>
    <x v="0"/>
    <s v=""/>
    <m/>
    <s v="107_310"/>
    <n v="62000"/>
    <m/>
    <n v="1"/>
    <n v="61000"/>
    <n v="0"/>
    <n v="-1000"/>
    <n v="1"/>
    <x v="0"/>
  </r>
  <r>
    <n v="163"/>
    <n v="107"/>
    <s v="メゾン雑司ヶ谷"/>
    <s v="311"/>
    <n v="18.47"/>
    <n v="631"/>
    <x v="0"/>
    <s v="1R"/>
    <n v="60000"/>
    <n v="3000"/>
    <n v="0"/>
    <n v="0"/>
    <n v="63000"/>
    <n v="61000"/>
    <n v="0"/>
    <n v="61000"/>
    <x v="2"/>
    <s v="新興国系"/>
    <x v="0"/>
    <s v=""/>
    <m/>
    <s v="107_311"/>
    <n v="63000"/>
    <m/>
    <n v="1"/>
    <n v="63000"/>
    <n v="-2000"/>
    <n v="0"/>
    <n v="1"/>
    <x v="0"/>
  </r>
  <r>
    <n v="164"/>
    <n v="107"/>
    <s v="メゾン雑司ヶ谷"/>
    <s v="312"/>
    <n v="16.2"/>
    <n v="631"/>
    <x v="0"/>
    <s v="1R"/>
    <n v="59000"/>
    <n v="0"/>
    <n v="0"/>
    <n v="0"/>
    <n v="59000"/>
    <n v="59000"/>
    <n v="0"/>
    <n v="59000"/>
    <x v="4"/>
    <s v="日本人等"/>
    <x v="0"/>
    <s v=""/>
    <m/>
    <s v="107_312"/>
    <n v="59000"/>
    <m/>
    <n v="1"/>
    <n v="59000"/>
    <n v="0"/>
    <n v="0"/>
    <n v="1"/>
    <x v="0"/>
  </r>
  <r>
    <n v="165"/>
    <n v="107"/>
    <s v="メゾン雑司ヶ谷"/>
    <s v="1F"/>
    <n v="430"/>
    <n v="633"/>
    <x v="5"/>
    <s v="店舗"/>
    <n v="1000000"/>
    <n v="0"/>
    <n v="0"/>
    <n v="100000"/>
    <n v="1100000"/>
    <n v="1000000"/>
    <n v="100000"/>
    <n v="1100000"/>
    <x v="83"/>
    <s v="法人契約"/>
    <x v="0"/>
    <s v=""/>
    <m/>
    <s v="107_1F"/>
    <n v="1000000"/>
    <m/>
    <n v="1"/>
    <n v="1000000"/>
    <n v="0"/>
    <n v="0"/>
    <n v="1"/>
    <x v="0"/>
  </r>
  <r>
    <n v="166"/>
    <n v="107"/>
    <s v="メゾン雑司ヶ谷"/>
    <s v="NTD1"/>
    <s v="-"/>
    <n v="639"/>
    <x v="3"/>
    <s v="その他"/>
    <n v="0"/>
    <n v="0"/>
    <n v="0"/>
    <n v="0"/>
    <n v="0"/>
    <n v="0"/>
    <n v="0"/>
    <n v="0"/>
    <x v="14"/>
    <s v="-"/>
    <x v="1"/>
    <s v="電柱"/>
    <m/>
    <s v="107_NTD1"/>
    <n v="0"/>
    <m/>
    <n v="0"/>
    <n v="0"/>
    <n v="0"/>
    <n v="0"/>
    <n v="0"/>
    <x v="0"/>
  </r>
  <r>
    <n v="167"/>
    <n v="109"/>
    <s v="カーサ南池袋"/>
    <s v="101"/>
    <n v="21.5"/>
    <n v="631"/>
    <x v="0"/>
    <s v="1K"/>
    <n v="50000"/>
    <n v="0"/>
    <n v="0"/>
    <n v="0"/>
    <n v="50000"/>
    <n v="50000"/>
    <n v="0"/>
    <n v="50000"/>
    <x v="84"/>
    <s v="日本人等"/>
    <x v="0"/>
    <s v=""/>
    <m/>
    <s v="109_101"/>
    <n v="20000"/>
    <m/>
    <n v="1"/>
    <n v="50000"/>
    <n v="0"/>
    <n v="30000"/>
    <n v="1"/>
    <x v="0"/>
  </r>
  <r>
    <n v="168"/>
    <n v="109"/>
    <s v="カーサ南池袋"/>
    <s v="102"/>
    <n v="21.87"/>
    <n v="631"/>
    <x v="0"/>
    <s v="1DK"/>
    <n v="68000"/>
    <n v="0"/>
    <n v="0"/>
    <n v="0"/>
    <n v="68000"/>
    <n v="68000"/>
    <n v="0"/>
    <n v="68000"/>
    <x v="20"/>
    <s v="日本人等"/>
    <x v="0"/>
    <s v=""/>
    <m/>
    <s v="109_102"/>
    <n v="68000"/>
    <m/>
    <n v="1"/>
    <n v="68000"/>
    <n v="0"/>
    <n v="0"/>
    <n v="1"/>
    <x v="0"/>
  </r>
  <r>
    <n v="169"/>
    <n v="109"/>
    <s v="カーサ南池袋"/>
    <s v="103"/>
    <n v="17.43"/>
    <n v="631"/>
    <x v="0"/>
    <s v="1R"/>
    <n v="62000"/>
    <n v="3000"/>
    <n v="0"/>
    <n v="0"/>
    <n v="65000"/>
    <n v="65000"/>
    <n v="0"/>
    <n v="65000"/>
    <x v="0"/>
    <s v="新興国系"/>
    <x v="0"/>
    <s v=""/>
    <m/>
    <s v="109_103"/>
    <n v="60000"/>
    <m/>
    <n v="1"/>
    <n v="65000"/>
    <n v="0"/>
    <n v="5000"/>
    <n v="1"/>
    <x v="0"/>
  </r>
  <r>
    <n v="170"/>
    <n v="109"/>
    <s v="カーサ南池袋"/>
    <s v="105"/>
    <n v="21.77"/>
    <n v="631"/>
    <x v="0"/>
    <s v="1K"/>
    <n v="67000"/>
    <n v="3000"/>
    <n v="0"/>
    <n v="0"/>
    <n v="70000"/>
    <n v="78000"/>
    <n v="0"/>
    <n v="78000"/>
    <x v="7"/>
    <s v="日本人等"/>
    <x v="0"/>
    <s v=""/>
    <m/>
    <s v="109_105"/>
    <n v="82000"/>
    <m/>
    <n v="1"/>
    <n v="70000"/>
    <n v="8000"/>
    <n v="-12000"/>
    <n v="1"/>
    <x v="0"/>
  </r>
  <r>
    <n v="171"/>
    <n v="109"/>
    <s v="カーサ南池袋"/>
    <s v="107"/>
    <n v="25.25"/>
    <n v="631"/>
    <x v="0"/>
    <s v="1DK"/>
    <n v="80000"/>
    <n v="3000"/>
    <n v="0"/>
    <n v="0"/>
    <n v="83000"/>
    <n v="86300"/>
    <n v="0"/>
    <n v="86300"/>
    <x v="85"/>
    <s v="日本人等"/>
    <x v="0"/>
    <s v=""/>
    <m/>
    <s v="109_107"/>
    <n v="86000"/>
    <m/>
    <n v="1"/>
    <n v="83000"/>
    <n v="3300"/>
    <n v="-3000"/>
    <n v="1"/>
    <x v="0"/>
  </r>
  <r>
    <n v="172"/>
    <n v="109"/>
    <s v="カーサ南池袋"/>
    <s v="108"/>
    <n v="34"/>
    <n v="631"/>
    <x v="0"/>
    <s v="1DK"/>
    <n v="101000"/>
    <n v="5000"/>
    <n v="0"/>
    <n v="0"/>
    <n v="106000"/>
    <n v="95000"/>
    <n v="0"/>
    <n v="95000"/>
    <x v="86"/>
    <s v="日本人等"/>
    <x v="0"/>
    <s v=""/>
    <m/>
    <s v="109_108"/>
    <n v="95000"/>
    <m/>
    <n v="1"/>
    <n v="106000"/>
    <n v="-11000"/>
    <n v="11000"/>
    <n v="1"/>
    <x v="0"/>
  </r>
  <r>
    <n v="173"/>
    <n v="109"/>
    <s v="カーサ南池袋"/>
    <s v="111"/>
    <n v="62.64"/>
    <n v="631"/>
    <x v="0"/>
    <s v="3LDK"/>
    <n v="145000"/>
    <n v="0"/>
    <n v="0"/>
    <n v="0"/>
    <n v="145000"/>
    <n v="145000"/>
    <n v="0"/>
    <n v="145000"/>
    <x v="73"/>
    <s v="日本人等"/>
    <x v="0"/>
    <s v=""/>
    <m/>
    <s v="109_111"/>
    <n v="145000"/>
    <m/>
    <n v="1"/>
    <n v="145000"/>
    <n v="0"/>
    <n v="0"/>
    <n v="1"/>
    <x v="0"/>
  </r>
  <r>
    <n v="174"/>
    <n v="109"/>
    <s v="カーサ南池袋"/>
    <s v="112"/>
    <n v="62.64"/>
    <n v="631"/>
    <x v="0"/>
    <s v="3LDK"/>
    <n v="160000"/>
    <n v="5000"/>
    <n v="0"/>
    <n v="0"/>
    <n v="165000"/>
    <n v="165000"/>
    <n v="0"/>
    <n v="165000"/>
    <x v="34"/>
    <s v="中華系"/>
    <x v="0"/>
    <s v=""/>
    <m/>
    <s v="109_112"/>
    <n v="150000"/>
    <m/>
    <n v="1"/>
    <n v="165000"/>
    <n v="0"/>
    <n v="15000"/>
    <n v="1"/>
    <x v="0"/>
  </r>
  <r>
    <n v="175"/>
    <n v="109"/>
    <s v="カーサ南池袋"/>
    <s v="221"/>
    <n v="62.64"/>
    <n v="631"/>
    <x v="0"/>
    <s v="3LDK"/>
    <n v="150000"/>
    <n v="0"/>
    <n v="0"/>
    <n v="0"/>
    <n v="150000"/>
    <n v="150000"/>
    <n v="0"/>
    <n v="150000"/>
    <x v="69"/>
    <s v="住居法人契約"/>
    <x v="0"/>
    <s v=""/>
    <m/>
    <s v="109_221"/>
    <n v="150000"/>
    <m/>
    <n v="1"/>
    <n v="150000"/>
    <n v="0"/>
    <n v="0"/>
    <n v="1"/>
    <x v="0"/>
  </r>
  <r>
    <n v="176"/>
    <n v="109"/>
    <s v="カーサ南池袋"/>
    <s v="222"/>
    <n v="62.64"/>
    <n v="631"/>
    <x v="0"/>
    <s v="3LDK"/>
    <n v="175000"/>
    <n v="5000"/>
    <n v="0"/>
    <n v="0"/>
    <n v="180000"/>
    <n v="180000"/>
    <n v="0"/>
    <n v="180000"/>
    <x v="76"/>
    <s v="日本人等"/>
    <x v="0"/>
    <s v=""/>
    <m/>
    <s v="109_222"/>
    <n v="155000"/>
    <m/>
    <n v="1"/>
    <n v="180000"/>
    <n v="0"/>
    <n v="25000"/>
    <n v="1"/>
    <x v="0"/>
  </r>
  <r>
    <n v="177"/>
    <n v="109"/>
    <s v="カーサ南池袋"/>
    <s v="331"/>
    <n v="62.64"/>
    <n v="631"/>
    <x v="0"/>
    <s v="3LDK"/>
    <n v="150000"/>
    <n v="0"/>
    <n v="0"/>
    <n v="0"/>
    <n v="150000"/>
    <n v="150000"/>
    <n v="0"/>
    <n v="150000"/>
    <x v="69"/>
    <s v="日本人等"/>
    <x v="0"/>
    <s v=""/>
    <m/>
    <s v="109_331"/>
    <n v="150000"/>
    <m/>
    <n v="1"/>
    <n v="150000"/>
    <n v="0"/>
    <n v="0"/>
    <n v="1"/>
    <x v="0"/>
  </r>
  <r>
    <n v="178"/>
    <n v="109"/>
    <s v="カーサ南池袋"/>
    <s v="332"/>
    <n v="62.64"/>
    <n v="631"/>
    <x v="0"/>
    <s v="3LDK"/>
    <n v="180000"/>
    <n v="5000"/>
    <n v="0"/>
    <n v="0"/>
    <n v="185000"/>
    <n v="180000"/>
    <n v="0"/>
    <n v="180000"/>
    <x v="87"/>
    <s v="日本人等"/>
    <x v="0"/>
    <s v=""/>
    <m/>
    <s v="109_332"/>
    <n v="150000"/>
    <m/>
    <n v="1"/>
    <n v="185000"/>
    <n v="-5000"/>
    <n v="35000"/>
    <n v="1"/>
    <x v="0"/>
  </r>
  <r>
    <n v="179"/>
    <n v="109"/>
    <s v="カーサ南池袋"/>
    <s v="P1"/>
    <n v="0"/>
    <n v="634"/>
    <x v="4"/>
    <s v="駐車場"/>
    <n v="24545"/>
    <n v="0"/>
    <n v="0"/>
    <n v="2455"/>
    <n v="27000"/>
    <n v="24545"/>
    <n v="2454.5454545454545"/>
    <n v="26999.545454545456"/>
    <x v="88"/>
    <s v="法人契約"/>
    <x v="0"/>
    <s v=""/>
    <m/>
    <s v="109_P1"/>
    <n v="25000"/>
    <m/>
    <n v="1"/>
    <n v="24545"/>
    <n v="0"/>
    <n v="-455"/>
    <n v="1"/>
    <x v="0"/>
  </r>
  <r>
    <n v="180"/>
    <n v="109"/>
    <s v="カーサ南池袋"/>
    <s v="RF1"/>
    <n v="0"/>
    <n v="635"/>
    <x v="2"/>
    <s v="その他"/>
    <n v="53467"/>
    <n v="0"/>
    <n v="0"/>
    <n v="5346"/>
    <n v="58813"/>
    <n v="53466"/>
    <n v="5346.636363636364"/>
    <n v="58812.636363636368"/>
    <x v="89"/>
    <s v="-"/>
    <x v="0"/>
    <s v="ソフトバンクモバイル"/>
    <m/>
    <s v="109_RF1"/>
    <n v="53467"/>
    <m/>
    <n v="1"/>
    <n v="53467"/>
    <n v="-1"/>
    <n v="0"/>
    <n v="1"/>
    <x v="0"/>
  </r>
  <r>
    <n v="181"/>
    <n v="109"/>
    <s v="カーサ南池袋"/>
    <s v="RF2"/>
    <n v="0"/>
    <n v="635"/>
    <x v="2"/>
    <s v="その他"/>
    <n v="12817"/>
    <n v="0"/>
    <n v="0"/>
    <n v="1281"/>
    <n v="14098"/>
    <n v="12816"/>
    <n v="1281.6363636363637"/>
    <n v="14097.636363636364"/>
    <x v="90"/>
    <s v="-"/>
    <x v="0"/>
    <s v="ドコモ"/>
    <m/>
    <s v="109_RF2"/>
    <n v="12817"/>
    <m/>
    <n v="1"/>
    <n v="12817"/>
    <n v="-1"/>
    <n v="0"/>
    <n v="1"/>
    <x v="0"/>
  </r>
  <r>
    <n v="182"/>
    <n v="109"/>
    <s v="カーサ南池袋"/>
    <s v="NTF1"/>
    <s v="-"/>
    <n v="639"/>
    <x v="3"/>
    <s v="その他"/>
    <n v="0"/>
    <n v="0"/>
    <n v="0"/>
    <n v="0"/>
    <n v="0"/>
    <n v="0"/>
    <n v="0"/>
    <n v="0"/>
    <x v="14"/>
    <s v="-"/>
    <x v="1"/>
    <s v="フレッツ光"/>
    <m/>
    <s v="109_NTF1"/>
    <n v="0"/>
    <m/>
    <n v="0"/>
    <n v="0"/>
    <n v="0"/>
    <n v="0"/>
    <n v="0"/>
    <x v="0"/>
  </r>
  <r>
    <n v="183"/>
    <n v="109"/>
    <s v="カーサ南池袋"/>
    <s v="100"/>
    <n v="0"/>
    <n v="636"/>
    <x v="6"/>
    <s v="倉庫"/>
    <n v="16000"/>
    <n v="0"/>
    <n v="0"/>
    <n v="1600"/>
    <n v="17600"/>
    <n v="16000"/>
    <n v="1600"/>
    <n v="17600"/>
    <x v="91"/>
    <s v="日本人等"/>
    <x v="0"/>
    <s v=""/>
    <m/>
    <s v="109_100"/>
    <n v="0"/>
    <m/>
    <n v="1"/>
    <n v="16000"/>
    <n v="0"/>
    <n v="16000"/>
    <n v="1"/>
    <x v="0"/>
  </r>
  <r>
    <n v="184"/>
    <n v="111"/>
    <s v="目白カーサ二番館"/>
    <s v="SL1"/>
    <s v="-"/>
    <n v="631"/>
    <x v="0"/>
    <s v="1K"/>
    <n v="1758634"/>
    <n v="0"/>
    <n v="0"/>
    <n v="0"/>
    <n v="1758634"/>
    <n v="1752707"/>
    <n v="0"/>
    <n v="1752707"/>
    <x v="92"/>
    <s v="一括貸し"/>
    <x v="0"/>
    <s v="公益団体に一括貸し"/>
    <m/>
    <s v="111_SL1"/>
    <n v="1752707"/>
    <m/>
    <n v="1"/>
    <n v="1758634"/>
    <n v="-5927"/>
    <n v="5927"/>
    <n v="0"/>
    <x v="0"/>
  </r>
  <r>
    <n v="185"/>
    <n v="111"/>
    <s v="目白カーサ二番館"/>
    <s v="201"/>
    <n v="45.527000000000001"/>
    <n v="631"/>
    <x v="0"/>
    <s v="2DK"/>
    <s v="-"/>
    <s v="-"/>
    <s v="-"/>
    <s v="-"/>
    <n v="0"/>
    <n v="91000"/>
    <n v="0"/>
    <n v="91000"/>
    <x v="93"/>
    <s v="-"/>
    <x v="0"/>
    <s v="普通借家想定91000円"/>
    <m/>
    <s v="111_201"/>
    <n v="0"/>
    <m/>
    <n v="0"/>
    <n v="91000"/>
    <n v="0"/>
    <n v="91000"/>
    <n v="1"/>
    <x v="1"/>
  </r>
  <r>
    <n v="186"/>
    <n v="111"/>
    <s v="目白カーサ二番館"/>
    <s v="202"/>
    <n v="45.527000000000001"/>
    <n v="631"/>
    <x v="0"/>
    <s v="2DK"/>
    <s v="-"/>
    <s v="-"/>
    <s v="-"/>
    <s v="-"/>
    <n v="0"/>
    <n v="91000"/>
    <n v="0"/>
    <n v="91000"/>
    <x v="93"/>
    <s v="-"/>
    <x v="0"/>
    <s v="普通借家想定91000円"/>
    <m/>
    <s v="111_202"/>
    <n v="0"/>
    <m/>
    <n v="0"/>
    <n v="91000"/>
    <n v="0"/>
    <n v="91000"/>
    <n v="1"/>
    <x v="1"/>
  </r>
  <r>
    <n v="187"/>
    <n v="111"/>
    <s v="目白カーサ二番館"/>
    <s v="203"/>
    <n v="45.527000000000001"/>
    <n v="631"/>
    <x v="0"/>
    <s v="2DK"/>
    <s v="-"/>
    <s v="-"/>
    <s v="-"/>
    <s v="-"/>
    <n v="0"/>
    <n v="91000"/>
    <n v="0"/>
    <n v="91000"/>
    <x v="93"/>
    <s v="-"/>
    <x v="0"/>
    <s v="普通借家想定91000円"/>
    <m/>
    <s v="111_203"/>
    <n v="0"/>
    <m/>
    <n v="0"/>
    <n v="91000"/>
    <n v="0"/>
    <n v="91000"/>
    <n v="1"/>
    <x v="1"/>
  </r>
  <r>
    <n v="188"/>
    <n v="111"/>
    <s v="目白カーサ二番館"/>
    <s v="205"/>
    <n v="23.193000000000001"/>
    <n v="631"/>
    <x v="0"/>
    <s v="1DK"/>
    <s v="-"/>
    <s v="-"/>
    <s v="-"/>
    <s v="-"/>
    <n v="0"/>
    <n v="91000"/>
    <n v="0"/>
    <n v="91000"/>
    <x v="93"/>
    <s v="-"/>
    <x v="0"/>
    <s v="普通借家想定91000円"/>
    <m/>
    <s v="111_205"/>
    <n v="0"/>
    <m/>
    <n v="0"/>
    <n v="91000"/>
    <n v="0"/>
    <n v="91000"/>
    <n v="1"/>
    <x v="1"/>
  </r>
  <r>
    <n v="189"/>
    <n v="111"/>
    <s v="目白カーサ二番館"/>
    <s v="301"/>
    <n v="45.527000000000001"/>
    <n v="631"/>
    <x v="0"/>
    <s v="2DK"/>
    <s v="-"/>
    <s v="-"/>
    <s v="-"/>
    <s v="-"/>
    <n v="0"/>
    <n v="91000"/>
    <n v="0"/>
    <n v="91000"/>
    <x v="93"/>
    <s v="-"/>
    <x v="0"/>
    <s v="普通借家想定91000円"/>
    <m/>
    <s v="111_301"/>
    <n v="0"/>
    <m/>
    <n v="0"/>
    <n v="91000"/>
    <n v="0"/>
    <n v="91000"/>
    <n v="1"/>
    <x v="1"/>
  </r>
  <r>
    <n v="190"/>
    <n v="111"/>
    <s v="目白カーサ二番館"/>
    <s v="302"/>
    <n v="45.527000000000001"/>
    <n v="631"/>
    <x v="0"/>
    <s v="2DK"/>
    <s v="-"/>
    <s v="-"/>
    <s v="-"/>
    <s v="-"/>
    <n v="0"/>
    <n v="91000"/>
    <n v="0"/>
    <n v="91000"/>
    <x v="93"/>
    <s v="-"/>
    <x v="0"/>
    <s v="普通借家想定91000円"/>
    <m/>
    <s v="111_302"/>
    <n v="0"/>
    <m/>
    <n v="0"/>
    <n v="91000"/>
    <n v="0"/>
    <n v="91000"/>
    <n v="1"/>
    <x v="1"/>
  </r>
  <r>
    <n v="191"/>
    <n v="111"/>
    <s v="目白カーサ二番館"/>
    <s v="303"/>
    <n v="60.988999999999997"/>
    <n v="631"/>
    <x v="0"/>
    <s v="2DK"/>
    <s v="-"/>
    <s v="-"/>
    <s v="-"/>
    <s v="-"/>
    <n v="0"/>
    <n v="91000"/>
    <n v="0"/>
    <n v="91000"/>
    <x v="93"/>
    <s v="-"/>
    <x v="0"/>
    <s v="普通借家想定91000円"/>
    <m/>
    <s v="111_303"/>
    <n v="0"/>
    <m/>
    <n v="0"/>
    <n v="91000"/>
    <n v="0"/>
    <n v="91000"/>
    <n v="1"/>
    <x v="1"/>
  </r>
  <r>
    <n v="192"/>
    <n v="111"/>
    <s v="目白カーサ二番館"/>
    <s v="401"/>
    <n v="45.527000000000001"/>
    <n v="631"/>
    <x v="0"/>
    <s v="2DK"/>
    <s v="-"/>
    <s v="-"/>
    <s v="-"/>
    <s v="-"/>
    <n v="0"/>
    <n v="91000"/>
    <n v="0"/>
    <n v="91000"/>
    <x v="93"/>
    <s v="-"/>
    <x v="0"/>
    <s v="普通借家想定91000円"/>
    <m/>
    <s v="111_401"/>
    <n v="0"/>
    <m/>
    <n v="0"/>
    <n v="91000"/>
    <n v="0"/>
    <n v="91000"/>
    <n v="1"/>
    <x v="1"/>
  </r>
  <r>
    <n v="193"/>
    <n v="111"/>
    <s v="目白カーサ二番館"/>
    <s v="402"/>
    <n v="45.527000000000001"/>
    <n v="631"/>
    <x v="0"/>
    <s v="2DK"/>
    <s v="-"/>
    <s v="-"/>
    <s v="-"/>
    <s v="-"/>
    <n v="0"/>
    <n v="91000"/>
    <n v="0"/>
    <n v="91000"/>
    <x v="93"/>
    <s v="-"/>
    <x v="0"/>
    <s v="普通借家想定91000円"/>
    <m/>
    <s v="111_402"/>
    <n v="0"/>
    <m/>
    <n v="0"/>
    <n v="91000"/>
    <n v="0"/>
    <n v="91000"/>
    <n v="1"/>
    <x v="1"/>
  </r>
  <r>
    <n v="194"/>
    <n v="111"/>
    <s v="目白カーサ二番館"/>
    <s v="403"/>
    <n v="45.527000000000001"/>
    <n v="631"/>
    <x v="0"/>
    <s v="2DK"/>
    <s v="-"/>
    <s v="-"/>
    <s v="-"/>
    <s v="-"/>
    <n v="0"/>
    <n v="91000"/>
    <n v="0"/>
    <n v="91000"/>
    <x v="93"/>
    <s v="-"/>
    <x v="0"/>
    <s v="普通借家想定91000円"/>
    <m/>
    <s v="111_403"/>
    <n v="0"/>
    <m/>
    <n v="0"/>
    <n v="91000"/>
    <n v="0"/>
    <n v="91000"/>
    <n v="1"/>
    <x v="1"/>
  </r>
  <r>
    <n v="195"/>
    <n v="111"/>
    <s v="目白カーサ二番館"/>
    <s v="PSL1"/>
    <s v="-"/>
    <n v="634"/>
    <x v="4"/>
    <s v="駐車場"/>
    <n v="83400"/>
    <n v="0"/>
    <n v="0"/>
    <n v="8340"/>
    <n v="91740"/>
    <n v="83400"/>
    <n v="8340"/>
    <n v="91740"/>
    <x v="94"/>
    <s v="一括貸し"/>
    <x v="0"/>
    <s v=""/>
    <m/>
    <s v="111_PSL1"/>
    <n v="90072"/>
    <m/>
    <n v="1"/>
    <n v="83400"/>
    <n v="0"/>
    <n v="-6672"/>
    <n v="0"/>
    <x v="0"/>
  </r>
  <r>
    <n v="196"/>
    <n v="111"/>
    <s v="目白カーサ二番館"/>
    <s v="PSL2"/>
    <s v="-"/>
    <n v="634"/>
    <x v="4"/>
    <s v="駐車場"/>
    <n v="20000"/>
    <n v="0"/>
    <n v="0"/>
    <n v="2000"/>
    <n v="22000"/>
    <n v="20000"/>
    <n v="2000"/>
    <n v="22000"/>
    <x v="95"/>
    <s v="一括貸し"/>
    <x v="0"/>
    <s v=""/>
    <m/>
    <s v="111_PSL2"/>
    <n v="20571"/>
    <m/>
    <n v="1"/>
    <n v="20000"/>
    <n v="0"/>
    <n v="-571"/>
    <n v="0"/>
    <x v="0"/>
  </r>
  <r>
    <n v="197"/>
    <n v="111"/>
    <s v="目白カーサ二番館"/>
    <s v="P001"/>
    <n v="0"/>
    <n v="634"/>
    <x v="4"/>
    <s v="駐車場"/>
    <s v="-"/>
    <s v="-"/>
    <s v="-"/>
    <s v="-"/>
    <n v="0"/>
    <n v="10000"/>
    <n v="1000"/>
    <n v="11000"/>
    <x v="96"/>
    <s v="-"/>
    <x v="0"/>
    <s v="自動車駐車場"/>
    <m/>
    <s v="111_P001"/>
    <n v="0"/>
    <m/>
    <n v="0"/>
    <n v="10000"/>
    <n v="0"/>
    <n v="10000"/>
    <n v="1"/>
    <x v="1"/>
  </r>
  <r>
    <n v="198"/>
    <n v="111"/>
    <s v="目白カーサ二番館"/>
    <s v="P002"/>
    <n v="0"/>
    <n v="634"/>
    <x v="4"/>
    <s v="駐車場"/>
    <s v="-"/>
    <s v="-"/>
    <s v="-"/>
    <s v="-"/>
    <n v="0"/>
    <n v="10000"/>
    <n v="1000"/>
    <n v="11000"/>
    <x v="96"/>
    <s v="-"/>
    <x v="0"/>
    <s v="自動車駐車場"/>
    <m/>
    <s v="111_P002"/>
    <n v="0"/>
    <m/>
    <n v="0"/>
    <n v="10000"/>
    <n v="0"/>
    <n v="10000"/>
    <n v="1"/>
    <x v="1"/>
  </r>
  <r>
    <n v="199"/>
    <n v="111"/>
    <s v="目白カーサ二番館"/>
    <s v="P003"/>
    <n v="0"/>
    <n v="634"/>
    <x v="4"/>
    <s v="駐車場"/>
    <s v="-"/>
    <s v="-"/>
    <s v="-"/>
    <s v="-"/>
    <n v="0"/>
    <n v="10000"/>
    <n v="1000"/>
    <n v="11000"/>
    <x v="96"/>
    <s v="-"/>
    <x v="0"/>
    <s v="自動車駐車場"/>
    <m/>
    <s v="111_P003"/>
    <n v="0"/>
    <m/>
    <n v="0"/>
    <n v="10000"/>
    <n v="0"/>
    <n v="10000"/>
    <n v="1"/>
    <x v="1"/>
  </r>
  <r>
    <n v="200"/>
    <n v="111"/>
    <s v="目白カーサ二番館"/>
    <s v="P004"/>
    <n v="0"/>
    <n v="634"/>
    <x v="4"/>
    <s v="駐車場"/>
    <s v="-"/>
    <s v="-"/>
    <s v="-"/>
    <s v="-"/>
    <n v="0"/>
    <n v="10000"/>
    <n v="1000"/>
    <n v="11000"/>
    <x v="96"/>
    <s v="-"/>
    <x v="0"/>
    <s v="自動車駐車場"/>
    <m/>
    <s v="111_P004"/>
    <n v="0"/>
    <m/>
    <n v="0"/>
    <n v="10000"/>
    <n v="0"/>
    <n v="10000"/>
    <n v="1"/>
    <x v="1"/>
  </r>
  <r>
    <n v="201"/>
    <n v="111"/>
    <s v="目白カーサ二番館"/>
    <s v="P005"/>
    <n v="0"/>
    <n v="634"/>
    <x v="4"/>
    <s v="駐車場"/>
    <s v="-"/>
    <s v="-"/>
    <s v="-"/>
    <s v="-"/>
    <n v="0"/>
    <n v="10000"/>
    <n v="1000"/>
    <n v="11000"/>
    <x v="96"/>
    <s v="-"/>
    <x v="0"/>
    <s v="自動車駐車場"/>
    <m/>
    <s v="111_P005"/>
    <n v="0"/>
    <m/>
    <n v="0"/>
    <n v="10000"/>
    <n v="0"/>
    <n v="10000"/>
    <n v="1"/>
    <x v="1"/>
  </r>
  <r>
    <n v="202"/>
    <n v="111"/>
    <s v="目白カーサ二番館"/>
    <s v="P006"/>
    <n v="0"/>
    <n v="634"/>
    <x v="4"/>
    <s v="駐車場"/>
    <s v="-"/>
    <s v="-"/>
    <s v="-"/>
    <s v="-"/>
    <n v="0"/>
    <n v="10000"/>
    <n v="1000"/>
    <n v="11000"/>
    <x v="96"/>
    <s v="-"/>
    <x v="0"/>
    <s v="自動車駐車場"/>
    <m/>
    <s v="111_P006"/>
    <n v="0"/>
    <m/>
    <n v="0"/>
    <n v="10000"/>
    <n v="0"/>
    <n v="10000"/>
    <n v="1"/>
    <x v="1"/>
  </r>
  <r>
    <n v="203"/>
    <n v="111"/>
    <s v="目白カーサ二番館"/>
    <s v="B001"/>
    <n v="0"/>
    <n v="634"/>
    <x v="4"/>
    <s v="駐車場"/>
    <s v="-"/>
    <s v="-"/>
    <s v="-"/>
    <s v="-"/>
    <n v="0"/>
    <n v="5000"/>
    <n v="500"/>
    <n v="5500"/>
    <x v="97"/>
    <s v="-"/>
    <x v="0"/>
    <s v="バイク置き場"/>
    <m/>
    <s v="111_B001"/>
    <n v="0"/>
    <m/>
    <n v="0"/>
    <n v="5000"/>
    <n v="0"/>
    <n v="5000"/>
    <n v="1"/>
    <x v="1"/>
  </r>
  <r>
    <n v="204"/>
    <n v="111"/>
    <s v="目白カーサ二番館"/>
    <s v="B002"/>
    <n v="0"/>
    <n v="634"/>
    <x v="4"/>
    <s v="駐車場"/>
    <s v="-"/>
    <s v="-"/>
    <s v="-"/>
    <s v="-"/>
    <n v="0"/>
    <n v="5000"/>
    <n v="500"/>
    <n v="5500"/>
    <x v="97"/>
    <s v="-"/>
    <x v="0"/>
    <s v="バイク置き場"/>
    <m/>
    <s v="111_B002"/>
    <n v="0"/>
    <m/>
    <n v="0"/>
    <n v="5000"/>
    <n v="0"/>
    <n v="5000"/>
    <n v="1"/>
    <x v="1"/>
  </r>
  <r>
    <n v="205"/>
    <n v="111"/>
    <s v="目白カーサ二番館"/>
    <s v="B003"/>
    <n v="0"/>
    <n v="634"/>
    <x v="4"/>
    <s v="駐車場"/>
    <s v="-"/>
    <s v="-"/>
    <s v="-"/>
    <s v="-"/>
    <n v="0"/>
    <n v="5000"/>
    <n v="500"/>
    <n v="5500"/>
    <x v="97"/>
    <s v="-"/>
    <x v="0"/>
    <s v="バイク置き場"/>
    <m/>
    <s v="111_B003"/>
    <n v="0"/>
    <m/>
    <n v="0"/>
    <n v="5000"/>
    <n v="0"/>
    <n v="5000"/>
    <n v="1"/>
    <x v="1"/>
  </r>
  <r>
    <n v="206"/>
    <n v="111"/>
    <s v="目白カーサ二番館"/>
    <s v="B004"/>
    <n v="0"/>
    <n v="634"/>
    <x v="4"/>
    <s v="駐車場"/>
    <s v="-"/>
    <s v="-"/>
    <s v="-"/>
    <s v="-"/>
    <n v="0"/>
    <n v="5000"/>
    <n v="500"/>
    <n v="5500"/>
    <x v="97"/>
    <s v="-"/>
    <x v="0"/>
    <s v="バイク置き場"/>
    <m/>
    <s v="111_B004"/>
    <n v="0"/>
    <m/>
    <n v="0"/>
    <n v="5000"/>
    <n v="0"/>
    <n v="5000"/>
    <n v="1"/>
    <x v="1"/>
  </r>
  <r>
    <n v="207"/>
    <n v="111"/>
    <s v="目白カーサ二番館"/>
    <s v="B005"/>
    <n v="0"/>
    <n v="634"/>
    <x v="4"/>
    <s v="駐車場"/>
    <s v="-"/>
    <s v="-"/>
    <s v="-"/>
    <s v="-"/>
    <n v="0"/>
    <n v="5000"/>
    <n v="500"/>
    <n v="5500"/>
    <x v="97"/>
    <s v="-"/>
    <x v="0"/>
    <s v="バイク置き場"/>
    <m/>
    <s v="111_B005"/>
    <n v="0"/>
    <m/>
    <n v="0"/>
    <n v="5000"/>
    <n v="0"/>
    <n v="5000"/>
    <n v="1"/>
    <x v="1"/>
  </r>
  <r>
    <n v="208"/>
    <n v="112"/>
    <s v="豊島目白ビル"/>
    <s v="101"/>
    <n v="491.32"/>
    <n v="632"/>
    <x v="1"/>
    <s v="事務所"/>
    <n v="2300000"/>
    <n v="0"/>
    <n v="0"/>
    <n v="230000"/>
    <n v="2530000"/>
    <n v="2300000"/>
    <n v="230000"/>
    <n v="2530000"/>
    <x v="98"/>
    <s v="法人契約"/>
    <x v="0"/>
    <s v=""/>
    <m/>
    <s v="112_101"/>
    <n v="2500000"/>
    <m/>
    <n v="1"/>
    <n v="2300000"/>
    <n v="0"/>
    <n v="-200000"/>
    <n v="1"/>
    <x v="0"/>
  </r>
  <r>
    <n v="209"/>
    <n v="113"/>
    <s v="第3目白ハイツ"/>
    <s v="101"/>
    <n v="54.44"/>
    <n v="631"/>
    <x v="0"/>
    <s v="3DK"/>
    <n v="120000"/>
    <n v="5000"/>
    <n v="0"/>
    <n v="0"/>
    <n v="125000"/>
    <n v="125000"/>
    <n v="0"/>
    <n v="125000"/>
    <x v="55"/>
    <s v="中華系"/>
    <x v="0"/>
    <s v=""/>
    <m/>
    <s v="113_101"/>
    <n v="117000"/>
    <m/>
    <n v="1"/>
    <n v="125000"/>
    <n v="0"/>
    <n v="8000"/>
    <n v="1"/>
    <x v="0"/>
  </r>
  <r>
    <n v="210"/>
    <n v="113"/>
    <s v="第3目白ハイツ"/>
    <s v="102"/>
    <n v="52.49"/>
    <n v="631"/>
    <x v="0"/>
    <s v="3DK"/>
    <n v="113000"/>
    <n v="5000"/>
    <n v="0"/>
    <n v="0"/>
    <n v="118000"/>
    <n v="118000"/>
    <n v="0"/>
    <n v="118000"/>
    <x v="99"/>
    <s v="日本人等"/>
    <x v="0"/>
    <s v=""/>
    <m/>
    <s v="113_102"/>
    <n v="118000"/>
    <m/>
    <n v="1"/>
    <n v="118000"/>
    <n v="0"/>
    <n v="0"/>
    <n v="1"/>
    <x v="0"/>
  </r>
  <r>
    <n v="211"/>
    <n v="113"/>
    <s v="第3目白ハイツ"/>
    <s v="103"/>
    <n v="54.44"/>
    <n v="631"/>
    <x v="0"/>
    <s v="3DK"/>
    <n v="110000"/>
    <n v="5000"/>
    <n v="0"/>
    <n v="0"/>
    <n v="115000"/>
    <n v="115000"/>
    <n v="0"/>
    <n v="115000"/>
    <x v="61"/>
    <s v="日本人等"/>
    <x v="0"/>
    <s v=""/>
    <m/>
    <s v="113_103"/>
    <n v="115000"/>
    <m/>
    <n v="1"/>
    <n v="115000"/>
    <n v="0"/>
    <n v="0"/>
    <n v="1"/>
    <x v="0"/>
  </r>
  <r>
    <n v="212"/>
    <n v="113"/>
    <s v="第3目白ハイツ"/>
    <s v="104"/>
    <n v="52.49"/>
    <n v="631"/>
    <x v="0"/>
    <s v="3DK"/>
    <n v="113000"/>
    <n v="5000"/>
    <n v="0"/>
    <n v="0"/>
    <n v="118000"/>
    <n v="118000"/>
    <n v="0"/>
    <n v="118000"/>
    <x v="99"/>
    <s v="日本人等"/>
    <x v="0"/>
    <s v=""/>
    <m/>
    <s v="113_104"/>
    <n v="118000"/>
    <m/>
    <n v="1"/>
    <n v="118000"/>
    <n v="0"/>
    <n v="0"/>
    <n v="1"/>
    <x v="0"/>
  </r>
  <r>
    <n v="213"/>
    <n v="113"/>
    <s v="第3目白ハイツ"/>
    <s v="105"/>
    <n v="54.44"/>
    <n v="631"/>
    <x v="0"/>
    <s v="3DK"/>
    <n v="110000"/>
    <n v="5000"/>
    <n v="0"/>
    <n v="0"/>
    <n v="115000"/>
    <n v="115000"/>
    <n v="0"/>
    <n v="115000"/>
    <x v="61"/>
    <s v="日本人等"/>
    <x v="0"/>
    <s v=""/>
    <m/>
    <s v="113_105"/>
    <n v="115000"/>
    <m/>
    <n v="1"/>
    <n v="115000"/>
    <n v="0"/>
    <n v="0"/>
    <n v="1"/>
    <x v="0"/>
  </r>
  <r>
    <n v="214"/>
    <n v="113"/>
    <s v="第3目白ハイツ"/>
    <s v="106"/>
    <n v="52.49"/>
    <n v="631"/>
    <x v="0"/>
    <s v="3DK"/>
    <n v="120000"/>
    <n v="5000"/>
    <n v="0"/>
    <n v="0"/>
    <n v="125000"/>
    <n v="125000"/>
    <n v="0"/>
    <n v="125000"/>
    <x v="55"/>
    <s v="中華系"/>
    <x v="0"/>
    <s v=""/>
    <m/>
    <s v="113_106"/>
    <n v="117000"/>
    <m/>
    <n v="1"/>
    <n v="125000"/>
    <n v="0"/>
    <n v="8000"/>
    <n v="1"/>
    <x v="0"/>
  </r>
  <r>
    <n v="215"/>
    <n v="113"/>
    <s v="第3目白ハイツ"/>
    <s v="201"/>
    <n v="54.44"/>
    <n v="631"/>
    <x v="0"/>
    <s v="3DK"/>
    <n v="130000"/>
    <n v="5000"/>
    <n v="0"/>
    <n v="0"/>
    <n v="135000"/>
    <n v="135000"/>
    <n v="0"/>
    <n v="135000"/>
    <x v="60"/>
    <s v="中華系"/>
    <x v="0"/>
    <s v=""/>
    <m/>
    <s v="113_201"/>
    <n v="120000"/>
    <m/>
    <n v="1"/>
    <n v="135000"/>
    <n v="0"/>
    <n v="15000"/>
    <n v="1"/>
    <x v="0"/>
  </r>
  <r>
    <n v="216"/>
    <n v="113"/>
    <s v="第3目白ハイツ"/>
    <s v="202"/>
    <n v="52.49"/>
    <n v="631"/>
    <x v="0"/>
    <s v="3DK"/>
    <n v="120000"/>
    <n v="5000"/>
    <n v="0"/>
    <n v="0"/>
    <n v="125000"/>
    <n v="125000"/>
    <n v="0"/>
    <n v="125000"/>
    <x v="55"/>
    <s v="中華系"/>
    <x v="0"/>
    <s v=""/>
    <m/>
    <s v="113_202"/>
    <n v="140000"/>
    <m/>
    <n v="1"/>
    <n v="125000"/>
    <n v="0"/>
    <n v="-15000"/>
    <n v="1"/>
    <x v="0"/>
  </r>
  <r>
    <n v="217"/>
    <n v="113"/>
    <s v="第3目白ハイツ"/>
    <s v="203"/>
    <n v="54.44"/>
    <n v="631"/>
    <x v="0"/>
    <s v="3DK"/>
    <n v="115000"/>
    <n v="5000"/>
    <n v="0"/>
    <n v="0"/>
    <n v="120000"/>
    <n v="120000"/>
    <n v="0"/>
    <n v="120000"/>
    <x v="100"/>
    <s v="日本人等"/>
    <x v="0"/>
    <s v=""/>
    <m/>
    <s v="113_203"/>
    <n v="116000"/>
    <m/>
    <n v="1"/>
    <n v="120000"/>
    <n v="0"/>
    <n v="4000"/>
    <n v="1"/>
    <x v="0"/>
  </r>
  <r>
    <n v="218"/>
    <n v="113"/>
    <s v="第3目白ハイツ"/>
    <s v="204"/>
    <n v="52.49"/>
    <n v="631"/>
    <x v="0"/>
    <s v="3DK"/>
    <n v="130000"/>
    <n v="5000"/>
    <n v="0"/>
    <n v="0"/>
    <n v="135000"/>
    <n v="119000"/>
    <n v="0"/>
    <n v="119000"/>
    <x v="60"/>
    <s v="住居法人契約"/>
    <x v="0"/>
    <s v=""/>
    <m/>
    <s v="113_204"/>
    <n v="119000"/>
    <m/>
    <n v="1"/>
    <n v="135000"/>
    <n v="-16000"/>
    <n v="16000"/>
    <n v="1"/>
    <x v="0"/>
  </r>
  <r>
    <n v="219"/>
    <n v="113"/>
    <s v="第3目白ハイツ"/>
    <s v="205"/>
    <n v="54.44"/>
    <n v="631"/>
    <x v="0"/>
    <s v="3DK"/>
    <n v="130000"/>
    <n v="5000"/>
    <n v="0"/>
    <n v="0"/>
    <n v="135000"/>
    <n v="120000"/>
    <n v="0"/>
    <n v="120000"/>
    <x v="60"/>
    <s v="住居法人契約"/>
    <x v="0"/>
    <s v=""/>
    <m/>
    <s v="113_205"/>
    <n v="120000"/>
    <m/>
    <n v="1"/>
    <n v="135000"/>
    <n v="-15000"/>
    <n v="15000"/>
    <n v="1"/>
    <x v="0"/>
  </r>
  <r>
    <n v="220"/>
    <n v="113"/>
    <s v="第3目白ハイツ"/>
    <s v="206"/>
    <n v="52.49"/>
    <n v="631"/>
    <x v="0"/>
    <s v="3DK"/>
    <n v="130000"/>
    <n v="5000"/>
    <n v="0"/>
    <n v="0"/>
    <n v="135000"/>
    <n v="125000"/>
    <n v="0"/>
    <n v="125000"/>
    <x v="60"/>
    <s v="住居法人契約"/>
    <x v="0"/>
    <s v=""/>
    <m/>
    <s v="113_206"/>
    <n v="120000"/>
    <m/>
    <n v="1"/>
    <n v="135000"/>
    <n v="-10000"/>
    <n v="15000"/>
    <n v="1"/>
    <x v="0"/>
  </r>
  <r>
    <n v="221"/>
    <n v="113"/>
    <s v="第3目白ハイツ"/>
    <s v="301"/>
    <n v="54.44"/>
    <n v="631"/>
    <x v="0"/>
    <s v="3DK"/>
    <n v="127000"/>
    <n v="5000"/>
    <n v="0"/>
    <n v="0"/>
    <n v="132000"/>
    <n v="137000"/>
    <n v="0"/>
    <n v="137000"/>
    <x v="44"/>
    <s v="日本人等"/>
    <x v="0"/>
    <s v=""/>
    <m/>
    <s v="113_301"/>
    <n v="120000"/>
    <m/>
    <n v="1"/>
    <n v="132000"/>
    <n v="5000"/>
    <n v="12000"/>
    <n v="1"/>
    <x v="0"/>
  </r>
  <r>
    <n v="222"/>
    <n v="113"/>
    <s v="第3目白ハイツ"/>
    <s v="302"/>
    <n v="52.49"/>
    <n v="631"/>
    <x v="0"/>
    <s v="3DK"/>
    <n v="125000"/>
    <n v="5000"/>
    <n v="0"/>
    <n v="0"/>
    <n v="130000"/>
    <n v="130000"/>
    <n v="0"/>
    <n v="130000"/>
    <x v="101"/>
    <s v="中華系"/>
    <x v="0"/>
    <s v=""/>
    <m/>
    <s v="113_302"/>
    <n v="125000"/>
    <m/>
    <n v="1"/>
    <n v="130000"/>
    <n v="0"/>
    <n v="5000"/>
    <n v="1"/>
    <x v="0"/>
  </r>
  <r>
    <n v="223"/>
    <n v="113"/>
    <s v="第3目白ハイツ"/>
    <s v="303"/>
    <n v="54.44"/>
    <n v="631"/>
    <x v="0"/>
    <s v="3DK"/>
    <n v="125000"/>
    <n v="5000"/>
    <n v="0"/>
    <n v="0"/>
    <n v="130000"/>
    <n v="125000"/>
    <n v="0"/>
    <n v="125000"/>
    <x v="101"/>
    <s v="中華系"/>
    <x v="0"/>
    <s v=""/>
    <m/>
    <s v="113_303"/>
    <n v="118000"/>
    <m/>
    <n v="1"/>
    <n v="130000"/>
    <n v="-5000"/>
    <n v="12000"/>
    <n v="1"/>
    <x v="0"/>
  </r>
  <r>
    <n v="224"/>
    <n v="113"/>
    <s v="第3目白ハイツ"/>
    <s v="304"/>
    <n v="52.49"/>
    <n v="631"/>
    <x v="0"/>
    <s v="3DK"/>
    <n v="115000"/>
    <n v="5000"/>
    <n v="0"/>
    <n v="0"/>
    <n v="120000"/>
    <n v="120000"/>
    <n v="0"/>
    <n v="120000"/>
    <x v="100"/>
    <s v="日本人等"/>
    <x v="0"/>
    <s v=""/>
    <m/>
    <s v="113_304"/>
    <n v="120000"/>
    <m/>
    <n v="1"/>
    <n v="120000"/>
    <n v="0"/>
    <n v="0"/>
    <n v="1"/>
    <x v="0"/>
  </r>
  <r>
    <n v="225"/>
    <n v="113"/>
    <s v="第3目白ハイツ"/>
    <s v="305"/>
    <n v="54.44"/>
    <n v="631"/>
    <x v="0"/>
    <s v="3DK"/>
    <n v="95000"/>
    <n v="0"/>
    <n v="0"/>
    <n v="0"/>
    <n v="95000"/>
    <n v="85000"/>
    <n v="0"/>
    <n v="85000"/>
    <x v="62"/>
    <s v="日本人等"/>
    <x v="0"/>
    <s v=""/>
    <m/>
    <s v="113_305"/>
    <n v="85000"/>
    <m/>
    <n v="1"/>
    <n v="95000"/>
    <n v="-10000"/>
    <n v="10000"/>
    <n v="1"/>
    <x v="0"/>
  </r>
  <r>
    <n v="226"/>
    <n v="113"/>
    <s v="第3目白ハイツ"/>
    <s v="306"/>
    <n v="52.49"/>
    <n v="631"/>
    <x v="0"/>
    <s v="3DK"/>
    <n v="118000"/>
    <n v="5000"/>
    <n v="0"/>
    <n v="0"/>
    <n v="123000"/>
    <n v="123000"/>
    <n v="0"/>
    <n v="123000"/>
    <x v="102"/>
    <s v="日本人等"/>
    <x v="0"/>
    <s v=""/>
    <m/>
    <s v="113_306"/>
    <n v="125000"/>
    <m/>
    <n v="1"/>
    <n v="123000"/>
    <n v="0"/>
    <n v="-2000"/>
    <n v="1"/>
    <x v="0"/>
  </r>
  <r>
    <n v="227"/>
    <n v="113"/>
    <s v="第3目白ハイツ"/>
    <s v="401"/>
    <n v="54.44"/>
    <n v="631"/>
    <x v="0"/>
    <s v="3DK"/>
    <n v="115000"/>
    <n v="5000"/>
    <n v="0"/>
    <n v="0"/>
    <n v="120000"/>
    <n v="120000"/>
    <n v="0"/>
    <n v="120000"/>
    <x v="100"/>
    <s v="中華系"/>
    <x v="0"/>
    <s v=""/>
    <m/>
    <s v="113_401"/>
    <n v="125000"/>
    <m/>
    <n v="1"/>
    <n v="120000"/>
    <n v="0"/>
    <n v="-5000"/>
    <n v="1"/>
    <x v="0"/>
  </r>
  <r>
    <n v="228"/>
    <n v="113"/>
    <s v="第3目白ハイツ"/>
    <s v="402"/>
    <n v="52.49"/>
    <n v="631"/>
    <x v="0"/>
    <s v="3DK"/>
    <n v="121000"/>
    <n v="5000"/>
    <n v="0"/>
    <n v="0"/>
    <n v="126000"/>
    <n v="126000"/>
    <n v="0"/>
    <n v="126000"/>
    <x v="67"/>
    <s v="日本人等"/>
    <x v="0"/>
    <s v=""/>
    <m/>
    <s v="113_402"/>
    <n v="126000"/>
    <m/>
    <n v="1"/>
    <n v="126000"/>
    <n v="0"/>
    <n v="0"/>
    <n v="1"/>
    <x v="0"/>
  </r>
  <r>
    <n v="229"/>
    <n v="113"/>
    <s v="第3目白ハイツ"/>
    <s v="403"/>
    <n v="54.44"/>
    <n v="631"/>
    <x v="0"/>
    <s v="3DK"/>
    <n v="125000"/>
    <n v="5000"/>
    <n v="0"/>
    <n v="0"/>
    <n v="130000"/>
    <n v="125000"/>
    <n v="0"/>
    <n v="125000"/>
    <x v="101"/>
    <s v="日本人等"/>
    <x v="0"/>
    <s v=""/>
    <m/>
    <s v="113_403"/>
    <n v="123000"/>
    <m/>
    <n v="1"/>
    <n v="130000"/>
    <n v="-5000"/>
    <n v="7000"/>
    <n v="1"/>
    <x v="0"/>
  </r>
  <r>
    <n v="230"/>
    <n v="113"/>
    <s v="第3目白ハイツ"/>
    <s v="404"/>
    <n v="52.49"/>
    <n v="631"/>
    <x v="0"/>
    <s v="3DK"/>
    <n v="116000"/>
    <n v="5000"/>
    <n v="0"/>
    <n v="0"/>
    <n v="121000"/>
    <n v="121000"/>
    <n v="0"/>
    <n v="121000"/>
    <x v="103"/>
    <s v="日本人等"/>
    <x v="0"/>
    <s v=""/>
    <m/>
    <s v="113_404"/>
    <n v="121000"/>
    <m/>
    <n v="1"/>
    <n v="121000"/>
    <n v="0"/>
    <n v="0"/>
    <n v="1"/>
    <x v="0"/>
  </r>
  <r>
    <n v="231"/>
    <n v="113"/>
    <s v="第3目白ハイツ"/>
    <s v="405"/>
    <n v="54.44"/>
    <n v="631"/>
    <x v="0"/>
    <s v="3DK"/>
    <n v="120000"/>
    <n v="5000"/>
    <n v="0"/>
    <n v="0"/>
    <n v="125000"/>
    <n v="125000"/>
    <n v="0"/>
    <n v="125000"/>
    <x v="55"/>
    <s v="中華系"/>
    <x v="0"/>
    <s v=""/>
    <m/>
    <s v="113_405"/>
    <n v="123000"/>
    <m/>
    <n v="1"/>
    <n v="125000"/>
    <n v="0"/>
    <n v="2000"/>
    <n v="1"/>
    <x v="0"/>
  </r>
  <r>
    <n v="232"/>
    <n v="113"/>
    <s v="第3目白ハイツ"/>
    <s v="406"/>
    <n v="52.49"/>
    <n v="631"/>
    <x v="0"/>
    <s v="3DK"/>
    <n v="126000"/>
    <n v="5000"/>
    <n v="0"/>
    <n v="0"/>
    <n v="131000"/>
    <n v="131000"/>
    <n v="0"/>
    <n v="131000"/>
    <x v="104"/>
    <s v="住居法人契約"/>
    <x v="0"/>
    <s v=""/>
    <m/>
    <s v="113_406"/>
    <n v="131000"/>
    <m/>
    <n v="1"/>
    <n v="131000"/>
    <n v="0"/>
    <n v="0"/>
    <n v="1"/>
    <x v="0"/>
  </r>
  <r>
    <n v="233"/>
    <n v="113"/>
    <s v="第3目白ハイツ"/>
    <s v="P1"/>
    <n v="0"/>
    <n v="634"/>
    <x v="4"/>
    <s v="駐車場"/>
    <n v="20000"/>
    <n v="0"/>
    <n v="0"/>
    <n v="2000"/>
    <n v="22000"/>
    <n v="20000"/>
    <n v="2000"/>
    <n v="22000"/>
    <x v="95"/>
    <s v="法人契約"/>
    <x v="0"/>
    <s v=""/>
    <m/>
    <s v="113_P1"/>
    <n v="20000"/>
    <m/>
    <n v="1"/>
    <n v="20000"/>
    <n v="0"/>
    <n v="0"/>
    <n v="1"/>
    <x v="0"/>
  </r>
  <r>
    <n v="234"/>
    <n v="113"/>
    <s v="第3目白ハイツ"/>
    <s v="NTF1"/>
    <s v="-"/>
    <n v="639"/>
    <x v="3"/>
    <s v="その他"/>
    <n v="0"/>
    <n v="0"/>
    <n v="0"/>
    <n v="0"/>
    <n v="0"/>
    <n v="0"/>
    <n v="0"/>
    <n v="0"/>
    <x v="14"/>
    <s v="-"/>
    <x v="1"/>
    <s v="フレッツ光"/>
    <m/>
    <s v="113_NTF1"/>
    <n v="0"/>
    <m/>
    <n v="0"/>
    <n v="0"/>
    <n v="0"/>
    <n v="0"/>
    <n v="0"/>
    <x v="0"/>
  </r>
  <r>
    <n v="235"/>
    <n v="114"/>
    <s v="レジデンス目白豊島"/>
    <s v="201"/>
    <n v="32.4"/>
    <n v="631"/>
    <x v="0"/>
    <s v="1LDK"/>
    <n v="83000"/>
    <n v="2000"/>
    <n v="0"/>
    <n v="0"/>
    <n v="85000"/>
    <n v="85000"/>
    <n v="0"/>
    <n v="85000"/>
    <x v="18"/>
    <s v="日本人等"/>
    <x v="0"/>
    <s v=""/>
    <m/>
    <s v="114_201"/>
    <n v="85000"/>
    <m/>
    <n v="1"/>
    <n v="85000"/>
    <n v="0"/>
    <n v="0"/>
    <n v="1"/>
    <x v="0"/>
  </r>
  <r>
    <n v="236"/>
    <n v="114"/>
    <s v="レジデンス目白豊島"/>
    <s v="202"/>
    <n v="18"/>
    <n v="631"/>
    <x v="0"/>
    <s v="1R"/>
    <n v="58000"/>
    <n v="2000"/>
    <n v="0"/>
    <n v="0"/>
    <n v="60000"/>
    <n v="60000"/>
    <n v="0"/>
    <n v="60000"/>
    <x v="8"/>
    <s v="中華系"/>
    <x v="0"/>
    <s v=""/>
    <m/>
    <s v="114_202"/>
    <n v="60000"/>
    <m/>
    <n v="1"/>
    <n v="60000"/>
    <n v="0"/>
    <n v="0"/>
    <n v="1"/>
    <x v="0"/>
  </r>
  <r>
    <n v="237"/>
    <n v="114"/>
    <s v="レジデンス目白豊島"/>
    <s v="203"/>
    <n v="18"/>
    <n v="631"/>
    <x v="0"/>
    <s v="1R"/>
    <n v="50000"/>
    <n v="3000"/>
    <n v="0"/>
    <n v="0"/>
    <n v="53000"/>
    <n v="62000"/>
    <n v="0"/>
    <n v="62000"/>
    <x v="105"/>
    <s v="中華系"/>
    <x v="0"/>
    <s v=""/>
    <m/>
    <s v="114_203"/>
    <n v="60000"/>
    <m/>
    <n v="1"/>
    <n v="53000"/>
    <n v="9000"/>
    <n v="-7000"/>
    <n v="1"/>
    <x v="0"/>
  </r>
  <r>
    <n v="238"/>
    <n v="114"/>
    <s v="レジデンス目白豊島"/>
    <s v="205"/>
    <n v="18.239999999999998"/>
    <n v="631"/>
    <x v="0"/>
    <s v="1R"/>
    <n v="63000"/>
    <n v="2000"/>
    <n v="0"/>
    <n v="0"/>
    <n v="65000"/>
    <n v="65000"/>
    <n v="0"/>
    <n v="65000"/>
    <x v="0"/>
    <s v="日本人等"/>
    <x v="0"/>
    <s v=""/>
    <m/>
    <s v="114_205"/>
    <n v="65000"/>
    <m/>
    <n v="1"/>
    <n v="65000"/>
    <n v="0"/>
    <n v="0"/>
    <n v="1"/>
    <x v="0"/>
  </r>
  <r>
    <n v="239"/>
    <n v="114"/>
    <s v="レジデンス目白豊島"/>
    <s v="206"/>
    <n v="18"/>
    <n v="631"/>
    <x v="0"/>
    <s v="1R"/>
    <n v="53700"/>
    <n v="6300"/>
    <n v="0"/>
    <n v="0"/>
    <n v="60000"/>
    <n v="62000"/>
    <n v="0"/>
    <n v="62000"/>
    <x v="8"/>
    <s v="日本人等"/>
    <x v="0"/>
    <s v=""/>
    <m/>
    <s v="114_206"/>
    <n v="62000"/>
    <m/>
    <n v="1"/>
    <n v="60000"/>
    <n v="2000"/>
    <n v="-2000"/>
    <n v="1"/>
    <x v="0"/>
  </r>
  <r>
    <n v="240"/>
    <n v="114"/>
    <s v="レジデンス目白豊島"/>
    <s v="301"/>
    <n v="32.4"/>
    <n v="632"/>
    <x v="1"/>
    <s v="1LDK"/>
    <n v="84000"/>
    <n v="2000"/>
    <n v="0"/>
    <n v="8600"/>
    <n v="94600"/>
    <n v="86000"/>
    <n v="8600"/>
    <n v="94600"/>
    <x v="106"/>
    <s v="住居法人契約"/>
    <x v="0"/>
    <s v=""/>
    <m/>
    <s v="114_301"/>
    <n v="86000"/>
    <m/>
    <n v="1"/>
    <n v="86000"/>
    <n v="0"/>
    <n v="0"/>
    <n v="1"/>
    <x v="0"/>
  </r>
  <r>
    <n v="241"/>
    <n v="114"/>
    <s v="レジデンス目白豊島"/>
    <s v="302"/>
    <n v="18"/>
    <n v="631"/>
    <x v="0"/>
    <s v="1R"/>
    <n v="58000"/>
    <n v="2000"/>
    <n v="0"/>
    <n v="0"/>
    <n v="60000"/>
    <n v="60000"/>
    <n v="0"/>
    <n v="60000"/>
    <x v="8"/>
    <s v="日本人等"/>
    <x v="0"/>
    <s v=""/>
    <m/>
    <s v="114_302"/>
    <n v="60000"/>
    <m/>
    <n v="1"/>
    <n v="60000"/>
    <n v="0"/>
    <n v="0"/>
    <n v="1"/>
    <x v="0"/>
  </r>
  <r>
    <n v="242"/>
    <n v="114"/>
    <s v="レジデンス目白豊島"/>
    <s v="303"/>
    <n v="18"/>
    <n v="631"/>
    <x v="0"/>
    <s v="1R"/>
    <n v="62000"/>
    <n v="3000"/>
    <n v="0"/>
    <n v="0"/>
    <n v="65000"/>
    <n v="67000"/>
    <n v="0"/>
    <n v="67000"/>
    <x v="0"/>
    <s v="中華系"/>
    <x v="0"/>
    <s v=""/>
    <m/>
    <s v="114_303"/>
    <n v="60000"/>
    <m/>
    <n v="1"/>
    <n v="65000"/>
    <n v="2000"/>
    <n v="5000"/>
    <n v="1"/>
    <x v="0"/>
  </r>
  <r>
    <n v="243"/>
    <n v="114"/>
    <s v="レジデンス目白豊島"/>
    <s v="305"/>
    <n v="16.5"/>
    <n v="631"/>
    <x v="0"/>
    <s v="1R"/>
    <n v="60000"/>
    <n v="2000"/>
    <n v="0"/>
    <n v="0"/>
    <n v="62000"/>
    <n v="62000"/>
    <n v="0"/>
    <n v="62000"/>
    <x v="6"/>
    <s v="日本人等"/>
    <x v="0"/>
    <s v=""/>
    <m/>
    <s v="114_305"/>
    <n v="62000"/>
    <m/>
    <n v="1"/>
    <n v="62000"/>
    <n v="0"/>
    <n v="0"/>
    <n v="1"/>
    <x v="0"/>
  </r>
  <r>
    <n v="244"/>
    <n v="114"/>
    <s v="レジデンス目白豊島"/>
    <s v="306"/>
    <n v="17"/>
    <n v="631"/>
    <x v="0"/>
    <s v="1R"/>
    <n v="65000"/>
    <n v="2000"/>
    <n v="0"/>
    <n v="0"/>
    <n v="67000"/>
    <n v="67000"/>
    <n v="0"/>
    <n v="67000"/>
    <x v="3"/>
    <s v="中華系"/>
    <x v="0"/>
    <s v=""/>
    <m/>
    <s v="114_306"/>
    <n v="60000"/>
    <m/>
    <n v="1"/>
    <n v="67000"/>
    <n v="0"/>
    <n v="7000"/>
    <n v="1"/>
    <x v="0"/>
  </r>
  <r>
    <n v="245"/>
    <n v="114"/>
    <s v="レジデンス目白豊島"/>
    <s v="401"/>
    <n v="33"/>
    <n v="631"/>
    <x v="0"/>
    <s v="1LDK"/>
    <n v="88000"/>
    <n v="2000"/>
    <n v="0"/>
    <n v="0"/>
    <n v="90000"/>
    <n v="90000"/>
    <n v="0"/>
    <n v="90000"/>
    <x v="58"/>
    <s v="日本人等"/>
    <x v="0"/>
    <s v=""/>
    <m/>
    <s v="114_401"/>
    <n v="85000"/>
    <m/>
    <n v="1"/>
    <n v="90000"/>
    <n v="0"/>
    <n v="5000"/>
    <n v="1"/>
    <x v="0"/>
  </r>
  <r>
    <n v="246"/>
    <n v="114"/>
    <s v="レジデンス目白豊島"/>
    <s v="402"/>
    <n v="18"/>
    <n v="631"/>
    <x v="0"/>
    <s v="1R"/>
    <n v="67000"/>
    <n v="2000"/>
    <n v="0"/>
    <n v="0"/>
    <n v="69000"/>
    <n v="69000"/>
    <n v="0"/>
    <n v="69000"/>
    <x v="9"/>
    <s v="中華系"/>
    <x v="0"/>
    <s v=""/>
    <m/>
    <s v="114_402"/>
    <n v="62000"/>
    <m/>
    <n v="1"/>
    <n v="69000"/>
    <n v="0"/>
    <n v="7000"/>
    <n v="1"/>
    <x v="0"/>
  </r>
  <r>
    <n v="247"/>
    <n v="114"/>
    <s v="レジデンス目白豊島"/>
    <s v="403"/>
    <n v="20"/>
    <n v="631"/>
    <x v="0"/>
    <s v="1R"/>
    <n v="65000"/>
    <n v="2000"/>
    <n v="0"/>
    <n v="0"/>
    <n v="67000"/>
    <n v="67000"/>
    <n v="0"/>
    <n v="67000"/>
    <x v="3"/>
    <s v="日本人等"/>
    <x v="0"/>
    <s v=""/>
    <m/>
    <s v="114_403"/>
    <n v="67000"/>
    <m/>
    <n v="1"/>
    <n v="67000"/>
    <n v="0"/>
    <n v="0"/>
    <n v="1"/>
    <x v="0"/>
  </r>
  <r>
    <n v="248"/>
    <n v="114"/>
    <s v="レジデンス目白豊島"/>
    <s v="405"/>
    <n v="18"/>
    <n v="631"/>
    <x v="0"/>
    <s v="1R"/>
    <n v="62000"/>
    <n v="3000"/>
    <n v="0"/>
    <n v="0"/>
    <n v="65000"/>
    <n v="65000"/>
    <n v="0"/>
    <n v="65000"/>
    <x v="0"/>
    <s v="中華系"/>
    <x v="0"/>
    <s v=""/>
    <m/>
    <s v="114_405"/>
    <n v="65000"/>
    <m/>
    <n v="1"/>
    <n v="65000"/>
    <n v="0"/>
    <n v="0"/>
    <n v="1"/>
    <x v="0"/>
  </r>
  <r>
    <n v="249"/>
    <n v="114"/>
    <s v="レジデンス目白豊島"/>
    <s v="406"/>
    <n v="16"/>
    <n v="631"/>
    <x v="0"/>
    <s v="1R"/>
    <n v="65000"/>
    <n v="2000"/>
    <n v="0"/>
    <n v="0"/>
    <n v="67000"/>
    <n v="67000"/>
    <n v="0"/>
    <n v="67000"/>
    <x v="3"/>
    <s v="中華系"/>
    <x v="0"/>
    <s v=""/>
    <m/>
    <s v="114_406"/>
    <n v="60000"/>
    <m/>
    <n v="1"/>
    <n v="67000"/>
    <n v="0"/>
    <n v="7000"/>
    <n v="1"/>
    <x v="0"/>
  </r>
  <r>
    <n v="250"/>
    <n v="114"/>
    <s v="レジデンス目白豊島"/>
    <s v="101"/>
    <n v="122.31"/>
    <n v="636"/>
    <x v="6"/>
    <s v="倉庫"/>
    <n v="240741"/>
    <n v="0"/>
    <n v="0"/>
    <n v="24074"/>
    <n v="264815"/>
    <n v="240740"/>
    <n v="24074.090909090908"/>
    <n v="264814.09090909088"/>
    <x v="107"/>
    <s v="法人契約"/>
    <x v="0"/>
    <s v=""/>
    <m/>
    <s v="114_101"/>
    <n v="240741"/>
    <m/>
    <n v="1"/>
    <n v="240741"/>
    <n v="-1"/>
    <n v="0"/>
    <n v="1"/>
    <x v="0"/>
  </r>
  <r>
    <n v="251"/>
    <n v="115"/>
    <s v="コアプラス大塚"/>
    <s v="201"/>
    <n v="47.22"/>
    <n v="631"/>
    <x v="0"/>
    <s v="2DK"/>
    <n v="110000"/>
    <n v="5000"/>
    <n v="0"/>
    <n v="0"/>
    <n v="115000"/>
    <n v="115000"/>
    <n v="0"/>
    <n v="115000"/>
    <x v="61"/>
    <s v="その他新興国"/>
    <x v="0"/>
    <s v=""/>
    <m/>
    <s v="115_201"/>
    <n v="115000"/>
    <m/>
    <n v="1"/>
    <n v="115000"/>
    <n v="0"/>
    <n v="0"/>
    <n v="1"/>
    <x v="0"/>
  </r>
  <r>
    <n v="252"/>
    <n v="115"/>
    <s v="コアプラス大塚"/>
    <s v="202"/>
    <n v="52"/>
    <n v="631"/>
    <x v="0"/>
    <s v="2DK"/>
    <n v="125000"/>
    <n v="5000"/>
    <n v="0"/>
    <n v="0"/>
    <n v="130000"/>
    <n v="123000"/>
    <n v="0"/>
    <n v="123000"/>
    <x v="101"/>
    <s v="日本人等"/>
    <x v="0"/>
    <s v=""/>
    <m/>
    <s v="115_202"/>
    <n v="123000"/>
    <m/>
    <n v="1"/>
    <n v="130000"/>
    <n v="-7000"/>
    <n v="7000"/>
    <n v="1"/>
    <x v="0"/>
  </r>
  <r>
    <n v="253"/>
    <n v="115"/>
    <s v="コアプラス大塚"/>
    <s v="203"/>
    <n v="52"/>
    <n v="631"/>
    <x v="0"/>
    <s v="2DK"/>
    <n v="123000"/>
    <n v="5000"/>
    <n v="0"/>
    <n v="0"/>
    <n v="128000"/>
    <n v="123000"/>
    <n v="0"/>
    <n v="123000"/>
    <x v="108"/>
    <s v="日本人等"/>
    <x v="0"/>
    <s v=""/>
    <m/>
    <s v="115_203"/>
    <n v="123000"/>
    <m/>
    <n v="1"/>
    <n v="128000"/>
    <n v="-5000"/>
    <n v="5000"/>
    <n v="1"/>
    <x v="0"/>
  </r>
  <r>
    <n v="254"/>
    <n v="115"/>
    <s v="コアプラス大塚"/>
    <s v="205"/>
    <n v="52"/>
    <n v="631"/>
    <x v="0"/>
    <s v="3DK"/>
    <n v="128000"/>
    <n v="5000"/>
    <n v="0"/>
    <n v="0"/>
    <n v="133000"/>
    <n v="133000"/>
    <n v="0"/>
    <n v="133000"/>
    <x v="109"/>
    <s v="中華系"/>
    <x v="0"/>
    <s v=""/>
    <m/>
    <s v="115_205"/>
    <n v="118000"/>
    <m/>
    <n v="1"/>
    <n v="133000"/>
    <n v="0"/>
    <n v="15000"/>
    <n v="1"/>
    <x v="0"/>
  </r>
  <r>
    <n v="255"/>
    <n v="115"/>
    <s v="コアプラス大塚"/>
    <s v="206"/>
    <n v="52.36"/>
    <n v="631"/>
    <x v="0"/>
    <s v="2DK"/>
    <n v="125000"/>
    <n v="5000"/>
    <n v="0"/>
    <n v="0"/>
    <n v="130000"/>
    <n v="130000"/>
    <n v="0"/>
    <n v="130000"/>
    <x v="101"/>
    <s v="中華系"/>
    <x v="0"/>
    <s v=""/>
    <m/>
    <s v="115_206"/>
    <n v="120000"/>
    <m/>
    <n v="1"/>
    <n v="130000"/>
    <n v="0"/>
    <n v="10000"/>
    <n v="1"/>
    <x v="0"/>
  </r>
  <r>
    <n v="256"/>
    <n v="115"/>
    <s v="コアプラス大塚"/>
    <s v="301"/>
    <n v="55.18"/>
    <n v="631"/>
    <x v="0"/>
    <s v="2DK"/>
    <n v="123000"/>
    <n v="5000"/>
    <n v="0"/>
    <n v="0"/>
    <n v="128000"/>
    <n v="128000"/>
    <n v="0"/>
    <n v="128000"/>
    <x v="108"/>
    <s v="中華系"/>
    <x v="0"/>
    <s v=""/>
    <m/>
    <s v="115_301"/>
    <n v="115000"/>
    <m/>
    <n v="1"/>
    <n v="128000"/>
    <n v="0"/>
    <n v="13000"/>
    <n v="1"/>
    <x v="0"/>
  </r>
  <r>
    <n v="257"/>
    <n v="115"/>
    <s v="コアプラス大塚"/>
    <s v="302"/>
    <n v="52"/>
    <n v="631"/>
    <x v="0"/>
    <s v="2DK"/>
    <n v="121000"/>
    <n v="5000"/>
    <n v="0"/>
    <n v="0"/>
    <n v="126000"/>
    <n v="126000"/>
    <n v="0"/>
    <n v="126000"/>
    <x v="67"/>
    <s v="日本人等"/>
    <x v="0"/>
    <s v=""/>
    <m/>
    <s v="115_302"/>
    <n v="128000"/>
    <m/>
    <n v="1"/>
    <n v="126000"/>
    <n v="0"/>
    <n v="-2000"/>
    <n v="1"/>
    <x v="0"/>
  </r>
  <r>
    <n v="258"/>
    <n v="115"/>
    <s v="コアプラス大塚"/>
    <s v="303"/>
    <n v="52"/>
    <n v="631"/>
    <x v="0"/>
    <s v="2DK"/>
    <n v="123000"/>
    <n v="5000"/>
    <n v="0"/>
    <n v="0"/>
    <n v="128000"/>
    <n v="128000"/>
    <n v="0"/>
    <n v="128000"/>
    <x v="108"/>
    <s v="日本人等"/>
    <x v="0"/>
    <s v=""/>
    <m/>
    <s v="115_303"/>
    <n v="128000"/>
    <m/>
    <n v="1"/>
    <n v="128000"/>
    <n v="0"/>
    <n v="0"/>
    <n v="1"/>
    <x v="0"/>
  </r>
  <r>
    <n v="259"/>
    <n v="115"/>
    <s v="コアプラス大塚"/>
    <s v="305"/>
    <n v="52"/>
    <n v="631"/>
    <x v="0"/>
    <s v="2DK"/>
    <n v="126000"/>
    <n v="5000"/>
    <n v="0"/>
    <n v="0"/>
    <n v="131000"/>
    <n v="131000"/>
    <n v="0"/>
    <n v="131000"/>
    <x v="104"/>
    <s v="日本人等"/>
    <x v="0"/>
    <s v=""/>
    <m/>
    <s v="115_305"/>
    <n v="131000"/>
    <m/>
    <n v="1"/>
    <n v="131000"/>
    <n v="0"/>
    <n v="0"/>
    <n v="1"/>
    <x v="0"/>
  </r>
  <r>
    <n v="260"/>
    <n v="115"/>
    <s v="コアプラス大塚"/>
    <s v="306"/>
    <n v="52.36"/>
    <n v="631"/>
    <x v="0"/>
    <s v="2DK"/>
    <n v="125000"/>
    <n v="5000"/>
    <n v="0"/>
    <n v="0"/>
    <n v="130000"/>
    <n v="130000"/>
    <n v="0"/>
    <n v="130000"/>
    <x v="101"/>
    <s v="中華系"/>
    <x v="0"/>
    <s v=""/>
    <m/>
    <s v="115_306"/>
    <n v="120000"/>
    <m/>
    <n v="1"/>
    <n v="130000"/>
    <n v="0"/>
    <n v="10000"/>
    <n v="1"/>
    <x v="0"/>
  </r>
  <r>
    <n v="261"/>
    <n v="115"/>
    <s v="コアプラス大塚"/>
    <s v="401"/>
    <n v="55.18"/>
    <n v="631"/>
    <x v="0"/>
    <s v="2DK"/>
    <n v="127000"/>
    <n v="5000"/>
    <n v="0"/>
    <n v="0"/>
    <n v="132000"/>
    <n v="132000"/>
    <n v="0"/>
    <n v="132000"/>
    <x v="44"/>
    <s v="日本人等"/>
    <x v="0"/>
    <s v=""/>
    <m/>
    <s v="115_401"/>
    <n v="132000"/>
    <m/>
    <n v="1"/>
    <n v="132000"/>
    <n v="0"/>
    <n v="0"/>
    <n v="1"/>
    <x v="0"/>
  </r>
  <r>
    <n v="262"/>
    <n v="115"/>
    <s v="コアプラス大塚"/>
    <s v="402"/>
    <n v="52"/>
    <n v="631"/>
    <x v="0"/>
    <s v="2DK"/>
    <n v="125000"/>
    <n v="5000"/>
    <n v="0"/>
    <n v="0"/>
    <n v="130000"/>
    <n v="130000"/>
    <n v="0"/>
    <n v="130000"/>
    <x v="101"/>
    <s v="日本人等"/>
    <x v="0"/>
    <s v=""/>
    <m/>
    <s v="115_402"/>
    <n v="125000"/>
    <m/>
    <n v="1"/>
    <n v="130000"/>
    <n v="0"/>
    <n v="5000"/>
    <n v="1"/>
    <x v="0"/>
  </r>
  <r>
    <n v="263"/>
    <n v="115"/>
    <s v="コアプラス大塚"/>
    <s v="403"/>
    <n v="52"/>
    <n v="631"/>
    <x v="0"/>
    <s v="3DK"/>
    <n v="132000"/>
    <n v="5000"/>
    <n v="0"/>
    <n v="0"/>
    <n v="137000"/>
    <n v="137000"/>
    <n v="0"/>
    <n v="137000"/>
    <x v="110"/>
    <s v="住居法人契約"/>
    <x v="0"/>
    <s v=""/>
    <m/>
    <s v="115_403"/>
    <n v="125000"/>
    <m/>
    <n v="1"/>
    <n v="137000"/>
    <n v="0"/>
    <n v="12000"/>
    <n v="1"/>
    <x v="0"/>
  </r>
  <r>
    <n v="264"/>
    <n v="115"/>
    <s v="コアプラス大塚"/>
    <s v="405"/>
    <n v="52"/>
    <n v="631"/>
    <x v="0"/>
    <s v="3DK"/>
    <n v="132000"/>
    <n v="5000"/>
    <n v="0"/>
    <n v="0"/>
    <n v="137000"/>
    <n v="128000"/>
    <n v="0"/>
    <n v="128000"/>
    <x v="110"/>
    <s v="中華系"/>
    <x v="0"/>
    <s v=""/>
    <m/>
    <s v="115_405"/>
    <n v="128000"/>
    <m/>
    <n v="1"/>
    <n v="137000"/>
    <n v="-9000"/>
    <n v="9000"/>
    <n v="1"/>
    <x v="0"/>
  </r>
  <r>
    <n v="265"/>
    <n v="115"/>
    <s v="コアプラス大塚"/>
    <s v="406"/>
    <n v="52.36"/>
    <n v="631"/>
    <x v="0"/>
    <s v="2DK"/>
    <n v="123000"/>
    <n v="5000"/>
    <n v="0"/>
    <n v="0"/>
    <n v="128000"/>
    <n v="128000"/>
    <n v="0"/>
    <n v="128000"/>
    <x v="108"/>
    <s v="日本人等"/>
    <x v="0"/>
    <s v=""/>
    <m/>
    <s v="115_406"/>
    <n v="125000"/>
    <m/>
    <n v="1"/>
    <n v="128000"/>
    <n v="0"/>
    <n v="3000"/>
    <n v="1"/>
    <x v="0"/>
  </r>
  <r>
    <n v="266"/>
    <n v="115"/>
    <s v="コアプラス大塚"/>
    <s v="501"/>
    <n v="55.18"/>
    <n v="631"/>
    <x v="0"/>
    <s v="2DK"/>
    <n v="132000"/>
    <n v="5000"/>
    <n v="0"/>
    <n v="0"/>
    <n v="137000"/>
    <n v="137000"/>
    <n v="0"/>
    <n v="137000"/>
    <x v="110"/>
    <s v="住居法人契約"/>
    <x v="0"/>
    <s v=""/>
    <m/>
    <s v="115_501"/>
    <n v="120000"/>
    <m/>
    <n v="1"/>
    <n v="137000"/>
    <n v="0"/>
    <n v="17000"/>
    <n v="1"/>
    <x v="0"/>
  </r>
  <r>
    <n v="267"/>
    <n v="115"/>
    <s v="コアプラス大塚"/>
    <s v="502"/>
    <n v="52"/>
    <n v="631"/>
    <x v="0"/>
    <s v="2DK"/>
    <n v="128000"/>
    <n v="5000"/>
    <n v="0"/>
    <n v="0"/>
    <n v="133000"/>
    <n v="133000"/>
    <n v="0"/>
    <n v="133000"/>
    <x v="109"/>
    <s v="日本人等"/>
    <x v="0"/>
    <s v=""/>
    <m/>
    <s v="115_502"/>
    <n v="133000"/>
    <m/>
    <n v="1"/>
    <n v="133000"/>
    <n v="0"/>
    <n v="0"/>
    <n v="1"/>
    <x v="0"/>
  </r>
  <r>
    <n v="268"/>
    <n v="115"/>
    <s v="コアプラス大塚"/>
    <s v="503"/>
    <n v="52"/>
    <n v="631"/>
    <x v="0"/>
    <s v="3DK"/>
    <n v="130000"/>
    <n v="5000"/>
    <n v="0"/>
    <n v="0"/>
    <n v="135000"/>
    <n v="135000"/>
    <n v="0"/>
    <n v="135000"/>
    <x v="60"/>
    <s v="日本人等"/>
    <x v="0"/>
    <s v=""/>
    <m/>
    <s v="115_503"/>
    <n v="128000"/>
    <m/>
    <n v="1"/>
    <n v="135000"/>
    <n v="0"/>
    <n v="7000"/>
    <n v="1"/>
    <x v="0"/>
  </r>
  <r>
    <n v="269"/>
    <n v="115"/>
    <s v="コアプラス大塚"/>
    <s v="505"/>
    <n v="52"/>
    <n v="631"/>
    <x v="0"/>
    <s v="2DK"/>
    <n v="125000"/>
    <n v="5000"/>
    <n v="0"/>
    <n v="0"/>
    <n v="130000"/>
    <n v="125000"/>
    <n v="0"/>
    <n v="125000"/>
    <x v="101"/>
    <s v="日本人等"/>
    <x v="0"/>
    <s v=""/>
    <m/>
    <s v="115_505"/>
    <n v="125000"/>
    <m/>
    <n v="1"/>
    <n v="130000"/>
    <n v="-5000"/>
    <n v="5000"/>
    <n v="1"/>
    <x v="0"/>
  </r>
  <r>
    <n v="270"/>
    <n v="115"/>
    <s v="コアプラス大塚"/>
    <s v="506"/>
    <n v="52.36"/>
    <n v="631"/>
    <x v="0"/>
    <s v="2DK"/>
    <n v="120000"/>
    <n v="5000"/>
    <n v="0"/>
    <n v="0"/>
    <n v="125000"/>
    <n v="125000"/>
    <n v="0"/>
    <n v="125000"/>
    <x v="55"/>
    <s v="日本人等"/>
    <x v="0"/>
    <s v=""/>
    <m/>
    <s v="115_506"/>
    <n v="125000"/>
    <m/>
    <n v="1"/>
    <n v="125000"/>
    <n v="0"/>
    <n v="0"/>
    <n v="1"/>
    <x v="0"/>
  </r>
  <r>
    <n v="271"/>
    <n v="115"/>
    <s v="コアプラス大塚"/>
    <s v="601"/>
    <n v="52"/>
    <n v="631"/>
    <x v="0"/>
    <s v="2DK"/>
    <n v="129000"/>
    <n v="5000"/>
    <n v="0"/>
    <n v="0"/>
    <n v="134000"/>
    <n v="134000"/>
    <n v="0"/>
    <n v="134000"/>
    <x v="70"/>
    <s v="日本人等"/>
    <x v="0"/>
    <s v=""/>
    <m/>
    <s v="115_601"/>
    <n v="134000"/>
    <m/>
    <n v="1"/>
    <n v="134000"/>
    <n v="0"/>
    <n v="0"/>
    <n v="1"/>
    <x v="0"/>
  </r>
  <r>
    <n v="272"/>
    <n v="115"/>
    <s v="コアプラス大塚"/>
    <s v="602"/>
    <n v="52"/>
    <n v="631"/>
    <x v="0"/>
    <s v="3DK"/>
    <n v="134000"/>
    <n v="5000"/>
    <n v="0"/>
    <n v="0"/>
    <n v="139000"/>
    <n v="139000"/>
    <n v="0"/>
    <n v="139000"/>
    <x v="47"/>
    <s v="日本人等"/>
    <x v="0"/>
    <s v=""/>
    <m/>
    <s v="115_602"/>
    <n v="123000"/>
    <m/>
    <n v="1"/>
    <n v="139000"/>
    <n v="0"/>
    <n v="16000"/>
    <n v="1"/>
    <x v="0"/>
  </r>
  <r>
    <n v="273"/>
    <n v="115"/>
    <s v="コアプラス大塚"/>
    <s v="603"/>
    <n v="52"/>
    <n v="631"/>
    <x v="0"/>
    <s v="3DK"/>
    <n v="130000"/>
    <n v="5000"/>
    <n v="0"/>
    <n v="0"/>
    <n v="135000"/>
    <n v="135000"/>
    <n v="0"/>
    <n v="135000"/>
    <x v="60"/>
    <s v="日本人等"/>
    <x v="0"/>
    <s v=""/>
    <m/>
    <s v="115_603"/>
    <n v="125000"/>
    <m/>
    <n v="1"/>
    <n v="135000"/>
    <n v="0"/>
    <n v="10000"/>
    <n v="1"/>
    <x v="0"/>
  </r>
  <r>
    <n v="274"/>
    <n v="115"/>
    <s v="コアプラス大塚"/>
    <s v="101"/>
    <n v="59.53"/>
    <n v="633"/>
    <x v="5"/>
    <s v="店舗"/>
    <n v="170000"/>
    <n v="4630"/>
    <n v="0"/>
    <n v="17463"/>
    <n v="192093"/>
    <n v="174630"/>
    <n v="17463"/>
    <n v="192093"/>
    <x v="111"/>
    <s v="日本人等"/>
    <x v="0"/>
    <s v=""/>
    <m/>
    <s v="115_101"/>
    <n v="174630"/>
    <m/>
    <n v="1"/>
    <n v="174630"/>
    <n v="0"/>
    <n v="0"/>
    <n v="1"/>
    <x v="0"/>
  </r>
  <r>
    <n v="275"/>
    <n v="115"/>
    <s v="コアプラス大塚"/>
    <s v="BF1"/>
    <n v="0"/>
    <n v="634"/>
    <x v="4"/>
    <s v="駐車場"/>
    <n v="324074"/>
    <n v="0"/>
    <n v="0"/>
    <n v="32407"/>
    <n v="356481"/>
    <n v="324073"/>
    <n v="32407.363636363636"/>
    <n v="356480.36363636365"/>
    <x v="112"/>
    <s v="法人契約"/>
    <x v="0"/>
    <s v="駐輪場"/>
    <m/>
    <s v="115_BF1"/>
    <n v="100000"/>
    <m/>
    <n v="1"/>
    <n v="324074"/>
    <n v="-1"/>
    <n v="224074"/>
    <n v="1"/>
    <x v="0"/>
  </r>
  <r>
    <n v="276"/>
    <n v="115"/>
    <s v="コアプラス大塚"/>
    <s v="RF1"/>
    <n v="0"/>
    <n v="635"/>
    <x v="2"/>
    <s v="その他"/>
    <n v="12000"/>
    <n v="0"/>
    <n v="0"/>
    <n v="1200"/>
    <n v="13200"/>
    <n v="12000"/>
    <n v="1199.9999999999998"/>
    <n v="13200"/>
    <x v="65"/>
    <s v="-"/>
    <x v="0"/>
    <s v="LPWA"/>
    <m/>
    <s v="115_RF1"/>
    <n v="0"/>
    <m/>
    <n v="1"/>
    <n v="12000"/>
    <n v="0"/>
    <n v="12000"/>
    <n v="1"/>
    <x v="0"/>
  </r>
  <r>
    <n v="277"/>
    <n v="115"/>
    <s v="コアプラス大塚"/>
    <s v="NTF1"/>
    <s v="-"/>
    <n v="639"/>
    <x v="3"/>
    <s v="その他"/>
    <n v="0"/>
    <n v="0"/>
    <n v="0"/>
    <n v="0"/>
    <n v="0"/>
    <n v="0"/>
    <n v="0"/>
    <n v="0"/>
    <x v="14"/>
    <s v="-"/>
    <x v="1"/>
    <s v="フレッツ光"/>
    <m/>
    <s v="115_NTF1"/>
    <n v="0"/>
    <m/>
    <n v="0"/>
    <n v="0"/>
    <n v="0"/>
    <n v="0"/>
    <n v="0"/>
    <x v="0"/>
  </r>
  <r>
    <n v="278"/>
    <n v="116"/>
    <s v="コアプラスレジデンス梅田"/>
    <s v="201"/>
    <n v="55.01"/>
    <n v="631"/>
    <x v="0"/>
    <s v="3DK"/>
    <n v="122000"/>
    <n v="0"/>
    <n v="0"/>
    <n v="0"/>
    <n v="122000"/>
    <n v="115000"/>
    <n v="0"/>
    <n v="115000"/>
    <x v="113"/>
    <s v="住居法人契約"/>
    <x v="0"/>
    <s v=""/>
    <m/>
    <s v="116_201"/>
    <n v="115000"/>
    <m/>
    <n v="1"/>
    <n v="122000"/>
    <n v="-7000"/>
    <n v="7000"/>
    <n v="1"/>
    <x v="0"/>
  </r>
  <r>
    <n v="279"/>
    <n v="116"/>
    <s v="コアプラスレジデンス梅田"/>
    <s v="202"/>
    <n v="62.38"/>
    <n v="631"/>
    <x v="0"/>
    <s v="3DK"/>
    <n v="145000"/>
    <n v="5000"/>
    <n v="0"/>
    <n v="0"/>
    <n v="150000"/>
    <n v="160000"/>
    <n v="0"/>
    <n v="160000"/>
    <x v="69"/>
    <s v="日本人等"/>
    <x v="0"/>
    <s v=""/>
    <m/>
    <s v="116_202"/>
    <n v="145000"/>
    <m/>
    <n v="1"/>
    <n v="150000"/>
    <n v="10000"/>
    <n v="5000"/>
    <n v="1"/>
    <x v="0"/>
  </r>
  <r>
    <n v="280"/>
    <n v="116"/>
    <s v="コアプラスレジデンス梅田"/>
    <s v="301"/>
    <n v="55.01"/>
    <n v="631"/>
    <x v="0"/>
    <s v="3DK"/>
    <n v="120000"/>
    <n v="5000"/>
    <n v="0"/>
    <n v="0"/>
    <n v="125000"/>
    <n v="125000"/>
    <n v="0"/>
    <n v="125000"/>
    <x v="55"/>
    <s v="日本人等"/>
    <x v="0"/>
    <s v=""/>
    <m/>
    <s v="116_301"/>
    <n v="125000"/>
    <m/>
    <n v="1"/>
    <n v="125000"/>
    <n v="0"/>
    <n v="0"/>
    <n v="1"/>
    <x v="0"/>
  </r>
  <r>
    <n v="281"/>
    <n v="116"/>
    <s v="コアプラスレジデンス梅田"/>
    <s v="302"/>
    <n v="62.38"/>
    <n v="631"/>
    <x v="0"/>
    <s v="3DK"/>
    <n v="153000"/>
    <n v="5000"/>
    <n v="0"/>
    <n v="0"/>
    <n v="158000"/>
    <n v="155000"/>
    <n v="0"/>
    <n v="155000"/>
    <x v="114"/>
    <s v="日本人等"/>
    <x v="0"/>
    <s v=""/>
    <m/>
    <s v="116_302"/>
    <n v="140000"/>
    <m/>
    <n v="1"/>
    <n v="158000"/>
    <n v="-3000"/>
    <n v="18000"/>
    <n v="1"/>
    <x v="0"/>
  </r>
  <r>
    <n v="282"/>
    <n v="116"/>
    <s v="コアプラスレジデンス梅田"/>
    <s v="401"/>
    <n v="55.01"/>
    <n v="631"/>
    <x v="0"/>
    <s v="3DK"/>
    <n v="143000"/>
    <n v="5000"/>
    <n v="0"/>
    <n v="0"/>
    <n v="148000"/>
    <n v="140000"/>
    <n v="0"/>
    <n v="140000"/>
    <x v="115"/>
    <s v="中華系"/>
    <x v="0"/>
    <s v=""/>
    <m/>
    <s v="116_401"/>
    <n v="130000"/>
    <m/>
    <n v="1"/>
    <n v="148000"/>
    <n v="-8000"/>
    <n v="18000"/>
    <n v="1"/>
    <x v="0"/>
  </r>
  <r>
    <n v="283"/>
    <n v="116"/>
    <s v="コアプラスレジデンス梅田"/>
    <s v="402"/>
    <n v="62.38"/>
    <n v="631"/>
    <x v="0"/>
    <s v="3DK"/>
    <n v="153000"/>
    <n v="5000"/>
    <n v="0"/>
    <n v="0"/>
    <n v="158000"/>
    <n v="141000"/>
    <n v="0"/>
    <n v="141000"/>
    <x v="114"/>
    <s v="日本人等"/>
    <x v="0"/>
    <s v=""/>
    <m/>
    <s v="116_402"/>
    <n v="130000"/>
    <m/>
    <n v="1"/>
    <n v="158000"/>
    <n v="-17000"/>
    <n v="28000"/>
    <n v="1"/>
    <x v="0"/>
  </r>
  <r>
    <n v="284"/>
    <n v="116"/>
    <s v="コアプラスレジデンス梅田"/>
    <s v="501"/>
    <n v="55.01"/>
    <n v="631"/>
    <x v="0"/>
    <s v="3DK"/>
    <n v="140000"/>
    <n v="5000"/>
    <n v="0"/>
    <n v="0"/>
    <n v="145000"/>
    <n v="130000"/>
    <n v="0"/>
    <n v="130000"/>
    <x v="73"/>
    <s v="日本人等"/>
    <x v="0"/>
    <s v=""/>
    <m/>
    <s v="116_501"/>
    <n v="130000"/>
    <m/>
    <n v="1"/>
    <n v="145000"/>
    <n v="-15000"/>
    <n v="15000"/>
    <n v="1"/>
    <x v="0"/>
  </r>
  <r>
    <n v="285"/>
    <n v="116"/>
    <s v="コアプラスレジデンス梅田"/>
    <s v="502"/>
    <n v="60"/>
    <n v="631"/>
    <x v="0"/>
    <s v="3DK"/>
    <n v="135000"/>
    <n v="0"/>
    <n v="0"/>
    <n v="0"/>
    <n v="135000"/>
    <n v="135000"/>
    <n v="0"/>
    <n v="135000"/>
    <x v="60"/>
    <s v="日本人等"/>
    <x v="0"/>
    <s v=""/>
    <m/>
    <s v="116_502"/>
    <n v="135000"/>
    <m/>
    <n v="1"/>
    <n v="135000"/>
    <n v="0"/>
    <n v="0"/>
    <n v="1"/>
    <x v="0"/>
  </r>
  <r>
    <n v="286"/>
    <n v="116"/>
    <s v="コアプラスレジデンス梅田"/>
    <s v="601"/>
    <n v="65"/>
    <n v="631"/>
    <x v="0"/>
    <s v="3DK"/>
    <n v="145000"/>
    <n v="5000"/>
    <n v="0"/>
    <n v="0"/>
    <n v="150000"/>
    <n v="140000"/>
    <n v="0"/>
    <n v="140000"/>
    <x v="69"/>
    <s v="中華系"/>
    <x v="0"/>
    <s v=""/>
    <m/>
    <s v="116_601"/>
    <n v="130000"/>
    <m/>
    <n v="1"/>
    <n v="150000"/>
    <n v="-10000"/>
    <n v="20000"/>
    <n v="1"/>
    <x v="0"/>
  </r>
  <r>
    <n v="287"/>
    <n v="116"/>
    <s v="コアプラスレジデンス梅田"/>
    <s v="602"/>
    <n v="65"/>
    <n v="631"/>
    <x v="0"/>
    <s v="3DK"/>
    <n v="125000"/>
    <n v="5000"/>
    <n v="0"/>
    <n v="0"/>
    <n v="130000"/>
    <n v="130000"/>
    <n v="0"/>
    <n v="130000"/>
    <x v="101"/>
    <s v="日本人等"/>
    <x v="0"/>
    <s v=""/>
    <m/>
    <s v="116_602"/>
    <n v="130000"/>
    <m/>
    <n v="1"/>
    <n v="130000"/>
    <n v="0"/>
    <n v="0"/>
    <n v="1"/>
    <x v="0"/>
  </r>
  <r>
    <n v="288"/>
    <n v="116"/>
    <s v="コアプラスレジデンス梅田"/>
    <s v="701"/>
    <n v="65.61"/>
    <n v="631"/>
    <x v="0"/>
    <s v="3DK"/>
    <n v="138000"/>
    <n v="2000"/>
    <n v="0"/>
    <n v="0"/>
    <n v="140000"/>
    <n v="132000"/>
    <n v="0"/>
    <n v="132000"/>
    <x v="39"/>
    <s v="日本人等"/>
    <x v="0"/>
    <s v=""/>
    <m/>
    <s v="116_701"/>
    <n v="132000"/>
    <m/>
    <n v="1"/>
    <n v="140000"/>
    <n v="-8000"/>
    <n v="8000"/>
    <n v="1"/>
    <x v="0"/>
  </r>
  <r>
    <n v="289"/>
    <n v="116"/>
    <s v="コアプラスレジデンス梅田"/>
    <s v="702"/>
    <n v="62.38"/>
    <n v="631"/>
    <x v="0"/>
    <s v="3DK"/>
    <n v="160000"/>
    <n v="5000"/>
    <n v="0"/>
    <n v="0"/>
    <n v="165000"/>
    <n v="135000"/>
    <n v="0"/>
    <n v="135000"/>
    <x v="34"/>
    <s v="中華系"/>
    <x v="0"/>
    <s v=""/>
    <m/>
    <s v="116_702"/>
    <n v="135000"/>
    <m/>
    <n v="1"/>
    <n v="165000"/>
    <n v="-30000"/>
    <n v="30000"/>
    <n v="1"/>
    <x v="0"/>
  </r>
  <r>
    <n v="290"/>
    <n v="116"/>
    <s v="コアプラスレジデンス梅田"/>
    <s v="801"/>
    <n v="40"/>
    <n v="631"/>
    <x v="0"/>
    <s v="3LDK"/>
    <n v="135000"/>
    <n v="5000"/>
    <n v="0"/>
    <n v="0"/>
    <n v="140000"/>
    <n v="140000"/>
    <n v="0"/>
    <n v="140000"/>
    <x v="39"/>
    <s v="中華系"/>
    <x v="0"/>
    <s v=""/>
    <m/>
    <s v="116_801"/>
    <n v="180000"/>
    <m/>
    <n v="1"/>
    <n v="140000"/>
    <n v="0"/>
    <n v="-40000"/>
    <n v="1"/>
    <x v="0"/>
  </r>
  <r>
    <n v="291"/>
    <n v="116"/>
    <s v="コアプラスレジデンス梅田"/>
    <s v="802"/>
    <n v="62"/>
    <n v="631"/>
    <x v="0"/>
    <s v="2LDK"/>
    <n v="170000"/>
    <n v="5000"/>
    <n v="0"/>
    <n v="0"/>
    <n v="175000"/>
    <n v="175000"/>
    <n v="0"/>
    <n v="175000"/>
    <x v="116"/>
    <s v="その他新興国"/>
    <x v="0"/>
    <s v=""/>
    <m/>
    <s v="116_802"/>
    <n v="175000"/>
    <m/>
    <n v="1"/>
    <n v="175000"/>
    <n v="0"/>
    <n v="0"/>
    <n v="1"/>
    <x v="0"/>
  </r>
  <r>
    <n v="292"/>
    <n v="116"/>
    <s v="コアプラスレジデンス梅田"/>
    <s v="101"/>
    <n v="130.33000000000001"/>
    <n v="633"/>
    <x v="5"/>
    <s v="店舗"/>
    <n v="376000"/>
    <n v="0"/>
    <n v="0"/>
    <n v="37600"/>
    <n v="413600"/>
    <n v="376000"/>
    <n v="37599.999999999993"/>
    <n v="413600"/>
    <x v="117"/>
    <s v="日本人等"/>
    <x v="0"/>
    <s v=""/>
    <m/>
    <s v="116_101"/>
    <n v="350000"/>
    <m/>
    <n v="1"/>
    <n v="376000"/>
    <n v="0"/>
    <n v="26000"/>
    <n v="1"/>
    <x v="0"/>
  </r>
  <r>
    <n v="293"/>
    <n v="116"/>
    <s v="コアプラスレジデンス梅田"/>
    <s v="RF1"/>
    <n v="0"/>
    <n v="635"/>
    <x v="2"/>
    <s v="その他"/>
    <n v="12000"/>
    <n v="0"/>
    <n v="0"/>
    <n v="1200"/>
    <n v="13200"/>
    <n v="12000"/>
    <n v="1199.9999999999998"/>
    <n v="13200"/>
    <x v="65"/>
    <s v="-"/>
    <x v="0"/>
    <s v="LPWA"/>
    <m/>
    <s v="116_RF1"/>
    <n v="0"/>
    <m/>
    <n v="1"/>
    <n v="12000"/>
    <n v="0"/>
    <n v="12000"/>
    <n v="1"/>
    <x v="0"/>
  </r>
  <r>
    <n v="294"/>
    <n v="116"/>
    <s v="コアプラスレジデンス梅田"/>
    <s v="NTF1"/>
    <s v="-"/>
    <n v="639"/>
    <x v="3"/>
    <s v="その他"/>
    <n v="0"/>
    <n v="0"/>
    <n v="0"/>
    <n v="0"/>
    <n v="0"/>
    <n v="0"/>
    <n v="0"/>
    <n v="0"/>
    <x v="14"/>
    <s v="-"/>
    <x v="1"/>
    <s v="フレッツ光"/>
    <m/>
    <s v="116_NTF1"/>
    <n v="0"/>
    <m/>
    <n v="0"/>
    <n v="0"/>
    <n v="0"/>
    <n v="0"/>
    <n v="0"/>
    <x v="0"/>
  </r>
  <r>
    <n v="295"/>
    <n v="117"/>
    <s v="高田馬場第4玉川ビル"/>
    <s v="101"/>
    <n v="89.64"/>
    <n v="631"/>
    <x v="0"/>
    <s v="2SLDK"/>
    <n v="185000"/>
    <n v="5000"/>
    <n v="0"/>
    <n v="0"/>
    <n v="190000"/>
    <n v="190000"/>
    <n v="0"/>
    <n v="190000"/>
    <x v="118"/>
    <s v="日本人等"/>
    <x v="0"/>
    <s v=""/>
    <m/>
    <s v="117_101"/>
    <n v="190000"/>
    <m/>
    <n v="1"/>
    <n v="190000"/>
    <n v="0"/>
    <n v="0"/>
    <n v="1"/>
    <x v="0"/>
  </r>
  <r>
    <n v="296"/>
    <n v="117"/>
    <s v="高田馬場第4玉川ビル"/>
    <s v="B101"/>
    <n v="89.64"/>
    <n v="631"/>
    <x v="0"/>
    <s v="2SLDK"/>
    <n v="160000"/>
    <n v="5000"/>
    <n v="0"/>
    <n v="0"/>
    <n v="165000"/>
    <n v="165000"/>
    <n v="0"/>
    <n v="165000"/>
    <x v="34"/>
    <s v="住居法人契約"/>
    <x v="0"/>
    <s v=""/>
    <m/>
    <s v="117_B101"/>
    <n v="165000"/>
    <m/>
    <n v="1"/>
    <n v="165000"/>
    <n v="0"/>
    <n v="0"/>
    <n v="1"/>
    <x v="0"/>
  </r>
  <r>
    <n v="297"/>
    <n v="117"/>
    <s v="高田馬場第4玉川ビル"/>
    <s v="201"/>
    <n v="31.98"/>
    <n v="631"/>
    <x v="0"/>
    <s v="2K"/>
    <n v="84000"/>
    <n v="4000"/>
    <n v="0"/>
    <n v="0"/>
    <n v="88000"/>
    <n v="88000"/>
    <n v="0"/>
    <n v="88000"/>
    <x v="46"/>
    <s v="中華系"/>
    <x v="0"/>
    <s v=""/>
    <m/>
    <s v="117_201"/>
    <n v="83000"/>
    <m/>
    <n v="1"/>
    <n v="88000"/>
    <n v="0"/>
    <n v="5000"/>
    <n v="1"/>
    <x v="0"/>
  </r>
  <r>
    <n v="298"/>
    <n v="117"/>
    <s v="高田馬場第4玉川ビル"/>
    <s v="202"/>
    <n v="28.84"/>
    <n v="631"/>
    <x v="0"/>
    <s v="2K"/>
    <n v="78000"/>
    <n v="5000"/>
    <n v="0"/>
    <n v="0"/>
    <n v="83000"/>
    <n v="78000"/>
    <n v="0"/>
    <n v="78000"/>
    <x v="85"/>
    <s v="日本人等"/>
    <x v="0"/>
    <s v=""/>
    <m/>
    <s v="117_202"/>
    <n v="80000"/>
    <m/>
    <n v="1"/>
    <n v="83000"/>
    <n v="-5000"/>
    <n v="3000"/>
    <n v="1"/>
    <x v="0"/>
  </r>
  <r>
    <n v="299"/>
    <n v="117"/>
    <s v="高田馬場第4玉川ビル"/>
    <s v="203"/>
    <n v="28.84"/>
    <n v="631"/>
    <x v="0"/>
    <s v="2K"/>
    <n v="80000"/>
    <n v="5000"/>
    <n v="0"/>
    <n v="0"/>
    <n v="85000"/>
    <n v="84000"/>
    <n v="0"/>
    <n v="84000"/>
    <x v="18"/>
    <s v="日本人等"/>
    <x v="0"/>
    <s v=""/>
    <m/>
    <s v="117_203"/>
    <n v="79000"/>
    <m/>
    <n v="1"/>
    <n v="85000"/>
    <n v="-1000"/>
    <n v="6000"/>
    <n v="1"/>
    <x v="0"/>
  </r>
  <r>
    <n v="300"/>
    <n v="117"/>
    <s v="高田馬場第4玉川ビル"/>
    <s v="301"/>
    <n v="16.78"/>
    <n v="631"/>
    <x v="0"/>
    <s v="1R"/>
    <n v="67000"/>
    <n v="2000"/>
    <n v="0"/>
    <n v="0"/>
    <n v="69000"/>
    <n v="69000"/>
    <n v="0"/>
    <n v="69000"/>
    <x v="9"/>
    <s v="日本人等"/>
    <x v="0"/>
    <s v=""/>
    <m/>
    <s v="117_301"/>
    <n v="69000"/>
    <m/>
    <n v="1"/>
    <n v="69000"/>
    <n v="0"/>
    <n v="0"/>
    <n v="1"/>
    <x v="0"/>
  </r>
  <r>
    <n v="301"/>
    <n v="117"/>
    <s v="高田馬場第4玉川ビル"/>
    <s v="302"/>
    <n v="27.31"/>
    <n v="631"/>
    <x v="0"/>
    <s v="2K"/>
    <n v="80000"/>
    <n v="3000"/>
    <n v="0"/>
    <n v="0"/>
    <n v="83000"/>
    <n v="82000"/>
    <n v="0"/>
    <n v="82000"/>
    <x v="85"/>
    <s v="日本人等"/>
    <x v="0"/>
    <s v=""/>
    <m/>
    <s v="117_302"/>
    <n v="81000"/>
    <m/>
    <n v="1"/>
    <n v="83000"/>
    <n v="-1000"/>
    <n v="2000"/>
    <n v="1"/>
    <x v="0"/>
  </r>
  <r>
    <n v="302"/>
    <n v="117"/>
    <s v="高田馬場第4玉川ビル"/>
    <s v="303"/>
    <n v="27.31"/>
    <n v="631"/>
    <x v="0"/>
    <s v="2K"/>
    <n v="81000"/>
    <n v="2000"/>
    <n v="0"/>
    <n v="0"/>
    <n v="83000"/>
    <n v="83000"/>
    <n v="0"/>
    <n v="83000"/>
    <x v="85"/>
    <s v="日本人等"/>
    <x v="0"/>
    <s v=""/>
    <m/>
    <s v="117_303"/>
    <n v="83000"/>
    <m/>
    <n v="1"/>
    <n v="83000"/>
    <n v="0"/>
    <n v="0"/>
    <n v="1"/>
    <x v="0"/>
  </r>
  <r>
    <n v="303"/>
    <n v="117"/>
    <s v="高田馬場第4玉川ビル"/>
    <s v="P1"/>
    <n v="0"/>
    <n v="634"/>
    <x v="4"/>
    <s v="駐車場"/>
    <n v="0"/>
    <n v="0"/>
    <n v="0"/>
    <n v="0"/>
    <n v="0"/>
    <n v="13000"/>
    <n v="1300"/>
    <n v="14300"/>
    <x v="119"/>
    <s v="法人契約"/>
    <x v="0"/>
    <s v="一時的な空室"/>
    <m/>
    <s v="117_P1"/>
    <n v="14300"/>
    <m/>
    <n v="0"/>
    <n v="13000"/>
    <n v="0"/>
    <n v="-1300"/>
    <n v="1"/>
    <x v="0"/>
  </r>
  <r>
    <n v="304"/>
    <n v="120"/>
    <s v="南池袋マンション"/>
    <s v="101"/>
    <n v="23.07"/>
    <n v="631"/>
    <x v="0"/>
    <s v="1R"/>
    <n v="75000"/>
    <n v="0"/>
    <n v="0"/>
    <n v="0"/>
    <n v="75000"/>
    <n v="75000"/>
    <n v="0"/>
    <n v="75000"/>
    <x v="19"/>
    <s v="日本人等"/>
    <x v="0"/>
    <s v=""/>
    <m/>
    <s v="120_101"/>
    <n v="75000"/>
    <m/>
    <n v="1"/>
    <n v="75000"/>
    <n v="0"/>
    <n v="0"/>
    <n v="1"/>
    <x v="0"/>
  </r>
  <r>
    <n v="305"/>
    <n v="120"/>
    <s v="南池袋マンション"/>
    <s v="102"/>
    <n v="26.94"/>
    <n v="631"/>
    <x v="0"/>
    <s v="1DK"/>
    <n v="70000"/>
    <n v="0"/>
    <n v="0"/>
    <n v="0"/>
    <n v="70000"/>
    <n v="70000"/>
    <n v="0"/>
    <n v="70000"/>
    <x v="7"/>
    <s v="日本人等"/>
    <x v="0"/>
    <s v=""/>
    <m/>
    <s v="120_102"/>
    <n v="70000"/>
    <m/>
    <n v="1"/>
    <n v="70000"/>
    <n v="0"/>
    <n v="0"/>
    <n v="1"/>
    <x v="0"/>
  </r>
  <r>
    <n v="306"/>
    <n v="120"/>
    <s v="南池袋マンション"/>
    <s v="103"/>
    <n v="33.450000000000003"/>
    <n v="631"/>
    <x v="0"/>
    <s v="1DK"/>
    <n v="79000"/>
    <n v="4000"/>
    <n v="0"/>
    <n v="0"/>
    <n v="83000"/>
    <n v="83000"/>
    <n v="0"/>
    <n v="83000"/>
    <x v="85"/>
    <s v="日本人等"/>
    <x v="0"/>
    <s v=""/>
    <m/>
    <s v="120_103"/>
    <n v="89000"/>
    <m/>
    <n v="1"/>
    <n v="83000"/>
    <n v="0"/>
    <n v="-6000"/>
    <n v="1"/>
    <x v="0"/>
  </r>
  <r>
    <n v="307"/>
    <n v="120"/>
    <s v="南池袋マンション"/>
    <s v="201"/>
    <n v="43.83"/>
    <n v="631"/>
    <x v="0"/>
    <s v="1LDK"/>
    <n v="102000"/>
    <n v="3000"/>
    <n v="0"/>
    <n v="0"/>
    <n v="105000"/>
    <n v="103000"/>
    <n v="0"/>
    <n v="103000"/>
    <x v="50"/>
    <s v="日本人等"/>
    <x v="0"/>
    <s v=""/>
    <m/>
    <s v="120_201"/>
    <n v="103000"/>
    <m/>
    <n v="1"/>
    <n v="105000"/>
    <n v="-2000"/>
    <n v="2000"/>
    <n v="1"/>
    <x v="0"/>
  </r>
  <r>
    <n v="308"/>
    <n v="120"/>
    <s v="南池袋マンション"/>
    <s v="202"/>
    <n v="26.94"/>
    <n v="631"/>
    <x v="0"/>
    <s v="1DK"/>
    <n v="75000"/>
    <n v="0"/>
    <n v="0"/>
    <n v="0"/>
    <n v="75000"/>
    <n v="75000"/>
    <n v="0"/>
    <n v="75000"/>
    <x v="19"/>
    <s v="日本人等"/>
    <x v="0"/>
    <s v=""/>
    <m/>
    <s v="120_202"/>
    <n v="75000"/>
    <m/>
    <n v="1"/>
    <n v="75000"/>
    <n v="0"/>
    <n v="0"/>
    <n v="1"/>
    <x v="0"/>
  </r>
  <r>
    <n v="309"/>
    <n v="120"/>
    <s v="南池袋マンション"/>
    <s v="203"/>
    <n v="33.450000000000003"/>
    <n v="631"/>
    <x v="0"/>
    <s v="1DK"/>
    <n v="87000"/>
    <n v="3000"/>
    <n v="0"/>
    <n v="0"/>
    <n v="90000"/>
    <n v="90000"/>
    <n v="0"/>
    <n v="90000"/>
    <x v="58"/>
    <s v="日本人等"/>
    <x v="0"/>
    <s v=""/>
    <m/>
    <s v="120_203"/>
    <n v="103000"/>
    <m/>
    <n v="1"/>
    <n v="90000"/>
    <n v="0"/>
    <n v="-13000"/>
    <n v="1"/>
    <x v="0"/>
  </r>
  <r>
    <n v="310"/>
    <n v="120"/>
    <s v="南池袋マンション"/>
    <s v="301"/>
    <n v="38.04"/>
    <n v="631"/>
    <x v="0"/>
    <s v="1DK"/>
    <n v="105000"/>
    <n v="0"/>
    <n v="0"/>
    <n v="0"/>
    <n v="105000"/>
    <n v="105000"/>
    <n v="0"/>
    <n v="105000"/>
    <x v="50"/>
    <s v="日本人等"/>
    <x v="0"/>
    <s v=""/>
    <m/>
    <s v="120_301"/>
    <n v="105000"/>
    <m/>
    <n v="1"/>
    <n v="105000"/>
    <n v="0"/>
    <n v="0"/>
    <n v="1"/>
    <x v="0"/>
  </r>
  <r>
    <n v="311"/>
    <n v="120"/>
    <s v="南池袋マンション"/>
    <s v="302"/>
    <n v="51.96"/>
    <n v="631"/>
    <x v="0"/>
    <s v="2LDK"/>
    <n v="120000"/>
    <n v="5000"/>
    <n v="0"/>
    <n v="0"/>
    <n v="125000"/>
    <n v="125000"/>
    <n v="0"/>
    <n v="125000"/>
    <x v="55"/>
    <s v="日本人等"/>
    <x v="0"/>
    <s v=""/>
    <m/>
    <s v="120_302"/>
    <n v="136000"/>
    <m/>
    <n v="1"/>
    <n v="125000"/>
    <n v="0"/>
    <n v="-11000"/>
    <n v="1"/>
    <x v="0"/>
  </r>
  <r>
    <n v="312"/>
    <n v="120"/>
    <s v="南池袋マンション"/>
    <s v="401"/>
    <n v="51.4"/>
    <n v="631"/>
    <x v="0"/>
    <s v="2LDK"/>
    <n v="136000"/>
    <n v="4000"/>
    <n v="0"/>
    <n v="0"/>
    <n v="140000"/>
    <n v="140000"/>
    <n v="0"/>
    <n v="140000"/>
    <x v="39"/>
    <s v="日本人等"/>
    <x v="0"/>
    <s v=""/>
    <m/>
    <s v="120_401"/>
    <n v="138000"/>
    <m/>
    <n v="1"/>
    <n v="140000"/>
    <n v="0"/>
    <n v="2000"/>
    <n v="1"/>
    <x v="0"/>
  </r>
  <r>
    <n v="313"/>
    <n v="120"/>
    <s v="南池袋マンション"/>
    <s v="TD1"/>
    <s v="-"/>
    <n v="639"/>
    <x v="3"/>
    <s v="その他"/>
    <n v="0"/>
    <n v="0"/>
    <n v="0"/>
    <n v="0"/>
    <n v="0"/>
    <n v="0"/>
    <n v="0"/>
    <n v="0"/>
    <x v="14"/>
    <s v="-"/>
    <x v="1"/>
    <s v="電柱"/>
    <m/>
    <s v="120_TD1"/>
    <n v="0"/>
    <m/>
    <n v="0"/>
    <n v="0"/>
    <n v="0"/>
    <n v="0"/>
    <n v="0"/>
    <x v="0"/>
  </r>
  <r>
    <n v="314"/>
    <n v="120"/>
    <s v="南池袋マンション"/>
    <s v="VND1"/>
    <s v="-"/>
    <n v="637"/>
    <x v="7"/>
    <s v="自販機"/>
    <n v="0"/>
    <n v="0"/>
    <n v="0"/>
    <n v="0"/>
    <n v="0"/>
    <n v="0"/>
    <n v="0"/>
    <n v="0"/>
    <x v="14"/>
    <s v="-"/>
    <x v="0"/>
    <m/>
    <m/>
    <s v="120_VND1"/>
    <n v="0"/>
    <m/>
    <n v="0"/>
    <n v="0"/>
    <n v="0"/>
    <n v="0"/>
    <n v="0"/>
    <x v="0"/>
  </r>
  <r>
    <n v="315"/>
    <n v="221"/>
    <s v="ビジネス新大阪123号"/>
    <s v="724"/>
    <n v="15.4"/>
    <n v="632"/>
    <x v="1"/>
    <s v="1R"/>
    <n v="0"/>
    <n v="0"/>
    <n v="0"/>
    <n v="0"/>
    <n v="0"/>
    <n v="35000"/>
    <n v="0"/>
    <n v="35000"/>
    <x v="120"/>
    <s v="-"/>
    <x v="0"/>
    <s v="一時的な空室"/>
    <m/>
    <s v="221_724"/>
    <n v="35000"/>
    <m/>
    <n v="0"/>
    <n v="35000"/>
    <n v="0"/>
    <n v="0"/>
    <n v="1"/>
    <x v="0"/>
  </r>
  <r>
    <n v="316"/>
    <n v="222"/>
    <s v="プラウD目白301号"/>
    <s v="201"/>
    <n v="76.5"/>
    <n v="631"/>
    <x v="0"/>
    <s v="2LDK"/>
    <n v="0"/>
    <n v="0"/>
    <n v="0"/>
    <n v="0"/>
    <n v="0"/>
    <n v="295000"/>
    <n v="0"/>
    <n v="295000"/>
    <x v="121"/>
    <s v="-"/>
    <x v="1"/>
    <s v="自己利用社宅"/>
    <m/>
    <s v="222_201"/>
    <n v="295000"/>
    <m/>
    <n v="0"/>
    <n v="295000"/>
    <n v="0"/>
    <n v="0"/>
    <n v="1"/>
    <x v="0"/>
  </r>
  <r>
    <n v="317"/>
    <n v="121"/>
    <s v="目白アパート1号館"/>
    <n v="101"/>
    <n v="76.5"/>
    <n v="631"/>
    <x v="0"/>
    <s v="2LDK"/>
    <n v="330000"/>
    <n v="0"/>
    <n v="0"/>
    <n v="0"/>
    <n v="330000"/>
    <n v="330000"/>
    <n v="0"/>
    <n v="330000"/>
    <x v="122"/>
    <s v="日本人等"/>
    <x v="0"/>
    <m/>
    <m/>
    <s v="222_201"/>
    <n v="330000"/>
    <m/>
    <n v="1"/>
    <n v="330000"/>
    <n v="0"/>
    <n v="0"/>
    <n v="1"/>
    <x v="0"/>
  </r>
  <r>
    <n v="318"/>
    <n v="122"/>
    <s v="目白アパート2号館"/>
    <n v="101"/>
    <n v="76.5"/>
    <n v="631"/>
    <x v="0"/>
    <s v="2LDK"/>
    <n v="160000"/>
    <n v="0"/>
    <n v="0"/>
    <n v="0"/>
    <n v="160000"/>
    <n v="160000"/>
    <n v="0"/>
    <n v="160000"/>
    <x v="74"/>
    <s v="日本人等"/>
    <x v="0"/>
    <m/>
    <m/>
    <s v="222_201"/>
    <n v="160000"/>
    <m/>
    <n v="1"/>
    <n v="160000"/>
    <n v="0"/>
    <n v="0"/>
    <n v="1"/>
    <x v="0"/>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pivotCacheRecords>
</file>

<file path=xl/pivotCache/pivotCacheRecords1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
  <r>
    <n v="801"/>
    <s v="返済中"/>
    <n v="502"/>
    <s v="首里信金"/>
    <s v="大阪支店"/>
    <n v="402"/>
    <x v="0"/>
    <n v="601"/>
    <x v="0"/>
    <n v="102"/>
    <x v="0"/>
    <n v="102"/>
    <s v="池袋ハウス"/>
    <n v="550000000"/>
    <d v="2013-02-15T00:00:00"/>
    <n v="1.65"/>
    <s v="信金基準金利+1.00%"/>
    <n v="35"/>
    <n v="35"/>
    <s v="元利均等"/>
    <d v="2022-09-20T00:00:00"/>
    <n v="1050252"/>
    <n v="674466"/>
    <n v="1724718"/>
    <n v="489470974"/>
    <n v="0.88994722545454541"/>
    <n v="25"/>
    <m/>
    <m/>
    <m/>
    <m/>
    <s v="なし"/>
    <m/>
    <s v="なし"/>
    <m/>
    <s v="なし"/>
    <m/>
    <s v="なし"/>
    <m/>
    <m/>
    <d v="2013-02-15T00:00:00"/>
    <d v="2013-02-15T00:00:00"/>
  </r>
  <r>
    <n v="802"/>
    <s v="返済中"/>
    <n v="503"/>
    <s v="名護信金"/>
    <s v="沖縄支店"/>
    <n v="404"/>
    <x v="1"/>
    <n v="601"/>
    <x v="0"/>
    <n v="104"/>
    <x v="1"/>
    <n v="104"/>
    <s v="コアプラス池袋"/>
    <n v="85000000"/>
    <d v="2014-02-20T00:00:00"/>
    <n v="1"/>
    <s v="信金基準金利+1.00%"/>
    <n v="25"/>
    <n v="25"/>
    <s v="元利均等"/>
    <d v="2022-09-20T00:00:00"/>
    <n v="273127"/>
    <n v="48972"/>
    <n v="322099"/>
    <n v="58496261"/>
    <n v="0.68819130588235289"/>
    <n v="16"/>
    <m/>
    <m/>
    <m/>
    <m/>
    <s v="なし"/>
    <m/>
    <s v="なし"/>
    <m/>
    <s v="なし"/>
    <m/>
    <s v="なし"/>
    <m/>
    <m/>
    <d v="2014-02-20T00:00:00"/>
    <d v="2014-02-20T00:00:00"/>
  </r>
  <r>
    <n v="803"/>
    <s v="返済中"/>
    <n v="504"/>
    <s v="読谷信金"/>
    <s v="池袋支店"/>
    <n v="405"/>
    <x v="2"/>
    <n v="601"/>
    <x v="0"/>
    <n v="105"/>
    <x v="2"/>
    <n v="105"/>
    <s v="目白アパート"/>
    <n v="265000000"/>
    <d v="2014-09-12T00:00:00"/>
    <n v="1"/>
    <s v="信金基準金利+1.00%"/>
    <n v="25"/>
    <n v="25"/>
    <s v="元利均等"/>
    <d v="2022-09-20T00:00:00"/>
    <n v="845627"/>
    <n v="156620"/>
    <n v="1002247"/>
    <n v="187106609"/>
    <n v="0.7060626754716981"/>
    <n v="16"/>
    <m/>
    <m/>
    <m/>
    <m/>
    <s v="なし"/>
    <m/>
    <s v="なし"/>
    <m/>
    <s v="なし"/>
    <m/>
    <s v="なし"/>
    <m/>
    <m/>
    <d v="2014-09-12T00:00:00"/>
    <d v="2014-09-12T00:00:00"/>
  </r>
  <r>
    <n v="804"/>
    <s v="返済中"/>
    <n v="505"/>
    <s v="宜野湾信組"/>
    <s v="目白支店"/>
    <n v="404"/>
    <x v="1"/>
    <n v="601"/>
    <x v="0"/>
    <n v="104"/>
    <x v="1"/>
    <n v="104"/>
    <s v="コアプラス池袋"/>
    <n v="17000000"/>
    <d v="2014-11-05T00:00:00"/>
    <n v="1"/>
    <s v="信金基準金利+1.00%"/>
    <n v="25"/>
    <n v="25"/>
    <s v="元利均等"/>
    <d v="2022-09-20T00:00:00"/>
    <n v="55801"/>
    <n v="10004"/>
    <n v="65805"/>
    <n v="11950562"/>
    <n v="0.70297423529411762"/>
    <n v="16"/>
    <m/>
    <m/>
    <m/>
    <m/>
    <s v="なし"/>
    <m/>
    <s v="なし"/>
    <m/>
    <s v="なし"/>
    <m/>
    <s v="なし"/>
    <m/>
    <m/>
    <d v="2014-11-05T00:00:00"/>
    <d v="2014-11-05T00:00:00"/>
  </r>
  <r>
    <n v="805"/>
    <s v="返済中"/>
    <n v="506"/>
    <s v="恩納銀行"/>
    <s v="高田馬場支店"/>
    <n v="406"/>
    <x v="3"/>
    <n v="601"/>
    <x v="0"/>
    <n v="106"/>
    <x v="3"/>
    <n v="106"/>
    <s v="東池袋ハイツ"/>
    <n v="376000000"/>
    <d v="2014-12-01T00:00:00"/>
    <n v="1"/>
    <s v="3m TIBOR +1.00%"/>
    <n v="30"/>
    <n v="30"/>
    <s v="元利均等"/>
    <d v="2022-09-20T00:00:00"/>
    <n v="970634"/>
    <n v="241754"/>
    <n v="1212388"/>
    <n v="289146337"/>
    <n v="0.76900621542553194"/>
    <n v="21"/>
    <m/>
    <m/>
    <m/>
    <m/>
    <s v="なし"/>
    <m/>
    <s v="なし"/>
    <m/>
    <s v="なし"/>
    <m/>
    <s v="なし"/>
    <m/>
    <m/>
    <d v="2014-12-01T00:00:00"/>
    <d v="2014-12-01T00:00:00"/>
  </r>
  <r>
    <n v="806"/>
    <s v="返済中"/>
    <n v="507"/>
    <s v="嘉手納銀行"/>
    <s v="東京支店"/>
    <n v="401"/>
    <x v="4"/>
    <n v="601"/>
    <x v="0"/>
    <n v="101"/>
    <x v="4"/>
    <n v="101"/>
    <s v="西池袋駅前ビル"/>
    <n v="226000000"/>
    <d v="2015-06-01T00:00:00"/>
    <n v="1"/>
    <s v="信金基準金利+1.00%"/>
    <n v="25"/>
    <n v="25"/>
    <s v="元利均等"/>
    <d v="2022-09-30T00:00:00"/>
    <n v="712666"/>
    <n v="139065"/>
    <n v="851731"/>
    <n v="166166517"/>
    <n v="0.73525007522123897"/>
    <n v="17"/>
    <m/>
    <m/>
    <m/>
    <m/>
    <s v="なし"/>
    <m/>
    <s v="なし"/>
    <m/>
    <s v="なし"/>
    <m/>
    <s v="なし"/>
    <m/>
    <m/>
    <d v="2015-06-01T00:00:00"/>
    <d v="2015-06-01T00:00:00"/>
  </r>
  <r>
    <n v="807"/>
    <s v="返済中"/>
    <n v="508"/>
    <s v="奄美信金"/>
    <s v="大阪支店"/>
    <n v="404"/>
    <x v="1"/>
    <n v="601"/>
    <x v="0"/>
    <n v="103"/>
    <x v="5"/>
    <n v="103"/>
    <s v="カーサ目白台ハウス"/>
    <n v="413500000"/>
    <d v="2015-07-15T00:00:00"/>
    <n v="1.1000000000000001"/>
    <s v="信金基準金利+1.00%"/>
    <n v="30"/>
    <n v="30"/>
    <s v="元利均等"/>
    <d v="2022-09-20T00:00:00"/>
    <n v="1049552"/>
    <n v="299492"/>
    <n v="1349044"/>
    <n v="325693047"/>
    <n v="0.78764944860943165"/>
    <n v="22"/>
    <m/>
    <m/>
    <m/>
    <m/>
    <s v="なし"/>
    <m/>
    <s v="なし"/>
    <m/>
    <s v="なし"/>
    <m/>
    <s v="なし"/>
    <m/>
    <m/>
    <d v="2015-07-15T00:00:00"/>
    <d v="2015-07-15T00:00:00"/>
  </r>
  <r>
    <n v="808"/>
    <s v="返済中"/>
    <n v="509"/>
    <s v="竹富信金"/>
    <s v="沖縄支店"/>
    <n v="407"/>
    <x v="5"/>
    <n v="601"/>
    <x v="0"/>
    <n v="107"/>
    <x v="6"/>
    <n v="107"/>
    <s v="メゾン雑司ヶ谷"/>
    <n v="392000000"/>
    <d v="2015-10-15T00:00:00"/>
    <n v="1.2"/>
    <s v="信金基準金利+1.00%"/>
    <n v="30"/>
    <n v="30"/>
    <s v="元利均等"/>
    <d v="2022-09-30T00:00:00"/>
    <n v="982474"/>
    <n v="314688"/>
    <n v="1297162"/>
    <n v="313706389"/>
    <n v="0.80027140051020407"/>
    <n v="22"/>
    <m/>
    <m/>
    <m/>
    <m/>
    <s v="なし"/>
    <m/>
    <s v="なし"/>
    <m/>
    <s v="なし"/>
    <m/>
    <s v="なし"/>
    <m/>
    <m/>
    <d v="2015-10-15T00:00:00"/>
    <d v="2015-10-15T00:00:00"/>
  </r>
  <r>
    <n v="809"/>
    <s v="返済中"/>
    <n v="510"/>
    <s v="西表信金"/>
    <s v="東京支店"/>
    <n v="409"/>
    <x v="6"/>
    <n v="601"/>
    <x v="0"/>
    <n v="109"/>
    <x v="7"/>
    <n v="109"/>
    <s v="カーサ南池袋"/>
    <n v="180000000"/>
    <d v="2015-12-24T00:00:00"/>
    <n v="1.5"/>
    <s v="信金基準金利+1.00%"/>
    <n v="30"/>
    <n v="30"/>
    <s v="元利均等"/>
    <d v="2022-09-30T00:00:00"/>
    <n v="437860"/>
    <n v="183356"/>
    <n v="621216"/>
    <n v="146247653"/>
    <n v="0.81248696111111107"/>
    <n v="22"/>
    <m/>
    <m/>
    <m/>
    <m/>
    <s v="なし"/>
    <m/>
    <s v="なし"/>
    <m/>
    <s v="なし"/>
    <m/>
    <s v="なし"/>
    <m/>
    <m/>
    <d v="2015-12-24T00:00:00"/>
    <d v="2015-12-24T00:00:00"/>
  </r>
  <r>
    <n v="810"/>
    <s v="完済"/>
    <n v="511"/>
    <s v="宮古信組"/>
    <s v="大阪支店"/>
    <n v="410"/>
    <x v="7"/>
    <n v="601"/>
    <x v="0"/>
    <n v="110"/>
    <x v="8"/>
    <n v="110"/>
    <s v="仙台駅前コーポ"/>
    <n v="250000000"/>
    <d v="2016-01-21T00:00:00"/>
    <n v="1.375"/>
    <s v="信金基準金利+1.00%"/>
    <n v="30"/>
    <n v="30"/>
    <s v="元利均等"/>
    <s v="完済"/>
    <m/>
    <m/>
    <m/>
    <m/>
    <n v="0"/>
    <n v="0"/>
    <m/>
    <m/>
    <m/>
    <m/>
    <s v="なし"/>
    <m/>
    <s v="なし"/>
    <m/>
    <s v="なし"/>
    <m/>
    <s v="なし"/>
    <m/>
    <m/>
    <d v="2016-01-21T00:00:00"/>
    <d v="2016-01-21T00:00:00"/>
  </r>
  <r>
    <n v="811"/>
    <s v="返済中"/>
    <n v="512"/>
    <s v="座間味信金"/>
    <s v="沖縄支店"/>
    <n v="401"/>
    <x v="4"/>
    <n v="601"/>
    <x v="0"/>
    <n v="111"/>
    <x v="9"/>
    <n v="111"/>
    <s v="目白カーサ二番館"/>
    <n v="280000000"/>
    <d v="2016-02-24T00:00:00"/>
    <n v="1.3"/>
    <s v="3m TIBOR +1.00%"/>
    <n v="30"/>
    <n v="30"/>
    <s v="元利均等"/>
    <d v="2022-09-20T00:00:00"/>
    <n v="692442"/>
    <n v="247247"/>
    <n v="939689"/>
    <n v="227542871"/>
    <n v="0.8126531107142857"/>
    <n v="23"/>
    <m/>
    <m/>
    <m/>
    <m/>
    <s v="なし"/>
    <m/>
    <s v="なし"/>
    <m/>
    <s v="なし"/>
    <m/>
    <s v="なし"/>
    <m/>
    <m/>
    <d v="2016-02-24T00:00:00"/>
    <d v="2016-02-24T00:00:00"/>
  </r>
  <r>
    <n v="812"/>
    <s v="返済中"/>
    <n v="501"/>
    <s v="石垣銀行"/>
    <s v="池袋支店"/>
    <n v="402"/>
    <x v="0"/>
    <n v="601"/>
    <x v="0"/>
    <n v="112"/>
    <x v="10"/>
    <n v="112"/>
    <s v="豊島目白ビル"/>
    <n v="450000000"/>
    <d v="2016-03-29T00:00:00"/>
    <n v="1.3"/>
    <s v="信金基準金利+1.00%"/>
    <n v="30"/>
    <n v="30"/>
    <s v="元利均等"/>
    <d v="2022-09-30T00:00:00"/>
    <n v="1111644"/>
    <n v="398578"/>
    <n v="1510222"/>
    <n v="366807279"/>
    <n v="0.81512728666666667"/>
    <n v="23"/>
    <m/>
    <m/>
    <m/>
    <m/>
    <s v="なし"/>
    <m/>
    <s v="なし"/>
    <m/>
    <s v="なし"/>
    <m/>
    <s v="なし"/>
    <m/>
    <m/>
    <d v="2016-03-29T00:00:00"/>
    <d v="2016-03-29T00:00:00"/>
  </r>
  <r>
    <n v="813"/>
    <s v="返済中"/>
    <n v="502"/>
    <s v="首里信金"/>
    <s v="目白支店"/>
    <n v="404"/>
    <x v="1"/>
    <n v="601"/>
    <x v="0"/>
    <n v="113"/>
    <x v="11"/>
    <n v="113"/>
    <s v="第3目白ハイツ"/>
    <n v="495000000"/>
    <d v="2016-06-30T00:00:00"/>
    <n v="1.375"/>
    <s v="信金基準金利+1.00%"/>
    <n v="30"/>
    <n v="30"/>
    <s v="元利均等"/>
    <d v="2022-09-30T00:00:00"/>
    <n v="1209934"/>
    <n v="468878"/>
    <n v="1678812"/>
    <n v="407992887"/>
    <n v="0.82422805454545456"/>
    <n v="23"/>
    <m/>
    <m/>
    <m/>
    <m/>
    <s v="なし"/>
    <m/>
    <s v="なし"/>
    <m/>
    <s v="なし"/>
    <m/>
    <s v="なし"/>
    <m/>
    <m/>
    <d v="2016-06-30T00:00:00"/>
    <d v="2016-06-30T00:00:00"/>
  </r>
  <r>
    <n v="814"/>
    <s v="返済中"/>
    <n v="503"/>
    <s v="名護信金"/>
    <s v="高田馬場支店"/>
    <n v="404"/>
    <x v="1"/>
    <n v="601"/>
    <x v="0"/>
    <n v="114"/>
    <x v="12"/>
    <n v="114"/>
    <s v="レジデンス目白豊島"/>
    <n v="189000000"/>
    <d v="2016-08-30T00:00:00"/>
    <n v="1.3"/>
    <s v="信金基準金利+1.00%"/>
    <n v="40"/>
    <n v="40"/>
    <s v="元利均等"/>
    <d v="2022-09-20T00:00:00"/>
    <n v="324776"/>
    <n v="180387"/>
    <n v="505163"/>
    <n v="166191734"/>
    <n v="0.87932134391534389"/>
    <n v="33"/>
    <m/>
    <m/>
    <m/>
    <m/>
    <s v="なし"/>
    <m/>
    <s v="なし"/>
    <m/>
    <s v="なし"/>
    <m/>
    <s v="なし"/>
    <m/>
    <m/>
    <d v="2016-08-30T00:00:00"/>
    <d v="2016-08-30T00:00:00"/>
  </r>
  <r>
    <n v="815"/>
    <s v="返済中"/>
    <n v="504"/>
    <s v="読谷信金"/>
    <s v="東京支店"/>
    <n v="405"/>
    <x v="2"/>
    <n v="601"/>
    <x v="0"/>
    <n v="115"/>
    <x v="13"/>
    <n v="115"/>
    <s v="コアプラス大塚"/>
    <n v="530000000"/>
    <d v="2017-04-27T00:00:00"/>
    <n v="1.3"/>
    <s v="信金基準金利+1.00%"/>
    <n v="40"/>
    <n v="40"/>
    <s v="元利均等"/>
    <d v="2022-09-20T00:00:00"/>
    <n v="902892"/>
    <n v="513702"/>
    <n v="1416594"/>
    <n v="473298872"/>
    <n v="0.8930167396226415"/>
    <n v="34"/>
    <m/>
    <m/>
    <m/>
    <m/>
    <s v="なし"/>
    <m/>
    <s v="なし"/>
    <m/>
    <s v="なし"/>
    <m/>
    <s v="なし"/>
    <m/>
    <m/>
    <d v="2017-04-27T00:00:00"/>
    <d v="2017-04-27T00:00:00"/>
  </r>
  <r>
    <n v="816"/>
    <s v="返済中"/>
    <n v="505"/>
    <s v="宜野湾信組"/>
    <s v="大阪支店"/>
    <n v="406"/>
    <x v="3"/>
    <n v="601"/>
    <x v="0"/>
    <n v="116"/>
    <x v="14"/>
    <n v="116"/>
    <s v="コアプラスレジデンス梅田"/>
    <n v="369000000"/>
    <d v="2017-04-28T00:00:00"/>
    <n v="1.45"/>
    <s v="信金基準金利+1.00%"/>
    <n v="40"/>
    <n v="40"/>
    <s v="元利均等"/>
    <d v="2022-09-30T00:00:00"/>
    <n v="613310"/>
    <n v="400259"/>
    <n v="1013569"/>
    <n v="330636161"/>
    <n v="0.89603295663956639"/>
    <n v="34"/>
    <m/>
    <m/>
    <m/>
    <m/>
    <s v="なし"/>
    <m/>
    <s v="なし"/>
    <m/>
    <s v="なし"/>
    <m/>
    <s v="なし"/>
    <m/>
    <m/>
    <d v="2017-04-28T00:00:00"/>
    <d v="2017-04-28T00:00:00"/>
  </r>
  <r>
    <n v="817"/>
    <s v="返済中"/>
    <n v="506"/>
    <s v="恩納銀行"/>
    <s v="沖縄支店"/>
    <n v="407"/>
    <x v="5"/>
    <n v="601"/>
    <x v="0"/>
    <n v="117"/>
    <x v="15"/>
    <n v="117"/>
    <s v="高田馬場第4玉川ビル"/>
    <n v="118000000"/>
    <d v="2017-08-31T00:00:00"/>
    <n v="1.675"/>
    <s v="3m TIBOR +1.00%"/>
    <n v="35"/>
    <n v="35"/>
    <s v="元利均等"/>
    <d v="2022-09-20T00:00:00"/>
    <n v="224843"/>
    <n v="146653"/>
    <n v="371496"/>
    <n v="104842675"/>
    <n v="0.88849724576271183"/>
    <n v="29"/>
    <m/>
    <m/>
    <m/>
    <m/>
    <s v="なし"/>
    <m/>
    <s v="なし"/>
    <m/>
    <s v="なし"/>
    <m/>
    <s v="なし"/>
    <m/>
    <m/>
    <d v="2017-08-31T00:00:00"/>
    <d v="2017-08-31T00:00:00"/>
  </r>
  <r>
    <n v="818"/>
    <s v="完済"/>
    <n v="507"/>
    <s v="嘉手納銀行"/>
    <s v="東京支店"/>
    <n v="410"/>
    <x v="7"/>
    <n v="601"/>
    <x v="0"/>
    <n v="118"/>
    <x v="16"/>
    <n v="118"/>
    <s v="あおばマンション"/>
    <n v="189000000"/>
    <d v="2017-08-31T00:00:00"/>
    <n v="1.675"/>
    <s v="信金基準金利+1.00%"/>
    <n v="35"/>
    <n v="35"/>
    <s v="元利均等"/>
    <s v="完済"/>
    <m/>
    <m/>
    <m/>
    <m/>
    <n v="0"/>
    <n v="0"/>
    <m/>
    <m/>
    <m/>
    <m/>
    <s v="なし"/>
    <m/>
    <s v="なし"/>
    <m/>
    <s v="なし"/>
    <m/>
    <s v="なし"/>
    <m/>
    <m/>
    <d v="2017-08-31T00:00:00"/>
    <d v="2017-08-31T00:00:00"/>
  </r>
  <r>
    <n v="820"/>
    <s v="返済中"/>
    <n v="509"/>
    <s v="竹富信金"/>
    <s v="東京支店"/>
    <n v="408"/>
    <x v="8"/>
    <n v="601"/>
    <x v="0"/>
    <n v="120"/>
    <x v="17"/>
    <n v="120"/>
    <s v="南池袋マンション"/>
    <n v="155000000"/>
    <d v="2018-01-09T00:00:00"/>
    <n v="1.65"/>
    <s v="3m TIBOR +1.00%"/>
    <n v="35"/>
    <n v="35"/>
    <s v="元利均等"/>
    <d v="2022-09-30T00:00:00"/>
    <n v="294357"/>
    <n v="191699"/>
    <n v="486056"/>
    <n v="139123336"/>
    <n v="0.89756990967741934"/>
    <n v="30"/>
    <m/>
    <m/>
    <m/>
    <m/>
    <s v="なし"/>
    <m/>
    <s v="なし"/>
    <m/>
    <s v="なし"/>
    <m/>
    <s v="なし"/>
    <m/>
    <m/>
    <d v="2018-01-09T00:00:00"/>
    <d v="2018-01-09T00:00:00"/>
  </r>
  <r>
    <n v="821"/>
    <s v="返済中"/>
    <n v="509"/>
    <s v="竹富信金"/>
    <s v="東京支店"/>
    <n v="408"/>
    <x v="8"/>
    <n v="601"/>
    <x v="0"/>
    <n v="971"/>
    <x v="18"/>
    <n v="971"/>
    <s v="目白アパート1号2号_二棟一括"/>
    <n v="80000000"/>
    <d v="2020-09-29T00:00:00"/>
    <n v="1.6"/>
    <s v="3m TIBOR +1.00%"/>
    <n v="26"/>
    <n v="26"/>
    <s v="元利均等"/>
    <d v="2022-09-01T00:00:00"/>
    <n v="213926"/>
    <n v="100486"/>
    <n v="314412"/>
    <n v="75151106"/>
    <n v="0.93938882499999998"/>
    <n v="23"/>
    <m/>
    <s v="2棟一括"/>
    <m/>
    <m/>
    <s v="なし"/>
    <m/>
    <s v="なし"/>
    <m/>
    <s v="なし"/>
    <m/>
    <s v="なし"/>
    <m/>
    <m/>
    <d v="2020-09-29T00:00:00"/>
    <d v="2020-09-29T00:00:00"/>
  </r>
  <r>
    <n v="822"/>
    <s v="完済"/>
    <n v="509"/>
    <s v="竹富信金"/>
    <s v="高田馬場支店"/>
    <n v="402"/>
    <x v="0"/>
    <n v="603"/>
    <x v="1"/>
    <n v="102"/>
    <x v="0"/>
    <n v="611"/>
    <s v="無担保"/>
    <n v="238000000"/>
    <d v="2015-10-27T00:00:00"/>
    <n v="1.675"/>
    <s v="信金基準金利+1.00%"/>
    <n v="30"/>
    <n v="30"/>
    <s v="元金均等"/>
    <s v="完済"/>
    <m/>
    <m/>
    <m/>
    <m/>
    <n v="0"/>
    <n v="0"/>
    <m/>
    <m/>
    <m/>
    <m/>
    <s v="なし"/>
    <m/>
    <s v="なし"/>
    <m/>
    <s v="なし"/>
    <m/>
    <s v="なし"/>
    <m/>
    <m/>
    <d v="2015-10-27T00:00:00"/>
    <d v="2015-10-27T00:00:00"/>
  </r>
  <r>
    <n v="823"/>
    <s v="返済中"/>
    <n v="506"/>
    <s v="恩納銀行"/>
    <s v="沖縄支店"/>
    <n v="406"/>
    <x v="3"/>
    <n v="602"/>
    <x v="2"/>
    <n v="116"/>
    <x v="14"/>
    <n v="116"/>
    <s v="コアプラスレジデンス梅田"/>
    <n v="15000000"/>
    <d v="2017-07-12T00:00:00"/>
    <n v="0.97499999999999998"/>
    <s v="信金基準金利+1.00%"/>
    <n v="10"/>
    <n v="10"/>
    <s v="元金均等"/>
    <d v="2022-06-30T00:00:00"/>
    <n v="125000"/>
    <n v="6210"/>
    <n v="131210"/>
    <n v="7500000"/>
    <n v="0.5"/>
    <n v="4"/>
    <m/>
    <m/>
    <m/>
    <n v="671"/>
    <s v="共同担保"/>
    <n v="106"/>
    <s v="東池袋ハイツ"/>
    <m/>
    <s v="なし"/>
    <m/>
    <s v="なし"/>
    <m/>
    <m/>
    <d v="2017-07-12T00:00:00"/>
    <d v="2017-07-12T00:00:00"/>
  </r>
  <r>
    <n v="824"/>
    <s v="返済中"/>
    <n v="511"/>
    <s v="宮古信組"/>
    <s v="大阪支店"/>
    <n v="405"/>
    <x v="2"/>
    <n v="602"/>
    <x v="2"/>
    <n v="105"/>
    <x v="2"/>
    <n v="105"/>
    <s v="目白アパート"/>
    <n v="17900000"/>
    <d v="2019-06-28T00:00:00"/>
    <n v="0.97499999999999998"/>
    <s v="信金基準金利+1.00%"/>
    <n v="10"/>
    <n v="10"/>
    <s v="元利均等"/>
    <d v="2022-06-30T00:00:00"/>
    <n v="150000"/>
    <n v="10351"/>
    <n v="160351"/>
    <n v="12500000"/>
    <n v="0.6983240223463687"/>
    <n v="6"/>
    <m/>
    <m/>
    <m/>
    <n v="673"/>
    <s v="第二抵当"/>
    <n v="107"/>
    <s v="メゾン雑司ヶ谷"/>
    <m/>
    <s v="なし"/>
    <m/>
    <s v="なし"/>
    <m/>
    <m/>
    <d v="2019-06-28T00:00:00"/>
    <d v="2019-06-28T00:00:00"/>
  </r>
  <r>
    <n v="825"/>
    <s v="返済中"/>
    <n v="512"/>
    <s v="座間味信金"/>
    <s v="沖縄支店"/>
    <n v="301"/>
    <x v="9"/>
    <n v="605"/>
    <x v="3"/>
    <n v="222"/>
    <x v="19"/>
    <n v="222"/>
    <s v="プラウD目白301号"/>
    <n v="94000000"/>
    <d v="2021-03-11T00:00:00"/>
    <n v="2.8"/>
    <s v="信金基準金利+1.00%"/>
    <n v="30"/>
    <n v="30"/>
    <s v="元利均等"/>
    <d v="2022-06-06T00:00:00"/>
    <n v="169657"/>
    <n v="221433"/>
    <n v="391090"/>
    <n v="91457870"/>
    <n v="0.97295606382978728"/>
    <n v="28"/>
    <m/>
    <m/>
    <m/>
    <n v="673"/>
    <s v="第二抵当"/>
    <n v="109"/>
    <s v="カーサ南池袋"/>
    <n v="671"/>
    <s v="共同担保"/>
    <n v="111"/>
    <s v="目白カーサ二番館"/>
    <m/>
    <m/>
    <d v="2021-03-11T00:00:00"/>
    <d v="2021-03-11T00:00:00"/>
  </r>
  <r>
    <n v="826"/>
    <s v="返済中"/>
    <n v="501"/>
    <s v="石垣銀行"/>
    <s v="池袋支店"/>
    <n v="401"/>
    <x v="4"/>
    <n v="602"/>
    <x v="2"/>
    <n v="222"/>
    <x v="19"/>
    <n v="222"/>
    <s v="プラウD目白301号"/>
    <n v="20556000"/>
    <d v="2021-06-30T00:00:00"/>
    <n v="2.9636"/>
    <s v="信金基準金利+1.00%"/>
    <n v="5"/>
    <n v="5"/>
    <s v="元金均等"/>
    <d v="2022-06-27T00:00:00"/>
    <n v="326683"/>
    <n v="42817"/>
    <n v="369500"/>
    <n v="16705681"/>
    <n v="0.81269123370305507"/>
    <n v="3"/>
    <m/>
    <m/>
    <m/>
    <n v="671"/>
    <s v="共同担保"/>
    <n v="109"/>
    <s v="カーサ南池袋"/>
    <m/>
    <s v="なし"/>
    <m/>
    <s v="なし"/>
    <m/>
    <m/>
    <d v="2021-06-30T00:00:00"/>
    <d v="2021-06-30T00:00:00"/>
  </r>
  <r>
    <n v="827"/>
    <s v="返済中"/>
    <n v="502"/>
    <s v="首里信金"/>
    <s v="目白支店"/>
    <n v="401"/>
    <x v="4"/>
    <n v="603"/>
    <x v="1"/>
    <n v="621"/>
    <x v="20"/>
    <n v="611"/>
    <s v="無担保"/>
    <n v="11000000"/>
    <d v="2021-09-30T00:00:00"/>
    <n v="1.875"/>
    <s v="信金基準金利+1.00%"/>
    <n v="10"/>
    <n v="10"/>
    <s v="元金均等"/>
    <d v="2022-06-30T00:00:00"/>
    <n v="84461"/>
    <n v="16139"/>
    <n v="100600"/>
    <n v="10244573"/>
    <n v="0.93132481818181823"/>
    <n v="8"/>
    <s v="保証協会"/>
    <s v="コロナ融資"/>
    <m/>
    <m/>
    <s v="なし"/>
    <m/>
    <s v="なし"/>
    <m/>
    <s v="なし"/>
    <m/>
    <s v="なし"/>
    <m/>
    <m/>
    <d v="2021-09-30T00:00:00"/>
    <d v="2021-09-30T00:00:00"/>
  </r>
  <r>
    <n v="828"/>
    <s v="返済中"/>
    <n v="502"/>
    <s v="首里信金"/>
    <s v="高田馬場支店"/>
    <n v="301"/>
    <x v="9"/>
    <n v="604"/>
    <x v="4"/>
    <n v="621"/>
    <x v="20"/>
    <n v="611"/>
    <s v="無担保"/>
    <n v="11000000"/>
    <d v="2021-09-30T00:00:00"/>
    <n v="1.875"/>
    <s v="信金基準金利+1.00%"/>
    <n v="10"/>
    <n v="10"/>
    <s v="元金均等"/>
    <d v="2022-06-30T00:00:00"/>
    <n v="84461"/>
    <n v="16139"/>
    <n v="100600"/>
    <n v="10244573"/>
    <n v="0.93132481818181823"/>
    <n v="8"/>
    <m/>
    <s v="書籍事業のため"/>
    <m/>
    <m/>
    <s v="なし"/>
    <m/>
    <s v="なし"/>
    <m/>
    <s v="なし"/>
    <m/>
    <s v="なし"/>
    <m/>
    <m/>
    <d v="2021-09-30T00:00:00"/>
    <d v="2021-09-30T00:00:00"/>
  </r>
  <r>
    <n v="829"/>
    <s v="返済中"/>
    <n v="502"/>
    <s v="首里信金"/>
    <s v="東京支店"/>
    <n v="401"/>
    <x v="4"/>
    <n v="602"/>
    <x v="2"/>
    <n v="121"/>
    <x v="21"/>
    <n v="611"/>
    <s v="無担保"/>
    <n v="10000000"/>
    <d v="2021-09-30T00:00:00"/>
    <n v="1.85"/>
    <s v="信金基準金利+1.00%"/>
    <n v="15"/>
    <n v="15"/>
    <s v="元金均等"/>
    <d v="2022-06-30T00:00:00"/>
    <n v="49298"/>
    <n v="14364"/>
    <n v="63662"/>
    <n v="9268450"/>
    <n v="0.92684500000000003"/>
    <n v="13"/>
    <m/>
    <s v="目白アパート1号館単体のみ。2号館は対象外"/>
    <m/>
    <m/>
    <s v="なし"/>
    <m/>
    <s v="なし"/>
    <m/>
    <s v="なし"/>
    <m/>
    <s v="なし"/>
    <m/>
    <m/>
    <d v="2021-09-30T00:00:00"/>
    <d v="2021-09-30T00:00:00"/>
  </r>
  <r>
    <n v="830"/>
    <s v="返済中"/>
    <n v="302"/>
    <s v="玉川花子"/>
    <s v="-"/>
    <n v="401"/>
    <x v="4"/>
    <n v="606"/>
    <x v="5"/>
    <n v="621"/>
    <x v="20"/>
    <n v="611"/>
    <s v="無担保"/>
    <n v="2000000"/>
    <d v="2021-09-30T00:00:00"/>
    <n v="0"/>
    <s v="なし"/>
    <n v="10"/>
    <n v="10"/>
    <s v="期日一括"/>
    <d v="2022-06-30T00:00:00"/>
    <n v="0"/>
    <n v="0"/>
    <n v="0"/>
    <n v="2000000"/>
    <n v="1"/>
    <n v="8"/>
    <m/>
    <m/>
    <m/>
    <m/>
    <s v="なし"/>
    <m/>
    <s v="なし"/>
    <m/>
    <s v="なし"/>
    <m/>
    <s v="なし"/>
    <m/>
    <m/>
    <d v="2031-09-30T00:00:00"/>
    <d v="2031-09-30T00:00:00"/>
  </r>
  <r>
    <n v="831"/>
    <s v="完済"/>
    <n v="501"/>
    <s v="石垣銀行"/>
    <s v="沖縄支店"/>
    <n v="401"/>
    <x v="4"/>
    <n v="607"/>
    <x v="6"/>
    <n v="621"/>
    <x v="20"/>
    <n v="611"/>
    <s v="無担保"/>
    <n v="11000000"/>
    <d v="2017-08-31T00:00:00"/>
    <n v="1.675"/>
    <s v="信金基準金利+1.00%"/>
    <n v="10"/>
    <n v="10"/>
    <s v="元金均等"/>
    <s v="完済"/>
    <m/>
    <m/>
    <m/>
    <m/>
    <n v="0"/>
    <n v="0"/>
    <m/>
    <m/>
    <m/>
    <m/>
    <s v="なし"/>
    <m/>
    <s v="なし"/>
    <m/>
    <s v="なし"/>
    <m/>
    <s v="なし"/>
    <m/>
    <m/>
    <d v="2017-08-31T00:00:00"/>
    <d v="2017-08-31T00:00:00"/>
  </r>
  <r>
    <n v="832"/>
    <s v="完済"/>
    <n v="501"/>
    <s v="石垣銀行"/>
    <s v="東京支店"/>
    <n v="401"/>
    <x v="4"/>
    <n v="608"/>
    <x v="7"/>
    <n v="621"/>
    <x v="20"/>
    <n v="611"/>
    <s v="無担保"/>
    <n v="11000000"/>
    <d v="2017-08-31T00:00:00"/>
    <n v="1.675"/>
    <s v="信金基準金利+1.00%"/>
    <n v="10"/>
    <n v="10"/>
    <s v="元金均等"/>
    <s v="完済"/>
    <m/>
    <m/>
    <m/>
    <m/>
    <n v="0"/>
    <n v="0"/>
    <m/>
    <m/>
    <m/>
    <m/>
    <s v="なし"/>
    <m/>
    <s v="なし"/>
    <m/>
    <s v="なし"/>
    <m/>
    <s v="なし"/>
    <m/>
    <m/>
    <d v="2017-08-31T00:00:00"/>
    <d v="2017-08-31T00:00:00"/>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45552D-8847-40F2-9413-CC61866429C1}" name="ピボットテーブル2" cacheId="24643"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BT8:CB31" firstHeaderRow="1" firstDataRow="2" firstDataCol="1" rowPageCount="2" colPageCount="1"/>
  <pivotFields count="30">
    <pivotField showAll="0"/>
    <pivotField showAll="0"/>
    <pivotField axis="axisRow">
      <items count="22">
        <item x="7"/>
        <item x="2"/>
        <item x="13"/>
        <item x="12"/>
        <item x="3"/>
        <item x="16"/>
        <item x="6"/>
        <item x="11"/>
        <item x="14"/>
        <item x="0"/>
        <item x="10"/>
        <item x="1"/>
        <item x="5"/>
        <item x="15"/>
        <item x="9"/>
        <item x="4"/>
        <item x="18"/>
        <item x="19"/>
        <item x="8"/>
        <item x="20"/>
        <item x="17"/>
        <item t="default"/>
      </items>
    </pivotField>
    <pivotField showAll="0"/>
    <pivotField showAll="0"/>
    <pivotField showAll="0"/>
    <pivotField axis="axisCol" showAll="0">
      <items count="10">
        <item x="2"/>
        <item x="3"/>
        <item x="1"/>
        <item x="7"/>
        <item x="0"/>
        <item x="6"/>
        <item x="4"/>
        <item x="5"/>
        <item x="8"/>
        <item t="default"/>
      </items>
    </pivotField>
    <pivotField showAll="0"/>
    <pivotField showAll="0"/>
    <pivotField showAll="0"/>
    <pivotField showAll="0"/>
    <pivotField showAll="0"/>
    <pivotField dataField="1" showAll="0"/>
    <pivotField showAll="0"/>
    <pivotField showAll="0"/>
    <pivotField showAll="0"/>
    <pivotField showAll="0"/>
    <pivotField showAll="0"/>
    <pivotField axis="axisPage"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axis="axisPage" showAll="0">
      <items count="4">
        <item x="1"/>
        <item x="0"/>
        <item x="2"/>
        <item t="default"/>
      </items>
    </pivotField>
  </pivotFields>
  <rowFields count="1">
    <field x="2"/>
  </rowFields>
  <rowItems count="22">
    <i>
      <x/>
    </i>
    <i>
      <x v="1"/>
    </i>
    <i>
      <x v="2"/>
    </i>
    <i>
      <x v="3"/>
    </i>
    <i>
      <x v="4"/>
    </i>
    <i>
      <x v="5"/>
    </i>
    <i>
      <x v="6"/>
    </i>
    <i>
      <x v="7"/>
    </i>
    <i>
      <x v="8"/>
    </i>
    <i>
      <x v="9"/>
    </i>
    <i>
      <x v="10"/>
    </i>
    <i>
      <x v="11"/>
    </i>
    <i>
      <x v="12"/>
    </i>
    <i>
      <x v="13"/>
    </i>
    <i>
      <x v="14"/>
    </i>
    <i>
      <x v="15"/>
    </i>
    <i>
      <x v="16"/>
    </i>
    <i>
      <x v="17"/>
    </i>
    <i>
      <x v="18"/>
    </i>
    <i>
      <x v="19"/>
    </i>
    <i>
      <x v="20"/>
    </i>
    <i t="grand">
      <x/>
    </i>
  </rowItems>
  <colFields count="1">
    <field x="6"/>
  </colFields>
  <colItems count="8">
    <i>
      <x/>
    </i>
    <i>
      <x v="2"/>
    </i>
    <i>
      <x v="3"/>
    </i>
    <i>
      <x v="4"/>
    </i>
    <i>
      <x v="5"/>
    </i>
    <i>
      <x v="6"/>
    </i>
    <i>
      <x v="7"/>
    </i>
    <i t="grand">
      <x/>
    </i>
  </colItems>
  <pageFields count="2">
    <pageField fld="29" item="1" hier="-1"/>
    <pageField fld="18" item="1" hier="-1"/>
  </pageFields>
  <dataFields count="1">
    <dataField name="合計 / 13.現況賃料税込(自動)" fld="12" baseField="0" baseItem="0"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FD5E30-9751-4C15-99BA-59F7482B1B93}" name="ピボットテーブル5" cacheId="24630" applyNumberFormats="0" applyBorderFormats="0" applyFontFormats="0" applyPatternFormats="0" applyAlignmentFormats="0" applyWidthHeightFormats="1" dataCaption="値" updatedVersion="8" minRefreshableVersion="3" itemPrintTitles="1" createdVersion="8" indent="0" outline="1" outlineData="1" multipleFieldFilters="0">
  <location ref="DJ5:DV31" firstHeaderRow="1" firstDataRow="4" firstDataCol="1"/>
  <pivotFields count="18">
    <pivotField showAll="0"/>
    <pivotField showAll="0"/>
    <pivotField axis="axisRow">
      <items count="23">
        <item x="7"/>
        <item x="2"/>
        <item x="13"/>
        <item x="12"/>
        <item x="3"/>
        <item x="16"/>
        <item m="1" x="21"/>
        <item x="6"/>
        <item x="11"/>
        <item x="14"/>
        <item x="0"/>
        <item x="10"/>
        <item x="1"/>
        <item x="5"/>
        <item x="15"/>
        <item x="9"/>
        <item x="4"/>
        <item x="8"/>
        <item x="20"/>
        <item x="18"/>
        <item x="19"/>
        <item x="17"/>
        <item t="default"/>
      </items>
    </pivotField>
    <pivotField showAll="0"/>
    <pivotField axis="axisCol" showAll="0">
      <items count="6">
        <item x="2"/>
        <item sd="0" x="0"/>
        <item sd="0" x="3"/>
        <item x="4"/>
        <item sd="0" x="1"/>
        <item t="default"/>
      </items>
    </pivotField>
    <pivotField showAll="0"/>
    <pivotField showAll="0"/>
    <pivotField showAll="0"/>
    <pivotField dataField="1" showAll="0"/>
    <pivotField showAll="0"/>
    <pivotField showAll="0"/>
    <pivotField showAll="0"/>
    <pivotField showAll="0"/>
    <pivotField showAll="0"/>
    <pivotField dataField="1" showAll="0"/>
    <pivotField dataField="1" showAll="0"/>
    <pivotField dataField="1" showAll="0"/>
    <pivotField axis="axisCol" showAll="0">
      <items count="4">
        <item sd="0" x="0"/>
        <item n="土地3種" sd="0" x="2"/>
        <item sd="0" x="1"/>
        <item t="default"/>
      </items>
    </pivotField>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Fields count="3">
    <field x="17"/>
    <field x="4"/>
    <field x="-2"/>
  </colFields>
  <colItems count="12">
    <i>
      <x/>
      <x v="1048832"/>
      <x/>
    </i>
    <i r="2" i="1">
      <x v="1"/>
    </i>
    <i r="2" i="2">
      <x v="2"/>
    </i>
    <i r="2" i="3">
      <x v="3"/>
    </i>
    <i>
      <x v="1"/>
      <x v="1048832"/>
      <x/>
    </i>
    <i r="2" i="1">
      <x v="1"/>
    </i>
    <i r="2" i="2">
      <x v="2"/>
    </i>
    <i r="2" i="3">
      <x v="3"/>
    </i>
    <i t="grand">
      <x/>
    </i>
    <i t="grand" i="1">
      <x/>
    </i>
    <i t="grand" i="2">
      <x/>
    </i>
    <i t="grand" i="3">
      <x/>
    </i>
  </colItems>
  <dataFields count="4">
    <dataField name="合計 / 面積ネット_x000a_(持分按分後の実質)" fld="8" baseField="0" baseItem="0"/>
    <dataField name="合計 / 当該資産_x000a_評価額" fld="16" baseField="0" baseItem="0" numFmtId="5"/>
    <dataField name="合計 / 当期固定資産税額" fld="14" baseField="0" baseItem="0" numFmtId="5"/>
    <dataField name="合計 / 当期都市計画税額" fld="15" baseField="0" baseItem="0" numFmtId="5"/>
  </dataFields>
  <pivotTableStyleInfo name="PivotStyleLight16" showRowHeaders="1" showColHeaders="1" showRowStripes="0" showColStripes="0" showLastColumn="1"/>
  <filters count="1">
    <filter fld="17" type="captionNotContains" evalOrder="-1" id="1" stringValue1="(空白)">
      <autoFilter ref="A1">
        <filterColumn colId="0">
          <customFilters>
            <customFilter operator="notEqual" val="*(空白)*"/>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13FC6F-E3D9-4D8D-B00D-0DA9271A8201}" name="償却1" cacheId="24634" applyNumberFormats="0" applyBorderFormats="0" applyFontFormats="0" applyPatternFormats="0" applyAlignmentFormats="0" applyWidthHeightFormats="1" dataCaption="値" updatedVersion="8" minRefreshableVersion="3" itemPrintTitles="1" createdVersion="8" indent="0" outline="1" outlineData="1" multipleFieldFilters="0">
  <location ref="W7:AA33" firstHeaderRow="1" firstDataRow="3" firstDataCol="1" rowPageCount="1" colPageCount="1"/>
  <pivotFields count="18">
    <pivotField showAll="0"/>
    <pivotField axis="axisRow">
      <items count="24">
        <item x="7"/>
        <item x="2"/>
        <item x="13"/>
        <item x="12"/>
        <item x="3"/>
        <item x="16"/>
        <item m="1" x="22"/>
        <item x="6"/>
        <item x="11"/>
        <item x="14"/>
        <item x="0"/>
        <item x="10"/>
        <item x="1"/>
        <item x="18"/>
        <item x="5"/>
        <item x="15"/>
        <item x="9"/>
        <item x="4"/>
        <item x="8"/>
        <item x="21"/>
        <item x="19"/>
        <item x="20"/>
        <item x="17"/>
        <item t="default"/>
      </items>
    </pivotField>
    <pivotField showAll="0"/>
    <pivotField showAll="0"/>
    <pivotField axis="axisCol">
      <items count="7">
        <item x="3"/>
        <item x="0"/>
        <item x="2"/>
        <item x="4"/>
        <item x="1"/>
        <item x="5"/>
        <item t="default"/>
      </items>
    </pivotField>
    <pivotField showAll="0"/>
    <pivotField showAll="0"/>
    <pivotField showAll="0"/>
    <pivotField showAll="0"/>
    <pivotField showAll="0"/>
    <pivotField showAll="0"/>
    <pivotField dataField="1" showAll="0"/>
    <pivotField showAll="0"/>
    <pivotField showAll="0"/>
    <pivotField showAll="0"/>
    <pivotField axis="axisPage" multipleItemSelectionAllowed="1" showAll="0">
      <items count="6">
        <item x="3"/>
        <item h="1" x="2"/>
        <item x="0"/>
        <item h="1" x="1"/>
        <item h="1" x="4"/>
        <item t="default"/>
      </items>
    </pivotField>
    <pivotField showAll="0"/>
    <pivotField axis="axisCol" defaultSubtotal="0">
      <items count="3">
        <item n="建物等" sd="0" x="2"/>
        <item sd="0" x="0"/>
        <item sd="0" x="1"/>
      </items>
    </pivotField>
  </pivotFields>
  <rowFields count="1">
    <field x="1"/>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2">
    <field x="17"/>
    <field x="4"/>
  </colFields>
  <colItems count="4">
    <i>
      <x/>
    </i>
    <i>
      <x v="1"/>
    </i>
    <i>
      <x v="2"/>
    </i>
    <i t="grand">
      <x/>
    </i>
  </colItems>
  <pageFields count="1">
    <pageField fld="15" hier="-1"/>
  </pageFields>
  <dataFields count="1">
    <dataField name="合計 / 12.12.取得価額"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D32FB6-C4E5-4DBE-BDA5-680B899B74BC}" name="ピボットテーブル11" cacheId="24644" applyNumberFormats="0" applyBorderFormats="0" applyFontFormats="0" applyPatternFormats="0" applyAlignmentFormats="0" applyWidthHeightFormats="1" dataCaption="値" updatedVersion="8" minRefreshableVersion="3" itemPrintTitles="1" createdVersion="8" indent="0" outline="1" outlineData="1" multipleFieldFilters="0">
  <location ref="DB8:DD31" firstHeaderRow="0" firstDataRow="1" firstDataCol="1" rowPageCount="3" colPageCount="1"/>
  <pivotFields count="30">
    <pivotField showAll="0"/>
    <pivotField showAll="0"/>
    <pivotField showAll="0"/>
    <pivotField showAll="0"/>
    <pivotField showAll="0"/>
    <pivotField showAll="0"/>
    <pivotField axis="axisPage" showAll="0">
      <items count="10">
        <item x="2"/>
        <item x="3"/>
        <item x="1"/>
        <item x="7"/>
        <item x="0"/>
        <item x="6"/>
        <item x="4"/>
        <item x="5"/>
        <item x="8"/>
        <item t="default"/>
      </items>
    </pivotField>
    <pivotField showAll="0"/>
    <pivotField showAll="0"/>
    <pivotField showAll="0"/>
    <pivotField showAll="0"/>
    <pivotField showAll="0"/>
    <pivotField showAll="0"/>
    <pivotField showAll="0"/>
    <pivotField showAll="0"/>
    <pivotField showAll="0"/>
    <pivotField axis="axisRow" dataField="1">
      <items count="23">
        <item x="0"/>
        <item x="1"/>
        <item x="2"/>
        <item x="3"/>
        <item x="4"/>
        <item x="5"/>
        <item x="6"/>
        <item x="7"/>
        <item x="8"/>
        <item x="9"/>
        <item x="10"/>
        <item x="11"/>
        <item x="12"/>
        <item x="13"/>
        <item x="14"/>
        <item x="15"/>
        <item x="16"/>
        <item x="17"/>
        <item x="18"/>
        <item x="19"/>
        <item x="20"/>
        <item x="21"/>
        <item t="default"/>
      </items>
    </pivotField>
    <pivotField showAll="0"/>
    <pivotField axis="axisPage"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axis="axisPage" showAll="0">
      <items count="4">
        <item x="1"/>
        <item x="0"/>
        <item x="2"/>
        <item t="default"/>
      </items>
    </pivotField>
  </pivotFields>
  <rowFields count="1">
    <field x="16"/>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pageFields count="3">
    <pageField fld="29" item="1" hier="-1"/>
    <pageField fld="6" item="4" hier="-1"/>
    <pageField fld="18" item="1" hier="-1"/>
  </pageFields>
  <dataFields count="2">
    <dataField name="個数 / 17.満室想定税込(自動)" fld="16" subtotal="count" baseField="0" baseItem="0"/>
    <dataField name="合計 / 17.満室想定税込(自動)2"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1FE996-64B5-41D5-9251-FA9D692382B7}" name="ピボットテーブル9" cacheId="24629" applyNumberFormats="0" applyBorderFormats="0" applyFontFormats="0" applyPatternFormats="0" applyAlignmentFormats="0" applyWidthHeightFormats="1" dataCaption="値" updatedVersion="8" minRefreshableVersion="3" itemPrintTitles="1" createdVersion="8" indent="0" outline="1" outlineData="1" multipleFieldFilters="0">
  <location ref="DY6:EE31" firstHeaderRow="1" firstDataRow="3" firstDataCol="1" rowPageCount="1" colPageCount="1"/>
  <pivotFields count="31">
    <pivotField showAll="0"/>
    <pivotField showAll="0"/>
    <pivotField axis="axisRow">
      <items count="23">
        <item x="7"/>
        <item x="2"/>
        <item x="13"/>
        <item x="12"/>
        <item x="3"/>
        <item x="16"/>
        <item m="1" x="21"/>
        <item x="6"/>
        <item x="11"/>
        <item x="14"/>
        <item x="0"/>
        <item x="10"/>
        <item x="1"/>
        <item x="5"/>
        <item x="15"/>
        <item x="9"/>
        <item x="4"/>
        <item x="8"/>
        <item x="20"/>
        <item x="18"/>
        <item x="19"/>
        <item x="17"/>
        <item t="default"/>
      </items>
    </pivotField>
    <pivotField showAll="0"/>
    <pivotField showAll="0"/>
    <pivotField showAll="0"/>
    <pivotField axis="axisCol" showAll="0">
      <items count="10">
        <item x="2"/>
        <item x="3"/>
        <item x="1"/>
        <item x="7"/>
        <item x="5"/>
        <item x="0"/>
        <item x="6"/>
        <item x="4"/>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4">
        <item x="1"/>
        <item x="0"/>
        <item x="2"/>
        <item t="default"/>
      </items>
    </pivotField>
    <pivotField showAll="0"/>
    <pivotField axis="axisCol" showAll="0" defaultSubtotal="0">
      <items count="8">
        <item n="店舗事務所系物理区画" sd="0" x="7"/>
        <item x="1"/>
        <item x="2"/>
        <item x="5"/>
        <item x="0"/>
        <item x="4"/>
        <item x="3"/>
        <item x="6"/>
      </items>
    </pivotField>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Fields count="2">
    <field x="30"/>
    <field x="6"/>
  </colFields>
  <colItems count="6">
    <i>
      <x/>
    </i>
    <i>
      <x v="1"/>
      <x/>
    </i>
    <i>
      <x v="4"/>
      <x v="5"/>
    </i>
    <i>
      <x v="5"/>
      <x v="6"/>
    </i>
    <i>
      <x v="6"/>
      <x v="7"/>
    </i>
    <i t="grand">
      <x/>
    </i>
  </colItems>
  <pageFields count="1">
    <pageField fld="28" item="1" hier="-1"/>
  </pageFields>
  <dataFields count="1">
    <dataField name="合計 / 45.物理区画判定(自動)"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8295DC-2154-4FF3-9801-373F12AC49A9}" name="BM集計" cacheId="24635" applyNumberFormats="0" applyBorderFormats="0" applyFontFormats="0" applyPatternFormats="0" applyAlignmentFormats="0" applyWidthHeightFormats="1" dataCaption="値" updatedVersion="8" minRefreshableVersion="3" itemPrintTitles="1" createdVersion="8" indent="0" outline="1" outlineData="1" multipleFieldFilters="0">
  <location ref="J5:U29" firstHeaderRow="1" firstDataRow="2" firstDataCol="1"/>
  <pivotFields count="7">
    <pivotField showAll="0"/>
    <pivotField axis="axisRow">
      <items count="23">
        <item x="7"/>
        <item x="2"/>
        <item x="13"/>
        <item x="12"/>
        <item x="3"/>
        <item x="16"/>
        <item m="1" x="21"/>
        <item x="6"/>
        <item x="11"/>
        <item x="14"/>
        <item x="0"/>
        <item x="10"/>
        <item x="1"/>
        <item x="5"/>
        <item x="15"/>
        <item x="9"/>
        <item x="4"/>
        <item x="8"/>
        <item x="20"/>
        <item x="18"/>
        <item x="19"/>
        <item x="17"/>
        <item t="default"/>
      </items>
    </pivotField>
    <pivotField showAll="0"/>
    <pivotField axis="axisCol" sortType="descending">
      <items count="11">
        <item x="9"/>
        <item x="4"/>
        <item x="5"/>
        <item x="1"/>
        <item x="3"/>
        <item x="8"/>
        <item x="7"/>
        <item x="0"/>
        <item x="2"/>
        <item x="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3"/>
  </colFields>
  <colItems count="11">
    <i>
      <x v="4"/>
    </i>
    <i>
      <x v="1"/>
    </i>
    <i>
      <x v="2"/>
    </i>
    <i>
      <x v="8"/>
    </i>
    <i>
      <x v="7"/>
    </i>
    <i>
      <x v="3"/>
    </i>
    <i>
      <x v="6"/>
    </i>
    <i>
      <x v="5"/>
    </i>
    <i>
      <x/>
    </i>
    <i>
      <x v="9"/>
    </i>
    <i t="grand">
      <x/>
    </i>
  </colItems>
  <dataFields count="1">
    <dataField name="合計 / 年換算(×12)" fld="5" baseField="0" baseItem="0"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5D029E-0E9C-425A-B253-5C7263682F1A}" name="償却3" cacheId="24632" applyNumberFormats="0" applyBorderFormats="0" applyFontFormats="0" applyPatternFormats="0" applyAlignmentFormats="0" applyWidthHeightFormats="1" dataCaption="値" updatedVersion="8" minRefreshableVersion="3" itemPrintTitles="1" createdVersion="8" indent="0" outline="1" outlineData="1" multipleFieldFilters="0">
  <location ref="AI5:AP29" firstHeaderRow="1" firstDataRow="2" firstDataCol="1"/>
  <pivotFields count="17">
    <pivotField showAll="0"/>
    <pivotField axis="axisRow">
      <items count="24">
        <item x="7"/>
        <item x="2"/>
        <item x="13"/>
        <item x="12"/>
        <item x="3"/>
        <item x="16"/>
        <item m="1" x="22"/>
        <item x="6"/>
        <item x="11"/>
        <item x="14"/>
        <item x="0"/>
        <item x="10"/>
        <item x="1"/>
        <item x="18"/>
        <item x="5"/>
        <item x="15"/>
        <item x="9"/>
        <item x="4"/>
        <item x="8"/>
        <item x="21"/>
        <item x="19"/>
        <item x="20"/>
        <item x="17"/>
        <item t="default"/>
      </items>
    </pivotField>
    <pivotField showAll="0"/>
    <pivotField showAll="0"/>
    <pivotField axis="axisCol">
      <items count="7">
        <item x="3"/>
        <item x="0"/>
        <item x="2"/>
        <item x="4"/>
        <item x="1"/>
        <item x="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23">
    <i>
      <x/>
    </i>
    <i>
      <x v="1"/>
    </i>
    <i>
      <x v="2"/>
    </i>
    <i>
      <x v="3"/>
    </i>
    <i>
      <x v="4"/>
    </i>
    <i>
      <x v="5"/>
    </i>
    <i>
      <x v="6"/>
    </i>
    <i>
      <x v="7"/>
    </i>
    <i>
      <x v="8"/>
    </i>
    <i>
      <x v="9"/>
    </i>
    <i>
      <x v="10"/>
    </i>
    <i>
      <x v="11"/>
    </i>
    <i>
      <x v="12"/>
    </i>
    <i>
      <x v="14"/>
    </i>
    <i>
      <x v="15"/>
    </i>
    <i>
      <x v="16"/>
    </i>
    <i>
      <x v="17"/>
    </i>
    <i>
      <x v="18"/>
    </i>
    <i>
      <x v="19"/>
    </i>
    <i>
      <x v="20"/>
    </i>
    <i>
      <x v="21"/>
    </i>
    <i>
      <x v="22"/>
    </i>
    <i t="grand">
      <x/>
    </i>
  </rowItems>
  <colFields count="1">
    <field x="4"/>
  </colFields>
  <colItems count="7">
    <i>
      <x/>
    </i>
    <i>
      <x v="1"/>
    </i>
    <i>
      <x v="2"/>
    </i>
    <i>
      <x v="3"/>
    </i>
    <i>
      <x v="4"/>
    </i>
    <i>
      <x v="5"/>
    </i>
    <i t="grand">
      <x/>
    </i>
  </colItems>
  <dataFields count="1">
    <dataField name="合計 / 14.年間償却額" fld="13" baseField="0" baseItem="0"/>
  </dataFields>
  <pivotTableStyleInfo name="PivotStyleLight16" showRowHeaders="1" showColHeaders="1" showRowStripes="0" showColStripes="0" showLastColumn="1"/>
  <filters count="1">
    <filter fld="1" type="captionNotContains" evalOrder="-1" id="1" stringValue1="賃貸資産以外の償却">
      <autoFilter ref="A1">
        <filterColumn colId="0">
          <customFilters>
            <customFilter operator="notEqual" val="*賃貸資産以外の償却*"/>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D36703-528D-4C1F-BA41-930FAA159D5F}" name="ピボットテーブル6" cacheId="24631" applyNumberFormats="0" applyBorderFormats="0" applyFontFormats="0" applyPatternFormats="0" applyAlignmentFormats="0" applyWidthHeightFormats="1" dataCaption="値" updatedVersion="8" minRefreshableVersion="3" itemPrintTitles="1" createdVersion="8" indent="0" outline="1" outlineData="1" multipleFieldFilters="0">
  <location ref="CJ6:CM27" firstHeaderRow="0" firstDataRow="1" firstDataCol="1" rowPageCount="1" colPageCount="1"/>
  <pivotFields count="30">
    <pivotField showAll="0"/>
    <pivotField showAll="0"/>
    <pivotField axis="axisRow" showAll="0">
      <items count="23">
        <item x="7"/>
        <item x="2"/>
        <item x="13"/>
        <item x="12"/>
        <item x="3"/>
        <item x="16"/>
        <item m="1" x="21"/>
        <item x="6"/>
        <item x="11"/>
        <item x="14"/>
        <item x="0"/>
        <item x="10"/>
        <item x="1"/>
        <item x="5"/>
        <item x="15"/>
        <item x="9"/>
        <item x="4"/>
        <item x="8"/>
        <item x="20"/>
        <item x="18"/>
        <item x="19"/>
        <item x="1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axis="axisPage" showAll="0">
      <items count="4">
        <item x="1"/>
        <item x="0"/>
        <item x="2"/>
        <item t="default"/>
      </items>
    </pivotField>
  </pivotFields>
  <rowFields count="1">
    <field x="2"/>
  </rowFields>
  <rowItems count="21">
    <i>
      <x/>
    </i>
    <i>
      <x v="1"/>
    </i>
    <i>
      <x v="2"/>
    </i>
    <i>
      <x v="3"/>
    </i>
    <i>
      <x v="4"/>
    </i>
    <i>
      <x v="5"/>
    </i>
    <i>
      <x v="7"/>
    </i>
    <i>
      <x v="8"/>
    </i>
    <i>
      <x v="9"/>
    </i>
    <i>
      <x v="10"/>
    </i>
    <i>
      <x v="11"/>
    </i>
    <i>
      <x v="12"/>
    </i>
    <i>
      <x v="13"/>
    </i>
    <i>
      <x v="14"/>
    </i>
    <i>
      <x v="15"/>
    </i>
    <i>
      <x v="16"/>
    </i>
    <i>
      <x v="17"/>
    </i>
    <i>
      <x v="19"/>
    </i>
    <i>
      <x v="20"/>
    </i>
    <i>
      <x v="21"/>
    </i>
    <i t="grand">
      <x/>
    </i>
  </rowItems>
  <colFields count="1">
    <field x="-2"/>
  </colFields>
  <colItems count="3">
    <i>
      <x/>
    </i>
    <i i="1">
      <x v="1"/>
    </i>
    <i i="2">
      <x v="2"/>
    </i>
  </colItems>
  <pageFields count="1">
    <pageField fld="29" item="1" hier="-1"/>
  </pageFields>
  <dataFields count="3">
    <dataField name="合計 / 32.購入時賃料税抜" fld="22" baseField="0" baseItem="0" numFmtId="5"/>
    <dataField name="合計 / 42.満室想定税抜(自動)" fld="25" baseField="0" baseItem="0" numFmtId="5"/>
    <dataField name="合計 / 14.再募集賃料税抜" fld="13" baseField="0" baseItem="0"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85B582-AB4E-4130-BB55-EF88E9EA86A8}" name="ピボットテーブル7" cacheId="24643"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CO7:CQ305" firstHeaderRow="0" firstDataRow="1" firstDataCol="1" rowPageCount="1" colPageCount="1"/>
  <pivotFields count="30">
    <pivotField axis="axisRow" showAll="0" sortType="descending">
      <items count="3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183"/>
        <item x="184"/>
        <item x="185"/>
        <item x="186"/>
        <item x="187"/>
        <item x="188"/>
        <item x="189"/>
        <item x="190"/>
        <item x="191"/>
        <item x="192"/>
        <item x="193"/>
        <item x="194"/>
        <item x="195"/>
        <item x="196"/>
        <item x="197"/>
        <item x="198"/>
        <item x="199"/>
        <item x="200"/>
        <item x="201"/>
        <item x="202"/>
        <item x="203"/>
        <item x="204"/>
        <item x="20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4">
        <item x="1"/>
        <item x="0"/>
        <item x="2"/>
        <item t="default"/>
      </items>
    </pivotField>
  </pivotFields>
  <rowFields count="1">
    <field x="0"/>
  </rowFields>
  <rowItems count="298">
    <i>
      <x v="184"/>
    </i>
    <i>
      <x v="296"/>
    </i>
    <i>
      <x v="164"/>
    </i>
    <i>
      <x v="268"/>
    </i>
    <i>
      <x v="251"/>
    </i>
    <i>
      <x v="293"/>
    </i>
    <i>
      <x v="76"/>
    </i>
    <i>
      <x v="22"/>
    </i>
    <i>
      <x v="292"/>
    </i>
    <i>
      <x v="226"/>
    </i>
    <i>
      <x v="70"/>
    </i>
    <i>
      <x v="74"/>
    </i>
    <i>
      <x v="68"/>
    </i>
    <i>
      <x v="71"/>
    </i>
    <i>
      <x v="69"/>
    </i>
    <i>
      <x v="75"/>
    </i>
    <i>
      <x v="72"/>
    </i>
    <i>
      <x v="65"/>
    </i>
    <i>
      <x v="250"/>
    </i>
    <i>
      <x v="271"/>
    </i>
    <i>
      <x v="63"/>
    </i>
    <i>
      <x v="64"/>
    </i>
    <i>
      <x v="177"/>
    </i>
    <i>
      <x v="138"/>
    </i>
    <i>
      <x v="175"/>
    </i>
    <i>
      <x v="137"/>
    </i>
    <i>
      <x v="267"/>
    </i>
    <i>
      <x v="62"/>
    </i>
    <i>
      <x v="124"/>
    </i>
    <i>
      <x v="128"/>
    </i>
    <i>
      <x v="136"/>
    </i>
    <i>
      <x v="80"/>
    </i>
    <i>
      <x v="58"/>
    </i>
    <i>
      <x v="120"/>
    </i>
    <i>
      <x v="272"/>
    </i>
    <i>
      <x v="173"/>
    </i>
    <i>
      <x v="66"/>
    </i>
    <i>
      <x v="265"/>
    </i>
    <i>
      <x v="55"/>
    </i>
    <i>
      <x v="57"/>
    </i>
    <i>
      <x v="294"/>
    </i>
    <i>
      <x v="135"/>
    </i>
    <i>
      <x v="130"/>
    </i>
    <i>
      <x v="259"/>
    </i>
    <i>
      <x v="257"/>
    </i>
    <i>
      <x v="134"/>
    </i>
    <i>
      <x v="126"/>
    </i>
    <i>
      <x v="125"/>
    </i>
    <i>
      <x v="255"/>
    </i>
    <i>
      <x v="262"/>
    </i>
    <i>
      <x v="174"/>
    </i>
    <i>
      <x v="122"/>
    </i>
    <i>
      <x v="176"/>
    </i>
    <i>
      <x v="132"/>
    </i>
    <i>
      <x v="258"/>
    </i>
    <i>
      <x v="127"/>
    </i>
    <i>
      <x v="260"/>
    </i>
    <i>
      <x v="172"/>
    </i>
    <i>
      <x v="73"/>
    </i>
    <i>
      <x v="266"/>
    </i>
    <i>
      <x v="288"/>
    </i>
    <i>
      <x v="264"/>
    </i>
    <i>
      <x v="88"/>
    </i>
    <i>
      <x v="248"/>
    </i>
    <i>
      <x v="239"/>
    </i>
    <i>
      <x v="240"/>
    </i>
    <i>
      <x v="242"/>
    </i>
    <i>
      <x v="191"/>
    </i>
    <i>
      <x v="194"/>
    </i>
    <i>
      <x v="261"/>
    </i>
    <i>
      <x v="129"/>
    </i>
    <i>
      <x v="244"/>
    </i>
    <i>
      <x v="131"/>
    </i>
    <i>
      <x v="249"/>
    </i>
    <i>
      <x v="196"/>
    </i>
    <i>
      <x v="105"/>
    </i>
    <i>
      <x v="195"/>
    </i>
    <i>
      <x v="123"/>
    </i>
    <i>
      <x v="247"/>
    </i>
    <i>
      <x v="243"/>
    </i>
    <i>
      <x v="230"/>
    </i>
    <i>
      <x v="81"/>
    </i>
    <i>
      <x v="197"/>
    </i>
    <i>
      <x v="237"/>
    </i>
    <i>
      <x v="208"/>
    </i>
    <i>
      <x v="235"/>
    </i>
    <i>
      <x v="245"/>
    </i>
    <i>
      <x v="231"/>
    </i>
    <i>
      <x v="205"/>
    </i>
    <i>
      <x v="228"/>
    </i>
    <i>
      <x v="198"/>
    </i>
    <i>
      <x v="238"/>
    </i>
    <i>
      <x v="236"/>
    </i>
    <i>
      <x v="263"/>
    </i>
    <i>
      <x v="199"/>
    </i>
    <i>
      <x v="101"/>
    </i>
    <i>
      <x v="121"/>
    </i>
    <i>
      <x v="232"/>
    </i>
    <i>
      <x v="234"/>
    </i>
    <i>
      <x v="241"/>
    </i>
    <i>
      <x v="229"/>
    </i>
    <i>
      <x v="204"/>
    </i>
    <i>
      <x v="233"/>
    </i>
    <i>
      <x v="119"/>
    </i>
    <i>
      <x v="192"/>
    </i>
    <i>
      <x v="207"/>
    </i>
    <i>
      <x v="185"/>
    </i>
    <i>
      <x v="190"/>
    </i>
    <i>
      <x v="246"/>
    </i>
    <i>
      <x v="287"/>
    </i>
    <i>
      <x v="256"/>
    </i>
    <i>
      <x v="96"/>
    </i>
    <i>
      <x v="202"/>
    </i>
    <i>
      <x v="254"/>
    </i>
    <i>
      <x v="206"/>
    </i>
    <i>
      <x v="203"/>
    </i>
    <i>
      <x v="193"/>
    </i>
    <i>
      <x v="200"/>
    </i>
    <i>
      <x v="186"/>
    </i>
    <i>
      <x v="188"/>
    </i>
    <i>
      <x v="111"/>
    </i>
    <i>
      <x v="56"/>
    </i>
    <i>
      <x v="106"/>
    </i>
    <i>
      <x v="187"/>
    </i>
    <i>
      <x v="189"/>
    </i>
    <i>
      <x v="227"/>
    </i>
    <i>
      <x v="110"/>
    </i>
    <i>
      <x v="94"/>
    </i>
    <i>
      <x v="100"/>
    </i>
    <i>
      <x v="102"/>
    </i>
    <i>
      <x v="90"/>
    </i>
    <i>
      <x v="171"/>
    </i>
    <i>
      <x v="286"/>
    </i>
    <i>
      <x v="283"/>
    </i>
    <i>
      <x v="103"/>
    </i>
    <i>
      <x v="91"/>
    </i>
    <i>
      <x v="53"/>
    </i>
    <i>
      <x v="89"/>
    </i>
    <i>
      <x v="104"/>
    </i>
    <i>
      <x v="97"/>
    </i>
    <i>
      <x v="93"/>
    </i>
    <i>
      <x v="108"/>
    </i>
    <i>
      <x v="95"/>
    </i>
    <i>
      <x v="92"/>
    </i>
    <i>
      <x v="54"/>
    </i>
    <i>
      <x v="23"/>
    </i>
    <i>
      <x v="114"/>
    </i>
    <i>
      <x v="98"/>
    </i>
    <i>
      <x v="201"/>
    </i>
    <i>
      <x v="133"/>
    </i>
    <i>
      <x v="107"/>
    </i>
    <i>
      <x v="216"/>
    </i>
    <i>
      <x v="67"/>
    </i>
    <i>
      <x v="47"/>
    </i>
    <i>
      <x v="307"/>
    </i>
    <i>
      <x v="221"/>
    </i>
    <i>
      <x v="99"/>
    </i>
    <i>
      <x v="285"/>
    </i>
    <i>
      <x v="39"/>
    </i>
    <i>
      <x v="52"/>
    </i>
    <i>
      <x v="86"/>
    </i>
    <i>
      <x v="273"/>
    </i>
    <i>
      <x v="40"/>
    </i>
    <i>
      <x v="156"/>
    </i>
    <i>
      <x v="211"/>
    </i>
    <i>
      <x v="42"/>
    </i>
    <i>
      <x v="275"/>
    </i>
    <i>
      <x v="30"/>
    </i>
    <i>
      <x v="45"/>
    </i>
    <i>
      <x v="170"/>
    </i>
    <i>
      <x v="274"/>
    </i>
    <i>
      <x v="277"/>
    </i>
    <i>
      <x v="282"/>
    </i>
    <i>
      <x v="278"/>
    </i>
    <i>
      <x v="109"/>
    </i>
    <i>
      <x v="49"/>
    </i>
    <i>
      <x v="35"/>
    </i>
    <i>
      <x v="41"/>
    </i>
    <i>
      <x v="38"/>
    </i>
    <i>
      <x v="29"/>
    </i>
    <i>
      <x v="25"/>
    </i>
    <i>
      <x v="36"/>
    </i>
    <i>
      <x v="50"/>
    </i>
    <i>
      <x v="46"/>
    </i>
    <i>
      <x v="44"/>
    </i>
    <i>
      <x v="28"/>
    </i>
    <i>
      <x v="34"/>
    </i>
    <i>
      <x v="82"/>
    </i>
    <i>
      <x v="27"/>
    </i>
    <i>
      <x v="43"/>
    </i>
    <i>
      <x v="37"/>
    </i>
    <i>
      <x v="31"/>
    </i>
    <i>
      <x v="84"/>
    </i>
    <i>
      <x v="284"/>
    </i>
    <i>
      <x v="280"/>
    </i>
    <i>
      <x v="48"/>
    </i>
    <i>
      <x v="83"/>
    </i>
    <i>
      <x v="87"/>
    </i>
    <i>
      <x v="19"/>
    </i>
    <i>
      <x v="152"/>
    </i>
    <i>
      <x v="139"/>
    </i>
    <i>
      <x v="281"/>
    </i>
    <i>
      <x v="169"/>
    </i>
    <i>
      <x v="12"/>
    </i>
    <i>
      <x v="16"/>
    </i>
    <i>
      <x v="85"/>
    </i>
    <i>
      <x v="2"/>
    </i>
    <i>
      <x v="15"/>
    </i>
    <i>
      <x v="276"/>
    </i>
    <i>
      <x v="222"/>
    </i>
    <i>
      <x v="51"/>
    </i>
    <i>
      <x v="33"/>
    </i>
    <i>
      <x v="32"/>
    </i>
    <i>
      <x v="167"/>
    </i>
    <i>
      <x v="21"/>
    </i>
    <i>
      <x v="4"/>
    </i>
    <i>
      <x v="146"/>
    </i>
    <i>
      <x v="225"/>
    </i>
    <i>
      <x v="220"/>
    </i>
    <i>
      <x v="223"/>
    </i>
    <i>
      <x v="10"/>
    </i>
    <i>
      <x v="8"/>
    </i>
    <i>
      <x v="7"/>
    </i>
    <i>
      <x v="159"/>
    </i>
    <i>
      <x v="1"/>
    </i>
    <i>
      <x v="20"/>
    </i>
    <i>
      <x/>
    </i>
    <i>
      <x v="150"/>
    </i>
    <i>
      <x v="214"/>
    </i>
    <i>
      <x v="218"/>
    </i>
    <i>
      <x v="11"/>
    </i>
    <i>
      <x v="6"/>
    </i>
    <i>
      <x v="224"/>
    </i>
    <i>
      <x v="168"/>
    </i>
    <i>
      <x v="17"/>
    </i>
    <i>
      <x v="145"/>
    </i>
    <i>
      <x v="18"/>
    </i>
    <i>
      <x v="162"/>
    </i>
    <i>
      <x v="153"/>
    </i>
    <i>
      <x v="3"/>
    </i>
    <i>
      <x v="157"/>
    </i>
    <i>
      <x v="160"/>
    </i>
    <i>
      <x v="149"/>
    </i>
    <i>
      <x v="151"/>
    </i>
    <i>
      <x v="26"/>
    </i>
    <i>
      <x v="9"/>
    </i>
    <i>
      <x v="219"/>
    </i>
    <i>
      <x v="161"/>
    </i>
    <i>
      <x v="148"/>
    </i>
    <i>
      <x v="217"/>
    </i>
    <i>
      <x v="154"/>
    </i>
    <i>
      <x v="144"/>
    </i>
    <i>
      <x v="212"/>
    </i>
    <i>
      <x v="215"/>
    </i>
    <i>
      <x v="13"/>
    </i>
    <i>
      <x v="14"/>
    </i>
    <i>
      <x v="163"/>
    </i>
    <i>
      <x v="143"/>
    </i>
    <i>
      <x v="5"/>
    </i>
    <i>
      <x v="179"/>
    </i>
    <i>
      <x v="158"/>
    </i>
    <i>
      <x v="155"/>
    </i>
    <i>
      <x v="142"/>
    </i>
    <i>
      <x v="147"/>
    </i>
    <i>
      <x v="213"/>
    </i>
    <i>
      <x v="166"/>
    </i>
    <i>
      <x v="79"/>
    </i>
    <i>
      <x v="77"/>
    </i>
    <i>
      <x v="78"/>
    </i>
    <i>
      <x v="112"/>
    </i>
    <i>
      <x v="113"/>
    </i>
    <i>
      <x v="59"/>
    </i>
    <i>
      <x v="60"/>
    </i>
    <i>
      <x v="291"/>
    </i>
    <i>
      <x v="178"/>
    </i>
    <i>
      <x v="116"/>
    </i>
    <i>
      <x v="209"/>
    </i>
    <i>
      <x v="308"/>
    </i>
    <i>
      <x v="182"/>
    </i>
    <i>
      <x v="279"/>
    </i>
    <i>
      <x v="180"/>
    </i>
    <i>
      <x v="140"/>
    </i>
    <i>
      <x v="252"/>
    </i>
    <i>
      <x v="269"/>
    </i>
    <i>
      <x v="115"/>
    </i>
    <i>
      <x v="270"/>
    </i>
    <i>
      <x v="165"/>
    </i>
    <i>
      <x v="210"/>
    </i>
    <i>
      <x v="181"/>
    </i>
    <i>
      <x v="118"/>
    </i>
    <i>
      <x v="61"/>
    </i>
    <i>
      <x v="253"/>
    </i>
    <i>
      <x v="289"/>
    </i>
    <i>
      <x v="141"/>
    </i>
    <i>
      <x v="290"/>
    </i>
    <i>
      <x v="24"/>
    </i>
    <i>
      <x v="117"/>
    </i>
    <i t="grand">
      <x/>
    </i>
  </rowItems>
  <colFields count="1">
    <field x="-2"/>
  </colFields>
  <colItems count="2">
    <i>
      <x/>
    </i>
    <i i="1">
      <x v="1"/>
    </i>
  </colItems>
  <pageFields count="1">
    <pageField fld="29" item="1" hier="-1"/>
  </pageFields>
  <dataFields count="2">
    <dataField name="合計 / 17.満室想定税込(自動)" fld="16" baseField="0" baseItem="0" numFmtId="5"/>
    <dataField name="合計 / 17.満室想定税込(自動)2" fld="16" baseField="0"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9CDD5EE-74DE-4AA7-9C02-0584CB71FF2F}" name="償却2" cacheId="24633"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AC5:AG30" firstHeaderRow="1" firstDataRow="3" firstDataCol="1"/>
  <pivotFields count="18">
    <pivotField showAll="0"/>
    <pivotField axis="axisRow">
      <items count="24">
        <item x="7"/>
        <item x="2"/>
        <item x="13"/>
        <item x="12"/>
        <item x="3"/>
        <item x="16"/>
        <item m="1" x="22"/>
        <item x="6"/>
        <item x="11"/>
        <item x="14"/>
        <item x="0"/>
        <item x="10"/>
        <item x="1"/>
        <item x="18"/>
        <item x="5"/>
        <item x="15"/>
        <item x="9"/>
        <item x="4"/>
        <item x="8"/>
        <item x="21"/>
        <item x="19"/>
        <item x="20"/>
        <item x="17"/>
        <item t="default"/>
      </items>
    </pivotField>
    <pivotField showAll="0"/>
    <pivotField showAll="0"/>
    <pivotField axis="axisCol">
      <items count="7">
        <item x="3"/>
        <item x="0"/>
        <item x="2"/>
        <item x="4"/>
        <item x="1"/>
        <item x="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axis="axisCol" defaultSubtotal="0">
      <items count="3">
        <item n="建物等" sd="0" x="2"/>
        <item sd="0" x="0"/>
        <item sd="0" x="1"/>
      </items>
    </pivotField>
  </pivotFields>
  <rowFields count="1">
    <field x="1"/>
  </rowFields>
  <rowItems count="23">
    <i>
      <x/>
    </i>
    <i>
      <x v="1"/>
    </i>
    <i>
      <x v="2"/>
    </i>
    <i>
      <x v="3"/>
    </i>
    <i>
      <x v="4"/>
    </i>
    <i>
      <x v="5"/>
    </i>
    <i>
      <x v="6"/>
    </i>
    <i>
      <x v="7"/>
    </i>
    <i>
      <x v="8"/>
    </i>
    <i>
      <x v="9"/>
    </i>
    <i>
      <x v="10"/>
    </i>
    <i>
      <x v="11"/>
    </i>
    <i>
      <x v="12"/>
    </i>
    <i>
      <x v="14"/>
    </i>
    <i>
      <x v="15"/>
    </i>
    <i>
      <x v="16"/>
    </i>
    <i>
      <x v="17"/>
    </i>
    <i>
      <x v="18"/>
    </i>
    <i>
      <x v="19"/>
    </i>
    <i>
      <x v="20"/>
    </i>
    <i>
      <x v="21"/>
    </i>
    <i>
      <x v="22"/>
    </i>
    <i t="grand">
      <x/>
    </i>
  </rowItems>
  <colFields count="2">
    <field x="17"/>
    <field x="4"/>
  </colFields>
  <colItems count="4">
    <i>
      <x/>
    </i>
    <i>
      <x v="1"/>
    </i>
    <i>
      <x v="2"/>
    </i>
    <i t="grand">
      <x/>
    </i>
  </colItems>
  <dataFields count="1">
    <dataField name="合計 / 13.期首帳簿価額" fld="12" baseField="0" baseItem="0"/>
  </dataFields>
  <pivotTableStyleInfo name="PivotStyleLight16" showRowHeaders="1" showColHeaders="1" showRowStripes="0" showColStripes="0" showLastColumn="1"/>
  <filters count="1">
    <filter fld="1" type="captionNotContains" evalOrder="-1" id="1" stringValue1="賃貸資産以外の償却">
      <autoFilter ref="A1">
        <filterColumn colId="0">
          <customFilters>
            <customFilter operator="notEqual" val="*賃貸資産以外の償却*"/>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706F45-B9FB-496B-96FF-C595560B98A1}" name="賃料1" cacheId="24640" applyNumberFormats="0" applyBorderFormats="0" applyFontFormats="0" applyPatternFormats="0" applyAlignmentFormats="0" applyWidthHeightFormats="1" dataCaption="値" updatedVersion="8" minRefreshableVersion="3" itemPrintTitles="1" createdVersion="8" indent="0" outline="1" outlineData="1" multipleFieldFilters="0">
  <location ref="AR9:BB55" firstHeaderRow="1" firstDataRow="2" firstDataCol="1" rowPageCount="1" colPageCount="1"/>
  <pivotFields count="30">
    <pivotField showAll="0"/>
    <pivotField showAll="0"/>
    <pivotField axis="axisRow">
      <items count="22">
        <item x="7"/>
        <item x="2"/>
        <item x="13"/>
        <item x="12"/>
        <item x="3"/>
        <item x="16"/>
        <item x="6"/>
        <item x="11"/>
        <item x="14"/>
        <item x="0"/>
        <item x="10"/>
        <item x="1"/>
        <item x="5"/>
        <item x="15"/>
        <item x="9"/>
        <item x="4"/>
        <item x="8"/>
        <item x="20"/>
        <item x="18"/>
        <item x="19"/>
        <item x="17"/>
        <item t="default"/>
      </items>
    </pivotField>
    <pivotField showAll="0"/>
    <pivotField showAll="0"/>
    <pivotField showAll="0"/>
    <pivotField axis="axisCol">
      <items count="10">
        <item x="2"/>
        <item x="3"/>
        <item x="1"/>
        <item x="7"/>
        <item x="0"/>
        <item x="6"/>
        <item x="4"/>
        <item x="5"/>
        <item x="8"/>
        <item t="default"/>
      </items>
    </pivotField>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axis="axisPage" showAll="0">
      <items count="4">
        <item x="1"/>
        <item x="0"/>
        <item x="2"/>
        <item t="default"/>
      </items>
    </pivotField>
  </pivotFields>
  <rowFields count="2">
    <field x="18"/>
    <field x="2"/>
  </rowFields>
  <rowItems count="45">
    <i>
      <x/>
    </i>
    <i r="1">
      <x/>
    </i>
    <i r="1">
      <x v="1"/>
    </i>
    <i r="1">
      <x v="2"/>
    </i>
    <i r="1">
      <x v="3"/>
    </i>
    <i r="1">
      <x v="4"/>
    </i>
    <i r="1">
      <x v="5"/>
    </i>
    <i r="1">
      <x v="6"/>
    </i>
    <i r="1">
      <x v="7"/>
    </i>
    <i r="1">
      <x v="8"/>
    </i>
    <i r="1">
      <x v="9"/>
    </i>
    <i r="1">
      <x v="10"/>
    </i>
    <i r="1">
      <x v="11"/>
    </i>
    <i r="1">
      <x v="12"/>
    </i>
    <i r="1">
      <x v="13"/>
    </i>
    <i r="1">
      <x v="14"/>
    </i>
    <i r="1">
      <x v="15"/>
    </i>
    <i r="1">
      <x v="16"/>
    </i>
    <i r="1">
      <x v="17"/>
    </i>
    <i r="1">
      <x v="18"/>
    </i>
    <i r="1">
      <x v="19"/>
    </i>
    <i r="1">
      <x v="20"/>
    </i>
    <i>
      <x v="1"/>
    </i>
    <i r="1">
      <x/>
    </i>
    <i r="1">
      <x v="1"/>
    </i>
    <i r="1">
      <x v="2"/>
    </i>
    <i r="1">
      <x v="3"/>
    </i>
    <i r="1">
      <x v="4"/>
    </i>
    <i r="1">
      <x v="5"/>
    </i>
    <i r="1">
      <x v="6"/>
    </i>
    <i r="1">
      <x v="7"/>
    </i>
    <i r="1">
      <x v="8"/>
    </i>
    <i r="1">
      <x v="9"/>
    </i>
    <i r="1">
      <x v="10"/>
    </i>
    <i r="1">
      <x v="11"/>
    </i>
    <i r="1">
      <x v="12"/>
    </i>
    <i r="1">
      <x v="13"/>
    </i>
    <i r="1">
      <x v="14"/>
    </i>
    <i r="1">
      <x v="15"/>
    </i>
    <i r="1">
      <x v="16"/>
    </i>
    <i r="1">
      <x v="17"/>
    </i>
    <i r="1">
      <x v="18"/>
    </i>
    <i r="1">
      <x v="19"/>
    </i>
    <i r="1">
      <x v="20"/>
    </i>
    <i t="grand">
      <x/>
    </i>
  </rowItems>
  <colFields count="1">
    <field x="6"/>
  </colFields>
  <colItems count="10">
    <i>
      <x/>
    </i>
    <i>
      <x v="1"/>
    </i>
    <i>
      <x v="2"/>
    </i>
    <i>
      <x v="3"/>
    </i>
    <i>
      <x v="4"/>
    </i>
    <i>
      <x v="5"/>
    </i>
    <i>
      <x v="6"/>
    </i>
    <i>
      <x v="7"/>
    </i>
    <i>
      <x v="8"/>
    </i>
    <i t="grand">
      <x/>
    </i>
  </colItems>
  <pageFields count="1">
    <pageField fld="29" item="1" hier="-1"/>
  </pageFields>
  <dataFields count="1">
    <dataField name="合計 / 17.満室想定税込(自動)" fld="16" baseField="0" baseItem="0"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6C06F16-378D-4BF5-B1C6-5A28E2E6A5CD}" name="ピボットテーブル3" cacheId="24638"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EM7:EQ226" firstHeaderRow="0" firstDataRow="1" firstDataCol="1"/>
  <pivotFields count="30">
    <pivotField showAll="0"/>
    <pivotField showAll="0"/>
    <pivotField showAll="0"/>
    <pivotField showAll="0"/>
    <pivotField showAll="0"/>
    <pivotField showAll="0"/>
    <pivotField showAll="0"/>
    <pivotField showAll="0"/>
    <pivotField axis="axisRow" showAll="0">
      <items count="10">
        <item x="6"/>
        <item x="7"/>
        <item x="1"/>
        <item x="2"/>
        <item x="3"/>
        <item x="5"/>
        <item x="4"/>
        <item x="0"/>
        <item x="8"/>
        <item t="default"/>
      </items>
    </pivotField>
    <pivotField showAll="0"/>
    <pivotField axis="axisRow" defaultSubtotal="0">
      <items count="23">
        <item x="16"/>
        <item x="7"/>
        <item x="5"/>
        <item x="14"/>
        <item x="13"/>
        <item x="1"/>
        <item x="6"/>
        <item x="12"/>
        <item x="15"/>
        <item x="4"/>
        <item x="8"/>
        <item x="20"/>
        <item x="11"/>
        <item x="0"/>
        <item x="3"/>
        <item x="17"/>
        <item x="10"/>
        <item x="2"/>
        <item x="9"/>
        <item sd="0" x="22"/>
        <item x="21"/>
        <item x="19"/>
        <item x="18"/>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axis="axisRow" showAll="0">
      <items count="3">
        <item n="間接部門" x="1"/>
        <item n="賃貸部門" x="0"/>
        <item t="default"/>
      </items>
    </pivotField>
  </pivotFields>
  <rowFields count="3">
    <field x="29"/>
    <field x="8"/>
    <field x="10"/>
  </rowFields>
  <rowItems count="219">
    <i>
      <x/>
    </i>
    <i r="1">
      <x/>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1">
      <x v="2"/>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1">
      <x v="4"/>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1">
      <x v="5"/>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1">
      <x v="6"/>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1">
      <x v="8"/>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x v="1"/>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1">
      <x v="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1">
      <x v="7"/>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t="grand">
      <x/>
    </i>
  </rowItems>
  <colFields count="1">
    <field x="-2"/>
  </colFields>
  <colItems count="4">
    <i>
      <x/>
    </i>
    <i i="1">
      <x v="1"/>
    </i>
    <i i="2">
      <x v="2"/>
    </i>
    <i i="3">
      <x v="3"/>
    </i>
  </colItems>
  <dataFields count="4">
    <dataField name="合計 / 22.元金返済月額" fld="21" baseField="0" baseItem="0"/>
    <dataField name="合計 / 23.利息月額" fld="22" baseField="0" baseItem="0"/>
    <dataField name="合計 / 24.支払月額" fld="23" baseField="0" baseItem="0"/>
    <dataField name="合計 / 25.残債"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B1B48B1-1C65-4271-8F3F-C54DC3294E3A}" name="ピボットテーブル12" cacheId="24628"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EG4:EK28" firstHeaderRow="0" firstDataRow="1" firstDataCol="1"/>
  <pivotFields count="42">
    <pivotField showAll="0"/>
    <pivotField showAll="0"/>
    <pivotField showAll="0"/>
    <pivotField showAll="0"/>
    <pivotField showAll="0"/>
    <pivotField showAll="0"/>
    <pivotField showAll="0"/>
    <pivotField showAll="0"/>
    <pivotField showAll="0"/>
    <pivotField showAll="0"/>
    <pivotField axis="axisRow">
      <items count="24">
        <item x="16"/>
        <item x="7"/>
        <item x="5"/>
        <item x="14"/>
        <item x="13"/>
        <item x="1"/>
        <item x="6"/>
        <item x="12"/>
        <item x="15"/>
        <item x="4"/>
        <item x="8"/>
        <item x="20"/>
        <item x="11"/>
        <item x="0"/>
        <item x="3"/>
        <item x="17"/>
        <item x="10"/>
        <item x="2"/>
        <item x="9"/>
        <item x="22"/>
        <item x="21"/>
        <item x="19"/>
        <item x="18"/>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4">
    <i>
      <x/>
    </i>
    <i i="1">
      <x v="1"/>
    </i>
    <i i="2">
      <x v="2"/>
    </i>
    <i i="3">
      <x v="3"/>
    </i>
  </colItems>
  <dataFields count="4">
    <dataField name="合計 / 22.元金返済月額" fld="21" baseField="0" baseItem="0" numFmtId="5"/>
    <dataField name="合計 / 23.利息月額" fld="22" baseField="0" baseItem="0" numFmtId="5"/>
    <dataField name="合計 / 24.支払月額" fld="23" baseField="0" baseItem="0" numFmtId="5"/>
    <dataField name="合計 / 25.残債" fld="24" baseField="0" baseItem="0"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6CBDED6-2C42-4818-81E5-F47F573876D8}" name="賃料3" cacheId="24642" applyNumberFormats="0" applyBorderFormats="0" applyFontFormats="0" applyPatternFormats="0" applyAlignmentFormats="0" applyWidthHeightFormats="1" dataCaption="値" updatedVersion="8" minRefreshableVersion="3" itemPrintTitles="1" createdVersion="8" indent="0" outline="1" outlineData="1" multipleFieldFilters="0">
  <location ref="CF7:CH17" firstHeaderRow="0" firstDataRow="1" firstDataCol="1" rowPageCount="2" colPageCount="1"/>
  <pivotFields count="30">
    <pivotField showAll="0"/>
    <pivotField showAll="0"/>
    <pivotField showAll="0"/>
    <pivotField showAll="0"/>
    <pivotField showAll="0"/>
    <pivotField showAll="0"/>
    <pivotField axis="axisRow">
      <items count="10">
        <item x="2"/>
        <item x="3"/>
        <item x="1"/>
        <item x="7"/>
        <item x="0"/>
        <item x="6"/>
        <item x="4"/>
        <item x="5"/>
        <item x="8"/>
        <item t="default"/>
      </items>
    </pivotField>
    <pivotField showAll="0"/>
    <pivotField showAll="0"/>
    <pivotField showAll="0"/>
    <pivotField showAll="0"/>
    <pivotField showAll="0"/>
    <pivotField dataField="1" showAll="0"/>
    <pivotField showAll="0"/>
    <pivotField showAll="0"/>
    <pivotField showAll="0"/>
    <pivotField dataField="1" showAll="0"/>
    <pivotField showAll="0"/>
    <pivotField axis="axisPage"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axis="axisPage" showAll="0">
      <items count="4">
        <item x="1"/>
        <item x="0"/>
        <item x="2"/>
        <item t="default"/>
      </items>
    </pivotField>
  </pivotFields>
  <rowFields count="1">
    <field x="6"/>
  </rowFields>
  <rowItems count="10">
    <i>
      <x/>
    </i>
    <i>
      <x v="1"/>
    </i>
    <i>
      <x v="2"/>
    </i>
    <i>
      <x v="3"/>
    </i>
    <i>
      <x v="4"/>
    </i>
    <i>
      <x v="5"/>
    </i>
    <i>
      <x v="6"/>
    </i>
    <i>
      <x v="7"/>
    </i>
    <i>
      <x v="8"/>
    </i>
    <i t="grand">
      <x/>
    </i>
  </rowItems>
  <colFields count="1">
    <field x="-2"/>
  </colFields>
  <colItems count="2">
    <i>
      <x/>
    </i>
    <i i="1">
      <x v="1"/>
    </i>
  </colItems>
  <pageFields count="2">
    <pageField fld="29" item="1" hier="-1"/>
    <pageField fld="18" item="1" hier="-1"/>
  </pageFields>
  <dataFields count="2">
    <dataField name="合計 / 17.満室想定税込(自動)" fld="16" baseField="0" baseItem="0" numFmtId="5"/>
    <dataField name="合計 / 13.現況賃料税込(自動)" fld="12" baseField="0" baseItem="0"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0BC66F2-2CF0-4223-AE20-54FAA21C92EF}" name="ピボットテーブル13" cacheId="24629"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DF8:DH123" firstHeaderRow="0" firstDataRow="1" firstDataCol="1" rowPageCount="2" colPageCount="1"/>
  <pivotFields count="31">
    <pivotField showAll="0"/>
    <pivotField showAll="0"/>
    <pivotField showAll="0"/>
    <pivotField showAll="0"/>
    <pivotField showAll="0"/>
    <pivotField showAll="0"/>
    <pivotField axis="axisRow" multipleItemSelectionAllowed="1">
      <items count="10">
        <item x="2"/>
        <item x="3"/>
        <item x="1"/>
        <item x="7"/>
        <item x="0"/>
        <item x="6"/>
        <item x="4"/>
        <item x="5"/>
        <item x="8"/>
        <item t="default"/>
      </items>
    </pivotField>
    <pivotField showAll="0"/>
    <pivotField showAll="0"/>
    <pivotField showAll="0"/>
    <pivotField showAll="0"/>
    <pivotField showAll="0"/>
    <pivotField showAll="0"/>
    <pivotField showAll="0"/>
    <pivotField showAll="0"/>
    <pivotField showAll="0"/>
    <pivotField axis="axisRow" dataField="1">
      <items count="13">
        <item x="0"/>
        <item x="1"/>
        <item x="2"/>
        <item x="3"/>
        <item x="4"/>
        <item x="5"/>
        <item x="6"/>
        <item x="7"/>
        <item x="8"/>
        <item x="9"/>
        <item x="10"/>
        <item x="11"/>
        <item t="default"/>
      </items>
    </pivotField>
    <pivotField showAll="0"/>
    <pivotField axis="axisPage"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axis="axisPage" showAll="0">
      <items count="4">
        <item x="1"/>
        <item x="0"/>
        <item x="2"/>
        <item t="default"/>
      </items>
    </pivotField>
    <pivotField>
      <items count="9">
        <item x="0"/>
        <item x="1"/>
        <item x="2"/>
        <item x="3"/>
        <item x="4"/>
        <item x="5"/>
        <item x="6"/>
        <item x="7"/>
        <item t="default"/>
      </items>
    </pivotField>
  </pivotFields>
  <rowFields count="2">
    <field x="16"/>
    <field x="6"/>
  </rowFields>
  <rowItems count="115">
    <i>
      <x/>
    </i>
    <i r="1">
      <x/>
    </i>
    <i r="1">
      <x v="1"/>
    </i>
    <i r="1">
      <x v="2"/>
    </i>
    <i r="1">
      <x v="3"/>
    </i>
    <i r="1">
      <x v="4"/>
    </i>
    <i r="1">
      <x v="5"/>
    </i>
    <i r="1">
      <x v="6"/>
    </i>
    <i r="1">
      <x v="7"/>
    </i>
    <i r="1">
      <x v="8"/>
    </i>
    <i>
      <x v="1"/>
    </i>
    <i r="1">
      <x/>
    </i>
    <i r="1">
      <x v="1"/>
    </i>
    <i r="1">
      <x v="2"/>
    </i>
    <i r="1">
      <x v="3"/>
    </i>
    <i r="1">
      <x v="5"/>
    </i>
    <i r="1">
      <x v="6"/>
    </i>
    <i r="1">
      <x v="7"/>
    </i>
    <i r="1">
      <x v="8"/>
    </i>
    <i>
      <x v="2"/>
    </i>
    <i r="1">
      <x/>
    </i>
    <i r="1">
      <x v="1"/>
    </i>
    <i r="1">
      <x v="2"/>
    </i>
    <i r="1">
      <x v="3"/>
    </i>
    <i r="1">
      <x v="5"/>
    </i>
    <i r="1">
      <x v="6"/>
    </i>
    <i r="1">
      <x v="7"/>
    </i>
    <i r="1">
      <x v="8"/>
    </i>
    <i>
      <x v="3"/>
    </i>
    <i r="1">
      <x/>
    </i>
    <i r="1">
      <x v="1"/>
    </i>
    <i r="1">
      <x v="2"/>
    </i>
    <i r="1">
      <x v="3"/>
    </i>
    <i r="1">
      <x v="5"/>
    </i>
    <i r="1">
      <x v="6"/>
    </i>
    <i r="1">
      <x v="7"/>
    </i>
    <i r="1">
      <x v="8"/>
    </i>
    <i>
      <x v="4"/>
    </i>
    <i r="1">
      <x/>
    </i>
    <i r="1">
      <x v="1"/>
    </i>
    <i r="1">
      <x v="2"/>
    </i>
    <i r="1">
      <x v="3"/>
    </i>
    <i r="1">
      <x v="5"/>
    </i>
    <i r="1">
      <x v="6"/>
    </i>
    <i r="1">
      <x v="7"/>
    </i>
    <i r="1">
      <x v="8"/>
    </i>
    <i>
      <x v="5"/>
    </i>
    <i r="1">
      <x/>
    </i>
    <i r="1">
      <x v="1"/>
    </i>
    <i r="1">
      <x v="2"/>
    </i>
    <i r="1">
      <x v="3"/>
    </i>
    <i r="1">
      <x v="5"/>
    </i>
    <i r="1">
      <x v="6"/>
    </i>
    <i r="1">
      <x v="7"/>
    </i>
    <i r="1">
      <x v="8"/>
    </i>
    <i>
      <x v="6"/>
    </i>
    <i r="1">
      <x/>
    </i>
    <i r="1">
      <x v="1"/>
    </i>
    <i r="1">
      <x v="2"/>
    </i>
    <i r="1">
      <x v="3"/>
    </i>
    <i r="1">
      <x v="4"/>
    </i>
    <i r="1">
      <x v="5"/>
    </i>
    <i r="1">
      <x v="6"/>
    </i>
    <i r="1">
      <x v="7"/>
    </i>
    <i r="1">
      <x v="8"/>
    </i>
    <i>
      <x v="7"/>
    </i>
    <i r="1">
      <x/>
    </i>
    <i r="1">
      <x v="1"/>
    </i>
    <i r="1">
      <x v="2"/>
    </i>
    <i r="1">
      <x v="3"/>
    </i>
    <i r="1">
      <x v="4"/>
    </i>
    <i r="1">
      <x v="5"/>
    </i>
    <i r="1">
      <x v="6"/>
    </i>
    <i r="1">
      <x v="7"/>
    </i>
    <i r="1">
      <x v="8"/>
    </i>
    <i>
      <x v="8"/>
    </i>
    <i r="1">
      <x/>
    </i>
    <i r="1">
      <x v="1"/>
    </i>
    <i r="1">
      <x v="2"/>
    </i>
    <i r="1">
      <x v="3"/>
    </i>
    <i r="1">
      <x v="4"/>
    </i>
    <i r="1">
      <x v="5"/>
    </i>
    <i r="1">
      <x v="6"/>
    </i>
    <i r="1">
      <x v="7"/>
    </i>
    <i r="1">
      <x v="8"/>
    </i>
    <i>
      <x v="9"/>
    </i>
    <i r="1">
      <x/>
    </i>
    <i r="1">
      <x v="1"/>
    </i>
    <i r="1">
      <x v="2"/>
    </i>
    <i r="1">
      <x v="3"/>
    </i>
    <i r="1">
      <x v="4"/>
    </i>
    <i r="1">
      <x v="5"/>
    </i>
    <i r="1">
      <x v="6"/>
    </i>
    <i r="1">
      <x v="7"/>
    </i>
    <i r="1">
      <x v="8"/>
    </i>
    <i>
      <x v="10"/>
    </i>
    <i r="1">
      <x/>
    </i>
    <i r="1">
      <x v="1"/>
    </i>
    <i r="1">
      <x v="2"/>
    </i>
    <i r="1">
      <x v="3"/>
    </i>
    <i r="1">
      <x v="4"/>
    </i>
    <i r="1">
      <x v="5"/>
    </i>
    <i r="1">
      <x v="6"/>
    </i>
    <i r="1">
      <x v="7"/>
    </i>
    <i r="1">
      <x v="8"/>
    </i>
    <i>
      <x v="11"/>
    </i>
    <i r="1">
      <x/>
    </i>
    <i r="1">
      <x v="1"/>
    </i>
    <i r="1">
      <x v="2"/>
    </i>
    <i r="1">
      <x v="3"/>
    </i>
    <i r="1">
      <x v="5"/>
    </i>
    <i r="1">
      <x v="6"/>
    </i>
    <i r="1">
      <x v="7"/>
    </i>
    <i r="1">
      <x v="8"/>
    </i>
    <i t="grand">
      <x/>
    </i>
  </rowItems>
  <colFields count="1">
    <field x="-2"/>
  </colFields>
  <colItems count="2">
    <i>
      <x/>
    </i>
    <i i="1">
      <x v="1"/>
    </i>
  </colItems>
  <pageFields count="2">
    <pageField fld="29" item="1" hier="-1"/>
    <pageField fld="18" item="1" hier="-1"/>
  </pageFields>
  <dataFields count="2">
    <dataField name="個数 / 17.満室想定税込(自動)" fld="16" subtotal="count" baseField="0" baseItem="0"/>
    <dataField name="合計 / 17.満室想定税込(自動)2" fld="16" baseField="0" baseItem="0"/>
  </dataFields>
  <pivotTableStyleInfo name="PivotStyleLight16" showRowHeaders="1" showColHeaders="1" showRowStripes="0" showColStripes="0" showLastColumn="1"/>
  <filters count="1">
    <filter fld="6" type="captionNotContains" evalOrder="-1" id="1" stringValue1="住居">
      <autoFilter ref="A1">
        <filterColumn colId="0">
          <customFilters>
            <customFilter operator="notEqual" val="*住居*"/>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D901DE6-583C-4FD7-903D-610F8F7E441A}" name="ピボットテーブル1" cacheId="24641" applyNumberFormats="0" applyBorderFormats="0" applyFontFormats="0" applyPatternFormats="0" applyAlignmentFormats="0" applyWidthHeightFormats="1" dataCaption="値" updatedVersion="8" minRefreshableVersion="3" itemPrintTitles="1" createdVersion="8" indent="0" outline="1" outlineData="1" multipleFieldFilters="0">
  <location ref="BF7:BP31" firstHeaderRow="1" firstDataRow="2" firstDataCol="1" rowPageCount="1" colPageCount="1"/>
  <pivotFields count="30">
    <pivotField showAll="0"/>
    <pivotField showAll="0"/>
    <pivotField axis="axisRow">
      <items count="23">
        <item x="7"/>
        <item x="2"/>
        <item x="13"/>
        <item x="12"/>
        <item x="3"/>
        <item x="16"/>
        <item m="1" x="21"/>
        <item x="6"/>
        <item x="11"/>
        <item x="14"/>
        <item x="0"/>
        <item x="10"/>
        <item x="1"/>
        <item x="5"/>
        <item x="15"/>
        <item x="9"/>
        <item x="4"/>
        <item x="8"/>
        <item x="20"/>
        <item x="18"/>
        <item x="19"/>
        <item x="17"/>
        <item t="default"/>
      </items>
    </pivotField>
    <pivotField showAll="0"/>
    <pivotField showAll="0"/>
    <pivotField showAll="0"/>
    <pivotField axis="axisCol">
      <items count="10">
        <item x="2"/>
        <item x="3"/>
        <item x="1"/>
        <item x="7"/>
        <item x="0"/>
        <item x="6"/>
        <item x="4"/>
        <item x="5"/>
        <item x="8"/>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4">
        <item x="1"/>
        <item x="0"/>
        <item x="2"/>
        <item t="default"/>
      </items>
    </pivotField>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6"/>
  </colFields>
  <colItems count="10">
    <i>
      <x/>
    </i>
    <i>
      <x v="1"/>
    </i>
    <i>
      <x v="2"/>
    </i>
    <i>
      <x v="3"/>
    </i>
    <i>
      <x v="4"/>
    </i>
    <i>
      <x v="5"/>
    </i>
    <i>
      <x v="6"/>
    </i>
    <i>
      <x v="7"/>
    </i>
    <i>
      <x v="8"/>
    </i>
    <i t="grand">
      <x/>
    </i>
  </colItems>
  <pageFields count="1">
    <pageField fld="29" item="1" hier="-1"/>
  </pageFields>
  <dataFields count="1">
    <dataField name="合計 / 13.現況賃料税込(自動)" fld="12" baseField="0" baseItem="0"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320F7EA-972B-4FCF-82CD-567E2CDDED8B}" name="ピボットテーブル4" cacheId="24627"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FN6:FO38" firstHeaderRow="1" firstDataRow="1" firstDataCol="1" rowPageCount="1" colPageCount="1"/>
  <pivotFields count="29">
    <pivotField showAll="0"/>
    <pivotField axis="axisPage" showAll="0">
      <items count="4">
        <item x="1"/>
        <item x="0"/>
        <item x="2"/>
        <item t="default"/>
      </items>
    </pivotField>
    <pivotField showAll="0"/>
    <pivotField showAll="0"/>
    <pivotField showAll="0"/>
    <pivotField showAll="0"/>
    <pivotField showAll="0"/>
    <pivotField showAll="0"/>
    <pivotField axis="axisRow" showAll="0">
      <items count="10">
        <item x="6"/>
        <item x="7"/>
        <item x="1"/>
        <item x="2"/>
        <item x="3"/>
        <item x="5"/>
        <item x="4"/>
        <item x="0"/>
        <item x="8"/>
        <item t="default"/>
      </items>
    </pivotField>
    <pivotField showAll="0"/>
    <pivotField axis="axisRow" showAll="0">
      <items count="24">
        <item x="16"/>
        <item x="7"/>
        <item x="5"/>
        <item x="14"/>
        <item x="13"/>
        <item x="1"/>
        <item x="19"/>
        <item x="6"/>
        <item x="12"/>
        <item x="15"/>
        <item x="4"/>
        <item x="8"/>
        <item x="20"/>
        <item x="11"/>
        <item x="0"/>
        <item x="3"/>
        <item x="17"/>
        <item x="10"/>
        <item x="2"/>
        <item x="18"/>
        <item x="21"/>
        <item x="9"/>
        <item x="2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8"/>
    <field x="10"/>
  </rowFields>
  <rowItems count="32">
    <i>
      <x v="2"/>
    </i>
    <i r="1">
      <x v="12"/>
    </i>
    <i>
      <x v="3"/>
    </i>
    <i r="1">
      <x v="3"/>
    </i>
    <i r="1">
      <x v="6"/>
    </i>
    <i r="1">
      <x v="18"/>
    </i>
    <i r="1">
      <x v="20"/>
    </i>
    <i>
      <x v="4"/>
    </i>
    <i r="1">
      <x v="6"/>
    </i>
    <i>
      <x v="5"/>
    </i>
    <i r="1">
      <x v="12"/>
    </i>
    <i>
      <x v="6"/>
    </i>
    <i r="1">
      <x v="12"/>
    </i>
    <i>
      <x v="7"/>
    </i>
    <i r="1">
      <x v="1"/>
    </i>
    <i r="1">
      <x v="2"/>
    </i>
    <i r="1">
      <x v="3"/>
    </i>
    <i r="1">
      <x v="4"/>
    </i>
    <i r="1">
      <x v="5"/>
    </i>
    <i r="1">
      <x v="7"/>
    </i>
    <i r="1">
      <x v="8"/>
    </i>
    <i r="1">
      <x v="9"/>
    </i>
    <i r="1">
      <x v="10"/>
    </i>
    <i r="1">
      <x v="13"/>
    </i>
    <i r="1">
      <x v="14"/>
    </i>
    <i r="1">
      <x v="15"/>
    </i>
    <i r="1">
      <x v="16"/>
    </i>
    <i r="1">
      <x v="17"/>
    </i>
    <i r="1">
      <x v="18"/>
    </i>
    <i r="1">
      <x v="19"/>
    </i>
    <i r="1">
      <x v="21"/>
    </i>
    <i t="grand">
      <x/>
    </i>
  </rowItems>
  <colItems count="1">
    <i/>
  </colItems>
  <pageFields count="1">
    <pageField fld="1" item="1" hier="-1"/>
  </pageFields>
  <dataFields count="1">
    <dataField name="合計 / 14.当初借入額" fld="13" baseField="0" baseItem="0"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6B6B2EE-C9AF-4253-9082-9B52D3F405A7}" name="ピボットテーブル2" cacheId="24639" applyNumberFormats="0" applyBorderFormats="0" applyFontFormats="0" applyPatternFormats="0" applyAlignmentFormats="0" applyWidthHeightFormats="1" dataCaption="値" updatedVersion="8" minRefreshableVersion="3" itemPrintTitles="1" createdVersion="8" indent="0" outline="1" outlineData="1" multipleFieldFilters="0" rowHeaderCaption="借入主体" colHeaderCaption="資金使途">
  <location ref="A23:J35" firstHeaderRow="1" firstDataRow="2" firstDataCol="1"/>
  <pivotFields count="42">
    <pivotField showAll="0"/>
    <pivotField showAll="0"/>
    <pivotField showAll="0"/>
    <pivotField showAll="0"/>
    <pivotField showAll="0"/>
    <pivotField showAll="0"/>
    <pivotField axis="axisRow" sortType="descending">
      <items count="12">
        <item x="7"/>
        <item x="8"/>
        <item x="3"/>
        <item x="6"/>
        <item x="2"/>
        <item x="1"/>
        <item x="4"/>
        <item x="5"/>
        <item x="0"/>
        <item x="9"/>
        <item x="10"/>
        <item t="default"/>
      </items>
      <autoSortScope>
        <pivotArea dataOnly="0" outline="0" fieldPosition="0">
          <references count="1">
            <reference field="4294967294" count="1" selected="0">
              <x v="0"/>
            </reference>
          </references>
        </pivotArea>
      </autoSortScope>
    </pivotField>
    <pivotField showAll="0"/>
    <pivotField axis="axisCol" showAll="0" sortType="descending">
      <items count="10">
        <item x="6"/>
        <item x="7"/>
        <item x="1"/>
        <item x="2"/>
        <item x="3"/>
        <item x="5"/>
        <item x="4"/>
        <item x="0"/>
        <item h="1"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v="5"/>
    </i>
    <i>
      <x v="8"/>
    </i>
    <i>
      <x v="4"/>
    </i>
    <i>
      <x v="2"/>
    </i>
    <i>
      <x v="6"/>
    </i>
    <i>
      <x v="7"/>
    </i>
    <i>
      <x v="1"/>
    </i>
    <i>
      <x v="3"/>
    </i>
    <i>
      <x v="9"/>
    </i>
    <i>
      <x/>
    </i>
    <i t="grand">
      <x/>
    </i>
  </rowItems>
  <colFields count="1">
    <field x="8"/>
  </colFields>
  <colItems count="9">
    <i>
      <x v="7"/>
    </i>
    <i>
      <x v="4"/>
    </i>
    <i>
      <x v="3"/>
    </i>
    <i>
      <x v="6"/>
    </i>
    <i>
      <x v="2"/>
    </i>
    <i>
      <x v="5"/>
    </i>
    <i>
      <x/>
    </i>
    <i>
      <x v="1"/>
    </i>
    <i t="grand">
      <x/>
    </i>
  </colItems>
  <dataFields count="1">
    <dataField name="残債" fld="24" baseField="0" baseItem="0" numFmtId="5"/>
  </dataFields>
  <formats count="24">
    <format dxfId="151">
      <pivotArea type="origin" dataOnly="0" labelOnly="1" outline="0" fieldPosition="0"/>
    </format>
    <format dxfId="152">
      <pivotArea field="6" type="button" dataOnly="0" labelOnly="1" outline="0" axis="axisRow" fieldPosition="0"/>
    </format>
    <format dxfId="153">
      <pivotArea dataOnly="0" labelOnly="1" fieldPosition="0">
        <references count="1">
          <reference field="6" count="0"/>
        </references>
      </pivotArea>
    </format>
    <format dxfId="154">
      <pivotArea dataOnly="0" labelOnly="1" grandRow="1" outline="0" fieldPosition="0"/>
    </format>
    <format dxfId="155">
      <pivotArea type="all" dataOnly="0" outline="0" fieldPosition="0"/>
    </format>
    <format dxfId="156">
      <pivotArea outline="0" collapsedLevelsAreSubtotals="1" fieldPosition="0"/>
    </format>
    <format dxfId="157">
      <pivotArea type="origin" dataOnly="0" labelOnly="1" outline="0" fieldPosition="0"/>
    </format>
    <format dxfId="158">
      <pivotArea field="8" type="button" dataOnly="0" labelOnly="1" outline="0" axis="axisCol" fieldPosition="0"/>
    </format>
    <format dxfId="159">
      <pivotArea type="topRight" dataOnly="0" labelOnly="1" outline="0" fieldPosition="0"/>
    </format>
    <format dxfId="160">
      <pivotArea field="6" type="button" dataOnly="0" labelOnly="1" outline="0" axis="axisRow" fieldPosition="0"/>
    </format>
    <format dxfId="161">
      <pivotArea dataOnly="0" labelOnly="1" fieldPosition="0">
        <references count="1">
          <reference field="6" count="0"/>
        </references>
      </pivotArea>
    </format>
    <format dxfId="162">
      <pivotArea dataOnly="0" labelOnly="1" grandRow="1" outline="0" fieldPosition="0"/>
    </format>
    <format dxfId="163">
      <pivotArea dataOnly="0" labelOnly="1" fieldPosition="0">
        <references count="1">
          <reference field="8" count="0"/>
        </references>
      </pivotArea>
    </format>
    <format dxfId="164">
      <pivotArea dataOnly="0" labelOnly="1" grandCol="1" outline="0" fieldPosition="0"/>
    </format>
    <format dxfId="165">
      <pivotArea type="all" dataOnly="0" outline="0" fieldPosition="0"/>
    </format>
    <format dxfId="166">
      <pivotArea outline="0" collapsedLevelsAreSubtotals="1" fieldPosition="0"/>
    </format>
    <format dxfId="167">
      <pivotArea type="origin" dataOnly="0" labelOnly="1" outline="0" fieldPosition="0"/>
    </format>
    <format dxfId="168">
      <pivotArea field="8" type="button" dataOnly="0" labelOnly="1" outline="0" axis="axisCol" fieldPosition="0"/>
    </format>
    <format dxfId="169">
      <pivotArea type="topRight" dataOnly="0" labelOnly="1" outline="0" fieldPosition="0"/>
    </format>
    <format dxfId="170">
      <pivotArea field="6" type="button" dataOnly="0" labelOnly="1" outline="0" axis="axisRow" fieldPosition="0"/>
    </format>
    <format dxfId="171">
      <pivotArea dataOnly="0" labelOnly="1" fieldPosition="0">
        <references count="1">
          <reference field="6" count="10">
            <x v="0"/>
            <x v="1"/>
            <x v="2"/>
            <x v="3"/>
            <x v="4"/>
            <x v="5"/>
            <x v="6"/>
            <x v="7"/>
            <x v="8"/>
            <x v="9"/>
          </reference>
        </references>
      </pivotArea>
    </format>
    <format dxfId="172">
      <pivotArea dataOnly="0" labelOnly="1" grandRow="1" outline="0" fieldPosition="0"/>
    </format>
    <format dxfId="173">
      <pivotArea dataOnly="0" labelOnly="1" fieldPosition="0">
        <references count="1">
          <reference field="8" count="0"/>
        </references>
      </pivotArea>
    </format>
    <format dxfId="174">
      <pivotArea dataOnly="0" labelOnly="1" grandCol="1" outline="0" fieldPosition="0"/>
    </format>
  </formats>
  <pivotTableStyleInfo name="PivotStyleLight16" showRowHeaders="1" showColHeaders="1" showRowStripes="0" showColStripes="0" showLastColumn="1"/>
  <filters count="1">
    <filter fld="6" type="captionNotContains" evalOrder="-1" id="1" stringValue1="(空白)">
      <autoFilter ref="A1">
        <filterColumn colId="0">
          <customFilters>
            <customFilter operator="notEqual" val="*(空白)*"/>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8359252-DB88-4D77-AA26-3132A448A67E}" name="ピボットテーブル1" cacheId="24636" applyNumberFormats="0" applyBorderFormats="0" applyFontFormats="0" applyPatternFormats="0" applyAlignmentFormats="0" applyWidthHeightFormats="1" dataCaption="値" updatedVersion="8" minRefreshableVersion="3" itemPrintTitles="1" createdVersion="8" indent="0" outline="1" outlineData="1" multipleFieldFilters="0" rowHeaderCaption="金融機関" colHeaderCaption="資金使途">
  <location ref="A5:J20" firstHeaderRow="1" firstDataRow="2" firstDataCol="1"/>
  <pivotFields count="42">
    <pivotField showAll="0"/>
    <pivotField showAll="0"/>
    <pivotField showAll="0"/>
    <pivotField axis="axisRow" sortType="descending">
      <items count="15">
        <item x="6"/>
        <item x="4"/>
        <item x="5"/>
        <item x="3"/>
        <item x="9"/>
        <item x="10"/>
        <item x="0"/>
        <item x="8"/>
        <item x="11"/>
        <item x="7"/>
        <item x="2"/>
        <item x="1"/>
        <item x="13"/>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Col" sortType="descending">
      <items count="10">
        <item h="1" x="8"/>
        <item x="0"/>
        <item x="4"/>
        <item x="5"/>
        <item x="3"/>
        <item x="2"/>
        <item x="1"/>
        <item x="7"/>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4">
    <i>
      <x v="6"/>
    </i>
    <i>
      <x v="10"/>
    </i>
    <i>
      <x v="9"/>
    </i>
    <i>
      <x v="1"/>
    </i>
    <i>
      <x v="8"/>
    </i>
    <i>
      <x v="3"/>
    </i>
    <i>
      <x/>
    </i>
    <i>
      <x v="5"/>
    </i>
    <i>
      <x v="11"/>
    </i>
    <i>
      <x v="2"/>
    </i>
    <i>
      <x v="7"/>
    </i>
    <i>
      <x v="4"/>
    </i>
    <i>
      <x v="13"/>
    </i>
    <i t="grand">
      <x/>
    </i>
  </rowItems>
  <colFields count="1">
    <field x="8"/>
  </colFields>
  <colItems count="9">
    <i>
      <x v="1"/>
    </i>
    <i>
      <x v="4"/>
    </i>
    <i>
      <x v="5"/>
    </i>
    <i>
      <x v="2"/>
    </i>
    <i>
      <x v="6"/>
    </i>
    <i>
      <x v="3"/>
    </i>
    <i>
      <x v="8"/>
    </i>
    <i>
      <x v="7"/>
    </i>
    <i t="grand">
      <x/>
    </i>
  </colItems>
  <dataFields count="1">
    <dataField name="残債" fld="24" baseField="0" baseItem="0" numFmtId="5"/>
  </dataFields>
  <formats count="24">
    <format dxfId="127">
      <pivotArea type="origin" dataOnly="0" labelOnly="1" outline="0" fieldPosition="0"/>
    </format>
    <format dxfId="128">
      <pivotArea field="3" type="button" dataOnly="0" labelOnly="1" outline="0" axis="axisRow" fieldPosition="0"/>
    </format>
    <format dxfId="129">
      <pivotArea dataOnly="0" labelOnly="1" fieldPosition="0">
        <references count="1">
          <reference field="3" count="13">
            <x v="0"/>
            <x v="1"/>
            <x v="2"/>
            <x v="3"/>
            <x v="4"/>
            <x v="5"/>
            <x v="6"/>
            <x v="7"/>
            <x v="8"/>
            <x v="9"/>
            <x v="10"/>
            <x v="11"/>
            <x v="13"/>
          </reference>
        </references>
      </pivotArea>
    </format>
    <format dxfId="130">
      <pivotArea dataOnly="0" labelOnly="1" grandRow="1" outline="0" fieldPosition="0"/>
    </format>
    <format dxfId="131">
      <pivotArea type="all" dataOnly="0" outline="0" fieldPosition="0"/>
    </format>
    <format dxfId="132">
      <pivotArea outline="0" collapsedLevelsAreSubtotals="1" fieldPosition="0"/>
    </format>
    <format dxfId="133">
      <pivotArea type="origin" dataOnly="0" labelOnly="1" outline="0" fieldPosition="0"/>
    </format>
    <format dxfId="134">
      <pivotArea field="8" type="button" dataOnly="0" labelOnly="1" outline="0" axis="axisCol" fieldPosition="0"/>
    </format>
    <format dxfId="135">
      <pivotArea type="topRight" dataOnly="0" labelOnly="1" outline="0" fieldPosition="0"/>
    </format>
    <format dxfId="136">
      <pivotArea field="3" type="button" dataOnly="0" labelOnly="1" outline="0" axis="axisRow" fieldPosition="0"/>
    </format>
    <format dxfId="137">
      <pivotArea dataOnly="0" labelOnly="1" fieldPosition="0">
        <references count="1">
          <reference field="3" count="13">
            <x v="0"/>
            <x v="1"/>
            <x v="2"/>
            <x v="3"/>
            <x v="4"/>
            <x v="5"/>
            <x v="6"/>
            <x v="7"/>
            <x v="8"/>
            <x v="9"/>
            <x v="10"/>
            <x v="11"/>
            <x v="13"/>
          </reference>
        </references>
      </pivotArea>
    </format>
    <format dxfId="138">
      <pivotArea dataOnly="0" labelOnly="1" grandRow="1" outline="0" fieldPosition="0"/>
    </format>
    <format dxfId="139">
      <pivotArea dataOnly="0" labelOnly="1" fieldPosition="0">
        <references count="1">
          <reference field="8" count="0"/>
        </references>
      </pivotArea>
    </format>
    <format dxfId="140">
      <pivotArea dataOnly="0" labelOnly="1" grandCol="1" outline="0" fieldPosition="0"/>
    </format>
    <format dxfId="141">
      <pivotArea type="all" dataOnly="0" outline="0" fieldPosition="0"/>
    </format>
    <format dxfId="142">
      <pivotArea outline="0" collapsedLevelsAreSubtotals="1" fieldPosition="0"/>
    </format>
    <format dxfId="143">
      <pivotArea type="origin" dataOnly="0" labelOnly="1" outline="0" fieldPosition="0"/>
    </format>
    <format dxfId="144">
      <pivotArea field="8" type="button" dataOnly="0" labelOnly="1" outline="0" axis="axisCol" fieldPosition="0"/>
    </format>
    <format dxfId="145">
      <pivotArea type="topRight" dataOnly="0" labelOnly="1" outline="0" fieldPosition="0"/>
    </format>
    <format dxfId="146">
      <pivotArea field="3" type="button" dataOnly="0" labelOnly="1" outline="0" axis="axisRow" fieldPosition="0"/>
    </format>
    <format dxfId="147">
      <pivotArea dataOnly="0" labelOnly="1" fieldPosition="0">
        <references count="1">
          <reference field="3" count="13">
            <x v="0"/>
            <x v="1"/>
            <x v="2"/>
            <x v="3"/>
            <x v="4"/>
            <x v="5"/>
            <x v="6"/>
            <x v="7"/>
            <x v="8"/>
            <x v="9"/>
            <x v="10"/>
            <x v="11"/>
            <x v="13"/>
          </reference>
        </references>
      </pivotArea>
    </format>
    <format dxfId="148">
      <pivotArea dataOnly="0" labelOnly="1" grandRow="1" outline="0" fieldPosition="0"/>
    </format>
    <format dxfId="149">
      <pivotArea dataOnly="0" labelOnly="1" fieldPosition="0">
        <references count="1">
          <reference field="8" count="0"/>
        </references>
      </pivotArea>
    </format>
    <format dxfId="150">
      <pivotArea dataOnly="0" labelOnly="1" grandCol="1" outline="0" fieldPosition="0"/>
    </format>
  </formats>
  <pivotTableStyleInfo name="PivotStyleLight16" showRowHeaders="1" showColHeaders="1" showRowStripes="0" showColStripes="0" showLastColumn="1"/>
  <filters count="1">
    <filter fld="3" type="captionNotContains" evalOrder="-1" id="1" stringValue1="(空白)">
      <autoFilter ref="A1">
        <filterColumn colId="0">
          <customFilters>
            <customFilter operator="notEqual" val="*(空白)*"/>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B54E1DA-0CDE-4234-97AD-578B0B15C0A9}" name="ピボットテーブル4" cacheId="24645" applyNumberFormats="0" applyBorderFormats="0" applyFontFormats="0" applyPatternFormats="0" applyAlignmentFormats="0" applyWidthHeightFormats="1" dataCaption="値" errorCaption="残債なし" showError="1" missingCaption="残債なし" updatedVersion="8" minRefreshableVersion="3" itemPrintTitles="1" createdVersion="8" indent="0" outline="1" outlineData="1" multipleFieldFilters="0" rowHeaderCaption="対象">
  <location ref="A59:E119" firstHeaderRow="0" firstDataRow="1" firstDataCol="1"/>
  <pivotFields count="43">
    <pivotField showAll="0"/>
    <pivotField showAll="0"/>
    <pivotField showAll="0"/>
    <pivotField showAll="0"/>
    <pivotField showAll="0"/>
    <pivotField showAll="0"/>
    <pivotField axis="axisRow" showAll="0" defaultSubtotal="0">
      <items count="11">
        <item x="7"/>
        <item x="8"/>
        <item x="3"/>
        <item x="6"/>
        <item x="2"/>
        <item x="1"/>
        <item x="4"/>
        <item x="5"/>
        <item x="0"/>
        <item x="9"/>
        <item x="10"/>
      </items>
    </pivotField>
    <pivotField showAll="0"/>
    <pivotField axis="axisRow" showAll="0" defaultSubtotal="0">
      <items count="9">
        <item x="6"/>
        <item x="7"/>
        <item x="1"/>
        <item x="2"/>
        <item x="3"/>
        <item x="5"/>
        <item x="4"/>
        <item x="0"/>
        <item x="8"/>
      </items>
    </pivotField>
    <pivotField showAll="0"/>
    <pivotField axis="axisRow" showAll="0">
      <items count="24">
        <item x="16"/>
        <item x="7"/>
        <item x="5"/>
        <item x="14"/>
        <item x="13"/>
        <item x="1"/>
        <item x="6"/>
        <item x="12"/>
        <item x="15"/>
        <item x="4"/>
        <item x="8"/>
        <item x="20"/>
        <item x="11"/>
        <item x="0"/>
        <item x="3"/>
        <item x="17"/>
        <item x="10"/>
        <item x="2"/>
        <item x="9"/>
        <item x="22"/>
        <item x="21"/>
        <item x="19"/>
        <item x="18"/>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3">
    <field x="6"/>
    <field x="8"/>
    <field x="10"/>
  </rowFields>
  <rowItems count="60">
    <i>
      <x/>
    </i>
    <i r="1">
      <x v="7"/>
    </i>
    <i r="2">
      <x/>
    </i>
    <i r="2">
      <x v="10"/>
    </i>
    <i>
      <x v="1"/>
    </i>
    <i r="1">
      <x v="7"/>
    </i>
    <i r="2">
      <x v="15"/>
    </i>
    <i r="2">
      <x v="22"/>
    </i>
    <i>
      <x v="2"/>
    </i>
    <i r="1">
      <x v="3"/>
    </i>
    <i r="2">
      <x v="3"/>
    </i>
    <i r="1">
      <x v="7"/>
    </i>
    <i r="2">
      <x v="3"/>
    </i>
    <i r="2">
      <x v="14"/>
    </i>
    <i>
      <x v="3"/>
    </i>
    <i r="1">
      <x v="7"/>
    </i>
    <i r="2">
      <x v="1"/>
    </i>
    <i>
      <x v="4"/>
    </i>
    <i r="1">
      <x v="3"/>
    </i>
    <i r="2">
      <x v="17"/>
    </i>
    <i r="1">
      <x v="7"/>
    </i>
    <i r="2">
      <x v="4"/>
    </i>
    <i r="2">
      <x v="17"/>
    </i>
    <i>
      <x v="5"/>
    </i>
    <i r="1">
      <x v="7"/>
    </i>
    <i r="2">
      <x v="2"/>
    </i>
    <i r="2">
      <x v="5"/>
    </i>
    <i r="2">
      <x v="7"/>
    </i>
    <i r="2">
      <x v="12"/>
    </i>
    <i>
      <x v="6"/>
    </i>
    <i r="1">
      <x/>
    </i>
    <i r="2">
      <x v="11"/>
    </i>
    <i r="1">
      <x v="1"/>
    </i>
    <i r="2">
      <x v="11"/>
    </i>
    <i r="1">
      <x v="2"/>
    </i>
    <i r="2">
      <x v="11"/>
    </i>
    <i r="1">
      <x v="3"/>
    </i>
    <i r="2">
      <x v="20"/>
    </i>
    <i r="2">
      <x v="21"/>
    </i>
    <i r="1">
      <x v="5"/>
    </i>
    <i r="2">
      <x v="11"/>
    </i>
    <i r="1">
      <x v="7"/>
    </i>
    <i r="2">
      <x v="9"/>
    </i>
    <i r="2">
      <x v="18"/>
    </i>
    <i>
      <x v="7"/>
    </i>
    <i r="1">
      <x v="7"/>
    </i>
    <i r="2">
      <x v="6"/>
    </i>
    <i r="2">
      <x v="8"/>
    </i>
    <i>
      <x v="8"/>
    </i>
    <i r="1">
      <x v="2"/>
    </i>
    <i r="2">
      <x v="13"/>
    </i>
    <i r="1">
      <x v="7"/>
    </i>
    <i r="2">
      <x v="13"/>
    </i>
    <i r="2">
      <x v="16"/>
    </i>
    <i>
      <x v="9"/>
    </i>
    <i r="1">
      <x v="4"/>
    </i>
    <i r="2">
      <x v="21"/>
    </i>
    <i r="1">
      <x v="6"/>
    </i>
    <i r="2">
      <x v="11"/>
    </i>
    <i t="grand">
      <x/>
    </i>
  </rowItems>
  <colFields count="1">
    <field x="-2"/>
  </colFields>
  <colItems count="4">
    <i>
      <x/>
    </i>
    <i i="1">
      <x v="1"/>
    </i>
    <i i="2">
      <x v="2"/>
    </i>
    <i i="3">
      <x v="3"/>
    </i>
  </colItems>
  <dataFields count="4">
    <dataField name="元金返済月額" fld="21" baseField="0" baseItem="0" numFmtId="5"/>
    <dataField name="利息月額" fld="22" baseField="0" baseItem="0" numFmtId="5"/>
    <dataField name="支払月額" fld="23" baseField="0" baseItem="0" numFmtId="5"/>
    <dataField name="残債" fld="24" baseField="0" baseItem="0" numFmtId="5"/>
  </dataFields>
  <formats count="105">
    <format dxfId="22">
      <pivotArea outline="0" collapsedLevelsAreSubtotals="1" fieldPosition="0"/>
    </format>
    <format dxfId="23">
      <pivotArea outline="0" fieldPosition="0">
        <references count="1">
          <reference field="4294967294" count="1">
            <x v="0"/>
          </reference>
        </references>
      </pivotArea>
    </format>
    <format dxfId="24">
      <pivotArea outline="0" fieldPosition="0">
        <references count="1">
          <reference field="4294967294" count="1">
            <x v="1"/>
          </reference>
        </references>
      </pivotArea>
    </format>
    <format dxfId="25">
      <pivotArea outline="0" fieldPosition="0">
        <references count="1">
          <reference field="4294967294" count="1">
            <x v="2"/>
          </reference>
        </references>
      </pivotArea>
    </format>
    <format dxfId="26">
      <pivotArea outline="0" fieldPosition="0">
        <references count="1">
          <reference field="4294967294" count="1">
            <x v="3"/>
          </reference>
        </references>
      </pivotArea>
    </format>
    <format dxfId="27">
      <pivotArea field="6" type="button" dataOnly="0" labelOnly="1" outline="0" axis="axisRow" fieldPosition="0"/>
    </format>
    <format dxfId="28">
      <pivotArea dataOnly="0" labelOnly="1" fieldPosition="0">
        <references count="1">
          <reference field="6" count="10">
            <x v="0"/>
            <x v="1"/>
            <x v="2"/>
            <x v="3"/>
            <x v="4"/>
            <x v="5"/>
            <x v="6"/>
            <x v="7"/>
            <x v="8"/>
            <x v="9"/>
          </reference>
        </references>
      </pivotArea>
    </format>
    <format dxfId="29">
      <pivotArea dataOnly="0" labelOnly="1" grandRow="1" outline="0" fieldPosition="0"/>
    </format>
    <format dxfId="30">
      <pivotArea dataOnly="0" labelOnly="1" fieldPosition="0">
        <references count="2">
          <reference field="6" count="1" selected="0">
            <x v="0"/>
          </reference>
          <reference field="8" count="1">
            <x v="7"/>
          </reference>
        </references>
      </pivotArea>
    </format>
    <format dxfId="31">
      <pivotArea dataOnly="0" labelOnly="1" fieldPosition="0">
        <references count="2">
          <reference field="6" count="1" selected="0">
            <x v="1"/>
          </reference>
          <reference field="8" count="1">
            <x v="7"/>
          </reference>
        </references>
      </pivotArea>
    </format>
    <format dxfId="32">
      <pivotArea dataOnly="0" labelOnly="1" fieldPosition="0">
        <references count="2">
          <reference field="6" count="1" selected="0">
            <x v="2"/>
          </reference>
          <reference field="8" count="2">
            <x v="3"/>
            <x v="7"/>
          </reference>
        </references>
      </pivotArea>
    </format>
    <format dxfId="33">
      <pivotArea dataOnly="0" labelOnly="1" fieldPosition="0">
        <references count="2">
          <reference field="6" count="1" selected="0">
            <x v="3"/>
          </reference>
          <reference field="8" count="1">
            <x v="7"/>
          </reference>
        </references>
      </pivotArea>
    </format>
    <format dxfId="34">
      <pivotArea dataOnly="0" labelOnly="1" fieldPosition="0">
        <references count="2">
          <reference field="6" count="1" selected="0">
            <x v="4"/>
          </reference>
          <reference field="8" count="2">
            <x v="3"/>
            <x v="7"/>
          </reference>
        </references>
      </pivotArea>
    </format>
    <format dxfId="35">
      <pivotArea dataOnly="0" labelOnly="1" fieldPosition="0">
        <references count="2">
          <reference field="6" count="1" selected="0">
            <x v="5"/>
          </reference>
          <reference field="8" count="1">
            <x v="7"/>
          </reference>
        </references>
      </pivotArea>
    </format>
    <format dxfId="36">
      <pivotArea dataOnly="0" labelOnly="1" fieldPosition="0">
        <references count="2">
          <reference field="6" count="1" selected="0">
            <x v="6"/>
          </reference>
          <reference field="8" count="6">
            <x v="0"/>
            <x v="1"/>
            <x v="2"/>
            <x v="3"/>
            <x v="5"/>
            <x v="7"/>
          </reference>
        </references>
      </pivotArea>
    </format>
    <format dxfId="37">
      <pivotArea dataOnly="0" labelOnly="1" fieldPosition="0">
        <references count="2">
          <reference field="6" count="1" selected="0">
            <x v="7"/>
          </reference>
          <reference field="8" count="1">
            <x v="7"/>
          </reference>
        </references>
      </pivotArea>
    </format>
    <format dxfId="38">
      <pivotArea dataOnly="0" labelOnly="1" fieldPosition="0">
        <references count="2">
          <reference field="6" count="1" selected="0">
            <x v="8"/>
          </reference>
          <reference field="8" count="2">
            <x v="2"/>
            <x v="7"/>
          </reference>
        </references>
      </pivotArea>
    </format>
    <format dxfId="39">
      <pivotArea dataOnly="0" labelOnly="1" fieldPosition="0">
        <references count="2">
          <reference field="6" count="1" selected="0">
            <x v="9"/>
          </reference>
          <reference field="8" count="2">
            <x v="4"/>
            <x v="6"/>
          </reference>
        </references>
      </pivotArea>
    </format>
    <format dxfId="40">
      <pivotArea dataOnly="0" labelOnly="1" fieldPosition="0">
        <references count="3">
          <reference field="6" count="1" selected="0">
            <x v="0"/>
          </reference>
          <reference field="8" count="1" selected="0">
            <x v="7"/>
          </reference>
          <reference field="10" count="2">
            <x v="0"/>
            <x v="10"/>
          </reference>
        </references>
      </pivotArea>
    </format>
    <format dxfId="41">
      <pivotArea dataOnly="0" labelOnly="1" fieldPosition="0">
        <references count="3">
          <reference field="6" count="1" selected="0">
            <x v="1"/>
          </reference>
          <reference field="8" count="1" selected="0">
            <x v="7"/>
          </reference>
          <reference field="10" count="1">
            <x v="15"/>
          </reference>
        </references>
      </pivotArea>
    </format>
    <format dxfId="42">
      <pivotArea dataOnly="0" labelOnly="1" fieldPosition="0">
        <references count="3">
          <reference field="6" count="1" selected="0">
            <x v="2"/>
          </reference>
          <reference field="8" count="1" selected="0">
            <x v="3"/>
          </reference>
          <reference field="10" count="1">
            <x v="3"/>
          </reference>
        </references>
      </pivotArea>
    </format>
    <format dxfId="43">
      <pivotArea dataOnly="0" labelOnly="1" fieldPosition="0">
        <references count="3">
          <reference field="6" count="1" selected="0">
            <x v="2"/>
          </reference>
          <reference field="8" count="1" selected="0">
            <x v="7"/>
          </reference>
          <reference field="10" count="2">
            <x v="3"/>
            <x v="14"/>
          </reference>
        </references>
      </pivotArea>
    </format>
    <format dxfId="44">
      <pivotArea dataOnly="0" labelOnly="1" fieldPosition="0">
        <references count="3">
          <reference field="6" count="1" selected="0">
            <x v="3"/>
          </reference>
          <reference field="8" count="1" selected="0">
            <x v="7"/>
          </reference>
          <reference field="10" count="1">
            <x v="1"/>
          </reference>
        </references>
      </pivotArea>
    </format>
    <format dxfId="45">
      <pivotArea dataOnly="0" labelOnly="1" fieldPosition="0">
        <references count="3">
          <reference field="6" count="1" selected="0">
            <x v="4"/>
          </reference>
          <reference field="8" count="1" selected="0">
            <x v="3"/>
          </reference>
          <reference field="10" count="1">
            <x v="17"/>
          </reference>
        </references>
      </pivotArea>
    </format>
    <format dxfId="46">
      <pivotArea dataOnly="0" labelOnly="1" fieldPosition="0">
        <references count="3">
          <reference field="6" count="1" selected="0">
            <x v="4"/>
          </reference>
          <reference field="8" count="1" selected="0">
            <x v="7"/>
          </reference>
          <reference field="10" count="2">
            <x v="4"/>
            <x v="17"/>
          </reference>
        </references>
      </pivotArea>
    </format>
    <format dxfId="47">
      <pivotArea dataOnly="0" labelOnly="1" fieldPosition="0">
        <references count="3">
          <reference field="6" count="1" selected="0">
            <x v="5"/>
          </reference>
          <reference field="8" count="1" selected="0">
            <x v="7"/>
          </reference>
          <reference field="10" count="4">
            <x v="2"/>
            <x v="5"/>
            <x v="7"/>
            <x v="12"/>
          </reference>
        </references>
      </pivotArea>
    </format>
    <format dxfId="48">
      <pivotArea dataOnly="0" labelOnly="1" fieldPosition="0">
        <references count="3">
          <reference field="6" count="1" selected="0">
            <x v="6"/>
          </reference>
          <reference field="8" count="1" selected="0">
            <x v="0"/>
          </reference>
          <reference field="10" count="1">
            <x v="11"/>
          </reference>
        </references>
      </pivotArea>
    </format>
    <format dxfId="49">
      <pivotArea dataOnly="0" labelOnly="1" fieldPosition="0">
        <references count="3">
          <reference field="6" count="1" selected="0">
            <x v="6"/>
          </reference>
          <reference field="8" count="1" selected="0">
            <x v="1"/>
          </reference>
          <reference field="10" count="1">
            <x v="11"/>
          </reference>
        </references>
      </pivotArea>
    </format>
    <format dxfId="50">
      <pivotArea dataOnly="0" labelOnly="1" fieldPosition="0">
        <references count="3">
          <reference field="6" count="1" selected="0">
            <x v="6"/>
          </reference>
          <reference field="8" count="1" selected="0">
            <x v="2"/>
          </reference>
          <reference field="10" count="1">
            <x v="11"/>
          </reference>
        </references>
      </pivotArea>
    </format>
    <format dxfId="51">
      <pivotArea dataOnly="0" labelOnly="1" fieldPosition="0">
        <references count="3">
          <reference field="6" count="1" selected="0">
            <x v="6"/>
          </reference>
          <reference field="8" count="1" selected="0">
            <x v="3"/>
          </reference>
          <reference field="10" count="1">
            <x v="20"/>
          </reference>
        </references>
      </pivotArea>
    </format>
    <format dxfId="52">
      <pivotArea dataOnly="0" labelOnly="1" fieldPosition="0">
        <references count="3">
          <reference field="6" count="1" selected="0">
            <x v="6"/>
          </reference>
          <reference field="8" count="1" selected="0">
            <x v="5"/>
          </reference>
          <reference field="10" count="1">
            <x v="11"/>
          </reference>
        </references>
      </pivotArea>
    </format>
    <format dxfId="53">
      <pivotArea dataOnly="0" labelOnly="1" fieldPosition="0">
        <references count="3">
          <reference field="6" count="1" selected="0">
            <x v="6"/>
          </reference>
          <reference field="8" count="1" selected="0">
            <x v="7"/>
          </reference>
          <reference field="10" count="2">
            <x v="9"/>
            <x v="18"/>
          </reference>
        </references>
      </pivotArea>
    </format>
    <format dxfId="54">
      <pivotArea dataOnly="0" labelOnly="1" fieldPosition="0">
        <references count="3">
          <reference field="6" count="1" selected="0">
            <x v="7"/>
          </reference>
          <reference field="8" count="1" selected="0">
            <x v="7"/>
          </reference>
          <reference field="10" count="2">
            <x v="6"/>
            <x v="8"/>
          </reference>
        </references>
      </pivotArea>
    </format>
    <format dxfId="55">
      <pivotArea dataOnly="0" labelOnly="1" fieldPosition="0">
        <references count="3">
          <reference field="6" count="1" selected="0">
            <x v="8"/>
          </reference>
          <reference field="8" count="1" selected="0">
            <x v="2"/>
          </reference>
          <reference field="10" count="1">
            <x v="13"/>
          </reference>
        </references>
      </pivotArea>
    </format>
    <format dxfId="56">
      <pivotArea dataOnly="0" labelOnly="1" fieldPosition="0">
        <references count="3">
          <reference field="6" count="1" selected="0">
            <x v="8"/>
          </reference>
          <reference field="8" count="1" selected="0">
            <x v="7"/>
          </reference>
          <reference field="10" count="2">
            <x v="13"/>
            <x v="16"/>
          </reference>
        </references>
      </pivotArea>
    </format>
    <format dxfId="57">
      <pivotArea dataOnly="0" labelOnly="1" fieldPosition="0">
        <references count="3">
          <reference field="6" count="1" selected="0">
            <x v="9"/>
          </reference>
          <reference field="8" count="1" selected="0">
            <x v="6"/>
          </reference>
          <reference field="10" count="1">
            <x v="11"/>
          </reference>
        </references>
      </pivotArea>
    </format>
    <format dxfId="58">
      <pivotArea type="all" dataOnly="0" outline="0" fieldPosition="0"/>
    </format>
    <format dxfId="59">
      <pivotArea outline="0" collapsedLevelsAreSubtotals="1" fieldPosition="0"/>
    </format>
    <format dxfId="60">
      <pivotArea field="6" type="button" dataOnly="0" labelOnly="1" outline="0" axis="axisRow" fieldPosition="0"/>
    </format>
    <format dxfId="61">
      <pivotArea dataOnly="0" labelOnly="1" fieldPosition="0">
        <references count="1">
          <reference field="6" count="10">
            <x v="0"/>
            <x v="1"/>
            <x v="2"/>
            <x v="3"/>
            <x v="4"/>
            <x v="5"/>
            <x v="6"/>
            <x v="7"/>
            <x v="8"/>
            <x v="9"/>
          </reference>
        </references>
      </pivotArea>
    </format>
    <format dxfId="62">
      <pivotArea dataOnly="0" labelOnly="1" grandRow="1" outline="0" fieldPosition="0"/>
    </format>
    <format dxfId="63">
      <pivotArea dataOnly="0" labelOnly="1" fieldPosition="0">
        <references count="2">
          <reference field="6" count="1" selected="0">
            <x v="0"/>
          </reference>
          <reference field="8" count="1">
            <x v="7"/>
          </reference>
        </references>
      </pivotArea>
    </format>
    <format dxfId="64">
      <pivotArea dataOnly="0" labelOnly="1" fieldPosition="0">
        <references count="2">
          <reference field="6" count="1" selected="0">
            <x v="1"/>
          </reference>
          <reference field="8" count="1">
            <x v="7"/>
          </reference>
        </references>
      </pivotArea>
    </format>
    <format dxfId="65">
      <pivotArea dataOnly="0" labelOnly="1" fieldPosition="0">
        <references count="2">
          <reference field="6" count="1" selected="0">
            <x v="2"/>
          </reference>
          <reference field="8" count="2">
            <x v="3"/>
            <x v="7"/>
          </reference>
        </references>
      </pivotArea>
    </format>
    <format dxfId="66">
      <pivotArea dataOnly="0" labelOnly="1" fieldPosition="0">
        <references count="2">
          <reference field="6" count="1" selected="0">
            <x v="3"/>
          </reference>
          <reference field="8" count="1">
            <x v="7"/>
          </reference>
        </references>
      </pivotArea>
    </format>
    <format dxfId="67">
      <pivotArea dataOnly="0" labelOnly="1" fieldPosition="0">
        <references count="2">
          <reference field="6" count="1" selected="0">
            <x v="4"/>
          </reference>
          <reference field="8" count="2">
            <x v="3"/>
            <x v="7"/>
          </reference>
        </references>
      </pivotArea>
    </format>
    <format dxfId="68">
      <pivotArea dataOnly="0" labelOnly="1" fieldPosition="0">
        <references count="2">
          <reference field="6" count="1" selected="0">
            <x v="5"/>
          </reference>
          <reference field="8" count="1">
            <x v="7"/>
          </reference>
        </references>
      </pivotArea>
    </format>
    <format dxfId="69">
      <pivotArea dataOnly="0" labelOnly="1" fieldPosition="0">
        <references count="2">
          <reference field="6" count="1" selected="0">
            <x v="6"/>
          </reference>
          <reference field="8" count="6">
            <x v="0"/>
            <x v="1"/>
            <x v="2"/>
            <x v="3"/>
            <x v="5"/>
            <x v="7"/>
          </reference>
        </references>
      </pivotArea>
    </format>
    <format dxfId="70">
      <pivotArea dataOnly="0" labelOnly="1" fieldPosition="0">
        <references count="2">
          <reference field="6" count="1" selected="0">
            <x v="7"/>
          </reference>
          <reference field="8" count="1">
            <x v="7"/>
          </reference>
        </references>
      </pivotArea>
    </format>
    <format dxfId="71">
      <pivotArea dataOnly="0" labelOnly="1" fieldPosition="0">
        <references count="2">
          <reference field="6" count="1" selected="0">
            <x v="8"/>
          </reference>
          <reference field="8" count="2">
            <x v="2"/>
            <x v="7"/>
          </reference>
        </references>
      </pivotArea>
    </format>
    <format dxfId="72">
      <pivotArea dataOnly="0" labelOnly="1" fieldPosition="0">
        <references count="2">
          <reference field="6" count="1" selected="0">
            <x v="9"/>
          </reference>
          <reference field="8" count="2">
            <x v="4"/>
            <x v="6"/>
          </reference>
        </references>
      </pivotArea>
    </format>
    <format dxfId="73">
      <pivotArea dataOnly="0" labelOnly="1" fieldPosition="0">
        <references count="3">
          <reference field="6" count="1" selected="0">
            <x v="0"/>
          </reference>
          <reference field="8" count="1" selected="0">
            <x v="7"/>
          </reference>
          <reference field="10" count="2">
            <x v="0"/>
            <x v="10"/>
          </reference>
        </references>
      </pivotArea>
    </format>
    <format dxfId="74">
      <pivotArea dataOnly="0" labelOnly="1" fieldPosition="0">
        <references count="3">
          <reference field="6" count="1" selected="0">
            <x v="1"/>
          </reference>
          <reference field="8" count="1" selected="0">
            <x v="7"/>
          </reference>
          <reference field="10" count="1">
            <x v="15"/>
          </reference>
        </references>
      </pivotArea>
    </format>
    <format dxfId="75">
      <pivotArea dataOnly="0" labelOnly="1" fieldPosition="0">
        <references count="3">
          <reference field="6" count="1" selected="0">
            <x v="2"/>
          </reference>
          <reference field="8" count="1" selected="0">
            <x v="3"/>
          </reference>
          <reference field="10" count="1">
            <x v="3"/>
          </reference>
        </references>
      </pivotArea>
    </format>
    <format dxfId="76">
      <pivotArea dataOnly="0" labelOnly="1" fieldPosition="0">
        <references count="3">
          <reference field="6" count="1" selected="0">
            <x v="2"/>
          </reference>
          <reference field="8" count="1" selected="0">
            <x v="7"/>
          </reference>
          <reference field="10" count="2">
            <x v="3"/>
            <x v="14"/>
          </reference>
        </references>
      </pivotArea>
    </format>
    <format dxfId="77">
      <pivotArea dataOnly="0" labelOnly="1" fieldPosition="0">
        <references count="3">
          <reference field="6" count="1" selected="0">
            <x v="3"/>
          </reference>
          <reference field="8" count="1" selected="0">
            <x v="7"/>
          </reference>
          <reference field="10" count="1">
            <x v="1"/>
          </reference>
        </references>
      </pivotArea>
    </format>
    <format dxfId="78">
      <pivotArea dataOnly="0" labelOnly="1" fieldPosition="0">
        <references count="3">
          <reference field="6" count="1" selected="0">
            <x v="4"/>
          </reference>
          <reference field="8" count="1" selected="0">
            <x v="3"/>
          </reference>
          <reference field="10" count="1">
            <x v="17"/>
          </reference>
        </references>
      </pivotArea>
    </format>
    <format dxfId="79">
      <pivotArea dataOnly="0" labelOnly="1" fieldPosition="0">
        <references count="3">
          <reference field="6" count="1" selected="0">
            <x v="4"/>
          </reference>
          <reference field="8" count="1" selected="0">
            <x v="7"/>
          </reference>
          <reference field="10" count="2">
            <x v="4"/>
            <x v="17"/>
          </reference>
        </references>
      </pivotArea>
    </format>
    <format dxfId="80">
      <pivotArea dataOnly="0" labelOnly="1" fieldPosition="0">
        <references count="3">
          <reference field="6" count="1" selected="0">
            <x v="5"/>
          </reference>
          <reference field="8" count="1" selected="0">
            <x v="7"/>
          </reference>
          <reference field="10" count="4">
            <x v="2"/>
            <x v="5"/>
            <x v="7"/>
            <x v="12"/>
          </reference>
        </references>
      </pivotArea>
    </format>
    <format dxfId="81">
      <pivotArea dataOnly="0" labelOnly="1" fieldPosition="0">
        <references count="3">
          <reference field="6" count="1" selected="0">
            <x v="6"/>
          </reference>
          <reference field="8" count="1" selected="0">
            <x v="0"/>
          </reference>
          <reference field="10" count="1">
            <x v="11"/>
          </reference>
        </references>
      </pivotArea>
    </format>
    <format dxfId="82">
      <pivotArea dataOnly="0" labelOnly="1" fieldPosition="0">
        <references count="3">
          <reference field="6" count="1" selected="0">
            <x v="6"/>
          </reference>
          <reference field="8" count="1" selected="0">
            <x v="1"/>
          </reference>
          <reference field="10" count="1">
            <x v="11"/>
          </reference>
        </references>
      </pivotArea>
    </format>
    <format dxfId="83">
      <pivotArea dataOnly="0" labelOnly="1" fieldPosition="0">
        <references count="3">
          <reference field="6" count="1" selected="0">
            <x v="6"/>
          </reference>
          <reference field="8" count="1" selected="0">
            <x v="2"/>
          </reference>
          <reference field="10" count="1">
            <x v="11"/>
          </reference>
        </references>
      </pivotArea>
    </format>
    <format dxfId="84">
      <pivotArea dataOnly="0" labelOnly="1" fieldPosition="0">
        <references count="3">
          <reference field="6" count="1" selected="0">
            <x v="6"/>
          </reference>
          <reference field="8" count="1" selected="0">
            <x v="3"/>
          </reference>
          <reference field="10" count="1">
            <x v="20"/>
          </reference>
        </references>
      </pivotArea>
    </format>
    <format dxfId="85">
      <pivotArea dataOnly="0" labelOnly="1" fieldPosition="0">
        <references count="3">
          <reference field="6" count="1" selected="0">
            <x v="6"/>
          </reference>
          <reference field="8" count="1" selected="0">
            <x v="5"/>
          </reference>
          <reference field="10" count="1">
            <x v="11"/>
          </reference>
        </references>
      </pivotArea>
    </format>
    <format dxfId="86">
      <pivotArea dataOnly="0" labelOnly="1" fieldPosition="0">
        <references count="3">
          <reference field="6" count="1" selected="0">
            <x v="6"/>
          </reference>
          <reference field="8" count="1" selected="0">
            <x v="7"/>
          </reference>
          <reference field="10" count="2">
            <x v="9"/>
            <x v="18"/>
          </reference>
        </references>
      </pivotArea>
    </format>
    <format dxfId="87">
      <pivotArea dataOnly="0" labelOnly="1" fieldPosition="0">
        <references count="3">
          <reference field="6" count="1" selected="0">
            <x v="7"/>
          </reference>
          <reference field="8" count="1" selected="0">
            <x v="7"/>
          </reference>
          <reference field="10" count="2">
            <x v="6"/>
            <x v="8"/>
          </reference>
        </references>
      </pivotArea>
    </format>
    <format dxfId="88">
      <pivotArea dataOnly="0" labelOnly="1" fieldPosition="0">
        <references count="3">
          <reference field="6" count="1" selected="0">
            <x v="8"/>
          </reference>
          <reference field="8" count="1" selected="0">
            <x v="2"/>
          </reference>
          <reference field="10" count="1">
            <x v="13"/>
          </reference>
        </references>
      </pivotArea>
    </format>
    <format dxfId="89">
      <pivotArea dataOnly="0" labelOnly="1" fieldPosition="0">
        <references count="3">
          <reference field="6" count="1" selected="0">
            <x v="8"/>
          </reference>
          <reference field="8" count="1" selected="0">
            <x v="7"/>
          </reference>
          <reference field="10" count="2">
            <x v="13"/>
            <x v="16"/>
          </reference>
        </references>
      </pivotArea>
    </format>
    <format dxfId="90">
      <pivotArea dataOnly="0" labelOnly="1" fieldPosition="0">
        <references count="3">
          <reference field="6" count="1" selected="0">
            <x v="9"/>
          </reference>
          <reference field="8" count="1" selected="0">
            <x v="6"/>
          </reference>
          <reference field="10" count="1">
            <x v="11"/>
          </reference>
        </references>
      </pivotArea>
    </format>
    <format dxfId="91">
      <pivotArea dataOnly="0" labelOnly="1" outline="0" fieldPosition="0">
        <references count="1">
          <reference field="4294967294" count="4">
            <x v="0"/>
            <x v="1"/>
            <x v="2"/>
            <x v="3"/>
          </reference>
        </references>
      </pivotArea>
    </format>
    <format dxfId="92">
      <pivotArea type="all" dataOnly="0" outline="0" fieldPosition="0"/>
    </format>
    <format dxfId="93">
      <pivotArea outline="0" collapsedLevelsAreSubtotals="1" fieldPosition="0"/>
    </format>
    <format dxfId="94">
      <pivotArea field="6" type="button" dataOnly="0" labelOnly="1" outline="0" axis="axisRow" fieldPosition="0"/>
    </format>
    <format dxfId="95">
      <pivotArea dataOnly="0" labelOnly="1" fieldPosition="0">
        <references count="1">
          <reference field="6" count="10">
            <x v="0"/>
            <x v="1"/>
            <x v="2"/>
            <x v="3"/>
            <x v="4"/>
            <x v="5"/>
            <x v="6"/>
            <x v="7"/>
            <x v="8"/>
            <x v="9"/>
          </reference>
        </references>
      </pivotArea>
    </format>
    <format dxfId="96">
      <pivotArea dataOnly="0" labelOnly="1" grandRow="1" outline="0" fieldPosition="0"/>
    </format>
    <format dxfId="97">
      <pivotArea dataOnly="0" labelOnly="1" fieldPosition="0">
        <references count="2">
          <reference field="6" count="1" selected="0">
            <x v="0"/>
          </reference>
          <reference field="8" count="1">
            <x v="7"/>
          </reference>
        </references>
      </pivotArea>
    </format>
    <format dxfId="98">
      <pivotArea dataOnly="0" labelOnly="1" fieldPosition="0">
        <references count="2">
          <reference field="6" count="1" selected="0">
            <x v="1"/>
          </reference>
          <reference field="8" count="1">
            <x v="7"/>
          </reference>
        </references>
      </pivotArea>
    </format>
    <format dxfId="99">
      <pivotArea dataOnly="0" labelOnly="1" fieldPosition="0">
        <references count="2">
          <reference field="6" count="1" selected="0">
            <x v="2"/>
          </reference>
          <reference field="8" count="2">
            <x v="3"/>
            <x v="7"/>
          </reference>
        </references>
      </pivotArea>
    </format>
    <format dxfId="100">
      <pivotArea dataOnly="0" labelOnly="1" fieldPosition="0">
        <references count="2">
          <reference field="6" count="1" selected="0">
            <x v="3"/>
          </reference>
          <reference field="8" count="1">
            <x v="7"/>
          </reference>
        </references>
      </pivotArea>
    </format>
    <format dxfId="101">
      <pivotArea dataOnly="0" labelOnly="1" fieldPosition="0">
        <references count="2">
          <reference field="6" count="1" selected="0">
            <x v="4"/>
          </reference>
          <reference field="8" count="2">
            <x v="3"/>
            <x v="7"/>
          </reference>
        </references>
      </pivotArea>
    </format>
    <format dxfId="102">
      <pivotArea dataOnly="0" labelOnly="1" fieldPosition="0">
        <references count="2">
          <reference field="6" count="1" selected="0">
            <x v="5"/>
          </reference>
          <reference field="8" count="1">
            <x v="7"/>
          </reference>
        </references>
      </pivotArea>
    </format>
    <format dxfId="103">
      <pivotArea dataOnly="0" labelOnly="1" fieldPosition="0">
        <references count="2">
          <reference field="6" count="1" selected="0">
            <x v="6"/>
          </reference>
          <reference field="8" count="6">
            <x v="0"/>
            <x v="1"/>
            <x v="2"/>
            <x v="3"/>
            <x v="5"/>
            <x v="7"/>
          </reference>
        </references>
      </pivotArea>
    </format>
    <format dxfId="104">
      <pivotArea dataOnly="0" labelOnly="1" fieldPosition="0">
        <references count="2">
          <reference field="6" count="1" selected="0">
            <x v="7"/>
          </reference>
          <reference field="8" count="1">
            <x v="7"/>
          </reference>
        </references>
      </pivotArea>
    </format>
    <format dxfId="105">
      <pivotArea dataOnly="0" labelOnly="1" fieldPosition="0">
        <references count="2">
          <reference field="6" count="1" selected="0">
            <x v="8"/>
          </reference>
          <reference field="8" count="2">
            <x v="2"/>
            <x v="7"/>
          </reference>
        </references>
      </pivotArea>
    </format>
    <format dxfId="106">
      <pivotArea dataOnly="0" labelOnly="1" fieldPosition="0">
        <references count="2">
          <reference field="6" count="1" selected="0">
            <x v="9"/>
          </reference>
          <reference field="8" count="2">
            <x v="4"/>
            <x v="6"/>
          </reference>
        </references>
      </pivotArea>
    </format>
    <format dxfId="107">
      <pivotArea dataOnly="0" labelOnly="1" fieldPosition="0">
        <references count="3">
          <reference field="6" count="1" selected="0">
            <x v="0"/>
          </reference>
          <reference field="8" count="1" selected="0">
            <x v="7"/>
          </reference>
          <reference field="10" count="2">
            <x v="0"/>
            <x v="10"/>
          </reference>
        </references>
      </pivotArea>
    </format>
    <format dxfId="108">
      <pivotArea dataOnly="0" labelOnly="1" fieldPosition="0">
        <references count="3">
          <reference field="6" count="1" selected="0">
            <x v="1"/>
          </reference>
          <reference field="8" count="1" selected="0">
            <x v="7"/>
          </reference>
          <reference field="10" count="2">
            <x v="15"/>
            <x v="22"/>
          </reference>
        </references>
      </pivotArea>
    </format>
    <format dxfId="109">
      <pivotArea dataOnly="0" labelOnly="1" fieldPosition="0">
        <references count="3">
          <reference field="6" count="1" selected="0">
            <x v="2"/>
          </reference>
          <reference field="8" count="1" selected="0">
            <x v="3"/>
          </reference>
          <reference field="10" count="1">
            <x v="3"/>
          </reference>
        </references>
      </pivotArea>
    </format>
    <format dxfId="110">
      <pivotArea dataOnly="0" labelOnly="1" fieldPosition="0">
        <references count="3">
          <reference field="6" count="1" selected="0">
            <x v="2"/>
          </reference>
          <reference field="8" count="1" selected="0">
            <x v="7"/>
          </reference>
          <reference field="10" count="2">
            <x v="3"/>
            <x v="14"/>
          </reference>
        </references>
      </pivotArea>
    </format>
    <format dxfId="111">
      <pivotArea dataOnly="0" labelOnly="1" fieldPosition="0">
        <references count="3">
          <reference field="6" count="1" selected="0">
            <x v="3"/>
          </reference>
          <reference field="8" count="1" selected="0">
            <x v="7"/>
          </reference>
          <reference field="10" count="1">
            <x v="1"/>
          </reference>
        </references>
      </pivotArea>
    </format>
    <format dxfId="112">
      <pivotArea dataOnly="0" labelOnly="1" fieldPosition="0">
        <references count="3">
          <reference field="6" count="1" selected="0">
            <x v="4"/>
          </reference>
          <reference field="8" count="1" selected="0">
            <x v="3"/>
          </reference>
          <reference field="10" count="1">
            <x v="17"/>
          </reference>
        </references>
      </pivotArea>
    </format>
    <format dxfId="113">
      <pivotArea dataOnly="0" labelOnly="1" fieldPosition="0">
        <references count="3">
          <reference field="6" count="1" selected="0">
            <x v="4"/>
          </reference>
          <reference field="8" count="1" selected="0">
            <x v="7"/>
          </reference>
          <reference field="10" count="2">
            <x v="4"/>
            <x v="17"/>
          </reference>
        </references>
      </pivotArea>
    </format>
    <format dxfId="114">
      <pivotArea dataOnly="0" labelOnly="1" fieldPosition="0">
        <references count="3">
          <reference field="6" count="1" selected="0">
            <x v="5"/>
          </reference>
          <reference field="8" count="1" selected="0">
            <x v="7"/>
          </reference>
          <reference field="10" count="4">
            <x v="2"/>
            <x v="5"/>
            <x v="7"/>
            <x v="12"/>
          </reference>
        </references>
      </pivotArea>
    </format>
    <format dxfId="115">
      <pivotArea dataOnly="0" labelOnly="1" fieldPosition="0">
        <references count="3">
          <reference field="6" count="1" selected="0">
            <x v="6"/>
          </reference>
          <reference field="8" count="1" selected="0">
            <x v="0"/>
          </reference>
          <reference field="10" count="1">
            <x v="11"/>
          </reference>
        </references>
      </pivotArea>
    </format>
    <format dxfId="116">
      <pivotArea dataOnly="0" labelOnly="1" fieldPosition="0">
        <references count="3">
          <reference field="6" count="1" selected="0">
            <x v="6"/>
          </reference>
          <reference field="8" count="1" selected="0">
            <x v="1"/>
          </reference>
          <reference field="10" count="1">
            <x v="11"/>
          </reference>
        </references>
      </pivotArea>
    </format>
    <format dxfId="117">
      <pivotArea dataOnly="0" labelOnly="1" fieldPosition="0">
        <references count="3">
          <reference field="6" count="1" selected="0">
            <x v="6"/>
          </reference>
          <reference field="8" count="1" selected="0">
            <x v="2"/>
          </reference>
          <reference field="10" count="1">
            <x v="11"/>
          </reference>
        </references>
      </pivotArea>
    </format>
    <format dxfId="118">
      <pivotArea dataOnly="0" labelOnly="1" fieldPosition="0">
        <references count="3">
          <reference field="6" count="1" selected="0">
            <x v="6"/>
          </reference>
          <reference field="8" count="1" selected="0">
            <x v="3"/>
          </reference>
          <reference field="10" count="2">
            <x v="20"/>
            <x v="21"/>
          </reference>
        </references>
      </pivotArea>
    </format>
    <format dxfId="119">
      <pivotArea dataOnly="0" labelOnly="1" fieldPosition="0">
        <references count="3">
          <reference field="6" count="1" selected="0">
            <x v="6"/>
          </reference>
          <reference field="8" count="1" selected="0">
            <x v="5"/>
          </reference>
          <reference field="10" count="1">
            <x v="11"/>
          </reference>
        </references>
      </pivotArea>
    </format>
    <format dxfId="120">
      <pivotArea dataOnly="0" labelOnly="1" fieldPosition="0">
        <references count="3">
          <reference field="6" count="1" selected="0">
            <x v="6"/>
          </reference>
          <reference field="8" count="1" selected="0">
            <x v="7"/>
          </reference>
          <reference field="10" count="2">
            <x v="9"/>
            <x v="18"/>
          </reference>
        </references>
      </pivotArea>
    </format>
    <format dxfId="121">
      <pivotArea dataOnly="0" labelOnly="1" fieldPosition="0">
        <references count="3">
          <reference field="6" count="1" selected="0">
            <x v="7"/>
          </reference>
          <reference field="8" count="1" selected="0">
            <x v="7"/>
          </reference>
          <reference field="10" count="2">
            <x v="6"/>
            <x v="8"/>
          </reference>
        </references>
      </pivotArea>
    </format>
    <format dxfId="122">
      <pivotArea dataOnly="0" labelOnly="1" fieldPosition="0">
        <references count="3">
          <reference field="6" count="1" selected="0">
            <x v="8"/>
          </reference>
          <reference field="8" count="1" selected="0">
            <x v="2"/>
          </reference>
          <reference field="10" count="1">
            <x v="13"/>
          </reference>
        </references>
      </pivotArea>
    </format>
    <format dxfId="123">
      <pivotArea dataOnly="0" labelOnly="1" fieldPosition="0">
        <references count="3">
          <reference field="6" count="1" selected="0">
            <x v="8"/>
          </reference>
          <reference field="8" count="1" selected="0">
            <x v="7"/>
          </reference>
          <reference field="10" count="2">
            <x v="13"/>
            <x v="16"/>
          </reference>
        </references>
      </pivotArea>
    </format>
    <format dxfId="124">
      <pivotArea dataOnly="0" labelOnly="1" fieldPosition="0">
        <references count="3">
          <reference field="6" count="1" selected="0">
            <x v="9"/>
          </reference>
          <reference field="8" count="1" selected="0">
            <x v="4"/>
          </reference>
          <reference field="10" count="1">
            <x v="21"/>
          </reference>
        </references>
      </pivotArea>
    </format>
    <format dxfId="125">
      <pivotArea dataOnly="0" labelOnly="1" fieldPosition="0">
        <references count="3">
          <reference field="6" count="1" selected="0">
            <x v="9"/>
          </reference>
          <reference field="8" count="1" selected="0">
            <x v="6"/>
          </reference>
          <reference field="10" count="1">
            <x v="11"/>
          </reference>
        </references>
      </pivotArea>
    </format>
    <format dxfId="126">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filters count="1">
    <filter fld="6" type="captionNotContains" evalOrder="-1" id="2" stringValue1="(空白)">
      <autoFilter ref="A1">
        <filterColumn colId="0">
          <customFilters>
            <customFilter operator="notEqual" val="*(空白)*"/>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19DCFC2-9BD5-4CD7-8614-5494C0566FC0}" name="ピボットテーブル3" cacheId="24637" applyNumberFormats="0" applyBorderFormats="0" applyFontFormats="0" applyPatternFormats="0" applyAlignmentFormats="0" applyWidthHeightFormats="1" dataCaption="値" errorCaption="借入なし" showError="1" showMissing="0" updatedVersion="8" minRefreshableVersion="3" itemPrintTitles="1" createdVersion="8" indent="0" outline="1" outlineData="1" multipleFieldFilters="0" rowHeaderCaption="金融機関">
  <location ref="A40:B54" firstHeaderRow="1" firstDataRow="1" firstDataCol="1"/>
  <pivotFields count="43">
    <pivotField showAll="0"/>
    <pivotField showAll="0"/>
    <pivotField showAll="0"/>
    <pivotField axis="axisRow" sortType="descending">
      <items count="15">
        <item x="6"/>
        <item x="4"/>
        <item x="5"/>
        <item x="3"/>
        <item x="9"/>
        <item x="10"/>
        <item x="0"/>
        <item x="8"/>
        <item x="11"/>
        <item x="7"/>
        <item x="2"/>
        <item x="1"/>
        <item x="13"/>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3"/>
  </rowFields>
  <rowItems count="14">
    <i>
      <x v="5"/>
    </i>
    <i>
      <x v="6"/>
    </i>
    <i>
      <x v="7"/>
    </i>
    <i>
      <x v="3"/>
    </i>
    <i>
      <x v="8"/>
    </i>
    <i>
      <x v="9"/>
    </i>
    <i>
      <x v="11"/>
    </i>
    <i>
      <x v="10"/>
    </i>
    <i>
      <x v="1"/>
    </i>
    <i>
      <x/>
    </i>
    <i>
      <x v="2"/>
    </i>
    <i>
      <x v="4"/>
    </i>
    <i>
      <x v="13"/>
    </i>
    <i t="grand">
      <x/>
    </i>
  </rowItems>
  <colItems count="1">
    <i/>
  </colItems>
  <dataFields count="1">
    <dataField name="加重平均金利." fld="42" baseField="0" baseItem="0" numFmtId="184"/>
  </dataFields>
  <formats count="19">
    <format dxfId="3">
      <pivotArea dataOnly="0" labelOnly="1" outline="0" axis="axisValues" fieldPosition="0"/>
    </format>
    <format dxfId="4">
      <pivotArea outline="0" fieldPosition="0">
        <references count="1">
          <reference field="4294967294" count="1">
            <x v="0"/>
          </reference>
        </references>
      </pivotArea>
    </format>
    <format dxfId="5">
      <pivotArea field="3" type="button" dataOnly="0" labelOnly="1" outline="0" axis="axisRow" fieldPosition="0"/>
    </format>
    <format dxfId="6">
      <pivotArea dataOnly="0" labelOnly="1" fieldPosition="0">
        <references count="1">
          <reference field="3" count="13">
            <x v="0"/>
            <x v="1"/>
            <x v="2"/>
            <x v="3"/>
            <x v="4"/>
            <x v="5"/>
            <x v="6"/>
            <x v="7"/>
            <x v="8"/>
            <x v="9"/>
            <x v="10"/>
            <x v="11"/>
            <x v="13"/>
          </reference>
        </references>
      </pivotArea>
    </format>
    <format dxfId="7">
      <pivotArea dataOnly="0" labelOnly="1" grandRow="1" outline="0" fieldPosition="0"/>
    </format>
    <format dxfId="8">
      <pivotArea type="all" dataOnly="0" outline="0" fieldPosition="0"/>
    </format>
    <format dxfId="9">
      <pivotArea outline="0" collapsedLevelsAreSubtotals="1" fieldPosition="0"/>
    </format>
    <format dxfId="10">
      <pivotArea field="3" type="button" dataOnly="0" labelOnly="1" outline="0" axis="axisRow" fieldPosition="0"/>
    </format>
    <format dxfId="11">
      <pivotArea dataOnly="0" labelOnly="1" fieldPosition="0">
        <references count="1">
          <reference field="3" count="13">
            <x v="0"/>
            <x v="1"/>
            <x v="2"/>
            <x v="3"/>
            <x v="4"/>
            <x v="5"/>
            <x v="6"/>
            <x v="7"/>
            <x v="8"/>
            <x v="9"/>
            <x v="10"/>
            <x v="11"/>
            <x v="13"/>
          </reference>
        </references>
      </pivotArea>
    </format>
    <format dxfId="12">
      <pivotArea dataOnly="0" labelOnly="1" grandRow="1" outline="0" fieldPosition="0"/>
    </format>
    <format dxfId="13">
      <pivotArea dataOnly="0" labelOnly="1" outline="0" axis="axisValues" fieldPosition="0"/>
    </format>
    <format dxfId="14">
      <pivotArea grandRow="1" outline="0" collapsedLevelsAreSubtotals="1" fieldPosition="0"/>
    </format>
    <format dxfId="15">
      <pivotArea outline="0" collapsedLevelsAreSubtotals="1" fieldPosition="0"/>
    </format>
    <format dxfId="16">
      <pivotArea type="all" dataOnly="0" outline="0" fieldPosition="0"/>
    </format>
    <format dxfId="17">
      <pivotArea outline="0" collapsedLevelsAreSubtotals="1" fieldPosition="0"/>
    </format>
    <format dxfId="18">
      <pivotArea field="3" type="button" dataOnly="0" labelOnly="1" outline="0" axis="axisRow" fieldPosition="0"/>
    </format>
    <format dxfId="19">
      <pivotArea dataOnly="0" labelOnly="1" fieldPosition="0">
        <references count="1">
          <reference field="3" count="13">
            <x v="0"/>
            <x v="1"/>
            <x v="2"/>
            <x v="3"/>
            <x v="4"/>
            <x v="5"/>
            <x v="6"/>
            <x v="7"/>
            <x v="8"/>
            <x v="9"/>
            <x v="10"/>
            <x v="11"/>
            <x v="13"/>
          </reference>
        </references>
      </pivotArea>
    </format>
    <format dxfId="20">
      <pivotArea dataOnly="0" labelOnly="1" grandRow="1" outline="0" fieldPosition="0"/>
    </format>
    <format dxfId="21">
      <pivotArea dataOnly="0" labelOnly="1" outline="0" axis="axisValues" fieldPosition="0"/>
    </format>
  </formats>
  <pivotTableStyleInfo name="PivotStyleLight16" showRowHeaders="1" showColHeaders="1" showRowStripes="0" showColStripes="0" showLastColumn="1"/>
  <filters count="1">
    <filter fld="3" type="captionNotContains" evalOrder="-1" id="1" stringValue1="(空白)">
      <autoFilter ref="A1">
        <filterColumn colId="0">
          <customFilters>
            <customFilter operator="notEqual" val="*(空白)*"/>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テーマ">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panose="02040503050406030204"/>
        <a:ea typeface=""/>
        <a:cs typeface=""/>
        <a:font script="Jpan" typeface="ＭＳ Ｐゴシック"/>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ytamagawa.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5" Type="http://schemas.openxmlformats.org/officeDocument/2006/relationships/printerSettings" Target="../printerSettings/printerSettings8.bin"/><Relationship Id="rId4" Type="http://schemas.openxmlformats.org/officeDocument/2006/relationships/pivotTable" Target="../pivotTables/pivotTable2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1E7C3-0C32-47C5-90AC-1EC482C67EBA}">
  <dimension ref="A1:CA29"/>
  <sheetViews>
    <sheetView view="pageBreakPreview" zoomScaleNormal="100" zoomScaleSheetLayoutView="100" workbookViewId="0"/>
  </sheetViews>
  <sheetFormatPr defaultRowHeight="13.5"/>
  <cols>
    <col min="1" max="1" width="5.25" customWidth="1"/>
    <col min="2" max="2" width="16.75" customWidth="1"/>
    <col min="3" max="4" width="20.625" customWidth="1"/>
    <col min="6" max="22" width="10.25" customWidth="1"/>
    <col min="23" max="23" width="4.25" customWidth="1"/>
    <col min="24" max="53" width="8" customWidth="1"/>
    <col min="54" max="54" width="4.25" customWidth="1"/>
  </cols>
  <sheetData>
    <row r="1" spans="1:79">
      <c r="A1" t="s">
        <v>0</v>
      </c>
    </row>
    <row r="3" spans="1:79" ht="17.25">
      <c r="F3" t="s">
        <v>1</v>
      </c>
      <c r="BC3" s="68" t="s">
        <v>2</v>
      </c>
      <c r="BD3" s="69"/>
      <c r="BE3" s="70"/>
      <c r="BF3" s="70"/>
      <c r="BG3" s="71"/>
      <c r="BH3" s="71"/>
      <c r="BI3" s="66"/>
      <c r="BK3" s="63" t="s">
        <v>3</v>
      </c>
      <c r="BL3" s="23"/>
      <c r="BO3" s="23"/>
      <c r="BP3" s="23"/>
      <c r="BQ3" s="76"/>
      <c r="BR3" s="76"/>
      <c r="BS3" s="77"/>
      <c r="BT3" s="77"/>
      <c r="BU3" s="23"/>
      <c r="BV3" s="23"/>
      <c r="BW3" s="23"/>
      <c r="BX3" s="23"/>
      <c r="BY3" s="78"/>
      <c r="BZ3" s="78"/>
      <c r="CA3" s="60"/>
    </row>
    <row r="4" spans="1:79" ht="32.25" customHeight="1">
      <c r="C4" s="21" t="s">
        <v>4</v>
      </c>
      <c r="D4" s="21" t="s">
        <v>5</v>
      </c>
      <c r="F4" s="32" t="s">
        <v>6</v>
      </c>
      <c r="G4" s="32" t="s">
        <v>7</v>
      </c>
      <c r="H4" s="32" t="s">
        <v>8</v>
      </c>
      <c r="I4" s="32" t="s">
        <v>9</v>
      </c>
      <c r="J4" s="32" t="s">
        <v>10</v>
      </c>
      <c r="K4" s="32" t="s">
        <v>11</v>
      </c>
      <c r="L4" s="32" t="s">
        <v>12</v>
      </c>
      <c r="M4" s="32" t="s">
        <v>13</v>
      </c>
      <c r="N4" s="118" t="s">
        <v>14</v>
      </c>
      <c r="O4" s="118" t="s">
        <v>15</v>
      </c>
      <c r="P4" s="118" t="s">
        <v>16</v>
      </c>
      <c r="Q4" s="119" t="s">
        <v>17</v>
      </c>
      <c r="R4" s="119" t="s">
        <v>18</v>
      </c>
      <c r="S4" s="119" t="s">
        <v>19</v>
      </c>
      <c r="T4" s="119" t="s">
        <v>20</v>
      </c>
      <c r="U4" s="32" t="s">
        <v>21</v>
      </c>
      <c r="V4" s="32" t="s">
        <v>22</v>
      </c>
      <c r="X4" s="159" t="s">
        <v>23</v>
      </c>
      <c r="Y4" s="160" t="s">
        <v>24</v>
      </c>
      <c r="Z4" s="159" t="s">
        <v>25</v>
      </c>
      <c r="AA4" s="161" t="s">
        <v>26</v>
      </c>
      <c r="AB4" s="162" t="s">
        <v>27</v>
      </c>
      <c r="AC4" s="160" t="s">
        <v>28</v>
      </c>
      <c r="AD4" s="160" t="s">
        <v>29</v>
      </c>
      <c r="AE4" s="163" t="s">
        <v>30</v>
      </c>
      <c r="AF4" s="164" t="s">
        <v>31</v>
      </c>
      <c r="AG4" s="165" t="s">
        <v>32</v>
      </c>
      <c r="AH4" s="165" t="s">
        <v>33</v>
      </c>
      <c r="AI4" s="165" t="s">
        <v>34</v>
      </c>
      <c r="AJ4" s="166" t="s">
        <v>35</v>
      </c>
      <c r="AK4" s="166" t="s">
        <v>36</v>
      </c>
      <c r="AL4" s="166" t="s">
        <v>37</v>
      </c>
      <c r="AM4" s="166" t="s">
        <v>38</v>
      </c>
      <c r="AN4" s="166" t="s">
        <v>39</v>
      </c>
      <c r="AO4" s="165" t="s">
        <v>40</v>
      </c>
      <c r="AP4" s="165" t="s">
        <v>41</v>
      </c>
      <c r="AQ4" s="160" t="s">
        <v>42</v>
      </c>
      <c r="AR4" s="30" t="s">
        <v>43</v>
      </c>
      <c r="AS4" s="53" t="s">
        <v>44</v>
      </c>
      <c r="AT4" s="53" t="s">
        <v>45</v>
      </c>
      <c r="AU4" s="29" t="s">
        <v>46</v>
      </c>
      <c r="AV4" s="124" t="s">
        <v>47</v>
      </c>
      <c r="AW4" s="124" t="s">
        <v>48</v>
      </c>
      <c r="AX4" s="158" t="s">
        <v>49</v>
      </c>
      <c r="AY4" s="158" t="s">
        <v>50</v>
      </c>
      <c r="AZ4" s="125" t="s">
        <v>51</v>
      </c>
      <c r="BA4" s="125" t="s">
        <v>52</v>
      </c>
      <c r="BC4" s="72" t="s">
        <v>53</v>
      </c>
      <c r="BD4" s="73" t="s">
        <v>54</v>
      </c>
      <c r="BE4" s="72" t="s">
        <v>55</v>
      </c>
      <c r="BF4" s="72" t="s">
        <v>56</v>
      </c>
      <c r="BG4" s="74" t="s">
        <v>57</v>
      </c>
      <c r="BH4" s="72" t="s">
        <v>58</v>
      </c>
      <c r="BI4" s="75" t="s">
        <v>59</v>
      </c>
      <c r="BK4" s="79" t="s">
        <v>60</v>
      </c>
      <c r="BL4" s="80" t="s">
        <v>61</v>
      </c>
      <c r="BM4" s="81" t="s">
        <v>54</v>
      </c>
      <c r="BN4" s="82" t="s">
        <v>62</v>
      </c>
      <c r="BO4" s="83" t="s">
        <v>63</v>
      </c>
      <c r="BP4" s="83" t="s">
        <v>64</v>
      </c>
      <c r="BQ4" s="84" t="s">
        <v>65</v>
      </c>
      <c r="BR4" s="85" t="s">
        <v>66</v>
      </c>
      <c r="BS4" s="131" t="s">
        <v>67</v>
      </c>
      <c r="BT4" s="131" t="s">
        <v>68</v>
      </c>
      <c r="BU4" s="80" t="s">
        <v>69</v>
      </c>
      <c r="BV4" s="80" t="s">
        <v>70</v>
      </c>
      <c r="BW4" s="80" t="s">
        <v>71</v>
      </c>
      <c r="BX4" s="80" t="s">
        <v>72</v>
      </c>
      <c r="BY4" s="86" t="s">
        <v>73</v>
      </c>
      <c r="BZ4" s="87" t="s">
        <v>74</v>
      </c>
      <c r="CA4" s="87" t="s">
        <v>75</v>
      </c>
    </row>
    <row r="5" spans="1:79">
      <c r="A5" s="138">
        <v>11</v>
      </c>
      <c r="B5" s="8" t="s">
        <v>76</v>
      </c>
      <c r="C5" s="16">
        <v>110</v>
      </c>
      <c r="D5" s="16">
        <v>118</v>
      </c>
    </row>
    <row r="6" spans="1:79">
      <c r="A6" s="171">
        <v>12</v>
      </c>
      <c r="B6" s="170" t="s">
        <v>77</v>
      </c>
      <c r="C6" s="22"/>
      <c r="D6" s="22"/>
    </row>
    <row r="7" spans="1:79">
      <c r="A7" s="139">
        <v>13</v>
      </c>
      <c r="B7" s="8" t="s">
        <v>78</v>
      </c>
      <c r="C7" s="140">
        <v>410</v>
      </c>
      <c r="D7" s="140">
        <v>410</v>
      </c>
    </row>
    <row r="8" spans="1:79">
      <c r="A8" s="138">
        <v>14</v>
      </c>
      <c r="B8" s="141" t="s">
        <v>79</v>
      </c>
      <c r="C8" s="17" t="s">
        <v>80</v>
      </c>
      <c r="D8" s="17" t="s">
        <v>80</v>
      </c>
    </row>
    <row r="9" spans="1:79" ht="27">
      <c r="A9" s="138">
        <v>15</v>
      </c>
      <c r="B9" s="141" t="s">
        <v>81</v>
      </c>
      <c r="C9" s="17" t="s">
        <v>82</v>
      </c>
      <c r="D9" s="17" t="s">
        <v>83</v>
      </c>
    </row>
    <row r="10" spans="1:79" ht="27">
      <c r="A10" s="138">
        <v>16</v>
      </c>
      <c r="B10" s="11" t="s">
        <v>84</v>
      </c>
      <c r="C10" s="17" t="s">
        <v>85</v>
      </c>
      <c r="D10" s="17" t="s">
        <v>86</v>
      </c>
    </row>
    <row r="11" spans="1:79">
      <c r="A11" s="138">
        <v>17</v>
      </c>
      <c r="B11" s="11" t="s">
        <v>87</v>
      </c>
      <c r="C11" s="17" t="s">
        <v>88</v>
      </c>
      <c r="D11" s="17" t="s">
        <v>88</v>
      </c>
    </row>
    <row r="12" spans="1:79">
      <c r="A12" s="138">
        <v>18</v>
      </c>
      <c r="B12" s="8" t="s">
        <v>89</v>
      </c>
      <c r="C12" s="18">
        <v>313.11</v>
      </c>
      <c r="D12" s="18">
        <v>732.25</v>
      </c>
    </row>
    <row r="13" spans="1:79">
      <c r="A13" s="138">
        <v>19</v>
      </c>
      <c r="B13" s="13" t="s">
        <v>90</v>
      </c>
      <c r="C13" s="19">
        <v>94.715635294437945</v>
      </c>
      <c r="D13" s="19">
        <v>221.50529827968504</v>
      </c>
    </row>
    <row r="14" spans="1:79">
      <c r="A14" s="138">
        <v>20</v>
      </c>
      <c r="B14" s="8" t="s">
        <v>91</v>
      </c>
      <c r="C14" s="18">
        <v>528.42999999999995</v>
      </c>
      <c r="D14" s="18">
        <v>1110.3399999999999</v>
      </c>
    </row>
    <row r="15" spans="1:79">
      <c r="A15" s="138">
        <v>21</v>
      </c>
      <c r="B15" s="11" t="s">
        <v>92</v>
      </c>
      <c r="C15" s="17" t="s">
        <v>93</v>
      </c>
      <c r="D15" s="17" t="s">
        <v>93</v>
      </c>
    </row>
    <row r="16" spans="1:79">
      <c r="A16" s="138">
        <v>22</v>
      </c>
      <c r="B16" s="11" t="s">
        <v>94</v>
      </c>
      <c r="C16" s="134" t="s">
        <v>95</v>
      </c>
      <c r="D16" s="134" t="s">
        <v>95</v>
      </c>
    </row>
    <row r="17" spans="1:4">
      <c r="A17" s="138">
        <v>23</v>
      </c>
      <c r="B17" s="13" t="s">
        <v>96</v>
      </c>
      <c r="C17" s="20">
        <v>31</v>
      </c>
      <c r="D17" s="20">
        <v>28</v>
      </c>
    </row>
    <row r="18" spans="1:4">
      <c r="A18" s="138">
        <v>24</v>
      </c>
      <c r="B18" s="8" t="s">
        <v>97</v>
      </c>
      <c r="C18" s="16">
        <v>24</v>
      </c>
      <c r="D18" s="16">
        <v>36</v>
      </c>
    </row>
    <row r="19" spans="1:4">
      <c r="A19" s="138">
        <v>25</v>
      </c>
      <c r="B19" s="11" t="s">
        <v>98</v>
      </c>
      <c r="C19" s="16">
        <v>22</v>
      </c>
      <c r="D19" s="16">
        <v>34</v>
      </c>
    </row>
    <row r="20" spans="1:4">
      <c r="A20" s="138">
        <v>26</v>
      </c>
      <c r="B20" s="11" t="s">
        <v>99</v>
      </c>
      <c r="C20" s="16">
        <v>1</v>
      </c>
      <c r="D20" s="16">
        <v>0</v>
      </c>
    </row>
    <row r="21" spans="1:4">
      <c r="A21" s="138">
        <v>27</v>
      </c>
      <c r="B21" s="14" t="s">
        <v>100</v>
      </c>
      <c r="C21" s="16">
        <v>0</v>
      </c>
      <c r="D21" s="16">
        <v>2</v>
      </c>
    </row>
    <row r="22" spans="1:4">
      <c r="A22" s="138">
        <v>28</v>
      </c>
      <c r="B22" s="8" t="s">
        <v>101</v>
      </c>
      <c r="C22" s="16">
        <v>1</v>
      </c>
      <c r="D22" s="16">
        <v>0</v>
      </c>
    </row>
    <row r="23" spans="1:4">
      <c r="A23" s="138">
        <v>29</v>
      </c>
      <c r="B23" s="11" t="s">
        <v>102</v>
      </c>
      <c r="C23" s="134">
        <v>34824</v>
      </c>
      <c r="D23" s="134">
        <v>34100</v>
      </c>
    </row>
    <row r="24" spans="1:4">
      <c r="A24" s="138">
        <v>30</v>
      </c>
      <c r="B24" s="11" t="s">
        <v>103</v>
      </c>
      <c r="C24" s="134">
        <v>44624</v>
      </c>
      <c r="D24" s="134">
        <v>44348</v>
      </c>
    </row>
    <row r="25" spans="1:4">
      <c r="A25" s="138">
        <v>31</v>
      </c>
      <c r="B25" s="11" t="s">
        <v>104</v>
      </c>
      <c r="C25" s="135">
        <v>227000000</v>
      </c>
      <c r="D25" s="135">
        <v>415000000</v>
      </c>
    </row>
    <row r="26" spans="1:4">
      <c r="A26" s="138">
        <v>32</v>
      </c>
      <c r="B26" s="8" t="s">
        <v>105</v>
      </c>
      <c r="C26" s="135"/>
      <c r="D26" s="135"/>
    </row>
    <row r="27" spans="1:4">
      <c r="A27" s="138">
        <v>91</v>
      </c>
      <c r="B27" s="8" t="s">
        <v>106</v>
      </c>
      <c r="C27" s="135">
        <v>227000000</v>
      </c>
      <c r="D27" s="135">
        <v>415000000</v>
      </c>
    </row>
    <row r="28" spans="1:4">
      <c r="A28" s="138">
        <v>92</v>
      </c>
      <c r="B28" s="8" t="s">
        <v>107</v>
      </c>
      <c r="C28" s="135">
        <v>30000000</v>
      </c>
      <c r="D28" s="135">
        <v>30000000</v>
      </c>
    </row>
    <row r="29" spans="1:4">
      <c r="A29" s="138">
        <v>93</v>
      </c>
      <c r="B29" s="8" t="s">
        <v>108</v>
      </c>
      <c r="C29" s="224">
        <v>6.5000000000000002E-2</v>
      </c>
      <c r="D29" s="224">
        <v>7.0000000000000007E-2</v>
      </c>
    </row>
  </sheetData>
  <phoneticPr fontId="5"/>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044EF-C975-45A7-B12C-FACF5806D771}">
  <dimension ref="A1:FO1007"/>
  <sheetViews>
    <sheetView workbookViewId="0"/>
  </sheetViews>
  <sheetFormatPr defaultRowHeight="13.5"/>
  <cols>
    <col min="1" max="1" width="11.375" bestFit="1" customWidth="1"/>
    <col min="2" max="2" width="7.5" bestFit="1" customWidth="1"/>
    <col min="3" max="3" width="10" bestFit="1" customWidth="1"/>
    <col min="4" max="4" width="15.125" customWidth="1"/>
    <col min="5" max="5" width="11.875" customWidth="1"/>
    <col min="10" max="10" width="22.625" bestFit="1" customWidth="1"/>
    <col min="11" max="11" width="13.25" bestFit="1" customWidth="1"/>
    <col min="12" max="13" width="15.75" bestFit="1" customWidth="1"/>
    <col min="14" max="14" width="10.25" bestFit="1" customWidth="1"/>
    <col min="15" max="15" width="11.875" bestFit="1" customWidth="1"/>
    <col min="16" max="16" width="10.25" bestFit="1" customWidth="1"/>
    <col min="17" max="17" width="11.875" bestFit="1" customWidth="1"/>
    <col min="18" max="18" width="16.375" bestFit="1" customWidth="1"/>
    <col min="19" max="19" width="7.25" bestFit="1" customWidth="1"/>
    <col min="20" max="21" width="13.25" bestFit="1" customWidth="1"/>
    <col min="23" max="23" width="22.625" bestFit="1" customWidth="1"/>
    <col min="24" max="27" width="16.375" bestFit="1" customWidth="1"/>
    <col min="28" max="28" width="7.75" customWidth="1"/>
    <col min="29" max="29" width="24.5" bestFit="1" customWidth="1"/>
    <col min="30" max="31" width="13.25" bestFit="1" customWidth="1"/>
    <col min="32" max="32" width="9.25" bestFit="1" customWidth="1"/>
    <col min="33" max="33" width="13.25" bestFit="1" customWidth="1"/>
    <col min="34" max="34" width="5.75" bestFit="1" customWidth="1"/>
    <col min="35" max="35" width="22.625" bestFit="1" customWidth="1"/>
    <col min="36" max="36" width="13.25" bestFit="1" customWidth="1"/>
    <col min="37" max="37" width="14.125" bestFit="1" customWidth="1"/>
    <col min="38" max="38" width="10.25" bestFit="1" customWidth="1"/>
    <col min="39" max="39" width="9.75" bestFit="1" customWidth="1"/>
    <col min="40" max="40" width="5.75" bestFit="1" customWidth="1"/>
    <col min="41" max="41" width="7.25" bestFit="1" customWidth="1"/>
    <col min="42" max="42" width="13.25" bestFit="1" customWidth="1"/>
    <col min="43" max="43" width="11.625" customWidth="1"/>
    <col min="44" max="44" width="27.625" bestFit="1" customWidth="1"/>
    <col min="45" max="57" width="12.125" customWidth="1"/>
    <col min="58" max="58" width="22.625" bestFit="1" customWidth="1"/>
    <col min="59" max="59" width="11.125" bestFit="1" customWidth="1"/>
    <col min="60" max="60" width="7.625" bestFit="1" customWidth="1"/>
    <col min="61" max="61" width="12" bestFit="1" customWidth="1"/>
    <col min="62" max="62" width="7.75" bestFit="1" customWidth="1"/>
    <col min="63" max="63" width="13.25" bestFit="1" customWidth="1"/>
    <col min="64" max="65" width="10.25" bestFit="1" customWidth="1"/>
    <col min="66" max="66" width="12" bestFit="1" customWidth="1"/>
    <col min="67" max="67" width="7.25" bestFit="1" customWidth="1"/>
    <col min="68" max="68" width="13.25" bestFit="1" customWidth="1"/>
    <col min="69" max="70" width="13.25" customWidth="1"/>
    <col min="71" max="71" width="13.125" customWidth="1"/>
    <col min="72" max="72" width="30.625" bestFit="1" customWidth="1"/>
    <col min="73" max="73" width="11.125" bestFit="1" customWidth="1"/>
    <col min="74" max="74" width="12" bestFit="1" customWidth="1"/>
    <col min="75" max="75" width="7.75" bestFit="1" customWidth="1"/>
    <col min="76" max="76" width="13.25" bestFit="1" customWidth="1"/>
    <col min="77" max="78" width="10.25" bestFit="1" customWidth="1"/>
    <col min="79" max="79" width="12" bestFit="1" customWidth="1"/>
    <col min="80" max="80" width="13.25" bestFit="1" customWidth="1"/>
    <col min="81" max="82" width="13.25" customWidth="1"/>
    <col min="83" max="83" width="7.25" bestFit="1" customWidth="1"/>
    <col min="84" max="84" width="11.125" bestFit="1" customWidth="1"/>
    <col min="85" max="85" width="27.625" bestFit="1" customWidth="1"/>
    <col min="86" max="86" width="21.5" bestFit="1" customWidth="1"/>
    <col min="87" max="87" width="7.375" bestFit="1" customWidth="1"/>
    <col min="88" max="88" width="22.625" bestFit="1" customWidth="1"/>
    <col min="89" max="89" width="25.625" bestFit="1" customWidth="1"/>
    <col min="90" max="90" width="27.625" bestFit="1" customWidth="1"/>
    <col min="91" max="91" width="25.375" bestFit="1" customWidth="1"/>
    <col min="92" max="92" width="7.375" bestFit="1" customWidth="1"/>
    <col min="93" max="93" width="21.25" bestFit="1" customWidth="1"/>
    <col min="94" max="94" width="30.625" bestFit="1" customWidth="1"/>
    <col min="95" max="95" width="31.875" bestFit="1" customWidth="1"/>
    <col min="96" max="96" width="7.375" bestFit="1" customWidth="1"/>
    <col min="97" max="97" width="7.375" customWidth="1"/>
    <col min="98" max="98" width="7.375" bestFit="1" customWidth="1"/>
    <col min="99" max="99" width="17.875" customWidth="1"/>
    <col min="100" max="102" width="7.375" bestFit="1" customWidth="1"/>
    <col min="103" max="103" width="17.375" customWidth="1"/>
    <col min="104" max="104" width="7.375" bestFit="1" customWidth="1"/>
    <col min="105" max="105" width="8.5" bestFit="1" customWidth="1"/>
    <col min="106" max="106" width="15" bestFit="1" customWidth="1"/>
    <col min="107" max="107" width="21.625" customWidth="1"/>
    <col min="108" max="108" width="31.875" bestFit="1" customWidth="1"/>
    <col min="109" max="109" width="7.375" bestFit="1" customWidth="1"/>
    <col min="110" max="110" width="21.25" bestFit="1" customWidth="1"/>
    <col min="111" max="111" width="30.625" bestFit="1" customWidth="1"/>
    <col min="112" max="112" width="31.875" bestFit="1" customWidth="1"/>
    <col min="113" max="113" width="8.5" bestFit="1" customWidth="1"/>
    <col min="114" max="114" width="22.625" bestFit="1" customWidth="1"/>
    <col min="115" max="126" width="16.5" customWidth="1"/>
    <col min="127" max="127" width="14.25" customWidth="1"/>
    <col min="128" max="128" width="7.375" bestFit="1" customWidth="1"/>
    <col min="129" max="129" width="27.625" bestFit="1" customWidth="1"/>
    <col min="130" max="130" width="25" bestFit="1" customWidth="1"/>
    <col min="131" max="131" width="10.875" bestFit="1" customWidth="1"/>
    <col min="132" max="133" width="7.75" bestFit="1" customWidth="1"/>
    <col min="134" max="134" width="9.75" bestFit="1" customWidth="1"/>
    <col min="135" max="135" width="5.75" bestFit="1" customWidth="1"/>
    <col min="136" max="136" width="5.75" customWidth="1"/>
    <col min="137" max="137" width="27.375" bestFit="1" customWidth="1"/>
    <col min="138" max="138" width="24.5" bestFit="1" customWidth="1"/>
    <col min="139" max="140" width="20.125" bestFit="1" customWidth="1"/>
    <col min="141" max="141" width="16.375" bestFit="1" customWidth="1"/>
    <col min="142" max="142" width="8.375" customWidth="1"/>
    <col min="143" max="143" width="34.5" bestFit="1" customWidth="1"/>
    <col min="144" max="144" width="24.5" bestFit="1" customWidth="1"/>
    <col min="145" max="146" width="20.125" bestFit="1" customWidth="1"/>
    <col min="147" max="147" width="15.625" bestFit="1" customWidth="1"/>
    <col min="148" max="152" width="5.75" customWidth="1"/>
    <col min="153" max="153" width="8.375" bestFit="1" customWidth="1"/>
    <col min="154" max="154" width="10.5" customWidth="1"/>
    <col min="155" max="155" width="11.125" bestFit="1" customWidth="1"/>
    <col min="156" max="160" width="9.125" customWidth="1"/>
    <col min="161" max="165" width="9.375" customWidth="1"/>
    <col min="166" max="167" width="12.625" customWidth="1"/>
    <col min="168" max="168" width="11.25" customWidth="1"/>
    <col min="169" max="169" width="9.625" customWidth="1"/>
    <col min="170" max="170" width="31.75" bestFit="1" customWidth="1"/>
    <col min="171" max="171" width="22.25" bestFit="1" customWidth="1"/>
    <col min="172" max="172" width="24.5" bestFit="1" customWidth="1"/>
    <col min="173" max="173" width="20.125" bestFit="1" customWidth="1"/>
    <col min="174" max="174" width="24.5" bestFit="1" customWidth="1"/>
    <col min="175" max="175" width="20.125" bestFit="1" customWidth="1"/>
    <col min="176" max="176" width="24.5" bestFit="1" customWidth="1"/>
    <col min="177" max="177" width="20.125" bestFit="1" customWidth="1"/>
    <col min="178" max="178" width="24.5" bestFit="1" customWidth="1"/>
    <col min="179" max="179" width="20.125" bestFit="1" customWidth="1"/>
    <col min="180" max="180" width="24.5" bestFit="1" customWidth="1"/>
    <col min="181" max="181" width="20.125" bestFit="1" customWidth="1"/>
    <col min="182" max="182" width="24.5" bestFit="1" customWidth="1"/>
    <col min="183" max="183" width="20.125" bestFit="1" customWidth="1"/>
    <col min="184" max="184" width="24.5" bestFit="1" customWidth="1"/>
    <col min="185" max="185" width="20.125" bestFit="1" customWidth="1"/>
    <col min="186" max="186" width="32" bestFit="1" customWidth="1"/>
    <col min="187" max="187" width="27.625" bestFit="1" customWidth="1"/>
    <col min="188" max="188" width="10.5" bestFit="1" customWidth="1"/>
    <col min="189" max="190" width="13.625" bestFit="1" customWidth="1"/>
    <col min="191" max="191" width="10.5" bestFit="1" customWidth="1"/>
    <col min="192" max="193" width="13.625" bestFit="1" customWidth="1"/>
    <col min="194" max="194" width="11.625" bestFit="1" customWidth="1"/>
    <col min="195" max="195" width="13.625" bestFit="1" customWidth="1"/>
    <col min="196" max="196" width="14.875" bestFit="1" customWidth="1"/>
    <col min="197" max="197" width="11.625" bestFit="1" customWidth="1"/>
    <col min="198" max="198" width="13.625" bestFit="1" customWidth="1"/>
    <col min="199" max="199" width="14.875" bestFit="1" customWidth="1"/>
    <col min="200" max="200" width="11.625" bestFit="1" customWidth="1"/>
    <col min="201" max="201" width="13.625" bestFit="1" customWidth="1"/>
    <col min="202" max="202" width="14.875" bestFit="1" customWidth="1"/>
    <col min="203" max="203" width="11.625" bestFit="1" customWidth="1"/>
    <col min="204" max="204" width="13.625" bestFit="1" customWidth="1"/>
    <col min="205" max="205" width="14.875" bestFit="1" customWidth="1"/>
    <col min="206" max="206" width="9.25" bestFit="1" customWidth="1"/>
    <col min="207" max="208" width="12.125" bestFit="1" customWidth="1"/>
    <col min="209" max="209" width="5.75" bestFit="1" customWidth="1"/>
  </cols>
  <sheetData>
    <row r="1" spans="1:171">
      <c r="A1" t="s">
        <v>109</v>
      </c>
      <c r="J1" t="s">
        <v>110</v>
      </c>
      <c r="W1" t="s">
        <v>111</v>
      </c>
      <c r="AC1" t="s">
        <v>112</v>
      </c>
      <c r="AI1" t="s">
        <v>113</v>
      </c>
      <c r="AR1" t="s">
        <v>114</v>
      </c>
      <c r="BF1" t="s">
        <v>115</v>
      </c>
      <c r="BT1" t="s">
        <v>116</v>
      </c>
      <c r="CF1" t="s">
        <v>117</v>
      </c>
      <c r="CJ1" t="s">
        <v>118</v>
      </c>
      <c r="CO1" t="s">
        <v>119</v>
      </c>
      <c r="DB1" t="s">
        <v>120</v>
      </c>
      <c r="DF1" t="s">
        <v>121</v>
      </c>
      <c r="DJ1" t="s">
        <v>122</v>
      </c>
      <c r="DY1" t="s">
        <v>123</v>
      </c>
      <c r="EG1" t="s">
        <v>124</v>
      </c>
      <c r="EM1" t="s">
        <v>125</v>
      </c>
      <c r="ES1" t="s">
        <v>126</v>
      </c>
      <c r="FN1" t="s">
        <v>127</v>
      </c>
    </row>
    <row r="2" spans="1:171" ht="25.5" customHeight="1">
      <c r="A2" s="329" t="s">
        <v>128</v>
      </c>
      <c r="B2" s="329" t="s">
        <v>129</v>
      </c>
      <c r="C2" s="329" t="s">
        <v>130</v>
      </c>
      <c r="D2" s="329" t="s">
        <v>131</v>
      </c>
      <c r="E2" s="329" t="s">
        <v>132</v>
      </c>
      <c r="F2" s="329" t="s">
        <v>133</v>
      </c>
      <c r="G2" s="329" t="s">
        <v>134</v>
      </c>
      <c r="H2" s="329" t="s">
        <v>135</v>
      </c>
      <c r="J2" s="143" t="s">
        <v>136</v>
      </c>
      <c r="W2" s="142" t="s">
        <v>137</v>
      </c>
      <c r="AC2" s="116" t="s">
        <v>138</v>
      </c>
      <c r="AI2" s="117" t="s">
        <v>139</v>
      </c>
      <c r="AR2" s="120" t="s">
        <v>140</v>
      </c>
      <c r="BF2" s="121" t="s">
        <v>141</v>
      </c>
      <c r="BT2" s="121" t="s">
        <v>141</v>
      </c>
      <c r="CF2" s="145" t="s">
        <v>142</v>
      </c>
      <c r="CJ2" s="144" t="s">
        <v>143</v>
      </c>
      <c r="CO2" s="128" t="s">
        <v>144</v>
      </c>
      <c r="DB2" s="128" t="s">
        <v>145</v>
      </c>
      <c r="DF2" s="128" t="s">
        <v>145</v>
      </c>
      <c r="DJ2" s="330" t="s">
        <v>3</v>
      </c>
      <c r="DY2" s="138">
        <v>24</v>
      </c>
      <c r="DZ2" s="8" t="s">
        <v>146</v>
      </c>
      <c r="EG2" s="12" t="s">
        <v>147</v>
      </c>
      <c r="EH2" s="13" t="str">
        <f>'3物件一覧'!B34</f>
        <v>残債2022年11月5日現在</v>
      </c>
      <c r="EM2" s="7" t="s">
        <v>148</v>
      </c>
      <c r="ES2" s="4" t="s">
        <v>149</v>
      </c>
      <c r="ET2" s="4"/>
      <c r="EU2" s="4"/>
      <c r="EV2" s="4"/>
      <c r="FN2" s="4" t="s">
        <v>150</v>
      </c>
    </row>
    <row r="3" spans="1:171">
      <c r="A3" t="s">
        <v>110</v>
      </c>
      <c r="B3" s="146" t="str">
        <f t="shared" ref="B3:B22" si="0">HYPERLINK("#pivot!"&amp;ADDRESS(1,MATCH(A3,$A$1:$GE$1,0),4),A3)</f>
        <v>Pivot1</v>
      </c>
      <c r="C3" t="s">
        <v>151</v>
      </c>
      <c r="D3" t="s">
        <v>136</v>
      </c>
      <c r="J3" t="s">
        <v>151</v>
      </c>
      <c r="W3" t="s">
        <v>152</v>
      </c>
      <c r="AC3" t="s">
        <v>152</v>
      </c>
      <c r="AI3" t="s">
        <v>152</v>
      </c>
      <c r="AR3" t="s">
        <v>153</v>
      </c>
      <c r="BF3" t="s">
        <v>153</v>
      </c>
      <c r="BT3" t="s">
        <v>153</v>
      </c>
      <c r="CF3" t="s">
        <v>153</v>
      </c>
      <c r="CJ3" t="s">
        <v>153</v>
      </c>
      <c r="CO3" t="s">
        <v>153</v>
      </c>
      <c r="DB3" s="33" t="s">
        <v>154</v>
      </c>
      <c r="DC3" t="s">
        <v>153</v>
      </c>
      <c r="DF3" s="33" t="s">
        <v>155</v>
      </c>
      <c r="DG3" t="s">
        <v>153</v>
      </c>
      <c r="DJ3" t="s">
        <v>156</v>
      </c>
      <c r="DY3" t="s">
        <v>149</v>
      </c>
      <c r="EG3" t="s">
        <v>149</v>
      </c>
      <c r="EH3" t="s">
        <v>157</v>
      </c>
      <c r="EM3" t="s">
        <v>158</v>
      </c>
      <c r="ES3" t="s">
        <v>159</v>
      </c>
      <c r="FN3" t="s">
        <v>160</v>
      </c>
    </row>
    <row r="4" spans="1:171">
      <c r="A4" t="s">
        <v>161</v>
      </c>
      <c r="B4" s="146" t="str">
        <f t="shared" si="0"/>
        <v>Pivot2</v>
      </c>
      <c r="C4" t="s">
        <v>152</v>
      </c>
      <c r="D4" t="s">
        <v>137</v>
      </c>
      <c r="E4" t="s">
        <v>162</v>
      </c>
      <c r="F4">
        <v>0</v>
      </c>
      <c r="J4" t="s">
        <v>163</v>
      </c>
      <c r="W4" t="s">
        <v>164</v>
      </c>
      <c r="AC4" t="s">
        <v>165</v>
      </c>
      <c r="AI4" t="s">
        <v>166</v>
      </c>
      <c r="AR4" t="s">
        <v>167</v>
      </c>
      <c r="BF4" t="s">
        <v>168</v>
      </c>
      <c r="BG4">
        <v>2002</v>
      </c>
      <c r="BT4" t="s">
        <v>169</v>
      </c>
      <c r="BU4">
        <v>2004</v>
      </c>
      <c r="CF4" s="115" t="s">
        <v>170</v>
      </c>
      <c r="CG4" s="5">
        <v>1</v>
      </c>
      <c r="CJ4" s="115" t="s">
        <v>170</v>
      </c>
      <c r="CK4" s="5">
        <v>1</v>
      </c>
      <c r="DB4" s="115" t="s">
        <v>170</v>
      </c>
      <c r="DC4" s="5">
        <v>1</v>
      </c>
      <c r="DY4" s="115" t="s">
        <v>171</v>
      </c>
      <c r="DZ4" s="5">
        <v>1</v>
      </c>
      <c r="EG4" s="115" t="s">
        <v>172</v>
      </c>
      <c r="EH4" t="s">
        <v>173</v>
      </c>
      <c r="EI4" t="s">
        <v>174</v>
      </c>
      <c r="EJ4" t="s">
        <v>175</v>
      </c>
      <c r="EK4" t="s">
        <v>176</v>
      </c>
      <c r="FN4" s="115" t="s">
        <v>177</v>
      </c>
      <c r="FO4" t="s">
        <v>178</v>
      </c>
    </row>
    <row r="5" spans="1:171">
      <c r="A5" t="s">
        <v>179</v>
      </c>
      <c r="B5" s="146" t="str">
        <f t="shared" si="0"/>
        <v>Pivot3</v>
      </c>
      <c r="C5" t="s">
        <v>152</v>
      </c>
      <c r="D5" t="s">
        <v>138</v>
      </c>
      <c r="J5" s="115" t="s">
        <v>180</v>
      </c>
      <c r="K5" s="115" t="s">
        <v>181</v>
      </c>
      <c r="W5" s="115" t="s">
        <v>162</v>
      </c>
      <c r="X5" t="s">
        <v>182</v>
      </c>
      <c r="AC5" s="115" t="s">
        <v>183</v>
      </c>
      <c r="AD5" s="115" t="s">
        <v>181</v>
      </c>
      <c r="AI5" s="115" t="s">
        <v>184</v>
      </c>
      <c r="AJ5" s="115" t="s">
        <v>181</v>
      </c>
      <c r="AR5" t="s">
        <v>185</v>
      </c>
      <c r="AS5">
        <v>2001</v>
      </c>
      <c r="BF5" s="115" t="s">
        <v>170</v>
      </c>
      <c r="BG5" s="5">
        <v>1</v>
      </c>
      <c r="BT5" s="115" t="s">
        <v>170</v>
      </c>
      <c r="BU5" s="5">
        <v>1</v>
      </c>
      <c r="CF5" s="115" t="s">
        <v>186</v>
      </c>
      <c r="CG5" t="s">
        <v>187</v>
      </c>
      <c r="CO5" s="115" t="s">
        <v>170</v>
      </c>
      <c r="CP5" s="5">
        <v>1</v>
      </c>
      <c r="DB5" s="115" t="s">
        <v>29</v>
      </c>
      <c r="DC5" t="s">
        <v>188</v>
      </c>
      <c r="DF5" s="115" t="s">
        <v>170</v>
      </c>
      <c r="DG5" s="5">
        <v>1</v>
      </c>
      <c r="DK5" s="115" t="s">
        <v>181</v>
      </c>
      <c r="EG5" s="5" t="s">
        <v>5</v>
      </c>
      <c r="EH5" s="57"/>
      <c r="EI5" s="57"/>
      <c r="EJ5" s="57"/>
      <c r="EK5" s="57"/>
      <c r="EZ5">
        <v>671</v>
      </c>
      <c r="FA5">
        <v>672</v>
      </c>
      <c r="FB5">
        <v>673</v>
      </c>
      <c r="FC5">
        <v>674</v>
      </c>
      <c r="FD5">
        <v>675</v>
      </c>
    </row>
    <row r="6" spans="1:171">
      <c r="A6" t="s">
        <v>189</v>
      </c>
      <c r="B6" s="146" t="str">
        <f t="shared" si="0"/>
        <v>Pivot4</v>
      </c>
      <c r="C6" t="s">
        <v>152</v>
      </c>
      <c r="D6" t="s">
        <v>139</v>
      </c>
      <c r="J6" s="115" t="s">
        <v>172</v>
      </c>
      <c r="K6" t="s">
        <v>190</v>
      </c>
      <c r="L6" t="s">
        <v>191</v>
      </c>
      <c r="M6" t="s">
        <v>192</v>
      </c>
      <c r="N6" t="s">
        <v>193</v>
      </c>
      <c r="O6" t="s">
        <v>194</v>
      </c>
      <c r="P6" t="s">
        <v>195</v>
      </c>
      <c r="Q6" t="s">
        <v>196</v>
      </c>
      <c r="R6" t="s">
        <v>197</v>
      </c>
      <c r="S6" t="s">
        <v>198</v>
      </c>
      <c r="T6" t="s">
        <v>199</v>
      </c>
      <c r="U6" t="s">
        <v>200</v>
      </c>
      <c r="AD6" t="s">
        <v>201</v>
      </c>
      <c r="AE6" t="s">
        <v>202</v>
      </c>
      <c r="AF6" t="s">
        <v>198</v>
      </c>
      <c r="AG6" t="s">
        <v>200</v>
      </c>
      <c r="AI6" s="115" t="s">
        <v>172</v>
      </c>
      <c r="AJ6" t="s">
        <v>203</v>
      </c>
      <c r="AK6" t="s">
        <v>204</v>
      </c>
      <c r="AL6" t="s">
        <v>205</v>
      </c>
      <c r="AM6" t="s">
        <v>206</v>
      </c>
      <c r="AN6" t="s">
        <v>202</v>
      </c>
      <c r="AO6" t="s">
        <v>198</v>
      </c>
      <c r="AP6" t="s">
        <v>200</v>
      </c>
      <c r="BT6" s="115" t="s">
        <v>186</v>
      </c>
      <c r="BU6" t="s">
        <v>187</v>
      </c>
      <c r="CJ6" s="115" t="s">
        <v>172</v>
      </c>
      <c r="CK6" t="s">
        <v>207</v>
      </c>
      <c r="CL6" t="s">
        <v>208</v>
      </c>
      <c r="CM6" t="s">
        <v>209</v>
      </c>
      <c r="DB6" s="115" t="s">
        <v>186</v>
      </c>
      <c r="DC6" t="s">
        <v>187</v>
      </c>
      <c r="DF6" s="115" t="s">
        <v>186</v>
      </c>
      <c r="DG6" t="s">
        <v>187</v>
      </c>
      <c r="DK6" t="s">
        <v>204</v>
      </c>
      <c r="DO6" t="s">
        <v>210</v>
      </c>
      <c r="DS6" t="s">
        <v>211</v>
      </c>
      <c r="DT6" t="s">
        <v>212</v>
      </c>
      <c r="DU6" t="s">
        <v>213</v>
      </c>
      <c r="DV6" t="s">
        <v>214</v>
      </c>
      <c r="DY6" s="115" t="s">
        <v>215</v>
      </c>
      <c r="DZ6" s="115" t="s">
        <v>181</v>
      </c>
      <c r="EG6" s="5" t="s">
        <v>216</v>
      </c>
      <c r="EH6" s="57">
        <v>437860</v>
      </c>
      <c r="EI6" s="57">
        <v>183356</v>
      </c>
      <c r="EJ6" s="57">
        <v>621216</v>
      </c>
      <c r="EK6" s="57">
        <v>146247653</v>
      </c>
      <c r="EY6">
        <v>1</v>
      </c>
      <c r="EZ6">
        <v>2</v>
      </c>
      <c r="FA6">
        <v>3</v>
      </c>
      <c r="FB6">
        <v>4</v>
      </c>
      <c r="FC6">
        <v>5</v>
      </c>
      <c r="FD6">
        <v>6</v>
      </c>
      <c r="FE6">
        <v>7</v>
      </c>
      <c r="FF6">
        <v>8</v>
      </c>
      <c r="FG6">
        <v>9</v>
      </c>
      <c r="FH6">
        <v>10</v>
      </c>
      <c r="FI6">
        <v>11</v>
      </c>
      <c r="FJ6">
        <v>12</v>
      </c>
      <c r="FK6">
        <v>13</v>
      </c>
      <c r="FL6">
        <v>14</v>
      </c>
      <c r="FN6" s="115" t="s">
        <v>172</v>
      </c>
      <c r="FO6" t="s">
        <v>217</v>
      </c>
    </row>
    <row r="7" spans="1:171">
      <c r="A7" t="s">
        <v>218</v>
      </c>
      <c r="B7" s="146" t="str">
        <f t="shared" si="0"/>
        <v>Pivot5</v>
      </c>
      <c r="C7" t="s">
        <v>153</v>
      </c>
      <c r="D7" t="s">
        <v>140</v>
      </c>
      <c r="E7" t="s">
        <v>219</v>
      </c>
      <c r="F7" t="s">
        <v>220</v>
      </c>
      <c r="G7" t="s">
        <v>221</v>
      </c>
      <c r="H7" t="s">
        <v>222</v>
      </c>
      <c r="J7" s="5" t="s">
        <v>216</v>
      </c>
      <c r="K7" s="57">
        <v>394680</v>
      </c>
      <c r="L7" s="57">
        <v>210756</v>
      </c>
      <c r="M7" s="57">
        <v>84480</v>
      </c>
      <c r="N7" s="57"/>
      <c r="O7" s="57">
        <v>12950</v>
      </c>
      <c r="P7" s="57"/>
      <c r="Q7" s="57"/>
      <c r="R7" s="57"/>
      <c r="S7" s="57"/>
      <c r="T7" s="57"/>
      <c r="U7" s="57">
        <v>702866</v>
      </c>
      <c r="V7" s="57"/>
      <c r="W7" s="115" t="s">
        <v>223</v>
      </c>
      <c r="X7" s="115" t="s">
        <v>181</v>
      </c>
      <c r="AC7" s="115" t="s">
        <v>172</v>
      </c>
      <c r="AI7" s="5" t="s">
        <v>216</v>
      </c>
      <c r="AJ7">
        <v>88704</v>
      </c>
      <c r="AK7">
        <v>2967179</v>
      </c>
      <c r="AL7">
        <v>1454309</v>
      </c>
      <c r="AP7">
        <v>4510192</v>
      </c>
      <c r="AR7" s="115" t="s">
        <v>170</v>
      </c>
      <c r="AS7" s="5">
        <v>1</v>
      </c>
      <c r="BE7" s="57"/>
      <c r="BF7" s="115" t="s">
        <v>224</v>
      </c>
      <c r="BG7" s="115" t="s">
        <v>181</v>
      </c>
      <c r="CF7" s="115" t="s">
        <v>172</v>
      </c>
      <c r="CG7" t="s">
        <v>225</v>
      </c>
      <c r="CH7" t="s">
        <v>224</v>
      </c>
      <c r="CJ7" s="5" t="s">
        <v>216</v>
      </c>
      <c r="CK7" s="57">
        <v>1402284</v>
      </c>
      <c r="CL7" s="57">
        <v>1523829</v>
      </c>
      <c r="CM7" s="57">
        <v>1519127</v>
      </c>
      <c r="CO7" s="115" t="s">
        <v>172</v>
      </c>
      <c r="CP7" t="s">
        <v>225</v>
      </c>
      <c r="CQ7" t="s">
        <v>226</v>
      </c>
      <c r="CS7" t="s">
        <v>227</v>
      </c>
      <c r="CT7" t="s">
        <v>228</v>
      </c>
      <c r="CU7" t="s">
        <v>54</v>
      </c>
      <c r="CV7" t="s">
        <v>229</v>
      </c>
      <c r="CW7" t="s">
        <v>230</v>
      </c>
      <c r="CX7" t="s">
        <v>231</v>
      </c>
      <c r="CY7" t="s">
        <v>232</v>
      </c>
      <c r="DZ7" t="s">
        <v>233</v>
      </c>
      <c r="EA7" t="s">
        <v>234</v>
      </c>
      <c r="EB7" t="s">
        <v>188</v>
      </c>
      <c r="EC7" t="s">
        <v>235</v>
      </c>
      <c r="ED7" t="s">
        <v>236</v>
      </c>
      <c r="EE7" t="s">
        <v>200</v>
      </c>
      <c r="EG7" s="5" t="s">
        <v>237</v>
      </c>
      <c r="EH7" s="57">
        <v>1049552</v>
      </c>
      <c r="EI7" s="57">
        <v>299492</v>
      </c>
      <c r="EJ7" s="57">
        <v>1349044</v>
      </c>
      <c r="EK7" s="57">
        <v>325693047</v>
      </c>
      <c r="EM7" s="115" t="s">
        <v>172</v>
      </c>
      <c r="EN7" t="s">
        <v>173</v>
      </c>
      <c r="EO7" t="s">
        <v>174</v>
      </c>
      <c r="EP7" t="s">
        <v>175</v>
      </c>
      <c r="EQ7" t="s">
        <v>176</v>
      </c>
      <c r="ES7" t="s">
        <v>60</v>
      </c>
      <c r="ET7" t="s">
        <v>238</v>
      </c>
      <c r="EU7" t="s">
        <v>239</v>
      </c>
      <c r="EV7" t="s">
        <v>240</v>
      </c>
      <c r="EW7" t="s">
        <v>241</v>
      </c>
      <c r="EX7" t="s">
        <v>242</v>
      </c>
      <c r="EY7" t="s">
        <v>53</v>
      </c>
      <c r="EZ7" t="s">
        <v>243</v>
      </c>
      <c r="FA7" t="s">
        <v>244</v>
      </c>
      <c r="FB7" t="s">
        <v>245</v>
      </c>
      <c r="FC7" t="s">
        <v>246</v>
      </c>
      <c r="FD7" t="s">
        <v>247</v>
      </c>
      <c r="FE7" t="s">
        <v>248</v>
      </c>
      <c r="FF7" t="s">
        <v>249</v>
      </c>
      <c r="FG7" t="s">
        <v>250</v>
      </c>
      <c r="FH7" t="s">
        <v>251</v>
      </c>
      <c r="FI7" t="s">
        <v>252</v>
      </c>
      <c r="FJ7" t="s">
        <v>253</v>
      </c>
      <c r="FK7" t="s">
        <v>254</v>
      </c>
      <c r="FL7" t="s">
        <v>255</v>
      </c>
      <c r="FN7" s="5" t="s">
        <v>256</v>
      </c>
      <c r="FO7" s="57">
        <v>11000000</v>
      </c>
    </row>
    <row r="8" spans="1:171">
      <c r="A8" t="s">
        <v>257</v>
      </c>
      <c r="B8" t="s">
        <v>258</v>
      </c>
      <c r="C8" t="s">
        <v>153</v>
      </c>
      <c r="D8" t="s">
        <v>140</v>
      </c>
      <c r="E8" t="s">
        <v>219</v>
      </c>
      <c r="F8" t="s">
        <v>259</v>
      </c>
      <c r="G8" t="s">
        <v>221</v>
      </c>
      <c r="H8" t="s">
        <v>222</v>
      </c>
      <c r="J8" s="5" t="s">
        <v>237</v>
      </c>
      <c r="K8" s="57">
        <v>1457280</v>
      </c>
      <c r="L8" s="57">
        <v>151992</v>
      </c>
      <c r="M8" s="57">
        <v>286488</v>
      </c>
      <c r="N8" s="57"/>
      <c r="O8" s="57">
        <v>19430</v>
      </c>
      <c r="P8" s="57">
        <v>18744</v>
      </c>
      <c r="Q8" s="57"/>
      <c r="R8" s="57"/>
      <c r="S8" s="57"/>
      <c r="T8" s="57"/>
      <c r="U8" s="57">
        <v>1933934</v>
      </c>
      <c r="V8" s="57"/>
      <c r="X8" t="s">
        <v>201</v>
      </c>
      <c r="Y8" t="s">
        <v>202</v>
      </c>
      <c r="Z8" t="s">
        <v>198</v>
      </c>
      <c r="AA8" t="s">
        <v>200</v>
      </c>
      <c r="AC8" s="5" t="s">
        <v>216</v>
      </c>
      <c r="AD8">
        <v>27798216</v>
      </c>
      <c r="AE8">
        <v>165375617</v>
      </c>
      <c r="AG8">
        <v>193173833</v>
      </c>
      <c r="AI8" s="5" t="s">
        <v>237</v>
      </c>
      <c r="AK8">
        <v>5828706</v>
      </c>
      <c r="AL8">
        <v>181266</v>
      </c>
      <c r="AP8">
        <v>6009972</v>
      </c>
      <c r="BE8" s="57"/>
      <c r="BF8" s="115" t="s">
        <v>172</v>
      </c>
      <c r="BG8" t="s">
        <v>234</v>
      </c>
      <c r="BH8" t="s">
        <v>193</v>
      </c>
      <c r="BI8" t="s">
        <v>260</v>
      </c>
      <c r="BJ8" t="s">
        <v>261</v>
      </c>
      <c r="BK8" t="s">
        <v>188</v>
      </c>
      <c r="BL8" t="s">
        <v>235</v>
      </c>
      <c r="BM8" t="s">
        <v>236</v>
      </c>
      <c r="BN8" t="s">
        <v>262</v>
      </c>
      <c r="BO8" t="s">
        <v>198</v>
      </c>
      <c r="BP8" t="s">
        <v>200</v>
      </c>
      <c r="BT8" s="115" t="s">
        <v>224</v>
      </c>
      <c r="BU8" s="115" t="s">
        <v>181</v>
      </c>
      <c r="CF8" s="5" t="s">
        <v>234</v>
      </c>
      <c r="CG8" s="57">
        <v>247035</v>
      </c>
      <c r="CH8" s="57">
        <v>247035</v>
      </c>
      <c r="CJ8" s="5" t="s">
        <v>237</v>
      </c>
      <c r="CK8" s="57">
        <v>2898715</v>
      </c>
      <c r="CL8" s="57">
        <v>2944145</v>
      </c>
      <c r="CM8" s="57">
        <v>2929143</v>
      </c>
      <c r="CO8" s="5">
        <v>208</v>
      </c>
      <c r="CP8" s="57">
        <v>2530000</v>
      </c>
      <c r="CQ8">
        <v>1</v>
      </c>
      <c r="CS8">
        <v>1</v>
      </c>
      <c r="CT8">
        <f t="shared" ref="CT8:CT47" si="1">VLOOKUP($CO8,chinryo_list,2,FALSE)</f>
        <v>112</v>
      </c>
      <c r="CU8" t="str">
        <f t="shared" ref="CU8:CU47" si="2">VLOOKUP($CO8,chinryo_list,3,FALSE)</f>
        <v>豊島目白ビル</v>
      </c>
      <c r="CV8" t="str">
        <f t="shared" ref="CV8:CV47" si="3">VLOOKUP($CO8,chinryo_list,4,FALSE)</f>
        <v>101</v>
      </c>
      <c r="CW8" t="str">
        <f t="shared" ref="CW8:CW47" si="4">VLOOKUP($CO8,chinryo_list,7,FALSE)</f>
        <v>事務所</v>
      </c>
      <c r="CX8" t="str">
        <f t="shared" ref="CX8:CX47" si="5">VLOOKUP($CO8,chinryo_list,8,FALSE)</f>
        <v>事務所</v>
      </c>
      <c r="CY8">
        <f t="shared" ref="CY8:CY47" si="6">VLOOKUP($CO8,chinryo_list,17,FALSE)</f>
        <v>2530000</v>
      </c>
      <c r="DB8" s="115" t="s">
        <v>172</v>
      </c>
      <c r="DC8" t="s">
        <v>263</v>
      </c>
      <c r="DD8" t="s">
        <v>226</v>
      </c>
      <c r="DF8" s="115" t="s">
        <v>172</v>
      </c>
      <c r="DG8" t="s">
        <v>263</v>
      </c>
      <c r="DH8" t="s">
        <v>226</v>
      </c>
      <c r="DJ8" s="115" t="s">
        <v>172</v>
      </c>
      <c r="DK8" t="s">
        <v>264</v>
      </c>
      <c r="DL8" t="s">
        <v>265</v>
      </c>
      <c r="DM8" t="s">
        <v>266</v>
      </c>
      <c r="DN8" t="s">
        <v>267</v>
      </c>
      <c r="DO8" t="s">
        <v>264</v>
      </c>
      <c r="DP8" t="s">
        <v>265</v>
      </c>
      <c r="DQ8" t="s">
        <v>266</v>
      </c>
      <c r="DR8" t="s">
        <v>267</v>
      </c>
      <c r="DY8" s="115" t="s">
        <v>172</v>
      </c>
      <c r="EA8" t="s">
        <v>234</v>
      </c>
      <c r="EB8" t="s">
        <v>188</v>
      </c>
      <c r="EC8" t="s">
        <v>235</v>
      </c>
      <c r="ED8" t="s">
        <v>236</v>
      </c>
      <c r="EG8" s="5" t="s">
        <v>268</v>
      </c>
      <c r="EH8" s="57">
        <v>738310</v>
      </c>
      <c r="EI8" s="57">
        <v>406469</v>
      </c>
      <c r="EJ8" s="57">
        <v>1144779</v>
      </c>
      <c r="EK8" s="57">
        <v>338136161</v>
      </c>
      <c r="EM8" s="5" t="s">
        <v>269</v>
      </c>
      <c r="EN8">
        <v>338579</v>
      </c>
      <c r="EO8">
        <v>253711</v>
      </c>
      <c r="EP8">
        <v>592290</v>
      </c>
      <c r="EQ8">
        <v>113947016</v>
      </c>
      <c r="ES8">
        <v>1</v>
      </c>
      <c r="ET8" t="s">
        <v>270</v>
      </c>
      <c r="EU8" t="s">
        <v>271</v>
      </c>
      <c r="EV8">
        <v>2</v>
      </c>
      <c r="EW8" t="str" cm="1">
        <f t="array" aca="1" ref="EW8" ca="1">INDIRECT("'5借入一覧'!"&amp;ET8&amp;EV8)&amp;INDIRECT("'5借入一覧'!"&amp;EU8&amp;EV8)</f>
        <v/>
      </c>
      <c r="EX8">
        <v>1</v>
      </c>
      <c r="EY8">
        <v>1</v>
      </c>
      <c r="EZ8" t="e">
        <f t="shared" ref="EZ8:FD17" ca="1" si="7">VLOOKUP($EY8&amp;EZ$5,$EW$7:$EX$1101,2,FALSE)</f>
        <v>#N/A</v>
      </c>
      <c r="FA8" t="e">
        <f t="shared" ca="1" si="7"/>
        <v>#N/A</v>
      </c>
      <c r="FB8" t="e">
        <f t="shared" ca="1" si="7"/>
        <v>#N/A</v>
      </c>
      <c r="FC8" t="e">
        <f t="shared" ca="1" si="7"/>
        <v>#N/A</v>
      </c>
      <c r="FD8" t="e">
        <f t="shared" ca="1" si="7"/>
        <v>#N/A</v>
      </c>
      <c r="FE8" t="str">
        <f ca="1">IFERROR(IF(EZ8&gt;0,EZ$7),"")</f>
        <v/>
      </c>
      <c r="FF8" t="str">
        <f ca="1">IFERROR(IF(FA8&gt;0,FA$7),"")</f>
        <v/>
      </c>
      <c r="FG8" t="str">
        <f ca="1">IFERROR(IF(FB8&gt;0,FB$7),"")</f>
        <v/>
      </c>
      <c r="FH8" t="str">
        <f ca="1">IFERROR(IF(FC8&gt;0,FC$7),"")</f>
        <v/>
      </c>
      <c r="FI8" t="str">
        <f ca="1">IFERROR(IF(FD8&gt;0,FD$7),"")</f>
        <v/>
      </c>
      <c r="FJ8" t="str">
        <f ca="1">FE8&amp;FF8&amp;FG8&amp;FH8&amp;FI8</f>
        <v/>
      </c>
      <c r="FK8" t="str">
        <f t="shared" ref="FK8:FK71" ca="1" si="8">IF(FJ8&lt;&gt;"",LEFT(FJ8,LEN(FJ8)-1),"")</f>
        <v/>
      </c>
      <c r="FL8" t="str">
        <f ca="1">IF(FK8&lt;&gt;"",FK8&amp;"として提供中","無")</f>
        <v>無</v>
      </c>
      <c r="FN8" s="132" t="s">
        <v>272</v>
      </c>
      <c r="FO8" s="57">
        <v>11000000</v>
      </c>
    </row>
    <row r="9" spans="1:171">
      <c r="A9" t="s">
        <v>273</v>
      </c>
      <c r="B9" t="s">
        <v>258</v>
      </c>
      <c r="C9" t="s">
        <v>153</v>
      </c>
      <c r="D9" t="s">
        <v>140</v>
      </c>
      <c r="E9" t="s">
        <v>219</v>
      </c>
      <c r="F9" t="s">
        <v>274</v>
      </c>
      <c r="G9" t="s">
        <v>221</v>
      </c>
      <c r="H9" t="s">
        <v>222</v>
      </c>
      <c r="J9" s="5" t="s">
        <v>268</v>
      </c>
      <c r="K9" s="57">
        <v>1160280</v>
      </c>
      <c r="L9" s="57">
        <v>101808</v>
      </c>
      <c r="M9" s="57">
        <v>259500</v>
      </c>
      <c r="N9" s="57">
        <v>132000</v>
      </c>
      <c r="O9" s="57">
        <v>20620</v>
      </c>
      <c r="P9" s="57">
        <v>22836</v>
      </c>
      <c r="Q9" s="57"/>
      <c r="R9" s="57"/>
      <c r="S9" s="57"/>
      <c r="T9" s="57"/>
      <c r="U9" s="57">
        <v>1697044</v>
      </c>
      <c r="V9" s="57"/>
      <c r="W9" s="115" t="s">
        <v>172</v>
      </c>
      <c r="AC9" s="5" t="s">
        <v>237</v>
      </c>
      <c r="AD9">
        <v>113300805</v>
      </c>
      <c r="AE9">
        <v>264084489</v>
      </c>
      <c r="AG9">
        <v>377385294</v>
      </c>
      <c r="AI9" s="5" t="s">
        <v>268</v>
      </c>
      <c r="AJ9">
        <v>83013</v>
      </c>
      <c r="AK9">
        <v>7073962</v>
      </c>
      <c r="AL9">
        <v>705692</v>
      </c>
      <c r="AP9">
        <v>7862667</v>
      </c>
      <c r="AR9" s="115" t="s">
        <v>225</v>
      </c>
      <c r="AS9" s="115" t="s">
        <v>181</v>
      </c>
      <c r="BE9" s="57"/>
      <c r="BF9" s="5" t="s">
        <v>216</v>
      </c>
      <c r="BG9" s="57">
        <v>72911</v>
      </c>
      <c r="BH9" s="57">
        <v>0</v>
      </c>
      <c r="BI9" s="57"/>
      <c r="BJ9" s="57"/>
      <c r="BK9" s="57">
        <v>1417000</v>
      </c>
      <c r="BL9" s="57">
        <v>17600</v>
      </c>
      <c r="BM9" s="57">
        <v>27000</v>
      </c>
      <c r="BN9" s="57"/>
      <c r="BO9" s="57"/>
      <c r="BP9" s="57">
        <v>1534511</v>
      </c>
      <c r="BQ9" s="57"/>
      <c r="BR9" s="57"/>
      <c r="BT9" s="115" t="s">
        <v>172</v>
      </c>
      <c r="BU9" t="s">
        <v>234</v>
      </c>
      <c r="BV9" t="s">
        <v>260</v>
      </c>
      <c r="BW9" t="s">
        <v>261</v>
      </c>
      <c r="BX9" t="s">
        <v>188</v>
      </c>
      <c r="BY9" t="s">
        <v>235</v>
      </c>
      <c r="BZ9" t="s">
        <v>236</v>
      </c>
      <c r="CA9" t="s">
        <v>262</v>
      </c>
      <c r="CB9" t="s">
        <v>200</v>
      </c>
      <c r="CF9" s="5" t="s">
        <v>193</v>
      </c>
      <c r="CG9" s="57"/>
      <c r="CH9" s="57"/>
      <c r="CJ9" s="5" t="s">
        <v>268</v>
      </c>
      <c r="CK9" s="57">
        <v>2282000</v>
      </c>
      <c r="CL9" s="57">
        <v>2429000</v>
      </c>
      <c r="CM9" s="57">
        <v>2341000</v>
      </c>
      <c r="CO9" s="5">
        <v>184</v>
      </c>
      <c r="CP9" s="57">
        <v>1758634</v>
      </c>
      <c r="CQ9">
        <v>2</v>
      </c>
      <c r="CS9">
        <v>2</v>
      </c>
      <c r="CT9">
        <f t="shared" si="1"/>
        <v>111</v>
      </c>
      <c r="CU9" t="str">
        <f t="shared" si="2"/>
        <v>目白カーサ二番館</v>
      </c>
      <c r="CV9" t="str">
        <f t="shared" si="3"/>
        <v>SL1</v>
      </c>
      <c r="CW9" t="str">
        <f t="shared" si="4"/>
        <v>住居</v>
      </c>
      <c r="CX9" t="str">
        <f t="shared" si="5"/>
        <v>1K</v>
      </c>
      <c r="CY9">
        <f t="shared" si="6"/>
        <v>1758634</v>
      </c>
      <c r="DB9" s="5" t="s">
        <v>275</v>
      </c>
      <c r="DF9" s="5" t="s">
        <v>275</v>
      </c>
      <c r="DJ9" s="5" t="s">
        <v>216</v>
      </c>
      <c r="DK9">
        <v>588.5</v>
      </c>
      <c r="DL9" s="57">
        <v>15015300</v>
      </c>
      <c r="DM9" s="57">
        <v>210214</v>
      </c>
      <c r="DN9" s="57">
        <v>45045</v>
      </c>
      <c r="DO9">
        <v>252.09</v>
      </c>
      <c r="DP9" s="57">
        <v>123284110</v>
      </c>
      <c r="DQ9" s="57">
        <v>249401</v>
      </c>
      <c r="DR9" s="57">
        <v>53443</v>
      </c>
      <c r="DS9">
        <v>840.59</v>
      </c>
      <c r="DT9" s="57">
        <v>138299410</v>
      </c>
      <c r="DU9" s="57">
        <v>459615</v>
      </c>
      <c r="DV9" s="57">
        <v>98488</v>
      </c>
      <c r="DY9" s="5" t="s">
        <v>216</v>
      </c>
      <c r="EA9">
        <v>2</v>
      </c>
      <c r="EB9">
        <v>12</v>
      </c>
      <c r="EC9">
        <v>1</v>
      </c>
      <c r="ED9">
        <v>1</v>
      </c>
      <c r="EE9">
        <v>16</v>
      </c>
      <c r="EG9" s="5" t="s">
        <v>276</v>
      </c>
      <c r="EH9" s="57">
        <v>902892</v>
      </c>
      <c r="EI9" s="57">
        <v>513702</v>
      </c>
      <c r="EJ9" s="57">
        <v>1416594</v>
      </c>
      <c r="EK9" s="57">
        <v>473298872</v>
      </c>
      <c r="EM9" s="132" t="s">
        <v>277</v>
      </c>
      <c r="ES9">
        <v>2</v>
      </c>
      <c r="ET9" t="s">
        <v>270</v>
      </c>
      <c r="EU9" t="s">
        <v>271</v>
      </c>
      <c r="EV9">
        <v>3</v>
      </c>
      <c r="EW9" t="str" cm="1">
        <f t="array" aca="1" ref="EW9" ca="1">INDIRECT("'5借入一覧'!"&amp;ET9&amp;EV9)&amp;INDIRECT("'5借入一覧'!"&amp;EU9&amp;EV9)</f>
        <v/>
      </c>
      <c r="EX9">
        <v>1</v>
      </c>
      <c r="EY9">
        <v>2</v>
      </c>
      <c r="EZ9" t="e">
        <f t="shared" ca="1" si="7"/>
        <v>#N/A</v>
      </c>
      <c r="FA9" t="e">
        <f t="shared" ca="1" si="7"/>
        <v>#N/A</v>
      </c>
      <c r="FB9" t="e">
        <f t="shared" ca="1" si="7"/>
        <v>#N/A</v>
      </c>
      <c r="FC9" t="e">
        <f t="shared" ca="1" si="7"/>
        <v>#N/A</v>
      </c>
      <c r="FD9" t="e">
        <f t="shared" ca="1" si="7"/>
        <v>#N/A</v>
      </c>
      <c r="FE9" t="str">
        <f t="shared" ref="FE9:FE72" ca="1" si="9">IFERROR(IF(EZ9&gt;0,EZ$7),"")</f>
        <v/>
      </c>
      <c r="FF9" t="str">
        <f t="shared" ref="FF9:FF72" ca="1" si="10">IFERROR(IF(FA9&gt;0,FA$7),"")</f>
        <v/>
      </c>
      <c r="FG9" t="str">
        <f t="shared" ref="FG9:FG72" ca="1" si="11">IFERROR(IF(FB9&gt;0,FB$7),"")</f>
        <v/>
      </c>
      <c r="FH9" t="str">
        <f t="shared" ref="FH9:FH72" ca="1" si="12">IFERROR(IF(FC9&gt;0,FC$7),"")</f>
        <v/>
      </c>
      <c r="FI9" t="str">
        <f t="shared" ref="FI9:FI72" ca="1" si="13">IFERROR(IF(FD9&gt;0,FD$7),"")</f>
        <v/>
      </c>
      <c r="FJ9" t="str">
        <f t="shared" ref="FJ9:FJ72" ca="1" si="14">FE9&amp;FF9&amp;FG9&amp;FH9&amp;FI9</f>
        <v/>
      </c>
      <c r="FK9" t="str">
        <f t="shared" ca="1" si="8"/>
        <v/>
      </c>
      <c r="FL9" t="str">
        <f t="shared" ref="FL9:FL72" ca="1" si="15">IF(FK9&lt;&gt;"",FK9&amp;"として提供中","無")</f>
        <v>無</v>
      </c>
      <c r="FN9" s="5" t="s">
        <v>278</v>
      </c>
      <c r="FO9" s="57">
        <v>63456000</v>
      </c>
    </row>
    <row r="10" spans="1:171">
      <c r="A10" t="s">
        <v>279</v>
      </c>
      <c r="B10" s="146" t="str">
        <f t="shared" si="0"/>
        <v>Pivot8</v>
      </c>
      <c r="C10" t="s">
        <v>153</v>
      </c>
      <c r="D10" t="s">
        <v>141</v>
      </c>
      <c r="E10" t="s">
        <v>219</v>
      </c>
      <c r="F10" t="s">
        <v>220</v>
      </c>
      <c r="G10" t="s">
        <v>221</v>
      </c>
      <c r="H10" t="s">
        <v>222</v>
      </c>
      <c r="J10" s="5" t="s">
        <v>276</v>
      </c>
      <c r="K10" s="57">
        <v>1301520</v>
      </c>
      <c r="L10" s="57">
        <v>240684</v>
      </c>
      <c r="M10" s="57">
        <v>295140</v>
      </c>
      <c r="N10" s="57"/>
      <c r="O10" s="57">
        <v>34430</v>
      </c>
      <c r="P10" s="57">
        <v>45672</v>
      </c>
      <c r="Q10" s="57"/>
      <c r="R10" s="57"/>
      <c r="S10" s="57"/>
      <c r="T10" s="57"/>
      <c r="U10" s="57">
        <v>1917446</v>
      </c>
      <c r="V10" s="57"/>
      <c r="W10" s="5" t="s">
        <v>216</v>
      </c>
      <c r="X10">
        <v>26492683</v>
      </c>
      <c r="Y10">
        <v>165375617</v>
      </c>
      <c r="AA10">
        <v>191868300</v>
      </c>
      <c r="AC10" s="5" t="s">
        <v>268</v>
      </c>
      <c r="AD10">
        <v>152141411</v>
      </c>
      <c r="AE10">
        <v>211645475</v>
      </c>
      <c r="AG10">
        <v>363786886</v>
      </c>
      <c r="AI10" s="5" t="s">
        <v>276</v>
      </c>
      <c r="AK10">
        <v>7773951</v>
      </c>
      <c r="AP10">
        <v>7773951</v>
      </c>
      <c r="AR10" s="115" t="s">
        <v>172</v>
      </c>
      <c r="AS10" t="s">
        <v>234</v>
      </c>
      <c r="AT10" t="s">
        <v>193</v>
      </c>
      <c r="AU10" t="s">
        <v>260</v>
      </c>
      <c r="AV10" t="s">
        <v>261</v>
      </c>
      <c r="AW10" t="s">
        <v>188</v>
      </c>
      <c r="AX10" t="s">
        <v>235</v>
      </c>
      <c r="AY10" t="s">
        <v>236</v>
      </c>
      <c r="AZ10" t="s">
        <v>262</v>
      </c>
      <c r="BA10" t="s">
        <v>198</v>
      </c>
      <c r="BB10" t="s">
        <v>200</v>
      </c>
      <c r="BE10" s="57"/>
      <c r="BF10" s="5" t="s">
        <v>237</v>
      </c>
      <c r="BG10" s="57"/>
      <c r="BH10" s="57"/>
      <c r="BI10" s="57">
        <v>643878</v>
      </c>
      <c r="BJ10" s="57"/>
      <c r="BK10" s="57">
        <v>1913800</v>
      </c>
      <c r="BL10" s="57"/>
      <c r="BM10" s="57">
        <v>126500</v>
      </c>
      <c r="BN10" s="57">
        <v>363000</v>
      </c>
      <c r="BO10" s="57"/>
      <c r="BP10" s="57">
        <v>3047178</v>
      </c>
      <c r="BQ10" s="57"/>
      <c r="BR10" s="57"/>
      <c r="BT10" s="5" t="s">
        <v>216</v>
      </c>
      <c r="BU10" s="57">
        <v>72911</v>
      </c>
      <c r="BV10" s="57"/>
      <c r="BW10" s="57"/>
      <c r="BX10" s="57">
        <v>1417000</v>
      </c>
      <c r="BY10" s="57">
        <v>17600</v>
      </c>
      <c r="BZ10" s="57">
        <v>27000</v>
      </c>
      <c r="CA10" s="57"/>
      <c r="CB10" s="57">
        <v>1534511</v>
      </c>
      <c r="CC10" s="57"/>
      <c r="CD10" s="57"/>
      <c r="CF10" s="5" t="s">
        <v>260</v>
      </c>
      <c r="CG10" s="57">
        <v>3737978</v>
      </c>
      <c r="CH10" s="57">
        <v>3702978</v>
      </c>
      <c r="CJ10" s="5" t="s">
        <v>276</v>
      </c>
      <c r="CK10" s="57">
        <v>3143630</v>
      </c>
      <c r="CL10" s="57">
        <v>3521704</v>
      </c>
      <c r="CM10" s="57">
        <v>3495703</v>
      </c>
      <c r="CO10" s="5">
        <v>165</v>
      </c>
      <c r="CP10" s="57">
        <v>1100000</v>
      </c>
      <c r="CQ10">
        <v>3</v>
      </c>
      <c r="CS10">
        <v>3</v>
      </c>
      <c r="CT10">
        <f t="shared" si="1"/>
        <v>107</v>
      </c>
      <c r="CU10" t="str">
        <f t="shared" si="2"/>
        <v>メゾン雑司ヶ谷</v>
      </c>
      <c r="CV10" t="str">
        <f t="shared" si="3"/>
        <v>1F</v>
      </c>
      <c r="CW10" t="str">
        <f t="shared" si="4"/>
        <v>店舗</v>
      </c>
      <c r="CX10" t="str">
        <f t="shared" si="5"/>
        <v>店舗</v>
      </c>
      <c r="CY10">
        <f t="shared" si="6"/>
        <v>1100000</v>
      </c>
      <c r="DB10" s="5" t="s">
        <v>280</v>
      </c>
      <c r="DF10" s="132" t="s">
        <v>234</v>
      </c>
      <c r="DJ10" s="5" t="s">
        <v>237</v>
      </c>
      <c r="DK10">
        <v>887.19</v>
      </c>
      <c r="DL10" s="57">
        <v>58425900</v>
      </c>
      <c r="DM10" s="57">
        <v>817962</v>
      </c>
      <c r="DN10" s="57">
        <v>175277</v>
      </c>
      <c r="DO10">
        <v>395.33000000000004</v>
      </c>
      <c r="DP10" s="57">
        <v>176328930</v>
      </c>
      <c r="DQ10" s="57">
        <v>519513</v>
      </c>
      <c r="DR10" s="57">
        <v>111323</v>
      </c>
      <c r="DS10">
        <v>1282.52</v>
      </c>
      <c r="DT10" s="57">
        <v>234754830</v>
      </c>
      <c r="DU10" s="57">
        <v>1337475</v>
      </c>
      <c r="DV10" s="57">
        <v>286600</v>
      </c>
      <c r="DY10" s="5" t="s">
        <v>237</v>
      </c>
      <c r="DZ10">
        <v>6</v>
      </c>
      <c r="EB10">
        <v>9</v>
      </c>
      <c r="ED10">
        <v>3</v>
      </c>
      <c r="EE10">
        <v>18</v>
      </c>
      <c r="EG10" s="5" t="s">
        <v>281</v>
      </c>
      <c r="EH10" s="57">
        <v>328928</v>
      </c>
      <c r="EI10" s="57">
        <v>58976</v>
      </c>
      <c r="EJ10" s="57">
        <v>387904</v>
      </c>
      <c r="EK10" s="57">
        <v>70446823</v>
      </c>
      <c r="EM10" s="133" t="s">
        <v>5</v>
      </c>
      <c r="ES10">
        <v>3</v>
      </c>
      <c r="ET10" t="s">
        <v>270</v>
      </c>
      <c r="EU10" t="s">
        <v>271</v>
      </c>
      <c r="EV10">
        <v>4</v>
      </c>
      <c r="EW10" t="str" cm="1">
        <f t="array" aca="1" ref="EW10" ca="1">INDIRECT("'5借入一覧'!"&amp;ET10&amp;EV10)&amp;INDIRECT("'5借入一覧'!"&amp;EU10&amp;EV10)</f>
        <v/>
      </c>
      <c r="EX10">
        <v>1</v>
      </c>
      <c r="EY10">
        <v>3</v>
      </c>
      <c r="EZ10" t="e">
        <f t="shared" ca="1" si="7"/>
        <v>#N/A</v>
      </c>
      <c r="FA10" t="e">
        <f t="shared" ca="1" si="7"/>
        <v>#N/A</v>
      </c>
      <c r="FB10" t="e">
        <f t="shared" ca="1" si="7"/>
        <v>#N/A</v>
      </c>
      <c r="FC10" t="e">
        <f t="shared" ca="1" si="7"/>
        <v>#N/A</v>
      </c>
      <c r="FD10" t="e">
        <f t="shared" ca="1" si="7"/>
        <v>#N/A</v>
      </c>
      <c r="FE10" t="str">
        <f t="shared" ca="1" si="9"/>
        <v/>
      </c>
      <c r="FF10" t="str">
        <f t="shared" ca="1" si="10"/>
        <v/>
      </c>
      <c r="FG10" t="str">
        <f t="shared" ca="1" si="11"/>
        <v/>
      </c>
      <c r="FH10" t="str">
        <f t="shared" ca="1" si="12"/>
        <v/>
      </c>
      <c r="FI10" t="str">
        <f t="shared" ca="1" si="13"/>
        <v/>
      </c>
      <c r="FJ10" t="str">
        <f t="shared" ca="1" si="14"/>
        <v/>
      </c>
      <c r="FK10" t="str">
        <f t="shared" ca="1" si="8"/>
        <v/>
      </c>
      <c r="FL10" t="str">
        <f t="shared" ca="1" si="15"/>
        <v>無</v>
      </c>
      <c r="FN10" s="132" t="s">
        <v>268</v>
      </c>
      <c r="FO10" s="57">
        <v>15000000</v>
      </c>
    </row>
    <row r="11" spans="1:171">
      <c r="A11" t="s">
        <v>282</v>
      </c>
      <c r="B11" s="146" t="str">
        <f t="shared" si="0"/>
        <v>Pivot9</v>
      </c>
      <c r="C11" t="s">
        <v>153</v>
      </c>
      <c r="D11" t="s">
        <v>142</v>
      </c>
      <c r="G11" t="s">
        <v>221</v>
      </c>
      <c r="H11" t="s">
        <v>222</v>
      </c>
      <c r="J11" s="5" t="s">
        <v>281</v>
      </c>
      <c r="K11" s="57">
        <v>376200</v>
      </c>
      <c r="L11" s="57">
        <v>12372</v>
      </c>
      <c r="M11" s="57"/>
      <c r="N11" s="57"/>
      <c r="O11" s="57">
        <v>6600</v>
      </c>
      <c r="P11" s="57">
        <v>22836</v>
      </c>
      <c r="Q11" s="57"/>
      <c r="R11" s="57"/>
      <c r="S11" s="57"/>
      <c r="T11" s="57"/>
      <c r="U11" s="57">
        <v>418008</v>
      </c>
      <c r="V11" s="57"/>
      <c r="W11" s="5" t="s">
        <v>237</v>
      </c>
      <c r="X11">
        <v>149454010</v>
      </c>
      <c r="Y11">
        <v>264084489</v>
      </c>
      <c r="AA11">
        <v>413538499</v>
      </c>
      <c r="AC11" s="5" t="s">
        <v>276</v>
      </c>
      <c r="AD11">
        <v>213808751</v>
      </c>
      <c r="AE11">
        <v>300927161</v>
      </c>
      <c r="AG11">
        <v>514735912</v>
      </c>
      <c r="AI11" s="5" t="s">
        <v>281</v>
      </c>
      <c r="AK11">
        <v>864458</v>
      </c>
      <c r="AL11">
        <v>409639</v>
      </c>
      <c r="AM11">
        <v>60741</v>
      </c>
      <c r="AP11">
        <v>1334838</v>
      </c>
      <c r="AR11" s="5" t="s">
        <v>283</v>
      </c>
      <c r="AS11" s="57"/>
      <c r="AT11" s="57">
        <v>0</v>
      </c>
      <c r="AU11" s="57"/>
      <c r="AV11" s="57"/>
      <c r="AW11" s="57">
        <v>295000</v>
      </c>
      <c r="AX11" s="57"/>
      <c r="AY11" s="57"/>
      <c r="AZ11" s="57"/>
      <c r="BA11" s="57"/>
      <c r="BB11" s="57">
        <v>295000</v>
      </c>
      <c r="BC11" s="57"/>
      <c r="BE11" s="57"/>
      <c r="BF11" s="5" t="s">
        <v>268</v>
      </c>
      <c r="BG11" s="57">
        <v>13200</v>
      </c>
      <c r="BH11" s="57">
        <v>0</v>
      </c>
      <c r="BI11" s="57"/>
      <c r="BJ11" s="57"/>
      <c r="BK11" s="57">
        <v>2041000</v>
      </c>
      <c r="BL11" s="57"/>
      <c r="BM11" s="57"/>
      <c r="BN11" s="57">
        <v>413600</v>
      </c>
      <c r="BO11" s="57"/>
      <c r="BP11" s="57">
        <v>2467800</v>
      </c>
      <c r="BQ11" s="57"/>
      <c r="BR11" s="57"/>
      <c r="BT11" s="5" t="s">
        <v>237</v>
      </c>
      <c r="BU11" s="57"/>
      <c r="BV11" s="57">
        <v>643878</v>
      </c>
      <c r="BW11" s="57"/>
      <c r="BX11" s="57">
        <v>1913800</v>
      </c>
      <c r="BY11" s="57"/>
      <c r="BZ11" s="57">
        <v>126500</v>
      </c>
      <c r="CA11" s="57">
        <v>363000</v>
      </c>
      <c r="CB11" s="57">
        <v>3047178</v>
      </c>
      <c r="CC11" s="57"/>
      <c r="CD11" s="57"/>
      <c r="CF11" s="5" t="s">
        <v>261</v>
      </c>
      <c r="CG11" s="57">
        <v>0</v>
      </c>
      <c r="CH11" s="57">
        <v>0</v>
      </c>
      <c r="CJ11" s="5" t="s">
        <v>281</v>
      </c>
      <c r="CK11" s="57">
        <v>620000</v>
      </c>
      <c r="CL11" s="57">
        <v>722000</v>
      </c>
      <c r="CM11" s="57">
        <v>729000</v>
      </c>
      <c r="CO11" s="5">
        <v>292</v>
      </c>
      <c r="CP11" s="57">
        <v>413600</v>
      </c>
      <c r="CQ11">
        <v>4</v>
      </c>
      <c r="CS11">
        <v>4</v>
      </c>
      <c r="CT11">
        <f t="shared" si="1"/>
        <v>116</v>
      </c>
      <c r="CU11" t="str">
        <f t="shared" si="2"/>
        <v>コアプラスレジデンス梅田</v>
      </c>
      <c r="CV11" t="str">
        <f t="shared" si="3"/>
        <v>101</v>
      </c>
      <c r="CW11" t="str">
        <f t="shared" si="4"/>
        <v>店舗</v>
      </c>
      <c r="CX11" t="str">
        <f t="shared" si="5"/>
        <v>店舗</v>
      </c>
      <c r="CY11">
        <f t="shared" si="6"/>
        <v>413600</v>
      </c>
      <c r="DB11" s="5" t="s">
        <v>284</v>
      </c>
      <c r="DF11" s="132" t="s">
        <v>193</v>
      </c>
      <c r="DJ11" s="5" t="s">
        <v>268</v>
      </c>
      <c r="DK11">
        <v>966.35</v>
      </c>
      <c r="DL11" s="57">
        <v>53982400</v>
      </c>
      <c r="DM11" s="57">
        <v>755753</v>
      </c>
      <c r="DN11" s="57">
        <v>161947</v>
      </c>
      <c r="DO11">
        <v>207.8</v>
      </c>
      <c r="DP11" s="57">
        <v>114941450</v>
      </c>
      <c r="DQ11" s="57">
        <v>210432</v>
      </c>
      <c r="DR11" s="57">
        <v>45092</v>
      </c>
      <c r="DS11">
        <v>1174.1500000000001</v>
      </c>
      <c r="DT11" s="57">
        <v>168923850</v>
      </c>
      <c r="DU11" s="57">
        <v>966185</v>
      </c>
      <c r="DV11" s="57">
        <v>207039</v>
      </c>
      <c r="DY11" s="5" t="s">
        <v>268</v>
      </c>
      <c r="DZ11">
        <v>1</v>
      </c>
      <c r="EA11">
        <v>1</v>
      </c>
      <c r="EB11">
        <v>14</v>
      </c>
      <c r="EE11">
        <v>16</v>
      </c>
      <c r="EG11" s="5" t="s">
        <v>285</v>
      </c>
      <c r="EH11" s="57">
        <v>982474</v>
      </c>
      <c r="EI11" s="57">
        <v>314688</v>
      </c>
      <c r="EJ11" s="57">
        <v>1297162</v>
      </c>
      <c r="EK11" s="57">
        <v>313706389</v>
      </c>
      <c r="EM11" s="133" t="s">
        <v>216</v>
      </c>
      <c r="ES11">
        <v>4</v>
      </c>
      <c r="ET11" t="s">
        <v>270</v>
      </c>
      <c r="EU11" t="s">
        <v>271</v>
      </c>
      <c r="EV11">
        <v>5</v>
      </c>
      <c r="EW11" t="str" cm="1">
        <f t="array" aca="1" ref="EW11" ca="1">INDIRECT("'5借入一覧'!"&amp;ET11&amp;EV11)&amp;INDIRECT("'5借入一覧'!"&amp;EU11&amp;EV11)</f>
        <v/>
      </c>
      <c r="EX11">
        <v>1</v>
      </c>
      <c r="EY11">
        <v>4</v>
      </c>
      <c r="EZ11" t="e">
        <f t="shared" ca="1" si="7"/>
        <v>#N/A</v>
      </c>
      <c r="FA11" t="e">
        <f t="shared" ca="1" si="7"/>
        <v>#N/A</v>
      </c>
      <c r="FB11" t="e">
        <f t="shared" ca="1" si="7"/>
        <v>#N/A</v>
      </c>
      <c r="FC11" t="e">
        <f t="shared" ca="1" si="7"/>
        <v>#N/A</v>
      </c>
      <c r="FD11" t="e">
        <f t="shared" ca="1" si="7"/>
        <v>#N/A</v>
      </c>
      <c r="FE11" t="str">
        <f t="shared" ca="1" si="9"/>
        <v/>
      </c>
      <c r="FF11" t="str">
        <f t="shared" ca="1" si="10"/>
        <v/>
      </c>
      <c r="FG11" t="str">
        <f t="shared" ca="1" si="11"/>
        <v/>
      </c>
      <c r="FH11" t="str">
        <f t="shared" ca="1" si="12"/>
        <v/>
      </c>
      <c r="FI11" t="str">
        <f t="shared" ca="1" si="13"/>
        <v/>
      </c>
      <c r="FJ11" t="str">
        <f t="shared" ca="1" si="14"/>
        <v/>
      </c>
      <c r="FK11" t="str">
        <f t="shared" ca="1" si="8"/>
        <v/>
      </c>
      <c r="FL11" t="str">
        <f t="shared" ca="1" si="15"/>
        <v>無</v>
      </c>
      <c r="FN11" s="132" t="s">
        <v>286</v>
      </c>
      <c r="FO11" s="57">
        <v>20556000</v>
      </c>
    </row>
    <row r="12" spans="1:171">
      <c r="A12" t="s">
        <v>287</v>
      </c>
      <c r="B12" s="146" t="str">
        <f t="shared" si="0"/>
        <v>Pivot10</v>
      </c>
      <c r="C12" t="s">
        <v>153</v>
      </c>
      <c r="D12" t="s">
        <v>143</v>
      </c>
      <c r="G12" t="s">
        <v>221</v>
      </c>
      <c r="H12" t="s">
        <v>222</v>
      </c>
      <c r="J12" s="5" t="s">
        <v>288</v>
      </c>
      <c r="K12" s="57"/>
      <c r="L12" s="57"/>
      <c r="M12" s="57"/>
      <c r="N12" s="57"/>
      <c r="O12" s="57">
        <v>2060</v>
      </c>
      <c r="P12" s="57"/>
      <c r="Q12" s="57">
        <v>48600</v>
      </c>
      <c r="R12" s="57">
        <v>16200</v>
      </c>
      <c r="S12" s="57"/>
      <c r="T12" s="57"/>
      <c r="U12" s="57">
        <v>66860</v>
      </c>
      <c r="V12" s="57"/>
      <c r="W12" s="5" t="s">
        <v>268</v>
      </c>
      <c r="X12">
        <v>147620954</v>
      </c>
      <c r="Y12">
        <v>211645475</v>
      </c>
      <c r="AA12">
        <v>359266429</v>
      </c>
      <c r="AC12" s="5" t="s">
        <v>281</v>
      </c>
      <c r="AD12">
        <v>29536448</v>
      </c>
      <c r="AE12">
        <v>78084258</v>
      </c>
      <c r="AG12">
        <v>107620706</v>
      </c>
      <c r="AI12" s="5" t="s">
        <v>288</v>
      </c>
      <c r="AK12">
        <v>256421</v>
      </c>
      <c r="AP12">
        <v>256421</v>
      </c>
      <c r="AR12" s="132" t="s">
        <v>216</v>
      </c>
      <c r="AS12" s="57"/>
      <c r="AT12" s="57">
        <v>0</v>
      </c>
      <c r="AU12" s="57"/>
      <c r="AV12" s="57"/>
      <c r="AW12" s="57"/>
      <c r="AX12" s="57"/>
      <c r="AY12" s="57"/>
      <c r="AZ12" s="57"/>
      <c r="BA12" s="57"/>
      <c r="BB12" s="57">
        <v>0</v>
      </c>
      <c r="BC12" s="57"/>
      <c r="BE12" s="57"/>
      <c r="BF12" s="5" t="s">
        <v>276</v>
      </c>
      <c r="BG12" s="57">
        <v>13200</v>
      </c>
      <c r="BH12" s="57">
        <v>0</v>
      </c>
      <c r="BI12" s="57"/>
      <c r="BJ12" s="57"/>
      <c r="BK12" s="57">
        <v>3011000</v>
      </c>
      <c r="BL12" s="57"/>
      <c r="BM12" s="57">
        <v>356481</v>
      </c>
      <c r="BN12" s="57">
        <v>192093</v>
      </c>
      <c r="BO12" s="57"/>
      <c r="BP12" s="57">
        <v>3572774</v>
      </c>
      <c r="BQ12" s="57"/>
      <c r="BR12" s="57"/>
      <c r="BT12" s="5" t="s">
        <v>268</v>
      </c>
      <c r="BU12" s="57">
        <v>13200</v>
      </c>
      <c r="BV12" s="57"/>
      <c r="BW12" s="57"/>
      <c r="BX12" s="57">
        <v>2041000</v>
      </c>
      <c r="BY12" s="57"/>
      <c r="BZ12" s="57"/>
      <c r="CA12" s="57">
        <v>413600</v>
      </c>
      <c r="CB12" s="57">
        <v>2467800</v>
      </c>
      <c r="CC12" s="57"/>
      <c r="CD12" s="57"/>
      <c r="CF12" s="5" t="s">
        <v>188</v>
      </c>
      <c r="CG12" s="57">
        <v>28235436</v>
      </c>
      <c r="CH12" s="57">
        <v>27943232</v>
      </c>
      <c r="CJ12" s="5" t="s">
        <v>288</v>
      </c>
      <c r="CK12" s="57">
        <v>35000</v>
      </c>
      <c r="CL12" s="57">
        <v>35000</v>
      </c>
      <c r="CM12" s="57">
        <v>35000</v>
      </c>
      <c r="CO12" s="5">
        <v>275</v>
      </c>
      <c r="CP12" s="57">
        <v>356481</v>
      </c>
      <c r="CQ12">
        <v>5</v>
      </c>
      <c r="CS12">
        <v>5</v>
      </c>
      <c r="CT12">
        <f t="shared" si="1"/>
        <v>115</v>
      </c>
      <c r="CU12" t="str">
        <f t="shared" si="2"/>
        <v>コアプラス大塚</v>
      </c>
      <c r="CV12" t="str">
        <f t="shared" si="3"/>
        <v>BF1</v>
      </c>
      <c r="CW12" t="str">
        <f t="shared" si="4"/>
        <v>駐車場</v>
      </c>
      <c r="CX12" t="str">
        <f t="shared" si="5"/>
        <v>駐車場</v>
      </c>
      <c r="CY12">
        <f t="shared" si="6"/>
        <v>356481</v>
      </c>
      <c r="DB12" s="5" t="s">
        <v>289</v>
      </c>
      <c r="DF12" s="132" t="s">
        <v>260</v>
      </c>
      <c r="DJ12" s="5" t="s">
        <v>276</v>
      </c>
      <c r="DK12">
        <v>1490.43</v>
      </c>
      <c r="DL12" s="57">
        <v>123562400</v>
      </c>
      <c r="DM12" s="57">
        <v>1729873</v>
      </c>
      <c r="DN12" s="57">
        <v>370687</v>
      </c>
      <c r="DO12">
        <v>443.07</v>
      </c>
      <c r="DP12" s="57">
        <v>174271390</v>
      </c>
      <c r="DQ12" s="57">
        <v>363928</v>
      </c>
      <c r="DR12" s="57">
        <v>77984</v>
      </c>
      <c r="DS12">
        <v>1933.5</v>
      </c>
      <c r="DT12" s="57">
        <v>297833790</v>
      </c>
      <c r="DU12" s="57">
        <v>2093801</v>
      </c>
      <c r="DV12" s="57">
        <v>448671</v>
      </c>
      <c r="DY12" s="5" t="s">
        <v>276</v>
      </c>
      <c r="DZ12">
        <v>1</v>
      </c>
      <c r="EA12">
        <v>1</v>
      </c>
      <c r="EB12">
        <v>23</v>
      </c>
      <c r="ED12">
        <v>1</v>
      </c>
      <c r="EE12">
        <v>26</v>
      </c>
      <c r="EG12" s="5" t="s">
        <v>290</v>
      </c>
      <c r="EH12" s="57">
        <v>324776</v>
      </c>
      <c r="EI12" s="57">
        <v>180387</v>
      </c>
      <c r="EJ12" s="57">
        <v>505163</v>
      </c>
      <c r="EK12" s="57">
        <v>166191734</v>
      </c>
      <c r="EM12" s="133" t="s">
        <v>237</v>
      </c>
      <c r="ES12">
        <v>5</v>
      </c>
      <c r="ET12" t="s">
        <v>270</v>
      </c>
      <c r="EU12" t="s">
        <v>271</v>
      </c>
      <c r="EV12">
        <v>6</v>
      </c>
      <c r="EW12" t="str" cm="1">
        <f t="array" aca="1" ref="EW12" ca="1">INDIRECT("'5借入一覧'!"&amp;ET12&amp;EV12)&amp;INDIRECT("'5借入一覧'!"&amp;EU12&amp;EV12)</f>
        <v/>
      </c>
      <c r="EX12">
        <v>1</v>
      </c>
      <c r="EY12">
        <v>5</v>
      </c>
      <c r="EZ12" t="e">
        <f t="shared" ca="1" si="7"/>
        <v>#N/A</v>
      </c>
      <c r="FA12" t="e">
        <f t="shared" ca="1" si="7"/>
        <v>#N/A</v>
      </c>
      <c r="FB12" t="e">
        <f t="shared" ca="1" si="7"/>
        <v>#N/A</v>
      </c>
      <c r="FC12" t="e">
        <f t="shared" ca="1" si="7"/>
        <v>#N/A</v>
      </c>
      <c r="FD12" t="e">
        <f t="shared" ca="1" si="7"/>
        <v>#N/A</v>
      </c>
      <c r="FE12" t="str">
        <f t="shared" ca="1" si="9"/>
        <v/>
      </c>
      <c r="FF12" t="str">
        <f t="shared" ca="1" si="10"/>
        <v/>
      </c>
      <c r="FG12" t="str">
        <f t="shared" ca="1" si="11"/>
        <v/>
      </c>
      <c r="FH12" t="str">
        <f t="shared" ca="1" si="12"/>
        <v/>
      </c>
      <c r="FI12" t="str">
        <f t="shared" ca="1" si="13"/>
        <v/>
      </c>
      <c r="FJ12" t="str">
        <f t="shared" ca="1" si="14"/>
        <v/>
      </c>
      <c r="FK12" t="str">
        <f t="shared" ca="1" si="8"/>
        <v/>
      </c>
      <c r="FL12" t="str">
        <f t="shared" ca="1" si="15"/>
        <v>無</v>
      </c>
      <c r="FN12" s="132" t="s">
        <v>291</v>
      </c>
      <c r="FO12" s="57">
        <v>17900000</v>
      </c>
    </row>
    <row r="13" spans="1:171">
      <c r="A13" t="s">
        <v>292</v>
      </c>
      <c r="B13" s="146" t="str">
        <f t="shared" si="0"/>
        <v>Pivot11</v>
      </c>
      <c r="C13" t="s">
        <v>153</v>
      </c>
      <c r="D13" t="s">
        <v>144</v>
      </c>
      <c r="G13" t="s">
        <v>221</v>
      </c>
      <c r="H13" t="s">
        <v>222</v>
      </c>
      <c r="J13" s="5" t="s">
        <v>293</v>
      </c>
      <c r="K13" s="57"/>
      <c r="L13" s="57"/>
      <c r="M13" s="57"/>
      <c r="N13" s="57"/>
      <c r="O13" s="57"/>
      <c r="P13" s="57"/>
      <c r="Q13" s="57"/>
      <c r="R13" s="57"/>
      <c r="S13" s="57"/>
      <c r="T13" s="57"/>
      <c r="U13" s="57"/>
      <c r="V13" s="57"/>
      <c r="W13" s="5" t="s">
        <v>276</v>
      </c>
      <c r="X13">
        <v>250772634</v>
      </c>
      <c r="Y13">
        <v>300927161</v>
      </c>
      <c r="AA13">
        <v>551699795</v>
      </c>
      <c r="AC13" s="5" t="s">
        <v>288</v>
      </c>
      <c r="AD13">
        <v>2797363</v>
      </c>
      <c r="AE13">
        <v>2488575</v>
      </c>
      <c r="AG13">
        <v>5285938</v>
      </c>
      <c r="AI13" s="5" t="s">
        <v>293</v>
      </c>
      <c r="AR13" s="132" t="s">
        <v>237</v>
      </c>
      <c r="AS13" s="57"/>
      <c r="AT13" s="57"/>
      <c r="AU13" s="57"/>
      <c r="AV13" s="57"/>
      <c r="AW13" s="57"/>
      <c r="AX13" s="57"/>
      <c r="AY13" s="57"/>
      <c r="AZ13" s="57"/>
      <c r="BA13" s="57"/>
      <c r="BB13" s="57"/>
      <c r="BC13" s="57"/>
      <c r="BE13" s="57"/>
      <c r="BF13" s="5" t="s">
        <v>281</v>
      </c>
      <c r="BG13" s="57"/>
      <c r="BH13" s="57"/>
      <c r="BI13" s="57">
        <v>132000</v>
      </c>
      <c r="BJ13" s="57"/>
      <c r="BK13" s="57">
        <v>367000</v>
      </c>
      <c r="BL13" s="57"/>
      <c r="BM13" s="57"/>
      <c r="BN13" s="57">
        <v>169400</v>
      </c>
      <c r="BO13" s="57"/>
      <c r="BP13" s="57">
        <v>668400</v>
      </c>
      <c r="BQ13" s="57"/>
      <c r="BR13" s="57"/>
      <c r="BT13" s="5" t="s">
        <v>276</v>
      </c>
      <c r="BU13" s="57">
        <v>13200</v>
      </c>
      <c r="BV13" s="57"/>
      <c r="BW13" s="57"/>
      <c r="BX13" s="57">
        <v>3011000</v>
      </c>
      <c r="BY13" s="57"/>
      <c r="BZ13" s="57">
        <v>356481</v>
      </c>
      <c r="CA13" s="57">
        <v>192093</v>
      </c>
      <c r="CB13" s="57">
        <v>3572774</v>
      </c>
      <c r="CC13" s="57"/>
      <c r="CD13" s="57"/>
      <c r="CF13" s="5" t="s">
        <v>235</v>
      </c>
      <c r="CG13" s="57">
        <v>282415</v>
      </c>
      <c r="CH13" s="57">
        <v>282415</v>
      </c>
      <c r="CJ13" s="5" t="s">
        <v>285</v>
      </c>
      <c r="CK13" s="57">
        <v>2404000</v>
      </c>
      <c r="CL13" s="57">
        <v>2378700</v>
      </c>
      <c r="CM13" s="57">
        <v>2391700</v>
      </c>
      <c r="CO13" s="5">
        <v>317</v>
      </c>
      <c r="CP13" s="57">
        <v>330000</v>
      </c>
      <c r="CQ13">
        <v>6</v>
      </c>
      <c r="CS13">
        <v>6</v>
      </c>
      <c r="CT13">
        <f t="shared" si="1"/>
        <v>121</v>
      </c>
      <c r="CU13" t="str">
        <f t="shared" si="2"/>
        <v>目白アパート1号館</v>
      </c>
      <c r="CV13">
        <f t="shared" si="3"/>
        <v>101</v>
      </c>
      <c r="CW13" t="str">
        <f t="shared" si="4"/>
        <v>住居</v>
      </c>
      <c r="CX13" t="str">
        <f t="shared" si="5"/>
        <v>2LDK</v>
      </c>
      <c r="CY13">
        <f t="shared" si="6"/>
        <v>330000</v>
      </c>
      <c r="DB13" s="5" t="s">
        <v>294</v>
      </c>
      <c r="DF13" s="132" t="s">
        <v>261</v>
      </c>
      <c r="DJ13" s="5" t="s">
        <v>281</v>
      </c>
      <c r="DK13">
        <v>177.12</v>
      </c>
      <c r="DL13" s="57">
        <v>8669000</v>
      </c>
      <c r="DM13" s="57">
        <v>121366</v>
      </c>
      <c r="DN13" s="57">
        <v>26007</v>
      </c>
      <c r="DO13">
        <v>137.30000000000001</v>
      </c>
      <c r="DP13" s="57">
        <v>57534050</v>
      </c>
      <c r="DQ13" s="57">
        <v>109261</v>
      </c>
      <c r="DR13" s="57">
        <v>23413</v>
      </c>
      <c r="DS13">
        <v>314.42</v>
      </c>
      <c r="DT13" s="57">
        <v>66203050</v>
      </c>
      <c r="DU13" s="57">
        <v>230627</v>
      </c>
      <c r="DV13" s="57">
        <v>49420</v>
      </c>
      <c r="DY13" s="5" t="s">
        <v>281</v>
      </c>
      <c r="DZ13">
        <v>2</v>
      </c>
      <c r="EB13">
        <v>6</v>
      </c>
      <c r="EE13">
        <v>8</v>
      </c>
      <c r="EG13" s="5" t="s">
        <v>295</v>
      </c>
      <c r="EH13" s="57">
        <v>224843</v>
      </c>
      <c r="EI13" s="57">
        <v>146653</v>
      </c>
      <c r="EJ13" s="57">
        <v>371496</v>
      </c>
      <c r="EK13" s="57">
        <v>104842675</v>
      </c>
      <c r="EM13" s="133" t="s">
        <v>268</v>
      </c>
      <c r="ES13">
        <v>6</v>
      </c>
      <c r="ET13" t="s">
        <v>270</v>
      </c>
      <c r="EU13" t="s">
        <v>271</v>
      </c>
      <c r="EV13">
        <v>7</v>
      </c>
      <c r="EW13" t="str" cm="1">
        <f t="array" aca="1" ref="EW13" ca="1">INDIRECT("'5借入一覧'!"&amp;ET13&amp;EV13)&amp;INDIRECT("'5借入一覧'!"&amp;EU13&amp;EV13)</f>
        <v/>
      </c>
      <c r="EX13">
        <v>1</v>
      </c>
      <c r="EY13">
        <v>6</v>
      </c>
      <c r="EZ13" t="e">
        <f t="shared" ca="1" si="7"/>
        <v>#N/A</v>
      </c>
      <c r="FA13" t="e">
        <f t="shared" ca="1" si="7"/>
        <v>#N/A</v>
      </c>
      <c r="FB13" t="e">
        <f t="shared" ca="1" si="7"/>
        <v>#N/A</v>
      </c>
      <c r="FC13" t="e">
        <f t="shared" ca="1" si="7"/>
        <v>#N/A</v>
      </c>
      <c r="FD13" t="e">
        <f t="shared" ca="1" si="7"/>
        <v>#N/A</v>
      </c>
      <c r="FE13" t="str">
        <f t="shared" ca="1" si="9"/>
        <v/>
      </c>
      <c r="FF13" t="str">
        <f t="shared" ca="1" si="10"/>
        <v/>
      </c>
      <c r="FG13" t="str">
        <f t="shared" ca="1" si="11"/>
        <v/>
      </c>
      <c r="FH13" t="str">
        <f t="shared" ca="1" si="12"/>
        <v/>
      </c>
      <c r="FI13" t="str">
        <f t="shared" ca="1" si="13"/>
        <v/>
      </c>
      <c r="FJ13" t="str">
        <f t="shared" ca="1" si="14"/>
        <v/>
      </c>
      <c r="FK13" t="str">
        <f t="shared" ca="1" si="8"/>
        <v/>
      </c>
      <c r="FL13" t="str">
        <f t="shared" ca="1" si="15"/>
        <v>無</v>
      </c>
      <c r="FN13" s="132" t="s">
        <v>296</v>
      </c>
      <c r="FO13" s="57">
        <v>10000000</v>
      </c>
    </row>
    <row r="14" spans="1:171">
      <c r="A14" t="s">
        <v>297</v>
      </c>
      <c r="B14" s="146" t="str">
        <f t="shared" si="0"/>
        <v>Pivot12</v>
      </c>
      <c r="C14" t="s">
        <v>153</v>
      </c>
      <c r="D14" t="s">
        <v>298</v>
      </c>
      <c r="E14" t="s">
        <v>299</v>
      </c>
      <c r="F14" t="s">
        <v>300</v>
      </c>
      <c r="G14" t="s">
        <v>221</v>
      </c>
      <c r="H14" t="s">
        <v>222</v>
      </c>
      <c r="J14" s="5" t="s">
        <v>285</v>
      </c>
      <c r="K14" s="57">
        <v>869880</v>
      </c>
      <c r="L14" s="57">
        <v>52092</v>
      </c>
      <c r="M14" s="57">
        <v>107712</v>
      </c>
      <c r="N14" s="57"/>
      <c r="O14" s="57">
        <v>20610</v>
      </c>
      <c r="P14" s="57">
        <v>22836</v>
      </c>
      <c r="Q14" s="57"/>
      <c r="R14" s="57"/>
      <c r="S14" s="57"/>
      <c r="T14" s="57"/>
      <c r="U14" s="57">
        <v>1073130</v>
      </c>
      <c r="V14" s="57"/>
      <c r="W14" s="5" t="s">
        <v>281</v>
      </c>
      <c r="X14">
        <v>16087719</v>
      </c>
      <c r="Y14">
        <v>78084258</v>
      </c>
      <c r="AA14">
        <v>94171977</v>
      </c>
      <c r="AC14" s="5" t="s">
        <v>293</v>
      </c>
      <c r="AI14" s="5" t="s">
        <v>285</v>
      </c>
      <c r="AJ14">
        <v>84480</v>
      </c>
      <c r="AK14">
        <v>4315064</v>
      </c>
      <c r="AL14">
        <v>212477</v>
      </c>
      <c r="AP14">
        <v>4612021</v>
      </c>
      <c r="AR14" s="132" t="s">
        <v>268</v>
      </c>
      <c r="AS14" s="57"/>
      <c r="AT14" s="57">
        <v>0</v>
      </c>
      <c r="AU14" s="57"/>
      <c r="AV14" s="57"/>
      <c r="AW14" s="57"/>
      <c r="AX14" s="57"/>
      <c r="AY14" s="57"/>
      <c r="AZ14" s="57"/>
      <c r="BA14" s="57"/>
      <c r="BB14" s="57">
        <v>0</v>
      </c>
      <c r="BC14" s="57"/>
      <c r="BE14" s="57"/>
      <c r="BF14" s="5" t="s">
        <v>288</v>
      </c>
      <c r="BG14" s="57"/>
      <c r="BH14" s="57"/>
      <c r="BI14" s="57">
        <v>0</v>
      </c>
      <c r="BJ14" s="57"/>
      <c r="BK14" s="57"/>
      <c r="BL14" s="57"/>
      <c r="BM14" s="57"/>
      <c r="BN14" s="57"/>
      <c r="BO14" s="57"/>
      <c r="BP14" s="57">
        <v>0</v>
      </c>
      <c r="BQ14" s="57"/>
      <c r="BR14" s="57"/>
      <c r="BT14" s="5" t="s">
        <v>281</v>
      </c>
      <c r="BU14" s="57"/>
      <c r="BV14" s="57">
        <v>132000</v>
      </c>
      <c r="BW14" s="57"/>
      <c r="BX14" s="57">
        <v>367000</v>
      </c>
      <c r="BY14" s="57"/>
      <c r="BZ14" s="57"/>
      <c r="CA14" s="57">
        <v>169400</v>
      </c>
      <c r="CB14" s="57">
        <v>668400</v>
      </c>
      <c r="CC14" s="57"/>
      <c r="CD14" s="57"/>
      <c r="CF14" s="5" t="s">
        <v>236</v>
      </c>
      <c r="CG14" s="57">
        <v>809021</v>
      </c>
      <c r="CH14" s="57">
        <v>794721</v>
      </c>
      <c r="CJ14" s="5" t="s">
        <v>290</v>
      </c>
      <c r="CK14" s="57">
        <v>1239741</v>
      </c>
      <c r="CL14" s="57">
        <v>1261741</v>
      </c>
      <c r="CM14" s="57">
        <v>1274740</v>
      </c>
      <c r="CO14" s="5">
        <v>77</v>
      </c>
      <c r="CP14" s="57">
        <v>305800</v>
      </c>
      <c r="CQ14">
        <v>7</v>
      </c>
      <c r="CS14">
        <v>7</v>
      </c>
      <c r="CT14">
        <f t="shared" si="1"/>
        <v>103</v>
      </c>
      <c r="CU14" t="str">
        <f t="shared" si="2"/>
        <v>カーサ目白台ハウス</v>
      </c>
      <c r="CV14" t="str">
        <f t="shared" si="3"/>
        <v>503</v>
      </c>
      <c r="CW14" t="str">
        <f t="shared" si="4"/>
        <v>住居</v>
      </c>
      <c r="CX14" t="str">
        <f t="shared" si="5"/>
        <v>2LDK</v>
      </c>
      <c r="CY14">
        <f t="shared" si="6"/>
        <v>305800</v>
      </c>
      <c r="DB14" s="5" t="s">
        <v>301</v>
      </c>
      <c r="DF14" s="132" t="s">
        <v>188</v>
      </c>
      <c r="DJ14" s="5" t="s">
        <v>288</v>
      </c>
      <c r="DK14">
        <v>19.899999999999999</v>
      </c>
      <c r="DL14" s="57">
        <v>892339.76</v>
      </c>
      <c r="DM14" s="57">
        <v>1761</v>
      </c>
      <c r="DN14" s="57">
        <v>754</v>
      </c>
      <c r="DP14" s="57"/>
      <c r="DQ14" s="57"/>
      <c r="DR14" s="57"/>
      <c r="DS14">
        <v>19.899999999999999</v>
      </c>
      <c r="DT14" s="57">
        <v>892339.76</v>
      </c>
      <c r="DU14" s="57">
        <v>1761</v>
      </c>
      <c r="DV14" s="57">
        <v>754</v>
      </c>
      <c r="DY14" s="5" t="s">
        <v>288</v>
      </c>
      <c r="DZ14">
        <v>1</v>
      </c>
      <c r="EE14">
        <v>1</v>
      </c>
      <c r="EG14" s="5" t="s">
        <v>302</v>
      </c>
      <c r="EH14" s="57">
        <v>712666</v>
      </c>
      <c r="EI14" s="57">
        <v>139065</v>
      </c>
      <c r="EJ14" s="57">
        <v>851731</v>
      </c>
      <c r="EK14" s="57">
        <v>166166517</v>
      </c>
      <c r="EM14" s="133" t="s">
        <v>276</v>
      </c>
      <c r="ES14">
        <v>7</v>
      </c>
      <c r="ET14" t="s">
        <v>270</v>
      </c>
      <c r="EU14" t="s">
        <v>271</v>
      </c>
      <c r="EV14">
        <v>8</v>
      </c>
      <c r="EW14" t="str" cm="1">
        <f t="array" aca="1" ref="EW14" ca="1">INDIRECT("'5借入一覧'!"&amp;ET14&amp;EV14)&amp;INDIRECT("'5借入一覧'!"&amp;EU14&amp;EV14)</f>
        <v/>
      </c>
      <c r="EX14">
        <v>1</v>
      </c>
      <c r="EY14">
        <v>7</v>
      </c>
      <c r="EZ14" t="e">
        <f t="shared" ca="1" si="7"/>
        <v>#N/A</v>
      </c>
      <c r="FA14" t="e">
        <f t="shared" ca="1" si="7"/>
        <v>#N/A</v>
      </c>
      <c r="FB14" t="e">
        <f t="shared" ca="1" si="7"/>
        <v>#N/A</v>
      </c>
      <c r="FC14" t="e">
        <f t="shared" ca="1" si="7"/>
        <v>#N/A</v>
      </c>
      <c r="FD14" t="e">
        <f t="shared" ca="1" si="7"/>
        <v>#N/A</v>
      </c>
      <c r="FE14" t="str">
        <f t="shared" ca="1" si="9"/>
        <v/>
      </c>
      <c r="FF14" t="str">
        <f t="shared" ca="1" si="10"/>
        <v/>
      </c>
      <c r="FG14" t="str">
        <f t="shared" ca="1" si="11"/>
        <v/>
      </c>
      <c r="FH14" t="str">
        <f t="shared" ca="1" si="12"/>
        <v/>
      </c>
      <c r="FI14" t="str">
        <f t="shared" ca="1" si="13"/>
        <v/>
      </c>
      <c r="FJ14" t="str">
        <f t="shared" ca="1" si="14"/>
        <v/>
      </c>
      <c r="FK14" t="str">
        <f t="shared" ca="1" si="8"/>
        <v/>
      </c>
      <c r="FL14" t="str">
        <f t="shared" ca="1" si="15"/>
        <v>無</v>
      </c>
      <c r="FN14" s="5" t="s">
        <v>303</v>
      </c>
      <c r="FO14" s="57">
        <v>94000000</v>
      </c>
    </row>
    <row r="15" spans="1:171">
      <c r="A15" t="s">
        <v>304</v>
      </c>
      <c r="B15" s="146" t="str">
        <f t="shared" si="0"/>
        <v>Pivot13</v>
      </c>
      <c r="C15" t="s">
        <v>153</v>
      </c>
      <c r="D15" t="s">
        <v>305</v>
      </c>
      <c r="E15" t="s">
        <v>299</v>
      </c>
      <c r="F15" t="s">
        <v>306</v>
      </c>
      <c r="G15" t="s">
        <v>221</v>
      </c>
      <c r="H15" t="s">
        <v>222</v>
      </c>
      <c r="J15" s="5" t="s">
        <v>290</v>
      </c>
      <c r="K15" s="57">
        <v>405240</v>
      </c>
      <c r="L15" s="57">
        <v>39024</v>
      </c>
      <c r="M15" s="57">
        <v>46992</v>
      </c>
      <c r="N15" s="57"/>
      <c r="O15" s="57">
        <v>7710</v>
      </c>
      <c r="P15" s="57"/>
      <c r="Q15" s="57"/>
      <c r="R15" s="57"/>
      <c r="S15" s="57"/>
      <c r="T15" s="57"/>
      <c r="U15" s="57">
        <v>498966</v>
      </c>
      <c r="V15" s="57"/>
      <c r="W15" s="5" t="s">
        <v>288</v>
      </c>
      <c r="X15">
        <v>3052637</v>
      </c>
      <c r="Y15">
        <v>2488575</v>
      </c>
      <c r="AA15">
        <v>5541212</v>
      </c>
      <c r="AC15" s="5" t="s">
        <v>285</v>
      </c>
      <c r="AD15">
        <v>73661130</v>
      </c>
      <c r="AE15">
        <v>286363375</v>
      </c>
      <c r="AG15">
        <v>360024505</v>
      </c>
      <c r="AI15" s="5" t="s">
        <v>290</v>
      </c>
      <c r="AK15">
        <v>2114406</v>
      </c>
      <c r="AP15">
        <v>2114406</v>
      </c>
      <c r="AR15" s="132" t="s">
        <v>276</v>
      </c>
      <c r="AS15" s="57"/>
      <c r="AT15" s="57">
        <v>0</v>
      </c>
      <c r="AU15" s="57"/>
      <c r="AV15" s="57"/>
      <c r="AW15" s="57"/>
      <c r="AX15" s="57"/>
      <c r="AY15" s="57"/>
      <c r="AZ15" s="57"/>
      <c r="BA15" s="57"/>
      <c r="BB15" s="57">
        <v>0</v>
      </c>
      <c r="BC15" s="57"/>
      <c r="BE15" s="57"/>
      <c r="BF15" s="5" t="s">
        <v>293</v>
      </c>
      <c r="BG15" s="57"/>
      <c r="BH15" s="57"/>
      <c r="BI15" s="57"/>
      <c r="BJ15" s="57"/>
      <c r="BK15" s="57"/>
      <c r="BL15" s="57"/>
      <c r="BM15" s="57"/>
      <c r="BN15" s="57"/>
      <c r="BO15" s="57"/>
      <c r="BP15" s="57"/>
      <c r="BQ15" s="57"/>
      <c r="BR15" s="57"/>
      <c r="BT15" s="5" t="s">
        <v>288</v>
      </c>
      <c r="BU15" s="57"/>
      <c r="BV15" s="57">
        <v>0</v>
      </c>
      <c r="BW15" s="57"/>
      <c r="BX15" s="57"/>
      <c r="BY15" s="57"/>
      <c r="BZ15" s="57"/>
      <c r="CA15" s="57"/>
      <c r="CB15" s="57">
        <v>0</v>
      </c>
      <c r="CC15" s="57"/>
      <c r="CD15" s="57"/>
      <c r="CF15" s="5" t="s">
        <v>262</v>
      </c>
      <c r="CG15" s="57">
        <v>2337093</v>
      </c>
      <c r="CH15" s="57">
        <v>2337093</v>
      </c>
      <c r="CJ15" s="5" t="s">
        <v>295</v>
      </c>
      <c r="CK15" s="57">
        <v>844300</v>
      </c>
      <c r="CL15" s="57">
        <v>859000</v>
      </c>
      <c r="CM15" s="57">
        <v>852000</v>
      </c>
      <c r="CO15" s="5">
        <v>23</v>
      </c>
      <c r="CP15" s="57">
        <v>302500</v>
      </c>
      <c r="CQ15">
        <v>8</v>
      </c>
      <c r="CS15">
        <v>8</v>
      </c>
      <c r="CT15">
        <f t="shared" si="1"/>
        <v>101</v>
      </c>
      <c r="CU15" t="str">
        <f t="shared" si="2"/>
        <v>西池袋駅前ビル</v>
      </c>
      <c r="CV15" t="str">
        <f t="shared" si="3"/>
        <v>100</v>
      </c>
      <c r="CW15" t="str">
        <f t="shared" si="4"/>
        <v>事務所</v>
      </c>
      <c r="CX15" t="str">
        <f t="shared" si="5"/>
        <v>事務所</v>
      </c>
      <c r="CY15">
        <f t="shared" si="6"/>
        <v>302500</v>
      </c>
      <c r="DB15" s="5" t="s">
        <v>307</v>
      </c>
      <c r="DC15">
        <v>10</v>
      </c>
      <c r="DD15">
        <v>564700</v>
      </c>
      <c r="DF15" s="132" t="s">
        <v>235</v>
      </c>
      <c r="DJ15" s="5" t="s">
        <v>293</v>
      </c>
      <c r="DL15" s="57"/>
      <c r="DM15" s="57"/>
      <c r="DN15" s="57"/>
      <c r="DP15" s="57"/>
      <c r="DQ15" s="57"/>
      <c r="DR15" s="57"/>
      <c r="DT15" s="57"/>
      <c r="DU15" s="57"/>
      <c r="DV15" s="57"/>
      <c r="DY15" s="5" t="s">
        <v>293</v>
      </c>
      <c r="EG15" s="5" t="s">
        <v>4</v>
      </c>
      <c r="EH15" s="57"/>
      <c r="EI15" s="57"/>
      <c r="EJ15" s="57"/>
      <c r="EK15" s="57"/>
      <c r="EM15" s="133" t="s">
        <v>281</v>
      </c>
      <c r="ES15">
        <v>8</v>
      </c>
      <c r="ET15" t="s">
        <v>270</v>
      </c>
      <c r="EU15" t="s">
        <v>271</v>
      </c>
      <c r="EV15">
        <v>9</v>
      </c>
      <c r="EW15" t="str" cm="1">
        <f t="array" aca="1" ref="EW15" ca="1">INDIRECT("'5借入一覧'!"&amp;ET15&amp;EV15)&amp;INDIRECT("'5借入一覧'!"&amp;EU15&amp;EV15)</f>
        <v/>
      </c>
      <c r="EX15">
        <v>1</v>
      </c>
      <c r="EY15">
        <v>8</v>
      </c>
      <c r="EZ15" t="e">
        <f t="shared" ca="1" si="7"/>
        <v>#N/A</v>
      </c>
      <c r="FA15" t="e">
        <f t="shared" ca="1" si="7"/>
        <v>#N/A</v>
      </c>
      <c r="FB15" t="e">
        <f t="shared" ca="1" si="7"/>
        <v>#N/A</v>
      </c>
      <c r="FC15" t="e">
        <f t="shared" ca="1" si="7"/>
        <v>#N/A</v>
      </c>
      <c r="FD15" t="e">
        <f t="shared" ca="1" si="7"/>
        <v>#N/A</v>
      </c>
      <c r="FE15" t="str">
        <f t="shared" ca="1" si="9"/>
        <v/>
      </c>
      <c r="FF15" t="str">
        <f t="shared" ca="1" si="10"/>
        <v/>
      </c>
      <c r="FG15" t="str">
        <f t="shared" ca="1" si="11"/>
        <v/>
      </c>
      <c r="FH15" t="str">
        <f t="shared" ca="1" si="12"/>
        <v/>
      </c>
      <c r="FI15" t="str">
        <f t="shared" ca="1" si="13"/>
        <v/>
      </c>
      <c r="FJ15" t="str">
        <f t="shared" ca="1" si="14"/>
        <v/>
      </c>
      <c r="FK15" t="str">
        <f t="shared" ca="1" si="8"/>
        <v/>
      </c>
      <c r="FL15" t="str">
        <f t="shared" ca="1" si="15"/>
        <v>無</v>
      </c>
      <c r="FN15" s="132" t="s">
        <v>286</v>
      </c>
      <c r="FO15" s="57">
        <v>94000000</v>
      </c>
    </row>
    <row r="16" spans="1:171">
      <c r="A16" t="s">
        <v>308</v>
      </c>
      <c r="B16" s="146" t="str">
        <f t="shared" si="0"/>
        <v>Pivot14</v>
      </c>
      <c r="C16" t="s">
        <v>156</v>
      </c>
      <c r="D16" t="s">
        <v>3</v>
      </c>
      <c r="J16" s="5" t="s">
        <v>295</v>
      </c>
      <c r="K16" s="57">
        <v>231000</v>
      </c>
      <c r="L16" s="57">
        <v>9156</v>
      </c>
      <c r="M16" s="57"/>
      <c r="N16" s="57"/>
      <c r="O16" s="57">
        <v>21200</v>
      </c>
      <c r="P16" s="57"/>
      <c r="Q16" s="57"/>
      <c r="R16" s="57"/>
      <c r="S16" s="57"/>
      <c r="T16" s="57">
        <v>-6000</v>
      </c>
      <c r="U16" s="57">
        <v>255356</v>
      </c>
      <c r="V16" s="57"/>
      <c r="W16" s="5" t="s">
        <v>293</v>
      </c>
      <c r="AC16" s="5" t="s">
        <v>290</v>
      </c>
      <c r="AD16">
        <v>42782673</v>
      </c>
      <c r="AE16">
        <v>154821009</v>
      </c>
      <c r="AG16">
        <v>197603682</v>
      </c>
      <c r="AI16" s="5" t="s">
        <v>295</v>
      </c>
      <c r="AK16">
        <v>2704931</v>
      </c>
      <c r="AL16">
        <v>246267</v>
      </c>
      <c r="AP16">
        <v>2951198</v>
      </c>
      <c r="AR16" s="132" t="s">
        <v>281</v>
      </c>
      <c r="AS16" s="57"/>
      <c r="AT16" s="57"/>
      <c r="AU16" s="57"/>
      <c r="AV16" s="57"/>
      <c r="AW16" s="57"/>
      <c r="AX16" s="57"/>
      <c r="AY16" s="57"/>
      <c r="AZ16" s="57"/>
      <c r="BA16" s="57"/>
      <c r="BB16" s="57"/>
      <c r="BC16" s="57"/>
      <c r="BE16" s="57"/>
      <c r="BF16" s="5" t="s">
        <v>285</v>
      </c>
      <c r="BG16" s="57"/>
      <c r="BH16" s="57">
        <v>0</v>
      </c>
      <c r="BI16" s="57"/>
      <c r="BJ16" s="57"/>
      <c r="BK16" s="57">
        <v>1378700</v>
      </c>
      <c r="BL16" s="57"/>
      <c r="BM16" s="57"/>
      <c r="BN16" s="57">
        <v>1100000</v>
      </c>
      <c r="BO16" s="57"/>
      <c r="BP16" s="57">
        <v>2478700</v>
      </c>
      <c r="BQ16" s="57"/>
      <c r="BR16" s="57"/>
      <c r="BT16" s="5" t="s">
        <v>285</v>
      </c>
      <c r="BU16" s="57"/>
      <c r="BV16" s="57"/>
      <c r="BW16" s="57"/>
      <c r="BX16" s="57">
        <v>1378700</v>
      </c>
      <c r="BY16" s="57"/>
      <c r="BZ16" s="57"/>
      <c r="CA16" s="57">
        <v>1100000</v>
      </c>
      <c r="CB16" s="57">
        <v>2478700</v>
      </c>
      <c r="CC16" s="57"/>
      <c r="CD16" s="57"/>
      <c r="CF16" s="5" t="s">
        <v>198</v>
      </c>
      <c r="CG16" s="57"/>
      <c r="CH16" s="57"/>
      <c r="CJ16" s="5" t="s">
        <v>302</v>
      </c>
      <c r="CK16" s="57">
        <v>1691000</v>
      </c>
      <c r="CL16" s="57">
        <v>1802800</v>
      </c>
      <c r="CM16" s="57">
        <v>1851800</v>
      </c>
      <c r="CO16" s="5">
        <v>316</v>
      </c>
      <c r="CP16" s="57">
        <v>295000</v>
      </c>
      <c r="CQ16">
        <v>9</v>
      </c>
      <c r="CS16">
        <v>9</v>
      </c>
      <c r="CT16">
        <f t="shared" si="1"/>
        <v>222</v>
      </c>
      <c r="CU16" t="str">
        <f t="shared" si="2"/>
        <v>プラウD目白301号</v>
      </c>
      <c r="CV16" t="str">
        <f t="shared" si="3"/>
        <v>201</v>
      </c>
      <c r="CW16" t="str">
        <f t="shared" si="4"/>
        <v>住居</v>
      </c>
      <c r="CX16" t="str">
        <f t="shared" si="5"/>
        <v>2LDK</v>
      </c>
      <c r="CY16">
        <f t="shared" si="6"/>
        <v>295000</v>
      </c>
      <c r="DB16" s="5" t="s">
        <v>309</v>
      </c>
      <c r="DC16">
        <v>49</v>
      </c>
      <c r="DD16">
        <v>3160800</v>
      </c>
      <c r="DF16" s="132" t="s">
        <v>236</v>
      </c>
      <c r="DJ16" s="5" t="s">
        <v>285</v>
      </c>
      <c r="DK16">
        <v>961.19</v>
      </c>
      <c r="DL16" s="57">
        <v>49095000</v>
      </c>
      <c r="DM16" s="57">
        <v>687330</v>
      </c>
      <c r="DN16" s="57">
        <v>147285</v>
      </c>
      <c r="DO16">
        <v>560.83000000000004</v>
      </c>
      <c r="DP16" s="57">
        <v>174332250</v>
      </c>
      <c r="DQ16" s="57">
        <v>371288</v>
      </c>
      <c r="DR16" s="57">
        <v>79561</v>
      </c>
      <c r="DS16">
        <v>1522.02</v>
      </c>
      <c r="DT16" s="57">
        <v>223427250</v>
      </c>
      <c r="DU16" s="57">
        <v>1058618</v>
      </c>
      <c r="DV16" s="57">
        <v>226846</v>
      </c>
      <c r="DY16" s="5" t="s">
        <v>285</v>
      </c>
      <c r="DZ16">
        <v>1</v>
      </c>
      <c r="EB16">
        <v>22</v>
      </c>
      <c r="EE16">
        <v>23</v>
      </c>
      <c r="EG16" s="5" t="s">
        <v>272</v>
      </c>
      <c r="EH16" s="57">
        <v>168922</v>
      </c>
      <c r="EI16" s="57">
        <v>32278</v>
      </c>
      <c r="EJ16" s="57">
        <v>201200</v>
      </c>
      <c r="EK16" s="57">
        <v>22489146</v>
      </c>
      <c r="EM16" s="133" t="s">
        <v>285</v>
      </c>
      <c r="ES16">
        <v>9</v>
      </c>
      <c r="ET16" t="s">
        <v>270</v>
      </c>
      <c r="EU16" t="s">
        <v>271</v>
      </c>
      <c r="EV16">
        <v>10</v>
      </c>
      <c r="EW16" t="str" cm="1">
        <f t="array" aca="1" ref="EW16" ca="1">INDIRECT("'5借入一覧'!"&amp;ET16&amp;EV16)&amp;INDIRECT("'5借入一覧'!"&amp;EU16&amp;EV16)</f>
        <v/>
      </c>
      <c r="EX16">
        <v>1</v>
      </c>
      <c r="EY16">
        <v>9</v>
      </c>
      <c r="EZ16" t="e">
        <f t="shared" ca="1" si="7"/>
        <v>#N/A</v>
      </c>
      <c r="FA16" t="e">
        <f t="shared" ca="1" si="7"/>
        <v>#N/A</v>
      </c>
      <c r="FB16" t="e">
        <f t="shared" ca="1" si="7"/>
        <v>#N/A</v>
      </c>
      <c r="FC16" t="e">
        <f t="shared" ca="1" si="7"/>
        <v>#N/A</v>
      </c>
      <c r="FD16" t="e">
        <f t="shared" ca="1" si="7"/>
        <v>#N/A</v>
      </c>
      <c r="FE16" t="str">
        <f t="shared" ca="1" si="9"/>
        <v/>
      </c>
      <c r="FF16" t="str">
        <f t="shared" ca="1" si="10"/>
        <v/>
      </c>
      <c r="FG16" t="str">
        <f t="shared" ca="1" si="11"/>
        <v/>
      </c>
      <c r="FH16" t="str">
        <f t="shared" ca="1" si="12"/>
        <v/>
      </c>
      <c r="FI16" t="str">
        <f t="shared" ca="1" si="13"/>
        <v/>
      </c>
      <c r="FJ16" t="str">
        <f t="shared" ca="1" si="14"/>
        <v/>
      </c>
      <c r="FK16" t="str">
        <f t="shared" ca="1" si="8"/>
        <v/>
      </c>
      <c r="FL16" t="str">
        <f t="shared" ca="1" si="15"/>
        <v>無</v>
      </c>
      <c r="FN16" s="5" t="s">
        <v>310</v>
      </c>
      <c r="FO16" s="57">
        <v>2000000</v>
      </c>
    </row>
    <row r="17" spans="1:171">
      <c r="A17" t="s">
        <v>311</v>
      </c>
      <c r="B17" s="146" t="str">
        <f t="shared" si="0"/>
        <v>Pivot15</v>
      </c>
      <c r="C17" t="s">
        <v>149</v>
      </c>
      <c r="D17" t="s">
        <v>312</v>
      </c>
      <c r="G17" t="s">
        <v>221</v>
      </c>
      <c r="H17" t="s">
        <v>222</v>
      </c>
      <c r="J17" s="5" t="s">
        <v>302</v>
      </c>
      <c r="K17" s="57">
        <v>596640</v>
      </c>
      <c r="L17" s="57">
        <v>251892</v>
      </c>
      <c r="M17" s="57"/>
      <c r="N17" s="57">
        <v>144564</v>
      </c>
      <c r="O17" s="57">
        <v>11830</v>
      </c>
      <c r="P17" s="57">
        <v>18744</v>
      </c>
      <c r="Q17" s="57"/>
      <c r="R17" s="57"/>
      <c r="S17" s="57"/>
      <c r="T17" s="57"/>
      <c r="U17" s="57">
        <v>1023670</v>
      </c>
      <c r="V17" s="57"/>
      <c r="W17" s="5" t="s">
        <v>285</v>
      </c>
      <c r="X17">
        <v>98069650</v>
      </c>
      <c r="Y17">
        <v>286363375</v>
      </c>
      <c r="AA17">
        <v>384433025</v>
      </c>
      <c r="AC17" s="5" t="s">
        <v>295</v>
      </c>
      <c r="AD17">
        <v>15377543</v>
      </c>
      <c r="AE17">
        <v>113543242</v>
      </c>
      <c r="AG17">
        <v>128920785</v>
      </c>
      <c r="AI17" s="5" t="s">
        <v>302</v>
      </c>
      <c r="AJ17">
        <v>114456</v>
      </c>
      <c r="AK17">
        <v>1867320</v>
      </c>
      <c r="AL17">
        <v>49313</v>
      </c>
      <c r="AP17">
        <v>2031089</v>
      </c>
      <c r="AR17" s="132" t="s">
        <v>288</v>
      </c>
      <c r="AS17" s="57"/>
      <c r="AT17" s="57"/>
      <c r="AU17" s="57"/>
      <c r="AV17" s="57"/>
      <c r="AW17" s="57"/>
      <c r="AX17" s="57"/>
      <c r="AY17" s="57"/>
      <c r="AZ17" s="57"/>
      <c r="BA17" s="57"/>
      <c r="BB17" s="57"/>
      <c r="BC17" s="57"/>
      <c r="BE17" s="57"/>
      <c r="BF17" s="5" t="s">
        <v>290</v>
      </c>
      <c r="BG17" s="57"/>
      <c r="BH17" s="57"/>
      <c r="BI17" s="57">
        <v>94600</v>
      </c>
      <c r="BJ17" s="57"/>
      <c r="BK17" s="57">
        <v>935000</v>
      </c>
      <c r="BL17" s="57">
        <v>264815</v>
      </c>
      <c r="BM17" s="57"/>
      <c r="BN17" s="57"/>
      <c r="BO17" s="57"/>
      <c r="BP17" s="57">
        <v>1294415</v>
      </c>
      <c r="BQ17" s="57"/>
      <c r="BR17" s="57"/>
      <c r="BT17" s="5" t="s">
        <v>290</v>
      </c>
      <c r="BU17" s="57"/>
      <c r="BV17" s="57">
        <v>94600</v>
      </c>
      <c r="BW17" s="57"/>
      <c r="BX17" s="57">
        <v>935000</v>
      </c>
      <c r="BY17" s="57">
        <v>264815</v>
      </c>
      <c r="BZ17" s="57"/>
      <c r="CA17" s="57"/>
      <c r="CB17" s="57">
        <v>1294415</v>
      </c>
      <c r="CC17" s="57"/>
      <c r="CD17" s="57"/>
      <c r="CF17" s="5" t="s">
        <v>200</v>
      </c>
      <c r="CG17" s="57">
        <v>35648978</v>
      </c>
      <c r="CH17" s="57">
        <v>35307474</v>
      </c>
      <c r="CJ17" s="5" t="s">
        <v>313</v>
      </c>
      <c r="CK17" s="57">
        <v>2897000</v>
      </c>
      <c r="CL17" s="57">
        <v>3004000</v>
      </c>
      <c r="CM17" s="57">
        <v>2948000</v>
      </c>
      <c r="CO17" s="5">
        <v>250</v>
      </c>
      <c r="CP17" s="57">
        <v>264815</v>
      </c>
      <c r="CQ17">
        <v>10</v>
      </c>
      <c r="CS17">
        <v>10</v>
      </c>
      <c r="CT17">
        <f t="shared" si="1"/>
        <v>114</v>
      </c>
      <c r="CU17" t="str">
        <f t="shared" si="2"/>
        <v>レジデンス目白豊島</v>
      </c>
      <c r="CV17" t="str">
        <f t="shared" si="3"/>
        <v>101</v>
      </c>
      <c r="CW17" t="str">
        <f t="shared" si="4"/>
        <v>倉庫</v>
      </c>
      <c r="CX17" t="str">
        <f t="shared" si="5"/>
        <v>倉庫</v>
      </c>
      <c r="CY17">
        <f t="shared" si="6"/>
        <v>264815</v>
      </c>
      <c r="DB17" s="5" t="s">
        <v>314</v>
      </c>
      <c r="DC17">
        <v>22</v>
      </c>
      <c r="DD17">
        <v>1623000</v>
      </c>
      <c r="DF17" s="132" t="s">
        <v>262</v>
      </c>
      <c r="DJ17" s="5" t="s">
        <v>290</v>
      </c>
      <c r="DK17">
        <v>364.27999999999986</v>
      </c>
      <c r="DL17" s="57">
        <v>330468800</v>
      </c>
      <c r="DM17" s="57">
        <v>289150</v>
      </c>
      <c r="DN17" s="57">
        <v>61958</v>
      </c>
      <c r="DO17">
        <v>191.86</v>
      </c>
      <c r="DP17" s="57">
        <v>75806570</v>
      </c>
      <c r="DQ17" s="57">
        <v>148426</v>
      </c>
      <c r="DR17" s="57">
        <v>31805</v>
      </c>
      <c r="DS17">
        <v>556.13999999999987</v>
      </c>
      <c r="DT17" s="57">
        <v>406275370</v>
      </c>
      <c r="DU17" s="57">
        <v>437576</v>
      </c>
      <c r="DV17" s="57">
        <v>93763</v>
      </c>
      <c r="DY17" s="5" t="s">
        <v>290</v>
      </c>
      <c r="DZ17">
        <v>1</v>
      </c>
      <c r="EB17">
        <v>14</v>
      </c>
      <c r="EC17">
        <v>1</v>
      </c>
      <c r="EE17">
        <v>16</v>
      </c>
      <c r="EG17" s="5" t="s">
        <v>313</v>
      </c>
      <c r="EH17" s="57">
        <v>1209934</v>
      </c>
      <c r="EI17" s="57">
        <v>468878</v>
      </c>
      <c r="EJ17" s="57">
        <v>1678812</v>
      </c>
      <c r="EK17" s="57">
        <v>407992887</v>
      </c>
      <c r="EM17" s="133" t="s">
        <v>290</v>
      </c>
      <c r="ES17">
        <v>10</v>
      </c>
      <c r="ET17" t="s">
        <v>270</v>
      </c>
      <c r="EU17" t="s">
        <v>271</v>
      </c>
      <c r="EV17">
        <v>11</v>
      </c>
      <c r="EW17" t="str" cm="1">
        <f t="array" aca="1" ref="EW17" ca="1">INDIRECT("'5借入一覧'!"&amp;ET17&amp;EV17)&amp;INDIRECT("'5借入一覧'!"&amp;EU17&amp;EV17)</f>
        <v/>
      </c>
      <c r="EX17">
        <v>1</v>
      </c>
      <c r="EY17">
        <v>10</v>
      </c>
      <c r="EZ17" t="e">
        <f t="shared" ca="1" si="7"/>
        <v>#N/A</v>
      </c>
      <c r="FA17" t="e">
        <f t="shared" ca="1" si="7"/>
        <v>#N/A</v>
      </c>
      <c r="FB17" t="e">
        <f t="shared" ca="1" si="7"/>
        <v>#N/A</v>
      </c>
      <c r="FC17" t="e">
        <f t="shared" ca="1" si="7"/>
        <v>#N/A</v>
      </c>
      <c r="FD17" t="e">
        <f t="shared" ca="1" si="7"/>
        <v>#N/A</v>
      </c>
      <c r="FE17" t="str">
        <f t="shared" ca="1" si="9"/>
        <v/>
      </c>
      <c r="FF17" t="str">
        <f t="shared" ca="1" si="10"/>
        <v/>
      </c>
      <c r="FG17" t="str">
        <f t="shared" ca="1" si="11"/>
        <v/>
      </c>
      <c r="FH17" t="str">
        <f t="shared" ca="1" si="12"/>
        <v/>
      </c>
      <c r="FI17" t="str">
        <f t="shared" ca="1" si="13"/>
        <v/>
      </c>
      <c r="FJ17" t="str">
        <f t="shared" ca="1" si="14"/>
        <v/>
      </c>
      <c r="FK17" t="str">
        <f t="shared" ca="1" si="8"/>
        <v/>
      </c>
      <c r="FL17" t="str">
        <f t="shared" ca="1" si="15"/>
        <v>無</v>
      </c>
      <c r="FN17" s="132" t="s">
        <v>272</v>
      </c>
      <c r="FO17" s="57">
        <v>2000000</v>
      </c>
    </row>
    <row r="18" spans="1:171">
      <c r="A18" t="s">
        <v>315</v>
      </c>
      <c r="B18" s="146" t="str">
        <f t="shared" si="0"/>
        <v>Pivot16</v>
      </c>
      <c r="C18" t="s">
        <v>149</v>
      </c>
      <c r="D18" t="str">
        <f>"C41"&amp;'3物件一覧'!B34</f>
        <v>C41残債2022年11月5日現在</v>
      </c>
      <c r="J18" s="5" t="s">
        <v>313</v>
      </c>
      <c r="K18" s="57">
        <v>848760</v>
      </c>
      <c r="L18" s="57">
        <v>91716</v>
      </c>
      <c r="M18" s="57">
        <v>282516</v>
      </c>
      <c r="N18" s="57"/>
      <c r="O18" s="57">
        <v>51350</v>
      </c>
      <c r="P18" s="57">
        <v>45672</v>
      </c>
      <c r="Q18" s="57"/>
      <c r="R18" s="57"/>
      <c r="S18" s="57"/>
      <c r="T18" s="57"/>
      <c r="U18" s="57">
        <v>1320014</v>
      </c>
      <c r="V18" s="57"/>
      <c r="W18" s="5" t="s">
        <v>290</v>
      </c>
      <c r="X18">
        <v>52665555</v>
      </c>
      <c r="Y18">
        <v>154821009</v>
      </c>
      <c r="AA18">
        <v>207486564</v>
      </c>
      <c r="AC18" s="5" t="s">
        <v>302</v>
      </c>
      <c r="AD18">
        <v>40681559</v>
      </c>
      <c r="AE18">
        <v>168935000</v>
      </c>
      <c r="AG18">
        <v>209616559</v>
      </c>
      <c r="AI18" s="5" t="s">
        <v>313</v>
      </c>
      <c r="AK18">
        <v>6299558</v>
      </c>
      <c r="AL18">
        <v>744405</v>
      </c>
      <c r="AM18">
        <v>151956</v>
      </c>
      <c r="AP18">
        <v>7195919</v>
      </c>
      <c r="AR18" s="132" t="s">
        <v>285</v>
      </c>
      <c r="AS18" s="57"/>
      <c r="AT18" s="57">
        <v>0</v>
      </c>
      <c r="AU18" s="57"/>
      <c r="AV18" s="57"/>
      <c r="AW18" s="57"/>
      <c r="AX18" s="57"/>
      <c r="AY18" s="57"/>
      <c r="AZ18" s="57"/>
      <c r="BA18" s="57"/>
      <c r="BB18" s="57">
        <v>0</v>
      </c>
      <c r="BC18" s="57"/>
      <c r="BE18" s="57"/>
      <c r="BF18" s="5" t="s">
        <v>295</v>
      </c>
      <c r="BG18" s="57"/>
      <c r="BH18" s="57"/>
      <c r="BI18" s="57"/>
      <c r="BJ18" s="57"/>
      <c r="BK18" s="57">
        <v>846000</v>
      </c>
      <c r="BL18" s="57"/>
      <c r="BM18" s="57">
        <v>0</v>
      </c>
      <c r="BN18" s="57"/>
      <c r="BO18" s="57"/>
      <c r="BP18" s="57">
        <v>846000</v>
      </c>
      <c r="BQ18" s="57"/>
      <c r="BR18" s="57"/>
      <c r="BT18" s="5" t="s">
        <v>295</v>
      </c>
      <c r="BU18" s="57"/>
      <c r="BV18" s="57"/>
      <c r="BW18" s="57"/>
      <c r="BX18" s="57">
        <v>846000</v>
      </c>
      <c r="BY18" s="57"/>
      <c r="BZ18" s="57">
        <v>0</v>
      </c>
      <c r="CA18" s="57"/>
      <c r="CB18" s="57">
        <v>846000</v>
      </c>
      <c r="CC18" s="57"/>
      <c r="CD18" s="57"/>
      <c r="CJ18" s="5" t="s">
        <v>316</v>
      </c>
      <c r="CK18" s="57">
        <v>2801000</v>
      </c>
      <c r="CL18" s="57">
        <v>3092000</v>
      </c>
      <c r="CM18" s="57">
        <v>3109000</v>
      </c>
      <c r="CO18" s="5">
        <v>71</v>
      </c>
      <c r="CP18" s="57">
        <v>220000</v>
      </c>
      <c r="CQ18">
        <v>11</v>
      </c>
      <c r="CS18">
        <v>11</v>
      </c>
      <c r="CT18">
        <f t="shared" si="1"/>
        <v>103</v>
      </c>
      <c r="CU18" t="str">
        <f t="shared" si="2"/>
        <v>カーサ目白台ハウス</v>
      </c>
      <c r="CV18" t="str">
        <f t="shared" si="3"/>
        <v>303</v>
      </c>
      <c r="CW18" t="str">
        <f t="shared" si="4"/>
        <v>住居</v>
      </c>
      <c r="CX18" t="str">
        <f t="shared" si="5"/>
        <v>2LDK</v>
      </c>
      <c r="CY18">
        <f t="shared" si="6"/>
        <v>220000</v>
      </c>
      <c r="DB18" s="5" t="s">
        <v>317</v>
      </c>
      <c r="DC18">
        <v>26</v>
      </c>
      <c r="DD18">
        <v>2172000</v>
      </c>
      <c r="DF18" s="132" t="s">
        <v>198</v>
      </c>
      <c r="DJ18" s="5" t="s">
        <v>295</v>
      </c>
      <c r="DK18">
        <v>343.46</v>
      </c>
      <c r="DL18" s="57">
        <v>10120600</v>
      </c>
      <c r="DM18" s="57">
        <v>141688</v>
      </c>
      <c r="DN18" s="57">
        <v>30361</v>
      </c>
      <c r="DO18">
        <v>179.23</v>
      </c>
      <c r="DP18" s="57">
        <v>75126040</v>
      </c>
      <c r="DQ18" s="57">
        <v>144698</v>
      </c>
      <c r="DR18" s="57">
        <v>31006</v>
      </c>
      <c r="DS18">
        <v>522.68999999999994</v>
      </c>
      <c r="DT18" s="57">
        <v>85246640</v>
      </c>
      <c r="DU18" s="57">
        <v>286386</v>
      </c>
      <c r="DV18" s="57">
        <v>61367</v>
      </c>
      <c r="DY18" s="5" t="s">
        <v>295</v>
      </c>
      <c r="EB18">
        <v>8</v>
      </c>
      <c r="ED18">
        <v>1</v>
      </c>
      <c r="EE18">
        <v>9</v>
      </c>
      <c r="EG18" s="5" t="s">
        <v>316</v>
      </c>
      <c r="EH18" s="57">
        <v>1050252</v>
      </c>
      <c r="EI18" s="57">
        <v>674466</v>
      </c>
      <c r="EJ18" s="57">
        <v>1724718</v>
      </c>
      <c r="EK18" s="57">
        <v>489470974</v>
      </c>
      <c r="EM18" s="133" t="s">
        <v>295</v>
      </c>
      <c r="ES18">
        <v>11</v>
      </c>
      <c r="ET18" t="s">
        <v>270</v>
      </c>
      <c r="EU18" t="s">
        <v>271</v>
      </c>
      <c r="EV18">
        <v>12</v>
      </c>
      <c r="EW18" t="str" cm="1">
        <f t="array" aca="1" ref="EW18" ca="1">INDIRECT("'5借入一覧'!"&amp;ET18&amp;EV18)&amp;INDIRECT("'5借入一覧'!"&amp;EU18&amp;EV18)</f>
        <v/>
      </c>
      <c r="EX18">
        <v>1</v>
      </c>
      <c r="EY18">
        <v>11</v>
      </c>
      <c r="EZ18" t="e">
        <f t="shared" ref="EZ18:FD27" ca="1" si="16">VLOOKUP($EY18&amp;EZ$5,$EW$7:$EX$1101,2,FALSE)</f>
        <v>#N/A</v>
      </c>
      <c r="FA18" t="e">
        <f t="shared" ca="1" si="16"/>
        <v>#N/A</v>
      </c>
      <c r="FB18" t="e">
        <f t="shared" ca="1" si="16"/>
        <v>#N/A</v>
      </c>
      <c r="FC18" t="e">
        <f t="shared" ca="1" si="16"/>
        <v>#N/A</v>
      </c>
      <c r="FD18" t="e">
        <f t="shared" ca="1" si="16"/>
        <v>#N/A</v>
      </c>
      <c r="FE18" t="str">
        <f t="shared" ca="1" si="9"/>
        <v/>
      </c>
      <c r="FF18" t="str">
        <f t="shared" ca="1" si="10"/>
        <v/>
      </c>
      <c r="FG18" t="str">
        <f t="shared" ca="1" si="11"/>
        <v/>
      </c>
      <c r="FH18" t="str">
        <f t="shared" ca="1" si="12"/>
        <v/>
      </c>
      <c r="FI18" t="str">
        <f t="shared" ca="1" si="13"/>
        <v/>
      </c>
      <c r="FJ18" t="str">
        <f t="shared" ca="1" si="14"/>
        <v/>
      </c>
      <c r="FK18" t="str">
        <f t="shared" ca="1" si="8"/>
        <v/>
      </c>
      <c r="FL18" t="str">
        <f t="shared" ca="1" si="15"/>
        <v>無</v>
      </c>
      <c r="FN18" s="5" t="s">
        <v>318</v>
      </c>
      <c r="FO18" s="57">
        <v>11000000</v>
      </c>
    </row>
    <row r="19" spans="1:171">
      <c r="A19" t="s">
        <v>319</v>
      </c>
      <c r="B19" s="146" t="str">
        <f t="shared" si="0"/>
        <v>Pivot17</v>
      </c>
      <c r="C19" t="s">
        <v>158</v>
      </c>
      <c r="D19" t="s">
        <v>148</v>
      </c>
      <c r="J19" s="5" t="s">
        <v>316</v>
      </c>
      <c r="K19" s="57">
        <v>1708080</v>
      </c>
      <c r="L19" s="57">
        <v>382320</v>
      </c>
      <c r="M19" s="57">
        <v>273012</v>
      </c>
      <c r="N19" s="57">
        <v>132000</v>
      </c>
      <c r="O19" s="57">
        <v>44050</v>
      </c>
      <c r="P19" s="57">
        <v>45672</v>
      </c>
      <c r="Q19" s="57"/>
      <c r="R19" s="57"/>
      <c r="S19" s="57"/>
      <c r="T19" s="57"/>
      <c r="U19" s="57">
        <v>2585134</v>
      </c>
      <c r="V19" s="57"/>
      <c r="W19" s="5" t="s">
        <v>295</v>
      </c>
      <c r="X19">
        <v>24151178</v>
      </c>
      <c r="Y19">
        <v>113543242</v>
      </c>
      <c r="AA19">
        <v>137694420</v>
      </c>
      <c r="AC19" s="5" t="s">
        <v>313</v>
      </c>
      <c r="AD19">
        <v>127400532</v>
      </c>
      <c r="AE19">
        <v>335018465</v>
      </c>
      <c r="AG19">
        <v>462418997</v>
      </c>
      <c r="AI19" s="5" t="s">
        <v>316</v>
      </c>
      <c r="AK19">
        <v>6519475</v>
      </c>
      <c r="AL19">
        <v>302954</v>
      </c>
      <c r="AP19">
        <v>6822429</v>
      </c>
      <c r="AR19" s="132" t="s">
        <v>290</v>
      </c>
      <c r="AS19" s="57"/>
      <c r="AT19" s="57"/>
      <c r="AU19" s="57"/>
      <c r="AV19" s="57"/>
      <c r="AW19" s="57"/>
      <c r="AX19" s="57"/>
      <c r="AY19" s="57"/>
      <c r="AZ19" s="57"/>
      <c r="BA19" s="57"/>
      <c r="BB19" s="57"/>
      <c r="BC19" s="57"/>
      <c r="BE19" s="57"/>
      <c r="BF19" s="5" t="s">
        <v>302</v>
      </c>
      <c r="BG19" s="57">
        <v>99000</v>
      </c>
      <c r="BH19" s="57">
        <v>0</v>
      </c>
      <c r="BI19" s="57">
        <v>302500</v>
      </c>
      <c r="BJ19" s="57"/>
      <c r="BK19" s="57">
        <v>1437800</v>
      </c>
      <c r="BL19" s="57"/>
      <c r="BM19" s="57"/>
      <c r="BN19" s="57"/>
      <c r="BO19" s="57"/>
      <c r="BP19" s="57">
        <v>1839300</v>
      </c>
      <c r="BQ19" s="57"/>
      <c r="BR19" s="57"/>
      <c r="BT19" s="5" t="s">
        <v>302</v>
      </c>
      <c r="BU19" s="57">
        <v>99000</v>
      </c>
      <c r="BV19" s="57">
        <v>302500</v>
      </c>
      <c r="BW19" s="57"/>
      <c r="BX19" s="57">
        <v>1437800</v>
      </c>
      <c r="BY19" s="57"/>
      <c r="BZ19" s="57"/>
      <c r="CA19" s="57"/>
      <c r="CB19" s="57">
        <v>1839300</v>
      </c>
      <c r="CC19" s="57"/>
      <c r="CD19" s="57"/>
      <c r="CJ19" s="5" t="s">
        <v>320</v>
      </c>
      <c r="CK19" s="57">
        <v>2820000</v>
      </c>
      <c r="CL19" s="57">
        <v>3096000</v>
      </c>
      <c r="CM19" s="57">
        <v>3072000</v>
      </c>
      <c r="CO19" s="5">
        <v>75</v>
      </c>
      <c r="CP19" s="57">
        <v>218000</v>
      </c>
      <c r="CQ19">
        <v>12</v>
      </c>
      <c r="CS19">
        <v>12</v>
      </c>
      <c r="CT19">
        <f t="shared" si="1"/>
        <v>103</v>
      </c>
      <c r="CU19" t="str">
        <f t="shared" si="2"/>
        <v>カーサ目白台ハウス</v>
      </c>
      <c r="CV19" t="str">
        <f t="shared" si="3"/>
        <v>501</v>
      </c>
      <c r="CW19" t="str">
        <f t="shared" si="4"/>
        <v>住居</v>
      </c>
      <c r="CX19" t="str">
        <f t="shared" si="5"/>
        <v>2LDK</v>
      </c>
      <c r="CY19">
        <f t="shared" si="6"/>
        <v>218000</v>
      </c>
      <c r="DB19" s="5" t="s">
        <v>321</v>
      </c>
      <c r="DC19">
        <v>10</v>
      </c>
      <c r="DD19">
        <v>941612</v>
      </c>
      <c r="DF19" s="5" t="s">
        <v>322</v>
      </c>
      <c r="DG19">
        <v>26</v>
      </c>
      <c r="DH19">
        <v>1040061</v>
      </c>
      <c r="DJ19" s="5" t="s">
        <v>302</v>
      </c>
      <c r="DK19">
        <v>528.42999999999995</v>
      </c>
      <c r="DL19" s="57">
        <v>33429500</v>
      </c>
      <c r="DM19" s="57">
        <v>468013</v>
      </c>
      <c r="DN19" s="57">
        <v>100288</v>
      </c>
      <c r="DO19">
        <v>313.11</v>
      </c>
      <c r="DP19" s="57">
        <v>130723720</v>
      </c>
      <c r="DQ19" s="57">
        <v>270901</v>
      </c>
      <c r="DR19" s="57">
        <v>58050</v>
      </c>
      <c r="DS19">
        <v>841.54</v>
      </c>
      <c r="DT19" s="57">
        <v>164153220</v>
      </c>
      <c r="DU19" s="57">
        <v>738914</v>
      </c>
      <c r="DV19" s="57">
        <v>158338</v>
      </c>
      <c r="DY19" s="5" t="s">
        <v>302</v>
      </c>
      <c r="DZ19">
        <v>1</v>
      </c>
      <c r="EA19">
        <v>1</v>
      </c>
      <c r="EB19">
        <v>22</v>
      </c>
      <c r="EE19">
        <v>24</v>
      </c>
      <c r="EG19" s="5" t="s">
        <v>320</v>
      </c>
      <c r="EH19" s="57">
        <v>970634</v>
      </c>
      <c r="EI19" s="57">
        <v>241754</v>
      </c>
      <c r="EJ19" s="57">
        <v>1212388</v>
      </c>
      <c r="EK19" s="57">
        <v>289146337</v>
      </c>
      <c r="EM19" s="133" t="s">
        <v>302</v>
      </c>
      <c r="ES19">
        <v>12</v>
      </c>
      <c r="ET19" t="s">
        <v>270</v>
      </c>
      <c r="EU19" t="s">
        <v>271</v>
      </c>
      <c r="EV19">
        <v>13</v>
      </c>
      <c r="EW19" t="str" cm="1">
        <f t="array" aca="1" ref="EW19" ca="1">INDIRECT("'5借入一覧'!"&amp;ET19&amp;EV19)&amp;INDIRECT("'5借入一覧'!"&amp;EU19&amp;EV19)</f>
        <v/>
      </c>
      <c r="EX19">
        <v>1</v>
      </c>
      <c r="EY19">
        <v>12</v>
      </c>
      <c r="EZ19" t="e">
        <f t="shared" ca="1" si="16"/>
        <v>#N/A</v>
      </c>
      <c r="FA19" t="e">
        <f t="shared" ca="1" si="16"/>
        <v>#N/A</v>
      </c>
      <c r="FB19" t="e">
        <f t="shared" ca="1" si="16"/>
        <v>#N/A</v>
      </c>
      <c r="FC19" t="e">
        <f t="shared" ca="1" si="16"/>
        <v>#N/A</v>
      </c>
      <c r="FD19" t="e">
        <f t="shared" ca="1" si="16"/>
        <v>#N/A</v>
      </c>
      <c r="FE19" t="str">
        <f t="shared" ca="1" si="9"/>
        <v/>
      </c>
      <c r="FF19" t="str">
        <f t="shared" ca="1" si="10"/>
        <v/>
      </c>
      <c r="FG19" t="str">
        <f t="shared" ca="1" si="11"/>
        <v/>
      </c>
      <c r="FH19" t="str">
        <f t="shared" ca="1" si="12"/>
        <v/>
      </c>
      <c r="FI19" t="str">
        <f t="shared" ca="1" si="13"/>
        <v/>
      </c>
      <c r="FJ19" t="str">
        <f t="shared" ca="1" si="14"/>
        <v/>
      </c>
      <c r="FK19" t="str">
        <f t="shared" ca="1" si="8"/>
        <v/>
      </c>
      <c r="FL19" t="str">
        <f t="shared" ca="1" si="15"/>
        <v>無</v>
      </c>
      <c r="FN19" s="132" t="s">
        <v>272</v>
      </c>
      <c r="FO19" s="57">
        <v>11000000</v>
      </c>
    </row>
    <row r="20" spans="1:171">
      <c r="A20" t="s">
        <v>323</v>
      </c>
      <c r="B20" s="146" t="str">
        <f t="shared" si="0"/>
        <v>Pivot18</v>
      </c>
      <c r="C20" t="s">
        <v>149</v>
      </c>
      <c r="D20" t="s">
        <v>159</v>
      </c>
      <c r="J20" s="5" t="s">
        <v>320</v>
      </c>
      <c r="K20" s="57">
        <v>1801800</v>
      </c>
      <c r="L20" s="57">
        <v>277608</v>
      </c>
      <c r="M20" s="57">
        <v>164676</v>
      </c>
      <c r="N20" s="57"/>
      <c r="O20" s="57">
        <v>45780</v>
      </c>
      <c r="P20" s="57">
        <v>18744</v>
      </c>
      <c r="Q20" s="57"/>
      <c r="R20" s="57"/>
      <c r="S20" s="57"/>
      <c r="T20" s="57"/>
      <c r="U20" s="57">
        <v>2308608</v>
      </c>
      <c r="V20" s="57"/>
      <c r="W20" s="5" t="s">
        <v>302</v>
      </c>
      <c r="X20">
        <v>51870000</v>
      </c>
      <c r="Y20">
        <v>168935000</v>
      </c>
      <c r="AA20">
        <v>220805000</v>
      </c>
      <c r="AC20" s="5" t="s">
        <v>316</v>
      </c>
      <c r="AD20">
        <v>131180095</v>
      </c>
      <c r="AE20">
        <v>400269597</v>
      </c>
      <c r="AG20">
        <v>531449692</v>
      </c>
      <c r="AI20" s="5" t="s">
        <v>320</v>
      </c>
      <c r="AJ20">
        <v>62964</v>
      </c>
      <c r="AK20">
        <v>6359913</v>
      </c>
      <c r="AP20">
        <v>6422877</v>
      </c>
      <c r="AR20" s="132" t="s">
        <v>295</v>
      </c>
      <c r="AS20" s="57"/>
      <c r="AT20" s="57"/>
      <c r="AU20" s="57"/>
      <c r="AV20" s="57"/>
      <c r="AW20" s="57"/>
      <c r="AX20" s="57"/>
      <c r="AY20" s="57"/>
      <c r="AZ20" s="57"/>
      <c r="BA20" s="57"/>
      <c r="BB20" s="57"/>
      <c r="BC20" s="57"/>
      <c r="BE20" s="57"/>
      <c r="BF20" s="5" t="s">
        <v>313</v>
      </c>
      <c r="BG20" s="57"/>
      <c r="BH20" s="57">
        <v>0</v>
      </c>
      <c r="BI20" s="57"/>
      <c r="BJ20" s="57"/>
      <c r="BK20" s="57">
        <v>2984000</v>
      </c>
      <c r="BL20" s="57"/>
      <c r="BM20" s="57">
        <v>22000</v>
      </c>
      <c r="BN20" s="57"/>
      <c r="BO20" s="57"/>
      <c r="BP20" s="57">
        <v>3006000</v>
      </c>
      <c r="BQ20" s="57"/>
      <c r="BR20" s="57"/>
      <c r="BT20" s="5" t="s">
        <v>313</v>
      </c>
      <c r="BU20" s="57"/>
      <c r="BV20" s="57"/>
      <c r="BW20" s="57"/>
      <c r="BX20" s="57">
        <v>2984000</v>
      </c>
      <c r="BY20" s="57"/>
      <c r="BZ20" s="57">
        <v>22000</v>
      </c>
      <c r="CA20" s="57"/>
      <c r="CB20" s="57">
        <v>3006000</v>
      </c>
      <c r="CC20" s="57"/>
      <c r="CD20" s="57"/>
      <c r="CJ20" s="5" t="s">
        <v>324</v>
      </c>
      <c r="CK20" s="57">
        <v>894000</v>
      </c>
      <c r="CL20" s="57">
        <v>868000</v>
      </c>
      <c r="CM20" s="57">
        <v>866000</v>
      </c>
      <c r="CO20" s="5">
        <v>69</v>
      </c>
      <c r="CP20" s="57">
        <v>218000</v>
      </c>
      <c r="CQ20">
        <v>12</v>
      </c>
      <c r="CS20">
        <v>13</v>
      </c>
      <c r="CT20">
        <f t="shared" si="1"/>
        <v>103</v>
      </c>
      <c r="CU20" t="str">
        <f t="shared" si="2"/>
        <v>カーサ目白台ハウス</v>
      </c>
      <c r="CV20" t="str">
        <f t="shared" si="3"/>
        <v>301</v>
      </c>
      <c r="CW20" t="str">
        <f t="shared" si="4"/>
        <v>住居</v>
      </c>
      <c r="CX20" t="str">
        <f t="shared" si="5"/>
        <v>2LDK</v>
      </c>
      <c r="CY20">
        <f t="shared" si="6"/>
        <v>218000</v>
      </c>
      <c r="DB20" s="5" t="s">
        <v>325</v>
      </c>
      <c r="DC20">
        <v>13</v>
      </c>
      <c r="DD20">
        <v>1346853</v>
      </c>
      <c r="DF20" s="132" t="s">
        <v>234</v>
      </c>
      <c r="DG20">
        <v>8</v>
      </c>
      <c r="DH20">
        <v>247035</v>
      </c>
      <c r="DJ20" s="5" t="s">
        <v>313</v>
      </c>
      <c r="DK20">
        <v>1307.01</v>
      </c>
      <c r="DL20" s="57">
        <v>63199800</v>
      </c>
      <c r="DM20" s="57">
        <v>884796</v>
      </c>
      <c r="DN20" s="57">
        <v>189598</v>
      </c>
      <c r="DO20">
        <v>805.94</v>
      </c>
      <c r="DP20" s="57">
        <v>180415820</v>
      </c>
      <c r="DQ20" s="57">
        <v>377500</v>
      </c>
      <c r="DR20" s="57">
        <v>80892</v>
      </c>
      <c r="DS20">
        <v>2112.9499999999998</v>
      </c>
      <c r="DT20" s="57">
        <v>243615620</v>
      </c>
      <c r="DU20" s="57">
        <v>1262296</v>
      </c>
      <c r="DV20" s="57">
        <v>270490</v>
      </c>
      <c r="DY20" s="5" t="s">
        <v>313</v>
      </c>
      <c r="EB20">
        <v>24</v>
      </c>
      <c r="ED20">
        <v>1</v>
      </c>
      <c r="EE20">
        <v>25</v>
      </c>
      <c r="EG20" s="5" t="s">
        <v>324</v>
      </c>
      <c r="EH20" s="57">
        <v>294357</v>
      </c>
      <c r="EI20" s="57">
        <v>191699</v>
      </c>
      <c r="EJ20" s="57">
        <v>486056</v>
      </c>
      <c r="EK20" s="57">
        <v>139123336</v>
      </c>
      <c r="EM20" s="133" t="s">
        <v>4</v>
      </c>
      <c r="ES20">
        <v>13</v>
      </c>
      <c r="ET20" t="s">
        <v>270</v>
      </c>
      <c r="EU20" t="s">
        <v>271</v>
      </c>
      <c r="EV20">
        <v>14</v>
      </c>
      <c r="EW20" t="str" cm="1">
        <f t="array" aca="1" ref="EW20" ca="1">INDIRECT("'5借入一覧'!"&amp;ET20&amp;EV20)&amp;INDIRECT("'5借入一覧'!"&amp;EU20&amp;EV20)</f>
        <v/>
      </c>
      <c r="EX20">
        <v>1</v>
      </c>
      <c r="EY20">
        <v>13</v>
      </c>
      <c r="EZ20" t="e">
        <f t="shared" ca="1" si="16"/>
        <v>#N/A</v>
      </c>
      <c r="FA20" t="e">
        <f t="shared" ca="1" si="16"/>
        <v>#N/A</v>
      </c>
      <c r="FB20" t="e">
        <f t="shared" ca="1" si="16"/>
        <v>#N/A</v>
      </c>
      <c r="FC20" t="e">
        <f t="shared" ca="1" si="16"/>
        <v>#N/A</v>
      </c>
      <c r="FD20" t="e">
        <f t="shared" ca="1" si="16"/>
        <v>#N/A</v>
      </c>
      <c r="FE20" t="str">
        <f t="shared" ca="1" si="9"/>
        <v/>
      </c>
      <c r="FF20" t="str">
        <f t="shared" ca="1" si="10"/>
        <v/>
      </c>
      <c r="FG20" t="str">
        <f t="shared" ca="1" si="11"/>
        <v/>
      </c>
      <c r="FH20" t="str">
        <f t="shared" ca="1" si="12"/>
        <v/>
      </c>
      <c r="FI20" t="str">
        <f t="shared" ca="1" si="13"/>
        <v/>
      </c>
      <c r="FJ20" t="str">
        <f t="shared" ca="1" si="14"/>
        <v/>
      </c>
      <c r="FK20" t="str">
        <f t="shared" ca="1" si="8"/>
        <v/>
      </c>
      <c r="FL20" t="str">
        <f t="shared" ca="1" si="15"/>
        <v>無</v>
      </c>
      <c r="FN20" s="5" t="s">
        <v>326</v>
      </c>
      <c r="FO20" s="57">
        <v>5170500000</v>
      </c>
    </row>
    <row r="21" spans="1:171">
      <c r="A21" t="s">
        <v>116</v>
      </c>
      <c r="B21" s="146" t="str">
        <f t="shared" si="0"/>
        <v>Pivot19</v>
      </c>
      <c r="C21" t="s">
        <v>153</v>
      </c>
      <c r="D21" t="s">
        <v>141</v>
      </c>
      <c r="E21" t="s">
        <v>219</v>
      </c>
      <c r="F21" t="s">
        <v>259</v>
      </c>
      <c r="G21" t="s">
        <v>221</v>
      </c>
      <c r="H21" t="s">
        <v>222</v>
      </c>
      <c r="J21" s="5" t="s">
        <v>324</v>
      </c>
      <c r="K21" s="57">
        <v>303600</v>
      </c>
      <c r="L21" s="57">
        <v>121512</v>
      </c>
      <c r="M21" s="57">
        <v>43704</v>
      </c>
      <c r="N21" s="57">
        <v>15840</v>
      </c>
      <c r="O21" s="57">
        <v>13630</v>
      </c>
      <c r="P21" s="57">
        <v>18744</v>
      </c>
      <c r="Q21" s="57"/>
      <c r="R21" s="57"/>
      <c r="S21" s="57"/>
      <c r="T21" s="57"/>
      <c r="U21" s="57">
        <v>517030</v>
      </c>
      <c r="V21" s="57"/>
      <c r="W21" s="5" t="s">
        <v>313</v>
      </c>
      <c r="X21">
        <v>149989486</v>
      </c>
      <c r="Y21">
        <v>335018465</v>
      </c>
      <c r="AA21">
        <v>485007951</v>
      </c>
      <c r="AC21" s="5" t="s">
        <v>320</v>
      </c>
      <c r="AD21">
        <v>142832573</v>
      </c>
      <c r="AE21">
        <v>262709157</v>
      </c>
      <c r="AG21">
        <v>405541730</v>
      </c>
      <c r="AI21" s="5" t="s">
        <v>324</v>
      </c>
      <c r="AK21">
        <v>1410700</v>
      </c>
      <c r="AL21">
        <v>227130</v>
      </c>
      <c r="AP21">
        <v>1637830</v>
      </c>
      <c r="AR21" s="132" t="s">
        <v>302</v>
      </c>
      <c r="AS21" s="57"/>
      <c r="AT21" s="57">
        <v>0</v>
      </c>
      <c r="AU21" s="57"/>
      <c r="AV21" s="57"/>
      <c r="AW21" s="57"/>
      <c r="AX21" s="57"/>
      <c r="AY21" s="57"/>
      <c r="AZ21" s="57"/>
      <c r="BA21" s="57"/>
      <c r="BB21" s="57">
        <v>0</v>
      </c>
      <c r="BC21" s="57"/>
      <c r="BE21" s="57"/>
      <c r="BF21" s="5" t="s">
        <v>316</v>
      </c>
      <c r="BG21" s="57"/>
      <c r="BH21" s="57">
        <v>0</v>
      </c>
      <c r="BI21" s="57"/>
      <c r="BJ21" s="57"/>
      <c r="BK21" s="57">
        <v>3026000</v>
      </c>
      <c r="BL21" s="57"/>
      <c r="BM21" s="57">
        <v>72000</v>
      </c>
      <c r="BN21" s="57"/>
      <c r="BO21" s="57"/>
      <c r="BP21" s="57">
        <v>3098000</v>
      </c>
      <c r="BQ21" s="57"/>
      <c r="BR21" s="57"/>
      <c r="BT21" s="5" t="s">
        <v>316</v>
      </c>
      <c r="BU21" s="57"/>
      <c r="BV21" s="57"/>
      <c r="BW21" s="57"/>
      <c r="BX21" s="57">
        <v>3026000</v>
      </c>
      <c r="BY21" s="57"/>
      <c r="BZ21" s="57">
        <v>72000</v>
      </c>
      <c r="CA21" s="57"/>
      <c r="CB21" s="57">
        <v>3098000</v>
      </c>
      <c r="CC21" s="57"/>
      <c r="CD21" s="57"/>
      <c r="CJ21" s="5" t="s">
        <v>327</v>
      </c>
      <c r="CK21" s="57">
        <v>2500000</v>
      </c>
      <c r="CL21" s="57">
        <v>2300000</v>
      </c>
      <c r="CM21" s="57">
        <v>2300000</v>
      </c>
      <c r="CO21" s="5">
        <v>72</v>
      </c>
      <c r="CP21" s="57">
        <v>208000</v>
      </c>
      <c r="CQ21">
        <v>13</v>
      </c>
      <c r="CS21">
        <v>14</v>
      </c>
      <c r="CT21">
        <f t="shared" si="1"/>
        <v>103</v>
      </c>
      <c r="CU21" t="str">
        <f t="shared" si="2"/>
        <v>カーサ目白台ハウス</v>
      </c>
      <c r="CV21" t="str">
        <f t="shared" si="3"/>
        <v>401</v>
      </c>
      <c r="CW21" t="str">
        <f t="shared" si="4"/>
        <v>住居</v>
      </c>
      <c r="CX21" t="str">
        <f t="shared" si="5"/>
        <v>2LDK</v>
      </c>
      <c r="CY21">
        <f t="shared" si="6"/>
        <v>208000</v>
      </c>
      <c r="DB21" s="5" t="s">
        <v>328</v>
      </c>
      <c r="DC21">
        <v>12</v>
      </c>
      <c r="DD21">
        <v>1370037</v>
      </c>
      <c r="DF21" s="132" t="s">
        <v>193</v>
      </c>
      <c r="DJ21" s="5" t="s">
        <v>316</v>
      </c>
      <c r="DK21">
        <v>1110.3399999999999</v>
      </c>
      <c r="DL21" s="57">
        <v>75934400</v>
      </c>
      <c r="DM21" s="57">
        <v>1063081</v>
      </c>
      <c r="DN21" s="57">
        <v>227803</v>
      </c>
      <c r="DO21">
        <v>732.25</v>
      </c>
      <c r="DP21" s="57">
        <v>263268590</v>
      </c>
      <c r="DQ21" s="57">
        <v>520012</v>
      </c>
      <c r="DR21" s="57">
        <v>111430</v>
      </c>
      <c r="DS21">
        <v>1842.59</v>
      </c>
      <c r="DT21" s="57">
        <v>339202990</v>
      </c>
      <c r="DU21" s="57">
        <v>1583093</v>
      </c>
      <c r="DV21" s="57">
        <v>339233</v>
      </c>
      <c r="DY21" s="5" t="s">
        <v>316</v>
      </c>
      <c r="EB21">
        <v>34</v>
      </c>
      <c r="ED21">
        <v>2</v>
      </c>
      <c r="EE21">
        <v>36</v>
      </c>
      <c r="EG21" s="5" t="s">
        <v>327</v>
      </c>
      <c r="EH21" s="57">
        <v>1111644</v>
      </c>
      <c r="EI21" s="57">
        <v>398578</v>
      </c>
      <c r="EJ21" s="57">
        <v>1510222</v>
      </c>
      <c r="EK21" s="57">
        <v>366807279</v>
      </c>
      <c r="EM21" s="133" t="s">
        <v>272</v>
      </c>
      <c r="ES21">
        <v>14</v>
      </c>
      <c r="ET21" t="s">
        <v>270</v>
      </c>
      <c r="EU21" t="s">
        <v>271</v>
      </c>
      <c r="EV21">
        <v>15</v>
      </c>
      <c r="EW21" t="str" cm="1">
        <f t="array" aca="1" ref="EW21" ca="1">INDIRECT("'5借入一覧'!"&amp;ET21&amp;EV21)&amp;INDIRECT("'5借入一覧'!"&amp;EU21&amp;EV21)</f>
        <v/>
      </c>
      <c r="EX21">
        <v>1</v>
      </c>
      <c r="EY21">
        <v>14</v>
      </c>
      <c r="EZ21" t="e">
        <f t="shared" ca="1" si="16"/>
        <v>#N/A</v>
      </c>
      <c r="FA21" t="e">
        <f t="shared" ca="1" si="16"/>
        <v>#N/A</v>
      </c>
      <c r="FB21" t="e">
        <f t="shared" ca="1" si="16"/>
        <v>#N/A</v>
      </c>
      <c r="FC21" t="e">
        <f t="shared" ca="1" si="16"/>
        <v>#N/A</v>
      </c>
      <c r="FD21" t="e">
        <f t="shared" ca="1" si="16"/>
        <v>#N/A</v>
      </c>
      <c r="FE21" t="str">
        <f t="shared" ca="1" si="9"/>
        <v/>
      </c>
      <c r="FF21" t="str">
        <f t="shared" ca="1" si="10"/>
        <v/>
      </c>
      <c r="FG21" t="str">
        <f t="shared" ca="1" si="11"/>
        <v/>
      </c>
      <c r="FH21" t="str">
        <f t="shared" ca="1" si="12"/>
        <v/>
      </c>
      <c r="FI21" t="str">
        <f t="shared" ca="1" si="13"/>
        <v/>
      </c>
      <c r="FJ21" t="str">
        <f t="shared" ca="1" si="14"/>
        <v/>
      </c>
      <c r="FK21" t="str">
        <f t="shared" ca="1" si="8"/>
        <v/>
      </c>
      <c r="FL21" t="str">
        <f t="shared" ca="1" si="15"/>
        <v>無</v>
      </c>
      <c r="FN21" s="132" t="s">
        <v>216</v>
      </c>
      <c r="FO21" s="57">
        <v>180000000</v>
      </c>
    </row>
    <row r="22" spans="1:171">
      <c r="A22" t="s">
        <v>329</v>
      </c>
      <c r="B22" s="146" t="str">
        <f t="shared" si="0"/>
        <v>Pivot20</v>
      </c>
      <c r="C22" t="s">
        <v>150</v>
      </c>
      <c r="D22" t="s">
        <v>330</v>
      </c>
      <c r="J22" s="5" t="s">
        <v>327</v>
      </c>
      <c r="K22" s="57">
        <v>659419</v>
      </c>
      <c r="L22" s="57"/>
      <c r="M22" s="57"/>
      <c r="N22" s="57"/>
      <c r="O22" s="57">
        <v>10340</v>
      </c>
      <c r="P22" s="57"/>
      <c r="Q22" s="57"/>
      <c r="R22" s="57"/>
      <c r="S22" s="57"/>
      <c r="T22" s="57"/>
      <c r="U22" s="57">
        <v>669759</v>
      </c>
      <c r="V22" s="57"/>
      <c r="W22" s="5" t="s">
        <v>316</v>
      </c>
      <c r="X22">
        <v>155225603</v>
      </c>
      <c r="Y22">
        <v>400269597</v>
      </c>
      <c r="AA22">
        <v>555495200</v>
      </c>
      <c r="AC22" s="5" t="s">
        <v>324</v>
      </c>
      <c r="AD22">
        <v>30483564</v>
      </c>
      <c r="AE22">
        <v>120828203</v>
      </c>
      <c r="AG22">
        <v>151311767</v>
      </c>
      <c r="AI22" s="5" t="s">
        <v>327</v>
      </c>
      <c r="AK22">
        <v>4817807</v>
      </c>
      <c r="AP22">
        <v>4817807</v>
      </c>
      <c r="AR22" s="132" t="s">
        <v>313</v>
      </c>
      <c r="AS22" s="57"/>
      <c r="AT22" s="57">
        <v>0</v>
      </c>
      <c r="AU22" s="57"/>
      <c r="AV22" s="57"/>
      <c r="AW22" s="57"/>
      <c r="AX22" s="57"/>
      <c r="AY22" s="57"/>
      <c r="AZ22" s="57"/>
      <c r="BA22" s="57"/>
      <c r="BB22" s="57">
        <v>0</v>
      </c>
      <c r="BC22" s="57"/>
      <c r="BE22" s="57"/>
      <c r="BF22" s="5" t="s">
        <v>320</v>
      </c>
      <c r="BG22" s="57">
        <v>13200</v>
      </c>
      <c r="BH22" s="57">
        <v>0</v>
      </c>
      <c r="BI22" s="57"/>
      <c r="BJ22" s="57"/>
      <c r="BK22" s="57">
        <v>3084000</v>
      </c>
      <c r="BL22" s="57"/>
      <c r="BM22" s="57"/>
      <c r="BN22" s="57"/>
      <c r="BO22" s="57"/>
      <c r="BP22" s="57">
        <v>3097200</v>
      </c>
      <c r="BQ22" s="57"/>
      <c r="BR22" s="57"/>
      <c r="BT22" s="5" t="s">
        <v>320</v>
      </c>
      <c r="BU22" s="57">
        <v>13200</v>
      </c>
      <c r="BV22" s="57"/>
      <c r="BW22" s="57"/>
      <c r="BX22" s="57">
        <v>3084000</v>
      </c>
      <c r="BY22" s="57"/>
      <c r="BZ22" s="57"/>
      <c r="CA22" s="57"/>
      <c r="CB22" s="57">
        <v>3097200</v>
      </c>
      <c r="CC22" s="57"/>
      <c r="CD22" s="57"/>
      <c r="CJ22" s="5" t="s">
        <v>291</v>
      </c>
      <c r="CK22" s="57">
        <v>2602124</v>
      </c>
      <c r="CL22" s="57">
        <v>2783347</v>
      </c>
      <c r="CM22" s="57">
        <v>2804220</v>
      </c>
      <c r="CO22" s="5">
        <v>70</v>
      </c>
      <c r="CP22" s="57">
        <v>208000</v>
      </c>
      <c r="CQ22">
        <v>13</v>
      </c>
      <c r="CS22">
        <v>15</v>
      </c>
      <c r="CT22">
        <f t="shared" si="1"/>
        <v>103</v>
      </c>
      <c r="CU22" t="str">
        <f t="shared" si="2"/>
        <v>カーサ目白台ハウス</v>
      </c>
      <c r="CV22" t="str">
        <f t="shared" si="3"/>
        <v>302</v>
      </c>
      <c r="CW22" t="str">
        <f t="shared" si="4"/>
        <v>住居</v>
      </c>
      <c r="CX22" t="str">
        <f t="shared" si="5"/>
        <v>2DK</v>
      </c>
      <c r="CY22">
        <f t="shared" si="6"/>
        <v>208000</v>
      </c>
      <c r="DB22" s="5" t="s">
        <v>331</v>
      </c>
      <c r="DC22">
        <v>23</v>
      </c>
      <c r="DD22">
        <v>2874000</v>
      </c>
      <c r="DF22" s="132" t="s">
        <v>260</v>
      </c>
      <c r="DG22">
        <v>3</v>
      </c>
      <c r="DH22">
        <v>223886</v>
      </c>
      <c r="DJ22" s="5" t="s">
        <v>320</v>
      </c>
      <c r="DK22">
        <v>1133.51</v>
      </c>
      <c r="DL22" s="57">
        <v>77454600</v>
      </c>
      <c r="DM22" s="57">
        <v>1084364</v>
      </c>
      <c r="DN22" s="57">
        <v>232363</v>
      </c>
      <c r="DO22">
        <v>286.89999999999998</v>
      </c>
      <c r="DP22" s="57">
        <v>149184550</v>
      </c>
      <c r="DQ22" s="57">
        <v>287722</v>
      </c>
      <c r="DR22" s="57">
        <v>61654</v>
      </c>
      <c r="DS22">
        <v>1420.4099999999999</v>
      </c>
      <c r="DT22" s="57">
        <v>226639150</v>
      </c>
      <c r="DU22" s="57">
        <v>1372086</v>
      </c>
      <c r="DV22" s="57">
        <v>294017</v>
      </c>
      <c r="DY22" s="5" t="s">
        <v>320</v>
      </c>
      <c r="EA22">
        <v>1</v>
      </c>
      <c r="EB22">
        <v>21</v>
      </c>
      <c r="EE22">
        <v>22</v>
      </c>
      <c r="EG22" s="5" t="s">
        <v>291</v>
      </c>
      <c r="EH22" s="57">
        <v>995627</v>
      </c>
      <c r="EI22" s="57">
        <v>166971</v>
      </c>
      <c r="EJ22" s="57">
        <v>1162598</v>
      </c>
      <c r="EK22" s="57">
        <v>199606609</v>
      </c>
      <c r="EM22" s="133" t="s">
        <v>313</v>
      </c>
      <c r="ES22">
        <v>15</v>
      </c>
      <c r="ET22" t="s">
        <v>270</v>
      </c>
      <c r="EU22" t="s">
        <v>271</v>
      </c>
      <c r="EV22">
        <v>16</v>
      </c>
      <c r="EW22" t="str" cm="1">
        <f t="array" aca="1" ref="EW22" ca="1">INDIRECT("'5借入一覧'!"&amp;ET22&amp;EV22)&amp;INDIRECT("'5借入一覧'!"&amp;EU22&amp;EV22)</f>
        <v/>
      </c>
      <c r="EX22">
        <v>1</v>
      </c>
      <c r="EY22">
        <v>15</v>
      </c>
      <c r="EZ22" t="e">
        <f t="shared" ca="1" si="16"/>
        <v>#N/A</v>
      </c>
      <c r="FA22" t="e">
        <f t="shared" ca="1" si="16"/>
        <v>#N/A</v>
      </c>
      <c r="FB22" t="e">
        <f t="shared" ca="1" si="16"/>
        <v>#N/A</v>
      </c>
      <c r="FC22" t="e">
        <f t="shared" ca="1" si="16"/>
        <v>#N/A</v>
      </c>
      <c r="FD22" t="e">
        <f t="shared" ca="1" si="16"/>
        <v>#N/A</v>
      </c>
      <c r="FE22" t="str">
        <f t="shared" ca="1" si="9"/>
        <v/>
      </c>
      <c r="FF22" t="str">
        <f t="shared" ca="1" si="10"/>
        <v/>
      </c>
      <c r="FG22" t="str">
        <f t="shared" ca="1" si="11"/>
        <v/>
      </c>
      <c r="FH22" t="str">
        <f t="shared" ca="1" si="12"/>
        <v/>
      </c>
      <c r="FI22" t="str">
        <f t="shared" ca="1" si="13"/>
        <v/>
      </c>
      <c r="FJ22" t="str">
        <f t="shared" ca="1" si="14"/>
        <v/>
      </c>
      <c r="FK22" t="str">
        <f t="shared" ca="1" si="8"/>
        <v/>
      </c>
      <c r="FL22" t="str">
        <f t="shared" ca="1" si="15"/>
        <v>無</v>
      </c>
      <c r="FN22" s="132" t="s">
        <v>237</v>
      </c>
      <c r="FO22" s="57">
        <v>413500000</v>
      </c>
    </row>
    <row r="23" spans="1:171">
      <c r="J23" s="5" t="s">
        <v>291</v>
      </c>
      <c r="K23" s="57">
        <v>1157640</v>
      </c>
      <c r="L23" s="57">
        <v>217104</v>
      </c>
      <c r="M23" s="57">
        <v>162288</v>
      </c>
      <c r="N23" s="57"/>
      <c r="O23" s="57">
        <v>20710</v>
      </c>
      <c r="P23" s="57">
        <v>22836</v>
      </c>
      <c r="Q23" s="57"/>
      <c r="R23" s="57"/>
      <c r="S23" s="57"/>
      <c r="T23" s="57"/>
      <c r="U23" s="57">
        <v>1580578</v>
      </c>
      <c r="V23" s="57"/>
      <c r="W23" s="5" t="s">
        <v>332</v>
      </c>
      <c r="X23">
        <v>3756438</v>
      </c>
      <c r="AA23">
        <v>3756438</v>
      </c>
      <c r="AC23" s="5" t="s">
        <v>327</v>
      </c>
      <c r="AD23">
        <v>98680532</v>
      </c>
      <c r="AE23">
        <v>316421235</v>
      </c>
      <c r="AG23">
        <v>415101767</v>
      </c>
      <c r="AI23" s="5" t="s">
        <v>291</v>
      </c>
      <c r="AK23">
        <v>8734332</v>
      </c>
      <c r="AL23">
        <v>1646415</v>
      </c>
      <c r="AM23">
        <v>80146</v>
      </c>
      <c r="AP23">
        <v>10460893</v>
      </c>
      <c r="AR23" s="132" t="s">
        <v>316</v>
      </c>
      <c r="AS23" s="57"/>
      <c r="AT23" s="57">
        <v>0</v>
      </c>
      <c r="AU23" s="57"/>
      <c r="AV23" s="57"/>
      <c r="AW23" s="57"/>
      <c r="AX23" s="57"/>
      <c r="AY23" s="57"/>
      <c r="AZ23" s="57"/>
      <c r="BA23" s="57"/>
      <c r="BB23" s="57">
        <v>0</v>
      </c>
      <c r="BC23" s="57"/>
      <c r="BE23" s="57"/>
      <c r="BF23" s="5" t="s">
        <v>324</v>
      </c>
      <c r="BG23" s="57"/>
      <c r="BH23" s="57">
        <v>0</v>
      </c>
      <c r="BI23" s="57"/>
      <c r="BJ23" s="57">
        <v>0</v>
      </c>
      <c r="BK23" s="57">
        <v>868000</v>
      </c>
      <c r="BL23" s="57"/>
      <c r="BM23" s="57"/>
      <c r="BN23" s="57"/>
      <c r="BO23" s="57"/>
      <c r="BP23" s="57">
        <v>868000</v>
      </c>
      <c r="BQ23" s="57"/>
      <c r="BR23" s="57"/>
      <c r="BT23" s="5" t="s">
        <v>324</v>
      </c>
      <c r="BU23" s="57"/>
      <c r="BV23" s="57"/>
      <c r="BW23" s="57">
        <v>0</v>
      </c>
      <c r="BX23" s="57">
        <v>868000</v>
      </c>
      <c r="BY23" s="57"/>
      <c r="BZ23" s="57"/>
      <c r="CA23" s="57"/>
      <c r="CB23" s="57">
        <v>868000</v>
      </c>
      <c r="CC23" s="57"/>
      <c r="CD23" s="57"/>
      <c r="CJ23" s="5" t="s">
        <v>333</v>
      </c>
      <c r="CK23" s="57">
        <v>1863350</v>
      </c>
      <c r="CL23" s="57">
        <v>1862034</v>
      </c>
      <c r="CM23" s="57">
        <v>1856107</v>
      </c>
      <c r="CO23" s="5">
        <v>76</v>
      </c>
      <c r="CP23" s="57">
        <v>198000</v>
      </c>
      <c r="CQ23">
        <v>14</v>
      </c>
      <c r="CS23">
        <v>16</v>
      </c>
      <c r="CT23">
        <f t="shared" si="1"/>
        <v>103</v>
      </c>
      <c r="CU23" t="str">
        <f t="shared" si="2"/>
        <v>カーサ目白台ハウス</v>
      </c>
      <c r="CV23" t="str">
        <f t="shared" si="3"/>
        <v>502</v>
      </c>
      <c r="CW23" t="str">
        <f t="shared" si="4"/>
        <v>住居</v>
      </c>
      <c r="CX23" t="str">
        <f t="shared" si="5"/>
        <v>1LDK</v>
      </c>
      <c r="CY23">
        <f t="shared" si="6"/>
        <v>198000</v>
      </c>
      <c r="DB23" s="5" t="s">
        <v>334</v>
      </c>
      <c r="DC23">
        <v>32</v>
      </c>
      <c r="DD23">
        <v>4269000</v>
      </c>
      <c r="DF23" s="132" t="s">
        <v>261</v>
      </c>
      <c r="DG23">
        <v>1</v>
      </c>
      <c r="DH23">
        <v>0</v>
      </c>
      <c r="DJ23" s="5" t="s">
        <v>324</v>
      </c>
      <c r="DK23">
        <v>349.27</v>
      </c>
      <c r="DL23" s="57">
        <v>18910900</v>
      </c>
      <c r="DM23" s="57">
        <v>264752</v>
      </c>
      <c r="DN23" s="57">
        <v>56732</v>
      </c>
      <c r="DO23">
        <v>306.83000000000004</v>
      </c>
      <c r="DP23" s="57">
        <v>79056190</v>
      </c>
      <c r="DQ23" s="57">
        <v>167336</v>
      </c>
      <c r="DR23" s="57">
        <v>35857</v>
      </c>
      <c r="DS23">
        <v>656.1</v>
      </c>
      <c r="DT23" s="57">
        <v>97967090</v>
      </c>
      <c r="DU23" s="57">
        <v>432088</v>
      </c>
      <c r="DV23" s="57">
        <v>92589</v>
      </c>
      <c r="DY23" s="5" t="s">
        <v>324</v>
      </c>
      <c r="EB23">
        <v>9</v>
      </c>
      <c r="EE23">
        <v>9</v>
      </c>
      <c r="EG23" s="5" t="s">
        <v>333</v>
      </c>
      <c r="EH23" s="57">
        <v>692442</v>
      </c>
      <c r="EI23" s="57">
        <v>247247</v>
      </c>
      <c r="EJ23" s="57">
        <v>939689</v>
      </c>
      <c r="EK23" s="57">
        <v>227542871</v>
      </c>
      <c r="EM23" s="133" t="s">
        <v>316</v>
      </c>
      <c r="ES23">
        <v>16</v>
      </c>
      <c r="ET23" t="s">
        <v>270</v>
      </c>
      <c r="EU23" t="s">
        <v>271</v>
      </c>
      <c r="EV23">
        <v>17</v>
      </c>
      <c r="EW23" t="str" cm="1">
        <f t="array" aca="1" ref="EW23" ca="1">INDIRECT("'5借入一覧'!"&amp;ET23&amp;EV23)&amp;INDIRECT("'5借入一覧'!"&amp;EU23&amp;EV23)</f>
        <v/>
      </c>
      <c r="EX23">
        <v>1</v>
      </c>
      <c r="EY23">
        <v>16</v>
      </c>
      <c r="EZ23" t="e">
        <f t="shared" ca="1" si="16"/>
        <v>#N/A</v>
      </c>
      <c r="FA23" t="e">
        <f t="shared" ca="1" si="16"/>
        <v>#N/A</v>
      </c>
      <c r="FB23" t="e">
        <f t="shared" ca="1" si="16"/>
        <v>#N/A</v>
      </c>
      <c r="FC23" t="e">
        <f t="shared" ca="1" si="16"/>
        <v>#N/A</v>
      </c>
      <c r="FD23" t="e">
        <f t="shared" ca="1" si="16"/>
        <v>#N/A</v>
      </c>
      <c r="FE23" t="str">
        <f t="shared" ca="1" si="9"/>
        <v/>
      </c>
      <c r="FF23" t="str">
        <f t="shared" ca="1" si="10"/>
        <v/>
      </c>
      <c r="FG23" t="str">
        <f t="shared" ca="1" si="11"/>
        <v/>
      </c>
      <c r="FH23" t="str">
        <f t="shared" ca="1" si="12"/>
        <v/>
      </c>
      <c r="FI23" t="str">
        <f t="shared" ca="1" si="13"/>
        <v/>
      </c>
      <c r="FJ23" t="str">
        <f t="shared" ca="1" si="14"/>
        <v/>
      </c>
      <c r="FK23" t="str">
        <f t="shared" ca="1" si="8"/>
        <v/>
      </c>
      <c r="FL23" t="str">
        <f t="shared" ca="1" si="15"/>
        <v>無</v>
      </c>
      <c r="FN23" s="132" t="s">
        <v>268</v>
      </c>
      <c r="FO23" s="57">
        <v>369000000</v>
      </c>
    </row>
    <row r="24" spans="1:171">
      <c r="J24" s="5" t="s">
        <v>333</v>
      </c>
      <c r="K24" s="57">
        <v>838200</v>
      </c>
      <c r="L24" s="57">
        <v>136284</v>
      </c>
      <c r="M24" s="57">
        <v>245880</v>
      </c>
      <c r="N24" s="57"/>
      <c r="O24" s="57">
        <v>19920</v>
      </c>
      <c r="P24" s="57">
        <v>18744</v>
      </c>
      <c r="Q24" s="57"/>
      <c r="R24" s="57"/>
      <c r="S24" s="57"/>
      <c r="T24" s="57"/>
      <c r="U24" s="57">
        <v>1259028</v>
      </c>
      <c r="V24" s="57"/>
      <c r="W24" s="5" t="s">
        <v>320</v>
      </c>
      <c r="X24">
        <v>187056281</v>
      </c>
      <c r="Y24">
        <v>262709157</v>
      </c>
      <c r="AA24">
        <v>449765438</v>
      </c>
      <c r="AC24" s="5" t="s">
        <v>291</v>
      </c>
      <c r="AD24">
        <v>70902303</v>
      </c>
      <c r="AE24">
        <v>192559845</v>
      </c>
      <c r="AG24">
        <v>263462148</v>
      </c>
      <c r="AI24" s="5" t="s">
        <v>333</v>
      </c>
      <c r="AK24">
        <v>4300138</v>
      </c>
      <c r="AP24">
        <v>4300138</v>
      </c>
      <c r="AR24" s="132" t="s">
        <v>320</v>
      </c>
      <c r="AS24" s="57"/>
      <c r="AT24" s="57">
        <v>0</v>
      </c>
      <c r="AU24" s="57"/>
      <c r="AV24" s="57"/>
      <c r="AW24" s="57"/>
      <c r="AX24" s="57"/>
      <c r="AY24" s="57"/>
      <c r="AZ24" s="57"/>
      <c r="BA24" s="57"/>
      <c r="BB24" s="57">
        <v>0</v>
      </c>
      <c r="BC24" s="57"/>
      <c r="BE24" s="57"/>
      <c r="BF24" s="5" t="s">
        <v>327</v>
      </c>
      <c r="BG24" s="57"/>
      <c r="BH24" s="57"/>
      <c r="BI24" s="57">
        <v>2530000</v>
      </c>
      <c r="BJ24" s="57"/>
      <c r="BK24" s="57"/>
      <c r="BL24" s="57"/>
      <c r="BM24" s="57"/>
      <c r="BN24" s="57"/>
      <c r="BO24" s="57"/>
      <c r="BP24" s="57">
        <v>2530000</v>
      </c>
      <c r="BQ24" s="57"/>
      <c r="BR24" s="57"/>
      <c r="BT24" s="5" t="s">
        <v>327</v>
      </c>
      <c r="BU24" s="57"/>
      <c r="BV24" s="57">
        <v>2530000</v>
      </c>
      <c r="BW24" s="57"/>
      <c r="BX24" s="57"/>
      <c r="BY24" s="57"/>
      <c r="BZ24" s="57"/>
      <c r="CA24" s="57"/>
      <c r="CB24" s="57">
        <v>2530000</v>
      </c>
      <c r="CC24" s="57"/>
      <c r="CD24" s="57"/>
      <c r="CJ24" s="5" t="s">
        <v>296</v>
      </c>
      <c r="CK24" s="57">
        <v>330000</v>
      </c>
      <c r="CL24" s="57">
        <v>330000</v>
      </c>
      <c r="CM24" s="57">
        <v>330000</v>
      </c>
      <c r="CO24" s="5">
        <v>73</v>
      </c>
      <c r="CP24" s="57">
        <v>198000</v>
      </c>
      <c r="CQ24">
        <v>14</v>
      </c>
      <c r="CS24">
        <v>17</v>
      </c>
      <c r="CT24">
        <f t="shared" si="1"/>
        <v>103</v>
      </c>
      <c r="CU24" t="str">
        <f t="shared" si="2"/>
        <v>カーサ目白台ハウス</v>
      </c>
      <c r="CV24" t="str">
        <f t="shared" si="3"/>
        <v>402</v>
      </c>
      <c r="CW24" t="str">
        <f t="shared" si="4"/>
        <v>住居</v>
      </c>
      <c r="CX24" t="str">
        <f t="shared" si="5"/>
        <v>2LDK</v>
      </c>
      <c r="CY24">
        <f t="shared" si="6"/>
        <v>198000</v>
      </c>
      <c r="DB24" s="5" t="s">
        <v>335</v>
      </c>
      <c r="DC24">
        <v>8</v>
      </c>
      <c r="DD24">
        <v>1143000</v>
      </c>
      <c r="DF24" s="132" t="s">
        <v>235</v>
      </c>
      <c r="DG24">
        <v>1</v>
      </c>
      <c r="DH24">
        <v>17600</v>
      </c>
      <c r="DJ24" s="5" t="s">
        <v>327</v>
      </c>
      <c r="DK24">
        <v>491.32</v>
      </c>
      <c r="DL24" s="57">
        <v>39293700</v>
      </c>
      <c r="DM24" s="57">
        <v>0</v>
      </c>
      <c r="DN24" s="57">
        <v>0</v>
      </c>
      <c r="DO24">
        <v>143.13</v>
      </c>
      <c r="DP24" s="57">
        <v>147431050</v>
      </c>
      <c r="DQ24" s="57">
        <v>785817</v>
      </c>
      <c r="DR24" s="57">
        <v>168388</v>
      </c>
      <c r="DS24">
        <v>634.45000000000005</v>
      </c>
      <c r="DT24" s="57">
        <v>186724750</v>
      </c>
      <c r="DU24" s="57">
        <v>785817</v>
      </c>
      <c r="DV24" s="57">
        <v>168388</v>
      </c>
      <c r="DY24" s="5" t="s">
        <v>327</v>
      </c>
      <c r="DZ24">
        <v>1</v>
      </c>
      <c r="EE24">
        <v>1</v>
      </c>
      <c r="EG24" s="5" t="s">
        <v>198</v>
      </c>
      <c r="EH24" s="57"/>
      <c r="EI24" s="57"/>
      <c r="EJ24" s="57"/>
      <c r="EK24" s="57"/>
      <c r="EM24" s="133" t="s">
        <v>320</v>
      </c>
      <c r="ES24">
        <v>17</v>
      </c>
      <c r="ET24" t="s">
        <v>270</v>
      </c>
      <c r="EU24" t="s">
        <v>271</v>
      </c>
      <c r="EV24">
        <v>18</v>
      </c>
      <c r="EW24" t="str" cm="1">
        <f t="array" aca="1" ref="EW24" ca="1">INDIRECT("'5借入一覧'!"&amp;ET24&amp;EV24)&amp;INDIRECT("'5借入一覧'!"&amp;EU24&amp;EV24)</f>
        <v/>
      </c>
      <c r="EX24">
        <v>1</v>
      </c>
      <c r="EY24">
        <v>17</v>
      </c>
      <c r="EZ24" t="e">
        <f t="shared" ca="1" si="16"/>
        <v>#N/A</v>
      </c>
      <c r="FA24" t="e">
        <f t="shared" ca="1" si="16"/>
        <v>#N/A</v>
      </c>
      <c r="FB24" t="e">
        <f t="shared" ca="1" si="16"/>
        <v>#N/A</v>
      </c>
      <c r="FC24" t="e">
        <f t="shared" ca="1" si="16"/>
        <v>#N/A</v>
      </c>
      <c r="FD24" t="e">
        <f t="shared" ca="1" si="16"/>
        <v>#N/A</v>
      </c>
      <c r="FE24" t="str">
        <f t="shared" ca="1" si="9"/>
        <v/>
      </c>
      <c r="FF24" t="str">
        <f t="shared" ca="1" si="10"/>
        <v/>
      </c>
      <c r="FG24" t="str">
        <f t="shared" ca="1" si="11"/>
        <v/>
      </c>
      <c r="FH24" t="str">
        <f t="shared" ca="1" si="12"/>
        <v/>
      </c>
      <c r="FI24" t="str">
        <f t="shared" ca="1" si="13"/>
        <v/>
      </c>
      <c r="FJ24" t="str">
        <f t="shared" ca="1" si="14"/>
        <v/>
      </c>
      <c r="FK24" t="str">
        <f t="shared" ca="1" si="8"/>
        <v/>
      </c>
      <c r="FL24" t="str">
        <f t="shared" ca="1" si="15"/>
        <v>無</v>
      </c>
      <c r="FN24" s="132" t="s">
        <v>276</v>
      </c>
      <c r="FO24" s="57">
        <v>530000000</v>
      </c>
    </row>
    <row r="25" spans="1:171">
      <c r="J25" s="5" t="s">
        <v>198</v>
      </c>
      <c r="K25" s="57"/>
      <c r="L25" s="57"/>
      <c r="M25" s="57"/>
      <c r="N25" s="57"/>
      <c r="O25" s="57"/>
      <c r="P25" s="57"/>
      <c r="Q25" s="57"/>
      <c r="R25" s="57"/>
      <c r="S25" s="57"/>
      <c r="T25" s="57"/>
      <c r="U25" s="57"/>
      <c r="V25" s="57"/>
      <c r="W25" s="5" t="s">
        <v>324</v>
      </c>
      <c r="X25">
        <v>33588101</v>
      </c>
      <c r="Y25">
        <v>120828203</v>
      </c>
      <c r="AA25">
        <v>154416304</v>
      </c>
      <c r="AC25" s="5" t="s">
        <v>333</v>
      </c>
      <c r="AD25">
        <v>34281663</v>
      </c>
      <c r="AE25">
        <v>252984606</v>
      </c>
      <c r="AG25">
        <v>287266269</v>
      </c>
      <c r="AI25" s="5" t="s">
        <v>198</v>
      </c>
      <c r="AR25" s="132" t="s">
        <v>324</v>
      </c>
      <c r="AS25" s="57"/>
      <c r="AT25" s="57">
        <v>0</v>
      </c>
      <c r="AU25" s="57"/>
      <c r="AV25" s="57"/>
      <c r="AW25" s="57"/>
      <c r="AX25" s="57"/>
      <c r="AY25" s="57"/>
      <c r="AZ25" s="57"/>
      <c r="BA25" s="57"/>
      <c r="BB25" s="57">
        <v>0</v>
      </c>
      <c r="BC25" s="57"/>
      <c r="BE25" s="57"/>
      <c r="BF25" s="5" t="s">
        <v>291</v>
      </c>
      <c r="BG25" s="57">
        <v>35524</v>
      </c>
      <c r="BH25" s="57">
        <v>0</v>
      </c>
      <c r="BI25" s="57"/>
      <c r="BJ25" s="57"/>
      <c r="BK25" s="57">
        <v>2385298</v>
      </c>
      <c r="BL25" s="57"/>
      <c r="BM25" s="57">
        <v>77000</v>
      </c>
      <c r="BN25" s="57">
        <v>99000</v>
      </c>
      <c r="BO25" s="57"/>
      <c r="BP25" s="57">
        <v>2596822</v>
      </c>
      <c r="BQ25" s="57"/>
      <c r="BR25" s="57"/>
      <c r="BT25" s="5" t="s">
        <v>291</v>
      </c>
      <c r="BU25" s="57">
        <v>35524</v>
      </c>
      <c r="BV25" s="57"/>
      <c r="BW25" s="57"/>
      <c r="BX25" s="57">
        <v>2385298</v>
      </c>
      <c r="BY25" s="57"/>
      <c r="BZ25" s="57">
        <v>77000</v>
      </c>
      <c r="CA25" s="57">
        <v>99000</v>
      </c>
      <c r="CB25" s="57">
        <v>2596822</v>
      </c>
      <c r="CC25" s="57"/>
      <c r="CD25" s="57"/>
      <c r="CJ25" s="5" t="s">
        <v>336</v>
      </c>
      <c r="CK25" s="57">
        <v>160000</v>
      </c>
      <c r="CL25" s="57">
        <v>160000</v>
      </c>
      <c r="CM25" s="57">
        <v>160000</v>
      </c>
      <c r="CO25" s="5">
        <v>66</v>
      </c>
      <c r="CP25" s="57">
        <v>198000</v>
      </c>
      <c r="CQ25">
        <v>14</v>
      </c>
      <c r="CS25">
        <v>18</v>
      </c>
      <c r="CT25">
        <f t="shared" si="1"/>
        <v>103</v>
      </c>
      <c r="CU25" t="str">
        <f t="shared" si="2"/>
        <v>カーサ目白台ハウス</v>
      </c>
      <c r="CV25" t="str">
        <f t="shared" si="3"/>
        <v>201</v>
      </c>
      <c r="CW25" t="str">
        <f t="shared" si="4"/>
        <v>店舗</v>
      </c>
      <c r="CX25" t="str">
        <f t="shared" si="5"/>
        <v>事務所</v>
      </c>
      <c r="CY25">
        <f t="shared" si="6"/>
        <v>198000</v>
      </c>
      <c r="DB25" s="5" t="s">
        <v>337</v>
      </c>
      <c r="DC25">
        <v>11</v>
      </c>
      <c r="DD25">
        <v>1673000</v>
      </c>
      <c r="DF25" s="132" t="s">
        <v>236</v>
      </c>
      <c r="DG25">
        <v>12</v>
      </c>
      <c r="DH25">
        <v>452540</v>
      </c>
      <c r="DJ25" s="5" t="s">
        <v>291</v>
      </c>
      <c r="DK25">
        <v>1072.93</v>
      </c>
      <c r="DL25" s="57">
        <v>42218400</v>
      </c>
      <c r="DM25" s="57">
        <v>591057</v>
      </c>
      <c r="DN25" s="57">
        <v>126655</v>
      </c>
      <c r="DO25">
        <v>342.64</v>
      </c>
      <c r="DP25" s="57">
        <v>102949060</v>
      </c>
      <c r="DQ25" s="57">
        <v>203175</v>
      </c>
      <c r="DR25" s="57">
        <v>43537</v>
      </c>
      <c r="DS25">
        <v>1415.5700000000002</v>
      </c>
      <c r="DT25" s="57">
        <v>145167460</v>
      </c>
      <c r="DU25" s="57">
        <v>794232</v>
      </c>
      <c r="DV25" s="57">
        <v>170192</v>
      </c>
      <c r="DY25" s="5" t="s">
        <v>291</v>
      </c>
      <c r="DZ25">
        <v>1</v>
      </c>
      <c r="EA25">
        <v>2</v>
      </c>
      <c r="EB25">
        <v>24</v>
      </c>
      <c r="ED25">
        <v>2</v>
      </c>
      <c r="EE25">
        <v>29</v>
      </c>
      <c r="EG25" s="5" t="s">
        <v>296</v>
      </c>
      <c r="EH25" s="57">
        <v>49298</v>
      </c>
      <c r="EI25" s="57">
        <v>14364</v>
      </c>
      <c r="EJ25" s="57">
        <v>63662</v>
      </c>
      <c r="EK25" s="57">
        <v>9268450</v>
      </c>
      <c r="EM25" s="133" t="s">
        <v>324</v>
      </c>
      <c r="ES25">
        <v>18</v>
      </c>
      <c r="ET25" t="s">
        <v>270</v>
      </c>
      <c r="EU25" t="s">
        <v>271</v>
      </c>
      <c r="EV25">
        <v>19</v>
      </c>
      <c r="EW25" t="str" cm="1">
        <f t="array" aca="1" ref="EW25" ca="1">INDIRECT("'5借入一覧'!"&amp;ET25&amp;EV25)&amp;INDIRECT("'5借入一覧'!"&amp;EU25&amp;EV25)</f>
        <v/>
      </c>
      <c r="EX25">
        <v>1</v>
      </c>
      <c r="EY25">
        <v>18</v>
      </c>
      <c r="EZ25" t="e">
        <f t="shared" ca="1" si="16"/>
        <v>#N/A</v>
      </c>
      <c r="FA25" t="e">
        <f t="shared" ca="1" si="16"/>
        <v>#N/A</v>
      </c>
      <c r="FB25" t="e">
        <f t="shared" ca="1" si="16"/>
        <v>#N/A</v>
      </c>
      <c r="FC25" t="e">
        <f t="shared" ca="1" si="16"/>
        <v>#N/A</v>
      </c>
      <c r="FD25" t="e">
        <f t="shared" ca="1" si="16"/>
        <v>#N/A</v>
      </c>
      <c r="FE25" t="str">
        <f t="shared" ca="1" si="9"/>
        <v/>
      </c>
      <c r="FF25" t="str">
        <f t="shared" ca="1" si="10"/>
        <v/>
      </c>
      <c r="FG25" t="str">
        <f t="shared" ca="1" si="11"/>
        <v/>
      </c>
      <c r="FH25" t="str">
        <f t="shared" ca="1" si="12"/>
        <v/>
      </c>
      <c r="FI25" t="str">
        <f t="shared" ca="1" si="13"/>
        <v/>
      </c>
      <c r="FJ25" t="str">
        <f t="shared" ca="1" si="14"/>
        <v/>
      </c>
      <c r="FK25" t="str">
        <f t="shared" ca="1" si="8"/>
        <v/>
      </c>
      <c r="FL25" t="str">
        <f t="shared" ca="1" si="15"/>
        <v>無</v>
      </c>
      <c r="FN25" s="132" t="s">
        <v>281</v>
      </c>
      <c r="FO25" s="57">
        <v>102000000</v>
      </c>
    </row>
    <row r="26" spans="1:171">
      <c r="J26" s="5" t="s">
        <v>296</v>
      </c>
      <c r="K26" s="57">
        <v>240000</v>
      </c>
      <c r="L26" s="57"/>
      <c r="M26" s="57"/>
      <c r="N26" s="57"/>
      <c r="O26" s="57"/>
      <c r="P26" s="57"/>
      <c r="Q26" s="57"/>
      <c r="R26" s="57"/>
      <c r="S26" s="57"/>
      <c r="T26" s="57"/>
      <c r="U26" s="57">
        <v>240000</v>
      </c>
      <c r="V26" s="57"/>
      <c r="W26" s="5" t="s">
        <v>327</v>
      </c>
      <c r="X26">
        <v>126784406</v>
      </c>
      <c r="Y26">
        <v>316421235</v>
      </c>
      <c r="AA26">
        <v>443205641</v>
      </c>
      <c r="AC26" s="5" t="s">
        <v>198</v>
      </c>
      <c r="AI26" s="5" t="s">
        <v>296</v>
      </c>
      <c r="AK26">
        <v>2500000</v>
      </c>
      <c r="AN26">
        <v>0</v>
      </c>
      <c r="AP26">
        <v>2500000</v>
      </c>
      <c r="AR26" s="132" t="s">
        <v>327</v>
      </c>
      <c r="AS26" s="57"/>
      <c r="AT26" s="57"/>
      <c r="AU26" s="57"/>
      <c r="AV26" s="57"/>
      <c r="AW26" s="57"/>
      <c r="AX26" s="57"/>
      <c r="AY26" s="57"/>
      <c r="AZ26" s="57"/>
      <c r="BA26" s="57"/>
      <c r="BB26" s="57"/>
      <c r="BC26" s="57"/>
      <c r="BE26" s="57"/>
      <c r="BF26" s="5" t="s">
        <v>333</v>
      </c>
      <c r="BG26" s="57"/>
      <c r="BH26" s="57"/>
      <c r="BI26" s="57"/>
      <c r="BJ26" s="57"/>
      <c r="BK26" s="57">
        <v>1758634</v>
      </c>
      <c r="BL26" s="57"/>
      <c r="BM26" s="57">
        <v>113740</v>
      </c>
      <c r="BN26" s="57"/>
      <c r="BO26" s="57"/>
      <c r="BP26" s="57">
        <v>1872374</v>
      </c>
      <c r="BQ26" s="57"/>
      <c r="BR26" s="57"/>
      <c r="BT26" s="5" t="s">
        <v>296</v>
      </c>
      <c r="BU26" s="57"/>
      <c r="BV26" s="57"/>
      <c r="BW26" s="57"/>
      <c r="BX26" s="57">
        <v>330000</v>
      </c>
      <c r="BY26" s="57"/>
      <c r="BZ26" s="57"/>
      <c r="CA26" s="57"/>
      <c r="CB26" s="57">
        <v>330000</v>
      </c>
      <c r="CC26" s="57"/>
      <c r="CD26" s="57"/>
      <c r="CJ26" s="5" t="s">
        <v>286</v>
      </c>
      <c r="CK26" s="57">
        <v>295000</v>
      </c>
      <c r="CL26" s="57">
        <v>295000</v>
      </c>
      <c r="CM26" s="57">
        <v>295000</v>
      </c>
      <c r="CO26" s="5">
        <v>274</v>
      </c>
      <c r="CP26" s="57">
        <v>192093</v>
      </c>
      <c r="CQ26">
        <v>15</v>
      </c>
      <c r="CS26">
        <v>19</v>
      </c>
      <c r="CT26">
        <f t="shared" si="1"/>
        <v>115</v>
      </c>
      <c r="CU26" t="str">
        <f t="shared" si="2"/>
        <v>コアプラス大塚</v>
      </c>
      <c r="CV26" t="str">
        <f t="shared" si="3"/>
        <v>101</v>
      </c>
      <c r="CW26" t="str">
        <f t="shared" si="4"/>
        <v>店舗</v>
      </c>
      <c r="CX26" t="str">
        <f t="shared" si="5"/>
        <v>店舗</v>
      </c>
      <c r="CY26">
        <f t="shared" si="6"/>
        <v>192093</v>
      </c>
      <c r="DB26" s="5" t="s">
        <v>338</v>
      </c>
      <c r="DC26">
        <v>10</v>
      </c>
      <c r="DD26">
        <v>1635000</v>
      </c>
      <c r="DF26" s="132" t="s">
        <v>262</v>
      </c>
      <c r="DG26">
        <v>1</v>
      </c>
      <c r="DH26">
        <v>99000</v>
      </c>
      <c r="DJ26" s="5" t="s">
        <v>333</v>
      </c>
      <c r="DK26">
        <v>496.02</v>
      </c>
      <c r="DL26" s="57">
        <v>23300500</v>
      </c>
      <c r="DM26" s="57">
        <v>326207</v>
      </c>
      <c r="DN26" s="57">
        <v>69901</v>
      </c>
      <c r="DO26">
        <v>278.70999999999998</v>
      </c>
      <c r="DP26" s="57">
        <v>136851060</v>
      </c>
      <c r="DQ26" s="57">
        <v>276361</v>
      </c>
      <c r="DR26" s="57">
        <v>59220</v>
      </c>
      <c r="DS26">
        <v>774.73</v>
      </c>
      <c r="DT26" s="57">
        <v>160151560</v>
      </c>
      <c r="DU26" s="57">
        <v>602568</v>
      </c>
      <c r="DV26" s="57">
        <v>129121</v>
      </c>
      <c r="DY26" s="5" t="s">
        <v>333</v>
      </c>
      <c r="EB26">
        <v>10</v>
      </c>
      <c r="ED26">
        <v>11</v>
      </c>
      <c r="EE26">
        <v>21</v>
      </c>
      <c r="EG26" s="5" t="s">
        <v>286</v>
      </c>
      <c r="EH26" s="57">
        <v>496340</v>
      </c>
      <c r="EI26" s="57">
        <v>264250</v>
      </c>
      <c r="EJ26" s="57">
        <v>760590</v>
      </c>
      <c r="EK26" s="57">
        <v>108163551</v>
      </c>
      <c r="EM26" s="133" t="s">
        <v>327</v>
      </c>
      <c r="ES26">
        <v>19</v>
      </c>
      <c r="ET26" t="s">
        <v>270</v>
      </c>
      <c r="EU26" t="s">
        <v>271</v>
      </c>
      <c r="EV26">
        <v>20</v>
      </c>
      <c r="EW26" t="str" cm="1">
        <f t="array" aca="1" ref="EW26" ca="1">INDIRECT("'5借入一覧'!"&amp;ET26&amp;EV26)&amp;INDIRECT("'5借入一覧'!"&amp;EU26&amp;EV26)</f>
        <v/>
      </c>
      <c r="EX26">
        <v>1</v>
      </c>
      <c r="EY26">
        <v>19</v>
      </c>
      <c r="EZ26" t="e">
        <f t="shared" ca="1" si="16"/>
        <v>#N/A</v>
      </c>
      <c r="FA26" t="e">
        <f t="shared" ca="1" si="16"/>
        <v>#N/A</v>
      </c>
      <c r="FB26" t="e">
        <f t="shared" ca="1" si="16"/>
        <v>#N/A</v>
      </c>
      <c r="FC26" t="e">
        <f t="shared" ca="1" si="16"/>
        <v>#N/A</v>
      </c>
      <c r="FD26" t="e">
        <f t="shared" ca="1" si="16"/>
        <v>#N/A</v>
      </c>
      <c r="FE26" t="str">
        <f t="shared" ca="1" si="9"/>
        <v/>
      </c>
      <c r="FF26" t="str">
        <f t="shared" ca="1" si="10"/>
        <v/>
      </c>
      <c r="FG26" t="str">
        <f t="shared" ca="1" si="11"/>
        <v/>
      </c>
      <c r="FH26" t="str">
        <f t="shared" ca="1" si="12"/>
        <v/>
      </c>
      <c r="FI26" t="str">
        <f t="shared" ca="1" si="13"/>
        <v/>
      </c>
      <c r="FJ26" t="str">
        <f t="shared" ca="1" si="14"/>
        <v/>
      </c>
      <c r="FK26" t="str">
        <f t="shared" ca="1" si="8"/>
        <v/>
      </c>
      <c r="FL26" t="str">
        <f t="shared" ca="1" si="15"/>
        <v>無</v>
      </c>
      <c r="FN26" s="132" t="s">
        <v>285</v>
      </c>
      <c r="FO26" s="57">
        <v>392000000</v>
      </c>
    </row>
    <row r="27" spans="1:171">
      <c r="J27" s="5" t="s">
        <v>336</v>
      </c>
      <c r="K27" s="57">
        <v>240000</v>
      </c>
      <c r="L27" s="57"/>
      <c r="M27" s="57"/>
      <c r="N27" s="57"/>
      <c r="O27" s="57"/>
      <c r="P27" s="57"/>
      <c r="Q27" s="57"/>
      <c r="R27" s="57"/>
      <c r="S27" s="57"/>
      <c r="T27" s="57"/>
      <c r="U27" s="57">
        <v>240000</v>
      </c>
      <c r="W27" s="5" t="s">
        <v>291</v>
      </c>
      <c r="X27">
        <v>113432893</v>
      </c>
      <c r="Y27">
        <v>192559845</v>
      </c>
      <c r="AA27">
        <v>305992738</v>
      </c>
      <c r="AC27" s="5" t="s">
        <v>296</v>
      </c>
      <c r="AD27">
        <v>51251000</v>
      </c>
      <c r="AE27">
        <v>5112000</v>
      </c>
      <c r="AG27">
        <v>56363000</v>
      </c>
      <c r="AI27" s="5" t="s">
        <v>336</v>
      </c>
      <c r="AK27">
        <v>2000000</v>
      </c>
      <c r="AN27">
        <v>0</v>
      </c>
      <c r="AP27">
        <v>2000000</v>
      </c>
      <c r="AR27" s="132" t="s">
        <v>291</v>
      </c>
      <c r="AS27" s="57"/>
      <c r="AT27" s="57">
        <v>0</v>
      </c>
      <c r="AU27" s="57"/>
      <c r="AV27" s="57"/>
      <c r="AW27" s="57"/>
      <c r="AX27" s="57"/>
      <c r="AY27" s="57"/>
      <c r="AZ27" s="57"/>
      <c r="BA27" s="57"/>
      <c r="BB27" s="57">
        <v>0</v>
      </c>
      <c r="BC27" s="57"/>
      <c r="BE27" s="57"/>
      <c r="BF27" s="5" t="s">
        <v>198</v>
      </c>
      <c r="BG27" s="57"/>
      <c r="BH27" s="57"/>
      <c r="BI27" s="57"/>
      <c r="BJ27" s="57"/>
      <c r="BK27" s="57"/>
      <c r="BL27" s="57"/>
      <c r="BM27" s="57"/>
      <c r="BN27" s="57"/>
      <c r="BO27" s="57"/>
      <c r="BP27" s="57"/>
      <c r="BQ27" s="57"/>
      <c r="BR27" s="57"/>
      <c r="BT27" s="5" t="s">
        <v>336</v>
      </c>
      <c r="BU27" s="57"/>
      <c r="BV27" s="57"/>
      <c r="BW27" s="57"/>
      <c r="BX27" s="57">
        <v>160000</v>
      </c>
      <c r="BY27" s="57"/>
      <c r="BZ27" s="57"/>
      <c r="CA27" s="57"/>
      <c r="CB27" s="57">
        <v>160000</v>
      </c>
      <c r="CC27" s="57"/>
      <c r="CD27" s="57"/>
      <c r="CJ27" s="5" t="s">
        <v>200</v>
      </c>
      <c r="CK27" s="57">
        <v>33723144</v>
      </c>
      <c r="CL27" s="57">
        <v>35268300</v>
      </c>
      <c r="CM27" s="57">
        <v>35159540</v>
      </c>
      <c r="CO27" s="5">
        <v>295</v>
      </c>
      <c r="CP27" s="57">
        <v>190000</v>
      </c>
      <c r="CQ27">
        <v>16</v>
      </c>
      <c r="CS27">
        <v>20</v>
      </c>
      <c r="CT27">
        <f t="shared" si="1"/>
        <v>117</v>
      </c>
      <c r="CU27" t="str">
        <f t="shared" si="2"/>
        <v>高田馬場第4玉川ビル</v>
      </c>
      <c r="CV27" t="str">
        <f t="shared" si="3"/>
        <v>101</v>
      </c>
      <c r="CW27" t="str">
        <f t="shared" si="4"/>
        <v>住居</v>
      </c>
      <c r="CX27" t="str">
        <f t="shared" si="5"/>
        <v>2SLDK</v>
      </c>
      <c r="CY27">
        <f t="shared" si="6"/>
        <v>190000</v>
      </c>
      <c r="DB27" s="5" t="s">
        <v>339</v>
      </c>
      <c r="DC27">
        <v>4</v>
      </c>
      <c r="DD27">
        <v>685000</v>
      </c>
      <c r="DF27" s="132" t="s">
        <v>198</v>
      </c>
      <c r="DJ27" s="5" t="s">
        <v>198</v>
      </c>
      <c r="DL27" s="57"/>
      <c r="DM27" s="57"/>
      <c r="DN27" s="57"/>
      <c r="DP27" s="57"/>
      <c r="DQ27" s="57"/>
      <c r="DR27" s="57"/>
      <c r="DT27" s="57"/>
      <c r="DU27" s="57"/>
      <c r="DV27" s="57"/>
      <c r="DY27" s="5" t="s">
        <v>198</v>
      </c>
      <c r="EG27" s="5" t="s">
        <v>340</v>
      </c>
      <c r="EH27" s="57">
        <v>213926</v>
      </c>
      <c r="EI27" s="57">
        <v>100486</v>
      </c>
      <c r="EJ27" s="57">
        <v>314412</v>
      </c>
      <c r="EK27" s="57">
        <v>75151106</v>
      </c>
      <c r="EM27" s="133" t="s">
        <v>291</v>
      </c>
      <c r="ES27">
        <v>20</v>
      </c>
      <c r="ET27" t="s">
        <v>270</v>
      </c>
      <c r="EU27" t="s">
        <v>271</v>
      </c>
      <c r="EV27">
        <v>21</v>
      </c>
      <c r="EW27" t="str" cm="1">
        <f t="array" aca="1" ref="EW27" ca="1">INDIRECT("'5借入一覧'!"&amp;ET27&amp;EV27)&amp;INDIRECT("'5借入一覧'!"&amp;EU27&amp;EV27)</f>
        <v/>
      </c>
      <c r="EX27">
        <v>1</v>
      </c>
      <c r="EY27">
        <v>20</v>
      </c>
      <c r="EZ27" t="e">
        <f t="shared" ca="1" si="16"/>
        <v>#N/A</v>
      </c>
      <c r="FA27" t="e">
        <f t="shared" ca="1" si="16"/>
        <v>#N/A</v>
      </c>
      <c r="FB27" t="e">
        <f t="shared" ca="1" si="16"/>
        <v>#N/A</v>
      </c>
      <c r="FC27" t="e">
        <f t="shared" ca="1" si="16"/>
        <v>#N/A</v>
      </c>
      <c r="FD27" t="e">
        <f t="shared" ca="1" si="16"/>
        <v>#N/A</v>
      </c>
      <c r="FE27" t="str">
        <f t="shared" ca="1" si="9"/>
        <v/>
      </c>
      <c r="FF27" t="str">
        <f t="shared" ca="1" si="10"/>
        <v/>
      </c>
      <c r="FG27" t="str">
        <f t="shared" ca="1" si="11"/>
        <v/>
      </c>
      <c r="FH27" t="str">
        <f t="shared" ca="1" si="12"/>
        <v/>
      </c>
      <c r="FI27" t="str">
        <f t="shared" ca="1" si="13"/>
        <v/>
      </c>
      <c r="FJ27" t="str">
        <f t="shared" ca="1" si="14"/>
        <v/>
      </c>
      <c r="FK27" t="str">
        <f t="shared" ca="1" si="8"/>
        <v/>
      </c>
      <c r="FL27" t="str">
        <f t="shared" ca="1" si="15"/>
        <v>無</v>
      </c>
      <c r="FN27" s="132" t="s">
        <v>290</v>
      </c>
      <c r="FO27" s="57">
        <v>189000000</v>
      </c>
    </row>
    <row r="28" spans="1:171">
      <c r="J28" s="5" t="s">
        <v>286</v>
      </c>
      <c r="K28" s="57"/>
      <c r="L28" s="57"/>
      <c r="M28" s="57"/>
      <c r="N28" s="57"/>
      <c r="O28" s="57">
        <v>7360</v>
      </c>
      <c r="P28" s="57"/>
      <c r="Q28" s="57">
        <v>163200</v>
      </c>
      <c r="R28" s="57">
        <v>174000</v>
      </c>
      <c r="S28" s="57"/>
      <c r="T28" s="57"/>
      <c r="U28" s="57">
        <v>344560</v>
      </c>
      <c r="W28" s="5" t="s">
        <v>333</v>
      </c>
      <c r="X28">
        <v>59724146</v>
      </c>
      <c r="Y28">
        <v>252984606</v>
      </c>
      <c r="AA28">
        <v>312708752</v>
      </c>
      <c r="AC28" s="5" t="s">
        <v>336</v>
      </c>
      <c r="AD28">
        <v>31236000</v>
      </c>
      <c r="AE28">
        <v>5241000</v>
      </c>
      <c r="AG28">
        <v>36477000</v>
      </c>
      <c r="AI28" s="5" t="s">
        <v>286</v>
      </c>
      <c r="AK28">
        <v>1131918</v>
      </c>
      <c r="AL28">
        <v>574046</v>
      </c>
      <c r="AP28">
        <v>1705964</v>
      </c>
      <c r="AR28" s="132" t="s">
        <v>333</v>
      </c>
      <c r="AS28" s="57"/>
      <c r="AT28" s="57"/>
      <c r="AU28" s="57"/>
      <c r="AV28" s="57"/>
      <c r="AW28" s="57"/>
      <c r="AX28" s="57"/>
      <c r="AY28" s="57"/>
      <c r="AZ28" s="57"/>
      <c r="BA28" s="57"/>
      <c r="BB28" s="57"/>
      <c r="BC28" s="57"/>
      <c r="BE28" s="57"/>
      <c r="BF28" s="5" t="s">
        <v>296</v>
      </c>
      <c r="BG28" s="57"/>
      <c r="BH28" s="57"/>
      <c r="BI28" s="57"/>
      <c r="BJ28" s="57"/>
      <c r="BK28" s="57">
        <v>330000</v>
      </c>
      <c r="BL28" s="57"/>
      <c r="BM28" s="57"/>
      <c r="BN28" s="57"/>
      <c r="BO28" s="57"/>
      <c r="BP28" s="57">
        <v>330000</v>
      </c>
      <c r="BQ28" s="57"/>
      <c r="BR28" s="57"/>
      <c r="BT28" s="5" t="s">
        <v>333</v>
      </c>
      <c r="BU28" s="57"/>
      <c r="BV28" s="57"/>
      <c r="BW28" s="57"/>
      <c r="BX28" s="57">
        <v>1758634</v>
      </c>
      <c r="BY28" s="57"/>
      <c r="BZ28" s="57">
        <v>113740</v>
      </c>
      <c r="CA28" s="57"/>
      <c r="CB28" s="57">
        <v>1872374</v>
      </c>
      <c r="CC28" s="57"/>
      <c r="CD28" s="57"/>
      <c r="CO28" s="5">
        <v>64</v>
      </c>
      <c r="CP28" s="57">
        <v>189444</v>
      </c>
      <c r="CQ28">
        <v>17</v>
      </c>
      <c r="CS28">
        <v>21</v>
      </c>
      <c r="CT28">
        <f t="shared" si="1"/>
        <v>103</v>
      </c>
      <c r="CU28" t="str">
        <f t="shared" si="2"/>
        <v>カーサ目白台ハウス</v>
      </c>
      <c r="CV28" t="str">
        <f t="shared" si="3"/>
        <v>102</v>
      </c>
      <c r="CW28" t="str">
        <f t="shared" si="4"/>
        <v>事務所</v>
      </c>
      <c r="CX28" t="str">
        <f t="shared" si="5"/>
        <v>事務所</v>
      </c>
      <c r="CY28">
        <f t="shared" si="6"/>
        <v>189444</v>
      </c>
      <c r="DB28" s="5" t="s">
        <v>341</v>
      </c>
      <c r="DC28">
        <v>4</v>
      </c>
      <c r="DD28">
        <v>725000</v>
      </c>
      <c r="DF28" s="5" t="s">
        <v>342</v>
      </c>
      <c r="DG28">
        <v>8</v>
      </c>
      <c r="DH28">
        <v>1406085</v>
      </c>
      <c r="DJ28" s="5" t="s">
        <v>296</v>
      </c>
      <c r="DK28">
        <v>79</v>
      </c>
      <c r="DL28" s="57">
        <v>79056190</v>
      </c>
      <c r="DM28" s="57">
        <v>167336</v>
      </c>
      <c r="DN28" s="57">
        <v>35857</v>
      </c>
      <c r="DO28">
        <v>79</v>
      </c>
      <c r="DP28" s="57">
        <v>18910900</v>
      </c>
      <c r="DQ28" s="57">
        <v>264752</v>
      </c>
      <c r="DR28" s="57">
        <v>56732</v>
      </c>
      <c r="DS28">
        <v>158</v>
      </c>
      <c r="DT28" s="57">
        <v>97967090</v>
      </c>
      <c r="DU28" s="57">
        <v>432088</v>
      </c>
      <c r="DV28" s="57">
        <v>92589</v>
      </c>
      <c r="DY28" s="5" t="s">
        <v>296</v>
      </c>
      <c r="EB28">
        <v>1</v>
      </c>
      <c r="EE28">
        <v>1</v>
      </c>
      <c r="EG28" s="5" t="s">
        <v>200</v>
      </c>
      <c r="EH28" s="57">
        <v>12955677</v>
      </c>
      <c r="EI28" s="57">
        <v>5043759</v>
      </c>
      <c r="EJ28" s="57">
        <v>17999436</v>
      </c>
      <c r="EK28" s="57">
        <v>4439492417</v>
      </c>
      <c r="EM28" s="133" t="s">
        <v>333</v>
      </c>
      <c r="ES28">
        <v>21</v>
      </c>
      <c r="ET28" t="s">
        <v>270</v>
      </c>
      <c r="EU28" t="s">
        <v>271</v>
      </c>
      <c r="EV28">
        <v>22</v>
      </c>
      <c r="EW28" t="str" cm="1">
        <f t="array" aca="1" ref="EW28" ca="1">INDIRECT("'5借入一覧'!"&amp;ET28&amp;EV28)&amp;INDIRECT("'5借入一覧'!"&amp;EU28&amp;EV28)</f>
        <v/>
      </c>
      <c r="EX28">
        <v>1</v>
      </c>
      <c r="EY28">
        <v>21</v>
      </c>
      <c r="EZ28" t="e">
        <f t="shared" ref="EZ28:FD37" ca="1" si="17">VLOOKUP($EY28&amp;EZ$5,$EW$7:$EX$1101,2,FALSE)</f>
        <v>#N/A</v>
      </c>
      <c r="FA28" t="e">
        <f t="shared" ca="1" si="17"/>
        <v>#N/A</v>
      </c>
      <c r="FB28" t="e">
        <f t="shared" ca="1" si="17"/>
        <v>#N/A</v>
      </c>
      <c r="FC28" t="e">
        <f t="shared" ca="1" si="17"/>
        <v>#N/A</v>
      </c>
      <c r="FD28" t="e">
        <f t="shared" ca="1" si="17"/>
        <v>#N/A</v>
      </c>
      <c r="FE28" t="str">
        <f t="shared" ca="1" si="9"/>
        <v/>
      </c>
      <c r="FF28" t="str">
        <f t="shared" ca="1" si="10"/>
        <v/>
      </c>
      <c r="FG28" t="str">
        <f t="shared" ca="1" si="11"/>
        <v/>
      </c>
      <c r="FH28" t="str">
        <f t="shared" ca="1" si="12"/>
        <v/>
      </c>
      <c r="FI28" t="str">
        <f t="shared" ca="1" si="13"/>
        <v/>
      </c>
      <c r="FJ28" t="str">
        <f t="shared" ca="1" si="14"/>
        <v/>
      </c>
      <c r="FK28" t="str">
        <f t="shared" ca="1" si="8"/>
        <v/>
      </c>
      <c r="FL28" t="str">
        <f t="shared" ca="1" si="15"/>
        <v>無</v>
      </c>
      <c r="FN28" s="132" t="s">
        <v>295</v>
      </c>
      <c r="FO28" s="57">
        <v>118000000</v>
      </c>
    </row>
    <row r="29" spans="1:171">
      <c r="J29" s="5" t="s">
        <v>200</v>
      </c>
      <c r="K29" s="57">
        <v>14590219</v>
      </c>
      <c r="L29" s="57">
        <v>2296320</v>
      </c>
      <c r="M29" s="57">
        <v>2252388</v>
      </c>
      <c r="N29" s="57">
        <v>424404</v>
      </c>
      <c r="O29" s="57">
        <v>370580</v>
      </c>
      <c r="P29" s="57">
        <v>322080</v>
      </c>
      <c r="Q29" s="57">
        <v>211800</v>
      </c>
      <c r="R29" s="57">
        <v>190200</v>
      </c>
      <c r="S29" s="57"/>
      <c r="T29" s="57">
        <v>-6000</v>
      </c>
      <c r="U29" s="57">
        <v>20651991</v>
      </c>
      <c r="W29" s="5" t="s">
        <v>198</v>
      </c>
      <c r="AC29" s="5" t="s">
        <v>286</v>
      </c>
      <c r="AD29">
        <v>37501218</v>
      </c>
      <c r="AE29">
        <v>57130988</v>
      </c>
      <c r="AG29">
        <v>94632206</v>
      </c>
      <c r="AI29" s="5" t="s">
        <v>200</v>
      </c>
      <c r="AJ29">
        <v>433617</v>
      </c>
      <c r="AK29">
        <v>79840239</v>
      </c>
      <c r="AL29">
        <v>6753913</v>
      </c>
      <c r="AM29">
        <v>292843</v>
      </c>
      <c r="AN29">
        <v>0</v>
      </c>
      <c r="AP29">
        <v>87320612</v>
      </c>
      <c r="AR29" s="132" t="s">
        <v>198</v>
      </c>
      <c r="AS29" s="57"/>
      <c r="AT29" s="57"/>
      <c r="AU29" s="57"/>
      <c r="AV29" s="57"/>
      <c r="AW29" s="57"/>
      <c r="AX29" s="57"/>
      <c r="AY29" s="57"/>
      <c r="AZ29" s="57"/>
      <c r="BA29" s="57"/>
      <c r="BB29" s="57"/>
      <c r="BC29" s="57"/>
      <c r="BE29" s="57"/>
      <c r="BF29" s="5" t="s">
        <v>336</v>
      </c>
      <c r="BG29" s="57"/>
      <c r="BH29" s="57"/>
      <c r="BI29" s="57"/>
      <c r="BJ29" s="57"/>
      <c r="BK29" s="57">
        <v>160000</v>
      </c>
      <c r="BL29" s="57"/>
      <c r="BM29" s="57"/>
      <c r="BN29" s="57"/>
      <c r="BO29" s="57"/>
      <c r="BP29" s="57">
        <v>160000</v>
      </c>
      <c r="BQ29" s="57"/>
      <c r="BR29" s="57"/>
      <c r="BT29" s="5" t="s">
        <v>198</v>
      </c>
      <c r="BU29" s="57"/>
      <c r="BV29" s="57"/>
      <c r="BW29" s="57"/>
      <c r="BX29" s="57"/>
      <c r="BY29" s="57"/>
      <c r="BZ29" s="57"/>
      <c r="CA29" s="57"/>
      <c r="CB29" s="57"/>
      <c r="CC29" s="57"/>
      <c r="CD29" s="57"/>
      <c r="CO29" s="5">
        <v>65</v>
      </c>
      <c r="CP29" s="57">
        <v>187000</v>
      </c>
      <c r="CQ29">
        <v>18</v>
      </c>
      <c r="CS29">
        <v>22</v>
      </c>
      <c r="CT29">
        <f t="shared" si="1"/>
        <v>103</v>
      </c>
      <c r="CU29" t="str">
        <f t="shared" si="2"/>
        <v>カーサ目白台ハウス</v>
      </c>
      <c r="CV29" t="str">
        <f t="shared" si="3"/>
        <v>103</v>
      </c>
      <c r="CW29" t="str">
        <f t="shared" si="4"/>
        <v>事務所</v>
      </c>
      <c r="CX29" t="str">
        <f t="shared" si="5"/>
        <v>事務所</v>
      </c>
      <c r="CY29">
        <f t="shared" si="6"/>
        <v>187000</v>
      </c>
      <c r="DB29" s="5" t="s">
        <v>343</v>
      </c>
      <c r="DC29">
        <v>3</v>
      </c>
      <c r="DD29">
        <v>586000</v>
      </c>
      <c r="DF29" s="132" t="s">
        <v>234</v>
      </c>
      <c r="DJ29" s="5" t="s">
        <v>336</v>
      </c>
      <c r="DK29">
        <v>79</v>
      </c>
      <c r="DL29" s="57">
        <v>79056190</v>
      </c>
      <c r="DM29" s="57">
        <v>167336</v>
      </c>
      <c r="DN29" s="57">
        <v>35857</v>
      </c>
      <c r="DO29">
        <v>79</v>
      </c>
      <c r="DP29" s="57">
        <v>18910900</v>
      </c>
      <c r="DQ29" s="57">
        <v>264752</v>
      </c>
      <c r="DR29" s="57">
        <v>56732</v>
      </c>
      <c r="DS29">
        <v>158</v>
      </c>
      <c r="DT29" s="57">
        <v>97967090</v>
      </c>
      <c r="DU29" s="57">
        <v>432088</v>
      </c>
      <c r="DV29" s="57">
        <v>92589</v>
      </c>
      <c r="DY29" s="5" t="s">
        <v>336</v>
      </c>
      <c r="EB29">
        <v>1</v>
      </c>
      <c r="EE29">
        <v>1</v>
      </c>
      <c r="EM29" s="133" t="s">
        <v>198</v>
      </c>
      <c r="ES29">
        <v>22</v>
      </c>
      <c r="ET29" t="s">
        <v>270</v>
      </c>
      <c r="EU29" t="s">
        <v>271</v>
      </c>
      <c r="EV29">
        <v>23</v>
      </c>
      <c r="EW29" t="str" cm="1">
        <f t="array" aca="1" ref="EW29" ca="1">INDIRECT("'5借入一覧'!"&amp;ET29&amp;EV29)&amp;INDIRECT("'5借入一覧'!"&amp;EU29&amp;EV29)</f>
        <v>106671</v>
      </c>
      <c r="EX29">
        <v>1</v>
      </c>
      <c r="EY29">
        <v>22</v>
      </c>
      <c r="EZ29" t="e">
        <f t="shared" ca="1" si="17"/>
        <v>#N/A</v>
      </c>
      <c r="FA29" t="e">
        <f t="shared" ca="1" si="17"/>
        <v>#N/A</v>
      </c>
      <c r="FB29" t="e">
        <f t="shared" ca="1" si="17"/>
        <v>#N/A</v>
      </c>
      <c r="FC29" t="e">
        <f t="shared" ca="1" si="17"/>
        <v>#N/A</v>
      </c>
      <c r="FD29" t="e">
        <f t="shared" ca="1" si="17"/>
        <v>#N/A</v>
      </c>
      <c r="FE29" t="str">
        <f t="shared" ca="1" si="9"/>
        <v/>
      </c>
      <c r="FF29" t="str">
        <f t="shared" ca="1" si="10"/>
        <v/>
      </c>
      <c r="FG29" t="str">
        <f t="shared" ca="1" si="11"/>
        <v/>
      </c>
      <c r="FH29" t="str">
        <f t="shared" ca="1" si="12"/>
        <v/>
      </c>
      <c r="FI29" t="str">
        <f t="shared" ca="1" si="13"/>
        <v/>
      </c>
      <c r="FJ29" t="str">
        <f t="shared" ca="1" si="14"/>
        <v/>
      </c>
      <c r="FK29" t="str">
        <f t="shared" ca="1" si="8"/>
        <v/>
      </c>
      <c r="FL29" t="str">
        <f t="shared" ca="1" si="15"/>
        <v>無</v>
      </c>
      <c r="FN29" s="132" t="s">
        <v>302</v>
      </c>
      <c r="FO29" s="57">
        <v>226000000</v>
      </c>
    </row>
    <row r="30" spans="1:171">
      <c r="W30" s="5" t="s">
        <v>296</v>
      </c>
      <c r="X30">
        <v>51251000</v>
      </c>
      <c r="Y30">
        <v>5112000</v>
      </c>
      <c r="AA30">
        <v>56363000</v>
      </c>
      <c r="AC30" s="5" t="s">
        <v>200</v>
      </c>
      <c r="AD30">
        <v>1467635379</v>
      </c>
      <c r="AE30">
        <v>3694543297</v>
      </c>
      <c r="AG30">
        <v>5162178676</v>
      </c>
      <c r="AR30" s="132" t="s">
        <v>296</v>
      </c>
      <c r="AS30" s="57"/>
      <c r="AT30" s="57"/>
      <c r="AU30" s="57"/>
      <c r="AV30" s="57"/>
      <c r="AW30" s="57"/>
      <c r="AX30" s="57"/>
      <c r="AY30" s="57"/>
      <c r="AZ30" s="57"/>
      <c r="BA30" s="57"/>
      <c r="BB30" s="57"/>
      <c r="BC30" s="57"/>
      <c r="BE30" s="57"/>
      <c r="BF30" s="5" t="s">
        <v>286</v>
      </c>
      <c r="BG30" s="57"/>
      <c r="BH30" s="57"/>
      <c r="BI30" s="57"/>
      <c r="BJ30" s="57"/>
      <c r="BK30" s="57">
        <v>0</v>
      </c>
      <c r="BL30" s="57"/>
      <c r="BM30" s="57"/>
      <c r="BN30" s="57"/>
      <c r="BO30" s="57"/>
      <c r="BP30" s="57">
        <v>0</v>
      </c>
      <c r="BQ30" s="57"/>
      <c r="BR30" s="57"/>
      <c r="BT30" s="5" t="s">
        <v>286</v>
      </c>
      <c r="BU30" s="57"/>
      <c r="BV30" s="57"/>
      <c r="BW30" s="57"/>
      <c r="BX30" s="57"/>
      <c r="BY30" s="57"/>
      <c r="BZ30" s="57"/>
      <c r="CA30" s="57"/>
      <c r="CB30" s="57"/>
      <c r="CC30" s="57"/>
      <c r="CD30" s="57"/>
      <c r="CO30" s="5">
        <v>178</v>
      </c>
      <c r="CP30" s="57">
        <v>185000</v>
      </c>
      <c r="CQ30">
        <v>19</v>
      </c>
      <c r="CS30">
        <v>23</v>
      </c>
      <c r="CT30">
        <f t="shared" si="1"/>
        <v>109</v>
      </c>
      <c r="CU30" t="str">
        <f t="shared" si="2"/>
        <v>カーサ南池袋</v>
      </c>
      <c r="CV30" t="str">
        <f t="shared" si="3"/>
        <v>332</v>
      </c>
      <c r="CW30" t="str">
        <f t="shared" si="4"/>
        <v>住居</v>
      </c>
      <c r="CX30" t="str">
        <f t="shared" si="5"/>
        <v>3LDK</v>
      </c>
      <c r="CY30">
        <f t="shared" si="6"/>
        <v>185000</v>
      </c>
      <c r="DB30" s="5" t="s">
        <v>344</v>
      </c>
      <c r="DC30">
        <v>8</v>
      </c>
      <c r="DD30">
        <v>3466434</v>
      </c>
      <c r="DF30" s="132" t="s">
        <v>193</v>
      </c>
      <c r="DJ30" s="5" t="s">
        <v>286</v>
      </c>
      <c r="DK30">
        <v>79</v>
      </c>
      <c r="DL30" s="57">
        <v>6972378.1681486527</v>
      </c>
      <c r="DM30" s="57">
        <v>98408</v>
      </c>
      <c r="DN30" s="57">
        <v>21087</v>
      </c>
      <c r="DO30">
        <v>62.47</v>
      </c>
      <c r="DP30" s="57">
        <v>22311426.347878046</v>
      </c>
      <c r="DQ30" s="57">
        <v>47872</v>
      </c>
      <c r="DR30" s="57">
        <v>10257</v>
      </c>
      <c r="DS30">
        <v>141.47</v>
      </c>
      <c r="DT30" s="57">
        <v>29283804.516026698</v>
      </c>
      <c r="DU30" s="57">
        <v>146280</v>
      </c>
      <c r="DV30" s="57">
        <v>31344</v>
      </c>
      <c r="DY30" s="5" t="s">
        <v>286</v>
      </c>
      <c r="EB30">
        <v>1</v>
      </c>
      <c r="EE30">
        <v>1</v>
      </c>
      <c r="EH30" s="57"/>
      <c r="EM30" s="133" t="s">
        <v>296</v>
      </c>
      <c r="ES30">
        <v>23</v>
      </c>
      <c r="ET30" t="s">
        <v>270</v>
      </c>
      <c r="EU30" t="s">
        <v>271</v>
      </c>
      <c r="EV30">
        <v>24</v>
      </c>
      <c r="EW30" t="str" cm="1">
        <f t="array" aca="1" ref="EW30" ca="1">INDIRECT("'5借入一覧'!"&amp;ET30&amp;EV30)&amp;INDIRECT("'5借入一覧'!"&amp;EU30&amp;EV30)</f>
        <v>107673</v>
      </c>
      <c r="EX30">
        <v>1</v>
      </c>
      <c r="EY30">
        <v>23</v>
      </c>
      <c r="EZ30" t="e">
        <f t="shared" ca="1" si="17"/>
        <v>#N/A</v>
      </c>
      <c r="FA30" t="e">
        <f t="shared" ca="1" si="17"/>
        <v>#N/A</v>
      </c>
      <c r="FB30" t="e">
        <f t="shared" ca="1" si="17"/>
        <v>#N/A</v>
      </c>
      <c r="FC30" t="e">
        <f t="shared" ca="1" si="17"/>
        <v>#N/A</v>
      </c>
      <c r="FD30" t="e">
        <f t="shared" ca="1" si="17"/>
        <v>#N/A</v>
      </c>
      <c r="FE30" t="str">
        <f t="shared" ca="1" si="9"/>
        <v/>
      </c>
      <c r="FF30" t="str">
        <f t="shared" ca="1" si="10"/>
        <v/>
      </c>
      <c r="FG30" t="str">
        <f t="shared" ca="1" si="11"/>
        <v/>
      </c>
      <c r="FH30" t="str">
        <f t="shared" ca="1" si="12"/>
        <v/>
      </c>
      <c r="FI30" t="str">
        <f t="shared" ca="1" si="13"/>
        <v/>
      </c>
      <c r="FJ30" t="str">
        <f t="shared" ca="1" si="14"/>
        <v/>
      </c>
      <c r="FK30" t="str">
        <f t="shared" ca="1" si="8"/>
        <v/>
      </c>
      <c r="FL30" t="str">
        <f t="shared" ca="1" si="15"/>
        <v>無</v>
      </c>
      <c r="FN30" s="132" t="s">
        <v>313</v>
      </c>
      <c r="FO30" s="57">
        <v>495000000</v>
      </c>
    </row>
    <row r="31" spans="1:171">
      <c r="W31" s="5" t="s">
        <v>336</v>
      </c>
      <c r="X31">
        <v>31236000</v>
      </c>
      <c r="Y31">
        <v>5241000</v>
      </c>
      <c r="AA31">
        <v>36477000</v>
      </c>
      <c r="AR31" s="132" t="s">
        <v>336</v>
      </c>
      <c r="AS31" s="57"/>
      <c r="AT31" s="57"/>
      <c r="AU31" s="57"/>
      <c r="AV31" s="57"/>
      <c r="AW31" s="57"/>
      <c r="AX31" s="57"/>
      <c r="AY31" s="57"/>
      <c r="AZ31" s="57"/>
      <c r="BA31" s="57"/>
      <c r="BB31" s="57"/>
      <c r="BC31" s="57"/>
      <c r="BE31" s="57"/>
      <c r="BF31" s="5" t="s">
        <v>200</v>
      </c>
      <c r="BG31" s="57">
        <v>247035</v>
      </c>
      <c r="BH31" s="57">
        <v>0</v>
      </c>
      <c r="BI31" s="57">
        <v>3702978</v>
      </c>
      <c r="BJ31" s="57">
        <v>0</v>
      </c>
      <c r="BK31" s="57">
        <v>27943232</v>
      </c>
      <c r="BL31" s="57">
        <v>282415</v>
      </c>
      <c r="BM31" s="57">
        <v>794721</v>
      </c>
      <c r="BN31" s="57">
        <v>2337093</v>
      </c>
      <c r="BO31" s="57"/>
      <c r="BP31" s="57">
        <v>35307474</v>
      </c>
      <c r="BT31" s="5" t="s">
        <v>200</v>
      </c>
      <c r="BU31" s="57">
        <v>247035</v>
      </c>
      <c r="BV31" s="57">
        <v>3702978</v>
      </c>
      <c r="BW31" s="57">
        <v>0</v>
      </c>
      <c r="BX31" s="57">
        <v>27943232</v>
      </c>
      <c r="BY31" s="57">
        <v>282415</v>
      </c>
      <c r="BZ31" s="57">
        <v>794721</v>
      </c>
      <c r="CA31" s="57">
        <v>2337093</v>
      </c>
      <c r="CB31" s="57">
        <v>35307474</v>
      </c>
      <c r="CC31" s="57"/>
      <c r="CD31" s="57"/>
      <c r="CO31" s="5">
        <v>139</v>
      </c>
      <c r="CP31" s="57">
        <v>180000</v>
      </c>
      <c r="CQ31">
        <v>20</v>
      </c>
      <c r="CS31">
        <v>24</v>
      </c>
      <c r="CT31">
        <f t="shared" si="1"/>
        <v>106</v>
      </c>
      <c r="CU31" t="str">
        <f t="shared" si="2"/>
        <v>東池袋ハイツ</v>
      </c>
      <c r="CV31" t="str">
        <f t="shared" si="3"/>
        <v>602</v>
      </c>
      <c r="CW31" t="str">
        <f t="shared" si="4"/>
        <v>住居</v>
      </c>
      <c r="CX31" t="str">
        <f t="shared" si="5"/>
        <v>1LDK</v>
      </c>
      <c r="CY31">
        <f t="shared" si="6"/>
        <v>180000</v>
      </c>
      <c r="DB31" s="5" t="s">
        <v>200</v>
      </c>
      <c r="DC31">
        <v>245</v>
      </c>
      <c r="DD31">
        <v>28235436</v>
      </c>
      <c r="DF31" s="132" t="s">
        <v>260</v>
      </c>
      <c r="DG31">
        <v>4</v>
      </c>
      <c r="DH31">
        <v>681592</v>
      </c>
      <c r="DJ31" s="5" t="s">
        <v>200</v>
      </c>
      <c r="DK31">
        <v>12524.250000000002</v>
      </c>
      <c r="DL31" s="57">
        <v>1189058297.9281487</v>
      </c>
      <c r="DM31" s="57">
        <v>9870447</v>
      </c>
      <c r="DN31" s="57">
        <v>2115462</v>
      </c>
      <c r="DO31">
        <v>5797.4900000000007</v>
      </c>
      <c r="DP31" s="57">
        <v>2221638056.347878</v>
      </c>
      <c r="DQ31" s="57">
        <v>5583147</v>
      </c>
      <c r="DR31" s="57">
        <v>1196376</v>
      </c>
      <c r="DS31">
        <v>18321.740000000002</v>
      </c>
      <c r="DT31" s="57">
        <v>3410696354.2760267</v>
      </c>
      <c r="DU31" s="57">
        <v>15453594</v>
      </c>
      <c r="DV31" s="57">
        <v>3311838</v>
      </c>
      <c r="DY31" s="5" t="s">
        <v>200</v>
      </c>
      <c r="DZ31">
        <v>16</v>
      </c>
      <c r="EA31">
        <v>8</v>
      </c>
      <c r="EB31">
        <v>255</v>
      </c>
      <c r="EC31">
        <v>2</v>
      </c>
      <c r="ED31">
        <v>22</v>
      </c>
      <c r="EE31">
        <v>303</v>
      </c>
      <c r="EM31" s="133" t="s">
        <v>286</v>
      </c>
      <c r="ES31">
        <v>24</v>
      </c>
      <c r="ET31" t="s">
        <v>270</v>
      </c>
      <c r="EU31" t="s">
        <v>271</v>
      </c>
      <c r="EV31">
        <v>25</v>
      </c>
      <c r="EW31" t="str" cm="1">
        <f t="array" aca="1" ref="EW31" ca="1">INDIRECT("'5借入一覧'!"&amp;ET31&amp;EV31)&amp;INDIRECT("'5借入一覧'!"&amp;EU31&amp;EV31)</f>
        <v>109673</v>
      </c>
      <c r="EX31">
        <v>1</v>
      </c>
      <c r="EY31">
        <v>24</v>
      </c>
      <c r="EZ31" t="e">
        <f t="shared" ca="1" si="17"/>
        <v>#N/A</v>
      </c>
      <c r="FA31" t="e">
        <f t="shared" ca="1" si="17"/>
        <v>#N/A</v>
      </c>
      <c r="FB31" t="e">
        <f t="shared" ca="1" si="17"/>
        <v>#N/A</v>
      </c>
      <c r="FC31" t="e">
        <f t="shared" ca="1" si="17"/>
        <v>#N/A</v>
      </c>
      <c r="FD31" t="e">
        <f t="shared" ca="1" si="17"/>
        <v>#N/A</v>
      </c>
      <c r="FE31" t="str">
        <f t="shared" ca="1" si="9"/>
        <v/>
      </c>
      <c r="FF31" t="str">
        <f t="shared" ca="1" si="10"/>
        <v/>
      </c>
      <c r="FG31" t="str">
        <f t="shared" ca="1" si="11"/>
        <v/>
      </c>
      <c r="FH31" t="str">
        <f t="shared" ca="1" si="12"/>
        <v/>
      </c>
      <c r="FI31" t="str">
        <f t="shared" ca="1" si="13"/>
        <v/>
      </c>
      <c r="FJ31" t="str">
        <f t="shared" ca="1" si="14"/>
        <v/>
      </c>
      <c r="FK31" t="str">
        <f t="shared" ca="1" si="8"/>
        <v/>
      </c>
      <c r="FL31" t="str">
        <f t="shared" ca="1" si="15"/>
        <v>無</v>
      </c>
      <c r="FN31" s="132" t="s">
        <v>316</v>
      </c>
      <c r="FO31" s="57">
        <v>550000000</v>
      </c>
    </row>
    <row r="32" spans="1:171">
      <c r="W32" s="5" t="s">
        <v>286</v>
      </c>
      <c r="X32">
        <v>19286259</v>
      </c>
      <c r="Y32">
        <v>57130988</v>
      </c>
      <c r="AA32">
        <v>76417247</v>
      </c>
      <c r="AR32" s="132" t="s">
        <v>286</v>
      </c>
      <c r="AS32" s="57"/>
      <c r="AT32" s="57"/>
      <c r="AU32" s="57"/>
      <c r="AV32" s="57"/>
      <c r="AW32" s="57">
        <v>295000</v>
      </c>
      <c r="AX32" s="57"/>
      <c r="AY32" s="57"/>
      <c r="AZ32" s="57"/>
      <c r="BA32" s="57"/>
      <c r="BB32" s="57">
        <v>295000</v>
      </c>
      <c r="BC32" s="57"/>
      <c r="BE32" s="57"/>
      <c r="CO32" s="5">
        <v>176</v>
      </c>
      <c r="CP32" s="57">
        <v>180000</v>
      </c>
      <c r="CQ32">
        <v>20</v>
      </c>
      <c r="CS32">
        <v>25</v>
      </c>
      <c r="CT32">
        <f t="shared" si="1"/>
        <v>109</v>
      </c>
      <c r="CU32" t="str">
        <f t="shared" si="2"/>
        <v>カーサ南池袋</v>
      </c>
      <c r="CV32" t="str">
        <f t="shared" si="3"/>
        <v>222</v>
      </c>
      <c r="CW32" t="str">
        <f t="shared" si="4"/>
        <v>住居</v>
      </c>
      <c r="CX32" t="str">
        <f t="shared" si="5"/>
        <v>3LDK</v>
      </c>
      <c r="CY32">
        <f t="shared" si="6"/>
        <v>180000</v>
      </c>
      <c r="DF32" s="132" t="s">
        <v>261</v>
      </c>
      <c r="EM32" s="133" t="s">
        <v>340</v>
      </c>
      <c r="ES32">
        <v>25</v>
      </c>
      <c r="ET32" t="s">
        <v>270</v>
      </c>
      <c r="EU32" t="s">
        <v>271</v>
      </c>
      <c r="EV32">
        <v>26</v>
      </c>
      <c r="EW32" t="str" cm="1">
        <f t="array" aca="1" ref="EW32" ca="1">INDIRECT("'5借入一覧'!"&amp;ET32&amp;EV32)&amp;INDIRECT("'5借入一覧'!"&amp;EU32&amp;EV32)</f>
        <v>109671</v>
      </c>
      <c r="EX32">
        <v>1</v>
      </c>
      <c r="EY32">
        <v>25</v>
      </c>
      <c r="EZ32" t="e">
        <f t="shared" ca="1" si="17"/>
        <v>#N/A</v>
      </c>
      <c r="FA32" t="e">
        <f t="shared" ca="1" si="17"/>
        <v>#N/A</v>
      </c>
      <c r="FB32" t="e">
        <f t="shared" ca="1" si="17"/>
        <v>#N/A</v>
      </c>
      <c r="FC32" t="e">
        <f t="shared" ca="1" si="17"/>
        <v>#N/A</v>
      </c>
      <c r="FD32" t="e">
        <f t="shared" ca="1" si="17"/>
        <v>#N/A</v>
      </c>
      <c r="FE32" t="str">
        <f t="shared" ca="1" si="9"/>
        <v/>
      </c>
      <c r="FF32" t="str">
        <f t="shared" ca="1" si="10"/>
        <v/>
      </c>
      <c r="FG32" t="str">
        <f t="shared" ca="1" si="11"/>
        <v/>
      </c>
      <c r="FH32" t="str">
        <f t="shared" ca="1" si="12"/>
        <v/>
      </c>
      <c r="FI32" t="str">
        <f t="shared" ca="1" si="13"/>
        <v/>
      </c>
      <c r="FJ32" t="str">
        <f t="shared" ca="1" si="14"/>
        <v/>
      </c>
      <c r="FK32" t="str">
        <f t="shared" ca="1" si="8"/>
        <v/>
      </c>
      <c r="FL32" t="str">
        <f t="shared" ca="1" si="15"/>
        <v>無</v>
      </c>
      <c r="FN32" s="132" t="s">
        <v>320</v>
      </c>
      <c r="FO32" s="57">
        <v>376000000</v>
      </c>
    </row>
    <row r="33" spans="23:171">
      <c r="W33" s="5" t="s">
        <v>200</v>
      </c>
      <c r="X33">
        <v>1751567633</v>
      </c>
      <c r="Y33">
        <v>3694543297</v>
      </c>
      <c r="AA33">
        <v>5446110930</v>
      </c>
      <c r="AR33" s="5" t="s">
        <v>187</v>
      </c>
      <c r="AS33" s="57">
        <v>247035</v>
      </c>
      <c r="AT33" s="57"/>
      <c r="AU33" s="57">
        <v>3737978</v>
      </c>
      <c r="AV33" s="57">
        <v>0</v>
      </c>
      <c r="AW33" s="57">
        <v>28235436</v>
      </c>
      <c r="AX33" s="57">
        <v>282415</v>
      </c>
      <c r="AY33" s="57">
        <v>809021</v>
      </c>
      <c r="AZ33" s="57">
        <v>2337093</v>
      </c>
      <c r="BA33" s="57"/>
      <c r="BB33" s="57">
        <v>35648978</v>
      </c>
      <c r="BD33" s="57"/>
      <c r="BE33" s="57"/>
      <c r="CO33" s="5">
        <v>138</v>
      </c>
      <c r="CP33" s="57">
        <v>180000</v>
      </c>
      <c r="CQ33">
        <v>20</v>
      </c>
      <c r="CS33">
        <v>26</v>
      </c>
      <c r="CT33">
        <f t="shared" si="1"/>
        <v>106</v>
      </c>
      <c r="CU33" t="str">
        <f t="shared" si="2"/>
        <v>東池袋ハイツ</v>
      </c>
      <c r="CV33" t="str">
        <f t="shared" si="3"/>
        <v>601</v>
      </c>
      <c r="CW33" t="str">
        <f t="shared" si="4"/>
        <v>住居</v>
      </c>
      <c r="CX33" t="str">
        <f t="shared" si="5"/>
        <v>3DK</v>
      </c>
      <c r="CY33">
        <f t="shared" si="6"/>
        <v>180000</v>
      </c>
      <c r="DF33" s="132" t="s">
        <v>235</v>
      </c>
      <c r="EM33" s="132" t="s">
        <v>256</v>
      </c>
      <c r="EN33">
        <v>84461</v>
      </c>
      <c r="EO33">
        <v>16139</v>
      </c>
      <c r="EP33">
        <v>100600</v>
      </c>
      <c r="EQ33">
        <v>10244573</v>
      </c>
      <c r="ES33">
        <v>26</v>
      </c>
      <c r="ET33" t="s">
        <v>270</v>
      </c>
      <c r="EU33" t="s">
        <v>271</v>
      </c>
      <c r="EV33">
        <v>27</v>
      </c>
      <c r="EW33" t="str" cm="1">
        <f t="array" aca="1" ref="EW33" ca="1">INDIRECT("'5借入一覧'!"&amp;ET33&amp;EV33)&amp;INDIRECT("'5借入一覧'!"&amp;EU33&amp;EV33)</f>
        <v/>
      </c>
      <c r="EX33">
        <v>1</v>
      </c>
      <c r="EY33">
        <v>26</v>
      </c>
      <c r="EZ33" t="e">
        <f t="shared" ca="1" si="17"/>
        <v>#N/A</v>
      </c>
      <c r="FA33" t="e">
        <f t="shared" ca="1" si="17"/>
        <v>#N/A</v>
      </c>
      <c r="FB33" t="e">
        <f t="shared" ca="1" si="17"/>
        <v>#N/A</v>
      </c>
      <c r="FC33" t="e">
        <f t="shared" ca="1" si="17"/>
        <v>#N/A</v>
      </c>
      <c r="FD33" t="e">
        <f t="shared" ca="1" si="17"/>
        <v>#N/A</v>
      </c>
      <c r="FE33" t="str">
        <f t="shared" ca="1" si="9"/>
        <v/>
      </c>
      <c r="FF33" t="str">
        <f t="shared" ca="1" si="10"/>
        <v/>
      </c>
      <c r="FG33" t="str">
        <f t="shared" ca="1" si="11"/>
        <v/>
      </c>
      <c r="FH33" t="str">
        <f t="shared" ca="1" si="12"/>
        <v/>
      </c>
      <c r="FI33" t="str">
        <f t="shared" ca="1" si="13"/>
        <v/>
      </c>
      <c r="FJ33" t="str">
        <f t="shared" ca="1" si="14"/>
        <v/>
      </c>
      <c r="FK33" t="str">
        <f t="shared" ca="1" si="8"/>
        <v/>
      </c>
      <c r="FL33" t="str">
        <f t="shared" ca="1" si="15"/>
        <v>無</v>
      </c>
      <c r="FN33" s="132" t="s">
        <v>324</v>
      </c>
      <c r="FO33" s="57">
        <v>155000000</v>
      </c>
    </row>
    <row r="34" spans="23:171">
      <c r="AR34" s="132" t="s">
        <v>216</v>
      </c>
      <c r="AS34" s="57">
        <v>72911</v>
      </c>
      <c r="AT34" s="57"/>
      <c r="AU34" s="57"/>
      <c r="AV34" s="57"/>
      <c r="AW34" s="57">
        <v>1417000</v>
      </c>
      <c r="AX34" s="57">
        <v>17600</v>
      </c>
      <c r="AY34" s="57">
        <v>27000</v>
      </c>
      <c r="AZ34" s="57"/>
      <c r="BA34" s="57"/>
      <c r="BB34" s="57">
        <v>1534511</v>
      </c>
      <c r="BD34" s="57"/>
      <c r="BE34" s="57"/>
      <c r="CO34" s="5">
        <v>291</v>
      </c>
      <c r="CP34" s="57">
        <v>175000</v>
      </c>
      <c r="CQ34">
        <v>21</v>
      </c>
      <c r="CS34">
        <v>27</v>
      </c>
      <c r="CT34">
        <f t="shared" si="1"/>
        <v>116</v>
      </c>
      <c r="CU34" t="str">
        <f t="shared" si="2"/>
        <v>コアプラスレジデンス梅田</v>
      </c>
      <c r="CV34" t="str">
        <f t="shared" si="3"/>
        <v>802</v>
      </c>
      <c r="CW34" t="str">
        <f t="shared" si="4"/>
        <v>住居</v>
      </c>
      <c r="CX34" t="str">
        <f t="shared" si="5"/>
        <v>2LDK</v>
      </c>
      <c r="CY34">
        <f t="shared" si="6"/>
        <v>175000</v>
      </c>
      <c r="DF34" s="132" t="s">
        <v>236</v>
      </c>
      <c r="EM34" s="133" t="s">
        <v>5</v>
      </c>
      <c r="ES34">
        <v>27</v>
      </c>
      <c r="ET34" t="s">
        <v>270</v>
      </c>
      <c r="EU34" t="s">
        <v>271</v>
      </c>
      <c r="EV34">
        <v>28</v>
      </c>
      <c r="EW34" t="str" cm="1">
        <f t="array" aca="1" ref="EW34" ca="1">INDIRECT("'5借入一覧'!"&amp;ET34&amp;EV34)&amp;INDIRECT("'5借入一覧'!"&amp;EU34&amp;EV34)</f>
        <v/>
      </c>
      <c r="EX34">
        <v>1</v>
      </c>
      <c r="EY34">
        <v>27</v>
      </c>
      <c r="EZ34" t="e">
        <f t="shared" ca="1" si="17"/>
        <v>#N/A</v>
      </c>
      <c r="FA34" t="e">
        <f t="shared" ca="1" si="17"/>
        <v>#N/A</v>
      </c>
      <c r="FB34" t="e">
        <f t="shared" ca="1" si="17"/>
        <v>#N/A</v>
      </c>
      <c r="FC34" t="e">
        <f t="shared" ca="1" si="17"/>
        <v>#N/A</v>
      </c>
      <c r="FD34" t="e">
        <f t="shared" ca="1" si="17"/>
        <v>#N/A</v>
      </c>
      <c r="FE34" t="str">
        <f t="shared" ca="1" si="9"/>
        <v/>
      </c>
      <c r="FF34" t="str">
        <f t="shared" ca="1" si="10"/>
        <v/>
      </c>
      <c r="FG34" t="str">
        <f t="shared" ca="1" si="11"/>
        <v/>
      </c>
      <c r="FH34" t="str">
        <f t="shared" ca="1" si="12"/>
        <v/>
      </c>
      <c r="FI34" t="str">
        <f t="shared" ca="1" si="13"/>
        <v/>
      </c>
      <c r="FJ34" t="str">
        <f t="shared" ca="1" si="14"/>
        <v/>
      </c>
      <c r="FK34" t="str">
        <f t="shared" ca="1" si="8"/>
        <v/>
      </c>
      <c r="FL34" t="str">
        <f t="shared" ca="1" si="15"/>
        <v>無</v>
      </c>
      <c r="FN34" s="132" t="s">
        <v>327</v>
      </c>
      <c r="FO34" s="57">
        <v>450000000</v>
      </c>
    </row>
    <row r="35" spans="23:171">
      <c r="AR35" s="132" t="s">
        <v>237</v>
      </c>
      <c r="AS35" s="57"/>
      <c r="AT35" s="57"/>
      <c r="AU35" s="57">
        <v>643878</v>
      </c>
      <c r="AV35" s="57"/>
      <c r="AW35" s="57">
        <v>1913800</v>
      </c>
      <c r="AX35" s="57"/>
      <c r="AY35" s="57">
        <v>126500</v>
      </c>
      <c r="AZ35" s="57">
        <v>363000</v>
      </c>
      <c r="BA35" s="57"/>
      <c r="BB35" s="57">
        <v>3047178</v>
      </c>
      <c r="BD35" s="57"/>
      <c r="BE35" s="57"/>
      <c r="CO35" s="5">
        <v>63</v>
      </c>
      <c r="CP35" s="57">
        <v>173148</v>
      </c>
      <c r="CQ35">
        <v>22</v>
      </c>
      <c r="CS35">
        <v>28</v>
      </c>
      <c r="CT35">
        <f t="shared" si="1"/>
        <v>103</v>
      </c>
      <c r="CU35" t="str">
        <f t="shared" si="2"/>
        <v>カーサ目白台ハウス</v>
      </c>
      <c r="CV35" t="str">
        <f t="shared" si="3"/>
        <v>101</v>
      </c>
      <c r="CW35" t="str">
        <f t="shared" si="4"/>
        <v>事務所</v>
      </c>
      <c r="CX35" t="str">
        <f t="shared" si="5"/>
        <v>事務所</v>
      </c>
      <c r="CY35">
        <f t="shared" si="6"/>
        <v>173148</v>
      </c>
      <c r="DF35" s="132" t="s">
        <v>262</v>
      </c>
      <c r="DG35">
        <v>4</v>
      </c>
      <c r="DH35">
        <v>724493</v>
      </c>
      <c r="EM35" s="133" t="s">
        <v>216</v>
      </c>
      <c r="ES35">
        <v>28</v>
      </c>
      <c r="ET35" t="s">
        <v>270</v>
      </c>
      <c r="EU35" t="s">
        <v>271</v>
      </c>
      <c r="EV35">
        <v>29</v>
      </c>
      <c r="EW35" t="str" cm="1">
        <f t="array" aca="1" ref="EW35" ca="1">INDIRECT("'5借入一覧'!"&amp;ET35&amp;EV35)&amp;INDIRECT("'5借入一覧'!"&amp;EU35&amp;EV35)</f>
        <v/>
      </c>
      <c r="EX35">
        <v>1</v>
      </c>
      <c r="EY35">
        <v>28</v>
      </c>
      <c r="EZ35" t="e">
        <f t="shared" ca="1" si="17"/>
        <v>#N/A</v>
      </c>
      <c r="FA35" t="e">
        <f t="shared" ca="1" si="17"/>
        <v>#N/A</v>
      </c>
      <c r="FB35" t="e">
        <f t="shared" ca="1" si="17"/>
        <v>#N/A</v>
      </c>
      <c r="FC35" t="e">
        <f t="shared" ca="1" si="17"/>
        <v>#N/A</v>
      </c>
      <c r="FD35" t="e">
        <f t="shared" ca="1" si="17"/>
        <v>#N/A</v>
      </c>
      <c r="FE35" t="str">
        <f t="shared" ca="1" si="9"/>
        <v/>
      </c>
      <c r="FF35" t="str">
        <f t="shared" ca="1" si="10"/>
        <v/>
      </c>
      <c r="FG35" t="str">
        <f t="shared" ca="1" si="11"/>
        <v/>
      </c>
      <c r="FH35" t="str">
        <f t="shared" ca="1" si="12"/>
        <v/>
      </c>
      <c r="FI35" t="str">
        <f t="shared" ca="1" si="13"/>
        <v/>
      </c>
      <c r="FJ35" t="str">
        <f t="shared" ca="1" si="14"/>
        <v/>
      </c>
      <c r="FK35" t="str">
        <f t="shared" ca="1" si="8"/>
        <v/>
      </c>
      <c r="FL35" t="str">
        <f t="shared" ca="1" si="15"/>
        <v>無</v>
      </c>
      <c r="FN35" s="132" t="s">
        <v>291</v>
      </c>
      <c r="FO35" s="57">
        <v>265000000</v>
      </c>
    </row>
    <row r="36" spans="23:171">
      <c r="AR36" s="132" t="s">
        <v>268</v>
      </c>
      <c r="AS36" s="57">
        <v>13200</v>
      </c>
      <c r="AT36" s="57"/>
      <c r="AU36" s="57"/>
      <c r="AV36" s="57"/>
      <c r="AW36" s="57">
        <v>2041000</v>
      </c>
      <c r="AX36" s="57"/>
      <c r="AY36" s="57"/>
      <c r="AZ36" s="57">
        <v>413600</v>
      </c>
      <c r="BA36" s="57"/>
      <c r="BB36" s="57">
        <v>2467800</v>
      </c>
      <c r="BD36" s="57"/>
      <c r="BE36" s="57"/>
      <c r="CO36" s="5">
        <v>125</v>
      </c>
      <c r="CP36" s="57">
        <v>170000</v>
      </c>
      <c r="CQ36">
        <v>23</v>
      </c>
      <c r="CS36">
        <v>29</v>
      </c>
      <c r="CT36">
        <f t="shared" si="1"/>
        <v>106</v>
      </c>
      <c r="CU36" t="str">
        <f t="shared" si="2"/>
        <v>東池袋ハイツ</v>
      </c>
      <c r="CV36" t="str">
        <f t="shared" si="3"/>
        <v>204</v>
      </c>
      <c r="CW36" t="str">
        <f t="shared" si="4"/>
        <v>住居</v>
      </c>
      <c r="CX36" t="str">
        <f t="shared" si="5"/>
        <v>3DK</v>
      </c>
      <c r="CY36">
        <f t="shared" si="6"/>
        <v>170000</v>
      </c>
      <c r="DF36" s="132" t="s">
        <v>198</v>
      </c>
      <c r="EM36" s="133" t="s">
        <v>237</v>
      </c>
      <c r="ES36">
        <v>29</v>
      </c>
      <c r="ET36" t="s">
        <v>270</v>
      </c>
      <c r="EU36" t="s">
        <v>271</v>
      </c>
      <c r="EV36">
        <v>30</v>
      </c>
      <c r="EW36" t="str" cm="1">
        <f t="array" aca="1" ref="EW36" ca="1">INDIRECT("'5借入一覧'!"&amp;ET36&amp;EV36)&amp;INDIRECT("'5借入一覧'!"&amp;EU36&amp;EV36)</f>
        <v/>
      </c>
      <c r="EX36">
        <v>1</v>
      </c>
      <c r="EY36">
        <v>29</v>
      </c>
      <c r="EZ36" t="e">
        <f t="shared" ca="1" si="17"/>
        <v>#N/A</v>
      </c>
      <c r="FA36" t="e">
        <f t="shared" ca="1" si="17"/>
        <v>#N/A</v>
      </c>
      <c r="FB36" t="e">
        <f t="shared" ca="1" si="17"/>
        <v>#N/A</v>
      </c>
      <c r="FC36" t="e">
        <f t="shared" ca="1" si="17"/>
        <v>#N/A</v>
      </c>
      <c r="FD36" t="e">
        <f t="shared" ca="1" si="17"/>
        <v>#N/A</v>
      </c>
      <c r="FE36" t="str">
        <f t="shared" ca="1" si="9"/>
        <v/>
      </c>
      <c r="FF36" t="str">
        <f t="shared" ca="1" si="10"/>
        <v/>
      </c>
      <c r="FG36" t="str">
        <f t="shared" ca="1" si="11"/>
        <v/>
      </c>
      <c r="FH36" t="str">
        <f t="shared" ca="1" si="12"/>
        <v/>
      </c>
      <c r="FI36" t="str">
        <f t="shared" ca="1" si="13"/>
        <v/>
      </c>
      <c r="FJ36" t="str">
        <f t="shared" ca="1" si="14"/>
        <v/>
      </c>
      <c r="FK36" t="str">
        <f t="shared" ca="1" si="8"/>
        <v/>
      </c>
      <c r="FL36" t="str">
        <f t="shared" ca="1" si="15"/>
        <v>無</v>
      </c>
      <c r="FN36" s="132" t="s">
        <v>340</v>
      </c>
      <c r="FO36" s="57">
        <v>80000000</v>
      </c>
    </row>
    <row r="37" spans="23:171">
      <c r="AR37" s="132" t="s">
        <v>276</v>
      </c>
      <c r="AS37" s="57">
        <v>13200</v>
      </c>
      <c r="AT37" s="57"/>
      <c r="AU37" s="57"/>
      <c r="AV37" s="57"/>
      <c r="AW37" s="57">
        <v>3011000</v>
      </c>
      <c r="AX37" s="57"/>
      <c r="AY37" s="57">
        <v>356481</v>
      </c>
      <c r="AZ37" s="57">
        <v>192093</v>
      </c>
      <c r="BA37" s="57"/>
      <c r="BB37" s="57">
        <v>3572774</v>
      </c>
      <c r="BD37" s="57"/>
      <c r="BE37" s="57"/>
      <c r="CO37" s="5">
        <v>129</v>
      </c>
      <c r="CP37" s="57">
        <v>170000</v>
      </c>
      <c r="CQ37">
        <v>23</v>
      </c>
      <c r="CS37">
        <v>30</v>
      </c>
      <c r="CT37">
        <f t="shared" si="1"/>
        <v>106</v>
      </c>
      <c r="CU37" t="str">
        <f t="shared" si="2"/>
        <v>東池袋ハイツ</v>
      </c>
      <c r="CV37" t="str">
        <f t="shared" si="3"/>
        <v>304</v>
      </c>
      <c r="CW37" t="str">
        <f t="shared" si="4"/>
        <v>住居</v>
      </c>
      <c r="CX37" t="str">
        <f t="shared" si="5"/>
        <v>3DK</v>
      </c>
      <c r="CY37">
        <f t="shared" si="6"/>
        <v>170000</v>
      </c>
      <c r="DF37" s="5" t="s">
        <v>345</v>
      </c>
      <c r="DG37">
        <v>1</v>
      </c>
      <c r="DH37">
        <v>264815</v>
      </c>
      <c r="EM37" s="133" t="s">
        <v>268</v>
      </c>
      <c r="ES37">
        <v>30</v>
      </c>
      <c r="ET37" t="s">
        <v>270</v>
      </c>
      <c r="EU37" t="s">
        <v>271</v>
      </c>
      <c r="EV37">
        <v>31</v>
      </c>
      <c r="EW37" t="str" cm="1">
        <f t="array" aca="1" ref="EW37" ca="1">INDIRECT("'5借入一覧'!"&amp;ET37&amp;EV37)&amp;INDIRECT("'5借入一覧'!"&amp;EU37&amp;EV37)</f>
        <v/>
      </c>
      <c r="EX37">
        <v>1</v>
      </c>
      <c r="EY37">
        <v>30</v>
      </c>
      <c r="EZ37" t="e">
        <f t="shared" ca="1" si="17"/>
        <v>#N/A</v>
      </c>
      <c r="FA37" t="e">
        <f t="shared" ca="1" si="17"/>
        <v>#N/A</v>
      </c>
      <c r="FB37" t="e">
        <f t="shared" ca="1" si="17"/>
        <v>#N/A</v>
      </c>
      <c r="FC37" t="e">
        <f t="shared" ca="1" si="17"/>
        <v>#N/A</v>
      </c>
      <c r="FD37" t="e">
        <f t="shared" ca="1" si="17"/>
        <v>#N/A</v>
      </c>
      <c r="FE37" t="str">
        <f t="shared" ca="1" si="9"/>
        <v/>
      </c>
      <c r="FF37" t="str">
        <f t="shared" ca="1" si="10"/>
        <v/>
      </c>
      <c r="FG37" t="str">
        <f t="shared" ca="1" si="11"/>
        <v/>
      </c>
      <c r="FH37" t="str">
        <f t="shared" ca="1" si="12"/>
        <v/>
      </c>
      <c r="FI37" t="str">
        <f t="shared" ca="1" si="13"/>
        <v/>
      </c>
      <c r="FJ37" t="str">
        <f t="shared" ca="1" si="14"/>
        <v/>
      </c>
      <c r="FK37" t="str">
        <f t="shared" ca="1" si="8"/>
        <v/>
      </c>
      <c r="FL37" t="str">
        <f t="shared" ca="1" si="15"/>
        <v>無</v>
      </c>
      <c r="FN37" s="132" t="s">
        <v>333</v>
      </c>
      <c r="FO37" s="57">
        <v>280000000</v>
      </c>
    </row>
    <row r="38" spans="23:171">
      <c r="AR38" s="132" t="s">
        <v>281</v>
      </c>
      <c r="AS38" s="57"/>
      <c r="AT38" s="57"/>
      <c r="AU38" s="57">
        <v>132000</v>
      </c>
      <c r="AV38" s="57"/>
      <c r="AW38" s="57">
        <v>455000</v>
      </c>
      <c r="AX38" s="57"/>
      <c r="AY38" s="57"/>
      <c r="AZ38" s="57">
        <v>169400</v>
      </c>
      <c r="BA38" s="57"/>
      <c r="BB38" s="57">
        <v>756400</v>
      </c>
      <c r="BD38" s="57"/>
      <c r="BE38" s="57"/>
      <c r="CO38" s="5">
        <v>137</v>
      </c>
      <c r="CP38" s="57">
        <v>170000</v>
      </c>
      <c r="CQ38">
        <v>23</v>
      </c>
      <c r="CS38">
        <v>31</v>
      </c>
      <c r="CT38">
        <f t="shared" si="1"/>
        <v>106</v>
      </c>
      <c r="CU38" t="str">
        <f t="shared" si="2"/>
        <v>東池袋ハイツ</v>
      </c>
      <c r="CV38" t="str">
        <f t="shared" si="3"/>
        <v>504</v>
      </c>
      <c r="CW38" t="str">
        <f t="shared" si="4"/>
        <v>住居</v>
      </c>
      <c r="CX38" t="str">
        <f t="shared" si="5"/>
        <v>1K</v>
      </c>
      <c r="CY38">
        <f t="shared" si="6"/>
        <v>170000</v>
      </c>
      <c r="DF38" s="132" t="s">
        <v>234</v>
      </c>
      <c r="EM38" s="133" t="s">
        <v>276</v>
      </c>
      <c r="ES38">
        <v>31</v>
      </c>
      <c r="ET38" t="s">
        <v>270</v>
      </c>
      <c r="EU38" t="s">
        <v>271</v>
      </c>
      <c r="EV38">
        <v>32</v>
      </c>
      <c r="EW38" t="str" cm="1">
        <f t="array" aca="1" ref="EW38" ca="1">INDIRECT("'5借入一覧'!"&amp;ET38&amp;EV38)&amp;INDIRECT("'5借入一覧'!"&amp;EU38&amp;EV38)</f>
        <v/>
      </c>
      <c r="EX38">
        <v>1</v>
      </c>
      <c r="EY38">
        <v>31</v>
      </c>
      <c r="EZ38" t="e">
        <f t="shared" ref="EZ38:FD47" ca="1" si="18">VLOOKUP($EY38&amp;EZ$5,$EW$7:$EX$1101,2,FALSE)</f>
        <v>#N/A</v>
      </c>
      <c r="FA38" t="e">
        <f t="shared" ca="1" si="18"/>
        <v>#N/A</v>
      </c>
      <c r="FB38" t="e">
        <f t="shared" ca="1" si="18"/>
        <v>#N/A</v>
      </c>
      <c r="FC38" t="e">
        <f t="shared" ca="1" si="18"/>
        <v>#N/A</v>
      </c>
      <c r="FD38" t="e">
        <f t="shared" ca="1" si="18"/>
        <v>#N/A</v>
      </c>
      <c r="FE38" t="str">
        <f t="shared" ca="1" si="9"/>
        <v/>
      </c>
      <c r="FF38" t="str">
        <f t="shared" ca="1" si="10"/>
        <v/>
      </c>
      <c r="FG38" t="str">
        <f t="shared" ca="1" si="11"/>
        <v/>
      </c>
      <c r="FH38" t="str">
        <f t="shared" ca="1" si="12"/>
        <v/>
      </c>
      <c r="FI38" t="str">
        <f t="shared" ca="1" si="13"/>
        <v/>
      </c>
      <c r="FJ38" t="str">
        <f t="shared" ca="1" si="14"/>
        <v/>
      </c>
      <c r="FK38" t="str">
        <f t="shared" ca="1" si="8"/>
        <v/>
      </c>
      <c r="FL38" t="str">
        <f t="shared" ca="1" si="15"/>
        <v>無</v>
      </c>
      <c r="FN38" s="5" t="s">
        <v>200</v>
      </c>
      <c r="FO38" s="57">
        <v>5351956000</v>
      </c>
    </row>
    <row r="39" spans="23:171">
      <c r="AR39" s="132" t="s">
        <v>288</v>
      </c>
      <c r="AS39" s="57"/>
      <c r="AT39" s="57"/>
      <c r="AU39" s="57">
        <v>35000</v>
      </c>
      <c r="AV39" s="57"/>
      <c r="AW39" s="57"/>
      <c r="AX39" s="57"/>
      <c r="AY39" s="57"/>
      <c r="AZ39" s="57"/>
      <c r="BA39" s="57"/>
      <c r="BB39" s="57">
        <v>35000</v>
      </c>
      <c r="BD39" s="57"/>
      <c r="BE39" s="57"/>
      <c r="CO39" s="5">
        <v>81</v>
      </c>
      <c r="CP39" s="57">
        <v>169400</v>
      </c>
      <c r="CQ39">
        <v>24</v>
      </c>
      <c r="CS39">
        <v>32</v>
      </c>
      <c r="CT39">
        <f t="shared" si="1"/>
        <v>104</v>
      </c>
      <c r="CU39" t="str">
        <f t="shared" si="2"/>
        <v>コアプラス池袋</v>
      </c>
      <c r="CV39" t="str">
        <f t="shared" si="3"/>
        <v>101</v>
      </c>
      <c r="CW39" t="str">
        <f t="shared" si="4"/>
        <v>店舗</v>
      </c>
      <c r="CX39" t="str">
        <f t="shared" si="5"/>
        <v>店舗</v>
      </c>
      <c r="CY39">
        <f t="shared" si="6"/>
        <v>169400</v>
      </c>
      <c r="DF39" s="132" t="s">
        <v>193</v>
      </c>
      <c r="EM39" s="133" t="s">
        <v>281</v>
      </c>
      <c r="ES39">
        <v>32</v>
      </c>
      <c r="ET39" t="s">
        <v>270</v>
      </c>
      <c r="EU39" t="s">
        <v>271</v>
      </c>
      <c r="EV39">
        <v>33</v>
      </c>
      <c r="EW39" t="str" cm="1">
        <f t="array" aca="1" ref="EW39" ca="1">INDIRECT("'5借入一覧'!"&amp;ET39&amp;EV39)&amp;INDIRECT("'5借入一覧'!"&amp;EU39&amp;EV39)</f>
        <v/>
      </c>
      <c r="EX39">
        <v>1</v>
      </c>
      <c r="EY39">
        <v>32</v>
      </c>
      <c r="EZ39" t="e">
        <f t="shared" ca="1" si="18"/>
        <v>#N/A</v>
      </c>
      <c r="FA39" t="e">
        <f t="shared" ca="1" si="18"/>
        <v>#N/A</v>
      </c>
      <c r="FB39" t="e">
        <f t="shared" ca="1" si="18"/>
        <v>#N/A</v>
      </c>
      <c r="FC39" t="e">
        <f t="shared" ca="1" si="18"/>
        <v>#N/A</v>
      </c>
      <c r="FD39" t="e">
        <f t="shared" ca="1" si="18"/>
        <v>#N/A</v>
      </c>
      <c r="FE39" t="str">
        <f t="shared" ca="1" si="9"/>
        <v/>
      </c>
      <c r="FF39" t="str">
        <f t="shared" ca="1" si="10"/>
        <v/>
      </c>
      <c r="FG39" t="str">
        <f t="shared" ca="1" si="11"/>
        <v/>
      </c>
      <c r="FH39" t="str">
        <f t="shared" ca="1" si="12"/>
        <v/>
      </c>
      <c r="FI39" t="str">
        <f t="shared" ca="1" si="13"/>
        <v/>
      </c>
      <c r="FJ39" t="str">
        <f t="shared" ca="1" si="14"/>
        <v/>
      </c>
      <c r="FK39" t="str">
        <f t="shared" ca="1" si="8"/>
        <v/>
      </c>
      <c r="FL39" t="str">
        <f t="shared" ca="1" si="15"/>
        <v>無</v>
      </c>
    </row>
    <row r="40" spans="23:171">
      <c r="AR40" s="132" t="s">
        <v>285</v>
      </c>
      <c r="AS40" s="57"/>
      <c r="AT40" s="57"/>
      <c r="AU40" s="57"/>
      <c r="AV40" s="57"/>
      <c r="AW40" s="57">
        <v>1378700</v>
      </c>
      <c r="AX40" s="57"/>
      <c r="AY40" s="57"/>
      <c r="AZ40" s="57">
        <v>1100000</v>
      </c>
      <c r="BA40" s="57"/>
      <c r="BB40" s="57">
        <v>2478700</v>
      </c>
      <c r="BD40" s="57"/>
      <c r="BE40" s="57"/>
      <c r="CO40" s="5">
        <v>59</v>
      </c>
      <c r="CP40" s="57">
        <v>169000</v>
      </c>
      <c r="CQ40">
        <v>25</v>
      </c>
      <c r="CS40">
        <v>33</v>
      </c>
      <c r="CT40">
        <f t="shared" si="1"/>
        <v>102</v>
      </c>
      <c r="CU40" t="str">
        <f t="shared" si="2"/>
        <v>池袋ハウス</v>
      </c>
      <c r="CV40" t="str">
        <f t="shared" si="3"/>
        <v>407</v>
      </c>
      <c r="CW40" t="str">
        <f t="shared" si="4"/>
        <v>住居</v>
      </c>
      <c r="CX40" t="str">
        <f t="shared" si="5"/>
        <v>2DK</v>
      </c>
      <c r="CY40">
        <f t="shared" si="6"/>
        <v>169000</v>
      </c>
      <c r="DF40" s="132" t="s">
        <v>260</v>
      </c>
      <c r="EM40" s="133" t="s">
        <v>285</v>
      </c>
      <c r="ES40">
        <v>33</v>
      </c>
      <c r="ET40" t="s">
        <v>270</v>
      </c>
      <c r="EU40" t="s">
        <v>271</v>
      </c>
      <c r="EV40">
        <v>34</v>
      </c>
      <c r="EW40" t="str" cm="1">
        <f t="array" aca="1" ref="EW40" ca="1">INDIRECT("'5借入一覧'!"&amp;ET40&amp;EV40)&amp;INDIRECT("'5借入一覧'!"&amp;EU40&amp;EV40)</f>
        <v/>
      </c>
      <c r="EX40">
        <v>1</v>
      </c>
      <c r="EY40">
        <v>33</v>
      </c>
      <c r="EZ40" t="e">
        <f t="shared" ca="1" si="18"/>
        <v>#N/A</v>
      </c>
      <c r="FA40" t="e">
        <f t="shared" ca="1" si="18"/>
        <v>#N/A</v>
      </c>
      <c r="FB40" t="e">
        <f t="shared" ca="1" si="18"/>
        <v>#N/A</v>
      </c>
      <c r="FC40" t="e">
        <f t="shared" ca="1" si="18"/>
        <v>#N/A</v>
      </c>
      <c r="FD40" t="e">
        <f t="shared" ca="1" si="18"/>
        <v>#N/A</v>
      </c>
      <c r="FE40" t="str">
        <f t="shared" ca="1" si="9"/>
        <v/>
      </c>
      <c r="FF40" t="str">
        <f t="shared" ca="1" si="10"/>
        <v/>
      </c>
      <c r="FG40" t="str">
        <f t="shared" ca="1" si="11"/>
        <v/>
      </c>
      <c r="FH40" t="str">
        <f t="shared" ca="1" si="12"/>
        <v/>
      </c>
      <c r="FI40" t="str">
        <f t="shared" ca="1" si="13"/>
        <v/>
      </c>
      <c r="FJ40" t="str">
        <f t="shared" ca="1" si="14"/>
        <v/>
      </c>
      <c r="FK40" t="str">
        <f t="shared" ca="1" si="8"/>
        <v/>
      </c>
      <c r="FL40" t="str">
        <f t="shared" ca="1" si="15"/>
        <v>無</v>
      </c>
    </row>
    <row r="41" spans="23:171">
      <c r="AR41" s="132" t="s">
        <v>290</v>
      </c>
      <c r="AS41" s="57"/>
      <c r="AT41" s="57"/>
      <c r="AU41" s="57">
        <v>94600</v>
      </c>
      <c r="AV41" s="57"/>
      <c r="AW41" s="57">
        <v>935000</v>
      </c>
      <c r="AX41" s="57">
        <v>264815</v>
      </c>
      <c r="AY41" s="57"/>
      <c r="AZ41" s="57"/>
      <c r="BA41" s="57"/>
      <c r="BB41" s="57">
        <v>1294415</v>
      </c>
      <c r="BD41" s="57"/>
      <c r="BE41" s="57"/>
      <c r="CO41" s="5">
        <v>121</v>
      </c>
      <c r="CP41" s="57">
        <v>167000</v>
      </c>
      <c r="CQ41">
        <v>26</v>
      </c>
      <c r="CS41">
        <v>34</v>
      </c>
      <c r="CT41">
        <f t="shared" si="1"/>
        <v>106</v>
      </c>
      <c r="CU41" t="str">
        <f t="shared" si="2"/>
        <v>東池袋ハイツ</v>
      </c>
      <c r="CV41" t="str">
        <f t="shared" si="3"/>
        <v>102</v>
      </c>
      <c r="CW41" t="str">
        <f t="shared" si="4"/>
        <v>住居</v>
      </c>
      <c r="CX41" t="str">
        <f t="shared" si="5"/>
        <v>3DK</v>
      </c>
      <c r="CY41">
        <f t="shared" si="6"/>
        <v>167000</v>
      </c>
      <c r="DF41" s="132" t="s">
        <v>261</v>
      </c>
      <c r="EM41" s="133" t="s">
        <v>290</v>
      </c>
      <c r="ES41">
        <v>34</v>
      </c>
      <c r="ET41" t="s">
        <v>270</v>
      </c>
      <c r="EU41" t="s">
        <v>271</v>
      </c>
      <c r="EV41">
        <v>35</v>
      </c>
      <c r="EW41" t="str" cm="1">
        <f t="array" aca="1" ref="EW41" ca="1">INDIRECT("'5借入一覧'!"&amp;ET41&amp;EV41)&amp;INDIRECT("'5借入一覧'!"&amp;EU41&amp;EV41)</f>
        <v/>
      </c>
      <c r="EX41">
        <v>1</v>
      </c>
      <c r="EY41">
        <v>34</v>
      </c>
      <c r="EZ41" t="e">
        <f t="shared" ca="1" si="18"/>
        <v>#N/A</v>
      </c>
      <c r="FA41" t="e">
        <f t="shared" ca="1" si="18"/>
        <v>#N/A</v>
      </c>
      <c r="FB41" t="e">
        <f t="shared" ca="1" si="18"/>
        <v>#N/A</v>
      </c>
      <c r="FC41" t="e">
        <f t="shared" ca="1" si="18"/>
        <v>#N/A</v>
      </c>
      <c r="FD41" t="e">
        <f t="shared" ca="1" si="18"/>
        <v>#N/A</v>
      </c>
      <c r="FE41" t="str">
        <f t="shared" ca="1" si="9"/>
        <v/>
      </c>
      <c r="FF41" t="str">
        <f t="shared" ca="1" si="10"/>
        <v/>
      </c>
      <c r="FG41" t="str">
        <f t="shared" ca="1" si="11"/>
        <v/>
      </c>
      <c r="FH41" t="str">
        <f t="shared" ca="1" si="12"/>
        <v/>
      </c>
      <c r="FI41" t="str">
        <f t="shared" ca="1" si="13"/>
        <v/>
      </c>
      <c r="FJ41" t="str">
        <f t="shared" ca="1" si="14"/>
        <v/>
      </c>
      <c r="FK41" t="str">
        <f t="shared" ca="1" si="8"/>
        <v/>
      </c>
      <c r="FL41" t="str">
        <f t="shared" ca="1" si="15"/>
        <v>無</v>
      </c>
    </row>
    <row r="42" spans="23:171">
      <c r="AR42" s="132" t="s">
        <v>295</v>
      </c>
      <c r="AS42" s="57"/>
      <c r="AT42" s="57"/>
      <c r="AU42" s="57"/>
      <c r="AV42" s="57"/>
      <c r="AW42" s="57">
        <v>846000</v>
      </c>
      <c r="AX42" s="57"/>
      <c r="AY42" s="57">
        <v>14300</v>
      </c>
      <c r="AZ42" s="57"/>
      <c r="BA42" s="57"/>
      <c r="BB42" s="57">
        <v>860300</v>
      </c>
      <c r="BD42" s="57"/>
      <c r="BE42" s="57"/>
      <c r="CO42" s="5">
        <v>296</v>
      </c>
      <c r="CP42" s="57">
        <v>165000</v>
      </c>
      <c r="CQ42">
        <v>27</v>
      </c>
      <c r="CS42">
        <v>35</v>
      </c>
      <c r="CT42">
        <f t="shared" si="1"/>
        <v>117</v>
      </c>
      <c r="CU42" t="str">
        <f t="shared" si="2"/>
        <v>高田馬場第4玉川ビル</v>
      </c>
      <c r="CV42" t="str">
        <f t="shared" si="3"/>
        <v>B101</v>
      </c>
      <c r="CW42" t="str">
        <f t="shared" si="4"/>
        <v>住居</v>
      </c>
      <c r="CX42" t="str">
        <f t="shared" si="5"/>
        <v>2SLDK</v>
      </c>
      <c r="CY42">
        <f t="shared" si="6"/>
        <v>165000</v>
      </c>
      <c r="DF42" s="132" t="s">
        <v>235</v>
      </c>
      <c r="DG42">
        <v>1</v>
      </c>
      <c r="DH42">
        <v>264815</v>
      </c>
      <c r="EM42" s="133" t="s">
        <v>295</v>
      </c>
      <c r="ES42">
        <v>35</v>
      </c>
      <c r="ET42" t="s">
        <v>270</v>
      </c>
      <c r="EU42" t="s">
        <v>271</v>
      </c>
      <c r="EV42">
        <v>36</v>
      </c>
      <c r="EW42" t="str" cm="1">
        <f t="array" aca="1" ref="EW42" ca="1">INDIRECT("'5借入一覧'!"&amp;ET42&amp;EV42)&amp;INDIRECT("'5借入一覧'!"&amp;EU42&amp;EV42)</f>
        <v/>
      </c>
      <c r="EX42">
        <v>1</v>
      </c>
      <c r="EY42">
        <v>35</v>
      </c>
      <c r="EZ42" t="e">
        <f t="shared" ca="1" si="18"/>
        <v>#N/A</v>
      </c>
      <c r="FA42" t="e">
        <f t="shared" ca="1" si="18"/>
        <v>#N/A</v>
      </c>
      <c r="FB42" t="e">
        <f t="shared" ca="1" si="18"/>
        <v>#N/A</v>
      </c>
      <c r="FC42" t="e">
        <f t="shared" ca="1" si="18"/>
        <v>#N/A</v>
      </c>
      <c r="FD42" t="e">
        <f t="shared" ca="1" si="18"/>
        <v>#N/A</v>
      </c>
      <c r="FE42" t="str">
        <f t="shared" ca="1" si="9"/>
        <v/>
      </c>
      <c r="FF42" t="str">
        <f t="shared" ca="1" si="10"/>
        <v/>
      </c>
      <c r="FG42" t="str">
        <f t="shared" ca="1" si="11"/>
        <v/>
      </c>
      <c r="FH42" t="str">
        <f t="shared" ca="1" si="12"/>
        <v/>
      </c>
      <c r="FI42" t="str">
        <f t="shared" ca="1" si="13"/>
        <v/>
      </c>
      <c r="FJ42" t="str">
        <f t="shared" ca="1" si="14"/>
        <v/>
      </c>
      <c r="FK42" t="str">
        <f t="shared" ca="1" si="8"/>
        <v/>
      </c>
      <c r="FL42" t="str">
        <f t="shared" ca="1" si="15"/>
        <v>無</v>
      </c>
    </row>
    <row r="43" spans="23:171">
      <c r="AR43" s="132" t="s">
        <v>302</v>
      </c>
      <c r="AS43" s="57">
        <v>99000</v>
      </c>
      <c r="AT43" s="57"/>
      <c r="AU43" s="57">
        <v>302500</v>
      </c>
      <c r="AV43" s="57"/>
      <c r="AW43" s="57">
        <v>1437800</v>
      </c>
      <c r="AX43" s="57"/>
      <c r="AY43" s="57"/>
      <c r="AZ43" s="57"/>
      <c r="BA43" s="57"/>
      <c r="BB43" s="57">
        <v>1839300</v>
      </c>
      <c r="BD43" s="57"/>
      <c r="BE43" s="57"/>
      <c r="CO43" s="5">
        <v>174</v>
      </c>
      <c r="CP43" s="57">
        <v>165000</v>
      </c>
      <c r="CQ43">
        <v>27</v>
      </c>
      <c r="CS43">
        <v>36</v>
      </c>
      <c r="CT43">
        <f t="shared" si="1"/>
        <v>109</v>
      </c>
      <c r="CU43" t="str">
        <f t="shared" si="2"/>
        <v>カーサ南池袋</v>
      </c>
      <c r="CV43" t="str">
        <f t="shared" si="3"/>
        <v>112</v>
      </c>
      <c r="CW43" t="str">
        <f t="shared" si="4"/>
        <v>住居</v>
      </c>
      <c r="CX43" t="str">
        <f t="shared" si="5"/>
        <v>3LDK</v>
      </c>
      <c r="CY43">
        <f t="shared" si="6"/>
        <v>165000</v>
      </c>
      <c r="DF43" s="132" t="s">
        <v>236</v>
      </c>
      <c r="EM43" s="133" t="s">
        <v>302</v>
      </c>
      <c r="ES43">
        <v>36</v>
      </c>
      <c r="ET43" t="s">
        <v>270</v>
      </c>
      <c r="EU43" t="s">
        <v>271</v>
      </c>
      <c r="EV43">
        <v>37</v>
      </c>
      <c r="EW43" t="str" cm="1">
        <f t="array" aca="1" ref="EW43" ca="1">INDIRECT("'5借入一覧'!"&amp;ET43&amp;EV43)&amp;INDIRECT("'5借入一覧'!"&amp;EU43&amp;EV43)</f>
        <v/>
      </c>
      <c r="EX43">
        <v>1</v>
      </c>
      <c r="EY43">
        <v>36</v>
      </c>
      <c r="EZ43" t="e">
        <f t="shared" ca="1" si="18"/>
        <v>#N/A</v>
      </c>
      <c r="FA43" t="e">
        <f t="shared" ca="1" si="18"/>
        <v>#N/A</v>
      </c>
      <c r="FB43" t="e">
        <f t="shared" ca="1" si="18"/>
        <v>#N/A</v>
      </c>
      <c r="FC43" t="e">
        <f t="shared" ca="1" si="18"/>
        <v>#N/A</v>
      </c>
      <c r="FD43" t="e">
        <f t="shared" ca="1" si="18"/>
        <v>#N/A</v>
      </c>
      <c r="FE43" t="str">
        <f t="shared" ca="1" si="9"/>
        <v/>
      </c>
      <c r="FF43" t="str">
        <f t="shared" ca="1" si="10"/>
        <v/>
      </c>
      <c r="FG43" t="str">
        <f t="shared" ca="1" si="11"/>
        <v/>
      </c>
      <c r="FH43" t="str">
        <f t="shared" ca="1" si="12"/>
        <v/>
      </c>
      <c r="FI43" t="str">
        <f t="shared" ca="1" si="13"/>
        <v/>
      </c>
      <c r="FJ43" t="str">
        <f t="shared" ca="1" si="14"/>
        <v/>
      </c>
      <c r="FK43" t="str">
        <f t="shared" ca="1" si="8"/>
        <v/>
      </c>
      <c r="FL43" t="str">
        <f t="shared" ca="1" si="15"/>
        <v>無</v>
      </c>
    </row>
    <row r="44" spans="23:171">
      <c r="AR44" s="132" t="s">
        <v>313</v>
      </c>
      <c r="AS44" s="57"/>
      <c r="AT44" s="57"/>
      <c r="AU44" s="57"/>
      <c r="AV44" s="57"/>
      <c r="AW44" s="57">
        <v>2984000</v>
      </c>
      <c r="AX44" s="57"/>
      <c r="AY44" s="57">
        <v>22000</v>
      </c>
      <c r="AZ44" s="57"/>
      <c r="BA44" s="57"/>
      <c r="BB44" s="57">
        <v>3006000</v>
      </c>
      <c r="BD44" s="57"/>
      <c r="BE44" s="57"/>
      <c r="CO44" s="5">
        <v>67</v>
      </c>
      <c r="CP44" s="57">
        <v>165000</v>
      </c>
      <c r="CQ44">
        <v>27</v>
      </c>
      <c r="CS44">
        <v>37</v>
      </c>
      <c r="CT44">
        <f t="shared" si="1"/>
        <v>103</v>
      </c>
      <c r="CU44" t="str">
        <f t="shared" si="2"/>
        <v>カーサ目白台ハウス</v>
      </c>
      <c r="CV44" t="str">
        <f t="shared" si="3"/>
        <v>202</v>
      </c>
      <c r="CW44" t="str">
        <f t="shared" si="4"/>
        <v>店舗</v>
      </c>
      <c r="CX44" t="str">
        <f t="shared" si="5"/>
        <v>事務所</v>
      </c>
      <c r="CY44">
        <f t="shared" si="6"/>
        <v>165000</v>
      </c>
      <c r="DF44" s="132" t="s">
        <v>262</v>
      </c>
      <c r="EM44" s="133" t="s">
        <v>4</v>
      </c>
      <c r="ES44">
        <v>37</v>
      </c>
      <c r="ET44" t="s">
        <v>270</v>
      </c>
      <c r="EU44" t="s">
        <v>271</v>
      </c>
      <c r="EV44">
        <v>38</v>
      </c>
      <c r="EW44" t="str" cm="1">
        <f t="array" aca="1" ref="EW44" ca="1">INDIRECT("'5借入一覧'!"&amp;ET44&amp;EV44)&amp;INDIRECT("'5借入一覧'!"&amp;EU44&amp;EV44)</f>
        <v/>
      </c>
      <c r="EX44">
        <v>1</v>
      </c>
      <c r="EY44">
        <v>37</v>
      </c>
      <c r="EZ44" t="e">
        <f t="shared" ca="1" si="18"/>
        <v>#N/A</v>
      </c>
      <c r="FA44" t="e">
        <f t="shared" ca="1" si="18"/>
        <v>#N/A</v>
      </c>
      <c r="FB44" t="e">
        <f t="shared" ca="1" si="18"/>
        <v>#N/A</v>
      </c>
      <c r="FC44" t="e">
        <f t="shared" ca="1" si="18"/>
        <v>#N/A</v>
      </c>
      <c r="FD44" t="e">
        <f t="shared" ca="1" si="18"/>
        <v>#N/A</v>
      </c>
      <c r="FE44" t="str">
        <f t="shared" ca="1" si="9"/>
        <v/>
      </c>
      <c r="FF44" t="str">
        <f t="shared" ca="1" si="10"/>
        <v/>
      </c>
      <c r="FG44" t="str">
        <f t="shared" ca="1" si="11"/>
        <v/>
      </c>
      <c r="FH44" t="str">
        <f t="shared" ca="1" si="12"/>
        <v/>
      </c>
      <c r="FI44" t="str">
        <f t="shared" ca="1" si="13"/>
        <v/>
      </c>
      <c r="FJ44" t="str">
        <f t="shared" ca="1" si="14"/>
        <v/>
      </c>
      <c r="FK44" t="str">
        <f t="shared" ca="1" si="8"/>
        <v/>
      </c>
      <c r="FL44" t="str">
        <f t="shared" ca="1" si="15"/>
        <v>無</v>
      </c>
    </row>
    <row r="45" spans="23:171">
      <c r="AR45" s="132" t="s">
        <v>316</v>
      </c>
      <c r="AS45" s="57"/>
      <c r="AT45" s="57"/>
      <c r="AU45" s="57"/>
      <c r="AV45" s="57"/>
      <c r="AW45" s="57">
        <v>3026000</v>
      </c>
      <c r="AX45" s="57"/>
      <c r="AY45" s="57">
        <v>72000</v>
      </c>
      <c r="AZ45" s="57"/>
      <c r="BA45" s="57"/>
      <c r="BB45" s="57">
        <v>3098000</v>
      </c>
      <c r="BD45" s="57"/>
      <c r="BE45" s="57"/>
      <c r="CO45" s="5">
        <v>289</v>
      </c>
      <c r="CP45" s="57">
        <v>165000</v>
      </c>
      <c r="CQ45">
        <v>27</v>
      </c>
      <c r="CS45">
        <v>38</v>
      </c>
      <c r="CT45">
        <f t="shared" si="1"/>
        <v>116</v>
      </c>
      <c r="CU45" t="str">
        <f t="shared" si="2"/>
        <v>コアプラスレジデンス梅田</v>
      </c>
      <c r="CV45" t="str">
        <f t="shared" si="3"/>
        <v>702</v>
      </c>
      <c r="CW45" t="str">
        <f t="shared" si="4"/>
        <v>住居</v>
      </c>
      <c r="CX45" t="str">
        <f t="shared" si="5"/>
        <v>3DK</v>
      </c>
      <c r="CY45">
        <f t="shared" si="6"/>
        <v>165000</v>
      </c>
      <c r="DF45" s="132" t="s">
        <v>198</v>
      </c>
      <c r="EM45" s="133" t="s">
        <v>272</v>
      </c>
      <c r="EN45">
        <v>84461</v>
      </c>
      <c r="EO45">
        <v>16139</v>
      </c>
      <c r="EP45">
        <v>100600</v>
      </c>
      <c r="EQ45">
        <v>10244573</v>
      </c>
      <c r="ES45">
        <v>38</v>
      </c>
      <c r="ET45" t="s">
        <v>270</v>
      </c>
      <c r="EU45" t="s">
        <v>271</v>
      </c>
      <c r="EV45">
        <v>39</v>
      </c>
      <c r="EW45" t="str" cm="1">
        <f t="array" aca="1" ref="EW45" ca="1">INDIRECT("'5借入一覧'!"&amp;ET45&amp;EV45)&amp;INDIRECT("'5借入一覧'!"&amp;EU45&amp;EV45)</f>
        <v/>
      </c>
      <c r="EX45">
        <v>1</v>
      </c>
      <c r="EY45">
        <v>38</v>
      </c>
      <c r="EZ45" t="e">
        <f t="shared" ca="1" si="18"/>
        <v>#N/A</v>
      </c>
      <c r="FA45" t="e">
        <f t="shared" ca="1" si="18"/>
        <v>#N/A</v>
      </c>
      <c r="FB45" t="e">
        <f t="shared" ca="1" si="18"/>
        <v>#N/A</v>
      </c>
      <c r="FC45" t="e">
        <f t="shared" ca="1" si="18"/>
        <v>#N/A</v>
      </c>
      <c r="FD45" t="e">
        <f t="shared" ca="1" si="18"/>
        <v>#N/A</v>
      </c>
      <c r="FE45" t="str">
        <f t="shared" ca="1" si="9"/>
        <v/>
      </c>
      <c r="FF45" t="str">
        <f t="shared" ca="1" si="10"/>
        <v/>
      </c>
      <c r="FG45" t="str">
        <f t="shared" ca="1" si="11"/>
        <v/>
      </c>
      <c r="FH45" t="str">
        <f t="shared" ca="1" si="12"/>
        <v/>
      </c>
      <c r="FI45" t="str">
        <f t="shared" ca="1" si="13"/>
        <v/>
      </c>
      <c r="FJ45" t="str">
        <f t="shared" ca="1" si="14"/>
        <v/>
      </c>
      <c r="FK45" t="str">
        <f t="shared" ca="1" si="8"/>
        <v/>
      </c>
      <c r="FL45" t="str">
        <f t="shared" ca="1" si="15"/>
        <v>無</v>
      </c>
    </row>
    <row r="46" spans="23:171">
      <c r="AR46" s="132" t="s">
        <v>320</v>
      </c>
      <c r="AS46" s="57">
        <v>13200</v>
      </c>
      <c r="AT46" s="57"/>
      <c r="AU46" s="57"/>
      <c r="AV46" s="57"/>
      <c r="AW46" s="57">
        <v>3084000</v>
      </c>
      <c r="AX46" s="57"/>
      <c r="AY46" s="57"/>
      <c r="AZ46" s="57"/>
      <c r="BA46" s="57"/>
      <c r="BB46" s="57">
        <v>3097200</v>
      </c>
      <c r="BD46" s="57"/>
      <c r="BE46" s="57"/>
      <c r="CO46" s="5">
        <v>56</v>
      </c>
      <c r="CP46" s="57">
        <v>162000</v>
      </c>
      <c r="CQ46">
        <v>28</v>
      </c>
      <c r="CS46">
        <v>39</v>
      </c>
      <c r="CT46">
        <f t="shared" si="1"/>
        <v>102</v>
      </c>
      <c r="CU46" t="str">
        <f t="shared" si="2"/>
        <v>池袋ハウス</v>
      </c>
      <c r="CV46" t="str">
        <f t="shared" si="3"/>
        <v>403</v>
      </c>
      <c r="CW46" t="str">
        <f t="shared" si="4"/>
        <v>住居</v>
      </c>
      <c r="CX46" t="str">
        <f t="shared" si="5"/>
        <v>2DK</v>
      </c>
      <c r="CY46">
        <f t="shared" si="6"/>
        <v>162000</v>
      </c>
      <c r="DF46" s="5" t="s">
        <v>346</v>
      </c>
      <c r="DG46">
        <v>2</v>
      </c>
      <c r="DH46">
        <v>658981</v>
      </c>
      <c r="EM46" s="133" t="s">
        <v>313</v>
      </c>
      <c r="ES46">
        <v>39</v>
      </c>
      <c r="ET46" t="s">
        <v>270</v>
      </c>
      <c r="EU46" t="s">
        <v>271</v>
      </c>
      <c r="EV46">
        <v>40</v>
      </c>
      <c r="EW46" t="str" cm="1">
        <f t="array" aca="1" ref="EW46" ca="1">INDIRECT("'5借入一覧'!"&amp;ET46&amp;EV46)&amp;INDIRECT("'5借入一覧'!"&amp;EU46&amp;EV46)</f>
        <v/>
      </c>
      <c r="EX46">
        <v>1</v>
      </c>
      <c r="EY46">
        <v>39</v>
      </c>
      <c r="EZ46" t="e">
        <f t="shared" ca="1" si="18"/>
        <v>#N/A</v>
      </c>
      <c r="FA46" t="e">
        <f t="shared" ca="1" si="18"/>
        <v>#N/A</v>
      </c>
      <c r="FB46" t="e">
        <f t="shared" ca="1" si="18"/>
        <v>#N/A</v>
      </c>
      <c r="FC46" t="e">
        <f t="shared" ca="1" si="18"/>
        <v>#N/A</v>
      </c>
      <c r="FD46" t="e">
        <f t="shared" ca="1" si="18"/>
        <v>#N/A</v>
      </c>
      <c r="FE46" t="str">
        <f t="shared" ca="1" si="9"/>
        <v/>
      </c>
      <c r="FF46" t="str">
        <f t="shared" ca="1" si="10"/>
        <v/>
      </c>
      <c r="FG46" t="str">
        <f t="shared" ca="1" si="11"/>
        <v/>
      </c>
      <c r="FH46" t="str">
        <f t="shared" ca="1" si="12"/>
        <v/>
      </c>
      <c r="FI46" t="str">
        <f t="shared" ca="1" si="13"/>
        <v/>
      </c>
      <c r="FJ46" t="str">
        <f t="shared" ca="1" si="14"/>
        <v/>
      </c>
      <c r="FK46" t="str">
        <f t="shared" ca="1" si="8"/>
        <v/>
      </c>
      <c r="FL46" t="str">
        <f t="shared" ca="1" si="15"/>
        <v>無</v>
      </c>
    </row>
    <row r="47" spans="23:171">
      <c r="AR47" s="132" t="s">
        <v>324</v>
      </c>
      <c r="AS47" s="57"/>
      <c r="AT47" s="57"/>
      <c r="AU47" s="57"/>
      <c r="AV47" s="57">
        <v>0</v>
      </c>
      <c r="AW47" s="57">
        <v>868000</v>
      </c>
      <c r="AX47" s="57"/>
      <c r="AY47" s="57"/>
      <c r="AZ47" s="57"/>
      <c r="BA47" s="57"/>
      <c r="BB47" s="57">
        <v>868000</v>
      </c>
      <c r="BD47" s="57"/>
      <c r="BE47" s="57"/>
      <c r="CO47" s="5">
        <v>58</v>
      </c>
      <c r="CP47" s="57">
        <v>162000</v>
      </c>
      <c r="CQ47">
        <v>28</v>
      </c>
      <c r="CS47">
        <v>40</v>
      </c>
      <c r="CT47">
        <f t="shared" si="1"/>
        <v>102</v>
      </c>
      <c r="CU47" t="str">
        <f t="shared" si="2"/>
        <v>池袋ハウス</v>
      </c>
      <c r="CV47" t="str">
        <f t="shared" si="3"/>
        <v>406</v>
      </c>
      <c r="CW47" t="str">
        <f t="shared" si="4"/>
        <v>住居</v>
      </c>
      <c r="CX47" t="str">
        <f t="shared" si="5"/>
        <v>2DK</v>
      </c>
      <c r="CY47">
        <f t="shared" si="6"/>
        <v>162000</v>
      </c>
      <c r="DF47" s="132" t="s">
        <v>234</v>
      </c>
      <c r="EM47" s="133" t="s">
        <v>316</v>
      </c>
      <c r="ES47">
        <v>40</v>
      </c>
      <c r="ET47" t="s">
        <v>270</v>
      </c>
      <c r="EU47" t="s">
        <v>271</v>
      </c>
      <c r="EV47">
        <v>41</v>
      </c>
      <c r="EW47" t="str" cm="1">
        <f t="array" aca="1" ref="EW47" ca="1">INDIRECT("'5借入一覧'!"&amp;ET47&amp;EV47)&amp;INDIRECT("'5借入一覧'!"&amp;EU47&amp;EV47)</f>
        <v/>
      </c>
      <c r="EX47">
        <v>1</v>
      </c>
      <c r="EY47">
        <v>40</v>
      </c>
      <c r="EZ47" t="e">
        <f t="shared" ca="1" si="18"/>
        <v>#N/A</v>
      </c>
      <c r="FA47" t="e">
        <f t="shared" ca="1" si="18"/>
        <v>#N/A</v>
      </c>
      <c r="FB47" t="e">
        <f t="shared" ca="1" si="18"/>
        <v>#N/A</v>
      </c>
      <c r="FC47" t="e">
        <f t="shared" ca="1" si="18"/>
        <v>#N/A</v>
      </c>
      <c r="FD47" t="e">
        <f t="shared" ca="1" si="18"/>
        <v>#N/A</v>
      </c>
      <c r="FE47" t="str">
        <f t="shared" ca="1" si="9"/>
        <v/>
      </c>
      <c r="FF47" t="str">
        <f t="shared" ca="1" si="10"/>
        <v/>
      </c>
      <c r="FG47" t="str">
        <f t="shared" ca="1" si="11"/>
        <v/>
      </c>
      <c r="FH47" t="str">
        <f t="shared" ca="1" si="12"/>
        <v/>
      </c>
      <c r="FI47" t="str">
        <f t="shared" ca="1" si="13"/>
        <v/>
      </c>
      <c r="FJ47" t="str">
        <f t="shared" ca="1" si="14"/>
        <v/>
      </c>
      <c r="FK47" t="str">
        <f t="shared" ca="1" si="8"/>
        <v/>
      </c>
      <c r="FL47" t="str">
        <f t="shared" ca="1" si="15"/>
        <v>無</v>
      </c>
    </row>
    <row r="48" spans="23:171">
      <c r="AR48" s="132" t="s">
        <v>327</v>
      </c>
      <c r="AS48" s="57"/>
      <c r="AT48" s="57"/>
      <c r="AU48" s="57">
        <v>2530000</v>
      </c>
      <c r="AV48" s="57"/>
      <c r="AW48" s="57"/>
      <c r="AX48" s="57"/>
      <c r="AY48" s="57"/>
      <c r="AZ48" s="57"/>
      <c r="BA48" s="57"/>
      <c r="BB48" s="57">
        <v>2530000</v>
      </c>
      <c r="BD48" s="57"/>
      <c r="BE48" s="57"/>
      <c r="CO48" s="5">
        <v>318</v>
      </c>
      <c r="CP48" s="57">
        <v>160000</v>
      </c>
      <c r="CQ48">
        <v>29</v>
      </c>
      <c r="DF48" s="132" t="s">
        <v>193</v>
      </c>
      <c r="EM48" s="133" t="s">
        <v>320</v>
      </c>
      <c r="ES48">
        <v>41</v>
      </c>
      <c r="ET48" t="s">
        <v>270</v>
      </c>
      <c r="EU48" t="s">
        <v>271</v>
      </c>
      <c r="EV48">
        <v>42</v>
      </c>
      <c r="EW48" t="str" cm="1">
        <f t="array" aca="1" ref="EW48" ca="1">INDIRECT("'5借入一覧'!"&amp;ET48&amp;EV48)&amp;INDIRECT("'5借入一覧'!"&amp;EU48&amp;EV48)</f>
        <v/>
      </c>
      <c r="EX48">
        <v>1</v>
      </c>
      <c r="EY48">
        <v>41</v>
      </c>
      <c r="EZ48" t="e">
        <f t="shared" ref="EZ48:FD57" ca="1" si="19">VLOOKUP($EY48&amp;EZ$5,$EW$7:$EX$1101,2,FALSE)</f>
        <v>#N/A</v>
      </c>
      <c r="FA48" t="e">
        <f t="shared" ca="1" si="19"/>
        <v>#N/A</v>
      </c>
      <c r="FB48" t="e">
        <f t="shared" ca="1" si="19"/>
        <v>#N/A</v>
      </c>
      <c r="FC48" t="e">
        <f t="shared" ca="1" si="19"/>
        <v>#N/A</v>
      </c>
      <c r="FD48" t="e">
        <f t="shared" ca="1" si="19"/>
        <v>#N/A</v>
      </c>
      <c r="FE48" t="str">
        <f t="shared" ca="1" si="9"/>
        <v/>
      </c>
      <c r="FF48" t="str">
        <f t="shared" ca="1" si="10"/>
        <v/>
      </c>
      <c r="FG48" t="str">
        <f t="shared" ca="1" si="11"/>
        <v/>
      </c>
      <c r="FH48" t="str">
        <f t="shared" ca="1" si="12"/>
        <v/>
      </c>
      <c r="FI48" t="str">
        <f t="shared" ca="1" si="13"/>
        <v/>
      </c>
      <c r="FJ48" t="str">
        <f t="shared" ca="1" si="14"/>
        <v/>
      </c>
      <c r="FK48" t="str">
        <f t="shared" ca="1" si="8"/>
        <v/>
      </c>
      <c r="FL48" t="str">
        <f t="shared" ca="1" si="15"/>
        <v>無</v>
      </c>
    </row>
    <row r="49" spans="44:168">
      <c r="AR49" s="132" t="s">
        <v>291</v>
      </c>
      <c r="AS49" s="57">
        <v>35524</v>
      </c>
      <c r="AT49" s="57"/>
      <c r="AU49" s="57"/>
      <c r="AV49" s="57"/>
      <c r="AW49" s="57">
        <v>2589502</v>
      </c>
      <c r="AX49" s="57"/>
      <c r="AY49" s="57">
        <v>77000</v>
      </c>
      <c r="AZ49" s="57">
        <v>99000</v>
      </c>
      <c r="BA49" s="57"/>
      <c r="BB49" s="57">
        <v>2801026</v>
      </c>
      <c r="BD49" s="57"/>
      <c r="BE49" s="57"/>
      <c r="CO49" s="5">
        <v>136</v>
      </c>
      <c r="CP49" s="57">
        <v>160000</v>
      </c>
      <c r="CQ49">
        <v>29</v>
      </c>
      <c r="DF49" s="132" t="s">
        <v>260</v>
      </c>
      <c r="DG49">
        <v>1</v>
      </c>
      <c r="DH49">
        <v>302500</v>
      </c>
      <c r="EM49" s="133" t="s">
        <v>324</v>
      </c>
      <c r="ES49">
        <v>42</v>
      </c>
      <c r="ET49" t="s">
        <v>270</v>
      </c>
      <c r="EU49" t="s">
        <v>271</v>
      </c>
      <c r="EV49">
        <v>43</v>
      </c>
      <c r="EW49" t="str" cm="1">
        <f t="array" aca="1" ref="EW49" ca="1">INDIRECT("'5借入一覧'!"&amp;ET49&amp;EV49)&amp;INDIRECT("'5借入一覧'!"&amp;EU49&amp;EV49)</f>
        <v/>
      </c>
      <c r="EX49">
        <v>1</v>
      </c>
      <c r="EY49">
        <v>42</v>
      </c>
      <c r="EZ49" t="e">
        <f t="shared" ca="1" si="19"/>
        <v>#N/A</v>
      </c>
      <c r="FA49" t="e">
        <f t="shared" ca="1" si="19"/>
        <v>#N/A</v>
      </c>
      <c r="FB49" t="e">
        <f t="shared" ca="1" si="19"/>
        <v>#N/A</v>
      </c>
      <c r="FC49" t="e">
        <f t="shared" ca="1" si="19"/>
        <v>#N/A</v>
      </c>
      <c r="FD49" t="e">
        <f t="shared" ca="1" si="19"/>
        <v>#N/A</v>
      </c>
      <c r="FE49" t="str">
        <f t="shared" ca="1" si="9"/>
        <v/>
      </c>
      <c r="FF49" t="str">
        <f t="shared" ca="1" si="10"/>
        <v/>
      </c>
      <c r="FG49" t="str">
        <f t="shared" ca="1" si="11"/>
        <v/>
      </c>
      <c r="FH49" t="str">
        <f t="shared" ca="1" si="12"/>
        <v/>
      </c>
      <c r="FI49" t="str">
        <f t="shared" ca="1" si="13"/>
        <v/>
      </c>
      <c r="FJ49" t="str">
        <f t="shared" ca="1" si="14"/>
        <v/>
      </c>
      <c r="FK49" t="str">
        <f t="shared" ca="1" si="8"/>
        <v/>
      </c>
      <c r="FL49" t="str">
        <f t="shared" ca="1" si="15"/>
        <v>無</v>
      </c>
    </row>
    <row r="50" spans="44:168">
      <c r="AR50" s="132" t="s">
        <v>333</v>
      </c>
      <c r="AS50" s="57"/>
      <c r="AT50" s="57"/>
      <c r="AU50" s="57"/>
      <c r="AV50" s="57"/>
      <c r="AW50" s="57">
        <v>1758634</v>
      </c>
      <c r="AX50" s="57"/>
      <c r="AY50" s="57">
        <v>113740</v>
      </c>
      <c r="AZ50" s="57"/>
      <c r="BA50" s="57"/>
      <c r="BB50" s="57">
        <v>1872374</v>
      </c>
      <c r="BD50" s="57"/>
      <c r="BE50" s="57"/>
      <c r="CO50" s="5">
        <v>131</v>
      </c>
      <c r="CP50" s="57">
        <v>160000</v>
      </c>
      <c r="CQ50">
        <v>29</v>
      </c>
      <c r="DF50" s="132" t="s">
        <v>261</v>
      </c>
      <c r="EM50" s="133" t="s">
        <v>327</v>
      </c>
      <c r="ES50">
        <v>43</v>
      </c>
      <c r="ET50" t="s">
        <v>270</v>
      </c>
      <c r="EU50" t="s">
        <v>271</v>
      </c>
      <c r="EV50">
        <v>44</v>
      </c>
      <c r="EW50" t="str" cm="1">
        <f t="array" aca="1" ref="EW50" ca="1">INDIRECT("'5借入一覧'!"&amp;ET50&amp;EV50)&amp;INDIRECT("'5借入一覧'!"&amp;EU50&amp;EV50)</f>
        <v/>
      </c>
      <c r="EX50">
        <v>1</v>
      </c>
      <c r="EY50">
        <v>43</v>
      </c>
      <c r="EZ50" t="e">
        <f t="shared" ca="1" si="19"/>
        <v>#N/A</v>
      </c>
      <c r="FA50" t="e">
        <f t="shared" ca="1" si="19"/>
        <v>#N/A</v>
      </c>
      <c r="FB50" t="e">
        <f t="shared" ca="1" si="19"/>
        <v>#N/A</v>
      </c>
      <c r="FC50" t="e">
        <f t="shared" ca="1" si="19"/>
        <v>#N/A</v>
      </c>
      <c r="FD50" t="e">
        <f t="shared" ca="1" si="19"/>
        <v>#N/A</v>
      </c>
      <c r="FE50" t="str">
        <f t="shared" ca="1" si="9"/>
        <v/>
      </c>
      <c r="FF50" t="str">
        <f t="shared" ca="1" si="10"/>
        <v/>
      </c>
      <c r="FG50" t="str">
        <f t="shared" ca="1" si="11"/>
        <v/>
      </c>
      <c r="FH50" t="str">
        <f t="shared" ca="1" si="12"/>
        <v/>
      </c>
      <c r="FI50" t="str">
        <f t="shared" ca="1" si="13"/>
        <v/>
      </c>
      <c r="FJ50" t="str">
        <f t="shared" ca="1" si="14"/>
        <v/>
      </c>
      <c r="FK50" t="str">
        <f t="shared" ca="1" si="8"/>
        <v/>
      </c>
      <c r="FL50" t="str">
        <f t="shared" ca="1" si="15"/>
        <v>無</v>
      </c>
    </row>
    <row r="51" spans="44:168">
      <c r="AR51" s="132" t="s">
        <v>198</v>
      </c>
      <c r="AS51" s="57"/>
      <c r="AT51" s="57"/>
      <c r="AU51" s="57"/>
      <c r="AV51" s="57"/>
      <c r="AW51" s="57"/>
      <c r="AX51" s="57"/>
      <c r="AY51" s="57"/>
      <c r="AZ51" s="57"/>
      <c r="BA51" s="57"/>
      <c r="BB51" s="57"/>
      <c r="BD51" s="57"/>
      <c r="BE51" s="57"/>
      <c r="CO51" s="5">
        <v>283</v>
      </c>
      <c r="CP51" s="57">
        <v>158000</v>
      </c>
      <c r="CQ51">
        <v>30</v>
      </c>
      <c r="DF51" s="132" t="s">
        <v>235</v>
      </c>
      <c r="EM51" s="133" t="s">
        <v>291</v>
      </c>
      <c r="ES51">
        <v>44</v>
      </c>
      <c r="ET51" t="s">
        <v>270</v>
      </c>
      <c r="EU51" t="s">
        <v>271</v>
      </c>
      <c r="EV51">
        <v>45</v>
      </c>
      <c r="EW51" t="str" cm="1">
        <f t="array" aca="1" ref="EW51" ca="1">INDIRECT("'5借入一覧'!"&amp;ET51&amp;EV51)&amp;INDIRECT("'5借入一覧'!"&amp;EU51&amp;EV51)</f>
        <v/>
      </c>
      <c r="EX51">
        <v>1</v>
      </c>
      <c r="EY51">
        <v>44</v>
      </c>
      <c r="EZ51" t="e">
        <f t="shared" ca="1" si="19"/>
        <v>#N/A</v>
      </c>
      <c r="FA51" t="e">
        <f t="shared" ca="1" si="19"/>
        <v>#N/A</v>
      </c>
      <c r="FB51" t="e">
        <f t="shared" ca="1" si="19"/>
        <v>#N/A</v>
      </c>
      <c r="FC51" t="e">
        <f t="shared" ca="1" si="19"/>
        <v>#N/A</v>
      </c>
      <c r="FD51" t="e">
        <f t="shared" ca="1" si="19"/>
        <v>#N/A</v>
      </c>
      <c r="FE51" t="str">
        <f t="shared" ca="1" si="9"/>
        <v/>
      </c>
      <c r="FF51" t="str">
        <f t="shared" ca="1" si="10"/>
        <v/>
      </c>
      <c r="FG51" t="str">
        <f t="shared" ca="1" si="11"/>
        <v/>
      </c>
      <c r="FH51" t="str">
        <f t="shared" ca="1" si="12"/>
        <v/>
      </c>
      <c r="FI51" t="str">
        <f t="shared" ca="1" si="13"/>
        <v/>
      </c>
      <c r="FJ51" t="str">
        <f t="shared" ca="1" si="14"/>
        <v/>
      </c>
      <c r="FK51" t="str">
        <f t="shared" ca="1" si="8"/>
        <v/>
      </c>
      <c r="FL51" t="str">
        <f t="shared" ca="1" si="15"/>
        <v>無</v>
      </c>
    </row>
    <row r="52" spans="44:168">
      <c r="AR52" s="132" t="s">
        <v>296</v>
      </c>
      <c r="AS52" s="57"/>
      <c r="AT52" s="57"/>
      <c r="AU52" s="57"/>
      <c r="AV52" s="57"/>
      <c r="AW52" s="57">
        <v>330000</v>
      </c>
      <c r="AX52" s="57"/>
      <c r="AY52" s="57"/>
      <c r="AZ52" s="57"/>
      <c r="BA52" s="57"/>
      <c r="BB52" s="57">
        <v>330000</v>
      </c>
      <c r="BD52" s="57"/>
      <c r="BE52" s="57"/>
      <c r="CO52" s="5">
        <v>281</v>
      </c>
      <c r="CP52" s="57">
        <v>158000</v>
      </c>
      <c r="CQ52">
        <v>30</v>
      </c>
      <c r="DF52" s="132" t="s">
        <v>236</v>
      </c>
      <c r="DG52">
        <v>1</v>
      </c>
      <c r="DH52">
        <v>356481</v>
      </c>
      <c r="EM52" s="133" t="s">
        <v>333</v>
      </c>
      <c r="ES52">
        <v>45</v>
      </c>
      <c r="ET52" t="s">
        <v>270</v>
      </c>
      <c r="EU52" t="s">
        <v>271</v>
      </c>
      <c r="EV52">
        <v>46</v>
      </c>
      <c r="EW52" t="str" cm="1">
        <f t="array" aca="1" ref="EW52" ca="1">INDIRECT("'5借入一覧'!"&amp;ET52&amp;EV52)&amp;INDIRECT("'5借入一覧'!"&amp;EU52&amp;EV52)</f>
        <v/>
      </c>
      <c r="EX52">
        <v>1</v>
      </c>
      <c r="EY52">
        <v>45</v>
      </c>
      <c r="EZ52" t="e">
        <f t="shared" ca="1" si="19"/>
        <v>#N/A</v>
      </c>
      <c r="FA52" t="e">
        <f t="shared" ca="1" si="19"/>
        <v>#N/A</v>
      </c>
      <c r="FB52" t="e">
        <f t="shared" ca="1" si="19"/>
        <v>#N/A</v>
      </c>
      <c r="FC52" t="e">
        <f t="shared" ca="1" si="19"/>
        <v>#N/A</v>
      </c>
      <c r="FD52" t="e">
        <f t="shared" ca="1" si="19"/>
        <v>#N/A</v>
      </c>
      <c r="FE52" t="str">
        <f t="shared" ca="1" si="9"/>
        <v/>
      </c>
      <c r="FF52" t="str">
        <f t="shared" ca="1" si="10"/>
        <v/>
      </c>
      <c r="FG52" t="str">
        <f t="shared" ca="1" si="11"/>
        <v/>
      </c>
      <c r="FH52" t="str">
        <f t="shared" ca="1" si="12"/>
        <v/>
      </c>
      <c r="FI52" t="str">
        <f t="shared" ca="1" si="13"/>
        <v/>
      </c>
      <c r="FJ52" t="str">
        <f t="shared" ca="1" si="14"/>
        <v/>
      </c>
      <c r="FK52" t="str">
        <f t="shared" ca="1" si="8"/>
        <v/>
      </c>
      <c r="FL52" t="str">
        <f t="shared" ca="1" si="15"/>
        <v>無</v>
      </c>
    </row>
    <row r="53" spans="44:168">
      <c r="AR53" s="132" t="s">
        <v>336</v>
      </c>
      <c r="AS53" s="57"/>
      <c r="AT53" s="57"/>
      <c r="AU53" s="57"/>
      <c r="AV53" s="57"/>
      <c r="AW53" s="57">
        <v>160000</v>
      </c>
      <c r="AX53" s="57"/>
      <c r="AY53" s="57"/>
      <c r="AZ53" s="57"/>
      <c r="BA53" s="57"/>
      <c r="BB53" s="57">
        <v>160000</v>
      </c>
      <c r="BD53" s="57"/>
      <c r="BE53" s="57"/>
      <c r="CO53" s="5">
        <v>135</v>
      </c>
      <c r="CP53" s="57">
        <v>155000</v>
      </c>
      <c r="CQ53">
        <v>31</v>
      </c>
      <c r="DF53" s="132" t="s">
        <v>262</v>
      </c>
      <c r="EM53" s="133" t="s">
        <v>198</v>
      </c>
      <c r="ES53">
        <v>46</v>
      </c>
      <c r="ET53" t="s">
        <v>270</v>
      </c>
      <c r="EU53" t="s">
        <v>271</v>
      </c>
      <c r="EV53">
        <v>47</v>
      </c>
      <c r="EW53" t="str" cm="1">
        <f t="array" aca="1" ref="EW53" ca="1">INDIRECT("'5借入一覧'!"&amp;ET53&amp;EV53)&amp;INDIRECT("'5借入一覧'!"&amp;EU53&amp;EV53)</f>
        <v/>
      </c>
      <c r="EX53">
        <v>1</v>
      </c>
      <c r="EY53">
        <v>46</v>
      </c>
      <c r="EZ53" t="e">
        <f t="shared" ca="1" si="19"/>
        <v>#N/A</v>
      </c>
      <c r="FA53" t="e">
        <f t="shared" ca="1" si="19"/>
        <v>#N/A</v>
      </c>
      <c r="FB53" t="e">
        <f t="shared" ca="1" si="19"/>
        <v>#N/A</v>
      </c>
      <c r="FC53" t="e">
        <f t="shared" ca="1" si="19"/>
        <v>#N/A</v>
      </c>
      <c r="FD53" t="e">
        <f t="shared" ca="1" si="19"/>
        <v>#N/A</v>
      </c>
      <c r="FE53" t="str">
        <f t="shared" ca="1" si="9"/>
        <v/>
      </c>
      <c r="FF53" t="str">
        <f t="shared" ca="1" si="10"/>
        <v/>
      </c>
      <c r="FG53" t="str">
        <f t="shared" ca="1" si="11"/>
        <v/>
      </c>
      <c r="FH53" t="str">
        <f t="shared" ca="1" si="12"/>
        <v/>
      </c>
      <c r="FI53" t="str">
        <f t="shared" ca="1" si="13"/>
        <v/>
      </c>
      <c r="FJ53" t="str">
        <f t="shared" ca="1" si="14"/>
        <v/>
      </c>
      <c r="FK53" t="str">
        <f t="shared" ca="1" si="8"/>
        <v/>
      </c>
      <c r="FL53" t="str">
        <f t="shared" ca="1" si="15"/>
        <v>無</v>
      </c>
    </row>
    <row r="54" spans="44:168">
      <c r="AR54" s="132" t="s">
        <v>286</v>
      </c>
      <c r="AS54" s="57"/>
      <c r="AT54" s="57"/>
      <c r="AU54" s="57"/>
      <c r="AV54" s="57"/>
      <c r="AW54" s="57"/>
      <c r="AX54" s="57"/>
      <c r="AY54" s="57"/>
      <c r="AZ54" s="57"/>
      <c r="BA54" s="57"/>
      <c r="BB54" s="57"/>
      <c r="BD54" s="57"/>
      <c r="BE54" s="57"/>
      <c r="CO54" s="5">
        <v>127</v>
      </c>
      <c r="CP54" s="57">
        <v>152000</v>
      </c>
      <c r="CQ54">
        <v>32</v>
      </c>
      <c r="DF54" s="132" t="s">
        <v>198</v>
      </c>
      <c r="EM54" s="133" t="s">
        <v>296</v>
      </c>
      <c r="ES54">
        <v>47</v>
      </c>
      <c r="ET54" t="s">
        <v>270</v>
      </c>
      <c r="EU54" t="s">
        <v>271</v>
      </c>
      <c r="EV54">
        <v>48</v>
      </c>
      <c r="EW54" t="str" cm="1">
        <f t="array" aca="1" ref="EW54" ca="1">INDIRECT("'5借入一覧'!"&amp;ET54&amp;EV54)&amp;INDIRECT("'5借入一覧'!"&amp;EU54&amp;EV54)</f>
        <v/>
      </c>
      <c r="EX54">
        <v>1</v>
      </c>
      <c r="EY54">
        <v>47</v>
      </c>
      <c r="EZ54" t="e">
        <f t="shared" ca="1" si="19"/>
        <v>#N/A</v>
      </c>
      <c r="FA54" t="e">
        <f t="shared" ca="1" si="19"/>
        <v>#N/A</v>
      </c>
      <c r="FB54" t="e">
        <f t="shared" ca="1" si="19"/>
        <v>#N/A</v>
      </c>
      <c r="FC54" t="e">
        <f t="shared" ca="1" si="19"/>
        <v>#N/A</v>
      </c>
      <c r="FD54" t="e">
        <f t="shared" ca="1" si="19"/>
        <v>#N/A</v>
      </c>
      <c r="FE54" t="str">
        <f t="shared" ca="1" si="9"/>
        <v/>
      </c>
      <c r="FF54" t="str">
        <f t="shared" ca="1" si="10"/>
        <v/>
      </c>
      <c r="FG54" t="str">
        <f t="shared" ca="1" si="11"/>
        <v/>
      </c>
      <c r="FH54" t="str">
        <f t="shared" ca="1" si="12"/>
        <v/>
      </c>
      <c r="FI54" t="str">
        <f t="shared" ca="1" si="13"/>
        <v/>
      </c>
      <c r="FJ54" t="str">
        <f t="shared" ca="1" si="14"/>
        <v/>
      </c>
      <c r="FK54" t="str">
        <f t="shared" ca="1" si="8"/>
        <v/>
      </c>
      <c r="FL54" t="str">
        <f t="shared" ca="1" si="15"/>
        <v>無</v>
      </c>
    </row>
    <row r="55" spans="44:168">
      <c r="AR55" s="5" t="s">
        <v>200</v>
      </c>
      <c r="AS55" s="57">
        <v>247035</v>
      </c>
      <c r="AT55" s="57">
        <v>0</v>
      </c>
      <c r="AU55" s="57">
        <v>3737978</v>
      </c>
      <c r="AV55" s="57">
        <v>0</v>
      </c>
      <c r="AW55" s="57">
        <v>28530436</v>
      </c>
      <c r="AX55" s="57">
        <v>282415</v>
      </c>
      <c r="AY55" s="57">
        <v>809021</v>
      </c>
      <c r="AZ55" s="57">
        <v>2337093</v>
      </c>
      <c r="BA55" s="57"/>
      <c r="BB55" s="57">
        <v>35943978</v>
      </c>
      <c r="BD55" s="57"/>
      <c r="BE55" s="57"/>
      <c r="CO55" s="5">
        <v>126</v>
      </c>
      <c r="CP55" s="57">
        <v>150000</v>
      </c>
      <c r="CQ55">
        <v>33</v>
      </c>
      <c r="DF55" s="5" t="s">
        <v>347</v>
      </c>
      <c r="DG55">
        <v>1</v>
      </c>
      <c r="DH55">
        <v>413600</v>
      </c>
      <c r="EM55" s="133" t="s">
        <v>286</v>
      </c>
      <c r="ES55">
        <v>48</v>
      </c>
      <c r="ET55" t="s">
        <v>270</v>
      </c>
      <c r="EU55" t="s">
        <v>271</v>
      </c>
      <c r="EV55">
        <v>49</v>
      </c>
      <c r="EW55" t="str" cm="1">
        <f t="array" aca="1" ref="EW55" ca="1">INDIRECT("'5借入一覧'!"&amp;ET55&amp;EV55)&amp;INDIRECT("'5借入一覧'!"&amp;EU55&amp;EV55)</f>
        <v/>
      </c>
      <c r="EX55">
        <v>1</v>
      </c>
      <c r="EY55">
        <v>48</v>
      </c>
      <c r="EZ55" t="e">
        <f t="shared" ca="1" si="19"/>
        <v>#N/A</v>
      </c>
      <c r="FA55" t="e">
        <f t="shared" ca="1" si="19"/>
        <v>#N/A</v>
      </c>
      <c r="FB55" t="e">
        <f t="shared" ca="1" si="19"/>
        <v>#N/A</v>
      </c>
      <c r="FC55" t="e">
        <f t="shared" ca="1" si="19"/>
        <v>#N/A</v>
      </c>
      <c r="FD55" t="e">
        <f t="shared" ca="1" si="19"/>
        <v>#N/A</v>
      </c>
      <c r="FE55" t="str">
        <f t="shared" ca="1" si="9"/>
        <v/>
      </c>
      <c r="FF55" t="str">
        <f t="shared" ca="1" si="10"/>
        <v/>
      </c>
      <c r="FG55" t="str">
        <f t="shared" ca="1" si="11"/>
        <v/>
      </c>
      <c r="FH55" t="str">
        <f t="shared" ca="1" si="12"/>
        <v/>
      </c>
      <c r="FI55" t="str">
        <f t="shared" ca="1" si="13"/>
        <v/>
      </c>
      <c r="FJ55" t="str">
        <f t="shared" ca="1" si="14"/>
        <v/>
      </c>
      <c r="FK55" t="str">
        <f t="shared" ca="1" si="8"/>
        <v/>
      </c>
      <c r="FL55" t="str">
        <f t="shared" ca="1" si="15"/>
        <v>無</v>
      </c>
    </row>
    <row r="56" spans="44:168">
      <c r="BD56" s="57"/>
      <c r="BE56" s="57"/>
      <c r="CO56" s="5">
        <v>279</v>
      </c>
      <c r="CP56" s="57">
        <v>150000</v>
      </c>
      <c r="CQ56">
        <v>33</v>
      </c>
      <c r="DF56" s="132" t="s">
        <v>234</v>
      </c>
      <c r="EM56" s="133" t="s">
        <v>340</v>
      </c>
      <c r="ES56">
        <v>49</v>
      </c>
      <c r="ET56" t="s">
        <v>270</v>
      </c>
      <c r="EU56" t="s">
        <v>271</v>
      </c>
      <c r="EV56">
        <v>50</v>
      </c>
      <c r="EW56" t="str" cm="1">
        <f t="array" aca="1" ref="EW56" ca="1">INDIRECT("'5借入一覧'!"&amp;ET56&amp;EV56)&amp;INDIRECT("'5借入一覧'!"&amp;EU56&amp;EV56)</f>
        <v/>
      </c>
      <c r="EX56">
        <v>1</v>
      </c>
      <c r="EY56">
        <v>49</v>
      </c>
      <c r="EZ56" t="e">
        <f t="shared" ca="1" si="19"/>
        <v>#N/A</v>
      </c>
      <c r="FA56" t="e">
        <f t="shared" ca="1" si="19"/>
        <v>#N/A</v>
      </c>
      <c r="FB56" t="e">
        <f t="shared" ca="1" si="19"/>
        <v>#N/A</v>
      </c>
      <c r="FC56" t="e">
        <f t="shared" ca="1" si="19"/>
        <v>#N/A</v>
      </c>
      <c r="FD56" t="e">
        <f t="shared" ca="1" si="19"/>
        <v>#N/A</v>
      </c>
      <c r="FE56" t="str">
        <f t="shared" ca="1" si="9"/>
        <v/>
      </c>
      <c r="FF56" t="str">
        <f t="shared" ca="1" si="10"/>
        <v/>
      </c>
      <c r="FG56" t="str">
        <f t="shared" ca="1" si="11"/>
        <v/>
      </c>
      <c r="FH56" t="str">
        <f t="shared" ca="1" si="12"/>
        <v/>
      </c>
      <c r="FI56" t="str">
        <f t="shared" ca="1" si="13"/>
        <v/>
      </c>
      <c r="FJ56" t="str">
        <f t="shared" ca="1" si="14"/>
        <v/>
      </c>
      <c r="FK56" t="str">
        <f t="shared" ca="1" si="8"/>
        <v/>
      </c>
      <c r="FL56" t="str">
        <f t="shared" ca="1" si="15"/>
        <v>無</v>
      </c>
    </row>
    <row r="57" spans="44:168">
      <c r="BD57" s="57"/>
      <c r="BE57" s="57"/>
      <c r="CO57" s="5">
        <v>286</v>
      </c>
      <c r="CP57" s="57">
        <v>150000</v>
      </c>
      <c r="CQ57">
        <v>33</v>
      </c>
      <c r="DF57" s="132" t="s">
        <v>193</v>
      </c>
      <c r="EM57" s="132" t="s">
        <v>303</v>
      </c>
      <c r="EN57">
        <v>169657</v>
      </c>
      <c r="EO57">
        <v>221433</v>
      </c>
      <c r="EP57">
        <v>391090</v>
      </c>
      <c r="EQ57">
        <v>91457870</v>
      </c>
      <c r="ES57">
        <v>50</v>
      </c>
      <c r="ET57" t="s">
        <v>270</v>
      </c>
      <c r="EU57" t="s">
        <v>271</v>
      </c>
      <c r="EV57">
        <v>51</v>
      </c>
      <c r="EW57" t="str" cm="1">
        <f t="array" aca="1" ref="EW57" ca="1">INDIRECT("'5借入一覧'!"&amp;ET57&amp;EV57)&amp;INDIRECT("'5借入一覧'!"&amp;EU57&amp;EV57)</f>
        <v/>
      </c>
      <c r="EX57">
        <v>1</v>
      </c>
      <c r="EY57">
        <v>50</v>
      </c>
      <c r="EZ57" t="e">
        <f t="shared" ca="1" si="19"/>
        <v>#N/A</v>
      </c>
      <c r="FA57" t="e">
        <f t="shared" ca="1" si="19"/>
        <v>#N/A</v>
      </c>
      <c r="FB57" t="e">
        <f t="shared" ca="1" si="19"/>
        <v>#N/A</v>
      </c>
      <c r="FC57" t="e">
        <f t="shared" ca="1" si="19"/>
        <v>#N/A</v>
      </c>
      <c r="FD57" t="e">
        <f t="shared" ca="1" si="19"/>
        <v>#N/A</v>
      </c>
      <c r="FE57" t="str">
        <f t="shared" ca="1" si="9"/>
        <v/>
      </c>
      <c r="FF57" t="str">
        <f t="shared" ca="1" si="10"/>
        <v/>
      </c>
      <c r="FG57" t="str">
        <f t="shared" ca="1" si="11"/>
        <v/>
      </c>
      <c r="FH57" t="str">
        <f t="shared" ca="1" si="12"/>
        <v/>
      </c>
      <c r="FI57" t="str">
        <f t="shared" ca="1" si="13"/>
        <v/>
      </c>
      <c r="FJ57" t="str">
        <f t="shared" ca="1" si="14"/>
        <v/>
      </c>
      <c r="FK57" t="str">
        <f t="shared" ca="1" si="8"/>
        <v/>
      </c>
      <c r="FL57" t="str">
        <f t="shared" ca="1" si="15"/>
        <v>無</v>
      </c>
    </row>
    <row r="58" spans="44:168">
      <c r="BD58" s="57"/>
      <c r="BE58" s="57"/>
      <c r="CO58" s="5">
        <v>175</v>
      </c>
      <c r="CP58" s="57">
        <v>150000</v>
      </c>
      <c r="CQ58">
        <v>33</v>
      </c>
      <c r="DF58" s="132" t="s">
        <v>260</v>
      </c>
      <c r="EM58" s="133" t="s">
        <v>5</v>
      </c>
      <c r="ES58">
        <v>51</v>
      </c>
      <c r="ET58" t="s">
        <v>270</v>
      </c>
      <c r="EU58" t="s">
        <v>271</v>
      </c>
      <c r="EV58">
        <v>52</v>
      </c>
      <c r="EW58" t="str" cm="1">
        <f t="array" aca="1" ref="EW58" ca="1">INDIRECT("'5借入一覧'!"&amp;ET58&amp;EV58)&amp;INDIRECT("'5借入一覧'!"&amp;EU58&amp;EV58)</f>
        <v/>
      </c>
      <c r="EX58">
        <v>1</v>
      </c>
      <c r="EY58">
        <v>51</v>
      </c>
      <c r="EZ58" t="e">
        <f t="shared" ref="EZ58:FD67" ca="1" si="20">VLOOKUP($EY58&amp;EZ$5,$EW$7:$EX$1101,2,FALSE)</f>
        <v>#N/A</v>
      </c>
      <c r="FA58" t="e">
        <f t="shared" ca="1" si="20"/>
        <v>#N/A</v>
      </c>
      <c r="FB58" t="e">
        <f t="shared" ca="1" si="20"/>
        <v>#N/A</v>
      </c>
      <c r="FC58" t="e">
        <f t="shared" ca="1" si="20"/>
        <v>#N/A</v>
      </c>
      <c r="FD58" t="e">
        <f t="shared" ca="1" si="20"/>
        <v>#N/A</v>
      </c>
      <c r="FE58" t="str">
        <f t="shared" ca="1" si="9"/>
        <v/>
      </c>
      <c r="FF58" t="str">
        <f t="shared" ca="1" si="10"/>
        <v/>
      </c>
      <c r="FG58" t="str">
        <f t="shared" ca="1" si="11"/>
        <v/>
      </c>
      <c r="FH58" t="str">
        <f t="shared" ca="1" si="12"/>
        <v/>
      </c>
      <c r="FI58" t="str">
        <f t="shared" ca="1" si="13"/>
        <v/>
      </c>
      <c r="FJ58" t="str">
        <f t="shared" ca="1" si="14"/>
        <v/>
      </c>
      <c r="FK58" t="str">
        <f t="shared" ca="1" si="8"/>
        <v/>
      </c>
      <c r="FL58" t="str">
        <f t="shared" ca="1" si="15"/>
        <v>無</v>
      </c>
    </row>
    <row r="59" spans="44:168">
      <c r="BD59" s="57"/>
      <c r="BE59" s="57"/>
      <c r="CO59" s="5">
        <v>123</v>
      </c>
      <c r="CP59" s="57">
        <v>150000</v>
      </c>
      <c r="CQ59">
        <v>33</v>
      </c>
      <c r="DF59" s="132" t="s">
        <v>261</v>
      </c>
      <c r="EM59" s="133" t="s">
        <v>216</v>
      </c>
      <c r="ES59">
        <v>52</v>
      </c>
      <c r="ET59" t="s">
        <v>270</v>
      </c>
      <c r="EU59" t="s">
        <v>271</v>
      </c>
      <c r="EV59">
        <v>53</v>
      </c>
      <c r="EW59" t="str" cm="1">
        <f t="array" aca="1" ref="EW59" ca="1">INDIRECT("'5借入一覧'!"&amp;ET59&amp;EV59)&amp;INDIRECT("'5借入一覧'!"&amp;EU59&amp;EV59)</f>
        <v/>
      </c>
      <c r="EX59">
        <v>1</v>
      </c>
      <c r="EY59">
        <v>52</v>
      </c>
      <c r="EZ59" t="e">
        <f t="shared" ca="1" si="20"/>
        <v>#N/A</v>
      </c>
      <c r="FA59" t="e">
        <f t="shared" ca="1" si="20"/>
        <v>#N/A</v>
      </c>
      <c r="FB59" t="e">
        <f t="shared" ca="1" si="20"/>
        <v>#N/A</v>
      </c>
      <c r="FC59" t="e">
        <f t="shared" ca="1" si="20"/>
        <v>#N/A</v>
      </c>
      <c r="FD59" t="e">
        <f t="shared" ca="1" si="20"/>
        <v>#N/A</v>
      </c>
      <c r="FE59" t="str">
        <f t="shared" ca="1" si="9"/>
        <v/>
      </c>
      <c r="FF59" t="str">
        <f t="shared" ca="1" si="10"/>
        <v/>
      </c>
      <c r="FG59" t="str">
        <f t="shared" ca="1" si="11"/>
        <v/>
      </c>
      <c r="FH59" t="str">
        <f t="shared" ca="1" si="12"/>
        <v/>
      </c>
      <c r="FI59" t="str">
        <f t="shared" ca="1" si="13"/>
        <v/>
      </c>
      <c r="FJ59" t="str">
        <f t="shared" ca="1" si="14"/>
        <v/>
      </c>
      <c r="FK59" t="str">
        <f t="shared" ca="1" si="8"/>
        <v/>
      </c>
      <c r="FL59" t="str">
        <f t="shared" ca="1" si="15"/>
        <v>無</v>
      </c>
    </row>
    <row r="60" spans="44:168">
      <c r="BD60" s="57"/>
      <c r="BE60" s="57"/>
      <c r="CO60" s="5">
        <v>177</v>
      </c>
      <c r="CP60" s="57">
        <v>150000</v>
      </c>
      <c r="CQ60">
        <v>33</v>
      </c>
      <c r="DF60" s="132" t="s">
        <v>235</v>
      </c>
      <c r="EM60" s="133" t="s">
        <v>237</v>
      </c>
      <c r="ES60">
        <v>53</v>
      </c>
      <c r="ET60" t="s">
        <v>270</v>
      </c>
      <c r="EU60" t="s">
        <v>271</v>
      </c>
      <c r="EV60">
        <v>54</v>
      </c>
      <c r="EW60" t="str" cm="1">
        <f t="array" aca="1" ref="EW60" ca="1">INDIRECT("'5借入一覧'!"&amp;ET60&amp;EV60)&amp;INDIRECT("'5借入一覧'!"&amp;EU60&amp;EV60)</f>
        <v/>
      </c>
      <c r="EX60">
        <v>1</v>
      </c>
      <c r="EY60">
        <v>53</v>
      </c>
      <c r="EZ60" t="e">
        <f t="shared" ca="1" si="20"/>
        <v>#N/A</v>
      </c>
      <c r="FA60" t="e">
        <f t="shared" ca="1" si="20"/>
        <v>#N/A</v>
      </c>
      <c r="FB60" t="e">
        <f t="shared" ca="1" si="20"/>
        <v>#N/A</v>
      </c>
      <c r="FC60" t="e">
        <f t="shared" ca="1" si="20"/>
        <v>#N/A</v>
      </c>
      <c r="FD60" t="e">
        <f t="shared" ca="1" si="20"/>
        <v>#N/A</v>
      </c>
      <c r="FE60" t="str">
        <f t="shared" ca="1" si="9"/>
        <v/>
      </c>
      <c r="FF60" t="str">
        <f t="shared" ca="1" si="10"/>
        <v/>
      </c>
      <c r="FG60" t="str">
        <f t="shared" ca="1" si="11"/>
        <v/>
      </c>
      <c r="FH60" t="str">
        <f t="shared" ca="1" si="12"/>
        <v/>
      </c>
      <c r="FI60" t="str">
        <f t="shared" ca="1" si="13"/>
        <v/>
      </c>
      <c r="FJ60" t="str">
        <f t="shared" ca="1" si="14"/>
        <v/>
      </c>
      <c r="FK60" t="str">
        <f t="shared" ca="1" si="8"/>
        <v/>
      </c>
      <c r="FL60" t="str">
        <f t="shared" ca="1" si="15"/>
        <v>無</v>
      </c>
    </row>
    <row r="61" spans="44:168">
      <c r="BD61" s="57"/>
      <c r="BE61" s="57"/>
      <c r="CO61" s="5">
        <v>133</v>
      </c>
      <c r="CP61" s="57">
        <v>150000</v>
      </c>
      <c r="CQ61">
        <v>33</v>
      </c>
      <c r="DF61" s="132" t="s">
        <v>236</v>
      </c>
      <c r="EM61" s="133" t="s">
        <v>268</v>
      </c>
      <c r="ES61">
        <v>54</v>
      </c>
      <c r="ET61" t="s">
        <v>270</v>
      </c>
      <c r="EU61" t="s">
        <v>271</v>
      </c>
      <c r="EV61">
        <v>55</v>
      </c>
      <c r="EW61" t="str" cm="1">
        <f t="array" aca="1" ref="EW61" ca="1">INDIRECT("'5借入一覧'!"&amp;ET61&amp;EV61)&amp;INDIRECT("'5借入一覧'!"&amp;EU61&amp;EV61)</f>
        <v/>
      </c>
      <c r="EX61">
        <v>1</v>
      </c>
      <c r="EY61">
        <v>54</v>
      </c>
      <c r="EZ61" t="e">
        <f t="shared" ca="1" si="20"/>
        <v>#N/A</v>
      </c>
      <c r="FA61" t="e">
        <f t="shared" ca="1" si="20"/>
        <v>#N/A</v>
      </c>
      <c r="FB61" t="e">
        <f t="shared" ca="1" si="20"/>
        <v>#N/A</v>
      </c>
      <c r="FC61" t="e">
        <f t="shared" ca="1" si="20"/>
        <v>#N/A</v>
      </c>
      <c r="FD61" t="e">
        <f t="shared" ca="1" si="20"/>
        <v>#N/A</v>
      </c>
      <c r="FE61" t="str">
        <f t="shared" ca="1" si="9"/>
        <v/>
      </c>
      <c r="FF61" t="str">
        <f t="shared" ca="1" si="10"/>
        <v/>
      </c>
      <c r="FG61" t="str">
        <f t="shared" ca="1" si="11"/>
        <v/>
      </c>
      <c r="FH61" t="str">
        <f t="shared" ca="1" si="12"/>
        <v/>
      </c>
      <c r="FI61" t="str">
        <f t="shared" ca="1" si="13"/>
        <v/>
      </c>
      <c r="FJ61" t="str">
        <f t="shared" ca="1" si="14"/>
        <v/>
      </c>
      <c r="FK61" t="str">
        <f t="shared" ca="1" si="8"/>
        <v/>
      </c>
      <c r="FL61" t="str">
        <f t="shared" ca="1" si="15"/>
        <v>無</v>
      </c>
    </row>
    <row r="62" spans="44:168">
      <c r="BD62" s="57"/>
      <c r="BE62" s="57"/>
      <c r="CO62" s="5">
        <v>282</v>
      </c>
      <c r="CP62" s="57">
        <v>148000</v>
      </c>
      <c r="CQ62">
        <v>34</v>
      </c>
      <c r="DF62" s="132" t="s">
        <v>262</v>
      </c>
      <c r="DG62">
        <v>1</v>
      </c>
      <c r="DH62">
        <v>413600</v>
      </c>
      <c r="EM62" s="133" t="s">
        <v>276</v>
      </c>
      <c r="ES62">
        <v>55</v>
      </c>
      <c r="ET62" t="s">
        <v>270</v>
      </c>
      <c r="EU62" t="s">
        <v>271</v>
      </c>
      <c r="EV62">
        <v>56</v>
      </c>
      <c r="EW62" t="str" cm="1">
        <f t="array" aca="1" ref="EW62" ca="1">INDIRECT("'5借入一覧'!"&amp;ET62&amp;EV62)&amp;INDIRECT("'5借入一覧'!"&amp;EU62&amp;EV62)</f>
        <v/>
      </c>
      <c r="EX62">
        <v>1</v>
      </c>
      <c r="EY62">
        <v>55</v>
      </c>
      <c r="EZ62" t="e">
        <f t="shared" ca="1" si="20"/>
        <v>#N/A</v>
      </c>
      <c r="FA62" t="e">
        <f t="shared" ca="1" si="20"/>
        <v>#N/A</v>
      </c>
      <c r="FB62" t="e">
        <f t="shared" ca="1" si="20"/>
        <v>#N/A</v>
      </c>
      <c r="FC62" t="e">
        <f t="shared" ca="1" si="20"/>
        <v>#N/A</v>
      </c>
      <c r="FD62" t="e">
        <f t="shared" ca="1" si="20"/>
        <v>#N/A</v>
      </c>
      <c r="FE62" t="str">
        <f t="shared" ca="1" si="9"/>
        <v/>
      </c>
      <c r="FF62" t="str">
        <f t="shared" ca="1" si="10"/>
        <v/>
      </c>
      <c r="FG62" t="str">
        <f t="shared" ca="1" si="11"/>
        <v/>
      </c>
      <c r="FH62" t="str">
        <f t="shared" ca="1" si="12"/>
        <v/>
      </c>
      <c r="FI62" t="str">
        <f t="shared" ca="1" si="13"/>
        <v/>
      </c>
      <c r="FJ62" t="str">
        <f t="shared" ca="1" si="14"/>
        <v/>
      </c>
      <c r="FK62" t="str">
        <f t="shared" ca="1" si="8"/>
        <v/>
      </c>
      <c r="FL62" t="str">
        <f t="shared" ca="1" si="15"/>
        <v>無</v>
      </c>
    </row>
    <row r="63" spans="44:168">
      <c r="BD63" s="57"/>
      <c r="BE63" s="57"/>
      <c r="CO63" s="5">
        <v>128</v>
      </c>
      <c r="CP63" s="57">
        <v>145000</v>
      </c>
      <c r="CQ63">
        <v>35</v>
      </c>
      <c r="DF63" s="132" t="s">
        <v>198</v>
      </c>
      <c r="EM63" s="133" t="s">
        <v>281</v>
      </c>
      <c r="ES63">
        <v>56</v>
      </c>
      <c r="ET63" t="s">
        <v>270</v>
      </c>
      <c r="EU63" t="s">
        <v>271</v>
      </c>
      <c r="EV63">
        <v>57</v>
      </c>
      <c r="EW63" t="str" cm="1">
        <f t="array" aca="1" ref="EW63" ca="1">INDIRECT("'5借入一覧'!"&amp;ET63&amp;EV63)&amp;INDIRECT("'5借入一覧'!"&amp;EU63&amp;EV63)</f>
        <v/>
      </c>
      <c r="EX63">
        <v>1</v>
      </c>
      <c r="EY63">
        <v>56</v>
      </c>
      <c r="EZ63" t="e">
        <f t="shared" ca="1" si="20"/>
        <v>#N/A</v>
      </c>
      <c r="FA63" t="e">
        <f t="shared" ca="1" si="20"/>
        <v>#N/A</v>
      </c>
      <c r="FB63" t="e">
        <f t="shared" ca="1" si="20"/>
        <v>#N/A</v>
      </c>
      <c r="FC63" t="e">
        <f t="shared" ca="1" si="20"/>
        <v>#N/A</v>
      </c>
      <c r="FD63" t="e">
        <f t="shared" ca="1" si="20"/>
        <v>#N/A</v>
      </c>
      <c r="FE63" t="str">
        <f t="shared" ca="1" si="9"/>
        <v/>
      </c>
      <c r="FF63" t="str">
        <f t="shared" ca="1" si="10"/>
        <v/>
      </c>
      <c r="FG63" t="str">
        <f t="shared" ca="1" si="11"/>
        <v/>
      </c>
      <c r="FH63" t="str">
        <f t="shared" ca="1" si="12"/>
        <v/>
      </c>
      <c r="FI63" t="str">
        <f t="shared" ca="1" si="13"/>
        <v/>
      </c>
      <c r="FJ63" t="str">
        <f t="shared" ca="1" si="14"/>
        <v/>
      </c>
      <c r="FK63" t="str">
        <f t="shared" ca="1" si="8"/>
        <v/>
      </c>
      <c r="FL63" t="str">
        <f t="shared" ca="1" si="15"/>
        <v>無</v>
      </c>
    </row>
    <row r="64" spans="44:168">
      <c r="BD64" s="57"/>
      <c r="BE64" s="57"/>
      <c r="CO64" s="5">
        <v>284</v>
      </c>
      <c r="CP64" s="57">
        <v>145000</v>
      </c>
      <c r="CQ64">
        <v>35</v>
      </c>
      <c r="DF64" s="5" t="s">
        <v>348</v>
      </c>
      <c r="EM64" s="133" t="s">
        <v>285</v>
      </c>
      <c r="ES64">
        <v>57</v>
      </c>
      <c r="ET64" t="s">
        <v>270</v>
      </c>
      <c r="EU64" t="s">
        <v>271</v>
      </c>
      <c r="EV64">
        <v>58</v>
      </c>
      <c r="EW64" t="str" cm="1">
        <f t="array" aca="1" ref="EW64" ca="1">INDIRECT("'5借入一覧'!"&amp;ET64&amp;EV64)&amp;INDIRECT("'5借入一覧'!"&amp;EU64&amp;EV64)</f>
        <v/>
      </c>
      <c r="EX64">
        <v>1</v>
      </c>
      <c r="EY64">
        <v>57</v>
      </c>
      <c r="EZ64" t="e">
        <f t="shared" ca="1" si="20"/>
        <v>#N/A</v>
      </c>
      <c r="FA64" t="e">
        <f t="shared" ca="1" si="20"/>
        <v>#N/A</v>
      </c>
      <c r="FB64" t="e">
        <f t="shared" ca="1" si="20"/>
        <v>#N/A</v>
      </c>
      <c r="FC64" t="e">
        <f t="shared" ca="1" si="20"/>
        <v>#N/A</v>
      </c>
      <c r="FD64" t="e">
        <f t="shared" ca="1" si="20"/>
        <v>#N/A</v>
      </c>
      <c r="FE64" t="str">
        <f t="shared" ca="1" si="9"/>
        <v/>
      </c>
      <c r="FF64" t="str">
        <f t="shared" ca="1" si="10"/>
        <v/>
      </c>
      <c r="FG64" t="str">
        <f t="shared" ca="1" si="11"/>
        <v/>
      </c>
      <c r="FH64" t="str">
        <f t="shared" ca="1" si="12"/>
        <v/>
      </c>
      <c r="FI64" t="str">
        <f t="shared" ca="1" si="13"/>
        <v/>
      </c>
      <c r="FJ64" t="str">
        <f t="shared" ca="1" si="14"/>
        <v/>
      </c>
      <c r="FK64" t="str">
        <f t="shared" ca="1" si="8"/>
        <v/>
      </c>
      <c r="FL64" t="str">
        <f t="shared" ca="1" si="15"/>
        <v>無</v>
      </c>
    </row>
    <row r="65" spans="56:168">
      <c r="BD65" s="57"/>
      <c r="BE65" s="57"/>
      <c r="CO65" s="5">
        <v>173</v>
      </c>
      <c r="CP65" s="57">
        <v>145000</v>
      </c>
      <c r="CQ65">
        <v>35</v>
      </c>
      <c r="DF65" s="132" t="s">
        <v>234</v>
      </c>
      <c r="EM65" s="133" t="s">
        <v>290</v>
      </c>
      <c r="ES65">
        <v>58</v>
      </c>
      <c r="ET65" t="s">
        <v>270</v>
      </c>
      <c r="EU65" t="s">
        <v>271</v>
      </c>
      <c r="EV65">
        <v>59</v>
      </c>
      <c r="EW65" t="str" cm="1">
        <f t="array" aca="1" ref="EW65" ca="1">INDIRECT("'5借入一覧'!"&amp;ET65&amp;EV65)&amp;INDIRECT("'5借入一覧'!"&amp;EU65&amp;EV65)</f>
        <v/>
      </c>
      <c r="EX65">
        <v>1</v>
      </c>
      <c r="EY65">
        <v>58</v>
      </c>
      <c r="EZ65" t="e">
        <f t="shared" ca="1" si="20"/>
        <v>#N/A</v>
      </c>
      <c r="FA65" t="e">
        <f t="shared" ca="1" si="20"/>
        <v>#N/A</v>
      </c>
      <c r="FB65" t="e">
        <f t="shared" ca="1" si="20"/>
        <v>#N/A</v>
      </c>
      <c r="FC65" t="e">
        <f t="shared" ca="1" si="20"/>
        <v>#N/A</v>
      </c>
      <c r="FD65" t="e">
        <f t="shared" ca="1" si="20"/>
        <v>#N/A</v>
      </c>
      <c r="FE65" t="str">
        <f t="shared" ca="1" si="9"/>
        <v/>
      </c>
      <c r="FF65" t="str">
        <f t="shared" ca="1" si="10"/>
        <v/>
      </c>
      <c r="FG65" t="str">
        <f t="shared" ca="1" si="11"/>
        <v/>
      </c>
      <c r="FH65" t="str">
        <f t="shared" ca="1" si="12"/>
        <v/>
      </c>
      <c r="FI65" t="str">
        <f t="shared" ca="1" si="13"/>
        <v/>
      </c>
      <c r="FJ65" t="str">
        <f t="shared" ca="1" si="14"/>
        <v/>
      </c>
      <c r="FK65" t="str">
        <f t="shared" ca="1" si="8"/>
        <v/>
      </c>
      <c r="FL65" t="str">
        <f t="shared" ca="1" si="15"/>
        <v>無</v>
      </c>
    </row>
    <row r="66" spans="56:168">
      <c r="BD66" s="57"/>
      <c r="BE66" s="57"/>
      <c r="CO66" s="5">
        <v>74</v>
      </c>
      <c r="CP66" s="57">
        <v>140000</v>
      </c>
      <c r="CQ66">
        <v>36</v>
      </c>
      <c r="DF66" s="132" t="s">
        <v>193</v>
      </c>
      <c r="EM66" s="133" t="s">
        <v>295</v>
      </c>
      <c r="ES66">
        <v>59</v>
      </c>
      <c r="ET66" t="s">
        <v>270</v>
      </c>
      <c r="EU66" t="s">
        <v>271</v>
      </c>
      <c r="EV66">
        <v>60</v>
      </c>
      <c r="EW66" t="str" cm="1">
        <f t="array" aca="1" ref="EW66" ca="1">INDIRECT("'5借入一覧'!"&amp;ET66&amp;EV66)&amp;INDIRECT("'5借入一覧'!"&amp;EU66&amp;EV66)</f>
        <v/>
      </c>
      <c r="EX66">
        <v>1</v>
      </c>
      <c r="EY66">
        <v>59</v>
      </c>
      <c r="EZ66" t="e">
        <f t="shared" ca="1" si="20"/>
        <v>#N/A</v>
      </c>
      <c r="FA66" t="e">
        <f t="shared" ca="1" si="20"/>
        <v>#N/A</v>
      </c>
      <c r="FB66" t="e">
        <f t="shared" ca="1" si="20"/>
        <v>#N/A</v>
      </c>
      <c r="FC66" t="e">
        <f t="shared" ca="1" si="20"/>
        <v>#N/A</v>
      </c>
      <c r="FD66" t="e">
        <f t="shared" ca="1" si="20"/>
        <v>#N/A</v>
      </c>
      <c r="FE66" t="str">
        <f t="shared" ca="1" si="9"/>
        <v/>
      </c>
      <c r="FF66" t="str">
        <f t="shared" ca="1" si="10"/>
        <v/>
      </c>
      <c r="FG66" t="str">
        <f t="shared" ca="1" si="11"/>
        <v/>
      </c>
      <c r="FH66" t="str">
        <f t="shared" ca="1" si="12"/>
        <v/>
      </c>
      <c r="FI66" t="str">
        <f t="shared" ca="1" si="13"/>
        <v/>
      </c>
      <c r="FJ66" t="str">
        <f t="shared" ca="1" si="14"/>
        <v/>
      </c>
      <c r="FK66" t="str">
        <f t="shared" ca="1" si="8"/>
        <v/>
      </c>
      <c r="FL66" t="str">
        <f t="shared" ca="1" si="15"/>
        <v>無</v>
      </c>
    </row>
    <row r="67" spans="56:168">
      <c r="BD67" s="57"/>
      <c r="BE67" s="57"/>
      <c r="CO67" s="5">
        <v>290</v>
      </c>
      <c r="CP67" s="57">
        <v>140000</v>
      </c>
      <c r="CQ67">
        <v>36</v>
      </c>
      <c r="DF67" s="132" t="s">
        <v>260</v>
      </c>
      <c r="EM67" s="133" t="s">
        <v>302</v>
      </c>
      <c r="ES67">
        <v>60</v>
      </c>
      <c r="ET67" t="s">
        <v>270</v>
      </c>
      <c r="EU67" t="s">
        <v>271</v>
      </c>
      <c r="EV67">
        <v>61</v>
      </c>
      <c r="EW67" t="str" cm="1">
        <f t="array" aca="1" ref="EW67" ca="1">INDIRECT("'5借入一覧'!"&amp;ET67&amp;EV67)&amp;INDIRECT("'5借入一覧'!"&amp;EU67&amp;EV67)</f>
        <v/>
      </c>
      <c r="EX67">
        <v>1</v>
      </c>
      <c r="EY67">
        <v>60</v>
      </c>
      <c r="EZ67" t="e">
        <f t="shared" ca="1" si="20"/>
        <v>#N/A</v>
      </c>
      <c r="FA67" t="e">
        <f t="shared" ca="1" si="20"/>
        <v>#N/A</v>
      </c>
      <c r="FB67" t="e">
        <f t="shared" ca="1" si="20"/>
        <v>#N/A</v>
      </c>
      <c r="FC67" t="e">
        <f t="shared" ca="1" si="20"/>
        <v>#N/A</v>
      </c>
      <c r="FD67" t="e">
        <f t="shared" ca="1" si="20"/>
        <v>#N/A</v>
      </c>
      <c r="FE67" t="str">
        <f t="shared" ca="1" si="9"/>
        <v/>
      </c>
      <c r="FF67" t="str">
        <f t="shared" ca="1" si="10"/>
        <v/>
      </c>
      <c r="FG67" t="str">
        <f t="shared" ca="1" si="11"/>
        <v/>
      </c>
      <c r="FH67" t="str">
        <f t="shared" ca="1" si="12"/>
        <v/>
      </c>
      <c r="FI67" t="str">
        <f t="shared" ca="1" si="13"/>
        <v/>
      </c>
      <c r="FJ67" t="str">
        <f t="shared" ca="1" si="14"/>
        <v/>
      </c>
      <c r="FK67" t="str">
        <f t="shared" ca="1" si="8"/>
        <v/>
      </c>
      <c r="FL67" t="str">
        <f t="shared" ca="1" si="15"/>
        <v>無</v>
      </c>
    </row>
    <row r="68" spans="56:168">
      <c r="CO68" s="5">
        <v>312</v>
      </c>
      <c r="CP68" s="57">
        <v>140000</v>
      </c>
      <c r="CQ68">
        <v>36</v>
      </c>
      <c r="DF68" s="132" t="s">
        <v>261</v>
      </c>
      <c r="EM68" s="133" t="s">
        <v>4</v>
      </c>
      <c r="ES68">
        <v>61</v>
      </c>
      <c r="ET68" t="s">
        <v>270</v>
      </c>
      <c r="EU68" t="s">
        <v>271</v>
      </c>
      <c r="EV68">
        <v>62</v>
      </c>
      <c r="EW68" t="str" cm="1">
        <f t="array" aca="1" ref="EW68" ca="1">INDIRECT("'5借入一覧'!"&amp;ET68&amp;EV68)&amp;INDIRECT("'5借入一覧'!"&amp;EU68&amp;EV68)</f>
        <v/>
      </c>
      <c r="EX68">
        <v>1</v>
      </c>
      <c r="EY68">
        <v>61</v>
      </c>
      <c r="EZ68" t="e">
        <f t="shared" ref="EZ68:FD77" ca="1" si="21">VLOOKUP($EY68&amp;EZ$5,$EW$7:$EX$1101,2,FALSE)</f>
        <v>#N/A</v>
      </c>
      <c r="FA68" t="e">
        <f t="shared" ca="1" si="21"/>
        <v>#N/A</v>
      </c>
      <c r="FB68" t="e">
        <f t="shared" ca="1" si="21"/>
        <v>#N/A</v>
      </c>
      <c r="FC68" t="e">
        <f t="shared" ca="1" si="21"/>
        <v>#N/A</v>
      </c>
      <c r="FD68" t="e">
        <f t="shared" ca="1" si="21"/>
        <v>#N/A</v>
      </c>
      <c r="FE68" t="str">
        <f t="shared" ca="1" si="9"/>
        <v/>
      </c>
      <c r="FF68" t="str">
        <f t="shared" ca="1" si="10"/>
        <v/>
      </c>
      <c r="FG68" t="str">
        <f t="shared" ca="1" si="11"/>
        <v/>
      </c>
      <c r="FH68" t="str">
        <f t="shared" ca="1" si="12"/>
        <v/>
      </c>
      <c r="FI68" t="str">
        <f t="shared" ca="1" si="13"/>
        <v/>
      </c>
      <c r="FJ68" t="str">
        <f t="shared" ca="1" si="14"/>
        <v/>
      </c>
      <c r="FK68" t="str">
        <f t="shared" ca="1" si="8"/>
        <v/>
      </c>
      <c r="FL68" t="str">
        <f t="shared" ca="1" si="15"/>
        <v>無</v>
      </c>
    </row>
    <row r="69" spans="56:168">
      <c r="CO69" s="5">
        <v>288</v>
      </c>
      <c r="CP69" s="57">
        <v>140000</v>
      </c>
      <c r="CQ69">
        <v>36</v>
      </c>
      <c r="DF69" s="132" t="s">
        <v>188</v>
      </c>
      <c r="EM69" s="133" t="s">
        <v>272</v>
      </c>
      <c r="ES69">
        <v>62</v>
      </c>
      <c r="ET69" t="s">
        <v>270</v>
      </c>
      <c r="EU69" t="s">
        <v>271</v>
      </c>
      <c r="EV69">
        <v>63</v>
      </c>
      <c r="EW69" t="str" cm="1">
        <f t="array" aca="1" ref="EW69" ca="1">INDIRECT("'5借入一覧'!"&amp;ET69&amp;EV69)&amp;INDIRECT("'5借入一覧'!"&amp;EU69&amp;EV69)</f>
        <v/>
      </c>
      <c r="EX69">
        <v>1</v>
      </c>
      <c r="EY69">
        <v>62</v>
      </c>
      <c r="EZ69" t="e">
        <f t="shared" ca="1" si="21"/>
        <v>#N/A</v>
      </c>
      <c r="FA69" t="e">
        <f t="shared" ca="1" si="21"/>
        <v>#N/A</v>
      </c>
      <c r="FB69" t="e">
        <f t="shared" ca="1" si="21"/>
        <v>#N/A</v>
      </c>
      <c r="FC69" t="e">
        <f t="shared" ca="1" si="21"/>
        <v>#N/A</v>
      </c>
      <c r="FD69" t="e">
        <f t="shared" ca="1" si="21"/>
        <v>#N/A</v>
      </c>
      <c r="FE69" t="str">
        <f t="shared" ca="1" si="9"/>
        <v/>
      </c>
      <c r="FF69" t="str">
        <f t="shared" ca="1" si="10"/>
        <v/>
      </c>
      <c r="FG69" t="str">
        <f t="shared" ca="1" si="11"/>
        <v/>
      </c>
      <c r="FH69" t="str">
        <f t="shared" ca="1" si="12"/>
        <v/>
      </c>
      <c r="FI69" t="str">
        <f t="shared" ca="1" si="13"/>
        <v/>
      </c>
      <c r="FJ69" t="str">
        <f t="shared" ca="1" si="14"/>
        <v/>
      </c>
      <c r="FK69" t="str">
        <f t="shared" ca="1" si="8"/>
        <v/>
      </c>
      <c r="FL69" t="str">
        <f t="shared" ca="1" si="15"/>
        <v>無</v>
      </c>
    </row>
    <row r="70" spans="56:168">
      <c r="CO70" s="5">
        <v>89</v>
      </c>
      <c r="CP70" s="57">
        <v>139000</v>
      </c>
      <c r="CQ70">
        <v>37</v>
      </c>
      <c r="DF70" s="132" t="s">
        <v>235</v>
      </c>
      <c r="EM70" s="133" t="s">
        <v>313</v>
      </c>
      <c r="ES70">
        <v>63</v>
      </c>
      <c r="ET70" t="s">
        <v>270</v>
      </c>
      <c r="EU70" t="s">
        <v>271</v>
      </c>
      <c r="EV70">
        <v>64</v>
      </c>
      <c r="EW70" t="str" cm="1">
        <f t="array" aca="1" ref="EW70" ca="1">INDIRECT("'5借入一覧'!"&amp;ET70&amp;EV70)&amp;INDIRECT("'5借入一覧'!"&amp;EU70&amp;EV70)</f>
        <v/>
      </c>
      <c r="EX70">
        <v>1</v>
      </c>
      <c r="EY70">
        <v>63</v>
      </c>
      <c r="EZ70" t="e">
        <f t="shared" ca="1" si="21"/>
        <v>#N/A</v>
      </c>
      <c r="FA70" t="e">
        <f t="shared" ca="1" si="21"/>
        <v>#N/A</v>
      </c>
      <c r="FB70" t="e">
        <f t="shared" ca="1" si="21"/>
        <v>#N/A</v>
      </c>
      <c r="FC70" t="e">
        <f t="shared" ca="1" si="21"/>
        <v>#N/A</v>
      </c>
      <c r="FD70" t="e">
        <f t="shared" ca="1" si="21"/>
        <v>#N/A</v>
      </c>
      <c r="FE70" t="str">
        <f t="shared" ca="1" si="9"/>
        <v/>
      </c>
      <c r="FF70" t="str">
        <f t="shared" ca="1" si="10"/>
        <v/>
      </c>
      <c r="FG70" t="str">
        <f t="shared" ca="1" si="11"/>
        <v/>
      </c>
      <c r="FH70" t="str">
        <f t="shared" ca="1" si="12"/>
        <v/>
      </c>
      <c r="FI70" t="str">
        <f t="shared" ca="1" si="13"/>
        <v/>
      </c>
      <c r="FJ70" t="str">
        <f t="shared" ca="1" si="14"/>
        <v/>
      </c>
      <c r="FK70" t="str">
        <f t="shared" ca="1" si="8"/>
        <v/>
      </c>
      <c r="FL70" t="str">
        <f t="shared" ca="1" si="15"/>
        <v>無</v>
      </c>
    </row>
    <row r="71" spans="56:168">
      <c r="CO71" s="5">
        <v>272</v>
      </c>
      <c r="CP71" s="57">
        <v>139000</v>
      </c>
      <c r="CQ71">
        <v>37</v>
      </c>
      <c r="DF71" s="132" t="s">
        <v>236</v>
      </c>
      <c r="EM71" s="133" t="s">
        <v>316</v>
      </c>
      <c r="ES71">
        <v>64</v>
      </c>
      <c r="ET71" t="s">
        <v>270</v>
      </c>
      <c r="EU71" t="s">
        <v>271</v>
      </c>
      <c r="EV71">
        <v>65</v>
      </c>
      <c r="EW71" t="str" cm="1">
        <f t="array" aca="1" ref="EW71" ca="1">INDIRECT("'5借入一覧'!"&amp;ET71&amp;EV71)&amp;INDIRECT("'5借入一覧'!"&amp;EU71&amp;EV71)</f>
        <v/>
      </c>
      <c r="EX71">
        <v>1</v>
      </c>
      <c r="EY71">
        <v>64</v>
      </c>
      <c r="EZ71" t="e">
        <f t="shared" ca="1" si="21"/>
        <v>#N/A</v>
      </c>
      <c r="FA71" t="e">
        <f t="shared" ca="1" si="21"/>
        <v>#N/A</v>
      </c>
      <c r="FB71" t="e">
        <f t="shared" ca="1" si="21"/>
        <v>#N/A</v>
      </c>
      <c r="FC71" t="e">
        <f t="shared" ca="1" si="21"/>
        <v>#N/A</v>
      </c>
      <c r="FD71" t="e">
        <f t="shared" ca="1" si="21"/>
        <v>#N/A</v>
      </c>
      <c r="FE71" t="str">
        <f t="shared" ca="1" si="9"/>
        <v/>
      </c>
      <c r="FF71" t="str">
        <f t="shared" ca="1" si="10"/>
        <v/>
      </c>
      <c r="FG71" t="str">
        <f t="shared" ca="1" si="11"/>
        <v/>
      </c>
      <c r="FH71" t="str">
        <f t="shared" ca="1" si="12"/>
        <v/>
      </c>
      <c r="FI71" t="str">
        <f t="shared" ca="1" si="13"/>
        <v/>
      </c>
      <c r="FJ71" t="str">
        <f t="shared" ca="1" si="14"/>
        <v/>
      </c>
      <c r="FK71" t="str">
        <f t="shared" ca="1" si="8"/>
        <v/>
      </c>
      <c r="FL71" t="str">
        <f t="shared" ca="1" si="15"/>
        <v>無</v>
      </c>
    </row>
    <row r="72" spans="56:168">
      <c r="CO72" s="5">
        <v>263</v>
      </c>
      <c r="CP72" s="57">
        <v>137000</v>
      </c>
      <c r="CQ72">
        <v>38</v>
      </c>
      <c r="DF72" s="132" t="s">
        <v>262</v>
      </c>
      <c r="EM72" s="133" t="s">
        <v>320</v>
      </c>
      <c r="ES72">
        <v>65</v>
      </c>
      <c r="ET72" t="s">
        <v>270</v>
      </c>
      <c r="EU72" t="s">
        <v>271</v>
      </c>
      <c r="EV72">
        <v>66</v>
      </c>
      <c r="EW72" t="str" cm="1">
        <f t="array" aca="1" ref="EW72" ca="1">INDIRECT("'5借入一覧'!"&amp;ET72&amp;EV72)&amp;INDIRECT("'5借入一覧'!"&amp;EU72&amp;EV72)</f>
        <v/>
      </c>
      <c r="EX72">
        <v>1</v>
      </c>
      <c r="EY72">
        <v>65</v>
      </c>
      <c r="EZ72" t="e">
        <f t="shared" ca="1" si="21"/>
        <v>#N/A</v>
      </c>
      <c r="FA72" t="e">
        <f t="shared" ca="1" si="21"/>
        <v>#N/A</v>
      </c>
      <c r="FB72" t="e">
        <f t="shared" ca="1" si="21"/>
        <v>#N/A</v>
      </c>
      <c r="FC72" t="e">
        <f t="shared" ca="1" si="21"/>
        <v>#N/A</v>
      </c>
      <c r="FD72" t="e">
        <f t="shared" ca="1" si="21"/>
        <v>#N/A</v>
      </c>
      <c r="FE72" t="str">
        <f t="shared" ca="1" si="9"/>
        <v/>
      </c>
      <c r="FF72" t="str">
        <f t="shared" ca="1" si="10"/>
        <v/>
      </c>
      <c r="FG72" t="str">
        <f t="shared" ca="1" si="11"/>
        <v/>
      </c>
      <c r="FH72" t="str">
        <f t="shared" ca="1" si="12"/>
        <v/>
      </c>
      <c r="FI72" t="str">
        <f t="shared" ca="1" si="13"/>
        <v/>
      </c>
      <c r="FJ72" t="str">
        <f t="shared" ca="1" si="14"/>
        <v/>
      </c>
      <c r="FK72" t="str">
        <f t="shared" ref="FK72:FK135" ca="1" si="22">IF(FJ72&lt;&gt;"",LEFT(FJ72,LEN(FJ72)-1),"")</f>
        <v/>
      </c>
      <c r="FL72" t="str">
        <f t="shared" ca="1" si="15"/>
        <v>無</v>
      </c>
    </row>
    <row r="73" spans="56:168">
      <c r="CO73" s="5">
        <v>264</v>
      </c>
      <c r="CP73" s="57">
        <v>137000</v>
      </c>
      <c r="CQ73">
        <v>38</v>
      </c>
      <c r="DF73" s="132" t="s">
        <v>198</v>
      </c>
      <c r="EM73" s="133" t="s">
        <v>324</v>
      </c>
      <c r="ES73">
        <v>66</v>
      </c>
      <c r="ET73" t="s">
        <v>270</v>
      </c>
      <c r="EU73" t="s">
        <v>271</v>
      </c>
      <c r="EV73">
        <v>67</v>
      </c>
      <c r="EW73" t="str" cm="1">
        <f t="array" aca="1" ref="EW73" ca="1">INDIRECT("'5借入一覧'!"&amp;ET73&amp;EV73)&amp;INDIRECT("'5借入一覧'!"&amp;EU73&amp;EV73)</f>
        <v/>
      </c>
      <c r="EX73">
        <v>1</v>
      </c>
      <c r="EY73">
        <v>66</v>
      </c>
      <c r="EZ73" t="e">
        <f t="shared" ca="1" si="21"/>
        <v>#N/A</v>
      </c>
      <c r="FA73" t="e">
        <f t="shared" ca="1" si="21"/>
        <v>#N/A</v>
      </c>
      <c r="FB73" t="e">
        <f t="shared" ca="1" si="21"/>
        <v>#N/A</v>
      </c>
      <c r="FC73" t="e">
        <f t="shared" ca="1" si="21"/>
        <v>#N/A</v>
      </c>
      <c r="FD73" t="e">
        <f t="shared" ca="1" si="21"/>
        <v>#N/A</v>
      </c>
      <c r="FE73" t="str">
        <f t="shared" ref="FE73:FE136" ca="1" si="23">IFERROR(IF(EZ73&gt;0,EZ$7),"")</f>
        <v/>
      </c>
      <c r="FF73" t="str">
        <f t="shared" ref="FF73:FF136" ca="1" si="24">IFERROR(IF(FA73&gt;0,FA$7),"")</f>
        <v/>
      </c>
      <c r="FG73" t="str">
        <f t="shared" ref="FG73:FG136" ca="1" si="25">IFERROR(IF(FB73&gt;0,FB$7),"")</f>
        <v/>
      </c>
      <c r="FH73" t="str">
        <f t="shared" ref="FH73:FH136" ca="1" si="26">IFERROR(IF(FC73&gt;0,FC$7),"")</f>
        <v/>
      </c>
      <c r="FI73" t="str">
        <f t="shared" ref="FI73:FI136" ca="1" si="27">IFERROR(IF(FD73&gt;0,FD$7),"")</f>
        <v/>
      </c>
      <c r="FJ73" t="str">
        <f t="shared" ref="FJ73:FJ136" ca="1" si="28">FE73&amp;FF73&amp;FG73&amp;FH73&amp;FI73</f>
        <v/>
      </c>
      <c r="FK73" t="str">
        <f t="shared" ca="1" si="22"/>
        <v/>
      </c>
      <c r="FL73" t="str">
        <f t="shared" ref="FL73:FL136" ca="1" si="29">IF(FK73&lt;&gt;"",FK73&amp;"として提供中","無")</f>
        <v>無</v>
      </c>
    </row>
    <row r="74" spans="56:168">
      <c r="CO74" s="5">
        <v>266</v>
      </c>
      <c r="CP74" s="57">
        <v>137000</v>
      </c>
      <c r="CQ74">
        <v>38</v>
      </c>
      <c r="DF74" s="5" t="s">
        <v>349</v>
      </c>
      <c r="EM74" s="133" t="s">
        <v>327</v>
      </c>
      <c r="ES74">
        <v>67</v>
      </c>
      <c r="ET74" t="s">
        <v>270</v>
      </c>
      <c r="EU74" t="s">
        <v>271</v>
      </c>
      <c r="EV74">
        <v>68</v>
      </c>
      <c r="EW74" t="str" cm="1">
        <f t="array" aca="1" ref="EW74" ca="1">INDIRECT("'5借入一覧'!"&amp;ET74&amp;EV74)&amp;INDIRECT("'5借入一覧'!"&amp;EU74&amp;EV74)</f>
        <v/>
      </c>
      <c r="EX74">
        <v>1</v>
      </c>
      <c r="EY74">
        <v>67</v>
      </c>
      <c r="EZ74" t="e">
        <f t="shared" ca="1" si="21"/>
        <v>#N/A</v>
      </c>
      <c r="FA74" t="e">
        <f t="shared" ca="1" si="21"/>
        <v>#N/A</v>
      </c>
      <c r="FB74" t="e">
        <f t="shared" ca="1" si="21"/>
        <v>#N/A</v>
      </c>
      <c r="FC74" t="e">
        <f t="shared" ca="1" si="21"/>
        <v>#N/A</v>
      </c>
      <c r="FD74" t="e">
        <f t="shared" ca="1" si="21"/>
        <v>#N/A</v>
      </c>
      <c r="FE74" t="str">
        <f t="shared" ca="1" si="23"/>
        <v/>
      </c>
      <c r="FF74" t="str">
        <f t="shared" ca="1" si="24"/>
        <v/>
      </c>
      <c r="FG74" t="str">
        <f t="shared" ca="1" si="25"/>
        <v/>
      </c>
      <c r="FH74" t="str">
        <f t="shared" ca="1" si="26"/>
        <v/>
      </c>
      <c r="FI74" t="str">
        <f t="shared" ca="1" si="27"/>
        <v/>
      </c>
      <c r="FJ74" t="str">
        <f t="shared" ca="1" si="28"/>
        <v/>
      </c>
      <c r="FK74" t="str">
        <f t="shared" ca="1" si="22"/>
        <v/>
      </c>
      <c r="FL74" t="str">
        <f t="shared" ca="1" si="29"/>
        <v>無</v>
      </c>
    </row>
    <row r="75" spans="56:168">
      <c r="CO75" s="5">
        <v>215</v>
      </c>
      <c r="CP75" s="57">
        <v>135000</v>
      </c>
      <c r="CQ75">
        <v>39</v>
      </c>
      <c r="DF75" s="132" t="s">
        <v>234</v>
      </c>
      <c r="EM75" s="133" t="s">
        <v>291</v>
      </c>
      <c r="ES75">
        <v>68</v>
      </c>
      <c r="ET75" t="s">
        <v>270</v>
      </c>
      <c r="EU75" t="s">
        <v>271</v>
      </c>
      <c r="EV75">
        <v>69</v>
      </c>
      <c r="EW75" t="str" cm="1">
        <f t="array" aca="1" ref="EW75" ca="1">INDIRECT("'5借入一覧'!"&amp;ET75&amp;EV75)&amp;INDIRECT("'5借入一覧'!"&amp;EU75&amp;EV75)</f>
        <v/>
      </c>
      <c r="EX75">
        <v>1</v>
      </c>
      <c r="EY75">
        <v>68</v>
      </c>
      <c r="EZ75" t="e">
        <f t="shared" ca="1" si="21"/>
        <v>#N/A</v>
      </c>
      <c r="FA75" t="e">
        <f t="shared" ca="1" si="21"/>
        <v>#N/A</v>
      </c>
      <c r="FB75" t="e">
        <f t="shared" ca="1" si="21"/>
        <v>#N/A</v>
      </c>
      <c r="FC75" t="e">
        <f t="shared" ca="1" si="21"/>
        <v>#N/A</v>
      </c>
      <c r="FD75" t="e">
        <f t="shared" ca="1" si="21"/>
        <v>#N/A</v>
      </c>
      <c r="FE75" t="str">
        <f t="shared" ca="1" si="23"/>
        <v/>
      </c>
      <c r="FF75" t="str">
        <f t="shared" ca="1" si="24"/>
        <v/>
      </c>
      <c r="FG75" t="str">
        <f t="shared" ca="1" si="25"/>
        <v/>
      </c>
      <c r="FH75" t="str">
        <f t="shared" ca="1" si="26"/>
        <v/>
      </c>
      <c r="FI75" t="str">
        <f t="shared" ca="1" si="27"/>
        <v/>
      </c>
      <c r="FJ75" t="str">
        <f t="shared" ca="1" si="28"/>
        <v/>
      </c>
      <c r="FK75" t="str">
        <f t="shared" ca="1" si="22"/>
        <v/>
      </c>
      <c r="FL75" t="str">
        <f t="shared" ca="1" si="29"/>
        <v>無</v>
      </c>
    </row>
    <row r="76" spans="56:168">
      <c r="CO76" s="5">
        <v>218</v>
      </c>
      <c r="CP76" s="57">
        <v>135000</v>
      </c>
      <c r="CQ76">
        <v>39</v>
      </c>
      <c r="DF76" s="132" t="s">
        <v>193</v>
      </c>
      <c r="EM76" s="133" t="s">
        <v>333</v>
      </c>
      <c r="ES76">
        <v>69</v>
      </c>
      <c r="ET76" t="s">
        <v>270</v>
      </c>
      <c r="EU76" t="s">
        <v>271</v>
      </c>
      <c r="EV76">
        <v>70</v>
      </c>
      <c r="EW76" t="str" cm="1">
        <f t="array" aca="1" ref="EW76" ca="1">INDIRECT("'5借入一覧'!"&amp;ET76&amp;EV76)&amp;INDIRECT("'5借入一覧'!"&amp;EU76&amp;EV76)</f>
        <v/>
      </c>
      <c r="EX76">
        <v>1</v>
      </c>
      <c r="EY76">
        <v>69</v>
      </c>
      <c r="EZ76" t="e">
        <f t="shared" ca="1" si="21"/>
        <v>#N/A</v>
      </c>
      <c r="FA76" t="e">
        <f t="shared" ca="1" si="21"/>
        <v>#N/A</v>
      </c>
      <c r="FB76" t="e">
        <f t="shared" ca="1" si="21"/>
        <v>#N/A</v>
      </c>
      <c r="FC76" t="e">
        <f t="shared" ca="1" si="21"/>
        <v>#N/A</v>
      </c>
      <c r="FD76" t="e">
        <f t="shared" ca="1" si="21"/>
        <v>#N/A</v>
      </c>
      <c r="FE76" t="str">
        <f t="shared" ca="1" si="23"/>
        <v/>
      </c>
      <c r="FF76" t="str">
        <f t="shared" ca="1" si="24"/>
        <v/>
      </c>
      <c r="FG76" t="str">
        <f t="shared" ca="1" si="25"/>
        <v/>
      </c>
      <c r="FH76" t="str">
        <f t="shared" ca="1" si="26"/>
        <v/>
      </c>
      <c r="FI76" t="str">
        <f t="shared" ca="1" si="27"/>
        <v/>
      </c>
      <c r="FJ76" t="str">
        <f t="shared" ca="1" si="28"/>
        <v/>
      </c>
      <c r="FK76" t="str">
        <f t="shared" ca="1" si="22"/>
        <v/>
      </c>
      <c r="FL76" t="str">
        <f t="shared" ca="1" si="29"/>
        <v>無</v>
      </c>
    </row>
    <row r="77" spans="56:168">
      <c r="CO77" s="5">
        <v>285</v>
      </c>
      <c r="CP77" s="57">
        <v>135000</v>
      </c>
      <c r="CQ77">
        <v>39</v>
      </c>
      <c r="DF77" s="132" t="s">
        <v>260</v>
      </c>
      <c r="EM77" s="133" t="s">
        <v>198</v>
      </c>
      <c r="ES77">
        <v>70</v>
      </c>
      <c r="ET77" t="s">
        <v>270</v>
      </c>
      <c r="EU77" t="s">
        <v>271</v>
      </c>
      <c r="EV77">
        <v>71</v>
      </c>
      <c r="EW77" t="str" cm="1">
        <f t="array" aca="1" ref="EW77" ca="1">INDIRECT("'5借入一覧'!"&amp;ET77&amp;EV77)&amp;INDIRECT("'5借入一覧'!"&amp;EU77&amp;EV77)</f>
        <v/>
      </c>
      <c r="EX77">
        <v>1</v>
      </c>
      <c r="EY77">
        <v>70</v>
      </c>
      <c r="EZ77" t="e">
        <f t="shared" ca="1" si="21"/>
        <v>#N/A</v>
      </c>
      <c r="FA77" t="e">
        <f t="shared" ca="1" si="21"/>
        <v>#N/A</v>
      </c>
      <c r="FB77" t="e">
        <f t="shared" ca="1" si="21"/>
        <v>#N/A</v>
      </c>
      <c r="FC77" t="e">
        <f t="shared" ca="1" si="21"/>
        <v>#N/A</v>
      </c>
      <c r="FD77" t="e">
        <f t="shared" ca="1" si="21"/>
        <v>#N/A</v>
      </c>
      <c r="FE77" t="str">
        <f t="shared" ca="1" si="23"/>
        <v/>
      </c>
      <c r="FF77" t="str">
        <f t="shared" ca="1" si="24"/>
        <v/>
      </c>
      <c r="FG77" t="str">
        <f t="shared" ca="1" si="25"/>
        <v/>
      </c>
      <c r="FH77" t="str">
        <f t="shared" ca="1" si="26"/>
        <v/>
      </c>
      <c r="FI77" t="str">
        <f t="shared" ca="1" si="27"/>
        <v/>
      </c>
      <c r="FJ77" t="str">
        <f t="shared" ca="1" si="28"/>
        <v/>
      </c>
      <c r="FK77" t="str">
        <f t="shared" ca="1" si="22"/>
        <v/>
      </c>
      <c r="FL77" t="str">
        <f t="shared" ca="1" si="29"/>
        <v>無</v>
      </c>
    </row>
    <row r="78" spans="56:168">
      <c r="CO78" s="5">
        <v>130</v>
      </c>
      <c r="CP78" s="57">
        <v>135000</v>
      </c>
      <c r="CQ78">
        <v>39</v>
      </c>
      <c r="DF78" s="132" t="s">
        <v>261</v>
      </c>
      <c r="EM78" s="133" t="s">
        <v>296</v>
      </c>
      <c r="ES78">
        <v>71</v>
      </c>
      <c r="ET78" t="s">
        <v>270</v>
      </c>
      <c r="EU78" t="s">
        <v>271</v>
      </c>
      <c r="EV78">
        <v>72</v>
      </c>
      <c r="EW78" t="str" cm="1">
        <f t="array" aca="1" ref="EW78" ca="1">INDIRECT("'5借入一覧'!"&amp;ET78&amp;EV78)&amp;INDIRECT("'5借入一覧'!"&amp;EU78&amp;EV78)</f>
        <v/>
      </c>
      <c r="EX78">
        <v>1</v>
      </c>
      <c r="EY78">
        <v>71</v>
      </c>
      <c r="EZ78" t="e">
        <f t="shared" ref="EZ78:FD87" ca="1" si="30">VLOOKUP($EY78&amp;EZ$5,$EW$7:$EX$1101,2,FALSE)</f>
        <v>#N/A</v>
      </c>
      <c r="FA78" t="e">
        <f t="shared" ca="1" si="30"/>
        <v>#N/A</v>
      </c>
      <c r="FB78" t="e">
        <f t="shared" ca="1" si="30"/>
        <v>#N/A</v>
      </c>
      <c r="FC78" t="e">
        <f t="shared" ca="1" si="30"/>
        <v>#N/A</v>
      </c>
      <c r="FD78" t="e">
        <f t="shared" ca="1" si="30"/>
        <v>#N/A</v>
      </c>
      <c r="FE78" t="str">
        <f t="shared" ca="1" si="23"/>
        <v/>
      </c>
      <c r="FF78" t="str">
        <f t="shared" ca="1" si="24"/>
        <v/>
      </c>
      <c r="FG78" t="str">
        <f t="shared" ca="1" si="25"/>
        <v/>
      </c>
      <c r="FH78" t="str">
        <f t="shared" ca="1" si="26"/>
        <v/>
      </c>
      <c r="FI78" t="str">
        <f t="shared" ca="1" si="27"/>
        <v/>
      </c>
      <c r="FJ78" t="str">
        <f t="shared" ca="1" si="28"/>
        <v/>
      </c>
      <c r="FK78" t="str">
        <f t="shared" ca="1" si="22"/>
        <v/>
      </c>
      <c r="FL78" t="str">
        <f t="shared" ca="1" si="29"/>
        <v>無</v>
      </c>
    </row>
    <row r="79" spans="56:168">
      <c r="CO79" s="5">
        <v>268</v>
      </c>
      <c r="CP79" s="57">
        <v>135000</v>
      </c>
      <c r="CQ79">
        <v>39</v>
      </c>
      <c r="DF79" s="132" t="s">
        <v>188</v>
      </c>
      <c r="EM79" s="133" t="s">
        <v>286</v>
      </c>
      <c r="EN79">
        <v>169657</v>
      </c>
      <c r="EO79">
        <v>221433</v>
      </c>
      <c r="EP79">
        <v>391090</v>
      </c>
      <c r="EQ79">
        <v>91457870</v>
      </c>
      <c r="ES79">
        <v>72</v>
      </c>
      <c r="ET79" t="s">
        <v>270</v>
      </c>
      <c r="EU79" t="s">
        <v>271</v>
      </c>
      <c r="EV79">
        <v>73</v>
      </c>
      <c r="EW79" t="str" cm="1">
        <f t="array" aca="1" ref="EW79" ca="1">INDIRECT("'5借入一覧'!"&amp;ET79&amp;EV79)&amp;INDIRECT("'5借入一覧'!"&amp;EU79&amp;EV79)</f>
        <v/>
      </c>
      <c r="EX79">
        <v>1</v>
      </c>
      <c r="EY79">
        <v>72</v>
      </c>
      <c r="EZ79" t="e">
        <f t="shared" ca="1" si="30"/>
        <v>#N/A</v>
      </c>
      <c r="FA79" t="e">
        <f t="shared" ca="1" si="30"/>
        <v>#N/A</v>
      </c>
      <c r="FB79" t="e">
        <f t="shared" ca="1" si="30"/>
        <v>#N/A</v>
      </c>
      <c r="FC79" t="e">
        <f t="shared" ca="1" si="30"/>
        <v>#N/A</v>
      </c>
      <c r="FD79" t="e">
        <f t="shared" ca="1" si="30"/>
        <v>#N/A</v>
      </c>
      <c r="FE79" t="str">
        <f t="shared" ca="1" si="23"/>
        <v/>
      </c>
      <c r="FF79" t="str">
        <f t="shared" ca="1" si="24"/>
        <v/>
      </c>
      <c r="FG79" t="str">
        <f t="shared" ca="1" si="25"/>
        <v/>
      </c>
      <c r="FH79" t="str">
        <f t="shared" ca="1" si="26"/>
        <v/>
      </c>
      <c r="FI79" t="str">
        <f t="shared" ca="1" si="27"/>
        <v/>
      </c>
      <c r="FJ79" t="str">
        <f t="shared" ca="1" si="28"/>
        <v/>
      </c>
      <c r="FK79" t="str">
        <f t="shared" ca="1" si="22"/>
        <v/>
      </c>
      <c r="FL79" t="str">
        <f t="shared" ca="1" si="29"/>
        <v>無</v>
      </c>
    </row>
    <row r="80" spans="56:168">
      <c r="CO80" s="5">
        <v>132</v>
      </c>
      <c r="CP80" s="57">
        <v>135000</v>
      </c>
      <c r="CQ80">
        <v>39</v>
      </c>
      <c r="DF80" s="132" t="s">
        <v>235</v>
      </c>
      <c r="EM80" s="133" t="s">
        <v>340</v>
      </c>
      <c r="ES80">
        <v>73</v>
      </c>
      <c r="ET80" t="s">
        <v>270</v>
      </c>
      <c r="EU80" t="s">
        <v>271</v>
      </c>
      <c r="EV80">
        <v>74</v>
      </c>
      <c r="EW80" t="str" cm="1">
        <f t="array" aca="1" ref="EW80" ca="1">INDIRECT("'5借入一覧'!"&amp;ET80&amp;EV80)&amp;INDIRECT("'5借入一覧'!"&amp;EU80&amp;EV80)</f>
        <v/>
      </c>
      <c r="EX80">
        <v>1</v>
      </c>
      <c r="EY80">
        <v>73</v>
      </c>
      <c r="EZ80" t="e">
        <f t="shared" ca="1" si="30"/>
        <v>#N/A</v>
      </c>
      <c r="FA80" t="e">
        <f t="shared" ca="1" si="30"/>
        <v>#N/A</v>
      </c>
      <c r="FB80" t="e">
        <f t="shared" ca="1" si="30"/>
        <v>#N/A</v>
      </c>
      <c r="FC80" t="e">
        <f t="shared" ca="1" si="30"/>
        <v>#N/A</v>
      </c>
      <c r="FD80" t="e">
        <f t="shared" ca="1" si="30"/>
        <v>#N/A</v>
      </c>
      <c r="FE80" t="str">
        <f t="shared" ca="1" si="23"/>
        <v/>
      </c>
      <c r="FF80" t="str">
        <f t="shared" ca="1" si="24"/>
        <v/>
      </c>
      <c r="FG80" t="str">
        <f t="shared" ca="1" si="25"/>
        <v/>
      </c>
      <c r="FH80" t="str">
        <f t="shared" ca="1" si="26"/>
        <v/>
      </c>
      <c r="FI80" t="str">
        <f t="shared" ca="1" si="27"/>
        <v/>
      </c>
      <c r="FJ80" t="str">
        <f t="shared" ca="1" si="28"/>
        <v/>
      </c>
      <c r="FK80" t="str">
        <f t="shared" ca="1" si="22"/>
        <v/>
      </c>
      <c r="FL80" t="str">
        <f t="shared" ca="1" si="29"/>
        <v>無</v>
      </c>
    </row>
    <row r="81" spans="93:168">
      <c r="CO81" s="5">
        <v>273</v>
      </c>
      <c r="CP81" s="57">
        <v>135000</v>
      </c>
      <c r="CQ81">
        <v>39</v>
      </c>
      <c r="DF81" s="132" t="s">
        <v>236</v>
      </c>
      <c r="EM81" s="132" t="s">
        <v>310</v>
      </c>
      <c r="EN81">
        <v>0</v>
      </c>
      <c r="EO81">
        <v>0</v>
      </c>
      <c r="EP81">
        <v>0</v>
      </c>
      <c r="EQ81">
        <v>2000000</v>
      </c>
      <c r="ES81">
        <v>74</v>
      </c>
      <c r="ET81" t="s">
        <v>270</v>
      </c>
      <c r="EU81" t="s">
        <v>271</v>
      </c>
      <c r="EV81">
        <v>75</v>
      </c>
      <c r="EW81" t="str" cm="1">
        <f t="array" aca="1" ref="EW81" ca="1">INDIRECT("'5借入一覧'!"&amp;ET81&amp;EV81)&amp;INDIRECT("'5借入一覧'!"&amp;EU81&amp;EV81)</f>
        <v/>
      </c>
      <c r="EX81">
        <v>1</v>
      </c>
      <c r="EY81">
        <v>74</v>
      </c>
      <c r="EZ81" t="e">
        <f t="shared" ca="1" si="30"/>
        <v>#N/A</v>
      </c>
      <c r="FA81" t="e">
        <f t="shared" ca="1" si="30"/>
        <v>#N/A</v>
      </c>
      <c r="FB81" t="e">
        <f t="shared" ca="1" si="30"/>
        <v>#N/A</v>
      </c>
      <c r="FC81" t="e">
        <f t="shared" ca="1" si="30"/>
        <v>#N/A</v>
      </c>
      <c r="FD81" t="e">
        <f t="shared" ca="1" si="30"/>
        <v>#N/A</v>
      </c>
      <c r="FE81" t="str">
        <f t="shared" ca="1" si="23"/>
        <v/>
      </c>
      <c r="FF81" t="str">
        <f t="shared" ca="1" si="24"/>
        <v/>
      </c>
      <c r="FG81" t="str">
        <f t="shared" ca="1" si="25"/>
        <v/>
      </c>
      <c r="FH81" t="str">
        <f t="shared" ca="1" si="26"/>
        <v/>
      </c>
      <c r="FI81" t="str">
        <f t="shared" ca="1" si="27"/>
        <v/>
      </c>
      <c r="FJ81" t="str">
        <f t="shared" ca="1" si="28"/>
        <v/>
      </c>
      <c r="FK81" t="str">
        <f t="shared" ca="1" si="22"/>
        <v/>
      </c>
      <c r="FL81" t="str">
        <f t="shared" ca="1" si="29"/>
        <v>無</v>
      </c>
    </row>
    <row r="82" spans="93:168">
      <c r="CO82" s="5">
        <v>220</v>
      </c>
      <c r="CP82" s="57">
        <v>135000</v>
      </c>
      <c r="CQ82">
        <v>39</v>
      </c>
      <c r="DF82" s="132" t="s">
        <v>262</v>
      </c>
      <c r="EM82" s="133" t="s">
        <v>5</v>
      </c>
      <c r="ES82">
        <v>75</v>
      </c>
      <c r="ET82" t="s">
        <v>270</v>
      </c>
      <c r="EU82" t="s">
        <v>271</v>
      </c>
      <c r="EV82">
        <v>76</v>
      </c>
      <c r="EW82" t="str" cm="1">
        <f t="array" aca="1" ref="EW82" ca="1">INDIRECT("'5借入一覧'!"&amp;ET82&amp;EV82)&amp;INDIRECT("'5借入一覧'!"&amp;EU82&amp;EV82)</f>
        <v/>
      </c>
      <c r="EX82">
        <v>1</v>
      </c>
      <c r="EY82">
        <v>75</v>
      </c>
      <c r="EZ82" t="e">
        <f t="shared" ca="1" si="30"/>
        <v>#N/A</v>
      </c>
      <c r="FA82" t="e">
        <f t="shared" ca="1" si="30"/>
        <v>#N/A</v>
      </c>
      <c r="FB82" t="e">
        <f t="shared" ca="1" si="30"/>
        <v>#N/A</v>
      </c>
      <c r="FC82" t="e">
        <f t="shared" ca="1" si="30"/>
        <v>#N/A</v>
      </c>
      <c r="FD82" t="e">
        <f t="shared" ca="1" si="30"/>
        <v>#N/A</v>
      </c>
      <c r="FE82" t="str">
        <f t="shared" ca="1" si="23"/>
        <v/>
      </c>
      <c r="FF82" t="str">
        <f t="shared" ca="1" si="24"/>
        <v/>
      </c>
      <c r="FG82" t="str">
        <f t="shared" ca="1" si="25"/>
        <v/>
      </c>
      <c r="FH82" t="str">
        <f t="shared" ca="1" si="26"/>
        <v/>
      </c>
      <c r="FI82" t="str">
        <f t="shared" ca="1" si="27"/>
        <v/>
      </c>
      <c r="FJ82" t="str">
        <f t="shared" ca="1" si="28"/>
        <v/>
      </c>
      <c r="FK82" t="str">
        <f t="shared" ca="1" si="22"/>
        <v/>
      </c>
      <c r="FL82" t="str">
        <f t="shared" ca="1" si="29"/>
        <v>無</v>
      </c>
    </row>
    <row r="83" spans="93:168">
      <c r="CO83" s="5">
        <v>106</v>
      </c>
      <c r="CP83" s="57">
        <v>135000</v>
      </c>
      <c r="CQ83">
        <v>39</v>
      </c>
      <c r="DF83" s="132" t="s">
        <v>198</v>
      </c>
      <c r="EM83" s="133" t="s">
        <v>216</v>
      </c>
      <c r="ES83">
        <v>76</v>
      </c>
      <c r="ET83" t="s">
        <v>270</v>
      </c>
      <c r="EU83" t="s">
        <v>271</v>
      </c>
      <c r="EV83">
        <v>77</v>
      </c>
      <c r="EW83" t="str" cm="1">
        <f t="array" aca="1" ref="EW83" ca="1">INDIRECT("'5借入一覧'!"&amp;ET83&amp;EV83)&amp;INDIRECT("'5借入一覧'!"&amp;EU83&amp;EV83)</f>
        <v/>
      </c>
      <c r="EX83">
        <v>1</v>
      </c>
      <c r="EY83">
        <v>76</v>
      </c>
      <c r="EZ83" t="e">
        <f t="shared" ca="1" si="30"/>
        <v>#N/A</v>
      </c>
      <c r="FA83" t="e">
        <f t="shared" ca="1" si="30"/>
        <v>#N/A</v>
      </c>
      <c r="FB83" t="e">
        <f t="shared" ca="1" si="30"/>
        <v>#N/A</v>
      </c>
      <c r="FC83" t="e">
        <f t="shared" ca="1" si="30"/>
        <v>#N/A</v>
      </c>
      <c r="FD83" t="e">
        <f t="shared" ca="1" si="30"/>
        <v>#N/A</v>
      </c>
      <c r="FE83" t="str">
        <f t="shared" ca="1" si="23"/>
        <v/>
      </c>
      <c r="FF83" t="str">
        <f t="shared" ca="1" si="24"/>
        <v/>
      </c>
      <c r="FG83" t="str">
        <f t="shared" ca="1" si="25"/>
        <v/>
      </c>
      <c r="FH83" t="str">
        <f t="shared" ca="1" si="26"/>
        <v/>
      </c>
      <c r="FI83" t="str">
        <f t="shared" ca="1" si="27"/>
        <v/>
      </c>
      <c r="FJ83" t="str">
        <f t="shared" ca="1" si="28"/>
        <v/>
      </c>
      <c r="FK83" t="str">
        <f t="shared" ca="1" si="22"/>
        <v/>
      </c>
      <c r="FL83" t="str">
        <f t="shared" ca="1" si="29"/>
        <v>無</v>
      </c>
    </row>
    <row r="84" spans="93:168">
      <c r="CO84" s="5">
        <v>219</v>
      </c>
      <c r="CP84" s="57">
        <v>135000</v>
      </c>
      <c r="CQ84">
        <v>39</v>
      </c>
      <c r="DF84" s="5" t="s">
        <v>350</v>
      </c>
      <c r="EM84" s="133" t="s">
        <v>237</v>
      </c>
      <c r="ES84">
        <v>77</v>
      </c>
      <c r="ET84" t="s">
        <v>270</v>
      </c>
      <c r="EU84" t="s">
        <v>271</v>
      </c>
      <c r="EV84">
        <v>78</v>
      </c>
      <c r="EW84" t="str" cm="1">
        <f t="array" aca="1" ref="EW84" ca="1">INDIRECT("'5借入一覧'!"&amp;ET84&amp;EV84)&amp;INDIRECT("'5借入一覧'!"&amp;EU84&amp;EV84)</f>
        <v/>
      </c>
      <c r="EX84">
        <v>1</v>
      </c>
      <c r="EY84">
        <v>77</v>
      </c>
      <c r="EZ84" t="e">
        <f t="shared" ca="1" si="30"/>
        <v>#N/A</v>
      </c>
      <c r="FA84" t="e">
        <f t="shared" ca="1" si="30"/>
        <v>#N/A</v>
      </c>
      <c r="FB84" t="e">
        <f t="shared" ca="1" si="30"/>
        <v>#N/A</v>
      </c>
      <c r="FC84" t="e">
        <f t="shared" ca="1" si="30"/>
        <v>#N/A</v>
      </c>
      <c r="FD84" t="e">
        <f t="shared" ca="1" si="30"/>
        <v>#N/A</v>
      </c>
      <c r="FE84" t="str">
        <f t="shared" ca="1" si="23"/>
        <v/>
      </c>
      <c r="FF84" t="str">
        <f t="shared" ca="1" si="24"/>
        <v/>
      </c>
      <c r="FG84" t="str">
        <f t="shared" ca="1" si="25"/>
        <v/>
      </c>
      <c r="FH84" t="str">
        <f t="shared" ca="1" si="26"/>
        <v/>
      </c>
      <c r="FI84" t="str">
        <f t="shared" ca="1" si="27"/>
        <v/>
      </c>
      <c r="FJ84" t="str">
        <f t="shared" ca="1" si="28"/>
        <v/>
      </c>
      <c r="FK84" t="str">
        <f t="shared" ca="1" si="22"/>
        <v/>
      </c>
      <c r="FL84" t="str">
        <f t="shared" ca="1" si="29"/>
        <v>無</v>
      </c>
    </row>
    <row r="85" spans="93:168">
      <c r="CO85" s="5">
        <v>124</v>
      </c>
      <c r="CP85" s="57">
        <v>134000</v>
      </c>
      <c r="CQ85">
        <v>40</v>
      </c>
      <c r="DF85" s="132" t="s">
        <v>234</v>
      </c>
      <c r="EM85" s="133" t="s">
        <v>268</v>
      </c>
      <c r="ES85">
        <v>78</v>
      </c>
      <c r="ET85" t="s">
        <v>270</v>
      </c>
      <c r="EU85" t="s">
        <v>271</v>
      </c>
      <c r="EV85">
        <v>79</v>
      </c>
      <c r="EW85" t="str" cm="1">
        <f t="array" aca="1" ref="EW85" ca="1">INDIRECT("'5借入一覧'!"&amp;ET85&amp;EV85)&amp;INDIRECT("'5借入一覧'!"&amp;EU85&amp;EV85)</f>
        <v/>
      </c>
      <c r="EX85">
        <v>1</v>
      </c>
      <c r="EY85">
        <v>78</v>
      </c>
      <c r="EZ85" t="e">
        <f t="shared" ca="1" si="30"/>
        <v>#N/A</v>
      </c>
      <c r="FA85" t="e">
        <f t="shared" ca="1" si="30"/>
        <v>#N/A</v>
      </c>
      <c r="FB85" t="e">
        <f t="shared" ca="1" si="30"/>
        <v>#N/A</v>
      </c>
      <c r="FC85" t="e">
        <f t="shared" ca="1" si="30"/>
        <v>#N/A</v>
      </c>
      <c r="FD85" t="e">
        <f t="shared" ca="1" si="30"/>
        <v>#N/A</v>
      </c>
      <c r="FE85" t="str">
        <f t="shared" ca="1" si="23"/>
        <v/>
      </c>
      <c r="FF85" t="str">
        <f t="shared" ca="1" si="24"/>
        <v/>
      </c>
      <c r="FG85" t="str">
        <f t="shared" ca="1" si="25"/>
        <v/>
      </c>
      <c r="FH85" t="str">
        <f t="shared" ca="1" si="26"/>
        <v/>
      </c>
      <c r="FI85" t="str">
        <f t="shared" ca="1" si="27"/>
        <v/>
      </c>
      <c r="FJ85" t="str">
        <f t="shared" ca="1" si="28"/>
        <v/>
      </c>
      <c r="FK85" t="str">
        <f t="shared" ca="1" si="22"/>
        <v/>
      </c>
      <c r="FL85" t="str">
        <f t="shared" ca="1" si="29"/>
        <v>無</v>
      </c>
    </row>
    <row r="86" spans="93:168">
      <c r="CO86" s="5">
        <v>271</v>
      </c>
      <c r="CP86" s="57">
        <v>134000</v>
      </c>
      <c r="CQ86">
        <v>40</v>
      </c>
      <c r="DF86" s="132" t="s">
        <v>193</v>
      </c>
      <c r="EM86" s="133" t="s">
        <v>276</v>
      </c>
      <c r="ES86">
        <v>79</v>
      </c>
      <c r="ET86" t="s">
        <v>270</v>
      </c>
      <c r="EU86" t="s">
        <v>271</v>
      </c>
      <c r="EV86">
        <v>80</v>
      </c>
      <c r="EW86" t="str" cm="1">
        <f t="array" aca="1" ref="EW86" ca="1">INDIRECT("'5借入一覧'!"&amp;ET86&amp;EV86)&amp;INDIRECT("'5借入一覧'!"&amp;EU86&amp;EV86)</f>
        <v/>
      </c>
      <c r="EX86">
        <v>1</v>
      </c>
      <c r="EY86">
        <v>79</v>
      </c>
      <c r="EZ86" t="e">
        <f t="shared" ca="1" si="30"/>
        <v>#N/A</v>
      </c>
      <c r="FA86" t="e">
        <f t="shared" ca="1" si="30"/>
        <v>#N/A</v>
      </c>
      <c r="FB86" t="e">
        <f t="shared" ca="1" si="30"/>
        <v>#N/A</v>
      </c>
      <c r="FC86" t="e">
        <f t="shared" ca="1" si="30"/>
        <v>#N/A</v>
      </c>
      <c r="FD86" t="e">
        <f t="shared" ca="1" si="30"/>
        <v>#N/A</v>
      </c>
      <c r="FE86" t="str">
        <f t="shared" ca="1" si="23"/>
        <v/>
      </c>
      <c r="FF86" t="str">
        <f t="shared" ca="1" si="24"/>
        <v/>
      </c>
      <c r="FG86" t="str">
        <f t="shared" ca="1" si="25"/>
        <v/>
      </c>
      <c r="FH86" t="str">
        <f t="shared" ca="1" si="26"/>
        <v/>
      </c>
      <c r="FI86" t="str">
        <f t="shared" ca="1" si="27"/>
        <v/>
      </c>
      <c r="FJ86" t="str">
        <f t="shared" ca="1" si="28"/>
        <v/>
      </c>
      <c r="FK86" t="str">
        <f t="shared" ca="1" si="22"/>
        <v/>
      </c>
      <c r="FL86" t="str">
        <f t="shared" ca="1" si="29"/>
        <v>無</v>
      </c>
    </row>
    <row r="87" spans="93:168">
      <c r="CO87" s="5">
        <v>267</v>
      </c>
      <c r="CP87" s="57">
        <v>133000</v>
      </c>
      <c r="CQ87">
        <v>41</v>
      </c>
      <c r="DF87" s="132" t="s">
        <v>260</v>
      </c>
      <c r="EM87" s="133" t="s">
        <v>281</v>
      </c>
      <c r="ES87">
        <v>80</v>
      </c>
      <c r="ET87" t="s">
        <v>270</v>
      </c>
      <c r="EU87" t="s">
        <v>271</v>
      </c>
      <c r="EV87">
        <v>81</v>
      </c>
      <c r="EW87" t="str" cm="1">
        <f t="array" aca="1" ref="EW87" ca="1">INDIRECT("'5借入一覧'!"&amp;ET87&amp;EV87)&amp;INDIRECT("'5借入一覧'!"&amp;EU87&amp;EV87)</f>
        <v/>
      </c>
      <c r="EX87">
        <v>1</v>
      </c>
      <c r="EY87">
        <v>80</v>
      </c>
      <c r="EZ87" t="e">
        <f t="shared" ca="1" si="30"/>
        <v>#N/A</v>
      </c>
      <c r="FA87" t="e">
        <f t="shared" ca="1" si="30"/>
        <v>#N/A</v>
      </c>
      <c r="FB87" t="e">
        <f t="shared" ca="1" si="30"/>
        <v>#N/A</v>
      </c>
      <c r="FC87" t="e">
        <f t="shared" ca="1" si="30"/>
        <v>#N/A</v>
      </c>
      <c r="FD87" t="e">
        <f t="shared" ca="1" si="30"/>
        <v>#N/A</v>
      </c>
      <c r="FE87" t="str">
        <f t="shared" ca="1" si="23"/>
        <v/>
      </c>
      <c r="FF87" t="str">
        <f t="shared" ca="1" si="24"/>
        <v/>
      </c>
      <c r="FG87" t="str">
        <f t="shared" ca="1" si="25"/>
        <v/>
      </c>
      <c r="FH87" t="str">
        <f t="shared" ca="1" si="26"/>
        <v/>
      </c>
      <c r="FI87" t="str">
        <f t="shared" ca="1" si="27"/>
        <v/>
      </c>
      <c r="FJ87" t="str">
        <f t="shared" ca="1" si="28"/>
        <v/>
      </c>
      <c r="FK87" t="str">
        <f t="shared" ca="1" si="22"/>
        <v/>
      </c>
      <c r="FL87" t="str">
        <f t="shared" ca="1" si="29"/>
        <v>無</v>
      </c>
    </row>
    <row r="88" spans="93:168">
      <c r="CO88" s="5">
        <v>254</v>
      </c>
      <c r="CP88" s="57">
        <v>133000</v>
      </c>
      <c r="CQ88">
        <v>41</v>
      </c>
      <c r="DF88" s="132" t="s">
        <v>261</v>
      </c>
      <c r="EM88" s="133" t="s">
        <v>285</v>
      </c>
      <c r="ES88">
        <v>81</v>
      </c>
      <c r="ET88" t="s">
        <v>270</v>
      </c>
      <c r="EU88" t="s">
        <v>271</v>
      </c>
      <c r="EV88">
        <v>82</v>
      </c>
      <c r="EW88" t="str" cm="1">
        <f t="array" aca="1" ref="EW88" ca="1">INDIRECT("'5借入一覧'!"&amp;ET88&amp;EV88)&amp;INDIRECT("'5借入一覧'!"&amp;EU88&amp;EV88)</f>
        <v/>
      </c>
      <c r="EX88">
        <v>1</v>
      </c>
      <c r="EY88">
        <v>81</v>
      </c>
      <c r="EZ88" t="e">
        <f t="shared" ref="EZ88:FD97" ca="1" si="31">VLOOKUP($EY88&amp;EZ$5,$EW$7:$EX$1101,2,FALSE)</f>
        <v>#N/A</v>
      </c>
      <c r="FA88" t="e">
        <f t="shared" ca="1" si="31"/>
        <v>#N/A</v>
      </c>
      <c r="FB88" t="e">
        <f t="shared" ca="1" si="31"/>
        <v>#N/A</v>
      </c>
      <c r="FC88" t="e">
        <f t="shared" ca="1" si="31"/>
        <v>#N/A</v>
      </c>
      <c r="FD88" t="e">
        <f t="shared" ca="1" si="31"/>
        <v>#N/A</v>
      </c>
      <c r="FE88" t="str">
        <f t="shared" ca="1" si="23"/>
        <v/>
      </c>
      <c r="FF88" t="str">
        <f t="shared" ca="1" si="24"/>
        <v/>
      </c>
      <c r="FG88" t="str">
        <f t="shared" ca="1" si="25"/>
        <v/>
      </c>
      <c r="FH88" t="str">
        <f t="shared" ca="1" si="26"/>
        <v/>
      </c>
      <c r="FI88" t="str">
        <f t="shared" ca="1" si="27"/>
        <v/>
      </c>
      <c r="FJ88" t="str">
        <f t="shared" ca="1" si="28"/>
        <v/>
      </c>
      <c r="FK88" t="str">
        <f t="shared" ca="1" si="22"/>
        <v/>
      </c>
      <c r="FL88" t="str">
        <f t="shared" ca="1" si="29"/>
        <v>無</v>
      </c>
    </row>
    <row r="89" spans="93:168">
      <c r="CO89" s="5">
        <v>82</v>
      </c>
      <c r="CP89" s="57">
        <v>132000</v>
      </c>
      <c r="CQ89">
        <v>42</v>
      </c>
      <c r="DF89" s="132" t="s">
        <v>188</v>
      </c>
      <c r="EM89" s="133" t="s">
        <v>290</v>
      </c>
      <c r="ES89">
        <v>82</v>
      </c>
      <c r="ET89" t="s">
        <v>270</v>
      </c>
      <c r="EU89" t="s">
        <v>271</v>
      </c>
      <c r="EV89">
        <v>83</v>
      </c>
      <c r="EW89" t="str" cm="1">
        <f t="array" aca="1" ref="EW89" ca="1">INDIRECT("'5借入一覧'!"&amp;ET89&amp;EV89)&amp;INDIRECT("'5借入一覧'!"&amp;EU89&amp;EV89)</f>
        <v/>
      </c>
      <c r="EX89">
        <v>1</v>
      </c>
      <c r="EY89">
        <v>82</v>
      </c>
      <c r="EZ89" t="e">
        <f t="shared" ca="1" si="31"/>
        <v>#N/A</v>
      </c>
      <c r="FA89" t="e">
        <f t="shared" ca="1" si="31"/>
        <v>#N/A</v>
      </c>
      <c r="FB89" t="e">
        <f t="shared" ca="1" si="31"/>
        <v>#N/A</v>
      </c>
      <c r="FC89" t="e">
        <f t="shared" ca="1" si="31"/>
        <v>#N/A</v>
      </c>
      <c r="FD89" t="e">
        <f t="shared" ca="1" si="31"/>
        <v>#N/A</v>
      </c>
      <c r="FE89" t="str">
        <f t="shared" ca="1" si="23"/>
        <v/>
      </c>
      <c r="FF89" t="str">
        <f t="shared" ca="1" si="24"/>
        <v/>
      </c>
      <c r="FG89" t="str">
        <f t="shared" ca="1" si="25"/>
        <v/>
      </c>
      <c r="FH89" t="str">
        <f t="shared" ca="1" si="26"/>
        <v/>
      </c>
      <c r="FI89" t="str">
        <f t="shared" ca="1" si="27"/>
        <v/>
      </c>
      <c r="FJ89" t="str">
        <f t="shared" ca="1" si="28"/>
        <v/>
      </c>
      <c r="FK89" t="str">
        <f t="shared" ca="1" si="22"/>
        <v/>
      </c>
      <c r="FL89" t="str">
        <f t="shared" ca="1" si="29"/>
        <v>無</v>
      </c>
    </row>
    <row r="90" spans="93:168">
      <c r="CO90" s="5">
        <v>221</v>
      </c>
      <c r="CP90" s="57">
        <v>132000</v>
      </c>
      <c r="CQ90">
        <v>42</v>
      </c>
      <c r="DF90" s="132" t="s">
        <v>235</v>
      </c>
      <c r="EM90" s="133" t="s">
        <v>295</v>
      </c>
      <c r="ES90">
        <v>83</v>
      </c>
      <c r="ET90" t="s">
        <v>270</v>
      </c>
      <c r="EU90" t="s">
        <v>271</v>
      </c>
      <c r="EV90">
        <v>84</v>
      </c>
      <c r="EW90" t="str" cm="1">
        <f t="array" aca="1" ref="EW90" ca="1">INDIRECT("'5借入一覧'!"&amp;ET90&amp;EV90)&amp;INDIRECT("'5借入一覧'!"&amp;EU90&amp;EV90)</f>
        <v/>
      </c>
      <c r="EX90">
        <v>1</v>
      </c>
      <c r="EY90">
        <v>83</v>
      </c>
      <c r="EZ90" t="e">
        <f t="shared" ca="1" si="31"/>
        <v>#N/A</v>
      </c>
      <c r="FA90" t="e">
        <f t="shared" ca="1" si="31"/>
        <v>#N/A</v>
      </c>
      <c r="FB90" t="e">
        <f t="shared" ca="1" si="31"/>
        <v>#N/A</v>
      </c>
      <c r="FC90" t="e">
        <f t="shared" ca="1" si="31"/>
        <v>#N/A</v>
      </c>
      <c r="FD90" t="e">
        <f t="shared" ca="1" si="31"/>
        <v>#N/A</v>
      </c>
      <c r="FE90" t="str">
        <f t="shared" ca="1" si="23"/>
        <v/>
      </c>
      <c r="FF90" t="str">
        <f t="shared" ca="1" si="24"/>
        <v/>
      </c>
      <c r="FG90" t="str">
        <f t="shared" ca="1" si="25"/>
        <v/>
      </c>
      <c r="FH90" t="str">
        <f t="shared" ca="1" si="26"/>
        <v/>
      </c>
      <c r="FI90" t="str">
        <f t="shared" ca="1" si="27"/>
        <v/>
      </c>
      <c r="FJ90" t="str">
        <f t="shared" ca="1" si="28"/>
        <v/>
      </c>
      <c r="FK90" t="str">
        <f t="shared" ca="1" si="22"/>
        <v/>
      </c>
      <c r="FL90" t="str">
        <f t="shared" ca="1" si="29"/>
        <v>無</v>
      </c>
    </row>
    <row r="91" spans="93:168">
      <c r="CO91" s="5">
        <v>261</v>
      </c>
      <c r="CP91" s="57">
        <v>132000</v>
      </c>
      <c r="CQ91">
        <v>42</v>
      </c>
      <c r="DF91" s="132" t="s">
        <v>236</v>
      </c>
      <c r="EM91" s="133" t="s">
        <v>302</v>
      </c>
      <c r="ES91">
        <v>84</v>
      </c>
      <c r="ET91" t="s">
        <v>270</v>
      </c>
      <c r="EU91" t="s">
        <v>271</v>
      </c>
      <c r="EV91">
        <v>85</v>
      </c>
      <c r="EW91" t="str" cm="1">
        <f t="array" aca="1" ref="EW91" ca="1">INDIRECT("'5借入一覧'!"&amp;ET91&amp;EV91)&amp;INDIRECT("'5借入一覧'!"&amp;EU91&amp;EV91)</f>
        <v/>
      </c>
      <c r="EX91">
        <v>1</v>
      </c>
      <c r="EY91">
        <v>84</v>
      </c>
      <c r="EZ91" t="e">
        <f t="shared" ca="1" si="31"/>
        <v>#N/A</v>
      </c>
      <c r="FA91" t="e">
        <f t="shared" ca="1" si="31"/>
        <v>#N/A</v>
      </c>
      <c r="FB91" t="e">
        <f t="shared" ca="1" si="31"/>
        <v>#N/A</v>
      </c>
      <c r="FC91" t="e">
        <f t="shared" ca="1" si="31"/>
        <v>#N/A</v>
      </c>
      <c r="FD91" t="e">
        <f t="shared" ca="1" si="31"/>
        <v>#N/A</v>
      </c>
      <c r="FE91" t="str">
        <f t="shared" ca="1" si="23"/>
        <v/>
      </c>
      <c r="FF91" t="str">
        <f t="shared" ca="1" si="24"/>
        <v/>
      </c>
      <c r="FG91" t="str">
        <f t="shared" ca="1" si="25"/>
        <v/>
      </c>
      <c r="FH91" t="str">
        <f t="shared" ca="1" si="26"/>
        <v/>
      </c>
      <c r="FI91" t="str">
        <f t="shared" ca="1" si="27"/>
        <v/>
      </c>
      <c r="FJ91" t="str">
        <f t="shared" ca="1" si="28"/>
        <v/>
      </c>
      <c r="FK91" t="str">
        <f t="shared" ca="1" si="22"/>
        <v/>
      </c>
      <c r="FL91" t="str">
        <f t="shared" ca="1" si="29"/>
        <v>無</v>
      </c>
    </row>
    <row r="92" spans="93:168">
      <c r="CO92" s="5">
        <v>232</v>
      </c>
      <c r="CP92" s="57">
        <v>131000</v>
      </c>
      <c r="CQ92">
        <v>43</v>
      </c>
      <c r="DF92" s="132" t="s">
        <v>262</v>
      </c>
      <c r="EM92" s="133" t="s">
        <v>4</v>
      </c>
      <c r="ES92">
        <v>85</v>
      </c>
      <c r="ET92" t="s">
        <v>270</v>
      </c>
      <c r="EU92" t="s">
        <v>271</v>
      </c>
      <c r="EV92">
        <v>86</v>
      </c>
      <c r="EW92" t="str" cm="1">
        <f t="array" aca="1" ref="EW92" ca="1">INDIRECT("'5借入一覧'!"&amp;ET92&amp;EV92)&amp;INDIRECT("'5借入一覧'!"&amp;EU92&amp;EV92)</f>
        <v/>
      </c>
      <c r="EX92">
        <v>1</v>
      </c>
      <c r="EY92">
        <v>85</v>
      </c>
      <c r="EZ92" t="e">
        <f t="shared" ca="1" si="31"/>
        <v>#N/A</v>
      </c>
      <c r="FA92" t="e">
        <f t="shared" ca="1" si="31"/>
        <v>#N/A</v>
      </c>
      <c r="FB92" t="e">
        <f t="shared" ca="1" si="31"/>
        <v>#N/A</v>
      </c>
      <c r="FC92" t="e">
        <f t="shared" ca="1" si="31"/>
        <v>#N/A</v>
      </c>
      <c r="FD92" t="e">
        <f t="shared" ca="1" si="31"/>
        <v>#N/A</v>
      </c>
      <c r="FE92" t="str">
        <f t="shared" ca="1" si="23"/>
        <v/>
      </c>
      <c r="FF92" t="str">
        <f t="shared" ca="1" si="24"/>
        <v/>
      </c>
      <c r="FG92" t="str">
        <f t="shared" ca="1" si="25"/>
        <v/>
      </c>
      <c r="FH92" t="str">
        <f t="shared" ca="1" si="26"/>
        <v/>
      </c>
      <c r="FI92" t="str">
        <f t="shared" ca="1" si="27"/>
        <v/>
      </c>
      <c r="FJ92" t="str">
        <f t="shared" ca="1" si="28"/>
        <v/>
      </c>
      <c r="FK92" t="str">
        <f t="shared" ca="1" si="22"/>
        <v/>
      </c>
      <c r="FL92" t="str">
        <f t="shared" ca="1" si="29"/>
        <v>無</v>
      </c>
    </row>
    <row r="93" spans="93:168">
      <c r="CO93" s="5">
        <v>259</v>
      </c>
      <c r="CP93" s="57">
        <v>131000</v>
      </c>
      <c r="CQ93">
        <v>43</v>
      </c>
      <c r="DF93" s="132" t="s">
        <v>198</v>
      </c>
      <c r="EM93" s="133" t="s">
        <v>272</v>
      </c>
      <c r="EN93">
        <v>0</v>
      </c>
      <c r="EO93">
        <v>0</v>
      </c>
      <c r="EP93">
        <v>0</v>
      </c>
      <c r="EQ93">
        <v>2000000</v>
      </c>
      <c r="ES93">
        <v>86</v>
      </c>
      <c r="ET93" t="s">
        <v>270</v>
      </c>
      <c r="EU93" t="s">
        <v>271</v>
      </c>
      <c r="EV93">
        <v>87</v>
      </c>
      <c r="EW93" t="str" cm="1">
        <f t="array" aca="1" ref="EW93" ca="1">INDIRECT("'5借入一覧'!"&amp;ET93&amp;EV93)&amp;INDIRECT("'5借入一覧'!"&amp;EU93&amp;EV93)</f>
        <v/>
      </c>
      <c r="EX93">
        <v>1</v>
      </c>
      <c r="EY93">
        <v>86</v>
      </c>
      <c r="EZ93" t="e">
        <f t="shared" ca="1" si="31"/>
        <v>#N/A</v>
      </c>
      <c r="FA93" t="e">
        <f t="shared" ca="1" si="31"/>
        <v>#N/A</v>
      </c>
      <c r="FB93" t="e">
        <f t="shared" ca="1" si="31"/>
        <v>#N/A</v>
      </c>
      <c r="FC93" t="e">
        <f t="shared" ca="1" si="31"/>
        <v>#N/A</v>
      </c>
      <c r="FD93" t="e">
        <f t="shared" ca="1" si="31"/>
        <v>#N/A</v>
      </c>
      <c r="FE93" t="str">
        <f t="shared" ca="1" si="23"/>
        <v/>
      </c>
      <c r="FF93" t="str">
        <f t="shared" ca="1" si="24"/>
        <v/>
      </c>
      <c r="FG93" t="str">
        <f t="shared" ca="1" si="25"/>
        <v/>
      </c>
      <c r="FH93" t="str">
        <f t="shared" ca="1" si="26"/>
        <v/>
      </c>
      <c r="FI93" t="str">
        <f t="shared" ca="1" si="27"/>
        <v/>
      </c>
      <c r="FJ93" t="str">
        <f t="shared" ca="1" si="28"/>
        <v/>
      </c>
      <c r="FK93" t="str">
        <f t="shared" ca="1" si="22"/>
        <v/>
      </c>
      <c r="FL93" t="str">
        <f t="shared" ca="1" si="29"/>
        <v>無</v>
      </c>
    </row>
    <row r="94" spans="93:168">
      <c r="CO94" s="5">
        <v>269</v>
      </c>
      <c r="CP94" s="57">
        <v>130000</v>
      </c>
      <c r="CQ94">
        <v>44</v>
      </c>
      <c r="DF94" s="5" t="s">
        <v>351</v>
      </c>
      <c r="EM94" s="133" t="s">
        <v>313</v>
      </c>
      <c r="ES94">
        <v>87</v>
      </c>
      <c r="ET94" t="s">
        <v>270</v>
      </c>
      <c r="EU94" t="s">
        <v>271</v>
      </c>
      <c r="EV94">
        <v>88</v>
      </c>
      <c r="EW94" t="str" cm="1">
        <f t="array" aca="1" ref="EW94" ca="1">INDIRECT("'5借入一覧'!"&amp;ET94&amp;EV94)&amp;INDIRECT("'5借入一覧'!"&amp;EU94&amp;EV94)</f>
        <v/>
      </c>
      <c r="EX94">
        <v>1</v>
      </c>
      <c r="EY94">
        <v>87</v>
      </c>
      <c r="EZ94" t="e">
        <f t="shared" ca="1" si="31"/>
        <v>#N/A</v>
      </c>
      <c r="FA94" t="e">
        <f t="shared" ca="1" si="31"/>
        <v>#N/A</v>
      </c>
      <c r="FB94" t="e">
        <f t="shared" ca="1" si="31"/>
        <v>#N/A</v>
      </c>
      <c r="FC94" t="e">
        <f t="shared" ca="1" si="31"/>
        <v>#N/A</v>
      </c>
      <c r="FD94" t="e">
        <f t="shared" ca="1" si="31"/>
        <v>#N/A</v>
      </c>
      <c r="FE94" t="str">
        <f t="shared" ca="1" si="23"/>
        <v/>
      </c>
      <c r="FF94" t="str">
        <f t="shared" ca="1" si="24"/>
        <v/>
      </c>
      <c r="FG94" t="str">
        <f t="shared" ca="1" si="25"/>
        <v/>
      </c>
      <c r="FH94" t="str">
        <f t="shared" ca="1" si="26"/>
        <v/>
      </c>
      <c r="FI94" t="str">
        <f t="shared" ca="1" si="27"/>
        <v/>
      </c>
      <c r="FJ94" t="str">
        <f t="shared" ca="1" si="28"/>
        <v/>
      </c>
      <c r="FK94" t="str">
        <f t="shared" ca="1" si="22"/>
        <v/>
      </c>
      <c r="FL94" t="str">
        <f t="shared" ca="1" si="29"/>
        <v>無</v>
      </c>
    </row>
    <row r="95" spans="93:168">
      <c r="CO95" s="5">
        <v>255</v>
      </c>
      <c r="CP95" s="57">
        <v>130000</v>
      </c>
      <c r="CQ95">
        <v>44</v>
      </c>
      <c r="DF95" s="132" t="s">
        <v>234</v>
      </c>
      <c r="EM95" s="133" t="s">
        <v>316</v>
      </c>
      <c r="ES95">
        <v>88</v>
      </c>
      <c r="ET95" t="s">
        <v>270</v>
      </c>
      <c r="EU95" t="s">
        <v>271</v>
      </c>
      <c r="EV95">
        <v>89</v>
      </c>
      <c r="EW95" t="str" cm="1">
        <f t="array" aca="1" ref="EW95" ca="1">INDIRECT("'5借入一覧'!"&amp;ET95&amp;EV95)&amp;INDIRECT("'5借入一覧'!"&amp;EU95&amp;EV95)</f>
        <v/>
      </c>
      <c r="EX95">
        <v>1</v>
      </c>
      <c r="EY95">
        <v>88</v>
      </c>
      <c r="EZ95" t="e">
        <f t="shared" ca="1" si="31"/>
        <v>#N/A</v>
      </c>
      <c r="FA95" t="e">
        <f t="shared" ca="1" si="31"/>
        <v>#N/A</v>
      </c>
      <c r="FB95" t="e">
        <f t="shared" ca="1" si="31"/>
        <v>#N/A</v>
      </c>
      <c r="FC95" t="e">
        <f t="shared" ca="1" si="31"/>
        <v>#N/A</v>
      </c>
      <c r="FD95" t="e">
        <f t="shared" ca="1" si="31"/>
        <v>#N/A</v>
      </c>
      <c r="FE95" t="str">
        <f t="shared" ca="1" si="23"/>
        <v/>
      </c>
      <c r="FF95" t="str">
        <f t="shared" ca="1" si="24"/>
        <v/>
      </c>
      <c r="FG95" t="str">
        <f t="shared" ca="1" si="25"/>
        <v/>
      </c>
      <c r="FH95" t="str">
        <f t="shared" ca="1" si="26"/>
        <v/>
      </c>
      <c r="FI95" t="str">
        <f t="shared" ca="1" si="27"/>
        <v/>
      </c>
      <c r="FJ95" t="str">
        <f t="shared" ca="1" si="28"/>
        <v/>
      </c>
      <c r="FK95" t="str">
        <f t="shared" ca="1" si="22"/>
        <v/>
      </c>
      <c r="FL95" t="str">
        <f t="shared" ca="1" si="29"/>
        <v>無</v>
      </c>
    </row>
    <row r="96" spans="93:168">
      <c r="CO96" s="5">
        <v>229</v>
      </c>
      <c r="CP96" s="57">
        <v>130000</v>
      </c>
      <c r="CQ96">
        <v>44</v>
      </c>
      <c r="DF96" s="132" t="s">
        <v>193</v>
      </c>
      <c r="EM96" s="133" t="s">
        <v>320</v>
      </c>
      <c r="ES96">
        <v>89</v>
      </c>
      <c r="ET96" t="s">
        <v>270</v>
      </c>
      <c r="EU96" t="s">
        <v>271</v>
      </c>
      <c r="EV96">
        <v>90</v>
      </c>
      <c r="EW96" t="str" cm="1">
        <f t="array" aca="1" ref="EW96" ca="1">INDIRECT("'5借入一覧'!"&amp;ET96&amp;EV96)&amp;INDIRECT("'5借入一覧'!"&amp;EU96&amp;EV96)</f>
        <v/>
      </c>
      <c r="EX96">
        <v>1</v>
      </c>
      <c r="EY96">
        <v>89</v>
      </c>
      <c r="EZ96" t="e">
        <f t="shared" ca="1" si="31"/>
        <v>#N/A</v>
      </c>
      <c r="FA96" t="e">
        <f t="shared" ca="1" si="31"/>
        <v>#N/A</v>
      </c>
      <c r="FB96" t="e">
        <f t="shared" ca="1" si="31"/>
        <v>#N/A</v>
      </c>
      <c r="FC96" t="e">
        <f t="shared" ca="1" si="31"/>
        <v>#N/A</v>
      </c>
      <c r="FD96" t="e">
        <f t="shared" ca="1" si="31"/>
        <v>#N/A</v>
      </c>
      <c r="FE96" t="str">
        <f t="shared" ca="1" si="23"/>
        <v/>
      </c>
      <c r="FF96" t="str">
        <f t="shared" ca="1" si="24"/>
        <v/>
      </c>
      <c r="FG96" t="str">
        <f t="shared" ca="1" si="25"/>
        <v/>
      </c>
      <c r="FH96" t="str">
        <f t="shared" ca="1" si="26"/>
        <v/>
      </c>
      <c r="FI96" t="str">
        <f t="shared" ca="1" si="27"/>
        <v/>
      </c>
      <c r="FJ96" t="str">
        <f t="shared" ca="1" si="28"/>
        <v/>
      </c>
      <c r="FK96" t="str">
        <f t="shared" ca="1" si="22"/>
        <v/>
      </c>
      <c r="FL96" t="str">
        <f t="shared" ca="1" si="29"/>
        <v>無</v>
      </c>
    </row>
    <row r="97" spans="93:168">
      <c r="CO97" s="5">
        <v>252</v>
      </c>
      <c r="CP97" s="57">
        <v>130000</v>
      </c>
      <c r="CQ97">
        <v>44</v>
      </c>
      <c r="DF97" s="132" t="s">
        <v>260</v>
      </c>
      <c r="EM97" s="133" t="s">
        <v>324</v>
      </c>
      <c r="ES97">
        <v>90</v>
      </c>
      <c r="ET97" t="s">
        <v>270</v>
      </c>
      <c r="EU97" t="s">
        <v>271</v>
      </c>
      <c r="EV97">
        <v>91</v>
      </c>
      <c r="EW97" t="str" cm="1">
        <f t="array" aca="1" ref="EW97" ca="1">INDIRECT("'5借入一覧'!"&amp;ET97&amp;EV97)&amp;INDIRECT("'5借入一覧'!"&amp;EU97&amp;EV97)</f>
        <v/>
      </c>
      <c r="EX97">
        <v>1</v>
      </c>
      <c r="EY97">
        <v>90</v>
      </c>
      <c r="EZ97" t="e">
        <f t="shared" ca="1" si="31"/>
        <v>#N/A</v>
      </c>
      <c r="FA97" t="e">
        <f t="shared" ca="1" si="31"/>
        <v>#N/A</v>
      </c>
      <c r="FB97" t="e">
        <f t="shared" ca="1" si="31"/>
        <v>#N/A</v>
      </c>
      <c r="FC97" t="e">
        <f t="shared" ca="1" si="31"/>
        <v>#N/A</v>
      </c>
      <c r="FD97" t="e">
        <f t="shared" ca="1" si="31"/>
        <v>#N/A</v>
      </c>
      <c r="FE97" t="str">
        <f t="shared" ca="1" si="23"/>
        <v/>
      </c>
      <c r="FF97" t="str">
        <f t="shared" ca="1" si="24"/>
        <v/>
      </c>
      <c r="FG97" t="str">
        <f t="shared" ca="1" si="25"/>
        <v/>
      </c>
      <c r="FH97" t="str">
        <f t="shared" ca="1" si="26"/>
        <v/>
      </c>
      <c r="FI97" t="str">
        <f t="shared" ca="1" si="27"/>
        <v/>
      </c>
      <c r="FJ97" t="str">
        <f t="shared" ca="1" si="28"/>
        <v/>
      </c>
      <c r="FK97" t="str">
        <f t="shared" ca="1" si="22"/>
        <v/>
      </c>
      <c r="FL97" t="str">
        <f t="shared" ca="1" si="29"/>
        <v>無</v>
      </c>
    </row>
    <row r="98" spans="93:168">
      <c r="CO98" s="5">
        <v>222</v>
      </c>
      <c r="CP98" s="57">
        <v>130000</v>
      </c>
      <c r="CQ98">
        <v>44</v>
      </c>
      <c r="DF98" s="132" t="s">
        <v>261</v>
      </c>
      <c r="EM98" s="133" t="s">
        <v>327</v>
      </c>
      <c r="ES98">
        <v>91</v>
      </c>
      <c r="ET98" t="s">
        <v>270</v>
      </c>
      <c r="EU98" t="s">
        <v>271</v>
      </c>
      <c r="EV98">
        <v>92</v>
      </c>
      <c r="EW98" t="str" cm="1">
        <f t="array" aca="1" ref="EW98" ca="1">INDIRECT("'5借入一覧'!"&amp;ET98&amp;EV98)&amp;INDIRECT("'5借入一覧'!"&amp;EU98&amp;EV98)</f>
        <v/>
      </c>
      <c r="EX98">
        <v>1</v>
      </c>
      <c r="EY98">
        <v>91</v>
      </c>
      <c r="EZ98" t="e">
        <f t="shared" ref="EZ98:FD107" ca="1" si="32">VLOOKUP($EY98&amp;EZ$5,$EW$7:$EX$1101,2,FALSE)</f>
        <v>#N/A</v>
      </c>
      <c r="FA98" t="e">
        <f t="shared" ca="1" si="32"/>
        <v>#N/A</v>
      </c>
      <c r="FB98" t="e">
        <f t="shared" ca="1" si="32"/>
        <v>#N/A</v>
      </c>
      <c r="FC98" t="e">
        <f t="shared" ca="1" si="32"/>
        <v>#N/A</v>
      </c>
      <c r="FD98" t="e">
        <f t="shared" ca="1" si="32"/>
        <v>#N/A</v>
      </c>
      <c r="FE98" t="str">
        <f t="shared" ca="1" si="23"/>
        <v/>
      </c>
      <c r="FF98" t="str">
        <f t="shared" ca="1" si="24"/>
        <v/>
      </c>
      <c r="FG98" t="str">
        <f t="shared" ca="1" si="25"/>
        <v/>
      </c>
      <c r="FH98" t="str">
        <f t="shared" ca="1" si="26"/>
        <v/>
      </c>
      <c r="FI98" t="str">
        <f t="shared" ca="1" si="27"/>
        <v/>
      </c>
      <c r="FJ98" t="str">
        <f t="shared" ca="1" si="28"/>
        <v/>
      </c>
      <c r="FK98" t="str">
        <f t="shared" ca="1" si="22"/>
        <v/>
      </c>
      <c r="FL98" t="str">
        <f t="shared" ca="1" si="29"/>
        <v>無</v>
      </c>
    </row>
    <row r="99" spans="93:168">
      <c r="CO99" s="5">
        <v>262</v>
      </c>
      <c r="CP99" s="57">
        <v>130000</v>
      </c>
      <c r="CQ99">
        <v>44</v>
      </c>
      <c r="DF99" s="132" t="s">
        <v>188</v>
      </c>
      <c r="EM99" s="133" t="s">
        <v>291</v>
      </c>
      <c r="ES99">
        <v>92</v>
      </c>
      <c r="ET99" t="s">
        <v>270</v>
      </c>
      <c r="EU99" t="s">
        <v>271</v>
      </c>
      <c r="EV99">
        <v>93</v>
      </c>
      <c r="EW99" t="str" cm="1">
        <f t="array" aca="1" ref="EW99" ca="1">INDIRECT("'5借入一覧'!"&amp;ET99&amp;EV99)&amp;INDIRECT("'5借入一覧'!"&amp;EU99&amp;EV99)</f>
        <v/>
      </c>
      <c r="EX99">
        <v>1</v>
      </c>
      <c r="EY99">
        <v>92</v>
      </c>
      <c r="EZ99" t="e">
        <f t="shared" ca="1" si="32"/>
        <v>#N/A</v>
      </c>
      <c r="FA99" t="e">
        <f t="shared" ca="1" si="32"/>
        <v>#N/A</v>
      </c>
      <c r="FB99" t="e">
        <f t="shared" ca="1" si="32"/>
        <v>#N/A</v>
      </c>
      <c r="FC99" t="e">
        <f t="shared" ca="1" si="32"/>
        <v>#N/A</v>
      </c>
      <c r="FD99" t="e">
        <f t="shared" ca="1" si="32"/>
        <v>#N/A</v>
      </c>
      <c r="FE99" t="str">
        <f t="shared" ca="1" si="23"/>
        <v/>
      </c>
      <c r="FF99" t="str">
        <f t="shared" ca="1" si="24"/>
        <v/>
      </c>
      <c r="FG99" t="str">
        <f t="shared" ca="1" si="25"/>
        <v/>
      </c>
      <c r="FH99" t="str">
        <f t="shared" ca="1" si="26"/>
        <v/>
      </c>
      <c r="FI99" t="str">
        <f t="shared" ca="1" si="27"/>
        <v/>
      </c>
      <c r="FJ99" t="str">
        <f t="shared" ca="1" si="28"/>
        <v/>
      </c>
      <c r="FK99" t="str">
        <f t="shared" ca="1" si="22"/>
        <v/>
      </c>
      <c r="FL99" t="str">
        <f t="shared" ca="1" si="29"/>
        <v>無</v>
      </c>
    </row>
    <row r="100" spans="93:168">
      <c r="CO100" s="5">
        <v>260</v>
      </c>
      <c r="CP100" s="57">
        <v>130000</v>
      </c>
      <c r="CQ100">
        <v>44</v>
      </c>
      <c r="DF100" s="132" t="s">
        <v>235</v>
      </c>
      <c r="EM100" s="133" t="s">
        <v>333</v>
      </c>
      <c r="ES100">
        <v>93</v>
      </c>
      <c r="ET100" t="s">
        <v>270</v>
      </c>
      <c r="EU100" t="s">
        <v>271</v>
      </c>
      <c r="EV100">
        <v>94</v>
      </c>
      <c r="EW100" t="str" cm="1">
        <f t="array" aca="1" ref="EW100" ca="1">INDIRECT("'5借入一覧'!"&amp;ET100&amp;EV100)&amp;INDIRECT("'5借入一覧'!"&amp;EU100&amp;EV100)</f>
        <v/>
      </c>
      <c r="EX100">
        <v>1</v>
      </c>
      <c r="EY100">
        <v>93</v>
      </c>
      <c r="EZ100" t="e">
        <f t="shared" ca="1" si="32"/>
        <v>#N/A</v>
      </c>
      <c r="FA100" t="e">
        <f t="shared" ca="1" si="32"/>
        <v>#N/A</v>
      </c>
      <c r="FB100" t="e">
        <f t="shared" ca="1" si="32"/>
        <v>#N/A</v>
      </c>
      <c r="FC100" t="e">
        <f t="shared" ca="1" si="32"/>
        <v>#N/A</v>
      </c>
      <c r="FD100" t="e">
        <f t="shared" ca="1" si="32"/>
        <v>#N/A</v>
      </c>
      <c r="FE100" t="str">
        <f t="shared" ca="1" si="23"/>
        <v/>
      </c>
      <c r="FF100" t="str">
        <f t="shared" ca="1" si="24"/>
        <v/>
      </c>
      <c r="FG100" t="str">
        <f t="shared" ca="1" si="25"/>
        <v/>
      </c>
      <c r="FH100" t="str">
        <f t="shared" ca="1" si="26"/>
        <v/>
      </c>
      <c r="FI100" t="str">
        <f t="shared" ca="1" si="27"/>
        <v/>
      </c>
      <c r="FJ100" t="str">
        <f t="shared" ca="1" si="28"/>
        <v/>
      </c>
      <c r="FK100" t="str">
        <f t="shared" ca="1" si="22"/>
        <v/>
      </c>
      <c r="FL100" t="str">
        <f t="shared" ca="1" si="29"/>
        <v>無</v>
      </c>
    </row>
    <row r="101" spans="93:168">
      <c r="CO101" s="5">
        <v>287</v>
      </c>
      <c r="CP101" s="57">
        <v>130000</v>
      </c>
      <c r="CQ101">
        <v>44</v>
      </c>
      <c r="DF101" s="132" t="s">
        <v>236</v>
      </c>
      <c r="EM101" s="133" t="s">
        <v>198</v>
      </c>
      <c r="ES101">
        <v>94</v>
      </c>
      <c r="ET101" t="s">
        <v>270</v>
      </c>
      <c r="EU101" t="s">
        <v>271</v>
      </c>
      <c r="EV101">
        <v>95</v>
      </c>
      <c r="EW101" t="str" cm="1">
        <f t="array" aca="1" ref="EW101" ca="1">INDIRECT("'5借入一覧'!"&amp;ET101&amp;EV101)&amp;INDIRECT("'5借入一覧'!"&amp;EU101&amp;EV101)</f>
        <v/>
      </c>
      <c r="EX101">
        <v>1</v>
      </c>
      <c r="EY101">
        <v>94</v>
      </c>
      <c r="EZ101" t="e">
        <f t="shared" ca="1" si="32"/>
        <v>#N/A</v>
      </c>
      <c r="FA101" t="e">
        <f t="shared" ca="1" si="32"/>
        <v>#N/A</v>
      </c>
      <c r="FB101" t="e">
        <f t="shared" ca="1" si="32"/>
        <v>#N/A</v>
      </c>
      <c r="FC101" t="e">
        <f t="shared" ca="1" si="32"/>
        <v>#N/A</v>
      </c>
      <c r="FD101" t="e">
        <f t="shared" ca="1" si="32"/>
        <v>#N/A</v>
      </c>
      <c r="FE101" t="str">
        <f t="shared" ca="1" si="23"/>
        <v/>
      </c>
      <c r="FF101" t="str">
        <f t="shared" ca="1" si="24"/>
        <v/>
      </c>
      <c r="FG101" t="str">
        <f t="shared" ca="1" si="25"/>
        <v/>
      </c>
      <c r="FH101" t="str">
        <f t="shared" ca="1" si="26"/>
        <v/>
      </c>
      <c r="FI101" t="str">
        <f t="shared" ca="1" si="27"/>
        <v/>
      </c>
      <c r="FJ101" t="str">
        <f t="shared" ca="1" si="28"/>
        <v/>
      </c>
      <c r="FK101" t="str">
        <f t="shared" ca="1" si="22"/>
        <v/>
      </c>
      <c r="FL101" t="str">
        <f t="shared" ca="1" si="29"/>
        <v>無</v>
      </c>
    </row>
    <row r="102" spans="93:168">
      <c r="CO102" s="5">
        <v>223</v>
      </c>
      <c r="CP102" s="57">
        <v>130000</v>
      </c>
      <c r="CQ102">
        <v>44</v>
      </c>
      <c r="DF102" s="132" t="s">
        <v>262</v>
      </c>
      <c r="EM102" s="133" t="s">
        <v>296</v>
      </c>
      <c r="ES102">
        <v>95</v>
      </c>
      <c r="ET102" t="s">
        <v>270</v>
      </c>
      <c r="EU102" t="s">
        <v>271</v>
      </c>
      <c r="EV102">
        <v>96</v>
      </c>
      <c r="EW102" t="str" cm="1">
        <f t="array" aca="1" ref="EW102" ca="1">INDIRECT("'5借入一覧'!"&amp;ET102&amp;EV102)&amp;INDIRECT("'5借入一覧'!"&amp;EU102&amp;EV102)</f>
        <v/>
      </c>
      <c r="EX102">
        <v>1</v>
      </c>
      <c r="EY102">
        <v>95</v>
      </c>
      <c r="EZ102" t="e">
        <f t="shared" ca="1" si="32"/>
        <v>#N/A</v>
      </c>
      <c r="FA102" t="e">
        <f t="shared" ca="1" si="32"/>
        <v>#N/A</v>
      </c>
      <c r="FB102" t="e">
        <f t="shared" ca="1" si="32"/>
        <v>#N/A</v>
      </c>
      <c r="FC102" t="e">
        <f t="shared" ca="1" si="32"/>
        <v>#N/A</v>
      </c>
      <c r="FD102" t="e">
        <f t="shared" ca="1" si="32"/>
        <v>#N/A</v>
      </c>
      <c r="FE102" t="str">
        <f t="shared" ca="1" si="23"/>
        <v/>
      </c>
      <c r="FF102" t="str">
        <f t="shared" ca="1" si="24"/>
        <v/>
      </c>
      <c r="FG102" t="str">
        <f t="shared" ca="1" si="25"/>
        <v/>
      </c>
      <c r="FH102" t="str">
        <f t="shared" ca="1" si="26"/>
        <v/>
      </c>
      <c r="FI102" t="str">
        <f t="shared" ca="1" si="27"/>
        <v/>
      </c>
      <c r="FJ102" t="str">
        <f t="shared" ca="1" si="28"/>
        <v/>
      </c>
      <c r="FK102" t="str">
        <f t="shared" ca="1" si="22"/>
        <v/>
      </c>
      <c r="FL102" t="str">
        <f t="shared" ca="1" si="29"/>
        <v>無</v>
      </c>
    </row>
    <row r="103" spans="93:168">
      <c r="CO103" s="5">
        <v>102</v>
      </c>
      <c r="CP103" s="57">
        <v>129000</v>
      </c>
      <c r="CQ103">
        <v>45</v>
      </c>
      <c r="DF103" s="132" t="s">
        <v>198</v>
      </c>
      <c r="EM103" s="133" t="s">
        <v>286</v>
      </c>
      <c r="ES103">
        <v>96</v>
      </c>
      <c r="ET103" t="s">
        <v>270</v>
      </c>
      <c r="EU103" t="s">
        <v>271</v>
      </c>
      <c r="EV103">
        <v>97</v>
      </c>
      <c r="EW103" t="str" cm="1">
        <f t="array" aca="1" ref="EW103" ca="1">INDIRECT("'5借入一覧'!"&amp;ET103&amp;EV103)&amp;INDIRECT("'5借入一覧'!"&amp;EU103&amp;EV103)</f>
        <v/>
      </c>
      <c r="EX103">
        <v>1</v>
      </c>
      <c r="EY103">
        <v>96</v>
      </c>
      <c r="EZ103" t="e">
        <f t="shared" ca="1" si="32"/>
        <v>#N/A</v>
      </c>
      <c r="FA103" t="e">
        <f t="shared" ca="1" si="32"/>
        <v>#N/A</v>
      </c>
      <c r="FB103" t="e">
        <f t="shared" ca="1" si="32"/>
        <v>#N/A</v>
      </c>
      <c r="FC103" t="e">
        <f t="shared" ca="1" si="32"/>
        <v>#N/A</v>
      </c>
      <c r="FD103" t="e">
        <f t="shared" ca="1" si="32"/>
        <v>#N/A</v>
      </c>
      <c r="FE103" t="str">
        <f t="shared" ca="1" si="23"/>
        <v/>
      </c>
      <c r="FF103" t="str">
        <f t="shared" ca="1" si="24"/>
        <v/>
      </c>
      <c r="FG103" t="str">
        <f t="shared" ca="1" si="25"/>
        <v/>
      </c>
      <c r="FH103" t="str">
        <f t="shared" ca="1" si="26"/>
        <v/>
      </c>
      <c r="FI103" t="str">
        <f t="shared" ca="1" si="27"/>
        <v/>
      </c>
      <c r="FJ103" t="str">
        <f t="shared" ca="1" si="28"/>
        <v/>
      </c>
      <c r="FK103" t="str">
        <f t="shared" ca="1" si="22"/>
        <v/>
      </c>
      <c r="FL103" t="str">
        <f t="shared" ca="1" si="29"/>
        <v>無</v>
      </c>
    </row>
    <row r="104" spans="93:168">
      <c r="CO104" s="5">
        <v>122</v>
      </c>
      <c r="CP104" s="57">
        <v>129000</v>
      </c>
      <c r="CQ104">
        <v>45</v>
      </c>
      <c r="DF104" s="5" t="s">
        <v>352</v>
      </c>
      <c r="EM104" s="133" t="s">
        <v>340</v>
      </c>
      <c r="ES104">
        <v>97</v>
      </c>
      <c r="ET104" t="s">
        <v>270</v>
      </c>
      <c r="EU104" t="s">
        <v>271</v>
      </c>
      <c r="EV104">
        <v>98</v>
      </c>
      <c r="EW104" t="str" cm="1">
        <f t="array" aca="1" ref="EW104" ca="1">INDIRECT("'5借入一覧'!"&amp;ET104&amp;EV104)&amp;INDIRECT("'5借入一覧'!"&amp;EU104&amp;EV104)</f>
        <v/>
      </c>
      <c r="EX104">
        <v>1</v>
      </c>
      <c r="EY104">
        <v>97</v>
      </c>
      <c r="EZ104" t="e">
        <f t="shared" ca="1" si="32"/>
        <v>#N/A</v>
      </c>
      <c r="FA104" t="e">
        <f t="shared" ca="1" si="32"/>
        <v>#N/A</v>
      </c>
      <c r="FB104" t="e">
        <f t="shared" ca="1" si="32"/>
        <v>#N/A</v>
      </c>
      <c r="FC104" t="e">
        <f t="shared" ca="1" si="32"/>
        <v>#N/A</v>
      </c>
      <c r="FD104" t="e">
        <f t="shared" ca="1" si="32"/>
        <v>#N/A</v>
      </c>
      <c r="FE104" t="str">
        <f t="shared" ca="1" si="23"/>
        <v/>
      </c>
      <c r="FF104" t="str">
        <f t="shared" ca="1" si="24"/>
        <v/>
      </c>
      <c r="FG104" t="str">
        <f t="shared" ca="1" si="25"/>
        <v/>
      </c>
      <c r="FH104" t="str">
        <f t="shared" ca="1" si="26"/>
        <v/>
      </c>
      <c r="FI104" t="str">
        <f t="shared" ca="1" si="27"/>
        <v/>
      </c>
      <c r="FJ104" t="str">
        <f t="shared" ca="1" si="28"/>
        <v/>
      </c>
      <c r="FK104" t="str">
        <f t="shared" ca="1" si="22"/>
        <v/>
      </c>
      <c r="FL104" t="str">
        <f t="shared" ca="1" si="29"/>
        <v>無</v>
      </c>
    </row>
    <row r="105" spans="93:168">
      <c r="CO105" s="5">
        <v>256</v>
      </c>
      <c r="CP105" s="57">
        <v>128000</v>
      </c>
      <c r="CQ105">
        <v>46</v>
      </c>
      <c r="DF105" s="132" t="s">
        <v>234</v>
      </c>
      <c r="EM105" s="132" t="s">
        <v>318</v>
      </c>
      <c r="EN105">
        <v>84461</v>
      </c>
      <c r="EO105">
        <v>16139</v>
      </c>
      <c r="EP105">
        <v>100600</v>
      </c>
      <c r="EQ105">
        <v>10244573</v>
      </c>
      <c r="ES105">
        <v>98</v>
      </c>
      <c r="ET105" t="s">
        <v>270</v>
      </c>
      <c r="EU105" t="s">
        <v>271</v>
      </c>
      <c r="EV105">
        <v>99</v>
      </c>
      <c r="EW105" t="str" cm="1">
        <f t="array" aca="1" ref="EW105" ca="1">INDIRECT("'5借入一覧'!"&amp;ET105&amp;EV105)&amp;INDIRECT("'5借入一覧'!"&amp;EU105&amp;EV105)</f>
        <v/>
      </c>
      <c r="EX105">
        <v>1</v>
      </c>
      <c r="EY105">
        <v>98</v>
      </c>
      <c r="EZ105" t="e">
        <f t="shared" ca="1" si="32"/>
        <v>#N/A</v>
      </c>
      <c r="FA105" t="e">
        <f t="shared" ca="1" si="32"/>
        <v>#N/A</v>
      </c>
      <c r="FB105" t="e">
        <f t="shared" ca="1" si="32"/>
        <v>#N/A</v>
      </c>
      <c r="FC105" t="e">
        <f t="shared" ca="1" si="32"/>
        <v>#N/A</v>
      </c>
      <c r="FD105" t="e">
        <f t="shared" ca="1" si="32"/>
        <v>#N/A</v>
      </c>
      <c r="FE105" t="str">
        <f t="shared" ca="1" si="23"/>
        <v/>
      </c>
      <c r="FF105" t="str">
        <f t="shared" ca="1" si="24"/>
        <v/>
      </c>
      <c r="FG105" t="str">
        <f t="shared" ca="1" si="25"/>
        <v/>
      </c>
      <c r="FH105" t="str">
        <f t="shared" ca="1" si="26"/>
        <v/>
      </c>
      <c r="FI105" t="str">
        <f t="shared" ca="1" si="27"/>
        <v/>
      </c>
      <c r="FJ105" t="str">
        <f t="shared" ca="1" si="28"/>
        <v/>
      </c>
      <c r="FK105" t="str">
        <f t="shared" ca="1" si="22"/>
        <v/>
      </c>
      <c r="FL105" t="str">
        <f t="shared" ca="1" si="29"/>
        <v>無</v>
      </c>
    </row>
    <row r="106" spans="93:168">
      <c r="CO106" s="5">
        <v>258</v>
      </c>
      <c r="CP106" s="57">
        <v>128000</v>
      </c>
      <c r="CQ106">
        <v>46</v>
      </c>
      <c r="DF106" s="132" t="s">
        <v>193</v>
      </c>
      <c r="EM106" s="133" t="s">
        <v>5</v>
      </c>
      <c r="ES106">
        <v>99</v>
      </c>
      <c r="ET106" t="s">
        <v>270</v>
      </c>
      <c r="EU106" t="s">
        <v>271</v>
      </c>
      <c r="EV106">
        <v>100</v>
      </c>
      <c r="EW106" t="str" cm="1">
        <f t="array" aca="1" ref="EW106" ca="1">INDIRECT("'5借入一覧'!"&amp;ET106&amp;EV106)&amp;INDIRECT("'5借入一覧'!"&amp;EU106&amp;EV106)</f>
        <v/>
      </c>
      <c r="EX106">
        <v>1</v>
      </c>
      <c r="EY106">
        <v>99</v>
      </c>
      <c r="EZ106" t="e">
        <f t="shared" ca="1" si="32"/>
        <v>#N/A</v>
      </c>
      <c r="FA106" t="e">
        <f t="shared" ca="1" si="32"/>
        <v>#N/A</v>
      </c>
      <c r="FB106" t="e">
        <f t="shared" ca="1" si="32"/>
        <v>#N/A</v>
      </c>
      <c r="FC106" t="e">
        <f t="shared" ca="1" si="32"/>
        <v>#N/A</v>
      </c>
      <c r="FD106" t="e">
        <f t="shared" ca="1" si="32"/>
        <v>#N/A</v>
      </c>
      <c r="FE106" t="str">
        <f t="shared" ca="1" si="23"/>
        <v/>
      </c>
      <c r="FF106" t="str">
        <f t="shared" ca="1" si="24"/>
        <v/>
      </c>
      <c r="FG106" t="str">
        <f t="shared" ca="1" si="25"/>
        <v/>
      </c>
      <c r="FH106" t="str">
        <f t="shared" ca="1" si="26"/>
        <v/>
      </c>
      <c r="FI106" t="str">
        <f t="shared" ca="1" si="27"/>
        <v/>
      </c>
      <c r="FJ106" t="str">
        <f t="shared" ca="1" si="28"/>
        <v/>
      </c>
      <c r="FK106" t="str">
        <f t="shared" ca="1" si="22"/>
        <v/>
      </c>
      <c r="FL106" t="str">
        <f t="shared" ca="1" si="29"/>
        <v>無</v>
      </c>
    </row>
    <row r="107" spans="93:168">
      <c r="CO107" s="5">
        <v>265</v>
      </c>
      <c r="CP107" s="57">
        <v>128000</v>
      </c>
      <c r="CQ107">
        <v>46</v>
      </c>
      <c r="DF107" s="132" t="s">
        <v>260</v>
      </c>
      <c r="EM107" s="133" t="s">
        <v>216</v>
      </c>
      <c r="ES107">
        <v>100</v>
      </c>
      <c r="ET107" t="s">
        <v>270</v>
      </c>
      <c r="EU107" t="s">
        <v>271</v>
      </c>
      <c r="EV107">
        <v>101</v>
      </c>
      <c r="EW107" t="str" cm="1">
        <f t="array" aca="1" ref="EW107" ca="1">INDIRECT("'5借入一覧'!"&amp;ET107&amp;EV107)&amp;INDIRECT("'5借入一覧'!"&amp;EU107&amp;EV107)</f>
        <v/>
      </c>
      <c r="EX107">
        <v>1</v>
      </c>
      <c r="EY107">
        <v>100</v>
      </c>
      <c r="EZ107" t="e">
        <f t="shared" ca="1" si="32"/>
        <v>#N/A</v>
      </c>
      <c r="FA107" t="e">
        <f t="shared" ca="1" si="32"/>
        <v>#N/A</v>
      </c>
      <c r="FB107" t="e">
        <f t="shared" ca="1" si="32"/>
        <v>#N/A</v>
      </c>
      <c r="FC107" t="e">
        <f t="shared" ca="1" si="32"/>
        <v>#N/A</v>
      </c>
      <c r="FD107" t="e">
        <f t="shared" ca="1" si="32"/>
        <v>#N/A</v>
      </c>
      <c r="FE107" t="str">
        <f t="shared" ca="1" si="23"/>
        <v/>
      </c>
      <c r="FF107" t="str">
        <f t="shared" ca="1" si="24"/>
        <v/>
      </c>
      <c r="FG107" t="str">
        <f t="shared" ca="1" si="25"/>
        <v/>
      </c>
      <c r="FH107" t="str">
        <f t="shared" ca="1" si="26"/>
        <v/>
      </c>
      <c r="FI107" t="str">
        <f t="shared" ca="1" si="27"/>
        <v/>
      </c>
      <c r="FJ107" t="str">
        <f t="shared" ca="1" si="28"/>
        <v/>
      </c>
      <c r="FK107" t="str">
        <f t="shared" ca="1" si="22"/>
        <v/>
      </c>
      <c r="FL107" t="str">
        <f t="shared" ca="1" si="29"/>
        <v>無</v>
      </c>
    </row>
    <row r="108" spans="93:168">
      <c r="CO108" s="5">
        <v>253</v>
      </c>
      <c r="CP108" s="57">
        <v>128000</v>
      </c>
      <c r="CQ108">
        <v>46</v>
      </c>
      <c r="DF108" s="132" t="s">
        <v>261</v>
      </c>
      <c r="EM108" s="133" t="s">
        <v>237</v>
      </c>
      <c r="ES108">
        <v>101</v>
      </c>
      <c r="ET108" t="s">
        <v>270</v>
      </c>
      <c r="EU108" t="s">
        <v>271</v>
      </c>
      <c r="EV108">
        <v>102</v>
      </c>
      <c r="EW108" t="str" cm="1">
        <f t="array" aca="1" ref="EW108" ca="1">INDIRECT("'5借入一覧'!"&amp;ET108&amp;EV108)&amp;INDIRECT("'5借入一覧'!"&amp;EU108&amp;EV108)</f>
        <v/>
      </c>
      <c r="EX108">
        <v>1</v>
      </c>
      <c r="EY108">
        <v>101</v>
      </c>
      <c r="EZ108" t="e">
        <f t="shared" ref="EZ108:FD117" ca="1" si="33">VLOOKUP($EY108&amp;EZ$5,$EW$7:$EX$1101,2,FALSE)</f>
        <v>#N/A</v>
      </c>
      <c r="FA108" t="e">
        <f t="shared" ca="1" si="33"/>
        <v>#N/A</v>
      </c>
      <c r="FB108" t="e">
        <f t="shared" ca="1" si="33"/>
        <v>#N/A</v>
      </c>
      <c r="FC108" t="e">
        <f t="shared" ca="1" si="33"/>
        <v>#N/A</v>
      </c>
      <c r="FD108" t="e">
        <f t="shared" ca="1" si="33"/>
        <v>#N/A</v>
      </c>
      <c r="FE108" t="str">
        <f t="shared" ca="1" si="23"/>
        <v/>
      </c>
      <c r="FF108" t="str">
        <f t="shared" ca="1" si="24"/>
        <v/>
      </c>
      <c r="FG108" t="str">
        <f t="shared" ca="1" si="25"/>
        <v/>
      </c>
      <c r="FH108" t="str">
        <f t="shared" ca="1" si="26"/>
        <v/>
      </c>
      <c r="FI108" t="str">
        <f t="shared" ca="1" si="27"/>
        <v/>
      </c>
      <c r="FJ108" t="str">
        <f t="shared" ca="1" si="28"/>
        <v/>
      </c>
      <c r="FK108" t="str">
        <f t="shared" ca="1" si="22"/>
        <v/>
      </c>
      <c r="FL108" t="str">
        <f t="shared" ca="1" si="29"/>
        <v>無</v>
      </c>
    </row>
    <row r="109" spans="93:168">
      <c r="CO109" s="5">
        <v>228</v>
      </c>
      <c r="CP109" s="57">
        <v>126000</v>
      </c>
      <c r="CQ109">
        <v>47</v>
      </c>
      <c r="DF109" s="132" t="s">
        <v>188</v>
      </c>
      <c r="EM109" s="133" t="s">
        <v>268</v>
      </c>
      <c r="ES109">
        <v>102</v>
      </c>
      <c r="ET109" t="s">
        <v>270</v>
      </c>
      <c r="EU109" t="s">
        <v>271</v>
      </c>
      <c r="EV109">
        <v>103</v>
      </c>
      <c r="EW109" t="str" cm="1">
        <f t="array" aca="1" ref="EW109" ca="1">INDIRECT("'5借入一覧'!"&amp;ET109&amp;EV109)&amp;INDIRECT("'5借入一覧'!"&amp;EU109&amp;EV109)</f>
        <v/>
      </c>
      <c r="EX109">
        <v>1</v>
      </c>
      <c r="EY109">
        <v>102</v>
      </c>
      <c r="EZ109" t="e">
        <f t="shared" ca="1" si="33"/>
        <v>#N/A</v>
      </c>
      <c r="FA109" t="e">
        <f t="shared" ca="1" si="33"/>
        <v>#N/A</v>
      </c>
      <c r="FB109" t="e">
        <f t="shared" ca="1" si="33"/>
        <v>#N/A</v>
      </c>
      <c r="FC109" t="e">
        <f t="shared" ca="1" si="33"/>
        <v>#N/A</v>
      </c>
      <c r="FD109" t="e">
        <f t="shared" ca="1" si="33"/>
        <v>#N/A</v>
      </c>
      <c r="FE109" t="str">
        <f t="shared" ca="1" si="23"/>
        <v/>
      </c>
      <c r="FF109" t="str">
        <f t="shared" ca="1" si="24"/>
        <v/>
      </c>
      <c r="FG109" t="str">
        <f t="shared" ca="1" si="25"/>
        <v/>
      </c>
      <c r="FH109" t="str">
        <f t="shared" ca="1" si="26"/>
        <v/>
      </c>
      <c r="FI109" t="str">
        <f t="shared" ca="1" si="27"/>
        <v/>
      </c>
      <c r="FJ109" t="str">
        <f t="shared" ca="1" si="28"/>
        <v/>
      </c>
      <c r="FK109" t="str">
        <f t="shared" ca="1" si="22"/>
        <v/>
      </c>
      <c r="FL109" t="str">
        <f t="shared" ca="1" si="29"/>
        <v>無</v>
      </c>
    </row>
    <row r="110" spans="93:168">
      <c r="CO110" s="5">
        <v>257</v>
      </c>
      <c r="CP110" s="57">
        <v>126000</v>
      </c>
      <c r="CQ110">
        <v>47</v>
      </c>
      <c r="DF110" s="132" t="s">
        <v>235</v>
      </c>
      <c r="EM110" s="133" t="s">
        <v>276</v>
      </c>
      <c r="ES110">
        <v>103</v>
      </c>
      <c r="ET110" t="s">
        <v>270</v>
      </c>
      <c r="EU110" t="s">
        <v>271</v>
      </c>
      <c r="EV110">
        <v>104</v>
      </c>
      <c r="EW110" t="str" cm="1">
        <f t="array" aca="1" ref="EW110" ca="1">INDIRECT("'5借入一覧'!"&amp;ET110&amp;EV110)&amp;INDIRECT("'5借入一覧'!"&amp;EU110&amp;EV110)</f>
        <v/>
      </c>
      <c r="EX110">
        <v>1</v>
      </c>
      <c r="EY110">
        <v>103</v>
      </c>
      <c r="EZ110" t="e">
        <f t="shared" ca="1" si="33"/>
        <v>#N/A</v>
      </c>
      <c r="FA110" t="e">
        <f t="shared" ca="1" si="33"/>
        <v>#N/A</v>
      </c>
      <c r="FB110" t="e">
        <f t="shared" ca="1" si="33"/>
        <v>#N/A</v>
      </c>
      <c r="FC110" t="e">
        <f t="shared" ca="1" si="33"/>
        <v>#N/A</v>
      </c>
      <c r="FD110" t="e">
        <f t="shared" ca="1" si="33"/>
        <v>#N/A</v>
      </c>
      <c r="FE110" t="str">
        <f t="shared" ca="1" si="23"/>
        <v/>
      </c>
      <c r="FF110" t="str">
        <f t="shared" ca="1" si="24"/>
        <v/>
      </c>
      <c r="FG110" t="str">
        <f t="shared" ca="1" si="25"/>
        <v/>
      </c>
      <c r="FH110" t="str">
        <f t="shared" ca="1" si="26"/>
        <v/>
      </c>
      <c r="FI110" t="str">
        <f t="shared" ca="1" si="27"/>
        <v/>
      </c>
      <c r="FJ110" t="str">
        <f t="shared" ca="1" si="28"/>
        <v/>
      </c>
      <c r="FK110" t="str">
        <f t="shared" ca="1" si="22"/>
        <v/>
      </c>
      <c r="FL110" t="str">
        <f t="shared" ca="1" si="29"/>
        <v>無</v>
      </c>
    </row>
    <row r="111" spans="93:168">
      <c r="CO111" s="5">
        <v>120</v>
      </c>
      <c r="CP111" s="57">
        <v>126000</v>
      </c>
      <c r="CQ111">
        <v>47</v>
      </c>
      <c r="DF111" s="132" t="s">
        <v>236</v>
      </c>
      <c r="EM111" s="133" t="s">
        <v>281</v>
      </c>
      <c r="ES111">
        <v>104</v>
      </c>
      <c r="ET111" t="s">
        <v>270</v>
      </c>
      <c r="EU111" t="s">
        <v>271</v>
      </c>
      <c r="EV111">
        <v>105</v>
      </c>
      <c r="EW111" t="str" cm="1">
        <f t="array" aca="1" ref="EW111" ca="1">INDIRECT("'5借入一覧'!"&amp;ET111&amp;EV111)&amp;INDIRECT("'5借入一覧'!"&amp;EU111&amp;EV111)</f>
        <v/>
      </c>
      <c r="EX111">
        <v>1</v>
      </c>
      <c r="EY111">
        <v>104</v>
      </c>
      <c r="EZ111" t="e">
        <f t="shared" ca="1" si="33"/>
        <v>#N/A</v>
      </c>
      <c r="FA111" t="e">
        <f t="shared" ca="1" si="33"/>
        <v>#N/A</v>
      </c>
      <c r="FB111" t="e">
        <f t="shared" ca="1" si="33"/>
        <v>#N/A</v>
      </c>
      <c r="FC111" t="e">
        <f t="shared" ca="1" si="33"/>
        <v>#N/A</v>
      </c>
      <c r="FD111" t="e">
        <f t="shared" ca="1" si="33"/>
        <v>#N/A</v>
      </c>
      <c r="FE111" t="str">
        <f t="shared" ca="1" si="23"/>
        <v/>
      </c>
      <c r="FF111" t="str">
        <f t="shared" ca="1" si="24"/>
        <v/>
      </c>
      <c r="FG111" t="str">
        <f t="shared" ca="1" si="25"/>
        <v/>
      </c>
      <c r="FH111" t="str">
        <f t="shared" ca="1" si="26"/>
        <v/>
      </c>
      <c r="FI111" t="str">
        <f t="shared" ca="1" si="27"/>
        <v/>
      </c>
      <c r="FJ111" t="str">
        <f t="shared" ca="1" si="28"/>
        <v/>
      </c>
      <c r="FK111" t="str">
        <f t="shared" ca="1" si="22"/>
        <v/>
      </c>
      <c r="FL111" t="str">
        <f t="shared" ca="1" si="29"/>
        <v>無</v>
      </c>
    </row>
    <row r="112" spans="93:168">
      <c r="CO112" s="5">
        <v>216</v>
      </c>
      <c r="CP112" s="57">
        <v>125000</v>
      </c>
      <c r="CQ112">
        <v>48</v>
      </c>
      <c r="DF112" s="132" t="s">
        <v>262</v>
      </c>
      <c r="EM112" s="133" t="s">
        <v>285</v>
      </c>
      <c r="ES112">
        <v>105</v>
      </c>
      <c r="ET112" t="s">
        <v>270</v>
      </c>
      <c r="EU112" t="s">
        <v>271</v>
      </c>
      <c r="EV112">
        <v>106</v>
      </c>
      <c r="EW112" t="str" cm="1">
        <f t="array" aca="1" ref="EW112" ca="1">INDIRECT("'5借入一覧'!"&amp;ET112&amp;EV112)&amp;INDIRECT("'5借入一覧'!"&amp;EU112&amp;EV112)</f>
        <v/>
      </c>
      <c r="EX112">
        <v>1</v>
      </c>
      <c r="EY112">
        <v>105</v>
      </c>
      <c r="EZ112" t="e">
        <f t="shared" ca="1" si="33"/>
        <v>#N/A</v>
      </c>
      <c r="FA112" t="e">
        <f t="shared" ca="1" si="33"/>
        <v>#N/A</v>
      </c>
      <c r="FB112" t="e">
        <f t="shared" ca="1" si="33"/>
        <v>#N/A</v>
      </c>
      <c r="FC112" t="e">
        <f t="shared" ca="1" si="33"/>
        <v>#N/A</v>
      </c>
      <c r="FD112" t="e">
        <f t="shared" ca="1" si="33"/>
        <v>#N/A</v>
      </c>
      <c r="FE112" t="str">
        <f t="shared" ca="1" si="23"/>
        <v/>
      </c>
      <c r="FF112" t="str">
        <f t="shared" ca="1" si="24"/>
        <v/>
      </c>
      <c r="FG112" t="str">
        <f t="shared" ca="1" si="25"/>
        <v/>
      </c>
      <c r="FH112" t="str">
        <f t="shared" ca="1" si="26"/>
        <v/>
      </c>
      <c r="FI112" t="str">
        <f t="shared" ca="1" si="27"/>
        <v/>
      </c>
      <c r="FJ112" t="str">
        <f t="shared" ca="1" si="28"/>
        <v/>
      </c>
      <c r="FK112" t="str">
        <f t="shared" ca="1" si="22"/>
        <v/>
      </c>
      <c r="FL112" t="str">
        <f t="shared" ca="1" si="29"/>
        <v>無</v>
      </c>
    </row>
    <row r="113" spans="93:168">
      <c r="CO113" s="5">
        <v>231</v>
      </c>
      <c r="CP113" s="57">
        <v>125000</v>
      </c>
      <c r="CQ113">
        <v>48</v>
      </c>
      <c r="DF113" s="132" t="s">
        <v>198</v>
      </c>
      <c r="EM113" s="133" t="s">
        <v>290</v>
      </c>
      <c r="ES113">
        <v>106</v>
      </c>
      <c r="ET113" t="s">
        <v>270</v>
      </c>
      <c r="EU113" t="s">
        <v>271</v>
      </c>
      <c r="EV113">
        <v>107</v>
      </c>
      <c r="EW113" t="str" cm="1">
        <f t="array" aca="1" ref="EW113" ca="1">INDIRECT("'5借入一覧'!"&amp;ET113&amp;EV113)&amp;INDIRECT("'5借入一覧'!"&amp;EU113&amp;EV113)</f>
        <v/>
      </c>
      <c r="EX113">
        <v>1</v>
      </c>
      <c r="EY113">
        <v>106</v>
      </c>
      <c r="EZ113">
        <f t="shared" ca="1" si="33"/>
        <v>1</v>
      </c>
      <c r="FA113" t="e">
        <f t="shared" ca="1" si="33"/>
        <v>#N/A</v>
      </c>
      <c r="FB113" t="e">
        <f t="shared" ca="1" si="33"/>
        <v>#N/A</v>
      </c>
      <c r="FC113" t="e">
        <f t="shared" ca="1" si="33"/>
        <v>#N/A</v>
      </c>
      <c r="FD113" t="e">
        <f t="shared" ca="1" si="33"/>
        <v>#N/A</v>
      </c>
      <c r="FE113" t="str">
        <f t="shared" ca="1" si="23"/>
        <v>共同担保,</v>
      </c>
      <c r="FF113" t="str">
        <f t="shared" ca="1" si="24"/>
        <v/>
      </c>
      <c r="FG113" t="str">
        <f t="shared" ca="1" si="25"/>
        <v/>
      </c>
      <c r="FH113" t="str">
        <f t="shared" ca="1" si="26"/>
        <v/>
      </c>
      <c r="FI113" t="str">
        <f t="shared" ca="1" si="27"/>
        <v/>
      </c>
      <c r="FJ113" t="str">
        <f t="shared" ca="1" si="28"/>
        <v>共同担保,</v>
      </c>
      <c r="FK113" t="str">
        <f t="shared" ca="1" si="22"/>
        <v>共同担保</v>
      </c>
      <c r="FL113" t="str">
        <f t="shared" ca="1" si="29"/>
        <v>共同担保として提供中</v>
      </c>
    </row>
    <row r="114" spans="93:168">
      <c r="CO114" s="5">
        <v>209</v>
      </c>
      <c r="CP114" s="57">
        <v>125000</v>
      </c>
      <c r="CQ114">
        <v>48</v>
      </c>
      <c r="DF114" s="5" t="s">
        <v>353</v>
      </c>
      <c r="DG114">
        <v>2</v>
      </c>
      <c r="DH114">
        <v>3630000</v>
      </c>
      <c r="EM114" s="133" t="s">
        <v>295</v>
      </c>
      <c r="ES114">
        <v>107</v>
      </c>
      <c r="ET114" t="s">
        <v>270</v>
      </c>
      <c r="EU114" t="s">
        <v>271</v>
      </c>
      <c r="EV114">
        <v>108</v>
      </c>
      <c r="EW114" t="str" cm="1">
        <f t="array" aca="1" ref="EW114" ca="1">INDIRECT("'5借入一覧'!"&amp;ET114&amp;EV114)&amp;INDIRECT("'5借入一覧'!"&amp;EU114&amp;EV114)</f>
        <v/>
      </c>
      <c r="EX114">
        <v>1</v>
      </c>
      <c r="EY114">
        <v>107</v>
      </c>
      <c r="EZ114" t="e">
        <f t="shared" ca="1" si="33"/>
        <v>#N/A</v>
      </c>
      <c r="FA114" t="e">
        <f t="shared" ca="1" si="33"/>
        <v>#N/A</v>
      </c>
      <c r="FB114">
        <f t="shared" ca="1" si="33"/>
        <v>1</v>
      </c>
      <c r="FC114" t="e">
        <f t="shared" ca="1" si="33"/>
        <v>#N/A</v>
      </c>
      <c r="FD114" t="e">
        <f t="shared" ca="1" si="33"/>
        <v>#N/A</v>
      </c>
      <c r="FE114" t="str">
        <f t="shared" ca="1" si="23"/>
        <v/>
      </c>
      <c r="FF114" t="str">
        <f t="shared" ca="1" si="24"/>
        <v/>
      </c>
      <c r="FG114" t="str">
        <f t="shared" ca="1" si="25"/>
        <v>第二抵当,</v>
      </c>
      <c r="FH114" t="str">
        <f t="shared" ca="1" si="26"/>
        <v/>
      </c>
      <c r="FI114" t="str">
        <f t="shared" ca="1" si="27"/>
        <v/>
      </c>
      <c r="FJ114" t="str">
        <f t="shared" ca="1" si="28"/>
        <v>第二抵当,</v>
      </c>
      <c r="FK114" t="str">
        <f t="shared" ca="1" si="22"/>
        <v>第二抵当</v>
      </c>
      <c r="FL114" t="str">
        <f t="shared" ca="1" si="29"/>
        <v>第二抵当として提供中</v>
      </c>
    </row>
    <row r="115" spans="93:168">
      <c r="CO115" s="5">
        <v>214</v>
      </c>
      <c r="CP115" s="57">
        <v>125000</v>
      </c>
      <c r="CQ115">
        <v>48</v>
      </c>
      <c r="DF115" s="132" t="s">
        <v>234</v>
      </c>
      <c r="EM115" s="133" t="s">
        <v>302</v>
      </c>
      <c r="ES115">
        <v>108</v>
      </c>
      <c r="ET115" t="s">
        <v>270</v>
      </c>
      <c r="EU115" t="s">
        <v>271</v>
      </c>
      <c r="EV115">
        <v>109</v>
      </c>
      <c r="EW115" t="str" cm="1">
        <f t="array" aca="1" ref="EW115" ca="1">INDIRECT("'5借入一覧'!"&amp;ET115&amp;EV115)&amp;INDIRECT("'5借入一覧'!"&amp;EU115&amp;EV115)</f>
        <v/>
      </c>
      <c r="EX115">
        <v>1</v>
      </c>
      <c r="EY115">
        <v>108</v>
      </c>
      <c r="EZ115" t="e">
        <f t="shared" ca="1" si="33"/>
        <v>#N/A</v>
      </c>
      <c r="FA115" t="e">
        <f t="shared" ca="1" si="33"/>
        <v>#N/A</v>
      </c>
      <c r="FB115" t="e">
        <f t="shared" ca="1" si="33"/>
        <v>#N/A</v>
      </c>
      <c r="FC115" t="e">
        <f t="shared" ca="1" si="33"/>
        <v>#N/A</v>
      </c>
      <c r="FD115" t="e">
        <f t="shared" ca="1" si="33"/>
        <v>#N/A</v>
      </c>
      <c r="FE115" t="str">
        <f t="shared" ca="1" si="23"/>
        <v/>
      </c>
      <c r="FF115" t="str">
        <f t="shared" ca="1" si="24"/>
        <v/>
      </c>
      <c r="FG115" t="str">
        <f t="shared" ca="1" si="25"/>
        <v/>
      </c>
      <c r="FH115" t="str">
        <f t="shared" ca="1" si="26"/>
        <v/>
      </c>
      <c r="FI115" t="str">
        <f t="shared" ca="1" si="27"/>
        <v/>
      </c>
      <c r="FJ115" t="str">
        <f t="shared" ca="1" si="28"/>
        <v/>
      </c>
      <c r="FK115" t="str">
        <f t="shared" ca="1" si="22"/>
        <v/>
      </c>
      <c r="FL115" t="str">
        <f t="shared" ca="1" si="29"/>
        <v>無</v>
      </c>
    </row>
    <row r="116" spans="93:168">
      <c r="CO116" s="5">
        <v>270</v>
      </c>
      <c r="CP116" s="57">
        <v>125000</v>
      </c>
      <c r="CQ116">
        <v>48</v>
      </c>
      <c r="DF116" s="132" t="s">
        <v>193</v>
      </c>
      <c r="EM116" s="133" t="s">
        <v>4</v>
      </c>
      <c r="ES116">
        <v>109</v>
      </c>
      <c r="ET116" t="s">
        <v>270</v>
      </c>
      <c r="EU116" t="s">
        <v>271</v>
      </c>
      <c r="EV116">
        <v>110</v>
      </c>
      <c r="EW116" t="str" cm="1">
        <f t="array" aca="1" ref="EW116" ca="1">INDIRECT("'5借入一覧'!"&amp;ET116&amp;EV116)&amp;INDIRECT("'5借入一覧'!"&amp;EU116&amp;EV116)</f>
        <v/>
      </c>
      <c r="EX116">
        <v>1</v>
      </c>
      <c r="EY116">
        <v>109</v>
      </c>
      <c r="EZ116">
        <f t="shared" ca="1" si="33"/>
        <v>1</v>
      </c>
      <c r="FA116" t="e">
        <f t="shared" ca="1" si="33"/>
        <v>#N/A</v>
      </c>
      <c r="FB116">
        <f t="shared" ca="1" si="33"/>
        <v>1</v>
      </c>
      <c r="FC116" t="e">
        <f t="shared" ca="1" si="33"/>
        <v>#N/A</v>
      </c>
      <c r="FD116" t="e">
        <f t="shared" ca="1" si="33"/>
        <v>#N/A</v>
      </c>
      <c r="FE116" t="str">
        <f t="shared" ca="1" si="23"/>
        <v>共同担保,</v>
      </c>
      <c r="FF116" t="str">
        <f t="shared" ca="1" si="24"/>
        <v/>
      </c>
      <c r="FG116" t="str">
        <f t="shared" ca="1" si="25"/>
        <v>第二抵当,</v>
      </c>
      <c r="FH116" t="str">
        <f t="shared" ca="1" si="26"/>
        <v/>
      </c>
      <c r="FI116" t="str">
        <f t="shared" ca="1" si="27"/>
        <v/>
      </c>
      <c r="FJ116" t="str">
        <f t="shared" ca="1" si="28"/>
        <v>共同担保,第二抵当,</v>
      </c>
      <c r="FK116" t="str">
        <f t="shared" ca="1" si="22"/>
        <v>共同担保,第二抵当</v>
      </c>
      <c r="FL116" t="str">
        <f t="shared" ca="1" si="29"/>
        <v>共同担保,第二抵当として提供中</v>
      </c>
    </row>
    <row r="117" spans="93:168">
      <c r="CO117" s="5">
        <v>311</v>
      </c>
      <c r="CP117" s="57">
        <v>125000</v>
      </c>
      <c r="CQ117">
        <v>48</v>
      </c>
      <c r="DF117" s="132" t="s">
        <v>260</v>
      </c>
      <c r="DG117">
        <v>1</v>
      </c>
      <c r="DH117">
        <v>2530000</v>
      </c>
      <c r="EM117" s="133" t="s">
        <v>272</v>
      </c>
      <c r="EN117">
        <v>84461</v>
      </c>
      <c r="EO117">
        <v>16139</v>
      </c>
      <c r="EP117">
        <v>100600</v>
      </c>
      <c r="EQ117">
        <v>10244573</v>
      </c>
      <c r="ES117">
        <v>110</v>
      </c>
      <c r="ET117" t="s">
        <v>270</v>
      </c>
      <c r="EU117" t="s">
        <v>271</v>
      </c>
      <c r="EV117">
        <v>111</v>
      </c>
      <c r="EW117" t="str" cm="1">
        <f t="array" aca="1" ref="EW117" ca="1">INDIRECT("'5借入一覧'!"&amp;ET117&amp;EV117)&amp;INDIRECT("'5借入一覧'!"&amp;EU117&amp;EV117)</f>
        <v/>
      </c>
      <c r="EX117">
        <v>1</v>
      </c>
      <c r="EY117">
        <v>110</v>
      </c>
      <c r="EZ117" t="e">
        <f t="shared" ca="1" si="33"/>
        <v>#N/A</v>
      </c>
      <c r="FA117" t="e">
        <f t="shared" ca="1" si="33"/>
        <v>#N/A</v>
      </c>
      <c r="FB117" t="e">
        <f t="shared" ca="1" si="33"/>
        <v>#N/A</v>
      </c>
      <c r="FC117" t="e">
        <f t="shared" ca="1" si="33"/>
        <v>#N/A</v>
      </c>
      <c r="FD117" t="e">
        <f t="shared" ca="1" si="33"/>
        <v>#N/A</v>
      </c>
      <c r="FE117" t="str">
        <f t="shared" ca="1" si="23"/>
        <v/>
      </c>
      <c r="FF117" t="str">
        <f t="shared" ca="1" si="24"/>
        <v/>
      </c>
      <c r="FG117" t="str">
        <f t="shared" ca="1" si="25"/>
        <v/>
      </c>
      <c r="FH117" t="str">
        <f t="shared" ca="1" si="26"/>
        <v/>
      </c>
      <c r="FI117" t="str">
        <f t="shared" ca="1" si="27"/>
        <v/>
      </c>
      <c r="FJ117" t="str">
        <f t="shared" ca="1" si="28"/>
        <v/>
      </c>
      <c r="FK117" t="str">
        <f t="shared" ca="1" si="22"/>
        <v/>
      </c>
      <c r="FL117" t="str">
        <f t="shared" ca="1" si="29"/>
        <v>無</v>
      </c>
    </row>
    <row r="118" spans="93:168">
      <c r="CO118" s="5">
        <v>280</v>
      </c>
      <c r="CP118" s="57">
        <v>125000</v>
      </c>
      <c r="CQ118">
        <v>48</v>
      </c>
      <c r="DF118" s="132" t="s">
        <v>261</v>
      </c>
      <c r="EM118" s="133" t="s">
        <v>313</v>
      </c>
      <c r="ES118">
        <v>111</v>
      </c>
      <c r="ET118" t="s">
        <v>270</v>
      </c>
      <c r="EU118" t="s">
        <v>271</v>
      </c>
      <c r="EV118">
        <v>112</v>
      </c>
      <c r="EW118" t="str" cm="1">
        <f t="array" aca="1" ref="EW118" ca="1">INDIRECT("'5借入一覧'!"&amp;ET118&amp;EV118)&amp;INDIRECT("'5借入一覧'!"&amp;EU118&amp;EV118)</f>
        <v/>
      </c>
      <c r="EX118">
        <v>1</v>
      </c>
      <c r="EY118">
        <v>111</v>
      </c>
      <c r="EZ118">
        <f t="shared" ref="EZ118:FD127" ca="1" si="34">VLOOKUP($EY118&amp;EZ$5,$EW$7:$EX$1101,2,FALSE)</f>
        <v>2</v>
      </c>
      <c r="FA118" t="e">
        <f t="shared" ca="1" si="34"/>
        <v>#N/A</v>
      </c>
      <c r="FB118" t="e">
        <f t="shared" ca="1" si="34"/>
        <v>#N/A</v>
      </c>
      <c r="FC118" t="e">
        <f t="shared" ca="1" si="34"/>
        <v>#N/A</v>
      </c>
      <c r="FD118" t="e">
        <f t="shared" ca="1" si="34"/>
        <v>#N/A</v>
      </c>
      <c r="FE118" t="str">
        <f t="shared" ca="1" si="23"/>
        <v>共同担保,</v>
      </c>
      <c r="FF118" t="str">
        <f t="shared" ca="1" si="24"/>
        <v/>
      </c>
      <c r="FG118" t="str">
        <f t="shared" ca="1" si="25"/>
        <v/>
      </c>
      <c r="FH118" t="str">
        <f t="shared" ca="1" si="26"/>
        <v/>
      </c>
      <c r="FI118" t="str">
        <f t="shared" ca="1" si="27"/>
        <v/>
      </c>
      <c r="FJ118" t="str">
        <f t="shared" ca="1" si="28"/>
        <v>共同担保,</v>
      </c>
      <c r="FK118" t="str">
        <f t="shared" ca="1" si="22"/>
        <v>共同担保</v>
      </c>
      <c r="FL118" t="str">
        <f t="shared" ca="1" si="29"/>
        <v>共同担保として提供中</v>
      </c>
    </row>
    <row r="119" spans="93:168">
      <c r="CO119" s="5">
        <v>97</v>
      </c>
      <c r="CP119" s="57">
        <v>125000</v>
      </c>
      <c r="CQ119">
        <v>48</v>
      </c>
      <c r="DF119" s="132" t="s">
        <v>235</v>
      </c>
      <c r="EM119" s="133" t="s">
        <v>316</v>
      </c>
      <c r="ES119">
        <v>112</v>
      </c>
      <c r="ET119" t="s">
        <v>270</v>
      </c>
      <c r="EU119" t="s">
        <v>271</v>
      </c>
      <c r="EV119">
        <v>113</v>
      </c>
      <c r="EW119" t="str" cm="1">
        <f t="array" aca="1" ref="EW119" ca="1">INDIRECT("'5借入一覧'!"&amp;ET119&amp;EV119)&amp;INDIRECT("'5借入一覧'!"&amp;EU119&amp;EV119)</f>
        <v/>
      </c>
      <c r="EX119">
        <v>1</v>
      </c>
      <c r="EY119">
        <v>112</v>
      </c>
      <c r="EZ119" t="e">
        <f t="shared" ca="1" si="34"/>
        <v>#N/A</v>
      </c>
      <c r="FA119" t="e">
        <f t="shared" ca="1" si="34"/>
        <v>#N/A</v>
      </c>
      <c r="FB119" t="e">
        <f t="shared" ca="1" si="34"/>
        <v>#N/A</v>
      </c>
      <c r="FC119" t="e">
        <f t="shared" ca="1" si="34"/>
        <v>#N/A</v>
      </c>
      <c r="FD119" t="e">
        <f t="shared" ca="1" si="34"/>
        <v>#N/A</v>
      </c>
      <c r="FE119" t="str">
        <f t="shared" ca="1" si="23"/>
        <v/>
      </c>
      <c r="FF119" t="str">
        <f t="shared" ca="1" si="24"/>
        <v/>
      </c>
      <c r="FG119" t="str">
        <f t="shared" ca="1" si="25"/>
        <v/>
      </c>
      <c r="FH119" t="str">
        <f t="shared" ca="1" si="26"/>
        <v/>
      </c>
      <c r="FI119" t="str">
        <f t="shared" ca="1" si="27"/>
        <v/>
      </c>
      <c r="FJ119" t="str">
        <f t="shared" ca="1" si="28"/>
        <v/>
      </c>
      <c r="FK119" t="str">
        <f t="shared" ca="1" si="22"/>
        <v/>
      </c>
      <c r="FL119" t="str">
        <f t="shared" ca="1" si="29"/>
        <v>無</v>
      </c>
    </row>
    <row r="120" spans="93:168">
      <c r="CO120" s="5">
        <v>226</v>
      </c>
      <c r="CP120" s="57">
        <v>123000</v>
      </c>
      <c r="CQ120">
        <v>49</v>
      </c>
      <c r="DF120" s="132" t="s">
        <v>236</v>
      </c>
      <c r="EM120" s="133" t="s">
        <v>320</v>
      </c>
      <c r="ES120">
        <v>113</v>
      </c>
      <c r="ET120" t="s">
        <v>270</v>
      </c>
      <c r="EU120" t="s">
        <v>271</v>
      </c>
      <c r="EV120">
        <v>114</v>
      </c>
      <c r="EW120" t="str" cm="1">
        <f t="array" aca="1" ref="EW120" ca="1">INDIRECT("'5借入一覧'!"&amp;ET120&amp;EV120)&amp;INDIRECT("'5借入一覧'!"&amp;EU120&amp;EV120)</f>
        <v/>
      </c>
      <c r="EX120">
        <v>1</v>
      </c>
      <c r="EY120">
        <v>113</v>
      </c>
      <c r="EZ120" t="e">
        <f t="shared" ca="1" si="34"/>
        <v>#N/A</v>
      </c>
      <c r="FA120" t="e">
        <f t="shared" ca="1" si="34"/>
        <v>#N/A</v>
      </c>
      <c r="FB120" t="e">
        <f t="shared" ca="1" si="34"/>
        <v>#N/A</v>
      </c>
      <c r="FC120" t="e">
        <f t="shared" ca="1" si="34"/>
        <v>#N/A</v>
      </c>
      <c r="FD120" t="e">
        <f t="shared" ca="1" si="34"/>
        <v>#N/A</v>
      </c>
      <c r="FE120" t="str">
        <f t="shared" ca="1" si="23"/>
        <v/>
      </c>
      <c r="FF120" t="str">
        <f t="shared" ca="1" si="24"/>
        <v/>
      </c>
      <c r="FG120" t="str">
        <f t="shared" ca="1" si="25"/>
        <v/>
      </c>
      <c r="FH120" t="str">
        <f t="shared" ca="1" si="26"/>
        <v/>
      </c>
      <c r="FI120" t="str">
        <f t="shared" ca="1" si="27"/>
        <v/>
      </c>
      <c r="FJ120" t="str">
        <f t="shared" ca="1" si="28"/>
        <v/>
      </c>
      <c r="FK120" t="str">
        <f t="shared" ca="1" si="22"/>
        <v/>
      </c>
      <c r="FL120" t="str">
        <f t="shared" ca="1" si="29"/>
        <v>無</v>
      </c>
    </row>
    <row r="121" spans="93:168">
      <c r="CO121" s="5">
        <v>278</v>
      </c>
      <c r="CP121" s="57">
        <v>122000</v>
      </c>
      <c r="CQ121">
        <v>50</v>
      </c>
      <c r="DF121" s="132" t="s">
        <v>262</v>
      </c>
      <c r="DG121">
        <v>1</v>
      </c>
      <c r="DH121">
        <v>1100000</v>
      </c>
      <c r="EM121" s="133" t="s">
        <v>324</v>
      </c>
      <c r="ES121">
        <v>114</v>
      </c>
      <c r="ET121" t="s">
        <v>270</v>
      </c>
      <c r="EU121" t="s">
        <v>271</v>
      </c>
      <c r="EV121">
        <v>115</v>
      </c>
      <c r="EW121" t="str" cm="1">
        <f t="array" aca="1" ref="EW121" ca="1">INDIRECT("'5借入一覧'!"&amp;ET121&amp;EV121)&amp;INDIRECT("'5借入一覧'!"&amp;EU121&amp;EV121)</f>
        <v/>
      </c>
      <c r="EX121">
        <v>1</v>
      </c>
      <c r="EY121">
        <v>114</v>
      </c>
      <c r="EZ121" t="e">
        <f t="shared" ca="1" si="34"/>
        <v>#N/A</v>
      </c>
      <c r="FA121" t="e">
        <f t="shared" ca="1" si="34"/>
        <v>#N/A</v>
      </c>
      <c r="FB121" t="e">
        <f t="shared" ca="1" si="34"/>
        <v>#N/A</v>
      </c>
      <c r="FC121" t="e">
        <f t="shared" ca="1" si="34"/>
        <v>#N/A</v>
      </c>
      <c r="FD121" t="e">
        <f t="shared" ca="1" si="34"/>
        <v>#N/A</v>
      </c>
      <c r="FE121" t="str">
        <f t="shared" ca="1" si="23"/>
        <v/>
      </c>
      <c r="FF121" t="str">
        <f t="shared" ca="1" si="24"/>
        <v/>
      </c>
      <c r="FG121" t="str">
        <f t="shared" ca="1" si="25"/>
        <v/>
      </c>
      <c r="FH121" t="str">
        <f t="shared" ca="1" si="26"/>
        <v/>
      </c>
      <c r="FI121" t="str">
        <f t="shared" ca="1" si="27"/>
        <v/>
      </c>
      <c r="FJ121" t="str">
        <f t="shared" ca="1" si="28"/>
        <v/>
      </c>
      <c r="FK121" t="str">
        <f t="shared" ca="1" si="22"/>
        <v/>
      </c>
      <c r="FL121" t="str">
        <f t="shared" ca="1" si="29"/>
        <v>無</v>
      </c>
    </row>
    <row r="122" spans="93:168">
      <c r="CO122" s="5">
        <v>230</v>
      </c>
      <c r="CP122" s="57">
        <v>121000</v>
      </c>
      <c r="CQ122">
        <v>51</v>
      </c>
      <c r="DF122" s="132" t="s">
        <v>198</v>
      </c>
      <c r="EM122" s="133" t="s">
        <v>327</v>
      </c>
      <c r="ES122">
        <v>115</v>
      </c>
      <c r="ET122" t="s">
        <v>270</v>
      </c>
      <c r="EU122" t="s">
        <v>271</v>
      </c>
      <c r="EV122">
        <v>116</v>
      </c>
      <c r="EW122" t="str" cm="1">
        <f t="array" aca="1" ref="EW122" ca="1">INDIRECT("'5借入一覧'!"&amp;ET122&amp;EV122)&amp;INDIRECT("'5借入一覧'!"&amp;EU122&amp;EV122)</f>
        <v/>
      </c>
      <c r="EX122">
        <v>1</v>
      </c>
      <c r="EY122">
        <v>115</v>
      </c>
      <c r="EZ122" t="e">
        <f t="shared" ca="1" si="34"/>
        <v>#N/A</v>
      </c>
      <c r="FA122" t="e">
        <f t="shared" ca="1" si="34"/>
        <v>#N/A</v>
      </c>
      <c r="FB122" t="e">
        <f t="shared" ca="1" si="34"/>
        <v>#N/A</v>
      </c>
      <c r="FC122" t="e">
        <f t="shared" ca="1" si="34"/>
        <v>#N/A</v>
      </c>
      <c r="FD122" t="e">
        <f t="shared" ca="1" si="34"/>
        <v>#N/A</v>
      </c>
      <c r="FE122" t="str">
        <f t="shared" ca="1" si="23"/>
        <v/>
      </c>
      <c r="FF122" t="str">
        <f t="shared" ca="1" si="24"/>
        <v/>
      </c>
      <c r="FG122" t="str">
        <f t="shared" ca="1" si="25"/>
        <v/>
      </c>
      <c r="FH122" t="str">
        <f t="shared" ca="1" si="26"/>
        <v/>
      </c>
      <c r="FI122" t="str">
        <f t="shared" ca="1" si="27"/>
        <v/>
      </c>
      <c r="FJ122" t="str">
        <f t="shared" ca="1" si="28"/>
        <v/>
      </c>
      <c r="FK122" t="str">
        <f t="shared" ca="1" si="22"/>
        <v/>
      </c>
      <c r="FL122" t="str">
        <f t="shared" ca="1" si="29"/>
        <v>無</v>
      </c>
    </row>
    <row r="123" spans="93:168">
      <c r="CO123" s="5">
        <v>227</v>
      </c>
      <c r="CP123" s="57">
        <v>120000</v>
      </c>
      <c r="CQ123">
        <v>52</v>
      </c>
      <c r="DF123" s="5" t="s">
        <v>200</v>
      </c>
      <c r="DG123">
        <v>40</v>
      </c>
      <c r="DH123">
        <v>7413542</v>
      </c>
      <c r="EM123" s="133" t="s">
        <v>291</v>
      </c>
      <c r="ES123">
        <v>116</v>
      </c>
      <c r="ET123" t="s">
        <v>270</v>
      </c>
      <c r="EU123" t="s">
        <v>271</v>
      </c>
      <c r="EV123">
        <v>117</v>
      </c>
      <c r="EW123" t="str" cm="1">
        <f t="array" aca="1" ref="EW123" ca="1">INDIRECT("'5借入一覧'!"&amp;ET123&amp;EV123)&amp;INDIRECT("'5借入一覧'!"&amp;EU123&amp;EV123)</f>
        <v/>
      </c>
      <c r="EX123">
        <v>1</v>
      </c>
      <c r="EY123">
        <v>116</v>
      </c>
      <c r="EZ123" t="e">
        <f t="shared" ca="1" si="34"/>
        <v>#N/A</v>
      </c>
      <c r="FA123" t="e">
        <f t="shared" ca="1" si="34"/>
        <v>#N/A</v>
      </c>
      <c r="FB123" t="e">
        <f t="shared" ca="1" si="34"/>
        <v>#N/A</v>
      </c>
      <c r="FC123" t="e">
        <f t="shared" ca="1" si="34"/>
        <v>#N/A</v>
      </c>
      <c r="FD123" t="e">
        <f t="shared" ca="1" si="34"/>
        <v>#N/A</v>
      </c>
      <c r="FE123" t="str">
        <f t="shared" ca="1" si="23"/>
        <v/>
      </c>
      <c r="FF123" t="str">
        <f t="shared" ca="1" si="24"/>
        <v/>
      </c>
      <c r="FG123" t="str">
        <f t="shared" ca="1" si="25"/>
        <v/>
      </c>
      <c r="FH123" t="str">
        <f t="shared" ca="1" si="26"/>
        <v/>
      </c>
      <c r="FI123" t="str">
        <f t="shared" ca="1" si="27"/>
        <v/>
      </c>
      <c r="FJ123" t="str">
        <f t="shared" ca="1" si="28"/>
        <v/>
      </c>
      <c r="FK123" t="str">
        <f t="shared" ca="1" si="22"/>
        <v/>
      </c>
      <c r="FL123" t="str">
        <f t="shared" ca="1" si="29"/>
        <v>無</v>
      </c>
    </row>
    <row r="124" spans="93:168">
      <c r="CO124" s="5">
        <v>217</v>
      </c>
      <c r="CP124" s="57">
        <v>120000</v>
      </c>
      <c r="CQ124">
        <v>52</v>
      </c>
      <c r="EM124" s="133" t="s">
        <v>333</v>
      </c>
      <c r="ES124">
        <v>117</v>
      </c>
      <c r="ET124" t="s">
        <v>270</v>
      </c>
      <c r="EU124" t="s">
        <v>271</v>
      </c>
      <c r="EV124">
        <v>118</v>
      </c>
      <c r="EW124" t="str" cm="1">
        <f t="array" aca="1" ref="EW124" ca="1">INDIRECT("'5借入一覧'!"&amp;ET124&amp;EV124)&amp;INDIRECT("'5借入一覧'!"&amp;EU124&amp;EV124)</f>
        <v/>
      </c>
      <c r="EX124">
        <v>1</v>
      </c>
      <c r="EY124">
        <v>117</v>
      </c>
      <c r="EZ124" t="e">
        <f t="shared" ca="1" si="34"/>
        <v>#N/A</v>
      </c>
      <c r="FA124" t="e">
        <f t="shared" ca="1" si="34"/>
        <v>#N/A</v>
      </c>
      <c r="FB124" t="e">
        <f t="shared" ca="1" si="34"/>
        <v>#N/A</v>
      </c>
      <c r="FC124" t="e">
        <f t="shared" ca="1" si="34"/>
        <v>#N/A</v>
      </c>
      <c r="FD124" t="e">
        <f t="shared" ca="1" si="34"/>
        <v>#N/A</v>
      </c>
      <c r="FE124" t="str">
        <f t="shared" ca="1" si="23"/>
        <v/>
      </c>
      <c r="FF124" t="str">
        <f t="shared" ca="1" si="24"/>
        <v/>
      </c>
      <c r="FG124" t="str">
        <f t="shared" ca="1" si="25"/>
        <v/>
      </c>
      <c r="FH124" t="str">
        <f t="shared" ca="1" si="26"/>
        <v/>
      </c>
      <c r="FI124" t="str">
        <f t="shared" ca="1" si="27"/>
        <v/>
      </c>
      <c r="FJ124" t="str">
        <f t="shared" ca="1" si="28"/>
        <v/>
      </c>
      <c r="FK124" t="str">
        <f t="shared" ca="1" si="22"/>
        <v/>
      </c>
      <c r="FL124" t="str">
        <f t="shared" ca="1" si="29"/>
        <v>無</v>
      </c>
    </row>
    <row r="125" spans="93:168">
      <c r="CO125" s="5">
        <v>224</v>
      </c>
      <c r="CP125" s="57">
        <v>120000</v>
      </c>
      <c r="CQ125">
        <v>52</v>
      </c>
      <c r="EM125" s="133" t="s">
        <v>198</v>
      </c>
      <c r="ES125">
        <v>118</v>
      </c>
      <c r="ET125" t="s">
        <v>270</v>
      </c>
      <c r="EU125" t="s">
        <v>271</v>
      </c>
      <c r="EV125">
        <v>119</v>
      </c>
      <c r="EW125" t="str" cm="1">
        <f t="array" aca="1" ref="EW125" ca="1">INDIRECT("'5借入一覧'!"&amp;ET125&amp;EV125)&amp;INDIRECT("'5借入一覧'!"&amp;EU125&amp;EV125)</f>
        <v/>
      </c>
      <c r="EX125">
        <v>1</v>
      </c>
      <c r="EY125">
        <v>118</v>
      </c>
      <c r="EZ125" t="e">
        <f t="shared" ca="1" si="34"/>
        <v>#N/A</v>
      </c>
      <c r="FA125" t="e">
        <f t="shared" ca="1" si="34"/>
        <v>#N/A</v>
      </c>
      <c r="FB125" t="e">
        <f t="shared" ca="1" si="34"/>
        <v>#N/A</v>
      </c>
      <c r="FC125" t="e">
        <f t="shared" ca="1" si="34"/>
        <v>#N/A</v>
      </c>
      <c r="FD125" t="e">
        <f t="shared" ca="1" si="34"/>
        <v>#N/A</v>
      </c>
      <c r="FE125" t="str">
        <f t="shared" ca="1" si="23"/>
        <v/>
      </c>
      <c r="FF125" t="str">
        <f t="shared" ca="1" si="24"/>
        <v/>
      </c>
      <c r="FG125" t="str">
        <f t="shared" ca="1" si="25"/>
        <v/>
      </c>
      <c r="FH125" t="str">
        <f t="shared" ca="1" si="26"/>
        <v/>
      </c>
      <c r="FI125" t="str">
        <f t="shared" ca="1" si="27"/>
        <v/>
      </c>
      <c r="FJ125" t="str">
        <f t="shared" ca="1" si="28"/>
        <v/>
      </c>
      <c r="FK125" t="str">
        <f t="shared" ca="1" si="22"/>
        <v/>
      </c>
      <c r="FL125" t="str">
        <f t="shared" ca="1" si="29"/>
        <v>無</v>
      </c>
    </row>
    <row r="126" spans="93:168">
      <c r="CO126" s="5">
        <v>210</v>
      </c>
      <c r="CP126" s="57">
        <v>118000</v>
      </c>
      <c r="CQ126">
        <v>53</v>
      </c>
      <c r="EM126" s="133" t="s">
        <v>296</v>
      </c>
      <c r="ES126">
        <v>119</v>
      </c>
      <c r="ET126" t="s">
        <v>270</v>
      </c>
      <c r="EU126" t="s">
        <v>271</v>
      </c>
      <c r="EV126">
        <v>120</v>
      </c>
      <c r="EW126" t="str" cm="1">
        <f t="array" aca="1" ref="EW126" ca="1">INDIRECT("'5借入一覧'!"&amp;ET126&amp;EV126)&amp;INDIRECT("'5借入一覧'!"&amp;EU126&amp;EV126)</f>
        <v/>
      </c>
      <c r="EX126">
        <v>1</v>
      </c>
      <c r="EY126">
        <v>119</v>
      </c>
      <c r="EZ126" t="e">
        <f t="shared" ca="1" si="34"/>
        <v>#N/A</v>
      </c>
      <c r="FA126" t="e">
        <f t="shared" ca="1" si="34"/>
        <v>#N/A</v>
      </c>
      <c r="FB126" t="e">
        <f t="shared" ca="1" si="34"/>
        <v>#N/A</v>
      </c>
      <c r="FC126" t="e">
        <f t="shared" ca="1" si="34"/>
        <v>#N/A</v>
      </c>
      <c r="FD126" t="e">
        <f t="shared" ca="1" si="34"/>
        <v>#N/A</v>
      </c>
      <c r="FE126" t="str">
        <f t="shared" ca="1" si="23"/>
        <v/>
      </c>
      <c r="FF126" t="str">
        <f t="shared" ca="1" si="24"/>
        <v/>
      </c>
      <c r="FG126" t="str">
        <f t="shared" ca="1" si="25"/>
        <v/>
      </c>
      <c r="FH126" t="str">
        <f t="shared" ca="1" si="26"/>
        <v/>
      </c>
      <c r="FI126" t="str">
        <f t="shared" ca="1" si="27"/>
        <v/>
      </c>
      <c r="FJ126" t="str">
        <f t="shared" ca="1" si="28"/>
        <v/>
      </c>
      <c r="FK126" t="str">
        <f t="shared" ca="1" si="22"/>
        <v/>
      </c>
      <c r="FL126" t="str">
        <f t="shared" ca="1" si="29"/>
        <v>無</v>
      </c>
    </row>
    <row r="127" spans="93:168">
      <c r="CO127" s="5">
        <v>212</v>
      </c>
      <c r="CP127" s="57">
        <v>118000</v>
      </c>
      <c r="CQ127">
        <v>53</v>
      </c>
      <c r="EM127" s="133" t="s">
        <v>286</v>
      </c>
      <c r="ES127">
        <v>120</v>
      </c>
      <c r="ET127" t="s">
        <v>270</v>
      </c>
      <c r="EU127" t="s">
        <v>271</v>
      </c>
      <c r="EV127">
        <v>121</v>
      </c>
      <c r="EW127" t="str" cm="1">
        <f t="array" aca="1" ref="EW127" ca="1">INDIRECT("'5借入一覧'!"&amp;ET127&amp;EV127)&amp;INDIRECT("'5借入一覧'!"&amp;EU127&amp;EV127)</f>
        <v/>
      </c>
      <c r="EX127">
        <v>1</v>
      </c>
      <c r="EY127">
        <v>120</v>
      </c>
      <c r="EZ127" t="e">
        <f t="shared" ca="1" si="34"/>
        <v>#N/A</v>
      </c>
      <c r="FA127" t="e">
        <f t="shared" ca="1" si="34"/>
        <v>#N/A</v>
      </c>
      <c r="FB127" t="e">
        <f t="shared" ca="1" si="34"/>
        <v>#N/A</v>
      </c>
      <c r="FC127" t="e">
        <f t="shared" ca="1" si="34"/>
        <v>#N/A</v>
      </c>
      <c r="FD127" t="e">
        <f t="shared" ca="1" si="34"/>
        <v>#N/A</v>
      </c>
      <c r="FE127" t="str">
        <f t="shared" ca="1" si="23"/>
        <v/>
      </c>
      <c r="FF127" t="str">
        <f t="shared" ca="1" si="24"/>
        <v/>
      </c>
      <c r="FG127" t="str">
        <f t="shared" ca="1" si="25"/>
        <v/>
      </c>
      <c r="FH127" t="str">
        <f t="shared" ca="1" si="26"/>
        <v/>
      </c>
      <c r="FI127" t="str">
        <f t="shared" ca="1" si="27"/>
        <v/>
      </c>
      <c r="FJ127" t="str">
        <f t="shared" ca="1" si="28"/>
        <v/>
      </c>
      <c r="FK127" t="str">
        <f t="shared" ca="1" si="22"/>
        <v/>
      </c>
      <c r="FL127" t="str">
        <f t="shared" ca="1" si="29"/>
        <v>無</v>
      </c>
    </row>
    <row r="128" spans="93:168">
      <c r="CO128" s="5">
        <v>112</v>
      </c>
      <c r="CP128" s="57">
        <v>117037</v>
      </c>
      <c r="CQ128">
        <v>54</v>
      </c>
      <c r="EM128" s="133" t="s">
        <v>340</v>
      </c>
      <c r="ES128">
        <v>121</v>
      </c>
      <c r="ET128" t="s">
        <v>270</v>
      </c>
      <c r="EU128" t="s">
        <v>271</v>
      </c>
      <c r="EV128">
        <v>122</v>
      </c>
      <c r="EW128" t="str" cm="1">
        <f t="array" aca="1" ref="EW128" ca="1">INDIRECT("'5借入一覧'!"&amp;ET128&amp;EV128)&amp;INDIRECT("'5借入一覧'!"&amp;EU128&amp;EV128)</f>
        <v/>
      </c>
      <c r="EX128">
        <v>1</v>
      </c>
      <c r="EY128">
        <v>121</v>
      </c>
      <c r="EZ128" t="e">
        <f t="shared" ref="EZ128:FD137" ca="1" si="35">VLOOKUP($EY128&amp;EZ$5,$EW$7:$EX$1101,2,FALSE)</f>
        <v>#N/A</v>
      </c>
      <c r="FA128" t="e">
        <f t="shared" ca="1" si="35"/>
        <v>#N/A</v>
      </c>
      <c r="FB128" t="e">
        <f t="shared" ca="1" si="35"/>
        <v>#N/A</v>
      </c>
      <c r="FC128" t="e">
        <f t="shared" ca="1" si="35"/>
        <v>#N/A</v>
      </c>
      <c r="FD128" t="e">
        <f t="shared" ca="1" si="35"/>
        <v>#N/A</v>
      </c>
      <c r="FE128" t="str">
        <f t="shared" ca="1" si="23"/>
        <v/>
      </c>
      <c r="FF128" t="str">
        <f t="shared" ca="1" si="24"/>
        <v/>
      </c>
      <c r="FG128" t="str">
        <f t="shared" ca="1" si="25"/>
        <v/>
      </c>
      <c r="FH128" t="str">
        <f t="shared" ca="1" si="26"/>
        <v/>
      </c>
      <c r="FI128" t="str">
        <f t="shared" ca="1" si="27"/>
        <v/>
      </c>
      <c r="FJ128" t="str">
        <f t="shared" ca="1" si="28"/>
        <v/>
      </c>
      <c r="FK128" t="str">
        <f t="shared" ca="1" si="22"/>
        <v/>
      </c>
      <c r="FL128" t="str">
        <f t="shared" ca="1" si="29"/>
        <v>無</v>
      </c>
    </row>
    <row r="129" spans="93:168">
      <c r="CO129" s="5">
        <v>57</v>
      </c>
      <c r="CP129" s="57">
        <v>117000</v>
      </c>
      <c r="CQ129">
        <v>55</v>
      </c>
      <c r="EM129" s="132" t="s">
        <v>198</v>
      </c>
      <c r="ES129">
        <v>122</v>
      </c>
      <c r="ET129" t="s">
        <v>270</v>
      </c>
      <c r="EU129" t="s">
        <v>271</v>
      </c>
      <c r="EV129">
        <v>123</v>
      </c>
      <c r="EW129" t="str" cm="1">
        <f t="array" aca="1" ref="EW129" ca="1">INDIRECT("'5借入一覧'!"&amp;ET129&amp;EV129)&amp;INDIRECT("'5借入一覧'!"&amp;EU129&amp;EV129)</f>
        <v/>
      </c>
      <c r="EX129">
        <v>1</v>
      </c>
      <c r="EY129">
        <v>122</v>
      </c>
      <c r="EZ129" t="e">
        <f t="shared" ca="1" si="35"/>
        <v>#N/A</v>
      </c>
      <c r="FA129" t="e">
        <f t="shared" ca="1" si="35"/>
        <v>#N/A</v>
      </c>
      <c r="FB129" t="e">
        <f t="shared" ca="1" si="35"/>
        <v>#N/A</v>
      </c>
      <c r="FC129" t="e">
        <f t="shared" ca="1" si="35"/>
        <v>#N/A</v>
      </c>
      <c r="FD129" t="e">
        <f t="shared" ca="1" si="35"/>
        <v>#N/A</v>
      </c>
      <c r="FE129" t="str">
        <f t="shared" ca="1" si="23"/>
        <v/>
      </c>
      <c r="FF129" t="str">
        <f t="shared" ca="1" si="24"/>
        <v/>
      </c>
      <c r="FG129" t="str">
        <f t="shared" ca="1" si="25"/>
        <v/>
      </c>
      <c r="FH129" t="str">
        <f t="shared" ca="1" si="26"/>
        <v/>
      </c>
      <c r="FI129" t="str">
        <f t="shared" ca="1" si="27"/>
        <v/>
      </c>
      <c r="FJ129" t="str">
        <f t="shared" ca="1" si="28"/>
        <v/>
      </c>
      <c r="FK129" t="str">
        <f t="shared" ca="1" si="22"/>
        <v/>
      </c>
      <c r="FL129" t="str">
        <f t="shared" ca="1" si="29"/>
        <v>無</v>
      </c>
    </row>
    <row r="130" spans="93:168">
      <c r="CO130" s="5">
        <v>107</v>
      </c>
      <c r="CP130" s="57">
        <v>115000</v>
      </c>
      <c r="CQ130">
        <v>56</v>
      </c>
      <c r="EM130" s="133" t="s">
        <v>5</v>
      </c>
      <c r="ES130">
        <v>123</v>
      </c>
      <c r="ET130" t="s">
        <v>270</v>
      </c>
      <c r="EU130" t="s">
        <v>271</v>
      </c>
      <c r="EV130">
        <v>124</v>
      </c>
      <c r="EW130" t="str" cm="1">
        <f t="array" aca="1" ref="EW130" ca="1">INDIRECT("'5借入一覧'!"&amp;ET130&amp;EV130)&amp;INDIRECT("'5借入一覧'!"&amp;EU130&amp;EV130)</f>
        <v/>
      </c>
      <c r="EX130">
        <v>1</v>
      </c>
      <c r="EY130">
        <v>123</v>
      </c>
      <c r="EZ130" t="e">
        <f t="shared" ca="1" si="35"/>
        <v>#N/A</v>
      </c>
      <c r="FA130" t="e">
        <f t="shared" ca="1" si="35"/>
        <v>#N/A</v>
      </c>
      <c r="FB130" t="e">
        <f t="shared" ca="1" si="35"/>
        <v>#N/A</v>
      </c>
      <c r="FC130" t="e">
        <f t="shared" ca="1" si="35"/>
        <v>#N/A</v>
      </c>
      <c r="FD130" t="e">
        <f t="shared" ca="1" si="35"/>
        <v>#N/A</v>
      </c>
      <c r="FE130" t="str">
        <f t="shared" ca="1" si="23"/>
        <v/>
      </c>
      <c r="FF130" t="str">
        <f t="shared" ca="1" si="24"/>
        <v/>
      </c>
      <c r="FG130" t="str">
        <f t="shared" ca="1" si="25"/>
        <v/>
      </c>
      <c r="FH130" t="str">
        <f t="shared" ca="1" si="26"/>
        <v/>
      </c>
      <c r="FI130" t="str">
        <f t="shared" ca="1" si="27"/>
        <v/>
      </c>
      <c r="FJ130" t="str">
        <f t="shared" ca="1" si="28"/>
        <v/>
      </c>
      <c r="FK130" t="str">
        <f t="shared" ca="1" si="22"/>
        <v/>
      </c>
      <c r="FL130" t="str">
        <f t="shared" ca="1" si="29"/>
        <v>無</v>
      </c>
    </row>
    <row r="131" spans="93:168">
      <c r="CO131" s="5">
        <v>211</v>
      </c>
      <c r="CP131" s="57">
        <v>115000</v>
      </c>
      <c r="CQ131">
        <v>56</v>
      </c>
      <c r="EM131" s="133" t="s">
        <v>216</v>
      </c>
      <c r="ES131">
        <v>124</v>
      </c>
      <c r="ET131" t="s">
        <v>270</v>
      </c>
      <c r="EU131" t="s">
        <v>271</v>
      </c>
      <c r="EV131">
        <v>125</v>
      </c>
      <c r="EW131" t="str" cm="1">
        <f t="array" aca="1" ref="EW131" ca="1">INDIRECT("'5借入一覧'!"&amp;ET131&amp;EV131)&amp;INDIRECT("'5借入一覧'!"&amp;EU131&amp;EV131)</f>
        <v/>
      </c>
      <c r="EX131">
        <v>1</v>
      </c>
      <c r="EY131">
        <v>124</v>
      </c>
      <c r="EZ131" t="e">
        <f t="shared" ca="1" si="35"/>
        <v>#N/A</v>
      </c>
      <c r="FA131" t="e">
        <f t="shared" ca="1" si="35"/>
        <v>#N/A</v>
      </c>
      <c r="FB131" t="e">
        <f t="shared" ca="1" si="35"/>
        <v>#N/A</v>
      </c>
      <c r="FC131" t="e">
        <f t="shared" ca="1" si="35"/>
        <v>#N/A</v>
      </c>
      <c r="FD131" t="e">
        <f t="shared" ca="1" si="35"/>
        <v>#N/A</v>
      </c>
      <c r="FE131" t="str">
        <f t="shared" ca="1" si="23"/>
        <v/>
      </c>
      <c r="FF131" t="str">
        <f t="shared" ca="1" si="24"/>
        <v/>
      </c>
      <c r="FG131" t="str">
        <f t="shared" ca="1" si="25"/>
        <v/>
      </c>
      <c r="FH131" t="str">
        <f t="shared" ca="1" si="26"/>
        <v/>
      </c>
      <c r="FI131" t="str">
        <f t="shared" ca="1" si="27"/>
        <v/>
      </c>
      <c r="FJ131" t="str">
        <f t="shared" ca="1" si="28"/>
        <v/>
      </c>
      <c r="FK131" t="str">
        <f t="shared" ca="1" si="22"/>
        <v/>
      </c>
      <c r="FL131" t="str">
        <f t="shared" ca="1" si="29"/>
        <v>無</v>
      </c>
    </row>
    <row r="132" spans="93:168">
      <c r="CO132" s="5">
        <v>213</v>
      </c>
      <c r="CP132" s="57">
        <v>115000</v>
      </c>
      <c r="CQ132">
        <v>56</v>
      </c>
      <c r="EM132" s="133" t="s">
        <v>237</v>
      </c>
      <c r="ES132">
        <v>125</v>
      </c>
      <c r="ET132" t="s">
        <v>270</v>
      </c>
      <c r="EU132" t="s">
        <v>271</v>
      </c>
      <c r="EV132">
        <v>126</v>
      </c>
      <c r="EW132" t="str" cm="1">
        <f t="array" aca="1" ref="EW132" ca="1">INDIRECT("'5借入一覧'!"&amp;ET132&amp;EV132)&amp;INDIRECT("'5借入一覧'!"&amp;EU132&amp;EV132)</f>
        <v/>
      </c>
      <c r="EX132">
        <v>1</v>
      </c>
      <c r="EY132">
        <v>125</v>
      </c>
      <c r="EZ132" t="e">
        <f t="shared" ca="1" si="35"/>
        <v>#N/A</v>
      </c>
      <c r="FA132" t="e">
        <f t="shared" ca="1" si="35"/>
        <v>#N/A</v>
      </c>
      <c r="FB132" t="e">
        <f t="shared" ca="1" si="35"/>
        <v>#N/A</v>
      </c>
      <c r="FC132" t="e">
        <f t="shared" ca="1" si="35"/>
        <v>#N/A</v>
      </c>
      <c r="FD132" t="e">
        <f t="shared" ca="1" si="35"/>
        <v>#N/A</v>
      </c>
      <c r="FE132" t="str">
        <f t="shared" ca="1" si="23"/>
        <v/>
      </c>
      <c r="FF132" t="str">
        <f t="shared" ca="1" si="24"/>
        <v/>
      </c>
      <c r="FG132" t="str">
        <f t="shared" ca="1" si="25"/>
        <v/>
      </c>
      <c r="FH132" t="str">
        <f t="shared" ca="1" si="26"/>
        <v/>
      </c>
      <c r="FI132" t="str">
        <f t="shared" ca="1" si="27"/>
        <v/>
      </c>
      <c r="FJ132" t="str">
        <f t="shared" ca="1" si="28"/>
        <v/>
      </c>
      <c r="FK132" t="str">
        <f t="shared" ca="1" si="22"/>
        <v/>
      </c>
      <c r="FL132" t="str">
        <f t="shared" ca="1" si="29"/>
        <v>無</v>
      </c>
    </row>
    <row r="133" spans="93:168">
      <c r="CO133" s="5">
        <v>251</v>
      </c>
      <c r="CP133" s="57">
        <v>115000</v>
      </c>
      <c r="CQ133">
        <v>56</v>
      </c>
      <c r="EM133" s="133" t="s">
        <v>268</v>
      </c>
      <c r="ES133">
        <v>126</v>
      </c>
      <c r="ET133" t="s">
        <v>270</v>
      </c>
      <c r="EU133" t="s">
        <v>271</v>
      </c>
      <c r="EV133">
        <v>127</v>
      </c>
      <c r="EW133" t="str" cm="1">
        <f t="array" aca="1" ref="EW133" ca="1">INDIRECT("'5借入一覧'!"&amp;ET133&amp;EV133)&amp;INDIRECT("'5借入一覧'!"&amp;EU133&amp;EV133)</f>
        <v/>
      </c>
      <c r="EX133">
        <v>1</v>
      </c>
      <c r="EY133">
        <v>126</v>
      </c>
      <c r="EZ133" t="e">
        <f t="shared" ca="1" si="35"/>
        <v>#N/A</v>
      </c>
      <c r="FA133" t="e">
        <f t="shared" ca="1" si="35"/>
        <v>#N/A</v>
      </c>
      <c r="FB133" t="e">
        <f t="shared" ca="1" si="35"/>
        <v>#N/A</v>
      </c>
      <c r="FC133" t="e">
        <f t="shared" ca="1" si="35"/>
        <v>#N/A</v>
      </c>
      <c r="FD133" t="e">
        <f t="shared" ca="1" si="35"/>
        <v>#N/A</v>
      </c>
      <c r="FE133" t="str">
        <f t="shared" ca="1" si="23"/>
        <v/>
      </c>
      <c r="FF133" t="str">
        <f t="shared" ca="1" si="24"/>
        <v/>
      </c>
      <c r="FG133" t="str">
        <f t="shared" ca="1" si="25"/>
        <v/>
      </c>
      <c r="FH133" t="str">
        <f t="shared" ca="1" si="26"/>
        <v/>
      </c>
      <c r="FI133" t="str">
        <f t="shared" ca="1" si="27"/>
        <v/>
      </c>
      <c r="FJ133" t="str">
        <f t="shared" ca="1" si="28"/>
        <v/>
      </c>
      <c r="FK133" t="str">
        <f t="shared" ca="1" si="22"/>
        <v/>
      </c>
      <c r="FL133" t="str">
        <f t="shared" ca="1" si="29"/>
        <v>無</v>
      </c>
    </row>
    <row r="134" spans="93:168">
      <c r="CO134" s="5">
        <v>111</v>
      </c>
      <c r="CP134" s="57">
        <v>110000</v>
      </c>
      <c r="CQ134">
        <v>57</v>
      </c>
      <c r="EM134" s="133" t="s">
        <v>276</v>
      </c>
      <c r="ES134">
        <v>127</v>
      </c>
      <c r="ET134" t="s">
        <v>270</v>
      </c>
      <c r="EU134" t="s">
        <v>271</v>
      </c>
      <c r="EV134">
        <v>128</v>
      </c>
      <c r="EW134" t="str" cm="1">
        <f t="array" aca="1" ref="EW134" ca="1">INDIRECT("'5借入一覧'!"&amp;ET134&amp;EV134)&amp;INDIRECT("'5借入一覧'!"&amp;EU134&amp;EV134)</f>
        <v/>
      </c>
      <c r="EX134">
        <v>1</v>
      </c>
      <c r="EY134">
        <v>127</v>
      </c>
      <c r="EZ134" t="e">
        <f t="shared" ca="1" si="35"/>
        <v>#N/A</v>
      </c>
      <c r="FA134" t="e">
        <f t="shared" ca="1" si="35"/>
        <v>#N/A</v>
      </c>
      <c r="FB134" t="e">
        <f t="shared" ca="1" si="35"/>
        <v>#N/A</v>
      </c>
      <c r="FC134" t="e">
        <f t="shared" ca="1" si="35"/>
        <v>#N/A</v>
      </c>
      <c r="FD134" t="e">
        <f t="shared" ca="1" si="35"/>
        <v>#N/A</v>
      </c>
      <c r="FE134" t="str">
        <f t="shared" ca="1" si="23"/>
        <v/>
      </c>
      <c r="FF134" t="str">
        <f t="shared" ca="1" si="24"/>
        <v/>
      </c>
      <c r="FG134" t="str">
        <f t="shared" ca="1" si="25"/>
        <v/>
      </c>
      <c r="FH134" t="str">
        <f t="shared" ca="1" si="26"/>
        <v/>
      </c>
      <c r="FI134" t="str">
        <f t="shared" ca="1" si="27"/>
        <v/>
      </c>
      <c r="FJ134" t="str">
        <f t="shared" ca="1" si="28"/>
        <v/>
      </c>
      <c r="FK134" t="str">
        <f t="shared" ca="1" si="22"/>
        <v/>
      </c>
      <c r="FL134" t="str">
        <f t="shared" ca="1" si="29"/>
        <v>無</v>
      </c>
    </row>
    <row r="135" spans="93:168">
      <c r="CO135" s="5">
        <v>95</v>
      </c>
      <c r="CP135" s="57">
        <v>110000</v>
      </c>
      <c r="CQ135">
        <v>57</v>
      </c>
      <c r="EM135" s="133" t="s">
        <v>281</v>
      </c>
      <c r="ES135">
        <v>128</v>
      </c>
      <c r="ET135" t="s">
        <v>270</v>
      </c>
      <c r="EU135" t="s">
        <v>271</v>
      </c>
      <c r="EV135">
        <v>129</v>
      </c>
      <c r="EW135" t="str" cm="1">
        <f t="array" aca="1" ref="EW135" ca="1">INDIRECT("'5借入一覧'!"&amp;ET135&amp;EV135)&amp;INDIRECT("'5借入一覧'!"&amp;EU135&amp;EV135)</f>
        <v/>
      </c>
      <c r="EX135">
        <v>1</v>
      </c>
      <c r="EY135">
        <v>128</v>
      </c>
      <c r="EZ135" t="e">
        <f t="shared" ca="1" si="35"/>
        <v>#N/A</v>
      </c>
      <c r="FA135" t="e">
        <f t="shared" ca="1" si="35"/>
        <v>#N/A</v>
      </c>
      <c r="FB135" t="e">
        <f t="shared" ca="1" si="35"/>
        <v>#N/A</v>
      </c>
      <c r="FC135" t="e">
        <f t="shared" ca="1" si="35"/>
        <v>#N/A</v>
      </c>
      <c r="FD135" t="e">
        <f t="shared" ca="1" si="35"/>
        <v>#N/A</v>
      </c>
      <c r="FE135" t="str">
        <f t="shared" ca="1" si="23"/>
        <v/>
      </c>
      <c r="FF135" t="str">
        <f t="shared" ca="1" si="24"/>
        <v/>
      </c>
      <c r="FG135" t="str">
        <f t="shared" ca="1" si="25"/>
        <v/>
      </c>
      <c r="FH135" t="str">
        <f t="shared" ca="1" si="26"/>
        <v/>
      </c>
      <c r="FI135" t="str">
        <f t="shared" ca="1" si="27"/>
        <v/>
      </c>
      <c r="FJ135" t="str">
        <f t="shared" ca="1" si="28"/>
        <v/>
      </c>
      <c r="FK135" t="str">
        <f t="shared" ca="1" si="22"/>
        <v/>
      </c>
      <c r="FL135" t="str">
        <f t="shared" ca="1" si="29"/>
        <v>無</v>
      </c>
    </row>
    <row r="136" spans="93:168">
      <c r="CO136" s="5">
        <v>101</v>
      </c>
      <c r="CP136" s="57">
        <v>110000</v>
      </c>
      <c r="CQ136">
        <v>57</v>
      </c>
      <c r="EM136" s="133" t="s">
        <v>285</v>
      </c>
      <c r="ES136">
        <v>129</v>
      </c>
      <c r="ET136" t="s">
        <v>270</v>
      </c>
      <c r="EU136" t="s">
        <v>271</v>
      </c>
      <c r="EV136">
        <v>130</v>
      </c>
      <c r="EW136" t="str" cm="1">
        <f t="array" aca="1" ref="EW136" ca="1">INDIRECT("'5借入一覧'!"&amp;ET136&amp;EV136)&amp;INDIRECT("'5借入一覧'!"&amp;EU136&amp;EV136)</f>
        <v/>
      </c>
      <c r="EX136">
        <v>1</v>
      </c>
      <c r="EY136">
        <v>129</v>
      </c>
      <c r="EZ136" t="e">
        <f t="shared" ca="1" si="35"/>
        <v>#N/A</v>
      </c>
      <c r="FA136" t="e">
        <f t="shared" ca="1" si="35"/>
        <v>#N/A</v>
      </c>
      <c r="FB136" t="e">
        <f t="shared" ca="1" si="35"/>
        <v>#N/A</v>
      </c>
      <c r="FC136" t="e">
        <f t="shared" ca="1" si="35"/>
        <v>#N/A</v>
      </c>
      <c r="FD136" t="e">
        <f t="shared" ca="1" si="35"/>
        <v>#N/A</v>
      </c>
      <c r="FE136" t="str">
        <f t="shared" ca="1" si="23"/>
        <v/>
      </c>
      <c r="FF136" t="str">
        <f t="shared" ca="1" si="24"/>
        <v/>
      </c>
      <c r="FG136" t="str">
        <f t="shared" ca="1" si="25"/>
        <v/>
      </c>
      <c r="FH136" t="str">
        <f t="shared" ca="1" si="26"/>
        <v/>
      </c>
      <c r="FI136" t="str">
        <f t="shared" ca="1" si="27"/>
        <v/>
      </c>
      <c r="FJ136" t="str">
        <f t="shared" ca="1" si="28"/>
        <v/>
      </c>
      <c r="FK136" t="str">
        <f t="shared" ref="FK136:FK199" ca="1" si="36">IF(FJ136&lt;&gt;"",LEFT(FJ136,LEN(FJ136)-1),"")</f>
        <v/>
      </c>
      <c r="FL136" t="str">
        <f t="shared" ca="1" si="29"/>
        <v>無</v>
      </c>
    </row>
    <row r="137" spans="93:168">
      <c r="CO137" s="5">
        <v>103</v>
      </c>
      <c r="CP137" s="57">
        <v>110000</v>
      </c>
      <c r="CQ137">
        <v>57</v>
      </c>
      <c r="EM137" s="133" t="s">
        <v>290</v>
      </c>
      <c r="ES137">
        <v>130</v>
      </c>
      <c r="ET137" t="s">
        <v>270</v>
      </c>
      <c r="EU137" t="s">
        <v>271</v>
      </c>
      <c r="EV137">
        <v>131</v>
      </c>
      <c r="EW137" t="str" cm="1">
        <f t="array" aca="1" ref="EW137" ca="1">INDIRECT("'5借入一覧'!"&amp;ET137&amp;EV137)&amp;INDIRECT("'5借入一覧'!"&amp;EU137&amp;EV137)</f>
        <v/>
      </c>
      <c r="EX137">
        <v>1</v>
      </c>
      <c r="EY137">
        <v>130</v>
      </c>
      <c r="EZ137" t="e">
        <f t="shared" ca="1" si="35"/>
        <v>#N/A</v>
      </c>
      <c r="FA137" t="e">
        <f t="shared" ca="1" si="35"/>
        <v>#N/A</v>
      </c>
      <c r="FB137" t="e">
        <f t="shared" ca="1" si="35"/>
        <v>#N/A</v>
      </c>
      <c r="FC137" t="e">
        <f t="shared" ca="1" si="35"/>
        <v>#N/A</v>
      </c>
      <c r="FD137" t="e">
        <f t="shared" ca="1" si="35"/>
        <v>#N/A</v>
      </c>
      <c r="FE137" t="str">
        <f t="shared" ref="FE137:FE200" ca="1" si="37">IFERROR(IF(EZ137&gt;0,EZ$7),"")</f>
        <v/>
      </c>
      <c r="FF137" t="str">
        <f t="shared" ref="FF137:FF200" ca="1" si="38">IFERROR(IF(FA137&gt;0,FA$7),"")</f>
        <v/>
      </c>
      <c r="FG137" t="str">
        <f t="shared" ref="FG137:FG200" ca="1" si="39">IFERROR(IF(FB137&gt;0,FB$7),"")</f>
        <v/>
      </c>
      <c r="FH137" t="str">
        <f t="shared" ref="FH137:FH200" ca="1" si="40">IFERROR(IF(FC137&gt;0,FC$7),"")</f>
        <v/>
      </c>
      <c r="FI137" t="str">
        <f t="shared" ref="FI137:FI200" ca="1" si="41">IFERROR(IF(FD137&gt;0,FD$7),"")</f>
        <v/>
      </c>
      <c r="FJ137" t="str">
        <f t="shared" ref="FJ137:FJ200" ca="1" si="42">FE137&amp;FF137&amp;FG137&amp;FH137&amp;FI137</f>
        <v/>
      </c>
      <c r="FK137" t="str">
        <f t="shared" ca="1" si="36"/>
        <v/>
      </c>
      <c r="FL137" t="str">
        <f t="shared" ref="FL137:FL200" ca="1" si="43">IF(FK137&lt;&gt;"",FK137&amp;"として提供中","無")</f>
        <v>無</v>
      </c>
    </row>
    <row r="138" spans="93:168">
      <c r="CO138" s="5">
        <v>91</v>
      </c>
      <c r="CP138" s="57">
        <v>108000</v>
      </c>
      <c r="CQ138">
        <v>58</v>
      </c>
      <c r="EM138" s="133" t="s">
        <v>295</v>
      </c>
      <c r="ES138">
        <v>131</v>
      </c>
      <c r="ET138" t="s">
        <v>270</v>
      </c>
      <c r="EU138" t="s">
        <v>271</v>
      </c>
      <c r="EV138">
        <v>132</v>
      </c>
      <c r="EW138" t="str" cm="1">
        <f t="array" aca="1" ref="EW138" ca="1">INDIRECT("'5借入一覧'!"&amp;ET138&amp;EV138)&amp;INDIRECT("'5借入一覧'!"&amp;EU138&amp;EV138)</f>
        <v/>
      </c>
      <c r="EX138">
        <v>1</v>
      </c>
      <c r="EY138">
        <v>131</v>
      </c>
      <c r="EZ138" t="e">
        <f t="shared" ref="EZ138:FD147" ca="1" si="44">VLOOKUP($EY138&amp;EZ$5,$EW$7:$EX$1101,2,FALSE)</f>
        <v>#N/A</v>
      </c>
      <c r="FA138" t="e">
        <f t="shared" ca="1" si="44"/>
        <v>#N/A</v>
      </c>
      <c r="FB138" t="e">
        <f t="shared" ca="1" si="44"/>
        <v>#N/A</v>
      </c>
      <c r="FC138" t="e">
        <f t="shared" ca="1" si="44"/>
        <v>#N/A</v>
      </c>
      <c r="FD138" t="e">
        <f t="shared" ca="1" si="44"/>
        <v>#N/A</v>
      </c>
      <c r="FE138" t="str">
        <f t="shared" ca="1" si="37"/>
        <v/>
      </c>
      <c r="FF138" t="str">
        <f t="shared" ca="1" si="38"/>
        <v/>
      </c>
      <c r="FG138" t="str">
        <f t="shared" ca="1" si="39"/>
        <v/>
      </c>
      <c r="FH138" t="str">
        <f t="shared" ca="1" si="40"/>
        <v/>
      </c>
      <c r="FI138" t="str">
        <f t="shared" ca="1" si="41"/>
        <v/>
      </c>
      <c r="FJ138" t="str">
        <f t="shared" ca="1" si="42"/>
        <v/>
      </c>
      <c r="FK138" t="str">
        <f t="shared" ca="1" si="36"/>
        <v/>
      </c>
      <c r="FL138" t="str">
        <f t="shared" ca="1" si="43"/>
        <v>無</v>
      </c>
    </row>
    <row r="139" spans="93:168">
      <c r="CO139" s="5">
        <v>172</v>
      </c>
      <c r="CP139" s="57">
        <v>106000</v>
      </c>
      <c r="CQ139">
        <v>59</v>
      </c>
      <c r="EM139" s="133" t="s">
        <v>302</v>
      </c>
      <c r="ES139">
        <v>132</v>
      </c>
      <c r="ET139" t="s">
        <v>270</v>
      </c>
      <c r="EU139" t="s">
        <v>271</v>
      </c>
      <c r="EV139">
        <v>133</v>
      </c>
      <c r="EW139" t="str" cm="1">
        <f t="array" aca="1" ref="EW139" ca="1">INDIRECT("'5借入一覧'!"&amp;ET139&amp;EV139)&amp;INDIRECT("'5借入一覧'!"&amp;EU139&amp;EV139)</f>
        <v/>
      </c>
      <c r="EX139">
        <v>1</v>
      </c>
      <c r="EY139">
        <v>132</v>
      </c>
      <c r="EZ139" t="e">
        <f t="shared" ca="1" si="44"/>
        <v>#N/A</v>
      </c>
      <c r="FA139" t="e">
        <f t="shared" ca="1" si="44"/>
        <v>#N/A</v>
      </c>
      <c r="FB139" t="e">
        <f t="shared" ca="1" si="44"/>
        <v>#N/A</v>
      </c>
      <c r="FC139" t="e">
        <f t="shared" ca="1" si="44"/>
        <v>#N/A</v>
      </c>
      <c r="FD139" t="e">
        <f t="shared" ca="1" si="44"/>
        <v>#N/A</v>
      </c>
      <c r="FE139" t="str">
        <f t="shared" ca="1" si="37"/>
        <v/>
      </c>
      <c r="FF139" t="str">
        <f t="shared" ca="1" si="38"/>
        <v/>
      </c>
      <c r="FG139" t="str">
        <f t="shared" ca="1" si="39"/>
        <v/>
      </c>
      <c r="FH139" t="str">
        <f t="shared" ca="1" si="40"/>
        <v/>
      </c>
      <c r="FI139" t="str">
        <f t="shared" ca="1" si="41"/>
        <v/>
      </c>
      <c r="FJ139" t="str">
        <f t="shared" ca="1" si="42"/>
        <v/>
      </c>
      <c r="FK139" t="str">
        <f t="shared" ca="1" si="36"/>
        <v/>
      </c>
      <c r="FL139" t="str">
        <f t="shared" ca="1" si="43"/>
        <v>無</v>
      </c>
    </row>
    <row r="140" spans="93:168">
      <c r="CO140" s="5">
        <v>310</v>
      </c>
      <c r="CP140" s="57">
        <v>105000</v>
      </c>
      <c r="CQ140">
        <v>60</v>
      </c>
      <c r="EM140" s="133" t="s">
        <v>4</v>
      </c>
      <c r="ES140">
        <v>133</v>
      </c>
      <c r="ET140" t="s">
        <v>270</v>
      </c>
      <c r="EU140" t="s">
        <v>271</v>
      </c>
      <c r="EV140">
        <v>134</v>
      </c>
      <c r="EW140" t="str" cm="1">
        <f t="array" aca="1" ref="EW140" ca="1">INDIRECT("'5借入一覧'!"&amp;ET140&amp;EV140)&amp;INDIRECT("'5借入一覧'!"&amp;EU140&amp;EV140)</f>
        <v/>
      </c>
      <c r="EX140">
        <v>1</v>
      </c>
      <c r="EY140">
        <v>133</v>
      </c>
      <c r="EZ140" t="e">
        <f t="shared" ca="1" si="44"/>
        <v>#N/A</v>
      </c>
      <c r="FA140" t="e">
        <f t="shared" ca="1" si="44"/>
        <v>#N/A</v>
      </c>
      <c r="FB140" t="e">
        <f t="shared" ca="1" si="44"/>
        <v>#N/A</v>
      </c>
      <c r="FC140" t="e">
        <f t="shared" ca="1" si="44"/>
        <v>#N/A</v>
      </c>
      <c r="FD140" t="e">
        <f t="shared" ca="1" si="44"/>
        <v>#N/A</v>
      </c>
      <c r="FE140" t="str">
        <f t="shared" ca="1" si="37"/>
        <v/>
      </c>
      <c r="FF140" t="str">
        <f t="shared" ca="1" si="38"/>
        <v/>
      </c>
      <c r="FG140" t="str">
        <f t="shared" ca="1" si="39"/>
        <v/>
      </c>
      <c r="FH140" t="str">
        <f t="shared" ca="1" si="40"/>
        <v/>
      </c>
      <c r="FI140" t="str">
        <f t="shared" ca="1" si="41"/>
        <v/>
      </c>
      <c r="FJ140" t="str">
        <f t="shared" ca="1" si="42"/>
        <v/>
      </c>
      <c r="FK140" t="str">
        <f t="shared" ca="1" si="36"/>
        <v/>
      </c>
      <c r="FL140" t="str">
        <f t="shared" ca="1" si="43"/>
        <v>無</v>
      </c>
    </row>
    <row r="141" spans="93:168">
      <c r="CO141" s="5">
        <v>307</v>
      </c>
      <c r="CP141" s="57">
        <v>105000</v>
      </c>
      <c r="CQ141">
        <v>60</v>
      </c>
      <c r="EM141" s="133" t="s">
        <v>272</v>
      </c>
      <c r="ES141">
        <v>134</v>
      </c>
      <c r="ET141" t="s">
        <v>270</v>
      </c>
      <c r="EU141" t="s">
        <v>271</v>
      </c>
      <c r="EV141">
        <v>135</v>
      </c>
      <c r="EW141" t="str" cm="1">
        <f t="array" aca="1" ref="EW141" ca="1">INDIRECT("'5借入一覧'!"&amp;ET141&amp;EV141)&amp;INDIRECT("'5借入一覧'!"&amp;EU141&amp;EV141)</f>
        <v/>
      </c>
      <c r="EX141">
        <v>1</v>
      </c>
      <c r="EY141">
        <v>134</v>
      </c>
      <c r="EZ141" t="e">
        <f t="shared" ca="1" si="44"/>
        <v>#N/A</v>
      </c>
      <c r="FA141" t="e">
        <f t="shared" ca="1" si="44"/>
        <v>#N/A</v>
      </c>
      <c r="FB141" t="e">
        <f t="shared" ca="1" si="44"/>
        <v>#N/A</v>
      </c>
      <c r="FC141" t="e">
        <f t="shared" ca="1" si="44"/>
        <v>#N/A</v>
      </c>
      <c r="FD141" t="e">
        <f t="shared" ca="1" si="44"/>
        <v>#N/A</v>
      </c>
      <c r="FE141" t="str">
        <f t="shared" ca="1" si="37"/>
        <v/>
      </c>
      <c r="FF141" t="str">
        <f t="shared" ca="1" si="38"/>
        <v/>
      </c>
      <c r="FG141" t="str">
        <f t="shared" ca="1" si="39"/>
        <v/>
      </c>
      <c r="FH141" t="str">
        <f t="shared" ca="1" si="40"/>
        <v/>
      </c>
      <c r="FI141" t="str">
        <f t="shared" ca="1" si="41"/>
        <v/>
      </c>
      <c r="FJ141" t="str">
        <f t="shared" ca="1" si="42"/>
        <v/>
      </c>
      <c r="FK141" t="str">
        <f t="shared" ca="1" si="36"/>
        <v/>
      </c>
      <c r="FL141" t="str">
        <f t="shared" ca="1" si="43"/>
        <v>無</v>
      </c>
    </row>
    <row r="142" spans="93:168">
      <c r="CO142" s="5">
        <v>104</v>
      </c>
      <c r="CP142" s="57">
        <v>105000</v>
      </c>
      <c r="CQ142">
        <v>60</v>
      </c>
      <c r="EM142" s="133" t="s">
        <v>313</v>
      </c>
      <c r="ES142">
        <v>135</v>
      </c>
      <c r="ET142" t="s">
        <v>270</v>
      </c>
      <c r="EU142" t="s">
        <v>271</v>
      </c>
      <c r="EV142">
        <v>136</v>
      </c>
      <c r="EW142" t="str" cm="1">
        <f t="array" aca="1" ref="EW142" ca="1">INDIRECT("'5借入一覧'!"&amp;ET142&amp;EV142)&amp;INDIRECT("'5借入一覧'!"&amp;EU142&amp;EV142)</f>
        <v/>
      </c>
      <c r="EX142">
        <v>1</v>
      </c>
      <c r="EY142">
        <v>135</v>
      </c>
      <c r="EZ142" t="e">
        <f t="shared" ca="1" si="44"/>
        <v>#N/A</v>
      </c>
      <c r="FA142" t="e">
        <f t="shared" ca="1" si="44"/>
        <v>#N/A</v>
      </c>
      <c r="FB142" t="e">
        <f t="shared" ca="1" si="44"/>
        <v>#N/A</v>
      </c>
      <c r="FC142" t="e">
        <f t="shared" ca="1" si="44"/>
        <v>#N/A</v>
      </c>
      <c r="FD142" t="e">
        <f t="shared" ca="1" si="44"/>
        <v>#N/A</v>
      </c>
      <c r="FE142" t="str">
        <f t="shared" ca="1" si="37"/>
        <v/>
      </c>
      <c r="FF142" t="str">
        <f t="shared" ca="1" si="38"/>
        <v/>
      </c>
      <c r="FG142" t="str">
        <f t="shared" ca="1" si="39"/>
        <v/>
      </c>
      <c r="FH142" t="str">
        <f t="shared" ca="1" si="40"/>
        <v/>
      </c>
      <c r="FI142" t="str">
        <f t="shared" ca="1" si="41"/>
        <v/>
      </c>
      <c r="FJ142" t="str">
        <f t="shared" ca="1" si="42"/>
        <v/>
      </c>
      <c r="FK142" t="str">
        <f t="shared" ca="1" si="36"/>
        <v/>
      </c>
      <c r="FL142" t="str">
        <f t="shared" ca="1" si="43"/>
        <v>無</v>
      </c>
    </row>
    <row r="143" spans="93:168">
      <c r="CO143" s="5">
        <v>92</v>
      </c>
      <c r="CP143" s="57">
        <v>105000</v>
      </c>
      <c r="CQ143">
        <v>60</v>
      </c>
      <c r="EM143" s="133" t="s">
        <v>316</v>
      </c>
      <c r="ES143">
        <v>136</v>
      </c>
      <c r="ET143" t="s">
        <v>270</v>
      </c>
      <c r="EU143" t="s">
        <v>271</v>
      </c>
      <c r="EV143">
        <v>137</v>
      </c>
      <c r="EW143" t="str" cm="1">
        <f t="array" aca="1" ref="EW143" ca="1">INDIRECT("'5借入一覧'!"&amp;ET143&amp;EV143)&amp;INDIRECT("'5借入一覧'!"&amp;EU143&amp;EV143)</f>
        <v/>
      </c>
      <c r="EX143">
        <v>1</v>
      </c>
      <c r="EY143">
        <v>136</v>
      </c>
      <c r="EZ143" t="e">
        <f t="shared" ca="1" si="44"/>
        <v>#N/A</v>
      </c>
      <c r="FA143" t="e">
        <f t="shared" ca="1" si="44"/>
        <v>#N/A</v>
      </c>
      <c r="FB143" t="e">
        <f t="shared" ca="1" si="44"/>
        <v>#N/A</v>
      </c>
      <c r="FC143" t="e">
        <f t="shared" ca="1" si="44"/>
        <v>#N/A</v>
      </c>
      <c r="FD143" t="e">
        <f t="shared" ca="1" si="44"/>
        <v>#N/A</v>
      </c>
      <c r="FE143" t="str">
        <f t="shared" ca="1" si="37"/>
        <v/>
      </c>
      <c r="FF143" t="str">
        <f t="shared" ca="1" si="38"/>
        <v/>
      </c>
      <c r="FG143" t="str">
        <f t="shared" ca="1" si="39"/>
        <v/>
      </c>
      <c r="FH143" t="str">
        <f t="shared" ca="1" si="40"/>
        <v/>
      </c>
      <c r="FI143" t="str">
        <f t="shared" ca="1" si="41"/>
        <v/>
      </c>
      <c r="FJ143" t="str">
        <f t="shared" ca="1" si="42"/>
        <v/>
      </c>
      <c r="FK143" t="str">
        <f t="shared" ca="1" si="36"/>
        <v/>
      </c>
      <c r="FL143" t="str">
        <f t="shared" ca="1" si="43"/>
        <v>無</v>
      </c>
    </row>
    <row r="144" spans="93:168">
      <c r="CO144" s="5">
        <v>54</v>
      </c>
      <c r="CP144" s="57">
        <v>104000</v>
      </c>
      <c r="CQ144">
        <v>61</v>
      </c>
      <c r="EM144" s="133" t="s">
        <v>320</v>
      </c>
      <c r="ES144">
        <v>137</v>
      </c>
      <c r="ET144" t="s">
        <v>270</v>
      </c>
      <c r="EU144" t="s">
        <v>271</v>
      </c>
      <c r="EV144">
        <v>138</v>
      </c>
      <c r="EW144" t="str" cm="1">
        <f t="array" aca="1" ref="EW144" ca="1">INDIRECT("'5借入一覧'!"&amp;ET144&amp;EV144)&amp;INDIRECT("'5借入一覧'!"&amp;EU144&amp;EV144)</f>
        <v/>
      </c>
      <c r="EX144">
        <v>1</v>
      </c>
      <c r="EY144">
        <v>137</v>
      </c>
      <c r="EZ144" t="e">
        <f t="shared" ca="1" si="44"/>
        <v>#N/A</v>
      </c>
      <c r="FA144" t="e">
        <f t="shared" ca="1" si="44"/>
        <v>#N/A</v>
      </c>
      <c r="FB144" t="e">
        <f t="shared" ca="1" si="44"/>
        <v>#N/A</v>
      </c>
      <c r="FC144" t="e">
        <f t="shared" ca="1" si="44"/>
        <v>#N/A</v>
      </c>
      <c r="FD144" t="e">
        <f t="shared" ca="1" si="44"/>
        <v>#N/A</v>
      </c>
      <c r="FE144" t="str">
        <f t="shared" ca="1" si="37"/>
        <v/>
      </c>
      <c r="FF144" t="str">
        <f t="shared" ca="1" si="38"/>
        <v/>
      </c>
      <c r="FG144" t="str">
        <f t="shared" ca="1" si="39"/>
        <v/>
      </c>
      <c r="FH144" t="str">
        <f t="shared" ca="1" si="40"/>
        <v/>
      </c>
      <c r="FI144" t="str">
        <f t="shared" ca="1" si="41"/>
        <v/>
      </c>
      <c r="FJ144" t="str">
        <f t="shared" ca="1" si="42"/>
        <v/>
      </c>
      <c r="FK144" t="str">
        <f t="shared" ca="1" si="36"/>
        <v/>
      </c>
      <c r="FL144" t="str">
        <f t="shared" ca="1" si="43"/>
        <v>無</v>
      </c>
    </row>
    <row r="145" spans="93:168">
      <c r="CO145" s="5">
        <v>90</v>
      </c>
      <c r="CP145" s="57">
        <v>103204</v>
      </c>
      <c r="CQ145">
        <v>62</v>
      </c>
      <c r="EM145" s="133" t="s">
        <v>324</v>
      </c>
      <c r="ES145">
        <v>138</v>
      </c>
      <c r="ET145" t="s">
        <v>270</v>
      </c>
      <c r="EU145" t="s">
        <v>271</v>
      </c>
      <c r="EV145">
        <v>139</v>
      </c>
      <c r="EW145" t="str" cm="1">
        <f t="array" aca="1" ref="EW145" ca="1">INDIRECT("'5借入一覧'!"&amp;ET145&amp;EV145)&amp;INDIRECT("'5借入一覧'!"&amp;EU145&amp;EV145)</f>
        <v/>
      </c>
      <c r="EX145">
        <v>1</v>
      </c>
      <c r="EY145">
        <v>138</v>
      </c>
      <c r="EZ145" t="e">
        <f t="shared" ca="1" si="44"/>
        <v>#N/A</v>
      </c>
      <c r="FA145" t="e">
        <f t="shared" ca="1" si="44"/>
        <v>#N/A</v>
      </c>
      <c r="FB145" t="e">
        <f t="shared" ca="1" si="44"/>
        <v>#N/A</v>
      </c>
      <c r="FC145" t="e">
        <f t="shared" ca="1" si="44"/>
        <v>#N/A</v>
      </c>
      <c r="FD145" t="e">
        <f t="shared" ca="1" si="44"/>
        <v>#N/A</v>
      </c>
      <c r="FE145" t="str">
        <f t="shared" ca="1" si="37"/>
        <v/>
      </c>
      <c r="FF145" t="str">
        <f t="shared" ca="1" si="38"/>
        <v/>
      </c>
      <c r="FG145" t="str">
        <f t="shared" ca="1" si="39"/>
        <v/>
      </c>
      <c r="FH145" t="str">
        <f t="shared" ca="1" si="40"/>
        <v/>
      </c>
      <c r="FI145" t="str">
        <f t="shared" ca="1" si="41"/>
        <v/>
      </c>
      <c r="FJ145" t="str">
        <f t="shared" ca="1" si="42"/>
        <v/>
      </c>
      <c r="FK145" t="str">
        <f t="shared" ca="1" si="36"/>
        <v/>
      </c>
      <c r="FL145" t="str">
        <f t="shared" ca="1" si="43"/>
        <v>無</v>
      </c>
    </row>
    <row r="146" spans="93:168">
      <c r="CO146" s="5">
        <v>105</v>
      </c>
      <c r="CP146" s="57">
        <v>103204</v>
      </c>
      <c r="CQ146">
        <v>62</v>
      </c>
      <c r="EM146" s="133" t="s">
        <v>327</v>
      </c>
      <c r="ES146">
        <v>139</v>
      </c>
      <c r="ET146" t="s">
        <v>270</v>
      </c>
      <c r="EU146" t="s">
        <v>271</v>
      </c>
      <c r="EV146">
        <v>140</v>
      </c>
      <c r="EW146" t="str" cm="1">
        <f t="array" aca="1" ref="EW146" ca="1">INDIRECT("'5借入一覧'!"&amp;ET146&amp;EV146)&amp;INDIRECT("'5借入一覧'!"&amp;EU146&amp;EV146)</f>
        <v/>
      </c>
      <c r="EX146">
        <v>1</v>
      </c>
      <c r="EY146">
        <v>139</v>
      </c>
      <c r="EZ146" t="e">
        <f t="shared" ca="1" si="44"/>
        <v>#N/A</v>
      </c>
      <c r="FA146" t="e">
        <f t="shared" ca="1" si="44"/>
        <v>#N/A</v>
      </c>
      <c r="FB146" t="e">
        <f t="shared" ca="1" si="44"/>
        <v>#N/A</v>
      </c>
      <c r="FC146" t="e">
        <f t="shared" ca="1" si="44"/>
        <v>#N/A</v>
      </c>
      <c r="FD146" t="e">
        <f t="shared" ca="1" si="44"/>
        <v>#N/A</v>
      </c>
      <c r="FE146" t="str">
        <f t="shared" ca="1" si="37"/>
        <v/>
      </c>
      <c r="FF146" t="str">
        <f t="shared" ca="1" si="38"/>
        <v/>
      </c>
      <c r="FG146" t="str">
        <f t="shared" ca="1" si="39"/>
        <v/>
      </c>
      <c r="FH146" t="str">
        <f t="shared" ca="1" si="40"/>
        <v/>
      </c>
      <c r="FI146" t="str">
        <f t="shared" ca="1" si="41"/>
        <v/>
      </c>
      <c r="FJ146" t="str">
        <f t="shared" ca="1" si="42"/>
        <v/>
      </c>
      <c r="FK146" t="str">
        <f t="shared" ca="1" si="36"/>
        <v/>
      </c>
      <c r="FL146" t="str">
        <f t="shared" ca="1" si="43"/>
        <v>無</v>
      </c>
    </row>
    <row r="147" spans="93:168">
      <c r="CO147" s="5">
        <v>98</v>
      </c>
      <c r="CP147" s="57">
        <v>101223</v>
      </c>
      <c r="CQ147">
        <v>63</v>
      </c>
      <c r="EM147" s="133" t="s">
        <v>291</v>
      </c>
      <c r="ES147">
        <v>140</v>
      </c>
      <c r="ET147" t="s">
        <v>270</v>
      </c>
      <c r="EU147" t="s">
        <v>271</v>
      </c>
      <c r="EV147">
        <v>141</v>
      </c>
      <c r="EW147" t="str" cm="1">
        <f t="array" aca="1" ref="EW147" ca="1">INDIRECT("'5借入一覧'!"&amp;ET147&amp;EV147)&amp;INDIRECT("'5借入一覧'!"&amp;EU147&amp;EV147)</f>
        <v/>
      </c>
      <c r="EX147">
        <v>1</v>
      </c>
      <c r="EY147">
        <v>140</v>
      </c>
      <c r="EZ147" t="e">
        <f t="shared" ca="1" si="44"/>
        <v>#N/A</v>
      </c>
      <c r="FA147" t="e">
        <f t="shared" ca="1" si="44"/>
        <v>#N/A</v>
      </c>
      <c r="FB147" t="e">
        <f t="shared" ca="1" si="44"/>
        <v>#N/A</v>
      </c>
      <c r="FC147" t="e">
        <f t="shared" ca="1" si="44"/>
        <v>#N/A</v>
      </c>
      <c r="FD147" t="e">
        <f t="shared" ca="1" si="44"/>
        <v>#N/A</v>
      </c>
      <c r="FE147" t="str">
        <f t="shared" ca="1" si="37"/>
        <v/>
      </c>
      <c r="FF147" t="str">
        <f t="shared" ca="1" si="38"/>
        <v/>
      </c>
      <c r="FG147" t="str">
        <f t="shared" ca="1" si="39"/>
        <v/>
      </c>
      <c r="FH147" t="str">
        <f t="shared" ca="1" si="40"/>
        <v/>
      </c>
      <c r="FI147" t="str">
        <f t="shared" ca="1" si="41"/>
        <v/>
      </c>
      <c r="FJ147" t="str">
        <f t="shared" ca="1" si="42"/>
        <v/>
      </c>
      <c r="FK147" t="str">
        <f t="shared" ca="1" si="36"/>
        <v/>
      </c>
      <c r="FL147" t="str">
        <f t="shared" ca="1" si="43"/>
        <v>無</v>
      </c>
    </row>
    <row r="148" spans="93:168">
      <c r="CO148" s="5">
        <v>94</v>
      </c>
      <c r="CP148" s="57">
        <v>101018</v>
      </c>
      <c r="CQ148">
        <v>64</v>
      </c>
      <c r="EM148" s="133" t="s">
        <v>333</v>
      </c>
      <c r="ES148">
        <v>141</v>
      </c>
      <c r="ET148" t="s">
        <v>270</v>
      </c>
      <c r="EU148" t="s">
        <v>271</v>
      </c>
      <c r="EV148">
        <v>142</v>
      </c>
      <c r="EW148" t="str" cm="1">
        <f t="array" aca="1" ref="EW148" ca="1">INDIRECT("'5借入一覧'!"&amp;ET148&amp;EV148)&amp;INDIRECT("'5借入一覧'!"&amp;EU148&amp;EV148)</f>
        <v/>
      </c>
      <c r="EX148">
        <v>1</v>
      </c>
      <c r="EY148">
        <v>141</v>
      </c>
      <c r="EZ148" t="e">
        <f t="shared" ref="EZ148:FD157" ca="1" si="45">VLOOKUP($EY148&amp;EZ$5,$EW$7:$EX$1101,2,FALSE)</f>
        <v>#N/A</v>
      </c>
      <c r="FA148" t="e">
        <f t="shared" ca="1" si="45"/>
        <v>#N/A</v>
      </c>
      <c r="FB148" t="e">
        <f t="shared" ca="1" si="45"/>
        <v>#N/A</v>
      </c>
      <c r="FC148" t="e">
        <f t="shared" ca="1" si="45"/>
        <v>#N/A</v>
      </c>
      <c r="FD148" t="e">
        <f t="shared" ca="1" si="45"/>
        <v>#N/A</v>
      </c>
      <c r="FE148" t="str">
        <f t="shared" ca="1" si="37"/>
        <v/>
      </c>
      <c r="FF148" t="str">
        <f t="shared" ca="1" si="38"/>
        <v/>
      </c>
      <c r="FG148" t="str">
        <f t="shared" ca="1" si="39"/>
        <v/>
      </c>
      <c r="FH148" t="str">
        <f t="shared" ca="1" si="40"/>
        <v/>
      </c>
      <c r="FI148" t="str">
        <f t="shared" ca="1" si="41"/>
        <v/>
      </c>
      <c r="FJ148" t="str">
        <f t="shared" ca="1" si="42"/>
        <v/>
      </c>
      <c r="FK148" t="str">
        <f t="shared" ca="1" si="36"/>
        <v/>
      </c>
      <c r="FL148" t="str">
        <f t="shared" ca="1" si="43"/>
        <v>無</v>
      </c>
    </row>
    <row r="149" spans="93:168">
      <c r="CO149" s="5">
        <v>109</v>
      </c>
      <c r="CP149" s="57">
        <v>100204</v>
      </c>
      <c r="CQ149">
        <v>65</v>
      </c>
      <c r="EM149" s="133" t="s">
        <v>198</v>
      </c>
      <c r="ES149">
        <v>142</v>
      </c>
      <c r="ET149" t="s">
        <v>270</v>
      </c>
      <c r="EU149" t="s">
        <v>271</v>
      </c>
      <c r="EV149">
        <v>143</v>
      </c>
      <c r="EW149" t="str" cm="1">
        <f t="array" aca="1" ref="EW149" ca="1">INDIRECT("'5借入一覧'!"&amp;ET149&amp;EV149)&amp;INDIRECT("'5借入一覧'!"&amp;EU149&amp;EV149)</f>
        <v/>
      </c>
      <c r="EX149">
        <v>1</v>
      </c>
      <c r="EY149">
        <v>142</v>
      </c>
      <c r="EZ149" t="e">
        <f t="shared" ca="1" si="45"/>
        <v>#N/A</v>
      </c>
      <c r="FA149" t="e">
        <f t="shared" ca="1" si="45"/>
        <v>#N/A</v>
      </c>
      <c r="FB149" t="e">
        <f t="shared" ca="1" si="45"/>
        <v>#N/A</v>
      </c>
      <c r="FC149" t="e">
        <f t="shared" ca="1" si="45"/>
        <v>#N/A</v>
      </c>
      <c r="FD149" t="e">
        <f t="shared" ca="1" si="45"/>
        <v>#N/A</v>
      </c>
      <c r="FE149" t="str">
        <f t="shared" ca="1" si="37"/>
        <v/>
      </c>
      <c r="FF149" t="str">
        <f t="shared" ca="1" si="38"/>
        <v/>
      </c>
      <c r="FG149" t="str">
        <f t="shared" ca="1" si="39"/>
        <v/>
      </c>
      <c r="FH149" t="str">
        <f t="shared" ca="1" si="40"/>
        <v/>
      </c>
      <c r="FI149" t="str">
        <f t="shared" ca="1" si="41"/>
        <v/>
      </c>
      <c r="FJ149" t="str">
        <f t="shared" ca="1" si="42"/>
        <v/>
      </c>
      <c r="FK149" t="str">
        <f t="shared" ca="1" si="36"/>
        <v/>
      </c>
      <c r="FL149" t="str">
        <f t="shared" ca="1" si="43"/>
        <v>無</v>
      </c>
    </row>
    <row r="150" spans="93:168">
      <c r="CO150" s="5">
        <v>96</v>
      </c>
      <c r="CP150" s="57">
        <v>100000</v>
      </c>
      <c r="CQ150">
        <v>66</v>
      </c>
      <c r="EM150" s="133" t="s">
        <v>296</v>
      </c>
      <c r="ES150">
        <v>143</v>
      </c>
      <c r="ET150" t="s">
        <v>270</v>
      </c>
      <c r="EU150" t="s">
        <v>271</v>
      </c>
      <c r="EV150">
        <v>144</v>
      </c>
      <c r="EW150" t="str" cm="1">
        <f t="array" aca="1" ref="EW150" ca="1">INDIRECT("'5借入一覧'!"&amp;ET150&amp;EV150)&amp;INDIRECT("'5借入一覧'!"&amp;EU150&amp;EV150)</f>
        <v/>
      </c>
      <c r="EX150">
        <v>1</v>
      </c>
      <c r="EY150">
        <v>143</v>
      </c>
      <c r="EZ150" t="e">
        <f t="shared" ca="1" si="45"/>
        <v>#N/A</v>
      </c>
      <c r="FA150" t="e">
        <f t="shared" ca="1" si="45"/>
        <v>#N/A</v>
      </c>
      <c r="FB150" t="e">
        <f t="shared" ca="1" si="45"/>
        <v>#N/A</v>
      </c>
      <c r="FC150" t="e">
        <f t="shared" ca="1" si="45"/>
        <v>#N/A</v>
      </c>
      <c r="FD150" t="e">
        <f t="shared" ca="1" si="45"/>
        <v>#N/A</v>
      </c>
      <c r="FE150" t="str">
        <f t="shared" ca="1" si="37"/>
        <v/>
      </c>
      <c r="FF150" t="str">
        <f t="shared" ca="1" si="38"/>
        <v/>
      </c>
      <c r="FG150" t="str">
        <f t="shared" ca="1" si="39"/>
        <v/>
      </c>
      <c r="FH150" t="str">
        <f t="shared" ca="1" si="40"/>
        <v/>
      </c>
      <c r="FI150" t="str">
        <f t="shared" ca="1" si="41"/>
        <v/>
      </c>
      <c r="FJ150" t="str">
        <f t="shared" ca="1" si="42"/>
        <v/>
      </c>
      <c r="FK150" t="str">
        <f t="shared" ca="1" si="36"/>
        <v/>
      </c>
      <c r="FL150" t="str">
        <f t="shared" ca="1" si="43"/>
        <v>無</v>
      </c>
    </row>
    <row r="151" spans="93:168">
      <c r="CO151" s="5">
        <v>93</v>
      </c>
      <c r="CP151" s="57">
        <v>99204</v>
      </c>
      <c r="CQ151">
        <v>67</v>
      </c>
      <c r="EM151" s="133" t="s">
        <v>286</v>
      </c>
      <c r="ES151">
        <v>144</v>
      </c>
      <c r="ET151" t="s">
        <v>270</v>
      </c>
      <c r="EU151" t="s">
        <v>271</v>
      </c>
      <c r="EV151">
        <v>145</v>
      </c>
      <c r="EW151" t="str" cm="1">
        <f t="array" aca="1" ref="EW151" ca="1">INDIRECT("'5借入一覧'!"&amp;ET151&amp;EV151)&amp;INDIRECT("'5借入一覧'!"&amp;EU151&amp;EV151)</f>
        <v/>
      </c>
      <c r="EX151">
        <v>1</v>
      </c>
      <c r="EY151">
        <v>144</v>
      </c>
      <c r="EZ151" t="e">
        <f t="shared" ca="1" si="45"/>
        <v>#N/A</v>
      </c>
      <c r="FA151" t="e">
        <f t="shared" ca="1" si="45"/>
        <v>#N/A</v>
      </c>
      <c r="FB151" t="e">
        <f t="shared" ca="1" si="45"/>
        <v>#N/A</v>
      </c>
      <c r="FC151" t="e">
        <f t="shared" ca="1" si="45"/>
        <v>#N/A</v>
      </c>
      <c r="FD151" t="e">
        <f t="shared" ca="1" si="45"/>
        <v>#N/A</v>
      </c>
      <c r="FE151" t="str">
        <f t="shared" ca="1" si="37"/>
        <v/>
      </c>
      <c r="FF151" t="str">
        <f t="shared" ca="1" si="38"/>
        <v/>
      </c>
      <c r="FG151" t="str">
        <f t="shared" ca="1" si="39"/>
        <v/>
      </c>
      <c r="FH151" t="str">
        <f t="shared" ca="1" si="40"/>
        <v/>
      </c>
      <c r="FI151" t="str">
        <f t="shared" ca="1" si="41"/>
        <v/>
      </c>
      <c r="FJ151" t="str">
        <f t="shared" ca="1" si="42"/>
        <v/>
      </c>
      <c r="FK151" t="str">
        <f t="shared" ca="1" si="36"/>
        <v/>
      </c>
      <c r="FL151" t="str">
        <f t="shared" ca="1" si="43"/>
        <v>無</v>
      </c>
    </row>
    <row r="152" spans="93:168">
      <c r="CO152" s="5">
        <v>55</v>
      </c>
      <c r="CP152" s="57">
        <v>99000</v>
      </c>
      <c r="CQ152">
        <v>68</v>
      </c>
      <c r="EM152" s="133" t="s">
        <v>340</v>
      </c>
      <c r="ES152">
        <v>145</v>
      </c>
      <c r="ET152" t="s">
        <v>270</v>
      </c>
      <c r="EU152" t="s">
        <v>271</v>
      </c>
      <c r="EV152">
        <v>146</v>
      </c>
      <c r="EW152" t="str" cm="1">
        <f t="array" aca="1" ref="EW152" ca="1">INDIRECT("'5借入一覧'!"&amp;ET152&amp;EV152)&amp;INDIRECT("'5借入一覧'!"&amp;EU152&amp;EV152)</f>
        <v/>
      </c>
      <c r="EX152">
        <v>1</v>
      </c>
      <c r="EY152">
        <v>145</v>
      </c>
      <c r="EZ152" t="e">
        <f t="shared" ca="1" si="45"/>
        <v>#N/A</v>
      </c>
      <c r="FA152" t="e">
        <f t="shared" ca="1" si="45"/>
        <v>#N/A</v>
      </c>
      <c r="FB152" t="e">
        <f t="shared" ca="1" si="45"/>
        <v>#N/A</v>
      </c>
      <c r="FC152" t="e">
        <f t="shared" ca="1" si="45"/>
        <v>#N/A</v>
      </c>
      <c r="FD152" t="e">
        <f t="shared" ca="1" si="45"/>
        <v>#N/A</v>
      </c>
      <c r="FE152" t="str">
        <f t="shared" ca="1" si="37"/>
        <v/>
      </c>
      <c r="FF152" t="str">
        <f t="shared" ca="1" si="38"/>
        <v/>
      </c>
      <c r="FG152" t="str">
        <f t="shared" ca="1" si="39"/>
        <v/>
      </c>
      <c r="FH152" t="str">
        <f t="shared" ca="1" si="40"/>
        <v/>
      </c>
      <c r="FI152" t="str">
        <f t="shared" ca="1" si="41"/>
        <v/>
      </c>
      <c r="FJ152" t="str">
        <f t="shared" ca="1" si="42"/>
        <v/>
      </c>
      <c r="FK152" t="str">
        <f t="shared" ca="1" si="36"/>
        <v/>
      </c>
      <c r="FL152" t="str">
        <f t="shared" ca="1" si="43"/>
        <v>無</v>
      </c>
    </row>
    <row r="153" spans="93:168">
      <c r="CO153" s="5">
        <v>24</v>
      </c>
      <c r="CP153" s="57">
        <v>99000</v>
      </c>
      <c r="CQ153">
        <v>68</v>
      </c>
      <c r="EM153" s="5" t="s">
        <v>354</v>
      </c>
      <c r="EN153">
        <v>12617098</v>
      </c>
      <c r="EO153">
        <v>4790048</v>
      </c>
      <c r="EP153">
        <v>17407146</v>
      </c>
      <c r="EQ153">
        <v>4325545401</v>
      </c>
      <c r="ES153">
        <v>146</v>
      </c>
      <c r="ET153" t="s">
        <v>270</v>
      </c>
      <c r="EU153" t="s">
        <v>271</v>
      </c>
      <c r="EV153">
        <v>147</v>
      </c>
      <c r="EW153" t="str" cm="1">
        <f t="array" aca="1" ref="EW153" ca="1">INDIRECT("'5借入一覧'!"&amp;ET153&amp;EV153)&amp;INDIRECT("'5借入一覧'!"&amp;EU153&amp;EV153)</f>
        <v/>
      </c>
      <c r="EX153">
        <v>1</v>
      </c>
      <c r="EY153">
        <v>146</v>
      </c>
      <c r="EZ153" t="e">
        <f t="shared" ca="1" si="45"/>
        <v>#N/A</v>
      </c>
      <c r="FA153" t="e">
        <f t="shared" ca="1" si="45"/>
        <v>#N/A</v>
      </c>
      <c r="FB153" t="e">
        <f t="shared" ca="1" si="45"/>
        <v>#N/A</v>
      </c>
      <c r="FC153" t="e">
        <f t="shared" ca="1" si="45"/>
        <v>#N/A</v>
      </c>
      <c r="FD153" t="e">
        <f t="shared" ca="1" si="45"/>
        <v>#N/A</v>
      </c>
      <c r="FE153" t="str">
        <f t="shared" ca="1" si="37"/>
        <v/>
      </c>
      <c r="FF153" t="str">
        <f t="shared" ca="1" si="38"/>
        <v/>
      </c>
      <c r="FG153" t="str">
        <f t="shared" ca="1" si="39"/>
        <v/>
      </c>
      <c r="FH153" t="str">
        <f t="shared" ca="1" si="40"/>
        <v/>
      </c>
      <c r="FI153" t="str">
        <f t="shared" ca="1" si="41"/>
        <v/>
      </c>
      <c r="FJ153" t="str">
        <f t="shared" ca="1" si="42"/>
        <v/>
      </c>
      <c r="FK153" t="str">
        <f t="shared" ca="1" si="36"/>
        <v/>
      </c>
      <c r="FL153" t="str">
        <f t="shared" ca="1" si="43"/>
        <v>無</v>
      </c>
    </row>
    <row r="154" spans="93:168">
      <c r="CO154" s="5">
        <v>115</v>
      </c>
      <c r="CP154" s="57">
        <v>99000</v>
      </c>
      <c r="CQ154">
        <v>68</v>
      </c>
      <c r="EM154" s="132" t="s">
        <v>355</v>
      </c>
      <c r="ES154">
        <v>147</v>
      </c>
      <c r="ET154" t="s">
        <v>270</v>
      </c>
      <c r="EU154" t="s">
        <v>271</v>
      </c>
      <c r="EV154">
        <v>148</v>
      </c>
      <c r="EW154" t="str" cm="1">
        <f t="array" aca="1" ref="EW154" ca="1">INDIRECT("'5借入一覧'!"&amp;ET154&amp;EV154)&amp;INDIRECT("'5借入一覧'!"&amp;EU154&amp;EV154)</f>
        <v/>
      </c>
      <c r="EX154">
        <v>1</v>
      </c>
      <c r="EY154">
        <v>147</v>
      </c>
      <c r="EZ154" t="e">
        <f t="shared" ca="1" si="45"/>
        <v>#N/A</v>
      </c>
      <c r="FA154" t="e">
        <f t="shared" ca="1" si="45"/>
        <v>#N/A</v>
      </c>
      <c r="FB154" t="e">
        <f t="shared" ca="1" si="45"/>
        <v>#N/A</v>
      </c>
      <c r="FC154" t="e">
        <f t="shared" ca="1" si="45"/>
        <v>#N/A</v>
      </c>
      <c r="FD154" t="e">
        <f t="shared" ca="1" si="45"/>
        <v>#N/A</v>
      </c>
      <c r="FE154" t="str">
        <f t="shared" ca="1" si="37"/>
        <v/>
      </c>
      <c r="FF154" t="str">
        <f t="shared" ca="1" si="38"/>
        <v/>
      </c>
      <c r="FG154" t="str">
        <f t="shared" ca="1" si="39"/>
        <v/>
      </c>
      <c r="FH154" t="str">
        <f t="shared" ca="1" si="40"/>
        <v/>
      </c>
      <c r="FI154" t="str">
        <f t="shared" ca="1" si="41"/>
        <v/>
      </c>
      <c r="FJ154" t="str">
        <f t="shared" ca="1" si="42"/>
        <v/>
      </c>
      <c r="FK154" t="str">
        <f t="shared" ca="1" si="36"/>
        <v/>
      </c>
      <c r="FL154" t="str">
        <f t="shared" ca="1" si="43"/>
        <v>無</v>
      </c>
    </row>
    <row r="155" spans="93:168">
      <c r="CO155" s="5">
        <v>99</v>
      </c>
      <c r="CP155" s="57">
        <v>96408</v>
      </c>
      <c r="CQ155">
        <v>69</v>
      </c>
      <c r="EM155" s="133" t="s">
        <v>5</v>
      </c>
      <c r="ES155">
        <v>148</v>
      </c>
      <c r="ET155" t="s">
        <v>270</v>
      </c>
      <c r="EU155" t="s">
        <v>271</v>
      </c>
      <c r="EV155">
        <v>149</v>
      </c>
      <c r="EW155" t="str" cm="1">
        <f t="array" aca="1" ref="EW155" ca="1">INDIRECT("'5借入一覧'!"&amp;ET155&amp;EV155)&amp;INDIRECT("'5借入一覧'!"&amp;EU155&amp;EV155)</f>
        <v/>
      </c>
      <c r="EX155">
        <v>1</v>
      </c>
      <c r="EY155">
        <v>148</v>
      </c>
      <c r="EZ155" t="e">
        <f t="shared" ca="1" si="45"/>
        <v>#N/A</v>
      </c>
      <c r="FA155" t="e">
        <f t="shared" ca="1" si="45"/>
        <v>#N/A</v>
      </c>
      <c r="FB155" t="e">
        <f t="shared" ca="1" si="45"/>
        <v>#N/A</v>
      </c>
      <c r="FC155" t="e">
        <f t="shared" ca="1" si="45"/>
        <v>#N/A</v>
      </c>
      <c r="FD155" t="e">
        <f t="shared" ca="1" si="45"/>
        <v>#N/A</v>
      </c>
      <c r="FE155" t="str">
        <f t="shared" ca="1" si="37"/>
        <v/>
      </c>
      <c r="FF155" t="str">
        <f t="shared" ca="1" si="38"/>
        <v/>
      </c>
      <c r="FG155" t="str">
        <f t="shared" ca="1" si="39"/>
        <v/>
      </c>
      <c r="FH155" t="str">
        <f t="shared" ca="1" si="40"/>
        <v/>
      </c>
      <c r="FI155" t="str">
        <f t="shared" ca="1" si="41"/>
        <v/>
      </c>
      <c r="FJ155" t="str">
        <f t="shared" ca="1" si="42"/>
        <v/>
      </c>
      <c r="FK155" t="str">
        <f t="shared" ca="1" si="36"/>
        <v/>
      </c>
      <c r="FL155" t="str">
        <f t="shared" ca="1" si="43"/>
        <v>無</v>
      </c>
    </row>
    <row r="156" spans="93:168">
      <c r="CO156" s="5">
        <v>225</v>
      </c>
      <c r="CP156" s="57">
        <v>95000</v>
      </c>
      <c r="CQ156">
        <v>70</v>
      </c>
      <c r="EM156" s="133" t="s">
        <v>216</v>
      </c>
      <c r="ES156">
        <v>149</v>
      </c>
      <c r="ET156" t="s">
        <v>270</v>
      </c>
      <c r="EU156" t="s">
        <v>271</v>
      </c>
      <c r="EV156">
        <v>150</v>
      </c>
      <c r="EW156" t="str" cm="1">
        <f t="array" aca="1" ref="EW156" ca="1">INDIRECT("'5借入一覧'!"&amp;ET156&amp;EV156)&amp;INDIRECT("'5借入一覧'!"&amp;EU156&amp;EV156)</f>
        <v/>
      </c>
      <c r="EX156">
        <v>1</v>
      </c>
      <c r="EY156">
        <v>149</v>
      </c>
      <c r="EZ156" t="e">
        <f t="shared" ca="1" si="45"/>
        <v>#N/A</v>
      </c>
      <c r="FA156" t="e">
        <f t="shared" ca="1" si="45"/>
        <v>#N/A</v>
      </c>
      <c r="FB156" t="e">
        <f t="shared" ca="1" si="45"/>
        <v>#N/A</v>
      </c>
      <c r="FC156" t="e">
        <f t="shared" ca="1" si="45"/>
        <v>#N/A</v>
      </c>
      <c r="FD156" t="e">
        <f t="shared" ca="1" si="45"/>
        <v>#N/A</v>
      </c>
      <c r="FE156" t="str">
        <f t="shared" ca="1" si="37"/>
        <v/>
      </c>
      <c r="FF156" t="str">
        <f t="shared" ca="1" si="38"/>
        <v/>
      </c>
      <c r="FG156" t="str">
        <f t="shared" ca="1" si="39"/>
        <v/>
      </c>
      <c r="FH156" t="str">
        <f t="shared" ca="1" si="40"/>
        <v/>
      </c>
      <c r="FI156" t="str">
        <f t="shared" ca="1" si="41"/>
        <v/>
      </c>
      <c r="FJ156" t="str">
        <f t="shared" ca="1" si="42"/>
        <v/>
      </c>
      <c r="FK156" t="str">
        <f t="shared" ca="1" si="36"/>
        <v/>
      </c>
      <c r="FL156" t="str">
        <f t="shared" ca="1" si="43"/>
        <v>無</v>
      </c>
    </row>
    <row r="157" spans="93:168">
      <c r="CO157" s="5">
        <v>134</v>
      </c>
      <c r="CP157" s="57">
        <v>95000</v>
      </c>
      <c r="CQ157">
        <v>70</v>
      </c>
      <c r="EM157" s="133" t="s">
        <v>237</v>
      </c>
      <c r="ES157">
        <v>150</v>
      </c>
      <c r="ET157" t="s">
        <v>270</v>
      </c>
      <c r="EU157" t="s">
        <v>271</v>
      </c>
      <c r="EV157">
        <v>151</v>
      </c>
      <c r="EW157" t="str" cm="1">
        <f t="array" aca="1" ref="EW157" ca="1">INDIRECT("'5借入一覧'!"&amp;ET157&amp;EV157)&amp;INDIRECT("'5借入一覧'!"&amp;EU157&amp;EV157)</f>
        <v/>
      </c>
      <c r="EX157">
        <v>1</v>
      </c>
      <c r="EY157">
        <v>150</v>
      </c>
      <c r="EZ157" t="e">
        <f t="shared" ca="1" si="45"/>
        <v>#N/A</v>
      </c>
      <c r="FA157" t="e">
        <f t="shared" ca="1" si="45"/>
        <v>#N/A</v>
      </c>
      <c r="FB157" t="e">
        <f t="shared" ca="1" si="45"/>
        <v>#N/A</v>
      </c>
      <c r="FC157" t="e">
        <f t="shared" ca="1" si="45"/>
        <v>#N/A</v>
      </c>
      <c r="FD157" t="e">
        <f t="shared" ca="1" si="45"/>
        <v>#N/A</v>
      </c>
      <c r="FE157" t="str">
        <f t="shared" ca="1" si="37"/>
        <v/>
      </c>
      <c r="FF157" t="str">
        <f t="shared" ca="1" si="38"/>
        <v/>
      </c>
      <c r="FG157" t="str">
        <f t="shared" ca="1" si="39"/>
        <v/>
      </c>
      <c r="FH157" t="str">
        <f t="shared" ca="1" si="40"/>
        <v/>
      </c>
      <c r="FI157" t="str">
        <f t="shared" ca="1" si="41"/>
        <v/>
      </c>
      <c r="FJ157" t="str">
        <f t="shared" ca="1" si="42"/>
        <v/>
      </c>
      <c r="FK157" t="str">
        <f t="shared" ca="1" si="36"/>
        <v/>
      </c>
      <c r="FL157" t="str">
        <f t="shared" ca="1" si="43"/>
        <v>無</v>
      </c>
    </row>
    <row r="158" spans="93:168">
      <c r="CO158" s="5">
        <v>108</v>
      </c>
      <c r="CP158" s="57">
        <v>95000</v>
      </c>
      <c r="CQ158">
        <v>70</v>
      </c>
      <c r="EM158" s="133" t="s">
        <v>268</v>
      </c>
      <c r="ES158">
        <v>151</v>
      </c>
      <c r="ET158" t="s">
        <v>270</v>
      </c>
      <c r="EU158" t="s">
        <v>271</v>
      </c>
      <c r="EV158">
        <v>152</v>
      </c>
      <c r="EW158" t="str" cm="1">
        <f t="array" aca="1" ref="EW158" ca="1">INDIRECT("'5借入一覧'!"&amp;ET158&amp;EV158)&amp;INDIRECT("'5借入一覧'!"&amp;EU158&amp;EV158)</f>
        <v/>
      </c>
      <c r="EX158">
        <v>1</v>
      </c>
      <c r="EY158">
        <v>151</v>
      </c>
      <c r="EZ158" t="e">
        <f t="shared" ref="EZ158:FD167" ca="1" si="46">VLOOKUP($EY158&amp;EZ$5,$EW$7:$EX$1101,2,FALSE)</f>
        <v>#N/A</v>
      </c>
      <c r="FA158" t="e">
        <f t="shared" ca="1" si="46"/>
        <v>#N/A</v>
      </c>
      <c r="FB158" t="e">
        <f t="shared" ca="1" si="46"/>
        <v>#N/A</v>
      </c>
      <c r="FC158" t="e">
        <f t="shared" ca="1" si="46"/>
        <v>#N/A</v>
      </c>
      <c r="FD158" t="e">
        <f t="shared" ca="1" si="46"/>
        <v>#N/A</v>
      </c>
      <c r="FE158" t="str">
        <f t="shared" ca="1" si="37"/>
        <v/>
      </c>
      <c r="FF158" t="str">
        <f t="shared" ca="1" si="38"/>
        <v/>
      </c>
      <c r="FG158" t="str">
        <f t="shared" ca="1" si="39"/>
        <v/>
      </c>
      <c r="FH158" t="str">
        <f t="shared" ca="1" si="40"/>
        <v/>
      </c>
      <c r="FI158" t="str">
        <f t="shared" ca="1" si="41"/>
        <v/>
      </c>
      <c r="FJ158" t="str">
        <f t="shared" ca="1" si="42"/>
        <v/>
      </c>
      <c r="FK158" t="str">
        <f t="shared" ca="1" si="36"/>
        <v/>
      </c>
      <c r="FL158" t="str">
        <f t="shared" ca="1" si="43"/>
        <v>無</v>
      </c>
    </row>
    <row r="159" spans="93:168">
      <c r="CO159" s="5">
        <v>240</v>
      </c>
      <c r="CP159" s="57">
        <v>94600</v>
      </c>
      <c r="CQ159">
        <v>71</v>
      </c>
      <c r="EM159" s="133" t="s">
        <v>276</v>
      </c>
      <c r="ES159">
        <v>152</v>
      </c>
      <c r="ET159" t="s">
        <v>270</v>
      </c>
      <c r="EU159" t="s">
        <v>271</v>
      </c>
      <c r="EV159">
        <v>153</v>
      </c>
      <c r="EW159" t="str" cm="1">
        <f t="array" aca="1" ref="EW159" ca="1">INDIRECT("'5借入一覧'!"&amp;ET159&amp;EV159)&amp;INDIRECT("'5借入一覧'!"&amp;EU159&amp;EV159)</f>
        <v/>
      </c>
      <c r="EX159">
        <v>1</v>
      </c>
      <c r="EY159">
        <v>152</v>
      </c>
      <c r="EZ159" t="e">
        <f t="shared" ca="1" si="46"/>
        <v>#N/A</v>
      </c>
      <c r="FA159" t="e">
        <f t="shared" ca="1" si="46"/>
        <v>#N/A</v>
      </c>
      <c r="FB159" t="e">
        <f t="shared" ca="1" si="46"/>
        <v>#N/A</v>
      </c>
      <c r="FC159" t="e">
        <f t="shared" ca="1" si="46"/>
        <v>#N/A</v>
      </c>
      <c r="FD159" t="e">
        <f t="shared" ca="1" si="46"/>
        <v>#N/A</v>
      </c>
      <c r="FE159" t="str">
        <f t="shared" ca="1" si="37"/>
        <v/>
      </c>
      <c r="FF159" t="str">
        <f t="shared" ca="1" si="38"/>
        <v/>
      </c>
      <c r="FG159" t="str">
        <f t="shared" ca="1" si="39"/>
        <v/>
      </c>
      <c r="FH159" t="str">
        <f t="shared" ca="1" si="40"/>
        <v/>
      </c>
      <c r="FI159" t="str">
        <f t="shared" ca="1" si="41"/>
        <v/>
      </c>
      <c r="FJ159" t="str">
        <f t="shared" ca="1" si="42"/>
        <v/>
      </c>
      <c r="FK159" t="str">
        <f t="shared" ca="1" si="36"/>
        <v/>
      </c>
      <c r="FL159" t="str">
        <f t="shared" ca="1" si="43"/>
        <v>無</v>
      </c>
    </row>
    <row r="160" spans="93:168">
      <c r="CO160" s="5">
        <v>68</v>
      </c>
      <c r="CP160" s="57">
        <v>94286</v>
      </c>
      <c r="CQ160">
        <v>72</v>
      </c>
      <c r="EM160" s="133" t="s">
        <v>281</v>
      </c>
      <c r="ES160">
        <v>153</v>
      </c>
      <c r="ET160" t="s">
        <v>270</v>
      </c>
      <c r="EU160" t="s">
        <v>271</v>
      </c>
      <c r="EV160">
        <v>154</v>
      </c>
      <c r="EW160" t="str" cm="1">
        <f t="array" aca="1" ref="EW160" ca="1">INDIRECT("'5借入一覧'!"&amp;ET160&amp;EV160)&amp;INDIRECT("'5借入一覧'!"&amp;EU160&amp;EV160)</f>
        <v/>
      </c>
      <c r="EX160">
        <v>1</v>
      </c>
      <c r="EY160">
        <v>153</v>
      </c>
      <c r="EZ160" t="e">
        <f t="shared" ca="1" si="46"/>
        <v>#N/A</v>
      </c>
      <c r="FA160" t="e">
        <f t="shared" ca="1" si="46"/>
        <v>#N/A</v>
      </c>
      <c r="FB160" t="e">
        <f t="shared" ca="1" si="46"/>
        <v>#N/A</v>
      </c>
      <c r="FC160" t="e">
        <f t="shared" ca="1" si="46"/>
        <v>#N/A</v>
      </c>
      <c r="FD160" t="e">
        <f t="shared" ca="1" si="46"/>
        <v>#N/A</v>
      </c>
      <c r="FE160" t="str">
        <f t="shared" ca="1" si="37"/>
        <v/>
      </c>
      <c r="FF160" t="str">
        <f t="shared" ca="1" si="38"/>
        <v/>
      </c>
      <c r="FG160" t="str">
        <f t="shared" ca="1" si="39"/>
        <v/>
      </c>
      <c r="FH160" t="str">
        <f t="shared" ca="1" si="40"/>
        <v/>
      </c>
      <c r="FI160" t="str">
        <f t="shared" ca="1" si="41"/>
        <v/>
      </c>
      <c r="FJ160" t="str">
        <f t="shared" ca="1" si="42"/>
        <v/>
      </c>
      <c r="FK160" t="str">
        <f t="shared" ca="1" si="36"/>
        <v/>
      </c>
      <c r="FL160" t="str">
        <f t="shared" ca="1" si="43"/>
        <v>無</v>
      </c>
    </row>
    <row r="161" spans="93:168">
      <c r="CO161" s="5">
        <v>48</v>
      </c>
      <c r="CP161" s="57">
        <v>92000</v>
      </c>
      <c r="CQ161">
        <v>73</v>
      </c>
      <c r="EM161" s="133" t="s">
        <v>285</v>
      </c>
      <c r="ES161">
        <v>154</v>
      </c>
      <c r="ET161" t="s">
        <v>270</v>
      </c>
      <c r="EU161" t="s">
        <v>271</v>
      </c>
      <c r="EV161">
        <v>155</v>
      </c>
      <c r="EW161" t="str" cm="1">
        <f t="array" aca="1" ref="EW161" ca="1">INDIRECT("'5借入一覧'!"&amp;ET161&amp;EV161)&amp;INDIRECT("'5借入一覧'!"&amp;EU161&amp;EV161)</f>
        <v/>
      </c>
      <c r="EX161">
        <v>1</v>
      </c>
      <c r="EY161">
        <v>154</v>
      </c>
      <c r="EZ161" t="e">
        <f t="shared" ca="1" si="46"/>
        <v>#N/A</v>
      </c>
      <c r="FA161" t="e">
        <f t="shared" ca="1" si="46"/>
        <v>#N/A</v>
      </c>
      <c r="FB161" t="e">
        <f t="shared" ca="1" si="46"/>
        <v>#N/A</v>
      </c>
      <c r="FC161" t="e">
        <f t="shared" ca="1" si="46"/>
        <v>#N/A</v>
      </c>
      <c r="FD161" t="e">
        <f t="shared" ca="1" si="46"/>
        <v>#N/A</v>
      </c>
      <c r="FE161" t="str">
        <f t="shared" ca="1" si="37"/>
        <v/>
      </c>
      <c r="FF161" t="str">
        <f t="shared" ca="1" si="38"/>
        <v/>
      </c>
      <c r="FG161" t="str">
        <f t="shared" ca="1" si="39"/>
        <v/>
      </c>
      <c r="FH161" t="str">
        <f t="shared" ca="1" si="40"/>
        <v/>
      </c>
      <c r="FI161" t="str">
        <f t="shared" ca="1" si="41"/>
        <v/>
      </c>
      <c r="FJ161" t="str">
        <f t="shared" ca="1" si="42"/>
        <v/>
      </c>
      <c r="FK161" t="str">
        <f t="shared" ca="1" si="36"/>
        <v/>
      </c>
      <c r="FL161" t="str">
        <f t="shared" ca="1" si="43"/>
        <v>無</v>
      </c>
    </row>
    <row r="162" spans="93:168">
      <c r="CO162" s="5">
        <v>195</v>
      </c>
      <c r="CP162" s="57">
        <v>91740</v>
      </c>
      <c r="CQ162">
        <v>74</v>
      </c>
      <c r="EM162" s="133" t="s">
        <v>290</v>
      </c>
      <c r="ES162">
        <v>155</v>
      </c>
      <c r="ET162" t="s">
        <v>270</v>
      </c>
      <c r="EU162" t="s">
        <v>271</v>
      </c>
      <c r="EV162">
        <v>156</v>
      </c>
      <c r="EW162" t="str" cm="1">
        <f t="array" aca="1" ref="EW162" ca="1">INDIRECT("'5借入一覧'!"&amp;ET162&amp;EV162)&amp;INDIRECT("'5借入一覧'!"&amp;EU162&amp;EV162)</f>
        <v/>
      </c>
      <c r="EX162">
        <v>1</v>
      </c>
      <c r="EY162">
        <v>155</v>
      </c>
      <c r="EZ162" t="e">
        <f t="shared" ca="1" si="46"/>
        <v>#N/A</v>
      </c>
      <c r="FA162" t="e">
        <f t="shared" ca="1" si="46"/>
        <v>#N/A</v>
      </c>
      <c r="FB162" t="e">
        <f t="shared" ca="1" si="46"/>
        <v>#N/A</v>
      </c>
      <c r="FC162" t="e">
        <f t="shared" ca="1" si="46"/>
        <v>#N/A</v>
      </c>
      <c r="FD162" t="e">
        <f t="shared" ca="1" si="46"/>
        <v>#N/A</v>
      </c>
      <c r="FE162" t="str">
        <f t="shared" ca="1" si="37"/>
        <v/>
      </c>
      <c r="FF162" t="str">
        <f t="shared" ca="1" si="38"/>
        <v/>
      </c>
      <c r="FG162" t="str">
        <f t="shared" ca="1" si="39"/>
        <v/>
      </c>
      <c r="FH162" t="str">
        <f t="shared" ca="1" si="40"/>
        <v/>
      </c>
      <c r="FI162" t="str">
        <f t="shared" ca="1" si="41"/>
        <v/>
      </c>
      <c r="FJ162" t="str">
        <f t="shared" ca="1" si="42"/>
        <v/>
      </c>
      <c r="FK162" t="str">
        <f t="shared" ca="1" si="36"/>
        <v/>
      </c>
      <c r="FL162" t="str">
        <f t="shared" ca="1" si="43"/>
        <v>無</v>
      </c>
    </row>
    <row r="163" spans="93:168">
      <c r="CO163" s="5">
        <v>245</v>
      </c>
      <c r="CP163" s="57">
        <v>90000</v>
      </c>
      <c r="CQ163">
        <v>75</v>
      </c>
      <c r="EM163" s="133" t="s">
        <v>295</v>
      </c>
      <c r="ES163">
        <v>156</v>
      </c>
      <c r="ET163" t="s">
        <v>270</v>
      </c>
      <c r="EU163" t="s">
        <v>271</v>
      </c>
      <c r="EV163">
        <v>157</v>
      </c>
      <c r="EW163" t="str" cm="1">
        <f t="array" aca="1" ref="EW163" ca="1">INDIRECT("'5借入一覧'!"&amp;ET163&amp;EV163)&amp;INDIRECT("'5借入一覧'!"&amp;EU163&amp;EV163)</f>
        <v/>
      </c>
      <c r="EX163">
        <v>1</v>
      </c>
      <c r="EY163">
        <v>156</v>
      </c>
      <c r="EZ163" t="e">
        <f t="shared" ca="1" si="46"/>
        <v>#N/A</v>
      </c>
      <c r="FA163" t="e">
        <f t="shared" ca="1" si="46"/>
        <v>#N/A</v>
      </c>
      <c r="FB163" t="e">
        <f t="shared" ca="1" si="46"/>
        <v>#N/A</v>
      </c>
      <c r="FC163" t="e">
        <f t="shared" ca="1" si="46"/>
        <v>#N/A</v>
      </c>
      <c r="FD163" t="e">
        <f t="shared" ca="1" si="46"/>
        <v>#N/A</v>
      </c>
      <c r="FE163" t="str">
        <f t="shared" ca="1" si="37"/>
        <v/>
      </c>
      <c r="FF163" t="str">
        <f t="shared" ca="1" si="38"/>
        <v/>
      </c>
      <c r="FG163" t="str">
        <f t="shared" ca="1" si="39"/>
        <v/>
      </c>
      <c r="FH163" t="str">
        <f t="shared" ca="1" si="40"/>
        <v/>
      </c>
      <c r="FI163" t="str">
        <f t="shared" ca="1" si="41"/>
        <v/>
      </c>
      <c r="FJ163" t="str">
        <f t="shared" ca="1" si="42"/>
        <v/>
      </c>
      <c r="FK163" t="str">
        <f t="shared" ca="1" si="36"/>
        <v/>
      </c>
      <c r="FL163" t="str">
        <f t="shared" ca="1" si="43"/>
        <v>無</v>
      </c>
    </row>
    <row r="164" spans="93:168">
      <c r="CO164" s="5">
        <v>100</v>
      </c>
      <c r="CP164" s="57">
        <v>90000</v>
      </c>
      <c r="CQ164">
        <v>75</v>
      </c>
      <c r="EM164" s="133" t="s">
        <v>302</v>
      </c>
      <c r="ES164">
        <v>157</v>
      </c>
      <c r="ET164" t="s">
        <v>270</v>
      </c>
      <c r="EU164" t="s">
        <v>271</v>
      </c>
      <c r="EV164">
        <v>158</v>
      </c>
      <c r="EW164" t="str" cm="1">
        <f t="array" aca="1" ref="EW164" ca="1">INDIRECT("'5借入一覧'!"&amp;ET164&amp;EV164)&amp;INDIRECT("'5借入一覧'!"&amp;EU164&amp;EV164)</f>
        <v/>
      </c>
      <c r="EX164">
        <v>1</v>
      </c>
      <c r="EY164">
        <v>157</v>
      </c>
      <c r="EZ164" t="e">
        <f t="shared" ca="1" si="46"/>
        <v>#N/A</v>
      </c>
      <c r="FA164" t="e">
        <f t="shared" ca="1" si="46"/>
        <v>#N/A</v>
      </c>
      <c r="FB164" t="e">
        <f t="shared" ca="1" si="46"/>
        <v>#N/A</v>
      </c>
      <c r="FC164" t="e">
        <f t="shared" ca="1" si="46"/>
        <v>#N/A</v>
      </c>
      <c r="FD164" t="e">
        <f t="shared" ca="1" si="46"/>
        <v>#N/A</v>
      </c>
      <c r="FE164" t="str">
        <f t="shared" ca="1" si="37"/>
        <v/>
      </c>
      <c r="FF164" t="str">
        <f t="shared" ca="1" si="38"/>
        <v/>
      </c>
      <c r="FG164" t="str">
        <f t="shared" ca="1" si="39"/>
        <v/>
      </c>
      <c r="FH164" t="str">
        <f t="shared" ca="1" si="40"/>
        <v/>
      </c>
      <c r="FI164" t="str">
        <f t="shared" ca="1" si="41"/>
        <v/>
      </c>
      <c r="FJ164" t="str">
        <f t="shared" ca="1" si="42"/>
        <v/>
      </c>
      <c r="FK164" t="str">
        <f t="shared" ca="1" si="36"/>
        <v/>
      </c>
      <c r="FL164" t="str">
        <f t="shared" ca="1" si="43"/>
        <v>無</v>
      </c>
    </row>
    <row r="165" spans="93:168">
      <c r="CO165" s="5">
        <v>309</v>
      </c>
      <c r="CP165" s="57">
        <v>90000</v>
      </c>
      <c r="CQ165">
        <v>75</v>
      </c>
      <c r="EM165" s="133" t="s">
        <v>4</v>
      </c>
      <c r="ES165">
        <v>158</v>
      </c>
      <c r="ET165" t="s">
        <v>270</v>
      </c>
      <c r="EU165" t="s">
        <v>271</v>
      </c>
      <c r="EV165">
        <v>159</v>
      </c>
      <c r="EW165" t="str" cm="1">
        <f t="array" aca="1" ref="EW165" ca="1">INDIRECT("'5借入一覧'!"&amp;ET165&amp;EV165)&amp;INDIRECT("'5借入一覧'!"&amp;EU165&amp;EV165)</f>
        <v/>
      </c>
      <c r="EX165">
        <v>1</v>
      </c>
      <c r="EY165">
        <v>158</v>
      </c>
      <c r="EZ165" t="e">
        <f t="shared" ca="1" si="46"/>
        <v>#N/A</v>
      </c>
      <c r="FA165" t="e">
        <f t="shared" ca="1" si="46"/>
        <v>#N/A</v>
      </c>
      <c r="FB165" t="e">
        <f t="shared" ca="1" si="46"/>
        <v>#N/A</v>
      </c>
      <c r="FC165" t="e">
        <f t="shared" ca="1" si="46"/>
        <v>#N/A</v>
      </c>
      <c r="FD165" t="e">
        <f t="shared" ca="1" si="46"/>
        <v>#N/A</v>
      </c>
      <c r="FE165" t="str">
        <f t="shared" ca="1" si="37"/>
        <v/>
      </c>
      <c r="FF165" t="str">
        <f t="shared" ca="1" si="38"/>
        <v/>
      </c>
      <c r="FG165" t="str">
        <f t="shared" ca="1" si="39"/>
        <v/>
      </c>
      <c r="FH165" t="str">
        <f t="shared" ca="1" si="40"/>
        <v/>
      </c>
      <c r="FI165" t="str">
        <f t="shared" ca="1" si="41"/>
        <v/>
      </c>
      <c r="FJ165" t="str">
        <f t="shared" ca="1" si="42"/>
        <v/>
      </c>
      <c r="FK165" t="str">
        <f t="shared" ca="1" si="36"/>
        <v/>
      </c>
      <c r="FL165" t="str">
        <f t="shared" ca="1" si="43"/>
        <v>無</v>
      </c>
    </row>
    <row r="166" spans="93:168">
      <c r="CO166" s="5">
        <v>40</v>
      </c>
      <c r="CP166" s="57">
        <v>89000</v>
      </c>
      <c r="CQ166">
        <v>76</v>
      </c>
      <c r="EM166" s="133" t="s">
        <v>272</v>
      </c>
      <c r="ES166">
        <v>159</v>
      </c>
      <c r="ET166" t="s">
        <v>270</v>
      </c>
      <c r="EU166" t="s">
        <v>271</v>
      </c>
      <c r="EV166">
        <v>160</v>
      </c>
      <c r="EW166" t="str" cm="1">
        <f t="array" aca="1" ref="EW166" ca="1">INDIRECT("'5借入一覧'!"&amp;ET166&amp;EV166)&amp;INDIRECT("'5借入一覧'!"&amp;EU166&amp;EV166)</f>
        <v/>
      </c>
      <c r="EX166">
        <v>1</v>
      </c>
      <c r="EY166">
        <v>159</v>
      </c>
      <c r="EZ166" t="e">
        <f t="shared" ca="1" si="46"/>
        <v>#N/A</v>
      </c>
      <c r="FA166" t="e">
        <f t="shared" ca="1" si="46"/>
        <v>#N/A</v>
      </c>
      <c r="FB166" t="e">
        <f t="shared" ca="1" si="46"/>
        <v>#N/A</v>
      </c>
      <c r="FC166" t="e">
        <f t="shared" ca="1" si="46"/>
        <v>#N/A</v>
      </c>
      <c r="FD166" t="e">
        <f t="shared" ca="1" si="46"/>
        <v>#N/A</v>
      </c>
      <c r="FE166" t="str">
        <f t="shared" ca="1" si="37"/>
        <v/>
      </c>
      <c r="FF166" t="str">
        <f t="shared" ca="1" si="38"/>
        <v/>
      </c>
      <c r="FG166" t="str">
        <f t="shared" ca="1" si="39"/>
        <v/>
      </c>
      <c r="FH166" t="str">
        <f t="shared" ca="1" si="40"/>
        <v/>
      </c>
      <c r="FI166" t="str">
        <f t="shared" ca="1" si="41"/>
        <v/>
      </c>
      <c r="FJ166" t="str">
        <f t="shared" ca="1" si="42"/>
        <v/>
      </c>
      <c r="FK166" t="str">
        <f t="shared" ca="1" si="36"/>
        <v/>
      </c>
      <c r="FL166" t="str">
        <f t="shared" ca="1" si="43"/>
        <v>無</v>
      </c>
    </row>
    <row r="167" spans="93:168">
      <c r="CO167" s="5">
        <v>53</v>
      </c>
      <c r="CP167" s="57">
        <v>89000</v>
      </c>
      <c r="CQ167">
        <v>76</v>
      </c>
      <c r="EM167" s="133" t="s">
        <v>313</v>
      </c>
      <c r="ES167">
        <v>160</v>
      </c>
      <c r="ET167" t="s">
        <v>270</v>
      </c>
      <c r="EU167" t="s">
        <v>271</v>
      </c>
      <c r="EV167">
        <v>161</v>
      </c>
      <c r="EW167" t="str" cm="1">
        <f t="array" aca="1" ref="EW167" ca="1">INDIRECT("'5借入一覧'!"&amp;ET167&amp;EV167)&amp;INDIRECT("'5借入一覧'!"&amp;EU167&amp;EV167)</f>
        <v/>
      </c>
      <c r="EX167">
        <v>1</v>
      </c>
      <c r="EY167">
        <v>160</v>
      </c>
      <c r="EZ167" t="e">
        <f t="shared" ca="1" si="46"/>
        <v>#N/A</v>
      </c>
      <c r="FA167" t="e">
        <f t="shared" ca="1" si="46"/>
        <v>#N/A</v>
      </c>
      <c r="FB167" t="e">
        <f t="shared" ca="1" si="46"/>
        <v>#N/A</v>
      </c>
      <c r="FC167" t="e">
        <f t="shared" ca="1" si="46"/>
        <v>#N/A</v>
      </c>
      <c r="FD167" t="e">
        <f t="shared" ca="1" si="46"/>
        <v>#N/A</v>
      </c>
      <c r="FE167" t="str">
        <f t="shared" ca="1" si="37"/>
        <v/>
      </c>
      <c r="FF167" t="str">
        <f t="shared" ca="1" si="38"/>
        <v/>
      </c>
      <c r="FG167" t="str">
        <f t="shared" ca="1" si="39"/>
        <v/>
      </c>
      <c r="FH167" t="str">
        <f t="shared" ca="1" si="40"/>
        <v/>
      </c>
      <c r="FI167" t="str">
        <f t="shared" ca="1" si="41"/>
        <v/>
      </c>
      <c r="FJ167" t="str">
        <f t="shared" ca="1" si="42"/>
        <v/>
      </c>
      <c r="FK167" t="str">
        <f t="shared" ca="1" si="36"/>
        <v/>
      </c>
      <c r="FL167" t="str">
        <f t="shared" ca="1" si="43"/>
        <v>無</v>
      </c>
    </row>
    <row r="168" spans="93:168">
      <c r="CO168" s="5">
        <v>87</v>
      </c>
      <c r="CP168" s="57">
        <v>88000</v>
      </c>
      <c r="CQ168">
        <v>77</v>
      </c>
      <c r="EM168" s="133" t="s">
        <v>316</v>
      </c>
      <c r="ES168">
        <v>161</v>
      </c>
      <c r="ET168" t="s">
        <v>270</v>
      </c>
      <c r="EU168" t="s">
        <v>271</v>
      </c>
      <c r="EV168">
        <v>162</v>
      </c>
      <c r="EW168" t="str" cm="1">
        <f t="array" aca="1" ref="EW168" ca="1">INDIRECT("'5借入一覧'!"&amp;ET168&amp;EV168)&amp;INDIRECT("'5借入一覧'!"&amp;EU168&amp;EV168)</f>
        <v/>
      </c>
      <c r="EX168">
        <v>1</v>
      </c>
      <c r="EY168">
        <v>161</v>
      </c>
      <c r="EZ168" t="e">
        <f t="shared" ref="EZ168:FD177" ca="1" si="47">VLOOKUP($EY168&amp;EZ$5,$EW$7:$EX$1101,2,FALSE)</f>
        <v>#N/A</v>
      </c>
      <c r="FA168" t="e">
        <f t="shared" ca="1" si="47"/>
        <v>#N/A</v>
      </c>
      <c r="FB168" t="e">
        <f t="shared" ca="1" si="47"/>
        <v>#N/A</v>
      </c>
      <c r="FC168" t="e">
        <f t="shared" ca="1" si="47"/>
        <v>#N/A</v>
      </c>
      <c r="FD168" t="e">
        <f t="shared" ca="1" si="47"/>
        <v>#N/A</v>
      </c>
      <c r="FE168" t="str">
        <f t="shared" ca="1" si="37"/>
        <v/>
      </c>
      <c r="FF168" t="str">
        <f t="shared" ca="1" si="38"/>
        <v/>
      </c>
      <c r="FG168" t="str">
        <f t="shared" ca="1" si="39"/>
        <v/>
      </c>
      <c r="FH168" t="str">
        <f t="shared" ca="1" si="40"/>
        <v/>
      </c>
      <c r="FI168" t="str">
        <f t="shared" ca="1" si="41"/>
        <v/>
      </c>
      <c r="FJ168" t="str">
        <f t="shared" ca="1" si="42"/>
        <v/>
      </c>
      <c r="FK168" t="str">
        <f t="shared" ca="1" si="36"/>
        <v/>
      </c>
      <c r="FL168" t="str">
        <f t="shared" ca="1" si="43"/>
        <v>無</v>
      </c>
    </row>
    <row r="169" spans="93:168">
      <c r="CO169" s="5">
        <v>297</v>
      </c>
      <c r="CP169" s="57">
        <v>88000</v>
      </c>
      <c r="CQ169">
        <v>77</v>
      </c>
      <c r="EM169" s="133" t="s">
        <v>320</v>
      </c>
      <c r="ES169">
        <v>162</v>
      </c>
      <c r="ET169" t="s">
        <v>270</v>
      </c>
      <c r="EU169" t="s">
        <v>271</v>
      </c>
      <c r="EV169">
        <v>163</v>
      </c>
      <c r="EW169" t="str" cm="1">
        <f t="array" aca="1" ref="EW169" ca="1">INDIRECT("'5借入一覧'!"&amp;ET169&amp;EV169)&amp;INDIRECT("'5借入一覧'!"&amp;EU169&amp;EV169)</f>
        <v/>
      </c>
      <c r="EX169">
        <v>1</v>
      </c>
      <c r="EY169">
        <v>162</v>
      </c>
      <c r="EZ169" t="e">
        <f t="shared" ca="1" si="47"/>
        <v>#N/A</v>
      </c>
      <c r="FA169" t="e">
        <f t="shared" ca="1" si="47"/>
        <v>#N/A</v>
      </c>
      <c r="FB169" t="e">
        <f t="shared" ca="1" si="47"/>
        <v>#N/A</v>
      </c>
      <c r="FC169" t="e">
        <f t="shared" ca="1" si="47"/>
        <v>#N/A</v>
      </c>
      <c r="FD169" t="e">
        <f t="shared" ca="1" si="47"/>
        <v>#N/A</v>
      </c>
      <c r="FE169" t="str">
        <f t="shared" ca="1" si="37"/>
        <v/>
      </c>
      <c r="FF169" t="str">
        <f t="shared" ca="1" si="38"/>
        <v/>
      </c>
      <c r="FG169" t="str">
        <f t="shared" ca="1" si="39"/>
        <v/>
      </c>
      <c r="FH169" t="str">
        <f t="shared" ca="1" si="40"/>
        <v/>
      </c>
      <c r="FI169" t="str">
        <f t="shared" ca="1" si="41"/>
        <v/>
      </c>
      <c r="FJ169" t="str">
        <f t="shared" ca="1" si="42"/>
        <v/>
      </c>
      <c r="FK169" t="str">
        <f t="shared" ca="1" si="36"/>
        <v/>
      </c>
      <c r="FL169" t="str">
        <f t="shared" ca="1" si="43"/>
        <v>無</v>
      </c>
    </row>
    <row r="170" spans="93:168">
      <c r="CO170" s="5">
        <v>41</v>
      </c>
      <c r="CP170" s="57">
        <v>85000</v>
      </c>
      <c r="CQ170">
        <v>78</v>
      </c>
      <c r="EM170" s="133" t="s">
        <v>324</v>
      </c>
      <c r="ES170">
        <v>163</v>
      </c>
      <c r="ET170" t="s">
        <v>270</v>
      </c>
      <c r="EU170" t="s">
        <v>271</v>
      </c>
      <c r="EV170">
        <v>164</v>
      </c>
      <c r="EW170" t="str" cm="1">
        <f t="array" aca="1" ref="EW170" ca="1">INDIRECT("'5借入一覧'!"&amp;ET170&amp;EV170)&amp;INDIRECT("'5借入一覧'!"&amp;EU170&amp;EV170)</f>
        <v/>
      </c>
      <c r="EX170">
        <v>1</v>
      </c>
      <c r="EY170">
        <v>163</v>
      </c>
      <c r="EZ170" t="e">
        <f t="shared" ca="1" si="47"/>
        <v>#N/A</v>
      </c>
      <c r="FA170" t="e">
        <f t="shared" ca="1" si="47"/>
        <v>#N/A</v>
      </c>
      <c r="FB170" t="e">
        <f t="shared" ca="1" si="47"/>
        <v>#N/A</v>
      </c>
      <c r="FC170" t="e">
        <f t="shared" ca="1" si="47"/>
        <v>#N/A</v>
      </c>
      <c r="FD170" t="e">
        <f t="shared" ca="1" si="47"/>
        <v>#N/A</v>
      </c>
      <c r="FE170" t="str">
        <f t="shared" ca="1" si="37"/>
        <v/>
      </c>
      <c r="FF170" t="str">
        <f t="shared" ca="1" si="38"/>
        <v/>
      </c>
      <c r="FG170" t="str">
        <f t="shared" ca="1" si="39"/>
        <v/>
      </c>
      <c r="FH170" t="str">
        <f t="shared" ca="1" si="40"/>
        <v/>
      </c>
      <c r="FI170" t="str">
        <f t="shared" ca="1" si="41"/>
        <v/>
      </c>
      <c r="FJ170" t="str">
        <f t="shared" ca="1" si="42"/>
        <v/>
      </c>
      <c r="FK170" t="str">
        <f t="shared" ca="1" si="36"/>
        <v/>
      </c>
      <c r="FL170" t="str">
        <f t="shared" ca="1" si="43"/>
        <v>無</v>
      </c>
    </row>
    <row r="171" spans="93:168">
      <c r="CO171" s="5">
        <v>157</v>
      </c>
      <c r="CP171" s="57">
        <v>85000</v>
      </c>
      <c r="CQ171">
        <v>78</v>
      </c>
      <c r="EM171" s="133" t="s">
        <v>327</v>
      </c>
      <c r="ES171">
        <v>164</v>
      </c>
      <c r="ET171" t="s">
        <v>270</v>
      </c>
      <c r="EU171" t="s">
        <v>271</v>
      </c>
      <c r="EV171">
        <v>165</v>
      </c>
      <c r="EW171" t="str" cm="1">
        <f t="array" aca="1" ref="EW171" ca="1">INDIRECT("'5借入一覧'!"&amp;ET171&amp;EV171)&amp;INDIRECT("'5借入一覧'!"&amp;EU171&amp;EV171)</f>
        <v/>
      </c>
      <c r="EX171">
        <v>1</v>
      </c>
      <c r="EY171">
        <v>164</v>
      </c>
      <c r="EZ171" t="e">
        <f t="shared" ca="1" si="47"/>
        <v>#N/A</v>
      </c>
      <c r="FA171" t="e">
        <f t="shared" ca="1" si="47"/>
        <v>#N/A</v>
      </c>
      <c r="FB171" t="e">
        <f t="shared" ca="1" si="47"/>
        <v>#N/A</v>
      </c>
      <c r="FC171" t="e">
        <f t="shared" ca="1" si="47"/>
        <v>#N/A</v>
      </c>
      <c r="FD171" t="e">
        <f t="shared" ca="1" si="47"/>
        <v>#N/A</v>
      </c>
      <c r="FE171" t="str">
        <f t="shared" ca="1" si="37"/>
        <v/>
      </c>
      <c r="FF171" t="str">
        <f t="shared" ca="1" si="38"/>
        <v/>
      </c>
      <c r="FG171" t="str">
        <f t="shared" ca="1" si="39"/>
        <v/>
      </c>
      <c r="FH171" t="str">
        <f t="shared" ca="1" si="40"/>
        <v/>
      </c>
      <c r="FI171" t="str">
        <f t="shared" ca="1" si="41"/>
        <v/>
      </c>
      <c r="FJ171" t="str">
        <f t="shared" ca="1" si="42"/>
        <v/>
      </c>
      <c r="FK171" t="str">
        <f t="shared" ca="1" si="36"/>
        <v/>
      </c>
      <c r="FL171" t="str">
        <f t="shared" ca="1" si="43"/>
        <v>無</v>
      </c>
    </row>
    <row r="172" spans="93:168">
      <c r="CO172" s="5">
        <v>235</v>
      </c>
      <c r="CP172" s="57">
        <v>85000</v>
      </c>
      <c r="CQ172">
        <v>78</v>
      </c>
      <c r="EM172" s="133" t="s">
        <v>291</v>
      </c>
      <c r="ES172">
        <v>165</v>
      </c>
      <c r="ET172" t="s">
        <v>270</v>
      </c>
      <c r="EU172" t="s">
        <v>271</v>
      </c>
      <c r="EV172">
        <v>166</v>
      </c>
      <c r="EW172" t="str" cm="1">
        <f t="array" aca="1" ref="EW172" ca="1">INDIRECT("'5借入一覧'!"&amp;ET172&amp;EV172)&amp;INDIRECT("'5借入一覧'!"&amp;EU172&amp;EV172)</f>
        <v/>
      </c>
      <c r="EX172">
        <v>1</v>
      </c>
      <c r="EY172">
        <v>165</v>
      </c>
      <c r="EZ172" t="e">
        <f t="shared" ca="1" si="47"/>
        <v>#N/A</v>
      </c>
      <c r="FA172" t="e">
        <f t="shared" ca="1" si="47"/>
        <v>#N/A</v>
      </c>
      <c r="FB172" t="e">
        <f t="shared" ca="1" si="47"/>
        <v>#N/A</v>
      </c>
      <c r="FC172" t="e">
        <f t="shared" ca="1" si="47"/>
        <v>#N/A</v>
      </c>
      <c r="FD172" t="e">
        <f t="shared" ca="1" si="47"/>
        <v>#N/A</v>
      </c>
      <c r="FE172" t="str">
        <f t="shared" ca="1" si="37"/>
        <v/>
      </c>
      <c r="FF172" t="str">
        <f t="shared" ca="1" si="38"/>
        <v/>
      </c>
      <c r="FG172" t="str">
        <f t="shared" ca="1" si="39"/>
        <v/>
      </c>
      <c r="FH172" t="str">
        <f t="shared" ca="1" si="40"/>
        <v/>
      </c>
      <c r="FI172" t="str">
        <f t="shared" ca="1" si="41"/>
        <v/>
      </c>
      <c r="FJ172" t="str">
        <f t="shared" ca="1" si="42"/>
        <v/>
      </c>
      <c r="FK172" t="str">
        <f t="shared" ca="1" si="36"/>
        <v/>
      </c>
      <c r="FL172" t="str">
        <f t="shared" ca="1" si="43"/>
        <v>無</v>
      </c>
    </row>
    <row r="173" spans="93:168">
      <c r="CO173" s="5">
        <v>43</v>
      </c>
      <c r="CP173" s="57">
        <v>85000</v>
      </c>
      <c r="CQ173">
        <v>78</v>
      </c>
      <c r="EM173" s="133" t="s">
        <v>333</v>
      </c>
      <c r="ES173">
        <v>166</v>
      </c>
      <c r="ET173" t="s">
        <v>270</v>
      </c>
      <c r="EU173" t="s">
        <v>271</v>
      </c>
      <c r="EV173">
        <v>167</v>
      </c>
      <c r="EW173" t="str" cm="1">
        <f t="array" aca="1" ref="EW173" ca="1">INDIRECT("'5借入一覧'!"&amp;ET173&amp;EV173)&amp;INDIRECT("'5借入一覧'!"&amp;EU173&amp;EV173)</f>
        <v/>
      </c>
      <c r="EX173">
        <v>1</v>
      </c>
      <c r="EY173">
        <v>166</v>
      </c>
      <c r="EZ173" t="e">
        <f t="shared" ca="1" si="47"/>
        <v>#N/A</v>
      </c>
      <c r="FA173" t="e">
        <f t="shared" ca="1" si="47"/>
        <v>#N/A</v>
      </c>
      <c r="FB173" t="e">
        <f t="shared" ca="1" si="47"/>
        <v>#N/A</v>
      </c>
      <c r="FC173" t="e">
        <f t="shared" ca="1" si="47"/>
        <v>#N/A</v>
      </c>
      <c r="FD173" t="e">
        <f t="shared" ca="1" si="47"/>
        <v>#N/A</v>
      </c>
      <c r="FE173" t="str">
        <f t="shared" ca="1" si="37"/>
        <v/>
      </c>
      <c r="FF173" t="str">
        <f t="shared" ca="1" si="38"/>
        <v/>
      </c>
      <c r="FG173" t="str">
        <f t="shared" ca="1" si="39"/>
        <v/>
      </c>
      <c r="FH173" t="str">
        <f t="shared" ca="1" si="40"/>
        <v/>
      </c>
      <c r="FI173" t="str">
        <f t="shared" ca="1" si="41"/>
        <v/>
      </c>
      <c r="FJ173" t="str">
        <f t="shared" ca="1" si="42"/>
        <v/>
      </c>
      <c r="FK173" t="str">
        <f t="shared" ca="1" si="36"/>
        <v/>
      </c>
      <c r="FL173" t="str">
        <f t="shared" ca="1" si="43"/>
        <v>無</v>
      </c>
    </row>
    <row r="174" spans="93:168">
      <c r="CO174" s="5">
        <v>299</v>
      </c>
      <c r="CP174" s="57">
        <v>85000</v>
      </c>
      <c r="CQ174">
        <v>78</v>
      </c>
      <c r="EM174" s="133" t="s">
        <v>198</v>
      </c>
      <c r="ES174">
        <v>167</v>
      </c>
      <c r="ET174" t="s">
        <v>270</v>
      </c>
      <c r="EU174" t="s">
        <v>271</v>
      </c>
      <c r="EV174">
        <v>168</v>
      </c>
      <c r="EW174" t="str" cm="1">
        <f t="array" aca="1" ref="EW174" ca="1">INDIRECT("'5借入一覧'!"&amp;ET174&amp;EV174)&amp;INDIRECT("'5借入一覧'!"&amp;EU174&amp;EV174)</f>
        <v/>
      </c>
      <c r="EX174">
        <v>1</v>
      </c>
      <c r="EY174">
        <v>167</v>
      </c>
      <c r="EZ174" t="e">
        <f t="shared" ca="1" si="47"/>
        <v>#N/A</v>
      </c>
      <c r="FA174" t="e">
        <f t="shared" ca="1" si="47"/>
        <v>#N/A</v>
      </c>
      <c r="FB174" t="e">
        <f t="shared" ca="1" si="47"/>
        <v>#N/A</v>
      </c>
      <c r="FC174" t="e">
        <f t="shared" ca="1" si="47"/>
        <v>#N/A</v>
      </c>
      <c r="FD174" t="e">
        <f t="shared" ca="1" si="47"/>
        <v>#N/A</v>
      </c>
      <c r="FE174" t="str">
        <f t="shared" ca="1" si="37"/>
        <v/>
      </c>
      <c r="FF174" t="str">
        <f t="shared" ca="1" si="38"/>
        <v/>
      </c>
      <c r="FG174" t="str">
        <f t="shared" ca="1" si="39"/>
        <v/>
      </c>
      <c r="FH174" t="str">
        <f t="shared" ca="1" si="40"/>
        <v/>
      </c>
      <c r="FI174" t="str">
        <f t="shared" ca="1" si="41"/>
        <v/>
      </c>
      <c r="FJ174" t="str">
        <f t="shared" ca="1" si="42"/>
        <v/>
      </c>
      <c r="FK174" t="str">
        <f t="shared" ca="1" si="36"/>
        <v/>
      </c>
      <c r="FL174" t="str">
        <f t="shared" ca="1" si="43"/>
        <v>無</v>
      </c>
    </row>
    <row r="175" spans="93:168">
      <c r="CO175" s="5">
        <v>31</v>
      </c>
      <c r="CP175" s="57">
        <v>85000</v>
      </c>
      <c r="CQ175">
        <v>78</v>
      </c>
      <c r="EM175" s="133" t="s">
        <v>296</v>
      </c>
      <c r="ES175">
        <v>168</v>
      </c>
      <c r="ET175" t="s">
        <v>270</v>
      </c>
      <c r="EU175" t="s">
        <v>271</v>
      </c>
      <c r="EV175">
        <v>169</v>
      </c>
      <c r="EW175" t="str" cm="1">
        <f t="array" aca="1" ref="EW175" ca="1">INDIRECT("'5借入一覧'!"&amp;ET175&amp;EV175)&amp;INDIRECT("'5借入一覧'!"&amp;EU175&amp;EV175)</f>
        <v/>
      </c>
      <c r="EX175">
        <v>1</v>
      </c>
      <c r="EY175">
        <v>168</v>
      </c>
      <c r="EZ175" t="e">
        <f t="shared" ca="1" si="47"/>
        <v>#N/A</v>
      </c>
      <c r="FA175" t="e">
        <f t="shared" ca="1" si="47"/>
        <v>#N/A</v>
      </c>
      <c r="FB175" t="e">
        <f t="shared" ca="1" si="47"/>
        <v>#N/A</v>
      </c>
      <c r="FC175" t="e">
        <f t="shared" ca="1" si="47"/>
        <v>#N/A</v>
      </c>
      <c r="FD175" t="e">
        <f t="shared" ca="1" si="47"/>
        <v>#N/A</v>
      </c>
      <c r="FE175" t="str">
        <f t="shared" ca="1" si="37"/>
        <v/>
      </c>
      <c r="FF175" t="str">
        <f t="shared" ca="1" si="38"/>
        <v/>
      </c>
      <c r="FG175" t="str">
        <f t="shared" ca="1" si="39"/>
        <v/>
      </c>
      <c r="FH175" t="str">
        <f t="shared" ca="1" si="40"/>
        <v/>
      </c>
      <c r="FI175" t="str">
        <f t="shared" ca="1" si="41"/>
        <v/>
      </c>
      <c r="FJ175" t="str">
        <f t="shared" ca="1" si="42"/>
        <v/>
      </c>
      <c r="FK175" t="str">
        <f t="shared" ca="1" si="36"/>
        <v/>
      </c>
      <c r="FL175" t="str">
        <f t="shared" ca="1" si="43"/>
        <v>無</v>
      </c>
    </row>
    <row r="176" spans="93:168">
      <c r="CO176" s="5">
        <v>46</v>
      </c>
      <c r="CP176" s="57">
        <v>85000</v>
      </c>
      <c r="CQ176">
        <v>78</v>
      </c>
      <c r="EM176" s="133" t="s">
        <v>286</v>
      </c>
      <c r="ES176">
        <v>169</v>
      </c>
      <c r="ET176" t="s">
        <v>270</v>
      </c>
      <c r="EU176" t="s">
        <v>271</v>
      </c>
      <c r="EV176">
        <v>170</v>
      </c>
      <c r="EW176" t="str" cm="1">
        <f t="array" aca="1" ref="EW176" ca="1">INDIRECT("'5借入一覧'!"&amp;ET176&amp;EV176)&amp;INDIRECT("'5借入一覧'!"&amp;EU176&amp;EV176)</f>
        <v/>
      </c>
      <c r="EX176">
        <v>1</v>
      </c>
      <c r="EY176">
        <v>169</v>
      </c>
      <c r="EZ176" t="e">
        <f t="shared" ca="1" si="47"/>
        <v>#N/A</v>
      </c>
      <c r="FA176" t="e">
        <f t="shared" ca="1" si="47"/>
        <v>#N/A</v>
      </c>
      <c r="FB176" t="e">
        <f t="shared" ca="1" si="47"/>
        <v>#N/A</v>
      </c>
      <c r="FC176" t="e">
        <f t="shared" ca="1" si="47"/>
        <v>#N/A</v>
      </c>
      <c r="FD176" t="e">
        <f t="shared" ca="1" si="47"/>
        <v>#N/A</v>
      </c>
      <c r="FE176" t="str">
        <f t="shared" ca="1" si="37"/>
        <v/>
      </c>
      <c r="FF176" t="str">
        <f t="shared" ca="1" si="38"/>
        <v/>
      </c>
      <c r="FG176" t="str">
        <f t="shared" ca="1" si="39"/>
        <v/>
      </c>
      <c r="FH176" t="str">
        <f t="shared" ca="1" si="40"/>
        <v/>
      </c>
      <c r="FI176" t="str">
        <f t="shared" ca="1" si="41"/>
        <v/>
      </c>
      <c r="FJ176" t="str">
        <f t="shared" ca="1" si="42"/>
        <v/>
      </c>
      <c r="FK176" t="str">
        <f t="shared" ca="1" si="36"/>
        <v/>
      </c>
      <c r="FL176" t="str">
        <f t="shared" ca="1" si="43"/>
        <v>無</v>
      </c>
    </row>
    <row r="177" spans="93:168">
      <c r="CO177" s="5">
        <v>171</v>
      </c>
      <c r="CP177" s="57">
        <v>83000</v>
      </c>
      <c r="CQ177">
        <v>79</v>
      </c>
      <c r="EM177" s="133" t="s">
        <v>340</v>
      </c>
      <c r="ES177">
        <v>170</v>
      </c>
      <c r="ET177" t="s">
        <v>270</v>
      </c>
      <c r="EU177" t="s">
        <v>271</v>
      </c>
      <c r="EV177">
        <v>171</v>
      </c>
      <c r="EW177" t="str" cm="1">
        <f t="array" aca="1" ref="EW177" ca="1">INDIRECT("'5借入一覧'!"&amp;ET177&amp;EV177)&amp;INDIRECT("'5借入一覧'!"&amp;EU177&amp;EV177)</f>
        <v/>
      </c>
      <c r="EX177">
        <v>1</v>
      </c>
      <c r="EY177">
        <v>170</v>
      </c>
      <c r="EZ177" t="e">
        <f t="shared" ca="1" si="47"/>
        <v>#N/A</v>
      </c>
      <c r="FA177" t="e">
        <f t="shared" ca="1" si="47"/>
        <v>#N/A</v>
      </c>
      <c r="FB177" t="e">
        <f t="shared" ca="1" si="47"/>
        <v>#N/A</v>
      </c>
      <c r="FC177" t="e">
        <f t="shared" ca="1" si="47"/>
        <v>#N/A</v>
      </c>
      <c r="FD177" t="e">
        <f t="shared" ca="1" si="47"/>
        <v>#N/A</v>
      </c>
      <c r="FE177" t="str">
        <f t="shared" ca="1" si="37"/>
        <v/>
      </c>
      <c r="FF177" t="str">
        <f t="shared" ca="1" si="38"/>
        <v/>
      </c>
      <c r="FG177" t="str">
        <f t="shared" ca="1" si="39"/>
        <v/>
      </c>
      <c r="FH177" t="str">
        <f t="shared" ca="1" si="40"/>
        <v/>
      </c>
      <c r="FI177" t="str">
        <f t="shared" ca="1" si="41"/>
        <v/>
      </c>
      <c r="FJ177" t="str">
        <f t="shared" ca="1" si="42"/>
        <v/>
      </c>
      <c r="FK177" t="str">
        <f t="shared" ca="1" si="36"/>
        <v/>
      </c>
      <c r="FL177" t="str">
        <f t="shared" ca="1" si="43"/>
        <v>無</v>
      </c>
    </row>
    <row r="178" spans="93:168">
      <c r="CO178" s="5">
        <v>298</v>
      </c>
      <c r="CP178" s="57">
        <v>83000</v>
      </c>
      <c r="CQ178">
        <v>79</v>
      </c>
      <c r="EM178" s="132" t="s">
        <v>278</v>
      </c>
      <c r="EN178">
        <v>650981</v>
      </c>
      <c r="EO178">
        <v>73742</v>
      </c>
      <c r="EP178">
        <v>724723</v>
      </c>
      <c r="EQ178">
        <v>45974131</v>
      </c>
      <c r="ES178">
        <v>171</v>
      </c>
      <c r="ET178" t="s">
        <v>270</v>
      </c>
      <c r="EU178" t="s">
        <v>271</v>
      </c>
      <c r="EV178">
        <v>172</v>
      </c>
      <c r="EW178" t="str" cm="1">
        <f t="array" aca="1" ref="EW178" ca="1">INDIRECT("'5借入一覧'!"&amp;ET178&amp;EV178)&amp;INDIRECT("'5借入一覧'!"&amp;EU178&amp;EV178)</f>
        <v/>
      </c>
      <c r="EX178">
        <v>1</v>
      </c>
      <c r="EY178">
        <v>171</v>
      </c>
      <c r="EZ178" t="e">
        <f t="shared" ref="EZ178:FD187" ca="1" si="48">VLOOKUP($EY178&amp;EZ$5,$EW$7:$EX$1101,2,FALSE)</f>
        <v>#N/A</v>
      </c>
      <c r="FA178" t="e">
        <f t="shared" ca="1" si="48"/>
        <v>#N/A</v>
      </c>
      <c r="FB178" t="e">
        <f t="shared" ca="1" si="48"/>
        <v>#N/A</v>
      </c>
      <c r="FC178" t="e">
        <f t="shared" ca="1" si="48"/>
        <v>#N/A</v>
      </c>
      <c r="FD178" t="e">
        <f t="shared" ca="1" si="48"/>
        <v>#N/A</v>
      </c>
      <c r="FE178" t="str">
        <f t="shared" ca="1" si="37"/>
        <v/>
      </c>
      <c r="FF178" t="str">
        <f t="shared" ca="1" si="38"/>
        <v/>
      </c>
      <c r="FG178" t="str">
        <f t="shared" ca="1" si="39"/>
        <v/>
      </c>
      <c r="FH178" t="str">
        <f t="shared" ca="1" si="40"/>
        <v/>
      </c>
      <c r="FI178" t="str">
        <f t="shared" ca="1" si="41"/>
        <v/>
      </c>
      <c r="FJ178" t="str">
        <f t="shared" ca="1" si="42"/>
        <v/>
      </c>
      <c r="FK178" t="str">
        <f t="shared" ca="1" si="36"/>
        <v/>
      </c>
      <c r="FL178" t="str">
        <f t="shared" ca="1" si="43"/>
        <v>無</v>
      </c>
    </row>
    <row r="179" spans="93:168">
      <c r="CO179" s="5">
        <v>301</v>
      </c>
      <c r="CP179" s="57">
        <v>83000</v>
      </c>
      <c r="CQ179">
        <v>79</v>
      </c>
      <c r="EM179" s="133" t="s">
        <v>5</v>
      </c>
      <c r="ES179">
        <v>172</v>
      </c>
      <c r="ET179" t="s">
        <v>270</v>
      </c>
      <c r="EU179" t="s">
        <v>271</v>
      </c>
      <c r="EV179">
        <v>173</v>
      </c>
      <c r="EW179" t="str" cm="1">
        <f t="array" aca="1" ref="EW179" ca="1">INDIRECT("'5借入一覧'!"&amp;ET179&amp;EV179)&amp;INDIRECT("'5借入一覧'!"&amp;EU179&amp;EV179)</f>
        <v/>
      </c>
      <c r="EX179">
        <v>1</v>
      </c>
      <c r="EY179">
        <v>172</v>
      </c>
      <c r="EZ179" t="e">
        <f t="shared" ca="1" si="48"/>
        <v>#N/A</v>
      </c>
      <c r="FA179" t="e">
        <f t="shared" ca="1" si="48"/>
        <v>#N/A</v>
      </c>
      <c r="FB179" t="e">
        <f t="shared" ca="1" si="48"/>
        <v>#N/A</v>
      </c>
      <c r="FC179" t="e">
        <f t="shared" ca="1" si="48"/>
        <v>#N/A</v>
      </c>
      <c r="FD179" t="e">
        <f t="shared" ca="1" si="48"/>
        <v>#N/A</v>
      </c>
      <c r="FE179" t="str">
        <f t="shared" ca="1" si="37"/>
        <v/>
      </c>
      <c r="FF179" t="str">
        <f t="shared" ca="1" si="38"/>
        <v/>
      </c>
      <c r="FG179" t="str">
        <f t="shared" ca="1" si="39"/>
        <v/>
      </c>
      <c r="FH179" t="str">
        <f t="shared" ca="1" si="40"/>
        <v/>
      </c>
      <c r="FI179" t="str">
        <f t="shared" ca="1" si="41"/>
        <v/>
      </c>
      <c r="FJ179" t="str">
        <f t="shared" ca="1" si="42"/>
        <v/>
      </c>
      <c r="FK179" t="str">
        <f t="shared" ca="1" si="36"/>
        <v/>
      </c>
      <c r="FL179" t="str">
        <f t="shared" ca="1" si="43"/>
        <v>無</v>
      </c>
    </row>
    <row r="180" spans="93:168">
      <c r="CO180" s="5">
        <v>306</v>
      </c>
      <c r="CP180" s="57">
        <v>83000</v>
      </c>
      <c r="CQ180">
        <v>79</v>
      </c>
      <c r="EM180" s="133" t="s">
        <v>216</v>
      </c>
      <c r="ES180">
        <v>173</v>
      </c>
      <c r="ET180" t="s">
        <v>270</v>
      </c>
      <c r="EU180" t="s">
        <v>271</v>
      </c>
      <c r="EV180">
        <v>174</v>
      </c>
      <c r="EW180" t="str" cm="1">
        <f t="array" aca="1" ref="EW180" ca="1">INDIRECT("'5借入一覧'!"&amp;ET180&amp;EV180)&amp;INDIRECT("'5借入一覧'!"&amp;EU180&amp;EV180)</f>
        <v/>
      </c>
      <c r="EX180">
        <v>1</v>
      </c>
      <c r="EY180">
        <v>173</v>
      </c>
      <c r="EZ180" t="e">
        <f t="shared" ca="1" si="48"/>
        <v>#N/A</v>
      </c>
      <c r="FA180" t="e">
        <f t="shared" ca="1" si="48"/>
        <v>#N/A</v>
      </c>
      <c r="FB180" t="e">
        <f t="shared" ca="1" si="48"/>
        <v>#N/A</v>
      </c>
      <c r="FC180" t="e">
        <f t="shared" ca="1" si="48"/>
        <v>#N/A</v>
      </c>
      <c r="FD180" t="e">
        <f t="shared" ca="1" si="48"/>
        <v>#N/A</v>
      </c>
      <c r="FE180" t="str">
        <f t="shared" ca="1" si="37"/>
        <v/>
      </c>
      <c r="FF180" t="str">
        <f t="shared" ca="1" si="38"/>
        <v/>
      </c>
      <c r="FG180" t="str">
        <f t="shared" ca="1" si="39"/>
        <v/>
      </c>
      <c r="FH180" t="str">
        <f t="shared" ca="1" si="40"/>
        <v/>
      </c>
      <c r="FI180" t="str">
        <f t="shared" ca="1" si="41"/>
        <v/>
      </c>
      <c r="FJ180" t="str">
        <f t="shared" ca="1" si="42"/>
        <v/>
      </c>
      <c r="FK180" t="str">
        <f t="shared" ca="1" si="36"/>
        <v/>
      </c>
      <c r="FL180" t="str">
        <f t="shared" ca="1" si="43"/>
        <v>無</v>
      </c>
    </row>
    <row r="181" spans="93:168">
      <c r="CO181" s="5">
        <v>302</v>
      </c>
      <c r="CP181" s="57">
        <v>83000</v>
      </c>
      <c r="CQ181">
        <v>79</v>
      </c>
      <c r="EM181" s="133" t="s">
        <v>237</v>
      </c>
      <c r="ES181">
        <v>174</v>
      </c>
      <c r="ET181" t="s">
        <v>270</v>
      </c>
      <c r="EU181" t="s">
        <v>271</v>
      </c>
      <c r="EV181">
        <v>175</v>
      </c>
      <c r="EW181" t="str" cm="1">
        <f t="array" aca="1" ref="EW181" ca="1">INDIRECT("'5借入一覧'!"&amp;ET181&amp;EV181)&amp;INDIRECT("'5借入一覧'!"&amp;EU181&amp;EV181)</f>
        <v/>
      </c>
      <c r="EX181">
        <v>1</v>
      </c>
      <c r="EY181">
        <v>174</v>
      </c>
      <c r="EZ181" t="e">
        <f t="shared" ca="1" si="48"/>
        <v>#N/A</v>
      </c>
      <c r="FA181" t="e">
        <f t="shared" ca="1" si="48"/>
        <v>#N/A</v>
      </c>
      <c r="FB181" t="e">
        <f t="shared" ca="1" si="48"/>
        <v>#N/A</v>
      </c>
      <c r="FC181" t="e">
        <f t="shared" ca="1" si="48"/>
        <v>#N/A</v>
      </c>
      <c r="FD181" t="e">
        <f t="shared" ca="1" si="48"/>
        <v>#N/A</v>
      </c>
      <c r="FE181" t="str">
        <f t="shared" ca="1" si="37"/>
        <v/>
      </c>
      <c r="FF181" t="str">
        <f t="shared" ca="1" si="38"/>
        <v/>
      </c>
      <c r="FG181" t="str">
        <f t="shared" ca="1" si="39"/>
        <v/>
      </c>
      <c r="FH181" t="str">
        <f t="shared" ca="1" si="40"/>
        <v/>
      </c>
      <c r="FI181" t="str">
        <f t="shared" ca="1" si="41"/>
        <v/>
      </c>
      <c r="FJ181" t="str">
        <f t="shared" ca="1" si="42"/>
        <v/>
      </c>
      <c r="FK181" t="str">
        <f t="shared" ca="1" si="36"/>
        <v/>
      </c>
      <c r="FL181" t="str">
        <f t="shared" ca="1" si="43"/>
        <v>無</v>
      </c>
    </row>
    <row r="182" spans="93:168">
      <c r="CO182" s="5">
        <v>110</v>
      </c>
      <c r="CP182" s="57">
        <v>82000</v>
      </c>
      <c r="CQ182">
        <v>80</v>
      </c>
      <c r="EM182" s="133" t="s">
        <v>268</v>
      </c>
      <c r="EN182">
        <v>125000</v>
      </c>
      <c r="EO182">
        <v>6210</v>
      </c>
      <c r="EP182">
        <v>131210</v>
      </c>
      <c r="EQ182">
        <v>7500000</v>
      </c>
      <c r="ES182">
        <v>175</v>
      </c>
      <c r="ET182" t="s">
        <v>270</v>
      </c>
      <c r="EU182" t="s">
        <v>271</v>
      </c>
      <c r="EV182">
        <v>176</v>
      </c>
      <c r="EW182" t="str" cm="1">
        <f t="array" aca="1" ref="EW182" ca="1">INDIRECT("'5借入一覧'!"&amp;ET182&amp;EV182)&amp;INDIRECT("'5借入一覧'!"&amp;EU182&amp;EV182)</f>
        <v/>
      </c>
      <c r="EX182">
        <v>1</v>
      </c>
      <c r="EY182">
        <v>175</v>
      </c>
      <c r="EZ182" t="e">
        <f t="shared" ca="1" si="48"/>
        <v>#N/A</v>
      </c>
      <c r="FA182" t="e">
        <f t="shared" ca="1" si="48"/>
        <v>#N/A</v>
      </c>
      <c r="FB182" t="e">
        <f t="shared" ca="1" si="48"/>
        <v>#N/A</v>
      </c>
      <c r="FC182" t="e">
        <f t="shared" ca="1" si="48"/>
        <v>#N/A</v>
      </c>
      <c r="FD182" t="e">
        <f t="shared" ca="1" si="48"/>
        <v>#N/A</v>
      </c>
      <c r="FE182" t="str">
        <f t="shared" ca="1" si="37"/>
        <v/>
      </c>
      <c r="FF182" t="str">
        <f t="shared" ca="1" si="38"/>
        <v/>
      </c>
      <c r="FG182" t="str">
        <f t="shared" ca="1" si="39"/>
        <v/>
      </c>
      <c r="FH182" t="str">
        <f t="shared" ca="1" si="40"/>
        <v/>
      </c>
      <c r="FI182" t="str">
        <f t="shared" ca="1" si="41"/>
        <v/>
      </c>
      <c r="FJ182" t="str">
        <f t="shared" ca="1" si="42"/>
        <v/>
      </c>
      <c r="FK182" t="str">
        <f t="shared" ca="1" si="36"/>
        <v/>
      </c>
      <c r="FL182" t="str">
        <f t="shared" ca="1" si="43"/>
        <v>無</v>
      </c>
    </row>
    <row r="183" spans="93:168">
      <c r="CO183" s="5">
        <v>50</v>
      </c>
      <c r="CP183" s="57">
        <v>82000</v>
      </c>
      <c r="CQ183">
        <v>80</v>
      </c>
      <c r="EM183" s="133" t="s">
        <v>276</v>
      </c>
      <c r="ES183">
        <v>176</v>
      </c>
      <c r="ET183" t="s">
        <v>270</v>
      </c>
      <c r="EU183" t="s">
        <v>271</v>
      </c>
      <c r="EV183">
        <v>177</v>
      </c>
      <c r="EW183" t="str" cm="1">
        <f t="array" aca="1" ref="EW183" ca="1">INDIRECT("'5借入一覧'!"&amp;ET183&amp;EV183)&amp;INDIRECT("'5借入一覧'!"&amp;EU183&amp;EV183)</f>
        <v/>
      </c>
      <c r="EX183">
        <v>1</v>
      </c>
      <c r="EY183">
        <v>176</v>
      </c>
      <c r="EZ183" t="e">
        <f t="shared" ca="1" si="48"/>
        <v>#N/A</v>
      </c>
      <c r="FA183" t="e">
        <f t="shared" ca="1" si="48"/>
        <v>#N/A</v>
      </c>
      <c r="FB183" t="e">
        <f t="shared" ca="1" si="48"/>
        <v>#N/A</v>
      </c>
      <c r="FC183" t="e">
        <f t="shared" ca="1" si="48"/>
        <v>#N/A</v>
      </c>
      <c r="FD183" t="e">
        <f t="shared" ca="1" si="48"/>
        <v>#N/A</v>
      </c>
      <c r="FE183" t="str">
        <f t="shared" ca="1" si="37"/>
        <v/>
      </c>
      <c r="FF183" t="str">
        <f t="shared" ca="1" si="38"/>
        <v/>
      </c>
      <c r="FG183" t="str">
        <f t="shared" ca="1" si="39"/>
        <v/>
      </c>
      <c r="FH183" t="str">
        <f t="shared" ca="1" si="40"/>
        <v/>
      </c>
      <c r="FI183" t="str">
        <f t="shared" ca="1" si="41"/>
        <v/>
      </c>
      <c r="FJ183" t="str">
        <f t="shared" ca="1" si="42"/>
        <v/>
      </c>
      <c r="FK183" t="str">
        <f t="shared" ca="1" si="36"/>
        <v/>
      </c>
      <c r="FL183" t="str">
        <f t="shared" ca="1" si="43"/>
        <v>無</v>
      </c>
    </row>
    <row r="184" spans="93:168">
      <c r="CO184" s="5">
        <v>36</v>
      </c>
      <c r="CP184" s="57">
        <v>82000</v>
      </c>
      <c r="CQ184">
        <v>80</v>
      </c>
      <c r="EM184" s="133" t="s">
        <v>281</v>
      </c>
      <c r="ES184">
        <v>177</v>
      </c>
      <c r="ET184" t="s">
        <v>270</v>
      </c>
      <c r="EU184" t="s">
        <v>271</v>
      </c>
      <c r="EV184">
        <v>178</v>
      </c>
      <c r="EW184" t="str" cm="1">
        <f t="array" aca="1" ref="EW184" ca="1">INDIRECT("'5借入一覧'!"&amp;ET184&amp;EV184)&amp;INDIRECT("'5借入一覧'!"&amp;EU184&amp;EV184)</f>
        <v/>
      </c>
      <c r="EX184">
        <v>1</v>
      </c>
      <c r="EY184">
        <v>177</v>
      </c>
      <c r="EZ184" t="e">
        <f t="shared" ca="1" si="48"/>
        <v>#N/A</v>
      </c>
      <c r="FA184" t="e">
        <f t="shared" ca="1" si="48"/>
        <v>#N/A</v>
      </c>
      <c r="FB184" t="e">
        <f t="shared" ca="1" si="48"/>
        <v>#N/A</v>
      </c>
      <c r="FC184" t="e">
        <f t="shared" ca="1" si="48"/>
        <v>#N/A</v>
      </c>
      <c r="FD184" t="e">
        <f t="shared" ca="1" si="48"/>
        <v>#N/A</v>
      </c>
      <c r="FE184" t="str">
        <f t="shared" ca="1" si="37"/>
        <v/>
      </c>
      <c r="FF184" t="str">
        <f t="shared" ca="1" si="38"/>
        <v/>
      </c>
      <c r="FG184" t="str">
        <f t="shared" ca="1" si="39"/>
        <v/>
      </c>
      <c r="FH184" t="str">
        <f t="shared" ca="1" si="40"/>
        <v/>
      </c>
      <c r="FI184" t="str">
        <f t="shared" ca="1" si="41"/>
        <v/>
      </c>
      <c r="FJ184" t="str">
        <f t="shared" ca="1" si="42"/>
        <v/>
      </c>
      <c r="FK184" t="str">
        <f t="shared" ca="1" si="36"/>
        <v/>
      </c>
      <c r="FL184" t="str">
        <f t="shared" ca="1" si="43"/>
        <v>無</v>
      </c>
    </row>
    <row r="185" spans="93:168">
      <c r="CO185" s="5">
        <v>42</v>
      </c>
      <c r="CP185" s="57">
        <v>82000</v>
      </c>
      <c r="CQ185">
        <v>80</v>
      </c>
      <c r="EM185" s="133" t="s">
        <v>285</v>
      </c>
      <c r="ES185">
        <v>178</v>
      </c>
      <c r="ET185" t="s">
        <v>270</v>
      </c>
      <c r="EU185" t="s">
        <v>271</v>
      </c>
      <c r="EV185">
        <v>179</v>
      </c>
      <c r="EW185" t="str" cm="1">
        <f t="array" aca="1" ref="EW185" ca="1">INDIRECT("'5借入一覧'!"&amp;ET185&amp;EV185)&amp;INDIRECT("'5借入一覧'!"&amp;EU185&amp;EV185)</f>
        <v/>
      </c>
      <c r="EX185">
        <v>1</v>
      </c>
      <c r="EY185">
        <v>178</v>
      </c>
      <c r="EZ185" t="e">
        <f t="shared" ca="1" si="48"/>
        <v>#N/A</v>
      </c>
      <c r="FA185" t="e">
        <f t="shared" ca="1" si="48"/>
        <v>#N/A</v>
      </c>
      <c r="FB185" t="e">
        <f t="shared" ca="1" si="48"/>
        <v>#N/A</v>
      </c>
      <c r="FC185" t="e">
        <f t="shared" ca="1" si="48"/>
        <v>#N/A</v>
      </c>
      <c r="FD185" t="e">
        <f t="shared" ca="1" si="48"/>
        <v>#N/A</v>
      </c>
      <c r="FE185" t="str">
        <f t="shared" ca="1" si="37"/>
        <v/>
      </c>
      <c r="FF185" t="str">
        <f t="shared" ca="1" si="38"/>
        <v/>
      </c>
      <c r="FG185" t="str">
        <f t="shared" ca="1" si="39"/>
        <v/>
      </c>
      <c r="FH185" t="str">
        <f t="shared" ca="1" si="40"/>
        <v/>
      </c>
      <c r="FI185" t="str">
        <f t="shared" ca="1" si="41"/>
        <v/>
      </c>
      <c r="FJ185" t="str">
        <f t="shared" ca="1" si="42"/>
        <v/>
      </c>
      <c r="FK185" t="str">
        <f t="shared" ca="1" si="36"/>
        <v/>
      </c>
      <c r="FL185" t="str">
        <f t="shared" ca="1" si="43"/>
        <v>無</v>
      </c>
    </row>
    <row r="186" spans="93:168">
      <c r="CO186" s="5">
        <v>39</v>
      </c>
      <c r="CP186" s="57">
        <v>80000</v>
      </c>
      <c r="CQ186">
        <v>81</v>
      </c>
      <c r="EM186" s="133" t="s">
        <v>290</v>
      </c>
      <c r="ES186">
        <v>179</v>
      </c>
      <c r="ET186" t="s">
        <v>270</v>
      </c>
      <c r="EU186" t="s">
        <v>271</v>
      </c>
      <c r="EV186">
        <v>180</v>
      </c>
      <c r="EW186" t="str" cm="1">
        <f t="array" aca="1" ref="EW186" ca="1">INDIRECT("'5借入一覧'!"&amp;ET186&amp;EV186)&amp;INDIRECT("'5借入一覧'!"&amp;EU186&amp;EV186)</f>
        <v/>
      </c>
      <c r="EX186">
        <v>1</v>
      </c>
      <c r="EY186">
        <v>179</v>
      </c>
      <c r="EZ186" t="e">
        <f t="shared" ca="1" si="48"/>
        <v>#N/A</v>
      </c>
      <c r="FA186" t="e">
        <f t="shared" ca="1" si="48"/>
        <v>#N/A</v>
      </c>
      <c r="FB186" t="e">
        <f t="shared" ca="1" si="48"/>
        <v>#N/A</v>
      </c>
      <c r="FC186" t="e">
        <f t="shared" ca="1" si="48"/>
        <v>#N/A</v>
      </c>
      <c r="FD186" t="e">
        <f t="shared" ca="1" si="48"/>
        <v>#N/A</v>
      </c>
      <c r="FE186" t="str">
        <f t="shared" ca="1" si="37"/>
        <v/>
      </c>
      <c r="FF186" t="str">
        <f t="shared" ca="1" si="38"/>
        <v/>
      </c>
      <c r="FG186" t="str">
        <f t="shared" ca="1" si="39"/>
        <v/>
      </c>
      <c r="FH186" t="str">
        <f t="shared" ca="1" si="40"/>
        <v/>
      </c>
      <c r="FI186" t="str">
        <f t="shared" ca="1" si="41"/>
        <v/>
      </c>
      <c r="FJ186" t="str">
        <f t="shared" ca="1" si="42"/>
        <v/>
      </c>
      <c r="FK186" t="str">
        <f t="shared" ca="1" si="36"/>
        <v/>
      </c>
      <c r="FL186" t="str">
        <f t="shared" ca="1" si="43"/>
        <v>無</v>
      </c>
    </row>
    <row r="187" spans="93:168">
      <c r="CO187" s="5">
        <v>30</v>
      </c>
      <c r="CP187" s="57">
        <v>80000</v>
      </c>
      <c r="CQ187">
        <v>81</v>
      </c>
      <c r="EM187" s="133" t="s">
        <v>295</v>
      </c>
      <c r="ES187">
        <v>180</v>
      </c>
      <c r="ET187" t="s">
        <v>270</v>
      </c>
      <c r="EU187" t="s">
        <v>271</v>
      </c>
      <c r="EV187">
        <v>181</v>
      </c>
      <c r="EW187" t="str" cm="1">
        <f t="array" aca="1" ref="EW187" ca="1">INDIRECT("'5借入一覧'!"&amp;ET187&amp;EV187)&amp;INDIRECT("'5借入一覧'!"&amp;EU187&amp;EV187)</f>
        <v/>
      </c>
      <c r="EX187">
        <v>1</v>
      </c>
      <c r="EY187">
        <v>180</v>
      </c>
      <c r="EZ187" t="e">
        <f t="shared" ca="1" si="48"/>
        <v>#N/A</v>
      </c>
      <c r="FA187" t="e">
        <f t="shared" ca="1" si="48"/>
        <v>#N/A</v>
      </c>
      <c r="FB187" t="e">
        <f t="shared" ca="1" si="48"/>
        <v>#N/A</v>
      </c>
      <c r="FC187" t="e">
        <f t="shared" ca="1" si="48"/>
        <v>#N/A</v>
      </c>
      <c r="FD187" t="e">
        <f t="shared" ca="1" si="48"/>
        <v>#N/A</v>
      </c>
      <c r="FE187" t="str">
        <f t="shared" ca="1" si="37"/>
        <v/>
      </c>
      <c r="FF187" t="str">
        <f t="shared" ca="1" si="38"/>
        <v/>
      </c>
      <c r="FG187" t="str">
        <f t="shared" ca="1" si="39"/>
        <v/>
      </c>
      <c r="FH187" t="str">
        <f t="shared" ca="1" si="40"/>
        <v/>
      </c>
      <c r="FI187" t="str">
        <f t="shared" ca="1" si="41"/>
        <v/>
      </c>
      <c r="FJ187" t="str">
        <f t="shared" ca="1" si="42"/>
        <v/>
      </c>
      <c r="FK187" t="str">
        <f t="shared" ca="1" si="36"/>
        <v/>
      </c>
      <c r="FL187" t="str">
        <f t="shared" ca="1" si="43"/>
        <v>無</v>
      </c>
    </row>
    <row r="188" spans="93:168">
      <c r="CO188" s="5">
        <v>26</v>
      </c>
      <c r="CP188" s="57">
        <v>80000</v>
      </c>
      <c r="CQ188">
        <v>81</v>
      </c>
      <c r="EM188" s="133" t="s">
        <v>302</v>
      </c>
      <c r="ES188">
        <v>181</v>
      </c>
      <c r="ET188" t="s">
        <v>270</v>
      </c>
      <c r="EU188" t="s">
        <v>271</v>
      </c>
      <c r="EV188">
        <v>182</v>
      </c>
      <c r="EW188" t="str" cm="1">
        <f t="array" aca="1" ref="EW188" ca="1">INDIRECT("'5借入一覧'!"&amp;ET188&amp;EV188)&amp;INDIRECT("'5借入一覧'!"&amp;EU188&amp;EV188)</f>
        <v/>
      </c>
      <c r="EX188">
        <v>1</v>
      </c>
      <c r="EY188">
        <v>181</v>
      </c>
      <c r="EZ188" t="e">
        <f t="shared" ref="EZ188:FD197" ca="1" si="49">VLOOKUP($EY188&amp;EZ$5,$EW$7:$EX$1101,2,FALSE)</f>
        <v>#N/A</v>
      </c>
      <c r="FA188" t="e">
        <f t="shared" ca="1" si="49"/>
        <v>#N/A</v>
      </c>
      <c r="FB188" t="e">
        <f t="shared" ca="1" si="49"/>
        <v>#N/A</v>
      </c>
      <c r="FC188" t="e">
        <f t="shared" ca="1" si="49"/>
        <v>#N/A</v>
      </c>
      <c r="FD188" t="e">
        <f t="shared" ca="1" si="49"/>
        <v>#N/A</v>
      </c>
      <c r="FE188" t="str">
        <f t="shared" ca="1" si="37"/>
        <v/>
      </c>
      <c r="FF188" t="str">
        <f t="shared" ca="1" si="38"/>
        <v/>
      </c>
      <c r="FG188" t="str">
        <f t="shared" ca="1" si="39"/>
        <v/>
      </c>
      <c r="FH188" t="str">
        <f t="shared" ca="1" si="40"/>
        <v/>
      </c>
      <c r="FI188" t="str">
        <f t="shared" ca="1" si="41"/>
        <v/>
      </c>
      <c r="FJ188" t="str">
        <f t="shared" ca="1" si="42"/>
        <v/>
      </c>
      <c r="FK188" t="str">
        <f t="shared" ca="1" si="36"/>
        <v/>
      </c>
      <c r="FL188" t="str">
        <f t="shared" ca="1" si="43"/>
        <v>無</v>
      </c>
    </row>
    <row r="189" spans="93:168">
      <c r="CO189" s="5">
        <v>37</v>
      </c>
      <c r="CP189" s="57">
        <v>80000</v>
      </c>
      <c r="CQ189">
        <v>81</v>
      </c>
      <c r="EM189" s="133" t="s">
        <v>4</v>
      </c>
      <c r="ES189">
        <v>182</v>
      </c>
      <c r="ET189" t="s">
        <v>270</v>
      </c>
      <c r="EU189" t="s">
        <v>271</v>
      </c>
      <c r="EV189">
        <v>183</v>
      </c>
      <c r="EW189" t="str" cm="1">
        <f t="array" aca="1" ref="EW189" ca="1">INDIRECT("'5借入一覧'!"&amp;ET189&amp;EV189)&amp;INDIRECT("'5借入一覧'!"&amp;EU189&amp;EV189)</f>
        <v/>
      </c>
      <c r="EX189">
        <v>1</v>
      </c>
      <c r="EY189">
        <v>182</v>
      </c>
      <c r="EZ189" t="e">
        <f t="shared" ca="1" si="49"/>
        <v>#N/A</v>
      </c>
      <c r="FA189" t="e">
        <f t="shared" ca="1" si="49"/>
        <v>#N/A</v>
      </c>
      <c r="FB189" t="e">
        <f t="shared" ca="1" si="49"/>
        <v>#N/A</v>
      </c>
      <c r="FC189" t="e">
        <f t="shared" ca="1" si="49"/>
        <v>#N/A</v>
      </c>
      <c r="FD189" t="e">
        <f t="shared" ca="1" si="49"/>
        <v>#N/A</v>
      </c>
      <c r="FE189" t="str">
        <f t="shared" ca="1" si="37"/>
        <v/>
      </c>
      <c r="FF189" t="str">
        <f t="shared" ca="1" si="38"/>
        <v/>
      </c>
      <c r="FG189" t="str">
        <f t="shared" ca="1" si="39"/>
        <v/>
      </c>
      <c r="FH189" t="str">
        <f t="shared" ca="1" si="40"/>
        <v/>
      </c>
      <c r="FI189" t="str">
        <f t="shared" ca="1" si="41"/>
        <v/>
      </c>
      <c r="FJ189" t="str">
        <f t="shared" ca="1" si="42"/>
        <v/>
      </c>
      <c r="FK189" t="str">
        <f t="shared" ca="1" si="36"/>
        <v/>
      </c>
      <c r="FL189" t="str">
        <f t="shared" ca="1" si="43"/>
        <v>無</v>
      </c>
    </row>
    <row r="190" spans="93:168">
      <c r="CO190" s="5">
        <v>51</v>
      </c>
      <c r="CP190" s="57">
        <v>80000</v>
      </c>
      <c r="CQ190">
        <v>81</v>
      </c>
      <c r="EM190" s="133" t="s">
        <v>272</v>
      </c>
      <c r="ES190">
        <v>183</v>
      </c>
      <c r="ET190" t="s">
        <v>270</v>
      </c>
      <c r="EU190" t="s">
        <v>271</v>
      </c>
      <c r="EV190">
        <v>184</v>
      </c>
      <c r="EW190" t="str" cm="1">
        <f t="array" aca="1" ref="EW190" ca="1">INDIRECT("'5借入一覧'!"&amp;ET190&amp;EV190)&amp;INDIRECT("'5借入一覧'!"&amp;EU190&amp;EV190)</f>
        <v/>
      </c>
      <c r="EX190">
        <v>1</v>
      </c>
      <c r="EY190">
        <v>183</v>
      </c>
      <c r="EZ190" t="e">
        <f t="shared" ca="1" si="49"/>
        <v>#N/A</v>
      </c>
      <c r="FA190" t="e">
        <f t="shared" ca="1" si="49"/>
        <v>#N/A</v>
      </c>
      <c r="FB190" t="e">
        <f t="shared" ca="1" si="49"/>
        <v>#N/A</v>
      </c>
      <c r="FC190" t="e">
        <f t="shared" ca="1" si="49"/>
        <v>#N/A</v>
      </c>
      <c r="FD190" t="e">
        <f t="shared" ca="1" si="49"/>
        <v>#N/A</v>
      </c>
      <c r="FE190" t="str">
        <f t="shared" ca="1" si="37"/>
        <v/>
      </c>
      <c r="FF190" t="str">
        <f t="shared" ca="1" si="38"/>
        <v/>
      </c>
      <c r="FG190" t="str">
        <f t="shared" ca="1" si="39"/>
        <v/>
      </c>
      <c r="FH190" t="str">
        <f t="shared" ca="1" si="40"/>
        <v/>
      </c>
      <c r="FI190" t="str">
        <f t="shared" ca="1" si="41"/>
        <v/>
      </c>
      <c r="FJ190" t="str">
        <f t="shared" ca="1" si="42"/>
        <v/>
      </c>
      <c r="FK190" t="str">
        <f t="shared" ca="1" si="36"/>
        <v/>
      </c>
      <c r="FL190" t="str">
        <f t="shared" ca="1" si="43"/>
        <v>無</v>
      </c>
    </row>
    <row r="191" spans="93:168">
      <c r="CO191" s="5">
        <v>47</v>
      </c>
      <c r="CP191" s="57">
        <v>80000</v>
      </c>
      <c r="CQ191">
        <v>81</v>
      </c>
      <c r="EM191" s="133" t="s">
        <v>313</v>
      </c>
      <c r="ES191">
        <v>184</v>
      </c>
      <c r="ET191" t="s">
        <v>270</v>
      </c>
      <c r="EU191" t="s">
        <v>271</v>
      </c>
      <c r="EV191">
        <v>185</v>
      </c>
      <c r="EW191" t="str" cm="1">
        <f t="array" aca="1" ref="EW191" ca="1">INDIRECT("'5借入一覧'!"&amp;ET191&amp;EV191)&amp;INDIRECT("'5借入一覧'!"&amp;EU191&amp;EV191)</f>
        <v/>
      </c>
      <c r="EX191">
        <v>1</v>
      </c>
      <c r="EY191">
        <v>184</v>
      </c>
      <c r="EZ191" t="e">
        <f t="shared" ca="1" si="49"/>
        <v>#N/A</v>
      </c>
      <c r="FA191" t="e">
        <f t="shared" ca="1" si="49"/>
        <v>#N/A</v>
      </c>
      <c r="FB191" t="e">
        <f t="shared" ca="1" si="49"/>
        <v>#N/A</v>
      </c>
      <c r="FC191" t="e">
        <f t="shared" ca="1" si="49"/>
        <v>#N/A</v>
      </c>
      <c r="FD191" t="e">
        <f t="shared" ca="1" si="49"/>
        <v>#N/A</v>
      </c>
      <c r="FE191" t="str">
        <f t="shared" ca="1" si="37"/>
        <v/>
      </c>
      <c r="FF191" t="str">
        <f t="shared" ca="1" si="38"/>
        <v/>
      </c>
      <c r="FG191" t="str">
        <f t="shared" ca="1" si="39"/>
        <v/>
      </c>
      <c r="FH191" t="str">
        <f t="shared" ca="1" si="40"/>
        <v/>
      </c>
      <c r="FI191" t="str">
        <f t="shared" ca="1" si="41"/>
        <v/>
      </c>
      <c r="FJ191" t="str">
        <f t="shared" ca="1" si="42"/>
        <v/>
      </c>
      <c r="FK191" t="str">
        <f t="shared" ca="1" si="36"/>
        <v/>
      </c>
      <c r="FL191" t="str">
        <f t="shared" ca="1" si="43"/>
        <v>無</v>
      </c>
    </row>
    <row r="192" spans="93:168">
      <c r="CO192" s="5">
        <v>45</v>
      </c>
      <c r="CP192" s="57">
        <v>79000</v>
      </c>
      <c r="CQ192">
        <v>82</v>
      </c>
      <c r="EM192" s="133" t="s">
        <v>316</v>
      </c>
      <c r="ES192">
        <v>185</v>
      </c>
      <c r="ET192" t="s">
        <v>270</v>
      </c>
      <c r="EU192" t="s">
        <v>271</v>
      </c>
      <c r="EV192">
        <v>186</v>
      </c>
      <c r="EW192" t="str" cm="1">
        <f t="array" aca="1" ref="EW192" ca="1">INDIRECT("'5借入一覧'!"&amp;ET192&amp;EV192)&amp;INDIRECT("'5借入一覧'!"&amp;EU192&amp;EV192)</f>
        <v/>
      </c>
      <c r="EX192">
        <v>1</v>
      </c>
      <c r="EY192">
        <v>185</v>
      </c>
      <c r="EZ192" t="e">
        <f t="shared" ca="1" si="49"/>
        <v>#N/A</v>
      </c>
      <c r="FA192" t="e">
        <f t="shared" ca="1" si="49"/>
        <v>#N/A</v>
      </c>
      <c r="FB192" t="e">
        <f t="shared" ca="1" si="49"/>
        <v>#N/A</v>
      </c>
      <c r="FC192" t="e">
        <f t="shared" ca="1" si="49"/>
        <v>#N/A</v>
      </c>
      <c r="FD192" t="e">
        <f t="shared" ca="1" si="49"/>
        <v>#N/A</v>
      </c>
      <c r="FE192" t="str">
        <f t="shared" ca="1" si="37"/>
        <v/>
      </c>
      <c r="FF192" t="str">
        <f t="shared" ca="1" si="38"/>
        <v/>
      </c>
      <c r="FG192" t="str">
        <f t="shared" ca="1" si="39"/>
        <v/>
      </c>
      <c r="FH192" t="str">
        <f t="shared" ca="1" si="40"/>
        <v/>
      </c>
      <c r="FI192" t="str">
        <f t="shared" ca="1" si="41"/>
        <v/>
      </c>
      <c r="FJ192" t="str">
        <f t="shared" ca="1" si="42"/>
        <v/>
      </c>
      <c r="FK192" t="str">
        <f t="shared" ca="1" si="36"/>
        <v/>
      </c>
      <c r="FL192" t="str">
        <f t="shared" ca="1" si="43"/>
        <v>無</v>
      </c>
    </row>
    <row r="193" spans="93:168">
      <c r="CO193" s="5">
        <v>29</v>
      </c>
      <c r="CP193" s="57">
        <v>79000</v>
      </c>
      <c r="CQ193">
        <v>82</v>
      </c>
      <c r="EM193" s="133" t="s">
        <v>320</v>
      </c>
      <c r="ES193">
        <v>186</v>
      </c>
      <c r="ET193" t="s">
        <v>270</v>
      </c>
      <c r="EU193" t="s">
        <v>271</v>
      </c>
      <c r="EV193">
        <v>187</v>
      </c>
      <c r="EW193" t="str" cm="1">
        <f t="array" aca="1" ref="EW193" ca="1">INDIRECT("'5借入一覧'!"&amp;ET193&amp;EV193)&amp;INDIRECT("'5借入一覧'!"&amp;EU193&amp;EV193)</f>
        <v/>
      </c>
      <c r="EX193">
        <v>1</v>
      </c>
      <c r="EY193">
        <v>186</v>
      </c>
      <c r="EZ193" t="e">
        <f t="shared" ca="1" si="49"/>
        <v>#N/A</v>
      </c>
      <c r="FA193" t="e">
        <f t="shared" ca="1" si="49"/>
        <v>#N/A</v>
      </c>
      <c r="FB193" t="e">
        <f t="shared" ca="1" si="49"/>
        <v>#N/A</v>
      </c>
      <c r="FC193" t="e">
        <f t="shared" ca="1" si="49"/>
        <v>#N/A</v>
      </c>
      <c r="FD193" t="e">
        <f t="shared" ca="1" si="49"/>
        <v>#N/A</v>
      </c>
      <c r="FE193" t="str">
        <f t="shared" ca="1" si="37"/>
        <v/>
      </c>
      <c r="FF193" t="str">
        <f t="shared" ca="1" si="38"/>
        <v/>
      </c>
      <c r="FG193" t="str">
        <f t="shared" ca="1" si="39"/>
        <v/>
      </c>
      <c r="FH193" t="str">
        <f t="shared" ca="1" si="40"/>
        <v/>
      </c>
      <c r="FI193" t="str">
        <f t="shared" ca="1" si="41"/>
        <v/>
      </c>
      <c r="FJ193" t="str">
        <f t="shared" ca="1" si="42"/>
        <v/>
      </c>
      <c r="FK193" t="str">
        <f t="shared" ca="1" si="36"/>
        <v/>
      </c>
      <c r="FL193" t="str">
        <f t="shared" ca="1" si="43"/>
        <v>無</v>
      </c>
    </row>
    <row r="194" spans="93:168">
      <c r="CO194" s="5">
        <v>35</v>
      </c>
      <c r="CP194" s="57">
        <v>77000</v>
      </c>
      <c r="CQ194">
        <v>83</v>
      </c>
      <c r="EM194" s="133" t="s">
        <v>324</v>
      </c>
      <c r="ES194">
        <v>187</v>
      </c>
      <c r="ET194" t="s">
        <v>270</v>
      </c>
      <c r="EU194" t="s">
        <v>271</v>
      </c>
      <c r="EV194">
        <v>188</v>
      </c>
      <c r="EW194" t="str" cm="1">
        <f t="array" aca="1" ref="EW194" ca="1">INDIRECT("'5借入一覧'!"&amp;ET194&amp;EV194)&amp;INDIRECT("'5借入一覧'!"&amp;EU194&amp;EV194)</f>
        <v/>
      </c>
      <c r="EX194">
        <v>1</v>
      </c>
      <c r="EY194">
        <v>187</v>
      </c>
      <c r="EZ194" t="e">
        <f t="shared" ca="1" si="49"/>
        <v>#N/A</v>
      </c>
      <c r="FA194" t="e">
        <f t="shared" ca="1" si="49"/>
        <v>#N/A</v>
      </c>
      <c r="FB194" t="e">
        <f t="shared" ca="1" si="49"/>
        <v>#N/A</v>
      </c>
      <c r="FC194" t="e">
        <f t="shared" ca="1" si="49"/>
        <v>#N/A</v>
      </c>
      <c r="FD194" t="e">
        <f t="shared" ca="1" si="49"/>
        <v>#N/A</v>
      </c>
      <c r="FE194" t="str">
        <f t="shared" ca="1" si="37"/>
        <v/>
      </c>
      <c r="FF194" t="str">
        <f t="shared" ca="1" si="38"/>
        <v/>
      </c>
      <c r="FG194" t="str">
        <f t="shared" ca="1" si="39"/>
        <v/>
      </c>
      <c r="FH194" t="str">
        <f t="shared" ca="1" si="40"/>
        <v/>
      </c>
      <c r="FI194" t="str">
        <f t="shared" ca="1" si="41"/>
        <v/>
      </c>
      <c r="FJ194" t="str">
        <f t="shared" ca="1" si="42"/>
        <v/>
      </c>
      <c r="FK194" t="str">
        <f t="shared" ca="1" si="36"/>
        <v/>
      </c>
      <c r="FL194" t="str">
        <f t="shared" ca="1" si="43"/>
        <v>無</v>
      </c>
    </row>
    <row r="195" spans="93:168">
      <c r="CO195" s="5">
        <v>83</v>
      </c>
      <c r="CP195" s="57">
        <v>77000</v>
      </c>
      <c r="CQ195">
        <v>83</v>
      </c>
      <c r="EM195" s="133" t="s">
        <v>327</v>
      </c>
      <c r="ES195">
        <v>188</v>
      </c>
      <c r="ET195" t="s">
        <v>270</v>
      </c>
      <c r="EU195" t="s">
        <v>271</v>
      </c>
      <c r="EV195">
        <v>189</v>
      </c>
      <c r="EW195" t="str" cm="1">
        <f t="array" aca="1" ref="EW195" ca="1">INDIRECT("'5借入一覧'!"&amp;ET195&amp;EV195)&amp;INDIRECT("'5借入一覧'!"&amp;EU195&amp;EV195)</f>
        <v/>
      </c>
      <c r="EX195">
        <v>1</v>
      </c>
      <c r="EY195">
        <v>188</v>
      </c>
      <c r="EZ195" t="e">
        <f t="shared" ca="1" si="49"/>
        <v>#N/A</v>
      </c>
      <c r="FA195" t="e">
        <f t="shared" ca="1" si="49"/>
        <v>#N/A</v>
      </c>
      <c r="FB195" t="e">
        <f t="shared" ca="1" si="49"/>
        <v>#N/A</v>
      </c>
      <c r="FC195" t="e">
        <f t="shared" ca="1" si="49"/>
        <v>#N/A</v>
      </c>
      <c r="FD195" t="e">
        <f t="shared" ca="1" si="49"/>
        <v>#N/A</v>
      </c>
      <c r="FE195" t="str">
        <f t="shared" ca="1" si="37"/>
        <v/>
      </c>
      <c r="FF195" t="str">
        <f t="shared" ca="1" si="38"/>
        <v/>
      </c>
      <c r="FG195" t="str">
        <f t="shared" ca="1" si="39"/>
        <v/>
      </c>
      <c r="FH195" t="str">
        <f t="shared" ca="1" si="40"/>
        <v/>
      </c>
      <c r="FI195" t="str">
        <f t="shared" ca="1" si="41"/>
        <v/>
      </c>
      <c r="FJ195" t="str">
        <f t="shared" ca="1" si="42"/>
        <v/>
      </c>
      <c r="FK195" t="str">
        <f t="shared" ca="1" si="36"/>
        <v/>
      </c>
      <c r="FL195" t="str">
        <f t="shared" ca="1" si="43"/>
        <v>無</v>
      </c>
    </row>
    <row r="196" spans="93:168">
      <c r="CO196" s="5">
        <v>28</v>
      </c>
      <c r="CP196" s="57">
        <v>77000</v>
      </c>
      <c r="CQ196">
        <v>83</v>
      </c>
      <c r="EM196" s="133" t="s">
        <v>291</v>
      </c>
      <c r="EN196">
        <v>150000</v>
      </c>
      <c r="EO196">
        <v>10351</v>
      </c>
      <c r="EP196">
        <v>160351</v>
      </c>
      <c r="EQ196">
        <v>12500000</v>
      </c>
      <c r="ES196">
        <v>189</v>
      </c>
      <c r="ET196" t="s">
        <v>270</v>
      </c>
      <c r="EU196" t="s">
        <v>271</v>
      </c>
      <c r="EV196">
        <v>190</v>
      </c>
      <c r="EW196" t="str" cm="1">
        <f t="array" aca="1" ref="EW196" ca="1">INDIRECT("'5借入一覧'!"&amp;ET196&amp;EV196)&amp;INDIRECT("'5借入一覧'!"&amp;EU196&amp;EV196)</f>
        <v/>
      </c>
      <c r="EX196">
        <v>1</v>
      </c>
      <c r="EY196">
        <v>189</v>
      </c>
      <c r="EZ196" t="e">
        <f t="shared" ca="1" si="49"/>
        <v>#N/A</v>
      </c>
      <c r="FA196" t="e">
        <f t="shared" ca="1" si="49"/>
        <v>#N/A</v>
      </c>
      <c r="FB196" t="e">
        <f t="shared" ca="1" si="49"/>
        <v>#N/A</v>
      </c>
      <c r="FC196" t="e">
        <f t="shared" ca="1" si="49"/>
        <v>#N/A</v>
      </c>
      <c r="FD196" t="e">
        <f t="shared" ca="1" si="49"/>
        <v>#N/A</v>
      </c>
      <c r="FE196" t="str">
        <f t="shared" ca="1" si="37"/>
        <v/>
      </c>
      <c r="FF196" t="str">
        <f t="shared" ca="1" si="38"/>
        <v/>
      </c>
      <c r="FG196" t="str">
        <f t="shared" ca="1" si="39"/>
        <v/>
      </c>
      <c r="FH196" t="str">
        <f t="shared" ca="1" si="40"/>
        <v/>
      </c>
      <c r="FI196" t="str">
        <f t="shared" ca="1" si="41"/>
        <v/>
      </c>
      <c r="FJ196" t="str">
        <f t="shared" ca="1" si="42"/>
        <v/>
      </c>
      <c r="FK196" t="str">
        <f t="shared" ca="1" si="36"/>
        <v/>
      </c>
      <c r="FL196" t="str">
        <f t="shared" ca="1" si="43"/>
        <v>無</v>
      </c>
    </row>
    <row r="197" spans="93:168">
      <c r="CO197" s="5">
        <v>44</v>
      </c>
      <c r="CP197" s="57">
        <v>75000</v>
      </c>
      <c r="CQ197">
        <v>84</v>
      </c>
      <c r="EM197" s="133" t="s">
        <v>333</v>
      </c>
      <c r="ES197">
        <v>190</v>
      </c>
      <c r="ET197" t="s">
        <v>270</v>
      </c>
      <c r="EU197" t="s">
        <v>271</v>
      </c>
      <c r="EV197">
        <v>191</v>
      </c>
      <c r="EW197" t="str" cm="1">
        <f t="array" aca="1" ref="EW197" ca="1">INDIRECT("'5借入一覧'!"&amp;ET197&amp;EV197)&amp;INDIRECT("'5借入一覧'!"&amp;EU197&amp;EV197)</f>
        <v/>
      </c>
      <c r="EX197">
        <v>1</v>
      </c>
      <c r="EY197">
        <v>190</v>
      </c>
      <c r="EZ197" t="e">
        <f t="shared" ca="1" si="49"/>
        <v>#N/A</v>
      </c>
      <c r="FA197" t="e">
        <f t="shared" ca="1" si="49"/>
        <v>#N/A</v>
      </c>
      <c r="FB197" t="e">
        <f t="shared" ca="1" si="49"/>
        <v>#N/A</v>
      </c>
      <c r="FC197" t="e">
        <f t="shared" ca="1" si="49"/>
        <v>#N/A</v>
      </c>
      <c r="FD197" t="e">
        <f t="shared" ca="1" si="49"/>
        <v>#N/A</v>
      </c>
      <c r="FE197" t="str">
        <f t="shared" ca="1" si="37"/>
        <v/>
      </c>
      <c r="FF197" t="str">
        <f t="shared" ca="1" si="38"/>
        <v/>
      </c>
      <c r="FG197" t="str">
        <f t="shared" ca="1" si="39"/>
        <v/>
      </c>
      <c r="FH197" t="str">
        <f t="shared" ca="1" si="40"/>
        <v/>
      </c>
      <c r="FI197" t="str">
        <f t="shared" ca="1" si="41"/>
        <v/>
      </c>
      <c r="FJ197" t="str">
        <f t="shared" ca="1" si="42"/>
        <v/>
      </c>
      <c r="FK197" t="str">
        <f t="shared" ca="1" si="36"/>
        <v/>
      </c>
      <c r="FL197" t="str">
        <f t="shared" ca="1" si="43"/>
        <v>無</v>
      </c>
    </row>
    <row r="198" spans="93:168">
      <c r="CO198" s="5">
        <v>38</v>
      </c>
      <c r="CP198" s="57">
        <v>75000</v>
      </c>
      <c r="CQ198">
        <v>84</v>
      </c>
      <c r="EM198" s="133" t="s">
        <v>198</v>
      </c>
      <c r="ES198">
        <v>191</v>
      </c>
      <c r="ET198" t="s">
        <v>270</v>
      </c>
      <c r="EU198" t="s">
        <v>271</v>
      </c>
      <c r="EV198">
        <v>192</v>
      </c>
      <c r="EW198" t="str" cm="1">
        <f t="array" aca="1" ref="EW198" ca="1">INDIRECT("'5借入一覧'!"&amp;ET198&amp;EV198)&amp;INDIRECT("'5借入一覧'!"&amp;EU198&amp;EV198)</f>
        <v/>
      </c>
      <c r="EX198">
        <v>1</v>
      </c>
      <c r="EY198">
        <v>191</v>
      </c>
      <c r="EZ198" t="e">
        <f t="shared" ref="EZ198:FD207" ca="1" si="50">VLOOKUP($EY198&amp;EZ$5,$EW$7:$EX$1101,2,FALSE)</f>
        <v>#N/A</v>
      </c>
      <c r="FA198" t="e">
        <f t="shared" ca="1" si="50"/>
        <v>#N/A</v>
      </c>
      <c r="FB198" t="e">
        <f t="shared" ca="1" si="50"/>
        <v>#N/A</v>
      </c>
      <c r="FC198" t="e">
        <f t="shared" ca="1" si="50"/>
        <v>#N/A</v>
      </c>
      <c r="FD198" t="e">
        <f t="shared" ca="1" si="50"/>
        <v>#N/A</v>
      </c>
      <c r="FE198" t="str">
        <f t="shared" ca="1" si="37"/>
        <v/>
      </c>
      <c r="FF198" t="str">
        <f t="shared" ca="1" si="38"/>
        <v/>
      </c>
      <c r="FG198" t="str">
        <f t="shared" ca="1" si="39"/>
        <v/>
      </c>
      <c r="FH198" t="str">
        <f t="shared" ca="1" si="40"/>
        <v/>
      </c>
      <c r="FI198" t="str">
        <f t="shared" ca="1" si="41"/>
        <v/>
      </c>
      <c r="FJ198" t="str">
        <f t="shared" ca="1" si="42"/>
        <v/>
      </c>
      <c r="FK198" t="str">
        <f t="shared" ca="1" si="36"/>
        <v/>
      </c>
      <c r="FL198" t="str">
        <f t="shared" ca="1" si="43"/>
        <v>無</v>
      </c>
    </row>
    <row r="199" spans="93:168">
      <c r="CO199" s="5">
        <v>32</v>
      </c>
      <c r="CP199" s="57">
        <v>75000</v>
      </c>
      <c r="CQ199">
        <v>84</v>
      </c>
      <c r="EM199" s="133" t="s">
        <v>296</v>
      </c>
      <c r="EN199">
        <v>49298</v>
      </c>
      <c r="EO199">
        <v>14364</v>
      </c>
      <c r="EP199">
        <v>63662</v>
      </c>
      <c r="EQ199">
        <v>9268450</v>
      </c>
      <c r="ES199">
        <v>192</v>
      </c>
      <c r="ET199" t="s">
        <v>270</v>
      </c>
      <c r="EU199" t="s">
        <v>271</v>
      </c>
      <c r="EV199">
        <v>193</v>
      </c>
      <c r="EW199" t="str" cm="1">
        <f t="array" aca="1" ref="EW199" ca="1">INDIRECT("'5借入一覧'!"&amp;ET199&amp;EV199)&amp;INDIRECT("'5借入一覧'!"&amp;EU199&amp;EV199)</f>
        <v/>
      </c>
      <c r="EX199">
        <v>1</v>
      </c>
      <c r="EY199">
        <v>192</v>
      </c>
      <c r="EZ199" t="e">
        <f t="shared" ca="1" si="50"/>
        <v>#N/A</v>
      </c>
      <c r="FA199" t="e">
        <f t="shared" ca="1" si="50"/>
        <v>#N/A</v>
      </c>
      <c r="FB199" t="e">
        <f t="shared" ca="1" si="50"/>
        <v>#N/A</v>
      </c>
      <c r="FC199" t="e">
        <f t="shared" ca="1" si="50"/>
        <v>#N/A</v>
      </c>
      <c r="FD199" t="e">
        <f t="shared" ca="1" si="50"/>
        <v>#N/A</v>
      </c>
      <c r="FE199" t="str">
        <f t="shared" ca="1" si="37"/>
        <v/>
      </c>
      <c r="FF199" t="str">
        <f t="shared" ca="1" si="38"/>
        <v/>
      </c>
      <c r="FG199" t="str">
        <f t="shared" ca="1" si="39"/>
        <v/>
      </c>
      <c r="FH199" t="str">
        <f t="shared" ca="1" si="40"/>
        <v/>
      </c>
      <c r="FI199" t="str">
        <f t="shared" ca="1" si="41"/>
        <v/>
      </c>
      <c r="FJ199" t="str">
        <f t="shared" ca="1" si="42"/>
        <v/>
      </c>
      <c r="FK199" t="str">
        <f t="shared" ca="1" si="36"/>
        <v/>
      </c>
      <c r="FL199" t="str">
        <f t="shared" ca="1" si="43"/>
        <v>無</v>
      </c>
    </row>
    <row r="200" spans="93:168">
      <c r="CO200" s="5">
        <v>85</v>
      </c>
      <c r="CP200" s="57">
        <v>75000</v>
      </c>
      <c r="CQ200">
        <v>84</v>
      </c>
      <c r="EM200" s="133" t="s">
        <v>286</v>
      </c>
      <c r="EN200">
        <v>326683</v>
      </c>
      <c r="EO200">
        <v>42817</v>
      </c>
      <c r="EP200">
        <v>369500</v>
      </c>
      <c r="EQ200">
        <v>16705681</v>
      </c>
      <c r="ES200">
        <v>193</v>
      </c>
      <c r="ET200" t="s">
        <v>270</v>
      </c>
      <c r="EU200" t="s">
        <v>271</v>
      </c>
      <c r="EV200">
        <v>194</v>
      </c>
      <c r="EW200" t="str" cm="1">
        <f t="array" aca="1" ref="EW200" ca="1">INDIRECT("'5借入一覧'!"&amp;ET200&amp;EV200)&amp;INDIRECT("'5借入一覧'!"&amp;EU200&amp;EV200)</f>
        <v/>
      </c>
      <c r="EX200">
        <v>1</v>
      </c>
      <c r="EY200">
        <v>193</v>
      </c>
      <c r="EZ200" t="e">
        <f t="shared" ca="1" si="50"/>
        <v>#N/A</v>
      </c>
      <c r="FA200" t="e">
        <f t="shared" ca="1" si="50"/>
        <v>#N/A</v>
      </c>
      <c r="FB200" t="e">
        <f t="shared" ca="1" si="50"/>
        <v>#N/A</v>
      </c>
      <c r="FC200" t="e">
        <f t="shared" ca="1" si="50"/>
        <v>#N/A</v>
      </c>
      <c r="FD200" t="e">
        <f t="shared" ca="1" si="50"/>
        <v>#N/A</v>
      </c>
      <c r="FE200" t="str">
        <f t="shared" ca="1" si="37"/>
        <v/>
      </c>
      <c r="FF200" t="str">
        <f t="shared" ca="1" si="38"/>
        <v/>
      </c>
      <c r="FG200" t="str">
        <f t="shared" ca="1" si="39"/>
        <v/>
      </c>
      <c r="FH200" t="str">
        <f t="shared" ca="1" si="40"/>
        <v/>
      </c>
      <c r="FI200" t="str">
        <f t="shared" ca="1" si="41"/>
        <v/>
      </c>
      <c r="FJ200" t="str">
        <f t="shared" ca="1" si="42"/>
        <v/>
      </c>
      <c r="FK200" t="str">
        <f t="shared" ref="FK200:FK263" ca="1" si="51">IF(FJ200&lt;&gt;"",LEFT(FJ200,LEN(FJ200)-1),"")</f>
        <v/>
      </c>
      <c r="FL200" t="str">
        <f t="shared" ca="1" si="43"/>
        <v>無</v>
      </c>
    </row>
    <row r="201" spans="93:168">
      <c r="CO201" s="5">
        <v>308</v>
      </c>
      <c r="CP201" s="57">
        <v>75000</v>
      </c>
      <c r="CQ201">
        <v>84</v>
      </c>
      <c r="EM201" s="133" t="s">
        <v>340</v>
      </c>
      <c r="ES201">
        <v>194</v>
      </c>
      <c r="ET201" t="s">
        <v>270</v>
      </c>
      <c r="EU201" t="s">
        <v>271</v>
      </c>
      <c r="EV201">
        <v>195</v>
      </c>
      <c r="EW201" t="str" cm="1">
        <f t="array" aca="1" ref="EW201" ca="1">INDIRECT("'5借入一覧'!"&amp;ET201&amp;EV201)&amp;INDIRECT("'5借入一覧'!"&amp;EU201&amp;EV201)</f>
        <v/>
      </c>
      <c r="EX201">
        <v>1</v>
      </c>
      <c r="EY201">
        <v>194</v>
      </c>
      <c r="EZ201" t="e">
        <f t="shared" ca="1" si="50"/>
        <v>#N/A</v>
      </c>
      <c r="FA201" t="e">
        <f t="shared" ca="1" si="50"/>
        <v>#N/A</v>
      </c>
      <c r="FB201" t="e">
        <f t="shared" ca="1" si="50"/>
        <v>#N/A</v>
      </c>
      <c r="FC201" t="e">
        <f t="shared" ca="1" si="50"/>
        <v>#N/A</v>
      </c>
      <c r="FD201" t="e">
        <f t="shared" ca="1" si="50"/>
        <v>#N/A</v>
      </c>
      <c r="FE201" t="str">
        <f t="shared" ref="FE201:FE264" ca="1" si="52">IFERROR(IF(EZ201&gt;0,EZ$7),"")</f>
        <v/>
      </c>
      <c r="FF201" t="str">
        <f t="shared" ref="FF201:FF264" ca="1" si="53">IFERROR(IF(FA201&gt;0,FA$7),"")</f>
        <v/>
      </c>
      <c r="FG201" t="str">
        <f t="shared" ref="FG201:FG264" ca="1" si="54">IFERROR(IF(FB201&gt;0,FB$7),"")</f>
        <v/>
      </c>
      <c r="FH201" t="str">
        <f t="shared" ref="FH201:FH264" ca="1" si="55">IFERROR(IF(FC201&gt;0,FC$7),"")</f>
        <v/>
      </c>
      <c r="FI201" t="str">
        <f t="shared" ref="FI201:FI264" ca="1" si="56">IFERROR(IF(FD201&gt;0,FD$7),"")</f>
        <v/>
      </c>
      <c r="FJ201" t="str">
        <f t="shared" ref="FJ201:FJ264" ca="1" si="57">FE201&amp;FF201&amp;FG201&amp;FH201&amp;FI201</f>
        <v/>
      </c>
      <c r="FK201" t="str">
        <f t="shared" ca="1" si="51"/>
        <v/>
      </c>
      <c r="FL201" t="str">
        <f t="shared" ref="FL201:FL264" ca="1" si="58">IF(FK201&lt;&gt;"",FK201&amp;"として提供中","無")</f>
        <v>無</v>
      </c>
    </row>
    <row r="202" spans="93:168">
      <c r="CO202" s="5">
        <v>304</v>
      </c>
      <c r="CP202" s="57">
        <v>75000</v>
      </c>
      <c r="CQ202">
        <v>84</v>
      </c>
      <c r="EM202" s="132" t="s">
        <v>326</v>
      </c>
      <c r="EN202">
        <v>11966117</v>
      </c>
      <c r="EO202">
        <v>4716306</v>
      </c>
      <c r="EP202">
        <v>16682423</v>
      </c>
      <c r="EQ202">
        <v>4279571270</v>
      </c>
      <c r="ES202">
        <v>195</v>
      </c>
      <c r="ET202" t="s">
        <v>270</v>
      </c>
      <c r="EU202" t="s">
        <v>271</v>
      </c>
      <c r="EV202">
        <v>196</v>
      </c>
      <c r="EW202" t="str" cm="1">
        <f t="array" aca="1" ref="EW202" ca="1">INDIRECT("'5借入一覧'!"&amp;ET202&amp;EV202)&amp;INDIRECT("'5借入一覧'!"&amp;EU202&amp;EV202)</f>
        <v/>
      </c>
      <c r="EX202">
        <v>1</v>
      </c>
      <c r="EY202">
        <v>195</v>
      </c>
      <c r="EZ202" t="e">
        <f t="shared" ca="1" si="50"/>
        <v>#N/A</v>
      </c>
      <c r="FA202" t="e">
        <f t="shared" ca="1" si="50"/>
        <v>#N/A</v>
      </c>
      <c r="FB202" t="e">
        <f t="shared" ca="1" si="50"/>
        <v>#N/A</v>
      </c>
      <c r="FC202" t="e">
        <f t="shared" ca="1" si="50"/>
        <v>#N/A</v>
      </c>
      <c r="FD202" t="e">
        <f t="shared" ca="1" si="50"/>
        <v>#N/A</v>
      </c>
      <c r="FE202" t="str">
        <f t="shared" ca="1" si="52"/>
        <v/>
      </c>
      <c r="FF202" t="str">
        <f t="shared" ca="1" si="53"/>
        <v/>
      </c>
      <c r="FG202" t="str">
        <f t="shared" ca="1" si="54"/>
        <v/>
      </c>
      <c r="FH202" t="str">
        <f t="shared" ca="1" si="55"/>
        <v/>
      </c>
      <c r="FI202" t="str">
        <f t="shared" ca="1" si="56"/>
        <v/>
      </c>
      <c r="FJ202" t="str">
        <f t="shared" ca="1" si="57"/>
        <v/>
      </c>
      <c r="FK202" t="str">
        <f t="shared" ca="1" si="51"/>
        <v/>
      </c>
      <c r="FL202" t="str">
        <f t="shared" ca="1" si="58"/>
        <v>無</v>
      </c>
    </row>
    <row r="203" spans="93:168">
      <c r="CO203" s="5">
        <v>49</v>
      </c>
      <c r="CP203" s="57">
        <v>74000</v>
      </c>
      <c r="CQ203">
        <v>85</v>
      </c>
      <c r="EM203" s="133" t="s">
        <v>5</v>
      </c>
      <c r="ES203">
        <v>196</v>
      </c>
      <c r="ET203" t="s">
        <v>270</v>
      </c>
      <c r="EU203" t="s">
        <v>271</v>
      </c>
      <c r="EV203">
        <v>197</v>
      </c>
      <c r="EW203" t="str" cm="1">
        <f t="array" aca="1" ref="EW203" ca="1">INDIRECT("'5借入一覧'!"&amp;ET203&amp;EV203)&amp;INDIRECT("'5借入一覧'!"&amp;EU203&amp;EV203)</f>
        <v/>
      </c>
      <c r="EX203">
        <v>1</v>
      </c>
      <c r="EY203">
        <v>196</v>
      </c>
      <c r="EZ203" t="e">
        <f t="shared" ca="1" si="50"/>
        <v>#N/A</v>
      </c>
      <c r="FA203" t="e">
        <f t="shared" ca="1" si="50"/>
        <v>#N/A</v>
      </c>
      <c r="FB203" t="e">
        <f t="shared" ca="1" si="50"/>
        <v>#N/A</v>
      </c>
      <c r="FC203" t="e">
        <f t="shared" ca="1" si="50"/>
        <v>#N/A</v>
      </c>
      <c r="FD203" t="e">
        <f t="shared" ca="1" si="50"/>
        <v>#N/A</v>
      </c>
      <c r="FE203" t="str">
        <f t="shared" ca="1" si="52"/>
        <v/>
      </c>
      <c r="FF203" t="str">
        <f t="shared" ca="1" si="53"/>
        <v/>
      </c>
      <c r="FG203" t="str">
        <f t="shared" ca="1" si="54"/>
        <v/>
      </c>
      <c r="FH203" t="str">
        <f t="shared" ca="1" si="55"/>
        <v/>
      </c>
      <c r="FI203" t="str">
        <f t="shared" ca="1" si="56"/>
        <v/>
      </c>
      <c r="FJ203" t="str">
        <f t="shared" ca="1" si="57"/>
        <v/>
      </c>
      <c r="FK203" t="str">
        <f t="shared" ca="1" si="51"/>
        <v/>
      </c>
      <c r="FL203" t="str">
        <f t="shared" ca="1" si="58"/>
        <v>無</v>
      </c>
    </row>
    <row r="204" spans="93:168">
      <c r="CO204" s="5">
        <v>84</v>
      </c>
      <c r="CP204" s="57">
        <v>73000</v>
      </c>
      <c r="CQ204">
        <v>86</v>
      </c>
      <c r="EM204" s="133" t="s">
        <v>216</v>
      </c>
      <c r="EN204">
        <v>437860</v>
      </c>
      <c r="EO204">
        <v>183356</v>
      </c>
      <c r="EP204">
        <v>621216</v>
      </c>
      <c r="EQ204">
        <v>146247653</v>
      </c>
      <c r="ES204">
        <v>197</v>
      </c>
      <c r="ET204" t="s">
        <v>270</v>
      </c>
      <c r="EU204" t="s">
        <v>271</v>
      </c>
      <c r="EV204">
        <v>198</v>
      </c>
      <c r="EW204" t="str" cm="1">
        <f t="array" aca="1" ref="EW204" ca="1">INDIRECT("'5借入一覧'!"&amp;ET204&amp;EV204)&amp;INDIRECT("'5借入一覧'!"&amp;EU204&amp;EV204)</f>
        <v/>
      </c>
      <c r="EX204">
        <v>1</v>
      </c>
      <c r="EY204">
        <v>197</v>
      </c>
      <c r="EZ204" t="e">
        <f t="shared" ca="1" si="50"/>
        <v>#N/A</v>
      </c>
      <c r="FA204" t="e">
        <f t="shared" ca="1" si="50"/>
        <v>#N/A</v>
      </c>
      <c r="FB204" t="e">
        <f t="shared" ca="1" si="50"/>
        <v>#N/A</v>
      </c>
      <c r="FC204" t="e">
        <f t="shared" ca="1" si="50"/>
        <v>#N/A</v>
      </c>
      <c r="FD204" t="e">
        <f t="shared" ca="1" si="50"/>
        <v>#N/A</v>
      </c>
      <c r="FE204" t="str">
        <f t="shared" ca="1" si="52"/>
        <v/>
      </c>
      <c r="FF204" t="str">
        <f t="shared" ca="1" si="53"/>
        <v/>
      </c>
      <c r="FG204" t="str">
        <f t="shared" ca="1" si="54"/>
        <v/>
      </c>
      <c r="FH204" t="str">
        <f t="shared" ca="1" si="55"/>
        <v/>
      </c>
      <c r="FI204" t="str">
        <f t="shared" ca="1" si="56"/>
        <v/>
      </c>
      <c r="FJ204" t="str">
        <f t="shared" ca="1" si="57"/>
        <v/>
      </c>
      <c r="FK204" t="str">
        <f t="shared" ca="1" si="51"/>
        <v/>
      </c>
      <c r="FL204" t="str">
        <f t="shared" ca="1" si="58"/>
        <v>無</v>
      </c>
    </row>
    <row r="205" spans="93:168">
      <c r="CO205" s="5">
        <v>88</v>
      </c>
      <c r="CP205" s="57">
        <v>72000</v>
      </c>
      <c r="CQ205">
        <v>87</v>
      </c>
      <c r="EM205" s="133" t="s">
        <v>237</v>
      </c>
      <c r="EN205">
        <v>1049552</v>
      </c>
      <c r="EO205">
        <v>299492</v>
      </c>
      <c r="EP205">
        <v>1349044</v>
      </c>
      <c r="EQ205">
        <v>325693047</v>
      </c>
      <c r="ES205">
        <v>198</v>
      </c>
      <c r="ET205" t="s">
        <v>270</v>
      </c>
      <c r="EU205" t="s">
        <v>271</v>
      </c>
      <c r="EV205">
        <v>199</v>
      </c>
      <c r="EW205" t="str" cm="1">
        <f t="array" aca="1" ref="EW205" ca="1">INDIRECT("'5借入一覧'!"&amp;ET205&amp;EV205)&amp;INDIRECT("'5借入一覧'!"&amp;EU205&amp;EV205)</f>
        <v/>
      </c>
      <c r="EX205">
        <v>1</v>
      </c>
      <c r="EY205">
        <v>198</v>
      </c>
      <c r="EZ205" t="e">
        <f t="shared" ca="1" si="50"/>
        <v>#N/A</v>
      </c>
      <c r="FA205" t="e">
        <f t="shared" ca="1" si="50"/>
        <v>#N/A</v>
      </c>
      <c r="FB205" t="e">
        <f t="shared" ca="1" si="50"/>
        <v>#N/A</v>
      </c>
      <c r="FC205" t="e">
        <f t="shared" ca="1" si="50"/>
        <v>#N/A</v>
      </c>
      <c r="FD205" t="e">
        <f t="shared" ca="1" si="50"/>
        <v>#N/A</v>
      </c>
      <c r="FE205" t="str">
        <f t="shared" ca="1" si="52"/>
        <v/>
      </c>
      <c r="FF205" t="str">
        <f t="shared" ca="1" si="53"/>
        <v/>
      </c>
      <c r="FG205" t="str">
        <f t="shared" ca="1" si="54"/>
        <v/>
      </c>
      <c r="FH205" t="str">
        <f t="shared" ca="1" si="55"/>
        <v/>
      </c>
      <c r="FI205" t="str">
        <f t="shared" ca="1" si="56"/>
        <v/>
      </c>
      <c r="FJ205" t="str">
        <f t="shared" ca="1" si="57"/>
        <v/>
      </c>
      <c r="FK205" t="str">
        <f t="shared" ca="1" si="51"/>
        <v/>
      </c>
      <c r="FL205" t="str">
        <f t="shared" ca="1" si="58"/>
        <v>無</v>
      </c>
    </row>
    <row r="206" spans="93:168">
      <c r="CO206" s="5">
        <v>20</v>
      </c>
      <c r="CP206" s="57">
        <v>72000</v>
      </c>
      <c r="CQ206">
        <v>87</v>
      </c>
      <c r="EM206" s="133" t="s">
        <v>268</v>
      </c>
      <c r="EN206">
        <v>613310</v>
      </c>
      <c r="EO206">
        <v>400259</v>
      </c>
      <c r="EP206">
        <v>1013569</v>
      </c>
      <c r="EQ206">
        <v>330636161</v>
      </c>
      <c r="ES206">
        <v>199</v>
      </c>
      <c r="ET206" t="s">
        <v>270</v>
      </c>
      <c r="EU206" t="s">
        <v>271</v>
      </c>
      <c r="EV206">
        <v>200</v>
      </c>
      <c r="EW206" t="str" cm="1">
        <f t="array" aca="1" ref="EW206" ca="1">INDIRECT("'5借入一覧'!"&amp;ET206&amp;EV206)&amp;INDIRECT("'5借入一覧'!"&amp;EU206&amp;EV206)</f>
        <v/>
      </c>
      <c r="EX206">
        <v>1</v>
      </c>
      <c r="EY206">
        <v>199</v>
      </c>
      <c r="EZ206" t="e">
        <f t="shared" ca="1" si="50"/>
        <v>#N/A</v>
      </c>
      <c r="FA206" t="e">
        <f t="shared" ca="1" si="50"/>
        <v>#N/A</v>
      </c>
      <c r="FB206" t="e">
        <f t="shared" ca="1" si="50"/>
        <v>#N/A</v>
      </c>
      <c r="FC206" t="e">
        <f t="shared" ca="1" si="50"/>
        <v>#N/A</v>
      </c>
      <c r="FD206" t="e">
        <f t="shared" ca="1" si="50"/>
        <v>#N/A</v>
      </c>
      <c r="FE206" t="str">
        <f t="shared" ca="1" si="52"/>
        <v/>
      </c>
      <c r="FF206" t="str">
        <f t="shared" ca="1" si="53"/>
        <v/>
      </c>
      <c r="FG206" t="str">
        <f t="shared" ca="1" si="54"/>
        <v/>
      </c>
      <c r="FH206" t="str">
        <f t="shared" ca="1" si="55"/>
        <v/>
      </c>
      <c r="FI206" t="str">
        <f t="shared" ca="1" si="56"/>
        <v/>
      </c>
      <c r="FJ206" t="str">
        <f t="shared" ca="1" si="57"/>
        <v/>
      </c>
      <c r="FK206" t="str">
        <f t="shared" ca="1" si="51"/>
        <v/>
      </c>
      <c r="FL206" t="str">
        <f t="shared" ca="1" si="58"/>
        <v>無</v>
      </c>
    </row>
    <row r="207" spans="93:168">
      <c r="CO207" s="5">
        <v>153</v>
      </c>
      <c r="CP207" s="57">
        <v>72000</v>
      </c>
      <c r="CQ207">
        <v>87</v>
      </c>
      <c r="EM207" s="133" t="s">
        <v>276</v>
      </c>
      <c r="EN207">
        <v>902892</v>
      </c>
      <c r="EO207">
        <v>513702</v>
      </c>
      <c r="EP207">
        <v>1416594</v>
      </c>
      <c r="EQ207">
        <v>473298872</v>
      </c>
      <c r="ES207">
        <v>200</v>
      </c>
      <c r="ET207" t="s">
        <v>270</v>
      </c>
      <c r="EU207" t="s">
        <v>271</v>
      </c>
      <c r="EV207">
        <v>201</v>
      </c>
      <c r="EW207" t="str" cm="1">
        <f t="array" aca="1" ref="EW207" ca="1">INDIRECT("'5借入一覧'!"&amp;ET207&amp;EV207)&amp;INDIRECT("'5借入一覧'!"&amp;EU207&amp;EV207)</f>
        <v/>
      </c>
      <c r="EX207">
        <v>1</v>
      </c>
      <c r="EY207">
        <v>200</v>
      </c>
      <c r="EZ207" t="e">
        <f t="shared" ca="1" si="50"/>
        <v>#N/A</v>
      </c>
      <c r="FA207" t="e">
        <f t="shared" ca="1" si="50"/>
        <v>#N/A</v>
      </c>
      <c r="FB207" t="e">
        <f t="shared" ca="1" si="50"/>
        <v>#N/A</v>
      </c>
      <c r="FC207" t="e">
        <f t="shared" ca="1" si="50"/>
        <v>#N/A</v>
      </c>
      <c r="FD207" t="e">
        <f t="shared" ca="1" si="50"/>
        <v>#N/A</v>
      </c>
      <c r="FE207" t="str">
        <f t="shared" ca="1" si="52"/>
        <v/>
      </c>
      <c r="FF207" t="str">
        <f t="shared" ca="1" si="53"/>
        <v/>
      </c>
      <c r="FG207" t="str">
        <f t="shared" ca="1" si="54"/>
        <v/>
      </c>
      <c r="FH207" t="str">
        <f t="shared" ca="1" si="55"/>
        <v/>
      </c>
      <c r="FI207" t="str">
        <f t="shared" ca="1" si="56"/>
        <v/>
      </c>
      <c r="FJ207" t="str">
        <f t="shared" ca="1" si="57"/>
        <v/>
      </c>
      <c r="FK207" t="str">
        <f t="shared" ca="1" si="51"/>
        <v/>
      </c>
      <c r="FL207" t="str">
        <f t="shared" ca="1" si="58"/>
        <v>無</v>
      </c>
    </row>
    <row r="208" spans="93:168">
      <c r="CO208" s="5">
        <v>140</v>
      </c>
      <c r="CP208" s="57">
        <v>71000</v>
      </c>
      <c r="CQ208">
        <v>88</v>
      </c>
      <c r="EM208" s="133" t="s">
        <v>281</v>
      </c>
      <c r="EN208">
        <v>328928</v>
      </c>
      <c r="EO208">
        <v>58976</v>
      </c>
      <c r="EP208">
        <v>387904</v>
      </c>
      <c r="EQ208">
        <v>70446823</v>
      </c>
      <c r="ES208">
        <v>201</v>
      </c>
      <c r="ET208" t="s">
        <v>270</v>
      </c>
      <c r="EU208" t="s">
        <v>271</v>
      </c>
      <c r="EV208">
        <v>202</v>
      </c>
      <c r="EW208" t="str" cm="1">
        <f t="array" aca="1" ref="EW208" ca="1">INDIRECT("'5借入一覧'!"&amp;ET208&amp;EV208)&amp;INDIRECT("'5借入一覧'!"&amp;EU208&amp;EV208)</f>
        <v/>
      </c>
      <c r="EX208">
        <v>1</v>
      </c>
      <c r="EY208">
        <v>201</v>
      </c>
      <c r="EZ208" t="e">
        <f t="shared" ref="EZ208:FD217" ca="1" si="59">VLOOKUP($EY208&amp;EZ$5,$EW$7:$EX$1101,2,FALSE)</f>
        <v>#N/A</v>
      </c>
      <c r="FA208" t="e">
        <f t="shared" ca="1" si="59"/>
        <v>#N/A</v>
      </c>
      <c r="FB208" t="e">
        <f t="shared" ca="1" si="59"/>
        <v>#N/A</v>
      </c>
      <c r="FC208" t="e">
        <f t="shared" ca="1" si="59"/>
        <v>#N/A</v>
      </c>
      <c r="FD208" t="e">
        <f t="shared" ca="1" si="59"/>
        <v>#N/A</v>
      </c>
      <c r="FE208" t="str">
        <f t="shared" ca="1" si="52"/>
        <v/>
      </c>
      <c r="FF208" t="str">
        <f t="shared" ca="1" si="53"/>
        <v/>
      </c>
      <c r="FG208" t="str">
        <f t="shared" ca="1" si="54"/>
        <v/>
      </c>
      <c r="FH208" t="str">
        <f t="shared" ca="1" si="55"/>
        <v/>
      </c>
      <c r="FI208" t="str">
        <f t="shared" ca="1" si="56"/>
        <v/>
      </c>
      <c r="FJ208" t="str">
        <f t="shared" ca="1" si="57"/>
        <v/>
      </c>
      <c r="FK208" t="str">
        <f t="shared" ca="1" si="51"/>
        <v/>
      </c>
      <c r="FL208" t="str">
        <f t="shared" ca="1" si="58"/>
        <v>無</v>
      </c>
    </row>
    <row r="209" spans="93:168">
      <c r="CO209" s="5">
        <v>305</v>
      </c>
      <c r="CP209" s="57">
        <v>70000</v>
      </c>
      <c r="CQ209">
        <v>89</v>
      </c>
      <c r="EM209" s="133" t="s">
        <v>285</v>
      </c>
      <c r="EN209">
        <v>982474</v>
      </c>
      <c r="EO209">
        <v>314688</v>
      </c>
      <c r="EP209">
        <v>1297162</v>
      </c>
      <c r="EQ209">
        <v>313706389</v>
      </c>
      <c r="ES209">
        <v>202</v>
      </c>
      <c r="ET209" t="s">
        <v>270</v>
      </c>
      <c r="EU209" t="s">
        <v>271</v>
      </c>
      <c r="EV209">
        <v>203</v>
      </c>
      <c r="EW209" t="str" cm="1">
        <f t="array" aca="1" ref="EW209" ca="1">INDIRECT("'5借入一覧'!"&amp;ET209&amp;EV209)&amp;INDIRECT("'5借入一覧'!"&amp;EU209&amp;EV209)</f>
        <v/>
      </c>
      <c r="EX209">
        <v>1</v>
      </c>
      <c r="EY209">
        <v>202</v>
      </c>
      <c r="EZ209" t="e">
        <f t="shared" ca="1" si="59"/>
        <v>#N/A</v>
      </c>
      <c r="FA209" t="e">
        <f t="shared" ca="1" si="59"/>
        <v>#N/A</v>
      </c>
      <c r="FB209" t="e">
        <f t="shared" ca="1" si="59"/>
        <v>#N/A</v>
      </c>
      <c r="FC209" t="e">
        <f t="shared" ca="1" si="59"/>
        <v>#N/A</v>
      </c>
      <c r="FD209" t="e">
        <f t="shared" ca="1" si="59"/>
        <v>#N/A</v>
      </c>
      <c r="FE209" t="str">
        <f t="shared" ca="1" si="52"/>
        <v/>
      </c>
      <c r="FF209" t="str">
        <f t="shared" ca="1" si="53"/>
        <v/>
      </c>
      <c r="FG209" t="str">
        <f t="shared" ca="1" si="54"/>
        <v/>
      </c>
      <c r="FH209" t="str">
        <f t="shared" ca="1" si="55"/>
        <v/>
      </c>
      <c r="FI209" t="str">
        <f t="shared" ca="1" si="56"/>
        <v/>
      </c>
      <c r="FJ209" t="str">
        <f t="shared" ca="1" si="57"/>
        <v/>
      </c>
      <c r="FK209" t="str">
        <f t="shared" ca="1" si="51"/>
        <v/>
      </c>
      <c r="FL209" t="str">
        <f t="shared" ca="1" si="58"/>
        <v>無</v>
      </c>
    </row>
    <row r="210" spans="93:168">
      <c r="CO210" s="5">
        <v>170</v>
      </c>
      <c r="CP210" s="57">
        <v>70000</v>
      </c>
      <c r="CQ210">
        <v>89</v>
      </c>
      <c r="EM210" s="133" t="s">
        <v>290</v>
      </c>
      <c r="EN210">
        <v>324776</v>
      </c>
      <c r="EO210">
        <v>180387</v>
      </c>
      <c r="EP210">
        <v>505163</v>
      </c>
      <c r="EQ210">
        <v>166191734</v>
      </c>
      <c r="ES210">
        <v>203</v>
      </c>
      <c r="ET210" t="s">
        <v>270</v>
      </c>
      <c r="EU210" t="s">
        <v>271</v>
      </c>
      <c r="EV210">
        <v>204</v>
      </c>
      <c r="EW210" t="str" cm="1">
        <f t="array" aca="1" ref="EW210" ca="1">INDIRECT("'5借入一覧'!"&amp;ET210&amp;EV210)&amp;INDIRECT("'5借入一覧'!"&amp;EU210&amp;EV210)</f>
        <v/>
      </c>
      <c r="EX210">
        <v>1</v>
      </c>
      <c r="EY210">
        <v>203</v>
      </c>
      <c r="EZ210" t="e">
        <f t="shared" ca="1" si="59"/>
        <v>#N/A</v>
      </c>
      <c r="FA210" t="e">
        <f t="shared" ca="1" si="59"/>
        <v>#N/A</v>
      </c>
      <c r="FB210" t="e">
        <f t="shared" ca="1" si="59"/>
        <v>#N/A</v>
      </c>
      <c r="FC210" t="e">
        <f t="shared" ca="1" si="59"/>
        <v>#N/A</v>
      </c>
      <c r="FD210" t="e">
        <f t="shared" ca="1" si="59"/>
        <v>#N/A</v>
      </c>
      <c r="FE210" t="str">
        <f t="shared" ca="1" si="52"/>
        <v/>
      </c>
      <c r="FF210" t="str">
        <f t="shared" ca="1" si="53"/>
        <v/>
      </c>
      <c r="FG210" t="str">
        <f t="shared" ca="1" si="54"/>
        <v/>
      </c>
      <c r="FH210" t="str">
        <f t="shared" ca="1" si="55"/>
        <v/>
      </c>
      <c r="FI210" t="str">
        <f t="shared" ca="1" si="56"/>
        <v/>
      </c>
      <c r="FJ210" t="str">
        <f t="shared" ca="1" si="57"/>
        <v/>
      </c>
      <c r="FK210" t="str">
        <f t="shared" ca="1" si="51"/>
        <v/>
      </c>
      <c r="FL210" t="str">
        <f t="shared" ca="1" si="58"/>
        <v>無</v>
      </c>
    </row>
    <row r="211" spans="93:168">
      <c r="CO211" s="5">
        <v>13</v>
      </c>
      <c r="CP211" s="57">
        <v>70000</v>
      </c>
      <c r="CQ211">
        <v>89</v>
      </c>
      <c r="EM211" s="133" t="s">
        <v>295</v>
      </c>
      <c r="EN211">
        <v>224843</v>
      </c>
      <c r="EO211">
        <v>146653</v>
      </c>
      <c r="EP211">
        <v>371496</v>
      </c>
      <c r="EQ211">
        <v>104842675</v>
      </c>
      <c r="ES211">
        <v>204</v>
      </c>
      <c r="ET211" t="s">
        <v>270</v>
      </c>
      <c r="EU211" t="s">
        <v>271</v>
      </c>
      <c r="EV211">
        <v>205</v>
      </c>
      <c r="EW211" t="str" cm="1">
        <f t="array" aca="1" ref="EW211" ca="1">INDIRECT("'5借入一覧'!"&amp;ET211&amp;EV211)&amp;INDIRECT("'5借入一覧'!"&amp;EU211&amp;EV211)</f>
        <v/>
      </c>
      <c r="EX211">
        <v>1</v>
      </c>
      <c r="EY211">
        <v>204</v>
      </c>
      <c r="EZ211" t="e">
        <f t="shared" ca="1" si="59"/>
        <v>#N/A</v>
      </c>
      <c r="FA211" t="e">
        <f t="shared" ca="1" si="59"/>
        <v>#N/A</v>
      </c>
      <c r="FB211" t="e">
        <f t="shared" ca="1" si="59"/>
        <v>#N/A</v>
      </c>
      <c r="FC211" t="e">
        <f t="shared" ca="1" si="59"/>
        <v>#N/A</v>
      </c>
      <c r="FD211" t="e">
        <f t="shared" ca="1" si="59"/>
        <v>#N/A</v>
      </c>
      <c r="FE211" t="str">
        <f t="shared" ca="1" si="52"/>
        <v/>
      </c>
      <c r="FF211" t="str">
        <f t="shared" ca="1" si="53"/>
        <v/>
      </c>
      <c r="FG211" t="str">
        <f t="shared" ca="1" si="54"/>
        <v/>
      </c>
      <c r="FH211" t="str">
        <f t="shared" ca="1" si="55"/>
        <v/>
      </c>
      <c r="FI211" t="str">
        <f t="shared" ca="1" si="56"/>
        <v/>
      </c>
      <c r="FJ211" t="str">
        <f t="shared" ca="1" si="57"/>
        <v/>
      </c>
      <c r="FK211" t="str">
        <f t="shared" ca="1" si="51"/>
        <v/>
      </c>
      <c r="FL211" t="str">
        <f t="shared" ca="1" si="58"/>
        <v>無</v>
      </c>
    </row>
    <row r="212" spans="93:168">
      <c r="CO212" s="5">
        <v>17</v>
      </c>
      <c r="CP212" s="57">
        <v>70000</v>
      </c>
      <c r="CQ212">
        <v>89</v>
      </c>
      <c r="EM212" s="133" t="s">
        <v>302</v>
      </c>
      <c r="EN212">
        <v>712666</v>
      </c>
      <c r="EO212">
        <v>139065</v>
      </c>
      <c r="EP212">
        <v>851731</v>
      </c>
      <c r="EQ212">
        <v>166166517</v>
      </c>
      <c r="ES212">
        <v>205</v>
      </c>
      <c r="ET212" t="s">
        <v>270</v>
      </c>
      <c r="EU212" t="s">
        <v>271</v>
      </c>
      <c r="EV212">
        <v>206</v>
      </c>
      <c r="EW212" t="str" cm="1">
        <f t="array" aca="1" ref="EW212" ca="1">INDIRECT("'5借入一覧'!"&amp;ET212&amp;EV212)&amp;INDIRECT("'5借入一覧'!"&amp;EU212&amp;EV212)</f>
        <v/>
      </c>
      <c r="EX212">
        <v>1</v>
      </c>
      <c r="EY212">
        <v>205</v>
      </c>
      <c r="EZ212" t="e">
        <f t="shared" ca="1" si="59"/>
        <v>#N/A</v>
      </c>
      <c r="FA212" t="e">
        <f t="shared" ca="1" si="59"/>
        <v>#N/A</v>
      </c>
      <c r="FB212" t="e">
        <f t="shared" ca="1" si="59"/>
        <v>#N/A</v>
      </c>
      <c r="FC212" t="e">
        <f t="shared" ca="1" si="59"/>
        <v>#N/A</v>
      </c>
      <c r="FD212" t="e">
        <f t="shared" ca="1" si="59"/>
        <v>#N/A</v>
      </c>
      <c r="FE212" t="str">
        <f t="shared" ca="1" si="52"/>
        <v/>
      </c>
      <c r="FF212" t="str">
        <f t="shared" ca="1" si="53"/>
        <v/>
      </c>
      <c r="FG212" t="str">
        <f t="shared" ca="1" si="54"/>
        <v/>
      </c>
      <c r="FH212" t="str">
        <f t="shared" ca="1" si="55"/>
        <v/>
      </c>
      <c r="FI212" t="str">
        <f t="shared" ca="1" si="56"/>
        <v/>
      </c>
      <c r="FJ212" t="str">
        <f t="shared" ca="1" si="57"/>
        <v/>
      </c>
      <c r="FK212" t="str">
        <f t="shared" ca="1" si="51"/>
        <v/>
      </c>
      <c r="FL212" t="str">
        <f t="shared" ca="1" si="58"/>
        <v>無</v>
      </c>
    </row>
    <row r="213" spans="93:168">
      <c r="CO213" s="5">
        <v>86</v>
      </c>
      <c r="CP213" s="57">
        <v>70000</v>
      </c>
      <c r="CQ213">
        <v>89</v>
      </c>
      <c r="EM213" s="133" t="s">
        <v>4</v>
      </c>
      <c r="ES213">
        <v>206</v>
      </c>
      <c r="ET213" t="s">
        <v>270</v>
      </c>
      <c r="EU213" t="s">
        <v>271</v>
      </c>
      <c r="EV213">
        <v>207</v>
      </c>
      <c r="EW213" t="str" cm="1">
        <f t="array" aca="1" ref="EW213" ca="1">INDIRECT("'5借入一覧'!"&amp;ET213&amp;EV213)&amp;INDIRECT("'5借入一覧'!"&amp;EU213&amp;EV213)</f>
        <v/>
      </c>
      <c r="EX213">
        <v>1</v>
      </c>
      <c r="EY213">
        <v>206</v>
      </c>
      <c r="EZ213" t="e">
        <f t="shared" ca="1" si="59"/>
        <v>#N/A</v>
      </c>
      <c r="FA213" t="e">
        <f t="shared" ca="1" si="59"/>
        <v>#N/A</v>
      </c>
      <c r="FB213" t="e">
        <f t="shared" ca="1" si="59"/>
        <v>#N/A</v>
      </c>
      <c r="FC213" t="e">
        <f t="shared" ca="1" si="59"/>
        <v>#N/A</v>
      </c>
      <c r="FD213" t="e">
        <f t="shared" ca="1" si="59"/>
        <v>#N/A</v>
      </c>
      <c r="FE213" t="str">
        <f t="shared" ca="1" si="52"/>
        <v/>
      </c>
      <c r="FF213" t="str">
        <f t="shared" ca="1" si="53"/>
        <v/>
      </c>
      <c r="FG213" t="str">
        <f t="shared" ca="1" si="54"/>
        <v/>
      </c>
      <c r="FH213" t="str">
        <f t="shared" ca="1" si="55"/>
        <v/>
      </c>
      <c r="FI213" t="str">
        <f t="shared" ca="1" si="56"/>
        <v/>
      </c>
      <c r="FJ213" t="str">
        <f t="shared" ca="1" si="57"/>
        <v/>
      </c>
      <c r="FK213" t="str">
        <f t="shared" ca="1" si="51"/>
        <v/>
      </c>
      <c r="FL213" t="str">
        <f t="shared" ca="1" si="58"/>
        <v>無</v>
      </c>
    </row>
    <row r="214" spans="93:168">
      <c r="CO214" s="5">
        <v>3</v>
      </c>
      <c r="CP214" s="57">
        <v>69800</v>
      </c>
      <c r="CQ214">
        <v>90</v>
      </c>
      <c r="EM214" s="133" t="s">
        <v>272</v>
      </c>
      <c r="ES214">
        <v>207</v>
      </c>
      <c r="ET214" t="s">
        <v>270</v>
      </c>
      <c r="EU214" t="s">
        <v>271</v>
      </c>
      <c r="EV214">
        <v>208</v>
      </c>
      <c r="EW214" t="str" cm="1">
        <f t="array" aca="1" ref="EW214" ca="1">INDIRECT("'5借入一覧'!"&amp;ET214&amp;EV214)&amp;INDIRECT("'5借入一覧'!"&amp;EU214&amp;EV214)</f>
        <v/>
      </c>
      <c r="EX214">
        <v>1</v>
      </c>
      <c r="EY214">
        <v>207</v>
      </c>
      <c r="EZ214" t="e">
        <f t="shared" ca="1" si="59"/>
        <v>#N/A</v>
      </c>
      <c r="FA214" t="e">
        <f t="shared" ca="1" si="59"/>
        <v>#N/A</v>
      </c>
      <c r="FB214" t="e">
        <f t="shared" ca="1" si="59"/>
        <v>#N/A</v>
      </c>
      <c r="FC214" t="e">
        <f t="shared" ca="1" si="59"/>
        <v>#N/A</v>
      </c>
      <c r="FD214" t="e">
        <f t="shared" ca="1" si="59"/>
        <v>#N/A</v>
      </c>
      <c r="FE214" t="str">
        <f t="shared" ca="1" si="52"/>
        <v/>
      </c>
      <c r="FF214" t="str">
        <f t="shared" ca="1" si="53"/>
        <v/>
      </c>
      <c r="FG214" t="str">
        <f t="shared" ca="1" si="54"/>
        <v/>
      </c>
      <c r="FH214" t="str">
        <f t="shared" ca="1" si="55"/>
        <v/>
      </c>
      <c r="FI214" t="str">
        <f t="shared" ca="1" si="56"/>
        <v/>
      </c>
      <c r="FJ214" t="str">
        <f t="shared" ca="1" si="57"/>
        <v/>
      </c>
      <c r="FK214" t="str">
        <f t="shared" ca="1" si="51"/>
        <v/>
      </c>
      <c r="FL214" t="str">
        <f t="shared" ca="1" si="58"/>
        <v>無</v>
      </c>
    </row>
    <row r="215" spans="93:168">
      <c r="CO215" s="5">
        <v>16</v>
      </c>
      <c r="CP215" s="57">
        <v>69000</v>
      </c>
      <c r="CQ215">
        <v>91</v>
      </c>
      <c r="EM215" s="133" t="s">
        <v>313</v>
      </c>
      <c r="EN215">
        <v>1209934</v>
      </c>
      <c r="EO215">
        <v>468878</v>
      </c>
      <c r="EP215">
        <v>1678812</v>
      </c>
      <c r="EQ215">
        <v>407992887</v>
      </c>
      <c r="ES215">
        <v>208</v>
      </c>
      <c r="ET215" t="s">
        <v>270</v>
      </c>
      <c r="EU215" t="s">
        <v>271</v>
      </c>
      <c r="EV215">
        <v>209</v>
      </c>
      <c r="EW215" t="str" cm="1">
        <f t="array" aca="1" ref="EW215" ca="1">INDIRECT("'5借入一覧'!"&amp;ET215&amp;EV215)&amp;INDIRECT("'5借入一覧'!"&amp;EU215&amp;EV215)</f>
        <v/>
      </c>
      <c r="EX215">
        <v>1</v>
      </c>
      <c r="EY215">
        <v>208</v>
      </c>
      <c r="EZ215" t="e">
        <f t="shared" ca="1" si="59"/>
        <v>#N/A</v>
      </c>
      <c r="FA215" t="e">
        <f t="shared" ca="1" si="59"/>
        <v>#N/A</v>
      </c>
      <c r="FB215" t="e">
        <f t="shared" ca="1" si="59"/>
        <v>#N/A</v>
      </c>
      <c r="FC215" t="e">
        <f t="shared" ca="1" si="59"/>
        <v>#N/A</v>
      </c>
      <c r="FD215" t="e">
        <f t="shared" ca="1" si="59"/>
        <v>#N/A</v>
      </c>
      <c r="FE215" t="str">
        <f t="shared" ca="1" si="52"/>
        <v/>
      </c>
      <c r="FF215" t="str">
        <f t="shared" ca="1" si="53"/>
        <v/>
      </c>
      <c r="FG215" t="str">
        <f t="shared" ca="1" si="54"/>
        <v/>
      </c>
      <c r="FH215" t="str">
        <f t="shared" ca="1" si="55"/>
        <v/>
      </c>
      <c r="FI215" t="str">
        <f t="shared" ca="1" si="56"/>
        <v/>
      </c>
      <c r="FJ215" t="str">
        <f t="shared" ca="1" si="57"/>
        <v/>
      </c>
      <c r="FK215" t="str">
        <f t="shared" ca="1" si="51"/>
        <v/>
      </c>
      <c r="FL215" t="str">
        <f t="shared" ca="1" si="58"/>
        <v>無</v>
      </c>
    </row>
    <row r="216" spans="93:168">
      <c r="CO216" s="5">
        <v>300</v>
      </c>
      <c r="CP216" s="57">
        <v>69000</v>
      </c>
      <c r="CQ216">
        <v>91</v>
      </c>
      <c r="EM216" s="133" t="s">
        <v>316</v>
      </c>
      <c r="EN216">
        <v>1050252</v>
      </c>
      <c r="EO216">
        <v>674466</v>
      </c>
      <c r="EP216">
        <v>1724718</v>
      </c>
      <c r="EQ216">
        <v>489470974</v>
      </c>
      <c r="ES216">
        <v>209</v>
      </c>
      <c r="ET216" t="s">
        <v>270</v>
      </c>
      <c r="EU216" t="s">
        <v>271</v>
      </c>
      <c r="EV216">
        <v>210</v>
      </c>
      <c r="EW216" t="str" cm="1">
        <f t="array" aca="1" ref="EW216" ca="1">INDIRECT("'5借入一覧'!"&amp;ET216&amp;EV216)&amp;INDIRECT("'5借入一覧'!"&amp;EU216&amp;EV216)</f>
        <v/>
      </c>
      <c r="EX216">
        <v>1</v>
      </c>
      <c r="EY216">
        <v>209</v>
      </c>
      <c r="EZ216" t="e">
        <f t="shared" ca="1" si="59"/>
        <v>#N/A</v>
      </c>
      <c r="FA216" t="e">
        <f t="shared" ca="1" si="59"/>
        <v>#N/A</v>
      </c>
      <c r="FB216" t="e">
        <f t="shared" ca="1" si="59"/>
        <v>#N/A</v>
      </c>
      <c r="FC216" t="e">
        <f t="shared" ca="1" si="59"/>
        <v>#N/A</v>
      </c>
      <c r="FD216" t="e">
        <f t="shared" ca="1" si="59"/>
        <v>#N/A</v>
      </c>
      <c r="FE216" t="str">
        <f t="shared" ca="1" si="52"/>
        <v/>
      </c>
      <c r="FF216" t="str">
        <f t="shared" ca="1" si="53"/>
        <v/>
      </c>
      <c r="FG216" t="str">
        <f t="shared" ca="1" si="54"/>
        <v/>
      </c>
      <c r="FH216" t="str">
        <f t="shared" ca="1" si="55"/>
        <v/>
      </c>
      <c r="FI216" t="str">
        <f t="shared" ca="1" si="56"/>
        <v/>
      </c>
      <c r="FJ216" t="str">
        <f t="shared" ca="1" si="57"/>
        <v/>
      </c>
      <c r="FK216" t="str">
        <f t="shared" ca="1" si="51"/>
        <v/>
      </c>
      <c r="FL216" t="str">
        <f t="shared" ca="1" si="58"/>
        <v>無</v>
      </c>
    </row>
    <row r="217" spans="93:168">
      <c r="CO217" s="5">
        <v>246</v>
      </c>
      <c r="CP217" s="57">
        <v>69000</v>
      </c>
      <c r="CQ217">
        <v>91</v>
      </c>
      <c r="EM217" s="133" t="s">
        <v>320</v>
      </c>
      <c r="EN217">
        <v>970634</v>
      </c>
      <c r="EO217">
        <v>241754</v>
      </c>
      <c r="EP217">
        <v>1212388</v>
      </c>
      <c r="EQ217">
        <v>289146337</v>
      </c>
      <c r="ES217">
        <v>210</v>
      </c>
      <c r="ET217" t="s">
        <v>270</v>
      </c>
      <c r="EU217" t="s">
        <v>271</v>
      </c>
      <c r="EV217">
        <v>211</v>
      </c>
      <c r="EW217" t="str" cm="1">
        <f t="array" aca="1" ref="EW217" ca="1">INDIRECT("'5借入一覧'!"&amp;ET217&amp;EV217)&amp;INDIRECT("'5借入一覧'!"&amp;EU217&amp;EV217)</f>
        <v/>
      </c>
      <c r="EX217">
        <v>1</v>
      </c>
      <c r="EY217">
        <v>210</v>
      </c>
      <c r="EZ217" t="e">
        <f t="shared" ca="1" si="59"/>
        <v>#N/A</v>
      </c>
      <c r="FA217" t="e">
        <f t="shared" ca="1" si="59"/>
        <v>#N/A</v>
      </c>
      <c r="FB217" t="e">
        <f t="shared" ca="1" si="59"/>
        <v>#N/A</v>
      </c>
      <c r="FC217" t="e">
        <f t="shared" ca="1" si="59"/>
        <v>#N/A</v>
      </c>
      <c r="FD217" t="e">
        <f t="shared" ca="1" si="59"/>
        <v>#N/A</v>
      </c>
      <c r="FE217" t="str">
        <f t="shared" ca="1" si="52"/>
        <v/>
      </c>
      <c r="FF217" t="str">
        <f t="shared" ca="1" si="53"/>
        <v/>
      </c>
      <c r="FG217" t="str">
        <f t="shared" ca="1" si="54"/>
        <v/>
      </c>
      <c r="FH217" t="str">
        <f t="shared" ca="1" si="55"/>
        <v/>
      </c>
      <c r="FI217" t="str">
        <f t="shared" ca="1" si="56"/>
        <v/>
      </c>
      <c r="FJ217" t="str">
        <f t="shared" ca="1" si="57"/>
        <v/>
      </c>
      <c r="FK217" t="str">
        <f t="shared" ca="1" si="51"/>
        <v/>
      </c>
      <c r="FL217" t="str">
        <f t="shared" ca="1" si="58"/>
        <v>無</v>
      </c>
    </row>
    <row r="218" spans="93:168">
      <c r="CO218" s="5">
        <v>52</v>
      </c>
      <c r="CP218" s="57">
        <v>68000</v>
      </c>
      <c r="CQ218">
        <v>92</v>
      </c>
      <c r="EM218" s="133" t="s">
        <v>324</v>
      </c>
      <c r="EN218">
        <v>294357</v>
      </c>
      <c r="EO218">
        <v>191699</v>
      </c>
      <c r="EP218">
        <v>486056</v>
      </c>
      <c r="EQ218">
        <v>139123336</v>
      </c>
      <c r="ES218">
        <v>211</v>
      </c>
      <c r="ET218" t="s">
        <v>270</v>
      </c>
      <c r="EU218" t="s">
        <v>271</v>
      </c>
      <c r="EV218">
        <v>212</v>
      </c>
      <c r="EW218" t="str" cm="1">
        <f t="array" aca="1" ref="EW218" ca="1">INDIRECT("'5借入一覧'!"&amp;ET218&amp;EV218)&amp;INDIRECT("'5借入一覧'!"&amp;EU218&amp;EV218)</f>
        <v/>
      </c>
      <c r="EX218">
        <v>1</v>
      </c>
      <c r="EY218">
        <v>211</v>
      </c>
      <c r="EZ218" t="e">
        <f t="shared" ref="EZ218:FD227" ca="1" si="60">VLOOKUP($EY218&amp;EZ$5,$EW$7:$EX$1101,2,FALSE)</f>
        <v>#N/A</v>
      </c>
      <c r="FA218" t="e">
        <f t="shared" ca="1" si="60"/>
        <v>#N/A</v>
      </c>
      <c r="FB218" t="e">
        <f t="shared" ca="1" si="60"/>
        <v>#N/A</v>
      </c>
      <c r="FC218" t="e">
        <f t="shared" ca="1" si="60"/>
        <v>#N/A</v>
      </c>
      <c r="FD218" t="e">
        <f t="shared" ca="1" si="60"/>
        <v>#N/A</v>
      </c>
      <c r="FE218" t="str">
        <f t="shared" ca="1" si="52"/>
        <v/>
      </c>
      <c r="FF218" t="str">
        <f t="shared" ca="1" si="53"/>
        <v/>
      </c>
      <c r="FG218" t="str">
        <f t="shared" ca="1" si="54"/>
        <v/>
      </c>
      <c r="FH218" t="str">
        <f t="shared" ca="1" si="55"/>
        <v/>
      </c>
      <c r="FI218" t="str">
        <f t="shared" ca="1" si="56"/>
        <v/>
      </c>
      <c r="FJ218" t="str">
        <f t="shared" ca="1" si="57"/>
        <v/>
      </c>
      <c r="FK218" t="str">
        <f t="shared" ca="1" si="51"/>
        <v/>
      </c>
      <c r="FL218" t="str">
        <f t="shared" ca="1" si="58"/>
        <v>無</v>
      </c>
    </row>
    <row r="219" spans="93:168">
      <c r="CO219" s="5">
        <v>34</v>
      </c>
      <c r="CP219" s="57">
        <v>68000</v>
      </c>
      <c r="CQ219">
        <v>92</v>
      </c>
      <c r="EM219" s="133" t="s">
        <v>327</v>
      </c>
      <c r="EN219">
        <v>1111644</v>
      </c>
      <c r="EO219">
        <v>398578</v>
      </c>
      <c r="EP219">
        <v>1510222</v>
      </c>
      <c r="EQ219">
        <v>366807279</v>
      </c>
      <c r="ES219">
        <v>212</v>
      </c>
      <c r="ET219" t="s">
        <v>270</v>
      </c>
      <c r="EU219" t="s">
        <v>271</v>
      </c>
      <c r="EV219">
        <v>213</v>
      </c>
      <c r="EW219" t="str" cm="1">
        <f t="array" aca="1" ref="EW219" ca="1">INDIRECT("'5借入一覧'!"&amp;ET219&amp;EV219)&amp;INDIRECT("'5借入一覧'!"&amp;EU219&amp;EV219)</f>
        <v/>
      </c>
      <c r="EX219">
        <v>1</v>
      </c>
      <c r="EY219">
        <v>212</v>
      </c>
      <c r="EZ219" t="e">
        <f t="shared" ca="1" si="60"/>
        <v>#N/A</v>
      </c>
      <c r="FA219" t="e">
        <f t="shared" ca="1" si="60"/>
        <v>#N/A</v>
      </c>
      <c r="FB219" t="e">
        <f t="shared" ca="1" si="60"/>
        <v>#N/A</v>
      </c>
      <c r="FC219" t="e">
        <f t="shared" ca="1" si="60"/>
        <v>#N/A</v>
      </c>
      <c r="FD219" t="e">
        <f t="shared" ca="1" si="60"/>
        <v>#N/A</v>
      </c>
      <c r="FE219" t="str">
        <f t="shared" ca="1" si="52"/>
        <v/>
      </c>
      <c r="FF219" t="str">
        <f t="shared" ca="1" si="53"/>
        <v/>
      </c>
      <c r="FG219" t="str">
        <f t="shared" ca="1" si="54"/>
        <v/>
      </c>
      <c r="FH219" t="str">
        <f t="shared" ca="1" si="55"/>
        <v/>
      </c>
      <c r="FI219" t="str">
        <f t="shared" ca="1" si="56"/>
        <v/>
      </c>
      <c r="FJ219" t="str">
        <f t="shared" ca="1" si="57"/>
        <v/>
      </c>
      <c r="FK219" t="str">
        <f t="shared" ca="1" si="51"/>
        <v/>
      </c>
      <c r="FL219" t="str">
        <f t="shared" ca="1" si="58"/>
        <v>無</v>
      </c>
    </row>
    <row r="220" spans="93:168">
      <c r="CO220" s="5">
        <v>33</v>
      </c>
      <c r="CP220" s="57">
        <v>68000</v>
      </c>
      <c r="CQ220">
        <v>92</v>
      </c>
      <c r="EM220" s="133" t="s">
        <v>291</v>
      </c>
      <c r="EN220">
        <v>845627</v>
      </c>
      <c r="EO220">
        <v>156620</v>
      </c>
      <c r="EP220">
        <v>1002247</v>
      </c>
      <c r="EQ220">
        <v>187106609</v>
      </c>
      <c r="ES220">
        <v>213</v>
      </c>
      <c r="ET220" t="s">
        <v>270</v>
      </c>
      <c r="EU220" t="s">
        <v>271</v>
      </c>
      <c r="EV220">
        <v>214</v>
      </c>
      <c r="EW220" t="str" cm="1">
        <f t="array" aca="1" ref="EW220" ca="1">INDIRECT("'5借入一覧'!"&amp;ET220&amp;EV220)&amp;INDIRECT("'5借入一覧'!"&amp;EU220&amp;EV220)</f>
        <v/>
      </c>
      <c r="EX220">
        <v>1</v>
      </c>
      <c r="EY220">
        <v>213</v>
      </c>
      <c r="EZ220" t="e">
        <f t="shared" ca="1" si="60"/>
        <v>#N/A</v>
      </c>
      <c r="FA220" t="e">
        <f t="shared" ca="1" si="60"/>
        <v>#N/A</v>
      </c>
      <c r="FB220" t="e">
        <f t="shared" ca="1" si="60"/>
        <v>#N/A</v>
      </c>
      <c r="FC220" t="e">
        <f t="shared" ca="1" si="60"/>
        <v>#N/A</v>
      </c>
      <c r="FD220" t="e">
        <f t="shared" ca="1" si="60"/>
        <v>#N/A</v>
      </c>
      <c r="FE220" t="str">
        <f t="shared" ca="1" si="52"/>
        <v/>
      </c>
      <c r="FF220" t="str">
        <f t="shared" ca="1" si="53"/>
        <v/>
      </c>
      <c r="FG220" t="str">
        <f t="shared" ca="1" si="54"/>
        <v/>
      </c>
      <c r="FH220" t="str">
        <f t="shared" ca="1" si="55"/>
        <v/>
      </c>
      <c r="FI220" t="str">
        <f t="shared" ca="1" si="56"/>
        <v/>
      </c>
      <c r="FJ220" t="str">
        <f t="shared" ca="1" si="57"/>
        <v/>
      </c>
      <c r="FK220" t="str">
        <f t="shared" ca="1" si="51"/>
        <v/>
      </c>
      <c r="FL220" t="str">
        <f t="shared" ca="1" si="58"/>
        <v>無</v>
      </c>
    </row>
    <row r="221" spans="93:168">
      <c r="CO221" s="5">
        <v>168</v>
      </c>
      <c r="CP221" s="57">
        <v>68000</v>
      </c>
      <c r="CQ221">
        <v>92</v>
      </c>
      <c r="EM221" s="133" t="s">
        <v>333</v>
      </c>
      <c r="EN221">
        <v>692442</v>
      </c>
      <c r="EO221">
        <v>247247</v>
      </c>
      <c r="EP221">
        <v>939689</v>
      </c>
      <c r="EQ221">
        <v>227542871</v>
      </c>
      <c r="ES221">
        <v>214</v>
      </c>
      <c r="ET221" t="s">
        <v>270</v>
      </c>
      <c r="EU221" t="s">
        <v>271</v>
      </c>
      <c r="EV221">
        <v>215</v>
      </c>
      <c r="EW221" t="str" cm="1">
        <f t="array" aca="1" ref="EW221" ca="1">INDIRECT("'5借入一覧'!"&amp;ET221&amp;EV221)&amp;INDIRECT("'5借入一覧'!"&amp;EU221&amp;EV221)</f>
        <v/>
      </c>
      <c r="EX221">
        <v>1</v>
      </c>
      <c r="EY221">
        <v>214</v>
      </c>
      <c r="EZ221" t="e">
        <f t="shared" ca="1" si="60"/>
        <v>#N/A</v>
      </c>
      <c r="FA221" t="e">
        <f t="shared" ca="1" si="60"/>
        <v>#N/A</v>
      </c>
      <c r="FB221" t="e">
        <f t="shared" ca="1" si="60"/>
        <v>#N/A</v>
      </c>
      <c r="FC221" t="e">
        <f t="shared" ca="1" si="60"/>
        <v>#N/A</v>
      </c>
      <c r="FD221" t="e">
        <f t="shared" ca="1" si="60"/>
        <v>#N/A</v>
      </c>
      <c r="FE221" t="str">
        <f t="shared" ca="1" si="52"/>
        <v/>
      </c>
      <c r="FF221" t="str">
        <f t="shared" ca="1" si="53"/>
        <v/>
      </c>
      <c r="FG221" t="str">
        <f t="shared" ca="1" si="54"/>
        <v/>
      </c>
      <c r="FH221" t="str">
        <f t="shared" ca="1" si="55"/>
        <v/>
      </c>
      <c r="FI221" t="str">
        <f t="shared" ca="1" si="56"/>
        <v/>
      </c>
      <c r="FJ221" t="str">
        <f t="shared" ca="1" si="57"/>
        <v/>
      </c>
      <c r="FK221" t="str">
        <f t="shared" ca="1" si="51"/>
        <v/>
      </c>
      <c r="FL221" t="str">
        <f t="shared" ca="1" si="58"/>
        <v>無</v>
      </c>
    </row>
    <row r="222" spans="93:168">
      <c r="CO222" s="5">
        <v>22</v>
      </c>
      <c r="CP222" s="57">
        <v>67000</v>
      </c>
      <c r="CQ222">
        <v>93</v>
      </c>
      <c r="EM222" s="133" t="s">
        <v>198</v>
      </c>
      <c r="ES222">
        <v>215</v>
      </c>
      <c r="ET222" t="s">
        <v>270</v>
      </c>
      <c r="EU222" t="s">
        <v>271</v>
      </c>
      <c r="EV222">
        <v>216</v>
      </c>
      <c r="EW222" t="str" cm="1">
        <f t="array" aca="1" ref="EW222" ca="1">INDIRECT("'5借入一覧'!"&amp;ET222&amp;EV222)&amp;INDIRECT("'5借入一覧'!"&amp;EU222&amp;EV222)</f>
        <v/>
      </c>
      <c r="EX222">
        <v>1</v>
      </c>
      <c r="EY222">
        <v>215</v>
      </c>
      <c r="EZ222" t="e">
        <f t="shared" ca="1" si="60"/>
        <v>#N/A</v>
      </c>
      <c r="FA222" t="e">
        <f t="shared" ca="1" si="60"/>
        <v>#N/A</v>
      </c>
      <c r="FB222" t="e">
        <f t="shared" ca="1" si="60"/>
        <v>#N/A</v>
      </c>
      <c r="FC222" t="e">
        <f t="shared" ca="1" si="60"/>
        <v>#N/A</v>
      </c>
      <c r="FD222" t="e">
        <f t="shared" ca="1" si="60"/>
        <v>#N/A</v>
      </c>
      <c r="FE222" t="str">
        <f t="shared" ca="1" si="52"/>
        <v/>
      </c>
      <c r="FF222" t="str">
        <f t="shared" ca="1" si="53"/>
        <v/>
      </c>
      <c r="FG222" t="str">
        <f t="shared" ca="1" si="54"/>
        <v/>
      </c>
      <c r="FH222" t="str">
        <f t="shared" ca="1" si="55"/>
        <v/>
      </c>
      <c r="FI222" t="str">
        <f t="shared" ca="1" si="56"/>
        <v/>
      </c>
      <c r="FJ222" t="str">
        <f t="shared" ca="1" si="57"/>
        <v/>
      </c>
      <c r="FK222" t="str">
        <f t="shared" ca="1" si="51"/>
        <v/>
      </c>
      <c r="FL222" t="str">
        <f t="shared" ca="1" si="58"/>
        <v>無</v>
      </c>
    </row>
    <row r="223" spans="93:168">
      <c r="CO223" s="5">
        <v>5</v>
      </c>
      <c r="CP223" s="57">
        <v>67000</v>
      </c>
      <c r="CQ223">
        <v>93</v>
      </c>
      <c r="EM223" s="133" t="s">
        <v>296</v>
      </c>
      <c r="ES223">
        <v>216</v>
      </c>
      <c r="ET223" t="s">
        <v>270</v>
      </c>
      <c r="EU223" t="s">
        <v>271</v>
      </c>
      <c r="EV223">
        <v>217</v>
      </c>
      <c r="EW223" t="str" cm="1">
        <f t="array" aca="1" ref="EW223" ca="1">INDIRECT("'5借入一覧'!"&amp;ET223&amp;EV223)&amp;INDIRECT("'5借入一覧'!"&amp;EU223&amp;EV223)</f>
        <v/>
      </c>
      <c r="EX223">
        <v>1</v>
      </c>
      <c r="EY223">
        <v>216</v>
      </c>
      <c r="EZ223" t="e">
        <f t="shared" ca="1" si="60"/>
        <v>#N/A</v>
      </c>
      <c r="FA223" t="e">
        <f t="shared" ca="1" si="60"/>
        <v>#N/A</v>
      </c>
      <c r="FB223" t="e">
        <f t="shared" ca="1" si="60"/>
        <v>#N/A</v>
      </c>
      <c r="FC223" t="e">
        <f t="shared" ca="1" si="60"/>
        <v>#N/A</v>
      </c>
      <c r="FD223" t="e">
        <f t="shared" ca="1" si="60"/>
        <v>#N/A</v>
      </c>
      <c r="FE223" t="str">
        <f t="shared" ca="1" si="52"/>
        <v/>
      </c>
      <c r="FF223" t="str">
        <f t="shared" ca="1" si="53"/>
        <v/>
      </c>
      <c r="FG223" t="str">
        <f t="shared" ca="1" si="54"/>
        <v/>
      </c>
      <c r="FH223" t="str">
        <f t="shared" ca="1" si="55"/>
        <v/>
      </c>
      <c r="FI223" t="str">
        <f t="shared" ca="1" si="56"/>
        <v/>
      </c>
      <c r="FJ223" t="str">
        <f t="shared" ca="1" si="57"/>
        <v/>
      </c>
      <c r="FK223" t="str">
        <f t="shared" ca="1" si="51"/>
        <v/>
      </c>
      <c r="FL223" t="str">
        <f t="shared" ca="1" si="58"/>
        <v>無</v>
      </c>
    </row>
    <row r="224" spans="93:168">
      <c r="CO224" s="5">
        <v>147</v>
      </c>
      <c r="CP224" s="57">
        <v>67000</v>
      </c>
      <c r="CQ224">
        <v>93</v>
      </c>
      <c r="EM224" s="133" t="s">
        <v>286</v>
      </c>
      <c r="ES224">
        <v>217</v>
      </c>
      <c r="ET224" t="s">
        <v>270</v>
      </c>
      <c r="EU224" t="s">
        <v>271</v>
      </c>
      <c r="EV224">
        <v>218</v>
      </c>
      <c r="EW224" t="str" cm="1">
        <f t="array" aca="1" ref="EW224" ca="1">INDIRECT("'5借入一覧'!"&amp;ET224&amp;EV224)&amp;INDIRECT("'5借入一覧'!"&amp;EU224&amp;EV224)</f>
        <v/>
      </c>
      <c r="EX224">
        <v>1</v>
      </c>
      <c r="EY224">
        <v>217</v>
      </c>
      <c r="EZ224" t="e">
        <f t="shared" ca="1" si="60"/>
        <v>#N/A</v>
      </c>
      <c r="FA224" t="e">
        <f t="shared" ca="1" si="60"/>
        <v>#N/A</v>
      </c>
      <c r="FB224" t="e">
        <f t="shared" ca="1" si="60"/>
        <v>#N/A</v>
      </c>
      <c r="FC224" t="e">
        <f t="shared" ca="1" si="60"/>
        <v>#N/A</v>
      </c>
      <c r="FD224" t="e">
        <f t="shared" ca="1" si="60"/>
        <v>#N/A</v>
      </c>
      <c r="FE224" t="str">
        <f t="shared" ca="1" si="52"/>
        <v/>
      </c>
      <c r="FF224" t="str">
        <f t="shared" ca="1" si="53"/>
        <v/>
      </c>
      <c r="FG224" t="str">
        <f t="shared" ca="1" si="54"/>
        <v/>
      </c>
      <c r="FH224" t="str">
        <f t="shared" ca="1" si="55"/>
        <v/>
      </c>
      <c r="FI224" t="str">
        <f t="shared" ca="1" si="56"/>
        <v/>
      </c>
      <c r="FJ224" t="str">
        <f t="shared" ca="1" si="57"/>
        <v/>
      </c>
      <c r="FK224" t="str">
        <f t="shared" ca="1" si="51"/>
        <v/>
      </c>
      <c r="FL224" t="str">
        <f t="shared" ca="1" si="58"/>
        <v>無</v>
      </c>
    </row>
    <row r="225" spans="93:168">
      <c r="CO225" s="5">
        <v>249</v>
      </c>
      <c r="CP225" s="57">
        <v>67000</v>
      </c>
      <c r="CQ225">
        <v>93</v>
      </c>
      <c r="EM225" s="133" t="s">
        <v>340</v>
      </c>
      <c r="EN225">
        <v>213926</v>
      </c>
      <c r="EO225">
        <v>100486</v>
      </c>
      <c r="EP225">
        <v>314412</v>
      </c>
      <c r="EQ225">
        <v>75151106</v>
      </c>
      <c r="ES225">
        <v>218</v>
      </c>
      <c r="ET225" t="s">
        <v>270</v>
      </c>
      <c r="EU225" t="s">
        <v>271</v>
      </c>
      <c r="EV225">
        <v>219</v>
      </c>
      <c r="EW225" t="str" cm="1">
        <f t="array" aca="1" ref="EW225" ca="1">INDIRECT("'5借入一覧'!"&amp;ET225&amp;EV225)&amp;INDIRECT("'5借入一覧'!"&amp;EU225&amp;EV225)</f>
        <v/>
      </c>
      <c r="EX225">
        <v>1</v>
      </c>
      <c r="EY225">
        <v>218</v>
      </c>
      <c r="EZ225" t="e">
        <f t="shared" ca="1" si="60"/>
        <v>#N/A</v>
      </c>
      <c r="FA225" t="e">
        <f t="shared" ca="1" si="60"/>
        <v>#N/A</v>
      </c>
      <c r="FB225" t="e">
        <f t="shared" ca="1" si="60"/>
        <v>#N/A</v>
      </c>
      <c r="FC225" t="e">
        <f t="shared" ca="1" si="60"/>
        <v>#N/A</v>
      </c>
      <c r="FD225" t="e">
        <f t="shared" ca="1" si="60"/>
        <v>#N/A</v>
      </c>
      <c r="FE225" t="str">
        <f t="shared" ca="1" si="52"/>
        <v/>
      </c>
      <c r="FF225" t="str">
        <f t="shared" ca="1" si="53"/>
        <v/>
      </c>
      <c r="FG225" t="str">
        <f t="shared" ca="1" si="54"/>
        <v/>
      </c>
      <c r="FH225" t="str">
        <f t="shared" ca="1" si="55"/>
        <v/>
      </c>
      <c r="FI225" t="str">
        <f t="shared" ca="1" si="56"/>
        <v/>
      </c>
      <c r="FJ225" t="str">
        <f t="shared" ca="1" si="57"/>
        <v/>
      </c>
      <c r="FK225" t="str">
        <f t="shared" ca="1" si="51"/>
        <v/>
      </c>
      <c r="FL225" t="str">
        <f t="shared" ca="1" si="58"/>
        <v>無</v>
      </c>
    </row>
    <row r="226" spans="93:168">
      <c r="CO226" s="5">
        <v>244</v>
      </c>
      <c r="CP226" s="57">
        <v>67000</v>
      </c>
      <c r="CQ226">
        <v>93</v>
      </c>
      <c r="EM226" s="5" t="s">
        <v>200</v>
      </c>
      <c r="EN226">
        <v>12955677</v>
      </c>
      <c r="EO226">
        <v>5043759</v>
      </c>
      <c r="EP226">
        <v>17999436</v>
      </c>
      <c r="EQ226">
        <v>4439492417</v>
      </c>
      <c r="ES226">
        <v>219</v>
      </c>
      <c r="ET226" t="s">
        <v>270</v>
      </c>
      <c r="EU226" t="s">
        <v>271</v>
      </c>
      <c r="EV226">
        <v>220</v>
      </c>
      <c r="EW226" t="str" cm="1">
        <f t="array" aca="1" ref="EW226" ca="1">INDIRECT("'5借入一覧'!"&amp;ET226&amp;EV226)&amp;INDIRECT("'5借入一覧'!"&amp;EU226&amp;EV226)</f>
        <v/>
      </c>
      <c r="EX226">
        <v>1</v>
      </c>
      <c r="EY226">
        <v>219</v>
      </c>
      <c r="EZ226" t="e">
        <f t="shared" ca="1" si="60"/>
        <v>#N/A</v>
      </c>
      <c r="FA226" t="e">
        <f t="shared" ca="1" si="60"/>
        <v>#N/A</v>
      </c>
      <c r="FB226" t="e">
        <f t="shared" ca="1" si="60"/>
        <v>#N/A</v>
      </c>
      <c r="FC226" t="e">
        <f t="shared" ca="1" si="60"/>
        <v>#N/A</v>
      </c>
      <c r="FD226" t="e">
        <f t="shared" ca="1" si="60"/>
        <v>#N/A</v>
      </c>
      <c r="FE226" t="str">
        <f t="shared" ca="1" si="52"/>
        <v/>
      </c>
      <c r="FF226" t="str">
        <f t="shared" ca="1" si="53"/>
        <v/>
      </c>
      <c r="FG226" t="str">
        <f t="shared" ca="1" si="54"/>
        <v/>
      </c>
      <c r="FH226" t="str">
        <f t="shared" ca="1" si="55"/>
        <v/>
      </c>
      <c r="FI226" t="str">
        <f t="shared" ca="1" si="56"/>
        <v/>
      </c>
      <c r="FJ226" t="str">
        <f t="shared" ca="1" si="57"/>
        <v/>
      </c>
      <c r="FK226" t="str">
        <f t="shared" ca="1" si="51"/>
        <v/>
      </c>
      <c r="FL226" t="str">
        <f t="shared" ca="1" si="58"/>
        <v>無</v>
      </c>
    </row>
    <row r="227" spans="93:168">
      <c r="CO227" s="5">
        <v>247</v>
      </c>
      <c r="CP227" s="57">
        <v>67000</v>
      </c>
      <c r="CQ227">
        <v>93</v>
      </c>
      <c r="ES227">
        <v>220</v>
      </c>
      <c r="ET227" t="s">
        <v>270</v>
      </c>
      <c r="EU227" t="s">
        <v>271</v>
      </c>
      <c r="EV227">
        <v>221</v>
      </c>
      <c r="EW227" t="str" cm="1">
        <f t="array" aca="1" ref="EW227" ca="1">INDIRECT("'5借入一覧'!"&amp;ET227&amp;EV227)&amp;INDIRECT("'5借入一覧'!"&amp;EU227&amp;EV227)</f>
        <v/>
      </c>
      <c r="EX227">
        <v>1</v>
      </c>
      <c r="EY227">
        <v>220</v>
      </c>
      <c r="EZ227" t="e">
        <f t="shared" ca="1" si="60"/>
        <v>#N/A</v>
      </c>
      <c r="FA227" t="e">
        <f t="shared" ca="1" si="60"/>
        <v>#N/A</v>
      </c>
      <c r="FB227" t="e">
        <f t="shared" ca="1" si="60"/>
        <v>#N/A</v>
      </c>
      <c r="FC227" t="e">
        <f t="shared" ca="1" si="60"/>
        <v>#N/A</v>
      </c>
      <c r="FD227" t="e">
        <f t="shared" ca="1" si="60"/>
        <v>#N/A</v>
      </c>
      <c r="FE227" t="str">
        <f t="shared" ca="1" si="52"/>
        <v/>
      </c>
      <c r="FF227" t="str">
        <f t="shared" ca="1" si="53"/>
        <v/>
      </c>
      <c r="FG227" t="str">
        <f t="shared" ca="1" si="54"/>
        <v/>
      </c>
      <c r="FH227" t="str">
        <f t="shared" ca="1" si="55"/>
        <v/>
      </c>
      <c r="FI227" t="str">
        <f t="shared" ca="1" si="56"/>
        <v/>
      </c>
      <c r="FJ227" t="str">
        <f t="shared" ca="1" si="57"/>
        <v/>
      </c>
      <c r="FK227" t="str">
        <f t="shared" ca="1" si="51"/>
        <v/>
      </c>
      <c r="FL227" t="str">
        <f t="shared" ca="1" si="58"/>
        <v>無</v>
      </c>
    </row>
    <row r="228" spans="93:168">
      <c r="CO228" s="5">
        <v>11</v>
      </c>
      <c r="CP228" s="57">
        <v>66000</v>
      </c>
      <c r="CQ228">
        <v>94</v>
      </c>
      <c r="ES228">
        <v>221</v>
      </c>
      <c r="ET228" t="s">
        <v>270</v>
      </c>
      <c r="EU228" t="s">
        <v>271</v>
      </c>
      <c r="EV228">
        <v>222</v>
      </c>
      <c r="EW228" t="str" cm="1">
        <f t="array" aca="1" ref="EW228" ca="1">INDIRECT("'5借入一覧'!"&amp;ET228&amp;EV228)&amp;INDIRECT("'5借入一覧'!"&amp;EU228&amp;EV228)</f>
        <v/>
      </c>
      <c r="EX228">
        <v>1</v>
      </c>
      <c r="EY228">
        <v>221</v>
      </c>
      <c r="EZ228" t="e">
        <f t="shared" ref="EZ228:FD237" ca="1" si="61">VLOOKUP($EY228&amp;EZ$5,$EW$7:$EX$1101,2,FALSE)</f>
        <v>#N/A</v>
      </c>
      <c r="FA228" t="e">
        <f t="shared" ca="1" si="61"/>
        <v>#N/A</v>
      </c>
      <c r="FB228" t="e">
        <f t="shared" ca="1" si="61"/>
        <v>#N/A</v>
      </c>
      <c r="FC228" t="e">
        <f t="shared" ca="1" si="61"/>
        <v>#N/A</v>
      </c>
      <c r="FD228" t="e">
        <f t="shared" ca="1" si="61"/>
        <v>#N/A</v>
      </c>
      <c r="FE228" t="str">
        <f t="shared" ca="1" si="52"/>
        <v/>
      </c>
      <c r="FF228" t="str">
        <f t="shared" ca="1" si="53"/>
        <v/>
      </c>
      <c r="FG228" t="str">
        <f t="shared" ca="1" si="54"/>
        <v/>
      </c>
      <c r="FH228" t="str">
        <f t="shared" ca="1" si="55"/>
        <v/>
      </c>
      <c r="FI228" t="str">
        <f t="shared" ca="1" si="56"/>
        <v/>
      </c>
      <c r="FJ228" t="str">
        <f t="shared" ca="1" si="57"/>
        <v/>
      </c>
      <c r="FK228" t="str">
        <f t="shared" ca="1" si="51"/>
        <v/>
      </c>
      <c r="FL228" t="str">
        <f t="shared" ca="1" si="58"/>
        <v>無</v>
      </c>
    </row>
    <row r="229" spans="93:168">
      <c r="CO229" s="5">
        <v>9</v>
      </c>
      <c r="CP229" s="57">
        <v>66000</v>
      </c>
      <c r="CQ229">
        <v>94</v>
      </c>
      <c r="ES229">
        <v>222</v>
      </c>
      <c r="ET229" t="s">
        <v>270</v>
      </c>
      <c r="EU229" t="s">
        <v>271</v>
      </c>
      <c r="EV229">
        <v>223</v>
      </c>
      <c r="EW229" t="str" cm="1">
        <f t="array" aca="1" ref="EW229" ca="1">INDIRECT("'5借入一覧'!"&amp;ET229&amp;EV229)&amp;INDIRECT("'5借入一覧'!"&amp;EU229&amp;EV229)</f>
        <v/>
      </c>
      <c r="EX229">
        <v>1</v>
      </c>
      <c r="EY229">
        <v>222</v>
      </c>
      <c r="EZ229" t="e">
        <f t="shared" ca="1" si="61"/>
        <v>#N/A</v>
      </c>
      <c r="FA229" t="e">
        <f t="shared" ca="1" si="61"/>
        <v>#N/A</v>
      </c>
      <c r="FB229" t="e">
        <f t="shared" ca="1" si="61"/>
        <v>#N/A</v>
      </c>
      <c r="FC229" t="e">
        <f t="shared" ca="1" si="61"/>
        <v>#N/A</v>
      </c>
      <c r="FD229" t="e">
        <f t="shared" ca="1" si="61"/>
        <v>#N/A</v>
      </c>
      <c r="FE229" t="str">
        <f t="shared" ca="1" si="52"/>
        <v/>
      </c>
      <c r="FF229" t="str">
        <f t="shared" ca="1" si="53"/>
        <v/>
      </c>
      <c r="FG229" t="str">
        <f t="shared" ca="1" si="54"/>
        <v/>
      </c>
      <c r="FH229" t="str">
        <f t="shared" ca="1" si="55"/>
        <v/>
      </c>
      <c r="FI229" t="str">
        <f t="shared" ca="1" si="56"/>
        <v/>
      </c>
      <c r="FJ229" t="str">
        <f t="shared" ca="1" si="57"/>
        <v/>
      </c>
      <c r="FK229" t="str">
        <f t="shared" ca="1" si="51"/>
        <v/>
      </c>
      <c r="FL229" t="str">
        <f t="shared" ca="1" si="58"/>
        <v>無</v>
      </c>
    </row>
    <row r="230" spans="93:168">
      <c r="CO230" s="5">
        <v>8</v>
      </c>
      <c r="CP230" s="57">
        <v>66000</v>
      </c>
      <c r="CQ230">
        <v>94</v>
      </c>
      <c r="ES230">
        <v>223</v>
      </c>
      <c r="ET230" t="s">
        <v>270</v>
      </c>
      <c r="EU230" t="s">
        <v>271</v>
      </c>
      <c r="EV230">
        <v>224</v>
      </c>
      <c r="EW230" t="str" cm="1">
        <f t="array" aca="1" ref="EW230" ca="1">INDIRECT("'5借入一覧'!"&amp;ET230&amp;EV230)&amp;INDIRECT("'5借入一覧'!"&amp;EU230&amp;EV230)</f>
        <v/>
      </c>
      <c r="EX230">
        <v>1</v>
      </c>
      <c r="EY230">
        <v>223</v>
      </c>
      <c r="EZ230" t="e">
        <f t="shared" ca="1" si="61"/>
        <v>#N/A</v>
      </c>
      <c r="FA230" t="e">
        <f t="shared" ca="1" si="61"/>
        <v>#N/A</v>
      </c>
      <c r="FB230" t="e">
        <f t="shared" ca="1" si="61"/>
        <v>#N/A</v>
      </c>
      <c r="FC230" t="e">
        <f t="shared" ca="1" si="61"/>
        <v>#N/A</v>
      </c>
      <c r="FD230" t="e">
        <f t="shared" ca="1" si="61"/>
        <v>#N/A</v>
      </c>
      <c r="FE230" t="str">
        <f t="shared" ca="1" si="52"/>
        <v/>
      </c>
      <c r="FF230" t="str">
        <f t="shared" ca="1" si="53"/>
        <v/>
      </c>
      <c r="FG230" t="str">
        <f t="shared" ca="1" si="54"/>
        <v/>
      </c>
      <c r="FH230" t="str">
        <f t="shared" ca="1" si="55"/>
        <v/>
      </c>
      <c r="FI230" t="str">
        <f t="shared" ca="1" si="56"/>
        <v/>
      </c>
      <c r="FJ230" t="str">
        <f t="shared" ca="1" si="57"/>
        <v/>
      </c>
      <c r="FK230" t="str">
        <f t="shared" ca="1" si="51"/>
        <v/>
      </c>
      <c r="FL230" t="str">
        <f t="shared" ca="1" si="58"/>
        <v>無</v>
      </c>
    </row>
    <row r="231" spans="93:168">
      <c r="CO231" s="5">
        <v>160</v>
      </c>
      <c r="CP231" s="57">
        <v>66000</v>
      </c>
      <c r="CQ231">
        <v>94</v>
      </c>
      <c r="ES231">
        <v>224</v>
      </c>
      <c r="ET231" t="s">
        <v>270</v>
      </c>
      <c r="EU231" t="s">
        <v>271</v>
      </c>
      <c r="EV231">
        <v>225</v>
      </c>
      <c r="EW231" t="str" cm="1">
        <f t="array" aca="1" ref="EW231" ca="1">INDIRECT("'5借入一覧'!"&amp;ET231&amp;EV231)&amp;INDIRECT("'5借入一覧'!"&amp;EU231&amp;EV231)</f>
        <v/>
      </c>
      <c r="EX231">
        <v>1</v>
      </c>
      <c r="EY231">
        <v>224</v>
      </c>
      <c r="EZ231" t="e">
        <f t="shared" ca="1" si="61"/>
        <v>#N/A</v>
      </c>
      <c r="FA231" t="e">
        <f t="shared" ca="1" si="61"/>
        <v>#N/A</v>
      </c>
      <c r="FB231" t="e">
        <f t="shared" ca="1" si="61"/>
        <v>#N/A</v>
      </c>
      <c r="FC231" t="e">
        <f t="shared" ca="1" si="61"/>
        <v>#N/A</v>
      </c>
      <c r="FD231" t="e">
        <f t="shared" ca="1" si="61"/>
        <v>#N/A</v>
      </c>
      <c r="FE231" t="str">
        <f t="shared" ca="1" si="52"/>
        <v/>
      </c>
      <c r="FF231" t="str">
        <f t="shared" ca="1" si="53"/>
        <v/>
      </c>
      <c r="FG231" t="str">
        <f t="shared" ca="1" si="54"/>
        <v/>
      </c>
      <c r="FH231" t="str">
        <f t="shared" ca="1" si="55"/>
        <v/>
      </c>
      <c r="FI231" t="str">
        <f t="shared" ca="1" si="56"/>
        <v/>
      </c>
      <c r="FJ231" t="str">
        <f t="shared" ca="1" si="57"/>
        <v/>
      </c>
      <c r="FK231" t="str">
        <f t="shared" ca="1" si="51"/>
        <v/>
      </c>
      <c r="FL231" t="str">
        <f t="shared" ca="1" si="58"/>
        <v>無</v>
      </c>
    </row>
    <row r="232" spans="93:168">
      <c r="CO232" s="5">
        <v>2</v>
      </c>
      <c r="CP232" s="57">
        <v>65000</v>
      </c>
      <c r="CQ232">
        <v>95</v>
      </c>
      <c r="ES232">
        <v>225</v>
      </c>
      <c r="ET232" t="s">
        <v>270</v>
      </c>
      <c r="EU232" t="s">
        <v>271</v>
      </c>
      <c r="EV232">
        <v>226</v>
      </c>
      <c r="EW232" t="str" cm="1">
        <f t="array" aca="1" ref="EW232" ca="1">INDIRECT("'5借入一覧'!"&amp;ET232&amp;EV232)&amp;INDIRECT("'5借入一覧'!"&amp;EU232&amp;EV232)</f>
        <v/>
      </c>
      <c r="EX232">
        <v>1</v>
      </c>
      <c r="EY232">
        <v>225</v>
      </c>
      <c r="EZ232" t="e">
        <f t="shared" ca="1" si="61"/>
        <v>#N/A</v>
      </c>
      <c r="FA232" t="e">
        <f t="shared" ca="1" si="61"/>
        <v>#N/A</v>
      </c>
      <c r="FB232" t="e">
        <f t="shared" ca="1" si="61"/>
        <v>#N/A</v>
      </c>
      <c r="FC232" t="e">
        <f t="shared" ca="1" si="61"/>
        <v>#N/A</v>
      </c>
      <c r="FD232" t="e">
        <f t="shared" ca="1" si="61"/>
        <v>#N/A</v>
      </c>
      <c r="FE232" t="str">
        <f t="shared" ca="1" si="52"/>
        <v/>
      </c>
      <c r="FF232" t="str">
        <f t="shared" ca="1" si="53"/>
        <v/>
      </c>
      <c r="FG232" t="str">
        <f t="shared" ca="1" si="54"/>
        <v/>
      </c>
      <c r="FH232" t="str">
        <f t="shared" ca="1" si="55"/>
        <v/>
      </c>
      <c r="FI232" t="str">
        <f t="shared" ca="1" si="56"/>
        <v/>
      </c>
      <c r="FJ232" t="str">
        <f t="shared" ca="1" si="57"/>
        <v/>
      </c>
      <c r="FK232" t="str">
        <f t="shared" ca="1" si="51"/>
        <v/>
      </c>
      <c r="FL232" t="str">
        <f t="shared" ca="1" si="58"/>
        <v>無</v>
      </c>
    </row>
    <row r="233" spans="93:168">
      <c r="CO233" s="5">
        <v>21</v>
      </c>
      <c r="CP233" s="57">
        <v>65000</v>
      </c>
      <c r="CQ233">
        <v>95</v>
      </c>
      <c r="ES233">
        <v>226</v>
      </c>
      <c r="ET233" t="s">
        <v>270</v>
      </c>
      <c r="EU233" t="s">
        <v>271</v>
      </c>
      <c r="EV233">
        <v>227</v>
      </c>
      <c r="EW233" t="str" cm="1">
        <f t="array" aca="1" ref="EW233" ca="1">INDIRECT("'5借入一覧'!"&amp;ET233&amp;EV233)&amp;INDIRECT("'5借入一覧'!"&amp;EU233&amp;EV233)</f>
        <v/>
      </c>
      <c r="EX233">
        <v>1</v>
      </c>
      <c r="EY233">
        <v>226</v>
      </c>
      <c r="EZ233" t="e">
        <f t="shared" ca="1" si="61"/>
        <v>#N/A</v>
      </c>
      <c r="FA233" t="e">
        <f t="shared" ca="1" si="61"/>
        <v>#N/A</v>
      </c>
      <c r="FB233" t="e">
        <f t="shared" ca="1" si="61"/>
        <v>#N/A</v>
      </c>
      <c r="FC233" t="e">
        <f t="shared" ca="1" si="61"/>
        <v>#N/A</v>
      </c>
      <c r="FD233" t="e">
        <f t="shared" ca="1" si="61"/>
        <v>#N/A</v>
      </c>
      <c r="FE233" t="str">
        <f t="shared" ca="1" si="52"/>
        <v/>
      </c>
      <c r="FF233" t="str">
        <f t="shared" ca="1" si="53"/>
        <v/>
      </c>
      <c r="FG233" t="str">
        <f t="shared" ca="1" si="54"/>
        <v/>
      </c>
      <c r="FH233" t="str">
        <f t="shared" ca="1" si="55"/>
        <v/>
      </c>
      <c r="FI233" t="str">
        <f t="shared" ca="1" si="56"/>
        <v/>
      </c>
      <c r="FJ233" t="str">
        <f t="shared" ca="1" si="57"/>
        <v/>
      </c>
      <c r="FK233" t="str">
        <f t="shared" ca="1" si="51"/>
        <v/>
      </c>
      <c r="FL233" t="str">
        <f t="shared" ca="1" si="58"/>
        <v>無</v>
      </c>
    </row>
    <row r="234" spans="93:168">
      <c r="CO234" s="5">
        <v>1</v>
      </c>
      <c r="CP234" s="57">
        <v>65000</v>
      </c>
      <c r="CQ234">
        <v>95</v>
      </c>
      <c r="ES234">
        <v>227</v>
      </c>
      <c r="ET234" t="s">
        <v>270</v>
      </c>
      <c r="EU234" t="s">
        <v>271</v>
      </c>
      <c r="EV234">
        <v>228</v>
      </c>
      <c r="EW234" t="str" cm="1">
        <f t="array" aca="1" ref="EW234" ca="1">INDIRECT("'5借入一覧'!"&amp;ET234&amp;EV234)&amp;INDIRECT("'5借入一覧'!"&amp;EU234&amp;EV234)</f>
        <v/>
      </c>
      <c r="EX234">
        <v>1</v>
      </c>
      <c r="EY234">
        <v>227</v>
      </c>
      <c r="EZ234" t="e">
        <f t="shared" ca="1" si="61"/>
        <v>#N/A</v>
      </c>
      <c r="FA234" t="e">
        <f t="shared" ca="1" si="61"/>
        <v>#N/A</v>
      </c>
      <c r="FB234" t="e">
        <f t="shared" ca="1" si="61"/>
        <v>#N/A</v>
      </c>
      <c r="FC234" t="e">
        <f t="shared" ca="1" si="61"/>
        <v>#N/A</v>
      </c>
      <c r="FD234" t="e">
        <f t="shared" ca="1" si="61"/>
        <v>#N/A</v>
      </c>
      <c r="FE234" t="str">
        <f t="shared" ca="1" si="52"/>
        <v/>
      </c>
      <c r="FF234" t="str">
        <f t="shared" ca="1" si="53"/>
        <v/>
      </c>
      <c r="FG234" t="str">
        <f t="shared" ca="1" si="54"/>
        <v/>
      </c>
      <c r="FH234" t="str">
        <f t="shared" ca="1" si="55"/>
        <v/>
      </c>
      <c r="FI234" t="str">
        <f t="shared" ca="1" si="56"/>
        <v/>
      </c>
      <c r="FJ234" t="str">
        <f t="shared" ca="1" si="57"/>
        <v/>
      </c>
      <c r="FK234" t="str">
        <f t="shared" ca="1" si="51"/>
        <v/>
      </c>
      <c r="FL234" t="str">
        <f t="shared" ca="1" si="58"/>
        <v>無</v>
      </c>
    </row>
    <row r="235" spans="93:168">
      <c r="CO235" s="5">
        <v>151</v>
      </c>
      <c r="CP235" s="57">
        <v>65000</v>
      </c>
      <c r="CQ235">
        <v>95</v>
      </c>
      <c r="ES235">
        <v>228</v>
      </c>
      <c r="ET235" t="s">
        <v>270</v>
      </c>
      <c r="EU235" t="s">
        <v>271</v>
      </c>
      <c r="EV235">
        <v>229</v>
      </c>
      <c r="EW235" t="str" cm="1">
        <f t="array" aca="1" ref="EW235" ca="1">INDIRECT("'5借入一覧'!"&amp;ET235&amp;EV235)&amp;INDIRECT("'5借入一覧'!"&amp;EU235&amp;EV235)</f>
        <v/>
      </c>
      <c r="EX235">
        <v>1</v>
      </c>
      <c r="EY235">
        <v>228</v>
      </c>
      <c r="EZ235" t="e">
        <f t="shared" ca="1" si="61"/>
        <v>#N/A</v>
      </c>
      <c r="FA235" t="e">
        <f t="shared" ca="1" si="61"/>
        <v>#N/A</v>
      </c>
      <c r="FB235" t="e">
        <f t="shared" ca="1" si="61"/>
        <v>#N/A</v>
      </c>
      <c r="FC235" t="e">
        <f t="shared" ca="1" si="61"/>
        <v>#N/A</v>
      </c>
      <c r="FD235" t="e">
        <f t="shared" ca="1" si="61"/>
        <v>#N/A</v>
      </c>
      <c r="FE235" t="str">
        <f t="shared" ca="1" si="52"/>
        <v/>
      </c>
      <c r="FF235" t="str">
        <f t="shared" ca="1" si="53"/>
        <v/>
      </c>
      <c r="FG235" t="str">
        <f t="shared" ca="1" si="54"/>
        <v/>
      </c>
      <c r="FH235" t="str">
        <f t="shared" ca="1" si="55"/>
        <v/>
      </c>
      <c r="FI235" t="str">
        <f t="shared" ca="1" si="56"/>
        <v/>
      </c>
      <c r="FJ235" t="str">
        <f t="shared" ca="1" si="57"/>
        <v/>
      </c>
      <c r="FK235" t="str">
        <f t="shared" ca="1" si="51"/>
        <v/>
      </c>
      <c r="FL235" t="str">
        <f t="shared" ca="1" si="58"/>
        <v>無</v>
      </c>
    </row>
    <row r="236" spans="93:168">
      <c r="CO236" s="5">
        <v>238</v>
      </c>
      <c r="CP236" s="57">
        <v>65000</v>
      </c>
      <c r="CQ236">
        <v>95</v>
      </c>
      <c r="ES236">
        <v>229</v>
      </c>
      <c r="ET236" t="s">
        <v>270</v>
      </c>
      <c r="EU236" t="s">
        <v>271</v>
      </c>
      <c r="EV236">
        <v>230</v>
      </c>
      <c r="EW236" t="str" cm="1">
        <f t="array" aca="1" ref="EW236" ca="1">INDIRECT("'5借入一覧'!"&amp;ET236&amp;EV236)&amp;INDIRECT("'5借入一覧'!"&amp;EU236&amp;EV236)</f>
        <v/>
      </c>
      <c r="EX236">
        <v>1</v>
      </c>
      <c r="EY236">
        <v>229</v>
      </c>
      <c r="EZ236" t="e">
        <f t="shared" ca="1" si="61"/>
        <v>#N/A</v>
      </c>
      <c r="FA236" t="e">
        <f t="shared" ca="1" si="61"/>
        <v>#N/A</v>
      </c>
      <c r="FB236" t="e">
        <f t="shared" ca="1" si="61"/>
        <v>#N/A</v>
      </c>
      <c r="FC236" t="e">
        <f t="shared" ca="1" si="61"/>
        <v>#N/A</v>
      </c>
      <c r="FD236" t="e">
        <f t="shared" ca="1" si="61"/>
        <v>#N/A</v>
      </c>
      <c r="FE236" t="str">
        <f t="shared" ca="1" si="52"/>
        <v/>
      </c>
      <c r="FF236" t="str">
        <f t="shared" ca="1" si="53"/>
        <v/>
      </c>
      <c r="FG236" t="str">
        <f t="shared" ca="1" si="54"/>
        <v/>
      </c>
      <c r="FH236" t="str">
        <f t="shared" ca="1" si="55"/>
        <v/>
      </c>
      <c r="FI236" t="str">
        <f t="shared" ca="1" si="56"/>
        <v/>
      </c>
      <c r="FJ236" t="str">
        <f t="shared" ca="1" si="57"/>
        <v/>
      </c>
      <c r="FK236" t="str">
        <f t="shared" ca="1" si="51"/>
        <v/>
      </c>
      <c r="FL236" t="str">
        <f t="shared" ca="1" si="58"/>
        <v>無</v>
      </c>
    </row>
    <row r="237" spans="93:168">
      <c r="CO237" s="5">
        <v>242</v>
      </c>
      <c r="CP237" s="57">
        <v>65000</v>
      </c>
      <c r="CQ237">
        <v>95</v>
      </c>
      <c r="ES237">
        <v>230</v>
      </c>
      <c r="ET237" t="s">
        <v>270</v>
      </c>
      <c r="EU237" t="s">
        <v>271</v>
      </c>
      <c r="EV237">
        <v>231</v>
      </c>
      <c r="EW237" t="str" cm="1">
        <f t="array" aca="1" ref="EW237" ca="1">INDIRECT("'5借入一覧'!"&amp;ET237&amp;EV237)&amp;INDIRECT("'5借入一覧'!"&amp;EU237&amp;EV237)</f>
        <v/>
      </c>
      <c r="EX237">
        <v>1</v>
      </c>
      <c r="EY237">
        <v>230</v>
      </c>
      <c r="EZ237" t="e">
        <f t="shared" ca="1" si="61"/>
        <v>#N/A</v>
      </c>
      <c r="FA237" t="e">
        <f t="shared" ca="1" si="61"/>
        <v>#N/A</v>
      </c>
      <c r="FB237" t="e">
        <f t="shared" ca="1" si="61"/>
        <v>#N/A</v>
      </c>
      <c r="FC237" t="e">
        <f t="shared" ca="1" si="61"/>
        <v>#N/A</v>
      </c>
      <c r="FD237" t="e">
        <f t="shared" ca="1" si="61"/>
        <v>#N/A</v>
      </c>
      <c r="FE237" t="str">
        <f t="shared" ca="1" si="52"/>
        <v/>
      </c>
      <c r="FF237" t="str">
        <f t="shared" ca="1" si="53"/>
        <v/>
      </c>
      <c r="FG237" t="str">
        <f t="shared" ca="1" si="54"/>
        <v/>
      </c>
      <c r="FH237" t="str">
        <f t="shared" ca="1" si="55"/>
        <v/>
      </c>
      <c r="FI237" t="str">
        <f t="shared" ca="1" si="56"/>
        <v/>
      </c>
      <c r="FJ237" t="str">
        <f t="shared" ca="1" si="57"/>
        <v/>
      </c>
      <c r="FK237" t="str">
        <f t="shared" ca="1" si="51"/>
        <v/>
      </c>
      <c r="FL237" t="str">
        <f t="shared" ca="1" si="58"/>
        <v>無</v>
      </c>
    </row>
    <row r="238" spans="93:168">
      <c r="CO238" s="5">
        <v>12</v>
      </c>
      <c r="CP238" s="57">
        <v>65000</v>
      </c>
      <c r="CQ238">
        <v>95</v>
      </c>
      <c r="ES238">
        <v>231</v>
      </c>
      <c r="ET238" t="s">
        <v>270</v>
      </c>
      <c r="EU238" t="s">
        <v>271</v>
      </c>
      <c r="EV238">
        <v>232</v>
      </c>
      <c r="EW238" t="str" cm="1">
        <f t="array" aca="1" ref="EW238" ca="1">INDIRECT("'5借入一覧'!"&amp;ET238&amp;EV238)&amp;INDIRECT("'5借入一覧'!"&amp;EU238&amp;EV238)</f>
        <v/>
      </c>
      <c r="EX238">
        <v>1</v>
      </c>
      <c r="EY238">
        <v>231</v>
      </c>
      <c r="EZ238" t="e">
        <f t="shared" ref="EZ238:FD247" ca="1" si="62">VLOOKUP($EY238&amp;EZ$5,$EW$7:$EX$1101,2,FALSE)</f>
        <v>#N/A</v>
      </c>
      <c r="FA238" t="e">
        <f t="shared" ca="1" si="62"/>
        <v>#N/A</v>
      </c>
      <c r="FB238" t="e">
        <f t="shared" ca="1" si="62"/>
        <v>#N/A</v>
      </c>
      <c r="FC238" t="e">
        <f t="shared" ca="1" si="62"/>
        <v>#N/A</v>
      </c>
      <c r="FD238" t="e">
        <f t="shared" ca="1" si="62"/>
        <v>#N/A</v>
      </c>
      <c r="FE238" t="str">
        <f t="shared" ca="1" si="52"/>
        <v/>
      </c>
      <c r="FF238" t="str">
        <f t="shared" ca="1" si="53"/>
        <v/>
      </c>
      <c r="FG238" t="str">
        <f t="shared" ca="1" si="54"/>
        <v/>
      </c>
      <c r="FH238" t="str">
        <f t="shared" ca="1" si="55"/>
        <v/>
      </c>
      <c r="FI238" t="str">
        <f t="shared" ca="1" si="56"/>
        <v/>
      </c>
      <c r="FJ238" t="str">
        <f t="shared" ca="1" si="57"/>
        <v/>
      </c>
      <c r="FK238" t="str">
        <f t="shared" ca="1" si="51"/>
        <v/>
      </c>
      <c r="FL238" t="str">
        <f t="shared" ca="1" si="58"/>
        <v>無</v>
      </c>
    </row>
    <row r="239" spans="93:168">
      <c r="CO239" s="5">
        <v>7</v>
      </c>
      <c r="CP239" s="57">
        <v>65000</v>
      </c>
      <c r="CQ239">
        <v>95</v>
      </c>
      <c r="ES239">
        <v>232</v>
      </c>
      <c r="ET239" t="s">
        <v>270</v>
      </c>
      <c r="EU239" t="s">
        <v>271</v>
      </c>
      <c r="EV239">
        <v>233</v>
      </c>
      <c r="EW239" t="str" cm="1">
        <f t="array" aca="1" ref="EW239" ca="1">INDIRECT("'5借入一覧'!"&amp;ET239&amp;EV239)&amp;INDIRECT("'5借入一覧'!"&amp;EU239&amp;EV239)</f>
        <v/>
      </c>
      <c r="EX239">
        <v>1</v>
      </c>
      <c r="EY239">
        <v>232</v>
      </c>
      <c r="EZ239" t="e">
        <f t="shared" ca="1" si="62"/>
        <v>#N/A</v>
      </c>
      <c r="FA239" t="e">
        <f t="shared" ca="1" si="62"/>
        <v>#N/A</v>
      </c>
      <c r="FB239" t="e">
        <f t="shared" ca="1" si="62"/>
        <v>#N/A</v>
      </c>
      <c r="FC239" t="e">
        <f t="shared" ca="1" si="62"/>
        <v>#N/A</v>
      </c>
      <c r="FD239" t="e">
        <f t="shared" ca="1" si="62"/>
        <v>#N/A</v>
      </c>
      <c r="FE239" t="str">
        <f t="shared" ca="1" si="52"/>
        <v/>
      </c>
      <c r="FF239" t="str">
        <f t="shared" ca="1" si="53"/>
        <v/>
      </c>
      <c r="FG239" t="str">
        <f t="shared" ca="1" si="54"/>
        <v/>
      </c>
      <c r="FH239" t="str">
        <f t="shared" ca="1" si="55"/>
        <v/>
      </c>
      <c r="FI239" t="str">
        <f t="shared" ca="1" si="56"/>
        <v/>
      </c>
      <c r="FJ239" t="str">
        <f t="shared" ca="1" si="57"/>
        <v/>
      </c>
      <c r="FK239" t="str">
        <f t="shared" ca="1" si="51"/>
        <v/>
      </c>
      <c r="FL239" t="str">
        <f t="shared" ca="1" si="58"/>
        <v>無</v>
      </c>
    </row>
    <row r="240" spans="93:168">
      <c r="CO240" s="5">
        <v>248</v>
      </c>
      <c r="CP240" s="57">
        <v>65000</v>
      </c>
      <c r="CQ240">
        <v>95</v>
      </c>
      <c r="ES240">
        <v>233</v>
      </c>
      <c r="ET240" t="s">
        <v>270</v>
      </c>
      <c r="EU240" t="s">
        <v>271</v>
      </c>
      <c r="EV240">
        <v>234</v>
      </c>
      <c r="EW240" t="str" cm="1">
        <f t="array" aca="1" ref="EW240" ca="1">INDIRECT("'5借入一覧'!"&amp;ET240&amp;EV240)&amp;INDIRECT("'5借入一覧'!"&amp;EU240&amp;EV240)</f>
        <v/>
      </c>
      <c r="EX240">
        <v>1</v>
      </c>
      <c r="EY240">
        <v>233</v>
      </c>
      <c r="EZ240" t="e">
        <f t="shared" ca="1" si="62"/>
        <v>#N/A</v>
      </c>
      <c r="FA240" t="e">
        <f t="shared" ca="1" si="62"/>
        <v>#N/A</v>
      </c>
      <c r="FB240" t="e">
        <f t="shared" ca="1" si="62"/>
        <v>#N/A</v>
      </c>
      <c r="FC240" t="e">
        <f t="shared" ca="1" si="62"/>
        <v>#N/A</v>
      </c>
      <c r="FD240" t="e">
        <f t="shared" ca="1" si="62"/>
        <v>#N/A</v>
      </c>
      <c r="FE240" t="str">
        <f t="shared" ca="1" si="52"/>
        <v/>
      </c>
      <c r="FF240" t="str">
        <f t="shared" ca="1" si="53"/>
        <v/>
      </c>
      <c r="FG240" t="str">
        <f t="shared" ca="1" si="54"/>
        <v/>
      </c>
      <c r="FH240" t="str">
        <f t="shared" ca="1" si="55"/>
        <v/>
      </c>
      <c r="FI240" t="str">
        <f t="shared" ca="1" si="56"/>
        <v/>
      </c>
      <c r="FJ240" t="str">
        <f t="shared" ca="1" si="57"/>
        <v/>
      </c>
      <c r="FK240" t="str">
        <f t="shared" ca="1" si="51"/>
        <v/>
      </c>
      <c r="FL240" t="str">
        <f t="shared" ca="1" si="58"/>
        <v>無</v>
      </c>
    </row>
    <row r="241" spans="93:168">
      <c r="CO241" s="5">
        <v>169</v>
      </c>
      <c r="CP241" s="57">
        <v>65000</v>
      </c>
      <c r="CQ241">
        <v>95</v>
      </c>
      <c r="ES241">
        <v>234</v>
      </c>
      <c r="ET241" t="s">
        <v>270</v>
      </c>
      <c r="EU241" t="s">
        <v>271</v>
      </c>
      <c r="EV241">
        <v>235</v>
      </c>
      <c r="EW241" t="str" cm="1">
        <f t="array" aca="1" ref="EW241" ca="1">INDIRECT("'5借入一覧'!"&amp;ET241&amp;EV241)&amp;INDIRECT("'5借入一覧'!"&amp;EU241&amp;EV241)</f>
        <v/>
      </c>
      <c r="EX241">
        <v>1</v>
      </c>
      <c r="EY241">
        <v>234</v>
      </c>
      <c r="EZ241" t="e">
        <f t="shared" ca="1" si="62"/>
        <v>#N/A</v>
      </c>
      <c r="FA241" t="e">
        <f t="shared" ca="1" si="62"/>
        <v>#N/A</v>
      </c>
      <c r="FB241" t="e">
        <f t="shared" ca="1" si="62"/>
        <v>#N/A</v>
      </c>
      <c r="FC241" t="e">
        <f t="shared" ca="1" si="62"/>
        <v>#N/A</v>
      </c>
      <c r="FD241" t="e">
        <f t="shared" ca="1" si="62"/>
        <v>#N/A</v>
      </c>
      <c r="FE241" t="str">
        <f t="shared" ca="1" si="52"/>
        <v/>
      </c>
      <c r="FF241" t="str">
        <f t="shared" ca="1" si="53"/>
        <v/>
      </c>
      <c r="FG241" t="str">
        <f t="shared" ca="1" si="54"/>
        <v/>
      </c>
      <c r="FH241" t="str">
        <f t="shared" ca="1" si="55"/>
        <v/>
      </c>
      <c r="FI241" t="str">
        <f t="shared" ca="1" si="56"/>
        <v/>
      </c>
      <c r="FJ241" t="str">
        <f t="shared" ca="1" si="57"/>
        <v/>
      </c>
      <c r="FK241" t="str">
        <f t="shared" ca="1" si="51"/>
        <v/>
      </c>
      <c r="FL241" t="str">
        <f t="shared" ca="1" si="58"/>
        <v>無</v>
      </c>
    </row>
    <row r="242" spans="93:168">
      <c r="CO242" s="5">
        <v>18</v>
      </c>
      <c r="CP242" s="57">
        <v>64000</v>
      </c>
      <c r="CQ242">
        <v>96</v>
      </c>
      <c r="ES242">
        <v>235</v>
      </c>
      <c r="ET242" t="s">
        <v>270</v>
      </c>
      <c r="EU242" t="s">
        <v>271</v>
      </c>
      <c r="EV242">
        <v>236</v>
      </c>
      <c r="EW242" t="str" cm="1">
        <f t="array" aca="1" ref="EW242" ca="1">INDIRECT("'5借入一覧'!"&amp;ET242&amp;EV242)&amp;INDIRECT("'5借入一覧'!"&amp;EU242&amp;EV242)</f>
        <v/>
      </c>
      <c r="EX242">
        <v>1</v>
      </c>
      <c r="EY242">
        <v>235</v>
      </c>
      <c r="EZ242" t="e">
        <f t="shared" ca="1" si="62"/>
        <v>#N/A</v>
      </c>
      <c r="FA242" t="e">
        <f t="shared" ca="1" si="62"/>
        <v>#N/A</v>
      </c>
      <c r="FB242" t="e">
        <f t="shared" ca="1" si="62"/>
        <v>#N/A</v>
      </c>
      <c r="FC242" t="e">
        <f t="shared" ca="1" si="62"/>
        <v>#N/A</v>
      </c>
      <c r="FD242" t="e">
        <f t="shared" ca="1" si="62"/>
        <v>#N/A</v>
      </c>
      <c r="FE242" t="str">
        <f t="shared" ca="1" si="52"/>
        <v/>
      </c>
      <c r="FF242" t="str">
        <f t="shared" ca="1" si="53"/>
        <v/>
      </c>
      <c r="FG242" t="str">
        <f t="shared" ca="1" si="54"/>
        <v/>
      </c>
      <c r="FH242" t="str">
        <f t="shared" ca="1" si="55"/>
        <v/>
      </c>
      <c r="FI242" t="str">
        <f t="shared" ca="1" si="56"/>
        <v/>
      </c>
      <c r="FJ242" t="str">
        <f t="shared" ca="1" si="57"/>
        <v/>
      </c>
      <c r="FK242" t="str">
        <f t="shared" ca="1" si="51"/>
        <v/>
      </c>
      <c r="FL242" t="str">
        <f t="shared" ca="1" si="58"/>
        <v>無</v>
      </c>
    </row>
    <row r="243" spans="93:168">
      <c r="CO243" s="5">
        <v>146</v>
      </c>
      <c r="CP243" s="57">
        <v>64000</v>
      </c>
      <c r="CQ243">
        <v>96</v>
      </c>
      <c r="ES243">
        <v>236</v>
      </c>
      <c r="ET243" t="s">
        <v>270</v>
      </c>
      <c r="EU243" t="s">
        <v>271</v>
      </c>
      <c r="EV243">
        <v>237</v>
      </c>
      <c r="EW243" t="str" cm="1">
        <f t="array" aca="1" ref="EW243" ca="1">INDIRECT("'5借入一覧'!"&amp;ET243&amp;EV243)&amp;INDIRECT("'5借入一覧'!"&amp;EU243&amp;EV243)</f>
        <v/>
      </c>
      <c r="EX243">
        <v>1</v>
      </c>
      <c r="EY243">
        <v>236</v>
      </c>
      <c r="EZ243" t="e">
        <f t="shared" ca="1" si="62"/>
        <v>#N/A</v>
      </c>
      <c r="FA243" t="e">
        <f t="shared" ca="1" si="62"/>
        <v>#N/A</v>
      </c>
      <c r="FB243" t="e">
        <f t="shared" ca="1" si="62"/>
        <v>#N/A</v>
      </c>
      <c r="FC243" t="e">
        <f t="shared" ca="1" si="62"/>
        <v>#N/A</v>
      </c>
      <c r="FD243" t="e">
        <f t="shared" ca="1" si="62"/>
        <v>#N/A</v>
      </c>
      <c r="FE243" t="str">
        <f t="shared" ca="1" si="52"/>
        <v/>
      </c>
      <c r="FF243" t="str">
        <f t="shared" ca="1" si="53"/>
        <v/>
      </c>
      <c r="FG243" t="str">
        <f t="shared" ca="1" si="54"/>
        <v/>
      </c>
      <c r="FH243" t="str">
        <f t="shared" ca="1" si="55"/>
        <v/>
      </c>
      <c r="FI243" t="str">
        <f t="shared" ca="1" si="56"/>
        <v/>
      </c>
      <c r="FJ243" t="str">
        <f t="shared" ca="1" si="57"/>
        <v/>
      </c>
      <c r="FK243" t="str">
        <f t="shared" ca="1" si="51"/>
        <v/>
      </c>
      <c r="FL243" t="str">
        <f t="shared" ca="1" si="58"/>
        <v>無</v>
      </c>
    </row>
    <row r="244" spans="93:168">
      <c r="CO244" s="5">
        <v>19</v>
      </c>
      <c r="CP244" s="57">
        <v>63000</v>
      </c>
      <c r="CQ244">
        <v>97</v>
      </c>
      <c r="ES244">
        <v>237</v>
      </c>
      <c r="ET244" t="s">
        <v>270</v>
      </c>
      <c r="EU244" t="s">
        <v>271</v>
      </c>
      <c r="EV244">
        <v>238</v>
      </c>
      <c r="EW244" t="str" cm="1">
        <f t="array" aca="1" ref="EW244" ca="1">INDIRECT("'5借入一覧'!"&amp;ET244&amp;EV244)&amp;INDIRECT("'5借入一覧'!"&amp;EU244&amp;EV244)</f>
        <v/>
      </c>
      <c r="EX244">
        <v>1</v>
      </c>
      <c r="EY244">
        <v>237</v>
      </c>
      <c r="EZ244" t="e">
        <f t="shared" ca="1" si="62"/>
        <v>#N/A</v>
      </c>
      <c r="FA244" t="e">
        <f t="shared" ca="1" si="62"/>
        <v>#N/A</v>
      </c>
      <c r="FB244" t="e">
        <f t="shared" ca="1" si="62"/>
        <v>#N/A</v>
      </c>
      <c r="FC244" t="e">
        <f t="shared" ca="1" si="62"/>
        <v>#N/A</v>
      </c>
      <c r="FD244" t="e">
        <f t="shared" ca="1" si="62"/>
        <v>#N/A</v>
      </c>
      <c r="FE244" t="str">
        <f t="shared" ca="1" si="52"/>
        <v/>
      </c>
      <c r="FF244" t="str">
        <f t="shared" ca="1" si="53"/>
        <v/>
      </c>
      <c r="FG244" t="str">
        <f t="shared" ca="1" si="54"/>
        <v/>
      </c>
      <c r="FH244" t="str">
        <f t="shared" ca="1" si="55"/>
        <v/>
      </c>
      <c r="FI244" t="str">
        <f t="shared" ca="1" si="56"/>
        <v/>
      </c>
      <c r="FJ244" t="str">
        <f t="shared" ca="1" si="57"/>
        <v/>
      </c>
      <c r="FK244" t="str">
        <f t="shared" ca="1" si="51"/>
        <v/>
      </c>
      <c r="FL244" t="str">
        <f t="shared" ca="1" si="58"/>
        <v>無</v>
      </c>
    </row>
    <row r="245" spans="93:168">
      <c r="CO245" s="5">
        <v>163</v>
      </c>
      <c r="CP245" s="57">
        <v>63000</v>
      </c>
      <c r="CQ245">
        <v>97</v>
      </c>
      <c r="ES245">
        <v>238</v>
      </c>
      <c r="ET245" t="s">
        <v>270</v>
      </c>
      <c r="EU245" t="s">
        <v>271</v>
      </c>
      <c r="EV245">
        <v>239</v>
      </c>
      <c r="EW245" t="str" cm="1">
        <f t="array" aca="1" ref="EW245" ca="1">INDIRECT("'5借入一覧'!"&amp;ET245&amp;EV245)&amp;INDIRECT("'5借入一覧'!"&amp;EU245&amp;EV245)</f>
        <v/>
      </c>
      <c r="EX245">
        <v>1</v>
      </c>
      <c r="EY245">
        <v>238</v>
      </c>
      <c r="EZ245" t="e">
        <f t="shared" ca="1" si="62"/>
        <v>#N/A</v>
      </c>
      <c r="FA245" t="e">
        <f t="shared" ca="1" si="62"/>
        <v>#N/A</v>
      </c>
      <c r="FB245" t="e">
        <f t="shared" ca="1" si="62"/>
        <v>#N/A</v>
      </c>
      <c r="FC245" t="e">
        <f t="shared" ca="1" si="62"/>
        <v>#N/A</v>
      </c>
      <c r="FD245" t="e">
        <f t="shared" ca="1" si="62"/>
        <v>#N/A</v>
      </c>
      <c r="FE245" t="str">
        <f t="shared" ca="1" si="52"/>
        <v/>
      </c>
      <c r="FF245" t="str">
        <f t="shared" ca="1" si="53"/>
        <v/>
      </c>
      <c r="FG245" t="str">
        <f t="shared" ca="1" si="54"/>
        <v/>
      </c>
      <c r="FH245" t="str">
        <f t="shared" ca="1" si="55"/>
        <v/>
      </c>
      <c r="FI245" t="str">
        <f t="shared" ca="1" si="56"/>
        <v/>
      </c>
      <c r="FJ245" t="str">
        <f t="shared" ca="1" si="57"/>
        <v/>
      </c>
      <c r="FK245" t="str">
        <f t="shared" ca="1" si="51"/>
        <v/>
      </c>
      <c r="FL245" t="str">
        <f t="shared" ca="1" si="58"/>
        <v>無</v>
      </c>
    </row>
    <row r="246" spans="93:168">
      <c r="CO246" s="5">
        <v>154</v>
      </c>
      <c r="CP246" s="57">
        <v>63000</v>
      </c>
      <c r="CQ246">
        <v>97</v>
      </c>
      <c r="ES246">
        <v>239</v>
      </c>
      <c r="ET246" t="s">
        <v>270</v>
      </c>
      <c r="EU246" t="s">
        <v>271</v>
      </c>
      <c r="EV246">
        <v>240</v>
      </c>
      <c r="EW246" t="str" cm="1">
        <f t="array" aca="1" ref="EW246" ca="1">INDIRECT("'5借入一覧'!"&amp;ET246&amp;EV246)&amp;INDIRECT("'5借入一覧'!"&amp;EU246&amp;EV246)</f>
        <v/>
      </c>
      <c r="EX246">
        <v>1</v>
      </c>
      <c r="EY246">
        <v>239</v>
      </c>
      <c r="EZ246" t="e">
        <f t="shared" ca="1" si="62"/>
        <v>#N/A</v>
      </c>
      <c r="FA246" t="e">
        <f t="shared" ca="1" si="62"/>
        <v>#N/A</v>
      </c>
      <c r="FB246" t="e">
        <f t="shared" ca="1" si="62"/>
        <v>#N/A</v>
      </c>
      <c r="FC246" t="e">
        <f t="shared" ca="1" si="62"/>
        <v>#N/A</v>
      </c>
      <c r="FD246" t="e">
        <f t="shared" ca="1" si="62"/>
        <v>#N/A</v>
      </c>
      <c r="FE246" t="str">
        <f t="shared" ca="1" si="52"/>
        <v/>
      </c>
      <c r="FF246" t="str">
        <f t="shared" ca="1" si="53"/>
        <v/>
      </c>
      <c r="FG246" t="str">
        <f t="shared" ca="1" si="54"/>
        <v/>
      </c>
      <c r="FH246" t="str">
        <f t="shared" ca="1" si="55"/>
        <v/>
      </c>
      <c r="FI246" t="str">
        <f t="shared" ca="1" si="56"/>
        <v/>
      </c>
      <c r="FJ246" t="str">
        <f t="shared" ca="1" si="57"/>
        <v/>
      </c>
      <c r="FK246" t="str">
        <f t="shared" ca="1" si="51"/>
        <v/>
      </c>
      <c r="FL246" t="str">
        <f t="shared" ca="1" si="58"/>
        <v>無</v>
      </c>
    </row>
    <row r="247" spans="93:168">
      <c r="CO247" s="5">
        <v>4</v>
      </c>
      <c r="CP247" s="57">
        <v>63000</v>
      </c>
      <c r="CQ247">
        <v>97</v>
      </c>
      <c r="ES247">
        <v>240</v>
      </c>
      <c r="ET247" t="s">
        <v>270</v>
      </c>
      <c r="EU247" t="s">
        <v>271</v>
      </c>
      <c r="EV247">
        <v>241</v>
      </c>
      <c r="EW247" t="str" cm="1">
        <f t="array" aca="1" ref="EW247" ca="1">INDIRECT("'5借入一覧'!"&amp;ET247&amp;EV247)&amp;INDIRECT("'5借入一覧'!"&amp;EU247&amp;EV247)</f>
        <v/>
      </c>
      <c r="EX247">
        <v>1</v>
      </c>
      <c r="EY247">
        <v>240</v>
      </c>
      <c r="EZ247" t="e">
        <f t="shared" ca="1" si="62"/>
        <v>#N/A</v>
      </c>
      <c r="FA247" t="e">
        <f t="shared" ca="1" si="62"/>
        <v>#N/A</v>
      </c>
      <c r="FB247" t="e">
        <f t="shared" ca="1" si="62"/>
        <v>#N/A</v>
      </c>
      <c r="FC247" t="e">
        <f t="shared" ca="1" si="62"/>
        <v>#N/A</v>
      </c>
      <c r="FD247" t="e">
        <f t="shared" ca="1" si="62"/>
        <v>#N/A</v>
      </c>
      <c r="FE247" t="str">
        <f t="shared" ca="1" si="52"/>
        <v/>
      </c>
      <c r="FF247" t="str">
        <f t="shared" ca="1" si="53"/>
        <v/>
      </c>
      <c r="FG247" t="str">
        <f t="shared" ca="1" si="54"/>
        <v/>
      </c>
      <c r="FH247" t="str">
        <f t="shared" ca="1" si="55"/>
        <v/>
      </c>
      <c r="FI247" t="str">
        <f t="shared" ca="1" si="56"/>
        <v/>
      </c>
      <c r="FJ247" t="str">
        <f t="shared" ca="1" si="57"/>
        <v/>
      </c>
      <c r="FK247" t="str">
        <f t="shared" ca="1" si="51"/>
        <v/>
      </c>
      <c r="FL247" t="str">
        <f t="shared" ca="1" si="58"/>
        <v>無</v>
      </c>
    </row>
    <row r="248" spans="93:168">
      <c r="CO248" s="5">
        <v>158</v>
      </c>
      <c r="CP248" s="57">
        <v>62000</v>
      </c>
      <c r="CQ248">
        <v>98</v>
      </c>
      <c r="ES248">
        <v>241</v>
      </c>
      <c r="ET248" t="s">
        <v>270</v>
      </c>
      <c r="EU248" t="s">
        <v>271</v>
      </c>
      <c r="EV248">
        <v>242</v>
      </c>
      <c r="EW248" t="str" cm="1">
        <f t="array" aca="1" ref="EW248" ca="1">INDIRECT("'5借入一覧'!"&amp;ET248&amp;EV248)&amp;INDIRECT("'5借入一覧'!"&amp;EU248&amp;EV248)</f>
        <v/>
      </c>
      <c r="EX248">
        <v>1</v>
      </c>
      <c r="EY248">
        <v>241</v>
      </c>
      <c r="EZ248" t="e">
        <f t="shared" ref="EZ248:FD257" ca="1" si="63">VLOOKUP($EY248&amp;EZ$5,$EW$7:$EX$1101,2,FALSE)</f>
        <v>#N/A</v>
      </c>
      <c r="FA248" t="e">
        <f t="shared" ca="1" si="63"/>
        <v>#N/A</v>
      </c>
      <c r="FB248" t="e">
        <f t="shared" ca="1" si="63"/>
        <v>#N/A</v>
      </c>
      <c r="FC248" t="e">
        <f t="shared" ca="1" si="63"/>
        <v>#N/A</v>
      </c>
      <c r="FD248" t="e">
        <f t="shared" ca="1" si="63"/>
        <v>#N/A</v>
      </c>
      <c r="FE248" t="str">
        <f t="shared" ca="1" si="52"/>
        <v/>
      </c>
      <c r="FF248" t="str">
        <f t="shared" ca="1" si="53"/>
        <v/>
      </c>
      <c r="FG248" t="str">
        <f t="shared" ca="1" si="54"/>
        <v/>
      </c>
      <c r="FH248" t="str">
        <f t="shared" ca="1" si="55"/>
        <v/>
      </c>
      <c r="FI248" t="str">
        <f t="shared" ca="1" si="56"/>
        <v/>
      </c>
      <c r="FJ248" t="str">
        <f t="shared" ca="1" si="57"/>
        <v/>
      </c>
      <c r="FK248" t="str">
        <f t="shared" ca="1" si="51"/>
        <v/>
      </c>
      <c r="FL248" t="str">
        <f t="shared" ca="1" si="58"/>
        <v>無</v>
      </c>
    </row>
    <row r="249" spans="93:168">
      <c r="CO249" s="5">
        <v>161</v>
      </c>
      <c r="CP249" s="57">
        <v>62000</v>
      </c>
      <c r="CQ249">
        <v>98</v>
      </c>
      <c r="ES249">
        <v>242</v>
      </c>
      <c r="ET249" t="s">
        <v>270</v>
      </c>
      <c r="EU249" t="s">
        <v>271</v>
      </c>
      <c r="EV249">
        <v>243</v>
      </c>
      <c r="EW249" t="str" cm="1">
        <f t="array" aca="1" ref="EW249" ca="1">INDIRECT("'5借入一覧'!"&amp;ET249&amp;EV249)&amp;INDIRECT("'5借入一覧'!"&amp;EU249&amp;EV249)</f>
        <v/>
      </c>
      <c r="EX249">
        <v>1</v>
      </c>
      <c r="EY249">
        <v>242</v>
      </c>
      <c r="EZ249" t="e">
        <f t="shared" ca="1" si="63"/>
        <v>#N/A</v>
      </c>
      <c r="FA249" t="e">
        <f t="shared" ca="1" si="63"/>
        <v>#N/A</v>
      </c>
      <c r="FB249" t="e">
        <f t="shared" ca="1" si="63"/>
        <v>#N/A</v>
      </c>
      <c r="FC249" t="e">
        <f t="shared" ca="1" si="63"/>
        <v>#N/A</v>
      </c>
      <c r="FD249" t="e">
        <f t="shared" ca="1" si="63"/>
        <v>#N/A</v>
      </c>
      <c r="FE249" t="str">
        <f t="shared" ca="1" si="52"/>
        <v/>
      </c>
      <c r="FF249" t="str">
        <f t="shared" ca="1" si="53"/>
        <v/>
      </c>
      <c r="FG249" t="str">
        <f t="shared" ca="1" si="54"/>
        <v/>
      </c>
      <c r="FH249" t="str">
        <f t="shared" ca="1" si="55"/>
        <v/>
      </c>
      <c r="FI249" t="str">
        <f t="shared" ca="1" si="56"/>
        <v/>
      </c>
      <c r="FJ249" t="str">
        <f t="shared" ca="1" si="57"/>
        <v/>
      </c>
      <c r="FK249" t="str">
        <f t="shared" ca="1" si="51"/>
        <v/>
      </c>
      <c r="FL249" t="str">
        <f t="shared" ca="1" si="58"/>
        <v>無</v>
      </c>
    </row>
    <row r="250" spans="93:168">
      <c r="CO250" s="5">
        <v>150</v>
      </c>
      <c r="CP250" s="57">
        <v>62000</v>
      </c>
      <c r="CQ250">
        <v>98</v>
      </c>
      <c r="ES250">
        <v>243</v>
      </c>
      <c r="ET250" t="s">
        <v>270</v>
      </c>
      <c r="EU250" t="s">
        <v>271</v>
      </c>
      <c r="EV250">
        <v>244</v>
      </c>
      <c r="EW250" t="str" cm="1">
        <f t="array" aca="1" ref="EW250" ca="1">INDIRECT("'5借入一覧'!"&amp;ET250&amp;EV250)&amp;INDIRECT("'5借入一覧'!"&amp;EU250&amp;EV250)</f>
        <v/>
      </c>
      <c r="EX250">
        <v>1</v>
      </c>
      <c r="EY250">
        <v>243</v>
      </c>
      <c r="EZ250" t="e">
        <f t="shared" ca="1" si="63"/>
        <v>#N/A</v>
      </c>
      <c r="FA250" t="e">
        <f t="shared" ca="1" si="63"/>
        <v>#N/A</v>
      </c>
      <c r="FB250" t="e">
        <f t="shared" ca="1" si="63"/>
        <v>#N/A</v>
      </c>
      <c r="FC250" t="e">
        <f t="shared" ca="1" si="63"/>
        <v>#N/A</v>
      </c>
      <c r="FD250" t="e">
        <f t="shared" ca="1" si="63"/>
        <v>#N/A</v>
      </c>
      <c r="FE250" t="str">
        <f t="shared" ca="1" si="52"/>
        <v/>
      </c>
      <c r="FF250" t="str">
        <f t="shared" ca="1" si="53"/>
        <v/>
      </c>
      <c r="FG250" t="str">
        <f t="shared" ca="1" si="54"/>
        <v/>
      </c>
      <c r="FH250" t="str">
        <f t="shared" ca="1" si="55"/>
        <v/>
      </c>
      <c r="FI250" t="str">
        <f t="shared" ca="1" si="56"/>
        <v/>
      </c>
      <c r="FJ250" t="str">
        <f t="shared" ca="1" si="57"/>
        <v/>
      </c>
      <c r="FK250" t="str">
        <f t="shared" ca="1" si="51"/>
        <v/>
      </c>
      <c r="FL250" t="str">
        <f t="shared" ca="1" si="58"/>
        <v>無</v>
      </c>
    </row>
    <row r="251" spans="93:168">
      <c r="CO251" s="5">
        <v>152</v>
      </c>
      <c r="CP251" s="57">
        <v>62000</v>
      </c>
      <c r="CQ251">
        <v>98</v>
      </c>
      <c r="ES251">
        <v>244</v>
      </c>
      <c r="ET251" t="s">
        <v>270</v>
      </c>
      <c r="EU251" t="s">
        <v>271</v>
      </c>
      <c r="EV251">
        <v>245</v>
      </c>
      <c r="EW251" t="str" cm="1">
        <f t="array" aca="1" ref="EW251" ca="1">INDIRECT("'5借入一覧'!"&amp;ET251&amp;EV251)&amp;INDIRECT("'5借入一覧'!"&amp;EU251&amp;EV251)</f>
        <v/>
      </c>
      <c r="EX251">
        <v>1</v>
      </c>
      <c r="EY251">
        <v>244</v>
      </c>
      <c r="EZ251" t="e">
        <f t="shared" ca="1" si="63"/>
        <v>#N/A</v>
      </c>
      <c r="FA251" t="e">
        <f t="shared" ca="1" si="63"/>
        <v>#N/A</v>
      </c>
      <c r="FB251" t="e">
        <f t="shared" ca="1" si="63"/>
        <v>#N/A</v>
      </c>
      <c r="FC251" t="e">
        <f t="shared" ca="1" si="63"/>
        <v>#N/A</v>
      </c>
      <c r="FD251" t="e">
        <f t="shared" ca="1" si="63"/>
        <v>#N/A</v>
      </c>
      <c r="FE251" t="str">
        <f t="shared" ca="1" si="52"/>
        <v/>
      </c>
      <c r="FF251" t="str">
        <f t="shared" ca="1" si="53"/>
        <v/>
      </c>
      <c r="FG251" t="str">
        <f t="shared" ca="1" si="54"/>
        <v/>
      </c>
      <c r="FH251" t="str">
        <f t="shared" ca="1" si="55"/>
        <v/>
      </c>
      <c r="FI251" t="str">
        <f t="shared" ca="1" si="56"/>
        <v/>
      </c>
      <c r="FJ251" t="str">
        <f t="shared" ca="1" si="57"/>
        <v/>
      </c>
      <c r="FK251" t="str">
        <f t="shared" ca="1" si="51"/>
        <v/>
      </c>
      <c r="FL251" t="str">
        <f t="shared" ca="1" si="58"/>
        <v>無</v>
      </c>
    </row>
    <row r="252" spans="93:168">
      <c r="CO252" s="5">
        <v>27</v>
      </c>
      <c r="CP252" s="57">
        <v>62000</v>
      </c>
      <c r="CQ252">
        <v>98</v>
      </c>
      <c r="ES252">
        <v>245</v>
      </c>
      <c r="ET252" t="s">
        <v>270</v>
      </c>
      <c r="EU252" t="s">
        <v>271</v>
      </c>
      <c r="EV252">
        <v>246</v>
      </c>
      <c r="EW252" t="str" cm="1">
        <f t="array" aca="1" ref="EW252" ca="1">INDIRECT("'5借入一覧'!"&amp;ET252&amp;EV252)&amp;INDIRECT("'5借入一覧'!"&amp;EU252&amp;EV252)</f>
        <v/>
      </c>
      <c r="EX252">
        <v>1</v>
      </c>
      <c r="EY252">
        <v>245</v>
      </c>
      <c r="EZ252" t="e">
        <f t="shared" ca="1" si="63"/>
        <v>#N/A</v>
      </c>
      <c r="FA252" t="e">
        <f t="shared" ca="1" si="63"/>
        <v>#N/A</v>
      </c>
      <c r="FB252" t="e">
        <f t="shared" ca="1" si="63"/>
        <v>#N/A</v>
      </c>
      <c r="FC252" t="e">
        <f t="shared" ca="1" si="63"/>
        <v>#N/A</v>
      </c>
      <c r="FD252" t="e">
        <f t="shared" ca="1" si="63"/>
        <v>#N/A</v>
      </c>
      <c r="FE252" t="str">
        <f t="shared" ca="1" si="52"/>
        <v/>
      </c>
      <c r="FF252" t="str">
        <f t="shared" ca="1" si="53"/>
        <v/>
      </c>
      <c r="FG252" t="str">
        <f t="shared" ca="1" si="54"/>
        <v/>
      </c>
      <c r="FH252" t="str">
        <f t="shared" ca="1" si="55"/>
        <v/>
      </c>
      <c r="FI252" t="str">
        <f t="shared" ca="1" si="56"/>
        <v/>
      </c>
      <c r="FJ252" t="str">
        <f t="shared" ca="1" si="57"/>
        <v/>
      </c>
      <c r="FK252" t="str">
        <f t="shared" ca="1" si="51"/>
        <v/>
      </c>
      <c r="FL252" t="str">
        <f t="shared" ca="1" si="58"/>
        <v>無</v>
      </c>
    </row>
    <row r="253" spans="93:168">
      <c r="CO253" s="5">
        <v>10</v>
      </c>
      <c r="CP253" s="57">
        <v>62000</v>
      </c>
      <c r="CQ253">
        <v>98</v>
      </c>
      <c r="ES253">
        <v>246</v>
      </c>
      <c r="ET253" t="s">
        <v>270</v>
      </c>
      <c r="EU253" t="s">
        <v>271</v>
      </c>
      <c r="EV253">
        <v>247</v>
      </c>
      <c r="EW253" t="str" cm="1">
        <f t="array" aca="1" ref="EW253" ca="1">INDIRECT("'5借入一覧'!"&amp;ET253&amp;EV253)&amp;INDIRECT("'5借入一覧'!"&amp;EU253&amp;EV253)</f>
        <v/>
      </c>
      <c r="EX253">
        <v>1</v>
      </c>
      <c r="EY253">
        <v>246</v>
      </c>
      <c r="EZ253" t="e">
        <f t="shared" ca="1" si="63"/>
        <v>#N/A</v>
      </c>
      <c r="FA253" t="e">
        <f t="shared" ca="1" si="63"/>
        <v>#N/A</v>
      </c>
      <c r="FB253" t="e">
        <f t="shared" ca="1" si="63"/>
        <v>#N/A</v>
      </c>
      <c r="FC253" t="e">
        <f t="shared" ca="1" si="63"/>
        <v>#N/A</v>
      </c>
      <c r="FD253" t="e">
        <f t="shared" ca="1" si="63"/>
        <v>#N/A</v>
      </c>
      <c r="FE253" t="str">
        <f t="shared" ca="1" si="52"/>
        <v/>
      </c>
      <c r="FF253" t="str">
        <f t="shared" ca="1" si="53"/>
        <v/>
      </c>
      <c r="FG253" t="str">
        <f t="shared" ca="1" si="54"/>
        <v/>
      </c>
      <c r="FH253" t="str">
        <f t="shared" ca="1" si="55"/>
        <v/>
      </c>
      <c r="FI253" t="str">
        <f t="shared" ca="1" si="56"/>
        <v/>
      </c>
      <c r="FJ253" t="str">
        <f t="shared" ca="1" si="57"/>
        <v/>
      </c>
      <c r="FK253" t="str">
        <f t="shared" ca="1" si="51"/>
        <v/>
      </c>
      <c r="FL253" t="str">
        <f t="shared" ca="1" si="58"/>
        <v>無</v>
      </c>
    </row>
    <row r="254" spans="93:168">
      <c r="CO254" s="5">
        <v>243</v>
      </c>
      <c r="CP254" s="57">
        <v>62000</v>
      </c>
      <c r="CQ254">
        <v>98</v>
      </c>
      <c r="ES254">
        <v>247</v>
      </c>
      <c r="ET254" t="s">
        <v>270</v>
      </c>
      <c r="EU254" t="s">
        <v>271</v>
      </c>
      <c r="EV254">
        <v>248</v>
      </c>
      <c r="EW254" t="str" cm="1">
        <f t="array" aca="1" ref="EW254" ca="1">INDIRECT("'5借入一覧'!"&amp;ET254&amp;EV254)&amp;INDIRECT("'5借入一覧'!"&amp;EU254&amp;EV254)</f>
        <v/>
      </c>
      <c r="EX254">
        <v>1</v>
      </c>
      <c r="EY254">
        <v>247</v>
      </c>
      <c r="EZ254" t="e">
        <f t="shared" ca="1" si="63"/>
        <v>#N/A</v>
      </c>
      <c r="FA254" t="e">
        <f t="shared" ca="1" si="63"/>
        <v>#N/A</v>
      </c>
      <c r="FB254" t="e">
        <f t="shared" ca="1" si="63"/>
        <v>#N/A</v>
      </c>
      <c r="FC254" t="e">
        <f t="shared" ca="1" si="63"/>
        <v>#N/A</v>
      </c>
      <c r="FD254" t="e">
        <f t="shared" ca="1" si="63"/>
        <v>#N/A</v>
      </c>
      <c r="FE254" t="str">
        <f t="shared" ca="1" si="52"/>
        <v/>
      </c>
      <c r="FF254" t="str">
        <f t="shared" ca="1" si="53"/>
        <v/>
      </c>
      <c r="FG254" t="str">
        <f t="shared" ca="1" si="54"/>
        <v/>
      </c>
      <c r="FH254" t="str">
        <f t="shared" ca="1" si="55"/>
        <v/>
      </c>
      <c r="FI254" t="str">
        <f t="shared" ca="1" si="56"/>
        <v/>
      </c>
      <c r="FJ254" t="str">
        <f t="shared" ca="1" si="57"/>
        <v/>
      </c>
      <c r="FK254" t="str">
        <f t="shared" ca="1" si="51"/>
        <v/>
      </c>
      <c r="FL254" t="str">
        <f t="shared" ca="1" si="58"/>
        <v>無</v>
      </c>
    </row>
    <row r="255" spans="93:168">
      <c r="CO255" s="5">
        <v>162</v>
      </c>
      <c r="CP255" s="57">
        <v>61000</v>
      </c>
      <c r="CQ255">
        <v>99</v>
      </c>
      <c r="ES255">
        <v>248</v>
      </c>
      <c r="ET255" t="s">
        <v>270</v>
      </c>
      <c r="EU255" t="s">
        <v>271</v>
      </c>
      <c r="EV255">
        <v>249</v>
      </c>
      <c r="EW255" t="str" cm="1">
        <f t="array" aca="1" ref="EW255" ca="1">INDIRECT("'5借入一覧'!"&amp;ET255&amp;EV255)&amp;INDIRECT("'5借入一覧'!"&amp;EU255&amp;EV255)</f>
        <v/>
      </c>
      <c r="EX255">
        <v>1</v>
      </c>
      <c r="EY255">
        <v>248</v>
      </c>
      <c r="EZ255" t="e">
        <f t="shared" ca="1" si="63"/>
        <v>#N/A</v>
      </c>
      <c r="FA255" t="e">
        <f t="shared" ca="1" si="63"/>
        <v>#N/A</v>
      </c>
      <c r="FB255" t="e">
        <f t="shared" ca="1" si="63"/>
        <v>#N/A</v>
      </c>
      <c r="FC255" t="e">
        <f t="shared" ca="1" si="63"/>
        <v>#N/A</v>
      </c>
      <c r="FD255" t="e">
        <f t="shared" ca="1" si="63"/>
        <v>#N/A</v>
      </c>
      <c r="FE255" t="str">
        <f t="shared" ca="1" si="52"/>
        <v/>
      </c>
      <c r="FF255" t="str">
        <f t="shared" ca="1" si="53"/>
        <v/>
      </c>
      <c r="FG255" t="str">
        <f t="shared" ca="1" si="54"/>
        <v/>
      </c>
      <c r="FH255" t="str">
        <f t="shared" ca="1" si="55"/>
        <v/>
      </c>
      <c r="FI255" t="str">
        <f t="shared" ca="1" si="56"/>
        <v/>
      </c>
      <c r="FJ255" t="str">
        <f t="shared" ca="1" si="57"/>
        <v/>
      </c>
      <c r="FK255" t="str">
        <f t="shared" ca="1" si="51"/>
        <v/>
      </c>
      <c r="FL255" t="str">
        <f t="shared" ca="1" si="58"/>
        <v>無</v>
      </c>
    </row>
    <row r="256" spans="93:168">
      <c r="CO256" s="5">
        <v>149</v>
      </c>
      <c r="CP256" s="57">
        <v>61000</v>
      </c>
      <c r="CQ256">
        <v>99</v>
      </c>
      <c r="ES256">
        <v>249</v>
      </c>
      <c r="ET256" t="s">
        <v>270</v>
      </c>
      <c r="EU256" t="s">
        <v>271</v>
      </c>
      <c r="EV256">
        <v>250</v>
      </c>
      <c r="EW256" t="str" cm="1">
        <f t="array" aca="1" ref="EW256" ca="1">INDIRECT("'5借入一覧'!"&amp;ET256&amp;EV256)&amp;INDIRECT("'5借入一覧'!"&amp;EU256&amp;EV256)</f>
        <v/>
      </c>
      <c r="EX256">
        <v>1</v>
      </c>
      <c r="EY256">
        <v>249</v>
      </c>
      <c r="EZ256" t="e">
        <f t="shared" ca="1" si="63"/>
        <v>#N/A</v>
      </c>
      <c r="FA256" t="e">
        <f t="shared" ca="1" si="63"/>
        <v>#N/A</v>
      </c>
      <c r="FB256" t="e">
        <f t="shared" ca="1" si="63"/>
        <v>#N/A</v>
      </c>
      <c r="FC256" t="e">
        <f t="shared" ca="1" si="63"/>
        <v>#N/A</v>
      </c>
      <c r="FD256" t="e">
        <f t="shared" ca="1" si="63"/>
        <v>#N/A</v>
      </c>
      <c r="FE256" t="str">
        <f t="shared" ca="1" si="52"/>
        <v/>
      </c>
      <c r="FF256" t="str">
        <f t="shared" ca="1" si="53"/>
        <v/>
      </c>
      <c r="FG256" t="str">
        <f t="shared" ca="1" si="54"/>
        <v/>
      </c>
      <c r="FH256" t="str">
        <f t="shared" ca="1" si="55"/>
        <v/>
      </c>
      <c r="FI256" t="str">
        <f t="shared" ca="1" si="56"/>
        <v/>
      </c>
      <c r="FJ256" t="str">
        <f t="shared" ca="1" si="57"/>
        <v/>
      </c>
      <c r="FK256" t="str">
        <f t="shared" ca="1" si="51"/>
        <v/>
      </c>
      <c r="FL256" t="str">
        <f t="shared" ca="1" si="58"/>
        <v>無</v>
      </c>
    </row>
    <row r="257" spans="93:168">
      <c r="CO257" s="5">
        <v>241</v>
      </c>
      <c r="CP257" s="57">
        <v>60000</v>
      </c>
      <c r="CQ257">
        <v>100</v>
      </c>
      <c r="ES257">
        <v>250</v>
      </c>
      <c r="ET257" t="s">
        <v>270</v>
      </c>
      <c r="EU257" t="s">
        <v>271</v>
      </c>
      <c r="EV257">
        <v>251</v>
      </c>
      <c r="EW257" t="str" cm="1">
        <f t="array" aca="1" ref="EW257" ca="1">INDIRECT("'5借入一覧'!"&amp;ET257&amp;EV257)&amp;INDIRECT("'5借入一覧'!"&amp;EU257&amp;EV257)</f>
        <v/>
      </c>
      <c r="EX257">
        <v>1</v>
      </c>
      <c r="EY257">
        <v>250</v>
      </c>
      <c r="EZ257" t="e">
        <f t="shared" ca="1" si="63"/>
        <v>#N/A</v>
      </c>
      <c r="FA257" t="e">
        <f t="shared" ca="1" si="63"/>
        <v>#N/A</v>
      </c>
      <c r="FB257" t="e">
        <f t="shared" ca="1" si="63"/>
        <v>#N/A</v>
      </c>
      <c r="FC257" t="e">
        <f t="shared" ca="1" si="63"/>
        <v>#N/A</v>
      </c>
      <c r="FD257" t="e">
        <f t="shared" ca="1" si="63"/>
        <v>#N/A</v>
      </c>
      <c r="FE257" t="str">
        <f t="shared" ca="1" si="52"/>
        <v/>
      </c>
      <c r="FF257" t="str">
        <f t="shared" ca="1" si="53"/>
        <v/>
      </c>
      <c r="FG257" t="str">
        <f t="shared" ca="1" si="54"/>
        <v/>
      </c>
      <c r="FH257" t="str">
        <f t="shared" ca="1" si="55"/>
        <v/>
      </c>
      <c r="FI257" t="str">
        <f t="shared" ca="1" si="56"/>
        <v/>
      </c>
      <c r="FJ257" t="str">
        <f t="shared" ca="1" si="57"/>
        <v/>
      </c>
      <c r="FK257" t="str">
        <f t="shared" ca="1" si="51"/>
        <v/>
      </c>
      <c r="FL257" t="str">
        <f t="shared" ca="1" si="58"/>
        <v>無</v>
      </c>
    </row>
    <row r="258" spans="93:168">
      <c r="CO258" s="5">
        <v>155</v>
      </c>
      <c r="CP258" s="57">
        <v>60000</v>
      </c>
      <c r="CQ258">
        <v>100</v>
      </c>
      <c r="ES258">
        <v>251</v>
      </c>
      <c r="ET258" t="s">
        <v>270</v>
      </c>
      <c r="EU258" t="s">
        <v>271</v>
      </c>
      <c r="EV258">
        <v>252</v>
      </c>
      <c r="EW258" t="str" cm="1">
        <f t="array" aca="1" ref="EW258" ca="1">INDIRECT("'5借入一覧'!"&amp;ET258&amp;EV258)&amp;INDIRECT("'5借入一覧'!"&amp;EU258&amp;EV258)</f>
        <v/>
      </c>
      <c r="EX258">
        <v>1</v>
      </c>
      <c r="EY258">
        <v>251</v>
      </c>
      <c r="EZ258" t="e">
        <f t="shared" ref="EZ258:FD267" ca="1" si="64">VLOOKUP($EY258&amp;EZ$5,$EW$7:$EX$1101,2,FALSE)</f>
        <v>#N/A</v>
      </c>
      <c r="FA258" t="e">
        <f t="shared" ca="1" si="64"/>
        <v>#N/A</v>
      </c>
      <c r="FB258" t="e">
        <f t="shared" ca="1" si="64"/>
        <v>#N/A</v>
      </c>
      <c r="FC258" t="e">
        <f t="shared" ca="1" si="64"/>
        <v>#N/A</v>
      </c>
      <c r="FD258" t="e">
        <f t="shared" ca="1" si="64"/>
        <v>#N/A</v>
      </c>
      <c r="FE258" t="str">
        <f t="shared" ca="1" si="52"/>
        <v/>
      </c>
      <c r="FF258" t="str">
        <f t="shared" ca="1" si="53"/>
        <v/>
      </c>
      <c r="FG258" t="str">
        <f t="shared" ca="1" si="54"/>
        <v/>
      </c>
      <c r="FH258" t="str">
        <f t="shared" ca="1" si="55"/>
        <v/>
      </c>
      <c r="FI258" t="str">
        <f t="shared" ca="1" si="56"/>
        <v/>
      </c>
      <c r="FJ258" t="str">
        <f t="shared" ca="1" si="57"/>
        <v/>
      </c>
      <c r="FK258" t="str">
        <f t="shared" ca="1" si="51"/>
        <v/>
      </c>
      <c r="FL258" t="str">
        <f t="shared" ca="1" si="58"/>
        <v>無</v>
      </c>
    </row>
    <row r="259" spans="93:168">
      <c r="CO259" s="5">
        <v>145</v>
      </c>
      <c r="CP259" s="57">
        <v>60000</v>
      </c>
      <c r="CQ259">
        <v>100</v>
      </c>
      <c r="ES259">
        <v>252</v>
      </c>
      <c r="ET259" t="s">
        <v>270</v>
      </c>
      <c r="EU259" t="s">
        <v>271</v>
      </c>
      <c r="EV259">
        <v>253</v>
      </c>
      <c r="EW259" t="str" cm="1">
        <f t="array" aca="1" ref="EW259" ca="1">INDIRECT("'5借入一覧'!"&amp;ET259&amp;EV259)&amp;INDIRECT("'5借入一覧'!"&amp;EU259&amp;EV259)</f>
        <v/>
      </c>
      <c r="EX259">
        <v>1</v>
      </c>
      <c r="EY259">
        <v>252</v>
      </c>
      <c r="EZ259" t="e">
        <f t="shared" ca="1" si="64"/>
        <v>#N/A</v>
      </c>
      <c r="FA259" t="e">
        <f t="shared" ca="1" si="64"/>
        <v>#N/A</v>
      </c>
      <c r="FB259" t="e">
        <f t="shared" ca="1" si="64"/>
        <v>#N/A</v>
      </c>
      <c r="FC259" t="e">
        <f t="shared" ca="1" si="64"/>
        <v>#N/A</v>
      </c>
      <c r="FD259" t="e">
        <f t="shared" ca="1" si="64"/>
        <v>#N/A</v>
      </c>
      <c r="FE259" t="str">
        <f t="shared" ca="1" si="52"/>
        <v/>
      </c>
      <c r="FF259" t="str">
        <f t="shared" ca="1" si="53"/>
        <v/>
      </c>
      <c r="FG259" t="str">
        <f t="shared" ca="1" si="54"/>
        <v/>
      </c>
      <c r="FH259" t="str">
        <f t="shared" ca="1" si="55"/>
        <v/>
      </c>
      <c r="FI259" t="str">
        <f t="shared" ca="1" si="56"/>
        <v/>
      </c>
      <c r="FJ259" t="str">
        <f t="shared" ca="1" si="57"/>
        <v/>
      </c>
      <c r="FK259" t="str">
        <f t="shared" ca="1" si="51"/>
        <v/>
      </c>
      <c r="FL259" t="str">
        <f t="shared" ca="1" si="58"/>
        <v>無</v>
      </c>
    </row>
    <row r="260" spans="93:168">
      <c r="CO260" s="5">
        <v>236</v>
      </c>
      <c r="CP260" s="57">
        <v>60000</v>
      </c>
      <c r="CQ260">
        <v>100</v>
      </c>
      <c r="ES260">
        <v>253</v>
      </c>
      <c r="ET260" t="s">
        <v>270</v>
      </c>
      <c r="EU260" t="s">
        <v>271</v>
      </c>
      <c r="EV260">
        <v>254</v>
      </c>
      <c r="EW260" t="str" cm="1">
        <f t="array" aca="1" ref="EW260" ca="1">INDIRECT("'5借入一覧'!"&amp;ET260&amp;EV260)&amp;INDIRECT("'5借入一覧'!"&amp;EU260&amp;EV260)</f>
        <v/>
      </c>
      <c r="EX260">
        <v>1</v>
      </c>
      <c r="EY260">
        <v>253</v>
      </c>
      <c r="EZ260" t="e">
        <f t="shared" ca="1" si="64"/>
        <v>#N/A</v>
      </c>
      <c r="FA260" t="e">
        <f t="shared" ca="1" si="64"/>
        <v>#N/A</v>
      </c>
      <c r="FB260" t="e">
        <f t="shared" ca="1" si="64"/>
        <v>#N/A</v>
      </c>
      <c r="FC260" t="e">
        <f t="shared" ca="1" si="64"/>
        <v>#N/A</v>
      </c>
      <c r="FD260" t="e">
        <f t="shared" ca="1" si="64"/>
        <v>#N/A</v>
      </c>
      <c r="FE260" t="str">
        <f t="shared" ca="1" si="52"/>
        <v/>
      </c>
      <c r="FF260" t="str">
        <f t="shared" ca="1" si="53"/>
        <v/>
      </c>
      <c r="FG260" t="str">
        <f t="shared" ca="1" si="54"/>
        <v/>
      </c>
      <c r="FH260" t="str">
        <f t="shared" ca="1" si="55"/>
        <v/>
      </c>
      <c r="FI260" t="str">
        <f t="shared" ca="1" si="56"/>
        <v/>
      </c>
      <c r="FJ260" t="str">
        <f t="shared" ca="1" si="57"/>
        <v/>
      </c>
      <c r="FK260" t="str">
        <f t="shared" ca="1" si="51"/>
        <v/>
      </c>
      <c r="FL260" t="str">
        <f t="shared" ca="1" si="58"/>
        <v>無</v>
      </c>
    </row>
    <row r="261" spans="93:168">
      <c r="CO261" s="5">
        <v>239</v>
      </c>
      <c r="CP261" s="57">
        <v>60000</v>
      </c>
      <c r="CQ261">
        <v>100</v>
      </c>
      <c r="ES261">
        <v>254</v>
      </c>
      <c r="ET261" t="s">
        <v>270</v>
      </c>
      <c r="EU261" t="s">
        <v>271</v>
      </c>
      <c r="EV261">
        <v>255</v>
      </c>
      <c r="EW261" t="str" cm="1">
        <f t="array" aca="1" ref="EW261" ca="1">INDIRECT("'5借入一覧'!"&amp;ET261&amp;EV261)&amp;INDIRECT("'5借入一覧'!"&amp;EU261&amp;EV261)</f>
        <v/>
      </c>
      <c r="EX261">
        <v>1</v>
      </c>
      <c r="EY261">
        <v>254</v>
      </c>
      <c r="EZ261" t="e">
        <f t="shared" ca="1" si="64"/>
        <v>#N/A</v>
      </c>
      <c r="FA261" t="e">
        <f t="shared" ca="1" si="64"/>
        <v>#N/A</v>
      </c>
      <c r="FB261" t="e">
        <f t="shared" ca="1" si="64"/>
        <v>#N/A</v>
      </c>
      <c r="FC261" t="e">
        <f t="shared" ca="1" si="64"/>
        <v>#N/A</v>
      </c>
      <c r="FD261" t="e">
        <f t="shared" ca="1" si="64"/>
        <v>#N/A</v>
      </c>
      <c r="FE261" t="str">
        <f t="shared" ca="1" si="52"/>
        <v/>
      </c>
      <c r="FF261" t="str">
        <f t="shared" ca="1" si="53"/>
        <v/>
      </c>
      <c r="FG261" t="str">
        <f t="shared" ca="1" si="54"/>
        <v/>
      </c>
      <c r="FH261" t="str">
        <f t="shared" ca="1" si="55"/>
        <v/>
      </c>
      <c r="FI261" t="str">
        <f t="shared" ca="1" si="56"/>
        <v/>
      </c>
      <c r="FJ261" t="str">
        <f t="shared" ca="1" si="57"/>
        <v/>
      </c>
      <c r="FK261" t="str">
        <f t="shared" ca="1" si="51"/>
        <v/>
      </c>
      <c r="FL261" t="str">
        <f t="shared" ca="1" si="58"/>
        <v>無</v>
      </c>
    </row>
    <row r="262" spans="93:168">
      <c r="CO262" s="5">
        <v>14</v>
      </c>
      <c r="CP262" s="57">
        <v>60000</v>
      </c>
      <c r="CQ262">
        <v>100</v>
      </c>
      <c r="ES262">
        <v>255</v>
      </c>
      <c r="ET262" t="s">
        <v>270</v>
      </c>
      <c r="EU262" t="s">
        <v>271</v>
      </c>
      <c r="EV262">
        <v>256</v>
      </c>
      <c r="EW262" t="str" cm="1">
        <f t="array" aca="1" ref="EW262" ca="1">INDIRECT("'5借入一覧'!"&amp;ET262&amp;EV262)&amp;INDIRECT("'5借入一覧'!"&amp;EU262&amp;EV262)</f>
        <v/>
      </c>
      <c r="EX262">
        <v>1</v>
      </c>
      <c r="EY262">
        <v>255</v>
      </c>
      <c r="EZ262" t="e">
        <f t="shared" ca="1" si="64"/>
        <v>#N/A</v>
      </c>
      <c r="FA262" t="e">
        <f t="shared" ca="1" si="64"/>
        <v>#N/A</v>
      </c>
      <c r="FB262" t="e">
        <f t="shared" ca="1" si="64"/>
        <v>#N/A</v>
      </c>
      <c r="FC262" t="e">
        <f t="shared" ca="1" si="64"/>
        <v>#N/A</v>
      </c>
      <c r="FD262" t="e">
        <f t="shared" ca="1" si="64"/>
        <v>#N/A</v>
      </c>
      <c r="FE262" t="str">
        <f t="shared" ca="1" si="52"/>
        <v/>
      </c>
      <c r="FF262" t="str">
        <f t="shared" ca="1" si="53"/>
        <v/>
      </c>
      <c r="FG262" t="str">
        <f t="shared" ca="1" si="54"/>
        <v/>
      </c>
      <c r="FH262" t="str">
        <f t="shared" ca="1" si="55"/>
        <v/>
      </c>
      <c r="FI262" t="str">
        <f t="shared" ca="1" si="56"/>
        <v/>
      </c>
      <c r="FJ262" t="str">
        <f t="shared" ca="1" si="57"/>
        <v/>
      </c>
      <c r="FK262" t="str">
        <f t="shared" ca="1" si="51"/>
        <v/>
      </c>
      <c r="FL262" t="str">
        <f t="shared" ca="1" si="58"/>
        <v>無</v>
      </c>
    </row>
    <row r="263" spans="93:168">
      <c r="CO263" s="5">
        <v>15</v>
      </c>
      <c r="CP263" s="57">
        <v>59000</v>
      </c>
      <c r="CQ263">
        <v>101</v>
      </c>
      <c r="ES263">
        <v>256</v>
      </c>
      <c r="ET263" t="s">
        <v>270</v>
      </c>
      <c r="EU263" t="s">
        <v>271</v>
      </c>
      <c r="EV263">
        <v>257</v>
      </c>
      <c r="EW263" t="str" cm="1">
        <f t="array" aca="1" ref="EW263" ca="1">INDIRECT("'5借入一覧'!"&amp;ET263&amp;EV263)&amp;INDIRECT("'5借入一覧'!"&amp;EU263&amp;EV263)</f>
        <v/>
      </c>
      <c r="EX263">
        <v>1</v>
      </c>
      <c r="EY263">
        <v>256</v>
      </c>
      <c r="EZ263" t="e">
        <f t="shared" ca="1" si="64"/>
        <v>#N/A</v>
      </c>
      <c r="FA263" t="e">
        <f t="shared" ca="1" si="64"/>
        <v>#N/A</v>
      </c>
      <c r="FB263" t="e">
        <f t="shared" ca="1" si="64"/>
        <v>#N/A</v>
      </c>
      <c r="FC263" t="e">
        <f t="shared" ca="1" si="64"/>
        <v>#N/A</v>
      </c>
      <c r="FD263" t="e">
        <f t="shared" ca="1" si="64"/>
        <v>#N/A</v>
      </c>
      <c r="FE263" t="str">
        <f t="shared" ca="1" si="52"/>
        <v/>
      </c>
      <c r="FF263" t="str">
        <f t="shared" ca="1" si="53"/>
        <v/>
      </c>
      <c r="FG263" t="str">
        <f t="shared" ca="1" si="54"/>
        <v/>
      </c>
      <c r="FH263" t="str">
        <f t="shared" ca="1" si="55"/>
        <v/>
      </c>
      <c r="FI263" t="str">
        <f t="shared" ca="1" si="56"/>
        <v/>
      </c>
      <c r="FJ263" t="str">
        <f t="shared" ca="1" si="57"/>
        <v/>
      </c>
      <c r="FK263" t="str">
        <f t="shared" ca="1" si="51"/>
        <v/>
      </c>
      <c r="FL263" t="str">
        <f t="shared" ca="1" si="58"/>
        <v>無</v>
      </c>
    </row>
    <row r="264" spans="93:168">
      <c r="CO264" s="5">
        <v>164</v>
      </c>
      <c r="CP264" s="57">
        <v>59000</v>
      </c>
      <c r="CQ264">
        <v>101</v>
      </c>
      <c r="ES264">
        <v>257</v>
      </c>
      <c r="ET264" t="s">
        <v>270</v>
      </c>
      <c r="EU264" t="s">
        <v>271</v>
      </c>
      <c r="EV264">
        <v>258</v>
      </c>
      <c r="EW264" t="str" cm="1">
        <f t="array" aca="1" ref="EW264" ca="1">INDIRECT("'5借入一覧'!"&amp;ET264&amp;EV264)&amp;INDIRECT("'5借入一覧'!"&amp;EU264&amp;EV264)</f>
        <v/>
      </c>
      <c r="EX264">
        <v>1</v>
      </c>
      <c r="EY264">
        <v>257</v>
      </c>
      <c r="EZ264" t="e">
        <f t="shared" ca="1" si="64"/>
        <v>#N/A</v>
      </c>
      <c r="FA264" t="e">
        <f t="shared" ca="1" si="64"/>
        <v>#N/A</v>
      </c>
      <c r="FB264" t="e">
        <f t="shared" ca="1" si="64"/>
        <v>#N/A</v>
      </c>
      <c r="FC264" t="e">
        <f t="shared" ca="1" si="64"/>
        <v>#N/A</v>
      </c>
      <c r="FD264" t="e">
        <f t="shared" ca="1" si="64"/>
        <v>#N/A</v>
      </c>
      <c r="FE264" t="str">
        <f t="shared" ca="1" si="52"/>
        <v/>
      </c>
      <c r="FF264" t="str">
        <f t="shared" ca="1" si="53"/>
        <v/>
      </c>
      <c r="FG264" t="str">
        <f t="shared" ca="1" si="54"/>
        <v/>
      </c>
      <c r="FH264" t="str">
        <f t="shared" ca="1" si="55"/>
        <v/>
      </c>
      <c r="FI264" t="str">
        <f t="shared" ca="1" si="56"/>
        <v/>
      </c>
      <c r="FJ264" t="str">
        <f t="shared" ca="1" si="57"/>
        <v/>
      </c>
      <c r="FK264" t="str">
        <f t="shared" ref="FK264:FK327" ca="1" si="65">IF(FJ264&lt;&gt;"",LEFT(FJ264,LEN(FJ264)-1),"")</f>
        <v/>
      </c>
      <c r="FL264" t="str">
        <f t="shared" ca="1" si="58"/>
        <v>無</v>
      </c>
    </row>
    <row r="265" spans="93:168">
      <c r="CO265" s="5">
        <v>144</v>
      </c>
      <c r="CP265" s="57">
        <v>59000</v>
      </c>
      <c r="CQ265">
        <v>101</v>
      </c>
      <c r="ES265">
        <v>258</v>
      </c>
      <c r="ET265" t="s">
        <v>270</v>
      </c>
      <c r="EU265" t="s">
        <v>271</v>
      </c>
      <c r="EV265">
        <v>259</v>
      </c>
      <c r="EW265" t="str" cm="1">
        <f t="array" aca="1" ref="EW265" ca="1">INDIRECT("'5借入一覧'!"&amp;ET265&amp;EV265)&amp;INDIRECT("'5借入一覧'!"&amp;EU265&amp;EV265)</f>
        <v/>
      </c>
      <c r="EX265">
        <v>1</v>
      </c>
      <c r="EY265">
        <v>258</v>
      </c>
      <c r="EZ265" t="e">
        <f t="shared" ca="1" si="64"/>
        <v>#N/A</v>
      </c>
      <c r="FA265" t="e">
        <f t="shared" ca="1" si="64"/>
        <v>#N/A</v>
      </c>
      <c r="FB265" t="e">
        <f t="shared" ca="1" si="64"/>
        <v>#N/A</v>
      </c>
      <c r="FC265" t="e">
        <f t="shared" ca="1" si="64"/>
        <v>#N/A</v>
      </c>
      <c r="FD265" t="e">
        <f t="shared" ca="1" si="64"/>
        <v>#N/A</v>
      </c>
      <c r="FE265" t="str">
        <f t="shared" ref="FE265:FE307" ca="1" si="66">IFERROR(IF(EZ265&gt;0,EZ$7),"")</f>
        <v/>
      </c>
      <c r="FF265" t="str">
        <f t="shared" ref="FF265:FF307" ca="1" si="67">IFERROR(IF(FA265&gt;0,FA$7),"")</f>
        <v/>
      </c>
      <c r="FG265" t="str">
        <f t="shared" ref="FG265:FG307" ca="1" si="68">IFERROR(IF(FB265&gt;0,FB$7),"")</f>
        <v/>
      </c>
      <c r="FH265" t="str">
        <f t="shared" ref="FH265:FH307" ca="1" si="69">IFERROR(IF(FC265&gt;0,FC$7),"")</f>
        <v/>
      </c>
      <c r="FI265" t="str">
        <f t="shared" ref="FI265:FI307" ca="1" si="70">IFERROR(IF(FD265&gt;0,FD$7),"")</f>
        <v/>
      </c>
      <c r="FJ265" t="str">
        <f t="shared" ref="FJ265:FJ307" ca="1" si="71">FE265&amp;FF265&amp;FG265&amp;FH265&amp;FI265</f>
        <v/>
      </c>
      <c r="FK265" t="str">
        <f t="shared" ca="1" si="65"/>
        <v/>
      </c>
      <c r="FL265" t="str">
        <f t="shared" ref="FL265:FL307" ca="1" si="72">IF(FK265&lt;&gt;"",FK265&amp;"として提供中","無")</f>
        <v>無</v>
      </c>
    </row>
    <row r="266" spans="93:168">
      <c r="CO266" s="5">
        <v>6</v>
      </c>
      <c r="CP266" s="57">
        <v>59000</v>
      </c>
      <c r="CQ266">
        <v>101</v>
      </c>
      <c r="ES266">
        <v>259</v>
      </c>
      <c r="ET266" t="s">
        <v>270</v>
      </c>
      <c r="EU266" t="s">
        <v>271</v>
      </c>
      <c r="EV266">
        <v>260</v>
      </c>
      <c r="EW266" t="str" cm="1">
        <f t="array" aca="1" ref="EW266" ca="1">INDIRECT("'5借入一覧'!"&amp;ET266&amp;EV266)&amp;INDIRECT("'5借入一覧'!"&amp;EU266&amp;EV266)</f>
        <v/>
      </c>
      <c r="EX266">
        <v>1</v>
      </c>
      <c r="EY266">
        <v>259</v>
      </c>
      <c r="EZ266" t="e">
        <f t="shared" ca="1" si="64"/>
        <v>#N/A</v>
      </c>
      <c r="FA266" t="e">
        <f t="shared" ca="1" si="64"/>
        <v>#N/A</v>
      </c>
      <c r="FB266" t="e">
        <f t="shared" ca="1" si="64"/>
        <v>#N/A</v>
      </c>
      <c r="FC266" t="e">
        <f t="shared" ca="1" si="64"/>
        <v>#N/A</v>
      </c>
      <c r="FD266" t="e">
        <f t="shared" ca="1" si="64"/>
        <v>#N/A</v>
      </c>
      <c r="FE266" t="str">
        <f t="shared" ca="1" si="66"/>
        <v/>
      </c>
      <c r="FF266" t="str">
        <f t="shared" ca="1" si="67"/>
        <v/>
      </c>
      <c r="FG266" t="str">
        <f t="shared" ca="1" si="68"/>
        <v/>
      </c>
      <c r="FH266" t="str">
        <f t="shared" ca="1" si="69"/>
        <v/>
      </c>
      <c r="FI266" t="str">
        <f t="shared" ca="1" si="70"/>
        <v/>
      </c>
      <c r="FJ266" t="str">
        <f t="shared" ca="1" si="71"/>
        <v/>
      </c>
      <c r="FK266" t="str">
        <f t="shared" ca="1" si="65"/>
        <v/>
      </c>
      <c r="FL266" t="str">
        <f t="shared" ca="1" si="72"/>
        <v>無</v>
      </c>
    </row>
    <row r="267" spans="93:168">
      <c r="CO267" s="5">
        <v>180</v>
      </c>
      <c r="CP267" s="57">
        <v>58813</v>
      </c>
      <c r="CQ267">
        <v>102</v>
      </c>
      <c r="ES267">
        <v>260</v>
      </c>
      <c r="ET267" t="s">
        <v>270</v>
      </c>
      <c r="EU267" t="s">
        <v>271</v>
      </c>
      <c r="EV267">
        <v>261</v>
      </c>
      <c r="EW267" t="str" cm="1">
        <f t="array" aca="1" ref="EW267" ca="1">INDIRECT("'5借入一覧'!"&amp;ET267&amp;EV267)&amp;INDIRECT("'5借入一覧'!"&amp;EU267&amp;EV267)</f>
        <v/>
      </c>
      <c r="EX267">
        <v>1</v>
      </c>
      <c r="EY267">
        <v>260</v>
      </c>
      <c r="EZ267" t="e">
        <f t="shared" ca="1" si="64"/>
        <v>#N/A</v>
      </c>
      <c r="FA267" t="e">
        <f t="shared" ca="1" si="64"/>
        <v>#N/A</v>
      </c>
      <c r="FB267" t="e">
        <f t="shared" ca="1" si="64"/>
        <v>#N/A</v>
      </c>
      <c r="FC267" t="e">
        <f t="shared" ca="1" si="64"/>
        <v>#N/A</v>
      </c>
      <c r="FD267" t="e">
        <f t="shared" ca="1" si="64"/>
        <v>#N/A</v>
      </c>
      <c r="FE267" t="str">
        <f t="shared" ca="1" si="66"/>
        <v/>
      </c>
      <c r="FF267" t="str">
        <f t="shared" ca="1" si="67"/>
        <v/>
      </c>
      <c r="FG267" t="str">
        <f t="shared" ca="1" si="68"/>
        <v/>
      </c>
      <c r="FH267" t="str">
        <f t="shared" ca="1" si="69"/>
        <v/>
      </c>
      <c r="FI267" t="str">
        <f t="shared" ca="1" si="70"/>
        <v/>
      </c>
      <c r="FJ267" t="str">
        <f t="shared" ca="1" si="71"/>
        <v/>
      </c>
      <c r="FK267" t="str">
        <f t="shared" ca="1" si="65"/>
        <v/>
      </c>
      <c r="FL267" t="str">
        <f t="shared" ca="1" si="72"/>
        <v>無</v>
      </c>
    </row>
    <row r="268" spans="93:168">
      <c r="CO268" s="5">
        <v>159</v>
      </c>
      <c r="CP268" s="57">
        <v>58700</v>
      </c>
      <c r="CQ268">
        <v>103</v>
      </c>
      <c r="ES268">
        <v>261</v>
      </c>
      <c r="ET268" t="s">
        <v>270</v>
      </c>
      <c r="EU268" t="s">
        <v>271</v>
      </c>
      <c r="EV268">
        <v>262</v>
      </c>
      <c r="EW268" t="str" cm="1">
        <f t="array" aca="1" ref="EW268" ca="1">INDIRECT("'5借入一覧'!"&amp;ET268&amp;EV268)&amp;INDIRECT("'5借入一覧'!"&amp;EU268&amp;EV268)</f>
        <v/>
      </c>
      <c r="EX268">
        <v>1</v>
      </c>
      <c r="EY268">
        <v>261</v>
      </c>
      <c r="EZ268" t="e">
        <f t="shared" ref="EZ268:FD277" ca="1" si="73">VLOOKUP($EY268&amp;EZ$5,$EW$7:$EX$1101,2,FALSE)</f>
        <v>#N/A</v>
      </c>
      <c r="FA268" t="e">
        <f t="shared" ca="1" si="73"/>
        <v>#N/A</v>
      </c>
      <c r="FB268" t="e">
        <f t="shared" ca="1" si="73"/>
        <v>#N/A</v>
      </c>
      <c r="FC268" t="e">
        <f t="shared" ca="1" si="73"/>
        <v>#N/A</v>
      </c>
      <c r="FD268" t="e">
        <f t="shared" ca="1" si="73"/>
        <v>#N/A</v>
      </c>
      <c r="FE268" t="str">
        <f t="shared" ca="1" si="66"/>
        <v/>
      </c>
      <c r="FF268" t="str">
        <f t="shared" ca="1" si="67"/>
        <v/>
      </c>
      <c r="FG268" t="str">
        <f t="shared" ca="1" si="68"/>
        <v/>
      </c>
      <c r="FH268" t="str">
        <f t="shared" ca="1" si="69"/>
        <v/>
      </c>
      <c r="FI268" t="str">
        <f t="shared" ca="1" si="70"/>
        <v/>
      </c>
      <c r="FJ268" t="str">
        <f t="shared" ca="1" si="71"/>
        <v/>
      </c>
      <c r="FK268" t="str">
        <f t="shared" ca="1" si="65"/>
        <v/>
      </c>
      <c r="FL268" t="str">
        <f t="shared" ca="1" si="72"/>
        <v>無</v>
      </c>
    </row>
    <row r="269" spans="93:168">
      <c r="CO269" s="5">
        <v>156</v>
      </c>
      <c r="CP269" s="57">
        <v>58000</v>
      </c>
      <c r="CQ269">
        <v>104</v>
      </c>
      <c r="ES269">
        <v>262</v>
      </c>
      <c r="ET269" t="s">
        <v>270</v>
      </c>
      <c r="EU269" t="s">
        <v>271</v>
      </c>
      <c r="EV269">
        <v>263</v>
      </c>
      <c r="EW269" t="str" cm="1">
        <f t="array" aca="1" ref="EW269" ca="1">INDIRECT("'5借入一覧'!"&amp;ET269&amp;EV269)&amp;INDIRECT("'5借入一覧'!"&amp;EU269&amp;EV269)</f>
        <v/>
      </c>
      <c r="EX269">
        <v>1</v>
      </c>
      <c r="EY269">
        <v>262</v>
      </c>
      <c r="EZ269" t="e">
        <f t="shared" ca="1" si="73"/>
        <v>#N/A</v>
      </c>
      <c r="FA269" t="e">
        <f t="shared" ca="1" si="73"/>
        <v>#N/A</v>
      </c>
      <c r="FB269" t="e">
        <f t="shared" ca="1" si="73"/>
        <v>#N/A</v>
      </c>
      <c r="FC269" t="e">
        <f t="shared" ca="1" si="73"/>
        <v>#N/A</v>
      </c>
      <c r="FD269" t="e">
        <f t="shared" ca="1" si="73"/>
        <v>#N/A</v>
      </c>
      <c r="FE269" t="str">
        <f t="shared" ca="1" si="66"/>
        <v/>
      </c>
      <c r="FF269" t="str">
        <f t="shared" ca="1" si="67"/>
        <v/>
      </c>
      <c r="FG269" t="str">
        <f t="shared" ca="1" si="68"/>
        <v/>
      </c>
      <c r="FH269" t="str">
        <f t="shared" ca="1" si="69"/>
        <v/>
      </c>
      <c r="FI269" t="str">
        <f t="shared" ca="1" si="70"/>
        <v/>
      </c>
      <c r="FJ269" t="str">
        <f t="shared" ca="1" si="71"/>
        <v/>
      </c>
      <c r="FK269" t="str">
        <f t="shared" ca="1" si="65"/>
        <v/>
      </c>
      <c r="FL269" t="str">
        <f t="shared" ca="1" si="72"/>
        <v>無</v>
      </c>
    </row>
    <row r="270" spans="93:168">
      <c r="CO270" s="5">
        <v>143</v>
      </c>
      <c r="CP270" s="57">
        <v>55000</v>
      </c>
      <c r="CQ270">
        <v>105</v>
      </c>
      <c r="ES270">
        <v>263</v>
      </c>
      <c r="ET270" t="s">
        <v>270</v>
      </c>
      <c r="EU270" t="s">
        <v>271</v>
      </c>
      <c r="EV270">
        <v>264</v>
      </c>
      <c r="EW270" t="str" cm="1">
        <f t="array" aca="1" ref="EW270" ca="1">INDIRECT("'5借入一覧'!"&amp;ET270&amp;EV270)&amp;INDIRECT("'5借入一覧'!"&amp;EU270&amp;EV270)</f>
        <v/>
      </c>
      <c r="EX270">
        <v>1</v>
      </c>
      <c r="EY270">
        <v>263</v>
      </c>
      <c r="EZ270" t="e">
        <f t="shared" ca="1" si="73"/>
        <v>#N/A</v>
      </c>
      <c r="FA270" t="e">
        <f t="shared" ca="1" si="73"/>
        <v>#N/A</v>
      </c>
      <c r="FB270" t="e">
        <f t="shared" ca="1" si="73"/>
        <v>#N/A</v>
      </c>
      <c r="FC270" t="e">
        <f t="shared" ca="1" si="73"/>
        <v>#N/A</v>
      </c>
      <c r="FD270" t="e">
        <f t="shared" ca="1" si="73"/>
        <v>#N/A</v>
      </c>
      <c r="FE270" t="str">
        <f t="shared" ca="1" si="66"/>
        <v/>
      </c>
      <c r="FF270" t="str">
        <f t="shared" ca="1" si="67"/>
        <v/>
      </c>
      <c r="FG270" t="str">
        <f t="shared" ca="1" si="68"/>
        <v/>
      </c>
      <c r="FH270" t="str">
        <f t="shared" ca="1" si="69"/>
        <v/>
      </c>
      <c r="FI270" t="str">
        <f t="shared" ca="1" si="70"/>
        <v/>
      </c>
      <c r="FJ270" t="str">
        <f t="shared" ca="1" si="71"/>
        <v/>
      </c>
      <c r="FK270" t="str">
        <f t="shared" ca="1" si="65"/>
        <v/>
      </c>
      <c r="FL270" t="str">
        <f t="shared" ca="1" si="72"/>
        <v>無</v>
      </c>
    </row>
    <row r="271" spans="93:168">
      <c r="CO271" s="5">
        <v>148</v>
      </c>
      <c r="CP271" s="57">
        <v>54000</v>
      </c>
      <c r="CQ271">
        <v>106</v>
      </c>
      <c r="ES271">
        <v>264</v>
      </c>
      <c r="ET271" t="s">
        <v>270</v>
      </c>
      <c r="EU271" t="s">
        <v>271</v>
      </c>
      <c r="EV271">
        <v>265</v>
      </c>
      <c r="EW271" t="str" cm="1">
        <f t="array" aca="1" ref="EW271" ca="1">INDIRECT("'5借入一覧'!"&amp;ET271&amp;EV271)&amp;INDIRECT("'5借入一覧'!"&amp;EU271&amp;EV271)</f>
        <v/>
      </c>
      <c r="EX271">
        <v>1</v>
      </c>
      <c r="EY271">
        <v>264</v>
      </c>
      <c r="EZ271" t="e">
        <f t="shared" ca="1" si="73"/>
        <v>#N/A</v>
      </c>
      <c r="FA271" t="e">
        <f t="shared" ca="1" si="73"/>
        <v>#N/A</v>
      </c>
      <c r="FB271" t="e">
        <f t="shared" ca="1" si="73"/>
        <v>#N/A</v>
      </c>
      <c r="FC271" t="e">
        <f t="shared" ca="1" si="73"/>
        <v>#N/A</v>
      </c>
      <c r="FD271" t="e">
        <f t="shared" ca="1" si="73"/>
        <v>#N/A</v>
      </c>
      <c r="FE271" t="str">
        <f t="shared" ca="1" si="66"/>
        <v/>
      </c>
      <c r="FF271" t="str">
        <f t="shared" ca="1" si="67"/>
        <v/>
      </c>
      <c r="FG271" t="str">
        <f t="shared" ca="1" si="68"/>
        <v/>
      </c>
      <c r="FH271" t="str">
        <f t="shared" ca="1" si="69"/>
        <v/>
      </c>
      <c r="FI271" t="str">
        <f t="shared" ca="1" si="70"/>
        <v/>
      </c>
      <c r="FJ271" t="str">
        <f t="shared" ca="1" si="71"/>
        <v/>
      </c>
      <c r="FK271" t="str">
        <f t="shared" ca="1" si="65"/>
        <v/>
      </c>
      <c r="FL271" t="str">
        <f t="shared" ca="1" si="72"/>
        <v>無</v>
      </c>
    </row>
    <row r="272" spans="93:168">
      <c r="CO272" s="5">
        <v>237</v>
      </c>
      <c r="CP272" s="57">
        <v>53000</v>
      </c>
      <c r="CQ272">
        <v>107</v>
      </c>
      <c r="ES272">
        <v>265</v>
      </c>
      <c r="ET272" t="s">
        <v>270</v>
      </c>
      <c r="EU272" t="s">
        <v>271</v>
      </c>
      <c r="EV272">
        <v>266</v>
      </c>
      <c r="EW272" t="str" cm="1">
        <f t="array" aca="1" ref="EW272" ca="1">INDIRECT("'5借入一覧'!"&amp;ET272&amp;EV272)&amp;INDIRECT("'5借入一覧'!"&amp;EU272&amp;EV272)</f>
        <v/>
      </c>
      <c r="EX272">
        <v>1</v>
      </c>
      <c r="EY272">
        <v>265</v>
      </c>
      <c r="EZ272" t="e">
        <f t="shared" ca="1" si="73"/>
        <v>#N/A</v>
      </c>
      <c r="FA272" t="e">
        <f t="shared" ca="1" si="73"/>
        <v>#N/A</v>
      </c>
      <c r="FB272" t="e">
        <f t="shared" ca="1" si="73"/>
        <v>#N/A</v>
      </c>
      <c r="FC272" t="e">
        <f t="shared" ca="1" si="73"/>
        <v>#N/A</v>
      </c>
      <c r="FD272" t="e">
        <f t="shared" ca="1" si="73"/>
        <v>#N/A</v>
      </c>
      <c r="FE272" t="str">
        <f t="shared" ca="1" si="66"/>
        <v/>
      </c>
      <c r="FF272" t="str">
        <f t="shared" ca="1" si="67"/>
        <v/>
      </c>
      <c r="FG272" t="str">
        <f t="shared" ca="1" si="68"/>
        <v/>
      </c>
      <c r="FH272" t="str">
        <f t="shared" ca="1" si="69"/>
        <v/>
      </c>
      <c r="FI272" t="str">
        <f t="shared" ca="1" si="70"/>
        <v/>
      </c>
      <c r="FJ272" t="str">
        <f t="shared" ca="1" si="71"/>
        <v/>
      </c>
      <c r="FK272" t="str">
        <f t="shared" ca="1" si="65"/>
        <v/>
      </c>
      <c r="FL272" t="str">
        <f t="shared" ca="1" si="72"/>
        <v>無</v>
      </c>
    </row>
    <row r="273" spans="93:168">
      <c r="CO273" s="5">
        <v>167</v>
      </c>
      <c r="CP273" s="57">
        <v>50000</v>
      </c>
      <c r="CQ273">
        <v>108</v>
      </c>
      <c r="ES273">
        <v>266</v>
      </c>
      <c r="ET273" t="s">
        <v>270</v>
      </c>
      <c r="EU273" t="s">
        <v>271</v>
      </c>
      <c r="EV273">
        <v>267</v>
      </c>
      <c r="EW273" t="str" cm="1">
        <f t="array" aca="1" ref="EW273" ca="1">INDIRECT("'5借入一覧'!"&amp;ET273&amp;EV273)&amp;INDIRECT("'5借入一覧'!"&amp;EU273&amp;EV273)</f>
        <v/>
      </c>
      <c r="EX273">
        <v>1</v>
      </c>
      <c r="EY273">
        <v>266</v>
      </c>
      <c r="EZ273" t="e">
        <f t="shared" ca="1" si="73"/>
        <v>#N/A</v>
      </c>
      <c r="FA273" t="e">
        <f t="shared" ca="1" si="73"/>
        <v>#N/A</v>
      </c>
      <c r="FB273" t="e">
        <f t="shared" ca="1" si="73"/>
        <v>#N/A</v>
      </c>
      <c r="FC273" t="e">
        <f t="shared" ca="1" si="73"/>
        <v>#N/A</v>
      </c>
      <c r="FD273" t="e">
        <f t="shared" ca="1" si="73"/>
        <v>#N/A</v>
      </c>
      <c r="FE273" t="str">
        <f t="shared" ca="1" si="66"/>
        <v/>
      </c>
      <c r="FF273" t="str">
        <f t="shared" ca="1" si="67"/>
        <v/>
      </c>
      <c r="FG273" t="str">
        <f t="shared" ca="1" si="68"/>
        <v/>
      </c>
      <c r="FH273" t="str">
        <f t="shared" ca="1" si="69"/>
        <v/>
      </c>
      <c r="FI273" t="str">
        <f t="shared" ca="1" si="70"/>
        <v/>
      </c>
      <c r="FJ273" t="str">
        <f t="shared" ca="1" si="71"/>
        <v/>
      </c>
      <c r="FK273" t="str">
        <f t="shared" ca="1" si="65"/>
        <v/>
      </c>
      <c r="FL273" t="str">
        <f t="shared" ca="1" si="72"/>
        <v>無</v>
      </c>
    </row>
    <row r="274" spans="93:168">
      <c r="CO274" s="5">
        <v>80</v>
      </c>
      <c r="CP274" s="57">
        <v>44000</v>
      </c>
      <c r="CQ274">
        <v>109</v>
      </c>
      <c r="ES274">
        <v>267</v>
      </c>
      <c r="ET274" t="s">
        <v>270</v>
      </c>
      <c r="EU274" t="s">
        <v>271</v>
      </c>
      <c r="EV274">
        <v>268</v>
      </c>
      <c r="EW274" t="str" cm="1">
        <f t="array" aca="1" ref="EW274" ca="1">INDIRECT("'5借入一覧'!"&amp;ET274&amp;EV274)&amp;INDIRECT("'5借入一覧'!"&amp;EU274&amp;EV274)</f>
        <v/>
      </c>
      <c r="EX274">
        <v>1</v>
      </c>
      <c r="EY274">
        <v>267</v>
      </c>
      <c r="EZ274" t="e">
        <f t="shared" ca="1" si="73"/>
        <v>#N/A</v>
      </c>
      <c r="FA274" t="e">
        <f t="shared" ca="1" si="73"/>
        <v>#N/A</v>
      </c>
      <c r="FB274" t="e">
        <f t="shared" ca="1" si="73"/>
        <v>#N/A</v>
      </c>
      <c r="FC274" t="e">
        <f t="shared" ca="1" si="73"/>
        <v>#N/A</v>
      </c>
      <c r="FD274" t="e">
        <f t="shared" ca="1" si="73"/>
        <v>#N/A</v>
      </c>
      <c r="FE274" t="str">
        <f t="shared" ca="1" si="66"/>
        <v/>
      </c>
      <c r="FF274" t="str">
        <f t="shared" ca="1" si="67"/>
        <v/>
      </c>
      <c r="FG274" t="str">
        <f t="shared" ca="1" si="68"/>
        <v/>
      </c>
      <c r="FH274" t="str">
        <f t="shared" ca="1" si="69"/>
        <v/>
      </c>
      <c r="FI274" t="str">
        <f t="shared" ca="1" si="70"/>
        <v/>
      </c>
      <c r="FJ274" t="str">
        <f t="shared" ca="1" si="71"/>
        <v/>
      </c>
      <c r="FK274" t="str">
        <f t="shared" ca="1" si="65"/>
        <v/>
      </c>
      <c r="FL274" t="str">
        <f t="shared" ca="1" si="72"/>
        <v>無</v>
      </c>
    </row>
    <row r="275" spans="93:168">
      <c r="CO275" s="5">
        <v>78</v>
      </c>
      <c r="CP275" s="57">
        <v>44000</v>
      </c>
      <c r="CQ275">
        <v>109</v>
      </c>
      <c r="ES275">
        <v>268</v>
      </c>
      <c r="ET275" t="s">
        <v>270</v>
      </c>
      <c r="EU275" t="s">
        <v>271</v>
      </c>
      <c r="EV275">
        <v>269</v>
      </c>
      <c r="EW275" t="str" cm="1">
        <f t="array" aca="1" ref="EW275" ca="1">INDIRECT("'5借入一覧'!"&amp;ET275&amp;EV275)&amp;INDIRECT("'5借入一覧'!"&amp;EU275&amp;EV275)</f>
        <v/>
      </c>
      <c r="EX275">
        <v>1</v>
      </c>
      <c r="EY275">
        <v>268</v>
      </c>
      <c r="EZ275" t="e">
        <f t="shared" ca="1" si="73"/>
        <v>#N/A</v>
      </c>
      <c r="FA275" t="e">
        <f t="shared" ca="1" si="73"/>
        <v>#N/A</v>
      </c>
      <c r="FB275" t="e">
        <f t="shared" ca="1" si="73"/>
        <v>#N/A</v>
      </c>
      <c r="FC275" t="e">
        <f t="shared" ca="1" si="73"/>
        <v>#N/A</v>
      </c>
      <c r="FD275" t="e">
        <f t="shared" ca="1" si="73"/>
        <v>#N/A</v>
      </c>
      <c r="FE275" t="str">
        <f t="shared" ca="1" si="66"/>
        <v/>
      </c>
      <c r="FF275" t="str">
        <f t="shared" ca="1" si="67"/>
        <v/>
      </c>
      <c r="FG275" t="str">
        <f t="shared" ca="1" si="68"/>
        <v/>
      </c>
      <c r="FH275" t="str">
        <f t="shared" ca="1" si="69"/>
        <v/>
      </c>
      <c r="FI275" t="str">
        <f t="shared" ca="1" si="70"/>
        <v/>
      </c>
      <c r="FJ275" t="str">
        <f t="shared" ca="1" si="71"/>
        <v/>
      </c>
      <c r="FK275" t="str">
        <f t="shared" ca="1" si="65"/>
        <v/>
      </c>
      <c r="FL275" t="str">
        <f t="shared" ca="1" si="72"/>
        <v>無</v>
      </c>
    </row>
    <row r="276" spans="93:168">
      <c r="CO276" s="5">
        <v>79</v>
      </c>
      <c r="CP276" s="57">
        <v>38500</v>
      </c>
      <c r="CQ276">
        <v>110</v>
      </c>
      <c r="ES276">
        <v>269</v>
      </c>
      <c r="ET276" t="s">
        <v>270</v>
      </c>
      <c r="EU276" t="s">
        <v>271</v>
      </c>
      <c r="EV276">
        <v>270</v>
      </c>
      <c r="EW276" t="str" cm="1">
        <f t="array" aca="1" ref="EW276" ca="1">INDIRECT("'5借入一覧'!"&amp;ET276&amp;EV276)&amp;INDIRECT("'5借入一覧'!"&amp;EU276&amp;EV276)</f>
        <v/>
      </c>
      <c r="EX276">
        <v>1</v>
      </c>
      <c r="EY276">
        <v>269</v>
      </c>
      <c r="EZ276" t="e">
        <f t="shared" ca="1" si="73"/>
        <v>#N/A</v>
      </c>
      <c r="FA276" t="e">
        <f t="shared" ca="1" si="73"/>
        <v>#N/A</v>
      </c>
      <c r="FB276" t="e">
        <f t="shared" ca="1" si="73"/>
        <v>#N/A</v>
      </c>
      <c r="FC276" t="e">
        <f t="shared" ca="1" si="73"/>
        <v>#N/A</v>
      </c>
      <c r="FD276" t="e">
        <f t="shared" ca="1" si="73"/>
        <v>#N/A</v>
      </c>
      <c r="FE276" t="str">
        <f t="shared" ca="1" si="66"/>
        <v/>
      </c>
      <c r="FF276" t="str">
        <f t="shared" ca="1" si="67"/>
        <v/>
      </c>
      <c r="FG276" t="str">
        <f t="shared" ca="1" si="68"/>
        <v/>
      </c>
      <c r="FH276" t="str">
        <f t="shared" ca="1" si="69"/>
        <v/>
      </c>
      <c r="FI276" t="str">
        <f t="shared" ca="1" si="70"/>
        <v/>
      </c>
      <c r="FJ276" t="str">
        <f t="shared" ca="1" si="71"/>
        <v/>
      </c>
      <c r="FK276" t="str">
        <f t="shared" ca="1" si="65"/>
        <v/>
      </c>
      <c r="FL276" t="str">
        <f t="shared" ca="1" si="72"/>
        <v>無</v>
      </c>
    </row>
    <row r="277" spans="93:168">
      <c r="CO277" s="5">
        <v>113</v>
      </c>
      <c r="CP277" s="57">
        <v>38500</v>
      </c>
      <c r="CQ277">
        <v>110</v>
      </c>
      <c r="ES277">
        <v>270</v>
      </c>
      <c r="ET277" t="s">
        <v>270</v>
      </c>
      <c r="EU277" t="s">
        <v>271</v>
      </c>
      <c r="EV277">
        <v>271</v>
      </c>
      <c r="EW277" t="str" cm="1">
        <f t="array" aca="1" ref="EW277" ca="1">INDIRECT("'5借入一覧'!"&amp;ET277&amp;EV277)&amp;INDIRECT("'5借入一覧'!"&amp;EU277&amp;EV277)</f>
        <v/>
      </c>
      <c r="EX277">
        <v>1</v>
      </c>
      <c r="EY277">
        <v>270</v>
      </c>
      <c r="EZ277" t="e">
        <f t="shared" ca="1" si="73"/>
        <v>#N/A</v>
      </c>
      <c r="FA277" t="e">
        <f t="shared" ca="1" si="73"/>
        <v>#N/A</v>
      </c>
      <c r="FB277" t="e">
        <f t="shared" ca="1" si="73"/>
        <v>#N/A</v>
      </c>
      <c r="FC277" t="e">
        <f t="shared" ca="1" si="73"/>
        <v>#N/A</v>
      </c>
      <c r="FD277" t="e">
        <f t="shared" ca="1" si="73"/>
        <v>#N/A</v>
      </c>
      <c r="FE277" t="str">
        <f t="shared" ca="1" si="66"/>
        <v/>
      </c>
      <c r="FF277" t="str">
        <f t="shared" ca="1" si="67"/>
        <v/>
      </c>
      <c r="FG277" t="str">
        <f t="shared" ca="1" si="68"/>
        <v/>
      </c>
      <c r="FH277" t="str">
        <f t="shared" ca="1" si="69"/>
        <v/>
      </c>
      <c r="FI277" t="str">
        <f t="shared" ca="1" si="70"/>
        <v/>
      </c>
      <c r="FJ277" t="str">
        <f t="shared" ca="1" si="71"/>
        <v/>
      </c>
      <c r="FK277" t="str">
        <f t="shared" ca="1" si="65"/>
        <v/>
      </c>
      <c r="FL277" t="str">
        <f t="shared" ca="1" si="72"/>
        <v>無</v>
      </c>
    </row>
    <row r="278" spans="93:168">
      <c r="CO278" s="5">
        <v>114</v>
      </c>
      <c r="CP278" s="57">
        <v>38500</v>
      </c>
      <c r="CQ278">
        <v>110</v>
      </c>
      <c r="ES278">
        <v>271</v>
      </c>
      <c r="ET278" t="s">
        <v>270</v>
      </c>
      <c r="EU278" t="s">
        <v>271</v>
      </c>
      <c r="EV278">
        <v>272</v>
      </c>
      <c r="EW278" t="str" cm="1">
        <f t="array" aca="1" ref="EW278" ca="1">INDIRECT("'5借入一覧'!"&amp;ET278&amp;EV278)&amp;INDIRECT("'5借入一覧'!"&amp;EU278&amp;EV278)</f>
        <v/>
      </c>
      <c r="EX278">
        <v>1</v>
      </c>
      <c r="EY278">
        <v>271</v>
      </c>
      <c r="EZ278" t="e">
        <f t="shared" ref="EZ278:FD287" ca="1" si="74">VLOOKUP($EY278&amp;EZ$5,$EW$7:$EX$1101,2,FALSE)</f>
        <v>#N/A</v>
      </c>
      <c r="FA278" t="e">
        <f t="shared" ca="1" si="74"/>
        <v>#N/A</v>
      </c>
      <c r="FB278" t="e">
        <f t="shared" ca="1" si="74"/>
        <v>#N/A</v>
      </c>
      <c r="FC278" t="e">
        <f t="shared" ca="1" si="74"/>
        <v>#N/A</v>
      </c>
      <c r="FD278" t="e">
        <f t="shared" ca="1" si="74"/>
        <v>#N/A</v>
      </c>
      <c r="FE278" t="str">
        <f t="shared" ca="1" si="66"/>
        <v/>
      </c>
      <c r="FF278" t="str">
        <f t="shared" ca="1" si="67"/>
        <v/>
      </c>
      <c r="FG278" t="str">
        <f t="shared" ca="1" si="68"/>
        <v/>
      </c>
      <c r="FH278" t="str">
        <f t="shared" ca="1" si="69"/>
        <v/>
      </c>
      <c r="FI278" t="str">
        <f t="shared" ca="1" si="70"/>
        <v/>
      </c>
      <c r="FJ278" t="str">
        <f t="shared" ca="1" si="71"/>
        <v/>
      </c>
      <c r="FK278" t="str">
        <f t="shared" ca="1" si="65"/>
        <v/>
      </c>
      <c r="FL278" t="str">
        <f t="shared" ca="1" si="72"/>
        <v>無</v>
      </c>
    </row>
    <row r="279" spans="93:168">
      <c r="CO279" s="5">
        <v>60</v>
      </c>
      <c r="CP279" s="57">
        <v>36000</v>
      </c>
      <c r="CQ279">
        <v>111</v>
      </c>
      <c r="ES279">
        <v>272</v>
      </c>
      <c r="ET279" t="s">
        <v>270</v>
      </c>
      <c r="EU279" t="s">
        <v>271</v>
      </c>
      <c r="EV279">
        <v>273</v>
      </c>
      <c r="EW279" t="str" cm="1">
        <f t="array" aca="1" ref="EW279" ca="1">INDIRECT("'5借入一覧'!"&amp;ET279&amp;EV279)&amp;INDIRECT("'5借入一覧'!"&amp;EU279&amp;EV279)</f>
        <v/>
      </c>
      <c r="EX279">
        <v>1</v>
      </c>
      <c r="EY279">
        <v>272</v>
      </c>
      <c r="EZ279" t="e">
        <f t="shared" ca="1" si="74"/>
        <v>#N/A</v>
      </c>
      <c r="FA279" t="e">
        <f t="shared" ca="1" si="74"/>
        <v>#N/A</v>
      </c>
      <c r="FB279" t="e">
        <f t="shared" ca="1" si="74"/>
        <v>#N/A</v>
      </c>
      <c r="FC279" t="e">
        <f t="shared" ca="1" si="74"/>
        <v>#N/A</v>
      </c>
      <c r="FD279" t="e">
        <f t="shared" ca="1" si="74"/>
        <v>#N/A</v>
      </c>
      <c r="FE279" t="str">
        <f t="shared" ca="1" si="66"/>
        <v/>
      </c>
      <c r="FF279" t="str">
        <f t="shared" ca="1" si="67"/>
        <v/>
      </c>
      <c r="FG279" t="str">
        <f t="shared" ca="1" si="68"/>
        <v/>
      </c>
      <c r="FH279" t="str">
        <f t="shared" ca="1" si="69"/>
        <v/>
      </c>
      <c r="FI279" t="str">
        <f t="shared" ca="1" si="70"/>
        <v/>
      </c>
      <c r="FJ279" t="str">
        <f t="shared" ca="1" si="71"/>
        <v/>
      </c>
      <c r="FK279" t="str">
        <f t="shared" ca="1" si="65"/>
        <v/>
      </c>
      <c r="FL279" t="str">
        <f t="shared" ca="1" si="72"/>
        <v>無</v>
      </c>
    </row>
    <row r="280" spans="93:168">
      <c r="CO280" s="5">
        <v>61</v>
      </c>
      <c r="CP280" s="57">
        <v>36000</v>
      </c>
      <c r="CQ280">
        <v>111</v>
      </c>
      <c r="ES280">
        <v>273</v>
      </c>
      <c r="ET280" t="s">
        <v>270</v>
      </c>
      <c r="EU280" t="s">
        <v>271</v>
      </c>
      <c r="EV280">
        <v>274</v>
      </c>
      <c r="EW280" t="str" cm="1">
        <f t="array" aca="1" ref="EW280" ca="1">INDIRECT("'5借入一覧'!"&amp;ET280&amp;EV280)&amp;INDIRECT("'5借入一覧'!"&amp;EU280&amp;EV280)</f>
        <v/>
      </c>
      <c r="EX280">
        <v>1</v>
      </c>
      <c r="EY280">
        <v>273</v>
      </c>
      <c r="EZ280" t="e">
        <f t="shared" ca="1" si="74"/>
        <v>#N/A</v>
      </c>
      <c r="FA280" t="e">
        <f t="shared" ca="1" si="74"/>
        <v>#N/A</v>
      </c>
      <c r="FB280" t="e">
        <f t="shared" ca="1" si="74"/>
        <v>#N/A</v>
      </c>
      <c r="FC280" t="e">
        <f t="shared" ca="1" si="74"/>
        <v>#N/A</v>
      </c>
      <c r="FD280" t="e">
        <f t="shared" ca="1" si="74"/>
        <v>#N/A</v>
      </c>
      <c r="FE280" t="str">
        <f t="shared" ca="1" si="66"/>
        <v/>
      </c>
      <c r="FF280" t="str">
        <f t="shared" ca="1" si="67"/>
        <v/>
      </c>
      <c r="FG280" t="str">
        <f t="shared" ca="1" si="68"/>
        <v/>
      </c>
      <c r="FH280" t="str">
        <f t="shared" ca="1" si="69"/>
        <v/>
      </c>
      <c r="FI280" t="str">
        <f t="shared" ca="1" si="70"/>
        <v/>
      </c>
      <c r="FJ280" t="str">
        <f t="shared" ca="1" si="71"/>
        <v/>
      </c>
      <c r="FK280" t="str">
        <f t="shared" ca="1" si="65"/>
        <v/>
      </c>
      <c r="FL280" t="str">
        <f t="shared" ca="1" si="72"/>
        <v>無</v>
      </c>
    </row>
    <row r="281" spans="93:168">
      <c r="CO281" s="5">
        <v>315</v>
      </c>
      <c r="CP281" s="57">
        <v>35000</v>
      </c>
      <c r="CQ281">
        <v>112</v>
      </c>
      <c r="ES281">
        <v>274</v>
      </c>
      <c r="ET281" t="s">
        <v>270</v>
      </c>
      <c r="EU281" t="s">
        <v>271</v>
      </c>
      <c r="EV281">
        <v>275</v>
      </c>
      <c r="EW281" t="str" cm="1">
        <f t="array" aca="1" ref="EW281" ca="1">INDIRECT("'5借入一覧'!"&amp;ET281&amp;EV281)&amp;INDIRECT("'5借入一覧'!"&amp;EU281&amp;EV281)</f>
        <v/>
      </c>
      <c r="EX281">
        <v>1</v>
      </c>
      <c r="EY281">
        <v>274</v>
      </c>
      <c r="EZ281" t="e">
        <f t="shared" ca="1" si="74"/>
        <v>#N/A</v>
      </c>
      <c r="FA281" t="e">
        <f t="shared" ca="1" si="74"/>
        <v>#N/A</v>
      </c>
      <c r="FB281" t="e">
        <f t="shared" ca="1" si="74"/>
        <v>#N/A</v>
      </c>
      <c r="FC281" t="e">
        <f t="shared" ca="1" si="74"/>
        <v>#N/A</v>
      </c>
      <c r="FD281" t="e">
        <f t="shared" ca="1" si="74"/>
        <v>#N/A</v>
      </c>
      <c r="FE281" t="str">
        <f t="shared" ca="1" si="66"/>
        <v/>
      </c>
      <c r="FF281" t="str">
        <f t="shared" ca="1" si="67"/>
        <v/>
      </c>
      <c r="FG281" t="str">
        <f t="shared" ca="1" si="68"/>
        <v/>
      </c>
      <c r="FH281" t="str">
        <f t="shared" ca="1" si="69"/>
        <v/>
      </c>
      <c r="FI281" t="str">
        <f t="shared" ca="1" si="70"/>
        <v/>
      </c>
      <c r="FJ281" t="str">
        <f t="shared" ca="1" si="71"/>
        <v/>
      </c>
      <c r="FK281" t="str">
        <f t="shared" ca="1" si="65"/>
        <v/>
      </c>
      <c r="FL281" t="str">
        <f t="shared" ca="1" si="72"/>
        <v>無</v>
      </c>
    </row>
    <row r="282" spans="93:168">
      <c r="CO282" s="5">
        <v>179</v>
      </c>
      <c r="CP282" s="57">
        <v>27000</v>
      </c>
      <c r="CQ282">
        <v>113</v>
      </c>
      <c r="ES282">
        <v>275</v>
      </c>
      <c r="ET282" t="s">
        <v>270</v>
      </c>
      <c r="EU282" t="s">
        <v>271</v>
      </c>
      <c r="EV282">
        <v>276</v>
      </c>
      <c r="EW282" t="str" cm="1">
        <f t="array" aca="1" ref="EW282" ca="1">INDIRECT("'5借入一覧'!"&amp;ET282&amp;EV282)&amp;INDIRECT("'5借入一覧'!"&amp;EU282&amp;EV282)</f>
        <v/>
      </c>
      <c r="EX282">
        <v>1</v>
      </c>
      <c r="EY282">
        <v>275</v>
      </c>
      <c r="EZ282" t="e">
        <f t="shared" ca="1" si="74"/>
        <v>#N/A</v>
      </c>
      <c r="FA282" t="e">
        <f t="shared" ca="1" si="74"/>
        <v>#N/A</v>
      </c>
      <c r="FB282" t="e">
        <f t="shared" ca="1" si="74"/>
        <v>#N/A</v>
      </c>
      <c r="FC282" t="e">
        <f t="shared" ca="1" si="74"/>
        <v>#N/A</v>
      </c>
      <c r="FD282" t="e">
        <f t="shared" ca="1" si="74"/>
        <v>#N/A</v>
      </c>
      <c r="FE282" t="str">
        <f t="shared" ca="1" si="66"/>
        <v/>
      </c>
      <c r="FF282" t="str">
        <f t="shared" ca="1" si="67"/>
        <v/>
      </c>
      <c r="FG282" t="str">
        <f t="shared" ca="1" si="68"/>
        <v/>
      </c>
      <c r="FH282" t="str">
        <f t="shared" ca="1" si="69"/>
        <v/>
      </c>
      <c r="FI282" t="str">
        <f t="shared" ca="1" si="70"/>
        <v/>
      </c>
      <c r="FJ282" t="str">
        <f t="shared" ca="1" si="71"/>
        <v/>
      </c>
      <c r="FK282" t="str">
        <f t="shared" ca="1" si="65"/>
        <v/>
      </c>
      <c r="FL282" t="str">
        <f t="shared" ca="1" si="72"/>
        <v>無</v>
      </c>
    </row>
    <row r="283" spans="93:168">
      <c r="CO283" s="5">
        <v>117</v>
      </c>
      <c r="CP283" s="57">
        <v>22324</v>
      </c>
      <c r="CQ283">
        <v>114</v>
      </c>
      <c r="ES283">
        <v>276</v>
      </c>
      <c r="ET283" t="s">
        <v>270</v>
      </c>
      <c r="EU283" t="s">
        <v>271</v>
      </c>
      <c r="EV283">
        <v>277</v>
      </c>
      <c r="EW283" t="str" cm="1">
        <f t="array" aca="1" ref="EW283" ca="1">INDIRECT("'5借入一覧'!"&amp;ET283&amp;EV283)&amp;INDIRECT("'5借入一覧'!"&amp;EU283&amp;EV283)</f>
        <v/>
      </c>
      <c r="EX283">
        <v>1</v>
      </c>
      <c r="EY283">
        <v>276</v>
      </c>
      <c r="EZ283" t="e">
        <f t="shared" ca="1" si="74"/>
        <v>#N/A</v>
      </c>
      <c r="FA283" t="e">
        <f t="shared" ca="1" si="74"/>
        <v>#N/A</v>
      </c>
      <c r="FB283" t="e">
        <f t="shared" ca="1" si="74"/>
        <v>#N/A</v>
      </c>
      <c r="FC283" t="e">
        <f t="shared" ca="1" si="74"/>
        <v>#N/A</v>
      </c>
      <c r="FD283" t="e">
        <f t="shared" ca="1" si="74"/>
        <v>#N/A</v>
      </c>
      <c r="FE283" t="str">
        <f t="shared" ca="1" si="66"/>
        <v/>
      </c>
      <c r="FF283" t="str">
        <f t="shared" ca="1" si="67"/>
        <v/>
      </c>
      <c r="FG283" t="str">
        <f t="shared" ca="1" si="68"/>
        <v/>
      </c>
      <c r="FH283" t="str">
        <f t="shared" ca="1" si="69"/>
        <v/>
      </c>
      <c r="FI283" t="str">
        <f t="shared" ca="1" si="70"/>
        <v/>
      </c>
      <c r="FJ283" t="str">
        <f t="shared" ca="1" si="71"/>
        <v/>
      </c>
      <c r="FK283" t="str">
        <f t="shared" ca="1" si="65"/>
        <v/>
      </c>
      <c r="FL283" t="str">
        <f t="shared" ca="1" si="72"/>
        <v>無</v>
      </c>
    </row>
    <row r="284" spans="93:168">
      <c r="CO284" s="5">
        <v>233</v>
      </c>
      <c r="CP284" s="57">
        <v>22000</v>
      </c>
      <c r="CQ284">
        <v>115</v>
      </c>
      <c r="ES284">
        <v>277</v>
      </c>
      <c r="ET284" t="s">
        <v>270</v>
      </c>
      <c r="EU284" t="s">
        <v>271</v>
      </c>
      <c r="EV284">
        <v>278</v>
      </c>
      <c r="EW284" t="str" cm="1">
        <f t="array" aca="1" ref="EW284" ca="1">INDIRECT("'5借入一覧'!"&amp;ET284&amp;EV284)&amp;INDIRECT("'5借入一覧'!"&amp;EU284&amp;EV284)</f>
        <v/>
      </c>
      <c r="EX284">
        <v>1</v>
      </c>
      <c r="EY284">
        <v>277</v>
      </c>
      <c r="EZ284" t="e">
        <f t="shared" ca="1" si="74"/>
        <v>#N/A</v>
      </c>
      <c r="FA284" t="e">
        <f t="shared" ca="1" si="74"/>
        <v>#N/A</v>
      </c>
      <c r="FB284" t="e">
        <f t="shared" ca="1" si="74"/>
        <v>#N/A</v>
      </c>
      <c r="FC284" t="e">
        <f t="shared" ca="1" si="74"/>
        <v>#N/A</v>
      </c>
      <c r="FD284" t="e">
        <f t="shared" ca="1" si="74"/>
        <v>#N/A</v>
      </c>
      <c r="FE284" t="str">
        <f t="shared" ca="1" si="66"/>
        <v/>
      </c>
      <c r="FF284" t="str">
        <f t="shared" ca="1" si="67"/>
        <v/>
      </c>
      <c r="FG284" t="str">
        <f t="shared" ca="1" si="68"/>
        <v/>
      </c>
      <c r="FH284" t="str">
        <f t="shared" ca="1" si="69"/>
        <v/>
      </c>
      <c r="FI284" t="str">
        <f t="shared" ca="1" si="70"/>
        <v/>
      </c>
      <c r="FJ284" t="str">
        <f t="shared" ca="1" si="71"/>
        <v/>
      </c>
      <c r="FK284" t="str">
        <f t="shared" ca="1" si="65"/>
        <v/>
      </c>
      <c r="FL284" t="str">
        <f t="shared" ca="1" si="72"/>
        <v>無</v>
      </c>
    </row>
    <row r="285" spans="93:168">
      <c r="CO285" s="5">
        <v>196</v>
      </c>
      <c r="CP285" s="57">
        <v>22000</v>
      </c>
      <c r="CQ285">
        <v>115</v>
      </c>
      <c r="ES285">
        <v>278</v>
      </c>
      <c r="ET285" t="s">
        <v>270</v>
      </c>
      <c r="EU285" t="s">
        <v>271</v>
      </c>
      <c r="EV285">
        <v>279</v>
      </c>
      <c r="EW285" t="str" cm="1">
        <f t="array" aca="1" ref="EW285" ca="1">INDIRECT("'5借入一覧'!"&amp;ET285&amp;EV285)&amp;INDIRECT("'5借入一覧'!"&amp;EU285&amp;EV285)</f>
        <v/>
      </c>
      <c r="EX285">
        <v>1</v>
      </c>
      <c r="EY285">
        <v>278</v>
      </c>
      <c r="EZ285" t="e">
        <f t="shared" ca="1" si="74"/>
        <v>#N/A</v>
      </c>
      <c r="FA285" t="e">
        <f t="shared" ca="1" si="74"/>
        <v>#N/A</v>
      </c>
      <c r="FB285" t="e">
        <f t="shared" ca="1" si="74"/>
        <v>#N/A</v>
      </c>
      <c r="FC285" t="e">
        <f t="shared" ca="1" si="74"/>
        <v>#N/A</v>
      </c>
      <c r="FD285" t="e">
        <f t="shared" ca="1" si="74"/>
        <v>#N/A</v>
      </c>
      <c r="FE285" t="str">
        <f t="shared" ca="1" si="66"/>
        <v/>
      </c>
      <c r="FF285" t="str">
        <f t="shared" ca="1" si="67"/>
        <v/>
      </c>
      <c r="FG285" t="str">
        <f t="shared" ca="1" si="68"/>
        <v/>
      </c>
      <c r="FH285" t="str">
        <f t="shared" ca="1" si="69"/>
        <v/>
      </c>
      <c r="FI285" t="str">
        <f t="shared" ca="1" si="70"/>
        <v/>
      </c>
      <c r="FJ285" t="str">
        <f t="shared" ca="1" si="71"/>
        <v/>
      </c>
      <c r="FK285" t="str">
        <f t="shared" ca="1" si="65"/>
        <v/>
      </c>
      <c r="FL285" t="str">
        <f t="shared" ca="1" si="72"/>
        <v>無</v>
      </c>
    </row>
    <row r="286" spans="93:168">
      <c r="CO286" s="5">
        <v>183</v>
      </c>
      <c r="CP286" s="57">
        <v>17600</v>
      </c>
      <c r="CQ286">
        <v>116</v>
      </c>
      <c r="ES286">
        <v>279</v>
      </c>
      <c r="ET286" t="s">
        <v>270</v>
      </c>
      <c r="EU286" t="s">
        <v>271</v>
      </c>
      <c r="EV286">
        <v>280</v>
      </c>
      <c r="EW286" t="str" cm="1">
        <f t="array" aca="1" ref="EW286" ca="1">INDIRECT("'5借入一覧'!"&amp;ET286&amp;EV286)&amp;INDIRECT("'5借入一覧'!"&amp;EU286&amp;EV286)</f>
        <v/>
      </c>
      <c r="EX286">
        <v>1</v>
      </c>
      <c r="EY286">
        <v>279</v>
      </c>
      <c r="EZ286" t="e">
        <f t="shared" ca="1" si="74"/>
        <v>#N/A</v>
      </c>
      <c r="FA286" t="e">
        <f t="shared" ca="1" si="74"/>
        <v>#N/A</v>
      </c>
      <c r="FB286" t="e">
        <f t="shared" ca="1" si="74"/>
        <v>#N/A</v>
      </c>
      <c r="FC286" t="e">
        <f t="shared" ca="1" si="74"/>
        <v>#N/A</v>
      </c>
      <c r="FD286" t="e">
        <f t="shared" ca="1" si="74"/>
        <v>#N/A</v>
      </c>
      <c r="FE286" t="str">
        <f t="shared" ca="1" si="66"/>
        <v/>
      </c>
      <c r="FF286" t="str">
        <f t="shared" ca="1" si="67"/>
        <v/>
      </c>
      <c r="FG286" t="str">
        <f t="shared" ca="1" si="68"/>
        <v/>
      </c>
      <c r="FH286" t="str">
        <f t="shared" ca="1" si="69"/>
        <v/>
      </c>
      <c r="FI286" t="str">
        <f t="shared" ca="1" si="70"/>
        <v/>
      </c>
      <c r="FJ286" t="str">
        <f t="shared" ca="1" si="71"/>
        <v/>
      </c>
      <c r="FK286" t="str">
        <f t="shared" ca="1" si="65"/>
        <v/>
      </c>
      <c r="FL286" t="str">
        <f t="shared" ca="1" si="72"/>
        <v>無</v>
      </c>
    </row>
    <row r="287" spans="93:168">
      <c r="CO287" s="5">
        <v>303</v>
      </c>
      <c r="CP287" s="57">
        <v>14300</v>
      </c>
      <c r="CQ287">
        <v>117</v>
      </c>
      <c r="ES287">
        <v>280</v>
      </c>
      <c r="ET287" t="s">
        <v>270</v>
      </c>
      <c r="EU287" t="s">
        <v>271</v>
      </c>
      <c r="EV287">
        <v>281</v>
      </c>
      <c r="EW287" t="str" cm="1">
        <f t="array" aca="1" ref="EW287" ca="1">INDIRECT("'5借入一覧'!"&amp;ET287&amp;EV287)&amp;INDIRECT("'5借入一覧'!"&amp;EU287&amp;EV287)</f>
        <v/>
      </c>
      <c r="EX287">
        <v>1</v>
      </c>
      <c r="EY287">
        <v>280</v>
      </c>
      <c r="EZ287" t="e">
        <f t="shared" ca="1" si="74"/>
        <v>#N/A</v>
      </c>
      <c r="FA287" t="e">
        <f t="shared" ca="1" si="74"/>
        <v>#N/A</v>
      </c>
      <c r="FB287" t="e">
        <f t="shared" ca="1" si="74"/>
        <v>#N/A</v>
      </c>
      <c r="FC287" t="e">
        <f t="shared" ca="1" si="74"/>
        <v>#N/A</v>
      </c>
      <c r="FD287" t="e">
        <f t="shared" ca="1" si="74"/>
        <v>#N/A</v>
      </c>
      <c r="FE287" t="str">
        <f t="shared" ca="1" si="66"/>
        <v/>
      </c>
      <c r="FF287" t="str">
        <f t="shared" ca="1" si="67"/>
        <v/>
      </c>
      <c r="FG287" t="str">
        <f t="shared" ca="1" si="68"/>
        <v/>
      </c>
      <c r="FH287" t="str">
        <f t="shared" ca="1" si="69"/>
        <v/>
      </c>
      <c r="FI287" t="str">
        <f t="shared" ca="1" si="70"/>
        <v/>
      </c>
      <c r="FJ287" t="str">
        <f t="shared" ca="1" si="71"/>
        <v/>
      </c>
      <c r="FK287" t="str">
        <f t="shared" ca="1" si="65"/>
        <v/>
      </c>
      <c r="FL287" t="str">
        <f t="shared" ca="1" si="72"/>
        <v>無</v>
      </c>
    </row>
    <row r="288" spans="93:168">
      <c r="CO288" s="5">
        <v>181</v>
      </c>
      <c r="CP288" s="57">
        <v>14098</v>
      </c>
      <c r="CQ288">
        <v>118</v>
      </c>
      <c r="ES288">
        <v>281</v>
      </c>
      <c r="ET288" t="s">
        <v>270</v>
      </c>
      <c r="EU288" t="s">
        <v>271</v>
      </c>
      <c r="EV288">
        <v>282</v>
      </c>
      <c r="EW288" t="str" cm="1">
        <f t="array" aca="1" ref="EW288" ca="1">INDIRECT("'5借入一覧'!"&amp;ET288&amp;EV288)&amp;INDIRECT("'5借入一覧'!"&amp;EU288&amp;EV288)</f>
        <v/>
      </c>
      <c r="EX288">
        <v>1</v>
      </c>
      <c r="EY288">
        <v>281</v>
      </c>
      <c r="EZ288" t="e">
        <f t="shared" ref="EZ288:FD297" ca="1" si="75">VLOOKUP($EY288&amp;EZ$5,$EW$7:$EX$1101,2,FALSE)</f>
        <v>#N/A</v>
      </c>
      <c r="FA288" t="e">
        <f t="shared" ca="1" si="75"/>
        <v>#N/A</v>
      </c>
      <c r="FB288" t="e">
        <f t="shared" ca="1" si="75"/>
        <v>#N/A</v>
      </c>
      <c r="FC288" t="e">
        <f t="shared" ca="1" si="75"/>
        <v>#N/A</v>
      </c>
      <c r="FD288" t="e">
        <f t="shared" ca="1" si="75"/>
        <v>#N/A</v>
      </c>
      <c r="FE288" t="str">
        <f t="shared" ca="1" si="66"/>
        <v/>
      </c>
      <c r="FF288" t="str">
        <f t="shared" ca="1" si="67"/>
        <v/>
      </c>
      <c r="FG288" t="str">
        <f t="shared" ca="1" si="68"/>
        <v/>
      </c>
      <c r="FH288" t="str">
        <f t="shared" ca="1" si="69"/>
        <v/>
      </c>
      <c r="FI288" t="str">
        <f t="shared" ca="1" si="70"/>
        <v/>
      </c>
      <c r="FJ288" t="str">
        <f t="shared" ca="1" si="71"/>
        <v/>
      </c>
      <c r="FK288" t="str">
        <f t="shared" ca="1" si="65"/>
        <v/>
      </c>
      <c r="FL288" t="str">
        <f t="shared" ca="1" si="72"/>
        <v>無</v>
      </c>
    </row>
    <row r="289" spans="93:168">
      <c r="CO289" s="5">
        <v>141</v>
      </c>
      <c r="CP289" s="57">
        <v>13200</v>
      </c>
      <c r="CQ289">
        <v>119</v>
      </c>
      <c r="ES289">
        <v>282</v>
      </c>
      <c r="ET289" t="s">
        <v>270</v>
      </c>
      <c r="EU289" t="s">
        <v>271</v>
      </c>
      <c r="EV289">
        <v>283</v>
      </c>
      <c r="EW289" t="str" cm="1">
        <f t="array" aca="1" ref="EW289" ca="1">INDIRECT("'5借入一覧'!"&amp;ET289&amp;EV289)&amp;INDIRECT("'5借入一覧'!"&amp;EU289&amp;EV289)</f>
        <v/>
      </c>
      <c r="EX289">
        <v>1</v>
      </c>
      <c r="EY289">
        <v>282</v>
      </c>
      <c r="EZ289" t="e">
        <f t="shared" ca="1" si="75"/>
        <v>#N/A</v>
      </c>
      <c r="FA289" t="e">
        <f t="shared" ca="1" si="75"/>
        <v>#N/A</v>
      </c>
      <c r="FB289" t="e">
        <f t="shared" ca="1" si="75"/>
        <v>#N/A</v>
      </c>
      <c r="FC289" t="e">
        <f t="shared" ca="1" si="75"/>
        <v>#N/A</v>
      </c>
      <c r="FD289" t="e">
        <f t="shared" ca="1" si="75"/>
        <v>#N/A</v>
      </c>
      <c r="FE289" t="str">
        <f t="shared" ca="1" si="66"/>
        <v/>
      </c>
      <c r="FF289" t="str">
        <f t="shared" ca="1" si="67"/>
        <v/>
      </c>
      <c r="FG289" t="str">
        <f t="shared" ca="1" si="68"/>
        <v/>
      </c>
      <c r="FH289" t="str">
        <f t="shared" ca="1" si="69"/>
        <v/>
      </c>
      <c r="FI289" t="str">
        <f t="shared" ca="1" si="70"/>
        <v/>
      </c>
      <c r="FJ289" t="str">
        <f t="shared" ca="1" si="71"/>
        <v/>
      </c>
      <c r="FK289" t="str">
        <f t="shared" ca="1" si="65"/>
        <v/>
      </c>
      <c r="FL289" t="str">
        <f t="shared" ca="1" si="72"/>
        <v>無</v>
      </c>
    </row>
    <row r="290" spans="93:168">
      <c r="CO290" s="5">
        <v>276</v>
      </c>
      <c r="CP290" s="57">
        <v>13200</v>
      </c>
      <c r="CQ290">
        <v>119</v>
      </c>
      <c r="ES290">
        <v>283</v>
      </c>
      <c r="ET290" t="s">
        <v>270</v>
      </c>
      <c r="EU290" t="s">
        <v>271</v>
      </c>
      <c r="EV290">
        <v>284</v>
      </c>
      <c r="EW290" t="str" cm="1">
        <f t="array" aca="1" ref="EW290" ca="1">INDIRECT("'5借入一覧'!"&amp;ET290&amp;EV290)&amp;INDIRECT("'5借入一覧'!"&amp;EU290&amp;EV290)</f>
        <v/>
      </c>
      <c r="EX290">
        <v>1</v>
      </c>
      <c r="EY290">
        <v>283</v>
      </c>
      <c r="EZ290" t="e">
        <f t="shared" ca="1" si="75"/>
        <v>#N/A</v>
      </c>
      <c r="FA290" t="e">
        <f t="shared" ca="1" si="75"/>
        <v>#N/A</v>
      </c>
      <c r="FB290" t="e">
        <f t="shared" ca="1" si="75"/>
        <v>#N/A</v>
      </c>
      <c r="FC290" t="e">
        <f t="shared" ca="1" si="75"/>
        <v>#N/A</v>
      </c>
      <c r="FD290" t="e">
        <f t="shared" ca="1" si="75"/>
        <v>#N/A</v>
      </c>
      <c r="FE290" t="str">
        <f t="shared" ca="1" si="66"/>
        <v/>
      </c>
      <c r="FF290" t="str">
        <f t="shared" ca="1" si="67"/>
        <v/>
      </c>
      <c r="FG290" t="str">
        <f t="shared" ca="1" si="68"/>
        <v/>
      </c>
      <c r="FH290" t="str">
        <f t="shared" ca="1" si="69"/>
        <v/>
      </c>
      <c r="FI290" t="str">
        <f t="shared" ca="1" si="70"/>
        <v/>
      </c>
      <c r="FJ290" t="str">
        <f t="shared" ca="1" si="71"/>
        <v/>
      </c>
      <c r="FK290" t="str">
        <f t="shared" ca="1" si="65"/>
        <v/>
      </c>
      <c r="FL290" t="str">
        <f t="shared" ca="1" si="72"/>
        <v>無</v>
      </c>
    </row>
    <row r="291" spans="93:168">
      <c r="CO291" s="5">
        <v>293</v>
      </c>
      <c r="CP291" s="57">
        <v>13200</v>
      </c>
      <c r="CQ291">
        <v>119</v>
      </c>
      <c r="ES291">
        <v>284</v>
      </c>
      <c r="ET291" t="s">
        <v>270</v>
      </c>
      <c r="EU291" t="s">
        <v>271</v>
      </c>
      <c r="EV291">
        <v>285</v>
      </c>
      <c r="EW291" t="str" cm="1">
        <f t="array" aca="1" ref="EW291" ca="1">INDIRECT("'5借入一覧'!"&amp;ET291&amp;EV291)&amp;INDIRECT("'5借入一覧'!"&amp;EU291&amp;EV291)</f>
        <v/>
      </c>
      <c r="EX291">
        <v>1</v>
      </c>
      <c r="EY291">
        <v>284</v>
      </c>
      <c r="EZ291" t="e">
        <f t="shared" ca="1" si="75"/>
        <v>#N/A</v>
      </c>
      <c r="FA291" t="e">
        <f t="shared" ca="1" si="75"/>
        <v>#N/A</v>
      </c>
      <c r="FB291" t="e">
        <f t="shared" ca="1" si="75"/>
        <v>#N/A</v>
      </c>
      <c r="FC291" t="e">
        <f t="shared" ca="1" si="75"/>
        <v>#N/A</v>
      </c>
      <c r="FD291" t="e">
        <f t="shared" ca="1" si="75"/>
        <v>#N/A</v>
      </c>
      <c r="FE291" t="str">
        <f t="shared" ca="1" si="66"/>
        <v/>
      </c>
      <c r="FF291" t="str">
        <f t="shared" ca="1" si="67"/>
        <v/>
      </c>
      <c r="FG291" t="str">
        <f t="shared" ca="1" si="68"/>
        <v/>
      </c>
      <c r="FH291" t="str">
        <f t="shared" ca="1" si="69"/>
        <v/>
      </c>
      <c r="FI291" t="str">
        <f t="shared" ca="1" si="70"/>
        <v/>
      </c>
      <c r="FJ291" t="str">
        <f t="shared" ca="1" si="71"/>
        <v/>
      </c>
      <c r="FK291" t="str">
        <f t="shared" ca="1" si="65"/>
        <v/>
      </c>
      <c r="FL291" t="str">
        <f t="shared" ca="1" si="72"/>
        <v>無</v>
      </c>
    </row>
    <row r="292" spans="93:168">
      <c r="CO292" s="5">
        <v>116</v>
      </c>
      <c r="CP292" s="57">
        <v>13200</v>
      </c>
      <c r="CQ292">
        <v>119</v>
      </c>
      <c r="ES292">
        <v>285</v>
      </c>
      <c r="ET292" t="s">
        <v>270</v>
      </c>
      <c r="EU292" t="s">
        <v>271</v>
      </c>
      <c r="EV292">
        <v>286</v>
      </c>
      <c r="EW292" t="str" cm="1">
        <f t="array" aca="1" ref="EW292" ca="1">INDIRECT("'5借入一覧'!"&amp;ET292&amp;EV292)&amp;INDIRECT("'5借入一覧'!"&amp;EU292&amp;EV292)</f>
        <v/>
      </c>
      <c r="EX292">
        <v>1</v>
      </c>
      <c r="EY292">
        <v>285</v>
      </c>
      <c r="EZ292" t="e">
        <f t="shared" ca="1" si="75"/>
        <v>#N/A</v>
      </c>
      <c r="FA292" t="e">
        <f t="shared" ca="1" si="75"/>
        <v>#N/A</v>
      </c>
      <c r="FB292" t="e">
        <f t="shared" ca="1" si="75"/>
        <v>#N/A</v>
      </c>
      <c r="FC292" t="e">
        <f t="shared" ca="1" si="75"/>
        <v>#N/A</v>
      </c>
      <c r="FD292" t="e">
        <f t="shared" ca="1" si="75"/>
        <v>#N/A</v>
      </c>
      <c r="FE292" t="str">
        <f t="shared" ca="1" si="66"/>
        <v/>
      </c>
      <c r="FF292" t="str">
        <f t="shared" ca="1" si="67"/>
        <v/>
      </c>
      <c r="FG292" t="str">
        <f t="shared" ca="1" si="68"/>
        <v/>
      </c>
      <c r="FH292" t="str">
        <f t="shared" ca="1" si="69"/>
        <v/>
      </c>
      <c r="FI292" t="str">
        <f t="shared" ca="1" si="70"/>
        <v/>
      </c>
      <c r="FJ292" t="str">
        <f t="shared" ca="1" si="71"/>
        <v/>
      </c>
      <c r="FK292" t="str">
        <f t="shared" ca="1" si="65"/>
        <v/>
      </c>
      <c r="FL292" t="str">
        <f t="shared" ca="1" si="72"/>
        <v>無</v>
      </c>
    </row>
    <row r="293" spans="93:168">
      <c r="CO293" s="5">
        <v>294</v>
      </c>
      <c r="CP293" s="57">
        <v>0</v>
      </c>
      <c r="CQ293">
        <v>120</v>
      </c>
      <c r="ES293">
        <v>286</v>
      </c>
      <c r="ET293" t="s">
        <v>270</v>
      </c>
      <c r="EU293" t="s">
        <v>271</v>
      </c>
      <c r="EV293">
        <v>287</v>
      </c>
      <c r="EW293" t="str" cm="1">
        <f t="array" aca="1" ref="EW293" ca="1">INDIRECT("'5借入一覧'!"&amp;ET293&amp;EV293)&amp;INDIRECT("'5借入一覧'!"&amp;EU293&amp;EV293)</f>
        <v/>
      </c>
      <c r="EX293">
        <v>1</v>
      </c>
      <c r="EY293">
        <v>286</v>
      </c>
      <c r="EZ293" t="e">
        <f t="shared" ca="1" si="75"/>
        <v>#N/A</v>
      </c>
      <c r="FA293" t="e">
        <f t="shared" ca="1" si="75"/>
        <v>#N/A</v>
      </c>
      <c r="FB293" t="e">
        <f t="shared" ca="1" si="75"/>
        <v>#N/A</v>
      </c>
      <c r="FC293" t="e">
        <f t="shared" ca="1" si="75"/>
        <v>#N/A</v>
      </c>
      <c r="FD293" t="e">
        <f t="shared" ca="1" si="75"/>
        <v>#N/A</v>
      </c>
      <c r="FE293" t="str">
        <f t="shared" ca="1" si="66"/>
        <v/>
      </c>
      <c r="FF293" t="str">
        <f t="shared" ca="1" si="67"/>
        <v/>
      </c>
      <c r="FG293" t="str">
        <f t="shared" ca="1" si="68"/>
        <v/>
      </c>
      <c r="FH293" t="str">
        <f t="shared" ca="1" si="69"/>
        <v/>
      </c>
      <c r="FI293" t="str">
        <f t="shared" ca="1" si="70"/>
        <v/>
      </c>
      <c r="FJ293" t="str">
        <f t="shared" ca="1" si="71"/>
        <v/>
      </c>
      <c r="FK293" t="str">
        <f t="shared" ca="1" si="65"/>
        <v/>
      </c>
      <c r="FL293" t="str">
        <f t="shared" ca="1" si="72"/>
        <v>無</v>
      </c>
    </row>
    <row r="294" spans="93:168">
      <c r="CO294" s="5">
        <v>166</v>
      </c>
      <c r="CP294" s="57">
        <v>0</v>
      </c>
      <c r="CQ294">
        <v>120</v>
      </c>
      <c r="ES294">
        <v>287</v>
      </c>
      <c r="ET294" t="s">
        <v>270</v>
      </c>
      <c r="EU294" t="s">
        <v>271</v>
      </c>
      <c r="EV294">
        <v>288</v>
      </c>
      <c r="EW294" t="str" cm="1">
        <f t="array" aca="1" ref="EW294" ca="1">INDIRECT("'5借入一覧'!"&amp;ET294&amp;EV294)&amp;INDIRECT("'5借入一覧'!"&amp;EU294&amp;EV294)</f>
        <v/>
      </c>
      <c r="EX294">
        <v>1</v>
      </c>
      <c r="EY294">
        <v>287</v>
      </c>
      <c r="EZ294" t="e">
        <f t="shared" ca="1" si="75"/>
        <v>#N/A</v>
      </c>
      <c r="FA294" t="e">
        <f t="shared" ca="1" si="75"/>
        <v>#N/A</v>
      </c>
      <c r="FB294" t="e">
        <f t="shared" ca="1" si="75"/>
        <v>#N/A</v>
      </c>
      <c r="FC294" t="e">
        <f t="shared" ca="1" si="75"/>
        <v>#N/A</v>
      </c>
      <c r="FD294" t="e">
        <f t="shared" ca="1" si="75"/>
        <v>#N/A</v>
      </c>
      <c r="FE294" t="str">
        <f t="shared" ca="1" si="66"/>
        <v/>
      </c>
      <c r="FF294" t="str">
        <f t="shared" ca="1" si="67"/>
        <v/>
      </c>
      <c r="FG294" t="str">
        <f t="shared" ca="1" si="68"/>
        <v/>
      </c>
      <c r="FH294" t="str">
        <f t="shared" ca="1" si="69"/>
        <v/>
      </c>
      <c r="FI294" t="str">
        <f t="shared" ca="1" si="70"/>
        <v/>
      </c>
      <c r="FJ294" t="str">
        <f t="shared" ca="1" si="71"/>
        <v/>
      </c>
      <c r="FK294" t="str">
        <f t="shared" ca="1" si="65"/>
        <v/>
      </c>
      <c r="FL294" t="str">
        <f t="shared" ca="1" si="72"/>
        <v>無</v>
      </c>
    </row>
    <row r="295" spans="93:168">
      <c r="CO295" s="5">
        <v>234</v>
      </c>
      <c r="CP295" s="57">
        <v>0</v>
      </c>
      <c r="CQ295">
        <v>120</v>
      </c>
      <c r="ES295">
        <v>288</v>
      </c>
      <c r="ET295" t="s">
        <v>270</v>
      </c>
      <c r="EU295" t="s">
        <v>271</v>
      </c>
      <c r="EV295">
        <v>289</v>
      </c>
      <c r="EW295" t="str" cm="1">
        <f t="array" aca="1" ref="EW295" ca="1">INDIRECT("'5借入一覧'!"&amp;ET295&amp;EV295)&amp;INDIRECT("'5借入一覧'!"&amp;EU295&amp;EV295)</f>
        <v/>
      </c>
      <c r="EX295">
        <v>1</v>
      </c>
      <c r="EY295">
        <v>288</v>
      </c>
      <c r="EZ295" t="e">
        <f t="shared" ca="1" si="75"/>
        <v>#N/A</v>
      </c>
      <c r="FA295" t="e">
        <f t="shared" ca="1" si="75"/>
        <v>#N/A</v>
      </c>
      <c r="FB295" t="e">
        <f t="shared" ca="1" si="75"/>
        <v>#N/A</v>
      </c>
      <c r="FC295" t="e">
        <f t="shared" ca="1" si="75"/>
        <v>#N/A</v>
      </c>
      <c r="FD295" t="e">
        <f t="shared" ca="1" si="75"/>
        <v>#N/A</v>
      </c>
      <c r="FE295" t="str">
        <f t="shared" ca="1" si="66"/>
        <v/>
      </c>
      <c r="FF295" t="str">
        <f t="shared" ca="1" si="67"/>
        <v/>
      </c>
      <c r="FG295" t="str">
        <f t="shared" ca="1" si="68"/>
        <v/>
      </c>
      <c r="FH295" t="str">
        <f t="shared" ca="1" si="69"/>
        <v/>
      </c>
      <c r="FI295" t="str">
        <f t="shared" ca="1" si="70"/>
        <v/>
      </c>
      <c r="FJ295" t="str">
        <f t="shared" ca="1" si="71"/>
        <v/>
      </c>
      <c r="FK295" t="str">
        <f t="shared" ca="1" si="65"/>
        <v/>
      </c>
      <c r="FL295" t="str">
        <f t="shared" ca="1" si="72"/>
        <v>無</v>
      </c>
    </row>
    <row r="296" spans="93:168">
      <c r="CO296" s="5">
        <v>182</v>
      </c>
      <c r="CP296" s="57">
        <v>0</v>
      </c>
      <c r="CQ296">
        <v>120</v>
      </c>
      <c r="ES296">
        <v>289</v>
      </c>
      <c r="ET296" t="s">
        <v>270</v>
      </c>
      <c r="EU296" t="s">
        <v>271</v>
      </c>
      <c r="EV296">
        <v>290</v>
      </c>
      <c r="EW296" t="str" cm="1">
        <f t="array" aca="1" ref="EW296" ca="1">INDIRECT("'5借入一覧'!"&amp;ET296&amp;EV296)&amp;INDIRECT("'5借入一覧'!"&amp;EU296&amp;EV296)</f>
        <v/>
      </c>
      <c r="EX296">
        <v>1</v>
      </c>
      <c r="EY296">
        <v>289</v>
      </c>
      <c r="EZ296" t="e">
        <f t="shared" ca="1" si="75"/>
        <v>#N/A</v>
      </c>
      <c r="FA296" t="e">
        <f t="shared" ca="1" si="75"/>
        <v>#N/A</v>
      </c>
      <c r="FB296" t="e">
        <f t="shared" ca="1" si="75"/>
        <v>#N/A</v>
      </c>
      <c r="FC296" t="e">
        <f t="shared" ca="1" si="75"/>
        <v>#N/A</v>
      </c>
      <c r="FD296" t="e">
        <f t="shared" ca="1" si="75"/>
        <v>#N/A</v>
      </c>
      <c r="FE296" t="str">
        <f t="shared" ca="1" si="66"/>
        <v/>
      </c>
      <c r="FF296" t="str">
        <f t="shared" ca="1" si="67"/>
        <v/>
      </c>
      <c r="FG296" t="str">
        <f t="shared" ca="1" si="68"/>
        <v/>
      </c>
      <c r="FH296" t="str">
        <f t="shared" ca="1" si="69"/>
        <v/>
      </c>
      <c r="FI296" t="str">
        <f t="shared" ca="1" si="70"/>
        <v/>
      </c>
      <c r="FJ296" t="str">
        <f t="shared" ca="1" si="71"/>
        <v/>
      </c>
      <c r="FK296" t="str">
        <f t="shared" ca="1" si="65"/>
        <v/>
      </c>
      <c r="FL296" t="str">
        <f t="shared" ca="1" si="72"/>
        <v>無</v>
      </c>
    </row>
    <row r="297" spans="93:168">
      <c r="CO297" s="5">
        <v>119</v>
      </c>
      <c r="CP297" s="57">
        <v>0</v>
      </c>
      <c r="CQ297">
        <v>120</v>
      </c>
      <c r="ES297">
        <v>290</v>
      </c>
      <c r="ET297" t="s">
        <v>270</v>
      </c>
      <c r="EU297" t="s">
        <v>271</v>
      </c>
      <c r="EV297">
        <v>291</v>
      </c>
      <c r="EW297" t="str" cm="1">
        <f t="array" aca="1" ref="EW297" ca="1">INDIRECT("'5借入一覧'!"&amp;ET297&amp;EV297)&amp;INDIRECT("'5借入一覧'!"&amp;EU297&amp;EV297)</f>
        <v/>
      </c>
      <c r="EX297">
        <v>1</v>
      </c>
      <c r="EY297">
        <v>290</v>
      </c>
      <c r="EZ297" t="e">
        <f t="shared" ca="1" si="75"/>
        <v>#N/A</v>
      </c>
      <c r="FA297" t="e">
        <f t="shared" ca="1" si="75"/>
        <v>#N/A</v>
      </c>
      <c r="FB297" t="e">
        <f t="shared" ca="1" si="75"/>
        <v>#N/A</v>
      </c>
      <c r="FC297" t="e">
        <f t="shared" ca="1" si="75"/>
        <v>#N/A</v>
      </c>
      <c r="FD297" t="e">
        <f t="shared" ca="1" si="75"/>
        <v>#N/A</v>
      </c>
      <c r="FE297" t="str">
        <f t="shared" ca="1" si="66"/>
        <v/>
      </c>
      <c r="FF297" t="str">
        <f t="shared" ca="1" si="67"/>
        <v/>
      </c>
      <c r="FG297" t="str">
        <f t="shared" ca="1" si="68"/>
        <v/>
      </c>
      <c r="FH297" t="str">
        <f t="shared" ca="1" si="69"/>
        <v/>
      </c>
      <c r="FI297" t="str">
        <f t="shared" ca="1" si="70"/>
        <v/>
      </c>
      <c r="FJ297" t="str">
        <f t="shared" ca="1" si="71"/>
        <v/>
      </c>
      <c r="FK297" t="str">
        <f t="shared" ca="1" si="65"/>
        <v/>
      </c>
      <c r="FL297" t="str">
        <f t="shared" ca="1" si="72"/>
        <v>無</v>
      </c>
    </row>
    <row r="298" spans="93:168">
      <c r="CO298" s="5">
        <v>62</v>
      </c>
      <c r="CP298" s="57">
        <v>0</v>
      </c>
      <c r="CQ298">
        <v>120</v>
      </c>
      <c r="ES298">
        <v>291</v>
      </c>
      <c r="ET298" t="s">
        <v>270</v>
      </c>
      <c r="EU298" t="s">
        <v>271</v>
      </c>
      <c r="EV298">
        <v>292</v>
      </c>
      <c r="EW298" t="str" cm="1">
        <f t="array" aca="1" ref="EW298" ca="1">INDIRECT("'5借入一覧'!"&amp;ET298&amp;EV298)&amp;INDIRECT("'5借入一覧'!"&amp;EU298&amp;EV298)</f>
        <v/>
      </c>
      <c r="EX298">
        <v>1</v>
      </c>
      <c r="EY298">
        <v>291</v>
      </c>
      <c r="EZ298" t="e">
        <f t="shared" ref="EZ298:FD307" ca="1" si="76">VLOOKUP($EY298&amp;EZ$5,$EW$7:$EX$1101,2,FALSE)</f>
        <v>#N/A</v>
      </c>
      <c r="FA298" t="e">
        <f t="shared" ca="1" si="76"/>
        <v>#N/A</v>
      </c>
      <c r="FB298" t="e">
        <f t="shared" ca="1" si="76"/>
        <v>#N/A</v>
      </c>
      <c r="FC298" t="e">
        <f t="shared" ca="1" si="76"/>
        <v>#N/A</v>
      </c>
      <c r="FD298" t="e">
        <f t="shared" ca="1" si="76"/>
        <v>#N/A</v>
      </c>
      <c r="FE298" t="str">
        <f t="shared" ca="1" si="66"/>
        <v/>
      </c>
      <c r="FF298" t="str">
        <f t="shared" ca="1" si="67"/>
        <v/>
      </c>
      <c r="FG298" t="str">
        <f t="shared" ca="1" si="68"/>
        <v/>
      </c>
      <c r="FH298" t="str">
        <f t="shared" ca="1" si="69"/>
        <v/>
      </c>
      <c r="FI298" t="str">
        <f t="shared" ca="1" si="70"/>
        <v/>
      </c>
      <c r="FJ298" t="str">
        <f t="shared" ca="1" si="71"/>
        <v/>
      </c>
      <c r="FK298" t="str">
        <f t="shared" ca="1" si="65"/>
        <v/>
      </c>
      <c r="FL298" t="str">
        <f t="shared" ca="1" si="72"/>
        <v>無</v>
      </c>
    </row>
    <row r="299" spans="93:168">
      <c r="CO299" s="5">
        <v>277</v>
      </c>
      <c r="CP299" s="57">
        <v>0</v>
      </c>
      <c r="CQ299">
        <v>120</v>
      </c>
      <c r="ES299">
        <v>292</v>
      </c>
      <c r="ET299" t="s">
        <v>270</v>
      </c>
      <c r="EU299" t="s">
        <v>271</v>
      </c>
      <c r="EV299">
        <v>293</v>
      </c>
      <c r="EW299" t="str" cm="1">
        <f t="array" aca="1" ref="EW299" ca="1">INDIRECT("'5借入一覧'!"&amp;ET299&amp;EV299)&amp;INDIRECT("'5借入一覧'!"&amp;EU299&amp;EV299)</f>
        <v/>
      </c>
      <c r="EX299">
        <v>1</v>
      </c>
      <c r="EY299">
        <v>292</v>
      </c>
      <c r="EZ299" t="e">
        <f t="shared" ca="1" si="76"/>
        <v>#N/A</v>
      </c>
      <c r="FA299" t="e">
        <f t="shared" ca="1" si="76"/>
        <v>#N/A</v>
      </c>
      <c r="FB299" t="e">
        <f t="shared" ca="1" si="76"/>
        <v>#N/A</v>
      </c>
      <c r="FC299" t="e">
        <f t="shared" ca="1" si="76"/>
        <v>#N/A</v>
      </c>
      <c r="FD299" t="e">
        <f t="shared" ca="1" si="76"/>
        <v>#N/A</v>
      </c>
      <c r="FE299" t="str">
        <f t="shared" ca="1" si="66"/>
        <v/>
      </c>
      <c r="FF299" t="str">
        <f t="shared" ca="1" si="67"/>
        <v/>
      </c>
      <c r="FG299" t="str">
        <f t="shared" ca="1" si="68"/>
        <v/>
      </c>
      <c r="FH299" t="str">
        <f t="shared" ca="1" si="69"/>
        <v/>
      </c>
      <c r="FI299" t="str">
        <f t="shared" ca="1" si="70"/>
        <v/>
      </c>
      <c r="FJ299" t="str">
        <f t="shared" ca="1" si="71"/>
        <v/>
      </c>
      <c r="FK299" t="str">
        <f t="shared" ca="1" si="65"/>
        <v/>
      </c>
      <c r="FL299" t="str">
        <f t="shared" ca="1" si="72"/>
        <v>無</v>
      </c>
    </row>
    <row r="300" spans="93:168">
      <c r="CO300" s="5">
        <v>313</v>
      </c>
      <c r="CP300" s="57">
        <v>0</v>
      </c>
      <c r="CQ300">
        <v>120</v>
      </c>
      <c r="ES300">
        <v>293</v>
      </c>
      <c r="ET300" t="s">
        <v>270</v>
      </c>
      <c r="EU300" t="s">
        <v>271</v>
      </c>
      <c r="EV300">
        <v>294</v>
      </c>
      <c r="EW300" t="str" cm="1">
        <f t="array" aca="1" ref="EW300" ca="1">INDIRECT("'5借入一覧'!"&amp;ET300&amp;EV300)&amp;INDIRECT("'5借入一覧'!"&amp;EU300&amp;EV300)</f>
        <v/>
      </c>
      <c r="EX300">
        <v>1</v>
      </c>
      <c r="EY300">
        <v>293</v>
      </c>
      <c r="EZ300" t="e">
        <f t="shared" ca="1" si="76"/>
        <v>#N/A</v>
      </c>
      <c r="FA300" t="e">
        <f t="shared" ca="1" si="76"/>
        <v>#N/A</v>
      </c>
      <c r="FB300" t="e">
        <f t="shared" ca="1" si="76"/>
        <v>#N/A</v>
      </c>
      <c r="FC300" t="e">
        <f t="shared" ca="1" si="76"/>
        <v>#N/A</v>
      </c>
      <c r="FD300" t="e">
        <f t="shared" ca="1" si="76"/>
        <v>#N/A</v>
      </c>
      <c r="FE300" t="str">
        <f t="shared" ca="1" si="66"/>
        <v/>
      </c>
      <c r="FF300" t="str">
        <f t="shared" ca="1" si="67"/>
        <v/>
      </c>
      <c r="FG300" t="str">
        <f t="shared" ca="1" si="68"/>
        <v/>
      </c>
      <c r="FH300" t="str">
        <f t="shared" ca="1" si="69"/>
        <v/>
      </c>
      <c r="FI300" t="str">
        <f t="shared" ca="1" si="70"/>
        <v/>
      </c>
      <c r="FJ300" t="str">
        <f t="shared" ca="1" si="71"/>
        <v/>
      </c>
      <c r="FK300" t="str">
        <f t="shared" ca="1" si="65"/>
        <v/>
      </c>
      <c r="FL300" t="str">
        <f t="shared" ca="1" si="72"/>
        <v>無</v>
      </c>
    </row>
    <row r="301" spans="93:168">
      <c r="CO301" s="5">
        <v>142</v>
      </c>
      <c r="CP301" s="57">
        <v>0</v>
      </c>
      <c r="CQ301">
        <v>120</v>
      </c>
      <c r="ES301">
        <v>294</v>
      </c>
      <c r="ET301" t="s">
        <v>270</v>
      </c>
      <c r="EU301" t="s">
        <v>271</v>
      </c>
      <c r="EV301">
        <v>295</v>
      </c>
      <c r="EW301" t="str" cm="1">
        <f t="array" aca="1" ref="EW301" ca="1">INDIRECT("'5借入一覧'!"&amp;ET301&amp;EV301)&amp;INDIRECT("'5借入一覧'!"&amp;EU301&amp;EV301)</f>
        <v/>
      </c>
      <c r="EX301">
        <v>1</v>
      </c>
      <c r="EY301">
        <v>294</v>
      </c>
      <c r="EZ301" t="e">
        <f t="shared" ca="1" si="76"/>
        <v>#N/A</v>
      </c>
      <c r="FA301" t="e">
        <f t="shared" ca="1" si="76"/>
        <v>#N/A</v>
      </c>
      <c r="FB301" t="e">
        <f t="shared" ca="1" si="76"/>
        <v>#N/A</v>
      </c>
      <c r="FC301" t="e">
        <f t="shared" ca="1" si="76"/>
        <v>#N/A</v>
      </c>
      <c r="FD301" t="e">
        <f t="shared" ca="1" si="76"/>
        <v>#N/A</v>
      </c>
      <c r="FE301" t="str">
        <f t="shared" ca="1" si="66"/>
        <v/>
      </c>
      <c r="FF301" t="str">
        <f t="shared" ca="1" si="67"/>
        <v/>
      </c>
      <c r="FG301" t="str">
        <f t="shared" ca="1" si="68"/>
        <v/>
      </c>
      <c r="FH301" t="str">
        <f t="shared" ca="1" si="69"/>
        <v/>
      </c>
      <c r="FI301" t="str">
        <f t="shared" ca="1" si="70"/>
        <v/>
      </c>
      <c r="FJ301" t="str">
        <f t="shared" ca="1" si="71"/>
        <v/>
      </c>
      <c r="FK301" t="str">
        <f t="shared" ca="1" si="65"/>
        <v/>
      </c>
      <c r="FL301" t="str">
        <f t="shared" ca="1" si="72"/>
        <v>無</v>
      </c>
    </row>
    <row r="302" spans="93:168">
      <c r="CO302" s="5">
        <v>314</v>
      </c>
      <c r="CP302" s="57">
        <v>0</v>
      </c>
      <c r="CQ302">
        <v>120</v>
      </c>
      <c r="ES302">
        <v>295</v>
      </c>
      <c r="ET302" t="s">
        <v>270</v>
      </c>
      <c r="EU302" t="s">
        <v>271</v>
      </c>
      <c r="EV302">
        <v>296</v>
      </c>
      <c r="EW302" t="str" cm="1">
        <f t="array" aca="1" ref="EW302" ca="1">INDIRECT("'5借入一覧'!"&amp;ET302&amp;EV302)&amp;INDIRECT("'5借入一覧'!"&amp;EU302&amp;EV302)</f>
        <v/>
      </c>
      <c r="EX302">
        <v>1</v>
      </c>
      <c r="EY302">
        <v>295</v>
      </c>
      <c r="EZ302" t="e">
        <f t="shared" ca="1" si="76"/>
        <v>#N/A</v>
      </c>
      <c r="FA302" t="e">
        <f t="shared" ca="1" si="76"/>
        <v>#N/A</v>
      </c>
      <c r="FB302" t="e">
        <f t="shared" ca="1" si="76"/>
        <v>#N/A</v>
      </c>
      <c r="FC302" t="e">
        <f t="shared" ca="1" si="76"/>
        <v>#N/A</v>
      </c>
      <c r="FD302" t="e">
        <f t="shared" ca="1" si="76"/>
        <v>#N/A</v>
      </c>
      <c r="FE302" t="str">
        <f t="shared" ca="1" si="66"/>
        <v/>
      </c>
      <c r="FF302" t="str">
        <f t="shared" ca="1" si="67"/>
        <v/>
      </c>
      <c r="FG302" t="str">
        <f t="shared" ca="1" si="68"/>
        <v/>
      </c>
      <c r="FH302" t="str">
        <f t="shared" ca="1" si="69"/>
        <v/>
      </c>
      <c r="FI302" t="str">
        <f t="shared" ca="1" si="70"/>
        <v/>
      </c>
      <c r="FJ302" t="str">
        <f t="shared" ca="1" si="71"/>
        <v/>
      </c>
      <c r="FK302" t="str">
        <f t="shared" ca="1" si="65"/>
        <v/>
      </c>
      <c r="FL302" t="str">
        <f t="shared" ca="1" si="72"/>
        <v>無</v>
      </c>
    </row>
    <row r="303" spans="93:168">
      <c r="CO303" s="5">
        <v>25</v>
      </c>
      <c r="CP303" s="57">
        <v>0</v>
      </c>
      <c r="CQ303">
        <v>120</v>
      </c>
      <c r="ES303">
        <v>296</v>
      </c>
      <c r="ET303" t="s">
        <v>270</v>
      </c>
      <c r="EU303" t="s">
        <v>271</v>
      </c>
      <c r="EV303">
        <v>297</v>
      </c>
      <c r="EW303" t="str" cm="1">
        <f t="array" aca="1" ref="EW303" ca="1">INDIRECT("'5借入一覧'!"&amp;ET303&amp;EV303)&amp;INDIRECT("'5借入一覧'!"&amp;EU303&amp;EV303)</f>
        <v/>
      </c>
      <c r="EX303">
        <v>1</v>
      </c>
      <c r="EY303">
        <v>296</v>
      </c>
      <c r="EZ303" t="e">
        <f t="shared" ca="1" si="76"/>
        <v>#N/A</v>
      </c>
      <c r="FA303" t="e">
        <f t="shared" ca="1" si="76"/>
        <v>#N/A</v>
      </c>
      <c r="FB303" t="e">
        <f t="shared" ca="1" si="76"/>
        <v>#N/A</v>
      </c>
      <c r="FC303" t="e">
        <f t="shared" ca="1" si="76"/>
        <v>#N/A</v>
      </c>
      <c r="FD303" t="e">
        <f t="shared" ca="1" si="76"/>
        <v>#N/A</v>
      </c>
      <c r="FE303" t="str">
        <f t="shared" ca="1" si="66"/>
        <v/>
      </c>
      <c r="FF303" t="str">
        <f t="shared" ca="1" si="67"/>
        <v/>
      </c>
      <c r="FG303" t="str">
        <f t="shared" ca="1" si="68"/>
        <v/>
      </c>
      <c r="FH303" t="str">
        <f t="shared" ca="1" si="69"/>
        <v/>
      </c>
      <c r="FI303" t="str">
        <f t="shared" ca="1" si="70"/>
        <v/>
      </c>
      <c r="FJ303" t="str">
        <f t="shared" ca="1" si="71"/>
        <v/>
      </c>
      <c r="FK303" t="str">
        <f t="shared" ca="1" si="65"/>
        <v/>
      </c>
      <c r="FL303" t="str">
        <f t="shared" ca="1" si="72"/>
        <v>無</v>
      </c>
    </row>
    <row r="304" spans="93:168">
      <c r="CO304" s="5">
        <v>118</v>
      </c>
      <c r="CP304" s="57">
        <v>0</v>
      </c>
      <c r="CQ304">
        <v>120</v>
      </c>
      <c r="ES304">
        <v>297</v>
      </c>
      <c r="ET304" t="s">
        <v>270</v>
      </c>
      <c r="EU304" t="s">
        <v>271</v>
      </c>
      <c r="EV304">
        <v>298</v>
      </c>
      <c r="EW304" t="str" cm="1">
        <f t="array" aca="1" ref="EW304" ca="1">INDIRECT("'5借入一覧'!"&amp;ET304&amp;EV304)&amp;INDIRECT("'5借入一覧'!"&amp;EU304&amp;EV304)</f>
        <v/>
      </c>
      <c r="EX304">
        <v>1</v>
      </c>
      <c r="EY304">
        <v>297</v>
      </c>
      <c r="EZ304" t="e">
        <f t="shared" ca="1" si="76"/>
        <v>#N/A</v>
      </c>
      <c r="FA304" t="e">
        <f t="shared" ca="1" si="76"/>
        <v>#N/A</v>
      </c>
      <c r="FB304" t="e">
        <f t="shared" ca="1" si="76"/>
        <v>#N/A</v>
      </c>
      <c r="FC304" t="e">
        <f t="shared" ca="1" si="76"/>
        <v>#N/A</v>
      </c>
      <c r="FD304" t="e">
        <f t="shared" ca="1" si="76"/>
        <v>#N/A</v>
      </c>
      <c r="FE304" t="str">
        <f t="shared" ca="1" si="66"/>
        <v/>
      </c>
      <c r="FF304" t="str">
        <f t="shared" ca="1" si="67"/>
        <v/>
      </c>
      <c r="FG304" t="str">
        <f t="shared" ca="1" si="68"/>
        <v/>
      </c>
      <c r="FH304" t="str">
        <f t="shared" ca="1" si="69"/>
        <v/>
      </c>
      <c r="FI304" t="str">
        <f t="shared" ca="1" si="70"/>
        <v/>
      </c>
      <c r="FJ304" t="str">
        <f t="shared" ca="1" si="71"/>
        <v/>
      </c>
      <c r="FK304" t="str">
        <f t="shared" ca="1" si="65"/>
        <v/>
      </c>
      <c r="FL304" t="str">
        <f t="shared" ca="1" si="72"/>
        <v>無</v>
      </c>
    </row>
    <row r="305" spans="93:168">
      <c r="CO305" s="5" t="s">
        <v>200</v>
      </c>
      <c r="CP305" s="57">
        <v>35943978</v>
      </c>
      <c r="ES305">
        <v>298</v>
      </c>
      <c r="ET305" t="s">
        <v>270</v>
      </c>
      <c r="EU305" t="s">
        <v>271</v>
      </c>
      <c r="EV305">
        <v>299</v>
      </c>
      <c r="EW305" t="str" cm="1">
        <f t="array" aca="1" ref="EW305" ca="1">INDIRECT("'5借入一覧'!"&amp;ET305&amp;EV305)&amp;INDIRECT("'5借入一覧'!"&amp;EU305&amp;EV305)</f>
        <v/>
      </c>
      <c r="EX305">
        <v>1</v>
      </c>
      <c r="EY305">
        <v>298</v>
      </c>
      <c r="EZ305" t="e">
        <f t="shared" ca="1" si="76"/>
        <v>#N/A</v>
      </c>
      <c r="FA305" t="e">
        <f t="shared" ca="1" si="76"/>
        <v>#N/A</v>
      </c>
      <c r="FB305" t="e">
        <f t="shared" ca="1" si="76"/>
        <v>#N/A</v>
      </c>
      <c r="FC305" t="e">
        <f t="shared" ca="1" si="76"/>
        <v>#N/A</v>
      </c>
      <c r="FD305" t="e">
        <f t="shared" ca="1" si="76"/>
        <v>#N/A</v>
      </c>
      <c r="FE305" t="str">
        <f t="shared" ca="1" si="66"/>
        <v/>
      </c>
      <c r="FF305" t="str">
        <f t="shared" ca="1" si="67"/>
        <v/>
      </c>
      <c r="FG305" t="str">
        <f t="shared" ca="1" si="68"/>
        <v/>
      </c>
      <c r="FH305" t="str">
        <f t="shared" ca="1" si="69"/>
        <v/>
      </c>
      <c r="FI305" t="str">
        <f t="shared" ca="1" si="70"/>
        <v/>
      </c>
      <c r="FJ305" t="str">
        <f t="shared" ca="1" si="71"/>
        <v/>
      </c>
      <c r="FK305" t="str">
        <f t="shared" ca="1" si="65"/>
        <v/>
      </c>
      <c r="FL305" t="str">
        <f t="shared" ca="1" si="72"/>
        <v>無</v>
      </c>
    </row>
    <row r="306" spans="93:168">
      <c r="ES306">
        <v>299</v>
      </c>
      <c r="ET306" t="s">
        <v>270</v>
      </c>
      <c r="EU306" t="s">
        <v>271</v>
      </c>
      <c r="EV306">
        <v>300</v>
      </c>
      <c r="EW306" t="str" cm="1">
        <f t="array" aca="1" ref="EW306" ca="1">INDIRECT("'5借入一覧'!"&amp;ET306&amp;EV306)&amp;INDIRECT("'5借入一覧'!"&amp;EU306&amp;EV306)</f>
        <v/>
      </c>
      <c r="EX306">
        <v>1</v>
      </c>
      <c r="EY306">
        <v>299</v>
      </c>
      <c r="EZ306" t="e">
        <f t="shared" ca="1" si="76"/>
        <v>#N/A</v>
      </c>
      <c r="FA306" t="e">
        <f t="shared" ca="1" si="76"/>
        <v>#N/A</v>
      </c>
      <c r="FB306" t="e">
        <f t="shared" ca="1" si="76"/>
        <v>#N/A</v>
      </c>
      <c r="FC306" t="e">
        <f t="shared" ca="1" si="76"/>
        <v>#N/A</v>
      </c>
      <c r="FD306" t="e">
        <f t="shared" ca="1" si="76"/>
        <v>#N/A</v>
      </c>
      <c r="FE306" t="str">
        <f t="shared" ca="1" si="66"/>
        <v/>
      </c>
      <c r="FF306" t="str">
        <f t="shared" ca="1" si="67"/>
        <v/>
      </c>
      <c r="FG306" t="str">
        <f t="shared" ca="1" si="68"/>
        <v/>
      </c>
      <c r="FH306" t="str">
        <f t="shared" ca="1" si="69"/>
        <v/>
      </c>
      <c r="FI306" t="str">
        <f t="shared" ca="1" si="70"/>
        <v/>
      </c>
      <c r="FJ306" t="str">
        <f t="shared" ca="1" si="71"/>
        <v/>
      </c>
      <c r="FK306" t="str">
        <f t="shared" ca="1" si="65"/>
        <v/>
      </c>
      <c r="FL306" t="str">
        <f t="shared" ca="1" si="72"/>
        <v>無</v>
      </c>
    </row>
    <row r="307" spans="93:168">
      <c r="ES307">
        <v>300</v>
      </c>
      <c r="ET307" t="s">
        <v>270</v>
      </c>
      <c r="EU307" t="s">
        <v>271</v>
      </c>
      <c r="EV307">
        <v>301</v>
      </c>
      <c r="EW307" t="str" cm="1">
        <f t="array" aca="1" ref="EW307" ca="1">INDIRECT("'5借入一覧'!"&amp;ET307&amp;EV307)&amp;INDIRECT("'5借入一覧'!"&amp;EU307&amp;EV307)</f>
        <v/>
      </c>
      <c r="EX307">
        <v>1</v>
      </c>
      <c r="EY307">
        <v>300</v>
      </c>
      <c r="EZ307" t="e">
        <f t="shared" ca="1" si="76"/>
        <v>#N/A</v>
      </c>
      <c r="FA307" t="e">
        <f t="shared" ca="1" si="76"/>
        <v>#N/A</v>
      </c>
      <c r="FB307" t="e">
        <f t="shared" ca="1" si="76"/>
        <v>#N/A</v>
      </c>
      <c r="FC307" t="e">
        <f t="shared" ca="1" si="76"/>
        <v>#N/A</v>
      </c>
      <c r="FD307" t="e">
        <f t="shared" ca="1" si="76"/>
        <v>#N/A</v>
      </c>
      <c r="FE307" t="str">
        <f t="shared" ca="1" si="66"/>
        <v/>
      </c>
      <c r="FF307" t="str">
        <f t="shared" ca="1" si="67"/>
        <v/>
      </c>
      <c r="FG307" t="str">
        <f t="shared" ca="1" si="68"/>
        <v/>
      </c>
      <c r="FH307" t="str">
        <f t="shared" ca="1" si="69"/>
        <v/>
      </c>
      <c r="FI307" t="str">
        <f t="shared" ca="1" si="70"/>
        <v/>
      </c>
      <c r="FJ307" t="str">
        <f t="shared" ca="1" si="71"/>
        <v/>
      </c>
      <c r="FK307" t="str">
        <f t="shared" ca="1" si="65"/>
        <v/>
      </c>
      <c r="FL307" t="str">
        <f t="shared" ca="1" si="72"/>
        <v>無</v>
      </c>
    </row>
    <row r="308" spans="93:168">
      <c r="ES308">
        <v>301</v>
      </c>
      <c r="ET308" t="s">
        <v>270</v>
      </c>
      <c r="EU308" t="s">
        <v>271</v>
      </c>
      <c r="EV308">
        <v>302</v>
      </c>
      <c r="EW308" t="str" cm="1">
        <f t="array" aca="1" ref="EW308" ca="1">INDIRECT("'5借入一覧'!"&amp;ET308&amp;EV308)&amp;INDIRECT("'5借入一覧'!"&amp;EU308&amp;EV308)</f>
        <v/>
      </c>
      <c r="EX308">
        <v>1</v>
      </c>
      <c r="FK308" t="str">
        <f t="shared" si="65"/>
        <v/>
      </c>
    </row>
    <row r="309" spans="93:168">
      <c r="ES309">
        <v>302</v>
      </c>
      <c r="ET309" t="s">
        <v>270</v>
      </c>
      <c r="EU309" t="s">
        <v>271</v>
      </c>
      <c r="EV309">
        <v>303</v>
      </c>
      <c r="EW309" t="str" cm="1">
        <f t="array" aca="1" ref="EW309" ca="1">INDIRECT("'5借入一覧'!"&amp;ET309&amp;EV309)&amp;INDIRECT("'5借入一覧'!"&amp;EU309&amp;EV309)</f>
        <v/>
      </c>
      <c r="EX309">
        <v>1</v>
      </c>
      <c r="FK309" t="str">
        <f t="shared" si="65"/>
        <v/>
      </c>
    </row>
    <row r="310" spans="93:168">
      <c r="ES310">
        <v>303</v>
      </c>
      <c r="ET310" t="s">
        <v>270</v>
      </c>
      <c r="EU310" t="s">
        <v>271</v>
      </c>
      <c r="EV310">
        <v>304</v>
      </c>
      <c r="EW310" t="str" cm="1">
        <f t="array" aca="1" ref="EW310" ca="1">INDIRECT("'5借入一覧'!"&amp;ET310&amp;EV310)&amp;INDIRECT("'5借入一覧'!"&amp;EU310&amp;EV310)</f>
        <v/>
      </c>
      <c r="EX310">
        <v>1</v>
      </c>
      <c r="FK310" t="str">
        <f t="shared" si="65"/>
        <v/>
      </c>
    </row>
    <row r="311" spans="93:168">
      <c r="ES311">
        <v>304</v>
      </c>
      <c r="ET311" t="s">
        <v>270</v>
      </c>
      <c r="EU311" t="s">
        <v>271</v>
      </c>
      <c r="EV311">
        <v>305</v>
      </c>
      <c r="EW311" t="str" cm="1">
        <f t="array" aca="1" ref="EW311" ca="1">INDIRECT("'5借入一覧'!"&amp;ET311&amp;EV311)&amp;INDIRECT("'5借入一覧'!"&amp;EU311&amp;EV311)</f>
        <v/>
      </c>
      <c r="EX311">
        <v>1</v>
      </c>
      <c r="FK311" t="str">
        <f t="shared" si="65"/>
        <v/>
      </c>
    </row>
    <row r="312" spans="93:168">
      <c r="ES312">
        <v>305</v>
      </c>
      <c r="ET312" t="s">
        <v>270</v>
      </c>
      <c r="EU312" t="s">
        <v>271</v>
      </c>
      <c r="EV312">
        <v>306</v>
      </c>
      <c r="EW312" t="str" cm="1">
        <f t="array" aca="1" ref="EW312" ca="1">INDIRECT("'5借入一覧'!"&amp;ET312&amp;EV312)&amp;INDIRECT("'5借入一覧'!"&amp;EU312&amp;EV312)</f>
        <v/>
      </c>
      <c r="EX312">
        <v>1</v>
      </c>
      <c r="FK312" t="str">
        <f t="shared" si="65"/>
        <v/>
      </c>
    </row>
    <row r="313" spans="93:168">
      <c r="ES313">
        <v>306</v>
      </c>
      <c r="ET313" t="s">
        <v>270</v>
      </c>
      <c r="EU313" t="s">
        <v>271</v>
      </c>
      <c r="EV313">
        <v>307</v>
      </c>
      <c r="EW313" t="str" cm="1">
        <f t="array" aca="1" ref="EW313" ca="1">INDIRECT("'5借入一覧'!"&amp;ET313&amp;EV313)&amp;INDIRECT("'5借入一覧'!"&amp;EU313&amp;EV313)</f>
        <v/>
      </c>
      <c r="EX313">
        <v>1</v>
      </c>
      <c r="FK313" t="str">
        <f t="shared" si="65"/>
        <v/>
      </c>
    </row>
    <row r="314" spans="93:168">
      <c r="ES314">
        <v>307</v>
      </c>
      <c r="ET314" t="s">
        <v>270</v>
      </c>
      <c r="EU314" t="s">
        <v>271</v>
      </c>
      <c r="EV314">
        <v>308</v>
      </c>
      <c r="EW314" t="str" cm="1">
        <f t="array" aca="1" ref="EW314" ca="1">INDIRECT("'5借入一覧'!"&amp;ET314&amp;EV314)&amp;INDIRECT("'5借入一覧'!"&amp;EU314&amp;EV314)</f>
        <v/>
      </c>
      <c r="EX314">
        <v>1</v>
      </c>
      <c r="FK314" t="str">
        <f t="shared" si="65"/>
        <v/>
      </c>
    </row>
    <row r="315" spans="93:168">
      <c r="ES315">
        <v>308</v>
      </c>
      <c r="ET315" t="s">
        <v>270</v>
      </c>
      <c r="EU315" t="s">
        <v>271</v>
      </c>
      <c r="EV315">
        <v>309</v>
      </c>
      <c r="EW315" t="str" cm="1">
        <f t="array" aca="1" ref="EW315" ca="1">INDIRECT("'5借入一覧'!"&amp;ET315&amp;EV315)&amp;INDIRECT("'5借入一覧'!"&amp;EU315&amp;EV315)</f>
        <v/>
      </c>
      <c r="EX315">
        <v>1</v>
      </c>
      <c r="FK315" t="str">
        <f t="shared" si="65"/>
        <v/>
      </c>
    </row>
    <row r="316" spans="93:168">
      <c r="ES316">
        <v>309</v>
      </c>
      <c r="ET316" t="s">
        <v>270</v>
      </c>
      <c r="EU316" t="s">
        <v>271</v>
      </c>
      <c r="EV316">
        <v>310</v>
      </c>
      <c r="EW316" t="str" cm="1">
        <f t="array" aca="1" ref="EW316" ca="1">INDIRECT("'5借入一覧'!"&amp;ET316&amp;EV316)&amp;INDIRECT("'5借入一覧'!"&amp;EU316&amp;EV316)</f>
        <v/>
      </c>
      <c r="EX316">
        <v>1</v>
      </c>
      <c r="FK316" t="str">
        <f t="shared" si="65"/>
        <v/>
      </c>
    </row>
    <row r="317" spans="93:168">
      <c r="ES317">
        <v>310</v>
      </c>
      <c r="ET317" t="s">
        <v>270</v>
      </c>
      <c r="EU317" t="s">
        <v>271</v>
      </c>
      <c r="EV317">
        <v>311</v>
      </c>
      <c r="EW317" t="str" cm="1">
        <f t="array" aca="1" ref="EW317" ca="1">INDIRECT("'5借入一覧'!"&amp;ET317&amp;EV317)&amp;INDIRECT("'5借入一覧'!"&amp;EU317&amp;EV317)</f>
        <v/>
      </c>
      <c r="EX317">
        <v>1</v>
      </c>
      <c r="FK317" t="str">
        <f t="shared" si="65"/>
        <v/>
      </c>
    </row>
    <row r="318" spans="93:168">
      <c r="ES318">
        <v>311</v>
      </c>
      <c r="ET318" t="s">
        <v>270</v>
      </c>
      <c r="EU318" t="s">
        <v>271</v>
      </c>
      <c r="EV318">
        <v>312</v>
      </c>
      <c r="EW318" t="str" cm="1">
        <f t="array" aca="1" ref="EW318" ca="1">INDIRECT("'5借入一覧'!"&amp;ET318&amp;EV318)&amp;INDIRECT("'5借入一覧'!"&amp;EU318&amp;EV318)</f>
        <v/>
      </c>
      <c r="EX318">
        <v>1</v>
      </c>
      <c r="FK318" t="str">
        <f t="shared" si="65"/>
        <v/>
      </c>
    </row>
    <row r="319" spans="93:168">
      <c r="ES319">
        <v>312</v>
      </c>
      <c r="ET319" t="s">
        <v>270</v>
      </c>
      <c r="EU319" t="s">
        <v>271</v>
      </c>
      <c r="EV319">
        <v>313</v>
      </c>
      <c r="EW319" t="str" cm="1">
        <f t="array" aca="1" ref="EW319" ca="1">INDIRECT("'5借入一覧'!"&amp;ET319&amp;EV319)&amp;INDIRECT("'5借入一覧'!"&amp;EU319&amp;EV319)</f>
        <v/>
      </c>
      <c r="EX319">
        <v>1</v>
      </c>
      <c r="FK319" t="str">
        <f t="shared" si="65"/>
        <v/>
      </c>
    </row>
    <row r="320" spans="93:168">
      <c r="ES320">
        <v>313</v>
      </c>
      <c r="ET320" t="s">
        <v>270</v>
      </c>
      <c r="EU320" t="s">
        <v>271</v>
      </c>
      <c r="EV320">
        <v>314</v>
      </c>
      <c r="EW320" t="str" cm="1">
        <f t="array" aca="1" ref="EW320" ca="1">INDIRECT("'5借入一覧'!"&amp;ET320&amp;EV320)&amp;INDIRECT("'5借入一覧'!"&amp;EU320&amp;EV320)</f>
        <v/>
      </c>
      <c r="EX320">
        <v>1</v>
      </c>
      <c r="FK320" t="str">
        <f t="shared" si="65"/>
        <v/>
      </c>
    </row>
    <row r="321" spans="149:167">
      <c r="ES321">
        <v>314</v>
      </c>
      <c r="ET321" t="s">
        <v>270</v>
      </c>
      <c r="EU321" t="s">
        <v>271</v>
      </c>
      <c r="EV321">
        <v>315</v>
      </c>
      <c r="EW321" t="str" cm="1">
        <f t="array" aca="1" ref="EW321" ca="1">INDIRECT("'5借入一覧'!"&amp;ET321&amp;EV321)&amp;INDIRECT("'5借入一覧'!"&amp;EU321&amp;EV321)</f>
        <v/>
      </c>
      <c r="EX321">
        <v>1</v>
      </c>
      <c r="FK321" t="str">
        <f t="shared" si="65"/>
        <v/>
      </c>
    </row>
    <row r="322" spans="149:167">
      <c r="ES322">
        <v>315</v>
      </c>
      <c r="ET322" t="s">
        <v>270</v>
      </c>
      <c r="EU322" t="s">
        <v>271</v>
      </c>
      <c r="EV322">
        <v>316</v>
      </c>
      <c r="EW322" t="str" cm="1">
        <f t="array" aca="1" ref="EW322" ca="1">INDIRECT("'5借入一覧'!"&amp;ET322&amp;EV322)&amp;INDIRECT("'5借入一覧'!"&amp;EU322&amp;EV322)</f>
        <v/>
      </c>
      <c r="EX322">
        <v>1</v>
      </c>
      <c r="FK322" t="str">
        <f t="shared" si="65"/>
        <v/>
      </c>
    </row>
    <row r="323" spans="149:167">
      <c r="ES323">
        <v>316</v>
      </c>
      <c r="ET323" t="s">
        <v>270</v>
      </c>
      <c r="EU323" t="s">
        <v>271</v>
      </c>
      <c r="EV323">
        <v>317</v>
      </c>
      <c r="EW323" t="str" cm="1">
        <f t="array" aca="1" ref="EW323" ca="1">INDIRECT("'5借入一覧'!"&amp;ET323&amp;EV323)&amp;INDIRECT("'5借入一覧'!"&amp;EU323&amp;EV323)</f>
        <v/>
      </c>
      <c r="EX323">
        <v>1</v>
      </c>
      <c r="FK323" t="str">
        <f t="shared" si="65"/>
        <v/>
      </c>
    </row>
    <row r="324" spans="149:167">
      <c r="ES324">
        <v>317</v>
      </c>
      <c r="ET324" t="s">
        <v>270</v>
      </c>
      <c r="EU324" t="s">
        <v>271</v>
      </c>
      <c r="EV324">
        <v>318</v>
      </c>
      <c r="EW324" t="str" cm="1">
        <f t="array" aca="1" ref="EW324" ca="1">INDIRECT("'5借入一覧'!"&amp;ET324&amp;EV324)&amp;INDIRECT("'5借入一覧'!"&amp;EU324&amp;EV324)</f>
        <v/>
      </c>
      <c r="EX324">
        <v>1</v>
      </c>
      <c r="FK324" t="str">
        <f t="shared" si="65"/>
        <v/>
      </c>
    </row>
    <row r="325" spans="149:167">
      <c r="ES325">
        <v>318</v>
      </c>
      <c r="ET325" t="s">
        <v>270</v>
      </c>
      <c r="EU325" t="s">
        <v>271</v>
      </c>
      <c r="EV325">
        <v>319</v>
      </c>
      <c r="EW325" t="str" cm="1">
        <f t="array" aca="1" ref="EW325" ca="1">INDIRECT("'5借入一覧'!"&amp;ET325&amp;EV325)&amp;INDIRECT("'5借入一覧'!"&amp;EU325&amp;EV325)</f>
        <v/>
      </c>
      <c r="EX325">
        <v>1</v>
      </c>
      <c r="FK325" t="str">
        <f t="shared" si="65"/>
        <v/>
      </c>
    </row>
    <row r="326" spans="149:167">
      <c r="ES326">
        <v>319</v>
      </c>
      <c r="ET326" t="s">
        <v>270</v>
      </c>
      <c r="EU326" t="s">
        <v>271</v>
      </c>
      <c r="EV326">
        <v>320</v>
      </c>
      <c r="EW326" t="str" cm="1">
        <f t="array" aca="1" ref="EW326" ca="1">INDIRECT("'5借入一覧'!"&amp;ET326&amp;EV326)&amp;INDIRECT("'5借入一覧'!"&amp;EU326&amp;EV326)</f>
        <v/>
      </c>
      <c r="EX326">
        <v>1</v>
      </c>
      <c r="FK326" t="str">
        <f t="shared" si="65"/>
        <v/>
      </c>
    </row>
    <row r="327" spans="149:167">
      <c r="ES327">
        <v>320</v>
      </c>
      <c r="ET327" t="s">
        <v>270</v>
      </c>
      <c r="EU327" t="s">
        <v>271</v>
      </c>
      <c r="EV327">
        <v>321</v>
      </c>
      <c r="EW327" t="str" cm="1">
        <f t="array" aca="1" ref="EW327" ca="1">INDIRECT("'5借入一覧'!"&amp;ET327&amp;EV327)&amp;INDIRECT("'5借入一覧'!"&amp;EU327&amp;EV327)</f>
        <v/>
      </c>
      <c r="EX327">
        <v>1</v>
      </c>
      <c r="FK327" t="str">
        <f t="shared" si="65"/>
        <v/>
      </c>
    </row>
    <row r="328" spans="149:167">
      <c r="ES328">
        <v>321</v>
      </c>
      <c r="ET328" t="s">
        <v>270</v>
      </c>
      <c r="EU328" t="s">
        <v>271</v>
      </c>
      <c r="EV328">
        <v>322</v>
      </c>
      <c r="EW328" t="str" cm="1">
        <f t="array" aca="1" ref="EW328" ca="1">INDIRECT("'5借入一覧'!"&amp;ET328&amp;EV328)&amp;INDIRECT("'5借入一覧'!"&amp;EU328&amp;EV328)</f>
        <v/>
      </c>
      <c r="EX328">
        <v>1</v>
      </c>
      <c r="FK328" t="str">
        <f t="shared" ref="FK328:FK391" si="77">IF(FJ328&lt;&gt;"",LEFT(FJ328,LEN(FJ328)-1),"")</f>
        <v/>
      </c>
    </row>
    <row r="329" spans="149:167">
      <c r="ES329">
        <v>322</v>
      </c>
      <c r="ET329" t="s">
        <v>270</v>
      </c>
      <c r="EU329" t="s">
        <v>271</v>
      </c>
      <c r="EV329">
        <v>323</v>
      </c>
      <c r="EW329" t="str" cm="1">
        <f t="array" aca="1" ref="EW329" ca="1">INDIRECT("'5借入一覧'!"&amp;ET329&amp;EV329)&amp;INDIRECT("'5借入一覧'!"&amp;EU329&amp;EV329)</f>
        <v/>
      </c>
      <c r="EX329">
        <v>1</v>
      </c>
      <c r="FK329" t="str">
        <f t="shared" si="77"/>
        <v/>
      </c>
    </row>
    <row r="330" spans="149:167">
      <c r="ES330">
        <v>323</v>
      </c>
      <c r="ET330" t="s">
        <v>270</v>
      </c>
      <c r="EU330" t="s">
        <v>271</v>
      </c>
      <c r="EV330">
        <v>324</v>
      </c>
      <c r="EW330" t="str" cm="1">
        <f t="array" aca="1" ref="EW330" ca="1">INDIRECT("'5借入一覧'!"&amp;ET330&amp;EV330)&amp;INDIRECT("'5借入一覧'!"&amp;EU330&amp;EV330)</f>
        <v/>
      </c>
      <c r="EX330">
        <v>1</v>
      </c>
      <c r="FK330" t="str">
        <f t="shared" si="77"/>
        <v/>
      </c>
    </row>
    <row r="331" spans="149:167">
      <c r="ES331">
        <v>324</v>
      </c>
      <c r="ET331" t="s">
        <v>270</v>
      </c>
      <c r="EU331" t="s">
        <v>271</v>
      </c>
      <c r="EV331">
        <v>325</v>
      </c>
      <c r="EW331" t="str" cm="1">
        <f t="array" aca="1" ref="EW331" ca="1">INDIRECT("'5借入一覧'!"&amp;ET331&amp;EV331)&amp;INDIRECT("'5借入一覧'!"&amp;EU331&amp;EV331)</f>
        <v/>
      </c>
      <c r="EX331">
        <v>1</v>
      </c>
      <c r="FK331" t="str">
        <f t="shared" si="77"/>
        <v/>
      </c>
    </row>
    <row r="332" spans="149:167">
      <c r="ES332">
        <v>325</v>
      </c>
      <c r="ET332" t="s">
        <v>270</v>
      </c>
      <c r="EU332" t="s">
        <v>271</v>
      </c>
      <c r="EV332">
        <v>326</v>
      </c>
      <c r="EW332" t="str" cm="1">
        <f t="array" aca="1" ref="EW332" ca="1">INDIRECT("'5借入一覧'!"&amp;ET332&amp;EV332)&amp;INDIRECT("'5借入一覧'!"&amp;EU332&amp;EV332)</f>
        <v/>
      </c>
      <c r="EX332">
        <v>1</v>
      </c>
      <c r="FK332" t="str">
        <f t="shared" si="77"/>
        <v/>
      </c>
    </row>
    <row r="333" spans="149:167">
      <c r="ES333">
        <v>326</v>
      </c>
      <c r="ET333" t="s">
        <v>270</v>
      </c>
      <c r="EU333" t="s">
        <v>271</v>
      </c>
      <c r="EV333">
        <v>327</v>
      </c>
      <c r="EW333" t="str" cm="1">
        <f t="array" aca="1" ref="EW333" ca="1">INDIRECT("'5借入一覧'!"&amp;ET333&amp;EV333)&amp;INDIRECT("'5借入一覧'!"&amp;EU333&amp;EV333)</f>
        <v/>
      </c>
      <c r="EX333">
        <v>1</v>
      </c>
      <c r="FK333" t="str">
        <f t="shared" si="77"/>
        <v/>
      </c>
    </row>
    <row r="334" spans="149:167">
      <c r="ES334">
        <v>327</v>
      </c>
      <c r="ET334" t="s">
        <v>270</v>
      </c>
      <c r="EU334" t="s">
        <v>271</v>
      </c>
      <c r="EV334">
        <v>328</v>
      </c>
      <c r="EW334" t="str" cm="1">
        <f t="array" aca="1" ref="EW334" ca="1">INDIRECT("'5借入一覧'!"&amp;ET334&amp;EV334)&amp;INDIRECT("'5借入一覧'!"&amp;EU334&amp;EV334)</f>
        <v/>
      </c>
      <c r="EX334">
        <v>1</v>
      </c>
      <c r="FK334" t="str">
        <f t="shared" si="77"/>
        <v/>
      </c>
    </row>
    <row r="335" spans="149:167">
      <c r="ES335">
        <v>328</v>
      </c>
      <c r="ET335" t="s">
        <v>270</v>
      </c>
      <c r="EU335" t="s">
        <v>271</v>
      </c>
      <c r="EV335">
        <v>329</v>
      </c>
      <c r="EW335" t="str" cm="1">
        <f t="array" aca="1" ref="EW335" ca="1">INDIRECT("'5借入一覧'!"&amp;ET335&amp;EV335)&amp;INDIRECT("'5借入一覧'!"&amp;EU335&amp;EV335)</f>
        <v/>
      </c>
      <c r="EX335">
        <v>1</v>
      </c>
      <c r="FK335" t="str">
        <f t="shared" si="77"/>
        <v/>
      </c>
    </row>
    <row r="336" spans="149:167">
      <c r="ES336">
        <v>329</v>
      </c>
      <c r="ET336" t="s">
        <v>270</v>
      </c>
      <c r="EU336" t="s">
        <v>271</v>
      </c>
      <c r="EV336">
        <v>330</v>
      </c>
      <c r="EW336" t="str" cm="1">
        <f t="array" aca="1" ref="EW336" ca="1">INDIRECT("'5借入一覧'!"&amp;ET336&amp;EV336)&amp;INDIRECT("'5借入一覧'!"&amp;EU336&amp;EV336)</f>
        <v/>
      </c>
      <c r="EX336">
        <v>1</v>
      </c>
      <c r="FK336" t="str">
        <f t="shared" si="77"/>
        <v/>
      </c>
    </row>
    <row r="337" spans="149:167">
      <c r="ES337">
        <v>330</v>
      </c>
      <c r="ET337" t="s">
        <v>270</v>
      </c>
      <c r="EU337" t="s">
        <v>271</v>
      </c>
      <c r="EV337">
        <v>331</v>
      </c>
      <c r="EW337" t="str" cm="1">
        <f t="array" aca="1" ref="EW337" ca="1">INDIRECT("'5借入一覧'!"&amp;ET337&amp;EV337)&amp;INDIRECT("'5借入一覧'!"&amp;EU337&amp;EV337)</f>
        <v/>
      </c>
      <c r="EX337">
        <v>1</v>
      </c>
      <c r="FK337" t="str">
        <f t="shared" si="77"/>
        <v/>
      </c>
    </row>
    <row r="338" spans="149:167">
      <c r="ES338">
        <v>331</v>
      </c>
      <c r="ET338" t="s">
        <v>270</v>
      </c>
      <c r="EU338" t="s">
        <v>271</v>
      </c>
      <c r="EV338">
        <v>332</v>
      </c>
      <c r="EW338" t="str" cm="1">
        <f t="array" aca="1" ref="EW338" ca="1">INDIRECT("'5借入一覧'!"&amp;ET338&amp;EV338)&amp;INDIRECT("'5借入一覧'!"&amp;EU338&amp;EV338)</f>
        <v/>
      </c>
      <c r="EX338">
        <v>1</v>
      </c>
      <c r="FK338" t="str">
        <f t="shared" si="77"/>
        <v/>
      </c>
    </row>
    <row r="339" spans="149:167">
      <c r="ES339">
        <v>332</v>
      </c>
      <c r="ET339" t="s">
        <v>270</v>
      </c>
      <c r="EU339" t="s">
        <v>271</v>
      </c>
      <c r="EV339">
        <v>333</v>
      </c>
      <c r="EW339" t="str" cm="1">
        <f t="array" aca="1" ref="EW339" ca="1">INDIRECT("'5借入一覧'!"&amp;ET339&amp;EV339)&amp;INDIRECT("'5借入一覧'!"&amp;EU339&amp;EV339)</f>
        <v/>
      </c>
      <c r="EX339">
        <v>1</v>
      </c>
      <c r="FK339" t="str">
        <f t="shared" si="77"/>
        <v/>
      </c>
    </row>
    <row r="340" spans="149:167">
      <c r="ES340">
        <v>333</v>
      </c>
      <c r="ET340" t="s">
        <v>270</v>
      </c>
      <c r="EU340" t="s">
        <v>271</v>
      </c>
      <c r="EV340">
        <v>334</v>
      </c>
      <c r="EW340" t="str" cm="1">
        <f t="array" aca="1" ref="EW340" ca="1">INDIRECT("'5借入一覧'!"&amp;ET340&amp;EV340)&amp;INDIRECT("'5借入一覧'!"&amp;EU340&amp;EV340)</f>
        <v/>
      </c>
      <c r="EX340">
        <v>1</v>
      </c>
      <c r="FK340" t="str">
        <f t="shared" si="77"/>
        <v/>
      </c>
    </row>
    <row r="341" spans="149:167">
      <c r="ES341">
        <v>334</v>
      </c>
      <c r="ET341" t="s">
        <v>270</v>
      </c>
      <c r="EU341" t="s">
        <v>271</v>
      </c>
      <c r="EV341">
        <v>335</v>
      </c>
      <c r="EW341" t="str" cm="1">
        <f t="array" aca="1" ref="EW341" ca="1">INDIRECT("'5借入一覧'!"&amp;ET341&amp;EV341)&amp;INDIRECT("'5借入一覧'!"&amp;EU341&amp;EV341)</f>
        <v/>
      </c>
      <c r="EX341">
        <v>1</v>
      </c>
      <c r="FK341" t="str">
        <f t="shared" si="77"/>
        <v/>
      </c>
    </row>
    <row r="342" spans="149:167">
      <c r="ES342">
        <v>335</v>
      </c>
      <c r="ET342" t="s">
        <v>270</v>
      </c>
      <c r="EU342" t="s">
        <v>271</v>
      </c>
      <c r="EV342">
        <v>336</v>
      </c>
      <c r="EW342" t="str" cm="1">
        <f t="array" aca="1" ref="EW342" ca="1">INDIRECT("'5借入一覧'!"&amp;ET342&amp;EV342)&amp;INDIRECT("'5借入一覧'!"&amp;EU342&amp;EV342)</f>
        <v/>
      </c>
      <c r="EX342">
        <v>1</v>
      </c>
      <c r="FK342" t="str">
        <f t="shared" si="77"/>
        <v/>
      </c>
    </row>
    <row r="343" spans="149:167">
      <c r="ES343">
        <v>336</v>
      </c>
      <c r="ET343" t="s">
        <v>270</v>
      </c>
      <c r="EU343" t="s">
        <v>271</v>
      </c>
      <c r="EV343">
        <v>337</v>
      </c>
      <c r="EW343" t="str" cm="1">
        <f t="array" aca="1" ref="EW343" ca="1">INDIRECT("'5借入一覧'!"&amp;ET343&amp;EV343)&amp;INDIRECT("'5借入一覧'!"&amp;EU343&amp;EV343)</f>
        <v/>
      </c>
      <c r="EX343">
        <v>1</v>
      </c>
      <c r="FK343" t="str">
        <f t="shared" si="77"/>
        <v/>
      </c>
    </row>
    <row r="344" spans="149:167">
      <c r="ES344">
        <v>337</v>
      </c>
      <c r="ET344" t="s">
        <v>270</v>
      </c>
      <c r="EU344" t="s">
        <v>271</v>
      </c>
      <c r="EV344">
        <v>338</v>
      </c>
      <c r="EW344" t="str" cm="1">
        <f t="array" aca="1" ref="EW344" ca="1">INDIRECT("'5借入一覧'!"&amp;ET344&amp;EV344)&amp;INDIRECT("'5借入一覧'!"&amp;EU344&amp;EV344)</f>
        <v/>
      </c>
      <c r="EX344">
        <v>1</v>
      </c>
      <c r="FK344" t="str">
        <f t="shared" si="77"/>
        <v/>
      </c>
    </row>
    <row r="345" spans="149:167">
      <c r="ES345">
        <v>338</v>
      </c>
      <c r="ET345" t="s">
        <v>270</v>
      </c>
      <c r="EU345" t="s">
        <v>271</v>
      </c>
      <c r="EV345">
        <v>339</v>
      </c>
      <c r="EW345" t="str" cm="1">
        <f t="array" aca="1" ref="EW345" ca="1">INDIRECT("'5借入一覧'!"&amp;ET345&amp;EV345)&amp;INDIRECT("'5借入一覧'!"&amp;EU345&amp;EV345)</f>
        <v/>
      </c>
      <c r="EX345">
        <v>1</v>
      </c>
      <c r="FK345" t="str">
        <f t="shared" si="77"/>
        <v/>
      </c>
    </row>
    <row r="346" spans="149:167">
      <c r="ES346">
        <v>339</v>
      </c>
      <c r="ET346" t="s">
        <v>270</v>
      </c>
      <c r="EU346" t="s">
        <v>271</v>
      </c>
      <c r="EV346">
        <v>340</v>
      </c>
      <c r="EW346" t="str" cm="1">
        <f t="array" aca="1" ref="EW346" ca="1">INDIRECT("'5借入一覧'!"&amp;ET346&amp;EV346)&amp;INDIRECT("'5借入一覧'!"&amp;EU346&amp;EV346)</f>
        <v/>
      </c>
      <c r="EX346">
        <v>1</v>
      </c>
      <c r="FK346" t="str">
        <f t="shared" si="77"/>
        <v/>
      </c>
    </row>
    <row r="347" spans="149:167">
      <c r="ES347">
        <v>340</v>
      </c>
      <c r="ET347" t="s">
        <v>270</v>
      </c>
      <c r="EU347" t="s">
        <v>271</v>
      </c>
      <c r="EV347">
        <v>341</v>
      </c>
      <c r="EW347" t="str" cm="1">
        <f t="array" aca="1" ref="EW347" ca="1">INDIRECT("'5借入一覧'!"&amp;ET347&amp;EV347)&amp;INDIRECT("'5借入一覧'!"&amp;EU347&amp;EV347)</f>
        <v/>
      </c>
      <c r="EX347">
        <v>1</v>
      </c>
      <c r="FK347" t="str">
        <f t="shared" si="77"/>
        <v/>
      </c>
    </row>
    <row r="348" spans="149:167">
      <c r="ES348">
        <v>341</v>
      </c>
      <c r="ET348" t="s">
        <v>270</v>
      </c>
      <c r="EU348" t="s">
        <v>271</v>
      </c>
      <c r="EV348">
        <v>342</v>
      </c>
      <c r="EW348" t="str" cm="1">
        <f t="array" aca="1" ref="EW348" ca="1">INDIRECT("'5借入一覧'!"&amp;ET348&amp;EV348)&amp;INDIRECT("'5借入一覧'!"&amp;EU348&amp;EV348)</f>
        <v/>
      </c>
      <c r="EX348">
        <v>1</v>
      </c>
      <c r="FK348" t="str">
        <f t="shared" si="77"/>
        <v/>
      </c>
    </row>
    <row r="349" spans="149:167">
      <c r="ES349">
        <v>342</v>
      </c>
      <c r="ET349" t="s">
        <v>270</v>
      </c>
      <c r="EU349" t="s">
        <v>271</v>
      </c>
      <c r="EV349">
        <v>343</v>
      </c>
      <c r="EW349" t="str" cm="1">
        <f t="array" aca="1" ref="EW349" ca="1">INDIRECT("'5借入一覧'!"&amp;ET349&amp;EV349)&amp;INDIRECT("'5借入一覧'!"&amp;EU349&amp;EV349)</f>
        <v/>
      </c>
      <c r="EX349">
        <v>1</v>
      </c>
      <c r="FK349" t="str">
        <f t="shared" si="77"/>
        <v/>
      </c>
    </row>
    <row r="350" spans="149:167">
      <c r="ES350">
        <v>343</v>
      </c>
      <c r="ET350" t="s">
        <v>270</v>
      </c>
      <c r="EU350" t="s">
        <v>271</v>
      </c>
      <c r="EV350">
        <v>344</v>
      </c>
      <c r="EW350" t="str" cm="1">
        <f t="array" aca="1" ref="EW350" ca="1">INDIRECT("'5借入一覧'!"&amp;ET350&amp;EV350)&amp;INDIRECT("'5借入一覧'!"&amp;EU350&amp;EV350)</f>
        <v/>
      </c>
      <c r="EX350">
        <v>1</v>
      </c>
      <c r="FK350" t="str">
        <f t="shared" si="77"/>
        <v/>
      </c>
    </row>
    <row r="351" spans="149:167">
      <c r="ES351">
        <v>344</v>
      </c>
      <c r="ET351" t="s">
        <v>270</v>
      </c>
      <c r="EU351" t="s">
        <v>271</v>
      </c>
      <c r="EV351">
        <v>345</v>
      </c>
      <c r="EW351" t="str" cm="1">
        <f t="array" aca="1" ref="EW351" ca="1">INDIRECT("'5借入一覧'!"&amp;ET351&amp;EV351)&amp;INDIRECT("'5借入一覧'!"&amp;EU351&amp;EV351)</f>
        <v/>
      </c>
      <c r="EX351">
        <v>1</v>
      </c>
      <c r="FK351" t="str">
        <f t="shared" si="77"/>
        <v/>
      </c>
    </row>
    <row r="352" spans="149:167">
      <c r="ES352">
        <v>345</v>
      </c>
      <c r="ET352" t="s">
        <v>270</v>
      </c>
      <c r="EU352" t="s">
        <v>271</v>
      </c>
      <c r="EV352">
        <v>346</v>
      </c>
      <c r="EW352" t="str" cm="1">
        <f t="array" aca="1" ref="EW352" ca="1">INDIRECT("'5借入一覧'!"&amp;ET352&amp;EV352)&amp;INDIRECT("'5借入一覧'!"&amp;EU352&amp;EV352)</f>
        <v/>
      </c>
      <c r="EX352">
        <v>1</v>
      </c>
      <c r="FK352" t="str">
        <f t="shared" si="77"/>
        <v/>
      </c>
    </row>
    <row r="353" spans="149:167">
      <c r="ES353">
        <v>346</v>
      </c>
      <c r="ET353" t="s">
        <v>270</v>
      </c>
      <c r="EU353" t="s">
        <v>271</v>
      </c>
      <c r="EV353">
        <v>347</v>
      </c>
      <c r="EW353" t="str" cm="1">
        <f t="array" aca="1" ref="EW353" ca="1">INDIRECT("'5借入一覧'!"&amp;ET353&amp;EV353)&amp;INDIRECT("'5借入一覧'!"&amp;EU353&amp;EV353)</f>
        <v/>
      </c>
      <c r="EX353">
        <v>1</v>
      </c>
      <c r="FK353" t="str">
        <f t="shared" si="77"/>
        <v/>
      </c>
    </row>
    <row r="354" spans="149:167">
      <c r="ES354">
        <v>347</v>
      </c>
      <c r="ET354" t="s">
        <v>270</v>
      </c>
      <c r="EU354" t="s">
        <v>271</v>
      </c>
      <c r="EV354">
        <v>348</v>
      </c>
      <c r="EW354" t="str" cm="1">
        <f t="array" aca="1" ref="EW354" ca="1">INDIRECT("'5借入一覧'!"&amp;ET354&amp;EV354)&amp;INDIRECT("'5借入一覧'!"&amp;EU354&amp;EV354)</f>
        <v/>
      </c>
      <c r="EX354">
        <v>1</v>
      </c>
      <c r="FK354" t="str">
        <f t="shared" si="77"/>
        <v/>
      </c>
    </row>
    <row r="355" spans="149:167">
      <c r="ES355">
        <v>348</v>
      </c>
      <c r="ET355" t="s">
        <v>270</v>
      </c>
      <c r="EU355" t="s">
        <v>271</v>
      </c>
      <c r="EV355">
        <v>349</v>
      </c>
      <c r="EW355" t="str" cm="1">
        <f t="array" aca="1" ref="EW355" ca="1">INDIRECT("'5借入一覧'!"&amp;ET355&amp;EV355)&amp;INDIRECT("'5借入一覧'!"&amp;EU355&amp;EV355)</f>
        <v/>
      </c>
      <c r="EX355">
        <v>1</v>
      </c>
      <c r="FK355" t="str">
        <f t="shared" si="77"/>
        <v/>
      </c>
    </row>
    <row r="356" spans="149:167">
      <c r="ES356">
        <v>349</v>
      </c>
      <c r="ET356" t="s">
        <v>270</v>
      </c>
      <c r="EU356" t="s">
        <v>271</v>
      </c>
      <c r="EV356">
        <v>350</v>
      </c>
      <c r="EW356" t="str" cm="1">
        <f t="array" aca="1" ref="EW356" ca="1">INDIRECT("'5借入一覧'!"&amp;ET356&amp;EV356)&amp;INDIRECT("'5借入一覧'!"&amp;EU356&amp;EV356)</f>
        <v/>
      </c>
      <c r="EX356">
        <v>1</v>
      </c>
      <c r="FK356" t="str">
        <f t="shared" si="77"/>
        <v/>
      </c>
    </row>
    <row r="357" spans="149:167">
      <c r="ES357">
        <v>350</v>
      </c>
      <c r="ET357" t="s">
        <v>270</v>
      </c>
      <c r="EU357" t="s">
        <v>271</v>
      </c>
      <c r="EV357">
        <v>351</v>
      </c>
      <c r="EW357" t="str" cm="1">
        <f t="array" aca="1" ref="EW357" ca="1">INDIRECT("'5借入一覧'!"&amp;ET357&amp;EV357)&amp;INDIRECT("'5借入一覧'!"&amp;EU357&amp;EV357)</f>
        <v/>
      </c>
      <c r="EX357">
        <v>1</v>
      </c>
      <c r="FK357" t="str">
        <f t="shared" si="77"/>
        <v/>
      </c>
    </row>
    <row r="358" spans="149:167">
      <c r="ES358">
        <v>351</v>
      </c>
      <c r="ET358" t="s">
        <v>270</v>
      </c>
      <c r="EU358" t="s">
        <v>271</v>
      </c>
      <c r="EV358">
        <v>352</v>
      </c>
      <c r="EW358" t="str" cm="1">
        <f t="array" aca="1" ref="EW358" ca="1">INDIRECT("'5借入一覧'!"&amp;ET358&amp;EV358)&amp;INDIRECT("'5借入一覧'!"&amp;EU358&amp;EV358)</f>
        <v/>
      </c>
      <c r="EX358">
        <v>1</v>
      </c>
      <c r="FK358" t="str">
        <f t="shared" si="77"/>
        <v/>
      </c>
    </row>
    <row r="359" spans="149:167">
      <c r="ES359">
        <v>352</v>
      </c>
      <c r="ET359" t="s">
        <v>270</v>
      </c>
      <c r="EU359" t="s">
        <v>271</v>
      </c>
      <c r="EV359">
        <v>353</v>
      </c>
      <c r="EW359" t="str" cm="1">
        <f t="array" aca="1" ref="EW359" ca="1">INDIRECT("'5借入一覧'!"&amp;ET359&amp;EV359)&amp;INDIRECT("'5借入一覧'!"&amp;EU359&amp;EV359)</f>
        <v/>
      </c>
      <c r="EX359">
        <v>1</v>
      </c>
      <c r="FK359" t="str">
        <f t="shared" si="77"/>
        <v/>
      </c>
    </row>
    <row r="360" spans="149:167">
      <c r="ES360">
        <v>353</v>
      </c>
      <c r="ET360" t="s">
        <v>270</v>
      </c>
      <c r="EU360" t="s">
        <v>271</v>
      </c>
      <c r="EV360">
        <v>354</v>
      </c>
      <c r="EW360" t="str" cm="1">
        <f t="array" aca="1" ref="EW360" ca="1">INDIRECT("'5借入一覧'!"&amp;ET360&amp;EV360)&amp;INDIRECT("'5借入一覧'!"&amp;EU360&amp;EV360)</f>
        <v/>
      </c>
      <c r="EX360">
        <v>1</v>
      </c>
      <c r="FK360" t="str">
        <f t="shared" si="77"/>
        <v/>
      </c>
    </row>
    <row r="361" spans="149:167">
      <c r="ES361">
        <v>354</v>
      </c>
      <c r="ET361" t="s">
        <v>270</v>
      </c>
      <c r="EU361" t="s">
        <v>271</v>
      </c>
      <c r="EV361">
        <v>355</v>
      </c>
      <c r="EW361" t="str" cm="1">
        <f t="array" aca="1" ref="EW361" ca="1">INDIRECT("'5借入一覧'!"&amp;ET361&amp;EV361)&amp;INDIRECT("'5借入一覧'!"&amp;EU361&amp;EV361)</f>
        <v/>
      </c>
      <c r="EX361">
        <v>1</v>
      </c>
      <c r="FK361" t="str">
        <f t="shared" si="77"/>
        <v/>
      </c>
    </row>
    <row r="362" spans="149:167">
      <c r="ES362">
        <v>355</v>
      </c>
      <c r="ET362" t="s">
        <v>270</v>
      </c>
      <c r="EU362" t="s">
        <v>271</v>
      </c>
      <c r="EV362">
        <v>356</v>
      </c>
      <c r="EW362" t="str" cm="1">
        <f t="array" aca="1" ref="EW362" ca="1">INDIRECT("'5借入一覧'!"&amp;ET362&amp;EV362)&amp;INDIRECT("'5借入一覧'!"&amp;EU362&amp;EV362)</f>
        <v/>
      </c>
      <c r="EX362">
        <v>1</v>
      </c>
      <c r="FK362" t="str">
        <f t="shared" si="77"/>
        <v/>
      </c>
    </row>
    <row r="363" spans="149:167">
      <c r="ES363">
        <v>356</v>
      </c>
      <c r="ET363" t="s">
        <v>270</v>
      </c>
      <c r="EU363" t="s">
        <v>271</v>
      </c>
      <c r="EV363">
        <v>357</v>
      </c>
      <c r="EW363" t="str" cm="1">
        <f t="array" aca="1" ref="EW363" ca="1">INDIRECT("'5借入一覧'!"&amp;ET363&amp;EV363)&amp;INDIRECT("'5借入一覧'!"&amp;EU363&amp;EV363)</f>
        <v/>
      </c>
      <c r="EX363">
        <v>1</v>
      </c>
      <c r="FK363" t="str">
        <f t="shared" si="77"/>
        <v/>
      </c>
    </row>
    <row r="364" spans="149:167">
      <c r="ES364">
        <v>357</v>
      </c>
      <c r="ET364" t="s">
        <v>270</v>
      </c>
      <c r="EU364" t="s">
        <v>271</v>
      </c>
      <c r="EV364">
        <v>358</v>
      </c>
      <c r="EW364" t="str" cm="1">
        <f t="array" aca="1" ref="EW364" ca="1">INDIRECT("'5借入一覧'!"&amp;ET364&amp;EV364)&amp;INDIRECT("'5借入一覧'!"&amp;EU364&amp;EV364)</f>
        <v/>
      </c>
      <c r="EX364">
        <v>1</v>
      </c>
      <c r="FK364" t="str">
        <f t="shared" si="77"/>
        <v/>
      </c>
    </row>
    <row r="365" spans="149:167">
      <c r="ES365">
        <v>358</v>
      </c>
      <c r="ET365" t="s">
        <v>270</v>
      </c>
      <c r="EU365" t="s">
        <v>271</v>
      </c>
      <c r="EV365">
        <v>359</v>
      </c>
      <c r="EW365" t="str" cm="1">
        <f t="array" aca="1" ref="EW365" ca="1">INDIRECT("'5借入一覧'!"&amp;ET365&amp;EV365)&amp;INDIRECT("'5借入一覧'!"&amp;EU365&amp;EV365)</f>
        <v/>
      </c>
      <c r="EX365">
        <v>1</v>
      </c>
      <c r="FK365" t="str">
        <f t="shared" si="77"/>
        <v/>
      </c>
    </row>
    <row r="366" spans="149:167">
      <c r="ES366">
        <v>359</v>
      </c>
      <c r="ET366" t="s">
        <v>270</v>
      </c>
      <c r="EU366" t="s">
        <v>271</v>
      </c>
      <c r="EV366">
        <v>360</v>
      </c>
      <c r="EW366" t="str" cm="1">
        <f t="array" aca="1" ref="EW366" ca="1">INDIRECT("'5借入一覧'!"&amp;ET366&amp;EV366)&amp;INDIRECT("'5借入一覧'!"&amp;EU366&amp;EV366)</f>
        <v/>
      </c>
      <c r="EX366">
        <v>1</v>
      </c>
      <c r="FK366" t="str">
        <f t="shared" si="77"/>
        <v/>
      </c>
    </row>
    <row r="367" spans="149:167">
      <c r="ES367">
        <v>360</v>
      </c>
      <c r="ET367" t="s">
        <v>270</v>
      </c>
      <c r="EU367" t="s">
        <v>271</v>
      </c>
      <c r="EV367">
        <v>361</v>
      </c>
      <c r="EW367" t="str" cm="1">
        <f t="array" aca="1" ref="EW367" ca="1">INDIRECT("'5借入一覧'!"&amp;ET367&amp;EV367)&amp;INDIRECT("'5借入一覧'!"&amp;EU367&amp;EV367)</f>
        <v/>
      </c>
      <c r="EX367">
        <v>1</v>
      </c>
      <c r="FK367" t="str">
        <f t="shared" si="77"/>
        <v/>
      </c>
    </row>
    <row r="368" spans="149:167">
      <c r="ES368">
        <v>361</v>
      </c>
      <c r="ET368" t="s">
        <v>270</v>
      </c>
      <c r="EU368" t="s">
        <v>271</v>
      </c>
      <c r="EV368">
        <v>362</v>
      </c>
      <c r="EW368" t="str" cm="1">
        <f t="array" aca="1" ref="EW368" ca="1">INDIRECT("'5借入一覧'!"&amp;ET368&amp;EV368)&amp;INDIRECT("'5借入一覧'!"&amp;EU368&amp;EV368)</f>
        <v/>
      </c>
      <c r="EX368">
        <v>1</v>
      </c>
      <c r="FK368" t="str">
        <f t="shared" si="77"/>
        <v/>
      </c>
    </row>
    <row r="369" spans="149:167">
      <c r="ES369">
        <v>362</v>
      </c>
      <c r="ET369" t="s">
        <v>270</v>
      </c>
      <c r="EU369" t="s">
        <v>271</v>
      </c>
      <c r="EV369">
        <v>363</v>
      </c>
      <c r="EW369" t="str" cm="1">
        <f t="array" aca="1" ref="EW369" ca="1">INDIRECT("'5借入一覧'!"&amp;ET369&amp;EV369)&amp;INDIRECT("'5借入一覧'!"&amp;EU369&amp;EV369)</f>
        <v/>
      </c>
      <c r="EX369">
        <v>1</v>
      </c>
      <c r="FK369" t="str">
        <f t="shared" si="77"/>
        <v/>
      </c>
    </row>
    <row r="370" spans="149:167">
      <c r="ES370">
        <v>363</v>
      </c>
      <c r="ET370" t="s">
        <v>270</v>
      </c>
      <c r="EU370" t="s">
        <v>271</v>
      </c>
      <c r="EV370">
        <v>364</v>
      </c>
      <c r="EW370" t="str" cm="1">
        <f t="array" aca="1" ref="EW370" ca="1">INDIRECT("'5借入一覧'!"&amp;ET370&amp;EV370)&amp;INDIRECT("'5借入一覧'!"&amp;EU370&amp;EV370)</f>
        <v/>
      </c>
      <c r="EX370">
        <v>1</v>
      </c>
      <c r="FK370" t="str">
        <f t="shared" si="77"/>
        <v/>
      </c>
    </row>
    <row r="371" spans="149:167">
      <c r="ES371">
        <v>364</v>
      </c>
      <c r="ET371" t="s">
        <v>270</v>
      </c>
      <c r="EU371" t="s">
        <v>271</v>
      </c>
      <c r="EV371">
        <v>365</v>
      </c>
      <c r="EW371" t="str" cm="1">
        <f t="array" aca="1" ref="EW371" ca="1">INDIRECT("'5借入一覧'!"&amp;ET371&amp;EV371)&amp;INDIRECT("'5借入一覧'!"&amp;EU371&amp;EV371)</f>
        <v/>
      </c>
      <c r="EX371">
        <v>1</v>
      </c>
      <c r="FK371" t="str">
        <f t="shared" si="77"/>
        <v/>
      </c>
    </row>
    <row r="372" spans="149:167">
      <c r="ES372">
        <v>365</v>
      </c>
      <c r="ET372" t="s">
        <v>270</v>
      </c>
      <c r="EU372" t="s">
        <v>271</v>
      </c>
      <c r="EV372">
        <v>366</v>
      </c>
      <c r="EW372" t="str" cm="1">
        <f t="array" aca="1" ref="EW372" ca="1">INDIRECT("'5借入一覧'!"&amp;ET372&amp;EV372)&amp;INDIRECT("'5借入一覧'!"&amp;EU372&amp;EV372)</f>
        <v/>
      </c>
      <c r="EX372">
        <v>1</v>
      </c>
      <c r="FK372" t="str">
        <f t="shared" si="77"/>
        <v/>
      </c>
    </row>
    <row r="373" spans="149:167">
      <c r="ES373">
        <v>366</v>
      </c>
      <c r="ET373" t="s">
        <v>270</v>
      </c>
      <c r="EU373" t="s">
        <v>271</v>
      </c>
      <c r="EV373">
        <v>367</v>
      </c>
      <c r="EW373" t="str" cm="1">
        <f t="array" aca="1" ref="EW373" ca="1">INDIRECT("'5借入一覧'!"&amp;ET373&amp;EV373)&amp;INDIRECT("'5借入一覧'!"&amp;EU373&amp;EV373)</f>
        <v/>
      </c>
      <c r="EX373">
        <v>1</v>
      </c>
      <c r="FK373" t="str">
        <f t="shared" si="77"/>
        <v/>
      </c>
    </row>
    <row r="374" spans="149:167">
      <c r="ES374">
        <v>367</v>
      </c>
      <c r="ET374" t="s">
        <v>270</v>
      </c>
      <c r="EU374" t="s">
        <v>271</v>
      </c>
      <c r="EV374">
        <v>368</v>
      </c>
      <c r="EW374" t="str" cm="1">
        <f t="array" aca="1" ref="EW374" ca="1">INDIRECT("'5借入一覧'!"&amp;ET374&amp;EV374)&amp;INDIRECT("'5借入一覧'!"&amp;EU374&amp;EV374)</f>
        <v/>
      </c>
      <c r="EX374">
        <v>1</v>
      </c>
      <c r="FK374" t="str">
        <f t="shared" si="77"/>
        <v/>
      </c>
    </row>
    <row r="375" spans="149:167">
      <c r="ES375">
        <v>368</v>
      </c>
      <c r="ET375" t="s">
        <v>270</v>
      </c>
      <c r="EU375" t="s">
        <v>271</v>
      </c>
      <c r="EV375">
        <v>369</v>
      </c>
      <c r="EW375" t="str" cm="1">
        <f t="array" aca="1" ref="EW375" ca="1">INDIRECT("'5借入一覧'!"&amp;ET375&amp;EV375)&amp;INDIRECT("'5借入一覧'!"&amp;EU375&amp;EV375)</f>
        <v/>
      </c>
      <c r="EX375">
        <v>1</v>
      </c>
      <c r="FK375" t="str">
        <f t="shared" si="77"/>
        <v/>
      </c>
    </row>
    <row r="376" spans="149:167">
      <c r="ES376">
        <v>369</v>
      </c>
      <c r="ET376" t="s">
        <v>270</v>
      </c>
      <c r="EU376" t="s">
        <v>271</v>
      </c>
      <c r="EV376">
        <v>370</v>
      </c>
      <c r="EW376" t="str" cm="1">
        <f t="array" aca="1" ref="EW376" ca="1">INDIRECT("'5借入一覧'!"&amp;ET376&amp;EV376)&amp;INDIRECT("'5借入一覧'!"&amp;EU376&amp;EV376)</f>
        <v/>
      </c>
      <c r="EX376">
        <v>1</v>
      </c>
      <c r="FK376" t="str">
        <f t="shared" si="77"/>
        <v/>
      </c>
    </row>
    <row r="377" spans="149:167">
      <c r="ES377">
        <v>370</v>
      </c>
      <c r="ET377" t="s">
        <v>270</v>
      </c>
      <c r="EU377" t="s">
        <v>271</v>
      </c>
      <c r="EV377">
        <v>371</v>
      </c>
      <c r="EW377" t="str" cm="1">
        <f t="array" aca="1" ref="EW377" ca="1">INDIRECT("'5借入一覧'!"&amp;ET377&amp;EV377)&amp;INDIRECT("'5借入一覧'!"&amp;EU377&amp;EV377)</f>
        <v/>
      </c>
      <c r="EX377">
        <v>1</v>
      </c>
      <c r="FK377" t="str">
        <f t="shared" si="77"/>
        <v/>
      </c>
    </row>
    <row r="378" spans="149:167">
      <c r="ES378">
        <v>371</v>
      </c>
      <c r="ET378" t="s">
        <v>270</v>
      </c>
      <c r="EU378" t="s">
        <v>271</v>
      </c>
      <c r="EV378">
        <v>372</v>
      </c>
      <c r="EW378" t="str" cm="1">
        <f t="array" aca="1" ref="EW378" ca="1">INDIRECT("'5借入一覧'!"&amp;ET378&amp;EV378)&amp;INDIRECT("'5借入一覧'!"&amp;EU378&amp;EV378)</f>
        <v/>
      </c>
      <c r="EX378">
        <v>1</v>
      </c>
      <c r="FK378" t="str">
        <f t="shared" si="77"/>
        <v/>
      </c>
    </row>
    <row r="379" spans="149:167">
      <c r="ES379">
        <v>372</v>
      </c>
      <c r="ET379" t="s">
        <v>270</v>
      </c>
      <c r="EU379" t="s">
        <v>271</v>
      </c>
      <c r="EV379">
        <v>373</v>
      </c>
      <c r="EW379" t="str" cm="1">
        <f t="array" aca="1" ref="EW379" ca="1">INDIRECT("'5借入一覧'!"&amp;ET379&amp;EV379)&amp;INDIRECT("'5借入一覧'!"&amp;EU379&amp;EV379)</f>
        <v/>
      </c>
      <c r="EX379">
        <v>1</v>
      </c>
      <c r="FK379" t="str">
        <f t="shared" si="77"/>
        <v/>
      </c>
    </row>
    <row r="380" spans="149:167">
      <c r="ES380">
        <v>373</v>
      </c>
      <c r="ET380" t="s">
        <v>270</v>
      </c>
      <c r="EU380" t="s">
        <v>271</v>
      </c>
      <c r="EV380">
        <v>374</v>
      </c>
      <c r="EW380" t="str" cm="1">
        <f t="array" aca="1" ref="EW380" ca="1">INDIRECT("'5借入一覧'!"&amp;ET380&amp;EV380)&amp;INDIRECT("'5借入一覧'!"&amp;EU380&amp;EV380)</f>
        <v/>
      </c>
      <c r="EX380">
        <v>1</v>
      </c>
      <c r="FK380" t="str">
        <f t="shared" si="77"/>
        <v/>
      </c>
    </row>
    <row r="381" spans="149:167">
      <c r="ES381">
        <v>374</v>
      </c>
      <c r="ET381" t="s">
        <v>270</v>
      </c>
      <c r="EU381" t="s">
        <v>271</v>
      </c>
      <c r="EV381">
        <v>375</v>
      </c>
      <c r="EW381" t="str" cm="1">
        <f t="array" aca="1" ref="EW381" ca="1">INDIRECT("'5借入一覧'!"&amp;ET381&amp;EV381)&amp;INDIRECT("'5借入一覧'!"&amp;EU381&amp;EV381)</f>
        <v/>
      </c>
      <c r="EX381">
        <v>1</v>
      </c>
      <c r="FK381" t="str">
        <f t="shared" si="77"/>
        <v/>
      </c>
    </row>
    <row r="382" spans="149:167">
      <c r="ES382">
        <v>375</v>
      </c>
      <c r="ET382" t="s">
        <v>270</v>
      </c>
      <c r="EU382" t="s">
        <v>271</v>
      </c>
      <c r="EV382">
        <v>376</v>
      </c>
      <c r="EW382" t="str" cm="1">
        <f t="array" aca="1" ref="EW382" ca="1">INDIRECT("'5借入一覧'!"&amp;ET382&amp;EV382)&amp;INDIRECT("'5借入一覧'!"&amp;EU382&amp;EV382)</f>
        <v/>
      </c>
      <c r="EX382">
        <v>1</v>
      </c>
      <c r="FK382" t="str">
        <f t="shared" si="77"/>
        <v/>
      </c>
    </row>
    <row r="383" spans="149:167">
      <c r="ES383">
        <v>376</v>
      </c>
      <c r="ET383" t="s">
        <v>270</v>
      </c>
      <c r="EU383" t="s">
        <v>271</v>
      </c>
      <c r="EV383">
        <v>377</v>
      </c>
      <c r="EW383" t="str" cm="1">
        <f t="array" aca="1" ref="EW383" ca="1">INDIRECT("'5借入一覧'!"&amp;ET383&amp;EV383)&amp;INDIRECT("'5借入一覧'!"&amp;EU383&amp;EV383)</f>
        <v/>
      </c>
      <c r="EX383">
        <v>1</v>
      </c>
      <c r="FK383" t="str">
        <f t="shared" si="77"/>
        <v/>
      </c>
    </row>
    <row r="384" spans="149:167">
      <c r="ES384">
        <v>377</v>
      </c>
      <c r="ET384" t="s">
        <v>270</v>
      </c>
      <c r="EU384" t="s">
        <v>271</v>
      </c>
      <c r="EV384">
        <v>378</v>
      </c>
      <c r="EW384" t="str" cm="1">
        <f t="array" aca="1" ref="EW384" ca="1">INDIRECT("'5借入一覧'!"&amp;ET384&amp;EV384)&amp;INDIRECT("'5借入一覧'!"&amp;EU384&amp;EV384)</f>
        <v/>
      </c>
      <c r="EX384">
        <v>1</v>
      </c>
      <c r="FK384" t="str">
        <f t="shared" si="77"/>
        <v/>
      </c>
    </row>
    <row r="385" spans="149:167">
      <c r="ES385">
        <v>378</v>
      </c>
      <c r="ET385" t="s">
        <v>270</v>
      </c>
      <c r="EU385" t="s">
        <v>271</v>
      </c>
      <c r="EV385">
        <v>379</v>
      </c>
      <c r="EW385" t="str" cm="1">
        <f t="array" aca="1" ref="EW385" ca="1">INDIRECT("'5借入一覧'!"&amp;ET385&amp;EV385)&amp;INDIRECT("'5借入一覧'!"&amp;EU385&amp;EV385)</f>
        <v/>
      </c>
      <c r="EX385">
        <v>1</v>
      </c>
      <c r="FK385" t="str">
        <f t="shared" si="77"/>
        <v/>
      </c>
    </row>
    <row r="386" spans="149:167">
      <c r="ES386">
        <v>379</v>
      </c>
      <c r="ET386" t="s">
        <v>270</v>
      </c>
      <c r="EU386" t="s">
        <v>271</v>
      </c>
      <c r="EV386">
        <v>380</v>
      </c>
      <c r="EW386" t="str" cm="1">
        <f t="array" aca="1" ref="EW386" ca="1">INDIRECT("'5借入一覧'!"&amp;ET386&amp;EV386)&amp;INDIRECT("'5借入一覧'!"&amp;EU386&amp;EV386)</f>
        <v/>
      </c>
      <c r="EX386">
        <v>1</v>
      </c>
      <c r="FK386" t="str">
        <f t="shared" si="77"/>
        <v/>
      </c>
    </row>
    <row r="387" spans="149:167">
      <c r="ES387">
        <v>380</v>
      </c>
      <c r="ET387" t="s">
        <v>270</v>
      </c>
      <c r="EU387" t="s">
        <v>271</v>
      </c>
      <c r="EV387">
        <v>381</v>
      </c>
      <c r="EW387" t="str" cm="1">
        <f t="array" aca="1" ref="EW387" ca="1">INDIRECT("'5借入一覧'!"&amp;ET387&amp;EV387)&amp;INDIRECT("'5借入一覧'!"&amp;EU387&amp;EV387)</f>
        <v/>
      </c>
      <c r="EX387">
        <v>1</v>
      </c>
      <c r="FK387" t="str">
        <f t="shared" si="77"/>
        <v/>
      </c>
    </row>
    <row r="388" spans="149:167">
      <c r="ES388">
        <v>381</v>
      </c>
      <c r="ET388" t="s">
        <v>270</v>
      </c>
      <c r="EU388" t="s">
        <v>271</v>
      </c>
      <c r="EV388">
        <v>382</v>
      </c>
      <c r="EW388" t="str" cm="1">
        <f t="array" aca="1" ref="EW388" ca="1">INDIRECT("'5借入一覧'!"&amp;ET388&amp;EV388)&amp;INDIRECT("'5借入一覧'!"&amp;EU388&amp;EV388)</f>
        <v/>
      </c>
      <c r="EX388">
        <v>1</v>
      </c>
      <c r="FK388" t="str">
        <f t="shared" si="77"/>
        <v/>
      </c>
    </row>
    <row r="389" spans="149:167">
      <c r="ES389">
        <v>382</v>
      </c>
      <c r="ET389" t="s">
        <v>270</v>
      </c>
      <c r="EU389" t="s">
        <v>271</v>
      </c>
      <c r="EV389">
        <v>383</v>
      </c>
      <c r="EW389" t="str" cm="1">
        <f t="array" aca="1" ref="EW389" ca="1">INDIRECT("'5借入一覧'!"&amp;ET389&amp;EV389)&amp;INDIRECT("'5借入一覧'!"&amp;EU389&amp;EV389)</f>
        <v/>
      </c>
      <c r="EX389">
        <v>1</v>
      </c>
      <c r="FK389" t="str">
        <f t="shared" si="77"/>
        <v/>
      </c>
    </row>
    <row r="390" spans="149:167">
      <c r="ES390">
        <v>383</v>
      </c>
      <c r="ET390" t="s">
        <v>270</v>
      </c>
      <c r="EU390" t="s">
        <v>271</v>
      </c>
      <c r="EV390">
        <v>384</v>
      </c>
      <c r="EW390" t="str" cm="1">
        <f t="array" aca="1" ref="EW390" ca="1">INDIRECT("'5借入一覧'!"&amp;ET390&amp;EV390)&amp;INDIRECT("'5借入一覧'!"&amp;EU390&amp;EV390)</f>
        <v/>
      </c>
      <c r="EX390">
        <v>1</v>
      </c>
      <c r="FK390" t="str">
        <f t="shared" si="77"/>
        <v/>
      </c>
    </row>
    <row r="391" spans="149:167">
      <c r="ES391">
        <v>384</v>
      </c>
      <c r="ET391" t="s">
        <v>270</v>
      </c>
      <c r="EU391" t="s">
        <v>271</v>
      </c>
      <c r="EV391">
        <v>385</v>
      </c>
      <c r="EW391" t="str" cm="1">
        <f t="array" aca="1" ref="EW391" ca="1">INDIRECT("'5借入一覧'!"&amp;ET391&amp;EV391)&amp;INDIRECT("'5借入一覧'!"&amp;EU391&amp;EV391)</f>
        <v/>
      </c>
      <c r="EX391">
        <v>1</v>
      </c>
      <c r="FK391" t="str">
        <f t="shared" si="77"/>
        <v/>
      </c>
    </row>
    <row r="392" spans="149:167">
      <c r="ES392">
        <v>385</v>
      </c>
      <c r="ET392" t="s">
        <v>270</v>
      </c>
      <c r="EU392" t="s">
        <v>271</v>
      </c>
      <c r="EV392">
        <v>386</v>
      </c>
      <c r="EW392" t="str" cm="1">
        <f t="array" aca="1" ref="EW392" ca="1">INDIRECT("'5借入一覧'!"&amp;ET392&amp;EV392)&amp;INDIRECT("'5借入一覧'!"&amp;EU392&amp;EV392)</f>
        <v/>
      </c>
      <c r="EX392">
        <v>1</v>
      </c>
      <c r="FK392" t="str">
        <f t="shared" ref="FK392:FK455" si="78">IF(FJ392&lt;&gt;"",LEFT(FJ392,LEN(FJ392)-1),"")</f>
        <v/>
      </c>
    </row>
    <row r="393" spans="149:167">
      <c r="ES393">
        <v>386</v>
      </c>
      <c r="ET393" t="s">
        <v>270</v>
      </c>
      <c r="EU393" t="s">
        <v>271</v>
      </c>
      <c r="EV393">
        <v>387</v>
      </c>
      <c r="EW393" t="str" cm="1">
        <f t="array" aca="1" ref="EW393" ca="1">INDIRECT("'5借入一覧'!"&amp;ET393&amp;EV393)&amp;INDIRECT("'5借入一覧'!"&amp;EU393&amp;EV393)</f>
        <v/>
      </c>
      <c r="EX393">
        <v>1</v>
      </c>
      <c r="FK393" t="str">
        <f t="shared" si="78"/>
        <v/>
      </c>
    </row>
    <row r="394" spans="149:167">
      <c r="ES394">
        <v>387</v>
      </c>
      <c r="ET394" t="s">
        <v>270</v>
      </c>
      <c r="EU394" t="s">
        <v>271</v>
      </c>
      <c r="EV394">
        <v>388</v>
      </c>
      <c r="EW394" t="str" cm="1">
        <f t="array" aca="1" ref="EW394" ca="1">INDIRECT("'5借入一覧'!"&amp;ET394&amp;EV394)&amp;INDIRECT("'5借入一覧'!"&amp;EU394&amp;EV394)</f>
        <v/>
      </c>
      <c r="EX394">
        <v>1</v>
      </c>
      <c r="FK394" t="str">
        <f t="shared" si="78"/>
        <v/>
      </c>
    </row>
    <row r="395" spans="149:167">
      <c r="ES395">
        <v>388</v>
      </c>
      <c r="ET395" t="s">
        <v>270</v>
      </c>
      <c r="EU395" t="s">
        <v>271</v>
      </c>
      <c r="EV395">
        <v>389</v>
      </c>
      <c r="EW395" t="str" cm="1">
        <f t="array" aca="1" ref="EW395" ca="1">INDIRECT("'5借入一覧'!"&amp;ET395&amp;EV395)&amp;INDIRECT("'5借入一覧'!"&amp;EU395&amp;EV395)</f>
        <v/>
      </c>
      <c r="EX395">
        <v>1</v>
      </c>
      <c r="FK395" t="str">
        <f t="shared" si="78"/>
        <v/>
      </c>
    </row>
    <row r="396" spans="149:167">
      <c r="ES396">
        <v>389</v>
      </c>
      <c r="ET396" t="s">
        <v>270</v>
      </c>
      <c r="EU396" t="s">
        <v>271</v>
      </c>
      <c r="EV396">
        <v>390</v>
      </c>
      <c r="EW396" t="str" cm="1">
        <f t="array" aca="1" ref="EW396" ca="1">INDIRECT("'5借入一覧'!"&amp;ET396&amp;EV396)&amp;INDIRECT("'5借入一覧'!"&amp;EU396&amp;EV396)</f>
        <v/>
      </c>
      <c r="EX396">
        <v>1</v>
      </c>
      <c r="FK396" t="str">
        <f t="shared" si="78"/>
        <v/>
      </c>
    </row>
    <row r="397" spans="149:167">
      <c r="ES397">
        <v>390</v>
      </c>
      <c r="ET397" t="s">
        <v>270</v>
      </c>
      <c r="EU397" t="s">
        <v>271</v>
      </c>
      <c r="EV397">
        <v>391</v>
      </c>
      <c r="EW397" t="str" cm="1">
        <f t="array" aca="1" ref="EW397" ca="1">INDIRECT("'5借入一覧'!"&amp;ET397&amp;EV397)&amp;INDIRECT("'5借入一覧'!"&amp;EU397&amp;EV397)</f>
        <v/>
      </c>
      <c r="EX397">
        <v>1</v>
      </c>
      <c r="FK397" t="str">
        <f t="shared" si="78"/>
        <v/>
      </c>
    </row>
    <row r="398" spans="149:167">
      <c r="ES398">
        <v>391</v>
      </c>
      <c r="ET398" t="s">
        <v>270</v>
      </c>
      <c r="EU398" t="s">
        <v>271</v>
      </c>
      <c r="EV398">
        <v>392</v>
      </c>
      <c r="EW398" t="str" cm="1">
        <f t="array" aca="1" ref="EW398" ca="1">INDIRECT("'5借入一覧'!"&amp;ET398&amp;EV398)&amp;INDIRECT("'5借入一覧'!"&amp;EU398&amp;EV398)</f>
        <v/>
      </c>
      <c r="EX398">
        <v>1</v>
      </c>
      <c r="FK398" t="str">
        <f t="shared" si="78"/>
        <v/>
      </c>
    </row>
    <row r="399" spans="149:167">
      <c r="ES399">
        <v>392</v>
      </c>
      <c r="ET399" t="s">
        <v>270</v>
      </c>
      <c r="EU399" t="s">
        <v>271</v>
      </c>
      <c r="EV399">
        <v>393</v>
      </c>
      <c r="EW399" t="str" cm="1">
        <f t="array" aca="1" ref="EW399" ca="1">INDIRECT("'5借入一覧'!"&amp;ET399&amp;EV399)&amp;INDIRECT("'5借入一覧'!"&amp;EU399&amp;EV399)</f>
        <v/>
      </c>
      <c r="EX399">
        <v>1</v>
      </c>
      <c r="FK399" t="str">
        <f t="shared" si="78"/>
        <v/>
      </c>
    </row>
    <row r="400" spans="149:167">
      <c r="ES400">
        <v>393</v>
      </c>
      <c r="ET400" t="s">
        <v>270</v>
      </c>
      <c r="EU400" t="s">
        <v>271</v>
      </c>
      <c r="EV400">
        <v>394</v>
      </c>
      <c r="EW400" t="str" cm="1">
        <f t="array" aca="1" ref="EW400" ca="1">INDIRECT("'5借入一覧'!"&amp;ET400&amp;EV400)&amp;INDIRECT("'5借入一覧'!"&amp;EU400&amp;EV400)</f>
        <v/>
      </c>
      <c r="EX400">
        <v>1</v>
      </c>
      <c r="FK400" t="str">
        <f t="shared" si="78"/>
        <v/>
      </c>
    </row>
    <row r="401" spans="149:167">
      <c r="ES401">
        <v>394</v>
      </c>
      <c r="ET401" t="s">
        <v>270</v>
      </c>
      <c r="EU401" t="s">
        <v>271</v>
      </c>
      <c r="EV401">
        <v>395</v>
      </c>
      <c r="EW401" t="str" cm="1">
        <f t="array" aca="1" ref="EW401" ca="1">INDIRECT("'5借入一覧'!"&amp;ET401&amp;EV401)&amp;INDIRECT("'5借入一覧'!"&amp;EU401&amp;EV401)</f>
        <v/>
      </c>
      <c r="EX401">
        <v>1</v>
      </c>
      <c r="FK401" t="str">
        <f t="shared" si="78"/>
        <v/>
      </c>
    </row>
    <row r="402" spans="149:167">
      <c r="ES402">
        <v>395</v>
      </c>
      <c r="ET402" t="s">
        <v>270</v>
      </c>
      <c r="EU402" t="s">
        <v>271</v>
      </c>
      <c r="EV402">
        <v>396</v>
      </c>
      <c r="EW402" t="str" cm="1">
        <f t="array" aca="1" ref="EW402" ca="1">INDIRECT("'5借入一覧'!"&amp;ET402&amp;EV402)&amp;INDIRECT("'5借入一覧'!"&amp;EU402&amp;EV402)</f>
        <v/>
      </c>
      <c r="EX402">
        <v>1</v>
      </c>
      <c r="FK402" t="str">
        <f t="shared" si="78"/>
        <v/>
      </c>
    </row>
    <row r="403" spans="149:167">
      <c r="ES403">
        <v>396</v>
      </c>
      <c r="ET403" t="s">
        <v>270</v>
      </c>
      <c r="EU403" t="s">
        <v>271</v>
      </c>
      <c r="EV403">
        <v>397</v>
      </c>
      <c r="EW403" t="str" cm="1">
        <f t="array" aca="1" ref="EW403" ca="1">INDIRECT("'5借入一覧'!"&amp;ET403&amp;EV403)&amp;INDIRECT("'5借入一覧'!"&amp;EU403&amp;EV403)</f>
        <v/>
      </c>
      <c r="EX403">
        <v>1</v>
      </c>
      <c r="FK403" t="str">
        <f t="shared" si="78"/>
        <v/>
      </c>
    </row>
    <row r="404" spans="149:167">
      <c r="ES404">
        <v>397</v>
      </c>
      <c r="ET404" t="s">
        <v>270</v>
      </c>
      <c r="EU404" t="s">
        <v>271</v>
      </c>
      <c r="EV404">
        <v>398</v>
      </c>
      <c r="EW404" t="str" cm="1">
        <f t="array" aca="1" ref="EW404" ca="1">INDIRECT("'5借入一覧'!"&amp;ET404&amp;EV404)&amp;INDIRECT("'5借入一覧'!"&amp;EU404&amp;EV404)</f>
        <v/>
      </c>
      <c r="EX404">
        <v>1</v>
      </c>
      <c r="FK404" t="str">
        <f t="shared" si="78"/>
        <v/>
      </c>
    </row>
    <row r="405" spans="149:167">
      <c r="ES405">
        <v>398</v>
      </c>
      <c r="ET405" t="s">
        <v>270</v>
      </c>
      <c r="EU405" t="s">
        <v>271</v>
      </c>
      <c r="EV405">
        <v>399</v>
      </c>
      <c r="EW405" t="str" cm="1">
        <f t="array" aca="1" ref="EW405" ca="1">INDIRECT("'5借入一覧'!"&amp;ET405&amp;EV405)&amp;INDIRECT("'5借入一覧'!"&amp;EU405&amp;EV405)</f>
        <v/>
      </c>
      <c r="EX405">
        <v>1</v>
      </c>
      <c r="FK405" t="str">
        <f t="shared" si="78"/>
        <v/>
      </c>
    </row>
    <row r="406" spans="149:167">
      <c r="ES406">
        <v>399</v>
      </c>
      <c r="ET406" t="s">
        <v>270</v>
      </c>
      <c r="EU406" t="s">
        <v>271</v>
      </c>
      <c r="EV406">
        <v>400</v>
      </c>
      <c r="EW406" t="str" cm="1">
        <f t="array" aca="1" ref="EW406" ca="1">INDIRECT("'5借入一覧'!"&amp;ET406&amp;EV406)&amp;INDIRECT("'5借入一覧'!"&amp;EU406&amp;EV406)</f>
        <v/>
      </c>
      <c r="EX406">
        <v>1</v>
      </c>
      <c r="FK406" t="str">
        <f t="shared" si="78"/>
        <v/>
      </c>
    </row>
    <row r="407" spans="149:167">
      <c r="ES407">
        <v>400</v>
      </c>
      <c r="ET407" t="s">
        <v>270</v>
      </c>
      <c r="EU407" t="s">
        <v>271</v>
      </c>
      <c r="EV407">
        <v>401</v>
      </c>
      <c r="EW407" t="str" cm="1">
        <f t="array" aca="1" ref="EW407" ca="1">INDIRECT("'5借入一覧'!"&amp;ET407&amp;EV407)&amp;INDIRECT("'5借入一覧'!"&amp;EU407&amp;EV407)</f>
        <v/>
      </c>
      <c r="EX407">
        <v>1</v>
      </c>
      <c r="FK407" t="str">
        <f t="shared" si="78"/>
        <v/>
      </c>
    </row>
    <row r="408" spans="149:167">
      <c r="ES408">
        <v>401</v>
      </c>
      <c r="ET408" t="s">
        <v>270</v>
      </c>
      <c r="EU408" t="s">
        <v>271</v>
      </c>
      <c r="EV408">
        <v>402</v>
      </c>
      <c r="EW408" t="str" cm="1">
        <f t="array" aca="1" ref="EW408" ca="1">INDIRECT("'5借入一覧'!"&amp;ET408&amp;EV408)&amp;INDIRECT("'5借入一覧'!"&amp;EU408&amp;EV408)</f>
        <v/>
      </c>
      <c r="EX408">
        <v>1</v>
      </c>
      <c r="FK408" t="str">
        <f t="shared" si="78"/>
        <v/>
      </c>
    </row>
    <row r="409" spans="149:167">
      <c r="ES409">
        <v>402</v>
      </c>
      <c r="ET409" t="s">
        <v>270</v>
      </c>
      <c r="EU409" t="s">
        <v>271</v>
      </c>
      <c r="EV409">
        <v>403</v>
      </c>
      <c r="EW409" t="str" cm="1">
        <f t="array" aca="1" ref="EW409" ca="1">INDIRECT("'5借入一覧'!"&amp;ET409&amp;EV409)&amp;INDIRECT("'5借入一覧'!"&amp;EU409&amp;EV409)</f>
        <v/>
      </c>
      <c r="EX409">
        <v>1</v>
      </c>
      <c r="FK409" t="str">
        <f t="shared" si="78"/>
        <v/>
      </c>
    </row>
    <row r="410" spans="149:167">
      <c r="ES410">
        <v>403</v>
      </c>
      <c r="ET410" t="s">
        <v>270</v>
      </c>
      <c r="EU410" t="s">
        <v>271</v>
      </c>
      <c r="EV410">
        <v>404</v>
      </c>
      <c r="EW410" t="str" cm="1">
        <f t="array" aca="1" ref="EW410" ca="1">INDIRECT("'5借入一覧'!"&amp;ET410&amp;EV410)&amp;INDIRECT("'5借入一覧'!"&amp;EU410&amp;EV410)</f>
        <v/>
      </c>
      <c r="EX410">
        <v>1</v>
      </c>
      <c r="FK410" t="str">
        <f t="shared" si="78"/>
        <v/>
      </c>
    </row>
    <row r="411" spans="149:167">
      <c r="ES411">
        <v>404</v>
      </c>
      <c r="ET411" t="s">
        <v>270</v>
      </c>
      <c r="EU411" t="s">
        <v>271</v>
      </c>
      <c r="EV411">
        <v>405</v>
      </c>
      <c r="EW411" t="str" cm="1">
        <f t="array" aca="1" ref="EW411" ca="1">INDIRECT("'5借入一覧'!"&amp;ET411&amp;EV411)&amp;INDIRECT("'5借入一覧'!"&amp;EU411&amp;EV411)</f>
        <v/>
      </c>
      <c r="EX411">
        <v>1</v>
      </c>
      <c r="FK411" t="str">
        <f t="shared" si="78"/>
        <v/>
      </c>
    </row>
    <row r="412" spans="149:167">
      <c r="ES412">
        <v>405</v>
      </c>
      <c r="ET412" t="s">
        <v>270</v>
      </c>
      <c r="EU412" t="s">
        <v>271</v>
      </c>
      <c r="EV412">
        <v>406</v>
      </c>
      <c r="EW412" t="str" cm="1">
        <f t="array" aca="1" ref="EW412" ca="1">INDIRECT("'5借入一覧'!"&amp;ET412&amp;EV412)&amp;INDIRECT("'5借入一覧'!"&amp;EU412&amp;EV412)</f>
        <v/>
      </c>
      <c r="EX412">
        <v>1</v>
      </c>
      <c r="FK412" t="str">
        <f t="shared" si="78"/>
        <v/>
      </c>
    </row>
    <row r="413" spans="149:167">
      <c r="ES413">
        <v>406</v>
      </c>
      <c r="ET413" t="s">
        <v>270</v>
      </c>
      <c r="EU413" t="s">
        <v>271</v>
      </c>
      <c r="EV413">
        <v>407</v>
      </c>
      <c r="EW413" t="str" cm="1">
        <f t="array" aca="1" ref="EW413" ca="1">INDIRECT("'5借入一覧'!"&amp;ET413&amp;EV413)&amp;INDIRECT("'5借入一覧'!"&amp;EU413&amp;EV413)</f>
        <v/>
      </c>
      <c r="EX413">
        <v>1</v>
      </c>
      <c r="FK413" t="str">
        <f t="shared" si="78"/>
        <v/>
      </c>
    </row>
    <row r="414" spans="149:167">
      <c r="ES414">
        <v>407</v>
      </c>
      <c r="ET414" t="s">
        <v>270</v>
      </c>
      <c r="EU414" t="s">
        <v>271</v>
      </c>
      <c r="EV414">
        <v>408</v>
      </c>
      <c r="EW414" t="str" cm="1">
        <f t="array" aca="1" ref="EW414" ca="1">INDIRECT("'5借入一覧'!"&amp;ET414&amp;EV414)&amp;INDIRECT("'5借入一覧'!"&amp;EU414&amp;EV414)</f>
        <v/>
      </c>
      <c r="EX414">
        <v>1</v>
      </c>
      <c r="FK414" t="str">
        <f t="shared" si="78"/>
        <v/>
      </c>
    </row>
    <row r="415" spans="149:167">
      <c r="ES415">
        <v>408</v>
      </c>
      <c r="ET415" t="s">
        <v>270</v>
      </c>
      <c r="EU415" t="s">
        <v>271</v>
      </c>
      <c r="EV415">
        <v>409</v>
      </c>
      <c r="EW415" t="str" cm="1">
        <f t="array" aca="1" ref="EW415" ca="1">INDIRECT("'5借入一覧'!"&amp;ET415&amp;EV415)&amp;INDIRECT("'5借入一覧'!"&amp;EU415&amp;EV415)</f>
        <v/>
      </c>
      <c r="EX415">
        <v>1</v>
      </c>
      <c r="FK415" t="str">
        <f t="shared" si="78"/>
        <v/>
      </c>
    </row>
    <row r="416" spans="149:167">
      <c r="ES416">
        <v>409</v>
      </c>
      <c r="ET416" t="s">
        <v>270</v>
      </c>
      <c r="EU416" t="s">
        <v>271</v>
      </c>
      <c r="EV416">
        <v>410</v>
      </c>
      <c r="EW416" t="str" cm="1">
        <f t="array" aca="1" ref="EW416" ca="1">INDIRECT("'5借入一覧'!"&amp;ET416&amp;EV416)&amp;INDIRECT("'5借入一覧'!"&amp;EU416&amp;EV416)</f>
        <v/>
      </c>
      <c r="EX416">
        <v>1</v>
      </c>
      <c r="FK416" t="str">
        <f t="shared" si="78"/>
        <v/>
      </c>
    </row>
    <row r="417" spans="149:167">
      <c r="ES417">
        <v>410</v>
      </c>
      <c r="ET417" t="s">
        <v>270</v>
      </c>
      <c r="EU417" t="s">
        <v>271</v>
      </c>
      <c r="EV417">
        <v>411</v>
      </c>
      <c r="EW417" t="str" cm="1">
        <f t="array" aca="1" ref="EW417" ca="1">INDIRECT("'5借入一覧'!"&amp;ET417&amp;EV417)&amp;INDIRECT("'5借入一覧'!"&amp;EU417&amp;EV417)</f>
        <v/>
      </c>
      <c r="EX417">
        <v>1</v>
      </c>
      <c r="FK417" t="str">
        <f t="shared" si="78"/>
        <v/>
      </c>
    </row>
    <row r="418" spans="149:167">
      <c r="ES418">
        <v>411</v>
      </c>
      <c r="ET418" t="s">
        <v>270</v>
      </c>
      <c r="EU418" t="s">
        <v>271</v>
      </c>
      <c r="EV418">
        <v>412</v>
      </c>
      <c r="EW418" t="str" cm="1">
        <f t="array" aca="1" ref="EW418" ca="1">INDIRECT("'5借入一覧'!"&amp;ET418&amp;EV418)&amp;INDIRECT("'5借入一覧'!"&amp;EU418&amp;EV418)</f>
        <v/>
      </c>
      <c r="EX418">
        <v>1</v>
      </c>
      <c r="FK418" t="str">
        <f t="shared" si="78"/>
        <v/>
      </c>
    </row>
    <row r="419" spans="149:167">
      <c r="ES419">
        <v>412</v>
      </c>
      <c r="ET419" t="s">
        <v>270</v>
      </c>
      <c r="EU419" t="s">
        <v>271</v>
      </c>
      <c r="EV419">
        <v>413</v>
      </c>
      <c r="EW419" t="str" cm="1">
        <f t="array" aca="1" ref="EW419" ca="1">INDIRECT("'5借入一覧'!"&amp;ET419&amp;EV419)&amp;INDIRECT("'5借入一覧'!"&amp;EU419&amp;EV419)</f>
        <v/>
      </c>
      <c r="EX419">
        <v>1</v>
      </c>
      <c r="FK419" t="str">
        <f t="shared" si="78"/>
        <v/>
      </c>
    </row>
    <row r="420" spans="149:167">
      <c r="ES420">
        <v>413</v>
      </c>
      <c r="ET420" t="s">
        <v>270</v>
      </c>
      <c r="EU420" t="s">
        <v>271</v>
      </c>
      <c r="EV420">
        <v>414</v>
      </c>
      <c r="EW420" t="str" cm="1">
        <f t="array" aca="1" ref="EW420" ca="1">INDIRECT("'5借入一覧'!"&amp;ET420&amp;EV420)&amp;INDIRECT("'5借入一覧'!"&amp;EU420&amp;EV420)</f>
        <v/>
      </c>
      <c r="EX420">
        <v>1</v>
      </c>
      <c r="FK420" t="str">
        <f t="shared" si="78"/>
        <v/>
      </c>
    </row>
    <row r="421" spans="149:167">
      <c r="ES421">
        <v>414</v>
      </c>
      <c r="ET421" t="s">
        <v>270</v>
      </c>
      <c r="EU421" t="s">
        <v>271</v>
      </c>
      <c r="EV421">
        <v>415</v>
      </c>
      <c r="EW421" t="str" cm="1">
        <f t="array" aca="1" ref="EW421" ca="1">INDIRECT("'5借入一覧'!"&amp;ET421&amp;EV421)&amp;INDIRECT("'5借入一覧'!"&amp;EU421&amp;EV421)</f>
        <v/>
      </c>
      <c r="EX421">
        <v>1</v>
      </c>
      <c r="FK421" t="str">
        <f t="shared" si="78"/>
        <v/>
      </c>
    </row>
    <row r="422" spans="149:167">
      <c r="ES422">
        <v>415</v>
      </c>
      <c r="ET422" t="s">
        <v>270</v>
      </c>
      <c r="EU422" t="s">
        <v>271</v>
      </c>
      <c r="EV422">
        <v>416</v>
      </c>
      <c r="EW422" t="str" cm="1">
        <f t="array" aca="1" ref="EW422" ca="1">INDIRECT("'5借入一覧'!"&amp;ET422&amp;EV422)&amp;INDIRECT("'5借入一覧'!"&amp;EU422&amp;EV422)</f>
        <v/>
      </c>
      <c r="EX422">
        <v>1</v>
      </c>
      <c r="FK422" t="str">
        <f t="shared" si="78"/>
        <v/>
      </c>
    </row>
    <row r="423" spans="149:167">
      <c r="ES423">
        <v>416</v>
      </c>
      <c r="ET423" t="s">
        <v>270</v>
      </c>
      <c r="EU423" t="s">
        <v>271</v>
      </c>
      <c r="EV423">
        <v>417</v>
      </c>
      <c r="EW423" t="str" cm="1">
        <f t="array" aca="1" ref="EW423" ca="1">INDIRECT("'5借入一覧'!"&amp;ET423&amp;EV423)&amp;INDIRECT("'5借入一覧'!"&amp;EU423&amp;EV423)</f>
        <v/>
      </c>
      <c r="EX423">
        <v>1</v>
      </c>
      <c r="FK423" t="str">
        <f t="shared" si="78"/>
        <v/>
      </c>
    </row>
    <row r="424" spans="149:167">
      <c r="ES424">
        <v>417</v>
      </c>
      <c r="ET424" t="s">
        <v>270</v>
      </c>
      <c r="EU424" t="s">
        <v>271</v>
      </c>
      <c r="EV424">
        <v>418</v>
      </c>
      <c r="EW424" t="str" cm="1">
        <f t="array" aca="1" ref="EW424" ca="1">INDIRECT("'5借入一覧'!"&amp;ET424&amp;EV424)&amp;INDIRECT("'5借入一覧'!"&amp;EU424&amp;EV424)</f>
        <v/>
      </c>
      <c r="EX424">
        <v>1</v>
      </c>
      <c r="FK424" t="str">
        <f t="shared" si="78"/>
        <v/>
      </c>
    </row>
    <row r="425" spans="149:167">
      <c r="ES425">
        <v>418</v>
      </c>
      <c r="ET425" t="s">
        <v>270</v>
      </c>
      <c r="EU425" t="s">
        <v>271</v>
      </c>
      <c r="EV425">
        <v>419</v>
      </c>
      <c r="EW425" t="str" cm="1">
        <f t="array" aca="1" ref="EW425" ca="1">INDIRECT("'5借入一覧'!"&amp;ET425&amp;EV425)&amp;INDIRECT("'5借入一覧'!"&amp;EU425&amp;EV425)</f>
        <v/>
      </c>
      <c r="EX425">
        <v>1</v>
      </c>
      <c r="FK425" t="str">
        <f t="shared" si="78"/>
        <v/>
      </c>
    </row>
    <row r="426" spans="149:167">
      <c r="ES426">
        <v>419</v>
      </c>
      <c r="ET426" t="s">
        <v>270</v>
      </c>
      <c r="EU426" t="s">
        <v>271</v>
      </c>
      <c r="EV426">
        <v>420</v>
      </c>
      <c r="EW426" t="str" cm="1">
        <f t="array" aca="1" ref="EW426" ca="1">INDIRECT("'5借入一覧'!"&amp;ET426&amp;EV426)&amp;INDIRECT("'5借入一覧'!"&amp;EU426&amp;EV426)</f>
        <v/>
      </c>
      <c r="EX426">
        <v>1</v>
      </c>
      <c r="FK426" t="str">
        <f t="shared" si="78"/>
        <v/>
      </c>
    </row>
    <row r="427" spans="149:167">
      <c r="ES427">
        <v>420</v>
      </c>
      <c r="ET427" t="s">
        <v>270</v>
      </c>
      <c r="EU427" t="s">
        <v>271</v>
      </c>
      <c r="EV427">
        <v>421</v>
      </c>
      <c r="EW427" t="str" cm="1">
        <f t="array" aca="1" ref="EW427" ca="1">INDIRECT("'5借入一覧'!"&amp;ET427&amp;EV427)&amp;INDIRECT("'5借入一覧'!"&amp;EU427&amp;EV427)</f>
        <v/>
      </c>
      <c r="EX427">
        <v>1</v>
      </c>
      <c r="FK427" t="str">
        <f t="shared" si="78"/>
        <v/>
      </c>
    </row>
    <row r="428" spans="149:167">
      <c r="ES428">
        <v>421</v>
      </c>
      <c r="ET428" t="s">
        <v>270</v>
      </c>
      <c r="EU428" t="s">
        <v>271</v>
      </c>
      <c r="EV428">
        <v>422</v>
      </c>
      <c r="EW428" t="str" cm="1">
        <f t="array" aca="1" ref="EW428" ca="1">INDIRECT("'5借入一覧'!"&amp;ET428&amp;EV428)&amp;INDIRECT("'5借入一覧'!"&amp;EU428&amp;EV428)</f>
        <v/>
      </c>
      <c r="EX428">
        <v>1</v>
      </c>
      <c r="FK428" t="str">
        <f t="shared" si="78"/>
        <v/>
      </c>
    </row>
    <row r="429" spans="149:167">
      <c r="ES429">
        <v>422</v>
      </c>
      <c r="ET429" t="s">
        <v>270</v>
      </c>
      <c r="EU429" t="s">
        <v>271</v>
      </c>
      <c r="EV429">
        <v>423</v>
      </c>
      <c r="EW429" t="str" cm="1">
        <f t="array" aca="1" ref="EW429" ca="1">INDIRECT("'5借入一覧'!"&amp;ET429&amp;EV429)&amp;INDIRECT("'5借入一覧'!"&amp;EU429&amp;EV429)</f>
        <v/>
      </c>
      <c r="EX429">
        <v>1</v>
      </c>
      <c r="FK429" t="str">
        <f t="shared" si="78"/>
        <v/>
      </c>
    </row>
    <row r="430" spans="149:167">
      <c r="ES430">
        <v>423</v>
      </c>
      <c r="ET430" t="s">
        <v>270</v>
      </c>
      <c r="EU430" t="s">
        <v>271</v>
      </c>
      <c r="EV430">
        <v>424</v>
      </c>
      <c r="EW430" t="str" cm="1">
        <f t="array" aca="1" ref="EW430" ca="1">INDIRECT("'5借入一覧'!"&amp;ET430&amp;EV430)&amp;INDIRECT("'5借入一覧'!"&amp;EU430&amp;EV430)</f>
        <v/>
      </c>
      <c r="EX430">
        <v>1</v>
      </c>
      <c r="FK430" t="str">
        <f t="shared" si="78"/>
        <v/>
      </c>
    </row>
    <row r="431" spans="149:167">
      <c r="ES431">
        <v>424</v>
      </c>
      <c r="ET431" t="s">
        <v>270</v>
      </c>
      <c r="EU431" t="s">
        <v>271</v>
      </c>
      <c r="EV431">
        <v>425</v>
      </c>
      <c r="EW431" t="str" cm="1">
        <f t="array" aca="1" ref="EW431" ca="1">INDIRECT("'5借入一覧'!"&amp;ET431&amp;EV431)&amp;INDIRECT("'5借入一覧'!"&amp;EU431&amp;EV431)</f>
        <v/>
      </c>
      <c r="EX431">
        <v>1</v>
      </c>
      <c r="FK431" t="str">
        <f t="shared" si="78"/>
        <v/>
      </c>
    </row>
    <row r="432" spans="149:167">
      <c r="ES432">
        <v>425</v>
      </c>
      <c r="ET432" t="s">
        <v>270</v>
      </c>
      <c r="EU432" t="s">
        <v>271</v>
      </c>
      <c r="EV432">
        <v>426</v>
      </c>
      <c r="EW432" t="str" cm="1">
        <f t="array" aca="1" ref="EW432" ca="1">INDIRECT("'5借入一覧'!"&amp;ET432&amp;EV432)&amp;INDIRECT("'5借入一覧'!"&amp;EU432&amp;EV432)</f>
        <v/>
      </c>
      <c r="EX432">
        <v>1</v>
      </c>
      <c r="FK432" t="str">
        <f t="shared" si="78"/>
        <v/>
      </c>
    </row>
    <row r="433" spans="149:167">
      <c r="ES433">
        <v>426</v>
      </c>
      <c r="ET433" t="s">
        <v>270</v>
      </c>
      <c r="EU433" t="s">
        <v>271</v>
      </c>
      <c r="EV433">
        <v>427</v>
      </c>
      <c r="EW433" t="str" cm="1">
        <f t="array" aca="1" ref="EW433" ca="1">INDIRECT("'5借入一覧'!"&amp;ET433&amp;EV433)&amp;INDIRECT("'5借入一覧'!"&amp;EU433&amp;EV433)</f>
        <v/>
      </c>
      <c r="EX433">
        <v>1</v>
      </c>
      <c r="FK433" t="str">
        <f t="shared" si="78"/>
        <v/>
      </c>
    </row>
    <row r="434" spans="149:167">
      <c r="ES434">
        <v>427</v>
      </c>
      <c r="ET434" t="s">
        <v>270</v>
      </c>
      <c r="EU434" t="s">
        <v>271</v>
      </c>
      <c r="EV434">
        <v>428</v>
      </c>
      <c r="EW434" t="str" cm="1">
        <f t="array" aca="1" ref="EW434" ca="1">INDIRECT("'5借入一覧'!"&amp;ET434&amp;EV434)&amp;INDIRECT("'5借入一覧'!"&amp;EU434&amp;EV434)</f>
        <v/>
      </c>
      <c r="EX434">
        <v>1</v>
      </c>
      <c r="FK434" t="str">
        <f t="shared" si="78"/>
        <v/>
      </c>
    </row>
    <row r="435" spans="149:167">
      <c r="ES435">
        <v>428</v>
      </c>
      <c r="ET435" t="s">
        <v>270</v>
      </c>
      <c r="EU435" t="s">
        <v>271</v>
      </c>
      <c r="EV435">
        <v>429</v>
      </c>
      <c r="EW435" t="str" cm="1">
        <f t="array" aca="1" ref="EW435" ca="1">INDIRECT("'5借入一覧'!"&amp;ET435&amp;EV435)&amp;INDIRECT("'5借入一覧'!"&amp;EU435&amp;EV435)</f>
        <v/>
      </c>
      <c r="EX435">
        <v>1</v>
      </c>
      <c r="FK435" t="str">
        <f t="shared" si="78"/>
        <v/>
      </c>
    </row>
    <row r="436" spans="149:167">
      <c r="ES436">
        <v>429</v>
      </c>
      <c r="ET436" t="s">
        <v>270</v>
      </c>
      <c r="EU436" t="s">
        <v>271</v>
      </c>
      <c r="EV436">
        <v>430</v>
      </c>
      <c r="EW436" t="str" cm="1">
        <f t="array" aca="1" ref="EW436" ca="1">INDIRECT("'5借入一覧'!"&amp;ET436&amp;EV436)&amp;INDIRECT("'5借入一覧'!"&amp;EU436&amp;EV436)</f>
        <v/>
      </c>
      <c r="EX436">
        <v>1</v>
      </c>
      <c r="FK436" t="str">
        <f t="shared" si="78"/>
        <v/>
      </c>
    </row>
    <row r="437" spans="149:167">
      <c r="ES437">
        <v>430</v>
      </c>
      <c r="ET437" t="s">
        <v>270</v>
      </c>
      <c r="EU437" t="s">
        <v>271</v>
      </c>
      <c r="EV437">
        <v>431</v>
      </c>
      <c r="EW437" t="str" cm="1">
        <f t="array" aca="1" ref="EW437" ca="1">INDIRECT("'5借入一覧'!"&amp;ET437&amp;EV437)&amp;INDIRECT("'5借入一覧'!"&amp;EU437&amp;EV437)</f>
        <v/>
      </c>
      <c r="EX437">
        <v>1</v>
      </c>
      <c r="FK437" t="str">
        <f t="shared" si="78"/>
        <v/>
      </c>
    </row>
    <row r="438" spans="149:167">
      <c r="ES438">
        <v>431</v>
      </c>
      <c r="ET438" t="s">
        <v>270</v>
      </c>
      <c r="EU438" t="s">
        <v>271</v>
      </c>
      <c r="EV438">
        <v>432</v>
      </c>
      <c r="EW438" t="str" cm="1">
        <f t="array" aca="1" ref="EW438" ca="1">INDIRECT("'5借入一覧'!"&amp;ET438&amp;EV438)&amp;INDIRECT("'5借入一覧'!"&amp;EU438&amp;EV438)</f>
        <v/>
      </c>
      <c r="EX438">
        <v>1</v>
      </c>
      <c r="FK438" t="str">
        <f t="shared" si="78"/>
        <v/>
      </c>
    </row>
    <row r="439" spans="149:167">
      <c r="ES439">
        <v>432</v>
      </c>
      <c r="ET439" t="s">
        <v>270</v>
      </c>
      <c r="EU439" t="s">
        <v>271</v>
      </c>
      <c r="EV439">
        <v>433</v>
      </c>
      <c r="EW439" t="str" cm="1">
        <f t="array" aca="1" ref="EW439" ca="1">INDIRECT("'5借入一覧'!"&amp;ET439&amp;EV439)&amp;INDIRECT("'5借入一覧'!"&amp;EU439&amp;EV439)</f>
        <v/>
      </c>
      <c r="EX439">
        <v>1</v>
      </c>
      <c r="FK439" t="str">
        <f t="shared" si="78"/>
        <v/>
      </c>
    </row>
    <row r="440" spans="149:167">
      <c r="ES440">
        <v>433</v>
      </c>
      <c r="ET440" t="s">
        <v>270</v>
      </c>
      <c r="EU440" t="s">
        <v>271</v>
      </c>
      <c r="EV440">
        <v>434</v>
      </c>
      <c r="EW440" t="str" cm="1">
        <f t="array" aca="1" ref="EW440" ca="1">INDIRECT("'5借入一覧'!"&amp;ET440&amp;EV440)&amp;INDIRECT("'5借入一覧'!"&amp;EU440&amp;EV440)</f>
        <v/>
      </c>
      <c r="EX440">
        <v>1</v>
      </c>
      <c r="FK440" t="str">
        <f t="shared" si="78"/>
        <v/>
      </c>
    </row>
    <row r="441" spans="149:167">
      <c r="ES441">
        <v>434</v>
      </c>
      <c r="ET441" t="s">
        <v>270</v>
      </c>
      <c r="EU441" t="s">
        <v>271</v>
      </c>
      <c r="EV441">
        <v>435</v>
      </c>
      <c r="EW441" t="str" cm="1">
        <f t="array" aca="1" ref="EW441" ca="1">INDIRECT("'5借入一覧'!"&amp;ET441&amp;EV441)&amp;INDIRECT("'5借入一覧'!"&amp;EU441&amp;EV441)</f>
        <v/>
      </c>
      <c r="EX441">
        <v>1</v>
      </c>
      <c r="FK441" t="str">
        <f t="shared" si="78"/>
        <v/>
      </c>
    </row>
    <row r="442" spans="149:167">
      <c r="ES442">
        <v>435</v>
      </c>
      <c r="ET442" t="s">
        <v>270</v>
      </c>
      <c r="EU442" t="s">
        <v>271</v>
      </c>
      <c r="EV442">
        <v>436</v>
      </c>
      <c r="EW442" t="str" cm="1">
        <f t="array" aca="1" ref="EW442" ca="1">INDIRECT("'5借入一覧'!"&amp;ET442&amp;EV442)&amp;INDIRECT("'5借入一覧'!"&amp;EU442&amp;EV442)</f>
        <v/>
      </c>
      <c r="EX442">
        <v>1</v>
      </c>
      <c r="FK442" t="str">
        <f t="shared" si="78"/>
        <v/>
      </c>
    </row>
    <row r="443" spans="149:167">
      <c r="ES443">
        <v>436</v>
      </c>
      <c r="ET443" t="s">
        <v>270</v>
      </c>
      <c r="EU443" t="s">
        <v>271</v>
      </c>
      <c r="EV443">
        <v>437</v>
      </c>
      <c r="EW443" t="str" cm="1">
        <f t="array" aca="1" ref="EW443" ca="1">INDIRECT("'5借入一覧'!"&amp;ET443&amp;EV443)&amp;INDIRECT("'5借入一覧'!"&amp;EU443&amp;EV443)</f>
        <v/>
      </c>
      <c r="EX443">
        <v>1</v>
      </c>
      <c r="FK443" t="str">
        <f t="shared" si="78"/>
        <v/>
      </c>
    </row>
    <row r="444" spans="149:167">
      <c r="ES444">
        <v>437</v>
      </c>
      <c r="ET444" t="s">
        <v>270</v>
      </c>
      <c r="EU444" t="s">
        <v>271</v>
      </c>
      <c r="EV444">
        <v>438</v>
      </c>
      <c r="EW444" t="str" cm="1">
        <f t="array" aca="1" ref="EW444" ca="1">INDIRECT("'5借入一覧'!"&amp;ET444&amp;EV444)&amp;INDIRECT("'5借入一覧'!"&amp;EU444&amp;EV444)</f>
        <v/>
      </c>
      <c r="EX444">
        <v>1</v>
      </c>
      <c r="FK444" t="str">
        <f t="shared" si="78"/>
        <v/>
      </c>
    </row>
    <row r="445" spans="149:167">
      <c r="ES445">
        <v>438</v>
      </c>
      <c r="ET445" t="s">
        <v>270</v>
      </c>
      <c r="EU445" t="s">
        <v>271</v>
      </c>
      <c r="EV445">
        <v>439</v>
      </c>
      <c r="EW445" t="str" cm="1">
        <f t="array" aca="1" ref="EW445" ca="1">INDIRECT("'5借入一覧'!"&amp;ET445&amp;EV445)&amp;INDIRECT("'5借入一覧'!"&amp;EU445&amp;EV445)</f>
        <v/>
      </c>
      <c r="EX445">
        <v>1</v>
      </c>
      <c r="FK445" t="str">
        <f t="shared" si="78"/>
        <v/>
      </c>
    </row>
    <row r="446" spans="149:167">
      <c r="ES446">
        <v>439</v>
      </c>
      <c r="ET446" t="s">
        <v>270</v>
      </c>
      <c r="EU446" t="s">
        <v>271</v>
      </c>
      <c r="EV446">
        <v>440</v>
      </c>
      <c r="EW446" t="str" cm="1">
        <f t="array" aca="1" ref="EW446" ca="1">INDIRECT("'5借入一覧'!"&amp;ET446&amp;EV446)&amp;INDIRECT("'5借入一覧'!"&amp;EU446&amp;EV446)</f>
        <v/>
      </c>
      <c r="EX446">
        <v>1</v>
      </c>
      <c r="FK446" t="str">
        <f t="shared" si="78"/>
        <v/>
      </c>
    </row>
    <row r="447" spans="149:167">
      <c r="ES447">
        <v>440</v>
      </c>
      <c r="ET447" t="s">
        <v>270</v>
      </c>
      <c r="EU447" t="s">
        <v>271</v>
      </c>
      <c r="EV447">
        <v>441</v>
      </c>
      <c r="EW447" t="str" cm="1">
        <f t="array" aca="1" ref="EW447" ca="1">INDIRECT("'5借入一覧'!"&amp;ET447&amp;EV447)&amp;INDIRECT("'5借入一覧'!"&amp;EU447&amp;EV447)</f>
        <v/>
      </c>
      <c r="EX447">
        <v>1</v>
      </c>
      <c r="FK447" t="str">
        <f t="shared" si="78"/>
        <v/>
      </c>
    </row>
    <row r="448" spans="149:167">
      <c r="ES448">
        <v>441</v>
      </c>
      <c r="ET448" t="s">
        <v>270</v>
      </c>
      <c r="EU448" t="s">
        <v>271</v>
      </c>
      <c r="EV448">
        <v>442</v>
      </c>
      <c r="EW448" t="str" cm="1">
        <f t="array" aca="1" ref="EW448" ca="1">INDIRECT("'5借入一覧'!"&amp;ET448&amp;EV448)&amp;INDIRECT("'5借入一覧'!"&amp;EU448&amp;EV448)</f>
        <v/>
      </c>
      <c r="EX448">
        <v>1</v>
      </c>
      <c r="FK448" t="str">
        <f t="shared" si="78"/>
        <v/>
      </c>
    </row>
    <row r="449" spans="149:167">
      <c r="ES449">
        <v>442</v>
      </c>
      <c r="ET449" t="s">
        <v>270</v>
      </c>
      <c r="EU449" t="s">
        <v>271</v>
      </c>
      <c r="EV449">
        <v>443</v>
      </c>
      <c r="EW449" t="str" cm="1">
        <f t="array" aca="1" ref="EW449" ca="1">INDIRECT("'5借入一覧'!"&amp;ET449&amp;EV449)&amp;INDIRECT("'5借入一覧'!"&amp;EU449&amp;EV449)</f>
        <v/>
      </c>
      <c r="EX449">
        <v>1</v>
      </c>
      <c r="FK449" t="str">
        <f t="shared" si="78"/>
        <v/>
      </c>
    </row>
    <row r="450" spans="149:167">
      <c r="ES450">
        <v>443</v>
      </c>
      <c r="ET450" t="s">
        <v>270</v>
      </c>
      <c r="EU450" t="s">
        <v>271</v>
      </c>
      <c r="EV450">
        <v>444</v>
      </c>
      <c r="EW450" t="str" cm="1">
        <f t="array" aca="1" ref="EW450" ca="1">INDIRECT("'5借入一覧'!"&amp;ET450&amp;EV450)&amp;INDIRECT("'5借入一覧'!"&amp;EU450&amp;EV450)</f>
        <v/>
      </c>
      <c r="EX450">
        <v>1</v>
      </c>
      <c r="FK450" t="str">
        <f t="shared" si="78"/>
        <v/>
      </c>
    </row>
    <row r="451" spans="149:167">
      <c r="ES451">
        <v>444</v>
      </c>
      <c r="ET451" t="s">
        <v>270</v>
      </c>
      <c r="EU451" t="s">
        <v>271</v>
      </c>
      <c r="EV451">
        <v>445</v>
      </c>
      <c r="EW451" t="str" cm="1">
        <f t="array" aca="1" ref="EW451" ca="1">INDIRECT("'5借入一覧'!"&amp;ET451&amp;EV451)&amp;INDIRECT("'5借入一覧'!"&amp;EU451&amp;EV451)</f>
        <v/>
      </c>
      <c r="EX451">
        <v>1</v>
      </c>
      <c r="FK451" t="str">
        <f t="shared" si="78"/>
        <v/>
      </c>
    </row>
    <row r="452" spans="149:167">
      <c r="ES452">
        <v>445</v>
      </c>
      <c r="ET452" t="s">
        <v>270</v>
      </c>
      <c r="EU452" t="s">
        <v>271</v>
      </c>
      <c r="EV452">
        <v>446</v>
      </c>
      <c r="EW452" t="str" cm="1">
        <f t="array" aca="1" ref="EW452" ca="1">INDIRECT("'5借入一覧'!"&amp;ET452&amp;EV452)&amp;INDIRECT("'5借入一覧'!"&amp;EU452&amp;EV452)</f>
        <v/>
      </c>
      <c r="EX452">
        <v>1</v>
      </c>
      <c r="FK452" t="str">
        <f t="shared" si="78"/>
        <v/>
      </c>
    </row>
    <row r="453" spans="149:167">
      <c r="ES453">
        <v>446</v>
      </c>
      <c r="ET453" t="s">
        <v>270</v>
      </c>
      <c r="EU453" t="s">
        <v>271</v>
      </c>
      <c r="EV453">
        <v>447</v>
      </c>
      <c r="EW453" t="str" cm="1">
        <f t="array" aca="1" ref="EW453" ca="1">INDIRECT("'5借入一覧'!"&amp;ET453&amp;EV453)&amp;INDIRECT("'5借入一覧'!"&amp;EU453&amp;EV453)</f>
        <v/>
      </c>
      <c r="EX453">
        <v>1</v>
      </c>
      <c r="FK453" t="str">
        <f t="shared" si="78"/>
        <v/>
      </c>
    </row>
    <row r="454" spans="149:167">
      <c r="ES454">
        <v>447</v>
      </c>
      <c r="ET454" t="s">
        <v>270</v>
      </c>
      <c r="EU454" t="s">
        <v>271</v>
      </c>
      <c r="EV454">
        <v>448</v>
      </c>
      <c r="EW454" t="str" cm="1">
        <f t="array" aca="1" ref="EW454" ca="1">INDIRECT("'5借入一覧'!"&amp;ET454&amp;EV454)&amp;INDIRECT("'5借入一覧'!"&amp;EU454&amp;EV454)</f>
        <v/>
      </c>
      <c r="EX454">
        <v>1</v>
      </c>
      <c r="FK454" t="str">
        <f t="shared" si="78"/>
        <v/>
      </c>
    </row>
    <row r="455" spans="149:167">
      <c r="ES455">
        <v>448</v>
      </c>
      <c r="ET455" t="s">
        <v>270</v>
      </c>
      <c r="EU455" t="s">
        <v>271</v>
      </c>
      <c r="EV455">
        <v>449</v>
      </c>
      <c r="EW455" t="str" cm="1">
        <f t="array" aca="1" ref="EW455" ca="1">INDIRECT("'5借入一覧'!"&amp;ET455&amp;EV455)&amp;INDIRECT("'5借入一覧'!"&amp;EU455&amp;EV455)</f>
        <v/>
      </c>
      <c r="EX455">
        <v>1</v>
      </c>
      <c r="FK455" t="str">
        <f t="shared" si="78"/>
        <v/>
      </c>
    </row>
    <row r="456" spans="149:167">
      <c r="ES456">
        <v>449</v>
      </c>
      <c r="ET456" t="s">
        <v>270</v>
      </c>
      <c r="EU456" t="s">
        <v>271</v>
      </c>
      <c r="EV456">
        <v>450</v>
      </c>
      <c r="EW456" t="str" cm="1">
        <f t="array" aca="1" ref="EW456" ca="1">INDIRECT("'5借入一覧'!"&amp;ET456&amp;EV456)&amp;INDIRECT("'5借入一覧'!"&amp;EU456&amp;EV456)</f>
        <v/>
      </c>
      <c r="EX456">
        <v>1</v>
      </c>
      <c r="FK456" t="str">
        <f t="shared" ref="FK456:FK519" si="79">IF(FJ456&lt;&gt;"",LEFT(FJ456,LEN(FJ456)-1),"")</f>
        <v/>
      </c>
    </row>
    <row r="457" spans="149:167">
      <c r="ES457">
        <v>450</v>
      </c>
      <c r="ET457" t="s">
        <v>270</v>
      </c>
      <c r="EU457" t="s">
        <v>271</v>
      </c>
      <c r="EV457">
        <v>451</v>
      </c>
      <c r="EW457" t="str" cm="1">
        <f t="array" aca="1" ref="EW457" ca="1">INDIRECT("'5借入一覧'!"&amp;ET457&amp;EV457)&amp;INDIRECT("'5借入一覧'!"&amp;EU457&amp;EV457)</f>
        <v/>
      </c>
      <c r="EX457">
        <v>1</v>
      </c>
      <c r="FK457" t="str">
        <f t="shared" si="79"/>
        <v/>
      </c>
    </row>
    <row r="458" spans="149:167">
      <c r="ES458">
        <v>451</v>
      </c>
      <c r="ET458" t="s">
        <v>270</v>
      </c>
      <c r="EU458" t="s">
        <v>271</v>
      </c>
      <c r="EV458">
        <v>452</v>
      </c>
      <c r="EW458" t="str" cm="1">
        <f t="array" aca="1" ref="EW458" ca="1">INDIRECT("'5借入一覧'!"&amp;ET458&amp;EV458)&amp;INDIRECT("'5借入一覧'!"&amp;EU458&amp;EV458)</f>
        <v/>
      </c>
      <c r="EX458">
        <v>1</v>
      </c>
      <c r="FK458" t="str">
        <f t="shared" si="79"/>
        <v/>
      </c>
    </row>
    <row r="459" spans="149:167">
      <c r="ES459">
        <v>452</v>
      </c>
      <c r="ET459" t="s">
        <v>270</v>
      </c>
      <c r="EU459" t="s">
        <v>271</v>
      </c>
      <c r="EV459">
        <v>453</v>
      </c>
      <c r="EW459" t="str" cm="1">
        <f t="array" aca="1" ref="EW459" ca="1">INDIRECT("'5借入一覧'!"&amp;ET459&amp;EV459)&amp;INDIRECT("'5借入一覧'!"&amp;EU459&amp;EV459)</f>
        <v/>
      </c>
      <c r="EX459">
        <v>1</v>
      </c>
      <c r="FK459" t="str">
        <f t="shared" si="79"/>
        <v/>
      </c>
    </row>
    <row r="460" spans="149:167">
      <c r="ES460">
        <v>453</v>
      </c>
      <c r="ET460" t="s">
        <v>270</v>
      </c>
      <c r="EU460" t="s">
        <v>271</v>
      </c>
      <c r="EV460">
        <v>454</v>
      </c>
      <c r="EW460" t="str" cm="1">
        <f t="array" aca="1" ref="EW460" ca="1">INDIRECT("'5借入一覧'!"&amp;ET460&amp;EV460)&amp;INDIRECT("'5借入一覧'!"&amp;EU460&amp;EV460)</f>
        <v/>
      </c>
      <c r="EX460">
        <v>1</v>
      </c>
      <c r="FK460" t="str">
        <f t="shared" si="79"/>
        <v/>
      </c>
    </row>
    <row r="461" spans="149:167">
      <c r="ES461">
        <v>454</v>
      </c>
      <c r="ET461" t="s">
        <v>270</v>
      </c>
      <c r="EU461" t="s">
        <v>271</v>
      </c>
      <c r="EV461">
        <v>455</v>
      </c>
      <c r="EW461" t="str" cm="1">
        <f t="array" aca="1" ref="EW461" ca="1">INDIRECT("'5借入一覧'!"&amp;ET461&amp;EV461)&amp;INDIRECT("'5借入一覧'!"&amp;EU461&amp;EV461)</f>
        <v/>
      </c>
      <c r="EX461">
        <v>1</v>
      </c>
      <c r="FK461" t="str">
        <f t="shared" si="79"/>
        <v/>
      </c>
    </row>
    <row r="462" spans="149:167">
      <c r="ES462">
        <v>455</v>
      </c>
      <c r="ET462" t="s">
        <v>270</v>
      </c>
      <c r="EU462" t="s">
        <v>271</v>
      </c>
      <c r="EV462">
        <v>456</v>
      </c>
      <c r="EW462" t="str" cm="1">
        <f t="array" aca="1" ref="EW462" ca="1">INDIRECT("'5借入一覧'!"&amp;ET462&amp;EV462)&amp;INDIRECT("'5借入一覧'!"&amp;EU462&amp;EV462)</f>
        <v/>
      </c>
      <c r="EX462">
        <v>1</v>
      </c>
      <c r="FK462" t="str">
        <f t="shared" si="79"/>
        <v/>
      </c>
    </row>
    <row r="463" spans="149:167">
      <c r="ES463">
        <v>456</v>
      </c>
      <c r="ET463" t="s">
        <v>270</v>
      </c>
      <c r="EU463" t="s">
        <v>271</v>
      </c>
      <c r="EV463">
        <v>457</v>
      </c>
      <c r="EW463" t="str" cm="1">
        <f t="array" aca="1" ref="EW463" ca="1">INDIRECT("'5借入一覧'!"&amp;ET463&amp;EV463)&amp;INDIRECT("'5借入一覧'!"&amp;EU463&amp;EV463)</f>
        <v/>
      </c>
      <c r="EX463">
        <v>1</v>
      </c>
      <c r="FK463" t="str">
        <f t="shared" si="79"/>
        <v/>
      </c>
    </row>
    <row r="464" spans="149:167">
      <c r="ES464">
        <v>457</v>
      </c>
      <c r="ET464" t="s">
        <v>270</v>
      </c>
      <c r="EU464" t="s">
        <v>271</v>
      </c>
      <c r="EV464">
        <v>458</v>
      </c>
      <c r="EW464" t="str" cm="1">
        <f t="array" aca="1" ref="EW464" ca="1">INDIRECT("'5借入一覧'!"&amp;ET464&amp;EV464)&amp;INDIRECT("'5借入一覧'!"&amp;EU464&amp;EV464)</f>
        <v/>
      </c>
      <c r="EX464">
        <v>1</v>
      </c>
      <c r="FK464" t="str">
        <f t="shared" si="79"/>
        <v/>
      </c>
    </row>
    <row r="465" spans="149:167">
      <c r="ES465">
        <v>458</v>
      </c>
      <c r="ET465" t="s">
        <v>270</v>
      </c>
      <c r="EU465" t="s">
        <v>271</v>
      </c>
      <c r="EV465">
        <v>459</v>
      </c>
      <c r="EW465" t="str" cm="1">
        <f t="array" aca="1" ref="EW465" ca="1">INDIRECT("'5借入一覧'!"&amp;ET465&amp;EV465)&amp;INDIRECT("'5借入一覧'!"&amp;EU465&amp;EV465)</f>
        <v/>
      </c>
      <c r="EX465">
        <v>1</v>
      </c>
      <c r="FK465" t="str">
        <f t="shared" si="79"/>
        <v/>
      </c>
    </row>
    <row r="466" spans="149:167">
      <c r="ES466">
        <v>459</v>
      </c>
      <c r="ET466" t="s">
        <v>270</v>
      </c>
      <c r="EU466" t="s">
        <v>271</v>
      </c>
      <c r="EV466">
        <v>460</v>
      </c>
      <c r="EW466" t="str" cm="1">
        <f t="array" aca="1" ref="EW466" ca="1">INDIRECT("'5借入一覧'!"&amp;ET466&amp;EV466)&amp;INDIRECT("'5借入一覧'!"&amp;EU466&amp;EV466)</f>
        <v/>
      </c>
      <c r="EX466">
        <v>1</v>
      </c>
      <c r="FK466" t="str">
        <f t="shared" si="79"/>
        <v/>
      </c>
    </row>
    <row r="467" spans="149:167">
      <c r="ES467">
        <v>460</v>
      </c>
      <c r="ET467" t="s">
        <v>270</v>
      </c>
      <c r="EU467" t="s">
        <v>271</v>
      </c>
      <c r="EV467">
        <v>461</v>
      </c>
      <c r="EW467" t="str" cm="1">
        <f t="array" aca="1" ref="EW467" ca="1">INDIRECT("'5借入一覧'!"&amp;ET467&amp;EV467)&amp;INDIRECT("'5借入一覧'!"&amp;EU467&amp;EV467)</f>
        <v/>
      </c>
      <c r="EX467">
        <v>1</v>
      </c>
      <c r="FK467" t="str">
        <f t="shared" si="79"/>
        <v/>
      </c>
    </row>
    <row r="468" spans="149:167">
      <c r="ES468">
        <v>461</v>
      </c>
      <c r="ET468" t="s">
        <v>270</v>
      </c>
      <c r="EU468" t="s">
        <v>271</v>
      </c>
      <c r="EV468">
        <v>462</v>
      </c>
      <c r="EW468" t="str" cm="1">
        <f t="array" aca="1" ref="EW468" ca="1">INDIRECT("'5借入一覧'!"&amp;ET468&amp;EV468)&amp;INDIRECT("'5借入一覧'!"&amp;EU468&amp;EV468)</f>
        <v/>
      </c>
      <c r="EX468">
        <v>1</v>
      </c>
      <c r="FK468" t="str">
        <f t="shared" si="79"/>
        <v/>
      </c>
    </row>
    <row r="469" spans="149:167">
      <c r="ES469">
        <v>462</v>
      </c>
      <c r="ET469" t="s">
        <v>270</v>
      </c>
      <c r="EU469" t="s">
        <v>271</v>
      </c>
      <c r="EV469">
        <v>463</v>
      </c>
      <c r="EW469" t="str" cm="1">
        <f t="array" aca="1" ref="EW469" ca="1">INDIRECT("'5借入一覧'!"&amp;ET469&amp;EV469)&amp;INDIRECT("'5借入一覧'!"&amp;EU469&amp;EV469)</f>
        <v/>
      </c>
      <c r="EX469">
        <v>1</v>
      </c>
      <c r="FK469" t="str">
        <f t="shared" si="79"/>
        <v/>
      </c>
    </row>
    <row r="470" spans="149:167">
      <c r="ES470">
        <v>463</v>
      </c>
      <c r="ET470" t="s">
        <v>270</v>
      </c>
      <c r="EU470" t="s">
        <v>271</v>
      </c>
      <c r="EV470">
        <v>464</v>
      </c>
      <c r="EW470" t="str" cm="1">
        <f t="array" aca="1" ref="EW470" ca="1">INDIRECT("'5借入一覧'!"&amp;ET470&amp;EV470)&amp;INDIRECT("'5借入一覧'!"&amp;EU470&amp;EV470)</f>
        <v/>
      </c>
      <c r="EX470">
        <v>1</v>
      </c>
      <c r="FK470" t="str">
        <f t="shared" si="79"/>
        <v/>
      </c>
    </row>
    <row r="471" spans="149:167">
      <c r="ES471">
        <v>464</v>
      </c>
      <c r="ET471" t="s">
        <v>270</v>
      </c>
      <c r="EU471" t="s">
        <v>271</v>
      </c>
      <c r="EV471">
        <v>465</v>
      </c>
      <c r="EW471" t="str" cm="1">
        <f t="array" aca="1" ref="EW471" ca="1">INDIRECT("'5借入一覧'!"&amp;ET471&amp;EV471)&amp;INDIRECT("'5借入一覧'!"&amp;EU471&amp;EV471)</f>
        <v/>
      </c>
      <c r="EX471">
        <v>1</v>
      </c>
      <c r="FK471" t="str">
        <f t="shared" si="79"/>
        <v/>
      </c>
    </row>
    <row r="472" spans="149:167">
      <c r="ES472">
        <v>465</v>
      </c>
      <c r="ET472" t="s">
        <v>270</v>
      </c>
      <c r="EU472" t="s">
        <v>271</v>
      </c>
      <c r="EV472">
        <v>466</v>
      </c>
      <c r="EW472" t="str" cm="1">
        <f t="array" aca="1" ref="EW472" ca="1">INDIRECT("'5借入一覧'!"&amp;ET472&amp;EV472)&amp;INDIRECT("'5借入一覧'!"&amp;EU472&amp;EV472)</f>
        <v/>
      </c>
      <c r="EX472">
        <v>1</v>
      </c>
      <c r="FK472" t="str">
        <f t="shared" si="79"/>
        <v/>
      </c>
    </row>
    <row r="473" spans="149:167">
      <c r="ES473">
        <v>466</v>
      </c>
      <c r="ET473" t="s">
        <v>270</v>
      </c>
      <c r="EU473" t="s">
        <v>271</v>
      </c>
      <c r="EV473">
        <v>467</v>
      </c>
      <c r="EW473" t="str" cm="1">
        <f t="array" aca="1" ref="EW473" ca="1">INDIRECT("'5借入一覧'!"&amp;ET473&amp;EV473)&amp;INDIRECT("'5借入一覧'!"&amp;EU473&amp;EV473)</f>
        <v/>
      </c>
      <c r="EX473">
        <v>1</v>
      </c>
      <c r="FK473" t="str">
        <f t="shared" si="79"/>
        <v/>
      </c>
    </row>
    <row r="474" spans="149:167">
      <c r="ES474">
        <v>467</v>
      </c>
      <c r="ET474" t="s">
        <v>270</v>
      </c>
      <c r="EU474" t="s">
        <v>271</v>
      </c>
      <c r="EV474">
        <v>468</v>
      </c>
      <c r="EW474" t="str" cm="1">
        <f t="array" aca="1" ref="EW474" ca="1">INDIRECT("'5借入一覧'!"&amp;ET474&amp;EV474)&amp;INDIRECT("'5借入一覧'!"&amp;EU474&amp;EV474)</f>
        <v/>
      </c>
      <c r="EX474">
        <v>1</v>
      </c>
      <c r="FK474" t="str">
        <f t="shared" si="79"/>
        <v/>
      </c>
    </row>
    <row r="475" spans="149:167">
      <c r="ES475">
        <v>468</v>
      </c>
      <c r="ET475" t="s">
        <v>270</v>
      </c>
      <c r="EU475" t="s">
        <v>271</v>
      </c>
      <c r="EV475">
        <v>469</v>
      </c>
      <c r="EW475" t="str" cm="1">
        <f t="array" aca="1" ref="EW475" ca="1">INDIRECT("'5借入一覧'!"&amp;ET475&amp;EV475)&amp;INDIRECT("'5借入一覧'!"&amp;EU475&amp;EV475)</f>
        <v/>
      </c>
      <c r="EX475">
        <v>1</v>
      </c>
      <c r="FK475" t="str">
        <f t="shared" si="79"/>
        <v/>
      </c>
    </row>
    <row r="476" spans="149:167">
      <c r="ES476">
        <v>469</v>
      </c>
      <c r="ET476" t="s">
        <v>270</v>
      </c>
      <c r="EU476" t="s">
        <v>271</v>
      </c>
      <c r="EV476">
        <v>470</v>
      </c>
      <c r="EW476" t="str" cm="1">
        <f t="array" aca="1" ref="EW476" ca="1">INDIRECT("'5借入一覧'!"&amp;ET476&amp;EV476)&amp;INDIRECT("'5借入一覧'!"&amp;EU476&amp;EV476)</f>
        <v/>
      </c>
      <c r="EX476">
        <v>1</v>
      </c>
      <c r="FK476" t="str">
        <f t="shared" si="79"/>
        <v/>
      </c>
    </row>
    <row r="477" spans="149:167">
      <c r="ES477">
        <v>470</v>
      </c>
      <c r="ET477" t="s">
        <v>270</v>
      </c>
      <c r="EU477" t="s">
        <v>271</v>
      </c>
      <c r="EV477">
        <v>471</v>
      </c>
      <c r="EW477" t="str" cm="1">
        <f t="array" aca="1" ref="EW477" ca="1">INDIRECT("'5借入一覧'!"&amp;ET477&amp;EV477)&amp;INDIRECT("'5借入一覧'!"&amp;EU477&amp;EV477)</f>
        <v/>
      </c>
      <c r="EX477">
        <v>1</v>
      </c>
      <c r="FK477" t="str">
        <f t="shared" si="79"/>
        <v/>
      </c>
    </row>
    <row r="478" spans="149:167">
      <c r="ES478">
        <v>471</v>
      </c>
      <c r="ET478" t="s">
        <v>270</v>
      </c>
      <c r="EU478" t="s">
        <v>271</v>
      </c>
      <c r="EV478">
        <v>472</v>
      </c>
      <c r="EW478" t="str" cm="1">
        <f t="array" aca="1" ref="EW478" ca="1">INDIRECT("'5借入一覧'!"&amp;ET478&amp;EV478)&amp;INDIRECT("'5借入一覧'!"&amp;EU478&amp;EV478)</f>
        <v/>
      </c>
      <c r="EX478">
        <v>1</v>
      </c>
      <c r="FK478" t="str">
        <f t="shared" si="79"/>
        <v/>
      </c>
    </row>
    <row r="479" spans="149:167">
      <c r="ES479">
        <v>472</v>
      </c>
      <c r="ET479" t="s">
        <v>270</v>
      </c>
      <c r="EU479" t="s">
        <v>271</v>
      </c>
      <c r="EV479">
        <v>473</v>
      </c>
      <c r="EW479" t="str" cm="1">
        <f t="array" aca="1" ref="EW479" ca="1">INDIRECT("'5借入一覧'!"&amp;ET479&amp;EV479)&amp;INDIRECT("'5借入一覧'!"&amp;EU479&amp;EV479)</f>
        <v/>
      </c>
      <c r="EX479">
        <v>1</v>
      </c>
      <c r="FK479" t="str">
        <f t="shared" si="79"/>
        <v/>
      </c>
    </row>
    <row r="480" spans="149:167">
      <c r="ES480">
        <v>473</v>
      </c>
      <c r="ET480" t="s">
        <v>270</v>
      </c>
      <c r="EU480" t="s">
        <v>271</v>
      </c>
      <c r="EV480">
        <v>474</v>
      </c>
      <c r="EW480" t="str" cm="1">
        <f t="array" aca="1" ref="EW480" ca="1">INDIRECT("'5借入一覧'!"&amp;ET480&amp;EV480)&amp;INDIRECT("'5借入一覧'!"&amp;EU480&amp;EV480)</f>
        <v/>
      </c>
      <c r="EX480">
        <v>1</v>
      </c>
      <c r="FK480" t="str">
        <f t="shared" si="79"/>
        <v/>
      </c>
    </row>
    <row r="481" spans="149:167">
      <c r="ES481">
        <v>474</v>
      </c>
      <c r="ET481" t="s">
        <v>270</v>
      </c>
      <c r="EU481" t="s">
        <v>271</v>
      </c>
      <c r="EV481">
        <v>475</v>
      </c>
      <c r="EW481" t="str" cm="1">
        <f t="array" aca="1" ref="EW481" ca="1">INDIRECT("'5借入一覧'!"&amp;ET481&amp;EV481)&amp;INDIRECT("'5借入一覧'!"&amp;EU481&amp;EV481)</f>
        <v/>
      </c>
      <c r="EX481">
        <v>1</v>
      </c>
      <c r="FK481" t="str">
        <f t="shared" si="79"/>
        <v/>
      </c>
    </row>
    <row r="482" spans="149:167">
      <c r="ES482">
        <v>475</v>
      </c>
      <c r="ET482" t="s">
        <v>270</v>
      </c>
      <c r="EU482" t="s">
        <v>271</v>
      </c>
      <c r="EV482">
        <v>476</v>
      </c>
      <c r="EW482" t="str" cm="1">
        <f t="array" aca="1" ref="EW482" ca="1">INDIRECT("'5借入一覧'!"&amp;ET482&amp;EV482)&amp;INDIRECT("'5借入一覧'!"&amp;EU482&amp;EV482)</f>
        <v/>
      </c>
      <c r="EX482">
        <v>1</v>
      </c>
      <c r="FK482" t="str">
        <f t="shared" si="79"/>
        <v/>
      </c>
    </row>
    <row r="483" spans="149:167">
      <c r="ES483">
        <v>476</v>
      </c>
      <c r="ET483" t="s">
        <v>270</v>
      </c>
      <c r="EU483" t="s">
        <v>271</v>
      </c>
      <c r="EV483">
        <v>477</v>
      </c>
      <c r="EW483" t="str" cm="1">
        <f t="array" aca="1" ref="EW483" ca="1">INDIRECT("'5借入一覧'!"&amp;ET483&amp;EV483)&amp;INDIRECT("'5借入一覧'!"&amp;EU483&amp;EV483)</f>
        <v/>
      </c>
      <c r="EX483">
        <v>1</v>
      </c>
      <c r="FK483" t="str">
        <f t="shared" si="79"/>
        <v/>
      </c>
    </row>
    <row r="484" spans="149:167">
      <c r="ES484">
        <v>477</v>
      </c>
      <c r="ET484" t="s">
        <v>270</v>
      </c>
      <c r="EU484" t="s">
        <v>271</v>
      </c>
      <c r="EV484">
        <v>478</v>
      </c>
      <c r="EW484" t="str" cm="1">
        <f t="array" aca="1" ref="EW484" ca="1">INDIRECT("'5借入一覧'!"&amp;ET484&amp;EV484)&amp;INDIRECT("'5借入一覧'!"&amp;EU484&amp;EV484)</f>
        <v/>
      </c>
      <c r="EX484">
        <v>1</v>
      </c>
      <c r="FK484" t="str">
        <f t="shared" si="79"/>
        <v/>
      </c>
    </row>
    <row r="485" spans="149:167">
      <c r="ES485">
        <v>478</v>
      </c>
      <c r="ET485" t="s">
        <v>270</v>
      </c>
      <c r="EU485" t="s">
        <v>271</v>
      </c>
      <c r="EV485">
        <v>479</v>
      </c>
      <c r="EW485" t="str" cm="1">
        <f t="array" aca="1" ref="EW485" ca="1">INDIRECT("'5借入一覧'!"&amp;ET485&amp;EV485)&amp;INDIRECT("'5借入一覧'!"&amp;EU485&amp;EV485)</f>
        <v/>
      </c>
      <c r="EX485">
        <v>1</v>
      </c>
      <c r="FK485" t="str">
        <f t="shared" si="79"/>
        <v/>
      </c>
    </row>
    <row r="486" spans="149:167">
      <c r="ES486">
        <v>479</v>
      </c>
      <c r="ET486" t="s">
        <v>270</v>
      </c>
      <c r="EU486" t="s">
        <v>271</v>
      </c>
      <c r="EV486">
        <v>480</v>
      </c>
      <c r="EW486" t="str" cm="1">
        <f t="array" aca="1" ref="EW486" ca="1">INDIRECT("'5借入一覧'!"&amp;ET486&amp;EV486)&amp;INDIRECT("'5借入一覧'!"&amp;EU486&amp;EV486)</f>
        <v/>
      </c>
      <c r="EX486">
        <v>1</v>
      </c>
      <c r="FK486" t="str">
        <f t="shared" si="79"/>
        <v/>
      </c>
    </row>
    <row r="487" spans="149:167">
      <c r="ES487">
        <v>480</v>
      </c>
      <c r="ET487" t="s">
        <v>270</v>
      </c>
      <c r="EU487" t="s">
        <v>271</v>
      </c>
      <c r="EV487">
        <v>481</v>
      </c>
      <c r="EW487" t="str" cm="1">
        <f t="array" aca="1" ref="EW487" ca="1">INDIRECT("'5借入一覧'!"&amp;ET487&amp;EV487)&amp;INDIRECT("'5借入一覧'!"&amp;EU487&amp;EV487)</f>
        <v/>
      </c>
      <c r="EX487">
        <v>1</v>
      </c>
      <c r="FK487" t="str">
        <f t="shared" si="79"/>
        <v/>
      </c>
    </row>
    <row r="488" spans="149:167">
      <c r="ES488">
        <v>481</v>
      </c>
      <c r="ET488" t="s">
        <v>270</v>
      </c>
      <c r="EU488" t="s">
        <v>271</v>
      </c>
      <c r="EV488">
        <v>482</v>
      </c>
      <c r="EW488" t="str" cm="1">
        <f t="array" aca="1" ref="EW488" ca="1">INDIRECT("'5借入一覧'!"&amp;ET488&amp;EV488)&amp;INDIRECT("'5借入一覧'!"&amp;EU488&amp;EV488)</f>
        <v/>
      </c>
      <c r="EX488">
        <v>1</v>
      </c>
      <c r="FK488" t="str">
        <f t="shared" si="79"/>
        <v/>
      </c>
    </row>
    <row r="489" spans="149:167">
      <c r="ES489">
        <v>482</v>
      </c>
      <c r="ET489" t="s">
        <v>270</v>
      </c>
      <c r="EU489" t="s">
        <v>271</v>
      </c>
      <c r="EV489">
        <v>483</v>
      </c>
      <c r="EW489" t="str" cm="1">
        <f t="array" aca="1" ref="EW489" ca="1">INDIRECT("'5借入一覧'!"&amp;ET489&amp;EV489)&amp;INDIRECT("'5借入一覧'!"&amp;EU489&amp;EV489)</f>
        <v/>
      </c>
      <c r="EX489">
        <v>1</v>
      </c>
      <c r="FK489" t="str">
        <f t="shared" si="79"/>
        <v/>
      </c>
    </row>
    <row r="490" spans="149:167">
      <c r="ES490">
        <v>483</v>
      </c>
      <c r="ET490" t="s">
        <v>270</v>
      </c>
      <c r="EU490" t="s">
        <v>271</v>
      </c>
      <c r="EV490">
        <v>484</v>
      </c>
      <c r="EW490" t="str" cm="1">
        <f t="array" aca="1" ref="EW490" ca="1">INDIRECT("'5借入一覧'!"&amp;ET490&amp;EV490)&amp;INDIRECT("'5借入一覧'!"&amp;EU490&amp;EV490)</f>
        <v/>
      </c>
      <c r="EX490">
        <v>1</v>
      </c>
      <c r="FK490" t="str">
        <f t="shared" si="79"/>
        <v/>
      </c>
    </row>
    <row r="491" spans="149:167">
      <c r="ES491">
        <v>484</v>
      </c>
      <c r="ET491" t="s">
        <v>270</v>
      </c>
      <c r="EU491" t="s">
        <v>271</v>
      </c>
      <c r="EV491">
        <v>485</v>
      </c>
      <c r="EW491" t="str" cm="1">
        <f t="array" aca="1" ref="EW491" ca="1">INDIRECT("'5借入一覧'!"&amp;ET491&amp;EV491)&amp;INDIRECT("'5借入一覧'!"&amp;EU491&amp;EV491)</f>
        <v/>
      </c>
      <c r="EX491">
        <v>1</v>
      </c>
      <c r="FK491" t="str">
        <f t="shared" si="79"/>
        <v/>
      </c>
    </row>
    <row r="492" spans="149:167">
      <c r="ES492">
        <v>485</v>
      </c>
      <c r="ET492" t="s">
        <v>270</v>
      </c>
      <c r="EU492" t="s">
        <v>271</v>
      </c>
      <c r="EV492">
        <v>486</v>
      </c>
      <c r="EW492" t="str" cm="1">
        <f t="array" aca="1" ref="EW492" ca="1">INDIRECT("'5借入一覧'!"&amp;ET492&amp;EV492)&amp;INDIRECT("'5借入一覧'!"&amp;EU492&amp;EV492)</f>
        <v/>
      </c>
      <c r="EX492">
        <v>1</v>
      </c>
      <c r="FK492" t="str">
        <f t="shared" si="79"/>
        <v/>
      </c>
    </row>
    <row r="493" spans="149:167">
      <c r="ES493">
        <v>486</v>
      </c>
      <c r="ET493" t="s">
        <v>270</v>
      </c>
      <c r="EU493" t="s">
        <v>271</v>
      </c>
      <c r="EV493">
        <v>487</v>
      </c>
      <c r="EW493" t="str" cm="1">
        <f t="array" aca="1" ref="EW493" ca="1">INDIRECT("'5借入一覧'!"&amp;ET493&amp;EV493)&amp;INDIRECT("'5借入一覧'!"&amp;EU493&amp;EV493)</f>
        <v/>
      </c>
      <c r="EX493">
        <v>1</v>
      </c>
      <c r="FK493" t="str">
        <f t="shared" si="79"/>
        <v/>
      </c>
    </row>
    <row r="494" spans="149:167">
      <c r="ES494">
        <v>487</v>
      </c>
      <c r="ET494" t="s">
        <v>270</v>
      </c>
      <c r="EU494" t="s">
        <v>271</v>
      </c>
      <c r="EV494">
        <v>488</v>
      </c>
      <c r="EW494" t="str" cm="1">
        <f t="array" aca="1" ref="EW494" ca="1">INDIRECT("'5借入一覧'!"&amp;ET494&amp;EV494)&amp;INDIRECT("'5借入一覧'!"&amp;EU494&amp;EV494)</f>
        <v/>
      </c>
      <c r="EX494">
        <v>1</v>
      </c>
      <c r="FK494" t="str">
        <f t="shared" si="79"/>
        <v/>
      </c>
    </row>
    <row r="495" spans="149:167">
      <c r="ES495">
        <v>488</v>
      </c>
      <c r="ET495" t="s">
        <v>270</v>
      </c>
      <c r="EU495" t="s">
        <v>271</v>
      </c>
      <c r="EV495">
        <v>489</v>
      </c>
      <c r="EW495" t="str" cm="1">
        <f t="array" aca="1" ref="EW495" ca="1">INDIRECT("'5借入一覧'!"&amp;ET495&amp;EV495)&amp;INDIRECT("'5借入一覧'!"&amp;EU495&amp;EV495)</f>
        <v/>
      </c>
      <c r="EX495">
        <v>1</v>
      </c>
      <c r="FK495" t="str">
        <f t="shared" si="79"/>
        <v/>
      </c>
    </row>
    <row r="496" spans="149:167">
      <c r="ES496">
        <v>489</v>
      </c>
      <c r="ET496" t="s">
        <v>270</v>
      </c>
      <c r="EU496" t="s">
        <v>271</v>
      </c>
      <c r="EV496">
        <v>490</v>
      </c>
      <c r="EW496" t="str" cm="1">
        <f t="array" aca="1" ref="EW496" ca="1">INDIRECT("'5借入一覧'!"&amp;ET496&amp;EV496)&amp;INDIRECT("'5借入一覧'!"&amp;EU496&amp;EV496)</f>
        <v/>
      </c>
      <c r="EX496">
        <v>1</v>
      </c>
      <c r="FK496" t="str">
        <f t="shared" si="79"/>
        <v/>
      </c>
    </row>
    <row r="497" spans="149:167">
      <c r="ES497">
        <v>490</v>
      </c>
      <c r="ET497" t="s">
        <v>270</v>
      </c>
      <c r="EU497" t="s">
        <v>271</v>
      </c>
      <c r="EV497">
        <v>491</v>
      </c>
      <c r="EW497" t="str" cm="1">
        <f t="array" aca="1" ref="EW497" ca="1">INDIRECT("'5借入一覧'!"&amp;ET497&amp;EV497)&amp;INDIRECT("'5借入一覧'!"&amp;EU497&amp;EV497)</f>
        <v/>
      </c>
      <c r="EX497">
        <v>1</v>
      </c>
      <c r="FK497" t="str">
        <f t="shared" si="79"/>
        <v/>
      </c>
    </row>
    <row r="498" spans="149:167">
      <c r="ES498">
        <v>491</v>
      </c>
      <c r="ET498" t="s">
        <v>270</v>
      </c>
      <c r="EU498" t="s">
        <v>271</v>
      </c>
      <c r="EV498">
        <v>492</v>
      </c>
      <c r="EW498" t="str" cm="1">
        <f t="array" aca="1" ref="EW498" ca="1">INDIRECT("'5借入一覧'!"&amp;ET498&amp;EV498)&amp;INDIRECT("'5借入一覧'!"&amp;EU498&amp;EV498)</f>
        <v/>
      </c>
      <c r="EX498">
        <v>1</v>
      </c>
      <c r="FK498" t="str">
        <f t="shared" si="79"/>
        <v/>
      </c>
    </row>
    <row r="499" spans="149:167">
      <c r="ES499">
        <v>492</v>
      </c>
      <c r="ET499" t="s">
        <v>270</v>
      </c>
      <c r="EU499" t="s">
        <v>271</v>
      </c>
      <c r="EV499">
        <v>493</v>
      </c>
      <c r="EW499" t="str" cm="1">
        <f t="array" aca="1" ref="EW499" ca="1">INDIRECT("'5借入一覧'!"&amp;ET499&amp;EV499)&amp;INDIRECT("'5借入一覧'!"&amp;EU499&amp;EV499)</f>
        <v/>
      </c>
      <c r="EX499">
        <v>1</v>
      </c>
      <c r="FK499" t="str">
        <f t="shared" si="79"/>
        <v/>
      </c>
    </row>
    <row r="500" spans="149:167">
      <c r="ES500">
        <v>493</v>
      </c>
      <c r="ET500" t="s">
        <v>270</v>
      </c>
      <c r="EU500" t="s">
        <v>271</v>
      </c>
      <c r="EV500">
        <v>494</v>
      </c>
      <c r="EW500" t="str" cm="1">
        <f t="array" aca="1" ref="EW500" ca="1">INDIRECT("'5借入一覧'!"&amp;ET500&amp;EV500)&amp;INDIRECT("'5借入一覧'!"&amp;EU500&amp;EV500)</f>
        <v/>
      </c>
      <c r="EX500">
        <v>1</v>
      </c>
      <c r="FK500" t="str">
        <f t="shared" si="79"/>
        <v/>
      </c>
    </row>
    <row r="501" spans="149:167">
      <c r="ES501">
        <v>494</v>
      </c>
      <c r="ET501" t="s">
        <v>270</v>
      </c>
      <c r="EU501" t="s">
        <v>271</v>
      </c>
      <c r="EV501">
        <v>495</v>
      </c>
      <c r="EW501" t="str" cm="1">
        <f t="array" aca="1" ref="EW501" ca="1">INDIRECT("'5借入一覧'!"&amp;ET501&amp;EV501)&amp;INDIRECT("'5借入一覧'!"&amp;EU501&amp;EV501)</f>
        <v/>
      </c>
      <c r="EX501">
        <v>1</v>
      </c>
      <c r="FK501" t="str">
        <f t="shared" si="79"/>
        <v/>
      </c>
    </row>
    <row r="502" spans="149:167">
      <c r="ES502">
        <v>495</v>
      </c>
      <c r="ET502" t="s">
        <v>270</v>
      </c>
      <c r="EU502" t="s">
        <v>271</v>
      </c>
      <c r="EV502">
        <v>496</v>
      </c>
      <c r="EW502" t="str" cm="1">
        <f t="array" aca="1" ref="EW502" ca="1">INDIRECT("'5借入一覧'!"&amp;ET502&amp;EV502)&amp;INDIRECT("'5借入一覧'!"&amp;EU502&amp;EV502)</f>
        <v/>
      </c>
      <c r="EX502">
        <v>1</v>
      </c>
      <c r="FK502" t="str">
        <f t="shared" si="79"/>
        <v/>
      </c>
    </row>
    <row r="503" spans="149:167">
      <c r="ES503">
        <v>496</v>
      </c>
      <c r="ET503" t="s">
        <v>270</v>
      </c>
      <c r="EU503" t="s">
        <v>271</v>
      </c>
      <c r="EV503">
        <v>497</v>
      </c>
      <c r="EW503" t="str" cm="1">
        <f t="array" aca="1" ref="EW503" ca="1">INDIRECT("'5借入一覧'!"&amp;ET503&amp;EV503)&amp;INDIRECT("'5借入一覧'!"&amp;EU503&amp;EV503)</f>
        <v/>
      </c>
      <c r="EX503">
        <v>1</v>
      </c>
      <c r="FK503" t="str">
        <f t="shared" si="79"/>
        <v/>
      </c>
    </row>
    <row r="504" spans="149:167">
      <c r="ES504">
        <v>497</v>
      </c>
      <c r="ET504" t="s">
        <v>270</v>
      </c>
      <c r="EU504" t="s">
        <v>271</v>
      </c>
      <c r="EV504">
        <v>498</v>
      </c>
      <c r="EW504" t="str" cm="1">
        <f t="array" aca="1" ref="EW504" ca="1">INDIRECT("'5借入一覧'!"&amp;ET504&amp;EV504)&amp;INDIRECT("'5借入一覧'!"&amp;EU504&amp;EV504)</f>
        <v/>
      </c>
      <c r="EX504">
        <v>1</v>
      </c>
      <c r="FK504" t="str">
        <f t="shared" si="79"/>
        <v/>
      </c>
    </row>
    <row r="505" spans="149:167">
      <c r="ES505">
        <v>498</v>
      </c>
      <c r="ET505" t="s">
        <v>270</v>
      </c>
      <c r="EU505" t="s">
        <v>271</v>
      </c>
      <c r="EV505">
        <v>499</v>
      </c>
      <c r="EW505" t="str" cm="1">
        <f t="array" aca="1" ref="EW505" ca="1">INDIRECT("'5借入一覧'!"&amp;ET505&amp;EV505)&amp;INDIRECT("'5借入一覧'!"&amp;EU505&amp;EV505)</f>
        <v/>
      </c>
      <c r="EX505">
        <v>1</v>
      </c>
      <c r="FK505" t="str">
        <f t="shared" si="79"/>
        <v/>
      </c>
    </row>
    <row r="506" spans="149:167">
      <c r="ES506">
        <v>499</v>
      </c>
      <c r="ET506" t="s">
        <v>270</v>
      </c>
      <c r="EU506" t="s">
        <v>271</v>
      </c>
      <c r="EV506">
        <v>500</v>
      </c>
      <c r="EW506" t="str" cm="1">
        <f t="array" aca="1" ref="EW506" ca="1">INDIRECT("'5借入一覧'!"&amp;ET506&amp;EV506)&amp;INDIRECT("'5借入一覧'!"&amp;EU506&amp;EV506)</f>
        <v/>
      </c>
      <c r="EX506">
        <v>1</v>
      </c>
      <c r="FK506" t="str">
        <f t="shared" si="79"/>
        <v/>
      </c>
    </row>
    <row r="507" spans="149:167">
      <c r="ES507">
        <v>500</v>
      </c>
      <c r="ET507" t="s">
        <v>270</v>
      </c>
      <c r="EU507" t="s">
        <v>271</v>
      </c>
      <c r="EV507">
        <v>501</v>
      </c>
      <c r="EW507" t="str" cm="1">
        <f t="array" aca="1" ref="EW507" ca="1">INDIRECT("'5借入一覧'!"&amp;ET507&amp;EV507)&amp;INDIRECT("'5借入一覧'!"&amp;EU507&amp;EV507)</f>
        <v/>
      </c>
      <c r="EX507">
        <v>1</v>
      </c>
      <c r="FK507" t="str">
        <f t="shared" si="79"/>
        <v/>
      </c>
    </row>
    <row r="508" spans="149:167">
      <c r="ES508">
        <v>501</v>
      </c>
      <c r="ET508" t="s">
        <v>356</v>
      </c>
      <c r="EU508" t="s">
        <v>357</v>
      </c>
      <c r="EV508">
        <v>2</v>
      </c>
      <c r="EW508" t="str" cm="1">
        <f t="array" aca="1" ref="EW508" ca="1">INDIRECT("'5借入一覧'!"&amp;ET508&amp;EV508)&amp;INDIRECT("'5借入一覧'!"&amp;EU508&amp;EV508)</f>
        <v/>
      </c>
      <c r="EX508">
        <v>2</v>
      </c>
      <c r="FK508" t="str">
        <f t="shared" si="79"/>
        <v/>
      </c>
    </row>
    <row r="509" spans="149:167">
      <c r="ES509">
        <v>502</v>
      </c>
      <c r="ET509" t="s">
        <v>356</v>
      </c>
      <c r="EU509" t="s">
        <v>357</v>
      </c>
      <c r="EV509">
        <v>3</v>
      </c>
      <c r="EW509" t="str" cm="1">
        <f t="array" aca="1" ref="EW509" ca="1">INDIRECT("'5借入一覧'!"&amp;ET509&amp;EV509)&amp;INDIRECT("'5借入一覧'!"&amp;EU509&amp;EV509)</f>
        <v/>
      </c>
      <c r="EX509">
        <v>2</v>
      </c>
      <c r="FK509" t="str">
        <f t="shared" si="79"/>
        <v/>
      </c>
    </row>
    <row r="510" spans="149:167">
      <c r="ES510">
        <v>503</v>
      </c>
      <c r="ET510" t="s">
        <v>356</v>
      </c>
      <c r="EU510" t="s">
        <v>357</v>
      </c>
      <c r="EV510">
        <v>4</v>
      </c>
      <c r="EW510" t="str" cm="1">
        <f t="array" aca="1" ref="EW510" ca="1">INDIRECT("'5借入一覧'!"&amp;ET510&amp;EV510)&amp;INDIRECT("'5借入一覧'!"&amp;EU510&amp;EV510)</f>
        <v/>
      </c>
      <c r="EX510">
        <v>2</v>
      </c>
      <c r="FK510" t="str">
        <f t="shared" si="79"/>
        <v/>
      </c>
    </row>
    <row r="511" spans="149:167">
      <c r="ES511">
        <v>504</v>
      </c>
      <c r="ET511" t="s">
        <v>356</v>
      </c>
      <c r="EU511" t="s">
        <v>357</v>
      </c>
      <c r="EV511">
        <v>5</v>
      </c>
      <c r="EW511" t="str" cm="1">
        <f t="array" aca="1" ref="EW511" ca="1">INDIRECT("'5借入一覧'!"&amp;ET511&amp;EV511)&amp;INDIRECT("'5借入一覧'!"&amp;EU511&amp;EV511)</f>
        <v/>
      </c>
      <c r="EX511">
        <v>2</v>
      </c>
      <c r="FK511" t="str">
        <f t="shared" si="79"/>
        <v/>
      </c>
    </row>
    <row r="512" spans="149:167">
      <c r="ES512">
        <v>505</v>
      </c>
      <c r="ET512" t="s">
        <v>356</v>
      </c>
      <c r="EU512" t="s">
        <v>357</v>
      </c>
      <c r="EV512">
        <v>6</v>
      </c>
      <c r="EW512" t="str" cm="1">
        <f t="array" aca="1" ref="EW512" ca="1">INDIRECT("'5借入一覧'!"&amp;ET512&amp;EV512)&amp;INDIRECT("'5借入一覧'!"&amp;EU512&amp;EV512)</f>
        <v/>
      </c>
      <c r="EX512">
        <v>2</v>
      </c>
      <c r="FK512" t="str">
        <f t="shared" si="79"/>
        <v/>
      </c>
    </row>
    <row r="513" spans="149:167">
      <c r="ES513">
        <v>506</v>
      </c>
      <c r="ET513" t="s">
        <v>356</v>
      </c>
      <c r="EU513" t="s">
        <v>357</v>
      </c>
      <c r="EV513">
        <v>7</v>
      </c>
      <c r="EW513" t="str" cm="1">
        <f t="array" aca="1" ref="EW513" ca="1">INDIRECT("'5借入一覧'!"&amp;ET513&amp;EV513)&amp;INDIRECT("'5借入一覧'!"&amp;EU513&amp;EV513)</f>
        <v/>
      </c>
      <c r="EX513">
        <v>2</v>
      </c>
      <c r="FK513" t="str">
        <f t="shared" si="79"/>
        <v/>
      </c>
    </row>
    <row r="514" spans="149:167">
      <c r="ES514">
        <v>507</v>
      </c>
      <c r="ET514" t="s">
        <v>356</v>
      </c>
      <c r="EU514" t="s">
        <v>357</v>
      </c>
      <c r="EV514">
        <v>8</v>
      </c>
      <c r="EW514" t="str" cm="1">
        <f t="array" aca="1" ref="EW514" ca="1">INDIRECT("'5借入一覧'!"&amp;ET514&amp;EV514)&amp;INDIRECT("'5借入一覧'!"&amp;EU514&amp;EV514)</f>
        <v/>
      </c>
      <c r="EX514">
        <v>2</v>
      </c>
      <c r="FK514" t="str">
        <f t="shared" si="79"/>
        <v/>
      </c>
    </row>
    <row r="515" spans="149:167">
      <c r="ES515">
        <v>508</v>
      </c>
      <c r="ET515" t="s">
        <v>356</v>
      </c>
      <c r="EU515" t="s">
        <v>357</v>
      </c>
      <c r="EV515">
        <v>9</v>
      </c>
      <c r="EW515" t="str" cm="1">
        <f t="array" aca="1" ref="EW515" ca="1">INDIRECT("'5借入一覧'!"&amp;ET515&amp;EV515)&amp;INDIRECT("'5借入一覧'!"&amp;EU515&amp;EV515)</f>
        <v/>
      </c>
      <c r="EX515">
        <v>2</v>
      </c>
      <c r="FK515" t="str">
        <f t="shared" si="79"/>
        <v/>
      </c>
    </row>
    <row r="516" spans="149:167">
      <c r="ES516">
        <v>509</v>
      </c>
      <c r="ET516" t="s">
        <v>356</v>
      </c>
      <c r="EU516" t="s">
        <v>357</v>
      </c>
      <c r="EV516">
        <v>10</v>
      </c>
      <c r="EW516" t="str" cm="1">
        <f t="array" aca="1" ref="EW516" ca="1">INDIRECT("'5借入一覧'!"&amp;ET516&amp;EV516)&amp;INDIRECT("'5借入一覧'!"&amp;EU516&amp;EV516)</f>
        <v/>
      </c>
      <c r="EX516">
        <v>2</v>
      </c>
      <c r="FK516" t="str">
        <f t="shared" si="79"/>
        <v/>
      </c>
    </row>
    <row r="517" spans="149:167">
      <c r="ES517">
        <v>510</v>
      </c>
      <c r="ET517" t="s">
        <v>356</v>
      </c>
      <c r="EU517" t="s">
        <v>357</v>
      </c>
      <c r="EV517">
        <v>11</v>
      </c>
      <c r="EW517" t="str" cm="1">
        <f t="array" aca="1" ref="EW517" ca="1">INDIRECT("'5借入一覧'!"&amp;ET517&amp;EV517)&amp;INDIRECT("'5借入一覧'!"&amp;EU517&amp;EV517)</f>
        <v/>
      </c>
      <c r="EX517">
        <v>2</v>
      </c>
      <c r="FK517" t="str">
        <f t="shared" si="79"/>
        <v/>
      </c>
    </row>
    <row r="518" spans="149:167">
      <c r="ES518">
        <v>511</v>
      </c>
      <c r="ET518" t="s">
        <v>356</v>
      </c>
      <c r="EU518" t="s">
        <v>357</v>
      </c>
      <c r="EV518">
        <v>12</v>
      </c>
      <c r="EW518" t="str" cm="1">
        <f t="array" aca="1" ref="EW518" ca="1">INDIRECT("'5借入一覧'!"&amp;ET518&amp;EV518)&amp;INDIRECT("'5借入一覧'!"&amp;EU518&amp;EV518)</f>
        <v/>
      </c>
      <c r="EX518">
        <v>2</v>
      </c>
      <c r="FK518" t="str">
        <f t="shared" si="79"/>
        <v/>
      </c>
    </row>
    <row r="519" spans="149:167">
      <c r="ES519">
        <v>512</v>
      </c>
      <c r="ET519" t="s">
        <v>356</v>
      </c>
      <c r="EU519" t="s">
        <v>357</v>
      </c>
      <c r="EV519">
        <v>13</v>
      </c>
      <c r="EW519" t="str" cm="1">
        <f t="array" aca="1" ref="EW519" ca="1">INDIRECT("'5借入一覧'!"&amp;ET519&amp;EV519)&amp;INDIRECT("'5借入一覧'!"&amp;EU519&amp;EV519)</f>
        <v/>
      </c>
      <c r="EX519">
        <v>2</v>
      </c>
      <c r="FK519" t="str">
        <f t="shared" si="79"/>
        <v/>
      </c>
    </row>
    <row r="520" spans="149:167">
      <c r="ES520">
        <v>513</v>
      </c>
      <c r="ET520" t="s">
        <v>356</v>
      </c>
      <c r="EU520" t="s">
        <v>357</v>
      </c>
      <c r="EV520">
        <v>14</v>
      </c>
      <c r="EW520" t="str" cm="1">
        <f t="array" aca="1" ref="EW520" ca="1">INDIRECT("'5借入一覧'!"&amp;ET520&amp;EV520)&amp;INDIRECT("'5借入一覧'!"&amp;EU520&amp;EV520)</f>
        <v/>
      </c>
      <c r="EX520">
        <v>2</v>
      </c>
      <c r="FK520" t="str">
        <f t="shared" ref="FK520:FK583" si="80">IF(FJ520&lt;&gt;"",LEFT(FJ520,LEN(FJ520)-1),"")</f>
        <v/>
      </c>
    </row>
    <row r="521" spans="149:167">
      <c r="ES521">
        <v>514</v>
      </c>
      <c r="ET521" t="s">
        <v>356</v>
      </c>
      <c r="EU521" t="s">
        <v>357</v>
      </c>
      <c r="EV521">
        <v>15</v>
      </c>
      <c r="EW521" t="str" cm="1">
        <f t="array" aca="1" ref="EW521" ca="1">INDIRECT("'5借入一覧'!"&amp;ET521&amp;EV521)&amp;INDIRECT("'5借入一覧'!"&amp;EU521&amp;EV521)</f>
        <v/>
      </c>
      <c r="EX521">
        <v>2</v>
      </c>
      <c r="FK521" t="str">
        <f t="shared" si="80"/>
        <v/>
      </c>
    </row>
    <row r="522" spans="149:167">
      <c r="ES522">
        <v>515</v>
      </c>
      <c r="ET522" t="s">
        <v>356</v>
      </c>
      <c r="EU522" t="s">
        <v>357</v>
      </c>
      <c r="EV522">
        <v>16</v>
      </c>
      <c r="EW522" t="str" cm="1">
        <f t="array" aca="1" ref="EW522" ca="1">INDIRECT("'5借入一覧'!"&amp;ET522&amp;EV522)&amp;INDIRECT("'5借入一覧'!"&amp;EU522&amp;EV522)</f>
        <v/>
      </c>
      <c r="EX522">
        <v>2</v>
      </c>
      <c r="FK522" t="str">
        <f t="shared" si="80"/>
        <v/>
      </c>
    </row>
    <row r="523" spans="149:167">
      <c r="ES523">
        <v>516</v>
      </c>
      <c r="ET523" t="s">
        <v>356</v>
      </c>
      <c r="EU523" t="s">
        <v>357</v>
      </c>
      <c r="EV523">
        <v>17</v>
      </c>
      <c r="EW523" t="str" cm="1">
        <f t="array" aca="1" ref="EW523" ca="1">INDIRECT("'5借入一覧'!"&amp;ET523&amp;EV523)&amp;INDIRECT("'5借入一覧'!"&amp;EU523&amp;EV523)</f>
        <v/>
      </c>
      <c r="EX523">
        <v>2</v>
      </c>
      <c r="FK523" t="str">
        <f t="shared" si="80"/>
        <v/>
      </c>
    </row>
    <row r="524" spans="149:167">
      <c r="ES524">
        <v>517</v>
      </c>
      <c r="ET524" t="s">
        <v>356</v>
      </c>
      <c r="EU524" t="s">
        <v>357</v>
      </c>
      <c r="EV524">
        <v>18</v>
      </c>
      <c r="EW524" t="str" cm="1">
        <f t="array" aca="1" ref="EW524" ca="1">INDIRECT("'5借入一覧'!"&amp;ET524&amp;EV524)&amp;INDIRECT("'5借入一覧'!"&amp;EU524&amp;EV524)</f>
        <v/>
      </c>
      <c r="EX524">
        <v>2</v>
      </c>
      <c r="FK524" t="str">
        <f t="shared" si="80"/>
        <v/>
      </c>
    </row>
    <row r="525" spans="149:167">
      <c r="ES525">
        <v>518</v>
      </c>
      <c r="ET525" t="s">
        <v>356</v>
      </c>
      <c r="EU525" t="s">
        <v>357</v>
      </c>
      <c r="EV525">
        <v>19</v>
      </c>
      <c r="EW525" t="str" cm="1">
        <f t="array" aca="1" ref="EW525" ca="1">INDIRECT("'5借入一覧'!"&amp;ET525&amp;EV525)&amp;INDIRECT("'5借入一覧'!"&amp;EU525&amp;EV525)</f>
        <v/>
      </c>
      <c r="EX525">
        <v>2</v>
      </c>
      <c r="FK525" t="str">
        <f t="shared" si="80"/>
        <v/>
      </c>
    </row>
    <row r="526" spans="149:167">
      <c r="ES526">
        <v>519</v>
      </c>
      <c r="ET526" t="s">
        <v>356</v>
      </c>
      <c r="EU526" t="s">
        <v>357</v>
      </c>
      <c r="EV526">
        <v>20</v>
      </c>
      <c r="EW526" t="str" cm="1">
        <f t="array" aca="1" ref="EW526" ca="1">INDIRECT("'5借入一覧'!"&amp;ET526&amp;EV526)&amp;INDIRECT("'5借入一覧'!"&amp;EU526&amp;EV526)</f>
        <v/>
      </c>
      <c r="EX526">
        <v>2</v>
      </c>
      <c r="FK526" t="str">
        <f t="shared" si="80"/>
        <v/>
      </c>
    </row>
    <row r="527" spans="149:167">
      <c r="ES527">
        <v>520</v>
      </c>
      <c r="ET527" t="s">
        <v>356</v>
      </c>
      <c r="EU527" t="s">
        <v>357</v>
      </c>
      <c r="EV527">
        <v>21</v>
      </c>
      <c r="EW527" t="str" cm="1">
        <f t="array" aca="1" ref="EW527" ca="1">INDIRECT("'5借入一覧'!"&amp;ET527&amp;EV527)&amp;INDIRECT("'5借入一覧'!"&amp;EU527&amp;EV527)</f>
        <v/>
      </c>
      <c r="EX527">
        <v>2</v>
      </c>
      <c r="FK527" t="str">
        <f t="shared" si="80"/>
        <v/>
      </c>
    </row>
    <row r="528" spans="149:167">
      <c r="ES528">
        <v>521</v>
      </c>
      <c r="ET528" t="s">
        <v>356</v>
      </c>
      <c r="EU528" t="s">
        <v>357</v>
      </c>
      <c r="EV528">
        <v>22</v>
      </c>
      <c r="EW528" t="str" cm="1">
        <f t="array" aca="1" ref="EW528" ca="1">INDIRECT("'5借入一覧'!"&amp;ET528&amp;EV528)&amp;INDIRECT("'5借入一覧'!"&amp;EU528&amp;EV528)</f>
        <v/>
      </c>
      <c r="EX528">
        <v>2</v>
      </c>
      <c r="FK528" t="str">
        <f t="shared" si="80"/>
        <v/>
      </c>
    </row>
    <row r="529" spans="149:167">
      <c r="ES529">
        <v>522</v>
      </c>
      <c r="ET529" t="s">
        <v>356</v>
      </c>
      <c r="EU529" t="s">
        <v>357</v>
      </c>
      <c r="EV529">
        <v>23</v>
      </c>
      <c r="EW529" t="str" cm="1">
        <f t="array" aca="1" ref="EW529" ca="1">INDIRECT("'5借入一覧'!"&amp;ET529&amp;EV529)&amp;INDIRECT("'5借入一覧'!"&amp;EU529&amp;EV529)</f>
        <v/>
      </c>
      <c r="EX529">
        <v>2</v>
      </c>
      <c r="FK529" t="str">
        <f t="shared" si="80"/>
        <v/>
      </c>
    </row>
    <row r="530" spans="149:167">
      <c r="ES530">
        <v>523</v>
      </c>
      <c r="ET530" t="s">
        <v>356</v>
      </c>
      <c r="EU530" t="s">
        <v>357</v>
      </c>
      <c r="EV530">
        <v>24</v>
      </c>
      <c r="EW530" t="str" cm="1">
        <f t="array" aca="1" ref="EW530" ca="1">INDIRECT("'5借入一覧'!"&amp;ET530&amp;EV530)&amp;INDIRECT("'5借入一覧'!"&amp;EU530&amp;EV530)</f>
        <v/>
      </c>
      <c r="EX530">
        <v>2</v>
      </c>
      <c r="FK530" t="str">
        <f t="shared" si="80"/>
        <v/>
      </c>
    </row>
    <row r="531" spans="149:167">
      <c r="ES531">
        <v>524</v>
      </c>
      <c r="ET531" t="s">
        <v>356</v>
      </c>
      <c r="EU531" t="s">
        <v>357</v>
      </c>
      <c r="EV531">
        <v>25</v>
      </c>
      <c r="EW531" t="str" cm="1">
        <f t="array" aca="1" ref="EW531" ca="1">INDIRECT("'5借入一覧'!"&amp;ET531&amp;EV531)&amp;INDIRECT("'5借入一覧'!"&amp;EU531&amp;EV531)</f>
        <v>111671</v>
      </c>
      <c r="EX531">
        <v>2</v>
      </c>
      <c r="FK531" t="str">
        <f t="shared" si="80"/>
        <v/>
      </c>
    </row>
    <row r="532" spans="149:167">
      <c r="ES532">
        <v>525</v>
      </c>
      <c r="ET532" t="s">
        <v>356</v>
      </c>
      <c r="EU532" t="s">
        <v>357</v>
      </c>
      <c r="EV532">
        <v>26</v>
      </c>
      <c r="EW532" t="str" cm="1">
        <f t="array" aca="1" ref="EW532" ca="1">INDIRECT("'5借入一覧'!"&amp;ET532&amp;EV532)&amp;INDIRECT("'5借入一覧'!"&amp;EU532&amp;EV532)</f>
        <v/>
      </c>
      <c r="EX532">
        <v>2</v>
      </c>
      <c r="FK532" t="str">
        <f t="shared" si="80"/>
        <v/>
      </c>
    </row>
    <row r="533" spans="149:167">
      <c r="ES533">
        <v>526</v>
      </c>
      <c r="ET533" t="s">
        <v>356</v>
      </c>
      <c r="EU533" t="s">
        <v>357</v>
      </c>
      <c r="EV533">
        <v>27</v>
      </c>
      <c r="EW533" t="str" cm="1">
        <f t="array" aca="1" ref="EW533" ca="1">INDIRECT("'5借入一覧'!"&amp;ET533&amp;EV533)&amp;INDIRECT("'5借入一覧'!"&amp;EU533&amp;EV533)</f>
        <v/>
      </c>
      <c r="EX533">
        <v>2</v>
      </c>
      <c r="FK533" t="str">
        <f t="shared" si="80"/>
        <v/>
      </c>
    </row>
    <row r="534" spans="149:167">
      <c r="ES534">
        <v>527</v>
      </c>
      <c r="ET534" t="s">
        <v>356</v>
      </c>
      <c r="EU534" t="s">
        <v>357</v>
      </c>
      <c r="EV534">
        <v>28</v>
      </c>
      <c r="EW534" t="str" cm="1">
        <f t="array" aca="1" ref="EW534" ca="1">INDIRECT("'5借入一覧'!"&amp;ET534&amp;EV534)&amp;INDIRECT("'5借入一覧'!"&amp;EU534&amp;EV534)</f>
        <v/>
      </c>
      <c r="EX534">
        <v>2</v>
      </c>
      <c r="FK534" t="str">
        <f t="shared" si="80"/>
        <v/>
      </c>
    </row>
    <row r="535" spans="149:167">
      <c r="ES535">
        <v>528</v>
      </c>
      <c r="ET535" t="s">
        <v>356</v>
      </c>
      <c r="EU535" t="s">
        <v>357</v>
      </c>
      <c r="EV535">
        <v>29</v>
      </c>
      <c r="EW535" t="str" cm="1">
        <f t="array" aca="1" ref="EW535" ca="1">INDIRECT("'5借入一覧'!"&amp;ET535&amp;EV535)&amp;INDIRECT("'5借入一覧'!"&amp;EU535&amp;EV535)</f>
        <v/>
      </c>
      <c r="EX535">
        <v>2</v>
      </c>
      <c r="FK535" t="str">
        <f t="shared" si="80"/>
        <v/>
      </c>
    </row>
    <row r="536" spans="149:167">
      <c r="ES536">
        <v>529</v>
      </c>
      <c r="ET536" t="s">
        <v>356</v>
      </c>
      <c r="EU536" t="s">
        <v>357</v>
      </c>
      <c r="EV536">
        <v>30</v>
      </c>
      <c r="EW536" t="str" cm="1">
        <f t="array" aca="1" ref="EW536" ca="1">INDIRECT("'5借入一覧'!"&amp;ET536&amp;EV536)&amp;INDIRECT("'5借入一覧'!"&amp;EU536&amp;EV536)</f>
        <v/>
      </c>
      <c r="EX536">
        <v>2</v>
      </c>
      <c r="FK536" t="str">
        <f t="shared" si="80"/>
        <v/>
      </c>
    </row>
    <row r="537" spans="149:167">
      <c r="ES537">
        <v>530</v>
      </c>
      <c r="ET537" t="s">
        <v>356</v>
      </c>
      <c r="EU537" t="s">
        <v>357</v>
      </c>
      <c r="EV537">
        <v>31</v>
      </c>
      <c r="EW537" t="str" cm="1">
        <f t="array" aca="1" ref="EW537" ca="1">INDIRECT("'5借入一覧'!"&amp;ET537&amp;EV537)&amp;INDIRECT("'5借入一覧'!"&amp;EU537&amp;EV537)</f>
        <v/>
      </c>
      <c r="EX537">
        <v>2</v>
      </c>
      <c r="FK537" t="str">
        <f t="shared" si="80"/>
        <v/>
      </c>
    </row>
    <row r="538" spans="149:167">
      <c r="ES538">
        <v>531</v>
      </c>
      <c r="ET538" t="s">
        <v>356</v>
      </c>
      <c r="EU538" t="s">
        <v>357</v>
      </c>
      <c r="EV538">
        <v>32</v>
      </c>
      <c r="EW538" t="str" cm="1">
        <f t="array" aca="1" ref="EW538" ca="1">INDIRECT("'5借入一覧'!"&amp;ET538&amp;EV538)&amp;INDIRECT("'5借入一覧'!"&amp;EU538&amp;EV538)</f>
        <v/>
      </c>
      <c r="EX538">
        <v>2</v>
      </c>
      <c r="FK538" t="str">
        <f t="shared" si="80"/>
        <v/>
      </c>
    </row>
    <row r="539" spans="149:167">
      <c r="ES539">
        <v>532</v>
      </c>
      <c r="ET539" t="s">
        <v>356</v>
      </c>
      <c r="EU539" t="s">
        <v>357</v>
      </c>
      <c r="EV539">
        <v>33</v>
      </c>
      <c r="EW539" t="str" cm="1">
        <f t="array" aca="1" ref="EW539" ca="1">INDIRECT("'5借入一覧'!"&amp;ET539&amp;EV539)&amp;INDIRECT("'5借入一覧'!"&amp;EU539&amp;EV539)</f>
        <v/>
      </c>
      <c r="EX539">
        <v>2</v>
      </c>
      <c r="FK539" t="str">
        <f t="shared" si="80"/>
        <v/>
      </c>
    </row>
    <row r="540" spans="149:167">
      <c r="ES540">
        <v>533</v>
      </c>
      <c r="ET540" t="s">
        <v>356</v>
      </c>
      <c r="EU540" t="s">
        <v>357</v>
      </c>
      <c r="EV540">
        <v>34</v>
      </c>
      <c r="EW540" t="str" cm="1">
        <f t="array" aca="1" ref="EW540" ca="1">INDIRECT("'5借入一覧'!"&amp;ET540&amp;EV540)&amp;INDIRECT("'5借入一覧'!"&amp;EU540&amp;EV540)</f>
        <v/>
      </c>
      <c r="EX540">
        <v>2</v>
      </c>
      <c r="FK540" t="str">
        <f t="shared" si="80"/>
        <v/>
      </c>
    </row>
    <row r="541" spans="149:167">
      <c r="ES541">
        <v>534</v>
      </c>
      <c r="ET541" t="s">
        <v>356</v>
      </c>
      <c r="EU541" t="s">
        <v>357</v>
      </c>
      <c r="EV541">
        <v>35</v>
      </c>
      <c r="EW541" t="str" cm="1">
        <f t="array" aca="1" ref="EW541" ca="1">INDIRECT("'5借入一覧'!"&amp;ET541&amp;EV541)&amp;INDIRECT("'5借入一覧'!"&amp;EU541&amp;EV541)</f>
        <v/>
      </c>
      <c r="EX541">
        <v>2</v>
      </c>
      <c r="FK541" t="str">
        <f t="shared" si="80"/>
        <v/>
      </c>
    </row>
    <row r="542" spans="149:167">
      <c r="ES542">
        <v>535</v>
      </c>
      <c r="ET542" t="s">
        <v>356</v>
      </c>
      <c r="EU542" t="s">
        <v>357</v>
      </c>
      <c r="EV542">
        <v>36</v>
      </c>
      <c r="EW542" t="str" cm="1">
        <f t="array" aca="1" ref="EW542" ca="1">INDIRECT("'5借入一覧'!"&amp;ET542&amp;EV542)&amp;INDIRECT("'5借入一覧'!"&amp;EU542&amp;EV542)</f>
        <v/>
      </c>
      <c r="EX542">
        <v>2</v>
      </c>
      <c r="FK542" t="str">
        <f t="shared" si="80"/>
        <v/>
      </c>
    </row>
    <row r="543" spans="149:167">
      <c r="ES543">
        <v>536</v>
      </c>
      <c r="ET543" t="s">
        <v>356</v>
      </c>
      <c r="EU543" t="s">
        <v>357</v>
      </c>
      <c r="EV543">
        <v>37</v>
      </c>
      <c r="EW543" t="str" cm="1">
        <f t="array" aca="1" ref="EW543" ca="1">INDIRECT("'5借入一覧'!"&amp;ET543&amp;EV543)&amp;INDIRECT("'5借入一覧'!"&amp;EU543&amp;EV543)</f>
        <v/>
      </c>
      <c r="EX543">
        <v>2</v>
      </c>
      <c r="FK543" t="str">
        <f t="shared" si="80"/>
        <v/>
      </c>
    </row>
    <row r="544" spans="149:167">
      <c r="ES544">
        <v>537</v>
      </c>
      <c r="ET544" t="s">
        <v>356</v>
      </c>
      <c r="EU544" t="s">
        <v>357</v>
      </c>
      <c r="EV544">
        <v>38</v>
      </c>
      <c r="EW544" t="str" cm="1">
        <f t="array" aca="1" ref="EW544" ca="1">INDIRECT("'5借入一覧'!"&amp;ET544&amp;EV544)&amp;INDIRECT("'5借入一覧'!"&amp;EU544&amp;EV544)</f>
        <v/>
      </c>
      <c r="EX544">
        <v>2</v>
      </c>
      <c r="FK544" t="str">
        <f t="shared" si="80"/>
        <v/>
      </c>
    </row>
    <row r="545" spans="149:167">
      <c r="ES545">
        <v>538</v>
      </c>
      <c r="ET545" t="s">
        <v>356</v>
      </c>
      <c r="EU545" t="s">
        <v>357</v>
      </c>
      <c r="EV545">
        <v>39</v>
      </c>
      <c r="EW545" t="str" cm="1">
        <f t="array" aca="1" ref="EW545" ca="1">INDIRECT("'5借入一覧'!"&amp;ET545&amp;EV545)&amp;INDIRECT("'5借入一覧'!"&amp;EU545&amp;EV545)</f>
        <v/>
      </c>
      <c r="EX545">
        <v>2</v>
      </c>
      <c r="FK545" t="str">
        <f t="shared" si="80"/>
        <v/>
      </c>
    </row>
    <row r="546" spans="149:167">
      <c r="ES546">
        <v>539</v>
      </c>
      <c r="ET546" t="s">
        <v>356</v>
      </c>
      <c r="EU546" t="s">
        <v>357</v>
      </c>
      <c r="EV546">
        <v>40</v>
      </c>
      <c r="EW546" t="str" cm="1">
        <f t="array" aca="1" ref="EW546" ca="1">INDIRECT("'5借入一覧'!"&amp;ET546&amp;EV546)&amp;INDIRECT("'5借入一覧'!"&amp;EU546&amp;EV546)</f>
        <v/>
      </c>
      <c r="EX546">
        <v>2</v>
      </c>
      <c r="FK546" t="str">
        <f t="shared" si="80"/>
        <v/>
      </c>
    </row>
    <row r="547" spans="149:167">
      <c r="ES547">
        <v>540</v>
      </c>
      <c r="ET547" t="s">
        <v>356</v>
      </c>
      <c r="EU547" t="s">
        <v>357</v>
      </c>
      <c r="EV547">
        <v>41</v>
      </c>
      <c r="EW547" t="str" cm="1">
        <f t="array" aca="1" ref="EW547" ca="1">INDIRECT("'5借入一覧'!"&amp;ET547&amp;EV547)&amp;INDIRECT("'5借入一覧'!"&amp;EU547&amp;EV547)</f>
        <v/>
      </c>
      <c r="EX547">
        <v>2</v>
      </c>
      <c r="FK547" t="str">
        <f t="shared" si="80"/>
        <v/>
      </c>
    </row>
    <row r="548" spans="149:167">
      <c r="ES548">
        <v>541</v>
      </c>
      <c r="ET548" t="s">
        <v>356</v>
      </c>
      <c r="EU548" t="s">
        <v>357</v>
      </c>
      <c r="EV548">
        <v>42</v>
      </c>
      <c r="EW548" t="str" cm="1">
        <f t="array" aca="1" ref="EW548" ca="1">INDIRECT("'5借入一覧'!"&amp;ET548&amp;EV548)&amp;INDIRECT("'5借入一覧'!"&amp;EU548&amp;EV548)</f>
        <v/>
      </c>
      <c r="EX548">
        <v>2</v>
      </c>
      <c r="FK548" t="str">
        <f t="shared" si="80"/>
        <v/>
      </c>
    </row>
    <row r="549" spans="149:167">
      <c r="ES549">
        <v>542</v>
      </c>
      <c r="ET549" t="s">
        <v>356</v>
      </c>
      <c r="EU549" t="s">
        <v>357</v>
      </c>
      <c r="EV549">
        <v>43</v>
      </c>
      <c r="EW549" t="str" cm="1">
        <f t="array" aca="1" ref="EW549" ca="1">INDIRECT("'5借入一覧'!"&amp;ET549&amp;EV549)&amp;INDIRECT("'5借入一覧'!"&amp;EU549&amp;EV549)</f>
        <v/>
      </c>
      <c r="EX549">
        <v>2</v>
      </c>
      <c r="FK549" t="str">
        <f t="shared" si="80"/>
        <v/>
      </c>
    </row>
    <row r="550" spans="149:167">
      <c r="ES550">
        <v>543</v>
      </c>
      <c r="ET550" t="s">
        <v>356</v>
      </c>
      <c r="EU550" t="s">
        <v>357</v>
      </c>
      <c r="EV550">
        <v>44</v>
      </c>
      <c r="EW550" t="str" cm="1">
        <f t="array" aca="1" ref="EW550" ca="1">INDIRECT("'5借入一覧'!"&amp;ET550&amp;EV550)&amp;INDIRECT("'5借入一覧'!"&amp;EU550&amp;EV550)</f>
        <v/>
      </c>
      <c r="EX550">
        <v>2</v>
      </c>
      <c r="FK550" t="str">
        <f t="shared" si="80"/>
        <v/>
      </c>
    </row>
    <row r="551" spans="149:167">
      <c r="ES551">
        <v>544</v>
      </c>
      <c r="ET551" t="s">
        <v>356</v>
      </c>
      <c r="EU551" t="s">
        <v>357</v>
      </c>
      <c r="EV551">
        <v>45</v>
      </c>
      <c r="EW551" t="str" cm="1">
        <f t="array" aca="1" ref="EW551" ca="1">INDIRECT("'5借入一覧'!"&amp;ET551&amp;EV551)&amp;INDIRECT("'5借入一覧'!"&amp;EU551&amp;EV551)</f>
        <v/>
      </c>
      <c r="EX551">
        <v>2</v>
      </c>
      <c r="FK551" t="str">
        <f t="shared" si="80"/>
        <v/>
      </c>
    </row>
    <row r="552" spans="149:167">
      <c r="ES552">
        <v>545</v>
      </c>
      <c r="ET552" t="s">
        <v>356</v>
      </c>
      <c r="EU552" t="s">
        <v>357</v>
      </c>
      <c r="EV552">
        <v>46</v>
      </c>
      <c r="EW552" t="str" cm="1">
        <f t="array" aca="1" ref="EW552" ca="1">INDIRECT("'5借入一覧'!"&amp;ET552&amp;EV552)&amp;INDIRECT("'5借入一覧'!"&amp;EU552&amp;EV552)</f>
        <v/>
      </c>
      <c r="EX552">
        <v>2</v>
      </c>
      <c r="FK552" t="str">
        <f t="shared" si="80"/>
        <v/>
      </c>
    </row>
    <row r="553" spans="149:167">
      <c r="ES553">
        <v>546</v>
      </c>
      <c r="ET553" t="s">
        <v>356</v>
      </c>
      <c r="EU553" t="s">
        <v>357</v>
      </c>
      <c r="EV553">
        <v>47</v>
      </c>
      <c r="EW553" t="str" cm="1">
        <f t="array" aca="1" ref="EW553" ca="1">INDIRECT("'5借入一覧'!"&amp;ET553&amp;EV553)&amp;INDIRECT("'5借入一覧'!"&amp;EU553&amp;EV553)</f>
        <v/>
      </c>
      <c r="EX553">
        <v>2</v>
      </c>
      <c r="FK553" t="str">
        <f t="shared" si="80"/>
        <v/>
      </c>
    </row>
    <row r="554" spans="149:167">
      <c r="ES554">
        <v>547</v>
      </c>
      <c r="ET554" t="s">
        <v>356</v>
      </c>
      <c r="EU554" t="s">
        <v>357</v>
      </c>
      <c r="EV554">
        <v>48</v>
      </c>
      <c r="EW554" t="str" cm="1">
        <f t="array" aca="1" ref="EW554" ca="1">INDIRECT("'5借入一覧'!"&amp;ET554&amp;EV554)&amp;INDIRECT("'5借入一覧'!"&amp;EU554&amp;EV554)</f>
        <v/>
      </c>
      <c r="EX554">
        <v>2</v>
      </c>
      <c r="FK554" t="str">
        <f t="shared" si="80"/>
        <v/>
      </c>
    </row>
    <row r="555" spans="149:167">
      <c r="ES555">
        <v>548</v>
      </c>
      <c r="ET555" t="s">
        <v>356</v>
      </c>
      <c r="EU555" t="s">
        <v>357</v>
      </c>
      <c r="EV555">
        <v>49</v>
      </c>
      <c r="EW555" t="str" cm="1">
        <f t="array" aca="1" ref="EW555" ca="1">INDIRECT("'5借入一覧'!"&amp;ET555&amp;EV555)&amp;INDIRECT("'5借入一覧'!"&amp;EU555&amp;EV555)</f>
        <v/>
      </c>
      <c r="EX555">
        <v>2</v>
      </c>
      <c r="FK555" t="str">
        <f t="shared" si="80"/>
        <v/>
      </c>
    </row>
    <row r="556" spans="149:167">
      <c r="ES556">
        <v>549</v>
      </c>
      <c r="ET556" t="s">
        <v>356</v>
      </c>
      <c r="EU556" t="s">
        <v>357</v>
      </c>
      <c r="EV556">
        <v>50</v>
      </c>
      <c r="EW556" t="str" cm="1">
        <f t="array" aca="1" ref="EW556" ca="1">INDIRECT("'5借入一覧'!"&amp;ET556&amp;EV556)&amp;INDIRECT("'5借入一覧'!"&amp;EU556&amp;EV556)</f>
        <v/>
      </c>
      <c r="EX556">
        <v>2</v>
      </c>
      <c r="FK556" t="str">
        <f t="shared" si="80"/>
        <v/>
      </c>
    </row>
    <row r="557" spans="149:167">
      <c r="ES557">
        <v>550</v>
      </c>
      <c r="ET557" t="s">
        <v>356</v>
      </c>
      <c r="EU557" t="s">
        <v>357</v>
      </c>
      <c r="EV557">
        <v>51</v>
      </c>
      <c r="EW557" t="str" cm="1">
        <f t="array" aca="1" ref="EW557" ca="1">INDIRECT("'5借入一覧'!"&amp;ET557&amp;EV557)&amp;INDIRECT("'5借入一覧'!"&amp;EU557&amp;EV557)</f>
        <v/>
      </c>
      <c r="EX557">
        <v>2</v>
      </c>
      <c r="FK557" t="str">
        <f t="shared" si="80"/>
        <v/>
      </c>
    </row>
    <row r="558" spans="149:167">
      <c r="ES558">
        <v>551</v>
      </c>
      <c r="ET558" t="s">
        <v>356</v>
      </c>
      <c r="EU558" t="s">
        <v>357</v>
      </c>
      <c r="EV558">
        <v>52</v>
      </c>
      <c r="EW558" t="str" cm="1">
        <f t="array" aca="1" ref="EW558" ca="1">INDIRECT("'5借入一覧'!"&amp;ET558&amp;EV558)&amp;INDIRECT("'5借入一覧'!"&amp;EU558&amp;EV558)</f>
        <v/>
      </c>
      <c r="EX558">
        <v>2</v>
      </c>
      <c r="FK558" t="str">
        <f t="shared" si="80"/>
        <v/>
      </c>
    </row>
    <row r="559" spans="149:167">
      <c r="ES559">
        <v>552</v>
      </c>
      <c r="ET559" t="s">
        <v>356</v>
      </c>
      <c r="EU559" t="s">
        <v>357</v>
      </c>
      <c r="EV559">
        <v>53</v>
      </c>
      <c r="EW559" t="str" cm="1">
        <f t="array" aca="1" ref="EW559" ca="1">INDIRECT("'5借入一覧'!"&amp;ET559&amp;EV559)&amp;INDIRECT("'5借入一覧'!"&amp;EU559&amp;EV559)</f>
        <v/>
      </c>
      <c r="EX559">
        <v>2</v>
      </c>
      <c r="FK559" t="str">
        <f t="shared" si="80"/>
        <v/>
      </c>
    </row>
    <row r="560" spans="149:167">
      <c r="ES560">
        <v>553</v>
      </c>
      <c r="ET560" t="s">
        <v>356</v>
      </c>
      <c r="EU560" t="s">
        <v>357</v>
      </c>
      <c r="EV560">
        <v>54</v>
      </c>
      <c r="EW560" t="str" cm="1">
        <f t="array" aca="1" ref="EW560" ca="1">INDIRECT("'5借入一覧'!"&amp;ET560&amp;EV560)&amp;INDIRECT("'5借入一覧'!"&amp;EU560&amp;EV560)</f>
        <v/>
      </c>
      <c r="EX560">
        <v>2</v>
      </c>
      <c r="FK560" t="str">
        <f t="shared" si="80"/>
        <v/>
      </c>
    </row>
    <row r="561" spans="149:167">
      <c r="ES561">
        <v>554</v>
      </c>
      <c r="ET561" t="s">
        <v>356</v>
      </c>
      <c r="EU561" t="s">
        <v>357</v>
      </c>
      <c r="EV561">
        <v>55</v>
      </c>
      <c r="EW561" t="str" cm="1">
        <f t="array" aca="1" ref="EW561" ca="1">INDIRECT("'5借入一覧'!"&amp;ET561&amp;EV561)&amp;INDIRECT("'5借入一覧'!"&amp;EU561&amp;EV561)</f>
        <v/>
      </c>
      <c r="EX561">
        <v>2</v>
      </c>
      <c r="FK561" t="str">
        <f t="shared" si="80"/>
        <v/>
      </c>
    </row>
    <row r="562" spans="149:167">
      <c r="ES562">
        <v>555</v>
      </c>
      <c r="ET562" t="s">
        <v>356</v>
      </c>
      <c r="EU562" t="s">
        <v>357</v>
      </c>
      <c r="EV562">
        <v>56</v>
      </c>
      <c r="EW562" t="str" cm="1">
        <f t="array" aca="1" ref="EW562" ca="1">INDIRECT("'5借入一覧'!"&amp;ET562&amp;EV562)&amp;INDIRECT("'5借入一覧'!"&amp;EU562&amp;EV562)</f>
        <v/>
      </c>
      <c r="EX562">
        <v>2</v>
      </c>
      <c r="FK562" t="str">
        <f t="shared" si="80"/>
        <v/>
      </c>
    </row>
    <row r="563" spans="149:167">
      <c r="ES563">
        <v>556</v>
      </c>
      <c r="ET563" t="s">
        <v>356</v>
      </c>
      <c r="EU563" t="s">
        <v>357</v>
      </c>
      <c r="EV563">
        <v>57</v>
      </c>
      <c r="EW563" t="str" cm="1">
        <f t="array" aca="1" ref="EW563" ca="1">INDIRECT("'5借入一覧'!"&amp;ET563&amp;EV563)&amp;INDIRECT("'5借入一覧'!"&amp;EU563&amp;EV563)</f>
        <v/>
      </c>
      <c r="EX563">
        <v>2</v>
      </c>
      <c r="FK563" t="str">
        <f t="shared" si="80"/>
        <v/>
      </c>
    </row>
    <row r="564" spans="149:167">
      <c r="ES564">
        <v>557</v>
      </c>
      <c r="ET564" t="s">
        <v>356</v>
      </c>
      <c r="EU564" t="s">
        <v>357</v>
      </c>
      <c r="EV564">
        <v>58</v>
      </c>
      <c r="EW564" t="str" cm="1">
        <f t="array" aca="1" ref="EW564" ca="1">INDIRECT("'5借入一覧'!"&amp;ET564&amp;EV564)&amp;INDIRECT("'5借入一覧'!"&amp;EU564&amp;EV564)</f>
        <v/>
      </c>
      <c r="EX564">
        <v>2</v>
      </c>
      <c r="FK564" t="str">
        <f t="shared" si="80"/>
        <v/>
      </c>
    </row>
    <row r="565" spans="149:167">
      <c r="ES565">
        <v>558</v>
      </c>
      <c r="ET565" t="s">
        <v>356</v>
      </c>
      <c r="EU565" t="s">
        <v>357</v>
      </c>
      <c r="EV565">
        <v>59</v>
      </c>
      <c r="EW565" t="str" cm="1">
        <f t="array" aca="1" ref="EW565" ca="1">INDIRECT("'5借入一覧'!"&amp;ET565&amp;EV565)&amp;INDIRECT("'5借入一覧'!"&amp;EU565&amp;EV565)</f>
        <v/>
      </c>
      <c r="EX565">
        <v>2</v>
      </c>
      <c r="FK565" t="str">
        <f t="shared" si="80"/>
        <v/>
      </c>
    </row>
    <row r="566" spans="149:167">
      <c r="ES566">
        <v>559</v>
      </c>
      <c r="ET566" t="s">
        <v>356</v>
      </c>
      <c r="EU566" t="s">
        <v>357</v>
      </c>
      <c r="EV566">
        <v>60</v>
      </c>
      <c r="EW566" t="str" cm="1">
        <f t="array" aca="1" ref="EW566" ca="1">INDIRECT("'5借入一覧'!"&amp;ET566&amp;EV566)&amp;INDIRECT("'5借入一覧'!"&amp;EU566&amp;EV566)</f>
        <v/>
      </c>
      <c r="EX566">
        <v>2</v>
      </c>
      <c r="FK566" t="str">
        <f t="shared" si="80"/>
        <v/>
      </c>
    </row>
    <row r="567" spans="149:167">
      <c r="ES567">
        <v>560</v>
      </c>
      <c r="ET567" t="s">
        <v>356</v>
      </c>
      <c r="EU567" t="s">
        <v>357</v>
      </c>
      <c r="EV567">
        <v>61</v>
      </c>
      <c r="EW567" t="str" cm="1">
        <f t="array" aca="1" ref="EW567" ca="1">INDIRECT("'5借入一覧'!"&amp;ET567&amp;EV567)&amp;INDIRECT("'5借入一覧'!"&amp;EU567&amp;EV567)</f>
        <v/>
      </c>
      <c r="EX567">
        <v>2</v>
      </c>
      <c r="FK567" t="str">
        <f t="shared" si="80"/>
        <v/>
      </c>
    </row>
    <row r="568" spans="149:167">
      <c r="ES568">
        <v>561</v>
      </c>
      <c r="ET568" t="s">
        <v>356</v>
      </c>
      <c r="EU568" t="s">
        <v>357</v>
      </c>
      <c r="EV568">
        <v>62</v>
      </c>
      <c r="EW568" t="str" cm="1">
        <f t="array" aca="1" ref="EW568" ca="1">INDIRECT("'5借入一覧'!"&amp;ET568&amp;EV568)&amp;INDIRECT("'5借入一覧'!"&amp;EU568&amp;EV568)</f>
        <v/>
      </c>
      <c r="EX568">
        <v>2</v>
      </c>
      <c r="FK568" t="str">
        <f t="shared" si="80"/>
        <v/>
      </c>
    </row>
    <row r="569" spans="149:167">
      <c r="ES569">
        <v>562</v>
      </c>
      <c r="ET569" t="s">
        <v>356</v>
      </c>
      <c r="EU569" t="s">
        <v>357</v>
      </c>
      <c r="EV569">
        <v>63</v>
      </c>
      <c r="EW569" t="str" cm="1">
        <f t="array" aca="1" ref="EW569" ca="1">INDIRECT("'5借入一覧'!"&amp;ET569&amp;EV569)&amp;INDIRECT("'5借入一覧'!"&amp;EU569&amp;EV569)</f>
        <v/>
      </c>
      <c r="EX569">
        <v>2</v>
      </c>
      <c r="FK569" t="str">
        <f t="shared" si="80"/>
        <v/>
      </c>
    </row>
    <row r="570" spans="149:167">
      <c r="ES570">
        <v>563</v>
      </c>
      <c r="ET570" t="s">
        <v>356</v>
      </c>
      <c r="EU570" t="s">
        <v>357</v>
      </c>
      <c r="EV570">
        <v>64</v>
      </c>
      <c r="EW570" t="str" cm="1">
        <f t="array" aca="1" ref="EW570" ca="1">INDIRECT("'5借入一覧'!"&amp;ET570&amp;EV570)&amp;INDIRECT("'5借入一覧'!"&amp;EU570&amp;EV570)</f>
        <v/>
      </c>
      <c r="EX570">
        <v>2</v>
      </c>
      <c r="FK570" t="str">
        <f t="shared" si="80"/>
        <v/>
      </c>
    </row>
    <row r="571" spans="149:167">
      <c r="ES571">
        <v>564</v>
      </c>
      <c r="ET571" t="s">
        <v>356</v>
      </c>
      <c r="EU571" t="s">
        <v>357</v>
      </c>
      <c r="EV571">
        <v>65</v>
      </c>
      <c r="EW571" t="str" cm="1">
        <f t="array" aca="1" ref="EW571" ca="1">INDIRECT("'5借入一覧'!"&amp;ET571&amp;EV571)&amp;INDIRECT("'5借入一覧'!"&amp;EU571&amp;EV571)</f>
        <v/>
      </c>
      <c r="EX571">
        <v>2</v>
      </c>
      <c r="FK571" t="str">
        <f t="shared" si="80"/>
        <v/>
      </c>
    </row>
    <row r="572" spans="149:167">
      <c r="ES572">
        <v>565</v>
      </c>
      <c r="ET572" t="s">
        <v>356</v>
      </c>
      <c r="EU572" t="s">
        <v>357</v>
      </c>
      <c r="EV572">
        <v>66</v>
      </c>
      <c r="EW572" t="str" cm="1">
        <f t="array" aca="1" ref="EW572" ca="1">INDIRECT("'5借入一覧'!"&amp;ET572&amp;EV572)&amp;INDIRECT("'5借入一覧'!"&amp;EU572&amp;EV572)</f>
        <v/>
      </c>
      <c r="EX572">
        <v>2</v>
      </c>
      <c r="FK572" t="str">
        <f t="shared" si="80"/>
        <v/>
      </c>
    </row>
    <row r="573" spans="149:167">
      <c r="ES573">
        <v>566</v>
      </c>
      <c r="ET573" t="s">
        <v>356</v>
      </c>
      <c r="EU573" t="s">
        <v>357</v>
      </c>
      <c r="EV573">
        <v>67</v>
      </c>
      <c r="EW573" t="str" cm="1">
        <f t="array" aca="1" ref="EW573" ca="1">INDIRECT("'5借入一覧'!"&amp;ET573&amp;EV573)&amp;INDIRECT("'5借入一覧'!"&amp;EU573&amp;EV573)</f>
        <v/>
      </c>
      <c r="EX573">
        <v>2</v>
      </c>
      <c r="FK573" t="str">
        <f t="shared" si="80"/>
        <v/>
      </c>
    </row>
    <row r="574" spans="149:167">
      <c r="ES574">
        <v>567</v>
      </c>
      <c r="ET574" t="s">
        <v>356</v>
      </c>
      <c r="EU574" t="s">
        <v>357</v>
      </c>
      <c r="EV574">
        <v>68</v>
      </c>
      <c r="EW574" t="str" cm="1">
        <f t="array" aca="1" ref="EW574" ca="1">INDIRECT("'5借入一覧'!"&amp;ET574&amp;EV574)&amp;INDIRECT("'5借入一覧'!"&amp;EU574&amp;EV574)</f>
        <v/>
      </c>
      <c r="EX574">
        <v>2</v>
      </c>
      <c r="FK574" t="str">
        <f t="shared" si="80"/>
        <v/>
      </c>
    </row>
    <row r="575" spans="149:167">
      <c r="ES575">
        <v>568</v>
      </c>
      <c r="ET575" t="s">
        <v>356</v>
      </c>
      <c r="EU575" t="s">
        <v>357</v>
      </c>
      <c r="EV575">
        <v>69</v>
      </c>
      <c r="EW575" t="str" cm="1">
        <f t="array" aca="1" ref="EW575" ca="1">INDIRECT("'5借入一覧'!"&amp;ET575&amp;EV575)&amp;INDIRECT("'5借入一覧'!"&amp;EU575&amp;EV575)</f>
        <v/>
      </c>
      <c r="EX575">
        <v>2</v>
      </c>
      <c r="FK575" t="str">
        <f t="shared" si="80"/>
        <v/>
      </c>
    </row>
    <row r="576" spans="149:167">
      <c r="ES576">
        <v>569</v>
      </c>
      <c r="ET576" t="s">
        <v>356</v>
      </c>
      <c r="EU576" t="s">
        <v>357</v>
      </c>
      <c r="EV576">
        <v>70</v>
      </c>
      <c r="EW576" t="str" cm="1">
        <f t="array" aca="1" ref="EW576" ca="1">INDIRECT("'5借入一覧'!"&amp;ET576&amp;EV576)&amp;INDIRECT("'5借入一覧'!"&amp;EU576&amp;EV576)</f>
        <v/>
      </c>
      <c r="EX576">
        <v>2</v>
      </c>
      <c r="FK576" t="str">
        <f t="shared" si="80"/>
        <v/>
      </c>
    </row>
    <row r="577" spans="149:167">
      <c r="ES577">
        <v>570</v>
      </c>
      <c r="ET577" t="s">
        <v>356</v>
      </c>
      <c r="EU577" t="s">
        <v>357</v>
      </c>
      <c r="EV577">
        <v>71</v>
      </c>
      <c r="EW577" t="str" cm="1">
        <f t="array" aca="1" ref="EW577" ca="1">INDIRECT("'5借入一覧'!"&amp;ET577&amp;EV577)&amp;INDIRECT("'5借入一覧'!"&amp;EU577&amp;EV577)</f>
        <v/>
      </c>
      <c r="EX577">
        <v>2</v>
      </c>
      <c r="FK577" t="str">
        <f t="shared" si="80"/>
        <v/>
      </c>
    </row>
    <row r="578" spans="149:167">
      <c r="ES578">
        <v>571</v>
      </c>
      <c r="ET578" t="s">
        <v>356</v>
      </c>
      <c r="EU578" t="s">
        <v>357</v>
      </c>
      <c r="EV578">
        <v>72</v>
      </c>
      <c r="EW578" t="str" cm="1">
        <f t="array" aca="1" ref="EW578" ca="1">INDIRECT("'5借入一覧'!"&amp;ET578&amp;EV578)&amp;INDIRECT("'5借入一覧'!"&amp;EU578&amp;EV578)</f>
        <v/>
      </c>
      <c r="EX578">
        <v>2</v>
      </c>
      <c r="FK578" t="str">
        <f t="shared" si="80"/>
        <v/>
      </c>
    </row>
    <row r="579" spans="149:167">
      <c r="ES579">
        <v>572</v>
      </c>
      <c r="ET579" t="s">
        <v>356</v>
      </c>
      <c r="EU579" t="s">
        <v>357</v>
      </c>
      <c r="EV579">
        <v>73</v>
      </c>
      <c r="EW579" t="str" cm="1">
        <f t="array" aca="1" ref="EW579" ca="1">INDIRECT("'5借入一覧'!"&amp;ET579&amp;EV579)&amp;INDIRECT("'5借入一覧'!"&amp;EU579&amp;EV579)</f>
        <v/>
      </c>
      <c r="EX579">
        <v>2</v>
      </c>
      <c r="FK579" t="str">
        <f t="shared" si="80"/>
        <v/>
      </c>
    </row>
    <row r="580" spans="149:167">
      <c r="ES580">
        <v>573</v>
      </c>
      <c r="ET580" t="s">
        <v>356</v>
      </c>
      <c r="EU580" t="s">
        <v>357</v>
      </c>
      <c r="EV580">
        <v>74</v>
      </c>
      <c r="EW580" t="str" cm="1">
        <f t="array" aca="1" ref="EW580" ca="1">INDIRECT("'5借入一覧'!"&amp;ET580&amp;EV580)&amp;INDIRECT("'5借入一覧'!"&amp;EU580&amp;EV580)</f>
        <v/>
      </c>
      <c r="EX580">
        <v>2</v>
      </c>
      <c r="FK580" t="str">
        <f t="shared" si="80"/>
        <v/>
      </c>
    </row>
    <row r="581" spans="149:167">
      <c r="ES581">
        <v>574</v>
      </c>
      <c r="ET581" t="s">
        <v>356</v>
      </c>
      <c r="EU581" t="s">
        <v>357</v>
      </c>
      <c r="EV581">
        <v>75</v>
      </c>
      <c r="EW581" t="str" cm="1">
        <f t="array" aca="1" ref="EW581" ca="1">INDIRECT("'5借入一覧'!"&amp;ET581&amp;EV581)&amp;INDIRECT("'5借入一覧'!"&amp;EU581&amp;EV581)</f>
        <v/>
      </c>
      <c r="EX581">
        <v>2</v>
      </c>
      <c r="FK581" t="str">
        <f t="shared" si="80"/>
        <v/>
      </c>
    </row>
    <row r="582" spans="149:167">
      <c r="ES582">
        <v>575</v>
      </c>
      <c r="ET582" t="s">
        <v>356</v>
      </c>
      <c r="EU582" t="s">
        <v>357</v>
      </c>
      <c r="EV582">
        <v>76</v>
      </c>
      <c r="EW582" t="str" cm="1">
        <f t="array" aca="1" ref="EW582" ca="1">INDIRECT("'5借入一覧'!"&amp;ET582&amp;EV582)&amp;INDIRECT("'5借入一覧'!"&amp;EU582&amp;EV582)</f>
        <v/>
      </c>
      <c r="EX582">
        <v>2</v>
      </c>
      <c r="FK582" t="str">
        <f t="shared" si="80"/>
        <v/>
      </c>
    </row>
    <row r="583" spans="149:167">
      <c r="ES583">
        <v>576</v>
      </c>
      <c r="ET583" t="s">
        <v>356</v>
      </c>
      <c r="EU583" t="s">
        <v>357</v>
      </c>
      <c r="EV583">
        <v>77</v>
      </c>
      <c r="EW583" t="str" cm="1">
        <f t="array" aca="1" ref="EW583" ca="1">INDIRECT("'5借入一覧'!"&amp;ET583&amp;EV583)&amp;INDIRECT("'5借入一覧'!"&amp;EU583&amp;EV583)</f>
        <v/>
      </c>
      <c r="EX583">
        <v>2</v>
      </c>
      <c r="FK583" t="str">
        <f t="shared" si="80"/>
        <v/>
      </c>
    </row>
    <row r="584" spans="149:167">
      <c r="ES584">
        <v>577</v>
      </c>
      <c r="ET584" t="s">
        <v>356</v>
      </c>
      <c r="EU584" t="s">
        <v>357</v>
      </c>
      <c r="EV584">
        <v>78</v>
      </c>
      <c r="EW584" t="str" cm="1">
        <f t="array" aca="1" ref="EW584" ca="1">INDIRECT("'5借入一覧'!"&amp;ET584&amp;EV584)&amp;INDIRECT("'5借入一覧'!"&amp;EU584&amp;EV584)</f>
        <v/>
      </c>
      <c r="EX584">
        <v>2</v>
      </c>
      <c r="FK584" t="str">
        <f t="shared" ref="FK584:FK647" si="81">IF(FJ584&lt;&gt;"",LEFT(FJ584,LEN(FJ584)-1),"")</f>
        <v/>
      </c>
    </row>
    <row r="585" spans="149:167">
      <c r="ES585">
        <v>578</v>
      </c>
      <c r="ET585" t="s">
        <v>356</v>
      </c>
      <c r="EU585" t="s">
        <v>357</v>
      </c>
      <c r="EV585">
        <v>79</v>
      </c>
      <c r="EW585" t="str" cm="1">
        <f t="array" aca="1" ref="EW585" ca="1">INDIRECT("'5借入一覧'!"&amp;ET585&amp;EV585)&amp;INDIRECT("'5借入一覧'!"&amp;EU585&amp;EV585)</f>
        <v/>
      </c>
      <c r="EX585">
        <v>2</v>
      </c>
      <c r="FK585" t="str">
        <f t="shared" si="81"/>
        <v/>
      </c>
    </row>
    <row r="586" spans="149:167">
      <c r="ES586">
        <v>579</v>
      </c>
      <c r="ET586" t="s">
        <v>356</v>
      </c>
      <c r="EU586" t="s">
        <v>357</v>
      </c>
      <c r="EV586">
        <v>80</v>
      </c>
      <c r="EW586" t="str" cm="1">
        <f t="array" aca="1" ref="EW586" ca="1">INDIRECT("'5借入一覧'!"&amp;ET586&amp;EV586)&amp;INDIRECT("'5借入一覧'!"&amp;EU586&amp;EV586)</f>
        <v/>
      </c>
      <c r="EX586">
        <v>2</v>
      </c>
      <c r="FK586" t="str">
        <f t="shared" si="81"/>
        <v/>
      </c>
    </row>
    <row r="587" spans="149:167">
      <c r="ES587">
        <v>580</v>
      </c>
      <c r="ET587" t="s">
        <v>356</v>
      </c>
      <c r="EU587" t="s">
        <v>357</v>
      </c>
      <c r="EV587">
        <v>81</v>
      </c>
      <c r="EW587" t="str" cm="1">
        <f t="array" aca="1" ref="EW587" ca="1">INDIRECT("'5借入一覧'!"&amp;ET587&amp;EV587)&amp;INDIRECT("'5借入一覧'!"&amp;EU587&amp;EV587)</f>
        <v/>
      </c>
      <c r="EX587">
        <v>2</v>
      </c>
      <c r="FK587" t="str">
        <f t="shared" si="81"/>
        <v/>
      </c>
    </row>
    <row r="588" spans="149:167">
      <c r="ES588">
        <v>581</v>
      </c>
      <c r="ET588" t="s">
        <v>356</v>
      </c>
      <c r="EU588" t="s">
        <v>357</v>
      </c>
      <c r="EV588">
        <v>82</v>
      </c>
      <c r="EW588" t="str" cm="1">
        <f t="array" aca="1" ref="EW588" ca="1">INDIRECT("'5借入一覧'!"&amp;ET588&amp;EV588)&amp;INDIRECT("'5借入一覧'!"&amp;EU588&amp;EV588)</f>
        <v/>
      </c>
      <c r="EX588">
        <v>2</v>
      </c>
      <c r="FK588" t="str">
        <f t="shared" si="81"/>
        <v/>
      </c>
    </row>
    <row r="589" spans="149:167">
      <c r="ES589">
        <v>582</v>
      </c>
      <c r="ET589" t="s">
        <v>356</v>
      </c>
      <c r="EU589" t="s">
        <v>357</v>
      </c>
      <c r="EV589">
        <v>83</v>
      </c>
      <c r="EW589" t="str" cm="1">
        <f t="array" aca="1" ref="EW589" ca="1">INDIRECT("'5借入一覧'!"&amp;ET589&amp;EV589)&amp;INDIRECT("'5借入一覧'!"&amp;EU589&amp;EV589)</f>
        <v/>
      </c>
      <c r="EX589">
        <v>2</v>
      </c>
      <c r="FK589" t="str">
        <f t="shared" si="81"/>
        <v/>
      </c>
    </row>
    <row r="590" spans="149:167">
      <c r="ES590">
        <v>583</v>
      </c>
      <c r="ET590" t="s">
        <v>356</v>
      </c>
      <c r="EU590" t="s">
        <v>357</v>
      </c>
      <c r="EV590">
        <v>84</v>
      </c>
      <c r="EW590" t="str" cm="1">
        <f t="array" aca="1" ref="EW590" ca="1">INDIRECT("'5借入一覧'!"&amp;ET590&amp;EV590)&amp;INDIRECT("'5借入一覧'!"&amp;EU590&amp;EV590)</f>
        <v/>
      </c>
      <c r="EX590">
        <v>2</v>
      </c>
      <c r="FK590" t="str">
        <f t="shared" si="81"/>
        <v/>
      </c>
    </row>
    <row r="591" spans="149:167">
      <c r="ES591">
        <v>584</v>
      </c>
      <c r="ET591" t="s">
        <v>356</v>
      </c>
      <c r="EU591" t="s">
        <v>357</v>
      </c>
      <c r="EV591">
        <v>85</v>
      </c>
      <c r="EW591" t="str" cm="1">
        <f t="array" aca="1" ref="EW591" ca="1">INDIRECT("'5借入一覧'!"&amp;ET591&amp;EV591)&amp;INDIRECT("'5借入一覧'!"&amp;EU591&amp;EV591)</f>
        <v/>
      </c>
      <c r="EX591">
        <v>2</v>
      </c>
      <c r="FK591" t="str">
        <f t="shared" si="81"/>
        <v/>
      </c>
    </row>
    <row r="592" spans="149:167">
      <c r="ES592">
        <v>585</v>
      </c>
      <c r="ET592" t="s">
        <v>356</v>
      </c>
      <c r="EU592" t="s">
        <v>357</v>
      </c>
      <c r="EV592">
        <v>86</v>
      </c>
      <c r="EW592" t="str" cm="1">
        <f t="array" aca="1" ref="EW592" ca="1">INDIRECT("'5借入一覧'!"&amp;ET592&amp;EV592)&amp;INDIRECT("'5借入一覧'!"&amp;EU592&amp;EV592)</f>
        <v/>
      </c>
      <c r="EX592">
        <v>2</v>
      </c>
      <c r="FK592" t="str">
        <f t="shared" si="81"/>
        <v/>
      </c>
    </row>
    <row r="593" spans="149:167">
      <c r="ES593">
        <v>586</v>
      </c>
      <c r="ET593" t="s">
        <v>356</v>
      </c>
      <c r="EU593" t="s">
        <v>357</v>
      </c>
      <c r="EV593">
        <v>87</v>
      </c>
      <c r="EW593" t="str" cm="1">
        <f t="array" aca="1" ref="EW593" ca="1">INDIRECT("'5借入一覧'!"&amp;ET593&amp;EV593)&amp;INDIRECT("'5借入一覧'!"&amp;EU593&amp;EV593)</f>
        <v/>
      </c>
      <c r="EX593">
        <v>2</v>
      </c>
      <c r="FK593" t="str">
        <f t="shared" si="81"/>
        <v/>
      </c>
    </row>
    <row r="594" spans="149:167">
      <c r="ES594">
        <v>587</v>
      </c>
      <c r="ET594" t="s">
        <v>356</v>
      </c>
      <c r="EU594" t="s">
        <v>357</v>
      </c>
      <c r="EV594">
        <v>88</v>
      </c>
      <c r="EW594" t="str" cm="1">
        <f t="array" aca="1" ref="EW594" ca="1">INDIRECT("'5借入一覧'!"&amp;ET594&amp;EV594)&amp;INDIRECT("'5借入一覧'!"&amp;EU594&amp;EV594)</f>
        <v/>
      </c>
      <c r="EX594">
        <v>2</v>
      </c>
      <c r="FK594" t="str">
        <f t="shared" si="81"/>
        <v/>
      </c>
    </row>
    <row r="595" spans="149:167">
      <c r="ES595">
        <v>588</v>
      </c>
      <c r="ET595" t="s">
        <v>356</v>
      </c>
      <c r="EU595" t="s">
        <v>357</v>
      </c>
      <c r="EV595">
        <v>89</v>
      </c>
      <c r="EW595" t="str" cm="1">
        <f t="array" aca="1" ref="EW595" ca="1">INDIRECT("'5借入一覧'!"&amp;ET595&amp;EV595)&amp;INDIRECT("'5借入一覧'!"&amp;EU595&amp;EV595)</f>
        <v/>
      </c>
      <c r="EX595">
        <v>2</v>
      </c>
      <c r="FK595" t="str">
        <f t="shared" si="81"/>
        <v/>
      </c>
    </row>
    <row r="596" spans="149:167">
      <c r="ES596">
        <v>589</v>
      </c>
      <c r="ET596" t="s">
        <v>356</v>
      </c>
      <c r="EU596" t="s">
        <v>357</v>
      </c>
      <c r="EV596">
        <v>90</v>
      </c>
      <c r="EW596" t="str" cm="1">
        <f t="array" aca="1" ref="EW596" ca="1">INDIRECT("'5借入一覧'!"&amp;ET596&amp;EV596)&amp;INDIRECT("'5借入一覧'!"&amp;EU596&amp;EV596)</f>
        <v/>
      </c>
      <c r="EX596">
        <v>2</v>
      </c>
      <c r="FK596" t="str">
        <f t="shared" si="81"/>
        <v/>
      </c>
    </row>
    <row r="597" spans="149:167">
      <c r="ES597">
        <v>590</v>
      </c>
      <c r="ET597" t="s">
        <v>356</v>
      </c>
      <c r="EU597" t="s">
        <v>357</v>
      </c>
      <c r="EV597">
        <v>91</v>
      </c>
      <c r="EW597" t="str" cm="1">
        <f t="array" aca="1" ref="EW597" ca="1">INDIRECT("'5借入一覧'!"&amp;ET597&amp;EV597)&amp;INDIRECT("'5借入一覧'!"&amp;EU597&amp;EV597)</f>
        <v/>
      </c>
      <c r="EX597">
        <v>2</v>
      </c>
      <c r="FK597" t="str">
        <f t="shared" si="81"/>
        <v/>
      </c>
    </row>
    <row r="598" spans="149:167">
      <c r="ES598">
        <v>591</v>
      </c>
      <c r="ET598" t="s">
        <v>356</v>
      </c>
      <c r="EU598" t="s">
        <v>357</v>
      </c>
      <c r="EV598">
        <v>92</v>
      </c>
      <c r="EW598" t="str" cm="1">
        <f t="array" aca="1" ref="EW598" ca="1">INDIRECT("'5借入一覧'!"&amp;ET598&amp;EV598)&amp;INDIRECT("'5借入一覧'!"&amp;EU598&amp;EV598)</f>
        <v/>
      </c>
      <c r="EX598">
        <v>2</v>
      </c>
      <c r="FK598" t="str">
        <f t="shared" si="81"/>
        <v/>
      </c>
    </row>
    <row r="599" spans="149:167">
      <c r="ES599">
        <v>592</v>
      </c>
      <c r="ET599" t="s">
        <v>356</v>
      </c>
      <c r="EU599" t="s">
        <v>357</v>
      </c>
      <c r="EV599">
        <v>93</v>
      </c>
      <c r="EW599" t="str" cm="1">
        <f t="array" aca="1" ref="EW599" ca="1">INDIRECT("'5借入一覧'!"&amp;ET599&amp;EV599)&amp;INDIRECT("'5借入一覧'!"&amp;EU599&amp;EV599)</f>
        <v/>
      </c>
      <c r="EX599">
        <v>2</v>
      </c>
      <c r="FK599" t="str">
        <f t="shared" si="81"/>
        <v/>
      </c>
    </row>
    <row r="600" spans="149:167">
      <c r="ES600">
        <v>593</v>
      </c>
      <c r="ET600" t="s">
        <v>356</v>
      </c>
      <c r="EU600" t="s">
        <v>357</v>
      </c>
      <c r="EV600">
        <v>94</v>
      </c>
      <c r="EW600" t="str" cm="1">
        <f t="array" aca="1" ref="EW600" ca="1">INDIRECT("'5借入一覧'!"&amp;ET600&amp;EV600)&amp;INDIRECT("'5借入一覧'!"&amp;EU600&amp;EV600)</f>
        <v/>
      </c>
      <c r="EX600">
        <v>2</v>
      </c>
      <c r="FK600" t="str">
        <f t="shared" si="81"/>
        <v/>
      </c>
    </row>
    <row r="601" spans="149:167">
      <c r="ES601">
        <v>594</v>
      </c>
      <c r="ET601" t="s">
        <v>356</v>
      </c>
      <c r="EU601" t="s">
        <v>357</v>
      </c>
      <c r="EV601">
        <v>95</v>
      </c>
      <c r="EW601" t="str" cm="1">
        <f t="array" aca="1" ref="EW601" ca="1">INDIRECT("'5借入一覧'!"&amp;ET601&amp;EV601)&amp;INDIRECT("'5借入一覧'!"&amp;EU601&amp;EV601)</f>
        <v/>
      </c>
      <c r="EX601">
        <v>2</v>
      </c>
      <c r="FK601" t="str">
        <f t="shared" si="81"/>
        <v/>
      </c>
    </row>
    <row r="602" spans="149:167">
      <c r="ES602">
        <v>595</v>
      </c>
      <c r="ET602" t="s">
        <v>356</v>
      </c>
      <c r="EU602" t="s">
        <v>357</v>
      </c>
      <c r="EV602">
        <v>96</v>
      </c>
      <c r="EW602" t="str" cm="1">
        <f t="array" aca="1" ref="EW602" ca="1">INDIRECT("'5借入一覧'!"&amp;ET602&amp;EV602)&amp;INDIRECT("'5借入一覧'!"&amp;EU602&amp;EV602)</f>
        <v/>
      </c>
      <c r="EX602">
        <v>2</v>
      </c>
      <c r="FK602" t="str">
        <f t="shared" si="81"/>
        <v/>
      </c>
    </row>
    <row r="603" spans="149:167">
      <c r="ES603">
        <v>596</v>
      </c>
      <c r="ET603" t="s">
        <v>356</v>
      </c>
      <c r="EU603" t="s">
        <v>357</v>
      </c>
      <c r="EV603">
        <v>97</v>
      </c>
      <c r="EW603" t="str" cm="1">
        <f t="array" aca="1" ref="EW603" ca="1">INDIRECT("'5借入一覧'!"&amp;ET603&amp;EV603)&amp;INDIRECT("'5借入一覧'!"&amp;EU603&amp;EV603)</f>
        <v/>
      </c>
      <c r="EX603">
        <v>2</v>
      </c>
      <c r="FK603" t="str">
        <f t="shared" si="81"/>
        <v/>
      </c>
    </row>
    <row r="604" spans="149:167">
      <c r="ES604">
        <v>597</v>
      </c>
      <c r="ET604" t="s">
        <v>356</v>
      </c>
      <c r="EU604" t="s">
        <v>357</v>
      </c>
      <c r="EV604">
        <v>98</v>
      </c>
      <c r="EW604" t="str" cm="1">
        <f t="array" aca="1" ref="EW604" ca="1">INDIRECT("'5借入一覧'!"&amp;ET604&amp;EV604)&amp;INDIRECT("'5借入一覧'!"&amp;EU604&amp;EV604)</f>
        <v/>
      </c>
      <c r="EX604">
        <v>2</v>
      </c>
      <c r="FK604" t="str">
        <f t="shared" si="81"/>
        <v/>
      </c>
    </row>
    <row r="605" spans="149:167">
      <c r="ES605">
        <v>598</v>
      </c>
      <c r="ET605" t="s">
        <v>356</v>
      </c>
      <c r="EU605" t="s">
        <v>357</v>
      </c>
      <c r="EV605">
        <v>99</v>
      </c>
      <c r="EW605" t="str" cm="1">
        <f t="array" aca="1" ref="EW605" ca="1">INDIRECT("'5借入一覧'!"&amp;ET605&amp;EV605)&amp;INDIRECT("'5借入一覧'!"&amp;EU605&amp;EV605)</f>
        <v/>
      </c>
      <c r="EX605">
        <v>2</v>
      </c>
      <c r="FK605" t="str">
        <f t="shared" si="81"/>
        <v/>
      </c>
    </row>
    <row r="606" spans="149:167">
      <c r="ES606">
        <v>599</v>
      </c>
      <c r="ET606" t="s">
        <v>356</v>
      </c>
      <c r="EU606" t="s">
        <v>357</v>
      </c>
      <c r="EV606">
        <v>100</v>
      </c>
      <c r="EW606" t="str" cm="1">
        <f t="array" aca="1" ref="EW606" ca="1">INDIRECT("'5借入一覧'!"&amp;ET606&amp;EV606)&amp;INDIRECT("'5借入一覧'!"&amp;EU606&amp;EV606)</f>
        <v/>
      </c>
      <c r="EX606">
        <v>2</v>
      </c>
      <c r="FK606" t="str">
        <f t="shared" si="81"/>
        <v/>
      </c>
    </row>
    <row r="607" spans="149:167">
      <c r="ES607">
        <v>600</v>
      </c>
      <c r="ET607" t="s">
        <v>356</v>
      </c>
      <c r="EU607" t="s">
        <v>357</v>
      </c>
      <c r="EV607">
        <v>101</v>
      </c>
      <c r="EW607" t="str" cm="1">
        <f t="array" aca="1" ref="EW607" ca="1">INDIRECT("'5借入一覧'!"&amp;ET607&amp;EV607)&amp;INDIRECT("'5借入一覧'!"&amp;EU607&amp;EV607)</f>
        <v/>
      </c>
      <c r="EX607">
        <v>2</v>
      </c>
      <c r="FK607" t="str">
        <f t="shared" si="81"/>
        <v/>
      </c>
    </row>
    <row r="608" spans="149:167">
      <c r="ES608">
        <v>601</v>
      </c>
      <c r="ET608" t="s">
        <v>356</v>
      </c>
      <c r="EU608" t="s">
        <v>357</v>
      </c>
      <c r="EV608">
        <v>102</v>
      </c>
      <c r="EW608" t="str" cm="1">
        <f t="array" aca="1" ref="EW608" ca="1">INDIRECT("'5借入一覧'!"&amp;ET608&amp;EV608)&amp;INDIRECT("'5借入一覧'!"&amp;EU608&amp;EV608)</f>
        <v/>
      </c>
      <c r="EX608">
        <v>2</v>
      </c>
      <c r="FK608" t="str">
        <f t="shared" si="81"/>
        <v/>
      </c>
    </row>
    <row r="609" spans="149:167">
      <c r="ES609">
        <v>602</v>
      </c>
      <c r="ET609" t="s">
        <v>356</v>
      </c>
      <c r="EU609" t="s">
        <v>357</v>
      </c>
      <c r="EV609">
        <v>103</v>
      </c>
      <c r="EW609" t="str" cm="1">
        <f t="array" aca="1" ref="EW609" ca="1">INDIRECT("'5借入一覧'!"&amp;ET609&amp;EV609)&amp;INDIRECT("'5借入一覧'!"&amp;EU609&amp;EV609)</f>
        <v/>
      </c>
      <c r="EX609">
        <v>2</v>
      </c>
      <c r="FK609" t="str">
        <f t="shared" si="81"/>
        <v/>
      </c>
    </row>
    <row r="610" spans="149:167">
      <c r="ES610">
        <v>603</v>
      </c>
      <c r="ET610" t="s">
        <v>356</v>
      </c>
      <c r="EU610" t="s">
        <v>357</v>
      </c>
      <c r="EV610">
        <v>104</v>
      </c>
      <c r="EW610" t="str" cm="1">
        <f t="array" aca="1" ref="EW610" ca="1">INDIRECT("'5借入一覧'!"&amp;ET610&amp;EV610)&amp;INDIRECT("'5借入一覧'!"&amp;EU610&amp;EV610)</f>
        <v/>
      </c>
      <c r="EX610">
        <v>2</v>
      </c>
      <c r="FK610" t="str">
        <f t="shared" si="81"/>
        <v/>
      </c>
    </row>
    <row r="611" spans="149:167">
      <c r="ES611">
        <v>604</v>
      </c>
      <c r="ET611" t="s">
        <v>356</v>
      </c>
      <c r="EU611" t="s">
        <v>357</v>
      </c>
      <c r="EV611">
        <v>105</v>
      </c>
      <c r="EW611" t="str" cm="1">
        <f t="array" aca="1" ref="EW611" ca="1">INDIRECT("'5借入一覧'!"&amp;ET611&amp;EV611)&amp;INDIRECT("'5借入一覧'!"&amp;EU611&amp;EV611)</f>
        <v/>
      </c>
      <c r="EX611">
        <v>2</v>
      </c>
      <c r="FK611" t="str">
        <f t="shared" si="81"/>
        <v/>
      </c>
    </row>
    <row r="612" spans="149:167">
      <c r="ES612">
        <v>605</v>
      </c>
      <c r="ET612" t="s">
        <v>356</v>
      </c>
      <c r="EU612" t="s">
        <v>357</v>
      </c>
      <c r="EV612">
        <v>106</v>
      </c>
      <c r="EW612" t="str" cm="1">
        <f t="array" aca="1" ref="EW612" ca="1">INDIRECT("'5借入一覧'!"&amp;ET612&amp;EV612)&amp;INDIRECT("'5借入一覧'!"&amp;EU612&amp;EV612)</f>
        <v/>
      </c>
      <c r="EX612">
        <v>2</v>
      </c>
      <c r="FK612" t="str">
        <f t="shared" si="81"/>
        <v/>
      </c>
    </row>
    <row r="613" spans="149:167">
      <c r="ES613">
        <v>606</v>
      </c>
      <c r="ET613" t="s">
        <v>356</v>
      </c>
      <c r="EU613" t="s">
        <v>357</v>
      </c>
      <c r="EV613">
        <v>107</v>
      </c>
      <c r="EW613" t="str" cm="1">
        <f t="array" aca="1" ref="EW613" ca="1">INDIRECT("'5借入一覧'!"&amp;ET613&amp;EV613)&amp;INDIRECT("'5借入一覧'!"&amp;EU613&amp;EV613)</f>
        <v/>
      </c>
      <c r="EX613">
        <v>2</v>
      </c>
      <c r="FK613" t="str">
        <f t="shared" si="81"/>
        <v/>
      </c>
    </row>
    <row r="614" spans="149:167">
      <c r="ES614">
        <v>607</v>
      </c>
      <c r="ET614" t="s">
        <v>356</v>
      </c>
      <c r="EU614" t="s">
        <v>357</v>
      </c>
      <c r="EV614">
        <v>108</v>
      </c>
      <c r="EW614" t="str" cm="1">
        <f t="array" aca="1" ref="EW614" ca="1">INDIRECT("'5借入一覧'!"&amp;ET614&amp;EV614)&amp;INDIRECT("'5借入一覧'!"&amp;EU614&amp;EV614)</f>
        <v/>
      </c>
      <c r="EX614">
        <v>2</v>
      </c>
      <c r="FK614" t="str">
        <f t="shared" si="81"/>
        <v/>
      </c>
    </row>
    <row r="615" spans="149:167">
      <c r="ES615">
        <v>608</v>
      </c>
      <c r="ET615" t="s">
        <v>356</v>
      </c>
      <c r="EU615" t="s">
        <v>357</v>
      </c>
      <c r="EV615">
        <v>109</v>
      </c>
      <c r="EW615" t="str" cm="1">
        <f t="array" aca="1" ref="EW615" ca="1">INDIRECT("'5借入一覧'!"&amp;ET615&amp;EV615)&amp;INDIRECT("'5借入一覧'!"&amp;EU615&amp;EV615)</f>
        <v/>
      </c>
      <c r="EX615">
        <v>2</v>
      </c>
      <c r="FK615" t="str">
        <f t="shared" si="81"/>
        <v/>
      </c>
    </row>
    <row r="616" spans="149:167">
      <c r="ES616">
        <v>609</v>
      </c>
      <c r="ET616" t="s">
        <v>356</v>
      </c>
      <c r="EU616" t="s">
        <v>357</v>
      </c>
      <c r="EV616">
        <v>110</v>
      </c>
      <c r="EW616" t="str" cm="1">
        <f t="array" aca="1" ref="EW616" ca="1">INDIRECT("'5借入一覧'!"&amp;ET616&amp;EV616)&amp;INDIRECT("'5借入一覧'!"&amp;EU616&amp;EV616)</f>
        <v/>
      </c>
      <c r="EX616">
        <v>2</v>
      </c>
      <c r="FK616" t="str">
        <f t="shared" si="81"/>
        <v/>
      </c>
    </row>
    <row r="617" spans="149:167">
      <c r="ES617">
        <v>610</v>
      </c>
      <c r="ET617" t="s">
        <v>356</v>
      </c>
      <c r="EU617" t="s">
        <v>357</v>
      </c>
      <c r="EV617">
        <v>111</v>
      </c>
      <c r="EW617" t="str" cm="1">
        <f t="array" aca="1" ref="EW617" ca="1">INDIRECT("'5借入一覧'!"&amp;ET617&amp;EV617)&amp;INDIRECT("'5借入一覧'!"&amp;EU617&amp;EV617)</f>
        <v/>
      </c>
      <c r="EX617">
        <v>2</v>
      </c>
      <c r="FK617" t="str">
        <f t="shared" si="81"/>
        <v/>
      </c>
    </row>
    <row r="618" spans="149:167">
      <c r="ES618">
        <v>611</v>
      </c>
      <c r="ET618" t="s">
        <v>356</v>
      </c>
      <c r="EU618" t="s">
        <v>357</v>
      </c>
      <c r="EV618">
        <v>112</v>
      </c>
      <c r="EW618" t="str" cm="1">
        <f t="array" aca="1" ref="EW618" ca="1">INDIRECT("'5借入一覧'!"&amp;ET618&amp;EV618)&amp;INDIRECT("'5借入一覧'!"&amp;EU618&amp;EV618)</f>
        <v/>
      </c>
      <c r="EX618">
        <v>2</v>
      </c>
      <c r="FK618" t="str">
        <f t="shared" si="81"/>
        <v/>
      </c>
    </row>
    <row r="619" spans="149:167">
      <c r="ES619">
        <v>612</v>
      </c>
      <c r="ET619" t="s">
        <v>356</v>
      </c>
      <c r="EU619" t="s">
        <v>357</v>
      </c>
      <c r="EV619">
        <v>113</v>
      </c>
      <c r="EW619" t="str" cm="1">
        <f t="array" aca="1" ref="EW619" ca="1">INDIRECT("'5借入一覧'!"&amp;ET619&amp;EV619)&amp;INDIRECT("'5借入一覧'!"&amp;EU619&amp;EV619)</f>
        <v/>
      </c>
      <c r="EX619">
        <v>2</v>
      </c>
      <c r="FK619" t="str">
        <f t="shared" si="81"/>
        <v/>
      </c>
    </row>
    <row r="620" spans="149:167">
      <c r="ES620">
        <v>613</v>
      </c>
      <c r="ET620" t="s">
        <v>356</v>
      </c>
      <c r="EU620" t="s">
        <v>357</v>
      </c>
      <c r="EV620">
        <v>114</v>
      </c>
      <c r="EW620" t="str" cm="1">
        <f t="array" aca="1" ref="EW620" ca="1">INDIRECT("'5借入一覧'!"&amp;ET620&amp;EV620)&amp;INDIRECT("'5借入一覧'!"&amp;EU620&amp;EV620)</f>
        <v/>
      </c>
      <c r="EX620">
        <v>2</v>
      </c>
      <c r="FK620" t="str">
        <f t="shared" si="81"/>
        <v/>
      </c>
    </row>
    <row r="621" spans="149:167">
      <c r="ES621">
        <v>614</v>
      </c>
      <c r="ET621" t="s">
        <v>356</v>
      </c>
      <c r="EU621" t="s">
        <v>357</v>
      </c>
      <c r="EV621">
        <v>115</v>
      </c>
      <c r="EW621" t="str" cm="1">
        <f t="array" aca="1" ref="EW621" ca="1">INDIRECT("'5借入一覧'!"&amp;ET621&amp;EV621)&amp;INDIRECT("'5借入一覧'!"&amp;EU621&amp;EV621)</f>
        <v/>
      </c>
      <c r="EX621">
        <v>2</v>
      </c>
      <c r="FK621" t="str">
        <f t="shared" si="81"/>
        <v/>
      </c>
    </row>
    <row r="622" spans="149:167">
      <c r="ES622">
        <v>615</v>
      </c>
      <c r="ET622" t="s">
        <v>356</v>
      </c>
      <c r="EU622" t="s">
        <v>357</v>
      </c>
      <c r="EV622">
        <v>116</v>
      </c>
      <c r="EW622" t="str" cm="1">
        <f t="array" aca="1" ref="EW622" ca="1">INDIRECT("'5借入一覧'!"&amp;ET622&amp;EV622)&amp;INDIRECT("'5借入一覧'!"&amp;EU622&amp;EV622)</f>
        <v/>
      </c>
      <c r="EX622">
        <v>2</v>
      </c>
      <c r="FK622" t="str">
        <f t="shared" si="81"/>
        <v/>
      </c>
    </row>
    <row r="623" spans="149:167">
      <c r="ES623">
        <v>616</v>
      </c>
      <c r="ET623" t="s">
        <v>356</v>
      </c>
      <c r="EU623" t="s">
        <v>357</v>
      </c>
      <c r="EV623">
        <v>117</v>
      </c>
      <c r="EW623" t="str" cm="1">
        <f t="array" aca="1" ref="EW623" ca="1">INDIRECT("'5借入一覧'!"&amp;ET623&amp;EV623)&amp;INDIRECT("'5借入一覧'!"&amp;EU623&amp;EV623)</f>
        <v/>
      </c>
      <c r="EX623">
        <v>2</v>
      </c>
      <c r="FK623" t="str">
        <f t="shared" si="81"/>
        <v/>
      </c>
    </row>
    <row r="624" spans="149:167">
      <c r="ES624">
        <v>617</v>
      </c>
      <c r="ET624" t="s">
        <v>356</v>
      </c>
      <c r="EU624" t="s">
        <v>357</v>
      </c>
      <c r="EV624">
        <v>118</v>
      </c>
      <c r="EW624" t="str" cm="1">
        <f t="array" aca="1" ref="EW624" ca="1">INDIRECT("'5借入一覧'!"&amp;ET624&amp;EV624)&amp;INDIRECT("'5借入一覧'!"&amp;EU624&amp;EV624)</f>
        <v/>
      </c>
      <c r="EX624">
        <v>2</v>
      </c>
      <c r="FK624" t="str">
        <f t="shared" si="81"/>
        <v/>
      </c>
    </row>
    <row r="625" spans="149:167">
      <c r="ES625">
        <v>618</v>
      </c>
      <c r="ET625" t="s">
        <v>356</v>
      </c>
      <c r="EU625" t="s">
        <v>357</v>
      </c>
      <c r="EV625">
        <v>119</v>
      </c>
      <c r="EW625" t="str" cm="1">
        <f t="array" aca="1" ref="EW625" ca="1">INDIRECT("'5借入一覧'!"&amp;ET625&amp;EV625)&amp;INDIRECT("'5借入一覧'!"&amp;EU625&amp;EV625)</f>
        <v/>
      </c>
      <c r="EX625">
        <v>2</v>
      </c>
      <c r="FK625" t="str">
        <f t="shared" si="81"/>
        <v/>
      </c>
    </row>
    <row r="626" spans="149:167">
      <c r="ES626">
        <v>619</v>
      </c>
      <c r="ET626" t="s">
        <v>356</v>
      </c>
      <c r="EU626" t="s">
        <v>357</v>
      </c>
      <c r="EV626">
        <v>120</v>
      </c>
      <c r="EW626" t="str" cm="1">
        <f t="array" aca="1" ref="EW626" ca="1">INDIRECT("'5借入一覧'!"&amp;ET626&amp;EV626)&amp;INDIRECT("'5借入一覧'!"&amp;EU626&amp;EV626)</f>
        <v/>
      </c>
      <c r="EX626">
        <v>2</v>
      </c>
      <c r="FK626" t="str">
        <f t="shared" si="81"/>
        <v/>
      </c>
    </row>
    <row r="627" spans="149:167">
      <c r="ES627">
        <v>620</v>
      </c>
      <c r="ET627" t="s">
        <v>356</v>
      </c>
      <c r="EU627" t="s">
        <v>357</v>
      </c>
      <c r="EV627">
        <v>121</v>
      </c>
      <c r="EW627" t="str" cm="1">
        <f t="array" aca="1" ref="EW627" ca="1">INDIRECT("'5借入一覧'!"&amp;ET627&amp;EV627)&amp;INDIRECT("'5借入一覧'!"&amp;EU627&amp;EV627)</f>
        <v/>
      </c>
      <c r="EX627">
        <v>2</v>
      </c>
      <c r="FK627" t="str">
        <f t="shared" si="81"/>
        <v/>
      </c>
    </row>
    <row r="628" spans="149:167">
      <c r="ES628">
        <v>621</v>
      </c>
      <c r="ET628" t="s">
        <v>356</v>
      </c>
      <c r="EU628" t="s">
        <v>357</v>
      </c>
      <c r="EV628">
        <v>122</v>
      </c>
      <c r="EW628" t="str" cm="1">
        <f t="array" aca="1" ref="EW628" ca="1">INDIRECT("'5借入一覧'!"&amp;ET628&amp;EV628)&amp;INDIRECT("'5借入一覧'!"&amp;EU628&amp;EV628)</f>
        <v/>
      </c>
      <c r="EX628">
        <v>2</v>
      </c>
      <c r="FK628" t="str">
        <f t="shared" si="81"/>
        <v/>
      </c>
    </row>
    <row r="629" spans="149:167">
      <c r="ES629">
        <v>622</v>
      </c>
      <c r="ET629" t="s">
        <v>356</v>
      </c>
      <c r="EU629" t="s">
        <v>357</v>
      </c>
      <c r="EV629">
        <v>123</v>
      </c>
      <c r="EW629" t="str" cm="1">
        <f t="array" aca="1" ref="EW629" ca="1">INDIRECT("'5借入一覧'!"&amp;ET629&amp;EV629)&amp;INDIRECT("'5借入一覧'!"&amp;EU629&amp;EV629)</f>
        <v/>
      </c>
      <c r="EX629">
        <v>2</v>
      </c>
      <c r="FK629" t="str">
        <f t="shared" si="81"/>
        <v/>
      </c>
    </row>
    <row r="630" spans="149:167">
      <c r="ES630">
        <v>623</v>
      </c>
      <c r="ET630" t="s">
        <v>356</v>
      </c>
      <c r="EU630" t="s">
        <v>357</v>
      </c>
      <c r="EV630">
        <v>124</v>
      </c>
      <c r="EW630" t="str" cm="1">
        <f t="array" aca="1" ref="EW630" ca="1">INDIRECT("'5借入一覧'!"&amp;ET630&amp;EV630)&amp;INDIRECT("'5借入一覧'!"&amp;EU630&amp;EV630)</f>
        <v/>
      </c>
      <c r="EX630">
        <v>2</v>
      </c>
      <c r="FK630" t="str">
        <f t="shared" si="81"/>
        <v/>
      </c>
    </row>
    <row r="631" spans="149:167">
      <c r="ES631">
        <v>624</v>
      </c>
      <c r="ET631" t="s">
        <v>356</v>
      </c>
      <c r="EU631" t="s">
        <v>357</v>
      </c>
      <c r="EV631">
        <v>125</v>
      </c>
      <c r="EW631" t="str" cm="1">
        <f t="array" aca="1" ref="EW631" ca="1">INDIRECT("'5借入一覧'!"&amp;ET631&amp;EV631)&amp;INDIRECT("'5借入一覧'!"&amp;EU631&amp;EV631)</f>
        <v/>
      </c>
      <c r="EX631">
        <v>2</v>
      </c>
      <c r="FK631" t="str">
        <f t="shared" si="81"/>
        <v/>
      </c>
    </row>
    <row r="632" spans="149:167">
      <c r="ES632">
        <v>625</v>
      </c>
      <c r="ET632" t="s">
        <v>356</v>
      </c>
      <c r="EU632" t="s">
        <v>357</v>
      </c>
      <c r="EV632">
        <v>126</v>
      </c>
      <c r="EW632" t="str" cm="1">
        <f t="array" aca="1" ref="EW632" ca="1">INDIRECT("'5借入一覧'!"&amp;ET632&amp;EV632)&amp;INDIRECT("'5借入一覧'!"&amp;EU632&amp;EV632)</f>
        <v/>
      </c>
      <c r="EX632">
        <v>2</v>
      </c>
      <c r="FK632" t="str">
        <f t="shared" si="81"/>
        <v/>
      </c>
    </row>
    <row r="633" spans="149:167">
      <c r="ES633">
        <v>626</v>
      </c>
      <c r="ET633" t="s">
        <v>356</v>
      </c>
      <c r="EU633" t="s">
        <v>357</v>
      </c>
      <c r="EV633">
        <v>127</v>
      </c>
      <c r="EW633" t="str" cm="1">
        <f t="array" aca="1" ref="EW633" ca="1">INDIRECT("'5借入一覧'!"&amp;ET633&amp;EV633)&amp;INDIRECT("'5借入一覧'!"&amp;EU633&amp;EV633)</f>
        <v/>
      </c>
      <c r="EX633">
        <v>2</v>
      </c>
      <c r="FK633" t="str">
        <f t="shared" si="81"/>
        <v/>
      </c>
    </row>
    <row r="634" spans="149:167">
      <c r="ES634">
        <v>627</v>
      </c>
      <c r="ET634" t="s">
        <v>356</v>
      </c>
      <c r="EU634" t="s">
        <v>357</v>
      </c>
      <c r="EV634">
        <v>128</v>
      </c>
      <c r="EW634" t="str" cm="1">
        <f t="array" aca="1" ref="EW634" ca="1">INDIRECT("'5借入一覧'!"&amp;ET634&amp;EV634)&amp;INDIRECT("'5借入一覧'!"&amp;EU634&amp;EV634)</f>
        <v/>
      </c>
      <c r="EX634">
        <v>2</v>
      </c>
      <c r="FK634" t="str">
        <f t="shared" si="81"/>
        <v/>
      </c>
    </row>
    <row r="635" spans="149:167">
      <c r="ES635">
        <v>628</v>
      </c>
      <c r="ET635" t="s">
        <v>356</v>
      </c>
      <c r="EU635" t="s">
        <v>357</v>
      </c>
      <c r="EV635">
        <v>129</v>
      </c>
      <c r="EW635" t="str" cm="1">
        <f t="array" aca="1" ref="EW635" ca="1">INDIRECT("'5借入一覧'!"&amp;ET635&amp;EV635)&amp;INDIRECT("'5借入一覧'!"&amp;EU635&amp;EV635)</f>
        <v/>
      </c>
      <c r="EX635">
        <v>2</v>
      </c>
      <c r="FK635" t="str">
        <f t="shared" si="81"/>
        <v/>
      </c>
    </row>
    <row r="636" spans="149:167">
      <c r="ES636">
        <v>629</v>
      </c>
      <c r="ET636" t="s">
        <v>356</v>
      </c>
      <c r="EU636" t="s">
        <v>357</v>
      </c>
      <c r="EV636">
        <v>130</v>
      </c>
      <c r="EW636" t="str" cm="1">
        <f t="array" aca="1" ref="EW636" ca="1">INDIRECT("'5借入一覧'!"&amp;ET636&amp;EV636)&amp;INDIRECT("'5借入一覧'!"&amp;EU636&amp;EV636)</f>
        <v/>
      </c>
      <c r="EX636">
        <v>2</v>
      </c>
      <c r="FK636" t="str">
        <f t="shared" si="81"/>
        <v/>
      </c>
    </row>
    <row r="637" spans="149:167">
      <c r="ES637">
        <v>630</v>
      </c>
      <c r="ET637" t="s">
        <v>356</v>
      </c>
      <c r="EU637" t="s">
        <v>357</v>
      </c>
      <c r="EV637">
        <v>131</v>
      </c>
      <c r="EW637" t="str" cm="1">
        <f t="array" aca="1" ref="EW637" ca="1">INDIRECT("'5借入一覧'!"&amp;ET637&amp;EV637)&amp;INDIRECT("'5借入一覧'!"&amp;EU637&amp;EV637)</f>
        <v/>
      </c>
      <c r="EX637">
        <v>2</v>
      </c>
      <c r="FK637" t="str">
        <f t="shared" si="81"/>
        <v/>
      </c>
    </row>
    <row r="638" spans="149:167">
      <c r="ES638">
        <v>631</v>
      </c>
      <c r="ET638" t="s">
        <v>356</v>
      </c>
      <c r="EU638" t="s">
        <v>357</v>
      </c>
      <c r="EV638">
        <v>132</v>
      </c>
      <c r="EW638" t="str" cm="1">
        <f t="array" aca="1" ref="EW638" ca="1">INDIRECT("'5借入一覧'!"&amp;ET638&amp;EV638)&amp;INDIRECT("'5借入一覧'!"&amp;EU638&amp;EV638)</f>
        <v/>
      </c>
      <c r="EX638">
        <v>2</v>
      </c>
      <c r="FK638" t="str">
        <f t="shared" si="81"/>
        <v/>
      </c>
    </row>
    <row r="639" spans="149:167">
      <c r="ES639">
        <v>632</v>
      </c>
      <c r="ET639" t="s">
        <v>356</v>
      </c>
      <c r="EU639" t="s">
        <v>357</v>
      </c>
      <c r="EV639">
        <v>133</v>
      </c>
      <c r="EW639" t="str" cm="1">
        <f t="array" aca="1" ref="EW639" ca="1">INDIRECT("'5借入一覧'!"&amp;ET639&amp;EV639)&amp;INDIRECT("'5借入一覧'!"&amp;EU639&amp;EV639)</f>
        <v/>
      </c>
      <c r="EX639">
        <v>2</v>
      </c>
      <c r="FK639" t="str">
        <f t="shared" si="81"/>
        <v/>
      </c>
    </row>
    <row r="640" spans="149:167">
      <c r="ES640">
        <v>633</v>
      </c>
      <c r="ET640" t="s">
        <v>356</v>
      </c>
      <c r="EU640" t="s">
        <v>357</v>
      </c>
      <c r="EV640">
        <v>134</v>
      </c>
      <c r="EW640" t="str" cm="1">
        <f t="array" aca="1" ref="EW640" ca="1">INDIRECT("'5借入一覧'!"&amp;ET640&amp;EV640)&amp;INDIRECT("'5借入一覧'!"&amp;EU640&amp;EV640)</f>
        <v/>
      </c>
      <c r="EX640">
        <v>2</v>
      </c>
      <c r="FK640" t="str">
        <f t="shared" si="81"/>
        <v/>
      </c>
    </row>
    <row r="641" spans="149:167">
      <c r="ES641">
        <v>634</v>
      </c>
      <c r="ET641" t="s">
        <v>356</v>
      </c>
      <c r="EU641" t="s">
        <v>357</v>
      </c>
      <c r="EV641">
        <v>135</v>
      </c>
      <c r="EW641" t="str" cm="1">
        <f t="array" aca="1" ref="EW641" ca="1">INDIRECT("'5借入一覧'!"&amp;ET641&amp;EV641)&amp;INDIRECT("'5借入一覧'!"&amp;EU641&amp;EV641)</f>
        <v/>
      </c>
      <c r="EX641">
        <v>2</v>
      </c>
      <c r="FK641" t="str">
        <f t="shared" si="81"/>
        <v/>
      </c>
    </row>
    <row r="642" spans="149:167">
      <c r="ES642">
        <v>635</v>
      </c>
      <c r="ET642" t="s">
        <v>356</v>
      </c>
      <c r="EU642" t="s">
        <v>357</v>
      </c>
      <c r="EV642">
        <v>136</v>
      </c>
      <c r="EW642" t="str" cm="1">
        <f t="array" aca="1" ref="EW642" ca="1">INDIRECT("'5借入一覧'!"&amp;ET642&amp;EV642)&amp;INDIRECT("'5借入一覧'!"&amp;EU642&amp;EV642)</f>
        <v/>
      </c>
      <c r="EX642">
        <v>2</v>
      </c>
      <c r="FK642" t="str">
        <f t="shared" si="81"/>
        <v/>
      </c>
    </row>
    <row r="643" spans="149:167">
      <c r="ES643">
        <v>636</v>
      </c>
      <c r="ET643" t="s">
        <v>356</v>
      </c>
      <c r="EU643" t="s">
        <v>357</v>
      </c>
      <c r="EV643">
        <v>137</v>
      </c>
      <c r="EW643" t="str" cm="1">
        <f t="array" aca="1" ref="EW643" ca="1">INDIRECT("'5借入一覧'!"&amp;ET643&amp;EV643)&amp;INDIRECT("'5借入一覧'!"&amp;EU643&amp;EV643)</f>
        <v/>
      </c>
      <c r="EX643">
        <v>2</v>
      </c>
      <c r="FK643" t="str">
        <f t="shared" si="81"/>
        <v/>
      </c>
    </row>
    <row r="644" spans="149:167">
      <c r="ES644">
        <v>637</v>
      </c>
      <c r="ET644" t="s">
        <v>356</v>
      </c>
      <c r="EU644" t="s">
        <v>357</v>
      </c>
      <c r="EV644">
        <v>138</v>
      </c>
      <c r="EW644" t="str" cm="1">
        <f t="array" aca="1" ref="EW644" ca="1">INDIRECT("'5借入一覧'!"&amp;ET644&amp;EV644)&amp;INDIRECT("'5借入一覧'!"&amp;EU644&amp;EV644)</f>
        <v/>
      </c>
      <c r="EX644">
        <v>2</v>
      </c>
      <c r="FK644" t="str">
        <f t="shared" si="81"/>
        <v/>
      </c>
    </row>
    <row r="645" spans="149:167">
      <c r="ES645">
        <v>638</v>
      </c>
      <c r="ET645" t="s">
        <v>356</v>
      </c>
      <c r="EU645" t="s">
        <v>357</v>
      </c>
      <c r="EV645">
        <v>139</v>
      </c>
      <c r="EW645" t="str" cm="1">
        <f t="array" aca="1" ref="EW645" ca="1">INDIRECT("'5借入一覧'!"&amp;ET645&amp;EV645)&amp;INDIRECT("'5借入一覧'!"&amp;EU645&amp;EV645)</f>
        <v/>
      </c>
      <c r="EX645">
        <v>2</v>
      </c>
      <c r="FK645" t="str">
        <f t="shared" si="81"/>
        <v/>
      </c>
    </row>
    <row r="646" spans="149:167">
      <c r="ES646">
        <v>639</v>
      </c>
      <c r="ET646" t="s">
        <v>356</v>
      </c>
      <c r="EU646" t="s">
        <v>357</v>
      </c>
      <c r="EV646">
        <v>140</v>
      </c>
      <c r="EW646" t="str" cm="1">
        <f t="array" aca="1" ref="EW646" ca="1">INDIRECT("'5借入一覧'!"&amp;ET646&amp;EV646)&amp;INDIRECT("'5借入一覧'!"&amp;EU646&amp;EV646)</f>
        <v/>
      </c>
      <c r="EX646">
        <v>2</v>
      </c>
      <c r="FK646" t="str">
        <f t="shared" si="81"/>
        <v/>
      </c>
    </row>
    <row r="647" spans="149:167">
      <c r="ES647">
        <v>640</v>
      </c>
      <c r="ET647" t="s">
        <v>356</v>
      </c>
      <c r="EU647" t="s">
        <v>357</v>
      </c>
      <c r="EV647">
        <v>141</v>
      </c>
      <c r="EW647" t="str" cm="1">
        <f t="array" aca="1" ref="EW647" ca="1">INDIRECT("'5借入一覧'!"&amp;ET647&amp;EV647)&amp;INDIRECT("'5借入一覧'!"&amp;EU647&amp;EV647)</f>
        <v/>
      </c>
      <c r="EX647">
        <v>2</v>
      </c>
      <c r="FK647" t="str">
        <f t="shared" si="81"/>
        <v/>
      </c>
    </row>
    <row r="648" spans="149:167">
      <c r="ES648">
        <v>641</v>
      </c>
      <c r="ET648" t="s">
        <v>356</v>
      </c>
      <c r="EU648" t="s">
        <v>357</v>
      </c>
      <c r="EV648">
        <v>142</v>
      </c>
      <c r="EW648" t="str" cm="1">
        <f t="array" aca="1" ref="EW648" ca="1">INDIRECT("'5借入一覧'!"&amp;ET648&amp;EV648)&amp;INDIRECT("'5借入一覧'!"&amp;EU648&amp;EV648)</f>
        <v/>
      </c>
      <c r="EX648">
        <v>2</v>
      </c>
      <c r="FK648" t="str">
        <f t="shared" ref="FK648:FK711" si="82">IF(FJ648&lt;&gt;"",LEFT(FJ648,LEN(FJ648)-1),"")</f>
        <v/>
      </c>
    </row>
    <row r="649" spans="149:167">
      <c r="ES649">
        <v>642</v>
      </c>
      <c r="ET649" t="s">
        <v>356</v>
      </c>
      <c r="EU649" t="s">
        <v>357</v>
      </c>
      <c r="EV649">
        <v>143</v>
      </c>
      <c r="EW649" t="str" cm="1">
        <f t="array" aca="1" ref="EW649" ca="1">INDIRECT("'5借入一覧'!"&amp;ET649&amp;EV649)&amp;INDIRECT("'5借入一覧'!"&amp;EU649&amp;EV649)</f>
        <v/>
      </c>
      <c r="EX649">
        <v>2</v>
      </c>
      <c r="FK649" t="str">
        <f t="shared" si="82"/>
        <v/>
      </c>
    </row>
    <row r="650" spans="149:167">
      <c r="ES650">
        <v>643</v>
      </c>
      <c r="ET650" t="s">
        <v>356</v>
      </c>
      <c r="EU650" t="s">
        <v>357</v>
      </c>
      <c r="EV650">
        <v>144</v>
      </c>
      <c r="EW650" t="str" cm="1">
        <f t="array" aca="1" ref="EW650" ca="1">INDIRECT("'5借入一覧'!"&amp;ET650&amp;EV650)&amp;INDIRECT("'5借入一覧'!"&amp;EU650&amp;EV650)</f>
        <v/>
      </c>
      <c r="EX650">
        <v>2</v>
      </c>
      <c r="FK650" t="str">
        <f t="shared" si="82"/>
        <v/>
      </c>
    </row>
    <row r="651" spans="149:167">
      <c r="ES651">
        <v>644</v>
      </c>
      <c r="ET651" t="s">
        <v>356</v>
      </c>
      <c r="EU651" t="s">
        <v>357</v>
      </c>
      <c r="EV651">
        <v>145</v>
      </c>
      <c r="EW651" t="str" cm="1">
        <f t="array" aca="1" ref="EW651" ca="1">INDIRECT("'5借入一覧'!"&amp;ET651&amp;EV651)&amp;INDIRECT("'5借入一覧'!"&amp;EU651&amp;EV651)</f>
        <v/>
      </c>
      <c r="EX651">
        <v>2</v>
      </c>
      <c r="FK651" t="str">
        <f t="shared" si="82"/>
        <v/>
      </c>
    </row>
    <row r="652" spans="149:167">
      <c r="ES652">
        <v>645</v>
      </c>
      <c r="ET652" t="s">
        <v>356</v>
      </c>
      <c r="EU652" t="s">
        <v>357</v>
      </c>
      <c r="EV652">
        <v>146</v>
      </c>
      <c r="EW652" t="str" cm="1">
        <f t="array" aca="1" ref="EW652" ca="1">INDIRECT("'5借入一覧'!"&amp;ET652&amp;EV652)&amp;INDIRECT("'5借入一覧'!"&amp;EU652&amp;EV652)</f>
        <v/>
      </c>
      <c r="EX652">
        <v>2</v>
      </c>
      <c r="FK652" t="str">
        <f t="shared" si="82"/>
        <v/>
      </c>
    </row>
    <row r="653" spans="149:167">
      <c r="ES653">
        <v>646</v>
      </c>
      <c r="ET653" t="s">
        <v>356</v>
      </c>
      <c r="EU653" t="s">
        <v>357</v>
      </c>
      <c r="EV653">
        <v>147</v>
      </c>
      <c r="EW653" t="str" cm="1">
        <f t="array" aca="1" ref="EW653" ca="1">INDIRECT("'5借入一覧'!"&amp;ET653&amp;EV653)&amp;INDIRECT("'5借入一覧'!"&amp;EU653&amp;EV653)</f>
        <v/>
      </c>
      <c r="EX653">
        <v>2</v>
      </c>
      <c r="FK653" t="str">
        <f t="shared" si="82"/>
        <v/>
      </c>
    </row>
    <row r="654" spans="149:167">
      <c r="ES654">
        <v>647</v>
      </c>
      <c r="ET654" t="s">
        <v>356</v>
      </c>
      <c r="EU654" t="s">
        <v>357</v>
      </c>
      <c r="EV654">
        <v>148</v>
      </c>
      <c r="EW654" t="str" cm="1">
        <f t="array" aca="1" ref="EW654" ca="1">INDIRECT("'5借入一覧'!"&amp;ET654&amp;EV654)&amp;INDIRECT("'5借入一覧'!"&amp;EU654&amp;EV654)</f>
        <v/>
      </c>
      <c r="EX654">
        <v>2</v>
      </c>
      <c r="FK654" t="str">
        <f t="shared" si="82"/>
        <v/>
      </c>
    </row>
    <row r="655" spans="149:167">
      <c r="ES655">
        <v>648</v>
      </c>
      <c r="ET655" t="s">
        <v>356</v>
      </c>
      <c r="EU655" t="s">
        <v>357</v>
      </c>
      <c r="EV655">
        <v>149</v>
      </c>
      <c r="EW655" t="str" cm="1">
        <f t="array" aca="1" ref="EW655" ca="1">INDIRECT("'5借入一覧'!"&amp;ET655&amp;EV655)&amp;INDIRECT("'5借入一覧'!"&amp;EU655&amp;EV655)</f>
        <v/>
      </c>
      <c r="EX655">
        <v>2</v>
      </c>
      <c r="FK655" t="str">
        <f t="shared" si="82"/>
        <v/>
      </c>
    </row>
    <row r="656" spans="149:167">
      <c r="ES656">
        <v>649</v>
      </c>
      <c r="ET656" t="s">
        <v>356</v>
      </c>
      <c r="EU656" t="s">
        <v>357</v>
      </c>
      <c r="EV656">
        <v>150</v>
      </c>
      <c r="EW656" t="str" cm="1">
        <f t="array" aca="1" ref="EW656" ca="1">INDIRECT("'5借入一覧'!"&amp;ET656&amp;EV656)&amp;INDIRECT("'5借入一覧'!"&amp;EU656&amp;EV656)</f>
        <v/>
      </c>
      <c r="EX656">
        <v>2</v>
      </c>
      <c r="FK656" t="str">
        <f t="shared" si="82"/>
        <v/>
      </c>
    </row>
    <row r="657" spans="149:167">
      <c r="ES657">
        <v>650</v>
      </c>
      <c r="ET657" t="s">
        <v>356</v>
      </c>
      <c r="EU657" t="s">
        <v>357</v>
      </c>
      <c r="EV657">
        <v>151</v>
      </c>
      <c r="EW657" t="str" cm="1">
        <f t="array" aca="1" ref="EW657" ca="1">INDIRECT("'5借入一覧'!"&amp;ET657&amp;EV657)&amp;INDIRECT("'5借入一覧'!"&amp;EU657&amp;EV657)</f>
        <v/>
      </c>
      <c r="EX657">
        <v>2</v>
      </c>
      <c r="FK657" t="str">
        <f t="shared" si="82"/>
        <v/>
      </c>
    </row>
    <row r="658" spans="149:167">
      <c r="ES658">
        <v>651</v>
      </c>
      <c r="ET658" t="s">
        <v>356</v>
      </c>
      <c r="EU658" t="s">
        <v>357</v>
      </c>
      <c r="EV658">
        <v>152</v>
      </c>
      <c r="EW658" t="str" cm="1">
        <f t="array" aca="1" ref="EW658" ca="1">INDIRECT("'5借入一覧'!"&amp;ET658&amp;EV658)&amp;INDIRECT("'5借入一覧'!"&amp;EU658&amp;EV658)</f>
        <v/>
      </c>
      <c r="EX658">
        <v>2</v>
      </c>
      <c r="FK658" t="str">
        <f t="shared" si="82"/>
        <v/>
      </c>
    </row>
    <row r="659" spans="149:167">
      <c r="ES659">
        <v>652</v>
      </c>
      <c r="ET659" t="s">
        <v>356</v>
      </c>
      <c r="EU659" t="s">
        <v>357</v>
      </c>
      <c r="EV659">
        <v>153</v>
      </c>
      <c r="EW659" t="str" cm="1">
        <f t="array" aca="1" ref="EW659" ca="1">INDIRECT("'5借入一覧'!"&amp;ET659&amp;EV659)&amp;INDIRECT("'5借入一覧'!"&amp;EU659&amp;EV659)</f>
        <v/>
      </c>
      <c r="EX659">
        <v>2</v>
      </c>
      <c r="FK659" t="str">
        <f t="shared" si="82"/>
        <v/>
      </c>
    </row>
    <row r="660" spans="149:167">
      <c r="ES660">
        <v>653</v>
      </c>
      <c r="ET660" t="s">
        <v>356</v>
      </c>
      <c r="EU660" t="s">
        <v>357</v>
      </c>
      <c r="EV660">
        <v>154</v>
      </c>
      <c r="EW660" t="str" cm="1">
        <f t="array" aca="1" ref="EW660" ca="1">INDIRECT("'5借入一覧'!"&amp;ET660&amp;EV660)&amp;INDIRECT("'5借入一覧'!"&amp;EU660&amp;EV660)</f>
        <v/>
      </c>
      <c r="EX660">
        <v>2</v>
      </c>
      <c r="FK660" t="str">
        <f t="shared" si="82"/>
        <v/>
      </c>
    </row>
    <row r="661" spans="149:167">
      <c r="ES661">
        <v>654</v>
      </c>
      <c r="ET661" t="s">
        <v>356</v>
      </c>
      <c r="EU661" t="s">
        <v>357</v>
      </c>
      <c r="EV661">
        <v>155</v>
      </c>
      <c r="EW661" t="str" cm="1">
        <f t="array" aca="1" ref="EW661" ca="1">INDIRECT("'5借入一覧'!"&amp;ET661&amp;EV661)&amp;INDIRECT("'5借入一覧'!"&amp;EU661&amp;EV661)</f>
        <v/>
      </c>
      <c r="EX661">
        <v>2</v>
      </c>
      <c r="FK661" t="str">
        <f t="shared" si="82"/>
        <v/>
      </c>
    </row>
    <row r="662" spans="149:167">
      <c r="ES662">
        <v>655</v>
      </c>
      <c r="ET662" t="s">
        <v>356</v>
      </c>
      <c r="EU662" t="s">
        <v>357</v>
      </c>
      <c r="EV662">
        <v>156</v>
      </c>
      <c r="EW662" t="str" cm="1">
        <f t="array" aca="1" ref="EW662" ca="1">INDIRECT("'5借入一覧'!"&amp;ET662&amp;EV662)&amp;INDIRECT("'5借入一覧'!"&amp;EU662&amp;EV662)</f>
        <v/>
      </c>
      <c r="EX662">
        <v>2</v>
      </c>
      <c r="FK662" t="str">
        <f t="shared" si="82"/>
        <v/>
      </c>
    </row>
    <row r="663" spans="149:167">
      <c r="ES663">
        <v>656</v>
      </c>
      <c r="ET663" t="s">
        <v>356</v>
      </c>
      <c r="EU663" t="s">
        <v>357</v>
      </c>
      <c r="EV663">
        <v>157</v>
      </c>
      <c r="EW663" t="str" cm="1">
        <f t="array" aca="1" ref="EW663" ca="1">INDIRECT("'5借入一覧'!"&amp;ET663&amp;EV663)&amp;INDIRECT("'5借入一覧'!"&amp;EU663&amp;EV663)</f>
        <v/>
      </c>
      <c r="EX663">
        <v>2</v>
      </c>
      <c r="FK663" t="str">
        <f t="shared" si="82"/>
        <v/>
      </c>
    </row>
    <row r="664" spans="149:167">
      <c r="ES664">
        <v>657</v>
      </c>
      <c r="ET664" t="s">
        <v>356</v>
      </c>
      <c r="EU664" t="s">
        <v>357</v>
      </c>
      <c r="EV664">
        <v>158</v>
      </c>
      <c r="EW664" t="str" cm="1">
        <f t="array" aca="1" ref="EW664" ca="1">INDIRECT("'5借入一覧'!"&amp;ET664&amp;EV664)&amp;INDIRECT("'5借入一覧'!"&amp;EU664&amp;EV664)</f>
        <v/>
      </c>
      <c r="EX664">
        <v>2</v>
      </c>
      <c r="FK664" t="str">
        <f t="shared" si="82"/>
        <v/>
      </c>
    </row>
    <row r="665" spans="149:167">
      <c r="ES665">
        <v>658</v>
      </c>
      <c r="ET665" t="s">
        <v>356</v>
      </c>
      <c r="EU665" t="s">
        <v>357</v>
      </c>
      <c r="EV665">
        <v>159</v>
      </c>
      <c r="EW665" t="str" cm="1">
        <f t="array" aca="1" ref="EW665" ca="1">INDIRECT("'5借入一覧'!"&amp;ET665&amp;EV665)&amp;INDIRECT("'5借入一覧'!"&amp;EU665&amp;EV665)</f>
        <v/>
      </c>
      <c r="EX665">
        <v>2</v>
      </c>
      <c r="FK665" t="str">
        <f t="shared" si="82"/>
        <v/>
      </c>
    </row>
    <row r="666" spans="149:167">
      <c r="ES666">
        <v>659</v>
      </c>
      <c r="ET666" t="s">
        <v>356</v>
      </c>
      <c r="EU666" t="s">
        <v>357</v>
      </c>
      <c r="EV666">
        <v>160</v>
      </c>
      <c r="EW666" t="str" cm="1">
        <f t="array" aca="1" ref="EW666" ca="1">INDIRECT("'5借入一覧'!"&amp;ET666&amp;EV666)&amp;INDIRECT("'5借入一覧'!"&amp;EU666&amp;EV666)</f>
        <v/>
      </c>
      <c r="EX666">
        <v>2</v>
      </c>
      <c r="FK666" t="str">
        <f t="shared" si="82"/>
        <v/>
      </c>
    </row>
    <row r="667" spans="149:167">
      <c r="ES667">
        <v>660</v>
      </c>
      <c r="ET667" t="s">
        <v>356</v>
      </c>
      <c r="EU667" t="s">
        <v>357</v>
      </c>
      <c r="EV667">
        <v>161</v>
      </c>
      <c r="EW667" t="str" cm="1">
        <f t="array" aca="1" ref="EW667" ca="1">INDIRECT("'5借入一覧'!"&amp;ET667&amp;EV667)&amp;INDIRECT("'5借入一覧'!"&amp;EU667&amp;EV667)</f>
        <v/>
      </c>
      <c r="EX667">
        <v>2</v>
      </c>
      <c r="FK667" t="str">
        <f t="shared" si="82"/>
        <v/>
      </c>
    </row>
    <row r="668" spans="149:167">
      <c r="ES668">
        <v>661</v>
      </c>
      <c r="ET668" t="s">
        <v>356</v>
      </c>
      <c r="EU668" t="s">
        <v>357</v>
      </c>
      <c r="EV668">
        <v>162</v>
      </c>
      <c r="EW668" t="str" cm="1">
        <f t="array" aca="1" ref="EW668" ca="1">INDIRECT("'5借入一覧'!"&amp;ET668&amp;EV668)&amp;INDIRECT("'5借入一覧'!"&amp;EU668&amp;EV668)</f>
        <v/>
      </c>
      <c r="EX668">
        <v>2</v>
      </c>
      <c r="FK668" t="str">
        <f t="shared" si="82"/>
        <v/>
      </c>
    </row>
    <row r="669" spans="149:167">
      <c r="ES669">
        <v>662</v>
      </c>
      <c r="ET669" t="s">
        <v>356</v>
      </c>
      <c r="EU669" t="s">
        <v>357</v>
      </c>
      <c r="EV669">
        <v>163</v>
      </c>
      <c r="EW669" t="str" cm="1">
        <f t="array" aca="1" ref="EW669" ca="1">INDIRECT("'5借入一覧'!"&amp;ET669&amp;EV669)&amp;INDIRECT("'5借入一覧'!"&amp;EU669&amp;EV669)</f>
        <v/>
      </c>
      <c r="EX669">
        <v>2</v>
      </c>
      <c r="FK669" t="str">
        <f t="shared" si="82"/>
        <v/>
      </c>
    </row>
    <row r="670" spans="149:167">
      <c r="ES670">
        <v>663</v>
      </c>
      <c r="ET670" t="s">
        <v>356</v>
      </c>
      <c r="EU670" t="s">
        <v>357</v>
      </c>
      <c r="EV670">
        <v>164</v>
      </c>
      <c r="EW670" t="str" cm="1">
        <f t="array" aca="1" ref="EW670" ca="1">INDIRECT("'5借入一覧'!"&amp;ET670&amp;EV670)&amp;INDIRECT("'5借入一覧'!"&amp;EU670&amp;EV670)</f>
        <v/>
      </c>
      <c r="EX670">
        <v>2</v>
      </c>
      <c r="FK670" t="str">
        <f t="shared" si="82"/>
        <v/>
      </c>
    </row>
    <row r="671" spans="149:167">
      <c r="ES671">
        <v>664</v>
      </c>
      <c r="ET671" t="s">
        <v>356</v>
      </c>
      <c r="EU671" t="s">
        <v>357</v>
      </c>
      <c r="EV671">
        <v>165</v>
      </c>
      <c r="EW671" t="str" cm="1">
        <f t="array" aca="1" ref="EW671" ca="1">INDIRECT("'5借入一覧'!"&amp;ET671&amp;EV671)&amp;INDIRECT("'5借入一覧'!"&amp;EU671&amp;EV671)</f>
        <v/>
      </c>
      <c r="EX671">
        <v>2</v>
      </c>
      <c r="FK671" t="str">
        <f t="shared" si="82"/>
        <v/>
      </c>
    </row>
    <row r="672" spans="149:167">
      <c r="ES672">
        <v>665</v>
      </c>
      <c r="ET672" t="s">
        <v>356</v>
      </c>
      <c r="EU672" t="s">
        <v>357</v>
      </c>
      <c r="EV672">
        <v>166</v>
      </c>
      <c r="EW672" t="str" cm="1">
        <f t="array" aca="1" ref="EW672" ca="1">INDIRECT("'5借入一覧'!"&amp;ET672&amp;EV672)&amp;INDIRECT("'5借入一覧'!"&amp;EU672&amp;EV672)</f>
        <v/>
      </c>
      <c r="EX672">
        <v>2</v>
      </c>
      <c r="FK672" t="str">
        <f t="shared" si="82"/>
        <v/>
      </c>
    </row>
    <row r="673" spans="149:167">
      <c r="ES673">
        <v>666</v>
      </c>
      <c r="ET673" t="s">
        <v>356</v>
      </c>
      <c r="EU673" t="s">
        <v>357</v>
      </c>
      <c r="EV673">
        <v>167</v>
      </c>
      <c r="EW673" t="str" cm="1">
        <f t="array" aca="1" ref="EW673" ca="1">INDIRECT("'5借入一覧'!"&amp;ET673&amp;EV673)&amp;INDIRECT("'5借入一覧'!"&amp;EU673&amp;EV673)</f>
        <v/>
      </c>
      <c r="EX673">
        <v>2</v>
      </c>
      <c r="FK673" t="str">
        <f t="shared" si="82"/>
        <v/>
      </c>
    </row>
    <row r="674" spans="149:167">
      <c r="ES674">
        <v>667</v>
      </c>
      <c r="ET674" t="s">
        <v>356</v>
      </c>
      <c r="EU674" t="s">
        <v>357</v>
      </c>
      <c r="EV674">
        <v>168</v>
      </c>
      <c r="EW674" t="str" cm="1">
        <f t="array" aca="1" ref="EW674" ca="1">INDIRECT("'5借入一覧'!"&amp;ET674&amp;EV674)&amp;INDIRECT("'5借入一覧'!"&amp;EU674&amp;EV674)</f>
        <v/>
      </c>
      <c r="EX674">
        <v>2</v>
      </c>
      <c r="FK674" t="str">
        <f t="shared" si="82"/>
        <v/>
      </c>
    </row>
    <row r="675" spans="149:167">
      <c r="ES675">
        <v>668</v>
      </c>
      <c r="ET675" t="s">
        <v>356</v>
      </c>
      <c r="EU675" t="s">
        <v>357</v>
      </c>
      <c r="EV675">
        <v>169</v>
      </c>
      <c r="EW675" t="str" cm="1">
        <f t="array" aca="1" ref="EW675" ca="1">INDIRECT("'5借入一覧'!"&amp;ET675&amp;EV675)&amp;INDIRECT("'5借入一覧'!"&amp;EU675&amp;EV675)</f>
        <v/>
      </c>
      <c r="EX675">
        <v>2</v>
      </c>
      <c r="FK675" t="str">
        <f t="shared" si="82"/>
        <v/>
      </c>
    </row>
    <row r="676" spans="149:167">
      <c r="ES676">
        <v>669</v>
      </c>
      <c r="ET676" t="s">
        <v>356</v>
      </c>
      <c r="EU676" t="s">
        <v>357</v>
      </c>
      <c r="EV676">
        <v>170</v>
      </c>
      <c r="EW676" t="str" cm="1">
        <f t="array" aca="1" ref="EW676" ca="1">INDIRECT("'5借入一覧'!"&amp;ET676&amp;EV676)&amp;INDIRECT("'5借入一覧'!"&amp;EU676&amp;EV676)</f>
        <v/>
      </c>
      <c r="EX676">
        <v>2</v>
      </c>
      <c r="FK676" t="str">
        <f t="shared" si="82"/>
        <v/>
      </c>
    </row>
    <row r="677" spans="149:167">
      <c r="ES677">
        <v>670</v>
      </c>
      <c r="ET677" t="s">
        <v>356</v>
      </c>
      <c r="EU677" t="s">
        <v>357</v>
      </c>
      <c r="EV677">
        <v>171</v>
      </c>
      <c r="EW677" t="str" cm="1">
        <f t="array" aca="1" ref="EW677" ca="1">INDIRECT("'5借入一覧'!"&amp;ET677&amp;EV677)&amp;INDIRECT("'5借入一覧'!"&amp;EU677&amp;EV677)</f>
        <v/>
      </c>
      <c r="EX677">
        <v>2</v>
      </c>
      <c r="FK677" t="str">
        <f t="shared" si="82"/>
        <v/>
      </c>
    </row>
    <row r="678" spans="149:167">
      <c r="ES678">
        <v>671</v>
      </c>
      <c r="ET678" t="s">
        <v>356</v>
      </c>
      <c r="EU678" t="s">
        <v>357</v>
      </c>
      <c r="EV678">
        <v>172</v>
      </c>
      <c r="EW678" t="str" cm="1">
        <f t="array" aca="1" ref="EW678" ca="1">INDIRECT("'5借入一覧'!"&amp;ET678&amp;EV678)&amp;INDIRECT("'5借入一覧'!"&amp;EU678&amp;EV678)</f>
        <v/>
      </c>
      <c r="EX678">
        <v>2</v>
      </c>
      <c r="FK678" t="str">
        <f t="shared" si="82"/>
        <v/>
      </c>
    </row>
    <row r="679" spans="149:167">
      <c r="ES679">
        <v>672</v>
      </c>
      <c r="ET679" t="s">
        <v>356</v>
      </c>
      <c r="EU679" t="s">
        <v>357</v>
      </c>
      <c r="EV679">
        <v>173</v>
      </c>
      <c r="EW679" t="str" cm="1">
        <f t="array" aca="1" ref="EW679" ca="1">INDIRECT("'5借入一覧'!"&amp;ET679&amp;EV679)&amp;INDIRECT("'5借入一覧'!"&amp;EU679&amp;EV679)</f>
        <v/>
      </c>
      <c r="EX679">
        <v>2</v>
      </c>
      <c r="FK679" t="str">
        <f t="shared" si="82"/>
        <v/>
      </c>
    </row>
    <row r="680" spans="149:167">
      <c r="ES680">
        <v>673</v>
      </c>
      <c r="ET680" t="s">
        <v>356</v>
      </c>
      <c r="EU680" t="s">
        <v>357</v>
      </c>
      <c r="EV680">
        <v>174</v>
      </c>
      <c r="EW680" t="str" cm="1">
        <f t="array" aca="1" ref="EW680" ca="1">INDIRECT("'5借入一覧'!"&amp;ET680&amp;EV680)&amp;INDIRECT("'5借入一覧'!"&amp;EU680&amp;EV680)</f>
        <v/>
      </c>
      <c r="EX680">
        <v>2</v>
      </c>
      <c r="FK680" t="str">
        <f t="shared" si="82"/>
        <v/>
      </c>
    </row>
    <row r="681" spans="149:167">
      <c r="ES681">
        <v>674</v>
      </c>
      <c r="ET681" t="s">
        <v>356</v>
      </c>
      <c r="EU681" t="s">
        <v>357</v>
      </c>
      <c r="EV681">
        <v>175</v>
      </c>
      <c r="EW681" t="str" cm="1">
        <f t="array" aca="1" ref="EW681" ca="1">INDIRECT("'5借入一覧'!"&amp;ET681&amp;EV681)&amp;INDIRECT("'5借入一覧'!"&amp;EU681&amp;EV681)</f>
        <v/>
      </c>
      <c r="EX681">
        <v>2</v>
      </c>
      <c r="FK681" t="str">
        <f t="shared" si="82"/>
        <v/>
      </c>
    </row>
    <row r="682" spans="149:167">
      <c r="ES682">
        <v>675</v>
      </c>
      <c r="ET682" t="s">
        <v>356</v>
      </c>
      <c r="EU682" t="s">
        <v>357</v>
      </c>
      <c r="EV682">
        <v>176</v>
      </c>
      <c r="EW682" t="str" cm="1">
        <f t="array" aca="1" ref="EW682" ca="1">INDIRECT("'5借入一覧'!"&amp;ET682&amp;EV682)&amp;INDIRECT("'5借入一覧'!"&amp;EU682&amp;EV682)</f>
        <v/>
      </c>
      <c r="EX682">
        <v>2</v>
      </c>
      <c r="FK682" t="str">
        <f t="shared" si="82"/>
        <v/>
      </c>
    </row>
    <row r="683" spans="149:167">
      <c r="ES683">
        <v>676</v>
      </c>
      <c r="ET683" t="s">
        <v>356</v>
      </c>
      <c r="EU683" t="s">
        <v>357</v>
      </c>
      <c r="EV683">
        <v>177</v>
      </c>
      <c r="EW683" t="str" cm="1">
        <f t="array" aca="1" ref="EW683" ca="1">INDIRECT("'5借入一覧'!"&amp;ET683&amp;EV683)&amp;INDIRECT("'5借入一覧'!"&amp;EU683&amp;EV683)</f>
        <v/>
      </c>
      <c r="EX683">
        <v>2</v>
      </c>
      <c r="FK683" t="str">
        <f t="shared" si="82"/>
        <v/>
      </c>
    </row>
    <row r="684" spans="149:167">
      <c r="ES684">
        <v>677</v>
      </c>
      <c r="ET684" t="s">
        <v>356</v>
      </c>
      <c r="EU684" t="s">
        <v>357</v>
      </c>
      <c r="EV684">
        <v>178</v>
      </c>
      <c r="EW684" t="str" cm="1">
        <f t="array" aca="1" ref="EW684" ca="1">INDIRECT("'5借入一覧'!"&amp;ET684&amp;EV684)&amp;INDIRECT("'5借入一覧'!"&amp;EU684&amp;EV684)</f>
        <v/>
      </c>
      <c r="EX684">
        <v>2</v>
      </c>
      <c r="FK684" t="str">
        <f t="shared" si="82"/>
        <v/>
      </c>
    </row>
    <row r="685" spans="149:167">
      <c r="ES685">
        <v>678</v>
      </c>
      <c r="ET685" t="s">
        <v>356</v>
      </c>
      <c r="EU685" t="s">
        <v>357</v>
      </c>
      <c r="EV685">
        <v>179</v>
      </c>
      <c r="EW685" t="str" cm="1">
        <f t="array" aca="1" ref="EW685" ca="1">INDIRECT("'5借入一覧'!"&amp;ET685&amp;EV685)&amp;INDIRECT("'5借入一覧'!"&amp;EU685&amp;EV685)</f>
        <v/>
      </c>
      <c r="EX685">
        <v>2</v>
      </c>
      <c r="FK685" t="str">
        <f t="shared" si="82"/>
        <v/>
      </c>
    </row>
    <row r="686" spans="149:167">
      <c r="ES686">
        <v>679</v>
      </c>
      <c r="ET686" t="s">
        <v>356</v>
      </c>
      <c r="EU686" t="s">
        <v>357</v>
      </c>
      <c r="EV686">
        <v>180</v>
      </c>
      <c r="EW686" t="str" cm="1">
        <f t="array" aca="1" ref="EW686" ca="1">INDIRECT("'5借入一覧'!"&amp;ET686&amp;EV686)&amp;INDIRECT("'5借入一覧'!"&amp;EU686&amp;EV686)</f>
        <v/>
      </c>
      <c r="EX686">
        <v>2</v>
      </c>
      <c r="FK686" t="str">
        <f t="shared" si="82"/>
        <v/>
      </c>
    </row>
    <row r="687" spans="149:167">
      <c r="ES687">
        <v>680</v>
      </c>
      <c r="ET687" t="s">
        <v>356</v>
      </c>
      <c r="EU687" t="s">
        <v>357</v>
      </c>
      <c r="EV687">
        <v>181</v>
      </c>
      <c r="EW687" t="str" cm="1">
        <f t="array" aca="1" ref="EW687" ca="1">INDIRECT("'5借入一覧'!"&amp;ET687&amp;EV687)&amp;INDIRECT("'5借入一覧'!"&amp;EU687&amp;EV687)</f>
        <v/>
      </c>
      <c r="EX687">
        <v>2</v>
      </c>
      <c r="FK687" t="str">
        <f t="shared" si="82"/>
        <v/>
      </c>
    </row>
    <row r="688" spans="149:167">
      <c r="ES688">
        <v>681</v>
      </c>
      <c r="ET688" t="s">
        <v>356</v>
      </c>
      <c r="EU688" t="s">
        <v>357</v>
      </c>
      <c r="EV688">
        <v>182</v>
      </c>
      <c r="EW688" t="str" cm="1">
        <f t="array" aca="1" ref="EW688" ca="1">INDIRECT("'5借入一覧'!"&amp;ET688&amp;EV688)&amp;INDIRECT("'5借入一覧'!"&amp;EU688&amp;EV688)</f>
        <v/>
      </c>
      <c r="EX688">
        <v>2</v>
      </c>
      <c r="FK688" t="str">
        <f t="shared" si="82"/>
        <v/>
      </c>
    </row>
    <row r="689" spans="149:167">
      <c r="ES689">
        <v>682</v>
      </c>
      <c r="ET689" t="s">
        <v>356</v>
      </c>
      <c r="EU689" t="s">
        <v>357</v>
      </c>
      <c r="EV689">
        <v>183</v>
      </c>
      <c r="EW689" t="str" cm="1">
        <f t="array" aca="1" ref="EW689" ca="1">INDIRECT("'5借入一覧'!"&amp;ET689&amp;EV689)&amp;INDIRECT("'5借入一覧'!"&amp;EU689&amp;EV689)</f>
        <v/>
      </c>
      <c r="EX689">
        <v>2</v>
      </c>
      <c r="FK689" t="str">
        <f t="shared" si="82"/>
        <v/>
      </c>
    </row>
    <row r="690" spans="149:167">
      <c r="ES690">
        <v>683</v>
      </c>
      <c r="ET690" t="s">
        <v>356</v>
      </c>
      <c r="EU690" t="s">
        <v>357</v>
      </c>
      <c r="EV690">
        <v>184</v>
      </c>
      <c r="EW690" t="str" cm="1">
        <f t="array" aca="1" ref="EW690" ca="1">INDIRECT("'5借入一覧'!"&amp;ET690&amp;EV690)&amp;INDIRECT("'5借入一覧'!"&amp;EU690&amp;EV690)</f>
        <v/>
      </c>
      <c r="EX690">
        <v>2</v>
      </c>
      <c r="FK690" t="str">
        <f t="shared" si="82"/>
        <v/>
      </c>
    </row>
    <row r="691" spans="149:167">
      <c r="ES691">
        <v>684</v>
      </c>
      <c r="ET691" t="s">
        <v>356</v>
      </c>
      <c r="EU691" t="s">
        <v>357</v>
      </c>
      <c r="EV691">
        <v>185</v>
      </c>
      <c r="EW691" t="str" cm="1">
        <f t="array" aca="1" ref="EW691" ca="1">INDIRECT("'5借入一覧'!"&amp;ET691&amp;EV691)&amp;INDIRECT("'5借入一覧'!"&amp;EU691&amp;EV691)</f>
        <v/>
      </c>
      <c r="EX691">
        <v>2</v>
      </c>
      <c r="FK691" t="str">
        <f t="shared" si="82"/>
        <v/>
      </c>
    </row>
    <row r="692" spans="149:167">
      <c r="ES692">
        <v>685</v>
      </c>
      <c r="ET692" t="s">
        <v>356</v>
      </c>
      <c r="EU692" t="s">
        <v>357</v>
      </c>
      <c r="EV692">
        <v>186</v>
      </c>
      <c r="EW692" t="str" cm="1">
        <f t="array" aca="1" ref="EW692" ca="1">INDIRECT("'5借入一覧'!"&amp;ET692&amp;EV692)&amp;INDIRECT("'5借入一覧'!"&amp;EU692&amp;EV692)</f>
        <v/>
      </c>
      <c r="EX692">
        <v>2</v>
      </c>
      <c r="FK692" t="str">
        <f t="shared" si="82"/>
        <v/>
      </c>
    </row>
    <row r="693" spans="149:167">
      <c r="ES693">
        <v>686</v>
      </c>
      <c r="ET693" t="s">
        <v>356</v>
      </c>
      <c r="EU693" t="s">
        <v>357</v>
      </c>
      <c r="EV693">
        <v>187</v>
      </c>
      <c r="EW693" t="str" cm="1">
        <f t="array" aca="1" ref="EW693" ca="1">INDIRECT("'5借入一覧'!"&amp;ET693&amp;EV693)&amp;INDIRECT("'5借入一覧'!"&amp;EU693&amp;EV693)</f>
        <v/>
      </c>
      <c r="EX693">
        <v>2</v>
      </c>
      <c r="FK693" t="str">
        <f t="shared" si="82"/>
        <v/>
      </c>
    </row>
    <row r="694" spans="149:167">
      <c r="ES694">
        <v>687</v>
      </c>
      <c r="ET694" t="s">
        <v>356</v>
      </c>
      <c r="EU694" t="s">
        <v>357</v>
      </c>
      <c r="EV694">
        <v>188</v>
      </c>
      <c r="EW694" t="str" cm="1">
        <f t="array" aca="1" ref="EW694" ca="1">INDIRECT("'5借入一覧'!"&amp;ET694&amp;EV694)&amp;INDIRECT("'5借入一覧'!"&amp;EU694&amp;EV694)</f>
        <v/>
      </c>
      <c r="EX694">
        <v>2</v>
      </c>
      <c r="FK694" t="str">
        <f t="shared" si="82"/>
        <v/>
      </c>
    </row>
    <row r="695" spans="149:167">
      <c r="ES695">
        <v>688</v>
      </c>
      <c r="ET695" t="s">
        <v>356</v>
      </c>
      <c r="EU695" t="s">
        <v>357</v>
      </c>
      <c r="EV695">
        <v>189</v>
      </c>
      <c r="EW695" t="str" cm="1">
        <f t="array" aca="1" ref="EW695" ca="1">INDIRECT("'5借入一覧'!"&amp;ET695&amp;EV695)&amp;INDIRECT("'5借入一覧'!"&amp;EU695&amp;EV695)</f>
        <v/>
      </c>
      <c r="EX695">
        <v>2</v>
      </c>
      <c r="FK695" t="str">
        <f t="shared" si="82"/>
        <v/>
      </c>
    </row>
    <row r="696" spans="149:167">
      <c r="ES696">
        <v>689</v>
      </c>
      <c r="ET696" t="s">
        <v>356</v>
      </c>
      <c r="EU696" t="s">
        <v>357</v>
      </c>
      <c r="EV696">
        <v>190</v>
      </c>
      <c r="EW696" t="str" cm="1">
        <f t="array" aca="1" ref="EW696" ca="1">INDIRECT("'5借入一覧'!"&amp;ET696&amp;EV696)&amp;INDIRECT("'5借入一覧'!"&amp;EU696&amp;EV696)</f>
        <v/>
      </c>
      <c r="EX696">
        <v>2</v>
      </c>
      <c r="FK696" t="str">
        <f t="shared" si="82"/>
        <v/>
      </c>
    </row>
    <row r="697" spans="149:167">
      <c r="ES697">
        <v>690</v>
      </c>
      <c r="ET697" t="s">
        <v>356</v>
      </c>
      <c r="EU697" t="s">
        <v>357</v>
      </c>
      <c r="EV697">
        <v>191</v>
      </c>
      <c r="EW697" t="str" cm="1">
        <f t="array" aca="1" ref="EW697" ca="1">INDIRECT("'5借入一覧'!"&amp;ET697&amp;EV697)&amp;INDIRECT("'5借入一覧'!"&amp;EU697&amp;EV697)</f>
        <v/>
      </c>
      <c r="EX697">
        <v>2</v>
      </c>
      <c r="FK697" t="str">
        <f t="shared" si="82"/>
        <v/>
      </c>
    </row>
    <row r="698" spans="149:167">
      <c r="ES698">
        <v>691</v>
      </c>
      <c r="ET698" t="s">
        <v>356</v>
      </c>
      <c r="EU698" t="s">
        <v>357</v>
      </c>
      <c r="EV698">
        <v>192</v>
      </c>
      <c r="EW698" t="str" cm="1">
        <f t="array" aca="1" ref="EW698" ca="1">INDIRECT("'5借入一覧'!"&amp;ET698&amp;EV698)&amp;INDIRECT("'5借入一覧'!"&amp;EU698&amp;EV698)</f>
        <v/>
      </c>
      <c r="EX698">
        <v>2</v>
      </c>
      <c r="FK698" t="str">
        <f t="shared" si="82"/>
        <v/>
      </c>
    </row>
    <row r="699" spans="149:167">
      <c r="ES699">
        <v>692</v>
      </c>
      <c r="ET699" t="s">
        <v>356</v>
      </c>
      <c r="EU699" t="s">
        <v>357</v>
      </c>
      <c r="EV699">
        <v>193</v>
      </c>
      <c r="EW699" t="str" cm="1">
        <f t="array" aca="1" ref="EW699" ca="1">INDIRECT("'5借入一覧'!"&amp;ET699&amp;EV699)&amp;INDIRECT("'5借入一覧'!"&amp;EU699&amp;EV699)</f>
        <v/>
      </c>
      <c r="EX699">
        <v>2</v>
      </c>
      <c r="FK699" t="str">
        <f t="shared" si="82"/>
        <v/>
      </c>
    </row>
    <row r="700" spans="149:167">
      <c r="ES700">
        <v>693</v>
      </c>
      <c r="ET700" t="s">
        <v>356</v>
      </c>
      <c r="EU700" t="s">
        <v>357</v>
      </c>
      <c r="EV700">
        <v>194</v>
      </c>
      <c r="EW700" t="str" cm="1">
        <f t="array" aca="1" ref="EW700" ca="1">INDIRECT("'5借入一覧'!"&amp;ET700&amp;EV700)&amp;INDIRECT("'5借入一覧'!"&amp;EU700&amp;EV700)</f>
        <v/>
      </c>
      <c r="EX700">
        <v>2</v>
      </c>
      <c r="FK700" t="str">
        <f t="shared" si="82"/>
        <v/>
      </c>
    </row>
    <row r="701" spans="149:167">
      <c r="ES701">
        <v>694</v>
      </c>
      <c r="ET701" t="s">
        <v>356</v>
      </c>
      <c r="EU701" t="s">
        <v>357</v>
      </c>
      <c r="EV701">
        <v>195</v>
      </c>
      <c r="EW701" t="str" cm="1">
        <f t="array" aca="1" ref="EW701" ca="1">INDIRECT("'5借入一覧'!"&amp;ET701&amp;EV701)&amp;INDIRECT("'5借入一覧'!"&amp;EU701&amp;EV701)</f>
        <v/>
      </c>
      <c r="EX701">
        <v>2</v>
      </c>
      <c r="FK701" t="str">
        <f t="shared" si="82"/>
        <v/>
      </c>
    </row>
    <row r="702" spans="149:167">
      <c r="ES702">
        <v>695</v>
      </c>
      <c r="ET702" t="s">
        <v>356</v>
      </c>
      <c r="EU702" t="s">
        <v>357</v>
      </c>
      <c r="EV702">
        <v>196</v>
      </c>
      <c r="EW702" t="str" cm="1">
        <f t="array" aca="1" ref="EW702" ca="1">INDIRECT("'5借入一覧'!"&amp;ET702&amp;EV702)&amp;INDIRECT("'5借入一覧'!"&amp;EU702&amp;EV702)</f>
        <v/>
      </c>
      <c r="EX702">
        <v>2</v>
      </c>
      <c r="FK702" t="str">
        <f t="shared" si="82"/>
        <v/>
      </c>
    </row>
    <row r="703" spans="149:167">
      <c r="ES703">
        <v>696</v>
      </c>
      <c r="ET703" t="s">
        <v>356</v>
      </c>
      <c r="EU703" t="s">
        <v>357</v>
      </c>
      <c r="EV703">
        <v>197</v>
      </c>
      <c r="EW703" t="str" cm="1">
        <f t="array" aca="1" ref="EW703" ca="1">INDIRECT("'5借入一覧'!"&amp;ET703&amp;EV703)&amp;INDIRECT("'5借入一覧'!"&amp;EU703&amp;EV703)</f>
        <v/>
      </c>
      <c r="EX703">
        <v>2</v>
      </c>
      <c r="FK703" t="str">
        <f t="shared" si="82"/>
        <v/>
      </c>
    </row>
    <row r="704" spans="149:167">
      <c r="ES704">
        <v>697</v>
      </c>
      <c r="ET704" t="s">
        <v>356</v>
      </c>
      <c r="EU704" t="s">
        <v>357</v>
      </c>
      <c r="EV704">
        <v>198</v>
      </c>
      <c r="EW704" t="str" cm="1">
        <f t="array" aca="1" ref="EW704" ca="1">INDIRECT("'5借入一覧'!"&amp;ET704&amp;EV704)&amp;INDIRECT("'5借入一覧'!"&amp;EU704&amp;EV704)</f>
        <v/>
      </c>
      <c r="EX704">
        <v>2</v>
      </c>
      <c r="FK704" t="str">
        <f t="shared" si="82"/>
        <v/>
      </c>
    </row>
    <row r="705" spans="149:167">
      <c r="ES705">
        <v>698</v>
      </c>
      <c r="ET705" t="s">
        <v>356</v>
      </c>
      <c r="EU705" t="s">
        <v>357</v>
      </c>
      <c r="EV705">
        <v>199</v>
      </c>
      <c r="EW705" t="str" cm="1">
        <f t="array" aca="1" ref="EW705" ca="1">INDIRECT("'5借入一覧'!"&amp;ET705&amp;EV705)&amp;INDIRECT("'5借入一覧'!"&amp;EU705&amp;EV705)</f>
        <v/>
      </c>
      <c r="EX705">
        <v>2</v>
      </c>
      <c r="FK705" t="str">
        <f t="shared" si="82"/>
        <v/>
      </c>
    </row>
    <row r="706" spans="149:167">
      <c r="ES706">
        <v>699</v>
      </c>
      <c r="ET706" t="s">
        <v>356</v>
      </c>
      <c r="EU706" t="s">
        <v>357</v>
      </c>
      <c r="EV706">
        <v>200</v>
      </c>
      <c r="EW706" t="str" cm="1">
        <f t="array" aca="1" ref="EW706" ca="1">INDIRECT("'5借入一覧'!"&amp;ET706&amp;EV706)&amp;INDIRECT("'5借入一覧'!"&amp;EU706&amp;EV706)</f>
        <v/>
      </c>
      <c r="EX706">
        <v>2</v>
      </c>
      <c r="FK706" t="str">
        <f t="shared" si="82"/>
        <v/>
      </c>
    </row>
    <row r="707" spans="149:167">
      <c r="ES707">
        <v>700</v>
      </c>
      <c r="ET707" t="s">
        <v>356</v>
      </c>
      <c r="EU707" t="s">
        <v>357</v>
      </c>
      <c r="EV707">
        <v>201</v>
      </c>
      <c r="EW707" t="str" cm="1">
        <f t="array" aca="1" ref="EW707" ca="1">INDIRECT("'5借入一覧'!"&amp;ET707&amp;EV707)&amp;INDIRECT("'5借入一覧'!"&amp;EU707&amp;EV707)</f>
        <v/>
      </c>
      <c r="EX707">
        <v>2</v>
      </c>
      <c r="FK707" t="str">
        <f t="shared" si="82"/>
        <v/>
      </c>
    </row>
    <row r="708" spans="149:167">
      <c r="ES708">
        <v>701</v>
      </c>
      <c r="ET708" t="s">
        <v>356</v>
      </c>
      <c r="EU708" t="s">
        <v>357</v>
      </c>
      <c r="EV708">
        <v>202</v>
      </c>
      <c r="EW708" t="str" cm="1">
        <f t="array" aca="1" ref="EW708" ca="1">INDIRECT("'5借入一覧'!"&amp;ET708&amp;EV708)&amp;INDIRECT("'5借入一覧'!"&amp;EU708&amp;EV708)</f>
        <v/>
      </c>
      <c r="EX708">
        <v>2</v>
      </c>
      <c r="FK708" t="str">
        <f t="shared" si="82"/>
        <v/>
      </c>
    </row>
    <row r="709" spans="149:167">
      <c r="ES709">
        <v>702</v>
      </c>
      <c r="ET709" t="s">
        <v>356</v>
      </c>
      <c r="EU709" t="s">
        <v>357</v>
      </c>
      <c r="EV709">
        <v>203</v>
      </c>
      <c r="EW709" t="str" cm="1">
        <f t="array" aca="1" ref="EW709" ca="1">INDIRECT("'5借入一覧'!"&amp;ET709&amp;EV709)&amp;INDIRECT("'5借入一覧'!"&amp;EU709&amp;EV709)</f>
        <v/>
      </c>
      <c r="EX709">
        <v>2</v>
      </c>
      <c r="FK709" t="str">
        <f t="shared" si="82"/>
        <v/>
      </c>
    </row>
    <row r="710" spans="149:167">
      <c r="ES710">
        <v>703</v>
      </c>
      <c r="ET710" t="s">
        <v>356</v>
      </c>
      <c r="EU710" t="s">
        <v>357</v>
      </c>
      <c r="EV710">
        <v>204</v>
      </c>
      <c r="EW710" t="str" cm="1">
        <f t="array" aca="1" ref="EW710" ca="1">INDIRECT("'5借入一覧'!"&amp;ET710&amp;EV710)&amp;INDIRECT("'5借入一覧'!"&amp;EU710&amp;EV710)</f>
        <v/>
      </c>
      <c r="EX710">
        <v>2</v>
      </c>
      <c r="FK710" t="str">
        <f t="shared" si="82"/>
        <v/>
      </c>
    </row>
    <row r="711" spans="149:167">
      <c r="ES711">
        <v>704</v>
      </c>
      <c r="ET711" t="s">
        <v>356</v>
      </c>
      <c r="EU711" t="s">
        <v>357</v>
      </c>
      <c r="EV711">
        <v>205</v>
      </c>
      <c r="EW711" t="str" cm="1">
        <f t="array" aca="1" ref="EW711" ca="1">INDIRECT("'5借入一覧'!"&amp;ET711&amp;EV711)&amp;INDIRECT("'5借入一覧'!"&amp;EU711&amp;EV711)</f>
        <v/>
      </c>
      <c r="EX711">
        <v>2</v>
      </c>
      <c r="FK711" t="str">
        <f t="shared" si="82"/>
        <v/>
      </c>
    </row>
    <row r="712" spans="149:167">
      <c r="ES712">
        <v>705</v>
      </c>
      <c r="ET712" t="s">
        <v>356</v>
      </c>
      <c r="EU712" t="s">
        <v>357</v>
      </c>
      <c r="EV712">
        <v>206</v>
      </c>
      <c r="EW712" t="str" cm="1">
        <f t="array" aca="1" ref="EW712" ca="1">INDIRECT("'5借入一覧'!"&amp;ET712&amp;EV712)&amp;INDIRECT("'5借入一覧'!"&amp;EU712&amp;EV712)</f>
        <v/>
      </c>
      <c r="EX712">
        <v>2</v>
      </c>
      <c r="FK712" t="str">
        <f t="shared" ref="FK712:FK775" si="83">IF(FJ712&lt;&gt;"",LEFT(FJ712,LEN(FJ712)-1),"")</f>
        <v/>
      </c>
    </row>
    <row r="713" spans="149:167">
      <c r="ES713">
        <v>706</v>
      </c>
      <c r="ET713" t="s">
        <v>356</v>
      </c>
      <c r="EU713" t="s">
        <v>357</v>
      </c>
      <c r="EV713">
        <v>207</v>
      </c>
      <c r="EW713" t="str" cm="1">
        <f t="array" aca="1" ref="EW713" ca="1">INDIRECT("'5借入一覧'!"&amp;ET713&amp;EV713)&amp;INDIRECT("'5借入一覧'!"&amp;EU713&amp;EV713)</f>
        <v/>
      </c>
      <c r="EX713">
        <v>2</v>
      </c>
      <c r="FK713" t="str">
        <f t="shared" si="83"/>
        <v/>
      </c>
    </row>
    <row r="714" spans="149:167">
      <c r="ES714">
        <v>707</v>
      </c>
      <c r="ET714" t="s">
        <v>356</v>
      </c>
      <c r="EU714" t="s">
        <v>357</v>
      </c>
      <c r="EV714">
        <v>208</v>
      </c>
      <c r="EW714" t="str" cm="1">
        <f t="array" aca="1" ref="EW714" ca="1">INDIRECT("'5借入一覧'!"&amp;ET714&amp;EV714)&amp;INDIRECT("'5借入一覧'!"&amp;EU714&amp;EV714)</f>
        <v/>
      </c>
      <c r="EX714">
        <v>2</v>
      </c>
      <c r="FK714" t="str">
        <f t="shared" si="83"/>
        <v/>
      </c>
    </row>
    <row r="715" spans="149:167">
      <c r="ES715">
        <v>708</v>
      </c>
      <c r="ET715" t="s">
        <v>356</v>
      </c>
      <c r="EU715" t="s">
        <v>357</v>
      </c>
      <c r="EV715">
        <v>209</v>
      </c>
      <c r="EW715" t="str" cm="1">
        <f t="array" aca="1" ref="EW715" ca="1">INDIRECT("'5借入一覧'!"&amp;ET715&amp;EV715)&amp;INDIRECT("'5借入一覧'!"&amp;EU715&amp;EV715)</f>
        <v/>
      </c>
      <c r="EX715">
        <v>2</v>
      </c>
      <c r="FK715" t="str">
        <f t="shared" si="83"/>
        <v/>
      </c>
    </row>
    <row r="716" spans="149:167">
      <c r="ES716">
        <v>709</v>
      </c>
      <c r="ET716" t="s">
        <v>356</v>
      </c>
      <c r="EU716" t="s">
        <v>357</v>
      </c>
      <c r="EV716">
        <v>210</v>
      </c>
      <c r="EW716" t="str" cm="1">
        <f t="array" aca="1" ref="EW716" ca="1">INDIRECT("'5借入一覧'!"&amp;ET716&amp;EV716)&amp;INDIRECT("'5借入一覧'!"&amp;EU716&amp;EV716)</f>
        <v/>
      </c>
      <c r="EX716">
        <v>2</v>
      </c>
      <c r="FK716" t="str">
        <f t="shared" si="83"/>
        <v/>
      </c>
    </row>
    <row r="717" spans="149:167">
      <c r="ES717">
        <v>710</v>
      </c>
      <c r="ET717" t="s">
        <v>356</v>
      </c>
      <c r="EU717" t="s">
        <v>357</v>
      </c>
      <c r="EV717">
        <v>211</v>
      </c>
      <c r="EW717" t="str" cm="1">
        <f t="array" aca="1" ref="EW717" ca="1">INDIRECT("'5借入一覧'!"&amp;ET717&amp;EV717)&amp;INDIRECT("'5借入一覧'!"&amp;EU717&amp;EV717)</f>
        <v/>
      </c>
      <c r="EX717">
        <v>2</v>
      </c>
      <c r="FK717" t="str">
        <f t="shared" si="83"/>
        <v/>
      </c>
    </row>
    <row r="718" spans="149:167">
      <c r="ES718">
        <v>711</v>
      </c>
      <c r="ET718" t="s">
        <v>356</v>
      </c>
      <c r="EU718" t="s">
        <v>357</v>
      </c>
      <c r="EV718">
        <v>212</v>
      </c>
      <c r="EW718" t="str" cm="1">
        <f t="array" aca="1" ref="EW718" ca="1">INDIRECT("'5借入一覧'!"&amp;ET718&amp;EV718)&amp;INDIRECT("'5借入一覧'!"&amp;EU718&amp;EV718)</f>
        <v/>
      </c>
      <c r="EX718">
        <v>2</v>
      </c>
      <c r="FK718" t="str">
        <f t="shared" si="83"/>
        <v/>
      </c>
    </row>
    <row r="719" spans="149:167">
      <c r="ES719">
        <v>712</v>
      </c>
      <c r="ET719" t="s">
        <v>356</v>
      </c>
      <c r="EU719" t="s">
        <v>357</v>
      </c>
      <c r="EV719">
        <v>213</v>
      </c>
      <c r="EW719" t="str" cm="1">
        <f t="array" aca="1" ref="EW719" ca="1">INDIRECT("'5借入一覧'!"&amp;ET719&amp;EV719)&amp;INDIRECT("'5借入一覧'!"&amp;EU719&amp;EV719)</f>
        <v/>
      </c>
      <c r="EX719">
        <v>2</v>
      </c>
      <c r="FK719" t="str">
        <f t="shared" si="83"/>
        <v/>
      </c>
    </row>
    <row r="720" spans="149:167">
      <c r="ES720">
        <v>713</v>
      </c>
      <c r="ET720" t="s">
        <v>356</v>
      </c>
      <c r="EU720" t="s">
        <v>357</v>
      </c>
      <c r="EV720">
        <v>214</v>
      </c>
      <c r="EW720" t="str" cm="1">
        <f t="array" aca="1" ref="EW720" ca="1">INDIRECT("'5借入一覧'!"&amp;ET720&amp;EV720)&amp;INDIRECT("'5借入一覧'!"&amp;EU720&amp;EV720)</f>
        <v/>
      </c>
      <c r="EX720">
        <v>2</v>
      </c>
      <c r="FK720" t="str">
        <f t="shared" si="83"/>
        <v/>
      </c>
    </row>
    <row r="721" spans="149:167">
      <c r="ES721">
        <v>714</v>
      </c>
      <c r="ET721" t="s">
        <v>356</v>
      </c>
      <c r="EU721" t="s">
        <v>357</v>
      </c>
      <c r="EV721">
        <v>215</v>
      </c>
      <c r="EW721" t="str" cm="1">
        <f t="array" aca="1" ref="EW721" ca="1">INDIRECT("'5借入一覧'!"&amp;ET721&amp;EV721)&amp;INDIRECT("'5借入一覧'!"&amp;EU721&amp;EV721)</f>
        <v/>
      </c>
      <c r="EX721">
        <v>2</v>
      </c>
      <c r="FK721" t="str">
        <f t="shared" si="83"/>
        <v/>
      </c>
    </row>
    <row r="722" spans="149:167">
      <c r="ES722">
        <v>715</v>
      </c>
      <c r="ET722" t="s">
        <v>356</v>
      </c>
      <c r="EU722" t="s">
        <v>357</v>
      </c>
      <c r="EV722">
        <v>216</v>
      </c>
      <c r="EW722" t="str" cm="1">
        <f t="array" aca="1" ref="EW722" ca="1">INDIRECT("'5借入一覧'!"&amp;ET722&amp;EV722)&amp;INDIRECT("'5借入一覧'!"&amp;EU722&amp;EV722)</f>
        <v/>
      </c>
      <c r="EX722">
        <v>2</v>
      </c>
      <c r="FK722" t="str">
        <f t="shared" si="83"/>
        <v/>
      </c>
    </row>
    <row r="723" spans="149:167">
      <c r="ES723">
        <v>716</v>
      </c>
      <c r="ET723" t="s">
        <v>356</v>
      </c>
      <c r="EU723" t="s">
        <v>357</v>
      </c>
      <c r="EV723">
        <v>217</v>
      </c>
      <c r="EW723" t="str" cm="1">
        <f t="array" aca="1" ref="EW723" ca="1">INDIRECT("'5借入一覧'!"&amp;ET723&amp;EV723)&amp;INDIRECT("'5借入一覧'!"&amp;EU723&amp;EV723)</f>
        <v/>
      </c>
      <c r="EX723">
        <v>2</v>
      </c>
      <c r="FK723" t="str">
        <f t="shared" si="83"/>
        <v/>
      </c>
    </row>
    <row r="724" spans="149:167">
      <c r="ES724">
        <v>717</v>
      </c>
      <c r="ET724" t="s">
        <v>356</v>
      </c>
      <c r="EU724" t="s">
        <v>357</v>
      </c>
      <c r="EV724">
        <v>218</v>
      </c>
      <c r="EW724" t="str" cm="1">
        <f t="array" aca="1" ref="EW724" ca="1">INDIRECT("'5借入一覧'!"&amp;ET724&amp;EV724)&amp;INDIRECT("'5借入一覧'!"&amp;EU724&amp;EV724)</f>
        <v/>
      </c>
      <c r="EX724">
        <v>2</v>
      </c>
      <c r="FK724" t="str">
        <f t="shared" si="83"/>
        <v/>
      </c>
    </row>
    <row r="725" spans="149:167">
      <c r="ES725">
        <v>718</v>
      </c>
      <c r="ET725" t="s">
        <v>356</v>
      </c>
      <c r="EU725" t="s">
        <v>357</v>
      </c>
      <c r="EV725">
        <v>219</v>
      </c>
      <c r="EW725" t="str" cm="1">
        <f t="array" aca="1" ref="EW725" ca="1">INDIRECT("'5借入一覧'!"&amp;ET725&amp;EV725)&amp;INDIRECT("'5借入一覧'!"&amp;EU725&amp;EV725)</f>
        <v/>
      </c>
      <c r="EX725">
        <v>2</v>
      </c>
      <c r="FK725" t="str">
        <f t="shared" si="83"/>
        <v/>
      </c>
    </row>
    <row r="726" spans="149:167">
      <c r="ES726">
        <v>719</v>
      </c>
      <c r="ET726" t="s">
        <v>356</v>
      </c>
      <c r="EU726" t="s">
        <v>357</v>
      </c>
      <c r="EV726">
        <v>220</v>
      </c>
      <c r="EW726" t="str" cm="1">
        <f t="array" aca="1" ref="EW726" ca="1">INDIRECT("'5借入一覧'!"&amp;ET726&amp;EV726)&amp;INDIRECT("'5借入一覧'!"&amp;EU726&amp;EV726)</f>
        <v/>
      </c>
      <c r="EX726">
        <v>2</v>
      </c>
      <c r="FK726" t="str">
        <f t="shared" si="83"/>
        <v/>
      </c>
    </row>
    <row r="727" spans="149:167">
      <c r="ES727">
        <v>720</v>
      </c>
      <c r="ET727" t="s">
        <v>356</v>
      </c>
      <c r="EU727" t="s">
        <v>357</v>
      </c>
      <c r="EV727">
        <v>221</v>
      </c>
      <c r="EW727" t="str" cm="1">
        <f t="array" aca="1" ref="EW727" ca="1">INDIRECT("'5借入一覧'!"&amp;ET727&amp;EV727)&amp;INDIRECT("'5借入一覧'!"&amp;EU727&amp;EV727)</f>
        <v/>
      </c>
      <c r="EX727">
        <v>2</v>
      </c>
      <c r="FK727" t="str">
        <f t="shared" si="83"/>
        <v/>
      </c>
    </row>
    <row r="728" spans="149:167">
      <c r="ES728">
        <v>721</v>
      </c>
      <c r="ET728" t="s">
        <v>356</v>
      </c>
      <c r="EU728" t="s">
        <v>357</v>
      </c>
      <c r="EV728">
        <v>222</v>
      </c>
      <c r="EW728" t="str" cm="1">
        <f t="array" aca="1" ref="EW728" ca="1">INDIRECT("'5借入一覧'!"&amp;ET728&amp;EV728)&amp;INDIRECT("'5借入一覧'!"&amp;EU728&amp;EV728)</f>
        <v/>
      </c>
      <c r="EX728">
        <v>2</v>
      </c>
      <c r="FK728" t="str">
        <f t="shared" si="83"/>
        <v/>
      </c>
    </row>
    <row r="729" spans="149:167">
      <c r="ES729">
        <v>722</v>
      </c>
      <c r="ET729" t="s">
        <v>356</v>
      </c>
      <c r="EU729" t="s">
        <v>357</v>
      </c>
      <c r="EV729">
        <v>223</v>
      </c>
      <c r="EW729" t="str" cm="1">
        <f t="array" aca="1" ref="EW729" ca="1">INDIRECT("'5借入一覧'!"&amp;ET729&amp;EV729)&amp;INDIRECT("'5借入一覧'!"&amp;EU729&amp;EV729)</f>
        <v/>
      </c>
      <c r="EX729">
        <v>2</v>
      </c>
      <c r="FK729" t="str">
        <f t="shared" si="83"/>
        <v/>
      </c>
    </row>
    <row r="730" spans="149:167">
      <c r="ES730">
        <v>723</v>
      </c>
      <c r="ET730" t="s">
        <v>356</v>
      </c>
      <c r="EU730" t="s">
        <v>357</v>
      </c>
      <c r="EV730">
        <v>224</v>
      </c>
      <c r="EW730" t="str" cm="1">
        <f t="array" aca="1" ref="EW730" ca="1">INDIRECT("'5借入一覧'!"&amp;ET730&amp;EV730)&amp;INDIRECT("'5借入一覧'!"&amp;EU730&amp;EV730)</f>
        <v/>
      </c>
      <c r="EX730">
        <v>2</v>
      </c>
      <c r="FK730" t="str">
        <f t="shared" si="83"/>
        <v/>
      </c>
    </row>
    <row r="731" spans="149:167">
      <c r="ES731">
        <v>724</v>
      </c>
      <c r="ET731" t="s">
        <v>356</v>
      </c>
      <c r="EU731" t="s">
        <v>357</v>
      </c>
      <c r="EV731">
        <v>225</v>
      </c>
      <c r="EW731" t="str" cm="1">
        <f t="array" aca="1" ref="EW731" ca="1">INDIRECT("'5借入一覧'!"&amp;ET731&amp;EV731)&amp;INDIRECT("'5借入一覧'!"&amp;EU731&amp;EV731)</f>
        <v/>
      </c>
      <c r="EX731">
        <v>2</v>
      </c>
      <c r="FK731" t="str">
        <f t="shared" si="83"/>
        <v/>
      </c>
    </row>
    <row r="732" spans="149:167">
      <c r="ES732">
        <v>725</v>
      </c>
      <c r="ET732" t="s">
        <v>356</v>
      </c>
      <c r="EU732" t="s">
        <v>357</v>
      </c>
      <c r="EV732">
        <v>226</v>
      </c>
      <c r="EW732" t="str" cm="1">
        <f t="array" aca="1" ref="EW732" ca="1">INDIRECT("'5借入一覧'!"&amp;ET732&amp;EV732)&amp;INDIRECT("'5借入一覧'!"&amp;EU732&amp;EV732)</f>
        <v/>
      </c>
      <c r="EX732">
        <v>2</v>
      </c>
      <c r="FK732" t="str">
        <f t="shared" si="83"/>
        <v/>
      </c>
    </row>
    <row r="733" spans="149:167">
      <c r="ES733">
        <v>726</v>
      </c>
      <c r="ET733" t="s">
        <v>356</v>
      </c>
      <c r="EU733" t="s">
        <v>357</v>
      </c>
      <c r="EV733">
        <v>227</v>
      </c>
      <c r="EW733" t="str" cm="1">
        <f t="array" aca="1" ref="EW733" ca="1">INDIRECT("'5借入一覧'!"&amp;ET733&amp;EV733)&amp;INDIRECT("'5借入一覧'!"&amp;EU733&amp;EV733)</f>
        <v/>
      </c>
      <c r="EX733">
        <v>2</v>
      </c>
      <c r="FK733" t="str">
        <f t="shared" si="83"/>
        <v/>
      </c>
    </row>
    <row r="734" spans="149:167">
      <c r="ES734">
        <v>727</v>
      </c>
      <c r="ET734" t="s">
        <v>356</v>
      </c>
      <c r="EU734" t="s">
        <v>357</v>
      </c>
      <c r="EV734">
        <v>228</v>
      </c>
      <c r="EW734" t="str" cm="1">
        <f t="array" aca="1" ref="EW734" ca="1">INDIRECT("'5借入一覧'!"&amp;ET734&amp;EV734)&amp;INDIRECT("'5借入一覧'!"&amp;EU734&amp;EV734)</f>
        <v/>
      </c>
      <c r="EX734">
        <v>2</v>
      </c>
      <c r="FK734" t="str">
        <f t="shared" si="83"/>
        <v/>
      </c>
    </row>
    <row r="735" spans="149:167">
      <c r="ES735">
        <v>728</v>
      </c>
      <c r="ET735" t="s">
        <v>356</v>
      </c>
      <c r="EU735" t="s">
        <v>357</v>
      </c>
      <c r="EV735">
        <v>229</v>
      </c>
      <c r="EW735" t="str" cm="1">
        <f t="array" aca="1" ref="EW735" ca="1">INDIRECT("'5借入一覧'!"&amp;ET735&amp;EV735)&amp;INDIRECT("'5借入一覧'!"&amp;EU735&amp;EV735)</f>
        <v/>
      </c>
      <c r="EX735">
        <v>2</v>
      </c>
      <c r="FK735" t="str">
        <f t="shared" si="83"/>
        <v/>
      </c>
    </row>
    <row r="736" spans="149:167">
      <c r="ES736">
        <v>729</v>
      </c>
      <c r="ET736" t="s">
        <v>356</v>
      </c>
      <c r="EU736" t="s">
        <v>357</v>
      </c>
      <c r="EV736">
        <v>230</v>
      </c>
      <c r="EW736" t="str" cm="1">
        <f t="array" aca="1" ref="EW736" ca="1">INDIRECT("'5借入一覧'!"&amp;ET736&amp;EV736)&amp;INDIRECT("'5借入一覧'!"&amp;EU736&amp;EV736)</f>
        <v/>
      </c>
      <c r="EX736">
        <v>2</v>
      </c>
      <c r="FK736" t="str">
        <f t="shared" si="83"/>
        <v/>
      </c>
    </row>
    <row r="737" spans="149:167">
      <c r="ES737">
        <v>730</v>
      </c>
      <c r="ET737" t="s">
        <v>356</v>
      </c>
      <c r="EU737" t="s">
        <v>357</v>
      </c>
      <c r="EV737">
        <v>231</v>
      </c>
      <c r="EW737" t="str" cm="1">
        <f t="array" aca="1" ref="EW737" ca="1">INDIRECT("'5借入一覧'!"&amp;ET737&amp;EV737)&amp;INDIRECT("'5借入一覧'!"&amp;EU737&amp;EV737)</f>
        <v/>
      </c>
      <c r="EX737">
        <v>2</v>
      </c>
      <c r="FK737" t="str">
        <f t="shared" si="83"/>
        <v/>
      </c>
    </row>
    <row r="738" spans="149:167">
      <c r="ES738">
        <v>731</v>
      </c>
      <c r="ET738" t="s">
        <v>356</v>
      </c>
      <c r="EU738" t="s">
        <v>357</v>
      </c>
      <c r="EV738">
        <v>232</v>
      </c>
      <c r="EW738" t="str" cm="1">
        <f t="array" aca="1" ref="EW738" ca="1">INDIRECT("'5借入一覧'!"&amp;ET738&amp;EV738)&amp;INDIRECT("'5借入一覧'!"&amp;EU738&amp;EV738)</f>
        <v/>
      </c>
      <c r="EX738">
        <v>2</v>
      </c>
      <c r="FK738" t="str">
        <f t="shared" si="83"/>
        <v/>
      </c>
    </row>
    <row r="739" spans="149:167">
      <c r="ES739">
        <v>732</v>
      </c>
      <c r="ET739" t="s">
        <v>356</v>
      </c>
      <c r="EU739" t="s">
        <v>357</v>
      </c>
      <c r="EV739">
        <v>233</v>
      </c>
      <c r="EW739" t="str" cm="1">
        <f t="array" aca="1" ref="EW739" ca="1">INDIRECT("'5借入一覧'!"&amp;ET739&amp;EV739)&amp;INDIRECT("'5借入一覧'!"&amp;EU739&amp;EV739)</f>
        <v/>
      </c>
      <c r="EX739">
        <v>2</v>
      </c>
      <c r="FK739" t="str">
        <f t="shared" si="83"/>
        <v/>
      </c>
    </row>
    <row r="740" spans="149:167">
      <c r="ES740">
        <v>733</v>
      </c>
      <c r="ET740" t="s">
        <v>356</v>
      </c>
      <c r="EU740" t="s">
        <v>357</v>
      </c>
      <c r="EV740">
        <v>234</v>
      </c>
      <c r="EW740" t="str" cm="1">
        <f t="array" aca="1" ref="EW740" ca="1">INDIRECT("'5借入一覧'!"&amp;ET740&amp;EV740)&amp;INDIRECT("'5借入一覧'!"&amp;EU740&amp;EV740)</f>
        <v/>
      </c>
      <c r="EX740">
        <v>2</v>
      </c>
      <c r="FK740" t="str">
        <f t="shared" si="83"/>
        <v/>
      </c>
    </row>
    <row r="741" spans="149:167">
      <c r="ES741">
        <v>734</v>
      </c>
      <c r="ET741" t="s">
        <v>356</v>
      </c>
      <c r="EU741" t="s">
        <v>357</v>
      </c>
      <c r="EV741">
        <v>235</v>
      </c>
      <c r="EW741" t="str" cm="1">
        <f t="array" aca="1" ref="EW741" ca="1">INDIRECT("'5借入一覧'!"&amp;ET741&amp;EV741)&amp;INDIRECT("'5借入一覧'!"&amp;EU741&amp;EV741)</f>
        <v/>
      </c>
      <c r="EX741">
        <v>2</v>
      </c>
      <c r="FK741" t="str">
        <f t="shared" si="83"/>
        <v/>
      </c>
    </row>
    <row r="742" spans="149:167">
      <c r="ES742">
        <v>735</v>
      </c>
      <c r="ET742" t="s">
        <v>356</v>
      </c>
      <c r="EU742" t="s">
        <v>357</v>
      </c>
      <c r="EV742">
        <v>236</v>
      </c>
      <c r="EW742" t="str" cm="1">
        <f t="array" aca="1" ref="EW742" ca="1">INDIRECT("'5借入一覧'!"&amp;ET742&amp;EV742)&amp;INDIRECT("'5借入一覧'!"&amp;EU742&amp;EV742)</f>
        <v/>
      </c>
      <c r="EX742">
        <v>2</v>
      </c>
      <c r="FK742" t="str">
        <f t="shared" si="83"/>
        <v/>
      </c>
    </row>
    <row r="743" spans="149:167">
      <c r="ES743">
        <v>736</v>
      </c>
      <c r="ET743" t="s">
        <v>356</v>
      </c>
      <c r="EU743" t="s">
        <v>357</v>
      </c>
      <c r="EV743">
        <v>237</v>
      </c>
      <c r="EW743" t="str" cm="1">
        <f t="array" aca="1" ref="EW743" ca="1">INDIRECT("'5借入一覧'!"&amp;ET743&amp;EV743)&amp;INDIRECT("'5借入一覧'!"&amp;EU743&amp;EV743)</f>
        <v/>
      </c>
      <c r="EX743">
        <v>2</v>
      </c>
      <c r="FK743" t="str">
        <f t="shared" si="83"/>
        <v/>
      </c>
    </row>
    <row r="744" spans="149:167">
      <c r="ES744">
        <v>737</v>
      </c>
      <c r="ET744" t="s">
        <v>356</v>
      </c>
      <c r="EU744" t="s">
        <v>357</v>
      </c>
      <c r="EV744">
        <v>238</v>
      </c>
      <c r="EW744" t="str" cm="1">
        <f t="array" aca="1" ref="EW744" ca="1">INDIRECT("'5借入一覧'!"&amp;ET744&amp;EV744)&amp;INDIRECT("'5借入一覧'!"&amp;EU744&amp;EV744)</f>
        <v/>
      </c>
      <c r="EX744">
        <v>2</v>
      </c>
      <c r="FK744" t="str">
        <f t="shared" si="83"/>
        <v/>
      </c>
    </row>
    <row r="745" spans="149:167">
      <c r="ES745">
        <v>738</v>
      </c>
      <c r="ET745" t="s">
        <v>356</v>
      </c>
      <c r="EU745" t="s">
        <v>357</v>
      </c>
      <c r="EV745">
        <v>239</v>
      </c>
      <c r="EW745" t="str" cm="1">
        <f t="array" aca="1" ref="EW745" ca="1">INDIRECT("'5借入一覧'!"&amp;ET745&amp;EV745)&amp;INDIRECT("'5借入一覧'!"&amp;EU745&amp;EV745)</f>
        <v/>
      </c>
      <c r="EX745">
        <v>2</v>
      </c>
      <c r="FK745" t="str">
        <f t="shared" si="83"/>
        <v/>
      </c>
    </row>
    <row r="746" spans="149:167">
      <c r="ES746">
        <v>739</v>
      </c>
      <c r="ET746" t="s">
        <v>356</v>
      </c>
      <c r="EU746" t="s">
        <v>357</v>
      </c>
      <c r="EV746">
        <v>240</v>
      </c>
      <c r="EW746" t="str" cm="1">
        <f t="array" aca="1" ref="EW746" ca="1">INDIRECT("'5借入一覧'!"&amp;ET746&amp;EV746)&amp;INDIRECT("'5借入一覧'!"&amp;EU746&amp;EV746)</f>
        <v/>
      </c>
      <c r="EX746">
        <v>2</v>
      </c>
      <c r="FK746" t="str">
        <f t="shared" si="83"/>
        <v/>
      </c>
    </row>
    <row r="747" spans="149:167">
      <c r="ES747">
        <v>740</v>
      </c>
      <c r="ET747" t="s">
        <v>356</v>
      </c>
      <c r="EU747" t="s">
        <v>357</v>
      </c>
      <c r="EV747">
        <v>241</v>
      </c>
      <c r="EW747" t="str" cm="1">
        <f t="array" aca="1" ref="EW747" ca="1">INDIRECT("'5借入一覧'!"&amp;ET747&amp;EV747)&amp;INDIRECT("'5借入一覧'!"&amp;EU747&amp;EV747)</f>
        <v/>
      </c>
      <c r="EX747">
        <v>2</v>
      </c>
      <c r="FK747" t="str">
        <f t="shared" si="83"/>
        <v/>
      </c>
    </row>
    <row r="748" spans="149:167">
      <c r="ES748">
        <v>741</v>
      </c>
      <c r="ET748" t="s">
        <v>356</v>
      </c>
      <c r="EU748" t="s">
        <v>357</v>
      </c>
      <c r="EV748">
        <v>242</v>
      </c>
      <c r="EW748" t="str" cm="1">
        <f t="array" aca="1" ref="EW748" ca="1">INDIRECT("'5借入一覧'!"&amp;ET748&amp;EV748)&amp;INDIRECT("'5借入一覧'!"&amp;EU748&amp;EV748)</f>
        <v/>
      </c>
      <c r="EX748">
        <v>2</v>
      </c>
      <c r="FK748" t="str">
        <f t="shared" si="83"/>
        <v/>
      </c>
    </row>
    <row r="749" spans="149:167">
      <c r="ES749">
        <v>742</v>
      </c>
      <c r="ET749" t="s">
        <v>356</v>
      </c>
      <c r="EU749" t="s">
        <v>357</v>
      </c>
      <c r="EV749">
        <v>243</v>
      </c>
      <c r="EW749" t="str" cm="1">
        <f t="array" aca="1" ref="EW749" ca="1">INDIRECT("'5借入一覧'!"&amp;ET749&amp;EV749)&amp;INDIRECT("'5借入一覧'!"&amp;EU749&amp;EV749)</f>
        <v/>
      </c>
      <c r="EX749">
        <v>2</v>
      </c>
      <c r="FK749" t="str">
        <f t="shared" si="83"/>
        <v/>
      </c>
    </row>
    <row r="750" spans="149:167">
      <c r="ES750">
        <v>743</v>
      </c>
      <c r="ET750" t="s">
        <v>356</v>
      </c>
      <c r="EU750" t="s">
        <v>357</v>
      </c>
      <c r="EV750">
        <v>244</v>
      </c>
      <c r="EW750" t="str" cm="1">
        <f t="array" aca="1" ref="EW750" ca="1">INDIRECT("'5借入一覧'!"&amp;ET750&amp;EV750)&amp;INDIRECT("'5借入一覧'!"&amp;EU750&amp;EV750)</f>
        <v/>
      </c>
      <c r="EX750">
        <v>2</v>
      </c>
      <c r="FK750" t="str">
        <f t="shared" si="83"/>
        <v/>
      </c>
    </row>
    <row r="751" spans="149:167">
      <c r="ES751">
        <v>744</v>
      </c>
      <c r="ET751" t="s">
        <v>356</v>
      </c>
      <c r="EU751" t="s">
        <v>357</v>
      </c>
      <c r="EV751">
        <v>245</v>
      </c>
      <c r="EW751" t="str" cm="1">
        <f t="array" aca="1" ref="EW751" ca="1">INDIRECT("'5借入一覧'!"&amp;ET751&amp;EV751)&amp;INDIRECT("'5借入一覧'!"&amp;EU751&amp;EV751)</f>
        <v/>
      </c>
      <c r="EX751">
        <v>2</v>
      </c>
      <c r="FK751" t="str">
        <f t="shared" si="83"/>
        <v/>
      </c>
    </row>
    <row r="752" spans="149:167">
      <c r="ES752">
        <v>745</v>
      </c>
      <c r="ET752" t="s">
        <v>356</v>
      </c>
      <c r="EU752" t="s">
        <v>357</v>
      </c>
      <c r="EV752">
        <v>246</v>
      </c>
      <c r="EW752" t="str" cm="1">
        <f t="array" aca="1" ref="EW752" ca="1">INDIRECT("'5借入一覧'!"&amp;ET752&amp;EV752)&amp;INDIRECT("'5借入一覧'!"&amp;EU752&amp;EV752)</f>
        <v/>
      </c>
      <c r="EX752">
        <v>2</v>
      </c>
      <c r="FK752" t="str">
        <f t="shared" si="83"/>
        <v/>
      </c>
    </row>
    <row r="753" spans="149:167">
      <c r="ES753">
        <v>746</v>
      </c>
      <c r="ET753" t="s">
        <v>356</v>
      </c>
      <c r="EU753" t="s">
        <v>357</v>
      </c>
      <c r="EV753">
        <v>247</v>
      </c>
      <c r="EW753" t="str" cm="1">
        <f t="array" aca="1" ref="EW753" ca="1">INDIRECT("'5借入一覧'!"&amp;ET753&amp;EV753)&amp;INDIRECT("'5借入一覧'!"&amp;EU753&amp;EV753)</f>
        <v/>
      </c>
      <c r="EX753">
        <v>2</v>
      </c>
      <c r="FK753" t="str">
        <f t="shared" si="83"/>
        <v/>
      </c>
    </row>
    <row r="754" spans="149:167">
      <c r="ES754">
        <v>747</v>
      </c>
      <c r="ET754" t="s">
        <v>356</v>
      </c>
      <c r="EU754" t="s">
        <v>357</v>
      </c>
      <c r="EV754">
        <v>248</v>
      </c>
      <c r="EW754" t="str" cm="1">
        <f t="array" aca="1" ref="EW754" ca="1">INDIRECT("'5借入一覧'!"&amp;ET754&amp;EV754)&amp;INDIRECT("'5借入一覧'!"&amp;EU754&amp;EV754)</f>
        <v/>
      </c>
      <c r="EX754">
        <v>2</v>
      </c>
      <c r="FK754" t="str">
        <f t="shared" si="83"/>
        <v/>
      </c>
    </row>
    <row r="755" spans="149:167">
      <c r="ES755">
        <v>748</v>
      </c>
      <c r="ET755" t="s">
        <v>356</v>
      </c>
      <c r="EU755" t="s">
        <v>357</v>
      </c>
      <c r="EV755">
        <v>249</v>
      </c>
      <c r="EW755" t="str" cm="1">
        <f t="array" aca="1" ref="EW755" ca="1">INDIRECT("'5借入一覧'!"&amp;ET755&amp;EV755)&amp;INDIRECT("'5借入一覧'!"&amp;EU755&amp;EV755)</f>
        <v/>
      </c>
      <c r="EX755">
        <v>2</v>
      </c>
      <c r="FK755" t="str">
        <f t="shared" si="83"/>
        <v/>
      </c>
    </row>
    <row r="756" spans="149:167">
      <c r="ES756">
        <v>749</v>
      </c>
      <c r="ET756" t="s">
        <v>356</v>
      </c>
      <c r="EU756" t="s">
        <v>357</v>
      </c>
      <c r="EV756">
        <v>250</v>
      </c>
      <c r="EW756" t="str" cm="1">
        <f t="array" aca="1" ref="EW756" ca="1">INDIRECT("'5借入一覧'!"&amp;ET756&amp;EV756)&amp;INDIRECT("'5借入一覧'!"&amp;EU756&amp;EV756)</f>
        <v/>
      </c>
      <c r="EX756">
        <v>2</v>
      </c>
      <c r="FK756" t="str">
        <f t="shared" si="83"/>
        <v/>
      </c>
    </row>
    <row r="757" spans="149:167">
      <c r="ES757">
        <v>750</v>
      </c>
      <c r="ET757" t="s">
        <v>356</v>
      </c>
      <c r="EU757" t="s">
        <v>357</v>
      </c>
      <c r="EV757">
        <v>251</v>
      </c>
      <c r="EW757" t="str" cm="1">
        <f t="array" aca="1" ref="EW757" ca="1">INDIRECT("'5借入一覧'!"&amp;ET757&amp;EV757)&amp;INDIRECT("'5借入一覧'!"&amp;EU757&amp;EV757)</f>
        <v/>
      </c>
      <c r="EX757">
        <v>2</v>
      </c>
      <c r="FK757" t="str">
        <f t="shared" si="83"/>
        <v/>
      </c>
    </row>
    <row r="758" spans="149:167">
      <c r="ES758">
        <v>751</v>
      </c>
      <c r="ET758" t="s">
        <v>356</v>
      </c>
      <c r="EU758" t="s">
        <v>357</v>
      </c>
      <c r="EV758">
        <v>252</v>
      </c>
      <c r="EW758" t="str" cm="1">
        <f t="array" aca="1" ref="EW758" ca="1">INDIRECT("'5借入一覧'!"&amp;ET758&amp;EV758)&amp;INDIRECT("'5借入一覧'!"&amp;EU758&amp;EV758)</f>
        <v/>
      </c>
      <c r="EX758">
        <v>2</v>
      </c>
      <c r="FK758" t="str">
        <f t="shared" si="83"/>
        <v/>
      </c>
    </row>
    <row r="759" spans="149:167">
      <c r="ES759">
        <v>752</v>
      </c>
      <c r="ET759" t="s">
        <v>356</v>
      </c>
      <c r="EU759" t="s">
        <v>357</v>
      </c>
      <c r="EV759">
        <v>253</v>
      </c>
      <c r="EW759" t="str" cm="1">
        <f t="array" aca="1" ref="EW759" ca="1">INDIRECT("'5借入一覧'!"&amp;ET759&amp;EV759)&amp;INDIRECT("'5借入一覧'!"&amp;EU759&amp;EV759)</f>
        <v/>
      </c>
      <c r="EX759">
        <v>2</v>
      </c>
      <c r="FK759" t="str">
        <f t="shared" si="83"/>
        <v/>
      </c>
    </row>
    <row r="760" spans="149:167">
      <c r="ES760">
        <v>753</v>
      </c>
      <c r="ET760" t="s">
        <v>356</v>
      </c>
      <c r="EU760" t="s">
        <v>357</v>
      </c>
      <c r="EV760">
        <v>254</v>
      </c>
      <c r="EW760" t="str" cm="1">
        <f t="array" aca="1" ref="EW760" ca="1">INDIRECT("'5借入一覧'!"&amp;ET760&amp;EV760)&amp;INDIRECT("'5借入一覧'!"&amp;EU760&amp;EV760)</f>
        <v/>
      </c>
      <c r="EX760">
        <v>2</v>
      </c>
      <c r="FK760" t="str">
        <f t="shared" si="83"/>
        <v/>
      </c>
    </row>
    <row r="761" spans="149:167">
      <c r="ES761">
        <v>754</v>
      </c>
      <c r="ET761" t="s">
        <v>356</v>
      </c>
      <c r="EU761" t="s">
        <v>357</v>
      </c>
      <c r="EV761">
        <v>255</v>
      </c>
      <c r="EW761" t="str" cm="1">
        <f t="array" aca="1" ref="EW761" ca="1">INDIRECT("'5借入一覧'!"&amp;ET761&amp;EV761)&amp;INDIRECT("'5借入一覧'!"&amp;EU761&amp;EV761)</f>
        <v/>
      </c>
      <c r="EX761">
        <v>2</v>
      </c>
      <c r="FK761" t="str">
        <f t="shared" si="83"/>
        <v/>
      </c>
    </row>
    <row r="762" spans="149:167">
      <c r="ES762">
        <v>755</v>
      </c>
      <c r="ET762" t="s">
        <v>356</v>
      </c>
      <c r="EU762" t="s">
        <v>357</v>
      </c>
      <c r="EV762">
        <v>256</v>
      </c>
      <c r="EW762" t="str" cm="1">
        <f t="array" aca="1" ref="EW762" ca="1">INDIRECT("'5借入一覧'!"&amp;ET762&amp;EV762)&amp;INDIRECT("'5借入一覧'!"&amp;EU762&amp;EV762)</f>
        <v/>
      </c>
      <c r="EX762">
        <v>2</v>
      </c>
      <c r="FK762" t="str">
        <f t="shared" si="83"/>
        <v/>
      </c>
    </row>
    <row r="763" spans="149:167">
      <c r="ES763">
        <v>756</v>
      </c>
      <c r="ET763" t="s">
        <v>356</v>
      </c>
      <c r="EU763" t="s">
        <v>357</v>
      </c>
      <c r="EV763">
        <v>257</v>
      </c>
      <c r="EW763" t="str" cm="1">
        <f t="array" aca="1" ref="EW763" ca="1">INDIRECT("'5借入一覧'!"&amp;ET763&amp;EV763)&amp;INDIRECT("'5借入一覧'!"&amp;EU763&amp;EV763)</f>
        <v/>
      </c>
      <c r="EX763">
        <v>2</v>
      </c>
      <c r="FK763" t="str">
        <f t="shared" si="83"/>
        <v/>
      </c>
    </row>
    <row r="764" spans="149:167">
      <c r="ES764">
        <v>757</v>
      </c>
      <c r="ET764" t="s">
        <v>356</v>
      </c>
      <c r="EU764" t="s">
        <v>357</v>
      </c>
      <c r="EV764">
        <v>258</v>
      </c>
      <c r="EW764" t="str" cm="1">
        <f t="array" aca="1" ref="EW764" ca="1">INDIRECT("'5借入一覧'!"&amp;ET764&amp;EV764)&amp;INDIRECT("'5借入一覧'!"&amp;EU764&amp;EV764)</f>
        <v/>
      </c>
      <c r="EX764">
        <v>2</v>
      </c>
      <c r="FK764" t="str">
        <f t="shared" si="83"/>
        <v/>
      </c>
    </row>
    <row r="765" spans="149:167">
      <c r="ES765">
        <v>758</v>
      </c>
      <c r="ET765" t="s">
        <v>356</v>
      </c>
      <c r="EU765" t="s">
        <v>357</v>
      </c>
      <c r="EV765">
        <v>259</v>
      </c>
      <c r="EW765" t="str" cm="1">
        <f t="array" aca="1" ref="EW765" ca="1">INDIRECT("'5借入一覧'!"&amp;ET765&amp;EV765)&amp;INDIRECT("'5借入一覧'!"&amp;EU765&amp;EV765)</f>
        <v/>
      </c>
      <c r="EX765">
        <v>2</v>
      </c>
      <c r="FK765" t="str">
        <f t="shared" si="83"/>
        <v/>
      </c>
    </row>
    <row r="766" spans="149:167">
      <c r="ES766">
        <v>759</v>
      </c>
      <c r="ET766" t="s">
        <v>356</v>
      </c>
      <c r="EU766" t="s">
        <v>357</v>
      </c>
      <c r="EV766">
        <v>260</v>
      </c>
      <c r="EW766" t="str" cm="1">
        <f t="array" aca="1" ref="EW766" ca="1">INDIRECT("'5借入一覧'!"&amp;ET766&amp;EV766)&amp;INDIRECT("'5借入一覧'!"&amp;EU766&amp;EV766)</f>
        <v/>
      </c>
      <c r="EX766">
        <v>2</v>
      </c>
      <c r="FK766" t="str">
        <f t="shared" si="83"/>
        <v/>
      </c>
    </row>
    <row r="767" spans="149:167">
      <c r="ES767">
        <v>760</v>
      </c>
      <c r="ET767" t="s">
        <v>356</v>
      </c>
      <c r="EU767" t="s">
        <v>357</v>
      </c>
      <c r="EV767">
        <v>261</v>
      </c>
      <c r="EW767" t="str" cm="1">
        <f t="array" aca="1" ref="EW767" ca="1">INDIRECT("'5借入一覧'!"&amp;ET767&amp;EV767)&amp;INDIRECT("'5借入一覧'!"&amp;EU767&amp;EV767)</f>
        <v/>
      </c>
      <c r="EX767">
        <v>2</v>
      </c>
      <c r="FK767" t="str">
        <f t="shared" si="83"/>
        <v/>
      </c>
    </row>
    <row r="768" spans="149:167">
      <c r="ES768">
        <v>761</v>
      </c>
      <c r="ET768" t="s">
        <v>356</v>
      </c>
      <c r="EU768" t="s">
        <v>357</v>
      </c>
      <c r="EV768">
        <v>262</v>
      </c>
      <c r="EW768" t="str" cm="1">
        <f t="array" aca="1" ref="EW768" ca="1">INDIRECT("'5借入一覧'!"&amp;ET768&amp;EV768)&amp;INDIRECT("'5借入一覧'!"&amp;EU768&amp;EV768)</f>
        <v/>
      </c>
      <c r="EX768">
        <v>2</v>
      </c>
      <c r="FK768" t="str">
        <f t="shared" si="83"/>
        <v/>
      </c>
    </row>
    <row r="769" spans="149:167">
      <c r="ES769">
        <v>762</v>
      </c>
      <c r="ET769" t="s">
        <v>356</v>
      </c>
      <c r="EU769" t="s">
        <v>357</v>
      </c>
      <c r="EV769">
        <v>263</v>
      </c>
      <c r="EW769" t="str" cm="1">
        <f t="array" aca="1" ref="EW769" ca="1">INDIRECT("'5借入一覧'!"&amp;ET769&amp;EV769)&amp;INDIRECT("'5借入一覧'!"&amp;EU769&amp;EV769)</f>
        <v/>
      </c>
      <c r="EX769">
        <v>2</v>
      </c>
      <c r="FK769" t="str">
        <f t="shared" si="83"/>
        <v/>
      </c>
    </row>
    <row r="770" spans="149:167">
      <c r="ES770">
        <v>763</v>
      </c>
      <c r="ET770" t="s">
        <v>356</v>
      </c>
      <c r="EU770" t="s">
        <v>357</v>
      </c>
      <c r="EV770">
        <v>264</v>
      </c>
      <c r="EW770" t="str" cm="1">
        <f t="array" aca="1" ref="EW770" ca="1">INDIRECT("'5借入一覧'!"&amp;ET770&amp;EV770)&amp;INDIRECT("'5借入一覧'!"&amp;EU770&amp;EV770)</f>
        <v/>
      </c>
      <c r="EX770">
        <v>2</v>
      </c>
      <c r="FK770" t="str">
        <f t="shared" si="83"/>
        <v/>
      </c>
    </row>
    <row r="771" spans="149:167">
      <c r="ES771">
        <v>764</v>
      </c>
      <c r="ET771" t="s">
        <v>356</v>
      </c>
      <c r="EU771" t="s">
        <v>357</v>
      </c>
      <c r="EV771">
        <v>265</v>
      </c>
      <c r="EW771" t="str" cm="1">
        <f t="array" aca="1" ref="EW771" ca="1">INDIRECT("'5借入一覧'!"&amp;ET771&amp;EV771)&amp;INDIRECT("'5借入一覧'!"&amp;EU771&amp;EV771)</f>
        <v/>
      </c>
      <c r="EX771">
        <v>2</v>
      </c>
      <c r="FK771" t="str">
        <f t="shared" si="83"/>
        <v/>
      </c>
    </row>
    <row r="772" spans="149:167">
      <c r="ES772">
        <v>765</v>
      </c>
      <c r="ET772" t="s">
        <v>356</v>
      </c>
      <c r="EU772" t="s">
        <v>357</v>
      </c>
      <c r="EV772">
        <v>266</v>
      </c>
      <c r="EW772" t="str" cm="1">
        <f t="array" aca="1" ref="EW772" ca="1">INDIRECT("'5借入一覧'!"&amp;ET772&amp;EV772)&amp;INDIRECT("'5借入一覧'!"&amp;EU772&amp;EV772)</f>
        <v/>
      </c>
      <c r="EX772">
        <v>2</v>
      </c>
      <c r="FK772" t="str">
        <f t="shared" si="83"/>
        <v/>
      </c>
    </row>
    <row r="773" spans="149:167">
      <c r="ES773">
        <v>766</v>
      </c>
      <c r="ET773" t="s">
        <v>356</v>
      </c>
      <c r="EU773" t="s">
        <v>357</v>
      </c>
      <c r="EV773">
        <v>267</v>
      </c>
      <c r="EW773" t="str" cm="1">
        <f t="array" aca="1" ref="EW773" ca="1">INDIRECT("'5借入一覧'!"&amp;ET773&amp;EV773)&amp;INDIRECT("'5借入一覧'!"&amp;EU773&amp;EV773)</f>
        <v/>
      </c>
      <c r="EX773">
        <v>2</v>
      </c>
      <c r="FK773" t="str">
        <f t="shared" si="83"/>
        <v/>
      </c>
    </row>
    <row r="774" spans="149:167">
      <c r="ES774">
        <v>767</v>
      </c>
      <c r="ET774" t="s">
        <v>356</v>
      </c>
      <c r="EU774" t="s">
        <v>357</v>
      </c>
      <c r="EV774">
        <v>268</v>
      </c>
      <c r="EW774" t="str" cm="1">
        <f t="array" aca="1" ref="EW774" ca="1">INDIRECT("'5借入一覧'!"&amp;ET774&amp;EV774)&amp;INDIRECT("'5借入一覧'!"&amp;EU774&amp;EV774)</f>
        <v/>
      </c>
      <c r="EX774">
        <v>2</v>
      </c>
      <c r="FK774" t="str">
        <f t="shared" si="83"/>
        <v/>
      </c>
    </row>
    <row r="775" spans="149:167">
      <c r="ES775">
        <v>768</v>
      </c>
      <c r="ET775" t="s">
        <v>356</v>
      </c>
      <c r="EU775" t="s">
        <v>357</v>
      </c>
      <c r="EV775">
        <v>269</v>
      </c>
      <c r="EW775" t="str" cm="1">
        <f t="array" aca="1" ref="EW775" ca="1">INDIRECT("'5借入一覧'!"&amp;ET775&amp;EV775)&amp;INDIRECT("'5借入一覧'!"&amp;EU775&amp;EV775)</f>
        <v/>
      </c>
      <c r="EX775">
        <v>2</v>
      </c>
      <c r="FK775" t="str">
        <f t="shared" si="83"/>
        <v/>
      </c>
    </row>
    <row r="776" spans="149:167">
      <c r="ES776">
        <v>769</v>
      </c>
      <c r="ET776" t="s">
        <v>356</v>
      </c>
      <c r="EU776" t="s">
        <v>357</v>
      </c>
      <c r="EV776">
        <v>270</v>
      </c>
      <c r="EW776" t="str" cm="1">
        <f t="array" aca="1" ref="EW776" ca="1">INDIRECT("'5借入一覧'!"&amp;ET776&amp;EV776)&amp;INDIRECT("'5借入一覧'!"&amp;EU776&amp;EV776)</f>
        <v/>
      </c>
      <c r="EX776">
        <v>2</v>
      </c>
      <c r="FK776" t="str">
        <f t="shared" ref="FK776:FK839" si="84">IF(FJ776&lt;&gt;"",LEFT(FJ776,LEN(FJ776)-1),"")</f>
        <v/>
      </c>
    </row>
    <row r="777" spans="149:167">
      <c r="ES777">
        <v>770</v>
      </c>
      <c r="ET777" t="s">
        <v>356</v>
      </c>
      <c r="EU777" t="s">
        <v>357</v>
      </c>
      <c r="EV777">
        <v>271</v>
      </c>
      <c r="EW777" t="str" cm="1">
        <f t="array" aca="1" ref="EW777" ca="1">INDIRECT("'5借入一覧'!"&amp;ET777&amp;EV777)&amp;INDIRECT("'5借入一覧'!"&amp;EU777&amp;EV777)</f>
        <v/>
      </c>
      <c r="EX777">
        <v>2</v>
      </c>
      <c r="FK777" t="str">
        <f t="shared" si="84"/>
        <v/>
      </c>
    </row>
    <row r="778" spans="149:167">
      <c r="ES778">
        <v>771</v>
      </c>
      <c r="ET778" t="s">
        <v>356</v>
      </c>
      <c r="EU778" t="s">
        <v>357</v>
      </c>
      <c r="EV778">
        <v>272</v>
      </c>
      <c r="EW778" t="str" cm="1">
        <f t="array" aca="1" ref="EW778" ca="1">INDIRECT("'5借入一覧'!"&amp;ET778&amp;EV778)&amp;INDIRECT("'5借入一覧'!"&amp;EU778&amp;EV778)</f>
        <v/>
      </c>
      <c r="EX778">
        <v>2</v>
      </c>
      <c r="FK778" t="str">
        <f t="shared" si="84"/>
        <v/>
      </c>
    </row>
    <row r="779" spans="149:167">
      <c r="ES779">
        <v>772</v>
      </c>
      <c r="ET779" t="s">
        <v>356</v>
      </c>
      <c r="EU779" t="s">
        <v>357</v>
      </c>
      <c r="EV779">
        <v>273</v>
      </c>
      <c r="EW779" t="str" cm="1">
        <f t="array" aca="1" ref="EW779" ca="1">INDIRECT("'5借入一覧'!"&amp;ET779&amp;EV779)&amp;INDIRECT("'5借入一覧'!"&amp;EU779&amp;EV779)</f>
        <v/>
      </c>
      <c r="EX779">
        <v>2</v>
      </c>
      <c r="FK779" t="str">
        <f t="shared" si="84"/>
        <v/>
      </c>
    </row>
    <row r="780" spans="149:167">
      <c r="ES780">
        <v>773</v>
      </c>
      <c r="ET780" t="s">
        <v>356</v>
      </c>
      <c r="EU780" t="s">
        <v>357</v>
      </c>
      <c r="EV780">
        <v>274</v>
      </c>
      <c r="EW780" t="str" cm="1">
        <f t="array" aca="1" ref="EW780" ca="1">INDIRECT("'5借入一覧'!"&amp;ET780&amp;EV780)&amp;INDIRECT("'5借入一覧'!"&amp;EU780&amp;EV780)</f>
        <v/>
      </c>
      <c r="EX780">
        <v>2</v>
      </c>
      <c r="FK780" t="str">
        <f t="shared" si="84"/>
        <v/>
      </c>
    </row>
    <row r="781" spans="149:167">
      <c r="ES781">
        <v>774</v>
      </c>
      <c r="ET781" t="s">
        <v>356</v>
      </c>
      <c r="EU781" t="s">
        <v>357</v>
      </c>
      <c r="EV781">
        <v>275</v>
      </c>
      <c r="EW781" t="str" cm="1">
        <f t="array" aca="1" ref="EW781" ca="1">INDIRECT("'5借入一覧'!"&amp;ET781&amp;EV781)&amp;INDIRECT("'5借入一覧'!"&amp;EU781&amp;EV781)</f>
        <v/>
      </c>
      <c r="EX781">
        <v>2</v>
      </c>
      <c r="FK781" t="str">
        <f t="shared" si="84"/>
        <v/>
      </c>
    </row>
    <row r="782" spans="149:167">
      <c r="ES782">
        <v>775</v>
      </c>
      <c r="ET782" t="s">
        <v>356</v>
      </c>
      <c r="EU782" t="s">
        <v>357</v>
      </c>
      <c r="EV782">
        <v>276</v>
      </c>
      <c r="EW782" t="str" cm="1">
        <f t="array" aca="1" ref="EW782" ca="1">INDIRECT("'5借入一覧'!"&amp;ET782&amp;EV782)&amp;INDIRECT("'5借入一覧'!"&amp;EU782&amp;EV782)</f>
        <v/>
      </c>
      <c r="EX782">
        <v>2</v>
      </c>
      <c r="FK782" t="str">
        <f t="shared" si="84"/>
        <v/>
      </c>
    </row>
    <row r="783" spans="149:167">
      <c r="ES783">
        <v>776</v>
      </c>
      <c r="ET783" t="s">
        <v>356</v>
      </c>
      <c r="EU783" t="s">
        <v>357</v>
      </c>
      <c r="EV783">
        <v>277</v>
      </c>
      <c r="EW783" t="str" cm="1">
        <f t="array" aca="1" ref="EW783" ca="1">INDIRECT("'5借入一覧'!"&amp;ET783&amp;EV783)&amp;INDIRECT("'5借入一覧'!"&amp;EU783&amp;EV783)</f>
        <v/>
      </c>
      <c r="EX783">
        <v>2</v>
      </c>
      <c r="FK783" t="str">
        <f t="shared" si="84"/>
        <v/>
      </c>
    </row>
    <row r="784" spans="149:167">
      <c r="ES784">
        <v>777</v>
      </c>
      <c r="ET784" t="s">
        <v>356</v>
      </c>
      <c r="EU784" t="s">
        <v>357</v>
      </c>
      <c r="EV784">
        <v>278</v>
      </c>
      <c r="EW784" t="str" cm="1">
        <f t="array" aca="1" ref="EW784" ca="1">INDIRECT("'5借入一覧'!"&amp;ET784&amp;EV784)&amp;INDIRECT("'5借入一覧'!"&amp;EU784&amp;EV784)</f>
        <v/>
      </c>
      <c r="EX784">
        <v>2</v>
      </c>
      <c r="FK784" t="str">
        <f t="shared" si="84"/>
        <v/>
      </c>
    </row>
    <row r="785" spans="149:167">
      <c r="ES785">
        <v>778</v>
      </c>
      <c r="ET785" t="s">
        <v>356</v>
      </c>
      <c r="EU785" t="s">
        <v>357</v>
      </c>
      <c r="EV785">
        <v>279</v>
      </c>
      <c r="EW785" t="str" cm="1">
        <f t="array" aca="1" ref="EW785" ca="1">INDIRECT("'5借入一覧'!"&amp;ET785&amp;EV785)&amp;INDIRECT("'5借入一覧'!"&amp;EU785&amp;EV785)</f>
        <v/>
      </c>
      <c r="EX785">
        <v>2</v>
      </c>
      <c r="FK785" t="str">
        <f t="shared" si="84"/>
        <v/>
      </c>
    </row>
    <row r="786" spans="149:167">
      <c r="ES786">
        <v>779</v>
      </c>
      <c r="ET786" t="s">
        <v>356</v>
      </c>
      <c r="EU786" t="s">
        <v>357</v>
      </c>
      <c r="EV786">
        <v>280</v>
      </c>
      <c r="EW786" t="str" cm="1">
        <f t="array" aca="1" ref="EW786" ca="1">INDIRECT("'5借入一覧'!"&amp;ET786&amp;EV786)&amp;INDIRECT("'5借入一覧'!"&amp;EU786&amp;EV786)</f>
        <v/>
      </c>
      <c r="EX786">
        <v>2</v>
      </c>
      <c r="FK786" t="str">
        <f t="shared" si="84"/>
        <v/>
      </c>
    </row>
    <row r="787" spans="149:167">
      <c r="ES787">
        <v>780</v>
      </c>
      <c r="ET787" t="s">
        <v>356</v>
      </c>
      <c r="EU787" t="s">
        <v>357</v>
      </c>
      <c r="EV787">
        <v>281</v>
      </c>
      <c r="EW787" t="str" cm="1">
        <f t="array" aca="1" ref="EW787" ca="1">INDIRECT("'5借入一覧'!"&amp;ET787&amp;EV787)&amp;INDIRECT("'5借入一覧'!"&amp;EU787&amp;EV787)</f>
        <v/>
      </c>
      <c r="EX787">
        <v>2</v>
      </c>
      <c r="FK787" t="str">
        <f t="shared" si="84"/>
        <v/>
      </c>
    </row>
    <row r="788" spans="149:167">
      <c r="ES788">
        <v>781</v>
      </c>
      <c r="ET788" t="s">
        <v>356</v>
      </c>
      <c r="EU788" t="s">
        <v>357</v>
      </c>
      <c r="EV788">
        <v>282</v>
      </c>
      <c r="EW788" t="str" cm="1">
        <f t="array" aca="1" ref="EW788" ca="1">INDIRECT("'5借入一覧'!"&amp;ET788&amp;EV788)&amp;INDIRECT("'5借入一覧'!"&amp;EU788&amp;EV788)</f>
        <v/>
      </c>
      <c r="EX788">
        <v>2</v>
      </c>
      <c r="FK788" t="str">
        <f t="shared" si="84"/>
        <v/>
      </c>
    </row>
    <row r="789" spans="149:167">
      <c r="ES789">
        <v>782</v>
      </c>
      <c r="ET789" t="s">
        <v>356</v>
      </c>
      <c r="EU789" t="s">
        <v>357</v>
      </c>
      <c r="EV789">
        <v>283</v>
      </c>
      <c r="EW789" t="str" cm="1">
        <f t="array" aca="1" ref="EW789" ca="1">INDIRECT("'5借入一覧'!"&amp;ET789&amp;EV789)&amp;INDIRECT("'5借入一覧'!"&amp;EU789&amp;EV789)</f>
        <v/>
      </c>
      <c r="EX789">
        <v>2</v>
      </c>
      <c r="FK789" t="str">
        <f t="shared" si="84"/>
        <v/>
      </c>
    </row>
    <row r="790" spans="149:167">
      <c r="ES790">
        <v>783</v>
      </c>
      <c r="ET790" t="s">
        <v>356</v>
      </c>
      <c r="EU790" t="s">
        <v>357</v>
      </c>
      <c r="EV790">
        <v>284</v>
      </c>
      <c r="EW790" t="str" cm="1">
        <f t="array" aca="1" ref="EW790" ca="1">INDIRECT("'5借入一覧'!"&amp;ET790&amp;EV790)&amp;INDIRECT("'5借入一覧'!"&amp;EU790&amp;EV790)</f>
        <v/>
      </c>
      <c r="EX790">
        <v>2</v>
      </c>
      <c r="FK790" t="str">
        <f t="shared" si="84"/>
        <v/>
      </c>
    </row>
    <row r="791" spans="149:167">
      <c r="ES791">
        <v>784</v>
      </c>
      <c r="ET791" t="s">
        <v>356</v>
      </c>
      <c r="EU791" t="s">
        <v>357</v>
      </c>
      <c r="EV791">
        <v>285</v>
      </c>
      <c r="EW791" t="str" cm="1">
        <f t="array" aca="1" ref="EW791" ca="1">INDIRECT("'5借入一覧'!"&amp;ET791&amp;EV791)&amp;INDIRECT("'5借入一覧'!"&amp;EU791&amp;EV791)</f>
        <v/>
      </c>
      <c r="EX791">
        <v>2</v>
      </c>
      <c r="FK791" t="str">
        <f t="shared" si="84"/>
        <v/>
      </c>
    </row>
    <row r="792" spans="149:167">
      <c r="ES792">
        <v>785</v>
      </c>
      <c r="ET792" t="s">
        <v>356</v>
      </c>
      <c r="EU792" t="s">
        <v>357</v>
      </c>
      <c r="EV792">
        <v>286</v>
      </c>
      <c r="EW792" t="str" cm="1">
        <f t="array" aca="1" ref="EW792" ca="1">INDIRECT("'5借入一覧'!"&amp;ET792&amp;EV792)&amp;INDIRECT("'5借入一覧'!"&amp;EU792&amp;EV792)</f>
        <v/>
      </c>
      <c r="EX792">
        <v>2</v>
      </c>
      <c r="FK792" t="str">
        <f t="shared" si="84"/>
        <v/>
      </c>
    </row>
    <row r="793" spans="149:167">
      <c r="ES793">
        <v>786</v>
      </c>
      <c r="ET793" t="s">
        <v>356</v>
      </c>
      <c r="EU793" t="s">
        <v>357</v>
      </c>
      <c r="EV793">
        <v>287</v>
      </c>
      <c r="EW793" t="str" cm="1">
        <f t="array" aca="1" ref="EW793" ca="1">INDIRECT("'5借入一覧'!"&amp;ET793&amp;EV793)&amp;INDIRECT("'5借入一覧'!"&amp;EU793&amp;EV793)</f>
        <v/>
      </c>
      <c r="EX793">
        <v>2</v>
      </c>
      <c r="FK793" t="str">
        <f t="shared" si="84"/>
        <v/>
      </c>
    </row>
    <row r="794" spans="149:167">
      <c r="ES794">
        <v>787</v>
      </c>
      <c r="ET794" t="s">
        <v>356</v>
      </c>
      <c r="EU794" t="s">
        <v>357</v>
      </c>
      <c r="EV794">
        <v>288</v>
      </c>
      <c r="EW794" t="str" cm="1">
        <f t="array" aca="1" ref="EW794" ca="1">INDIRECT("'5借入一覧'!"&amp;ET794&amp;EV794)&amp;INDIRECT("'5借入一覧'!"&amp;EU794&amp;EV794)</f>
        <v/>
      </c>
      <c r="EX794">
        <v>2</v>
      </c>
      <c r="FK794" t="str">
        <f t="shared" si="84"/>
        <v/>
      </c>
    </row>
    <row r="795" spans="149:167">
      <c r="ES795">
        <v>788</v>
      </c>
      <c r="ET795" t="s">
        <v>356</v>
      </c>
      <c r="EU795" t="s">
        <v>357</v>
      </c>
      <c r="EV795">
        <v>289</v>
      </c>
      <c r="EW795" t="str" cm="1">
        <f t="array" aca="1" ref="EW795" ca="1">INDIRECT("'5借入一覧'!"&amp;ET795&amp;EV795)&amp;INDIRECT("'5借入一覧'!"&amp;EU795&amp;EV795)</f>
        <v/>
      </c>
      <c r="EX795">
        <v>2</v>
      </c>
      <c r="FK795" t="str">
        <f t="shared" si="84"/>
        <v/>
      </c>
    </row>
    <row r="796" spans="149:167">
      <c r="ES796">
        <v>789</v>
      </c>
      <c r="ET796" t="s">
        <v>356</v>
      </c>
      <c r="EU796" t="s">
        <v>357</v>
      </c>
      <c r="EV796">
        <v>290</v>
      </c>
      <c r="EW796" t="str" cm="1">
        <f t="array" aca="1" ref="EW796" ca="1">INDIRECT("'5借入一覧'!"&amp;ET796&amp;EV796)&amp;INDIRECT("'5借入一覧'!"&amp;EU796&amp;EV796)</f>
        <v/>
      </c>
      <c r="EX796">
        <v>2</v>
      </c>
      <c r="FK796" t="str">
        <f t="shared" si="84"/>
        <v/>
      </c>
    </row>
    <row r="797" spans="149:167">
      <c r="ES797">
        <v>790</v>
      </c>
      <c r="ET797" t="s">
        <v>356</v>
      </c>
      <c r="EU797" t="s">
        <v>357</v>
      </c>
      <c r="EV797">
        <v>291</v>
      </c>
      <c r="EW797" t="str" cm="1">
        <f t="array" aca="1" ref="EW797" ca="1">INDIRECT("'5借入一覧'!"&amp;ET797&amp;EV797)&amp;INDIRECT("'5借入一覧'!"&amp;EU797&amp;EV797)</f>
        <v/>
      </c>
      <c r="EX797">
        <v>2</v>
      </c>
      <c r="FK797" t="str">
        <f t="shared" si="84"/>
        <v/>
      </c>
    </row>
    <row r="798" spans="149:167">
      <c r="ES798">
        <v>791</v>
      </c>
      <c r="ET798" t="s">
        <v>356</v>
      </c>
      <c r="EU798" t="s">
        <v>357</v>
      </c>
      <c r="EV798">
        <v>292</v>
      </c>
      <c r="EW798" t="str" cm="1">
        <f t="array" aca="1" ref="EW798" ca="1">INDIRECT("'5借入一覧'!"&amp;ET798&amp;EV798)&amp;INDIRECT("'5借入一覧'!"&amp;EU798&amp;EV798)</f>
        <v/>
      </c>
      <c r="EX798">
        <v>2</v>
      </c>
      <c r="FK798" t="str">
        <f t="shared" si="84"/>
        <v/>
      </c>
    </row>
    <row r="799" spans="149:167">
      <c r="ES799">
        <v>792</v>
      </c>
      <c r="ET799" t="s">
        <v>356</v>
      </c>
      <c r="EU799" t="s">
        <v>357</v>
      </c>
      <c r="EV799">
        <v>293</v>
      </c>
      <c r="EW799" t="str" cm="1">
        <f t="array" aca="1" ref="EW799" ca="1">INDIRECT("'5借入一覧'!"&amp;ET799&amp;EV799)&amp;INDIRECT("'5借入一覧'!"&amp;EU799&amp;EV799)</f>
        <v/>
      </c>
      <c r="EX799">
        <v>2</v>
      </c>
      <c r="FK799" t="str">
        <f t="shared" si="84"/>
        <v/>
      </c>
    </row>
    <row r="800" spans="149:167">
      <c r="ES800">
        <v>793</v>
      </c>
      <c r="ET800" t="s">
        <v>356</v>
      </c>
      <c r="EU800" t="s">
        <v>357</v>
      </c>
      <c r="EV800">
        <v>294</v>
      </c>
      <c r="EW800" t="str" cm="1">
        <f t="array" aca="1" ref="EW800" ca="1">INDIRECT("'5借入一覧'!"&amp;ET800&amp;EV800)&amp;INDIRECT("'5借入一覧'!"&amp;EU800&amp;EV800)</f>
        <v/>
      </c>
      <c r="EX800">
        <v>2</v>
      </c>
      <c r="FK800" t="str">
        <f t="shared" si="84"/>
        <v/>
      </c>
    </row>
    <row r="801" spans="149:167">
      <c r="ES801">
        <v>794</v>
      </c>
      <c r="ET801" t="s">
        <v>356</v>
      </c>
      <c r="EU801" t="s">
        <v>357</v>
      </c>
      <c r="EV801">
        <v>295</v>
      </c>
      <c r="EW801" t="str" cm="1">
        <f t="array" aca="1" ref="EW801" ca="1">INDIRECT("'5借入一覧'!"&amp;ET801&amp;EV801)&amp;INDIRECT("'5借入一覧'!"&amp;EU801&amp;EV801)</f>
        <v/>
      </c>
      <c r="EX801">
        <v>2</v>
      </c>
      <c r="FK801" t="str">
        <f t="shared" si="84"/>
        <v/>
      </c>
    </row>
    <row r="802" spans="149:167">
      <c r="ES802">
        <v>795</v>
      </c>
      <c r="ET802" t="s">
        <v>356</v>
      </c>
      <c r="EU802" t="s">
        <v>357</v>
      </c>
      <c r="EV802">
        <v>296</v>
      </c>
      <c r="EW802" t="str" cm="1">
        <f t="array" aca="1" ref="EW802" ca="1">INDIRECT("'5借入一覧'!"&amp;ET802&amp;EV802)&amp;INDIRECT("'5借入一覧'!"&amp;EU802&amp;EV802)</f>
        <v/>
      </c>
      <c r="EX802">
        <v>2</v>
      </c>
      <c r="FK802" t="str">
        <f t="shared" si="84"/>
        <v/>
      </c>
    </row>
    <row r="803" spans="149:167">
      <c r="ES803">
        <v>796</v>
      </c>
      <c r="ET803" t="s">
        <v>356</v>
      </c>
      <c r="EU803" t="s">
        <v>357</v>
      </c>
      <c r="EV803">
        <v>297</v>
      </c>
      <c r="EW803" t="str" cm="1">
        <f t="array" aca="1" ref="EW803" ca="1">INDIRECT("'5借入一覧'!"&amp;ET803&amp;EV803)&amp;INDIRECT("'5借入一覧'!"&amp;EU803&amp;EV803)</f>
        <v/>
      </c>
      <c r="EX803">
        <v>2</v>
      </c>
      <c r="FK803" t="str">
        <f t="shared" si="84"/>
        <v/>
      </c>
    </row>
    <row r="804" spans="149:167">
      <c r="ES804">
        <v>797</v>
      </c>
      <c r="ET804" t="s">
        <v>356</v>
      </c>
      <c r="EU804" t="s">
        <v>357</v>
      </c>
      <c r="EV804">
        <v>298</v>
      </c>
      <c r="EW804" t="str" cm="1">
        <f t="array" aca="1" ref="EW804" ca="1">INDIRECT("'5借入一覧'!"&amp;ET804&amp;EV804)&amp;INDIRECT("'5借入一覧'!"&amp;EU804&amp;EV804)</f>
        <v/>
      </c>
      <c r="EX804">
        <v>2</v>
      </c>
      <c r="FK804" t="str">
        <f t="shared" si="84"/>
        <v/>
      </c>
    </row>
    <row r="805" spans="149:167">
      <c r="ES805">
        <v>798</v>
      </c>
      <c r="ET805" t="s">
        <v>356</v>
      </c>
      <c r="EU805" t="s">
        <v>357</v>
      </c>
      <c r="EV805">
        <v>299</v>
      </c>
      <c r="EW805" t="str" cm="1">
        <f t="array" aca="1" ref="EW805" ca="1">INDIRECT("'5借入一覧'!"&amp;ET805&amp;EV805)&amp;INDIRECT("'5借入一覧'!"&amp;EU805&amp;EV805)</f>
        <v/>
      </c>
      <c r="EX805">
        <v>2</v>
      </c>
      <c r="FK805" t="str">
        <f t="shared" si="84"/>
        <v/>
      </c>
    </row>
    <row r="806" spans="149:167">
      <c r="ES806">
        <v>799</v>
      </c>
      <c r="ET806" t="s">
        <v>356</v>
      </c>
      <c r="EU806" t="s">
        <v>357</v>
      </c>
      <c r="EV806">
        <v>300</v>
      </c>
      <c r="EW806" t="str" cm="1">
        <f t="array" aca="1" ref="EW806" ca="1">INDIRECT("'5借入一覧'!"&amp;ET806&amp;EV806)&amp;INDIRECT("'5借入一覧'!"&amp;EU806&amp;EV806)</f>
        <v/>
      </c>
      <c r="EX806">
        <v>2</v>
      </c>
      <c r="FK806" t="str">
        <f t="shared" si="84"/>
        <v/>
      </c>
    </row>
    <row r="807" spans="149:167">
      <c r="ES807">
        <v>800</v>
      </c>
      <c r="ET807" t="s">
        <v>356</v>
      </c>
      <c r="EU807" t="s">
        <v>357</v>
      </c>
      <c r="EV807">
        <v>301</v>
      </c>
      <c r="EW807" t="str" cm="1">
        <f t="array" aca="1" ref="EW807" ca="1">INDIRECT("'5借入一覧'!"&amp;ET807&amp;EV807)&amp;INDIRECT("'5借入一覧'!"&amp;EU807&amp;EV807)</f>
        <v/>
      </c>
      <c r="EX807">
        <v>2</v>
      </c>
      <c r="FK807" t="str">
        <f t="shared" si="84"/>
        <v/>
      </c>
    </row>
    <row r="808" spans="149:167">
      <c r="ES808">
        <v>801</v>
      </c>
      <c r="ET808" t="s">
        <v>356</v>
      </c>
      <c r="EU808" t="s">
        <v>357</v>
      </c>
      <c r="EV808">
        <v>302</v>
      </c>
      <c r="EW808" t="str" cm="1">
        <f t="array" aca="1" ref="EW808" ca="1">INDIRECT("'5借入一覧'!"&amp;ET808&amp;EV808)&amp;INDIRECT("'5借入一覧'!"&amp;EU808&amp;EV808)</f>
        <v/>
      </c>
      <c r="EX808">
        <v>2</v>
      </c>
      <c r="FK808" t="str">
        <f t="shared" si="84"/>
        <v/>
      </c>
    </row>
    <row r="809" spans="149:167">
      <c r="ES809">
        <v>802</v>
      </c>
      <c r="ET809" t="s">
        <v>356</v>
      </c>
      <c r="EU809" t="s">
        <v>357</v>
      </c>
      <c r="EV809">
        <v>303</v>
      </c>
      <c r="EW809" t="str" cm="1">
        <f t="array" aca="1" ref="EW809" ca="1">INDIRECT("'5借入一覧'!"&amp;ET809&amp;EV809)&amp;INDIRECT("'5借入一覧'!"&amp;EU809&amp;EV809)</f>
        <v/>
      </c>
      <c r="EX809">
        <v>2</v>
      </c>
      <c r="FK809" t="str">
        <f t="shared" si="84"/>
        <v/>
      </c>
    </row>
    <row r="810" spans="149:167">
      <c r="ES810">
        <v>803</v>
      </c>
      <c r="ET810" t="s">
        <v>356</v>
      </c>
      <c r="EU810" t="s">
        <v>357</v>
      </c>
      <c r="EV810">
        <v>304</v>
      </c>
      <c r="EW810" t="str" cm="1">
        <f t="array" aca="1" ref="EW810" ca="1">INDIRECT("'5借入一覧'!"&amp;ET810&amp;EV810)&amp;INDIRECT("'5借入一覧'!"&amp;EU810&amp;EV810)</f>
        <v/>
      </c>
      <c r="EX810">
        <v>2</v>
      </c>
      <c r="FK810" t="str">
        <f t="shared" si="84"/>
        <v/>
      </c>
    </row>
    <row r="811" spans="149:167">
      <c r="ES811">
        <v>804</v>
      </c>
      <c r="ET811" t="s">
        <v>356</v>
      </c>
      <c r="EU811" t="s">
        <v>357</v>
      </c>
      <c r="EV811">
        <v>305</v>
      </c>
      <c r="EW811" t="str" cm="1">
        <f t="array" aca="1" ref="EW811" ca="1">INDIRECT("'5借入一覧'!"&amp;ET811&amp;EV811)&amp;INDIRECT("'5借入一覧'!"&amp;EU811&amp;EV811)</f>
        <v/>
      </c>
      <c r="EX811">
        <v>2</v>
      </c>
      <c r="FK811" t="str">
        <f t="shared" si="84"/>
        <v/>
      </c>
    </row>
    <row r="812" spans="149:167">
      <c r="ES812">
        <v>805</v>
      </c>
      <c r="ET812" t="s">
        <v>356</v>
      </c>
      <c r="EU812" t="s">
        <v>357</v>
      </c>
      <c r="EV812">
        <v>306</v>
      </c>
      <c r="EW812" t="str" cm="1">
        <f t="array" aca="1" ref="EW812" ca="1">INDIRECT("'5借入一覧'!"&amp;ET812&amp;EV812)&amp;INDIRECT("'5借入一覧'!"&amp;EU812&amp;EV812)</f>
        <v/>
      </c>
      <c r="EX812">
        <v>2</v>
      </c>
      <c r="FK812" t="str">
        <f t="shared" si="84"/>
        <v/>
      </c>
    </row>
    <row r="813" spans="149:167">
      <c r="ES813">
        <v>806</v>
      </c>
      <c r="ET813" t="s">
        <v>356</v>
      </c>
      <c r="EU813" t="s">
        <v>357</v>
      </c>
      <c r="EV813">
        <v>307</v>
      </c>
      <c r="EW813" t="str" cm="1">
        <f t="array" aca="1" ref="EW813" ca="1">INDIRECT("'5借入一覧'!"&amp;ET813&amp;EV813)&amp;INDIRECT("'5借入一覧'!"&amp;EU813&amp;EV813)</f>
        <v/>
      </c>
      <c r="EX813">
        <v>2</v>
      </c>
      <c r="FK813" t="str">
        <f t="shared" si="84"/>
        <v/>
      </c>
    </row>
    <row r="814" spans="149:167">
      <c r="ES814">
        <v>807</v>
      </c>
      <c r="ET814" t="s">
        <v>356</v>
      </c>
      <c r="EU814" t="s">
        <v>357</v>
      </c>
      <c r="EV814">
        <v>308</v>
      </c>
      <c r="EW814" t="str" cm="1">
        <f t="array" aca="1" ref="EW814" ca="1">INDIRECT("'5借入一覧'!"&amp;ET814&amp;EV814)&amp;INDIRECT("'5借入一覧'!"&amp;EU814&amp;EV814)</f>
        <v/>
      </c>
      <c r="EX814">
        <v>2</v>
      </c>
      <c r="FK814" t="str">
        <f t="shared" si="84"/>
        <v/>
      </c>
    </row>
    <row r="815" spans="149:167">
      <c r="ES815">
        <v>808</v>
      </c>
      <c r="ET815" t="s">
        <v>356</v>
      </c>
      <c r="EU815" t="s">
        <v>357</v>
      </c>
      <c r="EV815">
        <v>309</v>
      </c>
      <c r="EW815" t="str" cm="1">
        <f t="array" aca="1" ref="EW815" ca="1">INDIRECT("'5借入一覧'!"&amp;ET815&amp;EV815)&amp;INDIRECT("'5借入一覧'!"&amp;EU815&amp;EV815)</f>
        <v/>
      </c>
      <c r="EX815">
        <v>2</v>
      </c>
      <c r="FK815" t="str">
        <f t="shared" si="84"/>
        <v/>
      </c>
    </row>
    <row r="816" spans="149:167">
      <c r="ES816">
        <v>809</v>
      </c>
      <c r="ET816" t="s">
        <v>356</v>
      </c>
      <c r="EU816" t="s">
        <v>357</v>
      </c>
      <c r="EV816">
        <v>310</v>
      </c>
      <c r="EW816" t="str" cm="1">
        <f t="array" aca="1" ref="EW816" ca="1">INDIRECT("'5借入一覧'!"&amp;ET816&amp;EV816)&amp;INDIRECT("'5借入一覧'!"&amp;EU816&amp;EV816)</f>
        <v/>
      </c>
      <c r="EX816">
        <v>2</v>
      </c>
      <c r="FK816" t="str">
        <f t="shared" si="84"/>
        <v/>
      </c>
    </row>
    <row r="817" spans="149:167">
      <c r="ES817">
        <v>810</v>
      </c>
      <c r="ET817" t="s">
        <v>356</v>
      </c>
      <c r="EU817" t="s">
        <v>357</v>
      </c>
      <c r="EV817">
        <v>311</v>
      </c>
      <c r="EW817" t="str" cm="1">
        <f t="array" aca="1" ref="EW817" ca="1">INDIRECT("'5借入一覧'!"&amp;ET817&amp;EV817)&amp;INDIRECT("'5借入一覧'!"&amp;EU817&amp;EV817)</f>
        <v/>
      </c>
      <c r="EX817">
        <v>2</v>
      </c>
      <c r="FK817" t="str">
        <f t="shared" si="84"/>
        <v/>
      </c>
    </row>
    <row r="818" spans="149:167">
      <c r="ES818">
        <v>811</v>
      </c>
      <c r="ET818" t="s">
        <v>356</v>
      </c>
      <c r="EU818" t="s">
        <v>357</v>
      </c>
      <c r="EV818">
        <v>312</v>
      </c>
      <c r="EW818" t="str" cm="1">
        <f t="array" aca="1" ref="EW818" ca="1">INDIRECT("'5借入一覧'!"&amp;ET818&amp;EV818)&amp;INDIRECT("'5借入一覧'!"&amp;EU818&amp;EV818)</f>
        <v/>
      </c>
      <c r="EX818">
        <v>2</v>
      </c>
      <c r="FK818" t="str">
        <f t="shared" si="84"/>
        <v/>
      </c>
    </row>
    <row r="819" spans="149:167">
      <c r="ES819">
        <v>812</v>
      </c>
      <c r="ET819" t="s">
        <v>356</v>
      </c>
      <c r="EU819" t="s">
        <v>357</v>
      </c>
      <c r="EV819">
        <v>313</v>
      </c>
      <c r="EW819" t="str" cm="1">
        <f t="array" aca="1" ref="EW819" ca="1">INDIRECT("'5借入一覧'!"&amp;ET819&amp;EV819)&amp;INDIRECT("'5借入一覧'!"&amp;EU819&amp;EV819)</f>
        <v/>
      </c>
      <c r="EX819">
        <v>2</v>
      </c>
      <c r="FK819" t="str">
        <f t="shared" si="84"/>
        <v/>
      </c>
    </row>
    <row r="820" spans="149:167">
      <c r="ES820">
        <v>813</v>
      </c>
      <c r="ET820" t="s">
        <v>356</v>
      </c>
      <c r="EU820" t="s">
        <v>357</v>
      </c>
      <c r="EV820">
        <v>314</v>
      </c>
      <c r="EW820" t="str" cm="1">
        <f t="array" aca="1" ref="EW820" ca="1">INDIRECT("'5借入一覧'!"&amp;ET820&amp;EV820)&amp;INDIRECT("'5借入一覧'!"&amp;EU820&amp;EV820)</f>
        <v/>
      </c>
      <c r="EX820">
        <v>2</v>
      </c>
      <c r="FK820" t="str">
        <f t="shared" si="84"/>
        <v/>
      </c>
    </row>
    <row r="821" spans="149:167">
      <c r="ES821">
        <v>814</v>
      </c>
      <c r="ET821" t="s">
        <v>356</v>
      </c>
      <c r="EU821" t="s">
        <v>357</v>
      </c>
      <c r="EV821">
        <v>315</v>
      </c>
      <c r="EW821" t="str" cm="1">
        <f t="array" aca="1" ref="EW821" ca="1">INDIRECT("'5借入一覧'!"&amp;ET821&amp;EV821)&amp;INDIRECT("'5借入一覧'!"&amp;EU821&amp;EV821)</f>
        <v/>
      </c>
      <c r="EX821">
        <v>2</v>
      </c>
      <c r="FK821" t="str">
        <f t="shared" si="84"/>
        <v/>
      </c>
    </row>
    <row r="822" spans="149:167">
      <c r="ES822">
        <v>815</v>
      </c>
      <c r="ET822" t="s">
        <v>356</v>
      </c>
      <c r="EU822" t="s">
        <v>357</v>
      </c>
      <c r="EV822">
        <v>316</v>
      </c>
      <c r="EW822" t="str" cm="1">
        <f t="array" aca="1" ref="EW822" ca="1">INDIRECT("'5借入一覧'!"&amp;ET822&amp;EV822)&amp;INDIRECT("'5借入一覧'!"&amp;EU822&amp;EV822)</f>
        <v/>
      </c>
      <c r="EX822">
        <v>2</v>
      </c>
      <c r="FK822" t="str">
        <f t="shared" si="84"/>
        <v/>
      </c>
    </row>
    <row r="823" spans="149:167">
      <c r="ES823">
        <v>816</v>
      </c>
      <c r="ET823" t="s">
        <v>356</v>
      </c>
      <c r="EU823" t="s">
        <v>357</v>
      </c>
      <c r="EV823">
        <v>317</v>
      </c>
      <c r="EW823" t="str" cm="1">
        <f t="array" aca="1" ref="EW823" ca="1">INDIRECT("'5借入一覧'!"&amp;ET823&amp;EV823)&amp;INDIRECT("'5借入一覧'!"&amp;EU823&amp;EV823)</f>
        <v/>
      </c>
      <c r="EX823">
        <v>2</v>
      </c>
      <c r="FK823" t="str">
        <f t="shared" si="84"/>
        <v/>
      </c>
    </row>
    <row r="824" spans="149:167">
      <c r="ES824">
        <v>817</v>
      </c>
      <c r="ET824" t="s">
        <v>356</v>
      </c>
      <c r="EU824" t="s">
        <v>357</v>
      </c>
      <c r="EV824">
        <v>318</v>
      </c>
      <c r="EW824" t="str" cm="1">
        <f t="array" aca="1" ref="EW824" ca="1">INDIRECT("'5借入一覧'!"&amp;ET824&amp;EV824)&amp;INDIRECT("'5借入一覧'!"&amp;EU824&amp;EV824)</f>
        <v/>
      </c>
      <c r="EX824">
        <v>2</v>
      </c>
      <c r="FK824" t="str">
        <f t="shared" si="84"/>
        <v/>
      </c>
    </row>
    <row r="825" spans="149:167">
      <c r="ES825">
        <v>818</v>
      </c>
      <c r="ET825" t="s">
        <v>356</v>
      </c>
      <c r="EU825" t="s">
        <v>357</v>
      </c>
      <c r="EV825">
        <v>319</v>
      </c>
      <c r="EW825" t="str" cm="1">
        <f t="array" aca="1" ref="EW825" ca="1">INDIRECT("'5借入一覧'!"&amp;ET825&amp;EV825)&amp;INDIRECT("'5借入一覧'!"&amp;EU825&amp;EV825)</f>
        <v/>
      </c>
      <c r="EX825">
        <v>2</v>
      </c>
      <c r="FK825" t="str">
        <f t="shared" si="84"/>
        <v/>
      </c>
    </row>
    <row r="826" spans="149:167">
      <c r="ES826">
        <v>819</v>
      </c>
      <c r="ET826" t="s">
        <v>356</v>
      </c>
      <c r="EU826" t="s">
        <v>357</v>
      </c>
      <c r="EV826">
        <v>320</v>
      </c>
      <c r="EW826" t="str" cm="1">
        <f t="array" aca="1" ref="EW826" ca="1">INDIRECT("'5借入一覧'!"&amp;ET826&amp;EV826)&amp;INDIRECT("'5借入一覧'!"&amp;EU826&amp;EV826)</f>
        <v/>
      </c>
      <c r="EX826">
        <v>2</v>
      </c>
      <c r="FK826" t="str">
        <f t="shared" si="84"/>
        <v/>
      </c>
    </row>
    <row r="827" spans="149:167">
      <c r="ES827">
        <v>820</v>
      </c>
      <c r="ET827" t="s">
        <v>356</v>
      </c>
      <c r="EU827" t="s">
        <v>357</v>
      </c>
      <c r="EV827">
        <v>321</v>
      </c>
      <c r="EW827" t="str" cm="1">
        <f t="array" aca="1" ref="EW827" ca="1">INDIRECT("'5借入一覧'!"&amp;ET827&amp;EV827)&amp;INDIRECT("'5借入一覧'!"&amp;EU827&amp;EV827)</f>
        <v/>
      </c>
      <c r="EX827">
        <v>2</v>
      </c>
      <c r="FK827" t="str">
        <f t="shared" si="84"/>
        <v/>
      </c>
    </row>
    <row r="828" spans="149:167">
      <c r="ES828">
        <v>821</v>
      </c>
      <c r="ET828" t="s">
        <v>356</v>
      </c>
      <c r="EU828" t="s">
        <v>357</v>
      </c>
      <c r="EV828">
        <v>322</v>
      </c>
      <c r="EW828" t="str" cm="1">
        <f t="array" aca="1" ref="EW828" ca="1">INDIRECT("'5借入一覧'!"&amp;ET828&amp;EV828)&amp;INDIRECT("'5借入一覧'!"&amp;EU828&amp;EV828)</f>
        <v/>
      </c>
      <c r="EX828">
        <v>2</v>
      </c>
      <c r="FK828" t="str">
        <f t="shared" si="84"/>
        <v/>
      </c>
    </row>
    <row r="829" spans="149:167">
      <c r="ES829">
        <v>822</v>
      </c>
      <c r="ET829" t="s">
        <v>356</v>
      </c>
      <c r="EU829" t="s">
        <v>357</v>
      </c>
      <c r="EV829">
        <v>323</v>
      </c>
      <c r="EW829" t="str" cm="1">
        <f t="array" aca="1" ref="EW829" ca="1">INDIRECT("'5借入一覧'!"&amp;ET829&amp;EV829)&amp;INDIRECT("'5借入一覧'!"&amp;EU829&amp;EV829)</f>
        <v/>
      </c>
      <c r="EX829">
        <v>2</v>
      </c>
      <c r="FK829" t="str">
        <f t="shared" si="84"/>
        <v/>
      </c>
    </row>
    <row r="830" spans="149:167">
      <c r="ES830">
        <v>823</v>
      </c>
      <c r="ET830" t="s">
        <v>356</v>
      </c>
      <c r="EU830" t="s">
        <v>357</v>
      </c>
      <c r="EV830">
        <v>324</v>
      </c>
      <c r="EW830" t="str" cm="1">
        <f t="array" aca="1" ref="EW830" ca="1">INDIRECT("'5借入一覧'!"&amp;ET830&amp;EV830)&amp;INDIRECT("'5借入一覧'!"&amp;EU830&amp;EV830)</f>
        <v/>
      </c>
      <c r="EX830">
        <v>2</v>
      </c>
      <c r="FK830" t="str">
        <f t="shared" si="84"/>
        <v/>
      </c>
    </row>
    <row r="831" spans="149:167">
      <c r="ES831">
        <v>824</v>
      </c>
      <c r="ET831" t="s">
        <v>356</v>
      </c>
      <c r="EU831" t="s">
        <v>357</v>
      </c>
      <c r="EV831">
        <v>325</v>
      </c>
      <c r="EW831" t="str" cm="1">
        <f t="array" aca="1" ref="EW831" ca="1">INDIRECT("'5借入一覧'!"&amp;ET831&amp;EV831)&amp;INDIRECT("'5借入一覧'!"&amp;EU831&amp;EV831)</f>
        <v/>
      </c>
      <c r="EX831">
        <v>2</v>
      </c>
      <c r="FK831" t="str">
        <f t="shared" si="84"/>
        <v/>
      </c>
    </row>
    <row r="832" spans="149:167">
      <c r="ES832">
        <v>825</v>
      </c>
      <c r="ET832" t="s">
        <v>356</v>
      </c>
      <c r="EU832" t="s">
        <v>357</v>
      </c>
      <c r="EV832">
        <v>326</v>
      </c>
      <c r="EW832" t="str" cm="1">
        <f t="array" aca="1" ref="EW832" ca="1">INDIRECT("'5借入一覧'!"&amp;ET832&amp;EV832)&amp;INDIRECT("'5借入一覧'!"&amp;EU832&amp;EV832)</f>
        <v/>
      </c>
      <c r="EX832">
        <v>2</v>
      </c>
      <c r="FK832" t="str">
        <f t="shared" si="84"/>
        <v/>
      </c>
    </row>
    <row r="833" spans="149:167">
      <c r="ES833">
        <v>826</v>
      </c>
      <c r="ET833" t="s">
        <v>356</v>
      </c>
      <c r="EU833" t="s">
        <v>357</v>
      </c>
      <c r="EV833">
        <v>327</v>
      </c>
      <c r="EW833" t="str" cm="1">
        <f t="array" aca="1" ref="EW833" ca="1">INDIRECT("'5借入一覧'!"&amp;ET833&amp;EV833)&amp;INDIRECT("'5借入一覧'!"&amp;EU833&amp;EV833)</f>
        <v/>
      </c>
      <c r="EX833">
        <v>2</v>
      </c>
      <c r="FK833" t="str">
        <f t="shared" si="84"/>
        <v/>
      </c>
    </row>
    <row r="834" spans="149:167">
      <c r="ES834">
        <v>827</v>
      </c>
      <c r="ET834" t="s">
        <v>356</v>
      </c>
      <c r="EU834" t="s">
        <v>357</v>
      </c>
      <c r="EV834">
        <v>328</v>
      </c>
      <c r="EW834" t="str" cm="1">
        <f t="array" aca="1" ref="EW834" ca="1">INDIRECT("'5借入一覧'!"&amp;ET834&amp;EV834)&amp;INDIRECT("'5借入一覧'!"&amp;EU834&amp;EV834)</f>
        <v/>
      </c>
      <c r="EX834">
        <v>2</v>
      </c>
      <c r="FK834" t="str">
        <f t="shared" si="84"/>
        <v/>
      </c>
    </row>
    <row r="835" spans="149:167">
      <c r="ES835">
        <v>828</v>
      </c>
      <c r="ET835" t="s">
        <v>356</v>
      </c>
      <c r="EU835" t="s">
        <v>357</v>
      </c>
      <c r="EV835">
        <v>329</v>
      </c>
      <c r="EW835" t="str" cm="1">
        <f t="array" aca="1" ref="EW835" ca="1">INDIRECT("'5借入一覧'!"&amp;ET835&amp;EV835)&amp;INDIRECT("'5借入一覧'!"&amp;EU835&amp;EV835)</f>
        <v/>
      </c>
      <c r="EX835">
        <v>2</v>
      </c>
      <c r="FK835" t="str">
        <f t="shared" si="84"/>
        <v/>
      </c>
    </row>
    <row r="836" spans="149:167">
      <c r="ES836">
        <v>829</v>
      </c>
      <c r="ET836" t="s">
        <v>356</v>
      </c>
      <c r="EU836" t="s">
        <v>357</v>
      </c>
      <c r="EV836">
        <v>330</v>
      </c>
      <c r="EW836" t="str" cm="1">
        <f t="array" aca="1" ref="EW836" ca="1">INDIRECT("'5借入一覧'!"&amp;ET836&amp;EV836)&amp;INDIRECT("'5借入一覧'!"&amp;EU836&amp;EV836)</f>
        <v/>
      </c>
      <c r="EX836">
        <v>2</v>
      </c>
      <c r="FK836" t="str">
        <f t="shared" si="84"/>
        <v/>
      </c>
    </row>
    <row r="837" spans="149:167">
      <c r="ES837">
        <v>830</v>
      </c>
      <c r="ET837" t="s">
        <v>356</v>
      </c>
      <c r="EU837" t="s">
        <v>357</v>
      </c>
      <c r="EV837">
        <v>331</v>
      </c>
      <c r="EW837" t="str" cm="1">
        <f t="array" aca="1" ref="EW837" ca="1">INDIRECT("'5借入一覧'!"&amp;ET837&amp;EV837)&amp;INDIRECT("'5借入一覧'!"&amp;EU837&amp;EV837)</f>
        <v/>
      </c>
      <c r="EX837">
        <v>2</v>
      </c>
      <c r="FK837" t="str">
        <f t="shared" si="84"/>
        <v/>
      </c>
    </row>
    <row r="838" spans="149:167">
      <c r="ES838">
        <v>831</v>
      </c>
      <c r="ET838" t="s">
        <v>356</v>
      </c>
      <c r="EU838" t="s">
        <v>357</v>
      </c>
      <c r="EV838">
        <v>332</v>
      </c>
      <c r="EW838" t="str" cm="1">
        <f t="array" aca="1" ref="EW838" ca="1">INDIRECT("'5借入一覧'!"&amp;ET838&amp;EV838)&amp;INDIRECT("'5借入一覧'!"&amp;EU838&amp;EV838)</f>
        <v/>
      </c>
      <c r="EX838">
        <v>2</v>
      </c>
      <c r="FK838" t="str">
        <f t="shared" si="84"/>
        <v/>
      </c>
    </row>
    <row r="839" spans="149:167">
      <c r="ES839">
        <v>832</v>
      </c>
      <c r="ET839" t="s">
        <v>356</v>
      </c>
      <c r="EU839" t="s">
        <v>357</v>
      </c>
      <c r="EV839">
        <v>333</v>
      </c>
      <c r="EW839" t="str" cm="1">
        <f t="array" aca="1" ref="EW839" ca="1">INDIRECT("'5借入一覧'!"&amp;ET839&amp;EV839)&amp;INDIRECT("'5借入一覧'!"&amp;EU839&amp;EV839)</f>
        <v/>
      </c>
      <c r="EX839">
        <v>2</v>
      </c>
      <c r="FK839" t="str">
        <f t="shared" si="84"/>
        <v/>
      </c>
    </row>
    <row r="840" spans="149:167">
      <c r="ES840">
        <v>833</v>
      </c>
      <c r="ET840" t="s">
        <v>356</v>
      </c>
      <c r="EU840" t="s">
        <v>357</v>
      </c>
      <c r="EV840">
        <v>334</v>
      </c>
      <c r="EW840" t="str" cm="1">
        <f t="array" aca="1" ref="EW840" ca="1">INDIRECT("'5借入一覧'!"&amp;ET840&amp;EV840)&amp;INDIRECT("'5借入一覧'!"&amp;EU840&amp;EV840)</f>
        <v/>
      </c>
      <c r="EX840">
        <v>2</v>
      </c>
      <c r="FK840" t="str">
        <f t="shared" ref="FK840:FK903" si="85">IF(FJ840&lt;&gt;"",LEFT(FJ840,LEN(FJ840)-1),"")</f>
        <v/>
      </c>
    </row>
    <row r="841" spans="149:167">
      <c r="ES841">
        <v>834</v>
      </c>
      <c r="ET841" t="s">
        <v>356</v>
      </c>
      <c r="EU841" t="s">
        <v>357</v>
      </c>
      <c r="EV841">
        <v>335</v>
      </c>
      <c r="EW841" t="str" cm="1">
        <f t="array" aca="1" ref="EW841" ca="1">INDIRECT("'5借入一覧'!"&amp;ET841&amp;EV841)&amp;INDIRECT("'5借入一覧'!"&amp;EU841&amp;EV841)</f>
        <v/>
      </c>
      <c r="EX841">
        <v>2</v>
      </c>
      <c r="FK841" t="str">
        <f t="shared" si="85"/>
        <v/>
      </c>
    </row>
    <row r="842" spans="149:167">
      <c r="ES842">
        <v>835</v>
      </c>
      <c r="ET842" t="s">
        <v>356</v>
      </c>
      <c r="EU842" t="s">
        <v>357</v>
      </c>
      <c r="EV842">
        <v>336</v>
      </c>
      <c r="EW842" t="str" cm="1">
        <f t="array" aca="1" ref="EW842" ca="1">INDIRECT("'5借入一覧'!"&amp;ET842&amp;EV842)&amp;INDIRECT("'5借入一覧'!"&amp;EU842&amp;EV842)</f>
        <v/>
      </c>
      <c r="EX842">
        <v>2</v>
      </c>
      <c r="FK842" t="str">
        <f t="shared" si="85"/>
        <v/>
      </c>
    </row>
    <row r="843" spans="149:167">
      <c r="ES843">
        <v>836</v>
      </c>
      <c r="ET843" t="s">
        <v>356</v>
      </c>
      <c r="EU843" t="s">
        <v>357</v>
      </c>
      <c r="EV843">
        <v>337</v>
      </c>
      <c r="EW843" t="str" cm="1">
        <f t="array" aca="1" ref="EW843" ca="1">INDIRECT("'5借入一覧'!"&amp;ET843&amp;EV843)&amp;INDIRECT("'5借入一覧'!"&amp;EU843&amp;EV843)</f>
        <v/>
      </c>
      <c r="EX843">
        <v>2</v>
      </c>
      <c r="FK843" t="str">
        <f t="shared" si="85"/>
        <v/>
      </c>
    </row>
    <row r="844" spans="149:167">
      <c r="ES844">
        <v>837</v>
      </c>
      <c r="ET844" t="s">
        <v>356</v>
      </c>
      <c r="EU844" t="s">
        <v>357</v>
      </c>
      <c r="EV844">
        <v>338</v>
      </c>
      <c r="EW844" t="str" cm="1">
        <f t="array" aca="1" ref="EW844" ca="1">INDIRECT("'5借入一覧'!"&amp;ET844&amp;EV844)&amp;INDIRECT("'5借入一覧'!"&amp;EU844&amp;EV844)</f>
        <v/>
      </c>
      <c r="EX844">
        <v>2</v>
      </c>
      <c r="FK844" t="str">
        <f t="shared" si="85"/>
        <v/>
      </c>
    </row>
    <row r="845" spans="149:167">
      <c r="ES845">
        <v>838</v>
      </c>
      <c r="ET845" t="s">
        <v>356</v>
      </c>
      <c r="EU845" t="s">
        <v>357</v>
      </c>
      <c r="EV845">
        <v>339</v>
      </c>
      <c r="EW845" t="str" cm="1">
        <f t="array" aca="1" ref="EW845" ca="1">INDIRECT("'5借入一覧'!"&amp;ET845&amp;EV845)&amp;INDIRECT("'5借入一覧'!"&amp;EU845&amp;EV845)</f>
        <v/>
      </c>
      <c r="EX845">
        <v>2</v>
      </c>
      <c r="FK845" t="str">
        <f t="shared" si="85"/>
        <v/>
      </c>
    </row>
    <row r="846" spans="149:167">
      <c r="ES846">
        <v>839</v>
      </c>
      <c r="ET846" t="s">
        <v>356</v>
      </c>
      <c r="EU846" t="s">
        <v>357</v>
      </c>
      <c r="EV846">
        <v>340</v>
      </c>
      <c r="EW846" t="str" cm="1">
        <f t="array" aca="1" ref="EW846" ca="1">INDIRECT("'5借入一覧'!"&amp;ET846&amp;EV846)&amp;INDIRECT("'5借入一覧'!"&amp;EU846&amp;EV846)</f>
        <v/>
      </c>
      <c r="EX846">
        <v>2</v>
      </c>
      <c r="FK846" t="str">
        <f t="shared" si="85"/>
        <v/>
      </c>
    </row>
    <row r="847" spans="149:167">
      <c r="ES847">
        <v>840</v>
      </c>
      <c r="ET847" t="s">
        <v>356</v>
      </c>
      <c r="EU847" t="s">
        <v>357</v>
      </c>
      <c r="EV847">
        <v>341</v>
      </c>
      <c r="EW847" t="str" cm="1">
        <f t="array" aca="1" ref="EW847" ca="1">INDIRECT("'5借入一覧'!"&amp;ET847&amp;EV847)&amp;INDIRECT("'5借入一覧'!"&amp;EU847&amp;EV847)</f>
        <v/>
      </c>
      <c r="EX847">
        <v>2</v>
      </c>
      <c r="FK847" t="str">
        <f t="shared" si="85"/>
        <v/>
      </c>
    </row>
    <row r="848" spans="149:167">
      <c r="ES848">
        <v>841</v>
      </c>
      <c r="ET848" t="s">
        <v>356</v>
      </c>
      <c r="EU848" t="s">
        <v>357</v>
      </c>
      <c r="EV848">
        <v>342</v>
      </c>
      <c r="EW848" t="str" cm="1">
        <f t="array" aca="1" ref="EW848" ca="1">INDIRECT("'5借入一覧'!"&amp;ET848&amp;EV848)&amp;INDIRECT("'5借入一覧'!"&amp;EU848&amp;EV848)</f>
        <v/>
      </c>
      <c r="EX848">
        <v>2</v>
      </c>
      <c r="FK848" t="str">
        <f t="shared" si="85"/>
        <v/>
      </c>
    </row>
    <row r="849" spans="149:167">
      <c r="ES849">
        <v>842</v>
      </c>
      <c r="ET849" t="s">
        <v>356</v>
      </c>
      <c r="EU849" t="s">
        <v>357</v>
      </c>
      <c r="EV849">
        <v>343</v>
      </c>
      <c r="EW849" t="str" cm="1">
        <f t="array" aca="1" ref="EW849" ca="1">INDIRECT("'5借入一覧'!"&amp;ET849&amp;EV849)&amp;INDIRECT("'5借入一覧'!"&amp;EU849&amp;EV849)</f>
        <v/>
      </c>
      <c r="EX849">
        <v>2</v>
      </c>
      <c r="FK849" t="str">
        <f t="shared" si="85"/>
        <v/>
      </c>
    </row>
    <row r="850" spans="149:167">
      <c r="ES850">
        <v>843</v>
      </c>
      <c r="ET850" t="s">
        <v>356</v>
      </c>
      <c r="EU850" t="s">
        <v>357</v>
      </c>
      <c r="EV850">
        <v>344</v>
      </c>
      <c r="EW850" t="str" cm="1">
        <f t="array" aca="1" ref="EW850" ca="1">INDIRECT("'5借入一覧'!"&amp;ET850&amp;EV850)&amp;INDIRECT("'5借入一覧'!"&amp;EU850&amp;EV850)</f>
        <v/>
      </c>
      <c r="EX850">
        <v>2</v>
      </c>
      <c r="FK850" t="str">
        <f t="shared" si="85"/>
        <v/>
      </c>
    </row>
    <row r="851" spans="149:167">
      <c r="ES851">
        <v>844</v>
      </c>
      <c r="ET851" t="s">
        <v>356</v>
      </c>
      <c r="EU851" t="s">
        <v>357</v>
      </c>
      <c r="EV851">
        <v>345</v>
      </c>
      <c r="EW851" t="str" cm="1">
        <f t="array" aca="1" ref="EW851" ca="1">INDIRECT("'5借入一覧'!"&amp;ET851&amp;EV851)&amp;INDIRECT("'5借入一覧'!"&amp;EU851&amp;EV851)</f>
        <v/>
      </c>
      <c r="EX851">
        <v>2</v>
      </c>
      <c r="FK851" t="str">
        <f t="shared" si="85"/>
        <v/>
      </c>
    </row>
    <row r="852" spans="149:167">
      <c r="ES852">
        <v>845</v>
      </c>
      <c r="ET852" t="s">
        <v>356</v>
      </c>
      <c r="EU852" t="s">
        <v>357</v>
      </c>
      <c r="EV852">
        <v>346</v>
      </c>
      <c r="EW852" t="str" cm="1">
        <f t="array" aca="1" ref="EW852" ca="1">INDIRECT("'5借入一覧'!"&amp;ET852&amp;EV852)&amp;INDIRECT("'5借入一覧'!"&amp;EU852&amp;EV852)</f>
        <v/>
      </c>
      <c r="EX852">
        <v>2</v>
      </c>
      <c r="FK852" t="str">
        <f t="shared" si="85"/>
        <v/>
      </c>
    </row>
    <row r="853" spans="149:167">
      <c r="ES853">
        <v>846</v>
      </c>
      <c r="ET853" t="s">
        <v>356</v>
      </c>
      <c r="EU853" t="s">
        <v>357</v>
      </c>
      <c r="EV853">
        <v>347</v>
      </c>
      <c r="EW853" t="str" cm="1">
        <f t="array" aca="1" ref="EW853" ca="1">INDIRECT("'5借入一覧'!"&amp;ET853&amp;EV853)&amp;INDIRECT("'5借入一覧'!"&amp;EU853&amp;EV853)</f>
        <v/>
      </c>
      <c r="EX853">
        <v>2</v>
      </c>
      <c r="FK853" t="str">
        <f t="shared" si="85"/>
        <v/>
      </c>
    </row>
    <row r="854" spans="149:167">
      <c r="ES854">
        <v>847</v>
      </c>
      <c r="ET854" t="s">
        <v>356</v>
      </c>
      <c r="EU854" t="s">
        <v>357</v>
      </c>
      <c r="EV854">
        <v>348</v>
      </c>
      <c r="EW854" t="str" cm="1">
        <f t="array" aca="1" ref="EW854" ca="1">INDIRECT("'5借入一覧'!"&amp;ET854&amp;EV854)&amp;INDIRECT("'5借入一覧'!"&amp;EU854&amp;EV854)</f>
        <v/>
      </c>
      <c r="EX854">
        <v>2</v>
      </c>
      <c r="FK854" t="str">
        <f t="shared" si="85"/>
        <v/>
      </c>
    </row>
    <row r="855" spans="149:167">
      <c r="ES855">
        <v>848</v>
      </c>
      <c r="ET855" t="s">
        <v>356</v>
      </c>
      <c r="EU855" t="s">
        <v>357</v>
      </c>
      <c r="EV855">
        <v>349</v>
      </c>
      <c r="EW855" t="str" cm="1">
        <f t="array" aca="1" ref="EW855" ca="1">INDIRECT("'5借入一覧'!"&amp;ET855&amp;EV855)&amp;INDIRECT("'5借入一覧'!"&amp;EU855&amp;EV855)</f>
        <v/>
      </c>
      <c r="EX855">
        <v>2</v>
      </c>
      <c r="FK855" t="str">
        <f t="shared" si="85"/>
        <v/>
      </c>
    </row>
    <row r="856" spans="149:167">
      <c r="ES856">
        <v>849</v>
      </c>
      <c r="ET856" t="s">
        <v>356</v>
      </c>
      <c r="EU856" t="s">
        <v>357</v>
      </c>
      <c r="EV856">
        <v>350</v>
      </c>
      <c r="EW856" t="str" cm="1">
        <f t="array" aca="1" ref="EW856" ca="1">INDIRECT("'5借入一覧'!"&amp;ET856&amp;EV856)&amp;INDIRECT("'5借入一覧'!"&amp;EU856&amp;EV856)</f>
        <v/>
      </c>
      <c r="EX856">
        <v>2</v>
      </c>
      <c r="FK856" t="str">
        <f t="shared" si="85"/>
        <v/>
      </c>
    </row>
    <row r="857" spans="149:167">
      <c r="ES857">
        <v>850</v>
      </c>
      <c r="ET857" t="s">
        <v>356</v>
      </c>
      <c r="EU857" t="s">
        <v>357</v>
      </c>
      <c r="EV857">
        <v>351</v>
      </c>
      <c r="EW857" t="str" cm="1">
        <f t="array" aca="1" ref="EW857" ca="1">INDIRECT("'5借入一覧'!"&amp;ET857&amp;EV857)&amp;INDIRECT("'5借入一覧'!"&amp;EU857&amp;EV857)</f>
        <v/>
      </c>
      <c r="EX857">
        <v>2</v>
      </c>
      <c r="FK857" t="str">
        <f t="shared" si="85"/>
        <v/>
      </c>
    </row>
    <row r="858" spans="149:167">
      <c r="ES858">
        <v>851</v>
      </c>
      <c r="ET858" t="s">
        <v>356</v>
      </c>
      <c r="EU858" t="s">
        <v>357</v>
      </c>
      <c r="EV858">
        <v>352</v>
      </c>
      <c r="EW858" t="str" cm="1">
        <f t="array" aca="1" ref="EW858" ca="1">INDIRECT("'5借入一覧'!"&amp;ET858&amp;EV858)&amp;INDIRECT("'5借入一覧'!"&amp;EU858&amp;EV858)</f>
        <v/>
      </c>
      <c r="EX858">
        <v>2</v>
      </c>
      <c r="FK858" t="str">
        <f t="shared" si="85"/>
        <v/>
      </c>
    </row>
    <row r="859" spans="149:167">
      <c r="ES859">
        <v>852</v>
      </c>
      <c r="ET859" t="s">
        <v>356</v>
      </c>
      <c r="EU859" t="s">
        <v>357</v>
      </c>
      <c r="EV859">
        <v>353</v>
      </c>
      <c r="EW859" t="str" cm="1">
        <f t="array" aca="1" ref="EW859" ca="1">INDIRECT("'5借入一覧'!"&amp;ET859&amp;EV859)&amp;INDIRECT("'5借入一覧'!"&amp;EU859&amp;EV859)</f>
        <v/>
      </c>
      <c r="EX859">
        <v>2</v>
      </c>
      <c r="FK859" t="str">
        <f t="shared" si="85"/>
        <v/>
      </c>
    </row>
    <row r="860" spans="149:167">
      <c r="ES860">
        <v>853</v>
      </c>
      <c r="ET860" t="s">
        <v>356</v>
      </c>
      <c r="EU860" t="s">
        <v>357</v>
      </c>
      <c r="EV860">
        <v>354</v>
      </c>
      <c r="EW860" t="str" cm="1">
        <f t="array" aca="1" ref="EW860" ca="1">INDIRECT("'5借入一覧'!"&amp;ET860&amp;EV860)&amp;INDIRECT("'5借入一覧'!"&amp;EU860&amp;EV860)</f>
        <v/>
      </c>
      <c r="EX860">
        <v>2</v>
      </c>
      <c r="FK860" t="str">
        <f t="shared" si="85"/>
        <v/>
      </c>
    </row>
    <row r="861" spans="149:167">
      <c r="ES861">
        <v>854</v>
      </c>
      <c r="ET861" t="s">
        <v>356</v>
      </c>
      <c r="EU861" t="s">
        <v>357</v>
      </c>
      <c r="EV861">
        <v>355</v>
      </c>
      <c r="EW861" t="str" cm="1">
        <f t="array" aca="1" ref="EW861" ca="1">INDIRECT("'5借入一覧'!"&amp;ET861&amp;EV861)&amp;INDIRECT("'5借入一覧'!"&amp;EU861&amp;EV861)</f>
        <v/>
      </c>
      <c r="EX861">
        <v>2</v>
      </c>
      <c r="FK861" t="str">
        <f t="shared" si="85"/>
        <v/>
      </c>
    </row>
    <row r="862" spans="149:167">
      <c r="ES862">
        <v>855</v>
      </c>
      <c r="ET862" t="s">
        <v>356</v>
      </c>
      <c r="EU862" t="s">
        <v>357</v>
      </c>
      <c r="EV862">
        <v>356</v>
      </c>
      <c r="EW862" t="str" cm="1">
        <f t="array" aca="1" ref="EW862" ca="1">INDIRECT("'5借入一覧'!"&amp;ET862&amp;EV862)&amp;INDIRECT("'5借入一覧'!"&amp;EU862&amp;EV862)</f>
        <v/>
      </c>
      <c r="EX862">
        <v>2</v>
      </c>
      <c r="FK862" t="str">
        <f t="shared" si="85"/>
        <v/>
      </c>
    </row>
    <row r="863" spans="149:167">
      <c r="ES863">
        <v>856</v>
      </c>
      <c r="ET863" t="s">
        <v>356</v>
      </c>
      <c r="EU863" t="s">
        <v>357</v>
      </c>
      <c r="EV863">
        <v>357</v>
      </c>
      <c r="EW863" t="str" cm="1">
        <f t="array" aca="1" ref="EW863" ca="1">INDIRECT("'5借入一覧'!"&amp;ET863&amp;EV863)&amp;INDIRECT("'5借入一覧'!"&amp;EU863&amp;EV863)</f>
        <v/>
      </c>
      <c r="EX863">
        <v>2</v>
      </c>
      <c r="FK863" t="str">
        <f t="shared" si="85"/>
        <v/>
      </c>
    </row>
    <row r="864" spans="149:167">
      <c r="ES864">
        <v>857</v>
      </c>
      <c r="ET864" t="s">
        <v>356</v>
      </c>
      <c r="EU864" t="s">
        <v>357</v>
      </c>
      <c r="EV864">
        <v>358</v>
      </c>
      <c r="EW864" t="str" cm="1">
        <f t="array" aca="1" ref="EW864" ca="1">INDIRECT("'5借入一覧'!"&amp;ET864&amp;EV864)&amp;INDIRECT("'5借入一覧'!"&amp;EU864&amp;EV864)</f>
        <v/>
      </c>
      <c r="EX864">
        <v>2</v>
      </c>
      <c r="FK864" t="str">
        <f t="shared" si="85"/>
        <v/>
      </c>
    </row>
    <row r="865" spans="149:167">
      <c r="ES865">
        <v>858</v>
      </c>
      <c r="ET865" t="s">
        <v>356</v>
      </c>
      <c r="EU865" t="s">
        <v>357</v>
      </c>
      <c r="EV865">
        <v>359</v>
      </c>
      <c r="EW865" t="str" cm="1">
        <f t="array" aca="1" ref="EW865" ca="1">INDIRECT("'5借入一覧'!"&amp;ET865&amp;EV865)&amp;INDIRECT("'5借入一覧'!"&amp;EU865&amp;EV865)</f>
        <v/>
      </c>
      <c r="EX865">
        <v>2</v>
      </c>
      <c r="FK865" t="str">
        <f t="shared" si="85"/>
        <v/>
      </c>
    </row>
    <row r="866" spans="149:167">
      <c r="ES866">
        <v>859</v>
      </c>
      <c r="ET866" t="s">
        <v>356</v>
      </c>
      <c r="EU866" t="s">
        <v>357</v>
      </c>
      <c r="EV866">
        <v>360</v>
      </c>
      <c r="EW866" t="str" cm="1">
        <f t="array" aca="1" ref="EW866" ca="1">INDIRECT("'5借入一覧'!"&amp;ET866&amp;EV866)&amp;INDIRECT("'5借入一覧'!"&amp;EU866&amp;EV866)</f>
        <v/>
      </c>
      <c r="EX866">
        <v>2</v>
      </c>
      <c r="FK866" t="str">
        <f t="shared" si="85"/>
        <v/>
      </c>
    </row>
    <row r="867" spans="149:167">
      <c r="ES867">
        <v>860</v>
      </c>
      <c r="ET867" t="s">
        <v>356</v>
      </c>
      <c r="EU867" t="s">
        <v>357</v>
      </c>
      <c r="EV867">
        <v>361</v>
      </c>
      <c r="EW867" t="str" cm="1">
        <f t="array" aca="1" ref="EW867" ca="1">INDIRECT("'5借入一覧'!"&amp;ET867&amp;EV867)&amp;INDIRECT("'5借入一覧'!"&amp;EU867&amp;EV867)</f>
        <v/>
      </c>
      <c r="EX867">
        <v>2</v>
      </c>
      <c r="FK867" t="str">
        <f t="shared" si="85"/>
        <v/>
      </c>
    </row>
    <row r="868" spans="149:167">
      <c r="ES868">
        <v>861</v>
      </c>
      <c r="ET868" t="s">
        <v>356</v>
      </c>
      <c r="EU868" t="s">
        <v>357</v>
      </c>
      <c r="EV868">
        <v>362</v>
      </c>
      <c r="EW868" t="str" cm="1">
        <f t="array" aca="1" ref="EW868" ca="1">INDIRECT("'5借入一覧'!"&amp;ET868&amp;EV868)&amp;INDIRECT("'5借入一覧'!"&amp;EU868&amp;EV868)</f>
        <v/>
      </c>
      <c r="EX868">
        <v>2</v>
      </c>
      <c r="FK868" t="str">
        <f t="shared" si="85"/>
        <v/>
      </c>
    </row>
    <row r="869" spans="149:167">
      <c r="ES869">
        <v>862</v>
      </c>
      <c r="ET869" t="s">
        <v>356</v>
      </c>
      <c r="EU869" t="s">
        <v>357</v>
      </c>
      <c r="EV869">
        <v>363</v>
      </c>
      <c r="EW869" t="str" cm="1">
        <f t="array" aca="1" ref="EW869" ca="1">INDIRECT("'5借入一覧'!"&amp;ET869&amp;EV869)&amp;INDIRECT("'5借入一覧'!"&amp;EU869&amp;EV869)</f>
        <v/>
      </c>
      <c r="EX869">
        <v>2</v>
      </c>
      <c r="FK869" t="str">
        <f t="shared" si="85"/>
        <v/>
      </c>
    </row>
    <row r="870" spans="149:167">
      <c r="ES870">
        <v>863</v>
      </c>
      <c r="ET870" t="s">
        <v>356</v>
      </c>
      <c r="EU870" t="s">
        <v>357</v>
      </c>
      <c r="EV870">
        <v>364</v>
      </c>
      <c r="EW870" t="str" cm="1">
        <f t="array" aca="1" ref="EW870" ca="1">INDIRECT("'5借入一覧'!"&amp;ET870&amp;EV870)&amp;INDIRECT("'5借入一覧'!"&amp;EU870&amp;EV870)</f>
        <v/>
      </c>
      <c r="EX870">
        <v>2</v>
      </c>
      <c r="FK870" t="str">
        <f t="shared" si="85"/>
        <v/>
      </c>
    </row>
    <row r="871" spans="149:167">
      <c r="ES871">
        <v>864</v>
      </c>
      <c r="ET871" t="s">
        <v>356</v>
      </c>
      <c r="EU871" t="s">
        <v>357</v>
      </c>
      <c r="EV871">
        <v>365</v>
      </c>
      <c r="EW871" t="str" cm="1">
        <f t="array" aca="1" ref="EW871" ca="1">INDIRECT("'5借入一覧'!"&amp;ET871&amp;EV871)&amp;INDIRECT("'5借入一覧'!"&amp;EU871&amp;EV871)</f>
        <v/>
      </c>
      <c r="EX871">
        <v>2</v>
      </c>
      <c r="FK871" t="str">
        <f t="shared" si="85"/>
        <v/>
      </c>
    </row>
    <row r="872" spans="149:167">
      <c r="ES872">
        <v>865</v>
      </c>
      <c r="ET872" t="s">
        <v>356</v>
      </c>
      <c r="EU872" t="s">
        <v>357</v>
      </c>
      <c r="EV872">
        <v>366</v>
      </c>
      <c r="EW872" t="str" cm="1">
        <f t="array" aca="1" ref="EW872" ca="1">INDIRECT("'5借入一覧'!"&amp;ET872&amp;EV872)&amp;INDIRECT("'5借入一覧'!"&amp;EU872&amp;EV872)</f>
        <v/>
      </c>
      <c r="EX872">
        <v>2</v>
      </c>
      <c r="FK872" t="str">
        <f t="shared" si="85"/>
        <v/>
      </c>
    </row>
    <row r="873" spans="149:167">
      <c r="ES873">
        <v>866</v>
      </c>
      <c r="ET873" t="s">
        <v>356</v>
      </c>
      <c r="EU873" t="s">
        <v>357</v>
      </c>
      <c r="EV873">
        <v>367</v>
      </c>
      <c r="EW873" t="str" cm="1">
        <f t="array" aca="1" ref="EW873" ca="1">INDIRECT("'5借入一覧'!"&amp;ET873&amp;EV873)&amp;INDIRECT("'5借入一覧'!"&amp;EU873&amp;EV873)</f>
        <v/>
      </c>
      <c r="EX873">
        <v>2</v>
      </c>
      <c r="FK873" t="str">
        <f t="shared" si="85"/>
        <v/>
      </c>
    </row>
    <row r="874" spans="149:167">
      <c r="ES874">
        <v>867</v>
      </c>
      <c r="ET874" t="s">
        <v>356</v>
      </c>
      <c r="EU874" t="s">
        <v>357</v>
      </c>
      <c r="EV874">
        <v>368</v>
      </c>
      <c r="EW874" t="str" cm="1">
        <f t="array" aca="1" ref="EW874" ca="1">INDIRECT("'5借入一覧'!"&amp;ET874&amp;EV874)&amp;INDIRECT("'5借入一覧'!"&amp;EU874&amp;EV874)</f>
        <v/>
      </c>
      <c r="EX874">
        <v>2</v>
      </c>
      <c r="FK874" t="str">
        <f t="shared" si="85"/>
        <v/>
      </c>
    </row>
    <row r="875" spans="149:167">
      <c r="ES875">
        <v>868</v>
      </c>
      <c r="ET875" t="s">
        <v>356</v>
      </c>
      <c r="EU875" t="s">
        <v>357</v>
      </c>
      <c r="EV875">
        <v>369</v>
      </c>
      <c r="EW875" t="str" cm="1">
        <f t="array" aca="1" ref="EW875" ca="1">INDIRECT("'5借入一覧'!"&amp;ET875&amp;EV875)&amp;INDIRECT("'5借入一覧'!"&amp;EU875&amp;EV875)</f>
        <v/>
      </c>
      <c r="EX875">
        <v>2</v>
      </c>
      <c r="FK875" t="str">
        <f t="shared" si="85"/>
        <v/>
      </c>
    </row>
    <row r="876" spans="149:167">
      <c r="ES876">
        <v>869</v>
      </c>
      <c r="ET876" t="s">
        <v>356</v>
      </c>
      <c r="EU876" t="s">
        <v>357</v>
      </c>
      <c r="EV876">
        <v>370</v>
      </c>
      <c r="EW876" t="str" cm="1">
        <f t="array" aca="1" ref="EW876" ca="1">INDIRECT("'5借入一覧'!"&amp;ET876&amp;EV876)&amp;INDIRECT("'5借入一覧'!"&amp;EU876&amp;EV876)</f>
        <v/>
      </c>
      <c r="EX876">
        <v>2</v>
      </c>
      <c r="FK876" t="str">
        <f t="shared" si="85"/>
        <v/>
      </c>
    </row>
    <row r="877" spans="149:167">
      <c r="ES877">
        <v>870</v>
      </c>
      <c r="ET877" t="s">
        <v>356</v>
      </c>
      <c r="EU877" t="s">
        <v>357</v>
      </c>
      <c r="EV877">
        <v>371</v>
      </c>
      <c r="EW877" t="str" cm="1">
        <f t="array" aca="1" ref="EW877" ca="1">INDIRECT("'5借入一覧'!"&amp;ET877&amp;EV877)&amp;INDIRECT("'5借入一覧'!"&amp;EU877&amp;EV877)</f>
        <v/>
      </c>
      <c r="EX877">
        <v>2</v>
      </c>
      <c r="FK877" t="str">
        <f t="shared" si="85"/>
        <v/>
      </c>
    </row>
    <row r="878" spans="149:167">
      <c r="ES878">
        <v>871</v>
      </c>
      <c r="ET878" t="s">
        <v>356</v>
      </c>
      <c r="EU878" t="s">
        <v>357</v>
      </c>
      <c r="EV878">
        <v>372</v>
      </c>
      <c r="EW878" t="str" cm="1">
        <f t="array" aca="1" ref="EW878" ca="1">INDIRECT("'5借入一覧'!"&amp;ET878&amp;EV878)&amp;INDIRECT("'5借入一覧'!"&amp;EU878&amp;EV878)</f>
        <v/>
      </c>
      <c r="EX878">
        <v>2</v>
      </c>
      <c r="FK878" t="str">
        <f t="shared" si="85"/>
        <v/>
      </c>
    </row>
    <row r="879" spans="149:167">
      <c r="ES879">
        <v>872</v>
      </c>
      <c r="ET879" t="s">
        <v>356</v>
      </c>
      <c r="EU879" t="s">
        <v>357</v>
      </c>
      <c r="EV879">
        <v>373</v>
      </c>
      <c r="EW879" t="str" cm="1">
        <f t="array" aca="1" ref="EW879" ca="1">INDIRECT("'5借入一覧'!"&amp;ET879&amp;EV879)&amp;INDIRECT("'5借入一覧'!"&amp;EU879&amp;EV879)</f>
        <v/>
      </c>
      <c r="EX879">
        <v>2</v>
      </c>
      <c r="FK879" t="str">
        <f t="shared" si="85"/>
        <v/>
      </c>
    </row>
    <row r="880" spans="149:167">
      <c r="ES880">
        <v>873</v>
      </c>
      <c r="ET880" t="s">
        <v>356</v>
      </c>
      <c r="EU880" t="s">
        <v>357</v>
      </c>
      <c r="EV880">
        <v>374</v>
      </c>
      <c r="EW880" t="str" cm="1">
        <f t="array" aca="1" ref="EW880" ca="1">INDIRECT("'5借入一覧'!"&amp;ET880&amp;EV880)&amp;INDIRECT("'5借入一覧'!"&amp;EU880&amp;EV880)</f>
        <v/>
      </c>
      <c r="EX880">
        <v>2</v>
      </c>
      <c r="FK880" t="str">
        <f t="shared" si="85"/>
        <v/>
      </c>
    </row>
    <row r="881" spans="149:167">
      <c r="ES881">
        <v>874</v>
      </c>
      <c r="ET881" t="s">
        <v>356</v>
      </c>
      <c r="EU881" t="s">
        <v>357</v>
      </c>
      <c r="EV881">
        <v>375</v>
      </c>
      <c r="EW881" t="str" cm="1">
        <f t="array" aca="1" ref="EW881" ca="1">INDIRECT("'5借入一覧'!"&amp;ET881&amp;EV881)&amp;INDIRECT("'5借入一覧'!"&amp;EU881&amp;EV881)</f>
        <v/>
      </c>
      <c r="EX881">
        <v>2</v>
      </c>
      <c r="FK881" t="str">
        <f t="shared" si="85"/>
        <v/>
      </c>
    </row>
    <row r="882" spans="149:167">
      <c r="ES882">
        <v>875</v>
      </c>
      <c r="ET882" t="s">
        <v>356</v>
      </c>
      <c r="EU882" t="s">
        <v>357</v>
      </c>
      <c r="EV882">
        <v>376</v>
      </c>
      <c r="EW882" t="str" cm="1">
        <f t="array" aca="1" ref="EW882" ca="1">INDIRECT("'5借入一覧'!"&amp;ET882&amp;EV882)&amp;INDIRECT("'5借入一覧'!"&amp;EU882&amp;EV882)</f>
        <v/>
      </c>
      <c r="EX882">
        <v>2</v>
      </c>
      <c r="FK882" t="str">
        <f t="shared" si="85"/>
        <v/>
      </c>
    </row>
    <row r="883" spans="149:167">
      <c r="ES883">
        <v>876</v>
      </c>
      <c r="ET883" t="s">
        <v>356</v>
      </c>
      <c r="EU883" t="s">
        <v>357</v>
      </c>
      <c r="EV883">
        <v>377</v>
      </c>
      <c r="EW883" t="str" cm="1">
        <f t="array" aca="1" ref="EW883" ca="1">INDIRECT("'5借入一覧'!"&amp;ET883&amp;EV883)&amp;INDIRECT("'5借入一覧'!"&amp;EU883&amp;EV883)</f>
        <v/>
      </c>
      <c r="EX883">
        <v>2</v>
      </c>
      <c r="FK883" t="str">
        <f t="shared" si="85"/>
        <v/>
      </c>
    </row>
    <row r="884" spans="149:167">
      <c r="ES884">
        <v>877</v>
      </c>
      <c r="ET884" t="s">
        <v>356</v>
      </c>
      <c r="EU884" t="s">
        <v>357</v>
      </c>
      <c r="EV884">
        <v>378</v>
      </c>
      <c r="EW884" t="str" cm="1">
        <f t="array" aca="1" ref="EW884" ca="1">INDIRECT("'5借入一覧'!"&amp;ET884&amp;EV884)&amp;INDIRECT("'5借入一覧'!"&amp;EU884&amp;EV884)</f>
        <v/>
      </c>
      <c r="EX884">
        <v>2</v>
      </c>
      <c r="FK884" t="str">
        <f t="shared" si="85"/>
        <v/>
      </c>
    </row>
    <row r="885" spans="149:167">
      <c r="ES885">
        <v>878</v>
      </c>
      <c r="ET885" t="s">
        <v>356</v>
      </c>
      <c r="EU885" t="s">
        <v>357</v>
      </c>
      <c r="EV885">
        <v>379</v>
      </c>
      <c r="EW885" t="str" cm="1">
        <f t="array" aca="1" ref="EW885" ca="1">INDIRECT("'5借入一覧'!"&amp;ET885&amp;EV885)&amp;INDIRECT("'5借入一覧'!"&amp;EU885&amp;EV885)</f>
        <v/>
      </c>
      <c r="EX885">
        <v>2</v>
      </c>
      <c r="FK885" t="str">
        <f t="shared" si="85"/>
        <v/>
      </c>
    </row>
    <row r="886" spans="149:167">
      <c r="ES886">
        <v>879</v>
      </c>
      <c r="ET886" t="s">
        <v>356</v>
      </c>
      <c r="EU886" t="s">
        <v>357</v>
      </c>
      <c r="EV886">
        <v>380</v>
      </c>
      <c r="EW886" t="str" cm="1">
        <f t="array" aca="1" ref="EW886" ca="1">INDIRECT("'5借入一覧'!"&amp;ET886&amp;EV886)&amp;INDIRECT("'5借入一覧'!"&amp;EU886&amp;EV886)</f>
        <v/>
      </c>
      <c r="EX886">
        <v>2</v>
      </c>
      <c r="FK886" t="str">
        <f t="shared" si="85"/>
        <v/>
      </c>
    </row>
    <row r="887" spans="149:167">
      <c r="ES887">
        <v>880</v>
      </c>
      <c r="ET887" t="s">
        <v>356</v>
      </c>
      <c r="EU887" t="s">
        <v>357</v>
      </c>
      <c r="EV887">
        <v>381</v>
      </c>
      <c r="EW887" t="str" cm="1">
        <f t="array" aca="1" ref="EW887" ca="1">INDIRECT("'5借入一覧'!"&amp;ET887&amp;EV887)&amp;INDIRECT("'5借入一覧'!"&amp;EU887&amp;EV887)</f>
        <v/>
      </c>
      <c r="EX887">
        <v>2</v>
      </c>
      <c r="FK887" t="str">
        <f t="shared" si="85"/>
        <v/>
      </c>
    </row>
    <row r="888" spans="149:167">
      <c r="ES888">
        <v>881</v>
      </c>
      <c r="ET888" t="s">
        <v>356</v>
      </c>
      <c r="EU888" t="s">
        <v>357</v>
      </c>
      <c r="EV888">
        <v>382</v>
      </c>
      <c r="EW888" t="str" cm="1">
        <f t="array" aca="1" ref="EW888" ca="1">INDIRECT("'5借入一覧'!"&amp;ET888&amp;EV888)&amp;INDIRECT("'5借入一覧'!"&amp;EU888&amp;EV888)</f>
        <v/>
      </c>
      <c r="EX888">
        <v>2</v>
      </c>
      <c r="FK888" t="str">
        <f t="shared" si="85"/>
        <v/>
      </c>
    </row>
    <row r="889" spans="149:167">
      <c r="ES889">
        <v>882</v>
      </c>
      <c r="ET889" t="s">
        <v>356</v>
      </c>
      <c r="EU889" t="s">
        <v>357</v>
      </c>
      <c r="EV889">
        <v>383</v>
      </c>
      <c r="EW889" t="str" cm="1">
        <f t="array" aca="1" ref="EW889" ca="1">INDIRECT("'5借入一覧'!"&amp;ET889&amp;EV889)&amp;INDIRECT("'5借入一覧'!"&amp;EU889&amp;EV889)</f>
        <v/>
      </c>
      <c r="EX889">
        <v>2</v>
      </c>
      <c r="FK889" t="str">
        <f t="shared" si="85"/>
        <v/>
      </c>
    </row>
    <row r="890" spans="149:167">
      <c r="ES890">
        <v>883</v>
      </c>
      <c r="ET890" t="s">
        <v>356</v>
      </c>
      <c r="EU890" t="s">
        <v>357</v>
      </c>
      <c r="EV890">
        <v>384</v>
      </c>
      <c r="EW890" t="str" cm="1">
        <f t="array" aca="1" ref="EW890" ca="1">INDIRECT("'5借入一覧'!"&amp;ET890&amp;EV890)&amp;INDIRECT("'5借入一覧'!"&amp;EU890&amp;EV890)</f>
        <v/>
      </c>
      <c r="EX890">
        <v>2</v>
      </c>
      <c r="FK890" t="str">
        <f t="shared" si="85"/>
        <v/>
      </c>
    </row>
    <row r="891" spans="149:167">
      <c r="ES891">
        <v>884</v>
      </c>
      <c r="ET891" t="s">
        <v>356</v>
      </c>
      <c r="EU891" t="s">
        <v>357</v>
      </c>
      <c r="EV891">
        <v>385</v>
      </c>
      <c r="EW891" t="str" cm="1">
        <f t="array" aca="1" ref="EW891" ca="1">INDIRECT("'5借入一覧'!"&amp;ET891&amp;EV891)&amp;INDIRECT("'5借入一覧'!"&amp;EU891&amp;EV891)</f>
        <v/>
      </c>
      <c r="EX891">
        <v>2</v>
      </c>
      <c r="FK891" t="str">
        <f t="shared" si="85"/>
        <v/>
      </c>
    </row>
    <row r="892" spans="149:167">
      <c r="ES892">
        <v>885</v>
      </c>
      <c r="ET892" t="s">
        <v>356</v>
      </c>
      <c r="EU892" t="s">
        <v>357</v>
      </c>
      <c r="EV892">
        <v>386</v>
      </c>
      <c r="EW892" t="str" cm="1">
        <f t="array" aca="1" ref="EW892" ca="1">INDIRECT("'5借入一覧'!"&amp;ET892&amp;EV892)&amp;INDIRECT("'5借入一覧'!"&amp;EU892&amp;EV892)</f>
        <v/>
      </c>
      <c r="EX892">
        <v>2</v>
      </c>
      <c r="FK892" t="str">
        <f t="shared" si="85"/>
        <v/>
      </c>
    </row>
    <row r="893" spans="149:167">
      <c r="ES893">
        <v>886</v>
      </c>
      <c r="ET893" t="s">
        <v>356</v>
      </c>
      <c r="EU893" t="s">
        <v>357</v>
      </c>
      <c r="EV893">
        <v>387</v>
      </c>
      <c r="EW893" t="str" cm="1">
        <f t="array" aca="1" ref="EW893" ca="1">INDIRECT("'5借入一覧'!"&amp;ET893&amp;EV893)&amp;INDIRECT("'5借入一覧'!"&amp;EU893&amp;EV893)</f>
        <v/>
      </c>
      <c r="EX893">
        <v>2</v>
      </c>
      <c r="FK893" t="str">
        <f t="shared" si="85"/>
        <v/>
      </c>
    </row>
    <row r="894" spans="149:167">
      <c r="ES894">
        <v>887</v>
      </c>
      <c r="ET894" t="s">
        <v>356</v>
      </c>
      <c r="EU894" t="s">
        <v>357</v>
      </c>
      <c r="EV894">
        <v>388</v>
      </c>
      <c r="EW894" t="str" cm="1">
        <f t="array" aca="1" ref="EW894" ca="1">INDIRECT("'5借入一覧'!"&amp;ET894&amp;EV894)&amp;INDIRECT("'5借入一覧'!"&amp;EU894&amp;EV894)</f>
        <v/>
      </c>
      <c r="EX894">
        <v>2</v>
      </c>
      <c r="FK894" t="str">
        <f t="shared" si="85"/>
        <v/>
      </c>
    </row>
    <row r="895" spans="149:167">
      <c r="ES895">
        <v>888</v>
      </c>
      <c r="ET895" t="s">
        <v>356</v>
      </c>
      <c r="EU895" t="s">
        <v>357</v>
      </c>
      <c r="EV895">
        <v>389</v>
      </c>
      <c r="EW895" t="str" cm="1">
        <f t="array" aca="1" ref="EW895" ca="1">INDIRECT("'5借入一覧'!"&amp;ET895&amp;EV895)&amp;INDIRECT("'5借入一覧'!"&amp;EU895&amp;EV895)</f>
        <v/>
      </c>
      <c r="EX895">
        <v>2</v>
      </c>
      <c r="FK895" t="str">
        <f t="shared" si="85"/>
        <v/>
      </c>
    </row>
    <row r="896" spans="149:167">
      <c r="ES896">
        <v>889</v>
      </c>
      <c r="ET896" t="s">
        <v>356</v>
      </c>
      <c r="EU896" t="s">
        <v>357</v>
      </c>
      <c r="EV896">
        <v>390</v>
      </c>
      <c r="EW896" t="str" cm="1">
        <f t="array" aca="1" ref="EW896" ca="1">INDIRECT("'5借入一覧'!"&amp;ET896&amp;EV896)&amp;INDIRECT("'5借入一覧'!"&amp;EU896&amp;EV896)</f>
        <v/>
      </c>
      <c r="EX896">
        <v>2</v>
      </c>
      <c r="FK896" t="str">
        <f t="shared" si="85"/>
        <v/>
      </c>
    </row>
    <row r="897" spans="149:167">
      <c r="ES897">
        <v>890</v>
      </c>
      <c r="ET897" t="s">
        <v>356</v>
      </c>
      <c r="EU897" t="s">
        <v>357</v>
      </c>
      <c r="EV897">
        <v>391</v>
      </c>
      <c r="EW897" t="str" cm="1">
        <f t="array" aca="1" ref="EW897" ca="1">INDIRECT("'5借入一覧'!"&amp;ET897&amp;EV897)&amp;INDIRECT("'5借入一覧'!"&amp;EU897&amp;EV897)</f>
        <v/>
      </c>
      <c r="EX897">
        <v>2</v>
      </c>
      <c r="FK897" t="str">
        <f t="shared" si="85"/>
        <v/>
      </c>
    </row>
    <row r="898" spans="149:167">
      <c r="ES898">
        <v>891</v>
      </c>
      <c r="ET898" t="s">
        <v>356</v>
      </c>
      <c r="EU898" t="s">
        <v>357</v>
      </c>
      <c r="EV898">
        <v>392</v>
      </c>
      <c r="EW898" t="str" cm="1">
        <f t="array" aca="1" ref="EW898" ca="1">INDIRECT("'5借入一覧'!"&amp;ET898&amp;EV898)&amp;INDIRECT("'5借入一覧'!"&amp;EU898&amp;EV898)</f>
        <v/>
      </c>
      <c r="EX898">
        <v>2</v>
      </c>
      <c r="FK898" t="str">
        <f t="shared" si="85"/>
        <v/>
      </c>
    </row>
    <row r="899" spans="149:167">
      <c r="ES899">
        <v>892</v>
      </c>
      <c r="ET899" t="s">
        <v>356</v>
      </c>
      <c r="EU899" t="s">
        <v>357</v>
      </c>
      <c r="EV899">
        <v>393</v>
      </c>
      <c r="EW899" t="str" cm="1">
        <f t="array" aca="1" ref="EW899" ca="1">INDIRECT("'5借入一覧'!"&amp;ET899&amp;EV899)&amp;INDIRECT("'5借入一覧'!"&amp;EU899&amp;EV899)</f>
        <v/>
      </c>
      <c r="EX899">
        <v>2</v>
      </c>
      <c r="FK899" t="str">
        <f t="shared" si="85"/>
        <v/>
      </c>
    </row>
    <row r="900" spans="149:167">
      <c r="ES900">
        <v>893</v>
      </c>
      <c r="ET900" t="s">
        <v>356</v>
      </c>
      <c r="EU900" t="s">
        <v>357</v>
      </c>
      <c r="EV900">
        <v>394</v>
      </c>
      <c r="EW900" t="str" cm="1">
        <f t="array" aca="1" ref="EW900" ca="1">INDIRECT("'5借入一覧'!"&amp;ET900&amp;EV900)&amp;INDIRECT("'5借入一覧'!"&amp;EU900&amp;EV900)</f>
        <v/>
      </c>
      <c r="EX900">
        <v>2</v>
      </c>
      <c r="FK900" t="str">
        <f t="shared" si="85"/>
        <v/>
      </c>
    </row>
    <row r="901" spans="149:167">
      <c r="ES901">
        <v>894</v>
      </c>
      <c r="ET901" t="s">
        <v>356</v>
      </c>
      <c r="EU901" t="s">
        <v>357</v>
      </c>
      <c r="EV901">
        <v>395</v>
      </c>
      <c r="EW901" t="str" cm="1">
        <f t="array" aca="1" ref="EW901" ca="1">INDIRECT("'5借入一覧'!"&amp;ET901&amp;EV901)&amp;INDIRECT("'5借入一覧'!"&amp;EU901&amp;EV901)</f>
        <v/>
      </c>
      <c r="EX901">
        <v>2</v>
      </c>
      <c r="FK901" t="str">
        <f t="shared" si="85"/>
        <v/>
      </c>
    </row>
    <row r="902" spans="149:167">
      <c r="ES902">
        <v>895</v>
      </c>
      <c r="ET902" t="s">
        <v>356</v>
      </c>
      <c r="EU902" t="s">
        <v>357</v>
      </c>
      <c r="EV902">
        <v>396</v>
      </c>
      <c r="EW902" t="str" cm="1">
        <f t="array" aca="1" ref="EW902" ca="1">INDIRECT("'5借入一覧'!"&amp;ET902&amp;EV902)&amp;INDIRECT("'5借入一覧'!"&amp;EU902&amp;EV902)</f>
        <v/>
      </c>
      <c r="EX902">
        <v>2</v>
      </c>
      <c r="FK902" t="str">
        <f t="shared" si="85"/>
        <v/>
      </c>
    </row>
    <row r="903" spans="149:167">
      <c r="ES903">
        <v>896</v>
      </c>
      <c r="ET903" t="s">
        <v>356</v>
      </c>
      <c r="EU903" t="s">
        <v>357</v>
      </c>
      <c r="EV903">
        <v>397</v>
      </c>
      <c r="EW903" t="str" cm="1">
        <f t="array" aca="1" ref="EW903" ca="1">INDIRECT("'5借入一覧'!"&amp;ET903&amp;EV903)&amp;INDIRECT("'5借入一覧'!"&amp;EU903&amp;EV903)</f>
        <v/>
      </c>
      <c r="EX903">
        <v>2</v>
      </c>
      <c r="FK903" t="str">
        <f t="shared" si="85"/>
        <v/>
      </c>
    </row>
    <row r="904" spans="149:167">
      <c r="ES904">
        <v>897</v>
      </c>
      <c r="ET904" t="s">
        <v>356</v>
      </c>
      <c r="EU904" t="s">
        <v>357</v>
      </c>
      <c r="EV904">
        <v>398</v>
      </c>
      <c r="EW904" t="str" cm="1">
        <f t="array" aca="1" ref="EW904" ca="1">INDIRECT("'5借入一覧'!"&amp;ET904&amp;EV904)&amp;INDIRECT("'5借入一覧'!"&amp;EU904&amp;EV904)</f>
        <v/>
      </c>
      <c r="EX904">
        <v>2</v>
      </c>
      <c r="FK904" t="str">
        <f t="shared" ref="FK904:FK967" si="86">IF(FJ904&lt;&gt;"",LEFT(FJ904,LEN(FJ904)-1),"")</f>
        <v/>
      </c>
    </row>
    <row r="905" spans="149:167">
      <c r="ES905">
        <v>898</v>
      </c>
      <c r="ET905" t="s">
        <v>356</v>
      </c>
      <c r="EU905" t="s">
        <v>357</v>
      </c>
      <c r="EV905">
        <v>399</v>
      </c>
      <c r="EW905" t="str" cm="1">
        <f t="array" aca="1" ref="EW905" ca="1">INDIRECT("'5借入一覧'!"&amp;ET905&amp;EV905)&amp;INDIRECT("'5借入一覧'!"&amp;EU905&amp;EV905)</f>
        <v/>
      </c>
      <c r="EX905">
        <v>2</v>
      </c>
      <c r="FK905" t="str">
        <f t="shared" si="86"/>
        <v/>
      </c>
    </row>
    <row r="906" spans="149:167">
      <c r="ES906">
        <v>899</v>
      </c>
      <c r="ET906" t="s">
        <v>356</v>
      </c>
      <c r="EU906" t="s">
        <v>357</v>
      </c>
      <c r="EV906">
        <v>400</v>
      </c>
      <c r="EW906" t="str" cm="1">
        <f t="array" aca="1" ref="EW906" ca="1">INDIRECT("'5借入一覧'!"&amp;ET906&amp;EV906)&amp;INDIRECT("'5借入一覧'!"&amp;EU906&amp;EV906)</f>
        <v/>
      </c>
      <c r="EX906">
        <v>2</v>
      </c>
      <c r="FK906" t="str">
        <f t="shared" si="86"/>
        <v/>
      </c>
    </row>
    <row r="907" spans="149:167">
      <c r="ES907">
        <v>900</v>
      </c>
      <c r="ET907" t="s">
        <v>356</v>
      </c>
      <c r="EU907" t="s">
        <v>357</v>
      </c>
      <c r="EV907">
        <v>401</v>
      </c>
      <c r="EW907" t="str" cm="1">
        <f t="array" aca="1" ref="EW907" ca="1">INDIRECT("'5借入一覧'!"&amp;ET907&amp;EV907)&amp;INDIRECT("'5借入一覧'!"&amp;EU907&amp;EV907)</f>
        <v/>
      </c>
      <c r="EX907">
        <v>2</v>
      </c>
      <c r="FK907" t="str">
        <f t="shared" si="86"/>
        <v/>
      </c>
    </row>
    <row r="908" spans="149:167">
      <c r="ES908">
        <v>901</v>
      </c>
      <c r="ET908" t="s">
        <v>356</v>
      </c>
      <c r="EU908" t="s">
        <v>357</v>
      </c>
      <c r="EV908">
        <v>402</v>
      </c>
      <c r="EW908" t="str" cm="1">
        <f t="array" aca="1" ref="EW908" ca="1">INDIRECT("'5借入一覧'!"&amp;ET908&amp;EV908)&amp;INDIRECT("'5借入一覧'!"&amp;EU908&amp;EV908)</f>
        <v/>
      </c>
      <c r="EX908">
        <v>2</v>
      </c>
      <c r="FK908" t="str">
        <f t="shared" si="86"/>
        <v/>
      </c>
    </row>
    <row r="909" spans="149:167">
      <c r="ES909">
        <v>902</v>
      </c>
      <c r="ET909" t="s">
        <v>356</v>
      </c>
      <c r="EU909" t="s">
        <v>357</v>
      </c>
      <c r="EV909">
        <v>403</v>
      </c>
      <c r="EW909" t="str" cm="1">
        <f t="array" aca="1" ref="EW909" ca="1">INDIRECT("'5借入一覧'!"&amp;ET909&amp;EV909)&amp;INDIRECT("'5借入一覧'!"&amp;EU909&amp;EV909)</f>
        <v/>
      </c>
      <c r="EX909">
        <v>2</v>
      </c>
      <c r="FK909" t="str">
        <f t="shared" si="86"/>
        <v/>
      </c>
    </row>
    <row r="910" spans="149:167">
      <c r="ES910">
        <v>903</v>
      </c>
      <c r="ET910" t="s">
        <v>356</v>
      </c>
      <c r="EU910" t="s">
        <v>357</v>
      </c>
      <c r="EV910">
        <v>404</v>
      </c>
      <c r="EW910" t="str" cm="1">
        <f t="array" aca="1" ref="EW910" ca="1">INDIRECT("'5借入一覧'!"&amp;ET910&amp;EV910)&amp;INDIRECT("'5借入一覧'!"&amp;EU910&amp;EV910)</f>
        <v/>
      </c>
      <c r="EX910">
        <v>2</v>
      </c>
      <c r="FK910" t="str">
        <f t="shared" si="86"/>
        <v/>
      </c>
    </row>
    <row r="911" spans="149:167">
      <c r="ES911">
        <v>904</v>
      </c>
      <c r="ET911" t="s">
        <v>356</v>
      </c>
      <c r="EU911" t="s">
        <v>357</v>
      </c>
      <c r="EV911">
        <v>405</v>
      </c>
      <c r="EW911" t="str" cm="1">
        <f t="array" aca="1" ref="EW911" ca="1">INDIRECT("'5借入一覧'!"&amp;ET911&amp;EV911)&amp;INDIRECT("'5借入一覧'!"&amp;EU911&amp;EV911)</f>
        <v/>
      </c>
      <c r="EX911">
        <v>2</v>
      </c>
      <c r="FK911" t="str">
        <f t="shared" si="86"/>
        <v/>
      </c>
    </row>
    <row r="912" spans="149:167">
      <c r="ES912">
        <v>905</v>
      </c>
      <c r="ET912" t="s">
        <v>356</v>
      </c>
      <c r="EU912" t="s">
        <v>357</v>
      </c>
      <c r="EV912">
        <v>406</v>
      </c>
      <c r="EW912" t="str" cm="1">
        <f t="array" aca="1" ref="EW912" ca="1">INDIRECT("'5借入一覧'!"&amp;ET912&amp;EV912)&amp;INDIRECT("'5借入一覧'!"&amp;EU912&amp;EV912)</f>
        <v/>
      </c>
      <c r="EX912">
        <v>2</v>
      </c>
      <c r="FK912" t="str">
        <f t="shared" si="86"/>
        <v/>
      </c>
    </row>
    <row r="913" spans="149:167">
      <c r="ES913">
        <v>906</v>
      </c>
      <c r="ET913" t="s">
        <v>356</v>
      </c>
      <c r="EU913" t="s">
        <v>357</v>
      </c>
      <c r="EV913">
        <v>407</v>
      </c>
      <c r="EW913" t="str" cm="1">
        <f t="array" aca="1" ref="EW913" ca="1">INDIRECT("'5借入一覧'!"&amp;ET913&amp;EV913)&amp;INDIRECT("'5借入一覧'!"&amp;EU913&amp;EV913)</f>
        <v/>
      </c>
      <c r="EX913">
        <v>2</v>
      </c>
      <c r="FK913" t="str">
        <f t="shared" si="86"/>
        <v/>
      </c>
    </row>
    <row r="914" spans="149:167">
      <c r="ES914">
        <v>907</v>
      </c>
      <c r="ET914" t="s">
        <v>356</v>
      </c>
      <c r="EU914" t="s">
        <v>357</v>
      </c>
      <c r="EV914">
        <v>408</v>
      </c>
      <c r="EW914" t="str" cm="1">
        <f t="array" aca="1" ref="EW914" ca="1">INDIRECT("'5借入一覧'!"&amp;ET914&amp;EV914)&amp;INDIRECT("'5借入一覧'!"&amp;EU914&amp;EV914)</f>
        <v/>
      </c>
      <c r="EX914">
        <v>2</v>
      </c>
      <c r="FK914" t="str">
        <f t="shared" si="86"/>
        <v/>
      </c>
    </row>
    <row r="915" spans="149:167">
      <c r="ES915">
        <v>908</v>
      </c>
      <c r="ET915" t="s">
        <v>356</v>
      </c>
      <c r="EU915" t="s">
        <v>357</v>
      </c>
      <c r="EV915">
        <v>409</v>
      </c>
      <c r="EW915" t="str" cm="1">
        <f t="array" aca="1" ref="EW915" ca="1">INDIRECT("'5借入一覧'!"&amp;ET915&amp;EV915)&amp;INDIRECT("'5借入一覧'!"&amp;EU915&amp;EV915)</f>
        <v/>
      </c>
      <c r="EX915">
        <v>2</v>
      </c>
      <c r="FK915" t="str">
        <f t="shared" si="86"/>
        <v/>
      </c>
    </row>
    <row r="916" spans="149:167">
      <c r="ES916">
        <v>909</v>
      </c>
      <c r="ET916" t="s">
        <v>356</v>
      </c>
      <c r="EU916" t="s">
        <v>357</v>
      </c>
      <c r="EV916">
        <v>410</v>
      </c>
      <c r="EW916" t="str" cm="1">
        <f t="array" aca="1" ref="EW916" ca="1">INDIRECT("'5借入一覧'!"&amp;ET916&amp;EV916)&amp;INDIRECT("'5借入一覧'!"&amp;EU916&amp;EV916)</f>
        <v/>
      </c>
      <c r="EX916">
        <v>2</v>
      </c>
      <c r="FK916" t="str">
        <f t="shared" si="86"/>
        <v/>
      </c>
    </row>
    <row r="917" spans="149:167">
      <c r="ES917">
        <v>910</v>
      </c>
      <c r="ET917" t="s">
        <v>356</v>
      </c>
      <c r="EU917" t="s">
        <v>357</v>
      </c>
      <c r="EV917">
        <v>411</v>
      </c>
      <c r="EW917" t="str" cm="1">
        <f t="array" aca="1" ref="EW917" ca="1">INDIRECT("'5借入一覧'!"&amp;ET917&amp;EV917)&amp;INDIRECT("'5借入一覧'!"&amp;EU917&amp;EV917)</f>
        <v/>
      </c>
      <c r="EX917">
        <v>2</v>
      </c>
      <c r="FK917" t="str">
        <f t="shared" si="86"/>
        <v/>
      </c>
    </row>
    <row r="918" spans="149:167">
      <c r="ES918">
        <v>911</v>
      </c>
      <c r="ET918" t="s">
        <v>356</v>
      </c>
      <c r="EU918" t="s">
        <v>357</v>
      </c>
      <c r="EV918">
        <v>412</v>
      </c>
      <c r="EW918" t="str" cm="1">
        <f t="array" aca="1" ref="EW918" ca="1">INDIRECT("'5借入一覧'!"&amp;ET918&amp;EV918)&amp;INDIRECT("'5借入一覧'!"&amp;EU918&amp;EV918)</f>
        <v/>
      </c>
      <c r="EX918">
        <v>2</v>
      </c>
      <c r="FK918" t="str">
        <f t="shared" si="86"/>
        <v/>
      </c>
    </row>
    <row r="919" spans="149:167">
      <c r="ES919">
        <v>912</v>
      </c>
      <c r="ET919" t="s">
        <v>356</v>
      </c>
      <c r="EU919" t="s">
        <v>357</v>
      </c>
      <c r="EV919">
        <v>413</v>
      </c>
      <c r="EW919" t="str" cm="1">
        <f t="array" aca="1" ref="EW919" ca="1">INDIRECT("'5借入一覧'!"&amp;ET919&amp;EV919)&amp;INDIRECT("'5借入一覧'!"&amp;EU919&amp;EV919)</f>
        <v/>
      </c>
      <c r="EX919">
        <v>2</v>
      </c>
      <c r="FK919" t="str">
        <f t="shared" si="86"/>
        <v/>
      </c>
    </row>
    <row r="920" spans="149:167">
      <c r="ES920">
        <v>913</v>
      </c>
      <c r="ET920" t="s">
        <v>356</v>
      </c>
      <c r="EU920" t="s">
        <v>357</v>
      </c>
      <c r="EV920">
        <v>414</v>
      </c>
      <c r="EW920" t="str" cm="1">
        <f t="array" aca="1" ref="EW920" ca="1">INDIRECT("'5借入一覧'!"&amp;ET920&amp;EV920)&amp;INDIRECT("'5借入一覧'!"&amp;EU920&amp;EV920)</f>
        <v/>
      </c>
      <c r="EX920">
        <v>2</v>
      </c>
      <c r="FK920" t="str">
        <f t="shared" si="86"/>
        <v/>
      </c>
    </row>
    <row r="921" spans="149:167">
      <c r="ES921">
        <v>914</v>
      </c>
      <c r="ET921" t="s">
        <v>356</v>
      </c>
      <c r="EU921" t="s">
        <v>357</v>
      </c>
      <c r="EV921">
        <v>415</v>
      </c>
      <c r="EW921" t="str" cm="1">
        <f t="array" aca="1" ref="EW921" ca="1">INDIRECT("'5借入一覧'!"&amp;ET921&amp;EV921)&amp;INDIRECT("'5借入一覧'!"&amp;EU921&amp;EV921)</f>
        <v/>
      </c>
      <c r="EX921">
        <v>2</v>
      </c>
      <c r="FK921" t="str">
        <f t="shared" si="86"/>
        <v/>
      </c>
    </row>
    <row r="922" spans="149:167">
      <c r="ES922">
        <v>915</v>
      </c>
      <c r="ET922" t="s">
        <v>356</v>
      </c>
      <c r="EU922" t="s">
        <v>357</v>
      </c>
      <c r="EV922">
        <v>416</v>
      </c>
      <c r="EW922" t="str" cm="1">
        <f t="array" aca="1" ref="EW922" ca="1">INDIRECT("'5借入一覧'!"&amp;ET922&amp;EV922)&amp;INDIRECT("'5借入一覧'!"&amp;EU922&amp;EV922)</f>
        <v/>
      </c>
      <c r="EX922">
        <v>2</v>
      </c>
      <c r="FK922" t="str">
        <f t="shared" si="86"/>
        <v/>
      </c>
    </row>
    <row r="923" spans="149:167">
      <c r="ES923">
        <v>916</v>
      </c>
      <c r="ET923" t="s">
        <v>356</v>
      </c>
      <c r="EU923" t="s">
        <v>357</v>
      </c>
      <c r="EV923">
        <v>417</v>
      </c>
      <c r="EW923" t="str" cm="1">
        <f t="array" aca="1" ref="EW923" ca="1">INDIRECT("'5借入一覧'!"&amp;ET923&amp;EV923)&amp;INDIRECT("'5借入一覧'!"&amp;EU923&amp;EV923)</f>
        <v/>
      </c>
      <c r="EX923">
        <v>2</v>
      </c>
      <c r="FK923" t="str">
        <f t="shared" si="86"/>
        <v/>
      </c>
    </row>
    <row r="924" spans="149:167">
      <c r="ES924">
        <v>917</v>
      </c>
      <c r="ET924" t="s">
        <v>356</v>
      </c>
      <c r="EU924" t="s">
        <v>357</v>
      </c>
      <c r="EV924">
        <v>418</v>
      </c>
      <c r="EW924" t="str" cm="1">
        <f t="array" aca="1" ref="EW924" ca="1">INDIRECT("'5借入一覧'!"&amp;ET924&amp;EV924)&amp;INDIRECT("'5借入一覧'!"&amp;EU924&amp;EV924)</f>
        <v/>
      </c>
      <c r="EX924">
        <v>2</v>
      </c>
      <c r="FK924" t="str">
        <f t="shared" si="86"/>
        <v/>
      </c>
    </row>
    <row r="925" spans="149:167">
      <c r="ES925">
        <v>918</v>
      </c>
      <c r="ET925" t="s">
        <v>356</v>
      </c>
      <c r="EU925" t="s">
        <v>357</v>
      </c>
      <c r="EV925">
        <v>419</v>
      </c>
      <c r="EW925" t="str" cm="1">
        <f t="array" aca="1" ref="EW925" ca="1">INDIRECT("'5借入一覧'!"&amp;ET925&amp;EV925)&amp;INDIRECT("'5借入一覧'!"&amp;EU925&amp;EV925)</f>
        <v/>
      </c>
      <c r="EX925">
        <v>2</v>
      </c>
      <c r="FK925" t="str">
        <f t="shared" si="86"/>
        <v/>
      </c>
    </row>
    <row r="926" spans="149:167">
      <c r="ES926">
        <v>919</v>
      </c>
      <c r="ET926" t="s">
        <v>356</v>
      </c>
      <c r="EU926" t="s">
        <v>357</v>
      </c>
      <c r="EV926">
        <v>420</v>
      </c>
      <c r="EW926" t="str" cm="1">
        <f t="array" aca="1" ref="EW926" ca="1">INDIRECT("'5借入一覧'!"&amp;ET926&amp;EV926)&amp;INDIRECT("'5借入一覧'!"&amp;EU926&amp;EV926)</f>
        <v/>
      </c>
      <c r="EX926">
        <v>2</v>
      </c>
      <c r="FK926" t="str">
        <f t="shared" si="86"/>
        <v/>
      </c>
    </row>
    <row r="927" spans="149:167">
      <c r="ES927">
        <v>920</v>
      </c>
      <c r="ET927" t="s">
        <v>356</v>
      </c>
      <c r="EU927" t="s">
        <v>357</v>
      </c>
      <c r="EV927">
        <v>421</v>
      </c>
      <c r="EW927" t="str" cm="1">
        <f t="array" aca="1" ref="EW927" ca="1">INDIRECT("'5借入一覧'!"&amp;ET927&amp;EV927)&amp;INDIRECT("'5借入一覧'!"&amp;EU927&amp;EV927)</f>
        <v/>
      </c>
      <c r="EX927">
        <v>2</v>
      </c>
      <c r="FK927" t="str">
        <f t="shared" si="86"/>
        <v/>
      </c>
    </row>
    <row r="928" spans="149:167">
      <c r="ES928">
        <v>921</v>
      </c>
      <c r="ET928" t="s">
        <v>356</v>
      </c>
      <c r="EU928" t="s">
        <v>357</v>
      </c>
      <c r="EV928">
        <v>422</v>
      </c>
      <c r="EW928" t="str" cm="1">
        <f t="array" aca="1" ref="EW928" ca="1">INDIRECT("'5借入一覧'!"&amp;ET928&amp;EV928)&amp;INDIRECT("'5借入一覧'!"&amp;EU928&amp;EV928)</f>
        <v/>
      </c>
      <c r="EX928">
        <v>2</v>
      </c>
      <c r="FK928" t="str">
        <f t="shared" si="86"/>
        <v/>
      </c>
    </row>
    <row r="929" spans="149:167">
      <c r="ES929">
        <v>922</v>
      </c>
      <c r="ET929" t="s">
        <v>356</v>
      </c>
      <c r="EU929" t="s">
        <v>357</v>
      </c>
      <c r="EV929">
        <v>423</v>
      </c>
      <c r="EW929" t="str" cm="1">
        <f t="array" aca="1" ref="EW929" ca="1">INDIRECT("'5借入一覧'!"&amp;ET929&amp;EV929)&amp;INDIRECT("'5借入一覧'!"&amp;EU929&amp;EV929)</f>
        <v/>
      </c>
      <c r="EX929">
        <v>2</v>
      </c>
      <c r="FK929" t="str">
        <f t="shared" si="86"/>
        <v/>
      </c>
    </row>
    <row r="930" spans="149:167">
      <c r="ES930">
        <v>923</v>
      </c>
      <c r="ET930" t="s">
        <v>356</v>
      </c>
      <c r="EU930" t="s">
        <v>357</v>
      </c>
      <c r="EV930">
        <v>424</v>
      </c>
      <c r="EW930" t="str" cm="1">
        <f t="array" aca="1" ref="EW930" ca="1">INDIRECT("'5借入一覧'!"&amp;ET930&amp;EV930)&amp;INDIRECT("'5借入一覧'!"&amp;EU930&amp;EV930)</f>
        <v/>
      </c>
      <c r="EX930">
        <v>2</v>
      </c>
      <c r="FK930" t="str">
        <f t="shared" si="86"/>
        <v/>
      </c>
    </row>
    <row r="931" spans="149:167">
      <c r="ES931">
        <v>924</v>
      </c>
      <c r="ET931" t="s">
        <v>356</v>
      </c>
      <c r="EU931" t="s">
        <v>357</v>
      </c>
      <c r="EV931">
        <v>425</v>
      </c>
      <c r="EW931" t="str" cm="1">
        <f t="array" aca="1" ref="EW931" ca="1">INDIRECT("'5借入一覧'!"&amp;ET931&amp;EV931)&amp;INDIRECT("'5借入一覧'!"&amp;EU931&amp;EV931)</f>
        <v/>
      </c>
      <c r="EX931">
        <v>2</v>
      </c>
      <c r="FK931" t="str">
        <f t="shared" si="86"/>
        <v/>
      </c>
    </row>
    <row r="932" spans="149:167">
      <c r="ES932">
        <v>925</v>
      </c>
      <c r="ET932" t="s">
        <v>356</v>
      </c>
      <c r="EU932" t="s">
        <v>357</v>
      </c>
      <c r="EV932">
        <v>426</v>
      </c>
      <c r="EW932" t="str" cm="1">
        <f t="array" aca="1" ref="EW932" ca="1">INDIRECT("'5借入一覧'!"&amp;ET932&amp;EV932)&amp;INDIRECT("'5借入一覧'!"&amp;EU932&amp;EV932)</f>
        <v/>
      </c>
      <c r="EX932">
        <v>2</v>
      </c>
      <c r="FK932" t="str">
        <f t="shared" si="86"/>
        <v/>
      </c>
    </row>
    <row r="933" spans="149:167">
      <c r="ES933">
        <v>926</v>
      </c>
      <c r="ET933" t="s">
        <v>356</v>
      </c>
      <c r="EU933" t="s">
        <v>357</v>
      </c>
      <c r="EV933">
        <v>427</v>
      </c>
      <c r="EW933" t="str" cm="1">
        <f t="array" aca="1" ref="EW933" ca="1">INDIRECT("'5借入一覧'!"&amp;ET933&amp;EV933)&amp;INDIRECT("'5借入一覧'!"&amp;EU933&amp;EV933)</f>
        <v/>
      </c>
      <c r="EX933">
        <v>2</v>
      </c>
      <c r="FK933" t="str">
        <f t="shared" si="86"/>
        <v/>
      </c>
    </row>
    <row r="934" spans="149:167">
      <c r="ES934">
        <v>927</v>
      </c>
      <c r="ET934" t="s">
        <v>356</v>
      </c>
      <c r="EU934" t="s">
        <v>357</v>
      </c>
      <c r="EV934">
        <v>428</v>
      </c>
      <c r="EW934" t="str" cm="1">
        <f t="array" aca="1" ref="EW934" ca="1">INDIRECT("'5借入一覧'!"&amp;ET934&amp;EV934)&amp;INDIRECT("'5借入一覧'!"&amp;EU934&amp;EV934)</f>
        <v/>
      </c>
      <c r="EX934">
        <v>2</v>
      </c>
      <c r="FK934" t="str">
        <f t="shared" si="86"/>
        <v/>
      </c>
    </row>
    <row r="935" spans="149:167">
      <c r="ES935">
        <v>928</v>
      </c>
      <c r="ET935" t="s">
        <v>356</v>
      </c>
      <c r="EU935" t="s">
        <v>357</v>
      </c>
      <c r="EV935">
        <v>429</v>
      </c>
      <c r="EW935" t="str" cm="1">
        <f t="array" aca="1" ref="EW935" ca="1">INDIRECT("'5借入一覧'!"&amp;ET935&amp;EV935)&amp;INDIRECT("'5借入一覧'!"&amp;EU935&amp;EV935)</f>
        <v/>
      </c>
      <c r="EX935">
        <v>2</v>
      </c>
      <c r="FK935" t="str">
        <f t="shared" si="86"/>
        <v/>
      </c>
    </row>
    <row r="936" spans="149:167">
      <c r="ES936">
        <v>929</v>
      </c>
      <c r="ET936" t="s">
        <v>356</v>
      </c>
      <c r="EU936" t="s">
        <v>357</v>
      </c>
      <c r="EV936">
        <v>430</v>
      </c>
      <c r="EW936" t="str" cm="1">
        <f t="array" aca="1" ref="EW936" ca="1">INDIRECT("'5借入一覧'!"&amp;ET936&amp;EV936)&amp;INDIRECT("'5借入一覧'!"&amp;EU936&amp;EV936)</f>
        <v/>
      </c>
      <c r="EX936">
        <v>2</v>
      </c>
      <c r="FK936" t="str">
        <f t="shared" si="86"/>
        <v/>
      </c>
    </row>
    <row r="937" spans="149:167">
      <c r="ES937">
        <v>930</v>
      </c>
      <c r="ET937" t="s">
        <v>356</v>
      </c>
      <c r="EU937" t="s">
        <v>357</v>
      </c>
      <c r="EV937">
        <v>431</v>
      </c>
      <c r="EW937" t="str" cm="1">
        <f t="array" aca="1" ref="EW937" ca="1">INDIRECT("'5借入一覧'!"&amp;ET937&amp;EV937)&amp;INDIRECT("'5借入一覧'!"&amp;EU937&amp;EV937)</f>
        <v/>
      </c>
      <c r="EX937">
        <v>2</v>
      </c>
      <c r="FK937" t="str">
        <f t="shared" si="86"/>
        <v/>
      </c>
    </row>
    <row r="938" spans="149:167">
      <c r="ES938">
        <v>931</v>
      </c>
      <c r="ET938" t="s">
        <v>356</v>
      </c>
      <c r="EU938" t="s">
        <v>357</v>
      </c>
      <c r="EV938">
        <v>432</v>
      </c>
      <c r="EW938" t="str" cm="1">
        <f t="array" aca="1" ref="EW938" ca="1">INDIRECT("'5借入一覧'!"&amp;ET938&amp;EV938)&amp;INDIRECT("'5借入一覧'!"&amp;EU938&amp;EV938)</f>
        <v/>
      </c>
      <c r="EX938">
        <v>2</v>
      </c>
      <c r="FK938" t="str">
        <f t="shared" si="86"/>
        <v/>
      </c>
    </row>
    <row r="939" spans="149:167">
      <c r="ES939">
        <v>932</v>
      </c>
      <c r="ET939" t="s">
        <v>356</v>
      </c>
      <c r="EU939" t="s">
        <v>357</v>
      </c>
      <c r="EV939">
        <v>433</v>
      </c>
      <c r="EW939" t="str" cm="1">
        <f t="array" aca="1" ref="EW939" ca="1">INDIRECT("'5借入一覧'!"&amp;ET939&amp;EV939)&amp;INDIRECT("'5借入一覧'!"&amp;EU939&amp;EV939)</f>
        <v/>
      </c>
      <c r="EX939">
        <v>2</v>
      </c>
      <c r="FK939" t="str">
        <f t="shared" si="86"/>
        <v/>
      </c>
    </row>
    <row r="940" spans="149:167">
      <c r="ES940">
        <v>933</v>
      </c>
      <c r="ET940" t="s">
        <v>356</v>
      </c>
      <c r="EU940" t="s">
        <v>357</v>
      </c>
      <c r="EV940">
        <v>434</v>
      </c>
      <c r="EW940" t="str" cm="1">
        <f t="array" aca="1" ref="EW940" ca="1">INDIRECT("'5借入一覧'!"&amp;ET940&amp;EV940)&amp;INDIRECT("'5借入一覧'!"&amp;EU940&amp;EV940)</f>
        <v/>
      </c>
      <c r="EX940">
        <v>2</v>
      </c>
      <c r="FK940" t="str">
        <f t="shared" si="86"/>
        <v/>
      </c>
    </row>
    <row r="941" spans="149:167">
      <c r="ES941">
        <v>934</v>
      </c>
      <c r="ET941" t="s">
        <v>356</v>
      </c>
      <c r="EU941" t="s">
        <v>357</v>
      </c>
      <c r="EV941">
        <v>435</v>
      </c>
      <c r="EW941" t="str" cm="1">
        <f t="array" aca="1" ref="EW941" ca="1">INDIRECT("'5借入一覧'!"&amp;ET941&amp;EV941)&amp;INDIRECT("'5借入一覧'!"&amp;EU941&amp;EV941)</f>
        <v/>
      </c>
      <c r="EX941">
        <v>2</v>
      </c>
      <c r="FK941" t="str">
        <f t="shared" si="86"/>
        <v/>
      </c>
    </row>
    <row r="942" spans="149:167">
      <c r="ES942">
        <v>935</v>
      </c>
      <c r="ET942" t="s">
        <v>356</v>
      </c>
      <c r="EU942" t="s">
        <v>357</v>
      </c>
      <c r="EV942">
        <v>436</v>
      </c>
      <c r="EW942" t="str" cm="1">
        <f t="array" aca="1" ref="EW942" ca="1">INDIRECT("'5借入一覧'!"&amp;ET942&amp;EV942)&amp;INDIRECT("'5借入一覧'!"&amp;EU942&amp;EV942)</f>
        <v/>
      </c>
      <c r="EX942">
        <v>2</v>
      </c>
      <c r="FK942" t="str">
        <f t="shared" si="86"/>
        <v/>
      </c>
    </row>
    <row r="943" spans="149:167">
      <c r="ES943">
        <v>936</v>
      </c>
      <c r="ET943" t="s">
        <v>356</v>
      </c>
      <c r="EU943" t="s">
        <v>357</v>
      </c>
      <c r="EV943">
        <v>437</v>
      </c>
      <c r="EW943" t="str" cm="1">
        <f t="array" aca="1" ref="EW943" ca="1">INDIRECT("'5借入一覧'!"&amp;ET943&amp;EV943)&amp;INDIRECT("'5借入一覧'!"&amp;EU943&amp;EV943)</f>
        <v/>
      </c>
      <c r="EX943">
        <v>2</v>
      </c>
      <c r="FK943" t="str">
        <f t="shared" si="86"/>
        <v/>
      </c>
    </row>
    <row r="944" spans="149:167">
      <c r="ES944">
        <v>937</v>
      </c>
      <c r="ET944" t="s">
        <v>356</v>
      </c>
      <c r="EU944" t="s">
        <v>357</v>
      </c>
      <c r="EV944">
        <v>438</v>
      </c>
      <c r="EW944" t="str" cm="1">
        <f t="array" aca="1" ref="EW944" ca="1">INDIRECT("'5借入一覧'!"&amp;ET944&amp;EV944)&amp;INDIRECT("'5借入一覧'!"&amp;EU944&amp;EV944)</f>
        <v/>
      </c>
      <c r="EX944">
        <v>2</v>
      </c>
      <c r="FK944" t="str">
        <f t="shared" si="86"/>
        <v/>
      </c>
    </row>
    <row r="945" spans="149:167">
      <c r="ES945">
        <v>938</v>
      </c>
      <c r="ET945" t="s">
        <v>356</v>
      </c>
      <c r="EU945" t="s">
        <v>357</v>
      </c>
      <c r="EV945">
        <v>439</v>
      </c>
      <c r="EW945" t="str" cm="1">
        <f t="array" aca="1" ref="EW945" ca="1">INDIRECT("'5借入一覧'!"&amp;ET945&amp;EV945)&amp;INDIRECT("'5借入一覧'!"&amp;EU945&amp;EV945)</f>
        <v/>
      </c>
      <c r="EX945">
        <v>2</v>
      </c>
      <c r="FK945" t="str">
        <f t="shared" si="86"/>
        <v/>
      </c>
    </row>
    <row r="946" spans="149:167">
      <c r="ES946">
        <v>939</v>
      </c>
      <c r="ET946" t="s">
        <v>356</v>
      </c>
      <c r="EU946" t="s">
        <v>357</v>
      </c>
      <c r="EV946">
        <v>440</v>
      </c>
      <c r="EW946" t="str" cm="1">
        <f t="array" aca="1" ref="EW946" ca="1">INDIRECT("'5借入一覧'!"&amp;ET946&amp;EV946)&amp;INDIRECT("'5借入一覧'!"&amp;EU946&amp;EV946)</f>
        <v/>
      </c>
      <c r="EX946">
        <v>2</v>
      </c>
      <c r="FK946" t="str">
        <f t="shared" si="86"/>
        <v/>
      </c>
    </row>
    <row r="947" spans="149:167">
      <c r="ES947">
        <v>940</v>
      </c>
      <c r="ET947" t="s">
        <v>356</v>
      </c>
      <c r="EU947" t="s">
        <v>357</v>
      </c>
      <c r="EV947">
        <v>441</v>
      </c>
      <c r="EW947" t="str" cm="1">
        <f t="array" aca="1" ref="EW947" ca="1">INDIRECT("'5借入一覧'!"&amp;ET947&amp;EV947)&amp;INDIRECT("'5借入一覧'!"&amp;EU947&amp;EV947)</f>
        <v/>
      </c>
      <c r="EX947">
        <v>2</v>
      </c>
      <c r="FK947" t="str">
        <f t="shared" si="86"/>
        <v/>
      </c>
    </row>
    <row r="948" spans="149:167">
      <c r="ES948">
        <v>941</v>
      </c>
      <c r="ET948" t="s">
        <v>356</v>
      </c>
      <c r="EU948" t="s">
        <v>357</v>
      </c>
      <c r="EV948">
        <v>442</v>
      </c>
      <c r="EW948" t="str" cm="1">
        <f t="array" aca="1" ref="EW948" ca="1">INDIRECT("'5借入一覧'!"&amp;ET948&amp;EV948)&amp;INDIRECT("'5借入一覧'!"&amp;EU948&amp;EV948)</f>
        <v/>
      </c>
      <c r="EX948">
        <v>2</v>
      </c>
      <c r="FK948" t="str">
        <f t="shared" si="86"/>
        <v/>
      </c>
    </row>
    <row r="949" spans="149:167">
      <c r="ES949">
        <v>942</v>
      </c>
      <c r="ET949" t="s">
        <v>356</v>
      </c>
      <c r="EU949" t="s">
        <v>357</v>
      </c>
      <c r="EV949">
        <v>443</v>
      </c>
      <c r="EW949" t="str" cm="1">
        <f t="array" aca="1" ref="EW949" ca="1">INDIRECT("'5借入一覧'!"&amp;ET949&amp;EV949)&amp;INDIRECT("'5借入一覧'!"&amp;EU949&amp;EV949)</f>
        <v/>
      </c>
      <c r="EX949">
        <v>2</v>
      </c>
      <c r="FK949" t="str">
        <f t="shared" si="86"/>
        <v/>
      </c>
    </row>
    <row r="950" spans="149:167">
      <c r="ES950">
        <v>943</v>
      </c>
      <c r="ET950" t="s">
        <v>356</v>
      </c>
      <c r="EU950" t="s">
        <v>357</v>
      </c>
      <c r="EV950">
        <v>444</v>
      </c>
      <c r="EW950" t="str" cm="1">
        <f t="array" aca="1" ref="EW950" ca="1">INDIRECT("'5借入一覧'!"&amp;ET950&amp;EV950)&amp;INDIRECT("'5借入一覧'!"&amp;EU950&amp;EV950)</f>
        <v/>
      </c>
      <c r="EX950">
        <v>2</v>
      </c>
      <c r="FK950" t="str">
        <f t="shared" si="86"/>
        <v/>
      </c>
    </row>
    <row r="951" spans="149:167">
      <c r="ES951">
        <v>944</v>
      </c>
      <c r="ET951" t="s">
        <v>356</v>
      </c>
      <c r="EU951" t="s">
        <v>357</v>
      </c>
      <c r="EV951">
        <v>445</v>
      </c>
      <c r="EW951" t="str" cm="1">
        <f t="array" aca="1" ref="EW951" ca="1">INDIRECT("'5借入一覧'!"&amp;ET951&amp;EV951)&amp;INDIRECT("'5借入一覧'!"&amp;EU951&amp;EV951)</f>
        <v/>
      </c>
      <c r="EX951">
        <v>2</v>
      </c>
      <c r="FK951" t="str">
        <f t="shared" si="86"/>
        <v/>
      </c>
    </row>
    <row r="952" spans="149:167">
      <c r="ES952">
        <v>945</v>
      </c>
      <c r="ET952" t="s">
        <v>356</v>
      </c>
      <c r="EU952" t="s">
        <v>357</v>
      </c>
      <c r="EV952">
        <v>446</v>
      </c>
      <c r="EW952" t="str" cm="1">
        <f t="array" aca="1" ref="EW952" ca="1">INDIRECT("'5借入一覧'!"&amp;ET952&amp;EV952)&amp;INDIRECT("'5借入一覧'!"&amp;EU952&amp;EV952)</f>
        <v/>
      </c>
      <c r="EX952">
        <v>2</v>
      </c>
      <c r="FK952" t="str">
        <f t="shared" si="86"/>
        <v/>
      </c>
    </row>
    <row r="953" spans="149:167">
      <c r="ES953">
        <v>946</v>
      </c>
      <c r="ET953" t="s">
        <v>356</v>
      </c>
      <c r="EU953" t="s">
        <v>357</v>
      </c>
      <c r="EV953">
        <v>447</v>
      </c>
      <c r="EW953" t="str" cm="1">
        <f t="array" aca="1" ref="EW953" ca="1">INDIRECT("'5借入一覧'!"&amp;ET953&amp;EV953)&amp;INDIRECT("'5借入一覧'!"&amp;EU953&amp;EV953)</f>
        <v/>
      </c>
      <c r="EX953">
        <v>2</v>
      </c>
      <c r="FK953" t="str">
        <f t="shared" si="86"/>
        <v/>
      </c>
    </row>
    <row r="954" spans="149:167">
      <c r="ES954">
        <v>947</v>
      </c>
      <c r="ET954" t="s">
        <v>356</v>
      </c>
      <c r="EU954" t="s">
        <v>357</v>
      </c>
      <c r="EV954">
        <v>448</v>
      </c>
      <c r="EW954" t="str" cm="1">
        <f t="array" aca="1" ref="EW954" ca="1">INDIRECT("'5借入一覧'!"&amp;ET954&amp;EV954)&amp;INDIRECT("'5借入一覧'!"&amp;EU954&amp;EV954)</f>
        <v/>
      </c>
      <c r="EX954">
        <v>2</v>
      </c>
      <c r="FK954" t="str">
        <f t="shared" si="86"/>
        <v/>
      </c>
    </row>
    <row r="955" spans="149:167">
      <c r="ES955">
        <v>948</v>
      </c>
      <c r="ET955" t="s">
        <v>356</v>
      </c>
      <c r="EU955" t="s">
        <v>357</v>
      </c>
      <c r="EV955">
        <v>449</v>
      </c>
      <c r="EW955" t="str" cm="1">
        <f t="array" aca="1" ref="EW955" ca="1">INDIRECT("'5借入一覧'!"&amp;ET955&amp;EV955)&amp;INDIRECT("'5借入一覧'!"&amp;EU955&amp;EV955)</f>
        <v/>
      </c>
      <c r="EX955">
        <v>2</v>
      </c>
      <c r="FK955" t="str">
        <f t="shared" si="86"/>
        <v/>
      </c>
    </row>
    <row r="956" spans="149:167">
      <c r="ES956">
        <v>949</v>
      </c>
      <c r="ET956" t="s">
        <v>356</v>
      </c>
      <c r="EU956" t="s">
        <v>357</v>
      </c>
      <c r="EV956">
        <v>450</v>
      </c>
      <c r="EW956" t="str" cm="1">
        <f t="array" aca="1" ref="EW956" ca="1">INDIRECT("'5借入一覧'!"&amp;ET956&amp;EV956)&amp;INDIRECT("'5借入一覧'!"&amp;EU956&amp;EV956)</f>
        <v/>
      </c>
      <c r="EX956">
        <v>2</v>
      </c>
      <c r="FK956" t="str">
        <f t="shared" si="86"/>
        <v/>
      </c>
    </row>
    <row r="957" spans="149:167">
      <c r="ES957">
        <v>950</v>
      </c>
      <c r="ET957" t="s">
        <v>356</v>
      </c>
      <c r="EU957" t="s">
        <v>357</v>
      </c>
      <c r="EV957">
        <v>451</v>
      </c>
      <c r="EW957" t="str" cm="1">
        <f t="array" aca="1" ref="EW957" ca="1">INDIRECT("'5借入一覧'!"&amp;ET957&amp;EV957)&amp;INDIRECT("'5借入一覧'!"&amp;EU957&amp;EV957)</f>
        <v/>
      </c>
      <c r="EX957">
        <v>2</v>
      </c>
      <c r="FK957" t="str">
        <f t="shared" si="86"/>
        <v/>
      </c>
    </row>
    <row r="958" spans="149:167">
      <c r="ES958">
        <v>951</v>
      </c>
      <c r="ET958" t="s">
        <v>356</v>
      </c>
      <c r="EU958" t="s">
        <v>357</v>
      </c>
      <c r="EV958">
        <v>452</v>
      </c>
      <c r="EW958" t="str" cm="1">
        <f t="array" aca="1" ref="EW958" ca="1">INDIRECT("'5借入一覧'!"&amp;ET958&amp;EV958)&amp;INDIRECT("'5借入一覧'!"&amp;EU958&amp;EV958)</f>
        <v/>
      </c>
      <c r="EX958">
        <v>2</v>
      </c>
      <c r="FK958" t="str">
        <f t="shared" si="86"/>
        <v/>
      </c>
    </row>
    <row r="959" spans="149:167">
      <c r="ES959">
        <v>952</v>
      </c>
      <c r="ET959" t="s">
        <v>356</v>
      </c>
      <c r="EU959" t="s">
        <v>357</v>
      </c>
      <c r="EV959">
        <v>453</v>
      </c>
      <c r="EW959" t="str" cm="1">
        <f t="array" aca="1" ref="EW959" ca="1">INDIRECT("'5借入一覧'!"&amp;ET959&amp;EV959)&amp;INDIRECT("'5借入一覧'!"&amp;EU959&amp;EV959)</f>
        <v/>
      </c>
      <c r="EX959">
        <v>2</v>
      </c>
      <c r="FK959" t="str">
        <f t="shared" si="86"/>
        <v/>
      </c>
    </row>
    <row r="960" spans="149:167">
      <c r="ES960">
        <v>953</v>
      </c>
      <c r="ET960" t="s">
        <v>356</v>
      </c>
      <c r="EU960" t="s">
        <v>357</v>
      </c>
      <c r="EV960">
        <v>454</v>
      </c>
      <c r="EW960" t="str" cm="1">
        <f t="array" aca="1" ref="EW960" ca="1">INDIRECT("'5借入一覧'!"&amp;ET960&amp;EV960)&amp;INDIRECT("'5借入一覧'!"&amp;EU960&amp;EV960)</f>
        <v/>
      </c>
      <c r="EX960">
        <v>2</v>
      </c>
      <c r="FK960" t="str">
        <f t="shared" si="86"/>
        <v/>
      </c>
    </row>
    <row r="961" spans="149:167">
      <c r="ES961">
        <v>954</v>
      </c>
      <c r="ET961" t="s">
        <v>356</v>
      </c>
      <c r="EU961" t="s">
        <v>357</v>
      </c>
      <c r="EV961">
        <v>455</v>
      </c>
      <c r="EW961" t="str" cm="1">
        <f t="array" aca="1" ref="EW961" ca="1">INDIRECT("'5借入一覧'!"&amp;ET961&amp;EV961)&amp;INDIRECT("'5借入一覧'!"&amp;EU961&amp;EV961)</f>
        <v/>
      </c>
      <c r="EX961">
        <v>2</v>
      </c>
      <c r="FK961" t="str">
        <f t="shared" si="86"/>
        <v/>
      </c>
    </row>
    <row r="962" spans="149:167">
      <c r="ES962">
        <v>955</v>
      </c>
      <c r="ET962" t="s">
        <v>356</v>
      </c>
      <c r="EU962" t="s">
        <v>357</v>
      </c>
      <c r="EV962">
        <v>456</v>
      </c>
      <c r="EW962" t="str" cm="1">
        <f t="array" aca="1" ref="EW962" ca="1">INDIRECT("'5借入一覧'!"&amp;ET962&amp;EV962)&amp;INDIRECT("'5借入一覧'!"&amp;EU962&amp;EV962)</f>
        <v/>
      </c>
      <c r="EX962">
        <v>2</v>
      </c>
      <c r="FK962" t="str">
        <f t="shared" si="86"/>
        <v/>
      </c>
    </row>
    <row r="963" spans="149:167">
      <c r="ES963">
        <v>956</v>
      </c>
      <c r="ET963" t="s">
        <v>356</v>
      </c>
      <c r="EU963" t="s">
        <v>357</v>
      </c>
      <c r="EV963">
        <v>457</v>
      </c>
      <c r="EW963" t="str" cm="1">
        <f t="array" aca="1" ref="EW963" ca="1">INDIRECT("'5借入一覧'!"&amp;ET963&amp;EV963)&amp;INDIRECT("'5借入一覧'!"&amp;EU963&amp;EV963)</f>
        <v/>
      </c>
      <c r="EX963">
        <v>2</v>
      </c>
      <c r="FK963" t="str">
        <f t="shared" si="86"/>
        <v/>
      </c>
    </row>
    <row r="964" spans="149:167">
      <c r="ES964">
        <v>957</v>
      </c>
      <c r="ET964" t="s">
        <v>356</v>
      </c>
      <c r="EU964" t="s">
        <v>357</v>
      </c>
      <c r="EV964">
        <v>458</v>
      </c>
      <c r="EW964" t="str" cm="1">
        <f t="array" aca="1" ref="EW964" ca="1">INDIRECT("'5借入一覧'!"&amp;ET964&amp;EV964)&amp;INDIRECT("'5借入一覧'!"&amp;EU964&amp;EV964)</f>
        <v/>
      </c>
      <c r="EX964">
        <v>2</v>
      </c>
      <c r="FK964" t="str">
        <f t="shared" si="86"/>
        <v/>
      </c>
    </row>
    <row r="965" spans="149:167">
      <c r="ES965">
        <v>958</v>
      </c>
      <c r="ET965" t="s">
        <v>356</v>
      </c>
      <c r="EU965" t="s">
        <v>357</v>
      </c>
      <c r="EV965">
        <v>459</v>
      </c>
      <c r="EW965" t="str" cm="1">
        <f t="array" aca="1" ref="EW965" ca="1">INDIRECT("'5借入一覧'!"&amp;ET965&amp;EV965)&amp;INDIRECT("'5借入一覧'!"&amp;EU965&amp;EV965)</f>
        <v/>
      </c>
      <c r="EX965">
        <v>2</v>
      </c>
      <c r="FK965" t="str">
        <f t="shared" si="86"/>
        <v/>
      </c>
    </row>
    <row r="966" spans="149:167">
      <c r="ES966">
        <v>959</v>
      </c>
      <c r="ET966" t="s">
        <v>356</v>
      </c>
      <c r="EU966" t="s">
        <v>357</v>
      </c>
      <c r="EV966">
        <v>460</v>
      </c>
      <c r="EW966" t="str" cm="1">
        <f t="array" aca="1" ref="EW966" ca="1">INDIRECT("'5借入一覧'!"&amp;ET966&amp;EV966)&amp;INDIRECT("'5借入一覧'!"&amp;EU966&amp;EV966)</f>
        <v/>
      </c>
      <c r="EX966">
        <v>2</v>
      </c>
      <c r="FK966" t="str">
        <f t="shared" si="86"/>
        <v/>
      </c>
    </row>
    <row r="967" spans="149:167">
      <c r="ES967">
        <v>960</v>
      </c>
      <c r="ET967" t="s">
        <v>356</v>
      </c>
      <c r="EU967" t="s">
        <v>357</v>
      </c>
      <c r="EV967">
        <v>461</v>
      </c>
      <c r="EW967" t="str" cm="1">
        <f t="array" aca="1" ref="EW967" ca="1">INDIRECT("'5借入一覧'!"&amp;ET967&amp;EV967)&amp;INDIRECT("'5借入一覧'!"&amp;EU967&amp;EV967)</f>
        <v/>
      </c>
      <c r="EX967">
        <v>2</v>
      </c>
      <c r="FK967" t="str">
        <f t="shared" si="86"/>
        <v/>
      </c>
    </row>
    <row r="968" spans="149:167">
      <c r="ES968">
        <v>961</v>
      </c>
      <c r="ET968" t="s">
        <v>356</v>
      </c>
      <c r="EU968" t="s">
        <v>357</v>
      </c>
      <c r="EV968">
        <v>462</v>
      </c>
      <c r="EW968" t="str" cm="1">
        <f t="array" aca="1" ref="EW968" ca="1">INDIRECT("'5借入一覧'!"&amp;ET968&amp;EV968)&amp;INDIRECT("'5借入一覧'!"&amp;EU968&amp;EV968)</f>
        <v/>
      </c>
      <c r="EX968">
        <v>2</v>
      </c>
      <c r="FK968" t="str">
        <f t="shared" ref="FK968:FK1007" si="87">IF(FJ968&lt;&gt;"",LEFT(FJ968,LEN(FJ968)-1),"")</f>
        <v/>
      </c>
    </row>
    <row r="969" spans="149:167">
      <c r="ES969">
        <v>962</v>
      </c>
      <c r="ET969" t="s">
        <v>356</v>
      </c>
      <c r="EU969" t="s">
        <v>357</v>
      </c>
      <c r="EV969">
        <v>463</v>
      </c>
      <c r="EW969" t="str" cm="1">
        <f t="array" aca="1" ref="EW969" ca="1">INDIRECT("'5借入一覧'!"&amp;ET969&amp;EV969)&amp;INDIRECT("'5借入一覧'!"&amp;EU969&amp;EV969)</f>
        <v/>
      </c>
      <c r="EX969">
        <v>2</v>
      </c>
      <c r="FK969" t="str">
        <f t="shared" si="87"/>
        <v/>
      </c>
    </row>
    <row r="970" spans="149:167">
      <c r="ES970">
        <v>963</v>
      </c>
      <c r="ET970" t="s">
        <v>356</v>
      </c>
      <c r="EU970" t="s">
        <v>357</v>
      </c>
      <c r="EV970">
        <v>464</v>
      </c>
      <c r="EW970" t="str" cm="1">
        <f t="array" aca="1" ref="EW970" ca="1">INDIRECT("'5借入一覧'!"&amp;ET970&amp;EV970)&amp;INDIRECT("'5借入一覧'!"&amp;EU970&amp;EV970)</f>
        <v/>
      </c>
      <c r="EX970">
        <v>2</v>
      </c>
      <c r="FK970" t="str">
        <f t="shared" si="87"/>
        <v/>
      </c>
    </row>
    <row r="971" spans="149:167">
      <c r="ES971">
        <v>964</v>
      </c>
      <c r="ET971" t="s">
        <v>356</v>
      </c>
      <c r="EU971" t="s">
        <v>357</v>
      </c>
      <c r="EV971">
        <v>465</v>
      </c>
      <c r="EW971" t="str" cm="1">
        <f t="array" aca="1" ref="EW971" ca="1">INDIRECT("'5借入一覧'!"&amp;ET971&amp;EV971)&amp;INDIRECT("'5借入一覧'!"&amp;EU971&amp;EV971)</f>
        <v/>
      </c>
      <c r="EX971">
        <v>2</v>
      </c>
      <c r="FK971" t="str">
        <f t="shared" si="87"/>
        <v/>
      </c>
    </row>
    <row r="972" spans="149:167">
      <c r="ES972">
        <v>965</v>
      </c>
      <c r="ET972" t="s">
        <v>356</v>
      </c>
      <c r="EU972" t="s">
        <v>357</v>
      </c>
      <c r="EV972">
        <v>466</v>
      </c>
      <c r="EW972" t="str" cm="1">
        <f t="array" aca="1" ref="EW972" ca="1">INDIRECT("'5借入一覧'!"&amp;ET972&amp;EV972)&amp;INDIRECT("'5借入一覧'!"&amp;EU972&amp;EV972)</f>
        <v/>
      </c>
      <c r="EX972">
        <v>2</v>
      </c>
      <c r="FK972" t="str">
        <f t="shared" si="87"/>
        <v/>
      </c>
    </row>
    <row r="973" spans="149:167">
      <c r="ES973">
        <v>966</v>
      </c>
      <c r="ET973" t="s">
        <v>356</v>
      </c>
      <c r="EU973" t="s">
        <v>357</v>
      </c>
      <c r="EV973">
        <v>467</v>
      </c>
      <c r="EW973" t="str" cm="1">
        <f t="array" aca="1" ref="EW973" ca="1">INDIRECT("'5借入一覧'!"&amp;ET973&amp;EV973)&amp;INDIRECT("'5借入一覧'!"&amp;EU973&amp;EV973)</f>
        <v/>
      </c>
      <c r="EX973">
        <v>2</v>
      </c>
      <c r="FK973" t="str">
        <f t="shared" si="87"/>
        <v/>
      </c>
    </row>
    <row r="974" spans="149:167">
      <c r="ES974">
        <v>967</v>
      </c>
      <c r="ET974" t="s">
        <v>356</v>
      </c>
      <c r="EU974" t="s">
        <v>357</v>
      </c>
      <c r="EV974">
        <v>468</v>
      </c>
      <c r="EW974" t="str" cm="1">
        <f t="array" aca="1" ref="EW974" ca="1">INDIRECT("'5借入一覧'!"&amp;ET974&amp;EV974)&amp;INDIRECT("'5借入一覧'!"&amp;EU974&amp;EV974)</f>
        <v/>
      </c>
      <c r="EX974">
        <v>2</v>
      </c>
      <c r="FK974" t="str">
        <f t="shared" si="87"/>
        <v/>
      </c>
    </row>
    <row r="975" spans="149:167">
      <c r="ES975">
        <v>968</v>
      </c>
      <c r="ET975" t="s">
        <v>356</v>
      </c>
      <c r="EU975" t="s">
        <v>357</v>
      </c>
      <c r="EV975">
        <v>469</v>
      </c>
      <c r="EW975" t="str" cm="1">
        <f t="array" aca="1" ref="EW975" ca="1">INDIRECT("'5借入一覧'!"&amp;ET975&amp;EV975)&amp;INDIRECT("'5借入一覧'!"&amp;EU975&amp;EV975)</f>
        <v/>
      </c>
      <c r="EX975">
        <v>2</v>
      </c>
      <c r="FK975" t="str">
        <f t="shared" si="87"/>
        <v/>
      </c>
    </row>
    <row r="976" spans="149:167">
      <c r="ES976">
        <v>969</v>
      </c>
      <c r="ET976" t="s">
        <v>356</v>
      </c>
      <c r="EU976" t="s">
        <v>357</v>
      </c>
      <c r="EV976">
        <v>470</v>
      </c>
      <c r="EW976" t="str" cm="1">
        <f t="array" aca="1" ref="EW976" ca="1">INDIRECT("'5借入一覧'!"&amp;ET976&amp;EV976)&amp;INDIRECT("'5借入一覧'!"&amp;EU976&amp;EV976)</f>
        <v/>
      </c>
      <c r="EX976">
        <v>2</v>
      </c>
      <c r="FK976" t="str">
        <f t="shared" si="87"/>
        <v/>
      </c>
    </row>
    <row r="977" spans="149:167">
      <c r="ES977">
        <v>970</v>
      </c>
      <c r="ET977" t="s">
        <v>356</v>
      </c>
      <c r="EU977" t="s">
        <v>357</v>
      </c>
      <c r="EV977">
        <v>471</v>
      </c>
      <c r="EW977" t="str" cm="1">
        <f t="array" aca="1" ref="EW977" ca="1">INDIRECT("'5借入一覧'!"&amp;ET977&amp;EV977)&amp;INDIRECT("'5借入一覧'!"&amp;EU977&amp;EV977)</f>
        <v/>
      </c>
      <c r="EX977">
        <v>2</v>
      </c>
      <c r="FK977" t="str">
        <f t="shared" si="87"/>
        <v/>
      </c>
    </row>
    <row r="978" spans="149:167">
      <c r="ES978">
        <v>971</v>
      </c>
      <c r="ET978" t="s">
        <v>356</v>
      </c>
      <c r="EU978" t="s">
        <v>357</v>
      </c>
      <c r="EV978">
        <v>472</v>
      </c>
      <c r="EW978" t="str" cm="1">
        <f t="array" aca="1" ref="EW978" ca="1">INDIRECT("'5借入一覧'!"&amp;ET978&amp;EV978)&amp;INDIRECT("'5借入一覧'!"&amp;EU978&amp;EV978)</f>
        <v/>
      </c>
      <c r="EX978">
        <v>2</v>
      </c>
      <c r="FK978" t="str">
        <f t="shared" si="87"/>
        <v/>
      </c>
    </row>
    <row r="979" spans="149:167">
      <c r="ES979">
        <v>972</v>
      </c>
      <c r="ET979" t="s">
        <v>356</v>
      </c>
      <c r="EU979" t="s">
        <v>357</v>
      </c>
      <c r="EV979">
        <v>473</v>
      </c>
      <c r="EW979" t="str" cm="1">
        <f t="array" aca="1" ref="EW979" ca="1">INDIRECT("'5借入一覧'!"&amp;ET979&amp;EV979)&amp;INDIRECT("'5借入一覧'!"&amp;EU979&amp;EV979)</f>
        <v/>
      </c>
      <c r="EX979">
        <v>2</v>
      </c>
      <c r="FK979" t="str">
        <f t="shared" si="87"/>
        <v/>
      </c>
    </row>
    <row r="980" spans="149:167">
      <c r="ES980">
        <v>973</v>
      </c>
      <c r="ET980" t="s">
        <v>356</v>
      </c>
      <c r="EU980" t="s">
        <v>357</v>
      </c>
      <c r="EV980">
        <v>474</v>
      </c>
      <c r="EW980" t="str" cm="1">
        <f t="array" aca="1" ref="EW980" ca="1">INDIRECT("'5借入一覧'!"&amp;ET980&amp;EV980)&amp;INDIRECT("'5借入一覧'!"&amp;EU980&amp;EV980)</f>
        <v/>
      </c>
      <c r="EX980">
        <v>2</v>
      </c>
      <c r="FK980" t="str">
        <f t="shared" si="87"/>
        <v/>
      </c>
    </row>
    <row r="981" spans="149:167">
      <c r="ES981">
        <v>974</v>
      </c>
      <c r="ET981" t="s">
        <v>356</v>
      </c>
      <c r="EU981" t="s">
        <v>357</v>
      </c>
      <c r="EV981">
        <v>475</v>
      </c>
      <c r="EW981" t="str" cm="1">
        <f t="array" aca="1" ref="EW981" ca="1">INDIRECT("'5借入一覧'!"&amp;ET981&amp;EV981)&amp;INDIRECT("'5借入一覧'!"&amp;EU981&amp;EV981)</f>
        <v/>
      </c>
      <c r="EX981">
        <v>2</v>
      </c>
      <c r="FK981" t="str">
        <f t="shared" si="87"/>
        <v/>
      </c>
    </row>
    <row r="982" spans="149:167">
      <c r="ES982">
        <v>975</v>
      </c>
      <c r="ET982" t="s">
        <v>356</v>
      </c>
      <c r="EU982" t="s">
        <v>357</v>
      </c>
      <c r="EV982">
        <v>476</v>
      </c>
      <c r="EW982" t="str" cm="1">
        <f t="array" aca="1" ref="EW982" ca="1">INDIRECT("'5借入一覧'!"&amp;ET982&amp;EV982)&amp;INDIRECT("'5借入一覧'!"&amp;EU982&amp;EV982)</f>
        <v/>
      </c>
      <c r="EX982">
        <v>2</v>
      </c>
      <c r="FK982" t="str">
        <f t="shared" si="87"/>
        <v/>
      </c>
    </row>
    <row r="983" spans="149:167">
      <c r="ES983">
        <v>976</v>
      </c>
      <c r="ET983" t="s">
        <v>356</v>
      </c>
      <c r="EU983" t="s">
        <v>357</v>
      </c>
      <c r="EV983">
        <v>477</v>
      </c>
      <c r="EW983" t="str" cm="1">
        <f t="array" aca="1" ref="EW983" ca="1">INDIRECT("'5借入一覧'!"&amp;ET983&amp;EV983)&amp;INDIRECT("'5借入一覧'!"&amp;EU983&amp;EV983)</f>
        <v/>
      </c>
      <c r="EX983">
        <v>2</v>
      </c>
      <c r="FK983" t="str">
        <f t="shared" si="87"/>
        <v/>
      </c>
    </row>
    <row r="984" spans="149:167">
      <c r="ES984">
        <v>977</v>
      </c>
      <c r="ET984" t="s">
        <v>356</v>
      </c>
      <c r="EU984" t="s">
        <v>357</v>
      </c>
      <c r="EV984">
        <v>478</v>
      </c>
      <c r="EW984" t="str" cm="1">
        <f t="array" aca="1" ref="EW984" ca="1">INDIRECT("'5借入一覧'!"&amp;ET984&amp;EV984)&amp;INDIRECT("'5借入一覧'!"&amp;EU984&amp;EV984)</f>
        <v/>
      </c>
      <c r="EX984">
        <v>2</v>
      </c>
      <c r="FK984" t="str">
        <f t="shared" si="87"/>
        <v/>
      </c>
    </row>
    <row r="985" spans="149:167">
      <c r="ES985">
        <v>978</v>
      </c>
      <c r="ET985" t="s">
        <v>356</v>
      </c>
      <c r="EU985" t="s">
        <v>357</v>
      </c>
      <c r="EV985">
        <v>479</v>
      </c>
      <c r="EW985" t="str" cm="1">
        <f t="array" aca="1" ref="EW985" ca="1">INDIRECT("'5借入一覧'!"&amp;ET985&amp;EV985)&amp;INDIRECT("'5借入一覧'!"&amp;EU985&amp;EV985)</f>
        <v/>
      </c>
      <c r="EX985">
        <v>2</v>
      </c>
      <c r="FK985" t="str">
        <f t="shared" si="87"/>
        <v/>
      </c>
    </row>
    <row r="986" spans="149:167">
      <c r="ES986">
        <v>979</v>
      </c>
      <c r="ET986" t="s">
        <v>356</v>
      </c>
      <c r="EU986" t="s">
        <v>357</v>
      </c>
      <c r="EV986">
        <v>480</v>
      </c>
      <c r="EW986" t="str" cm="1">
        <f t="array" aca="1" ref="EW986" ca="1">INDIRECT("'5借入一覧'!"&amp;ET986&amp;EV986)&amp;INDIRECT("'5借入一覧'!"&amp;EU986&amp;EV986)</f>
        <v/>
      </c>
      <c r="EX986">
        <v>2</v>
      </c>
      <c r="FK986" t="str">
        <f t="shared" si="87"/>
        <v/>
      </c>
    </row>
    <row r="987" spans="149:167">
      <c r="ES987">
        <v>980</v>
      </c>
      <c r="ET987" t="s">
        <v>356</v>
      </c>
      <c r="EU987" t="s">
        <v>357</v>
      </c>
      <c r="EV987">
        <v>481</v>
      </c>
      <c r="EW987" t="str" cm="1">
        <f t="array" aca="1" ref="EW987" ca="1">INDIRECT("'5借入一覧'!"&amp;ET987&amp;EV987)&amp;INDIRECT("'5借入一覧'!"&amp;EU987&amp;EV987)</f>
        <v/>
      </c>
      <c r="EX987">
        <v>2</v>
      </c>
      <c r="FK987" t="str">
        <f t="shared" si="87"/>
        <v/>
      </c>
    </row>
    <row r="988" spans="149:167">
      <c r="ES988">
        <v>981</v>
      </c>
      <c r="ET988" t="s">
        <v>356</v>
      </c>
      <c r="EU988" t="s">
        <v>357</v>
      </c>
      <c r="EV988">
        <v>482</v>
      </c>
      <c r="EW988" t="str" cm="1">
        <f t="array" aca="1" ref="EW988" ca="1">INDIRECT("'5借入一覧'!"&amp;ET988&amp;EV988)&amp;INDIRECT("'5借入一覧'!"&amp;EU988&amp;EV988)</f>
        <v/>
      </c>
      <c r="EX988">
        <v>2</v>
      </c>
      <c r="FK988" t="str">
        <f t="shared" si="87"/>
        <v/>
      </c>
    </row>
    <row r="989" spans="149:167">
      <c r="ES989">
        <v>982</v>
      </c>
      <c r="ET989" t="s">
        <v>356</v>
      </c>
      <c r="EU989" t="s">
        <v>357</v>
      </c>
      <c r="EV989">
        <v>483</v>
      </c>
      <c r="EW989" t="str" cm="1">
        <f t="array" aca="1" ref="EW989" ca="1">INDIRECT("'5借入一覧'!"&amp;ET989&amp;EV989)&amp;INDIRECT("'5借入一覧'!"&amp;EU989&amp;EV989)</f>
        <v/>
      </c>
      <c r="EX989">
        <v>2</v>
      </c>
      <c r="FK989" t="str">
        <f t="shared" si="87"/>
        <v/>
      </c>
    </row>
    <row r="990" spans="149:167">
      <c r="ES990">
        <v>983</v>
      </c>
      <c r="ET990" t="s">
        <v>356</v>
      </c>
      <c r="EU990" t="s">
        <v>357</v>
      </c>
      <c r="EV990">
        <v>484</v>
      </c>
      <c r="EW990" t="str" cm="1">
        <f t="array" aca="1" ref="EW990" ca="1">INDIRECT("'5借入一覧'!"&amp;ET990&amp;EV990)&amp;INDIRECT("'5借入一覧'!"&amp;EU990&amp;EV990)</f>
        <v/>
      </c>
      <c r="EX990">
        <v>2</v>
      </c>
      <c r="FK990" t="str">
        <f t="shared" si="87"/>
        <v/>
      </c>
    </row>
    <row r="991" spans="149:167">
      <c r="ES991">
        <v>984</v>
      </c>
      <c r="ET991" t="s">
        <v>356</v>
      </c>
      <c r="EU991" t="s">
        <v>357</v>
      </c>
      <c r="EV991">
        <v>485</v>
      </c>
      <c r="EW991" t="str" cm="1">
        <f t="array" aca="1" ref="EW991" ca="1">INDIRECT("'5借入一覧'!"&amp;ET991&amp;EV991)&amp;INDIRECT("'5借入一覧'!"&amp;EU991&amp;EV991)</f>
        <v/>
      </c>
      <c r="EX991">
        <v>2</v>
      </c>
      <c r="FK991" t="str">
        <f t="shared" si="87"/>
        <v/>
      </c>
    </row>
    <row r="992" spans="149:167">
      <c r="ES992">
        <v>985</v>
      </c>
      <c r="ET992" t="s">
        <v>356</v>
      </c>
      <c r="EU992" t="s">
        <v>357</v>
      </c>
      <c r="EV992">
        <v>486</v>
      </c>
      <c r="EW992" t="str" cm="1">
        <f t="array" aca="1" ref="EW992" ca="1">INDIRECT("'5借入一覧'!"&amp;ET992&amp;EV992)&amp;INDIRECT("'5借入一覧'!"&amp;EU992&amp;EV992)</f>
        <v/>
      </c>
      <c r="EX992">
        <v>2</v>
      </c>
      <c r="FK992" t="str">
        <f t="shared" si="87"/>
        <v/>
      </c>
    </row>
    <row r="993" spans="149:167">
      <c r="ES993">
        <v>986</v>
      </c>
      <c r="ET993" t="s">
        <v>356</v>
      </c>
      <c r="EU993" t="s">
        <v>357</v>
      </c>
      <c r="EV993">
        <v>487</v>
      </c>
      <c r="EW993" t="str" cm="1">
        <f t="array" aca="1" ref="EW993" ca="1">INDIRECT("'5借入一覧'!"&amp;ET993&amp;EV993)&amp;INDIRECT("'5借入一覧'!"&amp;EU993&amp;EV993)</f>
        <v/>
      </c>
      <c r="EX993">
        <v>2</v>
      </c>
      <c r="FK993" t="str">
        <f t="shared" si="87"/>
        <v/>
      </c>
    </row>
    <row r="994" spans="149:167">
      <c r="ES994">
        <v>987</v>
      </c>
      <c r="ET994" t="s">
        <v>356</v>
      </c>
      <c r="EU994" t="s">
        <v>357</v>
      </c>
      <c r="EV994">
        <v>488</v>
      </c>
      <c r="EW994" t="str" cm="1">
        <f t="array" aca="1" ref="EW994" ca="1">INDIRECT("'5借入一覧'!"&amp;ET994&amp;EV994)&amp;INDIRECT("'5借入一覧'!"&amp;EU994&amp;EV994)</f>
        <v/>
      </c>
      <c r="EX994">
        <v>2</v>
      </c>
      <c r="FK994" t="str">
        <f t="shared" si="87"/>
        <v/>
      </c>
    </row>
    <row r="995" spans="149:167">
      <c r="ES995">
        <v>988</v>
      </c>
      <c r="ET995" t="s">
        <v>356</v>
      </c>
      <c r="EU995" t="s">
        <v>357</v>
      </c>
      <c r="EV995">
        <v>489</v>
      </c>
      <c r="EW995" t="str" cm="1">
        <f t="array" aca="1" ref="EW995" ca="1">INDIRECT("'5借入一覧'!"&amp;ET995&amp;EV995)&amp;INDIRECT("'5借入一覧'!"&amp;EU995&amp;EV995)</f>
        <v/>
      </c>
      <c r="EX995">
        <v>2</v>
      </c>
      <c r="FK995" t="str">
        <f t="shared" si="87"/>
        <v/>
      </c>
    </row>
    <row r="996" spans="149:167">
      <c r="ES996">
        <v>989</v>
      </c>
      <c r="ET996" t="s">
        <v>356</v>
      </c>
      <c r="EU996" t="s">
        <v>357</v>
      </c>
      <c r="EV996">
        <v>490</v>
      </c>
      <c r="EW996" t="str" cm="1">
        <f t="array" aca="1" ref="EW996" ca="1">INDIRECT("'5借入一覧'!"&amp;ET996&amp;EV996)&amp;INDIRECT("'5借入一覧'!"&amp;EU996&amp;EV996)</f>
        <v/>
      </c>
      <c r="EX996">
        <v>2</v>
      </c>
      <c r="FK996" t="str">
        <f t="shared" si="87"/>
        <v/>
      </c>
    </row>
    <row r="997" spans="149:167">
      <c r="ES997">
        <v>990</v>
      </c>
      <c r="ET997" t="s">
        <v>356</v>
      </c>
      <c r="EU997" t="s">
        <v>357</v>
      </c>
      <c r="EV997">
        <v>491</v>
      </c>
      <c r="EW997" t="str" cm="1">
        <f t="array" aca="1" ref="EW997" ca="1">INDIRECT("'5借入一覧'!"&amp;ET997&amp;EV997)&amp;INDIRECT("'5借入一覧'!"&amp;EU997&amp;EV997)</f>
        <v/>
      </c>
      <c r="EX997">
        <v>2</v>
      </c>
      <c r="FK997" t="str">
        <f t="shared" si="87"/>
        <v/>
      </c>
    </row>
    <row r="998" spans="149:167">
      <c r="ES998">
        <v>991</v>
      </c>
      <c r="ET998" t="s">
        <v>356</v>
      </c>
      <c r="EU998" t="s">
        <v>357</v>
      </c>
      <c r="EV998">
        <v>492</v>
      </c>
      <c r="EW998" t="str" cm="1">
        <f t="array" aca="1" ref="EW998" ca="1">INDIRECT("'5借入一覧'!"&amp;ET998&amp;EV998)&amp;INDIRECT("'5借入一覧'!"&amp;EU998&amp;EV998)</f>
        <v/>
      </c>
      <c r="EX998">
        <v>2</v>
      </c>
      <c r="FK998" t="str">
        <f t="shared" si="87"/>
        <v/>
      </c>
    </row>
    <row r="999" spans="149:167">
      <c r="ES999">
        <v>992</v>
      </c>
      <c r="ET999" t="s">
        <v>356</v>
      </c>
      <c r="EU999" t="s">
        <v>357</v>
      </c>
      <c r="EV999">
        <v>493</v>
      </c>
      <c r="EW999" t="str" cm="1">
        <f t="array" aca="1" ref="EW999" ca="1">INDIRECT("'5借入一覧'!"&amp;ET999&amp;EV999)&amp;INDIRECT("'5借入一覧'!"&amp;EU999&amp;EV999)</f>
        <v/>
      </c>
      <c r="EX999">
        <v>2</v>
      </c>
      <c r="FK999" t="str">
        <f t="shared" si="87"/>
        <v/>
      </c>
    </row>
    <row r="1000" spans="149:167">
      <c r="ES1000">
        <v>993</v>
      </c>
      <c r="ET1000" t="s">
        <v>356</v>
      </c>
      <c r="EU1000" t="s">
        <v>357</v>
      </c>
      <c r="EV1000">
        <v>494</v>
      </c>
      <c r="EW1000" t="str" cm="1">
        <f t="array" aca="1" ref="EW1000" ca="1">INDIRECT("'5借入一覧'!"&amp;ET1000&amp;EV1000)&amp;INDIRECT("'5借入一覧'!"&amp;EU1000&amp;EV1000)</f>
        <v/>
      </c>
      <c r="EX1000">
        <v>2</v>
      </c>
      <c r="FK1000" t="str">
        <f t="shared" si="87"/>
        <v/>
      </c>
    </row>
    <row r="1001" spans="149:167">
      <c r="ES1001">
        <v>994</v>
      </c>
      <c r="ET1001" t="s">
        <v>356</v>
      </c>
      <c r="EU1001" t="s">
        <v>357</v>
      </c>
      <c r="EV1001">
        <v>495</v>
      </c>
      <c r="EW1001" t="str" cm="1">
        <f t="array" aca="1" ref="EW1001" ca="1">INDIRECT("'5借入一覧'!"&amp;ET1001&amp;EV1001)&amp;INDIRECT("'5借入一覧'!"&amp;EU1001&amp;EV1001)</f>
        <v/>
      </c>
      <c r="EX1001">
        <v>2</v>
      </c>
      <c r="FK1001" t="str">
        <f t="shared" si="87"/>
        <v/>
      </c>
    </row>
    <row r="1002" spans="149:167">
      <c r="ES1002">
        <v>995</v>
      </c>
      <c r="ET1002" t="s">
        <v>356</v>
      </c>
      <c r="EU1002" t="s">
        <v>357</v>
      </c>
      <c r="EV1002">
        <v>496</v>
      </c>
      <c r="EW1002" t="str" cm="1">
        <f t="array" aca="1" ref="EW1002" ca="1">INDIRECT("'5借入一覧'!"&amp;ET1002&amp;EV1002)&amp;INDIRECT("'5借入一覧'!"&amp;EU1002&amp;EV1002)</f>
        <v/>
      </c>
      <c r="EX1002">
        <v>2</v>
      </c>
      <c r="FK1002" t="str">
        <f t="shared" si="87"/>
        <v/>
      </c>
    </row>
    <row r="1003" spans="149:167">
      <c r="ES1003">
        <v>996</v>
      </c>
      <c r="ET1003" t="s">
        <v>356</v>
      </c>
      <c r="EU1003" t="s">
        <v>357</v>
      </c>
      <c r="EV1003">
        <v>497</v>
      </c>
      <c r="EW1003" t="str" cm="1">
        <f t="array" aca="1" ref="EW1003" ca="1">INDIRECT("'5借入一覧'!"&amp;ET1003&amp;EV1003)&amp;INDIRECT("'5借入一覧'!"&amp;EU1003&amp;EV1003)</f>
        <v/>
      </c>
      <c r="EX1003">
        <v>2</v>
      </c>
      <c r="FK1003" t="str">
        <f t="shared" si="87"/>
        <v/>
      </c>
    </row>
    <row r="1004" spans="149:167">
      <c r="ES1004">
        <v>997</v>
      </c>
      <c r="ET1004" t="s">
        <v>356</v>
      </c>
      <c r="EU1004" t="s">
        <v>357</v>
      </c>
      <c r="EV1004">
        <v>498</v>
      </c>
      <c r="EW1004" t="str" cm="1">
        <f t="array" aca="1" ref="EW1004" ca="1">INDIRECT("'5借入一覧'!"&amp;ET1004&amp;EV1004)&amp;INDIRECT("'5借入一覧'!"&amp;EU1004&amp;EV1004)</f>
        <v/>
      </c>
      <c r="EX1004">
        <v>2</v>
      </c>
      <c r="FK1004" t="str">
        <f t="shared" si="87"/>
        <v/>
      </c>
    </row>
    <row r="1005" spans="149:167">
      <c r="ES1005">
        <v>998</v>
      </c>
      <c r="ET1005" t="s">
        <v>356</v>
      </c>
      <c r="EU1005" t="s">
        <v>357</v>
      </c>
      <c r="EV1005">
        <v>499</v>
      </c>
      <c r="EW1005" t="str" cm="1">
        <f t="array" aca="1" ref="EW1005" ca="1">INDIRECT("'5借入一覧'!"&amp;ET1005&amp;EV1005)&amp;INDIRECT("'5借入一覧'!"&amp;EU1005&amp;EV1005)</f>
        <v/>
      </c>
      <c r="EX1005">
        <v>2</v>
      </c>
      <c r="FK1005" t="str">
        <f t="shared" si="87"/>
        <v/>
      </c>
    </row>
    <row r="1006" spans="149:167">
      <c r="ES1006">
        <v>999</v>
      </c>
      <c r="ET1006" t="s">
        <v>356</v>
      </c>
      <c r="EU1006" t="s">
        <v>357</v>
      </c>
      <c r="EV1006">
        <v>500</v>
      </c>
      <c r="EW1006" t="str" cm="1">
        <f t="array" aca="1" ref="EW1006" ca="1">INDIRECT("'5借入一覧'!"&amp;ET1006&amp;EV1006)&amp;INDIRECT("'5借入一覧'!"&amp;EU1006&amp;EV1006)</f>
        <v/>
      </c>
      <c r="EX1006">
        <v>2</v>
      </c>
      <c r="FK1006" t="str">
        <f t="shared" si="87"/>
        <v/>
      </c>
    </row>
    <row r="1007" spans="149:167">
      <c r="ES1007">
        <v>1000</v>
      </c>
      <c r="ET1007" t="s">
        <v>356</v>
      </c>
      <c r="EU1007" t="s">
        <v>357</v>
      </c>
      <c r="EV1007">
        <v>501</v>
      </c>
      <c r="EW1007" t="str" cm="1">
        <f t="array" aca="1" ref="EW1007" ca="1">INDIRECT("'5借入一覧'!"&amp;ET1007&amp;EV1007)&amp;INDIRECT("'5借入一覧'!"&amp;EU1007&amp;EV1007)</f>
        <v/>
      </c>
      <c r="EX1007">
        <v>2</v>
      </c>
      <c r="FK1007" t="str">
        <f t="shared" si="87"/>
        <v/>
      </c>
    </row>
  </sheetData>
  <phoneticPr fontId="5"/>
  <pageMargins left="0.7" right="0.7" top="0.75" bottom="0.75" header="0.3" footer="0.3"/>
  <pageSetup paperSize="9" orientation="portrait" horizontalDpi="1200" verticalDpi="1200" r:id="rId18"/>
</worksheet>
</file>

<file path=xl/worksheets/sheet3.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5557602D-8CA4-4C5E-AB99-354633C807FC}">
  <dimension ref="A1:S286"/>
  <sheetViews>
    <sheetView zoomScaleNormal="100" workbookViewId="0"/>
  </sheetViews>
  <sheetFormatPr defaultRowHeight="13.5"/>
  <cols>
    <col min="1" max="1" width="5.25" style="23" customWidth="1"/>
    <col min="2" max="2" width="29.875" style="23" customWidth="1"/>
    <col min="3" max="4" width="13" style="23" customWidth="1"/>
    <col min="5" max="5" width="6.25" style="23" bestFit="1" customWidth="1"/>
    <col min="6" max="6" width="7.5" style="23" customWidth="1"/>
    <col min="7" max="7" width="4.5" style="5" bestFit="1" customWidth="1"/>
    <col min="8" max="8" width="10" customWidth="1"/>
    <col min="9" max="9" width="22.875" customWidth="1"/>
    <col min="10" max="10" width="18.5" style="3" customWidth="1"/>
    <col min="12" max="12" width="23" style="23" customWidth="1"/>
    <col min="13" max="13" width="6.625" style="23" customWidth="1"/>
    <col min="14" max="14" width="4.5" style="342" bestFit="1" customWidth="1"/>
    <col min="15" max="15" width="17.5" style="23" customWidth="1"/>
    <col min="16" max="16" width="15.125" style="23" customWidth="1"/>
    <col min="17" max="17" width="17.375" style="64" customWidth="1"/>
    <col min="18" max="18" width="13.875" style="343" bestFit="1" customWidth="1"/>
  </cols>
  <sheetData>
    <row r="1" spans="1:18">
      <c r="A1" s="344" t="s">
        <v>358</v>
      </c>
      <c r="D1" s="345" t="s">
        <v>359</v>
      </c>
      <c r="E1" s="345"/>
      <c r="G1" s="147" t="s">
        <v>360</v>
      </c>
      <c r="L1" s="332" t="s">
        <v>359</v>
      </c>
      <c r="N1" s="336" t="s">
        <v>361</v>
      </c>
      <c r="R1" s="337" t="str">
        <f>IF(SUM(R3:R296)&lt;&gt;0,"■エラーあり","")</f>
        <v>■エラーあり</v>
      </c>
    </row>
    <row r="2" spans="1:18">
      <c r="A2" s="331" t="s">
        <v>362</v>
      </c>
      <c r="B2" s="331" t="s">
        <v>363</v>
      </c>
      <c r="C2" s="331" t="s">
        <v>364</v>
      </c>
      <c r="D2" s="331" t="s">
        <v>365</v>
      </c>
      <c r="E2" s="331" t="s">
        <v>366</v>
      </c>
      <c r="G2" s="148" t="s">
        <v>362</v>
      </c>
      <c r="H2" s="2" t="s">
        <v>130</v>
      </c>
      <c r="I2" s="1" t="s">
        <v>131</v>
      </c>
      <c r="J2" s="137" t="s">
        <v>367</v>
      </c>
      <c r="K2" s="1" t="s">
        <v>368</v>
      </c>
      <c r="L2" s="331" t="s">
        <v>369</v>
      </c>
      <c r="N2" s="338" t="s">
        <v>362</v>
      </c>
      <c r="O2" s="339" t="s">
        <v>130</v>
      </c>
      <c r="P2" s="331" t="s">
        <v>131</v>
      </c>
      <c r="Q2" s="340" t="s">
        <v>370</v>
      </c>
      <c r="R2" s="341" t="s">
        <v>371</v>
      </c>
    </row>
    <row r="3" spans="1:18" ht="13.5" customHeight="1">
      <c r="A3" s="23">
        <v>101</v>
      </c>
      <c r="B3" s="597" t="s">
        <v>372</v>
      </c>
      <c r="C3" s="23" t="s">
        <v>373</v>
      </c>
      <c r="G3" s="149">
        <v>1</v>
      </c>
      <c r="H3" t="s">
        <v>374</v>
      </c>
      <c r="I3" t="s">
        <v>375</v>
      </c>
      <c r="J3" s="3" t="s">
        <v>376</v>
      </c>
      <c r="K3" t="s">
        <v>377</v>
      </c>
      <c r="L3" s="598">
        <f ca="1">YEAR(NOW())</f>
        <v>2023</v>
      </c>
      <c r="N3" s="342">
        <v>1</v>
      </c>
      <c r="O3" s="23" t="s">
        <v>378</v>
      </c>
      <c r="P3" s="23" t="s">
        <v>379</v>
      </c>
      <c r="Q3" s="64">
        <f>'2法人連結'!C21</f>
        <v>7577667250</v>
      </c>
      <c r="R3" s="23">
        <f>Q3-Q5</f>
        <v>0</v>
      </c>
    </row>
    <row r="4" spans="1:18" ht="13.5" customHeight="1">
      <c r="A4" s="23">
        <v>102</v>
      </c>
      <c r="B4" s="597" t="s">
        <v>380</v>
      </c>
      <c r="C4" s="23" t="s">
        <v>373</v>
      </c>
      <c r="G4" s="149">
        <v>2</v>
      </c>
      <c r="H4" t="s">
        <v>374</v>
      </c>
      <c r="I4" t="s">
        <v>381</v>
      </c>
      <c r="J4" s="3" t="s">
        <v>382</v>
      </c>
      <c r="K4" t="s">
        <v>383</v>
      </c>
      <c r="L4" s="598">
        <v>2021</v>
      </c>
      <c r="N4" s="342">
        <v>2</v>
      </c>
      <c r="O4" s="23" t="s">
        <v>378</v>
      </c>
      <c r="P4" s="23" t="s">
        <v>384</v>
      </c>
      <c r="Q4" s="64">
        <f>'2法人連結'!E21</f>
        <v>3063467948</v>
      </c>
      <c r="R4" s="23">
        <f>Q3+Q6-Q4</f>
        <v>0</v>
      </c>
    </row>
    <row r="5" spans="1:18" ht="13.5" customHeight="1">
      <c r="A5" s="23">
        <v>103</v>
      </c>
      <c r="B5" s="597" t="s">
        <v>385</v>
      </c>
      <c r="C5" s="23" t="s">
        <v>373</v>
      </c>
      <c r="G5" s="149">
        <v>3</v>
      </c>
      <c r="H5" t="s">
        <v>386</v>
      </c>
      <c r="I5" t="s">
        <v>387</v>
      </c>
      <c r="J5" s="3" t="s">
        <v>388</v>
      </c>
      <c r="K5" t="s">
        <v>389</v>
      </c>
      <c r="L5" s="599">
        <v>44870</v>
      </c>
      <c r="N5" s="342">
        <v>3</v>
      </c>
      <c r="O5" s="23" t="s">
        <v>378</v>
      </c>
      <c r="P5" s="23" t="s">
        <v>390</v>
      </c>
      <c r="Q5" s="64">
        <f>'2法人連結'!E21-'2法人連結'!E16</f>
        <v>7577667250</v>
      </c>
      <c r="R5" s="23">
        <f>Q5-Q3</f>
        <v>0</v>
      </c>
    </row>
    <row r="6" spans="1:18" ht="13.5" customHeight="1">
      <c r="A6" s="23">
        <v>104</v>
      </c>
      <c r="B6" s="597" t="s">
        <v>391</v>
      </c>
      <c r="C6" s="23" t="s">
        <v>373</v>
      </c>
      <c r="G6" s="149">
        <v>4</v>
      </c>
      <c r="H6" t="s">
        <v>392</v>
      </c>
      <c r="I6" t="s">
        <v>393</v>
      </c>
      <c r="J6" s="3" t="s">
        <v>394</v>
      </c>
      <c r="K6" t="s">
        <v>389</v>
      </c>
      <c r="L6" s="599">
        <v>44870</v>
      </c>
      <c r="N6" s="342">
        <v>4</v>
      </c>
      <c r="O6" s="23" t="s">
        <v>378</v>
      </c>
      <c r="P6" s="23" t="s">
        <v>395</v>
      </c>
      <c r="Q6" s="64">
        <f>'2法人連結'!E16</f>
        <v>-4514199302</v>
      </c>
      <c r="R6" s="23">
        <f>Q3-Q4+Q6</f>
        <v>0</v>
      </c>
    </row>
    <row r="7" spans="1:18" ht="13.5" customHeight="1">
      <c r="A7" s="23">
        <v>105</v>
      </c>
      <c r="B7" s="597" t="s">
        <v>396</v>
      </c>
      <c r="C7" s="23" t="s">
        <v>373</v>
      </c>
      <c r="G7" s="149">
        <v>5</v>
      </c>
      <c r="H7" t="s">
        <v>392</v>
      </c>
      <c r="I7" t="s">
        <v>397</v>
      </c>
      <c r="J7" s="3" t="s">
        <v>398</v>
      </c>
      <c r="K7" t="s">
        <v>399</v>
      </c>
      <c r="L7" s="598" t="s">
        <v>400</v>
      </c>
      <c r="N7" s="342">
        <v>5</v>
      </c>
      <c r="O7" s="23" t="s">
        <v>401</v>
      </c>
      <c r="P7" s="23" t="s">
        <v>402</v>
      </c>
      <c r="Q7" s="64">
        <f>GETPIVOTDATA("25.残債",'4借入集計'!$A$5)</f>
        <v>4439492417</v>
      </c>
      <c r="R7" s="23">
        <f>Q7-Q8</f>
        <v>0</v>
      </c>
    </row>
    <row r="8" spans="1:18" ht="13.5" customHeight="1">
      <c r="A8" s="23">
        <v>106</v>
      </c>
      <c r="B8" s="597" t="s">
        <v>403</v>
      </c>
      <c r="C8" s="23" t="s">
        <v>373</v>
      </c>
      <c r="G8" s="149">
        <v>6</v>
      </c>
      <c r="H8" t="s">
        <v>392</v>
      </c>
      <c r="I8" t="s">
        <v>404</v>
      </c>
      <c r="J8" s="3" t="s">
        <v>398</v>
      </c>
      <c r="K8" t="s">
        <v>399</v>
      </c>
      <c r="L8" s="598" t="s">
        <v>400</v>
      </c>
      <c r="N8" s="342">
        <v>6</v>
      </c>
      <c r="O8" s="23" t="s">
        <v>401</v>
      </c>
      <c r="P8" s="23" t="s">
        <v>405</v>
      </c>
      <c r="Q8" s="64">
        <f>GETPIVOTDATA("25.残債",'4借入集計'!$A$23)</f>
        <v>4439492417</v>
      </c>
      <c r="R8" s="23">
        <f>Q8-Q9</f>
        <v>0</v>
      </c>
    </row>
    <row r="9" spans="1:18" ht="13.5" customHeight="1">
      <c r="A9" s="23">
        <v>107</v>
      </c>
      <c r="B9" s="597" t="s">
        <v>406</v>
      </c>
      <c r="C9" s="23" t="s">
        <v>373</v>
      </c>
      <c r="G9" s="149">
        <v>7</v>
      </c>
      <c r="H9" t="s">
        <v>149</v>
      </c>
      <c r="I9" t="s">
        <v>407</v>
      </c>
      <c r="J9" s="3" t="s">
        <v>382</v>
      </c>
      <c r="K9" t="s">
        <v>389</v>
      </c>
      <c r="L9" s="599">
        <v>44870</v>
      </c>
      <c r="N9" s="342">
        <v>7</v>
      </c>
      <c r="O9" s="23" t="s">
        <v>401</v>
      </c>
      <c r="P9" s="23" t="s">
        <v>408</v>
      </c>
      <c r="Q9" s="64">
        <f>GETPIVOTDATA("残債",'4借入集計'!$A$59)</f>
        <v>4439492417</v>
      </c>
      <c r="R9" s="23">
        <f>Q9-Q7</f>
        <v>0</v>
      </c>
    </row>
    <row r="10" spans="1:18" ht="13.5" customHeight="1">
      <c r="A10" s="23">
        <v>109</v>
      </c>
      <c r="B10" s="597" t="s">
        <v>409</v>
      </c>
      <c r="C10" s="23" t="s">
        <v>373</v>
      </c>
      <c r="G10" s="149">
        <v>8</v>
      </c>
      <c r="H10" t="s">
        <v>410</v>
      </c>
      <c r="I10" t="s">
        <v>407</v>
      </c>
      <c r="J10" s="3" t="s">
        <v>382</v>
      </c>
      <c r="K10" t="s">
        <v>389</v>
      </c>
      <c r="L10" s="599">
        <v>44870</v>
      </c>
      <c r="N10" s="342">
        <v>8</v>
      </c>
      <c r="O10" s="23" t="s">
        <v>411</v>
      </c>
      <c r="P10" s="23" t="s">
        <v>412</v>
      </c>
      <c r="Q10" s="64">
        <f>SUMIF('9賃料一覧'!$AD:$AD,1,'9賃料一覧'!$Q:$Q)</f>
        <v>35943978</v>
      </c>
      <c r="R10" s="23">
        <f>Q10-Q12</f>
        <v>0</v>
      </c>
    </row>
    <row r="11" spans="1:18" ht="13.5" customHeight="1">
      <c r="A11" s="23">
        <v>110</v>
      </c>
      <c r="B11" s="597" t="s">
        <v>413</v>
      </c>
      <c r="C11" s="23" t="s">
        <v>373</v>
      </c>
      <c r="D11" s="23" t="s">
        <v>414</v>
      </c>
      <c r="G11" s="149">
        <v>9</v>
      </c>
      <c r="H11" t="s">
        <v>415</v>
      </c>
      <c r="I11" t="s">
        <v>407</v>
      </c>
      <c r="J11" s="3" t="s">
        <v>382</v>
      </c>
      <c r="K11" t="s">
        <v>389</v>
      </c>
      <c r="L11" s="599">
        <v>44561</v>
      </c>
      <c r="N11" s="342">
        <v>9</v>
      </c>
      <c r="O11" s="23" t="s">
        <v>411</v>
      </c>
      <c r="P11" s="23" t="s">
        <v>416</v>
      </c>
      <c r="Q11" s="64">
        <f>SUMIF('9賃料一覧'!$AD:$AD,0,'9賃料一覧'!$Q:$Q)</f>
        <v>1003500</v>
      </c>
      <c r="R11" s="23"/>
    </row>
    <row r="12" spans="1:18" ht="13.5" customHeight="1">
      <c r="A12" s="23">
        <v>111</v>
      </c>
      <c r="B12" s="597" t="s">
        <v>417</v>
      </c>
      <c r="C12" s="23" t="s">
        <v>373</v>
      </c>
      <c r="G12" s="149">
        <v>10</v>
      </c>
      <c r="H12" t="s">
        <v>415</v>
      </c>
      <c r="I12" t="s">
        <v>418</v>
      </c>
      <c r="J12" s="3" t="s">
        <v>382</v>
      </c>
      <c r="K12" t="s">
        <v>399</v>
      </c>
      <c r="L12" s="598">
        <v>2022</v>
      </c>
      <c r="N12" s="342">
        <v>10</v>
      </c>
      <c r="O12" s="23" t="s">
        <v>153</v>
      </c>
      <c r="P12" s="23" t="s">
        <v>419</v>
      </c>
      <c r="Q12" s="64">
        <f>'8賃料集計'!L25</f>
        <v>35943978</v>
      </c>
      <c r="R12" s="23"/>
    </row>
    <row r="13" spans="1:18" ht="13.5" customHeight="1">
      <c r="A13" s="23">
        <v>112</v>
      </c>
      <c r="B13" s="597" t="s">
        <v>420</v>
      </c>
      <c r="C13" s="23" t="s">
        <v>373</v>
      </c>
      <c r="G13" s="149">
        <v>11</v>
      </c>
      <c r="H13" t="s">
        <v>153</v>
      </c>
      <c r="I13" t="s">
        <v>407</v>
      </c>
      <c r="J13" s="3" t="s">
        <v>382</v>
      </c>
      <c r="K13" t="s">
        <v>389</v>
      </c>
      <c r="L13" s="599">
        <v>44870</v>
      </c>
      <c r="N13" s="342">
        <v>11</v>
      </c>
      <c r="O13" s="23" t="s">
        <v>421</v>
      </c>
      <c r="P13" s="23" t="s">
        <v>422</v>
      </c>
      <c r="Q13" s="64">
        <f>GETPIVOTDATA("17.満室想定税込(自動)",pivot!$AR$9)</f>
        <v>35943978</v>
      </c>
      <c r="R13" s="23"/>
    </row>
    <row r="14" spans="1:18" ht="13.5" customHeight="1">
      <c r="A14" s="23">
        <v>113</v>
      </c>
      <c r="B14" s="597" t="s">
        <v>423</v>
      </c>
      <c r="C14" s="23" t="s">
        <v>373</v>
      </c>
      <c r="G14" s="149">
        <v>12</v>
      </c>
      <c r="H14" t="s">
        <v>151</v>
      </c>
      <c r="I14" t="s">
        <v>407</v>
      </c>
      <c r="J14" s="3" t="s">
        <v>382</v>
      </c>
      <c r="K14" t="s">
        <v>389</v>
      </c>
      <c r="L14" s="599">
        <v>44561</v>
      </c>
      <c r="N14" s="342">
        <v>12</v>
      </c>
      <c r="O14" s="23" t="s">
        <v>421</v>
      </c>
      <c r="P14" s="23" t="s">
        <v>424</v>
      </c>
      <c r="Q14" s="64">
        <f>IFERROR(GETPIVOTDATA("17.満室想定税込(自動)",pivot!$AR$9,"19.賃貸用","yes"),0)</f>
        <v>35648978</v>
      </c>
      <c r="R14" s="23"/>
    </row>
    <row r="15" spans="1:18" ht="13.5" customHeight="1">
      <c r="A15" s="23">
        <v>114</v>
      </c>
      <c r="B15" s="597" t="s">
        <v>425</v>
      </c>
      <c r="C15" s="23" t="s">
        <v>373</v>
      </c>
      <c r="G15" s="149">
        <v>13</v>
      </c>
      <c r="H15" t="s">
        <v>156</v>
      </c>
      <c r="I15" t="s">
        <v>426</v>
      </c>
      <c r="J15" s="3" t="s">
        <v>382</v>
      </c>
      <c r="K15" t="s">
        <v>399</v>
      </c>
      <c r="L15" s="599" t="s">
        <v>427</v>
      </c>
      <c r="N15" s="342">
        <v>13</v>
      </c>
      <c r="O15" s="23" t="s">
        <v>421</v>
      </c>
      <c r="P15" s="23" t="s">
        <v>428</v>
      </c>
      <c r="Q15" s="64">
        <f>IFERROR(GETPIVOTDATA("17.満室想定税込(自動)",pivot!$AR$9,"19.賃貸用","no"),0)</f>
        <v>295000</v>
      </c>
      <c r="R15" s="23">
        <f>Q12-Q14-Q15</f>
        <v>0</v>
      </c>
    </row>
    <row r="16" spans="1:18" ht="13.5" customHeight="1">
      <c r="A16" s="23">
        <v>115</v>
      </c>
      <c r="B16" s="597" t="s">
        <v>429</v>
      </c>
      <c r="C16" s="23" t="s">
        <v>373</v>
      </c>
      <c r="N16" s="342">
        <v>14</v>
      </c>
      <c r="O16" s="23" t="s">
        <v>430</v>
      </c>
      <c r="P16" s="23" t="s">
        <v>431</v>
      </c>
      <c r="Q16" s="64">
        <f>asset!E36</f>
        <v>4417003271</v>
      </c>
      <c r="R16" s="23"/>
    </row>
    <row r="17" spans="1:18" ht="13.5" customHeight="1">
      <c r="A17" s="23">
        <v>116</v>
      </c>
      <c r="B17" s="597" t="s">
        <v>432</v>
      </c>
      <c r="C17" s="23" t="s">
        <v>373</v>
      </c>
      <c r="G17" s="147" t="s">
        <v>433</v>
      </c>
      <c r="N17" s="342">
        <v>15</v>
      </c>
      <c r="O17" s="23" t="s">
        <v>430</v>
      </c>
      <c r="P17" s="23" t="s">
        <v>434</v>
      </c>
      <c r="Q17" s="64">
        <f>asset!E37</f>
        <v>5011481</v>
      </c>
      <c r="R17" s="23"/>
    </row>
    <row r="18" spans="1:18" ht="13.5" customHeight="1">
      <c r="A18" s="23">
        <v>117</v>
      </c>
      <c r="B18" s="597" t="s">
        <v>435</v>
      </c>
      <c r="C18" s="23" t="s">
        <v>373</v>
      </c>
      <c r="G18" s="148" t="s">
        <v>362</v>
      </c>
      <c r="H18" s="2" t="s">
        <v>130</v>
      </c>
      <c r="I18" s="1" t="s">
        <v>131</v>
      </c>
      <c r="J18" s="137" t="s">
        <v>367</v>
      </c>
      <c r="K18" s="1" t="s">
        <v>368</v>
      </c>
      <c r="L18" s="331" t="s">
        <v>369</v>
      </c>
      <c r="N18" s="342">
        <v>16</v>
      </c>
      <c r="O18" s="23" t="s">
        <v>430</v>
      </c>
      <c r="P18" s="23" t="s">
        <v>436</v>
      </c>
      <c r="Q18" s="64">
        <f>asset!E38</f>
        <v>12786755</v>
      </c>
      <c r="R18" s="23"/>
    </row>
    <row r="19" spans="1:18" ht="13.5" customHeight="1">
      <c r="A19" s="23">
        <v>118</v>
      </c>
      <c r="B19" s="597" t="s">
        <v>437</v>
      </c>
      <c r="C19" s="23" t="s">
        <v>373</v>
      </c>
      <c r="D19" s="23" t="s">
        <v>414</v>
      </c>
      <c r="G19" s="149">
        <v>21</v>
      </c>
      <c r="H19" t="s">
        <v>438</v>
      </c>
      <c r="I19" t="s">
        <v>439</v>
      </c>
      <c r="J19" s="3" t="s">
        <v>440</v>
      </c>
      <c r="K19" t="s">
        <v>441</v>
      </c>
      <c r="L19" s="600">
        <v>0.3</v>
      </c>
      <c r="N19" s="342">
        <v>17</v>
      </c>
      <c r="O19" s="23" t="s">
        <v>430</v>
      </c>
      <c r="P19" s="23" t="s">
        <v>442</v>
      </c>
      <c r="Q19" s="64">
        <f>asset!E39</f>
        <v>17798236</v>
      </c>
      <c r="R19" s="23"/>
    </row>
    <row r="20" spans="1:18" ht="13.5" customHeight="1">
      <c r="A20" s="23">
        <v>120</v>
      </c>
      <c r="B20" s="597" t="s">
        <v>443</v>
      </c>
      <c r="C20" s="23" t="s">
        <v>373</v>
      </c>
      <c r="G20" s="149">
        <v>22</v>
      </c>
      <c r="H20" t="s">
        <v>392</v>
      </c>
      <c r="I20" t="s">
        <v>444</v>
      </c>
      <c r="J20" s="3" t="s">
        <v>445</v>
      </c>
      <c r="K20" t="s">
        <v>441</v>
      </c>
      <c r="L20" s="600">
        <v>0.35</v>
      </c>
      <c r="N20" s="342">
        <v>18</v>
      </c>
      <c r="O20" s="23" t="s">
        <v>410</v>
      </c>
      <c r="P20" s="23" t="s">
        <v>446</v>
      </c>
      <c r="Q20" s="64">
        <f>GETPIVOTDATA("25.残債",'4借入集計'!$A$5)</f>
        <v>4439492417</v>
      </c>
      <c r="R20" s="23"/>
    </row>
    <row r="21" spans="1:18" ht="13.5" customHeight="1">
      <c r="A21" s="23">
        <v>121</v>
      </c>
      <c r="B21" s="597" t="s">
        <v>447</v>
      </c>
      <c r="C21" s="23" t="s">
        <v>373</v>
      </c>
      <c r="D21" s="23" t="s">
        <v>448</v>
      </c>
      <c r="G21" s="149">
        <v>23</v>
      </c>
      <c r="H21" t="s">
        <v>149</v>
      </c>
      <c r="I21" t="s">
        <v>449</v>
      </c>
      <c r="J21" s="3" t="s">
        <v>440</v>
      </c>
      <c r="K21" t="s">
        <v>441</v>
      </c>
      <c r="L21" s="600">
        <v>0.37</v>
      </c>
      <c r="N21" s="342">
        <v>19</v>
      </c>
      <c r="O21" s="23" t="s">
        <v>410</v>
      </c>
      <c r="P21" s="23" t="s">
        <v>450</v>
      </c>
      <c r="Q21" s="64">
        <f>SUMIF('5借入一覧'!$J:$J,621,'5借入一覧'!$Y:$Y)</f>
        <v>22489146</v>
      </c>
      <c r="R21" s="23"/>
    </row>
    <row r="22" spans="1:18" ht="13.5" customHeight="1">
      <c r="A22" s="23">
        <v>122</v>
      </c>
      <c r="B22" s="597" t="s">
        <v>451</v>
      </c>
      <c r="C22" s="23" t="s">
        <v>373</v>
      </c>
      <c r="D22" s="23" t="s">
        <v>448</v>
      </c>
      <c r="G22" s="149"/>
      <c r="N22" s="342">
        <v>20</v>
      </c>
      <c r="O22" s="23" t="s">
        <v>410</v>
      </c>
      <c r="P22" s="23" t="s">
        <v>452</v>
      </c>
      <c r="Q22" s="64">
        <f>SUMIF('5借入一覧'!$J:$J,622,'5借入一覧'!$Y:$Y)</f>
        <v>0</v>
      </c>
      <c r="R22" s="23"/>
    </row>
    <row r="23" spans="1:18" ht="13.5" customHeight="1">
      <c r="A23" s="23">
        <v>123</v>
      </c>
      <c r="B23" s="597" t="inlineStr">
        <is>
          <t>アーバンキューブ</t>
        </is>
      </c>
      <c r="C23" s="23" t="s">
        <v>373</v>
      </c>
      <c r="D23" t="inlineStr">
        <is>
          <t>高松二丁目・一括購入</t>
        </is>
      </c>
      <c r="G23" s="147" t="s">
        <v>454</v>
      </c>
      <c r="N23" s="342">
        <v>21</v>
      </c>
      <c r="O23" s="23" t="s">
        <v>410</v>
      </c>
      <c r="P23" s="23" t="s">
        <v>455</v>
      </c>
      <c r="Q23" s="64">
        <f>Q20-Q21-Q22</f>
        <v>4417003271</v>
      </c>
      <c r="R23" s="23">
        <f>Q23-Q16</f>
        <v>0</v>
      </c>
    </row>
    <row r="24" spans="1:18" ht="13.5" customHeight="1">
      <c r="A24" s="23">
        <v>124</v>
      </c>
      <c r="B24" s="597" t="inlineStr">
        <is>
          <t>花みずき貸家</t>
        </is>
      </c>
      <c r="C24" s="23" t="s">
        <v>373</v>
      </c>
      <c r="D24" t="inlineStr">
        <is>
          <t>高松二丁目・一括購入(3棟)</t>
        </is>
      </c>
      <c r="G24" s="148" t="s">
        <v>362</v>
      </c>
      <c r="H24" s="2" t="s">
        <v>130</v>
      </c>
      <c r="I24" s="1" t="s">
        <v>131</v>
      </c>
      <c r="J24" s="137" t="s">
        <v>367</v>
      </c>
      <c r="K24" s="1" t="s">
        <v>368</v>
      </c>
      <c r="L24" s="331" t="s">
        <v>369</v>
      </c>
      <c r="N24" s="342">
        <v>22</v>
      </c>
      <c r="O24" s="23" t="s">
        <v>410</v>
      </c>
      <c r="P24" s="23" t="s">
        <v>457</v>
      </c>
      <c r="Q24" s="64">
        <f>GETPIVOTDATA("利息月額",'4借入集計'!$A$59)</f>
        <v>5043759</v>
      </c>
      <c r="R24" s="23"/>
    </row>
    <row r="25" spans="1:18" ht="13.5" customHeight="1">
      <c r="A25" s="23">
        <v>125</v>
      </c>
      <c r="B25" s="597" t="s">
        <v>458</v>
      </c>
      <c r="C25" s="23" t="s">
        <v>373</v>
      </c>
      <c r="G25" s="149">
        <v>31</v>
      </c>
      <c r="H25" t="s">
        <v>392</v>
      </c>
      <c r="I25" t="s">
        <v>459</v>
      </c>
      <c r="J25" s="3" t="s">
        <v>460</v>
      </c>
      <c r="K25" t="s">
        <v>461</v>
      </c>
      <c r="L25" s="601">
        <v>10000000</v>
      </c>
      <c r="N25" s="342">
        <v>23</v>
      </c>
      <c r="O25" s="23" t="s">
        <v>410</v>
      </c>
      <c r="P25" s="23" t="s">
        <v>450</v>
      </c>
      <c r="Q25" s="64">
        <f>SUMIF('5借入一覧'!$J:$J,621,'5借入一覧'!$W:$W)</f>
        <v>32278</v>
      </c>
      <c r="R25" s="23"/>
    </row>
    <row r="26" spans="1:18" ht="13.5" customHeight="1">
      <c r="A26" s="23">
        <v>126</v>
      </c>
      <c r="B26" s="597" t="s">
        <v>462</v>
      </c>
      <c r="C26" s="23" t="s">
        <v>373</v>
      </c>
      <c r="G26" s="149">
        <v>32</v>
      </c>
      <c r="H26" t="s">
        <v>392</v>
      </c>
      <c r="I26" t="s">
        <v>463</v>
      </c>
      <c r="J26" s="3" t="s">
        <v>464</v>
      </c>
      <c r="K26" t="s">
        <v>461</v>
      </c>
      <c r="L26" s="601">
        <v>30000000</v>
      </c>
      <c r="N26" s="342">
        <v>24</v>
      </c>
      <c r="O26" s="23" t="s">
        <v>410</v>
      </c>
      <c r="P26" s="23" t="s">
        <v>452</v>
      </c>
      <c r="Q26" s="64">
        <f>SUMIF('5借入一覧'!$J:$J,622,'5借入一覧'!$W:$W)</f>
        <v>0</v>
      </c>
      <c r="R26" s="23"/>
    </row>
    <row r="27" spans="1:18" ht="13.5" customHeight="1">
      <c r="A27" s="23">
        <v>127</v>
      </c>
      <c r="B27" s="597" t="s">
        <v>465</v>
      </c>
      <c r="C27" s="23" t="s">
        <v>373</v>
      </c>
      <c r="G27" s="149">
        <v>33</v>
      </c>
      <c r="H27" t="s">
        <v>392</v>
      </c>
      <c r="I27" t="s">
        <v>466</v>
      </c>
      <c r="J27" s="3" t="s">
        <v>467</v>
      </c>
      <c r="K27" t="s">
        <v>461</v>
      </c>
      <c r="L27" s="601">
        <v>15000000</v>
      </c>
      <c r="N27" s="342">
        <v>25</v>
      </c>
      <c r="O27" s="23" t="s">
        <v>410</v>
      </c>
      <c r="P27" s="23" t="s">
        <v>455</v>
      </c>
      <c r="Q27" s="64">
        <f>Q24-Q25-Q26</f>
        <v>5011481</v>
      </c>
      <c r="R27" s="23">
        <f>Q27-Q17</f>
        <v>0</v>
      </c>
    </row>
    <row r="28" spans="1:18" ht="13.5" customHeight="1">
      <c r="A28" s="23">
        <v>128</v>
      </c>
      <c r="B28" s="597" t="s">
        <v>468</v>
      </c>
      <c r="C28" s="23" t="s">
        <v>373</v>
      </c>
      <c r="G28" s="149">
        <v>34</v>
      </c>
      <c r="H28" t="s">
        <v>392</v>
      </c>
      <c r="I28" t="s">
        <v>469</v>
      </c>
      <c r="J28" s="3" t="s">
        <v>470</v>
      </c>
      <c r="K28" t="s">
        <v>461</v>
      </c>
      <c r="L28" s="601">
        <v>5000000</v>
      </c>
      <c r="N28" s="342">
        <v>26</v>
      </c>
      <c r="O28" s="23" t="s">
        <v>410</v>
      </c>
      <c r="P28" s="23" t="s">
        <v>471</v>
      </c>
      <c r="Q28" s="64">
        <f>GETPIVOTDATA("合計 / 22.元金返済月額",pivot!$EG$4)</f>
        <v>12955677</v>
      </c>
      <c r="R28" s="23"/>
    </row>
    <row r="29" spans="1:18" ht="13.5" customHeight="1">
      <c r="A29" s="23">
        <v>129</v>
      </c>
      <c r="B29" s="597" t="s">
        <v>472</v>
      </c>
      <c r="C29" s="23" t="s">
        <v>373</v>
      </c>
      <c r="G29" s="149">
        <v>35</v>
      </c>
      <c r="H29" t="s">
        <v>392</v>
      </c>
      <c r="I29" t="s">
        <v>473</v>
      </c>
      <c r="J29" s="3" t="s">
        <v>474</v>
      </c>
      <c r="K29" t="s">
        <v>461</v>
      </c>
      <c r="L29" s="601">
        <v>3000000</v>
      </c>
      <c r="N29" s="342">
        <v>27</v>
      </c>
      <c r="O29" s="23" t="s">
        <v>410</v>
      </c>
      <c r="P29" s="23" t="s">
        <v>450</v>
      </c>
      <c r="Q29" s="64">
        <f>SUMIF('5借入一覧'!$J:$J,621,'5借入一覧'!$V:$V)</f>
        <v>168922</v>
      </c>
      <c r="R29" s="23"/>
    </row>
    <row r="30" spans="1:18" ht="13.5" customHeight="1">
      <c r="A30" s="23">
        <v>130</v>
      </c>
      <c r="B30" s="597" t="s">
        <v>475</v>
      </c>
      <c r="C30" s="23" t="s">
        <v>373</v>
      </c>
      <c r="G30" s="149">
        <v>36</v>
      </c>
      <c r="H30" t="s">
        <v>392</v>
      </c>
      <c r="I30" t="s">
        <v>476</v>
      </c>
      <c r="J30" s="3" t="s">
        <v>477</v>
      </c>
      <c r="K30" t="s">
        <v>461</v>
      </c>
      <c r="L30" s="601">
        <v>3000000</v>
      </c>
      <c r="N30" s="342">
        <v>28</v>
      </c>
      <c r="O30" s="23" t="s">
        <v>410</v>
      </c>
      <c r="P30" s="23" t="s">
        <v>452</v>
      </c>
      <c r="Q30" s="64">
        <f>SUMIF('5借入一覧'!$J:$J,622,'5借入一覧'!$V:$V)</f>
        <v>0</v>
      </c>
      <c r="R30" s="23"/>
    </row>
    <row r="31" spans="1:18" ht="13.5" customHeight="1">
      <c r="A31" s="23">
        <v>131</v>
      </c>
      <c r="B31" s="597" t="s">
        <v>478</v>
      </c>
      <c r="C31" s="23" t="s">
        <v>373</v>
      </c>
      <c r="N31" s="342">
        <v>29</v>
      </c>
      <c r="O31" s="23" t="s">
        <v>410</v>
      </c>
      <c r="P31" s="23" t="s">
        <v>455</v>
      </c>
      <c r="Q31" s="64">
        <f>Q28-Q29-Q30</f>
        <v>12786755</v>
      </c>
      <c r="R31" s="23">
        <f>Q31-Q18</f>
        <v>0</v>
      </c>
    </row>
    <row r="32" spans="1:18" ht="13.5" customHeight="1">
      <c r="A32" s="23">
        <v>132</v>
      </c>
      <c r="B32" s="597" t="s">
        <v>479</v>
      </c>
      <c r="C32" s="23" t="s">
        <v>373</v>
      </c>
      <c r="N32" s="342">
        <v>30</v>
      </c>
      <c r="O32" s="23" t="s">
        <v>153</v>
      </c>
      <c r="P32" s="23" t="s">
        <v>480</v>
      </c>
      <c r="Q32" s="346">
        <f>'8賃料集計'!F78</f>
        <v>0.99042037053628862</v>
      </c>
      <c r="R32" s="23"/>
    </row>
    <row r="33" spans="1:19" ht="13.5" customHeight="1">
      <c r="A33" s="23">
        <v>133</v>
      </c>
      <c r="B33" s="597" t="s">
        <v>481</v>
      </c>
      <c r="C33" s="23" t="s">
        <v>373</v>
      </c>
      <c r="G33" s="155" t="s">
        <v>482</v>
      </c>
      <c r="H33" s="156"/>
      <c r="I33" s="156"/>
      <c r="J33" s="157"/>
      <c r="K33" s="156"/>
      <c r="L33" s="333"/>
      <c r="N33" s="342">
        <v>31</v>
      </c>
      <c r="O33" s="23" t="s">
        <v>153</v>
      </c>
      <c r="P33" s="23" t="s">
        <v>483</v>
      </c>
      <c r="Q33" s="346">
        <f>'8賃料集計'!F92</f>
        <v>0.99042037053628862</v>
      </c>
      <c r="R33" s="23">
        <f>Q32-Q33</f>
        <v>0</v>
      </c>
    </row>
    <row r="34" spans="1:19" ht="13.5" customHeight="1">
      <c r="A34" s="23">
        <v>134</v>
      </c>
      <c r="B34" s="597" t="s">
        <v>484</v>
      </c>
      <c r="C34" s="23" t="s">
        <v>373</v>
      </c>
      <c r="G34" s="150" t="s">
        <v>485</v>
      </c>
      <c r="L34" s="334"/>
      <c r="N34" s="342">
        <v>32</v>
      </c>
      <c r="O34" s="23" t="s">
        <v>153</v>
      </c>
      <c r="P34" s="23" t="s">
        <v>486</v>
      </c>
      <c r="Q34" s="64">
        <f>'8賃料集計'!C78</f>
        <v>35648978</v>
      </c>
      <c r="R34" s="23"/>
    </row>
    <row r="35" spans="1:19" ht="13.5" customHeight="1">
      <c r="A35" s="23">
        <v>135</v>
      </c>
      <c r="B35" s="597" t="s">
        <v>487</v>
      </c>
      <c r="C35" s="23" t="s">
        <v>373</v>
      </c>
      <c r="G35" s="151" t="s">
        <v>488</v>
      </c>
      <c r="L35" s="334"/>
      <c r="N35" s="342">
        <v>33</v>
      </c>
      <c r="O35" s="23" t="s">
        <v>153</v>
      </c>
      <c r="P35" s="23" t="s">
        <v>489</v>
      </c>
      <c r="Q35" s="64">
        <f>'8賃料集計'!C92</f>
        <v>35648978</v>
      </c>
      <c r="R35" s="23">
        <f>Q35-Q34</f>
        <v>0</v>
      </c>
    </row>
    <row r="36" spans="1:19" ht="13.5" customHeight="1">
      <c r="A36" s="23">
        <v>136</v>
      </c>
      <c r="B36" s="597" t="s">
        <v>490</v>
      </c>
      <c r="C36" s="23" t="s">
        <v>373</v>
      </c>
      <c r="G36" s="150" t="s">
        <v>491</v>
      </c>
      <c r="L36" s="334"/>
      <c r="N36" s="342">
        <v>34</v>
      </c>
      <c r="O36" s="23" t="s">
        <v>153</v>
      </c>
      <c r="P36" s="23" t="s">
        <v>492</v>
      </c>
      <c r="Q36" s="64">
        <f>'8賃料集計'!M136</f>
        <v>28235436</v>
      </c>
      <c r="R36" s="23"/>
    </row>
    <row r="37" spans="1:19" ht="13.5" customHeight="1">
      <c r="A37" s="23">
        <v>137</v>
      </c>
      <c r="B37" s="597" t="s">
        <v>493</v>
      </c>
      <c r="C37" s="23" t="s">
        <v>373</v>
      </c>
      <c r="G37" s="150" t="s">
        <v>494</v>
      </c>
      <c r="L37" s="334"/>
      <c r="N37" s="342">
        <v>35</v>
      </c>
      <c r="O37" s="23" t="s">
        <v>153</v>
      </c>
      <c r="P37" s="23" t="s">
        <v>495</v>
      </c>
      <c r="Q37" s="64">
        <f>'8賃料集計'!M151</f>
        <v>7413542</v>
      </c>
      <c r="R37" s="23">
        <f>Q35-Q36-Q37</f>
        <v>0</v>
      </c>
    </row>
    <row r="38" spans="1:19" ht="13.5" customHeight="1">
      <c r="A38" s="23">
        <v>138</v>
      </c>
      <c r="B38" s="597" t="s">
        <v>496</v>
      </c>
      <c r="C38" s="23" t="s">
        <v>373</v>
      </c>
      <c r="G38" s="150" t="s">
        <v>497</v>
      </c>
      <c r="L38" s="334"/>
      <c r="N38" s="342">
        <v>36</v>
      </c>
      <c r="O38" s="23" t="s">
        <v>430</v>
      </c>
      <c r="P38" s="23" t="s">
        <v>498</v>
      </c>
      <c r="Q38" s="64">
        <f>asset!E66</f>
        <v>304613308.41679931</v>
      </c>
      <c r="R38" s="23"/>
    </row>
    <row r="39" spans="1:19" ht="13.5" customHeight="1">
      <c r="A39" s="23">
        <v>139</v>
      </c>
      <c r="B39" s="597" t="s">
        <v>499</v>
      </c>
      <c r="C39" s="23" t="s">
        <v>373</v>
      </c>
      <c r="G39" s="150" t="s">
        <v>500</v>
      </c>
      <c r="L39" s="334"/>
      <c r="N39" s="342">
        <v>37</v>
      </c>
      <c r="O39" s="23" t="s">
        <v>149</v>
      </c>
      <c r="P39" s="23" t="s">
        <v>501</v>
      </c>
      <c r="Q39" s="64">
        <f>'3物件一覧'!C65*10000</f>
        <v>304613308.41679925</v>
      </c>
      <c r="R39" s="23">
        <f>Q39-Q38</f>
        <v>0</v>
      </c>
    </row>
    <row r="40" spans="1:19" ht="13.5" customHeight="1">
      <c r="A40" s="23">
        <v>140</v>
      </c>
      <c r="B40" s="597" t="s">
        <v>502</v>
      </c>
      <c r="C40" s="23" t="s">
        <v>373</v>
      </c>
      <c r="G40" s="152" t="s">
        <v>503</v>
      </c>
      <c r="H40" s="153"/>
      <c r="I40" s="153"/>
      <c r="J40" s="154"/>
      <c r="K40" s="153"/>
      <c r="L40" s="335"/>
      <c r="N40" s="342">
        <v>38</v>
      </c>
      <c r="O40" s="23" t="s">
        <v>430</v>
      </c>
      <c r="P40" s="23" t="s">
        <v>434</v>
      </c>
      <c r="Q40" s="64">
        <f>asset!E37*12</f>
        <v>60137772</v>
      </c>
    </row>
    <row r="41" spans="1:19" ht="13.5" customHeight="1">
      <c r="A41" s="23">
        <v>141</v>
      </c>
      <c r="B41" s="597" t="s">
        <v>504</v>
      </c>
      <c r="C41" s="23" t="s">
        <v>373</v>
      </c>
      <c r="N41" s="342">
        <v>39</v>
      </c>
      <c r="O41" s="23" t="s">
        <v>149</v>
      </c>
      <c r="P41" s="23" t="s">
        <v>505</v>
      </c>
      <c r="Q41" s="64">
        <f>'3物件一覧'!C66*10000</f>
        <v>-60137772.000000007</v>
      </c>
    </row>
    <row r="42" spans="1:19" ht="13.5" customHeight="1">
      <c r="A42" s="23">
        <v>142</v>
      </c>
      <c r="B42" s="597" t="s">
        <v>506</v>
      </c>
      <c r="C42" s="23" t="s">
        <v>373</v>
      </c>
      <c r="N42" s="342">
        <v>40</v>
      </c>
      <c r="O42" s="23" t="s">
        <v>430</v>
      </c>
      <c r="P42" s="23" t="s">
        <v>507</v>
      </c>
      <c r="Q42" s="64">
        <f>asset!E70*-1</f>
        <v>-49500031.691618025</v>
      </c>
    </row>
    <row r="43" spans="1:19" ht="13.5" customHeight="1">
      <c r="A43" s="23">
        <v>143</v>
      </c>
      <c r="B43" s="597" t="s">
        <v>508</v>
      </c>
      <c r="C43" s="23" t="s">
        <v>373</v>
      </c>
      <c r="N43" s="342">
        <v>41</v>
      </c>
      <c r="O43" s="23" t="s">
        <v>149</v>
      </c>
      <c r="P43" s="23" t="s">
        <v>507</v>
      </c>
      <c r="Q43" s="64">
        <f>'3物件一覧'!C70*10000</f>
        <v>-47146477.325039774</v>
      </c>
      <c r="R43" s="23">
        <f>Q43-Q42</f>
        <v>2353554.3665782511</v>
      </c>
      <c r="S43" t="s">
        <v>509</v>
      </c>
    </row>
    <row r="44" spans="1:19" ht="13.5" customHeight="1">
      <c r="A44" s="23">
        <v>144</v>
      </c>
      <c r="B44" s="597" t="s">
        <v>510</v>
      </c>
      <c r="C44" s="23" t="s">
        <v>373</v>
      </c>
      <c r="N44" s="342">
        <v>42</v>
      </c>
      <c r="O44" s="23" t="s">
        <v>430</v>
      </c>
      <c r="P44" s="23" t="s">
        <v>511</v>
      </c>
      <c r="Q44" s="64">
        <f>asset!E71*-1</f>
        <v>-107654892.72518124</v>
      </c>
    </row>
    <row r="45" spans="1:19" ht="13.5" customHeight="1">
      <c r="A45" s="23">
        <v>145</v>
      </c>
      <c r="B45" s="597" t="s">
        <v>512</v>
      </c>
      <c r="C45" s="23" t="s">
        <v>373</v>
      </c>
      <c r="N45" s="342">
        <v>43</v>
      </c>
      <c r="O45" s="23" t="s">
        <v>149</v>
      </c>
      <c r="P45" s="23" t="s">
        <v>511</v>
      </c>
      <c r="Q45" s="64">
        <f>'3物件一覧'!C71*10000*-1</f>
        <v>-110008447.09175949</v>
      </c>
      <c r="R45" s="23">
        <f>Q45-Q44</f>
        <v>-2353554.3665782511</v>
      </c>
      <c r="S45" t="s">
        <v>509</v>
      </c>
    </row>
    <row r="46" spans="1:19" ht="13.5" customHeight="1">
      <c r="A46" s="23">
        <v>146</v>
      </c>
      <c r="B46" s="597" t="s">
        <v>513</v>
      </c>
      <c r="C46" s="23" t="s">
        <v>373</v>
      </c>
      <c r="N46" s="342">
        <v>44</v>
      </c>
      <c r="O46" s="23" t="s">
        <v>430</v>
      </c>
      <c r="P46" s="23" t="s">
        <v>514</v>
      </c>
      <c r="Q46" s="64">
        <f>asset!E38*12</f>
        <v>153441060</v>
      </c>
    </row>
    <row r="47" spans="1:19" ht="13.5" customHeight="1">
      <c r="A47" s="23">
        <v>147</v>
      </c>
      <c r="B47" s="597" t="s">
        <v>515</v>
      </c>
      <c r="C47" s="23" t="s">
        <v>373</v>
      </c>
      <c r="N47" s="342">
        <v>45</v>
      </c>
      <c r="O47" s="23" t="s">
        <v>149</v>
      </c>
      <c r="P47" s="23" t="s">
        <v>516</v>
      </c>
      <c r="Q47" s="64">
        <f>'3物件一覧'!C72*10000</f>
        <v>-153441060</v>
      </c>
      <c r="R47" s="343">
        <f>Q46+Q47</f>
        <v>0</v>
      </c>
    </row>
    <row r="48" spans="1:19" ht="13.5" customHeight="1">
      <c r="A48" s="23">
        <v>148</v>
      </c>
      <c r="B48" s="597" t="s">
        <v>517</v>
      </c>
      <c r="C48" s="23" t="s">
        <v>373</v>
      </c>
      <c r="N48" s="342">
        <v>46</v>
      </c>
      <c r="O48" s="23" t="s">
        <v>430</v>
      </c>
      <c r="P48" s="23" t="s">
        <v>518</v>
      </c>
      <c r="Q48" s="64">
        <f>asset!E72</f>
        <v>41534444.725181282</v>
      </c>
    </row>
    <row r="49" spans="1:19" ht="13.5" customHeight="1">
      <c r="A49" s="23">
        <v>149</v>
      </c>
      <c r="B49" s="597" t="s">
        <v>519</v>
      </c>
      <c r="C49" s="23" t="s">
        <v>373</v>
      </c>
      <c r="N49" s="342">
        <v>47</v>
      </c>
      <c r="O49" s="23" t="s">
        <v>149</v>
      </c>
      <c r="P49" s="23" t="s">
        <v>518</v>
      </c>
      <c r="Q49" s="64">
        <f>'3物件一覧'!C73*10000</f>
        <v>43887999.091759481</v>
      </c>
    </row>
    <row r="50" spans="1:19" ht="13.5" customHeight="1">
      <c r="A50" s="23">
        <v>150</v>
      </c>
      <c r="B50" s="597" t="s">
        <v>520</v>
      </c>
      <c r="C50" s="23" t="s">
        <v>373</v>
      </c>
      <c r="N50" s="342">
        <v>48</v>
      </c>
      <c r="O50" s="23" t="s">
        <v>521</v>
      </c>
      <c r="P50" s="23" t="s">
        <v>522</v>
      </c>
      <c r="Q50" s="64">
        <f>Q49-Q48</f>
        <v>2353554.366578199</v>
      </c>
      <c r="R50" s="343">
        <f>Q50-R43</f>
        <v>-5.2154064178466797E-8</v>
      </c>
    </row>
    <row r="51" spans="1:19" ht="13.5" customHeight="1">
      <c r="A51" s="23">
        <v>151</v>
      </c>
      <c r="B51" s="597" t="s">
        <v>523</v>
      </c>
      <c r="C51" s="23" t="s">
        <v>373</v>
      </c>
      <c r="S51" s="23"/>
    </row>
    <row r="52" spans="1:19" ht="13.5" customHeight="1">
      <c r="A52" s="23">
        <v>152</v>
      </c>
      <c r="B52" s="597" t="s">
        <v>524</v>
      </c>
      <c r="C52" s="23" t="s">
        <v>373</v>
      </c>
      <c r="S52" s="23"/>
    </row>
    <row r="53" spans="1:19" ht="13.5" customHeight="1">
      <c r="A53" s="23">
        <v>153</v>
      </c>
      <c r="B53" s="597" t="s">
        <v>525</v>
      </c>
      <c r="C53" s="23" t="s">
        <v>373</v>
      </c>
      <c r="S53" s="23"/>
    </row>
    <row r="54" spans="1:19" ht="13.5" customHeight="1">
      <c r="A54" s="23">
        <v>154</v>
      </c>
      <c r="B54" s="597" t="s">
        <v>526</v>
      </c>
      <c r="C54" s="23" t="s">
        <v>373</v>
      </c>
      <c r="S54" s="23"/>
    </row>
    <row r="55" spans="1:19" ht="13.5" customHeight="1">
      <c r="A55" s="23">
        <v>155</v>
      </c>
      <c r="B55" s="597" t="s">
        <v>527</v>
      </c>
      <c r="C55" s="23" t="s">
        <v>373</v>
      </c>
      <c r="S55" s="23"/>
    </row>
    <row r="56" spans="1:19" ht="13.5" customHeight="1">
      <c r="A56" s="23">
        <v>156</v>
      </c>
      <c r="B56" s="597" t="s">
        <v>528</v>
      </c>
      <c r="C56" s="23" t="s">
        <v>373</v>
      </c>
      <c r="S56" s="23"/>
    </row>
    <row r="57" spans="1:19" ht="13.5" customHeight="1">
      <c r="A57" s="23">
        <v>157</v>
      </c>
      <c r="B57" s="597" t="s">
        <v>529</v>
      </c>
      <c r="C57" s="23" t="s">
        <v>373</v>
      </c>
      <c r="S57" s="23"/>
    </row>
    <row r="58" spans="1:19" ht="13.5" customHeight="1">
      <c r="A58" s="23">
        <v>158</v>
      </c>
      <c r="B58" s="597" t="s">
        <v>530</v>
      </c>
      <c r="C58" s="23" t="s">
        <v>373</v>
      </c>
      <c r="S58" s="23"/>
    </row>
    <row r="59" spans="1:19" ht="13.5" customHeight="1">
      <c r="A59" s="23">
        <v>159</v>
      </c>
      <c r="B59" s="597" t="s">
        <v>531</v>
      </c>
      <c r="C59" s="23" t="s">
        <v>373</v>
      </c>
      <c r="S59" s="23"/>
    </row>
    <row r="60" spans="1:19" ht="13.5" customHeight="1">
      <c r="A60" s="23">
        <v>160</v>
      </c>
      <c r="B60" s="597" t="s">
        <v>532</v>
      </c>
      <c r="C60" s="23" t="s">
        <v>373</v>
      </c>
      <c r="S60" s="23"/>
    </row>
    <row r="61" spans="1:19" ht="13.5" customHeight="1">
      <c r="A61" s="23">
        <v>221</v>
      </c>
      <c r="B61" s="597" t="s">
        <v>533</v>
      </c>
      <c r="C61" s="23" t="s">
        <v>534</v>
      </c>
      <c r="S61" s="23"/>
    </row>
    <row r="62" spans="1:19" ht="13.5" customHeight="1">
      <c r="A62" s="23">
        <v>222</v>
      </c>
      <c r="B62" s="597" t="s">
        <v>535</v>
      </c>
      <c r="C62" s="23" t="s">
        <v>534</v>
      </c>
      <c r="S62" s="23"/>
    </row>
    <row r="63" spans="1:19" ht="13.5" customHeight="1">
      <c r="A63" s="23">
        <v>223</v>
      </c>
      <c r="B63" s="597" t="s">
        <v>536</v>
      </c>
      <c r="C63" s="23" t="s">
        <v>534</v>
      </c>
      <c r="S63" s="23"/>
    </row>
    <row r="64" spans="1:19" ht="13.5" customHeight="1">
      <c r="A64" s="23">
        <v>224</v>
      </c>
      <c r="B64" s="597" t="s">
        <v>537</v>
      </c>
      <c r="C64" s="23" t="s">
        <v>534</v>
      </c>
      <c r="S64" s="23"/>
    </row>
    <row r="65" spans="1:19" ht="13.5" customHeight="1">
      <c r="A65" s="23">
        <v>225</v>
      </c>
      <c r="B65" s="597" t="s">
        <v>538</v>
      </c>
      <c r="C65" s="23" t="s">
        <v>534</v>
      </c>
      <c r="S65" s="23"/>
    </row>
    <row r="66" spans="1:19" ht="13.5" customHeight="1">
      <c r="A66" s="23">
        <v>226</v>
      </c>
      <c r="B66" s="597" t="s">
        <v>539</v>
      </c>
      <c r="C66" s="23" t="s">
        <v>534</v>
      </c>
      <c r="S66" s="23"/>
    </row>
    <row r="67" spans="1:19" ht="13.5" customHeight="1">
      <c r="A67" s="23">
        <v>227</v>
      </c>
      <c r="B67" s="597" t="s">
        <v>540</v>
      </c>
      <c r="C67" s="23" t="s">
        <v>534</v>
      </c>
      <c r="S67" s="23"/>
    </row>
    <row r="68" spans="1:19" ht="13.5" customHeight="1">
      <c r="A68" s="23">
        <v>228</v>
      </c>
      <c r="B68" s="597" t="s">
        <v>541</v>
      </c>
      <c r="C68" s="23" t="s">
        <v>534</v>
      </c>
      <c r="S68" s="23"/>
    </row>
    <row r="69" spans="1:19" ht="13.5" customHeight="1">
      <c r="A69" s="23">
        <v>229</v>
      </c>
      <c r="B69" s="597" t="s">
        <v>542</v>
      </c>
      <c r="C69" s="23" t="s">
        <v>534</v>
      </c>
      <c r="S69" s="23"/>
    </row>
    <row r="70" spans="1:19" ht="13.5" customHeight="1">
      <c r="A70" s="23">
        <v>230</v>
      </c>
      <c r="B70" s="597" t="s">
        <v>543</v>
      </c>
      <c r="C70" s="23" t="s">
        <v>534</v>
      </c>
    </row>
    <row r="71" spans="1:19" ht="13.5" customHeight="1">
      <c r="A71" s="23">
        <v>231</v>
      </c>
      <c r="B71" s="597" t="s">
        <v>544</v>
      </c>
      <c r="C71" s="23" t="s">
        <v>534</v>
      </c>
    </row>
    <row r="72" spans="1:19" ht="13.5" customHeight="1">
      <c r="A72" s="23">
        <v>232</v>
      </c>
      <c r="B72" s="597" t="s">
        <v>545</v>
      </c>
      <c r="C72" s="23" t="s">
        <v>534</v>
      </c>
    </row>
    <row r="73" spans="1:19" ht="13.5" customHeight="1">
      <c r="A73" s="23">
        <v>233</v>
      </c>
      <c r="B73" s="597" t="s">
        <v>546</v>
      </c>
      <c r="C73" s="23" t="s">
        <v>534</v>
      </c>
    </row>
    <row r="74" spans="1:19" ht="13.5" customHeight="1">
      <c r="A74" s="23">
        <v>234</v>
      </c>
      <c r="B74" s="597" t="s">
        <v>547</v>
      </c>
      <c r="C74" s="23" t="s">
        <v>534</v>
      </c>
    </row>
    <row r="75" spans="1:19" ht="13.5" customHeight="1">
      <c r="A75" s="23">
        <v>235</v>
      </c>
      <c r="B75" s="597" t="s">
        <v>548</v>
      </c>
      <c r="C75" s="23" t="s">
        <v>534</v>
      </c>
    </row>
    <row r="76" spans="1:19" ht="13.5" customHeight="1">
      <c r="A76" s="23">
        <v>236</v>
      </c>
      <c r="B76" s="597" t="s">
        <v>549</v>
      </c>
      <c r="C76" s="23" t="s">
        <v>534</v>
      </c>
    </row>
    <row r="77" spans="1:19" ht="13.5" customHeight="1">
      <c r="A77" s="23">
        <v>237</v>
      </c>
      <c r="B77" s="597" t="s">
        <v>550</v>
      </c>
      <c r="C77" s="23" t="s">
        <v>534</v>
      </c>
    </row>
    <row r="78" spans="1:19" ht="13.5" customHeight="1">
      <c r="A78" s="23">
        <v>238</v>
      </c>
      <c r="B78" s="597" t="s">
        <v>551</v>
      </c>
      <c r="C78" s="23" t="s">
        <v>534</v>
      </c>
    </row>
    <row r="79" spans="1:19" ht="13.5" customHeight="1">
      <c r="A79" s="23">
        <v>239</v>
      </c>
      <c r="B79" s="597" t="s">
        <v>552</v>
      </c>
      <c r="C79" s="23" t="s">
        <v>534</v>
      </c>
    </row>
    <row r="80" spans="1:19" ht="13.5" customHeight="1">
      <c r="A80" s="23">
        <v>240</v>
      </c>
      <c r="B80" s="597" t="s">
        <v>553</v>
      </c>
      <c r="C80" s="23" t="s">
        <v>534</v>
      </c>
    </row>
    <row r="81" spans="1:3" ht="13.5" customHeight="1">
      <c r="A81" s="23">
        <v>241</v>
      </c>
      <c r="B81" s="597" t="s">
        <v>554</v>
      </c>
      <c r="C81" s="23" t="s">
        <v>534</v>
      </c>
    </row>
    <row r="82" spans="1:3" ht="13.5" customHeight="1">
      <c r="A82" s="23">
        <v>242</v>
      </c>
      <c r="B82" s="597" t="s">
        <v>555</v>
      </c>
      <c r="C82" s="23" t="s">
        <v>534</v>
      </c>
    </row>
    <row r="83" spans="1:3" ht="13.5" customHeight="1">
      <c r="A83" s="23">
        <v>243</v>
      </c>
      <c r="B83" s="597" t="s">
        <v>556</v>
      </c>
      <c r="C83" s="23" t="s">
        <v>534</v>
      </c>
    </row>
    <row r="84" spans="1:3" ht="13.5" customHeight="1">
      <c r="A84" s="23">
        <v>244</v>
      </c>
      <c r="B84" s="597" t="s">
        <v>557</v>
      </c>
      <c r="C84" s="23" t="s">
        <v>534</v>
      </c>
    </row>
    <row r="85" spans="1:3" ht="13.5" customHeight="1">
      <c r="A85" s="23">
        <v>245</v>
      </c>
      <c r="B85" s="597" t="s">
        <v>558</v>
      </c>
      <c r="C85" s="23" t="s">
        <v>534</v>
      </c>
    </row>
    <row r="86" spans="1:3" ht="13.5" customHeight="1">
      <c r="A86" s="23">
        <v>246</v>
      </c>
      <c r="B86" s="597" t="s">
        <v>559</v>
      </c>
      <c r="C86" s="23" t="s">
        <v>534</v>
      </c>
    </row>
    <row r="87" spans="1:3" ht="13.5" customHeight="1">
      <c r="A87" s="23">
        <v>247</v>
      </c>
      <c r="B87" s="597" t="s">
        <v>560</v>
      </c>
      <c r="C87" s="23" t="s">
        <v>534</v>
      </c>
    </row>
    <row r="88" spans="1:3" ht="13.5" customHeight="1">
      <c r="A88" s="23">
        <v>248</v>
      </c>
      <c r="B88" s="597" t="s">
        <v>561</v>
      </c>
      <c r="C88" s="23" t="s">
        <v>534</v>
      </c>
    </row>
    <row r="89" spans="1:3" ht="13.5" customHeight="1">
      <c r="A89" s="23">
        <v>249</v>
      </c>
      <c r="B89" s="597" t="s">
        <v>562</v>
      </c>
      <c r="C89" s="23" t="s">
        <v>534</v>
      </c>
    </row>
    <row r="90" spans="1:3" ht="13.5" customHeight="1">
      <c r="A90" s="23">
        <v>250</v>
      </c>
      <c r="B90" s="597" t="s">
        <v>563</v>
      </c>
      <c r="C90" s="23" t="s">
        <v>534</v>
      </c>
    </row>
    <row r="91" spans="1:3" ht="13.5" customHeight="1">
      <c r="A91" s="23">
        <v>251</v>
      </c>
      <c r="B91" s="597" t="s">
        <v>564</v>
      </c>
      <c r="C91" s="23" t="s">
        <v>534</v>
      </c>
    </row>
    <row r="92" spans="1:3" ht="13.5" customHeight="1">
      <c r="A92" s="23">
        <v>252</v>
      </c>
      <c r="B92" s="597" t="s">
        <v>565</v>
      </c>
      <c r="C92" s="23" t="s">
        <v>534</v>
      </c>
    </row>
    <row r="93" spans="1:3" ht="13.5" customHeight="1">
      <c r="A93" s="23">
        <v>253</v>
      </c>
      <c r="B93" s="597" t="s">
        <v>566</v>
      </c>
      <c r="C93" s="23" t="s">
        <v>534</v>
      </c>
    </row>
    <row r="94" spans="1:3" ht="13.5" customHeight="1">
      <c r="A94" s="23">
        <v>254</v>
      </c>
      <c r="B94" s="597" t="s">
        <v>567</v>
      </c>
      <c r="C94" s="23" t="s">
        <v>534</v>
      </c>
    </row>
    <row r="95" spans="1:3" ht="13.5" customHeight="1">
      <c r="A95" s="23">
        <v>255</v>
      </c>
      <c r="B95" s="597" t="s">
        <v>568</v>
      </c>
      <c r="C95" s="23" t="s">
        <v>534</v>
      </c>
    </row>
    <row r="96" spans="1:3" ht="13.5" customHeight="1">
      <c r="A96" s="23">
        <v>256</v>
      </c>
      <c r="B96" s="597" t="s">
        <v>569</v>
      </c>
      <c r="C96" s="23" t="s">
        <v>534</v>
      </c>
    </row>
    <row r="97" spans="1:3" ht="13.5" customHeight="1">
      <c r="A97" s="23">
        <v>257</v>
      </c>
      <c r="B97" s="597" t="s">
        <v>570</v>
      </c>
      <c r="C97" s="23" t="s">
        <v>534</v>
      </c>
    </row>
    <row r="98" spans="1:3" ht="13.5" customHeight="1">
      <c r="A98" s="23">
        <v>258</v>
      </c>
      <c r="B98" s="597" t="s">
        <v>571</v>
      </c>
      <c r="C98" s="23" t="s">
        <v>534</v>
      </c>
    </row>
    <row r="99" spans="1:3" ht="13.5" customHeight="1">
      <c r="A99" s="23">
        <v>259</v>
      </c>
      <c r="B99" s="597" t="s">
        <v>572</v>
      </c>
      <c r="C99" s="23" t="s">
        <v>534</v>
      </c>
    </row>
    <row r="100" spans="1:3" ht="13.5" customHeight="1">
      <c r="A100" s="23">
        <v>260</v>
      </c>
      <c r="B100" s="597" t="s">
        <v>573</v>
      </c>
      <c r="C100" s="23" t="s">
        <v>534</v>
      </c>
    </row>
    <row r="101" spans="1:3" ht="13.5" customHeight="1">
      <c r="A101" s="23">
        <v>261</v>
      </c>
      <c r="B101" s="597" t="s">
        <v>574</v>
      </c>
      <c r="C101" s="23" t="s">
        <v>534</v>
      </c>
    </row>
    <row r="102" spans="1:3" ht="13.5" customHeight="1">
      <c r="A102" s="23">
        <v>262</v>
      </c>
      <c r="B102" s="597" t="s">
        <v>575</v>
      </c>
      <c r="C102" s="23" t="s">
        <v>534</v>
      </c>
    </row>
    <row r="103" spans="1:3" ht="13.5" customHeight="1">
      <c r="A103" s="23">
        <v>301</v>
      </c>
      <c r="B103" s="597" t="s">
        <v>576</v>
      </c>
      <c r="C103" s="23" t="s">
        <v>577</v>
      </c>
    </row>
    <row r="104" spans="1:3" ht="13.5" customHeight="1">
      <c r="A104" s="23">
        <v>302</v>
      </c>
      <c r="B104" s="597" t="s">
        <v>578</v>
      </c>
      <c r="C104" s="23" t="s">
        <v>577</v>
      </c>
    </row>
    <row r="105" spans="1:3" ht="13.5" customHeight="1">
      <c r="A105" s="23">
        <v>303</v>
      </c>
      <c r="B105" s="597" t="s">
        <v>579</v>
      </c>
      <c r="C105" s="23" t="s">
        <v>577</v>
      </c>
    </row>
    <row r="106" spans="1:3" ht="13.5" customHeight="1">
      <c r="A106" s="23">
        <v>304</v>
      </c>
      <c r="B106" s="597" t="s">
        <v>580</v>
      </c>
      <c r="C106" s="23" t="s">
        <v>577</v>
      </c>
    </row>
    <row r="107" spans="1:3" ht="13.5" customHeight="1">
      <c r="A107" s="23">
        <v>305</v>
      </c>
      <c r="B107" s="597" t="inlineStr">
        <is>
          <t>菊池研太</t>
        </is>
      </c>
      <c r="C107" s="23" t="s">
        <v>577</v>
      </c>
    </row>
    <row r="108" spans="1:3" ht="13.5" customHeight="1">
      <c r="A108" s="23">
        <v>306</v>
      </c>
      <c r="B108" s="597" t="s">
        <v>582</v>
      </c>
      <c r="C108" s="23" t="s">
        <v>577</v>
      </c>
    </row>
    <row r="109" spans="1:3" ht="13.5" customHeight="1">
      <c r="A109" s="23">
        <v>307</v>
      </c>
      <c r="B109" s="597" t="s">
        <v>583</v>
      </c>
      <c r="C109" s="23" t="s">
        <v>577</v>
      </c>
    </row>
    <row r="110" spans="1:3" ht="13.5" customHeight="1">
      <c r="A110" s="23">
        <v>308</v>
      </c>
      <c r="B110" s="597" t="s">
        <v>584</v>
      </c>
      <c r="C110" s="23" t="s">
        <v>577</v>
      </c>
    </row>
    <row r="111" spans="1:3" ht="13.5" customHeight="1">
      <c r="A111" s="23">
        <v>309</v>
      </c>
      <c r="B111" s="597" t="s">
        <v>585</v>
      </c>
      <c r="C111" s="23" t="s">
        <v>577</v>
      </c>
    </row>
    <row r="112" spans="1:3" ht="13.5" customHeight="1">
      <c r="A112" s="23">
        <v>310</v>
      </c>
      <c r="B112" s="597" t="s">
        <v>586</v>
      </c>
      <c r="C112" s="23" t="s">
        <v>577</v>
      </c>
    </row>
    <row r="113" spans="1:3" ht="13.5" customHeight="1">
      <c r="A113" s="23">
        <v>311</v>
      </c>
      <c r="B113" s="597" t="s">
        <v>587</v>
      </c>
      <c r="C113" s="23" t="s">
        <v>577</v>
      </c>
    </row>
    <row r="114" spans="1:3" ht="13.5" customHeight="1">
      <c r="A114" s="23">
        <v>312</v>
      </c>
      <c r="B114" s="597" t="s">
        <v>588</v>
      </c>
      <c r="C114" s="23" t="s">
        <v>577</v>
      </c>
    </row>
    <row r="115" spans="1:3" ht="13.5" customHeight="1">
      <c r="A115" s="23">
        <v>313</v>
      </c>
      <c r="B115" s="597" t="s">
        <v>589</v>
      </c>
      <c r="C115" s="23" t="s">
        <v>577</v>
      </c>
    </row>
    <row r="116" spans="1:3" ht="13.5" customHeight="1">
      <c r="A116" s="23">
        <v>314</v>
      </c>
      <c r="B116" s="597" t="s">
        <v>590</v>
      </c>
      <c r="C116" s="23" t="s">
        <v>577</v>
      </c>
    </row>
    <row r="117" spans="1:3" ht="13.5" customHeight="1">
      <c r="A117" s="23">
        <v>401</v>
      </c>
      <c r="B117" s="597" t="s">
        <v>591</v>
      </c>
      <c r="C117" s="23" t="s">
        <v>592</v>
      </c>
    </row>
    <row r="118" spans="1:3" ht="13.5" customHeight="1">
      <c r="A118" s="23">
        <v>402</v>
      </c>
      <c r="B118" s="597" t="s">
        <v>593</v>
      </c>
      <c r="C118" s="23" t="s">
        <v>592</v>
      </c>
    </row>
    <row r="119" spans="1:3" ht="13.5" customHeight="1">
      <c r="A119" s="23">
        <v>403</v>
      </c>
      <c r="B119" s="597" t="s">
        <v>594</v>
      </c>
      <c r="C119" s="23" t="s">
        <v>592</v>
      </c>
    </row>
    <row r="120" spans="1:3" ht="13.5" customHeight="1">
      <c r="A120" s="23">
        <v>404</v>
      </c>
      <c r="B120" s="597" t="s">
        <v>595</v>
      </c>
      <c r="C120" s="23" t="s">
        <v>592</v>
      </c>
    </row>
    <row r="121" spans="1:3" ht="13.5" customHeight="1">
      <c r="A121" s="23">
        <v>405</v>
      </c>
      <c r="B121" s="597" t="s">
        <v>596</v>
      </c>
      <c r="C121" s="23" t="s">
        <v>592</v>
      </c>
    </row>
    <row r="122" spans="1:3" ht="13.5" customHeight="1">
      <c r="A122" s="23">
        <v>406</v>
      </c>
      <c r="B122" s="597" t="s">
        <v>597</v>
      </c>
      <c r="C122" s="23" t="s">
        <v>592</v>
      </c>
    </row>
    <row r="123" spans="1:3" ht="13.5" customHeight="1">
      <c r="A123" s="23">
        <v>407</v>
      </c>
      <c r="B123" s="597" t="s">
        <v>598</v>
      </c>
      <c r="C123" s="23" t="s">
        <v>592</v>
      </c>
    </row>
    <row r="124" spans="1:3" ht="13.5" customHeight="1">
      <c r="A124" s="23">
        <v>408</v>
      </c>
      <c r="B124" s="597" t="s">
        <v>599</v>
      </c>
      <c r="C124" s="23" t="s">
        <v>592</v>
      </c>
    </row>
    <row r="125" spans="1:3" ht="13.5" customHeight="1">
      <c r="A125" s="23">
        <v>409</v>
      </c>
      <c r="B125" s="597" t="s">
        <v>600</v>
      </c>
      <c r="C125" s="23" t="s">
        <v>592</v>
      </c>
    </row>
    <row r="126" spans="1:3" ht="13.5" customHeight="1">
      <c r="A126" s="23">
        <v>410</v>
      </c>
      <c r="B126" s="597" t="s">
        <v>601</v>
      </c>
      <c r="C126" s="23" t="s">
        <v>592</v>
      </c>
    </row>
    <row r="127" spans="1:3" ht="13.5" customHeight="1">
      <c r="A127" s="23">
        <v>411</v>
      </c>
      <c r="B127" s="597" t="s">
        <v>602</v>
      </c>
      <c r="C127" s="23" t="s">
        <v>592</v>
      </c>
    </row>
    <row r="128" spans="1:3" ht="13.5" customHeight="1">
      <c r="A128" s="23">
        <v>412</v>
      </c>
      <c r="B128" s="597" t="inlineStr">
        <is>
          <t>KIKUCHIホールディングス株式会社</t>
        </is>
      </c>
      <c r="C128" s="23" t="s">
        <v>592</v>
      </c>
    </row>
    <row r="129" spans="1:3" ht="13.5" customHeight="1">
      <c r="A129" s="23">
        <v>413</v>
      </c>
      <c r="B129" s="597" t="inlineStr">
        <is>
          <t>テナントアシスト・ウイン株式会社</t>
        </is>
      </c>
      <c r="C129" s="23" t="s">
        <v>592</v>
      </c>
    </row>
    <row r="130" spans="1:3" ht="13.5" customHeight="1">
      <c r="A130" s="23">
        <v>414</v>
      </c>
      <c r="B130" s="597" t="inlineStr">
        <is>
          <t>株式会社B&amp;Sエステート</t>
        </is>
      </c>
      <c r="C130" s="23" t="s">
        <v>592</v>
      </c>
    </row>
    <row r="131" spans="1:3" ht="13.5" customHeight="1">
      <c r="A131" s="23">
        <v>415</v>
      </c>
      <c r="B131" s="597" t="inlineStr">
        <is>
          <t>北彩楽農株式会社</t>
        </is>
      </c>
      <c r="C131" s="23" t="s">
        <v>592</v>
      </c>
    </row>
    <row r="132" spans="1:3" ht="13.5" customHeight="1">
      <c r="A132" s="23">
        <v>416</v>
      </c>
      <c r="B132" s="597" t="s">
        <v>607</v>
      </c>
      <c r="C132" s="23" t="s">
        <v>592</v>
      </c>
    </row>
    <row r="133" spans="1:3" ht="13.5" customHeight="1">
      <c r="A133" s="23">
        <v>417</v>
      </c>
      <c r="B133" s="597" t="s">
        <v>608</v>
      </c>
      <c r="C133" s="23" t="s">
        <v>592</v>
      </c>
    </row>
    <row r="134" spans="1:3" ht="13.5" customHeight="1">
      <c r="A134" s="23">
        <v>418</v>
      </c>
      <c r="B134" s="597" t="s">
        <v>609</v>
      </c>
      <c r="C134" s="23" t="s">
        <v>592</v>
      </c>
    </row>
    <row r="135" spans="1:3" ht="13.5" customHeight="1">
      <c r="A135" s="23">
        <v>419</v>
      </c>
      <c r="B135" s="597" t="s">
        <v>610</v>
      </c>
      <c r="C135" s="23" t="s">
        <v>592</v>
      </c>
    </row>
    <row r="136" spans="1:3" ht="13.5" customHeight="1">
      <c r="A136" s="23">
        <v>420</v>
      </c>
      <c r="B136" s="597" t="s">
        <v>611</v>
      </c>
      <c r="C136" s="23" t="s">
        <v>592</v>
      </c>
    </row>
    <row r="137" spans="1:3" ht="13.5" customHeight="1">
      <c r="A137" s="23">
        <v>421</v>
      </c>
      <c r="B137" s="597" t="s">
        <v>612</v>
      </c>
      <c r="C137" s="23" t="s">
        <v>592</v>
      </c>
    </row>
    <row r="138" spans="1:3" ht="13.5" customHeight="1">
      <c r="A138" s="23">
        <v>422</v>
      </c>
      <c r="B138" s="597" t="s">
        <v>613</v>
      </c>
      <c r="C138" s="23" t="s">
        <v>592</v>
      </c>
    </row>
    <row r="139" spans="1:3" ht="13.5" customHeight="1">
      <c r="A139" s="23">
        <v>423</v>
      </c>
      <c r="B139" s="597" t="s">
        <v>614</v>
      </c>
      <c r="C139" s="23" t="s">
        <v>592</v>
      </c>
    </row>
    <row r="140" spans="1:3" ht="13.5" customHeight="1">
      <c r="A140" s="23">
        <v>424</v>
      </c>
      <c r="B140" s="597" t="s">
        <v>615</v>
      </c>
      <c r="C140" s="23" t="s">
        <v>592</v>
      </c>
    </row>
    <row r="141" spans="1:3" ht="13.5" customHeight="1">
      <c r="A141" s="23">
        <v>425</v>
      </c>
      <c r="B141" s="597" t="s">
        <v>616</v>
      </c>
      <c r="C141" s="23" t="s">
        <v>592</v>
      </c>
    </row>
    <row r="142" spans="1:3" ht="13.5" customHeight="1">
      <c r="A142" s="23">
        <v>426</v>
      </c>
      <c r="B142" s="597" t="s">
        <v>617</v>
      </c>
      <c r="C142" s="23" t="s">
        <v>592</v>
      </c>
    </row>
    <row r="143" spans="1:3" ht="13.5" customHeight="1">
      <c r="A143" s="23">
        <v>427</v>
      </c>
      <c r="B143" s="597" t="s">
        <v>618</v>
      </c>
      <c r="C143" s="23" t="s">
        <v>592</v>
      </c>
    </row>
    <row r="144" spans="1:3" ht="13.5" customHeight="1">
      <c r="A144" s="23">
        <v>428</v>
      </c>
      <c r="B144" s="597" t="s">
        <v>619</v>
      </c>
      <c r="C144" s="23" t="s">
        <v>592</v>
      </c>
    </row>
    <row r="145" spans="1:3" ht="13.5" customHeight="1">
      <c r="A145" s="23">
        <v>429</v>
      </c>
      <c r="B145" s="597" t="s">
        <v>620</v>
      </c>
      <c r="C145" s="23" t="s">
        <v>592</v>
      </c>
    </row>
    <row r="146" spans="1:3" ht="13.5" customHeight="1">
      <c r="A146" s="23">
        <v>430</v>
      </c>
      <c r="B146" s="597" t="s">
        <v>621</v>
      </c>
      <c r="C146" s="23" t="s">
        <v>592</v>
      </c>
    </row>
    <row r="147" spans="1:3" ht="13.5" customHeight="1">
      <c r="A147" s="23">
        <v>431</v>
      </c>
      <c r="B147" s="597" t="s">
        <v>622</v>
      </c>
      <c r="C147" s="23" t="s">
        <v>592</v>
      </c>
    </row>
    <row r="148" spans="1:3" ht="13.5" customHeight="1">
      <c r="A148" s="23">
        <v>432</v>
      </c>
      <c r="B148" s="597" t="s">
        <v>623</v>
      </c>
      <c r="C148" s="23" t="s">
        <v>592</v>
      </c>
    </row>
    <row r="149" spans="1:3" ht="13.5" customHeight="1">
      <c r="A149" s="23">
        <v>433</v>
      </c>
      <c r="B149" s="597" t="s">
        <v>624</v>
      </c>
      <c r="C149" s="23" t="s">
        <v>592</v>
      </c>
    </row>
    <row r="150" spans="1:3" ht="13.5" customHeight="1">
      <c r="A150" s="23">
        <v>434</v>
      </c>
      <c r="B150" s="597" t="s">
        <v>625</v>
      </c>
      <c r="C150" s="23" t="s">
        <v>592</v>
      </c>
    </row>
    <row r="151" spans="1:3" ht="13.5" customHeight="1">
      <c r="A151" s="23">
        <v>435</v>
      </c>
      <c r="B151" s="597" t="s">
        <v>626</v>
      </c>
      <c r="C151" s="23" t="s">
        <v>592</v>
      </c>
    </row>
    <row r="152" spans="1:3" ht="13.5" customHeight="1">
      <c r="A152" s="23">
        <v>436</v>
      </c>
      <c r="B152" s="597" t="s">
        <v>627</v>
      </c>
      <c r="C152" s="23" t="s">
        <v>592</v>
      </c>
    </row>
    <row r="153" spans="1:3" ht="13.5" customHeight="1">
      <c r="A153" s="23">
        <v>501</v>
      </c>
      <c r="B153" s="597" t="s">
        <v>628</v>
      </c>
      <c r="C153" s="23" t="s">
        <v>629</v>
      </c>
    </row>
    <row r="154" spans="1:3" ht="13.5" customHeight="1">
      <c r="A154" s="23">
        <v>502</v>
      </c>
      <c r="B154" s="597" t="s">
        <v>630</v>
      </c>
      <c r="C154" s="23" t="s">
        <v>629</v>
      </c>
    </row>
    <row r="155" spans="1:3" ht="13.5" customHeight="1">
      <c r="A155" s="23">
        <v>503</v>
      </c>
      <c r="B155" s="597" t="s">
        <v>631</v>
      </c>
      <c r="C155" s="23" t="s">
        <v>629</v>
      </c>
    </row>
    <row r="156" spans="1:3" ht="13.5" customHeight="1">
      <c r="A156" s="23">
        <v>504</v>
      </c>
      <c r="B156" s="597" t="s">
        <v>632</v>
      </c>
      <c r="C156" s="23" t="s">
        <v>629</v>
      </c>
    </row>
    <row r="157" spans="1:3" ht="13.5" customHeight="1">
      <c r="A157" s="23">
        <v>505</v>
      </c>
      <c r="B157" s="597" t="s">
        <v>633</v>
      </c>
      <c r="C157" s="23" t="s">
        <v>629</v>
      </c>
    </row>
    <row r="158" spans="1:3" ht="13.5" customHeight="1">
      <c r="A158" s="23">
        <v>506</v>
      </c>
      <c r="B158" s="597" t="s">
        <v>634</v>
      </c>
      <c r="C158" s="23" t="s">
        <v>629</v>
      </c>
    </row>
    <row r="159" spans="1:3" ht="13.5" customHeight="1">
      <c r="A159" s="23">
        <v>507</v>
      </c>
      <c r="B159" s="597" t="s">
        <v>635</v>
      </c>
      <c r="C159" s="23" t="s">
        <v>629</v>
      </c>
    </row>
    <row r="160" spans="1:3" ht="13.5" customHeight="1">
      <c r="A160" s="23">
        <v>508</v>
      </c>
      <c r="B160" s="597" t="s">
        <v>636</v>
      </c>
      <c r="C160" s="23" t="s">
        <v>629</v>
      </c>
    </row>
    <row r="161" spans="1:3" ht="13.5" customHeight="1">
      <c r="A161" s="23">
        <v>509</v>
      </c>
      <c r="B161" s="597" t="s">
        <v>637</v>
      </c>
      <c r="C161" s="23" t="s">
        <v>629</v>
      </c>
    </row>
    <row r="162" spans="1:3" ht="13.5" customHeight="1">
      <c r="A162" s="23">
        <v>510</v>
      </c>
      <c r="B162" s="597" t="s">
        <v>638</v>
      </c>
      <c r="C162" s="23" t="s">
        <v>629</v>
      </c>
    </row>
    <row r="163" spans="1:3" ht="13.5" customHeight="1">
      <c r="A163" s="23">
        <v>511</v>
      </c>
      <c r="B163" s="597" t="s">
        <v>639</v>
      </c>
      <c r="C163" s="23" t="s">
        <v>629</v>
      </c>
    </row>
    <row r="164" spans="1:3" ht="13.5" customHeight="1">
      <c r="A164" s="23">
        <v>512</v>
      </c>
      <c r="B164" s="597" t="s">
        <v>640</v>
      </c>
      <c r="C164" s="23" t="s">
        <v>629</v>
      </c>
    </row>
    <row r="165" spans="1:3" ht="13.5" customHeight="1">
      <c r="A165" s="23">
        <v>513</v>
      </c>
      <c r="B165" s="597" t="inlineStr">
        <is>
          <t>岩手銀行</t>
        </is>
      </c>
      <c r="C165" s="23" t="s">
        <v>629</v>
      </c>
    </row>
    <row r="166" spans="1:3" ht="13.5" customHeight="1">
      <c r="A166" s="23">
        <v>514</v>
      </c>
      <c r="B166" s="597" t="inlineStr">
        <is>
          <t>北日本銀行</t>
        </is>
      </c>
      <c r="C166" s="23" t="s">
        <v>629</v>
      </c>
    </row>
    <row r="167" spans="1:3" ht="13.5" customHeight="1">
      <c r="A167" s="23">
        <v>515</v>
      </c>
      <c r="B167" s="597" t="inlineStr">
        <is>
          <t>東京ベイ信用金庫</t>
        </is>
      </c>
      <c r="C167" s="23" t="s">
        <v>629</v>
      </c>
    </row>
    <row r="168" spans="1:3" ht="13.5" customHeight="1">
      <c r="A168" s="23">
        <v>516</v>
      </c>
      <c r="B168" s="597" t="inlineStr">
        <is>
          <t>日本政策金融公庫</t>
        </is>
      </c>
      <c r="C168" s="23" t="s">
        <v>629</v>
      </c>
    </row>
    <row r="169" spans="1:3" ht="13.5" customHeight="1">
      <c r="A169" s="23">
        <v>517</v>
      </c>
      <c r="B169" s="597" t="s">
        <v>645</v>
      </c>
      <c r="C169" s="23" t="s">
        <v>629</v>
      </c>
    </row>
    <row r="170" spans="1:3" ht="13.5" customHeight="1">
      <c r="A170" s="23">
        <v>518</v>
      </c>
      <c r="B170" s="597" t="s">
        <v>646</v>
      </c>
      <c r="C170" s="23" t="s">
        <v>629</v>
      </c>
    </row>
    <row r="171" spans="1:3" ht="13.5" customHeight="1">
      <c r="A171" s="23">
        <v>519</v>
      </c>
      <c r="B171" s="597" t="s">
        <v>647</v>
      </c>
      <c r="C171" s="23" t="s">
        <v>629</v>
      </c>
    </row>
    <row r="172" spans="1:3" ht="13.5" customHeight="1">
      <c r="A172" s="23">
        <v>520</v>
      </c>
      <c r="B172" s="597" t="s">
        <v>648</v>
      </c>
      <c r="C172" s="23" t="s">
        <v>629</v>
      </c>
    </row>
    <row r="173" spans="1:3" ht="13.5" customHeight="1">
      <c r="A173" s="23">
        <v>521</v>
      </c>
      <c r="B173" s="597" t="s">
        <v>649</v>
      </c>
      <c r="C173" s="23" t="s">
        <v>629</v>
      </c>
    </row>
    <row r="174" spans="1:3" ht="13.5" customHeight="1">
      <c r="A174" s="23">
        <v>522</v>
      </c>
      <c r="B174" s="597" t="s">
        <v>650</v>
      </c>
      <c r="C174" s="23" t="s">
        <v>629</v>
      </c>
    </row>
    <row r="175" spans="1:3" ht="13.5" customHeight="1">
      <c r="A175" s="23">
        <v>523</v>
      </c>
      <c r="B175" s="597" t="s">
        <v>651</v>
      </c>
      <c r="C175" s="23" t="s">
        <v>629</v>
      </c>
    </row>
    <row r="176" spans="1:3" ht="13.5" customHeight="1">
      <c r="A176" s="23">
        <v>524</v>
      </c>
      <c r="B176" s="597" t="s">
        <v>652</v>
      </c>
      <c r="C176" s="23" t="s">
        <v>629</v>
      </c>
    </row>
    <row r="177" spans="1:3" ht="13.5" customHeight="1">
      <c r="A177" s="23">
        <v>525</v>
      </c>
      <c r="B177" s="597" t="s">
        <v>653</v>
      </c>
      <c r="C177" s="23" t="s">
        <v>629</v>
      </c>
    </row>
    <row r="178" spans="1:3" ht="13.5" customHeight="1">
      <c r="A178" s="23">
        <v>526</v>
      </c>
      <c r="B178" s="597" t="s">
        <v>654</v>
      </c>
      <c r="C178" s="23" t="s">
        <v>629</v>
      </c>
    </row>
    <row r="179" spans="1:3" ht="13.5" customHeight="1">
      <c r="A179" s="23">
        <v>527</v>
      </c>
      <c r="B179" s="597" t="s">
        <v>655</v>
      </c>
      <c r="C179" s="23" t="s">
        <v>629</v>
      </c>
    </row>
    <row r="180" spans="1:3" ht="13.5" customHeight="1">
      <c r="A180" s="23">
        <v>528</v>
      </c>
      <c r="B180" s="597" t="s">
        <v>656</v>
      </c>
      <c r="C180" s="23" t="s">
        <v>629</v>
      </c>
    </row>
    <row r="181" spans="1:3" ht="13.5" customHeight="1">
      <c r="A181" s="23">
        <v>529</v>
      </c>
      <c r="B181" s="597" t="s">
        <v>657</v>
      </c>
      <c r="C181" s="23" t="s">
        <v>629</v>
      </c>
    </row>
    <row r="182" spans="1:3" ht="13.5" customHeight="1">
      <c r="A182" s="23">
        <v>530</v>
      </c>
      <c r="B182" s="597" t="s">
        <v>658</v>
      </c>
      <c r="C182" s="23" t="s">
        <v>629</v>
      </c>
    </row>
    <row r="183" spans="1:3" ht="13.5" customHeight="1">
      <c r="A183" s="23">
        <v>531</v>
      </c>
      <c r="B183" s="597" t="s">
        <v>659</v>
      </c>
      <c r="C183" s="23" t="s">
        <v>629</v>
      </c>
    </row>
    <row r="184" spans="1:3" ht="13.5" customHeight="1">
      <c r="A184" s="23">
        <v>532</v>
      </c>
      <c r="B184" s="597" t="s">
        <v>660</v>
      </c>
      <c r="C184" s="23" t="s">
        <v>629</v>
      </c>
    </row>
    <row r="185" spans="1:3" ht="13.5" customHeight="1">
      <c r="A185" s="23">
        <v>533</v>
      </c>
      <c r="B185" s="597" t="s">
        <v>661</v>
      </c>
      <c r="C185" s="23" t="s">
        <v>629</v>
      </c>
    </row>
    <row r="186" spans="1:3" ht="13.5" customHeight="1">
      <c r="A186" s="23">
        <v>534</v>
      </c>
      <c r="B186" s="597" t="s">
        <v>662</v>
      </c>
      <c r="C186" s="23" t="s">
        <v>629</v>
      </c>
    </row>
    <row r="187" spans="1:3" ht="13.5" customHeight="1">
      <c r="A187" s="23">
        <v>535</v>
      </c>
      <c r="B187" s="597" t="s">
        <v>663</v>
      </c>
      <c r="C187" s="23" t="s">
        <v>629</v>
      </c>
    </row>
    <row r="188" spans="1:3" ht="13.5" customHeight="1">
      <c r="A188" s="23">
        <v>536</v>
      </c>
      <c r="B188" s="597" t="s">
        <v>664</v>
      </c>
      <c r="C188" s="23" t="s">
        <v>629</v>
      </c>
    </row>
    <row r="189" spans="1:3" ht="13.5" customHeight="1">
      <c r="A189" s="23">
        <v>537</v>
      </c>
      <c r="B189" s="597" t="s">
        <v>665</v>
      </c>
      <c r="C189" s="23" t="s">
        <v>629</v>
      </c>
    </row>
    <row r="190" spans="1:3" ht="13.5" customHeight="1">
      <c r="A190" s="23">
        <v>538</v>
      </c>
      <c r="B190" s="597" t="s">
        <v>666</v>
      </c>
      <c r="C190" s="23" t="s">
        <v>629</v>
      </c>
    </row>
    <row r="191" spans="1:3" ht="13.5" customHeight="1">
      <c r="A191" s="23">
        <v>539</v>
      </c>
      <c r="B191" s="597" t="s">
        <v>667</v>
      </c>
      <c r="C191" s="23" t="s">
        <v>629</v>
      </c>
    </row>
    <row r="192" spans="1:3" ht="13.5" customHeight="1">
      <c r="A192" s="23">
        <v>540</v>
      </c>
      <c r="B192" s="597" t="s">
        <v>668</v>
      </c>
      <c r="C192" s="23" t="s">
        <v>629</v>
      </c>
    </row>
    <row r="193" spans="1:3" ht="13.5" customHeight="1">
      <c r="A193" s="23">
        <v>541</v>
      </c>
      <c r="B193" s="597" t="s">
        <v>669</v>
      </c>
      <c r="C193" s="23" t="s">
        <v>629</v>
      </c>
    </row>
    <row r="194" spans="1:3" ht="13.5" customHeight="1">
      <c r="A194" s="23">
        <v>542</v>
      </c>
      <c r="B194" s="597" t="s">
        <v>670</v>
      </c>
      <c r="C194" s="23" t="s">
        <v>629</v>
      </c>
    </row>
    <row r="195" spans="1:3" ht="13.5" customHeight="1">
      <c r="A195" s="23">
        <v>543</v>
      </c>
      <c r="B195" s="597" t="s">
        <v>671</v>
      </c>
      <c r="C195" s="23" t="s">
        <v>629</v>
      </c>
    </row>
    <row r="196" spans="1:3" ht="13.5" customHeight="1">
      <c r="A196" s="23">
        <v>544</v>
      </c>
      <c r="B196" s="597" t="s">
        <v>672</v>
      </c>
      <c r="C196" s="23" t="s">
        <v>629</v>
      </c>
    </row>
    <row r="197" spans="1:3" ht="13.5" customHeight="1">
      <c r="A197" s="23">
        <v>545</v>
      </c>
      <c r="B197" s="597" t="s">
        <v>673</v>
      </c>
      <c r="C197" s="23" t="s">
        <v>629</v>
      </c>
    </row>
    <row r="198" spans="1:3" ht="13.5" customHeight="1">
      <c r="A198" s="23">
        <v>546</v>
      </c>
      <c r="B198" s="597" t="s">
        <v>674</v>
      </c>
      <c r="C198" s="23" t="s">
        <v>629</v>
      </c>
    </row>
    <row r="199" spans="1:3" ht="13.5" customHeight="1">
      <c r="A199" s="23">
        <v>547</v>
      </c>
      <c r="B199" s="597" t="s">
        <v>675</v>
      </c>
      <c r="C199" s="23" t="s">
        <v>629</v>
      </c>
    </row>
    <row r="200" spans="1:3" ht="13.5" customHeight="1">
      <c r="A200" s="23">
        <v>548</v>
      </c>
      <c r="B200" s="597" t="s">
        <v>676</v>
      </c>
      <c r="C200" s="23" t="s">
        <v>629</v>
      </c>
    </row>
    <row r="201" spans="1:3" ht="13.5" customHeight="1">
      <c r="A201" s="23">
        <v>549</v>
      </c>
      <c r="B201" s="597" t="s">
        <v>677</v>
      </c>
      <c r="C201" s="23" t="s">
        <v>629</v>
      </c>
    </row>
    <row r="202" spans="1:3" ht="13.5" customHeight="1">
      <c r="A202" s="23">
        <v>550</v>
      </c>
      <c r="B202" s="597" t="s">
        <v>678</v>
      </c>
      <c r="C202" s="23" t="s">
        <v>629</v>
      </c>
    </row>
    <row r="203" spans="1:3" ht="13.5" customHeight="1">
      <c r="A203" s="23">
        <v>551</v>
      </c>
      <c r="B203" s="597" t="s">
        <v>679</v>
      </c>
      <c r="C203" s="23" t="s">
        <v>629</v>
      </c>
    </row>
    <row r="204" spans="1:3" ht="13.5" customHeight="1">
      <c r="A204" s="23">
        <v>552</v>
      </c>
      <c r="B204" s="597" t="s">
        <v>680</v>
      </c>
      <c r="C204" s="23" t="s">
        <v>629</v>
      </c>
    </row>
    <row r="205" spans="1:3" ht="13.5" customHeight="1">
      <c r="A205" s="23">
        <v>553</v>
      </c>
      <c r="B205" s="597" t="s">
        <v>681</v>
      </c>
      <c r="C205" s="23" t="s">
        <v>629</v>
      </c>
    </row>
    <row r="206" spans="1:3" ht="13.5" customHeight="1">
      <c r="A206" s="23">
        <v>554</v>
      </c>
      <c r="B206" s="597" t="s">
        <v>682</v>
      </c>
      <c r="C206" s="23" t="s">
        <v>629</v>
      </c>
    </row>
    <row r="207" spans="1:3" ht="13.5" customHeight="1">
      <c r="A207" s="23">
        <v>555</v>
      </c>
      <c r="B207" s="597" t="s">
        <v>683</v>
      </c>
      <c r="C207" s="23" t="s">
        <v>629</v>
      </c>
    </row>
    <row r="208" spans="1:3" ht="13.5" customHeight="1">
      <c r="A208" s="23">
        <v>556</v>
      </c>
      <c r="B208" s="597" t="s">
        <v>684</v>
      </c>
      <c r="C208" s="23" t="s">
        <v>629</v>
      </c>
    </row>
    <row r="209" spans="1:5" ht="13.5" customHeight="1">
      <c r="A209" s="23">
        <v>557</v>
      </c>
      <c r="B209" s="597" t="s">
        <v>685</v>
      </c>
      <c r="C209" s="23" t="s">
        <v>629</v>
      </c>
    </row>
    <row r="210" spans="1:5" ht="13.5" customHeight="1">
      <c r="A210" s="23">
        <v>558</v>
      </c>
      <c r="B210" s="597" t="s">
        <v>686</v>
      </c>
      <c r="C210" s="23" t="s">
        <v>629</v>
      </c>
    </row>
    <row r="211" spans="1:5" ht="13.5" customHeight="1">
      <c r="A211" s="23">
        <v>559</v>
      </c>
      <c r="B211" s="597" t="s">
        <v>687</v>
      </c>
      <c r="C211" s="23" t="s">
        <v>629</v>
      </c>
    </row>
    <row r="212" spans="1:5" ht="13.5" customHeight="1">
      <c r="A212" s="23">
        <v>560</v>
      </c>
      <c r="B212" s="597" t="s">
        <v>688</v>
      </c>
      <c r="C212" s="23" t="s">
        <v>629</v>
      </c>
    </row>
    <row r="213" spans="1:5" ht="13.5" customHeight="1">
      <c r="A213" s="23">
        <v>561</v>
      </c>
      <c r="B213" s="597" t="s">
        <v>689</v>
      </c>
      <c r="C213" s="23" t="s">
        <v>629</v>
      </c>
    </row>
    <row r="214" spans="1:5" ht="13.5" customHeight="1">
      <c r="A214" s="23">
        <v>562</v>
      </c>
      <c r="B214" s="597" t="s">
        <v>690</v>
      </c>
      <c r="C214" s="23" t="s">
        <v>629</v>
      </c>
    </row>
    <row r="215" spans="1:5" ht="13.5" customHeight="1">
      <c r="A215" s="23">
        <v>563</v>
      </c>
      <c r="B215" s="597" t="s">
        <v>691</v>
      </c>
      <c r="C215" s="23" t="s">
        <v>629</v>
      </c>
    </row>
    <row r="216" spans="1:5" ht="13.5" customHeight="1">
      <c r="A216" s="23">
        <v>564</v>
      </c>
      <c r="B216" s="597" t="s">
        <v>692</v>
      </c>
      <c r="C216" s="23" t="s">
        <v>629</v>
      </c>
    </row>
    <row r="217" spans="1:5" ht="13.5" customHeight="1">
      <c r="A217" s="23">
        <v>565</v>
      </c>
      <c r="B217" s="597" t="s">
        <v>693</v>
      </c>
      <c r="C217" s="23" t="s">
        <v>629</v>
      </c>
    </row>
    <row r="218" spans="1:5" ht="13.5" customHeight="1">
      <c r="A218" s="23">
        <v>566</v>
      </c>
      <c r="B218" s="597" t="s">
        <v>694</v>
      </c>
      <c r="C218" s="23" t="s">
        <v>629</v>
      </c>
    </row>
    <row r="219" spans="1:5" ht="13.5" customHeight="1">
      <c r="A219" s="23">
        <v>567</v>
      </c>
      <c r="B219" s="597" t="s">
        <v>695</v>
      </c>
      <c r="C219" s="23" t="s">
        <v>629</v>
      </c>
    </row>
    <row r="220" spans="1:5" ht="13.5" customHeight="1">
      <c r="A220" s="23">
        <v>568</v>
      </c>
      <c r="B220" s="597" t="s">
        <v>696</v>
      </c>
      <c r="C220" s="23" t="s">
        <v>629</v>
      </c>
    </row>
    <row r="221" spans="1:5" ht="13.5" customHeight="1">
      <c r="A221" s="23">
        <v>569</v>
      </c>
      <c r="B221" s="597" t="s">
        <v>697</v>
      </c>
      <c r="C221" s="23" t="s">
        <v>629</v>
      </c>
    </row>
    <row r="222" spans="1:5" ht="13.5" customHeight="1">
      <c r="A222" s="23">
        <v>570</v>
      </c>
      <c r="B222" s="597" t="s">
        <v>698</v>
      </c>
      <c r="C222" s="23" t="s">
        <v>629</v>
      </c>
    </row>
    <row r="223" spans="1:5" ht="13.5" customHeight="1">
      <c r="A223" s="23">
        <v>601</v>
      </c>
      <c r="B223" s="597" t="s">
        <v>699</v>
      </c>
      <c r="C223" s="23" t="s">
        <v>700</v>
      </c>
      <c r="D223" s="23" t="s">
        <v>701</v>
      </c>
      <c r="E223" s="23" t="s">
        <v>702</v>
      </c>
    </row>
    <row r="224" spans="1:5" ht="13.5" customHeight="1">
      <c r="A224" s="23">
        <v>602</v>
      </c>
      <c r="B224" s="597" t="s">
        <v>703</v>
      </c>
      <c r="C224" s="23" t="s">
        <v>700</v>
      </c>
      <c r="D224" s="23" t="s">
        <v>701</v>
      </c>
      <c r="E224" s="23" t="s">
        <v>702</v>
      </c>
    </row>
    <row r="225" spans="1:5" ht="13.5" customHeight="1">
      <c r="A225" s="23">
        <v>603</v>
      </c>
      <c r="B225" s="597" t="s">
        <v>704</v>
      </c>
      <c r="C225" s="23" t="s">
        <v>700</v>
      </c>
      <c r="D225" s="23" t="s">
        <v>701</v>
      </c>
      <c r="E225" s="23" t="s">
        <v>702</v>
      </c>
    </row>
    <row r="226" spans="1:5" ht="13.5" customHeight="1">
      <c r="A226" s="23">
        <v>604</v>
      </c>
      <c r="B226" s="597" t="s">
        <v>705</v>
      </c>
      <c r="C226" s="23" t="s">
        <v>700</v>
      </c>
      <c r="D226" s="23" t="s">
        <v>701</v>
      </c>
      <c r="E226" s="23" t="s">
        <v>702</v>
      </c>
    </row>
    <row r="227" spans="1:5" ht="13.5" customHeight="1">
      <c r="A227" s="23">
        <v>605</v>
      </c>
      <c r="B227" s="597" t="s">
        <v>706</v>
      </c>
      <c r="C227" s="23" t="s">
        <v>700</v>
      </c>
      <c r="D227" s="23" t="s">
        <v>701</v>
      </c>
      <c r="E227" s="23" t="s">
        <v>702</v>
      </c>
    </row>
    <row r="228" spans="1:5" ht="13.5" customHeight="1">
      <c r="A228" s="23">
        <v>606</v>
      </c>
      <c r="B228" s="597" t="s">
        <v>707</v>
      </c>
      <c r="C228" s="23" t="s">
        <v>700</v>
      </c>
      <c r="D228" s="23" t="s">
        <v>701</v>
      </c>
      <c r="E228" s="23" t="s">
        <v>702</v>
      </c>
    </row>
    <row r="229" spans="1:5" ht="13.5" customHeight="1">
      <c r="A229" s="23">
        <v>607</v>
      </c>
      <c r="B229" s="597" t="s">
        <v>708</v>
      </c>
      <c r="C229" s="23" t="s">
        <v>700</v>
      </c>
      <c r="D229" s="23" t="s">
        <v>701</v>
      </c>
      <c r="E229" s="23" t="s">
        <v>702</v>
      </c>
    </row>
    <row r="230" spans="1:5" ht="13.5" customHeight="1">
      <c r="A230" s="23">
        <v>608</v>
      </c>
      <c r="B230" s="597" t="s">
        <v>709</v>
      </c>
      <c r="C230" s="23" t="s">
        <v>700</v>
      </c>
      <c r="D230" s="23" t="s">
        <v>701</v>
      </c>
      <c r="E230" s="23" t="s">
        <v>702</v>
      </c>
    </row>
    <row r="231" spans="1:5" ht="13.5" customHeight="1">
      <c r="A231" s="23">
        <v>611</v>
      </c>
      <c r="B231" s="597" t="s">
        <v>710</v>
      </c>
      <c r="C231" s="23" t="s">
        <v>700</v>
      </c>
      <c r="D231" s="23" t="s">
        <v>711</v>
      </c>
      <c r="E231" s="23" t="s">
        <v>702</v>
      </c>
    </row>
    <row r="232" spans="1:5" ht="13.5" customHeight="1">
      <c r="A232" s="23">
        <v>612</v>
      </c>
      <c r="B232" s="597" t="s">
        <v>712</v>
      </c>
      <c r="C232" s="23" t="s">
        <v>700</v>
      </c>
      <c r="D232" s="23" t="s">
        <v>711</v>
      </c>
      <c r="E232" s="23" t="s">
        <v>702</v>
      </c>
    </row>
    <row r="233" spans="1:5" ht="13.5" customHeight="1">
      <c r="A233" s="23">
        <v>613</v>
      </c>
      <c r="B233" s="597" t="s">
        <v>713</v>
      </c>
      <c r="C233" s="23" t="s">
        <v>700</v>
      </c>
      <c r="D233" s="23" t="s">
        <v>711</v>
      </c>
    </row>
    <row r="234" spans="1:5" ht="13.5" customHeight="1">
      <c r="A234" s="23">
        <v>621</v>
      </c>
      <c r="B234" s="597" t="s">
        <v>714</v>
      </c>
      <c r="C234" s="23" t="s">
        <v>700</v>
      </c>
      <c r="D234" s="23" t="s">
        <v>715</v>
      </c>
      <c r="E234" s="23" t="s">
        <v>702</v>
      </c>
    </row>
    <row r="235" spans="1:5" ht="13.5" customHeight="1">
      <c r="A235" s="23">
        <v>622</v>
      </c>
      <c r="B235" s="597" t="s">
        <v>716</v>
      </c>
      <c r="C235" s="23" t="s">
        <v>700</v>
      </c>
      <c r="D235" s="23" t="s">
        <v>715</v>
      </c>
      <c r="E235" s="23" t="s">
        <v>702</v>
      </c>
    </row>
    <row r="236" spans="1:5" ht="13.5" customHeight="1">
      <c r="A236" s="23">
        <v>623</v>
      </c>
      <c r="B236" s="597" t="s">
        <v>717</v>
      </c>
      <c r="C236" s="23" t="s">
        <v>700</v>
      </c>
      <c r="D236" s="23" t="s">
        <v>715</v>
      </c>
    </row>
    <row r="237" spans="1:5" ht="13.5" customHeight="1">
      <c r="A237" s="23">
        <v>631</v>
      </c>
      <c r="B237" s="597" t="s">
        <v>188</v>
      </c>
      <c r="C237" s="23" t="s">
        <v>718</v>
      </c>
      <c r="D237" s="23" t="s">
        <v>719</v>
      </c>
      <c r="E237" s="23" t="s">
        <v>702</v>
      </c>
    </row>
    <row r="238" spans="1:5" ht="13.5" customHeight="1">
      <c r="A238" s="23">
        <v>632</v>
      </c>
      <c r="B238" s="597" t="s">
        <v>260</v>
      </c>
      <c r="C238" s="23" t="s">
        <v>718</v>
      </c>
      <c r="D238" s="23" t="s">
        <v>719</v>
      </c>
      <c r="E238" s="23" t="s">
        <v>702</v>
      </c>
    </row>
    <row r="239" spans="1:5" ht="13.5" customHeight="1">
      <c r="A239" s="23">
        <v>633</v>
      </c>
      <c r="B239" s="597" t="s">
        <v>262</v>
      </c>
      <c r="C239" s="23" t="s">
        <v>718</v>
      </c>
      <c r="D239" s="23" t="s">
        <v>719</v>
      </c>
      <c r="E239" s="23" t="s">
        <v>702</v>
      </c>
    </row>
    <row r="240" spans="1:5" ht="13.5" customHeight="1">
      <c r="A240" s="23">
        <v>634</v>
      </c>
      <c r="B240" s="597" t="s">
        <v>236</v>
      </c>
      <c r="C240" s="23" t="s">
        <v>718</v>
      </c>
      <c r="D240" s="23" t="s">
        <v>719</v>
      </c>
      <c r="E240" s="23" t="s">
        <v>702</v>
      </c>
    </row>
    <row r="241" spans="1:5" ht="13.5" customHeight="1">
      <c r="A241" s="23">
        <v>635</v>
      </c>
      <c r="B241" s="597" t="s">
        <v>234</v>
      </c>
      <c r="C241" s="23" t="s">
        <v>718</v>
      </c>
      <c r="D241" s="23" t="s">
        <v>719</v>
      </c>
      <c r="E241" s="23" t="s">
        <v>702</v>
      </c>
    </row>
    <row r="242" spans="1:5" ht="13.5" customHeight="1">
      <c r="A242" s="23">
        <v>636</v>
      </c>
      <c r="B242" s="597" t="s">
        <v>235</v>
      </c>
      <c r="C242" s="23" t="s">
        <v>718</v>
      </c>
      <c r="D242" s="23" t="s">
        <v>719</v>
      </c>
      <c r="E242" s="23" t="s">
        <v>702</v>
      </c>
    </row>
    <row r="243" spans="1:5" ht="13.5" customHeight="1">
      <c r="A243" s="23">
        <v>637</v>
      </c>
      <c r="B243" s="597" t="s">
        <v>261</v>
      </c>
      <c r="C243" s="23" t="s">
        <v>718</v>
      </c>
      <c r="D243" s="23" t="s">
        <v>719</v>
      </c>
      <c r="E243" s="23" t="s">
        <v>702</v>
      </c>
    </row>
    <row r="244" spans="1:5" ht="13.5" customHeight="1">
      <c r="A244" s="23">
        <v>638</v>
      </c>
      <c r="B244" s="597" t="s">
        <v>720</v>
      </c>
      <c r="C244" s="23" t="s">
        <v>718</v>
      </c>
      <c r="D244" s="23" t="s">
        <v>719</v>
      </c>
      <c r="E244" s="23" t="s">
        <v>702</v>
      </c>
    </row>
    <row r="245" spans="1:5" ht="13.5" customHeight="1">
      <c r="A245" s="23">
        <v>639</v>
      </c>
      <c r="B245" s="597" t="s">
        <v>193</v>
      </c>
      <c r="C245" s="23" t="s">
        <v>718</v>
      </c>
      <c r="D245" s="23" t="s">
        <v>719</v>
      </c>
      <c r="E245" s="23" t="s">
        <v>702</v>
      </c>
    </row>
    <row r="246" spans="1:5" ht="13.5" customHeight="1">
      <c r="A246" s="23">
        <v>640</v>
      </c>
      <c r="B246" s="597" t="s">
        <v>721</v>
      </c>
      <c r="C246" s="23" t="s">
        <v>718</v>
      </c>
      <c r="D246" s="23" t="s">
        <v>719</v>
      </c>
    </row>
    <row r="247" spans="1:5" ht="13.5" customHeight="1">
      <c r="A247" s="23">
        <v>651</v>
      </c>
      <c r="B247" s="597" t="s">
        <v>722</v>
      </c>
      <c r="C247" s="23" t="s">
        <v>163</v>
      </c>
      <c r="D247" s="23" t="s">
        <v>55</v>
      </c>
      <c r="E247" s="23" t="s">
        <v>702</v>
      </c>
    </row>
    <row r="248" spans="1:5" ht="13.5" customHeight="1">
      <c r="A248" s="23">
        <v>652</v>
      </c>
      <c r="B248" s="597" t="s">
        <v>723</v>
      </c>
      <c r="C248" s="23" t="s">
        <v>163</v>
      </c>
      <c r="D248" s="23" t="s">
        <v>55</v>
      </c>
      <c r="E248" s="23" t="s">
        <v>702</v>
      </c>
    </row>
    <row r="249" spans="1:5" ht="13.5" customHeight="1">
      <c r="A249" s="23">
        <v>653</v>
      </c>
      <c r="B249" s="597" t="s">
        <v>724</v>
      </c>
      <c r="C249" s="23" t="s">
        <v>163</v>
      </c>
      <c r="D249" s="23" t="s">
        <v>55</v>
      </c>
      <c r="E249" s="23" t="s">
        <v>702</v>
      </c>
    </row>
    <row r="250" spans="1:5" ht="13.5" customHeight="1">
      <c r="A250" s="23">
        <v>654</v>
      </c>
      <c r="B250" s="597" t="s">
        <v>725</v>
      </c>
      <c r="C250" s="23" t="s">
        <v>163</v>
      </c>
      <c r="D250" s="23" t="s">
        <v>55</v>
      </c>
      <c r="E250" s="23" t="s">
        <v>702</v>
      </c>
    </row>
    <row r="251" spans="1:5" ht="13.5" customHeight="1">
      <c r="A251" s="23">
        <v>655</v>
      </c>
      <c r="B251" s="597" t="s">
        <v>726</v>
      </c>
      <c r="C251" s="23" t="s">
        <v>163</v>
      </c>
      <c r="D251" s="23" t="s">
        <v>55</v>
      </c>
      <c r="E251" s="23" t="s">
        <v>702</v>
      </c>
    </row>
    <row r="252" spans="1:5" ht="13.5" customHeight="1">
      <c r="A252" s="23">
        <v>656</v>
      </c>
      <c r="B252" s="597" t="s">
        <v>727</v>
      </c>
      <c r="C252" s="23" t="s">
        <v>163</v>
      </c>
      <c r="D252" s="23" t="s">
        <v>55</v>
      </c>
      <c r="E252" s="23" t="s">
        <v>702</v>
      </c>
    </row>
    <row r="253" spans="1:5" ht="13.5" customHeight="1">
      <c r="A253" s="23">
        <v>657</v>
      </c>
      <c r="B253" s="597" t="s">
        <v>728</v>
      </c>
      <c r="C253" s="23" t="s">
        <v>163</v>
      </c>
      <c r="D253" s="23" t="s">
        <v>55</v>
      </c>
      <c r="E253" s="23" t="s">
        <v>702</v>
      </c>
    </row>
    <row r="254" spans="1:5" ht="13.5" customHeight="1">
      <c r="A254" s="23">
        <v>658</v>
      </c>
      <c r="B254" s="597" t="s">
        <v>729</v>
      </c>
      <c r="C254" s="23" t="s">
        <v>163</v>
      </c>
      <c r="D254" s="23" t="s">
        <v>55</v>
      </c>
      <c r="E254" s="23" t="s">
        <v>702</v>
      </c>
    </row>
    <row r="255" spans="1:5" ht="13.5" customHeight="1">
      <c r="A255" s="23">
        <v>659</v>
      </c>
      <c r="B255" s="597" t="s">
        <v>730</v>
      </c>
      <c r="C255" s="23" t="s">
        <v>163</v>
      </c>
      <c r="D255" s="23" t="s">
        <v>55</v>
      </c>
      <c r="E255" s="23" t="s">
        <v>702</v>
      </c>
    </row>
    <row r="256" spans="1:5" ht="13.5" customHeight="1">
      <c r="A256" s="23">
        <v>660</v>
      </c>
      <c r="B256" s="597" t="s">
        <v>731</v>
      </c>
      <c r="C256" s="23" t="s">
        <v>163</v>
      </c>
      <c r="D256" s="23" t="s">
        <v>55</v>
      </c>
    </row>
    <row r="257" spans="1:5" ht="13.5" customHeight="1">
      <c r="A257" s="23">
        <v>661</v>
      </c>
      <c r="B257" s="597" t="s">
        <v>732</v>
      </c>
      <c r="C257" s="23" t="s">
        <v>733</v>
      </c>
      <c r="D257" s="23" t="s">
        <v>62</v>
      </c>
      <c r="E257" s="23" t="s">
        <v>702</v>
      </c>
    </row>
    <row r="258" spans="1:5" ht="13.5" customHeight="1">
      <c r="A258" s="23">
        <v>662</v>
      </c>
      <c r="B258" s="597" t="s">
        <v>734</v>
      </c>
      <c r="C258" s="23" t="s">
        <v>733</v>
      </c>
      <c r="D258" s="23" t="s">
        <v>62</v>
      </c>
      <c r="E258" s="23" t="s">
        <v>702</v>
      </c>
    </row>
    <row r="259" spans="1:5" ht="13.5" customHeight="1">
      <c r="A259" s="23">
        <v>663</v>
      </c>
      <c r="B259" s="597" t="s">
        <v>735</v>
      </c>
      <c r="C259" s="23" t="s">
        <v>733</v>
      </c>
      <c r="D259" s="23" t="s">
        <v>62</v>
      </c>
      <c r="E259" s="23" t="s">
        <v>702</v>
      </c>
    </row>
    <row r="260" spans="1:5" ht="13.5" customHeight="1">
      <c r="A260" s="23">
        <v>664</v>
      </c>
      <c r="B260" s="597" t="s">
        <v>736</v>
      </c>
      <c r="C260" s="23" t="s">
        <v>733</v>
      </c>
      <c r="D260" s="23" t="s">
        <v>62</v>
      </c>
      <c r="E260" s="23" t="s">
        <v>702</v>
      </c>
    </row>
    <row r="261" spans="1:5" ht="13.5" customHeight="1">
      <c r="A261" s="23">
        <v>665</v>
      </c>
      <c r="B261" s="597" t="s">
        <v>737</v>
      </c>
      <c r="C261" s="23" t="s">
        <v>733</v>
      </c>
      <c r="D261" s="23" t="s">
        <v>62</v>
      </c>
    </row>
    <row r="262" spans="1:5" ht="13.5" customHeight="1">
      <c r="A262" s="23">
        <v>671</v>
      </c>
      <c r="B262" s="597" t="s">
        <v>738</v>
      </c>
      <c r="C262" s="23" t="s">
        <v>700</v>
      </c>
      <c r="D262" s="23" t="s">
        <v>739</v>
      </c>
      <c r="E262" s="23" t="s">
        <v>702</v>
      </c>
    </row>
    <row r="263" spans="1:5">
      <c r="A263" s="23">
        <v>672</v>
      </c>
      <c r="B263" s="597" t="s">
        <v>740</v>
      </c>
      <c r="C263" s="23" t="s">
        <v>700</v>
      </c>
      <c r="D263" s="23" t="s">
        <v>739</v>
      </c>
      <c r="E263" s="23" t="s">
        <v>702</v>
      </c>
    </row>
    <row r="264" spans="1:5">
      <c r="A264" s="23">
        <v>673</v>
      </c>
      <c r="B264" s="597" t="s">
        <v>741</v>
      </c>
      <c r="C264" s="23" t="s">
        <v>700</v>
      </c>
      <c r="D264" s="23" t="s">
        <v>739</v>
      </c>
      <c r="E264" s="23" t="s">
        <v>702</v>
      </c>
    </row>
    <row r="265" spans="1:5">
      <c r="A265" s="23">
        <v>674</v>
      </c>
      <c r="B265" s="597" t="s">
        <v>742</v>
      </c>
      <c r="C265" s="23" t="s">
        <v>700</v>
      </c>
      <c r="D265" s="23" t="s">
        <v>739</v>
      </c>
      <c r="E265" s="23" t="s">
        <v>702</v>
      </c>
    </row>
    <row r="266" spans="1:5">
      <c r="A266" s="23">
        <v>675</v>
      </c>
      <c r="B266" s="597" t="s">
        <v>743</v>
      </c>
      <c r="C266" s="23" t="s">
        <v>700</v>
      </c>
      <c r="D266" s="23" t="s">
        <v>739</v>
      </c>
      <c r="E266" s="23" t="s">
        <v>702</v>
      </c>
    </row>
    <row r="267" spans="1:5">
      <c r="A267" s="23">
        <v>676</v>
      </c>
      <c r="B267" s="597" t="s">
        <v>744</v>
      </c>
      <c r="C267" s="23" t="s">
        <v>700</v>
      </c>
      <c r="D267" s="23" t="s">
        <v>739</v>
      </c>
    </row>
    <row r="268" spans="1:5">
      <c r="A268" s="23">
        <v>691</v>
      </c>
      <c r="B268" s="597" t="s">
        <v>745</v>
      </c>
      <c r="C268" s="23" t="s">
        <v>700</v>
      </c>
      <c r="D268" s="23" t="s">
        <v>746</v>
      </c>
      <c r="E268" s="23" t="s">
        <v>747</v>
      </c>
    </row>
    <row r="269" spans="1:5">
      <c r="A269" s="23">
        <v>692</v>
      </c>
      <c r="B269" s="597" t="s">
        <v>748</v>
      </c>
      <c r="C269" s="23" t="s">
        <v>700</v>
      </c>
      <c r="D269" s="23" t="s">
        <v>746</v>
      </c>
      <c r="E269" s="23" t="s">
        <v>747</v>
      </c>
    </row>
    <row r="270" spans="1:5">
      <c r="A270" s="23">
        <v>693</v>
      </c>
      <c r="B270" s="597" t="s">
        <v>749</v>
      </c>
      <c r="C270" s="23" t="s">
        <v>700</v>
      </c>
      <c r="D270" s="23" t="s">
        <v>746</v>
      </c>
      <c r="E270" s="23" t="s">
        <v>747</v>
      </c>
    </row>
    <row r="271" spans="1:5">
      <c r="A271" s="23">
        <v>694</v>
      </c>
      <c r="B271" s="597" t="s">
        <v>750</v>
      </c>
      <c r="C271" s="23" t="s">
        <v>700</v>
      </c>
      <c r="D271" s="23" t="s">
        <v>746</v>
      </c>
      <c r="E271" s="23" t="s">
        <v>747</v>
      </c>
    </row>
    <row r="272" spans="1:5">
      <c r="A272" s="23">
        <v>695</v>
      </c>
      <c r="B272" s="597" t="s">
        <v>751</v>
      </c>
      <c r="C272" s="23" t="s">
        <v>700</v>
      </c>
      <c r="D272" s="23" t="s">
        <v>746</v>
      </c>
    </row>
    <row r="273" spans="1:5">
      <c r="A273" s="23">
        <v>701</v>
      </c>
      <c r="B273" s="597" t="s">
        <v>752</v>
      </c>
      <c r="C273" s="23" t="s">
        <v>1</v>
      </c>
      <c r="E273" s="23" t="s">
        <v>747</v>
      </c>
    </row>
    <row r="274" spans="1:5">
      <c r="A274" s="23">
        <v>702</v>
      </c>
      <c r="B274" s="597" t="s">
        <v>753</v>
      </c>
      <c r="C274" s="23" t="s">
        <v>1</v>
      </c>
      <c r="E274" s="23" t="s">
        <v>747</v>
      </c>
    </row>
    <row r="275" spans="1:5">
      <c r="A275" s="23">
        <v>703</v>
      </c>
      <c r="B275" s="597" t="s">
        <v>754</v>
      </c>
      <c r="C275" s="23" t="s">
        <v>1</v>
      </c>
      <c r="E275" s="23" t="s">
        <v>747</v>
      </c>
    </row>
    <row r="276" spans="1:5">
      <c r="A276" s="23">
        <v>704</v>
      </c>
      <c r="B276" s="597" t="s">
        <v>755</v>
      </c>
      <c r="C276" s="23" t="s">
        <v>1</v>
      </c>
      <c r="E276" s="23" t="s">
        <v>747</v>
      </c>
    </row>
    <row r="277" spans="1:5">
      <c r="A277" s="23">
        <v>705</v>
      </c>
      <c r="B277" s="597" t="s">
        <v>756</v>
      </c>
      <c r="C277" s="23" t="s">
        <v>1</v>
      </c>
      <c r="E277" s="23" t="s">
        <v>747</v>
      </c>
    </row>
    <row r="278" spans="1:5">
      <c r="A278" s="23">
        <v>706</v>
      </c>
      <c r="B278" s="597" t="s">
        <v>757</v>
      </c>
      <c r="C278" s="23" t="s">
        <v>1</v>
      </c>
    </row>
    <row r="279" spans="1:5">
      <c r="A279" s="23">
        <v>711</v>
      </c>
      <c r="B279" s="597" t="s">
        <v>758</v>
      </c>
      <c r="C279" s="23" t="s">
        <v>1</v>
      </c>
      <c r="E279" s="23" t="s">
        <v>747</v>
      </c>
    </row>
    <row r="280" spans="1:5">
      <c r="A280" s="23">
        <v>712</v>
      </c>
      <c r="B280" s="597" t="s">
        <v>759</v>
      </c>
      <c r="C280" s="23" t="s">
        <v>1</v>
      </c>
      <c r="E280" s="23" t="s">
        <v>747</v>
      </c>
    </row>
    <row r="281" spans="1:5">
      <c r="A281" s="23">
        <v>713</v>
      </c>
      <c r="B281" s="597" t="s">
        <v>760</v>
      </c>
      <c r="C281" s="23" t="s">
        <v>1</v>
      </c>
      <c r="E281" s="23" t="s">
        <v>747</v>
      </c>
    </row>
    <row r="282" spans="1:5">
      <c r="A282" s="23">
        <v>714</v>
      </c>
      <c r="B282" s="597" t="s">
        <v>761</v>
      </c>
      <c r="C282" s="23" t="s">
        <v>1</v>
      </c>
      <c r="E282" s="23" t="s">
        <v>747</v>
      </c>
    </row>
    <row r="283" spans="1:5">
      <c r="A283" s="23">
        <v>715</v>
      </c>
      <c r="B283" s="597" t="s">
        <v>762</v>
      </c>
      <c r="C283" s="23" t="s">
        <v>1</v>
      </c>
      <c r="E283" s="23" t="s">
        <v>747</v>
      </c>
    </row>
    <row r="284" spans="1:5">
      <c r="A284" s="23">
        <v>716</v>
      </c>
      <c r="B284" s="597" t="s">
        <v>763</v>
      </c>
      <c r="C284" s="23" t="s">
        <v>1</v>
      </c>
    </row>
    <row r="285" spans="1:5">
      <c r="A285" s="23">
        <v>971</v>
      </c>
      <c r="B285" s="597" t="s">
        <v>764</v>
      </c>
    </row>
    <row r="286" spans="1:5">
      <c r="A286" s="23">
        <v>999</v>
      </c>
      <c r="B286" s="597" t="s">
        <v>765</v>
      </c>
      <c r="C286" s="23" t="s">
        <v>1</v>
      </c>
      <c r="E286" s="23" t="s">
        <v>747</v>
      </c>
    </row>
  </sheetData>
  <sheetProtection algorithmName="SHA-512" hashValue="vjnvBseRLtMY4axqLYTlkuexiZXoStZX3TwK4dccmKYkkfP4lQx24vyRqGN4RFtlEi9FuXnGt5O9rGpZwzt1Qg==" saltValue="K7bI4270cXWxuGMDCT+E1g==" spinCount="100000" sheet="1" sort="0" autoFilter="0"/>
  <sortState ref="A3:E286">
    <sortCondition ref="A3:A286"/>
  </sortState>
  <phoneticPr fontId="5"/>
  <hyperlinks>
    <hyperlink ref="G35" r:id="rId1" ns2:uid="{549A8D19-9636-4AA4-9911-E8916EE1BA54}"/>
  </hyperlinks>
  <pageMargins left="0.7" right="0.7" top="0.75" bottom="0.75" header="0.3" footer="0.3"/>
  <pageSetup paperSize="9" scale="87" orientation="portrait" r:id="rId2"/>
  <colBreaks count="2" manualBreakCount="2">
    <brk id="5" max="1048575" man="1"/>
    <brk id="12" max="1048575" man="1"/>
  </colBreaks>
</worksheet>
</file>

<file path=xl/worksheets/sheet4.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65408E8B-B22C-4829-860B-A485A37FC74A}">
  <dimension ref="A1:CB97"/>
  <sheetViews>
    <sheetView zoomScaleNormal="100" zoomScaleSheetLayoutView="100" workbookViewId="0">
      <pane xSplit="5" ySplit="6" topLeftCell="F7" activePane="bottomRight" state="frozen"/>
      <selection pane="bottomRight"/>
      <selection pane="bottomLeft" activeCell="A7" sqref="A7"/>
      <selection pane="topRight" activeCell="F1" sqref="F1"/>
    </sheetView>
  </sheetViews>
  <sheetFormatPr defaultRowHeight="13.5"/>
  <cols>
    <col min="1" max="1" width="4.625" bestFit="1" customWidth="1"/>
    <col min="2" max="2" width="27.625" customWidth="1"/>
    <col min="4" max="4" width="5.25" bestFit="1" customWidth="1"/>
    <col min="5" max="5" width="14.125" bestFit="1" customWidth="1"/>
    <col min="6" max="80" width="15" customWidth="1"/>
  </cols>
  <sheetData>
    <row r="1" spans="1:80">
      <c r="A1" t="s">
        <v>766</v>
      </c>
      <c r="F1" s="172" t="s">
        <v>359</v>
      </c>
    </row>
    <row r="2" spans="1:80" s="23" customFormat="1">
      <c r="A2" s="347" t="s">
        <v>362</v>
      </c>
      <c r="B2" s="203" t="s">
        <v>131</v>
      </c>
      <c r="C2" s="204" t="s">
        <v>767</v>
      </c>
      <c r="D2" s="204" t="s">
        <v>768</v>
      </c>
      <c r="E2" s="204" t="s">
        <v>769</v>
      </c>
      <c r="F2" s="205" t="s">
        <v>770</v>
      </c>
      <c r="G2" s="205" t="s">
        <v>771</v>
      </c>
      <c r="H2" s="205" t="s">
        <v>772</v>
      </c>
      <c r="I2" s="205" t="s">
        <v>773</v>
      </c>
      <c r="J2" s="205" t="s">
        <v>774</v>
      </c>
      <c r="K2" s="205" t="s">
        <v>775</v>
      </c>
      <c r="L2" s="205" t="s">
        <v>776</v>
      </c>
      <c r="M2" s="205" t="s">
        <v>777</v>
      </c>
      <c r="N2" s="205" t="s">
        <v>778</v>
      </c>
      <c r="O2" s="205" t="s">
        <v>779</v>
      </c>
      <c r="P2" s="205" t="s">
        <v>780</v>
      </c>
      <c r="Q2" s="205" t="s">
        <v>781</v>
      </c>
      <c r="R2" s="205" t="s">
        <v>782</v>
      </c>
      <c r="S2" s="205" t="s">
        <v>783</v>
      </c>
      <c r="T2" s="205" t="s">
        <v>784</v>
      </c>
      <c r="U2" s="205" t="s">
        <v>785</v>
      </c>
      <c r="V2" s="205" t="s">
        <v>786</v>
      </c>
      <c r="W2" s="205" t="s">
        <v>787</v>
      </c>
      <c r="X2" s="205" t="s">
        <v>788</v>
      </c>
      <c r="Y2" s="205" t="s">
        <v>789</v>
      </c>
      <c r="Z2" s="205" t="s">
        <v>790</v>
      </c>
      <c r="AA2" s="205" t="s">
        <v>791</v>
      </c>
      <c r="AB2" s="205" t="s">
        <v>792</v>
      </c>
      <c r="AC2" s="205" t="s">
        <v>793</v>
      </c>
      <c r="AD2" s="205" t="s">
        <v>794</v>
      </c>
      <c r="AE2" s="205" t="s">
        <v>795</v>
      </c>
      <c r="AF2" s="205" t="s">
        <v>796</v>
      </c>
      <c r="AG2" s="205" t="s">
        <v>797</v>
      </c>
      <c r="AH2" s="205" t="s">
        <v>798</v>
      </c>
      <c r="AI2" s="205" t="s">
        <v>799</v>
      </c>
      <c r="AJ2" s="205" t="s">
        <v>800</v>
      </c>
      <c r="AK2" s="205" t="s">
        <v>801</v>
      </c>
      <c r="AL2" s="205" t="s">
        <v>802</v>
      </c>
      <c r="AM2" s="205" t="s">
        <v>803</v>
      </c>
      <c r="AN2" s="205" t="s">
        <v>804</v>
      </c>
      <c r="AO2" s="205" t="s">
        <v>805</v>
      </c>
      <c r="AP2" s="205" t="s">
        <v>806</v>
      </c>
      <c r="AQ2" s="205" t="s">
        <v>807</v>
      </c>
      <c r="AR2" s="205" t="s">
        <v>808</v>
      </c>
      <c r="AS2" s="205" t="s">
        <v>809</v>
      </c>
      <c r="AT2" s="205" t="s">
        <v>810</v>
      </c>
      <c r="AU2" s="205" t="s">
        <v>811</v>
      </c>
      <c r="AV2" s="205" t="s">
        <v>812</v>
      </c>
      <c r="AW2" s="205" t="s">
        <v>813</v>
      </c>
      <c r="AX2" s="205" t="s">
        <v>814</v>
      </c>
      <c r="AY2" s="205" t="s">
        <v>815</v>
      </c>
      <c r="AZ2" s="205" t="s">
        <v>816</v>
      </c>
      <c r="BA2" s="205" t="s">
        <v>817</v>
      </c>
      <c r="BB2" s="205" t="s">
        <v>818</v>
      </c>
      <c r="BC2" s="205" t="s">
        <v>819</v>
      </c>
      <c r="BD2" s="205" t="s">
        <v>820</v>
      </c>
      <c r="BE2" s="205" t="s">
        <v>821</v>
      </c>
      <c r="BF2" s="205" t="s">
        <v>822</v>
      </c>
      <c r="BG2" s="205" t="s">
        <v>823</v>
      </c>
      <c r="BH2" s="205" t="s">
        <v>824</v>
      </c>
      <c r="BI2" s="205" t="s">
        <v>825</v>
      </c>
      <c r="BJ2" s="205" t="s">
        <v>826</v>
      </c>
      <c r="BK2" s="205" t="s">
        <v>827</v>
      </c>
      <c r="BL2" s="205" t="s">
        <v>828</v>
      </c>
      <c r="BM2" s="205" t="s">
        <v>829</v>
      </c>
      <c r="BN2" s="205" t="s">
        <v>830</v>
      </c>
      <c r="BO2" s="205" t="s">
        <v>831</v>
      </c>
      <c r="BP2" s="205" t="s">
        <v>832</v>
      </c>
      <c r="BQ2" s="205" t="s">
        <v>833</v>
      </c>
      <c r="BR2" s="205" t="s">
        <v>834</v>
      </c>
      <c r="BS2" s="205" t="s">
        <v>835</v>
      </c>
      <c r="BT2" s="205" t="s">
        <v>836</v>
      </c>
      <c r="BU2" s="205" t="s">
        <v>837</v>
      </c>
      <c r="BV2" s="205" t="s">
        <v>838</v>
      </c>
      <c r="BW2" s="205" t="s">
        <v>839</v>
      </c>
      <c r="BX2" s="205" t="s">
        <v>840</v>
      </c>
      <c r="BY2" s="205" t="s">
        <v>841</v>
      </c>
      <c r="BZ2" s="205" t="s">
        <v>842</v>
      </c>
      <c r="CA2" s="205" t="s">
        <v>843</v>
      </c>
      <c r="CB2" s="205" t="s">
        <v>844</v>
      </c>
    </row>
    <row r="3" spans="1:80">
      <c r="A3" s="348">
        <v>0</v>
      </c>
      <c r="B3" s="173" t="s">
        <v>845</v>
      </c>
      <c r="C3" s="4" t="s">
        <v>846</v>
      </c>
      <c r="D3" s="4" t="s">
        <v>846</v>
      </c>
      <c r="E3" s="174" t="s">
        <v>846</v>
      </c>
      <c r="F3" s="5" t="s">
        <v>846</v>
      </c>
      <c r="G3" s="5" t="s">
        <v>846</v>
      </c>
      <c r="H3" s="5" t="s">
        <v>846</v>
      </c>
      <c r="I3" s="5" t="s">
        <v>846</v>
      </c>
      <c r="J3" s="5" t="s">
        <v>846</v>
      </c>
      <c r="K3" s="5" t="s">
        <v>846</v>
      </c>
      <c r="L3" s="5" t="s">
        <v>846</v>
      </c>
      <c r="M3" s="5" t="s">
        <v>846</v>
      </c>
      <c r="N3" s="5" t="s">
        <v>846</v>
      </c>
      <c r="O3" s="5" t="s">
        <v>846</v>
      </c>
      <c r="P3" s="5" t="s">
        <v>846</v>
      </c>
      <c r="Q3" s="5" t="s">
        <v>846</v>
      </c>
      <c r="R3" s="5" t="s">
        <v>846</v>
      </c>
      <c r="S3" s="5" t="s">
        <v>846</v>
      </c>
      <c r="T3" s="5" t="s">
        <v>846</v>
      </c>
      <c r="U3" s="5" t="s">
        <v>846</v>
      </c>
      <c r="V3" s="5" t="s">
        <v>846</v>
      </c>
      <c r="W3" s="5" t="s">
        <v>846</v>
      </c>
      <c r="X3" s="5" t="s">
        <v>846</v>
      </c>
      <c r="Y3" s="5" t="s">
        <v>846</v>
      </c>
      <c r="Z3" s="5" t="s">
        <v>846</v>
      </c>
      <c r="AA3" s="5" t="s">
        <v>846</v>
      </c>
      <c r="AB3" s="5" t="s">
        <v>846</v>
      </c>
      <c r="AC3" s="5" t="s">
        <v>846</v>
      </c>
      <c r="AD3" s="5" t="s">
        <v>846</v>
      </c>
      <c r="AE3" s="5" t="s">
        <v>846</v>
      </c>
      <c r="AF3" s="5" t="s">
        <v>846</v>
      </c>
      <c r="AG3" s="5" t="s">
        <v>846</v>
      </c>
      <c r="AH3" s="5" t="s">
        <v>846</v>
      </c>
      <c r="AI3" s="5" t="s">
        <v>846</v>
      </c>
      <c r="AJ3" s="5" t="s">
        <v>846</v>
      </c>
      <c r="AK3" s="5" t="s">
        <v>846</v>
      </c>
      <c r="AL3" s="5" t="s">
        <v>846</v>
      </c>
      <c r="AM3" s="5" t="s">
        <v>846</v>
      </c>
      <c r="AN3" s="5" t="s">
        <v>846</v>
      </c>
      <c r="AO3" s="5" t="s">
        <v>846</v>
      </c>
      <c r="AP3" s="5" t="s">
        <v>846</v>
      </c>
      <c r="AQ3" s="5" t="s">
        <v>846</v>
      </c>
      <c r="AR3" s="5" t="s">
        <v>846</v>
      </c>
      <c r="AS3" s="5" t="s">
        <v>846</v>
      </c>
      <c r="AT3" s="5" t="s">
        <v>846</v>
      </c>
      <c r="AU3" s="5" t="s">
        <v>846</v>
      </c>
      <c r="AV3" s="5" t="s">
        <v>846</v>
      </c>
      <c r="AW3" s="5" t="s">
        <v>846</v>
      </c>
      <c r="AX3" s="5" t="s">
        <v>846</v>
      </c>
      <c r="AY3" s="5" t="s">
        <v>846</v>
      </c>
      <c r="AZ3" s="5" t="s">
        <v>846</v>
      </c>
      <c r="BA3" s="5" t="s">
        <v>846</v>
      </c>
      <c r="BB3" s="5" t="s">
        <v>846</v>
      </c>
      <c r="BC3" s="5" t="s">
        <v>846</v>
      </c>
      <c r="BD3" s="5" t="s">
        <v>846</v>
      </c>
      <c r="BE3" s="5" t="s">
        <v>846</v>
      </c>
      <c r="BF3" s="5" t="s">
        <v>846</v>
      </c>
      <c r="BG3" s="5" t="s">
        <v>846</v>
      </c>
      <c r="BH3" s="5" t="s">
        <v>846</v>
      </c>
      <c r="BI3" s="5" t="s">
        <v>846</v>
      </c>
      <c r="BJ3" s="5" t="s">
        <v>846</v>
      </c>
      <c r="BK3" s="5" t="s">
        <v>846</v>
      </c>
      <c r="BL3" s="5" t="s">
        <v>846</v>
      </c>
      <c r="BM3" s="5" t="s">
        <v>846</v>
      </c>
      <c r="BN3" s="5" t="s">
        <v>846</v>
      </c>
      <c r="BO3" s="5" t="s">
        <v>846</v>
      </c>
      <c r="BP3" s="5" t="s">
        <v>846</v>
      </c>
      <c r="BQ3" s="5" t="s">
        <v>846</v>
      </c>
      <c r="BR3" s="5" t="s">
        <v>846</v>
      </c>
      <c r="BS3" s="5" t="s">
        <v>846</v>
      </c>
      <c r="BT3" s="5" t="s">
        <v>846</v>
      </c>
      <c r="BU3" s="5" t="s">
        <v>846</v>
      </c>
      <c r="BV3" s="5" t="s">
        <v>846</v>
      </c>
      <c r="BW3" s="5" t="s">
        <v>846</v>
      </c>
      <c r="BX3" s="5" t="s">
        <v>846</v>
      </c>
      <c r="BY3" s="5" t="s">
        <v>846</v>
      </c>
      <c r="BZ3" s="5" t="s">
        <v>846</v>
      </c>
      <c r="CA3" s="5" t="s">
        <v>846</v>
      </c>
      <c r="CB3" s="5" t="s">
        <v>846</v>
      </c>
    </row>
    <row r="4" spans="1:80" s="23" customFormat="1" ht="13.5" customHeight="1">
      <c r="A4" s="175">
        <v>1</v>
      </c>
      <c r="B4" s="15" t="s">
        <v>76</v>
      </c>
      <c r="C4" s="4" t="s">
        <v>847</v>
      </c>
      <c r="D4" s="4" t="s">
        <v>848</v>
      </c>
      <c r="E4" s="174" t="s">
        <v>846</v>
      </c>
      <c r="F4" s="197">
        <v>101</v>
      </c>
      <c r="G4" s="197">
        <v>102</v>
      </c>
      <c r="H4" s="197">
        <v>103</v>
      </c>
      <c r="I4" s="197">
        <v>104</v>
      </c>
      <c r="J4" s="197">
        <v>105</v>
      </c>
      <c r="K4" s="197">
        <v>106</v>
      </c>
      <c r="L4" s="197">
        <v>107</v>
      </c>
      <c r="M4" s="197">
        <v>109</v>
      </c>
      <c r="N4" s="197">
        <v>110</v>
      </c>
      <c r="O4" s="197">
        <v>111</v>
      </c>
      <c r="P4" s="197">
        <v>112</v>
      </c>
      <c r="Q4" s="197">
        <v>113</v>
      </c>
      <c r="R4" s="197">
        <v>114</v>
      </c>
      <c r="S4" s="197">
        <v>115</v>
      </c>
      <c r="T4" s="197">
        <v>116</v>
      </c>
      <c r="U4" s="197">
        <v>117</v>
      </c>
      <c r="V4" s="197">
        <v>118</v>
      </c>
      <c r="W4" s="197">
        <v>120</v>
      </c>
      <c r="X4" s="197">
        <v>221</v>
      </c>
      <c r="Y4" s="197">
        <v>222</v>
      </c>
      <c r="Z4" s="197">
        <v>121</v>
      </c>
      <c r="AA4" s="197">
        <v>122</v>
      </c>
      <c r="AB4" s="197">
        <v>123</v>
      </c>
      <c r="AC4" s="197">
        <v>124</v>
      </c>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7"/>
      <c r="BH4" s="197"/>
      <c r="BI4" s="197"/>
      <c r="BJ4" s="197"/>
      <c r="BK4" s="197"/>
      <c r="BL4" s="197"/>
      <c r="BM4" s="197"/>
      <c r="BN4" s="197"/>
      <c r="BO4" s="197"/>
      <c r="BP4" s="197"/>
      <c r="BQ4" s="197"/>
      <c r="BR4" s="197"/>
      <c r="BS4" s="197"/>
      <c r="BT4" s="197"/>
      <c r="BU4" s="197"/>
      <c r="BV4" s="197"/>
      <c r="BW4" s="197"/>
      <c r="BX4" s="197"/>
      <c r="BY4" s="197"/>
      <c r="BZ4" s="197"/>
      <c r="CA4" s="197"/>
      <c r="CB4" s="197"/>
    </row>
    <row r="5" spans="1:80" s="23" customFormat="1" ht="13.5" customHeight="1">
      <c r="A5" s="175">
        <v>2</v>
      </c>
      <c r="B5" s="15" t="s">
        <v>849</v>
      </c>
      <c r="C5" s="4" t="s">
        <v>850</v>
      </c>
      <c r="D5" s="4" t="s">
        <v>848</v>
      </c>
      <c r="E5" s="174" t="s">
        <v>846</v>
      </c>
      <c r="F5" s="197" t="s">
        <v>851</v>
      </c>
      <c r="G5" s="197" t="s">
        <v>851</v>
      </c>
      <c r="H5" s="197" t="s">
        <v>851</v>
      </c>
      <c r="I5" s="197" t="s">
        <v>851</v>
      </c>
      <c r="J5" s="197" t="s">
        <v>851</v>
      </c>
      <c r="K5" s="197" t="s">
        <v>851</v>
      </c>
      <c r="L5" s="197" t="s">
        <v>851</v>
      </c>
      <c r="M5" s="197" t="s">
        <v>851</v>
      </c>
      <c r="N5" s="197" t="s">
        <v>852</v>
      </c>
      <c r="O5" s="197" t="s">
        <v>851</v>
      </c>
      <c r="P5" s="197" t="s">
        <v>851</v>
      </c>
      <c r="Q5" s="197" t="s">
        <v>851</v>
      </c>
      <c r="R5" s="197" t="s">
        <v>851</v>
      </c>
      <c r="S5" s="197" t="s">
        <v>851</v>
      </c>
      <c r="T5" s="197" t="s">
        <v>851</v>
      </c>
      <c r="U5" s="197" t="s">
        <v>851</v>
      </c>
      <c r="V5" s="197" t="s">
        <v>852</v>
      </c>
      <c r="W5" s="197" t="s">
        <v>851</v>
      </c>
      <c r="X5" s="197" t="s">
        <v>851</v>
      </c>
      <c r="Y5" s="197" t="s">
        <v>851</v>
      </c>
      <c r="Z5" s="197" t="s">
        <v>851</v>
      </c>
      <c r="AA5" s="197" t="s">
        <v>851</v>
      </c>
      <c r="AB5" s="197" t="inlineStr">
        <is>
          <t>no</t>
        </is>
      </c>
      <c r="AC5" s="197" t="inlineStr">
        <is>
          <t>no</t>
        </is>
      </c>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row>
    <row r="6" spans="1:80" ht="13.5" customHeight="1">
      <c r="A6" s="175">
        <v>3</v>
      </c>
      <c r="B6" s="15" t="s">
        <v>853</v>
      </c>
      <c r="C6" s="4" t="s">
        <v>377</v>
      </c>
      <c r="D6" s="4" t="s">
        <v>846</v>
      </c>
      <c r="E6" s="174" t="s">
        <v>846</v>
      </c>
      <c r="F6" s="5" t="str">
        <f t="shared" ref="F6:Y6" si="0">VLOOKUP(F4,id_settings,2,FALSE)</f>
        <v>西池袋駅前ビル</v>
      </c>
      <c r="G6" s="5" t="str">
        <f t="shared" si="0"/>
        <v>池袋ハウス</v>
      </c>
      <c r="H6" s="5" t="str">
        <f t="shared" si="0"/>
        <v>カーサ目白台ハウス</v>
      </c>
      <c r="I6" s="5" t="str">
        <f t="shared" si="0"/>
        <v>コアプラス池袋</v>
      </c>
      <c r="J6" s="5" t="str">
        <f t="shared" si="0"/>
        <v>目白アパート</v>
      </c>
      <c r="K6" s="5" t="str">
        <f t="shared" si="0"/>
        <v>東池袋ハイツ</v>
      </c>
      <c r="L6" s="5" t="str">
        <f t="shared" si="0"/>
        <v>メゾン雑司ヶ谷</v>
      </c>
      <c r="M6" s="5" t="str">
        <f t="shared" si="0"/>
        <v>カーサ南池袋</v>
      </c>
      <c r="N6" s="5" t="str">
        <f t="shared" si="0"/>
        <v>仙台駅前コーポ</v>
      </c>
      <c r="O6" s="5" t="str">
        <f t="shared" si="0"/>
        <v>目白カーサ二番館</v>
      </c>
      <c r="P6" s="5" t="str">
        <f t="shared" si="0"/>
        <v>豊島目白ビル</v>
      </c>
      <c r="Q6" s="5" t="str">
        <f t="shared" si="0"/>
        <v>第3目白ハイツ</v>
      </c>
      <c r="R6" s="5" t="str">
        <f t="shared" si="0"/>
        <v>レジデンス目白豊島</v>
      </c>
      <c r="S6" s="5" t="str">
        <f t="shared" si="0"/>
        <v>コアプラス大塚</v>
      </c>
      <c r="T6" s="5" t="str">
        <f t="shared" si="0"/>
        <v>コアプラスレジデンス梅田</v>
      </c>
      <c r="U6" s="5" t="str">
        <f t="shared" si="0"/>
        <v>高田馬場第4玉川ビル</v>
      </c>
      <c r="V6" s="5" t="str">
        <f t="shared" si="0"/>
        <v>あおばマンション</v>
      </c>
      <c r="W6" s="5" t="str">
        <f t="shared" si="0"/>
        <v>南池袋マンション</v>
      </c>
      <c r="X6" s="5" t="str">
        <f t="shared" si="0"/>
        <v>ビジネス新大阪123号</v>
      </c>
      <c r="Y6" s="5" t="str">
        <f t="shared" si="0"/>
        <v>プラウD目白301号</v>
      </c>
      <c r="Z6" s="5" t="str">
        <f t="shared" ref="Z6:BP6" si="1">VLOOKUP(Z4,id_settings,2,FALSE)</f>
        <v>目白アパート1号館</v>
      </c>
      <c r="AA6" s="5" t="str">
        <f t="shared" si="1"/>
        <v>目白アパート2号館</v>
      </c>
      <c r="AB6" s="5" t="e">
        <f t="shared" si="1"/>
        <v>#N/A</v>
      </c>
      <c r="AC6" s="5" t="e">
        <f t="shared" si="1"/>
        <v>#N/A</v>
      </c>
      <c r="AD6" s="5" t="e">
        <f t="shared" si="1"/>
        <v>#N/A</v>
      </c>
      <c r="AE6" s="5" t="e">
        <f t="shared" si="1"/>
        <v>#N/A</v>
      </c>
      <c r="AF6" s="5" t="e">
        <f t="shared" si="1"/>
        <v>#N/A</v>
      </c>
      <c r="AG6" s="5" t="e">
        <f t="shared" si="1"/>
        <v>#N/A</v>
      </c>
      <c r="AH6" s="5" t="e">
        <f t="shared" si="1"/>
        <v>#N/A</v>
      </c>
      <c r="AI6" s="5" t="e">
        <f t="shared" si="1"/>
        <v>#N/A</v>
      </c>
      <c r="AJ6" s="5" t="e">
        <f t="shared" si="1"/>
        <v>#N/A</v>
      </c>
      <c r="AK6" s="5" t="e">
        <f t="shared" si="1"/>
        <v>#N/A</v>
      </c>
      <c r="AL6" s="5" t="e">
        <f t="shared" si="1"/>
        <v>#N/A</v>
      </c>
      <c r="AM6" s="5" t="e">
        <f t="shared" si="1"/>
        <v>#N/A</v>
      </c>
      <c r="AN6" s="5" t="e">
        <f t="shared" si="1"/>
        <v>#N/A</v>
      </c>
      <c r="AO6" s="5" t="e">
        <f t="shared" si="1"/>
        <v>#N/A</v>
      </c>
      <c r="AP6" s="5" t="e">
        <f t="shared" si="1"/>
        <v>#N/A</v>
      </c>
      <c r="AQ6" s="5" t="e">
        <f t="shared" si="1"/>
        <v>#N/A</v>
      </c>
      <c r="AR6" s="5" t="e">
        <f t="shared" si="1"/>
        <v>#N/A</v>
      </c>
      <c r="AS6" s="5" t="e">
        <f t="shared" si="1"/>
        <v>#N/A</v>
      </c>
      <c r="AT6" s="5" t="e">
        <f t="shared" si="1"/>
        <v>#N/A</v>
      </c>
      <c r="AU6" s="5" t="e">
        <f t="shared" si="1"/>
        <v>#N/A</v>
      </c>
      <c r="AV6" s="5" t="e">
        <f t="shared" si="1"/>
        <v>#N/A</v>
      </c>
      <c r="AW6" s="5" t="e">
        <f t="shared" si="1"/>
        <v>#N/A</v>
      </c>
      <c r="AX6" s="5" t="e">
        <f t="shared" si="1"/>
        <v>#N/A</v>
      </c>
      <c r="AY6" s="5" t="e">
        <f t="shared" si="1"/>
        <v>#N/A</v>
      </c>
      <c r="AZ6" s="5" t="e">
        <f t="shared" si="1"/>
        <v>#N/A</v>
      </c>
      <c r="BA6" s="5" t="e">
        <f t="shared" si="1"/>
        <v>#N/A</v>
      </c>
      <c r="BB6" s="5" t="e">
        <f t="shared" si="1"/>
        <v>#N/A</v>
      </c>
      <c r="BC6" s="5" t="e">
        <f t="shared" si="1"/>
        <v>#N/A</v>
      </c>
      <c r="BD6" s="5" t="e">
        <f t="shared" si="1"/>
        <v>#N/A</v>
      </c>
      <c r="BE6" s="5" t="e">
        <f t="shared" si="1"/>
        <v>#N/A</v>
      </c>
      <c r="BF6" s="5" t="e">
        <f t="shared" si="1"/>
        <v>#N/A</v>
      </c>
      <c r="BG6" s="5" t="e">
        <f t="shared" si="1"/>
        <v>#N/A</v>
      </c>
      <c r="BH6" s="5" t="e">
        <f t="shared" si="1"/>
        <v>#N/A</v>
      </c>
      <c r="BI6" s="5" t="e">
        <f t="shared" si="1"/>
        <v>#N/A</v>
      </c>
      <c r="BJ6" s="5" t="e">
        <f t="shared" si="1"/>
        <v>#N/A</v>
      </c>
      <c r="BK6" s="5" t="e">
        <f t="shared" si="1"/>
        <v>#N/A</v>
      </c>
      <c r="BL6" s="5" t="e">
        <f t="shared" si="1"/>
        <v>#N/A</v>
      </c>
      <c r="BM6" s="5" t="e">
        <f t="shared" si="1"/>
        <v>#N/A</v>
      </c>
      <c r="BN6" s="5" t="e">
        <f t="shared" si="1"/>
        <v>#N/A</v>
      </c>
      <c r="BO6" s="5" t="e">
        <f t="shared" si="1"/>
        <v>#N/A</v>
      </c>
      <c r="BP6" s="5" t="e">
        <f t="shared" si="1"/>
        <v>#N/A</v>
      </c>
      <c r="BQ6" s="5" t="e">
        <f t="shared" ref="BQ6:CB6" si="2">VLOOKUP(BQ4,id_settings,2,FALSE)</f>
        <v>#N/A</v>
      </c>
      <c r="BR6" s="5" t="e">
        <f t="shared" si="2"/>
        <v>#N/A</v>
      </c>
      <c r="BS6" s="5" t="e">
        <f t="shared" si="2"/>
        <v>#N/A</v>
      </c>
      <c r="BT6" s="5" t="e">
        <f t="shared" si="2"/>
        <v>#N/A</v>
      </c>
      <c r="BU6" s="5" t="e">
        <f t="shared" si="2"/>
        <v>#N/A</v>
      </c>
      <c r="BV6" s="5" t="e">
        <f t="shared" si="2"/>
        <v>#N/A</v>
      </c>
      <c r="BW6" s="5" t="e">
        <f t="shared" si="2"/>
        <v>#N/A</v>
      </c>
      <c r="BX6" s="5" t="e">
        <f t="shared" si="2"/>
        <v>#N/A</v>
      </c>
      <c r="BY6" s="5" t="e">
        <f t="shared" si="2"/>
        <v>#N/A</v>
      </c>
      <c r="BZ6" s="5" t="e">
        <f t="shared" si="2"/>
        <v>#N/A</v>
      </c>
      <c r="CA6" s="5" t="e">
        <f t="shared" si="2"/>
        <v>#N/A</v>
      </c>
      <c r="CB6" s="5" t="e">
        <f t="shared" si="2"/>
        <v>#N/A</v>
      </c>
    </row>
    <row r="7" spans="1:80" ht="13.5" customHeight="1">
      <c r="A7" s="349">
        <v>4</v>
      </c>
      <c r="B7" s="176" t="s">
        <v>854</v>
      </c>
      <c r="C7" s="4" t="s">
        <v>846</v>
      </c>
      <c r="D7" s="4" t="s">
        <v>846</v>
      </c>
      <c r="E7" s="174" t="s">
        <v>846</v>
      </c>
      <c r="F7" s="5" t="s">
        <v>846</v>
      </c>
      <c r="G7" s="5" t="s">
        <v>846</v>
      </c>
      <c r="H7" s="5" t="s">
        <v>846</v>
      </c>
      <c r="I7" s="5" t="s">
        <v>846</v>
      </c>
      <c r="J7" s="5" t="s">
        <v>846</v>
      </c>
      <c r="K7" s="5" t="s">
        <v>846</v>
      </c>
      <c r="L7" s="5" t="s">
        <v>846</v>
      </c>
      <c r="M7" s="5" t="s">
        <v>846</v>
      </c>
      <c r="N7" s="5" t="s">
        <v>846</v>
      </c>
      <c r="O7" s="5" t="s">
        <v>846</v>
      </c>
      <c r="P7" s="5" t="s">
        <v>846</v>
      </c>
      <c r="Q7" s="5" t="s">
        <v>846</v>
      </c>
      <c r="R7" s="5" t="s">
        <v>846</v>
      </c>
      <c r="S7" s="5" t="s">
        <v>846</v>
      </c>
      <c r="T7" s="5" t="s">
        <v>846</v>
      </c>
      <c r="U7" s="5" t="s">
        <v>846</v>
      </c>
      <c r="V7" s="5" t="s">
        <v>846</v>
      </c>
      <c r="W7" s="5" t="s">
        <v>846</v>
      </c>
      <c r="X7" s="5" t="s">
        <v>846</v>
      </c>
      <c r="Y7" s="5" t="s">
        <v>846</v>
      </c>
      <c r="Z7" s="5" t="s">
        <v>846</v>
      </c>
      <c r="AA7" s="5" t="s">
        <v>846</v>
      </c>
      <c r="AB7" s="5" t="s">
        <v>846</v>
      </c>
      <c r="AC7" s="5" t="s">
        <v>846</v>
      </c>
      <c r="AD7" s="5" t="s">
        <v>846</v>
      </c>
      <c r="AE7" s="5" t="s">
        <v>846</v>
      </c>
      <c r="AF7" s="5" t="s">
        <v>846</v>
      </c>
      <c r="AG7" s="5" t="s">
        <v>846</v>
      </c>
      <c r="AH7" s="5" t="s">
        <v>846</v>
      </c>
      <c r="AI7" s="5" t="s">
        <v>846</v>
      </c>
      <c r="AJ7" s="5" t="s">
        <v>846</v>
      </c>
      <c r="AK7" s="5" t="s">
        <v>846</v>
      </c>
      <c r="AL7" s="5" t="s">
        <v>846</v>
      </c>
      <c r="AM7" s="5" t="s">
        <v>846</v>
      </c>
      <c r="AN7" s="5" t="s">
        <v>846</v>
      </c>
      <c r="AO7" s="5" t="s">
        <v>846</v>
      </c>
      <c r="AP7" s="5" t="s">
        <v>846</v>
      </c>
      <c r="AQ7" s="5" t="s">
        <v>846</v>
      </c>
      <c r="AR7" s="5" t="s">
        <v>846</v>
      </c>
      <c r="AS7" s="5" t="s">
        <v>846</v>
      </c>
      <c r="AT7" s="5" t="s">
        <v>846</v>
      </c>
      <c r="AU7" s="5" t="s">
        <v>846</v>
      </c>
      <c r="AV7" s="5" t="s">
        <v>846</v>
      </c>
      <c r="AW7" s="5" t="s">
        <v>846</v>
      </c>
      <c r="AX7" s="5" t="s">
        <v>846</v>
      </c>
      <c r="AY7" s="5" t="s">
        <v>846</v>
      </c>
      <c r="AZ7" s="5" t="s">
        <v>846</v>
      </c>
      <c r="BA7" s="5" t="s">
        <v>846</v>
      </c>
      <c r="BB7" s="5" t="s">
        <v>846</v>
      </c>
      <c r="BC7" s="5" t="s">
        <v>846</v>
      </c>
      <c r="BD7" s="5" t="s">
        <v>846</v>
      </c>
      <c r="BE7" s="5" t="s">
        <v>846</v>
      </c>
      <c r="BF7" s="5" t="s">
        <v>846</v>
      </c>
      <c r="BG7" s="5" t="s">
        <v>846</v>
      </c>
      <c r="BH7" s="5" t="s">
        <v>846</v>
      </c>
      <c r="BI7" s="5" t="s">
        <v>846</v>
      </c>
      <c r="BJ7" s="5" t="s">
        <v>846</v>
      </c>
      <c r="BK7" s="5" t="s">
        <v>846</v>
      </c>
      <c r="BL7" s="5" t="s">
        <v>846</v>
      </c>
      <c r="BM7" s="5" t="s">
        <v>846</v>
      </c>
      <c r="BN7" s="5" t="s">
        <v>846</v>
      </c>
      <c r="BO7" s="5" t="s">
        <v>846</v>
      </c>
      <c r="BP7" s="5" t="s">
        <v>846</v>
      </c>
      <c r="BQ7" s="5" t="s">
        <v>846</v>
      </c>
      <c r="BR7" s="5" t="s">
        <v>846</v>
      </c>
      <c r="BS7" s="5" t="s">
        <v>846</v>
      </c>
      <c r="BT7" s="5" t="s">
        <v>846</v>
      </c>
      <c r="BU7" s="5" t="s">
        <v>846</v>
      </c>
      <c r="BV7" s="5" t="s">
        <v>846</v>
      </c>
      <c r="BW7" s="5" t="s">
        <v>846</v>
      </c>
      <c r="BX7" s="5" t="s">
        <v>846</v>
      </c>
      <c r="BY7" s="5" t="s">
        <v>846</v>
      </c>
      <c r="BZ7" s="5" t="s">
        <v>846</v>
      </c>
      <c r="CA7" s="5" t="s">
        <v>846</v>
      </c>
      <c r="CB7" s="5" t="s">
        <v>846</v>
      </c>
    </row>
    <row r="8" spans="1:80" s="23" customFormat="1" ht="13.5" customHeight="1">
      <c r="A8" s="175">
        <v>5</v>
      </c>
      <c r="B8" s="15" t="s">
        <v>855</v>
      </c>
      <c r="C8" s="4" t="s">
        <v>847</v>
      </c>
      <c r="D8" s="4" t="s">
        <v>848</v>
      </c>
      <c r="E8" s="174" t="s">
        <v>846</v>
      </c>
      <c r="F8" s="197">
        <v>401</v>
      </c>
      <c r="G8" s="197">
        <v>402</v>
      </c>
      <c r="H8" s="197">
        <v>403</v>
      </c>
      <c r="I8" s="197">
        <v>404</v>
      </c>
      <c r="J8" s="197">
        <v>405</v>
      </c>
      <c r="K8" s="197">
        <v>406</v>
      </c>
      <c r="L8" s="197">
        <v>407</v>
      </c>
      <c r="M8" s="197">
        <v>409</v>
      </c>
      <c r="N8" s="197">
        <v>410</v>
      </c>
      <c r="O8" s="197">
        <v>401</v>
      </c>
      <c r="P8" s="197">
        <v>402</v>
      </c>
      <c r="Q8" s="197">
        <v>404</v>
      </c>
      <c r="R8" s="197">
        <v>404</v>
      </c>
      <c r="S8" s="197">
        <v>405</v>
      </c>
      <c r="T8" s="197">
        <v>406</v>
      </c>
      <c r="U8" s="197">
        <v>407</v>
      </c>
      <c r="V8" s="197">
        <v>410</v>
      </c>
      <c r="W8" s="197">
        <v>408</v>
      </c>
      <c r="X8" s="197">
        <v>408</v>
      </c>
      <c r="Y8" s="197">
        <v>401</v>
      </c>
      <c r="Z8" s="197">
        <v>408</v>
      </c>
      <c r="AA8" s="197">
        <v>408</v>
      </c>
      <c r="AB8" s="197">
        <v>412</v>
      </c>
      <c r="AC8" s="197">
        <v>412</v>
      </c>
      <c r="AD8" s="197"/>
      <c r="AE8" s="197"/>
      <c r="AF8" s="197"/>
      <c r="AG8" s="197"/>
      <c r="AH8" s="197"/>
      <c r="AI8" s="197"/>
      <c r="AJ8" s="197"/>
      <c r="AK8" s="197"/>
      <c r="AL8" s="197"/>
      <c r="AM8" s="197"/>
      <c r="AN8" s="197"/>
      <c r="AO8" s="197"/>
      <c r="AP8" s="197"/>
      <c r="AQ8" s="197"/>
      <c r="AR8" s="197"/>
      <c r="AS8" s="197"/>
      <c r="AT8" s="197"/>
      <c r="AU8" s="197"/>
      <c r="AV8" s="197"/>
      <c r="AW8" s="197"/>
      <c r="AX8" s="197"/>
      <c r="AY8" s="197"/>
      <c r="AZ8" s="197"/>
      <c r="BA8" s="197"/>
      <c r="BB8" s="197"/>
      <c r="BC8" s="197"/>
      <c r="BD8" s="197"/>
      <c r="BE8" s="197"/>
      <c r="BF8" s="197"/>
      <c r="BG8" s="197"/>
      <c r="BH8" s="197"/>
      <c r="BI8" s="197"/>
      <c r="BJ8" s="197"/>
      <c r="BK8" s="197"/>
      <c r="BL8" s="197"/>
      <c r="BM8" s="197"/>
      <c r="BN8" s="197"/>
      <c r="BO8" s="197"/>
      <c r="BP8" s="197"/>
      <c r="BQ8" s="197"/>
      <c r="BR8" s="197"/>
      <c r="BS8" s="197"/>
      <c r="BT8" s="197"/>
      <c r="BU8" s="197"/>
      <c r="BV8" s="197"/>
      <c r="BW8" s="197"/>
      <c r="BX8" s="197"/>
      <c r="BY8" s="197"/>
      <c r="BZ8" s="197"/>
      <c r="CA8" s="197"/>
      <c r="CB8" s="197"/>
    </row>
    <row r="9" spans="1:80" ht="13.5" customHeight="1">
      <c r="A9" s="175">
        <v>6</v>
      </c>
      <c r="B9" s="15" t="s">
        <v>78</v>
      </c>
      <c r="C9" s="4" t="s">
        <v>377</v>
      </c>
      <c r="D9" s="4" t="s">
        <v>846</v>
      </c>
      <c r="E9" s="174" t="s">
        <v>846</v>
      </c>
      <c r="F9" s="5" t="str">
        <f t="shared" ref="F9:Y9" si="3">VLOOKUP(F8,id_settings,2,FALSE)</f>
        <v>コアプラス東京株式会社</v>
      </c>
      <c r="G9" s="5" t="str">
        <f t="shared" si="3"/>
        <v>コアプラス名古屋株式会社</v>
      </c>
      <c r="H9" s="5" t="str">
        <f t="shared" si="3"/>
        <v>有限会社コアプラス2号</v>
      </c>
      <c r="I9" s="5" t="str">
        <f t="shared" si="3"/>
        <v>コアプラス大阪株式会社</v>
      </c>
      <c r="J9" s="5" t="str">
        <f t="shared" si="3"/>
        <v>コアプラス仙台株式会社</v>
      </c>
      <c r="K9" s="5" t="str">
        <f t="shared" si="3"/>
        <v>コアプラス札幌株式会社</v>
      </c>
      <c r="L9" s="5" t="str">
        <f t="shared" si="3"/>
        <v>コアプラス福岡株式会社</v>
      </c>
      <c r="M9" s="5" t="str">
        <f t="shared" si="3"/>
        <v>コアプラス四国株式会社</v>
      </c>
      <c r="N9" s="5" t="str">
        <f t="shared" si="3"/>
        <v>コアプラス沖縄株式会社</v>
      </c>
      <c r="O9" s="5" t="str">
        <f t="shared" si="3"/>
        <v>コアプラス東京株式会社</v>
      </c>
      <c r="P9" s="5" t="str">
        <f t="shared" si="3"/>
        <v>コアプラス名古屋株式会社</v>
      </c>
      <c r="Q9" s="5" t="str">
        <f t="shared" si="3"/>
        <v>コアプラス大阪株式会社</v>
      </c>
      <c r="R9" s="5" t="str">
        <f t="shared" si="3"/>
        <v>コアプラス大阪株式会社</v>
      </c>
      <c r="S9" s="5" t="str">
        <f t="shared" si="3"/>
        <v>コアプラス仙台株式会社</v>
      </c>
      <c r="T9" s="5" t="str">
        <f t="shared" si="3"/>
        <v>コアプラス札幌株式会社</v>
      </c>
      <c r="U9" s="5" t="str">
        <f t="shared" si="3"/>
        <v>コアプラス福岡株式会社</v>
      </c>
      <c r="V9" s="5" t="str">
        <f t="shared" si="3"/>
        <v>コアプラス沖縄株式会社</v>
      </c>
      <c r="W9" s="5" t="str">
        <f t="shared" si="3"/>
        <v>コアプラス京都株式会社</v>
      </c>
      <c r="X9" s="5" t="str">
        <f t="shared" si="3"/>
        <v>コアプラス京都株式会社</v>
      </c>
      <c r="Y9" s="5" t="str">
        <f t="shared" si="3"/>
        <v>コアプラス東京株式会社</v>
      </c>
      <c r="Z9" s="5" t="str">
        <f t="shared" ref="Z9:BP9" si="4">VLOOKUP(Z8,id_settings,2,FALSE)</f>
        <v>コアプラス京都株式会社</v>
      </c>
      <c r="AA9" s="5" t="str">
        <f t="shared" si="4"/>
        <v>コアプラス京都株式会社</v>
      </c>
      <c r="AB9" s="5" t="e">
        <f t="shared" si="4"/>
        <v>#N/A</v>
      </c>
      <c r="AC9" s="5" t="e">
        <f t="shared" si="4"/>
        <v>#N/A</v>
      </c>
      <c r="AD9" s="5" t="e">
        <f t="shared" si="4"/>
        <v>#N/A</v>
      </c>
      <c r="AE9" s="5" t="e">
        <f t="shared" si="4"/>
        <v>#N/A</v>
      </c>
      <c r="AF9" s="5" t="e">
        <f t="shared" si="4"/>
        <v>#N/A</v>
      </c>
      <c r="AG9" s="5" t="e">
        <f t="shared" si="4"/>
        <v>#N/A</v>
      </c>
      <c r="AH9" s="5" t="e">
        <f t="shared" si="4"/>
        <v>#N/A</v>
      </c>
      <c r="AI9" s="5" t="e">
        <f t="shared" si="4"/>
        <v>#N/A</v>
      </c>
      <c r="AJ9" s="5" t="e">
        <f t="shared" si="4"/>
        <v>#N/A</v>
      </c>
      <c r="AK9" s="5" t="e">
        <f t="shared" si="4"/>
        <v>#N/A</v>
      </c>
      <c r="AL9" s="5" t="e">
        <f t="shared" si="4"/>
        <v>#N/A</v>
      </c>
      <c r="AM9" s="5" t="e">
        <f t="shared" si="4"/>
        <v>#N/A</v>
      </c>
      <c r="AN9" s="5" t="e">
        <f t="shared" si="4"/>
        <v>#N/A</v>
      </c>
      <c r="AO9" s="5" t="e">
        <f t="shared" si="4"/>
        <v>#N/A</v>
      </c>
      <c r="AP9" s="5" t="e">
        <f t="shared" si="4"/>
        <v>#N/A</v>
      </c>
      <c r="AQ9" s="5" t="e">
        <f t="shared" si="4"/>
        <v>#N/A</v>
      </c>
      <c r="AR9" s="5" t="e">
        <f t="shared" si="4"/>
        <v>#N/A</v>
      </c>
      <c r="AS9" s="5" t="e">
        <f t="shared" si="4"/>
        <v>#N/A</v>
      </c>
      <c r="AT9" s="5" t="e">
        <f t="shared" si="4"/>
        <v>#N/A</v>
      </c>
      <c r="AU9" s="5" t="e">
        <f t="shared" si="4"/>
        <v>#N/A</v>
      </c>
      <c r="AV9" s="5" t="e">
        <f t="shared" si="4"/>
        <v>#N/A</v>
      </c>
      <c r="AW9" s="5" t="e">
        <f t="shared" si="4"/>
        <v>#N/A</v>
      </c>
      <c r="AX9" s="5" t="e">
        <f t="shared" si="4"/>
        <v>#N/A</v>
      </c>
      <c r="AY9" s="5" t="e">
        <f t="shared" si="4"/>
        <v>#N/A</v>
      </c>
      <c r="AZ9" s="5" t="e">
        <f t="shared" si="4"/>
        <v>#N/A</v>
      </c>
      <c r="BA9" s="5" t="e">
        <f t="shared" si="4"/>
        <v>#N/A</v>
      </c>
      <c r="BB9" s="5" t="e">
        <f t="shared" si="4"/>
        <v>#N/A</v>
      </c>
      <c r="BC9" s="5" t="e">
        <f t="shared" si="4"/>
        <v>#N/A</v>
      </c>
      <c r="BD9" s="5" t="e">
        <f t="shared" si="4"/>
        <v>#N/A</v>
      </c>
      <c r="BE9" s="5" t="e">
        <f t="shared" si="4"/>
        <v>#N/A</v>
      </c>
      <c r="BF9" s="5" t="e">
        <f t="shared" si="4"/>
        <v>#N/A</v>
      </c>
      <c r="BG9" s="5" t="e">
        <f t="shared" si="4"/>
        <v>#N/A</v>
      </c>
      <c r="BH9" s="5" t="e">
        <f t="shared" si="4"/>
        <v>#N/A</v>
      </c>
      <c r="BI9" s="5" t="e">
        <f t="shared" si="4"/>
        <v>#N/A</v>
      </c>
      <c r="BJ9" s="5" t="e">
        <f t="shared" si="4"/>
        <v>#N/A</v>
      </c>
      <c r="BK9" s="5" t="e">
        <f t="shared" si="4"/>
        <v>#N/A</v>
      </c>
      <c r="BL9" s="5" t="e">
        <f t="shared" si="4"/>
        <v>#N/A</v>
      </c>
      <c r="BM9" s="5" t="e">
        <f t="shared" si="4"/>
        <v>#N/A</v>
      </c>
      <c r="BN9" s="5" t="e">
        <f t="shared" si="4"/>
        <v>#N/A</v>
      </c>
      <c r="BO9" s="5" t="e">
        <f t="shared" si="4"/>
        <v>#N/A</v>
      </c>
      <c r="BP9" s="5" t="e">
        <f t="shared" si="4"/>
        <v>#N/A</v>
      </c>
      <c r="BQ9" s="5" t="e">
        <f t="shared" ref="BQ9:CB9" si="5">VLOOKUP(BQ8,id_settings,2,FALSE)</f>
        <v>#N/A</v>
      </c>
      <c r="BR9" s="5" t="e">
        <f t="shared" si="5"/>
        <v>#N/A</v>
      </c>
      <c r="BS9" s="5" t="e">
        <f t="shared" si="5"/>
        <v>#N/A</v>
      </c>
      <c r="BT9" s="5" t="e">
        <f t="shared" si="5"/>
        <v>#N/A</v>
      </c>
      <c r="BU9" s="5" t="e">
        <f t="shared" si="5"/>
        <v>#N/A</v>
      </c>
      <c r="BV9" s="5" t="e">
        <f t="shared" si="5"/>
        <v>#N/A</v>
      </c>
      <c r="BW9" s="5" t="e">
        <f t="shared" si="5"/>
        <v>#N/A</v>
      </c>
      <c r="BX9" s="5" t="e">
        <f t="shared" si="5"/>
        <v>#N/A</v>
      </c>
      <c r="BY9" s="5" t="e">
        <f t="shared" si="5"/>
        <v>#N/A</v>
      </c>
      <c r="BZ9" s="5" t="e">
        <f t="shared" si="5"/>
        <v>#N/A</v>
      </c>
      <c r="CA9" s="5" t="e">
        <f t="shared" si="5"/>
        <v>#N/A</v>
      </c>
      <c r="CB9" s="5" t="e">
        <f t="shared" si="5"/>
        <v>#N/A</v>
      </c>
    </row>
    <row r="10" spans="1:80" s="23" customFormat="1" ht="13.5" customHeight="1">
      <c r="A10" s="175">
        <v>7</v>
      </c>
      <c r="B10" s="15" t="s">
        <v>79</v>
      </c>
      <c r="C10" s="4" t="s">
        <v>399</v>
      </c>
      <c r="D10" s="4" t="s">
        <v>846</v>
      </c>
      <c r="E10" s="174" t="s">
        <v>846</v>
      </c>
      <c r="F10" s="197" t="s">
        <v>856</v>
      </c>
      <c r="G10" s="197" t="s">
        <v>857</v>
      </c>
      <c r="H10" s="197" t="s">
        <v>858</v>
      </c>
      <c r="I10" s="197" t="s">
        <v>859</v>
      </c>
      <c r="J10" s="197" t="s">
        <v>860</v>
      </c>
      <c r="K10" s="197" t="s">
        <v>861</v>
      </c>
      <c r="L10" s="197" t="s">
        <v>862</v>
      </c>
      <c r="M10" s="197" t="s">
        <v>856</v>
      </c>
      <c r="N10" s="197" t="s">
        <v>863</v>
      </c>
      <c r="O10" s="197" t="s">
        <v>858</v>
      </c>
      <c r="P10" s="197" t="s">
        <v>859</v>
      </c>
      <c r="Q10" s="197" t="s">
        <v>860</v>
      </c>
      <c r="R10" s="197" t="s">
        <v>861</v>
      </c>
      <c r="S10" s="197" t="s">
        <v>862</v>
      </c>
      <c r="T10" s="197" t="s">
        <v>864</v>
      </c>
      <c r="U10" s="197" t="s">
        <v>864</v>
      </c>
      <c r="V10" s="197" t="s">
        <v>865</v>
      </c>
      <c r="W10" s="197" t="s">
        <v>866</v>
      </c>
      <c r="X10" s="197" t="s">
        <v>860</v>
      </c>
      <c r="Y10" s="197" t="s">
        <v>858</v>
      </c>
      <c r="Z10" s="197" t="s">
        <v>858</v>
      </c>
      <c r="AA10" s="197" t="s">
        <v>858</v>
      </c>
      <c r="AB10" s="197" t="inlineStr">
        <is>
          <t>盛岡市高松エリア</t>
        </is>
      </c>
      <c r="AC10" s="197" t="inlineStr">
        <is>
          <t>盛岡市高松エリア</t>
        </is>
      </c>
      <c r="AD10" s="197"/>
      <c r="AE10" s="197"/>
      <c r="AF10" s="197"/>
      <c r="AG10" s="197"/>
      <c r="AH10" s="197"/>
      <c r="AI10" s="197"/>
      <c r="AJ10" s="197"/>
      <c r="AK10" s="197"/>
      <c r="AL10" s="197"/>
      <c r="AM10" s="197"/>
      <c r="AN10" s="197"/>
      <c r="AO10" s="197"/>
      <c r="AP10" s="197"/>
      <c r="AQ10" s="197"/>
      <c r="AR10" s="197"/>
      <c r="AS10" s="197"/>
      <c r="AT10" s="197"/>
      <c r="AU10" s="197"/>
      <c r="AV10" s="197"/>
      <c r="AW10" s="197"/>
      <c r="AX10" s="197"/>
      <c r="AY10" s="197"/>
      <c r="AZ10" s="197"/>
      <c r="BA10" s="197"/>
      <c r="BB10" s="197"/>
      <c r="BC10" s="197"/>
      <c r="BD10" s="197"/>
      <c r="BE10" s="197"/>
      <c r="BF10" s="197"/>
      <c r="BG10" s="197"/>
      <c r="BH10" s="197"/>
      <c r="BI10" s="197"/>
      <c r="BJ10" s="197"/>
      <c r="BK10" s="197"/>
      <c r="BL10" s="197"/>
      <c r="BM10" s="197"/>
      <c r="BN10" s="197"/>
      <c r="BO10" s="197"/>
      <c r="BP10" s="197"/>
      <c r="BQ10" s="197"/>
      <c r="BR10" s="197"/>
      <c r="BS10" s="197"/>
      <c r="BT10" s="197"/>
      <c r="BU10" s="197"/>
      <c r="BV10" s="197"/>
      <c r="BW10" s="197"/>
      <c r="BX10" s="197"/>
      <c r="BY10" s="197"/>
      <c r="BZ10" s="197"/>
      <c r="CA10" s="197"/>
      <c r="CB10" s="197"/>
    </row>
    <row r="11" spans="1:80" s="23" customFormat="1" ht="13.5" customHeight="1">
      <c r="A11" s="175">
        <v>8</v>
      </c>
      <c r="B11" s="15" t="s">
        <v>81</v>
      </c>
      <c r="C11" s="4" t="s">
        <v>399</v>
      </c>
      <c r="D11" s="4" t="s">
        <v>846</v>
      </c>
      <c r="E11" s="174" t="s">
        <v>846</v>
      </c>
      <c r="F11" s="197" t="s">
        <v>867</v>
      </c>
      <c r="G11" s="197" t="s">
        <v>868</v>
      </c>
      <c r="H11" s="197" t="s">
        <v>869</v>
      </c>
      <c r="I11" s="197" t="s">
        <v>870</v>
      </c>
      <c r="J11" s="197" t="s">
        <v>871</v>
      </c>
      <c r="K11" s="197" t="s">
        <v>872</v>
      </c>
      <c r="L11" s="197" t="s">
        <v>867</v>
      </c>
      <c r="M11" s="197" t="s">
        <v>869</v>
      </c>
      <c r="N11" s="197" t="s">
        <v>873</v>
      </c>
      <c r="O11" s="197" t="s">
        <v>871</v>
      </c>
      <c r="P11" s="197" t="s">
        <v>871</v>
      </c>
      <c r="Q11" s="197" t="s">
        <v>869</v>
      </c>
      <c r="R11" s="197" t="s">
        <v>872</v>
      </c>
      <c r="S11" s="197" t="s">
        <v>870</v>
      </c>
      <c r="T11" s="197" t="s">
        <v>874</v>
      </c>
      <c r="U11" s="197" t="s">
        <v>874</v>
      </c>
      <c r="V11" s="197" t="s">
        <v>875</v>
      </c>
      <c r="W11" s="197" t="s">
        <v>868</v>
      </c>
      <c r="X11" s="197" t="s">
        <v>871</v>
      </c>
      <c r="Y11" s="197" t="s">
        <v>876</v>
      </c>
      <c r="Z11" s="197" t="s">
        <v>877</v>
      </c>
      <c r="AA11" s="197" t="s">
        <v>878</v>
      </c>
      <c r="AB11" s="197" t="inlineStr">
        <is>
          <t>岩手県盛岡市高松二丁目</t>
        </is>
      </c>
      <c r="AC11" s="197" t="inlineStr">
        <is>
          <t>岩手県盛岡市高松二丁目</t>
        </is>
      </c>
      <c r="AD11" s="197"/>
      <c r="AE11" s="197"/>
      <c r="AF11" s="197"/>
      <c r="AG11" s="197"/>
      <c r="AH11" s="197"/>
      <c r="AI11" s="197"/>
      <c r="AJ11" s="197"/>
      <c r="AK11" s="197"/>
      <c r="AL11" s="197"/>
      <c r="AM11" s="197"/>
      <c r="AN11" s="197"/>
      <c r="AO11" s="197"/>
      <c r="AP11" s="197"/>
      <c r="AQ11" s="197"/>
      <c r="AR11" s="197"/>
      <c r="AS11" s="197"/>
      <c r="AT11" s="197"/>
      <c r="AU11" s="197"/>
      <c r="AV11" s="197"/>
      <c r="AW11" s="197"/>
      <c r="AX11" s="197"/>
      <c r="AY11" s="197"/>
      <c r="AZ11" s="197"/>
      <c r="BA11" s="197"/>
      <c r="BB11" s="197"/>
      <c r="BC11" s="197"/>
      <c r="BD11" s="197"/>
      <c r="BE11" s="197"/>
      <c r="BF11" s="197"/>
      <c r="BG11" s="197"/>
      <c r="BH11" s="197"/>
      <c r="BI11" s="197"/>
      <c r="BJ11" s="197"/>
      <c r="BK11" s="197"/>
      <c r="BL11" s="197"/>
      <c r="BM11" s="197"/>
      <c r="BN11" s="197"/>
      <c r="BO11" s="197"/>
      <c r="BP11" s="197"/>
      <c r="BQ11" s="197"/>
      <c r="BR11" s="197"/>
      <c r="BS11" s="197"/>
      <c r="BT11" s="197"/>
      <c r="BU11" s="197"/>
      <c r="BV11" s="197"/>
      <c r="BW11" s="197"/>
      <c r="BX11" s="197"/>
      <c r="BY11" s="197"/>
      <c r="BZ11" s="197"/>
      <c r="CA11" s="197"/>
      <c r="CB11" s="197"/>
    </row>
    <row r="12" spans="1:80" s="23" customFormat="1" ht="13.5" customHeight="1">
      <c r="A12" s="175">
        <v>9</v>
      </c>
      <c r="B12" s="13" t="s">
        <v>84</v>
      </c>
      <c r="C12" s="4" t="s">
        <v>399</v>
      </c>
      <c r="D12" s="4" t="s">
        <v>846</v>
      </c>
      <c r="E12" s="174" t="s">
        <v>846</v>
      </c>
      <c r="F12" s="197" t="s">
        <v>879</v>
      </c>
      <c r="G12" s="197" t="s">
        <v>879</v>
      </c>
      <c r="H12" s="197" t="s">
        <v>879</v>
      </c>
      <c r="I12" s="197" t="s">
        <v>879</v>
      </c>
      <c r="J12" s="197" t="s">
        <v>879</v>
      </c>
      <c r="K12" s="197" t="s">
        <v>879</v>
      </c>
      <c r="L12" s="197" t="s">
        <v>879</v>
      </c>
      <c r="M12" s="197" t="s">
        <v>879</v>
      </c>
      <c r="N12" s="197" t="s">
        <v>879</v>
      </c>
      <c r="O12" s="197" t="s">
        <v>879</v>
      </c>
      <c r="P12" s="197" t="s">
        <v>879</v>
      </c>
      <c r="Q12" s="197" t="s">
        <v>879</v>
      </c>
      <c r="R12" s="197" t="s">
        <v>879</v>
      </c>
      <c r="S12" s="197" t="s">
        <v>879</v>
      </c>
      <c r="T12" s="197" t="s">
        <v>879</v>
      </c>
      <c r="U12" s="197" t="s">
        <v>879</v>
      </c>
      <c r="V12" s="197" t="s">
        <v>879</v>
      </c>
      <c r="W12" s="197" t="s">
        <v>879</v>
      </c>
      <c r="X12" s="197" t="s">
        <v>880</v>
      </c>
      <c r="Y12" s="197" t="s">
        <v>880</v>
      </c>
      <c r="Z12" s="197" t="s">
        <v>880</v>
      </c>
      <c r="AA12" s="197" t="s">
        <v>880</v>
      </c>
      <c r="AB12" s="197" t="inlineStr">
        <is>
          <t>一棟</t>
        </is>
      </c>
      <c r="AC12" s="197" t="inlineStr">
        <is>
          <t>一棟</t>
        </is>
      </c>
      <c r="AD12" s="197"/>
      <c r="AE12" s="197"/>
      <c r="AF12" s="197"/>
      <c r="AG12" s="197"/>
      <c r="AH12" s="197"/>
      <c r="AI12" s="197"/>
      <c r="AJ12" s="197"/>
      <c r="AK12" s="197"/>
      <c r="AL12" s="197"/>
      <c r="AM12" s="197"/>
      <c r="AN12" s="197"/>
      <c r="AO12" s="197"/>
      <c r="AP12" s="197"/>
      <c r="AQ12" s="197"/>
      <c r="AR12" s="197"/>
      <c r="AS12" s="197"/>
      <c r="AT12" s="197"/>
      <c r="AU12" s="197"/>
      <c r="AV12" s="197"/>
      <c r="AW12" s="197"/>
      <c r="AX12" s="197"/>
      <c r="AY12" s="197"/>
      <c r="AZ12" s="197"/>
      <c r="BA12" s="197"/>
      <c r="BB12" s="197"/>
      <c r="BC12" s="197"/>
      <c r="BD12" s="197"/>
      <c r="BE12" s="197"/>
      <c r="BF12" s="197"/>
      <c r="BG12" s="197"/>
      <c r="BH12" s="197"/>
      <c r="BI12" s="197"/>
      <c r="BJ12" s="197"/>
      <c r="BK12" s="197"/>
      <c r="BL12" s="197"/>
      <c r="BM12" s="197"/>
      <c r="BN12" s="197"/>
      <c r="BO12" s="197"/>
      <c r="BP12" s="197"/>
      <c r="BQ12" s="197"/>
      <c r="BR12" s="197"/>
      <c r="BS12" s="197"/>
      <c r="BT12" s="197"/>
      <c r="BU12" s="197"/>
      <c r="BV12" s="197"/>
      <c r="BW12" s="197"/>
      <c r="BX12" s="197"/>
      <c r="BY12" s="197"/>
      <c r="BZ12" s="197"/>
      <c r="CA12" s="197"/>
      <c r="CB12" s="197"/>
    </row>
    <row r="13" spans="1:80" s="23" customFormat="1" ht="13.5" customHeight="1">
      <c r="A13" s="175">
        <v>10</v>
      </c>
      <c r="B13" s="13" t="s">
        <v>87</v>
      </c>
      <c r="C13" s="4" t="s">
        <v>399</v>
      </c>
      <c r="D13" s="4" t="s">
        <v>846</v>
      </c>
      <c r="E13" s="174" t="s">
        <v>846</v>
      </c>
      <c r="F13" s="197" t="s">
        <v>881</v>
      </c>
      <c r="G13" s="197" t="s">
        <v>881</v>
      </c>
      <c r="H13" s="197" t="s">
        <v>881</v>
      </c>
      <c r="I13" s="197" t="s">
        <v>881</v>
      </c>
      <c r="J13" s="197" t="s">
        <v>881</v>
      </c>
      <c r="K13" s="197" t="s">
        <v>881</v>
      </c>
      <c r="L13" s="197" t="s">
        <v>881</v>
      </c>
      <c r="M13" s="197" t="s">
        <v>881</v>
      </c>
      <c r="N13" s="197" t="s">
        <v>881</v>
      </c>
      <c r="O13" s="197" t="s">
        <v>881</v>
      </c>
      <c r="P13" s="197" t="s">
        <v>881</v>
      </c>
      <c r="Q13" s="197" t="s">
        <v>881</v>
      </c>
      <c r="R13" s="197" t="s">
        <v>881</v>
      </c>
      <c r="S13" s="197" t="s">
        <v>881</v>
      </c>
      <c r="T13" s="197" t="s">
        <v>881</v>
      </c>
      <c r="U13" s="197" t="s">
        <v>881</v>
      </c>
      <c r="V13" s="197" t="s">
        <v>881</v>
      </c>
      <c r="W13" s="197" t="s">
        <v>881</v>
      </c>
      <c r="X13" s="197" t="s">
        <v>882</v>
      </c>
      <c r="Y13" s="197" t="s">
        <v>881</v>
      </c>
      <c r="Z13" s="197" t="s">
        <v>881</v>
      </c>
      <c r="AA13" s="197" t="s">
        <v>881</v>
      </c>
      <c r="AB13" s="197" t="inlineStr">
        <is>
          <t>所有権</t>
        </is>
      </c>
      <c r="AC13" s="197" t="inlineStr">
        <is>
          <t>所有権</t>
        </is>
      </c>
      <c r="AD13" s="197"/>
      <c r="AE13" s="197"/>
      <c r="AF13" s="197"/>
      <c r="AG13" s="197"/>
      <c r="AH13" s="197"/>
      <c r="AI13" s="197"/>
      <c r="AJ13" s="197"/>
      <c r="AK13" s="197"/>
      <c r="AL13" s="197"/>
      <c r="AM13" s="197"/>
      <c r="AN13" s="197"/>
      <c r="AO13" s="197"/>
      <c r="AP13" s="197"/>
      <c r="AQ13" s="197"/>
      <c r="AR13" s="197"/>
      <c r="AS13" s="197"/>
      <c r="AT13" s="197"/>
      <c r="AU13" s="197"/>
      <c r="AV13" s="197"/>
      <c r="AW13" s="197"/>
      <c r="AX13" s="197"/>
      <c r="AY13" s="197"/>
      <c r="AZ13" s="197"/>
      <c r="BA13" s="197"/>
      <c r="BB13" s="197"/>
      <c r="BC13" s="197"/>
      <c r="BD13" s="197"/>
      <c r="BE13" s="197"/>
      <c r="BF13" s="197"/>
      <c r="BG13" s="197"/>
      <c r="BH13" s="197"/>
      <c r="BI13" s="197"/>
      <c r="BJ13" s="197"/>
      <c r="BK13" s="197"/>
      <c r="BL13" s="197"/>
      <c r="BM13" s="197"/>
      <c r="BN13" s="197"/>
      <c r="BO13" s="197"/>
      <c r="BP13" s="197"/>
      <c r="BQ13" s="197"/>
      <c r="BR13" s="197"/>
      <c r="BS13" s="197"/>
      <c r="BT13" s="197"/>
      <c r="BU13" s="197"/>
      <c r="BV13" s="197"/>
      <c r="BW13" s="197"/>
      <c r="BX13" s="197"/>
      <c r="BY13" s="197"/>
      <c r="BZ13" s="197"/>
      <c r="CA13" s="197"/>
      <c r="CB13" s="197"/>
    </row>
    <row r="14" spans="1:80" s="23" customFormat="1" ht="13.5" customHeight="1">
      <c r="A14" s="175">
        <v>11</v>
      </c>
      <c r="B14" s="13" t="s">
        <v>92</v>
      </c>
      <c r="C14" s="4" t="s">
        <v>399</v>
      </c>
      <c r="D14" s="4" t="s">
        <v>846</v>
      </c>
      <c r="E14" s="174" t="s">
        <v>846</v>
      </c>
      <c r="F14" s="197" t="s">
        <v>883</v>
      </c>
      <c r="G14" s="197" t="s">
        <v>884</v>
      </c>
      <c r="H14" s="197" t="s">
        <v>885</v>
      </c>
      <c r="I14" s="197" t="s">
        <v>886</v>
      </c>
      <c r="J14" s="197" t="s">
        <v>887</v>
      </c>
      <c r="K14" s="197" t="s">
        <v>888</v>
      </c>
      <c r="L14" s="197" t="s">
        <v>888</v>
      </c>
      <c r="M14" s="197" t="s">
        <v>886</v>
      </c>
      <c r="N14" s="197" t="s">
        <v>887</v>
      </c>
      <c r="O14" s="197" t="s">
        <v>889</v>
      </c>
      <c r="P14" s="197" t="s">
        <v>890</v>
      </c>
      <c r="Q14" s="197" t="s">
        <v>891</v>
      </c>
      <c r="R14" s="197" t="s">
        <v>892</v>
      </c>
      <c r="S14" s="197" t="s">
        <v>887</v>
      </c>
      <c r="T14" s="197" t="s">
        <v>890</v>
      </c>
      <c r="U14" s="197" t="s">
        <v>890</v>
      </c>
      <c r="V14" s="197" t="s">
        <v>887</v>
      </c>
      <c r="W14" s="197" t="s">
        <v>893</v>
      </c>
      <c r="X14" s="197" t="s">
        <v>890</v>
      </c>
      <c r="Y14" s="197" t="s">
        <v>887</v>
      </c>
      <c r="Z14" s="197" t="s">
        <v>894</v>
      </c>
      <c r="AA14" s="197" t="s">
        <v>894</v>
      </c>
      <c r="AB14" s="197" t="inlineStr">
        <is>
          <t>要確認</t>
        </is>
      </c>
      <c r="AC14" s="197" t="inlineStr">
        <is>
          <t>木造・貸家3棟（要確認）</t>
        </is>
      </c>
      <c r="AD14" s="197"/>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7"/>
      <c r="BD14" s="197"/>
      <c r="BE14" s="197"/>
      <c r="BF14" s="197"/>
      <c r="BG14" s="197"/>
      <c r="BH14" s="197"/>
      <c r="BI14" s="197"/>
      <c r="BJ14" s="197"/>
      <c r="BK14" s="197"/>
      <c r="BL14" s="197"/>
      <c r="BM14" s="197"/>
      <c r="BN14" s="197"/>
      <c r="BO14" s="197"/>
      <c r="BP14" s="197"/>
      <c r="BQ14" s="197"/>
      <c r="BR14" s="197"/>
      <c r="BS14" s="197"/>
      <c r="BT14" s="197"/>
      <c r="BU14" s="197"/>
      <c r="BV14" s="197"/>
      <c r="BW14" s="197"/>
      <c r="BX14" s="197"/>
      <c r="BY14" s="197"/>
      <c r="BZ14" s="197"/>
      <c r="CA14" s="197"/>
      <c r="CB14" s="197"/>
    </row>
    <row r="15" spans="1:80" s="23" customFormat="1" ht="13.5" customHeight="1">
      <c r="A15" s="175">
        <v>12</v>
      </c>
      <c r="B15" s="13" t="s">
        <v>94</v>
      </c>
      <c r="C15" s="177" t="s">
        <v>895</v>
      </c>
      <c r="D15" s="4" t="s">
        <v>846</v>
      </c>
      <c r="E15" s="178" t="s">
        <v>846</v>
      </c>
      <c r="F15" s="198">
        <v>33639</v>
      </c>
      <c r="G15" s="198">
        <v>34852</v>
      </c>
      <c r="H15" s="198">
        <v>36647</v>
      </c>
      <c r="I15" s="198">
        <v>28501</v>
      </c>
      <c r="J15" s="198">
        <v>37053</v>
      </c>
      <c r="K15" s="198">
        <v>37296</v>
      </c>
      <c r="L15" s="198">
        <v>33639</v>
      </c>
      <c r="M15" s="198">
        <v>36647</v>
      </c>
      <c r="N15" s="198">
        <v>34824</v>
      </c>
      <c r="O15" s="198">
        <v>37053</v>
      </c>
      <c r="P15" s="198">
        <v>37296</v>
      </c>
      <c r="Q15" s="198">
        <v>33639</v>
      </c>
      <c r="R15" s="198">
        <v>34852</v>
      </c>
      <c r="S15" s="198">
        <v>36647</v>
      </c>
      <c r="T15" s="198">
        <v>28501</v>
      </c>
      <c r="U15" s="198">
        <v>28501</v>
      </c>
      <c r="V15" s="198">
        <v>34100</v>
      </c>
      <c r="W15" s="198">
        <v>34852</v>
      </c>
      <c r="X15" s="198">
        <v>37053</v>
      </c>
      <c r="Y15" s="198">
        <v>37296</v>
      </c>
      <c r="Z15" s="198">
        <v>37296</v>
      </c>
      <c r="AA15" s="198">
        <v>37296</v>
      </c>
      <c r="AB15" s="198"/>
      <c r="AC15" s="198"/>
      <c r="AD15" s="198"/>
      <c r="AE15" s="198"/>
      <c r="AF15" s="198"/>
      <c r="AG15" s="198"/>
      <c r="AH15" s="198"/>
      <c r="AI15" s="198"/>
      <c r="AJ15" s="198"/>
      <c r="AK15" s="198"/>
      <c r="AL15" s="198"/>
      <c r="AM15" s="198"/>
      <c r="AN15" s="198"/>
      <c r="AO15" s="198"/>
      <c r="AP15" s="198"/>
      <c r="AQ15" s="198"/>
      <c r="AR15" s="198"/>
      <c r="AS15" s="198"/>
      <c r="AT15" s="198"/>
      <c r="AU15" s="198"/>
      <c r="AV15" s="198"/>
      <c r="AW15" s="198"/>
      <c r="AX15" s="198"/>
      <c r="AY15" s="198"/>
      <c r="AZ15" s="198"/>
      <c r="BA15" s="198"/>
      <c r="BB15" s="198"/>
      <c r="BC15" s="198"/>
      <c r="BD15" s="198"/>
      <c r="BE15" s="198"/>
      <c r="BF15" s="198"/>
      <c r="BG15" s="198"/>
      <c r="BH15" s="198"/>
      <c r="BI15" s="198"/>
      <c r="BJ15" s="198"/>
      <c r="BK15" s="198"/>
      <c r="BL15" s="198"/>
      <c r="BM15" s="198"/>
      <c r="BN15" s="198"/>
      <c r="BO15" s="198"/>
      <c r="BP15" s="198"/>
      <c r="BQ15" s="198"/>
      <c r="BR15" s="198"/>
      <c r="BS15" s="198"/>
      <c r="BT15" s="198"/>
      <c r="BU15" s="198"/>
      <c r="BV15" s="198"/>
      <c r="BW15" s="198"/>
      <c r="BX15" s="198"/>
      <c r="BY15" s="198"/>
      <c r="BZ15" s="198"/>
      <c r="CA15" s="198"/>
      <c r="CB15" s="198"/>
    </row>
    <row r="16" spans="1:80" s="23" customFormat="1" ht="13.5" customHeight="1">
      <c r="A16" s="175">
        <v>13</v>
      </c>
      <c r="B16" s="13" t="s">
        <v>102</v>
      </c>
      <c r="C16" s="4" t="s">
        <v>399</v>
      </c>
      <c r="D16" s="4" t="s">
        <v>846</v>
      </c>
      <c r="E16" s="174" t="s">
        <v>846</v>
      </c>
      <c r="F16" s="197" t="s">
        <v>896</v>
      </c>
      <c r="G16" s="197" t="s">
        <v>897</v>
      </c>
      <c r="H16" s="197" t="s">
        <v>896</v>
      </c>
      <c r="I16" s="197" t="s">
        <v>896</v>
      </c>
      <c r="J16" s="197" t="s">
        <v>896</v>
      </c>
      <c r="K16" s="197" t="s">
        <v>896</v>
      </c>
      <c r="L16" s="197" t="s">
        <v>896</v>
      </c>
      <c r="M16" s="197" t="s">
        <v>896</v>
      </c>
      <c r="N16" s="197" t="s">
        <v>414</v>
      </c>
      <c r="O16" s="197" t="s">
        <v>896</v>
      </c>
      <c r="P16" s="197" t="s">
        <v>896</v>
      </c>
      <c r="Q16" s="197" t="s">
        <v>896</v>
      </c>
      <c r="R16" s="197" t="s">
        <v>896</v>
      </c>
      <c r="S16" s="197" t="s">
        <v>896</v>
      </c>
      <c r="T16" s="197" t="s">
        <v>896</v>
      </c>
      <c r="U16" s="197" t="s">
        <v>896</v>
      </c>
      <c r="V16" s="197" t="s">
        <v>414</v>
      </c>
      <c r="W16" s="197" t="s">
        <v>896</v>
      </c>
      <c r="X16" s="197" t="s">
        <v>898</v>
      </c>
      <c r="Y16" s="197" t="s">
        <v>899</v>
      </c>
      <c r="Z16" s="197" t="s">
        <v>896</v>
      </c>
      <c r="AA16" s="197" t="s">
        <v>896</v>
      </c>
      <c r="AB16" s="197" t="inlineStr">
        <is>
          <t>長期保有</t>
        </is>
      </c>
      <c r="AC16" s="197" t="inlineStr">
        <is>
          <t>長期保有（将来解体・新築検討）</t>
        </is>
      </c>
      <c r="AD16" s="197"/>
      <c r="AE16" s="197"/>
      <c r="AF16" s="197"/>
      <c r="AG16" s="197"/>
      <c r="AH16" s="197"/>
      <c r="AI16" s="197"/>
      <c r="AJ16" s="197"/>
      <c r="AK16" s="197"/>
      <c r="AL16" s="197"/>
      <c r="AM16" s="197"/>
      <c r="AN16" s="197"/>
      <c r="AO16" s="197"/>
      <c r="AP16" s="197"/>
      <c r="AQ16" s="197"/>
      <c r="AR16" s="197"/>
      <c r="AS16" s="197"/>
      <c r="AT16" s="197"/>
      <c r="AU16" s="197"/>
      <c r="AV16" s="197"/>
      <c r="AW16" s="197"/>
      <c r="AX16" s="197"/>
      <c r="AY16" s="197"/>
      <c r="AZ16" s="197"/>
      <c r="BA16" s="197"/>
      <c r="BB16" s="197"/>
      <c r="BC16" s="197"/>
      <c r="BD16" s="197"/>
      <c r="BE16" s="197"/>
      <c r="BF16" s="197"/>
      <c r="BG16" s="197"/>
      <c r="BH16" s="197"/>
      <c r="BI16" s="197"/>
      <c r="BJ16" s="197"/>
      <c r="BK16" s="197"/>
      <c r="BL16" s="197"/>
      <c r="BM16" s="197"/>
      <c r="BN16" s="197"/>
      <c r="BO16" s="197"/>
      <c r="BP16" s="197"/>
      <c r="BQ16" s="197"/>
      <c r="BR16" s="197"/>
      <c r="BS16" s="197"/>
      <c r="BT16" s="197"/>
      <c r="BU16" s="197"/>
      <c r="BV16" s="197"/>
      <c r="BW16" s="197"/>
      <c r="BX16" s="197"/>
      <c r="BY16" s="197"/>
      <c r="BZ16" s="197"/>
      <c r="CA16" s="197"/>
      <c r="CB16" s="197"/>
    </row>
    <row r="17" spans="1:80" s="23" customFormat="1" ht="13.5" customHeight="1">
      <c r="A17" s="175">
        <v>14</v>
      </c>
      <c r="B17" s="13" t="s">
        <v>103</v>
      </c>
      <c r="C17" s="179" t="s">
        <v>895</v>
      </c>
      <c r="D17" s="4" t="s">
        <v>846</v>
      </c>
      <c r="E17" s="180" t="s">
        <v>846</v>
      </c>
      <c r="F17" s="199">
        <v>44624</v>
      </c>
      <c r="G17" s="199">
        <v>44348</v>
      </c>
      <c r="H17" s="199">
        <v>44352</v>
      </c>
      <c r="I17" s="199">
        <v>43894</v>
      </c>
      <c r="J17" s="199">
        <v>43926</v>
      </c>
      <c r="K17" s="199">
        <v>43836</v>
      </c>
      <c r="L17" s="199">
        <v>43621</v>
      </c>
      <c r="M17" s="199">
        <v>43256</v>
      </c>
      <c r="N17" s="199">
        <v>42615</v>
      </c>
      <c r="O17" s="199">
        <v>43227</v>
      </c>
      <c r="P17" s="199">
        <v>42979</v>
      </c>
      <c r="Q17" s="199">
        <v>42887</v>
      </c>
      <c r="R17" s="199">
        <v>42525</v>
      </c>
      <c r="S17" s="199">
        <v>42523</v>
      </c>
      <c r="T17" s="199">
        <v>42039</v>
      </c>
      <c r="U17" s="199">
        <v>42039</v>
      </c>
      <c r="V17" s="199">
        <v>42342</v>
      </c>
      <c r="W17" s="199">
        <v>43717</v>
      </c>
      <c r="X17" s="199">
        <v>44146</v>
      </c>
      <c r="Y17" s="199">
        <v>43507</v>
      </c>
      <c r="Z17" s="199">
        <v>43507</v>
      </c>
      <c r="AA17" s="199">
        <v>43507</v>
      </c>
      <c r="AB17" s="199" t="inlineStr">
        <is>
          <t>2026/8/14</t>
        </is>
      </c>
      <c r="AC17" s="199" t="inlineStr">
        <is>
          <t>2026/8/14</t>
        </is>
      </c>
      <c r="AD17" s="199"/>
      <c r="AE17" s="199"/>
      <c r="AF17" s="199"/>
      <c r="AG17" s="199"/>
      <c r="AH17" s="199"/>
      <c r="AI17" s="199"/>
      <c r="AJ17" s="199"/>
      <c r="AK17" s="199"/>
      <c r="AL17" s="199"/>
      <c r="AM17" s="199"/>
      <c r="AN17" s="199"/>
      <c r="AO17" s="199"/>
      <c r="AP17" s="199"/>
      <c r="AQ17" s="199"/>
      <c r="AR17" s="199"/>
      <c r="AS17" s="199"/>
      <c r="AT17" s="199"/>
      <c r="AU17" s="199"/>
      <c r="AV17" s="199"/>
      <c r="AW17" s="199"/>
      <c r="AX17" s="199"/>
      <c r="AY17" s="199"/>
      <c r="AZ17" s="199"/>
      <c r="BA17" s="199"/>
      <c r="BB17" s="199"/>
      <c r="BC17" s="199"/>
      <c r="BD17" s="199"/>
      <c r="BE17" s="199"/>
      <c r="BF17" s="199"/>
      <c r="BG17" s="199"/>
      <c r="BH17" s="199"/>
      <c r="BI17" s="199"/>
      <c r="BJ17" s="199"/>
      <c r="BK17" s="199"/>
      <c r="BL17" s="199"/>
      <c r="BM17" s="199"/>
      <c r="BN17" s="199"/>
      <c r="BO17" s="199"/>
      <c r="BP17" s="199"/>
      <c r="BQ17" s="199"/>
      <c r="BR17" s="199"/>
      <c r="BS17" s="199"/>
      <c r="BT17" s="199"/>
      <c r="BU17" s="199"/>
      <c r="BV17" s="199"/>
      <c r="BW17" s="199"/>
      <c r="BX17" s="199"/>
      <c r="BY17" s="199"/>
      <c r="BZ17" s="199"/>
      <c r="CA17" s="199"/>
      <c r="CB17" s="199"/>
    </row>
    <row r="18" spans="1:80" s="23" customFormat="1" ht="13.5" customHeight="1">
      <c r="A18" s="175">
        <v>15</v>
      </c>
      <c r="B18" s="181" t="s">
        <v>900</v>
      </c>
      <c r="C18" s="182" t="s">
        <v>901</v>
      </c>
      <c r="D18" s="4" t="s">
        <v>848</v>
      </c>
      <c r="E18" s="183">
        <f>SUMIF(F5:CH5,"no",F18:CH18)</f>
        <v>5239100000</v>
      </c>
      <c r="F18" s="200">
        <v>227000000</v>
      </c>
      <c r="G18" s="200">
        <v>415000000</v>
      </c>
      <c r="H18" s="200">
        <v>420000000</v>
      </c>
      <c r="I18" s="200">
        <v>94750000</v>
      </c>
      <c r="J18" s="200">
        <v>295000000</v>
      </c>
      <c r="K18" s="200">
        <v>436000000</v>
      </c>
      <c r="L18" s="200">
        <v>392000000</v>
      </c>
      <c r="M18" s="200">
        <v>190000000</v>
      </c>
      <c r="N18" s="200">
        <v>392000000</v>
      </c>
      <c r="O18" s="200">
        <v>300000000</v>
      </c>
      <c r="P18" s="200">
        <v>440000000</v>
      </c>
      <c r="Q18" s="200">
        <v>480000000</v>
      </c>
      <c r="R18" s="200">
        <v>210000000</v>
      </c>
      <c r="S18" s="200">
        <v>550000000</v>
      </c>
      <c r="T18" s="200">
        <v>354000000</v>
      </c>
      <c r="U18" s="200">
        <v>130000000</v>
      </c>
      <c r="V18" s="200">
        <v>436000000</v>
      </c>
      <c r="W18" s="200">
        <v>145000000</v>
      </c>
      <c r="X18" s="200">
        <v>5350000</v>
      </c>
      <c r="Y18" s="200">
        <v>75000000</v>
      </c>
      <c r="Z18" s="200">
        <v>50000000</v>
      </c>
      <c r="AA18" s="200">
        <v>30000000</v>
      </c>
      <c r="AB18" s="200">
        <v>37000000</v>
      </c>
      <c r="AC18" s="200">
        <v>0</v>
      </c>
      <c r="AD18" s="200"/>
      <c r="AE18" s="200"/>
      <c r="AF18" s="200"/>
      <c r="AG18" s="200"/>
      <c r="AH18" s="200"/>
      <c r="AI18" s="200"/>
      <c r="AJ18" s="200"/>
      <c r="AK18" s="200"/>
      <c r="AL18" s="200"/>
      <c r="AM18" s="200"/>
      <c r="AN18" s="200"/>
      <c r="AO18" s="200"/>
      <c r="AP18" s="200"/>
      <c r="AQ18" s="200"/>
      <c r="AR18" s="200"/>
      <c r="AS18" s="200"/>
      <c r="AT18" s="200"/>
      <c r="AU18" s="200"/>
      <c r="AV18" s="200"/>
      <c r="AW18" s="200"/>
      <c r="AX18" s="200"/>
      <c r="AY18" s="200"/>
      <c r="AZ18" s="200"/>
      <c r="BA18" s="200"/>
      <c r="BB18" s="200"/>
      <c r="BC18" s="200"/>
      <c r="BD18" s="200"/>
      <c r="BE18" s="200"/>
      <c r="BF18" s="200"/>
      <c r="BG18" s="200"/>
      <c r="BH18" s="200"/>
      <c r="BI18" s="200"/>
      <c r="BJ18" s="200"/>
      <c r="BK18" s="200"/>
      <c r="BL18" s="200"/>
      <c r="BM18" s="200"/>
      <c r="BN18" s="200"/>
      <c r="BO18" s="200"/>
      <c r="BP18" s="200"/>
      <c r="BQ18" s="200"/>
      <c r="BR18" s="200"/>
      <c r="BS18" s="200"/>
      <c r="BT18" s="200"/>
      <c r="BU18" s="200"/>
      <c r="BV18" s="200"/>
      <c r="BW18" s="200"/>
      <c r="BX18" s="200"/>
      <c r="BY18" s="200"/>
      <c r="BZ18" s="200"/>
      <c r="CA18" s="200"/>
      <c r="CB18" s="200"/>
    </row>
    <row r="19" spans="1:80" s="23" customFormat="1" ht="13.5" customHeight="1">
      <c r="A19" s="175">
        <v>16</v>
      </c>
      <c r="B19" s="184" t="s">
        <v>105</v>
      </c>
      <c r="C19" s="4" t="s">
        <v>399</v>
      </c>
      <c r="D19" s="4" t="s">
        <v>846</v>
      </c>
      <c r="E19" s="180" t="s">
        <v>846</v>
      </c>
      <c r="F19" s="200" t="s">
        <v>902</v>
      </c>
      <c r="G19" s="200"/>
      <c r="H19" s="200"/>
      <c r="I19" s="200"/>
      <c r="J19" s="200"/>
      <c r="K19" s="200"/>
      <c r="L19" s="200"/>
      <c r="M19" s="200"/>
      <c r="N19" s="200"/>
      <c r="O19" s="200"/>
      <c r="P19" s="200"/>
      <c r="Q19" s="200"/>
      <c r="R19" s="200"/>
      <c r="S19" s="200"/>
      <c r="T19" s="200"/>
      <c r="U19" s="200"/>
      <c r="V19" s="200"/>
      <c r="W19" s="200"/>
      <c r="X19" s="200"/>
      <c r="Y19" s="200"/>
      <c r="Z19" s="200" t="s">
        <v>448</v>
      </c>
      <c r="AA19" s="200" t="s">
        <v>448</v>
      </c>
      <c r="AB19" s="200" t="inlineStr">
        <is>
          <t>花みずきと一括3,700万円。案分は契約書確定後修正。管理:大学生協</t>
        </is>
      </c>
      <c r="AC19" s="200" t="inlineStr">
        <is>
          <t>価格はアーバンキューブ側へ一括計上中（案分未定）。管理:トラステン。10-6北側塀の越境確認中</t>
        </is>
      </c>
      <c r="AD19" s="200"/>
      <c r="AE19" s="200"/>
      <c r="AF19" s="200"/>
      <c r="AG19" s="200"/>
      <c r="AH19" s="200"/>
      <c r="AI19" s="200"/>
      <c r="AJ19" s="200"/>
      <c r="AK19" s="200"/>
      <c r="AL19" s="200"/>
      <c r="AM19" s="200"/>
      <c r="AN19" s="200"/>
      <c r="AO19" s="200"/>
      <c r="AP19" s="200"/>
      <c r="AQ19" s="200"/>
      <c r="AR19" s="200"/>
      <c r="AS19" s="200"/>
      <c r="AT19" s="200"/>
      <c r="AU19" s="200"/>
      <c r="AV19" s="200"/>
      <c r="AW19" s="200"/>
      <c r="AX19" s="200"/>
      <c r="AY19" s="200"/>
      <c r="AZ19" s="200"/>
      <c r="BA19" s="200"/>
      <c r="BB19" s="200"/>
      <c r="BC19" s="200"/>
      <c r="BD19" s="200"/>
      <c r="BE19" s="200"/>
      <c r="BF19" s="200"/>
      <c r="BG19" s="200"/>
      <c r="BH19" s="200"/>
      <c r="BI19" s="200"/>
      <c r="BJ19" s="200"/>
      <c r="BK19" s="200"/>
      <c r="BL19" s="200"/>
      <c r="BM19" s="200"/>
      <c r="BN19" s="200"/>
      <c r="BO19" s="200"/>
      <c r="BP19" s="200"/>
      <c r="BQ19" s="200"/>
      <c r="BR19" s="200"/>
      <c r="BS19" s="200"/>
      <c r="BT19" s="200"/>
      <c r="BU19" s="200"/>
      <c r="BV19" s="200"/>
      <c r="BW19" s="200"/>
      <c r="BX19" s="200"/>
      <c r="BY19" s="200"/>
      <c r="BZ19" s="200"/>
      <c r="CA19" s="200"/>
      <c r="CB19" s="200"/>
    </row>
    <row r="20" spans="1:80" ht="13.5" customHeight="1">
      <c r="A20" s="349">
        <v>17</v>
      </c>
      <c r="B20" s="185" t="s">
        <v>903</v>
      </c>
      <c r="C20" s="4" t="s">
        <v>846</v>
      </c>
      <c r="D20" s="4" t="s">
        <v>846</v>
      </c>
      <c r="E20" s="180" t="s">
        <v>846</v>
      </c>
      <c r="F20" s="5" t="s">
        <v>846</v>
      </c>
      <c r="G20" s="5" t="s">
        <v>846</v>
      </c>
      <c r="H20" s="5" t="s">
        <v>846</v>
      </c>
      <c r="I20" s="5" t="s">
        <v>846</v>
      </c>
      <c r="J20" s="5" t="s">
        <v>846</v>
      </c>
      <c r="K20" s="5" t="s">
        <v>846</v>
      </c>
      <c r="L20" s="5" t="s">
        <v>846</v>
      </c>
      <c r="M20" s="5" t="s">
        <v>846</v>
      </c>
      <c r="N20" s="5" t="s">
        <v>846</v>
      </c>
      <c r="O20" s="5" t="s">
        <v>846</v>
      </c>
      <c r="P20" s="5" t="s">
        <v>846</v>
      </c>
      <c r="Q20" s="5" t="s">
        <v>846</v>
      </c>
      <c r="R20" s="5" t="s">
        <v>846</v>
      </c>
      <c r="S20" s="5" t="s">
        <v>846</v>
      </c>
      <c r="T20" s="5" t="s">
        <v>846</v>
      </c>
      <c r="U20" s="5" t="s">
        <v>846</v>
      </c>
      <c r="V20" s="5" t="s">
        <v>846</v>
      </c>
      <c r="W20" s="5" t="s">
        <v>846</v>
      </c>
      <c r="X20" s="5" t="s">
        <v>846</v>
      </c>
      <c r="Y20" s="5" t="s">
        <v>846</v>
      </c>
      <c r="Z20" s="5" t="s">
        <v>846</v>
      </c>
      <c r="AA20" s="5" t="s">
        <v>846</v>
      </c>
      <c r="AB20" s="5" t="s">
        <v>846</v>
      </c>
      <c r="AC20" s="5" t="s">
        <v>846</v>
      </c>
      <c r="AD20" s="5" t="s">
        <v>846</v>
      </c>
      <c r="AE20" s="5" t="s">
        <v>846</v>
      </c>
      <c r="AF20" s="5" t="s">
        <v>846</v>
      </c>
      <c r="AG20" s="5" t="s">
        <v>846</v>
      </c>
      <c r="AH20" s="5" t="s">
        <v>846</v>
      </c>
      <c r="AI20" s="5" t="s">
        <v>846</v>
      </c>
      <c r="AJ20" s="5" t="s">
        <v>846</v>
      </c>
      <c r="AK20" s="5" t="s">
        <v>846</v>
      </c>
      <c r="AL20" s="5" t="s">
        <v>846</v>
      </c>
      <c r="AM20" s="5" t="s">
        <v>846</v>
      </c>
      <c r="AN20" s="5" t="s">
        <v>846</v>
      </c>
      <c r="AO20" s="5" t="s">
        <v>846</v>
      </c>
      <c r="AP20" s="5" t="s">
        <v>846</v>
      </c>
      <c r="AQ20" s="5" t="s">
        <v>846</v>
      </c>
      <c r="AR20" s="5" t="s">
        <v>846</v>
      </c>
      <c r="AS20" s="5" t="s">
        <v>846</v>
      </c>
      <c r="AT20" s="5" t="s">
        <v>846</v>
      </c>
      <c r="AU20" s="5" t="s">
        <v>846</v>
      </c>
      <c r="AV20" s="5" t="s">
        <v>846</v>
      </c>
      <c r="AW20" s="5" t="s">
        <v>846</v>
      </c>
      <c r="AX20" s="5" t="s">
        <v>846</v>
      </c>
      <c r="AY20" s="5" t="s">
        <v>846</v>
      </c>
      <c r="AZ20" s="5" t="s">
        <v>846</v>
      </c>
      <c r="BA20" s="5" t="s">
        <v>846</v>
      </c>
      <c r="BB20" s="5" t="s">
        <v>846</v>
      </c>
      <c r="BC20" s="5" t="s">
        <v>846</v>
      </c>
      <c r="BD20" s="5" t="s">
        <v>846</v>
      </c>
      <c r="BE20" s="5" t="s">
        <v>846</v>
      </c>
      <c r="BF20" s="5" t="s">
        <v>846</v>
      </c>
      <c r="BG20" s="5" t="s">
        <v>846</v>
      </c>
      <c r="BH20" s="5" t="s">
        <v>846</v>
      </c>
      <c r="BI20" s="5" t="s">
        <v>846</v>
      </c>
      <c r="BJ20" s="5" t="s">
        <v>846</v>
      </c>
      <c r="BK20" s="5" t="s">
        <v>846</v>
      </c>
      <c r="BL20" s="5" t="s">
        <v>846</v>
      </c>
      <c r="BM20" s="5" t="s">
        <v>846</v>
      </c>
      <c r="BN20" s="5" t="s">
        <v>846</v>
      </c>
      <c r="BO20" s="5" t="s">
        <v>846</v>
      </c>
      <c r="BP20" s="5" t="s">
        <v>846</v>
      </c>
      <c r="BQ20" s="5" t="s">
        <v>846</v>
      </c>
      <c r="BR20" s="5" t="s">
        <v>846</v>
      </c>
      <c r="BS20" s="5" t="s">
        <v>846</v>
      </c>
      <c r="BT20" s="5" t="s">
        <v>846</v>
      </c>
      <c r="BU20" s="5" t="s">
        <v>846</v>
      </c>
      <c r="BV20" s="5" t="s">
        <v>846</v>
      </c>
      <c r="BW20" s="5" t="s">
        <v>846</v>
      </c>
      <c r="BX20" s="5" t="s">
        <v>846</v>
      </c>
      <c r="BY20" s="5" t="s">
        <v>846</v>
      </c>
      <c r="BZ20" s="5" t="s">
        <v>846</v>
      </c>
      <c r="CA20" s="5" t="s">
        <v>846</v>
      </c>
      <c r="CB20" s="5" t="s">
        <v>846</v>
      </c>
    </row>
    <row r="21" spans="1:80" s="23" customFormat="1" ht="13.5" customHeight="1">
      <c r="A21" s="175">
        <v>18</v>
      </c>
      <c r="B21" s="15" t="s">
        <v>904</v>
      </c>
      <c r="C21" s="4" t="s">
        <v>847</v>
      </c>
      <c r="D21" s="4" t="s">
        <v>846</v>
      </c>
      <c r="E21" s="180" t="s">
        <v>846</v>
      </c>
      <c r="F21" s="197">
        <v>806</v>
      </c>
      <c r="G21" s="197">
        <v>801</v>
      </c>
      <c r="H21" s="197">
        <v>807</v>
      </c>
      <c r="I21" s="197">
        <v>802</v>
      </c>
      <c r="J21" s="197">
        <v>803</v>
      </c>
      <c r="K21" s="197">
        <v>805</v>
      </c>
      <c r="L21" s="197">
        <v>808</v>
      </c>
      <c r="M21" s="197">
        <v>809</v>
      </c>
      <c r="N21" s="197" t="s">
        <v>846</v>
      </c>
      <c r="O21" s="197">
        <v>811</v>
      </c>
      <c r="P21" s="197">
        <v>812</v>
      </c>
      <c r="Q21" s="197">
        <v>813</v>
      </c>
      <c r="R21" s="197">
        <v>814</v>
      </c>
      <c r="S21" s="197">
        <v>815</v>
      </c>
      <c r="T21" s="197">
        <v>816</v>
      </c>
      <c r="U21" s="197">
        <v>817</v>
      </c>
      <c r="V21" s="197">
        <v>111</v>
      </c>
      <c r="W21" s="197">
        <v>820</v>
      </c>
      <c r="X21" s="197"/>
      <c r="Y21" s="197">
        <v>825</v>
      </c>
      <c r="Z21" s="197">
        <v>821</v>
      </c>
      <c r="AA21" s="197">
        <v>821</v>
      </c>
      <c r="AB21" s="197">
        <v>833</v>
      </c>
      <c r="AC21" s="197">
        <v>833</v>
      </c>
      <c r="AD21" s="197"/>
      <c r="AE21" s="197"/>
      <c r="AF21" s="197"/>
      <c r="AG21" s="197"/>
      <c r="AH21" s="197"/>
      <c r="AI21" s="197"/>
      <c r="AJ21" s="197"/>
      <c r="AK21" s="197"/>
      <c r="AL21" s="197"/>
      <c r="AM21" s="197"/>
      <c r="AN21" s="197"/>
      <c r="AO21" s="197"/>
      <c r="AP21" s="197"/>
      <c r="AQ21" s="197"/>
      <c r="AR21" s="197"/>
      <c r="AS21" s="197"/>
      <c r="AT21" s="197"/>
      <c r="AU21" s="197"/>
      <c r="AV21" s="197"/>
      <c r="AW21" s="197"/>
      <c r="AX21" s="197"/>
      <c r="AY21" s="197"/>
      <c r="AZ21" s="197"/>
      <c r="BA21" s="197"/>
      <c r="BB21" s="197"/>
      <c r="BC21" s="197"/>
      <c r="BD21" s="197"/>
      <c r="BE21" s="197"/>
      <c r="BF21" s="197"/>
      <c r="BG21" s="197"/>
      <c r="BH21" s="197"/>
      <c r="BI21" s="197"/>
      <c r="BJ21" s="197"/>
      <c r="BK21" s="197"/>
      <c r="BL21" s="197"/>
      <c r="BM21" s="197"/>
      <c r="BN21" s="197"/>
      <c r="BO21" s="197"/>
      <c r="BP21" s="197"/>
      <c r="BQ21" s="197"/>
      <c r="BR21" s="197"/>
      <c r="BS21" s="197"/>
      <c r="BT21" s="197"/>
      <c r="BU21" s="197"/>
      <c r="BV21" s="197"/>
      <c r="BW21" s="197"/>
      <c r="BX21" s="197"/>
      <c r="BY21" s="197"/>
      <c r="BZ21" s="197"/>
      <c r="CA21" s="197"/>
      <c r="CB21" s="197"/>
    </row>
    <row r="22" spans="1:80" ht="13.5" customHeight="1">
      <c r="A22" s="175">
        <v>19</v>
      </c>
      <c r="B22" s="15" t="s">
        <v>905</v>
      </c>
      <c r="C22" s="4" t="s">
        <v>377</v>
      </c>
      <c r="D22" s="4" t="s">
        <v>846</v>
      </c>
      <c r="E22" s="180" t="s">
        <v>846</v>
      </c>
      <c r="F22" s="5" t="str">
        <f t="shared" ref="F22:Y22" si="6">VLOOKUP(F21,kariire_list,4,FALSE)</f>
        <v>嘉手納銀行</v>
      </c>
      <c r="G22" s="5" t="str">
        <f t="shared" si="6"/>
        <v>首里信金</v>
      </c>
      <c r="H22" s="5" t="str">
        <f t="shared" si="6"/>
        <v>奄美信金</v>
      </c>
      <c r="I22" s="5" t="str">
        <f t="shared" si="6"/>
        <v>名護信金</v>
      </c>
      <c r="J22" s="5" t="str">
        <f t="shared" si="6"/>
        <v>読谷信金</v>
      </c>
      <c r="K22" s="5" t="str">
        <f t="shared" si="6"/>
        <v>恩納銀行</v>
      </c>
      <c r="L22" s="5" t="str">
        <f t="shared" si="6"/>
        <v>竹富信金</v>
      </c>
      <c r="M22" s="5" t="str">
        <f t="shared" si="6"/>
        <v>西表信金</v>
      </c>
      <c r="N22" s="5" t="e">
        <f t="shared" si="6"/>
        <v>#N/A</v>
      </c>
      <c r="O22" s="5" t="str">
        <f t="shared" si="6"/>
        <v>座間味信金</v>
      </c>
      <c r="P22" s="5" t="str">
        <f t="shared" si="6"/>
        <v>石垣銀行</v>
      </c>
      <c r="Q22" s="5" t="str">
        <f t="shared" si="6"/>
        <v>首里信金</v>
      </c>
      <c r="R22" s="5" t="str">
        <f t="shared" si="6"/>
        <v>名護信金</v>
      </c>
      <c r="S22" s="5" t="str">
        <f t="shared" si="6"/>
        <v>読谷信金</v>
      </c>
      <c r="T22" s="5" t="str">
        <f t="shared" si="6"/>
        <v>宜野湾信組</v>
      </c>
      <c r="U22" s="5" t="str">
        <f t="shared" si="6"/>
        <v>恩納銀行</v>
      </c>
      <c r="V22" s="5" t="e">
        <f t="shared" si="6"/>
        <v>#N/A</v>
      </c>
      <c r="W22" s="5" t="str">
        <f t="shared" si="6"/>
        <v>竹富信金</v>
      </c>
      <c r="X22" s="5" t="e">
        <f t="shared" si="6"/>
        <v>#N/A</v>
      </c>
      <c r="Y22" s="5" t="str">
        <f t="shared" si="6"/>
        <v>座間味信金</v>
      </c>
      <c r="Z22" s="5" t="str">
        <f t="shared" ref="Z22:BP22" si="7">VLOOKUP(Z21,kariire_list,4,FALSE)</f>
        <v>竹富信金</v>
      </c>
      <c r="AA22" s="5" t="str">
        <f t="shared" si="7"/>
        <v>竹富信金</v>
      </c>
      <c r="AB22" s="5" t="e">
        <f t="shared" si="7"/>
        <v>#N/A</v>
      </c>
      <c r="AC22" s="5" t="e">
        <f t="shared" si="7"/>
        <v>#N/A</v>
      </c>
      <c r="AD22" s="5" t="e">
        <f t="shared" si="7"/>
        <v>#N/A</v>
      </c>
      <c r="AE22" s="5" t="e">
        <f t="shared" si="7"/>
        <v>#N/A</v>
      </c>
      <c r="AF22" s="5" t="e">
        <f t="shared" si="7"/>
        <v>#N/A</v>
      </c>
      <c r="AG22" s="5" t="e">
        <f t="shared" si="7"/>
        <v>#N/A</v>
      </c>
      <c r="AH22" s="5" t="e">
        <f t="shared" si="7"/>
        <v>#N/A</v>
      </c>
      <c r="AI22" s="5" t="e">
        <f t="shared" si="7"/>
        <v>#N/A</v>
      </c>
      <c r="AJ22" s="5" t="e">
        <f t="shared" si="7"/>
        <v>#N/A</v>
      </c>
      <c r="AK22" s="5" t="e">
        <f t="shared" si="7"/>
        <v>#N/A</v>
      </c>
      <c r="AL22" s="5" t="e">
        <f t="shared" si="7"/>
        <v>#N/A</v>
      </c>
      <c r="AM22" s="5" t="e">
        <f t="shared" si="7"/>
        <v>#N/A</v>
      </c>
      <c r="AN22" s="5" t="e">
        <f t="shared" si="7"/>
        <v>#N/A</v>
      </c>
      <c r="AO22" s="5" t="e">
        <f t="shared" si="7"/>
        <v>#N/A</v>
      </c>
      <c r="AP22" s="5" t="e">
        <f t="shared" si="7"/>
        <v>#N/A</v>
      </c>
      <c r="AQ22" s="5" t="e">
        <f t="shared" si="7"/>
        <v>#N/A</v>
      </c>
      <c r="AR22" s="5" t="e">
        <f t="shared" si="7"/>
        <v>#N/A</v>
      </c>
      <c r="AS22" s="5" t="e">
        <f t="shared" si="7"/>
        <v>#N/A</v>
      </c>
      <c r="AT22" s="5" t="e">
        <f t="shared" si="7"/>
        <v>#N/A</v>
      </c>
      <c r="AU22" s="5" t="e">
        <f t="shared" si="7"/>
        <v>#N/A</v>
      </c>
      <c r="AV22" s="5" t="e">
        <f t="shared" si="7"/>
        <v>#N/A</v>
      </c>
      <c r="AW22" s="5" t="e">
        <f t="shared" si="7"/>
        <v>#N/A</v>
      </c>
      <c r="AX22" s="5" t="e">
        <f t="shared" si="7"/>
        <v>#N/A</v>
      </c>
      <c r="AY22" s="5" t="e">
        <f t="shared" si="7"/>
        <v>#N/A</v>
      </c>
      <c r="AZ22" s="5" t="e">
        <f t="shared" si="7"/>
        <v>#N/A</v>
      </c>
      <c r="BA22" s="5" t="e">
        <f t="shared" si="7"/>
        <v>#N/A</v>
      </c>
      <c r="BB22" s="5" t="e">
        <f t="shared" si="7"/>
        <v>#N/A</v>
      </c>
      <c r="BC22" s="5" t="e">
        <f t="shared" si="7"/>
        <v>#N/A</v>
      </c>
      <c r="BD22" s="5" t="e">
        <f t="shared" si="7"/>
        <v>#N/A</v>
      </c>
      <c r="BE22" s="5" t="e">
        <f t="shared" si="7"/>
        <v>#N/A</v>
      </c>
      <c r="BF22" s="5" t="e">
        <f t="shared" si="7"/>
        <v>#N/A</v>
      </c>
      <c r="BG22" s="5" t="e">
        <f t="shared" si="7"/>
        <v>#N/A</v>
      </c>
      <c r="BH22" s="5" t="e">
        <f t="shared" si="7"/>
        <v>#N/A</v>
      </c>
      <c r="BI22" s="5" t="e">
        <f t="shared" si="7"/>
        <v>#N/A</v>
      </c>
      <c r="BJ22" s="5" t="e">
        <f t="shared" si="7"/>
        <v>#N/A</v>
      </c>
      <c r="BK22" s="5" t="e">
        <f t="shared" si="7"/>
        <v>#N/A</v>
      </c>
      <c r="BL22" s="5" t="e">
        <f t="shared" si="7"/>
        <v>#N/A</v>
      </c>
      <c r="BM22" s="5" t="e">
        <f t="shared" si="7"/>
        <v>#N/A</v>
      </c>
      <c r="BN22" s="5" t="e">
        <f t="shared" si="7"/>
        <v>#N/A</v>
      </c>
      <c r="BO22" s="5" t="e">
        <f t="shared" si="7"/>
        <v>#N/A</v>
      </c>
      <c r="BP22" s="5" t="e">
        <f t="shared" si="7"/>
        <v>#N/A</v>
      </c>
      <c r="BQ22" s="5" t="e">
        <f t="shared" ref="BQ22:CB22" si="8">VLOOKUP(BQ21,kariire_list,4,FALSE)</f>
        <v>#N/A</v>
      </c>
      <c r="BR22" s="5" t="e">
        <f t="shared" si="8"/>
        <v>#N/A</v>
      </c>
      <c r="BS22" s="5" t="e">
        <f t="shared" si="8"/>
        <v>#N/A</v>
      </c>
      <c r="BT22" s="5" t="e">
        <f t="shared" si="8"/>
        <v>#N/A</v>
      </c>
      <c r="BU22" s="5" t="e">
        <f t="shared" si="8"/>
        <v>#N/A</v>
      </c>
      <c r="BV22" s="5" t="e">
        <f t="shared" si="8"/>
        <v>#N/A</v>
      </c>
      <c r="BW22" s="5" t="e">
        <f t="shared" si="8"/>
        <v>#N/A</v>
      </c>
      <c r="BX22" s="5" t="e">
        <f t="shared" si="8"/>
        <v>#N/A</v>
      </c>
      <c r="BY22" s="5" t="e">
        <f t="shared" si="8"/>
        <v>#N/A</v>
      </c>
      <c r="BZ22" s="5" t="e">
        <f t="shared" si="8"/>
        <v>#N/A</v>
      </c>
      <c r="CA22" s="5" t="e">
        <f t="shared" si="8"/>
        <v>#N/A</v>
      </c>
      <c r="CB22" s="5" t="e">
        <f t="shared" si="8"/>
        <v>#N/A</v>
      </c>
    </row>
    <row r="23" spans="1:80" ht="13.5" customHeight="1">
      <c r="A23" s="175">
        <v>20</v>
      </c>
      <c r="B23" s="15" t="s">
        <v>906</v>
      </c>
      <c r="C23" s="4" t="s">
        <v>377</v>
      </c>
      <c r="D23" s="4" t="s">
        <v>846</v>
      </c>
      <c r="E23" s="183">
        <f>IFERROR(GETPIVOTDATA("14.当初借入額",pivot!$FN$6,"9.使途","不動産購入"),0)+IFERROR(GETPIVOTDATA("14.当初借入額",pivot!$FN$6,"9.使途","住宅ローン"),0)</f>
        <v>5264500000</v>
      </c>
      <c r="F23" s="186">
        <f t="shared" ref="F23:Y23" si="9">IFERROR(VLOOKUP(F21,kariire_list,14,FALSE),"")</f>
        <v>226000000</v>
      </c>
      <c r="G23" s="186">
        <f t="shared" si="9"/>
        <v>550000000</v>
      </c>
      <c r="H23" s="186">
        <f t="shared" si="9"/>
        <v>413500000</v>
      </c>
      <c r="I23" s="186">
        <f t="shared" si="9"/>
        <v>85000000</v>
      </c>
      <c r="J23" s="186">
        <f t="shared" si="9"/>
        <v>265000000</v>
      </c>
      <c r="K23" s="186">
        <f t="shared" si="9"/>
        <v>376000000</v>
      </c>
      <c r="L23" s="186">
        <f t="shared" si="9"/>
        <v>392000000</v>
      </c>
      <c r="M23" s="186">
        <f t="shared" si="9"/>
        <v>180000000</v>
      </c>
      <c r="N23" s="186" t="str">
        <f t="shared" si="9"/>
        <v/>
      </c>
      <c r="O23" s="186">
        <f t="shared" si="9"/>
        <v>280000000</v>
      </c>
      <c r="P23" s="186">
        <f t="shared" si="9"/>
        <v>450000000</v>
      </c>
      <c r="Q23" s="186">
        <f t="shared" si="9"/>
        <v>495000000</v>
      </c>
      <c r="R23" s="186">
        <f t="shared" si="9"/>
        <v>189000000</v>
      </c>
      <c r="S23" s="186">
        <f t="shared" si="9"/>
        <v>530000000</v>
      </c>
      <c r="T23" s="186">
        <f t="shared" si="9"/>
        <v>369000000</v>
      </c>
      <c r="U23" s="186">
        <f t="shared" si="9"/>
        <v>118000000</v>
      </c>
      <c r="V23" s="186" t="str">
        <f t="shared" si="9"/>
        <v/>
      </c>
      <c r="W23" s="186">
        <f t="shared" si="9"/>
        <v>155000000</v>
      </c>
      <c r="X23" s="186" t="str">
        <f t="shared" si="9"/>
        <v/>
      </c>
      <c r="Y23" s="186">
        <f t="shared" si="9"/>
        <v>94000000</v>
      </c>
      <c r="Z23" s="186">
        <f t="shared" ref="Z23:BP23" si="10">IFERROR(VLOOKUP(Z21,kariire_list,14,FALSE),"")</f>
        <v>80000000</v>
      </c>
      <c r="AA23" s="186">
        <f t="shared" si="10"/>
        <v>80000000</v>
      </c>
      <c r="AB23" s="186" t="str">
        <f t="shared" si="10"/>
        <v/>
      </c>
      <c r="AC23" s="186" t="str">
        <f t="shared" si="10"/>
        <v/>
      </c>
      <c r="AD23" s="186" t="str">
        <f t="shared" si="10"/>
        <v/>
      </c>
      <c r="AE23" s="186" t="str">
        <f t="shared" si="10"/>
        <v/>
      </c>
      <c r="AF23" s="186" t="str">
        <f t="shared" si="10"/>
        <v/>
      </c>
      <c r="AG23" s="186" t="str">
        <f t="shared" si="10"/>
        <v/>
      </c>
      <c r="AH23" s="186" t="str">
        <f t="shared" si="10"/>
        <v/>
      </c>
      <c r="AI23" s="186" t="str">
        <f t="shared" si="10"/>
        <v/>
      </c>
      <c r="AJ23" s="186" t="str">
        <f t="shared" si="10"/>
        <v/>
      </c>
      <c r="AK23" s="186" t="str">
        <f t="shared" si="10"/>
        <v/>
      </c>
      <c r="AL23" s="186" t="str">
        <f t="shared" si="10"/>
        <v/>
      </c>
      <c r="AM23" s="186" t="str">
        <f t="shared" si="10"/>
        <v/>
      </c>
      <c r="AN23" s="186" t="str">
        <f t="shared" si="10"/>
        <v/>
      </c>
      <c r="AO23" s="186" t="str">
        <f t="shared" si="10"/>
        <v/>
      </c>
      <c r="AP23" s="186" t="str">
        <f t="shared" si="10"/>
        <v/>
      </c>
      <c r="AQ23" s="186" t="str">
        <f t="shared" si="10"/>
        <v/>
      </c>
      <c r="AR23" s="186" t="str">
        <f t="shared" si="10"/>
        <v/>
      </c>
      <c r="AS23" s="186" t="str">
        <f t="shared" si="10"/>
        <v/>
      </c>
      <c r="AT23" s="186" t="str">
        <f t="shared" si="10"/>
        <v/>
      </c>
      <c r="AU23" s="186" t="str">
        <f t="shared" si="10"/>
        <v/>
      </c>
      <c r="AV23" s="186" t="str">
        <f t="shared" si="10"/>
        <v/>
      </c>
      <c r="AW23" s="186" t="str">
        <f t="shared" si="10"/>
        <v/>
      </c>
      <c r="AX23" s="186" t="str">
        <f t="shared" si="10"/>
        <v/>
      </c>
      <c r="AY23" s="186" t="str">
        <f t="shared" si="10"/>
        <v/>
      </c>
      <c r="AZ23" s="186" t="str">
        <f t="shared" si="10"/>
        <v/>
      </c>
      <c r="BA23" s="186" t="str">
        <f t="shared" si="10"/>
        <v/>
      </c>
      <c r="BB23" s="186" t="str">
        <f t="shared" si="10"/>
        <v/>
      </c>
      <c r="BC23" s="186" t="str">
        <f t="shared" si="10"/>
        <v/>
      </c>
      <c r="BD23" s="186" t="str">
        <f t="shared" si="10"/>
        <v/>
      </c>
      <c r="BE23" s="186" t="str">
        <f t="shared" si="10"/>
        <v/>
      </c>
      <c r="BF23" s="186" t="str">
        <f t="shared" si="10"/>
        <v/>
      </c>
      <c r="BG23" s="186" t="str">
        <f t="shared" si="10"/>
        <v/>
      </c>
      <c r="BH23" s="186" t="str">
        <f t="shared" si="10"/>
        <v/>
      </c>
      <c r="BI23" s="186" t="str">
        <f t="shared" si="10"/>
        <v/>
      </c>
      <c r="BJ23" s="186" t="str">
        <f t="shared" si="10"/>
        <v/>
      </c>
      <c r="BK23" s="186" t="str">
        <f t="shared" si="10"/>
        <v/>
      </c>
      <c r="BL23" s="186" t="str">
        <f t="shared" si="10"/>
        <v/>
      </c>
      <c r="BM23" s="186" t="str">
        <f t="shared" si="10"/>
        <v/>
      </c>
      <c r="BN23" s="186" t="str">
        <f t="shared" si="10"/>
        <v/>
      </c>
      <c r="BO23" s="186" t="str">
        <f t="shared" si="10"/>
        <v/>
      </c>
      <c r="BP23" s="186" t="str">
        <f t="shared" si="10"/>
        <v/>
      </c>
      <c r="BQ23" s="186" t="str">
        <f t="shared" ref="BQ23:CB23" si="11">IFERROR(VLOOKUP(BQ21,kariire_list,14,FALSE),"")</f>
        <v/>
      </c>
      <c r="BR23" s="186" t="str">
        <f t="shared" si="11"/>
        <v/>
      </c>
      <c r="BS23" s="186" t="str">
        <f t="shared" si="11"/>
        <v/>
      </c>
      <c r="BT23" s="186" t="str">
        <f t="shared" si="11"/>
        <v/>
      </c>
      <c r="BU23" s="186" t="str">
        <f t="shared" si="11"/>
        <v/>
      </c>
      <c r="BV23" s="186" t="str">
        <f t="shared" si="11"/>
        <v/>
      </c>
      <c r="BW23" s="186" t="str">
        <f t="shared" si="11"/>
        <v/>
      </c>
      <c r="BX23" s="186" t="str">
        <f t="shared" si="11"/>
        <v/>
      </c>
      <c r="BY23" s="186" t="str">
        <f t="shared" si="11"/>
        <v/>
      </c>
      <c r="BZ23" s="186" t="str">
        <f t="shared" si="11"/>
        <v/>
      </c>
      <c r="CA23" s="186" t="str">
        <f t="shared" si="11"/>
        <v/>
      </c>
      <c r="CB23" s="186" t="str">
        <f t="shared" si="11"/>
        <v/>
      </c>
    </row>
    <row r="24" spans="1:80" ht="13.5" customHeight="1">
      <c r="A24" s="175">
        <v>21</v>
      </c>
      <c r="B24" s="13" t="s">
        <v>907</v>
      </c>
      <c r="C24" s="4" t="s">
        <v>377</v>
      </c>
      <c r="D24" s="4" t="s">
        <v>846</v>
      </c>
      <c r="E24" s="183">
        <f>E18-E23</f>
        <v>-25400000</v>
      </c>
      <c r="F24" s="186">
        <f>IFERROR(F18-F23,"")</f>
        <v>1000000</v>
      </c>
      <c r="G24" s="186">
        <f t="shared" ref="G24:Y24" si="12">IFERROR(G18-G23,"")</f>
        <v>-135000000</v>
      </c>
      <c r="H24" s="186">
        <f t="shared" si="12"/>
        <v>6500000</v>
      </c>
      <c r="I24" s="186">
        <f t="shared" si="12"/>
        <v>9750000</v>
      </c>
      <c r="J24" s="186">
        <f t="shared" si="12"/>
        <v>30000000</v>
      </c>
      <c r="K24" s="186">
        <f t="shared" si="12"/>
        <v>60000000</v>
      </c>
      <c r="L24" s="186">
        <f t="shared" si="12"/>
        <v>0</v>
      </c>
      <c r="M24" s="186">
        <f t="shared" si="12"/>
        <v>10000000</v>
      </c>
      <c r="N24" s="186" t="str">
        <f t="shared" si="12"/>
        <v/>
      </c>
      <c r="O24" s="186">
        <f t="shared" si="12"/>
        <v>20000000</v>
      </c>
      <c r="P24" s="186">
        <f t="shared" si="12"/>
        <v>-10000000</v>
      </c>
      <c r="Q24" s="186">
        <f t="shared" si="12"/>
        <v>-15000000</v>
      </c>
      <c r="R24" s="186">
        <f t="shared" si="12"/>
        <v>21000000</v>
      </c>
      <c r="S24" s="186">
        <f t="shared" si="12"/>
        <v>20000000</v>
      </c>
      <c r="T24" s="186">
        <f t="shared" si="12"/>
        <v>-15000000</v>
      </c>
      <c r="U24" s="186">
        <f t="shared" si="12"/>
        <v>12000000</v>
      </c>
      <c r="V24" s="186" t="str">
        <f t="shared" si="12"/>
        <v/>
      </c>
      <c r="W24" s="186">
        <f t="shared" si="12"/>
        <v>-10000000</v>
      </c>
      <c r="X24" s="186" t="str">
        <f t="shared" si="12"/>
        <v/>
      </c>
      <c r="Y24" s="186">
        <f t="shared" si="12"/>
        <v>-19000000</v>
      </c>
      <c r="Z24" s="186">
        <f t="shared" ref="Z24:BP24" si="13">IFERROR(Z18-Z23,"")</f>
        <v>-30000000</v>
      </c>
      <c r="AA24" s="186">
        <f t="shared" si="13"/>
        <v>-50000000</v>
      </c>
      <c r="AB24" s="186" t="str">
        <f t="shared" si="13"/>
        <v/>
      </c>
      <c r="AC24" s="186" t="str">
        <f t="shared" si="13"/>
        <v/>
      </c>
      <c r="AD24" s="186" t="str">
        <f t="shared" si="13"/>
        <v/>
      </c>
      <c r="AE24" s="186" t="str">
        <f t="shared" si="13"/>
        <v/>
      </c>
      <c r="AF24" s="186" t="str">
        <f t="shared" si="13"/>
        <v/>
      </c>
      <c r="AG24" s="186" t="str">
        <f t="shared" si="13"/>
        <v/>
      </c>
      <c r="AH24" s="186" t="str">
        <f t="shared" si="13"/>
        <v/>
      </c>
      <c r="AI24" s="186" t="str">
        <f t="shared" si="13"/>
        <v/>
      </c>
      <c r="AJ24" s="186" t="str">
        <f t="shared" si="13"/>
        <v/>
      </c>
      <c r="AK24" s="186" t="str">
        <f t="shared" si="13"/>
        <v/>
      </c>
      <c r="AL24" s="186" t="str">
        <f t="shared" si="13"/>
        <v/>
      </c>
      <c r="AM24" s="186" t="str">
        <f t="shared" si="13"/>
        <v/>
      </c>
      <c r="AN24" s="186" t="str">
        <f t="shared" si="13"/>
        <v/>
      </c>
      <c r="AO24" s="186" t="str">
        <f t="shared" si="13"/>
        <v/>
      </c>
      <c r="AP24" s="186" t="str">
        <f t="shared" si="13"/>
        <v/>
      </c>
      <c r="AQ24" s="186" t="str">
        <f t="shared" si="13"/>
        <v/>
      </c>
      <c r="AR24" s="186" t="str">
        <f t="shared" si="13"/>
        <v/>
      </c>
      <c r="AS24" s="186" t="str">
        <f t="shared" si="13"/>
        <v/>
      </c>
      <c r="AT24" s="186" t="str">
        <f t="shared" si="13"/>
        <v/>
      </c>
      <c r="AU24" s="186" t="str">
        <f t="shared" si="13"/>
        <v/>
      </c>
      <c r="AV24" s="186" t="str">
        <f t="shared" si="13"/>
        <v/>
      </c>
      <c r="AW24" s="186" t="str">
        <f t="shared" si="13"/>
        <v/>
      </c>
      <c r="AX24" s="186" t="str">
        <f t="shared" si="13"/>
        <v/>
      </c>
      <c r="AY24" s="186" t="str">
        <f t="shared" si="13"/>
        <v/>
      </c>
      <c r="AZ24" s="186" t="str">
        <f t="shared" si="13"/>
        <v/>
      </c>
      <c r="BA24" s="186" t="str">
        <f t="shared" si="13"/>
        <v/>
      </c>
      <c r="BB24" s="186" t="str">
        <f t="shared" si="13"/>
        <v/>
      </c>
      <c r="BC24" s="186" t="str">
        <f t="shared" si="13"/>
        <v/>
      </c>
      <c r="BD24" s="186" t="str">
        <f t="shared" si="13"/>
        <v/>
      </c>
      <c r="BE24" s="186" t="str">
        <f t="shared" si="13"/>
        <v/>
      </c>
      <c r="BF24" s="186" t="str">
        <f t="shared" si="13"/>
        <v/>
      </c>
      <c r="BG24" s="186" t="str">
        <f t="shared" si="13"/>
        <v/>
      </c>
      <c r="BH24" s="186" t="str">
        <f t="shared" si="13"/>
        <v/>
      </c>
      <c r="BI24" s="186" t="str">
        <f t="shared" si="13"/>
        <v/>
      </c>
      <c r="BJ24" s="186" t="str">
        <f t="shared" si="13"/>
        <v/>
      </c>
      <c r="BK24" s="186" t="str">
        <f t="shared" si="13"/>
        <v/>
      </c>
      <c r="BL24" s="186" t="str">
        <f t="shared" si="13"/>
        <v/>
      </c>
      <c r="BM24" s="186" t="str">
        <f t="shared" si="13"/>
        <v/>
      </c>
      <c r="BN24" s="186" t="str">
        <f t="shared" si="13"/>
        <v/>
      </c>
      <c r="BO24" s="186" t="str">
        <f t="shared" si="13"/>
        <v/>
      </c>
      <c r="BP24" s="186" t="str">
        <f t="shared" si="13"/>
        <v/>
      </c>
      <c r="BQ24" s="186" t="str">
        <f t="shared" ref="BQ24:CB24" si="14">IFERROR(BQ18-BQ23,"")</f>
        <v/>
      </c>
      <c r="BR24" s="186" t="str">
        <f t="shared" si="14"/>
        <v/>
      </c>
      <c r="BS24" s="186" t="str">
        <f t="shared" si="14"/>
        <v/>
      </c>
      <c r="BT24" s="186" t="str">
        <f t="shared" si="14"/>
        <v/>
      </c>
      <c r="BU24" s="186" t="str">
        <f t="shared" si="14"/>
        <v/>
      </c>
      <c r="BV24" s="186" t="str">
        <f t="shared" si="14"/>
        <v/>
      </c>
      <c r="BW24" s="186" t="str">
        <f t="shared" si="14"/>
        <v/>
      </c>
      <c r="BX24" s="186" t="str">
        <f t="shared" si="14"/>
        <v/>
      </c>
      <c r="BY24" s="186" t="str">
        <f t="shared" si="14"/>
        <v/>
      </c>
      <c r="BZ24" s="186" t="str">
        <f t="shared" si="14"/>
        <v/>
      </c>
      <c r="CA24" s="186" t="str">
        <f t="shared" si="14"/>
        <v/>
      </c>
      <c r="CB24" s="186" t="str">
        <f t="shared" si="14"/>
        <v/>
      </c>
    </row>
    <row r="25" spans="1:80" ht="13.5" customHeight="1">
      <c r="A25" s="175">
        <v>22</v>
      </c>
      <c r="B25" s="15" t="s">
        <v>908</v>
      </c>
      <c r="C25" s="4" t="s">
        <v>377</v>
      </c>
      <c r="D25" s="4" t="s">
        <v>846</v>
      </c>
      <c r="E25" s="180" t="s">
        <v>846</v>
      </c>
      <c r="F25" s="187">
        <f t="shared" ref="F25:Y25" si="15">VLOOKUP(F21,kariire_list,16,FALSE)</f>
        <v>1</v>
      </c>
      <c r="G25" s="187">
        <f t="shared" si="15"/>
        <v>1.65</v>
      </c>
      <c r="H25" s="187">
        <f t="shared" si="15"/>
        <v>1.1000000000000001</v>
      </c>
      <c r="I25" s="187">
        <f t="shared" si="15"/>
        <v>1</v>
      </c>
      <c r="J25" s="187">
        <f t="shared" si="15"/>
        <v>1</v>
      </c>
      <c r="K25" s="187">
        <f t="shared" si="15"/>
        <v>1</v>
      </c>
      <c r="L25" s="187">
        <f t="shared" si="15"/>
        <v>1.2</v>
      </c>
      <c r="M25" s="187">
        <f t="shared" si="15"/>
        <v>1.5</v>
      </c>
      <c r="N25" s="187" t="e">
        <f t="shared" si="15"/>
        <v>#N/A</v>
      </c>
      <c r="O25" s="187">
        <f t="shared" si="15"/>
        <v>1.3</v>
      </c>
      <c r="P25" s="187">
        <f t="shared" si="15"/>
        <v>1.3</v>
      </c>
      <c r="Q25" s="187">
        <f t="shared" si="15"/>
        <v>1.375</v>
      </c>
      <c r="R25" s="187">
        <f t="shared" si="15"/>
        <v>1.3</v>
      </c>
      <c r="S25" s="187">
        <f t="shared" si="15"/>
        <v>1.3</v>
      </c>
      <c r="T25" s="187">
        <f t="shared" si="15"/>
        <v>1.45</v>
      </c>
      <c r="U25" s="187">
        <f t="shared" si="15"/>
        <v>1.675</v>
      </c>
      <c r="V25" s="187" t="e">
        <f t="shared" si="15"/>
        <v>#N/A</v>
      </c>
      <c r="W25" s="187">
        <f t="shared" si="15"/>
        <v>1.65</v>
      </c>
      <c r="X25" s="187" t="e">
        <f t="shared" si="15"/>
        <v>#N/A</v>
      </c>
      <c r="Y25" s="187">
        <f t="shared" si="15"/>
        <v>2.8</v>
      </c>
      <c r="Z25" s="187">
        <f t="shared" ref="Z25:BP25" si="16">VLOOKUP(Z21,kariire_list,16,FALSE)</f>
        <v>1.6</v>
      </c>
      <c r="AA25" s="187">
        <f t="shared" si="16"/>
        <v>1.6</v>
      </c>
      <c r="AB25" s="187" t="e">
        <f t="shared" si="16"/>
        <v>#N/A</v>
      </c>
      <c r="AC25" s="187" t="e">
        <f t="shared" si="16"/>
        <v>#N/A</v>
      </c>
      <c r="AD25" s="187" t="e">
        <f t="shared" si="16"/>
        <v>#N/A</v>
      </c>
      <c r="AE25" s="187" t="e">
        <f t="shared" si="16"/>
        <v>#N/A</v>
      </c>
      <c r="AF25" s="187" t="e">
        <f t="shared" si="16"/>
        <v>#N/A</v>
      </c>
      <c r="AG25" s="187" t="e">
        <f t="shared" si="16"/>
        <v>#N/A</v>
      </c>
      <c r="AH25" s="187" t="e">
        <f t="shared" si="16"/>
        <v>#N/A</v>
      </c>
      <c r="AI25" s="187" t="e">
        <f t="shared" si="16"/>
        <v>#N/A</v>
      </c>
      <c r="AJ25" s="187" t="e">
        <f t="shared" si="16"/>
        <v>#N/A</v>
      </c>
      <c r="AK25" s="187" t="e">
        <f t="shared" si="16"/>
        <v>#N/A</v>
      </c>
      <c r="AL25" s="187" t="e">
        <f t="shared" si="16"/>
        <v>#N/A</v>
      </c>
      <c r="AM25" s="187" t="e">
        <f t="shared" si="16"/>
        <v>#N/A</v>
      </c>
      <c r="AN25" s="187" t="e">
        <f t="shared" si="16"/>
        <v>#N/A</v>
      </c>
      <c r="AO25" s="187" t="e">
        <f t="shared" si="16"/>
        <v>#N/A</v>
      </c>
      <c r="AP25" s="187" t="e">
        <f t="shared" si="16"/>
        <v>#N/A</v>
      </c>
      <c r="AQ25" s="187" t="e">
        <f t="shared" si="16"/>
        <v>#N/A</v>
      </c>
      <c r="AR25" s="187" t="e">
        <f t="shared" si="16"/>
        <v>#N/A</v>
      </c>
      <c r="AS25" s="187" t="e">
        <f t="shared" si="16"/>
        <v>#N/A</v>
      </c>
      <c r="AT25" s="187" t="e">
        <f t="shared" si="16"/>
        <v>#N/A</v>
      </c>
      <c r="AU25" s="187" t="e">
        <f t="shared" si="16"/>
        <v>#N/A</v>
      </c>
      <c r="AV25" s="187" t="e">
        <f t="shared" si="16"/>
        <v>#N/A</v>
      </c>
      <c r="AW25" s="187" t="e">
        <f t="shared" si="16"/>
        <v>#N/A</v>
      </c>
      <c r="AX25" s="187" t="e">
        <f t="shared" si="16"/>
        <v>#N/A</v>
      </c>
      <c r="AY25" s="187" t="e">
        <f t="shared" si="16"/>
        <v>#N/A</v>
      </c>
      <c r="AZ25" s="187" t="e">
        <f t="shared" si="16"/>
        <v>#N/A</v>
      </c>
      <c r="BA25" s="187" t="e">
        <f t="shared" si="16"/>
        <v>#N/A</v>
      </c>
      <c r="BB25" s="187" t="e">
        <f t="shared" si="16"/>
        <v>#N/A</v>
      </c>
      <c r="BC25" s="187" t="e">
        <f t="shared" si="16"/>
        <v>#N/A</v>
      </c>
      <c r="BD25" s="187" t="e">
        <f t="shared" si="16"/>
        <v>#N/A</v>
      </c>
      <c r="BE25" s="187" t="e">
        <f t="shared" si="16"/>
        <v>#N/A</v>
      </c>
      <c r="BF25" s="187" t="e">
        <f t="shared" si="16"/>
        <v>#N/A</v>
      </c>
      <c r="BG25" s="187" t="e">
        <f t="shared" si="16"/>
        <v>#N/A</v>
      </c>
      <c r="BH25" s="187" t="e">
        <f t="shared" si="16"/>
        <v>#N/A</v>
      </c>
      <c r="BI25" s="187" t="e">
        <f t="shared" si="16"/>
        <v>#N/A</v>
      </c>
      <c r="BJ25" s="187" t="e">
        <f t="shared" si="16"/>
        <v>#N/A</v>
      </c>
      <c r="BK25" s="187" t="e">
        <f t="shared" si="16"/>
        <v>#N/A</v>
      </c>
      <c r="BL25" s="187" t="e">
        <f t="shared" si="16"/>
        <v>#N/A</v>
      </c>
      <c r="BM25" s="187" t="e">
        <f t="shared" si="16"/>
        <v>#N/A</v>
      </c>
      <c r="BN25" s="187" t="e">
        <f t="shared" si="16"/>
        <v>#N/A</v>
      </c>
      <c r="BO25" s="187" t="e">
        <f t="shared" si="16"/>
        <v>#N/A</v>
      </c>
      <c r="BP25" s="187" t="e">
        <f t="shared" si="16"/>
        <v>#N/A</v>
      </c>
      <c r="BQ25" s="187" t="e">
        <f t="shared" ref="BQ25:CB25" si="17">VLOOKUP(BQ21,kariire_list,16,FALSE)</f>
        <v>#N/A</v>
      </c>
      <c r="BR25" s="187" t="e">
        <f t="shared" si="17"/>
        <v>#N/A</v>
      </c>
      <c r="BS25" s="187" t="e">
        <f t="shared" si="17"/>
        <v>#N/A</v>
      </c>
      <c r="BT25" s="187" t="e">
        <f t="shared" si="17"/>
        <v>#N/A</v>
      </c>
      <c r="BU25" s="187" t="e">
        <f t="shared" si="17"/>
        <v>#N/A</v>
      </c>
      <c r="BV25" s="187" t="e">
        <f t="shared" si="17"/>
        <v>#N/A</v>
      </c>
      <c r="BW25" s="187" t="e">
        <f t="shared" si="17"/>
        <v>#N/A</v>
      </c>
      <c r="BX25" s="187" t="e">
        <f t="shared" si="17"/>
        <v>#N/A</v>
      </c>
      <c r="BY25" s="187" t="e">
        <f t="shared" si="17"/>
        <v>#N/A</v>
      </c>
      <c r="BZ25" s="187" t="e">
        <f t="shared" si="17"/>
        <v>#N/A</v>
      </c>
      <c r="CA25" s="187" t="e">
        <f t="shared" si="17"/>
        <v>#N/A</v>
      </c>
      <c r="CB25" s="187" t="e">
        <f t="shared" si="17"/>
        <v>#N/A</v>
      </c>
    </row>
    <row r="26" spans="1:80" ht="13.5" customHeight="1">
      <c r="A26" s="175">
        <v>23</v>
      </c>
      <c r="B26" s="13" t="s">
        <v>909</v>
      </c>
      <c r="C26" s="4" t="s">
        <v>377</v>
      </c>
      <c r="D26" s="4" t="s">
        <v>846</v>
      </c>
      <c r="E26" s="180" t="s">
        <v>846</v>
      </c>
      <c r="F26" s="188">
        <f t="shared" ref="F26:Y26" si="18">VLOOKUP(F21,kariire_list,18,FALSE)</f>
        <v>25</v>
      </c>
      <c r="G26" s="188">
        <f t="shared" si="18"/>
        <v>35</v>
      </c>
      <c r="H26" s="188">
        <f t="shared" si="18"/>
        <v>30</v>
      </c>
      <c r="I26" s="188">
        <f t="shared" si="18"/>
        <v>25</v>
      </c>
      <c r="J26" s="188">
        <f t="shared" si="18"/>
        <v>25</v>
      </c>
      <c r="K26" s="188">
        <f t="shared" si="18"/>
        <v>30</v>
      </c>
      <c r="L26" s="188">
        <f t="shared" si="18"/>
        <v>30</v>
      </c>
      <c r="M26" s="188">
        <f t="shared" si="18"/>
        <v>30</v>
      </c>
      <c r="N26" s="188" t="e">
        <f t="shared" si="18"/>
        <v>#N/A</v>
      </c>
      <c r="O26" s="188">
        <f t="shared" si="18"/>
        <v>30</v>
      </c>
      <c r="P26" s="188">
        <f t="shared" si="18"/>
        <v>30</v>
      </c>
      <c r="Q26" s="188">
        <f t="shared" si="18"/>
        <v>30</v>
      </c>
      <c r="R26" s="188">
        <f t="shared" si="18"/>
        <v>40</v>
      </c>
      <c r="S26" s="188">
        <f t="shared" si="18"/>
        <v>40</v>
      </c>
      <c r="T26" s="188">
        <f t="shared" si="18"/>
        <v>40</v>
      </c>
      <c r="U26" s="188">
        <f t="shared" si="18"/>
        <v>35</v>
      </c>
      <c r="V26" s="188" t="e">
        <f t="shared" si="18"/>
        <v>#N/A</v>
      </c>
      <c r="W26" s="188">
        <f t="shared" si="18"/>
        <v>35</v>
      </c>
      <c r="X26" s="188" t="e">
        <f t="shared" si="18"/>
        <v>#N/A</v>
      </c>
      <c r="Y26" s="188">
        <f t="shared" si="18"/>
        <v>30</v>
      </c>
      <c r="Z26" s="188">
        <f t="shared" ref="Z26:BP26" si="19">VLOOKUP(Z21,kariire_list,18,FALSE)</f>
        <v>26</v>
      </c>
      <c r="AA26" s="188">
        <f t="shared" si="19"/>
        <v>26</v>
      </c>
      <c r="AB26" s="188" t="e">
        <f t="shared" si="19"/>
        <v>#N/A</v>
      </c>
      <c r="AC26" s="188" t="e">
        <f t="shared" si="19"/>
        <v>#N/A</v>
      </c>
      <c r="AD26" s="188" t="e">
        <f t="shared" si="19"/>
        <v>#N/A</v>
      </c>
      <c r="AE26" s="188" t="e">
        <f t="shared" si="19"/>
        <v>#N/A</v>
      </c>
      <c r="AF26" s="188" t="e">
        <f t="shared" si="19"/>
        <v>#N/A</v>
      </c>
      <c r="AG26" s="188" t="e">
        <f t="shared" si="19"/>
        <v>#N/A</v>
      </c>
      <c r="AH26" s="188" t="e">
        <f t="shared" si="19"/>
        <v>#N/A</v>
      </c>
      <c r="AI26" s="188" t="e">
        <f t="shared" si="19"/>
        <v>#N/A</v>
      </c>
      <c r="AJ26" s="188" t="e">
        <f t="shared" si="19"/>
        <v>#N/A</v>
      </c>
      <c r="AK26" s="188" t="e">
        <f t="shared" si="19"/>
        <v>#N/A</v>
      </c>
      <c r="AL26" s="188" t="e">
        <f t="shared" si="19"/>
        <v>#N/A</v>
      </c>
      <c r="AM26" s="188" t="e">
        <f t="shared" si="19"/>
        <v>#N/A</v>
      </c>
      <c r="AN26" s="188" t="e">
        <f t="shared" si="19"/>
        <v>#N/A</v>
      </c>
      <c r="AO26" s="188" t="e">
        <f t="shared" si="19"/>
        <v>#N/A</v>
      </c>
      <c r="AP26" s="188" t="e">
        <f t="shared" si="19"/>
        <v>#N/A</v>
      </c>
      <c r="AQ26" s="188" t="e">
        <f t="shared" si="19"/>
        <v>#N/A</v>
      </c>
      <c r="AR26" s="188" t="e">
        <f t="shared" si="19"/>
        <v>#N/A</v>
      </c>
      <c r="AS26" s="188" t="e">
        <f t="shared" si="19"/>
        <v>#N/A</v>
      </c>
      <c r="AT26" s="188" t="e">
        <f t="shared" si="19"/>
        <v>#N/A</v>
      </c>
      <c r="AU26" s="188" t="e">
        <f t="shared" si="19"/>
        <v>#N/A</v>
      </c>
      <c r="AV26" s="188" t="e">
        <f t="shared" si="19"/>
        <v>#N/A</v>
      </c>
      <c r="AW26" s="188" t="e">
        <f t="shared" si="19"/>
        <v>#N/A</v>
      </c>
      <c r="AX26" s="188" t="e">
        <f t="shared" si="19"/>
        <v>#N/A</v>
      </c>
      <c r="AY26" s="188" t="e">
        <f t="shared" si="19"/>
        <v>#N/A</v>
      </c>
      <c r="AZ26" s="188" t="e">
        <f t="shared" si="19"/>
        <v>#N/A</v>
      </c>
      <c r="BA26" s="188" t="e">
        <f t="shared" si="19"/>
        <v>#N/A</v>
      </c>
      <c r="BB26" s="188" t="e">
        <f t="shared" si="19"/>
        <v>#N/A</v>
      </c>
      <c r="BC26" s="188" t="e">
        <f t="shared" si="19"/>
        <v>#N/A</v>
      </c>
      <c r="BD26" s="188" t="e">
        <f t="shared" si="19"/>
        <v>#N/A</v>
      </c>
      <c r="BE26" s="188" t="e">
        <f t="shared" si="19"/>
        <v>#N/A</v>
      </c>
      <c r="BF26" s="188" t="e">
        <f t="shared" si="19"/>
        <v>#N/A</v>
      </c>
      <c r="BG26" s="188" t="e">
        <f t="shared" si="19"/>
        <v>#N/A</v>
      </c>
      <c r="BH26" s="188" t="e">
        <f t="shared" si="19"/>
        <v>#N/A</v>
      </c>
      <c r="BI26" s="188" t="e">
        <f t="shared" si="19"/>
        <v>#N/A</v>
      </c>
      <c r="BJ26" s="188" t="e">
        <f t="shared" si="19"/>
        <v>#N/A</v>
      </c>
      <c r="BK26" s="188" t="e">
        <f t="shared" si="19"/>
        <v>#N/A</v>
      </c>
      <c r="BL26" s="188" t="e">
        <f t="shared" si="19"/>
        <v>#N/A</v>
      </c>
      <c r="BM26" s="188" t="e">
        <f t="shared" si="19"/>
        <v>#N/A</v>
      </c>
      <c r="BN26" s="188" t="e">
        <f t="shared" si="19"/>
        <v>#N/A</v>
      </c>
      <c r="BO26" s="188" t="e">
        <f t="shared" si="19"/>
        <v>#N/A</v>
      </c>
      <c r="BP26" s="188" t="e">
        <f t="shared" si="19"/>
        <v>#N/A</v>
      </c>
      <c r="BQ26" s="188" t="e">
        <f t="shared" ref="BQ26:CB26" si="20">VLOOKUP(BQ21,kariire_list,18,FALSE)</f>
        <v>#N/A</v>
      </c>
      <c r="BR26" s="188" t="e">
        <f t="shared" si="20"/>
        <v>#N/A</v>
      </c>
      <c r="BS26" s="188" t="e">
        <f t="shared" si="20"/>
        <v>#N/A</v>
      </c>
      <c r="BT26" s="188" t="e">
        <f t="shared" si="20"/>
        <v>#N/A</v>
      </c>
      <c r="BU26" s="188" t="e">
        <f t="shared" si="20"/>
        <v>#N/A</v>
      </c>
      <c r="BV26" s="188" t="e">
        <f t="shared" si="20"/>
        <v>#N/A</v>
      </c>
      <c r="BW26" s="188" t="e">
        <f t="shared" si="20"/>
        <v>#N/A</v>
      </c>
      <c r="BX26" s="188" t="e">
        <f t="shared" si="20"/>
        <v>#N/A</v>
      </c>
      <c r="BY26" s="188" t="e">
        <f t="shared" si="20"/>
        <v>#N/A</v>
      </c>
      <c r="BZ26" s="188" t="e">
        <f t="shared" si="20"/>
        <v>#N/A</v>
      </c>
      <c r="CA26" s="188" t="e">
        <f t="shared" si="20"/>
        <v>#N/A</v>
      </c>
      <c r="CB26" s="188" t="e">
        <f t="shared" si="20"/>
        <v>#N/A</v>
      </c>
    </row>
    <row r="27" spans="1:80" ht="13.5" customHeight="1">
      <c r="A27" s="349">
        <v>24</v>
      </c>
      <c r="B27" s="189" t="s">
        <v>910</v>
      </c>
      <c r="C27" s="4"/>
      <c r="D27" s="4"/>
      <c r="E27" s="183"/>
      <c r="F27" s="190" t="s">
        <v>846</v>
      </c>
      <c r="G27" s="190" t="s">
        <v>846</v>
      </c>
      <c r="H27" s="190" t="s">
        <v>846</v>
      </c>
      <c r="I27" s="190" t="s">
        <v>846</v>
      </c>
      <c r="J27" s="190" t="s">
        <v>846</v>
      </c>
      <c r="K27" s="190" t="s">
        <v>846</v>
      </c>
      <c r="L27" s="190" t="s">
        <v>846</v>
      </c>
      <c r="M27" s="190" t="s">
        <v>846</v>
      </c>
      <c r="N27" s="190" t="s">
        <v>846</v>
      </c>
      <c r="O27" s="190" t="s">
        <v>846</v>
      </c>
      <c r="P27" s="190" t="s">
        <v>846</v>
      </c>
      <c r="Q27" s="190" t="s">
        <v>846</v>
      </c>
      <c r="R27" s="190" t="s">
        <v>846</v>
      </c>
      <c r="S27" s="190" t="s">
        <v>846</v>
      </c>
      <c r="T27" s="190" t="s">
        <v>846</v>
      </c>
      <c r="U27" s="190" t="s">
        <v>846</v>
      </c>
      <c r="V27" s="190" t="s">
        <v>846</v>
      </c>
      <c r="W27" s="190" t="s">
        <v>846</v>
      </c>
      <c r="X27" s="190" t="s">
        <v>846</v>
      </c>
      <c r="Y27" s="190" t="s">
        <v>846</v>
      </c>
      <c r="Z27" s="190" t="s">
        <v>846</v>
      </c>
      <c r="AA27" s="190" t="s">
        <v>846</v>
      </c>
      <c r="AB27" s="190" t="s">
        <v>846</v>
      </c>
      <c r="AC27" s="190" t="s">
        <v>846</v>
      </c>
      <c r="AD27" s="190" t="s">
        <v>846</v>
      </c>
      <c r="AE27" s="190" t="s">
        <v>846</v>
      </c>
      <c r="AF27" s="190" t="s">
        <v>846</v>
      </c>
      <c r="AG27" s="190" t="s">
        <v>846</v>
      </c>
      <c r="AH27" s="190" t="s">
        <v>846</v>
      </c>
      <c r="AI27" s="190" t="s">
        <v>846</v>
      </c>
      <c r="AJ27" s="190" t="s">
        <v>846</v>
      </c>
      <c r="AK27" s="190" t="s">
        <v>846</v>
      </c>
      <c r="AL27" s="190" t="s">
        <v>846</v>
      </c>
      <c r="AM27" s="190" t="s">
        <v>846</v>
      </c>
      <c r="AN27" s="190" t="s">
        <v>846</v>
      </c>
      <c r="AO27" s="190" t="s">
        <v>846</v>
      </c>
      <c r="AP27" s="190" t="s">
        <v>846</v>
      </c>
      <c r="AQ27" s="190" t="s">
        <v>846</v>
      </c>
      <c r="AR27" s="190" t="s">
        <v>846</v>
      </c>
      <c r="AS27" s="190" t="s">
        <v>846</v>
      </c>
      <c r="AT27" s="190" t="s">
        <v>846</v>
      </c>
      <c r="AU27" s="190" t="s">
        <v>846</v>
      </c>
      <c r="AV27" s="190" t="s">
        <v>846</v>
      </c>
      <c r="AW27" s="190" t="s">
        <v>846</v>
      </c>
      <c r="AX27" s="190" t="s">
        <v>846</v>
      </c>
      <c r="AY27" s="190" t="s">
        <v>846</v>
      </c>
      <c r="AZ27" s="190" t="s">
        <v>846</v>
      </c>
      <c r="BA27" s="190" t="s">
        <v>846</v>
      </c>
      <c r="BB27" s="190" t="s">
        <v>846</v>
      </c>
      <c r="BC27" s="190" t="s">
        <v>846</v>
      </c>
      <c r="BD27" s="190" t="s">
        <v>846</v>
      </c>
      <c r="BE27" s="190" t="s">
        <v>846</v>
      </c>
      <c r="BF27" s="190" t="s">
        <v>846</v>
      </c>
      <c r="BG27" s="190" t="s">
        <v>846</v>
      </c>
      <c r="BH27" s="190" t="s">
        <v>846</v>
      </c>
      <c r="BI27" s="190" t="s">
        <v>846</v>
      </c>
      <c r="BJ27" s="190" t="s">
        <v>846</v>
      </c>
      <c r="BK27" s="190" t="s">
        <v>846</v>
      </c>
      <c r="BL27" s="190" t="s">
        <v>846</v>
      </c>
      <c r="BM27" s="190" t="s">
        <v>846</v>
      </c>
      <c r="BN27" s="190" t="s">
        <v>846</v>
      </c>
      <c r="BO27" s="190" t="s">
        <v>846</v>
      </c>
      <c r="BP27" s="190" t="s">
        <v>846</v>
      </c>
      <c r="BQ27" s="190" t="s">
        <v>846</v>
      </c>
      <c r="BR27" s="190" t="s">
        <v>846</v>
      </c>
      <c r="BS27" s="190" t="s">
        <v>846</v>
      </c>
      <c r="BT27" s="190" t="s">
        <v>846</v>
      </c>
      <c r="BU27" s="190" t="s">
        <v>846</v>
      </c>
      <c r="BV27" s="190" t="s">
        <v>846</v>
      </c>
      <c r="BW27" s="190" t="s">
        <v>846</v>
      </c>
      <c r="BX27" s="190" t="s">
        <v>846</v>
      </c>
      <c r="BY27" s="190" t="s">
        <v>846</v>
      </c>
      <c r="BZ27" s="190" t="s">
        <v>846</v>
      </c>
      <c r="CA27" s="190" t="s">
        <v>846</v>
      </c>
      <c r="CB27" s="190" t="s">
        <v>846</v>
      </c>
    </row>
    <row r="28" spans="1:80" s="23" customFormat="1" ht="13.5" customHeight="1">
      <c r="A28" s="175">
        <v>25</v>
      </c>
      <c r="B28" s="13" t="s">
        <v>911</v>
      </c>
      <c r="C28" s="4" t="s">
        <v>399</v>
      </c>
      <c r="D28" s="4" t="s">
        <v>846</v>
      </c>
      <c r="E28" s="180"/>
      <c r="F28" s="200"/>
      <c r="G28" s="197"/>
      <c r="H28" s="197"/>
      <c r="I28" s="197"/>
      <c r="J28" s="197"/>
      <c r="K28" s="197"/>
      <c r="L28" s="197"/>
      <c r="M28" s="197"/>
      <c r="N28" s="197"/>
      <c r="O28" s="197"/>
      <c r="P28" s="197"/>
      <c r="Q28" s="197"/>
      <c r="R28" s="197"/>
      <c r="S28" s="197"/>
      <c r="T28" s="197"/>
      <c r="U28" s="197"/>
      <c r="V28" s="197"/>
      <c r="W28" s="197"/>
      <c r="X28" s="197"/>
      <c r="Y28" s="201"/>
      <c r="Z28" s="201" t="s">
        <v>764</v>
      </c>
      <c r="AA28" s="201" t="s">
        <v>764</v>
      </c>
      <c r="AB28" s="201"/>
      <c r="AC28" s="197"/>
      <c r="AD28" s="197"/>
      <c r="AE28" s="197"/>
      <c r="AF28" s="197"/>
      <c r="AG28" s="197"/>
      <c r="AH28" s="197"/>
      <c r="AI28" s="197"/>
      <c r="AJ28" s="197"/>
      <c r="AK28" s="197"/>
      <c r="AL28" s="197"/>
      <c r="AM28" s="197"/>
      <c r="AN28" s="197"/>
      <c r="AO28" s="197"/>
      <c r="AP28" s="197"/>
      <c r="AQ28" s="197"/>
      <c r="AR28" s="197"/>
      <c r="AS28" s="197"/>
      <c r="AT28" s="197"/>
      <c r="AU28" s="197"/>
      <c r="AV28" s="197"/>
      <c r="AW28" s="197"/>
      <c r="AX28" s="197"/>
      <c r="AY28" s="197"/>
      <c r="AZ28" s="197"/>
      <c r="BA28" s="197"/>
      <c r="BB28" s="197"/>
      <c r="BC28" s="197"/>
      <c r="BD28" s="197"/>
      <c r="BE28" s="197"/>
      <c r="BF28" s="197"/>
      <c r="BG28" s="197"/>
      <c r="BH28" s="197"/>
      <c r="BI28" s="197"/>
      <c r="BJ28" s="197"/>
      <c r="BK28" s="197"/>
      <c r="BL28" s="197"/>
      <c r="BM28" s="197"/>
      <c r="BN28" s="197"/>
      <c r="BO28" s="197"/>
      <c r="BP28" s="197"/>
      <c r="BQ28" s="197"/>
      <c r="BR28" s="197"/>
      <c r="BS28" s="197"/>
      <c r="BT28" s="197"/>
      <c r="BU28" s="197"/>
      <c r="BV28" s="197"/>
      <c r="BW28" s="197"/>
      <c r="BX28" s="197"/>
      <c r="BY28" s="197"/>
      <c r="BZ28" s="197"/>
      <c r="CA28" s="197"/>
      <c r="CB28" s="197"/>
    </row>
    <row r="29" spans="1:80" s="23" customFormat="1" ht="13.5" customHeight="1">
      <c r="A29" s="175">
        <v>26</v>
      </c>
      <c r="B29" s="13" t="s">
        <v>912</v>
      </c>
      <c r="C29" s="182" t="s">
        <v>913</v>
      </c>
      <c r="D29" s="4" t="s">
        <v>846</v>
      </c>
      <c r="E29" s="183"/>
      <c r="F29" s="201"/>
      <c r="G29" s="201"/>
      <c r="H29" s="201"/>
      <c r="I29" s="201"/>
      <c r="J29" s="201"/>
      <c r="K29" s="201"/>
      <c r="L29" s="201"/>
      <c r="M29" s="201"/>
      <c r="N29" s="201"/>
      <c r="O29" s="201"/>
      <c r="P29" s="201"/>
      <c r="Q29" s="201"/>
      <c r="R29" s="201"/>
      <c r="S29" s="201"/>
      <c r="T29" s="201"/>
      <c r="U29" s="201"/>
      <c r="V29" s="201"/>
      <c r="W29" s="201"/>
      <c r="X29" s="201"/>
      <c r="Y29" s="201"/>
      <c r="Z29" s="201">
        <f>5/8</f>
        <v>0.625</v>
      </c>
      <c r="AA29" s="201">
        <f>3/8</f>
        <v>0.375</v>
      </c>
      <c r="AB29" s="201"/>
      <c r="AC29" s="201"/>
      <c r="AD29" s="201"/>
      <c r="AE29" s="201"/>
      <c r="AF29" s="201"/>
      <c r="AG29" s="201"/>
      <c r="AH29" s="201"/>
      <c r="AI29" s="201"/>
      <c r="AJ29" s="201"/>
      <c r="AK29" s="201"/>
      <c r="AL29" s="201"/>
      <c r="AM29" s="201"/>
      <c r="AN29" s="201"/>
      <c r="AO29" s="201"/>
      <c r="AP29" s="201"/>
      <c r="AQ29" s="201"/>
      <c r="AR29" s="201"/>
      <c r="AS29" s="201"/>
      <c r="AT29" s="201"/>
      <c r="AU29" s="201"/>
      <c r="AV29" s="201"/>
      <c r="AW29" s="201"/>
      <c r="AX29" s="201"/>
      <c r="AY29" s="201"/>
      <c r="AZ29" s="201"/>
      <c r="BA29" s="201"/>
      <c r="BB29" s="201"/>
      <c r="BC29" s="201"/>
      <c r="BD29" s="201"/>
      <c r="BE29" s="201"/>
      <c r="BF29" s="201"/>
      <c r="BG29" s="201"/>
      <c r="BH29" s="201"/>
      <c r="BI29" s="201"/>
      <c r="BJ29" s="201"/>
      <c r="BK29" s="201"/>
      <c r="BL29" s="201"/>
      <c r="BM29" s="201"/>
      <c r="BN29" s="201"/>
      <c r="BO29" s="201"/>
      <c r="BP29" s="201"/>
      <c r="BQ29" s="201"/>
      <c r="BR29" s="201"/>
      <c r="BS29" s="201"/>
      <c r="BT29" s="201"/>
      <c r="BU29" s="201"/>
      <c r="BV29" s="201"/>
      <c r="BW29" s="201"/>
      <c r="BX29" s="201"/>
      <c r="BY29" s="201"/>
      <c r="BZ29" s="201"/>
      <c r="CA29" s="201"/>
      <c r="CB29" s="201"/>
    </row>
    <row r="30" spans="1:80" ht="13.5" customHeight="1">
      <c r="A30" s="175">
        <v>27</v>
      </c>
      <c r="B30" s="13" t="s">
        <v>914</v>
      </c>
      <c r="C30" s="4" t="s">
        <v>377</v>
      </c>
      <c r="D30" s="4" t="s">
        <v>846</v>
      </c>
      <c r="E30" s="183">
        <f>SUMIF(F5:CH5,"no",F30:CH30)</f>
        <v>75151106</v>
      </c>
      <c r="F30" s="190">
        <f>IFERROR( (GETPIVOTDATA("合計 / 25.残債",pivot!$EG$4,"11.対象物件",F28))*F29,0)</f>
        <v>0</v>
      </c>
      <c r="G30" s="190">
        <f>IFERROR( (GETPIVOTDATA("合計 / 25.残債",pivot!$EG$4,"11.対象物件",G28))*G29,0)</f>
        <v>0</v>
      </c>
      <c r="H30" s="190">
        <f>IFERROR( (GETPIVOTDATA("合計 / 25.残債",pivot!$EG$4,"11.対象物件",H28))*H29,0)</f>
        <v>0</v>
      </c>
      <c r="I30" s="190">
        <f>IFERROR( (GETPIVOTDATA("合計 / 25.残債",pivot!$EG$4,"11.対象物件",I28))*I29,0)</f>
        <v>0</v>
      </c>
      <c r="J30" s="190">
        <f>IFERROR( (GETPIVOTDATA("合計 / 25.残債",pivot!$EG$4,"11.対象物件",J28))*J29,0)</f>
        <v>0</v>
      </c>
      <c r="K30" s="190">
        <f>IFERROR( (GETPIVOTDATA("合計 / 25.残債",pivot!$EG$4,"11.対象物件",K28))*K29,0)</f>
        <v>0</v>
      </c>
      <c r="L30" s="190">
        <f>IFERROR( (GETPIVOTDATA("合計 / 25.残債",pivot!$EG$4,"11.対象物件",L28))*L29,0)</f>
        <v>0</v>
      </c>
      <c r="M30" s="190">
        <f>IFERROR( (GETPIVOTDATA("合計 / 25.残債",pivot!$EG$4,"11.対象物件",M28))*M29,0)</f>
        <v>0</v>
      </c>
      <c r="N30" s="190">
        <f>IFERROR( (GETPIVOTDATA("合計 / 25.残債",pivot!$EG$4,"11.対象物件",N28))*N29,0)</f>
        <v>0</v>
      </c>
      <c r="O30" s="190">
        <f>IFERROR( (GETPIVOTDATA("合計 / 25.残債",pivot!$EG$4,"11.対象物件",O28))*O29,0)</f>
        <v>0</v>
      </c>
      <c r="P30" s="190">
        <f>IFERROR( (GETPIVOTDATA("合計 / 25.残債",pivot!$EG$4,"11.対象物件",P28))*P29,0)</f>
        <v>0</v>
      </c>
      <c r="Q30" s="190">
        <f>IFERROR( (GETPIVOTDATA("合計 / 25.残債",pivot!$EG$4,"11.対象物件",Q28))*Q29,0)</f>
        <v>0</v>
      </c>
      <c r="R30" s="190">
        <f>IFERROR( (GETPIVOTDATA("合計 / 25.残債",pivot!$EG$4,"11.対象物件",R28))*R29,0)</f>
        <v>0</v>
      </c>
      <c r="S30" s="190">
        <f>IFERROR( (GETPIVOTDATA("合計 / 25.残債",pivot!$EG$4,"11.対象物件",S28))*S29,0)</f>
        <v>0</v>
      </c>
      <c r="T30" s="190">
        <f>IFERROR( (GETPIVOTDATA("合計 / 25.残債",pivot!$EG$4,"11.対象物件",T28))*T29,0)</f>
        <v>0</v>
      </c>
      <c r="U30" s="190">
        <f>IFERROR( (GETPIVOTDATA("合計 / 25.残債",pivot!$EG$4,"11.対象物件",U28))*U29,0)</f>
        <v>0</v>
      </c>
      <c r="V30" s="190">
        <f>IFERROR( (GETPIVOTDATA("合計 / 25.残債",pivot!$EG$4,"11.対象物件",V28))*V29,0)</f>
        <v>0</v>
      </c>
      <c r="W30" s="190">
        <f>IFERROR( (GETPIVOTDATA("合計 / 25.残債",pivot!$EG$4,"11.対象物件",W28))*W29,0)</f>
        <v>0</v>
      </c>
      <c r="X30" s="190">
        <f>IFERROR( (GETPIVOTDATA("合計 / 25.残債",pivot!$EG$4,"11.対象物件",X28))*X29,0)</f>
        <v>0</v>
      </c>
      <c r="Y30" s="190">
        <f>IFERROR( (GETPIVOTDATA("合計 / 25.残債",pivot!$EG$4,"11.対象物件",Y28))*Y29,0)</f>
        <v>0</v>
      </c>
      <c r="Z30" s="190">
        <f>IFERROR( (GETPIVOTDATA("合計 / 25.残債",pivot!$EG$4,"11.対象物件",Z28))*Z29,0)</f>
        <v>46969441.25</v>
      </c>
      <c r="AA30" s="190">
        <f>IFERROR( (GETPIVOTDATA("合計 / 25.残債",pivot!$EG$4,"11.対象物件",AA28))*AA29,0)</f>
        <v>28181664.75</v>
      </c>
      <c r="AB30" s="190">
        <f>IFERROR( (GETPIVOTDATA("合計 / 25.残債",pivot!$EG$4,"11.対象物件",AB28))*AB29,0)</f>
        <v>0</v>
      </c>
      <c r="AC30" s="190">
        <f>IFERROR( (GETPIVOTDATA("合計 / 25.残債",pivot!$EG$4,"11.対象物件",AC28))*AC29,0)</f>
        <v>0</v>
      </c>
      <c r="AD30" s="190">
        <f>IFERROR( (GETPIVOTDATA("合計 / 25.残債",pivot!$EG$4,"11.対象物件",AD28))*AD29,0)</f>
        <v>0</v>
      </c>
      <c r="AE30" s="190">
        <f>IFERROR( (GETPIVOTDATA("合計 / 25.残債",pivot!$EG$4,"11.対象物件",AE28))*AE29,0)</f>
        <v>0</v>
      </c>
      <c r="AF30" s="190">
        <f>IFERROR( (GETPIVOTDATA("合計 / 25.残債",pivot!$EG$4,"11.対象物件",AF28))*AF29,0)</f>
        <v>0</v>
      </c>
      <c r="AG30" s="190">
        <f>IFERROR( (GETPIVOTDATA("合計 / 25.残債",pivot!$EG$4,"11.対象物件",AG28))*AG29,0)</f>
        <v>0</v>
      </c>
      <c r="AH30" s="190">
        <f>IFERROR( (GETPIVOTDATA("合計 / 25.残債",pivot!$EG$4,"11.対象物件",AH28))*AH29,0)</f>
        <v>0</v>
      </c>
      <c r="AI30" s="190">
        <f>IFERROR( (GETPIVOTDATA("合計 / 25.残債",pivot!$EG$4,"11.対象物件",AI28))*AI29,0)</f>
        <v>0</v>
      </c>
      <c r="AJ30" s="190">
        <f>IFERROR( (GETPIVOTDATA("合計 / 25.残債",pivot!$EG$4,"11.対象物件",AJ28))*AJ29,0)</f>
        <v>0</v>
      </c>
      <c r="AK30" s="190">
        <f>IFERROR( (GETPIVOTDATA("合計 / 25.残債",pivot!$EG$4,"11.対象物件",AK28))*AK29,0)</f>
        <v>0</v>
      </c>
      <c r="AL30" s="190">
        <f>IFERROR( (GETPIVOTDATA("合計 / 25.残債",pivot!$EG$4,"11.対象物件",AL28))*AL29,0)</f>
        <v>0</v>
      </c>
      <c r="AM30" s="190">
        <f>IFERROR( (GETPIVOTDATA("合計 / 25.残債",pivot!$EG$4,"11.対象物件",AM28))*AM29,0)</f>
        <v>0</v>
      </c>
      <c r="AN30" s="190">
        <f>IFERROR( (GETPIVOTDATA("合計 / 25.残債",pivot!$EG$4,"11.対象物件",AN28))*AN29,0)</f>
        <v>0</v>
      </c>
      <c r="AO30" s="190">
        <f>IFERROR( (GETPIVOTDATA("合計 / 25.残債",pivot!$EG$4,"11.対象物件",AO28))*AO29,0)</f>
        <v>0</v>
      </c>
      <c r="AP30" s="190">
        <f>IFERROR( (GETPIVOTDATA("合計 / 25.残債",pivot!$EG$4,"11.対象物件",AP28))*AP29,0)</f>
        <v>0</v>
      </c>
      <c r="AQ30" s="190">
        <f>IFERROR( (GETPIVOTDATA("合計 / 25.残債",pivot!$EG$4,"11.対象物件",AQ28))*AQ29,0)</f>
        <v>0</v>
      </c>
      <c r="AR30" s="190">
        <f>IFERROR( (GETPIVOTDATA("合計 / 25.残債",pivot!$EG$4,"11.対象物件",AR28))*AR29,0)</f>
        <v>0</v>
      </c>
      <c r="AS30" s="190">
        <f>IFERROR( (GETPIVOTDATA("合計 / 25.残債",pivot!$EG$4,"11.対象物件",AS28))*AS29,0)</f>
        <v>0</v>
      </c>
      <c r="AT30" s="190">
        <f>IFERROR( (GETPIVOTDATA("合計 / 25.残債",pivot!$EG$4,"11.対象物件",AT28))*AT29,0)</f>
        <v>0</v>
      </c>
      <c r="AU30" s="190">
        <f>IFERROR( (GETPIVOTDATA("合計 / 25.残債",pivot!$EG$4,"11.対象物件",AU28))*AU29,0)</f>
        <v>0</v>
      </c>
      <c r="AV30" s="190">
        <f>IFERROR( (GETPIVOTDATA("合計 / 25.残債",pivot!$EG$4,"11.対象物件",AV28))*AV29,0)</f>
        <v>0</v>
      </c>
      <c r="AW30" s="190">
        <f>IFERROR( (GETPIVOTDATA("合計 / 25.残債",pivot!$EG$4,"11.対象物件",AW28))*AW29,0)</f>
        <v>0</v>
      </c>
      <c r="AX30" s="190">
        <f>IFERROR( (GETPIVOTDATA("合計 / 25.残債",pivot!$EG$4,"11.対象物件",AX28))*AX29,0)</f>
        <v>0</v>
      </c>
      <c r="AY30" s="190">
        <f>IFERROR( (GETPIVOTDATA("合計 / 25.残債",pivot!$EG$4,"11.対象物件",AY28))*AY29,0)</f>
        <v>0</v>
      </c>
      <c r="AZ30" s="190">
        <f>IFERROR( (GETPIVOTDATA("合計 / 25.残債",pivot!$EG$4,"11.対象物件",AZ28))*AZ29,0)</f>
        <v>0</v>
      </c>
      <c r="BA30" s="190">
        <f>IFERROR( (GETPIVOTDATA("合計 / 25.残債",pivot!$EG$4,"11.対象物件",BA28))*BA29,0)</f>
        <v>0</v>
      </c>
      <c r="BB30" s="190">
        <f>IFERROR( (GETPIVOTDATA("合計 / 25.残債",pivot!$EG$4,"11.対象物件",BB28))*BB29,0)</f>
        <v>0</v>
      </c>
      <c r="BC30" s="190">
        <f>IFERROR( (GETPIVOTDATA("合計 / 25.残債",pivot!$EG$4,"11.対象物件",BC28))*BC29,0)</f>
        <v>0</v>
      </c>
      <c r="BD30" s="190">
        <f>IFERROR( (GETPIVOTDATA("合計 / 25.残債",pivot!$EG$4,"11.対象物件",BD28))*BD29,0)</f>
        <v>0</v>
      </c>
      <c r="BE30" s="190">
        <f>IFERROR( (GETPIVOTDATA("合計 / 25.残債",pivot!$EG$4,"11.対象物件",BE28))*BE29,0)</f>
        <v>0</v>
      </c>
      <c r="BF30" s="190">
        <f>IFERROR( (GETPIVOTDATA("合計 / 25.残債",pivot!$EG$4,"11.対象物件",BF28))*BF29,0)</f>
        <v>0</v>
      </c>
      <c r="BG30" s="190">
        <f>IFERROR( (GETPIVOTDATA("合計 / 25.残債",pivot!$EG$4,"11.対象物件",BG28))*BG29,0)</f>
        <v>0</v>
      </c>
      <c r="BH30" s="190">
        <f>IFERROR( (GETPIVOTDATA("合計 / 25.残債",pivot!$EG$4,"11.対象物件",BH28))*BH29,0)</f>
        <v>0</v>
      </c>
      <c r="BI30" s="190">
        <f>IFERROR( (GETPIVOTDATA("合計 / 25.残債",pivot!$EG$4,"11.対象物件",BI28))*BI29,0)</f>
        <v>0</v>
      </c>
      <c r="BJ30" s="190">
        <f>IFERROR( (GETPIVOTDATA("合計 / 25.残債",pivot!$EG$4,"11.対象物件",BJ28))*BJ29,0)</f>
        <v>0</v>
      </c>
      <c r="BK30" s="190">
        <f>IFERROR( (GETPIVOTDATA("合計 / 25.残債",pivot!$EG$4,"11.対象物件",BK28))*BK29,0)</f>
        <v>0</v>
      </c>
      <c r="BL30" s="190">
        <f>IFERROR( (GETPIVOTDATA("合計 / 25.残債",pivot!$EG$4,"11.対象物件",BL28))*BL29,0)</f>
        <v>0</v>
      </c>
      <c r="BM30" s="190">
        <f>IFERROR( (GETPIVOTDATA("合計 / 25.残債",pivot!$EG$4,"11.対象物件",BM28))*BM29,0)</f>
        <v>0</v>
      </c>
      <c r="BN30" s="190">
        <f>IFERROR( (GETPIVOTDATA("合計 / 25.残債",pivot!$EG$4,"11.対象物件",BN28))*BN29,0)</f>
        <v>0</v>
      </c>
      <c r="BO30" s="190">
        <f>IFERROR( (GETPIVOTDATA("合計 / 25.残債",pivot!$EG$4,"11.対象物件",BO28))*BO29,0)</f>
        <v>0</v>
      </c>
      <c r="BP30" s="190">
        <f>IFERROR( (GETPIVOTDATA("合計 / 25.残債",pivot!$EG$4,"11.対象物件",BP28))*BP29,0)</f>
        <v>0</v>
      </c>
      <c r="BQ30" s="190">
        <f>IFERROR( (GETPIVOTDATA("合計 / 25.残債",pivot!$EG$4,"11.対象物件",BQ28))*BQ29,0)</f>
        <v>0</v>
      </c>
      <c r="BR30" s="190">
        <f>IFERROR( (GETPIVOTDATA("合計 / 25.残債",pivot!$EG$4,"11.対象物件",BR28))*BR29,0)</f>
        <v>0</v>
      </c>
      <c r="BS30" s="190">
        <f>IFERROR( (GETPIVOTDATA("合計 / 25.残債",pivot!$EG$4,"11.対象物件",BS28))*BS29,0)</f>
        <v>0</v>
      </c>
      <c r="BT30" s="190">
        <f>IFERROR( (GETPIVOTDATA("合計 / 25.残債",pivot!$EG$4,"11.対象物件",BT28))*BT29,0)</f>
        <v>0</v>
      </c>
      <c r="BU30" s="190">
        <f>IFERROR( (GETPIVOTDATA("合計 / 25.残債",pivot!$EG$4,"11.対象物件",BU28))*BU29,0)</f>
        <v>0</v>
      </c>
      <c r="BV30" s="190">
        <f>IFERROR( (GETPIVOTDATA("合計 / 25.残債",pivot!$EG$4,"11.対象物件",BV28))*BV29,0)</f>
        <v>0</v>
      </c>
      <c r="BW30" s="190">
        <f>IFERROR( (GETPIVOTDATA("合計 / 25.残債",pivot!$EG$4,"11.対象物件",BW28))*BW29,0)</f>
        <v>0</v>
      </c>
      <c r="BX30" s="190">
        <f>IFERROR( (GETPIVOTDATA("合計 / 25.残債",pivot!$EG$4,"11.対象物件",BX28))*BX29,0)</f>
        <v>0</v>
      </c>
      <c r="BY30" s="190">
        <f>IFERROR( (GETPIVOTDATA("合計 / 25.残債",pivot!$EG$4,"11.対象物件",BY28))*BY29,0)</f>
        <v>0</v>
      </c>
      <c r="BZ30" s="190">
        <f>IFERROR( (GETPIVOTDATA("合計 / 25.残債",pivot!$EG$4,"11.対象物件",BZ28))*BZ29,0)</f>
        <v>0</v>
      </c>
      <c r="CA30" s="190">
        <f>IFERROR( (GETPIVOTDATA("合計 / 25.残債",pivot!$EG$4,"11.対象物件",CA28))*CA29,0)</f>
        <v>0</v>
      </c>
      <c r="CB30" s="190">
        <f>IFERROR( (GETPIVOTDATA("合計 / 25.残債",pivot!$EG$4,"11.対象物件",CB28))*CB29,0)</f>
        <v>0</v>
      </c>
    </row>
    <row r="31" spans="1:80" ht="13.5" customHeight="1">
      <c r="A31" s="175">
        <v>28</v>
      </c>
      <c r="B31" s="15" t="s">
        <v>915</v>
      </c>
      <c r="C31" s="4" t="s">
        <v>377</v>
      </c>
      <c r="D31" s="4" t="s">
        <v>846</v>
      </c>
      <c r="E31" s="183">
        <f>SUMIF(F5:CH5,"no",F31:CH31)</f>
        <v>4341852165</v>
      </c>
      <c r="F31" s="190">
        <f>IFERROR(GETPIVOTDATA("合計 / 25.残債",pivot!$EG$4,"11.対象物件",F6),0)</f>
        <v>166166517</v>
      </c>
      <c r="G31" s="190">
        <f>IFERROR(GETPIVOTDATA("合計 / 25.残債",pivot!$EG$4,"11.対象物件",G6),0)</f>
        <v>489470974</v>
      </c>
      <c r="H31" s="190">
        <f>IFERROR(GETPIVOTDATA("合計 / 25.残債",pivot!$EG$4,"11.対象物件",H6),0)</f>
        <v>325693047</v>
      </c>
      <c r="I31" s="190">
        <f>IFERROR(GETPIVOTDATA("合計 / 25.残債",pivot!$EG$4,"11.対象物件",I6),0)</f>
        <v>70446823</v>
      </c>
      <c r="J31" s="190">
        <f>IFERROR(GETPIVOTDATA("合計 / 25.残債",pivot!$EG$4,"11.対象物件",J6),0)</f>
        <v>199606609</v>
      </c>
      <c r="K31" s="190">
        <f>IFERROR(GETPIVOTDATA("合計 / 25.残債",pivot!$EG$4,"11.対象物件",K6),0)</f>
        <v>289146337</v>
      </c>
      <c r="L31" s="190">
        <f>IFERROR(GETPIVOTDATA("合計 / 25.残債",pivot!$EG$4,"11.対象物件",L6),0)</f>
        <v>313706389</v>
      </c>
      <c r="M31" s="190">
        <f>IFERROR(GETPIVOTDATA("合計 / 25.残債",pivot!$EG$4,"11.対象物件",M6),0)</f>
        <v>146247653</v>
      </c>
      <c r="N31" s="190">
        <f>IFERROR(GETPIVOTDATA("合計 / 25.残債",pivot!$EG$4,"11.対象物件",N6),0)</f>
        <v>0</v>
      </c>
      <c r="O31" s="190">
        <f>IFERROR(GETPIVOTDATA("合計 / 25.残債",pivot!$EG$4,"11.対象物件",O6),0)</f>
        <v>227542871</v>
      </c>
      <c r="P31" s="190">
        <f>IFERROR(GETPIVOTDATA("合計 / 25.残債",pivot!$EG$4,"11.対象物件",P6),0)</f>
        <v>366807279</v>
      </c>
      <c r="Q31" s="190">
        <f>IFERROR(GETPIVOTDATA("合計 / 25.残債",pivot!$EG$4,"11.対象物件",Q6),0)</f>
        <v>407992887</v>
      </c>
      <c r="R31" s="190">
        <f>IFERROR(GETPIVOTDATA("合計 / 25.残債",pivot!$EG$4,"11.対象物件",R6),0)</f>
        <v>166191734</v>
      </c>
      <c r="S31" s="190">
        <f>IFERROR(GETPIVOTDATA("合計 / 25.残債",pivot!$EG$4,"11.対象物件",S6),0)</f>
        <v>473298872</v>
      </c>
      <c r="T31" s="190">
        <f>IFERROR(GETPIVOTDATA("合計 / 25.残債",pivot!$EG$4,"11.対象物件",T6),0)</f>
        <v>338136161</v>
      </c>
      <c r="U31" s="190">
        <f>IFERROR(GETPIVOTDATA("合計 / 25.残債",pivot!$EG$4,"11.対象物件",U6),0)</f>
        <v>104842675</v>
      </c>
      <c r="V31" s="190">
        <f>IFERROR(GETPIVOTDATA("合計 / 25.残債",pivot!$EG$4,"11.対象物件",V6),0)</f>
        <v>0</v>
      </c>
      <c r="W31" s="190">
        <f>IFERROR(GETPIVOTDATA("合計 / 25.残債",pivot!$EG$4,"11.対象物件",W6),0)</f>
        <v>139123336</v>
      </c>
      <c r="X31" s="190">
        <f>IFERROR(GETPIVOTDATA("合計 / 25.残債",pivot!$EG$4,"11.対象物件",X6),0)</f>
        <v>0</v>
      </c>
      <c r="Y31" s="190">
        <f>IFERROR(GETPIVOTDATA("合計 / 25.残債",pivot!$EG$4,"11.対象物件",Y6),0)</f>
        <v>108163551</v>
      </c>
      <c r="Z31" s="190">
        <f>IFERROR(GETPIVOTDATA("合計 / 25.残債",pivot!$EG$4,"11.対象物件",Z6),0)</f>
        <v>9268450</v>
      </c>
      <c r="AA31" s="190">
        <f>IFERROR(GETPIVOTDATA("合計 / 25.残債",pivot!$EG$4,"11.対象物件",AA6),0)</f>
        <v>0</v>
      </c>
      <c r="AB31" s="190">
        <f>IFERROR(GETPIVOTDATA("合計 / 25.残債",pivot!$EG$4,"11.対象物件",AB6),0)</f>
        <v>0</v>
      </c>
      <c r="AC31" s="190">
        <f>IFERROR(GETPIVOTDATA("合計 / 25.残債",pivot!$EG$4,"11.対象物件",AC6),0)</f>
        <v>0</v>
      </c>
      <c r="AD31" s="190">
        <f>IFERROR(GETPIVOTDATA("合計 / 25.残債",pivot!$EG$4,"11.対象物件",AD6),0)</f>
        <v>0</v>
      </c>
      <c r="AE31" s="190">
        <f>IFERROR(GETPIVOTDATA("合計 / 25.残債",pivot!$EG$4,"11.対象物件",AE6),0)</f>
        <v>0</v>
      </c>
      <c r="AF31" s="190">
        <f>IFERROR(GETPIVOTDATA("合計 / 25.残債",pivot!$EG$4,"11.対象物件",AF6),0)</f>
        <v>0</v>
      </c>
      <c r="AG31" s="190">
        <f>IFERROR(GETPIVOTDATA("合計 / 25.残債",pivot!$EG$4,"11.対象物件",AG6),0)</f>
        <v>0</v>
      </c>
      <c r="AH31" s="190">
        <f>IFERROR(GETPIVOTDATA("合計 / 25.残債",pivot!$EG$4,"11.対象物件",AH6),0)</f>
        <v>0</v>
      </c>
      <c r="AI31" s="190">
        <f>IFERROR(GETPIVOTDATA("合計 / 25.残債",pivot!$EG$4,"11.対象物件",AI6),0)</f>
        <v>0</v>
      </c>
      <c r="AJ31" s="190">
        <f>IFERROR(GETPIVOTDATA("合計 / 25.残債",pivot!$EG$4,"11.対象物件",AJ6),0)</f>
        <v>0</v>
      </c>
      <c r="AK31" s="190">
        <f>IFERROR(GETPIVOTDATA("合計 / 25.残債",pivot!$EG$4,"11.対象物件",AK6),0)</f>
        <v>0</v>
      </c>
      <c r="AL31" s="190">
        <f>IFERROR(GETPIVOTDATA("合計 / 25.残債",pivot!$EG$4,"11.対象物件",AL6),0)</f>
        <v>0</v>
      </c>
      <c r="AM31" s="190">
        <f>IFERROR(GETPIVOTDATA("合計 / 25.残債",pivot!$EG$4,"11.対象物件",AM6),0)</f>
        <v>0</v>
      </c>
      <c r="AN31" s="190">
        <f>IFERROR(GETPIVOTDATA("合計 / 25.残債",pivot!$EG$4,"11.対象物件",AN6),0)</f>
        <v>0</v>
      </c>
      <c r="AO31" s="190">
        <f>IFERROR(GETPIVOTDATA("合計 / 25.残債",pivot!$EG$4,"11.対象物件",AO6),0)</f>
        <v>0</v>
      </c>
      <c r="AP31" s="190">
        <f>IFERROR(GETPIVOTDATA("合計 / 25.残債",pivot!$EG$4,"11.対象物件",AP6),0)</f>
        <v>0</v>
      </c>
      <c r="AQ31" s="190">
        <f>IFERROR(GETPIVOTDATA("合計 / 25.残債",pivot!$EG$4,"11.対象物件",AQ6),0)</f>
        <v>0</v>
      </c>
      <c r="AR31" s="190">
        <f>IFERROR(GETPIVOTDATA("合計 / 25.残債",pivot!$EG$4,"11.対象物件",AR6),0)</f>
        <v>0</v>
      </c>
      <c r="AS31" s="190">
        <f>IFERROR(GETPIVOTDATA("合計 / 25.残債",pivot!$EG$4,"11.対象物件",AS6),0)</f>
        <v>0</v>
      </c>
      <c r="AT31" s="190">
        <f>IFERROR(GETPIVOTDATA("合計 / 25.残債",pivot!$EG$4,"11.対象物件",AT6),0)</f>
        <v>0</v>
      </c>
      <c r="AU31" s="190">
        <f>IFERROR(GETPIVOTDATA("合計 / 25.残債",pivot!$EG$4,"11.対象物件",AU6),0)</f>
        <v>0</v>
      </c>
      <c r="AV31" s="190">
        <f>IFERROR(GETPIVOTDATA("合計 / 25.残債",pivot!$EG$4,"11.対象物件",AV6),0)</f>
        <v>0</v>
      </c>
      <c r="AW31" s="190">
        <f>IFERROR(GETPIVOTDATA("合計 / 25.残債",pivot!$EG$4,"11.対象物件",AW6),0)</f>
        <v>0</v>
      </c>
      <c r="AX31" s="190">
        <f>IFERROR(GETPIVOTDATA("合計 / 25.残債",pivot!$EG$4,"11.対象物件",AX6),0)</f>
        <v>0</v>
      </c>
      <c r="AY31" s="190">
        <f>IFERROR(GETPIVOTDATA("合計 / 25.残債",pivot!$EG$4,"11.対象物件",AY6),0)</f>
        <v>0</v>
      </c>
      <c r="AZ31" s="190">
        <f>IFERROR(GETPIVOTDATA("合計 / 25.残債",pivot!$EG$4,"11.対象物件",AZ6),0)</f>
        <v>0</v>
      </c>
      <c r="BA31" s="190">
        <f>IFERROR(GETPIVOTDATA("合計 / 25.残債",pivot!$EG$4,"11.対象物件",BA6),0)</f>
        <v>0</v>
      </c>
      <c r="BB31" s="190">
        <f>IFERROR(GETPIVOTDATA("合計 / 25.残債",pivot!$EG$4,"11.対象物件",BB6),0)</f>
        <v>0</v>
      </c>
      <c r="BC31" s="190">
        <f>IFERROR(GETPIVOTDATA("合計 / 25.残債",pivot!$EG$4,"11.対象物件",BC6),0)</f>
        <v>0</v>
      </c>
      <c r="BD31" s="190">
        <f>IFERROR(GETPIVOTDATA("合計 / 25.残債",pivot!$EG$4,"11.対象物件",BD6),0)</f>
        <v>0</v>
      </c>
      <c r="BE31" s="190">
        <f>IFERROR(GETPIVOTDATA("合計 / 25.残債",pivot!$EG$4,"11.対象物件",BE6),0)</f>
        <v>0</v>
      </c>
      <c r="BF31" s="190">
        <f>IFERROR(GETPIVOTDATA("合計 / 25.残債",pivot!$EG$4,"11.対象物件",BF6),0)</f>
        <v>0</v>
      </c>
      <c r="BG31" s="190">
        <f>IFERROR(GETPIVOTDATA("合計 / 25.残債",pivot!$EG$4,"11.対象物件",BG6),0)</f>
        <v>0</v>
      </c>
      <c r="BH31" s="190">
        <f>IFERROR(GETPIVOTDATA("合計 / 25.残債",pivot!$EG$4,"11.対象物件",BH6),0)</f>
        <v>0</v>
      </c>
      <c r="BI31" s="190">
        <f>IFERROR(GETPIVOTDATA("合計 / 25.残債",pivot!$EG$4,"11.対象物件",BI6),0)</f>
        <v>0</v>
      </c>
      <c r="BJ31" s="190">
        <f>IFERROR(GETPIVOTDATA("合計 / 25.残債",pivot!$EG$4,"11.対象物件",BJ6),0)</f>
        <v>0</v>
      </c>
      <c r="BK31" s="190">
        <f>IFERROR(GETPIVOTDATA("合計 / 25.残債",pivot!$EG$4,"11.対象物件",BK6),0)</f>
        <v>0</v>
      </c>
      <c r="BL31" s="190">
        <f>IFERROR(GETPIVOTDATA("合計 / 25.残債",pivot!$EG$4,"11.対象物件",BL6),0)</f>
        <v>0</v>
      </c>
      <c r="BM31" s="190">
        <f>IFERROR(GETPIVOTDATA("合計 / 25.残債",pivot!$EG$4,"11.対象物件",BM6),0)</f>
        <v>0</v>
      </c>
      <c r="BN31" s="190">
        <f>IFERROR(GETPIVOTDATA("合計 / 25.残債",pivot!$EG$4,"11.対象物件",BN6),0)</f>
        <v>0</v>
      </c>
      <c r="BO31" s="190">
        <f>IFERROR(GETPIVOTDATA("合計 / 25.残債",pivot!$EG$4,"11.対象物件",BO6),0)</f>
        <v>0</v>
      </c>
      <c r="BP31" s="190">
        <f>IFERROR(GETPIVOTDATA("合計 / 25.残債",pivot!$EG$4,"11.対象物件",BP6),0)</f>
        <v>0</v>
      </c>
      <c r="BQ31" s="190">
        <f>IFERROR(GETPIVOTDATA("合計 / 25.残債",pivot!$EG$4,"11.対象物件",BQ6),0)</f>
        <v>0</v>
      </c>
      <c r="BR31" s="190">
        <f>IFERROR(GETPIVOTDATA("合計 / 25.残債",pivot!$EG$4,"11.対象物件",BR6),0)</f>
        <v>0</v>
      </c>
      <c r="BS31" s="190">
        <f>IFERROR(GETPIVOTDATA("合計 / 25.残債",pivot!$EG$4,"11.対象物件",BS6),0)</f>
        <v>0</v>
      </c>
      <c r="BT31" s="190">
        <f>IFERROR(GETPIVOTDATA("合計 / 25.残債",pivot!$EG$4,"11.対象物件",BT6),0)</f>
        <v>0</v>
      </c>
      <c r="BU31" s="190">
        <f>IFERROR(GETPIVOTDATA("合計 / 25.残債",pivot!$EG$4,"11.対象物件",BU6),0)</f>
        <v>0</v>
      </c>
      <c r="BV31" s="190">
        <f>IFERROR(GETPIVOTDATA("合計 / 25.残債",pivot!$EG$4,"11.対象物件",BV6),0)</f>
        <v>0</v>
      </c>
      <c r="BW31" s="190">
        <f>IFERROR(GETPIVOTDATA("合計 / 25.残債",pivot!$EG$4,"11.対象物件",BW6),0)</f>
        <v>0</v>
      </c>
      <c r="BX31" s="190">
        <f>IFERROR(GETPIVOTDATA("合計 / 25.残債",pivot!$EG$4,"11.対象物件",BX6),0)</f>
        <v>0</v>
      </c>
      <c r="BY31" s="190">
        <f>IFERROR(GETPIVOTDATA("合計 / 25.残債",pivot!$EG$4,"11.対象物件",BY6),0)</f>
        <v>0</v>
      </c>
      <c r="BZ31" s="190">
        <f>IFERROR(GETPIVOTDATA("合計 / 25.残債",pivot!$EG$4,"11.対象物件",BZ6),0)</f>
        <v>0</v>
      </c>
      <c r="CA31" s="190">
        <f>IFERROR(GETPIVOTDATA("合計 / 25.残債",pivot!$EG$4,"11.対象物件",CA6),0)</f>
        <v>0</v>
      </c>
      <c r="CB31" s="190">
        <f>IFERROR(GETPIVOTDATA("合計 / 25.残債",pivot!$EG$4,"11.対象物件",CB6),0)</f>
        <v>0</v>
      </c>
    </row>
    <row r="32" spans="1:80" ht="13.5" customHeight="1">
      <c r="A32" s="175">
        <v>29</v>
      </c>
      <c r="B32" s="15" t="s">
        <v>916</v>
      </c>
      <c r="C32" s="4" t="s">
        <v>377</v>
      </c>
      <c r="D32" s="4" t="s">
        <v>846</v>
      </c>
      <c r="E32" s="183">
        <f>SUMIF(F5:CH5,"no",F32:CH32)</f>
        <v>100486</v>
      </c>
      <c r="F32" s="190">
        <f>IFERROR((GETPIVOTDATA("合計 / 23.利息月額",pivot!$EG$4,"11.対象物件",F28)*F29),0)</f>
        <v>0</v>
      </c>
      <c r="G32" s="190">
        <f>IFERROR((GETPIVOTDATA("合計 / 23.利息月額",pivot!$EG$4,"11.対象物件",G28)*G29),0)</f>
        <v>0</v>
      </c>
      <c r="H32" s="190">
        <f>IFERROR((GETPIVOTDATA("合計 / 23.利息月額",pivot!$EG$4,"11.対象物件",H28)*H29),0)</f>
        <v>0</v>
      </c>
      <c r="I32" s="190">
        <f>IFERROR((GETPIVOTDATA("合計 / 23.利息月額",pivot!$EG$4,"11.対象物件",I28)*I29),0)</f>
        <v>0</v>
      </c>
      <c r="J32" s="190">
        <f>IFERROR((GETPIVOTDATA("合計 / 23.利息月額",pivot!$EG$4,"11.対象物件",J28)*J29),0)</f>
        <v>0</v>
      </c>
      <c r="K32" s="190">
        <f>IFERROR((GETPIVOTDATA("合計 / 23.利息月額",pivot!$EG$4,"11.対象物件",K28)*K29),0)</f>
        <v>0</v>
      </c>
      <c r="L32" s="190">
        <f>IFERROR((GETPIVOTDATA("合計 / 23.利息月額",pivot!$EG$4,"11.対象物件",L28)*L29),0)</f>
        <v>0</v>
      </c>
      <c r="M32" s="190">
        <f>IFERROR((GETPIVOTDATA("合計 / 23.利息月額",pivot!$EG$4,"11.対象物件",M28)*M29),0)</f>
        <v>0</v>
      </c>
      <c r="N32" s="190">
        <f>IFERROR((GETPIVOTDATA("合計 / 23.利息月額",pivot!$EG$4,"11.対象物件",N28)*N29),0)</f>
        <v>0</v>
      </c>
      <c r="O32" s="190">
        <f>IFERROR((GETPIVOTDATA("合計 / 23.利息月額",pivot!$EG$4,"11.対象物件",O28)*O29),0)</f>
        <v>0</v>
      </c>
      <c r="P32" s="190">
        <f>IFERROR((GETPIVOTDATA("合計 / 23.利息月額",pivot!$EG$4,"11.対象物件",P28)*P29),0)</f>
        <v>0</v>
      </c>
      <c r="Q32" s="190">
        <f>IFERROR((GETPIVOTDATA("合計 / 23.利息月額",pivot!$EG$4,"11.対象物件",Q28)*Q29),0)</f>
        <v>0</v>
      </c>
      <c r="R32" s="190">
        <f>IFERROR((GETPIVOTDATA("合計 / 23.利息月額",pivot!$EG$4,"11.対象物件",R28)*R29),0)</f>
        <v>0</v>
      </c>
      <c r="S32" s="190">
        <f>IFERROR((GETPIVOTDATA("合計 / 23.利息月額",pivot!$EG$4,"11.対象物件",S28)*S29),0)</f>
        <v>0</v>
      </c>
      <c r="T32" s="190">
        <f>IFERROR((GETPIVOTDATA("合計 / 23.利息月額",pivot!$EG$4,"11.対象物件",T28)*T29),0)</f>
        <v>0</v>
      </c>
      <c r="U32" s="190">
        <f>IFERROR((GETPIVOTDATA("合計 / 23.利息月額",pivot!$EG$4,"11.対象物件",U28)*U29),0)</f>
        <v>0</v>
      </c>
      <c r="V32" s="190">
        <f>IFERROR((GETPIVOTDATA("合計 / 23.利息月額",pivot!$EG$4,"11.対象物件",V28)*V29),0)</f>
        <v>0</v>
      </c>
      <c r="W32" s="190">
        <f>IFERROR((GETPIVOTDATA("合計 / 23.利息月額",pivot!$EG$4,"11.対象物件",W28)*W29),0)</f>
        <v>0</v>
      </c>
      <c r="X32" s="190">
        <f>IFERROR((GETPIVOTDATA("合計 / 23.利息月額",pivot!$EG$4,"11.対象物件",X28)*X29),0)</f>
        <v>0</v>
      </c>
      <c r="Y32" s="190">
        <f>IFERROR((GETPIVOTDATA("合計 / 23.利息月額",pivot!$EG$4,"11.対象物件",Y28)*Y29),0)</f>
        <v>0</v>
      </c>
      <c r="Z32" s="190">
        <f>IFERROR((GETPIVOTDATA("合計 / 23.利息月額",pivot!$EG$4,"11.対象物件",Z28)*Z29),0)</f>
        <v>62803.75</v>
      </c>
      <c r="AA32" s="190">
        <f>IFERROR((GETPIVOTDATA("合計 / 23.利息月額",pivot!$EG$4,"11.対象物件",AA28)*AA29),0)</f>
        <v>37682.25</v>
      </c>
      <c r="AB32" s="190">
        <f>IFERROR((GETPIVOTDATA("合計 / 23.利息月額",pivot!$EG$4,"11.対象物件",AB28)*AB29),0)</f>
        <v>0</v>
      </c>
      <c r="AC32" s="190">
        <f>IFERROR((GETPIVOTDATA("合計 / 23.利息月額",pivot!$EG$4,"11.対象物件",AC28)*AC29),0)</f>
        <v>0</v>
      </c>
      <c r="AD32" s="190">
        <f>IFERROR((GETPIVOTDATA("合計 / 23.利息月額",pivot!$EG$4,"11.対象物件",AD28)*AD29),0)</f>
        <v>0</v>
      </c>
      <c r="AE32" s="190">
        <f>IFERROR((GETPIVOTDATA("合計 / 23.利息月額",pivot!$EG$4,"11.対象物件",AE28)*AE29),0)</f>
        <v>0</v>
      </c>
      <c r="AF32" s="190">
        <f>IFERROR((GETPIVOTDATA("合計 / 23.利息月額",pivot!$EG$4,"11.対象物件",AF28)*AF29),0)</f>
        <v>0</v>
      </c>
      <c r="AG32" s="190">
        <f>IFERROR((GETPIVOTDATA("合計 / 23.利息月額",pivot!$EG$4,"11.対象物件",AG28)*AG29),0)</f>
        <v>0</v>
      </c>
      <c r="AH32" s="190">
        <f>IFERROR((GETPIVOTDATA("合計 / 23.利息月額",pivot!$EG$4,"11.対象物件",AH28)*AH29),0)</f>
        <v>0</v>
      </c>
      <c r="AI32" s="190">
        <f>IFERROR((GETPIVOTDATA("合計 / 23.利息月額",pivot!$EG$4,"11.対象物件",AI28)*AI29),0)</f>
        <v>0</v>
      </c>
      <c r="AJ32" s="190">
        <f>IFERROR((GETPIVOTDATA("合計 / 23.利息月額",pivot!$EG$4,"11.対象物件",AJ28)*AJ29),0)</f>
        <v>0</v>
      </c>
      <c r="AK32" s="190">
        <f>IFERROR((GETPIVOTDATA("合計 / 23.利息月額",pivot!$EG$4,"11.対象物件",AK28)*AK29),0)</f>
        <v>0</v>
      </c>
      <c r="AL32" s="190">
        <f>IFERROR((GETPIVOTDATA("合計 / 23.利息月額",pivot!$EG$4,"11.対象物件",AL28)*AL29),0)</f>
        <v>0</v>
      </c>
      <c r="AM32" s="190">
        <f>IFERROR((GETPIVOTDATA("合計 / 23.利息月額",pivot!$EG$4,"11.対象物件",AM28)*AM29),0)</f>
        <v>0</v>
      </c>
      <c r="AN32" s="190">
        <f>IFERROR((GETPIVOTDATA("合計 / 23.利息月額",pivot!$EG$4,"11.対象物件",AN28)*AN29),0)</f>
        <v>0</v>
      </c>
      <c r="AO32" s="190">
        <f>IFERROR((GETPIVOTDATA("合計 / 23.利息月額",pivot!$EG$4,"11.対象物件",AO28)*AO29),0)</f>
        <v>0</v>
      </c>
      <c r="AP32" s="190">
        <f>IFERROR((GETPIVOTDATA("合計 / 23.利息月額",pivot!$EG$4,"11.対象物件",AP28)*AP29),0)</f>
        <v>0</v>
      </c>
      <c r="AQ32" s="190">
        <f>IFERROR((GETPIVOTDATA("合計 / 23.利息月額",pivot!$EG$4,"11.対象物件",AQ28)*AQ29),0)</f>
        <v>0</v>
      </c>
      <c r="AR32" s="190">
        <f>IFERROR((GETPIVOTDATA("合計 / 23.利息月額",pivot!$EG$4,"11.対象物件",AR28)*AR29),0)</f>
        <v>0</v>
      </c>
      <c r="AS32" s="190">
        <f>IFERROR((GETPIVOTDATA("合計 / 23.利息月額",pivot!$EG$4,"11.対象物件",AS28)*AS29),0)</f>
        <v>0</v>
      </c>
      <c r="AT32" s="190">
        <f>IFERROR((GETPIVOTDATA("合計 / 23.利息月額",pivot!$EG$4,"11.対象物件",AT28)*AT29),0)</f>
        <v>0</v>
      </c>
      <c r="AU32" s="190">
        <f>IFERROR((GETPIVOTDATA("合計 / 23.利息月額",pivot!$EG$4,"11.対象物件",AU28)*AU29),0)</f>
        <v>0</v>
      </c>
      <c r="AV32" s="190">
        <f>IFERROR((GETPIVOTDATA("合計 / 23.利息月額",pivot!$EG$4,"11.対象物件",AV28)*AV29),0)</f>
        <v>0</v>
      </c>
      <c r="AW32" s="190">
        <f>IFERROR((GETPIVOTDATA("合計 / 23.利息月額",pivot!$EG$4,"11.対象物件",AW28)*AW29),0)</f>
        <v>0</v>
      </c>
      <c r="AX32" s="190">
        <f>IFERROR((GETPIVOTDATA("合計 / 23.利息月額",pivot!$EG$4,"11.対象物件",AX28)*AX29),0)</f>
        <v>0</v>
      </c>
      <c r="AY32" s="190">
        <f>IFERROR((GETPIVOTDATA("合計 / 23.利息月額",pivot!$EG$4,"11.対象物件",AY28)*AY29),0)</f>
        <v>0</v>
      </c>
      <c r="AZ32" s="190">
        <f>IFERROR((GETPIVOTDATA("合計 / 23.利息月額",pivot!$EG$4,"11.対象物件",AZ28)*AZ29),0)</f>
        <v>0</v>
      </c>
      <c r="BA32" s="190">
        <f>IFERROR((GETPIVOTDATA("合計 / 23.利息月額",pivot!$EG$4,"11.対象物件",BA28)*BA29),0)</f>
        <v>0</v>
      </c>
      <c r="BB32" s="190">
        <f>IFERROR((GETPIVOTDATA("合計 / 23.利息月額",pivot!$EG$4,"11.対象物件",BB28)*BB29),0)</f>
        <v>0</v>
      </c>
      <c r="BC32" s="190">
        <f>IFERROR((GETPIVOTDATA("合計 / 23.利息月額",pivot!$EG$4,"11.対象物件",BC28)*BC29),0)</f>
        <v>0</v>
      </c>
      <c r="BD32" s="190">
        <f>IFERROR((GETPIVOTDATA("合計 / 23.利息月額",pivot!$EG$4,"11.対象物件",BD28)*BD29),0)</f>
        <v>0</v>
      </c>
      <c r="BE32" s="190">
        <f>IFERROR((GETPIVOTDATA("合計 / 23.利息月額",pivot!$EG$4,"11.対象物件",BE28)*BE29),0)</f>
        <v>0</v>
      </c>
      <c r="BF32" s="190">
        <f>IFERROR((GETPIVOTDATA("合計 / 23.利息月額",pivot!$EG$4,"11.対象物件",BF28)*BF29),0)</f>
        <v>0</v>
      </c>
      <c r="BG32" s="190">
        <f>IFERROR((GETPIVOTDATA("合計 / 23.利息月額",pivot!$EG$4,"11.対象物件",BG28)*BG29),0)</f>
        <v>0</v>
      </c>
      <c r="BH32" s="190">
        <f>IFERROR((GETPIVOTDATA("合計 / 23.利息月額",pivot!$EG$4,"11.対象物件",BH28)*BH29),0)</f>
        <v>0</v>
      </c>
      <c r="BI32" s="190">
        <f>IFERROR((GETPIVOTDATA("合計 / 23.利息月額",pivot!$EG$4,"11.対象物件",BI28)*BI29),0)</f>
        <v>0</v>
      </c>
      <c r="BJ32" s="190">
        <f>IFERROR((GETPIVOTDATA("合計 / 23.利息月額",pivot!$EG$4,"11.対象物件",BJ28)*BJ29),0)</f>
        <v>0</v>
      </c>
      <c r="BK32" s="190">
        <f>IFERROR((GETPIVOTDATA("合計 / 23.利息月額",pivot!$EG$4,"11.対象物件",BK28)*BK29),0)</f>
        <v>0</v>
      </c>
      <c r="BL32" s="190">
        <f>IFERROR((GETPIVOTDATA("合計 / 23.利息月額",pivot!$EG$4,"11.対象物件",BL28)*BL29),0)</f>
        <v>0</v>
      </c>
      <c r="BM32" s="190">
        <f>IFERROR((GETPIVOTDATA("合計 / 23.利息月額",pivot!$EG$4,"11.対象物件",BM28)*BM29),0)</f>
        <v>0</v>
      </c>
      <c r="BN32" s="190">
        <f>IFERROR((GETPIVOTDATA("合計 / 23.利息月額",pivot!$EG$4,"11.対象物件",BN28)*BN29),0)</f>
        <v>0</v>
      </c>
      <c r="BO32" s="190">
        <f>IFERROR((GETPIVOTDATA("合計 / 23.利息月額",pivot!$EG$4,"11.対象物件",BO28)*BO29),0)</f>
        <v>0</v>
      </c>
      <c r="BP32" s="190">
        <f>IFERROR((GETPIVOTDATA("合計 / 23.利息月額",pivot!$EG$4,"11.対象物件",BP28)*BP29),0)</f>
        <v>0</v>
      </c>
      <c r="BQ32" s="190">
        <f>IFERROR((GETPIVOTDATA("合計 / 23.利息月額",pivot!$EG$4,"11.対象物件",BQ28)*BQ29),0)</f>
        <v>0</v>
      </c>
      <c r="BR32" s="190">
        <f>IFERROR((GETPIVOTDATA("合計 / 23.利息月額",pivot!$EG$4,"11.対象物件",BR28)*BR29),0)</f>
        <v>0</v>
      </c>
      <c r="BS32" s="190">
        <f>IFERROR((GETPIVOTDATA("合計 / 23.利息月額",pivot!$EG$4,"11.対象物件",BS28)*BS29),0)</f>
        <v>0</v>
      </c>
      <c r="BT32" s="190">
        <f>IFERROR((GETPIVOTDATA("合計 / 23.利息月額",pivot!$EG$4,"11.対象物件",BT28)*BT29),0)</f>
        <v>0</v>
      </c>
      <c r="BU32" s="190">
        <f>IFERROR((GETPIVOTDATA("合計 / 23.利息月額",pivot!$EG$4,"11.対象物件",BU28)*BU29),0)</f>
        <v>0</v>
      </c>
      <c r="BV32" s="190">
        <f>IFERROR((GETPIVOTDATA("合計 / 23.利息月額",pivot!$EG$4,"11.対象物件",BV28)*BV29),0)</f>
        <v>0</v>
      </c>
      <c r="BW32" s="190">
        <f>IFERROR((GETPIVOTDATA("合計 / 23.利息月額",pivot!$EG$4,"11.対象物件",BW28)*BW29),0)</f>
        <v>0</v>
      </c>
      <c r="BX32" s="190">
        <f>IFERROR((GETPIVOTDATA("合計 / 23.利息月額",pivot!$EG$4,"11.対象物件",BX28)*BX29),0)</f>
        <v>0</v>
      </c>
      <c r="BY32" s="190">
        <f>IFERROR((GETPIVOTDATA("合計 / 23.利息月額",pivot!$EG$4,"11.対象物件",BY28)*BY29),0)</f>
        <v>0</v>
      </c>
      <c r="BZ32" s="190">
        <f>IFERROR((GETPIVOTDATA("合計 / 23.利息月額",pivot!$EG$4,"11.対象物件",BZ28)*BZ29),0)</f>
        <v>0</v>
      </c>
      <c r="CA32" s="190">
        <f>IFERROR((GETPIVOTDATA("合計 / 23.利息月額",pivot!$EG$4,"11.対象物件",CA28)*CA29),0)</f>
        <v>0</v>
      </c>
      <c r="CB32" s="190">
        <f>IFERROR((GETPIVOTDATA("合計 / 23.利息月額",pivot!$EG$4,"11.対象物件",CB28)*CB29),0)</f>
        <v>0</v>
      </c>
    </row>
    <row r="33" spans="1:80" ht="13.5" customHeight="1">
      <c r="A33" s="175">
        <v>30</v>
      </c>
      <c r="B33" s="15" t="s">
        <v>917</v>
      </c>
      <c r="C33" s="4" t="s">
        <v>377</v>
      </c>
      <c r="D33" s="4" t="s">
        <v>846</v>
      </c>
      <c r="E33" s="183">
        <f>SUMIF(F5:CH5,"no",F33:CH33)</f>
        <v>4910995</v>
      </c>
      <c r="F33" s="190">
        <f>IFERROR(GETPIVOTDATA("合計 / 23.利息月額",pivot!$EG$4,"11.対象物件",F6),0)</f>
        <v>139065</v>
      </c>
      <c r="G33" s="190">
        <f>IFERROR(GETPIVOTDATA("合計 / 23.利息月額",pivot!$EG$4,"11.対象物件",G6),0)</f>
        <v>674466</v>
      </c>
      <c r="H33" s="190">
        <f>IFERROR(GETPIVOTDATA("合計 / 23.利息月額",pivot!$EG$4,"11.対象物件",H6),0)</f>
        <v>299492</v>
      </c>
      <c r="I33" s="190">
        <f>IFERROR(GETPIVOTDATA("合計 / 23.利息月額",pivot!$EG$4,"11.対象物件",I6),0)</f>
        <v>58976</v>
      </c>
      <c r="J33" s="190">
        <f>IFERROR(GETPIVOTDATA("合計 / 23.利息月額",pivot!$EG$4,"11.対象物件",J6),0)</f>
        <v>166971</v>
      </c>
      <c r="K33" s="190">
        <f>IFERROR(GETPIVOTDATA("合計 / 23.利息月額",pivot!$EG$4,"11.対象物件",K6),0)</f>
        <v>241754</v>
      </c>
      <c r="L33" s="190">
        <f>IFERROR(GETPIVOTDATA("合計 / 23.利息月額",pivot!$EG$4,"11.対象物件",L6),0)</f>
        <v>314688</v>
      </c>
      <c r="M33" s="190">
        <f>IFERROR(GETPIVOTDATA("合計 / 23.利息月額",pivot!$EG$4,"11.対象物件",M6),0)</f>
        <v>183356</v>
      </c>
      <c r="N33" s="190">
        <f>IFERROR(GETPIVOTDATA("合計 / 23.利息月額",pivot!$EG$4,"11.対象物件",N6),0)</f>
        <v>0</v>
      </c>
      <c r="O33" s="190">
        <f>IFERROR(GETPIVOTDATA("合計 / 23.利息月額",pivot!$EG$4,"11.対象物件",O6),0)</f>
        <v>247247</v>
      </c>
      <c r="P33" s="190">
        <f>IFERROR(GETPIVOTDATA("合計 / 23.利息月額",pivot!$EG$4,"11.対象物件",P6),0)</f>
        <v>398578</v>
      </c>
      <c r="Q33" s="190">
        <f>IFERROR(GETPIVOTDATA("合計 / 23.利息月額",pivot!$EG$4,"11.対象物件",Q6),0)</f>
        <v>468878</v>
      </c>
      <c r="R33" s="190">
        <f>IFERROR(GETPIVOTDATA("合計 / 23.利息月額",pivot!$EG$4,"11.対象物件",R6),0)</f>
        <v>180387</v>
      </c>
      <c r="S33" s="190">
        <f>IFERROR(GETPIVOTDATA("合計 / 23.利息月額",pivot!$EG$4,"11.対象物件",S6),0)</f>
        <v>513702</v>
      </c>
      <c r="T33" s="190">
        <f>IFERROR(GETPIVOTDATA("合計 / 23.利息月額",pivot!$EG$4,"11.対象物件",T6),0)</f>
        <v>406469</v>
      </c>
      <c r="U33" s="190">
        <f>IFERROR(GETPIVOTDATA("合計 / 23.利息月額",pivot!$EG$4,"11.対象物件",U6),0)</f>
        <v>146653</v>
      </c>
      <c r="V33" s="190">
        <f>IFERROR(GETPIVOTDATA("合計 / 23.利息月額",pivot!$EG$4,"11.対象物件",V6),0)</f>
        <v>0</v>
      </c>
      <c r="W33" s="190">
        <f>IFERROR(GETPIVOTDATA("合計 / 23.利息月額",pivot!$EG$4,"11.対象物件",W6),0)</f>
        <v>191699</v>
      </c>
      <c r="X33" s="190">
        <f>IFERROR(GETPIVOTDATA("合計 / 23.利息月額",pivot!$EG$4,"11.対象物件",X6),0)</f>
        <v>0</v>
      </c>
      <c r="Y33" s="190">
        <f>IFERROR(GETPIVOTDATA("合計 / 23.利息月額",pivot!$EG$4,"11.対象物件",Y6),0)</f>
        <v>264250</v>
      </c>
      <c r="Z33" s="190">
        <f>IFERROR(GETPIVOTDATA("合計 / 23.利息月額",pivot!$EG$4,"11.対象物件",Z6),0)</f>
        <v>14364</v>
      </c>
      <c r="AA33" s="190">
        <f>IFERROR(GETPIVOTDATA("合計 / 23.利息月額",pivot!$EG$4,"11.対象物件",AA6),0)</f>
        <v>0</v>
      </c>
      <c r="AB33" s="190">
        <f>IFERROR(GETPIVOTDATA("合計 / 23.利息月額",pivot!$EG$4,"11.対象物件",AB6),0)</f>
        <v>0</v>
      </c>
      <c r="AC33" s="190">
        <f>IFERROR(GETPIVOTDATA("合計 / 23.利息月額",pivot!$EG$4,"11.対象物件",AC6),0)</f>
        <v>0</v>
      </c>
      <c r="AD33" s="190">
        <f>IFERROR(GETPIVOTDATA("合計 / 23.利息月額",pivot!$EG$4,"11.対象物件",AD6),0)</f>
        <v>0</v>
      </c>
      <c r="AE33" s="190">
        <f>IFERROR(GETPIVOTDATA("合計 / 23.利息月額",pivot!$EG$4,"11.対象物件",AE6),0)</f>
        <v>0</v>
      </c>
      <c r="AF33" s="190">
        <f>IFERROR(GETPIVOTDATA("合計 / 23.利息月額",pivot!$EG$4,"11.対象物件",AF6),0)</f>
        <v>0</v>
      </c>
      <c r="AG33" s="190">
        <f>IFERROR(GETPIVOTDATA("合計 / 23.利息月額",pivot!$EG$4,"11.対象物件",AG6),0)</f>
        <v>0</v>
      </c>
      <c r="AH33" s="190">
        <f>IFERROR(GETPIVOTDATA("合計 / 23.利息月額",pivot!$EG$4,"11.対象物件",AH6),0)</f>
        <v>0</v>
      </c>
      <c r="AI33" s="190">
        <f>IFERROR(GETPIVOTDATA("合計 / 23.利息月額",pivot!$EG$4,"11.対象物件",AI6),0)</f>
        <v>0</v>
      </c>
      <c r="AJ33" s="190">
        <f>IFERROR(GETPIVOTDATA("合計 / 23.利息月額",pivot!$EG$4,"11.対象物件",AJ6),0)</f>
        <v>0</v>
      </c>
      <c r="AK33" s="190">
        <f>IFERROR(GETPIVOTDATA("合計 / 23.利息月額",pivot!$EG$4,"11.対象物件",AK6),0)</f>
        <v>0</v>
      </c>
      <c r="AL33" s="190">
        <f>IFERROR(GETPIVOTDATA("合計 / 23.利息月額",pivot!$EG$4,"11.対象物件",AL6),0)</f>
        <v>0</v>
      </c>
      <c r="AM33" s="190">
        <f>IFERROR(GETPIVOTDATA("合計 / 23.利息月額",pivot!$EG$4,"11.対象物件",AM6),0)</f>
        <v>0</v>
      </c>
      <c r="AN33" s="190">
        <f>IFERROR(GETPIVOTDATA("合計 / 23.利息月額",pivot!$EG$4,"11.対象物件",AN6),0)</f>
        <v>0</v>
      </c>
      <c r="AO33" s="190">
        <f>IFERROR(GETPIVOTDATA("合計 / 23.利息月額",pivot!$EG$4,"11.対象物件",AO6),0)</f>
        <v>0</v>
      </c>
      <c r="AP33" s="190">
        <f>IFERROR(GETPIVOTDATA("合計 / 23.利息月額",pivot!$EG$4,"11.対象物件",AP6),0)</f>
        <v>0</v>
      </c>
      <c r="AQ33" s="190">
        <f>IFERROR(GETPIVOTDATA("合計 / 23.利息月額",pivot!$EG$4,"11.対象物件",AQ6),0)</f>
        <v>0</v>
      </c>
      <c r="AR33" s="190">
        <f>IFERROR(GETPIVOTDATA("合計 / 23.利息月額",pivot!$EG$4,"11.対象物件",AR6),0)</f>
        <v>0</v>
      </c>
      <c r="AS33" s="190">
        <f>IFERROR(GETPIVOTDATA("合計 / 23.利息月額",pivot!$EG$4,"11.対象物件",AS6),0)</f>
        <v>0</v>
      </c>
      <c r="AT33" s="190">
        <f>IFERROR(GETPIVOTDATA("合計 / 23.利息月額",pivot!$EG$4,"11.対象物件",AT6),0)</f>
        <v>0</v>
      </c>
      <c r="AU33" s="190">
        <f>IFERROR(GETPIVOTDATA("合計 / 23.利息月額",pivot!$EG$4,"11.対象物件",AU6),0)</f>
        <v>0</v>
      </c>
      <c r="AV33" s="190">
        <f>IFERROR(GETPIVOTDATA("合計 / 23.利息月額",pivot!$EG$4,"11.対象物件",AV6),0)</f>
        <v>0</v>
      </c>
      <c r="AW33" s="190">
        <f>IFERROR(GETPIVOTDATA("合計 / 23.利息月額",pivot!$EG$4,"11.対象物件",AW6),0)</f>
        <v>0</v>
      </c>
      <c r="AX33" s="190">
        <f>IFERROR(GETPIVOTDATA("合計 / 23.利息月額",pivot!$EG$4,"11.対象物件",AX6),0)</f>
        <v>0</v>
      </c>
      <c r="AY33" s="190">
        <f>IFERROR(GETPIVOTDATA("合計 / 23.利息月額",pivot!$EG$4,"11.対象物件",AY6),0)</f>
        <v>0</v>
      </c>
      <c r="AZ33" s="190">
        <f>IFERROR(GETPIVOTDATA("合計 / 23.利息月額",pivot!$EG$4,"11.対象物件",AZ6),0)</f>
        <v>0</v>
      </c>
      <c r="BA33" s="190">
        <f>IFERROR(GETPIVOTDATA("合計 / 23.利息月額",pivot!$EG$4,"11.対象物件",BA6),0)</f>
        <v>0</v>
      </c>
      <c r="BB33" s="190">
        <f>IFERROR(GETPIVOTDATA("合計 / 23.利息月額",pivot!$EG$4,"11.対象物件",BB6),0)</f>
        <v>0</v>
      </c>
      <c r="BC33" s="190">
        <f>IFERROR(GETPIVOTDATA("合計 / 23.利息月額",pivot!$EG$4,"11.対象物件",BC6),0)</f>
        <v>0</v>
      </c>
      <c r="BD33" s="190">
        <f>IFERROR(GETPIVOTDATA("合計 / 23.利息月額",pivot!$EG$4,"11.対象物件",BD6),0)</f>
        <v>0</v>
      </c>
      <c r="BE33" s="190">
        <f>IFERROR(GETPIVOTDATA("合計 / 23.利息月額",pivot!$EG$4,"11.対象物件",BE6),0)</f>
        <v>0</v>
      </c>
      <c r="BF33" s="190">
        <f>IFERROR(GETPIVOTDATA("合計 / 23.利息月額",pivot!$EG$4,"11.対象物件",BF6),0)</f>
        <v>0</v>
      </c>
      <c r="BG33" s="190">
        <f>IFERROR(GETPIVOTDATA("合計 / 23.利息月額",pivot!$EG$4,"11.対象物件",BG6),0)</f>
        <v>0</v>
      </c>
      <c r="BH33" s="190">
        <f>IFERROR(GETPIVOTDATA("合計 / 23.利息月額",pivot!$EG$4,"11.対象物件",BH6),0)</f>
        <v>0</v>
      </c>
      <c r="BI33" s="190">
        <f>IFERROR(GETPIVOTDATA("合計 / 23.利息月額",pivot!$EG$4,"11.対象物件",BI6),0)</f>
        <v>0</v>
      </c>
      <c r="BJ33" s="190">
        <f>IFERROR(GETPIVOTDATA("合計 / 23.利息月額",pivot!$EG$4,"11.対象物件",BJ6),0)</f>
        <v>0</v>
      </c>
      <c r="BK33" s="190">
        <f>IFERROR(GETPIVOTDATA("合計 / 23.利息月額",pivot!$EG$4,"11.対象物件",BK6),0)</f>
        <v>0</v>
      </c>
      <c r="BL33" s="190">
        <f>IFERROR(GETPIVOTDATA("合計 / 23.利息月額",pivot!$EG$4,"11.対象物件",BL6),0)</f>
        <v>0</v>
      </c>
      <c r="BM33" s="190">
        <f>IFERROR(GETPIVOTDATA("合計 / 23.利息月額",pivot!$EG$4,"11.対象物件",BM6),0)</f>
        <v>0</v>
      </c>
      <c r="BN33" s="190">
        <f>IFERROR(GETPIVOTDATA("合計 / 23.利息月額",pivot!$EG$4,"11.対象物件",BN6),0)</f>
        <v>0</v>
      </c>
      <c r="BO33" s="190">
        <f>IFERROR(GETPIVOTDATA("合計 / 23.利息月額",pivot!$EG$4,"11.対象物件",BO6),0)</f>
        <v>0</v>
      </c>
      <c r="BP33" s="190">
        <f>IFERROR(GETPIVOTDATA("合計 / 23.利息月額",pivot!$EG$4,"11.対象物件",BP6),0)</f>
        <v>0</v>
      </c>
      <c r="BQ33" s="190">
        <f>IFERROR(GETPIVOTDATA("合計 / 23.利息月額",pivot!$EG$4,"11.対象物件",BQ6),0)</f>
        <v>0</v>
      </c>
      <c r="BR33" s="190">
        <f>IFERROR(GETPIVOTDATA("合計 / 23.利息月額",pivot!$EG$4,"11.対象物件",BR6),0)</f>
        <v>0</v>
      </c>
      <c r="BS33" s="190">
        <f>IFERROR(GETPIVOTDATA("合計 / 23.利息月額",pivot!$EG$4,"11.対象物件",BS6),0)</f>
        <v>0</v>
      </c>
      <c r="BT33" s="190">
        <f>IFERROR(GETPIVOTDATA("合計 / 23.利息月額",pivot!$EG$4,"11.対象物件",BT6),0)</f>
        <v>0</v>
      </c>
      <c r="BU33" s="190">
        <f>IFERROR(GETPIVOTDATA("合計 / 23.利息月額",pivot!$EG$4,"11.対象物件",BU6),0)</f>
        <v>0</v>
      </c>
      <c r="BV33" s="190">
        <f>IFERROR(GETPIVOTDATA("合計 / 23.利息月額",pivot!$EG$4,"11.対象物件",BV6),0)</f>
        <v>0</v>
      </c>
      <c r="BW33" s="190">
        <f>IFERROR(GETPIVOTDATA("合計 / 23.利息月額",pivot!$EG$4,"11.対象物件",BW6),0)</f>
        <v>0</v>
      </c>
      <c r="BX33" s="190">
        <f>IFERROR(GETPIVOTDATA("合計 / 23.利息月額",pivot!$EG$4,"11.対象物件",BX6),0)</f>
        <v>0</v>
      </c>
      <c r="BY33" s="190">
        <f>IFERROR(GETPIVOTDATA("合計 / 23.利息月額",pivot!$EG$4,"11.対象物件",BY6),0)</f>
        <v>0</v>
      </c>
      <c r="BZ33" s="190">
        <f>IFERROR(GETPIVOTDATA("合計 / 23.利息月額",pivot!$EG$4,"11.対象物件",BZ6),0)</f>
        <v>0</v>
      </c>
      <c r="CA33" s="190">
        <f>IFERROR(GETPIVOTDATA("合計 / 23.利息月額",pivot!$EG$4,"11.対象物件",CA6),0)</f>
        <v>0</v>
      </c>
      <c r="CB33" s="190">
        <f>IFERROR(GETPIVOTDATA("合計 / 23.利息月額",pivot!$EG$4,"11.対象物件",CB6),0)</f>
        <v>0</v>
      </c>
    </row>
    <row r="34" spans="1:80" ht="13.5" customHeight="1">
      <c r="A34" s="175">
        <v>31</v>
      </c>
      <c r="B34" s="15" t="s">
        <v>918</v>
      </c>
      <c r="C34" s="4" t="s">
        <v>377</v>
      </c>
      <c r="D34" s="4" t="s">
        <v>846</v>
      </c>
      <c r="E34" s="183">
        <f>SUMIF(F5:CH5,"no",F34:CH34)</f>
        <v>213926</v>
      </c>
      <c r="F34" s="190">
        <f>IFERROR((GETPIVOTDATA("合計 / 22.元金返済月額",pivot!$EG$4,"11.対象物件",F28)*F29),0)</f>
        <v>0</v>
      </c>
      <c r="G34" s="190">
        <f>IFERROR((GETPIVOTDATA("合計 / 22.元金返済月額",pivot!$EG$4,"11.対象物件",G28)*G29),0)</f>
        <v>0</v>
      </c>
      <c r="H34" s="190">
        <f>IFERROR((GETPIVOTDATA("合計 / 22.元金返済月額",pivot!$EG$4,"11.対象物件",H28)*H29),0)</f>
        <v>0</v>
      </c>
      <c r="I34" s="190">
        <f>IFERROR((GETPIVOTDATA("合計 / 22.元金返済月額",pivot!$EG$4,"11.対象物件",I28)*I29),0)</f>
        <v>0</v>
      </c>
      <c r="J34" s="190">
        <f>IFERROR((GETPIVOTDATA("合計 / 22.元金返済月額",pivot!$EG$4,"11.対象物件",J28)*J29),0)</f>
        <v>0</v>
      </c>
      <c r="K34" s="190">
        <f>IFERROR((GETPIVOTDATA("合計 / 22.元金返済月額",pivot!$EG$4,"11.対象物件",K28)*K29),0)</f>
        <v>0</v>
      </c>
      <c r="L34" s="190">
        <f>IFERROR((GETPIVOTDATA("合計 / 22.元金返済月額",pivot!$EG$4,"11.対象物件",L28)*L29),0)</f>
        <v>0</v>
      </c>
      <c r="M34" s="190">
        <f>IFERROR((GETPIVOTDATA("合計 / 22.元金返済月額",pivot!$EG$4,"11.対象物件",M28)*M29),0)</f>
        <v>0</v>
      </c>
      <c r="N34" s="190">
        <f>IFERROR((GETPIVOTDATA("合計 / 22.元金返済月額",pivot!$EG$4,"11.対象物件",N28)*N29),0)</f>
        <v>0</v>
      </c>
      <c r="O34" s="190">
        <f>IFERROR((GETPIVOTDATA("合計 / 22.元金返済月額",pivot!$EG$4,"11.対象物件",O28)*O29),0)</f>
        <v>0</v>
      </c>
      <c r="P34" s="190">
        <f>IFERROR((GETPIVOTDATA("合計 / 22.元金返済月額",pivot!$EG$4,"11.対象物件",P28)*P29),0)</f>
        <v>0</v>
      </c>
      <c r="Q34" s="190">
        <f>IFERROR((GETPIVOTDATA("合計 / 22.元金返済月額",pivot!$EG$4,"11.対象物件",Q28)*Q29),0)</f>
        <v>0</v>
      </c>
      <c r="R34" s="190">
        <f>IFERROR((GETPIVOTDATA("合計 / 22.元金返済月額",pivot!$EG$4,"11.対象物件",R28)*R29),0)</f>
        <v>0</v>
      </c>
      <c r="S34" s="190">
        <f>IFERROR((GETPIVOTDATA("合計 / 22.元金返済月額",pivot!$EG$4,"11.対象物件",S28)*S29),0)</f>
        <v>0</v>
      </c>
      <c r="T34" s="190">
        <f>IFERROR((GETPIVOTDATA("合計 / 22.元金返済月額",pivot!$EG$4,"11.対象物件",T28)*T29),0)</f>
        <v>0</v>
      </c>
      <c r="U34" s="190">
        <f>IFERROR((GETPIVOTDATA("合計 / 22.元金返済月額",pivot!$EG$4,"11.対象物件",U28)*U29),0)</f>
        <v>0</v>
      </c>
      <c r="V34" s="190">
        <f>IFERROR((GETPIVOTDATA("合計 / 22.元金返済月額",pivot!$EG$4,"11.対象物件",V28)*V29),0)</f>
        <v>0</v>
      </c>
      <c r="W34" s="190">
        <f>IFERROR((GETPIVOTDATA("合計 / 22.元金返済月額",pivot!$EG$4,"11.対象物件",W28)*W29),0)</f>
        <v>0</v>
      </c>
      <c r="X34" s="190">
        <f>IFERROR((GETPIVOTDATA("合計 / 22.元金返済月額",pivot!$EG$4,"11.対象物件",X28)*X29),0)</f>
        <v>0</v>
      </c>
      <c r="Y34" s="190">
        <f>IFERROR((GETPIVOTDATA("合計 / 22.元金返済月額",pivot!$EG$4,"11.対象物件",Y28)*Y29),0)</f>
        <v>0</v>
      </c>
      <c r="Z34" s="190">
        <f>IFERROR((GETPIVOTDATA("合計 / 22.元金返済月額",pivot!$EG$4,"11.対象物件",Z28)*Z29),0)</f>
        <v>133703.75</v>
      </c>
      <c r="AA34" s="190">
        <f>IFERROR((GETPIVOTDATA("合計 / 22.元金返済月額",pivot!$EG$4,"11.対象物件",AA28)*AA29),0)</f>
        <v>80222.25</v>
      </c>
      <c r="AB34" s="190">
        <f>IFERROR((GETPIVOTDATA("合計 / 22.元金返済月額",pivot!$EG$4,"11.対象物件",AB28)*AB29),0)</f>
        <v>0</v>
      </c>
      <c r="AC34" s="190">
        <f>IFERROR((GETPIVOTDATA("合計 / 22.元金返済月額",pivot!$EG$4,"11.対象物件",AC28)*AC29),0)</f>
        <v>0</v>
      </c>
      <c r="AD34" s="190">
        <f>IFERROR((GETPIVOTDATA("合計 / 22.元金返済月額",pivot!$EG$4,"11.対象物件",AD28)*AD29),0)</f>
        <v>0</v>
      </c>
      <c r="AE34" s="190">
        <f>IFERROR((GETPIVOTDATA("合計 / 22.元金返済月額",pivot!$EG$4,"11.対象物件",AE28)*AE29),0)</f>
        <v>0</v>
      </c>
      <c r="AF34" s="190">
        <f>IFERROR((GETPIVOTDATA("合計 / 22.元金返済月額",pivot!$EG$4,"11.対象物件",AF28)*AF29),0)</f>
        <v>0</v>
      </c>
      <c r="AG34" s="190">
        <f>IFERROR((GETPIVOTDATA("合計 / 22.元金返済月額",pivot!$EG$4,"11.対象物件",AG28)*AG29),0)</f>
        <v>0</v>
      </c>
      <c r="AH34" s="190">
        <f>IFERROR((GETPIVOTDATA("合計 / 22.元金返済月額",pivot!$EG$4,"11.対象物件",AH28)*AH29),0)</f>
        <v>0</v>
      </c>
      <c r="AI34" s="190">
        <f>IFERROR((GETPIVOTDATA("合計 / 22.元金返済月額",pivot!$EG$4,"11.対象物件",AI28)*AI29),0)</f>
        <v>0</v>
      </c>
      <c r="AJ34" s="190">
        <f>IFERROR((GETPIVOTDATA("合計 / 22.元金返済月額",pivot!$EG$4,"11.対象物件",AJ28)*AJ29),0)</f>
        <v>0</v>
      </c>
      <c r="AK34" s="190">
        <f>IFERROR((GETPIVOTDATA("合計 / 22.元金返済月額",pivot!$EG$4,"11.対象物件",AK28)*AK29),0)</f>
        <v>0</v>
      </c>
      <c r="AL34" s="190">
        <f>IFERROR((GETPIVOTDATA("合計 / 22.元金返済月額",pivot!$EG$4,"11.対象物件",AL28)*AL29),0)</f>
        <v>0</v>
      </c>
      <c r="AM34" s="190">
        <f>IFERROR((GETPIVOTDATA("合計 / 22.元金返済月額",pivot!$EG$4,"11.対象物件",AM28)*AM29),0)</f>
        <v>0</v>
      </c>
      <c r="AN34" s="190">
        <f>IFERROR((GETPIVOTDATA("合計 / 22.元金返済月額",pivot!$EG$4,"11.対象物件",AN28)*AN29),0)</f>
        <v>0</v>
      </c>
      <c r="AO34" s="190">
        <f>IFERROR((GETPIVOTDATA("合計 / 22.元金返済月額",pivot!$EG$4,"11.対象物件",AO28)*AO29),0)</f>
        <v>0</v>
      </c>
      <c r="AP34" s="190">
        <f>IFERROR((GETPIVOTDATA("合計 / 22.元金返済月額",pivot!$EG$4,"11.対象物件",AP28)*AP29),0)</f>
        <v>0</v>
      </c>
      <c r="AQ34" s="190">
        <f>IFERROR((GETPIVOTDATA("合計 / 22.元金返済月額",pivot!$EG$4,"11.対象物件",AQ28)*AQ29),0)</f>
        <v>0</v>
      </c>
      <c r="AR34" s="190">
        <f>IFERROR((GETPIVOTDATA("合計 / 22.元金返済月額",pivot!$EG$4,"11.対象物件",AR28)*AR29),0)</f>
        <v>0</v>
      </c>
      <c r="AS34" s="190">
        <f>IFERROR((GETPIVOTDATA("合計 / 22.元金返済月額",pivot!$EG$4,"11.対象物件",AS28)*AS29),0)</f>
        <v>0</v>
      </c>
      <c r="AT34" s="190">
        <f>IFERROR((GETPIVOTDATA("合計 / 22.元金返済月額",pivot!$EG$4,"11.対象物件",AT28)*AT29),0)</f>
        <v>0</v>
      </c>
      <c r="AU34" s="190">
        <f>IFERROR((GETPIVOTDATA("合計 / 22.元金返済月額",pivot!$EG$4,"11.対象物件",AU28)*AU29),0)</f>
        <v>0</v>
      </c>
      <c r="AV34" s="190">
        <f>IFERROR((GETPIVOTDATA("合計 / 22.元金返済月額",pivot!$EG$4,"11.対象物件",AV28)*AV29),0)</f>
        <v>0</v>
      </c>
      <c r="AW34" s="190">
        <f>IFERROR((GETPIVOTDATA("合計 / 22.元金返済月額",pivot!$EG$4,"11.対象物件",AW28)*AW29),0)</f>
        <v>0</v>
      </c>
      <c r="AX34" s="190">
        <f>IFERROR((GETPIVOTDATA("合計 / 22.元金返済月額",pivot!$EG$4,"11.対象物件",AX28)*AX29),0)</f>
        <v>0</v>
      </c>
      <c r="AY34" s="190">
        <f>IFERROR((GETPIVOTDATA("合計 / 22.元金返済月額",pivot!$EG$4,"11.対象物件",AY28)*AY29),0)</f>
        <v>0</v>
      </c>
      <c r="AZ34" s="190">
        <f>IFERROR((GETPIVOTDATA("合計 / 22.元金返済月額",pivot!$EG$4,"11.対象物件",AZ28)*AZ29),0)</f>
        <v>0</v>
      </c>
      <c r="BA34" s="190">
        <f>IFERROR((GETPIVOTDATA("合計 / 22.元金返済月額",pivot!$EG$4,"11.対象物件",BA28)*BA29),0)</f>
        <v>0</v>
      </c>
      <c r="BB34" s="190">
        <f>IFERROR((GETPIVOTDATA("合計 / 22.元金返済月額",pivot!$EG$4,"11.対象物件",BB28)*BB29),0)</f>
        <v>0</v>
      </c>
      <c r="BC34" s="190">
        <f>IFERROR((GETPIVOTDATA("合計 / 22.元金返済月額",pivot!$EG$4,"11.対象物件",BC28)*BC29),0)</f>
        <v>0</v>
      </c>
      <c r="BD34" s="190">
        <f>IFERROR((GETPIVOTDATA("合計 / 22.元金返済月額",pivot!$EG$4,"11.対象物件",BD28)*BD29),0)</f>
        <v>0</v>
      </c>
      <c r="BE34" s="190">
        <f>IFERROR((GETPIVOTDATA("合計 / 22.元金返済月額",pivot!$EG$4,"11.対象物件",BE28)*BE29),0)</f>
        <v>0</v>
      </c>
      <c r="BF34" s="190">
        <f>IFERROR((GETPIVOTDATA("合計 / 22.元金返済月額",pivot!$EG$4,"11.対象物件",BF28)*BF29),0)</f>
        <v>0</v>
      </c>
      <c r="BG34" s="190">
        <f>IFERROR((GETPIVOTDATA("合計 / 22.元金返済月額",pivot!$EG$4,"11.対象物件",BG28)*BG29),0)</f>
        <v>0</v>
      </c>
      <c r="BH34" s="190">
        <f>IFERROR((GETPIVOTDATA("合計 / 22.元金返済月額",pivot!$EG$4,"11.対象物件",BH28)*BH29),0)</f>
        <v>0</v>
      </c>
      <c r="BI34" s="190">
        <f>IFERROR((GETPIVOTDATA("合計 / 22.元金返済月額",pivot!$EG$4,"11.対象物件",BI28)*BI29),0)</f>
        <v>0</v>
      </c>
      <c r="BJ34" s="190">
        <f>IFERROR((GETPIVOTDATA("合計 / 22.元金返済月額",pivot!$EG$4,"11.対象物件",BJ28)*BJ29),0)</f>
        <v>0</v>
      </c>
      <c r="BK34" s="190">
        <f>IFERROR((GETPIVOTDATA("合計 / 22.元金返済月額",pivot!$EG$4,"11.対象物件",BK28)*BK29),0)</f>
        <v>0</v>
      </c>
      <c r="BL34" s="190">
        <f>IFERROR((GETPIVOTDATA("合計 / 22.元金返済月額",pivot!$EG$4,"11.対象物件",BL28)*BL29),0)</f>
        <v>0</v>
      </c>
      <c r="BM34" s="190">
        <f>IFERROR((GETPIVOTDATA("合計 / 22.元金返済月額",pivot!$EG$4,"11.対象物件",BM28)*BM29),0)</f>
        <v>0</v>
      </c>
      <c r="BN34" s="190">
        <f>IFERROR((GETPIVOTDATA("合計 / 22.元金返済月額",pivot!$EG$4,"11.対象物件",BN28)*BN29),0)</f>
        <v>0</v>
      </c>
      <c r="BO34" s="190">
        <f>IFERROR((GETPIVOTDATA("合計 / 22.元金返済月額",pivot!$EG$4,"11.対象物件",BO28)*BO29),0)</f>
        <v>0</v>
      </c>
      <c r="BP34" s="190">
        <f>IFERROR((GETPIVOTDATA("合計 / 22.元金返済月額",pivot!$EG$4,"11.対象物件",BP28)*BP29),0)</f>
        <v>0</v>
      </c>
      <c r="BQ34" s="190">
        <f>IFERROR((GETPIVOTDATA("合計 / 22.元金返済月額",pivot!$EG$4,"11.対象物件",BQ28)*BQ29),0)</f>
        <v>0</v>
      </c>
      <c r="BR34" s="190">
        <f>IFERROR((GETPIVOTDATA("合計 / 22.元金返済月額",pivot!$EG$4,"11.対象物件",BR28)*BR29),0)</f>
        <v>0</v>
      </c>
      <c r="BS34" s="190">
        <f>IFERROR((GETPIVOTDATA("合計 / 22.元金返済月額",pivot!$EG$4,"11.対象物件",BS28)*BS29),0)</f>
        <v>0</v>
      </c>
      <c r="BT34" s="190">
        <f>IFERROR((GETPIVOTDATA("合計 / 22.元金返済月額",pivot!$EG$4,"11.対象物件",BT28)*BT29),0)</f>
        <v>0</v>
      </c>
      <c r="BU34" s="190">
        <f>IFERROR((GETPIVOTDATA("合計 / 22.元金返済月額",pivot!$EG$4,"11.対象物件",BU28)*BU29),0)</f>
        <v>0</v>
      </c>
      <c r="BV34" s="190">
        <f>IFERROR((GETPIVOTDATA("合計 / 22.元金返済月額",pivot!$EG$4,"11.対象物件",BV28)*BV29),0)</f>
        <v>0</v>
      </c>
      <c r="BW34" s="190">
        <f>IFERROR((GETPIVOTDATA("合計 / 22.元金返済月額",pivot!$EG$4,"11.対象物件",BW28)*BW29),0)</f>
        <v>0</v>
      </c>
      <c r="BX34" s="190">
        <f>IFERROR((GETPIVOTDATA("合計 / 22.元金返済月額",pivot!$EG$4,"11.対象物件",BX28)*BX29),0)</f>
        <v>0</v>
      </c>
      <c r="BY34" s="190">
        <f>IFERROR((GETPIVOTDATA("合計 / 22.元金返済月額",pivot!$EG$4,"11.対象物件",BY28)*BY29),0)</f>
        <v>0</v>
      </c>
      <c r="BZ34" s="190">
        <f>IFERROR((GETPIVOTDATA("合計 / 22.元金返済月額",pivot!$EG$4,"11.対象物件",BZ28)*BZ29),0)</f>
        <v>0</v>
      </c>
      <c r="CA34" s="190">
        <f>IFERROR((GETPIVOTDATA("合計 / 22.元金返済月額",pivot!$EG$4,"11.対象物件",CA28)*CA29),0)</f>
        <v>0</v>
      </c>
      <c r="CB34" s="190">
        <f>IFERROR((GETPIVOTDATA("合計 / 22.元金返済月額",pivot!$EG$4,"11.対象物件",CB28)*CB29),0)</f>
        <v>0</v>
      </c>
    </row>
    <row r="35" spans="1:80" ht="13.5" customHeight="1">
      <c r="A35" s="175">
        <v>32</v>
      </c>
      <c r="B35" s="15" t="s">
        <v>919</v>
      </c>
      <c r="C35" s="4" t="s">
        <v>377</v>
      </c>
      <c r="D35" s="4" t="s">
        <v>846</v>
      </c>
      <c r="E35" s="183">
        <f>SUMIF(F5:CH5,"no",F35:CH35)</f>
        <v>12572829</v>
      </c>
      <c r="F35" s="190">
        <f>IFERROR(GETPIVOTDATA("合計 / 22.元金返済月額",pivot!$EG$4,"11.対象物件",F6),0)</f>
        <v>712666</v>
      </c>
      <c r="G35" s="190">
        <f>IFERROR(GETPIVOTDATA("合計 / 22.元金返済月額",pivot!$EG$4,"11.対象物件",G6),0)</f>
        <v>1050252</v>
      </c>
      <c r="H35" s="190">
        <f>IFERROR(GETPIVOTDATA("合計 / 22.元金返済月額",pivot!$EG$4,"11.対象物件",H6),0)</f>
        <v>1049552</v>
      </c>
      <c r="I35" s="190">
        <f>IFERROR(GETPIVOTDATA("合計 / 22.元金返済月額",pivot!$EG$4,"11.対象物件",I6),0)</f>
        <v>328928</v>
      </c>
      <c r="J35" s="190">
        <f>IFERROR(GETPIVOTDATA("合計 / 22.元金返済月額",pivot!$EG$4,"11.対象物件",J6),0)</f>
        <v>995627</v>
      </c>
      <c r="K35" s="190">
        <f>IFERROR(GETPIVOTDATA("合計 / 22.元金返済月額",pivot!$EG$4,"11.対象物件",K6),0)</f>
        <v>970634</v>
      </c>
      <c r="L35" s="190">
        <f>IFERROR(GETPIVOTDATA("合計 / 22.元金返済月額",pivot!$EG$4,"11.対象物件",L6),0)</f>
        <v>982474</v>
      </c>
      <c r="M35" s="190">
        <f>IFERROR(GETPIVOTDATA("合計 / 22.元金返済月額",pivot!$EG$4,"11.対象物件",M6),0)</f>
        <v>437860</v>
      </c>
      <c r="N35" s="190">
        <f>IFERROR(GETPIVOTDATA("合計 / 22.元金返済月額",pivot!$EG$4,"11.対象物件",N6),0)</f>
        <v>0</v>
      </c>
      <c r="O35" s="190">
        <f>IFERROR(GETPIVOTDATA("合計 / 22.元金返済月額",pivot!$EG$4,"11.対象物件",O6),0)</f>
        <v>692442</v>
      </c>
      <c r="P35" s="190">
        <f>IFERROR(GETPIVOTDATA("合計 / 22.元金返済月額",pivot!$EG$4,"11.対象物件",P6),0)</f>
        <v>1111644</v>
      </c>
      <c r="Q35" s="190">
        <f>IFERROR(GETPIVOTDATA("合計 / 22.元金返済月額",pivot!$EG$4,"11.対象物件",Q6),0)</f>
        <v>1209934</v>
      </c>
      <c r="R35" s="190">
        <f>IFERROR(GETPIVOTDATA("合計 / 22.元金返済月額",pivot!$EG$4,"11.対象物件",R6),0)</f>
        <v>324776</v>
      </c>
      <c r="S35" s="190">
        <f>IFERROR(GETPIVOTDATA("合計 / 22.元金返済月額",pivot!$EG$4,"11.対象物件",S6),0)</f>
        <v>902892</v>
      </c>
      <c r="T35" s="190">
        <f>IFERROR(GETPIVOTDATA("合計 / 22.元金返済月額",pivot!$EG$4,"11.対象物件",T6),0)</f>
        <v>738310</v>
      </c>
      <c r="U35" s="190">
        <f>IFERROR(GETPIVOTDATA("合計 / 22.元金返済月額",pivot!$EG$4,"11.対象物件",U6),0)</f>
        <v>224843</v>
      </c>
      <c r="V35" s="190">
        <f>IFERROR(GETPIVOTDATA("合計 / 22.元金返済月額",pivot!$EG$4,"11.対象物件",V6),0)</f>
        <v>0</v>
      </c>
      <c r="W35" s="190">
        <f>IFERROR(GETPIVOTDATA("合計 / 22.元金返済月額",pivot!$EG$4,"11.対象物件",W6),0)</f>
        <v>294357</v>
      </c>
      <c r="X35" s="190">
        <f>IFERROR(GETPIVOTDATA("合計 / 22.元金返済月額",pivot!$EG$4,"11.対象物件",X6),0)</f>
        <v>0</v>
      </c>
      <c r="Y35" s="190">
        <f>IFERROR(GETPIVOTDATA("合計 / 22.元金返済月額",pivot!$EG$4,"11.対象物件",Y6),0)</f>
        <v>496340</v>
      </c>
      <c r="Z35" s="190">
        <f>IFERROR(GETPIVOTDATA("合計 / 22.元金返済月額",pivot!$EG$4,"11.対象物件",Z6),0)</f>
        <v>49298</v>
      </c>
      <c r="AA35" s="190">
        <f>IFERROR(GETPIVOTDATA("合計 / 22.元金返済月額",pivot!$EG$4,"11.対象物件",AA6),0)</f>
        <v>0</v>
      </c>
      <c r="AB35" s="190">
        <f>IFERROR(GETPIVOTDATA("合計 / 22.元金返済月額",pivot!$EG$4,"11.対象物件",AB6),0)</f>
        <v>0</v>
      </c>
      <c r="AC35" s="190">
        <f>IFERROR(GETPIVOTDATA("合計 / 22.元金返済月額",pivot!$EG$4,"11.対象物件",AC6),0)</f>
        <v>0</v>
      </c>
      <c r="AD35" s="190">
        <f>IFERROR(GETPIVOTDATA("合計 / 22.元金返済月額",pivot!$EG$4,"11.対象物件",AD6),0)</f>
        <v>0</v>
      </c>
      <c r="AE35" s="190">
        <f>IFERROR(GETPIVOTDATA("合計 / 22.元金返済月額",pivot!$EG$4,"11.対象物件",AE6),0)</f>
        <v>0</v>
      </c>
      <c r="AF35" s="190">
        <f>IFERROR(GETPIVOTDATA("合計 / 22.元金返済月額",pivot!$EG$4,"11.対象物件",AF6),0)</f>
        <v>0</v>
      </c>
      <c r="AG35" s="190">
        <f>IFERROR(GETPIVOTDATA("合計 / 22.元金返済月額",pivot!$EG$4,"11.対象物件",AG6),0)</f>
        <v>0</v>
      </c>
      <c r="AH35" s="190">
        <f>IFERROR(GETPIVOTDATA("合計 / 22.元金返済月額",pivot!$EG$4,"11.対象物件",AH6),0)</f>
        <v>0</v>
      </c>
      <c r="AI35" s="190">
        <f>IFERROR(GETPIVOTDATA("合計 / 22.元金返済月額",pivot!$EG$4,"11.対象物件",AI6),0)</f>
        <v>0</v>
      </c>
      <c r="AJ35" s="190">
        <f>IFERROR(GETPIVOTDATA("合計 / 22.元金返済月額",pivot!$EG$4,"11.対象物件",AJ6),0)</f>
        <v>0</v>
      </c>
      <c r="AK35" s="190">
        <f>IFERROR(GETPIVOTDATA("合計 / 22.元金返済月額",pivot!$EG$4,"11.対象物件",AK6),0)</f>
        <v>0</v>
      </c>
      <c r="AL35" s="190">
        <f>IFERROR(GETPIVOTDATA("合計 / 22.元金返済月額",pivot!$EG$4,"11.対象物件",AL6),0)</f>
        <v>0</v>
      </c>
      <c r="AM35" s="190">
        <f>IFERROR(GETPIVOTDATA("合計 / 22.元金返済月額",pivot!$EG$4,"11.対象物件",AM6),0)</f>
        <v>0</v>
      </c>
      <c r="AN35" s="190">
        <f>IFERROR(GETPIVOTDATA("合計 / 22.元金返済月額",pivot!$EG$4,"11.対象物件",AN6),0)</f>
        <v>0</v>
      </c>
      <c r="AO35" s="190">
        <f>IFERROR(GETPIVOTDATA("合計 / 22.元金返済月額",pivot!$EG$4,"11.対象物件",AO6),0)</f>
        <v>0</v>
      </c>
      <c r="AP35" s="190">
        <f>IFERROR(GETPIVOTDATA("合計 / 22.元金返済月額",pivot!$EG$4,"11.対象物件",AP6),0)</f>
        <v>0</v>
      </c>
      <c r="AQ35" s="190">
        <f>IFERROR(GETPIVOTDATA("合計 / 22.元金返済月額",pivot!$EG$4,"11.対象物件",AQ6),0)</f>
        <v>0</v>
      </c>
      <c r="AR35" s="190">
        <f>IFERROR(GETPIVOTDATA("合計 / 22.元金返済月額",pivot!$EG$4,"11.対象物件",AR6),0)</f>
        <v>0</v>
      </c>
      <c r="AS35" s="190">
        <f>IFERROR(GETPIVOTDATA("合計 / 22.元金返済月額",pivot!$EG$4,"11.対象物件",AS6),0)</f>
        <v>0</v>
      </c>
      <c r="AT35" s="190">
        <f>IFERROR(GETPIVOTDATA("合計 / 22.元金返済月額",pivot!$EG$4,"11.対象物件",AT6),0)</f>
        <v>0</v>
      </c>
      <c r="AU35" s="190">
        <f>IFERROR(GETPIVOTDATA("合計 / 22.元金返済月額",pivot!$EG$4,"11.対象物件",AU6),0)</f>
        <v>0</v>
      </c>
      <c r="AV35" s="190">
        <f>IFERROR(GETPIVOTDATA("合計 / 22.元金返済月額",pivot!$EG$4,"11.対象物件",AV6),0)</f>
        <v>0</v>
      </c>
      <c r="AW35" s="190">
        <f>IFERROR(GETPIVOTDATA("合計 / 22.元金返済月額",pivot!$EG$4,"11.対象物件",AW6),0)</f>
        <v>0</v>
      </c>
      <c r="AX35" s="190">
        <f>IFERROR(GETPIVOTDATA("合計 / 22.元金返済月額",pivot!$EG$4,"11.対象物件",AX6),0)</f>
        <v>0</v>
      </c>
      <c r="AY35" s="190">
        <f>IFERROR(GETPIVOTDATA("合計 / 22.元金返済月額",pivot!$EG$4,"11.対象物件",AY6),0)</f>
        <v>0</v>
      </c>
      <c r="AZ35" s="190">
        <f>IFERROR(GETPIVOTDATA("合計 / 22.元金返済月額",pivot!$EG$4,"11.対象物件",AZ6),0)</f>
        <v>0</v>
      </c>
      <c r="BA35" s="190">
        <f>IFERROR(GETPIVOTDATA("合計 / 22.元金返済月額",pivot!$EG$4,"11.対象物件",BA6),0)</f>
        <v>0</v>
      </c>
      <c r="BB35" s="190">
        <f>IFERROR(GETPIVOTDATA("合計 / 22.元金返済月額",pivot!$EG$4,"11.対象物件",BB6),0)</f>
        <v>0</v>
      </c>
      <c r="BC35" s="190">
        <f>IFERROR(GETPIVOTDATA("合計 / 22.元金返済月額",pivot!$EG$4,"11.対象物件",BC6),0)</f>
        <v>0</v>
      </c>
      <c r="BD35" s="190">
        <f>IFERROR(GETPIVOTDATA("合計 / 22.元金返済月額",pivot!$EG$4,"11.対象物件",BD6),0)</f>
        <v>0</v>
      </c>
      <c r="BE35" s="190">
        <f>IFERROR(GETPIVOTDATA("合計 / 22.元金返済月額",pivot!$EG$4,"11.対象物件",BE6),0)</f>
        <v>0</v>
      </c>
      <c r="BF35" s="190">
        <f>IFERROR(GETPIVOTDATA("合計 / 22.元金返済月額",pivot!$EG$4,"11.対象物件",BF6),0)</f>
        <v>0</v>
      </c>
      <c r="BG35" s="190">
        <f>IFERROR(GETPIVOTDATA("合計 / 22.元金返済月額",pivot!$EG$4,"11.対象物件",BG6),0)</f>
        <v>0</v>
      </c>
      <c r="BH35" s="190">
        <f>IFERROR(GETPIVOTDATA("合計 / 22.元金返済月額",pivot!$EG$4,"11.対象物件",BH6),0)</f>
        <v>0</v>
      </c>
      <c r="BI35" s="190">
        <f>IFERROR(GETPIVOTDATA("合計 / 22.元金返済月額",pivot!$EG$4,"11.対象物件",BI6),0)</f>
        <v>0</v>
      </c>
      <c r="BJ35" s="190">
        <f>IFERROR(GETPIVOTDATA("合計 / 22.元金返済月額",pivot!$EG$4,"11.対象物件",BJ6),0)</f>
        <v>0</v>
      </c>
      <c r="BK35" s="190">
        <f>IFERROR(GETPIVOTDATA("合計 / 22.元金返済月額",pivot!$EG$4,"11.対象物件",BK6),0)</f>
        <v>0</v>
      </c>
      <c r="BL35" s="190">
        <f>IFERROR(GETPIVOTDATA("合計 / 22.元金返済月額",pivot!$EG$4,"11.対象物件",BL6),0)</f>
        <v>0</v>
      </c>
      <c r="BM35" s="190">
        <f>IFERROR(GETPIVOTDATA("合計 / 22.元金返済月額",pivot!$EG$4,"11.対象物件",BM6),0)</f>
        <v>0</v>
      </c>
      <c r="BN35" s="190">
        <f>IFERROR(GETPIVOTDATA("合計 / 22.元金返済月額",pivot!$EG$4,"11.対象物件",BN6),0)</f>
        <v>0</v>
      </c>
      <c r="BO35" s="190">
        <f>IFERROR(GETPIVOTDATA("合計 / 22.元金返済月額",pivot!$EG$4,"11.対象物件",BO6),0)</f>
        <v>0</v>
      </c>
      <c r="BP35" s="190">
        <f>IFERROR(GETPIVOTDATA("合計 / 22.元金返済月額",pivot!$EG$4,"11.対象物件",BP6),0)</f>
        <v>0</v>
      </c>
      <c r="BQ35" s="190">
        <f>IFERROR(GETPIVOTDATA("合計 / 22.元金返済月額",pivot!$EG$4,"11.対象物件",BQ6),0)</f>
        <v>0</v>
      </c>
      <c r="BR35" s="190">
        <f>IFERROR(GETPIVOTDATA("合計 / 22.元金返済月額",pivot!$EG$4,"11.対象物件",BR6),0)</f>
        <v>0</v>
      </c>
      <c r="BS35" s="190">
        <f>IFERROR(GETPIVOTDATA("合計 / 22.元金返済月額",pivot!$EG$4,"11.対象物件",BS6),0)</f>
        <v>0</v>
      </c>
      <c r="BT35" s="190">
        <f>IFERROR(GETPIVOTDATA("合計 / 22.元金返済月額",pivot!$EG$4,"11.対象物件",BT6),0)</f>
        <v>0</v>
      </c>
      <c r="BU35" s="190">
        <f>IFERROR(GETPIVOTDATA("合計 / 22.元金返済月額",pivot!$EG$4,"11.対象物件",BU6),0)</f>
        <v>0</v>
      </c>
      <c r="BV35" s="190">
        <f>IFERROR(GETPIVOTDATA("合計 / 22.元金返済月額",pivot!$EG$4,"11.対象物件",BV6),0)</f>
        <v>0</v>
      </c>
      <c r="BW35" s="190">
        <f>IFERROR(GETPIVOTDATA("合計 / 22.元金返済月額",pivot!$EG$4,"11.対象物件",BW6),0)</f>
        <v>0</v>
      </c>
      <c r="BX35" s="190">
        <f>IFERROR(GETPIVOTDATA("合計 / 22.元金返済月額",pivot!$EG$4,"11.対象物件",BX6),0)</f>
        <v>0</v>
      </c>
      <c r="BY35" s="190">
        <f>IFERROR(GETPIVOTDATA("合計 / 22.元金返済月額",pivot!$EG$4,"11.対象物件",BY6),0)</f>
        <v>0</v>
      </c>
      <c r="BZ35" s="190">
        <f>IFERROR(GETPIVOTDATA("合計 / 22.元金返済月額",pivot!$EG$4,"11.対象物件",BZ6),0)</f>
        <v>0</v>
      </c>
      <c r="CA35" s="190">
        <f>IFERROR(GETPIVOTDATA("合計 / 22.元金返済月額",pivot!$EG$4,"11.対象物件",CA6),0)</f>
        <v>0</v>
      </c>
      <c r="CB35" s="190">
        <f>IFERROR(GETPIVOTDATA("合計 / 22.元金返済月額",pivot!$EG$4,"11.対象物件",CB6),0)</f>
        <v>0</v>
      </c>
    </row>
    <row r="36" spans="1:80" ht="13.5" customHeight="1">
      <c r="A36" s="175">
        <v>33</v>
      </c>
      <c r="B36" s="15" t="s">
        <v>431</v>
      </c>
      <c r="C36" s="4" t="s">
        <v>377</v>
      </c>
      <c r="D36" s="4" t="s">
        <v>846</v>
      </c>
      <c r="E36" s="183">
        <f t="shared" ref="E36:F36" si="21">E30+E31</f>
        <v>4417003271</v>
      </c>
      <c r="F36" s="190">
        <f t="shared" si="21"/>
        <v>166166517</v>
      </c>
      <c r="G36" s="190">
        <f t="shared" ref="G36:BP36" si="22">G30+G31</f>
        <v>489470974</v>
      </c>
      <c r="H36" s="190">
        <f t="shared" si="22"/>
        <v>325693047</v>
      </c>
      <c r="I36" s="190">
        <f t="shared" si="22"/>
        <v>70446823</v>
      </c>
      <c r="J36" s="190">
        <f t="shared" si="22"/>
        <v>199606609</v>
      </c>
      <c r="K36" s="190">
        <f t="shared" si="22"/>
        <v>289146337</v>
      </c>
      <c r="L36" s="190">
        <f t="shared" si="22"/>
        <v>313706389</v>
      </c>
      <c r="M36" s="190">
        <f t="shared" si="22"/>
        <v>146247653</v>
      </c>
      <c r="N36" s="190">
        <f t="shared" si="22"/>
        <v>0</v>
      </c>
      <c r="O36" s="190">
        <f t="shared" si="22"/>
        <v>227542871</v>
      </c>
      <c r="P36" s="190">
        <f t="shared" si="22"/>
        <v>366807279</v>
      </c>
      <c r="Q36" s="190">
        <f t="shared" si="22"/>
        <v>407992887</v>
      </c>
      <c r="R36" s="190">
        <f t="shared" si="22"/>
        <v>166191734</v>
      </c>
      <c r="S36" s="190">
        <f t="shared" si="22"/>
        <v>473298872</v>
      </c>
      <c r="T36" s="190">
        <f t="shared" si="22"/>
        <v>338136161</v>
      </c>
      <c r="U36" s="190">
        <f t="shared" si="22"/>
        <v>104842675</v>
      </c>
      <c r="V36" s="190">
        <f t="shared" si="22"/>
        <v>0</v>
      </c>
      <c r="W36" s="190">
        <f t="shared" si="22"/>
        <v>139123336</v>
      </c>
      <c r="X36" s="190">
        <f t="shared" si="22"/>
        <v>0</v>
      </c>
      <c r="Y36" s="190">
        <f t="shared" si="22"/>
        <v>108163551</v>
      </c>
      <c r="Z36" s="190">
        <f t="shared" si="22"/>
        <v>56237891.25</v>
      </c>
      <c r="AA36" s="190">
        <f t="shared" si="22"/>
        <v>28181664.75</v>
      </c>
      <c r="AB36" s="190">
        <f t="shared" si="22"/>
        <v>0</v>
      </c>
      <c r="AC36" s="190">
        <f t="shared" si="22"/>
        <v>0</v>
      </c>
      <c r="AD36" s="190">
        <f t="shared" si="22"/>
        <v>0</v>
      </c>
      <c r="AE36" s="190">
        <f t="shared" si="22"/>
        <v>0</v>
      </c>
      <c r="AF36" s="190">
        <f t="shared" si="22"/>
        <v>0</v>
      </c>
      <c r="AG36" s="190">
        <f t="shared" si="22"/>
        <v>0</v>
      </c>
      <c r="AH36" s="190">
        <f t="shared" si="22"/>
        <v>0</v>
      </c>
      <c r="AI36" s="190">
        <f t="shared" si="22"/>
        <v>0</v>
      </c>
      <c r="AJ36" s="190">
        <f t="shared" si="22"/>
        <v>0</v>
      </c>
      <c r="AK36" s="190">
        <f t="shared" si="22"/>
        <v>0</v>
      </c>
      <c r="AL36" s="190">
        <f t="shared" si="22"/>
        <v>0</v>
      </c>
      <c r="AM36" s="190">
        <f t="shared" si="22"/>
        <v>0</v>
      </c>
      <c r="AN36" s="190">
        <f t="shared" si="22"/>
        <v>0</v>
      </c>
      <c r="AO36" s="190">
        <f t="shared" si="22"/>
        <v>0</v>
      </c>
      <c r="AP36" s="190">
        <f t="shared" si="22"/>
        <v>0</v>
      </c>
      <c r="AQ36" s="190">
        <f t="shared" si="22"/>
        <v>0</v>
      </c>
      <c r="AR36" s="190">
        <f t="shared" si="22"/>
        <v>0</v>
      </c>
      <c r="AS36" s="190">
        <f t="shared" si="22"/>
        <v>0</v>
      </c>
      <c r="AT36" s="190">
        <f t="shared" si="22"/>
        <v>0</v>
      </c>
      <c r="AU36" s="190">
        <f t="shared" si="22"/>
        <v>0</v>
      </c>
      <c r="AV36" s="190">
        <f t="shared" si="22"/>
        <v>0</v>
      </c>
      <c r="AW36" s="190">
        <f t="shared" si="22"/>
        <v>0</v>
      </c>
      <c r="AX36" s="190">
        <f t="shared" si="22"/>
        <v>0</v>
      </c>
      <c r="AY36" s="190">
        <f t="shared" si="22"/>
        <v>0</v>
      </c>
      <c r="AZ36" s="190">
        <f t="shared" si="22"/>
        <v>0</v>
      </c>
      <c r="BA36" s="190">
        <f t="shared" si="22"/>
        <v>0</v>
      </c>
      <c r="BB36" s="190">
        <f t="shared" si="22"/>
        <v>0</v>
      </c>
      <c r="BC36" s="190">
        <f t="shared" si="22"/>
        <v>0</v>
      </c>
      <c r="BD36" s="190">
        <f t="shared" si="22"/>
        <v>0</v>
      </c>
      <c r="BE36" s="190">
        <f t="shared" si="22"/>
        <v>0</v>
      </c>
      <c r="BF36" s="190">
        <f t="shared" si="22"/>
        <v>0</v>
      </c>
      <c r="BG36" s="190">
        <f t="shared" si="22"/>
        <v>0</v>
      </c>
      <c r="BH36" s="190">
        <f t="shared" si="22"/>
        <v>0</v>
      </c>
      <c r="BI36" s="190">
        <f t="shared" si="22"/>
        <v>0</v>
      </c>
      <c r="BJ36" s="190">
        <f t="shared" si="22"/>
        <v>0</v>
      </c>
      <c r="BK36" s="190">
        <f t="shared" si="22"/>
        <v>0</v>
      </c>
      <c r="BL36" s="190">
        <f t="shared" si="22"/>
        <v>0</v>
      </c>
      <c r="BM36" s="190">
        <f t="shared" si="22"/>
        <v>0</v>
      </c>
      <c r="BN36" s="190">
        <f t="shared" si="22"/>
        <v>0</v>
      </c>
      <c r="BO36" s="190">
        <f t="shared" si="22"/>
        <v>0</v>
      </c>
      <c r="BP36" s="190">
        <f t="shared" si="22"/>
        <v>0</v>
      </c>
      <c r="BQ36" s="190">
        <f t="shared" ref="BQ36:CB36" si="23">BQ30+BQ31</f>
        <v>0</v>
      </c>
      <c r="BR36" s="190">
        <f t="shared" si="23"/>
        <v>0</v>
      </c>
      <c r="BS36" s="190">
        <f t="shared" si="23"/>
        <v>0</v>
      </c>
      <c r="BT36" s="190">
        <f t="shared" si="23"/>
        <v>0</v>
      </c>
      <c r="BU36" s="190">
        <f t="shared" si="23"/>
        <v>0</v>
      </c>
      <c r="BV36" s="190">
        <f t="shared" si="23"/>
        <v>0</v>
      </c>
      <c r="BW36" s="190">
        <f t="shared" si="23"/>
        <v>0</v>
      </c>
      <c r="BX36" s="190">
        <f t="shared" si="23"/>
        <v>0</v>
      </c>
      <c r="BY36" s="190">
        <f t="shared" si="23"/>
        <v>0</v>
      </c>
      <c r="BZ36" s="190">
        <f t="shared" si="23"/>
        <v>0</v>
      </c>
      <c r="CA36" s="190">
        <f t="shared" si="23"/>
        <v>0</v>
      </c>
      <c r="CB36" s="190">
        <f t="shared" si="23"/>
        <v>0</v>
      </c>
    </row>
    <row r="37" spans="1:80" ht="13.5" customHeight="1">
      <c r="A37" s="175">
        <v>34</v>
      </c>
      <c r="B37" s="15" t="s">
        <v>434</v>
      </c>
      <c r="C37" s="4" t="s">
        <v>377</v>
      </c>
      <c r="D37" s="4" t="s">
        <v>846</v>
      </c>
      <c r="E37" s="183">
        <f>SUMIF(F5:CH5,"no",F37:CH37)</f>
        <v>5011481</v>
      </c>
      <c r="F37" s="190">
        <f t="shared" ref="F37" si="24">F32+F33</f>
        <v>139065</v>
      </c>
      <c r="G37" s="190">
        <f t="shared" ref="G37:BP37" si="25">G32+G33</f>
        <v>674466</v>
      </c>
      <c r="H37" s="190">
        <f t="shared" si="25"/>
        <v>299492</v>
      </c>
      <c r="I37" s="190">
        <f t="shared" si="25"/>
        <v>58976</v>
      </c>
      <c r="J37" s="190">
        <f t="shared" si="25"/>
        <v>166971</v>
      </c>
      <c r="K37" s="190">
        <f t="shared" si="25"/>
        <v>241754</v>
      </c>
      <c r="L37" s="190">
        <f t="shared" si="25"/>
        <v>314688</v>
      </c>
      <c r="M37" s="190">
        <f t="shared" si="25"/>
        <v>183356</v>
      </c>
      <c r="N37" s="190">
        <f t="shared" si="25"/>
        <v>0</v>
      </c>
      <c r="O37" s="190">
        <f t="shared" si="25"/>
        <v>247247</v>
      </c>
      <c r="P37" s="190">
        <f t="shared" si="25"/>
        <v>398578</v>
      </c>
      <c r="Q37" s="190">
        <f t="shared" si="25"/>
        <v>468878</v>
      </c>
      <c r="R37" s="190">
        <f t="shared" si="25"/>
        <v>180387</v>
      </c>
      <c r="S37" s="190">
        <f t="shared" si="25"/>
        <v>513702</v>
      </c>
      <c r="T37" s="190">
        <f t="shared" si="25"/>
        <v>406469</v>
      </c>
      <c r="U37" s="190">
        <f t="shared" si="25"/>
        <v>146653</v>
      </c>
      <c r="V37" s="190">
        <f t="shared" si="25"/>
        <v>0</v>
      </c>
      <c r="W37" s="190">
        <f t="shared" si="25"/>
        <v>191699</v>
      </c>
      <c r="X37" s="190">
        <f t="shared" si="25"/>
        <v>0</v>
      </c>
      <c r="Y37" s="190">
        <f t="shared" si="25"/>
        <v>264250</v>
      </c>
      <c r="Z37" s="190">
        <f t="shared" si="25"/>
        <v>77167.75</v>
      </c>
      <c r="AA37" s="190">
        <f t="shared" si="25"/>
        <v>37682.25</v>
      </c>
      <c r="AB37" s="190">
        <f t="shared" si="25"/>
        <v>0</v>
      </c>
      <c r="AC37" s="190">
        <f t="shared" si="25"/>
        <v>0</v>
      </c>
      <c r="AD37" s="190">
        <f t="shared" si="25"/>
        <v>0</v>
      </c>
      <c r="AE37" s="190">
        <f t="shared" si="25"/>
        <v>0</v>
      </c>
      <c r="AF37" s="190">
        <f t="shared" si="25"/>
        <v>0</v>
      </c>
      <c r="AG37" s="190">
        <f t="shared" si="25"/>
        <v>0</v>
      </c>
      <c r="AH37" s="190">
        <f t="shared" si="25"/>
        <v>0</v>
      </c>
      <c r="AI37" s="190">
        <f t="shared" si="25"/>
        <v>0</v>
      </c>
      <c r="AJ37" s="190">
        <f t="shared" si="25"/>
        <v>0</v>
      </c>
      <c r="AK37" s="190">
        <f t="shared" si="25"/>
        <v>0</v>
      </c>
      <c r="AL37" s="190">
        <f t="shared" si="25"/>
        <v>0</v>
      </c>
      <c r="AM37" s="190">
        <f t="shared" si="25"/>
        <v>0</v>
      </c>
      <c r="AN37" s="190">
        <f t="shared" si="25"/>
        <v>0</v>
      </c>
      <c r="AO37" s="190">
        <f t="shared" si="25"/>
        <v>0</v>
      </c>
      <c r="AP37" s="190">
        <f t="shared" si="25"/>
        <v>0</v>
      </c>
      <c r="AQ37" s="190">
        <f t="shared" si="25"/>
        <v>0</v>
      </c>
      <c r="AR37" s="190">
        <f t="shared" si="25"/>
        <v>0</v>
      </c>
      <c r="AS37" s="190">
        <f t="shared" si="25"/>
        <v>0</v>
      </c>
      <c r="AT37" s="190">
        <f t="shared" si="25"/>
        <v>0</v>
      </c>
      <c r="AU37" s="190">
        <f t="shared" si="25"/>
        <v>0</v>
      </c>
      <c r="AV37" s="190">
        <f t="shared" si="25"/>
        <v>0</v>
      </c>
      <c r="AW37" s="190">
        <f t="shared" si="25"/>
        <v>0</v>
      </c>
      <c r="AX37" s="190">
        <f t="shared" si="25"/>
        <v>0</v>
      </c>
      <c r="AY37" s="190">
        <f t="shared" si="25"/>
        <v>0</v>
      </c>
      <c r="AZ37" s="190">
        <f t="shared" si="25"/>
        <v>0</v>
      </c>
      <c r="BA37" s="190">
        <f t="shared" si="25"/>
        <v>0</v>
      </c>
      <c r="BB37" s="190">
        <f t="shared" si="25"/>
        <v>0</v>
      </c>
      <c r="BC37" s="190">
        <f t="shared" si="25"/>
        <v>0</v>
      </c>
      <c r="BD37" s="190">
        <f t="shared" si="25"/>
        <v>0</v>
      </c>
      <c r="BE37" s="190">
        <f t="shared" si="25"/>
        <v>0</v>
      </c>
      <c r="BF37" s="190">
        <f t="shared" si="25"/>
        <v>0</v>
      </c>
      <c r="BG37" s="190">
        <f t="shared" si="25"/>
        <v>0</v>
      </c>
      <c r="BH37" s="190">
        <f t="shared" si="25"/>
        <v>0</v>
      </c>
      <c r="BI37" s="190">
        <f t="shared" si="25"/>
        <v>0</v>
      </c>
      <c r="BJ37" s="190">
        <f t="shared" si="25"/>
        <v>0</v>
      </c>
      <c r="BK37" s="190">
        <f t="shared" si="25"/>
        <v>0</v>
      </c>
      <c r="BL37" s="190">
        <f t="shared" si="25"/>
        <v>0</v>
      </c>
      <c r="BM37" s="190">
        <f t="shared" si="25"/>
        <v>0</v>
      </c>
      <c r="BN37" s="190">
        <f t="shared" si="25"/>
        <v>0</v>
      </c>
      <c r="BO37" s="190">
        <f t="shared" si="25"/>
        <v>0</v>
      </c>
      <c r="BP37" s="190">
        <f t="shared" si="25"/>
        <v>0</v>
      </c>
      <c r="BQ37" s="190">
        <f t="shared" ref="BQ37:CB37" si="26">BQ32+BQ33</f>
        <v>0</v>
      </c>
      <c r="BR37" s="190">
        <f t="shared" si="26"/>
        <v>0</v>
      </c>
      <c r="BS37" s="190">
        <f t="shared" si="26"/>
        <v>0</v>
      </c>
      <c r="BT37" s="190">
        <f t="shared" si="26"/>
        <v>0</v>
      </c>
      <c r="BU37" s="190">
        <f t="shared" si="26"/>
        <v>0</v>
      </c>
      <c r="BV37" s="190">
        <f t="shared" si="26"/>
        <v>0</v>
      </c>
      <c r="BW37" s="190">
        <f t="shared" si="26"/>
        <v>0</v>
      </c>
      <c r="BX37" s="190">
        <f t="shared" si="26"/>
        <v>0</v>
      </c>
      <c r="BY37" s="190">
        <f t="shared" si="26"/>
        <v>0</v>
      </c>
      <c r="BZ37" s="190">
        <f t="shared" si="26"/>
        <v>0</v>
      </c>
      <c r="CA37" s="190">
        <f t="shared" si="26"/>
        <v>0</v>
      </c>
      <c r="CB37" s="190">
        <f t="shared" si="26"/>
        <v>0</v>
      </c>
    </row>
    <row r="38" spans="1:80" ht="13.5" customHeight="1">
      <c r="A38" s="175">
        <v>35</v>
      </c>
      <c r="B38" s="15" t="s">
        <v>436</v>
      </c>
      <c r="C38" s="4" t="s">
        <v>377</v>
      </c>
      <c r="D38" s="4" t="s">
        <v>846</v>
      </c>
      <c r="E38" s="183">
        <f>SUMIF(F5:CH5,"no",F38:CH38)</f>
        <v>12786755</v>
      </c>
      <c r="F38" s="190">
        <f>F34+F35</f>
        <v>712666</v>
      </c>
      <c r="G38" s="190">
        <f t="shared" ref="G38:BP38" si="27">G34+G35</f>
        <v>1050252</v>
      </c>
      <c r="H38" s="190">
        <f t="shared" si="27"/>
        <v>1049552</v>
      </c>
      <c r="I38" s="190">
        <f t="shared" si="27"/>
        <v>328928</v>
      </c>
      <c r="J38" s="190">
        <f t="shared" si="27"/>
        <v>995627</v>
      </c>
      <c r="K38" s="190">
        <f t="shared" si="27"/>
        <v>970634</v>
      </c>
      <c r="L38" s="190">
        <f t="shared" si="27"/>
        <v>982474</v>
      </c>
      <c r="M38" s="190">
        <f t="shared" si="27"/>
        <v>437860</v>
      </c>
      <c r="N38" s="190">
        <f t="shared" si="27"/>
        <v>0</v>
      </c>
      <c r="O38" s="190">
        <f t="shared" si="27"/>
        <v>692442</v>
      </c>
      <c r="P38" s="190">
        <f t="shared" si="27"/>
        <v>1111644</v>
      </c>
      <c r="Q38" s="190">
        <f t="shared" si="27"/>
        <v>1209934</v>
      </c>
      <c r="R38" s="190">
        <f t="shared" si="27"/>
        <v>324776</v>
      </c>
      <c r="S38" s="190">
        <f t="shared" si="27"/>
        <v>902892</v>
      </c>
      <c r="T38" s="190">
        <f t="shared" si="27"/>
        <v>738310</v>
      </c>
      <c r="U38" s="190">
        <f t="shared" si="27"/>
        <v>224843</v>
      </c>
      <c r="V38" s="190">
        <f t="shared" si="27"/>
        <v>0</v>
      </c>
      <c r="W38" s="190">
        <f t="shared" si="27"/>
        <v>294357</v>
      </c>
      <c r="X38" s="190">
        <f t="shared" si="27"/>
        <v>0</v>
      </c>
      <c r="Y38" s="190">
        <f t="shared" si="27"/>
        <v>496340</v>
      </c>
      <c r="Z38" s="190">
        <f t="shared" si="27"/>
        <v>183001.75</v>
      </c>
      <c r="AA38" s="190">
        <f t="shared" si="27"/>
        <v>80222.25</v>
      </c>
      <c r="AB38" s="190">
        <f t="shared" si="27"/>
        <v>0</v>
      </c>
      <c r="AC38" s="190">
        <f t="shared" si="27"/>
        <v>0</v>
      </c>
      <c r="AD38" s="190">
        <f t="shared" si="27"/>
        <v>0</v>
      </c>
      <c r="AE38" s="190">
        <f t="shared" si="27"/>
        <v>0</v>
      </c>
      <c r="AF38" s="190">
        <f t="shared" si="27"/>
        <v>0</v>
      </c>
      <c r="AG38" s="190">
        <f t="shared" si="27"/>
        <v>0</v>
      </c>
      <c r="AH38" s="190">
        <f t="shared" si="27"/>
        <v>0</v>
      </c>
      <c r="AI38" s="190">
        <f t="shared" si="27"/>
        <v>0</v>
      </c>
      <c r="AJ38" s="190">
        <f t="shared" si="27"/>
        <v>0</v>
      </c>
      <c r="AK38" s="190">
        <f t="shared" si="27"/>
        <v>0</v>
      </c>
      <c r="AL38" s="190">
        <f t="shared" si="27"/>
        <v>0</v>
      </c>
      <c r="AM38" s="190">
        <f t="shared" si="27"/>
        <v>0</v>
      </c>
      <c r="AN38" s="190">
        <f t="shared" si="27"/>
        <v>0</v>
      </c>
      <c r="AO38" s="190">
        <f t="shared" si="27"/>
        <v>0</v>
      </c>
      <c r="AP38" s="190">
        <f t="shared" si="27"/>
        <v>0</v>
      </c>
      <c r="AQ38" s="190">
        <f t="shared" si="27"/>
        <v>0</v>
      </c>
      <c r="AR38" s="190">
        <f t="shared" si="27"/>
        <v>0</v>
      </c>
      <c r="AS38" s="190">
        <f t="shared" si="27"/>
        <v>0</v>
      </c>
      <c r="AT38" s="190">
        <f t="shared" si="27"/>
        <v>0</v>
      </c>
      <c r="AU38" s="190">
        <f t="shared" si="27"/>
        <v>0</v>
      </c>
      <c r="AV38" s="190">
        <f t="shared" si="27"/>
        <v>0</v>
      </c>
      <c r="AW38" s="190">
        <f t="shared" si="27"/>
        <v>0</v>
      </c>
      <c r="AX38" s="190">
        <f t="shared" si="27"/>
        <v>0</v>
      </c>
      <c r="AY38" s="190">
        <f t="shared" si="27"/>
        <v>0</v>
      </c>
      <c r="AZ38" s="190">
        <f t="shared" si="27"/>
        <v>0</v>
      </c>
      <c r="BA38" s="190">
        <f t="shared" si="27"/>
        <v>0</v>
      </c>
      <c r="BB38" s="190">
        <f t="shared" si="27"/>
        <v>0</v>
      </c>
      <c r="BC38" s="190">
        <f t="shared" si="27"/>
        <v>0</v>
      </c>
      <c r="BD38" s="190">
        <f t="shared" si="27"/>
        <v>0</v>
      </c>
      <c r="BE38" s="190">
        <f t="shared" si="27"/>
        <v>0</v>
      </c>
      <c r="BF38" s="190">
        <f t="shared" si="27"/>
        <v>0</v>
      </c>
      <c r="BG38" s="190">
        <f t="shared" si="27"/>
        <v>0</v>
      </c>
      <c r="BH38" s="190">
        <f t="shared" si="27"/>
        <v>0</v>
      </c>
      <c r="BI38" s="190">
        <f t="shared" si="27"/>
        <v>0</v>
      </c>
      <c r="BJ38" s="190">
        <f t="shared" si="27"/>
        <v>0</v>
      </c>
      <c r="BK38" s="190">
        <f t="shared" si="27"/>
        <v>0</v>
      </c>
      <c r="BL38" s="190">
        <f t="shared" si="27"/>
        <v>0</v>
      </c>
      <c r="BM38" s="190">
        <f t="shared" si="27"/>
        <v>0</v>
      </c>
      <c r="BN38" s="190">
        <f t="shared" si="27"/>
        <v>0</v>
      </c>
      <c r="BO38" s="190">
        <f t="shared" si="27"/>
        <v>0</v>
      </c>
      <c r="BP38" s="190">
        <f t="shared" si="27"/>
        <v>0</v>
      </c>
      <c r="BQ38" s="190">
        <f t="shared" ref="BQ38:CB38" si="28">BQ34+BQ35</f>
        <v>0</v>
      </c>
      <c r="BR38" s="190">
        <f t="shared" si="28"/>
        <v>0</v>
      </c>
      <c r="BS38" s="190">
        <f t="shared" si="28"/>
        <v>0</v>
      </c>
      <c r="BT38" s="190">
        <f t="shared" si="28"/>
        <v>0</v>
      </c>
      <c r="BU38" s="190">
        <f t="shared" si="28"/>
        <v>0</v>
      </c>
      <c r="BV38" s="190">
        <f t="shared" si="28"/>
        <v>0</v>
      </c>
      <c r="BW38" s="190">
        <f t="shared" si="28"/>
        <v>0</v>
      </c>
      <c r="BX38" s="190">
        <f t="shared" si="28"/>
        <v>0</v>
      </c>
      <c r="BY38" s="190">
        <f t="shared" si="28"/>
        <v>0</v>
      </c>
      <c r="BZ38" s="190">
        <f t="shared" si="28"/>
        <v>0</v>
      </c>
      <c r="CA38" s="190">
        <f t="shared" si="28"/>
        <v>0</v>
      </c>
      <c r="CB38" s="190">
        <f t="shared" si="28"/>
        <v>0</v>
      </c>
    </row>
    <row r="39" spans="1:80" ht="13.5" customHeight="1">
      <c r="A39" s="175">
        <v>36</v>
      </c>
      <c r="B39" s="15" t="s">
        <v>442</v>
      </c>
      <c r="C39" s="4" t="s">
        <v>377</v>
      </c>
      <c r="D39" s="4" t="s">
        <v>846</v>
      </c>
      <c r="E39" s="183">
        <f t="shared" ref="E39:F39" si="29">E38+E37</f>
        <v>17798236</v>
      </c>
      <c r="F39" s="190">
        <f t="shared" si="29"/>
        <v>851731</v>
      </c>
      <c r="G39" s="190">
        <f t="shared" ref="G39:BP39" si="30">G38+G37</f>
        <v>1724718</v>
      </c>
      <c r="H39" s="190">
        <f t="shared" si="30"/>
        <v>1349044</v>
      </c>
      <c r="I39" s="190">
        <f t="shared" si="30"/>
        <v>387904</v>
      </c>
      <c r="J39" s="190">
        <f t="shared" si="30"/>
        <v>1162598</v>
      </c>
      <c r="K39" s="190">
        <f t="shared" si="30"/>
        <v>1212388</v>
      </c>
      <c r="L39" s="190">
        <f t="shared" si="30"/>
        <v>1297162</v>
      </c>
      <c r="M39" s="190">
        <f t="shared" si="30"/>
        <v>621216</v>
      </c>
      <c r="N39" s="190">
        <f t="shared" si="30"/>
        <v>0</v>
      </c>
      <c r="O39" s="190">
        <f t="shared" si="30"/>
        <v>939689</v>
      </c>
      <c r="P39" s="190">
        <f t="shared" si="30"/>
        <v>1510222</v>
      </c>
      <c r="Q39" s="190">
        <f t="shared" si="30"/>
        <v>1678812</v>
      </c>
      <c r="R39" s="190">
        <f t="shared" si="30"/>
        <v>505163</v>
      </c>
      <c r="S39" s="190">
        <f t="shared" si="30"/>
        <v>1416594</v>
      </c>
      <c r="T39" s="190">
        <f t="shared" si="30"/>
        <v>1144779</v>
      </c>
      <c r="U39" s="190">
        <f t="shared" si="30"/>
        <v>371496</v>
      </c>
      <c r="V39" s="190">
        <f t="shared" si="30"/>
        <v>0</v>
      </c>
      <c r="W39" s="190">
        <f t="shared" si="30"/>
        <v>486056</v>
      </c>
      <c r="X39" s="190">
        <f t="shared" si="30"/>
        <v>0</v>
      </c>
      <c r="Y39" s="190">
        <f t="shared" si="30"/>
        <v>760590</v>
      </c>
      <c r="Z39" s="190">
        <f t="shared" si="30"/>
        <v>260169.5</v>
      </c>
      <c r="AA39" s="190">
        <f t="shared" si="30"/>
        <v>117904.5</v>
      </c>
      <c r="AB39" s="190">
        <f t="shared" si="30"/>
        <v>0</v>
      </c>
      <c r="AC39" s="190">
        <f t="shared" si="30"/>
        <v>0</v>
      </c>
      <c r="AD39" s="190">
        <f t="shared" si="30"/>
        <v>0</v>
      </c>
      <c r="AE39" s="190">
        <f t="shared" si="30"/>
        <v>0</v>
      </c>
      <c r="AF39" s="190">
        <f t="shared" si="30"/>
        <v>0</v>
      </c>
      <c r="AG39" s="190">
        <f t="shared" si="30"/>
        <v>0</v>
      </c>
      <c r="AH39" s="190">
        <f t="shared" si="30"/>
        <v>0</v>
      </c>
      <c r="AI39" s="190">
        <f t="shared" si="30"/>
        <v>0</v>
      </c>
      <c r="AJ39" s="190">
        <f t="shared" si="30"/>
        <v>0</v>
      </c>
      <c r="AK39" s="190">
        <f t="shared" si="30"/>
        <v>0</v>
      </c>
      <c r="AL39" s="190">
        <f t="shared" si="30"/>
        <v>0</v>
      </c>
      <c r="AM39" s="190">
        <f t="shared" si="30"/>
        <v>0</v>
      </c>
      <c r="AN39" s="190">
        <f t="shared" si="30"/>
        <v>0</v>
      </c>
      <c r="AO39" s="190">
        <f t="shared" si="30"/>
        <v>0</v>
      </c>
      <c r="AP39" s="190">
        <f t="shared" si="30"/>
        <v>0</v>
      </c>
      <c r="AQ39" s="190">
        <f t="shared" si="30"/>
        <v>0</v>
      </c>
      <c r="AR39" s="190">
        <f t="shared" si="30"/>
        <v>0</v>
      </c>
      <c r="AS39" s="190">
        <f t="shared" si="30"/>
        <v>0</v>
      </c>
      <c r="AT39" s="190">
        <f t="shared" si="30"/>
        <v>0</v>
      </c>
      <c r="AU39" s="190">
        <f t="shared" si="30"/>
        <v>0</v>
      </c>
      <c r="AV39" s="190">
        <f t="shared" si="30"/>
        <v>0</v>
      </c>
      <c r="AW39" s="190">
        <f t="shared" si="30"/>
        <v>0</v>
      </c>
      <c r="AX39" s="190">
        <f t="shared" si="30"/>
        <v>0</v>
      </c>
      <c r="AY39" s="190">
        <f t="shared" si="30"/>
        <v>0</v>
      </c>
      <c r="AZ39" s="190">
        <f t="shared" si="30"/>
        <v>0</v>
      </c>
      <c r="BA39" s="190">
        <f t="shared" si="30"/>
        <v>0</v>
      </c>
      <c r="BB39" s="190">
        <f t="shared" si="30"/>
        <v>0</v>
      </c>
      <c r="BC39" s="190">
        <f t="shared" si="30"/>
        <v>0</v>
      </c>
      <c r="BD39" s="190">
        <f t="shared" si="30"/>
        <v>0</v>
      </c>
      <c r="BE39" s="190">
        <f t="shared" si="30"/>
        <v>0</v>
      </c>
      <c r="BF39" s="190">
        <f t="shared" si="30"/>
        <v>0</v>
      </c>
      <c r="BG39" s="190">
        <f t="shared" si="30"/>
        <v>0</v>
      </c>
      <c r="BH39" s="190">
        <f t="shared" si="30"/>
        <v>0</v>
      </c>
      <c r="BI39" s="190">
        <f t="shared" si="30"/>
        <v>0</v>
      </c>
      <c r="BJ39" s="190">
        <f t="shared" si="30"/>
        <v>0</v>
      </c>
      <c r="BK39" s="190">
        <f t="shared" si="30"/>
        <v>0</v>
      </c>
      <c r="BL39" s="190">
        <f t="shared" si="30"/>
        <v>0</v>
      </c>
      <c r="BM39" s="190">
        <f t="shared" si="30"/>
        <v>0</v>
      </c>
      <c r="BN39" s="190">
        <f t="shared" si="30"/>
        <v>0</v>
      </c>
      <c r="BO39" s="190">
        <f t="shared" si="30"/>
        <v>0</v>
      </c>
      <c r="BP39" s="190">
        <f t="shared" si="30"/>
        <v>0</v>
      </c>
      <c r="BQ39" s="190">
        <f t="shared" ref="BQ39:CB39" si="31">BQ38+BQ37</f>
        <v>0</v>
      </c>
      <c r="BR39" s="190">
        <f t="shared" si="31"/>
        <v>0</v>
      </c>
      <c r="BS39" s="190">
        <f t="shared" si="31"/>
        <v>0</v>
      </c>
      <c r="BT39" s="190">
        <f t="shared" si="31"/>
        <v>0</v>
      </c>
      <c r="BU39" s="190">
        <f t="shared" si="31"/>
        <v>0</v>
      </c>
      <c r="BV39" s="190">
        <f t="shared" si="31"/>
        <v>0</v>
      </c>
      <c r="BW39" s="190">
        <f t="shared" si="31"/>
        <v>0</v>
      </c>
      <c r="BX39" s="190">
        <f t="shared" si="31"/>
        <v>0</v>
      </c>
      <c r="BY39" s="190">
        <f t="shared" si="31"/>
        <v>0</v>
      </c>
      <c r="BZ39" s="190">
        <f t="shared" si="31"/>
        <v>0</v>
      </c>
      <c r="CA39" s="190">
        <f t="shared" si="31"/>
        <v>0</v>
      </c>
      <c r="CB39" s="190">
        <f t="shared" si="31"/>
        <v>0</v>
      </c>
    </row>
    <row r="40" spans="1:80" ht="13.5" customHeight="1">
      <c r="A40" s="350">
        <v>37</v>
      </c>
      <c r="B40" s="185" t="s">
        <v>920</v>
      </c>
      <c r="C40" s="4" t="s">
        <v>846</v>
      </c>
      <c r="D40" s="4" t="s">
        <v>846</v>
      </c>
      <c r="E40" s="180" t="s">
        <v>846</v>
      </c>
      <c r="F40" s="5" t="s">
        <v>846</v>
      </c>
      <c r="G40" s="5" t="s">
        <v>846</v>
      </c>
      <c r="H40" s="5" t="s">
        <v>846</v>
      </c>
      <c r="I40" s="5" t="s">
        <v>846</v>
      </c>
      <c r="J40" s="5" t="s">
        <v>846</v>
      </c>
      <c r="K40" s="5" t="s">
        <v>846</v>
      </c>
      <c r="L40" s="5" t="s">
        <v>846</v>
      </c>
      <c r="M40" s="5" t="s">
        <v>846</v>
      </c>
      <c r="N40" s="5" t="s">
        <v>846</v>
      </c>
      <c r="O40" s="5" t="s">
        <v>846</v>
      </c>
      <c r="P40" s="5" t="s">
        <v>846</v>
      </c>
      <c r="Q40" s="5" t="s">
        <v>846</v>
      </c>
      <c r="R40" s="5" t="s">
        <v>846</v>
      </c>
      <c r="S40" s="5" t="s">
        <v>846</v>
      </c>
      <c r="T40" s="5" t="s">
        <v>846</v>
      </c>
      <c r="U40" s="5" t="s">
        <v>846</v>
      </c>
      <c r="V40" s="5" t="s">
        <v>846</v>
      </c>
      <c r="W40" s="5" t="s">
        <v>846</v>
      </c>
      <c r="X40" s="5" t="s">
        <v>846</v>
      </c>
      <c r="Y40" s="5" t="s">
        <v>846</v>
      </c>
      <c r="Z40" s="5" t="s">
        <v>846</v>
      </c>
      <c r="AA40" s="5" t="s">
        <v>846</v>
      </c>
      <c r="AB40" s="5" t="s">
        <v>846</v>
      </c>
      <c r="AC40" s="5" t="s">
        <v>846</v>
      </c>
      <c r="AD40" s="5" t="s">
        <v>846</v>
      </c>
      <c r="AE40" s="5" t="s">
        <v>846</v>
      </c>
      <c r="AF40" s="5" t="s">
        <v>846</v>
      </c>
      <c r="AG40" s="5" t="s">
        <v>846</v>
      </c>
      <c r="AH40" s="5" t="s">
        <v>846</v>
      </c>
      <c r="AI40" s="5" t="s">
        <v>846</v>
      </c>
      <c r="AJ40" s="5" t="s">
        <v>846</v>
      </c>
      <c r="AK40" s="5" t="s">
        <v>846</v>
      </c>
      <c r="AL40" s="5" t="s">
        <v>846</v>
      </c>
      <c r="AM40" s="5" t="s">
        <v>846</v>
      </c>
      <c r="AN40" s="5" t="s">
        <v>846</v>
      </c>
      <c r="AO40" s="5" t="s">
        <v>846</v>
      </c>
      <c r="AP40" s="5" t="s">
        <v>846</v>
      </c>
      <c r="AQ40" s="5" t="s">
        <v>846</v>
      </c>
      <c r="AR40" s="5" t="s">
        <v>846</v>
      </c>
      <c r="AS40" s="5" t="s">
        <v>846</v>
      </c>
      <c r="AT40" s="5" t="s">
        <v>846</v>
      </c>
      <c r="AU40" s="5" t="s">
        <v>846</v>
      </c>
      <c r="AV40" s="5" t="s">
        <v>846</v>
      </c>
      <c r="AW40" s="5" t="s">
        <v>846</v>
      </c>
      <c r="AX40" s="5" t="s">
        <v>846</v>
      </c>
      <c r="AY40" s="5" t="s">
        <v>846</v>
      </c>
      <c r="AZ40" s="5" t="s">
        <v>846</v>
      </c>
      <c r="BA40" s="5" t="s">
        <v>846</v>
      </c>
      <c r="BB40" s="5" t="s">
        <v>846</v>
      </c>
      <c r="BC40" s="5" t="s">
        <v>846</v>
      </c>
      <c r="BD40" s="5" t="s">
        <v>846</v>
      </c>
      <c r="BE40" s="5" t="s">
        <v>846</v>
      </c>
      <c r="BF40" s="5" t="s">
        <v>846</v>
      </c>
      <c r="BG40" s="5" t="s">
        <v>846</v>
      </c>
      <c r="BH40" s="5" t="s">
        <v>846</v>
      </c>
      <c r="BI40" s="5" t="s">
        <v>846</v>
      </c>
      <c r="BJ40" s="5" t="s">
        <v>846</v>
      </c>
      <c r="BK40" s="5" t="s">
        <v>846</v>
      </c>
      <c r="BL40" s="5" t="s">
        <v>846</v>
      </c>
      <c r="BM40" s="5" t="s">
        <v>846</v>
      </c>
      <c r="BN40" s="5" t="s">
        <v>846</v>
      </c>
      <c r="BO40" s="5" t="s">
        <v>846</v>
      </c>
      <c r="BP40" s="5" t="s">
        <v>846</v>
      </c>
      <c r="BQ40" s="5" t="s">
        <v>846</v>
      </c>
      <c r="BR40" s="5" t="s">
        <v>846</v>
      </c>
      <c r="BS40" s="5" t="s">
        <v>846</v>
      </c>
      <c r="BT40" s="5" t="s">
        <v>846</v>
      </c>
      <c r="BU40" s="5" t="s">
        <v>846</v>
      </c>
      <c r="BV40" s="5" t="s">
        <v>846</v>
      </c>
      <c r="BW40" s="5" t="s">
        <v>846</v>
      </c>
      <c r="BX40" s="5" t="s">
        <v>846</v>
      </c>
      <c r="BY40" s="5" t="s">
        <v>846</v>
      </c>
      <c r="BZ40" s="5" t="s">
        <v>846</v>
      </c>
      <c r="CA40" s="5" t="s">
        <v>846</v>
      </c>
      <c r="CB40" s="5" t="s">
        <v>846</v>
      </c>
    </row>
    <row r="41" spans="1:80" s="23" customFormat="1" ht="13.5" customHeight="1">
      <c r="A41" s="175">
        <v>38</v>
      </c>
      <c r="B41" s="15" t="s">
        <v>921</v>
      </c>
      <c r="C41" s="182" t="s">
        <v>901</v>
      </c>
      <c r="D41" s="4" t="s">
        <v>846</v>
      </c>
      <c r="E41" s="180" t="s">
        <v>846</v>
      </c>
      <c r="F41" s="200">
        <v>501000</v>
      </c>
      <c r="G41" s="200">
        <v>117000</v>
      </c>
      <c r="H41" s="200">
        <v>366000</v>
      </c>
      <c r="I41" s="200">
        <v>162100</v>
      </c>
      <c r="J41" s="200">
        <v>646000</v>
      </c>
      <c r="K41" s="200">
        <v>412000</v>
      </c>
      <c r="L41" s="200">
        <v>220000</v>
      </c>
      <c r="M41" s="200">
        <v>434000</v>
      </c>
      <c r="N41" s="200" t="s">
        <v>414</v>
      </c>
      <c r="O41" s="200">
        <v>436000</v>
      </c>
      <c r="P41" s="200">
        <v>420000</v>
      </c>
      <c r="Q41" s="200">
        <v>565000</v>
      </c>
      <c r="R41" s="200">
        <v>389000</v>
      </c>
      <c r="S41" s="200">
        <v>418000</v>
      </c>
      <c r="T41" s="200">
        <v>267000</v>
      </c>
      <c r="U41" s="200">
        <v>267000</v>
      </c>
      <c r="V41" s="200" t="s">
        <v>414</v>
      </c>
      <c r="W41" s="200">
        <v>655000</v>
      </c>
      <c r="X41" s="200" t="s">
        <v>521</v>
      </c>
      <c r="Y41" s="200" t="s">
        <v>521</v>
      </c>
      <c r="Z41" s="200">
        <v>655000</v>
      </c>
      <c r="AA41" s="200">
        <v>655000</v>
      </c>
      <c r="AB41" s="200"/>
      <c r="AC41" s="200"/>
      <c r="AD41" s="200"/>
      <c r="AE41" s="200"/>
      <c r="AF41" s="200"/>
      <c r="AG41" s="200"/>
      <c r="AH41" s="200"/>
      <c r="AI41" s="200"/>
      <c r="AJ41" s="200"/>
      <c r="AK41" s="200"/>
      <c r="AL41" s="200"/>
      <c r="AM41" s="200"/>
      <c r="AN41" s="200"/>
      <c r="AO41" s="200"/>
      <c r="AP41" s="200"/>
      <c r="AQ41" s="200"/>
      <c r="AR41" s="200"/>
      <c r="AS41" s="200"/>
      <c r="AT41" s="200"/>
      <c r="AU41" s="200"/>
      <c r="AV41" s="200"/>
      <c r="AW41" s="200"/>
      <c r="AX41" s="200"/>
      <c r="AY41" s="200"/>
      <c r="AZ41" s="200"/>
      <c r="BA41" s="200"/>
      <c r="BB41" s="200"/>
      <c r="BC41" s="200"/>
      <c r="BD41" s="200"/>
      <c r="BE41" s="200"/>
      <c r="BF41" s="200"/>
      <c r="BG41" s="200"/>
      <c r="BH41" s="200"/>
      <c r="BI41" s="200"/>
      <c r="BJ41" s="200"/>
      <c r="BK41" s="200"/>
      <c r="BL41" s="200"/>
      <c r="BM41" s="200"/>
      <c r="BN41" s="200"/>
      <c r="BO41" s="200"/>
      <c r="BP41" s="200"/>
      <c r="BQ41" s="200"/>
      <c r="BR41" s="200"/>
      <c r="BS41" s="200"/>
      <c r="BT41" s="200"/>
      <c r="BU41" s="200"/>
      <c r="BV41" s="200"/>
      <c r="BW41" s="200"/>
      <c r="BX41" s="200"/>
      <c r="BY41" s="200"/>
      <c r="BZ41" s="200"/>
      <c r="CA41" s="200"/>
      <c r="CB41" s="200"/>
    </row>
    <row r="42" spans="1:80" s="23" customFormat="1" ht="13.5" customHeight="1">
      <c r="A42" s="175">
        <v>39</v>
      </c>
      <c r="B42" s="13" t="s">
        <v>922</v>
      </c>
      <c r="C42" s="4" t="s">
        <v>399</v>
      </c>
      <c r="D42" s="4" t="s">
        <v>846</v>
      </c>
      <c r="E42" s="180" t="s">
        <v>846</v>
      </c>
      <c r="F42" s="197" t="s">
        <v>923</v>
      </c>
      <c r="G42" s="197" t="s">
        <v>924</v>
      </c>
      <c r="H42" s="197" t="s">
        <v>925</v>
      </c>
      <c r="I42" s="197" t="s">
        <v>926</v>
      </c>
      <c r="J42" s="197" t="s">
        <v>927</v>
      </c>
      <c r="K42" s="197" t="s">
        <v>928</v>
      </c>
      <c r="L42" s="197" t="s">
        <v>929</v>
      </c>
      <c r="M42" s="197" t="s">
        <v>930</v>
      </c>
      <c r="N42" s="197" t="s">
        <v>414</v>
      </c>
      <c r="O42" s="197" t="s">
        <v>931</v>
      </c>
      <c r="P42" s="197" t="s">
        <v>932</v>
      </c>
      <c r="Q42" s="197" t="s">
        <v>933</v>
      </c>
      <c r="R42" s="197" t="s">
        <v>934</v>
      </c>
      <c r="S42" s="197" t="s">
        <v>935</v>
      </c>
      <c r="T42" s="197" t="s">
        <v>936</v>
      </c>
      <c r="U42" s="197" t="s">
        <v>936</v>
      </c>
      <c r="V42" s="197" t="s">
        <v>414</v>
      </c>
      <c r="W42" s="197" t="s">
        <v>937</v>
      </c>
      <c r="X42" s="197" t="s">
        <v>521</v>
      </c>
      <c r="Y42" s="197" t="s">
        <v>521</v>
      </c>
      <c r="Z42" s="197" t="s">
        <v>937</v>
      </c>
      <c r="AA42" s="197" t="s">
        <v>937</v>
      </c>
      <c r="AB42" s="197"/>
      <c r="AC42" s="197"/>
      <c r="AD42" s="197"/>
      <c r="AE42" s="197"/>
      <c r="AF42" s="197"/>
      <c r="AG42" s="197"/>
      <c r="AH42" s="197"/>
      <c r="AI42" s="197"/>
      <c r="AJ42" s="197"/>
      <c r="AK42" s="197"/>
      <c r="AL42" s="197"/>
      <c r="AM42" s="197"/>
      <c r="AN42" s="197"/>
      <c r="AO42" s="197"/>
      <c r="AP42" s="197"/>
      <c r="AQ42" s="197"/>
      <c r="AR42" s="197"/>
      <c r="AS42" s="197"/>
      <c r="AT42" s="197"/>
      <c r="AU42" s="197"/>
      <c r="AV42" s="197"/>
      <c r="AW42" s="197"/>
      <c r="AX42" s="197"/>
      <c r="AY42" s="197"/>
      <c r="AZ42" s="197"/>
      <c r="BA42" s="197"/>
      <c r="BB42" s="197"/>
      <c r="BC42" s="197"/>
      <c r="BD42" s="197"/>
      <c r="BE42" s="197"/>
      <c r="BF42" s="197"/>
      <c r="BG42" s="197"/>
      <c r="BH42" s="197"/>
      <c r="BI42" s="197"/>
      <c r="BJ42" s="197"/>
      <c r="BK42" s="197"/>
      <c r="BL42" s="197"/>
      <c r="BM42" s="197"/>
      <c r="BN42" s="197"/>
      <c r="BO42" s="197"/>
      <c r="BP42" s="197"/>
      <c r="BQ42" s="197"/>
      <c r="BR42" s="197"/>
      <c r="BS42" s="197"/>
      <c r="BT42" s="197"/>
      <c r="BU42" s="197"/>
      <c r="BV42" s="197"/>
      <c r="BW42" s="197"/>
      <c r="BX42" s="197"/>
      <c r="BY42" s="197"/>
      <c r="BZ42" s="197"/>
      <c r="CA42" s="197"/>
      <c r="CB42" s="197"/>
    </row>
    <row r="43" spans="1:80" ht="13.5" customHeight="1">
      <c r="A43" s="350">
        <v>40</v>
      </c>
      <c r="B43" s="176" t="s">
        <v>938</v>
      </c>
      <c r="C43" s="4" t="s">
        <v>846</v>
      </c>
      <c r="D43" s="4" t="s">
        <v>846</v>
      </c>
      <c r="E43" s="180" t="s">
        <v>846</v>
      </c>
      <c r="F43" s="5" t="s">
        <v>846</v>
      </c>
      <c r="G43" s="5" t="s">
        <v>846</v>
      </c>
      <c r="H43" s="5" t="s">
        <v>846</v>
      </c>
      <c r="I43" s="5" t="s">
        <v>846</v>
      </c>
      <c r="J43" s="5" t="s">
        <v>846</v>
      </c>
      <c r="K43" s="5" t="s">
        <v>846</v>
      </c>
      <c r="L43" s="5" t="s">
        <v>846</v>
      </c>
      <c r="M43" s="5" t="s">
        <v>846</v>
      </c>
      <c r="N43" s="5" t="s">
        <v>846</v>
      </c>
      <c r="O43" s="5" t="s">
        <v>846</v>
      </c>
      <c r="P43" s="5" t="s">
        <v>846</v>
      </c>
      <c r="Q43" s="5" t="s">
        <v>846</v>
      </c>
      <c r="R43" s="5" t="s">
        <v>846</v>
      </c>
      <c r="S43" s="5" t="s">
        <v>846</v>
      </c>
      <c r="T43" s="5" t="s">
        <v>846</v>
      </c>
      <c r="U43" s="5" t="s">
        <v>846</v>
      </c>
      <c r="V43" s="5" t="s">
        <v>846</v>
      </c>
      <c r="W43" s="5" t="s">
        <v>846</v>
      </c>
      <c r="X43" s="5" t="s">
        <v>846</v>
      </c>
      <c r="Y43" s="5" t="s">
        <v>846</v>
      </c>
      <c r="Z43" s="5" t="s">
        <v>846</v>
      </c>
      <c r="AA43" s="5" t="s">
        <v>846</v>
      </c>
      <c r="AB43" s="5" t="s">
        <v>846</v>
      </c>
      <c r="AC43" s="5" t="s">
        <v>846</v>
      </c>
      <c r="AD43" s="5" t="s">
        <v>846</v>
      </c>
      <c r="AE43" s="5" t="s">
        <v>846</v>
      </c>
      <c r="AF43" s="5" t="s">
        <v>846</v>
      </c>
      <c r="AG43" s="5" t="s">
        <v>846</v>
      </c>
      <c r="AH43" s="5" t="s">
        <v>846</v>
      </c>
      <c r="AI43" s="5" t="s">
        <v>846</v>
      </c>
      <c r="AJ43" s="5" t="s">
        <v>846</v>
      </c>
      <c r="AK43" s="5" t="s">
        <v>846</v>
      </c>
      <c r="AL43" s="5" t="s">
        <v>846</v>
      </c>
      <c r="AM43" s="5" t="s">
        <v>846</v>
      </c>
      <c r="AN43" s="5" t="s">
        <v>846</v>
      </c>
      <c r="AO43" s="5" t="s">
        <v>846</v>
      </c>
      <c r="AP43" s="5" t="s">
        <v>846</v>
      </c>
      <c r="AQ43" s="5" t="s">
        <v>846</v>
      </c>
      <c r="AR43" s="5" t="s">
        <v>846</v>
      </c>
      <c r="AS43" s="5" t="s">
        <v>846</v>
      </c>
      <c r="AT43" s="5" t="s">
        <v>846</v>
      </c>
      <c r="AU43" s="5" t="s">
        <v>846</v>
      </c>
      <c r="AV43" s="5" t="s">
        <v>846</v>
      </c>
      <c r="AW43" s="5" t="s">
        <v>846</v>
      </c>
      <c r="AX43" s="5" t="s">
        <v>846</v>
      </c>
      <c r="AY43" s="5" t="s">
        <v>846</v>
      </c>
      <c r="AZ43" s="5" t="s">
        <v>846</v>
      </c>
      <c r="BA43" s="5" t="s">
        <v>846</v>
      </c>
      <c r="BB43" s="5" t="s">
        <v>846</v>
      </c>
      <c r="BC43" s="5" t="s">
        <v>846</v>
      </c>
      <c r="BD43" s="5" t="s">
        <v>846</v>
      </c>
      <c r="BE43" s="5" t="s">
        <v>846</v>
      </c>
      <c r="BF43" s="5" t="s">
        <v>846</v>
      </c>
      <c r="BG43" s="5" t="s">
        <v>846</v>
      </c>
      <c r="BH43" s="5" t="s">
        <v>846</v>
      </c>
      <c r="BI43" s="5" t="s">
        <v>846</v>
      </c>
      <c r="BJ43" s="5" t="s">
        <v>846</v>
      </c>
      <c r="BK43" s="5" t="s">
        <v>846</v>
      </c>
      <c r="BL43" s="5" t="s">
        <v>846</v>
      </c>
      <c r="BM43" s="5" t="s">
        <v>846</v>
      </c>
      <c r="BN43" s="5" t="s">
        <v>846</v>
      </c>
      <c r="BO43" s="5" t="s">
        <v>846</v>
      </c>
      <c r="BP43" s="5" t="s">
        <v>846</v>
      </c>
      <c r="BQ43" s="5" t="s">
        <v>846</v>
      </c>
      <c r="BR43" s="5" t="s">
        <v>846</v>
      </c>
      <c r="BS43" s="5" t="s">
        <v>846</v>
      </c>
      <c r="BT43" s="5" t="s">
        <v>846</v>
      </c>
      <c r="BU43" s="5" t="s">
        <v>846</v>
      </c>
      <c r="BV43" s="5" t="s">
        <v>846</v>
      </c>
      <c r="BW43" s="5" t="s">
        <v>846</v>
      </c>
      <c r="BX43" s="5" t="s">
        <v>846</v>
      </c>
      <c r="BY43" s="5" t="s">
        <v>846</v>
      </c>
      <c r="BZ43" s="5" t="s">
        <v>846</v>
      </c>
      <c r="CA43" s="5" t="s">
        <v>846</v>
      </c>
      <c r="CB43" s="5" t="s">
        <v>846</v>
      </c>
    </row>
    <row r="44" spans="1:80" s="23" customFormat="1" ht="13.5" customHeight="1">
      <c r="A44" s="175">
        <v>41</v>
      </c>
      <c r="B44" s="191" t="s">
        <v>939</v>
      </c>
      <c r="C44" s="192" t="s">
        <v>940</v>
      </c>
      <c r="D44" s="4" t="s">
        <v>846</v>
      </c>
      <c r="E44" s="193"/>
      <c r="F44" s="202">
        <v>6.5000000000000002E-2</v>
      </c>
      <c r="G44" s="202">
        <v>6.8000000000000005E-2</v>
      </c>
      <c r="H44" s="202">
        <v>7.4999999999999997E-2</v>
      </c>
      <c r="I44" s="202">
        <v>5.8000000000000003E-2</v>
      </c>
      <c r="J44" s="202">
        <v>5.8999999999999997E-2</v>
      </c>
      <c r="K44" s="202">
        <v>6.0999999999999999E-2</v>
      </c>
      <c r="L44" s="202">
        <v>6.5000000000000002E-2</v>
      </c>
      <c r="M44" s="202">
        <v>7.4999999999999997E-2</v>
      </c>
      <c r="N44" s="202" t="s">
        <v>414</v>
      </c>
      <c r="O44" s="202">
        <v>5.8999999999999997E-2</v>
      </c>
      <c r="P44" s="202">
        <v>6.0999999999999999E-2</v>
      </c>
      <c r="Q44" s="202">
        <v>6.5000000000000002E-2</v>
      </c>
      <c r="R44" s="202">
        <v>6.8000000000000005E-2</v>
      </c>
      <c r="S44" s="202">
        <v>7.4999999999999997E-2</v>
      </c>
      <c r="T44" s="202">
        <v>5.8000000000000003E-2</v>
      </c>
      <c r="U44" s="202">
        <v>5.8000000000000003E-2</v>
      </c>
      <c r="V44" s="202" t="s">
        <v>414</v>
      </c>
      <c r="W44" s="202">
        <v>6.8000000000000005E-2</v>
      </c>
      <c r="X44" s="202">
        <v>5.8999999999999997E-2</v>
      </c>
      <c r="Y44" s="202"/>
      <c r="Z44" s="202">
        <v>0.05</v>
      </c>
      <c r="AA44" s="202">
        <v>0.05</v>
      </c>
      <c r="AB44" s="202">
        <v>0.08</v>
      </c>
      <c r="AC44" s="202">
        <v>0.08</v>
      </c>
      <c r="AD44" s="202"/>
      <c r="AE44" s="202"/>
      <c r="AF44" s="202"/>
      <c r="AG44" s="202"/>
      <c r="AH44" s="202"/>
      <c r="AI44" s="202"/>
      <c r="AJ44" s="202"/>
      <c r="AK44" s="202"/>
      <c r="AL44" s="202"/>
      <c r="AM44" s="202"/>
      <c r="AN44" s="202"/>
      <c r="AO44" s="202"/>
      <c r="AP44" s="202"/>
      <c r="AQ44" s="202"/>
      <c r="AR44" s="202"/>
      <c r="AS44" s="202"/>
      <c r="AT44" s="202"/>
      <c r="AU44" s="202"/>
      <c r="AV44" s="202"/>
      <c r="AW44" s="202"/>
      <c r="AX44" s="202"/>
      <c r="AY44" s="202"/>
      <c r="AZ44" s="202"/>
      <c r="BA44" s="202"/>
      <c r="BB44" s="202"/>
      <c r="BC44" s="202"/>
      <c r="BD44" s="202"/>
      <c r="BE44" s="202"/>
      <c r="BF44" s="202"/>
      <c r="BG44" s="202"/>
      <c r="BH44" s="202"/>
      <c r="BI44" s="202"/>
      <c r="BJ44" s="202"/>
      <c r="BK44" s="202"/>
      <c r="BL44" s="202"/>
      <c r="BM44" s="202"/>
      <c r="BN44" s="202"/>
      <c r="BO44" s="202"/>
      <c r="BP44" s="202"/>
      <c r="BQ44" s="202"/>
      <c r="BR44" s="202"/>
      <c r="BS44" s="202"/>
      <c r="BT44" s="202"/>
      <c r="BU44" s="202"/>
      <c r="BV44" s="202"/>
      <c r="BW44" s="202"/>
      <c r="BX44" s="202"/>
      <c r="BY44" s="202"/>
      <c r="BZ44" s="202"/>
      <c r="CA44" s="202"/>
      <c r="CB44" s="202"/>
    </row>
    <row r="45" spans="1:80" s="23" customFormat="1" ht="13.5" customHeight="1">
      <c r="A45" s="175">
        <v>42</v>
      </c>
      <c r="B45" s="191" t="s">
        <v>941</v>
      </c>
      <c r="C45" s="4" t="s">
        <v>377</v>
      </c>
      <c r="D45" s="4" t="s">
        <v>848</v>
      </c>
      <c r="E45" s="183">
        <f>SUMIF(F5:CH5,"no",F45:CH45)</f>
        <v>6684000000</v>
      </c>
      <c r="F45" s="200">
        <f>IFERROR(ROUND(F53/F44,-6),0)</f>
        <v>340000000</v>
      </c>
      <c r="G45" s="200">
        <f t="shared" ref="G45:O45" si="32">IFERROR(ROUND(G53/G44,-6),0)</f>
        <v>547000000</v>
      </c>
      <c r="H45" s="200">
        <f t="shared" si="32"/>
        <v>488000000</v>
      </c>
      <c r="I45" s="200">
        <f t="shared" si="32"/>
        <v>156000000</v>
      </c>
      <c r="J45" s="200">
        <f t="shared" si="32"/>
        <v>570000000</v>
      </c>
      <c r="K45" s="200">
        <f t="shared" si="32"/>
        <v>609000000</v>
      </c>
      <c r="L45" s="200">
        <f t="shared" si="32"/>
        <v>458000000</v>
      </c>
      <c r="M45" s="200">
        <f t="shared" si="32"/>
        <v>246000000</v>
      </c>
      <c r="N45" s="200">
        <f t="shared" si="32"/>
        <v>0</v>
      </c>
      <c r="O45" s="200">
        <f t="shared" si="32"/>
        <v>381000000</v>
      </c>
      <c r="P45" s="200">
        <f>IFERROR(ROUND(P53/P44,-6),0)</f>
        <v>498000000</v>
      </c>
      <c r="Q45" s="200">
        <f t="shared" ref="Q45" si="33">IFERROR(ROUND(Q53/Q44,-6),0)</f>
        <v>555000000</v>
      </c>
      <c r="R45" s="200">
        <f t="shared" ref="R45" si="34">IFERROR(ROUND(R53/R44,-6),0)</f>
        <v>228000000</v>
      </c>
      <c r="S45" s="200">
        <f t="shared" ref="S45" si="35">IFERROR(ROUND(S53/S44,-6),0)</f>
        <v>572000000</v>
      </c>
      <c r="T45" s="200">
        <f t="shared" ref="T45" si="36">IFERROR(ROUND(T53/T44,-6),0)</f>
        <v>511000000</v>
      </c>
      <c r="U45" s="200">
        <f t="shared" ref="U45" si="37">IFERROR(ROUND(U53/U44,-6),0)</f>
        <v>178000000</v>
      </c>
      <c r="V45" s="200">
        <f t="shared" ref="V45" si="38">IFERROR(ROUND(V53/V44,-6),0)</f>
        <v>0</v>
      </c>
      <c r="W45" s="200">
        <f t="shared" ref="W45" si="39">IFERROR(ROUND(W53/W44,-6),0)</f>
        <v>153000000</v>
      </c>
      <c r="X45" s="200">
        <f t="shared" ref="X45:AB45" si="40">IFERROR(ROUND(X53/X44,-6),0)</f>
        <v>7000000</v>
      </c>
      <c r="Y45" s="200">
        <v>70000000</v>
      </c>
      <c r="Z45" s="200">
        <f t="shared" si="40"/>
        <v>79000000</v>
      </c>
      <c r="AA45" s="200">
        <f t="shared" si="40"/>
        <v>38000000</v>
      </c>
      <c r="AB45" s="200">
        <f t="shared" si="40"/>
        <v>0</v>
      </c>
      <c r="AC45" s="200">
        <f t="shared" ref="AC45" si="41">IFERROR(ROUND(AC53/AC44,-6),0)</f>
        <v>0</v>
      </c>
      <c r="AD45" s="200">
        <f t="shared" ref="AD45" si="42">IFERROR(ROUND(AD53/AD44,-6),0)</f>
        <v>0</v>
      </c>
      <c r="AE45" s="200">
        <f t="shared" ref="AE45" si="43">IFERROR(ROUND(AE53/AE44,-6),0)</f>
        <v>0</v>
      </c>
      <c r="AF45" s="200">
        <f t="shared" ref="AF45" si="44">IFERROR(ROUND(AF53/AF44,-6),0)</f>
        <v>0</v>
      </c>
      <c r="AG45" s="200">
        <f t="shared" ref="AG45" si="45">IFERROR(ROUND(AG53/AG44,-6),0)</f>
        <v>0</v>
      </c>
      <c r="AH45" s="200">
        <f t="shared" ref="AH45" si="46">IFERROR(ROUND(AH53/AH44,-6),0)</f>
        <v>0</v>
      </c>
      <c r="AI45" s="200">
        <f t="shared" ref="AI45" si="47">IFERROR(ROUND(AI53/AI44,-6),0)</f>
        <v>0</v>
      </c>
      <c r="AJ45" s="200">
        <f t="shared" ref="AJ45" si="48">IFERROR(ROUND(AJ53/AJ44,-6),0)</f>
        <v>0</v>
      </c>
      <c r="AK45" s="200">
        <f t="shared" ref="AK45" si="49">IFERROR(ROUND(AK53/AK44,-6),0)</f>
        <v>0</v>
      </c>
      <c r="AL45" s="200">
        <f t="shared" ref="AL45" si="50">IFERROR(ROUND(AL53/AL44,-6),0)</f>
        <v>0</v>
      </c>
      <c r="AM45" s="200">
        <f t="shared" ref="AM45" si="51">IFERROR(ROUND(AM53/AM44,-6),0)</f>
        <v>0</v>
      </c>
      <c r="AN45" s="200">
        <f t="shared" ref="AN45" si="52">IFERROR(ROUND(AN53/AN44,-6),0)</f>
        <v>0</v>
      </c>
      <c r="AO45" s="200">
        <f t="shared" ref="AO45" si="53">IFERROR(ROUND(AO53/AO44,-6),0)</f>
        <v>0</v>
      </c>
      <c r="AP45" s="200">
        <f t="shared" ref="AP45" si="54">IFERROR(ROUND(AP53/AP44,-6),0)</f>
        <v>0</v>
      </c>
      <c r="AQ45" s="200">
        <f t="shared" ref="AQ45" si="55">IFERROR(ROUND(AQ53/AQ44,-6),0)</f>
        <v>0</v>
      </c>
      <c r="AR45" s="200">
        <f t="shared" ref="AR45" si="56">IFERROR(ROUND(AR53/AR44,-6),0)</f>
        <v>0</v>
      </c>
      <c r="AS45" s="200">
        <f t="shared" ref="AS45" si="57">IFERROR(ROUND(AS53/AS44,-6),0)</f>
        <v>0</v>
      </c>
      <c r="AT45" s="200">
        <f t="shared" ref="AT45" si="58">IFERROR(ROUND(AT53/AT44,-6),0)</f>
        <v>0</v>
      </c>
      <c r="AU45" s="200">
        <f t="shared" ref="AU45" si="59">IFERROR(ROUND(AU53/AU44,-6),0)</f>
        <v>0</v>
      </c>
      <c r="AV45" s="200">
        <f t="shared" ref="AV45" si="60">IFERROR(ROUND(AV53/AV44,-6),0)</f>
        <v>0</v>
      </c>
      <c r="AW45" s="200">
        <f t="shared" ref="AW45" si="61">IFERROR(ROUND(AW53/AW44,-6),0)</f>
        <v>0</v>
      </c>
      <c r="AX45" s="200">
        <f t="shared" ref="AX45" si="62">IFERROR(ROUND(AX53/AX44,-6),0)</f>
        <v>0</v>
      </c>
      <c r="AY45" s="200">
        <f t="shared" ref="AY45" si="63">IFERROR(ROUND(AY53/AY44,-6),0)</f>
        <v>0</v>
      </c>
      <c r="AZ45" s="200">
        <f t="shared" ref="AZ45" si="64">IFERROR(ROUND(AZ53/AZ44,-6),0)</f>
        <v>0</v>
      </c>
      <c r="BA45" s="200">
        <f t="shared" ref="BA45" si="65">IFERROR(ROUND(BA53/BA44,-6),0)</f>
        <v>0</v>
      </c>
      <c r="BB45" s="200">
        <f t="shared" ref="BB45" si="66">IFERROR(ROUND(BB53/BB44,-6),0)</f>
        <v>0</v>
      </c>
      <c r="BC45" s="200">
        <f t="shared" ref="BC45" si="67">IFERROR(ROUND(BC53/BC44,-6),0)</f>
        <v>0</v>
      </c>
      <c r="BD45" s="200">
        <f t="shared" ref="BD45" si="68">IFERROR(ROUND(BD53/BD44,-6),0)</f>
        <v>0</v>
      </c>
      <c r="BE45" s="200">
        <f t="shared" ref="BE45" si="69">IFERROR(ROUND(BE53/BE44,-6),0)</f>
        <v>0</v>
      </c>
      <c r="BF45" s="200">
        <f t="shared" ref="BF45" si="70">IFERROR(ROUND(BF53/BF44,-6),0)</f>
        <v>0</v>
      </c>
      <c r="BG45" s="200">
        <f t="shared" ref="BG45" si="71">IFERROR(ROUND(BG53/BG44,-6),0)</f>
        <v>0</v>
      </c>
      <c r="BH45" s="200">
        <f t="shared" ref="BH45" si="72">IFERROR(ROUND(BH53/BH44,-6),0)</f>
        <v>0</v>
      </c>
      <c r="BI45" s="200">
        <f t="shared" ref="BI45" si="73">IFERROR(ROUND(BI53/BI44,-6),0)</f>
        <v>0</v>
      </c>
      <c r="BJ45" s="200">
        <f t="shared" ref="BJ45" si="74">IFERROR(ROUND(BJ53/BJ44,-6),0)</f>
        <v>0</v>
      </c>
      <c r="BK45" s="200">
        <f t="shared" ref="BK45" si="75">IFERROR(ROUND(BK53/BK44,-6),0)</f>
        <v>0</v>
      </c>
      <c r="BL45" s="200">
        <f t="shared" ref="BL45" si="76">IFERROR(ROUND(BL53/BL44,-6),0)</f>
        <v>0</v>
      </c>
      <c r="BM45" s="200">
        <f t="shared" ref="BM45" si="77">IFERROR(ROUND(BM53/BM44,-6),0)</f>
        <v>0</v>
      </c>
      <c r="BN45" s="200">
        <f t="shared" ref="BN45" si="78">IFERROR(ROUND(BN53/BN44,-6),0)</f>
        <v>0</v>
      </c>
      <c r="BO45" s="200">
        <f t="shared" ref="BO45" si="79">IFERROR(ROUND(BO53/BO44,-6),0)</f>
        <v>0</v>
      </c>
      <c r="BP45" s="200">
        <f t="shared" ref="BP45" si="80">IFERROR(ROUND(BP53/BP44,-6),0)</f>
        <v>0</v>
      </c>
      <c r="BQ45" s="200">
        <f t="shared" ref="BQ45" si="81">IFERROR(ROUND(BQ53/BQ44,-6),0)</f>
        <v>0</v>
      </c>
      <c r="BR45" s="200">
        <f t="shared" ref="BR45" si="82">IFERROR(ROUND(BR53/BR44,-6),0)</f>
        <v>0</v>
      </c>
      <c r="BS45" s="200">
        <f t="shared" ref="BS45" si="83">IFERROR(ROUND(BS53/BS44,-6),0)</f>
        <v>0</v>
      </c>
      <c r="BT45" s="200">
        <f t="shared" ref="BT45" si="84">IFERROR(ROUND(BT53/BT44,-6),0)</f>
        <v>0</v>
      </c>
      <c r="BU45" s="200">
        <f t="shared" ref="BU45" si="85">IFERROR(ROUND(BU53/BU44,-6),0)</f>
        <v>0</v>
      </c>
      <c r="BV45" s="200">
        <f t="shared" ref="BV45" si="86">IFERROR(ROUND(BV53/BV44,-6),0)</f>
        <v>0</v>
      </c>
      <c r="BW45" s="200">
        <f t="shared" ref="BW45" si="87">IFERROR(ROUND(BW53/BW44,-6),0)</f>
        <v>0</v>
      </c>
      <c r="BX45" s="200">
        <f t="shared" ref="BX45" si="88">IFERROR(ROUND(BX53/BX44,-6),0)</f>
        <v>0</v>
      </c>
      <c r="BY45" s="200">
        <f t="shared" ref="BY45" si="89">IFERROR(ROUND(BY53/BY44,-6),0)</f>
        <v>0</v>
      </c>
      <c r="BZ45" s="200">
        <f t="shared" ref="BZ45" si="90">IFERROR(ROUND(BZ53/BZ44,-6),0)</f>
        <v>0</v>
      </c>
      <c r="CA45" s="200">
        <f t="shared" ref="CA45" si="91">IFERROR(ROUND(CA53/CA44,-6),0)</f>
        <v>0</v>
      </c>
      <c r="CB45" s="200">
        <f t="shared" ref="CB45" si="92">IFERROR(ROUND(CB53/CB44,-6),0)</f>
        <v>0</v>
      </c>
    </row>
    <row r="46" spans="1:80" ht="13.5" customHeight="1">
      <c r="A46" s="348">
        <v>43</v>
      </c>
      <c r="B46" s="173" t="s">
        <v>942</v>
      </c>
      <c r="C46" s="4" t="s">
        <v>846</v>
      </c>
      <c r="D46" s="4" t="s">
        <v>846</v>
      </c>
      <c r="E46" s="180" t="s">
        <v>846</v>
      </c>
      <c r="F46" s="5" t="s">
        <v>846</v>
      </c>
      <c r="G46" s="5" t="s">
        <v>846</v>
      </c>
      <c r="H46" s="5" t="s">
        <v>846</v>
      </c>
      <c r="I46" s="5" t="s">
        <v>846</v>
      </c>
      <c r="J46" s="5" t="s">
        <v>846</v>
      </c>
      <c r="K46" s="5" t="s">
        <v>846</v>
      </c>
      <c r="L46" s="5" t="s">
        <v>846</v>
      </c>
      <c r="M46" s="5" t="s">
        <v>846</v>
      </c>
      <c r="N46" s="5" t="s">
        <v>846</v>
      </c>
      <c r="O46" s="5" t="s">
        <v>846</v>
      </c>
      <c r="P46" s="5" t="s">
        <v>846</v>
      </c>
      <c r="Q46" s="5" t="s">
        <v>846</v>
      </c>
      <c r="R46" s="5" t="s">
        <v>846</v>
      </c>
      <c r="S46" s="5" t="s">
        <v>846</v>
      </c>
      <c r="T46" s="5" t="s">
        <v>846</v>
      </c>
      <c r="U46" s="5" t="s">
        <v>846</v>
      </c>
      <c r="V46" s="5" t="s">
        <v>846</v>
      </c>
      <c r="W46" s="5" t="s">
        <v>846</v>
      </c>
      <c r="X46" s="5" t="s">
        <v>846</v>
      </c>
      <c r="Y46" s="5" t="s">
        <v>846</v>
      </c>
      <c r="Z46" s="5" t="s">
        <v>846</v>
      </c>
      <c r="AA46" s="5" t="s">
        <v>846</v>
      </c>
      <c r="AB46" s="5" t="s">
        <v>846</v>
      </c>
      <c r="AC46" s="5" t="s">
        <v>846</v>
      </c>
      <c r="AD46" s="5" t="s">
        <v>846</v>
      </c>
      <c r="AE46" s="5" t="s">
        <v>846</v>
      </c>
      <c r="AF46" s="5" t="s">
        <v>846</v>
      </c>
      <c r="AG46" s="5" t="s">
        <v>846</v>
      </c>
      <c r="AH46" s="5" t="s">
        <v>846</v>
      </c>
      <c r="AI46" s="5" t="s">
        <v>846</v>
      </c>
      <c r="AJ46" s="5" t="s">
        <v>846</v>
      </c>
      <c r="AK46" s="5" t="s">
        <v>846</v>
      </c>
      <c r="AL46" s="5" t="s">
        <v>846</v>
      </c>
      <c r="AM46" s="5" t="s">
        <v>846</v>
      </c>
      <c r="AN46" s="5" t="s">
        <v>846</v>
      </c>
      <c r="AO46" s="5" t="s">
        <v>846</v>
      </c>
      <c r="AP46" s="5" t="s">
        <v>846</v>
      </c>
      <c r="AQ46" s="5" t="s">
        <v>846</v>
      </c>
      <c r="AR46" s="5" t="s">
        <v>846</v>
      </c>
      <c r="AS46" s="5" t="s">
        <v>846</v>
      </c>
      <c r="AT46" s="5" t="s">
        <v>846</v>
      </c>
      <c r="AU46" s="5" t="s">
        <v>846</v>
      </c>
      <c r="AV46" s="5" t="s">
        <v>846</v>
      </c>
      <c r="AW46" s="5" t="s">
        <v>846</v>
      </c>
      <c r="AX46" s="5" t="s">
        <v>846</v>
      </c>
      <c r="AY46" s="5" t="s">
        <v>846</v>
      </c>
      <c r="AZ46" s="5" t="s">
        <v>846</v>
      </c>
      <c r="BA46" s="5" t="s">
        <v>846</v>
      </c>
      <c r="BB46" s="5" t="s">
        <v>846</v>
      </c>
      <c r="BC46" s="5" t="s">
        <v>846</v>
      </c>
      <c r="BD46" s="5" t="s">
        <v>846</v>
      </c>
      <c r="BE46" s="5" t="s">
        <v>846</v>
      </c>
      <c r="BF46" s="5" t="s">
        <v>846</v>
      </c>
      <c r="BG46" s="5" t="s">
        <v>846</v>
      </c>
      <c r="BH46" s="5" t="s">
        <v>846</v>
      </c>
      <c r="BI46" s="5" t="s">
        <v>846</v>
      </c>
      <c r="BJ46" s="5" t="s">
        <v>846</v>
      </c>
      <c r="BK46" s="5" t="s">
        <v>846</v>
      </c>
      <c r="BL46" s="5" t="s">
        <v>846</v>
      </c>
      <c r="BM46" s="5" t="s">
        <v>846</v>
      </c>
      <c r="BN46" s="5" t="s">
        <v>846</v>
      </c>
      <c r="BO46" s="5" t="s">
        <v>846</v>
      </c>
      <c r="BP46" s="5" t="s">
        <v>846</v>
      </c>
      <c r="BQ46" s="5" t="s">
        <v>846</v>
      </c>
      <c r="BR46" s="5" t="s">
        <v>846</v>
      </c>
      <c r="BS46" s="5" t="s">
        <v>846</v>
      </c>
      <c r="BT46" s="5" t="s">
        <v>846</v>
      </c>
      <c r="BU46" s="5" t="s">
        <v>846</v>
      </c>
      <c r="BV46" s="5" t="s">
        <v>846</v>
      </c>
      <c r="BW46" s="5" t="s">
        <v>846</v>
      </c>
      <c r="BX46" s="5" t="s">
        <v>846</v>
      </c>
      <c r="BY46" s="5" t="s">
        <v>846</v>
      </c>
      <c r="BZ46" s="5" t="s">
        <v>846</v>
      </c>
      <c r="CA46" s="5" t="s">
        <v>846</v>
      </c>
      <c r="CB46" s="5" t="s">
        <v>846</v>
      </c>
    </row>
    <row r="47" spans="1:80" s="23" customFormat="1" ht="13.5" customHeight="1">
      <c r="A47" s="175">
        <v>44</v>
      </c>
      <c r="B47" s="13" t="s">
        <v>943</v>
      </c>
      <c r="C47" s="4" t="s">
        <v>399</v>
      </c>
      <c r="D47" s="4" t="s">
        <v>846</v>
      </c>
      <c r="E47" s="180" t="s">
        <v>846</v>
      </c>
      <c r="F47" s="197" t="s">
        <v>944</v>
      </c>
      <c r="G47" s="197" t="s">
        <v>945</v>
      </c>
      <c r="H47" s="197" t="s">
        <v>944</v>
      </c>
      <c r="I47" s="197" t="s">
        <v>944</v>
      </c>
      <c r="J47" s="197" t="s">
        <v>944</v>
      </c>
      <c r="K47" s="197" t="s">
        <v>944</v>
      </c>
      <c r="L47" s="197" t="s">
        <v>944</v>
      </c>
      <c r="M47" s="197" t="s">
        <v>944</v>
      </c>
      <c r="N47" s="197" t="s">
        <v>414</v>
      </c>
      <c r="O47" s="197" t="s">
        <v>944</v>
      </c>
      <c r="P47" s="197" t="s">
        <v>944</v>
      </c>
      <c r="Q47" s="197" t="s">
        <v>944</v>
      </c>
      <c r="R47" s="197" t="s">
        <v>944</v>
      </c>
      <c r="S47" s="197" t="s">
        <v>944</v>
      </c>
      <c r="T47" s="197" t="s">
        <v>946</v>
      </c>
      <c r="U47" s="197" t="s">
        <v>946</v>
      </c>
      <c r="V47" s="197" t="s">
        <v>414</v>
      </c>
      <c r="W47" s="197" t="s">
        <v>944</v>
      </c>
      <c r="X47" s="197" t="s">
        <v>945</v>
      </c>
      <c r="Y47" s="197" t="s">
        <v>945</v>
      </c>
      <c r="Z47" s="197" t="s">
        <v>945</v>
      </c>
      <c r="AA47" s="197" t="s">
        <v>945</v>
      </c>
      <c r="AB47" s="197" t="inlineStr">
        <is>
          <t>大学生協</t>
        </is>
      </c>
      <c r="AC47" s="197" t="inlineStr">
        <is>
          <t>不動産管理トラステン合同会社</t>
        </is>
      </c>
      <c r="AD47" s="197"/>
      <c r="AE47" s="197"/>
      <c r="AF47" s="197"/>
      <c r="AG47" s="197"/>
      <c r="AH47" s="197"/>
      <c r="AI47" s="197"/>
      <c r="AJ47" s="197"/>
      <c r="AK47" s="197"/>
      <c r="AL47" s="197"/>
      <c r="AM47" s="197"/>
      <c r="AN47" s="197"/>
      <c r="AO47" s="197"/>
      <c r="AP47" s="197"/>
      <c r="AQ47" s="197"/>
      <c r="AR47" s="197"/>
      <c r="AS47" s="197"/>
      <c r="AT47" s="197"/>
      <c r="AU47" s="197"/>
      <c r="AV47" s="197"/>
      <c r="AW47" s="197"/>
      <c r="AX47" s="197"/>
      <c r="AY47" s="197"/>
      <c r="AZ47" s="197"/>
      <c r="BA47" s="197"/>
      <c r="BB47" s="197"/>
      <c r="BC47" s="197"/>
      <c r="BD47" s="197"/>
      <c r="BE47" s="197"/>
      <c r="BF47" s="197"/>
      <c r="BG47" s="197"/>
      <c r="BH47" s="197"/>
      <c r="BI47" s="197"/>
      <c r="BJ47" s="197"/>
      <c r="BK47" s="197"/>
      <c r="BL47" s="197"/>
      <c r="BM47" s="197"/>
      <c r="BN47" s="197"/>
      <c r="BO47" s="197"/>
      <c r="BP47" s="197"/>
      <c r="BQ47" s="197"/>
      <c r="BR47" s="197"/>
      <c r="BS47" s="197"/>
      <c r="BT47" s="197"/>
      <c r="BU47" s="197"/>
      <c r="BV47" s="197"/>
      <c r="BW47" s="197"/>
      <c r="BX47" s="197"/>
      <c r="BY47" s="197"/>
      <c r="BZ47" s="197"/>
      <c r="CA47" s="197"/>
      <c r="CB47" s="197"/>
    </row>
    <row r="48" spans="1:80" s="23" customFormat="1" ht="13.5" customHeight="1">
      <c r="A48" s="175">
        <v>45</v>
      </c>
      <c r="B48" s="191" t="s">
        <v>947</v>
      </c>
      <c r="C48" s="192" t="s">
        <v>940</v>
      </c>
      <c r="D48" s="4" t="s">
        <v>848</v>
      </c>
      <c r="E48" s="180" t="s">
        <v>846</v>
      </c>
      <c r="F48" s="202">
        <v>5.5E-2</v>
      </c>
      <c r="G48" s="202">
        <v>4.4999999999999998E-2</v>
      </c>
      <c r="H48" s="202">
        <v>5.5E-2</v>
      </c>
      <c r="I48" s="202">
        <v>5.5E-2</v>
      </c>
      <c r="J48" s="202">
        <v>5.5E-2</v>
      </c>
      <c r="K48" s="202">
        <v>5.5E-2</v>
      </c>
      <c r="L48" s="202">
        <v>5.5E-2</v>
      </c>
      <c r="M48" s="202">
        <v>5.5E-2</v>
      </c>
      <c r="N48" s="202" t="s">
        <v>414</v>
      </c>
      <c r="O48" s="202">
        <v>5.5E-2</v>
      </c>
      <c r="P48" s="202">
        <v>5.5E-2</v>
      </c>
      <c r="Q48" s="202">
        <v>5.5E-2</v>
      </c>
      <c r="R48" s="202">
        <v>5.5E-2</v>
      </c>
      <c r="S48" s="202">
        <v>5.5E-2</v>
      </c>
      <c r="T48" s="202">
        <v>5.5E-2</v>
      </c>
      <c r="U48" s="202">
        <v>5.5E-2</v>
      </c>
      <c r="V48" s="202" t="s">
        <v>414</v>
      </c>
      <c r="W48" s="202">
        <v>5.5E-2</v>
      </c>
      <c r="X48" s="202">
        <v>0</v>
      </c>
      <c r="Y48" s="202">
        <v>0</v>
      </c>
      <c r="Z48" s="202">
        <v>0</v>
      </c>
      <c r="AA48" s="202">
        <v>0</v>
      </c>
      <c r="AB48" s="202">
        <v>0.055</v>
      </c>
      <c r="AC48" s="202">
        <v>0.055</v>
      </c>
      <c r="AD48" s="202"/>
      <c r="AE48" s="202"/>
      <c r="AF48" s="202"/>
      <c r="AG48" s="202"/>
      <c r="AH48" s="202"/>
      <c r="AI48" s="202"/>
      <c r="AJ48" s="202"/>
      <c r="AK48" s="202"/>
      <c r="AL48" s="202"/>
      <c r="AM48" s="202"/>
      <c r="AN48" s="202"/>
      <c r="AO48" s="202"/>
      <c r="AP48" s="202"/>
      <c r="AQ48" s="202"/>
      <c r="AR48" s="202"/>
      <c r="AS48" s="202"/>
      <c r="AT48" s="202"/>
      <c r="AU48" s="202"/>
      <c r="AV48" s="202"/>
      <c r="AW48" s="202"/>
      <c r="AX48" s="202"/>
      <c r="AY48" s="202"/>
      <c r="AZ48" s="202"/>
      <c r="BA48" s="202"/>
      <c r="BB48" s="202"/>
      <c r="BC48" s="202"/>
      <c r="BD48" s="202"/>
      <c r="BE48" s="202"/>
      <c r="BF48" s="202"/>
      <c r="BG48" s="202"/>
      <c r="BH48" s="202"/>
      <c r="BI48" s="202"/>
      <c r="BJ48" s="202"/>
      <c r="BK48" s="202"/>
      <c r="BL48" s="202"/>
      <c r="BM48" s="202"/>
      <c r="BN48" s="202"/>
      <c r="BO48" s="202"/>
      <c r="BP48" s="202"/>
      <c r="BQ48" s="202"/>
      <c r="BR48" s="202"/>
      <c r="BS48" s="202"/>
      <c r="BT48" s="202"/>
      <c r="BU48" s="202"/>
      <c r="BV48" s="202"/>
      <c r="BW48" s="202"/>
      <c r="BX48" s="202"/>
      <c r="BY48" s="202"/>
      <c r="BZ48" s="202"/>
      <c r="CA48" s="202"/>
      <c r="CB48" s="202"/>
    </row>
    <row r="49" spans="1:80" s="23" customFormat="1" ht="13.5" customHeight="1">
      <c r="A49" s="175">
        <v>46</v>
      </c>
      <c r="B49" s="191" t="s">
        <v>948</v>
      </c>
      <c r="C49" s="4" t="s">
        <v>949</v>
      </c>
      <c r="D49" s="4" t="s">
        <v>848</v>
      </c>
      <c r="E49" s="180" t="s">
        <v>846</v>
      </c>
      <c r="F49" s="197">
        <v>3</v>
      </c>
      <c r="G49" s="197">
        <v>3</v>
      </c>
      <c r="H49" s="197">
        <v>3</v>
      </c>
      <c r="I49" s="197">
        <v>3</v>
      </c>
      <c r="J49" s="197">
        <v>3</v>
      </c>
      <c r="K49" s="197">
        <v>3</v>
      </c>
      <c r="L49" s="197">
        <v>3</v>
      </c>
      <c r="M49" s="197">
        <v>3</v>
      </c>
      <c r="N49" s="197" t="s">
        <v>414</v>
      </c>
      <c r="O49" s="197">
        <v>3</v>
      </c>
      <c r="P49" s="197">
        <v>3</v>
      </c>
      <c r="Q49" s="197">
        <v>3</v>
      </c>
      <c r="R49" s="197">
        <v>3</v>
      </c>
      <c r="S49" s="197">
        <v>3</v>
      </c>
      <c r="T49" s="197">
        <v>3</v>
      </c>
      <c r="U49" s="197">
        <v>3</v>
      </c>
      <c r="V49" s="197" t="s">
        <v>414</v>
      </c>
      <c r="W49" s="197">
        <v>3</v>
      </c>
      <c r="X49" s="197">
        <v>3</v>
      </c>
      <c r="Y49" s="197">
        <v>3</v>
      </c>
      <c r="Z49" s="197">
        <v>3</v>
      </c>
      <c r="AA49" s="197">
        <v>3</v>
      </c>
      <c r="AB49" s="197">
        <v>3</v>
      </c>
      <c r="AC49" s="197">
        <v>3</v>
      </c>
      <c r="AD49" s="197"/>
      <c r="AE49" s="197"/>
      <c r="AF49" s="197"/>
      <c r="AG49" s="197"/>
      <c r="AH49" s="197"/>
      <c r="AI49" s="197"/>
      <c r="AJ49" s="197"/>
      <c r="AK49" s="197"/>
      <c r="AL49" s="197"/>
      <c r="AM49" s="197"/>
      <c r="AN49" s="197"/>
      <c r="AO49" s="197"/>
      <c r="AP49" s="197"/>
      <c r="AQ49" s="197"/>
      <c r="AR49" s="197"/>
      <c r="AS49" s="197"/>
      <c r="AT49" s="197"/>
      <c r="AU49" s="197"/>
      <c r="AV49" s="197"/>
      <c r="AW49" s="197"/>
      <c r="AX49" s="197"/>
      <c r="AY49" s="197"/>
      <c r="AZ49" s="197"/>
      <c r="BA49" s="197"/>
      <c r="BB49" s="197"/>
      <c r="BC49" s="197"/>
      <c r="BD49" s="197"/>
      <c r="BE49" s="197"/>
      <c r="BF49" s="197"/>
      <c r="BG49" s="197"/>
      <c r="BH49" s="197"/>
      <c r="BI49" s="197"/>
      <c r="BJ49" s="197"/>
      <c r="BK49" s="197"/>
      <c r="BL49" s="197"/>
      <c r="BM49" s="197"/>
      <c r="BN49" s="197"/>
      <c r="BO49" s="197"/>
      <c r="BP49" s="197"/>
      <c r="BQ49" s="197"/>
      <c r="BR49" s="197"/>
      <c r="BS49" s="197"/>
      <c r="BT49" s="197"/>
      <c r="BU49" s="197"/>
      <c r="BV49" s="197"/>
      <c r="BW49" s="197"/>
      <c r="BX49" s="197"/>
      <c r="BY49" s="197"/>
      <c r="BZ49" s="197"/>
      <c r="CA49" s="197"/>
      <c r="CB49" s="197"/>
    </row>
    <row r="50" spans="1:80" s="23" customFormat="1" ht="13.5" customHeight="1">
      <c r="A50" s="175">
        <v>47</v>
      </c>
      <c r="B50" s="191" t="s">
        <v>950</v>
      </c>
      <c r="C50" s="4" t="s">
        <v>949</v>
      </c>
      <c r="D50" s="4" t="s">
        <v>848</v>
      </c>
      <c r="E50" s="180" t="s">
        <v>846</v>
      </c>
      <c r="F50" s="197">
        <v>1.7</v>
      </c>
      <c r="G50" s="197">
        <v>1.7</v>
      </c>
      <c r="H50" s="197">
        <v>1.7</v>
      </c>
      <c r="I50" s="197">
        <v>1.7</v>
      </c>
      <c r="J50" s="197">
        <v>1.7</v>
      </c>
      <c r="K50" s="197">
        <v>1.7</v>
      </c>
      <c r="L50" s="197">
        <v>1.7</v>
      </c>
      <c r="M50" s="197">
        <v>1.7</v>
      </c>
      <c r="N50" s="197" t="s">
        <v>414</v>
      </c>
      <c r="O50" s="197">
        <v>1.7</v>
      </c>
      <c r="P50" s="197">
        <v>1.7</v>
      </c>
      <c r="Q50" s="197">
        <v>1.7</v>
      </c>
      <c r="R50" s="197">
        <v>1.7</v>
      </c>
      <c r="S50" s="197">
        <v>1.7</v>
      </c>
      <c r="T50" s="197">
        <v>1.7</v>
      </c>
      <c r="U50" s="197">
        <v>1.7</v>
      </c>
      <c r="V50" s="197" t="s">
        <v>414</v>
      </c>
      <c r="W50" s="197">
        <v>1.7</v>
      </c>
      <c r="X50" s="197">
        <v>1.7</v>
      </c>
      <c r="Y50" s="197">
        <v>1.7</v>
      </c>
      <c r="Z50" s="197">
        <v>1.7</v>
      </c>
      <c r="AA50" s="197">
        <v>1.7</v>
      </c>
      <c r="AB50" s="197">
        <v>1.7</v>
      </c>
      <c r="AC50" s="197">
        <v>1.7</v>
      </c>
      <c r="AD50" s="197"/>
      <c r="AE50" s="197"/>
      <c r="AF50" s="197"/>
      <c r="AG50" s="197"/>
      <c r="AH50" s="197"/>
      <c r="AI50" s="197"/>
      <c r="AJ50" s="197"/>
      <c r="AK50" s="197"/>
      <c r="AL50" s="197"/>
      <c r="AM50" s="197"/>
      <c r="AN50" s="197"/>
      <c r="AO50" s="197"/>
      <c r="AP50" s="197"/>
      <c r="AQ50" s="197"/>
      <c r="AR50" s="197"/>
      <c r="AS50" s="197"/>
      <c r="AT50" s="197"/>
      <c r="AU50" s="197"/>
      <c r="AV50" s="197"/>
      <c r="AW50" s="197"/>
      <c r="AX50" s="197"/>
      <c r="AY50" s="197"/>
      <c r="AZ50" s="197"/>
      <c r="BA50" s="197"/>
      <c r="BB50" s="197"/>
      <c r="BC50" s="197"/>
      <c r="BD50" s="197"/>
      <c r="BE50" s="197"/>
      <c r="BF50" s="197"/>
      <c r="BG50" s="197"/>
      <c r="BH50" s="197"/>
      <c r="BI50" s="197"/>
      <c r="BJ50" s="197"/>
      <c r="BK50" s="197"/>
      <c r="BL50" s="197"/>
      <c r="BM50" s="197"/>
      <c r="BN50" s="197"/>
      <c r="BO50" s="197"/>
      <c r="BP50" s="197"/>
      <c r="BQ50" s="197"/>
      <c r="BR50" s="197"/>
      <c r="BS50" s="197"/>
      <c r="BT50" s="197"/>
      <c r="BU50" s="197"/>
      <c r="BV50" s="197"/>
      <c r="BW50" s="197"/>
      <c r="BX50" s="197"/>
      <c r="BY50" s="197"/>
      <c r="BZ50" s="197"/>
      <c r="CA50" s="197"/>
      <c r="CB50" s="197"/>
    </row>
    <row r="51" spans="1:80" s="23" customFormat="1" ht="13.5" customHeight="1">
      <c r="A51" s="175">
        <v>48</v>
      </c>
      <c r="B51" s="191" t="s">
        <v>951</v>
      </c>
      <c r="C51" s="4" t="s">
        <v>949</v>
      </c>
      <c r="D51" s="4" t="s">
        <v>848</v>
      </c>
      <c r="E51" s="180" t="s">
        <v>846</v>
      </c>
      <c r="F51" s="197">
        <v>2</v>
      </c>
      <c r="G51" s="197">
        <v>2</v>
      </c>
      <c r="H51" s="197">
        <v>2</v>
      </c>
      <c r="I51" s="197">
        <v>2</v>
      </c>
      <c r="J51" s="197">
        <v>2</v>
      </c>
      <c r="K51" s="197">
        <v>2</v>
      </c>
      <c r="L51" s="197">
        <v>2</v>
      </c>
      <c r="M51" s="197">
        <v>2</v>
      </c>
      <c r="N51" s="197" t="s">
        <v>414</v>
      </c>
      <c r="O51" s="197">
        <v>2</v>
      </c>
      <c r="P51" s="197">
        <v>2</v>
      </c>
      <c r="Q51" s="197">
        <v>2</v>
      </c>
      <c r="R51" s="197">
        <v>2</v>
      </c>
      <c r="S51" s="197">
        <v>2</v>
      </c>
      <c r="T51" s="197">
        <v>2</v>
      </c>
      <c r="U51" s="197">
        <v>2</v>
      </c>
      <c r="V51" s="197" t="s">
        <v>414</v>
      </c>
      <c r="W51" s="197">
        <v>2</v>
      </c>
      <c r="X51" s="197">
        <v>2</v>
      </c>
      <c r="Y51" s="197">
        <v>2</v>
      </c>
      <c r="Z51" s="197">
        <v>2</v>
      </c>
      <c r="AA51" s="197">
        <v>2</v>
      </c>
      <c r="AB51" s="197">
        <v>2</v>
      </c>
      <c r="AC51" s="197">
        <v>2</v>
      </c>
      <c r="AD51" s="197"/>
      <c r="AE51" s="197"/>
      <c r="AF51" s="197"/>
      <c r="AG51" s="197"/>
      <c r="AH51" s="197"/>
      <c r="AI51" s="197"/>
      <c r="AJ51" s="197"/>
      <c r="AK51" s="197"/>
      <c r="AL51" s="197"/>
      <c r="AM51" s="197"/>
      <c r="AN51" s="197"/>
      <c r="AO51" s="197"/>
      <c r="AP51" s="197"/>
      <c r="AQ51" s="197"/>
      <c r="AR51" s="197"/>
      <c r="AS51" s="197"/>
      <c r="AT51" s="197"/>
      <c r="AU51" s="197"/>
      <c r="AV51" s="197"/>
      <c r="AW51" s="197"/>
      <c r="AX51" s="197"/>
      <c r="AY51" s="197"/>
      <c r="AZ51" s="197"/>
      <c r="BA51" s="197"/>
      <c r="BB51" s="197"/>
      <c r="BC51" s="197"/>
      <c r="BD51" s="197"/>
      <c r="BE51" s="197"/>
      <c r="BF51" s="197"/>
      <c r="BG51" s="197"/>
      <c r="BH51" s="197"/>
      <c r="BI51" s="197"/>
      <c r="BJ51" s="197"/>
      <c r="BK51" s="197"/>
      <c r="BL51" s="197"/>
      <c r="BM51" s="197"/>
      <c r="BN51" s="197"/>
      <c r="BO51" s="197"/>
      <c r="BP51" s="197"/>
      <c r="BQ51" s="197"/>
      <c r="BR51" s="197"/>
      <c r="BS51" s="197"/>
      <c r="BT51" s="197"/>
      <c r="BU51" s="197"/>
      <c r="BV51" s="197"/>
      <c r="BW51" s="197"/>
      <c r="BX51" s="197"/>
      <c r="BY51" s="197"/>
      <c r="BZ51" s="197"/>
      <c r="CA51" s="197"/>
      <c r="CB51" s="197"/>
    </row>
    <row r="52" spans="1:80" s="23" customFormat="1" ht="13.5" customHeight="1">
      <c r="A52" s="175">
        <v>49</v>
      </c>
      <c r="B52" s="191" t="s">
        <v>952</v>
      </c>
      <c r="C52" s="4" t="s">
        <v>949</v>
      </c>
      <c r="D52" s="4" t="s">
        <v>848</v>
      </c>
      <c r="E52" s="180" t="s">
        <v>846</v>
      </c>
      <c r="F52" s="197">
        <v>1.5</v>
      </c>
      <c r="G52" s="197">
        <v>1.5</v>
      </c>
      <c r="H52" s="197">
        <v>1.5</v>
      </c>
      <c r="I52" s="197">
        <v>1.5</v>
      </c>
      <c r="J52" s="197">
        <v>1.5</v>
      </c>
      <c r="K52" s="197">
        <v>1.5</v>
      </c>
      <c r="L52" s="197">
        <v>1.5</v>
      </c>
      <c r="M52" s="197">
        <v>1.5</v>
      </c>
      <c r="N52" s="197" t="s">
        <v>414</v>
      </c>
      <c r="O52" s="197">
        <v>1.7</v>
      </c>
      <c r="P52" s="197">
        <v>1.7</v>
      </c>
      <c r="Q52" s="197">
        <v>1.7</v>
      </c>
      <c r="R52" s="197">
        <v>1.7</v>
      </c>
      <c r="S52" s="197">
        <v>1.7</v>
      </c>
      <c r="T52" s="197">
        <v>1.7</v>
      </c>
      <c r="U52" s="197">
        <v>1.7</v>
      </c>
      <c r="V52" s="197" t="s">
        <v>414</v>
      </c>
      <c r="W52" s="197">
        <v>2</v>
      </c>
      <c r="X52" s="197">
        <v>2</v>
      </c>
      <c r="Y52" s="197">
        <v>2</v>
      </c>
      <c r="Z52" s="197">
        <v>2</v>
      </c>
      <c r="AA52" s="197">
        <v>2</v>
      </c>
      <c r="AB52" s="197">
        <v>1.5</v>
      </c>
      <c r="AC52" s="197">
        <v>1.5</v>
      </c>
      <c r="AD52" s="197"/>
      <c r="AE52" s="197"/>
      <c r="AF52" s="197"/>
      <c r="AG52" s="197"/>
      <c r="AH52" s="197"/>
      <c r="AI52" s="197"/>
      <c r="AJ52" s="197"/>
      <c r="AK52" s="197"/>
      <c r="AL52" s="197"/>
      <c r="AM52" s="197"/>
      <c r="AN52" s="197"/>
      <c r="AO52" s="197"/>
      <c r="AP52" s="197"/>
      <c r="AQ52" s="197"/>
      <c r="AR52" s="197"/>
      <c r="AS52" s="197"/>
      <c r="AT52" s="197"/>
      <c r="AU52" s="197"/>
      <c r="AV52" s="197"/>
      <c r="AW52" s="197"/>
      <c r="AX52" s="197"/>
      <c r="AY52" s="197"/>
      <c r="AZ52" s="197"/>
      <c r="BA52" s="197"/>
      <c r="BB52" s="197"/>
      <c r="BC52" s="197"/>
      <c r="BD52" s="197"/>
      <c r="BE52" s="197"/>
      <c r="BF52" s="197"/>
      <c r="BG52" s="197"/>
      <c r="BH52" s="197"/>
      <c r="BI52" s="197"/>
      <c r="BJ52" s="197"/>
      <c r="BK52" s="197"/>
      <c r="BL52" s="197"/>
      <c r="BM52" s="197"/>
      <c r="BN52" s="197"/>
      <c r="BO52" s="197"/>
      <c r="BP52" s="197"/>
      <c r="BQ52" s="197"/>
      <c r="BR52" s="197"/>
      <c r="BS52" s="197"/>
      <c r="BT52" s="197"/>
      <c r="BU52" s="197"/>
      <c r="BV52" s="197"/>
      <c r="BW52" s="197"/>
      <c r="BX52" s="197"/>
      <c r="BY52" s="197"/>
      <c r="BZ52" s="197"/>
      <c r="CA52" s="197"/>
      <c r="CB52" s="197"/>
    </row>
    <row r="53" spans="1:80" s="23" customFormat="1" ht="13.5" customHeight="1">
      <c r="A53" s="175">
        <v>50</v>
      </c>
      <c r="B53" s="191" t="s">
        <v>953</v>
      </c>
      <c r="C53" s="4" t="s">
        <v>377</v>
      </c>
      <c r="D53" s="4" t="s">
        <v>846</v>
      </c>
      <c r="E53" s="183">
        <f>SUMIF(F5:CH5,"no",F53:CH53)</f>
        <v>431327736</v>
      </c>
      <c r="F53" s="57">
        <f>IFERROR(GETPIVOTDATA("17.満室想定税込(自動)",pivot!$AR$9,"3.物件名",F6,"19.賃貸用","no"),0)*12+IFERROR(GETPIVOTDATA("17.満室想定税込(自動)",pivot!$AR$9,"3.物件名",F6,"19.賃貸用","yes"),0)*12</f>
        <v>22071600</v>
      </c>
      <c r="G53" s="57">
        <f>IFERROR(GETPIVOTDATA("17.満室想定税込(自動)",pivot!$AR$9,"3.物件名",G6,"19.賃貸用","no"),0)*12+IFERROR(GETPIVOTDATA("17.満室想定税込(自動)",pivot!$AR$9,"3.物件名",G6,"19.賃貸用","yes"),0)*12</f>
        <v>37176000</v>
      </c>
      <c r="H53" s="57">
        <f>IFERROR(GETPIVOTDATA("17.満室想定税込(自動)",pivot!$AR$9,"3.物件名",H6,"19.賃貸用","no"),0)*12+IFERROR(GETPIVOTDATA("17.満室想定税込(自動)",pivot!$AR$9,"3.物件名",H6,"19.賃貸用","yes"),0)*12</f>
        <v>36566136</v>
      </c>
      <c r="I53" s="57">
        <f>IFERROR(GETPIVOTDATA("17.満室想定税込(自動)",pivot!$AR$9,"3.物件名",I6,"19.賃貸用","no"),0)*12+IFERROR(GETPIVOTDATA("17.満室想定税込(自動)",pivot!$AR$9,"3.物件名",I6,"19.賃貸用","yes"),0)*12</f>
        <v>9076800</v>
      </c>
      <c r="J53" s="57">
        <f>IFERROR(GETPIVOTDATA("17.満室想定税込(自動)",pivot!$AR$9,"3.物件名",J6,"19.賃貸用","no"),0)*12+IFERROR(GETPIVOTDATA("17.満室想定税込(自動)",pivot!$AR$9,"3.物件名",J6,"19.賃貸用","yes"),0)*12</f>
        <v>33612312</v>
      </c>
      <c r="K53" s="57">
        <f>IFERROR(GETPIVOTDATA("17.満室想定税込(自動)",pivot!$AR$9,"3.物件名",K6,"19.賃貸用","no"),0)*12+IFERROR(GETPIVOTDATA("17.満室想定税込(自動)",pivot!$AR$9,"3.物件名",K6,"19.賃貸用","yes"),0)*12</f>
        <v>37166400</v>
      </c>
      <c r="L53" s="57">
        <f>IFERROR(GETPIVOTDATA("17.満室想定税込(自動)",pivot!$AR$9,"3.物件名",L6,"19.賃貸用","no"),0)*12+IFERROR(GETPIVOTDATA("17.満室想定税込(自動)",pivot!$AR$9,"3.物件名",L6,"19.賃貸用","yes"),0)*12</f>
        <v>29744400</v>
      </c>
      <c r="M53" s="57">
        <f>IFERROR(GETPIVOTDATA("17.満室想定税込(自動)",pivot!$AR$9,"3.物件名",M6,"19.賃貸用","no"),0)*12+IFERROR(GETPIVOTDATA("17.満室想定税込(自動)",pivot!$AR$9,"3.物件名",M6,"19.賃貸用","yes"),0)*12</f>
        <v>18414132</v>
      </c>
      <c r="N53" s="57">
        <f>IFERROR(GETPIVOTDATA("17.満室想定税込(自動)",pivot!$AR$9,"3.物件名",N6,"19.賃貸用","no"),0)*12+IFERROR(GETPIVOTDATA("17.満室想定税込(自動)",pivot!$AR$9,"3.物件名",N6,"19.賃貸用","yes"),0)*12</f>
        <v>0</v>
      </c>
      <c r="O53" s="57">
        <f>IFERROR(GETPIVOTDATA("17.満室想定税込(自動)",pivot!$AR$9,"3.物件名",O6,"19.賃貸用","no"),0)*12+IFERROR(GETPIVOTDATA("17.満室想定税込(自動)",pivot!$AR$9,"3.物件名",O6,"19.賃貸用","yes"),0)*12</f>
        <v>22468488</v>
      </c>
      <c r="P53" s="57">
        <f>IFERROR(GETPIVOTDATA("17.満室想定税込(自動)",pivot!$AR$9,"3.物件名",P6,"19.賃貸用","no"),0)*12+IFERROR(GETPIVOTDATA("17.満室想定税込(自動)",pivot!$AR$9,"3.物件名",P6,"19.賃貸用","yes"),0)*12</f>
        <v>30360000</v>
      </c>
      <c r="Q53" s="57">
        <f>IFERROR(GETPIVOTDATA("17.満室想定税込(自動)",pivot!$AR$9,"3.物件名",Q6,"19.賃貸用","no"),0)*12+IFERROR(GETPIVOTDATA("17.満室想定税込(自動)",pivot!$AR$9,"3.物件名",Q6,"19.賃貸用","yes"),0)*12</f>
        <v>36072000</v>
      </c>
      <c r="R53" s="57">
        <f>IFERROR(GETPIVOTDATA("17.満室想定税込(自動)",pivot!$AR$9,"3.物件名",R6,"19.賃貸用","no"),0)*12+IFERROR(GETPIVOTDATA("17.満室想定税込(自動)",pivot!$AR$9,"3.物件名",R6,"19.賃貸用","yes"),0)*12</f>
        <v>15532980</v>
      </c>
      <c r="S53" s="57">
        <f>IFERROR(GETPIVOTDATA("17.満室想定税込(自動)",pivot!$AR$9,"3.物件名",S6,"19.賃貸用","no"),0)*12+IFERROR(GETPIVOTDATA("17.満室想定税込(自動)",pivot!$AR$9,"3.物件名",S6,"19.賃貸用","yes"),0)*12</f>
        <v>42873288</v>
      </c>
      <c r="T53" s="57">
        <f>IFERROR(GETPIVOTDATA("17.満室想定税込(自動)",pivot!$AR$9,"3.物件名",T6,"19.賃貸用","no"),0)*12+IFERROR(GETPIVOTDATA("17.満室想定税込(自動)",pivot!$AR$9,"3.物件名",T6,"19.賃貸用","yes"),0)*12</f>
        <v>29613600</v>
      </c>
      <c r="U53" s="57">
        <f>IFERROR(GETPIVOTDATA("17.満室想定税込(自動)",pivot!$AR$9,"3.物件名",U6,"19.賃貸用","no"),0)*12+IFERROR(GETPIVOTDATA("17.満室想定税込(自動)",pivot!$AR$9,"3.物件名",U6,"19.賃貸用","yes"),0)*12</f>
        <v>10323600</v>
      </c>
      <c r="V53" s="57">
        <f>IFERROR(GETPIVOTDATA("17.満室想定税込(自動)",pivot!$AR$9,"3.物件名",V6,"19.賃貸用","no"),0)*12+IFERROR(GETPIVOTDATA("17.満室想定税込(自動)",pivot!$AR$9,"3.物件名",V6,"19.賃貸用","yes"),0)*12</f>
        <v>0</v>
      </c>
      <c r="W53" s="57">
        <f>IFERROR(GETPIVOTDATA("17.満室想定税込(自動)",pivot!$AR$9,"3.物件名",W6,"19.賃貸用","no"),0)*12+IFERROR(GETPIVOTDATA("17.満室想定税込(自動)",pivot!$AR$9,"3.物件名",W6,"19.賃貸用","yes"),0)*12</f>
        <v>10416000</v>
      </c>
      <c r="X53" s="57">
        <f>IFERROR(GETPIVOTDATA("17.満室想定税込(自動)",pivot!$AR$9,"3.物件名",X6,"19.賃貸用","no"),0)*12+IFERROR(GETPIVOTDATA("17.満室想定税込(自動)",pivot!$AR$9,"3.物件名",X6,"19.賃貸用","yes"),0)*12</f>
        <v>420000</v>
      </c>
      <c r="Y53" s="57">
        <f>IFERROR(GETPIVOTDATA("17.満室想定税込(自動)",pivot!$AR$9,"3.物件名",Y6,"19.賃貸用","no"),0)*12+IFERROR(GETPIVOTDATA("17.満室想定税込(自動)",pivot!$AR$9,"3.物件名",Y6,"19.賃貸用","yes"),0)*12</f>
        <v>3540000</v>
      </c>
      <c r="Z53" s="57">
        <f>IFERROR(GETPIVOTDATA("17.満室想定税込(自動)",pivot!$AR$9,"3.物件名",Z6,"19.賃貸用","no"),0)*12+IFERROR(GETPIVOTDATA("17.満室想定税込(自動)",pivot!$AR$9,"3.物件名",Z6,"19.賃貸用","yes"),0)*12</f>
        <v>3960000</v>
      </c>
      <c r="AA53" s="57">
        <f>IFERROR(GETPIVOTDATA("17.満室想定税込(自動)",pivot!$AR$9,"3.物件名",AA6,"19.賃貸用","no"),0)*12+IFERROR(GETPIVOTDATA("17.満室想定税込(自動)",pivot!$AR$9,"3.物件名",AA6,"19.賃貸用","yes"),0)*12</f>
        <v>1920000</v>
      </c>
      <c r="AB53" s="57">
        <f>IFERROR(GETPIVOTDATA("17.満室想定税込(自動)",pivot!$AR$9,"3.物件名",AB6,"19.賃貸用","no"),0)*12+IFERROR(GETPIVOTDATA("17.満室想定税込(自動)",pivot!$AR$9,"3.物件名",AB6,"19.賃貸用","yes"),0)*12</f>
        <v>0</v>
      </c>
      <c r="AC53" s="57">
        <f>IFERROR(GETPIVOTDATA("17.満室想定税込(自動)",pivot!$AR$9,"3.物件名",AC6,"19.賃貸用","no"),0)*12+IFERROR(GETPIVOTDATA("17.満室想定税込(自動)",pivot!$AR$9,"3.物件名",AC6,"19.賃貸用","yes"),0)*12</f>
        <v>0</v>
      </c>
      <c r="AD53" s="57">
        <f>IFERROR(GETPIVOTDATA("17.満室想定税込(自動)",pivot!$AR$9,"3.物件名",AD6,"19.賃貸用","no"),0)*12+IFERROR(GETPIVOTDATA("17.満室想定税込(自動)",pivot!$AR$9,"3.物件名",AD6,"19.賃貸用","yes"),0)*12</f>
        <v>0</v>
      </c>
      <c r="AE53" s="57">
        <f>IFERROR(GETPIVOTDATA("17.満室想定税込(自動)",pivot!$AR$9,"3.物件名",AE6,"19.賃貸用","no"),0)*12+IFERROR(GETPIVOTDATA("17.満室想定税込(自動)",pivot!$AR$9,"3.物件名",AE6,"19.賃貸用","yes"),0)*12</f>
        <v>0</v>
      </c>
      <c r="AF53" s="57">
        <f>IFERROR(GETPIVOTDATA("17.満室想定税込(自動)",pivot!$AR$9,"3.物件名",AF6,"19.賃貸用","no"),0)*12+IFERROR(GETPIVOTDATA("17.満室想定税込(自動)",pivot!$AR$9,"3.物件名",AF6,"19.賃貸用","yes"),0)*12</f>
        <v>0</v>
      </c>
      <c r="AG53" s="57">
        <f>IFERROR(GETPIVOTDATA("17.満室想定税込(自動)",pivot!$AR$9,"3.物件名",AG6,"19.賃貸用","no"),0)*12+IFERROR(GETPIVOTDATA("17.満室想定税込(自動)",pivot!$AR$9,"3.物件名",AG6,"19.賃貸用","yes"),0)*12</f>
        <v>0</v>
      </c>
      <c r="AH53" s="57">
        <f>IFERROR(GETPIVOTDATA("17.満室想定税込(自動)",pivot!$AR$9,"3.物件名",AH6,"19.賃貸用","no"),0)*12+IFERROR(GETPIVOTDATA("17.満室想定税込(自動)",pivot!$AR$9,"3.物件名",AH6,"19.賃貸用","yes"),0)*12</f>
        <v>0</v>
      </c>
      <c r="AI53" s="57">
        <f>IFERROR(GETPIVOTDATA("17.満室想定税込(自動)",pivot!$AR$9,"3.物件名",AI6,"19.賃貸用","no"),0)*12+IFERROR(GETPIVOTDATA("17.満室想定税込(自動)",pivot!$AR$9,"3.物件名",AI6,"19.賃貸用","yes"),0)*12</f>
        <v>0</v>
      </c>
      <c r="AJ53" s="57">
        <f>IFERROR(GETPIVOTDATA("17.満室想定税込(自動)",pivot!$AR$9,"3.物件名",AJ6,"19.賃貸用","no"),0)*12+IFERROR(GETPIVOTDATA("17.満室想定税込(自動)",pivot!$AR$9,"3.物件名",AJ6,"19.賃貸用","yes"),0)*12</f>
        <v>0</v>
      </c>
      <c r="AK53" s="57">
        <f>IFERROR(GETPIVOTDATA("17.満室想定税込(自動)",pivot!$AR$9,"3.物件名",AK6,"19.賃貸用","no"),0)*12+IFERROR(GETPIVOTDATA("17.満室想定税込(自動)",pivot!$AR$9,"3.物件名",AK6,"19.賃貸用","yes"),0)*12</f>
        <v>0</v>
      </c>
      <c r="AL53" s="57">
        <f>IFERROR(GETPIVOTDATA("17.満室想定税込(自動)",pivot!$AR$9,"3.物件名",AL6,"19.賃貸用","no"),0)*12+IFERROR(GETPIVOTDATA("17.満室想定税込(自動)",pivot!$AR$9,"3.物件名",AL6,"19.賃貸用","yes"),0)*12</f>
        <v>0</v>
      </c>
      <c r="AM53" s="57">
        <f>IFERROR(GETPIVOTDATA("17.満室想定税込(自動)",pivot!$AR$9,"3.物件名",AM6,"19.賃貸用","no"),0)*12+IFERROR(GETPIVOTDATA("17.満室想定税込(自動)",pivot!$AR$9,"3.物件名",AM6,"19.賃貸用","yes"),0)*12</f>
        <v>0</v>
      </c>
      <c r="AN53" s="57">
        <f>IFERROR(GETPIVOTDATA("17.満室想定税込(自動)",pivot!$AR$9,"3.物件名",AN6,"19.賃貸用","no"),0)*12+IFERROR(GETPIVOTDATA("17.満室想定税込(自動)",pivot!$AR$9,"3.物件名",AN6,"19.賃貸用","yes"),0)*12</f>
        <v>0</v>
      </c>
      <c r="AO53" s="57">
        <f>IFERROR(GETPIVOTDATA("17.満室想定税込(自動)",pivot!$AR$9,"3.物件名",AO6,"19.賃貸用","no"),0)*12+IFERROR(GETPIVOTDATA("17.満室想定税込(自動)",pivot!$AR$9,"3.物件名",AO6,"19.賃貸用","yes"),0)*12</f>
        <v>0</v>
      </c>
      <c r="AP53" s="57">
        <f>IFERROR(GETPIVOTDATA("17.満室想定税込(自動)",pivot!$AR$9,"3.物件名",AP6,"19.賃貸用","no"),0)*12+IFERROR(GETPIVOTDATA("17.満室想定税込(自動)",pivot!$AR$9,"3.物件名",AP6,"19.賃貸用","yes"),0)*12</f>
        <v>0</v>
      </c>
      <c r="AQ53" s="57">
        <f>IFERROR(GETPIVOTDATA("17.満室想定税込(自動)",pivot!$AR$9,"3.物件名",AQ6,"19.賃貸用","no"),0)*12+IFERROR(GETPIVOTDATA("17.満室想定税込(自動)",pivot!$AR$9,"3.物件名",AQ6,"19.賃貸用","yes"),0)*12</f>
        <v>0</v>
      </c>
      <c r="AR53" s="57">
        <f>IFERROR(GETPIVOTDATA("17.満室想定税込(自動)",pivot!$AR$9,"3.物件名",AR6,"19.賃貸用","no"),0)*12+IFERROR(GETPIVOTDATA("17.満室想定税込(自動)",pivot!$AR$9,"3.物件名",AR6,"19.賃貸用","yes"),0)*12</f>
        <v>0</v>
      </c>
      <c r="AS53" s="57">
        <f>IFERROR(GETPIVOTDATA("17.満室想定税込(自動)",pivot!$AR$9,"3.物件名",AS6,"19.賃貸用","no"),0)*12+IFERROR(GETPIVOTDATA("17.満室想定税込(自動)",pivot!$AR$9,"3.物件名",AS6,"19.賃貸用","yes"),0)*12</f>
        <v>0</v>
      </c>
      <c r="AT53" s="57">
        <f>IFERROR(GETPIVOTDATA("17.満室想定税込(自動)",pivot!$AR$9,"3.物件名",AT6,"19.賃貸用","no"),0)*12+IFERROR(GETPIVOTDATA("17.満室想定税込(自動)",pivot!$AR$9,"3.物件名",AT6,"19.賃貸用","yes"),0)*12</f>
        <v>0</v>
      </c>
      <c r="AU53" s="57">
        <f>IFERROR(GETPIVOTDATA("17.満室想定税込(自動)",pivot!$AR$9,"3.物件名",AU6,"19.賃貸用","no"),0)*12+IFERROR(GETPIVOTDATA("17.満室想定税込(自動)",pivot!$AR$9,"3.物件名",AU6,"19.賃貸用","yes"),0)*12</f>
        <v>0</v>
      </c>
      <c r="AV53" s="57">
        <f>IFERROR(GETPIVOTDATA("17.満室想定税込(自動)",pivot!$AR$9,"3.物件名",AV6,"19.賃貸用","no"),0)*12+IFERROR(GETPIVOTDATA("17.満室想定税込(自動)",pivot!$AR$9,"3.物件名",AV6,"19.賃貸用","yes"),0)*12</f>
        <v>0</v>
      </c>
      <c r="AW53" s="57">
        <f>IFERROR(GETPIVOTDATA("17.満室想定税込(自動)",pivot!$AR$9,"3.物件名",AW6,"19.賃貸用","no"),0)*12+IFERROR(GETPIVOTDATA("17.満室想定税込(自動)",pivot!$AR$9,"3.物件名",AW6,"19.賃貸用","yes"),0)*12</f>
        <v>0</v>
      </c>
      <c r="AX53" s="57">
        <f>IFERROR(GETPIVOTDATA("17.満室想定税込(自動)",pivot!$AR$9,"3.物件名",AX6,"19.賃貸用","no"),0)*12+IFERROR(GETPIVOTDATA("17.満室想定税込(自動)",pivot!$AR$9,"3.物件名",AX6,"19.賃貸用","yes"),0)*12</f>
        <v>0</v>
      </c>
      <c r="AY53" s="57">
        <f>IFERROR(GETPIVOTDATA("17.満室想定税込(自動)",pivot!$AR$9,"3.物件名",AY6,"19.賃貸用","no"),0)*12+IFERROR(GETPIVOTDATA("17.満室想定税込(自動)",pivot!$AR$9,"3.物件名",AY6,"19.賃貸用","yes"),0)*12</f>
        <v>0</v>
      </c>
      <c r="AZ53" s="57">
        <f>IFERROR(GETPIVOTDATA("17.満室想定税込(自動)",pivot!$AR$9,"3.物件名",AZ6,"19.賃貸用","no"),0)*12+IFERROR(GETPIVOTDATA("17.満室想定税込(自動)",pivot!$AR$9,"3.物件名",AZ6,"19.賃貸用","yes"),0)*12</f>
        <v>0</v>
      </c>
      <c r="BA53" s="57">
        <f>IFERROR(GETPIVOTDATA("17.満室想定税込(自動)",pivot!$AR$9,"3.物件名",BA6,"19.賃貸用","no"),0)*12+IFERROR(GETPIVOTDATA("17.満室想定税込(自動)",pivot!$AR$9,"3.物件名",BA6,"19.賃貸用","yes"),0)*12</f>
        <v>0</v>
      </c>
      <c r="BB53" s="57">
        <f>IFERROR(GETPIVOTDATA("17.満室想定税込(自動)",pivot!$AR$9,"3.物件名",BB6,"19.賃貸用","no"),0)*12+IFERROR(GETPIVOTDATA("17.満室想定税込(自動)",pivot!$AR$9,"3.物件名",BB6,"19.賃貸用","yes"),0)*12</f>
        <v>0</v>
      </c>
      <c r="BC53" s="57">
        <f>IFERROR(GETPIVOTDATA("17.満室想定税込(自動)",pivot!$AR$9,"3.物件名",BC6,"19.賃貸用","no"),0)*12+IFERROR(GETPIVOTDATA("17.満室想定税込(自動)",pivot!$AR$9,"3.物件名",BC6,"19.賃貸用","yes"),0)*12</f>
        <v>0</v>
      </c>
      <c r="BD53" s="57">
        <f>IFERROR(GETPIVOTDATA("17.満室想定税込(自動)",pivot!$AR$9,"3.物件名",BD6,"19.賃貸用","no"),0)*12+IFERROR(GETPIVOTDATA("17.満室想定税込(自動)",pivot!$AR$9,"3.物件名",BD6,"19.賃貸用","yes"),0)*12</f>
        <v>0</v>
      </c>
      <c r="BE53" s="57">
        <f>IFERROR(GETPIVOTDATA("17.満室想定税込(自動)",pivot!$AR$9,"3.物件名",BE6,"19.賃貸用","no"),0)*12+IFERROR(GETPIVOTDATA("17.満室想定税込(自動)",pivot!$AR$9,"3.物件名",BE6,"19.賃貸用","yes"),0)*12</f>
        <v>0</v>
      </c>
      <c r="BF53" s="57">
        <f>IFERROR(GETPIVOTDATA("17.満室想定税込(自動)",pivot!$AR$9,"3.物件名",BF6,"19.賃貸用","no"),0)*12+IFERROR(GETPIVOTDATA("17.満室想定税込(自動)",pivot!$AR$9,"3.物件名",BF6,"19.賃貸用","yes"),0)*12</f>
        <v>0</v>
      </c>
      <c r="BG53" s="57">
        <f>IFERROR(GETPIVOTDATA("17.満室想定税込(自動)",pivot!$AR$9,"3.物件名",BG6,"19.賃貸用","no"),0)*12+IFERROR(GETPIVOTDATA("17.満室想定税込(自動)",pivot!$AR$9,"3.物件名",BG6,"19.賃貸用","yes"),0)*12</f>
        <v>0</v>
      </c>
      <c r="BH53" s="57">
        <f>IFERROR(GETPIVOTDATA("17.満室想定税込(自動)",pivot!$AR$9,"3.物件名",BH6,"19.賃貸用","no"),0)*12+IFERROR(GETPIVOTDATA("17.満室想定税込(自動)",pivot!$AR$9,"3.物件名",BH6,"19.賃貸用","yes"),0)*12</f>
        <v>0</v>
      </c>
      <c r="BI53" s="57">
        <f>IFERROR(GETPIVOTDATA("17.満室想定税込(自動)",pivot!$AR$9,"3.物件名",BI6,"19.賃貸用","no"),0)*12+IFERROR(GETPIVOTDATA("17.満室想定税込(自動)",pivot!$AR$9,"3.物件名",BI6,"19.賃貸用","yes"),0)*12</f>
        <v>0</v>
      </c>
      <c r="BJ53" s="57">
        <f>IFERROR(GETPIVOTDATA("17.満室想定税込(自動)",pivot!$AR$9,"3.物件名",BJ6,"19.賃貸用","no"),0)*12+IFERROR(GETPIVOTDATA("17.満室想定税込(自動)",pivot!$AR$9,"3.物件名",BJ6,"19.賃貸用","yes"),0)*12</f>
        <v>0</v>
      </c>
      <c r="BK53" s="57">
        <f>IFERROR(GETPIVOTDATA("17.満室想定税込(自動)",pivot!$AR$9,"3.物件名",BK6,"19.賃貸用","no"),0)*12+IFERROR(GETPIVOTDATA("17.満室想定税込(自動)",pivot!$AR$9,"3.物件名",BK6,"19.賃貸用","yes"),0)*12</f>
        <v>0</v>
      </c>
      <c r="BL53" s="57">
        <f>IFERROR(GETPIVOTDATA("17.満室想定税込(自動)",pivot!$AR$9,"3.物件名",BL6,"19.賃貸用","no"),0)*12+IFERROR(GETPIVOTDATA("17.満室想定税込(自動)",pivot!$AR$9,"3.物件名",BL6,"19.賃貸用","yes"),0)*12</f>
        <v>0</v>
      </c>
      <c r="BM53" s="57">
        <f>IFERROR(GETPIVOTDATA("17.満室想定税込(自動)",pivot!$AR$9,"3.物件名",BM6,"19.賃貸用","no"),0)*12+IFERROR(GETPIVOTDATA("17.満室想定税込(自動)",pivot!$AR$9,"3.物件名",BM6,"19.賃貸用","yes"),0)*12</f>
        <v>0</v>
      </c>
      <c r="BN53" s="57">
        <f>IFERROR(GETPIVOTDATA("17.満室想定税込(自動)",pivot!$AR$9,"3.物件名",BN6,"19.賃貸用","no"),0)*12+IFERROR(GETPIVOTDATA("17.満室想定税込(自動)",pivot!$AR$9,"3.物件名",BN6,"19.賃貸用","yes"),0)*12</f>
        <v>0</v>
      </c>
      <c r="BO53" s="57">
        <f>IFERROR(GETPIVOTDATA("17.満室想定税込(自動)",pivot!$AR$9,"3.物件名",BO6,"19.賃貸用","no"),0)*12+IFERROR(GETPIVOTDATA("17.満室想定税込(自動)",pivot!$AR$9,"3.物件名",BO6,"19.賃貸用","yes"),0)*12</f>
        <v>0</v>
      </c>
      <c r="BP53" s="57">
        <f>IFERROR(GETPIVOTDATA("17.満室想定税込(自動)",pivot!$AR$9,"3.物件名",BP6,"19.賃貸用","no"),0)*12+IFERROR(GETPIVOTDATA("17.満室想定税込(自動)",pivot!$AR$9,"3.物件名",BP6,"19.賃貸用","yes"),0)*12</f>
        <v>0</v>
      </c>
      <c r="BQ53" s="57">
        <f>IFERROR(GETPIVOTDATA("17.満室想定税込(自動)",pivot!$AR$9,"3.物件名",BQ6,"19.賃貸用","no"),0)*12+IFERROR(GETPIVOTDATA("17.満室想定税込(自動)",pivot!$AR$9,"3.物件名",BQ6,"19.賃貸用","yes"),0)*12</f>
        <v>0</v>
      </c>
      <c r="BR53" s="57">
        <f>IFERROR(GETPIVOTDATA("17.満室想定税込(自動)",pivot!$AR$9,"3.物件名",BR6,"19.賃貸用","no"),0)*12+IFERROR(GETPIVOTDATA("17.満室想定税込(自動)",pivot!$AR$9,"3.物件名",BR6,"19.賃貸用","yes"),0)*12</f>
        <v>0</v>
      </c>
      <c r="BS53" s="57">
        <f>IFERROR(GETPIVOTDATA("17.満室想定税込(自動)",pivot!$AR$9,"3.物件名",BS6,"19.賃貸用","no"),0)*12+IFERROR(GETPIVOTDATA("17.満室想定税込(自動)",pivot!$AR$9,"3.物件名",BS6,"19.賃貸用","yes"),0)*12</f>
        <v>0</v>
      </c>
      <c r="BT53" s="57">
        <f>IFERROR(GETPIVOTDATA("17.満室想定税込(自動)",pivot!$AR$9,"3.物件名",BT6,"19.賃貸用","no"),0)*12+IFERROR(GETPIVOTDATA("17.満室想定税込(自動)",pivot!$AR$9,"3.物件名",BT6,"19.賃貸用","yes"),0)*12</f>
        <v>0</v>
      </c>
      <c r="BU53" s="57">
        <f>IFERROR(GETPIVOTDATA("17.満室想定税込(自動)",pivot!$AR$9,"3.物件名",BU6,"19.賃貸用","no"),0)*12+IFERROR(GETPIVOTDATA("17.満室想定税込(自動)",pivot!$AR$9,"3.物件名",BU6,"19.賃貸用","yes"),0)*12</f>
        <v>0</v>
      </c>
      <c r="BV53" s="57">
        <f>IFERROR(GETPIVOTDATA("17.満室想定税込(自動)",pivot!$AR$9,"3.物件名",BV6,"19.賃貸用","no"),0)*12+IFERROR(GETPIVOTDATA("17.満室想定税込(自動)",pivot!$AR$9,"3.物件名",BV6,"19.賃貸用","yes"),0)*12</f>
        <v>0</v>
      </c>
      <c r="BW53" s="57">
        <f>IFERROR(GETPIVOTDATA("17.満室想定税込(自動)",pivot!$AR$9,"3.物件名",BW6,"19.賃貸用","no"),0)*12+IFERROR(GETPIVOTDATA("17.満室想定税込(自動)",pivot!$AR$9,"3.物件名",BW6,"19.賃貸用","yes"),0)*12</f>
        <v>0</v>
      </c>
      <c r="BX53" s="57">
        <f>IFERROR(GETPIVOTDATA("17.満室想定税込(自動)",pivot!$AR$9,"3.物件名",BX6,"19.賃貸用","no"),0)*12+IFERROR(GETPIVOTDATA("17.満室想定税込(自動)",pivot!$AR$9,"3.物件名",BX6,"19.賃貸用","yes"),0)*12</f>
        <v>0</v>
      </c>
      <c r="BY53" s="57">
        <f>IFERROR(GETPIVOTDATA("17.満室想定税込(自動)",pivot!$AR$9,"3.物件名",BY6,"19.賃貸用","no"),0)*12+IFERROR(GETPIVOTDATA("17.満室想定税込(自動)",pivot!$AR$9,"3.物件名",BY6,"19.賃貸用","yes"),0)*12</f>
        <v>0</v>
      </c>
      <c r="BZ53" s="57">
        <f>IFERROR(GETPIVOTDATA("17.満室想定税込(自動)",pivot!$AR$9,"3.物件名",BZ6,"19.賃貸用","no"),0)*12+IFERROR(GETPIVOTDATA("17.満室想定税込(自動)",pivot!$AR$9,"3.物件名",BZ6,"19.賃貸用","yes"),0)*12</f>
        <v>0</v>
      </c>
      <c r="CA53" s="57">
        <f>IFERROR(GETPIVOTDATA("17.満室想定税込(自動)",pivot!$AR$9,"3.物件名",CA6,"19.賃貸用","no"),0)*12+IFERROR(GETPIVOTDATA("17.満室想定税込(自動)",pivot!$AR$9,"3.物件名",CA6,"19.賃貸用","yes"),0)*12</f>
        <v>0</v>
      </c>
      <c r="CB53" s="57">
        <f>IFERROR(GETPIVOTDATA("17.満室想定税込(自動)",pivot!$AR$9,"3.物件名",CB6,"19.賃貸用","no"),0)*12+IFERROR(GETPIVOTDATA("17.満室想定税込(自動)",pivot!$AR$9,"3.物件名",CB6,"19.賃貸用","yes"),0)*12</f>
        <v>0</v>
      </c>
    </row>
    <row r="54" spans="1:80" ht="13.5" customHeight="1">
      <c r="A54" s="175">
        <v>51</v>
      </c>
      <c r="B54" s="191" t="s">
        <v>954</v>
      </c>
      <c r="C54" s="4" t="s">
        <v>377</v>
      </c>
      <c r="D54" s="4" t="s">
        <v>846</v>
      </c>
      <c r="E54" s="183">
        <f>SUMIF(F5:CH5,"no",F54:CH54)</f>
        <v>427787736</v>
      </c>
      <c r="F54" s="57">
        <f>IFERROR(GETPIVOTDATA("17.満室想定税込(自動)",pivot!$AR$9,"3.物件名",F6,"19.賃貸用","yes"),0)*12</f>
        <v>22071600</v>
      </c>
      <c r="G54" s="57">
        <f>IFERROR(GETPIVOTDATA("17.満室想定税込(自動)",pivot!$AR$9,"3.物件名",G6,"19.賃貸用","yes"),0)*12</f>
        <v>37176000</v>
      </c>
      <c r="H54" s="57">
        <f>IFERROR(GETPIVOTDATA("17.満室想定税込(自動)",pivot!$AR$9,"3.物件名",H6,"19.賃貸用","yes"),0)*12</f>
        <v>36566136</v>
      </c>
      <c r="I54" s="57">
        <f>IFERROR(GETPIVOTDATA("17.満室想定税込(自動)",pivot!$AR$9,"3.物件名",I6,"19.賃貸用","yes"),0)*12</f>
        <v>9076800</v>
      </c>
      <c r="J54" s="57">
        <f>IFERROR(GETPIVOTDATA("17.満室想定税込(自動)",pivot!$AR$9,"3.物件名",J6,"19.賃貸用","yes"),0)*12</f>
        <v>33612312</v>
      </c>
      <c r="K54" s="57">
        <f>IFERROR(GETPIVOTDATA("17.満室想定税込(自動)",pivot!$AR$9,"3.物件名",K6,"19.賃貸用","yes"),0)*12</f>
        <v>37166400</v>
      </c>
      <c r="L54" s="57">
        <f>IFERROR(GETPIVOTDATA("17.満室想定税込(自動)",pivot!$AR$9,"3.物件名",L6,"19.賃貸用","yes"),0)*12</f>
        <v>29744400</v>
      </c>
      <c r="M54" s="57">
        <f>IFERROR(GETPIVOTDATA("17.満室想定税込(自動)",pivot!$AR$9,"3.物件名",M6,"19.賃貸用","yes"),0)*12</f>
        <v>18414132</v>
      </c>
      <c r="N54" s="57">
        <f>IFERROR(GETPIVOTDATA("17.満室想定税込(自動)",pivot!$AR$9,"3.物件名",N6,"19.賃貸用","yes"),0)*12</f>
        <v>0</v>
      </c>
      <c r="O54" s="57">
        <f>IFERROR(GETPIVOTDATA("17.満室想定税込(自動)",pivot!$AR$9,"3.物件名",O6,"19.賃貸用","yes"),0)*12</f>
        <v>22468488</v>
      </c>
      <c r="P54" s="57">
        <f>IFERROR(GETPIVOTDATA("17.満室想定税込(自動)",pivot!$AR$9,"3.物件名",P6,"19.賃貸用","yes"),0)*12</f>
        <v>30360000</v>
      </c>
      <c r="Q54" s="57">
        <f>IFERROR(GETPIVOTDATA("17.満室想定税込(自動)",pivot!$AR$9,"3.物件名",Q6,"19.賃貸用","yes"),0)*12</f>
        <v>36072000</v>
      </c>
      <c r="R54" s="57">
        <f>IFERROR(GETPIVOTDATA("17.満室想定税込(自動)",pivot!$AR$9,"3.物件名",R6,"19.賃貸用","yes"),0)*12</f>
        <v>15532980</v>
      </c>
      <c r="S54" s="57">
        <f>IFERROR(GETPIVOTDATA("17.満室想定税込(自動)",pivot!$AR$9,"3.物件名",S6,"19.賃貸用","yes"),0)*12</f>
        <v>42873288</v>
      </c>
      <c r="T54" s="57">
        <f>IFERROR(GETPIVOTDATA("17.満室想定税込(自動)",pivot!$AR$9,"3.物件名",T6,"19.賃貸用","yes"),0)*12</f>
        <v>29613600</v>
      </c>
      <c r="U54" s="57">
        <f>IFERROR(GETPIVOTDATA("17.満室想定税込(自動)",pivot!$AR$9,"3.物件名",U6,"19.賃貸用","yes"),0)*12</f>
        <v>10323600</v>
      </c>
      <c r="V54" s="57">
        <f>IFERROR(GETPIVOTDATA("17.満室想定税込(自動)",pivot!$AR$9,"3.物件名",V6,"19.賃貸用","yes"),0)*12</f>
        <v>0</v>
      </c>
      <c r="W54" s="57">
        <f>IFERROR(GETPIVOTDATA("17.満室想定税込(自動)",pivot!$AR$9,"3.物件名",W6,"19.賃貸用","yes"),0)*12</f>
        <v>10416000</v>
      </c>
      <c r="X54" s="57">
        <f>IFERROR(GETPIVOTDATA("17.満室想定税込(自動)",pivot!$AR$9,"3.物件名",X6,"19.賃貸用","yes"),0)*12</f>
        <v>420000</v>
      </c>
      <c r="Y54" s="57">
        <f>IFERROR(GETPIVOTDATA("17.満室想定税込(自動)",pivot!$AR$9,"3.物件名",Y6,"19.賃貸用","yes"),0)*12</f>
        <v>0</v>
      </c>
      <c r="Z54" s="57">
        <f>IFERROR(GETPIVOTDATA("17.満室想定税込(自動)",pivot!$AR$9,"3.物件名",Z6,"19.賃貸用","yes"),0)*12</f>
        <v>3960000</v>
      </c>
      <c r="AA54" s="57">
        <f>IFERROR(GETPIVOTDATA("17.満室想定税込(自動)",pivot!$AR$9,"3.物件名",AA6,"19.賃貸用","yes"),0)*12</f>
        <v>1920000</v>
      </c>
      <c r="AB54" s="57">
        <f>IFERROR(GETPIVOTDATA("17.満室想定税込(自動)",pivot!$AR$9,"3.物件名",AB6,"19.賃貸用","yes"),0)*12</f>
        <v>0</v>
      </c>
      <c r="AC54" s="57">
        <f>IFERROR(GETPIVOTDATA("17.満室想定税込(自動)",pivot!$AR$9,"3.物件名",AC6,"19.賃貸用","yes"),0)*12</f>
        <v>0</v>
      </c>
      <c r="AD54" s="57">
        <f>IFERROR(GETPIVOTDATA("17.満室想定税込(自動)",pivot!$AR$9,"3.物件名",AD6,"19.賃貸用","yes"),0)*12</f>
        <v>0</v>
      </c>
      <c r="AE54" s="57">
        <f>IFERROR(GETPIVOTDATA("17.満室想定税込(自動)",pivot!$AR$9,"3.物件名",AE6,"19.賃貸用","yes"),0)*12</f>
        <v>0</v>
      </c>
      <c r="AF54" s="57">
        <f>IFERROR(GETPIVOTDATA("17.満室想定税込(自動)",pivot!$AR$9,"3.物件名",AF6,"19.賃貸用","yes"),0)*12</f>
        <v>0</v>
      </c>
      <c r="AG54" s="57">
        <f>IFERROR(GETPIVOTDATA("17.満室想定税込(自動)",pivot!$AR$9,"3.物件名",AG6,"19.賃貸用","yes"),0)*12</f>
        <v>0</v>
      </c>
      <c r="AH54" s="57">
        <f>IFERROR(GETPIVOTDATA("17.満室想定税込(自動)",pivot!$AR$9,"3.物件名",AH6,"19.賃貸用","yes"),0)*12</f>
        <v>0</v>
      </c>
      <c r="AI54" s="57">
        <f>IFERROR(GETPIVOTDATA("17.満室想定税込(自動)",pivot!$AR$9,"3.物件名",AI6,"19.賃貸用","yes"),0)*12</f>
        <v>0</v>
      </c>
      <c r="AJ54" s="57">
        <f>IFERROR(GETPIVOTDATA("17.満室想定税込(自動)",pivot!$AR$9,"3.物件名",AJ6,"19.賃貸用","yes"),0)*12</f>
        <v>0</v>
      </c>
      <c r="AK54" s="57">
        <f>IFERROR(GETPIVOTDATA("17.満室想定税込(自動)",pivot!$AR$9,"3.物件名",AK6,"19.賃貸用","yes"),0)*12</f>
        <v>0</v>
      </c>
      <c r="AL54" s="57">
        <f>IFERROR(GETPIVOTDATA("17.満室想定税込(自動)",pivot!$AR$9,"3.物件名",AL6,"19.賃貸用","yes"),0)*12</f>
        <v>0</v>
      </c>
      <c r="AM54" s="57">
        <f>IFERROR(GETPIVOTDATA("17.満室想定税込(自動)",pivot!$AR$9,"3.物件名",AM6,"19.賃貸用","yes"),0)*12</f>
        <v>0</v>
      </c>
      <c r="AN54" s="57">
        <f>IFERROR(GETPIVOTDATA("17.満室想定税込(自動)",pivot!$AR$9,"3.物件名",AN6,"19.賃貸用","yes"),0)*12</f>
        <v>0</v>
      </c>
      <c r="AO54" s="57">
        <f>IFERROR(GETPIVOTDATA("17.満室想定税込(自動)",pivot!$AR$9,"3.物件名",AO6,"19.賃貸用","yes"),0)*12</f>
        <v>0</v>
      </c>
      <c r="AP54" s="57">
        <f>IFERROR(GETPIVOTDATA("17.満室想定税込(自動)",pivot!$AR$9,"3.物件名",AP6,"19.賃貸用","yes"),0)*12</f>
        <v>0</v>
      </c>
      <c r="AQ54" s="57">
        <f>IFERROR(GETPIVOTDATA("17.満室想定税込(自動)",pivot!$AR$9,"3.物件名",AQ6,"19.賃貸用","yes"),0)*12</f>
        <v>0</v>
      </c>
      <c r="AR54" s="57">
        <f>IFERROR(GETPIVOTDATA("17.満室想定税込(自動)",pivot!$AR$9,"3.物件名",AR6,"19.賃貸用","yes"),0)*12</f>
        <v>0</v>
      </c>
      <c r="AS54" s="57">
        <f>IFERROR(GETPIVOTDATA("17.満室想定税込(自動)",pivot!$AR$9,"3.物件名",AS6,"19.賃貸用","yes"),0)*12</f>
        <v>0</v>
      </c>
      <c r="AT54" s="57">
        <f>IFERROR(GETPIVOTDATA("17.満室想定税込(自動)",pivot!$AR$9,"3.物件名",AT6,"19.賃貸用","yes"),0)*12</f>
        <v>0</v>
      </c>
      <c r="AU54" s="57">
        <f>IFERROR(GETPIVOTDATA("17.満室想定税込(自動)",pivot!$AR$9,"3.物件名",AU6,"19.賃貸用","yes"),0)*12</f>
        <v>0</v>
      </c>
      <c r="AV54" s="57">
        <f>IFERROR(GETPIVOTDATA("17.満室想定税込(自動)",pivot!$AR$9,"3.物件名",AV6,"19.賃貸用","yes"),0)*12</f>
        <v>0</v>
      </c>
      <c r="AW54" s="57">
        <f>IFERROR(GETPIVOTDATA("17.満室想定税込(自動)",pivot!$AR$9,"3.物件名",AW6,"19.賃貸用","yes"),0)*12</f>
        <v>0</v>
      </c>
      <c r="AX54" s="57">
        <f>IFERROR(GETPIVOTDATA("17.満室想定税込(自動)",pivot!$AR$9,"3.物件名",AX6,"19.賃貸用","yes"),0)*12</f>
        <v>0</v>
      </c>
      <c r="AY54" s="57">
        <f>IFERROR(GETPIVOTDATA("17.満室想定税込(自動)",pivot!$AR$9,"3.物件名",AY6,"19.賃貸用","yes"),0)*12</f>
        <v>0</v>
      </c>
      <c r="AZ54" s="57">
        <f>IFERROR(GETPIVOTDATA("17.満室想定税込(自動)",pivot!$AR$9,"3.物件名",AZ6,"19.賃貸用","yes"),0)*12</f>
        <v>0</v>
      </c>
      <c r="BA54" s="57">
        <f>IFERROR(GETPIVOTDATA("17.満室想定税込(自動)",pivot!$AR$9,"3.物件名",BA6,"19.賃貸用","yes"),0)*12</f>
        <v>0</v>
      </c>
      <c r="BB54" s="57">
        <f>IFERROR(GETPIVOTDATA("17.満室想定税込(自動)",pivot!$AR$9,"3.物件名",BB6,"19.賃貸用","yes"),0)*12</f>
        <v>0</v>
      </c>
      <c r="BC54" s="57">
        <f>IFERROR(GETPIVOTDATA("17.満室想定税込(自動)",pivot!$AR$9,"3.物件名",BC6,"19.賃貸用","yes"),0)*12</f>
        <v>0</v>
      </c>
      <c r="BD54" s="57">
        <f>IFERROR(GETPIVOTDATA("17.満室想定税込(自動)",pivot!$AR$9,"3.物件名",BD6,"19.賃貸用","yes"),0)*12</f>
        <v>0</v>
      </c>
      <c r="BE54" s="57">
        <f>IFERROR(GETPIVOTDATA("17.満室想定税込(自動)",pivot!$AR$9,"3.物件名",BE6,"19.賃貸用","yes"),0)*12</f>
        <v>0</v>
      </c>
      <c r="BF54" s="57">
        <f>IFERROR(GETPIVOTDATA("17.満室想定税込(自動)",pivot!$AR$9,"3.物件名",BF6,"19.賃貸用","yes"),0)*12</f>
        <v>0</v>
      </c>
      <c r="BG54" s="57">
        <f>IFERROR(GETPIVOTDATA("17.満室想定税込(自動)",pivot!$AR$9,"3.物件名",BG6,"19.賃貸用","yes"),0)*12</f>
        <v>0</v>
      </c>
      <c r="BH54" s="57">
        <f>IFERROR(GETPIVOTDATA("17.満室想定税込(自動)",pivot!$AR$9,"3.物件名",BH6,"19.賃貸用","yes"),0)*12</f>
        <v>0</v>
      </c>
      <c r="BI54" s="57">
        <f>IFERROR(GETPIVOTDATA("17.満室想定税込(自動)",pivot!$AR$9,"3.物件名",BI6,"19.賃貸用","yes"),0)*12</f>
        <v>0</v>
      </c>
      <c r="BJ54" s="57">
        <f>IFERROR(GETPIVOTDATA("17.満室想定税込(自動)",pivot!$AR$9,"3.物件名",BJ6,"19.賃貸用","yes"),0)*12</f>
        <v>0</v>
      </c>
      <c r="BK54" s="57">
        <f>IFERROR(GETPIVOTDATA("17.満室想定税込(自動)",pivot!$AR$9,"3.物件名",BK6,"19.賃貸用","yes"),0)*12</f>
        <v>0</v>
      </c>
      <c r="BL54" s="57">
        <f>IFERROR(GETPIVOTDATA("17.満室想定税込(自動)",pivot!$AR$9,"3.物件名",BL6,"19.賃貸用","yes"),0)*12</f>
        <v>0</v>
      </c>
      <c r="BM54" s="57">
        <f>IFERROR(GETPIVOTDATA("17.満室想定税込(自動)",pivot!$AR$9,"3.物件名",BM6,"19.賃貸用","yes"),0)*12</f>
        <v>0</v>
      </c>
      <c r="BN54" s="57">
        <f>IFERROR(GETPIVOTDATA("17.満室想定税込(自動)",pivot!$AR$9,"3.物件名",BN6,"19.賃貸用","yes"),0)*12</f>
        <v>0</v>
      </c>
      <c r="BO54" s="57">
        <f>IFERROR(GETPIVOTDATA("17.満室想定税込(自動)",pivot!$AR$9,"3.物件名",BO6,"19.賃貸用","yes"),0)*12</f>
        <v>0</v>
      </c>
      <c r="BP54" s="57">
        <f>IFERROR(GETPIVOTDATA("17.満室想定税込(自動)",pivot!$AR$9,"3.物件名",BP6,"19.賃貸用","yes"),0)*12</f>
        <v>0</v>
      </c>
      <c r="BQ54" s="57">
        <f>IFERROR(GETPIVOTDATA("17.満室想定税込(自動)",pivot!$AR$9,"3.物件名",BQ6,"19.賃貸用","yes"),0)*12</f>
        <v>0</v>
      </c>
      <c r="BR54" s="57">
        <f>IFERROR(GETPIVOTDATA("17.満室想定税込(自動)",pivot!$AR$9,"3.物件名",BR6,"19.賃貸用","yes"),0)*12</f>
        <v>0</v>
      </c>
      <c r="BS54" s="57">
        <f>IFERROR(GETPIVOTDATA("17.満室想定税込(自動)",pivot!$AR$9,"3.物件名",BS6,"19.賃貸用","yes"),0)*12</f>
        <v>0</v>
      </c>
      <c r="BT54" s="57">
        <f>IFERROR(GETPIVOTDATA("17.満室想定税込(自動)",pivot!$AR$9,"3.物件名",BT6,"19.賃貸用","yes"),0)*12</f>
        <v>0</v>
      </c>
      <c r="BU54" s="57">
        <f>IFERROR(GETPIVOTDATA("17.満室想定税込(自動)",pivot!$AR$9,"3.物件名",BU6,"19.賃貸用","yes"),0)*12</f>
        <v>0</v>
      </c>
      <c r="BV54" s="57">
        <f>IFERROR(GETPIVOTDATA("17.満室想定税込(自動)",pivot!$AR$9,"3.物件名",BV6,"19.賃貸用","yes"),0)*12</f>
        <v>0</v>
      </c>
      <c r="BW54" s="57">
        <f>IFERROR(GETPIVOTDATA("17.満室想定税込(自動)",pivot!$AR$9,"3.物件名",BW6,"19.賃貸用","yes"),0)*12</f>
        <v>0</v>
      </c>
      <c r="BX54" s="57">
        <f>IFERROR(GETPIVOTDATA("17.満室想定税込(自動)",pivot!$AR$9,"3.物件名",BX6,"19.賃貸用","yes"),0)*12</f>
        <v>0</v>
      </c>
      <c r="BY54" s="57">
        <f>IFERROR(GETPIVOTDATA("17.満室想定税込(自動)",pivot!$AR$9,"3.物件名",BY6,"19.賃貸用","yes"),0)*12</f>
        <v>0</v>
      </c>
      <c r="BZ54" s="57">
        <f>IFERROR(GETPIVOTDATA("17.満室想定税込(自動)",pivot!$AR$9,"3.物件名",BZ6,"19.賃貸用","yes"),0)*12</f>
        <v>0</v>
      </c>
      <c r="CA54" s="57">
        <f>IFERROR(GETPIVOTDATA("17.満室想定税込(自動)",pivot!$AR$9,"3.物件名",CA6,"19.賃貸用","yes"),0)*12</f>
        <v>0</v>
      </c>
      <c r="CB54" s="57">
        <f>IFERROR(GETPIVOTDATA("17.満室想定税込(自動)",pivot!$AR$9,"3.物件名",CB6,"19.賃貸用","yes"),0)*12</f>
        <v>0</v>
      </c>
    </row>
    <row r="55" spans="1:80" ht="13.5" customHeight="1">
      <c r="A55" s="175">
        <v>52</v>
      </c>
      <c r="B55" s="191" t="s">
        <v>955</v>
      </c>
      <c r="C55" s="4" t="s">
        <v>949</v>
      </c>
      <c r="D55" s="4" t="s">
        <v>846</v>
      </c>
      <c r="E55" s="194">
        <f>1-(E58/E54)</f>
        <v>0.95490716180371349</v>
      </c>
      <c r="F55" s="195">
        <f t="shared" ref="F55:AK55" si="93">IFERROR((F49*12)/(F49*12+F50),0)</f>
        <v>0.95490716180371349</v>
      </c>
      <c r="G55" s="195">
        <f t="shared" si="93"/>
        <v>0.95490716180371349</v>
      </c>
      <c r="H55" s="195">
        <f t="shared" si="93"/>
        <v>0.95490716180371349</v>
      </c>
      <c r="I55" s="195">
        <f t="shared" si="93"/>
        <v>0.95490716180371349</v>
      </c>
      <c r="J55" s="195">
        <f t="shared" si="93"/>
        <v>0.95490716180371349</v>
      </c>
      <c r="K55" s="195">
        <f t="shared" si="93"/>
        <v>0.95490716180371349</v>
      </c>
      <c r="L55" s="195">
        <f t="shared" si="93"/>
        <v>0.95490716180371349</v>
      </c>
      <c r="M55" s="195">
        <f t="shared" si="93"/>
        <v>0.95490716180371349</v>
      </c>
      <c r="N55" s="195">
        <f t="shared" si="93"/>
        <v>0</v>
      </c>
      <c r="O55" s="195">
        <f t="shared" si="93"/>
        <v>0.95490716180371349</v>
      </c>
      <c r="P55" s="195">
        <f t="shared" si="93"/>
        <v>0.95490716180371349</v>
      </c>
      <c r="Q55" s="195">
        <f t="shared" si="93"/>
        <v>0.95490716180371349</v>
      </c>
      <c r="R55" s="195">
        <f t="shared" si="93"/>
        <v>0.95490716180371349</v>
      </c>
      <c r="S55" s="195">
        <f t="shared" si="93"/>
        <v>0.95490716180371349</v>
      </c>
      <c r="T55" s="195">
        <f t="shared" si="93"/>
        <v>0.95490716180371349</v>
      </c>
      <c r="U55" s="195">
        <f t="shared" si="93"/>
        <v>0.95490716180371349</v>
      </c>
      <c r="V55" s="195">
        <f t="shared" si="93"/>
        <v>0</v>
      </c>
      <c r="W55" s="195">
        <f t="shared" si="93"/>
        <v>0.95490716180371349</v>
      </c>
      <c r="X55" s="195">
        <f t="shared" si="93"/>
        <v>0.95490716180371349</v>
      </c>
      <c r="Y55" s="195">
        <f t="shared" si="93"/>
        <v>0.95490716180371349</v>
      </c>
      <c r="Z55" s="195">
        <f t="shared" si="93"/>
        <v>0.95490716180371349</v>
      </c>
      <c r="AA55" s="195">
        <f t="shared" si="93"/>
        <v>0.95490716180371349</v>
      </c>
      <c r="AB55" s="195">
        <f t="shared" si="93"/>
        <v>0</v>
      </c>
      <c r="AC55" s="195">
        <f t="shared" si="93"/>
        <v>0</v>
      </c>
      <c r="AD55" s="195">
        <f t="shared" si="93"/>
        <v>0</v>
      </c>
      <c r="AE55" s="195">
        <f t="shared" si="93"/>
        <v>0</v>
      </c>
      <c r="AF55" s="195">
        <f t="shared" si="93"/>
        <v>0</v>
      </c>
      <c r="AG55" s="195">
        <f t="shared" si="93"/>
        <v>0</v>
      </c>
      <c r="AH55" s="195">
        <f t="shared" si="93"/>
        <v>0</v>
      </c>
      <c r="AI55" s="195">
        <f t="shared" si="93"/>
        <v>0</v>
      </c>
      <c r="AJ55" s="195">
        <f t="shared" si="93"/>
        <v>0</v>
      </c>
      <c r="AK55" s="195">
        <f t="shared" si="93"/>
        <v>0</v>
      </c>
      <c r="AL55" s="195">
        <f t="shared" ref="AL55:BQ55" si="94">IFERROR((AL49*12)/(AL49*12+AL50),0)</f>
        <v>0</v>
      </c>
      <c r="AM55" s="195">
        <f t="shared" si="94"/>
        <v>0</v>
      </c>
      <c r="AN55" s="195">
        <f t="shared" si="94"/>
        <v>0</v>
      </c>
      <c r="AO55" s="195">
        <f t="shared" si="94"/>
        <v>0</v>
      </c>
      <c r="AP55" s="195">
        <f t="shared" si="94"/>
        <v>0</v>
      </c>
      <c r="AQ55" s="195">
        <f t="shared" si="94"/>
        <v>0</v>
      </c>
      <c r="AR55" s="195">
        <f t="shared" si="94"/>
        <v>0</v>
      </c>
      <c r="AS55" s="195">
        <f t="shared" si="94"/>
        <v>0</v>
      </c>
      <c r="AT55" s="195">
        <f t="shared" si="94"/>
        <v>0</v>
      </c>
      <c r="AU55" s="195">
        <f t="shared" si="94"/>
        <v>0</v>
      </c>
      <c r="AV55" s="195">
        <f t="shared" si="94"/>
        <v>0</v>
      </c>
      <c r="AW55" s="195">
        <f t="shared" si="94"/>
        <v>0</v>
      </c>
      <c r="AX55" s="195">
        <f t="shared" si="94"/>
        <v>0</v>
      </c>
      <c r="AY55" s="195">
        <f t="shared" si="94"/>
        <v>0</v>
      </c>
      <c r="AZ55" s="195">
        <f t="shared" si="94"/>
        <v>0</v>
      </c>
      <c r="BA55" s="195">
        <f t="shared" si="94"/>
        <v>0</v>
      </c>
      <c r="BB55" s="195">
        <f t="shared" si="94"/>
        <v>0</v>
      </c>
      <c r="BC55" s="195">
        <f t="shared" si="94"/>
        <v>0</v>
      </c>
      <c r="BD55" s="195">
        <f t="shared" si="94"/>
        <v>0</v>
      </c>
      <c r="BE55" s="195">
        <f t="shared" si="94"/>
        <v>0</v>
      </c>
      <c r="BF55" s="195">
        <f t="shared" si="94"/>
        <v>0</v>
      </c>
      <c r="BG55" s="195">
        <f t="shared" si="94"/>
        <v>0</v>
      </c>
      <c r="BH55" s="195">
        <f t="shared" si="94"/>
        <v>0</v>
      </c>
      <c r="BI55" s="195">
        <f t="shared" si="94"/>
        <v>0</v>
      </c>
      <c r="BJ55" s="195">
        <f t="shared" si="94"/>
        <v>0</v>
      </c>
      <c r="BK55" s="195">
        <f t="shared" si="94"/>
        <v>0</v>
      </c>
      <c r="BL55" s="195">
        <f t="shared" si="94"/>
        <v>0</v>
      </c>
      <c r="BM55" s="195">
        <f t="shared" si="94"/>
        <v>0</v>
      </c>
      <c r="BN55" s="195">
        <f t="shared" si="94"/>
        <v>0</v>
      </c>
      <c r="BO55" s="195">
        <f t="shared" si="94"/>
        <v>0</v>
      </c>
      <c r="BP55" s="195">
        <f t="shared" si="94"/>
        <v>0</v>
      </c>
      <c r="BQ55" s="195">
        <f t="shared" si="94"/>
        <v>0</v>
      </c>
      <c r="BR55" s="195">
        <f t="shared" ref="BR55:CB55" si="95">IFERROR((BR49*12)/(BR49*12+BR50),0)</f>
        <v>0</v>
      </c>
      <c r="BS55" s="195">
        <f t="shared" si="95"/>
        <v>0</v>
      </c>
      <c r="BT55" s="195">
        <f t="shared" si="95"/>
        <v>0</v>
      </c>
      <c r="BU55" s="195">
        <f t="shared" si="95"/>
        <v>0</v>
      </c>
      <c r="BV55" s="195">
        <f t="shared" si="95"/>
        <v>0</v>
      </c>
      <c r="BW55" s="195">
        <f t="shared" si="95"/>
        <v>0</v>
      </c>
      <c r="BX55" s="195">
        <f t="shared" si="95"/>
        <v>0</v>
      </c>
      <c r="BY55" s="195">
        <f t="shared" si="95"/>
        <v>0</v>
      </c>
      <c r="BZ55" s="195">
        <f t="shared" si="95"/>
        <v>0</v>
      </c>
      <c r="CA55" s="195">
        <f t="shared" si="95"/>
        <v>0</v>
      </c>
      <c r="CB55" s="195">
        <f t="shared" si="95"/>
        <v>0</v>
      </c>
    </row>
    <row r="56" spans="1:80" ht="13.5" customHeight="1">
      <c r="A56" s="175">
        <v>53</v>
      </c>
      <c r="B56" s="191" t="s">
        <v>956</v>
      </c>
      <c r="C56" s="4" t="s">
        <v>377</v>
      </c>
      <c r="D56" s="4" t="s">
        <v>846</v>
      </c>
      <c r="E56" s="183">
        <f>SUMIF(F5:CH5,"no",F56:CH56)</f>
        <v>408497572.83819622</v>
      </c>
      <c r="F56" s="57">
        <f t="shared" ref="F56:AK56" si="96">IFERROR(F55*F54,"")</f>
        <v>21076328.912466843</v>
      </c>
      <c r="G56" s="57">
        <f t="shared" si="96"/>
        <v>35499628.647214852</v>
      </c>
      <c r="H56" s="57">
        <f t="shared" si="96"/>
        <v>34917265.145888589</v>
      </c>
      <c r="I56" s="57">
        <f t="shared" si="96"/>
        <v>8667501.3262599465</v>
      </c>
      <c r="J56" s="57">
        <f t="shared" si="96"/>
        <v>32096637.453580901</v>
      </c>
      <c r="K56" s="57">
        <f t="shared" si="96"/>
        <v>35490461.538461536</v>
      </c>
      <c r="L56" s="57">
        <f t="shared" si="96"/>
        <v>28403140.583554376</v>
      </c>
      <c r="M56" s="57">
        <f t="shared" si="96"/>
        <v>17583786.525198936</v>
      </c>
      <c r="N56" s="57">
        <f t="shared" si="96"/>
        <v>0</v>
      </c>
      <c r="O56" s="57">
        <f t="shared" si="96"/>
        <v>21455320.106100794</v>
      </c>
      <c r="P56" s="57">
        <f t="shared" si="96"/>
        <v>28990981.432360742</v>
      </c>
      <c r="Q56" s="57">
        <f t="shared" si="96"/>
        <v>34445411.140583552</v>
      </c>
      <c r="R56" s="57">
        <f t="shared" si="96"/>
        <v>14832553.846153846</v>
      </c>
      <c r="S56" s="57">
        <f t="shared" si="96"/>
        <v>40940009.761273205</v>
      </c>
      <c r="T56" s="57">
        <f t="shared" si="96"/>
        <v>28278238.726790451</v>
      </c>
      <c r="U56" s="57">
        <f t="shared" si="96"/>
        <v>9858079.5755968168</v>
      </c>
      <c r="V56" s="57">
        <f t="shared" si="96"/>
        <v>0</v>
      </c>
      <c r="W56" s="57">
        <f t="shared" si="96"/>
        <v>9946312.9973474797</v>
      </c>
      <c r="X56" s="57">
        <f t="shared" si="96"/>
        <v>401061.00795755966</v>
      </c>
      <c r="Y56" s="57">
        <f t="shared" si="96"/>
        <v>0</v>
      </c>
      <c r="Z56" s="57">
        <f t="shared" si="96"/>
        <v>3781432.3607427054</v>
      </c>
      <c r="AA56" s="57">
        <f t="shared" si="96"/>
        <v>1833421.7506631298</v>
      </c>
      <c r="AB56" s="57">
        <f t="shared" si="96"/>
        <v>0</v>
      </c>
      <c r="AC56" s="57">
        <f t="shared" si="96"/>
        <v>0</v>
      </c>
      <c r="AD56" s="57">
        <f t="shared" si="96"/>
        <v>0</v>
      </c>
      <c r="AE56" s="57">
        <f t="shared" si="96"/>
        <v>0</v>
      </c>
      <c r="AF56" s="57">
        <f t="shared" si="96"/>
        <v>0</v>
      </c>
      <c r="AG56" s="57">
        <f t="shared" si="96"/>
        <v>0</v>
      </c>
      <c r="AH56" s="57">
        <f t="shared" si="96"/>
        <v>0</v>
      </c>
      <c r="AI56" s="57">
        <f t="shared" si="96"/>
        <v>0</v>
      </c>
      <c r="AJ56" s="57">
        <f t="shared" si="96"/>
        <v>0</v>
      </c>
      <c r="AK56" s="57">
        <f t="shared" si="96"/>
        <v>0</v>
      </c>
      <c r="AL56" s="57">
        <f t="shared" ref="AL56:BQ56" si="97">IFERROR(AL55*AL54,"")</f>
        <v>0</v>
      </c>
      <c r="AM56" s="57">
        <f t="shared" si="97"/>
        <v>0</v>
      </c>
      <c r="AN56" s="57">
        <f t="shared" si="97"/>
        <v>0</v>
      </c>
      <c r="AO56" s="57">
        <f t="shared" si="97"/>
        <v>0</v>
      </c>
      <c r="AP56" s="57">
        <f t="shared" si="97"/>
        <v>0</v>
      </c>
      <c r="AQ56" s="57">
        <f t="shared" si="97"/>
        <v>0</v>
      </c>
      <c r="AR56" s="57">
        <f t="shared" si="97"/>
        <v>0</v>
      </c>
      <c r="AS56" s="57">
        <f t="shared" si="97"/>
        <v>0</v>
      </c>
      <c r="AT56" s="57">
        <f t="shared" si="97"/>
        <v>0</v>
      </c>
      <c r="AU56" s="57">
        <f t="shared" si="97"/>
        <v>0</v>
      </c>
      <c r="AV56" s="57">
        <f t="shared" si="97"/>
        <v>0</v>
      </c>
      <c r="AW56" s="57">
        <f t="shared" si="97"/>
        <v>0</v>
      </c>
      <c r="AX56" s="57">
        <f t="shared" si="97"/>
        <v>0</v>
      </c>
      <c r="AY56" s="57">
        <f t="shared" si="97"/>
        <v>0</v>
      </c>
      <c r="AZ56" s="57">
        <f t="shared" si="97"/>
        <v>0</v>
      </c>
      <c r="BA56" s="57">
        <f t="shared" si="97"/>
        <v>0</v>
      </c>
      <c r="BB56" s="57">
        <f t="shared" si="97"/>
        <v>0</v>
      </c>
      <c r="BC56" s="57">
        <f t="shared" si="97"/>
        <v>0</v>
      </c>
      <c r="BD56" s="57">
        <f t="shared" si="97"/>
        <v>0</v>
      </c>
      <c r="BE56" s="57">
        <f t="shared" si="97"/>
        <v>0</v>
      </c>
      <c r="BF56" s="57">
        <f t="shared" si="97"/>
        <v>0</v>
      </c>
      <c r="BG56" s="57">
        <f t="shared" si="97"/>
        <v>0</v>
      </c>
      <c r="BH56" s="57">
        <f t="shared" si="97"/>
        <v>0</v>
      </c>
      <c r="BI56" s="57">
        <f t="shared" si="97"/>
        <v>0</v>
      </c>
      <c r="BJ56" s="57">
        <f t="shared" si="97"/>
        <v>0</v>
      </c>
      <c r="BK56" s="57">
        <f t="shared" si="97"/>
        <v>0</v>
      </c>
      <c r="BL56" s="57">
        <f t="shared" si="97"/>
        <v>0</v>
      </c>
      <c r="BM56" s="57">
        <f t="shared" si="97"/>
        <v>0</v>
      </c>
      <c r="BN56" s="57">
        <f t="shared" si="97"/>
        <v>0</v>
      </c>
      <c r="BO56" s="57">
        <f t="shared" si="97"/>
        <v>0</v>
      </c>
      <c r="BP56" s="57">
        <f t="shared" si="97"/>
        <v>0</v>
      </c>
      <c r="BQ56" s="57">
        <f t="shared" si="97"/>
        <v>0</v>
      </c>
      <c r="BR56" s="57">
        <f t="shared" ref="BR56:CB56" si="98">IFERROR(BR55*BR54,"")</f>
        <v>0</v>
      </c>
      <c r="BS56" s="57">
        <f t="shared" si="98"/>
        <v>0</v>
      </c>
      <c r="BT56" s="57">
        <f t="shared" si="98"/>
        <v>0</v>
      </c>
      <c r="BU56" s="57">
        <f t="shared" si="98"/>
        <v>0</v>
      </c>
      <c r="BV56" s="57">
        <f t="shared" si="98"/>
        <v>0</v>
      </c>
      <c r="BW56" s="57">
        <f t="shared" si="98"/>
        <v>0</v>
      </c>
      <c r="BX56" s="57">
        <f t="shared" si="98"/>
        <v>0</v>
      </c>
      <c r="BY56" s="57">
        <f t="shared" si="98"/>
        <v>0</v>
      </c>
      <c r="BZ56" s="57">
        <f t="shared" si="98"/>
        <v>0</v>
      </c>
      <c r="CA56" s="57">
        <f t="shared" si="98"/>
        <v>0</v>
      </c>
      <c r="CB56" s="57">
        <f t="shared" si="98"/>
        <v>0</v>
      </c>
    </row>
    <row r="57" spans="1:80" ht="13.5" customHeight="1">
      <c r="A57" s="175">
        <v>54</v>
      </c>
      <c r="B57" s="191" t="s">
        <v>957</v>
      </c>
      <c r="C57" s="4" t="s">
        <v>377</v>
      </c>
      <c r="D57" s="4" t="s">
        <v>846</v>
      </c>
      <c r="E57" s="183">
        <f>SUMIF(F5:CH5,"no",F57:CH57)</f>
        <v>423689688</v>
      </c>
      <c r="F57" s="57">
        <f>IFERROR(GETPIVOTDATA("13.現況賃料税込(自動)",pivot!$BF$7,"3.物件名",F6)*12,"")</f>
        <v>22071600</v>
      </c>
      <c r="G57" s="57">
        <f>IFERROR(GETPIVOTDATA("13.現況賃料税込(自動)",pivot!$BF$7,"3.物件名",G6)*12,"")</f>
        <v>37176000</v>
      </c>
      <c r="H57" s="57">
        <f>IFERROR(GETPIVOTDATA("13.現況賃料税込(自動)",pivot!$BF$7,"3.物件名",H6)*12,"")</f>
        <v>36566136</v>
      </c>
      <c r="I57" s="57">
        <f>IFERROR(GETPIVOTDATA("13.現況賃料税込(自動)",pivot!$BF$7,"3.物件名",I6)*12,"")</f>
        <v>8020800</v>
      </c>
      <c r="J57" s="57">
        <f>IFERROR(GETPIVOTDATA("13.現況賃料税込(自動)",pivot!$BF$7,"3.物件名",J6)*12,"")</f>
        <v>31161864</v>
      </c>
      <c r="K57" s="57">
        <f>IFERROR(GETPIVOTDATA("13.現況賃料税込(自動)",pivot!$BF$7,"3.物件名",K6)*12,"")</f>
        <v>37166400</v>
      </c>
      <c r="L57" s="57">
        <f>IFERROR(GETPIVOTDATA("13.現況賃料税込(自動)",pivot!$BF$7,"3.物件名",L6)*12,"")</f>
        <v>29744400</v>
      </c>
      <c r="M57" s="57">
        <f>IFERROR(GETPIVOTDATA("13.現況賃料税込(自動)",pivot!$BF$7,"3.物件名",M6)*12,"")</f>
        <v>18414132</v>
      </c>
      <c r="N57" s="57" t="str">
        <f>IFERROR(GETPIVOTDATA("13.現況賃料税込(自動)",pivot!$BF$7,"3.物件名",N6)*12,"")</f>
        <v/>
      </c>
      <c r="O57" s="57">
        <f>IFERROR(GETPIVOTDATA("13.現況賃料税込(自動)",pivot!$BF$7,"3.物件名",O6)*12,"")</f>
        <v>22468488</v>
      </c>
      <c r="P57" s="57">
        <f>IFERROR(GETPIVOTDATA("13.現況賃料税込(自動)",pivot!$BF$7,"3.物件名",P6)*12,"")</f>
        <v>30360000</v>
      </c>
      <c r="Q57" s="57">
        <f>IFERROR(GETPIVOTDATA("13.現況賃料税込(自動)",pivot!$BF$7,"3.物件名",Q6)*12,"")</f>
        <v>36072000</v>
      </c>
      <c r="R57" s="57">
        <f>IFERROR(GETPIVOTDATA("13.現況賃料税込(自動)",pivot!$BF$7,"3.物件名",R6)*12,"")</f>
        <v>15532980</v>
      </c>
      <c r="S57" s="57">
        <f>IFERROR(GETPIVOTDATA("13.現況賃料税込(自動)",pivot!$BF$7,"3.物件名",S6)*12,"")</f>
        <v>42873288</v>
      </c>
      <c r="T57" s="57">
        <f>IFERROR(GETPIVOTDATA("13.現況賃料税込(自動)",pivot!$BF$7,"3.物件名",T6)*12,"")</f>
        <v>29613600</v>
      </c>
      <c r="U57" s="57">
        <f>IFERROR(GETPIVOTDATA("13.現況賃料税込(自動)",pivot!$BF$7,"3.物件名",U6)*12,"")</f>
        <v>10152000</v>
      </c>
      <c r="V57" s="57" t="str">
        <f>IFERROR(GETPIVOTDATA("13.現況賃料税込(自動)",pivot!$BF$7,"3.物件名",V6)*12,"")</f>
        <v/>
      </c>
      <c r="W57" s="57">
        <f>IFERROR(GETPIVOTDATA("13.現況賃料税込(自動)",pivot!$BF$7,"3.物件名",W6)*12,"")</f>
        <v>10416000</v>
      </c>
      <c r="X57" s="57">
        <f>IFERROR(GETPIVOTDATA("13.現況賃料税込(自動)",pivot!$BF$7,"3.物件名",X6)*12,"")</f>
        <v>0</v>
      </c>
      <c r="Y57" s="57">
        <f>IFERROR(GETPIVOTDATA("13.現況賃料税込(自動)",pivot!$BF$7,"3.物件名",Y6)*12,"")</f>
        <v>0</v>
      </c>
      <c r="Z57" s="57">
        <f>IFERROR(GETPIVOTDATA("13.現況賃料税込(自動)",pivot!$BF$7,"3.物件名",Z6)*12,"")</f>
        <v>3960000</v>
      </c>
      <c r="AA57" s="57">
        <f>IFERROR(GETPIVOTDATA("13.現況賃料税込(自動)",pivot!$BF$7,"3.物件名",AA6)*12,"")</f>
        <v>1920000</v>
      </c>
      <c r="AB57" s="57" t="str">
        <f>IFERROR(GETPIVOTDATA("13.現況賃料税込(自動)",pivot!$BF$7,"3.物件名",AB6)*12,"")</f>
        <v/>
      </c>
      <c r="AC57" s="57" t="str">
        <f>IFERROR(GETPIVOTDATA("13.現況賃料税込(自動)",pivot!$BF$7,"3.物件名",AC6)*12,"")</f>
        <v/>
      </c>
      <c r="AD57" s="57" t="str">
        <f>IFERROR(GETPIVOTDATA("13.現況賃料税込(自動)",pivot!$BF$7,"3.物件名",AD6)*12,"")</f>
        <v/>
      </c>
      <c r="AE57" s="57" t="str">
        <f>IFERROR(GETPIVOTDATA("13.現況賃料税込(自動)",pivot!$BF$7,"3.物件名",AE6)*12,"")</f>
        <v/>
      </c>
      <c r="AF57" s="57" t="str">
        <f>IFERROR(GETPIVOTDATA("13.現況賃料税込(自動)",pivot!$BF$7,"3.物件名",AF6)*12,"")</f>
        <v/>
      </c>
      <c r="AG57" s="57" t="str">
        <f>IFERROR(GETPIVOTDATA("13.現況賃料税込(自動)",pivot!$BF$7,"3.物件名",AG6)*12,"")</f>
        <v/>
      </c>
      <c r="AH57" s="57" t="str">
        <f>IFERROR(GETPIVOTDATA("13.現況賃料税込(自動)",pivot!$BF$7,"3.物件名",AH6)*12,"")</f>
        <v/>
      </c>
      <c r="AI57" s="57" t="str">
        <f>IFERROR(GETPIVOTDATA("13.現況賃料税込(自動)",pivot!$BF$7,"3.物件名",AI6)*12,"")</f>
        <v/>
      </c>
      <c r="AJ57" s="57" t="str">
        <f>IFERROR(GETPIVOTDATA("13.現況賃料税込(自動)",pivot!$BF$7,"3.物件名",AJ6)*12,"")</f>
        <v/>
      </c>
      <c r="AK57" s="57" t="str">
        <f>IFERROR(GETPIVOTDATA("13.現況賃料税込(自動)",pivot!$BF$7,"3.物件名",AK6)*12,"")</f>
        <v/>
      </c>
      <c r="AL57" s="57" t="str">
        <f>IFERROR(GETPIVOTDATA("13.現況賃料税込(自動)",pivot!$BF$7,"3.物件名",AL6)*12,"")</f>
        <v/>
      </c>
      <c r="AM57" s="57" t="str">
        <f>IFERROR(GETPIVOTDATA("13.現況賃料税込(自動)",pivot!$BF$7,"3.物件名",AM6)*12,"")</f>
        <v/>
      </c>
      <c r="AN57" s="57" t="str">
        <f>IFERROR(GETPIVOTDATA("13.現況賃料税込(自動)",pivot!$BF$7,"3.物件名",AN6)*12,"")</f>
        <v/>
      </c>
      <c r="AO57" s="57" t="str">
        <f>IFERROR(GETPIVOTDATA("13.現況賃料税込(自動)",pivot!$BF$7,"3.物件名",AO6)*12,"")</f>
        <v/>
      </c>
      <c r="AP57" s="57" t="str">
        <f>IFERROR(GETPIVOTDATA("13.現況賃料税込(自動)",pivot!$BF$7,"3.物件名",AP6)*12,"")</f>
        <v/>
      </c>
      <c r="AQ57" s="57" t="str">
        <f>IFERROR(GETPIVOTDATA("13.現況賃料税込(自動)",pivot!$BF$7,"3.物件名",AQ6)*12,"")</f>
        <v/>
      </c>
      <c r="AR57" s="57" t="str">
        <f>IFERROR(GETPIVOTDATA("13.現況賃料税込(自動)",pivot!$BF$7,"3.物件名",AR6)*12,"")</f>
        <v/>
      </c>
      <c r="AS57" s="57" t="str">
        <f>IFERROR(GETPIVOTDATA("13.現況賃料税込(自動)",pivot!$BF$7,"3.物件名",AS6)*12,"")</f>
        <v/>
      </c>
      <c r="AT57" s="57" t="str">
        <f>IFERROR(GETPIVOTDATA("13.現況賃料税込(自動)",pivot!$BF$7,"3.物件名",AT6)*12,"")</f>
        <v/>
      </c>
      <c r="AU57" s="57" t="str">
        <f>IFERROR(GETPIVOTDATA("13.現況賃料税込(自動)",pivot!$BF$7,"3.物件名",AU6)*12,"")</f>
        <v/>
      </c>
      <c r="AV57" s="57" t="str">
        <f>IFERROR(GETPIVOTDATA("13.現況賃料税込(自動)",pivot!$BF$7,"3.物件名",AV6)*12,"")</f>
        <v/>
      </c>
      <c r="AW57" s="57" t="str">
        <f>IFERROR(GETPIVOTDATA("13.現況賃料税込(自動)",pivot!$BF$7,"3.物件名",AW6)*12,"")</f>
        <v/>
      </c>
      <c r="AX57" s="57" t="str">
        <f>IFERROR(GETPIVOTDATA("13.現況賃料税込(自動)",pivot!$BF$7,"3.物件名",AX6)*12,"")</f>
        <v/>
      </c>
      <c r="AY57" s="57" t="str">
        <f>IFERROR(GETPIVOTDATA("13.現況賃料税込(自動)",pivot!$BF$7,"3.物件名",AY6)*12,"")</f>
        <v/>
      </c>
      <c r="AZ57" s="57" t="str">
        <f>IFERROR(GETPIVOTDATA("13.現況賃料税込(自動)",pivot!$BF$7,"3.物件名",AZ6)*12,"")</f>
        <v/>
      </c>
      <c r="BA57" s="57" t="str">
        <f>IFERROR(GETPIVOTDATA("13.現況賃料税込(自動)",pivot!$BF$7,"3.物件名",BA6)*12,"")</f>
        <v/>
      </c>
      <c r="BB57" s="57" t="str">
        <f>IFERROR(GETPIVOTDATA("13.現況賃料税込(自動)",pivot!$BF$7,"3.物件名",BB6)*12,"")</f>
        <v/>
      </c>
      <c r="BC57" s="57" t="str">
        <f>IFERROR(GETPIVOTDATA("13.現況賃料税込(自動)",pivot!$BF$7,"3.物件名",BC6)*12,"")</f>
        <v/>
      </c>
      <c r="BD57" s="57" t="str">
        <f>IFERROR(GETPIVOTDATA("13.現況賃料税込(自動)",pivot!$BF$7,"3.物件名",BD6)*12,"")</f>
        <v/>
      </c>
      <c r="BE57" s="57" t="str">
        <f>IFERROR(GETPIVOTDATA("13.現況賃料税込(自動)",pivot!$BF$7,"3.物件名",BE6)*12,"")</f>
        <v/>
      </c>
      <c r="BF57" s="57" t="str">
        <f>IFERROR(GETPIVOTDATA("13.現況賃料税込(自動)",pivot!$BF$7,"3.物件名",BF6)*12,"")</f>
        <v/>
      </c>
      <c r="BG57" s="57" t="str">
        <f>IFERROR(GETPIVOTDATA("13.現況賃料税込(自動)",pivot!$BF$7,"3.物件名",BG6)*12,"")</f>
        <v/>
      </c>
      <c r="BH57" s="57" t="str">
        <f>IFERROR(GETPIVOTDATA("13.現況賃料税込(自動)",pivot!$BF$7,"3.物件名",BH6)*12,"")</f>
        <v/>
      </c>
      <c r="BI57" s="57" t="str">
        <f>IFERROR(GETPIVOTDATA("13.現況賃料税込(自動)",pivot!$BF$7,"3.物件名",BI6)*12,"")</f>
        <v/>
      </c>
      <c r="BJ57" s="57" t="str">
        <f>IFERROR(GETPIVOTDATA("13.現況賃料税込(自動)",pivot!$BF$7,"3.物件名",BJ6)*12,"")</f>
        <v/>
      </c>
      <c r="BK57" s="57" t="str">
        <f>IFERROR(GETPIVOTDATA("13.現況賃料税込(自動)",pivot!$BF$7,"3.物件名",BK6)*12,"")</f>
        <v/>
      </c>
      <c r="BL57" s="57" t="str">
        <f>IFERROR(GETPIVOTDATA("13.現況賃料税込(自動)",pivot!$BF$7,"3.物件名",BL6)*12,"")</f>
        <v/>
      </c>
      <c r="BM57" s="57" t="str">
        <f>IFERROR(GETPIVOTDATA("13.現況賃料税込(自動)",pivot!$BF$7,"3.物件名",BM6)*12,"")</f>
        <v/>
      </c>
      <c r="BN57" s="57" t="str">
        <f>IFERROR(GETPIVOTDATA("13.現況賃料税込(自動)",pivot!$BF$7,"3.物件名",BN6)*12,"")</f>
        <v/>
      </c>
      <c r="BO57" s="57" t="str">
        <f>IFERROR(GETPIVOTDATA("13.現況賃料税込(自動)",pivot!$BF$7,"3.物件名",BO6)*12,"")</f>
        <v/>
      </c>
      <c r="BP57" s="57" t="str">
        <f>IFERROR(GETPIVOTDATA("13.現況賃料税込(自動)",pivot!$BF$7,"3.物件名",BP6)*12,"")</f>
        <v/>
      </c>
      <c r="BQ57" s="57" t="str">
        <f>IFERROR(GETPIVOTDATA("13.現況賃料税込(自動)",pivot!$BF$7,"3.物件名",BQ6)*12,"")</f>
        <v/>
      </c>
      <c r="BR57" s="57" t="str">
        <f>IFERROR(GETPIVOTDATA("13.現況賃料税込(自動)",pivot!$BF$7,"3.物件名",BR6)*12,"")</f>
        <v/>
      </c>
      <c r="BS57" s="57" t="str">
        <f>IFERROR(GETPIVOTDATA("13.現況賃料税込(自動)",pivot!$BF$7,"3.物件名",BS6)*12,"")</f>
        <v/>
      </c>
      <c r="BT57" s="57" t="str">
        <f>IFERROR(GETPIVOTDATA("13.現況賃料税込(自動)",pivot!$BF$7,"3.物件名",BT6)*12,"")</f>
        <v/>
      </c>
      <c r="BU57" s="57" t="str">
        <f>IFERROR(GETPIVOTDATA("13.現況賃料税込(自動)",pivot!$BF$7,"3.物件名",BU6)*12,"")</f>
        <v/>
      </c>
      <c r="BV57" s="57" t="str">
        <f>IFERROR(GETPIVOTDATA("13.現況賃料税込(自動)",pivot!$BF$7,"3.物件名",BV6)*12,"")</f>
        <v/>
      </c>
      <c r="BW57" s="57" t="str">
        <f>IFERROR(GETPIVOTDATA("13.現況賃料税込(自動)",pivot!$BF$7,"3.物件名",BW6)*12,"")</f>
        <v/>
      </c>
      <c r="BX57" s="57" t="str">
        <f>IFERROR(GETPIVOTDATA("13.現況賃料税込(自動)",pivot!$BF$7,"3.物件名",BX6)*12,"")</f>
        <v/>
      </c>
      <c r="BY57" s="57" t="str">
        <f>IFERROR(GETPIVOTDATA("13.現況賃料税込(自動)",pivot!$BF$7,"3.物件名",BY6)*12,"")</f>
        <v/>
      </c>
      <c r="BZ57" s="57" t="str">
        <f>IFERROR(GETPIVOTDATA("13.現況賃料税込(自動)",pivot!$BF$7,"3.物件名",BZ6)*12,"")</f>
        <v/>
      </c>
      <c r="CA57" s="57" t="str">
        <f>IFERROR(GETPIVOTDATA("13.現況賃料税込(自動)",pivot!$BF$7,"3.物件名",CA6)*12,"")</f>
        <v/>
      </c>
      <c r="CB57" s="57" t="str">
        <f>IFERROR(GETPIVOTDATA("13.現況賃料税込(自動)",pivot!$BF$7,"3.物件名",CB6)*12,"")</f>
        <v/>
      </c>
    </row>
    <row r="58" spans="1:80" ht="13.5" customHeight="1">
      <c r="A58" s="175">
        <v>55</v>
      </c>
      <c r="B58" s="191" t="s">
        <v>958</v>
      </c>
      <c r="C58" s="4" t="s">
        <v>377</v>
      </c>
      <c r="D58" s="4" t="s">
        <v>846</v>
      </c>
      <c r="E58" s="183">
        <f>SUMIF(F5:CH5,"no",F58:CH58)</f>
        <v>19290163.161803737</v>
      </c>
      <c r="F58" s="57">
        <f t="shared" ref="F58:AK58" si="99">IFERROR(F54-F56,"")</f>
        <v>995271.08753315732</v>
      </c>
      <c r="G58" s="57">
        <f t="shared" si="99"/>
        <v>1676371.3527851477</v>
      </c>
      <c r="H58" s="57">
        <f t="shared" si="99"/>
        <v>1648870.8541114107</v>
      </c>
      <c r="I58" s="57">
        <f t="shared" si="99"/>
        <v>409298.67374005355</v>
      </c>
      <c r="J58" s="57">
        <f t="shared" si="99"/>
        <v>1515674.546419099</v>
      </c>
      <c r="K58" s="57">
        <f t="shared" si="99"/>
        <v>1675938.4615384638</v>
      </c>
      <c r="L58" s="57">
        <f t="shared" si="99"/>
        <v>1341259.4164456241</v>
      </c>
      <c r="M58" s="57">
        <f t="shared" si="99"/>
        <v>830345.47480106354</v>
      </c>
      <c r="N58" s="57">
        <f t="shared" si="99"/>
        <v>0</v>
      </c>
      <c r="O58" s="57">
        <f t="shared" si="99"/>
        <v>1013167.8938992061</v>
      </c>
      <c r="P58" s="57">
        <f t="shared" si="99"/>
        <v>1369018.5676392578</v>
      </c>
      <c r="Q58" s="57">
        <f t="shared" si="99"/>
        <v>1626588.8594164476</v>
      </c>
      <c r="R58" s="57">
        <f t="shared" si="99"/>
        <v>700426.15384615399</v>
      </c>
      <c r="S58" s="57">
        <f t="shared" si="99"/>
        <v>1933278.2387267947</v>
      </c>
      <c r="T58" s="57">
        <f t="shared" si="99"/>
        <v>1335361.2732095495</v>
      </c>
      <c r="U58" s="57">
        <f t="shared" si="99"/>
        <v>465520.42440318316</v>
      </c>
      <c r="V58" s="57">
        <f t="shared" si="99"/>
        <v>0</v>
      </c>
      <c r="W58" s="57">
        <f t="shared" si="99"/>
        <v>469687.00265252031</v>
      </c>
      <c r="X58" s="57">
        <f t="shared" si="99"/>
        <v>18938.992042440339</v>
      </c>
      <c r="Y58" s="57">
        <f t="shared" si="99"/>
        <v>0</v>
      </c>
      <c r="Z58" s="57">
        <f t="shared" si="99"/>
        <v>178567.63925729459</v>
      </c>
      <c r="AA58" s="57">
        <f t="shared" si="99"/>
        <v>86578.249336870154</v>
      </c>
      <c r="AB58" s="57">
        <f t="shared" si="99"/>
        <v>0</v>
      </c>
      <c r="AC58" s="57">
        <f t="shared" si="99"/>
        <v>0</v>
      </c>
      <c r="AD58" s="57">
        <f t="shared" si="99"/>
        <v>0</v>
      </c>
      <c r="AE58" s="57">
        <f t="shared" si="99"/>
        <v>0</v>
      </c>
      <c r="AF58" s="57">
        <f t="shared" si="99"/>
        <v>0</v>
      </c>
      <c r="AG58" s="57">
        <f t="shared" si="99"/>
        <v>0</v>
      </c>
      <c r="AH58" s="57">
        <f t="shared" si="99"/>
        <v>0</v>
      </c>
      <c r="AI58" s="57">
        <f t="shared" si="99"/>
        <v>0</v>
      </c>
      <c r="AJ58" s="57">
        <f t="shared" si="99"/>
        <v>0</v>
      </c>
      <c r="AK58" s="57">
        <f t="shared" si="99"/>
        <v>0</v>
      </c>
      <c r="AL58" s="57">
        <f t="shared" ref="AL58:BQ58" si="100">IFERROR(AL54-AL56,"")</f>
        <v>0</v>
      </c>
      <c r="AM58" s="57">
        <f t="shared" si="100"/>
        <v>0</v>
      </c>
      <c r="AN58" s="57">
        <f t="shared" si="100"/>
        <v>0</v>
      </c>
      <c r="AO58" s="57">
        <f t="shared" si="100"/>
        <v>0</v>
      </c>
      <c r="AP58" s="57">
        <f t="shared" si="100"/>
        <v>0</v>
      </c>
      <c r="AQ58" s="57">
        <f t="shared" si="100"/>
        <v>0</v>
      </c>
      <c r="AR58" s="57">
        <f t="shared" si="100"/>
        <v>0</v>
      </c>
      <c r="AS58" s="57">
        <f t="shared" si="100"/>
        <v>0</v>
      </c>
      <c r="AT58" s="57">
        <f t="shared" si="100"/>
        <v>0</v>
      </c>
      <c r="AU58" s="57">
        <f t="shared" si="100"/>
        <v>0</v>
      </c>
      <c r="AV58" s="57">
        <f t="shared" si="100"/>
        <v>0</v>
      </c>
      <c r="AW58" s="57">
        <f t="shared" si="100"/>
        <v>0</v>
      </c>
      <c r="AX58" s="57">
        <f t="shared" si="100"/>
        <v>0</v>
      </c>
      <c r="AY58" s="57">
        <f t="shared" si="100"/>
        <v>0</v>
      </c>
      <c r="AZ58" s="57">
        <f t="shared" si="100"/>
        <v>0</v>
      </c>
      <c r="BA58" s="57">
        <f t="shared" si="100"/>
        <v>0</v>
      </c>
      <c r="BB58" s="57">
        <f t="shared" si="100"/>
        <v>0</v>
      </c>
      <c r="BC58" s="57">
        <f t="shared" si="100"/>
        <v>0</v>
      </c>
      <c r="BD58" s="57">
        <f t="shared" si="100"/>
        <v>0</v>
      </c>
      <c r="BE58" s="57">
        <f t="shared" si="100"/>
        <v>0</v>
      </c>
      <c r="BF58" s="57">
        <f t="shared" si="100"/>
        <v>0</v>
      </c>
      <c r="BG58" s="57">
        <f t="shared" si="100"/>
        <v>0</v>
      </c>
      <c r="BH58" s="57">
        <f t="shared" si="100"/>
        <v>0</v>
      </c>
      <c r="BI58" s="57">
        <f t="shared" si="100"/>
        <v>0</v>
      </c>
      <c r="BJ58" s="57">
        <f t="shared" si="100"/>
        <v>0</v>
      </c>
      <c r="BK58" s="57">
        <f t="shared" si="100"/>
        <v>0</v>
      </c>
      <c r="BL58" s="57">
        <f t="shared" si="100"/>
        <v>0</v>
      </c>
      <c r="BM58" s="57">
        <f t="shared" si="100"/>
        <v>0</v>
      </c>
      <c r="BN58" s="57">
        <f t="shared" si="100"/>
        <v>0</v>
      </c>
      <c r="BO58" s="57">
        <f t="shared" si="100"/>
        <v>0</v>
      </c>
      <c r="BP58" s="57">
        <f t="shared" si="100"/>
        <v>0</v>
      </c>
      <c r="BQ58" s="57">
        <f t="shared" si="100"/>
        <v>0</v>
      </c>
      <c r="BR58" s="57">
        <f t="shared" ref="BR58:CB58" si="101">IFERROR(BR54-BR56,"")</f>
        <v>0</v>
      </c>
      <c r="BS58" s="57">
        <f t="shared" si="101"/>
        <v>0</v>
      </c>
      <c r="BT58" s="57">
        <f t="shared" si="101"/>
        <v>0</v>
      </c>
      <c r="BU58" s="57">
        <f t="shared" si="101"/>
        <v>0</v>
      </c>
      <c r="BV58" s="57">
        <f t="shared" si="101"/>
        <v>0</v>
      </c>
      <c r="BW58" s="57">
        <f t="shared" si="101"/>
        <v>0</v>
      </c>
      <c r="BX58" s="57">
        <f t="shared" si="101"/>
        <v>0</v>
      </c>
      <c r="BY58" s="57">
        <f t="shared" si="101"/>
        <v>0</v>
      </c>
      <c r="BZ58" s="57">
        <f t="shared" si="101"/>
        <v>0</v>
      </c>
      <c r="CA58" s="57">
        <f t="shared" si="101"/>
        <v>0</v>
      </c>
      <c r="CB58" s="57">
        <f t="shared" si="101"/>
        <v>0</v>
      </c>
    </row>
    <row r="59" spans="1:80" ht="13.5" customHeight="1">
      <c r="A59" s="175">
        <v>56</v>
      </c>
      <c r="B59" s="191" t="s">
        <v>959</v>
      </c>
      <c r="C59" s="4" t="s">
        <v>377</v>
      </c>
      <c r="D59" s="4" t="s">
        <v>846</v>
      </c>
      <c r="E59" s="183">
        <f>SUMIF(F5:CH5,"no",F59:CH59)</f>
        <v>21781494.888063658</v>
      </c>
      <c r="F59" s="57">
        <f t="shared" ref="F59:AK59" si="102">IFERROR((F54-F58)*F48,"")</f>
        <v>1159198.0901856765</v>
      </c>
      <c r="G59" s="57">
        <f t="shared" si="102"/>
        <v>1597483.2891246683</v>
      </c>
      <c r="H59" s="57">
        <f t="shared" si="102"/>
        <v>1920449.5830238725</v>
      </c>
      <c r="I59" s="57">
        <f t="shared" si="102"/>
        <v>476712.57294429705</v>
      </c>
      <c r="J59" s="57">
        <f t="shared" si="102"/>
        <v>1765315.0599469496</v>
      </c>
      <c r="K59" s="57">
        <f t="shared" si="102"/>
        <v>1951975.3846153845</v>
      </c>
      <c r="L59" s="57">
        <f t="shared" si="102"/>
        <v>1562172.7320954907</v>
      </c>
      <c r="M59" s="57">
        <f t="shared" si="102"/>
        <v>967108.25888594147</v>
      </c>
      <c r="N59" s="57" t="str">
        <f t="shared" si="102"/>
        <v/>
      </c>
      <c r="O59" s="57">
        <f t="shared" si="102"/>
        <v>1180042.6058355437</v>
      </c>
      <c r="P59" s="57">
        <f t="shared" si="102"/>
        <v>1594503.9787798407</v>
      </c>
      <c r="Q59" s="57">
        <f t="shared" si="102"/>
        <v>1894497.6127320954</v>
      </c>
      <c r="R59" s="57">
        <f t="shared" si="102"/>
        <v>815790.4615384615</v>
      </c>
      <c r="S59" s="57">
        <f t="shared" si="102"/>
        <v>2251700.5368700265</v>
      </c>
      <c r="T59" s="57">
        <f t="shared" si="102"/>
        <v>1555303.1299734749</v>
      </c>
      <c r="U59" s="57">
        <f t="shared" si="102"/>
        <v>542194.37665782496</v>
      </c>
      <c r="V59" s="57" t="str">
        <f t="shared" si="102"/>
        <v/>
      </c>
      <c r="W59" s="57">
        <f t="shared" si="102"/>
        <v>547047.21485411143</v>
      </c>
      <c r="X59" s="57">
        <f t="shared" si="102"/>
        <v>0</v>
      </c>
      <c r="Y59" s="57">
        <f t="shared" si="102"/>
        <v>0</v>
      </c>
      <c r="Z59" s="57">
        <f t="shared" si="102"/>
        <v>0</v>
      </c>
      <c r="AA59" s="57">
        <f t="shared" si="102"/>
        <v>0</v>
      </c>
      <c r="AB59" s="57">
        <f t="shared" si="102"/>
        <v>0</v>
      </c>
      <c r="AC59" s="57">
        <f t="shared" si="102"/>
        <v>0</v>
      </c>
      <c r="AD59" s="57">
        <f t="shared" si="102"/>
        <v>0</v>
      </c>
      <c r="AE59" s="57">
        <f t="shared" si="102"/>
        <v>0</v>
      </c>
      <c r="AF59" s="57">
        <f t="shared" si="102"/>
        <v>0</v>
      </c>
      <c r="AG59" s="57">
        <f t="shared" si="102"/>
        <v>0</v>
      </c>
      <c r="AH59" s="57">
        <f t="shared" si="102"/>
        <v>0</v>
      </c>
      <c r="AI59" s="57">
        <f t="shared" si="102"/>
        <v>0</v>
      </c>
      <c r="AJ59" s="57">
        <f t="shared" si="102"/>
        <v>0</v>
      </c>
      <c r="AK59" s="57">
        <f t="shared" si="102"/>
        <v>0</v>
      </c>
      <c r="AL59" s="57">
        <f t="shared" ref="AL59:BQ59" si="103">IFERROR((AL54-AL58)*AL48,"")</f>
        <v>0</v>
      </c>
      <c r="AM59" s="57">
        <f t="shared" si="103"/>
        <v>0</v>
      </c>
      <c r="AN59" s="57">
        <f t="shared" si="103"/>
        <v>0</v>
      </c>
      <c r="AO59" s="57">
        <f t="shared" si="103"/>
        <v>0</v>
      </c>
      <c r="AP59" s="57">
        <f t="shared" si="103"/>
        <v>0</v>
      </c>
      <c r="AQ59" s="57">
        <f t="shared" si="103"/>
        <v>0</v>
      </c>
      <c r="AR59" s="57">
        <f t="shared" si="103"/>
        <v>0</v>
      </c>
      <c r="AS59" s="57">
        <f t="shared" si="103"/>
        <v>0</v>
      </c>
      <c r="AT59" s="57">
        <f t="shared" si="103"/>
        <v>0</v>
      </c>
      <c r="AU59" s="57">
        <f t="shared" si="103"/>
        <v>0</v>
      </c>
      <c r="AV59" s="57">
        <f t="shared" si="103"/>
        <v>0</v>
      </c>
      <c r="AW59" s="57">
        <f t="shared" si="103"/>
        <v>0</v>
      </c>
      <c r="AX59" s="57">
        <f t="shared" si="103"/>
        <v>0</v>
      </c>
      <c r="AY59" s="57">
        <f t="shared" si="103"/>
        <v>0</v>
      </c>
      <c r="AZ59" s="57">
        <f t="shared" si="103"/>
        <v>0</v>
      </c>
      <c r="BA59" s="57">
        <f t="shared" si="103"/>
        <v>0</v>
      </c>
      <c r="BB59" s="57">
        <f t="shared" si="103"/>
        <v>0</v>
      </c>
      <c r="BC59" s="57">
        <f t="shared" si="103"/>
        <v>0</v>
      </c>
      <c r="BD59" s="57">
        <f t="shared" si="103"/>
        <v>0</v>
      </c>
      <c r="BE59" s="57">
        <f t="shared" si="103"/>
        <v>0</v>
      </c>
      <c r="BF59" s="57">
        <f t="shared" si="103"/>
        <v>0</v>
      </c>
      <c r="BG59" s="57">
        <f t="shared" si="103"/>
        <v>0</v>
      </c>
      <c r="BH59" s="57">
        <f t="shared" si="103"/>
        <v>0</v>
      </c>
      <c r="BI59" s="57">
        <f t="shared" si="103"/>
        <v>0</v>
      </c>
      <c r="BJ59" s="57">
        <f t="shared" si="103"/>
        <v>0</v>
      </c>
      <c r="BK59" s="57">
        <f t="shared" si="103"/>
        <v>0</v>
      </c>
      <c r="BL59" s="57">
        <f t="shared" si="103"/>
        <v>0</v>
      </c>
      <c r="BM59" s="57">
        <f t="shared" si="103"/>
        <v>0</v>
      </c>
      <c r="BN59" s="57">
        <f t="shared" si="103"/>
        <v>0</v>
      </c>
      <c r="BO59" s="57">
        <f t="shared" si="103"/>
        <v>0</v>
      </c>
      <c r="BP59" s="57">
        <f t="shared" si="103"/>
        <v>0</v>
      </c>
      <c r="BQ59" s="57">
        <f t="shared" si="103"/>
        <v>0</v>
      </c>
      <c r="BR59" s="57">
        <f t="shared" ref="BR59:CB59" si="104">IFERROR((BR54-BR58)*BR48,"")</f>
        <v>0</v>
      </c>
      <c r="BS59" s="57">
        <f t="shared" si="104"/>
        <v>0</v>
      </c>
      <c r="BT59" s="57">
        <f t="shared" si="104"/>
        <v>0</v>
      </c>
      <c r="BU59" s="57">
        <f t="shared" si="104"/>
        <v>0</v>
      </c>
      <c r="BV59" s="57">
        <f t="shared" si="104"/>
        <v>0</v>
      </c>
      <c r="BW59" s="57">
        <f t="shared" si="104"/>
        <v>0</v>
      </c>
      <c r="BX59" s="57">
        <f t="shared" si="104"/>
        <v>0</v>
      </c>
      <c r="BY59" s="57">
        <f t="shared" si="104"/>
        <v>0</v>
      </c>
      <c r="BZ59" s="57">
        <f t="shared" si="104"/>
        <v>0</v>
      </c>
      <c r="CA59" s="57">
        <f t="shared" si="104"/>
        <v>0</v>
      </c>
      <c r="CB59" s="57">
        <f t="shared" si="104"/>
        <v>0</v>
      </c>
    </row>
    <row r="60" spans="1:80" ht="13.5" customHeight="1">
      <c r="A60" s="175">
        <v>57</v>
      </c>
      <c r="B60" s="191" t="s">
        <v>960</v>
      </c>
      <c r="C60" s="4" t="s">
        <v>377</v>
      </c>
      <c r="D60" s="4" t="s">
        <v>846</v>
      </c>
      <c r="E60" s="183">
        <f>GETPIVOTDATA("年換算(×12)",pivot!$J$5)</f>
        <v>20651991</v>
      </c>
      <c r="F60" s="57">
        <f>IFERROR(GETPIVOTDATA("年換算(×12)",pivot!$J$5,"物件名",F$6),"")</f>
        <v>1023670</v>
      </c>
      <c r="G60" s="57">
        <f>IFERROR(GETPIVOTDATA("年換算(×12)",pivot!$J$5,"物件名",G$6),"")</f>
        <v>2585134</v>
      </c>
      <c r="H60" s="57">
        <f>IFERROR(GETPIVOTDATA("年換算(×12)",pivot!$J$5,"物件名",H$6),"")</f>
        <v>1933934</v>
      </c>
      <c r="I60" s="57">
        <f>IFERROR(GETPIVOTDATA("年換算(×12)",pivot!$J$5,"物件名",I$6),"")</f>
        <v>418008</v>
      </c>
      <c r="J60" s="57">
        <f>IFERROR(GETPIVOTDATA("年換算(×12)",pivot!$J$5,"物件名",J$6),"")</f>
        <v>1580578</v>
      </c>
      <c r="K60" s="57">
        <f>IFERROR(GETPIVOTDATA("年換算(×12)",pivot!$J$5,"物件名",K$6),"")</f>
        <v>2308608</v>
      </c>
      <c r="L60" s="57">
        <f>IFERROR(GETPIVOTDATA("年換算(×12)",pivot!$J$5,"物件名",L$6),"")</f>
        <v>1073130</v>
      </c>
      <c r="M60" s="57">
        <f>IFERROR(GETPIVOTDATA("年換算(×12)",pivot!$J$5,"物件名",M$6),"")</f>
        <v>702866</v>
      </c>
      <c r="N60" s="57" t="str">
        <f>IFERROR(GETPIVOTDATA("年換算(×12)",pivot!$J$5,"物件名",N$6),"")</f>
        <v/>
      </c>
      <c r="O60" s="57">
        <f>IFERROR(GETPIVOTDATA("年換算(×12)",pivot!$J$5,"物件名",O$6),"")</f>
        <v>1259028</v>
      </c>
      <c r="P60" s="57">
        <f>IFERROR(GETPIVOTDATA("年換算(×12)",pivot!$J$5,"物件名",P$6),"")</f>
        <v>669759</v>
      </c>
      <c r="Q60" s="57">
        <f>IFERROR(GETPIVOTDATA("年換算(×12)",pivot!$J$5,"物件名",Q$6),"")</f>
        <v>1320014</v>
      </c>
      <c r="R60" s="57">
        <f>IFERROR(GETPIVOTDATA("年換算(×12)",pivot!$J$5,"物件名",R$6),"")</f>
        <v>498966</v>
      </c>
      <c r="S60" s="57">
        <f>IFERROR(GETPIVOTDATA("年換算(×12)",pivot!$J$5,"物件名",S$6),"")</f>
        <v>1917446</v>
      </c>
      <c r="T60" s="57">
        <f>IFERROR(GETPIVOTDATA("年換算(×12)",pivot!$J$5,"物件名",T$6),"")</f>
        <v>1697044</v>
      </c>
      <c r="U60" s="57">
        <f>IFERROR(GETPIVOTDATA("年換算(×12)",pivot!$J$5,"物件名",U$6),"")</f>
        <v>255356</v>
      </c>
      <c r="V60" s="57" t="str">
        <f>IFERROR(GETPIVOTDATA("年換算(×12)",pivot!$J$5,"物件名",V$6),"")</f>
        <v/>
      </c>
      <c r="W60" s="57">
        <f>IFERROR(GETPIVOTDATA("年換算(×12)",pivot!$J$5,"物件名",W$6),"")</f>
        <v>517030</v>
      </c>
      <c r="X60" s="57">
        <f>IFERROR(GETPIVOTDATA("年換算(×12)",pivot!$J$5,"物件名",X$6),"")</f>
        <v>66860</v>
      </c>
      <c r="Y60" s="57">
        <f>IFERROR(GETPIVOTDATA("年換算(×12)",pivot!$J$5,"物件名",Y$6),"")</f>
        <v>344560</v>
      </c>
      <c r="Z60" s="57">
        <f>IFERROR(GETPIVOTDATA("年換算(×12)",pivot!$J$5,"物件名",Z$6),"")</f>
        <v>240000</v>
      </c>
      <c r="AA60" s="57">
        <f>IFERROR(GETPIVOTDATA("年換算(×12)",pivot!$J$5,"物件名",AA$6),"")</f>
        <v>240000</v>
      </c>
      <c r="AB60" s="57" t="str">
        <f>IFERROR(GETPIVOTDATA("年換算(×12)",pivot!$J$5,"物件名",AB$6),"")</f>
        <v/>
      </c>
      <c r="AC60" s="57" t="str">
        <f>IFERROR(GETPIVOTDATA("年換算(×12)",pivot!$J$5,"物件名",AC$6),"")</f>
        <v/>
      </c>
      <c r="AD60" s="57" t="str">
        <f>IFERROR(GETPIVOTDATA("年換算(×12)",pivot!$J$5,"物件名",AD$6),"")</f>
        <v/>
      </c>
      <c r="AE60" s="57" t="str">
        <f>IFERROR(GETPIVOTDATA("年換算(×12)",pivot!$J$5,"物件名",AE$6),"")</f>
        <v/>
      </c>
      <c r="AF60" s="57" t="str">
        <f>IFERROR(GETPIVOTDATA("年換算(×12)",pivot!$J$5,"物件名",AF$6),"")</f>
        <v/>
      </c>
      <c r="AG60" s="57" t="str">
        <f>IFERROR(GETPIVOTDATA("年換算(×12)",pivot!$J$5,"物件名",AG$6),"")</f>
        <v/>
      </c>
      <c r="AH60" s="57" t="str">
        <f>IFERROR(GETPIVOTDATA("年換算(×12)",pivot!$J$5,"物件名",AH$6),"")</f>
        <v/>
      </c>
      <c r="AI60" s="57" t="str">
        <f>IFERROR(GETPIVOTDATA("年換算(×12)",pivot!$J$5,"物件名",AI$6),"")</f>
        <v/>
      </c>
      <c r="AJ60" s="57" t="str">
        <f>IFERROR(GETPIVOTDATA("年換算(×12)",pivot!$J$5,"物件名",AJ$6),"")</f>
        <v/>
      </c>
      <c r="AK60" s="57" t="str">
        <f>IFERROR(GETPIVOTDATA("年換算(×12)",pivot!$J$5,"物件名",AK$6),"")</f>
        <v/>
      </c>
      <c r="AL60" s="57" t="str">
        <f>IFERROR(GETPIVOTDATA("年換算(×12)",pivot!$J$5,"物件名",AL$6),"")</f>
        <v/>
      </c>
      <c r="AM60" s="57" t="str">
        <f>IFERROR(GETPIVOTDATA("年換算(×12)",pivot!$J$5,"物件名",AM$6),"")</f>
        <v/>
      </c>
      <c r="AN60" s="57" t="str">
        <f>IFERROR(GETPIVOTDATA("年換算(×12)",pivot!$J$5,"物件名",AN$6),"")</f>
        <v/>
      </c>
      <c r="AO60" s="57" t="str">
        <f>IFERROR(GETPIVOTDATA("年換算(×12)",pivot!$J$5,"物件名",AO$6),"")</f>
        <v/>
      </c>
      <c r="AP60" s="57" t="str">
        <f>IFERROR(GETPIVOTDATA("年換算(×12)",pivot!$J$5,"物件名",AP$6),"")</f>
        <v/>
      </c>
      <c r="AQ60" s="57" t="str">
        <f>IFERROR(GETPIVOTDATA("年換算(×12)",pivot!$J$5,"物件名",AQ$6),"")</f>
        <v/>
      </c>
      <c r="AR60" s="57" t="str">
        <f>IFERROR(GETPIVOTDATA("年換算(×12)",pivot!$J$5,"物件名",AR$6),"")</f>
        <v/>
      </c>
      <c r="AS60" s="57" t="str">
        <f>IFERROR(GETPIVOTDATA("年換算(×12)",pivot!$J$5,"物件名",AS$6),"")</f>
        <v/>
      </c>
      <c r="AT60" s="57" t="str">
        <f>IFERROR(GETPIVOTDATA("年換算(×12)",pivot!$J$5,"物件名",AT$6),"")</f>
        <v/>
      </c>
      <c r="AU60" s="57" t="str">
        <f>IFERROR(GETPIVOTDATA("年換算(×12)",pivot!$J$5,"物件名",AU$6),"")</f>
        <v/>
      </c>
      <c r="AV60" s="57" t="str">
        <f>IFERROR(GETPIVOTDATA("年換算(×12)",pivot!$J$5,"物件名",AV$6),"")</f>
        <v/>
      </c>
      <c r="AW60" s="57" t="str">
        <f>IFERROR(GETPIVOTDATA("年換算(×12)",pivot!$J$5,"物件名",AW$6),"")</f>
        <v/>
      </c>
      <c r="AX60" s="57" t="str">
        <f>IFERROR(GETPIVOTDATA("年換算(×12)",pivot!$J$5,"物件名",AX$6),"")</f>
        <v/>
      </c>
      <c r="AY60" s="57" t="str">
        <f>IFERROR(GETPIVOTDATA("年換算(×12)",pivot!$J$5,"物件名",AY$6),"")</f>
        <v/>
      </c>
      <c r="AZ60" s="57" t="str">
        <f>IFERROR(GETPIVOTDATA("年換算(×12)",pivot!$J$5,"物件名",AZ$6),"")</f>
        <v/>
      </c>
      <c r="BA60" s="57" t="str">
        <f>IFERROR(GETPIVOTDATA("年換算(×12)",pivot!$J$5,"物件名",BA$6),"")</f>
        <v/>
      </c>
      <c r="BB60" s="57" t="str">
        <f>IFERROR(GETPIVOTDATA("年換算(×12)",pivot!$J$5,"物件名",BB$6),"")</f>
        <v/>
      </c>
      <c r="BC60" s="57" t="str">
        <f>IFERROR(GETPIVOTDATA("年換算(×12)",pivot!$J$5,"物件名",BC$6),"")</f>
        <v/>
      </c>
      <c r="BD60" s="57" t="str">
        <f>IFERROR(GETPIVOTDATA("年換算(×12)",pivot!$J$5,"物件名",BD$6),"")</f>
        <v/>
      </c>
      <c r="BE60" s="57" t="str">
        <f>IFERROR(GETPIVOTDATA("年換算(×12)",pivot!$J$5,"物件名",BE$6),"")</f>
        <v/>
      </c>
      <c r="BF60" s="57" t="str">
        <f>IFERROR(GETPIVOTDATA("年換算(×12)",pivot!$J$5,"物件名",BF$6),"")</f>
        <v/>
      </c>
      <c r="BG60" s="57" t="str">
        <f>IFERROR(GETPIVOTDATA("年換算(×12)",pivot!$J$5,"物件名",BG$6),"")</f>
        <v/>
      </c>
      <c r="BH60" s="57" t="str">
        <f>IFERROR(GETPIVOTDATA("年換算(×12)",pivot!$J$5,"物件名",BH$6),"")</f>
        <v/>
      </c>
      <c r="BI60" s="57" t="str">
        <f>IFERROR(GETPIVOTDATA("年換算(×12)",pivot!$J$5,"物件名",BI$6),"")</f>
        <v/>
      </c>
      <c r="BJ60" s="57" t="str">
        <f>IFERROR(GETPIVOTDATA("年換算(×12)",pivot!$J$5,"物件名",BJ$6),"")</f>
        <v/>
      </c>
      <c r="BK60" s="57" t="str">
        <f>IFERROR(GETPIVOTDATA("年換算(×12)",pivot!$J$5,"物件名",BK$6),"")</f>
        <v/>
      </c>
      <c r="BL60" s="57" t="str">
        <f>IFERROR(GETPIVOTDATA("年換算(×12)",pivot!$J$5,"物件名",BL$6),"")</f>
        <v/>
      </c>
      <c r="BM60" s="57" t="str">
        <f>IFERROR(GETPIVOTDATA("年換算(×12)",pivot!$J$5,"物件名",BM$6),"")</f>
        <v/>
      </c>
      <c r="BN60" s="57" t="str">
        <f>IFERROR(GETPIVOTDATA("年換算(×12)",pivot!$J$5,"物件名",BN$6),"")</f>
        <v/>
      </c>
      <c r="BO60" s="57" t="str">
        <f>IFERROR(GETPIVOTDATA("年換算(×12)",pivot!$J$5,"物件名",BO$6),"")</f>
        <v/>
      </c>
      <c r="BP60" s="57" t="str">
        <f>IFERROR(GETPIVOTDATA("年換算(×12)",pivot!$J$5,"物件名",BP$6),"")</f>
        <v/>
      </c>
      <c r="BQ60" s="57" t="str">
        <f>IFERROR(GETPIVOTDATA("年換算(×12)",pivot!$J$5,"物件名",BQ$6),"")</f>
        <v/>
      </c>
      <c r="BR60" s="57" t="str">
        <f>IFERROR(GETPIVOTDATA("年換算(×12)",pivot!$J$5,"物件名",BR$6),"")</f>
        <v/>
      </c>
      <c r="BS60" s="57" t="str">
        <f>IFERROR(GETPIVOTDATA("年換算(×12)",pivot!$J$5,"物件名",BS$6),"")</f>
        <v/>
      </c>
      <c r="BT60" s="57" t="str">
        <f>IFERROR(GETPIVOTDATA("年換算(×12)",pivot!$J$5,"物件名",BT$6),"")</f>
        <v/>
      </c>
      <c r="BU60" s="57" t="str">
        <f>IFERROR(GETPIVOTDATA("年換算(×12)",pivot!$J$5,"物件名",BU$6),"")</f>
        <v/>
      </c>
      <c r="BV60" s="57" t="str">
        <f>IFERROR(GETPIVOTDATA("年換算(×12)",pivot!$J$5,"物件名",BV$6),"")</f>
        <v/>
      </c>
      <c r="BW60" s="57" t="str">
        <f>IFERROR(GETPIVOTDATA("年換算(×12)",pivot!$J$5,"物件名",BW$6),"")</f>
        <v/>
      </c>
      <c r="BX60" s="57" t="str">
        <f>IFERROR(GETPIVOTDATA("年換算(×12)",pivot!$J$5,"物件名",BX$6),"")</f>
        <v/>
      </c>
      <c r="BY60" s="57" t="str">
        <f>IFERROR(GETPIVOTDATA("年換算(×12)",pivot!$J$5,"物件名",BY$6),"")</f>
        <v/>
      </c>
      <c r="BZ60" s="57" t="str">
        <f>IFERROR(GETPIVOTDATA("年換算(×12)",pivot!$J$5,"物件名",BZ$6),"")</f>
        <v/>
      </c>
      <c r="CA60" s="57" t="str">
        <f>IFERROR(GETPIVOTDATA("年換算(×12)",pivot!$J$5,"物件名",CA$6),"")</f>
        <v/>
      </c>
      <c r="CB60" s="57" t="str">
        <f>IFERROR(GETPIVOTDATA("年換算(×12)",pivot!$J$5,"物件名",CB$6),"")</f>
        <v/>
      </c>
    </row>
    <row r="61" spans="1:80" ht="13.5" customHeight="1">
      <c r="A61" s="175">
        <v>58</v>
      </c>
      <c r="B61" s="191" t="s">
        <v>961</v>
      </c>
      <c r="C61" s="4" t="s">
        <v>377</v>
      </c>
      <c r="D61" s="4" t="s">
        <v>846</v>
      </c>
      <c r="E61" s="183">
        <f>SUMIF(F5:CH5,"no",F61:CH61)</f>
        <v>23765985.333333332</v>
      </c>
      <c r="F61" s="57">
        <f>IFERROR((F54/12*F51)/F49,"")</f>
        <v>1226200</v>
      </c>
      <c r="G61" s="57">
        <f t="shared" ref="G61:BR61" si="105">IFERROR((G54/12*G51)/G49,"")</f>
        <v>2065333.3333333333</v>
      </c>
      <c r="H61" s="57">
        <f t="shared" si="105"/>
        <v>2031452</v>
      </c>
      <c r="I61" s="57">
        <f t="shared" si="105"/>
        <v>504266.66666666669</v>
      </c>
      <c r="J61" s="57">
        <f t="shared" si="105"/>
        <v>1867350.6666666667</v>
      </c>
      <c r="K61" s="57">
        <f t="shared" si="105"/>
        <v>2064800</v>
      </c>
      <c r="L61" s="57">
        <f t="shared" si="105"/>
        <v>1652466.6666666667</v>
      </c>
      <c r="M61" s="57">
        <f t="shared" si="105"/>
        <v>1023007.3333333334</v>
      </c>
      <c r="N61" s="57" t="str">
        <f t="shared" si="105"/>
        <v/>
      </c>
      <c r="O61" s="57">
        <f t="shared" si="105"/>
        <v>1248249.3333333333</v>
      </c>
      <c r="P61" s="57">
        <f t="shared" si="105"/>
        <v>1686666.6666666667</v>
      </c>
      <c r="Q61" s="57">
        <f t="shared" si="105"/>
        <v>2004000</v>
      </c>
      <c r="R61" s="57">
        <f t="shared" si="105"/>
        <v>862943.33333333337</v>
      </c>
      <c r="S61" s="57">
        <f t="shared" si="105"/>
        <v>2381849.3333333335</v>
      </c>
      <c r="T61" s="57">
        <f t="shared" si="105"/>
        <v>1645200</v>
      </c>
      <c r="U61" s="57">
        <f t="shared" si="105"/>
        <v>573533.33333333337</v>
      </c>
      <c r="V61" s="57" t="str">
        <f t="shared" si="105"/>
        <v/>
      </c>
      <c r="W61" s="57">
        <f t="shared" si="105"/>
        <v>578666.66666666663</v>
      </c>
      <c r="X61" s="57">
        <f t="shared" si="105"/>
        <v>23333.333333333332</v>
      </c>
      <c r="Y61" s="57">
        <f t="shared" si="105"/>
        <v>0</v>
      </c>
      <c r="Z61" s="57">
        <f t="shared" si="105"/>
        <v>220000</v>
      </c>
      <c r="AA61" s="57">
        <f t="shared" si="105"/>
        <v>106666.66666666667</v>
      </c>
      <c r="AB61" s="57" t="str">
        <f t="shared" si="105"/>
        <v/>
      </c>
      <c r="AC61" s="57" t="str">
        <f t="shared" si="105"/>
        <v/>
      </c>
      <c r="AD61" s="57" t="str">
        <f t="shared" si="105"/>
        <v/>
      </c>
      <c r="AE61" s="57" t="str">
        <f t="shared" si="105"/>
        <v/>
      </c>
      <c r="AF61" s="57" t="str">
        <f t="shared" si="105"/>
        <v/>
      </c>
      <c r="AG61" s="57" t="str">
        <f t="shared" si="105"/>
        <v/>
      </c>
      <c r="AH61" s="57" t="str">
        <f t="shared" si="105"/>
        <v/>
      </c>
      <c r="AI61" s="57" t="str">
        <f t="shared" si="105"/>
        <v/>
      </c>
      <c r="AJ61" s="57" t="str">
        <f t="shared" si="105"/>
        <v/>
      </c>
      <c r="AK61" s="57" t="str">
        <f t="shared" si="105"/>
        <v/>
      </c>
      <c r="AL61" s="57" t="str">
        <f t="shared" si="105"/>
        <v/>
      </c>
      <c r="AM61" s="57" t="str">
        <f t="shared" si="105"/>
        <v/>
      </c>
      <c r="AN61" s="57" t="str">
        <f t="shared" si="105"/>
        <v/>
      </c>
      <c r="AO61" s="57" t="str">
        <f t="shared" si="105"/>
        <v/>
      </c>
      <c r="AP61" s="57" t="str">
        <f t="shared" si="105"/>
        <v/>
      </c>
      <c r="AQ61" s="57" t="str">
        <f t="shared" si="105"/>
        <v/>
      </c>
      <c r="AR61" s="57" t="str">
        <f t="shared" si="105"/>
        <v/>
      </c>
      <c r="AS61" s="57" t="str">
        <f t="shared" si="105"/>
        <v/>
      </c>
      <c r="AT61" s="57" t="str">
        <f t="shared" si="105"/>
        <v/>
      </c>
      <c r="AU61" s="57" t="str">
        <f t="shared" si="105"/>
        <v/>
      </c>
      <c r="AV61" s="57" t="str">
        <f t="shared" si="105"/>
        <v/>
      </c>
      <c r="AW61" s="57" t="str">
        <f t="shared" si="105"/>
        <v/>
      </c>
      <c r="AX61" s="57" t="str">
        <f t="shared" si="105"/>
        <v/>
      </c>
      <c r="AY61" s="57" t="str">
        <f t="shared" si="105"/>
        <v/>
      </c>
      <c r="AZ61" s="57" t="str">
        <f t="shared" si="105"/>
        <v/>
      </c>
      <c r="BA61" s="57" t="str">
        <f t="shared" si="105"/>
        <v/>
      </c>
      <c r="BB61" s="57" t="str">
        <f t="shared" si="105"/>
        <v/>
      </c>
      <c r="BC61" s="57" t="str">
        <f t="shared" si="105"/>
        <v/>
      </c>
      <c r="BD61" s="57" t="str">
        <f t="shared" si="105"/>
        <v/>
      </c>
      <c r="BE61" s="57" t="str">
        <f t="shared" si="105"/>
        <v/>
      </c>
      <c r="BF61" s="57" t="str">
        <f t="shared" si="105"/>
        <v/>
      </c>
      <c r="BG61" s="57" t="str">
        <f t="shared" si="105"/>
        <v/>
      </c>
      <c r="BH61" s="57" t="str">
        <f t="shared" si="105"/>
        <v/>
      </c>
      <c r="BI61" s="57" t="str">
        <f t="shared" si="105"/>
        <v/>
      </c>
      <c r="BJ61" s="57" t="str">
        <f t="shared" si="105"/>
        <v/>
      </c>
      <c r="BK61" s="57" t="str">
        <f t="shared" si="105"/>
        <v/>
      </c>
      <c r="BL61" s="57" t="str">
        <f t="shared" si="105"/>
        <v/>
      </c>
      <c r="BM61" s="57" t="str">
        <f t="shared" si="105"/>
        <v/>
      </c>
      <c r="BN61" s="57" t="str">
        <f t="shared" si="105"/>
        <v/>
      </c>
      <c r="BO61" s="57" t="str">
        <f t="shared" si="105"/>
        <v/>
      </c>
      <c r="BP61" s="57" t="str">
        <f t="shared" si="105"/>
        <v/>
      </c>
      <c r="BQ61" s="57" t="str">
        <f t="shared" si="105"/>
        <v/>
      </c>
      <c r="BR61" s="57" t="str">
        <f t="shared" si="105"/>
        <v/>
      </c>
      <c r="BS61" s="57" t="str">
        <f t="shared" ref="BS61:CB61" si="106">IFERROR((BS54/12*BS51)/BS49,"")</f>
        <v/>
      </c>
      <c r="BT61" s="57" t="str">
        <f t="shared" si="106"/>
        <v/>
      </c>
      <c r="BU61" s="57" t="str">
        <f t="shared" si="106"/>
        <v/>
      </c>
      <c r="BV61" s="57" t="str">
        <f t="shared" si="106"/>
        <v/>
      </c>
      <c r="BW61" s="57" t="str">
        <f t="shared" si="106"/>
        <v/>
      </c>
      <c r="BX61" s="57" t="str">
        <f t="shared" si="106"/>
        <v/>
      </c>
      <c r="BY61" s="57" t="str">
        <f t="shared" si="106"/>
        <v/>
      </c>
      <c r="BZ61" s="57" t="str">
        <f t="shared" si="106"/>
        <v/>
      </c>
      <c r="CA61" s="57" t="str">
        <f t="shared" si="106"/>
        <v/>
      </c>
      <c r="CB61" s="57" t="str">
        <f t="shared" si="106"/>
        <v/>
      </c>
    </row>
    <row r="62" spans="1:80" ht="13.5" customHeight="1">
      <c r="A62" s="175">
        <v>59</v>
      </c>
      <c r="B62" s="191" t="s">
        <v>962</v>
      </c>
      <c r="C62" s="4" t="s">
        <v>377</v>
      </c>
      <c r="D62" s="4" t="s">
        <v>846</v>
      </c>
      <c r="E62" s="183">
        <f>SUMIF(F5:CH5,"no",F62:CH62)</f>
        <v>18919361.200000003</v>
      </c>
      <c r="F62" s="57">
        <f t="shared" ref="F62:AK62" si="107">IFERROR((F57/12*F52)/F49,"")</f>
        <v>919650</v>
      </c>
      <c r="G62" s="57">
        <f t="shared" si="107"/>
        <v>1549000</v>
      </c>
      <c r="H62" s="57">
        <f t="shared" si="107"/>
        <v>1523589</v>
      </c>
      <c r="I62" s="57">
        <f t="shared" si="107"/>
        <v>334200</v>
      </c>
      <c r="J62" s="57">
        <f t="shared" si="107"/>
        <v>1298411</v>
      </c>
      <c r="K62" s="57">
        <f t="shared" si="107"/>
        <v>1548600</v>
      </c>
      <c r="L62" s="57">
        <f t="shared" si="107"/>
        <v>1239350</v>
      </c>
      <c r="M62" s="57">
        <f t="shared" si="107"/>
        <v>767255.5</v>
      </c>
      <c r="N62" s="57" t="str">
        <f t="shared" si="107"/>
        <v/>
      </c>
      <c r="O62" s="57">
        <f t="shared" si="107"/>
        <v>1061011.9333333333</v>
      </c>
      <c r="P62" s="57">
        <f t="shared" si="107"/>
        <v>1433666.6666666667</v>
      </c>
      <c r="Q62" s="57">
        <f t="shared" si="107"/>
        <v>1703400</v>
      </c>
      <c r="R62" s="57">
        <f t="shared" si="107"/>
        <v>733501.83333333337</v>
      </c>
      <c r="S62" s="57">
        <f t="shared" si="107"/>
        <v>2024571.9333333333</v>
      </c>
      <c r="T62" s="57">
        <f t="shared" si="107"/>
        <v>1398420</v>
      </c>
      <c r="U62" s="57">
        <f t="shared" si="107"/>
        <v>479400</v>
      </c>
      <c r="V62" s="57" t="str">
        <f t="shared" si="107"/>
        <v/>
      </c>
      <c r="W62" s="57">
        <f t="shared" si="107"/>
        <v>578666.66666666663</v>
      </c>
      <c r="X62" s="57">
        <f t="shared" si="107"/>
        <v>0</v>
      </c>
      <c r="Y62" s="57">
        <f t="shared" si="107"/>
        <v>0</v>
      </c>
      <c r="Z62" s="57">
        <f t="shared" si="107"/>
        <v>220000</v>
      </c>
      <c r="AA62" s="57">
        <f t="shared" si="107"/>
        <v>106666.66666666667</v>
      </c>
      <c r="AB62" s="57" t="str">
        <f t="shared" si="107"/>
        <v/>
      </c>
      <c r="AC62" s="57" t="str">
        <f t="shared" si="107"/>
        <v/>
      </c>
      <c r="AD62" s="57" t="str">
        <f t="shared" si="107"/>
        <v/>
      </c>
      <c r="AE62" s="57" t="str">
        <f t="shared" si="107"/>
        <v/>
      </c>
      <c r="AF62" s="57" t="str">
        <f t="shared" si="107"/>
        <v/>
      </c>
      <c r="AG62" s="57" t="str">
        <f t="shared" si="107"/>
        <v/>
      </c>
      <c r="AH62" s="57" t="str">
        <f t="shared" si="107"/>
        <v/>
      </c>
      <c r="AI62" s="57" t="str">
        <f t="shared" si="107"/>
        <v/>
      </c>
      <c r="AJ62" s="57" t="str">
        <f t="shared" si="107"/>
        <v/>
      </c>
      <c r="AK62" s="57" t="str">
        <f t="shared" si="107"/>
        <v/>
      </c>
      <c r="AL62" s="57" t="str">
        <f t="shared" ref="AL62:BQ62" si="108">IFERROR((AL57/12*AL52)/AL49,"")</f>
        <v/>
      </c>
      <c r="AM62" s="57" t="str">
        <f t="shared" si="108"/>
        <v/>
      </c>
      <c r="AN62" s="57" t="str">
        <f t="shared" si="108"/>
        <v/>
      </c>
      <c r="AO62" s="57" t="str">
        <f t="shared" si="108"/>
        <v/>
      </c>
      <c r="AP62" s="57" t="str">
        <f t="shared" si="108"/>
        <v/>
      </c>
      <c r="AQ62" s="57" t="str">
        <f t="shared" si="108"/>
        <v/>
      </c>
      <c r="AR62" s="57" t="str">
        <f t="shared" si="108"/>
        <v/>
      </c>
      <c r="AS62" s="57" t="str">
        <f t="shared" si="108"/>
        <v/>
      </c>
      <c r="AT62" s="57" t="str">
        <f t="shared" si="108"/>
        <v/>
      </c>
      <c r="AU62" s="57" t="str">
        <f t="shared" si="108"/>
        <v/>
      </c>
      <c r="AV62" s="57" t="str">
        <f t="shared" si="108"/>
        <v/>
      </c>
      <c r="AW62" s="57" t="str">
        <f t="shared" si="108"/>
        <v/>
      </c>
      <c r="AX62" s="57" t="str">
        <f t="shared" si="108"/>
        <v/>
      </c>
      <c r="AY62" s="57" t="str">
        <f t="shared" si="108"/>
        <v/>
      </c>
      <c r="AZ62" s="57" t="str">
        <f t="shared" si="108"/>
        <v/>
      </c>
      <c r="BA62" s="57" t="str">
        <f t="shared" si="108"/>
        <v/>
      </c>
      <c r="BB62" s="57" t="str">
        <f t="shared" si="108"/>
        <v/>
      </c>
      <c r="BC62" s="57" t="str">
        <f t="shared" si="108"/>
        <v/>
      </c>
      <c r="BD62" s="57" t="str">
        <f t="shared" si="108"/>
        <v/>
      </c>
      <c r="BE62" s="57" t="str">
        <f t="shared" si="108"/>
        <v/>
      </c>
      <c r="BF62" s="57" t="str">
        <f t="shared" si="108"/>
        <v/>
      </c>
      <c r="BG62" s="57" t="str">
        <f t="shared" si="108"/>
        <v/>
      </c>
      <c r="BH62" s="57" t="str">
        <f t="shared" si="108"/>
        <v/>
      </c>
      <c r="BI62" s="57" t="str">
        <f t="shared" si="108"/>
        <v/>
      </c>
      <c r="BJ62" s="57" t="str">
        <f t="shared" si="108"/>
        <v/>
      </c>
      <c r="BK62" s="57" t="str">
        <f t="shared" si="108"/>
        <v/>
      </c>
      <c r="BL62" s="57" t="str">
        <f t="shared" si="108"/>
        <v/>
      </c>
      <c r="BM62" s="57" t="str">
        <f t="shared" si="108"/>
        <v/>
      </c>
      <c r="BN62" s="57" t="str">
        <f t="shared" si="108"/>
        <v/>
      </c>
      <c r="BO62" s="57" t="str">
        <f t="shared" si="108"/>
        <v/>
      </c>
      <c r="BP62" s="57" t="str">
        <f t="shared" si="108"/>
        <v/>
      </c>
      <c r="BQ62" s="57" t="str">
        <f t="shared" si="108"/>
        <v/>
      </c>
      <c r="BR62" s="57" t="str">
        <f t="shared" ref="BR62:CB62" si="109">IFERROR((BR57/12*BR52)/BR49,"")</f>
        <v/>
      </c>
      <c r="BS62" s="57" t="str">
        <f t="shared" si="109"/>
        <v/>
      </c>
      <c r="BT62" s="57" t="str">
        <f t="shared" si="109"/>
        <v/>
      </c>
      <c r="BU62" s="57" t="str">
        <f t="shared" si="109"/>
        <v/>
      </c>
      <c r="BV62" s="57" t="str">
        <f t="shared" si="109"/>
        <v/>
      </c>
      <c r="BW62" s="57" t="str">
        <f t="shared" si="109"/>
        <v/>
      </c>
      <c r="BX62" s="57" t="str">
        <f t="shared" si="109"/>
        <v/>
      </c>
      <c r="BY62" s="57" t="str">
        <f t="shared" si="109"/>
        <v/>
      </c>
      <c r="BZ62" s="57" t="str">
        <f t="shared" si="109"/>
        <v/>
      </c>
      <c r="CA62" s="57" t="str">
        <f t="shared" si="109"/>
        <v/>
      </c>
      <c r="CB62" s="57" t="str">
        <f t="shared" si="109"/>
        <v/>
      </c>
    </row>
    <row r="63" spans="1:80" ht="13.5" customHeight="1">
      <c r="A63" s="175">
        <v>60</v>
      </c>
      <c r="B63" s="191" t="s">
        <v>963</v>
      </c>
      <c r="C63" s="4" t="s">
        <v>377</v>
      </c>
      <c r="D63" s="4" t="s">
        <v>846</v>
      </c>
      <c r="E63" s="183">
        <f>GETPIVOTDATA("合計 / 当期固定資産税額",pivot!$DJ$5)+GETPIVOTDATA("合計 / 当期都市計画税額",pivot!$DJ$5)</f>
        <v>18765432</v>
      </c>
      <c r="F63" s="57">
        <f>IFERROR(GETPIVOTDATA("合計 / 当期固定資産税額",pivot!$DJ$5,"物件名",F$6)+GETPIVOTDATA("合計 / 当期都市計画税額",pivot!$DJ$5,"物件名",F$6),"")</f>
        <v>897252</v>
      </c>
      <c r="G63" s="57">
        <f>IFERROR(GETPIVOTDATA("合計 / 当期固定資産税額",pivot!$DJ$5,"物件名",G$6)+GETPIVOTDATA("合計 / 当期都市計画税額",pivot!$DJ$5,"物件名",G$6),"")</f>
        <v>1922326</v>
      </c>
      <c r="H63" s="57">
        <f>IFERROR(GETPIVOTDATA("合計 / 当期固定資産税額",pivot!$DJ$5,"物件名",H$6)+GETPIVOTDATA("合計 / 当期都市計画税額",pivot!$DJ$5,"物件名",H$6),"")</f>
        <v>1624075</v>
      </c>
      <c r="I63" s="57">
        <f>IFERROR(GETPIVOTDATA("合計 / 当期固定資産税額",pivot!$DJ$5,"物件名",I$6)+GETPIVOTDATA("合計 / 当期都市計画税額",pivot!$DJ$5,"物件名",I$6),"")</f>
        <v>280047</v>
      </c>
      <c r="J63" s="57">
        <f>IFERROR(GETPIVOTDATA("合計 / 当期固定資産税額",pivot!$DJ$5,"物件名",J$6)+GETPIVOTDATA("合計 / 当期都市計画税額",pivot!$DJ$5,"物件名",J$6),"")</f>
        <v>964424</v>
      </c>
      <c r="K63" s="57">
        <f>IFERROR(GETPIVOTDATA("合計 / 当期固定資産税額",pivot!$DJ$5,"物件名",K$6)+GETPIVOTDATA("合計 / 当期都市計画税額",pivot!$DJ$5,"物件名",K$6),"")</f>
        <v>1666103</v>
      </c>
      <c r="L63" s="57">
        <f>IFERROR(GETPIVOTDATA("合計 / 当期固定資産税額",pivot!$DJ$5,"物件名",L$6)+GETPIVOTDATA("合計 / 当期都市計画税額",pivot!$DJ$5,"物件名",L$6),"")</f>
        <v>1285464</v>
      </c>
      <c r="M63" s="57">
        <f>IFERROR(GETPIVOTDATA("合計 / 当期固定資産税額",pivot!$DJ$5,"物件名",M$6)+GETPIVOTDATA("合計 / 当期都市計画税額",pivot!$DJ$5,"物件名",M$6),"")</f>
        <v>558103</v>
      </c>
      <c r="N63" s="57" t="str">
        <f>IFERROR(GETPIVOTDATA("合計 / 当期固定資産税額",pivot!$DJ$5,"物件名",N$6)+GETPIVOTDATA("合計 / 当期都市計画税額",pivot!$DJ$5,"物件名",N$6),"")</f>
        <v/>
      </c>
      <c r="O63" s="57">
        <f>IFERROR(GETPIVOTDATA("合計 / 当期固定資産税額",pivot!$DJ$5,"物件名",O$6)+GETPIVOTDATA("合計 / 当期都市計画税額",pivot!$DJ$5,"物件名",O$6),"")</f>
        <v>731689</v>
      </c>
      <c r="P63" s="57">
        <f>IFERROR(GETPIVOTDATA("合計 / 当期固定資産税額",pivot!$DJ$5,"物件名",P$6)+GETPIVOTDATA("合計 / 当期都市計画税額",pivot!$DJ$5,"物件名",P$6),"")</f>
        <v>954205</v>
      </c>
      <c r="Q63" s="57">
        <f>IFERROR(GETPIVOTDATA("合計 / 当期固定資産税額",pivot!$DJ$5,"物件名",Q$6)+GETPIVOTDATA("合計 / 当期都市計画税額",pivot!$DJ$5,"物件名",Q$6),"")</f>
        <v>1532786</v>
      </c>
      <c r="R63" s="57">
        <f>IFERROR(GETPIVOTDATA("合計 / 当期固定資産税額",pivot!$DJ$5,"物件名",R$6)+GETPIVOTDATA("合計 / 当期都市計画税額",pivot!$DJ$5,"物件名",R$6),"")</f>
        <v>531339</v>
      </c>
      <c r="S63" s="57">
        <f>IFERROR(GETPIVOTDATA("合計 / 当期固定資産税額",pivot!$DJ$5,"物件名",S$6)+GETPIVOTDATA("合計 / 当期都市計画税額",pivot!$DJ$5,"物件名",S$6),"")</f>
        <v>2542472</v>
      </c>
      <c r="T63" s="57">
        <f>IFERROR(GETPIVOTDATA("合計 / 当期固定資産税額",pivot!$DJ$5,"物件名",T$6)+GETPIVOTDATA("合計 / 当期都市計画税額",pivot!$DJ$5,"物件名",T$6),"")</f>
        <v>1173224</v>
      </c>
      <c r="U63" s="57">
        <f>IFERROR(GETPIVOTDATA("合計 / 当期固定資産税額",pivot!$DJ$5,"物件名",U$6)+GETPIVOTDATA("合計 / 当期都市計画税額",pivot!$DJ$5,"物件名",U$6),"")</f>
        <v>347753</v>
      </c>
      <c r="V63" s="57" t="str">
        <f>IFERROR(GETPIVOTDATA("合計 / 当期固定資産税額",pivot!$DJ$5,"物件名",V$6)+GETPIVOTDATA("合計 / 当期都市計画税額",pivot!$DJ$5,"物件名",V$6),"")</f>
        <v/>
      </c>
      <c r="W63" s="57">
        <f>IFERROR(GETPIVOTDATA("合計 / 当期固定資産税額",pivot!$DJ$5,"物件名",W$6)+GETPIVOTDATA("合計 / 当期都市計画税額",pivot!$DJ$5,"物件名",W$6),"")</f>
        <v>524677</v>
      </c>
      <c r="X63" s="57">
        <f>IFERROR(GETPIVOTDATA("合計 / 当期固定資産税額",pivot!$DJ$5,"物件名",X$6)+GETPIVOTDATA("合計 / 当期都市計画税額",pivot!$DJ$5,"物件名",X$6),"")</f>
        <v>2515</v>
      </c>
      <c r="Y63" s="57">
        <f>IFERROR(GETPIVOTDATA("合計 / 当期固定資産税額",pivot!$DJ$5,"物件名",Y$6)+GETPIVOTDATA("合計 / 当期都市計画税額",pivot!$DJ$5,"物件名",Y$6),"")</f>
        <v>177624</v>
      </c>
      <c r="Z63" s="57">
        <f>IFERROR(GETPIVOTDATA("合計 / 当期固定資産税額",pivot!$DJ$5,"物件名",Z$6)+GETPIVOTDATA("合計 / 当期都市計画税額",pivot!$DJ$5,"物件名",Z$6),"")</f>
        <v>524677</v>
      </c>
      <c r="AA63" s="57">
        <f>IFERROR(GETPIVOTDATA("合計 / 当期固定資産税額",pivot!$DJ$5,"物件名",AA$6)+GETPIVOTDATA("合計 / 当期都市計画税額",pivot!$DJ$5,"物件名",AA$6),"")</f>
        <v>524677</v>
      </c>
      <c r="AB63" s="57" t="str">
        <f>IFERROR(GETPIVOTDATA("合計 / 当期固定資産税額",pivot!$DJ$5,"物件名",AB$6)+GETPIVOTDATA("合計 / 当期都市計画税額",pivot!$DJ$5,"物件名",AB$6),"")</f>
        <v/>
      </c>
      <c r="AC63" s="57" t="str">
        <f>IFERROR(GETPIVOTDATA("合計 / 当期固定資産税額",pivot!$DJ$5,"物件名",AC$6)+GETPIVOTDATA("合計 / 当期都市計画税額",pivot!$DJ$5,"物件名",AC$6),"")</f>
        <v/>
      </c>
      <c r="AD63" s="57" t="str">
        <f>IFERROR(GETPIVOTDATA("合計 / 当期固定資産税額",pivot!$DJ$5,"物件名",AD$6)+GETPIVOTDATA("合計 / 当期都市計画税額",pivot!$DJ$5,"物件名",AD$6),"")</f>
        <v/>
      </c>
      <c r="AE63" s="57" t="str">
        <f>IFERROR(GETPIVOTDATA("合計 / 当期固定資産税額",pivot!$DJ$5,"物件名",AE$6)+GETPIVOTDATA("合計 / 当期都市計画税額",pivot!$DJ$5,"物件名",AE$6),"")</f>
        <v/>
      </c>
      <c r="AF63" s="57" t="str">
        <f>IFERROR(GETPIVOTDATA("合計 / 当期固定資産税額",pivot!$DJ$5,"物件名",AF$6)+GETPIVOTDATA("合計 / 当期都市計画税額",pivot!$DJ$5,"物件名",AF$6),"")</f>
        <v/>
      </c>
      <c r="AG63" s="57" t="str">
        <f>IFERROR(GETPIVOTDATA("合計 / 当期固定資産税額",pivot!$DJ$5,"物件名",AG$6)+GETPIVOTDATA("合計 / 当期都市計画税額",pivot!$DJ$5,"物件名",AG$6),"")</f>
        <v/>
      </c>
      <c r="AH63" s="57" t="str">
        <f>IFERROR(GETPIVOTDATA("合計 / 当期固定資産税額",pivot!$DJ$5,"物件名",AH$6)+GETPIVOTDATA("合計 / 当期都市計画税額",pivot!$DJ$5,"物件名",AH$6),"")</f>
        <v/>
      </c>
      <c r="AI63" s="57" t="str">
        <f>IFERROR(GETPIVOTDATA("合計 / 当期固定資産税額",pivot!$DJ$5,"物件名",AI$6)+GETPIVOTDATA("合計 / 当期都市計画税額",pivot!$DJ$5,"物件名",AI$6),"")</f>
        <v/>
      </c>
      <c r="AJ63" s="57" t="str">
        <f>IFERROR(GETPIVOTDATA("合計 / 当期固定資産税額",pivot!$DJ$5,"物件名",AJ$6)+GETPIVOTDATA("合計 / 当期都市計画税額",pivot!$DJ$5,"物件名",AJ$6),"")</f>
        <v/>
      </c>
      <c r="AK63" s="57" t="str">
        <f>IFERROR(GETPIVOTDATA("合計 / 当期固定資産税額",pivot!$DJ$5,"物件名",AK$6)+GETPIVOTDATA("合計 / 当期都市計画税額",pivot!$DJ$5,"物件名",AK$6),"")</f>
        <v/>
      </c>
      <c r="AL63" s="57" t="str">
        <f>IFERROR(GETPIVOTDATA("合計 / 当期固定資産税額",pivot!$DJ$5,"物件名",AL$6)+GETPIVOTDATA("合計 / 当期都市計画税額",pivot!$DJ$5,"物件名",AL$6),"")</f>
        <v/>
      </c>
      <c r="AM63" s="57" t="str">
        <f>IFERROR(GETPIVOTDATA("合計 / 当期固定資産税額",pivot!$DJ$5,"物件名",AM$6)+GETPIVOTDATA("合計 / 当期都市計画税額",pivot!$DJ$5,"物件名",AM$6),"")</f>
        <v/>
      </c>
      <c r="AN63" s="57" t="str">
        <f>IFERROR(GETPIVOTDATA("合計 / 当期固定資産税額",pivot!$DJ$5,"物件名",AN$6)+GETPIVOTDATA("合計 / 当期都市計画税額",pivot!$DJ$5,"物件名",AN$6),"")</f>
        <v/>
      </c>
      <c r="AO63" s="57" t="str">
        <f>IFERROR(GETPIVOTDATA("合計 / 当期固定資産税額",pivot!$DJ$5,"物件名",AO$6)+GETPIVOTDATA("合計 / 当期都市計画税額",pivot!$DJ$5,"物件名",AO$6),"")</f>
        <v/>
      </c>
      <c r="AP63" s="57" t="str">
        <f>IFERROR(GETPIVOTDATA("合計 / 当期固定資産税額",pivot!$DJ$5,"物件名",AP$6)+GETPIVOTDATA("合計 / 当期都市計画税額",pivot!$DJ$5,"物件名",AP$6),"")</f>
        <v/>
      </c>
      <c r="AQ63" s="57" t="str">
        <f>IFERROR(GETPIVOTDATA("合計 / 当期固定資産税額",pivot!$DJ$5,"物件名",AQ$6)+GETPIVOTDATA("合計 / 当期都市計画税額",pivot!$DJ$5,"物件名",AQ$6),"")</f>
        <v/>
      </c>
      <c r="AR63" s="57" t="str">
        <f>IFERROR(GETPIVOTDATA("合計 / 当期固定資産税額",pivot!$DJ$5,"物件名",AR$6)+GETPIVOTDATA("合計 / 当期都市計画税額",pivot!$DJ$5,"物件名",AR$6),"")</f>
        <v/>
      </c>
      <c r="AS63" s="57" t="str">
        <f>IFERROR(GETPIVOTDATA("合計 / 当期固定資産税額",pivot!$DJ$5,"物件名",AS$6)+GETPIVOTDATA("合計 / 当期都市計画税額",pivot!$DJ$5,"物件名",AS$6),"")</f>
        <v/>
      </c>
      <c r="AT63" s="57" t="str">
        <f>IFERROR(GETPIVOTDATA("合計 / 当期固定資産税額",pivot!$DJ$5,"物件名",AT$6)+GETPIVOTDATA("合計 / 当期都市計画税額",pivot!$DJ$5,"物件名",AT$6),"")</f>
        <v/>
      </c>
      <c r="AU63" s="57" t="str">
        <f>IFERROR(GETPIVOTDATA("合計 / 当期固定資産税額",pivot!$DJ$5,"物件名",AU$6)+GETPIVOTDATA("合計 / 当期都市計画税額",pivot!$DJ$5,"物件名",AU$6),"")</f>
        <v/>
      </c>
      <c r="AV63" s="57" t="str">
        <f>IFERROR(GETPIVOTDATA("合計 / 当期固定資産税額",pivot!$DJ$5,"物件名",AV$6)+GETPIVOTDATA("合計 / 当期都市計画税額",pivot!$DJ$5,"物件名",AV$6),"")</f>
        <v/>
      </c>
      <c r="AW63" s="57" t="str">
        <f>IFERROR(GETPIVOTDATA("合計 / 当期固定資産税額",pivot!$DJ$5,"物件名",AW$6)+GETPIVOTDATA("合計 / 当期都市計画税額",pivot!$DJ$5,"物件名",AW$6),"")</f>
        <v/>
      </c>
      <c r="AX63" s="57" t="str">
        <f>IFERROR(GETPIVOTDATA("合計 / 当期固定資産税額",pivot!$DJ$5,"物件名",AX$6)+GETPIVOTDATA("合計 / 当期都市計画税額",pivot!$DJ$5,"物件名",AX$6),"")</f>
        <v/>
      </c>
      <c r="AY63" s="57" t="str">
        <f>IFERROR(GETPIVOTDATA("合計 / 当期固定資産税額",pivot!$DJ$5,"物件名",AY$6)+GETPIVOTDATA("合計 / 当期都市計画税額",pivot!$DJ$5,"物件名",AY$6),"")</f>
        <v/>
      </c>
      <c r="AZ63" s="57" t="str">
        <f>IFERROR(GETPIVOTDATA("合計 / 当期固定資産税額",pivot!$DJ$5,"物件名",AZ$6)+GETPIVOTDATA("合計 / 当期都市計画税額",pivot!$DJ$5,"物件名",AZ$6),"")</f>
        <v/>
      </c>
      <c r="BA63" s="57" t="str">
        <f>IFERROR(GETPIVOTDATA("合計 / 当期固定資産税額",pivot!$DJ$5,"物件名",BA$6)+GETPIVOTDATA("合計 / 当期都市計画税額",pivot!$DJ$5,"物件名",BA$6),"")</f>
        <v/>
      </c>
      <c r="BB63" s="57" t="str">
        <f>IFERROR(GETPIVOTDATA("合計 / 当期固定資産税額",pivot!$DJ$5,"物件名",BB$6)+GETPIVOTDATA("合計 / 当期都市計画税額",pivot!$DJ$5,"物件名",BB$6),"")</f>
        <v/>
      </c>
      <c r="BC63" s="57" t="str">
        <f>IFERROR(GETPIVOTDATA("合計 / 当期固定資産税額",pivot!$DJ$5,"物件名",BC$6)+GETPIVOTDATA("合計 / 当期都市計画税額",pivot!$DJ$5,"物件名",BC$6),"")</f>
        <v/>
      </c>
      <c r="BD63" s="57" t="str">
        <f>IFERROR(GETPIVOTDATA("合計 / 当期固定資産税額",pivot!$DJ$5,"物件名",BD$6)+GETPIVOTDATA("合計 / 当期都市計画税額",pivot!$DJ$5,"物件名",BD$6),"")</f>
        <v/>
      </c>
      <c r="BE63" s="57" t="str">
        <f>IFERROR(GETPIVOTDATA("合計 / 当期固定資産税額",pivot!$DJ$5,"物件名",BE$6)+GETPIVOTDATA("合計 / 当期都市計画税額",pivot!$DJ$5,"物件名",BE$6),"")</f>
        <v/>
      </c>
      <c r="BF63" s="57" t="str">
        <f>IFERROR(GETPIVOTDATA("合計 / 当期固定資産税額",pivot!$DJ$5,"物件名",BF$6)+GETPIVOTDATA("合計 / 当期都市計画税額",pivot!$DJ$5,"物件名",BF$6),"")</f>
        <v/>
      </c>
      <c r="BG63" s="57" t="str">
        <f>IFERROR(GETPIVOTDATA("合計 / 当期固定資産税額",pivot!$DJ$5,"物件名",BG$6)+GETPIVOTDATA("合計 / 当期都市計画税額",pivot!$DJ$5,"物件名",BG$6),"")</f>
        <v/>
      </c>
      <c r="BH63" s="57" t="str">
        <f>IFERROR(GETPIVOTDATA("合計 / 当期固定資産税額",pivot!$DJ$5,"物件名",BH$6)+GETPIVOTDATA("合計 / 当期都市計画税額",pivot!$DJ$5,"物件名",BH$6),"")</f>
        <v/>
      </c>
      <c r="BI63" s="57" t="str">
        <f>IFERROR(GETPIVOTDATA("合計 / 当期固定資産税額",pivot!$DJ$5,"物件名",BI$6)+GETPIVOTDATA("合計 / 当期都市計画税額",pivot!$DJ$5,"物件名",BI$6),"")</f>
        <v/>
      </c>
      <c r="BJ63" s="57" t="str">
        <f>IFERROR(GETPIVOTDATA("合計 / 当期固定資産税額",pivot!$DJ$5,"物件名",BJ$6)+GETPIVOTDATA("合計 / 当期都市計画税額",pivot!$DJ$5,"物件名",BJ$6),"")</f>
        <v/>
      </c>
      <c r="BK63" s="57" t="str">
        <f>IFERROR(GETPIVOTDATA("合計 / 当期固定資産税額",pivot!$DJ$5,"物件名",BK$6)+GETPIVOTDATA("合計 / 当期都市計画税額",pivot!$DJ$5,"物件名",BK$6),"")</f>
        <v/>
      </c>
      <c r="BL63" s="57" t="str">
        <f>IFERROR(GETPIVOTDATA("合計 / 当期固定資産税額",pivot!$DJ$5,"物件名",BL$6)+GETPIVOTDATA("合計 / 当期都市計画税額",pivot!$DJ$5,"物件名",BL$6),"")</f>
        <v/>
      </c>
      <c r="BM63" s="57" t="str">
        <f>IFERROR(GETPIVOTDATA("合計 / 当期固定資産税額",pivot!$DJ$5,"物件名",BM$6)+GETPIVOTDATA("合計 / 当期都市計画税額",pivot!$DJ$5,"物件名",BM$6),"")</f>
        <v/>
      </c>
      <c r="BN63" s="57" t="str">
        <f>IFERROR(GETPIVOTDATA("合計 / 当期固定資産税額",pivot!$DJ$5,"物件名",BN$6)+GETPIVOTDATA("合計 / 当期都市計画税額",pivot!$DJ$5,"物件名",BN$6),"")</f>
        <v/>
      </c>
      <c r="BO63" s="57" t="str">
        <f>IFERROR(GETPIVOTDATA("合計 / 当期固定資産税額",pivot!$DJ$5,"物件名",BO$6)+GETPIVOTDATA("合計 / 当期都市計画税額",pivot!$DJ$5,"物件名",BO$6),"")</f>
        <v/>
      </c>
      <c r="BP63" s="57" t="str">
        <f>IFERROR(GETPIVOTDATA("合計 / 当期固定資産税額",pivot!$DJ$5,"物件名",BP$6)+GETPIVOTDATA("合計 / 当期都市計画税額",pivot!$DJ$5,"物件名",BP$6),"")</f>
        <v/>
      </c>
      <c r="BQ63" s="57" t="str">
        <f>IFERROR(GETPIVOTDATA("合計 / 当期固定資産税額",pivot!$DJ$5,"物件名",BQ$6)+GETPIVOTDATA("合計 / 当期都市計画税額",pivot!$DJ$5,"物件名",BQ$6),"")</f>
        <v/>
      </c>
      <c r="BR63" s="57" t="str">
        <f>IFERROR(GETPIVOTDATA("合計 / 当期固定資産税額",pivot!$DJ$5,"物件名",BR$6)+GETPIVOTDATA("合計 / 当期都市計画税額",pivot!$DJ$5,"物件名",BR$6),"")</f>
        <v/>
      </c>
      <c r="BS63" s="57" t="str">
        <f>IFERROR(GETPIVOTDATA("合計 / 当期固定資産税額",pivot!$DJ$5,"物件名",BS$6)+GETPIVOTDATA("合計 / 当期都市計画税額",pivot!$DJ$5,"物件名",BS$6),"")</f>
        <v/>
      </c>
      <c r="BT63" s="57" t="str">
        <f>IFERROR(GETPIVOTDATA("合計 / 当期固定資産税額",pivot!$DJ$5,"物件名",BT$6)+GETPIVOTDATA("合計 / 当期都市計画税額",pivot!$DJ$5,"物件名",BT$6),"")</f>
        <v/>
      </c>
      <c r="BU63" s="57" t="str">
        <f>IFERROR(GETPIVOTDATA("合計 / 当期固定資産税額",pivot!$DJ$5,"物件名",BU$6)+GETPIVOTDATA("合計 / 当期都市計画税額",pivot!$DJ$5,"物件名",BU$6),"")</f>
        <v/>
      </c>
      <c r="BV63" s="57" t="str">
        <f>IFERROR(GETPIVOTDATA("合計 / 当期固定資産税額",pivot!$DJ$5,"物件名",BV$6)+GETPIVOTDATA("合計 / 当期都市計画税額",pivot!$DJ$5,"物件名",BV$6),"")</f>
        <v/>
      </c>
      <c r="BW63" s="57" t="str">
        <f>IFERROR(GETPIVOTDATA("合計 / 当期固定資産税額",pivot!$DJ$5,"物件名",BW$6)+GETPIVOTDATA("合計 / 当期都市計画税額",pivot!$DJ$5,"物件名",BW$6),"")</f>
        <v/>
      </c>
      <c r="BX63" s="57" t="str">
        <f>IFERROR(GETPIVOTDATA("合計 / 当期固定資産税額",pivot!$DJ$5,"物件名",BX$6)+GETPIVOTDATA("合計 / 当期都市計画税額",pivot!$DJ$5,"物件名",BX$6),"")</f>
        <v/>
      </c>
      <c r="BY63" s="57" t="str">
        <f>IFERROR(GETPIVOTDATA("合計 / 当期固定資産税額",pivot!$DJ$5,"物件名",BY$6)+GETPIVOTDATA("合計 / 当期都市計画税額",pivot!$DJ$5,"物件名",BY$6),"")</f>
        <v/>
      </c>
      <c r="BZ63" s="57" t="str">
        <f>IFERROR(GETPIVOTDATA("合計 / 当期固定資産税額",pivot!$DJ$5,"物件名",BZ$6)+GETPIVOTDATA("合計 / 当期都市計画税額",pivot!$DJ$5,"物件名",BZ$6),"")</f>
        <v/>
      </c>
      <c r="CA63" s="57" t="str">
        <f>IFERROR(GETPIVOTDATA("合計 / 当期固定資産税額",pivot!$DJ$5,"物件名",CA$6)+GETPIVOTDATA("合計 / 当期都市計画税額",pivot!$DJ$5,"物件名",CA$6),"")</f>
        <v/>
      </c>
      <c r="CB63" s="57" t="str">
        <f>IFERROR(GETPIVOTDATA("合計 / 当期固定資産税額",pivot!$DJ$5,"物件名",CB$6)+GETPIVOTDATA("合計 / 当期都市計画税額",pivot!$DJ$5,"物件名",CB$6),"")</f>
        <v/>
      </c>
    </row>
    <row r="64" spans="1:80" ht="13.5" customHeight="1">
      <c r="A64" s="175">
        <v>61</v>
      </c>
      <c r="B64" s="191" t="s">
        <v>964</v>
      </c>
      <c r="C64" s="4" t="s">
        <v>377</v>
      </c>
      <c r="D64" s="4" t="s">
        <v>846</v>
      </c>
      <c r="E64" s="183">
        <f t="shared" ref="E64" si="110">E58+E59+E61+E62+E60+E63</f>
        <v>123174427.58320072</v>
      </c>
      <c r="F64" s="57">
        <f>IFERROR(F58+F59+F61+F62+F60+F63,"")</f>
        <v>6221241.177718834</v>
      </c>
      <c r="G64" s="57">
        <f t="shared" ref="G64:Y64" si="111">IFERROR(G58+G59+G61+G62+G60+G63,"")</f>
        <v>11395647.975243149</v>
      </c>
      <c r="H64" s="57">
        <f t="shared" si="111"/>
        <v>10682370.437135283</v>
      </c>
      <c r="I64" s="57">
        <f t="shared" si="111"/>
        <v>2422532.9133510171</v>
      </c>
      <c r="J64" s="57">
        <f t="shared" si="111"/>
        <v>8991753.2730327155</v>
      </c>
      <c r="K64" s="57">
        <f t="shared" si="111"/>
        <v>11216024.846153848</v>
      </c>
      <c r="L64" s="57">
        <f t="shared" si="111"/>
        <v>8153842.8152077813</v>
      </c>
      <c r="M64" s="57">
        <f t="shared" si="111"/>
        <v>4848685.567020338</v>
      </c>
      <c r="N64" s="57" t="str">
        <f t="shared" si="111"/>
        <v/>
      </c>
      <c r="O64" s="57">
        <f t="shared" si="111"/>
        <v>6493188.7664014166</v>
      </c>
      <c r="P64" s="57">
        <f t="shared" si="111"/>
        <v>7707819.879752432</v>
      </c>
      <c r="Q64" s="57">
        <f t="shared" si="111"/>
        <v>10081286.472148543</v>
      </c>
      <c r="R64" s="57">
        <f t="shared" si="111"/>
        <v>4142966.7820512825</v>
      </c>
      <c r="S64" s="57">
        <f t="shared" si="111"/>
        <v>13051318.042263487</v>
      </c>
      <c r="T64" s="57">
        <f t="shared" si="111"/>
        <v>8804552.4031830244</v>
      </c>
      <c r="U64" s="57">
        <f t="shared" si="111"/>
        <v>2663757.1343943416</v>
      </c>
      <c r="V64" s="57" t="str">
        <f t="shared" si="111"/>
        <v/>
      </c>
      <c r="W64" s="57">
        <f t="shared" si="111"/>
        <v>3215774.5508399648</v>
      </c>
      <c r="X64" s="57">
        <f t="shared" si="111"/>
        <v>111647.32537577367</v>
      </c>
      <c r="Y64" s="57">
        <f t="shared" si="111"/>
        <v>522184</v>
      </c>
      <c r="Z64" s="57">
        <f t="shared" ref="Z64:BP64" si="112">IFERROR(Z58+Z59+Z61+Z62+Z60+Z63,"")</f>
        <v>1383244.6392572946</v>
      </c>
      <c r="AA64" s="57">
        <f t="shared" si="112"/>
        <v>1064588.5826702034</v>
      </c>
      <c r="AB64" s="57" t="str">
        <f t="shared" si="112"/>
        <v/>
      </c>
      <c r="AC64" s="57" t="str">
        <f t="shared" si="112"/>
        <v/>
      </c>
      <c r="AD64" s="57" t="str">
        <f t="shared" si="112"/>
        <v/>
      </c>
      <c r="AE64" s="57" t="str">
        <f t="shared" si="112"/>
        <v/>
      </c>
      <c r="AF64" s="57" t="str">
        <f t="shared" si="112"/>
        <v/>
      </c>
      <c r="AG64" s="57" t="str">
        <f t="shared" si="112"/>
        <v/>
      </c>
      <c r="AH64" s="57" t="str">
        <f t="shared" si="112"/>
        <v/>
      </c>
      <c r="AI64" s="57" t="str">
        <f t="shared" si="112"/>
        <v/>
      </c>
      <c r="AJ64" s="57" t="str">
        <f t="shared" si="112"/>
        <v/>
      </c>
      <c r="AK64" s="57" t="str">
        <f t="shared" si="112"/>
        <v/>
      </c>
      <c r="AL64" s="57" t="str">
        <f t="shared" si="112"/>
        <v/>
      </c>
      <c r="AM64" s="57" t="str">
        <f t="shared" si="112"/>
        <v/>
      </c>
      <c r="AN64" s="57" t="str">
        <f t="shared" si="112"/>
        <v/>
      </c>
      <c r="AO64" s="57" t="str">
        <f t="shared" si="112"/>
        <v/>
      </c>
      <c r="AP64" s="57" t="str">
        <f t="shared" si="112"/>
        <v/>
      </c>
      <c r="AQ64" s="57" t="str">
        <f t="shared" si="112"/>
        <v/>
      </c>
      <c r="AR64" s="57" t="str">
        <f t="shared" si="112"/>
        <v/>
      </c>
      <c r="AS64" s="57" t="str">
        <f t="shared" si="112"/>
        <v/>
      </c>
      <c r="AT64" s="57" t="str">
        <f t="shared" si="112"/>
        <v/>
      </c>
      <c r="AU64" s="57" t="str">
        <f t="shared" si="112"/>
        <v/>
      </c>
      <c r="AV64" s="57" t="str">
        <f t="shared" si="112"/>
        <v/>
      </c>
      <c r="AW64" s="57" t="str">
        <f t="shared" si="112"/>
        <v/>
      </c>
      <c r="AX64" s="57" t="str">
        <f t="shared" si="112"/>
        <v/>
      </c>
      <c r="AY64" s="57" t="str">
        <f t="shared" si="112"/>
        <v/>
      </c>
      <c r="AZ64" s="57" t="str">
        <f t="shared" si="112"/>
        <v/>
      </c>
      <c r="BA64" s="57" t="str">
        <f t="shared" si="112"/>
        <v/>
      </c>
      <c r="BB64" s="57" t="str">
        <f t="shared" si="112"/>
        <v/>
      </c>
      <c r="BC64" s="57" t="str">
        <f t="shared" si="112"/>
        <v/>
      </c>
      <c r="BD64" s="57" t="str">
        <f t="shared" si="112"/>
        <v/>
      </c>
      <c r="BE64" s="57" t="str">
        <f t="shared" si="112"/>
        <v/>
      </c>
      <c r="BF64" s="57" t="str">
        <f t="shared" si="112"/>
        <v/>
      </c>
      <c r="BG64" s="57" t="str">
        <f t="shared" si="112"/>
        <v/>
      </c>
      <c r="BH64" s="57" t="str">
        <f t="shared" si="112"/>
        <v/>
      </c>
      <c r="BI64" s="57" t="str">
        <f t="shared" si="112"/>
        <v/>
      </c>
      <c r="BJ64" s="57" t="str">
        <f t="shared" si="112"/>
        <v/>
      </c>
      <c r="BK64" s="57" t="str">
        <f t="shared" si="112"/>
        <v/>
      </c>
      <c r="BL64" s="57" t="str">
        <f t="shared" si="112"/>
        <v/>
      </c>
      <c r="BM64" s="57" t="str">
        <f t="shared" si="112"/>
        <v/>
      </c>
      <c r="BN64" s="57" t="str">
        <f t="shared" si="112"/>
        <v/>
      </c>
      <c r="BO64" s="57" t="str">
        <f t="shared" si="112"/>
        <v/>
      </c>
      <c r="BP64" s="57" t="str">
        <f t="shared" si="112"/>
        <v/>
      </c>
      <c r="BQ64" s="57" t="str">
        <f t="shared" ref="BQ64:CB64" si="113">IFERROR(BQ58+BQ59+BQ61+BQ62+BQ60+BQ63,"")</f>
        <v/>
      </c>
      <c r="BR64" s="57" t="str">
        <f t="shared" si="113"/>
        <v/>
      </c>
      <c r="BS64" s="57" t="str">
        <f t="shared" si="113"/>
        <v/>
      </c>
      <c r="BT64" s="57" t="str">
        <f t="shared" si="113"/>
        <v/>
      </c>
      <c r="BU64" s="57" t="str">
        <f t="shared" si="113"/>
        <v/>
      </c>
      <c r="BV64" s="57" t="str">
        <f t="shared" si="113"/>
        <v/>
      </c>
      <c r="BW64" s="57" t="str">
        <f t="shared" si="113"/>
        <v/>
      </c>
      <c r="BX64" s="57" t="str">
        <f t="shared" si="113"/>
        <v/>
      </c>
      <c r="BY64" s="57" t="str">
        <f t="shared" si="113"/>
        <v/>
      </c>
      <c r="BZ64" s="57" t="str">
        <f t="shared" si="113"/>
        <v/>
      </c>
      <c r="CA64" s="57" t="str">
        <f t="shared" si="113"/>
        <v/>
      </c>
      <c r="CB64" s="57" t="str">
        <f t="shared" si="113"/>
        <v/>
      </c>
    </row>
    <row r="65" spans="1:80" ht="13.5" customHeight="1">
      <c r="A65" s="175">
        <v>62</v>
      </c>
      <c r="B65" s="191" t="s">
        <v>965</v>
      </c>
      <c r="C65" s="4" t="s">
        <v>377</v>
      </c>
      <c r="D65" s="4" t="s">
        <v>846</v>
      </c>
      <c r="E65" s="194">
        <f t="shared" ref="E65" si="114">IFERROR(E64/E54,0)</f>
        <v>0.28793351753122892</v>
      </c>
      <c r="F65" s="130">
        <f>IFERROR(F64/F54,"")</f>
        <v>0.28186634307068059</v>
      </c>
      <c r="G65" s="130">
        <f t="shared" ref="G65:Y65" si="115">IFERROR(G64/G54,"")</f>
        <v>0.3065323858199685</v>
      </c>
      <c r="H65" s="130">
        <f t="shared" si="115"/>
        <v>0.29213834453646625</v>
      </c>
      <c r="I65" s="130">
        <f t="shared" si="115"/>
        <v>0.26689283815342602</v>
      </c>
      <c r="J65" s="130">
        <f t="shared" si="115"/>
        <v>0.26751367989898212</v>
      </c>
      <c r="K65" s="130">
        <f t="shared" si="115"/>
        <v>0.30177861848750076</v>
      </c>
      <c r="L65" s="130">
        <f t="shared" si="115"/>
        <v>0.27413035109828343</v>
      </c>
      <c r="M65" s="130">
        <f t="shared" si="115"/>
        <v>0.26331328389632147</v>
      </c>
      <c r="N65" s="130" t="str">
        <f t="shared" si="115"/>
        <v/>
      </c>
      <c r="O65" s="130">
        <f t="shared" si="115"/>
        <v>0.2889909087964182</v>
      </c>
      <c r="P65" s="130">
        <f t="shared" si="115"/>
        <v>0.25388076020264927</v>
      </c>
      <c r="Q65" s="130">
        <f t="shared" si="115"/>
        <v>0.27947678177391172</v>
      </c>
      <c r="R65" s="130">
        <f t="shared" si="115"/>
        <v>0.26672066673949768</v>
      </c>
      <c r="S65" s="130">
        <f t="shared" si="115"/>
        <v>0.30441607469582194</v>
      </c>
      <c r="T65" s="130">
        <f t="shared" si="115"/>
        <v>0.29731449074692118</v>
      </c>
      <c r="U65" s="130">
        <f t="shared" si="115"/>
        <v>0.25802599232770951</v>
      </c>
      <c r="V65" s="130" t="str">
        <f t="shared" si="115"/>
        <v/>
      </c>
      <c r="W65" s="130">
        <f t="shared" si="115"/>
        <v>0.30873411586405192</v>
      </c>
      <c r="X65" s="130">
        <f t="shared" si="115"/>
        <v>0.26582696518041349</v>
      </c>
      <c r="Y65" s="130" t="str">
        <f t="shared" si="115"/>
        <v/>
      </c>
      <c r="Z65" s="130">
        <f t="shared" ref="Z65:BP65" si="116">IFERROR(Z64/Z54,"")</f>
        <v>0.34930420183265015</v>
      </c>
      <c r="AA65" s="130">
        <f t="shared" si="116"/>
        <v>0.55447322014073097</v>
      </c>
      <c r="AB65" s="130" t="str">
        <f t="shared" si="116"/>
        <v/>
      </c>
      <c r="AC65" s="130" t="str">
        <f t="shared" si="116"/>
        <v/>
      </c>
      <c r="AD65" s="130" t="str">
        <f t="shared" si="116"/>
        <v/>
      </c>
      <c r="AE65" s="130" t="str">
        <f t="shared" si="116"/>
        <v/>
      </c>
      <c r="AF65" s="130" t="str">
        <f t="shared" si="116"/>
        <v/>
      </c>
      <c r="AG65" s="130" t="str">
        <f t="shared" si="116"/>
        <v/>
      </c>
      <c r="AH65" s="130" t="str">
        <f t="shared" si="116"/>
        <v/>
      </c>
      <c r="AI65" s="130" t="str">
        <f t="shared" si="116"/>
        <v/>
      </c>
      <c r="AJ65" s="130" t="str">
        <f t="shared" si="116"/>
        <v/>
      </c>
      <c r="AK65" s="130" t="str">
        <f t="shared" si="116"/>
        <v/>
      </c>
      <c r="AL65" s="130" t="str">
        <f t="shared" si="116"/>
        <v/>
      </c>
      <c r="AM65" s="130" t="str">
        <f t="shared" si="116"/>
        <v/>
      </c>
      <c r="AN65" s="130" t="str">
        <f t="shared" si="116"/>
        <v/>
      </c>
      <c r="AO65" s="130" t="str">
        <f t="shared" si="116"/>
        <v/>
      </c>
      <c r="AP65" s="130" t="str">
        <f t="shared" si="116"/>
        <v/>
      </c>
      <c r="AQ65" s="130" t="str">
        <f t="shared" si="116"/>
        <v/>
      </c>
      <c r="AR65" s="130" t="str">
        <f t="shared" si="116"/>
        <v/>
      </c>
      <c r="AS65" s="130" t="str">
        <f t="shared" si="116"/>
        <v/>
      </c>
      <c r="AT65" s="130" t="str">
        <f t="shared" si="116"/>
        <v/>
      </c>
      <c r="AU65" s="130" t="str">
        <f t="shared" si="116"/>
        <v/>
      </c>
      <c r="AV65" s="130" t="str">
        <f t="shared" si="116"/>
        <v/>
      </c>
      <c r="AW65" s="130" t="str">
        <f t="shared" si="116"/>
        <v/>
      </c>
      <c r="AX65" s="130" t="str">
        <f t="shared" si="116"/>
        <v/>
      </c>
      <c r="AY65" s="130" t="str">
        <f t="shared" si="116"/>
        <v/>
      </c>
      <c r="AZ65" s="130" t="str">
        <f t="shared" si="116"/>
        <v/>
      </c>
      <c r="BA65" s="130" t="str">
        <f t="shared" si="116"/>
        <v/>
      </c>
      <c r="BB65" s="130" t="str">
        <f t="shared" si="116"/>
        <v/>
      </c>
      <c r="BC65" s="130" t="str">
        <f t="shared" si="116"/>
        <v/>
      </c>
      <c r="BD65" s="130" t="str">
        <f t="shared" si="116"/>
        <v/>
      </c>
      <c r="BE65" s="130" t="str">
        <f t="shared" si="116"/>
        <v/>
      </c>
      <c r="BF65" s="130" t="str">
        <f t="shared" si="116"/>
        <v/>
      </c>
      <c r="BG65" s="130" t="str">
        <f t="shared" si="116"/>
        <v/>
      </c>
      <c r="BH65" s="130" t="str">
        <f t="shared" si="116"/>
        <v/>
      </c>
      <c r="BI65" s="130" t="str">
        <f t="shared" si="116"/>
        <v/>
      </c>
      <c r="BJ65" s="130" t="str">
        <f t="shared" si="116"/>
        <v/>
      </c>
      <c r="BK65" s="130" t="str">
        <f t="shared" si="116"/>
        <v/>
      </c>
      <c r="BL65" s="130" t="str">
        <f t="shared" si="116"/>
        <v/>
      </c>
      <c r="BM65" s="130" t="str">
        <f t="shared" si="116"/>
        <v/>
      </c>
      <c r="BN65" s="130" t="str">
        <f t="shared" si="116"/>
        <v/>
      </c>
      <c r="BO65" s="130" t="str">
        <f t="shared" si="116"/>
        <v/>
      </c>
      <c r="BP65" s="130" t="str">
        <f t="shared" si="116"/>
        <v/>
      </c>
      <c r="BQ65" s="130" t="str">
        <f t="shared" ref="BQ65:CB65" si="117">IFERROR(BQ64/BQ54,"")</f>
        <v/>
      </c>
      <c r="BR65" s="130" t="str">
        <f t="shared" si="117"/>
        <v/>
      </c>
      <c r="BS65" s="130" t="str">
        <f t="shared" si="117"/>
        <v/>
      </c>
      <c r="BT65" s="130" t="str">
        <f t="shared" si="117"/>
        <v/>
      </c>
      <c r="BU65" s="130" t="str">
        <f t="shared" si="117"/>
        <v/>
      </c>
      <c r="BV65" s="130" t="str">
        <f t="shared" si="117"/>
        <v/>
      </c>
      <c r="BW65" s="130" t="str">
        <f t="shared" si="117"/>
        <v/>
      </c>
      <c r="BX65" s="130" t="str">
        <f t="shared" si="117"/>
        <v/>
      </c>
      <c r="BY65" s="130" t="str">
        <f t="shared" si="117"/>
        <v/>
      </c>
      <c r="BZ65" s="130" t="str">
        <f t="shared" si="117"/>
        <v/>
      </c>
      <c r="CA65" s="130" t="str">
        <f t="shared" si="117"/>
        <v/>
      </c>
      <c r="CB65" s="130" t="str">
        <f t="shared" si="117"/>
        <v/>
      </c>
    </row>
    <row r="66" spans="1:80" ht="13.5" customHeight="1">
      <c r="A66" s="175">
        <v>63</v>
      </c>
      <c r="B66" s="191" t="s">
        <v>966</v>
      </c>
      <c r="C66" s="4" t="s">
        <v>377</v>
      </c>
      <c r="D66" s="4" t="s">
        <v>846</v>
      </c>
      <c r="E66" s="183">
        <f t="shared" ref="E66" si="118">E54-E64</f>
        <v>304613308.41679931</v>
      </c>
      <c r="F66" s="57">
        <f>IFERROR(F54-F64,"")</f>
        <v>15850358.822281167</v>
      </c>
      <c r="G66" s="57">
        <f t="shared" ref="G66:Y66" si="119">IFERROR(G54-G64,"")</f>
        <v>25780352.024756849</v>
      </c>
      <c r="H66" s="57">
        <f t="shared" si="119"/>
        <v>25883765.562864717</v>
      </c>
      <c r="I66" s="57">
        <f t="shared" si="119"/>
        <v>6654267.0866489829</v>
      </c>
      <c r="J66" s="57">
        <f t="shared" si="119"/>
        <v>24620558.726967283</v>
      </c>
      <c r="K66" s="57">
        <f t="shared" si="119"/>
        <v>25950375.153846152</v>
      </c>
      <c r="L66" s="57">
        <f t="shared" si="119"/>
        <v>21590557.184792221</v>
      </c>
      <c r="M66" s="57">
        <f t="shared" si="119"/>
        <v>13565446.432979662</v>
      </c>
      <c r="N66" s="57" t="str">
        <f t="shared" si="119"/>
        <v/>
      </c>
      <c r="O66" s="57">
        <f t="shared" si="119"/>
        <v>15975299.233598582</v>
      </c>
      <c r="P66" s="57">
        <f t="shared" si="119"/>
        <v>22652180.120247569</v>
      </c>
      <c r="Q66" s="57">
        <f t="shared" si="119"/>
        <v>25990713.527851455</v>
      </c>
      <c r="R66" s="57">
        <f t="shared" si="119"/>
        <v>11390013.217948718</v>
      </c>
      <c r="S66" s="57">
        <f t="shared" si="119"/>
        <v>29821969.957736515</v>
      </c>
      <c r="T66" s="57">
        <f t="shared" si="119"/>
        <v>20809047.596816976</v>
      </c>
      <c r="U66" s="57">
        <f t="shared" si="119"/>
        <v>7659842.8656056579</v>
      </c>
      <c r="V66" s="57" t="str">
        <f t="shared" si="119"/>
        <v/>
      </c>
      <c r="W66" s="57">
        <f t="shared" si="119"/>
        <v>7200225.4491600357</v>
      </c>
      <c r="X66" s="57">
        <f t="shared" si="119"/>
        <v>308352.67462422635</v>
      </c>
      <c r="Y66" s="57">
        <f t="shared" si="119"/>
        <v>-522184</v>
      </c>
      <c r="Z66" s="57">
        <f t="shared" ref="Z66:BP66" si="120">IFERROR(Z54-Z64,"")</f>
        <v>2576755.3607427054</v>
      </c>
      <c r="AA66" s="57">
        <f t="shared" si="120"/>
        <v>855411.41732979659</v>
      </c>
      <c r="AB66" s="57" t="str">
        <f t="shared" si="120"/>
        <v/>
      </c>
      <c r="AC66" s="57" t="str">
        <f t="shared" si="120"/>
        <v/>
      </c>
      <c r="AD66" s="57" t="str">
        <f t="shared" si="120"/>
        <v/>
      </c>
      <c r="AE66" s="57" t="str">
        <f t="shared" si="120"/>
        <v/>
      </c>
      <c r="AF66" s="57" t="str">
        <f t="shared" si="120"/>
        <v/>
      </c>
      <c r="AG66" s="57" t="str">
        <f t="shared" si="120"/>
        <v/>
      </c>
      <c r="AH66" s="57" t="str">
        <f t="shared" si="120"/>
        <v/>
      </c>
      <c r="AI66" s="57" t="str">
        <f t="shared" si="120"/>
        <v/>
      </c>
      <c r="AJ66" s="57" t="str">
        <f t="shared" si="120"/>
        <v/>
      </c>
      <c r="AK66" s="57" t="str">
        <f t="shared" si="120"/>
        <v/>
      </c>
      <c r="AL66" s="57" t="str">
        <f t="shared" si="120"/>
        <v/>
      </c>
      <c r="AM66" s="57" t="str">
        <f t="shared" si="120"/>
        <v/>
      </c>
      <c r="AN66" s="57" t="str">
        <f t="shared" si="120"/>
        <v/>
      </c>
      <c r="AO66" s="57" t="str">
        <f t="shared" si="120"/>
        <v/>
      </c>
      <c r="AP66" s="57" t="str">
        <f t="shared" si="120"/>
        <v/>
      </c>
      <c r="AQ66" s="57" t="str">
        <f t="shared" si="120"/>
        <v/>
      </c>
      <c r="AR66" s="57" t="str">
        <f t="shared" si="120"/>
        <v/>
      </c>
      <c r="AS66" s="57" t="str">
        <f t="shared" si="120"/>
        <v/>
      </c>
      <c r="AT66" s="57" t="str">
        <f t="shared" si="120"/>
        <v/>
      </c>
      <c r="AU66" s="57" t="str">
        <f t="shared" si="120"/>
        <v/>
      </c>
      <c r="AV66" s="57" t="str">
        <f t="shared" si="120"/>
        <v/>
      </c>
      <c r="AW66" s="57" t="str">
        <f t="shared" si="120"/>
        <v/>
      </c>
      <c r="AX66" s="57" t="str">
        <f t="shared" si="120"/>
        <v/>
      </c>
      <c r="AY66" s="57" t="str">
        <f t="shared" si="120"/>
        <v/>
      </c>
      <c r="AZ66" s="57" t="str">
        <f t="shared" si="120"/>
        <v/>
      </c>
      <c r="BA66" s="57" t="str">
        <f t="shared" si="120"/>
        <v/>
      </c>
      <c r="BB66" s="57" t="str">
        <f t="shared" si="120"/>
        <v/>
      </c>
      <c r="BC66" s="57" t="str">
        <f t="shared" si="120"/>
        <v/>
      </c>
      <c r="BD66" s="57" t="str">
        <f t="shared" si="120"/>
        <v/>
      </c>
      <c r="BE66" s="57" t="str">
        <f t="shared" si="120"/>
        <v/>
      </c>
      <c r="BF66" s="57" t="str">
        <f t="shared" si="120"/>
        <v/>
      </c>
      <c r="BG66" s="57" t="str">
        <f t="shared" si="120"/>
        <v/>
      </c>
      <c r="BH66" s="57" t="str">
        <f t="shared" si="120"/>
        <v/>
      </c>
      <c r="BI66" s="57" t="str">
        <f t="shared" si="120"/>
        <v/>
      </c>
      <c r="BJ66" s="57" t="str">
        <f t="shared" si="120"/>
        <v/>
      </c>
      <c r="BK66" s="57" t="str">
        <f t="shared" si="120"/>
        <v/>
      </c>
      <c r="BL66" s="57" t="str">
        <f t="shared" si="120"/>
        <v/>
      </c>
      <c r="BM66" s="57" t="str">
        <f t="shared" si="120"/>
        <v/>
      </c>
      <c r="BN66" s="57" t="str">
        <f t="shared" si="120"/>
        <v/>
      </c>
      <c r="BO66" s="57" t="str">
        <f t="shared" si="120"/>
        <v/>
      </c>
      <c r="BP66" s="57" t="str">
        <f t="shared" si="120"/>
        <v/>
      </c>
      <c r="BQ66" s="57" t="str">
        <f t="shared" ref="BQ66:CB66" si="121">IFERROR(BQ54-BQ64,"")</f>
        <v/>
      </c>
      <c r="BR66" s="57" t="str">
        <f t="shared" si="121"/>
        <v/>
      </c>
      <c r="BS66" s="57" t="str">
        <f t="shared" si="121"/>
        <v/>
      </c>
      <c r="BT66" s="57" t="str">
        <f t="shared" si="121"/>
        <v/>
      </c>
      <c r="BU66" s="57" t="str">
        <f t="shared" si="121"/>
        <v/>
      </c>
      <c r="BV66" s="57" t="str">
        <f t="shared" si="121"/>
        <v/>
      </c>
      <c r="BW66" s="57" t="str">
        <f t="shared" si="121"/>
        <v/>
      </c>
      <c r="BX66" s="57" t="str">
        <f t="shared" si="121"/>
        <v/>
      </c>
      <c r="BY66" s="57" t="str">
        <f t="shared" si="121"/>
        <v/>
      </c>
      <c r="BZ66" s="57" t="str">
        <f t="shared" si="121"/>
        <v/>
      </c>
      <c r="CA66" s="57" t="str">
        <f t="shared" si="121"/>
        <v/>
      </c>
      <c r="CB66" s="57" t="str">
        <f t="shared" si="121"/>
        <v/>
      </c>
    </row>
    <row r="67" spans="1:80" ht="13.5" customHeight="1">
      <c r="A67" s="175">
        <v>64</v>
      </c>
      <c r="B67" s="191" t="s">
        <v>967</v>
      </c>
      <c r="C67" s="4" t="s">
        <v>377</v>
      </c>
      <c r="D67" s="4" t="s">
        <v>846</v>
      </c>
      <c r="E67" s="183">
        <f>SUMIF(F5:CH5,"no",F67:CH67)</f>
        <v>244475536.41679931</v>
      </c>
      <c r="F67" s="57">
        <f t="shared" ref="F67:AK67" si="122">IFERROR(F66-F37*12,"")</f>
        <v>14181578.822281167</v>
      </c>
      <c r="G67" s="57">
        <f t="shared" si="122"/>
        <v>17686760.024756849</v>
      </c>
      <c r="H67" s="57">
        <f t="shared" si="122"/>
        <v>22289861.562864717</v>
      </c>
      <c r="I67" s="57">
        <f t="shared" si="122"/>
        <v>5946555.0866489829</v>
      </c>
      <c r="J67" s="57">
        <f t="shared" si="122"/>
        <v>22616906.726967283</v>
      </c>
      <c r="K67" s="57">
        <f t="shared" si="122"/>
        <v>23049327.153846152</v>
      </c>
      <c r="L67" s="57">
        <f t="shared" si="122"/>
        <v>17814301.184792221</v>
      </c>
      <c r="M67" s="57">
        <f t="shared" si="122"/>
        <v>11365174.432979662</v>
      </c>
      <c r="N67" s="57" t="str">
        <f t="shared" si="122"/>
        <v/>
      </c>
      <c r="O67" s="57">
        <f t="shared" si="122"/>
        <v>13008335.233598582</v>
      </c>
      <c r="P67" s="57">
        <f t="shared" si="122"/>
        <v>17869244.120247569</v>
      </c>
      <c r="Q67" s="57">
        <f t="shared" si="122"/>
        <v>20364177.527851455</v>
      </c>
      <c r="R67" s="57">
        <f t="shared" si="122"/>
        <v>9225369.217948718</v>
      </c>
      <c r="S67" s="57">
        <f t="shared" si="122"/>
        <v>23657545.957736515</v>
      </c>
      <c r="T67" s="57">
        <f t="shared" si="122"/>
        <v>15931419.596816976</v>
      </c>
      <c r="U67" s="57">
        <f t="shared" si="122"/>
        <v>5900006.8656056579</v>
      </c>
      <c r="V67" s="57" t="str">
        <f t="shared" si="122"/>
        <v/>
      </c>
      <c r="W67" s="57">
        <f t="shared" si="122"/>
        <v>4899837.4491600357</v>
      </c>
      <c r="X67" s="57">
        <f t="shared" si="122"/>
        <v>308352.67462422635</v>
      </c>
      <c r="Y67" s="57">
        <f t="shared" si="122"/>
        <v>-3693184</v>
      </c>
      <c r="Z67" s="57">
        <f t="shared" si="122"/>
        <v>1650742.3607427054</v>
      </c>
      <c r="AA67" s="57">
        <f t="shared" si="122"/>
        <v>403224.41732979659</v>
      </c>
      <c r="AB67" s="57" t="str">
        <f t="shared" si="122"/>
        <v/>
      </c>
      <c r="AC67" s="57" t="str">
        <f t="shared" si="122"/>
        <v/>
      </c>
      <c r="AD67" s="57" t="str">
        <f t="shared" si="122"/>
        <v/>
      </c>
      <c r="AE67" s="57" t="str">
        <f t="shared" si="122"/>
        <v/>
      </c>
      <c r="AF67" s="57" t="str">
        <f t="shared" si="122"/>
        <v/>
      </c>
      <c r="AG67" s="57" t="str">
        <f t="shared" si="122"/>
        <v/>
      </c>
      <c r="AH67" s="57" t="str">
        <f t="shared" si="122"/>
        <v/>
      </c>
      <c r="AI67" s="57" t="str">
        <f t="shared" si="122"/>
        <v/>
      </c>
      <c r="AJ67" s="57" t="str">
        <f t="shared" si="122"/>
        <v/>
      </c>
      <c r="AK67" s="57" t="str">
        <f t="shared" si="122"/>
        <v/>
      </c>
      <c r="AL67" s="57" t="str">
        <f t="shared" ref="AL67:BQ67" si="123">IFERROR(AL66-AL37*12,"")</f>
        <v/>
      </c>
      <c r="AM67" s="57" t="str">
        <f t="shared" si="123"/>
        <v/>
      </c>
      <c r="AN67" s="57" t="str">
        <f t="shared" si="123"/>
        <v/>
      </c>
      <c r="AO67" s="57" t="str">
        <f t="shared" si="123"/>
        <v/>
      </c>
      <c r="AP67" s="57" t="str">
        <f t="shared" si="123"/>
        <v/>
      </c>
      <c r="AQ67" s="57" t="str">
        <f t="shared" si="123"/>
        <v/>
      </c>
      <c r="AR67" s="57" t="str">
        <f t="shared" si="123"/>
        <v/>
      </c>
      <c r="AS67" s="57" t="str">
        <f t="shared" si="123"/>
        <v/>
      </c>
      <c r="AT67" s="57" t="str">
        <f t="shared" si="123"/>
        <v/>
      </c>
      <c r="AU67" s="57" t="str">
        <f t="shared" si="123"/>
        <v/>
      </c>
      <c r="AV67" s="57" t="str">
        <f t="shared" si="123"/>
        <v/>
      </c>
      <c r="AW67" s="57" t="str">
        <f t="shared" si="123"/>
        <v/>
      </c>
      <c r="AX67" s="57" t="str">
        <f t="shared" si="123"/>
        <v/>
      </c>
      <c r="AY67" s="57" t="str">
        <f t="shared" si="123"/>
        <v/>
      </c>
      <c r="AZ67" s="57" t="str">
        <f t="shared" si="123"/>
        <v/>
      </c>
      <c r="BA67" s="57" t="str">
        <f t="shared" si="123"/>
        <v/>
      </c>
      <c r="BB67" s="57" t="str">
        <f t="shared" si="123"/>
        <v/>
      </c>
      <c r="BC67" s="57" t="str">
        <f t="shared" si="123"/>
        <v/>
      </c>
      <c r="BD67" s="57" t="str">
        <f t="shared" si="123"/>
        <v/>
      </c>
      <c r="BE67" s="57" t="str">
        <f t="shared" si="123"/>
        <v/>
      </c>
      <c r="BF67" s="57" t="str">
        <f t="shared" si="123"/>
        <v/>
      </c>
      <c r="BG67" s="57" t="str">
        <f t="shared" si="123"/>
        <v/>
      </c>
      <c r="BH67" s="57" t="str">
        <f t="shared" si="123"/>
        <v/>
      </c>
      <c r="BI67" s="57" t="str">
        <f t="shared" si="123"/>
        <v/>
      </c>
      <c r="BJ67" s="57" t="str">
        <f t="shared" si="123"/>
        <v/>
      </c>
      <c r="BK67" s="57" t="str">
        <f t="shared" si="123"/>
        <v/>
      </c>
      <c r="BL67" s="57" t="str">
        <f t="shared" si="123"/>
        <v/>
      </c>
      <c r="BM67" s="57" t="str">
        <f t="shared" si="123"/>
        <v/>
      </c>
      <c r="BN67" s="57" t="str">
        <f t="shared" si="123"/>
        <v/>
      </c>
      <c r="BO67" s="57" t="str">
        <f t="shared" si="123"/>
        <v/>
      </c>
      <c r="BP67" s="57" t="str">
        <f t="shared" si="123"/>
        <v/>
      </c>
      <c r="BQ67" s="57" t="str">
        <f t="shared" si="123"/>
        <v/>
      </c>
      <c r="BR67" s="57" t="str">
        <f t="shared" ref="BR67:CB67" si="124">IFERROR(BR66-BR37*12,"")</f>
        <v/>
      </c>
      <c r="BS67" s="57" t="str">
        <f t="shared" si="124"/>
        <v/>
      </c>
      <c r="BT67" s="57" t="str">
        <f t="shared" si="124"/>
        <v/>
      </c>
      <c r="BU67" s="57" t="str">
        <f t="shared" si="124"/>
        <v/>
      </c>
      <c r="BV67" s="57" t="str">
        <f t="shared" si="124"/>
        <v/>
      </c>
      <c r="BW67" s="57" t="str">
        <f t="shared" si="124"/>
        <v/>
      </c>
      <c r="BX67" s="57" t="str">
        <f t="shared" si="124"/>
        <v/>
      </c>
      <c r="BY67" s="57" t="str">
        <f t="shared" si="124"/>
        <v/>
      </c>
      <c r="BZ67" s="57" t="str">
        <f t="shared" si="124"/>
        <v/>
      </c>
      <c r="CA67" s="57" t="str">
        <f t="shared" si="124"/>
        <v/>
      </c>
      <c r="CB67" s="57" t="str">
        <f t="shared" si="124"/>
        <v/>
      </c>
    </row>
    <row r="68" spans="1:80" ht="13.5" customHeight="1">
      <c r="A68" s="175">
        <v>65</v>
      </c>
      <c r="B68" s="191" t="s">
        <v>968</v>
      </c>
      <c r="C68" s="4" t="s">
        <v>377</v>
      </c>
      <c r="D68" s="4" t="s">
        <v>846</v>
      </c>
      <c r="E68" s="183">
        <f>SUMIF(F5:CH5,"no",F68:CH68)</f>
        <v>87320612</v>
      </c>
      <c r="F68" s="57">
        <f>IFERROR(GETPIVOTDATA("14.年間償却額",pivot!$AI$5,"2.対象物件",F6),"")</f>
        <v>2031089</v>
      </c>
      <c r="G68" s="57">
        <f>IFERROR(GETPIVOTDATA("14.年間償却額",pivot!$AI$5,"2.対象物件",G6),"")</f>
        <v>6822429</v>
      </c>
      <c r="H68" s="57">
        <f>IFERROR(GETPIVOTDATA("14.年間償却額",pivot!$AI$5,"2.対象物件",H6),"")</f>
        <v>6009972</v>
      </c>
      <c r="I68" s="57">
        <f>IFERROR(GETPIVOTDATA("14.年間償却額",pivot!$AI$5,"2.対象物件",I6),"")</f>
        <v>1334838</v>
      </c>
      <c r="J68" s="57">
        <f>IFERROR(GETPIVOTDATA("14.年間償却額",pivot!$AI$5,"2.対象物件",J6),"")</f>
        <v>10460893</v>
      </c>
      <c r="K68" s="57">
        <f>IFERROR(GETPIVOTDATA("14.年間償却額",pivot!$AI$5,"2.対象物件",K6),"")</f>
        <v>6422877</v>
      </c>
      <c r="L68" s="57">
        <f>IFERROR(GETPIVOTDATA("14.年間償却額",pivot!$AI$5,"2.対象物件",L6),"")</f>
        <v>4612021</v>
      </c>
      <c r="M68" s="57">
        <f>IFERROR(GETPIVOTDATA("14.年間償却額",pivot!$AI$5,"2.対象物件",M6),"")</f>
        <v>4510192</v>
      </c>
      <c r="N68" s="57" t="str">
        <f>IFERROR(GETPIVOTDATA("14.年間償却額",pivot!$AI$5,"2.対象物件",N6),"")</f>
        <v/>
      </c>
      <c r="O68" s="57">
        <f>IFERROR(GETPIVOTDATA("14.年間償却額",pivot!$AI$5,"2.対象物件",O6),"")</f>
        <v>4300138</v>
      </c>
      <c r="P68" s="57">
        <f>IFERROR(GETPIVOTDATA("14.年間償却額",pivot!$AI$5,"2.対象物件",P6),"")</f>
        <v>4817807</v>
      </c>
      <c r="Q68" s="57">
        <f>IFERROR(GETPIVOTDATA("14.年間償却額",pivot!$AI$5,"2.対象物件",Q6),"")</f>
        <v>7195919</v>
      </c>
      <c r="R68" s="57">
        <f>IFERROR(GETPIVOTDATA("14.年間償却額",pivot!$AI$5,"2.対象物件",R6),"")</f>
        <v>2114406</v>
      </c>
      <c r="S68" s="57">
        <f>IFERROR(GETPIVOTDATA("14.年間償却額",pivot!$AI$5,"2.対象物件",S6),"")</f>
        <v>7773951</v>
      </c>
      <c r="T68" s="57">
        <f>IFERROR(GETPIVOTDATA("14.年間償却額",pivot!$AI$5,"2.対象物件",T6),"")</f>
        <v>7862667</v>
      </c>
      <c r="U68" s="57">
        <f>IFERROR(GETPIVOTDATA("14.年間償却額",pivot!$AI$5,"2.対象物件",U6),"")</f>
        <v>2951198</v>
      </c>
      <c r="V68" s="57" t="str">
        <f>IFERROR(GETPIVOTDATA("14.年間償却額",pivot!$AI$5,"2.対象物件",V6),"")</f>
        <v/>
      </c>
      <c r="W68" s="57">
        <f>IFERROR(GETPIVOTDATA("14.年間償却額",pivot!$AI$5,"2.対象物件",W6),"")</f>
        <v>1637830</v>
      </c>
      <c r="X68" s="57">
        <f>IFERROR(GETPIVOTDATA("14.年間償却額",pivot!$AI$5,"2.対象物件",X6),"")</f>
        <v>256421</v>
      </c>
      <c r="Y68" s="57">
        <f>IFERROR(GETPIVOTDATA("14.年間償却額",pivot!$AI$5,"2.対象物件",Y6),"")</f>
        <v>1705964</v>
      </c>
      <c r="Z68" s="57">
        <f>IFERROR(GETPIVOTDATA("14.年間償却額",pivot!$AI$5,"2.対象物件",Z6),"")</f>
        <v>2500000</v>
      </c>
      <c r="AA68" s="57">
        <f>IFERROR(GETPIVOTDATA("14.年間償却額",pivot!$AI$5,"2.対象物件",AA6),"")</f>
        <v>2000000</v>
      </c>
      <c r="AB68" s="57" t="str">
        <f>IFERROR(GETPIVOTDATA("14.年間償却額",pivot!$AI$5,"2.対象物件",AB6),"")</f>
        <v/>
      </c>
      <c r="AC68" s="57" t="str">
        <f>IFERROR(GETPIVOTDATA("14.年間償却額",pivot!$AI$5,"2.対象物件",AC6),"")</f>
        <v/>
      </c>
      <c r="AD68" s="57" t="str">
        <f>IFERROR(GETPIVOTDATA("14.年間償却額",pivot!$AI$5,"2.対象物件",AD6),"")</f>
        <v/>
      </c>
      <c r="AE68" s="57" t="str">
        <f>IFERROR(GETPIVOTDATA("14.年間償却額",pivot!$AI$5,"2.対象物件",AE6),"")</f>
        <v/>
      </c>
      <c r="AF68" s="57" t="str">
        <f>IFERROR(GETPIVOTDATA("14.年間償却額",pivot!$AI$5,"2.対象物件",AF6),"")</f>
        <v/>
      </c>
      <c r="AG68" s="57" t="str">
        <f>IFERROR(GETPIVOTDATA("14.年間償却額",pivot!$AI$5,"2.対象物件",AG6),"")</f>
        <v/>
      </c>
      <c r="AH68" s="57" t="str">
        <f>IFERROR(GETPIVOTDATA("14.年間償却額",pivot!$AI$5,"2.対象物件",AH6),"")</f>
        <v/>
      </c>
      <c r="AI68" s="57" t="str">
        <f>IFERROR(GETPIVOTDATA("14.年間償却額",pivot!$AI$5,"2.対象物件",AI6),"")</f>
        <v/>
      </c>
      <c r="AJ68" s="57" t="str">
        <f>IFERROR(GETPIVOTDATA("14.年間償却額",pivot!$AI$5,"2.対象物件",AJ6),"")</f>
        <v/>
      </c>
      <c r="AK68" s="57" t="str">
        <f>IFERROR(GETPIVOTDATA("14.年間償却額",pivot!$AI$5,"2.対象物件",AK6),"")</f>
        <v/>
      </c>
      <c r="AL68" s="57" t="str">
        <f>IFERROR(GETPIVOTDATA("14.年間償却額",pivot!$AI$5,"2.対象物件",AL6),"")</f>
        <v/>
      </c>
      <c r="AM68" s="57" t="str">
        <f>IFERROR(GETPIVOTDATA("14.年間償却額",pivot!$AI$5,"2.対象物件",AM6),"")</f>
        <v/>
      </c>
      <c r="AN68" s="57" t="str">
        <f>IFERROR(GETPIVOTDATA("14.年間償却額",pivot!$AI$5,"2.対象物件",AN6),"")</f>
        <v/>
      </c>
      <c r="AO68" s="57" t="str">
        <f>IFERROR(GETPIVOTDATA("14.年間償却額",pivot!$AI$5,"2.対象物件",AO6),"")</f>
        <v/>
      </c>
      <c r="AP68" s="57" t="str">
        <f>IFERROR(GETPIVOTDATA("14.年間償却額",pivot!$AI$5,"2.対象物件",AP6),"")</f>
        <v/>
      </c>
      <c r="AQ68" s="57" t="str">
        <f>IFERROR(GETPIVOTDATA("14.年間償却額",pivot!$AI$5,"2.対象物件",AQ6),"")</f>
        <v/>
      </c>
      <c r="AR68" s="57" t="str">
        <f>IFERROR(GETPIVOTDATA("14.年間償却額",pivot!$AI$5,"2.対象物件",AR6),"")</f>
        <v/>
      </c>
      <c r="AS68" s="57" t="str">
        <f>IFERROR(GETPIVOTDATA("14.年間償却額",pivot!$AI$5,"2.対象物件",AS6),"")</f>
        <v/>
      </c>
      <c r="AT68" s="57" t="str">
        <f>IFERROR(GETPIVOTDATA("14.年間償却額",pivot!$AI$5,"2.対象物件",AT6),"")</f>
        <v/>
      </c>
      <c r="AU68" s="57" t="str">
        <f>IFERROR(GETPIVOTDATA("14.年間償却額",pivot!$AI$5,"2.対象物件",AU6),"")</f>
        <v/>
      </c>
      <c r="AV68" s="57" t="str">
        <f>IFERROR(GETPIVOTDATA("14.年間償却額",pivot!$AI$5,"2.対象物件",AV6),"")</f>
        <v/>
      </c>
      <c r="AW68" s="57" t="str">
        <f>IFERROR(GETPIVOTDATA("14.年間償却額",pivot!$AI$5,"2.対象物件",AW6),"")</f>
        <v/>
      </c>
      <c r="AX68" s="57" t="str">
        <f>IFERROR(GETPIVOTDATA("14.年間償却額",pivot!$AI$5,"2.対象物件",AX6),"")</f>
        <v/>
      </c>
      <c r="AY68" s="57" t="str">
        <f>IFERROR(GETPIVOTDATA("14.年間償却額",pivot!$AI$5,"2.対象物件",AY6),"")</f>
        <v/>
      </c>
      <c r="AZ68" s="57" t="str">
        <f>IFERROR(GETPIVOTDATA("14.年間償却額",pivot!$AI$5,"2.対象物件",AZ6),"")</f>
        <v/>
      </c>
      <c r="BA68" s="57" t="str">
        <f>IFERROR(GETPIVOTDATA("14.年間償却額",pivot!$AI$5,"2.対象物件",BA6),"")</f>
        <v/>
      </c>
      <c r="BB68" s="57" t="str">
        <f>IFERROR(GETPIVOTDATA("14.年間償却額",pivot!$AI$5,"2.対象物件",BB6),"")</f>
        <v/>
      </c>
      <c r="BC68" s="57" t="str">
        <f>IFERROR(GETPIVOTDATA("14.年間償却額",pivot!$AI$5,"2.対象物件",BC6),"")</f>
        <v/>
      </c>
      <c r="BD68" s="57" t="str">
        <f>IFERROR(GETPIVOTDATA("14.年間償却額",pivot!$AI$5,"2.対象物件",BD6),"")</f>
        <v/>
      </c>
      <c r="BE68" s="57" t="str">
        <f>IFERROR(GETPIVOTDATA("14.年間償却額",pivot!$AI$5,"2.対象物件",BE6),"")</f>
        <v/>
      </c>
      <c r="BF68" s="57" t="str">
        <f>IFERROR(GETPIVOTDATA("14.年間償却額",pivot!$AI$5,"2.対象物件",BF6),"")</f>
        <v/>
      </c>
      <c r="BG68" s="57" t="str">
        <f>IFERROR(GETPIVOTDATA("14.年間償却額",pivot!$AI$5,"2.対象物件",BG6),"")</f>
        <v/>
      </c>
      <c r="BH68" s="57" t="str">
        <f>IFERROR(GETPIVOTDATA("14.年間償却額",pivot!$AI$5,"2.対象物件",BH6),"")</f>
        <v/>
      </c>
      <c r="BI68" s="57" t="str">
        <f>IFERROR(GETPIVOTDATA("14.年間償却額",pivot!$AI$5,"2.対象物件",BI6),"")</f>
        <v/>
      </c>
      <c r="BJ68" s="57" t="str">
        <f>IFERROR(GETPIVOTDATA("14.年間償却額",pivot!$AI$5,"2.対象物件",BJ6),"")</f>
        <v/>
      </c>
      <c r="BK68" s="57" t="str">
        <f>IFERROR(GETPIVOTDATA("14.年間償却額",pivot!$AI$5,"2.対象物件",BK6),"")</f>
        <v/>
      </c>
      <c r="BL68" s="57" t="str">
        <f>IFERROR(GETPIVOTDATA("14.年間償却額",pivot!$AI$5,"2.対象物件",BL6),"")</f>
        <v/>
      </c>
      <c r="BM68" s="57" t="str">
        <f>IFERROR(GETPIVOTDATA("14.年間償却額",pivot!$AI$5,"2.対象物件",BM6),"")</f>
        <v/>
      </c>
      <c r="BN68" s="57" t="str">
        <f>IFERROR(GETPIVOTDATA("14.年間償却額",pivot!$AI$5,"2.対象物件",BN6),"")</f>
        <v/>
      </c>
      <c r="BO68" s="57" t="str">
        <f>IFERROR(GETPIVOTDATA("14.年間償却額",pivot!$AI$5,"2.対象物件",BO6),"")</f>
        <v/>
      </c>
      <c r="BP68" s="57" t="str">
        <f>IFERROR(GETPIVOTDATA("14.年間償却額",pivot!$AI$5,"2.対象物件",BP6),"")</f>
        <v/>
      </c>
      <c r="BQ68" s="57" t="str">
        <f>IFERROR(GETPIVOTDATA("14.年間償却額",pivot!$AI$5,"2.対象物件",BQ6),"")</f>
        <v/>
      </c>
      <c r="BR68" s="57" t="str">
        <f>IFERROR(GETPIVOTDATA("14.年間償却額",pivot!$AI$5,"2.対象物件",BR6),"")</f>
        <v/>
      </c>
      <c r="BS68" s="57" t="str">
        <f>IFERROR(GETPIVOTDATA("14.年間償却額",pivot!$AI$5,"2.対象物件",BS6),"")</f>
        <v/>
      </c>
      <c r="BT68" s="57" t="str">
        <f>IFERROR(GETPIVOTDATA("14.年間償却額",pivot!$AI$5,"2.対象物件",BT6),"")</f>
        <v/>
      </c>
      <c r="BU68" s="57" t="str">
        <f>IFERROR(GETPIVOTDATA("14.年間償却額",pivot!$AI$5,"2.対象物件",BU6),"")</f>
        <v/>
      </c>
      <c r="BV68" s="57" t="str">
        <f>IFERROR(GETPIVOTDATA("14.年間償却額",pivot!$AI$5,"2.対象物件",BV6),"")</f>
        <v/>
      </c>
      <c r="BW68" s="57" t="str">
        <f>IFERROR(GETPIVOTDATA("14.年間償却額",pivot!$AI$5,"2.対象物件",BW6),"")</f>
        <v/>
      </c>
      <c r="BX68" s="57" t="str">
        <f>IFERROR(GETPIVOTDATA("14.年間償却額",pivot!$AI$5,"2.対象物件",BX6),"")</f>
        <v/>
      </c>
      <c r="BY68" s="57" t="str">
        <f>IFERROR(GETPIVOTDATA("14.年間償却額",pivot!$AI$5,"2.対象物件",BY6),"")</f>
        <v/>
      </c>
      <c r="BZ68" s="57" t="str">
        <f>IFERROR(GETPIVOTDATA("14.年間償却額",pivot!$AI$5,"2.対象物件",BZ6),"")</f>
        <v/>
      </c>
      <c r="CA68" s="57" t="str">
        <f>IFERROR(GETPIVOTDATA("14.年間償却額",pivot!$AI$5,"2.対象物件",CA6),"")</f>
        <v/>
      </c>
      <c r="CB68" s="57" t="str">
        <f>IFERROR(GETPIVOTDATA("14.年間償却額",pivot!$AI$5,"2.対象物件",CB6),"")</f>
        <v/>
      </c>
    </row>
    <row r="69" spans="1:80" ht="13.5" customHeight="1">
      <c r="A69" s="175">
        <v>66</v>
      </c>
      <c r="B69" s="191" t="s">
        <v>969</v>
      </c>
      <c r="C69" s="4" t="s">
        <v>377</v>
      </c>
      <c r="D69" s="4" t="s">
        <v>846</v>
      </c>
      <c r="E69" s="183">
        <f>SUMIF(F5:CH5,"no",F69:CH69)</f>
        <v>157154924.41679931</v>
      </c>
      <c r="F69" s="57">
        <f>IFERROR(F67-F68,"")</f>
        <v>12150489.822281167</v>
      </c>
      <c r="G69" s="57">
        <f t="shared" ref="G69:Y69" si="125">IFERROR(G67-G68,"")</f>
        <v>10864331.024756849</v>
      </c>
      <c r="H69" s="57">
        <f t="shared" si="125"/>
        <v>16279889.562864717</v>
      </c>
      <c r="I69" s="57">
        <f t="shared" si="125"/>
        <v>4611717.0866489829</v>
      </c>
      <c r="J69" s="57">
        <f t="shared" si="125"/>
        <v>12156013.726967283</v>
      </c>
      <c r="K69" s="57">
        <f t="shared" si="125"/>
        <v>16626450.153846152</v>
      </c>
      <c r="L69" s="57">
        <f t="shared" si="125"/>
        <v>13202280.184792221</v>
      </c>
      <c r="M69" s="57">
        <f t="shared" si="125"/>
        <v>6854982.432979662</v>
      </c>
      <c r="N69" s="57" t="str">
        <f t="shared" si="125"/>
        <v/>
      </c>
      <c r="O69" s="57">
        <f t="shared" si="125"/>
        <v>8708197.2335985824</v>
      </c>
      <c r="P69" s="57">
        <f t="shared" si="125"/>
        <v>13051437.120247569</v>
      </c>
      <c r="Q69" s="57">
        <f t="shared" si="125"/>
        <v>13168258.527851455</v>
      </c>
      <c r="R69" s="57">
        <f t="shared" si="125"/>
        <v>7110963.217948718</v>
      </c>
      <c r="S69" s="57">
        <f t="shared" si="125"/>
        <v>15883594.957736515</v>
      </c>
      <c r="T69" s="57">
        <f t="shared" si="125"/>
        <v>8068752.5968169756</v>
      </c>
      <c r="U69" s="57">
        <f t="shared" si="125"/>
        <v>2948808.8656056579</v>
      </c>
      <c r="V69" s="57" t="str">
        <f t="shared" si="125"/>
        <v/>
      </c>
      <c r="W69" s="57">
        <f t="shared" si="125"/>
        <v>3262007.4491600357</v>
      </c>
      <c r="X69" s="57">
        <f t="shared" si="125"/>
        <v>51931.674624226347</v>
      </c>
      <c r="Y69" s="57">
        <f t="shared" si="125"/>
        <v>-5399148</v>
      </c>
      <c r="Z69" s="57">
        <f t="shared" ref="Z69:BP69" si="126">IFERROR(Z67-Z68,"")</f>
        <v>-849257.63925729459</v>
      </c>
      <c r="AA69" s="57">
        <f t="shared" si="126"/>
        <v>-1596775.5826702034</v>
      </c>
      <c r="AB69" s="57" t="str">
        <f t="shared" si="126"/>
        <v/>
      </c>
      <c r="AC69" s="57" t="str">
        <f t="shared" si="126"/>
        <v/>
      </c>
      <c r="AD69" s="57" t="str">
        <f t="shared" si="126"/>
        <v/>
      </c>
      <c r="AE69" s="57" t="str">
        <f t="shared" si="126"/>
        <v/>
      </c>
      <c r="AF69" s="57" t="str">
        <f t="shared" si="126"/>
        <v/>
      </c>
      <c r="AG69" s="57" t="str">
        <f t="shared" si="126"/>
        <v/>
      </c>
      <c r="AH69" s="57" t="str">
        <f t="shared" si="126"/>
        <v/>
      </c>
      <c r="AI69" s="57" t="str">
        <f t="shared" si="126"/>
        <v/>
      </c>
      <c r="AJ69" s="57" t="str">
        <f t="shared" si="126"/>
        <v/>
      </c>
      <c r="AK69" s="57" t="str">
        <f t="shared" si="126"/>
        <v/>
      </c>
      <c r="AL69" s="57" t="str">
        <f t="shared" si="126"/>
        <v/>
      </c>
      <c r="AM69" s="57" t="str">
        <f t="shared" si="126"/>
        <v/>
      </c>
      <c r="AN69" s="57" t="str">
        <f t="shared" si="126"/>
        <v/>
      </c>
      <c r="AO69" s="57" t="str">
        <f t="shared" si="126"/>
        <v/>
      </c>
      <c r="AP69" s="57" t="str">
        <f t="shared" si="126"/>
        <v/>
      </c>
      <c r="AQ69" s="57" t="str">
        <f t="shared" si="126"/>
        <v/>
      </c>
      <c r="AR69" s="57" t="str">
        <f t="shared" si="126"/>
        <v/>
      </c>
      <c r="AS69" s="57" t="str">
        <f t="shared" si="126"/>
        <v/>
      </c>
      <c r="AT69" s="57" t="str">
        <f t="shared" si="126"/>
        <v/>
      </c>
      <c r="AU69" s="57" t="str">
        <f t="shared" si="126"/>
        <v/>
      </c>
      <c r="AV69" s="57" t="str">
        <f t="shared" si="126"/>
        <v/>
      </c>
      <c r="AW69" s="57" t="str">
        <f t="shared" si="126"/>
        <v/>
      </c>
      <c r="AX69" s="57" t="str">
        <f t="shared" si="126"/>
        <v/>
      </c>
      <c r="AY69" s="57" t="str">
        <f t="shared" si="126"/>
        <v/>
      </c>
      <c r="AZ69" s="57" t="str">
        <f t="shared" si="126"/>
        <v/>
      </c>
      <c r="BA69" s="57" t="str">
        <f t="shared" si="126"/>
        <v/>
      </c>
      <c r="BB69" s="57" t="str">
        <f t="shared" si="126"/>
        <v/>
      </c>
      <c r="BC69" s="57" t="str">
        <f t="shared" si="126"/>
        <v/>
      </c>
      <c r="BD69" s="57" t="str">
        <f t="shared" si="126"/>
        <v/>
      </c>
      <c r="BE69" s="57" t="str">
        <f t="shared" si="126"/>
        <v/>
      </c>
      <c r="BF69" s="57" t="str">
        <f t="shared" si="126"/>
        <v/>
      </c>
      <c r="BG69" s="57" t="str">
        <f t="shared" si="126"/>
        <v/>
      </c>
      <c r="BH69" s="57" t="str">
        <f t="shared" si="126"/>
        <v/>
      </c>
      <c r="BI69" s="57" t="str">
        <f t="shared" si="126"/>
        <v/>
      </c>
      <c r="BJ69" s="57" t="str">
        <f t="shared" si="126"/>
        <v/>
      </c>
      <c r="BK69" s="57" t="str">
        <f t="shared" si="126"/>
        <v/>
      </c>
      <c r="BL69" s="57" t="str">
        <f t="shared" si="126"/>
        <v/>
      </c>
      <c r="BM69" s="57" t="str">
        <f t="shared" si="126"/>
        <v/>
      </c>
      <c r="BN69" s="57" t="str">
        <f t="shared" si="126"/>
        <v/>
      </c>
      <c r="BO69" s="57" t="str">
        <f t="shared" si="126"/>
        <v/>
      </c>
      <c r="BP69" s="57" t="str">
        <f t="shared" si="126"/>
        <v/>
      </c>
      <c r="BQ69" s="57" t="str">
        <f t="shared" ref="BQ69:CB69" si="127">IFERROR(BQ67-BQ68,"")</f>
        <v/>
      </c>
      <c r="BR69" s="57" t="str">
        <f t="shared" si="127"/>
        <v/>
      </c>
      <c r="BS69" s="57" t="str">
        <f t="shared" si="127"/>
        <v/>
      </c>
      <c r="BT69" s="57" t="str">
        <f t="shared" si="127"/>
        <v/>
      </c>
      <c r="BU69" s="57" t="str">
        <f t="shared" si="127"/>
        <v/>
      </c>
      <c r="BV69" s="57" t="str">
        <f t="shared" si="127"/>
        <v/>
      </c>
      <c r="BW69" s="57" t="str">
        <f t="shared" si="127"/>
        <v/>
      </c>
      <c r="BX69" s="57" t="str">
        <f t="shared" si="127"/>
        <v/>
      </c>
      <c r="BY69" s="57" t="str">
        <f t="shared" si="127"/>
        <v/>
      </c>
      <c r="BZ69" s="57" t="str">
        <f t="shared" si="127"/>
        <v/>
      </c>
      <c r="CA69" s="57" t="str">
        <f t="shared" si="127"/>
        <v/>
      </c>
      <c r="CB69" s="57" t="str">
        <f t="shared" si="127"/>
        <v/>
      </c>
    </row>
    <row r="70" spans="1:80" ht="13.5" customHeight="1">
      <c r="A70" s="175">
        <v>67</v>
      </c>
      <c r="B70" s="191" t="s">
        <v>507</v>
      </c>
      <c r="C70" s="4" t="s">
        <v>377</v>
      </c>
      <c r="D70" s="4" t="s">
        <v>846</v>
      </c>
      <c r="E70" s="183">
        <f>SUMIF(F5:CH5,"no",F70:CH70)</f>
        <v>49500031.691618025</v>
      </c>
      <c r="F70" s="99">
        <f t="shared" ref="F70:AK70" si="128">IFERROR(IF(F69&gt;0,F69*tax_income,0),"")</f>
        <v>3645146.9466843498</v>
      </c>
      <c r="G70" s="99">
        <f t="shared" si="128"/>
        <v>3259299.3074270547</v>
      </c>
      <c r="H70" s="99">
        <f t="shared" si="128"/>
        <v>4883966.8688594149</v>
      </c>
      <c r="I70" s="99">
        <f t="shared" si="128"/>
        <v>1383515.1259946949</v>
      </c>
      <c r="J70" s="99">
        <f t="shared" si="128"/>
        <v>3646804.1180901849</v>
      </c>
      <c r="K70" s="99">
        <f t="shared" si="128"/>
        <v>4987935.0461538453</v>
      </c>
      <c r="L70" s="99">
        <f t="shared" si="128"/>
        <v>3960684.0554376659</v>
      </c>
      <c r="M70" s="99">
        <f t="shared" si="128"/>
        <v>2056494.7298938986</v>
      </c>
      <c r="N70" s="99" t="str">
        <f t="shared" si="128"/>
        <v/>
      </c>
      <c r="O70" s="99">
        <f t="shared" si="128"/>
        <v>2612459.1700795745</v>
      </c>
      <c r="P70" s="99">
        <f t="shared" si="128"/>
        <v>3915431.1360742706</v>
      </c>
      <c r="Q70" s="99">
        <f t="shared" si="128"/>
        <v>3950477.5583554362</v>
      </c>
      <c r="R70" s="99">
        <f t="shared" si="128"/>
        <v>2133288.9653846151</v>
      </c>
      <c r="S70" s="99">
        <f t="shared" si="128"/>
        <v>4765078.487320954</v>
      </c>
      <c r="T70" s="99">
        <f t="shared" si="128"/>
        <v>2420625.7790450924</v>
      </c>
      <c r="U70" s="99">
        <f t="shared" si="128"/>
        <v>884642.65968169738</v>
      </c>
      <c r="V70" s="99" t="str">
        <f t="shared" si="128"/>
        <v/>
      </c>
      <c r="W70" s="99">
        <f t="shared" si="128"/>
        <v>978602.23474801064</v>
      </c>
      <c r="X70" s="99">
        <f t="shared" si="128"/>
        <v>15579.502387267903</v>
      </c>
      <c r="Y70" s="99">
        <f t="shared" si="128"/>
        <v>0</v>
      </c>
      <c r="Z70" s="99">
        <f t="shared" si="128"/>
        <v>0</v>
      </c>
      <c r="AA70" s="99">
        <f t="shared" si="128"/>
        <v>0</v>
      </c>
      <c r="AB70" s="99" t="str">
        <f t="shared" si="128"/>
        <v/>
      </c>
      <c r="AC70" s="99" t="str">
        <f t="shared" si="128"/>
        <v/>
      </c>
      <c r="AD70" s="99" t="str">
        <f t="shared" si="128"/>
        <v/>
      </c>
      <c r="AE70" s="99" t="str">
        <f t="shared" si="128"/>
        <v/>
      </c>
      <c r="AF70" s="99" t="str">
        <f t="shared" si="128"/>
        <v/>
      </c>
      <c r="AG70" s="99" t="str">
        <f t="shared" si="128"/>
        <v/>
      </c>
      <c r="AH70" s="99" t="str">
        <f t="shared" si="128"/>
        <v/>
      </c>
      <c r="AI70" s="99" t="str">
        <f t="shared" si="128"/>
        <v/>
      </c>
      <c r="AJ70" s="99" t="str">
        <f t="shared" si="128"/>
        <v/>
      </c>
      <c r="AK70" s="99" t="str">
        <f t="shared" si="128"/>
        <v/>
      </c>
      <c r="AL70" s="99" t="str">
        <f t="shared" ref="AL70:BQ70" si="129">IFERROR(IF(AL69&gt;0,AL69*tax_income,0),"")</f>
        <v/>
      </c>
      <c r="AM70" s="99" t="str">
        <f t="shared" si="129"/>
        <v/>
      </c>
      <c r="AN70" s="99" t="str">
        <f t="shared" si="129"/>
        <v/>
      </c>
      <c r="AO70" s="99" t="str">
        <f t="shared" si="129"/>
        <v/>
      </c>
      <c r="AP70" s="99" t="str">
        <f t="shared" si="129"/>
        <v/>
      </c>
      <c r="AQ70" s="99" t="str">
        <f t="shared" si="129"/>
        <v/>
      </c>
      <c r="AR70" s="99" t="str">
        <f t="shared" si="129"/>
        <v/>
      </c>
      <c r="AS70" s="99" t="str">
        <f t="shared" si="129"/>
        <v/>
      </c>
      <c r="AT70" s="99" t="str">
        <f t="shared" si="129"/>
        <v/>
      </c>
      <c r="AU70" s="99" t="str">
        <f t="shared" si="129"/>
        <v/>
      </c>
      <c r="AV70" s="99" t="str">
        <f t="shared" si="129"/>
        <v/>
      </c>
      <c r="AW70" s="99" t="str">
        <f t="shared" si="129"/>
        <v/>
      </c>
      <c r="AX70" s="99" t="str">
        <f t="shared" si="129"/>
        <v/>
      </c>
      <c r="AY70" s="99" t="str">
        <f t="shared" si="129"/>
        <v/>
      </c>
      <c r="AZ70" s="99" t="str">
        <f t="shared" si="129"/>
        <v/>
      </c>
      <c r="BA70" s="99" t="str">
        <f t="shared" si="129"/>
        <v/>
      </c>
      <c r="BB70" s="99" t="str">
        <f t="shared" si="129"/>
        <v/>
      </c>
      <c r="BC70" s="99" t="str">
        <f t="shared" si="129"/>
        <v/>
      </c>
      <c r="BD70" s="99" t="str">
        <f t="shared" si="129"/>
        <v/>
      </c>
      <c r="BE70" s="99" t="str">
        <f t="shared" si="129"/>
        <v/>
      </c>
      <c r="BF70" s="99" t="str">
        <f t="shared" si="129"/>
        <v/>
      </c>
      <c r="BG70" s="99" t="str">
        <f t="shared" si="129"/>
        <v/>
      </c>
      <c r="BH70" s="99" t="str">
        <f t="shared" si="129"/>
        <v/>
      </c>
      <c r="BI70" s="99" t="str">
        <f t="shared" si="129"/>
        <v/>
      </c>
      <c r="BJ70" s="99" t="str">
        <f t="shared" si="129"/>
        <v/>
      </c>
      <c r="BK70" s="99" t="str">
        <f t="shared" si="129"/>
        <v/>
      </c>
      <c r="BL70" s="99" t="str">
        <f t="shared" si="129"/>
        <v/>
      </c>
      <c r="BM70" s="99" t="str">
        <f t="shared" si="129"/>
        <v/>
      </c>
      <c r="BN70" s="99" t="str">
        <f t="shared" si="129"/>
        <v/>
      </c>
      <c r="BO70" s="99" t="str">
        <f t="shared" si="129"/>
        <v/>
      </c>
      <c r="BP70" s="99" t="str">
        <f t="shared" si="129"/>
        <v/>
      </c>
      <c r="BQ70" s="99" t="str">
        <f t="shared" si="129"/>
        <v/>
      </c>
      <c r="BR70" s="99" t="str">
        <f t="shared" ref="BR70:CB70" si="130">IFERROR(IF(BR69&gt;0,BR69*tax_income,0),"")</f>
        <v/>
      </c>
      <c r="BS70" s="99" t="str">
        <f t="shared" si="130"/>
        <v/>
      </c>
      <c r="BT70" s="99" t="str">
        <f t="shared" si="130"/>
        <v/>
      </c>
      <c r="BU70" s="99" t="str">
        <f t="shared" si="130"/>
        <v/>
      </c>
      <c r="BV70" s="99" t="str">
        <f t="shared" si="130"/>
        <v/>
      </c>
      <c r="BW70" s="99" t="str">
        <f t="shared" si="130"/>
        <v/>
      </c>
      <c r="BX70" s="99" t="str">
        <f t="shared" si="130"/>
        <v/>
      </c>
      <c r="BY70" s="99" t="str">
        <f t="shared" si="130"/>
        <v/>
      </c>
      <c r="BZ70" s="99" t="str">
        <f t="shared" si="130"/>
        <v/>
      </c>
      <c r="CA70" s="99" t="str">
        <f t="shared" si="130"/>
        <v/>
      </c>
      <c r="CB70" s="99" t="str">
        <f t="shared" si="130"/>
        <v/>
      </c>
    </row>
    <row r="71" spans="1:80" ht="13.5" customHeight="1">
      <c r="A71" s="175">
        <v>68</v>
      </c>
      <c r="B71" s="191" t="s">
        <v>511</v>
      </c>
      <c r="C71" s="4" t="s">
        <v>377</v>
      </c>
      <c r="D71" s="4" t="s">
        <v>846</v>
      </c>
      <c r="E71" s="183">
        <f>SUMIF(F5:CH5,"no",F71:CH71)</f>
        <v>107654892.72518124</v>
      </c>
      <c r="F71" s="57">
        <f>IFERROR(F69-F70,"")</f>
        <v>8505342.8755968176</v>
      </c>
      <c r="G71" s="57">
        <f t="shared" ref="G71:Y71" si="131">IFERROR(G69-G70,"")</f>
        <v>7605031.7173297945</v>
      </c>
      <c r="H71" s="57">
        <f t="shared" si="131"/>
        <v>11395922.694005303</v>
      </c>
      <c r="I71" s="57">
        <f t="shared" si="131"/>
        <v>3228201.9606542881</v>
      </c>
      <c r="J71" s="57">
        <f t="shared" si="131"/>
        <v>8509209.6088770982</v>
      </c>
      <c r="K71" s="57">
        <f t="shared" si="131"/>
        <v>11638515.107692307</v>
      </c>
      <c r="L71" s="57">
        <f t="shared" si="131"/>
        <v>9241596.1293545552</v>
      </c>
      <c r="M71" s="57">
        <f t="shared" si="131"/>
        <v>4798487.7030857634</v>
      </c>
      <c r="N71" s="57" t="str">
        <f t="shared" si="131"/>
        <v/>
      </c>
      <c r="O71" s="57">
        <f t="shared" si="131"/>
        <v>6095738.0635190085</v>
      </c>
      <c r="P71" s="57">
        <f t="shared" si="131"/>
        <v>9136005.9841732979</v>
      </c>
      <c r="Q71" s="57">
        <f t="shared" si="131"/>
        <v>9217780.9694960192</v>
      </c>
      <c r="R71" s="57">
        <f t="shared" si="131"/>
        <v>4977674.2525641024</v>
      </c>
      <c r="S71" s="57">
        <f t="shared" si="131"/>
        <v>11118516.470415561</v>
      </c>
      <c r="T71" s="57">
        <f t="shared" si="131"/>
        <v>5648126.8177718837</v>
      </c>
      <c r="U71" s="57">
        <f t="shared" si="131"/>
        <v>2064166.2059239605</v>
      </c>
      <c r="V71" s="57" t="str">
        <f t="shared" si="131"/>
        <v/>
      </c>
      <c r="W71" s="57">
        <f t="shared" si="131"/>
        <v>2283405.2144120252</v>
      </c>
      <c r="X71" s="57">
        <f t="shared" si="131"/>
        <v>36352.172236958446</v>
      </c>
      <c r="Y71" s="57">
        <f t="shared" si="131"/>
        <v>-5399148</v>
      </c>
      <c r="Z71" s="57">
        <f t="shared" ref="Z71:BP71" si="132">IFERROR(Z69-Z70,"")</f>
        <v>-849257.63925729459</v>
      </c>
      <c r="AA71" s="57">
        <f t="shared" si="132"/>
        <v>-1596775.5826702034</v>
      </c>
      <c r="AB71" s="57" t="str">
        <f t="shared" si="132"/>
        <v/>
      </c>
      <c r="AC71" s="57" t="str">
        <f t="shared" si="132"/>
        <v/>
      </c>
      <c r="AD71" s="57" t="str">
        <f t="shared" si="132"/>
        <v/>
      </c>
      <c r="AE71" s="57" t="str">
        <f t="shared" si="132"/>
        <v/>
      </c>
      <c r="AF71" s="57" t="str">
        <f t="shared" si="132"/>
        <v/>
      </c>
      <c r="AG71" s="57" t="str">
        <f t="shared" si="132"/>
        <v/>
      </c>
      <c r="AH71" s="57" t="str">
        <f t="shared" si="132"/>
        <v/>
      </c>
      <c r="AI71" s="57" t="str">
        <f t="shared" si="132"/>
        <v/>
      </c>
      <c r="AJ71" s="57" t="str">
        <f t="shared" si="132"/>
        <v/>
      </c>
      <c r="AK71" s="57" t="str">
        <f t="shared" si="132"/>
        <v/>
      </c>
      <c r="AL71" s="57" t="str">
        <f t="shared" si="132"/>
        <v/>
      </c>
      <c r="AM71" s="57" t="str">
        <f t="shared" si="132"/>
        <v/>
      </c>
      <c r="AN71" s="57" t="str">
        <f t="shared" si="132"/>
        <v/>
      </c>
      <c r="AO71" s="57" t="str">
        <f t="shared" si="132"/>
        <v/>
      </c>
      <c r="AP71" s="57" t="str">
        <f t="shared" si="132"/>
        <v/>
      </c>
      <c r="AQ71" s="57" t="str">
        <f t="shared" si="132"/>
        <v/>
      </c>
      <c r="AR71" s="57" t="str">
        <f t="shared" si="132"/>
        <v/>
      </c>
      <c r="AS71" s="57" t="str">
        <f t="shared" si="132"/>
        <v/>
      </c>
      <c r="AT71" s="57" t="str">
        <f t="shared" si="132"/>
        <v/>
      </c>
      <c r="AU71" s="57" t="str">
        <f t="shared" si="132"/>
        <v/>
      </c>
      <c r="AV71" s="57" t="str">
        <f t="shared" si="132"/>
        <v/>
      </c>
      <c r="AW71" s="57" t="str">
        <f t="shared" si="132"/>
        <v/>
      </c>
      <c r="AX71" s="57" t="str">
        <f t="shared" si="132"/>
        <v/>
      </c>
      <c r="AY71" s="57" t="str">
        <f t="shared" si="132"/>
        <v/>
      </c>
      <c r="AZ71" s="57" t="str">
        <f t="shared" si="132"/>
        <v/>
      </c>
      <c r="BA71" s="57" t="str">
        <f t="shared" si="132"/>
        <v/>
      </c>
      <c r="BB71" s="57" t="str">
        <f t="shared" si="132"/>
        <v/>
      </c>
      <c r="BC71" s="57" t="str">
        <f t="shared" si="132"/>
        <v/>
      </c>
      <c r="BD71" s="57" t="str">
        <f t="shared" si="132"/>
        <v/>
      </c>
      <c r="BE71" s="57" t="str">
        <f t="shared" si="132"/>
        <v/>
      </c>
      <c r="BF71" s="57" t="str">
        <f t="shared" si="132"/>
        <v/>
      </c>
      <c r="BG71" s="57" t="str">
        <f t="shared" si="132"/>
        <v/>
      </c>
      <c r="BH71" s="57" t="str">
        <f t="shared" si="132"/>
        <v/>
      </c>
      <c r="BI71" s="57" t="str">
        <f t="shared" si="132"/>
        <v/>
      </c>
      <c r="BJ71" s="57" t="str">
        <f t="shared" si="132"/>
        <v/>
      </c>
      <c r="BK71" s="57" t="str">
        <f t="shared" si="132"/>
        <v/>
      </c>
      <c r="BL71" s="57" t="str">
        <f t="shared" si="132"/>
        <v/>
      </c>
      <c r="BM71" s="57" t="str">
        <f t="shared" si="132"/>
        <v/>
      </c>
      <c r="BN71" s="57" t="str">
        <f t="shared" si="132"/>
        <v/>
      </c>
      <c r="BO71" s="57" t="str">
        <f t="shared" si="132"/>
        <v/>
      </c>
      <c r="BP71" s="57" t="str">
        <f t="shared" si="132"/>
        <v/>
      </c>
      <c r="BQ71" s="57" t="str">
        <f t="shared" ref="BQ71:CB71" si="133">IFERROR(BQ69-BQ70,"")</f>
        <v/>
      </c>
      <c r="BR71" s="57" t="str">
        <f t="shared" si="133"/>
        <v/>
      </c>
      <c r="BS71" s="57" t="str">
        <f t="shared" si="133"/>
        <v/>
      </c>
      <c r="BT71" s="57" t="str">
        <f t="shared" si="133"/>
        <v/>
      </c>
      <c r="BU71" s="57" t="str">
        <f t="shared" si="133"/>
        <v/>
      </c>
      <c r="BV71" s="57" t="str">
        <f t="shared" si="133"/>
        <v/>
      </c>
      <c r="BW71" s="57" t="str">
        <f t="shared" si="133"/>
        <v/>
      </c>
      <c r="BX71" s="57" t="str">
        <f t="shared" si="133"/>
        <v/>
      </c>
      <c r="BY71" s="57" t="str">
        <f t="shared" si="133"/>
        <v/>
      </c>
      <c r="BZ71" s="57" t="str">
        <f t="shared" si="133"/>
        <v/>
      </c>
      <c r="CA71" s="57" t="str">
        <f t="shared" si="133"/>
        <v/>
      </c>
      <c r="CB71" s="57" t="str">
        <f t="shared" si="133"/>
        <v/>
      </c>
    </row>
    <row r="72" spans="1:80" ht="13.5" customHeight="1">
      <c r="A72" s="175">
        <v>69</v>
      </c>
      <c r="B72" s="191" t="s">
        <v>518</v>
      </c>
      <c r="C72" s="4" t="s">
        <v>377</v>
      </c>
      <c r="D72" s="4" t="s">
        <v>846</v>
      </c>
      <c r="E72" s="183">
        <f>IFERROR(E67-E70-E38*12,"")</f>
        <v>41534444.725181282</v>
      </c>
      <c r="F72" s="99">
        <f>IFERROR(F67-F70-F38*12,"")</f>
        <v>1984439.8755968176</v>
      </c>
      <c r="G72" s="99">
        <f t="shared" ref="G72:BR72" si="134">IFERROR(G67-G70-G38*12,"")</f>
        <v>1824436.7173297945</v>
      </c>
      <c r="H72" s="99">
        <f t="shared" si="134"/>
        <v>4811270.6940053031</v>
      </c>
      <c r="I72" s="99">
        <f t="shared" si="134"/>
        <v>615903.96065428853</v>
      </c>
      <c r="J72" s="99">
        <f t="shared" si="134"/>
        <v>7022578.6088770963</v>
      </c>
      <c r="K72" s="99">
        <f t="shared" si="134"/>
        <v>6413784.1076923087</v>
      </c>
      <c r="L72" s="99">
        <f t="shared" si="134"/>
        <v>2063929.1293545552</v>
      </c>
      <c r="M72" s="99">
        <f t="shared" si="134"/>
        <v>4054359.7030857634</v>
      </c>
      <c r="N72" s="99" t="str">
        <f t="shared" si="134"/>
        <v/>
      </c>
      <c r="O72" s="99">
        <f t="shared" si="134"/>
        <v>2086572.0635190085</v>
      </c>
      <c r="P72" s="99">
        <f t="shared" si="134"/>
        <v>614084.98417329788</v>
      </c>
      <c r="Q72" s="99">
        <f t="shared" si="134"/>
        <v>1894491.9694960192</v>
      </c>
      <c r="R72" s="99">
        <f t="shared" si="134"/>
        <v>3194768.2525641024</v>
      </c>
      <c r="S72" s="99">
        <f t="shared" si="134"/>
        <v>8057763.4704155624</v>
      </c>
      <c r="T72" s="99">
        <f t="shared" si="134"/>
        <v>4651073.8177718837</v>
      </c>
      <c r="U72" s="99">
        <f t="shared" si="134"/>
        <v>2317248.2059239605</v>
      </c>
      <c r="V72" s="99" t="str">
        <f t="shared" si="134"/>
        <v/>
      </c>
      <c r="W72" s="99">
        <f t="shared" si="134"/>
        <v>388951.21441202518</v>
      </c>
      <c r="X72" s="99">
        <f t="shared" si="134"/>
        <v>292773.17223695846</v>
      </c>
      <c r="Y72" s="99">
        <f t="shared" si="134"/>
        <v>-9649264</v>
      </c>
      <c r="Z72" s="99">
        <f t="shared" si="134"/>
        <v>-545278.63925729459</v>
      </c>
      <c r="AA72" s="99">
        <f t="shared" si="134"/>
        <v>-559442.58267020341</v>
      </c>
      <c r="AB72" s="57" t="str">
        <f t="shared" si="134"/>
        <v/>
      </c>
      <c r="AC72" s="57" t="str">
        <f t="shared" si="134"/>
        <v/>
      </c>
      <c r="AD72" s="57" t="str">
        <f t="shared" si="134"/>
        <v/>
      </c>
      <c r="AE72" s="57" t="str">
        <f t="shared" si="134"/>
        <v/>
      </c>
      <c r="AF72" s="57" t="str">
        <f t="shared" si="134"/>
        <v/>
      </c>
      <c r="AG72" s="57" t="str">
        <f t="shared" si="134"/>
        <v/>
      </c>
      <c r="AH72" s="57" t="str">
        <f t="shared" si="134"/>
        <v/>
      </c>
      <c r="AI72" s="57" t="str">
        <f t="shared" si="134"/>
        <v/>
      </c>
      <c r="AJ72" s="57" t="str">
        <f t="shared" si="134"/>
        <v/>
      </c>
      <c r="AK72" s="57" t="str">
        <f t="shared" si="134"/>
        <v/>
      </c>
      <c r="AL72" s="57" t="str">
        <f t="shared" si="134"/>
        <v/>
      </c>
      <c r="AM72" s="57" t="str">
        <f t="shared" si="134"/>
        <v/>
      </c>
      <c r="AN72" s="57" t="str">
        <f t="shared" si="134"/>
        <v/>
      </c>
      <c r="AO72" s="57" t="str">
        <f t="shared" si="134"/>
        <v/>
      </c>
      <c r="AP72" s="57" t="str">
        <f t="shared" si="134"/>
        <v/>
      </c>
      <c r="AQ72" s="57" t="str">
        <f t="shared" si="134"/>
        <v/>
      </c>
      <c r="AR72" s="57" t="str">
        <f t="shared" si="134"/>
        <v/>
      </c>
      <c r="AS72" s="57" t="str">
        <f t="shared" si="134"/>
        <v/>
      </c>
      <c r="AT72" s="57" t="str">
        <f t="shared" si="134"/>
        <v/>
      </c>
      <c r="AU72" s="57" t="str">
        <f t="shared" si="134"/>
        <v/>
      </c>
      <c r="AV72" s="57" t="str">
        <f t="shared" si="134"/>
        <v/>
      </c>
      <c r="AW72" s="57" t="str">
        <f t="shared" si="134"/>
        <v/>
      </c>
      <c r="AX72" s="57" t="str">
        <f t="shared" si="134"/>
        <v/>
      </c>
      <c r="AY72" s="57" t="str">
        <f t="shared" si="134"/>
        <v/>
      </c>
      <c r="AZ72" s="57" t="str">
        <f t="shared" si="134"/>
        <v/>
      </c>
      <c r="BA72" s="57" t="str">
        <f t="shared" si="134"/>
        <v/>
      </c>
      <c r="BB72" s="57" t="str">
        <f t="shared" si="134"/>
        <v/>
      </c>
      <c r="BC72" s="57" t="str">
        <f t="shared" si="134"/>
        <v/>
      </c>
      <c r="BD72" s="57" t="str">
        <f t="shared" si="134"/>
        <v/>
      </c>
      <c r="BE72" s="57" t="str">
        <f t="shared" si="134"/>
        <v/>
      </c>
      <c r="BF72" s="57" t="str">
        <f t="shared" si="134"/>
        <v/>
      </c>
      <c r="BG72" s="57" t="str">
        <f t="shared" si="134"/>
        <v/>
      </c>
      <c r="BH72" s="57" t="str">
        <f t="shared" si="134"/>
        <v/>
      </c>
      <c r="BI72" s="57" t="str">
        <f t="shared" si="134"/>
        <v/>
      </c>
      <c r="BJ72" s="57" t="str">
        <f t="shared" si="134"/>
        <v/>
      </c>
      <c r="BK72" s="57" t="str">
        <f t="shared" si="134"/>
        <v/>
      </c>
      <c r="BL72" s="57" t="str">
        <f t="shared" si="134"/>
        <v/>
      </c>
      <c r="BM72" s="57" t="str">
        <f t="shared" si="134"/>
        <v/>
      </c>
      <c r="BN72" s="57" t="str">
        <f t="shared" si="134"/>
        <v/>
      </c>
      <c r="BO72" s="57" t="str">
        <f t="shared" si="134"/>
        <v/>
      </c>
      <c r="BP72" s="57" t="str">
        <f t="shared" si="134"/>
        <v/>
      </c>
      <c r="BQ72" s="57" t="str">
        <f t="shared" si="134"/>
        <v/>
      </c>
      <c r="BR72" s="57" t="str">
        <f t="shared" si="134"/>
        <v/>
      </c>
      <c r="BS72" s="57" t="str">
        <f t="shared" ref="BS72:CB72" si="135">IFERROR(BS67-BS70-BS38*12,"")</f>
        <v/>
      </c>
      <c r="BT72" s="57" t="str">
        <f t="shared" si="135"/>
        <v/>
      </c>
      <c r="BU72" s="57" t="str">
        <f t="shared" si="135"/>
        <v/>
      </c>
      <c r="BV72" s="57" t="str">
        <f t="shared" si="135"/>
        <v/>
      </c>
      <c r="BW72" s="57" t="str">
        <f t="shared" si="135"/>
        <v/>
      </c>
      <c r="BX72" s="57" t="str">
        <f t="shared" si="135"/>
        <v/>
      </c>
      <c r="BY72" s="57" t="str">
        <f t="shared" si="135"/>
        <v/>
      </c>
      <c r="BZ72" s="57" t="str">
        <f t="shared" si="135"/>
        <v/>
      </c>
      <c r="CA72" s="57" t="str">
        <f t="shared" si="135"/>
        <v/>
      </c>
      <c r="CB72" s="57" t="str">
        <f t="shared" si="135"/>
        <v/>
      </c>
    </row>
    <row r="73" spans="1:80" ht="13.5" customHeight="1">
      <c r="A73" s="348">
        <v>70</v>
      </c>
      <c r="B73" s="173" t="s">
        <v>970</v>
      </c>
      <c r="C73" s="4" t="s">
        <v>846</v>
      </c>
      <c r="D73" s="4" t="s">
        <v>846</v>
      </c>
      <c r="E73" s="183" t="s">
        <v>846</v>
      </c>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c r="AG73" s="57"/>
      <c r="AH73" s="57"/>
      <c r="AI73" s="57"/>
      <c r="AJ73" s="57"/>
      <c r="AK73" s="57"/>
      <c r="AL73" s="57"/>
      <c r="AM73" s="57"/>
      <c r="AN73" s="57"/>
      <c r="AO73" s="57"/>
      <c r="AP73" s="57"/>
      <c r="AQ73" s="57"/>
      <c r="AR73" s="57"/>
      <c r="AS73" s="57"/>
      <c r="AT73" s="57"/>
      <c r="AU73" s="57"/>
      <c r="AV73" s="57"/>
      <c r="AW73" s="57"/>
      <c r="AX73" s="57"/>
      <c r="AY73" s="57"/>
      <c r="AZ73" s="57"/>
      <c r="BA73" s="57"/>
      <c r="BB73" s="57"/>
      <c r="BC73" s="57"/>
      <c r="BD73" s="57"/>
      <c r="BE73" s="57"/>
      <c r="BF73" s="57"/>
      <c r="BG73" s="57"/>
      <c r="BH73" s="57"/>
      <c r="BI73" s="57"/>
      <c r="BJ73" s="57"/>
      <c r="BK73" s="57"/>
      <c r="BL73" s="57"/>
      <c r="BM73" s="57"/>
      <c r="BN73" s="57"/>
      <c r="BO73" s="57"/>
      <c r="BP73" s="57"/>
      <c r="BQ73" s="57"/>
      <c r="BR73" s="57"/>
      <c r="BS73" s="57"/>
      <c r="BT73" s="57"/>
      <c r="BU73" s="57"/>
      <c r="BV73" s="57"/>
      <c r="BW73" s="57"/>
      <c r="BX73" s="57"/>
      <c r="BY73" s="57"/>
      <c r="BZ73" s="57"/>
      <c r="CA73" s="57"/>
      <c r="CB73" s="57"/>
    </row>
    <row r="74" spans="1:80" ht="13.5" customHeight="1">
      <c r="A74" s="175">
        <v>71</v>
      </c>
      <c r="B74" s="191" t="s">
        <v>971</v>
      </c>
      <c r="C74" s="4" t="s">
        <v>377</v>
      </c>
      <c r="D74" s="4"/>
      <c r="E74" s="183">
        <f>SUMIF(F5:CH5,"no",F74:CH74)</f>
        <v>5162178676</v>
      </c>
      <c r="F74" s="57">
        <f>IFERROR(GETPIVOTDATA("13.期首帳簿価額",pivot!$AC$5,"2.対象物件",F6),"")</f>
        <v>209616559</v>
      </c>
      <c r="G74" s="57">
        <f>IFERROR(GETPIVOTDATA("13.期首帳簿価額",pivot!$AC$5,"2.対象物件",G6),"")</f>
        <v>531449692</v>
      </c>
      <c r="H74" s="57">
        <f>IFERROR(GETPIVOTDATA("13.期首帳簿価額",pivot!$AC$5,"2.対象物件",H6),"")</f>
        <v>377385294</v>
      </c>
      <c r="I74" s="57">
        <f>IFERROR(GETPIVOTDATA("13.期首帳簿価額",pivot!$AC$5,"2.対象物件",I6),"")</f>
        <v>107620706</v>
      </c>
      <c r="J74" s="57">
        <f>IFERROR(GETPIVOTDATA("13.期首帳簿価額",pivot!$AC$5,"2.対象物件",J6),"")</f>
        <v>263462148</v>
      </c>
      <c r="K74" s="57">
        <f>IFERROR(GETPIVOTDATA("13.期首帳簿価額",pivot!$AC$5,"2.対象物件",K6),"")</f>
        <v>405541730</v>
      </c>
      <c r="L74" s="57">
        <f>IFERROR(GETPIVOTDATA("13.期首帳簿価額",pivot!$AC$5,"2.対象物件",L6),"")</f>
        <v>360024505</v>
      </c>
      <c r="M74" s="57">
        <f>IFERROR(GETPIVOTDATA("13.期首帳簿価額",pivot!$AC$5,"2.対象物件",M6),"")</f>
        <v>193173833</v>
      </c>
      <c r="N74" s="57" t="str">
        <f>IFERROR(GETPIVOTDATA("13.期首帳簿価額",pivot!$AC$5,"2.対象物件",N6),"")</f>
        <v/>
      </c>
      <c r="O74" s="57">
        <f>IFERROR(GETPIVOTDATA("13.期首帳簿価額",pivot!$AC$5,"2.対象物件",O6),"")</f>
        <v>287266269</v>
      </c>
      <c r="P74" s="57">
        <f>IFERROR(GETPIVOTDATA("13.期首帳簿価額",pivot!$AC$5,"2.対象物件",P6),"")</f>
        <v>415101767</v>
      </c>
      <c r="Q74" s="57">
        <f>IFERROR(GETPIVOTDATA("13.期首帳簿価額",pivot!$AC$5,"2.対象物件",Q6),"")</f>
        <v>462418997</v>
      </c>
      <c r="R74" s="57">
        <f>IFERROR(GETPIVOTDATA("13.期首帳簿価額",pivot!$AC$5,"2.対象物件",R6),"")</f>
        <v>197603682</v>
      </c>
      <c r="S74" s="57">
        <f>IFERROR(GETPIVOTDATA("13.期首帳簿価額",pivot!$AC$5,"2.対象物件",S6),"")</f>
        <v>514735912</v>
      </c>
      <c r="T74" s="57">
        <f>IFERROR(GETPIVOTDATA("13.期首帳簿価額",pivot!$AC$5,"2.対象物件",T6),"")</f>
        <v>363786886</v>
      </c>
      <c r="U74" s="57">
        <f>IFERROR(GETPIVOTDATA("13.期首帳簿価額",pivot!$AC$5,"2.対象物件",U6),"")</f>
        <v>128920785</v>
      </c>
      <c r="V74" s="57" t="str">
        <f>IFERROR(GETPIVOTDATA("13.期首帳簿価額",pivot!$AC$5,"2.対象物件",V6),"")</f>
        <v/>
      </c>
      <c r="W74" s="57">
        <f>IFERROR(GETPIVOTDATA("13.期首帳簿価額",pivot!$AC$5,"2.対象物件",W6),"")</f>
        <v>151311767</v>
      </c>
      <c r="X74" s="57">
        <f>IFERROR(GETPIVOTDATA("13.期首帳簿価額",pivot!$AC$5,"2.対象物件",X6),"")</f>
        <v>5285938</v>
      </c>
      <c r="Y74" s="57">
        <f>IFERROR(GETPIVOTDATA("13.期首帳簿価額",pivot!$AC$5,"2.対象物件",Y6),"")</f>
        <v>94632206</v>
      </c>
      <c r="Z74" s="57">
        <f>IFERROR(GETPIVOTDATA("13.期首帳簿価額",pivot!$AC$5,"2.対象物件",Z6),"")</f>
        <v>56363000</v>
      </c>
      <c r="AA74" s="57">
        <f>IFERROR(GETPIVOTDATA("13.期首帳簿価額",pivot!$AC$5,"2.対象物件",AA6),"")</f>
        <v>36477000</v>
      </c>
      <c r="AB74" s="57" t="str">
        <f>IFERROR(GETPIVOTDATA("13.期首帳簿価額",pivot!$AC$5,"2.対象物件",AB6),"")</f>
        <v/>
      </c>
      <c r="AC74" s="57" t="str">
        <f>IFERROR(GETPIVOTDATA("13.期首帳簿価額",pivot!$AC$5,"2.対象物件",AC6),"")</f>
        <v/>
      </c>
      <c r="AD74" s="57" t="str">
        <f>IFERROR(GETPIVOTDATA("13.期首帳簿価額",pivot!$AC$5,"2.対象物件",AD6),"")</f>
        <v/>
      </c>
      <c r="AE74" s="57" t="str">
        <f>IFERROR(GETPIVOTDATA("13.期首帳簿価額",pivot!$AC$5,"2.対象物件",AE6),"")</f>
        <v/>
      </c>
      <c r="AF74" s="57" t="str">
        <f>IFERROR(GETPIVOTDATA("13.期首帳簿価額",pivot!$AC$5,"2.対象物件",AF6),"")</f>
        <v/>
      </c>
      <c r="AG74" s="57" t="str">
        <f>IFERROR(GETPIVOTDATA("13.期首帳簿価額",pivot!$AC$5,"2.対象物件",AG6),"")</f>
        <v/>
      </c>
      <c r="AH74" s="57" t="str">
        <f>IFERROR(GETPIVOTDATA("13.期首帳簿価額",pivot!$AC$5,"2.対象物件",AH6),"")</f>
        <v/>
      </c>
      <c r="AI74" s="57" t="str">
        <f>IFERROR(GETPIVOTDATA("13.期首帳簿価額",pivot!$AC$5,"2.対象物件",AI6),"")</f>
        <v/>
      </c>
      <c r="AJ74" s="57" t="str">
        <f>IFERROR(GETPIVOTDATA("13.期首帳簿価額",pivot!$AC$5,"2.対象物件",AJ6),"")</f>
        <v/>
      </c>
      <c r="AK74" s="57" t="str">
        <f>IFERROR(GETPIVOTDATA("13.期首帳簿価額",pivot!$AC$5,"2.対象物件",AK6),"")</f>
        <v/>
      </c>
      <c r="AL74" s="57" t="str">
        <f>IFERROR(GETPIVOTDATA("13.期首帳簿価額",pivot!$AC$5,"2.対象物件",AL6),"")</f>
        <v/>
      </c>
      <c r="AM74" s="57" t="str">
        <f>IFERROR(GETPIVOTDATA("13.期首帳簿価額",pivot!$AC$5,"2.対象物件",AM6),"")</f>
        <v/>
      </c>
      <c r="AN74" s="57" t="str">
        <f>IFERROR(GETPIVOTDATA("13.期首帳簿価額",pivot!$AC$5,"2.対象物件",AN6),"")</f>
        <v/>
      </c>
      <c r="AO74" s="57" t="str">
        <f>IFERROR(GETPIVOTDATA("13.期首帳簿価額",pivot!$AC$5,"2.対象物件",AO6),"")</f>
        <v/>
      </c>
      <c r="AP74" s="57" t="str">
        <f>IFERROR(GETPIVOTDATA("13.期首帳簿価額",pivot!$AC$5,"2.対象物件",AP6),"")</f>
        <v/>
      </c>
      <c r="AQ74" s="57" t="str">
        <f>IFERROR(GETPIVOTDATA("13.期首帳簿価額",pivot!$AC$5,"2.対象物件",AQ6),"")</f>
        <v/>
      </c>
      <c r="AR74" s="57" t="str">
        <f>IFERROR(GETPIVOTDATA("13.期首帳簿価額",pivot!$AC$5,"2.対象物件",AR6),"")</f>
        <v/>
      </c>
      <c r="AS74" s="57" t="str">
        <f>IFERROR(GETPIVOTDATA("13.期首帳簿価額",pivot!$AC$5,"2.対象物件",AS6),"")</f>
        <v/>
      </c>
      <c r="AT74" s="57" t="str">
        <f>IFERROR(GETPIVOTDATA("13.期首帳簿価額",pivot!$AC$5,"2.対象物件",AT6),"")</f>
        <v/>
      </c>
      <c r="AU74" s="57" t="str">
        <f>IFERROR(GETPIVOTDATA("13.期首帳簿価額",pivot!$AC$5,"2.対象物件",AU6),"")</f>
        <v/>
      </c>
      <c r="AV74" s="57" t="str">
        <f>IFERROR(GETPIVOTDATA("13.期首帳簿価額",pivot!$AC$5,"2.対象物件",AV6),"")</f>
        <v/>
      </c>
      <c r="AW74" s="57" t="str">
        <f>IFERROR(GETPIVOTDATA("13.期首帳簿価額",pivot!$AC$5,"2.対象物件",AW6),"")</f>
        <v/>
      </c>
      <c r="AX74" s="57" t="str">
        <f>IFERROR(GETPIVOTDATA("13.期首帳簿価額",pivot!$AC$5,"2.対象物件",AX6),"")</f>
        <v/>
      </c>
      <c r="AY74" s="57" t="str">
        <f>IFERROR(GETPIVOTDATA("13.期首帳簿価額",pivot!$AC$5,"2.対象物件",AY6),"")</f>
        <v/>
      </c>
      <c r="AZ74" s="57" t="str">
        <f>IFERROR(GETPIVOTDATA("13.期首帳簿価額",pivot!$AC$5,"2.対象物件",AZ6),"")</f>
        <v/>
      </c>
      <c r="BA74" s="57" t="str">
        <f>IFERROR(GETPIVOTDATA("13.期首帳簿価額",pivot!$AC$5,"2.対象物件",BA6),"")</f>
        <v/>
      </c>
      <c r="BB74" s="57" t="str">
        <f>IFERROR(GETPIVOTDATA("13.期首帳簿価額",pivot!$AC$5,"2.対象物件",BB6),"")</f>
        <v/>
      </c>
      <c r="BC74" s="57" t="str">
        <f>IFERROR(GETPIVOTDATA("13.期首帳簿価額",pivot!$AC$5,"2.対象物件",BC6),"")</f>
        <v/>
      </c>
      <c r="BD74" s="57" t="str">
        <f>IFERROR(GETPIVOTDATA("13.期首帳簿価額",pivot!$AC$5,"2.対象物件",BD6),"")</f>
        <v/>
      </c>
      <c r="BE74" s="57" t="str">
        <f>IFERROR(GETPIVOTDATA("13.期首帳簿価額",pivot!$AC$5,"2.対象物件",BE6),"")</f>
        <v/>
      </c>
      <c r="BF74" s="57" t="str">
        <f>IFERROR(GETPIVOTDATA("13.期首帳簿価額",pivot!$AC$5,"2.対象物件",BF6),"")</f>
        <v/>
      </c>
      <c r="BG74" s="57" t="str">
        <f>IFERROR(GETPIVOTDATA("13.期首帳簿価額",pivot!$AC$5,"2.対象物件",BG6),"")</f>
        <v/>
      </c>
      <c r="BH74" s="57" t="str">
        <f>IFERROR(GETPIVOTDATA("13.期首帳簿価額",pivot!$AC$5,"2.対象物件",BH6),"")</f>
        <v/>
      </c>
      <c r="BI74" s="57" t="str">
        <f>IFERROR(GETPIVOTDATA("13.期首帳簿価額",pivot!$AC$5,"2.対象物件",BI6),"")</f>
        <v/>
      </c>
      <c r="BJ74" s="57" t="str">
        <f>IFERROR(GETPIVOTDATA("13.期首帳簿価額",pivot!$AC$5,"2.対象物件",BJ6),"")</f>
        <v/>
      </c>
      <c r="BK74" s="57" t="str">
        <f>IFERROR(GETPIVOTDATA("13.期首帳簿価額",pivot!$AC$5,"2.対象物件",BK6),"")</f>
        <v/>
      </c>
      <c r="BL74" s="57" t="str">
        <f>IFERROR(GETPIVOTDATA("13.期首帳簿価額",pivot!$AC$5,"2.対象物件",BL6),"")</f>
        <v/>
      </c>
      <c r="BM74" s="57" t="str">
        <f>IFERROR(GETPIVOTDATA("13.期首帳簿価額",pivot!$AC$5,"2.対象物件",BM6),"")</f>
        <v/>
      </c>
      <c r="BN74" s="57" t="str">
        <f>IFERROR(GETPIVOTDATA("13.期首帳簿価額",pivot!$AC$5,"2.対象物件",BN6),"")</f>
        <v/>
      </c>
      <c r="BO74" s="57" t="str">
        <f>IFERROR(GETPIVOTDATA("13.期首帳簿価額",pivot!$AC$5,"2.対象物件",BO6),"")</f>
        <v/>
      </c>
      <c r="BP74" s="57" t="str">
        <f>IFERROR(GETPIVOTDATA("13.期首帳簿価額",pivot!$AC$5,"2.対象物件",BP6),"")</f>
        <v/>
      </c>
      <c r="BQ74" s="57" t="str">
        <f>IFERROR(GETPIVOTDATA("13.期首帳簿価額",pivot!$AC$5,"2.対象物件",BQ6),"")</f>
        <v/>
      </c>
      <c r="BR74" s="57" t="str">
        <f>IFERROR(GETPIVOTDATA("13.期首帳簿価額",pivot!$AC$5,"2.対象物件",BR6),"")</f>
        <v/>
      </c>
      <c r="BS74" s="57" t="str">
        <f>IFERROR(GETPIVOTDATA("13.期首帳簿価額",pivot!$AC$5,"2.対象物件",BS6),"")</f>
        <v/>
      </c>
      <c r="BT74" s="57" t="str">
        <f>IFERROR(GETPIVOTDATA("13.期首帳簿価額",pivot!$AC$5,"2.対象物件",BT6),"")</f>
        <v/>
      </c>
      <c r="BU74" s="57" t="str">
        <f>IFERROR(GETPIVOTDATA("13.期首帳簿価額",pivot!$AC$5,"2.対象物件",BU6),"")</f>
        <v/>
      </c>
      <c r="BV74" s="57" t="str">
        <f>IFERROR(GETPIVOTDATA("13.期首帳簿価額",pivot!$AC$5,"2.対象物件",BV6),"")</f>
        <v/>
      </c>
      <c r="BW74" s="57" t="str">
        <f>IFERROR(GETPIVOTDATA("13.期首帳簿価額",pivot!$AC$5,"2.対象物件",BW6),"")</f>
        <v/>
      </c>
      <c r="BX74" s="57" t="str">
        <f>IFERROR(GETPIVOTDATA("13.期首帳簿価額",pivot!$AC$5,"2.対象物件",BX6),"")</f>
        <v/>
      </c>
      <c r="BY74" s="57" t="str">
        <f>IFERROR(GETPIVOTDATA("13.期首帳簿価額",pivot!$AC$5,"2.対象物件",BY6),"")</f>
        <v/>
      </c>
      <c r="BZ74" s="57" t="str">
        <f>IFERROR(GETPIVOTDATA("13.期首帳簿価額",pivot!$AC$5,"2.対象物件",BZ6),"")</f>
        <v/>
      </c>
      <c r="CA74" s="57" t="str">
        <f>IFERROR(GETPIVOTDATA("13.期首帳簿価額",pivot!$AC$5,"2.対象物件",CA6),"")</f>
        <v/>
      </c>
      <c r="CB74" s="57" t="str">
        <f>IFERROR(GETPIVOTDATA("13.期首帳簿価額",pivot!$AC$5,"2.対象物件",CB6),"")</f>
        <v/>
      </c>
    </row>
    <row r="75" spans="1:80" ht="13.5" customHeight="1">
      <c r="A75" s="175">
        <v>72</v>
      </c>
      <c r="B75" s="191" t="s">
        <v>972</v>
      </c>
      <c r="C75" s="4" t="s">
        <v>377</v>
      </c>
      <c r="D75" s="4" t="s">
        <v>846</v>
      </c>
      <c r="E75" s="183">
        <f>SUMIF(F5:CH5,"no",F75:CH75)</f>
        <v>563073889.88</v>
      </c>
      <c r="F75" s="57">
        <f t="shared" ref="F75:AK75" si="136">IFERROR((F45-F74)*tax_capital,"")</f>
        <v>48241873.170000002</v>
      </c>
      <c r="G75" s="57">
        <f t="shared" si="136"/>
        <v>5753613.96</v>
      </c>
      <c r="H75" s="57">
        <f t="shared" si="136"/>
        <v>40927441.219999999</v>
      </c>
      <c r="I75" s="57">
        <f t="shared" si="136"/>
        <v>17900338.780000001</v>
      </c>
      <c r="J75" s="57">
        <f t="shared" si="136"/>
        <v>113419005.23999999</v>
      </c>
      <c r="K75" s="57">
        <f t="shared" si="136"/>
        <v>75279559.900000006</v>
      </c>
      <c r="L75" s="57">
        <f t="shared" si="136"/>
        <v>36250933.149999999</v>
      </c>
      <c r="M75" s="57">
        <f t="shared" si="136"/>
        <v>19545681.789999999</v>
      </c>
      <c r="N75" s="57" t="str">
        <f t="shared" si="136"/>
        <v/>
      </c>
      <c r="O75" s="57">
        <f t="shared" si="136"/>
        <v>34681480.469999999</v>
      </c>
      <c r="P75" s="57">
        <f t="shared" si="136"/>
        <v>30672346.210000001</v>
      </c>
      <c r="Q75" s="57">
        <f t="shared" si="136"/>
        <v>34254971.109999999</v>
      </c>
      <c r="R75" s="57">
        <f t="shared" si="136"/>
        <v>11246637.66</v>
      </c>
      <c r="S75" s="57">
        <f t="shared" si="136"/>
        <v>21187712.559999999</v>
      </c>
      <c r="T75" s="57">
        <f t="shared" si="136"/>
        <v>54468852.18</v>
      </c>
      <c r="U75" s="57">
        <f t="shared" si="136"/>
        <v>18159309.550000001</v>
      </c>
      <c r="V75" s="57" t="str">
        <f t="shared" si="136"/>
        <v/>
      </c>
      <c r="W75" s="57">
        <f t="shared" si="136"/>
        <v>624646.21</v>
      </c>
      <c r="X75" s="57">
        <f t="shared" si="136"/>
        <v>634202.93999999994</v>
      </c>
      <c r="Y75" s="57">
        <f t="shared" si="136"/>
        <v>-9113916.2200000007</v>
      </c>
      <c r="Z75" s="57">
        <f t="shared" si="136"/>
        <v>8375690</v>
      </c>
      <c r="AA75" s="57">
        <f t="shared" si="136"/>
        <v>563510</v>
      </c>
      <c r="AB75" s="57" t="str">
        <f t="shared" si="136"/>
        <v/>
      </c>
      <c r="AC75" s="57" t="str">
        <f t="shared" si="136"/>
        <v/>
      </c>
      <c r="AD75" s="57" t="str">
        <f t="shared" si="136"/>
        <v/>
      </c>
      <c r="AE75" s="57" t="str">
        <f t="shared" si="136"/>
        <v/>
      </c>
      <c r="AF75" s="57" t="str">
        <f t="shared" si="136"/>
        <v/>
      </c>
      <c r="AG75" s="57" t="str">
        <f t="shared" si="136"/>
        <v/>
      </c>
      <c r="AH75" s="57" t="str">
        <f t="shared" si="136"/>
        <v/>
      </c>
      <c r="AI75" s="57" t="str">
        <f t="shared" si="136"/>
        <v/>
      </c>
      <c r="AJ75" s="57" t="str">
        <f t="shared" si="136"/>
        <v/>
      </c>
      <c r="AK75" s="57" t="str">
        <f t="shared" si="136"/>
        <v/>
      </c>
      <c r="AL75" s="57" t="str">
        <f t="shared" ref="AL75:BQ75" si="137">IFERROR((AL45-AL74)*tax_capital,"")</f>
        <v/>
      </c>
      <c r="AM75" s="57" t="str">
        <f t="shared" si="137"/>
        <v/>
      </c>
      <c r="AN75" s="57" t="str">
        <f t="shared" si="137"/>
        <v/>
      </c>
      <c r="AO75" s="57" t="str">
        <f t="shared" si="137"/>
        <v/>
      </c>
      <c r="AP75" s="57" t="str">
        <f t="shared" si="137"/>
        <v/>
      </c>
      <c r="AQ75" s="57" t="str">
        <f t="shared" si="137"/>
        <v/>
      </c>
      <c r="AR75" s="57" t="str">
        <f t="shared" si="137"/>
        <v/>
      </c>
      <c r="AS75" s="57" t="str">
        <f t="shared" si="137"/>
        <v/>
      </c>
      <c r="AT75" s="57" t="str">
        <f t="shared" si="137"/>
        <v/>
      </c>
      <c r="AU75" s="57" t="str">
        <f t="shared" si="137"/>
        <v/>
      </c>
      <c r="AV75" s="57" t="str">
        <f t="shared" si="137"/>
        <v/>
      </c>
      <c r="AW75" s="57" t="str">
        <f t="shared" si="137"/>
        <v/>
      </c>
      <c r="AX75" s="57" t="str">
        <f t="shared" si="137"/>
        <v/>
      </c>
      <c r="AY75" s="57" t="str">
        <f t="shared" si="137"/>
        <v/>
      </c>
      <c r="AZ75" s="57" t="str">
        <f t="shared" si="137"/>
        <v/>
      </c>
      <c r="BA75" s="57" t="str">
        <f t="shared" si="137"/>
        <v/>
      </c>
      <c r="BB75" s="57" t="str">
        <f t="shared" si="137"/>
        <v/>
      </c>
      <c r="BC75" s="57" t="str">
        <f t="shared" si="137"/>
        <v/>
      </c>
      <c r="BD75" s="57" t="str">
        <f t="shared" si="137"/>
        <v/>
      </c>
      <c r="BE75" s="57" t="str">
        <f t="shared" si="137"/>
        <v/>
      </c>
      <c r="BF75" s="57" t="str">
        <f t="shared" si="137"/>
        <v/>
      </c>
      <c r="BG75" s="57" t="str">
        <f t="shared" si="137"/>
        <v/>
      </c>
      <c r="BH75" s="57" t="str">
        <f t="shared" si="137"/>
        <v/>
      </c>
      <c r="BI75" s="57" t="str">
        <f t="shared" si="137"/>
        <v/>
      </c>
      <c r="BJ75" s="57" t="str">
        <f t="shared" si="137"/>
        <v/>
      </c>
      <c r="BK75" s="57" t="str">
        <f t="shared" si="137"/>
        <v/>
      </c>
      <c r="BL75" s="57" t="str">
        <f t="shared" si="137"/>
        <v/>
      </c>
      <c r="BM75" s="57" t="str">
        <f t="shared" si="137"/>
        <v/>
      </c>
      <c r="BN75" s="57" t="str">
        <f t="shared" si="137"/>
        <v/>
      </c>
      <c r="BO75" s="57" t="str">
        <f t="shared" si="137"/>
        <v/>
      </c>
      <c r="BP75" s="57" t="str">
        <f t="shared" si="137"/>
        <v/>
      </c>
      <c r="BQ75" s="57" t="str">
        <f t="shared" si="137"/>
        <v/>
      </c>
      <c r="BR75" s="57" t="str">
        <f t="shared" ref="BR75:CB75" si="138">IFERROR((BR45-BR74)*tax_capital,"")</f>
        <v/>
      </c>
      <c r="BS75" s="57" t="str">
        <f t="shared" si="138"/>
        <v/>
      </c>
      <c r="BT75" s="57" t="str">
        <f t="shared" si="138"/>
        <v/>
      </c>
      <c r="BU75" s="57" t="str">
        <f t="shared" si="138"/>
        <v/>
      </c>
      <c r="BV75" s="57" t="str">
        <f t="shared" si="138"/>
        <v/>
      </c>
      <c r="BW75" s="57" t="str">
        <f t="shared" si="138"/>
        <v/>
      </c>
      <c r="BX75" s="57" t="str">
        <f t="shared" si="138"/>
        <v/>
      </c>
      <c r="BY75" s="57" t="str">
        <f t="shared" si="138"/>
        <v/>
      </c>
      <c r="BZ75" s="57" t="str">
        <f t="shared" si="138"/>
        <v/>
      </c>
      <c r="CA75" s="57" t="str">
        <f t="shared" si="138"/>
        <v/>
      </c>
      <c r="CB75" s="57" t="str">
        <f t="shared" si="138"/>
        <v/>
      </c>
    </row>
    <row r="76" spans="1:80" ht="13.5" customHeight="1">
      <c r="A76" s="175">
        <v>73</v>
      </c>
      <c r="B76" s="191" t="s">
        <v>973</v>
      </c>
      <c r="C76" s="4" t="s">
        <v>377</v>
      </c>
      <c r="D76" s="4" t="s">
        <v>846</v>
      </c>
      <c r="E76" s="183">
        <f>SUMIF(F5:CH5,"no",F76:CH76)</f>
        <v>1703922839.1199999</v>
      </c>
      <c r="F76" s="57">
        <f t="shared" ref="F76:AK76" si="139">IFERROR(F45-F75-F36,"")</f>
        <v>125591609.82999998</v>
      </c>
      <c r="G76" s="57">
        <f t="shared" si="139"/>
        <v>51775412.039999962</v>
      </c>
      <c r="H76" s="57">
        <f t="shared" si="139"/>
        <v>121379511.77999997</v>
      </c>
      <c r="I76" s="57">
        <f t="shared" si="139"/>
        <v>67652838.219999999</v>
      </c>
      <c r="J76" s="57">
        <f t="shared" si="139"/>
        <v>256974385.75999999</v>
      </c>
      <c r="K76" s="57">
        <f t="shared" si="139"/>
        <v>244574103.10000002</v>
      </c>
      <c r="L76" s="57">
        <f t="shared" si="139"/>
        <v>108042677.85000002</v>
      </c>
      <c r="M76" s="57">
        <f t="shared" si="139"/>
        <v>80206665.210000008</v>
      </c>
      <c r="N76" s="57" t="str">
        <f t="shared" si="139"/>
        <v/>
      </c>
      <c r="O76" s="57">
        <f t="shared" si="139"/>
        <v>118775648.52999997</v>
      </c>
      <c r="P76" s="57">
        <f t="shared" si="139"/>
        <v>100520374.79000002</v>
      </c>
      <c r="Q76" s="57">
        <f t="shared" si="139"/>
        <v>112752141.88999999</v>
      </c>
      <c r="R76" s="57">
        <f t="shared" si="139"/>
        <v>50561628.340000004</v>
      </c>
      <c r="S76" s="57">
        <f t="shared" si="139"/>
        <v>77513415.440000057</v>
      </c>
      <c r="T76" s="57">
        <f t="shared" si="139"/>
        <v>118394986.81999999</v>
      </c>
      <c r="U76" s="57">
        <f t="shared" si="139"/>
        <v>54998015.449999988</v>
      </c>
      <c r="V76" s="57" t="str">
        <f t="shared" si="139"/>
        <v/>
      </c>
      <c r="W76" s="57">
        <f t="shared" si="139"/>
        <v>13252017.789999992</v>
      </c>
      <c r="X76" s="57">
        <f t="shared" si="139"/>
        <v>6365797.0600000005</v>
      </c>
      <c r="Y76" s="57">
        <f t="shared" si="139"/>
        <v>-29049634.780000001</v>
      </c>
      <c r="Z76" s="57">
        <f t="shared" si="139"/>
        <v>14386418.75</v>
      </c>
      <c r="AA76" s="57">
        <f t="shared" si="139"/>
        <v>9254825.25</v>
      </c>
      <c r="AB76" s="57" t="str">
        <f t="shared" si="139"/>
        <v/>
      </c>
      <c r="AC76" s="57" t="str">
        <f t="shared" si="139"/>
        <v/>
      </c>
      <c r="AD76" s="57" t="str">
        <f t="shared" si="139"/>
        <v/>
      </c>
      <c r="AE76" s="57" t="str">
        <f t="shared" si="139"/>
        <v/>
      </c>
      <c r="AF76" s="57" t="str">
        <f t="shared" si="139"/>
        <v/>
      </c>
      <c r="AG76" s="57" t="str">
        <f t="shared" si="139"/>
        <v/>
      </c>
      <c r="AH76" s="57" t="str">
        <f t="shared" si="139"/>
        <v/>
      </c>
      <c r="AI76" s="57" t="str">
        <f t="shared" si="139"/>
        <v/>
      </c>
      <c r="AJ76" s="57" t="str">
        <f t="shared" si="139"/>
        <v/>
      </c>
      <c r="AK76" s="57" t="str">
        <f t="shared" si="139"/>
        <v/>
      </c>
      <c r="AL76" s="57" t="str">
        <f t="shared" ref="AL76:BQ76" si="140">IFERROR(AL45-AL75-AL36,"")</f>
        <v/>
      </c>
      <c r="AM76" s="57" t="str">
        <f t="shared" si="140"/>
        <v/>
      </c>
      <c r="AN76" s="57" t="str">
        <f t="shared" si="140"/>
        <v/>
      </c>
      <c r="AO76" s="57" t="str">
        <f t="shared" si="140"/>
        <v/>
      </c>
      <c r="AP76" s="57" t="str">
        <f t="shared" si="140"/>
        <v/>
      </c>
      <c r="AQ76" s="57" t="str">
        <f t="shared" si="140"/>
        <v/>
      </c>
      <c r="AR76" s="57" t="str">
        <f t="shared" si="140"/>
        <v/>
      </c>
      <c r="AS76" s="57" t="str">
        <f t="shared" si="140"/>
        <v/>
      </c>
      <c r="AT76" s="57" t="str">
        <f t="shared" si="140"/>
        <v/>
      </c>
      <c r="AU76" s="57" t="str">
        <f t="shared" si="140"/>
        <v/>
      </c>
      <c r="AV76" s="57" t="str">
        <f t="shared" si="140"/>
        <v/>
      </c>
      <c r="AW76" s="57" t="str">
        <f t="shared" si="140"/>
        <v/>
      </c>
      <c r="AX76" s="57" t="str">
        <f t="shared" si="140"/>
        <v/>
      </c>
      <c r="AY76" s="57" t="str">
        <f t="shared" si="140"/>
        <v/>
      </c>
      <c r="AZ76" s="57" t="str">
        <f t="shared" si="140"/>
        <v/>
      </c>
      <c r="BA76" s="57" t="str">
        <f t="shared" si="140"/>
        <v/>
      </c>
      <c r="BB76" s="57" t="str">
        <f t="shared" si="140"/>
        <v/>
      </c>
      <c r="BC76" s="57" t="str">
        <f t="shared" si="140"/>
        <v/>
      </c>
      <c r="BD76" s="57" t="str">
        <f t="shared" si="140"/>
        <v/>
      </c>
      <c r="BE76" s="57" t="str">
        <f t="shared" si="140"/>
        <v/>
      </c>
      <c r="BF76" s="57" t="str">
        <f t="shared" si="140"/>
        <v/>
      </c>
      <c r="BG76" s="57" t="str">
        <f t="shared" si="140"/>
        <v/>
      </c>
      <c r="BH76" s="57" t="str">
        <f t="shared" si="140"/>
        <v/>
      </c>
      <c r="BI76" s="57" t="str">
        <f t="shared" si="140"/>
        <v/>
      </c>
      <c r="BJ76" s="57" t="str">
        <f t="shared" si="140"/>
        <v/>
      </c>
      <c r="BK76" s="57" t="str">
        <f t="shared" si="140"/>
        <v/>
      </c>
      <c r="BL76" s="57" t="str">
        <f t="shared" si="140"/>
        <v/>
      </c>
      <c r="BM76" s="57" t="str">
        <f t="shared" si="140"/>
        <v/>
      </c>
      <c r="BN76" s="57" t="str">
        <f t="shared" si="140"/>
        <v/>
      </c>
      <c r="BO76" s="57" t="str">
        <f t="shared" si="140"/>
        <v/>
      </c>
      <c r="BP76" s="57" t="str">
        <f t="shared" si="140"/>
        <v/>
      </c>
      <c r="BQ76" s="57" t="str">
        <f t="shared" si="140"/>
        <v/>
      </c>
      <c r="BR76" s="57" t="str">
        <f t="shared" ref="BR76:CB76" si="141">IFERROR(BR45-BR75-BR36,"")</f>
        <v/>
      </c>
      <c r="BS76" s="57" t="str">
        <f t="shared" si="141"/>
        <v/>
      </c>
      <c r="BT76" s="57" t="str">
        <f t="shared" si="141"/>
        <v/>
      </c>
      <c r="BU76" s="57" t="str">
        <f t="shared" si="141"/>
        <v/>
      </c>
      <c r="BV76" s="57" t="str">
        <f t="shared" si="141"/>
        <v/>
      </c>
      <c r="BW76" s="57" t="str">
        <f t="shared" si="141"/>
        <v/>
      </c>
      <c r="BX76" s="57" t="str">
        <f t="shared" si="141"/>
        <v/>
      </c>
      <c r="BY76" s="57" t="str">
        <f t="shared" si="141"/>
        <v/>
      </c>
      <c r="BZ76" s="57" t="str">
        <f t="shared" si="141"/>
        <v/>
      </c>
      <c r="CA76" s="57" t="str">
        <f t="shared" si="141"/>
        <v/>
      </c>
      <c r="CB76" s="57" t="str">
        <f t="shared" si="141"/>
        <v/>
      </c>
    </row>
    <row r="77" spans="1:80" ht="13.5" customHeight="1">
      <c r="A77" s="351">
        <v>74</v>
      </c>
      <c r="B77" s="196" t="s">
        <v>974</v>
      </c>
      <c r="C77" s="4" t="s">
        <v>846</v>
      </c>
      <c r="D77" s="4" t="s">
        <v>846</v>
      </c>
      <c r="E77" s="180" t="s">
        <v>846</v>
      </c>
      <c r="F77" s="5" t="s">
        <v>846</v>
      </c>
      <c r="G77" s="5" t="s">
        <v>846</v>
      </c>
      <c r="H77" s="5" t="s">
        <v>846</v>
      </c>
      <c r="I77" s="5" t="s">
        <v>846</v>
      </c>
      <c r="J77" s="5" t="s">
        <v>846</v>
      </c>
      <c r="K77" s="5" t="s">
        <v>846</v>
      </c>
      <c r="L77" s="5" t="s">
        <v>846</v>
      </c>
      <c r="M77" s="5" t="s">
        <v>846</v>
      </c>
      <c r="N77" s="5" t="s">
        <v>846</v>
      </c>
      <c r="O77" s="5" t="s">
        <v>846</v>
      </c>
      <c r="P77" s="5" t="s">
        <v>846</v>
      </c>
      <c r="Q77" s="5" t="s">
        <v>846</v>
      </c>
      <c r="R77" s="5" t="s">
        <v>846</v>
      </c>
      <c r="S77" s="5" t="s">
        <v>846</v>
      </c>
      <c r="T77" s="5" t="s">
        <v>846</v>
      </c>
      <c r="U77" s="5" t="s">
        <v>846</v>
      </c>
      <c r="V77" s="5" t="s">
        <v>846</v>
      </c>
      <c r="W77" s="5" t="s">
        <v>846</v>
      </c>
      <c r="X77" s="5" t="s">
        <v>846</v>
      </c>
      <c r="Y77" s="5" t="s">
        <v>846</v>
      </c>
      <c r="Z77" s="5" t="s">
        <v>846</v>
      </c>
      <c r="AA77" s="5" t="s">
        <v>846</v>
      </c>
      <c r="AB77" s="5" t="s">
        <v>846</v>
      </c>
      <c r="AC77" s="5" t="s">
        <v>846</v>
      </c>
      <c r="AD77" s="5" t="s">
        <v>846</v>
      </c>
      <c r="AE77" s="5" t="s">
        <v>846</v>
      </c>
      <c r="AF77" s="5" t="s">
        <v>846</v>
      </c>
      <c r="AG77" s="5" t="s">
        <v>846</v>
      </c>
      <c r="AH77" s="5" t="s">
        <v>846</v>
      </c>
      <c r="AI77" s="5" t="s">
        <v>846</v>
      </c>
      <c r="AJ77" s="5" t="s">
        <v>846</v>
      </c>
      <c r="AK77" s="5" t="s">
        <v>846</v>
      </c>
      <c r="AL77" s="5" t="s">
        <v>846</v>
      </c>
      <c r="AM77" s="5" t="s">
        <v>846</v>
      </c>
      <c r="AN77" s="5" t="s">
        <v>846</v>
      </c>
      <c r="AO77" s="5" t="s">
        <v>846</v>
      </c>
      <c r="AP77" s="5" t="s">
        <v>846</v>
      </c>
      <c r="AQ77" s="5" t="s">
        <v>846</v>
      </c>
      <c r="AR77" s="5" t="s">
        <v>846</v>
      </c>
      <c r="AS77" s="5" t="s">
        <v>846</v>
      </c>
      <c r="AT77" s="5" t="s">
        <v>846</v>
      </c>
      <c r="AU77" s="5" t="s">
        <v>846</v>
      </c>
      <c r="AV77" s="5" t="s">
        <v>846</v>
      </c>
      <c r="AW77" s="5" t="s">
        <v>846</v>
      </c>
      <c r="AX77" s="5" t="s">
        <v>846</v>
      </c>
      <c r="AY77" s="5" t="s">
        <v>846</v>
      </c>
      <c r="AZ77" s="5" t="s">
        <v>846</v>
      </c>
      <c r="BA77" s="5" t="s">
        <v>846</v>
      </c>
      <c r="BB77" s="5" t="s">
        <v>846</v>
      </c>
      <c r="BC77" s="5" t="s">
        <v>846</v>
      </c>
      <c r="BD77" s="5" t="s">
        <v>846</v>
      </c>
      <c r="BE77" s="5" t="s">
        <v>846</v>
      </c>
      <c r="BF77" s="5" t="s">
        <v>846</v>
      </c>
      <c r="BG77" s="5" t="s">
        <v>846</v>
      </c>
      <c r="BH77" s="5" t="s">
        <v>846</v>
      </c>
      <c r="BI77" s="5" t="s">
        <v>846</v>
      </c>
      <c r="BJ77" s="5" t="s">
        <v>846</v>
      </c>
      <c r="BK77" s="5" t="s">
        <v>846</v>
      </c>
      <c r="BL77" s="5" t="s">
        <v>846</v>
      </c>
      <c r="BM77" s="5" t="s">
        <v>846</v>
      </c>
      <c r="BN77" s="5" t="s">
        <v>846</v>
      </c>
      <c r="BO77" s="5" t="s">
        <v>846</v>
      </c>
      <c r="BP77" s="5" t="s">
        <v>846</v>
      </c>
      <c r="BQ77" s="5" t="s">
        <v>846</v>
      </c>
      <c r="BR77" s="5" t="s">
        <v>846</v>
      </c>
      <c r="BS77" s="5" t="s">
        <v>846</v>
      </c>
      <c r="BT77" s="5" t="s">
        <v>846</v>
      </c>
      <c r="BU77" s="5" t="s">
        <v>846</v>
      </c>
      <c r="BV77" s="5" t="s">
        <v>846</v>
      </c>
      <c r="BW77" s="5" t="s">
        <v>846</v>
      </c>
      <c r="BX77" s="5" t="s">
        <v>846</v>
      </c>
      <c r="BY77" s="5" t="s">
        <v>846</v>
      </c>
      <c r="BZ77" s="5" t="s">
        <v>846</v>
      </c>
      <c r="CA77" s="5" t="s">
        <v>846</v>
      </c>
      <c r="CB77" s="5" t="s">
        <v>846</v>
      </c>
    </row>
    <row r="78" spans="1:80" s="23" customFormat="1" ht="13.5" customHeight="1">
      <c r="A78" s="175">
        <v>75</v>
      </c>
      <c r="B78" s="191" t="s">
        <v>975</v>
      </c>
      <c r="C78" s="4" t="s">
        <v>399</v>
      </c>
      <c r="D78" s="4" t="s">
        <v>846</v>
      </c>
      <c r="E78" s="180" t="s">
        <v>846</v>
      </c>
      <c r="F78" s="197" t="s">
        <v>976</v>
      </c>
      <c r="G78" s="197" t="s">
        <v>976</v>
      </c>
      <c r="H78" s="197" t="s">
        <v>976</v>
      </c>
      <c r="I78" s="197" t="s">
        <v>976</v>
      </c>
      <c r="J78" s="197" t="s">
        <v>976</v>
      </c>
      <c r="K78" s="197" t="s">
        <v>976</v>
      </c>
      <c r="L78" s="197" t="s">
        <v>976</v>
      </c>
      <c r="M78" s="197" t="s">
        <v>976</v>
      </c>
      <c r="N78" s="197" t="s">
        <v>414</v>
      </c>
      <c r="O78" s="197" t="s">
        <v>976</v>
      </c>
      <c r="P78" s="197" t="s">
        <v>976</v>
      </c>
      <c r="Q78" s="197" t="s">
        <v>976</v>
      </c>
      <c r="R78" s="197" t="s">
        <v>976</v>
      </c>
      <c r="S78" s="197" t="s">
        <v>976</v>
      </c>
      <c r="T78" s="197" t="s">
        <v>976</v>
      </c>
      <c r="U78" s="197" t="s">
        <v>976</v>
      </c>
      <c r="V78" s="197" t="s">
        <v>414</v>
      </c>
      <c r="W78" s="197" t="s">
        <v>976</v>
      </c>
      <c r="X78" s="197" t="s">
        <v>976</v>
      </c>
      <c r="Y78" s="197" t="s">
        <v>976</v>
      </c>
      <c r="Z78" s="197" t="s">
        <v>976</v>
      </c>
      <c r="AA78" s="197" t="s">
        <v>976</v>
      </c>
      <c r="AB78" s="197"/>
      <c r="AC78" s="197"/>
      <c r="AD78" s="197"/>
      <c r="AE78" s="197"/>
      <c r="AF78" s="197"/>
      <c r="AG78" s="197"/>
      <c r="AH78" s="197"/>
      <c r="AI78" s="197"/>
      <c r="AJ78" s="197"/>
      <c r="AK78" s="197"/>
      <c r="AL78" s="197"/>
      <c r="AM78" s="197"/>
      <c r="AN78" s="197"/>
      <c r="AO78" s="197"/>
      <c r="AP78" s="197"/>
      <c r="AQ78" s="197"/>
      <c r="AR78" s="197"/>
      <c r="AS78" s="197"/>
      <c r="AT78" s="197"/>
      <c r="AU78" s="197"/>
      <c r="AV78" s="197"/>
      <c r="AW78" s="197"/>
      <c r="AX78" s="197"/>
      <c r="AY78" s="197"/>
      <c r="AZ78" s="197"/>
      <c r="BA78" s="197"/>
      <c r="BB78" s="197"/>
      <c r="BC78" s="197"/>
      <c r="BD78" s="197"/>
      <c r="BE78" s="197"/>
      <c r="BF78" s="197"/>
      <c r="BG78" s="197"/>
      <c r="BH78" s="197"/>
      <c r="BI78" s="197"/>
      <c r="BJ78" s="197"/>
      <c r="BK78" s="197"/>
      <c r="BL78" s="197"/>
      <c r="BM78" s="197"/>
      <c r="BN78" s="197"/>
      <c r="BO78" s="197"/>
      <c r="BP78" s="197"/>
      <c r="BQ78" s="197"/>
      <c r="BR78" s="197"/>
      <c r="BS78" s="197"/>
      <c r="BT78" s="197"/>
      <c r="BU78" s="197"/>
      <c r="BV78" s="197"/>
      <c r="BW78" s="197"/>
      <c r="BX78" s="197"/>
      <c r="BY78" s="197"/>
      <c r="BZ78" s="197"/>
      <c r="CA78" s="197"/>
      <c r="CB78" s="197"/>
    </row>
    <row r="79" spans="1:80" s="23" customFormat="1" ht="13.5" customHeight="1">
      <c r="A79" s="175">
        <v>76</v>
      </c>
      <c r="B79" s="191" t="s">
        <v>977</v>
      </c>
      <c r="C79" s="4" t="s">
        <v>399</v>
      </c>
      <c r="D79" s="4" t="s">
        <v>846</v>
      </c>
      <c r="E79" s="180" t="s">
        <v>846</v>
      </c>
      <c r="F79" s="197" t="s">
        <v>976</v>
      </c>
      <c r="G79" s="197" t="s">
        <v>976</v>
      </c>
      <c r="H79" s="197" t="s">
        <v>976</v>
      </c>
      <c r="I79" s="197" t="s">
        <v>976</v>
      </c>
      <c r="J79" s="197" t="s">
        <v>976</v>
      </c>
      <c r="K79" s="197" t="s">
        <v>976</v>
      </c>
      <c r="L79" s="197" t="s">
        <v>976</v>
      </c>
      <c r="M79" s="197" t="s">
        <v>976</v>
      </c>
      <c r="N79" s="197" t="s">
        <v>414</v>
      </c>
      <c r="O79" s="197" t="s">
        <v>976</v>
      </c>
      <c r="P79" s="197" t="s">
        <v>976</v>
      </c>
      <c r="Q79" s="197" t="s">
        <v>976</v>
      </c>
      <c r="R79" s="197" t="s">
        <v>976</v>
      </c>
      <c r="S79" s="197" t="s">
        <v>976</v>
      </c>
      <c r="T79" s="197" t="s">
        <v>976</v>
      </c>
      <c r="U79" s="197" t="s">
        <v>976</v>
      </c>
      <c r="V79" s="197" t="s">
        <v>414</v>
      </c>
      <c r="W79" s="197" t="s">
        <v>976</v>
      </c>
      <c r="X79" s="197" t="s">
        <v>978</v>
      </c>
      <c r="Y79" s="197" t="s">
        <v>978</v>
      </c>
      <c r="Z79" s="197" t="s">
        <v>978</v>
      </c>
      <c r="AA79" s="197" t="s">
        <v>978</v>
      </c>
      <c r="AB79" s="197"/>
      <c r="AC79" s="197"/>
      <c r="AD79" s="197"/>
      <c r="AE79" s="197"/>
      <c r="AF79" s="197"/>
      <c r="AG79" s="197"/>
      <c r="AH79" s="197"/>
      <c r="AI79" s="197"/>
      <c r="AJ79" s="197"/>
      <c r="AK79" s="197"/>
      <c r="AL79" s="197"/>
      <c r="AM79" s="197"/>
      <c r="AN79" s="197"/>
      <c r="AO79" s="197"/>
      <c r="AP79" s="197"/>
      <c r="AQ79" s="197"/>
      <c r="AR79" s="197"/>
      <c r="AS79" s="197"/>
      <c r="AT79" s="197"/>
      <c r="AU79" s="197"/>
      <c r="AV79" s="197"/>
      <c r="AW79" s="197"/>
      <c r="AX79" s="197"/>
      <c r="AY79" s="197"/>
      <c r="AZ79" s="197"/>
      <c r="BA79" s="197"/>
      <c r="BB79" s="197"/>
      <c r="BC79" s="197"/>
      <c r="BD79" s="197"/>
      <c r="BE79" s="197"/>
      <c r="BF79" s="197"/>
      <c r="BG79" s="197"/>
      <c r="BH79" s="197"/>
      <c r="BI79" s="197"/>
      <c r="BJ79" s="197"/>
      <c r="BK79" s="197"/>
      <c r="BL79" s="197"/>
      <c r="BM79" s="197"/>
      <c r="BN79" s="197"/>
      <c r="BO79" s="197"/>
      <c r="BP79" s="197"/>
      <c r="BQ79" s="197"/>
      <c r="BR79" s="197"/>
      <c r="BS79" s="197"/>
      <c r="BT79" s="197"/>
      <c r="BU79" s="197"/>
      <c r="BV79" s="197"/>
      <c r="BW79" s="197"/>
      <c r="BX79" s="197"/>
      <c r="BY79" s="197"/>
      <c r="BZ79" s="197"/>
      <c r="CA79" s="197"/>
      <c r="CB79" s="197"/>
    </row>
    <row r="80" spans="1:80" s="23" customFormat="1" ht="13.5" customHeight="1">
      <c r="A80" s="175">
        <v>77</v>
      </c>
      <c r="B80" s="191" t="s">
        <v>979</v>
      </c>
      <c r="C80" s="4" t="s">
        <v>399</v>
      </c>
      <c r="D80" s="4" t="s">
        <v>846</v>
      </c>
      <c r="E80" s="180" t="s">
        <v>846</v>
      </c>
      <c r="F80" s="197" t="s">
        <v>980</v>
      </c>
      <c r="G80" s="197" t="s">
        <v>980</v>
      </c>
      <c r="H80" s="197" t="s">
        <v>980</v>
      </c>
      <c r="I80" s="197" t="s">
        <v>980</v>
      </c>
      <c r="J80" s="197" t="s">
        <v>980</v>
      </c>
      <c r="K80" s="197" t="s">
        <v>980</v>
      </c>
      <c r="L80" s="197" t="s">
        <v>980</v>
      </c>
      <c r="M80" s="197" t="s">
        <v>980</v>
      </c>
      <c r="N80" s="197" t="s">
        <v>414</v>
      </c>
      <c r="O80" s="197" t="s">
        <v>980</v>
      </c>
      <c r="P80" s="197" t="s">
        <v>980</v>
      </c>
      <c r="Q80" s="197" t="s">
        <v>980</v>
      </c>
      <c r="R80" s="197" t="s">
        <v>980</v>
      </c>
      <c r="S80" s="197" t="s">
        <v>980</v>
      </c>
      <c r="T80" s="197" t="s">
        <v>980</v>
      </c>
      <c r="U80" s="197" t="s">
        <v>980</v>
      </c>
      <c r="V80" s="197" t="s">
        <v>414</v>
      </c>
      <c r="W80" s="197" t="s">
        <v>980</v>
      </c>
      <c r="X80" s="197" t="s">
        <v>978</v>
      </c>
      <c r="Y80" s="197" t="s">
        <v>978</v>
      </c>
      <c r="Z80" s="197" t="s">
        <v>978</v>
      </c>
      <c r="AA80" s="197" t="s">
        <v>978</v>
      </c>
      <c r="AB80" s="197"/>
      <c r="AC80" s="197"/>
      <c r="AD80" s="197"/>
      <c r="AE80" s="197"/>
      <c r="AF80" s="197"/>
      <c r="AG80" s="197"/>
      <c r="AH80" s="197"/>
      <c r="AI80" s="197"/>
      <c r="AJ80" s="197"/>
      <c r="AK80" s="197"/>
      <c r="AL80" s="197"/>
      <c r="AM80" s="197"/>
      <c r="AN80" s="197"/>
      <c r="AO80" s="197"/>
      <c r="AP80" s="197"/>
      <c r="AQ80" s="197"/>
      <c r="AR80" s="197"/>
      <c r="AS80" s="197"/>
      <c r="AT80" s="197"/>
      <c r="AU80" s="197"/>
      <c r="AV80" s="197"/>
      <c r="AW80" s="197"/>
      <c r="AX80" s="197"/>
      <c r="AY80" s="197"/>
      <c r="AZ80" s="197"/>
      <c r="BA80" s="197"/>
      <c r="BB80" s="197"/>
      <c r="BC80" s="197"/>
      <c r="BD80" s="197"/>
      <c r="BE80" s="197"/>
      <c r="BF80" s="197"/>
      <c r="BG80" s="197"/>
      <c r="BH80" s="197"/>
      <c r="BI80" s="197"/>
      <c r="BJ80" s="197"/>
      <c r="BK80" s="197"/>
      <c r="BL80" s="197"/>
      <c r="BM80" s="197"/>
      <c r="BN80" s="197"/>
      <c r="BO80" s="197"/>
      <c r="BP80" s="197"/>
      <c r="BQ80" s="197"/>
      <c r="BR80" s="197"/>
      <c r="BS80" s="197"/>
      <c r="BT80" s="197"/>
      <c r="BU80" s="197"/>
      <c r="BV80" s="197"/>
      <c r="BW80" s="197"/>
      <c r="BX80" s="197"/>
      <c r="BY80" s="197"/>
      <c r="BZ80" s="197"/>
      <c r="CA80" s="197"/>
      <c r="CB80" s="197"/>
    </row>
    <row r="81" spans="1:80" s="23" customFormat="1" ht="13.5" customHeight="1">
      <c r="A81" s="175">
        <v>78</v>
      </c>
      <c r="B81" s="191" t="s">
        <v>981</v>
      </c>
      <c r="C81" s="4" t="s">
        <v>399</v>
      </c>
      <c r="D81" s="4" t="s">
        <v>846</v>
      </c>
      <c r="E81" s="180" t="s">
        <v>846</v>
      </c>
      <c r="F81" s="197" t="s">
        <v>980</v>
      </c>
      <c r="G81" s="197" t="s">
        <v>980</v>
      </c>
      <c r="H81" s="197" t="s">
        <v>980</v>
      </c>
      <c r="I81" s="197" t="s">
        <v>980</v>
      </c>
      <c r="J81" s="197" t="s">
        <v>980</v>
      </c>
      <c r="K81" s="197" t="s">
        <v>980</v>
      </c>
      <c r="L81" s="197" t="s">
        <v>980</v>
      </c>
      <c r="M81" s="197" t="s">
        <v>980</v>
      </c>
      <c r="N81" s="197" t="s">
        <v>414</v>
      </c>
      <c r="O81" s="197" t="s">
        <v>980</v>
      </c>
      <c r="P81" s="197" t="s">
        <v>980</v>
      </c>
      <c r="Q81" s="197" t="s">
        <v>980</v>
      </c>
      <c r="R81" s="197" t="s">
        <v>980</v>
      </c>
      <c r="S81" s="197" t="s">
        <v>980</v>
      </c>
      <c r="T81" s="197" t="s">
        <v>980</v>
      </c>
      <c r="U81" s="197" t="s">
        <v>980</v>
      </c>
      <c r="V81" s="197" t="s">
        <v>414</v>
      </c>
      <c r="W81" s="197" t="s">
        <v>980</v>
      </c>
      <c r="X81" s="197" t="s">
        <v>978</v>
      </c>
      <c r="Y81" s="197" t="s">
        <v>978</v>
      </c>
      <c r="Z81" s="197" t="s">
        <v>978</v>
      </c>
      <c r="AA81" s="197" t="s">
        <v>978</v>
      </c>
      <c r="AB81" s="197"/>
      <c r="AC81" s="197"/>
      <c r="AD81" s="197"/>
      <c r="AE81" s="197"/>
      <c r="AF81" s="197"/>
      <c r="AG81" s="197"/>
      <c r="AH81" s="197"/>
      <c r="AI81" s="197"/>
      <c r="AJ81" s="197"/>
      <c r="AK81" s="197"/>
      <c r="AL81" s="197"/>
      <c r="AM81" s="197"/>
      <c r="AN81" s="197"/>
      <c r="AO81" s="197"/>
      <c r="AP81" s="197"/>
      <c r="AQ81" s="197"/>
      <c r="AR81" s="197"/>
      <c r="AS81" s="197"/>
      <c r="AT81" s="197"/>
      <c r="AU81" s="197"/>
      <c r="AV81" s="197"/>
      <c r="AW81" s="197"/>
      <c r="AX81" s="197"/>
      <c r="AY81" s="197"/>
      <c r="AZ81" s="197"/>
      <c r="BA81" s="197"/>
      <c r="BB81" s="197"/>
      <c r="BC81" s="197"/>
      <c r="BD81" s="197"/>
      <c r="BE81" s="197"/>
      <c r="BF81" s="197"/>
      <c r="BG81" s="197"/>
      <c r="BH81" s="197"/>
      <c r="BI81" s="197"/>
      <c r="BJ81" s="197"/>
      <c r="BK81" s="197"/>
      <c r="BL81" s="197"/>
      <c r="BM81" s="197"/>
      <c r="BN81" s="197"/>
      <c r="BO81" s="197"/>
      <c r="BP81" s="197"/>
      <c r="BQ81" s="197"/>
      <c r="BR81" s="197"/>
      <c r="BS81" s="197"/>
      <c r="BT81" s="197"/>
      <c r="BU81" s="197"/>
      <c r="BV81" s="197"/>
      <c r="BW81" s="197"/>
      <c r="BX81" s="197"/>
      <c r="BY81" s="197"/>
      <c r="BZ81" s="197"/>
      <c r="CA81" s="197"/>
      <c r="CB81" s="197"/>
    </row>
    <row r="82" spans="1:80" s="23" customFormat="1" ht="13.5" customHeight="1">
      <c r="A82" s="175">
        <v>79</v>
      </c>
      <c r="B82" s="191" t="s">
        <v>982</v>
      </c>
      <c r="C82" s="4" t="s">
        <v>399</v>
      </c>
      <c r="D82" s="4" t="s">
        <v>846</v>
      </c>
      <c r="E82" s="180" t="s">
        <v>846</v>
      </c>
      <c r="F82" s="197" t="s">
        <v>983</v>
      </c>
      <c r="G82" s="197" t="s">
        <v>983</v>
      </c>
      <c r="H82" s="197" t="s">
        <v>983</v>
      </c>
      <c r="I82" s="197" t="s">
        <v>983</v>
      </c>
      <c r="J82" s="197" t="s">
        <v>984</v>
      </c>
      <c r="K82" s="197" t="s">
        <v>984</v>
      </c>
      <c r="L82" s="197" t="s">
        <v>983</v>
      </c>
      <c r="M82" s="197" t="s">
        <v>983</v>
      </c>
      <c r="N82" s="197" t="s">
        <v>414</v>
      </c>
      <c r="O82" s="197" t="s">
        <v>983</v>
      </c>
      <c r="P82" s="197" t="s">
        <v>983</v>
      </c>
      <c r="Q82" s="197" t="s">
        <v>983</v>
      </c>
      <c r="R82" s="197" t="s">
        <v>983</v>
      </c>
      <c r="S82" s="197" t="s">
        <v>983</v>
      </c>
      <c r="T82" s="197" t="s">
        <v>983</v>
      </c>
      <c r="U82" s="197" t="s">
        <v>983</v>
      </c>
      <c r="V82" s="197" t="s">
        <v>414</v>
      </c>
      <c r="W82" s="197" t="s">
        <v>983</v>
      </c>
      <c r="X82" s="197" t="s">
        <v>978</v>
      </c>
      <c r="Y82" s="197" t="s">
        <v>978</v>
      </c>
      <c r="Z82" s="197" t="s">
        <v>978</v>
      </c>
      <c r="AA82" s="197" t="s">
        <v>978</v>
      </c>
      <c r="AB82" s="197"/>
      <c r="AC82" s="197"/>
      <c r="AD82" s="197"/>
      <c r="AE82" s="197"/>
      <c r="AF82" s="197"/>
      <c r="AG82" s="197"/>
      <c r="AH82" s="197"/>
      <c r="AI82" s="197"/>
      <c r="AJ82" s="197"/>
      <c r="AK82" s="197"/>
      <c r="AL82" s="197"/>
      <c r="AM82" s="197"/>
      <c r="AN82" s="197"/>
      <c r="AO82" s="197"/>
      <c r="AP82" s="197"/>
      <c r="AQ82" s="197"/>
      <c r="AR82" s="197"/>
      <c r="AS82" s="197"/>
      <c r="AT82" s="197"/>
      <c r="AU82" s="197"/>
      <c r="AV82" s="197"/>
      <c r="AW82" s="197"/>
      <c r="AX82" s="197"/>
      <c r="AY82" s="197"/>
      <c r="AZ82" s="197"/>
      <c r="BA82" s="197"/>
      <c r="BB82" s="197"/>
      <c r="BC82" s="197"/>
      <c r="BD82" s="197"/>
      <c r="BE82" s="197"/>
      <c r="BF82" s="197"/>
      <c r="BG82" s="197"/>
      <c r="BH82" s="197"/>
      <c r="BI82" s="197"/>
      <c r="BJ82" s="197"/>
      <c r="BK82" s="197"/>
      <c r="BL82" s="197"/>
      <c r="BM82" s="197"/>
      <c r="BN82" s="197"/>
      <c r="BO82" s="197"/>
      <c r="BP82" s="197"/>
      <c r="BQ82" s="197"/>
      <c r="BR82" s="197"/>
      <c r="BS82" s="197"/>
      <c r="BT82" s="197"/>
      <c r="BU82" s="197"/>
      <c r="BV82" s="197"/>
      <c r="BW82" s="197"/>
      <c r="BX82" s="197"/>
      <c r="BY82" s="197"/>
      <c r="BZ82" s="197"/>
      <c r="CA82" s="197"/>
      <c r="CB82" s="197"/>
    </row>
    <row r="83" spans="1:80" s="23" customFormat="1" ht="13.5" customHeight="1">
      <c r="A83" s="175">
        <v>80</v>
      </c>
      <c r="B83" s="191" t="s">
        <v>985</v>
      </c>
      <c r="C83" s="4" t="s">
        <v>399</v>
      </c>
      <c r="D83" s="4" t="s">
        <v>846</v>
      </c>
      <c r="E83" s="180" t="s">
        <v>846</v>
      </c>
      <c r="F83" s="197" t="s">
        <v>983</v>
      </c>
      <c r="G83" s="197" t="s">
        <v>983</v>
      </c>
      <c r="H83" s="197" t="s">
        <v>983</v>
      </c>
      <c r="I83" s="197" t="s">
        <v>983</v>
      </c>
      <c r="J83" s="197" t="s">
        <v>983</v>
      </c>
      <c r="K83" s="197" t="s">
        <v>983</v>
      </c>
      <c r="L83" s="197" t="s">
        <v>984</v>
      </c>
      <c r="M83" s="197" t="s">
        <v>983</v>
      </c>
      <c r="N83" s="197" t="s">
        <v>414</v>
      </c>
      <c r="O83" s="197" t="s">
        <v>983</v>
      </c>
      <c r="P83" s="197" t="s">
        <v>983</v>
      </c>
      <c r="Q83" s="197" t="s">
        <v>983</v>
      </c>
      <c r="R83" s="197" t="s">
        <v>983</v>
      </c>
      <c r="S83" s="197" t="s">
        <v>983</v>
      </c>
      <c r="T83" s="197" t="s">
        <v>983</v>
      </c>
      <c r="U83" s="197" t="s">
        <v>983</v>
      </c>
      <c r="V83" s="197" t="s">
        <v>414</v>
      </c>
      <c r="W83" s="197" t="s">
        <v>984</v>
      </c>
      <c r="X83" s="197" t="s">
        <v>978</v>
      </c>
      <c r="Y83" s="197" t="s">
        <v>978</v>
      </c>
      <c r="Z83" s="197" t="s">
        <v>978</v>
      </c>
      <c r="AA83" s="197" t="s">
        <v>978</v>
      </c>
      <c r="AB83" s="197"/>
      <c r="AC83" s="197"/>
      <c r="AD83" s="197"/>
      <c r="AE83" s="197"/>
      <c r="AF83" s="197"/>
      <c r="AG83" s="197"/>
      <c r="AH83" s="197"/>
      <c r="AI83" s="197"/>
      <c r="AJ83" s="197"/>
      <c r="AK83" s="197"/>
      <c r="AL83" s="197"/>
      <c r="AM83" s="197"/>
      <c r="AN83" s="197"/>
      <c r="AO83" s="197"/>
      <c r="AP83" s="197"/>
      <c r="AQ83" s="197"/>
      <c r="AR83" s="197"/>
      <c r="AS83" s="197"/>
      <c r="AT83" s="197"/>
      <c r="AU83" s="197"/>
      <c r="AV83" s="197"/>
      <c r="AW83" s="197"/>
      <c r="AX83" s="197"/>
      <c r="AY83" s="197"/>
      <c r="AZ83" s="197"/>
      <c r="BA83" s="197"/>
      <c r="BB83" s="197"/>
      <c r="BC83" s="197"/>
      <c r="BD83" s="197"/>
      <c r="BE83" s="197"/>
      <c r="BF83" s="197"/>
      <c r="BG83" s="197"/>
      <c r="BH83" s="197"/>
      <c r="BI83" s="197"/>
      <c r="BJ83" s="197"/>
      <c r="BK83" s="197"/>
      <c r="BL83" s="197"/>
      <c r="BM83" s="197"/>
      <c r="BN83" s="197"/>
      <c r="BO83" s="197"/>
      <c r="BP83" s="197"/>
      <c r="BQ83" s="197"/>
      <c r="BR83" s="197"/>
      <c r="BS83" s="197"/>
      <c r="BT83" s="197"/>
      <c r="BU83" s="197"/>
      <c r="BV83" s="197"/>
      <c r="BW83" s="197"/>
      <c r="BX83" s="197"/>
      <c r="BY83" s="197"/>
      <c r="BZ83" s="197"/>
      <c r="CA83" s="197"/>
      <c r="CB83" s="197"/>
    </row>
    <row r="84" spans="1:80" s="23" customFormat="1" ht="13.5" customHeight="1">
      <c r="A84" s="175">
        <v>81</v>
      </c>
      <c r="B84" s="191" t="s">
        <v>986</v>
      </c>
      <c r="C84" s="4" t="s">
        <v>949</v>
      </c>
      <c r="D84" s="4" t="s">
        <v>846</v>
      </c>
      <c r="E84" s="180" t="s">
        <v>846</v>
      </c>
      <c r="F84" s="197">
        <v>6</v>
      </c>
      <c r="G84" s="197">
        <v>8</v>
      </c>
      <c r="H84" s="197">
        <v>2</v>
      </c>
      <c r="I84" s="197">
        <v>5</v>
      </c>
      <c r="J84" s="197">
        <v>4</v>
      </c>
      <c r="K84" s="197">
        <v>6</v>
      </c>
      <c r="L84" s="197">
        <v>2</v>
      </c>
      <c r="M84" s="197">
        <v>6</v>
      </c>
      <c r="N84" s="197" t="s">
        <v>414</v>
      </c>
      <c r="O84" s="197">
        <v>2</v>
      </c>
      <c r="P84" s="197">
        <v>5</v>
      </c>
      <c r="Q84" s="197">
        <v>4</v>
      </c>
      <c r="R84" s="197">
        <v>6</v>
      </c>
      <c r="S84" s="197">
        <v>2</v>
      </c>
      <c r="T84" s="197">
        <v>5</v>
      </c>
      <c r="U84" s="197">
        <v>5</v>
      </c>
      <c r="V84" s="197" t="s">
        <v>414</v>
      </c>
      <c r="W84" s="197">
        <v>5</v>
      </c>
      <c r="X84" s="197" t="s">
        <v>978</v>
      </c>
      <c r="Y84" s="197" t="s">
        <v>978</v>
      </c>
      <c r="Z84" s="197" t="s">
        <v>978</v>
      </c>
      <c r="AA84" s="197" t="s">
        <v>978</v>
      </c>
      <c r="AB84" s="197"/>
      <c r="AC84" s="197"/>
      <c r="AD84" s="197"/>
      <c r="AE84" s="197"/>
      <c r="AF84" s="197"/>
      <c r="AG84" s="197"/>
      <c r="AH84" s="197"/>
      <c r="AI84" s="197"/>
      <c r="AJ84" s="197"/>
      <c r="AK84" s="197"/>
      <c r="AL84" s="197"/>
      <c r="AM84" s="197"/>
      <c r="AN84" s="197"/>
      <c r="AO84" s="197"/>
      <c r="AP84" s="197"/>
      <c r="AQ84" s="197"/>
      <c r="AR84" s="197"/>
      <c r="AS84" s="197"/>
      <c r="AT84" s="197"/>
      <c r="AU84" s="197"/>
      <c r="AV84" s="197"/>
      <c r="AW84" s="197"/>
      <c r="AX84" s="197"/>
      <c r="AY84" s="197"/>
      <c r="AZ84" s="197"/>
      <c r="BA84" s="197"/>
      <c r="BB84" s="197"/>
      <c r="BC84" s="197"/>
      <c r="BD84" s="197"/>
      <c r="BE84" s="197"/>
      <c r="BF84" s="197"/>
      <c r="BG84" s="197"/>
      <c r="BH84" s="197"/>
      <c r="BI84" s="197"/>
      <c r="BJ84" s="197"/>
      <c r="BK84" s="197"/>
      <c r="BL84" s="197"/>
      <c r="BM84" s="197"/>
      <c r="BN84" s="197"/>
      <c r="BO84" s="197"/>
      <c r="BP84" s="197"/>
      <c r="BQ84" s="197"/>
      <c r="BR84" s="197"/>
      <c r="BS84" s="197"/>
      <c r="BT84" s="197"/>
      <c r="BU84" s="197"/>
      <c r="BV84" s="197"/>
      <c r="BW84" s="197"/>
      <c r="BX84" s="197"/>
      <c r="BY84" s="197"/>
      <c r="BZ84" s="197"/>
      <c r="CA84" s="197"/>
      <c r="CB84" s="197"/>
    </row>
    <row r="85" spans="1:80" s="23" customFormat="1" ht="13.5" customHeight="1">
      <c r="A85" s="175">
        <v>82</v>
      </c>
      <c r="B85" s="191" t="s">
        <v>987</v>
      </c>
      <c r="C85" s="4" t="s">
        <v>399</v>
      </c>
      <c r="D85" s="4" t="s">
        <v>846</v>
      </c>
      <c r="E85" s="180" t="s">
        <v>846</v>
      </c>
      <c r="F85" s="197" t="s">
        <v>980</v>
      </c>
      <c r="G85" s="197" t="s">
        <v>980</v>
      </c>
      <c r="H85" s="197" t="s">
        <v>980</v>
      </c>
      <c r="I85" s="197" t="s">
        <v>980</v>
      </c>
      <c r="J85" s="197" t="s">
        <v>980</v>
      </c>
      <c r="K85" s="197" t="s">
        <v>980</v>
      </c>
      <c r="L85" s="197" t="s">
        <v>980</v>
      </c>
      <c r="M85" s="197" t="s">
        <v>980</v>
      </c>
      <c r="N85" s="197" t="s">
        <v>414</v>
      </c>
      <c r="O85" s="197" t="s">
        <v>980</v>
      </c>
      <c r="P85" s="197" t="s">
        <v>980</v>
      </c>
      <c r="Q85" s="197" t="s">
        <v>980</v>
      </c>
      <c r="R85" s="197" t="s">
        <v>980</v>
      </c>
      <c r="S85" s="197" t="s">
        <v>980</v>
      </c>
      <c r="T85" s="197" t="s">
        <v>980</v>
      </c>
      <c r="U85" s="197" t="s">
        <v>980</v>
      </c>
      <c r="V85" s="197" t="s">
        <v>414</v>
      </c>
      <c r="W85" s="197" t="s">
        <v>980</v>
      </c>
      <c r="X85" s="197" t="s">
        <v>978</v>
      </c>
      <c r="Y85" s="197" t="s">
        <v>978</v>
      </c>
      <c r="Z85" s="197" t="s">
        <v>978</v>
      </c>
      <c r="AA85" s="197" t="s">
        <v>978</v>
      </c>
      <c r="AB85" s="197"/>
      <c r="AC85" s="197"/>
      <c r="AD85" s="197"/>
      <c r="AE85" s="197"/>
      <c r="AF85" s="197"/>
      <c r="AG85" s="197"/>
      <c r="AH85" s="197"/>
      <c r="AI85" s="197"/>
      <c r="AJ85" s="197"/>
      <c r="AK85" s="197"/>
      <c r="AL85" s="197"/>
      <c r="AM85" s="197"/>
      <c r="AN85" s="197"/>
      <c r="AO85" s="197"/>
      <c r="AP85" s="197"/>
      <c r="AQ85" s="197"/>
      <c r="AR85" s="197"/>
      <c r="AS85" s="197"/>
      <c r="AT85" s="197"/>
      <c r="AU85" s="197"/>
      <c r="AV85" s="197"/>
      <c r="AW85" s="197"/>
      <c r="AX85" s="197"/>
      <c r="AY85" s="197"/>
      <c r="AZ85" s="197"/>
      <c r="BA85" s="197"/>
      <c r="BB85" s="197"/>
      <c r="BC85" s="197"/>
      <c r="BD85" s="197"/>
      <c r="BE85" s="197"/>
      <c r="BF85" s="197"/>
      <c r="BG85" s="197"/>
      <c r="BH85" s="197"/>
      <c r="BI85" s="197"/>
      <c r="BJ85" s="197"/>
      <c r="BK85" s="197"/>
      <c r="BL85" s="197"/>
      <c r="BM85" s="197"/>
      <c r="BN85" s="197"/>
      <c r="BO85" s="197"/>
      <c r="BP85" s="197"/>
      <c r="BQ85" s="197"/>
      <c r="BR85" s="197"/>
      <c r="BS85" s="197"/>
      <c r="BT85" s="197"/>
      <c r="BU85" s="197"/>
      <c r="BV85" s="197"/>
      <c r="BW85" s="197"/>
      <c r="BX85" s="197"/>
      <c r="BY85" s="197"/>
      <c r="BZ85" s="197"/>
      <c r="CA85" s="197"/>
      <c r="CB85" s="197"/>
    </row>
    <row r="86" spans="1:80" s="23" customFormat="1" ht="13.5" customHeight="1">
      <c r="A86" s="175">
        <v>83</v>
      </c>
      <c r="B86" s="191" t="s">
        <v>988</v>
      </c>
      <c r="C86" s="4" t="s">
        <v>399</v>
      </c>
      <c r="D86" s="4" t="s">
        <v>846</v>
      </c>
      <c r="E86" s="180" t="s">
        <v>846</v>
      </c>
      <c r="F86" s="197" t="s">
        <v>976</v>
      </c>
      <c r="G86" s="197" t="s">
        <v>976</v>
      </c>
      <c r="H86" s="197" t="s">
        <v>976</v>
      </c>
      <c r="I86" s="197" t="s">
        <v>976</v>
      </c>
      <c r="J86" s="197" t="s">
        <v>976</v>
      </c>
      <c r="K86" s="197" t="s">
        <v>976</v>
      </c>
      <c r="L86" s="197" t="s">
        <v>976</v>
      </c>
      <c r="M86" s="197" t="s">
        <v>976</v>
      </c>
      <c r="N86" s="197" t="s">
        <v>414</v>
      </c>
      <c r="O86" s="197" t="s">
        <v>976</v>
      </c>
      <c r="P86" s="197" t="s">
        <v>976</v>
      </c>
      <c r="Q86" s="197" t="s">
        <v>976</v>
      </c>
      <c r="R86" s="197" t="s">
        <v>976</v>
      </c>
      <c r="S86" s="197" t="s">
        <v>976</v>
      </c>
      <c r="T86" s="197" t="s">
        <v>976</v>
      </c>
      <c r="U86" s="197" t="s">
        <v>976</v>
      </c>
      <c r="V86" s="197" t="s">
        <v>414</v>
      </c>
      <c r="W86" s="197" t="s">
        <v>976</v>
      </c>
      <c r="X86" s="197" t="s">
        <v>978</v>
      </c>
      <c r="Y86" s="197" t="s">
        <v>978</v>
      </c>
      <c r="Z86" s="197" t="s">
        <v>978</v>
      </c>
      <c r="AA86" s="197" t="s">
        <v>978</v>
      </c>
      <c r="AB86" s="197"/>
      <c r="AC86" s="197"/>
      <c r="AD86" s="197"/>
      <c r="AE86" s="197"/>
      <c r="AF86" s="197"/>
      <c r="AG86" s="197"/>
      <c r="AH86" s="197"/>
      <c r="AI86" s="197"/>
      <c r="AJ86" s="197"/>
      <c r="AK86" s="197"/>
      <c r="AL86" s="197"/>
      <c r="AM86" s="197"/>
      <c r="AN86" s="197"/>
      <c r="AO86" s="197"/>
      <c r="AP86" s="197"/>
      <c r="AQ86" s="197"/>
      <c r="AR86" s="197"/>
      <c r="AS86" s="197"/>
      <c r="AT86" s="197"/>
      <c r="AU86" s="197"/>
      <c r="AV86" s="197"/>
      <c r="AW86" s="197"/>
      <c r="AX86" s="197"/>
      <c r="AY86" s="197"/>
      <c r="AZ86" s="197"/>
      <c r="BA86" s="197"/>
      <c r="BB86" s="197"/>
      <c r="BC86" s="197"/>
      <c r="BD86" s="197"/>
      <c r="BE86" s="197"/>
      <c r="BF86" s="197"/>
      <c r="BG86" s="197"/>
      <c r="BH86" s="197"/>
      <c r="BI86" s="197"/>
      <c r="BJ86" s="197"/>
      <c r="BK86" s="197"/>
      <c r="BL86" s="197"/>
      <c r="BM86" s="197"/>
      <c r="BN86" s="197"/>
      <c r="BO86" s="197"/>
      <c r="BP86" s="197"/>
      <c r="BQ86" s="197"/>
      <c r="BR86" s="197"/>
      <c r="BS86" s="197"/>
      <c r="BT86" s="197"/>
      <c r="BU86" s="197"/>
      <c r="BV86" s="197"/>
      <c r="BW86" s="197"/>
      <c r="BX86" s="197"/>
      <c r="BY86" s="197"/>
      <c r="BZ86" s="197"/>
      <c r="CA86" s="197"/>
      <c r="CB86" s="197"/>
    </row>
    <row r="87" spans="1:80" s="23" customFormat="1" ht="13.5" customHeight="1">
      <c r="A87" s="175">
        <v>84</v>
      </c>
      <c r="B87" s="191" t="s">
        <v>989</v>
      </c>
      <c r="C87" s="4" t="s">
        <v>399</v>
      </c>
      <c r="D87" s="4" t="s">
        <v>846</v>
      </c>
      <c r="E87" s="180" t="s">
        <v>846</v>
      </c>
      <c r="F87" s="197" t="s">
        <v>978</v>
      </c>
      <c r="G87" s="197" t="s">
        <v>976</v>
      </c>
      <c r="H87" s="197" t="s">
        <v>978</v>
      </c>
      <c r="I87" s="197" t="s">
        <v>978</v>
      </c>
      <c r="J87" s="197" t="s">
        <v>978</v>
      </c>
      <c r="K87" s="197" t="s">
        <v>978</v>
      </c>
      <c r="L87" s="197" t="s">
        <v>978</v>
      </c>
      <c r="M87" s="197" t="s">
        <v>978</v>
      </c>
      <c r="N87" s="197" t="s">
        <v>414</v>
      </c>
      <c r="O87" s="197" t="s">
        <v>978</v>
      </c>
      <c r="P87" s="197" t="s">
        <v>978</v>
      </c>
      <c r="Q87" s="197" t="s">
        <v>978</v>
      </c>
      <c r="R87" s="197" t="s">
        <v>978</v>
      </c>
      <c r="S87" s="197" t="s">
        <v>978</v>
      </c>
      <c r="T87" s="197" t="s">
        <v>978</v>
      </c>
      <c r="U87" s="197" t="s">
        <v>978</v>
      </c>
      <c r="V87" s="197" t="s">
        <v>414</v>
      </c>
      <c r="W87" s="197" t="s">
        <v>978</v>
      </c>
      <c r="X87" s="197" t="s">
        <v>978</v>
      </c>
      <c r="Y87" s="197" t="s">
        <v>978</v>
      </c>
      <c r="Z87" s="197" t="s">
        <v>978</v>
      </c>
      <c r="AA87" s="197" t="s">
        <v>978</v>
      </c>
      <c r="AB87" s="197"/>
      <c r="AC87" s="197"/>
      <c r="AD87" s="197"/>
      <c r="AE87" s="197"/>
      <c r="AF87" s="197"/>
      <c r="AG87" s="197"/>
      <c r="AH87" s="197"/>
      <c r="AI87" s="197"/>
      <c r="AJ87" s="197"/>
      <c r="AK87" s="197"/>
      <c r="AL87" s="197"/>
      <c r="AM87" s="197"/>
      <c r="AN87" s="197"/>
      <c r="AO87" s="197"/>
      <c r="AP87" s="197"/>
      <c r="AQ87" s="197"/>
      <c r="AR87" s="197"/>
      <c r="AS87" s="197"/>
      <c r="AT87" s="197"/>
      <c r="AU87" s="197"/>
      <c r="AV87" s="197"/>
      <c r="AW87" s="197"/>
      <c r="AX87" s="197"/>
      <c r="AY87" s="197"/>
      <c r="AZ87" s="197"/>
      <c r="BA87" s="197"/>
      <c r="BB87" s="197"/>
      <c r="BC87" s="197"/>
      <c r="BD87" s="197"/>
      <c r="BE87" s="197"/>
      <c r="BF87" s="197"/>
      <c r="BG87" s="197"/>
      <c r="BH87" s="197"/>
      <c r="BI87" s="197"/>
      <c r="BJ87" s="197"/>
      <c r="BK87" s="197"/>
      <c r="BL87" s="197"/>
      <c r="BM87" s="197"/>
      <c r="BN87" s="197"/>
      <c r="BO87" s="197"/>
      <c r="BP87" s="197"/>
      <c r="BQ87" s="197"/>
      <c r="BR87" s="197"/>
      <c r="BS87" s="197"/>
      <c r="BT87" s="197"/>
      <c r="BU87" s="197"/>
      <c r="BV87" s="197"/>
      <c r="BW87" s="197"/>
      <c r="BX87" s="197"/>
      <c r="BY87" s="197"/>
      <c r="BZ87" s="197"/>
      <c r="CA87" s="197"/>
      <c r="CB87" s="197"/>
    </row>
    <row r="88" spans="1:80" s="23" customFormat="1" ht="13.5" customHeight="1">
      <c r="A88" s="175">
        <v>85</v>
      </c>
      <c r="B88" s="191" t="s">
        <v>990</v>
      </c>
      <c r="C88" s="4" t="s">
        <v>399</v>
      </c>
      <c r="D88" s="4" t="s">
        <v>846</v>
      </c>
      <c r="E88" s="180" t="s">
        <v>846</v>
      </c>
      <c r="F88" s="197" t="s">
        <v>976</v>
      </c>
      <c r="G88" s="197" t="s">
        <v>976</v>
      </c>
      <c r="H88" s="197" t="s">
        <v>976</v>
      </c>
      <c r="I88" s="197" t="s">
        <v>976</v>
      </c>
      <c r="J88" s="197" t="s">
        <v>976</v>
      </c>
      <c r="K88" s="197" t="s">
        <v>976</v>
      </c>
      <c r="L88" s="197" t="s">
        <v>976</v>
      </c>
      <c r="M88" s="197" t="s">
        <v>976</v>
      </c>
      <c r="N88" s="197" t="s">
        <v>414</v>
      </c>
      <c r="O88" s="197" t="s">
        <v>976</v>
      </c>
      <c r="P88" s="197" t="s">
        <v>976</v>
      </c>
      <c r="Q88" s="197" t="s">
        <v>976</v>
      </c>
      <c r="R88" s="197" t="s">
        <v>976</v>
      </c>
      <c r="S88" s="197" t="s">
        <v>976</v>
      </c>
      <c r="T88" s="197" t="s">
        <v>976</v>
      </c>
      <c r="U88" s="197" t="s">
        <v>976</v>
      </c>
      <c r="V88" s="197" t="s">
        <v>414</v>
      </c>
      <c r="W88" s="197" t="s">
        <v>976</v>
      </c>
      <c r="X88" s="197" t="s">
        <v>976</v>
      </c>
      <c r="Y88" s="197" t="s">
        <v>976</v>
      </c>
      <c r="Z88" s="197" t="s">
        <v>976</v>
      </c>
      <c r="AA88" s="197" t="s">
        <v>976</v>
      </c>
      <c r="AB88" s="197"/>
      <c r="AC88" s="197"/>
      <c r="AD88" s="197"/>
      <c r="AE88" s="197"/>
      <c r="AF88" s="197"/>
      <c r="AG88" s="197"/>
      <c r="AH88" s="197"/>
      <c r="AI88" s="197"/>
      <c r="AJ88" s="197"/>
      <c r="AK88" s="197"/>
      <c r="AL88" s="197"/>
      <c r="AM88" s="197"/>
      <c r="AN88" s="197"/>
      <c r="AO88" s="197"/>
      <c r="AP88" s="197"/>
      <c r="AQ88" s="197"/>
      <c r="AR88" s="197"/>
      <c r="AS88" s="197"/>
      <c r="AT88" s="197"/>
      <c r="AU88" s="197"/>
      <c r="AV88" s="197"/>
      <c r="AW88" s="197"/>
      <c r="AX88" s="197"/>
      <c r="AY88" s="197"/>
      <c r="AZ88" s="197"/>
      <c r="BA88" s="197"/>
      <c r="BB88" s="197"/>
      <c r="BC88" s="197"/>
      <c r="BD88" s="197"/>
      <c r="BE88" s="197"/>
      <c r="BF88" s="197"/>
      <c r="BG88" s="197"/>
      <c r="BH88" s="197"/>
      <c r="BI88" s="197"/>
      <c r="BJ88" s="197"/>
      <c r="BK88" s="197"/>
      <c r="BL88" s="197"/>
      <c r="BM88" s="197"/>
      <c r="BN88" s="197"/>
      <c r="BO88" s="197"/>
      <c r="BP88" s="197"/>
      <c r="BQ88" s="197"/>
      <c r="BR88" s="197"/>
      <c r="BS88" s="197"/>
      <c r="BT88" s="197"/>
      <c r="BU88" s="197"/>
      <c r="BV88" s="197"/>
      <c r="BW88" s="197"/>
      <c r="BX88" s="197"/>
      <c r="BY88" s="197"/>
      <c r="BZ88" s="197"/>
      <c r="CA88" s="197"/>
      <c r="CB88" s="197"/>
    </row>
    <row r="89" spans="1:80" s="23" customFormat="1" ht="13.5" customHeight="1">
      <c r="A89" s="175">
        <v>86</v>
      </c>
      <c r="B89" s="191" t="s">
        <v>991</v>
      </c>
      <c r="C89" s="4" t="s">
        <v>399</v>
      </c>
      <c r="D89" s="4" t="s">
        <v>846</v>
      </c>
      <c r="E89" s="180" t="s">
        <v>846</v>
      </c>
      <c r="F89" s="197" t="s">
        <v>992</v>
      </c>
      <c r="G89" s="197" t="s">
        <v>992</v>
      </c>
      <c r="H89" s="197" t="s">
        <v>992</v>
      </c>
      <c r="I89" s="197" t="s">
        <v>992</v>
      </c>
      <c r="J89" s="197" t="s">
        <v>992</v>
      </c>
      <c r="K89" s="197" t="s">
        <v>992</v>
      </c>
      <c r="L89" s="197" t="s">
        <v>992</v>
      </c>
      <c r="M89" s="197" t="s">
        <v>992</v>
      </c>
      <c r="N89" s="197" t="s">
        <v>414</v>
      </c>
      <c r="O89" s="197" t="s">
        <v>992</v>
      </c>
      <c r="P89" s="197" t="s">
        <v>992</v>
      </c>
      <c r="Q89" s="197" t="s">
        <v>992</v>
      </c>
      <c r="R89" s="197" t="s">
        <v>992</v>
      </c>
      <c r="S89" s="197" t="s">
        <v>992</v>
      </c>
      <c r="T89" s="197" t="s">
        <v>992</v>
      </c>
      <c r="U89" s="197" t="s">
        <v>992</v>
      </c>
      <c r="V89" s="197" t="s">
        <v>414</v>
      </c>
      <c r="W89" s="197" t="s">
        <v>992</v>
      </c>
      <c r="X89" s="197" t="s">
        <v>992</v>
      </c>
      <c r="Y89" s="197" t="s">
        <v>992</v>
      </c>
      <c r="Z89" s="197" t="s">
        <v>992</v>
      </c>
      <c r="AA89" s="197" t="s">
        <v>992</v>
      </c>
      <c r="AB89" s="197"/>
      <c r="AC89" s="197"/>
      <c r="AD89" s="197"/>
      <c r="AE89" s="197"/>
      <c r="AF89" s="197"/>
      <c r="AG89" s="197"/>
      <c r="AH89" s="197"/>
      <c r="AI89" s="197"/>
      <c r="AJ89" s="197"/>
      <c r="AK89" s="197"/>
      <c r="AL89" s="197"/>
      <c r="AM89" s="197"/>
      <c r="AN89" s="197"/>
      <c r="AO89" s="197"/>
      <c r="AP89" s="197"/>
      <c r="AQ89" s="197"/>
      <c r="AR89" s="197"/>
      <c r="AS89" s="197"/>
      <c r="AT89" s="197"/>
      <c r="AU89" s="197"/>
      <c r="AV89" s="197"/>
      <c r="AW89" s="197"/>
      <c r="AX89" s="197"/>
      <c r="AY89" s="197"/>
      <c r="AZ89" s="197"/>
      <c r="BA89" s="197"/>
      <c r="BB89" s="197"/>
      <c r="BC89" s="197"/>
      <c r="BD89" s="197"/>
      <c r="BE89" s="197"/>
      <c r="BF89" s="197"/>
      <c r="BG89" s="197"/>
      <c r="BH89" s="197"/>
      <c r="BI89" s="197"/>
      <c r="BJ89" s="197"/>
      <c r="BK89" s="197"/>
      <c r="BL89" s="197"/>
      <c r="BM89" s="197"/>
      <c r="BN89" s="197"/>
      <c r="BO89" s="197"/>
      <c r="BP89" s="197"/>
      <c r="BQ89" s="197"/>
      <c r="BR89" s="197"/>
      <c r="BS89" s="197"/>
      <c r="BT89" s="197"/>
      <c r="BU89" s="197"/>
      <c r="BV89" s="197"/>
      <c r="BW89" s="197"/>
      <c r="BX89" s="197"/>
      <c r="BY89" s="197"/>
      <c r="BZ89" s="197"/>
      <c r="CA89" s="197"/>
      <c r="CB89" s="197"/>
    </row>
    <row r="90" spans="1:80" ht="13.5" customHeight="1">
      <c r="A90" s="351">
        <v>87</v>
      </c>
      <c r="B90" s="196" t="s">
        <v>993</v>
      </c>
      <c r="C90" s="4" t="s">
        <v>846</v>
      </c>
      <c r="D90" s="4" t="s">
        <v>846</v>
      </c>
      <c r="E90" s="180" t="s">
        <v>846</v>
      </c>
      <c r="F90" s="5" t="s">
        <v>846</v>
      </c>
      <c r="G90" s="5" t="s">
        <v>846</v>
      </c>
      <c r="H90" s="5" t="s">
        <v>846</v>
      </c>
      <c r="I90" s="5" t="s">
        <v>846</v>
      </c>
      <c r="J90" s="5" t="s">
        <v>846</v>
      </c>
      <c r="K90" s="5" t="s">
        <v>846</v>
      </c>
      <c r="L90" s="5" t="s">
        <v>846</v>
      </c>
      <c r="M90" s="5" t="s">
        <v>846</v>
      </c>
      <c r="N90" s="5" t="s">
        <v>846</v>
      </c>
      <c r="O90" s="5" t="s">
        <v>846</v>
      </c>
      <c r="P90" s="5" t="s">
        <v>846</v>
      </c>
      <c r="Q90" s="5" t="s">
        <v>846</v>
      </c>
      <c r="R90" s="5" t="s">
        <v>846</v>
      </c>
      <c r="S90" s="5" t="s">
        <v>846</v>
      </c>
      <c r="T90" s="5" t="s">
        <v>846</v>
      </c>
      <c r="U90" s="5" t="s">
        <v>846</v>
      </c>
      <c r="V90" s="5" t="s">
        <v>846</v>
      </c>
      <c r="W90" s="5" t="s">
        <v>846</v>
      </c>
      <c r="X90" s="5" t="s">
        <v>846</v>
      </c>
      <c r="Y90" s="5" t="s">
        <v>846</v>
      </c>
      <c r="Z90" s="5" t="s">
        <v>846</v>
      </c>
      <c r="AA90" s="5" t="s">
        <v>846</v>
      </c>
      <c r="AB90" s="5" t="s">
        <v>846</v>
      </c>
      <c r="AC90" s="5" t="s">
        <v>846</v>
      </c>
      <c r="AD90" s="5" t="s">
        <v>846</v>
      </c>
      <c r="AE90" s="5" t="s">
        <v>846</v>
      </c>
      <c r="AF90" s="5" t="s">
        <v>846</v>
      </c>
      <c r="AG90" s="5" t="s">
        <v>846</v>
      </c>
      <c r="AH90" s="5" t="s">
        <v>846</v>
      </c>
      <c r="AI90" s="5" t="s">
        <v>846</v>
      </c>
      <c r="AJ90" s="5" t="s">
        <v>846</v>
      </c>
      <c r="AK90" s="5" t="s">
        <v>846</v>
      </c>
      <c r="AL90" s="5" t="s">
        <v>846</v>
      </c>
      <c r="AM90" s="5" t="s">
        <v>846</v>
      </c>
      <c r="AN90" s="5" t="s">
        <v>846</v>
      </c>
      <c r="AO90" s="5" t="s">
        <v>846</v>
      </c>
      <c r="AP90" s="5" t="s">
        <v>846</v>
      </c>
      <c r="AQ90" s="5" t="s">
        <v>846</v>
      </c>
      <c r="AR90" s="5" t="s">
        <v>846</v>
      </c>
      <c r="AS90" s="5" t="s">
        <v>846</v>
      </c>
      <c r="AT90" s="5" t="s">
        <v>846</v>
      </c>
      <c r="AU90" s="5" t="s">
        <v>846</v>
      </c>
      <c r="AV90" s="5" t="s">
        <v>846</v>
      </c>
      <c r="AW90" s="5" t="s">
        <v>846</v>
      </c>
      <c r="AX90" s="5" t="s">
        <v>846</v>
      </c>
      <c r="AY90" s="5" t="s">
        <v>846</v>
      </c>
      <c r="AZ90" s="5" t="s">
        <v>846</v>
      </c>
      <c r="BA90" s="5" t="s">
        <v>846</v>
      </c>
      <c r="BB90" s="5" t="s">
        <v>846</v>
      </c>
      <c r="BC90" s="5" t="s">
        <v>846</v>
      </c>
      <c r="BD90" s="5" t="s">
        <v>846</v>
      </c>
      <c r="BE90" s="5" t="s">
        <v>846</v>
      </c>
      <c r="BF90" s="5" t="s">
        <v>846</v>
      </c>
      <c r="BG90" s="5" t="s">
        <v>846</v>
      </c>
      <c r="BH90" s="5" t="s">
        <v>846</v>
      </c>
      <c r="BI90" s="5" t="s">
        <v>846</v>
      </c>
      <c r="BJ90" s="5" t="s">
        <v>846</v>
      </c>
      <c r="BK90" s="5" t="s">
        <v>846</v>
      </c>
      <c r="BL90" s="5" t="s">
        <v>846</v>
      </c>
      <c r="BM90" s="5" t="s">
        <v>846</v>
      </c>
      <c r="BN90" s="5" t="s">
        <v>846</v>
      </c>
      <c r="BO90" s="5" t="s">
        <v>846</v>
      </c>
      <c r="BP90" s="5" t="s">
        <v>846</v>
      </c>
      <c r="BQ90" s="5" t="s">
        <v>846</v>
      </c>
      <c r="BR90" s="5" t="s">
        <v>846</v>
      </c>
      <c r="BS90" s="5" t="s">
        <v>846</v>
      </c>
      <c r="BT90" s="5" t="s">
        <v>846</v>
      </c>
      <c r="BU90" s="5" t="s">
        <v>846</v>
      </c>
      <c r="BV90" s="5" t="s">
        <v>846</v>
      </c>
      <c r="BW90" s="5" t="s">
        <v>846</v>
      </c>
      <c r="BX90" s="5" t="s">
        <v>846</v>
      </c>
      <c r="BY90" s="5" t="s">
        <v>846</v>
      </c>
      <c r="BZ90" s="5" t="s">
        <v>846</v>
      </c>
      <c r="CA90" s="5" t="s">
        <v>846</v>
      </c>
      <c r="CB90" s="5" t="s">
        <v>846</v>
      </c>
    </row>
    <row r="91" spans="1:80" s="23" customFormat="1" ht="13.5" customHeight="1">
      <c r="A91" s="175">
        <v>88</v>
      </c>
      <c r="B91" s="8" t="s">
        <v>994</v>
      </c>
      <c r="C91" s="182" t="s">
        <v>901</v>
      </c>
      <c r="D91" s="4" t="s">
        <v>846</v>
      </c>
      <c r="E91" s="180" t="s">
        <v>846</v>
      </c>
      <c r="F91" s="200">
        <v>501000</v>
      </c>
      <c r="G91" s="200">
        <v>117000</v>
      </c>
      <c r="H91" s="200">
        <v>366000</v>
      </c>
      <c r="I91" s="200">
        <v>162100</v>
      </c>
      <c r="J91" s="200">
        <v>646000</v>
      </c>
      <c r="K91" s="200">
        <v>412000</v>
      </c>
      <c r="L91" s="200">
        <v>220000</v>
      </c>
      <c r="M91" s="200">
        <v>434000</v>
      </c>
      <c r="N91" s="200" t="s">
        <v>414</v>
      </c>
      <c r="O91" s="200">
        <v>436000</v>
      </c>
      <c r="P91" s="200">
        <v>420000</v>
      </c>
      <c r="Q91" s="200">
        <v>565000</v>
      </c>
      <c r="R91" s="200">
        <v>565000</v>
      </c>
      <c r="S91" s="200">
        <v>565000</v>
      </c>
      <c r="T91" s="200">
        <v>565000</v>
      </c>
      <c r="U91" s="200">
        <v>565000</v>
      </c>
      <c r="V91" s="200" t="s">
        <v>414</v>
      </c>
      <c r="W91" s="200">
        <v>655000</v>
      </c>
      <c r="X91" s="200">
        <v>565000</v>
      </c>
      <c r="Y91" s="200">
        <v>565000</v>
      </c>
      <c r="Z91" s="200">
        <v>565000</v>
      </c>
      <c r="AA91" s="200">
        <v>565000</v>
      </c>
      <c r="AB91" s="200"/>
      <c r="AC91" s="200"/>
      <c r="AD91" s="200"/>
      <c r="AE91" s="200"/>
      <c r="AF91" s="200"/>
      <c r="AG91" s="200"/>
      <c r="AH91" s="200"/>
      <c r="AI91" s="200"/>
      <c r="AJ91" s="200"/>
      <c r="AK91" s="200"/>
      <c r="AL91" s="200"/>
      <c r="AM91" s="200"/>
      <c r="AN91" s="200"/>
      <c r="AO91" s="200"/>
      <c r="AP91" s="200"/>
      <c r="AQ91" s="200"/>
      <c r="AR91" s="200"/>
      <c r="AS91" s="200"/>
      <c r="AT91" s="200"/>
      <c r="AU91" s="200"/>
      <c r="AV91" s="200"/>
      <c r="AW91" s="200"/>
      <c r="AX91" s="200"/>
      <c r="AY91" s="200"/>
      <c r="AZ91" s="200"/>
      <c r="BA91" s="200"/>
      <c r="BB91" s="200"/>
      <c r="BC91" s="200"/>
      <c r="BD91" s="200"/>
      <c r="BE91" s="200"/>
      <c r="BF91" s="200"/>
      <c r="BG91" s="200"/>
      <c r="BH91" s="200"/>
      <c r="BI91" s="200"/>
      <c r="BJ91" s="200"/>
      <c r="BK91" s="200"/>
      <c r="BL91" s="200"/>
      <c r="BM91" s="200"/>
      <c r="BN91" s="200"/>
      <c r="BO91" s="200"/>
      <c r="BP91" s="200"/>
      <c r="BQ91" s="200"/>
      <c r="BR91" s="200"/>
      <c r="BS91" s="200"/>
      <c r="BT91" s="200"/>
      <c r="BU91" s="200"/>
      <c r="BV91" s="200"/>
      <c r="BW91" s="200"/>
      <c r="BX91" s="200"/>
      <c r="BY91" s="200"/>
      <c r="BZ91" s="200"/>
      <c r="CA91" s="200"/>
      <c r="CB91" s="200"/>
    </row>
    <row r="92" spans="1:80" s="23" customFormat="1" ht="13.5" customHeight="1">
      <c r="A92" s="175">
        <v>89</v>
      </c>
      <c r="B92" s="8" t="s">
        <v>995</v>
      </c>
      <c r="C92" s="4" t="s">
        <v>399</v>
      </c>
      <c r="D92" s="4" t="s">
        <v>846</v>
      </c>
      <c r="E92" s="180" t="s">
        <v>846</v>
      </c>
      <c r="F92" s="197" t="s">
        <v>923</v>
      </c>
      <c r="G92" s="197" t="s">
        <v>924</v>
      </c>
      <c r="H92" s="197" t="s">
        <v>925</v>
      </c>
      <c r="I92" s="197" t="s">
        <v>926</v>
      </c>
      <c r="J92" s="197" t="s">
        <v>927</v>
      </c>
      <c r="K92" s="197" t="s">
        <v>928</v>
      </c>
      <c r="L92" s="197" t="s">
        <v>929</v>
      </c>
      <c r="M92" s="197" t="s">
        <v>930</v>
      </c>
      <c r="N92" s="197" t="s">
        <v>414</v>
      </c>
      <c r="O92" s="197" t="s">
        <v>931</v>
      </c>
      <c r="P92" s="197" t="s">
        <v>932</v>
      </c>
      <c r="Q92" s="197" t="s">
        <v>933</v>
      </c>
      <c r="R92" s="197" t="s">
        <v>933</v>
      </c>
      <c r="S92" s="197" t="s">
        <v>933</v>
      </c>
      <c r="T92" s="197" t="s">
        <v>933</v>
      </c>
      <c r="U92" s="197" t="s">
        <v>933</v>
      </c>
      <c r="V92" s="197" t="s">
        <v>414</v>
      </c>
      <c r="W92" s="197" t="s">
        <v>937</v>
      </c>
      <c r="X92" s="197" t="s">
        <v>933</v>
      </c>
      <c r="Y92" s="197" t="s">
        <v>933</v>
      </c>
      <c r="Z92" s="197" t="s">
        <v>933</v>
      </c>
      <c r="AA92" s="197" t="s">
        <v>933</v>
      </c>
      <c r="AB92" s="197"/>
      <c r="AC92" s="197"/>
      <c r="AD92" s="197"/>
      <c r="AE92" s="197"/>
      <c r="AF92" s="197"/>
      <c r="AG92" s="197"/>
      <c r="AH92" s="197"/>
      <c r="AI92" s="197"/>
      <c r="AJ92" s="197"/>
      <c r="AK92" s="197"/>
      <c r="AL92" s="197"/>
      <c r="AM92" s="197"/>
      <c r="AN92" s="197"/>
      <c r="AO92" s="197"/>
      <c r="AP92" s="197"/>
      <c r="AQ92" s="197"/>
      <c r="AR92" s="197"/>
      <c r="AS92" s="197"/>
      <c r="AT92" s="197"/>
      <c r="AU92" s="197"/>
      <c r="AV92" s="197"/>
      <c r="AW92" s="197"/>
      <c r="AX92" s="197"/>
      <c r="AY92" s="197"/>
      <c r="AZ92" s="197"/>
      <c r="BA92" s="197"/>
      <c r="BB92" s="197"/>
      <c r="BC92" s="197"/>
      <c r="BD92" s="197"/>
      <c r="BE92" s="197"/>
      <c r="BF92" s="197"/>
      <c r="BG92" s="197"/>
      <c r="BH92" s="197"/>
      <c r="BI92" s="197"/>
      <c r="BJ92" s="197"/>
      <c r="BK92" s="197"/>
      <c r="BL92" s="197"/>
      <c r="BM92" s="197"/>
      <c r="BN92" s="197"/>
      <c r="BO92" s="197"/>
      <c r="BP92" s="197"/>
      <c r="BQ92" s="197"/>
      <c r="BR92" s="197"/>
      <c r="BS92" s="197"/>
      <c r="BT92" s="197"/>
      <c r="BU92" s="197"/>
      <c r="BV92" s="197"/>
      <c r="BW92" s="197"/>
      <c r="BX92" s="197"/>
      <c r="BY92" s="197"/>
      <c r="BZ92" s="197"/>
      <c r="CA92" s="197"/>
      <c r="CB92" s="197"/>
    </row>
    <row r="93" spans="1:80" s="23" customFormat="1" ht="13.5" customHeight="1">
      <c r="A93" s="175">
        <v>90</v>
      </c>
      <c r="B93" s="8" t="s">
        <v>996</v>
      </c>
      <c r="C93" s="182" t="s">
        <v>901</v>
      </c>
      <c r="D93" s="4" t="s">
        <v>846</v>
      </c>
      <c r="E93" s="180" t="s">
        <v>846</v>
      </c>
      <c r="F93" s="200">
        <v>501000</v>
      </c>
      <c r="G93" s="200">
        <v>117000</v>
      </c>
      <c r="H93" s="200">
        <v>366000</v>
      </c>
      <c r="I93" s="200">
        <v>162100</v>
      </c>
      <c r="J93" s="200">
        <v>646000</v>
      </c>
      <c r="K93" s="200">
        <v>412000</v>
      </c>
      <c r="L93" s="200">
        <v>220000</v>
      </c>
      <c r="M93" s="200">
        <v>434000</v>
      </c>
      <c r="N93" s="200" t="s">
        <v>414</v>
      </c>
      <c r="O93" s="200">
        <v>436000</v>
      </c>
      <c r="P93" s="200">
        <v>420000</v>
      </c>
      <c r="Q93" s="200">
        <v>565000</v>
      </c>
      <c r="R93" s="200">
        <v>565000</v>
      </c>
      <c r="S93" s="200">
        <v>565000</v>
      </c>
      <c r="T93" s="200">
        <v>565000</v>
      </c>
      <c r="U93" s="200">
        <v>565000</v>
      </c>
      <c r="V93" s="200" t="s">
        <v>414</v>
      </c>
      <c r="W93" s="200">
        <v>655000</v>
      </c>
      <c r="X93" s="200">
        <v>565000</v>
      </c>
      <c r="Y93" s="200">
        <v>565000</v>
      </c>
      <c r="Z93" s="200">
        <v>565000</v>
      </c>
      <c r="AA93" s="200">
        <v>565000</v>
      </c>
      <c r="AB93" s="200"/>
      <c r="AC93" s="200"/>
      <c r="AD93" s="200"/>
      <c r="AE93" s="200"/>
      <c r="AF93" s="200"/>
      <c r="AG93" s="200"/>
      <c r="AH93" s="200"/>
      <c r="AI93" s="200"/>
      <c r="AJ93" s="200"/>
      <c r="AK93" s="200"/>
      <c r="AL93" s="200"/>
      <c r="AM93" s="200"/>
      <c r="AN93" s="200"/>
      <c r="AO93" s="200"/>
      <c r="AP93" s="200"/>
      <c r="AQ93" s="200"/>
      <c r="AR93" s="200"/>
      <c r="AS93" s="200"/>
      <c r="AT93" s="200"/>
      <c r="AU93" s="200"/>
      <c r="AV93" s="200"/>
      <c r="AW93" s="200"/>
      <c r="AX93" s="200"/>
      <c r="AY93" s="200"/>
      <c r="AZ93" s="200"/>
      <c r="BA93" s="200"/>
      <c r="BB93" s="200"/>
      <c r="BC93" s="200"/>
      <c r="BD93" s="200"/>
      <c r="BE93" s="200"/>
      <c r="BF93" s="200"/>
      <c r="BG93" s="200"/>
      <c r="BH93" s="200"/>
      <c r="BI93" s="200"/>
      <c r="BJ93" s="200"/>
      <c r="BK93" s="200"/>
      <c r="BL93" s="200"/>
      <c r="BM93" s="200"/>
      <c r="BN93" s="200"/>
      <c r="BO93" s="200"/>
      <c r="BP93" s="200"/>
      <c r="BQ93" s="200"/>
      <c r="BR93" s="200"/>
      <c r="BS93" s="200"/>
      <c r="BT93" s="200"/>
      <c r="BU93" s="200"/>
      <c r="BV93" s="200"/>
      <c r="BW93" s="200"/>
      <c r="BX93" s="200"/>
      <c r="BY93" s="200"/>
      <c r="BZ93" s="200"/>
      <c r="CA93" s="200"/>
      <c r="CB93" s="200"/>
    </row>
    <row r="94" spans="1:80" s="23" customFormat="1" ht="13.5" customHeight="1">
      <c r="A94" s="175">
        <v>91</v>
      </c>
      <c r="B94" s="8" t="s">
        <v>997</v>
      </c>
      <c r="C94" s="4" t="s">
        <v>399</v>
      </c>
      <c r="D94" s="4" t="s">
        <v>846</v>
      </c>
      <c r="E94" s="180" t="s">
        <v>846</v>
      </c>
      <c r="F94" s="197" t="s">
        <v>923</v>
      </c>
      <c r="G94" s="197" t="s">
        <v>924</v>
      </c>
      <c r="H94" s="197" t="s">
        <v>925</v>
      </c>
      <c r="I94" s="197" t="s">
        <v>926</v>
      </c>
      <c r="J94" s="197" t="s">
        <v>927</v>
      </c>
      <c r="K94" s="197" t="s">
        <v>928</v>
      </c>
      <c r="L94" s="197" t="s">
        <v>929</v>
      </c>
      <c r="M94" s="197" t="s">
        <v>930</v>
      </c>
      <c r="N94" s="197" t="s">
        <v>414</v>
      </c>
      <c r="O94" s="197" t="s">
        <v>931</v>
      </c>
      <c r="P94" s="197" t="s">
        <v>932</v>
      </c>
      <c r="Q94" s="197" t="s">
        <v>933</v>
      </c>
      <c r="R94" s="197" t="s">
        <v>933</v>
      </c>
      <c r="S94" s="197" t="s">
        <v>933</v>
      </c>
      <c r="T94" s="197" t="s">
        <v>933</v>
      </c>
      <c r="U94" s="197" t="s">
        <v>933</v>
      </c>
      <c r="V94" s="197" t="s">
        <v>414</v>
      </c>
      <c r="W94" s="197" t="s">
        <v>937</v>
      </c>
      <c r="X94" s="197" t="s">
        <v>933</v>
      </c>
      <c r="Y94" s="197" t="s">
        <v>933</v>
      </c>
      <c r="Z94" s="197" t="s">
        <v>933</v>
      </c>
      <c r="AA94" s="197" t="s">
        <v>933</v>
      </c>
      <c r="AB94" s="197"/>
      <c r="AC94" s="197"/>
      <c r="AD94" s="197"/>
      <c r="AE94" s="197"/>
      <c r="AF94" s="197"/>
      <c r="AG94" s="197"/>
      <c r="AH94" s="197"/>
      <c r="AI94" s="197"/>
      <c r="AJ94" s="197"/>
      <c r="AK94" s="197"/>
      <c r="AL94" s="197"/>
      <c r="AM94" s="197"/>
      <c r="AN94" s="197"/>
      <c r="AO94" s="197"/>
      <c r="AP94" s="197"/>
      <c r="AQ94" s="197"/>
      <c r="AR94" s="197"/>
      <c r="AS94" s="197"/>
      <c r="AT94" s="197"/>
      <c r="AU94" s="197"/>
      <c r="AV94" s="197"/>
      <c r="AW94" s="197"/>
      <c r="AX94" s="197"/>
      <c r="AY94" s="197"/>
      <c r="AZ94" s="197"/>
      <c r="BA94" s="197"/>
      <c r="BB94" s="197"/>
      <c r="BC94" s="197"/>
      <c r="BD94" s="197"/>
      <c r="BE94" s="197"/>
      <c r="BF94" s="197"/>
      <c r="BG94" s="197"/>
      <c r="BH94" s="197"/>
      <c r="BI94" s="197"/>
      <c r="BJ94" s="197"/>
      <c r="BK94" s="197"/>
      <c r="BL94" s="197"/>
      <c r="BM94" s="197"/>
      <c r="BN94" s="197"/>
      <c r="BO94" s="197"/>
      <c r="BP94" s="197"/>
      <c r="BQ94" s="197"/>
      <c r="BR94" s="197"/>
      <c r="BS94" s="197"/>
      <c r="BT94" s="197"/>
      <c r="BU94" s="197"/>
      <c r="BV94" s="197"/>
      <c r="BW94" s="197"/>
      <c r="BX94" s="197"/>
      <c r="BY94" s="197"/>
      <c r="BZ94" s="197"/>
      <c r="CA94" s="197"/>
      <c r="CB94" s="197"/>
    </row>
    <row r="95" spans="1:80" s="23" customFormat="1" ht="13.5" customHeight="1">
      <c r="A95" s="175">
        <v>92</v>
      </c>
      <c r="B95" s="8" t="s">
        <v>998</v>
      </c>
      <c r="C95" s="182" t="s">
        <v>901</v>
      </c>
      <c r="D95" s="4" t="s">
        <v>846</v>
      </c>
      <c r="E95" s="180" t="s">
        <v>846</v>
      </c>
      <c r="F95" s="200">
        <v>501000</v>
      </c>
      <c r="G95" s="200">
        <v>117000</v>
      </c>
      <c r="H95" s="200">
        <v>366000</v>
      </c>
      <c r="I95" s="200">
        <v>162100</v>
      </c>
      <c r="J95" s="200">
        <v>646000</v>
      </c>
      <c r="K95" s="200">
        <v>412000</v>
      </c>
      <c r="L95" s="200">
        <v>220000</v>
      </c>
      <c r="M95" s="200">
        <v>434000</v>
      </c>
      <c r="N95" s="200" t="s">
        <v>414</v>
      </c>
      <c r="O95" s="200">
        <v>436000</v>
      </c>
      <c r="P95" s="200">
        <v>420000</v>
      </c>
      <c r="Q95" s="200">
        <v>565000</v>
      </c>
      <c r="R95" s="200">
        <v>565000</v>
      </c>
      <c r="S95" s="200">
        <v>565000</v>
      </c>
      <c r="T95" s="200">
        <v>565000</v>
      </c>
      <c r="U95" s="200">
        <v>565000</v>
      </c>
      <c r="V95" s="200" t="s">
        <v>414</v>
      </c>
      <c r="W95" s="200">
        <v>655000</v>
      </c>
      <c r="X95" s="200">
        <v>565000</v>
      </c>
      <c r="Y95" s="200">
        <v>565000</v>
      </c>
      <c r="Z95" s="200">
        <v>565000</v>
      </c>
      <c r="AA95" s="200">
        <v>565000</v>
      </c>
      <c r="AB95" s="200"/>
      <c r="AC95" s="200"/>
      <c r="AD95" s="200"/>
      <c r="AE95" s="200"/>
      <c r="AF95" s="200"/>
      <c r="AG95" s="200"/>
      <c r="AH95" s="200"/>
      <c r="AI95" s="200"/>
      <c r="AJ95" s="200"/>
      <c r="AK95" s="200"/>
      <c r="AL95" s="200"/>
      <c r="AM95" s="200"/>
      <c r="AN95" s="200"/>
      <c r="AO95" s="200"/>
      <c r="AP95" s="200"/>
      <c r="AQ95" s="200"/>
      <c r="AR95" s="200"/>
      <c r="AS95" s="200"/>
      <c r="AT95" s="200"/>
      <c r="AU95" s="200"/>
      <c r="AV95" s="200"/>
      <c r="AW95" s="200"/>
      <c r="AX95" s="200"/>
      <c r="AY95" s="200"/>
      <c r="AZ95" s="200"/>
      <c r="BA95" s="200"/>
      <c r="BB95" s="200"/>
      <c r="BC95" s="200"/>
      <c r="BD95" s="200"/>
      <c r="BE95" s="200"/>
      <c r="BF95" s="200"/>
      <c r="BG95" s="200"/>
      <c r="BH95" s="200"/>
      <c r="BI95" s="200"/>
      <c r="BJ95" s="200"/>
      <c r="BK95" s="200"/>
      <c r="BL95" s="200"/>
      <c r="BM95" s="200"/>
      <c r="BN95" s="200"/>
      <c r="BO95" s="200"/>
      <c r="BP95" s="200"/>
      <c r="BQ95" s="200"/>
      <c r="BR95" s="200"/>
      <c r="BS95" s="200"/>
      <c r="BT95" s="200"/>
      <c r="BU95" s="200"/>
      <c r="BV95" s="200"/>
      <c r="BW95" s="200"/>
      <c r="BX95" s="200"/>
      <c r="BY95" s="200"/>
      <c r="BZ95" s="200"/>
      <c r="CA95" s="200"/>
      <c r="CB95" s="200"/>
    </row>
    <row r="96" spans="1:80" s="23" customFormat="1" ht="13.5" customHeight="1">
      <c r="A96" s="175">
        <v>93</v>
      </c>
      <c r="B96" s="8" t="s">
        <v>999</v>
      </c>
      <c r="C96" s="4" t="s">
        <v>399</v>
      </c>
      <c r="D96" s="4" t="s">
        <v>846</v>
      </c>
      <c r="E96" s="180" t="s">
        <v>846</v>
      </c>
      <c r="F96" s="197" t="s">
        <v>923</v>
      </c>
      <c r="G96" s="197" t="s">
        <v>924</v>
      </c>
      <c r="H96" s="197" t="s">
        <v>925</v>
      </c>
      <c r="I96" s="197" t="s">
        <v>926</v>
      </c>
      <c r="J96" s="197" t="s">
        <v>927</v>
      </c>
      <c r="K96" s="197" t="s">
        <v>928</v>
      </c>
      <c r="L96" s="197" t="s">
        <v>929</v>
      </c>
      <c r="M96" s="197" t="s">
        <v>930</v>
      </c>
      <c r="N96" s="200" t="s">
        <v>414</v>
      </c>
      <c r="O96" s="197" t="s">
        <v>931</v>
      </c>
      <c r="P96" s="197" t="s">
        <v>932</v>
      </c>
      <c r="Q96" s="197" t="s">
        <v>933</v>
      </c>
      <c r="R96" s="197" t="s">
        <v>933</v>
      </c>
      <c r="S96" s="197" t="s">
        <v>933</v>
      </c>
      <c r="T96" s="197" t="s">
        <v>933</v>
      </c>
      <c r="U96" s="197" t="s">
        <v>933</v>
      </c>
      <c r="V96" s="200" t="s">
        <v>414</v>
      </c>
      <c r="W96" s="197" t="s">
        <v>937</v>
      </c>
      <c r="X96" s="197" t="s">
        <v>933</v>
      </c>
      <c r="Y96" s="197" t="s">
        <v>933</v>
      </c>
      <c r="Z96" s="197" t="s">
        <v>933</v>
      </c>
      <c r="AA96" s="197" t="s">
        <v>933</v>
      </c>
      <c r="AB96" s="197"/>
      <c r="AC96" s="197"/>
      <c r="AD96" s="197"/>
      <c r="AE96" s="197"/>
      <c r="AF96" s="197"/>
      <c r="AG96" s="197"/>
      <c r="AH96" s="197"/>
      <c r="AI96" s="197"/>
      <c r="AJ96" s="197"/>
      <c r="AK96" s="197"/>
      <c r="AL96" s="197"/>
      <c r="AM96" s="197"/>
      <c r="AN96" s="197"/>
      <c r="AO96" s="197"/>
      <c r="AP96" s="197"/>
      <c r="AQ96" s="197"/>
      <c r="AR96" s="197"/>
      <c r="AS96" s="197"/>
      <c r="AT96" s="197"/>
      <c r="AU96" s="197"/>
      <c r="AV96" s="197"/>
      <c r="AW96" s="197"/>
      <c r="AX96" s="197"/>
      <c r="AY96" s="197"/>
      <c r="AZ96" s="197"/>
      <c r="BA96" s="197"/>
      <c r="BB96" s="197"/>
      <c r="BC96" s="197"/>
      <c r="BD96" s="197"/>
      <c r="BE96" s="197"/>
      <c r="BF96" s="197"/>
      <c r="BG96" s="197"/>
      <c r="BH96" s="197"/>
      <c r="BI96" s="197"/>
      <c r="BJ96" s="197"/>
      <c r="BK96" s="197"/>
      <c r="BL96" s="197"/>
      <c r="BM96" s="197"/>
      <c r="BN96" s="197"/>
      <c r="BO96" s="197"/>
      <c r="BP96" s="197"/>
      <c r="BQ96" s="197"/>
      <c r="BR96" s="197"/>
      <c r="BS96" s="197"/>
      <c r="BT96" s="197"/>
      <c r="BU96" s="197"/>
      <c r="BV96" s="197"/>
      <c r="BW96" s="197"/>
      <c r="BX96" s="197"/>
      <c r="BY96" s="197"/>
      <c r="BZ96" s="197"/>
      <c r="CA96" s="197"/>
      <c r="CB96" s="197"/>
    </row>
    <row r="97" spans="6:27">
      <c r="F97" s="57"/>
      <c r="G97" s="57"/>
      <c r="H97" s="57"/>
      <c r="I97" s="57"/>
      <c r="J97" s="57"/>
      <c r="K97" s="57"/>
      <c r="L97" s="57"/>
      <c r="M97" s="57"/>
      <c r="N97" s="57"/>
      <c r="O97" s="57"/>
      <c r="P97" s="57"/>
      <c r="Q97" s="57"/>
      <c r="R97" s="57"/>
      <c r="S97" s="57"/>
      <c r="T97" s="57"/>
      <c r="U97" s="57"/>
      <c r="V97" s="57"/>
      <c r="W97" s="57"/>
      <c r="X97" s="57"/>
      <c r="Y97" s="57"/>
      <c r="Z97" s="57"/>
      <c r="AA97" s="57"/>
    </row>
  </sheetData>
  <sheetProtection sheet="1" formatCells="0" formatColumns="0" formatRows="0" insertColumns="0" insertHyperlinks="0" autoFilter="0"/>
  <phoneticPr fontId="5"/>
  <pageMargins left="0.7" right="0.7" top="0.75" bottom="0.75" header="0.3" footer="0.3"/>
  <pageSetup paperSize="66"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E8D30-6DD6-4213-A2FB-6D2846F56EA6}">
  <sheetPr>
    <pageSetUpPr fitToPage="1"/>
  </sheetPr>
  <dimension ref="A1:N26"/>
  <sheetViews>
    <sheetView view="pageBreakPreview" zoomScaleNormal="100" zoomScaleSheetLayoutView="100" workbookViewId="0">
      <selection activeCell="A3" sqref="A3"/>
    </sheetView>
  </sheetViews>
  <sheetFormatPr defaultRowHeight="13.5"/>
  <cols>
    <col min="1" max="2" width="9" style="23"/>
    <col min="3" max="3" width="25.875" style="23" customWidth="1"/>
    <col min="4" max="4" width="32.125" style="23" bestFit="1" customWidth="1"/>
    <col min="5" max="5" width="9" style="23"/>
    <col min="6" max="6" width="17.125" style="23" bestFit="1" customWidth="1"/>
    <col min="7" max="7" width="16.25" style="23" bestFit="1" customWidth="1"/>
    <col min="8" max="8" width="9.25" style="23" bestFit="1" customWidth="1"/>
    <col min="9" max="9" width="7.125" style="23" bestFit="1" customWidth="1"/>
    <col min="10" max="10" width="13.125" style="23" customWidth="1"/>
    <col min="11" max="11" width="17.125" style="23" bestFit="1" customWidth="1"/>
    <col min="12" max="12" width="15.625" style="76" customWidth="1"/>
    <col min="13" max="13" width="18.625" style="23" bestFit="1" customWidth="1"/>
    <col min="14" max="14" width="17.875" style="23" bestFit="1" customWidth="1"/>
    <col min="15" max="16384" width="9" style="23"/>
  </cols>
  <sheetData>
    <row r="1" spans="1:14">
      <c r="A1" s="227"/>
      <c r="B1" s="227"/>
      <c r="C1" s="227"/>
      <c r="D1" s="227"/>
      <c r="E1" s="227"/>
      <c r="F1" s="227"/>
      <c r="G1" s="227"/>
      <c r="H1" s="227"/>
      <c r="I1" s="227"/>
      <c r="J1" s="227"/>
      <c r="K1" s="227"/>
      <c r="L1" s="228"/>
      <c r="M1" s="227"/>
      <c r="N1" s="227"/>
    </row>
    <row r="2" spans="1:14">
      <c r="A2" s="227"/>
      <c r="B2" s="227"/>
      <c r="C2" s="227"/>
      <c r="D2" s="227"/>
      <c r="E2" s="227"/>
      <c r="F2" s="227"/>
      <c r="G2" s="227"/>
      <c r="H2" s="227"/>
      <c r="I2" s="227"/>
      <c r="J2" s="227"/>
      <c r="K2" s="227"/>
      <c r="L2" s="228"/>
      <c r="M2" s="227"/>
      <c r="N2" s="227"/>
    </row>
    <row r="3" spans="1:14" ht="14.25">
      <c r="A3" s="229" t="s">
        <v>1000</v>
      </c>
      <c r="B3" s="227"/>
      <c r="C3" s="227"/>
      <c r="D3" s="227"/>
      <c r="E3" s="227"/>
      <c r="F3" s="227"/>
      <c r="G3" s="227"/>
      <c r="H3" s="227"/>
      <c r="I3" s="227"/>
      <c r="J3" s="227"/>
      <c r="K3" s="227"/>
      <c r="L3" s="228"/>
      <c r="M3" s="227"/>
      <c r="N3" s="227"/>
    </row>
    <row r="4" spans="1:14" ht="14.25">
      <c r="A4" s="229" t="s">
        <v>387</v>
      </c>
      <c r="B4" s="229"/>
      <c r="C4" s="352">
        <f>settings!L5</f>
        <v>44870</v>
      </c>
      <c r="D4" s="229"/>
      <c r="E4" s="229"/>
      <c r="F4" s="229"/>
      <c r="G4" s="229"/>
      <c r="H4" s="229"/>
      <c r="I4" s="229"/>
      <c r="J4" s="229"/>
      <c r="K4" s="229"/>
      <c r="L4" s="230"/>
      <c r="M4" s="229"/>
      <c r="N4" s="229"/>
    </row>
    <row r="5" spans="1:14" ht="14.25">
      <c r="B5" s="229"/>
      <c r="D5" s="229"/>
      <c r="E5" s="229"/>
      <c r="F5" s="229"/>
      <c r="G5" s="229"/>
      <c r="H5" s="229"/>
      <c r="I5" s="229"/>
      <c r="J5" s="229"/>
      <c r="K5" s="229"/>
      <c r="L5" s="231"/>
      <c r="M5" s="229"/>
      <c r="N5" s="232"/>
    </row>
    <row r="6" spans="1:14" ht="14.25">
      <c r="A6" s="229"/>
      <c r="B6" s="229"/>
      <c r="C6" s="233"/>
      <c r="D6" s="229"/>
      <c r="E6" s="229"/>
      <c r="F6" s="229"/>
      <c r="G6" s="229"/>
      <c r="H6" s="229"/>
      <c r="I6" s="229"/>
      <c r="J6" s="229"/>
      <c r="K6" s="229"/>
      <c r="L6" s="231"/>
      <c r="M6" s="229"/>
      <c r="N6" s="229"/>
    </row>
    <row r="7" spans="1:14">
      <c r="B7" s="227"/>
      <c r="C7" s="227"/>
      <c r="E7" s="227"/>
      <c r="F7" s="227"/>
      <c r="G7" s="227"/>
      <c r="H7" s="227"/>
      <c r="I7" s="227"/>
      <c r="J7" s="227"/>
      <c r="K7" s="227"/>
      <c r="L7" s="228"/>
      <c r="M7" s="227"/>
      <c r="N7" s="227"/>
    </row>
    <row r="8" spans="1:14">
      <c r="A8" s="234" t="s">
        <v>1001</v>
      </c>
      <c r="B8" s="235"/>
      <c r="C8" s="235"/>
      <c r="D8" s="235"/>
      <c r="E8" s="235"/>
      <c r="F8" s="235"/>
      <c r="G8" s="235"/>
      <c r="H8" s="235"/>
      <c r="I8" s="235"/>
      <c r="J8" s="235"/>
      <c r="K8" s="235"/>
      <c r="L8" s="236"/>
      <c r="M8" s="235"/>
      <c r="N8" s="235"/>
    </row>
    <row r="9" spans="1:14">
      <c r="A9" s="237" t="s">
        <v>1002</v>
      </c>
      <c r="B9" s="238" t="s">
        <v>1003</v>
      </c>
      <c r="C9" s="239"/>
      <c r="D9" s="240" t="s">
        <v>1004</v>
      </c>
      <c r="E9" s="240" t="s">
        <v>1005</v>
      </c>
      <c r="F9" s="237" t="s">
        <v>1006</v>
      </c>
      <c r="G9" s="240" t="s">
        <v>1007</v>
      </c>
      <c r="H9" s="240" t="s">
        <v>1008</v>
      </c>
      <c r="I9" s="240" t="s">
        <v>1009</v>
      </c>
      <c r="J9" s="241" t="s">
        <v>1010</v>
      </c>
      <c r="K9" s="240" t="s">
        <v>1011</v>
      </c>
      <c r="L9" s="242" t="s">
        <v>1012</v>
      </c>
      <c r="M9" s="241" t="s">
        <v>1013</v>
      </c>
      <c r="N9" s="243" t="s">
        <v>1014</v>
      </c>
    </row>
    <row r="10" spans="1:14" ht="18" customHeight="1">
      <c r="A10" s="244">
        <v>301</v>
      </c>
      <c r="B10" s="353" t="str">
        <f t="shared" ref="B10:B23" si="0">VLOOKUP(A10,id_settings,2,FALSE)</f>
        <v>玉川陽介</v>
      </c>
      <c r="C10" s="246"/>
      <c r="D10" s="247" t="s">
        <v>1015</v>
      </c>
      <c r="E10" s="244" t="s">
        <v>846</v>
      </c>
      <c r="F10" s="244" t="s">
        <v>1016</v>
      </c>
      <c r="G10" s="248">
        <v>28491</v>
      </c>
      <c r="H10" s="249" t="s">
        <v>846</v>
      </c>
      <c r="I10" s="244" t="s">
        <v>846</v>
      </c>
      <c r="J10" s="250" t="s">
        <v>846</v>
      </c>
      <c r="K10" s="251" t="s">
        <v>846</v>
      </c>
      <c r="L10" s="252" t="s">
        <v>1017</v>
      </c>
      <c r="M10" s="245" t="s">
        <v>1018</v>
      </c>
      <c r="N10" s="253" t="s">
        <v>1017</v>
      </c>
    </row>
    <row r="11" spans="1:14" ht="18" customHeight="1">
      <c r="A11" s="254">
        <v>302</v>
      </c>
      <c r="B11" s="354" t="str">
        <f t="shared" si="0"/>
        <v>玉川花子</v>
      </c>
      <c r="C11" s="227"/>
      <c r="D11" s="256" t="s">
        <v>1015</v>
      </c>
      <c r="E11" s="254" t="s">
        <v>846</v>
      </c>
      <c r="F11" s="254" t="s">
        <v>1019</v>
      </c>
      <c r="G11" s="257">
        <v>29253</v>
      </c>
      <c r="H11" s="258" t="s">
        <v>1017</v>
      </c>
      <c r="I11" s="254" t="s">
        <v>846</v>
      </c>
      <c r="J11" s="259" t="s">
        <v>1017</v>
      </c>
      <c r="K11" s="260" t="s">
        <v>846</v>
      </c>
      <c r="L11" s="261" t="s">
        <v>1017</v>
      </c>
      <c r="M11" s="255" t="s">
        <v>1018</v>
      </c>
      <c r="N11" s="261" t="s">
        <v>1017</v>
      </c>
    </row>
    <row r="12" spans="1:14" ht="18" customHeight="1">
      <c r="A12" s="244">
        <v>303</v>
      </c>
      <c r="B12" s="353" t="str">
        <f t="shared" si="0"/>
        <v>玉川太郎</v>
      </c>
      <c r="C12" s="246"/>
      <c r="D12" s="247" t="s">
        <v>1015</v>
      </c>
      <c r="E12" s="244" t="s">
        <v>846</v>
      </c>
      <c r="F12" s="244" t="s">
        <v>1020</v>
      </c>
      <c r="G12" s="248">
        <v>44686</v>
      </c>
      <c r="H12" s="249" t="s">
        <v>1017</v>
      </c>
      <c r="I12" s="244" t="s">
        <v>846</v>
      </c>
      <c r="J12" s="250" t="s">
        <v>1017</v>
      </c>
      <c r="K12" s="251" t="s">
        <v>846</v>
      </c>
      <c r="L12" s="252" t="s">
        <v>1017</v>
      </c>
      <c r="M12" s="245" t="s">
        <v>846</v>
      </c>
      <c r="N12" s="252" t="s">
        <v>1017</v>
      </c>
    </row>
    <row r="13" spans="1:14" ht="18" customHeight="1">
      <c r="A13" s="254">
        <v>304</v>
      </c>
      <c r="B13" s="354" t="str">
        <f t="shared" si="0"/>
        <v>鈴木次郎</v>
      </c>
      <c r="C13" s="227"/>
      <c r="D13" s="256" t="s">
        <v>1021</v>
      </c>
      <c r="E13" s="254" t="s">
        <v>1017</v>
      </c>
      <c r="F13" s="254" t="s">
        <v>1022</v>
      </c>
      <c r="G13" s="257">
        <v>33030</v>
      </c>
      <c r="H13" s="258" t="s">
        <v>1017</v>
      </c>
      <c r="I13" s="254" t="s">
        <v>1017</v>
      </c>
      <c r="J13" s="259" t="s">
        <v>1017</v>
      </c>
      <c r="K13" s="260" t="s">
        <v>1017</v>
      </c>
      <c r="L13" s="261" t="s">
        <v>1017</v>
      </c>
      <c r="M13" s="255" t="s">
        <v>1017</v>
      </c>
      <c r="N13" s="261" t="s">
        <v>1017</v>
      </c>
    </row>
    <row r="14" spans="1:14" ht="18" customHeight="1">
      <c r="A14" s="244">
        <v>401</v>
      </c>
      <c r="B14" s="355" t="str">
        <f t="shared" si="0"/>
        <v>コアプラス東京株式会社</v>
      </c>
      <c r="C14" s="246"/>
      <c r="D14" s="247" t="s">
        <v>1023</v>
      </c>
      <c r="E14" s="244" t="s">
        <v>1024</v>
      </c>
      <c r="F14" s="262" t="s">
        <v>1025</v>
      </c>
      <c r="G14" s="248">
        <v>40180</v>
      </c>
      <c r="H14" s="249">
        <v>1000</v>
      </c>
      <c r="I14" s="244" t="s">
        <v>1026</v>
      </c>
      <c r="J14" s="250">
        <v>13</v>
      </c>
      <c r="K14" s="251" t="s">
        <v>1027</v>
      </c>
      <c r="L14" s="252" t="s">
        <v>1028</v>
      </c>
      <c r="M14" s="245" t="s">
        <v>1029</v>
      </c>
      <c r="N14" s="252" t="s">
        <v>1028</v>
      </c>
    </row>
    <row r="15" spans="1:14" ht="18" customHeight="1">
      <c r="A15" s="254">
        <v>402</v>
      </c>
      <c r="B15" s="356" t="str">
        <f t="shared" si="0"/>
        <v>コアプラス名古屋株式会社</v>
      </c>
      <c r="C15" s="227"/>
      <c r="D15" s="256" t="s">
        <v>1023</v>
      </c>
      <c r="E15" s="254" t="s">
        <v>1024</v>
      </c>
      <c r="F15" s="263" t="s">
        <v>1030</v>
      </c>
      <c r="G15" s="257">
        <v>37290</v>
      </c>
      <c r="H15" s="258">
        <v>300</v>
      </c>
      <c r="I15" s="254" t="s">
        <v>1026</v>
      </c>
      <c r="J15" s="259">
        <v>20</v>
      </c>
      <c r="K15" s="260" t="s">
        <v>1027</v>
      </c>
      <c r="L15" s="261" t="s">
        <v>1031</v>
      </c>
      <c r="M15" s="255" t="s">
        <v>1032</v>
      </c>
      <c r="N15" s="264" t="s">
        <v>1017</v>
      </c>
    </row>
    <row r="16" spans="1:14" ht="18" customHeight="1">
      <c r="A16" s="244">
        <v>404</v>
      </c>
      <c r="B16" s="355" t="str">
        <f t="shared" si="0"/>
        <v>コアプラス大阪株式会社</v>
      </c>
      <c r="C16" s="246"/>
      <c r="D16" s="265" t="s">
        <v>1033</v>
      </c>
      <c r="E16" s="244" t="s">
        <v>1024</v>
      </c>
      <c r="F16" s="262" t="s">
        <v>1034</v>
      </c>
      <c r="G16" s="248">
        <v>41337</v>
      </c>
      <c r="H16" s="249">
        <v>500</v>
      </c>
      <c r="I16" s="244" t="s">
        <v>1026</v>
      </c>
      <c r="J16" s="250">
        <v>10</v>
      </c>
      <c r="K16" s="251" t="s">
        <v>1027</v>
      </c>
      <c r="L16" s="252" t="s">
        <v>1035</v>
      </c>
      <c r="M16" s="245" t="s">
        <v>1036</v>
      </c>
      <c r="N16" s="252" t="s">
        <v>1035</v>
      </c>
    </row>
    <row r="17" spans="1:14" ht="18" customHeight="1">
      <c r="A17" s="254">
        <v>405</v>
      </c>
      <c r="B17" s="356" t="str">
        <f t="shared" si="0"/>
        <v>コアプラス仙台株式会社</v>
      </c>
      <c r="C17" s="227"/>
      <c r="D17" s="256" t="s">
        <v>1023</v>
      </c>
      <c r="E17" s="254" t="s">
        <v>1024</v>
      </c>
      <c r="F17" s="263" t="s">
        <v>1030</v>
      </c>
      <c r="G17" s="257">
        <v>41369</v>
      </c>
      <c r="H17" s="258">
        <v>500</v>
      </c>
      <c r="I17" s="254" t="s">
        <v>1026</v>
      </c>
      <c r="J17" s="259">
        <v>9</v>
      </c>
      <c r="K17" s="260" t="s">
        <v>1027</v>
      </c>
      <c r="L17" s="261" t="s">
        <v>1037</v>
      </c>
      <c r="M17" s="255" t="s">
        <v>1032</v>
      </c>
      <c r="N17" s="264" t="s">
        <v>1017</v>
      </c>
    </row>
    <row r="18" spans="1:14" ht="18" customHeight="1">
      <c r="A18" s="244">
        <v>406</v>
      </c>
      <c r="B18" s="355" t="str">
        <f t="shared" si="0"/>
        <v>コアプラス札幌株式会社</v>
      </c>
      <c r="C18" s="246"/>
      <c r="D18" s="247" t="s">
        <v>1023</v>
      </c>
      <c r="E18" s="244" t="s">
        <v>1024</v>
      </c>
      <c r="F18" s="262" t="s">
        <v>1030</v>
      </c>
      <c r="G18" s="248">
        <v>41765</v>
      </c>
      <c r="H18" s="249">
        <v>1000</v>
      </c>
      <c r="I18" s="244" t="s">
        <v>1026</v>
      </c>
      <c r="J18" s="250">
        <v>8</v>
      </c>
      <c r="K18" s="251" t="s">
        <v>1027</v>
      </c>
      <c r="L18" s="252" t="s">
        <v>1038</v>
      </c>
      <c r="M18" s="245" t="s">
        <v>1032</v>
      </c>
      <c r="N18" s="253" t="s">
        <v>1017</v>
      </c>
    </row>
    <row r="19" spans="1:14" ht="18" customHeight="1">
      <c r="A19" s="254">
        <v>407</v>
      </c>
      <c r="B19" s="356" t="str">
        <f t="shared" si="0"/>
        <v>コアプラス福岡株式会社</v>
      </c>
      <c r="C19" s="227"/>
      <c r="D19" s="256" t="s">
        <v>1023</v>
      </c>
      <c r="E19" s="254" t="s">
        <v>1024</v>
      </c>
      <c r="F19" s="263" t="s">
        <v>1030</v>
      </c>
      <c r="G19" s="257">
        <v>42162</v>
      </c>
      <c r="H19" s="258">
        <v>1000</v>
      </c>
      <c r="I19" s="254" t="s">
        <v>1026</v>
      </c>
      <c r="J19" s="259">
        <v>7</v>
      </c>
      <c r="K19" s="260" t="s">
        <v>1027</v>
      </c>
      <c r="L19" s="261" t="s">
        <v>1039</v>
      </c>
      <c r="M19" s="255" t="s">
        <v>1036</v>
      </c>
      <c r="N19" s="261" t="s">
        <v>1039</v>
      </c>
    </row>
    <row r="20" spans="1:14" ht="18" customHeight="1">
      <c r="A20" s="244">
        <v>408</v>
      </c>
      <c r="B20" s="355" t="str">
        <f t="shared" si="0"/>
        <v>コアプラス京都株式会社</v>
      </c>
      <c r="C20" s="246"/>
      <c r="D20" s="247" t="s">
        <v>1023</v>
      </c>
      <c r="E20" s="244" t="s">
        <v>1024</v>
      </c>
      <c r="F20" s="262" t="s">
        <v>1030</v>
      </c>
      <c r="G20" s="248">
        <v>42193</v>
      </c>
      <c r="H20" s="249">
        <v>100</v>
      </c>
      <c r="I20" s="244" t="s">
        <v>1026</v>
      </c>
      <c r="J20" s="250">
        <v>7</v>
      </c>
      <c r="K20" s="251" t="s">
        <v>1027</v>
      </c>
      <c r="L20" s="252" t="s">
        <v>1040</v>
      </c>
      <c r="M20" s="245" t="s">
        <v>1036</v>
      </c>
      <c r="N20" s="252" t="s">
        <v>1040</v>
      </c>
    </row>
    <row r="21" spans="1:14" ht="18" customHeight="1">
      <c r="A21" s="254">
        <v>409</v>
      </c>
      <c r="B21" s="356" t="str">
        <f t="shared" si="0"/>
        <v>コアプラス四国株式会社</v>
      </c>
      <c r="C21" s="227"/>
      <c r="D21" s="256" t="s">
        <v>1023</v>
      </c>
      <c r="E21" s="254" t="s">
        <v>1024</v>
      </c>
      <c r="F21" s="263" t="s">
        <v>1030</v>
      </c>
      <c r="G21" s="257">
        <v>42225</v>
      </c>
      <c r="H21" s="258">
        <v>100</v>
      </c>
      <c r="I21" s="254" t="s">
        <v>1026</v>
      </c>
      <c r="J21" s="259">
        <v>7</v>
      </c>
      <c r="K21" s="260" t="s">
        <v>1027</v>
      </c>
      <c r="L21" s="261" t="s">
        <v>1041</v>
      </c>
      <c r="M21" s="255" t="s">
        <v>1032</v>
      </c>
      <c r="N21" s="264" t="s">
        <v>1017</v>
      </c>
    </row>
    <row r="22" spans="1:14" ht="18" customHeight="1">
      <c r="A22" s="244">
        <v>410</v>
      </c>
      <c r="B22" s="355" t="str">
        <f t="shared" si="0"/>
        <v>コアプラス沖縄株式会社</v>
      </c>
      <c r="C22" s="246"/>
      <c r="D22" s="247" t="s">
        <v>1023</v>
      </c>
      <c r="E22" s="244" t="s">
        <v>1024</v>
      </c>
      <c r="F22" s="262" t="s">
        <v>1030</v>
      </c>
      <c r="G22" s="248">
        <v>42623</v>
      </c>
      <c r="H22" s="249">
        <v>100</v>
      </c>
      <c r="I22" s="244" t="s">
        <v>1026</v>
      </c>
      <c r="J22" s="250">
        <v>6</v>
      </c>
      <c r="K22" s="251" t="s">
        <v>1027</v>
      </c>
      <c r="L22" s="252" t="s">
        <v>1042</v>
      </c>
      <c r="M22" s="245" t="s">
        <v>1032</v>
      </c>
      <c r="N22" s="253" t="s">
        <v>1017</v>
      </c>
    </row>
    <row r="23" spans="1:14" ht="18" customHeight="1">
      <c r="A23" s="254">
        <v>411</v>
      </c>
      <c r="B23" s="354" t="str">
        <f t="shared" si="0"/>
        <v>コアプラスホールディングス株式会社</v>
      </c>
      <c r="C23" s="227"/>
      <c r="D23" s="256" t="s">
        <v>1023</v>
      </c>
      <c r="E23" s="254" t="s">
        <v>1024</v>
      </c>
      <c r="F23" s="263" t="s">
        <v>1043</v>
      </c>
      <c r="G23" s="257">
        <v>43587</v>
      </c>
      <c r="H23" s="258">
        <v>1000</v>
      </c>
      <c r="I23" s="254" t="s">
        <v>1026</v>
      </c>
      <c r="J23" s="259">
        <v>3</v>
      </c>
      <c r="K23" s="260" t="s">
        <v>1044</v>
      </c>
      <c r="L23" s="261" t="s">
        <v>1045</v>
      </c>
      <c r="M23" s="255" t="s">
        <v>1032</v>
      </c>
      <c r="N23" s="264" t="s">
        <v>1017</v>
      </c>
    </row>
    <row r="24" spans="1:14">
      <c r="A24" s="234" t="s">
        <v>1046</v>
      </c>
      <c r="B24" s="235"/>
      <c r="C24" s="235"/>
      <c r="D24" s="235"/>
      <c r="E24" s="235"/>
      <c r="F24" s="235"/>
      <c r="G24" s="235"/>
      <c r="H24" s="266"/>
      <c r="I24" s="235"/>
      <c r="J24" s="235"/>
      <c r="K24" s="235"/>
      <c r="L24" s="236"/>
      <c r="M24" s="235"/>
      <c r="N24" s="235"/>
    </row>
    <row r="25" spans="1:14">
      <c r="A25" s="267">
        <v>403</v>
      </c>
      <c r="B25" s="357" t="str">
        <f>VLOOKUP(A25,id_settings,2,FALSE)</f>
        <v>有限会社コアプラス2号</v>
      </c>
      <c r="C25" s="269"/>
      <c r="D25" s="270" t="s">
        <v>1047</v>
      </c>
      <c r="E25" s="267" t="s">
        <v>1024</v>
      </c>
      <c r="F25" s="267" t="s">
        <v>1048</v>
      </c>
      <c r="G25" s="271">
        <v>41153</v>
      </c>
      <c r="H25" s="272">
        <v>500</v>
      </c>
      <c r="I25" s="267" t="s">
        <v>1026</v>
      </c>
      <c r="J25" s="268" t="s">
        <v>846</v>
      </c>
      <c r="K25" s="268" t="s">
        <v>1044</v>
      </c>
      <c r="L25" s="273" t="s">
        <v>1049</v>
      </c>
      <c r="M25" s="268" t="s">
        <v>846</v>
      </c>
      <c r="N25" s="273" t="s">
        <v>1017</v>
      </c>
    </row>
    <row r="26" spans="1:14" ht="14.25">
      <c r="A26" s="274" t="s">
        <v>1050</v>
      </c>
      <c r="B26" s="229"/>
      <c r="C26" s="229"/>
      <c r="E26" s="229"/>
      <c r="F26" s="229"/>
      <c r="G26" s="229"/>
      <c r="H26" s="229"/>
      <c r="I26" s="229"/>
      <c r="J26" s="229"/>
      <c r="K26" s="229"/>
      <c r="L26" s="230"/>
      <c r="M26" s="227"/>
      <c r="N26" s="229"/>
    </row>
  </sheetData>
  <sheetProtection sheet="1" formatCells="0" formatColumns="0" formatRows="0" insertColumns="0" insertRows="0" insertHyperlinks="0" deleteColumns="0" deleteRows="0" sort="0" autoFilter="0" pivotTables="0"/>
  <phoneticPr fontId="5"/>
  <pageMargins left="0.23622047244094491" right="0.23622047244094491" top="0.74803149606299213" bottom="0.74803149606299213" header="0.31496062992125984" footer="0.31496062992125984"/>
  <pageSetup paperSize="8" scale="96" orientation="landscape" horizontalDpi="1200" verticalDpi="1200" r:id="rId1"/>
  <headerFooter>
    <oddHeader>&amp;A</oddHeader>
    <oddFooter>&amp;P / &amp;N ページ</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A4EFC-A110-4191-B27B-0EBE41FE9C0F}">
  <sheetPr>
    <pageSetUpPr fitToPage="1"/>
  </sheetPr>
  <dimension ref="A3:F69"/>
  <sheetViews>
    <sheetView view="pageBreakPreview" zoomScaleNormal="100" zoomScaleSheetLayoutView="100" workbookViewId="0">
      <selection activeCell="B3" sqref="B3"/>
    </sheetView>
  </sheetViews>
  <sheetFormatPr defaultRowHeight="13.5"/>
  <cols>
    <col min="1" max="1" width="0.875" style="23" customWidth="1"/>
    <col min="2" max="2" width="45.125" style="23" bestFit="1" customWidth="1"/>
    <col min="3" max="3" width="17.625" style="23" bestFit="1" customWidth="1"/>
    <col min="4" max="4" width="24.875" style="23" bestFit="1" customWidth="1"/>
    <col min="5" max="5" width="28" style="23" bestFit="1" customWidth="1"/>
    <col min="6" max="6" width="26.125" style="366" customWidth="1"/>
  </cols>
  <sheetData>
    <row r="3" spans="2:6">
      <c r="B3" s="23" t="s">
        <v>1051</v>
      </c>
      <c r="F3" s="358"/>
    </row>
    <row r="4" spans="2:6" ht="27" customHeight="1">
      <c r="F4" s="358"/>
    </row>
    <row r="5" spans="2:6" ht="13.5" customHeight="1">
      <c r="B5" s="359" t="s">
        <v>1052</v>
      </c>
      <c r="C5" s="360"/>
      <c r="D5" s="227"/>
      <c r="E5" s="361">
        <f>settings!L6</f>
        <v>44870</v>
      </c>
      <c r="F5" s="358"/>
    </row>
    <row r="6" spans="2:6">
      <c r="B6" s="362" t="s">
        <v>1053</v>
      </c>
      <c r="C6" s="363"/>
      <c r="D6" s="362" t="s">
        <v>1054</v>
      </c>
      <c r="E6" s="363"/>
      <c r="F6" s="358"/>
    </row>
    <row r="7" spans="2:6">
      <c r="B7" s="364" t="s">
        <v>1055</v>
      </c>
      <c r="C7" s="240" t="s">
        <v>1056</v>
      </c>
      <c r="D7" s="237" t="s">
        <v>1057</v>
      </c>
      <c r="E7" s="240" t="s">
        <v>1056</v>
      </c>
      <c r="F7" s="358"/>
    </row>
    <row r="8" spans="2:6">
      <c r="B8" s="260" t="s">
        <v>1058</v>
      </c>
      <c r="C8" s="386">
        <f>SUMIF(asset!B5:CH5,"no",asset!B45:CH45)</f>
        <v>6684000000</v>
      </c>
      <c r="D8" s="260" t="s">
        <v>1059</v>
      </c>
      <c r="E8" s="390">
        <f>GETPIVOTDATA("残債",'4借入集計'!$A$5)*-1</f>
        <v>-4439492417</v>
      </c>
      <c r="F8" s="358" t="s">
        <v>1060</v>
      </c>
    </row>
    <row r="9" spans="2:6">
      <c r="B9" s="260" t="s">
        <v>1061</v>
      </c>
      <c r="C9" s="386">
        <f>VLOOKUP("107現金･預金合計",C直近決算!$A:$C,2,FALSE)</f>
        <v>791757250</v>
      </c>
      <c r="D9" s="260" t="s">
        <v>1062</v>
      </c>
      <c r="E9" s="390">
        <f>VLOOKUP("289預り保証金",C直近決算!$A:$C,2,FALSE)*-1</f>
        <v>-74706885</v>
      </c>
      <c r="F9" s="365" t="s">
        <v>1063</v>
      </c>
    </row>
    <row r="10" spans="2:6">
      <c r="B10" s="260" t="s">
        <v>459</v>
      </c>
      <c r="C10" s="386">
        <f>settings!L25</f>
        <v>10000000</v>
      </c>
      <c r="D10" s="260"/>
      <c r="E10" s="390"/>
    </row>
    <row r="11" spans="2:6">
      <c r="B11" s="260" t="s">
        <v>1064</v>
      </c>
      <c r="C11" s="386">
        <f>VLOOKUP("210出資金",C直近決算!$A:$C,2,FALSE)</f>
        <v>41910000</v>
      </c>
      <c r="D11" s="260"/>
      <c r="E11" s="390"/>
    </row>
    <row r="12" spans="2:6">
      <c r="B12" s="260" t="s">
        <v>463</v>
      </c>
      <c r="C12" s="386">
        <f>settings!L26</f>
        <v>30000000</v>
      </c>
      <c r="D12" s="255"/>
      <c r="E12" s="387"/>
      <c r="F12" s="358"/>
    </row>
    <row r="13" spans="2:6">
      <c r="B13" s="260" t="s">
        <v>466</v>
      </c>
      <c r="C13" s="386">
        <f>settings!L27</f>
        <v>15000000</v>
      </c>
      <c r="D13" s="255"/>
      <c r="E13" s="387"/>
      <c r="F13" s="358"/>
    </row>
    <row r="14" spans="2:6">
      <c r="B14" s="260" t="s">
        <v>469</v>
      </c>
      <c r="C14" s="386">
        <f>settings!L28</f>
        <v>5000000</v>
      </c>
      <c r="D14" s="255"/>
      <c r="E14" s="387"/>
      <c r="F14" s="358"/>
    </row>
    <row r="15" spans="2:6">
      <c r="B15" s="260"/>
      <c r="C15"/>
      <c r="D15" s="367"/>
      <c r="E15" s="391"/>
      <c r="F15" s="358"/>
    </row>
    <row r="16" spans="2:6">
      <c r="B16" s="255"/>
      <c r="C16" s="387"/>
      <c r="D16" s="368" t="s">
        <v>395</v>
      </c>
      <c r="E16" s="392">
        <f>SUM(E8:E15)</f>
        <v>-4514199302</v>
      </c>
      <c r="F16" s="358"/>
    </row>
    <row r="17" spans="2:6">
      <c r="B17" s="255"/>
      <c r="C17" s="387"/>
      <c r="D17" s="260" t="s">
        <v>1065</v>
      </c>
      <c r="E17" s="386">
        <f>C21-C8</f>
        <v>893667250</v>
      </c>
      <c r="F17" s="358"/>
    </row>
    <row r="18" spans="2:6">
      <c r="B18" s="255"/>
      <c r="C18" s="387"/>
      <c r="D18" s="260" t="s">
        <v>1066</v>
      </c>
      <c r="E18" s="386">
        <f>C8+E9+E8</f>
        <v>2169800698</v>
      </c>
      <c r="F18" s="358"/>
    </row>
    <row r="19" spans="2:6">
      <c r="B19" s="260"/>
      <c r="C19" s="388"/>
      <c r="E19" s="388"/>
      <c r="F19" s="365" t="s">
        <v>1067</v>
      </c>
    </row>
    <row r="20" spans="2:6">
      <c r="B20" s="260"/>
      <c r="C20" s="388"/>
      <c r="D20" s="260"/>
      <c r="E20" s="388"/>
      <c r="F20" s="358"/>
    </row>
    <row r="21" spans="2:6">
      <c r="B21" s="369" t="s">
        <v>379</v>
      </c>
      <c r="C21" s="389">
        <f>SUM(C8:C20)</f>
        <v>7577667250</v>
      </c>
      <c r="D21" s="370" t="s">
        <v>384</v>
      </c>
      <c r="E21" s="393">
        <f>SUM(E17:E20)</f>
        <v>3063467948</v>
      </c>
      <c r="F21" s="358"/>
    </row>
    <row r="22" spans="2:6">
      <c r="F22" s="23"/>
    </row>
    <row r="23" spans="2:6" ht="33.75" customHeight="1">
      <c r="F23" s="358"/>
    </row>
    <row r="24" spans="2:6" ht="13.5" customHeight="1">
      <c r="B24" s="359" t="s">
        <v>1068</v>
      </c>
      <c r="C24" s="371"/>
      <c r="D24" s="371"/>
      <c r="E24" s="372" t="str">
        <f>settings!L7</f>
        <v>2023年1月～12月予測</v>
      </c>
      <c r="F24" s="358"/>
    </row>
    <row r="25" spans="2:6">
      <c r="B25" s="362" t="s">
        <v>1069</v>
      </c>
      <c r="C25" s="373" t="s">
        <v>1070</v>
      </c>
      <c r="D25" s="362" t="s">
        <v>1071</v>
      </c>
      <c r="E25" s="362" t="s">
        <v>1072</v>
      </c>
      <c r="F25" s="358"/>
    </row>
    <row r="26" spans="2:6">
      <c r="B26" s="374" t="s">
        <v>1073</v>
      </c>
      <c r="C26" s="375"/>
      <c r="D26" s="376"/>
      <c r="E26" s="377"/>
      <c r="F26" s="358"/>
    </row>
    <row r="27" spans="2:6">
      <c r="B27" s="378" t="s">
        <v>1074</v>
      </c>
      <c r="C27" s="379"/>
      <c r="D27" s="394">
        <f>asset!E54/10000</f>
        <v>42778.7736</v>
      </c>
      <c r="E27" s="395">
        <f>D27/12</f>
        <v>3564.8978000000002</v>
      </c>
      <c r="F27" s="358" t="s">
        <v>1075</v>
      </c>
    </row>
    <row r="28" spans="2:6">
      <c r="B28" s="260" t="s">
        <v>1076</v>
      </c>
      <c r="C28" s="62"/>
      <c r="D28" s="396">
        <f>1-asset!E55</f>
        <v>4.5092838196286511E-2</v>
      </c>
      <c r="E28" s="397" t="s">
        <v>846</v>
      </c>
      <c r="F28" s="358"/>
    </row>
    <row r="29" spans="2:6">
      <c r="B29" s="260" t="s">
        <v>1077</v>
      </c>
      <c r="C29" s="62"/>
      <c r="D29" s="398">
        <f>asset!E64/10000*-1</f>
        <v>-12317.442758320072</v>
      </c>
      <c r="E29" s="399">
        <f>D29/12</f>
        <v>-1026.4535631933393</v>
      </c>
      <c r="F29" s="358" t="s">
        <v>1078</v>
      </c>
    </row>
    <row r="30" spans="2:6">
      <c r="B30" s="260" t="s">
        <v>1079</v>
      </c>
      <c r="C30" s="62" t="s">
        <v>1080</v>
      </c>
      <c r="D30" s="400">
        <f>D29/D27*-1</f>
        <v>0.28793351753122892</v>
      </c>
      <c r="E30" s="397" t="s">
        <v>846</v>
      </c>
      <c r="F30" s="358"/>
    </row>
    <row r="31" spans="2:6">
      <c r="B31" s="380" t="s">
        <v>1081</v>
      </c>
      <c r="C31" s="62" t="s">
        <v>1080</v>
      </c>
      <c r="D31" s="401">
        <f>asset!E66/10000</f>
        <v>30461.33084167993</v>
      </c>
      <c r="E31" s="402">
        <f>D31/12</f>
        <v>2538.4442368066607</v>
      </c>
      <c r="F31" s="381"/>
    </row>
    <row r="32" spans="2:6">
      <c r="B32" s="260" t="s">
        <v>900</v>
      </c>
      <c r="C32" s="62"/>
      <c r="D32" s="401">
        <f>VLOOKUP(B32,id3_asset_sum,4,FALSE)/10000</f>
        <v>523910</v>
      </c>
      <c r="E32" s="402"/>
      <c r="F32" s="381"/>
    </row>
    <row r="33" spans="2:6">
      <c r="B33" s="260" t="s">
        <v>1082</v>
      </c>
      <c r="C33" s="62" t="s">
        <v>1080</v>
      </c>
      <c r="D33" s="403">
        <f>D31/D32</f>
        <v>5.8142297038956937E-2</v>
      </c>
      <c r="E33" s="397" t="s">
        <v>846</v>
      </c>
      <c r="F33" s="381" t="s">
        <v>1083</v>
      </c>
    </row>
    <row r="34" spans="2:6">
      <c r="B34" s="374" t="s">
        <v>1084</v>
      </c>
      <c r="C34" s="375"/>
      <c r="D34" s="404"/>
      <c r="E34" s="405"/>
      <c r="F34" s="381"/>
    </row>
    <row r="35" spans="2:6">
      <c r="B35" s="380" t="s">
        <v>1085</v>
      </c>
      <c r="C35" s="382"/>
      <c r="D35" s="401">
        <f>E35*12</f>
        <v>-5748.0576000000001</v>
      </c>
      <c r="E35" s="406">
        <f>GETPIVOTDATA("合計 / 23.利息月額",pivot!$EM$7,"9.使途2","賃貸部門")/10000*-1</f>
        <v>-479.00479999999999</v>
      </c>
      <c r="F35" s="381" t="s">
        <v>1086</v>
      </c>
    </row>
    <row r="36" spans="2:6">
      <c r="B36" s="380" t="s">
        <v>1087</v>
      </c>
      <c r="C36" s="382"/>
      <c r="D36" s="401">
        <f>GETPIVOTDATA("合計 / 25.残債",pivot!$EM$7,"9.使途2","賃貸部門")/10000</f>
        <v>432554.54009999998</v>
      </c>
      <c r="E36" s="406"/>
      <c r="F36" s="381"/>
    </row>
    <row r="37" spans="2:6">
      <c r="B37" s="260" t="s">
        <v>1088</v>
      </c>
      <c r="C37" s="62"/>
      <c r="D37" s="403">
        <f>D35/D36*-1</f>
        <v>1.3288630836405363E-2</v>
      </c>
      <c r="E37" s="407" t="s">
        <v>846</v>
      </c>
      <c r="F37" s="358"/>
    </row>
    <row r="38" spans="2:6">
      <c r="B38" s="374" t="s">
        <v>1089</v>
      </c>
      <c r="C38" s="375"/>
      <c r="D38" s="404"/>
      <c r="E38" s="405"/>
      <c r="F38" s="358"/>
    </row>
    <row r="39" spans="2:6">
      <c r="B39" s="380" t="s">
        <v>1081</v>
      </c>
      <c r="C39" s="62"/>
      <c r="D39" s="401">
        <f>D31</f>
        <v>30461.33084167993</v>
      </c>
      <c r="E39" s="402">
        <f>E31</f>
        <v>2538.4442368066607</v>
      </c>
      <c r="F39" s="358" t="s">
        <v>1090</v>
      </c>
    </row>
    <row r="40" spans="2:6">
      <c r="B40" s="380" t="s">
        <v>1091</v>
      </c>
      <c r="C40" s="382"/>
      <c r="D40" s="401">
        <f>D35</f>
        <v>-5748.0576000000001</v>
      </c>
      <c r="E40" s="406">
        <f>E35</f>
        <v>-479.00479999999999</v>
      </c>
      <c r="F40" s="358" t="s">
        <v>1090</v>
      </c>
    </row>
    <row r="41" spans="2:6">
      <c r="B41" s="380" t="s">
        <v>1092</v>
      </c>
      <c r="C41" s="382"/>
      <c r="D41" s="401">
        <f>D39+D40</f>
        <v>24713.27324167993</v>
      </c>
      <c r="E41" s="402">
        <f>E39+E40</f>
        <v>2059.4394368066605</v>
      </c>
      <c r="F41" s="358" t="s">
        <v>1093</v>
      </c>
    </row>
    <row r="42" spans="2:6">
      <c r="B42" s="260" t="s">
        <v>1</v>
      </c>
      <c r="C42" s="62"/>
      <c r="D42" s="408">
        <f>GETPIVOTDATA("14.年間償却額",pivot!$AI$5)/10000*-1</f>
        <v>-8732.0612000000001</v>
      </c>
      <c r="E42" s="409">
        <f>D42/12</f>
        <v>-727.67176666666671</v>
      </c>
      <c r="F42" s="358"/>
    </row>
    <row r="43" spans="2:6">
      <c r="B43" s="260" t="s">
        <v>1094</v>
      </c>
      <c r="C43" s="62"/>
      <c r="D43" s="401">
        <f>D41+D42</f>
        <v>15981.21204167993</v>
      </c>
      <c r="E43" s="402">
        <f>E41+E42</f>
        <v>1331.7676701399937</v>
      </c>
      <c r="F43" s="358"/>
    </row>
    <row r="44" spans="2:6">
      <c r="B44" s="260" t="s">
        <v>444</v>
      </c>
      <c r="C44" s="62"/>
      <c r="D44" s="400">
        <f>tax_income</f>
        <v>0.3</v>
      </c>
      <c r="E44" s="397" t="s">
        <v>846</v>
      </c>
      <c r="F44" s="381"/>
    </row>
    <row r="45" spans="2:6">
      <c r="B45" s="260" t="s">
        <v>507</v>
      </c>
      <c r="C45" s="62"/>
      <c r="D45" s="408">
        <f>D43*D44*-1</f>
        <v>-4794.3636125039784</v>
      </c>
      <c r="E45" s="397" t="s">
        <v>846</v>
      </c>
      <c r="F45" s="381"/>
    </row>
    <row r="46" spans="2:6">
      <c r="B46" s="260" t="s">
        <v>1095</v>
      </c>
      <c r="C46" s="62"/>
      <c r="D46" s="408">
        <f>D43+D45</f>
        <v>11186.848429175952</v>
      </c>
      <c r="E46" s="397" t="s">
        <v>846</v>
      </c>
      <c r="F46" s="381"/>
    </row>
    <row r="47" spans="2:6">
      <c r="B47" s="374" t="s">
        <v>1096</v>
      </c>
      <c r="C47" s="375"/>
      <c r="D47" s="404"/>
      <c r="E47" s="405"/>
      <c r="F47" s="358"/>
    </row>
    <row r="48" spans="2:6">
      <c r="B48" s="260" t="s">
        <v>1094</v>
      </c>
      <c r="C48" s="62"/>
      <c r="D48" s="401">
        <f>D43</f>
        <v>15981.21204167993</v>
      </c>
      <c r="E48" s="402">
        <f>D48/12</f>
        <v>1331.7676701399942</v>
      </c>
      <c r="F48" s="381" t="s">
        <v>1090</v>
      </c>
    </row>
    <row r="49" spans="2:6">
      <c r="B49" s="260" t="s">
        <v>1097</v>
      </c>
      <c r="C49" s="62"/>
      <c r="D49" s="401">
        <f>settings!L29/10000*-1</f>
        <v>-300</v>
      </c>
      <c r="E49" s="402">
        <f>D49/12</f>
        <v>-25</v>
      </c>
      <c r="F49" s="358" t="s">
        <v>1098</v>
      </c>
    </row>
    <row r="50" spans="2:6">
      <c r="B50" s="260" t="s">
        <v>1099</v>
      </c>
      <c r="C50" s="62"/>
      <c r="D50" s="401">
        <f>settings!L30/10000*-1</f>
        <v>-300</v>
      </c>
      <c r="E50" s="402">
        <f>D50/12</f>
        <v>-25</v>
      </c>
      <c r="F50" s="358" t="s">
        <v>1098</v>
      </c>
    </row>
    <row r="51" spans="2:6">
      <c r="B51" s="260" t="s">
        <v>1100</v>
      </c>
      <c r="C51" s="62"/>
      <c r="D51" s="401">
        <f>E51*12</f>
        <v>-304.45319999999998</v>
      </c>
      <c r="E51" s="402">
        <f>GETPIVOTDATA("合計 / 23.利息月額",pivot!$EM$7,"9.使途2","間接部門")/10000*-1</f>
        <v>-25.371099999999998</v>
      </c>
      <c r="F51" s="358" t="s">
        <v>1101</v>
      </c>
    </row>
    <row r="52" spans="2:6">
      <c r="B52" s="260" t="s">
        <v>1102</v>
      </c>
      <c r="C52" s="62" t="s">
        <v>1080</v>
      </c>
      <c r="D52" s="401">
        <f>D48+D49+D50+D51</f>
        <v>15076.75884167993</v>
      </c>
      <c r="E52" s="402">
        <f>E48+E49+E50+E51</f>
        <v>1256.3965701399941</v>
      </c>
      <c r="F52" s="358"/>
    </row>
    <row r="53" spans="2:6">
      <c r="B53" s="260" t="s">
        <v>444</v>
      </c>
      <c r="C53" s="62"/>
      <c r="D53" s="400">
        <f>settings!L20</f>
        <v>0.35</v>
      </c>
      <c r="E53" s="397" t="s">
        <v>846</v>
      </c>
      <c r="F53" s="358"/>
    </row>
    <row r="54" spans="2:6">
      <c r="B54" s="260" t="s">
        <v>1103</v>
      </c>
      <c r="C54" s="62"/>
      <c r="D54" s="401">
        <f>D52*D53*-1</f>
        <v>-5276.8655945879755</v>
      </c>
      <c r="E54" s="397" t="s">
        <v>846</v>
      </c>
      <c r="F54" s="358"/>
    </row>
    <row r="55" spans="2:6">
      <c r="B55" s="384" t="s">
        <v>1104</v>
      </c>
      <c r="C55" s="372"/>
      <c r="D55" s="410">
        <f>D52+D54</f>
        <v>9799.8932470919535</v>
      </c>
      <c r="E55" s="411" t="s">
        <v>846</v>
      </c>
      <c r="F55" s="358"/>
    </row>
    <row r="56" spans="2:6" ht="27" customHeight="1"/>
    <row r="57" spans="2:6">
      <c r="B57" s="359" t="s">
        <v>1105</v>
      </c>
      <c r="E57" s="372" t="str">
        <f>settings!L8</f>
        <v>2023年1月～12月予測</v>
      </c>
    </row>
    <row r="58" spans="2:6">
      <c r="B58" s="362" t="s">
        <v>1069</v>
      </c>
      <c r="C58" s="373" t="s">
        <v>1070</v>
      </c>
      <c r="D58" s="362" t="s">
        <v>1071</v>
      </c>
      <c r="E58" s="362" t="s">
        <v>1072</v>
      </c>
    </row>
    <row r="59" spans="2:6">
      <c r="B59" s="374" t="s">
        <v>1106</v>
      </c>
      <c r="C59" s="375"/>
      <c r="D59" s="376"/>
      <c r="E59" s="377"/>
      <c r="F59" s="381"/>
    </row>
    <row r="60" spans="2:6">
      <c r="B60" s="380" t="s">
        <v>1092</v>
      </c>
      <c r="C60" s="382"/>
      <c r="D60" s="401">
        <f>D41</f>
        <v>24713.27324167993</v>
      </c>
      <c r="E60" s="406">
        <f>D60/12</f>
        <v>2059.439436806661</v>
      </c>
      <c r="F60" s="381" t="s">
        <v>1090</v>
      </c>
    </row>
    <row r="61" spans="2:6">
      <c r="B61" s="255" t="s">
        <v>1107</v>
      </c>
      <c r="C61" s="385"/>
      <c r="D61" s="408">
        <f>E61*12</f>
        <v>-15140.517600000001</v>
      </c>
      <c r="E61" s="406">
        <f>GETPIVOTDATA("合計 / 22.元金返済月額",pivot!$EM$7,"9.使途2","賃貸部門")/10000*-1</f>
        <v>-1261.7098000000001</v>
      </c>
      <c r="F61" s="381"/>
    </row>
    <row r="62" spans="2:6">
      <c r="B62" s="260" t="s">
        <v>1108</v>
      </c>
      <c r="C62" s="62"/>
      <c r="D62" s="401">
        <f>D60+D61</f>
        <v>9572.7556416799289</v>
      </c>
      <c r="E62" s="402">
        <f>E60+E61</f>
        <v>797.72963680666089</v>
      </c>
      <c r="F62" s="381"/>
    </row>
    <row r="63" spans="2:6">
      <c r="B63" s="260" t="s">
        <v>507</v>
      </c>
      <c r="C63" s="62"/>
      <c r="D63" s="401">
        <f>D45</f>
        <v>-4794.3636125039784</v>
      </c>
      <c r="E63" s="397" t="s">
        <v>846</v>
      </c>
      <c r="F63" s="381" t="s">
        <v>1090</v>
      </c>
    </row>
    <row r="64" spans="2:6">
      <c r="B64" s="260" t="s">
        <v>1109</v>
      </c>
      <c r="C64" s="62" t="s">
        <v>1080</v>
      </c>
      <c r="D64" s="408">
        <f>D62+D63</f>
        <v>4778.3920291759505</v>
      </c>
      <c r="E64" s="397">
        <f>D64/12</f>
        <v>398.19933576466252</v>
      </c>
      <c r="F64" s="381"/>
    </row>
    <row r="65" spans="2:6">
      <c r="B65" s="374" t="s">
        <v>1110</v>
      </c>
      <c r="C65" s="375"/>
      <c r="D65" s="404"/>
      <c r="E65" s="405"/>
      <c r="F65" s="358"/>
    </row>
    <row r="66" spans="2:6">
      <c r="B66" s="260" t="s">
        <v>1111</v>
      </c>
      <c r="C66" s="62"/>
      <c r="D66" s="401">
        <f>E66*12</f>
        <v>-406.29480000000001</v>
      </c>
      <c r="E66" s="397">
        <f>GETPIVOTDATA("合計 / 22.元金返済月額",pivot!$EM$7,"9.使途2","間接部門")/10000*-1</f>
        <v>-33.857900000000001</v>
      </c>
      <c r="F66" s="358"/>
    </row>
    <row r="67" spans="2:6">
      <c r="B67" s="260" t="s">
        <v>1112</v>
      </c>
      <c r="C67" s="62"/>
      <c r="D67" s="401">
        <f>D52+D66+D61-D42</f>
        <v>8262.0076416799293</v>
      </c>
      <c r="E67" s="397" t="s">
        <v>846</v>
      </c>
      <c r="F67" s="358"/>
    </row>
    <row r="68" spans="2:6">
      <c r="B68" s="260" t="s">
        <v>1103</v>
      </c>
      <c r="C68" s="62"/>
      <c r="D68" s="401">
        <f>D54</f>
        <v>-5276.8655945879755</v>
      </c>
      <c r="E68" s="397" t="s">
        <v>846</v>
      </c>
      <c r="F68" s="381" t="s">
        <v>1090</v>
      </c>
    </row>
    <row r="69" spans="2:6">
      <c r="B69" s="384" t="s">
        <v>1113</v>
      </c>
      <c r="C69" s="372" t="s">
        <v>1080</v>
      </c>
      <c r="D69" s="410">
        <f>D67+D68</f>
        <v>2985.1420470919538</v>
      </c>
      <c r="E69" s="412">
        <f>D69/12</f>
        <v>248.76183725766282</v>
      </c>
      <c r="F69" s="358"/>
    </row>
  </sheetData>
  <sheetProtection sheet="1" formatCells="0" formatColumns="0" formatRows="0" insertColumns="0" insertRows="0" insertHyperlinks="0" deleteColumns="0" deleteRows="0" sort="0" autoFilter="0" pivotTables="0"/>
  <phoneticPr fontId="5"/>
  <pageMargins left="0.23622047244094491" right="0.23622047244094491" top="0.74803149606299213" bottom="0.74803149606299213" header="0.31496062992125984" footer="0.31496062992125984"/>
  <pageSetup paperSize="8" orientation="portrait" r:id="rId1"/>
  <headerFooter>
    <oddHeader>&amp;A</oddHeader>
    <oddFooter>&amp;P / &amp;N ページ</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C49BA-CA13-47CE-9570-4650192BDA0B}">
  <sheetPr>
    <pageSetUpPr fitToPage="1"/>
  </sheetPr>
  <dimension ref="A1:BA95"/>
  <sheetViews>
    <sheetView tabSelected="1" view="pageBreakPreview" zoomScaleNormal="100" zoomScaleSheetLayoutView="100" workbookViewId="0">
      <pane xSplit="2" ySplit="1" topLeftCell="E2" activePane="bottomRight" state="frozen"/>
      <selection pane="bottomRight"/>
      <selection pane="bottomLeft" activeCell="A2" sqref="A2"/>
      <selection pane="topRight" activeCell="C1" sqref="C1"/>
    </sheetView>
  </sheetViews>
  <sheetFormatPr defaultRowHeight="13.5"/>
  <cols>
    <col min="1" max="1" width="4.375" customWidth="1"/>
    <col min="2" max="2" width="19.875" customWidth="1"/>
    <col min="3" max="3" width="20.125" customWidth="1"/>
    <col min="4" max="53" width="20.625" customWidth="1"/>
  </cols>
  <sheetData>
    <row r="1" spans="1:53" ht="27">
      <c r="A1" s="317"/>
      <c r="B1" s="318">
        <f>settings!L9</f>
        <v>44870</v>
      </c>
      <c r="C1" s="413" t="s">
        <v>1114</v>
      </c>
      <c r="D1" s="316" t="str">
        <f t="shared" ref="D1:BA1" si="0">VLOOKUP(D2,id_settings,2,FALSE)&amp;""</f>
        <v>西池袋駅前ビル</v>
      </c>
      <c r="E1" s="316" t="str">
        <f t="shared" si="0"/>
        <v>池袋ハウス</v>
      </c>
      <c r="F1" s="316" t="str">
        <f t="shared" si="0"/>
        <v>カーサ目白台ハウス</v>
      </c>
      <c r="G1" s="316" t="str">
        <f t="shared" si="0"/>
        <v>コアプラス池袋</v>
      </c>
      <c r="H1" s="316" t="str">
        <f t="shared" si="0"/>
        <v>目白アパート</v>
      </c>
      <c r="I1" s="316" t="str">
        <f t="shared" si="0"/>
        <v>東池袋ハイツ</v>
      </c>
      <c r="J1" s="316" t="str">
        <f t="shared" si="0"/>
        <v>メゾン雑司ヶ谷</v>
      </c>
      <c r="K1" s="316" t="str">
        <f t="shared" si="0"/>
        <v>カーサ南池袋</v>
      </c>
      <c r="L1" s="316" t="str">
        <f t="shared" si="0"/>
        <v>目白カーサ二番館</v>
      </c>
      <c r="M1" s="316" t="str">
        <f t="shared" si="0"/>
        <v>豊島目白ビル</v>
      </c>
      <c r="N1" s="316" t="str">
        <f t="shared" si="0"/>
        <v>第3目白ハイツ</v>
      </c>
      <c r="O1" s="316" t="str">
        <f t="shared" si="0"/>
        <v>レジデンス目白豊島</v>
      </c>
      <c r="P1" s="316" t="str">
        <f t="shared" si="0"/>
        <v>コアプラス大塚</v>
      </c>
      <c r="Q1" s="316" t="str">
        <f t="shared" si="0"/>
        <v>コアプラスレジデンス梅田</v>
      </c>
      <c r="R1" s="316" t="str">
        <f t="shared" si="0"/>
        <v>高田馬場第4玉川ビル</v>
      </c>
      <c r="S1" s="316" t="str">
        <f t="shared" si="0"/>
        <v>南池袋マンション</v>
      </c>
      <c r="T1" s="316" t="str">
        <f t="shared" si="0"/>
        <v>目白アパート1号館</v>
      </c>
      <c r="U1" s="316" t="str">
        <f t="shared" si="0"/>
        <v>目白アパート2号館</v>
      </c>
      <c r="V1" s="316" t="str">
        <f t="shared" si="0"/>
        <v>ビジネス新大阪123号</v>
      </c>
      <c r="W1" s="316" t="str">
        <f t="shared" si="0"/>
        <v>プラウD目白301号</v>
      </c>
      <c r="X1" s="316" t="e">
        <f t="shared" si="0"/>
        <v>#N/A</v>
      </c>
      <c r="Y1" s="316" t="e">
        <f t="shared" si="0"/>
        <v>#N/A</v>
      </c>
      <c r="Z1" s="316" t="e">
        <f t="shared" si="0"/>
        <v>#N/A</v>
      </c>
      <c r="AA1" s="316" t="e">
        <f t="shared" si="0"/>
        <v>#N/A</v>
      </c>
      <c r="AB1" s="316" t="e">
        <f t="shared" si="0"/>
        <v>#N/A</v>
      </c>
      <c r="AC1" s="316" t="e">
        <f t="shared" si="0"/>
        <v>#N/A</v>
      </c>
      <c r="AD1" s="316" t="e">
        <f t="shared" si="0"/>
        <v>#N/A</v>
      </c>
      <c r="AE1" s="316" t="e">
        <f t="shared" si="0"/>
        <v>#N/A</v>
      </c>
      <c r="AF1" s="316" t="e">
        <f t="shared" si="0"/>
        <v>#N/A</v>
      </c>
      <c r="AG1" s="316" t="e">
        <f t="shared" si="0"/>
        <v>#N/A</v>
      </c>
      <c r="AH1" s="316" t="e">
        <f t="shared" si="0"/>
        <v>#N/A</v>
      </c>
      <c r="AI1" s="316" t="e">
        <f t="shared" si="0"/>
        <v>#N/A</v>
      </c>
      <c r="AJ1" s="316" t="e">
        <f t="shared" si="0"/>
        <v>#N/A</v>
      </c>
      <c r="AK1" s="316" t="e">
        <f t="shared" si="0"/>
        <v>#N/A</v>
      </c>
      <c r="AL1" s="316" t="e">
        <f t="shared" si="0"/>
        <v>#N/A</v>
      </c>
      <c r="AM1" s="316" t="e">
        <f t="shared" si="0"/>
        <v>#N/A</v>
      </c>
      <c r="AN1" s="316" t="e">
        <f t="shared" si="0"/>
        <v>#N/A</v>
      </c>
      <c r="AO1" s="316" t="e">
        <f t="shared" si="0"/>
        <v>#N/A</v>
      </c>
      <c r="AP1" s="316" t="e">
        <f t="shared" si="0"/>
        <v>#N/A</v>
      </c>
      <c r="AQ1" s="316" t="e">
        <f t="shared" si="0"/>
        <v>#N/A</v>
      </c>
      <c r="AR1" s="316" t="e">
        <f t="shared" si="0"/>
        <v>#N/A</v>
      </c>
      <c r="AS1" s="316" t="e">
        <f t="shared" si="0"/>
        <v>#N/A</v>
      </c>
      <c r="AT1" s="316" t="e">
        <f t="shared" si="0"/>
        <v>#N/A</v>
      </c>
      <c r="AU1" s="316" t="e">
        <f t="shared" si="0"/>
        <v>#N/A</v>
      </c>
      <c r="AV1" s="316" t="e">
        <f t="shared" si="0"/>
        <v>#N/A</v>
      </c>
      <c r="AW1" s="316" t="e">
        <f t="shared" si="0"/>
        <v>#N/A</v>
      </c>
      <c r="AX1" s="316" t="e">
        <f t="shared" si="0"/>
        <v>#N/A</v>
      </c>
      <c r="AY1" s="316" t="e">
        <f t="shared" si="0"/>
        <v>#N/A</v>
      </c>
      <c r="AZ1" s="316" t="e">
        <f t="shared" si="0"/>
        <v>#N/A</v>
      </c>
      <c r="BA1" s="316" t="e">
        <f t="shared" si="0"/>
        <v>#N/A</v>
      </c>
    </row>
    <row r="2" spans="1:53">
      <c r="A2" s="138">
        <v>11</v>
      </c>
      <c r="B2" s="8" t="s">
        <v>76</v>
      </c>
      <c r="C2" s="414">
        <f>COUNTIF(asset!$5:$5,"no")</f>
        <v>20</v>
      </c>
      <c r="D2" s="16">
        <v>101</v>
      </c>
      <c r="E2" s="16">
        <v>102</v>
      </c>
      <c r="F2" s="16">
        <v>103</v>
      </c>
      <c r="G2" s="16">
        <v>104</v>
      </c>
      <c r="H2" s="16">
        <v>105</v>
      </c>
      <c r="I2" s="16">
        <v>106</v>
      </c>
      <c r="J2" s="16">
        <v>107</v>
      </c>
      <c r="K2" s="16">
        <v>109</v>
      </c>
      <c r="L2" s="16">
        <v>111</v>
      </c>
      <c r="M2" s="16">
        <v>112</v>
      </c>
      <c r="N2" s="16">
        <v>113</v>
      </c>
      <c r="O2" s="16">
        <v>114</v>
      </c>
      <c r="P2" s="16">
        <v>115</v>
      </c>
      <c r="Q2" s="16">
        <v>116</v>
      </c>
      <c r="R2" s="16">
        <v>117</v>
      </c>
      <c r="S2" s="16">
        <v>120</v>
      </c>
      <c r="T2" s="16">
        <v>121</v>
      </c>
      <c r="U2" s="16">
        <v>122</v>
      </c>
      <c r="V2" s="16">
        <v>221</v>
      </c>
      <c r="W2" s="16">
        <v>222</v>
      </c>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row>
    <row r="3" spans="1:53">
      <c r="A3" s="223">
        <v>12</v>
      </c>
      <c r="B3" s="9" t="s">
        <v>77</v>
      </c>
      <c r="C3" s="415"/>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row>
    <row r="4" spans="1:53" s="3" customFormat="1" ht="19.5" customHeight="1">
      <c r="A4" s="275">
        <v>13</v>
      </c>
      <c r="B4" s="15" t="s">
        <v>78</v>
      </c>
      <c r="C4" s="416"/>
      <c r="D4" s="276" t="str">
        <f>HLOOKUP(D$2,id2_asset,asset!$A9,FALSE)&amp;""</f>
        <v>コアプラス東京株式会社</v>
      </c>
      <c r="E4" s="276" t="str">
        <f>HLOOKUP(E$2,id2_asset,asset!$A9,FALSE)&amp;""</f>
        <v>コアプラス名古屋株式会社</v>
      </c>
      <c r="F4" s="276" t="str">
        <f>HLOOKUP(F$2,id2_asset,asset!$A9,FALSE)&amp;""</f>
        <v>有限会社コアプラス2号</v>
      </c>
      <c r="G4" s="276" t="str">
        <f>HLOOKUP(G$2,id2_asset,asset!$A9,FALSE)&amp;""</f>
        <v>コアプラス大阪株式会社</v>
      </c>
      <c r="H4" s="276" t="str">
        <f>HLOOKUP(H$2,id2_asset,asset!$A9,FALSE)&amp;""</f>
        <v>コアプラス仙台株式会社</v>
      </c>
      <c r="I4" s="276" t="str">
        <f>HLOOKUP(I$2,id2_asset,asset!$A9,FALSE)&amp;""</f>
        <v>コアプラス札幌株式会社</v>
      </c>
      <c r="J4" s="276" t="str">
        <f>HLOOKUP(J$2,id2_asset,asset!$A9,FALSE)&amp;""</f>
        <v>コアプラス福岡株式会社</v>
      </c>
      <c r="K4" s="276" t="str">
        <f>HLOOKUP(K$2,id2_asset,asset!$A9,FALSE)&amp;""</f>
        <v>コアプラス四国株式会社</v>
      </c>
      <c r="L4" s="276" t="str">
        <f>HLOOKUP(L$2,id2_asset,asset!$A9,FALSE)&amp;""</f>
        <v>コアプラス東京株式会社</v>
      </c>
      <c r="M4" s="276" t="str">
        <f>HLOOKUP(M$2,id2_asset,asset!$A9,FALSE)&amp;""</f>
        <v>コアプラス名古屋株式会社</v>
      </c>
      <c r="N4" s="276" t="str">
        <f>HLOOKUP(N$2,id2_asset,asset!$A9,FALSE)&amp;""</f>
        <v>コアプラス大阪株式会社</v>
      </c>
      <c r="O4" s="276" t="str">
        <f>HLOOKUP(O$2,id2_asset,asset!$A9,FALSE)&amp;""</f>
        <v>コアプラス大阪株式会社</v>
      </c>
      <c r="P4" s="276" t="str">
        <f>HLOOKUP(P$2,id2_asset,asset!$A9,FALSE)&amp;""</f>
        <v>コアプラス仙台株式会社</v>
      </c>
      <c r="Q4" s="276" t="str">
        <f>HLOOKUP(Q$2,id2_asset,asset!$A9,FALSE)&amp;""</f>
        <v>コアプラス札幌株式会社</v>
      </c>
      <c r="R4" s="276" t="str">
        <f>HLOOKUP(R$2,id2_asset,asset!$A9,FALSE)&amp;""</f>
        <v>コアプラス福岡株式会社</v>
      </c>
      <c r="S4" s="276" t="str">
        <f>HLOOKUP(S$2,id2_asset,asset!$A9,FALSE)&amp;""</f>
        <v>コアプラス京都株式会社</v>
      </c>
      <c r="T4" s="276" t="str">
        <f>HLOOKUP(T$2,id2_asset,asset!$A9,FALSE)&amp;""</f>
        <v>コアプラス京都株式会社</v>
      </c>
      <c r="U4" s="276" t="str">
        <f>HLOOKUP(U$2,id2_asset,asset!$A9,FALSE)&amp;""</f>
        <v>コアプラス京都株式会社</v>
      </c>
      <c r="V4" s="276" t="str">
        <f>HLOOKUP(V$2,id2_asset,asset!$A9,FALSE)&amp;""</f>
        <v>コアプラス京都株式会社</v>
      </c>
      <c r="W4" s="276" t="str">
        <f>HLOOKUP(W$2,id2_asset,asset!$A9,FALSE)&amp;""</f>
        <v>コアプラス東京株式会社</v>
      </c>
      <c r="X4" s="276" t="e">
        <f>HLOOKUP(X$2,id2_asset,asset!$A9,FALSE)&amp;""</f>
        <v>#N/A</v>
      </c>
      <c r="Y4" s="276" t="e">
        <f>HLOOKUP(Y$2,id2_asset,asset!$A9,FALSE)&amp;""</f>
        <v>#N/A</v>
      </c>
      <c r="Z4" s="276" t="e">
        <f>HLOOKUP(Z$2,id2_asset,asset!$A9,FALSE)&amp;""</f>
        <v>#N/A</v>
      </c>
      <c r="AA4" s="276" t="e">
        <f>HLOOKUP(AA$2,id2_asset,asset!$A9,FALSE)&amp;""</f>
        <v>#N/A</v>
      </c>
      <c r="AB4" s="276" t="e">
        <f>HLOOKUP(AB$2,id2_asset,asset!$A9,FALSE)&amp;""</f>
        <v>#N/A</v>
      </c>
      <c r="AC4" s="276" t="e">
        <f>HLOOKUP(AC$2,id2_asset,asset!$A9,FALSE)&amp;""</f>
        <v>#N/A</v>
      </c>
      <c r="AD4" s="276" t="e">
        <f>HLOOKUP(AD$2,id2_asset,asset!$A9,FALSE)&amp;""</f>
        <v>#N/A</v>
      </c>
      <c r="AE4" s="276" t="e">
        <f>HLOOKUP(AE$2,id2_asset,asset!$A9,FALSE)&amp;""</f>
        <v>#N/A</v>
      </c>
      <c r="AF4" s="276" t="e">
        <f>HLOOKUP(AF$2,id2_asset,asset!$A9,FALSE)&amp;""</f>
        <v>#N/A</v>
      </c>
      <c r="AG4" s="276" t="e">
        <f>HLOOKUP(AG$2,id2_asset,asset!$A9,FALSE)&amp;""</f>
        <v>#N/A</v>
      </c>
      <c r="AH4" s="276" t="e">
        <f>HLOOKUP(AH$2,id2_asset,asset!$A9,FALSE)&amp;""</f>
        <v>#N/A</v>
      </c>
      <c r="AI4" s="276" t="e">
        <f>HLOOKUP(AI$2,id2_asset,asset!$A9,FALSE)&amp;""</f>
        <v>#N/A</v>
      </c>
      <c r="AJ4" s="276" t="e">
        <f>HLOOKUP(AJ$2,id2_asset,asset!$A9,FALSE)&amp;""</f>
        <v>#N/A</v>
      </c>
      <c r="AK4" s="276" t="e">
        <f>HLOOKUP(AK$2,id2_asset,asset!$A9,FALSE)&amp;""</f>
        <v>#N/A</v>
      </c>
      <c r="AL4" s="276" t="e">
        <f>HLOOKUP(AL$2,id2_asset,asset!$A9,FALSE)&amp;""</f>
        <v>#N/A</v>
      </c>
      <c r="AM4" s="276" t="e">
        <f>HLOOKUP(AM$2,id2_asset,asset!$A9,FALSE)&amp;""</f>
        <v>#N/A</v>
      </c>
      <c r="AN4" s="276" t="e">
        <f>HLOOKUP(AN$2,id2_asset,asset!$A9,FALSE)&amp;""</f>
        <v>#N/A</v>
      </c>
      <c r="AO4" s="276" t="e">
        <f>HLOOKUP(AO$2,id2_asset,asset!$A9,FALSE)&amp;""</f>
        <v>#N/A</v>
      </c>
      <c r="AP4" s="276" t="e">
        <f>HLOOKUP(AP$2,id2_asset,asset!$A9,FALSE)&amp;""</f>
        <v>#N/A</v>
      </c>
      <c r="AQ4" s="276" t="e">
        <f>HLOOKUP(AQ$2,id2_asset,asset!$A9,FALSE)&amp;""</f>
        <v>#N/A</v>
      </c>
      <c r="AR4" s="276" t="e">
        <f>HLOOKUP(AR$2,id2_asset,asset!$A9,FALSE)&amp;""</f>
        <v>#N/A</v>
      </c>
      <c r="AS4" s="276" t="e">
        <f>HLOOKUP(AS$2,id2_asset,asset!$A9,FALSE)&amp;""</f>
        <v>#N/A</v>
      </c>
      <c r="AT4" s="276" t="e">
        <f>HLOOKUP(AT$2,id2_asset,asset!$A9,FALSE)&amp;""</f>
        <v>#N/A</v>
      </c>
      <c r="AU4" s="276" t="e">
        <f>HLOOKUP(AU$2,id2_asset,asset!$A9,FALSE)&amp;""</f>
        <v>#N/A</v>
      </c>
      <c r="AV4" s="276" t="e">
        <f>HLOOKUP(AV$2,id2_asset,asset!$A9,FALSE)&amp;""</f>
        <v>#N/A</v>
      </c>
      <c r="AW4" s="276" t="e">
        <f>HLOOKUP(AW$2,id2_asset,asset!$A9,FALSE)&amp;""</f>
        <v>#N/A</v>
      </c>
      <c r="AX4" s="276" t="e">
        <f>HLOOKUP(AX$2,id2_asset,asset!$A9,FALSE)&amp;""</f>
        <v>#N/A</v>
      </c>
      <c r="AY4" s="276" t="e">
        <f>HLOOKUP(AY$2,id2_asset,asset!$A9,FALSE)&amp;""</f>
        <v>#N/A</v>
      </c>
      <c r="AZ4" s="276" t="e">
        <f>HLOOKUP(AZ$2,id2_asset,asset!$A9,FALSE)&amp;""</f>
        <v>#N/A</v>
      </c>
      <c r="BA4" s="276" t="e">
        <f>HLOOKUP(BA$2,id2_asset,asset!$A9,FALSE)&amp;""</f>
        <v>#N/A</v>
      </c>
    </row>
    <row r="5" spans="1:53" ht="30.75" customHeight="1">
      <c r="A5" s="277">
        <v>14</v>
      </c>
      <c r="B5" s="278" t="s">
        <v>79</v>
      </c>
      <c r="C5" s="414"/>
      <c r="D5" s="279" t="str">
        <f>HLOOKUP(D$2,id2_asset,asset!$A10,FALSE)&amp;""</f>
        <v>山手線「池袋」歩7分</v>
      </c>
      <c r="E5" s="279" t="str">
        <f>HLOOKUP(E$2,id2_asset,asset!$A10,FALSE)&amp;""</f>
        <v>山手線「池袋」歩8分</v>
      </c>
      <c r="F5" s="279" t="str">
        <f>HLOOKUP(F$2,id2_asset,asset!$A10,FALSE)&amp;""</f>
        <v>山手線「目白」歩10分</v>
      </c>
      <c r="G5" s="279" t="str">
        <f>HLOOKUP(G$2,id2_asset,asset!$A10,FALSE)&amp;""</f>
        <v>山手線「池袋」歩10分</v>
      </c>
      <c r="H5" s="279" t="str">
        <f>HLOOKUP(H$2,id2_asset,asset!$A10,FALSE)&amp;""</f>
        <v>西武池袋線｢椎名町｣歩7分</v>
      </c>
      <c r="I5" s="279" t="str">
        <f>HLOOKUP(I$2,id2_asset,asset!$A10,FALSE)&amp;""</f>
        <v>中央線「高円寺」
歩4分</v>
      </c>
      <c r="J5" s="279" t="str">
        <f>HLOOKUP(J$2,id2_asset,asset!$A10,FALSE)&amp;""</f>
        <v>東京メトロ副都心線「雑司ヶ谷」歩8分</v>
      </c>
      <c r="K5" s="279" t="str">
        <f>HLOOKUP(K$2,id2_asset,asset!$A10,FALSE)&amp;""</f>
        <v>山手線「池袋」歩7分</v>
      </c>
      <c r="L5" s="279" t="str">
        <f>HLOOKUP(L$2,id2_asset,asset!$A10,FALSE)&amp;""</f>
        <v>山手線「目白」歩10分</v>
      </c>
      <c r="M5" s="279" t="str">
        <f>HLOOKUP(M$2,id2_asset,asset!$A10,FALSE)&amp;""</f>
        <v>山手線「池袋」歩10分</v>
      </c>
      <c r="N5" s="279" t="str">
        <f>HLOOKUP(N$2,id2_asset,asset!$A10,FALSE)&amp;""</f>
        <v>西武池袋線｢椎名町｣歩7分</v>
      </c>
      <c r="O5" s="279" t="str">
        <f>HLOOKUP(O$2,id2_asset,asset!$A10,FALSE)&amp;""</f>
        <v>中央線「高円寺」
歩4分</v>
      </c>
      <c r="P5" s="279" t="str">
        <f>HLOOKUP(P$2,id2_asset,asset!$A10,FALSE)&amp;""</f>
        <v>東京メトロ副都心線「雑司ヶ谷」歩8分</v>
      </c>
      <c r="Q5" s="279" t="str">
        <f>HLOOKUP(Q$2,id2_asset,asset!$A10,FALSE)&amp;""</f>
        <v>御堂筋線「梅田」歩7分</v>
      </c>
      <c r="R5" s="279" t="str">
        <f>HLOOKUP(R$2,id2_asset,asset!$A10,FALSE)&amp;""</f>
        <v>御堂筋線「梅田」歩7分</v>
      </c>
      <c r="S5" s="279" t="str">
        <f>HLOOKUP(S$2,id2_asset,asset!$A10,FALSE)&amp;""</f>
        <v>山手線「池袋」歩10分
都電荒川線「雑司ヶ谷」歩5分</v>
      </c>
      <c r="T5" s="279" t="str">
        <f>HLOOKUP(T$2,id2_asset,asset!$A10,FALSE)&amp;""</f>
        <v>山手線「目白」歩10分</v>
      </c>
      <c r="U5" s="279" t="str">
        <f>HLOOKUP(U$2,id2_asset,asset!$A10,FALSE)&amp;""</f>
        <v>山手線「目白」歩10分</v>
      </c>
      <c r="V5" s="279" t="str">
        <f>HLOOKUP(V$2,id2_asset,asset!$A10,FALSE)&amp;""</f>
        <v>西武池袋線｢椎名町｣歩7分</v>
      </c>
      <c r="W5" s="279" t="str">
        <f>HLOOKUP(W$2,id2_asset,asset!$A10,FALSE)&amp;""</f>
        <v>山手線「目白」歩10分</v>
      </c>
      <c r="X5" s="279" t="e">
        <f>HLOOKUP(X$2,id2_asset,asset!$A10,FALSE)&amp;""</f>
        <v>#N/A</v>
      </c>
      <c r="Y5" s="279" t="e">
        <f>HLOOKUP(Y$2,id2_asset,asset!$A10,FALSE)&amp;""</f>
        <v>#N/A</v>
      </c>
      <c r="Z5" s="279" t="e">
        <f>HLOOKUP(Z$2,id2_asset,asset!$A10,FALSE)&amp;""</f>
        <v>#N/A</v>
      </c>
      <c r="AA5" s="279" t="e">
        <f>HLOOKUP(AA$2,id2_asset,asset!$A10,FALSE)&amp;""</f>
        <v>#N/A</v>
      </c>
      <c r="AB5" s="279" t="e">
        <f>HLOOKUP(AB$2,id2_asset,asset!$A10,FALSE)&amp;""</f>
        <v>#N/A</v>
      </c>
      <c r="AC5" s="279" t="e">
        <f>HLOOKUP(AC$2,id2_asset,asset!$A10,FALSE)&amp;""</f>
        <v>#N/A</v>
      </c>
      <c r="AD5" s="279" t="e">
        <f>HLOOKUP(AD$2,id2_asset,asset!$A10,FALSE)&amp;""</f>
        <v>#N/A</v>
      </c>
      <c r="AE5" s="279" t="e">
        <f>HLOOKUP(AE$2,id2_asset,asset!$A10,FALSE)&amp;""</f>
        <v>#N/A</v>
      </c>
      <c r="AF5" s="279" t="e">
        <f>HLOOKUP(AF$2,id2_asset,asset!$A10,FALSE)&amp;""</f>
        <v>#N/A</v>
      </c>
      <c r="AG5" s="279" t="e">
        <f>HLOOKUP(AG$2,id2_asset,asset!$A10,FALSE)&amp;""</f>
        <v>#N/A</v>
      </c>
      <c r="AH5" s="279" t="e">
        <f>HLOOKUP(AH$2,id2_asset,asset!$A10,FALSE)&amp;""</f>
        <v>#N/A</v>
      </c>
      <c r="AI5" s="279" t="e">
        <f>HLOOKUP(AI$2,id2_asset,asset!$A10,FALSE)&amp;""</f>
        <v>#N/A</v>
      </c>
      <c r="AJ5" s="279" t="e">
        <f>HLOOKUP(AJ$2,id2_asset,asset!$A10,FALSE)&amp;""</f>
        <v>#N/A</v>
      </c>
      <c r="AK5" s="279" t="e">
        <f>HLOOKUP(AK$2,id2_asset,asset!$A10,FALSE)&amp;""</f>
        <v>#N/A</v>
      </c>
      <c r="AL5" s="279" t="e">
        <f>HLOOKUP(AL$2,id2_asset,asset!$A10,FALSE)&amp;""</f>
        <v>#N/A</v>
      </c>
      <c r="AM5" s="279" t="e">
        <f>HLOOKUP(AM$2,id2_asset,asset!$A10,FALSE)&amp;""</f>
        <v>#N/A</v>
      </c>
      <c r="AN5" s="279" t="e">
        <f>HLOOKUP(AN$2,id2_asset,asset!$A10,FALSE)&amp;""</f>
        <v>#N/A</v>
      </c>
      <c r="AO5" s="279" t="e">
        <f>HLOOKUP(AO$2,id2_asset,asset!$A10,FALSE)&amp;""</f>
        <v>#N/A</v>
      </c>
      <c r="AP5" s="279" t="e">
        <f>HLOOKUP(AP$2,id2_asset,asset!$A10,FALSE)&amp;""</f>
        <v>#N/A</v>
      </c>
      <c r="AQ5" s="279" t="e">
        <f>HLOOKUP(AQ$2,id2_asset,asset!$A10,FALSE)&amp;""</f>
        <v>#N/A</v>
      </c>
      <c r="AR5" s="279" t="e">
        <f>HLOOKUP(AR$2,id2_asset,asset!$A10,FALSE)&amp;""</f>
        <v>#N/A</v>
      </c>
      <c r="AS5" s="279" t="e">
        <f>HLOOKUP(AS$2,id2_asset,asset!$A10,FALSE)&amp;""</f>
        <v>#N/A</v>
      </c>
      <c r="AT5" s="279" t="e">
        <f>HLOOKUP(AT$2,id2_asset,asset!$A10,FALSE)&amp;""</f>
        <v>#N/A</v>
      </c>
      <c r="AU5" s="279" t="e">
        <f>HLOOKUP(AU$2,id2_asset,asset!$A10,FALSE)&amp;""</f>
        <v>#N/A</v>
      </c>
      <c r="AV5" s="279" t="e">
        <f>HLOOKUP(AV$2,id2_asset,asset!$A10,FALSE)&amp;""</f>
        <v>#N/A</v>
      </c>
      <c r="AW5" s="279" t="e">
        <f>HLOOKUP(AW$2,id2_asset,asset!$A10,FALSE)&amp;""</f>
        <v>#N/A</v>
      </c>
      <c r="AX5" s="279" t="e">
        <f>HLOOKUP(AX$2,id2_asset,asset!$A10,FALSE)&amp;""</f>
        <v>#N/A</v>
      </c>
      <c r="AY5" s="279" t="e">
        <f>HLOOKUP(AY$2,id2_asset,asset!$A10,FALSE)&amp;""</f>
        <v>#N/A</v>
      </c>
      <c r="AZ5" s="279" t="e">
        <f>HLOOKUP(AZ$2,id2_asset,asset!$A10,FALSE)&amp;""</f>
        <v>#N/A</v>
      </c>
      <c r="BA5" s="279" t="e">
        <f>HLOOKUP(BA$2,id2_asset,asset!$A10,FALSE)&amp;""</f>
        <v>#N/A</v>
      </c>
    </row>
    <row r="6" spans="1:53" ht="27">
      <c r="A6" s="277">
        <v>15</v>
      </c>
      <c r="B6" s="278" t="s">
        <v>81</v>
      </c>
      <c r="C6" s="414"/>
      <c r="D6" s="279" t="str">
        <f>HLOOKUP(D$2,id2_asset,asset!$A11,FALSE)&amp;""</f>
        <v>豊島区西池袋3-7-21</v>
      </c>
      <c r="E6" s="279" t="str">
        <f>HLOOKUP(E$2,id2_asset,asset!$A11,FALSE)&amp;""</f>
        <v>豊島区池袋6-1-22</v>
      </c>
      <c r="F6" s="279" t="str">
        <f>HLOOKUP(F$2,id2_asset,asset!$A11,FALSE)&amp;""</f>
        <v>文京区目白台7-1-19</v>
      </c>
      <c r="G6" s="279" t="str">
        <f>HLOOKUP(G$2,id2_asset,asset!$A11,FALSE)&amp;""</f>
        <v>豊島区池袋9-2-1</v>
      </c>
      <c r="H6" s="279" t="str">
        <f>HLOOKUP(H$2,id2_asset,asset!$A11,FALSE)&amp;""</f>
        <v>豊島区目白6-11-21</v>
      </c>
      <c r="I6" s="279" t="str">
        <f>HLOOKUP(I$2,id2_asset,asset!$A11,FALSE)&amp;""</f>
        <v>杉並区高円寺9-1-6</v>
      </c>
      <c r="J6" s="279" t="str">
        <f>HLOOKUP(J$2,id2_asset,asset!$A11,FALSE)&amp;""</f>
        <v>豊島区西池袋3-7-21</v>
      </c>
      <c r="K6" s="279" t="str">
        <f>HLOOKUP(K$2,id2_asset,asset!$A11,FALSE)&amp;""</f>
        <v>文京区目白台7-1-19</v>
      </c>
      <c r="L6" s="279" t="str">
        <f>HLOOKUP(L$2,id2_asset,asset!$A11,FALSE)&amp;""</f>
        <v>豊島区目白6-11-21</v>
      </c>
      <c r="M6" s="279" t="str">
        <f>HLOOKUP(M$2,id2_asset,asset!$A11,FALSE)&amp;""</f>
        <v>豊島区目白6-11-21</v>
      </c>
      <c r="N6" s="279" t="str">
        <f>HLOOKUP(N$2,id2_asset,asset!$A11,FALSE)&amp;""</f>
        <v>文京区目白台7-1-19</v>
      </c>
      <c r="O6" s="279" t="str">
        <f>HLOOKUP(O$2,id2_asset,asset!$A11,FALSE)&amp;""</f>
        <v>杉並区高円寺9-1-6</v>
      </c>
      <c r="P6" s="279" t="str">
        <f>HLOOKUP(P$2,id2_asset,asset!$A11,FALSE)&amp;""</f>
        <v>豊島区池袋9-2-1</v>
      </c>
      <c r="Q6" s="279" t="str">
        <f>HLOOKUP(Q$2,id2_asset,asset!$A11,FALSE)&amp;""</f>
        <v>大阪府大阪市北区梅田3-9-9</v>
      </c>
      <c r="R6" s="279" t="str">
        <f>HLOOKUP(R$2,id2_asset,asset!$A11,FALSE)&amp;""</f>
        <v>大阪府大阪市北区梅田3-9-9</v>
      </c>
      <c r="S6" s="279" t="str">
        <f>HLOOKUP(S$2,id2_asset,asset!$A11,FALSE)&amp;""</f>
        <v>豊島区池袋6-1-22</v>
      </c>
      <c r="T6" s="279" t="str">
        <f>HLOOKUP(T$2,id2_asset,asset!$A11,FALSE)&amp;""</f>
        <v>豊島区目白7-15-5</v>
      </c>
      <c r="U6" s="279" t="str">
        <f>HLOOKUP(U$2,id2_asset,asset!$A11,FALSE)&amp;""</f>
        <v>豊島区目白7-15-6</v>
      </c>
      <c r="V6" s="279" t="str">
        <f>HLOOKUP(V$2,id2_asset,asset!$A11,FALSE)&amp;""</f>
        <v>豊島区目白6-11-21</v>
      </c>
      <c r="W6" s="279" t="str">
        <f>HLOOKUP(W$2,id2_asset,asset!$A11,FALSE)&amp;""</f>
        <v>豊島区目白7-11-9</v>
      </c>
      <c r="X6" s="279" t="e">
        <f>HLOOKUP(X$2,id2_asset,asset!$A11,FALSE)&amp;""</f>
        <v>#N/A</v>
      </c>
      <c r="Y6" s="279" t="e">
        <f>HLOOKUP(Y$2,id2_asset,asset!$A11,FALSE)&amp;""</f>
        <v>#N/A</v>
      </c>
      <c r="Z6" s="279" t="e">
        <f>HLOOKUP(Z$2,id2_asset,asset!$A11,FALSE)&amp;""</f>
        <v>#N/A</v>
      </c>
      <c r="AA6" s="279" t="e">
        <f>HLOOKUP(AA$2,id2_asset,asset!$A11,FALSE)&amp;""</f>
        <v>#N/A</v>
      </c>
      <c r="AB6" s="279" t="e">
        <f>HLOOKUP(AB$2,id2_asset,asset!$A11,FALSE)&amp;""</f>
        <v>#N/A</v>
      </c>
      <c r="AC6" s="279" t="e">
        <f>HLOOKUP(AC$2,id2_asset,asset!$A11,FALSE)&amp;""</f>
        <v>#N/A</v>
      </c>
      <c r="AD6" s="279" t="e">
        <f>HLOOKUP(AD$2,id2_asset,asset!$A11,FALSE)&amp;""</f>
        <v>#N/A</v>
      </c>
      <c r="AE6" s="279" t="e">
        <f>HLOOKUP(AE$2,id2_asset,asset!$A11,FALSE)&amp;""</f>
        <v>#N/A</v>
      </c>
      <c r="AF6" s="279" t="e">
        <f>HLOOKUP(AF$2,id2_asset,asset!$A11,FALSE)&amp;""</f>
        <v>#N/A</v>
      </c>
      <c r="AG6" s="279" t="e">
        <f>HLOOKUP(AG$2,id2_asset,asset!$A11,FALSE)&amp;""</f>
        <v>#N/A</v>
      </c>
      <c r="AH6" s="279" t="e">
        <f>HLOOKUP(AH$2,id2_asset,asset!$A11,FALSE)&amp;""</f>
        <v>#N/A</v>
      </c>
      <c r="AI6" s="279" t="e">
        <f>HLOOKUP(AI$2,id2_asset,asset!$A11,FALSE)&amp;""</f>
        <v>#N/A</v>
      </c>
      <c r="AJ6" s="279" t="e">
        <f>HLOOKUP(AJ$2,id2_asset,asset!$A11,FALSE)&amp;""</f>
        <v>#N/A</v>
      </c>
      <c r="AK6" s="279" t="e">
        <f>HLOOKUP(AK$2,id2_asset,asset!$A11,FALSE)&amp;""</f>
        <v>#N/A</v>
      </c>
      <c r="AL6" s="279" t="e">
        <f>HLOOKUP(AL$2,id2_asset,asset!$A11,FALSE)&amp;""</f>
        <v>#N/A</v>
      </c>
      <c r="AM6" s="279" t="e">
        <f>HLOOKUP(AM$2,id2_asset,asset!$A11,FALSE)&amp;""</f>
        <v>#N/A</v>
      </c>
      <c r="AN6" s="279" t="e">
        <f>HLOOKUP(AN$2,id2_asset,asset!$A11,FALSE)&amp;""</f>
        <v>#N/A</v>
      </c>
      <c r="AO6" s="279" t="e">
        <f>HLOOKUP(AO$2,id2_asset,asset!$A11,FALSE)&amp;""</f>
        <v>#N/A</v>
      </c>
      <c r="AP6" s="279" t="e">
        <f>HLOOKUP(AP$2,id2_asset,asset!$A11,FALSE)&amp;""</f>
        <v>#N/A</v>
      </c>
      <c r="AQ6" s="279" t="e">
        <f>HLOOKUP(AQ$2,id2_asset,asset!$A11,FALSE)&amp;""</f>
        <v>#N/A</v>
      </c>
      <c r="AR6" s="279" t="e">
        <f>HLOOKUP(AR$2,id2_asset,asset!$A11,FALSE)&amp;""</f>
        <v>#N/A</v>
      </c>
      <c r="AS6" s="279" t="e">
        <f>HLOOKUP(AS$2,id2_asset,asset!$A11,FALSE)&amp;""</f>
        <v>#N/A</v>
      </c>
      <c r="AT6" s="279" t="e">
        <f>HLOOKUP(AT$2,id2_asset,asset!$A11,FALSE)&amp;""</f>
        <v>#N/A</v>
      </c>
      <c r="AU6" s="279" t="e">
        <f>HLOOKUP(AU$2,id2_asset,asset!$A11,FALSE)&amp;""</f>
        <v>#N/A</v>
      </c>
      <c r="AV6" s="279" t="e">
        <f>HLOOKUP(AV$2,id2_asset,asset!$A11,FALSE)&amp;""</f>
        <v>#N/A</v>
      </c>
      <c r="AW6" s="279" t="e">
        <f>HLOOKUP(AW$2,id2_asset,asset!$A11,FALSE)&amp;""</f>
        <v>#N/A</v>
      </c>
      <c r="AX6" s="279" t="e">
        <f>HLOOKUP(AX$2,id2_asset,asset!$A11,FALSE)&amp;""</f>
        <v>#N/A</v>
      </c>
      <c r="AY6" s="279" t="e">
        <f>HLOOKUP(AY$2,id2_asset,asset!$A11,FALSE)&amp;""</f>
        <v>#N/A</v>
      </c>
      <c r="AZ6" s="279" t="e">
        <f>HLOOKUP(AZ$2,id2_asset,asset!$A11,FALSE)&amp;""</f>
        <v>#N/A</v>
      </c>
      <c r="BA6" s="279" t="e">
        <f>HLOOKUP(BA$2,id2_asset,asset!$A11,FALSE)&amp;""</f>
        <v>#N/A</v>
      </c>
    </row>
    <row r="7" spans="1:53">
      <c r="A7" s="277">
        <v>16</v>
      </c>
      <c r="B7" s="13" t="s">
        <v>84</v>
      </c>
      <c r="C7" s="414"/>
      <c r="D7" s="279" t="str">
        <f>HLOOKUP(D$2,id2_asset,asset!$A12,FALSE)&amp;""</f>
        <v>一棟</v>
      </c>
      <c r="E7" s="279" t="str">
        <f>HLOOKUP(E$2,id2_asset,asset!$A12,FALSE)&amp;""</f>
        <v>一棟</v>
      </c>
      <c r="F7" s="279" t="str">
        <f>HLOOKUP(F$2,id2_asset,asset!$A12,FALSE)&amp;""</f>
        <v>一棟</v>
      </c>
      <c r="G7" s="279" t="str">
        <f>HLOOKUP(G$2,id2_asset,asset!$A12,FALSE)&amp;""</f>
        <v>一棟</v>
      </c>
      <c r="H7" s="279" t="str">
        <f>HLOOKUP(H$2,id2_asset,asset!$A12,FALSE)&amp;""</f>
        <v>一棟</v>
      </c>
      <c r="I7" s="279" t="str">
        <f>HLOOKUP(I$2,id2_asset,asset!$A12,FALSE)&amp;""</f>
        <v>一棟</v>
      </c>
      <c r="J7" s="279" t="str">
        <f>HLOOKUP(J$2,id2_asset,asset!$A12,FALSE)&amp;""</f>
        <v>一棟</v>
      </c>
      <c r="K7" s="279" t="str">
        <f>HLOOKUP(K$2,id2_asset,asset!$A12,FALSE)&amp;""</f>
        <v>一棟</v>
      </c>
      <c r="L7" s="279" t="str">
        <f>HLOOKUP(L$2,id2_asset,asset!$A12,FALSE)&amp;""</f>
        <v>一棟</v>
      </c>
      <c r="M7" s="279" t="str">
        <f>HLOOKUP(M$2,id2_asset,asset!$A12,FALSE)&amp;""</f>
        <v>一棟</v>
      </c>
      <c r="N7" s="279" t="str">
        <f>HLOOKUP(N$2,id2_asset,asset!$A12,FALSE)&amp;""</f>
        <v>一棟</v>
      </c>
      <c r="O7" s="279" t="str">
        <f>HLOOKUP(O$2,id2_asset,asset!$A12,FALSE)&amp;""</f>
        <v>一棟</v>
      </c>
      <c r="P7" s="279" t="str">
        <f>HLOOKUP(P$2,id2_asset,asset!$A12,FALSE)&amp;""</f>
        <v>一棟</v>
      </c>
      <c r="Q7" s="279" t="str">
        <f>HLOOKUP(Q$2,id2_asset,asset!$A12,FALSE)&amp;""</f>
        <v>一棟</v>
      </c>
      <c r="R7" s="279" t="str">
        <f>HLOOKUP(R$2,id2_asset,asset!$A12,FALSE)&amp;""</f>
        <v>一棟</v>
      </c>
      <c r="S7" s="279" t="str">
        <f>HLOOKUP(S$2,id2_asset,asset!$A12,FALSE)&amp;""</f>
        <v>一棟</v>
      </c>
      <c r="T7" s="279" t="str">
        <f>HLOOKUP(T$2,id2_asset,asset!$A12,FALSE)&amp;""</f>
        <v>区分</v>
      </c>
      <c r="U7" s="279" t="str">
        <f>HLOOKUP(U$2,id2_asset,asset!$A12,FALSE)&amp;""</f>
        <v>区分</v>
      </c>
      <c r="V7" s="279" t="str">
        <f>HLOOKUP(V$2,id2_asset,asset!$A12,FALSE)&amp;""</f>
        <v>区分</v>
      </c>
      <c r="W7" s="279" t="str">
        <f>HLOOKUP(W$2,id2_asset,asset!$A12,FALSE)&amp;""</f>
        <v>区分</v>
      </c>
      <c r="X7" s="279" t="e">
        <f>HLOOKUP(X$2,id2_asset,asset!$A12,FALSE)&amp;""</f>
        <v>#N/A</v>
      </c>
      <c r="Y7" s="279" t="e">
        <f>HLOOKUP(Y$2,id2_asset,asset!$A12,FALSE)&amp;""</f>
        <v>#N/A</v>
      </c>
      <c r="Z7" s="279" t="e">
        <f>HLOOKUP(Z$2,id2_asset,asset!$A12,FALSE)&amp;""</f>
        <v>#N/A</v>
      </c>
      <c r="AA7" s="279" t="e">
        <f>HLOOKUP(AA$2,id2_asset,asset!$A12,FALSE)&amp;""</f>
        <v>#N/A</v>
      </c>
      <c r="AB7" s="279" t="e">
        <f>HLOOKUP(AB$2,id2_asset,asset!$A12,FALSE)&amp;""</f>
        <v>#N/A</v>
      </c>
      <c r="AC7" s="279" t="e">
        <f>HLOOKUP(AC$2,id2_asset,asset!$A12,FALSE)&amp;""</f>
        <v>#N/A</v>
      </c>
      <c r="AD7" s="279" t="e">
        <f>HLOOKUP(AD$2,id2_asset,asset!$A12,FALSE)&amp;""</f>
        <v>#N/A</v>
      </c>
      <c r="AE7" s="279" t="e">
        <f>HLOOKUP(AE$2,id2_asset,asset!$A12,FALSE)&amp;""</f>
        <v>#N/A</v>
      </c>
      <c r="AF7" s="279" t="e">
        <f>HLOOKUP(AF$2,id2_asset,asset!$A12,FALSE)&amp;""</f>
        <v>#N/A</v>
      </c>
      <c r="AG7" s="279" t="e">
        <f>HLOOKUP(AG$2,id2_asset,asset!$A12,FALSE)&amp;""</f>
        <v>#N/A</v>
      </c>
      <c r="AH7" s="279" t="e">
        <f>HLOOKUP(AH$2,id2_asset,asset!$A12,FALSE)&amp;""</f>
        <v>#N/A</v>
      </c>
      <c r="AI7" s="279" t="e">
        <f>HLOOKUP(AI$2,id2_asset,asset!$A12,FALSE)&amp;""</f>
        <v>#N/A</v>
      </c>
      <c r="AJ7" s="279" t="e">
        <f>HLOOKUP(AJ$2,id2_asset,asset!$A12,FALSE)&amp;""</f>
        <v>#N/A</v>
      </c>
      <c r="AK7" s="279" t="e">
        <f>HLOOKUP(AK$2,id2_asset,asset!$A12,FALSE)&amp;""</f>
        <v>#N/A</v>
      </c>
      <c r="AL7" s="279" t="e">
        <f>HLOOKUP(AL$2,id2_asset,asset!$A12,FALSE)&amp;""</f>
        <v>#N/A</v>
      </c>
      <c r="AM7" s="279" t="e">
        <f>HLOOKUP(AM$2,id2_asset,asset!$A12,FALSE)&amp;""</f>
        <v>#N/A</v>
      </c>
      <c r="AN7" s="279" t="e">
        <f>HLOOKUP(AN$2,id2_asset,asset!$A12,FALSE)&amp;""</f>
        <v>#N/A</v>
      </c>
      <c r="AO7" s="279" t="e">
        <f>HLOOKUP(AO$2,id2_asset,asset!$A12,FALSE)&amp;""</f>
        <v>#N/A</v>
      </c>
      <c r="AP7" s="279" t="e">
        <f>HLOOKUP(AP$2,id2_asset,asset!$A12,FALSE)&amp;""</f>
        <v>#N/A</v>
      </c>
      <c r="AQ7" s="279" t="e">
        <f>HLOOKUP(AQ$2,id2_asset,asset!$A12,FALSE)&amp;""</f>
        <v>#N/A</v>
      </c>
      <c r="AR7" s="279" t="e">
        <f>HLOOKUP(AR$2,id2_asset,asset!$A12,FALSE)&amp;""</f>
        <v>#N/A</v>
      </c>
      <c r="AS7" s="279" t="e">
        <f>HLOOKUP(AS$2,id2_asset,asset!$A12,FALSE)&amp;""</f>
        <v>#N/A</v>
      </c>
      <c r="AT7" s="279" t="e">
        <f>HLOOKUP(AT$2,id2_asset,asset!$A12,FALSE)&amp;""</f>
        <v>#N/A</v>
      </c>
      <c r="AU7" s="279" t="e">
        <f>HLOOKUP(AU$2,id2_asset,asset!$A12,FALSE)&amp;""</f>
        <v>#N/A</v>
      </c>
      <c r="AV7" s="279" t="e">
        <f>HLOOKUP(AV$2,id2_asset,asset!$A12,FALSE)&amp;""</f>
        <v>#N/A</v>
      </c>
      <c r="AW7" s="279" t="e">
        <f>HLOOKUP(AW$2,id2_asset,asset!$A12,FALSE)&amp;""</f>
        <v>#N/A</v>
      </c>
      <c r="AX7" s="279" t="e">
        <f>HLOOKUP(AX$2,id2_asset,asset!$A12,FALSE)&amp;""</f>
        <v>#N/A</v>
      </c>
      <c r="AY7" s="279" t="e">
        <f>HLOOKUP(AY$2,id2_asset,asset!$A12,FALSE)&amp;""</f>
        <v>#N/A</v>
      </c>
      <c r="AZ7" s="279" t="e">
        <f>HLOOKUP(AZ$2,id2_asset,asset!$A12,FALSE)&amp;""</f>
        <v>#N/A</v>
      </c>
      <c r="BA7" s="279" t="e">
        <f>HLOOKUP(BA$2,id2_asset,asset!$A12,FALSE)&amp;""</f>
        <v>#N/A</v>
      </c>
    </row>
    <row r="8" spans="1:53">
      <c r="A8" s="277">
        <v>17</v>
      </c>
      <c r="B8" s="13" t="s">
        <v>87</v>
      </c>
      <c r="C8" s="414"/>
      <c r="D8" s="279" t="str">
        <f>HLOOKUP(D$2,id2_asset,asset!$A13,FALSE)&amp;""</f>
        <v>所有権</v>
      </c>
      <c r="E8" s="279" t="str">
        <f>HLOOKUP(E$2,id2_asset,asset!$A13,FALSE)&amp;""</f>
        <v>所有権</v>
      </c>
      <c r="F8" s="279" t="str">
        <f>HLOOKUP(F$2,id2_asset,asset!$A13,FALSE)&amp;""</f>
        <v>所有権</v>
      </c>
      <c r="G8" s="279" t="str">
        <f>HLOOKUP(G$2,id2_asset,asset!$A13,FALSE)&amp;""</f>
        <v>所有権</v>
      </c>
      <c r="H8" s="279" t="str">
        <f>HLOOKUP(H$2,id2_asset,asset!$A13,FALSE)&amp;""</f>
        <v>所有権</v>
      </c>
      <c r="I8" s="279" t="str">
        <f>HLOOKUP(I$2,id2_asset,asset!$A13,FALSE)&amp;""</f>
        <v>所有権</v>
      </c>
      <c r="J8" s="279" t="str">
        <f>HLOOKUP(J$2,id2_asset,asset!$A13,FALSE)&amp;""</f>
        <v>所有権</v>
      </c>
      <c r="K8" s="279" t="str">
        <f>HLOOKUP(K$2,id2_asset,asset!$A13,FALSE)&amp;""</f>
        <v>所有権</v>
      </c>
      <c r="L8" s="279" t="str">
        <f>HLOOKUP(L$2,id2_asset,asset!$A13,FALSE)&amp;""</f>
        <v>所有権</v>
      </c>
      <c r="M8" s="279" t="str">
        <f>HLOOKUP(M$2,id2_asset,asset!$A13,FALSE)&amp;""</f>
        <v>所有権</v>
      </c>
      <c r="N8" s="279" t="str">
        <f>HLOOKUP(N$2,id2_asset,asset!$A13,FALSE)&amp;""</f>
        <v>所有権</v>
      </c>
      <c r="O8" s="279" t="str">
        <f>HLOOKUP(O$2,id2_asset,asset!$A13,FALSE)&amp;""</f>
        <v>所有権</v>
      </c>
      <c r="P8" s="279" t="str">
        <f>HLOOKUP(P$2,id2_asset,asset!$A13,FALSE)&amp;""</f>
        <v>所有権</v>
      </c>
      <c r="Q8" s="279" t="str">
        <f>HLOOKUP(Q$2,id2_asset,asset!$A13,FALSE)&amp;""</f>
        <v>所有権</v>
      </c>
      <c r="R8" s="279" t="str">
        <f>HLOOKUP(R$2,id2_asset,asset!$A13,FALSE)&amp;""</f>
        <v>所有権</v>
      </c>
      <c r="S8" s="279" t="str">
        <f>HLOOKUP(S$2,id2_asset,asset!$A13,FALSE)&amp;""</f>
        <v>所有権</v>
      </c>
      <c r="T8" s="279" t="str">
        <f>HLOOKUP(T$2,id2_asset,asset!$A13,FALSE)&amp;""</f>
        <v>所有権</v>
      </c>
      <c r="U8" s="279" t="str">
        <f>HLOOKUP(U$2,id2_asset,asset!$A13,FALSE)&amp;""</f>
        <v>所有権</v>
      </c>
      <c r="V8" s="279" t="str">
        <f>HLOOKUP(V$2,id2_asset,asset!$A13,FALSE)&amp;""</f>
        <v>借地権</v>
      </c>
      <c r="W8" s="279" t="str">
        <f>HLOOKUP(W$2,id2_asset,asset!$A13,FALSE)&amp;""</f>
        <v>所有権</v>
      </c>
      <c r="X8" s="279" t="e">
        <f>HLOOKUP(X$2,id2_asset,asset!$A13,FALSE)&amp;""</f>
        <v>#N/A</v>
      </c>
      <c r="Y8" s="279" t="e">
        <f>HLOOKUP(Y$2,id2_asset,asset!$A13,FALSE)&amp;""</f>
        <v>#N/A</v>
      </c>
      <c r="Z8" s="279" t="e">
        <f>HLOOKUP(Z$2,id2_asset,asset!$A13,FALSE)&amp;""</f>
        <v>#N/A</v>
      </c>
      <c r="AA8" s="279" t="e">
        <f>HLOOKUP(AA$2,id2_asset,asset!$A13,FALSE)&amp;""</f>
        <v>#N/A</v>
      </c>
      <c r="AB8" s="279" t="e">
        <f>HLOOKUP(AB$2,id2_asset,asset!$A13,FALSE)&amp;""</f>
        <v>#N/A</v>
      </c>
      <c r="AC8" s="279" t="e">
        <f>HLOOKUP(AC$2,id2_asset,asset!$A13,FALSE)&amp;""</f>
        <v>#N/A</v>
      </c>
      <c r="AD8" s="279" t="e">
        <f>HLOOKUP(AD$2,id2_asset,asset!$A13,FALSE)&amp;""</f>
        <v>#N/A</v>
      </c>
      <c r="AE8" s="279" t="e">
        <f>HLOOKUP(AE$2,id2_asset,asset!$A13,FALSE)&amp;""</f>
        <v>#N/A</v>
      </c>
      <c r="AF8" s="279" t="e">
        <f>HLOOKUP(AF$2,id2_asset,asset!$A13,FALSE)&amp;""</f>
        <v>#N/A</v>
      </c>
      <c r="AG8" s="279" t="e">
        <f>HLOOKUP(AG$2,id2_asset,asset!$A13,FALSE)&amp;""</f>
        <v>#N/A</v>
      </c>
      <c r="AH8" s="279" t="e">
        <f>HLOOKUP(AH$2,id2_asset,asset!$A13,FALSE)&amp;""</f>
        <v>#N/A</v>
      </c>
      <c r="AI8" s="279" t="e">
        <f>HLOOKUP(AI$2,id2_asset,asset!$A13,FALSE)&amp;""</f>
        <v>#N/A</v>
      </c>
      <c r="AJ8" s="279" t="e">
        <f>HLOOKUP(AJ$2,id2_asset,asset!$A13,FALSE)&amp;""</f>
        <v>#N/A</v>
      </c>
      <c r="AK8" s="279" t="e">
        <f>HLOOKUP(AK$2,id2_asset,asset!$A13,FALSE)&amp;""</f>
        <v>#N/A</v>
      </c>
      <c r="AL8" s="279" t="e">
        <f>HLOOKUP(AL$2,id2_asset,asset!$A13,FALSE)&amp;""</f>
        <v>#N/A</v>
      </c>
      <c r="AM8" s="279" t="e">
        <f>HLOOKUP(AM$2,id2_asset,asset!$A13,FALSE)&amp;""</f>
        <v>#N/A</v>
      </c>
      <c r="AN8" s="279" t="e">
        <f>HLOOKUP(AN$2,id2_asset,asset!$A13,FALSE)&amp;""</f>
        <v>#N/A</v>
      </c>
      <c r="AO8" s="279" t="e">
        <f>HLOOKUP(AO$2,id2_asset,asset!$A13,FALSE)&amp;""</f>
        <v>#N/A</v>
      </c>
      <c r="AP8" s="279" t="e">
        <f>HLOOKUP(AP$2,id2_asset,asset!$A13,FALSE)&amp;""</f>
        <v>#N/A</v>
      </c>
      <c r="AQ8" s="279" t="e">
        <f>HLOOKUP(AQ$2,id2_asset,asset!$A13,FALSE)&amp;""</f>
        <v>#N/A</v>
      </c>
      <c r="AR8" s="279" t="e">
        <f>HLOOKUP(AR$2,id2_asset,asset!$A13,FALSE)&amp;""</f>
        <v>#N/A</v>
      </c>
      <c r="AS8" s="279" t="e">
        <f>HLOOKUP(AS$2,id2_asset,asset!$A13,FALSE)&amp;""</f>
        <v>#N/A</v>
      </c>
      <c r="AT8" s="279" t="e">
        <f>HLOOKUP(AT$2,id2_asset,asset!$A13,FALSE)&amp;""</f>
        <v>#N/A</v>
      </c>
      <c r="AU8" s="279" t="e">
        <f>HLOOKUP(AU$2,id2_asset,asset!$A13,FALSE)&amp;""</f>
        <v>#N/A</v>
      </c>
      <c r="AV8" s="279" t="e">
        <f>HLOOKUP(AV$2,id2_asset,asset!$A13,FALSE)&amp;""</f>
        <v>#N/A</v>
      </c>
      <c r="AW8" s="279" t="e">
        <f>HLOOKUP(AW$2,id2_asset,asset!$A13,FALSE)&amp;""</f>
        <v>#N/A</v>
      </c>
      <c r="AX8" s="279" t="e">
        <f>HLOOKUP(AX$2,id2_asset,asset!$A13,FALSE)&amp;""</f>
        <v>#N/A</v>
      </c>
      <c r="AY8" s="279" t="e">
        <f>HLOOKUP(AY$2,id2_asset,asset!$A13,FALSE)&amp;""</f>
        <v>#N/A</v>
      </c>
      <c r="AZ8" s="279" t="e">
        <f>HLOOKUP(AZ$2,id2_asset,asset!$A13,FALSE)&amp;""</f>
        <v>#N/A</v>
      </c>
      <c r="BA8" s="279" t="e">
        <f>HLOOKUP(BA$2,id2_asset,asset!$A13,FALSE)&amp;""</f>
        <v>#N/A</v>
      </c>
    </row>
    <row r="9" spans="1:53">
      <c r="A9" s="277">
        <v>18</v>
      </c>
      <c r="B9" s="15" t="s">
        <v>89</v>
      </c>
      <c r="C9" s="417" t="s">
        <v>1115</v>
      </c>
      <c r="D9" s="280">
        <f>GETPIVOTDATA("合計 / 面積ネット
(持分按分後の実質)",pivot!$DJ$5,"物件名",D1,"資産クラス2","土地3種")</f>
        <v>313.11</v>
      </c>
      <c r="E9" s="280">
        <f>GETPIVOTDATA("合計 / 面積ネット
(持分按分後の実質)",pivot!$DJ$5,"物件名",E1,"資産クラス2","土地3種")</f>
        <v>732.25</v>
      </c>
      <c r="F9" s="280">
        <f>GETPIVOTDATA("合計 / 面積ネット
(持分按分後の実質)",pivot!$DJ$5,"物件名",F1,"資産クラス2","土地3種")</f>
        <v>395.33000000000004</v>
      </c>
      <c r="G9" s="280">
        <f>GETPIVOTDATA("合計 / 面積ネット
(持分按分後の実質)",pivot!$DJ$5,"物件名",G1,"資産クラス2","土地3種")</f>
        <v>137.30000000000001</v>
      </c>
      <c r="H9" s="280">
        <f>GETPIVOTDATA("合計 / 面積ネット
(持分按分後の実質)",pivot!$DJ$5,"物件名",H1,"資産クラス2","土地3種")</f>
        <v>342.64</v>
      </c>
      <c r="I9" s="280">
        <f>GETPIVOTDATA("合計 / 面積ネット
(持分按分後の実質)",pivot!$DJ$5,"物件名",I1,"資産クラス2","土地3種")</f>
        <v>286.89999999999998</v>
      </c>
      <c r="J9" s="280">
        <f>GETPIVOTDATA("合計 / 面積ネット
(持分按分後の実質)",pivot!$DJ$5,"物件名",J1,"資産クラス2","土地3種")</f>
        <v>560.83000000000004</v>
      </c>
      <c r="K9" s="280">
        <f>GETPIVOTDATA("合計 / 面積ネット
(持分按分後の実質)",pivot!$DJ$5,"物件名",K1,"資産クラス2","土地3種")</f>
        <v>252.09</v>
      </c>
      <c r="L9" s="280">
        <f>GETPIVOTDATA("合計 / 面積ネット
(持分按分後の実質)",pivot!$DJ$5,"物件名",L1,"資産クラス2","土地3種")</f>
        <v>278.70999999999998</v>
      </c>
      <c r="M9" s="280">
        <f>GETPIVOTDATA("合計 / 面積ネット
(持分按分後の実質)",pivot!$DJ$5,"物件名",M1,"資産クラス2","土地3種")</f>
        <v>143.13</v>
      </c>
      <c r="N9" s="280">
        <f>GETPIVOTDATA("合計 / 面積ネット
(持分按分後の実質)",pivot!$DJ$5,"物件名",N1,"資産クラス2","土地3種")</f>
        <v>805.94</v>
      </c>
      <c r="O9" s="280">
        <f>GETPIVOTDATA("合計 / 面積ネット
(持分按分後の実質)",pivot!$DJ$5,"物件名",O1,"資産クラス2","土地3種")</f>
        <v>191.86</v>
      </c>
      <c r="P9" s="280">
        <f>GETPIVOTDATA("合計 / 面積ネット
(持分按分後の実質)",pivot!$DJ$5,"物件名",P1,"資産クラス2","土地3種")</f>
        <v>443.07</v>
      </c>
      <c r="Q9" s="280">
        <f>GETPIVOTDATA("合計 / 面積ネット
(持分按分後の実質)",pivot!$DJ$5,"物件名",Q1,"資産クラス2","土地3種")</f>
        <v>207.8</v>
      </c>
      <c r="R9" s="280">
        <f>GETPIVOTDATA("合計 / 面積ネット
(持分按分後の実質)",pivot!$DJ$5,"物件名",R1,"資産クラス2","土地3種")</f>
        <v>179.23</v>
      </c>
      <c r="S9" s="280">
        <f>GETPIVOTDATA("合計 / 面積ネット
(持分按分後の実質)",pivot!$DJ$5,"物件名",S1,"資産クラス2","土地3種")</f>
        <v>306.83000000000004</v>
      </c>
      <c r="T9" s="280">
        <f>GETPIVOTDATA("合計 / 面積ネット
(持分按分後の実質)",pivot!$DJ$5,"物件名",T1,"資産クラス2","土地3種")</f>
        <v>79</v>
      </c>
      <c r="U9" s="280">
        <f>GETPIVOTDATA("合計 / 面積ネット
(持分按分後の実質)",pivot!$DJ$5,"物件名",U1,"資産クラス2","土地3種")</f>
        <v>79</v>
      </c>
      <c r="V9" s="280">
        <f>GETPIVOTDATA("合計 / 面積ネット
(持分按分後の実質)",pivot!$DJ$5,"物件名",V1,"資産クラス2","土地3種")</f>
        <v>0</v>
      </c>
      <c r="W9" s="280">
        <f>GETPIVOTDATA("合計 / 面積ネット
(持分按分後の実質)",pivot!$DJ$5,"物件名",W1,"資産クラス2","土地3種")</f>
        <v>62.47</v>
      </c>
      <c r="X9" s="280" t="e">
        <f>GETPIVOTDATA("合計 / 面積ネット
(持分按分後の実質)",pivot!$DJ$5,"物件名",X1,"資産クラス2","土地3種")</f>
        <v>#REF!</v>
      </c>
      <c r="Y9" s="280" t="e">
        <f>GETPIVOTDATA("合計 / 面積ネット
(持分按分後の実質)",pivot!$DJ$5,"物件名",Y1,"資産クラス2","土地3種")</f>
        <v>#REF!</v>
      </c>
      <c r="Z9" s="280" t="e">
        <f>GETPIVOTDATA("合計 / 面積ネット
(持分按分後の実質)",pivot!$DJ$5,"物件名",Z1,"資産クラス2","土地3種")</f>
        <v>#REF!</v>
      </c>
      <c r="AA9" s="280" t="e">
        <f>GETPIVOTDATA("合計 / 面積ネット
(持分按分後の実質)",pivot!$DJ$5,"物件名",AA1,"資産クラス2","土地3種")</f>
        <v>#REF!</v>
      </c>
      <c r="AB9" s="280" t="e">
        <f>GETPIVOTDATA("合計 / 面積ネット
(持分按分後の実質)",pivot!$DJ$5,"物件名",AB1,"資産クラス2","土地3種")</f>
        <v>#REF!</v>
      </c>
      <c r="AC9" s="280" t="e">
        <f>GETPIVOTDATA("合計 / 面積ネット
(持分按分後の実質)",pivot!$DJ$5,"物件名",AC1,"資産クラス2","土地3種")</f>
        <v>#REF!</v>
      </c>
      <c r="AD9" s="280" t="e">
        <f>GETPIVOTDATA("合計 / 面積ネット
(持分按分後の実質)",pivot!$DJ$5,"物件名",AD1,"資産クラス2","土地3種")</f>
        <v>#REF!</v>
      </c>
      <c r="AE9" s="280" t="e">
        <f>GETPIVOTDATA("合計 / 面積ネット
(持分按分後の実質)",pivot!$DJ$5,"物件名",AE1,"資産クラス2","土地3種")</f>
        <v>#REF!</v>
      </c>
      <c r="AF9" s="280" t="e">
        <f>GETPIVOTDATA("合計 / 面積ネット
(持分按分後の実質)",pivot!$DJ$5,"物件名",AF1,"資産クラス2","土地3種")</f>
        <v>#REF!</v>
      </c>
      <c r="AG9" s="280" t="e">
        <f>GETPIVOTDATA("合計 / 面積ネット
(持分按分後の実質)",pivot!$DJ$5,"物件名",AG1,"資産クラス2","土地3種")</f>
        <v>#REF!</v>
      </c>
      <c r="AH9" s="280" t="e">
        <f>GETPIVOTDATA("合計 / 面積ネット
(持分按分後の実質)",pivot!$DJ$5,"物件名",AH1,"資産クラス2","土地3種")</f>
        <v>#REF!</v>
      </c>
      <c r="AI9" s="280" t="e">
        <f>GETPIVOTDATA("合計 / 面積ネット
(持分按分後の実質)",pivot!$DJ$5,"物件名",AI1,"資産クラス2","土地3種")</f>
        <v>#REF!</v>
      </c>
      <c r="AJ9" s="280" t="e">
        <f>GETPIVOTDATA("合計 / 面積ネット
(持分按分後の実質)",pivot!$DJ$5,"物件名",AJ1,"資産クラス2","土地3種")</f>
        <v>#REF!</v>
      </c>
      <c r="AK9" s="280" t="e">
        <f>GETPIVOTDATA("合計 / 面積ネット
(持分按分後の実質)",pivot!$DJ$5,"物件名",AK1,"資産クラス2","土地3種")</f>
        <v>#REF!</v>
      </c>
      <c r="AL9" s="280" t="e">
        <f>GETPIVOTDATA("合計 / 面積ネット
(持分按分後の実質)",pivot!$DJ$5,"物件名",AL1,"資産クラス2","土地3種")</f>
        <v>#REF!</v>
      </c>
      <c r="AM9" s="280" t="e">
        <f>GETPIVOTDATA("合計 / 面積ネット
(持分按分後の実質)",pivot!$DJ$5,"物件名",AM1,"資産クラス2","土地3種")</f>
        <v>#REF!</v>
      </c>
      <c r="AN9" s="280" t="e">
        <f>GETPIVOTDATA("合計 / 面積ネット
(持分按分後の実質)",pivot!$DJ$5,"物件名",AN1,"資産クラス2","土地3種")</f>
        <v>#REF!</v>
      </c>
      <c r="AO9" s="280" t="e">
        <f>GETPIVOTDATA("合計 / 面積ネット
(持分按分後の実質)",pivot!$DJ$5,"物件名",AO1,"資産クラス2","土地3種")</f>
        <v>#REF!</v>
      </c>
      <c r="AP9" s="280" t="e">
        <f>GETPIVOTDATA("合計 / 面積ネット
(持分按分後の実質)",pivot!$DJ$5,"物件名",AP1,"資産クラス2","土地3種")</f>
        <v>#REF!</v>
      </c>
      <c r="AQ9" s="280" t="e">
        <f>GETPIVOTDATA("合計 / 面積ネット
(持分按分後の実質)",pivot!$DJ$5,"物件名",AQ1,"資産クラス2","土地3種")</f>
        <v>#REF!</v>
      </c>
      <c r="AR9" s="280" t="e">
        <f>GETPIVOTDATA("合計 / 面積ネット
(持分按分後の実質)",pivot!$DJ$5,"物件名",AR1,"資産クラス2","土地3種")</f>
        <v>#REF!</v>
      </c>
      <c r="AS9" s="280" t="e">
        <f>GETPIVOTDATA("合計 / 面積ネット
(持分按分後の実質)",pivot!$DJ$5,"物件名",AS1,"資産クラス2","土地3種")</f>
        <v>#REF!</v>
      </c>
      <c r="AT9" s="280" t="e">
        <f>GETPIVOTDATA("合計 / 面積ネット
(持分按分後の実質)",pivot!$DJ$5,"物件名",AT1,"資産クラス2","土地3種")</f>
        <v>#REF!</v>
      </c>
      <c r="AU9" s="280" t="e">
        <f>GETPIVOTDATA("合計 / 面積ネット
(持分按分後の実質)",pivot!$DJ$5,"物件名",AU1,"資産クラス2","土地3種")</f>
        <v>#REF!</v>
      </c>
      <c r="AV9" s="280" t="e">
        <f>GETPIVOTDATA("合計 / 面積ネット
(持分按分後の実質)",pivot!$DJ$5,"物件名",AV1,"資産クラス2","土地3種")</f>
        <v>#REF!</v>
      </c>
      <c r="AW9" s="280" t="e">
        <f>GETPIVOTDATA("合計 / 面積ネット
(持分按分後の実質)",pivot!$DJ$5,"物件名",AW1,"資産クラス2","土地3種")</f>
        <v>#REF!</v>
      </c>
      <c r="AX9" s="280" t="e">
        <f>GETPIVOTDATA("合計 / 面積ネット
(持分按分後の実質)",pivot!$DJ$5,"物件名",AX1,"資産クラス2","土地3種")</f>
        <v>#REF!</v>
      </c>
      <c r="AY9" s="280" t="e">
        <f>GETPIVOTDATA("合計 / 面積ネット
(持分按分後の実質)",pivot!$DJ$5,"物件名",AY1,"資産クラス2","土地3種")</f>
        <v>#REF!</v>
      </c>
      <c r="AZ9" s="280" t="e">
        <f>GETPIVOTDATA("合計 / 面積ネット
(持分按分後の実質)",pivot!$DJ$5,"物件名",AZ1,"資産クラス2","土地3種")</f>
        <v>#REF!</v>
      </c>
      <c r="BA9" s="280" t="e">
        <f>GETPIVOTDATA("合計 / 面積ネット
(持分按分後の実質)",pivot!$DJ$5,"物件名",BA1,"資産クラス2","土地3種")</f>
        <v>#REF!</v>
      </c>
    </row>
    <row r="10" spans="1:53">
      <c r="A10" s="277">
        <v>19</v>
      </c>
      <c r="B10" s="13" t="s">
        <v>90</v>
      </c>
      <c r="C10" s="418" t="s">
        <v>1116</v>
      </c>
      <c r="D10" s="19">
        <f t="shared" ref="D10:W10" si="1">D9/3.30579</f>
        <v>94.715635294437945</v>
      </c>
      <c r="E10" s="19">
        <f t="shared" si="1"/>
        <v>221.50529827968504</v>
      </c>
      <c r="F10" s="19">
        <f t="shared" si="1"/>
        <v>119.58714860895581</v>
      </c>
      <c r="G10" s="19">
        <f t="shared" si="1"/>
        <v>41.533188738546613</v>
      </c>
      <c r="H10" s="19">
        <f t="shared" si="1"/>
        <v>103.6484471185405</v>
      </c>
      <c r="I10" s="19">
        <f t="shared" si="1"/>
        <v>86.787121988995054</v>
      </c>
      <c r="J10" s="19">
        <f t="shared" si="1"/>
        <v>169.65082476503349</v>
      </c>
      <c r="K10" s="19">
        <f t="shared" si="1"/>
        <v>76.257112520759037</v>
      </c>
      <c r="L10" s="19">
        <f t="shared" si="1"/>
        <v>84.3096506432653</v>
      </c>
      <c r="M10" s="19">
        <f t="shared" si="1"/>
        <v>43.296761137277322</v>
      </c>
      <c r="N10" s="19">
        <f t="shared" si="1"/>
        <v>243.79649040017668</v>
      </c>
      <c r="O10" s="19">
        <f t="shared" si="1"/>
        <v>58.037564394592522</v>
      </c>
      <c r="P10" s="19">
        <f t="shared" si="1"/>
        <v>134.02847730799596</v>
      </c>
      <c r="Q10" s="19">
        <f t="shared" si="1"/>
        <v>62.859407282374264</v>
      </c>
      <c r="R10" s="19">
        <f t="shared" si="1"/>
        <v>54.216995029932328</v>
      </c>
      <c r="S10" s="19">
        <f t="shared" si="1"/>
        <v>92.815938096491323</v>
      </c>
      <c r="T10" s="19">
        <f t="shared" si="1"/>
        <v>23.897464751239493</v>
      </c>
      <c r="U10" s="19">
        <f t="shared" si="1"/>
        <v>23.897464751239493</v>
      </c>
      <c r="V10" s="19">
        <f t="shared" si="1"/>
        <v>0</v>
      </c>
      <c r="W10" s="19">
        <f t="shared" si="1"/>
        <v>18.897147126707988</v>
      </c>
      <c r="X10" s="19" t="e">
        <f t="shared" ref="X10:BA10" si="2">X9/3.30579</f>
        <v>#REF!</v>
      </c>
      <c r="Y10" s="19" t="e">
        <f t="shared" si="2"/>
        <v>#REF!</v>
      </c>
      <c r="Z10" s="19" t="e">
        <f t="shared" si="2"/>
        <v>#REF!</v>
      </c>
      <c r="AA10" s="19" t="e">
        <f t="shared" si="2"/>
        <v>#REF!</v>
      </c>
      <c r="AB10" s="19" t="e">
        <f t="shared" si="2"/>
        <v>#REF!</v>
      </c>
      <c r="AC10" s="19" t="e">
        <f t="shared" si="2"/>
        <v>#REF!</v>
      </c>
      <c r="AD10" s="19" t="e">
        <f t="shared" si="2"/>
        <v>#REF!</v>
      </c>
      <c r="AE10" s="19" t="e">
        <f t="shared" si="2"/>
        <v>#REF!</v>
      </c>
      <c r="AF10" s="19" t="e">
        <f t="shared" si="2"/>
        <v>#REF!</v>
      </c>
      <c r="AG10" s="19" t="e">
        <f t="shared" si="2"/>
        <v>#REF!</v>
      </c>
      <c r="AH10" s="19" t="e">
        <f t="shared" si="2"/>
        <v>#REF!</v>
      </c>
      <c r="AI10" s="19" t="e">
        <f t="shared" si="2"/>
        <v>#REF!</v>
      </c>
      <c r="AJ10" s="19" t="e">
        <f t="shared" si="2"/>
        <v>#REF!</v>
      </c>
      <c r="AK10" s="19" t="e">
        <f t="shared" si="2"/>
        <v>#REF!</v>
      </c>
      <c r="AL10" s="19" t="e">
        <f t="shared" si="2"/>
        <v>#REF!</v>
      </c>
      <c r="AM10" s="19" t="e">
        <f t="shared" si="2"/>
        <v>#REF!</v>
      </c>
      <c r="AN10" s="19" t="e">
        <f t="shared" si="2"/>
        <v>#REF!</v>
      </c>
      <c r="AO10" s="19" t="e">
        <f t="shared" si="2"/>
        <v>#REF!</v>
      </c>
      <c r="AP10" s="19" t="e">
        <f t="shared" si="2"/>
        <v>#REF!</v>
      </c>
      <c r="AQ10" s="19" t="e">
        <f t="shared" si="2"/>
        <v>#REF!</v>
      </c>
      <c r="AR10" s="19" t="e">
        <f t="shared" si="2"/>
        <v>#REF!</v>
      </c>
      <c r="AS10" s="19" t="e">
        <f t="shared" si="2"/>
        <v>#REF!</v>
      </c>
      <c r="AT10" s="19" t="e">
        <f t="shared" si="2"/>
        <v>#REF!</v>
      </c>
      <c r="AU10" s="19" t="e">
        <f t="shared" si="2"/>
        <v>#REF!</v>
      </c>
      <c r="AV10" s="19" t="e">
        <f t="shared" si="2"/>
        <v>#REF!</v>
      </c>
      <c r="AW10" s="19" t="e">
        <f t="shared" si="2"/>
        <v>#REF!</v>
      </c>
      <c r="AX10" s="19" t="e">
        <f t="shared" si="2"/>
        <v>#REF!</v>
      </c>
      <c r="AY10" s="19" t="e">
        <f t="shared" si="2"/>
        <v>#REF!</v>
      </c>
      <c r="AZ10" s="19" t="e">
        <f t="shared" si="2"/>
        <v>#REF!</v>
      </c>
      <c r="BA10" s="19" t="e">
        <f t="shared" si="2"/>
        <v>#REF!</v>
      </c>
    </row>
    <row r="11" spans="1:53">
      <c r="A11" s="277">
        <v>20</v>
      </c>
      <c r="B11" s="15" t="s">
        <v>91</v>
      </c>
      <c r="C11" s="418" t="s">
        <v>1116</v>
      </c>
      <c r="D11" s="280">
        <f>GETPIVOTDATA("合計 / 面積ネット
(持分按分後の実質)",pivot!$DJ$5,"物件名",D1,"資産クラス2","建物")</f>
        <v>528.42999999999995</v>
      </c>
      <c r="E11" s="280">
        <f>GETPIVOTDATA("合計 / 面積ネット
(持分按分後の実質)",pivot!$DJ$5,"物件名",E1,"資産クラス2","建物")</f>
        <v>1110.3399999999999</v>
      </c>
      <c r="F11" s="280">
        <f>GETPIVOTDATA("合計 / 面積ネット
(持分按分後の実質)",pivot!$DJ$5,"物件名",F1,"資産クラス2","建物")</f>
        <v>887.19</v>
      </c>
      <c r="G11" s="280">
        <f>GETPIVOTDATA("合計 / 面積ネット
(持分按分後の実質)",pivot!$DJ$5,"物件名",G1,"資産クラス2","建物")</f>
        <v>177.12</v>
      </c>
      <c r="H11" s="280">
        <f>GETPIVOTDATA("合計 / 面積ネット
(持分按分後の実質)",pivot!$DJ$5,"物件名",H1,"資産クラス2","建物")</f>
        <v>1072.93</v>
      </c>
      <c r="I11" s="280">
        <f>GETPIVOTDATA("合計 / 面積ネット
(持分按分後の実質)",pivot!$DJ$5,"物件名",I1,"資産クラス2","建物")</f>
        <v>1133.51</v>
      </c>
      <c r="J11" s="280">
        <f>GETPIVOTDATA("合計 / 面積ネット
(持分按分後の実質)",pivot!$DJ$5,"物件名",J1,"資産クラス2","建物")</f>
        <v>961.19</v>
      </c>
      <c r="K11" s="280">
        <f>GETPIVOTDATA("合計 / 面積ネット
(持分按分後の実質)",pivot!$DJ$5,"物件名",K1,"資産クラス2","建物")</f>
        <v>588.5</v>
      </c>
      <c r="L11" s="280">
        <f>GETPIVOTDATA("合計 / 面積ネット
(持分按分後の実質)",pivot!$DJ$5,"物件名",L1,"資産クラス2","建物")</f>
        <v>496.02</v>
      </c>
      <c r="M11" s="280">
        <f>GETPIVOTDATA("合計 / 面積ネット
(持分按分後の実質)",pivot!$DJ$5,"物件名",M1,"資産クラス2","建物")</f>
        <v>491.32</v>
      </c>
      <c r="N11" s="280">
        <f>GETPIVOTDATA("合計 / 面積ネット
(持分按分後の実質)",pivot!$DJ$5,"物件名",N1,"資産クラス2","建物")</f>
        <v>1307.01</v>
      </c>
      <c r="O11" s="280">
        <f>GETPIVOTDATA("合計 / 面積ネット
(持分按分後の実質)",pivot!$DJ$5,"物件名",O1,"資産クラス2","建物")</f>
        <v>364.27999999999986</v>
      </c>
      <c r="P11" s="280">
        <f>GETPIVOTDATA("合計 / 面積ネット
(持分按分後の実質)",pivot!$DJ$5,"物件名",P1,"資産クラス2","建物")</f>
        <v>1490.43</v>
      </c>
      <c r="Q11" s="280">
        <f>GETPIVOTDATA("合計 / 面積ネット
(持分按分後の実質)",pivot!$DJ$5,"物件名",Q1,"資産クラス2","建物")</f>
        <v>966.35</v>
      </c>
      <c r="R11" s="280">
        <f>GETPIVOTDATA("合計 / 面積ネット
(持分按分後の実質)",pivot!$DJ$5,"物件名",R1,"資産クラス2","建物")</f>
        <v>343.46</v>
      </c>
      <c r="S11" s="280">
        <f>GETPIVOTDATA("合計 / 面積ネット
(持分按分後の実質)",pivot!$DJ$5,"物件名",S1,"資産クラス2","建物")</f>
        <v>349.27</v>
      </c>
      <c r="T11" s="280">
        <f>GETPIVOTDATA("合計 / 面積ネット
(持分按分後の実質)",pivot!$DJ$5,"物件名",T1,"資産クラス2","建物")</f>
        <v>79</v>
      </c>
      <c r="U11" s="280">
        <f>GETPIVOTDATA("合計 / 面積ネット
(持分按分後の実質)",pivot!$DJ$5,"物件名",U1,"資産クラス2","建物")</f>
        <v>79</v>
      </c>
      <c r="V11" s="280">
        <f>GETPIVOTDATA("合計 / 面積ネット
(持分按分後の実質)",pivot!$DJ$5,"物件名",V1,"資産クラス2","建物")</f>
        <v>19.899999999999999</v>
      </c>
      <c r="W11" s="280">
        <f>GETPIVOTDATA("合計 / 面積ネット
(持分按分後の実質)",pivot!$DJ$5,"物件名",W1,"資産クラス2","建物")</f>
        <v>79</v>
      </c>
      <c r="X11" s="280" t="e">
        <f>GETPIVOTDATA("合計 / 面積ネット
(持分按分後の実質)",pivot!$DJ$5,"物件名",X1,"資産クラス2","建物")</f>
        <v>#REF!</v>
      </c>
      <c r="Y11" s="280" t="e">
        <f>GETPIVOTDATA("合計 / 面積ネット
(持分按分後の実質)",pivot!$DJ$5,"物件名",Y1,"資産クラス2","建物")</f>
        <v>#REF!</v>
      </c>
      <c r="Z11" s="280" t="e">
        <f>GETPIVOTDATA("合計 / 面積ネット
(持分按分後の実質)",pivot!$DJ$5,"物件名",Z1,"資産クラス2","建物")</f>
        <v>#REF!</v>
      </c>
      <c r="AA11" s="280" t="e">
        <f>GETPIVOTDATA("合計 / 面積ネット
(持分按分後の実質)",pivot!$DJ$5,"物件名",AA1,"資産クラス2","建物")</f>
        <v>#REF!</v>
      </c>
      <c r="AB11" s="280" t="e">
        <f>GETPIVOTDATA("合計 / 面積ネット
(持分按分後の実質)",pivot!$DJ$5,"物件名",AB1,"資産クラス2","建物")</f>
        <v>#REF!</v>
      </c>
      <c r="AC11" s="280" t="e">
        <f>GETPIVOTDATA("合計 / 面積ネット
(持分按分後の実質)",pivot!$DJ$5,"物件名",AC1,"資産クラス2","建物")</f>
        <v>#REF!</v>
      </c>
      <c r="AD11" s="280" t="e">
        <f>GETPIVOTDATA("合計 / 面積ネット
(持分按分後の実質)",pivot!$DJ$5,"物件名",AD1,"資産クラス2","建物")</f>
        <v>#REF!</v>
      </c>
      <c r="AE11" s="280" t="e">
        <f>GETPIVOTDATA("合計 / 面積ネット
(持分按分後の実質)",pivot!$DJ$5,"物件名",AE1,"資産クラス2","建物")</f>
        <v>#REF!</v>
      </c>
      <c r="AF11" s="280" t="e">
        <f>GETPIVOTDATA("合計 / 面積ネット
(持分按分後の実質)",pivot!$DJ$5,"物件名",AF1,"資産クラス2","建物")</f>
        <v>#REF!</v>
      </c>
      <c r="AG11" s="280" t="e">
        <f>GETPIVOTDATA("合計 / 面積ネット
(持分按分後の実質)",pivot!$DJ$5,"物件名",AG1,"資産クラス2","建物")</f>
        <v>#REF!</v>
      </c>
      <c r="AH11" s="280" t="e">
        <f>GETPIVOTDATA("合計 / 面積ネット
(持分按分後の実質)",pivot!$DJ$5,"物件名",AH1,"資産クラス2","建物")</f>
        <v>#REF!</v>
      </c>
      <c r="AI11" s="280" t="e">
        <f>GETPIVOTDATA("合計 / 面積ネット
(持分按分後の実質)",pivot!$DJ$5,"物件名",AI1,"資産クラス2","建物")</f>
        <v>#REF!</v>
      </c>
      <c r="AJ11" s="280" t="e">
        <f>GETPIVOTDATA("合計 / 面積ネット
(持分按分後の実質)",pivot!$DJ$5,"物件名",AJ1,"資産クラス2","建物")</f>
        <v>#REF!</v>
      </c>
      <c r="AK11" s="280" t="e">
        <f>GETPIVOTDATA("合計 / 面積ネット
(持分按分後の実質)",pivot!$DJ$5,"物件名",AK1,"資産クラス2","建物")</f>
        <v>#REF!</v>
      </c>
      <c r="AL11" s="280" t="e">
        <f>GETPIVOTDATA("合計 / 面積ネット
(持分按分後の実質)",pivot!$DJ$5,"物件名",AL1,"資産クラス2","建物")</f>
        <v>#REF!</v>
      </c>
      <c r="AM11" s="280" t="e">
        <f>GETPIVOTDATA("合計 / 面積ネット
(持分按分後の実質)",pivot!$DJ$5,"物件名",AM1,"資産クラス2","建物")</f>
        <v>#REF!</v>
      </c>
      <c r="AN11" s="280" t="e">
        <f>GETPIVOTDATA("合計 / 面積ネット
(持分按分後の実質)",pivot!$DJ$5,"物件名",AN1,"資産クラス2","建物")</f>
        <v>#REF!</v>
      </c>
      <c r="AO11" s="280" t="e">
        <f>GETPIVOTDATA("合計 / 面積ネット
(持分按分後の実質)",pivot!$DJ$5,"物件名",AO1,"資産クラス2","建物")</f>
        <v>#REF!</v>
      </c>
      <c r="AP11" s="280" t="e">
        <f>GETPIVOTDATA("合計 / 面積ネット
(持分按分後の実質)",pivot!$DJ$5,"物件名",AP1,"資産クラス2","建物")</f>
        <v>#REF!</v>
      </c>
      <c r="AQ11" s="280" t="e">
        <f>GETPIVOTDATA("合計 / 面積ネット
(持分按分後の実質)",pivot!$DJ$5,"物件名",AQ1,"資産クラス2","建物")</f>
        <v>#REF!</v>
      </c>
      <c r="AR11" s="280" t="e">
        <f>GETPIVOTDATA("合計 / 面積ネット
(持分按分後の実質)",pivot!$DJ$5,"物件名",AR1,"資産クラス2","建物")</f>
        <v>#REF!</v>
      </c>
      <c r="AS11" s="280" t="e">
        <f>GETPIVOTDATA("合計 / 面積ネット
(持分按分後の実質)",pivot!$DJ$5,"物件名",AS1,"資産クラス2","建物")</f>
        <v>#REF!</v>
      </c>
      <c r="AT11" s="280" t="e">
        <f>GETPIVOTDATA("合計 / 面積ネット
(持分按分後の実質)",pivot!$DJ$5,"物件名",AT1,"資産クラス2","建物")</f>
        <v>#REF!</v>
      </c>
      <c r="AU11" s="280" t="e">
        <f>GETPIVOTDATA("合計 / 面積ネット
(持分按分後の実質)",pivot!$DJ$5,"物件名",AU1,"資産クラス2","建物")</f>
        <v>#REF!</v>
      </c>
      <c r="AV11" s="280" t="e">
        <f>GETPIVOTDATA("合計 / 面積ネット
(持分按分後の実質)",pivot!$DJ$5,"物件名",AV1,"資産クラス2","建物")</f>
        <v>#REF!</v>
      </c>
      <c r="AW11" s="280" t="e">
        <f>GETPIVOTDATA("合計 / 面積ネット
(持分按分後の実質)",pivot!$DJ$5,"物件名",AW1,"資産クラス2","建物")</f>
        <v>#REF!</v>
      </c>
      <c r="AX11" s="280" t="e">
        <f>GETPIVOTDATA("合計 / 面積ネット
(持分按分後の実質)",pivot!$DJ$5,"物件名",AX1,"資産クラス2","建物")</f>
        <v>#REF!</v>
      </c>
      <c r="AY11" s="280" t="e">
        <f>GETPIVOTDATA("合計 / 面積ネット
(持分按分後の実質)",pivot!$DJ$5,"物件名",AY1,"資産クラス2","建物")</f>
        <v>#REF!</v>
      </c>
      <c r="AZ11" s="280" t="e">
        <f>GETPIVOTDATA("合計 / 面積ネット
(持分按分後の実質)",pivot!$DJ$5,"物件名",AZ1,"資産クラス2","建物")</f>
        <v>#REF!</v>
      </c>
      <c r="BA11" s="280" t="e">
        <f>GETPIVOTDATA("合計 / 面積ネット
(持分按分後の実質)",pivot!$DJ$5,"物件名",BA1,"資産クラス2","建物")</f>
        <v>#REF!</v>
      </c>
    </row>
    <row r="12" spans="1:53">
      <c r="A12" s="277">
        <v>21</v>
      </c>
      <c r="B12" s="13" t="s">
        <v>92</v>
      </c>
      <c r="C12" s="414"/>
      <c r="D12" s="279" t="str">
        <f>HLOOKUP(D$2,id2_asset,asset!$A14,FALSE)&amp;""</f>
        <v>RC/B1F-4F</v>
      </c>
      <c r="E12" s="279" t="str">
        <f>HLOOKUP(E$2,id2_asset,asset!$A14,FALSE)&amp;""</f>
        <v>RC/B1F-3F</v>
      </c>
      <c r="F12" s="279" t="str">
        <f>HLOOKUP(F$2,id2_asset,asset!$A14,FALSE)&amp;""</f>
        <v>RC/1-6F</v>
      </c>
      <c r="G12" s="279" t="str">
        <f>HLOOKUP(G$2,id2_asset,asset!$A14,FALSE)&amp;""</f>
        <v>RC/1-5F</v>
      </c>
      <c r="H12" s="279" t="str">
        <f>HLOOKUP(H$2,id2_asset,asset!$A14,FALSE)&amp;""</f>
        <v>RC/B1-5F</v>
      </c>
      <c r="I12" s="279" t="str">
        <f>HLOOKUP(I$2,id2_asset,asset!$A14,FALSE)&amp;""</f>
        <v>鉄骨造/1-8F</v>
      </c>
      <c r="J12" s="279" t="str">
        <f>HLOOKUP(J$2,id2_asset,asset!$A14,FALSE)&amp;""</f>
        <v>鉄骨造/1-8F</v>
      </c>
      <c r="K12" s="279" t="str">
        <f>HLOOKUP(K$2,id2_asset,asset!$A14,FALSE)&amp;""</f>
        <v>RC/1-5F</v>
      </c>
      <c r="L12" s="279" t="str">
        <f>HLOOKUP(L$2,id2_asset,asset!$A14,FALSE)&amp;""</f>
        <v>RC/1-11F</v>
      </c>
      <c r="M12" s="279" t="str">
        <f>HLOOKUP(M$2,id2_asset,asset!$A14,FALSE)&amp;""</f>
        <v>RC/1-4F</v>
      </c>
      <c r="N12" s="279" t="str">
        <f>HLOOKUP(N$2,id2_asset,asset!$A14,FALSE)&amp;""</f>
        <v>鉄骨/B1-3F</v>
      </c>
      <c r="O12" s="279" t="str">
        <f>HLOOKUP(O$2,id2_asset,asset!$A14,FALSE)&amp;""</f>
        <v>SRC/1-8F</v>
      </c>
      <c r="P12" s="279" t="str">
        <f>HLOOKUP(P$2,id2_asset,asset!$A14,FALSE)&amp;""</f>
        <v>RC/B1-5F</v>
      </c>
      <c r="Q12" s="279" t="str">
        <f>HLOOKUP(Q$2,id2_asset,asset!$A14,FALSE)&amp;""</f>
        <v>RC/1-4F</v>
      </c>
      <c r="R12" s="279" t="str">
        <f>HLOOKUP(R$2,id2_asset,asset!$A14,FALSE)&amp;""</f>
        <v>RC/1-4F</v>
      </c>
      <c r="S12" s="279" t="str">
        <f>HLOOKUP(S$2,id2_asset,asset!$A14,FALSE)&amp;""</f>
        <v>鉄骨造/1-4F</v>
      </c>
      <c r="T12" s="279" t="str">
        <f>HLOOKUP(T$2,id2_asset,asset!$A14,FALSE)&amp;""</f>
        <v>木造/B1-2F</v>
      </c>
      <c r="U12" s="279" t="str">
        <f>HLOOKUP(U$2,id2_asset,asset!$A14,FALSE)&amp;""</f>
        <v>木造/B1-2F</v>
      </c>
      <c r="V12" s="279" t="str">
        <f>HLOOKUP(V$2,id2_asset,asset!$A14,FALSE)&amp;""</f>
        <v>RC/1-4F</v>
      </c>
      <c r="W12" s="279" t="str">
        <f>HLOOKUP(W$2,id2_asset,asset!$A14,FALSE)&amp;""</f>
        <v>RC/B1-5F</v>
      </c>
      <c r="X12" s="279" t="e">
        <f>HLOOKUP(X$2,id2_asset,asset!$A14,FALSE)&amp;""</f>
        <v>#N/A</v>
      </c>
      <c r="Y12" s="279" t="e">
        <f>HLOOKUP(Y$2,id2_asset,asset!$A14,FALSE)&amp;""</f>
        <v>#N/A</v>
      </c>
      <c r="Z12" s="279" t="e">
        <f>HLOOKUP(Z$2,id2_asset,asset!$A14,FALSE)&amp;""</f>
        <v>#N/A</v>
      </c>
      <c r="AA12" s="279" t="e">
        <f>HLOOKUP(AA$2,id2_asset,asset!$A14,FALSE)&amp;""</f>
        <v>#N/A</v>
      </c>
      <c r="AB12" s="279" t="e">
        <f>HLOOKUP(AB$2,id2_asset,asset!$A14,FALSE)&amp;""</f>
        <v>#N/A</v>
      </c>
      <c r="AC12" s="279" t="e">
        <f>HLOOKUP(AC$2,id2_asset,asset!$A14,FALSE)&amp;""</f>
        <v>#N/A</v>
      </c>
      <c r="AD12" s="279" t="e">
        <f>HLOOKUP(AD$2,id2_asset,asset!$A14,FALSE)&amp;""</f>
        <v>#N/A</v>
      </c>
      <c r="AE12" s="279" t="e">
        <f>HLOOKUP(AE$2,id2_asset,asset!$A14,FALSE)&amp;""</f>
        <v>#N/A</v>
      </c>
      <c r="AF12" s="279" t="e">
        <f>HLOOKUP(AF$2,id2_asset,asset!$A14,FALSE)&amp;""</f>
        <v>#N/A</v>
      </c>
      <c r="AG12" s="279" t="e">
        <f>HLOOKUP(AG$2,id2_asset,asset!$A14,FALSE)&amp;""</f>
        <v>#N/A</v>
      </c>
      <c r="AH12" s="279" t="e">
        <f>HLOOKUP(AH$2,id2_asset,asset!$A14,FALSE)&amp;""</f>
        <v>#N/A</v>
      </c>
      <c r="AI12" s="279" t="e">
        <f>HLOOKUP(AI$2,id2_asset,asset!$A14,FALSE)&amp;""</f>
        <v>#N/A</v>
      </c>
      <c r="AJ12" s="279" t="e">
        <f>HLOOKUP(AJ$2,id2_asset,asset!$A14,FALSE)&amp;""</f>
        <v>#N/A</v>
      </c>
      <c r="AK12" s="279" t="e">
        <f>HLOOKUP(AK$2,id2_asset,asset!$A14,FALSE)&amp;""</f>
        <v>#N/A</v>
      </c>
      <c r="AL12" s="279" t="e">
        <f>HLOOKUP(AL$2,id2_asset,asset!$A14,FALSE)&amp;""</f>
        <v>#N/A</v>
      </c>
      <c r="AM12" s="279" t="e">
        <f>HLOOKUP(AM$2,id2_asset,asset!$A14,FALSE)&amp;""</f>
        <v>#N/A</v>
      </c>
      <c r="AN12" s="279" t="e">
        <f>HLOOKUP(AN$2,id2_asset,asset!$A14,FALSE)&amp;""</f>
        <v>#N/A</v>
      </c>
      <c r="AO12" s="279" t="e">
        <f>HLOOKUP(AO$2,id2_asset,asset!$A14,FALSE)&amp;""</f>
        <v>#N/A</v>
      </c>
      <c r="AP12" s="279" t="e">
        <f>HLOOKUP(AP$2,id2_asset,asset!$A14,FALSE)&amp;""</f>
        <v>#N/A</v>
      </c>
      <c r="AQ12" s="279" t="e">
        <f>HLOOKUP(AQ$2,id2_asset,asset!$A14,FALSE)&amp;""</f>
        <v>#N/A</v>
      </c>
      <c r="AR12" s="279" t="e">
        <f>HLOOKUP(AR$2,id2_asset,asset!$A14,FALSE)&amp;""</f>
        <v>#N/A</v>
      </c>
      <c r="AS12" s="279" t="e">
        <f>HLOOKUP(AS$2,id2_asset,asset!$A14,FALSE)&amp;""</f>
        <v>#N/A</v>
      </c>
      <c r="AT12" s="279" t="e">
        <f>HLOOKUP(AT$2,id2_asset,asset!$A14,FALSE)&amp;""</f>
        <v>#N/A</v>
      </c>
      <c r="AU12" s="279" t="e">
        <f>HLOOKUP(AU$2,id2_asset,asset!$A14,FALSE)&amp;""</f>
        <v>#N/A</v>
      </c>
      <c r="AV12" s="279" t="e">
        <f>HLOOKUP(AV$2,id2_asset,asset!$A14,FALSE)&amp;""</f>
        <v>#N/A</v>
      </c>
      <c r="AW12" s="279" t="e">
        <f>HLOOKUP(AW$2,id2_asset,asset!$A14,FALSE)&amp;""</f>
        <v>#N/A</v>
      </c>
      <c r="AX12" s="279" t="e">
        <f>HLOOKUP(AX$2,id2_asset,asset!$A14,FALSE)&amp;""</f>
        <v>#N/A</v>
      </c>
      <c r="AY12" s="279" t="e">
        <f>HLOOKUP(AY$2,id2_asset,asset!$A14,FALSE)&amp;""</f>
        <v>#N/A</v>
      </c>
      <c r="AZ12" s="279" t="e">
        <f>HLOOKUP(AZ$2,id2_asset,asset!$A14,FALSE)&amp;""</f>
        <v>#N/A</v>
      </c>
      <c r="BA12" s="279" t="e">
        <f>HLOOKUP(BA$2,id2_asset,asset!$A14,FALSE)&amp;""</f>
        <v>#N/A</v>
      </c>
    </row>
    <row r="13" spans="1:53">
      <c r="A13" s="277">
        <v>22</v>
      </c>
      <c r="B13" s="13" t="s">
        <v>94</v>
      </c>
      <c r="C13" s="414"/>
      <c r="D13" s="281">
        <f>HLOOKUP(D$2,id2_asset,asset!$A15,FALSE)</f>
        <v>33639</v>
      </c>
      <c r="E13" s="281">
        <f>HLOOKUP(E$2,id2_asset,asset!$A15,FALSE)</f>
        <v>34852</v>
      </c>
      <c r="F13" s="281">
        <f>HLOOKUP(F$2,id2_asset,asset!$A15,FALSE)</f>
        <v>36647</v>
      </c>
      <c r="G13" s="281">
        <f>HLOOKUP(G$2,id2_asset,asset!$A15,FALSE)</f>
        <v>28501</v>
      </c>
      <c r="H13" s="281">
        <f>HLOOKUP(H$2,id2_asset,asset!$A15,FALSE)</f>
        <v>37053</v>
      </c>
      <c r="I13" s="281">
        <f>HLOOKUP(I$2,id2_asset,asset!$A15,FALSE)</f>
        <v>37296</v>
      </c>
      <c r="J13" s="281">
        <f>HLOOKUP(J$2,id2_asset,asset!$A15,FALSE)</f>
        <v>33639</v>
      </c>
      <c r="K13" s="281">
        <f>HLOOKUP(K$2,id2_asset,asset!$A15,FALSE)</f>
        <v>36647</v>
      </c>
      <c r="L13" s="281">
        <f>HLOOKUP(L$2,id2_asset,asset!$A15,FALSE)</f>
        <v>37053</v>
      </c>
      <c r="M13" s="281">
        <f>HLOOKUP(M$2,id2_asset,asset!$A15,FALSE)</f>
        <v>37296</v>
      </c>
      <c r="N13" s="281">
        <f>HLOOKUP(N$2,id2_asset,asset!$A15,FALSE)</f>
        <v>33639</v>
      </c>
      <c r="O13" s="281">
        <f>HLOOKUP(O$2,id2_asset,asset!$A15,FALSE)</f>
        <v>34852</v>
      </c>
      <c r="P13" s="281">
        <f>HLOOKUP(P$2,id2_asset,asset!$A15,FALSE)</f>
        <v>36647</v>
      </c>
      <c r="Q13" s="281">
        <f>HLOOKUP(Q$2,id2_asset,asset!$A15,FALSE)</f>
        <v>28501</v>
      </c>
      <c r="R13" s="281">
        <f>HLOOKUP(R$2,id2_asset,asset!$A15,FALSE)</f>
        <v>28501</v>
      </c>
      <c r="S13" s="281">
        <f>HLOOKUP(S$2,id2_asset,asset!$A15,FALSE)</f>
        <v>34852</v>
      </c>
      <c r="T13" s="281">
        <f>HLOOKUP(T$2,id2_asset,asset!$A15,FALSE)</f>
        <v>37296</v>
      </c>
      <c r="U13" s="281">
        <f>HLOOKUP(U$2,id2_asset,asset!$A15,FALSE)</f>
        <v>37296</v>
      </c>
      <c r="V13" s="281">
        <f>HLOOKUP(V$2,id2_asset,asset!$A15,FALSE)</f>
        <v>37053</v>
      </c>
      <c r="W13" s="281">
        <f>HLOOKUP(W$2,id2_asset,asset!$A15,FALSE)</f>
        <v>37296</v>
      </c>
      <c r="X13" s="281" t="e">
        <f>HLOOKUP(X$2,id2_asset,asset!$A15,FALSE)</f>
        <v>#N/A</v>
      </c>
      <c r="Y13" s="281" t="e">
        <f>HLOOKUP(Y$2,id2_asset,asset!$A15,FALSE)</f>
        <v>#N/A</v>
      </c>
      <c r="Z13" s="281" t="e">
        <f>HLOOKUP(Z$2,id2_asset,asset!$A15,FALSE)</f>
        <v>#N/A</v>
      </c>
      <c r="AA13" s="281" t="e">
        <f>HLOOKUP(AA$2,id2_asset,asset!$A15,FALSE)</f>
        <v>#N/A</v>
      </c>
      <c r="AB13" s="281" t="e">
        <f>HLOOKUP(AB$2,id2_asset,asset!$A15,FALSE)</f>
        <v>#N/A</v>
      </c>
      <c r="AC13" s="281" t="e">
        <f>HLOOKUP(AC$2,id2_asset,asset!$A15,FALSE)</f>
        <v>#N/A</v>
      </c>
      <c r="AD13" s="281" t="e">
        <f>HLOOKUP(AD$2,id2_asset,asset!$A15,FALSE)</f>
        <v>#N/A</v>
      </c>
      <c r="AE13" s="281" t="e">
        <f>HLOOKUP(AE$2,id2_asset,asset!$A15,FALSE)</f>
        <v>#N/A</v>
      </c>
      <c r="AF13" s="281" t="e">
        <f>HLOOKUP(AF$2,id2_asset,asset!$A15,FALSE)</f>
        <v>#N/A</v>
      </c>
      <c r="AG13" s="281" t="e">
        <f>HLOOKUP(AG$2,id2_asset,asset!$A15,FALSE)</f>
        <v>#N/A</v>
      </c>
      <c r="AH13" s="281" t="e">
        <f>HLOOKUP(AH$2,id2_asset,asset!$A15,FALSE)</f>
        <v>#N/A</v>
      </c>
      <c r="AI13" s="281" t="e">
        <f>HLOOKUP(AI$2,id2_asset,asset!$A15,FALSE)</f>
        <v>#N/A</v>
      </c>
      <c r="AJ13" s="281" t="e">
        <f>HLOOKUP(AJ$2,id2_asset,asset!$A15,FALSE)</f>
        <v>#N/A</v>
      </c>
      <c r="AK13" s="281" t="e">
        <f>HLOOKUP(AK$2,id2_asset,asset!$A15,FALSE)</f>
        <v>#N/A</v>
      </c>
      <c r="AL13" s="281" t="e">
        <f>HLOOKUP(AL$2,id2_asset,asset!$A15,FALSE)</f>
        <v>#N/A</v>
      </c>
      <c r="AM13" s="281" t="e">
        <f>HLOOKUP(AM$2,id2_asset,asset!$A15,FALSE)</f>
        <v>#N/A</v>
      </c>
      <c r="AN13" s="281" t="e">
        <f>HLOOKUP(AN$2,id2_asset,asset!$A15,FALSE)</f>
        <v>#N/A</v>
      </c>
      <c r="AO13" s="281" t="e">
        <f>HLOOKUP(AO$2,id2_asset,asset!$A15,FALSE)</f>
        <v>#N/A</v>
      </c>
      <c r="AP13" s="281" t="e">
        <f>HLOOKUP(AP$2,id2_asset,asset!$A15,FALSE)</f>
        <v>#N/A</v>
      </c>
      <c r="AQ13" s="281" t="e">
        <f>HLOOKUP(AQ$2,id2_asset,asset!$A15,FALSE)</f>
        <v>#N/A</v>
      </c>
      <c r="AR13" s="281" t="e">
        <f>HLOOKUP(AR$2,id2_asset,asset!$A15,FALSE)</f>
        <v>#N/A</v>
      </c>
      <c r="AS13" s="281" t="e">
        <f>HLOOKUP(AS$2,id2_asset,asset!$A15,FALSE)</f>
        <v>#N/A</v>
      </c>
      <c r="AT13" s="281" t="e">
        <f>HLOOKUP(AT$2,id2_asset,asset!$A15,FALSE)</f>
        <v>#N/A</v>
      </c>
      <c r="AU13" s="281" t="e">
        <f>HLOOKUP(AU$2,id2_asset,asset!$A15,FALSE)</f>
        <v>#N/A</v>
      </c>
      <c r="AV13" s="281" t="e">
        <f>HLOOKUP(AV$2,id2_asset,asset!$A15,FALSE)</f>
        <v>#N/A</v>
      </c>
      <c r="AW13" s="281" t="e">
        <f>HLOOKUP(AW$2,id2_asset,asset!$A15,FALSE)</f>
        <v>#N/A</v>
      </c>
      <c r="AX13" s="281" t="e">
        <f>HLOOKUP(AX$2,id2_asset,asset!$A15,FALSE)</f>
        <v>#N/A</v>
      </c>
      <c r="AY13" s="281" t="e">
        <f>HLOOKUP(AY$2,id2_asset,asset!$A15,FALSE)</f>
        <v>#N/A</v>
      </c>
      <c r="AZ13" s="281" t="e">
        <f>HLOOKUP(AZ$2,id2_asset,asset!$A15,FALSE)</f>
        <v>#N/A</v>
      </c>
      <c r="BA13" s="281" t="e">
        <f>HLOOKUP(BA$2,id2_asset,asset!$A15,FALSE)</f>
        <v>#N/A</v>
      </c>
    </row>
    <row r="14" spans="1:53">
      <c r="A14" s="277">
        <v>23</v>
      </c>
      <c r="B14" s="13" t="s">
        <v>96</v>
      </c>
      <c r="C14" s="419"/>
      <c r="D14" s="20">
        <f t="shared" ref="D14:W14" ca="1" si="3">current_year-YEAR(D13)</f>
        <v>31</v>
      </c>
      <c r="E14" s="20">
        <f t="shared" ca="1" si="3"/>
        <v>28</v>
      </c>
      <c r="F14" s="20">
        <f t="shared" ca="1" si="3"/>
        <v>23</v>
      </c>
      <c r="G14" s="20">
        <f t="shared" ca="1" si="3"/>
        <v>45</v>
      </c>
      <c r="H14" s="20">
        <f t="shared" ca="1" si="3"/>
        <v>22</v>
      </c>
      <c r="I14" s="20">
        <f t="shared" ca="1" si="3"/>
        <v>21</v>
      </c>
      <c r="J14" s="20">
        <f t="shared" ca="1" si="3"/>
        <v>31</v>
      </c>
      <c r="K14" s="20">
        <f t="shared" ca="1" si="3"/>
        <v>23</v>
      </c>
      <c r="L14" s="20">
        <f t="shared" ca="1" si="3"/>
        <v>22</v>
      </c>
      <c r="M14" s="20">
        <f t="shared" ca="1" si="3"/>
        <v>21</v>
      </c>
      <c r="N14" s="20">
        <f t="shared" ca="1" si="3"/>
        <v>31</v>
      </c>
      <c r="O14" s="20">
        <f t="shared" ca="1" si="3"/>
        <v>28</v>
      </c>
      <c r="P14" s="20">
        <f t="shared" ca="1" si="3"/>
        <v>23</v>
      </c>
      <c r="Q14" s="20">
        <f t="shared" ca="1" si="3"/>
        <v>45</v>
      </c>
      <c r="R14" s="20">
        <f t="shared" ca="1" si="3"/>
        <v>45</v>
      </c>
      <c r="S14" s="20">
        <f t="shared" ca="1" si="3"/>
        <v>28</v>
      </c>
      <c r="T14" s="20">
        <f t="shared" ca="1" si="3"/>
        <v>21</v>
      </c>
      <c r="U14" s="20">
        <f t="shared" ca="1" si="3"/>
        <v>21</v>
      </c>
      <c r="V14" s="20">
        <f t="shared" ca="1" si="3"/>
        <v>22</v>
      </c>
      <c r="W14" s="20">
        <f t="shared" ca="1" si="3"/>
        <v>21</v>
      </c>
      <c r="X14" s="20" t="e">
        <f t="shared" ref="X14:BA14" ca="1" si="4">current_year-YEAR(X13)</f>
        <v>#N/A</v>
      </c>
      <c r="Y14" s="20" t="e">
        <f t="shared" ca="1" si="4"/>
        <v>#N/A</v>
      </c>
      <c r="Z14" s="20" t="e">
        <f t="shared" ca="1" si="4"/>
        <v>#N/A</v>
      </c>
      <c r="AA14" s="20" t="e">
        <f t="shared" ca="1" si="4"/>
        <v>#N/A</v>
      </c>
      <c r="AB14" s="20" t="e">
        <f t="shared" ca="1" si="4"/>
        <v>#N/A</v>
      </c>
      <c r="AC14" s="20" t="e">
        <f t="shared" ca="1" si="4"/>
        <v>#N/A</v>
      </c>
      <c r="AD14" s="20" t="e">
        <f t="shared" ca="1" si="4"/>
        <v>#N/A</v>
      </c>
      <c r="AE14" s="20" t="e">
        <f t="shared" ca="1" si="4"/>
        <v>#N/A</v>
      </c>
      <c r="AF14" s="20" t="e">
        <f t="shared" ca="1" si="4"/>
        <v>#N/A</v>
      </c>
      <c r="AG14" s="20" t="e">
        <f t="shared" ca="1" si="4"/>
        <v>#N/A</v>
      </c>
      <c r="AH14" s="20" t="e">
        <f t="shared" ca="1" si="4"/>
        <v>#N/A</v>
      </c>
      <c r="AI14" s="20" t="e">
        <f t="shared" ca="1" si="4"/>
        <v>#N/A</v>
      </c>
      <c r="AJ14" s="20" t="e">
        <f t="shared" ca="1" si="4"/>
        <v>#N/A</v>
      </c>
      <c r="AK14" s="20" t="e">
        <f t="shared" ca="1" si="4"/>
        <v>#N/A</v>
      </c>
      <c r="AL14" s="20" t="e">
        <f t="shared" ca="1" si="4"/>
        <v>#N/A</v>
      </c>
      <c r="AM14" s="20" t="e">
        <f t="shared" ca="1" si="4"/>
        <v>#N/A</v>
      </c>
      <c r="AN14" s="20" t="e">
        <f t="shared" ca="1" si="4"/>
        <v>#N/A</v>
      </c>
      <c r="AO14" s="20" t="e">
        <f t="shared" ca="1" si="4"/>
        <v>#N/A</v>
      </c>
      <c r="AP14" s="20" t="e">
        <f t="shared" ca="1" si="4"/>
        <v>#N/A</v>
      </c>
      <c r="AQ14" s="20" t="e">
        <f t="shared" ca="1" si="4"/>
        <v>#N/A</v>
      </c>
      <c r="AR14" s="20" t="e">
        <f t="shared" ca="1" si="4"/>
        <v>#N/A</v>
      </c>
      <c r="AS14" s="20" t="e">
        <f t="shared" ca="1" si="4"/>
        <v>#N/A</v>
      </c>
      <c r="AT14" s="20" t="e">
        <f t="shared" ca="1" si="4"/>
        <v>#N/A</v>
      </c>
      <c r="AU14" s="20" t="e">
        <f t="shared" ca="1" si="4"/>
        <v>#N/A</v>
      </c>
      <c r="AV14" s="20" t="e">
        <f t="shared" ca="1" si="4"/>
        <v>#N/A</v>
      </c>
      <c r="AW14" s="20" t="e">
        <f t="shared" ca="1" si="4"/>
        <v>#N/A</v>
      </c>
      <c r="AX14" s="20" t="e">
        <f t="shared" ca="1" si="4"/>
        <v>#N/A</v>
      </c>
      <c r="AY14" s="20" t="e">
        <f t="shared" ca="1" si="4"/>
        <v>#N/A</v>
      </c>
      <c r="AZ14" s="20" t="e">
        <f t="shared" ca="1" si="4"/>
        <v>#N/A</v>
      </c>
      <c r="BA14" s="20" t="e">
        <f t="shared" ca="1" si="4"/>
        <v>#N/A</v>
      </c>
    </row>
    <row r="15" spans="1:53">
      <c r="A15" s="277">
        <v>24</v>
      </c>
      <c r="B15" s="15" t="s">
        <v>97</v>
      </c>
      <c r="C15" s="417">
        <f>GETPIVOTDATA("45.物理区画判定(自動)",pivot!$DY$6)</f>
        <v>303</v>
      </c>
      <c r="D15" s="282">
        <f>IFERROR(GETPIVOTDATA("45.物理区画判定(自動)",pivot!$DY$6,"3.物件名",D$1),0)</f>
        <v>24</v>
      </c>
      <c r="E15" s="282">
        <f>IFERROR(GETPIVOTDATA("45.物理区画判定(自動)",pivot!$DY$6,"3.物件名",E$1),0)</f>
        <v>36</v>
      </c>
      <c r="F15" s="282">
        <f>IFERROR(GETPIVOTDATA("45.物理区画判定(自動)",pivot!$DY$6,"3.物件名",F$1),0)</f>
        <v>18</v>
      </c>
      <c r="G15" s="282">
        <f>IFERROR(GETPIVOTDATA("45.物理区画判定(自動)",pivot!$DY$6,"3.物件名",G$1),0)</f>
        <v>8</v>
      </c>
      <c r="H15" s="282">
        <f>IFERROR(GETPIVOTDATA("45.物理区画判定(自動)",pivot!$DY$6,"3.物件名",H$1),0)</f>
        <v>29</v>
      </c>
      <c r="I15" s="282">
        <f>IFERROR(GETPIVOTDATA("45.物理区画判定(自動)",pivot!$DY$6,"3.物件名",I$1),0)</f>
        <v>22</v>
      </c>
      <c r="J15" s="282">
        <f>IFERROR(GETPIVOTDATA("45.物理区画判定(自動)",pivot!$DY$6,"3.物件名",J$1),0)</f>
        <v>23</v>
      </c>
      <c r="K15" s="282">
        <f>IFERROR(GETPIVOTDATA("45.物理区画判定(自動)",pivot!$DY$6,"3.物件名",K$1),0)</f>
        <v>16</v>
      </c>
      <c r="L15" s="282">
        <f>IFERROR(GETPIVOTDATA("45.物理区画判定(自動)",pivot!$DY$6,"3.物件名",L$1),0)</f>
        <v>21</v>
      </c>
      <c r="M15" s="282">
        <f>IFERROR(GETPIVOTDATA("45.物理区画判定(自動)",pivot!$DY$6,"3.物件名",M$1),0)</f>
        <v>1</v>
      </c>
      <c r="N15" s="282">
        <f>IFERROR(GETPIVOTDATA("45.物理区画判定(自動)",pivot!$DY$6,"3.物件名",N$1),0)</f>
        <v>25</v>
      </c>
      <c r="O15" s="282">
        <f>IFERROR(GETPIVOTDATA("45.物理区画判定(自動)",pivot!$DY$6,"3.物件名",O$1),0)</f>
        <v>16</v>
      </c>
      <c r="P15" s="282">
        <f>IFERROR(GETPIVOTDATA("45.物理区画判定(自動)",pivot!$DY$6,"3.物件名",P$1),0)</f>
        <v>26</v>
      </c>
      <c r="Q15" s="282">
        <f>IFERROR(GETPIVOTDATA("45.物理区画判定(自動)",pivot!$DY$6,"3.物件名",Q$1),0)</f>
        <v>16</v>
      </c>
      <c r="R15" s="282">
        <f>IFERROR(GETPIVOTDATA("45.物理区画判定(自動)",pivot!$DY$6,"3.物件名",R$1),0)</f>
        <v>9</v>
      </c>
      <c r="S15" s="282">
        <f>IFERROR(GETPIVOTDATA("45.物理区画判定(自動)",pivot!$DY$6,"3.物件名",S$1),0)</f>
        <v>9</v>
      </c>
      <c r="T15" s="282">
        <f>IFERROR(GETPIVOTDATA("45.物理区画判定(自動)",pivot!$DY$6,"3.物件名",T$1),0)</f>
        <v>1</v>
      </c>
      <c r="U15" s="282">
        <f>IFERROR(GETPIVOTDATA("45.物理区画判定(自動)",pivot!$DY$6,"3.物件名",U$1),0)</f>
        <v>1</v>
      </c>
      <c r="V15" s="282">
        <f>IFERROR(GETPIVOTDATA("45.物理区画判定(自動)",pivot!$DY$6,"3.物件名",V$1),0)</f>
        <v>1</v>
      </c>
      <c r="W15" s="282">
        <f>IFERROR(GETPIVOTDATA("45.物理区画判定(自動)",pivot!$DY$6,"3.物件名",W$1),0)</f>
        <v>1</v>
      </c>
      <c r="X15" s="282">
        <f>IFERROR(GETPIVOTDATA("45.物理区画判定(自動)",pivot!$DY$6,"3.物件名",X$1),0)</f>
        <v>0</v>
      </c>
      <c r="Y15" s="282">
        <f>IFERROR(GETPIVOTDATA("45.物理区画判定(自動)",pivot!$DY$6,"3.物件名",Y$1),0)</f>
        <v>0</v>
      </c>
      <c r="Z15" s="282">
        <f>IFERROR(GETPIVOTDATA("45.物理区画判定(自動)",pivot!$DY$6,"3.物件名",Z$1),0)</f>
        <v>0</v>
      </c>
      <c r="AA15" s="282">
        <f>IFERROR(GETPIVOTDATA("45.物理区画判定(自動)",pivot!$DY$6,"3.物件名",AA$1),0)</f>
        <v>0</v>
      </c>
      <c r="AB15" s="282">
        <f>IFERROR(GETPIVOTDATA("45.物理区画判定(自動)",pivot!$DY$6,"3.物件名",AB$1),0)</f>
        <v>0</v>
      </c>
      <c r="AC15" s="282">
        <f>IFERROR(GETPIVOTDATA("45.物理区画判定(自動)",pivot!$DY$6,"3.物件名",AC$1),0)</f>
        <v>0</v>
      </c>
      <c r="AD15" s="282">
        <f>IFERROR(GETPIVOTDATA("45.物理区画判定(自動)",pivot!$DY$6,"3.物件名",AD$1),0)</f>
        <v>0</v>
      </c>
      <c r="AE15" s="282">
        <f>IFERROR(GETPIVOTDATA("45.物理区画判定(自動)",pivot!$DY$6,"3.物件名",AE$1),0)</f>
        <v>0</v>
      </c>
      <c r="AF15" s="282">
        <f>IFERROR(GETPIVOTDATA("45.物理区画判定(自動)",pivot!$DY$6,"3.物件名",AF$1),0)</f>
        <v>0</v>
      </c>
      <c r="AG15" s="282">
        <f>IFERROR(GETPIVOTDATA("45.物理区画判定(自動)",pivot!$DY$6,"3.物件名",AG$1),0)</f>
        <v>0</v>
      </c>
      <c r="AH15" s="282">
        <f>IFERROR(GETPIVOTDATA("45.物理区画判定(自動)",pivot!$DY$6,"3.物件名",AH$1),0)</f>
        <v>0</v>
      </c>
      <c r="AI15" s="282">
        <f>IFERROR(GETPIVOTDATA("45.物理区画判定(自動)",pivot!$DY$6,"3.物件名",AI$1),0)</f>
        <v>0</v>
      </c>
      <c r="AJ15" s="282">
        <f>IFERROR(GETPIVOTDATA("45.物理区画判定(自動)",pivot!$DY$6,"3.物件名",AJ$1),0)</f>
        <v>0</v>
      </c>
      <c r="AK15" s="282">
        <f>IFERROR(GETPIVOTDATA("45.物理区画判定(自動)",pivot!$DY$6,"3.物件名",AK$1),0)</f>
        <v>0</v>
      </c>
      <c r="AL15" s="282">
        <f>IFERROR(GETPIVOTDATA("45.物理区画判定(自動)",pivot!$DY$6,"3.物件名",AL$1),0)</f>
        <v>0</v>
      </c>
      <c r="AM15" s="282">
        <f>IFERROR(GETPIVOTDATA("45.物理区画判定(自動)",pivot!$DY$6,"3.物件名",AM$1),0)</f>
        <v>0</v>
      </c>
      <c r="AN15" s="282">
        <f>IFERROR(GETPIVOTDATA("45.物理区画判定(自動)",pivot!$DY$6,"3.物件名",AN$1),0)</f>
        <v>0</v>
      </c>
      <c r="AO15" s="282">
        <f>IFERROR(GETPIVOTDATA("45.物理区画判定(自動)",pivot!$DY$6,"3.物件名",AO$1),0)</f>
        <v>0</v>
      </c>
      <c r="AP15" s="282">
        <f>IFERROR(GETPIVOTDATA("45.物理区画判定(自動)",pivot!$DY$6,"3.物件名",AP$1),0)</f>
        <v>0</v>
      </c>
      <c r="AQ15" s="282">
        <f>IFERROR(GETPIVOTDATA("45.物理区画判定(自動)",pivot!$DY$6,"3.物件名",AQ$1),0)</f>
        <v>0</v>
      </c>
      <c r="AR15" s="282">
        <f>IFERROR(GETPIVOTDATA("45.物理区画判定(自動)",pivot!$DY$6,"3.物件名",AR$1),0)</f>
        <v>0</v>
      </c>
      <c r="AS15" s="282">
        <f>IFERROR(GETPIVOTDATA("45.物理区画判定(自動)",pivot!$DY$6,"3.物件名",AS$1),0)</f>
        <v>0</v>
      </c>
      <c r="AT15" s="282">
        <f>IFERROR(GETPIVOTDATA("45.物理区画判定(自動)",pivot!$DY$6,"3.物件名",AT$1),0)</f>
        <v>0</v>
      </c>
      <c r="AU15" s="282">
        <f>IFERROR(GETPIVOTDATA("45.物理区画判定(自動)",pivot!$DY$6,"3.物件名",AU$1),0)</f>
        <v>0</v>
      </c>
      <c r="AV15" s="282">
        <f>IFERROR(GETPIVOTDATA("45.物理区画判定(自動)",pivot!$DY$6,"3.物件名",AV$1),0)</f>
        <v>0</v>
      </c>
      <c r="AW15" s="282">
        <f>IFERROR(GETPIVOTDATA("45.物理区画判定(自動)",pivot!$DY$6,"3.物件名",AW$1),0)</f>
        <v>0</v>
      </c>
      <c r="AX15" s="282">
        <f>IFERROR(GETPIVOTDATA("45.物理区画判定(自動)",pivot!$DY$6,"3.物件名",AX$1),0)</f>
        <v>0</v>
      </c>
      <c r="AY15" s="282">
        <f>IFERROR(GETPIVOTDATA("45.物理区画判定(自動)",pivot!$DY$6,"3.物件名",AY$1),0)</f>
        <v>0</v>
      </c>
      <c r="AZ15" s="282">
        <f>IFERROR(GETPIVOTDATA("45.物理区画判定(自動)",pivot!$DY$6,"3.物件名",AZ$1),0)</f>
        <v>0</v>
      </c>
      <c r="BA15" s="282">
        <f>IFERROR(GETPIVOTDATA("45.物理区画判定(自動)",pivot!$DY$6,"3.物件名",BA$1),0)</f>
        <v>0</v>
      </c>
    </row>
    <row r="16" spans="1:53">
      <c r="A16" s="277">
        <v>25</v>
      </c>
      <c r="B16" s="13" t="s">
        <v>98</v>
      </c>
      <c r="C16" s="414">
        <f>IFERROR(GETPIVOTDATA("45.物理区画判定(自動)",pivot!$DY$6,"7.クラス","住居","7.クラス2","住居"),0)</f>
        <v>255</v>
      </c>
      <c r="D16" s="282">
        <f>IFERROR(GETPIVOTDATA("45.物理区画判定(自動)",pivot!$DY$6,"3.物件名",D1,"7.クラス","住居","7.クラス2","住居"),0)</f>
        <v>22</v>
      </c>
      <c r="E16" s="282">
        <f>IFERROR(GETPIVOTDATA("45.物理区画判定(自動)",pivot!$DY$6,"3.物件名",E1,"7.クラス","住居","7.クラス2","住居"),0)</f>
        <v>34</v>
      </c>
      <c r="F16" s="282">
        <f>IFERROR(GETPIVOTDATA("45.物理区画判定(自動)",pivot!$DY$6,"3.物件名",F1,"7.クラス","住居","7.クラス2","住居"),0)</f>
        <v>9</v>
      </c>
      <c r="G16" s="282">
        <f>IFERROR(GETPIVOTDATA("45.物理区画判定(自動)",pivot!$DY$6,"3.物件名",G1,"7.クラス","住居","7.クラス2","住居"),0)</f>
        <v>6</v>
      </c>
      <c r="H16" s="282">
        <f>IFERROR(GETPIVOTDATA("45.物理区画判定(自動)",pivot!$DY$6,"3.物件名",H1,"7.クラス","住居","7.クラス2","住居"),0)</f>
        <v>24</v>
      </c>
      <c r="I16" s="282">
        <f>IFERROR(GETPIVOTDATA("45.物理区画判定(自動)",pivot!$DY$6,"3.物件名",I1,"7.クラス","住居","7.クラス2","住居"),0)</f>
        <v>21</v>
      </c>
      <c r="J16" s="282">
        <f>IFERROR(GETPIVOTDATA("45.物理区画判定(自動)",pivot!$DY$6,"3.物件名",J1,"7.クラス","住居","7.クラス2","住居"),0)</f>
        <v>22</v>
      </c>
      <c r="K16" s="282">
        <f>IFERROR(GETPIVOTDATA("45.物理区画判定(自動)",pivot!$DY$6,"3.物件名",K1,"7.クラス","住居","7.クラス2","住居"),0)</f>
        <v>12</v>
      </c>
      <c r="L16" s="282">
        <f>IFERROR(GETPIVOTDATA("45.物理区画判定(自動)",pivot!$DY$6,"3.物件名",L1,"7.クラス","住居","7.クラス2","住居"),0)</f>
        <v>10</v>
      </c>
      <c r="M16" s="282">
        <f>IFERROR(GETPIVOTDATA("45.物理区画判定(自動)",pivot!$DY$6,"3.物件名",M1,"7.クラス","住居","7.クラス2","住居"),0)</f>
        <v>0</v>
      </c>
      <c r="N16" s="282">
        <f>IFERROR(GETPIVOTDATA("45.物理区画判定(自動)",pivot!$DY$6,"3.物件名",N1,"7.クラス","住居","7.クラス2","住居"),0)</f>
        <v>24</v>
      </c>
      <c r="O16" s="282">
        <f>IFERROR(GETPIVOTDATA("45.物理区画判定(自動)",pivot!$DY$6,"3.物件名",O1,"7.クラス","住居","7.クラス2","住居"),0)</f>
        <v>14</v>
      </c>
      <c r="P16" s="282">
        <f>IFERROR(GETPIVOTDATA("45.物理区画判定(自動)",pivot!$DY$6,"3.物件名",P1,"7.クラス","住居","7.クラス2","住居"),0)</f>
        <v>23</v>
      </c>
      <c r="Q16" s="282">
        <f>IFERROR(GETPIVOTDATA("45.物理区画判定(自動)",pivot!$DY$6,"3.物件名",Q1,"7.クラス","住居","7.クラス2","住居"),0)</f>
        <v>14</v>
      </c>
      <c r="R16" s="282">
        <f>IFERROR(GETPIVOTDATA("45.物理区画判定(自動)",pivot!$DY$6,"3.物件名",R1,"7.クラス","住居","7.クラス2","住居"),0)</f>
        <v>8</v>
      </c>
      <c r="S16" s="282">
        <f>IFERROR(GETPIVOTDATA("45.物理区画判定(自動)",pivot!$DY$6,"3.物件名",S1,"7.クラス","住居","7.クラス2","住居"),0)</f>
        <v>9</v>
      </c>
      <c r="T16" s="282">
        <f>IFERROR(GETPIVOTDATA("45.物理区画判定(自動)",pivot!$DY$6,"3.物件名",T1,"7.クラス","住居","7.クラス2","住居"),0)</f>
        <v>1</v>
      </c>
      <c r="U16" s="282">
        <f>IFERROR(GETPIVOTDATA("45.物理区画判定(自動)",pivot!$DY$6,"3.物件名",U1,"7.クラス","住居","7.クラス2","住居"),0)</f>
        <v>1</v>
      </c>
      <c r="V16" s="282">
        <f>IFERROR(GETPIVOTDATA("45.物理区画判定(自動)",pivot!$DY$6,"3.物件名",V1,"7.クラス","住居","7.クラス2","住居"),0)</f>
        <v>0</v>
      </c>
      <c r="W16" s="282">
        <f>IFERROR(GETPIVOTDATA("45.物理区画判定(自動)",pivot!$DY$6,"3.物件名",W1,"7.クラス","住居","7.クラス2","住居"),0)</f>
        <v>1</v>
      </c>
      <c r="X16" s="282">
        <f>IFERROR(GETPIVOTDATA("45.物理区画判定(自動)",pivot!$DY$6,"3.物件名",X1,"7.クラス","住居","7.クラス2","住居"),0)</f>
        <v>0</v>
      </c>
      <c r="Y16" s="282">
        <f>IFERROR(GETPIVOTDATA("45.物理区画判定(自動)",pivot!$DY$6,"3.物件名",Y1,"7.クラス","住居","7.クラス2","住居"),0)</f>
        <v>0</v>
      </c>
      <c r="Z16" s="282">
        <f>IFERROR(GETPIVOTDATA("45.物理区画判定(自動)",pivot!$DY$6,"3.物件名",Z1,"7.クラス","住居","7.クラス2","住居"),0)</f>
        <v>0</v>
      </c>
      <c r="AA16" s="282">
        <f>IFERROR(GETPIVOTDATA("45.物理区画判定(自動)",pivot!$DY$6,"3.物件名",AA1,"7.クラス","住居","7.クラス2","住居"),0)</f>
        <v>0</v>
      </c>
      <c r="AB16" s="282">
        <f>IFERROR(GETPIVOTDATA("45.物理区画判定(自動)",pivot!$DY$6,"3.物件名",AB1,"7.クラス","住居","7.クラス2","住居"),0)</f>
        <v>0</v>
      </c>
      <c r="AC16" s="282">
        <f>IFERROR(GETPIVOTDATA("45.物理区画判定(自動)",pivot!$DY$6,"3.物件名",AC1,"7.クラス","住居","7.クラス2","住居"),0)</f>
        <v>0</v>
      </c>
      <c r="AD16" s="282">
        <f>IFERROR(GETPIVOTDATA("45.物理区画判定(自動)",pivot!$DY$6,"3.物件名",AD1,"7.クラス","住居","7.クラス2","住居"),0)</f>
        <v>0</v>
      </c>
      <c r="AE16" s="282">
        <f>IFERROR(GETPIVOTDATA("45.物理区画判定(自動)",pivot!$DY$6,"3.物件名",AE1,"7.クラス","住居","7.クラス2","住居"),0)</f>
        <v>0</v>
      </c>
      <c r="AF16" s="282">
        <f>IFERROR(GETPIVOTDATA("45.物理区画判定(自動)",pivot!$DY$6,"3.物件名",AF1,"7.クラス","住居","7.クラス2","住居"),0)</f>
        <v>0</v>
      </c>
      <c r="AG16" s="282">
        <f>IFERROR(GETPIVOTDATA("45.物理区画判定(自動)",pivot!$DY$6,"3.物件名",AG1,"7.クラス","住居","7.クラス2","住居"),0)</f>
        <v>0</v>
      </c>
      <c r="AH16" s="282">
        <f>IFERROR(GETPIVOTDATA("45.物理区画判定(自動)",pivot!$DY$6,"3.物件名",AH1,"7.クラス","住居","7.クラス2","住居"),0)</f>
        <v>0</v>
      </c>
      <c r="AI16" s="282">
        <f>IFERROR(GETPIVOTDATA("45.物理区画判定(自動)",pivot!$DY$6,"3.物件名",AI1,"7.クラス","住居","7.クラス2","住居"),0)</f>
        <v>0</v>
      </c>
      <c r="AJ16" s="282">
        <f>IFERROR(GETPIVOTDATA("45.物理区画判定(自動)",pivot!$DY$6,"3.物件名",AJ1,"7.クラス","住居","7.クラス2","住居"),0)</f>
        <v>0</v>
      </c>
      <c r="AK16" s="282">
        <f>IFERROR(GETPIVOTDATA("45.物理区画判定(自動)",pivot!$DY$6,"3.物件名",AK1,"7.クラス","住居","7.クラス2","住居"),0)</f>
        <v>0</v>
      </c>
      <c r="AL16" s="282">
        <f>IFERROR(GETPIVOTDATA("45.物理区画判定(自動)",pivot!$DY$6,"3.物件名",AL1,"7.クラス","住居","7.クラス2","住居"),0)</f>
        <v>0</v>
      </c>
      <c r="AM16" s="282">
        <f>IFERROR(GETPIVOTDATA("45.物理区画判定(自動)",pivot!$DY$6,"3.物件名",AM1,"7.クラス","住居","7.クラス2","住居"),0)</f>
        <v>0</v>
      </c>
      <c r="AN16" s="282">
        <f>IFERROR(GETPIVOTDATA("45.物理区画判定(自動)",pivot!$DY$6,"3.物件名",AN1,"7.クラス","住居","7.クラス2","住居"),0)</f>
        <v>0</v>
      </c>
      <c r="AO16" s="282">
        <f>IFERROR(GETPIVOTDATA("45.物理区画判定(自動)",pivot!$DY$6,"3.物件名",AO1,"7.クラス","住居","7.クラス2","住居"),0)</f>
        <v>0</v>
      </c>
      <c r="AP16" s="282">
        <f>IFERROR(GETPIVOTDATA("45.物理区画判定(自動)",pivot!$DY$6,"3.物件名",AP1,"7.クラス","住居","7.クラス2","住居"),0)</f>
        <v>0</v>
      </c>
      <c r="AQ16" s="282">
        <f>IFERROR(GETPIVOTDATA("45.物理区画判定(自動)",pivot!$DY$6,"3.物件名",AQ1,"7.クラス","住居","7.クラス2","住居"),0)</f>
        <v>0</v>
      </c>
      <c r="AR16" s="282">
        <f>IFERROR(GETPIVOTDATA("45.物理区画判定(自動)",pivot!$DY$6,"3.物件名",AR1,"7.クラス","住居","7.クラス2","住居"),0)</f>
        <v>0</v>
      </c>
      <c r="AS16" s="282">
        <f>IFERROR(GETPIVOTDATA("45.物理区画判定(自動)",pivot!$DY$6,"3.物件名",AS1,"7.クラス","住居","7.クラス2","住居"),0)</f>
        <v>0</v>
      </c>
      <c r="AT16" s="282">
        <f>IFERROR(GETPIVOTDATA("45.物理区画判定(自動)",pivot!$DY$6,"3.物件名",AT1,"7.クラス","住居","7.クラス2","住居"),0)</f>
        <v>0</v>
      </c>
      <c r="AU16" s="282">
        <f>IFERROR(GETPIVOTDATA("45.物理区画判定(自動)",pivot!$DY$6,"3.物件名",AU1,"7.クラス","住居","7.クラス2","住居"),0)</f>
        <v>0</v>
      </c>
      <c r="AV16" s="282">
        <f>IFERROR(GETPIVOTDATA("45.物理区画判定(自動)",pivot!$DY$6,"3.物件名",AV1,"7.クラス","住居","7.クラス2","住居"),0)</f>
        <v>0</v>
      </c>
      <c r="AW16" s="282">
        <f>IFERROR(GETPIVOTDATA("45.物理区画判定(自動)",pivot!$DY$6,"3.物件名",AW1,"7.クラス","住居","7.クラス2","住居"),0)</f>
        <v>0</v>
      </c>
      <c r="AX16" s="282">
        <f>IFERROR(GETPIVOTDATA("45.物理区画判定(自動)",pivot!$DY$6,"3.物件名",AX1,"7.クラス","住居","7.クラス2","住居"),0)</f>
        <v>0</v>
      </c>
      <c r="AY16" s="282">
        <f>IFERROR(GETPIVOTDATA("45.物理区画判定(自動)",pivot!$DY$6,"3.物件名",AY1,"7.クラス","住居","7.クラス2","住居"),0)</f>
        <v>0</v>
      </c>
      <c r="AZ16" s="282">
        <f>IFERROR(GETPIVOTDATA("45.物理区画判定(自動)",pivot!$DY$6,"3.物件名",AZ1,"7.クラス","住居","7.クラス2","住居"),0)</f>
        <v>0</v>
      </c>
      <c r="BA16" s="282">
        <f>IFERROR(GETPIVOTDATA("45.物理区画判定(自動)",pivot!$DY$6,"3.物件名",BA1,"7.クラス","住居","7.クラス2","住居"),0)</f>
        <v>0</v>
      </c>
    </row>
    <row r="17" spans="1:53">
      <c r="A17" s="277">
        <v>26</v>
      </c>
      <c r="B17" s="13" t="s">
        <v>99</v>
      </c>
      <c r="C17" s="414">
        <f>IFERROR(GETPIVOTDATA("45.物理区画判定(自動)",pivot!$DY$6,"7.クラス2","店舗事務所系物理区画"),0)</f>
        <v>16</v>
      </c>
      <c r="D17" s="282">
        <f>IFERROR(GETPIVOTDATA("45.物理区画判定(自動)",pivot!$DY$6,"3.物件名",D1,"7.クラス2","店舗事務所系物理区画"),0)</f>
        <v>1</v>
      </c>
      <c r="E17" s="282">
        <f>IFERROR(GETPIVOTDATA("45.物理区画判定(自動)",pivot!$DY$6,"3.物件名",E1,"7.クラス2","店舗事務所系物理区画"),0)</f>
        <v>0</v>
      </c>
      <c r="F17" s="282">
        <f>IFERROR(GETPIVOTDATA("45.物理区画判定(自動)",pivot!$DY$6,"3.物件名",F1,"7.クラス2","店舗事務所系物理区画"),0)</f>
        <v>6</v>
      </c>
      <c r="G17" s="282">
        <f>IFERROR(GETPIVOTDATA("45.物理区画判定(自動)",pivot!$DY$6,"3.物件名",G1,"7.クラス2","店舗事務所系物理区画"),0)</f>
        <v>2</v>
      </c>
      <c r="H17" s="282">
        <f>IFERROR(GETPIVOTDATA("45.物理区画判定(自動)",pivot!$DY$6,"3.物件名",H1,"7.クラス2","店舗事務所系物理区画"),0)</f>
        <v>1</v>
      </c>
      <c r="I17" s="282">
        <f>IFERROR(GETPIVOTDATA("45.物理区画判定(自動)",pivot!$DY$6,"3.物件名",I1,"7.クラス2","店舗事務所系物理区画"),0)</f>
        <v>0</v>
      </c>
      <c r="J17" s="282">
        <f>IFERROR(GETPIVOTDATA("45.物理区画判定(自動)",pivot!$DY$6,"3.物件名",J1,"7.クラス2","店舗事務所系物理区画"),0)</f>
        <v>1</v>
      </c>
      <c r="K17" s="282">
        <f>IFERROR(GETPIVOTDATA("45.物理区画判定(自動)",pivot!$DY$6,"3.物件名",K1,"7.クラス2","店舗事務所系物理区画"),0)</f>
        <v>0</v>
      </c>
      <c r="L17" s="282">
        <f>IFERROR(GETPIVOTDATA("45.物理区画判定(自動)",pivot!$DY$6,"3.物件名",L1,"7.クラス2","店舗事務所系物理区画"),0)</f>
        <v>0</v>
      </c>
      <c r="M17" s="282">
        <f>IFERROR(GETPIVOTDATA("45.物理区画判定(自動)",pivot!$DY$6,"3.物件名",M1,"7.クラス2","店舗事務所系物理区画"),0)</f>
        <v>1</v>
      </c>
      <c r="N17" s="282">
        <f>IFERROR(GETPIVOTDATA("45.物理区画判定(自動)",pivot!$DY$6,"3.物件名",N1,"7.クラス2","店舗事務所系物理区画"),0)</f>
        <v>0</v>
      </c>
      <c r="O17" s="282">
        <f>IFERROR(GETPIVOTDATA("45.物理区画判定(自動)",pivot!$DY$6,"3.物件名",O1,"7.クラス2","店舗事務所系物理区画"),0)</f>
        <v>1</v>
      </c>
      <c r="P17" s="282">
        <f>IFERROR(GETPIVOTDATA("45.物理区画判定(自動)",pivot!$DY$6,"3.物件名",P1,"7.クラス2","店舗事務所系物理区画"),0)</f>
        <v>1</v>
      </c>
      <c r="Q17" s="282">
        <f>IFERROR(GETPIVOTDATA("45.物理区画判定(自動)",pivot!$DY$6,"3.物件名",Q1,"7.クラス2","店舗事務所系物理区画"),0)</f>
        <v>1</v>
      </c>
      <c r="R17" s="282">
        <f>IFERROR(GETPIVOTDATA("45.物理区画判定(自動)",pivot!$DY$6,"3.物件名",R1,"7.クラス2","店舗事務所系物理区画"),0)</f>
        <v>0</v>
      </c>
      <c r="S17" s="282">
        <f>IFERROR(GETPIVOTDATA("45.物理区画判定(自動)",pivot!$DY$6,"3.物件名",S1,"7.クラス2","店舗事務所系物理区画"),0)</f>
        <v>0</v>
      </c>
      <c r="T17" s="282">
        <f>IFERROR(GETPIVOTDATA("45.物理区画判定(自動)",pivot!$DY$6,"3.物件名",T1,"7.クラス2","店舗事務所系物理区画"),0)</f>
        <v>0</v>
      </c>
      <c r="U17" s="282">
        <f>IFERROR(GETPIVOTDATA("45.物理区画判定(自動)",pivot!$DY$6,"3.物件名",U1,"7.クラス2","店舗事務所系物理区画"),0)</f>
        <v>0</v>
      </c>
      <c r="V17" s="282">
        <f>IFERROR(GETPIVOTDATA("45.物理区画判定(自動)",pivot!$DY$6,"3.物件名",V1,"7.クラス2","店舗事務所系物理区画"),0)</f>
        <v>1</v>
      </c>
      <c r="W17" s="282">
        <f>IFERROR(GETPIVOTDATA("45.物理区画判定(自動)",pivot!$DY$6,"3.物件名",W1,"7.クラス2","店舗事務所系物理区画"),0)</f>
        <v>0</v>
      </c>
      <c r="X17" s="282">
        <f>IFERROR(GETPIVOTDATA("45.物理区画判定(自動)",pivot!$DY$6,"3.物件名",X1,"7.クラス2","店舗事務所系物理区画"),0)</f>
        <v>0</v>
      </c>
      <c r="Y17" s="282">
        <f>IFERROR(GETPIVOTDATA("45.物理区画判定(自動)",pivot!$DY$6,"3.物件名",Y1,"7.クラス2","店舗事務所系物理区画"),0)</f>
        <v>0</v>
      </c>
      <c r="Z17" s="282">
        <f>IFERROR(GETPIVOTDATA("45.物理区画判定(自動)",pivot!$DY$6,"3.物件名",Z1,"7.クラス2","店舗事務所系物理区画"),0)</f>
        <v>0</v>
      </c>
      <c r="AA17" s="282">
        <f>IFERROR(GETPIVOTDATA("45.物理区画判定(自動)",pivot!$DY$6,"3.物件名",AA1,"7.クラス2","店舗事務所系物理区画"),0)</f>
        <v>0</v>
      </c>
      <c r="AB17" s="282">
        <f>IFERROR(GETPIVOTDATA("45.物理区画判定(自動)",pivot!$DY$6,"3.物件名",AB1,"7.クラス2","店舗事務所系物理区画"),0)</f>
        <v>0</v>
      </c>
      <c r="AC17" s="282">
        <f>IFERROR(GETPIVOTDATA("45.物理区画判定(自動)",pivot!$DY$6,"3.物件名",AC1,"7.クラス2","店舗事務所系物理区画"),0)</f>
        <v>0</v>
      </c>
      <c r="AD17" s="282">
        <f>IFERROR(GETPIVOTDATA("45.物理区画判定(自動)",pivot!$DY$6,"3.物件名",AD1,"7.クラス2","店舗事務所系物理区画"),0)</f>
        <v>0</v>
      </c>
      <c r="AE17" s="282">
        <f>IFERROR(GETPIVOTDATA("45.物理区画判定(自動)",pivot!$DY$6,"3.物件名",AE1,"7.クラス2","店舗事務所系物理区画"),0)</f>
        <v>0</v>
      </c>
      <c r="AF17" s="282">
        <f>IFERROR(GETPIVOTDATA("45.物理区画判定(自動)",pivot!$DY$6,"3.物件名",AF1,"7.クラス2","店舗事務所系物理区画"),0)</f>
        <v>0</v>
      </c>
      <c r="AG17" s="282">
        <f>IFERROR(GETPIVOTDATA("45.物理区画判定(自動)",pivot!$DY$6,"3.物件名",AG1,"7.クラス2","店舗事務所系物理区画"),0)</f>
        <v>0</v>
      </c>
      <c r="AH17" s="282">
        <f>IFERROR(GETPIVOTDATA("45.物理区画判定(自動)",pivot!$DY$6,"3.物件名",AH1,"7.クラス2","店舗事務所系物理区画"),0)</f>
        <v>0</v>
      </c>
      <c r="AI17" s="282">
        <f>IFERROR(GETPIVOTDATA("45.物理区画判定(自動)",pivot!$DY$6,"3.物件名",AI1,"7.クラス2","店舗事務所系物理区画"),0)</f>
        <v>0</v>
      </c>
      <c r="AJ17" s="282">
        <f>IFERROR(GETPIVOTDATA("45.物理区画判定(自動)",pivot!$DY$6,"3.物件名",AJ1,"7.クラス2","店舗事務所系物理区画"),0)</f>
        <v>0</v>
      </c>
      <c r="AK17" s="282">
        <f>IFERROR(GETPIVOTDATA("45.物理区画判定(自動)",pivot!$DY$6,"3.物件名",AK1,"7.クラス2","店舗事務所系物理区画"),0)</f>
        <v>0</v>
      </c>
      <c r="AL17" s="282">
        <f>IFERROR(GETPIVOTDATA("45.物理区画判定(自動)",pivot!$DY$6,"3.物件名",AL1,"7.クラス2","店舗事務所系物理区画"),0)</f>
        <v>0</v>
      </c>
      <c r="AM17" s="282">
        <f>IFERROR(GETPIVOTDATA("45.物理区画判定(自動)",pivot!$DY$6,"3.物件名",AM1,"7.クラス2","店舗事務所系物理区画"),0)</f>
        <v>0</v>
      </c>
      <c r="AN17" s="282">
        <f>IFERROR(GETPIVOTDATA("45.物理区画判定(自動)",pivot!$DY$6,"3.物件名",AN1,"7.クラス2","店舗事務所系物理区画"),0)</f>
        <v>0</v>
      </c>
      <c r="AO17" s="282">
        <f>IFERROR(GETPIVOTDATA("45.物理区画判定(自動)",pivot!$DY$6,"3.物件名",AO1,"7.クラス2","店舗事務所系物理区画"),0)</f>
        <v>0</v>
      </c>
      <c r="AP17" s="282">
        <f>IFERROR(GETPIVOTDATA("45.物理区画判定(自動)",pivot!$DY$6,"3.物件名",AP1,"7.クラス2","店舗事務所系物理区画"),0)</f>
        <v>0</v>
      </c>
      <c r="AQ17" s="282">
        <f>IFERROR(GETPIVOTDATA("45.物理区画判定(自動)",pivot!$DY$6,"3.物件名",AQ1,"7.クラス2","店舗事務所系物理区画"),0)</f>
        <v>0</v>
      </c>
      <c r="AR17" s="282">
        <f>IFERROR(GETPIVOTDATA("45.物理区画判定(自動)",pivot!$DY$6,"3.物件名",AR1,"7.クラス2","店舗事務所系物理区画"),0)</f>
        <v>0</v>
      </c>
      <c r="AS17" s="282">
        <f>IFERROR(GETPIVOTDATA("45.物理区画判定(自動)",pivot!$DY$6,"3.物件名",AS1,"7.クラス2","店舗事務所系物理区画"),0)</f>
        <v>0</v>
      </c>
      <c r="AT17" s="282">
        <f>IFERROR(GETPIVOTDATA("45.物理区画判定(自動)",pivot!$DY$6,"3.物件名",AT1,"7.クラス2","店舗事務所系物理区画"),0)</f>
        <v>0</v>
      </c>
      <c r="AU17" s="282">
        <f>IFERROR(GETPIVOTDATA("45.物理区画判定(自動)",pivot!$DY$6,"3.物件名",AU1,"7.クラス2","店舗事務所系物理区画"),0)</f>
        <v>0</v>
      </c>
      <c r="AV17" s="282">
        <f>IFERROR(GETPIVOTDATA("45.物理区画判定(自動)",pivot!$DY$6,"3.物件名",AV1,"7.クラス2","店舗事務所系物理区画"),0)</f>
        <v>0</v>
      </c>
      <c r="AW17" s="282">
        <f>IFERROR(GETPIVOTDATA("45.物理区画判定(自動)",pivot!$DY$6,"3.物件名",AW1,"7.クラス2","店舗事務所系物理区画"),0)</f>
        <v>0</v>
      </c>
      <c r="AX17" s="282">
        <f>IFERROR(GETPIVOTDATA("45.物理区画判定(自動)",pivot!$DY$6,"3.物件名",AX1,"7.クラス2","店舗事務所系物理区画"),0)</f>
        <v>0</v>
      </c>
      <c r="AY17" s="282">
        <f>IFERROR(GETPIVOTDATA("45.物理区画判定(自動)",pivot!$DY$6,"3.物件名",AY1,"7.クラス2","店舗事務所系物理区画"),0)</f>
        <v>0</v>
      </c>
      <c r="AZ17" s="282">
        <f>IFERROR(GETPIVOTDATA("45.物理区画判定(自動)",pivot!$DY$6,"3.物件名",AZ1,"7.クラス2","店舗事務所系物理区画"),0)</f>
        <v>0</v>
      </c>
      <c r="BA17" s="282">
        <f>IFERROR(GETPIVOTDATA("45.物理区画判定(自動)",pivot!$DY$6,"3.物件名",BA1,"7.クラス2","店舗事務所系物理区画"),0)</f>
        <v>0</v>
      </c>
    </row>
    <row r="18" spans="1:53">
      <c r="A18" s="277">
        <v>27</v>
      </c>
      <c r="B18" s="283" t="s">
        <v>100</v>
      </c>
      <c r="C18" s="414">
        <f>IFERROR(GETPIVOTDATA("45.物理区画判定(自動)",pivot!$DY$6,"7.クラス","駐車場","7.クラス2","駐車場"),0)</f>
        <v>22</v>
      </c>
      <c r="D18" s="282">
        <f>IFERROR(GETPIVOTDATA("45.物理区画判定(自動)",pivot!$DY$6,"3.物件名",D1,"7.クラス","駐車場","7.クラス2","駐車場"),0)</f>
        <v>0</v>
      </c>
      <c r="E18" s="282">
        <f>IFERROR(GETPIVOTDATA("45.物理区画判定(自動)",pivot!$DY$6,"3.物件名",E1,"7.クラス","駐車場","7.クラス2","駐車場"),0)</f>
        <v>2</v>
      </c>
      <c r="F18" s="282">
        <f>IFERROR(GETPIVOTDATA("45.物理区画判定(自動)",pivot!$DY$6,"3.物件名",F1,"7.クラス","駐車場","7.クラス2","駐車場"),0)</f>
        <v>3</v>
      </c>
      <c r="G18" s="282">
        <f>IFERROR(GETPIVOTDATA("45.物理区画判定(自動)",pivot!$DY$6,"3.物件名",G1,"7.クラス","駐車場","7.クラス2","駐車場"),0)</f>
        <v>0</v>
      </c>
      <c r="H18" s="282">
        <f>IFERROR(GETPIVOTDATA("45.物理区画判定(自動)",pivot!$DY$6,"3.物件名",H1,"7.クラス","駐車場","7.クラス2","駐車場"),0)</f>
        <v>2</v>
      </c>
      <c r="I18" s="282">
        <f>IFERROR(GETPIVOTDATA("45.物理区画判定(自動)",pivot!$DY$6,"3.物件名",I1,"7.クラス","駐車場","7.クラス2","駐車場"),0)</f>
        <v>0</v>
      </c>
      <c r="J18" s="282">
        <f>IFERROR(GETPIVOTDATA("45.物理区画判定(自動)",pivot!$DY$6,"3.物件名",J1,"7.クラス","駐車場","7.クラス2","駐車場"),0)</f>
        <v>0</v>
      </c>
      <c r="K18" s="282">
        <f>IFERROR(GETPIVOTDATA("45.物理区画判定(自動)",pivot!$DY$6,"3.物件名",K1,"7.クラス","駐車場","7.クラス2","駐車場"),0)</f>
        <v>1</v>
      </c>
      <c r="L18" s="282">
        <f>IFERROR(GETPIVOTDATA("45.物理区画判定(自動)",pivot!$DY$6,"3.物件名",L1,"7.クラス","駐車場","7.クラス2","駐車場"),0)</f>
        <v>11</v>
      </c>
      <c r="M18" s="282">
        <f>IFERROR(GETPIVOTDATA("45.物理区画判定(自動)",pivot!$DY$6,"3.物件名",M1,"7.クラス","駐車場","7.クラス2","駐車場"),0)</f>
        <v>0</v>
      </c>
      <c r="N18" s="282">
        <f>IFERROR(GETPIVOTDATA("45.物理区画判定(自動)",pivot!$DY$6,"3.物件名",N1,"7.クラス","駐車場","7.クラス2","駐車場"),0)</f>
        <v>1</v>
      </c>
      <c r="O18" s="282">
        <f>IFERROR(GETPIVOTDATA("45.物理区画判定(自動)",pivot!$DY$6,"3.物件名",O1,"7.クラス","駐車場","7.クラス2","駐車場"),0)</f>
        <v>0</v>
      </c>
      <c r="P18" s="282">
        <f>IFERROR(GETPIVOTDATA("45.物理区画判定(自動)",pivot!$DY$6,"3.物件名",P1,"7.クラス","駐車場","7.クラス2","駐車場"),0)</f>
        <v>1</v>
      </c>
      <c r="Q18" s="282">
        <f>IFERROR(GETPIVOTDATA("45.物理区画判定(自動)",pivot!$DY$6,"3.物件名",Q1,"7.クラス","駐車場","7.クラス2","駐車場"),0)</f>
        <v>0</v>
      </c>
      <c r="R18" s="282">
        <f>IFERROR(GETPIVOTDATA("45.物理区画判定(自動)",pivot!$DY$6,"3.物件名",R1,"7.クラス","駐車場","7.クラス2","駐車場"),0)</f>
        <v>1</v>
      </c>
      <c r="S18" s="282">
        <f>IFERROR(GETPIVOTDATA("45.物理区画判定(自動)",pivot!$DY$6,"3.物件名",S1,"7.クラス","駐車場","7.クラス2","駐車場"),0)</f>
        <v>0</v>
      </c>
      <c r="T18" s="282">
        <f>IFERROR(GETPIVOTDATA("45.物理区画判定(自動)",pivot!$DY$6,"3.物件名",T1,"7.クラス","駐車場","7.クラス2","駐車場"),0)</f>
        <v>0</v>
      </c>
      <c r="U18" s="282">
        <f>IFERROR(GETPIVOTDATA("45.物理区画判定(自動)",pivot!$DY$6,"3.物件名",U1,"7.クラス","駐車場","7.クラス2","駐車場"),0)</f>
        <v>0</v>
      </c>
      <c r="V18" s="282">
        <f>IFERROR(GETPIVOTDATA("45.物理区画判定(自動)",pivot!$DY$6,"3.物件名",V1,"7.クラス","駐車場","7.クラス2","駐車場"),0)</f>
        <v>0</v>
      </c>
      <c r="W18" s="282">
        <f>IFERROR(GETPIVOTDATA("45.物理区画判定(自動)",pivot!$DY$6,"3.物件名",W1,"7.クラス","駐車場","7.クラス2","駐車場"),0)</f>
        <v>0</v>
      </c>
      <c r="X18" s="282">
        <f>IFERROR(GETPIVOTDATA("45.物理区画判定(自動)",pivot!$DY$6,"3.物件名",X1,"7.クラス","駐車場","7.クラス2","駐車場"),0)</f>
        <v>0</v>
      </c>
      <c r="Y18" s="282">
        <f>IFERROR(GETPIVOTDATA("45.物理区画判定(自動)",pivot!$DY$6,"3.物件名",Y1,"7.クラス","駐車場","7.クラス2","駐車場"),0)</f>
        <v>0</v>
      </c>
      <c r="Z18" s="282">
        <f>IFERROR(GETPIVOTDATA("45.物理区画判定(自動)",pivot!$DY$6,"3.物件名",Z1,"7.クラス","駐車場","7.クラス2","駐車場"),0)</f>
        <v>0</v>
      </c>
      <c r="AA18" s="282">
        <f>IFERROR(GETPIVOTDATA("45.物理区画判定(自動)",pivot!$DY$6,"3.物件名",AA1,"7.クラス","駐車場","7.クラス2","駐車場"),0)</f>
        <v>0</v>
      </c>
      <c r="AB18" s="282">
        <f>IFERROR(GETPIVOTDATA("45.物理区画判定(自動)",pivot!$DY$6,"3.物件名",AB1,"7.クラス","駐車場","7.クラス2","駐車場"),0)</f>
        <v>0</v>
      </c>
      <c r="AC18" s="282">
        <f>IFERROR(GETPIVOTDATA("45.物理区画判定(自動)",pivot!$DY$6,"3.物件名",AC1,"7.クラス","駐車場","7.クラス2","駐車場"),0)</f>
        <v>0</v>
      </c>
      <c r="AD18" s="282">
        <f>IFERROR(GETPIVOTDATA("45.物理区画判定(自動)",pivot!$DY$6,"3.物件名",AD1,"7.クラス","駐車場","7.クラス2","駐車場"),0)</f>
        <v>0</v>
      </c>
      <c r="AE18" s="282">
        <f>IFERROR(GETPIVOTDATA("45.物理区画判定(自動)",pivot!$DY$6,"3.物件名",AE1,"7.クラス","駐車場","7.クラス2","駐車場"),0)</f>
        <v>0</v>
      </c>
      <c r="AF18" s="282">
        <f>IFERROR(GETPIVOTDATA("45.物理区画判定(自動)",pivot!$DY$6,"3.物件名",AF1,"7.クラス","駐車場","7.クラス2","駐車場"),0)</f>
        <v>0</v>
      </c>
      <c r="AG18" s="282">
        <f>IFERROR(GETPIVOTDATA("45.物理区画判定(自動)",pivot!$DY$6,"3.物件名",AG1,"7.クラス","駐車場","7.クラス2","駐車場"),0)</f>
        <v>0</v>
      </c>
      <c r="AH18" s="282">
        <f>IFERROR(GETPIVOTDATA("45.物理区画判定(自動)",pivot!$DY$6,"3.物件名",AH1,"7.クラス","駐車場","7.クラス2","駐車場"),0)</f>
        <v>0</v>
      </c>
      <c r="AI18" s="282">
        <f>IFERROR(GETPIVOTDATA("45.物理区画判定(自動)",pivot!$DY$6,"3.物件名",AI1,"7.クラス","駐車場","7.クラス2","駐車場"),0)</f>
        <v>0</v>
      </c>
      <c r="AJ18" s="282">
        <f>IFERROR(GETPIVOTDATA("45.物理区画判定(自動)",pivot!$DY$6,"3.物件名",AJ1,"7.クラス","駐車場","7.クラス2","駐車場"),0)</f>
        <v>0</v>
      </c>
      <c r="AK18" s="282">
        <f>IFERROR(GETPIVOTDATA("45.物理区画判定(自動)",pivot!$DY$6,"3.物件名",AK1,"7.クラス","駐車場","7.クラス2","駐車場"),0)</f>
        <v>0</v>
      </c>
      <c r="AL18" s="282">
        <f>IFERROR(GETPIVOTDATA("45.物理区画判定(自動)",pivot!$DY$6,"3.物件名",AL1,"7.クラス","駐車場","7.クラス2","駐車場"),0)</f>
        <v>0</v>
      </c>
      <c r="AM18" s="282">
        <f>IFERROR(GETPIVOTDATA("45.物理区画判定(自動)",pivot!$DY$6,"3.物件名",AM1,"7.クラス","駐車場","7.クラス2","駐車場"),0)</f>
        <v>0</v>
      </c>
      <c r="AN18" s="282">
        <f>IFERROR(GETPIVOTDATA("45.物理区画判定(自動)",pivot!$DY$6,"3.物件名",AN1,"7.クラス","駐車場","7.クラス2","駐車場"),0)</f>
        <v>0</v>
      </c>
      <c r="AO18" s="282">
        <f>IFERROR(GETPIVOTDATA("45.物理区画判定(自動)",pivot!$DY$6,"3.物件名",AO1,"7.クラス","駐車場","7.クラス2","駐車場"),0)</f>
        <v>0</v>
      </c>
      <c r="AP18" s="282">
        <f>IFERROR(GETPIVOTDATA("45.物理区画判定(自動)",pivot!$DY$6,"3.物件名",AP1,"7.クラス","駐車場","7.クラス2","駐車場"),0)</f>
        <v>0</v>
      </c>
      <c r="AQ18" s="282">
        <f>IFERROR(GETPIVOTDATA("45.物理区画判定(自動)",pivot!$DY$6,"3.物件名",AQ1,"7.クラス","駐車場","7.クラス2","駐車場"),0)</f>
        <v>0</v>
      </c>
      <c r="AR18" s="282">
        <f>IFERROR(GETPIVOTDATA("45.物理区画判定(自動)",pivot!$DY$6,"3.物件名",AR1,"7.クラス","駐車場","7.クラス2","駐車場"),0)</f>
        <v>0</v>
      </c>
      <c r="AS18" s="282">
        <f>IFERROR(GETPIVOTDATA("45.物理区画判定(自動)",pivot!$DY$6,"3.物件名",AS1,"7.クラス","駐車場","7.クラス2","駐車場"),0)</f>
        <v>0</v>
      </c>
      <c r="AT18" s="282">
        <f>IFERROR(GETPIVOTDATA("45.物理区画判定(自動)",pivot!$DY$6,"3.物件名",AT1,"7.クラス","駐車場","7.クラス2","駐車場"),0)</f>
        <v>0</v>
      </c>
      <c r="AU18" s="282">
        <f>IFERROR(GETPIVOTDATA("45.物理区画判定(自動)",pivot!$DY$6,"3.物件名",AU1,"7.クラス","駐車場","7.クラス2","駐車場"),0)</f>
        <v>0</v>
      </c>
      <c r="AV18" s="282">
        <f>IFERROR(GETPIVOTDATA("45.物理区画判定(自動)",pivot!$DY$6,"3.物件名",AV1,"7.クラス","駐車場","7.クラス2","駐車場"),0)</f>
        <v>0</v>
      </c>
      <c r="AW18" s="282">
        <f>IFERROR(GETPIVOTDATA("45.物理区画判定(自動)",pivot!$DY$6,"3.物件名",AW1,"7.クラス","駐車場","7.クラス2","駐車場"),0)</f>
        <v>0</v>
      </c>
      <c r="AX18" s="282">
        <f>IFERROR(GETPIVOTDATA("45.物理区画判定(自動)",pivot!$DY$6,"3.物件名",AX1,"7.クラス","駐車場","7.クラス2","駐車場"),0)</f>
        <v>0</v>
      </c>
      <c r="AY18" s="282">
        <f>IFERROR(GETPIVOTDATA("45.物理区画判定(自動)",pivot!$DY$6,"3.物件名",AY1,"7.クラス","駐車場","7.クラス2","駐車場"),0)</f>
        <v>0</v>
      </c>
      <c r="AZ18" s="282">
        <f>IFERROR(GETPIVOTDATA("45.物理区画判定(自動)",pivot!$DY$6,"3.物件名",AZ1,"7.クラス","駐車場","7.クラス2","駐車場"),0)</f>
        <v>0</v>
      </c>
      <c r="BA18" s="282">
        <f>IFERROR(GETPIVOTDATA("45.物理区画判定(自動)",pivot!$DY$6,"3.物件名",BA1,"7.クラス","駐車場","7.クラス2","駐車場"),0)</f>
        <v>0</v>
      </c>
    </row>
    <row r="19" spans="1:53">
      <c r="A19" s="277">
        <v>28</v>
      </c>
      <c r="B19" s="15" t="s">
        <v>101</v>
      </c>
      <c r="C19" s="414">
        <f t="shared" ref="C19:D19" si="5">C15-C16-C17-C18</f>
        <v>10</v>
      </c>
      <c r="D19" s="282">
        <f t="shared" si="5"/>
        <v>1</v>
      </c>
      <c r="E19" s="282">
        <f t="shared" ref="E19:BA19" si="6">E15-E16-E17-E18</f>
        <v>0</v>
      </c>
      <c r="F19" s="282">
        <f t="shared" si="6"/>
        <v>0</v>
      </c>
      <c r="G19" s="282">
        <f t="shared" si="6"/>
        <v>0</v>
      </c>
      <c r="H19" s="282">
        <f t="shared" si="6"/>
        <v>2</v>
      </c>
      <c r="I19" s="282">
        <f t="shared" si="6"/>
        <v>1</v>
      </c>
      <c r="J19" s="282">
        <f t="shared" si="6"/>
        <v>0</v>
      </c>
      <c r="K19" s="282">
        <f t="shared" si="6"/>
        <v>3</v>
      </c>
      <c r="L19" s="282">
        <f t="shared" si="6"/>
        <v>0</v>
      </c>
      <c r="M19" s="282">
        <f t="shared" si="6"/>
        <v>0</v>
      </c>
      <c r="N19" s="282">
        <f t="shared" si="6"/>
        <v>0</v>
      </c>
      <c r="O19" s="282">
        <f t="shared" si="6"/>
        <v>1</v>
      </c>
      <c r="P19" s="282">
        <f t="shared" si="6"/>
        <v>1</v>
      </c>
      <c r="Q19" s="282">
        <f t="shared" si="6"/>
        <v>1</v>
      </c>
      <c r="R19" s="282">
        <f t="shared" si="6"/>
        <v>0</v>
      </c>
      <c r="S19" s="282">
        <f t="shared" si="6"/>
        <v>0</v>
      </c>
      <c r="T19" s="282">
        <f t="shared" si="6"/>
        <v>0</v>
      </c>
      <c r="U19" s="282">
        <f t="shared" si="6"/>
        <v>0</v>
      </c>
      <c r="V19" s="282">
        <f t="shared" si="6"/>
        <v>0</v>
      </c>
      <c r="W19" s="282">
        <f t="shared" si="6"/>
        <v>0</v>
      </c>
      <c r="X19" s="282">
        <f t="shared" si="6"/>
        <v>0</v>
      </c>
      <c r="Y19" s="282">
        <f t="shared" si="6"/>
        <v>0</v>
      </c>
      <c r="Z19" s="282">
        <f t="shared" si="6"/>
        <v>0</v>
      </c>
      <c r="AA19" s="282">
        <f t="shared" si="6"/>
        <v>0</v>
      </c>
      <c r="AB19" s="282">
        <f t="shared" si="6"/>
        <v>0</v>
      </c>
      <c r="AC19" s="282">
        <f t="shared" si="6"/>
        <v>0</v>
      </c>
      <c r="AD19" s="282">
        <f t="shared" si="6"/>
        <v>0</v>
      </c>
      <c r="AE19" s="282">
        <f t="shared" si="6"/>
        <v>0</v>
      </c>
      <c r="AF19" s="282">
        <f t="shared" si="6"/>
        <v>0</v>
      </c>
      <c r="AG19" s="282">
        <f t="shared" si="6"/>
        <v>0</v>
      </c>
      <c r="AH19" s="282">
        <f t="shared" si="6"/>
        <v>0</v>
      </c>
      <c r="AI19" s="282">
        <f t="shared" si="6"/>
        <v>0</v>
      </c>
      <c r="AJ19" s="282">
        <f t="shared" si="6"/>
        <v>0</v>
      </c>
      <c r="AK19" s="282">
        <f t="shared" si="6"/>
        <v>0</v>
      </c>
      <c r="AL19" s="282">
        <f t="shared" si="6"/>
        <v>0</v>
      </c>
      <c r="AM19" s="282">
        <f t="shared" si="6"/>
        <v>0</v>
      </c>
      <c r="AN19" s="282">
        <f t="shared" si="6"/>
        <v>0</v>
      </c>
      <c r="AO19" s="282">
        <f t="shared" si="6"/>
        <v>0</v>
      </c>
      <c r="AP19" s="282">
        <f t="shared" si="6"/>
        <v>0</v>
      </c>
      <c r="AQ19" s="282">
        <f t="shared" si="6"/>
        <v>0</v>
      </c>
      <c r="AR19" s="282">
        <f t="shared" si="6"/>
        <v>0</v>
      </c>
      <c r="AS19" s="282">
        <f t="shared" si="6"/>
        <v>0</v>
      </c>
      <c r="AT19" s="282">
        <f t="shared" si="6"/>
        <v>0</v>
      </c>
      <c r="AU19" s="282">
        <f t="shared" si="6"/>
        <v>0</v>
      </c>
      <c r="AV19" s="282">
        <f t="shared" si="6"/>
        <v>0</v>
      </c>
      <c r="AW19" s="282">
        <f t="shared" si="6"/>
        <v>0</v>
      </c>
      <c r="AX19" s="282">
        <f t="shared" si="6"/>
        <v>0</v>
      </c>
      <c r="AY19" s="282">
        <f t="shared" si="6"/>
        <v>0</v>
      </c>
      <c r="AZ19" s="282">
        <f t="shared" si="6"/>
        <v>0</v>
      </c>
      <c r="BA19" s="282">
        <f t="shared" si="6"/>
        <v>0</v>
      </c>
    </row>
    <row r="20" spans="1:53">
      <c r="A20" s="277">
        <v>29</v>
      </c>
      <c r="B20" s="13" t="s">
        <v>102</v>
      </c>
      <c r="C20" s="420"/>
      <c r="D20" s="281" t="str">
        <f>HLOOKUP(D$2,id2_asset,asset!$A16,FALSE)&amp;""</f>
        <v>長期保有</v>
      </c>
      <c r="E20" s="281" t="str">
        <f>HLOOKUP(E$2,id2_asset,asset!$A16,FALSE)&amp;""</f>
        <v>短期転売</v>
      </c>
      <c r="F20" s="281" t="str">
        <f>HLOOKUP(F$2,id2_asset,asset!$A16,FALSE)&amp;""</f>
        <v>長期保有</v>
      </c>
      <c r="G20" s="281" t="str">
        <f>HLOOKUP(G$2,id2_asset,asset!$A16,FALSE)&amp;""</f>
        <v>長期保有</v>
      </c>
      <c r="H20" s="281" t="str">
        <f>HLOOKUP(H$2,id2_asset,asset!$A16,FALSE)&amp;""</f>
        <v>長期保有</v>
      </c>
      <c r="I20" s="281" t="str">
        <f>HLOOKUP(I$2,id2_asset,asset!$A16,FALSE)&amp;""</f>
        <v>長期保有</v>
      </c>
      <c r="J20" s="281" t="str">
        <f>HLOOKUP(J$2,id2_asset,asset!$A16,FALSE)&amp;""</f>
        <v>長期保有</v>
      </c>
      <c r="K20" s="281" t="str">
        <f>HLOOKUP(K$2,id2_asset,asset!$A16,FALSE)&amp;""</f>
        <v>長期保有</v>
      </c>
      <c r="L20" s="281" t="str">
        <f>HLOOKUP(L$2,id2_asset,asset!$A16,FALSE)&amp;""</f>
        <v>長期保有</v>
      </c>
      <c r="M20" s="281" t="str">
        <f>HLOOKUP(M$2,id2_asset,asset!$A16,FALSE)&amp;""</f>
        <v>長期保有</v>
      </c>
      <c r="N20" s="281" t="str">
        <f>HLOOKUP(N$2,id2_asset,asset!$A16,FALSE)&amp;""</f>
        <v>長期保有</v>
      </c>
      <c r="O20" s="281" t="str">
        <f>HLOOKUP(O$2,id2_asset,asset!$A16,FALSE)&amp;""</f>
        <v>長期保有</v>
      </c>
      <c r="P20" s="281" t="str">
        <f>HLOOKUP(P$2,id2_asset,asset!$A16,FALSE)&amp;""</f>
        <v>長期保有</v>
      </c>
      <c r="Q20" s="281" t="str">
        <f>HLOOKUP(Q$2,id2_asset,asset!$A16,FALSE)&amp;""</f>
        <v>長期保有</v>
      </c>
      <c r="R20" s="281" t="str">
        <f>HLOOKUP(R$2,id2_asset,asset!$A16,FALSE)&amp;""</f>
        <v>長期保有</v>
      </c>
      <c r="S20" s="281" t="str">
        <f>HLOOKUP(S$2,id2_asset,asset!$A16,FALSE)&amp;""</f>
        <v>長期保有</v>
      </c>
      <c r="T20" s="281" t="str">
        <f>HLOOKUP(T$2,id2_asset,asset!$A16,FALSE)&amp;""</f>
        <v>長期保有</v>
      </c>
      <c r="U20" s="281" t="str">
        <f>HLOOKUP(U$2,id2_asset,asset!$A16,FALSE)&amp;""</f>
        <v>長期保有</v>
      </c>
      <c r="V20" s="281" t="str">
        <f>HLOOKUP(V$2,id2_asset,asset!$A16,FALSE)&amp;""</f>
        <v>大阪拠点</v>
      </c>
      <c r="W20" s="281" t="str">
        <f>HLOOKUP(W$2,id2_asset,asset!$A16,FALSE)&amp;""</f>
        <v>社長自宅</v>
      </c>
      <c r="X20" s="281" t="e">
        <f>HLOOKUP(X$2,id2_asset,asset!$A16,FALSE)&amp;""</f>
        <v>#N/A</v>
      </c>
      <c r="Y20" s="281" t="e">
        <f>HLOOKUP(Y$2,id2_asset,asset!$A16,FALSE)&amp;""</f>
        <v>#N/A</v>
      </c>
      <c r="Z20" s="281" t="e">
        <f>HLOOKUP(Z$2,id2_asset,asset!$A16,FALSE)&amp;""</f>
        <v>#N/A</v>
      </c>
      <c r="AA20" s="281" t="e">
        <f>HLOOKUP(AA$2,id2_asset,asset!$A16,FALSE)&amp;""</f>
        <v>#N/A</v>
      </c>
      <c r="AB20" s="281" t="e">
        <f>HLOOKUP(AB$2,id2_asset,asset!$A16,FALSE)&amp;""</f>
        <v>#N/A</v>
      </c>
      <c r="AC20" s="281" t="e">
        <f>HLOOKUP(AC$2,id2_asset,asset!$A16,FALSE)&amp;""</f>
        <v>#N/A</v>
      </c>
      <c r="AD20" s="281" t="e">
        <f>HLOOKUP(AD$2,id2_asset,asset!$A16,FALSE)&amp;""</f>
        <v>#N/A</v>
      </c>
      <c r="AE20" s="281" t="e">
        <f>HLOOKUP(AE$2,id2_asset,asset!$A16,FALSE)&amp;""</f>
        <v>#N/A</v>
      </c>
      <c r="AF20" s="281" t="e">
        <f>HLOOKUP(AF$2,id2_asset,asset!$A16,FALSE)&amp;""</f>
        <v>#N/A</v>
      </c>
      <c r="AG20" s="281" t="e">
        <f>HLOOKUP(AG$2,id2_asset,asset!$A16,FALSE)&amp;""</f>
        <v>#N/A</v>
      </c>
      <c r="AH20" s="281" t="e">
        <f>HLOOKUP(AH$2,id2_asset,asset!$A16,FALSE)&amp;""</f>
        <v>#N/A</v>
      </c>
      <c r="AI20" s="281" t="e">
        <f>HLOOKUP(AI$2,id2_asset,asset!$A16,FALSE)&amp;""</f>
        <v>#N/A</v>
      </c>
      <c r="AJ20" s="281" t="e">
        <f>HLOOKUP(AJ$2,id2_asset,asset!$A16,FALSE)&amp;""</f>
        <v>#N/A</v>
      </c>
      <c r="AK20" s="281" t="e">
        <f>HLOOKUP(AK$2,id2_asset,asset!$A16,FALSE)&amp;""</f>
        <v>#N/A</v>
      </c>
      <c r="AL20" s="281" t="e">
        <f>HLOOKUP(AL$2,id2_asset,asset!$A16,FALSE)&amp;""</f>
        <v>#N/A</v>
      </c>
      <c r="AM20" s="281" t="e">
        <f>HLOOKUP(AM$2,id2_asset,asset!$A16,FALSE)&amp;""</f>
        <v>#N/A</v>
      </c>
      <c r="AN20" s="281" t="e">
        <f>HLOOKUP(AN$2,id2_asset,asset!$A16,FALSE)&amp;""</f>
        <v>#N/A</v>
      </c>
      <c r="AO20" s="281" t="e">
        <f>HLOOKUP(AO$2,id2_asset,asset!$A16,FALSE)&amp;""</f>
        <v>#N/A</v>
      </c>
      <c r="AP20" s="281" t="e">
        <f>HLOOKUP(AP$2,id2_asset,asset!$A16,FALSE)&amp;""</f>
        <v>#N/A</v>
      </c>
      <c r="AQ20" s="281" t="e">
        <f>HLOOKUP(AQ$2,id2_asset,asset!$A16,FALSE)&amp;""</f>
        <v>#N/A</v>
      </c>
      <c r="AR20" s="281" t="e">
        <f>HLOOKUP(AR$2,id2_asset,asset!$A16,FALSE)&amp;""</f>
        <v>#N/A</v>
      </c>
      <c r="AS20" s="281" t="e">
        <f>HLOOKUP(AS$2,id2_asset,asset!$A16,FALSE)&amp;""</f>
        <v>#N/A</v>
      </c>
      <c r="AT20" s="281" t="e">
        <f>HLOOKUP(AT$2,id2_asset,asset!$A16,FALSE)&amp;""</f>
        <v>#N/A</v>
      </c>
      <c r="AU20" s="281" t="e">
        <f>HLOOKUP(AU$2,id2_asset,asset!$A16,FALSE)&amp;""</f>
        <v>#N/A</v>
      </c>
      <c r="AV20" s="281" t="e">
        <f>HLOOKUP(AV$2,id2_asset,asset!$A16,FALSE)&amp;""</f>
        <v>#N/A</v>
      </c>
      <c r="AW20" s="281" t="e">
        <f>HLOOKUP(AW$2,id2_asset,asset!$A16,FALSE)&amp;""</f>
        <v>#N/A</v>
      </c>
      <c r="AX20" s="281" t="e">
        <f>HLOOKUP(AX$2,id2_asset,asset!$A16,FALSE)&amp;""</f>
        <v>#N/A</v>
      </c>
      <c r="AY20" s="281" t="e">
        <f>HLOOKUP(AY$2,id2_asset,asset!$A16,FALSE)&amp;""</f>
        <v>#N/A</v>
      </c>
      <c r="AZ20" s="281" t="e">
        <f>HLOOKUP(AZ$2,id2_asset,asset!$A16,FALSE)&amp;""</f>
        <v>#N/A</v>
      </c>
      <c r="BA20" s="281" t="e">
        <f>HLOOKUP(BA$2,id2_asset,asset!$A16,FALSE)&amp;""</f>
        <v>#N/A</v>
      </c>
    </row>
    <row r="21" spans="1:53">
      <c r="A21" s="277">
        <v>30</v>
      </c>
      <c r="B21" s="13" t="s">
        <v>103</v>
      </c>
      <c r="C21" s="421"/>
      <c r="D21" s="281">
        <f>HLOOKUP(D$2,id2_asset,asset!$A17,FALSE)</f>
        <v>44624</v>
      </c>
      <c r="E21" s="281">
        <f>HLOOKUP(E$2,id2_asset,asset!$A17,FALSE)</f>
        <v>44348</v>
      </c>
      <c r="F21" s="281">
        <f>HLOOKUP(F$2,id2_asset,asset!$A17,FALSE)</f>
        <v>44352</v>
      </c>
      <c r="G21" s="281">
        <f>HLOOKUP(G$2,id2_asset,asset!$A17,FALSE)</f>
        <v>43894</v>
      </c>
      <c r="H21" s="281">
        <f>HLOOKUP(H$2,id2_asset,asset!$A17,FALSE)</f>
        <v>43926</v>
      </c>
      <c r="I21" s="281">
        <f>HLOOKUP(I$2,id2_asset,asset!$A17,FALSE)</f>
        <v>43836</v>
      </c>
      <c r="J21" s="281">
        <f>HLOOKUP(J$2,id2_asset,asset!$A17,FALSE)</f>
        <v>43621</v>
      </c>
      <c r="K21" s="281">
        <f>HLOOKUP(K$2,id2_asset,asset!$A17,FALSE)</f>
        <v>43256</v>
      </c>
      <c r="L21" s="281">
        <f>HLOOKUP(L$2,id2_asset,asset!$A17,FALSE)</f>
        <v>43227</v>
      </c>
      <c r="M21" s="281">
        <f>HLOOKUP(M$2,id2_asset,asset!$A17,FALSE)</f>
        <v>42979</v>
      </c>
      <c r="N21" s="281">
        <f>HLOOKUP(N$2,id2_asset,asset!$A17,FALSE)</f>
        <v>42887</v>
      </c>
      <c r="O21" s="281">
        <f>HLOOKUP(O$2,id2_asset,asset!$A17,FALSE)</f>
        <v>42525</v>
      </c>
      <c r="P21" s="281">
        <f>HLOOKUP(P$2,id2_asset,asset!$A17,FALSE)</f>
        <v>42523</v>
      </c>
      <c r="Q21" s="281">
        <f>HLOOKUP(Q$2,id2_asset,asset!$A17,FALSE)</f>
        <v>42039</v>
      </c>
      <c r="R21" s="281">
        <f>HLOOKUP(R$2,id2_asset,asset!$A17,FALSE)</f>
        <v>42039</v>
      </c>
      <c r="S21" s="281">
        <f>HLOOKUP(S$2,id2_asset,asset!$A17,FALSE)</f>
        <v>43717</v>
      </c>
      <c r="T21" s="281">
        <f>HLOOKUP(T$2,id2_asset,asset!$A17,FALSE)</f>
        <v>43507</v>
      </c>
      <c r="U21" s="281">
        <f>HLOOKUP(U$2,id2_asset,asset!$A17,FALSE)</f>
        <v>43507</v>
      </c>
      <c r="V21" s="281">
        <f>HLOOKUP(V$2,id2_asset,asset!$A17,FALSE)</f>
        <v>44146</v>
      </c>
      <c r="W21" s="281">
        <f>HLOOKUP(W$2,id2_asset,asset!$A17,FALSE)</f>
        <v>43507</v>
      </c>
      <c r="X21" s="281" t="e">
        <f>HLOOKUP(X$2,id2_asset,asset!$A17,FALSE)</f>
        <v>#N/A</v>
      </c>
      <c r="Y21" s="281" t="e">
        <f>HLOOKUP(Y$2,id2_asset,asset!$A17,FALSE)</f>
        <v>#N/A</v>
      </c>
      <c r="Z21" s="281" t="e">
        <f>HLOOKUP(Z$2,id2_asset,asset!$A17,FALSE)</f>
        <v>#N/A</v>
      </c>
      <c r="AA21" s="281" t="e">
        <f>HLOOKUP(AA$2,id2_asset,asset!$A17,FALSE)</f>
        <v>#N/A</v>
      </c>
      <c r="AB21" s="281" t="e">
        <f>HLOOKUP(AB$2,id2_asset,asset!$A17,FALSE)</f>
        <v>#N/A</v>
      </c>
      <c r="AC21" s="281" t="e">
        <f>HLOOKUP(AC$2,id2_asset,asset!$A17,FALSE)</f>
        <v>#N/A</v>
      </c>
      <c r="AD21" s="281" t="e">
        <f>HLOOKUP(AD$2,id2_asset,asset!$A17,FALSE)</f>
        <v>#N/A</v>
      </c>
      <c r="AE21" s="281" t="e">
        <f>HLOOKUP(AE$2,id2_asset,asset!$A17,FALSE)</f>
        <v>#N/A</v>
      </c>
      <c r="AF21" s="281" t="e">
        <f>HLOOKUP(AF$2,id2_asset,asset!$A17,FALSE)</f>
        <v>#N/A</v>
      </c>
      <c r="AG21" s="281" t="e">
        <f>HLOOKUP(AG$2,id2_asset,asset!$A17,FALSE)</f>
        <v>#N/A</v>
      </c>
      <c r="AH21" s="281" t="e">
        <f>HLOOKUP(AH$2,id2_asset,asset!$A17,FALSE)</f>
        <v>#N/A</v>
      </c>
      <c r="AI21" s="281" t="e">
        <f>HLOOKUP(AI$2,id2_asset,asset!$A17,FALSE)</f>
        <v>#N/A</v>
      </c>
      <c r="AJ21" s="281" t="e">
        <f>HLOOKUP(AJ$2,id2_asset,asset!$A17,FALSE)</f>
        <v>#N/A</v>
      </c>
      <c r="AK21" s="281" t="e">
        <f>HLOOKUP(AK$2,id2_asset,asset!$A17,FALSE)</f>
        <v>#N/A</v>
      </c>
      <c r="AL21" s="281" t="e">
        <f>HLOOKUP(AL$2,id2_asset,asset!$A17,FALSE)</f>
        <v>#N/A</v>
      </c>
      <c r="AM21" s="281" t="e">
        <f>HLOOKUP(AM$2,id2_asset,asset!$A17,FALSE)</f>
        <v>#N/A</v>
      </c>
      <c r="AN21" s="281" t="e">
        <f>HLOOKUP(AN$2,id2_asset,asset!$A17,FALSE)</f>
        <v>#N/A</v>
      </c>
      <c r="AO21" s="281" t="e">
        <f>HLOOKUP(AO$2,id2_asset,asset!$A17,FALSE)</f>
        <v>#N/A</v>
      </c>
      <c r="AP21" s="281" t="e">
        <f>HLOOKUP(AP$2,id2_asset,asset!$A17,FALSE)</f>
        <v>#N/A</v>
      </c>
      <c r="AQ21" s="281" t="e">
        <f>HLOOKUP(AQ$2,id2_asset,asset!$A17,FALSE)</f>
        <v>#N/A</v>
      </c>
      <c r="AR21" s="281" t="e">
        <f>HLOOKUP(AR$2,id2_asset,asset!$A17,FALSE)</f>
        <v>#N/A</v>
      </c>
      <c r="AS21" s="281" t="e">
        <f>HLOOKUP(AS$2,id2_asset,asset!$A17,FALSE)</f>
        <v>#N/A</v>
      </c>
      <c r="AT21" s="281" t="e">
        <f>HLOOKUP(AT$2,id2_asset,asset!$A17,FALSE)</f>
        <v>#N/A</v>
      </c>
      <c r="AU21" s="281" t="e">
        <f>HLOOKUP(AU$2,id2_asset,asset!$A17,FALSE)</f>
        <v>#N/A</v>
      </c>
      <c r="AV21" s="281" t="e">
        <f>HLOOKUP(AV$2,id2_asset,asset!$A17,FALSE)</f>
        <v>#N/A</v>
      </c>
      <c r="AW21" s="281" t="e">
        <f>HLOOKUP(AW$2,id2_asset,asset!$A17,FALSE)</f>
        <v>#N/A</v>
      </c>
      <c r="AX21" s="281" t="e">
        <f>HLOOKUP(AX$2,id2_asset,asset!$A17,FALSE)</f>
        <v>#N/A</v>
      </c>
      <c r="AY21" s="281" t="e">
        <f>HLOOKUP(AY$2,id2_asset,asset!$A17,FALSE)</f>
        <v>#N/A</v>
      </c>
      <c r="AZ21" s="281" t="e">
        <f>HLOOKUP(AZ$2,id2_asset,asset!$A17,FALSE)</f>
        <v>#N/A</v>
      </c>
      <c r="BA21" s="281" t="e">
        <f>HLOOKUP(BA$2,id2_asset,asset!$A17,FALSE)</f>
        <v>#N/A</v>
      </c>
    </row>
    <row r="22" spans="1:53">
      <c r="A22" s="277">
        <v>31</v>
      </c>
      <c r="B22" s="13" t="s">
        <v>104</v>
      </c>
      <c r="C22" s="422">
        <f>SUMIF(D20:BV20,"&lt;&gt;売却済み",D22:BV22)</f>
        <v>5239100000</v>
      </c>
      <c r="D22" s="284">
        <f>IFERROR(HLOOKUP(D$2,id2_asset,asset!$A18,FALSE),0)</f>
        <v>227000000</v>
      </c>
      <c r="E22" s="284">
        <f>IFERROR(HLOOKUP(E$2,id2_asset,asset!$A18,FALSE),0)</f>
        <v>415000000</v>
      </c>
      <c r="F22" s="284">
        <f>IFERROR(HLOOKUP(F$2,id2_asset,asset!$A18,FALSE),0)</f>
        <v>420000000</v>
      </c>
      <c r="G22" s="284">
        <f>IFERROR(HLOOKUP(G$2,id2_asset,asset!$A18,FALSE),0)</f>
        <v>94750000</v>
      </c>
      <c r="H22" s="284">
        <f>IFERROR(HLOOKUP(H$2,id2_asset,asset!$A18,FALSE),0)</f>
        <v>295000000</v>
      </c>
      <c r="I22" s="284">
        <f>IFERROR(HLOOKUP(I$2,id2_asset,asset!$A18,FALSE),0)</f>
        <v>436000000</v>
      </c>
      <c r="J22" s="284">
        <f>IFERROR(HLOOKUP(J$2,id2_asset,asset!$A18,FALSE),0)</f>
        <v>392000000</v>
      </c>
      <c r="K22" s="284">
        <f>IFERROR(HLOOKUP(K$2,id2_asset,asset!$A18,FALSE),0)</f>
        <v>190000000</v>
      </c>
      <c r="L22" s="284">
        <f>IFERROR(HLOOKUP(L$2,id2_asset,asset!$A18,FALSE),0)</f>
        <v>300000000</v>
      </c>
      <c r="M22" s="284">
        <f>IFERROR(HLOOKUP(M$2,id2_asset,asset!$A18,FALSE),0)</f>
        <v>440000000</v>
      </c>
      <c r="N22" s="284">
        <f>IFERROR(HLOOKUP(N$2,id2_asset,asset!$A18,FALSE),0)</f>
        <v>480000000</v>
      </c>
      <c r="O22" s="284">
        <f>IFERROR(HLOOKUP(O$2,id2_asset,asset!$A18,FALSE),0)</f>
        <v>210000000</v>
      </c>
      <c r="P22" s="284">
        <f>IFERROR(HLOOKUP(P$2,id2_asset,asset!$A18,FALSE),0)</f>
        <v>550000000</v>
      </c>
      <c r="Q22" s="284">
        <f>IFERROR(HLOOKUP(Q$2,id2_asset,asset!$A18,FALSE),0)</f>
        <v>354000000</v>
      </c>
      <c r="R22" s="284">
        <f>IFERROR(HLOOKUP(R$2,id2_asset,asset!$A18,FALSE),0)</f>
        <v>130000000</v>
      </c>
      <c r="S22" s="284">
        <f>IFERROR(HLOOKUP(S$2,id2_asset,asset!$A18,FALSE),0)</f>
        <v>145000000</v>
      </c>
      <c r="T22" s="284">
        <f>IFERROR(HLOOKUP(T$2,id2_asset,asset!$A18,FALSE),0)</f>
        <v>50000000</v>
      </c>
      <c r="U22" s="284">
        <f>IFERROR(HLOOKUP(U$2,id2_asset,asset!$A18,FALSE),0)</f>
        <v>30000000</v>
      </c>
      <c r="V22" s="284">
        <f>IFERROR(HLOOKUP(V$2,id2_asset,asset!$A18,FALSE),0)</f>
        <v>5350000</v>
      </c>
      <c r="W22" s="284">
        <f>IFERROR(HLOOKUP(W$2,id2_asset,asset!$A18,FALSE),0)</f>
        <v>75000000</v>
      </c>
      <c r="X22" s="284">
        <f>IFERROR(HLOOKUP(X$2,id2_asset,asset!$A18,FALSE),0)</f>
        <v>0</v>
      </c>
      <c r="Y22" s="284">
        <f>IFERROR(HLOOKUP(Y$2,id2_asset,asset!$A18,FALSE),0)</f>
        <v>0</v>
      </c>
      <c r="Z22" s="284">
        <f>IFERROR(HLOOKUP(Z$2,id2_asset,asset!$A18,FALSE),0)</f>
        <v>0</v>
      </c>
      <c r="AA22" s="284">
        <f>IFERROR(HLOOKUP(AA$2,id2_asset,asset!$A18,FALSE),0)</f>
        <v>0</v>
      </c>
      <c r="AB22" s="284">
        <f>IFERROR(HLOOKUP(AB$2,id2_asset,asset!$A18,FALSE),0)</f>
        <v>0</v>
      </c>
      <c r="AC22" s="284">
        <f>IFERROR(HLOOKUP(AC$2,id2_asset,asset!$A18,FALSE),0)</f>
        <v>0</v>
      </c>
      <c r="AD22" s="284">
        <f>IFERROR(HLOOKUP(AD$2,id2_asset,asset!$A18,FALSE),0)</f>
        <v>0</v>
      </c>
      <c r="AE22" s="284">
        <f>IFERROR(HLOOKUP(AE$2,id2_asset,asset!$A18,FALSE),0)</f>
        <v>0</v>
      </c>
      <c r="AF22" s="284">
        <f>IFERROR(HLOOKUP(AF$2,id2_asset,asset!$A18,FALSE),0)</f>
        <v>0</v>
      </c>
      <c r="AG22" s="284">
        <f>IFERROR(HLOOKUP(AG$2,id2_asset,asset!$A18,FALSE),0)</f>
        <v>0</v>
      </c>
      <c r="AH22" s="284">
        <f>IFERROR(HLOOKUP(AH$2,id2_asset,asset!$A18,FALSE),0)</f>
        <v>0</v>
      </c>
      <c r="AI22" s="284">
        <f>IFERROR(HLOOKUP(AI$2,id2_asset,asset!$A18,FALSE),0)</f>
        <v>0</v>
      </c>
      <c r="AJ22" s="284">
        <f>IFERROR(HLOOKUP(AJ$2,id2_asset,asset!$A18,FALSE),0)</f>
        <v>0</v>
      </c>
      <c r="AK22" s="284">
        <f>IFERROR(HLOOKUP(AK$2,id2_asset,asset!$A18,FALSE),0)</f>
        <v>0</v>
      </c>
      <c r="AL22" s="284">
        <f>IFERROR(HLOOKUP(AL$2,id2_asset,asset!$A18,FALSE),0)</f>
        <v>0</v>
      </c>
      <c r="AM22" s="284">
        <f>IFERROR(HLOOKUP(AM$2,id2_asset,asset!$A18,FALSE),0)</f>
        <v>0</v>
      </c>
      <c r="AN22" s="284">
        <f>IFERROR(HLOOKUP(AN$2,id2_asset,asset!$A18,FALSE),0)</f>
        <v>0</v>
      </c>
      <c r="AO22" s="284">
        <f>IFERROR(HLOOKUP(AO$2,id2_asset,asset!$A18,FALSE),0)</f>
        <v>0</v>
      </c>
      <c r="AP22" s="284">
        <f>IFERROR(HLOOKUP(AP$2,id2_asset,asset!$A18,FALSE),0)</f>
        <v>0</v>
      </c>
      <c r="AQ22" s="284">
        <f>IFERROR(HLOOKUP(AQ$2,id2_asset,asset!$A18,FALSE),0)</f>
        <v>0</v>
      </c>
      <c r="AR22" s="284">
        <f>IFERROR(HLOOKUP(AR$2,id2_asset,asset!$A18,FALSE),0)</f>
        <v>0</v>
      </c>
      <c r="AS22" s="284">
        <f>IFERROR(HLOOKUP(AS$2,id2_asset,asset!$A18,FALSE),0)</f>
        <v>0</v>
      </c>
      <c r="AT22" s="284">
        <f>IFERROR(HLOOKUP(AT$2,id2_asset,asset!$A18,FALSE),0)</f>
        <v>0</v>
      </c>
      <c r="AU22" s="284">
        <f>IFERROR(HLOOKUP(AU$2,id2_asset,asset!$A18,FALSE),0)</f>
        <v>0</v>
      </c>
      <c r="AV22" s="284">
        <f>IFERROR(HLOOKUP(AV$2,id2_asset,asset!$A18,FALSE),0)</f>
        <v>0</v>
      </c>
      <c r="AW22" s="284">
        <f>IFERROR(HLOOKUP(AW$2,id2_asset,asset!$A18,FALSE),0)</f>
        <v>0</v>
      </c>
      <c r="AX22" s="284">
        <f>IFERROR(HLOOKUP(AX$2,id2_asset,asset!$A18,FALSE),0)</f>
        <v>0</v>
      </c>
      <c r="AY22" s="284">
        <f>IFERROR(HLOOKUP(AY$2,id2_asset,asset!$A18,FALSE),0)</f>
        <v>0</v>
      </c>
      <c r="AZ22" s="284">
        <f>IFERROR(HLOOKUP(AZ$2,id2_asset,asset!$A18,FALSE),0)</f>
        <v>0</v>
      </c>
      <c r="BA22" s="284">
        <f>IFERROR(HLOOKUP(BA$2,id2_asset,asset!$A18,FALSE),0)</f>
        <v>0</v>
      </c>
    </row>
    <row r="23" spans="1:53" ht="34.5" customHeight="1">
      <c r="A23" s="277">
        <v>32</v>
      </c>
      <c r="B23" s="15" t="s">
        <v>105</v>
      </c>
      <c r="C23" s="422"/>
      <c r="D23" s="284" t="str">
        <f>HLOOKUP(D$2,id2_asset,asset!$A19,FALSE)&amp;""</f>
        <v>駅前立地</v>
      </c>
      <c r="E23" s="284" t="str">
        <f>HLOOKUP(E$2,id2_asset,asset!$A19,FALSE)&amp;""</f>
        <v/>
      </c>
      <c r="F23" s="284" t="str">
        <f>HLOOKUP(F$2,id2_asset,asset!$A19,FALSE)&amp;""</f>
        <v/>
      </c>
      <c r="G23" s="284" t="str">
        <f>HLOOKUP(G$2,id2_asset,asset!$A19,FALSE)&amp;""</f>
        <v/>
      </c>
      <c r="H23" s="284" t="str">
        <f>HLOOKUP(H$2,id2_asset,asset!$A19,FALSE)&amp;""</f>
        <v/>
      </c>
      <c r="I23" s="284" t="str">
        <f>HLOOKUP(I$2,id2_asset,asset!$A19,FALSE)&amp;""</f>
        <v/>
      </c>
      <c r="J23" s="284" t="str">
        <f>HLOOKUP(J$2,id2_asset,asset!$A19,FALSE)&amp;""</f>
        <v/>
      </c>
      <c r="K23" s="284" t="str">
        <f>HLOOKUP(K$2,id2_asset,asset!$A19,FALSE)&amp;""</f>
        <v/>
      </c>
      <c r="L23" s="284" t="str">
        <f>HLOOKUP(L$2,id2_asset,asset!$A19,FALSE)&amp;""</f>
        <v/>
      </c>
      <c r="M23" s="284" t="str">
        <f>HLOOKUP(M$2,id2_asset,asset!$A19,FALSE)&amp;""</f>
        <v/>
      </c>
      <c r="N23" s="284" t="str">
        <f>HLOOKUP(N$2,id2_asset,asset!$A19,FALSE)&amp;""</f>
        <v/>
      </c>
      <c r="O23" s="284" t="str">
        <f>HLOOKUP(O$2,id2_asset,asset!$A19,FALSE)&amp;""</f>
        <v/>
      </c>
      <c r="P23" s="284" t="str">
        <f>HLOOKUP(P$2,id2_asset,asset!$A19,FALSE)&amp;""</f>
        <v/>
      </c>
      <c r="Q23" s="284" t="str">
        <f>HLOOKUP(Q$2,id2_asset,asset!$A19,FALSE)&amp;""</f>
        <v/>
      </c>
      <c r="R23" s="284" t="str">
        <f>HLOOKUP(R$2,id2_asset,asset!$A19,FALSE)&amp;""</f>
        <v/>
      </c>
      <c r="S23" s="284" t="str">
        <f>HLOOKUP(S$2,id2_asset,asset!$A19,FALSE)&amp;""</f>
        <v/>
      </c>
      <c r="T23" s="284" t="str">
        <f>HLOOKUP(T$2,id2_asset,asset!$A19,FALSE)&amp;""</f>
        <v>二棟一括購入</v>
      </c>
      <c r="U23" s="284" t="str">
        <f>HLOOKUP(U$2,id2_asset,asset!$A19,FALSE)&amp;""</f>
        <v>二棟一括購入</v>
      </c>
      <c r="V23" s="284" t="str">
        <f>HLOOKUP(V$2,id2_asset,asset!$A19,FALSE)&amp;""</f>
        <v/>
      </c>
      <c r="W23" s="284" t="str">
        <f>HLOOKUP(W$2,id2_asset,asset!$A19,FALSE)&amp;""</f>
        <v/>
      </c>
      <c r="X23" s="284" t="e">
        <f>HLOOKUP(X$2,id2_asset,asset!$A19,FALSE)&amp;""</f>
        <v>#N/A</v>
      </c>
      <c r="Y23" s="284" t="e">
        <f>HLOOKUP(Y$2,id2_asset,asset!$A19,FALSE)&amp;""</f>
        <v>#N/A</v>
      </c>
      <c r="Z23" s="284" t="e">
        <f>HLOOKUP(Z$2,id2_asset,asset!$A19,FALSE)&amp;""</f>
        <v>#N/A</v>
      </c>
      <c r="AA23" s="284" t="e">
        <f>HLOOKUP(AA$2,id2_asset,asset!$A19,FALSE)&amp;""</f>
        <v>#N/A</v>
      </c>
      <c r="AB23" s="284" t="e">
        <f>HLOOKUP(AB$2,id2_asset,asset!$A19,FALSE)&amp;""</f>
        <v>#N/A</v>
      </c>
      <c r="AC23" s="284" t="e">
        <f>HLOOKUP(AC$2,id2_asset,asset!$A19,FALSE)&amp;""</f>
        <v>#N/A</v>
      </c>
      <c r="AD23" s="284" t="e">
        <f>HLOOKUP(AD$2,id2_asset,asset!$A19,FALSE)&amp;""</f>
        <v>#N/A</v>
      </c>
      <c r="AE23" s="284" t="e">
        <f>HLOOKUP(AE$2,id2_asset,asset!$A19,FALSE)&amp;""</f>
        <v>#N/A</v>
      </c>
      <c r="AF23" s="284" t="e">
        <f>HLOOKUP(AF$2,id2_asset,asset!$A19,FALSE)&amp;""</f>
        <v>#N/A</v>
      </c>
      <c r="AG23" s="284" t="e">
        <f>HLOOKUP(AG$2,id2_asset,asset!$A19,FALSE)&amp;""</f>
        <v>#N/A</v>
      </c>
      <c r="AH23" s="284" t="e">
        <f>HLOOKUP(AH$2,id2_asset,asset!$A19,FALSE)&amp;""</f>
        <v>#N/A</v>
      </c>
      <c r="AI23" s="284" t="e">
        <f>HLOOKUP(AI$2,id2_asset,asset!$A19,FALSE)&amp;""</f>
        <v>#N/A</v>
      </c>
      <c r="AJ23" s="284" t="e">
        <f>HLOOKUP(AJ$2,id2_asset,asset!$A19,FALSE)&amp;""</f>
        <v>#N/A</v>
      </c>
      <c r="AK23" s="284" t="e">
        <f>HLOOKUP(AK$2,id2_asset,asset!$A19,FALSE)&amp;""</f>
        <v>#N/A</v>
      </c>
      <c r="AL23" s="284" t="e">
        <f>HLOOKUP(AL$2,id2_asset,asset!$A19,FALSE)&amp;""</f>
        <v>#N/A</v>
      </c>
      <c r="AM23" s="284" t="e">
        <f>HLOOKUP(AM$2,id2_asset,asset!$A19,FALSE)&amp;""</f>
        <v>#N/A</v>
      </c>
      <c r="AN23" s="284" t="e">
        <f>HLOOKUP(AN$2,id2_asset,asset!$A19,FALSE)&amp;""</f>
        <v>#N/A</v>
      </c>
      <c r="AO23" s="284" t="e">
        <f>HLOOKUP(AO$2,id2_asset,asset!$A19,FALSE)&amp;""</f>
        <v>#N/A</v>
      </c>
      <c r="AP23" s="284" t="e">
        <f>HLOOKUP(AP$2,id2_asset,asset!$A19,FALSE)&amp;""</f>
        <v>#N/A</v>
      </c>
      <c r="AQ23" s="284" t="e">
        <f>HLOOKUP(AQ$2,id2_asset,asset!$A19,FALSE)&amp;""</f>
        <v>#N/A</v>
      </c>
      <c r="AR23" s="284" t="e">
        <f>HLOOKUP(AR$2,id2_asset,asset!$A19,FALSE)&amp;""</f>
        <v>#N/A</v>
      </c>
      <c r="AS23" s="284" t="e">
        <f>HLOOKUP(AS$2,id2_asset,asset!$A19,FALSE)&amp;""</f>
        <v>#N/A</v>
      </c>
      <c r="AT23" s="284" t="e">
        <f>HLOOKUP(AT$2,id2_asset,asset!$A19,FALSE)&amp;""</f>
        <v>#N/A</v>
      </c>
      <c r="AU23" s="284" t="e">
        <f>HLOOKUP(AU$2,id2_asset,asset!$A19,FALSE)&amp;""</f>
        <v>#N/A</v>
      </c>
      <c r="AV23" s="284" t="e">
        <f>HLOOKUP(AV$2,id2_asset,asset!$A19,FALSE)&amp;""</f>
        <v>#N/A</v>
      </c>
      <c r="AW23" s="284" t="e">
        <f>HLOOKUP(AW$2,id2_asset,asset!$A19,FALSE)&amp;""</f>
        <v>#N/A</v>
      </c>
      <c r="AX23" s="284" t="e">
        <f>HLOOKUP(AX$2,id2_asset,asset!$A19,FALSE)&amp;""</f>
        <v>#N/A</v>
      </c>
      <c r="AY23" s="284" t="e">
        <f>HLOOKUP(AY$2,id2_asset,asset!$A19,FALSE)&amp;""</f>
        <v>#N/A</v>
      </c>
      <c r="AZ23" s="284" t="e">
        <f>HLOOKUP(AZ$2,id2_asset,asset!$A19,FALSE)&amp;""</f>
        <v>#N/A</v>
      </c>
      <c r="BA23" s="284" t="e">
        <f>HLOOKUP(BA$2,id2_asset,asset!$A19,FALSE)&amp;""</f>
        <v>#N/A</v>
      </c>
    </row>
    <row r="24" spans="1:53">
      <c r="A24" s="285">
        <v>33</v>
      </c>
      <c r="B24" s="189" t="s">
        <v>1117</v>
      </c>
      <c r="C24" s="286" t="s">
        <v>1118</v>
      </c>
      <c r="D24" s="286">
        <f>HLOOKUP(D$2,id2_asset,asset!$A21,FALSE)</f>
        <v>806</v>
      </c>
      <c r="E24" s="286">
        <f>HLOOKUP(E$2,id2_asset,asset!$A21,FALSE)</f>
        <v>801</v>
      </c>
      <c r="F24" s="286">
        <f>HLOOKUP(F$2,id2_asset,asset!$A21,FALSE)</f>
        <v>807</v>
      </c>
      <c r="G24" s="286">
        <f>HLOOKUP(G$2,id2_asset,asset!$A21,FALSE)</f>
        <v>802</v>
      </c>
      <c r="H24" s="286">
        <f>HLOOKUP(H$2,id2_asset,asset!$A21,FALSE)</f>
        <v>803</v>
      </c>
      <c r="I24" s="286">
        <f>HLOOKUP(I$2,id2_asset,asset!$A21,FALSE)</f>
        <v>805</v>
      </c>
      <c r="J24" s="286">
        <f>HLOOKUP(J$2,id2_asset,asset!$A21,FALSE)</f>
        <v>808</v>
      </c>
      <c r="K24" s="286">
        <f>HLOOKUP(K$2,id2_asset,asset!$A21,FALSE)</f>
        <v>809</v>
      </c>
      <c r="L24" s="286">
        <f>HLOOKUP(L$2,id2_asset,asset!$A21,FALSE)</f>
        <v>811</v>
      </c>
      <c r="M24" s="286">
        <f>HLOOKUP(M$2,id2_asset,asset!$A21,FALSE)</f>
        <v>812</v>
      </c>
      <c r="N24" s="286">
        <f>HLOOKUP(N$2,id2_asset,asset!$A21,FALSE)</f>
        <v>813</v>
      </c>
      <c r="O24" s="286">
        <f>HLOOKUP(O$2,id2_asset,asset!$A21,FALSE)</f>
        <v>814</v>
      </c>
      <c r="P24" s="286">
        <f>HLOOKUP(P$2,id2_asset,asset!$A21,FALSE)</f>
        <v>815</v>
      </c>
      <c r="Q24" s="286">
        <f>HLOOKUP(Q$2,id2_asset,asset!$A21,FALSE)</f>
        <v>816</v>
      </c>
      <c r="R24" s="286">
        <f>HLOOKUP(R$2,id2_asset,asset!$A21,FALSE)</f>
        <v>817</v>
      </c>
      <c r="S24" s="286">
        <f>HLOOKUP(S$2,id2_asset,asset!$A21,FALSE)</f>
        <v>820</v>
      </c>
      <c r="T24" s="286">
        <f>HLOOKUP(T$2,id2_asset,asset!$A21,FALSE)</f>
        <v>821</v>
      </c>
      <c r="U24" s="286">
        <f>HLOOKUP(U$2,id2_asset,asset!$A21,FALSE)</f>
        <v>821</v>
      </c>
      <c r="V24" s="286">
        <f>HLOOKUP(V$2,id2_asset,asset!$A21,FALSE)</f>
        <v>0</v>
      </c>
      <c r="W24" s="286">
        <f>HLOOKUP(W$2,id2_asset,asset!$A21,FALSE)</f>
        <v>825</v>
      </c>
      <c r="X24" s="286" t="e">
        <f>HLOOKUP(X$2,id2_asset,asset!$A21,FALSE)</f>
        <v>#N/A</v>
      </c>
      <c r="Y24" s="286" t="e">
        <f>HLOOKUP(Y$2,id2_asset,asset!$A21,FALSE)</f>
        <v>#N/A</v>
      </c>
      <c r="Z24" s="286" t="e">
        <f>HLOOKUP(Z$2,id2_asset,asset!$A21,FALSE)</f>
        <v>#N/A</v>
      </c>
      <c r="AA24" s="286" t="e">
        <f>HLOOKUP(AA$2,id2_asset,asset!$A21,FALSE)</f>
        <v>#N/A</v>
      </c>
      <c r="AB24" s="286" t="e">
        <f>HLOOKUP(AB$2,id2_asset,asset!$A21,FALSE)</f>
        <v>#N/A</v>
      </c>
      <c r="AC24" s="286" t="e">
        <f>HLOOKUP(AC$2,id2_asset,asset!$A21,FALSE)</f>
        <v>#N/A</v>
      </c>
      <c r="AD24" s="286" t="e">
        <f>HLOOKUP(AD$2,id2_asset,asset!$A21,FALSE)</f>
        <v>#N/A</v>
      </c>
      <c r="AE24" s="286" t="e">
        <f>HLOOKUP(AE$2,id2_asset,asset!$A21,FALSE)</f>
        <v>#N/A</v>
      </c>
      <c r="AF24" s="286" t="e">
        <f>HLOOKUP(AF$2,id2_asset,asset!$A21,FALSE)</f>
        <v>#N/A</v>
      </c>
      <c r="AG24" s="286" t="e">
        <f>HLOOKUP(AG$2,id2_asset,asset!$A21,FALSE)</f>
        <v>#N/A</v>
      </c>
      <c r="AH24" s="286" t="e">
        <f>HLOOKUP(AH$2,id2_asset,asset!$A21,FALSE)</f>
        <v>#N/A</v>
      </c>
      <c r="AI24" s="286" t="e">
        <f>HLOOKUP(AI$2,id2_asset,asset!$A21,FALSE)</f>
        <v>#N/A</v>
      </c>
      <c r="AJ24" s="286" t="e">
        <f>HLOOKUP(AJ$2,id2_asset,asset!$A21,FALSE)</f>
        <v>#N/A</v>
      </c>
      <c r="AK24" s="286" t="e">
        <f>HLOOKUP(AK$2,id2_asset,asset!$A21,FALSE)</f>
        <v>#N/A</v>
      </c>
      <c r="AL24" s="286" t="e">
        <f>HLOOKUP(AL$2,id2_asset,asset!$A21,FALSE)</f>
        <v>#N/A</v>
      </c>
      <c r="AM24" s="286" t="e">
        <f>HLOOKUP(AM$2,id2_asset,asset!$A21,FALSE)</f>
        <v>#N/A</v>
      </c>
      <c r="AN24" s="286" t="e">
        <f>HLOOKUP(AN$2,id2_asset,asset!$A21,FALSE)</f>
        <v>#N/A</v>
      </c>
      <c r="AO24" s="286" t="e">
        <f>HLOOKUP(AO$2,id2_asset,asset!$A21,FALSE)</f>
        <v>#N/A</v>
      </c>
      <c r="AP24" s="286" t="e">
        <f>HLOOKUP(AP$2,id2_asset,asset!$A21,FALSE)</f>
        <v>#N/A</v>
      </c>
      <c r="AQ24" s="286" t="e">
        <f>HLOOKUP(AQ$2,id2_asset,asset!$A21,FALSE)</f>
        <v>#N/A</v>
      </c>
      <c r="AR24" s="286" t="e">
        <f>HLOOKUP(AR$2,id2_asset,asset!$A21,FALSE)</f>
        <v>#N/A</v>
      </c>
      <c r="AS24" s="286" t="e">
        <f>HLOOKUP(AS$2,id2_asset,asset!$A21,FALSE)</f>
        <v>#N/A</v>
      </c>
      <c r="AT24" s="286" t="e">
        <f>HLOOKUP(AT$2,id2_asset,asset!$A21,FALSE)</f>
        <v>#N/A</v>
      </c>
      <c r="AU24" s="286" t="e">
        <f>HLOOKUP(AU$2,id2_asset,asset!$A21,FALSE)</f>
        <v>#N/A</v>
      </c>
      <c r="AV24" s="286" t="e">
        <f>HLOOKUP(AV$2,id2_asset,asset!$A21,FALSE)</f>
        <v>#N/A</v>
      </c>
      <c r="AW24" s="286" t="e">
        <f>HLOOKUP(AW$2,id2_asset,asset!$A21,FALSE)</f>
        <v>#N/A</v>
      </c>
      <c r="AX24" s="286" t="e">
        <f>HLOOKUP(AX$2,id2_asset,asset!$A21,FALSE)</f>
        <v>#N/A</v>
      </c>
      <c r="AY24" s="286" t="e">
        <f>HLOOKUP(AY$2,id2_asset,asset!$A21,FALSE)</f>
        <v>#N/A</v>
      </c>
      <c r="AZ24" s="286" t="e">
        <f>HLOOKUP(AZ$2,id2_asset,asset!$A21,FALSE)</f>
        <v>#N/A</v>
      </c>
      <c r="BA24" s="286" t="e">
        <f>HLOOKUP(BA$2,id2_asset,asset!$A21,FALSE)</f>
        <v>#N/A</v>
      </c>
    </row>
    <row r="25" spans="1:53" ht="26.25" customHeight="1">
      <c r="A25" s="277">
        <v>34</v>
      </c>
      <c r="B25" s="15" t="s">
        <v>1119</v>
      </c>
      <c r="C25" s="423"/>
      <c r="D25" s="284" t="str">
        <f t="shared" ref="D25:BA25" si="7">IFERROR((VLOOKUP(D$24,kariire_list,4,FALSE)&amp;" "&amp;VLOOKUP(D$24,kariire_list,5,FALSE)&amp;""),"-")</f>
        <v>嘉手納銀行 東京支店</v>
      </c>
      <c r="E25" s="284" t="str">
        <f t="shared" si="7"/>
        <v>首里信金 大阪支店</v>
      </c>
      <c r="F25" s="284" t="str">
        <f t="shared" si="7"/>
        <v>奄美信金 大阪支店</v>
      </c>
      <c r="G25" s="284" t="str">
        <f t="shared" si="7"/>
        <v>名護信金 沖縄支店</v>
      </c>
      <c r="H25" s="284" t="str">
        <f t="shared" si="7"/>
        <v>読谷信金 池袋支店</v>
      </c>
      <c r="I25" s="284" t="str">
        <f t="shared" si="7"/>
        <v>恩納銀行 高田馬場支店</v>
      </c>
      <c r="J25" s="284" t="str">
        <f t="shared" si="7"/>
        <v>竹富信金 沖縄支店</v>
      </c>
      <c r="K25" s="284" t="str">
        <f t="shared" si="7"/>
        <v>西表信金 東京支店</v>
      </c>
      <c r="L25" s="284" t="str">
        <f t="shared" si="7"/>
        <v>座間味信金 沖縄支店</v>
      </c>
      <c r="M25" s="284" t="str">
        <f t="shared" si="7"/>
        <v>石垣銀行 池袋支店</v>
      </c>
      <c r="N25" s="284" t="str">
        <f t="shared" si="7"/>
        <v>首里信金 目白支店</v>
      </c>
      <c r="O25" s="284" t="str">
        <f t="shared" si="7"/>
        <v>名護信金 高田馬場支店</v>
      </c>
      <c r="P25" s="284" t="str">
        <f t="shared" si="7"/>
        <v>読谷信金 東京支店</v>
      </c>
      <c r="Q25" s="284" t="str">
        <f t="shared" si="7"/>
        <v>宜野湾信組 大阪支店</v>
      </c>
      <c r="R25" s="284" t="str">
        <f t="shared" si="7"/>
        <v>恩納銀行 沖縄支店</v>
      </c>
      <c r="S25" s="284" t="str">
        <f t="shared" si="7"/>
        <v>竹富信金 東京支店</v>
      </c>
      <c r="T25" s="284" t="str">
        <f t="shared" si="7"/>
        <v>竹富信金 東京支店</v>
      </c>
      <c r="U25" s="284" t="str">
        <f t="shared" si="7"/>
        <v>竹富信金 東京支店</v>
      </c>
      <c r="V25" s="284" t="str">
        <f t="shared" si="7"/>
        <v>-</v>
      </c>
      <c r="W25" s="284" t="str">
        <f t="shared" si="7"/>
        <v>座間味信金 沖縄支店</v>
      </c>
      <c r="X25" s="284" t="str">
        <f t="shared" si="7"/>
        <v>-</v>
      </c>
      <c r="Y25" s="284" t="str">
        <f t="shared" si="7"/>
        <v>-</v>
      </c>
      <c r="Z25" s="284" t="str">
        <f t="shared" si="7"/>
        <v>-</v>
      </c>
      <c r="AA25" s="284" t="str">
        <f t="shared" si="7"/>
        <v>-</v>
      </c>
      <c r="AB25" s="284" t="str">
        <f t="shared" si="7"/>
        <v>-</v>
      </c>
      <c r="AC25" s="284" t="str">
        <f t="shared" si="7"/>
        <v>-</v>
      </c>
      <c r="AD25" s="284" t="str">
        <f t="shared" si="7"/>
        <v>-</v>
      </c>
      <c r="AE25" s="284" t="str">
        <f t="shared" si="7"/>
        <v>-</v>
      </c>
      <c r="AF25" s="284" t="str">
        <f t="shared" si="7"/>
        <v>-</v>
      </c>
      <c r="AG25" s="284" t="str">
        <f t="shared" si="7"/>
        <v>-</v>
      </c>
      <c r="AH25" s="284" t="str">
        <f t="shared" si="7"/>
        <v>-</v>
      </c>
      <c r="AI25" s="284" t="str">
        <f t="shared" si="7"/>
        <v>-</v>
      </c>
      <c r="AJ25" s="284" t="str">
        <f t="shared" si="7"/>
        <v>-</v>
      </c>
      <c r="AK25" s="284" t="str">
        <f t="shared" si="7"/>
        <v>-</v>
      </c>
      <c r="AL25" s="284" t="str">
        <f t="shared" si="7"/>
        <v>-</v>
      </c>
      <c r="AM25" s="284" t="str">
        <f t="shared" si="7"/>
        <v>-</v>
      </c>
      <c r="AN25" s="284" t="str">
        <f t="shared" si="7"/>
        <v>-</v>
      </c>
      <c r="AO25" s="284" t="str">
        <f t="shared" si="7"/>
        <v>-</v>
      </c>
      <c r="AP25" s="284" t="str">
        <f t="shared" si="7"/>
        <v>-</v>
      </c>
      <c r="AQ25" s="284" t="str">
        <f t="shared" si="7"/>
        <v>-</v>
      </c>
      <c r="AR25" s="284" t="str">
        <f t="shared" si="7"/>
        <v>-</v>
      </c>
      <c r="AS25" s="284" t="str">
        <f t="shared" si="7"/>
        <v>-</v>
      </c>
      <c r="AT25" s="284" t="str">
        <f t="shared" si="7"/>
        <v>-</v>
      </c>
      <c r="AU25" s="284" t="str">
        <f t="shared" si="7"/>
        <v>-</v>
      </c>
      <c r="AV25" s="284" t="str">
        <f t="shared" si="7"/>
        <v>-</v>
      </c>
      <c r="AW25" s="284" t="str">
        <f t="shared" si="7"/>
        <v>-</v>
      </c>
      <c r="AX25" s="284" t="str">
        <f t="shared" si="7"/>
        <v>-</v>
      </c>
      <c r="AY25" s="284" t="str">
        <f t="shared" si="7"/>
        <v>-</v>
      </c>
      <c r="AZ25" s="284" t="str">
        <f t="shared" si="7"/>
        <v>-</v>
      </c>
      <c r="BA25" s="284" t="str">
        <f t="shared" si="7"/>
        <v>-</v>
      </c>
    </row>
    <row r="26" spans="1:53">
      <c r="A26" s="277">
        <v>35</v>
      </c>
      <c r="B26" s="15" t="s">
        <v>1120</v>
      </c>
      <c r="C26" s="424">
        <f>asset!E23</f>
        <v>5264500000</v>
      </c>
      <c r="D26" s="284">
        <f t="shared" ref="D26:BA26" si="8">IFERROR(VLOOKUP(D$24,kariire_list,14,FALSE),"-")</f>
        <v>226000000</v>
      </c>
      <c r="E26" s="284">
        <f t="shared" si="8"/>
        <v>550000000</v>
      </c>
      <c r="F26" s="284">
        <f t="shared" si="8"/>
        <v>413500000</v>
      </c>
      <c r="G26" s="284">
        <f t="shared" si="8"/>
        <v>85000000</v>
      </c>
      <c r="H26" s="284">
        <f t="shared" si="8"/>
        <v>265000000</v>
      </c>
      <c r="I26" s="284">
        <f t="shared" si="8"/>
        <v>376000000</v>
      </c>
      <c r="J26" s="284">
        <f t="shared" si="8"/>
        <v>392000000</v>
      </c>
      <c r="K26" s="284">
        <f t="shared" si="8"/>
        <v>180000000</v>
      </c>
      <c r="L26" s="284">
        <f t="shared" si="8"/>
        <v>280000000</v>
      </c>
      <c r="M26" s="284">
        <f t="shared" si="8"/>
        <v>450000000</v>
      </c>
      <c r="N26" s="284">
        <f t="shared" si="8"/>
        <v>495000000</v>
      </c>
      <c r="O26" s="284">
        <f t="shared" si="8"/>
        <v>189000000</v>
      </c>
      <c r="P26" s="284">
        <f t="shared" si="8"/>
        <v>530000000</v>
      </c>
      <c r="Q26" s="284">
        <f t="shared" si="8"/>
        <v>369000000</v>
      </c>
      <c r="R26" s="284">
        <f t="shared" si="8"/>
        <v>118000000</v>
      </c>
      <c r="S26" s="284">
        <f t="shared" si="8"/>
        <v>155000000</v>
      </c>
      <c r="T26" s="284">
        <f t="shared" si="8"/>
        <v>80000000</v>
      </c>
      <c r="U26" s="284">
        <f t="shared" si="8"/>
        <v>80000000</v>
      </c>
      <c r="V26" s="284" t="str">
        <f t="shared" si="8"/>
        <v>-</v>
      </c>
      <c r="W26" s="284">
        <f t="shared" si="8"/>
        <v>94000000</v>
      </c>
      <c r="X26" s="284" t="str">
        <f t="shared" si="8"/>
        <v>-</v>
      </c>
      <c r="Y26" s="284" t="str">
        <f t="shared" si="8"/>
        <v>-</v>
      </c>
      <c r="Z26" s="284" t="str">
        <f t="shared" si="8"/>
        <v>-</v>
      </c>
      <c r="AA26" s="284" t="str">
        <f t="shared" si="8"/>
        <v>-</v>
      </c>
      <c r="AB26" s="284" t="str">
        <f t="shared" si="8"/>
        <v>-</v>
      </c>
      <c r="AC26" s="284" t="str">
        <f t="shared" si="8"/>
        <v>-</v>
      </c>
      <c r="AD26" s="284" t="str">
        <f t="shared" si="8"/>
        <v>-</v>
      </c>
      <c r="AE26" s="284" t="str">
        <f t="shared" si="8"/>
        <v>-</v>
      </c>
      <c r="AF26" s="284" t="str">
        <f t="shared" si="8"/>
        <v>-</v>
      </c>
      <c r="AG26" s="284" t="str">
        <f t="shared" si="8"/>
        <v>-</v>
      </c>
      <c r="AH26" s="284" t="str">
        <f t="shared" si="8"/>
        <v>-</v>
      </c>
      <c r="AI26" s="284" t="str">
        <f t="shared" si="8"/>
        <v>-</v>
      </c>
      <c r="AJ26" s="284" t="str">
        <f t="shared" si="8"/>
        <v>-</v>
      </c>
      <c r="AK26" s="284" t="str">
        <f t="shared" si="8"/>
        <v>-</v>
      </c>
      <c r="AL26" s="284" t="str">
        <f t="shared" si="8"/>
        <v>-</v>
      </c>
      <c r="AM26" s="284" t="str">
        <f t="shared" si="8"/>
        <v>-</v>
      </c>
      <c r="AN26" s="284" t="str">
        <f t="shared" si="8"/>
        <v>-</v>
      </c>
      <c r="AO26" s="284" t="str">
        <f t="shared" si="8"/>
        <v>-</v>
      </c>
      <c r="AP26" s="284" t="str">
        <f t="shared" si="8"/>
        <v>-</v>
      </c>
      <c r="AQ26" s="284" t="str">
        <f t="shared" si="8"/>
        <v>-</v>
      </c>
      <c r="AR26" s="284" t="str">
        <f t="shared" si="8"/>
        <v>-</v>
      </c>
      <c r="AS26" s="284" t="str">
        <f t="shared" si="8"/>
        <v>-</v>
      </c>
      <c r="AT26" s="284" t="str">
        <f t="shared" si="8"/>
        <v>-</v>
      </c>
      <c r="AU26" s="284" t="str">
        <f t="shared" si="8"/>
        <v>-</v>
      </c>
      <c r="AV26" s="284" t="str">
        <f t="shared" si="8"/>
        <v>-</v>
      </c>
      <c r="AW26" s="284" t="str">
        <f t="shared" si="8"/>
        <v>-</v>
      </c>
      <c r="AX26" s="284" t="str">
        <f t="shared" si="8"/>
        <v>-</v>
      </c>
      <c r="AY26" s="284" t="str">
        <f t="shared" si="8"/>
        <v>-</v>
      </c>
      <c r="AZ26" s="284" t="str">
        <f t="shared" si="8"/>
        <v>-</v>
      </c>
      <c r="BA26" s="284" t="str">
        <f t="shared" si="8"/>
        <v>-</v>
      </c>
    </row>
    <row r="27" spans="1:53" s="99" customFormat="1">
      <c r="A27" s="277">
        <v>36</v>
      </c>
      <c r="B27" s="287" t="s">
        <v>907</v>
      </c>
      <c r="C27" s="425">
        <f>asset!E24*-1</f>
        <v>25400000</v>
      </c>
      <c r="D27" s="288">
        <f>IFERROR(D22-D26,"-")</f>
        <v>1000000</v>
      </c>
      <c r="E27" s="288">
        <f t="shared" ref="E27:W27" si="9">IFERROR(E22-E26,"-")</f>
        <v>-135000000</v>
      </c>
      <c r="F27" s="288">
        <f t="shared" si="9"/>
        <v>6500000</v>
      </c>
      <c r="G27" s="288">
        <f t="shared" si="9"/>
        <v>9750000</v>
      </c>
      <c r="H27" s="288">
        <f t="shared" si="9"/>
        <v>30000000</v>
      </c>
      <c r="I27" s="288">
        <f t="shared" si="9"/>
        <v>60000000</v>
      </c>
      <c r="J27" s="288">
        <f t="shared" si="9"/>
        <v>0</v>
      </c>
      <c r="K27" s="288">
        <f t="shared" si="9"/>
        <v>10000000</v>
      </c>
      <c r="L27" s="288">
        <f t="shared" si="9"/>
        <v>20000000</v>
      </c>
      <c r="M27" s="288">
        <f t="shared" si="9"/>
        <v>-10000000</v>
      </c>
      <c r="N27" s="288">
        <f t="shared" si="9"/>
        <v>-15000000</v>
      </c>
      <c r="O27" s="288">
        <f t="shared" si="9"/>
        <v>21000000</v>
      </c>
      <c r="P27" s="288">
        <f t="shared" si="9"/>
        <v>20000000</v>
      </c>
      <c r="Q27" s="288">
        <f t="shared" si="9"/>
        <v>-15000000</v>
      </c>
      <c r="R27" s="288">
        <f t="shared" si="9"/>
        <v>12000000</v>
      </c>
      <c r="S27" s="288">
        <f t="shared" si="9"/>
        <v>-10000000</v>
      </c>
      <c r="T27" s="288">
        <f t="shared" si="9"/>
        <v>-30000000</v>
      </c>
      <c r="U27" s="288">
        <f t="shared" si="9"/>
        <v>-50000000</v>
      </c>
      <c r="V27" s="288" t="str">
        <f t="shared" si="9"/>
        <v>-</v>
      </c>
      <c r="W27" s="288">
        <f t="shared" si="9"/>
        <v>-19000000</v>
      </c>
      <c r="X27" s="288" t="str">
        <f t="shared" ref="X27:BA27" si="10">IFERROR(X22-X26,"-")</f>
        <v>-</v>
      </c>
      <c r="Y27" s="288" t="str">
        <f t="shared" si="10"/>
        <v>-</v>
      </c>
      <c r="Z27" s="288" t="str">
        <f t="shared" si="10"/>
        <v>-</v>
      </c>
      <c r="AA27" s="288" t="str">
        <f t="shared" si="10"/>
        <v>-</v>
      </c>
      <c r="AB27" s="288" t="str">
        <f t="shared" si="10"/>
        <v>-</v>
      </c>
      <c r="AC27" s="288" t="str">
        <f t="shared" si="10"/>
        <v>-</v>
      </c>
      <c r="AD27" s="288" t="str">
        <f t="shared" si="10"/>
        <v>-</v>
      </c>
      <c r="AE27" s="288" t="str">
        <f t="shared" si="10"/>
        <v>-</v>
      </c>
      <c r="AF27" s="288" t="str">
        <f t="shared" si="10"/>
        <v>-</v>
      </c>
      <c r="AG27" s="288" t="str">
        <f t="shared" si="10"/>
        <v>-</v>
      </c>
      <c r="AH27" s="288" t="str">
        <f t="shared" si="10"/>
        <v>-</v>
      </c>
      <c r="AI27" s="288" t="str">
        <f t="shared" si="10"/>
        <v>-</v>
      </c>
      <c r="AJ27" s="288" t="str">
        <f t="shared" si="10"/>
        <v>-</v>
      </c>
      <c r="AK27" s="288" t="str">
        <f t="shared" si="10"/>
        <v>-</v>
      </c>
      <c r="AL27" s="288" t="str">
        <f t="shared" si="10"/>
        <v>-</v>
      </c>
      <c r="AM27" s="288" t="str">
        <f t="shared" si="10"/>
        <v>-</v>
      </c>
      <c r="AN27" s="288" t="str">
        <f t="shared" si="10"/>
        <v>-</v>
      </c>
      <c r="AO27" s="288" t="str">
        <f t="shared" si="10"/>
        <v>-</v>
      </c>
      <c r="AP27" s="288" t="str">
        <f t="shared" si="10"/>
        <v>-</v>
      </c>
      <c r="AQ27" s="288" t="str">
        <f t="shared" si="10"/>
        <v>-</v>
      </c>
      <c r="AR27" s="288" t="str">
        <f t="shared" si="10"/>
        <v>-</v>
      </c>
      <c r="AS27" s="288" t="str">
        <f t="shared" si="10"/>
        <v>-</v>
      </c>
      <c r="AT27" s="288" t="str">
        <f t="shared" si="10"/>
        <v>-</v>
      </c>
      <c r="AU27" s="288" t="str">
        <f t="shared" si="10"/>
        <v>-</v>
      </c>
      <c r="AV27" s="288" t="str">
        <f t="shared" si="10"/>
        <v>-</v>
      </c>
      <c r="AW27" s="288" t="str">
        <f t="shared" si="10"/>
        <v>-</v>
      </c>
      <c r="AX27" s="288" t="str">
        <f t="shared" si="10"/>
        <v>-</v>
      </c>
      <c r="AY27" s="288" t="str">
        <f t="shared" si="10"/>
        <v>-</v>
      </c>
      <c r="AZ27" s="288" t="str">
        <f t="shared" si="10"/>
        <v>-</v>
      </c>
      <c r="BA27" s="288" t="str">
        <f t="shared" si="10"/>
        <v>-</v>
      </c>
    </row>
    <row r="28" spans="1:53">
      <c r="A28" s="277">
        <v>37</v>
      </c>
      <c r="B28" s="15" t="s">
        <v>908</v>
      </c>
      <c r="C28" s="426">
        <f>'2法人連結'!D37</f>
        <v>1.3288630836405363E-2</v>
      </c>
      <c r="D28" s="289">
        <f t="shared" ref="D28:BA28" si="11">IFERROR(VLOOKUP(D$24,kariire_list,16,FALSE),"-")</f>
        <v>1</v>
      </c>
      <c r="E28" s="289">
        <f t="shared" si="11"/>
        <v>1.65</v>
      </c>
      <c r="F28" s="289">
        <f t="shared" si="11"/>
        <v>1.1000000000000001</v>
      </c>
      <c r="G28" s="289">
        <f t="shared" si="11"/>
        <v>1</v>
      </c>
      <c r="H28" s="289">
        <f t="shared" si="11"/>
        <v>1</v>
      </c>
      <c r="I28" s="289">
        <f t="shared" si="11"/>
        <v>1</v>
      </c>
      <c r="J28" s="289">
        <f t="shared" si="11"/>
        <v>1.2</v>
      </c>
      <c r="K28" s="289">
        <f t="shared" si="11"/>
        <v>1.5</v>
      </c>
      <c r="L28" s="289">
        <f t="shared" si="11"/>
        <v>1.3</v>
      </c>
      <c r="M28" s="289">
        <f t="shared" si="11"/>
        <v>1.3</v>
      </c>
      <c r="N28" s="289">
        <f t="shared" si="11"/>
        <v>1.375</v>
      </c>
      <c r="O28" s="289">
        <f t="shared" si="11"/>
        <v>1.3</v>
      </c>
      <c r="P28" s="289">
        <f t="shared" si="11"/>
        <v>1.3</v>
      </c>
      <c r="Q28" s="289">
        <f t="shared" si="11"/>
        <v>1.45</v>
      </c>
      <c r="R28" s="289">
        <f t="shared" si="11"/>
        <v>1.675</v>
      </c>
      <c r="S28" s="289">
        <f t="shared" si="11"/>
        <v>1.65</v>
      </c>
      <c r="T28" s="289">
        <f t="shared" si="11"/>
        <v>1.6</v>
      </c>
      <c r="U28" s="289">
        <f t="shared" si="11"/>
        <v>1.6</v>
      </c>
      <c r="V28" s="289" t="str">
        <f t="shared" si="11"/>
        <v>-</v>
      </c>
      <c r="W28" s="289">
        <f t="shared" si="11"/>
        <v>2.8</v>
      </c>
      <c r="X28" s="289" t="str">
        <f t="shared" si="11"/>
        <v>-</v>
      </c>
      <c r="Y28" s="289" t="str">
        <f t="shared" si="11"/>
        <v>-</v>
      </c>
      <c r="Z28" s="289" t="str">
        <f t="shared" si="11"/>
        <v>-</v>
      </c>
      <c r="AA28" s="289" t="str">
        <f t="shared" si="11"/>
        <v>-</v>
      </c>
      <c r="AB28" s="289" t="str">
        <f t="shared" si="11"/>
        <v>-</v>
      </c>
      <c r="AC28" s="289" t="str">
        <f t="shared" si="11"/>
        <v>-</v>
      </c>
      <c r="AD28" s="289" t="str">
        <f t="shared" si="11"/>
        <v>-</v>
      </c>
      <c r="AE28" s="289" t="str">
        <f t="shared" si="11"/>
        <v>-</v>
      </c>
      <c r="AF28" s="289" t="str">
        <f t="shared" si="11"/>
        <v>-</v>
      </c>
      <c r="AG28" s="289" t="str">
        <f t="shared" si="11"/>
        <v>-</v>
      </c>
      <c r="AH28" s="289" t="str">
        <f t="shared" si="11"/>
        <v>-</v>
      </c>
      <c r="AI28" s="289" t="str">
        <f t="shared" si="11"/>
        <v>-</v>
      </c>
      <c r="AJ28" s="289" t="str">
        <f t="shared" si="11"/>
        <v>-</v>
      </c>
      <c r="AK28" s="289" t="str">
        <f t="shared" si="11"/>
        <v>-</v>
      </c>
      <c r="AL28" s="289" t="str">
        <f t="shared" si="11"/>
        <v>-</v>
      </c>
      <c r="AM28" s="289" t="str">
        <f t="shared" si="11"/>
        <v>-</v>
      </c>
      <c r="AN28" s="289" t="str">
        <f t="shared" si="11"/>
        <v>-</v>
      </c>
      <c r="AO28" s="289" t="str">
        <f t="shared" si="11"/>
        <v>-</v>
      </c>
      <c r="AP28" s="289" t="str">
        <f t="shared" si="11"/>
        <v>-</v>
      </c>
      <c r="AQ28" s="289" t="str">
        <f t="shared" si="11"/>
        <v>-</v>
      </c>
      <c r="AR28" s="289" t="str">
        <f t="shared" si="11"/>
        <v>-</v>
      </c>
      <c r="AS28" s="289" t="str">
        <f t="shared" si="11"/>
        <v>-</v>
      </c>
      <c r="AT28" s="289" t="str">
        <f t="shared" si="11"/>
        <v>-</v>
      </c>
      <c r="AU28" s="289" t="str">
        <f t="shared" si="11"/>
        <v>-</v>
      </c>
      <c r="AV28" s="289" t="str">
        <f t="shared" si="11"/>
        <v>-</v>
      </c>
      <c r="AW28" s="289" t="str">
        <f t="shared" si="11"/>
        <v>-</v>
      </c>
      <c r="AX28" s="289" t="str">
        <f t="shared" si="11"/>
        <v>-</v>
      </c>
      <c r="AY28" s="289" t="str">
        <f t="shared" si="11"/>
        <v>-</v>
      </c>
      <c r="AZ28" s="289" t="str">
        <f t="shared" si="11"/>
        <v>-</v>
      </c>
      <c r="BA28" s="289" t="str">
        <f t="shared" si="11"/>
        <v>-</v>
      </c>
    </row>
    <row r="29" spans="1:53">
      <c r="A29" s="277">
        <v>38</v>
      </c>
      <c r="B29" s="13" t="s">
        <v>909</v>
      </c>
      <c r="C29" s="414"/>
      <c r="D29" s="20">
        <f t="shared" ref="D29:BA29" si="12">IFERROR(VLOOKUP(D$24,kariire_list,18,FALSE),"-")</f>
        <v>25</v>
      </c>
      <c r="E29" s="20">
        <f t="shared" si="12"/>
        <v>35</v>
      </c>
      <c r="F29" s="20">
        <f t="shared" si="12"/>
        <v>30</v>
      </c>
      <c r="G29" s="20">
        <f t="shared" si="12"/>
        <v>25</v>
      </c>
      <c r="H29" s="20">
        <f t="shared" si="12"/>
        <v>25</v>
      </c>
      <c r="I29" s="20">
        <f t="shared" si="12"/>
        <v>30</v>
      </c>
      <c r="J29" s="20">
        <f t="shared" si="12"/>
        <v>30</v>
      </c>
      <c r="K29" s="20">
        <f t="shared" si="12"/>
        <v>30</v>
      </c>
      <c r="L29" s="20">
        <f t="shared" si="12"/>
        <v>30</v>
      </c>
      <c r="M29" s="20">
        <f t="shared" si="12"/>
        <v>30</v>
      </c>
      <c r="N29" s="20">
        <f t="shared" si="12"/>
        <v>30</v>
      </c>
      <c r="O29" s="20">
        <f t="shared" si="12"/>
        <v>40</v>
      </c>
      <c r="P29" s="20">
        <f t="shared" si="12"/>
        <v>40</v>
      </c>
      <c r="Q29" s="20">
        <f t="shared" si="12"/>
        <v>40</v>
      </c>
      <c r="R29" s="20">
        <f t="shared" si="12"/>
        <v>35</v>
      </c>
      <c r="S29" s="20">
        <f t="shared" si="12"/>
        <v>35</v>
      </c>
      <c r="T29" s="20">
        <f t="shared" si="12"/>
        <v>26</v>
      </c>
      <c r="U29" s="20">
        <f t="shared" si="12"/>
        <v>26</v>
      </c>
      <c r="V29" s="20" t="str">
        <f t="shared" si="12"/>
        <v>-</v>
      </c>
      <c r="W29" s="20">
        <f t="shared" si="12"/>
        <v>30</v>
      </c>
      <c r="X29" s="20" t="str">
        <f t="shared" si="12"/>
        <v>-</v>
      </c>
      <c r="Y29" s="20" t="str">
        <f t="shared" si="12"/>
        <v>-</v>
      </c>
      <c r="Z29" s="20" t="str">
        <f t="shared" si="12"/>
        <v>-</v>
      </c>
      <c r="AA29" s="20" t="str">
        <f t="shared" si="12"/>
        <v>-</v>
      </c>
      <c r="AB29" s="20" t="str">
        <f t="shared" si="12"/>
        <v>-</v>
      </c>
      <c r="AC29" s="20" t="str">
        <f t="shared" si="12"/>
        <v>-</v>
      </c>
      <c r="AD29" s="20" t="str">
        <f t="shared" si="12"/>
        <v>-</v>
      </c>
      <c r="AE29" s="20" t="str">
        <f t="shared" si="12"/>
        <v>-</v>
      </c>
      <c r="AF29" s="20" t="str">
        <f t="shared" si="12"/>
        <v>-</v>
      </c>
      <c r="AG29" s="20" t="str">
        <f t="shared" si="12"/>
        <v>-</v>
      </c>
      <c r="AH29" s="20" t="str">
        <f t="shared" si="12"/>
        <v>-</v>
      </c>
      <c r="AI29" s="20" t="str">
        <f t="shared" si="12"/>
        <v>-</v>
      </c>
      <c r="AJ29" s="20" t="str">
        <f t="shared" si="12"/>
        <v>-</v>
      </c>
      <c r="AK29" s="20" t="str">
        <f t="shared" si="12"/>
        <v>-</v>
      </c>
      <c r="AL29" s="20" t="str">
        <f t="shared" si="12"/>
        <v>-</v>
      </c>
      <c r="AM29" s="20" t="str">
        <f t="shared" si="12"/>
        <v>-</v>
      </c>
      <c r="AN29" s="20" t="str">
        <f t="shared" si="12"/>
        <v>-</v>
      </c>
      <c r="AO29" s="20" t="str">
        <f t="shared" si="12"/>
        <v>-</v>
      </c>
      <c r="AP29" s="20" t="str">
        <f t="shared" si="12"/>
        <v>-</v>
      </c>
      <c r="AQ29" s="20" t="str">
        <f t="shared" si="12"/>
        <v>-</v>
      </c>
      <c r="AR29" s="20" t="str">
        <f t="shared" si="12"/>
        <v>-</v>
      </c>
      <c r="AS29" s="20" t="str">
        <f t="shared" si="12"/>
        <v>-</v>
      </c>
      <c r="AT29" s="20" t="str">
        <f t="shared" si="12"/>
        <v>-</v>
      </c>
      <c r="AU29" s="20" t="str">
        <f t="shared" si="12"/>
        <v>-</v>
      </c>
      <c r="AV29" s="20" t="str">
        <f t="shared" si="12"/>
        <v>-</v>
      </c>
      <c r="AW29" s="20" t="str">
        <f t="shared" si="12"/>
        <v>-</v>
      </c>
      <c r="AX29" s="20" t="str">
        <f t="shared" si="12"/>
        <v>-</v>
      </c>
      <c r="AY29" s="20" t="str">
        <f t="shared" si="12"/>
        <v>-</v>
      </c>
      <c r="AZ29" s="20" t="str">
        <f t="shared" si="12"/>
        <v>-</v>
      </c>
      <c r="BA29" s="20" t="str">
        <f t="shared" si="12"/>
        <v>-</v>
      </c>
    </row>
    <row r="30" spans="1:53">
      <c r="A30" s="277">
        <v>39</v>
      </c>
      <c r="B30" s="13" t="s">
        <v>1121</v>
      </c>
      <c r="C30" s="414"/>
      <c r="D30" s="290">
        <f t="shared" ref="D30:W30" ca="1" si="13">IFERROR(   D29-(current_year-YEAR(VLOOKUP(D$24,kariire_list,15,FALSE))),"-")</f>
        <v>17</v>
      </c>
      <c r="E30" s="290">
        <f t="shared" ca="1" si="13"/>
        <v>25</v>
      </c>
      <c r="F30" s="290">
        <f t="shared" ca="1" si="13"/>
        <v>22</v>
      </c>
      <c r="G30" s="290">
        <f t="shared" ca="1" si="13"/>
        <v>16</v>
      </c>
      <c r="H30" s="290">
        <f t="shared" ca="1" si="13"/>
        <v>16</v>
      </c>
      <c r="I30" s="290">
        <f t="shared" ca="1" si="13"/>
        <v>21</v>
      </c>
      <c r="J30" s="290">
        <f t="shared" ca="1" si="13"/>
        <v>22</v>
      </c>
      <c r="K30" s="290">
        <f t="shared" ca="1" si="13"/>
        <v>22</v>
      </c>
      <c r="L30" s="290">
        <f t="shared" ca="1" si="13"/>
        <v>23</v>
      </c>
      <c r="M30" s="290">
        <f t="shared" ca="1" si="13"/>
        <v>23</v>
      </c>
      <c r="N30" s="290">
        <f t="shared" ca="1" si="13"/>
        <v>23</v>
      </c>
      <c r="O30" s="290">
        <f t="shared" ca="1" si="13"/>
        <v>33</v>
      </c>
      <c r="P30" s="290">
        <f t="shared" ca="1" si="13"/>
        <v>34</v>
      </c>
      <c r="Q30" s="290">
        <f t="shared" ca="1" si="13"/>
        <v>34</v>
      </c>
      <c r="R30" s="290">
        <f t="shared" ca="1" si="13"/>
        <v>29</v>
      </c>
      <c r="S30" s="290">
        <f t="shared" ca="1" si="13"/>
        <v>30</v>
      </c>
      <c r="T30" s="290">
        <f t="shared" ca="1" si="13"/>
        <v>23</v>
      </c>
      <c r="U30" s="290">
        <f t="shared" ca="1" si="13"/>
        <v>23</v>
      </c>
      <c r="V30" s="290" t="str">
        <f t="shared" ca="1" si="13"/>
        <v>-</v>
      </c>
      <c r="W30" s="290">
        <f t="shared" ca="1" si="13"/>
        <v>28</v>
      </c>
      <c r="X30" s="290" t="str">
        <f t="shared" ref="X30:BA30" ca="1" si="14">IFERROR(   X29-(current_year-YEAR(VLOOKUP(X$24,kariire_list,15,FALSE))),"-")</f>
        <v>-</v>
      </c>
      <c r="Y30" s="290" t="str">
        <f t="shared" ca="1" si="14"/>
        <v>-</v>
      </c>
      <c r="Z30" s="290" t="str">
        <f t="shared" ca="1" si="14"/>
        <v>-</v>
      </c>
      <c r="AA30" s="290" t="str">
        <f t="shared" ca="1" si="14"/>
        <v>-</v>
      </c>
      <c r="AB30" s="290" t="str">
        <f t="shared" ca="1" si="14"/>
        <v>-</v>
      </c>
      <c r="AC30" s="290" t="str">
        <f t="shared" ca="1" si="14"/>
        <v>-</v>
      </c>
      <c r="AD30" s="290" t="str">
        <f t="shared" ca="1" si="14"/>
        <v>-</v>
      </c>
      <c r="AE30" s="290" t="str">
        <f t="shared" ca="1" si="14"/>
        <v>-</v>
      </c>
      <c r="AF30" s="290" t="str">
        <f t="shared" ca="1" si="14"/>
        <v>-</v>
      </c>
      <c r="AG30" s="290" t="str">
        <f t="shared" ca="1" si="14"/>
        <v>-</v>
      </c>
      <c r="AH30" s="290" t="str">
        <f t="shared" ca="1" si="14"/>
        <v>-</v>
      </c>
      <c r="AI30" s="290" t="str">
        <f t="shared" ca="1" si="14"/>
        <v>-</v>
      </c>
      <c r="AJ30" s="290" t="str">
        <f t="shared" ca="1" si="14"/>
        <v>-</v>
      </c>
      <c r="AK30" s="290" t="str">
        <f t="shared" ca="1" si="14"/>
        <v>-</v>
      </c>
      <c r="AL30" s="290" t="str">
        <f t="shared" ca="1" si="14"/>
        <v>-</v>
      </c>
      <c r="AM30" s="290" t="str">
        <f t="shared" ca="1" si="14"/>
        <v>-</v>
      </c>
      <c r="AN30" s="290" t="str">
        <f t="shared" ca="1" si="14"/>
        <v>-</v>
      </c>
      <c r="AO30" s="290" t="str">
        <f t="shared" ca="1" si="14"/>
        <v>-</v>
      </c>
      <c r="AP30" s="290" t="str">
        <f t="shared" ca="1" si="14"/>
        <v>-</v>
      </c>
      <c r="AQ30" s="290" t="str">
        <f t="shared" ca="1" si="14"/>
        <v>-</v>
      </c>
      <c r="AR30" s="290" t="str">
        <f t="shared" ca="1" si="14"/>
        <v>-</v>
      </c>
      <c r="AS30" s="290" t="str">
        <f t="shared" ca="1" si="14"/>
        <v>-</v>
      </c>
      <c r="AT30" s="290" t="str">
        <f t="shared" ca="1" si="14"/>
        <v>-</v>
      </c>
      <c r="AU30" s="290" t="str">
        <f t="shared" ca="1" si="14"/>
        <v>-</v>
      </c>
      <c r="AV30" s="290" t="str">
        <f t="shared" ca="1" si="14"/>
        <v>-</v>
      </c>
      <c r="AW30" s="290" t="str">
        <f t="shared" ca="1" si="14"/>
        <v>-</v>
      </c>
      <c r="AX30" s="290" t="str">
        <f t="shared" ca="1" si="14"/>
        <v>-</v>
      </c>
      <c r="AY30" s="290" t="str">
        <f t="shared" ca="1" si="14"/>
        <v>-</v>
      </c>
      <c r="AZ30" s="290" t="str">
        <f t="shared" ca="1" si="14"/>
        <v>-</v>
      </c>
      <c r="BA30" s="290" t="str">
        <f t="shared" ca="1" si="14"/>
        <v>-</v>
      </c>
    </row>
    <row r="31" spans="1:53">
      <c r="A31" s="277">
        <v>40</v>
      </c>
      <c r="B31" s="13" t="s">
        <v>1122</v>
      </c>
      <c r="C31" s="414"/>
      <c r="D31" s="284" t="str">
        <f t="shared" ref="D31:BA31" si="15">IFERROR(VLOOKUP(D$24,kariire_list,17,FALSE)&amp;"","-")</f>
        <v>信金基準金利+1.00%</v>
      </c>
      <c r="E31" s="284" t="str">
        <f t="shared" si="15"/>
        <v>信金基準金利+1.00%</v>
      </c>
      <c r="F31" s="284" t="str">
        <f t="shared" si="15"/>
        <v>信金基準金利+1.00%</v>
      </c>
      <c r="G31" s="284" t="str">
        <f t="shared" si="15"/>
        <v>信金基準金利+1.00%</v>
      </c>
      <c r="H31" s="284" t="str">
        <f t="shared" si="15"/>
        <v>信金基準金利+1.00%</v>
      </c>
      <c r="I31" s="284" t="str">
        <f t="shared" si="15"/>
        <v>3m TIBOR +1.00%</v>
      </c>
      <c r="J31" s="284" t="str">
        <f t="shared" si="15"/>
        <v>信金基準金利+1.00%</v>
      </c>
      <c r="K31" s="284" t="str">
        <f t="shared" si="15"/>
        <v>信金基準金利+1.00%</v>
      </c>
      <c r="L31" s="284" t="str">
        <f t="shared" si="15"/>
        <v>3m TIBOR +1.00%</v>
      </c>
      <c r="M31" s="284" t="str">
        <f t="shared" si="15"/>
        <v>信金基準金利+1.00%</v>
      </c>
      <c r="N31" s="284" t="str">
        <f t="shared" si="15"/>
        <v>信金基準金利+1.00%</v>
      </c>
      <c r="O31" s="284" t="str">
        <f t="shared" si="15"/>
        <v>信金基準金利+1.00%</v>
      </c>
      <c r="P31" s="284" t="str">
        <f t="shared" si="15"/>
        <v>信金基準金利+1.00%</v>
      </c>
      <c r="Q31" s="284" t="str">
        <f t="shared" si="15"/>
        <v>信金基準金利+1.00%</v>
      </c>
      <c r="R31" s="284" t="str">
        <f t="shared" si="15"/>
        <v>3m TIBOR +1.00%</v>
      </c>
      <c r="S31" s="284" t="str">
        <f t="shared" si="15"/>
        <v>3m TIBOR +1.00%</v>
      </c>
      <c r="T31" s="284" t="str">
        <f t="shared" si="15"/>
        <v>3m TIBOR +1.00%</v>
      </c>
      <c r="U31" s="284" t="str">
        <f t="shared" si="15"/>
        <v>3m TIBOR +1.00%</v>
      </c>
      <c r="V31" s="284" t="str">
        <f t="shared" si="15"/>
        <v>-</v>
      </c>
      <c r="W31" s="284" t="str">
        <f t="shared" si="15"/>
        <v>信金基準金利+1.00%</v>
      </c>
      <c r="X31" s="284" t="str">
        <f t="shared" si="15"/>
        <v>-</v>
      </c>
      <c r="Y31" s="284" t="str">
        <f t="shared" si="15"/>
        <v>-</v>
      </c>
      <c r="Z31" s="284" t="str">
        <f t="shared" si="15"/>
        <v>-</v>
      </c>
      <c r="AA31" s="284" t="str">
        <f t="shared" si="15"/>
        <v>-</v>
      </c>
      <c r="AB31" s="284" t="str">
        <f t="shared" si="15"/>
        <v>-</v>
      </c>
      <c r="AC31" s="284" t="str">
        <f t="shared" si="15"/>
        <v>-</v>
      </c>
      <c r="AD31" s="284" t="str">
        <f t="shared" si="15"/>
        <v>-</v>
      </c>
      <c r="AE31" s="284" t="str">
        <f t="shared" si="15"/>
        <v>-</v>
      </c>
      <c r="AF31" s="284" t="str">
        <f t="shared" si="15"/>
        <v>-</v>
      </c>
      <c r="AG31" s="284" t="str">
        <f t="shared" si="15"/>
        <v>-</v>
      </c>
      <c r="AH31" s="284" t="str">
        <f t="shared" si="15"/>
        <v>-</v>
      </c>
      <c r="AI31" s="284" t="str">
        <f t="shared" si="15"/>
        <v>-</v>
      </c>
      <c r="AJ31" s="284" t="str">
        <f t="shared" si="15"/>
        <v>-</v>
      </c>
      <c r="AK31" s="284" t="str">
        <f t="shared" si="15"/>
        <v>-</v>
      </c>
      <c r="AL31" s="284" t="str">
        <f t="shared" si="15"/>
        <v>-</v>
      </c>
      <c r="AM31" s="284" t="str">
        <f t="shared" si="15"/>
        <v>-</v>
      </c>
      <c r="AN31" s="284" t="str">
        <f t="shared" si="15"/>
        <v>-</v>
      </c>
      <c r="AO31" s="284" t="str">
        <f t="shared" si="15"/>
        <v>-</v>
      </c>
      <c r="AP31" s="284" t="str">
        <f t="shared" si="15"/>
        <v>-</v>
      </c>
      <c r="AQ31" s="284" t="str">
        <f t="shared" si="15"/>
        <v>-</v>
      </c>
      <c r="AR31" s="284" t="str">
        <f t="shared" si="15"/>
        <v>-</v>
      </c>
      <c r="AS31" s="284" t="str">
        <f t="shared" si="15"/>
        <v>-</v>
      </c>
      <c r="AT31" s="284" t="str">
        <f t="shared" si="15"/>
        <v>-</v>
      </c>
      <c r="AU31" s="284" t="str">
        <f t="shared" si="15"/>
        <v>-</v>
      </c>
      <c r="AV31" s="284" t="str">
        <f t="shared" si="15"/>
        <v>-</v>
      </c>
      <c r="AW31" s="284" t="str">
        <f t="shared" si="15"/>
        <v>-</v>
      </c>
      <c r="AX31" s="284" t="str">
        <f t="shared" si="15"/>
        <v>-</v>
      </c>
      <c r="AY31" s="284" t="str">
        <f t="shared" si="15"/>
        <v>-</v>
      </c>
      <c r="AZ31" s="284" t="str">
        <f t="shared" si="15"/>
        <v>-</v>
      </c>
      <c r="BA31" s="284" t="str">
        <f t="shared" si="15"/>
        <v>-</v>
      </c>
    </row>
    <row r="32" spans="1:53" ht="35.25" customHeight="1">
      <c r="A32" s="277">
        <v>41</v>
      </c>
      <c r="B32" s="291" t="s">
        <v>1123</v>
      </c>
      <c r="C32" s="427"/>
      <c r="D32" s="279" t="str">
        <f t="shared" ref="D32:BA32" si="16">IFERROR(VLOOKUP(D$24,kariire_list,29,FALSE)&amp;"","-")</f>
        <v/>
      </c>
      <c r="E32" s="279" t="str">
        <f t="shared" si="16"/>
        <v/>
      </c>
      <c r="F32" s="279" t="str">
        <f t="shared" si="16"/>
        <v/>
      </c>
      <c r="G32" s="279" t="str">
        <f t="shared" si="16"/>
        <v/>
      </c>
      <c r="H32" s="279" t="str">
        <f t="shared" si="16"/>
        <v/>
      </c>
      <c r="I32" s="279" t="str">
        <f t="shared" si="16"/>
        <v/>
      </c>
      <c r="J32" s="279" t="str">
        <f t="shared" si="16"/>
        <v/>
      </c>
      <c r="K32" s="279" t="str">
        <f t="shared" si="16"/>
        <v/>
      </c>
      <c r="L32" s="279" t="str">
        <f t="shared" si="16"/>
        <v/>
      </c>
      <c r="M32" s="279" t="str">
        <f t="shared" si="16"/>
        <v/>
      </c>
      <c r="N32" s="279" t="str">
        <f t="shared" si="16"/>
        <v/>
      </c>
      <c r="O32" s="279" t="str">
        <f t="shared" si="16"/>
        <v/>
      </c>
      <c r="P32" s="279" t="str">
        <f t="shared" si="16"/>
        <v/>
      </c>
      <c r="Q32" s="279" t="str">
        <f t="shared" si="16"/>
        <v/>
      </c>
      <c r="R32" s="279" t="str">
        <f t="shared" si="16"/>
        <v/>
      </c>
      <c r="S32" s="279" t="str">
        <f t="shared" si="16"/>
        <v/>
      </c>
      <c r="T32" s="279" t="str">
        <f t="shared" si="16"/>
        <v>2棟一括</v>
      </c>
      <c r="U32" s="279" t="str">
        <f t="shared" si="16"/>
        <v>2棟一括</v>
      </c>
      <c r="V32" s="279" t="str">
        <f t="shared" si="16"/>
        <v>-</v>
      </c>
      <c r="W32" s="279" t="str">
        <f t="shared" si="16"/>
        <v/>
      </c>
      <c r="X32" s="279" t="str">
        <f t="shared" si="16"/>
        <v>-</v>
      </c>
      <c r="Y32" s="279" t="str">
        <f t="shared" si="16"/>
        <v>-</v>
      </c>
      <c r="Z32" s="279" t="str">
        <f t="shared" si="16"/>
        <v>-</v>
      </c>
      <c r="AA32" s="279" t="str">
        <f t="shared" si="16"/>
        <v>-</v>
      </c>
      <c r="AB32" s="279" t="str">
        <f t="shared" si="16"/>
        <v>-</v>
      </c>
      <c r="AC32" s="279" t="str">
        <f t="shared" si="16"/>
        <v>-</v>
      </c>
      <c r="AD32" s="279" t="str">
        <f t="shared" si="16"/>
        <v>-</v>
      </c>
      <c r="AE32" s="279" t="str">
        <f t="shared" si="16"/>
        <v>-</v>
      </c>
      <c r="AF32" s="279" t="str">
        <f t="shared" si="16"/>
        <v>-</v>
      </c>
      <c r="AG32" s="279" t="str">
        <f t="shared" si="16"/>
        <v>-</v>
      </c>
      <c r="AH32" s="279" t="str">
        <f t="shared" si="16"/>
        <v>-</v>
      </c>
      <c r="AI32" s="279" t="str">
        <f t="shared" si="16"/>
        <v>-</v>
      </c>
      <c r="AJ32" s="279" t="str">
        <f t="shared" si="16"/>
        <v>-</v>
      </c>
      <c r="AK32" s="279" t="str">
        <f t="shared" si="16"/>
        <v>-</v>
      </c>
      <c r="AL32" s="279" t="str">
        <f t="shared" si="16"/>
        <v>-</v>
      </c>
      <c r="AM32" s="279" t="str">
        <f t="shared" si="16"/>
        <v>-</v>
      </c>
      <c r="AN32" s="279" t="str">
        <f t="shared" si="16"/>
        <v>-</v>
      </c>
      <c r="AO32" s="279" t="str">
        <f t="shared" si="16"/>
        <v>-</v>
      </c>
      <c r="AP32" s="279" t="str">
        <f t="shared" si="16"/>
        <v>-</v>
      </c>
      <c r="AQ32" s="279" t="str">
        <f t="shared" si="16"/>
        <v>-</v>
      </c>
      <c r="AR32" s="279" t="str">
        <f t="shared" si="16"/>
        <v>-</v>
      </c>
      <c r="AS32" s="279" t="str">
        <f t="shared" si="16"/>
        <v>-</v>
      </c>
      <c r="AT32" s="279" t="str">
        <f t="shared" si="16"/>
        <v>-</v>
      </c>
      <c r="AU32" s="279" t="str">
        <f t="shared" si="16"/>
        <v>-</v>
      </c>
      <c r="AV32" s="279" t="str">
        <f t="shared" si="16"/>
        <v>-</v>
      </c>
      <c r="AW32" s="279" t="str">
        <f t="shared" si="16"/>
        <v>-</v>
      </c>
      <c r="AX32" s="279" t="str">
        <f t="shared" si="16"/>
        <v>-</v>
      </c>
      <c r="AY32" s="279" t="str">
        <f t="shared" si="16"/>
        <v>-</v>
      </c>
      <c r="AZ32" s="279" t="str">
        <f t="shared" si="16"/>
        <v>-</v>
      </c>
      <c r="BA32" s="279" t="str">
        <f t="shared" si="16"/>
        <v>-</v>
      </c>
    </row>
    <row r="33" spans="1:53">
      <c r="A33" s="285">
        <v>42</v>
      </c>
      <c r="B33" s="189" t="s">
        <v>1124</v>
      </c>
      <c r="C33" s="415"/>
      <c r="D33" s="292"/>
      <c r="E33" s="292"/>
      <c r="F33" s="292"/>
      <c r="G33" s="292"/>
      <c r="H33" s="292"/>
      <c r="I33" s="292"/>
      <c r="J33" s="292"/>
      <c r="K33" s="292"/>
      <c r="L33" s="292"/>
      <c r="M33" s="292"/>
      <c r="N33" s="292"/>
      <c r="O33" s="292"/>
      <c r="P33" s="292"/>
      <c r="Q33" s="292"/>
      <c r="R33" s="292"/>
      <c r="S33" s="292"/>
      <c r="T33" s="292"/>
      <c r="U33" s="292"/>
      <c r="V33" s="292"/>
      <c r="W33" s="292"/>
      <c r="X33" s="292"/>
      <c r="Y33" s="292"/>
      <c r="Z33" s="292"/>
      <c r="AA33" s="292"/>
      <c r="AB33" s="292"/>
      <c r="AC33" s="292"/>
      <c r="AD33" s="292"/>
      <c r="AE33" s="292"/>
      <c r="AF33" s="292"/>
      <c r="AG33" s="292"/>
      <c r="AH33" s="292"/>
      <c r="AI33" s="292"/>
      <c r="AJ33" s="292"/>
      <c r="AK33" s="292"/>
      <c r="AL33" s="292"/>
      <c r="AM33" s="292"/>
      <c r="AN33" s="292"/>
      <c r="AO33" s="292"/>
      <c r="AP33" s="292"/>
      <c r="AQ33" s="292"/>
      <c r="AR33" s="292"/>
      <c r="AS33" s="292"/>
      <c r="AT33" s="292"/>
      <c r="AU33" s="292"/>
      <c r="AV33" s="292"/>
      <c r="AW33" s="292"/>
      <c r="AX33" s="292"/>
      <c r="AY33" s="292"/>
      <c r="AZ33" s="292"/>
      <c r="BA33" s="292"/>
    </row>
    <row r="34" spans="1:53">
      <c r="A34" s="277">
        <v>43</v>
      </c>
      <c r="B34" s="13" t="str">
        <f>"残債"&amp;TEXT(settings!L10,"yyyy年m月d日")&amp;"現在"</f>
        <v>残債2022年11月5日現在</v>
      </c>
      <c r="C34" s="422">
        <f>asset!E36</f>
        <v>4417003271</v>
      </c>
      <c r="D34" s="284">
        <f>IFERROR(HLOOKUP(D2,id2_asset,asset!$A$36,FALSE),"-")</f>
        <v>166166517</v>
      </c>
      <c r="E34" s="284">
        <f>IFERROR(HLOOKUP(E2,id2_asset,asset!$A$36,FALSE),"-")</f>
        <v>489470974</v>
      </c>
      <c r="F34" s="284">
        <f>IFERROR(HLOOKUP(F2,id2_asset,asset!$A$36,FALSE),"-")</f>
        <v>325693047</v>
      </c>
      <c r="G34" s="284">
        <f>IFERROR(HLOOKUP(G2,id2_asset,asset!$A$36,FALSE),"-")</f>
        <v>70446823</v>
      </c>
      <c r="H34" s="284">
        <f>IFERROR(HLOOKUP(H2,id2_asset,asset!$A$36,FALSE),"-")</f>
        <v>199606609</v>
      </c>
      <c r="I34" s="284">
        <f>IFERROR(HLOOKUP(I2,id2_asset,asset!$A$36,FALSE),"-")</f>
        <v>289146337</v>
      </c>
      <c r="J34" s="284">
        <f>IFERROR(HLOOKUP(J2,id2_asset,asset!$A$36,FALSE),"-")</f>
        <v>313706389</v>
      </c>
      <c r="K34" s="284">
        <f>IFERROR(HLOOKUP(K2,id2_asset,asset!$A$36,FALSE),"-")</f>
        <v>146247653</v>
      </c>
      <c r="L34" s="284">
        <f>IFERROR(HLOOKUP(L2,id2_asset,asset!$A$36,FALSE),"-")</f>
        <v>227542871</v>
      </c>
      <c r="M34" s="284">
        <f>IFERROR(HLOOKUP(M2,id2_asset,asset!$A$36,FALSE),"-")</f>
        <v>366807279</v>
      </c>
      <c r="N34" s="284">
        <f>IFERROR(HLOOKUP(N2,id2_asset,asset!$A$36,FALSE),"-")</f>
        <v>407992887</v>
      </c>
      <c r="O34" s="284">
        <f>IFERROR(HLOOKUP(O2,id2_asset,asset!$A$36,FALSE),"-")</f>
        <v>166191734</v>
      </c>
      <c r="P34" s="284">
        <f>IFERROR(HLOOKUP(P2,id2_asset,asset!$A$36,FALSE),"-")</f>
        <v>473298872</v>
      </c>
      <c r="Q34" s="284">
        <f>IFERROR(HLOOKUP(Q2,id2_asset,asset!$A$36,FALSE),"-")</f>
        <v>338136161</v>
      </c>
      <c r="R34" s="284">
        <f>IFERROR(HLOOKUP(R2,id2_asset,asset!$A$36,FALSE),"-")</f>
        <v>104842675</v>
      </c>
      <c r="S34" s="284">
        <f>IFERROR(HLOOKUP(S2,id2_asset,asset!$A$36,FALSE),"-")</f>
        <v>139123336</v>
      </c>
      <c r="T34" s="284">
        <f>IFERROR(HLOOKUP(T2,id2_asset,asset!$A$36,FALSE),"-")</f>
        <v>56237891.25</v>
      </c>
      <c r="U34" s="284">
        <f>IFERROR(HLOOKUP(U2,id2_asset,asset!$A$36,FALSE),"-")</f>
        <v>28181664.75</v>
      </c>
      <c r="V34" s="284">
        <f>IFERROR(HLOOKUP(V2,id2_asset,asset!$A$36,FALSE),"-")</f>
        <v>0</v>
      </c>
      <c r="W34" s="284">
        <f>IFERROR(HLOOKUP(W2,id2_asset,asset!$A$36,FALSE),"-")</f>
        <v>108163551</v>
      </c>
      <c r="X34" s="284" t="str">
        <f>IFERROR(HLOOKUP(X2,id2_asset,asset!$A$36,FALSE),"-")</f>
        <v>-</v>
      </c>
      <c r="Y34" s="284" t="str">
        <f>IFERROR(HLOOKUP(Y2,id2_asset,asset!$A$36,FALSE),"-")</f>
        <v>-</v>
      </c>
      <c r="Z34" s="284" t="str">
        <f>IFERROR(HLOOKUP(Z2,id2_asset,asset!$A$36,FALSE),"-")</f>
        <v>-</v>
      </c>
      <c r="AA34" s="284" t="str">
        <f>IFERROR(HLOOKUP(AA2,id2_asset,asset!$A$36,FALSE),"-")</f>
        <v>-</v>
      </c>
      <c r="AB34" s="284" t="str">
        <f>IFERROR(HLOOKUP(AB2,id2_asset,asset!$A$36,FALSE),"-")</f>
        <v>-</v>
      </c>
      <c r="AC34" s="284" t="str">
        <f>IFERROR(HLOOKUP(AC2,id2_asset,asset!$A$36,FALSE),"-")</f>
        <v>-</v>
      </c>
      <c r="AD34" s="284" t="str">
        <f>IFERROR(HLOOKUP(AD2,id2_asset,asset!$A$36,FALSE),"-")</f>
        <v>-</v>
      </c>
      <c r="AE34" s="284" t="str">
        <f>IFERROR(HLOOKUP(AE2,id2_asset,asset!$A$36,FALSE),"-")</f>
        <v>-</v>
      </c>
      <c r="AF34" s="284" t="str">
        <f>IFERROR(HLOOKUP(AF2,id2_asset,asset!$A$36,FALSE),"-")</f>
        <v>-</v>
      </c>
      <c r="AG34" s="284" t="str">
        <f>IFERROR(HLOOKUP(AG2,id2_asset,asset!$A$36,FALSE),"-")</f>
        <v>-</v>
      </c>
      <c r="AH34" s="284" t="str">
        <f>IFERROR(HLOOKUP(AH2,id2_asset,asset!$A$36,FALSE),"-")</f>
        <v>-</v>
      </c>
      <c r="AI34" s="284" t="str">
        <f>IFERROR(HLOOKUP(AI2,id2_asset,asset!$A$36,FALSE),"-")</f>
        <v>-</v>
      </c>
      <c r="AJ34" s="284" t="str">
        <f>IFERROR(HLOOKUP(AJ2,id2_asset,asset!$A$36,FALSE),"-")</f>
        <v>-</v>
      </c>
      <c r="AK34" s="284" t="str">
        <f>IFERROR(HLOOKUP(AK2,id2_asset,asset!$A$36,FALSE),"-")</f>
        <v>-</v>
      </c>
      <c r="AL34" s="284" t="str">
        <f>IFERROR(HLOOKUP(AL2,id2_asset,asset!$A$36,FALSE),"-")</f>
        <v>-</v>
      </c>
      <c r="AM34" s="284" t="str">
        <f>IFERROR(HLOOKUP(AM2,id2_asset,asset!$A$36,FALSE),"-")</f>
        <v>-</v>
      </c>
      <c r="AN34" s="284" t="str">
        <f>IFERROR(HLOOKUP(AN2,id2_asset,asset!$A$36,FALSE),"-")</f>
        <v>-</v>
      </c>
      <c r="AO34" s="284" t="str">
        <f>IFERROR(HLOOKUP(AO2,id2_asset,asset!$A$36,FALSE),"-")</f>
        <v>-</v>
      </c>
      <c r="AP34" s="284" t="str">
        <f>IFERROR(HLOOKUP(AP2,id2_asset,asset!$A$36,FALSE),"-")</f>
        <v>-</v>
      </c>
      <c r="AQ34" s="284" t="str">
        <f>IFERROR(HLOOKUP(AQ2,id2_asset,asset!$A$36,FALSE),"-")</f>
        <v>-</v>
      </c>
      <c r="AR34" s="284" t="str">
        <f>IFERROR(HLOOKUP(AR2,id2_asset,asset!$A$36,FALSE),"-")</f>
        <v>-</v>
      </c>
      <c r="AS34" s="284" t="str">
        <f>IFERROR(HLOOKUP(AS2,id2_asset,asset!$A$36,FALSE),"-")</f>
        <v>-</v>
      </c>
      <c r="AT34" s="284" t="str">
        <f>IFERROR(HLOOKUP(AT2,id2_asset,asset!$A$36,FALSE),"-")</f>
        <v>-</v>
      </c>
      <c r="AU34" s="284" t="str">
        <f>IFERROR(HLOOKUP(AU2,id2_asset,asset!$A$36,FALSE),"-")</f>
        <v>-</v>
      </c>
      <c r="AV34" s="284" t="str">
        <f>IFERROR(HLOOKUP(AV2,id2_asset,asset!$A$36,FALSE),"-")</f>
        <v>-</v>
      </c>
      <c r="AW34" s="284" t="str">
        <f>IFERROR(HLOOKUP(AW2,id2_asset,asset!$A$36,FALSE),"-")</f>
        <v>-</v>
      </c>
      <c r="AX34" s="284" t="str">
        <f>IFERROR(HLOOKUP(AX2,id2_asset,asset!$A$36,FALSE),"-")</f>
        <v>-</v>
      </c>
      <c r="AY34" s="284" t="str">
        <f>IFERROR(HLOOKUP(AY2,id2_asset,asset!$A$36,FALSE),"-")</f>
        <v>-</v>
      </c>
      <c r="AZ34" s="284" t="str">
        <f>IFERROR(HLOOKUP(AZ2,id2_asset,asset!$A$36,FALSE),"-")</f>
        <v>-</v>
      </c>
      <c r="BA34" s="284" t="str">
        <f>IFERROR(HLOOKUP(BA2,id2_asset,asset!$A$36,FALSE),"-")</f>
        <v>-</v>
      </c>
    </row>
    <row r="35" spans="1:53">
      <c r="A35" s="277">
        <v>44</v>
      </c>
      <c r="B35" s="15" t="s">
        <v>1125</v>
      </c>
      <c r="C35" s="424">
        <f>asset!E39</f>
        <v>17798236</v>
      </c>
      <c r="D35" s="284">
        <f>IFERROR(HLOOKUP(D2,id2_asset,asset!$A$39,FALSE),"-")</f>
        <v>851731</v>
      </c>
      <c r="E35" s="284">
        <f>IFERROR(HLOOKUP(E2,id2_asset,asset!$A$39,FALSE),"-")</f>
        <v>1724718</v>
      </c>
      <c r="F35" s="284">
        <f>IFERROR(HLOOKUP(F2,id2_asset,asset!$A$39,FALSE),"-")</f>
        <v>1349044</v>
      </c>
      <c r="G35" s="284">
        <f>IFERROR(HLOOKUP(G2,id2_asset,asset!$A$39,FALSE),"-")</f>
        <v>387904</v>
      </c>
      <c r="H35" s="284">
        <f>IFERROR(HLOOKUP(H2,id2_asset,asset!$A$39,FALSE),"-")</f>
        <v>1162598</v>
      </c>
      <c r="I35" s="284">
        <f>IFERROR(HLOOKUP(I2,id2_asset,asset!$A$39,FALSE),"-")</f>
        <v>1212388</v>
      </c>
      <c r="J35" s="284">
        <f>IFERROR(HLOOKUP(J2,id2_asset,asset!$A$39,FALSE),"-")</f>
        <v>1297162</v>
      </c>
      <c r="K35" s="284">
        <f>IFERROR(HLOOKUP(K2,id2_asset,asset!$A$39,FALSE),"-")</f>
        <v>621216</v>
      </c>
      <c r="L35" s="284">
        <f>IFERROR(HLOOKUP(L2,id2_asset,asset!$A$39,FALSE),"-")</f>
        <v>939689</v>
      </c>
      <c r="M35" s="284">
        <f>IFERROR(HLOOKUP(M2,id2_asset,asset!$A$39,FALSE),"-")</f>
        <v>1510222</v>
      </c>
      <c r="N35" s="284">
        <f>IFERROR(HLOOKUP(N2,id2_asset,asset!$A$39,FALSE),"-")</f>
        <v>1678812</v>
      </c>
      <c r="O35" s="284">
        <f>IFERROR(HLOOKUP(O2,id2_asset,asset!$A$39,FALSE),"-")</f>
        <v>505163</v>
      </c>
      <c r="P35" s="284">
        <f>IFERROR(HLOOKUP(P2,id2_asset,asset!$A$39,FALSE),"-")</f>
        <v>1416594</v>
      </c>
      <c r="Q35" s="284">
        <f>IFERROR(HLOOKUP(Q2,id2_asset,asset!$A$39,FALSE),"-")</f>
        <v>1144779</v>
      </c>
      <c r="R35" s="284">
        <f>IFERROR(HLOOKUP(R2,id2_asset,asset!$A$39,FALSE),"-")</f>
        <v>371496</v>
      </c>
      <c r="S35" s="284">
        <f>IFERROR(HLOOKUP(S2,id2_asset,asset!$A$39,FALSE),"-")</f>
        <v>486056</v>
      </c>
      <c r="T35" s="284">
        <f>IFERROR(HLOOKUP(T2,id2_asset,asset!$A$39,FALSE),"-")</f>
        <v>260169.5</v>
      </c>
      <c r="U35" s="284">
        <f>IFERROR(HLOOKUP(U2,id2_asset,asset!$A$39,FALSE),"-")</f>
        <v>117904.5</v>
      </c>
      <c r="V35" s="284">
        <f>IFERROR(HLOOKUP(V2,id2_asset,asset!$A$39,FALSE),"-")</f>
        <v>0</v>
      </c>
      <c r="W35" s="284">
        <f>IFERROR(HLOOKUP(W2,id2_asset,asset!$A$39,FALSE),"-")</f>
        <v>760590</v>
      </c>
      <c r="X35" s="284" t="str">
        <f>IFERROR(HLOOKUP(X2,id2_asset,asset!$A$39,FALSE),"-")</f>
        <v>-</v>
      </c>
      <c r="Y35" s="284" t="str">
        <f>IFERROR(HLOOKUP(Y2,id2_asset,asset!$A$39,FALSE),"-")</f>
        <v>-</v>
      </c>
      <c r="Z35" s="284" t="str">
        <f>IFERROR(HLOOKUP(Z2,id2_asset,asset!$A$39,FALSE),"-")</f>
        <v>-</v>
      </c>
      <c r="AA35" s="284" t="str">
        <f>IFERROR(HLOOKUP(AA2,id2_asset,asset!$A$39,FALSE),"-")</f>
        <v>-</v>
      </c>
      <c r="AB35" s="284" t="str">
        <f>IFERROR(HLOOKUP(AB2,id2_asset,asset!$A$39,FALSE),"-")</f>
        <v>-</v>
      </c>
      <c r="AC35" s="284" t="str">
        <f>IFERROR(HLOOKUP(AC2,id2_asset,asset!$A$39,FALSE),"-")</f>
        <v>-</v>
      </c>
      <c r="AD35" s="284" t="str">
        <f>IFERROR(HLOOKUP(AD2,id2_asset,asset!$A$39,FALSE),"-")</f>
        <v>-</v>
      </c>
      <c r="AE35" s="284" t="str">
        <f>IFERROR(HLOOKUP(AE2,id2_asset,asset!$A$39,FALSE),"-")</f>
        <v>-</v>
      </c>
      <c r="AF35" s="284" t="str">
        <f>IFERROR(HLOOKUP(AF2,id2_asset,asset!$A$39,FALSE),"-")</f>
        <v>-</v>
      </c>
      <c r="AG35" s="284" t="str">
        <f>IFERROR(HLOOKUP(AG2,id2_asset,asset!$A$39,FALSE),"-")</f>
        <v>-</v>
      </c>
      <c r="AH35" s="284" t="str">
        <f>IFERROR(HLOOKUP(AH2,id2_asset,asset!$A$39,FALSE),"-")</f>
        <v>-</v>
      </c>
      <c r="AI35" s="284" t="str">
        <f>IFERROR(HLOOKUP(AI2,id2_asset,asset!$A$39,FALSE),"-")</f>
        <v>-</v>
      </c>
      <c r="AJ35" s="284" t="str">
        <f>IFERROR(HLOOKUP(AJ2,id2_asset,asset!$A$39,FALSE),"-")</f>
        <v>-</v>
      </c>
      <c r="AK35" s="284" t="str">
        <f>IFERROR(HLOOKUP(AK2,id2_asset,asset!$A$39,FALSE),"-")</f>
        <v>-</v>
      </c>
      <c r="AL35" s="284" t="str">
        <f>IFERROR(HLOOKUP(AL2,id2_asset,asset!$A$39,FALSE),"-")</f>
        <v>-</v>
      </c>
      <c r="AM35" s="284" t="str">
        <f>IFERROR(HLOOKUP(AM2,id2_asset,asset!$A$39,FALSE),"-")</f>
        <v>-</v>
      </c>
      <c r="AN35" s="284" t="str">
        <f>IFERROR(HLOOKUP(AN2,id2_asset,asset!$A$39,FALSE),"-")</f>
        <v>-</v>
      </c>
      <c r="AO35" s="284" t="str">
        <f>IFERROR(HLOOKUP(AO2,id2_asset,asset!$A$39,FALSE),"-")</f>
        <v>-</v>
      </c>
      <c r="AP35" s="284" t="str">
        <f>IFERROR(HLOOKUP(AP2,id2_asset,asset!$A$39,FALSE),"-")</f>
        <v>-</v>
      </c>
      <c r="AQ35" s="284" t="str">
        <f>IFERROR(HLOOKUP(AQ2,id2_asset,asset!$A$39,FALSE),"-")</f>
        <v>-</v>
      </c>
      <c r="AR35" s="284" t="str">
        <f>IFERROR(HLOOKUP(AR2,id2_asset,asset!$A$39,FALSE),"-")</f>
        <v>-</v>
      </c>
      <c r="AS35" s="284" t="str">
        <f>IFERROR(HLOOKUP(AS2,id2_asset,asset!$A$39,FALSE),"-")</f>
        <v>-</v>
      </c>
      <c r="AT35" s="284" t="str">
        <f>IFERROR(HLOOKUP(AT2,id2_asset,asset!$A$39,FALSE),"-")</f>
        <v>-</v>
      </c>
      <c r="AU35" s="284" t="str">
        <f>IFERROR(HLOOKUP(AU2,id2_asset,asset!$A$39,FALSE),"-")</f>
        <v>-</v>
      </c>
      <c r="AV35" s="284" t="str">
        <f>IFERROR(HLOOKUP(AV2,id2_asset,asset!$A$39,FALSE),"-")</f>
        <v>-</v>
      </c>
      <c r="AW35" s="284" t="str">
        <f>IFERROR(HLOOKUP(AW2,id2_asset,asset!$A$39,FALSE),"-")</f>
        <v>-</v>
      </c>
      <c r="AX35" s="284" t="str">
        <f>IFERROR(HLOOKUP(AX2,id2_asset,asset!$A$39,FALSE),"-")</f>
        <v>-</v>
      </c>
      <c r="AY35" s="284" t="str">
        <f>IFERROR(HLOOKUP(AY2,id2_asset,asset!$A$39,FALSE),"-")</f>
        <v>-</v>
      </c>
      <c r="AZ35" s="284" t="str">
        <f>IFERROR(HLOOKUP(AZ2,id2_asset,asset!$A$39,FALSE),"-")</f>
        <v>-</v>
      </c>
      <c r="BA35" s="284" t="str">
        <f>IFERROR(HLOOKUP(BA2,id2_asset,asset!$A$39,FALSE),"-")</f>
        <v>-</v>
      </c>
    </row>
    <row r="36" spans="1:53">
      <c r="A36" s="277">
        <v>45</v>
      </c>
      <c r="B36" s="15" t="s">
        <v>1126</v>
      </c>
      <c r="C36" s="424">
        <f>asset!E38</f>
        <v>12786755</v>
      </c>
      <c r="D36" s="284">
        <f>IFERROR(HLOOKUP(D2,id2_asset,asset!$A$38,FALSE),"-")</f>
        <v>712666</v>
      </c>
      <c r="E36" s="284">
        <f>IFERROR(HLOOKUP(E2,id2_asset,asset!$A$38,FALSE),"-")</f>
        <v>1050252</v>
      </c>
      <c r="F36" s="284">
        <f>IFERROR(HLOOKUP(F2,id2_asset,asset!$A$38,FALSE),"-")</f>
        <v>1049552</v>
      </c>
      <c r="G36" s="284">
        <f>IFERROR(HLOOKUP(G2,id2_asset,asset!$A$38,FALSE),"-")</f>
        <v>328928</v>
      </c>
      <c r="H36" s="284">
        <f>IFERROR(HLOOKUP(H2,id2_asset,asset!$A$38,FALSE),"-")</f>
        <v>995627</v>
      </c>
      <c r="I36" s="284">
        <f>IFERROR(HLOOKUP(I2,id2_asset,asset!$A$38,FALSE),"-")</f>
        <v>970634</v>
      </c>
      <c r="J36" s="284">
        <f>IFERROR(HLOOKUP(J2,id2_asset,asset!$A$38,FALSE),"-")</f>
        <v>982474</v>
      </c>
      <c r="K36" s="284">
        <f>IFERROR(HLOOKUP(K2,id2_asset,asset!$A$38,FALSE),"-")</f>
        <v>437860</v>
      </c>
      <c r="L36" s="284">
        <f>IFERROR(HLOOKUP(L2,id2_asset,asset!$A$38,FALSE),"-")</f>
        <v>692442</v>
      </c>
      <c r="M36" s="284">
        <f>IFERROR(HLOOKUP(M2,id2_asset,asset!$A$38,FALSE),"-")</f>
        <v>1111644</v>
      </c>
      <c r="N36" s="284">
        <f>IFERROR(HLOOKUP(N2,id2_asset,asset!$A$38,FALSE),"-")</f>
        <v>1209934</v>
      </c>
      <c r="O36" s="284">
        <f>IFERROR(HLOOKUP(O2,id2_asset,asset!$A$38,FALSE),"-")</f>
        <v>324776</v>
      </c>
      <c r="P36" s="284">
        <f>IFERROR(HLOOKUP(P2,id2_asset,asset!$A$38,FALSE),"-")</f>
        <v>902892</v>
      </c>
      <c r="Q36" s="284">
        <f>IFERROR(HLOOKUP(Q2,id2_asset,asset!$A$38,FALSE),"-")</f>
        <v>738310</v>
      </c>
      <c r="R36" s="284">
        <f>IFERROR(HLOOKUP(R2,id2_asset,asset!$A$38,FALSE),"-")</f>
        <v>224843</v>
      </c>
      <c r="S36" s="284">
        <f>IFERROR(HLOOKUP(S2,id2_asset,asset!$A$38,FALSE),"-")</f>
        <v>294357</v>
      </c>
      <c r="T36" s="284">
        <f>IFERROR(HLOOKUP(T2,id2_asset,asset!$A$38,FALSE),"-")</f>
        <v>183001.75</v>
      </c>
      <c r="U36" s="284">
        <f>IFERROR(HLOOKUP(U2,id2_asset,asset!$A$38,FALSE),"-")</f>
        <v>80222.25</v>
      </c>
      <c r="V36" s="284">
        <f>IFERROR(HLOOKUP(V2,id2_asset,asset!$A$38,FALSE),"-")</f>
        <v>0</v>
      </c>
      <c r="W36" s="284">
        <f>IFERROR(HLOOKUP(W2,id2_asset,asset!$A$38,FALSE),"-")</f>
        <v>496340</v>
      </c>
      <c r="X36" s="284" t="str">
        <f>IFERROR(HLOOKUP(X2,id2_asset,asset!$A$38,FALSE),"-")</f>
        <v>-</v>
      </c>
      <c r="Y36" s="284" t="str">
        <f>IFERROR(HLOOKUP(Y2,id2_asset,asset!$A$38,FALSE),"-")</f>
        <v>-</v>
      </c>
      <c r="Z36" s="284" t="str">
        <f>IFERROR(HLOOKUP(Z2,id2_asset,asset!$A$38,FALSE),"-")</f>
        <v>-</v>
      </c>
      <c r="AA36" s="284" t="str">
        <f>IFERROR(HLOOKUP(AA2,id2_asset,asset!$A$38,FALSE),"-")</f>
        <v>-</v>
      </c>
      <c r="AB36" s="284" t="str">
        <f>IFERROR(HLOOKUP(AB2,id2_asset,asset!$A$38,FALSE),"-")</f>
        <v>-</v>
      </c>
      <c r="AC36" s="284" t="str">
        <f>IFERROR(HLOOKUP(AC2,id2_asset,asset!$A$38,FALSE),"-")</f>
        <v>-</v>
      </c>
      <c r="AD36" s="284" t="str">
        <f>IFERROR(HLOOKUP(AD2,id2_asset,asset!$A$38,FALSE),"-")</f>
        <v>-</v>
      </c>
      <c r="AE36" s="284" t="str">
        <f>IFERROR(HLOOKUP(AE2,id2_asset,asset!$A$38,FALSE),"-")</f>
        <v>-</v>
      </c>
      <c r="AF36" s="284" t="str">
        <f>IFERROR(HLOOKUP(AF2,id2_asset,asset!$A$38,FALSE),"-")</f>
        <v>-</v>
      </c>
      <c r="AG36" s="284" t="str">
        <f>IFERROR(HLOOKUP(AG2,id2_asset,asset!$A$38,FALSE),"-")</f>
        <v>-</v>
      </c>
      <c r="AH36" s="284" t="str">
        <f>IFERROR(HLOOKUP(AH2,id2_asset,asset!$A$38,FALSE),"-")</f>
        <v>-</v>
      </c>
      <c r="AI36" s="284" t="str">
        <f>IFERROR(HLOOKUP(AI2,id2_asset,asset!$A$38,FALSE),"-")</f>
        <v>-</v>
      </c>
      <c r="AJ36" s="284" t="str">
        <f>IFERROR(HLOOKUP(AJ2,id2_asset,asset!$A$38,FALSE),"-")</f>
        <v>-</v>
      </c>
      <c r="AK36" s="284" t="str">
        <f>IFERROR(HLOOKUP(AK2,id2_asset,asset!$A$38,FALSE),"-")</f>
        <v>-</v>
      </c>
      <c r="AL36" s="284" t="str">
        <f>IFERROR(HLOOKUP(AL2,id2_asset,asset!$A$38,FALSE),"-")</f>
        <v>-</v>
      </c>
      <c r="AM36" s="284" t="str">
        <f>IFERROR(HLOOKUP(AM2,id2_asset,asset!$A$38,FALSE),"-")</f>
        <v>-</v>
      </c>
      <c r="AN36" s="284" t="str">
        <f>IFERROR(HLOOKUP(AN2,id2_asset,asset!$A$38,FALSE),"-")</f>
        <v>-</v>
      </c>
      <c r="AO36" s="284" t="str">
        <f>IFERROR(HLOOKUP(AO2,id2_asset,asset!$A$38,FALSE),"-")</f>
        <v>-</v>
      </c>
      <c r="AP36" s="284" t="str">
        <f>IFERROR(HLOOKUP(AP2,id2_asset,asset!$A$38,FALSE),"-")</f>
        <v>-</v>
      </c>
      <c r="AQ36" s="284" t="str">
        <f>IFERROR(HLOOKUP(AQ2,id2_asset,asset!$A$38,FALSE),"-")</f>
        <v>-</v>
      </c>
      <c r="AR36" s="284" t="str">
        <f>IFERROR(HLOOKUP(AR2,id2_asset,asset!$A$38,FALSE),"-")</f>
        <v>-</v>
      </c>
      <c r="AS36" s="284" t="str">
        <f>IFERROR(HLOOKUP(AS2,id2_asset,asset!$A$38,FALSE),"-")</f>
        <v>-</v>
      </c>
      <c r="AT36" s="284" t="str">
        <f>IFERROR(HLOOKUP(AT2,id2_asset,asset!$A$38,FALSE),"-")</f>
        <v>-</v>
      </c>
      <c r="AU36" s="284" t="str">
        <f>IFERROR(HLOOKUP(AU2,id2_asset,asset!$A$38,FALSE),"-")</f>
        <v>-</v>
      </c>
      <c r="AV36" s="284" t="str">
        <f>IFERROR(HLOOKUP(AV2,id2_asset,asset!$A$38,FALSE),"-")</f>
        <v>-</v>
      </c>
      <c r="AW36" s="284" t="str">
        <f>IFERROR(HLOOKUP(AW2,id2_asset,asset!$A$38,FALSE),"-")</f>
        <v>-</v>
      </c>
      <c r="AX36" s="284" t="str">
        <f>IFERROR(HLOOKUP(AX2,id2_asset,asset!$A$38,FALSE),"-")</f>
        <v>-</v>
      </c>
      <c r="AY36" s="284" t="str">
        <f>IFERROR(HLOOKUP(AY2,id2_asset,asset!$A$38,FALSE),"-")</f>
        <v>-</v>
      </c>
      <c r="AZ36" s="284" t="str">
        <f>IFERROR(HLOOKUP(AZ2,id2_asset,asset!$A$38,FALSE),"-")</f>
        <v>-</v>
      </c>
      <c r="BA36" s="284" t="str">
        <f>IFERROR(HLOOKUP(BA2,id2_asset,asset!$A$38,FALSE),"-")</f>
        <v>-</v>
      </c>
    </row>
    <row r="37" spans="1:53">
      <c r="A37" s="277">
        <v>46</v>
      </c>
      <c r="B37" s="15" t="s">
        <v>1127</v>
      </c>
      <c r="C37" s="424">
        <f>asset!E37</f>
        <v>5011481</v>
      </c>
      <c r="D37" s="284">
        <f>IFERROR(HLOOKUP(D2,id2_asset,asset!$A$37,FALSE),"-")</f>
        <v>139065</v>
      </c>
      <c r="E37" s="284">
        <f>IFERROR(HLOOKUP(E2,id2_asset,asset!$A$37,FALSE),"-")</f>
        <v>674466</v>
      </c>
      <c r="F37" s="284">
        <f>IFERROR(HLOOKUP(F2,id2_asset,asset!$A$37,FALSE),"-")</f>
        <v>299492</v>
      </c>
      <c r="G37" s="284">
        <f>IFERROR(HLOOKUP(G2,id2_asset,asset!$A$37,FALSE),"-")</f>
        <v>58976</v>
      </c>
      <c r="H37" s="284">
        <f>IFERROR(HLOOKUP(H2,id2_asset,asset!$A$37,FALSE),"-")</f>
        <v>166971</v>
      </c>
      <c r="I37" s="284">
        <f>IFERROR(HLOOKUP(I2,id2_asset,asset!$A$37,FALSE),"-")</f>
        <v>241754</v>
      </c>
      <c r="J37" s="284">
        <f>IFERROR(HLOOKUP(J2,id2_asset,asset!$A$37,FALSE),"-")</f>
        <v>314688</v>
      </c>
      <c r="K37" s="284">
        <f>IFERROR(HLOOKUP(K2,id2_asset,asset!$A$37,FALSE),"-")</f>
        <v>183356</v>
      </c>
      <c r="L37" s="284">
        <f>IFERROR(HLOOKUP(L2,id2_asset,asset!$A$37,FALSE),"-")</f>
        <v>247247</v>
      </c>
      <c r="M37" s="284">
        <f>IFERROR(HLOOKUP(M2,id2_asset,asset!$A$37,FALSE),"-")</f>
        <v>398578</v>
      </c>
      <c r="N37" s="284">
        <f>IFERROR(HLOOKUP(N2,id2_asset,asset!$A$37,FALSE),"-")</f>
        <v>468878</v>
      </c>
      <c r="O37" s="284">
        <f>IFERROR(HLOOKUP(O2,id2_asset,asset!$A$37,FALSE),"-")</f>
        <v>180387</v>
      </c>
      <c r="P37" s="284">
        <f>IFERROR(HLOOKUP(P2,id2_asset,asset!$A$37,FALSE),"-")</f>
        <v>513702</v>
      </c>
      <c r="Q37" s="284">
        <f>IFERROR(HLOOKUP(Q2,id2_asset,asset!$A$37,FALSE),"-")</f>
        <v>406469</v>
      </c>
      <c r="R37" s="284">
        <f>IFERROR(HLOOKUP(R2,id2_asset,asset!$A$37,FALSE),"-")</f>
        <v>146653</v>
      </c>
      <c r="S37" s="284">
        <f>IFERROR(HLOOKUP(S2,id2_asset,asset!$A$37,FALSE),"-")</f>
        <v>191699</v>
      </c>
      <c r="T37" s="284">
        <f>IFERROR(HLOOKUP(T2,id2_asset,asset!$A$37,FALSE),"-")</f>
        <v>77167.75</v>
      </c>
      <c r="U37" s="284">
        <f>IFERROR(HLOOKUP(U2,id2_asset,asset!$A$37,FALSE),"-")</f>
        <v>37682.25</v>
      </c>
      <c r="V37" s="284">
        <f>IFERROR(HLOOKUP(V2,id2_asset,asset!$A$37,FALSE),"-")</f>
        <v>0</v>
      </c>
      <c r="W37" s="284">
        <f>IFERROR(HLOOKUP(W2,id2_asset,asset!$A$37,FALSE),"-")</f>
        <v>264250</v>
      </c>
      <c r="X37" s="284" t="str">
        <f>IFERROR(HLOOKUP(X2,id2_asset,asset!$A$37,FALSE),"-")</f>
        <v>-</v>
      </c>
      <c r="Y37" s="284" t="str">
        <f>IFERROR(HLOOKUP(Y2,id2_asset,asset!$A$37,FALSE),"-")</f>
        <v>-</v>
      </c>
      <c r="Z37" s="284" t="str">
        <f>IFERROR(HLOOKUP(Z2,id2_asset,asset!$A$37,FALSE),"-")</f>
        <v>-</v>
      </c>
      <c r="AA37" s="284" t="str">
        <f>IFERROR(HLOOKUP(AA2,id2_asset,asset!$A$37,FALSE),"-")</f>
        <v>-</v>
      </c>
      <c r="AB37" s="284" t="str">
        <f>IFERROR(HLOOKUP(AB2,id2_asset,asset!$A$37,FALSE),"-")</f>
        <v>-</v>
      </c>
      <c r="AC37" s="284" t="str">
        <f>IFERROR(HLOOKUP(AC2,id2_asset,asset!$A$37,FALSE),"-")</f>
        <v>-</v>
      </c>
      <c r="AD37" s="284" t="str">
        <f>IFERROR(HLOOKUP(AD2,id2_asset,asset!$A$37,FALSE),"-")</f>
        <v>-</v>
      </c>
      <c r="AE37" s="284" t="str">
        <f>IFERROR(HLOOKUP(AE2,id2_asset,asset!$A$37,FALSE),"-")</f>
        <v>-</v>
      </c>
      <c r="AF37" s="284" t="str">
        <f>IFERROR(HLOOKUP(AF2,id2_asset,asset!$A$37,FALSE),"-")</f>
        <v>-</v>
      </c>
      <c r="AG37" s="284" t="str">
        <f>IFERROR(HLOOKUP(AG2,id2_asset,asset!$A$37,FALSE),"-")</f>
        <v>-</v>
      </c>
      <c r="AH37" s="284" t="str">
        <f>IFERROR(HLOOKUP(AH2,id2_asset,asset!$A$37,FALSE),"-")</f>
        <v>-</v>
      </c>
      <c r="AI37" s="284" t="str">
        <f>IFERROR(HLOOKUP(AI2,id2_asset,asset!$A$37,FALSE),"-")</f>
        <v>-</v>
      </c>
      <c r="AJ37" s="284" t="str">
        <f>IFERROR(HLOOKUP(AJ2,id2_asset,asset!$A$37,FALSE),"-")</f>
        <v>-</v>
      </c>
      <c r="AK37" s="284" t="str">
        <f>IFERROR(HLOOKUP(AK2,id2_asset,asset!$A$37,FALSE),"-")</f>
        <v>-</v>
      </c>
      <c r="AL37" s="284" t="str">
        <f>IFERROR(HLOOKUP(AL2,id2_asset,asset!$A$37,FALSE),"-")</f>
        <v>-</v>
      </c>
      <c r="AM37" s="284" t="str">
        <f>IFERROR(HLOOKUP(AM2,id2_asset,asset!$A$37,FALSE),"-")</f>
        <v>-</v>
      </c>
      <c r="AN37" s="284" t="str">
        <f>IFERROR(HLOOKUP(AN2,id2_asset,asset!$A$37,FALSE),"-")</f>
        <v>-</v>
      </c>
      <c r="AO37" s="284" t="str">
        <f>IFERROR(HLOOKUP(AO2,id2_asset,asset!$A$37,FALSE),"-")</f>
        <v>-</v>
      </c>
      <c r="AP37" s="284" t="str">
        <f>IFERROR(HLOOKUP(AP2,id2_asset,asset!$A$37,FALSE),"-")</f>
        <v>-</v>
      </c>
      <c r="AQ37" s="284" t="str">
        <f>IFERROR(HLOOKUP(AQ2,id2_asset,asset!$A$37,FALSE),"-")</f>
        <v>-</v>
      </c>
      <c r="AR37" s="284" t="str">
        <f>IFERROR(HLOOKUP(AR2,id2_asset,asset!$A$37,FALSE),"-")</f>
        <v>-</v>
      </c>
      <c r="AS37" s="284" t="str">
        <f>IFERROR(HLOOKUP(AS2,id2_asset,asset!$A$37,FALSE),"-")</f>
        <v>-</v>
      </c>
      <c r="AT37" s="284" t="str">
        <f>IFERROR(HLOOKUP(AT2,id2_asset,asset!$A$37,FALSE),"-")</f>
        <v>-</v>
      </c>
      <c r="AU37" s="284" t="str">
        <f>IFERROR(HLOOKUP(AU2,id2_asset,asset!$A$37,FALSE),"-")</f>
        <v>-</v>
      </c>
      <c r="AV37" s="284" t="str">
        <f>IFERROR(HLOOKUP(AV2,id2_asset,asset!$A$37,FALSE),"-")</f>
        <v>-</v>
      </c>
      <c r="AW37" s="284" t="str">
        <f>IFERROR(HLOOKUP(AW2,id2_asset,asset!$A$37,FALSE),"-")</f>
        <v>-</v>
      </c>
      <c r="AX37" s="284" t="str">
        <f>IFERROR(HLOOKUP(AX2,id2_asset,asset!$A$37,FALSE),"-")</f>
        <v>-</v>
      </c>
      <c r="AY37" s="284" t="str">
        <f>IFERROR(HLOOKUP(AY2,id2_asset,asset!$A$37,FALSE),"-")</f>
        <v>-</v>
      </c>
      <c r="AZ37" s="284" t="str">
        <f>IFERROR(HLOOKUP(AZ2,id2_asset,asset!$A$37,FALSE),"-")</f>
        <v>-</v>
      </c>
      <c r="BA37" s="284" t="str">
        <f>IFERROR(HLOOKUP(BA2,id2_asset,asset!$A$37,FALSE),"-")</f>
        <v>-</v>
      </c>
    </row>
    <row r="38" spans="1:53">
      <c r="A38" s="293">
        <v>47</v>
      </c>
      <c r="B38" s="294" t="s">
        <v>1128</v>
      </c>
      <c r="C38" s="415"/>
      <c r="D38" s="295"/>
      <c r="E38" s="295"/>
      <c r="F38" s="295"/>
      <c r="G38" s="295"/>
      <c r="H38" s="295"/>
      <c r="I38" s="295"/>
      <c r="J38" s="295"/>
      <c r="K38" s="295"/>
      <c r="L38" s="295"/>
      <c r="M38" s="295"/>
      <c r="N38" s="295"/>
      <c r="O38" s="295"/>
      <c r="P38" s="295"/>
      <c r="Q38" s="295"/>
      <c r="R38" s="295"/>
      <c r="S38" s="295"/>
      <c r="T38" s="295"/>
      <c r="U38" s="295"/>
      <c r="V38" s="295"/>
      <c r="W38" s="295"/>
      <c r="X38" s="295"/>
      <c r="Y38" s="295"/>
      <c r="Z38" s="295"/>
      <c r="AA38" s="295"/>
      <c r="AB38" s="295"/>
      <c r="AC38" s="295"/>
      <c r="AD38" s="295"/>
      <c r="AE38" s="295"/>
      <c r="AF38" s="295"/>
      <c r="AG38" s="295"/>
      <c r="AH38" s="295"/>
      <c r="AI38" s="295"/>
      <c r="AJ38" s="295"/>
      <c r="AK38" s="295"/>
      <c r="AL38" s="295"/>
      <c r="AM38" s="295"/>
      <c r="AN38" s="295"/>
      <c r="AO38" s="295"/>
      <c r="AP38" s="295"/>
      <c r="AQ38" s="295"/>
      <c r="AR38" s="295"/>
      <c r="AS38" s="295"/>
      <c r="AT38" s="295"/>
      <c r="AU38" s="295"/>
      <c r="AV38" s="295"/>
      <c r="AW38" s="295"/>
      <c r="AX38" s="295"/>
      <c r="AY38" s="295"/>
      <c r="AZ38" s="295"/>
      <c r="BA38" s="295"/>
    </row>
    <row r="39" spans="1:53">
      <c r="A39" s="277">
        <v>48</v>
      </c>
      <c r="B39" s="15" t="s">
        <v>1129</v>
      </c>
      <c r="C39" s="428">
        <f>GETPIVOTDATA("17.満室想定税込(自動)",pivot!$AR$9)*12</f>
        <v>431327736</v>
      </c>
      <c r="D39" s="296">
        <f>IFERROR(GETPIVOTDATA("17.満室想定税込(自動)",pivot!$AR$9,"3.物件名",D1,"19.賃貸用","no"),0)*12+IFERROR(GETPIVOTDATA("17.満室想定税込(自動)",pivot!$AR$9,"3.物件名",D1,"19.賃貸用","yes"),0)*12</f>
        <v>22071600</v>
      </c>
      <c r="E39" s="296">
        <f>IFERROR(GETPIVOTDATA("17.満室想定税込(自動)",pivot!$AR$9,"3.物件名",E1,"19.賃貸用","no"),0)*12+IFERROR(GETPIVOTDATA("17.満室想定税込(自動)",pivot!$AR$9,"3.物件名",E1,"19.賃貸用","yes"),0)*12</f>
        <v>37176000</v>
      </c>
      <c r="F39" s="296">
        <f>IFERROR(GETPIVOTDATA("17.満室想定税込(自動)",pivot!$AR$9,"3.物件名",F1,"19.賃貸用","no"),0)*12+IFERROR(GETPIVOTDATA("17.満室想定税込(自動)",pivot!$AR$9,"3.物件名",F1,"19.賃貸用","yes"),0)*12</f>
        <v>36566136</v>
      </c>
      <c r="G39" s="296">
        <f>IFERROR(GETPIVOTDATA("17.満室想定税込(自動)",pivot!$AR$9,"3.物件名",G1,"19.賃貸用","no"),0)*12+IFERROR(GETPIVOTDATA("17.満室想定税込(自動)",pivot!$AR$9,"3.物件名",G1,"19.賃貸用","yes"),0)*12</f>
        <v>9076800</v>
      </c>
      <c r="H39" s="296">
        <f>IFERROR(GETPIVOTDATA("17.満室想定税込(自動)",pivot!$AR$9,"3.物件名",H1,"19.賃貸用","no"),0)*12+IFERROR(GETPIVOTDATA("17.満室想定税込(自動)",pivot!$AR$9,"3.物件名",H1,"19.賃貸用","yes"),0)*12</f>
        <v>33612312</v>
      </c>
      <c r="I39" s="296">
        <f>IFERROR(GETPIVOTDATA("17.満室想定税込(自動)",pivot!$AR$9,"3.物件名",I1,"19.賃貸用","no"),0)*12+IFERROR(GETPIVOTDATA("17.満室想定税込(自動)",pivot!$AR$9,"3.物件名",I1,"19.賃貸用","yes"),0)*12</f>
        <v>37166400</v>
      </c>
      <c r="J39" s="296">
        <f>IFERROR(GETPIVOTDATA("17.満室想定税込(自動)",pivot!$AR$9,"3.物件名",J1,"19.賃貸用","no"),0)*12+IFERROR(GETPIVOTDATA("17.満室想定税込(自動)",pivot!$AR$9,"3.物件名",J1,"19.賃貸用","yes"),0)*12</f>
        <v>29744400</v>
      </c>
      <c r="K39" s="296">
        <f>IFERROR(GETPIVOTDATA("17.満室想定税込(自動)",pivot!$AR$9,"3.物件名",K1,"19.賃貸用","no"),0)*12+IFERROR(GETPIVOTDATA("17.満室想定税込(自動)",pivot!$AR$9,"3.物件名",K1,"19.賃貸用","yes"),0)*12</f>
        <v>18414132</v>
      </c>
      <c r="L39" s="296">
        <f>IFERROR(GETPIVOTDATA("17.満室想定税込(自動)",pivot!$AR$9,"3.物件名",L1,"19.賃貸用","no"),0)*12+IFERROR(GETPIVOTDATA("17.満室想定税込(自動)",pivot!$AR$9,"3.物件名",L1,"19.賃貸用","yes"),0)*12</f>
        <v>22468488</v>
      </c>
      <c r="M39" s="296">
        <f>IFERROR(GETPIVOTDATA("17.満室想定税込(自動)",pivot!$AR$9,"3.物件名",M1,"19.賃貸用","no"),0)*12+IFERROR(GETPIVOTDATA("17.満室想定税込(自動)",pivot!$AR$9,"3.物件名",M1,"19.賃貸用","yes"),0)*12</f>
        <v>30360000</v>
      </c>
      <c r="N39" s="296">
        <f>IFERROR(GETPIVOTDATA("17.満室想定税込(自動)",pivot!$AR$9,"3.物件名",N1,"19.賃貸用","no"),0)*12+IFERROR(GETPIVOTDATA("17.満室想定税込(自動)",pivot!$AR$9,"3.物件名",N1,"19.賃貸用","yes"),0)*12</f>
        <v>36072000</v>
      </c>
      <c r="O39" s="296">
        <f>IFERROR(GETPIVOTDATA("17.満室想定税込(自動)",pivot!$AR$9,"3.物件名",O1,"19.賃貸用","no"),0)*12+IFERROR(GETPIVOTDATA("17.満室想定税込(自動)",pivot!$AR$9,"3.物件名",O1,"19.賃貸用","yes"),0)*12</f>
        <v>15532980</v>
      </c>
      <c r="P39" s="296">
        <f>IFERROR(GETPIVOTDATA("17.満室想定税込(自動)",pivot!$AR$9,"3.物件名",P1,"19.賃貸用","no"),0)*12+IFERROR(GETPIVOTDATA("17.満室想定税込(自動)",pivot!$AR$9,"3.物件名",P1,"19.賃貸用","yes"),0)*12</f>
        <v>42873288</v>
      </c>
      <c r="Q39" s="296">
        <f>IFERROR(GETPIVOTDATA("17.満室想定税込(自動)",pivot!$AR$9,"3.物件名",Q1,"19.賃貸用","no"),0)*12+IFERROR(GETPIVOTDATA("17.満室想定税込(自動)",pivot!$AR$9,"3.物件名",Q1,"19.賃貸用","yes"),0)*12</f>
        <v>29613600</v>
      </c>
      <c r="R39" s="296">
        <f>IFERROR(GETPIVOTDATA("17.満室想定税込(自動)",pivot!$AR$9,"3.物件名",R1,"19.賃貸用","no"),0)*12+IFERROR(GETPIVOTDATA("17.満室想定税込(自動)",pivot!$AR$9,"3.物件名",R1,"19.賃貸用","yes"),0)*12</f>
        <v>10323600</v>
      </c>
      <c r="S39" s="296">
        <f>IFERROR(GETPIVOTDATA("17.満室想定税込(自動)",pivot!$AR$9,"3.物件名",S1,"19.賃貸用","no"),0)*12+IFERROR(GETPIVOTDATA("17.満室想定税込(自動)",pivot!$AR$9,"3.物件名",S1,"19.賃貸用","yes"),0)*12</f>
        <v>10416000</v>
      </c>
      <c r="T39" s="296">
        <f>IFERROR(GETPIVOTDATA("17.満室想定税込(自動)",pivot!$AR$9,"3.物件名",T1,"19.賃貸用","no"),0)*12+IFERROR(GETPIVOTDATA("17.満室想定税込(自動)",pivot!$AR$9,"3.物件名",T1,"19.賃貸用","yes"),0)*12</f>
        <v>3960000</v>
      </c>
      <c r="U39" s="296">
        <f>IFERROR(GETPIVOTDATA("17.満室想定税込(自動)",pivot!$AR$9,"3.物件名",U1,"19.賃貸用","no"),0)*12+IFERROR(GETPIVOTDATA("17.満室想定税込(自動)",pivot!$AR$9,"3.物件名",U1,"19.賃貸用","yes"),0)*12</f>
        <v>1920000</v>
      </c>
      <c r="V39" s="296">
        <f>IFERROR(GETPIVOTDATA("17.満室想定税込(自動)",pivot!$AR$9,"3.物件名",V1,"19.賃貸用","no"),0)*12+IFERROR(GETPIVOTDATA("17.満室想定税込(自動)",pivot!$AR$9,"3.物件名",V1,"19.賃貸用","yes"),0)*12</f>
        <v>420000</v>
      </c>
      <c r="W39" s="296">
        <f>IFERROR(GETPIVOTDATA("17.満室想定税込(自動)",pivot!$AR$9,"3.物件名",W1,"19.賃貸用","no"),0)*12+IFERROR(GETPIVOTDATA("17.満室想定税込(自動)",pivot!$AR$9,"3.物件名",W1,"19.賃貸用","yes"),0)*12</f>
        <v>3540000</v>
      </c>
      <c r="X39" s="296">
        <f>IFERROR(GETPIVOTDATA("17.満室想定税込(自動)",pivot!$AR$9,"3.物件名",X1,"19.賃貸用","no"),0)*12+IFERROR(GETPIVOTDATA("17.満室想定税込(自動)",pivot!$AR$9,"3.物件名",X1,"19.賃貸用","yes"),0)*12</f>
        <v>0</v>
      </c>
      <c r="Y39" s="296">
        <f>IFERROR(GETPIVOTDATA("17.満室想定税込(自動)",pivot!$AR$9,"3.物件名",Y1,"19.賃貸用","no"),0)*12+IFERROR(GETPIVOTDATA("17.満室想定税込(自動)",pivot!$AR$9,"3.物件名",Y1,"19.賃貸用","yes"),0)*12</f>
        <v>0</v>
      </c>
      <c r="Z39" s="296">
        <f>IFERROR(GETPIVOTDATA("17.満室想定税込(自動)",pivot!$AR$9,"3.物件名",Z1,"19.賃貸用","no"),0)*12+IFERROR(GETPIVOTDATA("17.満室想定税込(自動)",pivot!$AR$9,"3.物件名",Z1,"19.賃貸用","yes"),0)*12</f>
        <v>0</v>
      </c>
      <c r="AA39" s="296">
        <f>IFERROR(GETPIVOTDATA("17.満室想定税込(自動)",pivot!$AR$9,"3.物件名",AA1,"19.賃貸用","no"),0)*12+IFERROR(GETPIVOTDATA("17.満室想定税込(自動)",pivot!$AR$9,"3.物件名",AA1,"19.賃貸用","yes"),0)*12</f>
        <v>0</v>
      </c>
      <c r="AB39" s="296">
        <f>IFERROR(GETPIVOTDATA("17.満室想定税込(自動)",pivot!$AR$9,"3.物件名",AB1,"19.賃貸用","no"),0)*12+IFERROR(GETPIVOTDATA("17.満室想定税込(自動)",pivot!$AR$9,"3.物件名",AB1,"19.賃貸用","yes"),0)*12</f>
        <v>0</v>
      </c>
      <c r="AC39" s="296">
        <f>IFERROR(GETPIVOTDATA("17.満室想定税込(自動)",pivot!$AR$9,"3.物件名",AC1,"19.賃貸用","no"),0)*12+IFERROR(GETPIVOTDATA("17.満室想定税込(自動)",pivot!$AR$9,"3.物件名",AC1,"19.賃貸用","yes"),0)*12</f>
        <v>0</v>
      </c>
      <c r="AD39" s="296">
        <f>IFERROR(GETPIVOTDATA("17.満室想定税込(自動)",pivot!$AR$9,"3.物件名",AD1,"19.賃貸用","no"),0)*12+IFERROR(GETPIVOTDATA("17.満室想定税込(自動)",pivot!$AR$9,"3.物件名",AD1,"19.賃貸用","yes"),0)*12</f>
        <v>0</v>
      </c>
      <c r="AE39" s="296">
        <f>IFERROR(GETPIVOTDATA("17.満室想定税込(自動)",pivot!$AR$9,"3.物件名",AE1,"19.賃貸用","no"),0)*12+IFERROR(GETPIVOTDATA("17.満室想定税込(自動)",pivot!$AR$9,"3.物件名",AE1,"19.賃貸用","yes"),0)*12</f>
        <v>0</v>
      </c>
      <c r="AF39" s="296">
        <f>IFERROR(GETPIVOTDATA("17.満室想定税込(自動)",pivot!$AR$9,"3.物件名",AF1,"19.賃貸用","no"),0)*12+IFERROR(GETPIVOTDATA("17.満室想定税込(自動)",pivot!$AR$9,"3.物件名",AF1,"19.賃貸用","yes"),0)*12</f>
        <v>0</v>
      </c>
      <c r="AG39" s="296">
        <f>IFERROR(GETPIVOTDATA("17.満室想定税込(自動)",pivot!$AR$9,"3.物件名",AG1,"19.賃貸用","no"),0)*12+IFERROR(GETPIVOTDATA("17.満室想定税込(自動)",pivot!$AR$9,"3.物件名",AG1,"19.賃貸用","yes"),0)*12</f>
        <v>0</v>
      </c>
      <c r="AH39" s="296">
        <f>IFERROR(GETPIVOTDATA("17.満室想定税込(自動)",pivot!$AR$9,"3.物件名",AH1,"19.賃貸用","no"),0)*12+IFERROR(GETPIVOTDATA("17.満室想定税込(自動)",pivot!$AR$9,"3.物件名",AH1,"19.賃貸用","yes"),0)*12</f>
        <v>0</v>
      </c>
      <c r="AI39" s="296">
        <f>IFERROR(GETPIVOTDATA("17.満室想定税込(自動)",pivot!$AR$9,"3.物件名",AI1,"19.賃貸用","no"),0)*12+IFERROR(GETPIVOTDATA("17.満室想定税込(自動)",pivot!$AR$9,"3.物件名",AI1,"19.賃貸用","yes"),0)*12</f>
        <v>0</v>
      </c>
      <c r="AJ39" s="296">
        <f>IFERROR(GETPIVOTDATA("17.満室想定税込(自動)",pivot!$AR$9,"3.物件名",AJ1,"19.賃貸用","no"),0)*12+IFERROR(GETPIVOTDATA("17.満室想定税込(自動)",pivot!$AR$9,"3.物件名",AJ1,"19.賃貸用","yes"),0)*12</f>
        <v>0</v>
      </c>
      <c r="AK39" s="296">
        <f>IFERROR(GETPIVOTDATA("17.満室想定税込(自動)",pivot!$AR$9,"3.物件名",AK1,"19.賃貸用","no"),0)*12+IFERROR(GETPIVOTDATA("17.満室想定税込(自動)",pivot!$AR$9,"3.物件名",AK1,"19.賃貸用","yes"),0)*12</f>
        <v>0</v>
      </c>
      <c r="AL39" s="296">
        <f>IFERROR(GETPIVOTDATA("17.満室想定税込(自動)",pivot!$AR$9,"3.物件名",AL1,"19.賃貸用","no"),0)*12+IFERROR(GETPIVOTDATA("17.満室想定税込(自動)",pivot!$AR$9,"3.物件名",AL1,"19.賃貸用","yes"),0)*12</f>
        <v>0</v>
      </c>
      <c r="AM39" s="296">
        <f>IFERROR(GETPIVOTDATA("17.満室想定税込(自動)",pivot!$AR$9,"3.物件名",AM1,"19.賃貸用","no"),0)*12+IFERROR(GETPIVOTDATA("17.満室想定税込(自動)",pivot!$AR$9,"3.物件名",AM1,"19.賃貸用","yes"),0)*12</f>
        <v>0</v>
      </c>
      <c r="AN39" s="296">
        <f>IFERROR(GETPIVOTDATA("17.満室想定税込(自動)",pivot!$AR$9,"3.物件名",AN1,"19.賃貸用","no"),0)*12+IFERROR(GETPIVOTDATA("17.満室想定税込(自動)",pivot!$AR$9,"3.物件名",AN1,"19.賃貸用","yes"),0)*12</f>
        <v>0</v>
      </c>
      <c r="AO39" s="296">
        <f>IFERROR(GETPIVOTDATA("17.満室想定税込(自動)",pivot!$AR$9,"3.物件名",AO1,"19.賃貸用","no"),0)*12+IFERROR(GETPIVOTDATA("17.満室想定税込(自動)",pivot!$AR$9,"3.物件名",AO1,"19.賃貸用","yes"),0)*12</f>
        <v>0</v>
      </c>
      <c r="AP39" s="296">
        <f>IFERROR(GETPIVOTDATA("17.満室想定税込(自動)",pivot!$AR$9,"3.物件名",AP1,"19.賃貸用","no"),0)*12+IFERROR(GETPIVOTDATA("17.満室想定税込(自動)",pivot!$AR$9,"3.物件名",AP1,"19.賃貸用","yes"),0)*12</f>
        <v>0</v>
      </c>
      <c r="AQ39" s="296">
        <f>IFERROR(GETPIVOTDATA("17.満室想定税込(自動)",pivot!$AR$9,"3.物件名",AQ1,"19.賃貸用","no"),0)*12+IFERROR(GETPIVOTDATA("17.満室想定税込(自動)",pivot!$AR$9,"3.物件名",AQ1,"19.賃貸用","yes"),0)*12</f>
        <v>0</v>
      </c>
      <c r="AR39" s="296">
        <f>IFERROR(GETPIVOTDATA("17.満室想定税込(自動)",pivot!$AR$9,"3.物件名",AR1,"19.賃貸用","no"),0)*12+IFERROR(GETPIVOTDATA("17.満室想定税込(自動)",pivot!$AR$9,"3.物件名",AR1,"19.賃貸用","yes"),0)*12</f>
        <v>0</v>
      </c>
      <c r="AS39" s="296">
        <f>IFERROR(GETPIVOTDATA("17.満室想定税込(自動)",pivot!$AR$9,"3.物件名",AS1,"19.賃貸用","no"),0)*12+IFERROR(GETPIVOTDATA("17.満室想定税込(自動)",pivot!$AR$9,"3.物件名",AS1,"19.賃貸用","yes"),0)*12</f>
        <v>0</v>
      </c>
      <c r="AT39" s="296">
        <f>IFERROR(GETPIVOTDATA("17.満室想定税込(自動)",pivot!$AR$9,"3.物件名",AT1,"19.賃貸用","no"),0)*12+IFERROR(GETPIVOTDATA("17.満室想定税込(自動)",pivot!$AR$9,"3.物件名",AT1,"19.賃貸用","yes"),0)*12</f>
        <v>0</v>
      </c>
      <c r="AU39" s="296">
        <f>IFERROR(GETPIVOTDATA("17.満室想定税込(自動)",pivot!$AR$9,"3.物件名",AU1,"19.賃貸用","no"),0)*12+IFERROR(GETPIVOTDATA("17.満室想定税込(自動)",pivot!$AR$9,"3.物件名",AU1,"19.賃貸用","yes"),0)*12</f>
        <v>0</v>
      </c>
      <c r="AV39" s="296">
        <f>IFERROR(GETPIVOTDATA("17.満室想定税込(自動)",pivot!$AR$9,"3.物件名",AV1,"19.賃貸用","no"),0)*12+IFERROR(GETPIVOTDATA("17.満室想定税込(自動)",pivot!$AR$9,"3.物件名",AV1,"19.賃貸用","yes"),0)*12</f>
        <v>0</v>
      </c>
      <c r="AW39" s="296">
        <f>IFERROR(GETPIVOTDATA("17.満室想定税込(自動)",pivot!$AR$9,"3.物件名",AW1,"19.賃貸用","no"),0)*12+IFERROR(GETPIVOTDATA("17.満室想定税込(自動)",pivot!$AR$9,"3.物件名",AW1,"19.賃貸用","yes"),0)*12</f>
        <v>0</v>
      </c>
      <c r="AX39" s="296">
        <f>IFERROR(GETPIVOTDATA("17.満室想定税込(自動)",pivot!$AR$9,"3.物件名",AX1,"19.賃貸用","no"),0)*12+IFERROR(GETPIVOTDATA("17.満室想定税込(自動)",pivot!$AR$9,"3.物件名",AX1,"19.賃貸用","yes"),0)*12</f>
        <v>0</v>
      </c>
      <c r="AY39" s="296">
        <f>IFERROR(GETPIVOTDATA("17.満室想定税込(自動)",pivot!$AR$9,"3.物件名",AY1,"19.賃貸用","no"),0)*12+IFERROR(GETPIVOTDATA("17.満室想定税込(自動)",pivot!$AR$9,"3.物件名",AY1,"19.賃貸用","yes"),0)*12</f>
        <v>0</v>
      </c>
      <c r="AZ39" s="296">
        <f>IFERROR(GETPIVOTDATA("17.満室想定税込(自動)",pivot!$AR$9,"3.物件名",AZ1,"19.賃貸用","no"),0)*12+IFERROR(GETPIVOTDATA("17.満室想定税込(自動)",pivot!$AR$9,"3.物件名",AZ1,"19.賃貸用","yes"),0)*12</f>
        <v>0</v>
      </c>
      <c r="BA39" s="296">
        <f>IFERROR(GETPIVOTDATA("17.満室想定税込(自動)",pivot!$AR$9,"3.物件名",BA1,"19.賃貸用","no"),0)*12+IFERROR(GETPIVOTDATA("17.満室想定税込(自動)",pivot!$AR$9,"3.物件名",BA1,"19.賃貸用","yes"),0)*12</f>
        <v>0</v>
      </c>
    </row>
    <row r="40" spans="1:53">
      <c r="A40" s="277">
        <v>49</v>
      </c>
      <c r="B40" s="15" t="s">
        <v>1130</v>
      </c>
      <c r="C40" s="428">
        <f>IFERROR(GETPIVOTDATA("17.満室想定税込(自動)",pivot!$AR$9,"19.賃貸用","no"),0)*12</f>
        <v>3540000</v>
      </c>
      <c r="D40" s="296">
        <f>IFERROR(GETPIVOTDATA("17.満室想定税込(自動)",pivot!$AR$9,"3.物件名",D1,"19.賃貸用","no"),0)*12</f>
        <v>0</v>
      </c>
      <c r="E40" s="296">
        <f>IFERROR(GETPIVOTDATA("17.満室想定税込(自動)",pivot!$AR$9,"3.物件名",E1,"19.賃貸用","no"),0)*12</f>
        <v>0</v>
      </c>
      <c r="F40" s="296">
        <f>IFERROR(GETPIVOTDATA("17.満室想定税込(自動)",pivot!$AR$9,"3.物件名",F1,"19.賃貸用","no"),0)*12</f>
        <v>0</v>
      </c>
      <c r="G40" s="296">
        <f>IFERROR(GETPIVOTDATA("17.満室想定税込(自動)",pivot!$AR$9,"3.物件名",G1,"19.賃貸用","no"),0)*12</f>
        <v>0</v>
      </c>
      <c r="H40" s="296">
        <f>IFERROR(GETPIVOTDATA("17.満室想定税込(自動)",pivot!$AR$9,"3.物件名",H1,"19.賃貸用","no"),0)*12</f>
        <v>0</v>
      </c>
      <c r="I40" s="296">
        <f>IFERROR(GETPIVOTDATA("17.満室想定税込(自動)",pivot!$AR$9,"3.物件名",I1,"19.賃貸用","no"),0)*12</f>
        <v>0</v>
      </c>
      <c r="J40" s="296">
        <f>IFERROR(GETPIVOTDATA("17.満室想定税込(自動)",pivot!$AR$9,"3.物件名",J1,"19.賃貸用","no"),0)*12</f>
        <v>0</v>
      </c>
      <c r="K40" s="296">
        <f>IFERROR(GETPIVOTDATA("17.満室想定税込(自動)",pivot!$AR$9,"3.物件名",K1,"19.賃貸用","no"),0)*12</f>
        <v>0</v>
      </c>
      <c r="L40" s="296">
        <f>IFERROR(GETPIVOTDATA("17.満室想定税込(自動)",pivot!$AR$9,"3.物件名",L1,"19.賃貸用","no"),0)*12</f>
        <v>0</v>
      </c>
      <c r="M40" s="296">
        <f>IFERROR(GETPIVOTDATA("17.満室想定税込(自動)",pivot!$AR$9,"3.物件名",M1,"19.賃貸用","no"),0)*12</f>
        <v>0</v>
      </c>
      <c r="N40" s="296">
        <f>IFERROR(GETPIVOTDATA("17.満室想定税込(自動)",pivot!$AR$9,"3.物件名",N1,"19.賃貸用","no"),0)*12</f>
        <v>0</v>
      </c>
      <c r="O40" s="296">
        <f>IFERROR(GETPIVOTDATA("17.満室想定税込(自動)",pivot!$AR$9,"3.物件名",O1,"19.賃貸用","no"),0)*12</f>
        <v>0</v>
      </c>
      <c r="P40" s="296">
        <f>IFERROR(GETPIVOTDATA("17.満室想定税込(自動)",pivot!$AR$9,"3.物件名",P1,"19.賃貸用","no"),0)*12</f>
        <v>0</v>
      </c>
      <c r="Q40" s="296">
        <f>IFERROR(GETPIVOTDATA("17.満室想定税込(自動)",pivot!$AR$9,"3.物件名",Q1,"19.賃貸用","no"),0)*12</f>
        <v>0</v>
      </c>
      <c r="R40" s="296">
        <f>IFERROR(GETPIVOTDATA("17.満室想定税込(自動)",pivot!$AR$9,"3.物件名",R1,"19.賃貸用","no"),0)*12</f>
        <v>0</v>
      </c>
      <c r="S40" s="296">
        <f>IFERROR(GETPIVOTDATA("17.満室想定税込(自動)",pivot!$AR$9,"3.物件名",S1,"19.賃貸用","no"),0)*12</f>
        <v>0</v>
      </c>
      <c r="T40" s="296">
        <f>IFERROR(GETPIVOTDATA("17.満室想定税込(自動)",pivot!$AR$9,"3.物件名",T1,"19.賃貸用","no"),0)*12</f>
        <v>0</v>
      </c>
      <c r="U40" s="296">
        <f>IFERROR(GETPIVOTDATA("17.満室想定税込(自動)",pivot!$AR$9,"3.物件名",U1,"19.賃貸用","no"),0)*12</f>
        <v>0</v>
      </c>
      <c r="V40" s="296">
        <f>IFERROR(GETPIVOTDATA("17.満室想定税込(自動)",pivot!$AR$9,"3.物件名",V1,"19.賃貸用","no"),0)*12</f>
        <v>0</v>
      </c>
      <c r="W40" s="296">
        <f>IFERROR(GETPIVOTDATA("17.満室想定税込(自動)",pivot!$AR$9,"3.物件名",W1,"19.賃貸用","no"),0)*12</f>
        <v>3540000</v>
      </c>
      <c r="X40" s="296">
        <f>IFERROR(GETPIVOTDATA("17.満室想定税込(自動)",pivot!$AR$9,"3.物件名",X1,"19.賃貸用","no"),0)*12</f>
        <v>0</v>
      </c>
      <c r="Y40" s="296">
        <f>IFERROR(GETPIVOTDATA("17.満室想定税込(自動)",pivot!$AR$9,"3.物件名",Y1,"19.賃貸用","no"),0)*12</f>
        <v>0</v>
      </c>
      <c r="Z40" s="296">
        <f>IFERROR(GETPIVOTDATA("17.満室想定税込(自動)",pivot!$AR$9,"3.物件名",Z1,"19.賃貸用","no"),0)*12</f>
        <v>0</v>
      </c>
      <c r="AA40" s="296">
        <f>IFERROR(GETPIVOTDATA("17.満室想定税込(自動)",pivot!$AR$9,"3.物件名",AA1,"19.賃貸用","no"),0)*12</f>
        <v>0</v>
      </c>
      <c r="AB40" s="296">
        <f>IFERROR(GETPIVOTDATA("17.満室想定税込(自動)",pivot!$AR$9,"3.物件名",AB1,"19.賃貸用","no"),0)*12</f>
        <v>0</v>
      </c>
      <c r="AC40" s="296">
        <f>IFERROR(GETPIVOTDATA("17.満室想定税込(自動)",pivot!$AR$9,"3.物件名",AC1,"19.賃貸用","no"),0)*12</f>
        <v>0</v>
      </c>
      <c r="AD40" s="296">
        <f>IFERROR(GETPIVOTDATA("17.満室想定税込(自動)",pivot!$AR$9,"3.物件名",AD1,"19.賃貸用","no"),0)*12</f>
        <v>0</v>
      </c>
      <c r="AE40" s="296">
        <f>IFERROR(GETPIVOTDATA("17.満室想定税込(自動)",pivot!$AR$9,"3.物件名",AE1,"19.賃貸用","no"),0)*12</f>
        <v>0</v>
      </c>
      <c r="AF40" s="296">
        <f>IFERROR(GETPIVOTDATA("17.満室想定税込(自動)",pivot!$AR$9,"3.物件名",AF1,"19.賃貸用","no"),0)*12</f>
        <v>0</v>
      </c>
      <c r="AG40" s="296">
        <f>IFERROR(GETPIVOTDATA("17.満室想定税込(自動)",pivot!$AR$9,"3.物件名",AG1,"19.賃貸用","no"),0)*12</f>
        <v>0</v>
      </c>
      <c r="AH40" s="296">
        <f>IFERROR(GETPIVOTDATA("17.満室想定税込(自動)",pivot!$AR$9,"3.物件名",AH1,"19.賃貸用","no"),0)*12</f>
        <v>0</v>
      </c>
      <c r="AI40" s="296">
        <f>IFERROR(GETPIVOTDATA("17.満室想定税込(自動)",pivot!$AR$9,"3.物件名",AI1,"19.賃貸用","no"),0)*12</f>
        <v>0</v>
      </c>
      <c r="AJ40" s="296">
        <f>IFERROR(GETPIVOTDATA("17.満室想定税込(自動)",pivot!$AR$9,"3.物件名",AJ1,"19.賃貸用","no"),0)*12</f>
        <v>0</v>
      </c>
      <c r="AK40" s="296">
        <f>IFERROR(GETPIVOTDATA("17.満室想定税込(自動)",pivot!$AR$9,"3.物件名",AK1,"19.賃貸用","no"),0)*12</f>
        <v>0</v>
      </c>
      <c r="AL40" s="296">
        <f>IFERROR(GETPIVOTDATA("17.満室想定税込(自動)",pivot!$AR$9,"3.物件名",AL1,"19.賃貸用","no"),0)*12</f>
        <v>0</v>
      </c>
      <c r="AM40" s="296">
        <f>IFERROR(GETPIVOTDATA("17.満室想定税込(自動)",pivot!$AR$9,"3.物件名",AM1,"19.賃貸用","no"),0)*12</f>
        <v>0</v>
      </c>
      <c r="AN40" s="296">
        <f>IFERROR(GETPIVOTDATA("17.満室想定税込(自動)",pivot!$AR$9,"3.物件名",AN1,"19.賃貸用","no"),0)*12</f>
        <v>0</v>
      </c>
      <c r="AO40" s="296">
        <f>IFERROR(GETPIVOTDATA("17.満室想定税込(自動)",pivot!$AR$9,"3.物件名",AO1,"19.賃貸用","no"),0)*12</f>
        <v>0</v>
      </c>
      <c r="AP40" s="296">
        <f>IFERROR(GETPIVOTDATA("17.満室想定税込(自動)",pivot!$AR$9,"3.物件名",AP1,"19.賃貸用","no"),0)*12</f>
        <v>0</v>
      </c>
      <c r="AQ40" s="296">
        <f>IFERROR(GETPIVOTDATA("17.満室想定税込(自動)",pivot!$AR$9,"3.物件名",AQ1,"19.賃貸用","no"),0)*12</f>
        <v>0</v>
      </c>
      <c r="AR40" s="296">
        <f>IFERROR(GETPIVOTDATA("17.満室想定税込(自動)",pivot!$AR$9,"3.物件名",AR1,"19.賃貸用","no"),0)*12</f>
        <v>0</v>
      </c>
      <c r="AS40" s="296">
        <f>IFERROR(GETPIVOTDATA("17.満室想定税込(自動)",pivot!$AR$9,"3.物件名",AS1,"19.賃貸用","no"),0)*12</f>
        <v>0</v>
      </c>
      <c r="AT40" s="296">
        <f>IFERROR(GETPIVOTDATA("17.満室想定税込(自動)",pivot!$AR$9,"3.物件名",AT1,"19.賃貸用","no"),0)*12</f>
        <v>0</v>
      </c>
      <c r="AU40" s="296">
        <f>IFERROR(GETPIVOTDATA("17.満室想定税込(自動)",pivot!$AR$9,"3.物件名",AU1,"19.賃貸用","no"),0)*12</f>
        <v>0</v>
      </c>
      <c r="AV40" s="296">
        <f>IFERROR(GETPIVOTDATA("17.満室想定税込(自動)",pivot!$AR$9,"3.物件名",AV1,"19.賃貸用","no"),0)*12</f>
        <v>0</v>
      </c>
      <c r="AW40" s="296">
        <f>IFERROR(GETPIVOTDATA("17.満室想定税込(自動)",pivot!$AR$9,"3.物件名",AW1,"19.賃貸用","no"),0)*12</f>
        <v>0</v>
      </c>
      <c r="AX40" s="296">
        <f>IFERROR(GETPIVOTDATA("17.満室想定税込(自動)",pivot!$AR$9,"3.物件名",AX1,"19.賃貸用","no"),0)*12</f>
        <v>0</v>
      </c>
      <c r="AY40" s="296">
        <f>IFERROR(GETPIVOTDATA("17.満室想定税込(自動)",pivot!$AR$9,"3.物件名",AY1,"19.賃貸用","no"),0)*12</f>
        <v>0</v>
      </c>
      <c r="AZ40" s="296">
        <f>IFERROR(GETPIVOTDATA("17.満室想定税込(自動)",pivot!$AR$9,"3.物件名",AZ1,"19.賃貸用","no"),0)*12</f>
        <v>0</v>
      </c>
      <c r="BA40" s="296">
        <f>IFERROR(GETPIVOTDATA("17.満室想定税込(自動)",pivot!$AR$9,"3.物件名",BA1,"19.賃貸用","no"),0)*12</f>
        <v>0</v>
      </c>
    </row>
    <row r="41" spans="1:53">
      <c r="A41" s="277">
        <v>50</v>
      </c>
      <c r="B41" s="15" t="s">
        <v>1131</v>
      </c>
      <c r="C41" s="428">
        <f t="shared" ref="C41:W41" si="17">C39-C40</f>
        <v>427787736</v>
      </c>
      <c r="D41" s="296">
        <f t="shared" si="17"/>
        <v>22071600</v>
      </c>
      <c r="E41" s="296">
        <f t="shared" si="17"/>
        <v>37176000</v>
      </c>
      <c r="F41" s="296">
        <f t="shared" si="17"/>
        <v>36566136</v>
      </c>
      <c r="G41" s="296">
        <f t="shared" si="17"/>
        <v>9076800</v>
      </c>
      <c r="H41" s="296">
        <f t="shared" si="17"/>
        <v>33612312</v>
      </c>
      <c r="I41" s="296">
        <f t="shared" si="17"/>
        <v>37166400</v>
      </c>
      <c r="J41" s="296">
        <f t="shared" si="17"/>
        <v>29744400</v>
      </c>
      <c r="K41" s="296">
        <f t="shared" si="17"/>
        <v>18414132</v>
      </c>
      <c r="L41" s="296">
        <f t="shared" si="17"/>
        <v>22468488</v>
      </c>
      <c r="M41" s="296">
        <f t="shared" si="17"/>
        <v>30360000</v>
      </c>
      <c r="N41" s="296">
        <f t="shared" si="17"/>
        <v>36072000</v>
      </c>
      <c r="O41" s="296">
        <f t="shared" si="17"/>
        <v>15532980</v>
      </c>
      <c r="P41" s="296">
        <f t="shared" si="17"/>
        <v>42873288</v>
      </c>
      <c r="Q41" s="296">
        <f t="shared" si="17"/>
        <v>29613600</v>
      </c>
      <c r="R41" s="296">
        <f t="shared" si="17"/>
        <v>10323600</v>
      </c>
      <c r="S41" s="296">
        <f t="shared" si="17"/>
        <v>10416000</v>
      </c>
      <c r="T41" s="296">
        <f t="shared" si="17"/>
        <v>3960000</v>
      </c>
      <c r="U41" s="296">
        <f t="shared" si="17"/>
        <v>1920000</v>
      </c>
      <c r="V41" s="296">
        <f t="shared" si="17"/>
        <v>420000</v>
      </c>
      <c r="W41" s="296">
        <f t="shared" si="17"/>
        <v>0</v>
      </c>
      <c r="X41" s="296">
        <f t="shared" ref="X41:BA41" si="18">X39-X40</f>
        <v>0</v>
      </c>
      <c r="Y41" s="296">
        <f t="shared" si="18"/>
        <v>0</v>
      </c>
      <c r="Z41" s="296">
        <f t="shared" si="18"/>
        <v>0</v>
      </c>
      <c r="AA41" s="296">
        <f t="shared" si="18"/>
        <v>0</v>
      </c>
      <c r="AB41" s="296">
        <f t="shared" si="18"/>
        <v>0</v>
      </c>
      <c r="AC41" s="296">
        <f t="shared" si="18"/>
        <v>0</v>
      </c>
      <c r="AD41" s="296">
        <f t="shared" si="18"/>
        <v>0</v>
      </c>
      <c r="AE41" s="296">
        <f t="shared" si="18"/>
        <v>0</v>
      </c>
      <c r="AF41" s="296">
        <f t="shared" si="18"/>
        <v>0</v>
      </c>
      <c r="AG41" s="296">
        <f t="shared" si="18"/>
        <v>0</v>
      </c>
      <c r="AH41" s="296">
        <f t="shared" si="18"/>
        <v>0</v>
      </c>
      <c r="AI41" s="296">
        <f t="shared" si="18"/>
        <v>0</v>
      </c>
      <c r="AJ41" s="296">
        <f t="shared" si="18"/>
        <v>0</v>
      </c>
      <c r="AK41" s="296">
        <f t="shared" si="18"/>
        <v>0</v>
      </c>
      <c r="AL41" s="296">
        <f t="shared" si="18"/>
        <v>0</v>
      </c>
      <c r="AM41" s="296">
        <f t="shared" si="18"/>
        <v>0</v>
      </c>
      <c r="AN41" s="296">
        <f t="shared" si="18"/>
        <v>0</v>
      </c>
      <c r="AO41" s="296">
        <f t="shared" si="18"/>
        <v>0</v>
      </c>
      <c r="AP41" s="296">
        <f t="shared" si="18"/>
        <v>0</v>
      </c>
      <c r="AQ41" s="296">
        <f t="shared" si="18"/>
        <v>0</v>
      </c>
      <c r="AR41" s="296">
        <f t="shared" si="18"/>
        <v>0</v>
      </c>
      <c r="AS41" s="296">
        <f t="shared" si="18"/>
        <v>0</v>
      </c>
      <c r="AT41" s="296">
        <f t="shared" si="18"/>
        <v>0</v>
      </c>
      <c r="AU41" s="296">
        <f t="shared" si="18"/>
        <v>0</v>
      </c>
      <c r="AV41" s="296">
        <f t="shared" si="18"/>
        <v>0</v>
      </c>
      <c r="AW41" s="296">
        <f t="shared" si="18"/>
        <v>0</v>
      </c>
      <c r="AX41" s="296">
        <f t="shared" si="18"/>
        <v>0</v>
      </c>
      <c r="AY41" s="296">
        <f t="shared" si="18"/>
        <v>0</v>
      </c>
      <c r="AZ41" s="296">
        <f t="shared" si="18"/>
        <v>0</v>
      </c>
      <c r="BA41" s="296">
        <f t="shared" si="18"/>
        <v>0</v>
      </c>
    </row>
    <row r="42" spans="1:53">
      <c r="A42" s="277">
        <v>51</v>
      </c>
      <c r="B42" s="15" t="s">
        <v>957</v>
      </c>
      <c r="C42" s="429">
        <f>GETPIVOTDATA("13.現況賃料税込(自動)",pivot!$BT$8)*12</f>
        <v>423689688</v>
      </c>
      <c r="D42" s="296">
        <f>GETPIVOTDATA("13.現況賃料税込(自動)",pivot!$BT$8,"3.物件名",D$1)*12</f>
        <v>22071600</v>
      </c>
      <c r="E42" s="296">
        <f>GETPIVOTDATA("13.現況賃料税込(自動)",pivot!$BT$8,"3.物件名",E$1)*12</f>
        <v>37176000</v>
      </c>
      <c r="F42" s="296">
        <f>GETPIVOTDATA("13.現況賃料税込(自動)",pivot!$BT$8,"3.物件名",F$1)*12</f>
        <v>36566136</v>
      </c>
      <c r="G42" s="296">
        <f>GETPIVOTDATA("13.現況賃料税込(自動)",pivot!$BT$8,"3.物件名",G$1)*12</f>
        <v>8020800</v>
      </c>
      <c r="H42" s="296">
        <f>GETPIVOTDATA("13.現況賃料税込(自動)",pivot!$BT$8,"3.物件名",H$1)*12</f>
        <v>31161864</v>
      </c>
      <c r="I42" s="296">
        <f>GETPIVOTDATA("13.現況賃料税込(自動)",pivot!$BT$8,"3.物件名",I$1)*12</f>
        <v>37166400</v>
      </c>
      <c r="J42" s="296">
        <f>GETPIVOTDATA("13.現況賃料税込(自動)",pivot!$BT$8,"3.物件名",J$1)*12</f>
        <v>29744400</v>
      </c>
      <c r="K42" s="296">
        <f>GETPIVOTDATA("13.現況賃料税込(自動)",pivot!$BT$8,"3.物件名",K$1)*12</f>
        <v>18414132</v>
      </c>
      <c r="L42" s="296">
        <f>GETPIVOTDATA("13.現況賃料税込(自動)",pivot!$BT$8,"3.物件名",L$1)*12</f>
        <v>22468488</v>
      </c>
      <c r="M42" s="296">
        <f>GETPIVOTDATA("13.現況賃料税込(自動)",pivot!$BT$8,"3.物件名",M$1)*12</f>
        <v>30360000</v>
      </c>
      <c r="N42" s="296">
        <f>GETPIVOTDATA("13.現況賃料税込(自動)",pivot!$BT$8,"3.物件名",N$1)*12</f>
        <v>36072000</v>
      </c>
      <c r="O42" s="296">
        <f>GETPIVOTDATA("13.現況賃料税込(自動)",pivot!$BT$8,"3.物件名",O$1)*12</f>
        <v>15532980</v>
      </c>
      <c r="P42" s="296">
        <f>GETPIVOTDATA("13.現況賃料税込(自動)",pivot!$BT$8,"3.物件名",P$1)*12</f>
        <v>42873288</v>
      </c>
      <c r="Q42" s="296">
        <f>GETPIVOTDATA("13.現況賃料税込(自動)",pivot!$BT$8,"3.物件名",Q$1)*12</f>
        <v>29613600</v>
      </c>
      <c r="R42" s="296">
        <f>GETPIVOTDATA("13.現況賃料税込(自動)",pivot!$BT$8,"3.物件名",R$1)*12</f>
        <v>10152000</v>
      </c>
      <c r="S42" s="296">
        <f>GETPIVOTDATA("13.現況賃料税込(自動)",pivot!$BT$8,"3.物件名",S$1)*12</f>
        <v>10416000</v>
      </c>
      <c r="T42" s="296">
        <f>GETPIVOTDATA("13.現況賃料税込(自動)",pivot!$BT$8,"3.物件名",T$1)*12</f>
        <v>3960000</v>
      </c>
      <c r="U42" s="296">
        <f>GETPIVOTDATA("13.現況賃料税込(自動)",pivot!$BT$8,"3.物件名",U$1)*12</f>
        <v>1920000</v>
      </c>
      <c r="V42" s="296">
        <f>GETPIVOTDATA("13.現況賃料税込(自動)",pivot!$BT$8,"3.物件名",V$1)*12</f>
        <v>0</v>
      </c>
      <c r="W42" s="296">
        <f>GETPIVOTDATA("13.現況賃料税込(自動)",pivot!$BT$8,"3.物件名",W$1)*12</f>
        <v>0</v>
      </c>
      <c r="X42" s="296" t="e">
        <f>GETPIVOTDATA("13.現況賃料税込(自動)",pivot!$BT$8,"3.物件名",X$1)*12</f>
        <v>#REF!</v>
      </c>
      <c r="Y42" s="296" t="e">
        <f>GETPIVOTDATA("13.現況賃料税込(自動)",pivot!$BT$8,"3.物件名",Y$1)*12</f>
        <v>#REF!</v>
      </c>
      <c r="Z42" s="296" t="e">
        <f>GETPIVOTDATA("13.現況賃料税込(自動)",pivot!$BT$8,"3.物件名",Z$1)*12</f>
        <v>#REF!</v>
      </c>
      <c r="AA42" s="296" t="e">
        <f>GETPIVOTDATA("13.現況賃料税込(自動)",pivot!$BT$8,"3.物件名",AA$1)*12</f>
        <v>#REF!</v>
      </c>
      <c r="AB42" s="296" t="e">
        <f>GETPIVOTDATA("13.現況賃料税込(自動)",pivot!$BT$8,"3.物件名",AB$1)*12</f>
        <v>#REF!</v>
      </c>
      <c r="AC42" s="296" t="e">
        <f>GETPIVOTDATA("13.現況賃料税込(自動)",pivot!$BT$8,"3.物件名",AC$1)*12</f>
        <v>#REF!</v>
      </c>
      <c r="AD42" s="296" t="e">
        <f>GETPIVOTDATA("13.現況賃料税込(自動)",pivot!$BT$8,"3.物件名",AD$1)*12</f>
        <v>#REF!</v>
      </c>
      <c r="AE42" s="296" t="e">
        <f>GETPIVOTDATA("13.現況賃料税込(自動)",pivot!$BT$8,"3.物件名",AE$1)*12</f>
        <v>#REF!</v>
      </c>
      <c r="AF42" s="296" t="e">
        <f>GETPIVOTDATA("13.現況賃料税込(自動)",pivot!$BT$8,"3.物件名",AF$1)*12</f>
        <v>#REF!</v>
      </c>
      <c r="AG42" s="296" t="e">
        <f>GETPIVOTDATA("13.現況賃料税込(自動)",pivot!$BT$8,"3.物件名",AG$1)*12</f>
        <v>#REF!</v>
      </c>
      <c r="AH42" s="296" t="e">
        <f>GETPIVOTDATA("13.現況賃料税込(自動)",pivot!$BT$8,"3.物件名",AH$1)*12</f>
        <v>#REF!</v>
      </c>
      <c r="AI42" s="296" t="e">
        <f>GETPIVOTDATA("13.現況賃料税込(自動)",pivot!$BT$8,"3.物件名",AI$1)*12</f>
        <v>#REF!</v>
      </c>
      <c r="AJ42" s="296" t="e">
        <f>GETPIVOTDATA("13.現況賃料税込(自動)",pivot!$BT$8,"3.物件名",AJ$1)*12</f>
        <v>#REF!</v>
      </c>
      <c r="AK42" s="296" t="e">
        <f>GETPIVOTDATA("13.現況賃料税込(自動)",pivot!$BT$8,"3.物件名",AK$1)*12</f>
        <v>#REF!</v>
      </c>
      <c r="AL42" s="296" t="e">
        <f>GETPIVOTDATA("13.現況賃料税込(自動)",pivot!$BT$8,"3.物件名",AL$1)*12</f>
        <v>#REF!</v>
      </c>
      <c r="AM42" s="296" t="e">
        <f>GETPIVOTDATA("13.現況賃料税込(自動)",pivot!$BT$8,"3.物件名",AM$1)*12</f>
        <v>#REF!</v>
      </c>
      <c r="AN42" s="296" t="e">
        <f>GETPIVOTDATA("13.現況賃料税込(自動)",pivot!$BT$8,"3.物件名",AN$1)*12</f>
        <v>#REF!</v>
      </c>
      <c r="AO42" s="296" t="e">
        <f>GETPIVOTDATA("13.現況賃料税込(自動)",pivot!$BT$8,"3.物件名",AO$1)*12</f>
        <v>#REF!</v>
      </c>
      <c r="AP42" s="296" t="e">
        <f>GETPIVOTDATA("13.現況賃料税込(自動)",pivot!$BT$8,"3.物件名",AP$1)*12</f>
        <v>#REF!</v>
      </c>
      <c r="AQ42" s="296" t="e">
        <f>GETPIVOTDATA("13.現況賃料税込(自動)",pivot!$BT$8,"3.物件名",AQ$1)*12</f>
        <v>#REF!</v>
      </c>
      <c r="AR42" s="296" t="e">
        <f>GETPIVOTDATA("13.現況賃料税込(自動)",pivot!$BT$8,"3.物件名",AR$1)*12</f>
        <v>#REF!</v>
      </c>
      <c r="AS42" s="296" t="e">
        <f>GETPIVOTDATA("13.現況賃料税込(自動)",pivot!$BT$8,"3.物件名",AS$1)*12</f>
        <v>#REF!</v>
      </c>
      <c r="AT42" s="296" t="e">
        <f>GETPIVOTDATA("13.現況賃料税込(自動)",pivot!$BT$8,"3.物件名",AT$1)*12</f>
        <v>#REF!</v>
      </c>
      <c r="AU42" s="296" t="e">
        <f>GETPIVOTDATA("13.現況賃料税込(自動)",pivot!$BT$8,"3.物件名",AU$1)*12</f>
        <v>#REF!</v>
      </c>
      <c r="AV42" s="296" t="e">
        <f>GETPIVOTDATA("13.現況賃料税込(自動)",pivot!$BT$8,"3.物件名",AV$1)*12</f>
        <v>#REF!</v>
      </c>
      <c r="AW42" s="296" t="e">
        <f>GETPIVOTDATA("13.現況賃料税込(自動)",pivot!$BT$8,"3.物件名",AW$1)*12</f>
        <v>#REF!</v>
      </c>
      <c r="AX42" s="296" t="e">
        <f>GETPIVOTDATA("13.現況賃料税込(自動)",pivot!$BT$8,"3.物件名",AX$1)*12</f>
        <v>#REF!</v>
      </c>
      <c r="AY42" s="296" t="e">
        <f>GETPIVOTDATA("13.現況賃料税込(自動)",pivot!$BT$8,"3.物件名",AY$1)*12</f>
        <v>#REF!</v>
      </c>
      <c r="AZ42" s="296" t="e">
        <f>GETPIVOTDATA("13.現況賃料税込(自動)",pivot!$BT$8,"3.物件名",AZ$1)*12</f>
        <v>#REF!</v>
      </c>
      <c r="BA42" s="296" t="e">
        <f>GETPIVOTDATA("13.現況賃料税込(自動)",pivot!$BT$8,"3.物件名",BA$1)*12</f>
        <v>#REF!</v>
      </c>
    </row>
    <row r="43" spans="1:53">
      <c r="A43" s="277">
        <v>52</v>
      </c>
      <c r="B43" s="15" t="s">
        <v>1132</v>
      </c>
      <c r="C43" s="430">
        <f>C42/C41</f>
        <v>0.99042037053628862</v>
      </c>
      <c r="D43" s="297">
        <f t="shared" ref="D43:W43" si="19">IFERROR(D42/D41,0)</f>
        <v>1</v>
      </c>
      <c r="E43" s="297">
        <f t="shared" si="19"/>
        <v>1</v>
      </c>
      <c r="F43" s="297">
        <f t="shared" si="19"/>
        <v>1</v>
      </c>
      <c r="G43" s="297">
        <f t="shared" si="19"/>
        <v>0.88365943945002645</v>
      </c>
      <c r="H43" s="297">
        <f t="shared" si="19"/>
        <v>0.92709671384699754</v>
      </c>
      <c r="I43" s="297">
        <f t="shared" si="19"/>
        <v>1</v>
      </c>
      <c r="J43" s="297">
        <f t="shared" si="19"/>
        <v>1</v>
      </c>
      <c r="K43" s="297">
        <f t="shared" si="19"/>
        <v>1</v>
      </c>
      <c r="L43" s="297">
        <f t="shared" si="19"/>
        <v>1</v>
      </c>
      <c r="M43" s="297">
        <f t="shared" si="19"/>
        <v>1</v>
      </c>
      <c r="N43" s="297">
        <f t="shared" si="19"/>
        <v>1</v>
      </c>
      <c r="O43" s="297">
        <f t="shared" si="19"/>
        <v>1</v>
      </c>
      <c r="P43" s="297">
        <f t="shared" si="19"/>
        <v>1</v>
      </c>
      <c r="Q43" s="297">
        <f t="shared" si="19"/>
        <v>1</v>
      </c>
      <c r="R43" s="297">
        <f t="shared" si="19"/>
        <v>0.98337789143322096</v>
      </c>
      <c r="S43" s="297">
        <f t="shared" si="19"/>
        <v>1</v>
      </c>
      <c r="T43" s="297">
        <f t="shared" si="19"/>
        <v>1</v>
      </c>
      <c r="U43" s="297">
        <f t="shared" si="19"/>
        <v>1</v>
      </c>
      <c r="V43" s="297">
        <f t="shared" si="19"/>
        <v>0</v>
      </c>
      <c r="W43" s="297">
        <f t="shared" si="19"/>
        <v>0</v>
      </c>
      <c r="X43" s="297">
        <f t="shared" ref="X43:BA43" si="20">IFERROR(X42/X41,0)</f>
        <v>0</v>
      </c>
      <c r="Y43" s="297">
        <f t="shared" si="20"/>
        <v>0</v>
      </c>
      <c r="Z43" s="297">
        <f t="shared" si="20"/>
        <v>0</v>
      </c>
      <c r="AA43" s="297">
        <f t="shared" si="20"/>
        <v>0</v>
      </c>
      <c r="AB43" s="297">
        <f t="shared" si="20"/>
        <v>0</v>
      </c>
      <c r="AC43" s="297">
        <f t="shared" si="20"/>
        <v>0</v>
      </c>
      <c r="AD43" s="297">
        <f t="shared" si="20"/>
        <v>0</v>
      </c>
      <c r="AE43" s="297">
        <f t="shared" si="20"/>
        <v>0</v>
      </c>
      <c r="AF43" s="297">
        <f t="shared" si="20"/>
        <v>0</v>
      </c>
      <c r="AG43" s="297">
        <f t="shared" si="20"/>
        <v>0</v>
      </c>
      <c r="AH43" s="297">
        <f t="shared" si="20"/>
        <v>0</v>
      </c>
      <c r="AI43" s="297">
        <f t="shared" si="20"/>
        <v>0</v>
      </c>
      <c r="AJ43" s="297">
        <f t="shared" si="20"/>
        <v>0</v>
      </c>
      <c r="AK43" s="297">
        <f t="shared" si="20"/>
        <v>0</v>
      </c>
      <c r="AL43" s="297">
        <f t="shared" si="20"/>
        <v>0</v>
      </c>
      <c r="AM43" s="297">
        <f t="shared" si="20"/>
        <v>0</v>
      </c>
      <c r="AN43" s="297">
        <f t="shared" si="20"/>
        <v>0</v>
      </c>
      <c r="AO43" s="297">
        <f t="shared" si="20"/>
        <v>0</v>
      </c>
      <c r="AP43" s="297">
        <f t="shared" si="20"/>
        <v>0</v>
      </c>
      <c r="AQ43" s="297">
        <f t="shared" si="20"/>
        <v>0</v>
      </c>
      <c r="AR43" s="297">
        <f t="shared" si="20"/>
        <v>0</v>
      </c>
      <c r="AS43" s="297">
        <f t="shared" si="20"/>
        <v>0</v>
      </c>
      <c r="AT43" s="297">
        <f t="shared" si="20"/>
        <v>0</v>
      </c>
      <c r="AU43" s="297">
        <f t="shared" si="20"/>
        <v>0</v>
      </c>
      <c r="AV43" s="297">
        <f t="shared" si="20"/>
        <v>0</v>
      </c>
      <c r="AW43" s="297">
        <f t="shared" si="20"/>
        <v>0</v>
      </c>
      <c r="AX43" s="297">
        <f t="shared" si="20"/>
        <v>0</v>
      </c>
      <c r="AY43" s="297">
        <f t="shared" si="20"/>
        <v>0</v>
      </c>
      <c r="AZ43" s="297">
        <f t="shared" si="20"/>
        <v>0</v>
      </c>
      <c r="BA43" s="297">
        <f t="shared" si="20"/>
        <v>0</v>
      </c>
    </row>
    <row r="44" spans="1:53">
      <c r="A44" s="277">
        <v>53</v>
      </c>
      <c r="B44" s="13" t="s">
        <v>943</v>
      </c>
      <c r="C44" s="416"/>
      <c r="D44" s="281" t="str">
        <f>HLOOKUP(D$2,id2_asset,asset!$A47,FALSE)&amp;""</f>
        <v>慶良間管理(株)</v>
      </c>
      <c r="E44" s="281" t="str">
        <f>HLOOKUP(E$2,id2_asset,asset!$A47,FALSE)&amp;""</f>
        <v>自主管理</v>
      </c>
      <c r="F44" s="281" t="str">
        <f>HLOOKUP(F$2,id2_asset,asset!$A47,FALSE)&amp;""</f>
        <v>慶良間管理(株)</v>
      </c>
      <c r="G44" s="281" t="str">
        <f>HLOOKUP(G$2,id2_asset,asset!$A47,FALSE)&amp;""</f>
        <v>慶良間管理(株)</v>
      </c>
      <c r="H44" s="281" t="str">
        <f>HLOOKUP(H$2,id2_asset,asset!$A47,FALSE)&amp;""</f>
        <v>慶良間管理(株)</v>
      </c>
      <c r="I44" s="281" t="str">
        <f>HLOOKUP(I$2,id2_asset,asset!$A47,FALSE)&amp;""</f>
        <v>慶良間管理(株)</v>
      </c>
      <c r="J44" s="281" t="str">
        <f>HLOOKUP(J$2,id2_asset,asset!$A47,FALSE)&amp;""</f>
        <v>慶良間管理(株)</v>
      </c>
      <c r="K44" s="281" t="str">
        <f>HLOOKUP(K$2,id2_asset,asset!$A47,FALSE)&amp;""</f>
        <v>慶良間管理(株)</v>
      </c>
      <c r="L44" s="281" t="str">
        <f>HLOOKUP(L$2,id2_asset,asset!$A47,FALSE)&amp;""</f>
        <v>慶良間管理(株)</v>
      </c>
      <c r="M44" s="281" t="str">
        <f>HLOOKUP(M$2,id2_asset,asset!$A47,FALSE)&amp;""</f>
        <v>慶良間管理(株)</v>
      </c>
      <c r="N44" s="281" t="str">
        <f>HLOOKUP(N$2,id2_asset,asset!$A47,FALSE)&amp;""</f>
        <v>慶良間管理(株)</v>
      </c>
      <c r="O44" s="281" t="str">
        <f>HLOOKUP(O$2,id2_asset,asset!$A47,FALSE)&amp;""</f>
        <v>慶良間管理(株)</v>
      </c>
      <c r="P44" s="281" t="str">
        <f>HLOOKUP(P$2,id2_asset,asset!$A47,FALSE)&amp;""</f>
        <v>慶良間管理(株)</v>
      </c>
      <c r="Q44" s="281" t="str">
        <f>HLOOKUP(Q$2,id2_asset,asset!$A47,FALSE)&amp;""</f>
        <v>大阪住居管理(株)</v>
      </c>
      <c r="R44" s="281" t="str">
        <f>HLOOKUP(R$2,id2_asset,asset!$A47,FALSE)&amp;""</f>
        <v>大阪住居管理(株)</v>
      </c>
      <c r="S44" s="281" t="str">
        <f>HLOOKUP(S$2,id2_asset,asset!$A47,FALSE)&amp;""</f>
        <v>慶良間管理(株)</v>
      </c>
      <c r="T44" s="281" t="str">
        <f>HLOOKUP(T$2,id2_asset,asset!$A47,FALSE)&amp;""</f>
        <v>自主管理</v>
      </c>
      <c r="U44" s="281" t="str">
        <f>HLOOKUP(U$2,id2_asset,asset!$A47,FALSE)&amp;""</f>
        <v>自主管理</v>
      </c>
      <c r="V44" s="281" t="str">
        <f>HLOOKUP(V$2,id2_asset,asset!$A47,FALSE)&amp;""</f>
        <v>自主管理</v>
      </c>
      <c r="W44" s="281" t="str">
        <f>HLOOKUP(W$2,id2_asset,asset!$A47,FALSE)&amp;""</f>
        <v>自主管理</v>
      </c>
      <c r="X44" s="281" t="e">
        <f>HLOOKUP(X$2,id2_asset,asset!$A47,FALSE)&amp;""</f>
        <v>#N/A</v>
      </c>
      <c r="Y44" s="281" t="e">
        <f>HLOOKUP(Y$2,id2_asset,asset!$A47,FALSE)&amp;""</f>
        <v>#N/A</v>
      </c>
      <c r="Z44" s="281" t="e">
        <f>HLOOKUP(Z$2,id2_asset,asset!$A47,FALSE)&amp;""</f>
        <v>#N/A</v>
      </c>
      <c r="AA44" s="281" t="e">
        <f>HLOOKUP(AA$2,id2_asset,asset!$A47,FALSE)&amp;""</f>
        <v>#N/A</v>
      </c>
      <c r="AB44" s="281" t="e">
        <f>HLOOKUP(AB$2,id2_asset,asset!$A47,FALSE)&amp;""</f>
        <v>#N/A</v>
      </c>
      <c r="AC44" s="281" t="e">
        <f>HLOOKUP(AC$2,id2_asset,asset!$A47,FALSE)&amp;""</f>
        <v>#N/A</v>
      </c>
      <c r="AD44" s="281" t="e">
        <f>HLOOKUP(AD$2,id2_asset,asset!$A47,FALSE)&amp;""</f>
        <v>#N/A</v>
      </c>
      <c r="AE44" s="281" t="e">
        <f>HLOOKUP(AE$2,id2_asset,asset!$A47,FALSE)&amp;""</f>
        <v>#N/A</v>
      </c>
      <c r="AF44" s="281" t="e">
        <f>HLOOKUP(AF$2,id2_asset,asset!$A47,FALSE)&amp;""</f>
        <v>#N/A</v>
      </c>
      <c r="AG44" s="281" t="e">
        <f>HLOOKUP(AG$2,id2_asset,asset!$A47,FALSE)&amp;""</f>
        <v>#N/A</v>
      </c>
      <c r="AH44" s="281" t="e">
        <f>HLOOKUP(AH$2,id2_asset,asset!$A47,FALSE)&amp;""</f>
        <v>#N/A</v>
      </c>
      <c r="AI44" s="281" t="e">
        <f>HLOOKUP(AI$2,id2_asset,asset!$A47,FALSE)&amp;""</f>
        <v>#N/A</v>
      </c>
      <c r="AJ44" s="281" t="e">
        <f>HLOOKUP(AJ$2,id2_asset,asset!$A47,FALSE)&amp;""</f>
        <v>#N/A</v>
      </c>
      <c r="AK44" s="281" t="e">
        <f>HLOOKUP(AK$2,id2_asset,asset!$A47,FALSE)&amp;""</f>
        <v>#N/A</v>
      </c>
      <c r="AL44" s="281" t="e">
        <f>HLOOKUP(AL$2,id2_asset,asset!$A47,FALSE)&amp;""</f>
        <v>#N/A</v>
      </c>
      <c r="AM44" s="281" t="e">
        <f>HLOOKUP(AM$2,id2_asset,asset!$A47,FALSE)&amp;""</f>
        <v>#N/A</v>
      </c>
      <c r="AN44" s="281" t="e">
        <f>HLOOKUP(AN$2,id2_asset,asset!$A47,FALSE)&amp;""</f>
        <v>#N/A</v>
      </c>
      <c r="AO44" s="281" t="e">
        <f>HLOOKUP(AO$2,id2_asset,asset!$A47,FALSE)&amp;""</f>
        <v>#N/A</v>
      </c>
      <c r="AP44" s="281" t="e">
        <f>HLOOKUP(AP$2,id2_asset,asset!$A47,FALSE)&amp;""</f>
        <v>#N/A</v>
      </c>
      <c r="AQ44" s="281" t="e">
        <f>HLOOKUP(AQ$2,id2_asset,asset!$A47,FALSE)&amp;""</f>
        <v>#N/A</v>
      </c>
      <c r="AR44" s="281" t="e">
        <f>HLOOKUP(AR$2,id2_asset,asset!$A47,FALSE)&amp;""</f>
        <v>#N/A</v>
      </c>
      <c r="AS44" s="281" t="e">
        <f>HLOOKUP(AS$2,id2_asset,asset!$A47,FALSE)&amp;""</f>
        <v>#N/A</v>
      </c>
      <c r="AT44" s="281" t="e">
        <f>HLOOKUP(AT$2,id2_asset,asset!$A47,FALSE)&amp;""</f>
        <v>#N/A</v>
      </c>
      <c r="AU44" s="281" t="e">
        <f>HLOOKUP(AU$2,id2_asset,asset!$A47,FALSE)&amp;""</f>
        <v>#N/A</v>
      </c>
      <c r="AV44" s="281" t="e">
        <f>HLOOKUP(AV$2,id2_asset,asset!$A47,FALSE)&amp;""</f>
        <v>#N/A</v>
      </c>
      <c r="AW44" s="281" t="e">
        <f>HLOOKUP(AW$2,id2_asset,asset!$A47,FALSE)&amp;""</f>
        <v>#N/A</v>
      </c>
      <c r="AX44" s="281" t="e">
        <f>HLOOKUP(AX$2,id2_asset,asset!$A47,FALSE)&amp;""</f>
        <v>#N/A</v>
      </c>
      <c r="AY44" s="281" t="e">
        <f>HLOOKUP(AY$2,id2_asset,asset!$A47,FALSE)&amp;""</f>
        <v>#N/A</v>
      </c>
      <c r="AZ44" s="281" t="e">
        <f>HLOOKUP(AZ$2,id2_asset,asset!$A47,FALSE)&amp;""</f>
        <v>#N/A</v>
      </c>
      <c r="BA44" s="281" t="e">
        <f>HLOOKUP(BA$2,id2_asset,asset!$A47,FALSE)&amp;""</f>
        <v>#N/A</v>
      </c>
    </row>
    <row r="45" spans="1:53">
      <c r="A45" s="293">
        <v>54</v>
      </c>
      <c r="B45" s="294" t="s">
        <v>1133</v>
      </c>
      <c r="C45" s="415"/>
      <c r="D45" s="292"/>
      <c r="E45" s="292"/>
      <c r="F45" s="292"/>
      <c r="G45" s="292"/>
      <c r="H45" s="292"/>
      <c r="I45" s="292"/>
      <c r="J45" s="292"/>
      <c r="K45" s="292"/>
      <c r="L45" s="292"/>
      <c r="M45" s="292"/>
      <c r="N45" s="292"/>
      <c r="O45" s="292"/>
      <c r="P45" s="292"/>
      <c r="Q45" s="292"/>
      <c r="R45" s="292"/>
      <c r="S45" s="292"/>
      <c r="T45" s="292"/>
      <c r="U45" s="292"/>
      <c r="V45" s="292"/>
      <c r="W45" s="292"/>
      <c r="X45" s="292"/>
      <c r="Y45" s="292"/>
      <c r="Z45" s="292"/>
      <c r="AA45" s="292"/>
      <c r="AB45" s="292"/>
      <c r="AC45" s="292"/>
      <c r="AD45" s="292"/>
      <c r="AE45" s="292"/>
      <c r="AF45" s="292"/>
      <c r="AG45" s="292"/>
      <c r="AH45" s="292"/>
      <c r="AI45" s="292"/>
      <c r="AJ45" s="292"/>
      <c r="AK45" s="292"/>
      <c r="AL45" s="292"/>
      <c r="AM45" s="292"/>
      <c r="AN45" s="292"/>
      <c r="AO45" s="292"/>
      <c r="AP45" s="292"/>
      <c r="AQ45" s="292"/>
      <c r="AR45" s="292"/>
      <c r="AS45" s="292"/>
      <c r="AT45" s="292"/>
      <c r="AU45" s="292"/>
      <c r="AV45" s="292"/>
      <c r="AW45" s="292"/>
      <c r="AX45" s="292"/>
      <c r="AY45" s="292"/>
      <c r="AZ45" s="292"/>
      <c r="BA45" s="292"/>
    </row>
    <row r="46" spans="1:53">
      <c r="A46" s="277">
        <v>55</v>
      </c>
      <c r="B46" s="13" t="s">
        <v>1134</v>
      </c>
      <c r="C46" s="424">
        <f>GETPIVOTDATA("合計 / 当該資産
評価額",pivot!$DJ$5,"資産クラス2","土地3種")</f>
        <v>2221638056.347878</v>
      </c>
      <c r="D46" s="298">
        <f>GETPIVOTDATA("合計 / 当該資産
評価額",pivot!$DJ$5,"物件名",D$1,"資産クラス2","土地3種")</f>
        <v>130723720</v>
      </c>
      <c r="E46" s="298">
        <f>GETPIVOTDATA("合計 / 当該資産
評価額",pivot!$DJ$5,"物件名",E$1,"資産クラス2","土地3種")</f>
        <v>263268590</v>
      </c>
      <c r="F46" s="298">
        <f>GETPIVOTDATA("合計 / 当該資産
評価額",pivot!$DJ$5,"物件名",F$1,"資産クラス2","土地3種")</f>
        <v>176328930</v>
      </c>
      <c r="G46" s="298">
        <f>GETPIVOTDATA("合計 / 当該資産
評価額",pivot!$DJ$5,"物件名",G$1,"資産クラス2","土地3種")</f>
        <v>57534050</v>
      </c>
      <c r="H46" s="298">
        <f>GETPIVOTDATA("合計 / 当該資産
評価額",pivot!$DJ$5,"物件名",H$1,"資産クラス2","土地3種")</f>
        <v>102949060</v>
      </c>
      <c r="I46" s="298">
        <f>GETPIVOTDATA("合計 / 当該資産
評価額",pivot!$DJ$5,"物件名",I$1,"資産クラス2","土地3種")</f>
        <v>149184550</v>
      </c>
      <c r="J46" s="298">
        <f>GETPIVOTDATA("合計 / 当該資産
評価額",pivot!$DJ$5,"物件名",J$1,"資産クラス2","土地3種")</f>
        <v>174332250</v>
      </c>
      <c r="K46" s="298">
        <f>GETPIVOTDATA("合計 / 当該資産
評価額",pivot!$DJ$5,"物件名",K$1,"資産クラス2","土地3種")</f>
        <v>123284110</v>
      </c>
      <c r="L46" s="298">
        <f>GETPIVOTDATA("合計 / 当該資産
評価額",pivot!$DJ$5,"物件名",L$1,"資産クラス2","土地3種")</f>
        <v>136851060</v>
      </c>
      <c r="M46" s="298">
        <f>GETPIVOTDATA("合計 / 当該資産
評価額",pivot!$DJ$5,"物件名",M$1,"資産クラス2","土地3種")</f>
        <v>147431050</v>
      </c>
      <c r="N46" s="298">
        <f>GETPIVOTDATA("合計 / 当該資産
評価額",pivot!$DJ$5,"物件名",N$1,"資産クラス2","土地3種")</f>
        <v>180415820</v>
      </c>
      <c r="O46" s="298">
        <f>GETPIVOTDATA("合計 / 当該資産
評価額",pivot!$DJ$5,"物件名",O$1,"資産クラス2","土地3種")</f>
        <v>75806570</v>
      </c>
      <c r="P46" s="298">
        <f>GETPIVOTDATA("合計 / 当該資産
評価額",pivot!$DJ$5,"物件名",P$1,"資産クラス2","土地3種")</f>
        <v>174271390</v>
      </c>
      <c r="Q46" s="298">
        <f>GETPIVOTDATA("合計 / 当該資産
評価額",pivot!$DJ$5,"物件名",Q$1,"資産クラス2","土地3種")</f>
        <v>114941450</v>
      </c>
      <c r="R46" s="298">
        <f>GETPIVOTDATA("合計 / 当該資産
評価額",pivot!$DJ$5,"物件名",R$1,"資産クラス2","土地3種")</f>
        <v>75126040</v>
      </c>
      <c r="S46" s="298">
        <f>GETPIVOTDATA("合計 / 当該資産
評価額",pivot!$DJ$5,"物件名",S$1,"資産クラス2","土地3種")</f>
        <v>79056190</v>
      </c>
      <c r="T46" s="298">
        <f>GETPIVOTDATA("合計 / 当該資産
評価額",pivot!$DJ$5,"物件名",T$1,"資産クラス2","土地3種")</f>
        <v>18910900</v>
      </c>
      <c r="U46" s="298">
        <f>GETPIVOTDATA("合計 / 当該資産
評価額",pivot!$DJ$5,"物件名",U$1,"資産クラス2","土地3種")</f>
        <v>18910900</v>
      </c>
      <c r="V46" s="298">
        <f>GETPIVOTDATA("合計 / 当該資産
評価額",pivot!$DJ$5,"物件名",V$1,"資産クラス2","土地3種")</f>
        <v>0</v>
      </c>
      <c r="W46" s="298">
        <f>GETPIVOTDATA("合計 / 当該資産
評価額",pivot!$DJ$5,"物件名",W$1,"資産クラス2","土地3種")</f>
        <v>22311426.347878046</v>
      </c>
      <c r="X46" s="298" t="e">
        <f>GETPIVOTDATA("合計 / 当該資産
評価額",pivot!$DJ$5,"物件名",X$1,"資産クラス2","土地3種")</f>
        <v>#REF!</v>
      </c>
      <c r="Y46" s="298" t="e">
        <f>GETPIVOTDATA("合計 / 当該資産
評価額",pivot!$DJ$5,"物件名",Y$1,"資産クラス2","土地3種")</f>
        <v>#REF!</v>
      </c>
      <c r="Z46" s="298" t="e">
        <f>GETPIVOTDATA("合計 / 当該資産
評価額",pivot!$DJ$5,"物件名",Z$1,"資産クラス2","土地3種")</f>
        <v>#REF!</v>
      </c>
      <c r="AA46" s="298" t="e">
        <f>GETPIVOTDATA("合計 / 当該資産
評価額",pivot!$DJ$5,"物件名",AA$1,"資産クラス2","土地3種")</f>
        <v>#REF!</v>
      </c>
      <c r="AB46" s="298" t="e">
        <f>GETPIVOTDATA("合計 / 当該資産
評価額",pivot!$DJ$5,"物件名",AB$1,"資産クラス2","土地3種")</f>
        <v>#REF!</v>
      </c>
      <c r="AC46" s="298" t="e">
        <f>GETPIVOTDATA("合計 / 当該資産
評価額",pivot!$DJ$5,"物件名",AC$1,"資産クラス2","土地3種")</f>
        <v>#REF!</v>
      </c>
      <c r="AD46" s="298" t="e">
        <f>GETPIVOTDATA("合計 / 当該資産
評価額",pivot!$DJ$5,"物件名",AD$1,"資産クラス2","土地3種")</f>
        <v>#REF!</v>
      </c>
      <c r="AE46" s="298" t="e">
        <f>GETPIVOTDATA("合計 / 当該資産
評価額",pivot!$DJ$5,"物件名",AE$1,"資産クラス2","土地3種")</f>
        <v>#REF!</v>
      </c>
      <c r="AF46" s="298" t="e">
        <f>GETPIVOTDATA("合計 / 当該資産
評価額",pivot!$DJ$5,"物件名",AF$1,"資産クラス2","土地3種")</f>
        <v>#REF!</v>
      </c>
      <c r="AG46" s="298" t="e">
        <f>GETPIVOTDATA("合計 / 当該資産
評価額",pivot!$DJ$5,"物件名",AG$1,"資産クラス2","土地3種")</f>
        <v>#REF!</v>
      </c>
      <c r="AH46" s="298" t="e">
        <f>GETPIVOTDATA("合計 / 当該資産
評価額",pivot!$DJ$5,"物件名",AH$1,"資産クラス2","土地3種")</f>
        <v>#REF!</v>
      </c>
      <c r="AI46" s="298" t="e">
        <f>GETPIVOTDATA("合計 / 当該資産
評価額",pivot!$DJ$5,"物件名",AI$1,"資産クラス2","土地3種")</f>
        <v>#REF!</v>
      </c>
      <c r="AJ46" s="298" t="e">
        <f>GETPIVOTDATA("合計 / 当該資産
評価額",pivot!$DJ$5,"物件名",AJ$1,"資産クラス2","土地3種")</f>
        <v>#REF!</v>
      </c>
      <c r="AK46" s="298" t="e">
        <f>GETPIVOTDATA("合計 / 当該資産
評価額",pivot!$DJ$5,"物件名",AK$1,"資産クラス2","土地3種")</f>
        <v>#REF!</v>
      </c>
      <c r="AL46" s="298" t="e">
        <f>GETPIVOTDATA("合計 / 当該資産
評価額",pivot!$DJ$5,"物件名",AL$1,"資産クラス2","土地3種")</f>
        <v>#REF!</v>
      </c>
      <c r="AM46" s="298" t="e">
        <f>GETPIVOTDATA("合計 / 当該資産
評価額",pivot!$DJ$5,"物件名",AM$1,"資産クラス2","土地3種")</f>
        <v>#REF!</v>
      </c>
      <c r="AN46" s="298" t="e">
        <f>GETPIVOTDATA("合計 / 当該資産
評価額",pivot!$DJ$5,"物件名",AN$1,"資産クラス2","土地3種")</f>
        <v>#REF!</v>
      </c>
      <c r="AO46" s="298" t="e">
        <f>GETPIVOTDATA("合計 / 当該資産
評価額",pivot!$DJ$5,"物件名",AO$1,"資産クラス2","土地3種")</f>
        <v>#REF!</v>
      </c>
      <c r="AP46" s="298" t="e">
        <f>GETPIVOTDATA("合計 / 当該資産
評価額",pivot!$DJ$5,"物件名",AP$1,"資産クラス2","土地3種")</f>
        <v>#REF!</v>
      </c>
      <c r="AQ46" s="298" t="e">
        <f>GETPIVOTDATA("合計 / 当該資産
評価額",pivot!$DJ$5,"物件名",AQ$1,"資産クラス2","土地3種")</f>
        <v>#REF!</v>
      </c>
      <c r="AR46" s="298" t="e">
        <f>GETPIVOTDATA("合計 / 当該資産
評価額",pivot!$DJ$5,"物件名",AR$1,"資産クラス2","土地3種")</f>
        <v>#REF!</v>
      </c>
      <c r="AS46" s="298" t="e">
        <f>GETPIVOTDATA("合計 / 当該資産
評価額",pivot!$DJ$5,"物件名",AS$1,"資産クラス2","土地3種")</f>
        <v>#REF!</v>
      </c>
      <c r="AT46" s="298" t="e">
        <f>GETPIVOTDATA("合計 / 当該資産
評価額",pivot!$DJ$5,"物件名",AT$1,"資産クラス2","土地3種")</f>
        <v>#REF!</v>
      </c>
      <c r="AU46" s="298" t="e">
        <f>GETPIVOTDATA("合計 / 当該資産
評価額",pivot!$DJ$5,"物件名",AU$1,"資産クラス2","土地3種")</f>
        <v>#REF!</v>
      </c>
      <c r="AV46" s="298" t="e">
        <f>GETPIVOTDATA("合計 / 当該資産
評価額",pivot!$DJ$5,"物件名",AV$1,"資産クラス2","土地3種")</f>
        <v>#REF!</v>
      </c>
      <c r="AW46" s="298" t="e">
        <f>GETPIVOTDATA("合計 / 当該資産
評価額",pivot!$DJ$5,"物件名",AW$1,"資産クラス2","土地3種")</f>
        <v>#REF!</v>
      </c>
      <c r="AX46" s="298" t="e">
        <f>GETPIVOTDATA("合計 / 当該資産
評価額",pivot!$DJ$5,"物件名",AX$1,"資産クラス2","土地3種")</f>
        <v>#REF!</v>
      </c>
      <c r="AY46" s="298" t="e">
        <f>GETPIVOTDATA("合計 / 当該資産
評価額",pivot!$DJ$5,"物件名",AY$1,"資産クラス2","土地3種")</f>
        <v>#REF!</v>
      </c>
      <c r="AZ46" s="298" t="e">
        <f>GETPIVOTDATA("合計 / 当該資産
評価額",pivot!$DJ$5,"物件名",AZ$1,"資産クラス2","土地3種")</f>
        <v>#REF!</v>
      </c>
      <c r="BA46" s="298" t="e">
        <f>GETPIVOTDATA("合計 / 当該資産
評価額",pivot!$DJ$5,"物件名",BA$1,"資産クラス2","土地3種")</f>
        <v>#REF!</v>
      </c>
    </row>
    <row r="47" spans="1:53">
      <c r="A47" s="277">
        <v>56</v>
      </c>
      <c r="B47" s="13" t="s">
        <v>1135</v>
      </c>
      <c r="C47" s="424">
        <f>GETPIVOTDATA("合計 / 当該資産
評価額",pivot!$DJ$5,"資産クラス2","建物")</f>
        <v>1189058297.9281487</v>
      </c>
      <c r="D47" s="298">
        <f>GETPIVOTDATA("合計 / 当該資産
評価額",pivot!$DJ$5,"物件名",D$1,"資産クラス2","建物")</f>
        <v>33429500</v>
      </c>
      <c r="E47" s="298">
        <f>GETPIVOTDATA("合計 / 当該資産
評価額",pivot!$DJ$5,"物件名",E$1,"資産クラス2","建物")</f>
        <v>75934400</v>
      </c>
      <c r="F47" s="298">
        <f>GETPIVOTDATA("合計 / 当該資産
評価額",pivot!$DJ$5,"物件名",F$1,"資産クラス2","建物")</f>
        <v>58425900</v>
      </c>
      <c r="G47" s="298">
        <f>GETPIVOTDATA("合計 / 当該資産
評価額",pivot!$DJ$5,"物件名",G$1,"資産クラス2","建物")</f>
        <v>8669000</v>
      </c>
      <c r="H47" s="298">
        <f>GETPIVOTDATA("合計 / 当該資産
評価額",pivot!$DJ$5,"物件名",H$1,"資産クラス2","建物")</f>
        <v>42218400</v>
      </c>
      <c r="I47" s="298">
        <f>GETPIVOTDATA("合計 / 当該資産
評価額",pivot!$DJ$5,"物件名",I$1,"資産クラス2","建物")</f>
        <v>77454600</v>
      </c>
      <c r="J47" s="298">
        <f>GETPIVOTDATA("合計 / 当該資産
評価額",pivot!$DJ$5,"物件名",J$1,"資産クラス2","建物")</f>
        <v>49095000</v>
      </c>
      <c r="K47" s="298">
        <f>GETPIVOTDATA("合計 / 当該資産
評価額",pivot!$DJ$5,"物件名",K$1,"資産クラス2","建物")</f>
        <v>15015300</v>
      </c>
      <c r="L47" s="298">
        <f>GETPIVOTDATA("合計 / 当該資産
評価額",pivot!$DJ$5,"物件名",L$1,"資産クラス2","建物")</f>
        <v>23300500</v>
      </c>
      <c r="M47" s="298">
        <f>GETPIVOTDATA("合計 / 当該資産
評価額",pivot!$DJ$5,"物件名",M$1,"資産クラス2","建物")</f>
        <v>39293700</v>
      </c>
      <c r="N47" s="298">
        <f>GETPIVOTDATA("合計 / 当該資産
評価額",pivot!$DJ$5,"物件名",N$1,"資産クラス2","建物")</f>
        <v>63199800</v>
      </c>
      <c r="O47" s="298">
        <f>GETPIVOTDATA("合計 / 当該資産
評価額",pivot!$DJ$5,"物件名",O$1,"資産クラス2","建物")</f>
        <v>330468800</v>
      </c>
      <c r="P47" s="298">
        <f>GETPIVOTDATA("合計 / 当該資産
評価額",pivot!$DJ$5,"物件名",P$1,"資産クラス2","建物")</f>
        <v>123562400</v>
      </c>
      <c r="Q47" s="298">
        <f>GETPIVOTDATA("合計 / 当該資産
評価額",pivot!$DJ$5,"物件名",Q$1,"資産クラス2","建物")</f>
        <v>53982400</v>
      </c>
      <c r="R47" s="298">
        <f>GETPIVOTDATA("合計 / 当該資産
評価額",pivot!$DJ$5,"物件名",R$1,"資産クラス2","建物")</f>
        <v>10120600</v>
      </c>
      <c r="S47" s="298">
        <f>GETPIVOTDATA("合計 / 当該資産
評価額",pivot!$DJ$5,"物件名",S$1,"資産クラス2","建物")</f>
        <v>18910900</v>
      </c>
      <c r="T47" s="298">
        <f>GETPIVOTDATA("合計 / 当該資産
評価額",pivot!$DJ$5,"物件名",T$1,"資産クラス2","建物")</f>
        <v>79056190</v>
      </c>
      <c r="U47" s="298">
        <f>GETPIVOTDATA("合計 / 当該資産
評価額",pivot!$DJ$5,"物件名",U$1,"資産クラス2","建物")</f>
        <v>79056190</v>
      </c>
      <c r="V47" s="298">
        <f>GETPIVOTDATA("合計 / 当該資産
評価額",pivot!$DJ$5,"物件名",V$1,"資産クラス2","建物")</f>
        <v>892339.76</v>
      </c>
      <c r="W47" s="298">
        <f>GETPIVOTDATA("合計 / 当該資産
評価額",pivot!$DJ$5,"物件名",W$1,"資産クラス2","建物")</f>
        <v>6972378.1681486527</v>
      </c>
      <c r="X47" s="298" t="e">
        <f>GETPIVOTDATA("合計 / 当該資産
評価額",pivot!$DJ$5,"物件名",X$1,"資産クラス2","建物")</f>
        <v>#REF!</v>
      </c>
      <c r="Y47" s="298" t="e">
        <f>GETPIVOTDATA("合計 / 当該資産
評価額",pivot!$DJ$5,"物件名",Y$1,"資産クラス2","建物")</f>
        <v>#REF!</v>
      </c>
      <c r="Z47" s="298" t="e">
        <f>GETPIVOTDATA("合計 / 当該資産
評価額",pivot!$DJ$5,"物件名",Z$1,"資産クラス2","建物")</f>
        <v>#REF!</v>
      </c>
      <c r="AA47" s="298" t="e">
        <f>GETPIVOTDATA("合計 / 当該資産
評価額",pivot!$DJ$5,"物件名",AA$1,"資産クラス2","建物")</f>
        <v>#REF!</v>
      </c>
      <c r="AB47" s="298" t="e">
        <f>GETPIVOTDATA("合計 / 当該資産
評価額",pivot!$DJ$5,"物件名",AB$1,"資産クラス2","建物")</f>
        <v>#REF!</v>
      </c>
      <c r="AC47" s="298" t="e">
        <f>GETPIVOTDATA("合計 / 当該資産
評価額",pivot!$DJ$5,"物件名",AC$1,"資産クラス2","建物")</f>
        <v>#REF!</v>
      </c>
      <c r="AD47" s="298" t="e">
        <f>GETPIVOTDATA("合計 / 当該資産
評価額",pivot!$DJ$5,"物件名",AD$1,"資産クラス2","建物")</f>
        <v>#REF!</v>
      </c>
      <c r="AE47" s="298" t="e">
        <f>GETPIVOTDATA("合計 / 当該資産
評価額",pivot!$DJ$5,"物件名",AE$1,"資産クラス2","建物")</f>
        <v>#REF!</v>
      </c>
      <c r="AF47" s="298" t="e">
        <f>GETPIVOTDATA("合計 / 当該資産
評価額",pivot!$DJ$5,"物件名",AF$1,"資産クラス2","建物")</f>
        <v>#REF!</v>
      </c>
      <c r="AG47" s="298" t="e">
        <f>GETPIVOTDATA("合計 / 当該資産
評価額",pivot!$DJ$5,"物件名",AG$1,"資産クラス2","建物")</f>
        <v>#REF!</v>
      </c>
      <c r="AH47" s="298" t="e">
        <f>GETPIVOTDATA("合計 / 当該資産
評価額",pivot!$DJ$5,"物件名",AH$1,"資産クラス2","建物")</f>
        <v>#REF!</v>
      </c>
      <c r="AI47" s="298" t="e">
        <f>GETPIVOTDATA("合計 / 当該資産
評価額",pivot!$DJ$5,"物件名",AI$1,"資産クラス2","建物")</f>
        <v>#REF!</v>
      </c>
      <c r="AJ47" s="298" t="e">
        <f>GETPIVOTDATA("合計 / 当該資産
評価額",pivot!$DJ$5,"物件名",AJ$1,"資産クラス2","建物")</f>
        <v>#REF!</v>
      </c>
      <c r="AK47" s="298" t="e">
        <f>GETPIVOTDATA("合計 / 当該資産
評価額",pivot!$DJ$5,"物件名",AK$1,"資産クラス2","建物")</f>
        <v>#REF!</v>
      </c>
      <c r="AL47" s="298" t="e">
        <f>GETPIVOTDATA("合計 / 当該資産
評価額",pivot!$DJ$5,"物件名",AL$1,"資産クラス2","建物")</f>
        <v>#REF!</v>
      </c>
      <c r="AM47" s="298" t="e">
        <f>GETPIVOTDATA("合計 / 当該資産
評価額",pivot!$DJ$5,"物件名",AM$1,"資産クラス2","建物")</f>
        <v>#REF!</v>
      </c>
      <c r="AN47" s="298" t="e">
        <f>GETPIVOTDATA("合計 / 当該資産
評価額",pivot!$DJ$5,"物件名",AN$1,"資産クラス2","建物")</f>
        <v>#REF!</v>
      </c>
      <c r="AO47" s="298" t="e">
        <f>GETPIVOTDATA("合計 / 当該資産
評価額",pivot!$DJ$5,"物件名",AO$1,"資産クラス2","建物")</f>
        <v>#REF!</v>
      </c>
      <c r="AP47" s="298" t="e">
        <f>GETPIVOTDATA("合計 / 当該資産
評価額",pivot!$DJ$5,"物件名",AP$1,"資産クラス2","建物")</f>
        <v>#REF!</v>
      </c>
      <c r="AQ47" s="298" t="e">
        <f>GETPIVOTDATA("合計 / 当該資産
評価額",pivot!$DJ$5,"物件名",AQ$1,"資産クラス2","建物")</f>
        <v>#REF!</v>
      </c>
      <c r="AR47" s="298" t="e">
        <f>GETPIVOTDATA("合計 / 当該資産
評価額",pivot!$DJ$5,"物件名",AR$1,"資産クラス2","建物")</f>
        <v>#REF!</v>
      </c>
      <c r="AS47" s="298" t="e">
        <f>GETPIVOTDATA("合計 / 当該資産
評価額",pivot!$DJ$5,"物件名",AS$1,"資産クラス2","建物")</f>
        <v>#REF!</v>
      </c>
      <c r="AT47" s="298" t="e">
        <f>GETPIVOTDATA("合計 / 当該資産
評価額",pivot!$DJ$5,"物件名",AT$1,"資産クラス2","建物")</f>
        <v>#REF!</v>
      </c>
      <c r="AU47" s="298" t="e">
        <f>GETPIVOTDATA("合計 / 当該資産
評価額",pivot!$DJ$5,"物件名",AU$1,"資産クラス2","建物")</f>
        <v>#REF!</v>
      </c>
      <c r="AV47" s="298" t="e">
        <f>GETPIVOTDATA("合計 / 当該資産
評価額",pivot!$DJ$5,"物件名",AV$1,"資産クラス2","建物")</f>
        <v>#REF!</v>
      </c>
      <c r="AW47" s="298" t="e">
        <f>GETPIVOTDATA("合計 / 当該資産
評価額",pivot!$DJ$5,"物件名",AW$1,"資産クラス2","建物")</f>
        <v>#REF!</v>
      </c>
      <c r="AX47" s="298" t="e">
        <f>GETPIVOTDATA("合計 / 当該資産
評価額",pivot!$DJ$5,"物件名",AX$1,"資産クラス2","建物")</f>
        <v>#REF!</v>
      </c>
      <c r="AY47" s="298" t="e">
        <f>GETPIVOTDATA("合計 / 当該資産
評価額",pivot!$DJ$5,"物件名",AY$1,"資産クラス2","建物")</f>
        <v>#REF!</v>
      </c>
      <c r="AZ47" s="298" t="e">
        <f>GETPIVOTDATA("合計 / 当該資産
評価額",pivot!$DJ$5,"物件名",AZ$1,"資産クラス2","建物")</f>
        <v>#REF!</v>
      </c>
      <c r="BA47" s="298" t="e">
        <f>GETPIVOTDATA("合計 / 当該資産
評価額",pivot!$DJ$5,"物件名",BA$1,"資産クラス2","建物")</f>
        <v>#REF!</v>
      </c>
    </row>
    <row r="48" spans="1:53">
      <c r="A48" s="277">
        <v>57</v>
      </c>
      <c r="B48" s="13" t="s">
        <v>1136</v>
      </c>
      <c r="C48" s="425">
        <f>GETPIVOTDATA("合計 / 当期固定資産税額",pivot!$DJ$5)*-1</f>
        <v>-15453594</v>
      </c>
      <c r="D48" s="299">
        <f>GETPIVOTDATA("合計 / 当期固定資産税額",pivot!$DJ$5,"物件名",D$1)*-1</f>
        <v>-738914</v>
      </c>
      <c r="E48" s="299">
        <f>GETPIVOTDATA("合計 / 当期固定資産税額",pivot!$DJ$5,"物件名",E$1)*-1</f>
        <v>-1583093</v>
      </c>
      <c r="F48" s="299">
        <f>GETPIVOTDATA("合計 / 当期固定資産税額",pivot!$DJ$5,"物件名",F$1)*-1</f>
        <v>-1337475</v>
      </c>
      <c r="G48" s="299">
        <f>GETPIVOTDATA("合計 / 当期固定資産税額",pivot!$DJ$5,"物件名",G$1)*-1</f>
        <v>-230627</v>
      </c>
      <c r="H48" s="299">
        <f>GETPIVOTDATA("合計 / 当期固定資産税額",pivot!$DJ$5,"物件名",H$1)*-1</f>
        <v>-794232</v>
      </c>
      <c r="I48" s="299">
        <f>GETPIVOTDATA("合計 / 当期固定資産税額",pivot!$DJ$5,"物件名",I$1)*-1</f>
        <v>-1372086</v>
      </c>
      <c r="J48" s="299">
        <f>GETPIVOTDATA("合計 / 当期固定資産税額",pivot!$DJ$5,"物件名",J$1)*-1</f>
        <v>-1058618</v>
      </c>
      <c r="K48" s="299">
        <f>GETPIVOTDATA("合計 / 当期固定資産税額",pivot!$DJ$5,"物件名",K$1)*-1</f>
        <v>-459615</v>
      </c>
      <c r="L48" s="299">
        <f>GETPIVOTDATA("合計 / 当期固定資産税額",pivot!$DJ$5,"物件名",L$1)*-1</f>
        <v>-602568</v>
      </c>
      <c r="M48" s="299">
        <f>GETPIVOTDATA("合計 / 当期固定資産税額",pivot!$DJ$5,"物件名",M$1)*-1</f>
        <v>-785817</v>
      </c>
      <c r="N48" s="299">
        <f>GETPIVOTDATA("合計 / 当期固定資産税額",pivot!$DJ$5,"物件名",N$1)*-1</f>
        <v>-1262296</v>
      </c>
      <c r="O48" s="299">
        <f>GETPIVOTDATA("合計 / 当期固定資産税額",pivot!$DJ$5,"物件名",O$1)*-1</f>
        <v>-437576</v>
      </c>
      <c r="P48" s="299">
        <f>GETPIVOTDATA("合計 / 当期固定資産税額",pivot!$DJ$5,"物件名",P$1)*-1</f>
        <v>-2093801</v>
      </c>
      <c r="Q48" s="299">
        <f>GETPIVOTDATA("合計 / 当期固定資産税額",pivot!$DJ$5,"物件名",Q$1)*-1</f>
        <v>-966185</v>
      </c>
      <c r="R48" s="299">
        <f>GETPIVOTDATA("合計 / 当期固定資産税額",pivot!$DJ$5,"物件名",R$1)*-1</f>
        <v>-286386</v>
      </c>
      <c r="S48" s="299">
        <f>GETPIVOTDATA("合計 / 当期固定資産税額",pivot!$DJ$5,"物件名",S$1)*-1</f>
        <v>-432088</v>
      </c>
      <c r="T48" s="299">
        <f>GETPIVOTDATA("合計 / 当期固定資産税額",pivot!$DJ$5,"物件名",T$1)*-1</f>
        <v>-432088</v>
      </c>
      <c r="U48" s="299">
        <f>GETPIVOTDATA("合計 / 当期固定資産税額",pivot!$DJ$5,"物件名",U$1)*-1</f>
        <v>-432088</v>
      </c>
      <c r="V48" s="299">
        <f>GETPIVOTDATA("合計 / 当期固定資産税額",pivot!$DJ$5,"物件名",V$1)*-1</f>
        <v>-1761</v>
      </c>
      <c r="W48" s="299">
        <f>GETPIVOTDATA("合計 / 当期固定資産税額",pivot!$DJ$5,"物件名",W$1)*-1</f>
        <v>-146280</v>
      </c>
      <c r="X48" s="299" t="e">
        <f>GETPIVOTDATA("合計 / 当期固定資産税額",pivot!$DJ$5,"物件名",X$1)*-1</f>
        <v>#REF!</v>
      </c>
      <c r="Y48" s="299" t="e">
        <f>GETPIVOTDATA("合計 / 当期固定資産税額",pivot!$DJ$5,"物件名",Y$1)*-1</f>
        <v>#REF!</v>
      </c>
      <c r="Z48" s="299" t="e">
        <f>GETPIVOTDATA("合計 / 当期固定資産税額",pivot!$DJ$5,"物件名",Z$1)*-1</f>
        <v>#REF!</v>
      </c>
      <c r="AA48" s="299" t="e">
        <f>GETPIVOTDATA("合計 / 当期固定資産税額",pivot!$DJ$5,"物件名",AA$1)*-1</f>
        <v>#REF!</v>
      </c>
      <c r="AB48" s="299" t="e">
        <f>GETPIVOTDATA("合計 / 当期固定資産税額",pivot!$DJ$5,"物件名",AB$1)*-1</f>
        <v>#REF!</v>
      </c>
      <c r="AC48" s="299" t="e">
        <f>GETPIVOTDATA("合計 / 当期固定資産税額",pivot!$DJ$5,"物件名",AC$1)*-1</f>
        <v>#REF!</v>
      </c>
      <c r="AD48" s="299" t="e">
        <f>GETPIVOTDATA("合計 / 当期固定資産税額",pivot!$DJ$5,"物件名",AD$1)*-1</f>
        <v>#REF!</v>
      </c>
      <c r="AE48" s="299" t="e">
        <f>GETPIVOTDATA("合計 / 当期固定資産税額",pivot!$DJ$5,"物件名",AE$1)*-1</f>
        <v>#REF!</v>
      </c>
      <c r="AF48" s="299" t="e">
        <f>GETPIVOTDATA("合計 / 当期固定資産税額",pivot!$DJ$5,"物件名",AF$1)*-1</f>
        <v>#REF!</v>
      </c>
      <c r="AG48" s="299" t="e">
        <f>GETPIVOTDATA("合計 / 当期固定資産税額",pivot!$DJ$5,"物件名",AG$1)*-1</f>
        <v>#REF!</v>
      </c>
      <c r="AH48" s="299" t="e">
        <f>GETPIVOTDATA("合計 / 当期固定資産税額",pivot!$DJ$5,"物件名",AH$1)*-1</f>
        <v>#REF!</v>
      </c>
      <c r="AI48" s="299" t="e">
        <f>GETPIVOTDATA("合計 / 当期固定資産税額",pivot!$DJ$5,"物件名",AI$1)*-1</f>
        <v>#REF!</v>
      </c>
      <c r="AJ48" s="299" t="e">
        <f>GETPIVOTDATA("合計 / 当期固定資産税額",pivot!$DJ$5,"物件名",AJ$1)*-1</f>
        <v>#REF!</v>
      </c>
      <c r="AK48" s="299" t="e">
        <f>GETPIVOTDATA("合計 / 当期固定資産税額",pivot!$DJ$5,"物件名",AK$1)*-1</f>
        <v>#REF!</v>
      </c>
      <c r="AL48" s="299" t="e">
        <f>GETPIVOTDATA("合計 / 当期固定資産税額",pivot!$DJ$5,"物件名",AL$1)*-1</f>
        <v>#REF!</v>
      </c>
      <c r="AM48" s="299" t="e">
        <f>GETPIVOTDATA("合計 / 当期固定資産税額",pivot!$DJ$5,"物件名",AM$1)*-1</f>
        <v>#REF!</v>
      </c>
      <c r="AN48" s="299" t="e">
        <f>GETPIVOTDATA("合計 / 当期固定資産税額",pivot!$DJ$5,"物件名",AN$1)*-1</f>
        <v>#REF!</v>
      </c>
      <c r="AO48" s="299" t="e">
        <f>GETPIVOTDATA("合計 / 当期固定資産税額",pivot!$DJ$5,"物件名",AO$1)*-1</f>
        <v>#REF!</v>
      </c>
      <c r="AP48" s="299" t="e">
        <f>GETPIVOTDATA("合計 / 当期固定資産税額",pivot!$DJ$5,"物件名",AP$1)*-1</f>
        <v>#REF!</v>
      </c>
      <c r="AQ48" s="299" t="e">
        <f>GETPIVOTDATA("合計 / 当期固定資産税額",pivot!$DJ$5,"物件名",AQ$1)*-1</f>
        <v>#REF!</v>
      </c>
      <c r="AR48" s="299" t="e">
        <f>GETPIVOTDATA("合計 / 当期固定資産税額",pivot!$DJ$5,"物件名",AR$1)*-1</f>
        <v>#REF!</v>
      </c>
      <c r="AS48" s="299" t="e">
        <f>GETPIVOTDATA("合計 / 当期固定資産税額",pivot!$DJ$5,"物件名",AS$1)*-1</f>
        <v>#REF!</v>
      </c>
      <c r="AT48" s="299" t="e">
        <f>GETPIVOTDATA("合計 / 当期固定資産税額",pivot!$DJ$5,"物件名",AT$1)*-1</f>
        <v>#REF!</v>
      </c>
      <c r="AU48" s="299" t="e">
        <f>GETPIVOTDATA("合計 / 当期固定資産税額",pivot!$DJ$5,"物件名",AU$1)*-1</f>
        <v>#REF!</v>
      </c>
      <c r="AV48" s="299" t="e">
        <f>GETPIVOTDATA("合計 / 当期固定資産税額",pivot!$DJ$5,"物件名",AV$1)*-1</f>
        <v>#REF!</v>
      </c>
      <c r="AW48" s="299" t="e">
        <f>GETPIVOTDATA("合計 / 当期固定資産税額",pivot!$DJ$5,"物件名",AW$1)*-1</f>
        <v>#REF!</v>
      </c>
      <c r="AX48" s="299" t="e">
        <f>GETPIVOTDATA("合計 / 当期固定資産税額",pivot!$DJ$5,"物件名",AX$1)*-1</f>
        <v>#REF!</v>
      </c>
      <c r="AY48" s="299" t="e">
        <f>GETPIVOTDATA("合計 / 当期固定資産税額",pivot!$DJ$5,"物件名",AY$1)*-1</f>
        <v>#REF!</v>
      </c>
      <c r="AZ48" s="299" t="e">
        <f>GETPIVOTDATA("合計 / 当期固定資産税額",pivot!$DJ$5,"物件名",AZ$1)*-1</f>
        <v>#REF!</v>
      </c>
      <c r="BA48" s="299" t="e">
        <f>GETPIVOTDATA("合計 / 当期固定資産税額",pivot!$DJ$5,"物件名",BA$1)*-1</f>
        <v>#REF!</v>
      </c>
    </row>
    <row r="49" spans="1:53">
      <c r="A49" s="277">
        <v>58</v>
      </c>
      <c r="B49" s="13" t="s">
        <v>1137</v>
      </c>
      <c r="C49" s="425">
        <f>GETPIVOTDATA("合計 / 当期都市計画税額",pivot!$DJ$5)*-1</f>
        <v>-3311838</v>
      </c>
      <c r="D49" s="299">
        <f>GETPIVOTDATA("合計 / 当期都市計画税額",pivot!$DJ$5,"物件名",D$1)*-1</f>
        <v>-158338</v>
      </c>
      <c r="E49" s="299">
        <f>GETPIVOTDATA("合計 / 当期都市計画税額",pivot!$DJ$5,"物件名",E$1)*-1</f>
        <v>-339233</v>
      </c>
      <c r="F49" s="299">
        <f>GETPIVOTDATA("合計 / 当期都市計画税額",pivot!$DJ$5,"物件名",F$1)*-1</f>
        <v>-286600</v>
      </c>
      <c r="G49" s="299">
        <f>GETPIVOTDATA("合計 / 当期都市計画税額",pivot!$DJ$5,"物件名",G$1)*-1</f>
        <v>-49420</v>
      </c>
      <c r="H49" s="299">
        <f>GETPIVOTDATA("合計 / 当期都市計画税額",pivot!$DJ$5,"物件名",H$1)*-1</f>
        <v>-170192</v>
      </c>
      <c r="I49" s="299">
        <f>GETPIVOTDATA("合計 / 当期都市計画税額",pivot!$DJ$5,"物件名",I$1)*-1</f>
        <v>-294017</v>
      </c>
      <c r="J49" s="299">
        <f>GETPIVOTDATA("合計 / 当期都市計画税額",pivot!$DJ$5,"物件名",J$1)*-1</f>
        <v>-226846</v>
      </c>
      <c r="K49" s="299">
        <f>GETPIVOTDATA("合計 / 当期都市計画税額",pivot!$DJ$5,"物件名",K$1)*-1</f>
        <v>-98488</v>
      </c>
      <c r="L49" s="299">
        <f>GETPIVOTDATA("合計 / 当期都市計画税額",pivot!$DJ$5,"物件名",L$1)*-1</f>
        <v>-129121</v>
      </c>
      <c r="M49" s="299">
        <f>GETPIVOTDATA("合計 / 当期都市計画税額",pivot!$DJ$5,"物件名",M$1)*-1</f>
        <v>-168388</v>
      </c>
      <c r="N49" s="299">
        <f>GETPIVOTDATA("合計 / 当期都市計画税額",pivot!$DJ$5,"物件名",N$1)*-1</f>
        <v>-270490</v>
      </c>
      <c r="O49" s="299">
        <f>GETPIVOTDATA("合計 / 当期都市計画税額",pivot!$DJ$5,"物件名",O$1)*-1</f>
        <v>-93763</v>
      </c>
      <c r="P49" s="299">
        <f>GETPIVOTDATA("合計 / 当期都市計画税額",pivot!$DJ$5,"物件名",P$1)*-1</f>
        <v>-448671</v>
      </c>
      <c r="Q49" s="299">
        <f>GETPIVOTDATA("合計 / 当期都市計画税額",pivot!$DJ$5,"物件名",Q$1)*-1</f>
        <v>-207039</v>
      </c>
      <c r="R49" s="299">
        <f>GETPIVOTDATA("合計 / 当期都市計画税額",pivot!$DJ$5,"物件名",R$1)*-1</f>
        <v>-61367</v>
      </c>
      <c r="S49" s="299">
        <f>GETPIVOTDATA("合計 / 当期都市計画税額",pivot!$DJ$5,"物件名",S$1)*-1</f>
        <v>-92589</v>
      </c>
      <c r="T49" s="299">
        <f>GETPIVOTDATA("合計 / 当期都市計画税額",pivot!$DJ$5,"物件名",T$1)*-1</f>
        <v>-92589</v>
      </c>
      <c r="U49" s="299">
        <f>GETPIVOTDATA("合計 / 当期都市計画税額",pivot!$DJ$5,"物件名",U$1)*-1</f>
        <v>-92589</v>
      </c>
      <c r="V49" s="299">
        <f>GETPIVOTDATA("合計 / 当期都市計画税額",pivot!$DJ$5,"物件名",V$1)*-1</f>
        <v>-754</v>
      </c>
      <c r="W49" s="299">
        <f>GETPIVOTDATA("合計 / 当期都市計画税額",pivot!$DJ$5,"物件名",W$1)*-1</f>
        <v>-31344</v>
      </c>
      <c r="X49" s="299" t="e">
        <f>GETPIVOTDATA("合計 / 当期都市計画税額",pivot!$DJ$5,"物件名",X$1)*-1</f>
        <v>#REF!</v>
      </c>
      <c r="Y49" s="299" t="e">
        <f>GETPIVOTDATA("合計 / 当期都市計画税額",pivot!$DJ$5,"物件名",Y$1)*-1</f>
        <v>#REF!</v>
      </c>
      <c r="Z49" s="299" t="e">
        <f>GETPIVOTDATA("合計 / 当期都市計画税額",pivot!$DJ$5,"物件名",Z$1)*-1</f>
        <v>#REF!</v>
      </c>
      <c r="AA49" s="299" t="e">
        <f>GETPIVOTDATA("合計 / 当期都市計画税額",pivot!$DJ$5,"物件名",AA$1)*-1</f>
        <v>#REF!</v>
      </c>
      <c r="AB49" s="299" t="e">
        <f>GETPIVOTDATA("合計 / 当期都市計画税額",pivot!$DJ$5,"物件名",AB$1)*-1</f>
        <v>#REF!</v>
      </c>
      <c r="AC49" s="299" t="e">
        <f>GETPIVOTDATA("合計 / 当期都市計画税額",pivot!$DJ$5,"物件名",AC$1)*-1</f>
        <v>#REF!</v>
      </c>
      <c r="AD49" s="299" t="e">
        <f>GETPIVOTDATA("合計 / 当期都市計画税額",pivot!$DJ$5,"物件名",AD$1)*-1</f>
        <v>#REF!</v>
      </c>
      <c r="AE49" s="299" t="e">
        <f>GETPIVOTDATA("合計 / 当期都市計画税額",pivot!$DJ$5,"物件名",AE$1)*-1</f>
        <v>#REF!</v>
      </c>
      <c r="AF49" s="299" t="e">
        <f>GETPIVOTDATA("合計 / 当期都市計画税額",pivot!$DJ$5,"物件名",AF$1)*-1</f>
        <v>#REF!</v>
      </c>
      <c r="AG49" s="299" t="e">
        <f>GETPIVOTDATA("合計 / 当期都市計画税額",pivot!$DJ$5,"物件名",AG$1)*-1</f>
        <v>#REF!</v>
      </c>
      <c r="AH49" s="299" t="e">
        <f>GETPIVOTDATA("合計 / 当期都市計画税額",pivot!$DJ$5,"物件名",AH$1)*-1</f>
        <v>#REF!</v>
      </c>
      <c r="AI49" s="299" t="e">
        <f>GETPIVOTDATA("合計 / 当期都市計画税額",pivot!$DJ$5,"物件名",AI$1)*-1</f>
        <v>#REF!</v>
      </c>
      <c r="AJ49" s="299" t="e">
        <f>GETPIVOTDATA("合計 / 当期都市計画税額",pivot!$DJ$5,"物件名",AJ$1)*-1</f>
        <v>#REF!</v>
      </c>
      <c r="AK49" s="299" t="e">
        <f>GETPIVOTDATA("合計 / 当期都市計画税額",pivot!$DJ$5,"物件名",AK$1)*-1</f>
        <v>#REF!</v>
      </c>
      <c r="AL49" s="299" t="e">
        <f>GETPIVOTDATA("合計 / 当期都市計画税額",pivot!$DJ$5,"物件名",AL$1)*-1</f>
        <v>#REF!</v>
      </c>
      <c r="AM49" s="299" t="e">
        <f>GETPIVOTDATA("合計 / 当期都市計画税額",pivot!$DJ$5,"物件名",AM$1)*-1</f>
        <v>#REF!</v>
      </c>
      <c r="AN49" s="299" t="e">
        <f>GETPIVOTDATA("合計 / 当期都市計画税額",pivot!$DJ$5,"物件名",AN$1)*-1</f>
        <v>#REF!</v>
      </c>
      <c r="AO49" s="299" t="e">
        <f>GETPIVOTDATA("合計 / 当期都市計画税額",pivot!$DJ$5,"物件名",AO$1)*-1</f>
        <v>#REF!</v>
      </c>
      <c r="AP49" s="299" t="e">
        <f>GETPIVOTDATA("合計 / 当期都市計画税額",pivot!$DJ$5,"物件名",AP$1)*-1</f>
        <v>#REF!</v>
      </c>
      <c r="AQ49" s="299" t="e">
        <f>GETPIVOTDATA("合計 / 当期都市計画税額",pivot!$DJ$5,"物件名",AQ$1)*-1</f>
        <v>#REF!</v>
      </c>
      <c r="AR49" s="299" t="e">
        <f>GETPIVOTDATA("合計 / 当期都市計画税額",pivot!$DJ$5,"物件名",AR$1)*-1</f>
        <v>#REF!</v>
      </c>
      <c r="AS49" s="299" t="e">
        <f>GETPIVOTDATA("合計 / 当期都市計画税額",pivot!$DJ$5,"物件名",AS$1)*-1</f>
        <v>#REF!</v>
      </c>
      <c r="AT49" s="299" t="e">
        <f>GETPIVOTDATA("合計 / 当期都市計画税額",pivot!$DJ$5,"物件名",AT$1)*-1</f>
        <v>#REF!</v>
      </c>
      <c r="AU49" s="299" t="e">
        <f>GETPIVOTDATA("合計 / 当期都市計画税額",pivot!$DJ$5,"物件名",AU$1)*-1</f>
        <v>#REF!</v>
      </c>
      <c r="AV49" s="299" t="e">
        <f>GETPIVOTDATA("合計 / 当期都市計画税額",pivot!$DJ$5,"物件名",AV$1)*-1</f>
        <v>#REF!</v>
      </c>
      <c r="AW49" s="299" t="e">
        <f>GETPIVOTDATA("合計 / 当期都市計画税額",pivot!$DJ$5,"物件名",AW$1)*-1</f>
        <v>#REF!</v>
      </c>
      <c r="AX49" s="299" t="e">
        <f>GETPIVOTDATA("合計 / 当期都市計画税額",pivot!$DJ$5,"物件名",AX$1)*-1</f>
        <v>#REF!</v>
      </c>
      <c r="AY49" s="299" t="e">
        <f>GETPIVOTDATA("合計 / 当期都市計画税額",pivot!$DJ$5,"物件名",AY$1)*-1</f>
        <v>#REF!</v>
      </c>
      <c r="AZ49" s="299" t="e">
        <f>GETPIVOTDATA("合計 / 当期都市計画税額",pivot!$DJ$5,"物件名",AZ$1)*-1</f>
        <v>#REF!</v>
      </c>
      <c r="BA49" s="299" t="e">
        <f>GETPIVOTDATA("合計 / 当期都市計画税額",pivot!$DJ$5,"物件名",BA$1)*-1</f>
        <v>#REF!</v>
      </c>
    </row>
    <row r="50" spans="1:53">
      <c r="A50" s="277">
        <v>59</v>
      </c>
      <c r="B50" s="15" t="s">
        <v>921</v>
      </c>
      <c r="C50" s="422" t="str">
        <f>settings!L15</f>
        <v>令和3年度</v>
      </c>
      <c r="D50" s="300">
        <f>HLOOKUP(D$2,id2_asset,asset!$A41,FALSE)</f>
        <v>501000</v>
      </c>
      <c r="E50" s="300">
        <f>HLOOKUP(E$2,id2_asset,asset!$A41,FALSE)</f>
        <v>117000</v>
      </c>
      <c r="F50" s="300">
        <f>HLOOKUP(F$2,id2_asset,asset!$A41,FALSE)</f>
        <v>366000</v>
      </c>
      <c r="G50" s="300">
        <f>HLOOKUP(G$2,id2_asset,asset!$A41,FALSE)</f>
        <v>162100</v>
      </c>
      <c r="H50" s="300">
        <f>HLOOKUP(H$2,id2_asset,asset!$A41,FALSE)</f>
        <v>646000</v>
      </c>
      <c r="I50" s="300">
        <f>HLOOKUP(I$2,id2_asset,asset!$A41,FALSE)</f>
        <v>412000</v>
      </c>
      <c r="J50" s="300">
        <f>HLOOKUP(J$2,id2_asset,asset!$A41,FALSE)</f>
        <v>220000</v>
      </c>
      <c r="K50" s="300">
        <f>HLOOKUP(K$2,id2_asset,asset!$A41,FALSE)</f>
        <v>434000</v>
      </c>
      <c r="L50" s="300">
        <f>HLOOKUP(L$2,id2_asset,asset!$A41,FALSE)</f>
        <v>436000</v>
      </c>
      <c r="M50" s="300">
        <f>HLOOKUP(M$2,id2_asset,asset!$A41,FALSE)</f>
        <v>420000</v>
      </c>
      <c r="N50" s="300">
        <f>HLOOKUP(N$2,id2_asset,asset!$A41,FALSE)</f>
        <v>565000</v>
      </c>
      <c r="O50" s="300">
        <f>HLOOKUP(O$2,id2_asset,asset!$A41,FALSE)</f>
        <v>389000</v>
      </c>
      <c r="P50" s="300">
        <f>HLOOKUP(P$2,id2_asset,asset!$A41,FALSE)</f>
        <v>418000</v>
      </c>
      <c r="Q50" s="300">
        <f>HLOOKUP(Q$2,id2_asset,asset!$A41,FALSE)</f>
        <v>267000</v>
      </c>
      <c r="R50" s="300">
        <f>HLOOKUP(R$2,id2_asset,asset!$A41,FALSE)</f>
        <v>267000</v>
      </c>
      <c r="S50" s="300">
        <f>HLOOKUP(S$2,id2_asset,asset!$A41,FALSE)</f>
        <v>655000</v>
      </c>
      <c r="T50" s="300">
        <f>HLOOKUP(T$2,id2_asset,asset!$A41,FALSE)</f>
        <v>655000</v>
      </c>
      <c r="U50" s="300">
        <f>HLOOKUP(U$2,id2_asset,asset!$A41,FALSE)</f>
        <v>655000</v>
      </c>
      <c r="V50" s="300" t="str">
        <f>HLOOKUP(V$2,id2_asset,asset!$A41,FALSE)</f>
        <v>n/a</v>
      </c>
      <c r="W50" s="300" t="str">
        <f>HLOOKUP(W$2,id2_asset,asset!$A41,FALSE)</f>
        <v>n/a</v>
      </c>
      <c r="X50" s="300" t="e">
        <f>HLOOKUP(X$2,id2_asset,asset!$A41,FALSE)</f>
        <v>#N/A</v>
      </c>
      <c r="Y50" s="300" t="e">
        <f>HLOOKUP(Y$2,id2_asset,asset!$A41,FALSE)</f>
        <v>#N/A</v>
      </c>
      <c r="Z50" s="300" t="e">
        <f>HLOOKUP(Z$2,id2_asset,asset!$A41,FALSE)</f>
        <v>#N/A</v>
      </c>
      <c r="AA50" s="300" t="e">
        <f>HLOOKUP(AA$2,id2_asset,asset!$A41,FALSE)</f>
        <v>#N/A</v>
      </c>
      <c r="AB50" s="300" t="e">
        <f>HLOOKUP(AB$2,id2_asset,asset!$A41,FALSE)</f>
        <v>#N/A</v>
      </c>
      <c r="AC50" s="300" t="e">
        <f>HLOOKUP(AC$2,id2_asset,asset!$A41,FALSE)</f>
        <v>#N/A</v>
      </c>
      <c r="AD50" s="300" t="e">
        <f>HLOOKUP(AD$2,id2_asset,asset!$A41,FALSE)</f>
        <v>#N/A</v>
      </c>
      <c r="AE50" s="300" t="e">
        <f>HLOOKUP(AE$2,id2_asset,asset!$A41,FALSE)</f>
        <v>#N/A</v>
      </c>
      <c r="AF50" s="300" t="e">
        <f>HLOOKUP(AF$2,id2_asset,asset!$A41,FALSE)</f>
        <v>#N/A</v>
      </c>
      <c r="AG50" s="300" t="e">
        <f>HLOOKUP(AG$2,id2_asset,asset!$A41,FALSE)</f>
        <v>#N/A</v>
      </c>
      <c r="AH50" s="300" t="e">
        <f>HLOOKUP(AH$2,id2_asset,asset!$A41,FALSE)</f>
        <v>#N/A</v>
      </c>
      <c r="AI50" s="300" t="e">
        <f>HLOOKUP(AI$2,id2_asset,asset!$A41,FALSE)</f>
        <v>#N/A</v>
      </c>
      <c r="AJ50" s="300" t="e">
        <f>HLOOKUP(AJ$2,id2_asset,asset!$A41,FALSE)</f>
        <v>#N/A</v>
      </c>
      <c r="AK50" s="300" t="e">
        <f>HLOOKUP(AK$2,id2_asset,asset!$A41,FALSE)</f>
        <v>#N/A</v>
      </c>
      <c r="AL50" s="300" t="e">
        <f>HLOOKUP(AL$2,id2_asset,asset!$A41,FALSE)</f>
        <v>#N/A</v>
      </c>
      <c r="AM50" s="300" t="e">
        <f>HLOOKUP(AM$2,id2_asset,asset!$A41,FALSE)</f>
        <v>#N/A</v>
      </c>
      <c r="AN50" s="300" t="e">
        <f>HLOOKUP(AN$2,id2_asset,asset!$A41,FALSE)</f>
        <v>#N/A</v>
      </c>
      <c r="AO50" s="300" t="e">
        <f>HLOOKUP(AO$2,id2_asset,asset!$A41,FALSE)</f>
        <v>#N/A</v>
      </c>
      <c r="AP50" s="300" t="e">
        <f>HLOOKUP(AP$2,id2_asset,asset!$A41,FALSE)</f>
        <v>#N/A</v>
      </c>
      <c r="AQ50" s="300" t="e">
        <f>HLOOKUP(AQ$2,id2_asset,asset!$A41,FALSE)</f>
        <v>#N/A</v>
      </c>
      <c r="AR50" s="300" t="e">
        <f>HLOOKUP(AR$2,id2_asset,asset!$A41,FALSE)</f>
        <v>#N/A</v>
      </c>
      <c r="AS50" s="300" t="e">
        <f>HLOOKUP(AS$2,id2_asset,asset!$A41,FALSE)</f>
        <v>#N/A</v>
      </c>
      <c r="AT50" s="300" t="e">
        <f>HLOOKUP(AT$2,id2_asset,asset!$A41,FALSE)</f>
        <v>#N/A</v>
      </c>
      <c r="AU50" s="300" t="e">
        <f>HLOOKUP(AU$2,id2_asset,asset!$A41,FALSE)</f>
        <v>#N/A</v>
      </c>
      <c r="AV50" s="300" t="e">
        <f>HLOOKUP(AV$2,id2_asset,asset!$A41,FALSE)</f>
        <v>#N/A</v>
      </c>
      <c r="AW50" s="300" t="e">
        <f>HLOOKUP(AW$2,id2_asset,asset!$A41,FALSE)</f>
        <v>#N/A</v>
      </c>
      <c r="AX50" s="300" t="e">
        <f>HLOOKUP(AX$2,id2_asset,asset!$A41,FALSE)</f>
        <v>#N/A</v>
      </c>
      <c r="AY50" s="300" t="e">
        <f>HLOOKUP(AY$2,id2_asset,asset!$A41,FALSE)</f>
        <v>#N/A</v>
      </c>
      <c r="AZ50" s="300" t="e">
        <f>HLOOKUP(AZ$2,id2_asset,asset!$A41,FALSE)</f>
        <v>#N/A</v>
      </c>
      <c r="BA50" s="300" t="e">
        <f>HLOOKUP(BA$2,id2_asset,asset!$A41,FALSE)</f>
        <v>#N/A</v>
      </c>
    </row>
    <row r="51" spans="1:53">
      <c r="A51" s="277">
        <v>60</v>
      </c>
      <c r="B51" s="13" t="s">
        <v>922</v>
      </c>
      <c r="C51" s="422" t="str">
        <f>C50</f>
        <v>令和3年度</v>
      </c>
      <c r="D51" s="300" t="str">
        <f>HLOOKUP(D$2,id2_asset,asset!$A42,FALSE)</f>
        <v>580C</v>
      </c>
      <c r="E51" s="300" t="str">
        <f>HLOOKUP(E$2,id2_asset,asset!$A42,FALSE)</f>
        <v>135D</v>
      </c>
      <c r="F51" s="300" t="str">
        <f>HLOOKUP(F$2,id2_asset,asset!$A42,FALSE)</f>
        <v>430C</v>
      </c>
      <c r="G51" s="300" t="str">
        <f>HLOOKUP(G$2,id2_asset,asset!$A42,FALSE)</f>
        <v>180D</v>
      </c>
      <c r="H51" s="300" t="str">
        <f>HLOOKUP(H$2,id2_asset,asset!$A42,FALSE)</f>
        <v>770C</v>
      </c>
      <c r="I51" s="300" t="str">
        <f>HLOOKUP(I$2,id2_asset,asset!$A42,FALSE)</f>
        <v>470C</v>
      </c>
      <c r="J51" s="300" t="str">
        <f>HLOOKUP(J$2,id2_asset,asset!$A42,FALSE)</f>
        <v>270D</v>
      </c>
      <c r="K51" s="300" t="str">
        <f>HLOOKUP(K$2,id2_asset,asset!$A42,FALSE)</f>
        <v>510C</v>
      </c>
      <c r="L51" s="300" t="str">
        <f>HLOOKUP(L$2,id2_asset,asset!$A42,FALSE)</f>
        <v>530C</v>
      </c>
      <c r="M51" s="300" t="str">
        <f>HLOOKUP(M$2,id2_asset,asset!$A42,FALSE)</f>
        <v>550D</v>
      </c>
      <c r="N51" s="300" t="str">
        <f>HLOOKUP(N$2,id2_asset,asset!$A42,FALSE)</f>
        <v>620C</v>
      </c>
      <c r="O51" s="300" t="str">
        <f>HLOOKUP(O$2,id2_asset,asset!$A42,FALSE)</f>
        <v>450C</v>
      </c>
      <c r="P51" s="300" t="str">
        <f>HLOOKUP(P$2,id2_asset,asset!$A42,FALSE)</f>
        <v>460C</v>
      </c>
      <c r="Q51" s="300" t="str">
        <f>HLOOKUP(Q$2,id2_asset,asset!$A42,FALSE)</f>
        <v>310D</v>
      </c>
      <c r="R51" s="300" t="str">
        <f>HLOOKUP(R$2,id2_asset,asset!$A42,FALSE)</f>
        <v>310D</v>
      </c>
      <c r="S51" s="300" t="str">
        <f>HLOOKUP(S$2,id2_asset,asset!$A42,FALSE)</f>
        <v>760C</v>
      </c>
      <c r="T51" s="300" t="str">
        <f>HLOOKUP(T$2,id2_asset,asset!$A42,FALSE)</f>
        <v>760C</v>
      </c>
      <c r="U51" s="300" t="str">
        <f>HLOOKUP(U$2,id2_asset,asset!$A42,FALSE)</f>
        <v>760C</v>
      </c>
      <c r="V51" s="300" t="str">
        <f>HLOOKUP(V$2,id2_asset,asset!$A42,FALSE)</f>
        <v>n/a</v>
      </c>
      <c r="W51" s="300" t="str">
        <f>HLOOKUP(W$2,id2_asset,asset!$A42,FALSE)</f>
        <v>n/a</v>
      </c>
      <c r="X51" s="300" t="e">
        <f>HLOOKUP(X$2,id2_asset,asset!$A42,FALSE)</f>
        <v>#N/A</v>
      </c>
      <c r="Y51" s="300" t="e">
        <f>HLOOKUP(Y$2,id2_asset,asset!$A42,FALSE)</f>
        <v>#N/A</v>
      </c>
      <c r="Z51" s="300" t="e">
        <f>HLOOKUP(Z$2,id2_asset,asset!$A42,FALSE)</f>
        <v>#N/A</v>
      </c>
      <c r="AA51" s="300" t="e">
        <f>HLOOKUP(AA$2,id2_asset,asset!$A42,FALSE)</f>
        <v>#N/A</v>
      </c>
      <c r="AB51" s="300" t="e">
        <f>HLOOKUP(AB$2,id2_asset,asset!$A42,FALSE)</f>
        <v>#N/A</v>
      </c>
      <c r="AC51" s="300" t="e">
        <f>HLOOKUP(AC$2,id2_asset,asset!$A42,FALSE)</f>
        <v>#N/A</v>
      </c>
      <c r="AD51" s="300" t="e">
        <f>HLOOKUP(AD$2,id2_asset,asset!$A42,FALSE)</f>
        <v>#N/A</v>
      </c>
      <c r="AE51" s="300" t="e">
        <f>HLOOKUP(AE$2,id2_asset,asset!$A42,FALSE)</f>
        <v>#N/A</v>
      </c>
      <c r="AF51" s="300" t="e">
        <f>HLOOKUP(AF$2,id2_asset,asset!$A42,FALSE)</f>
        <v>#N/A</v>
      </c>
      <c r="AG51" s="300" t="e">
        <f>HLOOKUP(AG$2,id2_asset,asset!$A42,FALSE)</f>
        <v>#N/A</v>
      </c>
      <c r="AH51" s="300" t="e">
        <f>HLOOKUP(AH$2,id2_asset,asset!$A42,FALSE)</f>
        <v>#N/A</v>
      </c>
      <c r="AI51" s="300" t="e">
        <f>HLOOKUP(AI$2,id2_asset,asset!$A42,FALSE)</f>
        <v>#N/A</v>
      </c>
      <c r="AJ51" s="300" t="e">
        <f>HLOOKUP(AJ$2,id2_asset,asset!$A42,FALSE)</f>
        <v>#N/A</v>
      </c>
      <c r="AK51" s="300" t="e">
        <f>HLOOKUP(AK$2,id2_asset,asset!$A42,FALSE)</f>
        <v>#N/A</v>
      </c>
      <c r="AL51" s="300" t="e">
        <f>HLOOKUP(AL$2,id2_asset,asset!$A42,FALSE)</f>
        <v>#N/A</v>
      </c>
      <c r="AM51" s="300" t="e">
        <f>HLOOKUP(AM$2,id2_asset,asset!$A42,FALSE)</f>
        <v>#N/A</v>
      </c>
      <c r="AN51" s="300" t="e">
        <f>HLOOKUP(AN$2,id2_asset,asset!$A42,FALSE)</f>
        <v>#N/A</v>
      </c>
      <c r="AO51" s="300" t="e">
        <f>HLOOKUP(AO$2,id2_asset,asset!$A42,FALSE)</f>
        <v>#N/A</v>
      </c>
      <c r="AP51" s="300" t="e">
        <f>HLOOKUP(AP$2,id2_asset,asset!$A42,FALSE)</f>
        <v>#N/A</v>
      </c>
      <c r="AQ51" s="300" t="e">
        <f>HLOOKUP(AQ$2,id2_asset,asset!$A42,FALSE)</f>
        <v>#N/A</v>
      </c>
      <c r="AR51" s="300" t="e">
        <f>HLOOKUP(AR$2,id2_asset,asset!$A42,FALSE)</f>
        <v>#N/A</v>
      </c>
      <c r="AS51" s="300" t="e">
        <f>HLOOKUP(AS$2,id2_asset,asset!$A42,FALSE)</f>
        <v>#N/A</v>
      </c>
      <c r="AT51" s="300" t="e">
        <f>HLOOKUP(AT$2,id2_asset,asset!$A42,FALSE)</f>
        <v>#N/A</v>
      </c>
      <c r="AU51" s="300" t="e">
        <f>HLOOKUP(AU$2,id2_asset,asset!$A42,FALSE)</f>
        <v>#N/A</v>
      </c>
      <c r="AV51" s="300" t="e">
        <f>HLOOKUP(AV$2,id2_asset,asset!$A42,FALSE)</f>
        <v>#N/A</v>
      </c>
      <c r="AW51" s="300" t="e">
        <f>HLOOKUP(AW$2,id2_asset,asset!$A42,FALSE)</f>
        <v>#N/A</v>
      </c>
      <c r="AX51" s="300" t="e">
        <f>HLOOKUP(AX$2,id2_asset,asset!$A42,FALSE)</f>
        <v>#N/A</v>
      </c>
      <c r="AY51" s="300" t="e">
        <f>HLOOKUP(AY$2,id2_asset,asset!$A42,FALSE)</f>
        <v>#N/A</v>
      </c>
      <c r="AZ51" s="300" t="e">
        <f>HLOOKUP(AZ$2,id2_asset,asset!$A42,FALSE)</f>
        <v>#N/A</v>
      </c>
      <c r="BA51" s="300" t="e">
        <f>HLOOKUP(BA$2,id2_asset,asset!$A42,FALSE)</f>
        <v>#N/A</v>
      </c>
    </row>
    <row r="52" spans="1:53">
      <c r="A52" s="285">
        <v>61</v>
      </c>
      <c r="B52" s="189" t="s">
        <v>1138</v>
      </c>
      <c r="C52" s="431"/>
      <c r="D52" s="292"/>
      <c r="E52" s="292"/>
      <c r="F52" s="292"/>
      <c r="G52" s="292"/>
      <c r="H52" s="292"/>
      <c r="I52" s="292"/>
      <c r="J52" s="292"/>
      <c r="K52" s="292"/>
      <c r="L52" s="292"/>
      <c r="M52" s="292"/>
      <c r="N52" s="292"/>
      <c r="O52" s="292"/>
      <c r="P52" s="292"/>
      <c r="Q52" s="292"/>
      <c r="R52" s="292"/>
      <c r="S52" s="292"/>
      <c r="T52" s="292"/>
      <c r="U52" s="292"/>
      <c r="V52" s="292"/>
      <c r="W52" s="292"/>
      <c r="X52" s="292"/>
      <c r="Y52" s="292"/>
      <c r="Z52" s="292"/>
      <c r="AA52" s="292"/>
      <c r="AB52" s="292"/>
      <c r="AC52" s="292"/>
      <c r="AD52" s="292"/>
      <c r="AE52" s="292"/>
      <c r="AF52" s="292"/>
      <c r="AG52" s="292"/>
      <c r="AH52" s="292"/>
      <c r="AI52" s="292"/>
      <c r="AJ52" s="292"/>
      <c r="AK52" s="292"/>
      <c r="AL52" s="292"/>
      <c r="AM52" s="292"/>
      <c r="AN52" s="292"/>
      <c r="AO52" s="292"/>
      <c r="AP52" s="292"/>
      <c r="AQ52" s="292"/>
      <c r="AR52" s="292"/>
      <c r="AS52" s="292"/>
      <c r="AT52" s="292"/>
      <c r="AU52" s="292"/>
      <c r="AV52" s="292"/>
      <c r="AW52" s="292"/>
      <c r="AX52" s="292"/>
      <c r="AY52" s="292"/>
      <c r="AZ52" s="292"/>
      <c r="BA52" s="292"/>
    </row>
    <row r="53" spans="1:53">
      <c r="A53" s="277">
        <v>62</v>
      </c>
      <c r="B53" s="15" t="s">
        <v>1139</v>
      </c>
      <c r="C53" s="432">
        <f t="shared" ref="C53:U53" si="21">C39/C22</f>
        <v>8.2328593842453862E-2</v>
      </c>
      <c r="D53" s="301">
        <f t="shared" si="21"/>
        <v>9.7231718061674008E-2</v>
      </c>
      <c r="E53" s="301">
        <f t="shared" si="21"/>
        <v>8.9580722891566267E-2</v>
      </c>
      <c r="F53" s="301">
        <f t="shared" si="21"/>
        <v>8.7062228571428577E-2</v>
      </c>
      <c r="G53" s="301">
        <f t="shared" si="21"/>
        <v>9.5797361477572562E-2</v>
      </c>
      <c r="H53" s="301">
        <f t="shared" si="21"/>
        <v>0.11394004067796611</v>
      </c>
      <c r="I53" s="301">
        <f t="shared" si="21"/>
        <v>8.5244036697247713E-2</v>
      </c>
      <c r="J53" s="301">
        <f t="shared" si="21"/>
        <v>7.5878571428571434E-2</v>
      </c>
      <c r="K53" s="301">
        <f t="shared" si="21"/>
        <v>9.6916484210526316E-2</v>
      </c>
      <c r="L53" s="301">
        <f t="shared" si="21"/>
        <v>7.4894959999999997E-2</v>
      </c>
      <c r="M53" s="301">
        <f t="shared" si="21"/>
        <v>6.9000000000000006E-2</v>
      </c>
      <c r="N53" s="301">
        <f t="shared" si="21"/>
        <v>7.5149999999999995E-2</v>
      </c>
      <c r="O53" s="301">
        <f t="shared" si="21"/>
        <v>7.3966571428571423E-2</v>
      </c>
      <c r="P53" s="301">
        <f t="shared" si="21"/>
        <v>7.7951432727272729E-2</v>
      </c>
      <c r="Q53" s="301">
        <f t="shared" si="21"/>
        <v>8.3654237288135591E-2</v>
      </c>
      <c r="R53" s="301">
        <f t="shared" si="21"/>
        <v>7.9412307692307699E-2</v>
      </c>
      <c r="S53" s="301">
        <f t="shared" si="21"/>
        <v>7.1834482758620685E-2</v>
      </c>
      <c r="T53" s="301">
        <f t="shared" si="21"/>
        <v>7.9200000000000007E-2</v>
      </c>
      <c r="U53" s="301">
        <f t="shared" si="21"/>
        <v>6.4000000000000001E-2</v>
      </c>
      <c r="V53" s="301">
        <f t="shared" ref="V53:W53" si="22">V39/V22</f>
        <v>7.8504672897196259E-2</v>
      </c>
      <c r="W53" s="301">
        <f t="shared" si="22"/>
        <v>4.7199999999999999E-2</v>
      </c>
      <c r="X53" s="301" t="e">
        <f t="shared" ref="X53:BA53" si="23">X39/X22</f>
        <v>#DIV/0!</v>
      </c>
      <c r="Y53" s="301" t="e">
        <f t="shared" si="23"/>
        <v>#DIV/0!</v>
      </c>
      <c r="Z53" s="301" t="e">
        <f t="shared" si="23"/>
        <v>#DIV/0!</v>
      </c>
      <c r="AA53" s="301" t="e">
        <f t="shared" si="23"/>
        <v>#DIV/0!</v>
      </c>
      <c r="AB53" s="301" t="e">
        <f t="shared" si="23"/>
        <v>#DIV/0!</v>
      </c>
      <c r="AC53" s="301" t="e">
        <f t="shared" si="23"/>
        <v>#DIV/0!</v>
      </c>
      <c r="AD53" s="301" t="e">
        <f t="shared" si="23"/>
        <v>#DIV/0!</v>
      </c>
      <c r="AE53" s="301" t="e">
        <f t="shared" si="23"/>
        <v>#DIV/0!</v>
      </c>
      <c r="AF53" s="301" t="e">
        <f t="shared" si="23"/>
        <v>#DIV/0!</v>
      </c>
      <c r="AG53" s="301" t="e">
        <f t="shared" si="23"/>
        <v>#DIV/0!</v>
      </c>
      <c r="AH53" s="301" t="e">
        <f t="shared" si="23"/>
        <v>#DIV/0!</v>
      </c>
      <c r="AI53" s="301" t="e">
        <f t="shared" si="23"/>
        <v>#DIV/0!</v>
      </c>
      <c r="AJ53" s="301" t="e">
        <f t="shared" si="23"/>
        <v>#DIV/0!</v>
      </c>
      <c r="AK53" s="301" t="e">
        <f t="shared" si="23"/>
        <v>#DIV/0!</v>
      </c>
      <c r="AL53" s="301" t="e">
        <f t="shared" si="23"/>
        <v>#DIV/0!</v>
      </c>
      <c r="AM53" s="301" t="e">
        <f t="shared" si="23"/>
        <v>#DIV/0!</v>
      </c>
      <c r="AN53" s="301" t="e">
        <f t="shared" si="23"/>
        <v>#DIV/0!</v>
      </c>
      <c r="AO53" s="301" t="e">
        <f t="shared" si="23"/>
        <v>#DIV/0!</v>
      </c>
      <c r="AP53" s="301" t="e">
        <f t="shared" si="23"/>
        <v>#DIV/0!</v>
      </c>
      <c r="AQ53" s="301" t="e">
        <f t="shared" si="23"/>
        <v>#DIV/0!</v>
      </c>
      <c r="AR53" s="301" t="e">
        <f t="shared" si="23"/>
        <v>#DIV/0!</v>
      </c>
      <c r="AS53" s="301" t="e">
        <f t="shared" si="23"/>
        <v>#DIV/0!</v>
      </c>
      <c r="AT53" s="301" t="e">
        <f t="shared" si="23"/>
        <v>#DIV/0!</v>
      </c>
      <c r="AU53" s="301" t="e">
        <f t="shared" si="23"/>
        <v>#DIV/0!</v>
      </c>
      <c r="AV53" s="301" t="e">
        <f t="shared" si="23"/>
        <v>#DIV/0!</v>
      </c>
      <c r="AW53" s="301" t="e">
        <f t="shared" si="23"/>
        <v>#DIV/0!</v>
      </c>
      <c r="AX53" s="301" t="e">
        <f t="shared" si="23"/>
        <v>#DIV/0!</v>
      </c>
      <c r="AY53" s="301" t="e">
        <f t="shared" si="23"/>
        <v>#DIV/0!</v>
      </c>
      <c r="AZ53" s="301" t="e">
        <f t="shared" si="23"/>
        <v>#DIV/0!</v>
      </c>
      <c r="BA53" s="301" t="e">
        <f t="shared" si="23"/>
        <v>#DIV/0!</v>
      </c>
    </row>
    <row r="54" spans="1:53">
      <c r="A54" s="277">
        <v>63</v>
      </c>
      <c r="B54" s="15" t="s">
        <v>1140</v>
      </c>
      <c r="C54" s="433">
        <f t="shared" ref="C54:U54" si="24">C42/C22</f>
        <v>8.0870700692867101E-2</v>
      </c>
      <c r="D54" s="301">
        <f t="shared" si="24"/>
        <v>9.7231718061674008E-2</v>
      </c>
      <c r="E54" s="301">
        <f t="shared" si="24"/>
        <v>8.9580722891566267E-2</v>
      </c>
      <c r="F54" s="301">
        <f t="shared" si="24"/>
        <v>8.7062228571428577E-2</v>
      </c>
      <c r="G54" s="301">
        <f t="shared" si="24"/>
        <v>8.4652242744063327E-2</v>
      </c>
      <c r="H54" s="301">
        <f t="shared" si="24"/>
        <v>0.1056334372881356</v>
      </c>
      <c r="I54" s="301">
        <f t="shared" si="24"/>
        <v>8.5244036697247713E-2</v>
      </c>
      <c r="J54" s="301">
        <f t="shared" si="24"/>
        <v>7.5878571428571434E-2</v>
      </c>
      <c r="K54" s="301">
        <f t="shared" si="24"/>
        <v>9.6916484210526316E-2</v>
      </c>
      <c r="L54" s="301">
        <f t="shared" si="24"/>
        <v>7.4894959999999997E-2</v>
      </c>
      <c r="M54" s="301">
        <f t="shared" si="24"/>
        <v>6.9000000000000006E-2</v>
      </c>
      <c r="N54" s="301">
        <f t="shared" si="24"/>
        <v>7.5149999999999995E-2</v>
      </c>
      <c r="O54" s="301">
        <f t="shared" si="24"/>
        <v>7.3966571428571423E-2</v>
      </c>
      <c r="P54" s="301">
        <f t="shared" si="24"/>
        <v>7.7951432727272729E-2</v>
      </c>
      <c r="Q54" s="301">
        <f t="shared" si="24"/>
        <v>8.3654237288135591E-2</v>
      </c>
      <c r="R54" s="301">
        <f t="shared" si="24"/>
        <v>7.8092307692307697E-2</v>
      </c>
      <c r="S54" s="301">
        <f t="shared" si="24"/>
        <v>7.1834482758620685E-2</v>
      </c>
      <c r="T54" s="301">
        <f t="shared" si="24"/>
        <v>7.9200000000000007E-2</v>
      </c>
      <c r="U54" s="301">
        <f t="shared" si="24"/>
        <v>6.4000000000000001E-2</v>
      </c>
      <c r="V54" s="301">
        <f t="shared" ref="V54:W54" si="25">V42/V22</f>
        <v>0</v>
      </c>
      <c r="W54" s="301">
        <f t="shared" si="25"/>
        <v>0</v>
      </c>
      <c r="X54" s="301" t="e">
        <f t="shared" ref="X54:BA54" si="26">X42/X22</f>
        <v>#REF!</v>
      </c>
      <c r="Y54" s="301" t="e">
        <f t="shared" si="26"/>
        <v>#REF!</v>
      </c>
      <c r="Z54" s="301" t="e">
        <f t="shared" si="26"/>
        <v>#REF!</v>
      </c>
      <c r="AA54" s="301" t="e">
        <f t="shared" si="26"/>
        <v>#REF!</v>
      </c>
      <c r="AB54" s="301" t="e">
        <f t="shared" si="26"/>
        <v>#REF!</v>
      </c>
      <c r="AC54" s="301" t="e">
        <f t="shared" si="26"/>
        <v>#REF!</v>
      </c>
      <c r="AD54" s="301" t="e">
        <f t="shared" si="26"/>
        <v>#REF!</v>
      </c>
      <c r="AE54" s="301" t="e">
        <f t="shared" si="26"/>
        <v>#REF!</v>
      </c>
      <c r="AF54" s="301" t="e">
        <f t="shared" si="26"/>
        <v>#REF!</v>
      </c>
      <c r="AG54" s="301" t="e">
        <f t="shared" si="26"/>
        <v>#REF!</v>
      </c>
      <c r="AH54" s="301" t="e">
        <f t="shared" si="26"/>
        <v>#REF!</v>
      </c>
      <c r="AI54" s="301" t="e">
        <f t="shared" si="26"/>
        <v>#REF!</v>
      </c>
      <c r="AJ54" s="301" t="e">
        <f t="shared" si="26"/>
        <v>#REF!</v>
      </c>
      <c r="AK54" s="301" t="e">
        <f t="shared" si="26"/>
        <v>#REF!</v>
      </c>
      <c r="AL54" s="301" t="e">
        <f t="shared" si="26"/>
        <v>#REF!</v>
      </c>
      <c r="AM54" s="301" t="e">
        <f t="shared" si="26"/>
        <v>#REF!</v>
      </c>
      <c r="AN54" s="301" t="e">
        <f t="shared" si="26"/>
        <v>#REF!</v>
      </c>
      <c r="AO54" s="301" t="e">
        <f t="shared" si="26"/>
        <v>#REF!</v>
      </c>
      <c r="AP54" s="301" t="e">
        <f t="shared" si="26"/>
        <v>#REF!</v>
      </c>
      <c r="AQ54" s="301" t="e">
        <f t="shared" si="26"/>
        <v>#REF!</v>
      </c>
      <c r="AR54" s="301" t="e">
        <f t="shared" si="26"/>
        <v>#REF!</v>
      </c>
      <c r="AS54" s="301" t="e">
        <f t="shared" si="26"/>
        <v>#REF!</v>
      </c>
      <c r="AT54" s="301" t="e">
        <f t="shared" si="26"/>
        <v>#REF!</v>
      </c>
      <c r="AU54" s="301" t="e">
        <f t="shared" si="26"/>
        <v>#REF!</v>
      </c>
      <c r="AV54" s="301" t="e">
        <f t="shared" si="26"/>
        <v>#REF!</v>
      </c>
      <c r="AW54" s="301" t="e">
        <f t="shared" si="26"/>
        <v>#REF!</v>
      </c>
      <c r="AX54" s="301" t="e">
        <f t="shared" si="26"/>
        <v>#REF!</v>
      </c>
      <c r="AY54" s="301" t="e">
        <f t="shared" si="26"/>
        <v>#REF!</v>
      </c>
      <c r="AZ54" s="301" t="e">
        <f t="shared" si="26"/>
        <v>#REF!</v>
      </c>
      <c r="BA54" s="301" t="e">
        <f t="shared" si="26"/>
        <v>#REF!</v>
      </c>
    </row>
    <row r="55" spans="1:53">
      <c r="A55" s="277">
        <v>64</v>
      </c>
      <c r="B55" s="191" t="s">
        <v>939</v>
      </c>
      <c r="C55" s="433">
        <f>C39/(C56*10000)</f>
        <v>6.4531378815080795E-2</v>
      </c>
      <c r="D55" s="302">
        <f>HLOOKUP(D2,id2_asset,asset!$A44,FALSE)</f>
        <v>6.5000000000000002E-2</v>
      </c>
      <c r="E55" s="302">
        <f>HLOOKUP(E2,id2_asset,asset!$A44,FALSE)</f>
        <v>6.8000000000000005E-2</v>
      </c>
      <c r="F55" s="302">
        <f>HLOOKUP(F2,id2_asset,asset!$A44,FALSE)</f>
        <v>7.4999999999999997E-2</v>
      </c>
      <c r="G55" s="302">
        <f>HLOOKUP(G2,id2_asset,asset!$A44,FALSE)</f>
        <v>5.8000000000000003E-2</v>
      </c>
      <c r="H55" s="302">
        <f>HLOOKUP(H2,id2_asset,asset!$A44,FALSE)</f>
        <v>5.8999999999999997E-2</v>
      </c>
      <c r="I55" s="302">
        <f>HLOOKUP(I2,id2_asset,asset!$A44,FALSE)</f>
        <v>6.0999999999999999E-2</v>
      </c>
      <c r="J55" s="302">
        <f>HLOOKUP(J2,id2_asset,asset!$A44,FALSE)</f>
        <v>6.5000000000000002E-2</v>
      </c>
      <c r="K55" s="302">
        <f>HLOOKUP(K2,id2_asset,asset!$A44,FALSE)</f>
        <v>7.4999999999999997E-2</v>
      </c>
      <c r="L55" s="302">
        <f>HLOOKUP(L2,id2_asset,asset!$A44,FALSE)</f>
        <v>5.8999999999999997E-2</v>
      </c>
      <c r="M55" s="302">
        <f>HLOOKUP(M2,id2_asset,asset!$A44,FALSE)</f>
        <v>6.0999999999999999E-2</v>
      </c>
      <c r="N55" s="302">
        <f>HLOOKUP(N2,id2_asset,asset!$A44,FALSE)</f>
        <v>6.5000000000000002E-2</v>
      </c>
      <c r="O55" s="302">
        <f>HLOOKUP(O2,id2_asset,asset!$A44,FALSE)</f>
        <v>6.8000000000000005E-2</v>
      </c>
      <c r="P55" s="302">
        <f>HLOOKUP(P2,id2_asset,asset!$A44,FALSE)</f>
        <v>7.4999999999999997E-2</v>
      </c>
      <c r="Q55" s="302">
        <f>HLOOKUP(Q2,id2_asset,asset!$A44,FALSE)</f>
        <v>5.8000000000000003E-2</v>
      </c>
      <c r="R55" s="302">
        <f>HLOOKUP(R2,id2_asset,asset!$A44,FALSE)</f>
        <v>5.8000000000000003E-2</v>
      </c>
      <c r="S55" s="302">
        <f>HLOOKUP(S2,id2_asset,asset!$A44,FALSE)</f>
        <v>6.8000000000000005E-2</v>
      </c>
      <c r="T55" s="302">
        <f>HLOOKUP(T2,id2_asset,asset!$A44,FALSE)</f>
        <v>0.05</v>
      </c>
      <c r="U55" s="302">
        <f>HLOOKUP(U2,id2_asset,asset!$A44,FALSE)</f>
        <v>0.05</v>
      </c>
      <c r="V55" s="302">
        <f>HLOOKUP(V2,id2_asset,asset!$A44,FALSE)</f>
        <v>5.8999999999999997E-2</v>
      </c>
      <c r="W55" s="302">
        <f>HLOOKUP(W2,id2_asset,asset!$A44,FALSE)</f>
        <v>0</v>
      </c>
      <c r="X55" s="302" t="e">
        <f>HLOOKUP(X2,id2_asset,asset!$A44,FALSE)</f>
        <v>#N/A</v>
      </c>
      <c r="Y55" s="302" t="e">
        <f>HLOOKUP(Y2,id2_asset,asset!$A44,FALSE)</f>
        <v>#N/A</v>
      </c>
      <c r="Z55" s="302" t="e">
        <f>HLOOKUP(Z2,id2_asset,asset!$A44,FALSE)</f>
        <v>#N/A</v>
      </c>
      <c r="AA55" s="302" t="e">
        <f>HLOOKUP(AA2,id2_asset,asset!$A44,FALSE)</f>
        <v>#N/A</v>
      </c>
      <c r="AB55" s="302" t="e">
        <f>HLOOKUP(AB2,id2_asset,asset!$A44,FALSE)</f>
        <v>#N/A</v>
      </c>
      <c r="AC55" s="302" t="e">
        <f>HLOOKUP(AC2,id2_asset,asset!$A44,FALSE)</f>
        <v>#N/A</v>
      </c>
      <c r="AD55" s="302" t="e">
        <f>HLOOKUP(AD2,id2_asset,asset!$A44,FALSE)</f>
        <v>#N/A</v>
      </c>
      <c r="AE55" s="302" t="e">
        <f>HLOOKUP(AE2,id2_asset,asset!$A44,FALSE)</f>
        <v>#N/A</v>
      </c>
      <c r="AF55" s="302" t="e">
        <f>HLOOKUP(AF2,id2_asset,asset!$A44,FALSE)</f>
        <v>#N/A</v>
      </c>
      <c r="AG55" s="302" t="e">
        <f>HLOOKUP(AG2,id2_asset,asset!$A44,FALSE)</f>
        <v>#N/A</v>
      </c>
      <c r="AH55" s="302" t="e">
        <f>HLOOKUP(AH2,id2_asset,asset!$A44,FALSE)</f>
        <v>#N/A</v>
      </c>
      <c r="AI55" s="302" t="e">
        <f>HLOOKUP(AI2,id2_asset,asset!$A44,FALSE)</f>
        <v>#N/A</v>
      </c>
      <c r="AJ55" s="302" t="e">
        <f>HLOOKUP(AJ2,id2_asset,asset!$A44,FALSE)</f>
        <v>#N/A</v>
      </c>
      <c r="AK55" s="302" t="e">
        <f>HLOOKUP(AK2,id2_asset,asset!$A44,FALSE)</f>
        <v>#N/A</v>
      </c>
      <c r="AL55" s="302" t="e">
        <f>HLOOKUP(AL2,id2_asset,asset!$A44,FALSE)</f>
        <v>#N/A</v>
      </c>
      <c r="AM55" s="302" t="e">
        <f>HLOOKUP(AM2,id2_asset,asset!$A44,FALSE)</f>
        <v>#N/A</v>
      </c>
      <c r="AN55" s="302" t="e">
        <f>HLOOKUP(AN2,id2_asset,asset!$A44,FALSE)</f>
        <v>#N/A</v>
      </c>
      <c r="AO55" s="302" t="e">
        <f>HLOOKUP(AO2,id2_asset,asset!$A44,FALSE)</f>
        <v>#N/A</v>
      </c>
      <c r="AP55" s="302" t="e">
        <f>HLOOKUP(AP2,id2_asset,asset!$A44,FALSE)</f>
        <v>#N/A</v>
      </c>
      <c r="AQ55" s="302" t="e">
        <f>HLOOKUP(AQ2,id2_asset,asset!$A44,FALSE)</f>
        <v>#N/A</v>
      </c>
      <c r="AR55" s="302" t="e">
        <f>HLOOKUP(AR2,id2_asset,asset!$A44,FALSE)</f>
        <v>#N/A</v>
      </c>
      <c r="AS55" s="302" t="e">
        <f>HLOOKUP(AS2,id2_asset,asset!$A44,FALSE)</f>
        <v>#N/A</v>
      </c>
      <c r="AT55" s="302" t="e">
        <f>HLOOKUP(AT2,id2_asset,asset!$A44,FALSE)</f>
        <v>#N/A</v>
      </c>
      <c r="AU55" s="302" t="e">
        <f>HLOOKUP(AU2,id2_asset,asset!$A44,FALSE)</f>
        <v>#N/A</v>
      </c>
      <c r="AV55" s="302" t="e">
        <f>HLOOKUP(AV2,id2_asset,asset!$A44,FALSE)</f>
        <v>#N/A</v>
      </c>
      <c r="AW55" s="302" t="e">
        <f>HLOOKUP(AW2,id2_asset,asset!$A44,FALSE)</f>
        <v>#N/A</v>
      </c>
      <c r="AX55" s="302" t="e">
        <f>HLOOKUP(AX2,id2_asset,asset!$A44,FALSE)</f>
        <v>#N/A</v>
      </c>
      <c r="AY55" s="302" t="e">
        <f>HLOOKUP(AY2,id2_asset,asset!$A44,FALSE)</f>
        <v>#N/A</v>
      </c>
      <c r="AZ55" s="302" t="e">
        <f>HLOOKUP(AZ2,id2_asset,asset!$A44,FALSE)</f>
        <v>#N/A</v>
      </c>
      <c r="BA55" s="302" t="e">
        <f>HLOOKUP(BA2,id2_asset,asset!$A44,FALSE)</f>
        <v>#N/A</v>
      </c>
    </row>
    <row r="56" spans="1:53">
      <c r="A56" s="277">
        <v>65</v>
      </c>
      <c r="B56" s="191" t="s">
        <v>941</v>
      </c>
      <c r="C56" s="434">
        <f>VLOOKUP($B56,id3_asset_sum,4,FALSE)/10000</f>
        <v>668400</v>
      </c>
      <c r="D56" s="303">
        <f>HLOOKUP(D2,id2_asset,asset!$A$45,FALSE)/10000</f>
        <v>34000</v>
      </c>
      <c r="E56" s="303">
        <f>HLOOKUP(E2,id2_asset,asset!$A$45,FALSE)/10000</f>
        <v>54700</v>
      </c>
      <c r="F56" s="303">
        <f>HLOOKUP(F2,id2_asset,asset!$A$45,FALSE)/10000</f>
        <v>48800</v>
      </c>
      <c r="G56" s="303">
        <f>HLOOKUP(G2,id2_asset,asset!$A$45,FALSE)/10000</f>
        <v>15600</v>
      </c>
      <c r="H56" s="303">
        <f>HLOOKUP(H2,id2_asset,asset!$A$45,FALSE)/10000</f>
        <v>57000</v>
      </c>
      <c r="I56" s="303">
        <f>HLOOKUP(I2,id2_asset,asset!$A$45,FALSE)/10000</f>
        <v>60900</v>
      </c>
      <c r="J56" s="303">
        <f>HLOOKUP(J2,id2_asset,asset!$A$45,FALSE)/10000</f>
        <v>45800</v>
      </c>
      <c r="K56" s="303">
        <f>HLOOKUP(K2,id2_asset,asset!$A$45,FALSE)/10000</f>
        <v>24600</v>
      </c>
      <c r="L56" s="303">
        <f>HLOOKUP(L2,id2_asset,asset!$A$45,FALSE)/10000</f>
        <v>38100</v>
      </c>
      <c r="M56" s="303">
        <f>HLOOKUP(M2,id2_asset,asset!$A$45,FALSE)/10000</f>
        <v>49800</v>
      </c>
      <c r="N56" s="303">
        <f>HLOOKUP(N2,id2_asset,asset!$A$45,FALSE)/10000</f>
        <v>55500</v>
      </c>
      <c r="O56" s="303">
        <f>HLOOKUP(O2,id2_asset,asset!$A$45,FALSE)/10000</f>
        <v>22800</v>
      </c>
      <c r="P56" s="303">
        <f>HLOOKUP(P2,id2_asset,asset!$A$45,FALSE)/10000</f>
        <v>57200</v>
      </c>
      <c r="Q56" s="303">
        <f>HLOOKUP(Q2,id2_asset,asset!$A$45,FALSE)/10000</f>
        <v>51100</v>
      </c>
      <c r="R56" s="303">
        <f>HLOOKUP(R2,id2_asset,asset!$A$45,FALSE)/10000</f>
        <v>17800</v>
      </c>
      <c r="S56" s="303">
        <f>HLOOKUP(S2,id2_asset,asset!$A$45,FALSE)/10000</f>
        <v>15300</v>
      </c>
      <c r="T56" s="303">
        <f>HLOOKUP(T2,id2_asset,asset!$A$45,FALSE)/10000</f>
        <v>7900</v>
      </c>
      <c r="U56" s="303">
        <f>HLOOKUP(U2,id2_asset,asset!$A$45,FALSE)/10000</f>
        <v>3800</v>
      </c>
      <c r="V56" s="303">
        <f>HLOOKUP(V2,id2_asset,asset!$A$45,FALSE)/10000</f>
        <v>700</v>
      </c>
      <c r="W56" s="303">
        <f>HLOOKUP(W2,id2_asset,asset!$A$45,FALSE)/10000</f>
        <v>7000</v>
      </c>
      <c r="X56" s="303" t="e">
        <f>HLOOKUP(X2,id2_asset,asset!$A$45,FALSE)/10000</f>
        <v>#N/A</v>
      </c>
      <c r="Y56" s="303" t="e">
        <f>HLOOKUP(Y2,id2_asset,asset!$A$45,FALSE)/10000</f>
        <v>#N/A</v>
      </c>
      <c r="Z56" s="303" t="e">
        <f>HLOOKUP(Z2,id2_asset,asset!$A$45,FALSE)/10000</f>
        <v>#N/A</v>
      </c>
      <c r="AA56" s="303" t="e">
        <f>HLOOKUP(AA2,id2_asset,asset!$A$45,FALSE)/10000</f>
        <v>#N/A</v>
      </c>
      <c r="AB56" s="303" t="e">
        <f>HLOOKUP(AB2,id2_asset,asset!$A$45,FALSE)/10000</f>
        <v>#N/A</v>
      </c>
      <c r="AC56" s="303" t="e">
        <f>HLOOKUP(AC2,id2_asset,asset!$A$45,FALSE)/10000</f>
        <v>#N/A</v>
      </c>
      <c r="AD56" s="303" t="e">
        <f>HLOOKUP(AD2,id2_asset,asset!$A$45,FALSE)/10000</f>
        <v>#N/A</v>
      </c>
      <c r="AE56" s="303" t="e">
        <f>HLOOKUP(AE2,id2_asset,asset!$A$45,FALSE)/10000</f>
        <v>#N/A</v>
      </c>
      <c r="AF56" s="303" t="e">
        <f>HLOOKUP(AF2,id2_asset,asset!$A$45,FALSE)/10000</f>
        <v>#N/A</v>
      </c>
      <c r="AG56" s="303" t="e">
        <f>HLOOKUP(AG2,id2_asset,asset!$A$45,FALSE)/10000</f>
        <v>#N/A</v>
      </c>
      <c r="AH56" s="303" t="e">
        <f>HLOOKUP(AH2,id2_asset,asset!$A$45,FALSE)/10000</f>
        <v>#N/A</v>
      </c>
      <c r="AI56" s="303" t="e">
        <f>HLOOKUP(AI2,id2_asset,asset!$A$45,FALSE)/10000</f>
        <v>#N/A</v>
      </c>
      <c r="AJ56" s="303" t="e">
        <f>HLOOKUP(AJ2,id2_asset,asset!$A$45,FALSE)/10000</f>
        <v>#N/A</v>
      </c>
      <c r="AK56" s="303" t="e">
        <f>HLOOKUP(AK2,id2_asset,asset!$A$45,FALSE)/10000</f>
        <v>#N/A</v>
      </c>
      <c r="AL56" s="303" t="e">
        <f>HLOOKUP(AL2,id2_asset,asset!$A$45,FALSE)/10000</f>
        <v>#N/A</v>
      </c>
      <c r="AM56" s="303" t="e">
        <f>HLOOKUP(AM2,id2_asset,asset!$A$45,FALSE)/10000</f>
        <v>#N/A</v>
      </c>
      <c r="AN56" s="303" t="e">
        <f>HLOOKUP(AN2,id2_asset,asset!$A$45,FALSE)/10000</f>
        <v>#N/A</v>
      </c>
      <c r="AO56" s="303" t="e">
        <f>HLOOKUP(AO2,id2_asset,asset!$A$45,FALSE)/10000</f>
        <v>#N/A</v>
      </c>
      <c r="AP56" s="303" t="e">
        <f>HLOOKUP(AP2,id2_asset,asset!$A$45,FALSE)/10000</f>
        <v>#N/A</v>
      </c>
      <c r="AQ56" s="303" t="e">
        <f>HLOOKUP(AQ2,id2_asset,asset!$A$45,FALSE)/10000</f>
        <v>#N/A</v>
      </c>
      <c r="AR56" s="303" t="e">
        <f>HLOOKUP(AR2,id2_asset,asset!$A$45,FALSE)/10000</f>
        <v>#N/A</v>
      </c>
      <c r="AS56" s="303" t="e">
        <f>HLOOKUP(AS2,id2_asset,asset!$A$45,FALSE)/10000</f>
        <v>#N/A</v>
      </c>
      <c r="AT56" s="303" t="e">
        <f>HLOOKUP(AT2,id2_asset,asset!$A$45,FALSE)/10000</f>
        <v>#N/A</v>
      </c>
      <c r="AU56" s="303" t="e">
        <f>HLOOKUP(AU2,id2_asset,asset!$A$45,FALSE)/10000</f>
        <v>#N/A</v>
      </c>
      <c r="AV56" s="303" t="e">
        <f>HLOOKUP(AV2,id2_asset,asset!$A$45,FALSE)/10000</f>
        <v>#N/A</v>
      </c>
      <c r="AW56" s="303" t="e">
        <f>HLOOKUP(AW2,id2_asset,asset!$A$45,FALSE)/10000</f>
        <v>#N/A</v>
      </c>
      <c r="AX56" s="303" t="e">
        <f>HLOOKUP(AX2,id2_asset,asset!$A$45,FALSE)/10000</f>
        <v>#N/A</v>
      </c>
      <c r="AY56" s="303" t="e">
        <f>HLOOKUP(AY2,id2_asset,asset!$A$45,FALSE)/10000</f>
        <v>#N/A</v>
      </c>
      <c r="AZ56" s="303" t="e">
        <f>HLOOKUP(AZ2,id2_asset,asset!$A$45,FALSE)/10000</f>
        <v>#N/A</v>
      </c>
      <c r="BA56" s="303" t="e">
        <f>HLOOKUP(BA2,id2_asset,asset!$A$45,FALSE)/10000</f>
        <v>#N/A</v>
      </c>
    </row>
    <row r="57" spans="1:53">
      <c r="A57" s="277">
        <v>66</v>
      </c>
      <c r="B57" s="191" t="s">
        <v>955</v>
      </c>
      <c r="C57" s="430">
        <f>asset!E55</f>
        <v>0.95490716180371349</v>
      </c>
      <c r="D57" s="304">
        <f>HLOOKUP(D2,id2_asset,asset!$A55,FALSE)</f>
        <v>0.95490716180371349</v>
      </c>
      <c r="E57" s="304">
        <f>HLOOKUP(E2,id2_asset,asset!$A55,FALSE)</f>
        <v>0.95490716180371349</v>
      </c>
      <c r="F57" s="304">
        <f>HLOOKUP(F2,id2_asset,asset!$A55,FALSE)</f>
        <v>0.95490716180371349</v>
      </c>
      <c r="G57" s="304">
        <f>HLOOKUP(G2,id2_asset,asset!$A55,FALSE)</f>
        <v>0.95490716180371349</v>
      </c>
      <c r="H57" s="304">
        <f>HLOOKUP(H2,id2_asset,asset!$A55,FALSE)</f>
        <v>0.95490716180371349</v>
      </c>
      <c r="I57" s="304">
        <f>HLOOKUP(I2,id2_asset,asset!$A55,FALSE)</f>
        <v>0.95490716180371349</v>
      </c>
      <c r="J57" s="304">
        <f>HLOOKUP(J2,id2_asset,asset!$A55,FALSE)</f>
        <v>0.95490716180371349</v>
      </c>
      <c r="K57" s="304">
        <f>HLOOKUP(K2,id2_asset,asset!$A55,FALSE)</f>
        <v>0.95490716180371349</v>
      </c>
      <c r="L57" s="304">
        <f>HLOOKUP(L2,id2_asset,asset!$A55,FALSE)</f>
        <v>0.95490716180371349</v>
      </c>
      <c r="M57" s="304">
        <f>HLOOKUP(M2,id2_asset,asset!$A55,FALSE)</f>
        <v>0.95490716180371349</v>
      </c>
      <c r="N57" s="304">
        <f>HLOOKUP(N2,id2_asset,asset!$A55,FALSE)</f>
        <v>0.95490716180371349</v>
      </c>
      <c r="O57" s="304">
        <f>HLOOKUP(O2,id2_asset,asset!$A55,FALSE)</f>
        <v>0.95490716180371349</v>
      </c>
      <c r="P57" s="304">
        <f>HLOOKUP(P2,id2_asset,asset!$A55,FALSE)</f>
        <v>0.95490716180371349</v>
      </c>
      <c r="Q57" s="304">
        <f>HLOOKUP(Q2,id2_asset,asset!$A55,FALSE)</f>
        <v>0.95490716180371349</v>
      </c>
      <c r="R57" s="304">
        <f>HLOOKUP(R2,id2_asset,asset!$A55,FALSE)</f>
        <v>0.95490716180371349</v>
      </c>
      <c r="S57" s="304">
        <f>HLOOKUP(S2,id2_asset,asset!$A55,FALSE)</f>
        <v>0.95490716180371349</v>
      </c>
      <c r="T57" s="304">
        <f>HLOOKUP(T2,id2_asset,asset!$A55,FALSE)</f>
        <v>0.95490716180371349</v>
      </c>
      <c r="U57" s="304">
        <f>HLOOKUP(U2,id2_asset,asset!$A55,FALSE)</f>
        <v>0.95490716180371349</v>
      </c>
      <c r="V57" s="304">
        <f>HLOOKUP(V2,id2_asset,asset!$A55,FALSE)</f>
        <v>0.95490716180371349</v>
      </c>
      <c r="W57" s="304">
        <f>HLOOKUP(W2,id2_asset,asset!$A55,FALSE)</f>
        <v>0.95490716180371349</v>
      </c>
      <c r="X57" s="304" t="e">
        <f>HLOOKUP(X2,id2_asset,asset!$A55,FALSE)</f>
        <v>#N/A</v>
      </c>
      <c r="Y57" s="304" t="e">
        <f>HLOOKUP(Y2,id2_asset,asset!$A55,FALSE)</f>
        <v>#N/A</v>
      </c>
      <c r="Z57" s="304" t="e">
        <f>HLOOKUP(Z2,id2_asset,asset!$A55,FALSE)</f>
        <v>#N/A</v>
      </c>
      <c r="AA57" s="304" t="e">
        <f>HLOOKUP(AA2,id2_asset,asset!$A55,FALSE)</f>
        <v>#N/A</v>
      </c>
      <c r="AB57" s="304" t="e">
        <f>HLOOKUP(AB2,id2_asset,asset!$A55,FALSE)</f>
        <v>#N/A</v>
      </c>
      <c r="AC57" s="304" t="e">
        <f>HLOOKUP(AC2,id2_asset,asset!$A55,FALSE)</f>
        <v>#N/A</v>
      </c>
      <c r="AD57" s="304" t="e">
        <f>HLOOKUP(AD2,id2_asset,asset!$A55,FALSE)</f>
        <v>#N/A</v>
      </c>
      <c r="AE57" s="304" t="e">
        <f>HLOOKUP(AE2,id2_asset,asset!$A55,FALSE)</f>
        <v>#N/A</v>
      </c>
      <c r="AF57" s="304" t="e">
        <f>HLOOKUP(AF2,id2_asset,asset!$A55,FALSE)</f>
        <v>#N/A</v>
      </c>
      <c r="AG57" s="304" t="e">
        <f>HLOOKUP(AG2,id2_asset,asset!$A55,FALSE)</f>
        <v>#N/A</v>
      </c>
      <c r="AH57" s="304" t="e">
        <f>HLOOKUP(AH2,id2_asset,asset!$A55,FALSE)</f>
        <v>#N/A</v>
      </c>
      <c r="AI57" s="304" t="e">
        <f>HLOOKUP(AI2,id2_asset,asset!$A55,FALSE)</f>
        <v>#N/A</v>
      </c>
      <c r="AJ57" s="304" t="e">
        <f>HLOOKUP(AJ2,id2_asset,asset!$A55,FALSE)</f>
        <v>#N/A</v>
      </c>
      <c r="AK57" s="304" t="e">
        <f>HLOOKUP(AK2,id2_asset,asset!$A55,FALSE)</f>
        <v>#N/A</v>
      </c>
      <c r="AL57" s="304" t="e">
        <f>HLOOKUP(AL2,id2_asset,asset!$A55,FALSE)</f>
        <v>#N/A</v>
      </c>
      <c r="AM57" s="304" t="e">
        <f>HLOOKUP(AM2,id2_asset,asset!$A55,FALSE)</f>
        <v>#N/A</v>
      </c>
      <c r="AN57" s="304" t="e">
        <f>HLOOKUP(AN2,id2_asset,asset!$A55,FALSE)</f>
        <v>#N/A</v>
      </c>
      <c r="AO57" s="304" t="e">
        <f>HLOOKUP(AO2,id2_asset,asset!$A55,FALSE)</f>
        <v>#N/A</v>
      </c>
      <c r="AP57" s="304" t="e">
        <f>HLOOKUP(AP2,id2_asset,asset!$A55,FALSE)</f>
        <v>#N/A</v>
      </c>
      <c r="AQ57" s="304" t="e">
        <f>HLOOKUP(AQ2,id2_asset,asset!$A55,FALSE)</f>
        <v>#N/A</v>
      </c>
      <c r="AR57" s="304" t="e">
        <f>HLOOKUP(AR2,id2_asset,asset!$A55,FALSE)</f>
        <v>#N/A</v>
      </c>
      <c r="AS57" s="304" t="e">
        <f>HLOOKUP(AS2,id2_asset,asset!$A55,FALSE)</f>
        <v>#N/A</v>
      </c>
      <c r="AT57" s="304" t="e">
        <f>HLOOKUP(AT2,id2_asset,asset!$A55,FALSE)</f>
        <v>#N/A</v>
      </c>
      <c r="AU57" s="304" t="e">
        <f>HLOOKUP(AU2,id2_asset,asset!$A55,FALSE)</f>
        <v>#N/A</v>
      </c>
      <c r="AV57" s="304" t="e">
        <f>HLOOKUP(AV2,id2_asset,asset!$A55,FALSE)</f>
        <v>#N/A</v>
      </c>
      <c r="AW57" s="304" t="e">
        <f>HLOOKUP(AW2,id2_asset,asset!$A55,FALSE)</f>
        <v>#N/A</v>
      </c>
      <c r="AX57" s="304" t="e">
        <f>HLOOKUP(AX2,id2_asset,asset!$A55,FALSE)</f>
        <v>#N/A</v>
      </c>
      <c r="AY57" s="304" t="e">
        <f>HLOOKUP(AY2,id2_asset,asset!$A55,FALSE)</f>
        <v>#N/A</v>
      </c>
      <c r="AZ57" s="304" t="e">
        <f>HLOOKUP(AZ2,id2_asset,asset!$A55,FALSE)</f>
        <v>#N/A</v>
      </c>
      <c r="BA57" s="304" t="e">
        <f>HLOOKUP(BA2,id2_asset,asset!$A55,FALSE)</f>
        <v>#N/A</v>
      </c>
    </row>
    <row r="58" spans="1:53">
      <c r="A58" s="277">
        <v>67</v>
      </c>
      <c r="B58" s="191" t="s">
        <v>1141</v>
      </c>
      <c r="C58" s="435">
        <f>asset!E58/10000*-1</f>
        <v>-1929.0163161803737</v>
      </c>
      <c r="D58" s="305">
        <f t="shared" ref="D58:W58" si="27">D41*(1-D57)*-1/10000</f>
        <v>-99.52710875331573</v>
      </c>
      <c r="E58" s="305">
        <f t="shared" si="27"/>
        <v>-167.63713527851473</v>
      </c>
      <c r="F58" s="305">
        <f t="shared" si="27"/>
        <v>-164.88708541114073</v>
      </c>
      <c r="G58" s="305">
        <f t="shared" si="27"/>
        <v>-40.92986737400534</v>
      </c>
      <c r="H58" s="305">
        <f t="shared" si="27"/>
        <v>-151.56745464190993</v>
      </c>
      <c r="I58" s="305">
        <f t="shared" si="27"/>
        <v>-167.5938461538463</v>
      </c>
      <c r="J58" s="305">
        <f t="shared" si="27"/>
        <v>-134.12594164456246</v>
      </c>
      <c r="K58" s="305">
        <f t="shared" si="27"/>
        <v>-83.03454748010617</v>
      </c>
      <c r="L58" s="305">
        <f t="shared" si="27"/>
        <v>-101.31678938992052</v>
      </c>
      <c r="M58" s="305">
        <f t="shared" si="27"/>
        <v>-136.90185676392585</v>
      </c>
      <c r="N58" s="305">
        <f t="shared" si="27"/>
        <v>-162.65888594164471</v>
      </c>
      <c r="O58" s="305">
        <f t="shared" si="27"/>
        <v>-70.042615384615445</v>
      </c>
      <c r="P58" s="305">
        <f t="shared" si="27"/>
        <v>-193.3278238726792</v>
      </c>
      <c r="Q58" s="305">
        <f t="shared" si="27"/>
        <v>-133.53612732095502</v>
      </c>
      <c r="R58" s="305">
        <f t="shared" si="27"/>
        <v>-46.552042440318345</v>
      </c>
      <c r="S58" s="305">
        <f t="shared" si="27"/>
        <v>-46.968700265252032</v>
      </c>
      <c r="T58" s="305">
        <f t="shared" si="27"/>
        <v>-17.85676392572946</v>
      </c>
      <c r="U58" s="305">
        <f t="shared" si="27"/>
        <v>-8.6578249336870101</v>
      </c>
      <c r="V58" s="305">
        <f t="shared" si="27"/>
        <v>-1.8938992042440335</v>
      </c>
      <c r="W58" s="305">
        <f t="shared" si="27"/>
        <v>0</v>
      </c>
      <c r="X58" s="305" t="e">
        <f t="shared" ref="X58:BA58" si="28">X41*(1-X57)*-1/10000</f>
        <v>#N/A</v>
      </c>
      <c r="Y58" s="305" t="e">
        <f t="shared" si="28"/>
        <v>#N/A</v>
      </c>
      <c r="Z58" s="305" t="e">
        <f t="shared" si="28"/>
        <v>#N/A</v>
      </c>
      <c r="AA58" s="305" t="e">
        <f t="shared" si="28"/>
        <v>#N/A</v>
      </c>
      <c r="AB58" s="305" t="e">
        <f t="shared" si="28"/>
        <v>#N/A</v>
      </c>
      <c r="AC58" s="305" t="e">
        <f t="shared" si="28"/>
        <v>#N/A</v>
      </c>
      <c r="AD58" s="305" t="e">
        <f t="shared" si="28"/>
        <v>#N/A</v>
      </c>
      <c r="AE58" s="305" t="e">
        <f t="shared" si="28"/>
        <v>#N/A</v>
      </c>
      <c r="AF58" s="305" t="e">
        <f t="shared" si="28"/>
        <v>#N/A</v>
      </c>
      <c r="AG58" s="305" t="e">
        <f t="shared" si="28"/>
        <v>#N/A</v>
      </c>
      <c r="AH58" s="305" t="e">
        <f t="shared" si="28"/>
        <v>#N/A</v>
      </c>
      <c r="AI58" s="305" t="e">
        <f t="shared" si="28"/>
        <v>#N/A</v>
      </c>
      <c r="AJ58" s="305" t="e">
        <f t="shared" si="28"/>
        <v>#N/A</v>
      </c>
      <c r="AK58" s="305" t="e">
        <f t="shared" si="28"/>
        <v>#N/A</v>
      </c>
      <c r="AL58" s="305" t="e">
        <f t="shared" si="28"/>
        <v>#N/A</v>
      </c>
      <c r="AM58" s="305" t="e">
        <f t="shared" si="28"/>
        <v>#N/A</v>
      </c>
      <c r="AN58" s="305" t="e">
        <f t="shared" si="28"/>
        <v>#N/A</v>
      </c>
      <c r="AO58" s="305" t="e">
        <f t="shared" si="28"/>
        <v>#N/A</v>
      </c>
      <c r="AP58" s="305" t="e">
        <f t="shared" si="28"/>
        <v>#N/A</v>
      </c>
      <c r="AQ58" s="305" t="e">
        <f t="shared" si="28"/>
        <v>#N/A</v>
      </c>
      <c r="AR58" s="305" t="e">
        <f t="shared" si="28"/>
        <v>#N/A</v>
      </c>
      <c r="AS58" s="305" t="e">
        <f t="shared" si="28"/>
        <v>#N/A</v>
      </c>
      <c r="AT58" s="305" t="e">
        <f t="shared" si="28"/>
        <v>#N/A</v>
      </c>
      <c r="AU58" s="305" t="e">
        <f t="shared" si="28"/>
        <v>#N/A</v>
      </c>
      <c r="AV58" s="305" t="e">
        <f t="shared" si="28"/>
        <v>#N/A</v>
      </c>
      <c r="AW58" s="305" t="e">
        <f t="shared" si="28"/>
        <v>#N/A</v>
      </c>
      <c r="AX58" s="305" t="e">
        <f t="shared" si="28"/>
        <v>#N/A</v>
      </c>
      <c r="AY58" s="305" t="e">
        <f t="shared" si="28"/>
        <v>#N/A</v>
      </c>
      <c r="AZ58" s="305" t="e">
        <f t="shared" si="28"/>
        <v>#N/A</v>
      </c>
      <c r="BA58" s="305" t="e">
        <f t="shared" si="28"/>
        <v>#N/A</v>
      </c>
    </row>
    <row r="59" spans="1:53">
      <c r="A59" s="277">
        <v>68</v>
      </c>
      <c r="B59" s="191" t="s">
        <v>1142</v>
      </c>
      <c r="C59" s="435">
        <f>(asset!E59)/10000*-1</f>
        <v>-2178.1494888063658</v>
      </c>
      <c r="D59" s="306">
        <f>HLOOKUP(D2,id2_asset,asset!$A59,FALSE)*-1/10000</f>
        <v>-115.91980901856765</v>
      </c>
      <c r="E59" s="306">
        <f>HLOOKUP(E2,id2_asset,asset!$A59,FALSE)*-1/10000</f>
        <v>-159.74832891246683</v>
      </c>
      <c r="F59" s="306">
        <f>HLOOKUP(F2,id2_asset,asset!$A59,FALSE)*-1/10000</f>
        <v>-192.04495830238724</v>
      </c>
      <c r="G59" s="306">
        <f>HLOOKUP(G2,id2_asset,asset!$A59,FALSE)*-1/10000</f>
        <v>-47.671257294429708</v>
      </c>
      <c r="H59" s="306">
        <f>HLOOKUP(H2,id2_asset,asset!$A59,FALSE)*-1/10000</f>
        <v>-176.53150599469495</v>
      </c>
      <c r="I59" s="306">
        <f>HLOOKUP(I2,id2_asset,asset!$A59,FALSE)*-1/10000</f>
        <v>-195.19753846153844</v>
      </c>
      <c r="J59" s="306">
        <f>HLOOKUP(J2,id2_asset,asset!$A59,FALSE)*-1/10000</f>
        <v>-156.21727320954906</v>
      </c>
      <c r="K59" s="306">
        <f>HLOOKUP(K2,id2_asset,asset!$A59,FALSE)*-1/10000</f>
        <v>-96.710825888594144</v>
      </c>
      <c r="L59" s="306">
        <f>HLOOKUP(L2,id2_asset,asset!$A59,FALSE)*-1/10000</f>
        <v>-118.00426058355437</v>
      </c>
      <c r="M59" s="306">
        <f>HLOOKUP(M2,id2_asset,asset!$A59,FALSE)*-1/10000</f>
        <v>-159.45039787798407</v>
      </c>
      <c r="N59" s="306">
        <f>HLOOKUP(N2,id2_asset,asset!$A59,FALSE)*-1/10000</f>
        <v>-189.44976127320953</v>
      </c>
      <c r="O59" s="306">
        <f>HLOOKUP(O2,id2_asset,asset!$A59,FALSE)*-1/10000</f>
        <v>-81.57904615384615</v>
      </c>
      <c r="P59" s="306">
        <f>HLOOKUP(P2,id2_asset,asset!$A59,FALSE)*-1/10000</f>
        <v>-225.17005368700265</v>
      </c>
      <c r="Q59" s="306">
        <f>HLOOKUP(Q2,id2_asset,asset!$A59,FALSE)*-1/10000</f>
        <v>-155.53031299734749</v>
      </c>
      <c r="R59" s="306">
        <f>HLOOKUP(R2,id2_asset,asset!$A59,FALSE)*-1/10000</f>
        <v>-54.219437665782493</v>
      </c>
      <c r="S59" s="306">
        <f>HLOOKUP(S2,id2_asset,asset!$A59,FALSE)*-1/10000</f>
        <v>-54.704721485411142</v>
      </c>
      <c r="T59" s="306">
        <f>HLOOKUP(T2,id2_asset,asset!$A59,FALSE)*-1/10000</f>
        <v>0</v>
      </c>
      <c r="U59" s="306">
        <f>HLOOKUP(U2,id2_asset,asset!$A59,FALSE)*-1/10000</f>
        <v>0</v>
      </c>
      <c r="V59" s="306">
        <f>HLOOKUP(V2,id2_asset,asset!$A59,FALSE)*-1/10000</f>
        <v>0</v>
      </c>
      <c r="W59" s="306">
        <f>HLOOKUP(W2,id2_asset,asset!$A59,FALSE)*-1/10000</f>
        <v>0</v>
      </c>
      <c r="X59" s="306" t="e">
        <f>HLOOKUP(X2,id2_asset,asset!$A59,FALSE)*-1/10000</f>
        <v>#N/A</v>
      </c>
      <c r="Y59" s="306" t="e">
        <f>HLOOKUP(Y2,id2_asset,asset!$A59,FALSE)*-1/10000</f>
        <v>#N/A</v>
      </c>
      <c r="Z59" s="306" t="e">
        <f>HLOOKUP(Z2,id2_asset,asset!$A59,FALSE)*-1/10000</f>
        <v>#N/A</v>
      </c>
      <c r="AA59" s="306" t="e">
        <f>HLOOKUP(AA2,id2_asset,asset!$A59,FALSE)*-1/10000</f>
        <v>#N/A</v>
      </c>
      <c r="AB59" s="306" t="e">
        <f>HLOOKUP(AB2,id2_asset,asset!$A59,FALSE)*-1/10000</f>
        <v>#N/A</v>
      </c>
      <c r="AC59" s="306" t="e">
        <f>HLOOKUP(AC2,id2_asset,asset!$A59,FALSE)*-1/10000</f>
        <v>#N/A</v>
      </c>
      <c r="AD59" s="306" t="e">
        <f>HLOOKUP(AD2,id2_asset,asset!$A59,FALSE)*-1/10000</f>
        <v>#N/A</v>
      </c>
      <c r="AE59" s="306" t="e">
        <f>HLOOKUP(AE2,id2_asset,asset!$A59,FALSE)*-1/10000</f>
        <v>#N/A</v>
      </c>
      <c r="AF59" s="306" t="e">
        <f>HLOOKUP(AF2,id2_asset,asset!$A59,FALSE)*-1/10000</f>
        <v>#N/A</v>
      </c>
      <c r="AG59" s="306" t="e">
        <f>HLOOKUP(AG2,id2_asset,asset!$A59,FALSE)*-1/10000</f>
        <v>#N/A</v>
      </c>
      <c r="AH59" s="306" t="e">
        <f>HLOOKUP(AH2,id2_asset,asset!$A59,FALSE)*-1/10000</f>
        <v>#N/A</v>
      </c>
      <c r="AI59" s="306" t="e">
        <f>HLOOKUP(AI2,id2_asset,asset!$A59,FALSE)*-1/10000</f>
        <v>#N/A</v>
      </c>
      <c r="AJ59" s="306" t="e">
        <f>HLOOKUP(AJ2,id2_asset,asset!$A59,FALSE)*-1/10000</f>
        <v>#N/A</v>
      </c>
      <c r="AK59" s="306" t="e">
        <f>HLOOKUP(AK2,id2_asset,asset!$A59,FALSE)*-1/10000</f>
        <v>#N/A</v>
      </c>
      <c r="AL59" s="306" t="e">
        <f>HLOOKUP(AL2,id2_asset,asset!$A59,FALSE)*-1/10000</f>
        <v>#N/A</v>
      </c>
      <c r="AM59" s="306" t="e">
        <f>HLOOKUP(AM2,id2_asset,asset!$A59,FALSE)*-1/10000</f>
        <v>#N/A</v>
      </c>
      <c r="AN59" s="306" t="e">
        <f>HLOOKUP(AN2,id2_asset,asset!$A59,FALSE)*-1/10000</f>
        <v>#N/A</v>
      </c>
      <c r="AO59" s="306" t="e">
        <f>HLOOKUP(AO2,id2_asset,asset!$A59,FALSE)*-1/10000</f>
        <v>#N/A</v>
      </c>
      <c r="AP59" s="306" t="e">
        <f>HLOOKUP(AP2,id2_asset,asset!$A59,FALSE)*-1/10000</f>
        <v>#N/A</v>
      </c>
      <c r="AQ59" s="306" t="e">
        <f>HLOOKUP(AQ2,id2_asset,asset!$A59,FALSE)*-1/10000</f>
        <v>#N/A</v>
      </c>
      <c r="AR59" s="306" t="e">
        <f>HLOOKUP(AR2,id2_asset,asset!$A59,FALSE)*-1/10000</f>
        <v>#N/A</v>
      </c>
      <c r="AS59" s="306" t="e">
        <f>HLOOKUP(AS2,id2_asset,asset!$A59,FALSE)*-1/10000</f>
        <v>#N/A</v>
      </c>
      <c r="AT59" s="306" t="e">
        <f>HLOOKUP(AT2,id2_asset,asset!$A59,FALSE)*-1/10000</f>
        <v>#N/A</v>
      </c>
      <c r="AU59" s="306" t="e">
        <f>HLOOKUP(AU2,id2_asset,asset!$A59,FALSE)*-1/10000</f>
        <v>#N/A</v>
      </c>
      <c r="AV59" s="306" t="e">
        <f>HLOOKUP(AV2,id2_asset,asset!$A59,FALSE)*-1/10000</f>
        <v>#N/A</v>
      </c>
      <c r="AW59" s="306" t="e">
        <f>HLOOKUP(AW2,id2_asset,asset!$A59,FALSE)*-1/10000</f>
        <v>#N/A</v>
      </c>
      <c r="AX59" s="306" t="e">
        <f>HLOOKUP(AX2,id2_asset,asset!$A59,FALSE)*-1/10000</f>
        <v>#N/A</v>
      </c>
      <c r="AY59" s="306" t="e">
        <f>HLOOKUP(AY2,id2_asset,asset!$A59,FALSE)*-1/10000</f>
        <v>#N/A</v>
      </c>
      <c r="AZ59" s="306" t="e">
        <f>HLOOKUP(AZ2,id2_asset,asset!$A59,FALSE)*-1/10000</f>
        <v>#N/A</v>
      </c>
      <c r="BA59" s="306" t="e">
        <f>HLOOKUP(BA2,id2_asset,asset!$A59,FALSE)*-1/10000</f>
        <v>#N/A</v>
      </c>
    </row>
    <row r="60" spans="1:53">
      <c r="A60" s="277">
        <v>69</v>
      </c>
      <c r="B60" s="191" t="s">
        <v>1143</v>
      </c>
      <c r="C60" s="435">
        <f>GETPIVOTDATA("年換算(×12)",pivot!$J$5)/10000*-1</f>
        <v>-2065.1990999999998</v>
      </c>
      <c r="D60" s="307">
        <f>GETPIVOTDATA("年換算(×12)",pivot!$J$5,"物件名",D$1)*-1/10000</f>
        <v>-102.367</v>
      </c>
      <c r="E60" s="307">
        <f>GETPIVOTDATA("年換算(×12)",pivot!$J$5,"物件名",E$1)*-1/10000</f>
        <v>-258.51339999999999</v>
      </c>
      <c r="F60" s="307">
        <f>GETPIVOTDATA("年換算(×12)",pivot!$J$5,"物件名",F$1)*-1/10000</f>
        <v>-193.39340000000001</v>
      </c>
      <c r="G60" s="307">
        <f>GETPIVOTDATA("年換算(×12)",pivot!$J$5,"物件名",G$1)*-1/10000</f>
        <v>-41.800800000000002</v>
      </c>
      <c r="H60" s="307">
        <f>GETPIVOTDATA("年換算(×12)",pivot!$J$5,"物件名",H$1)*-1/10000</f>
        <v>-158.05779999999999</v>
      </c>
      <c r="I60" s="307">
        <f>GETPIVOTDATA("年換算(×12)",pivot!$J$5,"物件名",I$1)*-1/10000</f>
        <v>-230.86080000000001</v>
      </c>
      <c r="J60" s="307">
        <f>GETPIVOTDATA("年換算(×12)",pivot!$J$5,"物件名",J$1)*-1/10000</f>
        <v>-107.313</v>
      </c>
      <c r="K60" s="307">
        <f>GETPIVOTDATA("年換算(×12)",pivot!$J$5,"物件名",K$1)*-1/10000</f>
        <v>-70.286600000000007</v>
      </c>
      <c r="L60" s="307">
        <f>GETPIVOTDATA("年換算(×12)",pivot!$J$5,"物件名",L$1)*-1/10000</f>
        <v>-125.9028</v>
      </c>
      <c r="M60" s="307">
        <f>GETPIVOTDATA("年換算(×12)",pivot!$J$5,"物件名",M$1)*-1/10000</f>
        <v>-66.975899999999996</v>
      </c>
      <c r="N60" s="307">
        <f>GETPIVOTDATA("年換算(×12)",pivot!$J$5,"物件名",N$1)*-1/10000</f>
        <v>-132.00139999999999</v>
      </c>
      <c r="O60" s="307">
        <f>GETPIVOTDATA("年換算(×12)",pivot!$J$5,"物件名",O$1)*-1/10000</f>
        <v>-49.896599999999999</v>
      </c>
      <c r="P60" s="307">
        <f>GETPIVOTDATA("年換算(×12)",pivot!$J$5,"物件名",P$1)*-1/10000</f>
        <v>-191.74459999999999</v>
      </c>
      <c r="Q60" s="307">
        <f>GETPIVOTDATA("年換算(×12)",pivot!$J$5,"物件名",Q$1)*-1/10000</f>
        <v>-169.70439999999999</v>
      </c>
      <c r="R60" s="307">
        <f>GETPIVOTDATA("年換算(×12)",pivot!$J$5,"物件名",R$1)*-1/10000</f>
        <v>-25.535599999999999</v>
      </c>
      <c r="S60" s="307">
        <f>GETPIVOTDATA("年換算(×12)",pivot!$J$5,"物件名",S$1)*-1/10000</f>
        <v>-51.703000000000003</v>
      </c>
      <c r="T60" s="307">
        <f>GETPIVOTDATA("年換算(×12)",pivot!$J$5,"物件名",T$1)*-1/10000</f>
        <v>-24</v>
      </c>
      <c r="U60" s="307">
        <f>GETPIVOTDATA("年換算(×12)",pivot!$J$5,"物件名",U$1)*-1/10000</f>
        <v>-24</v>
      </c>
      <c r="V60" s="307">
        <f>GETPIVOTDATA("年換算(×12)",pivot!$J$5,"物件名",V$1)*-1/10000</f>
        <v>-6.6859999999999999</v>
      </c>
      <c r="W60" s="307">
        <f>GETPIVOTDATA("年換算(×12)",pivot!$J$5,"物件名",W$1)*-1/10000</f>
        <v>-34.456000000000003</v>
      </c>
      <c r="X60" s="307" t="e">
        <f>GETPIVOTDATA("年換算(×12)",pivot!$J$5,"物件名",X$1)*-1/10000</f>
        <v>#REF!</v>
      </c>
      <c r="Y60" s="307" t="e">
        <f>GETPIVOTDATA("年換算(×12)",pivot!$J$5,"物件名",Y$1)*-1/10000</f>
        <v>#REF!</v>
      </c>
      <c r="Z60" s="307" t="e">
        <f>GETPIVOTDATA("年換算(×12)",pivot!$J$5,"物件名",Z$1)*-1/10000</f>
        <v>#REF!</v>
      </c>
      <c r="AA60" s="307" t="e">
        <f>GETPIVOTDATA("年換算(×12)",pivot!$J$5,"物件名",AA$1)*-1/10000</f>
        <v>#REF!</v>
      </c>
      <c r="AB60" s="307" t="e">
        <f>GETPIVOTDATA("年換算(×12)",pivot!$J$5,"物件名",AB$1)*-1/10000</f>
        <v>#REF!</v>
      </c>
      <c r="AC60" s="307" t="e">
        <f>GETPIVOTDATA("年換算(×12)",pivot!$J$5,"物件名",AC$1)*-1/10000</f>
        <v>#REF!</v>
      </c>
      <c r="AD60" s="307" t="e">
        <f>GETPIVOTDATA("年換算(×12)",pivot!$J$5,"物件名",AD$1)*-1/10000</f>
        <v>#REF!</v>
      </c>
      <c r="AE60" s="307" t="e">
        <f>GETPIVOTDATA("年換算(×12)",pivot!$J$5,"物件名",AE$1)*-1/10000</f>
        <v>#REF!</v>
      </c>
      <c r="AF60" s="307" t="e">
        <f>GETPIVOTDATA("年換算(×12)",pivot!$J$5,"物件名",AF$1)*-1/10000</f>
        <v>#REF!</v>
      </c>
      <c r="AG60" s="307" t="e">
        <f>GETPIVOTDATA("年換算(×12)",pivot!$J$5,"物件名",AG$1)*-1/10000</f>
        <v>#REF!</v>
      </c>
      <c r="AH60" s="307" t="e">
        <f>GETPIVOTDATA("年換算(×12)",pivot!$J$5,"物件名",AH$1)*-1/10000</f>
        <v>#REF!</v>
      </c>
      <c r="AI60" s="307" t="e">
        <f>GETPIVOTDATA("年換算(×12)",pivot!$J$5,"物件名",AI$1)*-1/10000</f>
        <v>#REF!</v>
      </c>
      <c r="AJ60" s="307" t="e">
        <f>GETPIVOTDATA("年換算(×12)",pivot!$J$5,"物件名",AJ$1)*-1/10000</f>
        <v>#REF!</v>
      </c>
      <c r="AK60" s="307" t="e">
        <f>GETPIVOTDATA("年換算(×12)",pivot!$J$5,"物件名",AK$1)*-1/10000</f>
        <v>#REF!</v>
      </c>
      <c r="AL60" s="307" t="e">
        <f>GETPIVOTDATA("年換算(×12)",pivot!$J$5,"物件名",AL$1)*-1/10000</f>
        <v>#REF!</v>
      </c>
      <c r="AM60" s="307" t="e">
        <f>GETPIVOTDATA("年換算(×12)",pivot!$J$5,"物件名",AM$1)*-1/10000</f>
        <v>#REF!</v>
      </c>
      <c r="AN60" s="307" t="e">
        <f>GETPIVOTDATA("年換算(×12)",pivot!$J$5,"物件名",AN$1)*-1/10000</f>
        <v>#REF!</v>
      </c>
      <c r="AO60" s="307" t="e">
        <f>GETPIVOTDATA("年換算(×12)",pivot!$J$5,"物件名",AO$1)*-1/10000</f>
        <v>#REF!</v>
      </c>
      <c r="AP60" s="307" t="e">
        <f>GETPIVOTDATA("年換算(×12)",pivot!$J$5,"物件名",AP$1)*-1/10000</f>
        <v>#REF!</v>
      </c>
      <c r="AQ60" s="307" t="e">
        <f>GETPIVOTDATA("年換算(×12)",pivot!$J$5,"物件名",AQ$1)*-1/10000</f>
        <v>#REF!</v>
      </c>
      <c r="AR60" s="307" t="e">
        <f>GETPIVOTDATA("年換算(×12)",pivot!$J$5,"物件名",AR$1)*-1/10000</f>
        <v>#REF!</v>
      </c>
      <c r="AS60" s="307" t="e">
        <f>GETPIVOTDATA("年換算(×12)",pivot!$J$5,"物件名",AS$1)*-1/10000</f>
        <v>#REF!</v>
      </c>
      <c r="AT60" s="307" t="e">
        <f>GETPIVOTDATA("年換算(×12)",pivot!$J$5,"物件名",AT$1)*-1/10000</f>
        <v>#REF!</v>
      </c>
      <c r="AU60" s="307" t="e">
        <f>GETPIVOTDATA("年換算(×12)",pivot!$J$5,"物件名",AU$1)*-1/10000</f>
        <v>#REF!</v>
      </c>
      <c r="AV60" s="307" t="e">
        <f>GETPIVOTDATA("年換算(×12)",pivot!$J$5,"物件名",AV$1)*-1/10000</f>
        <v>#REF!</v>
      </c>
      <c r="AW60" s="307" t="e">
        <f>GETPIVOTDATA("年換算(×12)",pivot!$J$5,"物件名",AW$1)*-1/10000</f>
        <v>#REF!</v>
      </c>
      <c r="AX60" s="307" t="e">
        <f>GETPIVOTDATA("年換算(×12)",pivot!$J$5,"物件名",AX$1)*-1/10000</f>
        <v>#REF!</v>
      </c>
      <c r="AY60" s="307" t="e">
        <f>GETPIVOTDATA("年換算(×12)",pivot!$J$5,"物件名",AY$1)*-1/10000</f>
        <v>#REF!</v>
      </c>
      <c r="AZ60" s="307" t="e">
        <f>GETPIVOTDATA("年換算(×12)",pivot!$J$5,"物件名",AZ$1)*-1/10000</f>
        <v>#REF!</v>
      </c>
      <c r="BA60" s="307" t="e">
        <f>GETPIVOTDATA("年換算(×12)",pivot!$J$5,"物件名",BA$1)*-1/10000</f>
        <v>#REF!</v>
      </c>
    </row>
    <row r="61" spans="1:53">
      <c r="A61" s="277">
        <v>70</v>
      </c>
      <c r="B61" s="191" t="s">
        <v>1144</v>
      </c>
      <c r="C61" s="435">
        <f>asset!E61/10000*-1</f>
        <v>-2376.5985333333333</v>
      </c>
      <c r="D61" s="305">
        <f>HLOOKUP(D2,id2_asset,asset!$A61,FALSE)*-1/10000</f>
        <v>-122.62</v>
      </c>
      <c r="E61" s="305">
        <f>HLOOKUP(E2,id2_asset,asset!$A61,FALSE)*-1/10000</f>
        <v>-206.53333333333333</v>
      </c>
      <c r="F61" s="305">
        <f>HLOOKUP(F2,id2_asset,asset!$A61,FALSE)*-1/10000</f>
        <v>-203.14519999999999</v>
      </c>
      <c r="G61" s="305">
        <f>HLOOKUP(G2,id2_asset,asset!$A61,FALSE)*-1/10000</f>
        <v>-50.426666666666669</v>
      </c>
      <c r="H61" s="305">
        <f>HLOOKUP(H2,id2_asset,asset!$A61,FALSE)*-1/10000</f>
        <v>-186.73506666666668</v>
      </c>
      <c r="I61" s="305">
        <f>HLOOKUP(I2,id2_asset,asset!$A61,FALSE)*-1/10000</f>
        <v>-206.48</v>
      </c>
      <c r="J61" s="305">
        <f>HLOOKUP(J2,id2_asset,asset!$A61,FALSE)*-1/10000</f>
        <v>-165.24666666666667</v>
      </c>
      <c r="K61" s="305">
        <f>HLOOKUP(K2,id2_asset,asset!$A61,FALSE)*-1/10000</f>
        <v>-102.30073333333334</v>
      </c>
      <c r="L61" s="305">
        <f>HLOOKUP(L2,id2_asset,asset!$A61,FALSE)*-1/10000</f>
        <v>-124.82493333333332</v>
      </c>
      <c r="M61" s="305">
        <f>HLOOKUP(M2,id2_asset,asset!$A61,FALSE)*-1/10000</f>
        <v>-168.66666666666669</v>
      </c>
      <c r="N61" s="305">
        <f>HLOOKUP(N2,id2_asset,asset!$A61,FALSE)*-1/10000</f>
        <v>-200.4</v>
      </c>
      <c r="O61" s="305">
        <f>HLOOKUP(O2,id2_asset,asset!$A61,FALSE)*-1/10000</f>
        <v>-86.294333333333341</v>
      </c>
      <c r="P61" s="305">
        <f>HLOOKUP(P2,id2_asset,asset!$A61,FALSE)*-1/10000</f>
        <v>-238.18493333333336</v>
      </c>
      <c r="Q61" s="305">
        <f>HLOOKUP(Q2,id2_asset,asset!$A61,FALSE)*-1/10000</f>
        <v>-164.52</v>
      </c>
      <c r="R61" s="305">
        <f>HLOOKUP(R2,id2_asset,asset!$A61,FALSE)*-1/10000</f>
        <v>-57.353333333333339</v>
      </c>
      <c r="S61" s="305">
        <f>HLOOKUP(S2,id2_asset,asset!$A61,FALSE)*-1/10000</f>
        <v>-57.86666666666666</v>
      </c>
      <c r="T61" s="305">
        <f>HLOOKUP(T2,id2_asset,asset!$A61,FALSE)*-1/10000</f>
        <v>-22</v>
      </c>
      <c r="U61" s="305">
        <f>HLOOKUP(U2,id2_asset,asset!$A61,FALSE)*-1/10000</f>
        <v>-10.666666666666668</v>
      </c>
      <c r="V61" s="305">
        <f>HLOOKUP(V2,id2_asset,asset!$A61,FALSE)*-1/10000</f>
        <v>-2.333333333333333</v>
      </c>
      <c r="W61" s="305">
        <f>HLOOKUP(W2,id2_asset,asset!$A61,FALSE)*-1/10000</f>
        <v>0</v>
      </c>
      <c r="X61" s="305" t="e">
        <f>HLOOKUP(X2,id2_asset,asset!$A61,FALSE)*-1/10000</f>
        <v>#N/A</v>
      </c>
      <c r="Y61" s="305" t="e">
        <f>HLOOKUP(Y2,id2_asset,asset!$A61,FALSE)*-1/10000</f>
        <v>#N/A</v>
      </c>
      <c r="Z61" s="305" t="e">
        <f>HLOOKUP(Z2,id2_asset,asset!$A61,FALSE)*-1/10000</f>
        <v>#N/A</v>
      </c>
      <c r="AA61" s="305" t="e">
        <f>HLOOKUP(AA2,id2_asset,asset!$A61,FALSE)*-1/10000</f>
        <v>#N/A</v>
      </c>
      <c r="AB61" s="305" t="e">
        <f>HLOOKUP(AB2,id2_asset,asset!$A61,FALSE)*-1/10000</f>
        <v>#N/A</v>
      </c>
      <c r="AC61" s="305" t="e">
        <f>HLOOKUP(AC2,id2_asset,asset!$A61,FALSE)*-1/10000</f>
        <v>#N/A</v>
      </c>
      <c r="AD61" s="305" t="e">
        <f>HLOOKUP(AD2,id2_asset,asset!$A61,FALSE)*-1/10000</f>
        <v>#N/A</v>
      </c>
      <c r="AE61" s="305" t="e">
        <f>HLOOKUP(AE2,id2_asset,asset!$A61,FALSE)*-1/10000</f>
        <v>#N/A</v>
      </c>
      <c r="AF61" s="305" t="e">
        <f>HLOOKUP(AF2,id2_asset,asset!$A61,FALSE)*-1/10000</f>
        <v>#N/A</v>
      </c>
      <c r="AG61" s="305" t="e">
        <f>HLOOKUP(AG2,id2_asset,asset!$A61,FALSE)*-1/10000</f>
        <v>#N/A</v>
      </c>
      <c r="AH61" s="305" t="e">
        <f>HLOOKUP(AH2,id2_asset,asset!$A61,FALSE)*-1/10000</f>
        <v>#N/A</v>
      </c>
      <c r="AI61" s="305" t="e">
        <f>HLOOKUP(AI2,id2_asset,asset!$A61,FALSE)*-1/10000</f>
        <v>#N/A</v>
      </c>
      <c r="AJ61" s="305" t="e">
        <f>HLOOKUP(AJ2,id2_asset,asset!$A61,FALSE)*-1/10000</f>
        <v>#N/A</v>
      </c>
      <c r="AK61" s="305" t="e">
        <f>HLOOKUP(AK2,id2_asset,asset!$A61,FALSE)*-1/10000</f>
        <v>#N/A</v>
      </c>
      <c r="AL61" s="305" t="e">
        <f>HLOOKUP(AL2,id2_asset,asset!$A61,FALSE)*-1/10000</f>
        <v>#N/A</v>
      </c>
      <c r="AM61" s="305" t="e">
        <f>HLOOKUP(AM2,id2_asset,asset!$A61,FALSE)*-1/10000</f>
        <v>#N/A</v>
      </c>
      <c r="AN61" s="305" t="e">
        <f>HLOOKUP(AN2,id2_asset,asset!$A61,FALSE)*-1/10000</f>
        <v>#N/A</v>
      </c>
      <c r="AO61" s="305" t="e">
        <f>HLOOKUP(AO2,id2_asset,asset!$A61,FALSE)*-1/10000</f>
        <v>#N/A</v>
      </c>
      <c r="AP61" s="305" t="e">
        <f>HLOOKUP(AP2,id2_asset,asset!$A61,FALSE)*-1/10000</f>
        <v>#N/A</v>
      </c>
      <c r="AQ61" s="305" t="e">
        <f>HLOOKUP(AQ2,id2_asset,asset!$A61,FALSE)*-1/10000</f>
        <v>#N/A</v>
      </c>
      <c r="AR61" s="305" t="e">
        <f>HLOOKUP(AR2,id2_asset,asset!$A61,FALSE)*-1/10000</f>
        <v>#N/A</v>
      </c>
      <c r="AS61" s="305" t="e">
        <f>HLOOKUP(AS2,id2_asset,asset!$A61,FALSE)*-1/10000</f>
        <v>#N/A</v>
      </c>
      <c r="AT61" s="305" t="e">
        <f>HLOOKUP(AT2,id2_asset,asset!$A61,FALSE)*-1/10000</f>
        <v>#N/A</v>
      </c>
      <c r="AU61" s="305" t="e">
        <f>HLOOKUP(AU2,id2_asset,asset!$A61,FALSE)*-1/10000</f>
        <v>#N/A</v>
      </c>
      <c r="AV61" s="305" t="e">
        <f>HLOOKUP(AV2,id2_asset,asset!$A61,FALSE)*-1/10000</f>
        <v>#N/A</v>
      </c>
      <c r="AW61" s="305" t="e">
        <f>HLOOKUP(AW2,id2_asset,asset!$A61,FALSE)*-1/10000</f>
        <v>#N/A</v>
      </c>
      <c r="AX61" s="305" t="e">
        <f>HLOOKUP(AX2,id2_asset,asset!$A61,FALSE)*-1/10000</f>
        <v>#N/A</v>
      </c>
      <c r="AY61" s="305" t="e">
        <f>HLOOKUP(AY2,id2_asset,asset!$A61,FALSE)*-1/10000</f>
        <v>#N/A</v>
      </c>
      <c r="AZ61" s="305" t="e">
        <f>HLOOKUP(AZ2,id2_asset,asset!$A61,FALSE)*-1/10000</f>
        <v>#N/A</v>
      </c>
      <c r="BA61" s="305" t="e">
        <f>HLOOKUP(BA2,id2_asset,asset!$A61,FALSE)*-1/10000</f>
        <v>#N/A</v>
      </c>
    </row>
    <row r="62" spans="1:53">
      <c r="A62" s="277">
        <v>71</v>
      </c>
      <c r="B62" s="191" t="s">
        <v>1145</v>
      </c>
      <c r="C62" s="435">
        <f>asset!E62/10000*-1</f>
        <v>-1891.9361200000003</v>
      </c>
      <c r="D62" s="305">
        <f>HLOOKUP(D2,id2_asset,asset!$A62,FALSE)*-1/10000</f>
        <v>-91.965000000000003</v>
      </c>
      <c r="E62" s="305">
        <f>HLOOKUP(E2,id2_asset,asset!$A62,FALSE)*-1/10000</f>
        <v>-154.9</v>
      </c>
      <c r="F62" s="305">
        <f>HLOOKUP(F2,id2_asset,asset!$A62,FALSE)*-1/10000</f>
        <v>-152.35890000000001</v>
      </c>
      <c r="G62" s="305">
        <f>HLOOKUP(G2,id2_asset,asset!$A62,FALSE)*-1/10000</f>
        <v>-33.42</v>
      </c>
      <c r="H62" s="305">
        <f>HLOOKUP(H2,id2_asset,asset!$A62,FALSE)*-1/10000</f>
        <v>-129.84110000000001</v>
      </c>
      <c r="I62" s="305">
        <f>HLOOKUP(I2,id2_asset,asset!$A62,FALSE)*-1/10000</f>
        <v>-154.86000000000001</v>
      </c>
      <c r="J62" s="305">
        <f>HLOOKUP(J2,id2_asset,asset!$A62,FALSE)*-1/10000</f>
        <v>-123.935</v>
      </c>
      <c r="K62" s="305">
        <f>HLOOKUP(K2,id2_asset,asset!$A62,FALSE)*-1/10000</f>
        <v>-76.725549999999998</v>
      </c>
      <c r="L62" s="305">
        <f>HLOOKUP(L2,id2_asset,asset!$A62,FALSE)*-1/10000</f>
        <v>-106.10119333333334</v>
      </c>
      <c r="M62" s="305">
        <f>HLOOKUP(M2,id2_asset,asset!$A62,FALSE)*-1/10000</f>
        <v>-143.36666666666667</v>
      </c>
      <c r="N62" s="305">
        <f>HLOOKUP(N2,id2_asset,asset!$A62,FALSE)*-1/10000</f>
        <v>-170.34</v>
      </c>
      <c r="O62" s="305">
        <f>HLOOKUP(O2,id2_asset,asset!$A62,FALSE)*-1/10000</f>
        <v>-73.350183333333334</v>
      </c>
      <c r="P62" s="305">
        <f>HLOOKUP(P2,id2_asset,asset!$A62,FALSE)*-1/10000</f>
        <v>-202.45719333333332</v>
      </c>
      <c r="Q62" s="305">
        <f>HLOOKUP(Q2,id2_asset,asset!$A62,FALSE)*-1/10000</f>
        <v>-139.84200000000001</v>
      </c>
      <c r="R62" s="305">
        <f>HLOOKUP(R2,id2_asset,asset!$A62,FALSE)*-1/10000</f>
        <v>-47.94</v>
      </c>
      <c r="S62" s="305">
        <f>HLOOKUP(S2,id2_asset,asset!$A62,FALSE)*-1/10000</f>
        <v>-57.86666666666666</v>
      </c>
      <c r="T62" s="305">
        <f>HLOOKUP(T2,id2_asset,asset!$A62,FALSE)*-1/10000</f>
        <v>-22</v>
      </c>
      <c r="U62" s="305">
        <f>HLOOKUP(U2,id2_asset,asset!$A62,FALSE)*-1/10000</f>
        <v>-10.666666666666668</v>
      </c>
      <c r="V62" s="305">
        <f>HLOOKUP(V2,id2_asset,asset!$A62,FALSE)*-1/10000</f>
        <v>0</v>
      </c>
      <c r="W62" s="305">
        <f>HLOOKUP(W2,id2_asset,asset!$A62,FALSE)*-1/10000</f>
        <v>0</v>
      </c>
      <c r="X62" s="305" t="e">
        <f>HLOOKUP(X2,id2_asset,asset!$A62,FALSE)*-1/10000</f>
        <v>#N/A</v>
      </c>
      <c r="Y62" s="305" t="e">
        <f>HLOOKUP(Y2,id2_asset,asset!$A62,FALSE)*-1/10000</f>
        <v>#N/A</v>
      </c>
      <c r="Z62" s="305" t="e">
        <f>HLOOKUP(Z2,id2_asset,asset!$A62,FALSE)*-1/10000</f>
        <v>#N/A</v>
      </c>
      <c r="AA62" s="305" t="e">
        <f>HLOOKUP(AA2,id2_asset,asset!$A62,FALSE)*-1/10000</f>
        <v>#N/A</v>
      </c>
      <c r="AB62" s="305" t="e">
        <f>HLOOKUP(AB2,id2_asset,asset!$A62,FALSE)*-1/10000</f>
        <v>#N/A</v>
      </c>
      <c r="AC62" s="305" t="e">
        <f>HLOOKUP(AC2,id2_asset,asset!$A62,FALSE)*-1/10000</f>
        <v>#N/A</v>
      </c>
      <c r="AD62" s="305" t="e">
        <f>HLOOKUP(AD2,id2_asset,asset!$A62,FALSE)*-1/10000</f>
        <v>#N/A</v>
      </c>
      <c r="AE62" s="305" t="e">
        <f>HLOOKUP(AE2,id2_asset,asset!$A62,FALSE)*-1/10000</f>
        <v>#N/A</v>
      </c>
      <c r="AF62" s="305" t="e">
        <f>HLOOKUP(AF2,id2_asset,asset!$A62,FALSE)*-1/10000</f>
        <v>#N/A</v>
      </c>
      <c r="AG62" s="305" t="e">
        <f>HLOOKUP(AG2,id2_asset,asset!$A62,FALSE)*-1/10000</f>
        <v>#N/A</v>
      </c>
      <c r="AH62" s="305" t="e">
        <f>HLOOKUP(AH2,id2_asset,asset!$A62,FALSE)*-1/10000</f>
        <v>#N/A</v>
      </c>
      <c r="AI62" s="305" t="e">
        <f>HLOOKUP(AI2,id2_asset,asset!$A62,FALSE)*-1/10000</f>
        <v>#N/A</v>
      </c>
      <c r="AJ62" s="305" t="e">
        <f>HLOOKUP(AJ2,id2_asset,asset!$A62,FALSE)*-1/10000</f>
        <v>#N/A</v>
      </c>
      <c r="AK62" s="305" t="e">
        <f>HLOOKUP(AK2,id2_asset,asset!$A62,FALSE)*-1/10000</f>
        <v>#N/A</v>
      </c>
      <c r="AL62" s="305" t="e">
        <f>HLOOKUP(AL2,id2_asset,asset!$A62,FALSE)*-1/10000</f>
        <v>#N/A</v>
      </c>
      <c r="AM62" s="305" t="e">
        <f>HLOOKUP(AM2,id2_asset,asset!$A62,FALSE)*-1/10000</f>
        <v>#N/A</v>
      </c>
      <c r="AN62" s="305" t="e">
        <f>HLOOKUP(AN2,id2_asset,asset!$A62,FALSE)*-1/10000</f>
        <v>#N/A</v>
      </c>
      <c r="AO62" s="305" t="e">
        <f>HLOOKUP(AO2,id2_asset,asset!$A62,FALSE)*-1/10000</f>
        <v>#N/A</v>
      </c>
      <c r="AP62" s="305" t="e">
        <f>HLOOKUP(AP2,id2_asset,asset!$A62,FALSE)*-1/10000</f>
        <v>#N/A</v>
      </c>
      <c r="AQ62" s="305" t="e">
        <f>HLOOKUP(AQ2,id2_asset,asset!$A62,FALSE)*-1/10000</f>
        <v>#N/A</v>
      </c>
      <c r="AR62" s="305" t="e">
        <f>HLOOKUP(AR2,id2_asset,asset!$A62,FALSE)*-1/10000</f>
        <v>#N/A</v>
      </c>
      <c r="AS62" s="305" t="e">
        <f>HLOOKUP(AS2,id2_asset,asset!$A62,FALSE)*-1/10000</f>
        <v>#N/A</v>
      </c>
      <c r="AT62" s="305" t="e">
        <f>HLOOKUP(AT2,id2_asset,asset!$A62,FALSE)*-1/10000</f>
        <v>#N/A</v>
      </c>
      <c r="AU62" s="305" t="e">
        <f>HLOOKUP(AU2,id2_asset,asset!$A62,FALSE)*-1/10000</f>
        <v>#N/A</v>
      </c>
      <c r="AV62" s="305" t="e">
        <f>HLOOKUP(AV2,id2_asset,asset!$A62,FALSE)*-1/10000</f>
        <v>#N/A</v>
      </c>
      <c r="AW62" s="305" t="e">
        <f>HLOOKUP(AW2,id2_asset,asset!$A62,FALSE)*-1/10000</f>
        <v>#N/A</v>
      </c>
      <c r="AX62" s="305" t="e">
        <f>HLOOKUP(AX2,id2_asset,asset!$A62,FALSE)*-1/10000</f>
        <v>#N/A</v>
      </c>
      <c r="AY62" s="305" t="e">
        <f>HLOOKUP(AY2,id2_asset,asset!$A62,FALSE)*-1/10000</f>
        <v>#N/A</v>
      </c>
      <c r="AZ62" s="305" t="e">
        <f>HLOOKUP(AZ2,id2_asset,asset!$A62,FALSE)*-1/10000</f>
        <v>#N/A</v>
      </c>
      <c r="BA62" s="305" t="e">
        <f>HLOOKUP(BA2,id2_asset,asset!$A62,FALSE)*-1/10000</f>
        <v>#N/A</v>
      </c>
    </row>
    <row r="63" spans="1:53">
      <c r="A63" s="277">
        <v>72</v>
      </c>
      <c r="B63" s="191" t="s">
        <v>1146</v>
      </c>
      <c r="C63" s="435">
        <f>(GETPIVOTDATA("合計 / 当期固定資産税額",pivot!$DJ$5)+GETPIVOTDATA("合計 / 当期都市計画税額",pivot!$DJ$5))/10000*-1</f>
        <v>-1876.5432000000001</v>
      </c>
      <c r="D63" s="305">
        <f>HLOOKUP(D2,id2_asset,asset!$A63,FALSE)*-1/10000</f>
        <v>-89.725200000000001</v>
      </c>
      <c r="E63" s="305">
        <f>HLOOKUP(E2,id2_asset,asset!$A63,FALSE)*-1/10000</f>
        <v>-192.23259999999999</v>
      </c>
      <c r="F63" s="305">
        <f>HLOOKUP(F2,id2_asset,asset!$A63,FALSE)*-1/10000</f>
        <v>-162.4075</v>
      </c>
      <c r="G63" s="305">
        <f>HLOOKUP(G2,id2_asset,asset!$A63,FALSE)*-1/10000</f>
        <v>-28.0047</v>
      </c>
      <c r="H63" s="305">
        <f>HLOOKUP(H2,id2_asset,asset!$A63,FALSE)*-1/10000</f>
        <v>-96.442400000000006</v>
      </c>
      <c r="I63" s="305">
        <f>HLOOKUP(I2,id2_asset,asset!$A63,FALSE)*-1/10000</f>
        <v>-166.6103</v>
      </c>
      <c r="J63" s="305">
        <f>HLOOKUP(J2,id2_asset,asset!$A63,FALSE)*-1/10000</f>
        <v>-128.54640000000001</v>
      </c>
      <c r="K63" s="305">
        <f>HLOOKUP(K2,id2_asset,asset!$A63,FALSE)*-1/10000</f>
        <v>-55.810299999999998</v>
      </c>
      <c r="L63" s="305">
        <f>HLOOKUP(L2,id2_asset,asset!$A63,FALSE)*-1/10000</f>
        <v>-73.168899999999994</v>
      </c>
      <c r="M63" s="305">
        <f>HLOOKUP(M2,id2_asset,asset!$A63,FALSE)*-1/10000</f>
        <v>-95.420500000000004</v>
      </c>
      <c r="N63" s="305">
        <f>HLOOKUP(N2,id2_asset,asset!$A63,FALSE)*-1/10000</f>
        <v>-153.27860000000001</v>
      </c>
      <c r="O63" s="305">
        <f>HLOOKUP(O2,id2_asset,asset!$A63,FALSE)*-1/10000</f>
        <v>-53.133899999999997</v>
      </c>
      <c r="P63" s="305">
        <f>HLOOKUP(P2,id2_asset,asset!$A63,FALSE)*-1/10000</f>
        <v>-254.24719999999999</v>
      </c>
      <c r="Q63" s="305">
        <f>HLOOKUP(Q2,id2_asset,asset!$A63,FALSE)*-1/10000</f>
        <v>-117.3224</v>
      </c>
      <c r="R63" s="305">
        <f>HLOOKUP(R2,id2_asset,asset!$A63,FALSE)*-1/10000</f>
        <v>-34.775300000000001</v>
      </c>
      <c r="S63" s="305">
        <f>HLOOKUP(S2,id2_asset,asset!$A63,FALSE)*-1/10000</f>
        <v>-52.467700000000001</v>
      </c>
      <c r="T63" s="305">
        <f>HLOOKUP(T2,id2_asset,asset!$A63,FALSE)*-1/10000</f>
        <v>-52.467700000000001</v>
      </c>
      <c r="U63" s="305">
        <f>HLOOKUP(U2,id2_asset,asset!$A63,FALSE)*-1/10000</f>
        <v>-52.467700000000001</v>
      </c>
      <c r="V63" s="305">
        <f>HLOOKUP(V2,id2_asset,asset!$A63,FALSE)*-1/10000</f>
        <v>-0.2515</v>
      </c>
      <c r="W63" s="305">
        <f>HLOOKUP(W2,id2_asset,asset!$A63,FALSE)*-1/10000</f>
        <v>-17.7624</v>
      </c>
      <c r="X63" s="305" t="e">
        <f>HLOOKUP(X2,id2_asset,asset!$A63,FALSE)*-1/10000</f>
        <v>#N/A</v>
      </c>
      <c r="Y63" s="305" t="e">
        <f>HLOOKUP(Y2,id2_asset,asset!$A63,FALSE)*-1/10000</f>
        <v>#N/A</v>
      </c>
      <c r="Z63" s="305" t="e">
        <f>HLOOKUP(Z2,id2_asset,asset!$A63,FALSE)*-1/10000</f>
        <v>#N/A</v>
      </c>
      <c r="AA63" s="305" t="e">
        <f>HLOOKUP(AA2,id2_asset,asset!$A63,FALSE)*-1/10000</f>
        <v>#N/A</v>
      </c>
      <c r="AB63" s="305" t="e">
        <f>HLOOKUP(AB2,id2_asset,asset!$A63,FALSE)*-1/10000</f>
        <v>#N/A</v>
      </c>
      <c r="AC63" s="305" t="e">
        <f>HLOOKUP(AC2,id2_asset,asset!$A63,FALSE)*-1/10000</f>
        <v>#N/A</v>
      </c>
      <c r="AD63" s="305" t="e">
        <f>HLOOKUP(AD2,id2_asset,asset!$A63,FALSE)*-1/10000</f>
        <v>#N/A</v>
      </c>
      <c r="AE63" s="305" t="e">
        <f>HLOOKUP(AE2,id2_asset,asset!$A63,FALSE)*-1/10000</f>
        <v>#N/A</v>
      </c>
      <c r="AF63" s="305" t="e">
        <f>HLOOKUP(AF2,id2_asset,asset!$A63,FALSE)*-1/10000</f>
        <v>#N/A</v>
      </c>
      <c r="AG63" s="305" t="e">
        <f>HLOOKUP(AG2,id2_asset,asset!$A63,FALSE)*-1/10000</f>
        <v>#N/A</v>
      </c>
      <c r="AH63" s="305" t="e">
        <f>HLOOKUP(AH2,id2_asset,asset!$A63,FALSE)*-1/10000</f>
        <v>#N/A</v>
      </c>
      <c r="AI63" s="305" t="e">
        <f>HLOOKUP(AI2,id2_asset,asset!$A63,FALSE)*-1/10000</f>
        <v>#N/A</v>
      </c>
      <c r="AJ63" s="305" t="e">
        <f>HLOOKUP(AJ2,id2_asset,asset!$A63,FALSE)*-1/10000</f>
        <v>#N/A</v>
      </c>
      <c r="AK63" s="305" t="e">
        <f>HLOOKUP(AK2,id2_asset,asset!$A63,FALSE)*-1/10000</f>
        <v>#N/A</v>
      </c>
      <c r="AL63" s="305" t="e">
        <f>HLOOKUP(AL2,id2_asset,asset!$A63,FALSE)*-1/10000</f>
        <v>#N/A</v>
      </c>
      <c r="AM63" s="305" t="e">
        <f>HLOOKUP(AM2,id2_asset,asset!$A63,FALSE)*-1/10000</f>
        <v>#N/A</v>
      </c>
      <c r="AN63" s="305" t="e">
        <f>HLOOKUP(AN2,id2_asset,asset!$A63,FALSE)*-1/10000</f>
        <v>#N/A</v>
      </c>
      <c r="AO63" s="305" t="e">
        <f>HLOOKUP(AO2,id2_asset,asset!$A63,FALSE)*-1/10000</f>
        <v>#N/A</v>
      </c>
      <c r="AP63" s="305" t="e">
        <f>HLOOKUP(AP2,id2_asset,asset!$A63,FALSE)*-1/10000</f>
        <v>#N/A</v>
      </c>
      <c r="AQ63" s="305" t="e">
        <f>HLOOKUP(AQ2,id2_asset,asset!$A63,FALSE)*-1/10000</f>
        <v>#N/A</v>
      </c>
      <c r="AR63" s="305" t="e">
        <f>HLOOKUP(AR2,id2_asset,asset!$A63,FALSE)*-1/10000</f>
        <v>#N/A</v>
      </c>
      <c r="AS63" s="305" t="e">
        <f>HLOOKUP(AS2,id2_asset,asset!$A63,FALSE)*-1/10000</f>
        <v>#N/A</v>
      </c>
      <c r="AT63" s="305" t="e">
        <f>HLOOKUP(AT2,id2_asset,asset!$A63,FALSE)*-1/10000</f>
        <v>#N/A</v>
      </c>
      <c r="AU63" s="305" t="e">
        <f>HLOOKUP(AU2,id2_asset,asset!$A63,FALSE)*-1/10000</f>
        <v>#N/A</v>
      </c>
      <c r="AV63" s="305" t="e">
        <f>HLOOKUP(AV2,id2_asset,asset!$A63,FALSE)*-1/10000</f>
        <v>#N/A</v>
      </c>
      <c r="AW63" s="305" t="e">
        <f>HLOOKUP(AW2,id2_asset,asset!$A63,FALSE)*-1/10000</f>
        <v>#N/A</v>
      </c>
      <c r="AX63" s="305" t="e">
        <f>HLOOKUP(AX2,id2_asset,asset!$A63,FALSE)*-1/10000</f>
        <v>#N/A</v>
      </c>
      <c r="AY63" s="305" t="e">
        <f>HLOOKUP(AY2,id2_asset,asset!$A63,FALSE)*-1/10000</f>
        <v>#N/A</v>
      </c>
      <c r="AZ63" s="305" t="e">
        <f>HLOOKUP(AZ2,id2_asset,asset!$A63,FALSE)*-1/10000</f>
        <v>#N/A</v>
      </c>
      <c r="BA63" s="305" t="e">
        <f>HLOOKUP(BA2,id2_asset,asset!$A63,FALSE)*-1/10000</f>
        <v>#N/A</v>
      </c>
    </row>
    <row r="64" spans="1:53">
      <c r="A64" s="277">
        <v>73</v>
      </c>
      <c r="B64" s="191" t="s">
        <v>1147</v>
      </c>
      <c r="C64" s="435">
        <f t="shared" ref="C64:W64" si="29">SUM(C58:C63)</f>
        <v>-12317.442758320072</v>
      </c>
      <c r="D64" s="305">
        <f t="shared" si="29"/>
        <v>-622.12411777188333</v>
      </c>
      <c r="E64" s="305">
        <f t="shared" si="29"/>
        <v>-1139.5647975243148</v>
      </c>
      <c r="F64" s="305">
        <f t="shared" si="29"/>
        <v>-1068.237043713528</v>
      </c>
      <c r="G64" s="305">
        <f t="shared" si="29"/>
        <v>-242.25329133510172</v>
      </c>
      <c r="H64" s="305">
        <f t="shared" si="29"/>
        <v>-899.17532730327162</v>
      </c>
      <c r="I64" s="305">
        <f t="shared" si="29"/>
        <v>-1121.6024846153848</v>
      </c>
      <c r="J64" s="305">
        <f t="shared" si="29"/>
        <v>-815.38428152077813</v>
      </c>
      <c r="K64" s="305">
        <f t="shared" si="29"/>
        <v>-484.86855670203363</v>
      </c>
      <c r="L64" s="305">
        <f t="shared" si="29"/>
        <v>-649.31887664014153</v>
      </c>
      <c r="M64" s="305">
        <f t="shared" si="29"/>
        <v>-770.78198797524328</v>
      </c>
      <c r="N64" s="305">
        <f t="shared" si="29"/>
        <v>-1008.1286472148543</v>
      </c>
      <c r="O64" s="305">
        <f t="shared" si="29"/>
        <v>-414.29667820512827</v>
      </c>
      <c r="P64" s="305">
        <f t="shared" si="29"/>
        <v>-1305.1318042263485</v>
      </c>
      <c r="Q64" s="305">
        <f t="shared" si="29"/>
        <v>-880.45524031830246</v>
      </c>
      <c r="R64" s="305">
        <f t="shared" si="29"/>
        <v>-266.37571343943421</v>
      </c>
      <c r="S64" s="305">
        <f t="shared" si="29"/>
        <v>-321.57745508399648</v>
      </c>
      <c r="T64" s="305">
        <f t="shared" si="29"/>
        <v>-138.32446392572948</v>
      </c>
      <c r="U64" s="305">
        <f t="shared" si="29"/>
        <v>-106.45885826702036</v>
      </c>
      <c r="V64" s="305">
        <f t="shared" si="29"/>
        <v>-11.164732537577365</v>
      </c>
      <c r="W64" s="305">
        <f t="shared" si="29"/>
        <v>-52.218400000000003</v>
      </c>
      <c r="X64" s="305" t="e">
        <f t="shared" ref="X64:BA64" si="30">SUM(X58:X63)</f>
        <v>#N/A</v>
      </c>
      <c r="Y64" s="305" t="e">
        <f t="shared" si="30"/>
        <v>#N/A</v>
      </c>
      <c r="Z64" s="305" t="e">
        <f t="shared" si="30"/>
        <v>#N/A</v>
      </c>
      <c r="AA64" s="305" t="e">
        <f t="shared" si="30"/>
        <v>#N/A</v>
      </c>
      <c r="AB64" s="305" t="e">
        <f t="shared" si="30"/>
        <v>#N/A</v>
      </c>
      <c r="AC64" s="305" t="e">
        <f t="shared" si="30"/>
        <v>#N/A</v>
      </c>
      <c r="AD64" s="305" t="e">
        <f t="shared" si="30"/>
        <v>#N/A</v>
      </c>
      <c r="AE64" s="305" t="e">
        <f t="shared" si="30"/>
        <v>#N/A</v>
      </c>
      <c r="AF64" s="305" t="e">
        <f t="shared" si="30"/>
        <v>#N/A</v>
      </c>
      <c r="AG64" s="305" t="e">
        <f t="shared" si="30"/>
        <v>#N/A</v>
      </c>
      <c r="AH64" s="305" t="e">
        <f t="shared" si="30"/>
        <v>#N/A</v>
      </c>
      <c r="AI64" s="305" t="e">
        <f t="shared" si="30"/>
        <v>#N/A</v>
      </c>
      <c r="AJ64" s="305" t="e">
        <f t="shared" si="30"/>
        <v>#N/A</v>
      </c>
      <c r="AK64" s="305" t="e">
        <f t="shared" si="30"/>
        <v>#N/A</v>
      </c>
      <c r="AL64" s="305" t="e">
        <f t="shared" si="30"/>
        <v>#N/A</v>
      </c>
      <c r="AM64" s="305" t="e">
        <f t="shared" si="30"/>
        <v>#N/A</v>
      </c>
      <c r="AN64" s="305" t="e">
        <f t="shared" si="30"/>
        <v>#N/A</v>
      </c>
      <c r="AO64" s="305" t="e">
        <f t="shared" si="30"/>
        <v>#N/A</v>
      </c>
      <c r="AP64" s="305" t="e">
        <f t="shared" si="30"/>
        <v>#N/A</v>
      </c>
      <c r="AQ64" s="305" t="e">
        <f t="shared" si="30"/>
        <v>#N/A</v>
      </c>
      <c r="AR64" s="305" t="e">
        <f t="shared" si="30"/>
        <v>#N/A</v>
      </c>
      <c r="AS64" s="305" t="e">
        <f t="shared" si="30"/>
        <v>#N/A</v>
      </c>
      <c r="AT64" s="305" t="e">
        <f t="shared" si="30"/>
        <v>#N/A</v>
      </c>
      <c r="AU64" s="305" t="e">
        <f t="shared" si="30"/>
        <v>#N/A</v>
      </c>
      <c r="AV64" s="305" t="e">
        <f t="shared" si="30"/>
        <v>#N/A</v>
      </c>
      <c r="AW64" s="305" t="e">
        <f t="shared" si="30"/>
        <v>#N/A</v>
      </c>
      <c r="AX64" s="305" t="e">
        <f t="shared" si="30"/>
        <v>#N/A</v>
      </c>
      <c r="AY64" s="305" t="e">
        <f t="shared" si="30"/>
        <v>#N/A</v>
      </c>
      <c r="AZ64" s="305" t="e">
        <f t="shared" si="30"/>
        <v>#N/A</v>
      </c>
      <c r="BA64" s="305" t="e">
        <f t="shared" si="30"/>
        <v>#N/A</v>
      </c>
    </row>
    <row r="65" spans="1:53">
      <c r="A65" s="277">
        <v>74</v>
      </c>
      <c r="B65" s="15" t="s">
        <v>501</v>
      </c>
      <c r="C65" s="436">
        <f>C41/10000+(C59+C60+C58+C61+C62+C63)</f>
        <v>30461.330841679926</v>
      </c>
      <c r="D65" s="303">
        <f>D41/10000+(D59+D60+D58+D61+D62+D63)</f>
        <v>1585.0358822281164</v>
      </c>
      <c r="E65" s="303">
        <f t="shared" ref="E65:BA65" si="31">E41/10000+(E59+E60+E58+E61+E62+E63)</f>
        <v>2578.0352024756849</v>
      </c>
      <c r="F65" s="303">
        <f t="shared" si="31"/>
        <v>2588.3765562864719</v>
      </c>
      <c r="G65" s="303">
        <f t="shared" si="31"/>
        <v>665.42670866489823</v>
      </c>
      <c r="H65" s="303">
        <f t="shared" si="31"/>
        <v>2462.0558726967283</v>
      </c>
      <c r="I65" s="303">
        <f t="shared" si="31"/>
        <v>2595.0375153846153</v>
      </c>
      <c r="J65" s="303">
        <f t="shared" si="31"/>
        <v>2159.0557184792219</v>
      </c>
      <c r="K65" s="303">
        <f t="shared" si="31"/>
        <v>1356.5446432979663</v>
      </c>
      <c r="L65" s="303">
        <f t="shared" si="31"/>
        <v>1597.5299233598587</v>
      </c>
      <c r="M65" s="303">
        <f t="shared" si="31"/>
        <v>2265.2180120247567</v>
      </c>
      <c r="N65" s="303">
        <f t="shared" si="31"/>
        <v>2599.0713527851458</v>
      </c>
      <c r="O65" s="303">
        <f t="shared" si="31"/>
        <v>1139.0013217948717</v>
      </c>
      <c r="P65" s="303">
        <f t="shared" si="31"/>
        <v>2982.1969957736519</v>
      </c>
      <c r="Q65" s="303">
        <f t="shared" si="31"/>
        <v>2080.9047596816977</v>
      </c>
      <c r="R65" s="303">
        <f t="shared" si="31"/>
        <v>765.98428656056569</v>
      </c>
      <c r="S65" s="303">
        <f t="shared" si="31"/>
        <v>720.02254491600343</v>
      </c>
      <c r="T65" s="303">
        <f t="shared" si="31"/>
        <v>257.67553607427055</v>
      </c>
      <c r="U65" s="303">
        <f t="shared" si="31"/>
        <v>85.541141732979639</v>
      </c>
      <c r="V65" s="303">
        <f t="shared" si="31"/>
        <v>30.835267462422635</v>
      </c>
      <c r="W65" s="303">
        <f t="shared" si="31"/>
        <v>-52.218400000000003</v>
      </c>
      <c r="X65" s="303" t="e">
        <f t="shared" si="31"/>
        <v>#N/A</v>
      </c>
      <c r="Y65" s="303" t="e">
        <f t="shared" si="31"/>
        <v>#N/A</v>
      </c>
      <c r="Z65" s="303" t="e">
        <f t="shared" si="31"/>
        <v>#N/A</v>
      </c>
      <c r="AA65" s="303" t="e">
        <f t="shared" si="31"/>
        <v>#N/A</v>
      </c>
      <c r="AB65" s="303" t="e">
        <f t="shared" si="31"/>
        <v>#N/A</v>
      </c>
      <c r="AC65" s="303" t="e">
        <f t="shared" si="31"/>
        <v>#N/A</v>
      </c>
      <c r="AD65" s="303" t="e">
        <f t="shared" si="31"/>
        <v>#N/A</v>
      </c>
      <c r="AE65" s="303" t="e">
        <f t="shared" si="31"/>
        <v>#N/A</v>
      </c>
      <c r="AF65" s="303" t="e">
        <f t="shared" si="31"/>
        <v>#N/A</v>
      </c>
      <c r="AG65" s="303" t="e">
        <f t="shared" si="31"/>
        <v>#N/A</v>
      </c>
      <c r="AH65" s="303" t="e">
        <f t="shared" si="31"/>
        <v>#N/A</v>
      </c>
      <c r="AI65" s="303" t="e">
        <f t="shared" si="31"/>
        <v>#N/A</v>
      </c>
      <c r="AJ65" s="303" t="e">
        <f t="shared" si="31"/>
        <v>#N/A</v>
      </c>
      <c r="AK65" s="303" t="e">
        <f t="shared" si="31"/>
        <v>#N/A</v>
      </c>
      <c r="AL65" s="303" t="e">
        <f t="shared" si="31"/>
        <v>#N/A</v>
      </c>
      <c r="AM65" s="303" t="e">
        <f t="shared" si="31"/>
        <v>#N/A</v>
      </c>
      <c r="AN65" s="303" t="e">
        <f t="shared" si="31"/>
        <v>#N/A</v>
      </c>
      <c r="AO65" s="303" t="e">
        <f t="shared" si="31"/>
        <v>#N/A</v>
      </c>
      <c r="AP65" s="303" t="e">
        <f t="shared" si="31"/>
        <v>#N/A</v>
      </c>
      <c r="AQ65" s="303" t="e">
        <f t="shared" si="31"/>
        <v>#N/A</v>
      </c>
      <c r="AR65" s="303" t="e">
        <f t="shared" si="31"/>
        <v>#N/A</v>
      </c>
      <c r="AS65" s="303" t="e">
        <f t="shared" si="31"/>
        <v>#N/A</v>
      </c>
      <c r="AT65" s="303" t="e">
        <f t="shared" si="31"/>
        <v>#N/A</v>
      </c>
      <c r="AU65" s="303" t="e">
        <f t="shared" si="31"/>
        <v>#N/A</v>
      </c>
      <c r="AV65" s="303" t="e">
        <f t="shared" si="31"/>
        <v>#N/A</v>
      </c>
      <c r="AW65" s="303" t="e">
        <f t="shared" si="31"/>
        <v>#N/A</v>
      </c>
      <c r="AX65" s="303" t="e">
        <f t="shared" si="31"/>
        <v>#N/A</v>
      </c>
      <c r="AY65" s="303" t="e">
        <f t="shared" si="31"/>
        <v>#N/A</v>
      </c>
      <c r="AZ65" s="303" t="e">
        <f t="shared" si="31"/>
        <v>#N/A</v>
      </c>
      <c r="BA65" s="303" t="e">
        <f t="shared" si="31"/>
        <v>#N/A</v>
      </c>
    </row>
    <row r="66" spans="1:53">
      <c r="A66" s="277">
        <v>75</v>
      </c>
      <c r="B66" s="15" t="s">
        <v>1148</v>
      </c>
      <c r="C66" s="434">
        <f>(GETPIVOTDATA("合計 / 23.利息月額",pivot!$EM$7,"9.使途2","賃貸部門")+IFERROR(GETPIVOTDATA("合計 / 23.利息月額",pivot!$EM$7,"9.使途","住宅ローン","9.使途2","間接部門"),0))*12/10000*-1</f>
        <v>-6013.7772000000004</v>
      </c>
      <c r="D66" s="303">
        <f>HLOOKUP(D2,id2_asset,asset!$A37,FALSE)*-1/10000*12</f>
        <v>-166.87799999999999</v>
      </c>
      <c r="E66" s="303">
        <f>HLOOKUP(E2,id2_asset,asset!$A37,FALSE)*-1/10000*12</f>
        <v>-809.3592000000001</v>
      </c>
      <c r="F66" s="303">
        <f>HLOOKUP(F2,id2_asset,asset!$A37,FALSE)*-1/10000*12</f>
        <v>-359.3904</v>
      </c>
      <c r="G66" s="303">
        <f>HLOOKUP(G2,id2_asset,asset!$A37,FALSE)*-1/10000*12</f>
        <v>-70.771199999999993</v>
      </c>
      <c r="H66" s="303">
        <f>HLOOKUP(H2,id2_asset,asset!$A37,FALSE)*-1/10000*12</f>
        <v>-200.36519999999999</v>
      </c>
      <c r="I66" s="303">
        <f>HLOOKUP(I2,id2_asset,asset!$A37,FALSE)*-1/10000*12</f>
        <v>-290.10480000000001</v>
      </c>
      <c r="J66" s="303">
        <f>HLOOKUP(J2,id2_asset,asset!$A37,FALSE)*-1/10000*12</f>
        <v>-377.62560000000002</v>
      </c>
      <c r="K66" s="303">
        <f>HLOOKUP(K2,id2_asset,asset!$A37,FALSE)*-1/10000*12</f>
        <v>-220.02719999999999</v>
      </c>
      <c r="L66" s="303">
        <f>HLOOKUP(L2,id2_asset,asset!$A37,FALSE)*-1/10000*12</f>
        <v>-296.69639999999998</v>
      </c>
      <c r="M66" s="303">
        <f>HLOOKUP(M2,id2_asset,asset!$A37,FALSE)*-1/10000*12</f>
        <v>-478.29359999999997</v>
      </c>
      <c r="N66" s="303">
        <f>HLOOKUP(N2,id2_asset,asset!$A37,FALSE)*-1/10000*12</f>
        <v>-562.65359999999998</v>
      </c>
      <c r="O66" s="303">
        <f>HLOOKUP(O2,id2_asset,asset!$A37,FALSE)*-1/10000*12</f>
        <v>-216.46439999999998</v>
      </c>
      <c r="P66" s="303">
        <f>HLOOKUP(P2,id2_asset,asset!$A37,FALSE)*-1/10000*12</f>
        <v>-616.44239999999991</v>
      </c>
      <c r="Q66" s="303">
        <f>HLOOKUP(Q2,id2_asset,asset!$A37,FALSE)*-1/10000*12</f>
        <v>-487.76280000000003</v>
      </c>
      <c r="R66" s="303">
        <f>HLOOKUP(R2,id2_asset,asset!$A37,FALSE)*-1/10000*12</f>
        <v>-175.9836</v>
      </c>
      <c r="S66" s="303">
        <f>HLOOKUP(S2,id2_asset,asset!$A37,FALSE)*-1/10000*12</f>
        <v>-230.03879999999998</v>
      </c>
      <c r="T66" s="303">
        <f>HLOOKUP(T2,id2_asset,asset!$A37,FALSE)*-1/10000*12</f>
        <v>-92.601300000000009</v>
      </c>
      <c r="U66" s="303">
        <f>HLOOKUP(U2,id2_asset,asset!$A37,FALSE)*-1/10000*12</f>
        <v>-45.218699999999998</v>
      </c>
      <c r="V66" s="303">
        <f>HLOOKUP(V2,id2_asset,asset!$A37,FALSE)*-1/10000*12</f>
        <v>0</v>
      </c>
      <c r="W66" s="303">
        <f>HLOOKUP(W2,id2_asset,asset!$A37,FALSE)*-1/10000*12</f>
        <v>-317.10000000000002</v>
      </c>
      <c r="X66" s="303" t="e">
        <f>HLOOKUP(X2,id2_asset,asset!$A37,FALSE)*-1/10000*12</f>
        <v>#N/A</v>
      </c>
      <c r="Y66" s="303" t="e">
        <f>HLOOKUP(Y2,id2_asset,asset!$A37,FALSE)*-1/10000*12</f>
        <v>#N/A</v>
      </c>
      <c r="Z66" s="303" t="e">
        <f>HLOOKUP(Z2,id2_asset,asset!$A37,FALSE)*-1/10000*12</f>
        <v>#N/A</v>
      </c>
      <c r="AA66" s="303" t="e">
        <f>HLOOKUP(AA2,id2_asset,asset!$A37,FALSE)*-1/10000*12</f>
        <v>#N/A</v>
      </c>
      <c r="AB66" s="303" t="e">
        <f>HLOOKUP(AB2,id2_asset,asset!$A37,FALSE)*-1/10000*12</f>
        <v>#N/A</v>
      </c>
      <c r="AC66" s="303" t="e">
        <f>HLOOKUP(AC2,id2_asset,asset!$A37,FALSE)*-1/10000*12</f>
        <v>#N/A</v>
      </c>
      <c r="AD66" s="303" t="e">
        <f>HLOOKUP(AD2,id2_asset,asset!$A37,FALSE)*-1/10000*12</f>
        <v>#N/A</v>
      </c>
      <c r="AE66" s="303" t="e">
        <f>HLOOKUP(AE2,id2_asset,asset!$A37,FALSE)*-1/10000*12</f>
        <v>#N/A</v>
      </c>
      <c r="AF66" s="303" t="e">
        <f>HLOOKUP(AF2,id2_asset,asset!$A37,FALSE)*-1/10000*12</f>
        <v>#N/A</v>
      </c>
      <c r="AG66" s="303" t="e">
        <f>HLOOKUP(AG2,id2_asset,asset!$A37,FALSE)*-1/10000*12</f>
        <v>#N/A</v>
      </c>
      <c r="AH66" s="303" t="e">
        <f>HLOOKUP(AH2,id2_asset,asset!$A37,FALSE)*-1/10000*12</f>
        <v>#N/A</v>
      </c>
      <c r="AI66" s="303" t="e">
        <f>HLOOKUP(AI2,id2_asset,asset!$A37,FALSE)*-1/10000*12</f>
        <v>#N/A</v>
      </c>
      <c r="AJ66" s="303" t="e">
        <f>HLOOKUP(AJ2,id2_asset,asset!$A37,FALSE)*-1/10000*12</f>
        <v>#N/A</v>
      </c>
      <c r="AK66" s="303" t="e">
        <f>HLOOKUP(AK2,id2_asset,asset!$A37,FALSE)*-1/10000*12</f>
        <v>#N/A</v>
      </c>
      <c r="AL66" s="303" t="e">
        <f>HLOOKUP(AL2,id2_asset,asset!$A37,FALSE)*-1/10000*12</f>
        <v>#N/A</v>
      </c>
      <c r="AM66" s="303" t="e">
        <f>HLOOKUP(AM2,id2_asset,asset!$A37,FALSE)*-1/10000*12</f>
        <v>#N/A</v>
      </c>
      <c r="AN66" s="303" t="e">
        <f>HLOOKUP(AN2,id2_asset,asset!$A37,FALSE)*-1/10000*12</f>
        <v>#N/A</v>
      </c>
      <c r="AO66" s="303" t="e">
        <f>HLOOKUP(AO2,id2_asset,asset!$A37,FALSE)*-1/10000*12</f>
        <v>#N/A</v>
      </c>
      <c r="AP66" s="303" t="e">
        <f>HLOOKUP(AP2,id2_asset,asset!$A37,FALSE)*-1/10000*12</f>
        <v>#N/A</v>
      </c>
      <c r="AQ66" s="303" t="e">
        <f>HLOOKUP(AQ2,id2_asset,asset!$A37,FALSE)*-1/10000*12</f>
        <v>#N/A</v>
      </c>
      <c r="AR66" s="303" t="e">
        <f>HLOOKUP(AR2,id2_asset,asset!$A37,FALSE)*-1/10000*12</f>
        <v>#N/A</v>
      </c>
      <c r="AS66" s="303" t="e">
        <f>HLOOKUP(AS2,id2_asset,asset!$A37,FALSE)*-1/10000*12</f>
        <v>#N/A</v>
      </c>
      <c r="AT66" s="303" t="e">
        <f>HLOOKUP(AT2,id2_asset,asset!$A37,FALSE)*-1/10000*12</f>
        <v>#N/A</v>
      </c>
      <c r="AU66" s="303" t="e">
        <f>HLOOKUP(AU2,id2_asset,asset!$A37,FALSE)*-1/10000*12</f>
        <v>#N/A</v>
      </c>
      <c r="AV66" s="303" t="e">
        <f>HLOOKUP(AV2,id2_asset,asset!$A37,FALSE)*-1/10000*12</f>
        <v>#N/A</v>
      </c>
      <c r="AW66" s="303" t="e">
        <f>HLOOKUP(AW2,id2_asset,asset!$A37,FALSE)*-1/10000*12</f>
        <v>#N/A</v>
      </c>
      <c r="AX66" s="303" t="e">
        <f>HLOOKUP(AX2,id2_asset,asset!$A37,FALSE)*-1/10000*12</f>
        <v>#N/A</v>
      </c>
      <c r="AY66" s="303" t="e">
        <f>HLOOKUP(AY2,id2_asset,asset!$A37,FALSE)*-1/10000*12</f>
        <v>#N/A</v>
      </c>
      <c r="AZ66" s="303" t="e">
        <f>HLOOKUP(AZ2,id2_asset,asset!$A37,FALSE)*-1/10000*12</f>
        <v>#N/A</v>
      </c>
      <c r="BA66" s="303" t="e">
        <f>HLOOKUP(BA2,id2_asset,asset!$A37,FALSE)*-1/10000*12</f>
        <v>#N/A</v>
      </c>
    </row>
    <row r="67" spans="1:53">
      <c r="A67" s="277">
        <v>76</v>
      </c>
      <c r="B67" s="15" t="s">
        <v>1149</v>
      </c>
      <c r="C67" s="434">
        <f t="shared" ref="C67:W67" si="32">C65+C66</f>
        <v>24447.553641679926</v>
      </c>
      <c r="D67" s="303">
        <f t="shared" si="32"/>
        <v>1418.1578822281165</v>
      </c>
      <c r="E67" s="303">
        <f t="shared" si="32"/>
        <v>1768.6760024756848</v>
      </c>
      <c r="F67" s="303">
        <f t="shared" si="32"/>
        <v>2228.9861562864717</v>
      </c>
      <c r="G67" s="303">
        <f t="shared" si="32"/>
        <v>594.65550866489821</v>
      </c>
      <c r="H67" s="303">
        <f t="shared" si="32"/>
        <v>2261.6906726967281</v>
      </c>
      <c r="I67" s="303">
        <f t="shared" si="32"/>
        <v>2304.9327153846152</v>
      </c>
      <c r="J67" s="303">
        <f t="shared" si="32"/>
        <v>1781.4301184792218</v>
      </c>
      <c r="K67" s="303">
        <f t="shared" si="32"/>
        <v>1136.5174432979663</v>
      </c>
      <c r="L67" s="303">
        <f t="shared" si="32"/>
        <v>1300.8335233598586</v>
      </c>
      <c r="M67" s="303">
        <f t="shared" si="32"/>
        <v>1786.9244120247567</v>
      </c>
      <c r="N67" s="303">
        <f t="shared" si="32"/>
        <v>2036.4177527851457</v>
      </c>
      <c r="O67" s="303">
        <f t="shared" si="32"/>
        <v>922.53692179487177</v>
      </c>
      <c r="P67" s="303">
        <f t="shared" si="32"/>
        <v>2365.754595773652</v>
      </c>
      <c r="Q67" s="303">
        <f t="shared" si="32"/>
        <v>1593.1419596816977</v>
      </c>
      <c r="R67" s="303">
        <f t="shared" si="32"/>
        <v>590.00068656056567</v>
      </c>
      <c r="S67" s="303">
        <f t="shared" si="32"/>
        <v>489.98374491600345</v>
      </c>
      <c r="T67" s="303">
        <f t="shared" si="32"/>
        <v>165.07423607427054</v>
      </c>
      <c r="U67" s="303">
        <f t="shared" si="32"/>
        <v>40.322441732979641</v>
      </c>
      <c r="V67" s="303">
        <f t="shared" si="32"/>
        <v>30.835267462422635</v>
      </c>
      <c r="W67" s="303">
        <f t="shared" si="32"/>
        <v>-369.3184</v>
      </c>
      <c r="X67" s="303" t="e">
        <f t="shared" ref="X67:BA67" si="33">X65+X66</f>
        <v>#N/A</v>
      </c>
      <c r="Y67" s="303" t="e">
        <f t="shared" si="33"/>
        <v>#N/A</v>
      </c>
      <c r="Z67" s="303" t="e">
        <f t="shared" si="33"/>
        <v>#N/A</v>
      </c>
      <c r="AA67" s="303" t="e">
        <f t="shared" si="33"/>
        <v>#N/A</v>
      </c>
      <c r="AB67" s="303" t="e">
        <f t="shared" si="33"/>
        <v>#N/A</v>
      </c>
      <c r="AC67" s="303" t="e">
        <f t="shared" si="33"/>
        <v>#N/A</v>
      </c>
      <c r="AD67" s="303" t="e">
        <f t="shared" si="33"/>
        <v>#N/A</v>
      </c>
      <c r="AE67" s="303" t="e">
        <f t="shared" si="33"/>
        <v>#N/A</v>
      </c>
      <c r="AF67" s="303" t="e">
        <f t="shared" si="33"/>
        <v>#N/A</v>
      </c>
      <c r="AG67" s="303" t="e">
        <f t="shared" si="33"/>
        <v>#N/A</v>
      </c>
      <c r="AH67" s="303" t="e">
        <f t="shared" si="33"/>
        <v>#N/A</v>
      </c>
      <c r="AI67" s="303" t="e">
        <f t="shared" si="33"/>
        <v>#N/A</v>
      </c>
      <c r="AJ67" s="303" t="e">
        <f t="shared" si="33"/>
        <v>#N/A</v>
      </c>
      <c r="AK67" s="303" t="e">
        <f t="shared" si="33"/>
        <v>#N/A</v>
      </c>
      <c r="AL67" s="303" t="e">
        <f t="shared" si="33"/>
        <v>#N/A</v>
      </c>
      <c r="AM67" s="303" t="e">
        <f t="shared" si="33"/>
        <v>#N/A</v>
      </c>
      <c r="AN67" s="303" t="e">
        <f t="shared" si="33"/>
        <v>#N/A</v>
      </c>
      <c r="AO67" s="303" t="e">
        <f t="shared" si="33"/>
        <v>#N/A</v>
      </c>
      <c r="AP67" s="303" t="e">
        <f t="shared" si="33"/>
        <v>#N/A</v>
      </c>
      <c r="AQ67" s="303" t="e">
        <f t="shared" si="33"/>
        <v>#N/A</v>
      </c>
      <c r="AR67" s="303" t="e">
        <f t="shared" si="33"/>
        <v>#N/A</v>
      </c>
      <c r="AS67" s="303" t="e">
        <f t="shared" si="33"/>
        <v>#N/A</v>
      </c>
      <c r="AT67" s="303" t="e">
        <f t="shared" si="33"/>
        <v>#N/A</v>
      </c>
      <c r="AU67" s="303" t="e">
        <f t="shared" si="33"/>
        <v>#N/A</v>
      </c>
      <c r="AV67" s="303" t="e">
        <f t="shared" si="33"/>
        <v>#N/A</v>
      </c>
      <c r="AW67" s="303" t="e">
        <f t="shared" si="33"/>
        <v>#N/A</v>
      </c>
      <c r="AX67" s="303" t="e">
        <f t="shared" si="33"/>
        <v>#N/A</v>
      </c>
      <c r="AY67" s="303" t="e">
        <f t="shared" si="33"/>
        <v>#N/A</v>
      </c>
      <c r="AZ67" s="303" t="e">
        <f t="shared" si="33"/>
        <v>#N/A</v>
      </c>
      <c r="BA67" s="303" t="e">
        <f t="shared" si="33"/>
        <v>#N/A</v>
      </c>
    </row>
    <row r="68" spans="1:53">
      <c r="A68" s="277">
        <v>77</v>
      </c>
      <c r="B68" s="13" t="s">
        <v>1150</v>
      </c>
      <c r="C68" s="434">
        <f>GETPIVOTDATA("14.年間償却額",pivot!$AI$5)/10000*-1</f>
        <v>-8732.0612000000001</v>
      </c>
      <c r="D68" s="303">
        <f>GETPIVOTDATA("14.年間償却額",pivot!$AI$5,"2.対象物件",D$1)/10000*-1</f>
        <v>-203.10890000000001</v>
      </c>
      <c r="E68" s="303">
        <f>GETPIVOTDATA("14.年間償却額",pivot!$AI$5,"2.対象物件",E$1)/10000*-1</f>
        <v>-682.24289999999996</v>
      </c>
      <c r="F68" s="303">
        <f>GETPIVOTDATA("14.年間償却額",pivot!$AI$5,"2.対象物件",F$1)/10000*-1</f>
        <v>-600.99720000000002</v>
      </c>
      <c r="G68" s="303">
        <f>GETPIVOTDATA("14.年間償却額",pivot!$AI$5,"2.対象物件",G$1)/10000*-1</f>
        <v>-133.4838</v>
      </c>
      <c r="H68" s="303">
        <f>GETPIVOTDATA("14.年間償却額",pivot!$AI$5,"2.対象物件",H$1)/10000*-1</f>
        <v>-1046.0893000000001</v>
      </c>
      <c r="I68" s="303">
        <f>GETPIVOTDATA("14.年間償却額",pivot!$AI$5,"2.対象物件",I$1)/10000*-1</f>
        <v>-642.28769999999997</v>
      </c>
      <c r="J68" s="303">
        <f>GETPIVOTDATA("14.年間償却額",pivot!$AI$5,"2.対象物件",J$1)/10000*-1</f>
        <v>-461.20209999999997</v>
      </c>
      <c r="K68" s="303">
        <f>GETPIVOTDATA("14.年間償却額",pivot!$AI$5,"2.対象物件",K$1)/10000*-1</f>
        <v>-451.01920000000001</v>
      </c>
      <c r="L68" s="303">
        <f>GETPIVOTDATA("14.年間償却額",pivot!$AI$5,"2.対象物件",L$1)/10000*-1</f>
        <v>-430.0138</v>
      </c>
      <c r="M68" s="303">
        <f>GETPIVOTDATA("14.年間償却額",pivot!$AI$5,"2.対象物件",M$1)/10000*-1</f>
        <v>-481.78070000000002</v>
      </c>
      <c r="N68" s="303">
        <f>GETPIVOTDATA("14.年間償却額",pivot!$AI$5,"2.対象物件",N$1)/10000*-1</f>
        <v>-719.59190000000001</v>
      </c>
      <c r="O68" s="303">
        <f>GETPIVOTDATA("14.年間償却額",pivot!$AI$5,"2.対象物件",O$1)/10000*-1</f>
        <v>-211.44059999999999</v>
      </c>
      <c r="P68" s="303">
        <f>GETPIVOTDATA("14.年間償却額",pivot!$AI$5,"2.対象物件",P$1)/10000*-1</f>
        <v>-777.39509999999996</v>
      </c>
      <c r="Q68" s="303">
        <f>GETPIVOTDATA("14.年間償却額",pivot!$AI$5,"2.対象物件",Q$1)/10000*-1</f>
        <v>-786.26670000000001</v>
      </c>
      <c r="R68" s="303">
        <f>GETPIVOTDATA("14.年間償却額",pivot!$AI$5,"2.対象物件",R$1)/10000*-1</f>
        <v>-295.1198</v>
      </c>
      <c r="S68" s="303">
        <f>GETPIVOTDATA("14.年間償却額",pivot!$AI$5,"2.対象物件",S$1)/10000*-1</f>
        <v>-163.78299999999999</v>
      </c>
      <c r="T68" s="303">
        <f>GETPIVOTDATA("14.年間償却額",pivot!$AI$5,"2.対象物件",T$1)/10000*-1</f>
        <v>-250</v>
      </c>
      <c r="U68" s="303">
        <f>GETPIVOTDATA("14.年間償却額",pivot!$AI$5,"2.対象物件",U$1)/10000*-1</f>
        <v>-200</v>
      </c>
      <c r="V68" s="303">
        <f>GETPIVOTDATA("14.年間償却額",pivot!$AI$5,"2.対象物件",V$1)/10000*-1</f>
        <v>-25.642099999999999</v>
      </c>
      <c r="W68" s="303">
        <f>GETPIVOTDATA("14.年間償却額",pivot!$AI$5,"2.対象物件",W$1)/10000*-1</f>
        <v>-170.59639999999999</v>
      </c>
      <c r="X68" s="303" t="e">
        <f>GETPIVOTDATA("14.年間償却額",pivot!$AI$5,"2.対象物件",X$1)/10000*-1</f>
        <v>#REF!</v>
      </c>
      <c r="Y68" s="303" t="e">
        <f>GETPIVOTDATA("14.年間償却額",pivot!$AI$5,"2.対象物件",Y$1)/10000*-1</f>
        <v>#REF!</v>
      </c>
      <c r="Z68" s="303" t="e">
        <f>GETPIVOTDATA("14.年間償却額",pivot!$AI$5,"2.対象物件",Z$1)/10000*-1</f>
        <v>#REF!</v>
      </c>
      <c r="AA68" s="303" t="e">
        <f>GETPIVOTDATA("14.年間償却額",pivot!$AI$5,"2.対象物件",AA$1)/10000*-1</f>
        <v>#REF!</v>
      </c>
      <c r="AB68" s="303" t="e">
        <f>GETPIVOTDATA("14.年間償却額",pivot!$AI$5,"2.対象物件",AB$1)/10000*-1</f>
        <v>#REF!</v>
      </c>
      <c r="AC68" s="303" t="e">
        <f>GETPIVOTDATA("14.年間償却額",pivot!$AI$5,"2.対象物件",AC$1)/10000*-1</f>
        <v>#REF!</v>
      </c>
      <c r="AD68" s="303" t="e">
        <f>GETPIVOTDATA("14.年間償却額",pivot!$AI$5,"2.対象物件",AD$1)/10000*-1</f>
        <v>#REF!</v>
      </c>
      <c r="AE68" s="303" t="e">
        <f>GETPIVOTDATA("14.年間償却額",pivot!$AI$5,"2.対象物件",AE$1)/10000*-1</f>
        <v>#REF!</v>
      </c>
      <c r="AF68" s="303" t="e">
        <f>GETPIVOTDATA("14.年間償却額",pivot!$AI$5,"2.対象物件",AF$1)/10000*-1</f>
        <v>#REF!</v>
      </c>
      <c r="AG68" s="303" t="e">
        <f>GETPIVOTDATA("14.年間償却額",pivot!$AI$5,"2.対象物件",AG$1)/10000*-1</f>
        <v>#REF!</v>
      </c>
      <c r="AH68" s="303" t="e">
        <f>GETPIVOTDATA("14.年間償却額",pivot!$AI$5,"2.対象物件",AH$1)/10000*-1</f>
        <v>#REF!</v>
      </c>
      <c r="AI68" s="303" t="e">
        <f>GETPIVOTDATA("14.年間償却額",pivot!$AI$5,"2.対象物件",AI$1)/10000*-1</f>
        <v>#REF!</v>
      </c>
      <c r="AJ68" s="303" t="e">
        <f>GETPIVOTDATA("14.年間償却額",pivot!$AI$5,"2.対象物件",AJ$1)/10000*-1</f>
        <v>#REF!</v>
      </c>
      <c r="AK68" s="303" t="e">
        <f>GETPIVOTDATA("14.年間償却額",pivot!$AI$5,"2.対象物件",AK$1)/10000*-1</f>
        <v>#REF!</v>
      </c>
      <c r="AL68" s="303" t="e">
        <f>GETPIVOTDATA("14.年間償却額",pivot!$AI$5,"2.対象物件",AL$1)/10000*-1</f>
        <v>#REF!</v>
      </c>
      <c r="AM68" s="303" t="e">
        <f>GETPIVOTDATA("14.年間償却額",pivot!$AI$5,"2.対象物件",AM$1)/10000*-1</f>
        <v>#REF!</v>
      </c>
      <c r="AN68" s="303" t="e">
        <f>GETPIVOTDATA("14.年間償却額",pivot!$AI$5,"2.対象物件",AN$1)/10000*-1</f>
        <v>#REF!</v>
      </c>
      <c r="AO68" s="303" t="e">
        <f>GETPIVOTDATA("14.年間償却額",pivot!$AI$5,"2.対象物件",AO$1)/10000*-1</f>
        <v>#REF!</v>
      </c>
      <c r="AP68" s="303" t="e">
        <f>GETPIVOTDATA("14.年間償却額",pivot!$AI$5,"2.対象物件",AP$1)/10000*-1</f>
        <v>#REF!</v>
      </c>
      <c r="AQ68" s="303" t="e">
        <f>GETPIVOTDATA("14.年間償却額",pivot!$AI$5,"2.対象物件",AQ$1)/10000*-1</f>
        <v>#REF!</v>
      </c>
      <c r="AR68" s="303" t="e">
        <f>GETPIVOTDATA("14.年間償却額",pivot!$AI$5,"2.対象物件",AR$1)/10000*-1</f>
        <v>#REF!</v>
      </c>
      <c r="AS68" s="303" t="e">
        <f>GETPIVOTDATA("14.年間償却額",pivot!$AI$5,"2.対象物件",AS$1)/10000*-1</f>
        <v>#REF!</v>
      </c>
      <c r="AT68" s="303" t="e">
        <f>GETPIVOTDATA("14.年間償却額",pivot!$AI$5,"2.対象物件",AT$1)/10000*-1</f>
        <v>#REF!</v>
      </c>
      <c r="AU68" s="303" t="e">
        <f>GETPIVOTDATA("14.年間償却額",pivot!$AI$5,"2.対象物件",AU$1)/10000*-1</f>
        <v>#REF!</v>
      </c>
      <c r="AV68" s="303" t="e">
        <f>GETPIVOTDATA("14.年間償却額",pivot!$AI$5,"2.対象物件",AV$1)/10000*-1</f>
        <v>#REF!</v>
      </c>
      <c r="AW68" s="303" t="e">
        <f>GETPIVOTDATA("14.年間償却額",pivot!$AI$5,"2.対象物件",AW$1)/10000*-1</f>
        <v>#REF!</v>
      </c>
      <c r="AX68" s="303" t="e">
        <f>GETPIVOTDATA("14.年間償却額",pivot!$AI$5,"2.対象物件",AX$1)/10000*-1</f>
        <v>#REF!</v>
      </c>
      <c r="AY68" s="303" t="e">
        <f>GETPIVOTDATA("14.年間償却額",pivot!$AI$5,"2.対象物件",AY$1)/10000*-1</f>
        <v>#REF!</v>
      </c>
      <c r="AZ68" s="303" t="e">
        <f>GETPIVOTDATA("14.年間償却額",pivot!$AI$5,"2.対象物件",AZ$1)/10000*-1</f>
        <v>#REF!</v>
      </c>
      <c r="BA68" s="303" t="e">
        <f>GETPIVOTDATA("14.年間償却額",pivot!$AI$5,"2.対象物件",BA$1)/10000*-1</f>
        <v>#REF!</v>
      </c>
    </row>
    <row r="69" spans="1:53">
      <c r="A69" s="277">
        <v>78</v>
      </c>
      <c r="B69" s="13" t="s">
        <v>969</v>
      </c>
      <c r="C69" s="434">
        <f t="shared" ref="C69:W69" si="34">C65+C68+C66</f>
        <v>15715.492441679926</v>
      </c>
      <c r="D69" s="303">
        <f t="shared" si="34"/>
        <v>1215.0489822281165</v>
      </c>
      <c r="E69" s="303">
        <f t="shared" si="34"/>
        <v>1086.4331024756848</v>
      </c>
      <c r="F69" s="303">
        <f t="shared" si="34"/>
        <v>1627.9889562864719</v>
      </c>
      <c r="G69" s="303">
        <f t="shared" si="34"/>
        <v>461.17170866489823</v>
      </c>
      <c r="H69" s="303">
        <f t="shared" si="34"/>
        <v>1215.6013726967283</v>
      </c>
      <c r="I69" s="303">
        <f t="shared" si="34"/>
        <v>1662.6450153846154</v>
      </c>
      <c r="J69" s="303">
        <f t="shared" si="34"/>
        <v>1320.2280184792219</v>
      </c>
      <c r="K69" s="303">
        <f t="shared" si="34"/>
        <v>685.49824329796638</v>
      </c>
      <c r="L69" s="303">
        <f t="shared" si="34"/>
        <v>870.8197233598587</v>
      </c>
      <c r="M69" s="303">
        <f t="shared" si="34"/>
        <v>1305.1437120247567</v>
      </c>
      <c r="N69" s="303">
        <f t="shared" si="34"/>
        <v>1316.8258527851458</v>
      </c>
      <c r="O69" s="303">
        <f t="shared" si="34"/>
        <v>711.09632179487176</v>
      </c>
      <c r="P69" s="303">
        <f t="shared" si="34"/>
        <v>1588.3594957736523</v>
      </c>
      <c r="Q69" s="303">
        <f t="shared" si="34"/>
        <v>806.87525968169757</v>
      </c>
      <c r="R69" s="303">
        <f t="shared" si="34"/>
        <v>294.88088656056573</v>
      </c>
      <c r="S69" s="303">
        <f t="shared" si="34"/>
        <v>326.20074491600343</v>
      </c>
      <c r="T69" s="303">
        <f t="shared" si="34"/>
        <v>-84.925763925729456</v>
      </c>
      <c r="U69" s="303">
        <f t="shared" si="34"/>
        <v>-159.67755826702034</v>
      </c>
      <c r="V69" s="303">
        <f t="shared" si="34"/>
        <v>5.193167462422636</v>
      </c>
      <c r="W69" s="303">
        <f t="shared" si="34"/>
        <v>-539.91480000000001</v>
      </c>
      <c r="X69" s="303" t="e">
        <f t="shared" ref="X69:BA69" si="35">X65+X68+X66</f>
        <v>#N/A</v>
      </c>
      <c r="Y69" s="303" t="e">
        <f t="shared" si="35"/>
        <v>#N/A</v>
      </c>
      <c r="Z69" s="303" t="e">
        <f t="shared" si="35"/>
        <v>#N/A</v>
      </c>
      <c r="AA69" s="303" t="e">
        <f t="shared" si="35"/>
        <v>#N/A</v>
      </c>
      <c r="AB69" s="303" t="e">
        <f t="shared" si="35"/>
        <v>#N/A</v>
      </c>
      <c r="AC69" s="303" t="e">
        <f t="shared" si="35"/>
        <v>#N/A</v>
      </c>
      <c r="AD69" s="303" t="e">
        <f t="shared" si="35"/>
        <v>#N/A</v>
      </c>
      <c r="AE69" s="303" t="e">
        <f t="shared" si="35"/>
        <v>#N/A</v>
      </c>
      <c r="AF69" s="303" t="e">
        <f t="shared" si="35"/>
        <v>#N/A</v>
      </c>
      <c r="AG69" s="303" t="e">
        <f t="shared" si="35"/>
        <v>#N/A</v>
      </c>
      <c r="AH69" s="303" t="e">
        <f t="shared" si="35"/>
        <v>#N/A</v>
      </c>
      <c r="AI69" s="303" t="e">
        <f t="shared" si="35"/>
        <v>#N/A</v>
      </c>
      <c r="AJ69" s="303" t="e">
        <f t="shared" si="35"/>
        <v>#N/A</v>
      </c>
      <c r="AK69" s="303" t="e">
        <f t="shared" si="35"/>
        <v>#N/A</v>
      </c>
      <c r="AL69" s="303" t="e">
        <f t="shared" si="35"/>
        <v>#N/A</v>
      </c>
      <c r="AM69" s="303" t="e">
        <f t="shared" si="35"/>
        <v>#N/A</v>
      </c>
      <c r="AN69" s="303" t="e">
        <f t="shared" si="35"/>
        <v>#N/A</v>
      </c>
      <c r="AO69" s="303" t="e">
        <f t="shared" si="35"/>
        <v>#N/A</v>
      </c>
      <c r="AP69" s="303" t="e">
        <f t="shared" si="35"/>
        <v>#N/A</v>
      </c>
      <c r="AQ69" s="303" t="e">
        <f t="shared" si="35"/>
        <v>#N/A</v>
      </c>
      <c r="AR69" s="303" t="e">
        <f t="shared" si="35"/>
        <v>#N/A</v>
      </c>
      <c r="AS69" s="303" t="e">
        <f t="shared" si="35"/>
        <v>#N/A</v>
      </c>
      <c r="AT69" s="303" t="e">
        <f t="shared" si="35"/>
        <v>#N/A</v>
      </c>
      <c r="AU69" s="303" t="e">
        <f t="shared" si="35"/>
        <v>#N/A</v>
      </c>
      <c r="AV69" s="303" t="e">
        <f t="shared" si="35"/>
        <v>#N/A</v>
      </c>
      <c r="AW69" s="303" t="e">
        <f t="shared" si="35"/>
        <v>#N/A</v>
      </c>
      <c r="AX69" s="303" t="e">
        <f t="shared" si="35"/>
        <v>#N/A</v>
      </c>
      <c r="AY69" s="303" t="e">
        <f t="shared" si="35"/>
        <v>#N/A</v>
      </c>
      <c r="AZ69" s="303" t="e">
        <f t="shared" si="35"/>
        <v>#N/A</v>
      </c>
      <c r="BA69" s="303" t="e">
        <f t="shared" si="35"/>
        <v>#N/A</v>
      </c>
    </row>
    <row r="70" spans="1:53">
      <c r="A70" s="277">
        <v>79</v>
      </c>
      <c r="B70" s="15" t="s">
        <v>507</v>
      </c>
      <c r="C70" s="434">
        <f>IF(tax_income*C69&gt;1,tax_income*C69*-1,0)</f>
        <v>-4714.6477325039777</v>
      </c>
      <c r="D70" s="303">
        <f t="shared" ref="D70:W70" si="36">IF(tax_income*D69&gt;0,tax_income*D69*-1,0)</f>
        <v>-364.51469466843497</v>
      </c>
      <c r="E70" s="303">
        <f t="shared" si="36"/>
        <v>-325.92993074270544</v>
      </c>
      <c r="F70" s="303">
        <f t="shared" si="36"/>
        <v>-488.39668688594156</v>
      </c>
      <c r="G70" s="303">
        <f t="shared" si="36"/>
        <v>-138.35151259946946</v>
      </c>
      <c r="H70" s="303">
        <f t="shared" si="36"/>
        <v>-364.68041180901849</v>
      </c>
      <c r="I70" s="303">
        <f t="shared" si="36"/>
        <v>-498.79350461538456</v>
      </c>
      <c r="J70" s="303">
        <f t="shared" si="36"/>
        <v>-396.06840554376657</v>
      </c>
      <c r="K70" s="303">
        <f t="shared" si="36"/>
        <v>-205.64947298938992</v>
      </c>
      <c r="L70" s="303">
        <f t="shared" si="36"/>
        <v>-261.24591700795759</v>
      </c>
      <c r="M70" s="303">
        <f t="shared" si="36"/>
        <v>-391.54311360742702</v>
      </c>
      <c r="N70" s="303">
        <f t="shared" si="36"/>
        <v>-395.04775583554374</v>
      </c>
      <c r="O70" s="303">
        <f t="shared" si="36"/>
        <v>-213.32889653846152</v>
      </c>
      <c r="P70" s="303">
        <f t="shared" si="36"/>
        <v>-476.50784873209568</v>
      </c>
      <c r="Q70" s="303">
        <f t="shared" si="36"/>
        <v>-242.06257790450925</v>
      </c>
      <c r="R70" s="303">
        <f t="shared" si="36"/>
        <v>-88.464265968169713</v>
      </c>
      <c r="S70" s="303">
        <f t="shared" si="36"/>
        <v>-97.860223474801032</v>
      </c>
      <c r="T70" s="303">
        <f t="shared" si="36"/>
        <v>0</v>
      </c>
      <c r="U70" s="303">
        <f t="shared" si="36"/>
        <v>0</v>
      </c>
      <c r="V70" s="303">
        <f t="shared" si="36"/>
        <v>-1.5579502387267907</v>
      </c>
      <c r="W70" s="303">
        <f t="shared" si="36"/>
        <v>0</v>
      </c>
      <c r="X70" s="303" t="e">
        <f t="shared" ref="X70:BA70" si="37">IF(tax_income*X69&gt;0,tax_income*X69*-1,0)</f>
        <v>#N/A</v>
      </c>
      <c r="Y70" s="303" t="e">
        <f t="shared" si="37"/>
        <v>#N/A</v>
      </c>
      <c r="Z70" s="303" t="e">
        <f t="shared" si="37"/>
        <v>#N/A</v>
      </c>
      <c r="AA70" s="303" t="e">
        <f t="shared" si="37"/>
        <v>#N/A</v>
      </c>
      <c r="AB70" s="303" t="e">
        <f t="shared" si="37"/>
        <v>#N/A</v>
      </c>
      <c r="AC70" s="303" t="e">
        <f t="shared" si="37"/>
        <v>#N/A</v>
      </c>
      <c r="AD70" s="303" t="e">
        <f t="shared" si="37"/>
        <v>#N/A</v>
      </c>
      <c r="AE70" s="303" t="e">
        <f t="shared" si="37"/>
        <v>#N/A</v>
      </c>
      <c r="AF70" s="303" t="e">
        <f t="shared" si="37"/>
        <v>#N/A</v>
      </c>
      <c r="AG70" s="303" t="e">
        <f t="shared" si="37"/>
        <v>#N/A</v>
      </c>
      <c r="AH70" s="303" t="e">
        <f t="shared" si="37"/>
        <v>#N/A</v>
      </c>
      <c r="AI70" s="303" t="e">
        <f t="shared" si="37"/>
        <v>#N/A</v>
      </c>
      <c r="AJ70" s="303" t="e">
        <f t="shared" si="37"/>
        <v>#N/A</v>
      </c>
      <c r="AK70" s="303" t="e">
        <f t="shared" si="37"/>
        <v>#N/A</v>
      </c>
      <c r="AL70" s="303" t="e">
        <f t="shared" si="37"/>
        <v>#N/A</v>
      </c>
      <c r="AM70" s="303" t="e">
        <f t="shared" si="37"/>
        <v>#N/A</v>
      </c>
      <c r="AN70" s="303" t="e">
        <f t="shared" si="37"/>
        <v>#N/A</v>
      </c>
      <c r="AO70" s="303" t="e">
        <f t="shared" si="37"/>
        <v>#N/A</v>
      </c>
      <c r="AP70" s="303" t="e">
        <f t="shared" si="37"/>
        <v>#N/A</v>
      </c>
      <c r="AQ70" s="303" t="e">
        <f t="shared" si="37"/>
        <v>#N/A</v>
      </c>
      <c r="AR70" s="303" t="e">
        <f t="shared" si="37"/>
        <v>#N/A</v>
      </c>
      <c r="AS70" s="303" t="e">
        <f t="shared" si="37"/>
        <v>#N/A</v>
      </c>
      <c r="AT70" s="303" t="e">
        <f t="shared" si="37"/>
        <v>#N/A</v>
      </c>
      <c r="AU70" s="303" t="e">
        <f t="shared" si="37"/>
        <v>#N/A</v>
      </c>
      <c r="AV70" s="303" t="e">
        <f t="shared" si="37"/>
        <v>#N/A</v>
      </c>
      <c r="AW70" s="303" t="e">
        <f t="shared" si="37"/>
        <v>#N/A</v>
      </c>
      <c r="AX70" s="303" t="e">
        <f t="shared" si="37"/>
        <v>#N/A</v>
      </c>
      <c r="AY70" s="303" t="e">
        <f t="shared" si="37"/>
        <v>#N/A</v>
      </c>
      <c r="AZ70" s="303" t="e">
        <f t="shared" si="37"/>
        <v>#N/A</v>
      </c>
      <c r="BA70" s="303" t="e">
        <f t="shared" si="37"/>
        <v>#N/A</v>
      </c>
    </row>
    <row r="71" spans="1:53">
      <c r="A71" s="277">
        <v>80</v>
      </c>
      <c r="B71" s="15" t="s">
        <v>511</v>
      </c>
      <c r="C71" s="434">
        <f t="shared" ref="C71:W71" si="38">C69+C70</f>
        <v>11000.844709175948</v>
      </c>
      <c r="D71" s="303">
        <f t="shared" si="38"/>
        <v>850.53428755968162</v>
      </c>
      <c r="E71" s="303">
        <f t="shared" si="38"/>
        <v>760.50317173297935</v>
      </c>
      <c r="F71" s="303">
        <f t="shared" si="38"/>
        <v>1139.5922694005303</v>
      </c>
      <c r="G71" s="303">
        <f t="shared" si="38"/>
        <v>322.82019606542877</v>
      </c>
      <c r="H71" s="303">
        <f t="shared" si="38"/>
        <v>850.92096088770973</v>
      </c>
      <c r="I71" s="303">
        <f t="shared" si="38"/>
        <v>1163.8515107692308</v>
      </c>
      <c r="J71" s="303">
        <f t="shared" si="38"/>
        <v>924.15961293545524</v>
      </c>
      <c r="K71" s="303">
        <f t="shared" si="38"/>
        <v>479.84877030857649</v>
      </c>
      <c r="L71" s="303">
        <f t="shared" si="38"/>
        <v>609.57380635190111</v>
      </c>
      <c r="M71" s="303">
        <f t="shared" si="38"/>
        <v>913.60059841732971</v>
      </c>
      <c r="N71" s="303">
        <f t="shared" si="38"/>
        <v>921.77809694960206</v>
      </c>
      <c r="O71" s="303">
        <f t="shared" si="38"/>
        <v>497.76742525641021</v>
      </c>
      <c r="P71" s="303">
        <f t="shared" si="38"/>
        <v>1111.8516470415566</v>
      </c>
      <c r="Q71" s="303">
        <f t="shared" si="38"/>
        <v>564.81268177718835</v>
      </c>
      <c r="R71" s="303">
        <f t="shared" si="38"/>
        <v>206.41662059239601</v>
      </c>
      <c r="S71" s="303">
        <f t="shared" si="38"/>
        <v>228.34052144120238</v>
      </c>
      <c r="T71" s="303">
        <f t="shared" si="38"/>
        <v>-84.925763925729456</v>
      </c>
      <c r="U71" s="303">
        <f t="shared" si="38"/>
        <v>-159.67755826702034</v>
      </c>
      <c r="V71" s="303">
        <f t="shared" si="38"/>
        <v>3.6352172236958453</v>
      </c>
      <c r="W71" s="303">
        <f t="shared" si="38"/>
        <v>-539.91480000000001</v>
      </c>
      <c r="X71" s="303" t="e">
        <f t="shared" ref="X71:BA71" si="39">X69+X70</f>
        <v>#N/A</v>
      </c>
      <c r="Y71" s="303" t="e">
        <f t="shared" si="39"/>
        <v>#N/A</v>
      </c>
      <c r="Z71" s="303" t="e">
        <f t="shared" si="39"/>
        <v>#N/A</v>
      </c>
      <c r="AA71" s="303" t="e">
        <f t="shared" si="39"/>
        <v>#N/A</v>
      </c>
      <c r="AB71" s="303" t="e">
        <f t="shared" si="39"/>
        <v>#N/A</v>
      </c>
      <c r="AC71" s="303" t="e">
        <f t="shared" si="39"/>
        <v>#N/A</v>
      </c>
      <c r="AD71" s="303" t="e">
        <f t="shared" si="39"/>
        <v>#N/A</v>
      </c>
      <c r="AE71" s="303" t="e">
        <f t="shared" si="39"/>
        <v>#N/A</v>
      </c>
      <c r="AF71" s="303" t="e">
        <f t="shared" si="39"/>
        <v>#N/A</v>
      </c>
      <c r="AG71" s="303" t="e">
        <f t="shared" si="39"/>
        <v>#N/A</v>
      </c>
      <c r="AH71" s="303" t="e">
        <f t="shared" si="39"/>
        <v>#N/A</v>
      </c>
      <c r="AI71" s="303" t="e">
        <f t="shared" si="39"/>
        <v>#N/A</v>
      </c>
      <c r="AJ71" s="303" t="e">
        <f t="shared" si="39"/>
        <v>#N/A</v>
      </c>
      <c r="AK71" s="303" t="e">
        <f t="shared" si="39"/>
        <v>#N/A</v>
      </c>
      <c r="AL71" s="303" t="e">
        <f t="shared" si="39"/>
        <v>#N/A</v>
      </c>
      <c r="AM71" s="303" t="e">
        <f t="shared" si="39"/>
        <v>#N/A</v>
      </c>
      <c r="AN71" s="303" t="e">
        <f t="shared" si="39"/>
        <v>#N/A</v>
      </c>
      <c r="AO71" s="303" t="e">
        <f t="shared" si="39"/>
        <v>#N/A</v>
      </c>
      <c r="AP71" s="303" t="e">
        <f t="shared" si="39"/>
        <v>#N/A</v>
      </c>
      <c r="AQ71" s="303" t="e">
        <f t="shared" si="39"/>
        <v>#N/A</v>
      </c>
      <c r="AR71" s="303" t="e">
        <f t="shared" si="39"/>
        <v>#N/A</v>
      </c>
      <c r="AS71" s="303" t="e">
        <f t="shared" si="39"/>
        <v>#N/A</v>
      </c>
      <c r="AT71" s="303" t="e">
        <f t="shared" si="39"/>
        <v>#N/A</v>
      </c>
      <c r="AU71" s="303" t="e">
        <f t="shared" si="39"/>
        <v>#N/A</v>
      </c>
      <c r="AV71" s="303" t="e">
        <f t="shared" si="39"/>
        <v>#N/A</v>
      </c>
      <c r="AW71" s="303" t="e">
        <f t="shared" si="39"/>
        <v>#N/A</v>
      </c>
      <c r="AX71" s="303" t="e">
        <f t="shared" si="39"/>
        <v>#N/A</v>
      </c>
      <c r="AY71" s="303" t="e">
        <f t="shared" si="39"/>
        <v>#N/A</v>
      </c>
      <c r="AZ71" s="303" t="e">
        <f t="shared" si="39"/>
        <v>#N/A</v>
      </c>
      <c r="BA71" s="303" t="e">
        <f t="shared" si="39"/>
        <v>#N/A</v>
      </c>
    </row>
    <row r="72" spans="1:53">
      <c r="A72" s="277">
        <v>81</v>
      </c>
      <c r="B72" s="15" t="s">
        <v>1151</v>
      </c>
      <c r="C72" s="434">
        <f>(GETPIVOTDATA("合計 / 22.元金返済月額",pivot!$EM$7,"9.使途2","賃貸部門")+IFERROR(GETPIVOTDATA("合計 / 22.元金返済月額",pivot!$EM$7,"9.使途","住宅ローン","9.使途2","間接部門"),0))/10000*-1*12</f>
        <v>-15344.106</v>
      </c>
      <c r="D72" s="308">
        <f>HLOOKUP(D2,id2_asset,asset!$A38,FALSE)*-1/10000*12</f>
        <v>-855.19920000000002</v>
      </c>
      <c r="E72" s="308">
        <f>HLOOKUP(E2,id2_asset,asset!$A38,FALSE)*-1/10000*12</f>
        <v>-1260.3024</v>
      </c>
      <c r="F72" s="308">
        <f>HLOOKUP(F2,id2_asset,asset!$A38,FALSE)*-1/10000*12</f>
        <v>-1259.4624000000001</v>
      </c>
      <c r="G72" s="308">
        <f>HLOOKUP(G2,id2_asset,asset!$A38,FALSE)*-1/10000*12</f>
        <v>-394.71360000000004</v>
      </c>
      <c r="H72" s="308">
        <f>HLOOKUP(H2,id2_asset,asset!$A38,FALSE)*-1/10000*12</f>
        <v>-1194.7524000000001</v>
      </c>
      <c r="I72" s="308">
        <f>HLOOKUP(I2,id2_asset,asset!$A38,FALSE)*-1/10000*12</f>
        <v>-1164.7608</v>
      </c>
      <c r="J72" s="308">
        <f>HLOOKUP(J2,id2_asset,asset!$A38,FALSE)*-1/10000*12</f>
        <v>-1178.9688000000001</v>
      </c>
      <c r="K72" s="308">
        <f>HLOOKUP(K2,id2_asset,asset!$A38,FALSE)*-1/10000*12</f>
        <v>-525.43200000000002</v>
      </c>
      <c r="L72" s="308">
        <f>HLOOKUP(L2,id2_asset,asset!$A38,FALSE)*-1/10000*12</f>
        <v>-830.93040000000008</v>
      </c>
      <c r="M72" s="308">
        <f>HLOOKUP(M2,id2_asset,asset!$A38,FALSE)*-1/10000*12</f>
        <v>-1333.9728</v>
      </c>
      <c r="N72" s="308">
        <f>HLOOKUP(N2,id2_asset,asset!$A38,FALSE)*-1/10000*12</f>
        <v>-1451.9207999999999</v>
      </c>
      <c r="O72" s="308">
        <f>HLOOKUP(O2,id2_asset,asset!$A38,FALSE)*-1/10000*12</f>
        <v>-389.73120000000006</v>
      </c>
      <c r="P72" s="308">
        <f>HLOOKUP(P2,id2_asset,asset!$A38,FALSE)*-1/10000*12</f>
        <v>-1083.4703999999999</v>
      </c>
      <c r="Q72" s="308">
        <f>HLOOKUP(Q2,id2_asset,asset!$A38,FALSE)*-1/10000*12</f>
        <v>-885.97199999999998</v>
      </c>
      <c r="R72" s="308">
        <f>HLOOKUP(R2,id2_asset,asset!$A38,FALSE)*-1/10000*12</f>
        <v>-269.8116</v>
      </c>
      <c r="S72" s="308">
        <f>HLOOKUP(S2,id2_asset,asset!$A38,FALSE)*-1/10000*12</f>
        <v>-353.22840000000002</v>
      </c>
      <c r="T72" s="308">
        <f>HLOOKUP(T2,id2_asset,asset!$A38,FALSE)*-1/10000*12</f>
        <v>-219.60210000000001</v>
      </c>
      <c r="U72" s="308">
        <f>HLOOKUP(U2,id2_asset,asset!$A38,FALSE)*-1/10000*12</f>
        <v>-96.266700000000014</v>
      </c>
      <c r="V72" s="308">
        <f>HLOOKUP(V2,id2_asset,asset!$A38,FALSE)*-1/10000*12</f>
        <v>0</v>
      </c>
      <c r="W72" s="308">
        <f>HLOOKUP(W2,id2_asset,asset!$A38,FALSE)*-1/10000*12</f>
        <v>-595.60799999999995</v>
      </c>
      <c r="X72" s="308" t="e">
        <f>HLOOKUP(X2,id2_asset,asset!$A38,FALSE)*-1/10000*12</f>
        <v>#N/A</v>
      </c>
      <c r="Y72" s="308" t="e">
        <f>HLOOKUP(Y2,id2_asset,asset!$A38,FALSE)*-1/10000*12</f>
        <v>#N/A</v>
      </c>
      <c r="Z72" s="308" t="e">
        <f>HLOOKUP(Z2,id2_asset,asset!$A38,FALSE)*-1/10000*12</f>
        <v>#N/A</v>
      </c>
      <c r="AA72" s="308" t="e">
        <f>HLOOKUP(AA2,id2_asset,asset!$A38,FALSE)*-1/10000*12</f>
        <v>#N/A</v>
      </c>
      <c r="AB72" s="308" t="e">
        <f>HLOOKUP(AB2,id2_asset,asset!$A38,FALSE)*-1/10000*12</f>
        <v>#N/A</v>
      </c>
      <c r="AC72" s="308" t="e">
        <f>HLOOKUP(AC2,id2_asset,asset!$A38,FALSE)*-1/10000*12</f>
        <v>#N/A</v>
      </c>
      <c r="AD72" s="308" t="e">
        <f>HLOOKUP(AD2,id2_asset,asset!$A38,FALSE)*-1/10000*12</f>
        <v>#N/A</v>
      </c>
      <c r="AE72" s="308" t="e">
        <f>HLOOKUP(AE2,id2_asset,asset!$A38,FALSE)*-1/10000*12</f>
        <v>#N/A</v>
      </c>
      <c r="AF72" s="308" t="e">
        <f>HLOOKUP(AF2,id2_asset,asset!$A38,FALSE)*-1/10000*12</f>
        <v>#N/A</v>
      </c>
      <c r="AG72" s="308" t="e">
        <f>HLOOKUP(AG2,id2_asset,asset!$A38,FALSE)*-1/10000*12</f>
        <v>#N/A</v>
      </c>
      <c r="AH72" s="308" t="e">
        <f>HLOOKUP(AH2,id2_asset,asset!$A38,FALSE)*-1/10000*12</f>
        <v>#N/A</v>
      </c>
      <c r="AI72" s="308" t="e">
        <f>HLOOKUP(AI2,id2_asset,asset!$A38,FALSE)*-1/10000*12</f>
        <v>#N/A</v>
      </c>
      <c r="AJ72" s="308" t="e">
        <f>HLOOKUP(AJ2,id2_asset,asset!$A38,FALSE)*-1/10000*12</f>
        <v>#N/A</v>
      </c>
      <c r="AK72" s="308" t="e">
        <f>HLOOKUP(AK2,id2_asset,asset!$A38,FALSE)*-1/10000*12</f>
        <v>#N/A</v>
      </c>
      <c r="AL72" s="308" t="e">
        <f>HLOOKUP(AL2,id2_asset,asset!$A38,FALSE)*-1/10000*12</f>
        <v>#N/A</v>
      </c>
      <c r="AM72" s="308" t="e">
        <f>HLOOKUP(AM2,id2_asset,asset!$A38,FALSE)*-1/10000*12</f>
        <v>#N/A</v>
      </c>
      <c r="AN72" s="308" t="e">
        <f>HLOOKUP(AN2,id2_asset,asset!$A38,FALSE)*-1/10000*12</f>
        <v>#N/A</v>
      </c>
      <c r="AO72" s="308" t="e">
        <f>HLOOKUP(AO2,id2_asset,asset!$A38,FALSE)*-1/10000*12</f>
        <v>#N/A</v>
      </c>
      <c r="AP72" s="308" t="e">
        <f>HLOOKUP(AP2,id2_asset,asset!$A38,FALSE)*-1/10000*12</f>
        <v>#N/A</v>
      </c>
      <c r="AQ72" s="308" t="e">
        <f>HLOOKUP(AQ2,id2_asset,asset!$A38,FALSE)*-1/10000*12</f>
        <v>#N/A</v>
      </c>
      <c r="AR72" s="308" t="e">
        <f>HLOOKUP(AR2,id2_asset,asset!$A38,FALSE)*-1/10000*12</f>
        <v>#N/A</v>
      </c>
      <c r="AS72" s="308" t="e">
        <f>HLOOKUP(AS2,id2_asset,asset!$A38,FALSE)*-1/10000*12</f>
        <v>#N/A</v>
      </c>
      <c r="AT72" s="308" t="e">
        <f>HLOOKUP(AT2,id2_asset,asset!$A38,FALSE)*-1/10000*12</f>
        <v>#N/A</v>
      </c>
      <c r="AU72" s="308" t="e">
        <f>HLOOKUP(AU2,id2_asset,asset!$A38,FALSE)*-1/10000*12</f>
        <v>#N/A</v>
      </c>
      <c r="AV72" s="308" t="e">
        <f>HLOOKUP(AV2,id2_asset,asset!$A38,FALSE)*-1/10000*12</f>
        <v>#N/A</v>
      </c>
      <c r="AW72" s="308" t="e">
        <f>HLOOKUP(AW2,id2_asset,asset!$A38,FALSE)*-1/10000*12</f>
        <v>#N/A</v>
      </c>
      <c r="AX72" s="308" t="e">
        <f>HLOOKUP(AX2,id2_asset,asset!$A38,FALSE)*-1/10000*12</f>
        <v>#N/A</v>
      </c>
      <c r="AY72" s="308" t="e">
        <f>HLOOKUP(AY2,id2_asset,asset!$A38,FALSE)*-1/10000*12</f>
        <v>#N/A</v>
      </c>
      <c r="AZ72" s="308" t="e">
        <f>HLOOKUP(AZ2,id2_asset,asset!$A38,FALSE)*-1/10000*12</f>
        <v>#N/A</v>
      </c>
      <c r="BA72" s="308" t="e">
        <f>HLOOKUP(BA2,id2_asset,asset!$A38,FALSE)*-1/10000*12</f>
        <v>#N/A</v>
      </c>
    </row>
    <row r="73" spans="1:53">
      <c r="A73" s="277">
        <v>82</v>
      </c>
      <c r="B73" s="309" t="s">
        <v>518</v>
      </c>
      <c r="C73" s="434">
        <f>C71+C72-C68</f>
        <v>4388.7999091759484</v>
      </c>
      <c r="D73" s="303">
        <f>D71+D72-D68</f>
        <v>198.4439875596816</v>
      </c>
      <c r="E73" s="303">
        <f t="shared" ref="E73:BA73" si="40">E71+E72-E68</f>
        <v>182.44367173297928</v>
      </c>
      <c r="F73" s="303">
        <f t="shared" si="40"/>
        <v>481.12706940053022</v>
      </c>
      <c r="G73" s="303">
        <f t="shared" si="40"/>
        <v>61.590396065428735</v>
      </c>
      <c r="H73" s="303">
        <f t="shared" si="40"/>
        <v>702.25786088770974</v>
      </c>
      <c r="I73" s="303">
        <f t="shared" si="40"/>
        <v>641.37841076923075</v>
      </c>
      <c r="J73" s="303">
        <f t="shared" si="40"/>
        <v>206.39291293545512</v>
      </c>
      <c r="K73" s="303">
        <f t="shared" si="40"/>
        <v>405.43597030857649</v>
      </c>
      <c r="L73" s="303">
        <f t="shared" si="40"/>
        <v>208.65720635190104</v>
      </c>
      <c r="M73" s="303">
        <f t="shared" si="40"/>
        <v>61.408498417329724</v>
      </c>
      <c r="N73" s="303">
        <f t="shared" si="40"/>
        <v>189.4491969496022</v>
      </c>
      <c r="O73" s="303">
        <f t="shared" si="40"/>
        <v>319.47682525641017</v>
      </c>
      <c r="P73" s="303">
        <f t="shared" si="40"/>
        <v>805.77634704155662</v>
      </c>
      <c r="Q73" s="303">
        <f t="shared" si="40"/>
        <v>465.10738177718838</v>
      </c>
      <c r="R73" s="303">
        <f t="shared" si="40"/>
        <v>231.72482059239601</v>
      </c>
      <c r="S73" s="303">
        <f t="shared" si="40"/>
        <v>38.895121441202349</v>
      </c>
      <c r="T73" s="303">
        <f t="shared" si="40"/>
        <v>-54.527863925729434</v>
      </c>
      <c r="U73" s="303">
        <f t="shared" si="40"/>
        <v>-55.944258267020359</v>
      </c>
      <c r="V73" s="303">
        <f t="shared" si="40"/>
        <v>29.277317223695846</v>
      </c>
      <c r="W73" s="303">
        <f t="shared" si="40"/>
        <v>-964.92639999999994</v>
      </c>
      <c r="X73" s="303" t="e">
        <f t="shared" si="40"/>
        <v>#N/A</v>
      </c>
      <c r="Y73" s="303" t="e">
        <f t="shared" si="40"/>
        <v>#N/A</v>
      </c>
      <c r="Z73" s="303" t="e">
        <f t="shared" si="40"/>
        <v>#N/A</v>
      </c>
      <c r="AA73" s="303" t="e">
        <f t="shared" si="40"/>
        <v>#N/A</v>
      </c>
      <c r="AB73" s="303" t="e">
        <f t="shared" si="40"/>
        <v>#N/A</v>
      </c>
      <c r="AC73" s="303" t="e">
        <f t="shared" si="40"/>
        <v>#N/A</v>
      </c>
      <c r="AD73" s="303" t="e">
        <f t="shared" si="40"/>
        <v>#N/A</v>
      </c>
      <c r="AE73" s="303" t="e">
        <f t="shared" si="40"/>
        <v>#N/A</v>
      </c>
      <c r="AF73" s="303" t="e">
        <f t="shared" si="40"/>
        <v>#N/A</v>
      </c>
      <c r="AG73" s="303" t="e">
        <f t="shared" si="40"/>
        <v>#N/A</v>
      </c>
      <c r="AH73" s="303" t="e">
        <f t="shared" si="40"/>
        <v>#N/A</v>
      </c>
      <c r="AI73" s="303" t="e">
        <f t="shared" si="40"/>
        <v>#N/A</v>
      </c>
      <c r="AJ73" s="303" t="e">
        <f t="shared" si="40"/>
        <v>#N/A</v>
      </c>
      <c r="AK73" s="303" t="e">
        <f t="shared" si="40"/>
        <v>#N/A</v>
      </c>
      <c r="AL73" s="303" t="e">
        <f t="shared" si="40"/>
        <v>#N/A</v>
      </c>
      <c r="AM73" s="303" t="e">
        <f t="shared" si="40"/>
        <v>#N/A</v>
      </c>
      <c r="AN73" s="303" t="e">
        <f t="shared" si="40"/>
        <v>#N/A</v>
      </c>
      <c r="AO73" s="303" t="e">
        <f t="shared" si="40"/>
        <v>#N/A</v>
      </c>
      <c r="AP73" s="303" t="e">
        <f t="shared" si="40"/>
        <v>#N/A</v>
      </c>
      <c r="AQ73" s="303" t="e">
        <f t="shared" si="40"/>
        <v>#N/A</v>
      </c>
      <c r="AR73" s="303" t="e">
        <f t="shared" si="40"/>
        <v>#N/A</v>
      </c>
      <c r="AS73" s="303" t="e">
        <f t="shared" si="40"/>
        <v>#N/A</v>
      </c>
      <c r="AT73" s="303" t="e">
        <f t="shared" si="40"/>
        <v>#N/A</v>
      </c>
      <c r="AU73" s="303" t="e">
        <f t="shared" si="40"/>
        <v>#N/A</v>
      </c>
      <c r="AV73" s="303" t="e">
        <f t="shared" si="40"/>
        <v>#N/A</v>
      </c>
      <c r="AW73" s="303" t="e">
        <f t="shared" si="40"/>
        <v>#N/A</v>
      </c>
      <c r="AX73" s="303" t="e">
        <f t="shared" si="40"/>
        <v>#N/A</v>
      </c>
      <c r="AY73" s="303" t="e">
        <f t="shared" si="40"/>
        <v>#N/A</v>
      </c>
      <c r="AZ73" s="303" t="e">
        <f t="shared" si="40"/>
        <v>#N/A</v>
      </c>
      <c r="BA73" s="303" t="e">
        <f t="shared" si="40"/>
        <v>#N/A</v>
      </c>
    </row>
    <row r="74" spans="1:53">
      <c r="A74" s="277">
        <v>83</v>
      </c>
      <c r="B74" s="191" t="s">
        <v>1152</v>
      </c>
      <c r="C74" s="436">
        <f>GETPIVOTDATA("13.期首帳簿価額",pivot!$AC$5)/10000</f>
        <v>516217.8676</v>
      </c>
      <c r="D74" s="303">
        <f>GETPIVOTDATA("13.期首帳簿価額",pivot!$AC$5,"2.対象物件",D1)/10000</f>
        <v>20961.655900000002</v>
      </c>
      <c r="E74" s="303">
        <f>GETPIVOTDATA("13.期首帳簿価額",pivot!$AC$5,"2.対象物件",E1)/10000</f>
        <v>53144.9692</v>
      </c>
      <c r="F74" s="303">
        <f>GETPIVOTDATA("13.期首帳簿価額",pivot!$AC$5,"2.対象物件",F1)/10000</f>
        <v>37738.529399999999</v>
      </c>
      <c r="G74" s="303">
        <f>GETPIVOTDATA("13.期首帳簿価額",pivot!$AC$5,"2.対象物件",G1)/10000</f>
        <v>10762.070599999999</v>
      </c>
      <c r="H74" s="303">
        <f>GETPIVOTDATA("13.期首帳簿価額",pivot!$AC$5,"2.対象物件",H1)/10000</f>
        <v>26346.214800000002</v>
      </c>
      <c r="I74" s="303">
        <f>GETPIVOTDATA("13.期首帳簿価額",pivot!$AC$5,"2.対象物件",I1)/10000</f>
        <v>40554.173000000003</v>
      </c>
      <c r="J74" s="303">
        <f>GETPIVOTDATA("13.期首帳簿価額",pivot!$AC$5,"2.対象物件",J1)/10000</f>
        <v>36002.450499999999</v>
      </c>
      <c r="K74" s="303">
        <f>GETPIVOTDATA("13.期首帳簿価額",pivot!$AC$5,"2.対象物件",K1)/10000</f>
        <v>19317.383300000001</v>
      </c>
      <c r="L74" s="303">
        <f>GETPIVOTDATA("13.期首帳簿価額",pivot!$AC$5,"2.対象物件",L1)/10000</f>
        <v>28726.626899999999</v>
      </c>
      <c r="M74" s="303">
        <f>GETPIVOTDATA("13.期首帳簿価額",pivot!$AC$5,"2.対象物件",M1)/10000</f>
        <v>41510.176700000004</v>
      </c>
      <c r="N74" s="303">
        <f>GETPIVOTDATA("13.期首帳簿価額",pivot!$AC$5,"2.対象物件",N1)/10000</f>
        <v>46241.899700000002</v>
      </c>
      <c r="O74" s="303">
        <f>GETPIVOTDATA("13.期首帳簿価額",pivot!$AC$5,"2.対象物件",O1)/10000</f>
        <v>19760.368200000001</v>
      </c>
      <c r="P74" s="303">
        <f>GETPIVOTDATA("13.期首帳簿価額",pivot!$AC$5,"2.対象物件",P1)/10000</f>
        <v>51473.591200000003</v>
      </c>
      <c r="Q74" s="303">
        <f>GETPIVOTDATA("13.期首帳簿価額",pivot!$AC$5,"2.対象物件",Q1)/10000</f>
        <v>36378.688600000001</v>
      </c>
      <c r="R74" s="303">
        <f>GETPIVOTDATA("13.期首帳簿価額",pivot!$AC$5,"2.対象物件",R1)/10000</f>
        <v>12892.0785</v>
      </c>
      <c r="S74" s="303">
        <f>GETPIVOTDATA("13.期首帳簿価額",pivot!$AC$5,"2.対象物件",S1)/10000</f>
        <v>15131.1767</v>
      </c>
      <c r="T74" s="303">
        <f>GETPIVOTDATA("13.期首帳簿価額",pivot!$AC$5,"2.対象物件",T1)/10000</f>
        <v>5636.3</v>
      </c>
      <c r="U74" s="303">
        <f>GETPIVOTDATA("13.期首帳簿価額",pivot!$AC$5,"2.対象物件",U1)/10000</f>
        <v>3647.7</v>
      </c>
      <c r="V74" s="303">
        <f>GETPIVOTDATA("13.期首帳簿価額",pivot!$AC$5,"2.対象物件",V1)/10000</f>
        <v>528.59379999999999</v>
      </c>
      <c r="W74" s="303">
        <f>GETPIVOTDATA("13.期首帳簿価額",pivot!$AC$5,"2.対象物件",W1)/10000</f>
        <v>9463.2206000000006</v>
      </c>
      <c r="X74" s="303" t="e">
        <f>GETPIVOTDATA("13.期首帳簿価額",pivot!$AC$5,"2.対象物件",X1)/10000</f>
        <v>#REF!</v>
      </c>
      <c r="Y74" s="303" t="e">
        <f>GETPIVOTDATA("13.期首帳簿価額",pivot!$AC$5,"2.対象物件",Y1)/10000</f>
        <v>#REF!</v>
      </c>
      <c r="Z74" s="303" t="e">
        <f>GETPIVOTDATA("13.期首帳簿価額",pivot!$AC$5,"2.対象物件",Z1)/10000</f>
        <v>#REF!</v>
      </c>
      <c r="AA74" s="303" t="e">
        <f>GETPIVOTDATA("13.期首帳簿価額",pivot!$AC$5,"2.対象物件",AA1)/10000</f>
        <v>#REF!</v>
      </c>
      <c r="AB74" s="303" t="e">
        <f>GETPIVOTDATA("13.期首帳簿価額",pivot!$AC$5,"2.対象物件",AB1)/10000</f>
        <v>#REF!</v>
      </c>
      <c r="AC74" s="303" t="e">
        <f>GETPIVOTDATA("13.期首帳簿価額",pivot!$AC$5,"2.対象物件",AC1)/10000</f>
        <v>#REF!</v>
      </c>
      <c r="AD74" s="303" t="e">
        <f>GETPIVOTDATA("13.期首帳簿価額",pivot!$AC$5,"2.対象物件",AD1)/10000</f>
        <v>#REF!</v>
      </c>
      <c r="AE74" s="303" t="e">
        <f>GETPIVOTDATA("13.期首帳簿価額",pivot!$AC$5,"2.対象物件",AE1)/10000</f>
        <v>#REF!</v>
      </c>
      <c r="AF74" s="303" t="e">
        <f>GETPIVOTDATA("13.期首帳簿価額",pivot!$AC$5,"2.対象物件",AF1)/10000</f>
        <v>#REF!</v>
      </c>
      <c r="AG74" s="303" t="e">
        <f>GETPIVOTDATA("13.期首帳簿価額",pivot!$AC$5,"2.対象物件",AG1)/10000</f>
        <v>#REF!</v>
      </c>
      <c r="AH74" s="303" t="e">
        <f>GETPIVOTDATA("13.期首帳簿価額",pivot!$AC$5,"2.対象物件",AH1)/10000</f>
        <v>#REF!</v>
      </c>
      <c r="AI74" s="303" t="e">
        <f>GETPIVOTDATA("13.期首帳簿価額",pivot!$AC$5,"2.対象物件",AI1)/10000</f>
        <v>#REF!</v>
      </c>
      <c r="AJ74" s="303" t="e">
        <f>GETPIVOTDATA("13.期首帳簿価額",pivot!$AC$5,"2.対象物件",AJ1)/10000</f>
        <v>#REF!</v>
      </c>
      <c r="AK74" s="303" t="e">
        <f>GETPIVOTDATA("13.期首帳簿価額",pivot!$AC$5,"2.対象物件",AK1)/10000</f>
        <v>#REF!</v>
      </c>
      <c r="AL74" s="303" t="e">
        <f>GETPIVOTDATA("13.期首帳簿価額",pivot!$AC$5,"2.対象物件",AL1)/10000</f>
        <v>#REF!</v>
      </c>
      <c r="AM74" s="303" t="e">
        <f>GETPIVOTDATA("13.期首帳簿価額",pivot!$AC$5,"2.対象物件",AM1)/10000</f>
        <v>#REF!</v>
      </c>
      <c r="AN74" s="303" t="e">
        <f>GETPIVOTDATA("13.期首帳簿価額",pivot!$AC$5,"2.対象物件",AN1)/10000</f>
        <v>#REF!</v>
      </c>
      <c r="AO74" s="303" t="e">
        <f>GETPIVOTDATA("13.期首帳簿価額",pivot!$AC$5,"2.対象物件",AO1)/10000</f>
        <v>#REF!</v>
      </c>
      <c r="AP74" s="303" t="e">
        <f>GETPIVOTDATA("13.期首帳簿価額",pivot!$AC$5,"2.対象物件",AP1)/10000</f>
        <v>#REF!</v>
      </c>
      <c r="AQ74" s="303" t="e">
        <f>GETPIVOTDATA("13.期首帳簿価額",pivot!$AC$5,"2.対象物件",AQ1)/10000</f>
        <v>#REF!</v>
      </c>
      <c r="AR74" s="303" t="e">
        <f>GETPIVOTDATA("13.期首帳簿価額",pivot!$AC$5,"2.対象物件",AR1)/10000</f>
        <v>#REF!</v>
      </c>
      <c r="AS74" s="303" t="e">
        <f>GETPIVOTDATA("13.期首帳簿価額",pivot!$AC$5,"2.対象物件",AS1)/10000</f>
        <v>#REF!</v>
      </c>
      <c r="AT74" s="303" t="e">
        <f>GETPIVOTDATA("13.期首帳簿価額",pivot!$AC$5,"2.対象物件",AT1)/10000</f>
        <v>#REF!</v>
      </c>
      <c r="AU74" s="303" t="e">
        <f>GETPIVOTDATA("13.期首帳簿価額",pivot!$AC$5,"2.対象物件",AU1)/10000</f>
        <v>#REF!</v>
      </c>
      <c r="AV74" s="303" t="e">
        <f>GETPIVOTDATA("13.期首帳簿価額",pivot!$AC$5,"2.対象物件",AV1)/10000</f>
        <v>#REF!</v>
      </c>
      <c r="AW74" s="303" t="e">
        <f>GETPIVOTDATA("13.期首帳簿価額",pivot!$AC$5,"2.対象物件",AW1)/10000</f>
        <v>#REF!</v>
      </c>
      <c r="AX74" s="303" t="e">
        <f>GETPIVOTDATA("13.期首帳簿価額",pivot!$AC$5,"2.対象物件",AX1)/10000</f>
        <v>#REF!</v>
      </c>
      <c r="AY74" s="303" t="e">
        <f>GETPIVOTDATA("13.期首帳簿価額",pivot!$AC$5,"2.対象物件",AY1)/10000</f>
        <v>#REF!</v>
      </c>
      <c r="AZ74" s="303" t="e">
        <f>GETPIVOTDATA("13.期首帳簿価額",pivot!$AC$5,"2.対象物件",AZ1)/10000</f>
        <v>#REF!</v>
      </c>
      <c r="BA74" s="303" t="e">
        <f>GETPIVOTDATA("13.期首帳簿価額",pivot!$AC$5,"2.対象物件",BA1)/10000</f>
        <v>#REF!</v>
      </c>
    </row>
    <row r="75" spans="1:53">
      <c r="A75" s="277">
        <v>84</v>
      </c>
      <c r="B75" s="191" t="s">
        <v>1153</v>
      </c>
      <c r="C75" s="436">
        <f t="shared" ref="C75:W75" si="41">C56-C74</f>
        <v>152182.1324</v>
      </c>
      <c r="D75" s="303">
        <f t="shared" si="41"/>
        <v>13038.344099999998</v>
      </c>
      <c r="E75" s="303">
        <f t="shared" si="41"/>
        <v>1555.0308000000005</v>
      </c>
      <c r="F75" s="303">
        <f t="shared" si="41"/>
        <v>11061.470600000001</v>
      </c>
      <c r="G75" s="303">
        <f t="shared" si="41"/>
        <v>4837.9294000000009</v>
      </c>
      <c r="H75" s="303">
        <f t="shared" si="41"/>
        <v>30653.785199999998</v>
      </c>
      <c r="I75" s="303">
        <f t="shared" si="41"/>
        <v>20345.826999999997</v>
      </c>
      <c r="J75" s="303">
        <f t="shared" si="41"/>
        <v>9797.549500000001</v>
      </c>
      <c r="K75" s="303">
        <f t="shared" si="41"/>
        <v>5282.6166999999987</v>
      </c>
      <c r="L75" s="303">
        <f t="shared" si="41"/>
        <v>9373.3731000000007</v>
      </c>
      <c r="M75" s="303">
        <f t="shared" si="41"/>
        <v>8289.8232999999964</v>
      </c>
      <c r="N75" s="303">
        <f t="shared" si="41"/>
        <v>9258.1002999999982</v>
      </c>
      <c r="O75" s="303">
        <f t="shared" si="41"/>
        <v>3039.6317999999992</v>
      </c>
      <c r="P75" s="303">
        <f t="shared" si="41"/>
        <v>5726.4087999999974</v>
      </c>
      <c r="Q75" s="303">
        <f t="shared" si="41"/>
        <v>14721.311399999999</v>
      </c>
      <c r="R75" s="303">
        <f t="shared" si="41"/>
        <v>4907.9215000000004</v>
      </c>
      <c r="S75" s="303">
        <f t="shared" si="41"/>
        <v>168.82330000000002</v>
      </c>
      <c r="T75" s="303">
        <f t="shared" si="41"/>
        <v>2263.6999999999998</v>
      </c>
      <c r="U75" s="303">
        <f t="shared" si="41"/>
        <v>152.30000000000018</v>
      </c>
      <c r="V75" s="303">
        <f t="shared" si="41"/>
        <v>171.40620000000001</v>
      </c>
      <c r="W75" s="303">
        <f t="shared" si="41"/>
        <v>-2463.2206000000006</v>
      </c>
      <c r="X75" s="303" t="e">
        <f t="shared" ref="X75:BA75" si="42">X56-X74</f>
        <v>#N/A</v>
      </c>
      <c r="Y75" s="303" t="e">
        <f t="shared" si="42"/>
        <v>#N/A</v>
      </c>
      <c r="Z75" s="303" t="e">
        <f t="shared" si="42"/>
        <v>#N/A</v>
      </c>
      <c r="AA75" s="303" t="e">
        <f t="shared" si="42"/>
        <v>#N/A</v>
      </c>
      <c r="AB75" s="303" t="e">
        <f t="shared" si="42"/>
        <v>#N/A</v>
      </c>
      <c r="AC75" s="303" t="e">
        <f t="shared" si="42"/>
        <v>#N/A</v>
      </c>
      <c r="AD75" s="303" t="e">
        <f t="shared" si="42"/>
        <v>#N/A</v>
      </c>
      <c r="AE75" s="303" t="e">
        <f t="shared" si="42"/>
        <v>#N/A</v>
      </c>
      <c r="AF75" s="303" t="e">
        <f t="shared" si="42"/>
        <v>#N/A</v>
      </c>
      <c r="AG75" s="303" t="e">
        <f t="shared" si="42"/>
        <v>#N/A</v>
      </c>
      <c r="AH75" s="303" t="e">
        <f t="shared" si="42"/>
        <v>#N/A</v>
      </c>
      <c r="AI75" s="303" t="e">
        <f t="shared" si="42"/>
        <v>#N/A</v>
      </c>
      <c r="AJ75" s="303" t="e">
        <f t="shared" si="42"/>
        <v>#N/A</v>
      </c>
      <c r="AK75" s="303" t="e">
        <f t="shared" si="42"/>
        <v>#N/A</v>
      </c>
      <c r="AL75" s="303" t="e">
        <f t="shared" si="42"/>
        <v>#N/A</v>
      </c>
      <c r="AM75" s="303" t="e">
        <f t="shared" si="42"/>
        <v>#N/A</v>
      </c>
      <c r="AN75" s="303" t="e">
        <f t="shared" si="42"/>
        <v>#N/A</v>
      </c>
      <c r="AO75" s="303" t="e">
        <f t="shared" si="42"/>
        <v>#N/A</v>
      </c>
      <c r="AP75" s="303" t="e">
        <f t="shared" si="42"/>
        <v>#N/A</v>
      </c>
      <c r="AQ75" s="303" t="e">
        <f t="shared" si="42"/>
        <v>#N/A</v>
      </c>
      <c r="AR75" s="303" t="e">
        <f t="shared" si="42"/>
        <v>#N/A</v>
      </c>
      <c r="AS75" s="303" t="e">
        <f t="shared" si="42"/>
        <v>#N/A</v>
      </c>
      <c r="AT75" s="303" t="e">
        <f t="shared" si="42"/>
        <v>#N/A</v>
      </c>
      <c r="AU75" s="303" t="e">
        <f t="shared" si="42"/>
        <v>#N/A</v>
      </c>
      <c r="AV75" s="303" t="e">
        <f t="shared" si="42"/>
        <v>#N/A</v>
      </c>
      <c r="AW75" s="303" t="e">
        <f t="shared" si="42"/>
        <v>#N/A</v>
      </c>
      <c r="AX75" s="303" t="e">
        <f t="shared" si="42"/>
        <v>#N/A</v>
      </c>
      <c r="AY75" s="303" t="e">
        <f t="shared" si="42"/>
        <v>#N/A</v>
      </c>
      <c r="AZ75" s="303" t="e">
        <f t="shared" si="42"/>
        <v>#N/A</v>
      </c>
      <c r="BA75" s="303" t="e">
        <f t="shared" si="42"/>
        <v>#N/A</v>
      </c>
    </row>
    <row r="76" spans="1:53">
      <c r="A76" s="277">
        <v>85</v>
      </c>
      <c r="B76" s="191" t="s">
        <v>972</v>
      </c>
      <c r="C76" s="436">
        <f t="shared" ref="C76:W76" si="43">IF(tax_capital*C75&gt;0,tax_capital*C75*-1,0)</f>
        <v>-56307.388987999999</v>
      </c>
      <c r="D76" s="303">
        <f t="shared" si="43"/>
        <v>-4824.187316999999</v>
      </c>
      <c r="E76" s="303">
        <f t="shared" si="43"/>
        <v>-575.36139600000013</v>
      </c>
      <c r="F76" s="303">
        <f t="shared" si="43"/>
        <v>-4092.7441220000001</v>
      </c>
      <c r="G76" s="303">
        <f t="shared" si="43"/>
        <v>-1790.0338780000004</v>
      </c>
      <c r="H76" s="303">
        <f t="shared" si="43"/>
        <v>-11341.900523999999</v>
      </c>
      <c r="I76" s="303">
        <f t="shared" si="43"/>
        <v>-7527.9559899999986</v>
      </c>
      <c r="J76" s="303">
        <f t="shared" si="43"/>
        <v>-3625.0933150000005</v>
      </c>
      <c r="K76" s="303">
        <f t="shared" si="43"/>
        <v>-1954.5681789999994</v>
      </c>
      <c r="L76" s="303">
        <f t="shared" si="43"/>
        <v>-3468.1480470000001</v>
      </c>
      <c r="M76" s="303">
        <f t="shared" si="43"/>
        <v>-3067.2346209999987</v>
      </c>
      <c r="N76" s="303">
        <f t="shared" si="43"/>
        <v>-3425.4971109999992</v>
      </c>
      <c r="O76" s="303">
        <f t="shared" si="43"/>
        <v>-1124.6637659999997</v>
      </c>
      <c r="P76" s="303">
        <f t="shared" si="43"/>
        <v>-2118.7712559999991</v>
      </c>
      <c r="Q76" s="303">
        <f t="shared" si="43"/>
        <v>-5446.8852179999994</v>
      </c>
      <c r="R76" s="303">
        <f t="shared" si="43"/>
        <v>-1815.930955</v>
      </c>
      <c r="S76" s="303">
        <f t="shared" si="43"/>
        <v>-62.464621000000008</v>
      </c>
      <c r="T76" s="303">
        <f t="shared" si="43"/>
        <v>-837.56899999999996</v>
      </c>
      <c r="U76" s="303">
        <f t="shared" si="43"/>
        <v>-56.35100000000007</v>
      </c>
      <c r="V76" s="303">
        <f t="shared" si="43"/>
        <v>-63.420294000000005</v>
      </c>
      <c r="W76" s="303">
        <f t="shared" si="43"/>
        <v>0</v>
      </c>
      <c r="X76" s="303" t="e">
        <f t="shared" ref="X76:BA76" si="44">IF(tax_capital*X75&gt;0,tax_capital*X75*-1,0)</f>
        <v>#N/A</v>
      </c>
      <c r="Y76" s="303" t="e">
        <f t="shared" si="44"/>
        <v>#N/A</v>
      </c>
      <c r="Z76" s="303" t="e">
        <f t="shared" si="44"/>
        <v>#N/A</v>
      </c>
      <c r="AA76" s="303" t="e">
        <f t="shared" si="44"/>
        <v>#N/A</v>
      </c>
      <c r="AB76" s="303" t="e">
        <f t="shared" si="44"/>
        <v>#N/A</v>
      </c>
      <c r="AC76" s="303" t="e">
        <f t="shared" si="44"/>
        <v>#N/A</v>
      </c>
      <c r="AD76" s="303" t="e">
        <f t="shared" si="44"/>
        <v>#N/A</v>
      </c>
      <c r="AE76" s="303" t="e">
        <f t="shared" si="44"/>
        <v>#N/A</v>
      </c>
      <c r="AF76" s="303" t="e">
        <f t="shared" si="44"/>
        <v>#N/A</v>
      </c>
      <c r="AG76" s="303" t="e">
        <f t="shared" si="44"/>
        <v>#N/A</v>
      </c>
      <c r="AH76" s="303" t="e">
        <f t="shared" si="44"/>
        <v>#N/A</v>
      </c>
      <c r="AI76" s="303" t="e">
        <f t="shared" si="44"/>
        <v>#N/A</v>
      </c>
      <c r="AJ76" s="303" t="e">
        <f t="shared" si="44"/>
        <v>#N/A</v>
      </c>
      <c r="AK76" s="303" t="e">
        <f t="shared" si="44"/>
        <v>#N/A</v>
      </c>
      <c r="AL76" s="303" t="e">
        <f t="shared" si="44"/>
        <v>#N/A</v>
      </c>
      <c r="AM76" s="303" t="e">
        <f t="shared" si="44"/>
        <v>#N/A</v>
      </c>
      <c r="AN76" s="303" t="e">
        <f t="shared" si="44"/>
        <v>#N/A</v>
      </c>
      <c r="AO76" s="303" t="e">
        <f t="shared" si="44"/>
        <v>#N/A</v>
      </c>
      <c r="AP76" s="303" t="e">
        <f t="shared" si="44"/>
        <v>#N/A</v>
      </c>
      <c r="AQ76" s="303" t="e">
        <f t="shared" si="44"/>
        <v>#N/A</v>
      </c>
      <c r="AR76" s="303" t="e">
        <f t="shared" si="44"/>
        <v>#N/A</v>
      </c>
      <c r="AS76" s="303" t="e">
        <f t="shared" si="44"/>
        <v>#N/A</v>
      </c>
      <c r="AT76" s="303" t="e">
        <f t="shared" si="44"/>
        <v>#N/A</v>
      </c>
      <c r="AU76" s="303" t="e">
        <f t="shared" si="44"/>
        <v>#N/A</v>
      </c>
      <c r="AV76" s="303" t="e">
        <f t="shared" si="44"/>
        <v>#N/A</v>
      </c>
      <c r="AW76" s="303" t="e">
        <f t="shared" si="44"/>
        <v>#N/A</v>
      </c>
      <c r="AX76" s="303" t="e">
        <f t="shared" si="44"/>
        <v>#N/A</v>
      </c>
      <c r="AY76" s="303" t="e">
        <f t="shared" si="44"/>
        <v>#N/A</v>
      </c>
      <c r="AZ76" s="303" t="e">
        <f t="shared" si="44"/>
        <v>#N/A</v>
      </c>
      <c r="BA76" s="303" t="e">
        <f t="shared" si="44"/>
        <v>#N/A</v>
      </c>
    </row>
    <row r="77" spans="1:53" s="136" customFormat="1" ht="24.75" customHeight="1">
      <c r="A77" s="310">
        <v>86</v>
      </c>
      <c r="B77" s="311" t="s">
        <v>1154</v>
      </c>
      <c r="C77" s="424"/>
      <c r="D77" s="312" t="str">
        <f ca="1">VLOOKUP(D2,pivot!$EY$7:FL$307,14,FALSE)</f>
        <v>無</v>
      </c>
      <c r="E77" s="312" t="str">
        <f ca="1">VLOOKUP(E2,pivot!$EY$7:FM$307,14,FALSE)</f>
        <v>無</v>
      </c>
      <c r="F77" s="312" t="str">
        <f ca="1">VLOOKUP(F2,pivot!$EY$7:FN$307,14,FALSE)</f>
        <v>無</v>
      </c>
      <c r="G77" s="312" t="str">
        <f ca="1">VLOOKUP(G2,pivot!$EY$7:FO$307,14,FALSE)</f>
        <v>無</v>
      </c>
      <c r="H77" s="312" t="str">
        <f ca="1">VLOOKUP(H2,pivot!$EY$7:FP$307,14,FALSE)</f>
        <v>無</v>
      </c>
      <c r="I77" s="312" t="str">
        <f ca="1">VLOOKUP(I2,pivot!$EY$7:FQ$307,14,FALSE)</f>
        <v>共同担保として提供中</v>
      </c>
      <c r="J77" s="312" t="str">
        <f ca="1">VLOOKUP(J2,pivot!$EY$7:FR$307,14,FALSE)</f>
        <v>第二抵当として提供中</v>
      </c>
      <c r="K77" s="312" t="str">
        <f ca="1">VLOOKUP(K2,pivot!$EY$7:FS$307,14,FALSE)</f>
        <v>共同担保,第二抵当として提供中</v>
      </c>
      <c r="L77" s="312" t="str">
        <f ca="1">VLOOKUP(L2,pivot!$EY$7:FT$307,14,FALSE)</f>
        <v>共同担保として提供中</v>
      </c>
      <c r="M77" s="312" t="str">
        <f ca="1">VLOOKUP(M2,pivot!$EY$7:FU$307,14,FALSE)</f>
        <v>無</v>
      </c>
      <c r="N77" s="312" t="str">
        <f ca="1">VLOOKUP(N2,pivot!$EY$7:FV$307,14,FALSE)</f>
        <v>無</v>
      </c>
      <c r="O77" s="312" t="str">
        <f ca="1">VLOOKUP(O2,pivot!$EY$7:FW$307,14,FALSE)</f>
        <v>無</v>
      </c>
      <c r="P77" s="312" t="str">
        <f ca="1">VLOOKUP(P2,pivot!$EY$7:FX$307,14,FALSE)</f>
        <v>無</v>
      </c>
      <c r="Q77" s="312" t="str">
        <f ca="1">VLOOKUP(Q2,pivot!$EY$7:FY$307,14,FALSE)</f>
        <v>無</v>
      </c>
      <c r="R77" s="312" t="str">
        <f ca="1">VLOOKUP(R2,pivot!$EY$7:FZ$307,14,FALSE)</f>
        <v>無</v>
      </c>
      <c r="S77" s="312" t="str">
        <f ca="1">VLOOKUP(S2,pivot!$EY$7:GA$307,14,FALSE)</f>
        <v>無</v>
      </c>
      <c r="T77" s="312" t="str">
        <f ca="1">VLOOKUP(T2,pivot!$EY$7:GB$307,14,FALSE)</f>
        <v>無</v>
      </c>
      <c r="U77" s="312" t="str">
        <f ca="1">VLOOKUP(U2,pivot!$EY$7:GC$307,14,FALSE)</f>
        <v>無</v>
      </c>
      <c r="V77" s="312" t="str">
        <f ca="1">VLOOKUP(V2,pivot!$EY$7:GD$307,14,FALSE)</f>
        <v>無</v>
      </c>
      <c r="W77" s="312" t="str">
        <f ca="1">VLOOKUP(W2,pivot!$EY$7:GE$307,14,FALSE)</f>
        <v>無</v>
      </c>
      <c r="X77" s="312" t="e">
        <f>VLOOKUP(X2,pivot!$EY$7:GF$307,14,FALSE)</f>
        <v>#N/A</v>
      </c>
      <c r="Y77" s="312" t="e">
        <f>VLOOKUP(Y2,pivot!$EY$7:GG$307,14,FALSE)</f>
        <v>#N/A</v>
      </c>
      <c r="Z77" s="312" t="e">
        <f>VLOOKUP(Z2,pivot!$EY$7:GH$307,14,FALSE)</f>
        <v>#N/A</v>
      </c>
      <c r="AA77" s="312" t="e">
        <f>VLOOKUP(AA2,pivot!$EY$7:GI$307,14,FALSE)</f>
        <v>#N/A</v>
      </c>
      <c r="AB77" s="312" t="e">
        <f>VLOOKUP(AB2,pivot!$EY$7:GJ$307,14,FALSE)</f>
        <v>#N/A</v>
      </c>
      <c r="AC77" s="312" t="e">
        <f>VLOOKUP(AC2,pivot!$EY$7:GK$307,14,FALSE)</f>
        <v>#N/A</v>
      </c>
      <c r="AD77" s="312" t="e">
        <f>VLOOKUP(AD2,pivot!$EY$7:GL$307,14,FALSE)</f>
        <v>#N/A</v>
      </c>
      <c r="AE77" s="312" t="e">
        <f>VLOOKUP(AE2,pivot!$EY$7:GM$307,14,FALSE)</f>
        <v>#N/A</v>
      </c>
      <c r="AF77" s="312" t="e">
        <f>VLOOKUP(AF2,pivot!$EY$7:GN$307,14,FALSE)</f>
        <v>#N/A</v>
      </c>
      <c r="AG77" s="312" t="e">
        <f>VLOOKUP(AG2,pivot!$EY$7:GO$307,14,FALSE)</f>
        <v>#N/A</v>
      </c>
      <c r="AH77" s="312" t="e">
        <f>VLOOKUP(AH2,pivot!$EY$7:GP$307,14,FALSE)</f>
        <v>#N/A</v>
      </c>
      <c r="AI77" s="312" t="e">
        <f>VLOOKUP(AI2,pivot!$EY$7:GQ$307,14,FALSE)</f>
        <v>#N/A</v>
      </c>
      <c r="AJ77" s="312" t="e">
        <f>VLOOKUP(AJ2,pivot!$EY$7:GR$307,14,FALSE)</f>
        <v>#N/A</v>
      </c>
      <c r="AK77" s="312" t="e">
        <f>VLOOKUP(AK2,pivot!$EY$7:GS$307,14,FALSE)</f>
        <v>#N/A</v>
      </c>
      <c r="AL77" s="312" t="e">
        <f>VLOOKUP(AL2,pivot!$EY$7:GT$307,14,FALSE)</f>
        <v>#N/A</v>
      </c>
      <c r="AM77" s="312" t="e">
        <f>VLOOKUP(AM2,pivot!$EY$7:GU$307,14,FALSE)</f>
        <v>#N/A</v>
      </c>
      <c r="AN77" s="312" t="e">
        <f>VLOOKUP(AN2,pivot!$EY$7:GV$307,14,FALSE)</f>
        <v>#N/A</v>
      </c>
      <c r="AO77" s="312" t="e">
        <f>VLOOKUP(AO2,pivot!$EY$7:GW$307,14,FALSE)</f>
        <v>#N/A</v>
      </c>
      <c r="AP77" s="312" t="e">
        <f>VLOOKUP(AP2,pivot!$EY$7:GX$307,14,FALSE)</f>
        <v>#N/A</v>
      </c>
      <c r="AQ77" s="312" t="e">
        <f>VLOOKUP(AQ2,pivot!$EY$7:GY$307,14,FALSE)</f>
        <v>#N/A</v>
      </c>
      <c r="AR77" s="312" t="e">
        <f>VLOOKUP(AR2,pivot!$EY$7:GZ$307,14,FALSE)</f>
        <v>#N/A</v>
      </c>
      <c r="AS77" s="312" t="e">
        <f>VLOOKUP(AS2,pivot!$EY$7:HA$307,14,FALSE)</f>
        <v>#N/A</v>
      </c>
      <c r="AT77" s="312" t="e">
        <f>VLOOKUP(AT2,pivot!$EY$7:HB$307,14,FALSE)</f>
        <v>#N/A</v>
      </c>
      <c r="AU77" s="312" t="e">
        <f>VLOOKUP(AU2,pivot!$EY$7:HC$307,14,FALSE)</f>
        <v>#N/A</v>
      </c>
      <c r="AV77" s="312" t="e">
        <f>VLOOKUP(AV2,pivot!$EY$7:HD$307,14,FALSE)</f>
        <v>#N/A</v>
      </c>
      <c r="AW77" s="312" t="e">
        <f>VLOOKUP(AW2,pivot!$EY$7:HE$307,14,FALSE)</f>
        <v>#N/A</v>
      </c>
      <c r="AX77" s="312" t="e">
        <f>VLOOKUP(AX2,pivot!$EY$7:HF$307,14,FALSE)</f>
        <v>#N/A</v>
      </c>
      <c r="AY77" s="312" t="e">
        <f>VLOOKUP(AY2,pivot!$EY$7:HG$307,14,FALSE)</f>
        <v>#N/A</v>
      </c>
      <c r="AZ77" s="312" t="e">
        <f>VLOOKUP(AZ2,pivot!$EY$7:HH$307,14,FALSE)</f>
        <v>#N/A</v>
      </c>
      <c r="BA77" s="312" t="e">
        <f>VLOOKUP(BA2,pivot!$EY$7:HI$307,14,FALSE)</f>
        <v>#N/A</v>
      </c>
    </row>
    <row r="78" spans="1:53" ht="13.5" customHeight="1">
      <c r="A78" s="277">
        <v>87</v>
      </c>
      <c r="B78" s="313" t="s">
        <v>1155</v>
      </c>
      <c r="C78" s="436">
        <f>(C56-GETPIVOTDATA("合計 / 25.残債",pivot!$EM$7,"9.使途2","賃貸部門")/10000+C76)</f>
        <v>179538.07091200002</v>
      </c>
      <c r="D78" s="303">
        <f>(D56-HLOOKUP(D$2,id2_asset,asset!$A36,FALSE)/10000+D76)</f>
        <v>12559.160983000002</v>
      </c>
      <c r="E78" s="303">
        <f>(E56-HLOOKUP(E$2,id2_asset,asset!$A36,FALSE)/10000+E76)</f>
        <v>5177.541204000001</v>
      </c>
      <c r="F78" s="303">
        <f>(F56-HLOOKUP(F$2,id2_asset,asset!$A36,FALSE)/10000+F76)</f>
        <v>12137.951177999999</v>
      </c>
      <c r="G78" s="303">
        <f>(G56-HLOOKUP(G$2,id2_asset,asset!$A36,FALSE)/10000+G76)</f>
        <v>6765.2838219999994</v>
      </c>
      <c r="H78" s="303">
        <f>(H56-HLOOKUP(H$2,id2_asset,asset!$A36,FALSE)/10000+H76)</f>
        <v>25697.438576</v>
      </c>
      <c r="I78" s="303">
        <f>(I56-HLOOKUP(I$2,id2_asset,asset!$A36,FALSE)/10000+I76)</f>
        <v>24457.410310000003</v>
      </c>
      <c r="J78" s="303">
        <f>(J56-HLOOKUP(J$2,id2_asset,asset!$A36,FALSE)/10000+J76)</f>
        <v>10804.267784999998</v>
      </c>
      <c r="K78" s="303">
        <f>(K56-HLOOKUP(K$2,id2_asset,asset!$A36,FALSE)/10000+K76)</f>
        <v>8020.666521000001</v>
      </c>
      <c r="L78" s="303">
        <f>(L56-HLOOKUP(L$2,id2_asset,asset!$A36,FALSE)/10000+L76)</f>
        <v>11877.564852999998</v>
      </c>
      <c r="M78" s="303">
        <f>(M56-HLOOKUP(M$2,id2_asset,asset!$A36,FALSE)/10000+M76)</f>
        <v>10052.037479000002</v>
      </c>
      <c r="N78" s="303">
        <f>(N56-HLOOKUP(N$2,id2_asset,asset!$A36,FALSE)/10000+N76)</f>
        <v>11275.214189000004</v>
      </c>
      <c r="O78" s="303">
        <f>(O56-HLOOKUP(O$2,id2_asset,asset!$A36,FALSE)/10000+O76)</f>
        <v>5056.1628340000007</v>
      </c>
      <c r="P78" s="303">
        <f>(P56-HLOOKUP(P$2,id2_asset,asset!$A36,FALSE)/10000+P76)</f>
        <v>7751.3415440000035</v>
      </c>
      <c r="Q78" s="303">
        <f>(Q56-HLOOKUP(Q$2,id2_asset,asset!$A36,FALSE)/10000+Q76)</f>
        <v>11839.498682000001</v>
      </c>
      <c r="R78" s="303">
        <f>(R56-HLOOKUP(R$2,id2_asset,asset!$A36,FALSE)/10000+R76)</f>
        <v>5499.8015450000003</v>
      </c>
      <c r="S78" s="303">
        <f>(S56-HLOOKUP(S$2,id2_asset,asset!$A36,FALSE)/10000+S76)</f>
        <v>1325.201779</v>
      </c>
      <c r="T78" s="303">
        <f>(T56-HLOOKUP(T$2,id2_asset,asset!$A36,FALSE)/10000+T76)</f>
        <v>1438.6418749999998</v>
      </c>
      <c r="U78" s="303">
        <f>(U56-HLOOKUP(U$2,id2_asset,asset!$A36,FALSE)/10000+U76)</f>
        <v>925.4825249999999</v>
      </c>
      <c r="V78" s="303">
        <f>(V56-HLOOKUP(V$2,id2_asset,asset!$A36,FALSE)/10000+V76)</f>
        <v>636.57970599999999</v>
      </c>
      <c r="W78" s="303">
        <f>(W56-HLOOKUP(W$2,id2_asset,asset!$A36,FALSE)/10000+W76)</f>
        <v>-3816.3551000000007</v>
      </c>
      <c r="X78" s="303" t="e">
        <f>(X56-HLOOKUP(X$2,id2_asset,asset!$A36,FALSE)/10000+X76)</f>
        <v>#N/A</v>
      </c>
      <c r="Y78" s="303" t="e">
        <f>(Y56-HLOOKUP(Y$2,id2_asset,asset!$A36,FALSE)/10000+Y76)</f>
        <v>#N/A</v>
      </c>
      <c r="Z78" s="303" t="e">
        <f>(Z56-HLOOKUP(Z$2,id2_asset,asset!$A36,FALSE)/10000+Z76)</f>
        <v>#N/A</v>
      </c>
      <c r="AA78" s="303" t="e">
        <f>(AA56-HLOOKUP(AA$2,id2_asset,asset!$A36,FALSE)/10000+AA76)</f>
        <v>#N/A</v>
      </c>
      <c r="AB78" s="303" t="e">
        <f>(AB56-HLOOKUP(AB$2,id2_asset,asset!$A36,FALSE)/10000+AB76)</f>
        <v>#N/A</v>
      </c>
      <c r="AC78" s="303" t="e">
        <f>(AC56-HLOOKUP(AC$2,id2_asset,asset!$A36,FALSE)/10000+AC76)</f>
        <v>#N/A</v>
      </c>
      <c r="AD78" s="303" t="e">
        <f>(AD56-HLOOKUP(AD$2,id2_asset,asset!$A36,FALSE)/10000+AD76)</f>
        <v>#N/A</v>
      </c>
      <c r="AE78" s="303" t="e">
        <f>(AE56-HLOOKUP(AE$2,id2_asset,asset!$A36,FALSE)/10000+AE76)</f>
        <v>#N/A</v>
      </c>
      <c r="AF78" s="303" t="e">
        <f>(AF56-HLOOKUP(AF$2,id2_asset,asset!$A36,FALSE)/10000+AF76)</f>
        <v>#N/A</v>
      </c>
      <c r="AG78" s="303" t="e">
        <f>(AG56-HLOOKUP(AG$2,id2_asset,asset!$A36,FALSE)/10000+AG76)</f>
        <v>#N/A</v>
      </c>
      <c r="AH78" s="303" t="e">
        <f>(AH56-HLOOKUP(AH$2,id2_asset,asset!$A36,FALSE)/10000+AH76)</f>
        <v>#N/A</v>
      </c>
      <c r="AI78" s="303" t="e">
        <f>(AI56-HLOOKUP(AI$2,id2_asset,asset!$A36,FALSE)/10000+AI76)</f>
        <v>#N/A</v>
      </c>
      <c r="AJ78" s="303" t="e">
        <f>(AJ56-HLOOKUP(AJ$2,id2_asset,asset!$A36,FALSE)/10000+AJ76)</f>
        <v>#N/A</v>
      </c>
      <c r="AK78" s="303" t="e">
        <f>(AK56-HLOOKUP(AK$2,id2_asset,asset!$A36,FALSE)/10000+AK76)</f>
        <v>#N/A</v>
      </c>
      <c r="AL78" s="303" t="e">
        <f>(AL56-HLOOKUP(AL$2,id2_asset,asset!$A36,FALSE)/10000+AL76)</f>
        <v>#N/A</v>
      </c>
      <c r="AM78" s="303" t="e">
        <f>(AM56-HLOOKUP(AM$2,id2_asset,asset!$A36,FALSE)/10000+AM76)</f>
        <v>#N/A</v>
      </c>
      <c r="AN78" s="303" t="e">
        <f>(AN56-HLOOKUP(AN$2,id2_asset,asset!$A36,FALSE)/10000+AN76)</f>
        <v>#N/A</v>
      </c>
      <c r="AO78" s="303" t="e">
        <f>(AO56-HLOOKUP(AO$2,id2_asset,asset!$A36,FALSE)/10000+AO76)</f>
        <v>#N/A</v>
      </c>
      <c r="AP78" s="303" t="e">
        <f>(AP56-HLOOKUP(AP$2,id2_asset,asset!$A36,FALSE)/10000+AP76)</f>
        <v>#N/A</v>
      </c>
      <c r="AQ78" s="303" t="e">
        <f>(AQ56-HLOOKUP(AQ$2,id2_asset,asset!$A36,FALSE)/10000+AQ76)</f>
        <v>#N/A</v>
      </c>
      <c r="AR78" s="303" t="e">
        <f>(AR56-HLOOKUP(AR$2,id2_asset,asset!$A36,FALSE)/10000+AR76)</f>
        <v>#N/A</v>
      </c>
      <c r="AS78" s="303" t="e">
        <f>(AS56-HLOOKUP(AS$2,id2_asset,asset!$A36,FALSE)/10000+AS76)</f>
        <v>#N/A</v>
      </c>
      <c r="AT78" s="303" t="e">
        <f>(AT56-HLOOKUP(AT$2,id2_asset,asset!$A36,FALSE)/10000+AT76)</f>
        <v>#N/A</v>
      </c>
      <c r="AU78" s="303" t="e">
        <f>(AU56-HLOOKUP(AU$2,id2_asset,asset!$A36,FALSE)/10000+AU76)</f>
        <v>#N/A</v>
      </c>
      <c r="AV78" s="303" t="e">
        <f>(AV56-HLOOKUP(AV$2,id2_asset,asset!$A36,FALSE)/10000+AV76)</f>
        <v>#N/A</v>
      </c>
      <c r="AW78" s="303" t="e">
        <f>(AW56-HLOOKUP(AW$2,id2_asset,asset!$A36,FALSE)/10000+AW76)</f>
        <v>#N/A</v>
      </c>
      <c r="AX78" s="303" t="e">
        <f>(AX56-HLOOKUP(AX$2,id2_asset,asset!$A36,FALSE)/10000+AX76)</f>
        <v>#N/A</v>
      </c>
      <c r="AY78" s="303" t="e">
        <f>(AY56-HLOOKUP(AY$2,id2_asset,asset!$A36,FALSE)/10000+AY76)</f>
        <v>#N/A</v>
      </c>
      <c r="AZ78" s="303" t="e">
        <f>(AZ56-HLOOKUP(AZ$2,id2_asset,asset!$A36,FALSE)/10000+AZ76)</f>
        <v>#N/A</v>
      </c>
      <c r="BA78" s="303" t="e">
        <f>(BA56-HLOOKUP(BA$2,id2_asset,asset!$A36,FALSE)/10000+BA76)</f>
        <v>#N/A</v>
      </c>
    </row>
    <row r="79" spans="1:53" ht="27">
      <c r="A79" s="314"/>
      <c r="B79" s="315"/>
      <c r="C79" s="413" t="s">
        <v>1156</v>
      </c>
      <c r="D79" s="316" t="str">
        <f t="shared" ref="D79:U79" si="45">D1</f>
        <v>西池袋駅前ビル</v>
      </c>
      <c r="E79" s="316" t="str">
        <f t="shared" si="45"/>
        <v>池袋ハウス</v>
      </c>
      <c r="F79" s="316" t="str">
        <f t="shared" si="45"/>
        <v>カーサ目白台ハウス</v>
      </c>
      <c r="G79" s="316" t="str">
        <f t="shared" si="45"/>
        <v>コアプラス池袋</v>
      </c>
      <c r="H79" s="316" t="str">
        <f t="shared" si="45"/>
        <v>目白アパート</v>
      </c>
      <c r="I79" s="316" t="str">
        <f t="shared" si="45"/>
        <v>東池袋ハイツ</v>
      </c>
      <c r="J79" s="316" t="str">
        <f t="shared" si="45"/>
        <v>メゾン雑司ヶ谷</v>
      </c>
      <c r="K79" s="316" t="str">
        <f t="shared" si="45"/>
        <v>カーサ南池袋</v>
      </c>
      <c r="L79" s="316" t="str">
        <f t="shared" si="45"/>
        <v>目白カーサ二番館</v>
      </c>
      <c r="M79" s="316" t="str">
        <f t="shared" si="45"/>
        <v>豊島目白ビル</v>
      </c>
      <c r="N79" s="316" t="str">
        <f t="shared" si="45"/>
        <v>第3目白ハイツ</v>
      </c>
      <c r="O79" s="316" t="str">
        <f t="shared" si="45"/>
        <v>レジデンス目白豊島</v>
      </c>
      <c r="P79" s="316" t="str">
        <f t="shared" si="45"/>
        <v>コアプラス大塚</v>
      </c>
      <c r="Q79" s="316" t="str">
        <f t="shared" si="45"/>
        <v>コアプラスレジデンス梅田</v>
      </c>
      <c r="R79" s="316" t="str">
        <f t="shared" si="45"/>
        <v>高田馬場第4玉川ビル</v>
      </c>
      <c r="S79" s="316" t="str">
        <f t="shared" si="45"/>
        <v>南池袋マンション</v>
      </c>
      <c r="T79" s="316" t="str">
        <f t="shared" si="45"/>
        <v>目白アパート1号館</v>
      </c>
      <c r="U79" s="316" t="str">
        <f t="shared" si="45"/>
        <v>目白アパート2号館</v>
      </c>
      <c r="V79" s="316" t="str">
        <f t="shared" ref="V79:W79" si="46">V1</f>
        <v>ビジネス新大阪123号</v>
      </c>
      <c r="W79" s="316" t="str">
        <f t="shared" si="46"/>
        <v>プラウD目白301号</v>
      </c>
      <c r="X79" s="316" t="e">
        <f t="shared" ref="X79:BA79" si="47">X1</f>
        <v>#N/A</v>
      </c>
      <c r="Y79" s="316" t="e">
        <f t="shared" si="47"/>
        <v>#N/A</v>
      </c>
      <c r="Z79" s="316" t="e">
        <f t="shared" si="47"/>
        <v>#N/A</v>
      </c>
      <c r="AA79" s="316" t="e">
        <f t="shared" si="47"/>
        <v>#N/A</v>
      </c>
      <c r="AB79" s="316" t="e">
        <f t="shared" si="47"/>
        <v>#N/A</v>
      </c>
      <c r="AC79" s="316" t="e">
        <f t="shared" si="47"/>
        <v>#N/A</v>
      </c>
      <c r="AD79" s="316" t="e">
        <f t="shared" si="47"/>
        <v>#N/A</v>
      </c>
      <c r="AE79" s="316" t="e">
        <f t="shared" si="47"/>
        <v>#N/A</v>
      </c>
      <c r="AF79" s="316" t="e">
        <f t="shared" si="47"/>
        <v>#N/A</v>
      </c>
      <c r="AG79" s="316" t="e">
        <f t="shared" si="47"/>
        <v>#N/A</v>
      </c>
      <c r="AH79" s="316" t="e">
        <f t="shared" si="47"/>
        <v>#N/A</v>
      </c>
      <c r="AI79" s="316" t="e">
        <f t="shared" si="47"/>
        <v>#N/A</v>
      </c>
      <c r="AJ79" s="316" t="e">
        <f t="shared" si="47"/>
        <v>#N/A</v>
      </c>
      <c r="AK79" s="316" t="e">
        <f t="shared" si="47"/>
        <v>#N/A</v>
      </c>
      <c r="AL79" s="316" t="e">
        <f t="shared" si="47"/>
        <v>#N/A</v>
      </c>
      <c r="AM79" s="316" t="e">
        <f t="shared" si="47"/>
        <v>#N/A</v>
      </c>
      <c r="AN79" s="316" t="e">
        <f t="shared" si="47"/>
        <v>#N/A</v>
      </c>
      <c r="AO79" s="316" t="e">
        <f t="shared" si="47"/>
        <v>#N/A</v>
      </c>
      <c r="AP79" s="316" t="e">
        <f t="shared" si="47"/>
        <v>#N/A</v>
      </c>
      <c r="AQ79" s="316" t="e">
        <f t="shared" si="47"/>
        <v>#N/A</v>
      </c>
      <c r="AR79" s="316" t="e">
        <f t="shared" si="47"/>
        <v>#N/A</v>
      </c>
      <c r="AS79" s="316" t="e">
        <f t="shared" si="47"/>
        <v>#N/A</v>
      </c>
      <c r="AT79" s="316" t="e">
        <f t="shared" si="47"/>
        <v>#N/A</v>
      </c>
      <c r="AU79" s="316" t="e">
        <f t="shared" si="47"/>
        <v>#N/A</v>
      </c>
      <c r="AV79" s="316" t="e">
        <f t="shared" si="47"/>
        <v>#N/A</v>
      </c>
      <c r="AW79" s="316" t="e">
        <f t="shared" si="47"/>
        <v>#N/A</v>
      </c>
      <c r="AX79" s="316" t="e">
        <f t="shared" si="47"/>
        <v>#N/A</v>
      </c>
      <c r="AY79" s="316" t="e">
        <f t="shared" si="47"/>
        <v>#N/A</v>
      </c>
      <c r="AZ79" s="316" t="e">
        <f t="shared" si="47"/>
        <v>#N/A</v>
      </c>
      <c r="BA79" s="316" t="e">
        <f t="shared" si="47"/>
        <v>#N/A</v>
      </c>
    </row>
    <row r="80" spans="1:53" s="23" customFormat="1">
      <c r="D80" s="383"/>
      <c r="E80" s="383"/>
      <c r="F80" s="383"/>
      <c r="G80" s="383"/>
      <c r="H80" s="383"/>
      <c r="I80" s="383"/>
      <c r="J80" s="383"/>
      <c r="K80" s="383"/>
      <c r="L80" s="383"/>
      <c r="M80" s="383"/>
      <c r="N80" s="383"/>
      <c r="O80" s="383"/>
      <c r="P80" s="383"/>
      <c r="Q80" s="383"/>
      <c r="R80" s="383"/>
      <c r="S80" s="383"/>
      <c r="T80" s="383"/>
      <c r="U80" s="383"/>
      <c r="V80" s="383"/>
      <c r="W80" s="383"/>
      <c r="X80" s="383"/>
    </row>
    <row r="81" spans="4:24" s="23" customFormat="1">
      <c r="D81" s="383"/>
      <c r="E81" s="383"/>
      <c r="F81" s="383"/>
      <c r="G81" s="383"/>
      <c r="H81" s="383"/>
      <c r="I81" s="383"/>
      <c r="J81" s="383"/>
      <c r="K81" s="383"/>
      <c r="L81" s="383"/>
      <c r="M81" s="383"/>
      <c r="N81" s="383"/>
      <c r="O81" s="383"/>
      <c r="P81" s="383"/>
      <c r="Q81" s="383"/>
      <c r="R81" s="383"/>
      <c r="S81" s="383"/>
      <c r="T81" s="383"/>
      <c r="U81" s="383"/>
      <c r="V81" s="383"/>
      <c r="W81" s="383"/>
      <c r="X81" s="383"/>
    </row>
    <row r="82" spans="4:24" s="23" customFormat="1">
      <c r="D82" s="383"/>
      <c r="E82" s="383"/>
      <c r="F82" s="383"/>
      <c r="G82" s="383"/>
      <c r="H82" s="383"/>
      <c r="I82" s="383"/>
      <c r="J82" s="383"/>
      <c r="K82" s="383"/>
      <c r="L82" s="383"/>
      <c r="M82" s="383"/>
      <c r="N82" s="383"/>
      <c r="O82" s="383"/>
      <c r="P82" s="383"/>
      <c r="Q82" s="383"/>
      <c r="R82" s="383"/>
      <c r="S82" s="383"/>
      <c r="T82" s="383"/>
      <c r="U82" s="383"/>
      <c r="V82" s="383"/>
      <c r="W82" s="383"/>
      <c r="X82" s="383"/>
    </row>
    <row r="83" spans="4:24" s="23" customFormat="1"/>
    <row r="84" spans="4:24" s="23" customFormat="1"/>
    <row r="85" spans="4:24" s="23" customFormat="1"/>
    <row r="86" spans="4:24" s="23" customFormat="1"/>
    <row r="87" spans="4:24" s="23" customFormat="1"/>
    <row r="88" spans="4:24" s="23" customFormat="1"/>
    <row r="89" spans="4:24" s="23" customFormat="1"/>
    <row r="90" spans="4:24" s="23" customFormat="1"/>
    <row r="91" spans="4:24" s="23" customFormat="1"/>
    <row r="92" spans="4:24" s="23" customFormat="1"/>
    <row r="93" spans="4:24" s="23" customFormat="1"/>
    <row r="94" spans="4:24" s="23" customFormat="1"/>
    <row r="95" spans="4:24" s="23" customFormat="1"/>
  </sheetData>
  <sheetProtection sheet="1" formatCells="0" formatColumns="0" formatRows="0" insertColumns="0" insertRows="0" insertHyperlinks="0" deleteRows="0" sort="0" autoFilter="0" pivotTables="0"/>
  <phoneticPr fontId="5"/>
  <conditionalFormatting sqref="D77:BA77">
    <cfRule type="containsText" dxfId="2" priority="45" operator="containsText" text="提供中">
      <formula>NOT(ISERROR(SEARCH("提供中",D77)))</formula>
    </cfRule>
  </conditionalFormatting>
  <conditionalFormatting sqref="D78:BA78">
    <cfRule type="dataBar" priority="69">
      <dataBar>
        <cfvo type="min"/>
        <cfvo type="max"/>
        <color rgb="FF63C384"/>
      </dataBar>
      <extLst>
        <ext xmlns:x14="http://schemas.microsoft.com/office/spreadsheetml/2009/9/main" uri="{B025F937-C7B1-47D3-B67F-A62EFF666E3E}">
          <x14:id>{3AA81597-DC40-4EB6-B5F0-17109ACC3B13}</x14:id>
        </ext>
      </extLst>
    </cfRule>
  </conditionalFormatting>
  <conditionalFormatting sqref="E1:BA79">
    <cfRule type="expression" dxfId="1" priority="41" stopIfTrue="1">
      <formula>IF(E$2="",TRUE,FALSE)</formula>
    </cfRule>
  </conditionalFormatting>
  <conditionalFormatting sqref="E2:BA2">
    <cfRule type="expression" dxfId="0" priority="1" stopIfTrue="1">
      <formula>IF(E$2="",TRUE,FALSE)</formula>
    </cfRule>
  </conditionalFormatting>
  <pageMargins left="0.23622047244094491" right="0.23622047244094491" top="0.74803149606299213" bottom="0.74803149606299213" header="0.31496062992125984" footer="0.31496062992125984"/>
  <pageSetup paperSize="8" fitToWidth="0" orientation="portrait" horizontalDpi="1200" verticalDpi="1200" r:id="rId1"/>
  <headerFooter>
    <oddHeader>&amp;A</oddHeader>
    <oddFooter>&amp;P / &amp;N ページ</oddFooter>
  </headerFooter>
  <extLst>
    <ext xmlns:x14="http://schemas.microsoft.com/office/spreadsheetml/2009/9/main" uri="{78C0D931-6437-407d-A8EE-F0AAD7539E65}">
      <x14:conditionalFormattings>
        <x14:conditionalFormatting xmlns:xm="http://schemas.microsoft.com/office/excel/2006/main">
          <x14:cfRule type="dataBar" id="{3AA81597-DC40-4EB6-B5F0-17109ACC3B13}">
            <x14:dataBar minLength="0" maxLength="100" border="1" negativeBarBorderColorSameAsPositive="0">
              <x14:cfvo type="autoMin"/>
              <x14:cfvo type="autoMax"/>
              <x14:borderColor rgb="FF63C384"/>
              <x14:negativeFillColor theme="9" tint="0.59999389629810485"/>
              <x14:negativeBorderColor theme="9" tint="0.59999389629810485"/>
              <x14:axisColor rgb="FF000000"/>
            </x14:dataBar>
          </x14:cfRule>
          <xm:sqref>D78:BA78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9B67B-2DEB-4D87-A3B0-41F00320A6AF}">
  <sheetPr>
    <pageSetUpPr fitToPage="1"/>
  </sheetPr>
  <dimension ref="A1:J120"/>
  <sheetViews>
    <sheetView view="pageBreakPreview" zoomScaleNormal="100" zoomScaleSheetLayoutView="100" workbookViewId="0"/>
  </sheetViews>
  <sheetFormatPr defaultRowHeight="13.5"/>
  <cols>
    <col min="1" max="1" width="28.625" style="437" customWidth="1"/>
    <col min="2" max="9" width="16.125" style="437" customWidth="1"/>
    <col min="10" max="10" width="19.25" style="437" bestFit="1" customWidth="1"/>
    <col min="11" max="16384" width="9" style="23"/>
  </cols>
  <sheetData>
    <row r="1" spans="1:10" ht="18.75" customHeight="1">
      <c r="A1" s="596">
        <f>settings!L10</f>
        <v>44870</v>
      </c>
    </row>
    <row r="3" spans="1:10" ht="14.25">
      <c r="A3" s="443" t="s">
        <v>1157</v>
      </c>
    </row>
    <row r="4" spans="1:10">
      <c r="A4" s="444" t="s">
        <v>402</v>
      </c>
    </row>
    <row r="5" spans="1:10">
      <c r="A5" s="438" t="s">
        <v>1158</v>
      </c>
      <c r="B5" s="438" t="s">
        <v>1159</v>
      </c>
    </row>
    <row r="6" spans="1:10">
      <c r="A6" s="438" t="s">
        <v>1160</v>
      </c>
      <c r="B6" s="437" t="s">
        <v>326</v>
      </c>
      <c r="C6" s="437" t="s">
        <v>303</v>
      </c>
      <c r="D6" s="437" t="s">
        <v>278</v>
      </c>
      <c r="E6" s="437" t="s">
        <v>318</v>
      </c>
      <c r="F6" s="437" t="s">
        <v>256</v>
      </c>
      <c r="G6" s="437" t="s">
        <v>310</v>
      </c>
      <c r="H6" s="437" t="s">
        <v>277</v>
      </c>
      <c r="I6" s="437" t="s">
        <v>355</v>
      </c>
      <c r="J6" s="437" t="s">
        <v>200</v>
      </c>
    </row>
    <row r="7" spans="1:10" ht="21" customHeight="1">
      <c r="A7" s="323" t="s">
        <v>1161</v>
      </c>
      <c r="B7" s="439">
        <v>897463861</v>
      </c>
      <c r="C7" s="439"/>
      <c r="D7" s="439">
        <v>9268450</v>
      </c>
      <c r="E7" s="439">
        <v>10244573</v>
      </c>
      <c r="F7" s="439">
        <v>10244573</v>
      </c>
      <c r="G7" s="439"/>
      <c r="H7" s="439"/>
      <c r="I7" s="439"/>
      <c r="J7" s="439">
        <v>927221457</v>
      </c>
    </row>
    <row r="8" spans="1:10" ht="21" customHeight="1">
      <c r="A8" s="323" t="s">
        <v>1162</v>
      </c>
      <c r="B8" s="439">
        <v>660405481</v>
      </c>
      <c r="C8" s="439"/>
      <c r="D8" s="439"/>
      <c r="E8" s="439"/>
      <c r="F8" s="439"/>
      <c r="G8" s="439"/>
      <c r="H8" s="439"/>
      <c r="I8" s="439"/>
      <c r="J8" s="439">
        <v>660405481</v>
      </c>
    </row>
    <row r="9" spans="1:10" ht="21" customHeight="1">
      <c r="A9" s="323" t="s">
        <v>1163</v>
      </c>
      <c r="B9" s="439">
        <v>527980831</v>
      </c>
      <c r="C9" s="439"/>
      <c r="D9" s="439"/>
      <c r="E9" s="439"/>
      <c r="F9" s="439"/>
      <c r="G9" s="439"/>
      <c r="H9" s="439"/>
      <c r="I9" s="439"/>
      <c r="J9" s="439">
        <v>527980831</v>
      </c>
    </row>
    <row r="10" spans="1:10" ht="21" customHeight="1">
      <c r="A10" s="323" t="s">
        <v>1164</v>
      </c>
      <c r="B10" s="439">
        <v>393989012</v>
      </c>
      <c r="C10" s="439"/>
      <c r="D10" s="439">
        <v>7500000</v>
      </c>
      <c r="E10" s="439"/>
      <c r="F10" s="439"/>
      <c r="G10" s="439"/>
      <c r="H10" s="439"/>
      <c r="I10" s="439"/>
      <c r="J10" s="439">
        <v>401489012</v>
      </c>
    </row>
    <row r="11" spans="1:10" ht="21" customHeight="1">
      <c r="A11" s="323" t="s">
        <v>1165</v>
      </c>
      <c r="B11" s="439">
        <v>366807279</v>
      </c>
      <c r="C11" s="439"/>
      <c r="D11" s="439">
        <v>16705681</v>
      </c>
      <c r="E11" s="439"/>
      <c r="F11" s="439"/>
      <c r="G11" s="439"/>
      <c r="H11" s="439"/>
      <c r="I11" s="439"/>
      <c r="J11" s="439">
        <v>383512960</v>
      </c>
    </row>
    <row r="12" spans="1:10" ht="21" customHeight="1">
      <c r="A12" s="323" t="s">
        <v>1166</v>
      </c>
      <c r="B12" s="439">
        <v>342586723</v>
      </c>
      <c r="C12" s="439"/>
      <c r="D12" s="439"/>
      <c r="E12" s="439"/>
      <c r="F12" s="439"/>
      <c r="G12" s="439"/>
      <c r="H12" s="439"/>
      <c r="I12" s="439"/>
      <c r="J12" s="439">
        <v>342586723</v>
      </c>
    </row>
    <row r="13" spans="1:10" ht="21" customHeight="1">
      <c r="A13" s="323" t="s">
        <v>1167</v>
      </c>
      <c r="B13" s="439">
        <v>325693047</v>
      </c>
      <c r="C13" s="439"/>
      <c r="D13" s="439"/>
      <c r="E13" s="439"/>
      <c r="F13" s="439"/>
      <c r="G13" s="439"/>
      <c r="H13" s="439"/>
      <c r="I13" s="439"/>
      <c r="J13" s="439">
        <v>325693047</v>
      </c>
    </row>
    <row r="14" spans="1:10" ht="21" customHeight="1">
      <c r="A14" s="323" t="s">
        <v>1168</v>
      </c>
      <c r="B14" s="439">
        <v>227542871</v>
      </c>
      <c r="C14" s="439">
        <v>91457870</v>
      </c>
      <c r="D14" s="439"/>
      <c r="E14" s="439"/>
      <c r="F14" s="439"/>
      <c r="G14" s="439"/>
      <c r="H14" s="439"/>
      <c r="I14" s="439"/>
      <c r="J14" s="439">
        <v>319000741</v>
      </c>
    </row>
    <row r="15" spans="1:10" ht="21" customHeight="1">
      <c r="A15" s="323" t="s">
        <v>1169</v>
      </c>
      <c r="B15" s="439">
        <v>224687995</v>
      </c>
      <c r="C15" s="439"/>
      <c r="D15" s="439"/>
      <c r="E15" s="439"/>
      <c r="F15" s="439"/>
      <c r="G15" s="439"/>
      <c r="H15" s="439"/>
      <c r="I15" s="439"/>
      <c r="J15" s="439">
        <v>224687995</v>
      </c>
    </row>
    <row r="16" spans="1:10" ht="21" customHeight="1">
      <c r="A16" s="323" t="s">
        <v>1170</v>
      </c>
      <c r="B16" s="439">
        <v>166166517</v>
      </c>
      <c r="C16" s="439"/>
      <c r="D16" s="439"/>
      <c r="E16" s="439"/>
      <c r="F16" s="439"/>
      <c r="G16" s="439"/>
      <c r="H16" s="439"/>
      <c r="I16" s="439"/>
      <c r="J16" s="439">
        <v>166166517</v>
      </c>
    </row>
    <row r="17" spans="1:10" ht="21" customHeight="1">
      <c r="A17" s="323" t="s">
        <v>1171</v>
      </c>
      <c r="B17" s="439">
        <v>146247653</v>
      </c>
      <c r="C17" s="439"/>
      <c r="D17" s="439"/>
      <c r="E17" s="439"/>
      <c r="F17" s="439"/>
      <c r="G17" s="439"/>
      <c r="H17" s="439"/>
      <c r="I17" s="439"/>
      <c r="J17" s="439">
        <v>146247653</v>
      </c>
    </row>
    <row r="18" spans="1:10" ht="21" customHeight="1">
      <c r="A18" s="323" t="s">
        <v>1172</v>
      </c>
      <c r="B18" s="439"/>
      <c r="C18" s="439"/>
      <c r="D18" s="439">
        <v>12500000</v>
      </c>
      <c r="E18" s="439"/>
      <c r="F18" s="439"/>
      <c r="G18" s="439"/>
      <c r="H18" s="439"/>
      <c r="I18" s="439"/>
      <c r="J18" s="439">
        <v>12500000</v>
      </c>
    </row>
    <row r="19" spans="1:10">
      <c r="A19" s="323" t="s">
        <v>1173</v>
      </c>
      <c r="B19" s="439"/>
      <c r="C19" s="439"/>
      <c r="D19" s="439"/>
      <c r="E19" s="439"/>
      <c r="F19" s="439"/>
      <c r="G19" s="439">
        <v>2000000</v>
      </c>
      <c r="H19" s="439"/>
      <c r="I19" s="439"/>
      <c r="J19" s="439">
        <v>2000000</v>
      </c>
    </row>
    <row r="20" spans="1:10">
      <c r="A20" s="323" t="s">
        <v>200</v>
      </c>
      <c r="B20" s="439">
        <v>4279571270</v>
      </c>
      <c r="C20" s="439">
        <v>91457870</v>
      </c>
      <c r="D20" s="439">
        <v>45974131</v>
      </c>
      <c r="E20" s="439">
        <v>10244573</v>
      </c>
      <c r="F20" s="439">
        <v>10244573</v>
      </c>
      <c r="G20" s="439">
        <v>2000000</v>
      </c>
      <c r="H20" s="439"/>
      <c r="I20" s="439"/>
      <c r="J20" s="439">
        <v>4439492417</v>
      </c>
    </row>
    <row r="21" spans="1:10">
      <c r="A21" s="323"/>
      <c r="B21" s="439"/>
      <c r="C21" s="439"/>
      <c r="D21" s="439"/>
      <c r="E21" s="439"/>
      <c r="F21" s="439"/>
      <c r="G21" s="439"/>
      <c r="H21" s="439"/>
    </row>
    <row r="22" spans="1:10">
      <c r="A22" s="444" t="s">
        <v>1174</v>
      </c>
    </row>
    <row r="23" spans="1:10">
      <c r="A23" s="438" t="s">
        <v>1158</v>
      </c>
      <c r="B23" s="438" t="s">
        <v>1159</v>
      </c>
    </row>
    <row r="24" spans="1:10">
      <c r="A24" s="438" t="s">
        <v>1175</v>
      </c>
      <c r="B24" s="437" t="s">
        <v>326</v>
      </c>
      <c r="C24" s="437" t="s">
        <v>303</v>
      </c>
      <c r="D24" s="437" t="s">
        <v>278</v>
      </c>
      <c r="E24" s="437" t="s">
        <v>318</v>
      </c>
      <c r="F24" s="437" t="s">
        <v>256</v>
      </c>
      <c r="G24" s="437" t="s">
        <v>310</v>
      </c>
      <c r="H24" s="437" t="s">
        <v>277</v>
      </c>
      <c r="I24" s="437" t="s">
        <v>355</v>
      </c>
      <c r="J24" s="437" t="s">
        <v>200</v>
      </c>
    </row>
    <row r="25" spans="1:10" ht="21" customHeight="1">
      <c r="A25" s="323" t="s">
        <v>1176</v>
      </c>
      <c r="B25" s="439">
        <v>970324491</v>
      </c>
      <c r="C25" s="439"/>
      <c r="D25" s="439"/>
      <c r="E25" s="439"/>
      <c r="F25" s="439"/>
      <c r="G25" s="439"/>
      <c r="H25" s="439"/>
      <c r="I25" s="439"/>
      <c r="J25" s="439">
        <v>970324491</v>
      </c>
    </row>
    <row r="26" spans="1:10" ht="21" customHeight="1">
      <c r="A26" s="323" t="s">
        <v>1177</v>
      </c>
      <c r="B26" s="439">
        <v>856278253</v>
      </c>
      <c r="C26" s="439"/>
      <c r="D26" s="439"/>
      <c r="E26" s="439"/>
      <c r="F26" s="439"/>
      <c r="G26" s="439"/>
      <c r="H26" s="439"/>
      <c r="I26" s="439"/>
      <c r="J26" s="439">
        <v>856278253</v>
      </c>
    </row>
    <row r="27" spans="1:10" ht="21" customHeight="1">
      <c r="A27" s="323" t="s">
        <v>1178</v>
      </c>
      <c r="B27" s="439">
        <v>660405481</v>
      </c>
      <c r="C27" s="439"/>
      <c r="D27" s="439">
        <v>12500000</v>
      </c>
      <c r="E27" s="439"/>
      <c r="F27" s="439"/>
      <c r="G27" s="439"/>
      <c r="H27" s="439"/>
      <c r="I27" s="439"/>
      <c r="J27" s="439">
        <v>672905481</v>
      </c>
    </row>
    <row r="28" spans="1:10" ht="21" customHeight="1">
      <c r="A28" s="323" t="s">
        <v>1179</v>
      </c>
      <c r="B28" s="439">
        <v>619782498</v>
      </c>
      <c r="C28" s="439"/>
      <c r="D28" s="439">
        <v>7500000</v>
      </c>
      <c r="E28" s="439"/>
      <c r="F28" s="439"/>
      <c r="G28" s="439"/>
      <c r="H28" s="439"/>
      <c r="I28" s="439"/>
      <c r="J28" s="439">
        <v>627282498</v>
      </c>
    </row>
    <row r="29" spans="1:10" ht="21" customHeight="1">
      <c r="A29" s="323" t="s">
        <v>1180</v>
      </c>
      <c r="B29" s="439">
        <v>393709388</v>
      </c>
      <c r="C29" s="439"/>
      <c r="D29" s="439">
        <v>25974131</v>
      </c>
      <c r="E29" s="439"/>
      <c r="F29" s="439">
        <v>10244573</v>
      </c>
      <c r="G29" s="439">
        <v>2000000</v>
      </c>
      <c r="H29" s="439"/>
      <c r="I29" s="439"/>
      <c r="J29" s="439">
        <v>431928092</v>
      </c>
    </row>
    <row r="30" spans="1:10" ht="21" customHeight="1">
      <c r="A30" s="323" t="s">
        <v>1181</v>
      </c>
      <c r="B30" s="439">
        <v>418549064</v>
      </c>
      <c r="C30" s="439"/>
      <c r="D30" s="439"/>
      <c r="E30" s="439"/>
      <c r="F30" s="439"/>
      <c r="G30" s="439"/>
      <c r="H30" s="439"/>
      <c r="I30" s="439"/>
      <c r="J30" s="439">
        <v>418549064</v>
      </c>
    </row>
    <row r="31" spans="1:10" ht="21" customHeight="1">
      <c r="A31" s="323" t="s">
        <v>1182</v>
      </c>
      <c r="B31" s="439">
        <v>214274442</v>
      </c>
      <c r="C31" s="439"/>
      <c r="D31" s="439"/>
      <c r="E31" s="439"/>
      <c r="F31" s="439"/>
      <c r="G31" s="439"/>
      <c r="H31" s="439"/>
      <c r="I31" s="439"/>
      <c r="J31" s="439">
        <v>214274442</v>
      </c>
    </row>
    <row r="32" spans="1:10" ht="21" customHeight="1">
      <c r="A32" s="323" t="s">
        <v>1183</v>
      </c>
      <c r="B32" s="439">
        <v>146247653</v>
      </c>
      <c r="C32" s="439"/>
      <c r="D32" s="439"/>
      <c r="E32" s="439"/>
      <c r="F32" s="439"/>
      <c r="G32" s="439"/>
      <c r="H32" s="439"/>
      <c r="I32" s="439"/>
      <c r="J32" s="439">
        <v>146247653</v>
      </c>
    </row>
    <row r="33" spans="1:10" ht="21" customHeight="1">
      <c r="A33" s="323" t="s">
        <v>576</v>
      </c>
      <c r="B33" s="439"/>
      <c r="C33" s="439">
        <v>91457870</v>
      </c>
      <c r="D33" s="439"/>
      <c r="E33" s="439">
        <v>10244573</v>
      </c>
      <c r="F33" s="439"/>
      <c r="G33" s="439"/>
      <c r="H33" s="439"/>
      <c r="I33" s="439"/>
      <c r="J33" s="439">
        <v>101702443</v>
      </c>
    </row>
    <row r="34" spans="1:10" ht="21" customHeight="1">
      <c r="A34" s="323" t="s">
        <v>80</v>
      </c>
      <c r="B34" s="439"/>
      <c r="C34" s="439"/>
      <c r="D34" s="439"/>
      <c r="E34" s="439"/>
      <c r="F34" s="439"/>
      <c r="G34" s="439"/>
      <c r="H34" s="439"/>
      <c r="I34" s="439"/>
      <c r="J34" s="439"/>
    </row>
    <row r="35" spans="1:10" ht="21" customHeight="1">
      <c r="A35" s="323" t="s">
        <v>200</v>
      </c>
      <c r="B35" s="439">
        <v>4279571270</v>
      </c>
      <c r="C35" s="439">
        <v>91457870</v>
      </c>
      <c r="D35" s="439">
        <v>45974131</v>
      </c>
      <c r="E35" s="439">
        <v>10244573</v>
      </c>
      <c r="F35" s="439">
        <v>10244573</v>
      </c>
      <c r="G35" s="439">
        <v>2000000</v>
      </c>
      <c r="H35" s="439"/>
      <c r="I35" s="439"/>
      <c r="J35" s="439">
        <v>4439492417</v>
      </c>
    </row>
    <row r="36" spans="1:10">
      <c r="A36" s="23"/>
      <c r="B36" s="23"/>
      <c r="C36" s="23"/>
      <c r="D36" s="23"/>
      <c r="E36" s="23"/>
      <c r="F36" s="23"/>
      <c r="G36" s="23"/>
      <c r="H36" s="23"/>
      <c r="I36" s="23"/>
      <c r="J36" s="23"/>
    </row>
    <row r="37" spans="1:10">
      <c r="A37" s="23"/>
      <c r="B37" s="23"/>
      <c r="C37" s="23"/>
      <c r="D37" s="23"/>
      <c r="E37" s="23"/>
      <c r="F37" s="23"/>
      <c r="G37" s="23"/>
      <c r="H37" s="23"/>
      <c r="I37" s="23"/>
      <c r="J37" s="23"/>
    </row>
    <row r="38" spans="1:10" ht="18.75" customHeight="1">
      <c r="A38" s="323"/>
    </row>
    <row r="39" spans="1:10">
      <c r="A39" s="444" t="s">
        <v>1184</v>
      </c>
    </row>
    <row r="40" spans="1:10">
      <c r="A40" s="438" t="s">
        <v>1160</v>
      </c>
      <c r="B40" s="440" t="s">
        <v>1185</v>
      </c>
    </row>
    <row r="41" spans="1:10" ht="21" customHeight="1">
      <c r="A41" s="323" t="s">
        <v>1168</v>
      </c>
      <c r="B41" s="441">
        <v>1.7630554657551721E-2</v>
      </c>
    </row>
    <row r="42" spans="1:10" ht="21" customHeight="1">
      <c r="A42" s="323" t="s">
        <v>1161</v>
      </c>
      <c r="B42" s="441">
        <v>1.5400670349241067E-2</v>
      </c>
    </row>
    <row r="43" spans="1:10" ht="21" customHeight="1">
      <c r="A43" s="323" t="s">
        <v>1171</v>
      </c>
      <c r="B43" s="441">
        <v>1.5044836309270549E-2</v>
      </c>
    </row>
    <row r="44" spans="1:10" ht="21" customHeight="1">
      <c r="A44" s="323" t="s">
        <v>1166</v>
      </c>
      <c r="B44" s="441">
        <v>1.4370539397698725E-2</v>
      </c>
    </row>
    <row r="45" spans="1:10" ht="21" customHeight="1">
      <c r="A45" s="323" t="s">
        <v>1165</v>
      </c>
      <c r="B45" s="441">
        <v>1.3811110842251589E-2</v>
      </c>
    </row>
    <row r="46" spans="1:10" ht="21" customHeight="1">
      <c r="A46" s="323" t="s">
        <v>1163</v>
      </c>
      <c r="B46" s="441">
        <v>1.3793068938141051E-2</v>
      </c>
    </row>
    <row r="47" spans="1:10" ht="21" customHeight="1">
      <c r="A47" s="323" t="s">
        <v>1169</v>
      </c>
      <c r="B47" s="441">
        <v>1.224946619867252E-2</v>
      </c>
    </row>
    <row r="48" spans="1:10" ht="21" customHeight="1">
      <c r="A48" s="323" t="s">
        <v>1162</v>
      </c>
      <c r="B48" s="441">
        <v>1.2180189643217088E-2</v>
      </c>
    </row>
    <row r="49" spans="1:10" ht="21" customHeight="1">
      <c r="A49" s="323" t="s">
        <v>1164</v>
      </c>
      <c r="B49" s="441">
        <v>1.1794604231908593E-2</v>
      </c>
    </row>
    <row r="50" spans="1:10" ht="21" customHeight="1">
      <c r="A50" s="323" t="s">
        <v>1167</v>
      </c>
      <c r="B50" s="441">
        <v>1.1034635320292852E-2</v>
      </c>
    </row>
    <row r="51" spans="1:10" ht="21" customHeight="1">
      <c r="A51" s="323" t="s">
        <v>1170</v>
      </c>
      <c r="B51" s="441">
        <v>1.0042817470862678E-2</v>
      </c>
    </row>
    <row r="52" spans="1:10" ht="21" customHeight="1">
      <c r="A52" s="323" t="s">
        <v>1172</v>
      </c>
      <c r="B52" s="441">
        <v>9.9369599999999999E-3</v>
      </c>
    </row>
    <row r="53" spans="1:10">
      <c r="A53" s="323" t="s">
        <v>1173</v>
      </c>
      <c r="B53" s="441">
        <v>0</v>
      </c>
    </row>
    <row r="54" spans="1:10">
      <c r="A54" s="323" t="s">
        <v>200</v>
      </c>
      <c r="B54" s="442">
        <v>1.3633339651225268E-2</v>
      </c>
    </row>
    <row r="56" spans="1:10" ht="14.25">
      <c r="A56" s="443" t="s">
        <v>1186</v>
      </c>
    </row>
    <row r="58" spans="1:10">
      <c r="A58" s="445" t="s">
        <v>1187</v>
      </c>
      <c r="B58" s="23"/>
      <c r="C58" s="23"/>
      <c r="D58" s="23"/>
      <c r="E58" s="23"/>
      <c r="F58" s="23"/>
      <c r="G58" s="23"/>
      <c r="H58" s="23"/>
      <c r="I58" s="23"/>
      <c r="J58" s="23"/>
    </row>
    <row r="59" spans="1:10">
      <c r="A59" s="602" t="s">
        <v>1188</v>
      </c>
      <c r="B59" s="23" t="s">
        <v>1189</v>
      </c>
      <c r="C59" s="23" t="s">
        <v>1190</v>
      </c>
      <c r="D59" s="23" t="s">
        <v>1191</v>
      </c>
      <c r="E59" s="23" t="s">
        <v>1158</v>
      </c>
      <c r="F59" s="23"/>
      <c r="G59" s="23"/>
      <c r="H59" s="23"/>
      <c r="I59" s="23"/>
      <c r="J59" s="23"/>
    </row>
    <row r="60" spans="1:10" ht="19.5" customHeight="1">
      <c r="A60" s="61" t="s">
        <v>80</v>
      </c>
      <c r="B60" s="31"/>
      <c r="C60" s="31"/>
      <c r="D60" s="31"/>
      <c r="E60" s="31"/>
      <c r="F60" s="23"/>
      <c r="G60" s="23"/>
      <c r="H60" s="23"/>
      <c r="I60" s="23"/>
      <c r="J60" s="23"/>
    </row>
    <row r="61" spans="1:10" ht="19.5" customHeight="1">
      <c r="A61" s="61" t="s">
        <v>326</v>
      </c>
      <c r="B61" s="31"/>
      <c r="C61" s="31"/>
      <c r="D61" s="31"/>
      <c r="E61" s="31"/>
      <c r="F61" s="23"/>
      <c r="G61" s="23"/>
      <c r="H61" s="23"/>
      <c r="I61" s="23"/>
      <c r="J61" s="23"/>
    </row>
    <row r="62" spans="1:10" ht="19.5" customHeight="1">
      <c r="A62" s="61" t="s">
        <v>5</v>
      </c>
      <c r="B62" s="31" t="s">
        <v>1192</v>
      </c>
      <c r="C62" s="31" t="s">
        <v>1192</v>
      </c>
      <c r="D62" s="31" t="s">
        <v>1192</v>
      </c>
      <c r="E62" s="31" t="s">
        <v>1192</v>
      </c>
      <c r="F62" s="23"/>
      <c r="G62" s="23"/>
      <c r="H62" s="23"/>
      <c r="I62" s="23"/>
      <c r="J62" s="23"/>
    </row>
    <row r="63" spans="1:10" ht="19.5" customHeight="1">
      <c r="A63" s="61" t="s">
        <v>4</v>
      </c>
      <c r="B63" s="31" t="s">
        <v>1192</v>
      </c>
      <c r="C63" s="31" t="s">
        <v>1192</v>
      </c>
      <c r="D63" s="31" t="s">
        <v>1192</v>
      </c>
      <c r="E63" s="31" t="s">
        <v>1192</v>
      </c>
      <c r="F63" s="23"/>
      <c r="G63" s="23"/>
      <c r="H63" s="23"/>
      <c r="I63" s="23"/>
      <c r="J63" s="23"/>
    </row>
    <row r="64" spans="1:10" ht="19.5" customHeight="1">
      <c r="A64" s="61" t="s">
        <v>1182</v>
      </c>
      <c r="B64" s="31"/>
      <c r="C64" s="31"/>
      <c r="D64" s="31"/>
      <c r="E64" s="31"/>
      <c r="F64" s="23"/>
      <c r="G64" s="23"/>
      <c r="H64" s="23"/>
      <c r="I64" s="23"/>
      <c r="J64" s="23"/>
    </row>
    <row r="65" spans="1:10" ht="19.5" customHeight="1">
      <c r="A65" s="61" t="s">
        <v>326</v>
      </c>
      <c r="B65" s="31"/>
      <c r="C65" s="31"/>
      <c r="D65" s="31"/>
      <c r="E65" s="31"/>
      <c r="F65" s="23"/>
      <c r="G65" s="23"/>
      <c r="H65" s="23"/>
      <c r="I65" s="23"/>
      <c r="J65" s="23"/>
    </row>
    <row r="66" spans="1:10" ht="19.5" customHeight="1">
      <c r="A66" s="61" t="s">
        <v>324</v>
      </c>
      <c r="B66" s="31">
        <v>294357</v>
      </c>
      <c r="C66" s="31">
        <v>191699</v>
      </c>
      <c r="D66" s="31">
        <v>486056</v>
      </c>
      <c r="E66" s="31">
        <v>139123336</v>
      </c>
      <c r="F66" s="23"/>
      <c r="G66" s="23"/>
      <c r="H66" s="23"/>
      <c r="I66" s="23"/>
      <c r="J66" s="23"/>
    </row>
    <row r="67" spans="1:10" ht="19.5" customHeight="1">
      <c r="A67" s="446" t="s">
        <v>340</v>
      </c>
      <c r="B67" s="31">
        <v>213926</v>
      </c>
      <c r="C67" s="31">
        <v>100486</v>
      </c>
      <c r="D67" s="31">
        <v>314412</v>
      </c>
      <c r="E67" s="31">
        <v>75151106</v>
      </c>
      <c r="F67" s="23"/>
      <c r="G67" s="23"/>
      <c r="H67" s="23"/>
      <c r="I67" s="23"/>
      <c r="J67" s="23"/>
    </row>
    <row r="68" spans="1:10" ht="19.5" customHeight="1">
      <c r="A68" s="61" t="s">
        <v>1179</v>
      </c>
      <c r="B68" s="31"/>
      <c r="C68" s="31"/>
      <c r="D68" s="31"/>
      <c r="E68" s="31"/>
      <c r="F68" s="23"/>
      <c r="G68" s="23"/>
      <c r="H68" s="23"/>
      <c r="I68" s="23"/>
      <c r="J68" s="23"/>
    </row>
    <row r="69" spans="1:10" ht="19.5" customHeight="1">
      <c r="A69" s="61" t="s">
        <v>278</v>
      </c>
      <c r="B69" s="31"/>
      <c r="C69" s="31"/>
      <c r="D69" s="31"/>
      <c r="E69" s="31"/>
      <c r="F69" s="23"/>
      <c r="G69" s="23"/>
      <c r="H69" s="23"/>
      <c r="I69" s="23"/>
      <c r="J69" s="23"/>
    </row>
    <row r="70" spans="1:10" ht="19.5" customHeight="1">
      <c r="A70" s="61" t="s">
        <v>268</v>
      </c>
      <c r="B70" s="31">
        <v>125000</v>
      </c>
      <c r="C70" s="31">
        <v>6210</v>
      </c>
      <c r="D70" s="31">
        <v>131210</v>
      </c>
      <c r="E70" s="31">
        <v>7500000</v>
      </c>
      <c r="F70" s="23"/>
      <c r="G70" s="23"/>
      <c r="H70" s="23"/>
      <c r="I70" s="23"/>
      <c r="J70" s="23"/>
    </row>
    <row r="71" spans="1:10" ht="19.5" customHeight="1">
      <c r="A71" s="61" t="s">
        <v>326</v>
      </c>
      <c r="B71" s="31"/>
      <c r="C71" s="31"/>
      <c r="D71" s="31"/>
      <c r="E71" s="31"/>
      <c r="F71" s="23"/>
      <c r="G71" s="23"/>
      <c r="H71" s="23"/>
      <c r="I71" s="23"/>
      <c r="J71" s="23"/>
    </row>
    <row r="72" spans="1:10" ht="19.5" customHeight="1">
      <c r="A72" s="61" t="s">
        <v>268</v>
      </c>
      <c r="B72" s="31">
        <v>613310</v>
      </c>
      <c r="C72" s="31">
        <v>400259</v>
      </c>
      <c r="D72" s="31">
        <v>1013569</v>
      </c>
      <c r="E72" s="31">
        <v>330636161</v>
      </c>
      <c r="F72" s="23"/>
      <c r="G72" s="23"/>
      <c r="H72" s="23"/>
      <c r="I72" s="23"/>
      <c r="J72" s="23"/>
    </row>
    <row r="73" spans="1:10" ht="19.5" customHeight="1">
      <c r="A73" s="61" t="s">
        <v>320</v>
      </c>
      <c r="B73" s="31">
        <v>970634</v>
      </c>
      <c r="C73" s="31">
        <v>241754</v>
      </c>
      <c r="D73" s="31">
        <v>1212388</v>
      </c>
      <c r="E73" s="31">
        <v>289146337</v>
      </c>
      <c r="F73" s="23"/>
      <c r="G73" s="23"/>
      <c r="H73" s="23"/>
      <c r="I73" s="23"/>
      <c r="J73" s="23"/>
    </row>
    <row r="74" spans="1:10" ht="19.5" customHeight="1">
      <c r="A74" s="61" t="s">
        <v>1183</v>
      </c>
      <c r="B74" s="31"/>
      <c r="C74" s="31"/>
      <c r="D74" s="31"/>
      <c r="E74" s="31"/>
      <c r="F74" s="23"/>
      <c r="G74" s="23"/>
      <c r="H74" s="23"/>
      <c r="I74" s="23"/>
      <c r="J74" s="23"/>
    </row>
    <row r="75" spans="1:10" ht="19.5" customHeight="1">
      <c r="A75" s="61" t="s">
        <v>326</v>
      </c>
      <c r="B75" s="31"/>
      <c r="C75" s="31"/>
      <c r="D75" s="31"/>
      <c r="E75" s="31"/>
      <c r="F75" s="23"/>
      <c r="G75" s="23"/>
      <c r="H75" s="23"/>
      <c r="I75" s="23"/>
      <c r="J75" s="23"/>
    </row>
    <row r="76" spans="1:10" ht="19.5" customHeight="1">
      <c r="A76" s="61" t="s">
        <v>216</v>
      </c>
      <c r="B76" s="31">
        <v>437860</v>
      </c>
      <c r="C76" s="31">
        <v>183356</v>
      </c>
      <c r="D76" s="31">
        <v>621216</v>
      </c>
      <c r="E76" s="31">
        <v>146247653</v>
      </c>
      <c r="F76" s="23"/>
      <c r="G76" s="23"/>
      <c r="H76" s="23"/>
      <c r="I76" s="23"/>
      <c r="J76" s="23"/>
    </row>
    <row r="77" spans="1:10" ht="19.5" customHeight="1">
      <c r="A77" s="61" t="s">
        <v>1178</v>
      </c>
      <c r="B77" s="31"/>
      <c r="C77" s="31"/>
      <c r="D77" s="31"/>
      <c r="E77" s="31"/>
      <c r="F77" s="23"/>
      <c r="G77" s="23"/>
      <c r="H77" s="23"/>
      <c r="I77" s="23"/>
      <c r="J77" s="23"/>
    </row>
    <row r="78" spans="1:10" ht="19.5" customHeight="1">
      <c r="A78" s="61" t="s">
        <v>278</v>
      </c>
      <c r="B78" s="31"/>
      <c r="C78" s="31"/>
      <c r="D78" s="31"/>
      <c r="E78" s="31"/>
      <c r="F78" s="23"/>
      <c r="G78" s="23"/>
      <c r="H78" s="23"/>
      <c r="I78" s="23"/>
      <c r="J78" s="23"/>
    </row>
    <row r="79" spans="1:10" ht="19.5" customHeight="1">
      <c r="A79" s="61" t="s">
        <v>291</v>
      </c>
      <c r="B79" s="31">
        <v>150000</v>
      </c>
      <c r="C79" s="31">
        <v>10351</v>
      </c>
      <c r="D79" s="31">
        <v>160351</v>
      </c>
      <c r="E79" s="31">
        <v>12500000</v>
      </c>
      <c r="F79" s="23"/>
      <c r="G79" s="23"/>
      <c r="H79" s="23"/>
      <c r="I79" s="23"/>
      <c r="J79" s="23"/>
    </row>
    <row r="80" spans="1:10" ht="19.5" customHeight="1">
      <c r="A80" s="61" t="s">
        <v>326</v>
      </c>
      <c r="B80" s="31"/>
      <c r="C80" s="31"/>
      <c r="D80" s="31"/>
      <c r="E80" s="31"/>
      <c r="F80" s="23"/>
      <c r="G80" s="23"/>
      <c r="H80" s="23"/>
      <c r="I80" s="23"/>
      <c r="J80" s="23"/>
    </row>
    <row r="81" spans="1:10" ht="19.5" customHeight="1">
      <c r="A81" s="61" t="s">
        <v>276</v>
      </c>
      <c r="B81" s="31">
        <v>902892</v>
      </c>
      <c r="C81" s="31">
        <v>513702</v>
      </c>
      <c r="D81" s="31">
        <v>1416594</v>
      </c>
      <c r="E81" s="31">
        <v>473298872</v>
      </c>
      <c r="F81" s="23"/>
      <c r="G81" s="23"/>
      <c r="H81" s="23"/>
      <c r="I81" s="23"/>
      <c r="J81" s="23"/>
    </row>
    <row r="82" spans="1:10" ht="19.5" customHeight="1">
      <c r="A82" s="61" t="s">
        <v>291</v>
      </c>
      <c r="B82" s="31">
        <v>845627</v>
      </c>
      <c r="C82" s="31">
        <v>156620</v>
      </c>
      <c r="D82" s="31">
        <v>1002247</v>
      </c>
      <c r="E82" s="31">
        <v>187106609</v>
      </c>
      <c r="F82" s="23"/>
      <c r="G82" s="23"/>
      <c r="H82" s="23"/>
      <c r="I82" s="23"/>
      <c r="J82" s="23"/>
    </row>
    <row r="83" spans="1:10" ht="19.5" customHeight="1">
      <c r="A83" s="61" t="s">
        <v>1176</v>
      </c>
      <c r="B83" s="31"/>
      <c r="C83" s="31"/>
      <c r="D83" s="31"/>
      <c r="E83" s="31"/>
      <c r="F83" s="23"/>
      <c r="G83" s="23"/>
      <c r="H83" s="23"/>
      <c r="I83" s="23"/>
      <c r="J83" s="23"/>
    </row>
    <row r="84" spans="1:10" ht="19.5" customHeight="1">
      <c r="A84" s="61" t="s">
        <v>326</v>
      </c>
      <c r="B84" s="31"/>
      <c r="C84" s="31"/>
      <c r="D84" s="31"/>
      <c r="E84" s="31"/>
      <c r="F84" s="23"/>
      <c r="G84" s="23"/>
      <c r="H84" s="23"/>
      <c r="I84" s="23"/>
      <c r="J84" s="23"/>
    </row>
    <row r="85" spans="1:10" ht="19.5" customHeight="1">
      <c r="A85" s="61" t="s">
        <v>237</v>
      </c>
      <c r="B85" s="31">
        <v>1049552</v>
      </c>
      <c r="C85" s="31">
        <v>299492</v>
      </c>
      <c r="D85" s="31">
        <v>1349044</v>
      </c>
      <c r="E85" s="31">
        <v>325693047</v>
      </c>
      <c r="F85" s="23"/>
      <c r="G85" s="23"/>
      <c r="H85" s="23"/>
      <c r="I85" s="23"/>
      <c r="J85" s="23"/>
    </row>
    <row r="86" spans="1:10" ht="19.5" customHeight="1">
      <c r="A86" s="61" t="s">
        <v>281</v>
      </c>
      <c r="B86" s="31">
        <v>328928</v>
      </c>
      <c r="C86" s="31">
        <v>58976</v>
      </c>
      <c r="D86" s="31">
        <v>387904</v>
      </c>
      <c r="E86" s="31">
        <v>70446823</v>
      </c>
      <c r="F86" s="23"/>
      <c r="G86" s="23"/>
      <c r="H86" s="23"/>
      <c r="I86" s="23"/>
      <c r="J86" s="23"/>
    </row>
    <row r="87" spans="1:10" ht="19.5" customHeight="1">
      <c r="A87" s="61" t="s">
        <v>290</v>
      </c>
      <c r="B87" s="31">
        <v>324776</v>
      </c>
      <c r="C87" s="31">
        <v>180387</v>
      </c>
      <c r="D87" s="31">
        <v>505163</v>
      </c>
      <c r="E87" s="31">
        <v>166191734</v>
      </c>
      <c r="F87" s="23"/>
      <c r="G87" s="23"/>
      <c r="H87" s="23"/>
      <c r="I87" s="23"/>
      <c r="J87" s="23"/>
    </row>
    <row r="88" spans="1:10" ht="19.5" customHeight="1">
      <c r="A88" s="61" t="s">
        <v>313</v>
      </c>
      <c r="B88" s="31">
        <v>1209934</v>
      </c>
      <c r="C88" s="31">
        <v>468878</v>
      </c>
      <c r="D88" s="31">
        <v>1678812</v>
      </c>
      <c r="E88" s="31">
        <v>407992887</v>
      </c>
      <c r="F88" s="23"/>
      <c r="G88" s="23"/>
      <c r="H88" s="23"/>
      <c r="I88" s="23"/>
      <c r="J88" s="23"/>
    </row>
    <row r="89" spans="1:10" ht="19.5" customHeight="1">
      <c r="A89" s="61" t="s">
        <v>1180</v>
      </c>
      <c r="B89" s="31"/>
      <c r="C89" s="31"/>
      <c r="D89" s="31"/>
      <c r="E89" s="31"/>
      <c r="F89" s="23"/>
      <c r="G89" s="23"/>
      <c r="H89" s="23"/>
      <c r="I89" s="23"/>
      <c r="J89" s="23"/>
    </row>
    <row r="90" spans="1:10" ht="19.5" customHeight="1">
      <c r="A90" s="61" t="s">
        <v>277</v>
      </c>
      <c r="B90" s="31"/>
      <c r="C90" s="31"/>
      <c r="D90" s="31"/>
      <c r="E90" s="31"/>
      <c r="F90" s="23"/>
      <c r="G90" s="23"/>
      <c r="H90" s="23"/>
      <c r="I90" s="23"/>
      <c r="J90" s="23"/>
    </row>
    <row r="91" spans="1:10" ht="19.5" customHeight="1">
      <c r="A91" s="61" t="s">
        <v>272</v>
      </c>
      <c r="B91" s="31" t="s">
        <v>1192</v>
      </c>
      <c r="C91" s="31" t="s">
        <v>1192</v>
      </c>
      <c r="D91" s="31" t="s">
        <v>1192</v>
      </c>
      <c r="E91" s="31" t="s">
        <v>1192</v>
      </c>
      <c r="F91" s="23"/>
      <c r="G91" s="23"/>
      <c r="H91" s="23"/>
      <c r="I91" s="23"/>
      <c r="J91" s="23"/>
    </row>
    <row r="92" spans="1:10" ht="19.5" customHeight="1">
      <c r="A92" s="61" t="s">
        <v>355</v>
      </c>
      <c r="B92" s="31"/>
      <c r="C92" s="31"/>
      <c r="D92" s="31"/>
      <c r="E92" s="31"/>
      <c r="F92" s="23"/>
      <c r="G92" s="23"/>
      <c r="H92" s="23"/>
      <c r="I92" s="23"/>
      <c r="J92" s="23"/>
    </row>
    <row r="93" spans="1:10" ht="19.5" customHeight="1">
      <c r="A93" s="61" t="s">
        <v>272</v>
      </c>
      <c r="B93" s="31" t="s">
        <v>1192</v>
      </c>
      <c r="C93" s="31" t="s">
        <v>1192</v>
      </c>
      <c r="D93" s="31" t="s">
        <v>1192</v>
      </c>
      <c r="E93" s="31" t="s">
        <v>1192</v>
      </c>
      <c r="F93" s="23"/>
      <c r="G93" s="23"/>
      <c r="H93" s="23"/>
      <c r="I93" s="23"/>
      <c r="J93" s="23"/>
    </row>
    <row r="94" spans="1:10" ht="19.5" customHeight="1">
      <c r="A94" s="61" t="s">
        <v>256</v>
      </c>
      <c r="B94" s="31"/>
      <c r="C94" s="31"/>
      <c r="D94" s="31"/>
      <c r="E94" s="31"/>
      <c r="F94" s="23"/>
      <c r="G94" s="23"/>
      <c r="H94" s="23"/>
      <c r="I94" s="23"/>
      <c r="J94" s="23"/>
    </row>
    <row r="95" spans="1:10" ht="19.5" customHeight="1">
      <c r="A95" s="61" t="s">
        <v>272</v>
      </c>
      <c r="B95" s="31">
        <v>84461</v>
      </c>
      <c r="C95" s="31">
        <v>16139</v>
      </c>
      <c r="D95" s="31">
        <v>100600</v>
      </c>
      <c r="E95" s="31">
        <v>10244573</v>
      </c>
      <c r="F95" s="23"/>
      <c r="G95" s="23"/>
      <c r="H95" s="23"/>
      <c r="I95" s="23"/>
      <c r="J95" s="23"/>
    </row>
    <row r="96" spans="1:10" ht="19.5" customHeight="1">
      <c r="A96" s="61" t="s">
        <v>278</v>
      </c>
      <c r="B96" s="31"/>
      <c r="C96" s="31"/>
      <c r="D96" s="31"/>
      <c r="E96" s="31"/>
      <c r="F96" s="23"/>
      <c r="G96" s="23"/>
      <c r="H96" s="23"/>
      <c r="I96" s="23"/>
      <c r="J96" s="23"/>
    </row>
    <row r="97" spans="1:10" ht="19.5" customHeight="1">
      <c r="A97" s="61" t="s">
        <v>296</v>
      </c>
      <c r="B97" s="31">
        <v>49298</v>
      </c>
      <c r="C97" s="31">
        <v>14364</v>
      </c>
      <c r="D97" s="31">
        <v>63662</v>
      </c>
      <c r="E97" s="31">
        <v>9268450</v>
      </c>
      <c r="F97" s="23"/>
      <c r="G97" s="23"/>
      <c r="H97" s="23"/>
      <c r="I97" s="23"/>
      <c r="J97" s="23"/>
    </row>
    <row r="98" spans="1:10" ht="19.5" customHeight="1">
      <c r="A98" s="446" t="s">
        <v>286</v>
      </c>
      <c r="B98" s="31">
        <v>326683</v>
      </c>
      <c r="C98" s="31">
        <v>42817</v>
      </c>
      <c r="D98" s="31">
        <v>369500</v>
      </c>
      <c r="E98" s="31">
        <v>16705681</v>
      </c>
      <c r="F98" s="23"/>
      <c r="G98" s="23"/>
      <c r="H98" s="23"/>
      <c r="I98" s="23"/>
      <c r="J98" s="23"/>
    </row>
    <row r="99" spans="1:10" ht="19.5" customHeight="1">
      <c r="A99" s="61" t="s">
        <v>310</v>
      </c>
      <c r="B99" s="31"/>
      <c r="C99" s="31"/>
      <c r="D99" s="31"/>
      <c r="E99" s="31"/>
      <c r="F99" s="23"/>
      <c r="G99" s="23"/>
      <c r="H99" s="23"/>
      <c r="I99" s="23"/>
      <c r="J99" s="23"/>
    </row>
    <row r="100" spans="1:10" ht="19.5" customHeight="1">
      <c r="A100" s="61" t="s">
        <v>272</v>
      </c>
      <c r="B100" s="31">
        <v>0</v>
      </c>
      <c r="C100" s="31">
        <v>0</v>
      </c>
      <c r="D100" s="31">
        <v>0</v>
      </c>
      <c r="E100" s="31">
        <v>2000000</v>
      </c>
      <c r="F100" s="23"/>
      <c r="G100" s="23"/>
      <c r="H100" s="23"/>
      <c r="I100" s="23"/>
      <c r="J100" s="23"/>
    </row>
    <row r="101" spans="1:10" ht="19.5" customHeight="1">
      <c r="A101" s="61" t="s">
        <v>326</v>
      </c>
      <c r="B101" s="31"/>
      <c r="C101" s="31"/>
      <c r="D101" s="31"/>
      <c r="E101" s="31"/>
      <c r="F101" s="23"/>
      <c r="G101" s="23"/>
      <c r="H101" s="23"/>
      <c r="I101" s="23"/>
      <c r="J101" s="23"/>
    </row>
    <row r="102" spans="1:10" ht="19.5" customHeight="1">
      <c r="A102" s="61" t="s">
        <v>302</v>
      </c>
      <c r="B102" s="31">
        <v>712666</v>
      </c>
      <c r="C102" s="31">
        <v>139065</v>
      </c>
      <c r="D102" s="31">
        <v>851731</v>
      </c>
      <c r="E102" s="31">
        <v>166166517</v>
      </c>
      <c r="F102" s="23"/>
      <c r="G102" s="23"/>
      <c r="H102" s="23"/>
      <c r="I102" s="23"/>
      <c r="J102" s="23"/>
    </row>
    <row r="103" spans="1:10" ht="19.5" customHeight="1">
      <c r="A103" s="61" t="s">
        <v>333</v>
      </c>
      <c r="B103" s="31">
        <v>692442</v>
      </c>
      <c r="C103" s="31">
        <v>247247</v>
      </c>
      <c r="D103" s="31">
        <v>939689</v>
      </c>
      <c r="E103" s="31">
        <v>227542871</v>
      </c>
      <c r="F103" s="23"/>
      <c r="G103" s="23"/>
      <c r="H103" s="23"/>
      <c r="I103" s="23"/>
      <c r="J103" s="23"/>
    </row>
    <row r="104" spans="1:10" ht="19.5" customHeight="1">
      <c r="A104" s="61" t="s">
        <v>1181</v>
      </c>
      <c r="B104" s="31"/>
      <c r="C104" s="31"/>
      <c r="D104" s="31"/>
      <c r="E104" s="31"/>
      <c r="F104" s="23"/>
      <c r="G104" s="23"/>
      <c r="H104" s="23"/>
      <c r="I104" s="23"/>
      <c r="J104" s="23"/>
    </row>
    <row r="105" spans="1:10" ht="19.5" customHeight="1">
      <c r="A105" s="61" t="s">
        <v>326</v>
      </c>
      <c r="B105" s="31"/>
      <c r="C105" s="31"/>
      <c r="D105" s="31"/>
      <c r="E105" s="31"/>
      <c r="F105" s="23"/>
      <c r="G105" s="23"/>
      <c r="H105" s="23"/>
      <c r="I105" s="23"/>
      <c r="J105" s="23"/>
    </row>
    <row r="106" spans="1:10" ht="19.5" customHeight="1">
      <c r="A106" s="61" t="s">
        <v>285</v>
      </c>
      <c r="B106" s="31">
        <v>982474</v>
      </c>
      <c r="C106" s="31">
        <v>314688</v>
      </c>
      <c r="D106" s="31">
        <v>1297162</v>
      </c>
      <c r="E106" s="31">
        <v>313706389</v>
      </c>
      <c r="F106" s="23"/>
      <c r="G106" s="23"/>
      <c r="H106" s="23"/>
      <c r="I106" s="23"/>
      <c r="J106" s="23"/>
    </row>
    <row r="107" spans="1:10" ht="19.5" customHeight="1">
      <c r="A107" s="61" t="s">
        <v>295</v>
      </c>
      <c r="B107" s="31">
        <v>224843</v>
      </c>
      <c r="C107" s="31">
        <v>146653</v>
      </c>
      <c r="D107" s="31">
        <v>371496</v>
      </c>
      <c r="E107" s="31">
        <v>104842675</v>
      </c>
      <c r="F107" s="23"/>
      <c r="G107" s="23"/>
      <c r="H107" s="23"/>
      <c r="I107" s="23"/>
      <c r="J107" s="23"/>
    </row>
    <row r="108" spans="1:10" ht="19.5" customHeight="1">
      <c r="A108" s="61" t="s">
        <v>1177</v>
      </c>
      <c r="B108" s="31"/>
      <c r="C108" s="31"/>
      <c r="D108" s="31"/>
      <c r="E108" s="31"/>
      <c r="F108" s="23"/>
      <c r="G108" s="23"/>
      <c r="H108" s="23"/>
      <c r="I108" s="23"/>
      <c r="J108" s="23"/>
    </row>
    <row r="109" spans="1:10" ht="19.5" customHeight="1">
      <c r="A109" s="61" t="s">
        <v>256</v>
      </c>
      <c r="B109" s="31"/>
      <c r="C109" s="31"/>
      <c r="D109" s="31"/>
      <c r="E109" s="31"/>
      <c r="F109" s="23"/>
      <c r="G109" s="23"/>
      <c r="H109" s="23"/>
      <c r="I109" s="23"/>
      <c r="J109" s="23"/>
    </row>
    <row r="110" spans="1:10" ht="19.5" customHeight="1">
      <c r="A110" s="61" t="s">
        <v>316</v>
      </c>
      <c r="B110" s="31" t="s">
        <v>1192</v>
      </c>
      <c r="C110" s="31" t="s">
        <v>1192</v>
      </c>
      <c r="D110" s="31" t="s">
        <v>1192</v>
      </c>
      <c r="E110" s="31" t="s">
        <v>1192</v>
      </c>
      <c r="F110" s="23"/>
      <c r="G110" s="23"/>
      <c r="H110" s="23"/>
      <c r="I110" s="23"/>
      <c r="J110" s="23"/>
    </row>
    <row r="111" spans="1:10" ht="19.5" customHeight="1">
      <c r="A111" s="61" t="s">
        <v>326</v>
      </c>
      <c r="B111" s="31"/>
      <c r="C111" s="31"/>
      <c r="D111" s="31"/>
      <c r="E111" s="31"/>
      <c r="F111" s="23"/>
      <c r="G111" s="23"/>
      <c r="H111" s="23"/>
      <c r="I111" s="23"/>
      <c r="J111" s="23"/>
    </row>
    <row r="112" spans="1:10" ht="19.5" customHeight="1">
      <c r="A112" s="61" t="s">
        <v>316</v>
      </c>
      <c r="B112" s="31">
        <v>1050252</v>
      </c>
      <c r="C112" s="31">
        <v>674466</v>
      </c>
      <c r="D112" s="31">
        <v>1724718</v>
      </c>
      <c r="E112" s="31">
        <v>489470974</v>
      </c>
      <c r="F112" s="23"/>
      <c r="G112" s="23"/>
      <c r="H112" s="23"/>
      <c r="I112" s="23"/>
      <c r="J112" s="23"/>
    </row>
    <row r="113" spans="1:10">
      <c r="A113" s="61" t="s">
        <v>327</v>
      </c>
      <c r="B113" s="31">
        <v>1111644</v>
      </c>
      <c r="C113" s="31">
        <v>398578</v>
      </c>
      <c r="D113" s="31">
        <v>1510222</v>
      </c>
      <c r="E113" s="31">
        <v>366807279</v>
      </c>
      <c r="F113" s="23"/>
      <c r="G113" s="23"/>
      <c r="H113" s="23"/>
      <c r="I113" s="23"/>
      <c r="J113" s="23"/>
    </row>
    <row r="114" spans="1:10">
      <c r="A114" s="61" t="s">
        <v>576</v>
      </c>
      <c r="B114" s="31"/>
      <c r="C114" s="31"/>
      <c r="D114" s="31"/>
      <c r="E114" s="31"/>
      <c r="F114" s="23"/>
      <c r="G114" s="23"/>
      <c r="H114" s="23"/>
      <c r="I114" s="23"/>
      <c r="J114" s="23"/>
    </row>
    <row r="115" spans="1:10">
      <c r="A115" s="61" t="s">
        <v>303</v>
      </c>
      <c r="B115" s="31"/>
      <c r="C115" s="31"/>
      <c r="D115" s="31"/>
      <c r="E115" s="31"/>
      <c r="F115" s="23"/>
      <c r="G115" s="23"/>
      <c r="H115" s="23"/>
      <c r="I115" s="23"/>
      <c r="J115" s="23"/>
    </row>
    <row r="116" spans="1:10">
      <c r="A116" s="446" t="s">
        <v>286</v>
      </c>
      <c r="B116" s="31">
        <v>169657</v>
      </c>
      <c r="C116" s="31">
        <v>221433</v>
      </c>
      <c r="D116" s="31">
        <v>391090</v>
      </c>
      <c r="E116" s="31">
        <v>91457870</v>
      </c>
      <c r="F116" s="23"/>
      <c r="G116" s="23"/>
      <c r="H116" s="23"/>
      <c r="I116" s="23"/>
      <c r="J116" s="23"/>
    </row>
    <row r="117" spans="1:10">
      <c r="A117" s="61" t="s">
        <v>318</v>
      </c>
      <c r="B117" s="31"/>
      <c r="C117" s="31"/>
      <c r="D117" s="31"/>
      <c r="E117" s="31"/>
      <c r="F117" s="23"/>
      <c r="G117" s="23"/>
      <c r="H117" s="23"/>
      <c r="I117" s="23"/>
      <c r="J117" s="23"/>
    </row>
    <row r="118" spans="1:10">
      <c r="A118" s="61" t="s">
        <v>272</v>
      </c>
      <c r="B118" s="31">
        <v>84461</v>
      </c>
      <c r="C118" s="31">
        <v>16139</v>
      </c>
      <c r="D118" s="31">
        <v>100600</v>
      </c>
      <c r="E118" s="31">
        <v>10244573</v>
      </c>
      <c r="F118" s="23"/>
      <c r="G118" s="23"/>
      <c r="H118" s="23"/>
      <c r="I118" s="23"/>
      <c r="J118" s="23"/>
    </row>
    <row r="119" spans="1:10">
      <c r="A119" s="61" t="s">
        <v>200</v>
      </c>
      <c r="B119" s="31">
        <v>12955677</v>
      </c>
      <c r="C119" s="31">
        <v>5043759</v>
      </c>
      <c r="D119" s="31">
        <v>17999436</v>
      </c>
      <c r="E119" s="31">
        <v>4439492417</v>
      </c>
      <c r="F119" s="23"/>
      <c r="G119" s="23"/>
      <c r="H119" s="23"/>
      <c r="I119" s="23"/>
      <c r="J119" s="23"/>
    </row>
    <row r="120" spans="1:10">
      <c r="A120" s="23"/>
      <c r="B120" s="23"/>
      <c r="C120" s="23"/>
      <c r="D120" s="23"/>
      <c r="E120" s="23"/>
    </row>
  </sheetData>
  <sheetProtection formatCells="0" formatColumns="0" formatRows="0" insertColumns="0" insertRows="0" insertHyperlinks="0" deleteColumns="0" deleteRows="0" sort="0" autoFilter="0" pivotTables="0"/>
  <phoneticPr fontId="5"/>
  <pageMargins left="0.23622047244094491" right="0.23622047244094491" top="0.74803149606299213" bottom="0.74803149606299213" header="0.31496062992125984" footer="0.31496062992125984"/>
  <pageSetup paperSize="8" scale="82" fitToHeight="0" orientation="portrait" horizontalDpi="1200" verticalDpi="1200" r:id="rId5"/>
  <headerFooter>
    <oddHeader>&amp;A</oddHeader>
    <oddFooter>&amp;P / &amp;N ページ</oddFooter>
  </headerFooter>
  <rowBreaks count="1" manualBreakCount="1">
    <brk id="55" max="9" man="1"/>
  </rowBreaks>
</worksheet>
</file>

<file path=xl/worksheets/sheet9.xml><?xml version="1.0" encoding="utf-8"?>
<worksheet xmlns="http://schemas.openxmlformats.org/spreadsheetml/2006/main" xmlns:ns1="http://schemas.openxmlformats.org/markup-compatibility/2006" xmlns:ns2="http://schemas.microsoft.com/office/spreadsheetml/2014/revision" xmlns:ns3="http://schemas.microsoft.com/office/spreadsheetml/2009/9/main" xmlns:ns5="http://schemas.microsoft.com/office/excel/2006/main" xmlns:r="http://schemas.openxmlformats.org/officeDocument/2006/relationships" ns1:Ignorable="x14ac xr xr2 xr3" ns2:uid="{DD722D60-52F1-4514-B952-0EB6084315AA}">
  <sheetPr>
    <pageSetUpPr fitToPage="1"/>
  </sheetPr>
  <dimension ref="A1:AW175"/>
  <sheetViews>
    <sheetView zoomScaleNormal="100" workbookViewId="0">
      <pane xSplit="4" ySplit="1" topLeftCell="E2" activePane="bottomRight" state="frozen"/>
      <selection pane="bottomRight"/>
      <selection pane="bottomLeft" activeCell="A2" sqref="A2"/>
      <selection pane="topRight" activeCell="E1" sqref="E1"/>
    </sheetView>
  </sheetViews>
  <sheetFormatPr defaultRowHeight="13.5"/>
  <cols>
    <col min="1" max="1" width="7.75" style="23" customWidth="1"/>
    <col min="3" max="3" width="7" style="23" customWidth="1"/>
    <col min="4" max="4" width="16.75" style="136" customWidth="1"/>
    <col min="5" max="5" width="11.75" style="218" customWidth="1"/>
    <col min="6" max="6" width="8.75" style="23" customWidth="1"/>
    <col min="7" max="7" width="19" style="136" customWidth="1"/>
    <col min="8" max="8" width="7.625" style="23" customWidth="1"/>
    <col min="9" max="9" width="11" style="136" bestFit="1" customWidth="1"/>
    <col min="10" max="10" width="7.375" style="23" customWidth="1"/>
    <col min="11" max="11" width="16.875" style="136" customWidth="1"/>
    <col min="12" max="12" width="7.75" style="23" customWidth="1"/>
    <col min="13" max="13" width="18.375" style="136" customWidth="1"/>
    <col min="14" max="14" width="14.25" style="64" customWidth="1"/>
    <col min="15" max="15" width="18.375" style="214" bestFit="1" customWidth="1"/>
    <col min="16" max="16" width="9.125" style="219" bestFit="1" customWidth="1"/>
    <col min="17" max="17" width="15.75" style="218" customWidth="1"/>
    <col min="18" max="18" width="11.125" style="220" customWidth="1"/>
    <col min="19" max="19" width="11.625" style="23" customWidth="1"/>
    <col min="20" max="20" width="10.75" style="23" customWidth="1"/>
    <col min="21" max="21" width="18" style="226" bestFit="1" customWidth="1"/>
    <col min="22" max="22" width="14.875" style="78" customWidth="1"/>
    <col min="23" max="24" width="12.875" style="78" bestFit="1" customWidth="1"/>
    <col min="25" max="25" width="14.25" style="78" bestFit="1" customWidth="1"/>
    <col min="26" max="26" width="12.875" style="449" customWidth="1"/>
    <col min="27" max="27" width="10.5" style="23" customWidth="1"/>
    <col min="28" max="28" width="11" style="23" customWidth="1"/>
    <col min="29" max="29" width="16" style="23" bestFit="1" customWidth="1"/>
    <col min="30" max="30" width="18.75" style="23" customWidth="1"/>
    <col min="31" max="40" width="10.5" style="23" customWidth="1"/>
    <col min="41" max="42" width="20.5" style="23" bestFit="1" customWidth="1"/>
    <col min="43" max="43" width="9" style="23"/>
    <col min="44" max="44" width="13.875" style="23" customWidth="1"/>
    <col min="45" max="45" width="17.75" style="23" bestFit="1" customWidth="1"/>
    <col min="46" max="46" width="21" style="23" customWidth="1"/>
    <col min="47" max="48" width="17.75" style="23" bestFit="1" customWidth="1"/>
    <col min="49" max="49" width="13.625" style="23" bestFit="1" customWidth="1"/>
    <col min="50" max="16384" width="9" style="23"/>
  </cols>
  <sheetData>
    <row r="1" spans="1:49" s="206" customFormat="1" ht="27.75" customHeight="1">
      <c r="A1" s="450" t="s">
        <v>1193</v>
      </c>
      <c r="B1" s="450" t="s">
        <v>177</v>
      </c>
      <c r="C1" s="450" t="s">
        <v>1194</v>
      </c>
      <c r="D1" s="450" t="s">
        <v>1195</v>
      </c>
      <c r="E1" s="450" t="s">
        <v>1196</v>
      </c>
      <c r="F1" s="450" t="s">
        <v>1197</v>
      </c>
      <c r="G1" s="450" t="s">
        <v>1198</v>
      </c>
      <c r="H1" s="450" t="s">
        <v>1199</v>
      </c>
      <c r="I1" s="450" t="s">
        <v>1200</v>
      </c>
      <c r="J1" s="450" t="s">
        <v>1201</v>
      </c>
      <c r="K1" s="450" t="s">
        <v>1202</v>
      </c>
      <c r="L1" s="450" t="s">
        <v>1203</v>
      </c>
      <c r="M1" s="450" t="s">
        <v>1204</v>
      </c>
      <c r="N1" s="451" t="s">
        <v>1205</v>
      </c>
      <c r="O1" s="452" t="s">
        <v>1206</v>
      </c>
      <c r="P1" s="453" t="s">
        <v>1207</v>
      </c>
      <c r="Q1" s="450" t="s">
        <v>1208</v>
      </c>
      <c r="R1" s="454" t="s">
        <v>1209</v>
      </c>
      <c r="S1" s="450" t="s">
        <v>1210</v>
      </c>
      <c r="T1" s="450" t="s">
        <v>1211</v>
      </c>
      <c r="U1" s="452" t="s">
        <v>1212</v>
      </c>
      <c r="V1" s="455" t="s">
        <v>1213</v>
      </c>
      <c r="W1" s="455" t="s">
        <v>1214</v>
      </c>
      <c r="X1" s="455" t="s">
        <v>1215</v>
      </c>
      <c r="Y1" s="455" t="s">
        <v>1216</v>
      </c>
      <c r="Z1" s="456" t="s">
        <v>1217</v>
      </c>
      <c r="AA1" s="450" t="s">
        <v>1218</v>
      </c>
      <c r="AB1" s="450" t="s">
        <v>1219</v>
      </c>
      <c r="AC1" s="450" t="s">
        <v>1220</v>
      </c>
      <c r="AD1" s="457" t="s">
        <v>1221</v>
      </c>
      <c r="AE1" s="450" t="s">
        <v>1222</v>
      </c>
      <c r="AF1" s="450" t="s">
        <v>1223</v>
      </c>
      <c r="AG1" s="450" t="s">
        <v>1224</v>
      </c>
      <c r="AH1" s="450" t="s">
        <v>1225</v>
      </c>
      <c r="AI1" s="450" t="s">
        <v>1226</v>
      </c>
      <c r="AJ1" s="450" t="s">
        <v>1227</v>
      </c>
      <c r="AK1" s="450" t="s">
        <v>1228</v>
      </c>
      <c r="AL1" s="450" t="s">
        <v>1229</v>
      </c>
      <c r="AM1" s="450" t="s">
        <v>1230</v>
      </c>
      <c r="AN1" s="450" t="s">
        <v>1231</v>
      </c>
      <c r="AO1" s="450" t="s">
        <v>1232</v>
      </c>
      <c r="AP1" s="450" t="s">
        <v>1233</v>
      </c>
      <c r="AR1" s="206" t="s">
        <v>1234</v>
      </c>
      <c r="AS1" s="207" t="s">
        <v>1235</v>
      </c>
      <c r="AT1" s="208" t="s">
        <v>1236</v>
      </c>
      <c r="AU1" s="208" t="s">
        <v>1237</v>
      </c>
      <c r="AV1" s="208" t="s">
        <v>1238</v>
      </c>
      <c r="AW1" s="209" t="s">
        <v>1239</v>
      </c>
    </row>
    <row r="2" spans="1:49" s="210" customFormat="1" ht="34.5" customHeight="1">
      <c r="A2" s="210">
        <v>801</v>
      </c>
      <c r="B2" s="458" t="str">
        <f>IF(V2+W2+X2+Y2=0,"完済","返済中")</f>
        <v>返済中</v>
      </c>
      <c r="C2" s="210">
        <v>502</v>
      </c>
      <c r="D2" s="459" t="str">
        <f t="shared" ref="D2:D32" si="0">VLOOKUP(C2,id_settings,2,FALSE)</f>
        <v>首里信金</v>
      </c>
      <c r="E2" s="216" t="s">
        <v>1240</v>
      </c>
      <c r="F2" s="210">
        <v>402</v>
      </c>
      <c r="G2" s="459" t="str">
        <f t="shared" ref="G2:G32" si="1">VLOOKUP(F2,id_settings,2,FALSE)</f>
        <v>コアプラス名古屋株式会社</v>
      </c>
      <c r="H2" s="210">
        <v>601</v>
      </c>
      <c r="I2" s="459" t="str">
        <f t="shared" ref="I2:I32" si="2">VLOOKUP(H2,id_settings,2,FALSE)</f>
        <v>不動産購入</v>
      </c>
      <c r="J2" s="210">
        <v>102</v>
      </c>
      <c r="K2" s="459" t="str">
        <f t="shared" ref="K2:K32" si="3">VLOOKUP(J2,id_settings,2,FALSE)</f>
        <v>池袋ハウス</v>
      </c>
      <c r="L2" s="210">
        <v>102</v>
      </c>
      <c r="M2" s="459" t="str">
        <f t="shared" ref="M2:M32" si="4">VLOOKUP(L2,id_settings,2,FALSE)</f>
        <v>池袋ハウス</v>
      </c>
      <c r="N2" s="212">
        <v>550000000</v>
      </c>
      <c r="O2" s="211">
        <v>41320</v>
      </c>
      <c r="P2" s="328">
        <v>1.65</v>
      </c>
      <c r="Q2" s="216" t="s">
        <v>1241</v>
      </c>
      <c r="R2" s="217">
        <v>35</v>
      </c>
      <c r="S2" s="217">
        <f>R2</f>
        <v>35</v>
      </c>
      <c r="T2" s="210" t="s">
        <v>1242</v>
      </c>
      <c r="U2" s="225">
        <v>44824</v>
      </c>
      <c r="V2" s="213">
        <v>1050252</v>
      </c>
      <c r="W2" s="213">
        <v>674466</v>
      </c>
      <c r="X2" s="213">
        <v>1724718</v>
      </c>
      <c r="Y2" s="213">
        <v>489470974</v>
      </c>
      <c r="Z2" s="460">
        <f t="shared" ref="Z2:Z32" si="5">IFERROR(Y2/N2,0)</f>
        <v>0.88994722545454541</v>
      </c>
      <c r="AA2" s="461">
        <f t="shared" ref="AA2:AA32" ca="1" si="6">IF(Z2&lt;&gt;0,R2-(current_year-YEAR(O2)),0)</f>
        <v>25</v>
      </c>
      <c r="AF2" s="210" t="str">
        <f t="shared" ref="AF2:AF32" si="7">IFERROR(VLOOKUP(AE2,id_settings,2,FALSE),"なし")</f>
        <v>なし</v>
      </c>
      <c r="AH2" s="210" t="str">
        <f t="shared" ref="AH2:AH32" si="8">IFERROR(VLOOKUP(AG2,id_settings,2,FALSE),"なし")</f>
        <v>なし</v>
      </c>
      <c r="AJ2" s="210" t="str">
        <f t="shared" ref="AJ2:AJ32" si="9">IFERROR(VLOOKUP(AI2,id_settings,2,FALSE),"なし")</f>
        <v>なし</v>
      </c>
      <c r="AL2" s="210" t="str">
        <f t="shared" ref="AL2:AL32" si="10">IFERROR(VLOOKUP(AK2,id_settings,2,FALSE),"なし")</f>
        <v>なし</v>
      </c>
      <c r="AO2" s="448">
        <f t="shared" ref="AO2:AO29" si="11">O2</f>
        <v>41320</v>
      </c>
      <c r="AP2" s="448">
        <f t="shared" ref="AP2:AP29" si="12">AO2</f>
        <v>41320</v>
      </c>
      <c r="AQ2" s="23"/>
      <c r="AR2" s="23"/>
      <c r="AS2" s="23"/>
      <c r="AT2" s="23"/>
      <c r="AU2" s="23"/>
      <c r="AV2" s="23"/>
      <c r="AW2" s="23"/>
    </row>
    <row r="3" spans="1:49" s="210" customFormat="1" ht="34.5" customHeight="1">
      <c r="A3" s="210">
        <v>802</v>
      </c>
      <c r="B3" s="458" t="str">
        <f t="shared" ref="B3:B32" si="13">IF(V3+W3+X3+Y3=0,"完済","返済中")</f>
        <v>返済中</v>
      </c>
      <c r="C3" s="210">
        <v>503</v>
      </c>
      <c r="D3" s="459" t="str">
        <f t="shared" si="0"/>
        <v>名護信金</v>
      </c>
      <c r="E3" s="216" t="s">
        <v>1243</v>
      </c>
      <c r="F3" s="210">
        <v>404</v>
      </c>
      <c r="G3" s="459" t="str">
        <f t="shared" si="1"/>
        <v>コアプラス大阪株式会社</v>
      </c>
      <c r="H3" s="210">
        <v>601</v>
      </c>
      <c r="I3" s="459" t="str">
        <f t="shared" si="2"/>
        <v>不動産購入</v>
      </c>
      <c r="J3" s="210">
        <v>104</v>
      </c>
      <c r="K3" s="459" t="str">
        <f t="shared" si="3"/>
        <v>コアプラス池袋</v>
      </c>
      <c r="L3" s="210">
        <v>104</v>
      </c>
      <c r="M3" s="459" t="str">
        <f t="shared" si="4"/>
        <v>コアプラス池袋</v>
      </c>
      <c r="N3" s="212">
        <v>85000000</v>
      </c>
      <c r="O3" s="211">
        <v>41690</v>
      </c>
      <c r="P3" s="328">
        <v>1</v>
      </c>
      <c r="Q3" s="216" t="s">
        <v>1241</v>
      </c>
      <c r="R3" s="217">
        <v>25</v>
      </c>
      <c r="S3" s="217">
        <f t="shared" ref="S3:S32" si="14">R3</f>
        <v>25</v>
      </c>
      <c r="T3" s="210" t="s">
        <v>1242</v>
      </c>
      <c r="U3" s="225">
        <v>44824</v>
      </c>
      <c r="V3" s="213">
        <v>273127</v>
      </c>
      <c r="W3" s="213">
        <v>48972</v>
      </c>
      <c r="X3" s="213">
        <v>322099</v>
      </c>
      <c r="Y3" s="213">
        <v>58496261</v>
      </c>
      <c r="Z3" s="460">
        <f t="shared" si="5"/>
        <v>0.68819130588235289</v>
      </c>
      <c r="AA3" s="461">
        <f t="shared" ca="1" si="6"/>
        <v>16</v>
      </c>
      <c r="AF3" s="210" t="str">
        <f t="shared" si="7"/>
        <v>なし</v>
      </c>
      <c r="AH3" s="210" t="str">
        <f t="shared" si="8"/>
        <v>なし</v>
      </c>
      <c r="AJ3" s="210" t="str">
        <f t="shared" si="9"/>
        <v>なし</v>
      </c>
      <c r="AL3" s="210" t="str">
        <f t="shared" si="10"/>
        <v>なし</v>
      </c>
      <c r="AO3" s="448">
        <f t="shared" si="11"/>
        <v>41690</v>
      </c>
      <c r="AP3" s="448">
        <f t="shared" si="12"/>
        <v>41690</v>
      </c>
      <c r="AQ3" s="23"/>
      <c r="AR3" s="23"/>
      <c r="AS3" s="23"/>
      <c r="AT3" s="23"/>
      <c r="AU3" s="23"/>
      <c r="AV3" s="23"/>
      <c r="AW3" s="23"/>
    </row>
    <row r="4" spans="1:49" s="210" customFormat="1" ht="34.5" customHeight="1">
      <c r="A4" s="210">
        <v>803</v>
      </c>
      <c r="B4" s="458" t="str">
        <f t="shared" si="13"/>
        <v>返済中</v>
      </c>
      <c r="C4" s="210">
        <v>504</v>
      </c>
      <c r="D4" s="459" t="str">
        <f t="shared" si="0"/>
        <v>読谷信金</v>
      </c>
      <c r="E4" s="216" t="s">
        <v>1244</v>
      </c>
      <c r="F4" s="210">
        <v>405</v>
      </c>
      <c r="G4" s="459" t="str">
        <f t="shared" si="1"/>
        <v>コアプラス仙台株式会社</v>
      </c>
      <c r="H4" s="210">
        <v>601</v>
      </c>
      <c r="I4" s="459" t="str">
        <f t="shared" si="2"/>
        <v>不動産購入</v>
      </c>
      <c r="J4" s="210">
        <v>105</v>
      </c>
      <c r="K4" s="459" t="str">
        <f t="shared" si="3"/>
        <v>目白アパート</v>
      </c>
      <c r="L4" s="210">
        <v>105</v>
      </c>
      <c r="M4" s="459" t="str">
        <f t="shared" si="4"/>
        <v>目白アパート</v>
      </c>
      <c r="N4" s="212">
        <v>265000000</v>
      </c>
      <c r="O4" s="211">
        <v>41894</v>
      </c>
      <c r="P4" s="328">
        <v>1</v>
      </c>
      <c r="Q4" s="216" t="s">
        <v>1241</v>
      </c>
      <c r="R4" s="217">
        <v>25</v>
      </c>
      <c r="S4" s="217">
        <f t="shared" si="14"/>
        <v>25</v>
      </c>
      <c r="T4" s="210" t="s">
        <v>1242</v>
      </c>
      <c r="U4" s="225">
        <v>44824</v>
      </c>
      <c r="V4" s="213">
        <v>845627</v>
      </c>
      <c r="W4" s="213">
        <v>156620</v>
      </c>
      <c r="X4" s="213">
        <v>1002247</v>
      </c>
      <c r="Y4" s="213">
        <v>187106609</v>
      </c>
      <c r="Z4" s="460">
        <f t="shared" si="5"/>
        <v>0.7060626754716981</v>
      </c>
      <c r="AA4" s="461">
        <f t="shared" ca="1" si="6"/>
        <v>16</v>
      </c>
      <c r="AF4" s="210" t="str">
        <f t="shared" si="7"/>
        <v>なし</v>
      </c>
      <c r="AH4" s="210" t="str">
        <f t="shared" si="8"/>
        <v>なし</v>
      </c>
      <c r="AJ4" s="210" t="str">
        <f t="shared" si="9"/>
        <v>なし</v>
      </c>
      <c r="AL4" s="210" t="str">
        <f t="shared" si="10"/>
        <v>なし</v>
      </c>
      <c r="AO4" s="448">
        <f t="shared" si="11"/>
        <v>41894</v>
      </c>
      <c r="AP4" s="448">
        <f t="shared" si="12"/>
        <v>41894</v>
      </c>
      <c r="AQ4" s="23"/>
      <c r="AR4" s="23"/>
      <c r="AS4" s="23"/>
      <c r="AT4" s="23"/>
      <c r="AU4" s="23"/>
      <c r="AV4" s="23"/>
      <c r="AW4" s="23"/>
    </row>
    <row r="5" spans="1:49" s="210" customFormat="1" ht="34.5" customHeight="1">
      <c r="A5" s="210">
        <v>804</v>
      </c>
      <c r="B5" s="458" t="str">
        <f t="shared" si="13"/>
        <v>返済中</v>
      </c>
      <c r="C5" s="210">
        <v>505</v>
      </c>
      <c r="D5" s="459" t="str">
        <f t="shared" si="0"/>
        <v>宜野湾信組</v>
      </c>
      <c r="E5" s="216" t="s">
        <v>1245</v>
      </c>
      <c r="F5" s="210">
        <v>404</v>
      </c>
      <c r="G5" s="459" t="str">
        <f t="shared" si="1"/>
        <v>コアプラス大阪株式会社</v>
      </c>
      <c r="H5" s="210">
        <v>601</v>
      </c>
      <c r="I5" s="459" t="str">
        <f t="shared" si="2"/>
        <v>不動産購入</v>
      </c>
      <c r="J5" s="210">
        <v>104</v>
      </c>
      <c r="K5" s="459" t="str">
        <f t="shared" si="3"/>
        <v>コアプラス池袋</v>
      </c>
      <c r="L5" s="210">
        <v>104</v>
      </c>
      <c r="M5" s="459" t="str">
        <f t="shared" si="4"/>
        <v>コアプラス池袋</v>
      </c>
      <c r="N5" s="212">
        <v>17000000</v>
      </c>
      <c r="O5" s="211">
        <v>41948</v>
      </c>
      <c r="P5" s="328">
        <v>1</v>
      </c>
      <c r="Q5" s="216" t="s">
        <v>1241</v>
      </c>
      <c r="R5" s="217">
        <v>25</v>
      </c>
      <c r="S5" s="217">
        <f t="shared" si="14"/>
        <v>25</v>
      </c>
      <c r="T5" s="210" t="s">
        <v>1242</v>
      </c>
      <c r="U5" s="225">
        <v>44824</v>
      </c>
      <c r="V5" s="213">
        <v>55801</v>
      </c>
      <c r="W5" s="213">
        <v>10004</v>
      </c>
      <c r="X5" s="213">
        <v>65805</v>
      </c>
      <c r="Y5" s="213">
        <v>11950562</v>
      </c>
      <c r="Z5" s="460">
        <f t="shared" si="5"/>
        <v>0.70297423529411762</v>
      </c>
      <c r="AA5" s="461">
        <f t="shared" ca="1" si="6"/>
        <v>16</v>
      </c>
      <c r="AF5" s="210" t="str">
        <f t="shared" si="7"/>
        <v>なし</v>
      </c>
      <c r="AH5" s="210" t="str">
        <f t="shared" si="8"/>
        <v>なし</v>
      </c>
      <c r="AJ5" s="210" t="str">
        <f t="shared" si="9"/>
        <v>なし</v>
      </c>
      <c r="AL5" s="210" t="str">
        <f t="shared" si="10"/>
        <v>なし</v>
      </c>
      <c r="AO5" s="448">
        <f t="shared" si="11"/>
        <v>41948</v>
      </c>
      <c r="AP5" s="448">
        <f t="shared" si="12"/>
        <v>41948</v>
      </c>
      <c r="AQ5" s="23"/>
      <c r="AR5" s="23"/>
      <c r="AS5" s="23"/>
      <c r="AT5" s="23"/>
      <c r="AU5" s="23"/>
      <c r="AV5" s="23"/>
      <c r="AW5" s="23"/>
    </row>
    <row r="6" spans="1:49" s="210" customFormat="1" ht="34.5" customHeight="1">
      <c r="A6" s="210">
        <v>805</v>
      </c>
      <c r="B6" s="458" t="str">
        <f t="shared" si="13"/>
        <v>返済中</v>
      </c>
      <c r="C6" s="210">
        <v>506</v>
      </c>
      <c r="D6" s="459" t="str">
        <f t="shared" si="0"/>
        <v>恩納銀行</v>
      </c>
      <c r="E6" s="216" t="s">
        <v>1246</v>
      </c>
      <c r="F6" s="210">
        <v>406</v>
      </c>
      <c r="G6" s="459" t="str">
        <f t="shared" si="1"/>
        <v>コアプラス札幌株式会社</v>
      </c>
      <c r="H6" s="210">
        <v>601</v>
      </c>
      <c r="I6" s="459" t="str">
        <f t="shared" si="2"/>
        <v>不動産購入</v>
      </c>
      <c r="J6" s="210">
        <v>106</v>
      </c>
      <c r="K6" s="459" t="str">
        <f t="shared" si="3"/>
        <v>東池袋ハイツ</v>
      </c>
      <c r="L6" s="210">
        <v>106</v>
      </c>
      <c r="M6" s="459" t="str">
        <f t="shared" si="4"/>
        <v>東池袋ハイツ</v>
      </c>
      <c r="N6" s="212">
        <v>376000000</v>
      </c>
      <c r="O6" s="211">
        <v>41974</v>
      </c>
      <c r="P6" s="328">
        <v>1</v>
      </c>
      <c r="Q6" s="216" t="s">
        <v>1247</v>
      </c>
      <c r="R6" s="217">
        <v>30</v>
      </c>
      <c r="S6" s="217">
        <f t="shared" si="14"/>
        <v>30</v>
      </c>
      <c r="T6" s="210" t="s">
        <v>1242</v>
      </c>
      <c r="U6" s="225">
        <v>44824</v>
      </c>
      <c r="V6" s="213">
        <v>970634</v>
      </c>
      <c r="W6" s="213">
        <v>241754</v>
      </c>
      <c r="X6" s="213">
        <v>1212388</v>
      </c>
      <c r="Y6" s="213">
        <v>289146337</v>
      </c>
      <c r="Z6" s="460">
        <f t="shared" si="5"/>
        <v>0.76900621542553194</v>
      </c>
      <c r="AA6" s="461">
        <f t="shared" ca="1" si="6"/>
        <v>21</v>
      </c>
      <c r="AF6" s="210" t="str">
        <f t="shared" si="7"/>
        <v>なし</v>
      </c>
      <c r="AH6" s="210" t="str">
        <f t="shared" si="8"/>
        <v>なし</v>
      </c>
      <c r="AJ6" s="210" t="str">
        <f t="shared" si="9"/>
        <v>なし</v>
      </c>
      <c r="AL6" s="210" t="str">
        <f t="shared" si="10"/>
        <v>なし</v>
      </c>
      <c r="AO6" s="448">
        <f t="shared" si="11"/>
        <v>41974</v>
      </c>
      <c r="AP6" s="448">
        <f t="shared" si="12"/>
        <v>41974</v>
      </c>
      <c r="AQ6" s="23"/>
      <c r="AR6" s="23"/>
      <c r="AS6" s="23"/>
      <c r="AT6" s="23"/>
      <c r="AU6" s="23"/>
      <c r="AV6" s="23"/>
      <c r="AW6" s="23"/>
    </row>
    <row r="7" spans="1:49" s="210" customFormat="1" ht="34.5" customHeight="1">
      <c r="A7" s="210">
        <v>806</v>
      </c>
      <c r="B7" s="458" t="str">
        <f t="shared" si="13"/>
        <v>返済中</v>
      </c>
      <c r="C7" s="210">
        <v>507</v>
      </c>
      <c r="D7" s="459" t="str">
        <f t="shared" si="0"/>
        <v>嘉手納銀行</v>
      </c>
      <c r="E7" s="216" t="s">
        <v>1248</v>
      </c>
      <c r="F7" s="210">
        <v>401</v>
      </c>
      <c r="G7" s="459" t="str">
        <f t="shared" si="1"/>
        <v>コアプラス東京株式会社</v>
      </c>
      <c r="H7" s="210">
        <v>601</v>
      </c>
      <c r="I7" s="459" t="str">
        <f t="shared" si="2"/>
        <v>不動産購入</v>
      </c>
      <c r="J7" s="210">
        <v>101</v>
      </c>
      <c r="K7" s="459" t="str">
        <f t="shared" si="3"/>
        <v>西池袋駅前ビル</v>
      </c>
      <c r="L7" s="210">
        <v>101</v>
      </c>
      <c r="M7" s="459" t="str">
        <f t="shared" si="4"/>
        <v>西池袋駅前ビル</v>
      </c>
      <c r="N7" s="212">
        <v>226000000</v>
      </c>
      <c r="O7" s="211">
        <v>42156</v>
      </c>
      <c r="P7" s="328">
        <v>1</v>
      </c>
      <c r="Q7" s="216" t="s">
        <v>1241</v>
      </c>
      <c r="R7" s="217">
        <v>25</v>
      </c>
      <c r="S7" s="217">
        <f t="shared" si="14"/>
        <v>25</v>
      </c>
      <c r="T7" s="210" t="s">
        <v>1242</v>
      </c>
      <c r="U7" s="225">
        <v>44834</v>
      </c>
      <c r="V7" s="213">
        <v>712666</v>
      </c>
      <c r="W7" s="213">
        <v>139065</v>
      </c>
      <c r="X7" s="213">
        <v>851731</v>
      </c>
      <c r="Y7" s="213">
        <v>166166517</v>
      </c>
      <c r="Z7" s="460">
        <f t="shared" si="5"/>
        <v>0.73525007522123897</v>
      </c>
      <c r="AA7" s="461">
        <f t="shared" ca="1" si="6"/>
        <v>17</v>
      </c>
      <c r="AF7" s="210" t="str">
        <f t="shared" si="7"/>
        <v>なし</v>
      </c>
      <c r="AH7" s="210" t="str">
        <f t="shared" si="8"/>
        <v>なし</v>
      </c>
      <c r="AJ7" s="210" t="str">
        <f t="shared" si="9"/>
        <v>なし</v>
      </c>
      <c r="AL7" s="210" t="str">
        <f t="shared" si="10"/>
        <v>なし</v>
      </c>
      <c r="AO7" s="448">
        <f t="shared" si="11"/>
        <v>42156</v>
      </c>
      <c r="AP7" s="448">
        <f t="shared" si="12"/>
        <v>42156</v>
      </c>
      <c r="AQ7" s="23"/>
      <c r="AR7" s="23"/>
      <c r="AS7" s="23"/>
      <c r="AT7" s="23"/>
      <c r="AU7" s="23"/>
      <c r="AV7" s="23"/>
      <c r="AW7" s="23"/>
    </row>
    <row r="8" spans="1:49" s="210" customFormat="1" ht="34.5" customHeight="1">
      <c r="A8" s="210">
        <v>807</v>
      </c>
      <c r="B8" s="458" t="str">
        <f t="shared" si="13"/>
        <v>返済中</v>
      </c>
      <c r="C8" s="210">
        <v>508</v>
      </c>
      <c r="D8" s="459" t="str">
        <f t="shared" si="0"/>
        <v>奄美信金</v>
      </c>
      <c r="E8" s="216" t="s">
        <v>1240</v>
      </c>
      <c r="F8" s="210">
        <v>404</v>
      </c>
      <c r="G8" s="459" t="str">
        <f t="shared" si="1"/>
        <v>コアプラス大阪株式会社</v>
      </c>
      <c r="H8" s="210">
        <v>601</v>
      </c>
      <c r="I8" s="459" t="str">
        <f t="shared" si="2"/>
        <v>不動産購入</v>
      </c>
      <c r="J8" s="210">
        <v>103</v>
      </c>
      <c r="K8" s="459" t="str">
        <f t="shared" si="3"/>
        <v>カーサ目白台ハウス</v>
      </c>
      <c r="L8" s="210">
        <v>103</v>
      </c>
      <c r="M8" s="459" t="str">
        <f t="shared" si="4"/>
        <v>カーサ目白台ハウス</v>
      </c>
      <c r="N8" s="212">
        <v>413500000</v>
      </c>
      <c r="O8" s="211">
        <v>42200</v>
      </c>
      <c r="P8" s="328">
        <v>1.1000000000000001</v>
      </c>
      <c r="Q8" s="216" t="s">
        <v>1241</v>
      </c>
      <c r="R8" s="217">
        <v>30</v>
      </c>
      <c r="S8" s="217">
        <f t="shared" si="14"/>
        <v>30</v>
      </c>
      <c r="T8" s="210" t="s">
        <v>1242</v>
      </c>
      <c r="U8" s="225">
        <v>44824</v>
      </c>
      <c r="V8" s="213">
        <v>1049552</v>
      </c>
      <c r="W8" s="213">
        <v>299492</v>
      </c>
      <c r="X8" s="213">
        <v>1349044</v>
      </c>
      <c r="Y8" s="213">
        <v>325693047</v>
      </c>
      <c r="Z8" s="460">
        <f t="shared" si="5"/>
        <v>0.78764944860943165</v>
      </c>
      <c r="AA8" s="461">
        <f t="shared" ca="1" si="6"/>
        <v>22</v>
      </c>
      <c r="AF8" s="210" t="str">
        <f t="shared" si="7"/>
        <v>なし</v>
      </c>
      <c r="AH8" s="210" t="str">
        <f t="shared" si="8"/>
        <v>なし</v>
      </c>
      <c r="AJ8" s="210" t="str">
        <f t="shared" si="9"/>
        <v>なし</v>
      </c>
      <c r="AL8" s="210" t="str">
        <f t="shared" si="10"/>
        <v>なし</v>
      </c>
      <c r="AO8" s="448">
        <f t="shared" si="11"/>
        <v>42200</v>
      </c>
      <c r="AP8" s="448">
        <f t="shared" si="12"/>
        <v>42200</v>
      </c>
      <c r="AQ8" s="23"/>
      <c r="AR8" s="23"/>
      <c r="AS8" s="23"/>
      <c r="AT8" s="23"/>
      <c r="AU8" s="23"/>
      <c r="AV8" s="23"/>
      <c r="AW8" s="23"/>
    </row>
    <row r="9" spans="1:49" ht="34.5" customHeight="1">
      <c r="A9" s="210">
        <v>808</v>
      </c>
      <c r="B9" s="458" t="str">
        <f t="shared" si="13"/>
        <v>返済中</v>
      </c>
      <c r="C9" s="210">
        <v>509</v>
      </c>
      <c r="D9" s="459" t="str">
        <f t="shared" si="0"/>
        <v>竹富信金</v>
      </c>
      <c r="E9" s="216" t="s">
        <v>1243</v>
      </c>
      <c r="F9" s="210">
        <v>407</v>
      </c>
      <c r="G9" s="459" t="str">
        <f t="shared" si="1"/>
        <v>コアプラス福岡株式会社</v>
      </c>
      <c r="H9" s="210">
        <v>601</v>
      </c>
      <c r="I9" s="459" t="str">
        <f t="shared" si="2"/>
        <v>不動産購入</v>
      </c>
      <c r="J9" s="210">
        <v>107</v>
      </c>
      <c r="K9" s="459" t="str">
        <f t="shared" si="3"/>
        <v>メゾン雑司ヶ谷</v>
      </c>
      <c r="L9" s="210">
        <v>107</v>
      </c>
      <c r="M9" s="459" t="str">
        <f t="shared" si="4"/>
        <v>メゾン雑司ヶ谷</v>
      </c>
      <c r="N9" s="212">
        <v>392000000</v>
      </c>
      <c r="O9" s="211">
        <v>42292</v>
      </c>
      <c r="P9" s="328">
        <v>1.2</v>
      </c>
      <c r="Q9" s="216" t="s">
        <v>1241</v>
      </c>
      <c r="R9" s="217">
        <v>30</v>
      </c>
      <c r="S9" s="217">
        <f t="shared" si="14"/>
        <v>30</v>
      </c>
      <c r="T9" s="210" t="s">
        <v>1242</v>
      </c>
      <c r="U9" s="225">
        <v>44834</v>
      </c>
      <c r="V9" s="213">
        <v>982474</v>
      </c>
      <c r="W9" s="213">
        <v>314688</v>
      </c>
      <c r="X9" s="213">
        <v>1297162</v>
      </c>
      <c r="Y9" s="213">
        <v>313706389</v>
      </c>
      <c r="Z9" s="460">
        <f t="shared" si="5"/>
        <v>0.80027140051020407</v>
      </c>
      <c r="AA9" s="461">
        <f t="shared" ca="1" si="6"/>
        <v>22</v>
      </c>
      <c r="AB9" s="210"/>
      <c r="AC9" s="210"/>
      <c r="AD9" s="210"/>
      <c r="AE9" s="210"/>
      <c r="AF9" s="210" t="str">
        <f t="shared" si="7"/>
        <v>なし</v>
      </c>
      <c r="AG9" s="210"/>
      <c r="AH9" s="210" t="str">
        <f t="shared" si="8"/>
        <v>なし</v>
      </c>
      <c r="AI9" s="210"/>
      <c r="AJ9" s="210" t="str">
        <f t="shared" si="9"/>
        <v>なし</v>
      </c>
      <c r="AK9" s="210"/>
      <c r="AL9" s="210" t="str">
        <f t="shared" si="10"/>
        <v>なし</v>
      </c>
      <c r="AM9" s="210"/>
      <c r="AN9" s="210"/>
      <c r="AO9" s="448">
        <f t="shared" si="11"/>
        <v>42292</v>
      </c>
      <c r="AP9" s="448">
        <f t="shared" si="12"/>
        <v>42292</v>
      </c>
    </row>
    <row r="10" spans="1:49" ht="34.5" customHeight="1">
      <c r="A10" s="210">
        <v>809</v>
      </c>
      <c r="B10" s="458" t="str">
        <f t="shared" si="13"/>
        <v>返済中</v>
      </c>
      <c r="C10" s="210">
        <v>510</v>
      </c>
      <c r="D10" s="459" t="str">
        <f t="shared" si="0"/>
        <v>西表信金</v>
      </c>
      <c r="E10" s="216" t="s">
        <v>1248</v>
      </c>
      <c r="F10" s="210">
        <v>409</v>
      </c>
      <c r="G10" s="459" t="str">
        <f t="shared" si="1"/>
        <v>コアプラス四国株式会社</v>
      </c>
      <c r="H10" s="210">
        <v>601</v>
      </c>
      <c r="I10" s="459" t="str">
        <f t="shared" si="2"/>
        <v>不動産購入</v>
      </c>
      <c r="J10" s="210">
        <v>109</v>
      </c>
      <c r="K10" s="459" t="str">
        <f t="shared" si="3"/>
        <v>カーサ南池袋</v>
      </c>
      <c r="L10" s="210">
        <v>109</v>
      </c>
      <c r="M10" s="459" t="str">
        <f t="shared" si="4"/>
        <v>カーサ南池袋</v>
      </c>
      <c r="N10" s="212">
        <v>180000000</v>
      </c>
      <c r="O10" s="211">
        <v>42362</v>
      </c>
      <c r="P10" s="328">
        <v>1.5</v>
      </c>
      <c r="Q10" s="216" t="s">
        <v>1241</v>
      </c>
      <c r="R10" s="217">
        <v>30</v>
      </c>
      <c r="S10" s="217">
        <f t="shared" si="14"/>
        <v>30</v>
      </c>
      <c r="T10" s="210" t="s">
        <v>1242</v>
      </c>
      <c r="U10" s="225">
        <v>44834</v>
      </c>
      <c r="V10" s="213">
        <v>437860</v>
      </c>
      <c r="W10" s="213">
        <v>183356</v>
      </c>
      <c r="X10" s="213">
        <v>621216</v>
      </c>
      <c r="Y10" s="213">
        <v>146247653</v>
      </c>
      <c r="Z10" s="460">
        <f t="shared" si="5"/>
        <v>0.81248696111111107</v>
      </c>
      <c r="AA10" s="461">
        <f t="shared" ca="1" si="6"/>
        <v>22</v>
      </c>
      <c r="AB10" s="210"/>
      <c r="AC10" s="210"/>
      <c r="AD10" s="210"/>
      <c r="AE10" s="210"/>
      <c r="AF10" s="210" t="str">
        <f t="shared" si="7"/>
        <v>なし</v>
      </c>
      <c r="AG10" s="210"/>
      <c r="AH10" s="210" t="str">
        <f t="shared" si="8"/>
        <v>なし</v>
      </c>
      <c r="AI10" s="210"/>
      <c r="AJ10" s="210" t="str">
        <f t="shared" si="9"/>
        <v>なし</v>
      </c>
      <c r="AK10" s="210"/>
      <c r="AL10" s="210" t="str">
        <f t="shared" si="10"/>
        <v>なし</v>
      </c>
      <c r="AM10" s="210"/>
      <c r="AN10" s="210"/>
      <c r="AO10" s="448">
        <f t="shared" si="11"/>
        <v>42362</v>
      </c>
      <c r="AP10" s="448">
        <f t="shared" si="12"/>
        <v>42362</v>
      </c>
    </row>
    <row r="11" spans="1:49" ht="34.5" customHeight="1">
      <c r="A11" s="210">
        <v>810</v>
      </c>
      <c r="B11" s="458" t="str">
        <f t="shared" si="13"/>
        <v>完済</v>
      </c>
      <c r="C11" s="210">
        <v>511</v>
      </c>
      <c r="D11" s="459" t="str">
        <f t="shared" si="0"/>
        <v>宮古信組</v>
      </c>
      <c r="E11" s="216" t="s">
        <v>1240</v>
      </c>
      <c r="F11" s="210">
        <v>410</v>
      </c>
      <c r="G11" s="459" t="str">
        <f t="shared" si="1"/>
        <v>コアプラス沖縄株式会社</v>
      </c>
      <c r="H11" s="210">
        <v>601</v>
      </c>
      <c r="I11" s="459" t="str">
        <f t="shared" si="2"/>
        <v>不動産購入</v>
      </c>
      <c r="J11" s="210">
        <v>110</v>
      </c>
      <c r="K11" s="459" t="str">
        <f t="shared" si="3"/>
        <v>仙台駅前コーポ</v>
      </c>
      <c r="L11" s="210">
        <v>110</v>
      </c>
      <c r="M11" s="459" t="str">
        <f t="shared" si="4"/>
        <v>仙台駅前コーポ</v>
      </c>
      <c r="N11" s="212">
        <v>250000000</v>
      </c>
      <c r="O11" s="211">
        <v>42390</v>
      </c>
      <c r="P11" s="328">
        <v>1.375</v>
      </c>
      <c r="Q11" s="216" t="s">
        <v>1241</v>
      </c>
      <c r="R11" s="217">
        <v>30</v>
      </c>
      <c r="S11" s="217">
        <f t="shared" si="14"/>
        <v>30</v>
      </c>
      <c r="T11" s="210" t="s">
        <v>1242</v>
      </c>
      <c r="U11" s="225" t="s">
        <v>1249</v>
      </c>
      <c r="V11" s="213"/>
      <c r="W11" s="213"/>
      <c r="X11" s="213"/>
      <c r="Y11" s="213"/>
      <c r="Z11" s="460">
        <f t="shared" si="5"/>
        <v>0</v>
      </c>
      <c r="AA11" s="461">
        <f t="shared" si="6"/>
        <v>0</v>
      </c>
      <c r="AB11" s="210"/>
      <c r="AC11" s="210"/>
      <c r="AD11" s="210"/>
      <c r="AE11" s="210"/>
      <c r="AF11" s="210" t="str">
        <f t="shared" si="7"/>
        <v>なし</v>
      </c>
      <c r="AG11" s="210"/>
      <c r="AH11" s="210" t="str">
        <f t="shared" si="8"/>
        <v>なし</v>
      </c>
      <c r="AI11" s="210"/>
      <c r="AJ11" s="210" t="str">
        <f t="shared" si="9"/>
        <v>なし</v>
      </c>
      <c r="AK11" s="210"/>
      <c r="AL11" s="210" t="str">
        <f t="shared" si="10"/>
        <v>なし</v>
      </c>
      <c r="AM11" s="210"/>
      <c r="AN11" s="210"/>
      <c r="AO11" s="448">
        <f t="shared" si="11"/>
        <v>42390</v>
      </c>
      <c r="AP11" s="448">
        <f t="shared" si="12"/>
        <v>42390</v>
      </c>
    </row>
    <row r="12" spans="1:49" ht="34.5" customHeight="1">
      <c r="A12" s="210">
        <v>811</v>
      </c>
      <c r="B12" s="458" t="str">
        <f t="shared" si="13"/>
        <v>返済中</v>
      </c>
      <c r="C12" s="210">
        <v>512</v>
      </c>
      <c r="D12" s="459" t="str">
        <f t="shared" si="0"/>
        <v>座間味信金</v>
      </c>
      <c r="E12" s="216" t="s">
        <v>1243</v>
      </c>
      <c r="F12" s="210">
        <v>401</v>
      </c>
      <c r="G12" s="459" t="str">
        <f t="shared" si="1"/>
        <v>コアプラス東京株式会社</v>
      </c>
      <c r="H12" s="210">
        <v>601</v>
      </c>
      <c r="I12" s="459" t="str">
        <f t="shared" si="2"/>
        <v>不動産購入</v>
      </c>
      <c r="J12" s="210">
        <v>111</v>
      </c>
      <c r="K12" s="459" t="str">
        <f t="shared" si="3"/>
        <v>目白カーサ二番館</v>
      </c>
      <c r="L12" s="210">
        <v>111</v>
      </c>
      <c r="M12" s="459" t="str">
        <f t="shared" si="4"/>
        <v>目白カーサ二番館</v>
      </c>
      <c r="N12" s="212">
        <v>280000000</v>
      </c>
      <c r="O12" s="211">
        <v>42424</v>
      </c>
      <c r="P12" s="328">
        <v>1.3</v>
      </c>
      <c r="Q12" s="216" t="s">
        <v>1247</v>
      </c>
      <c r="R12" s="217">
        <v>30</v>
      </c>
      <c r="S12" s="217">
        <f t="shared" si="14"/>
        <v>30</v>
      </c>
      <c r="T12" s="210" t="s">
        <v>1242</v>
      </c>
      <c r="U12" s="225">
        <v>44824</v>
      </c>
      <c r="V12" s="213">
        <v>692442</v>
      </c>
      <c r="W12" s="213">
        <v>247247</v>
      </c>
      <c r="X12" s="213">
        <v>939689</v>
      </c>
      <c r="Y12" s="213">
        <v>227542871</v>
      </c>
      <c r="Z12" s="460">
        <f t="shared" si="5"/>
        <v>0.8126531107142857</v>
      </c>
      <c r="AA12" s="461">
        <f t="shared" ca="1" si="6"/>
        <v>23</v>
      </c>
      <c r="AB12" s="210"/>
      <c r="AC12" s="210"/>
      <c r="AD12" s="210"/>
      <c r="AE12" s="210"/>
      <c r="AF12" s="210" t="str">
        <f t="shared" si="7"/>
        <v>なし</v>
      </c>
      <c r="AG12" s="210"/>
      <c r="AH12" s="210" t="str">
        <f t="shared" si="8"/>
        <v>なし</v>
      </c>
      <c r="AI12" s="210"/>
      <c r="AJ12" s="210" t="str">
        <f t="shared" si="9"/>
        <v>なし</v>
      </c>
      <c r="AK12" s="210"/>
      <c r="AL12" s="210" t="str">
        <f t="shared" si="10"/>
        <v>なし</v>
      </c>
      <c r="AM12" s="210"/>
      <c r="AN12" s="210"/>
      <c r="AO12" s="448">
        <f t="shared" si="11"/>
        <v>42424</v>
      </c>
      <c r="AP12" s="448">
        <f t="shared" si="12"/>
        <v>42424</v>
      </c>
    </row>
    <row r="13" spans="1:49" ht="34.5" customHeight="1">
      <c r="A13" s="210">
        <v>812</v>
      </c>
      <c r="B13" s="458" t="str">
        <f t="shared" si="13"/>
        <v>返済中</v>
      </c>
      <c r="C13" s="210">
        <v>501</v>
      </c>
      <c r="D13" s="459" t="str">
        <f t="shared" si="0"/>
        <v>石垣銀行</v>
      </c>
      <c r="E13" s="216" t="s">
        <v>1244</v>
      </c>
      <c r="F13" s="210">
        <v>402</v>
      </c>
      <c r="G13" s="459" t="str">
        <f t="shared" si="1"/>
        <v>コアプラス名古屋株式会社</v>
      </c>
      <c r="H13" s="210">
        <v>601</v>
      </c>
      <c r="I13" s="459" t="str">
        <f t="shared" si="2"/>
        <v>不動産購入</v>
      </c>
      <c r="J13" s="210">
        <v>112</v>
      </c>
      <c r="K13" s="459" t="str">
        <f t="shared" si="3"/>
        <v>豊島目白ビル</v>
      </c>
      <c r="L13" s="210">
        <v>112</v>
      </c>
      <c r="M13" s="459" t="str">
        <f t="shared" si="4"/>
        <v>豊島目白ビル</v>
      </c>
      <c r="N13" s="212">
        <v>450000000</v>
      </c>
      <c r="O13" s="211">
        <v>42458</v>
      </c>
      <c r="P13" s="328">
        <v>1.3</v>
      </c>
      <c r="Q13" s="216" t="s">
        <v>1241</v>
      </c>
      <c r="R13" s="217">
        <v>30</v>
      </c>
      <c r="S13" s="217">
        <f t="shared" si="14"/>
        <v>30</v>
      </c>
      <c r="T13" s="210" t="s">
        <v>1242</v>
      </c>
      <c r="U13" s="225">
        <v>44834</v>
      </c>
      <c r="V13" s="213">
        <v>1111644</v>
      </c>
      <c r="W13" s="213">
        <v>398578</v>
      </c>
      <c r="X13" s="213">
        <v>1510222</v>
      </c>
      <c r="Y13" s="213">
        <v>366807279</v>
      </c>
      <c r="Z13" s="460">
        <f t="shared" si="5"/>
        <v>0.81512728666666667</v>
      </c>
      <c r="AA13" s="461">
        <f t="shared" ca="1" si="6"/>
        <v>23</v>
      </c>
      <c r="AB13" s="210"/>
      <c r="AC13" s="210"/>
      <c r="AD13" s="210"/>
      <c r="AE13" s="210"/>
      <c r="AF13" s="210" t="str">
        <f t="shared" si="7"/>
        <v>なし</v>
      </c>
      <c r="AG13" s="210"/>
      <c r="AH13" s="210" t="str">
        <f t="shared" si="8"/>
        <v>なし</v>
      </c>
      <c r="AI13" s="210"/>
      <c r="AJ13" s="210" t="str">
        <f t="shared" si="9"/>
        <v>なし</v>
      </c>
      <c r="AK13" s="210"/>
      <c r="AL13" s="210" t="str">
        <f t="shared" si="10"/>
        <v>なし</v>
      </c>
      <c r="AM13" s="210"/>
      <c r="AN13" s="210"/>
      <c r="AO13" s="448">
        <f t="shared" si="11"/>
        <v>42458</v>
      </c>
      <c r="AP13" s="448">
        <f t="shared" si="12"/>
        <v>42458</v>
      </c>
    </row>
    <row r="14" spans="1:49" ht="34.5" customHeight="1">
      <c r="A14" s="210">
        <v>813</v>
      </c>
      <c r="B14" s="458" t="str">
        <f t="shared" si="13"/>
        <v>返済中</v>
      </c>
      <c r="C14" s="210">
        <v>502</v>
      </c>
      <c r="D14" s="459" t="str">
        <f t="shared" si="0"/>
        <v>首里信金</v>
      </c>
      <c r="E14" s="216" t="s">
        <v>1245</v>
      </c>
      <c r="F14" s="210">
        <v>404</v>
      </c>
      <c r="G14" s="459" t="str">
        <f t="shared" si="1"/>
        <v>コアプラス大阪株式会社</v>
      </c>
      <c r="H14" s="210">
        <v>601</v>
      </c>
      <c r="I14" s="459" t="str">
        <f t="shared" si="2"/>
        <v>不動産購入</v>
      </c>
      <c r="J14" s="210">
        <v>113</v>
      </c>
      <c r="K14" s="459" t="str">
        <f t="shared" si="3"/>
        <v>第3目白ハイツ</v>
      </c>
      <c r="L14" s="210">
        <v>113</v>
      </c>
      <c r="M14" s="459" t="str">
        <f t="shared" si="4"/>
        <v>第3目白ハイツ</v>
      </c>
      <c r="N14" s="212">
        <v>495000000</v>
      </c>
      <c r="O14" s="211">
        <v>42551</v>
      </c>
      <c r="P14" s="328">
        <v>1.375</v>
      </c>
      <c r="Q14" s="216" t="s">
        <v>1241</v>
      </c>
      <c r="R14" s="217">
        <v>30</v>
      </c>
      <c r="S14" s="217">
        <f t="shared" si="14"/>
        <v>30</v>
      </c>
      <c r="T14" s="210" t="s">
        <v>1242</v>
      </c>
      <c r="U14" s="225">
        <v>44834</v>
      </c>
      <c r="V14" s="213">
        <v>1209934</v>
      </c>
      <c r="W14" s="213">
        <v>468878</v>
      </c>
      <c r="X14" s="213">
        <v>1678812</v>
      </c>
      <c r="Y14" s="213">
        <v>407992887</v>
      </c>
      <c r="Z14" s="460">
        <f t="shared" si="5"/>
        <v>0.82422805454545456</v>
      </c>
      <c r="AA14" s="461">
        <f t="shared" ca="1" si="6"/>
        <v>23</v>
      </c>
      <c r="AB14" s="210"/>
      <c r="AC14" s="210"/>
      <c r="AD14" s="210"/>
      <c r="AE14" s="210"/>
      <c r="AF14" s="210" t="str">
        <f t="shared" si="7"/>
        <v>なし</v>
      </c>
      <c r="AG14" s="210"/>
      <c r="AH14" s="210" t="str">
        <f t="shared" si="8"/>
        <v>なし</v>
      </c>
      <c r="AI14" s="210"/>
      <c r="AJ14" s="210" t="str">
        <f t="shared" si="9"/>
        <v>なし</v>
      </c>
      <c r="AK14" s="210"/>
      <c r="AL14" s="210" t="str">
        <f t="shared" si="10"/>
        <v>なし</v>
      </c>
      <c r="AM14" s="210"/>
      <c r="AN14" s="210"/>
      <c r="AO14" s="448">
        <f t="shared" si="11"/>
        <v>42551</v>
      </c>
      <c r="AP14" s="448">
        <f t="shared" si="12"/>
        <v>42551</v>
      </c>
    </row>
    <row r="15" spans="1:49" ht="34.5" customHeight="1">
      <c r="A15" s="210">
        <v>814</v>
      </c>
      <c r="B15" s="458" t="str">
        <f t="shared" si="13"/>
        <v>返済中</v>
      </c>
      <c r="C15" s="210">
        <v>503</v>
      </c>
      <c r="D15" s="459" t="str">
        <f t="shared" si="0"/>
        <v>名護信金</v>
      </c>
      <c r="E15" s="216" t="s">
        <v>1246</v>
      </c>
      <c r="F15" s="210">
        <v>404</v>
      </c>
      <c r="G15" s="459" t="str">
        <f t="shared" si="1"/>
        <v>コアプラス大阪株式会社</v>
      </c>
      <c r="H15" s="210">
        <v>601</v>
      </c>
      <c r="I15" s="459" t="str">
        <f t="shared" si="2"/>
        <v>不動産購入</v>
      </c>
      <c r="J15" s="210">
        <v>114</v>
      </c>
      <c r="K15" s="459" t="str">
        <f t="shared" si="3"/>
        <v>レジデンス目白豊島</v>
      </c>
      <c r="L15" s="210">
        <v>114</v>
      </c>
      <c r="M15" s="459" t="str">
        <f t="shared" si="4"/>
        <v>レジデンス目白豊島</v>
      </c>
      <c r="N15" s="212">
        <v>189000000</v>
      </c>
      <c r="O15" s="211">
        <v>42612</v>
      </c>
      <c r="P15" s="328">
        <v>1.3</v>
      </c>
      <c r="Q15" s="216" t="s">
        <v>1241</v>
      </c>
      <c r="R15" s="217">
        <v>40</v>
      </c>
      <c r="S15" s="217">
        <f t="shared" si="14"/>
        <v>40</v>
      </c>
      <c r="T15" s="210" t="s">
        <v>1242</v>
      </c>
      <c r="U15" s="225">
        <v>44824</v>
      </c>
      <c r="V15" s="213">
        <v>324776</v>
      </c>
      <c r="W15" s="213">
        <v>180387</v>
      </c>
      <c r="X15" s="213">
        <v>505163</v>
      </c>
      <c r="Y15" s="213">
        <v>166191734</v>
      </c>
      <c r="Z15" s="460">
        <f t="shared" si="5"/>
        <v>0.87932134391534389</v>
      </c>
      <c r="AA15" s="461">
        <f t="shared" ca="1" si="6"/>
        <v>33</v>
      </c>
      <c r="AB15" s="210"/>
      <c r="AC15" s="210"/>
      <c r="AD15" s="210"/>
      <c r="AE15" s="210"/>
      <c r="AF15" s="210" t="str">
        <f t="shared" si="7"/>
        <v>なし</v>
      </c>
      <c r="AG15" s="210"/>
      <c r="AH15" s="210" t="str">
        <f t="shared" si="8"/>
        <v>なし</v>
      </c>
      <c r="AI15" s="210"/>
      <c r="AJ15" s="210" t="str">
        <f t="shared" si="9"/>
        <v>なし</v>
      </c>
      <c r="AK15" s="210"/>
      <c r="AL15" s="210" t="str">
        <f t="shared" si="10"/>
        <v>なし</v>
      </c>
      <c r="AM15" s="210"/>
      <c r="AN15" s="210"/>
      <c r="AO15" s="448">
        <f t="shared" si="11"/>
        <v>42612</v>
      </c>
      <c r="AP15" s="448">
        <f t="shared" si="12"/>
        <v>42612</v>
      </c>
    </row>
    <row r="16" spans="1:49" ht="34.5" customHeight="1">
      <c r="A16" s="210">
        <v>815</v>
      </c>
      <c r="B16" s="458" t="str">
        <f t="shared" si="13"/>
        <v>返済中</v>
      </c>
      <c r="C16" s="210">
        <v>504</v>
      </c>
      <c r="D16" s="459" t="str">
        <f t="shared" si="0"/>
        <v>読谷信金</v>
      </c>
      <c r="E16" s="216" t="s">
        <v>1248</v>
      </c>
      <c r="F16" s="210">
        <v>405</v>
      </c>
      <c r="G16" s="459" t="str">
        <f t="shared" si="1"/>
        <v>コアプラス仙台株式会社</v>
      </c>
      <c r="H16" s="210">
        <v>601</v>
      </c>
      <c r="I16" s="459" t="str">
        <f t="shared" si="2"/>
        <v>不動産購入</v>
      </c>
      <c r="J16" s="210">
        <v>115</v>
      </c>
      <c r="K16" s="459" t="str">
        <f t="shared" si="3"/>
        <v>コアプラス大塚</v>
      </c>
      <c r="L16" s="210">
        <v>115</v>
      </c>
      <c r="M16" s="459" t="str">
        <f t="shared" si="4"/>
        <v>コアプラス大塚</v>
      </c>
      <c r="N16" s="212">
        <v>530000000</v>
      </c>
      <c r="O16" s="211">
        <v>42852</v>
      </c>
      <c r="P16" s="328">
        <v>1.3</v>
      </c>
      <c r="Q16" s="216" t="s">
        <v>1241</v>
      </c>
      <c r="R16" s="217">
        <v>40</v>
      </c>
      <c r="S16" s="217">
        <f t="shared" si="14"/>
        <v>40</v>
      </c>
      <c r="T16" s="210" t="s">
        <v>1242</v>
      </c>
      <c r="U16" s="225">
        <v>44824</v>
      </c>
      <c r="V16" s="213">
        <v>902892</v>
      </c>
      <c r="W16" s="213">
        <v>513702</v>
      </c>
      <c r="X16" s="213">
        <v>1416594</v>
      </c>
      <c r="Y16" s="213">
        <v>473298872</v>
      </c>
      <c r="Z16" s="460">
        <f t="shared" si="5"/>
        <v>0.8930167396226415</v>
      </c>
      <c r="AA16" s="461">
        <f t="shared" ca="1" si="6"/>
        <v>34</v>
      </c>
      <c r="AB16" s="210"/>
      <c r="AC16" s="210"/>
      <c r="AD16" s="210"/>
      <c r="AE16" s="210"/>
      <c r="AF16" s="210" t="str">
        <f t="shared" si="7"/>
        <v>なし</v>
      </c>
      <c r="AG16" s="210"/>
      <c r="AH16" s="210" t="str">
        <f t="shared" si="8"/>
        <v>なし</v>
      </c>
      <c r="AI16" s="210"/>
      <c r="AJ16" s="210" t="str">
        <f t="shared" si="9"/>
        <v>なし</v>
      </c>
      <c r="AK16" s="210"/>
      <c r="AL16" s="210" t="str">
        <f t="shared" si="10"/>
        <v>なし</v>
      </c>
      <c r="AM16" s="210"/>
      <c r="AN16" s="210"/>
      <c r="AO16" s="448">
        <f t="shared" si="11"/>
        <v>42852</v>
      </c>
      <c r="AP16" s="448">
        <f t="shared" si="12"/>
        <v>42852</v>
      </c>
    </row>
    <row r="17" spans="1:49" ht="34.5" customHeight="1">
      <c r="A17" s="210">
        <v>816</v>
      </c>
      <c r="B17" s="458" t="str">
        <f t="shared" si="13"/>
        <v>返済中</v>
      </c>
      <c r="C17" s="210">
        <v>505</v>
      </c>
      <c r="D17" s="459" t="str">
        <f t="shared" si="0"/>
        <v>宜野湾信組</v>
      </c>
      <c r="E17" s="216" t="s">
        <v>1240</v>
      </c>
      <c r="F17" s="210">
        <v>406</v>
      </c>
      <c r="G17" s="459" t="str">
        <f t="shared" si="1"/>
        <v>コアプラス札幌株式会社</v>
      </c>
      <c r="H17" s="210">
        <v>601</v>
      </c>
      <c r="I17" s="459" t="str">
        <f t="shared" si="2"/>
        <v>不動産購入</v>
      </c>
      <c r="J17" s="210">
        <v>116</v>
      </c>
      <c r="K17" s="459" t="str">
        <f t="shared" si="3"/>
        <v>コアプラスレジデンス梅田</v>
      </c>
      <c r="L17" s="210">
        <v>116</v>
      </c>
      <c r="M17" s="459" t="str">
        <f t="shared" si="4"/>
        <v>コアプラスレジデンス梅田</v>
      </c>
      <c r="N17" s="212">
        <v>369000000</v>
      </c>
      <c r="O17" s="211">
        <v>42853</v>
      </c>
      <c r="P17" s="328">
        <v>1.45</v>
      </c>
      <c r="Q17" s="216" t="s">
        <v>1241</v>
      </c>
      <c r="R17" s="217">
        <v>40</v>
      </c>
      <c r="S17" s="217">
        <f t="shared" si="14"/>
        <v>40</v>
      </c>
      <c r="T17" s="210" t="s">
        <v>1242</v>
      </c>
      <c r="U17" s="225">
        <v>44834</v>
      </c>
      <c r="V17" s="213">
        <v>613310</v>
      </c>
      <c r="W17" s="213">
        <v>400259</v>
      </c>
      <c r="X17" s="213">
        <v>1013569</v>
      </c>
      <c r="Y17" s="213">
        <v>330636161</v>
      </c>
      <c r="Z17" s="460">
        <f t="shared" si="5"/>
        <v>0.89603295663956639</v>
      </c>
      <c r="AA17" s="461">
        <f t="shared" ca="1" si="6"/>
        <v>34</v>
      </c>
      <c r="AB17" s="210"/>
      <c r="AC17" s="210"/>
      <c r="AD17" s="210"/>
      <c r="AE17" s="210"/>
      <c r="AF17" s="210" t="str">
        <f t="shared" si="7"/>
        <v>なし</v>
      </c>
      <c r="AG17" s="210"/>
      <c r="AH17" s="210" t="str">
        <f t="shared" si="8"/>
        <v>なし</v>
      </c>
      <c r="AI17" s="210"/>
      <c r="AJ17" s="210" t="str">
        <f t="shared" si="9"/>
        <v>なし</v>
      </c>
      <c r="AK17" s="210"/>
      <c r="AL17" s="210" t="str">
        <f t="shared" si="10"/>
        <v>なし</v>
      </c>
      <c r="AM17" s="210"/>
      <c r="AN17" s="210"/>
      <c r="AO17" s="448">
        <f t="shared" si="11"/>
        <v>42853</v>
      </c>
      <c r="AP17" s="448">
        <f t="shared" si="12"/>
        <v>42853</v>
      </c>
    </row>
    <row r="18" spans="1:49" ht="34.5" customHeight="1">
      <c r="A18" s="210">
        <v>817</v>
      </c>
      <c r="B18" s="458" t="str">
        <f t="shared" si="13"/>
        <v>返済中</v>
      </c>
      <c r="C18" s="210">
        <v>506</v>
      </c>
      <c r="D18" s="459" t="str">
        <f t="shared" si="0"/>
        <v>恩納銀行</v>
      </c>
      <c r="E18" s="216" t="s">
        <v>1243</v>
      </c>
      <c r="F18" s="210">
        <v>407</v>
      </c>
      <c r="G18" s="459" t="str">
        <f t="shared" si="1"/>
        <v>コアプラス福岡株式会社</v>
      </c>
      <c r="H18" s="210">
        <v>601</v>
      </c>
      <c r="I18" s="459" t="str">
        <f t="shared" si="2"/>
        <v>不動産購入</v>
      </c>
      <c r="J18" s="210">
        <v>117</v>
      </c>
      <c r="K18" s="459" t="str">
        <f t="shared" si="3"/>
        <v>高田馬場第4玉川ビル</v>
      </c>
      <c r="L18" s="210">
        <v>117</v>
      </c>
      <c r="M18" s="459" t="str">
        <f t="shared" si="4"/>
        <v>高田馬場第4玉川ビル</v>
      </c>
      <c r="N18" s="212">
        <v>118000000</v>
      </c>
      <c r="O18" s="211">
        <v>42978</v>
      </c>
      <c r="P18" s="328">
        <v>1.675</v>
      </c>
      <c r="Q18" s="216" t="s">
        <v>1247</v>
      </c>
      <c r="R18" s="217">
        <v>35</v>
      </c>
      <c r="S18" s="217">
        <f t="shared" si="14"/>
        <v>35</v>
      </c>
      <c r="T18" s="210" t="s">
        <v>1242</v>
      </c>
      <c r="U18" s="225">
        <v>44824</v>
      </c>
      <c r="V18" s="213">
        <v>224843</v>
      </c>
      <c r="W18" s="213">
        <v>146653</v>
      </c>
      <c r="X18" s="213">
        <v>371496</v>
      </c>
      <c r="Y18" s="213">
        <v>104842675</v>
      </c>
      <c r="Z18" s="460">
        <f t="shared" si="5"/>
        <v>0.88849724576271183</v>
      </c>
      <c r="AA18" s="461">
        <f t="shared" ca="1" si="6"/>
        <v>29</v>
      </c>
      <c r="AB18" s="210"/>
      <c r="AC18" s="210"/>
      <c r="AD18" s="210"/>
      <c r="AE18" s="210"/>
      <c r="AF18" s="210" t="str">
        <f t="shared" si="7"/>
        <v>なし</v>
      </c>
      <c r="AG18" s="210"/>
      <c r="AH18" s="210" t="str">
        <f t="shared" si="8"/>
        <v>なし</v>
      </c>
      <c r="AI18" s="210"/>
      <c r="AJ18" s="210" t="str">
        <f t="shared" si="9"/>
        <v>なし</v>
      </c>
      <c r="AK18" s="210"/>
      <c r="AL18" s="210" t="str">
        <f t="shared" si="10"/>
        <v>なし</v>
      </c>
      <c r="AM18" s="210"/>
      <c r="AN18" s="210"/>
      <c r="AO18" s="448">
        <f t="shared" si="11"/>
        <v>42978</v>
      </c>
      <c r="AP18" s="448">
        <f t="shared" si="12"/>
        <v>42978</v>
      </c>
    </row>
    <row r="19" spans="1:49" ht="34.5" customHeight="1">
      <c r="A19" s="210">
        <v>818</v>
      </c>
      <c r="B19" s="458" t="str">
        <f t="shared" si="13"/>
        <v>完済</v>
      </c>
      <c r="C19" s="210">
        <v>507</v>
      </c>
      <c r="D19" s="459" t="str">
        <f t="shared" si="0"/>
        <v>嘉手納銀行</v>
      </c>
      <c r="E19" s="216" t="s">
        <v>1248</v>
      </c>
      <c r="F19" s="210">
        <v>410</v>
      </c>
      <c r="G19" s="459" t="str">
        <f t="shared" si="1"/>
        <v>コアプラス沖縄株式会社</v>
      </c>
      <c r="H19" s="210">
        <v>601</v>
      </c>
      <c r="I19" s="459" t="str">
        <f t="shared" si="2"/>
        <v>不動産購入</v>
      </c>
      <c r="J19" s="210">
        <v>118</v>
      </c>
      <c r="K19" s="459" t="str">
        <f t="shared" si="3"/>
        <v>あおばマンション</v>
      </c>
      <c r="L19" s="210">
        <v>118</v>
      </c>
      <c r="M19" s="459" t="str">
        <f t="shared" si="4"/>
        <v>あおばマンション</v>
      </c>
      <c r="N19" s="212">
        <v>189000000</v>
      </c>
      <c r="O19" s="211">
        <v>42978</v>
      </c>
      <c r="P19" s="328">
        <v>1.675</v>
      </c>
      <c r="Q19" s="216" t="s">
        <v>1241</v>
      </c>
      <c r="R19" s="217">
        <v>35</v>
      </c>
      <c r="S19" s="217">
        <f t="shared" si="14"/>
        <v>35</v>
      </c>
      <c r="T19" s="210" t="s">
        <v>1242</v>
      </c>
      <c r="U19" s="225" t="s">
        <v>1249</v>
      </c>
      <c r="V19" s="213"/>
      <c r="W19" s="213"/>
      <c r="X19" s="213"/>
      <c r="Y19" s="213"/>
      <c r="Z19" s="460">
        <f t="shared" si="5"/>
        <v>0</v>
      </c>
      <c r="AA19" s="461">
        <f t="shared" si="6"/>
        <v>0</v>
      </c>
      <c r="AB19" s="210"/>
      <c r="AC19" s="210"/>
      <c r="AD19" s="210"/>
      <c r="AE19" s="210"/>
      <c r="AF19" s="210" t="str">
        <f t="shared" si="7"/>
        <v>なし</v>
      </c>
      <c r="AG19" s="210"/>
      <c r="AH19" s="210" t="str">
        <f t="shared" si="8"/>
        <v>なし</v>
      </c>
      <c r="AI19" s="210"/>
      <c r="AJ19" s="210" t="str">
        <f t="shared" si="9"/>
        <v>なし</v>
      </c>
      <c r="AK19" s="210"/>
      <c r="AL19" s="210" t="str">
        <f t="shared" si="10"/>
        <v>なし</v>
      </c>
      <c r="AM19" s="210"/>
      <c r="AN19" s="210"/>
      <c r="AO19" s="448">
        <f t="shared" si="11"/>
        <v>42978</v>
      </c>
      <c r="AP19" s="448">
        <f t="shared" si="12"/>
        <v>42978</v>
      </c>
    </row>
    <row r="20" spans="1:49" ht="34.5" customHeight="1">
      <c r="A20" s="210">
        <v>820</v>
      </c>
      <c r="B20" s="458" t="str">
        <f t="shared" si="13"/>
        <v>返済中</v>
      </c>
      <c r="C20" s="210">
        <v>509</v>
      </c>
      <c r="D20" s="459" t="str">
        <f t="shared" si="0"/>
        <v>竹富信金</v>
      </c>
      <c r="E20" s="216" t="s">
        <v>1248</v>
      </c>
      <c r="F20" s="210">
        <v>408</v>
      </c>
      <c r="G20" s="459" t="str">
        <f t="shared" si="1"/>
        <v>コアプラス京都株式会社</v>
      </c>
      <c r="H20" s="210">
        <v>601</v>
      </c>
      <c r="I20" s="459" t="str">
        <f t="shared" si="2"/>
        <v>不動産購入</v>
      </c>
      <c r="J20" s="210">
        <v>120</v>
      </c>
      <c r="K20" s="459" t="str">
        <f t="shared" si="3"/>
        <v>南池袋マンション</v>
      </c>
      <c r="L20" s="210">
        <v>120</v>
      </c>
      <c r="M20" s="459" t="str">
        <f t="shared" si="4"/>
        <v>南池袋マンション</v>
      </c>
      <c r="N20" s="212">
        <v>155000000</v>
      </c>
      <c r="O20" s="211">
        <v>43109</v>
      </c>
      <c r="P20" s="328">
        <v>1.65</v>
      </c>
      <c r="Q20" s="216" t="s">
        <v>1247</v>
      </c>
      <c r="R20" s="217">
        <v>35</v>
      </c>
      <c r="S20" s="217">
        <f t="shared" si="14"/>
        <v>35</v>
      </c>
      <c r="T20" s="210" t="s">
        <v>1242</v>
      </c>
      <c r="U20" s="225">
        <v>44834</v>
      </c>
      <c r="V20" s="213">
        <v>294357</v>
      </c>
      <c r="W20" s="213">
        <v>191699</v>
      </c>
      <c r="X20" s="213">
        <v>486056</v>
      </c>
      <c r="Y20" s="213">
        <v>139123336</v>
      </c>
      <c r="Z20" s="460">
        <f t="shared" si="5"/>
        <v>0.89756990967741934</v>
      </c>
      <c r="AA20" s="461">
        <f t="shared" ca="1" si="6"/>
        <v>30</v>
      </c>
      <c r="AB20" s="210"/>
      <c r="AC20" s="210"/>
      <c r="AD20" s="210"/>
      <c r="AE20" s="210"/>
      <c r="AF20" s="210" t="str">
        <f t="shared" si="7"/>
        <v>なし</v>
      </c>
      <c r="AG20" s="210"/>
      <c r="AH20" s="210" t="str">
        <f t="shared" si="8"/>
        <v>なし</v>
      </c>
      <c r="AI20" s="210"/>
      <c r="AJ20" s="210" t="str">
        <f t="shared" si="9"/>
        <v>なし</v>
      </c>
      <c r="AK20" s="210"/>
      <c r="AL20" s="210" t="str">
        <f t="shared" si="10"/>
        <v>なし</v>
      </c>
      <c r="AM20" s="210"/>
      <c r="AN20" s="210"/>
      <c r="AO20" s="448">
        <f t="shared" si="11"/>
        <v>43109</v>
      </c>
      <c r="AP20" s="448">
        <f t="shared" si="12"/>
        <v>43109</v>
      </c>
    </row>
    <row r="21" spans="1:49" ht="34.5" customHeight="1">
      <c r="A21" s="210">
        <v>821</v>
      </c>
      <c r="B21" s="458" t="str">
        <f t="shared" si="13"/>
        <v>返済中</v>
      </c>
      <c r="C21" s="210">
        <v>509</v>
      </c>
      <c r="D21" s="459" t="str">
        <f t="shared" si="0"/>
        <v>竹富信金</v>
      </c>
      <c r="E21" s="216" t="s">
        <v>1248</v>
      </c>
      <c r="F21" s="210">
        <v>408</v>
      </c>
      <c r="G21" s="459" t="str">
        <f t="shared" si="1"/>
        <v>コアプラス京都株式会社</v>
      </c>
      <c r="H21" s="210">
        <v>601</v>
      </c>
      <c r="I21" s="459" t="str">
        <f t="shared" si="2"/>
        <v>不動産購入</v>
      </c>
      <c r="J21" s="210">
        <v>971</v>
      </c>
      <c r="K21" s="459" t="str">
        <f t="shared" si="3"/>
        <v>目白アパート1号2号_二棟一括</v>
      </c>
      <c r="L21" s="210">
        <v>971</v>
      </c>
      <c r="M21" s="459" t="str">
        <f t="shared" si="4"/>
        <v>目白アパート1号2号_二棟一括</v>
      </c>
      <c r="N21" s="212">
        <v>80000000</v>
      </c>
      <c r="O21" s="211">
        <v>44103</v>
      </c>
      <c r="P21" s="328">
        <v>1.6</v>
      </c>
      <c r="Q21" s="216" t="s">
        <v>1247</v>
      </c>
      <c r="R21" s="217">
        <v>26</v>
      </c>
      <c r="S21" s="217">
        <f t="shared" si="14"/>
        <v>26</v>
      </c>
      <c r="T21" s="210" t="s">
        <v>1242</v>
      </c>
      <c r="U21" s="225">
        <v>44805</v>
      </c>
      <c r="V21" s="213">
        <v>213926</v>
      </c>
      <c r="W21" s="213">
        <v>100486</v>
      </c>
      <c r="X21" s="213">
        <v>314412</v>
      </c>
      <c r="Y21" s="213">
        <v>75151106</v>
      </c>
      <c r="Z21" s="460">
        <f t="shared" si="5"/>
        <v>0.93938882499999998</v>
      </c>
      <c r="AA21" s="461">
        <f t="shared" ca="1" si="6"/>
        <v>23</v>
      </c>
      <c r="AB21" s="210"/>
      <c r="AC21" s="210" t="s">
        <v>1250</v>
      </c>
      <c r="AD21" s="210"/>
      <c r="AE21" s="210"/>
      <c r="AF21" s="210" t="str">
        <f t="shared" si="7"/>
        <v>なし</v>
      </c>
      <c r="AG21" s="210"/>
      <c r="AH21" s="210" t="str">
        <f t="shared" si="8"/>
        <v>なし</v>
      </c>
      <c r="AI21" s="210"/>
      <c r="AJ21" s="210" t="str">
        <f t="shared" si="9"/>
        <v>なし</v>
      </c>
      <c r="AK21" s="210"/>
      <c r="AL21" s="210" t="str">
        <f t="shared" si="10"/>
        <v>なし</v>
      </c>
      <c r="AM21" s="210"/>
      <c r="AN21" s="210"/>
      <c r="AO21" s="448">
        <f t="shared" si="11"/>
        <v>44103</v>
      </c>
      <c r="AP21" s="448">
        <f t="shared" si="12"/>
        <v>44103</v>
      </c>
    </row>
    <row r="22" spans="1:49" ht="34.5" customHeight="1">
      <c r="A22" s="210">
        <v>822</v>
      </c>
      <c r="B22" s="458" t="str">
        <f t="shared" si="13"/>
        <v>完済</v>
      </c>
      <c r="C22" s="210">
        <v>509</v>
      </c>
      <c r="D22" s="459" t="str">
        <f t="shared" si="0"/>
        <v>竹富信金</v>
      </c>
      <c r="E22" s="216" t="s">
        <v>1246</v>
      </c>
      <c r="F22" s="210">
        <v>402</v>
      </c>
      <c r="G22" s="459" t="str">
        <f t="shared" si="1"/>
        <v>コアプラス名古屋株式会社</v>
      </c>
      <c r="H22" s="210">
        <v>603</v>
      </c>
      <c r="I22" s="459" t="str">
        <f t="shared" si="2"/>
        <v>運転資金</v>
      </c>
      <c r="J22" s="210">
        <v>102</v>
      </c>
      <c r="K22" s="459" t="str">
        <f t="shared" si="3"/>
        <v>池袋ハウス</v>
      </c>
      <c r="L22" s="210">
        <v>611</v>
      </c>
      <c r="M22" s="459" t="str">
        <f t="shared" si="4"/>
        <v>無担保</v>
      </c>
      <c r="N22" s="212">
        <v>238000000</v>
      </c>
      <c r="O22" s="211">
        <v>42304</v>
      </c>
      <c r="P22" s="328">
        <v>1.675</v>
      </c>
      <c r="Q22" s="216" t="s">
        <v>1241</v>
      </c>
      <c r="R22" s="217">
        <v>30</v>
      </c>
      <c r="S22" s="217">
        <f t="shared" si="14"/>
        <v>30</v>
      </c>
      <c r="T22" s="210" t="s">
        <v>1251</v>
      </c>
      <c r="U22" s="225" t="s">
        <v>1249</v>
      </c>
      <c r="W22" s="213"/>
      <c r="X22" s="213"/>
      <c r="Y22" s="213"/>
      <c r="Z22" s="460">
        <f t="shared" si="5"/>
        <v>0</v>
      </c>
      <c r="AA22" s="461">
        <f t="shared" si="6"/>
        <v>0</v>
      </c>
      <c r="AB22" s="210"/>
      <c r="AC22" s="210"/>
      <c r="AD22" s="210"/>
      <c r="AE22" s="210"/>
      <c r="AF22" s="210" t="str">
        <f t="shared" si="7"/>
        <v>なし</v>
      </c>
      <c r="AG22" s="210"/>
      <c r="AH22" s="210" t="str">
        <f t="shared" si="8"/>
        <v>なし</v>
      </c>
      <c r="AI22" s="210"/>
      <c r="AJ22" s="210" t="str">
        <f t="shared" si="9"/>
        <v>なし</v>
      </c>
      <c r="AK22" s="210"/>
      <c r="AL22" s="210" t="str">
        <f t="shared" si="10"/>
        <v>なし</v>
      </c>
      <c r="AM22" s="210"/>
      <c r="AN22" s="210"/>
      <c r="AO22" s="448">
        <f t="shared" si="11"/>
        <v>42304</v>
      </c>
      <c r="AP22" s="448">
        <f t="shared" si="12"/>
        <v>42304</v>
      </c>
      <c r="AQ22" s="210"/>
      <c r="AR22" s="210"/>
      <c r="AS22" s="211"/>
      <c r="AT22" s="212"/>
      <c r="AU22" s="212"/>
      <c r="AV22" s="212"/>
      <c r="AW22" s="212"/>
    </row>
    <row r="23" spans="1:49" ht="34.5" customHeight="1">
      <c r="A23" s="210">
        <v>823</v>
      </c>
      <c r="B23" s="458" t="str">
        <f t="shared" si="13"/>
        <v>返済中</v>
      </c>
      <c r="C23" s="210">
        <v>506</v>
      </c>
      <c r="D23" s="459" t="str">
        <f t="shared" si="0"/>
        <v>恩納銀行</v>
      </c>
      <c r="E23" s="216" t="s">
        <v>1243</v>
      </c>
      <c r="F23" s="210">
        <v>406</v>
      </c>
      <c r="G23" s="459" t="str">
        <f t="shared" si="1"/>
        <v>コアプラス札幌株式会社</v>
      </c>
      <c r="H23" s="210">
        <v>602</v>
      </c>
      <c r="I23" s="459" t="str">
        <f t="shared" si="2"/>
        <v>修繕資金</v>
      </c>
      <c r="J23" s="210">
        <v>116</v>
      </c>
      <c r="K23" s="459" t="str">
        <f t="shared" si="3"/>
        <v>コアプラスレジデンス梅田</v>
      </c>
      <c r="L23" s="210">
        <v>116</v>
      </c>
      <c r="M23" s="459" t="str">
        <f t="shared" si="4"/>
        <v>コアプラスレジデンス梅田</v>
      </c>
      <c r="N23" s="212">
        <v>15000000</v>
      </c>
      <c r="O23" s="211">
        <v>42928</v>
      </c>
      <c r="P23" s="328">
        <v>0.97499999999999998</v>
      </c>
      <c r="Q23" s="216" t="s">
        <v>1241</v>
      </c>
      <c r="R23" s="217">
        <v>10</v>
      </c>
      <c r="S23" s="217">
        <f t="shared" si="14"/>
        <v>10</v>
      </c>
      <c r="T23" s="210" t="s">
        <v>1251</v>
      </c>
      <c r="U23" s="225">
        <v>44742</v>
      </c>
      <c r="V23" s="213">
        <v>125000</v>
      </c>
      <c r="W23" s="213">
        <v>6210</v>
      </c>
      <c r="X23" s="213">
        <v>131210</v>
      </c>
      <c r="Y23" s="213">
        <v>7500000</v>
      </c>
      <c r="Z23" s="460">
        <f t="shared" si="5"/>
        <v>0.5</v>
      </c>
      <c r="AA23" s="461">
        <f t="shared" ca="1" si="6"/>
        <v>4</v>
      </c>
      <c r="AB23" s="210"/>
      <c r="AC23" s="210"/>
      <c r="AD23" s="210"/>
      <c r="AE23" s="210">
        <v>671</v>
      </c>
      <c r="AF23" s="210" t="str">
        <f t="shared" si="7"/>
        <v>共同担保</v>
      </c>
      <c r="AG23" s="210">
        <v>106</v>
      </c>
      <c r="AH23" s="210" t="str">
        <f t="shared" si="8"/>
        <v>東池袋ハイツ</v>
      </c>
      <c r="AI23" s="210"/>
      <c r="AJ23" s="210" t="str">
        <f t="shared" si="9"/>
        <v>なし</v>
      </c>
      <c r="AK23" s="210"/>
      <c r="AL23" s="210" t="str">
        <f t="shared" si="10"/>
        <v>なし</v>
      </c>
      <c r="AM23" s="210"/>
      <c r="AN23" s="210"/>
      <c r="AO23" s="448">
        <f t="shared" si="11"/>
        <v>42928</v>
      </c>
      <c r="AP23" s="448">
        <f t="shared" si="12"/>
        <v>42928</v>
      </c>
      <c r="AQ23" s="210"/>
      <c r="AR23" s="210"/>
      <c r="AS23" s="211"/>
      <c r="AT23" s="212"/>
      <c r="AU23" s="212"/>
      <c r="AV23" s="212"/>
      <c r="AW23" s="212"/>
    </row>
    <row r="24" spans="1:49" ht="34.5" customHeight="1">
      <c r="A24" s="210">
        <v>824</v>
      </c>
      <c r="B24" s="458" t="str">
        <f t="shared" si="13"/>
        <v>返済中</v>
      </c>
      <c r="C24" s="210">
        <v>511</v>
      </c>
      <c r="D24" s="459" t="str">
        <f t="shared" si="0"/>
        <v>宮古信組</v>
      </c>
      <c r="E24" s="216" t="s">
        <v>1240</v>
      </c>
      <c r="F24" s="210">
        <v>405</v>
      </c>
      <c r="G24" s="459" t="str">
        <f t="shared" si="1"/>
        <v>コアプラス仙台株式会社</v>
      </c>
      <c r="H24" s="210">
        <v>602</v>
      </c>
      <c r="I24" s="459" t="str">
        <f t="shared" si="2"/>
        <v>修繕資金</v>
      </c>
      <c r="J24" s="210">
        <v>105</v>
      </c>
      <c r="K24" s="459" t="str">
        <f t="shared" si="3"/>
        <v>目白アパート</v>
      </c>
      <c r="L24" s="210">
        <v>105</v>
      </c>
      <c r="M24" s="459" t="str">
        <f t="shared" si="4"/>
        <v>目白アパート</v>
      </c>
      <c r="N24" s="212">
        <v>17900000</v>
      </c>
      <c r="O24" s="211">
        <v>43644</v>
      </c>
      <c r="P24" s="328">
        <v>0.97499999999999998</v>
      </c>
      <c r="Q24" s="216" t="s">
        <v>1241</v>
      </c>
      <c r="R24" s="217">
        <v>10</v>
      </c>
      <c r="S24" s="217">
        <f t="shared" si="14"/>
        <v>10</v>
      </c>
      <c r="T24" s="210" t="s">
        <v>1242</v>
      </c>
      <c r="U24" s="225">
        <v>44742</v>
      </c>
      <c r="V24" s="213">
        <v>150000</v>
      </c>
      <c r="W24" s="213">
        <v>10351</v>
      </c>
      <c r="X24" s="213">
        <v>160351</v>
      </c>
      <c r="Y24" s="213">
        <v>12500000</v>
      </c>
      <c r="Z24" s="460">
        <f t="shared" si="5"/>
        <v>0.6983240223463687</v>
      </c>
      <c r="AA24" s="461">
        <f t="shared" ca="1" si="6"/>
        <v>6</v>
      </c>
      <c r="AB24" s="210"/>
      <c r="AC24" s="210"/>
      <c r="AD24" s="210"/>
      <c r="AE24" s="210">
        <v>673</v>
      </c>
      <c r="AF24" s="210" t="str">
        <f t="shared" si="7"/>
        <v>第二抵当</v>
      </c>
      <c r="AG24" s="210">
        <v>107</v>
      </c>
      <c r="AH24" s="210" t="str">
        <f t="shared" si="8"/>
        <v>メゾン雑司ヶ谷</v>
      </c>
      <c r="AI24" s="210"/>
      <c r="AJ24" s="210" t="str">
        <f t="shared" si="9"/>
        <v>なし</v>
      </c>
      <c r="AK24" s="210"/>
      <c r="AL24" s="210" t="str">
        <f t="shared" si="10"/>
        <v>なし</v>
      </c>
      <c r="AM24" s="210"/>
      <c r="AN24" s="210"/>
      <c r="AO24" s="448">
        <f t="shared" si="11"/>
        <v>43644</v>
      </c>
      <c r="AP24" s="448">
        <f t="shared" si="12"/>
        <v>43644</v>
      </c>
      <c r="AQ24" s="210"/>
      <c r="AR24" s="210"/>
      <c r="AS24" s="211"/>
      <c r="AT24" s="212"/>
      <c r="AU24" s="212"/>
      <c r="AV24" s="212"/>
      <c r="AW24" s="212"/>
    </row>
    <row r="25" spans="1:49" ht="34.5" customHeight="1">
      <c r="A25" s="210">
        <v>825</v>
      </c>
      <c r="B25" s="458" t="str">
        <f t="shared" si="13"/>
        <v>返済中</v>
      </c>
      <c r="C25" s="210">
        <v>512</v>
      </c>
      <c r="D25" s="459" t="str">
        <f t="shared" si="0"/>
        <v>座間味信金</v>
      </c>
      <c r="E25" s="216" t="s">
        <v>1243</v>
      </c>
      <c r="F25" s="210">
        <v>301</v>
      </c>
      <c r="G25" s="459" t="str">
        <f t="shared" si="1"/>
        <v>玉川陽介</v>
      </c>
      <c r="H25" s="210">
        <v>605</v>
      </c>
      <c r="I25" s="459" t="str">
        <f t="shared" si="2"/>
        <v>住宅ローン</v>
      </c>
      <c r="J25" s="210">
        <v>222</v>
      </c>
      <c r="K25" s="459" t="str">
        <f t="shared" si="3"/>
        <v>プラウD目白301号</v>
      </c>
      <c r="L25" s="210">
        <v>222</v>
      </c>
      <c r="M25" s="459" t="str">
        <f t="shared" si="4"/>
        <v>プラウD目白301号</v>
      </c>
      <c r="N25" s="212">
        <v>94000000</v>
      </c>
      <c r="O25" s="211">
        <v>44266</v>
      </c>
      <c r="P25" s="328">
        <v>2.8</v>
      </c>
      <c r="Q25" s="216" t="s">
        <v>1241</v>
      </c>
      <c r="R25" s="217">
        <v>30</v>
      </c>
      <c r="S25" s="217">
        <f t="shared" si="14"/>
        <v>30</v>
      </c>
      <c r="T25" s="210" t="s">
        <v>1242</v>
      </c>
      <c r="U25" s="225">
        <v>44718</v>
      </c>
      <c r="V25" s="213">
        <v>169657</v>
      </c>
      <c r="W25" s="213">
        <v>221433</v>
      </c>
      <c r="X25" s="213">
        <v>391090</v>
      </c>
      <c r="Y25" s="213">
        <v>91457870</v>
      </c>
      <c r="Z25" s="460">
        <f t="shared" si="5"/>
        <v>0.97295606382978728</v>
      </c>
      <c r="AA25" s="461">
        <f t="shared" ca="1" si="6"/>
        <v>28</v>
      </c>
      <c r="AB25" s="210"/>
      <c r="AC25" s="210"/>
      <c r="AD25" s="210"/>
      <c r="AE25" s="210">
        <v>673</v>
      </c>
      <c r="AF25" s="210" t="str">
        <f t="shared" si="7"/>
        <v>第二抵当</v>
      </c>
      <c r="AG25" s="210">
        <v>109</v>
      </c>
      <c r="AH25" s="210" t="str">
        <f t="shared" si="8"/>
        <v>カーサ南池袋</v>
      </c>
      <c r="AI25" s="210">
        <v>671</v>
      </c>
      <c r="AJ25" s="210" t="str">
        <f t="shared" si="9"/>
        <v>共同担保</v>
      </c>
      <c r="AK25" s="210">
        <v>111</v>
      </c>
      <c r="AL25" s="210" t="str">
        <f t="shared" si="10"/>
        <v>目白カーサ二番館</v>
      </c>
      <c r="AM25" s="210"/>
      <c r="AN25" s="210"/>
      <c r="AO25" s="448">
        <f t="shared" si="11"/>
        <v>44266</v>
      </c>
      <c r="AP25" s="448">
        <f t="shared" si="12"/>
        <v>44266</v>
      </c>
      <c r="AQ25" s="210"/>
      <c r="AR25" s="210"/>
      <c r="AS25" s="211"/>
      <c r="AT25" s="212"/>
      <c r="AU25" s="212"/>
      <c r="AV25" s="212"/>
      <c r="AW25" s="212"/>
    </row>
    <row r="26" spans="1:49" ht="34.5" customHeight="1">
      <c r="A26" s="210">
        <v>826</v>
      </c>
      <c r="B26" s="458" t="str">
        <f t="shared" si="13"/>
        <v>返済中</v>
      </c>
      <c r="C26" s="210">
        <v>501</v>
      </c>
      <c r="D26" s="459" t="str">
        <f t="shared" si="0"/>
        <v>石垣銀行</v>
      </c>
      <c r="E26" s="216" t="s">
        <v>1244</v>
      </c>
      <c r="F26" s="210">
        <v>401</v>
      </c>
      <c r="G26" s="459" t="str">
        <f t="shared" si="1"/>
        <v>コアプラス東京株式会社</v>
      </c>
      <c r="H26" s="210">
        <v>602</v>
      </c>
      <c r="I26" s="459" t="str">
        <f t="shared" si="2"/>
        <v>修繕資金</v>
      </c>
      <c r="J26" s="210">
        <v>222</v>
      </c>
      <c r="K26" s="459" t="str">
        <f t="shared" si="3"/>
        <v>プラウD目白301号</v>
      </c>
      <c r="L26" s="210">
        <v>222</v>
      </c>
      <c r="M26" s="459" t="str">
        <f t="shared" si="4"/>
        <v>プラウD目白301号</v>
      </c>
      <c r="N26" s="212">
        <v>20556000</v>
      </c>
      <c r="O26" s="211">
        <v>44377</v>
      </c>
      <c r="P26" s="328">
        <v>2.9636</v>
      </c>
      <c r="Q26" s="216" t="s">
        <v>1241</v>
      </c>
      <c r="R26" s="217">
        <v>5</v>
      </c>
      <c r="S26" s="217">
        <f t="shared" si="14"/>
        <v>5</v>
      </c>
      <c r="T26" s="210" t="s">
        <v>1251</v>
      </c>
      <c r="U26" s="225">
        <v>44739</v>
      </c>
      <c r="V26" s="213">
        <v>326683</v>
      </c>
      <c r="W26" s="213">
        <v>42817</v>
      </c>
      <c r="X26" s="213">
        <v>369500</v>
      </c>
      <c r="Y26" s="213">
        <v>16705681</v>
      </c>
      <c r="Z26" s="460">
        <f t="shared" si="5"/>
        <v>0.81269123370305507</v>
      </c>
      <c r="AA26" s="461">
        <f t="shared" ca="1" si="6"/>
        <v>3</v>
      </c>
      <c r="AB26" s="210"/>
      <c r="AC26" s="210"/>
      <c r="AD26" s="210"/>
      <c r="AE26" s="210">
        <v>671</v>
      </c>
      <c r="AF26" s="210" t="str">
        <f t="shared" si="7"/>
        <v>共同担保</v>
      </c>
      <c r="AG26" s="210">
        <v>109</v>
      </c>
      <c r="AH26" s="210" t="str">
        <f t="shared" si="8"/>
        <v>カーサ南池袋</v>
      </c>
      <c r="AI26" s="210"/>
      <c r="AJ26" s="210" t="str">
        <f t="shared" si="9"/>
        <v>なし</v>
      </c>
      <c r="AK26" s="210"/>
      <c r="AL26" s="210" t="str">
        <f t="shared" si="10"/>
        <v>なし</v>
      </c>
      <c r="AM26" s="210"/>
      <c r="AN26" s="210"/>
      <c r="AO26" s="448">
        <f t="shared" si="11"/>
        <v>44377</v>
      </c>
      <c r="AP26" s="448">
        <f t="shared" si="12"/>
        <v>44377</v>
      </c>
      <c r="AQ26" s="210"/>
      <c r="AR26" s="210"/>
      <c r="AS26" s="211"/>
      <c r="AT26" s="212"/>
      <c r="AU26" s="212"/>
      <c r="AV26" s="212"/>
      <c r="AW26" s="212"/>
    </row>
    <row r="27" spans="1:49" ht="34.5" customHeight="1">
      <c r="A27" s="210">
        <v>827</v>
      </c>
      <c r="B27" s="458" t="str">
        <f t="shared" si="13"/>
        <v>返済中</v>
      </c>
      <c r="C27" s="210">
        <v>502</v>
      </c>
      <c r="D27" s="459" t="str">
        <f t="shared" si="0"/>
        <v>首里信金</v>
      </c>
      <c r="E27" s="216" t="s">
        <v>1245</v>
      </c>
      <c r="F27" s="210">
        <v>401</v>
      </c>
      <c r="G27" s="459" t="str">
        <f t="shared" si="1"/>
        <v>コアプラス東京株式会社</v>
      </c>
      <c r="H27" s="210">
        <v>603</v>
      </c>
      <c r="I27" s="459" t="str">
        <f t="shared" si="2"/>
        <v>運転資金</v>
      </c>
      <c r="J27" s="210">
        <v>621</v>
      </c>
      <c r="K27" s="459" t="str">
        <f t="shared" si="3"/>
        <v>対象物件なし(運転資金)</v>
      </c>
      <c r="L27" s="210">
        <v>611</v>
      </c>
      <c r="M27" s="459" t="str">
        <f t="shared" si="4"/>
        <v>無担保</v>
      </c>
      <c r="N27" s="212">
        <v>11000000</v>
      </c>
      <c r="O27" s="211">
        <v>44469</v>
      </c>
      <c r="P27" s="328">
        <v>1.875</v>
      </c>
      <c r="Q27" s="216" t="s">
        <v>1241</v>
      </c>
      <c r="R27" s="217">
        <v>10</v>
      </c>
      <c r="S27" s="217">
        <f t="shared" si="14"/>
        <v>10</v>
      </c>
      <c r="T27" s="210" t="s">
        <v>1251</v>
      </c>
      <c r="U27" s="225">
        <v>44742</v>
      </c>
      <c r="V27" s="213">
        <v>84461</v>
      </c>
      <c r="W27" s="213">
        <v>16139</v>
      </c>
      <c r="X27" s="213">
        <v>100600</v>
      </c>
      <c r="Y27" s="213">
        <v>10244573</v>
      </c>
      <c r="Z27" s="460">
        <f t="shared" si="5"/>
        <v>0.93132481818181823</v>
      </c>
      <c r="AA27" s="461">
        <f t="shared" ca="1" si="6"/>
        <v>8</v>
      </c>
      <c r="AB27" s="210" t="s">
        <v>1252</v>
      </c>
      <c r="AC27" s="210" t="s">
        <v>1253</v>
      </c>
      <c r="AD27" s="210"/>
      <c r="AE27" s="210"/>
      <c r="AF27" s="210" t="str">
        <f t="shared" si="7"/>
        <v>なし</v>
      </c>
      <c r="AG27" s="210"/>
      <c r="AH27" s="210" t="str">
        <f t="shared" si="8"/>
        <v>なし</v>
      </c>
      <c r="AI27" s="210"/>
      <c r="AJ27" s="210" t="str">
        <f t="shared" si="9"/>
        <v>なし</v>
      </c>
      <c r="AK27" s="210"/>
      <c r="AL27" s="210" t="str">
        <f t="shared" si="10"/>
        <v>なし</v>
      </c>
      <c r="AM27" s="210"/>
      <c r="AN27" s="210"/>
      <c r="AO27" s="448">
        <f t="shared" si="11"/>
        <v>44469</v>
      </c>
      <c r="AP27" s="448">
        <f t="shared" si="12"/>
        <v>44469</v>
      </c>
      <c r="AQ27" s="210"/>
      <c r="AR27" s="210"/>
      <c r="AS27" s="211"/>
      <c r="AT27" s="212"/>
      <c r="AU27" s="212"/>
      <c r="AV27" s="212"/>
      <c r="AW27" s="212"/>
    </row>
    <row r="28" spans="1:49" ht="34.5" customHeight="1">
      <c r="A28" s="210">
        <v>828</v>
      </c>
      <c r="B28" s="458" t="str">
        <f t="shared" si="13"/>
        <v>返済中</v>
      </c>
      <c r="C28" s="210">
        <v>502</v>
      </c>
      <c r="D28" s="459" t="str">
        <f t="shared" si="0"/>
        <v>首里信金</v>
      </c>
      <c r="E28" s="216" t="s">
        <v>1246</v>
      </c>
      <c r="F28" s="210">
        <v>301</v>
      </c>
      <c r="G28" s="459" t="str">
        <f t="shared" si="1"/>
        <v>玉川陽介</v>
      </c>
      <c r="H28" s="210">
        <v>604</v>
      </c>
      <c r="I28" s="459" t="str">
        <f t="shared" si="2"/>
        <v>他業借入</v>
      </c>
      <c r="J28" s="210">
        <v>621</v>
      </c>
      <c r="K28" s="459" t="str">
        <f t="shared" si="3"/>
        <v>対象物件なし(運転資金)</v>
      </c>
      <c r="L28" s="210">
        <v>611</v>
      </c>
      <c r="M28" s="459" t="str">
        <f t="shared" si="4"/>
        <v>無担保</v>
      </c>
      <c r="N28" s="212">
        <v>11000000</v>
      </c>
      <c r="O28" s="211">
        <v>44469</v>
      </c>
      <c r="P28" s="328">
        <v>1.875</v>
      </c>
      <c r="Q28" s="216" t="s">
        <v>1241</v>
      </c>
      <c r="R28" s="217">
        <v>10</v>
      </c>
      <c r="S28" s="217">
        <f t="shared" si="14"/>
        <v>10</v>
      </c>
      <c r="T28" s="210" t="s">
        <v>1251</v>
      </c>
      <c r="U28" s="225">
        <v>44742</v>
      </c>
      <c r="V28" s="213">
        <v>84461</v>
      </c>
      <c r="W28" s="213">
        <v>16139</v>
      </c>
      <c r="X28" s="213">
        <v>100600</v>
      </c>
      <c r="Y28" s="213">
        <v>10244573</v>
      </c>
      <c r="Z28" s="460">
        <f t="shared" si="5"/>
        <v>0.93132481818181823</v>
      </c>
      <c r="AA28" s="461">
        <f t="shared" ca="1" si="6"/>
        <v>8</v>
      </c>
      <c r="AB28" s="210"/>
      <c r="AC28" s="210" t="s">
        <v>1254</v>
      </c>
      <c r="AD28" s="210"/>
      <c r="AE28" s="210"/>
      <c r="AF28" s="210" t="str">
        <f t="shared" si="7"/>
        <v>なし</v>
      </c>
      <c r="AG28" s="210"/>
      <c r="AH28" s="210" t="str">
        <f t="shared" si="8"/>
        <v>なし</v>
      </c>
      <c r="AI28" s="210"/>
      <c r="AJ28" s="210" t="str">
        <f t="shared" si="9"/>
        <v>なし</v>
      </c>
      <c r="AK28" s="210"/>
      <c r="AL28" s="210" t="str">
        <f t="shared" si="10"/>
        <v>なし</v>
      </c>
      <c r="AM28" s="210"/>
      <c r="AN28" s="210"/>
      <c r="AO28" s="448">
        <f t="shared" si="11"/>
        <v>44469</v>
      </c>
      <c r="AP28" s="448">
        <f t="shared" si="12"/>
        <v>44469</v>
      </c>
      <c r="AQ28" s="210"/>
      <c r="AR28" s="210"/>
      <c r="AS28" s="211"/>
      <c r="AT28" s="212"/>
      <c r="AU28" s="212"/>
      <c r="AV28" s="212"/>
      <c r="AW28" s="212"/>
    </row>
    <row r="29" spans="1:49" ht="34.5" customHeight="1">
      <c r="A29" s="210">
        <v>829</v>
      </c>
      <c r="B29" s="458" t="str">
        <f t="shared" si="13"/>
        <v>返済中</v>
      </c>
      <c r="C29" s="210">
        <v>502</v>
      </c>
      <c r="D29" s="459" t="str">
        <f t="shared" si="0"/>
        <v>首里信金</v>
      </c>
      <c r="E29" s="216" t="s">
        <v>1248</v>
      </c>
      <c r="F29" s="210">
        <v>401</v>
      </c>
      <c r="G29" s="459" t="str">
        <f t="shared" si="1"/>
        <v>コアプラス東京株式会社</v>
      </c>
      <c r="H29" s="210">
        <v>602</v>
      </c>
      <c r="I29" s="459" t="str">
        <f t="shared" si="2"/>
        <v>修繕資金</v>
      </c>
      <c r="J29" s="210">
        <v>121</v>
      </c>
      <c r="K29" s="459" t="str">
        <f t="shared" si="3"/>
        <v>目白アパート1号館</v>
      </c>
      <c r="L29" s="210">
        <v>611</v>
      </c>
      <c r="M29" s="459" t="str">
        <f t="shared" si="4"/>
        <v>無担保</v>
      </c>
      <c r="N29" s="212">
        <v>10000000</v>
      </c>
      <c r="O29" s="211">
        <v>44469</v>
      </c>
      <c r="P29" s="328">
        <v>1.85</v>
      </c>
      <c r="Q29" s="216" t="s">
        <v>1241</v>
      </c>
      <c r="R29" s="217">
        <v>15</v>
      </c>
      <c r="S29" s="217">
        <f t="shared" si="14"/>
        <v>15</v>
      </c>
      <c r="T29" s="210" t="s">
        <v>1251</v>
      </c>
      <c r="U29" s="225">
        <v>44742</v>
      </c>
      <c r="V29" s="213">
        <v>49298</v>
      </c>
      <c r="W29" s="213">
        <v>14364</v>
      </c>
      <c r="X29" s="213">
        <v>63662</v>
      </c>
      <c r="Y29" s="213">
        <v>9268450</v>
      </c>
      <c r="Z29" s="460">
        <f t="shared" si="5"/>
        <v>0.92684500000000003</v>
      </c>
      <c r="AA29" s="461">
        <f t="shared" ca="1" si="6"/>
        <v>13</v>
      </c>
      <c r="AB29" s="210"/>
      <c r="AC29" s="23" t="s">
        <v>1255</v>
      </c>
      <c r="AE29" s="210"/>
      <c r="AF29" s="210" t="str">
        <f t="shared" si="7"/>
        <v>なし</v>
      </c>
      <c r="AG29" s="210"/>
      <c r="AH29" s="210" t="str">
        <f t="shared" si="8"/>
        <v>なし</v>
      </c>
      <c r="AI29" s="210"/>
      <c r="AJ29" s="210" t="str">
        <f t="shared" si="9"/>
        <v>なし</v>
      </c>
      <c r="AK29" s="210"/>
      <c r="AL29" s="210" t="str">
        <f t="shared" si="10"/>
        <v>なし</v>
      </c>
      <c r="AM29" s="210"/>
      <c r="AN29" s="210"/>
      <c r="AO29" s="448">
        <f t="shared" si="11"/>
        <v>44469</v>
      </c>
      <c r="AP29" s="448">
        <f t="shared" si="12"/>
        <v>44469</v>
      </c>
      <c r="AQ29" s="210"/>
      <c r="AR29" s="210"/>
      <c r="AS29" s="211"/>
      <c r="AT29" s="212"/>
      <c r="AU29" s="212"/>
      <c r="AV29" s="212"/>
      <c r="AW29" s="212"/>
    </row>
    <row r="30" spans="1:49" ht="34.5" customHeight="1">
      <c r="A30" s="210">
        <v>830</v>
      </c>
      <c r="B30" s="458" t="str">
        <f t="shared" si="13"/>
        <v>返済中</v>
      </c>
      <c r="C30" s="210">
        <v>302</v>
      </c>
      <c r="D30" s="459" t="str">
        <f t="shared" si="0"/>
        <v>玉川花子</v>
      </c>
      <c r="E30" s="216" t="s">
        <v>846</v>
      </c>
      <c r="F30" s="210">
        <v>401</v>
      </c>
      <c r="G30" s="459" t="str">
        <f t="shared" si="1"/>
        <v>コアプラス東京株式会社</v>
      </c>
      <c r="H30" s="210">
        <v>606</v>
      </c>
      <c r="I30" s="459" t="str">
        <f t="shared" si="2"/>
        <v>親族借入</v>
      </c>
      <c r="J30" s="210">
        <v>621</v>
      </c>
      <c r="K30" s="459" t="str">
        <f t="shared" si="3"/>
        <v>対象物件なし(運転資金)</v>
      </c>
      <c r="L30" s="210">
        <v>611</v>
      </c>
      <c r="M30" s="459" t="str">
        <f t="shared" si="4"/>
        <v>無担保</v>
      </c>
      <c r="N30" s="64">
        <v>2000000</v>
      </c>
      <c r="O30" s="211">
        <v>44469</v>
      </c>
      <c r="P30" s="328">
        <v>0</v>
      </c>
      <c r="Q30" s="218" t="s">
        <v>980</v>
      </c>
      <c r="R30" s="217">
        <v>10</v>
      </c>
      <c r="S30" s="217">
        <f t="shared" si="14"/>
        <v>10</v>
      </c>
      <c r="T30" s="23" t="s">
        <v>1256</v>
      </c>
      <c r="U30" s="225">
        <v>44742</v>
      </c>
      <c r="V30" s="78">
        <v>0</v>
      </c>
      <c r="W30" s="78">
        <v>0</v>
      </c>
      <c r="X30" s="78">
        <v>0</v>
      </c>
      <c r="Y30" s="78">
        <v>2000000</v>
      </c>
      <c r="Z30" s="460">
        <f t="shared" si="5"/>
        <v>1</v>
      </c>
      <c r="AA30" s="461">
        <f t="shared" ca="1" si="6"/>
        <v>8</v>
      </c>
      <c r="AE30" s="210"/>
      <c r="AF30" s="210" t="str">
        <f t="shared" si="7"/>
        <v>なし</v>
      </c>
      <c r="AG30" s="210"/>
      <c r="AH30" s="210" t="str">
        <f t="shared" si="8"/>
        <v>なし</v>
      </c>
      <c r="AI30" s="210"/>
      <c r="AJ30" s="210" t="str">
        <f t="shared" si="9"/>
        <v>なし</v>
      </c>
      <c r="AK30" s="210"/>
      <c r="AL30" s="210" t="str">
        <f t="shared" si="10"/>
        <v>なし</v>
      </c>
      <c r="AM30" s="210"/>
      <c r="AN30" s="210"/>
      <c r="AO30" s="448">
        <v>48121</v>
      </c>
      <c r="AP30" s="448">
        <v>48121</v>
      </c>
    </row>
    <row r="31" spans="1:49" ht="34.5" customHeight="1">
      <c r="A31" s="210">
        <v>831</v>
      </c>
      <c r="B31" s="458" t="str">
        <f t="shared" si="13"/>
        <v>完済</v>
      </c>
      <c r="C31" s="210">
        <v>501</v>
      </c>
      <c r="D31" s="459" t="str">
        <f t="shared" si="0"/>
        <v>石垣銀行</v>
      </c>
      <c r="E31" s="216" t="s">
        <v>1243</v>
      </c>
      <c r="F31" s="210">
        <v>401</v>
      </c>
      <c r="G31" s="459" t="str">
        <f t="shared" si="1"/>
        <v>コアプラス東京株式会社</v>
      </c>
      <c r="H31" s="210">
        <v>607</v>
      </c>
      <c r="I31" s="459" t="str">
        <f t="shared" si="2"/>
        <v>その他(間接部門)</v>
      </c>
      <c r="J31" s="210">
        <v>621</v>
      </c>
      <c r="K31" s="459" t="str">
        <f t="shared" si="3"/>
        <v>対象物件なし(運転資金)</v>
      </c>
      <c r="L31" s="210">
        <v>611</v>
      </c>
      <c r="M31" s="459" t="str">
        <f t="shared" si="4"/>
        <v>無担保</v>
      </c>
      <c r="N31" s="212">
        <v>11000000</v>
      </c>
      <c r="O31" s="211">
        <v>42978</v>
      </c>
      <c r="P31" s="328">
        <v>1.675</v>
      </c>
      <c r="Q31" s="216" t="s">
        <v>1241</v>
      </c>
      <c r="R31" s="217">
        <v>10</v>
      </c>
      <c r="S31" s="217">
        <f t="shared" si="14"/>
        <v>10</v>
      </c>
      <c r="T31" s="210" t="s">
        <v>1251</v>
      </c>
      <c r="U31" s="225" t="s">
        <v>1249</v>
      </c>
      <c r="V31" s="213"/>
      <c r="W31" s="213"/>
      <c r="X31" s="213"/>
      <c r="Y31" s="213"/>
      <c r="Z31" s="460">
        <f t="shared" si="5"/>
        <v>0</v>
      </c>
      <c r="AA31" s="461">
        <f t="shared" si="6"/>
        <v>0</v>
      </c>
      <c r="AB31" s="210"/>
      <c r="AC31" s="210"/>
      <c r="AD31" s="210"/>
      <c r="AE31" s="210"/>
      <c r="AF31" s="210" t="str">
        <f t="shared" si="7"/>
        <v>なし</v>
      </c>
      <c r="AG31" s="210"/>
      <c r="AH31" s="210" t="str">
        <f t="shared" si="8"/>
        <v>なし</v>
      </c>
      <c r="AI31" s="210"/>
      <c r="AJ31" s="210" t="str">
        <f t="shared" si="9"/>
        <v>なし</v>
      </c>
      <c r="AK31" s="210"/>
      <c r="AL31" s="210" t="str">
        <f t="shared" si="10"/>
        <v>なし</v>
      </c>
      <c r="AM31" s="210"/>
      <c r="AN31" s="210"/>
      <c r="AO31" s="448">
        <f>O31</f>
        <v>42978</v>
      </c>
      <c r="AP31" s="448">
        <f>AO31</f>
        <v>42978</v>
      </c>
      <c r="AQ31" s="210"/>
      <c r="AR31" s="210"/>
      <c r="AS31" s="211"/>
      <c r="AT31" s="212"/>
      <c r="AU31" s="212"/>
      <c r="AV31" s="212"/>
      <c r="AW31" s="212"/>
    </row>
    <row r="32" spans="1:49" ht="34.5" customHeight="1">
      <c r="A32" s="210">
        <v>832</v>
      </c>
      <c r="B32" s="458" t="str">
        <f t="shared" si="13"/>
        <v>完済</v>
      </c>
      <c r="C32" s="210">
        <v>501</v>
      </c>
      <c r="D32" s="459" t="str">
        <f t="shared" si="0"/>
        <v>石垣銀行</v>
      </c>
      <c r="E32" s="216" t="s">
        <v>1248</v>
      </c>
      <c r="F32" s="210">
        <v>401</v>
      </c>
      <c r="G32" s="459" t="str">
        <f t="shared" si="1"/>
        <v>コアプラス東京株式会社</v>
      </c>
      <c r="H32" s="210">
        <v>608</v>
      </c>
      <c r="I32" s="459" t="str">
        <f t="shared" si="2"/>
        <v>その他(賃貸部門)</v>
      </c>
      <c r="J32" s="210">
        <v>621</v>
      </c>
      <c r="K32" s="459" t="str">
        <f t="shared" si="3"/>
        <v>対象物件なし(運転資金)</v>
      </c>
      <c r="L32" s="210">
        <v>611</v>
      </c>
      <c r="M32" s="459" t="str">
        <f t="shared" si="4"/>
        <v>無担保</v>
      </c>
      <c r="N32" s="212">
        <v>11000000</v>
      </c>
      <c r="O32" s="211">
        <v>42978</v>
      </c>
      <c r="P32" s="328">
        <v>1.675</v>
      </c>
      <c r="Q32" s="216" t="s">
        <v>1241</v>
      </c>
      <c r="R32" s="217">
        <v>10</v>
      </c>
      <c r="S32" s="217">
        <f t="shared" si="14"/>
        <v>10</v>
      </c>
      <c r="T32" s="210" t="s">
        <v>1251</v>
      </c>
      <c r="U32" s="225" t="s">
        <v>1249</v>
      </c>
      <c r="V32" s="213"/>
      <c r="W32" s="213"/>
      <c r="X32" s="213"/>
      <c r="Y32" s="213"/>
      <c r="Z32" s="460">
        <f t="shared" si="5"/>
        <v>0</v>
      </c>
      <c r="AA32" s="461">
        <f t="shared" si="6"/>
        <v>0</v>
      </c>
      <c r="AB32" s="210"/>
      <c r="AC32" s="210"/>
      <c r="AD32" s="210"/>
      <c r="AE32" s="210"/>
      <c r="AF32" s="210" t="str">
        <f t="shared" si="7"/>
        <v>なし</v>
      </c>
      <c r="AG32" s="210"/>
      <c r="AH32" s="210" t="str">
        <f t="shared" si="8"/>
        <v>なし</v>
      </c>
      <c r="AI32" s="210"/>
      <c r="AJ32" s="210" t="str">
        <f t="shared" si="9"/>
        <v>なし</v>
      </c>
      <c r="AK32" s="210"/>
      <c r="AL32" s="210" t="str">
        <f t="shared" si="10"/>
        <v>なし</v>
      </c>
      <c r="AM32" s="210"/>
      <c r="AN32" s="210"/>
      <c r="AO32" s="448">
        <f>O32</f>
        <v>42978</v>
      </c>
      <c r="AP32" s="448">
        <f>AO32</f>
        <v>42978</v>
      </c>
      <c r="AQ32" s="210"/>
      <c r="AR32" s="210"/>
      <c r="AS32" s="211"/>
      <c r="AT32" s="212"/>
      <c r="AU32" s="212"/>
      <c r="AV32" s="212"/>
      <c r="AW32" s="212"/>
    </row>
    <row r="33" spans="1:49" ht="14.25">
      <c r="A33" s="210">
        <v>833</v>
      </c>
      <c r="B33" s="210" t="inlineStr">
        <is>
          <t>実行予定</t>
        </is>
      </c>
      <c r="C33" s="210">
        <v>513</v>
      </c>
      <c r="D33" s="216">
        <f>VLOOKUP(C33,id_settings,2,FALSE)</f>
      </c>
      <c r="E33" s="216" t="inlineStr">
        <is>
          <t>花巻支店</t>
        </is>
      </c>
      <c r="F33" s="210">
        <v>412</v>
      </c>
      <c r="G33" s="216">
        <f>VLOOKUP(F33,id_settings,2,FALSE)</f>
      </c>
      <c r="H33" s="210">
        <v>601</v>
      </c>
      <c r="I33" s="216">
        <f>VLOOKUP(H33,id_settings,2,FALSE)</f>
      </c>
      <c r="J33" s="210">
        <v>622</v>
      </c>
      <c r="K33" s="216">
        <f>VLOOKUP(J33,id_settings,2,FALSE)</f>
      </c>
      <c r="L33" s="210">
        <v>622</v>
      </c>
      <c r="M33" s="216">
        <f>VLOOKUP(L33,id_settings,2,FALSE)</f>
      </c>
      <c r="N33" s="212">
        <v>37000000</v>
      </c>
      <c r="O33" s="211" t="inlineStr">
        <is>
          <t>2026/8/14</t>
        </is>
      </c>
      <c r="P33" s="215" t="inlineStr">
        <is>
          <t>要確認</t>
        </is>
      </c>
      <c r="Q33" s="216" t="inlineStr">
        <is>
          <t>要確認</t>
        </is>
      </c>
      <c r="R33" s="217" t="inlineStr">
        <is>
          <t>要確認</t>
        </is>
      </c>
      <c r="S33" s="210" t="inlineStr">
        <is>
          <t>毎月</t>
        </is>
      </c>
      <c r="T33" s="210" t="inlineStr">
        <is>
          <t>元利均等</t>
        </is>
      </c>
      <c r="U33" s="225"/>
      <c r="V33" s="213"/>
      <c r="W33" s="213"/>
      <c r="X33" s="213"/>
      <c r="Y33" s="213"/>
      <c r="Z33" s="447">
        <f>IFERROR(Y33/N33,0)</f>
      </c>
      <c r="AA33" s="217"/>
      <c r="AB33" s="210" t="inlineStr">
        <is>
          <t>なし</t>
        </is>
      </c>
      <c r="AC33" s="210" t="inlineStr">
        <is>
          <t>根抵当権 極度額60,000,000円（土地10筆・売主複数）。金利/期間は西原様確認中。契約7/31・決済8/14</t>
        </is>
      </c>
      <c r="AD33" s="210"/>
      <c r="AE33" s="210"/>
      <c r="AF33" s="210">
        <f>IFERROR(VLOOKUP(AE33,id_settings,2,FALSE),"なし")</f>
      </c>
      <c r="AG33" s="210"/>
      <c r="AH33" s="210">
        <f>IFERROR(VLOOKUP(AG33,id_settings,2,FALSE),"なし")</f>
      </c>
      <c r="AI33" s="210"/>
      <c r="AJ33" s="210">
        <f>IFERROR(VLOOKUP(AI33,id_settings,2,FALSE),"なし")</f>
      </c>
      <c r="AK33" s="210"/>
      <c r="AL33" s="210">
        <f>IFERROR(VLOOKUP(AK33,id_settings,2,FALSE),"なし")</f>
      </c>
      <c r="AM33" s="210"/>
      <c r="AN33" s="210"/>
      <c r="AO33" s="448"/>
      <c r="AP33" s="448"/>
      <c r="AQ33" s="210"/>
      <c r="AR33" s="210"/>
      <c r="AS33" s="211"/>
      <c r="AT33" s="212"/>
      <c r="AU33" s="212"/>
      <c r="AV33" s="212"/>
      <c r="AW33" s="212"/>
    </row>
    <row r="34" spans="1:49" ht="14.25">
      <c r="A34" s="210"/>
      <c r="B34" s="210"/>
      <c r="C34" s="210"/>
      <c r="D34" s="216"/>
      <c r="E34" s="216"/>
      <c r="F34" s="210"/>
      <c r="G34" s="216"/>
      <c r="H34" s="210"/>
      <c r="I34" s="216"/>
      <c r="J34" s="210"/>
      <c r="K34" s="216"/>
      <c r="L34" s="210"/>
      <c r="M34" s="216"/>
      <c r="N34" s="212"/>
      <c r="O34" s="211"/>
      <c r="P34" s="215"/>
      <c r="Q34" s="216"/>
      <c r="R34" s="217"/>
      <c r="S34" s="210"/>
      <c r="T34" s="210"/>
      <c r="U34" s="225"/>
      <c r="V34" s="213"/>
      <c r="W34" s="213"/>
      <c r="X34" s="213"/>
      <c r="Y34" s="213"/>
      <c r="Z34" s="447"/>
      <c r="AA34" s="217"/>
      <c r="AB34" s="210"/>
      <c r="AC34" s="210"/>
      <c r="AD34" s="210"/>
      <c r="AE34" s="210"/>
      <c r="AF34" s="210"/>
      <c r="AG34" s="210"/>
      <c r="AH34" s="210"/>
      <c r="AI34" s="210"/>
      <c r="AJ34" s="210"/>
      <c r="AK34" s="210"/>
      <c r="AL34" s="210"/>
      <c r="AM34" s="210"/>
      <c r="AN34" s="210"/>
      <c r="AO34" s="448"/>
      <c r="AP34" s="448"/>
      <c r="AQ34" s="210"/>
      <c r="AR34" s="210"/>
      <c r="AS34" s="211"/>
      <c r="AT34" s="212"/>
      <c r="AU34" s="212"/>
      <c r="AV34" s="212"/>
      <c r="AW34" s="212"/>
    </row>
    <row r="35" spans="1:49" ht="14.25">
      <c r="A35" s="210"/>
      <c r="B35" s="210"/>
      <c r="C35" s="210"/>
      <c r="D35" s="216"/>
      <c r="E35" s="216"/>
      <c r="F35" s="210"/>
      <c r="G35" s="216"/>
      <c r="H35" s="210"/>
      <c r="I35" s="216"/>
      <c r="J35" s="210"/>
      <c r="K35" s="216"/>
      <c r="L35" s="210"/>
      <c r="M35" s="216"/>
      <c r="N35" s="212"/>
      <c r="O35" s="211"/>
      <c r="P35" s="215"/>
      <c r="Q35" s="216"/>
      <c r="R35" s="217"/>
      <c r="S35" s="210"/>
      <c r="T35" s="210"/>
      <c r="U35" s="225"/>
      <c r="V35" s="213"/>
      <c r="W35" s="213"/>
      <c r="X35" s="213"/>
      <c r="Y35" s="213"/>
      <c r="Z35" s="447"/>
      <c r="AA35" s="217"/>
      <c r="AB35" s="210"/>
      <c r="AC35" s="210"/>
      <c r="AD35" s="210"/>
      <c r="AE35" s="210"/>
      <c r="AF35" s="210"/>
      <c r="AG35" s="210"/>
      <c r="AH35" s="210"/>
      <c r="AI35" s="210"/>
      <c r="AJ35" s="210"/>
      <c r="AK35" s="210"/>
      <c r="AL35" s="210"/>
      <c r="AM35" s="210"/>
      <c r="AN35" s="210"/>
      <c r="AO35" s="448"/>
      <c r="AP35" s="448"/>
      <c r="AQ35" s="210"/>
      <c r="AR35" s="210"/>
      <c r="AS35" s="211"/>
      <c r="AT35" s="212"/>
      <c r="AU35" s="212"/>
      <c r="AV35" s="212"/>
      <c r="AW35" s="212"/>
    </row>
    <row r="36" spans="1:49" ht="14.25">
      <c r="A36" s="210"/>
      <c r="B36" s="210"/>
      <c r="C36" s="210"/>
      <c r="D36" s="216"/>
      <c r="E36" s="216"/>
      <c r="F36" s="210"/>
      <c r="G36" s="216"/>
      <c r="H36" s="210"/>
      <c r="I36" s="216"/>
      <c r="J36" s="210"/>
      <c r="K36" s="216"/>
      <c r="L36" s="210"/>
      <c r="M36" s="216"/>
      <c r="N36" s="212"/>
      <c r="O36" s="211"/>
      <c r="P36" s="215"/>
      <c r="Q36" s="216"/>
      <c r="R36" s="217"/>
      <c r="S36" s="210"/>
      <c r="T36" s="210"/>
      <c r="U36" s="225"/>
      <c r="V36" s="213"/>
      <c r="W36" s="213"/>
      <c r="X36" s="213"/>
      <c r="Y36" s="213"/>
      <c r="Z36" s="447"/>
      <c r="AA36" s="217"/>
      <c r="AB36" s="210"/>
      <c r="AC36" s="210"/>
      <c r="AD36" s="210"/>
      <c r="AE36" s="210"/>
      <c r="AF36" s="210"/>
      <c r="AG36" s="210"/>
      <c r="AH36" s="210"/>
      <c r="AI36" s="210"/>
      <c r="AJ36" s="210"/>
      <c r="AK36" s="210"/>
      <c r="AL36" s="210"/>
      <c r="AM36" s="210"/>
      <c r="AN36" s="210"/>
      <c r="AO36" s="448"/>
      <c r="AP36" s="448"/>
      <c r="AQ36" s="210"/>
      <c r="AR36" s="210"/>
      <c r="AS36" s="211"/>
      <c r="AT36" s="212"/>
      <c r="AU36" s="212"/>
      <c r="AV36" s="212"/>
      <c r="AW36" s="212"/>
    </row>
    <row r="37" spans="1:49" ht="14.25">
      <c r="A37" s="210"/>
      <c r="B37" s="210"/>
      <c r="C37" s="210"/>
      <c r="D37" s="216"/>
      <c r="E37" s="216"/>
      <c r="F37" s="210"/>
      <c r="G37" s="216"/>
      <c r="H37" s="210"/>
      <c r="I37" s="216"/>
      <c r="J37" s="210"/>
      <c r="K37" s="216"/>
      <c r="L37" s="210"/>
      <c r="M37" s="216"/>
      <c r="N37" s="212"/>
      <c r="O37" s="211"/>
      <c r="P37" s="215"/>
      <c r="Q37" s="216"/>
      <c r="R37" s="217"/>
      <c r="S37" s="210"/>
      <c r="T37" s="210"/>
      <c r="U37" s="225"/>
      <c r="V37" s="213"/>
      <c r="W37" s="213"/>
      <c r="X37" s="213"/>
      <c r="Y37" s="213"/>
      <c r="Z37" s="447"/>
      <c r="AA37" s="217"/>
      <c r="AB37" s="210"/>
      <c r="AC37" s="210"/>
      <c r="AD37" s="210"/>
      <c r="AE37" s="210"/>
      <c r="AF37" s="210"/>
      <c r="AG37" s="210"/>
      <c r="AH37" s="210"/>
      <c r="AI37" s="210"/>
      <c r="AJ37" s="210"/>
      <c r="AK37" s="210"/>
      <c r="AL37" s="210"/>
      <c r="AM37" s="210"/>
      <c r="AN37" s="210"/>
      <c r="AO37" s="448"/>
      <c r="AP37" s="448"/>
      <c r="AQ37" s="210"/>
      <c r="AR37" s="210"/>
      <c r="AS37" s="211"/>
      <c r="AT37" s="212"/>
      <c r="AU37" s="212"/>
      <c r="AV37" s="212"/>
      <c r="AW37" s="212"/>
    </row>
    <row r="38" spans="1:49" ht="14.25">
      <c r="A38" s="210"/>
      <c r="B38" s="210"/>
      <c r="C38" s="210"/>
      <c r="D38" s="216"/>
      <c r="E38" s="216"/>
      <c r="F38" s="210"/>
      <c r="G38" s="216"/>
      <c r="H38" s="210"/>
      <c r="I38" s="216"/>
      <c r="J38" s="210"/>
      <c r="K38" s="216"/>
      <c r="L38" s="210"/>
      <c r="M38" s="216"/>
      <c r="N38" s="212"/>
      <c r="O38" s="211"/>
      <c r="P38" s="215"/>
      <c r="Q38" s="216"/>
      <c r="R38" s="217"/>
      <c r="S38" s="210"/>
      <c r="T38" s="210"/>
      <c r="U38" s="225"/>
      <c r="V38" s="213"/>
      <c r="W38" s="213"/>
      <c r="X38" s="213"/>
      <c r="Y38" s="213"/>
      <c r="Z38" s="447"/>
      <c r="AA38" s="217"/>
      <c r="AB38" s="210"/>
      <c r="AC38" s="210"/>
      <c r="AD38" s="210"/>
      <c r="AE38" s="210"/>
      <c r="AF38" s="210"/>
      <c r="AG38" s="210"/>
      <c r="AH38" s="210"/>
      <c r="AI38" s="210"/>
      <c r="AJ38" s="210"/>
      <c r="AK38" s="210"/>
      <c r="AL38" s="210"/>
      <c r="AM38" s="210"/>
      <c r="AN38" s="210"/>
      <c r="AO38" s="448"/>
      <c r="AP38" s="448"/>
      <c r="AQ38" s="210"/>
      <c r="AR38" s="210"/>
      <c r="AS38" s="211"/>
      <c r="AT38" s="212"/>
      <c r="AU38" s="212"/>
      <c r="AV38" s="212"/>
      <c r="AW38" s="212"/>
    </row>
    <row r="39" spans="1:49" ht="14.25">
      <c r="A39" s="210"/>
      <c r="B39" s="210"/>
      <c r="C39" s="210"/>
      <c r="D39" s="216"/>
      <c r="E39" s="216"/>
      <c r="F39" s="210"/>
      <c r="G39" s="216"/>
      <c r="H39" s="210"/>
      <c r="I39" s="216"/>
      <c r="J39" s="210"/>
      <c r="K39" s="216"/>
      <c r="L39" s="210"/>
      <c r="M39" s="216"/>
      <c r="N39" s="212"/>
      <c r="O39" s="211"/>
      <c r="P39" s="215"/>
      <c r="Q39" s="216"/>
      <c r="R39" s="217"/>
      <c r="S39" s="210"/>
      <c r="T39" s="210"/>
      <c r="U39" s="225"/>
      <c r="V39" s="213"/>
      <c r="W39" s="213"/>
      <c r="X39" s="213"/>
      <c r="Y39" s="213"/>
      <c r="Z39" s="447"/>
      <c r="AA39" s="217"/>
      <c r="AB39" s="210"/>
      <c r="AC39" s="210"/>
      <c r="AD39" s="210"/>
      <c r="AE39" s="210"/>
      <c r="AF39" s="210"/>
      <c r="AG39" s="210"/>
      <c r="AH39" s="210"/>
      <c r="AI39" s="210"/>
      <c r="AJ39" s="210"/>
      <c r="AK39" s="210"/>
      <c r="AL39" s="210"/>
      <c r="AM39" s="210"/>
      <c r="AN39" s="210"/>
      <c r="AO39" s="448"/>
      <c r="AP39" s="448"/>
      <c r="AQ39" s="210"/>
      <c r="AR39" s="210"/>
      <c r="AS39" s="211"/>
      <c r="AT39" s="212"/>
      <c r="AU39" s="212"/>
      <c r="AV39" s="212"/>
      <c r="AW39" s="212"/>
    </row>
    <row r="40" spans="1:49" ht="14.25">
      <c r="A40" s="210"/>
      <c r="B40" s="210"/>
      <c r="C40" s="210"/>
      <c r="D40" s="216"/>
      <c r="E40" s="216"/>
      <c r="F40" s="210"/>
      <c r="G40" s="216"/>
      <c r="H40" s="210"/>
      <c r="I40" s="216"/>
      <c r="J40" s="210"/>
      <c r="K40" s="216"/>
      <c r="L40" s="210"/>
      <c r="M40" s="216"/>
      <c r="N40" s="212"/>
      <c r="O40" s="211"/>
      <c r="P40" s="215"/>
      <c r="Q40" s="216"/>
      <c r="R40" s="217"/>
      <c r="S40" s="210"/>
      <c r="T40" s="210"/>
      <c r="U40" s="225"/>
      <c r="V40" s="213"/>
      <c r="W40" s="213"/>
      <c r="X40" s="213"/>
      <c r="Y40" s="213"/>
      <c r="Z40" s="447"/>
      <c r="AA40" s="217"/>
      <c r="AB40" s="210"/>
      <c r="AC40" s="210"/>
      <c r="AD40" s="210"/>
      <c r="AE40" s="210"/>
      <c r="AF40" s="210"/>
      <c r="AG40" s="210"/>
      <c r="AH40" s="210"/>
      <c r="AI40" s="210"/>
      <c r="AJ40" s="210"/>
      <c r="AK40" s="210"/>
      <c r="AL40" s="210"/>
      <c r="AM40" s="210"/>
      <c r="AN40" s="210"/>
      <c r="AO40" s="448"/>
      <c r="AP40" s="448"/>
      <c r="AQ40" s="210"/>
      <c r="AR40" s="210"/>
      <c r="AS40" s="211"/>
      <c r="AT40" s="212"/>
      <c r="AU40" s="212"/>
      <c r="AV40" s="212"/>
      <c r="AW40" s="212"/>
    </row>
    <row r="41" spans="1:49" ht="14.25">
      <c r="A41" s="210"/>
      <c r="B41" s="210"/>
      <c r="C41" s="210"/>
      <c r="D41" s="216"/>
      <c r="E41" s="216"/>
      <c r="F41" s="210"/>
      <c r="G41" s="216"/>
      <c r="H41" s="210"/>
      <c r="I41" s="216"/>
      <c r="J41" s="210"/>
      <c r="K41" s="216"/>
      <c r="L41" s="210"/>
      <c r="M41" s="216"/>
      <c r="N41" s="212"/>
      <c r="O41" s="211"/>
      <c r="P41" s="215"/>
      <c r="Q41" s="216"/>
      <c r="R41" s="217"/>
      <c r="S41" s="210"/>
      <c r="T41" s="210"/>
      <c r="U41" s="225"/>
      <c r="V41" s="213"/>
      <c r="W41" s="213"/>
      <c r="X41" s="213"/>
      <c r="Y41" s="213"/>
      <c r="Z41" s="447"/>
      <c r="AA41" s="217"/>
      <c r="AB41" s="210"/>
      <c r="AC41" s="210"/>
      <c r="AD41" s="210"/>
      <c r="AE41" s="210"/>
      <c r="AF41" s="210"/>
      <c r="AG41" s="210"/>
      <c r="AH41" s="210"/>
      <c r="AI41" s="210"/>
      <c r="AJ41" s="210"/>
      <c r="AK41" s="210"/>
      <c r="AL41" s="210"/>
      <c r="AM41" s="210"/>
      <c r="AN41" s="210"/>
      <c r="AO41" s="448"/>
      <c r="AP41" s="448"/>
      <c r="AQ41" s="210"/>
      <c r="AR41" s="210"/>
      <c r="AS41" s="211"/>
      <c r="AT41" s="212"/>
      <c r="AU41" s="212"/>
      <c r="AV41" s="212"/>
      <c r="AW41" s="212"/>
    </row>
    <row r="42" spans="1:49" ht="14.25">
      <c r="A42" s="210"/>
      <c r="B42" s="210"/>
      <c r="C42" s="210"/>
      <c r="D42" s="216"/>
      <c r="E42" s="216"/>
      <c r="F42" s="210"/>
      <c r="G42" s="216"/>
      <c r="H42" s="210"/>
      <c r="I42" s="216"/>
      <c r="J42" s="210"/>
      <c r="K42" s="216"/>
      <c r="L42" s="210"/>
      <c r="M42" s="216"/>
      <c r="N42" s="212"/>
      <c r="O42" s="211"/>
      <c r="P42" s="215"/>
      <c r="Q42" s="216"/>
      <c r="R42" s="217"/>
      <c r="S42" s="210"/>
      <c r="T42" s="210"/>
      <c r="U42" s="225"/>
      <c r="V42" s="213"/>
      <c r="W42" s="213"/>
      <c r="X42" s="213"/>
      <c r="Y42" s="213"/>
      <c r="Z42" s="447"/>
      <c r="AA42" s="217"/>
      <c r="AB42" s="210"/>
      <c r="AC42" s="210"/>
      <c r="AD42" s="210"/>
      <c r="AE42" s="210"/>
      <c r="AF42" s="210"/>
      <c r="AG42" s="210"/>
      <c r="AH42" s="210"/>
      <c r="AI42" s="210"/>
      <c r="AJ42" s="210"/>
      <c r="AK42" s="210"/>
      <c r="AL42" s="210"/>
      <c r="AM42" s="210"/>
      <c r="AN42" s="210"/>
      <c r="AO42" s="448"/>
      <c r="AP42" s="448"/>
      <c r="AQ42" s="210"/>
      <c r="AR42" s="210"/>
      <c r="AS42" s="211"/>
      <c r="AT42" s="212"/>
      <c r="AU42" s="212"/>
      <c r="AV42" s="212"/>
      <c r="AW42" s="212"/>
    </row>
    <row r="43" spans="1:49" ht="14.25">
      <c r="A43" s="210"/>
      <c r="B43" s="210"/>
      <c r="C43" s="210"/>
      <c r="D43" s="216"/>
      <c r="E43" s="216"/>
      <c r="F43" s="210"/>
      <c r="G43" s="216"/>
      <c r="H43" s="210"/>
      <c r="I43" s="216"/>
      <c r="J43" s="210"/>
      <c r="K43" s="216"/>
      <c r="L43" s="210"/>
      <c r="M43" s="216"/>
      <c r="N43" s="212"/>
      <c r="O43" s="211"/>
      <c r="P43" s="215"/>
      <c r="Q43" s="216"/>
      <c r="R43" s="217"/>
      <c r="S43" s="210"/>
      <c r="T43" s="210"/>
      <c r="U43" s="225"/>
      <c r="V43" s="213"/>
      <c r="W43" s="213"/>
      <c r="X43" s="213"/>
      <c r="Y43" s="213"/>
      <c r="Z43" s="447"/>
      <c r="AA43" s="217"/>
      <c r="AB43" s="210"/>
      <c r="AC43" s="210"/>
      <c r="AD43" s="210"/>
      <c r="AE43" s="210"/>
      <c r="AF43" s="210"/>
      <c r="AG43" s="210"/>
      <c r="AH43" s="210"/>
      <c r="AI43" s="210"/>
      <c r="AJ43" s="210"/>
      <c r="AK43" s="210"/>
      <c r="AL43" s="210"/>
      <c r="AM43" s="210"/>
      <c r="AN43" s="210"/>
      <c r="AO43" s="448"/>
      <c r="AP43" s="448"/>
      <c r="AQ43" s="210"/>
      <c r="AR43" s="210"/>
      <c r="AS43" s="211"/>
      <c r="AT43" s="212"/>
      <c r="AU43" s="212"/>
      <c r="AV43" s="212"/>
      <c r="AW43" s="212"/>
    </row>
    <row r="44" spans="1:49" ht="14.25">
      <c r="A44" s="210"/>
      <c r="B44" s="210"/>
      <c r="C44" s="210"/>
      <c r="D44" s="216"/>
      <c r="E44" s="216"/>
      <c r="F44" s="210"/>
      <c r="G44" s="216"/>
      <c r="H44" s="210"/>
      <c r="I44" s="216"/>
      <c r="J44" s="210"/>
      <c r="K44" s="216"/>
      <c r="L44" s="210"/>
      <c r="M44" s="216"/>
      <c r="N44" s="212"/>
      <c r="O44" s="211"/>
      <c r="P44" s="215"/>
      <c r="Q44" s="216"/>
      <c r="R44" s="217"/>
      <c r="S44" s="210"/>
      <c r="T44" s="210"/>
      <c r="U44" s="225"/>
      <c r="V44" s="213"/>
      <c r="W44" s="213"/>
      <c r="X44" s="213"/>
      <c r="Y44" s="213"/>
      <c r="Z44" s="447"/>
      <c r="AA44" s="217"/>
      <c r="AB44" s="210"/>
      <c r="AC44" s="210"/>
      <c r="AD44" s="210"/>
      <c r="AE44" s="210"/>
      <c r="AF44" s="210"/>
      <c r="AG44" s="210"/>
      <c r="AH44" s="210"/>
      <c r="AI44" s="210"/>
      <c r="AJ44" s="210"/>
      <c r="AK44" s="210"/>
      <c r="AL44" s="210"/>
      <c r="AM44" s="210"/>
      <c r="AN44" s="210"/>
      <c r="AO44" s="448"/>
      <c r="AP44" s="448"/>
      <c r="AQ44" s="210"/>
      <c r="AR44" s="210"/>
      <c r="AS44" s="211"/>
      <c r="AT44" s="212"/>
      <c r="AU44" s="212"/>
      <c r="AV44" s="212"/>
      <c r="AW44" s="212"/>
    </row>
    <row r="45" spans="1:49" ht="14.25">
      <c r="A45" s="210"/>
      <c r="B45" s="210"/>
      <c r="C45" s="210"/>
      <c r="D45" s="216"/>
      <c r="E45" s="216"/>
      <c r="F45" s="210"/>
      <c r="G45" s="216"/>
      <c r="H45" s="210"/>
      <c r="I45" s="216"/>
      <c r="J45" s="210"/>
      <c r="K45" s="216"/>
      <c r="L45" s="210"/>
      <c r="M45" s="216"/>
      <c r="N45" s="212"/>
      <c r="O45" s="211"/>
      <c r="P45" s="215"/>
      <c r="Q45" s="216"/>
      <c r="R45" s="217"/>
      <c r="S45" s="210"/>
      <c r="T45" s="210"/>
      <c r="U45" s="225"/>
      <c r="V45" s="213"/>
      <c r="W45" s="213"/>
      <c r="X45" s="213"/>
      <c r="Y45" s="213"/>
      <c r="Z45" s="447"/>
      <c r="AA45" s="217"/>
      <c r="AB45" s="210"/>
      <c r="AC45" s="210"/>
      <c r="AD45" s="210"/>
      <c r="AE45" s="210"/>
      <c r="AF45" s="210"/>
      <c r="AG45" s="210"/>
      <c r="AH45" s="210"/>
      <c r="AI45" s="210"/>
      <c r="AJ45" s="210"/>
      <c r="AK45" s="210"/>
      <c r="AL45" s="210"/>
      <c r="AM45" s="210"/>
      <c r="AN45" s="210"/>
      <c r="AO45" s="448"/>
      <c r="AP45" s="448"/>
      <c r="AQ45" s="210"/>
      <c r="AR45" s="210"/>
      <c r="AS45" s="211"/>
      <c r="AT45" s="212"/>
      <c r="AU45" s="212"/>
      <c r="AV45" s="212"/>
      <c r="AW45" s="212"/>
    </row>
    <row r="46" spans="1:49" ht="14.25">
      <c r="A46" s="210"/>
      <c r="B46" s="210"/>
      <c r="C46" s="210"/>
      <c r="D46" s="216"/>
      <c r="E46" s="216"/>
      <c r="F46" s="210"/>
      <c r="G46" s="216"/>
      <c r="H46" s="210"/>
      <c r="I46" s="216"/>
      <c r="J46" s="210"/>
      <c r="K46" s="216"/>
      <c r="L46" s="210"/>
      <c r="M46" s="216"/>
      <c r="N46" s="212"/>
      <c r="O46" s="211"/>
      <c r="P46" s="215"/>
      <c r="Q46" s="216"/>
      <c r="R46" s="217"/>
      <c r="S46" s="210"/>
      <c r="T46" s="210"/>
      <c r="U46" s="225"/>
      <c r="V46" s="213"/>
      <c r="W46" s="213"/>
      <c r="X46" s="213"/>
      <c r="Y46" s="213"/>
      <c r="Z46" s="447"/>
      <c r="AA46" s="217"/>
      <c r="AB46" s="210"/>
      <c r="AC46" s="210"/>
      <c r="AD46" s="210"/>
      <c r="AE46" s="210"/>
      <c r="AF46" s="210"/>
      <c r="AG46" s="210"/>
      <c r="AH46" s="210"/>
      <c r="AI46" s="210"/>
      <c r="AJ46" s="210"/>
      <c r="AK46" s="210"/>
      <c r="AL46" s="210"/>
      <c r="AM46" s="210"/>
      <c r="AN46" s="210"/>
      <c r="AO46" s="448"/>
      <c r="AP46" s="448"/>
      <c r="AQ46" s="210"/>
      <c r="AR46" s="210"/>
      <c r="AS46" s="211"/>
      <c r="AT46" s="212"/>
      <c r="AU46" s="212"/>
      <c r="AV46" s="212"/>
      <c r="AW46" s="212"/>
    </row>
    <row r="47" spans="1:49" ht="14.25">
      <c r="A47" s="210"/>
      <c r="B47" s="210"/>
      <c r="C47" s="210"/>
      <c r="D47" s="216"/>
      <c r="E47" s="216"/>
      <c r="F47" s="210"/>
      <c r="G47" s="216"/>
      <c r="H47" s="210"/>
      <c r="I47" s="216"/>
      <c r="J47" s="210"/>
      <c r="K47" s="216"/>
      <c r="L47" s="210"/>
      <c r="M47" s="216"/>
      <c r="N47" s="212"/>
      <c r="O47" s="211"/>
      <c r="P47" s="215"/>
      <c r="Q47" s="216"/>
      <c r="R47" s="217"/>
      <c r="S47" s="210"/>
      <c r="T47" s="210"/>
      <c r="U47" s="225"/>
      <c r="V47" s="213"/>
      <c r="W47" s="213"/>
      <c r="X47" s="213"/>
      <c r="Y47" s="213"/>
      <c r="Z47" s="447"/>
      <c r="AA47" s="217"/>
      <c r="AB47" s="210"/>
      <c r="AC47" s="210"/>
      <c r="AD47" s="210"/>
      <c r="AE47" s="210"/>
      <c r="AF47" s="210"/>
      <c r="AG47" s="210"/>
      <c r="AH47" s="210"/>
      <c r="AI47" s="210"/>
      <c r="AJ47" s="210"/>
      <c r="AK47" s="210"/>
      <c r="AL47" s="210"/>
      <c r="AM47" s="210"/>
      <c r="AN47" s="210"/>
      <c r="AO47" s="448"/>
      <c r="AP47" s="448"/>
      <c r="AQ47" s="210"/>
      <c r="AR47" s="210"/>
      <c r="AS47" s="211"/>
      <c r="AT47" s="212"/>
      <c r="AU47" s="212"/>
      <c r="AV47" s="212"/>
      <c r="AW47" s="212"/>
    </row>
    <row r="48" spans="1:49" ht="14.25">
      <c r="A48" s="210"/>
      <c r="B48" s="210"/>
      <c r="C48" s="210"/>
      <c r="D48" s="216"/>
      <c r="E48" s="216"/>
      <c r="F48" s="210"/>
      <c r="G48" s="216"/>
      <c r="H48" s="210"/>
      <c r="I48" s="216"/>
      <c r="J48" s="210"/>
      <c r="K48" s="216"/>
      <c r="L48" s="210"/>
      <c r="M48" s="216"/>
      <c r="N48" s="212"/>
      <c r="O48" s="211"/>
      <c r="P48" s="215"/>
      <c r="Q48" s="216"/>
      <c r="R48" s="217"/>
      <c r="S48" s="210"/>
      <c r="T48" s="210"/>
      <c r="U48" s="225"/>
      <c r="V48" s="213"/>
      <c r="W48" s="213"/>
      <c r="X48" s="213"/>
      <c r="Y48" s="213"/>
      <c r="Z48" s="447"/>
      <c r="AA48" s="217"/>
      <c r="AB48" s="210"/>
      <c r="AC48" s="210"/>
      <c r="AD48" s="210"/>
      <c r="AE48" s="210"/>
      <c r="AF48" s="210"/>
      <c r="AG48" s="210"/>
      <c r="AH48" s="210"/>
      <c r="AI48" s="210"/>
      <c r="AJ48" s="210"/>
      <c r="AK48" s="210"/>
      <c r="AL48" s="210"/>
      <c r="AM48" s="210"/>
      <c r="AN48" s="210"/>
      <c r="AO48" s="448"/>
      <c r="AP48" s="448"/>
      <c r="AQ48" s="210"/>
      <c r="AR48" s="210"/>
      <c r="AS48" s="211"/>
      <c r="AT48" s="212"/>
      <c r="AU48" s="212"/>
      <c r="AV48" s="212"/>
      <c r="AW48" s="212"/>
    </row>
    <row r="49" spans="1:49" ht="14.25">
      <c r="A49" s="210"/>
      <c r="B49" s="210"/>
      <c r="C49" s="210"/>
      <c r="D49" s="216"/>
      <c r="E49" s="216"/>
      <c r="F49" s="210"/>
      <c r="G49" s="216"/>
      <c r="H49" s="210"/>
      <c r="I49" s="216"/>
      <c r="J49" s="210"/>
      <c r="K49" s="216"/>
      <c r="L49" s="210"/>
      <c r="M49" s="216"/>
      <c r="N49" s="212"/>
      <c r="O49" s="211"/>
      <c r="P49" s="215"/>
      <c r="Q49" s="216"/>
      <c r="R49" s="217"/>
      <c r="S49" s="210"/>
      <c r="T49" s="210"/>
      <c r="U49" s="225"/>
      <c r="V49" s="213"/>
      <c r="W49" s="213"/>
      <c r="X49" s="213"/>
      <c r="Y49" s="213"/>
      <c r="Z49" s="447"/>
      <c r="AA49" s="217"/>
      <c r="AB49" s="210"/>
      <c r="AC49" s="210"/>
      <c r="AD49" s="210"/>
      <c r="AE49" s="210"/>
      <c r="AF49" s="210"/>
      <c r="AG49" s="210"/>
      <c r="AH49" s="210"/>
      <c r="AI49" s="210"/>
      <c r="AJ49" s="210"/>
      <c r="AK49" s="210"/>
      <c r="AL49" s="210"/>
      <c r="AM49" s="210"/>
      <c r="AN49" s="210"/>
      <c r="AO49" s="448"/>
      <c r="AP49" s="448"/>
      <c r="AQ49" s="210"/>
      <c r="AR49" s="210"/>
      <c r="AS49" s="211"/>
      <c r="AT49" s="212"/>
      <c r="AU49" s="212"/>
      <c r="AV49" s="212"/>
      <c r="AW49" s="212"/>
    </row>
    <row r="50" spans="1:49" ht="14.25">
      <c r="A50" s="210"/>
      <c r="B50" s="210"/>
      <c r="C50" s="210"/>
      <c r="D50" s="216"/>
      <c r="E50" s="216"/>
      <c r="F50" s="210"/>
      <c r="G50" s="216"/>
      <c r="H50" s="210"/>
      <c r="I50" s="216"/>
      <c r="J50" s="210"/>
      <c r="K50" s="216"/>
      <c r="L50" s="210"/>
      <c r="M50" s="216"/>
      <c r="N50" s="212"/>
      <c r="O50" s="211"/>
      <c r="P50" s="215"/>
      <c r="Q50" s="216"/>
      <c r="R50" s="217"/>
      <c r="S50" s="210"/>
      <c r="T50" s="210"/>
      <c r="U50" s="225"/>
      <c r="V50" s="213"/>
      <c r="W50" s="213"/>
      <c r="X50" s="213"/>
      <c r="Y50" s="213"/>
      <c r="Z50" s="447"/>
      <c r="AA50" s="217"/>
      <c r="AB50" s="210"/>
      <c r="AC50" s="210"/>
      <c r="AD50" s="210"/>
      <c r="AE50" s="210"/>
      <c r="AF50" s="210"/>
      <c r="AG50" s="210"/>
      <c r="AH50" s="210"/>
      <c r="AI50" s="210"/>
      <c r="AJ50" s="210"/>
      <c r="AK50" s="210"/>
      <c r="AL50" s="210"/>
      <c r="AM50" s="210"/>
      <c r="AN50" s="210"/>
      <c r="AO50" s="448"/>
      <c r="AP50" s="448"/>
      <c r="AQ50" s="210"/>
      <c r="AR50" s="210"/>
      <c r="AS50" s="211"/>
      <c r="AT50" s="212"/>
      <c r="AU50" s="212"/>
      <c r="AV50" s="212"/>
      <c r="AW50" s="212"/>
    </row>
    <row r="51" spans="1:49" ht="14.25">
      <c r="A51" s="210"/>
      <c r="B51" s="210"/>
      <c r="C51" s="210"/>
      <c r="D51" s="216"/>
      <c r="E51" s="216"/>
      <c r="F51" s="210"/>
      <c r="G51" s="216"/>
      <c r="H51" s="210"/>
      <c r="I51" s="216"/>
      <c r="J51" s="210"/>
      <c r="K51" s="216"/>
      <c r="L51" s="210"/>
      <c r="M51" s="216"/>
      <c r="N51" s="212"/>
      <c r="O51" s="211"/>
      <c r="P51" s="215"/>
      <c r="Q51" s="216"/>
      <c r="R51" s="217"/>
      <c r="S51" s="210"/>
      <c r="T51" s="210"/>
      <c r="U51" s="225"/>
      <c r="V51" s="213"/>
      <c r="W51" s="213"/>
      <c r="X51" s="213"/>
      <c r="Y51" s="213"/>
      <c r="Z51" s="447"/>
      <c r="AA51" s="217"/>
      <c r="AB51" s="210"/>
      <c r="AC51" s="210"/>
      <c r="AD51" s="210"/>
      <c r="AE51" s="210"/>
      <c r="AF51" s="210"/>
      <c r="AG51" s="210"/>
      <c r="AH51" s="210"/>
      <c r="AI51" s="210"/>
      <c r="AJ51" s="210"/>
      <c r="AK51" s="210"/>
      <c r="AL51" s="210"/>
      <c r="AM51" s="210"/>
      <c r="AN51" s="210"/>
      <c r="AO51" s="448"/>
      <c r="AP51" s="448"/>
      <c r="AQ51" s="210"/>
      <c r="AR51" s="210"/>
      <c r="AS51" s="211"/>
      <c r="AT51" s="212"/>
      <c r="AU51" s="212"/>
      <c r="AV51" s="212"/>
      <c r="AW51" s="212"/>
    </row>
    <row r="52" spans="1:49" ht="14.25">
      <c r="A52" s="210"/>
      <c r="B52" s="210"/>
      <c r="C52" s="210"/>
      <c r="D52" s="216"/>
      <c r="E52" s="216"/>
      <c r="F52" s="210"/>
      <c r="G52" s="216"/>
      <c r="H52" s="210"/>
      <c r="I52" s="216"/>
      <c r="J52" s="210"/>
      <c r="K52" s="216"/>
      <c r="L52" s="210"/>
      <c r="M52" s="216"/>
      <c r="N52" s="212"/>
      <c r="O52" s="211"/>
      <c r="P52" s="215"/>
      <c r="Q52" s="216"/>
      <c r="R52" s="217"/>
      <c r="S52" s="210"/>
      <c r="T52" s="210"/>
      <c r="U52" s="225"/>
      <c r="V52" s="213"/>
      <c r="W52" s="213"/>
      <c r="X52" s="213"/>
      <c r="Y52" s="213"/>
      <c r="Z52" s="447"/>
      <c r="AA52" s="217"/>
      <c r="AB52" s="210"/>
      <c r="AC52" s="210"/>
      <c r="AD52" s="210"/>
      <c r="AE52" s="210"/>
      <c r="AF52" s="210"/>
      <c r="AG52" s="210"/>
      <c r="AH52" s="210"/>
      <c r="AI52" s="210"/>
      <c r="AJ52" s="210"/>
      <c r="AK52" s="210"/>
      <c r="AL52" s="210"/>
      <c r="AM52" s="210"/>
      <c r="AN52" s="210"/>
      <c r="AO52" s="448"/>
      <c r="AP52" s="448"/>
      <c r="AQ52" s="210"/>
      <c r="AR52" s="210"/>
      <c r="AS52" s="211"/>
      <c r="AT52" s="212"/>
      <c r="AU52" s="212"/>
      <c r="AV52" s="212"/>
      <c r="AW52" s="212"/>
    </row>
    <row r="53" spans="1:49" ht="14.25">
      <c r="A53" s="210"/>
      <c r="B53" s="210"/>
      <c r="C53" s="210"/>
      <c r="D53" s="216"/>
      <c r="E53" s="216"/>
      <c r="F53" s="210"/>
      <c r="G53" s="216"/>
      <c r="H53" s="210"/>
      <c r="I53" s="216"/>
      <c r="J53" s="210"/>
      <c r="K53" s="216"/>
      <c r="L53" s="210"/>
      <c r="M53" s="216"/>
      <c r="N53" s="212"/>
      <c r="O53" s="211"/>
      <c r="P53" s="215"/>
      <c r="Q53" s="216"/>
      <c r="R53" s="217"/>
      <c r="S53" s="210"/>
      <c r="T53" s="210"/>
      <c r="U53" s="225"/>
      <c r="V53" s="213"/>
      <c r="W53" s="213"/>
      <c r="X53" s="213"/>
      <c r="Y53" s="213"/>
      <c r="Z53" s="447"/>
      <c r="AA53" s="217"/>
      <c r="AB53" s="210"/>
      <c r="AC53" s="210"/>
      <c r="AD53" s="210"/>
      <c r="AE53" s="210"/>
      <c r="AF53" s="210"/>
      <c r="AG53" s="210"/>
      <c r="AH53" s="210"/>
      <c r="AI53" s="210"/>
      <c r="AJ53" s="210"/>
      <c r="AK53" s="210"/>
      <c r="AL53" s="210"/>
      <c r="AM53" s="210"/>
      <c r="AN53" s="210"/>
      <c r="AO53" s="448"/>
      <c r="AP53" s="448"/>
      <c r="AQ53" s="210"/>
      <c r="AR53" s="210"/>
      <c r="AS53" s="211"/>
      <c r="AT53" s="212"/>
      <c r="AU53" s="212"/>
      <c r="AV53" s="212"/>
      <c r="AW53" s="212"/>
    </row>
    <row r="54" spans="1:49" ht="14.25">
      <c r="A54" s="210"/>
      <c r="B54" s="210"/>
      <c r="C54" s="210"/>
      <c r="D54" s="216"/>
      <c r="E54" s="216"/>
      <c r="F54" s="210"/>
      <c r="G54" s="216"/>
      <c r="H54" s="210"/>
      <c r="I54" s="216"/>
      <c r="J54" s="210"/>
      <c r="K54" s="216"/>
      <c r="L54" s="210"/>
      <c r="M54" s="216"/>
      <c r="N54" s="212"/>
      <c r="O54" s="211"/>
      <c r="P54" s="215"/>
      <c r="Q54" s="216"/>
      <c r="R54" s="217"/>
      <c r="S54" s="210"/>
      <c r="T54" s="210"/>
      <c r="U54" s="225"/>
      <c r="V54" s="213"/>
      <c r="W54" s="213"/>
      <c r="X54" s="213"/>
      <c r="Y54" s="213"/>
      <c r="Z54" s="447"/>
      <c r="AA54" s="217"/>
      <c r="AB54" s="210"/>
      <c r="AC54" s="210"/>
      <c r="AD54" s="210"/>
      <c r="AE54" s="210"/>
      <c r="AF54" s="210"/>
      <c r="AG54" s="210"/>
      <c r="AH54" s="210"/>
      <c r="AI54" s="210"/>
      <c r="AJ54" s="210"/>
      <c r="AK54" s="210"/>
      <c r="AL54" s="210"/>
      <c r="AM54" s="210"/>
      <c r="AN54" s="210"/>
      <c r="AO54" s="448"/>
      <c r="AP54" s="448"/>
      <c r="AQ54" s="210"/>
      <c r="AR54" s="210"/>
      <c r="AS54" s="211"/>
      <c r="AT54" s="212"/>
      <c r="AU54" s="212"/>
      <c r="AV54" s="212"/>
      <c r="AW54" s="212"/>
    </row>
    <row r="55" spans="1:49" ht="14.25">
      <c r="A55" s="210"/>
      <c r="B55" s="210"/>
      <c r="C55" s="210"/>
      <c r="D55" s="216"/>
      <c r="E55" s="216"/>
      <c r="F55" s="210"/>
      <c r="G55" s="216"/>
      <c r="H55" s="210"/>
      <c r="I55" s="216"/>
      <c r="J55" s="210"/>
      <c r="K55" s="216"/>
      <c r="L55" s="210"/>
      <c r="M55" s="216"/>
      <c r="N55" s="212"/>
      <c r="O55" s="211"/>
      <c r="P55" s="215"/>
      <c r="Q55" s="216"/>
      <c r="R55" s="217"/>
      <c r="S55" s="210"/>
      <c r="T55" s="210"/>
      <c r="U55" s="225"/>
      <c r="V55" s="213"/>
      <c r="W55" s="213"/>
      <c r="X55" s="213"/>
      <c r="Y55" s="213"/>
      <c r="Z55" s="447"/>
      <c r="AA55" s="217"/>
      <c r="AB55" s="210"/>
      <c r="AC55" s="210"/>
      <c r="AD55" s="210"/>
      <c r="AE55" s="210"/>
      <c r="AF55" s="210"/>
      <c r="AG55" s="210"/>
      <c r="AH55" s="210"/>
      <c r="AI55" s="210"/>
      <c r="AJ55" s="210"/>
      <c r="AK55" s="210"/>
      <c r="AL55" s="210"/>
      <c r="AM55" s="210"/>
      <c r="AN55" s="210"/>
      <c r="AO55" s="448"/>
      <c r="AP55" s="448"/>
      <c r="AQ55" s="210"/>
      <c r="AR55" s="210"/>
      <c r="AS55" s="211"/>
      <c r="AT55" s="212"/>
      <c r="AU55" s="212"/>
      <c r="AV55" s="212"/>
      <c r="AW55" s="212"/>
    </row>
    <row r="56" spans="1:49" ht="14.25">
      <c r="A56" s="210"/>
      <c r="B56" s="210"/>
      <c r="C56" s="210"/>
      <c r="D56" s="216"/>
      <c r="E56" s="216"/>
      <c r="F56" s="210"/>
      <c r="G56" s="216"/>
      <c r="H56" s="210"/>
      <c r="I56" s="216"/>
      <c r="J56" s="210"/>
      <c r="K56" s="216"/>
      <c r="L56" s="210"/>
      <c r="M56" s="216"/>
      <c r="N56" s="212"/>
      <c r="O56" s="211"/>
      <c r="P56" s="215"/>
      <c r="Q56" s="216"/>
      <c r="R56" s="217"/>
      <c r="S56" s="210"/>
      <c r="T56" s="210"/>
      <c r="U56" s="225"/>
      <c r="V56" s="213"/>
      <c r="W56" s="213"/>
      <c r="X56" s="213"/>
      <c r="Y56" s="213"/>
      <c r="Z56" s="447"/>
      <c r="AA56" s="217"/>
      <c r="AB56" s="210"/>
      <c r="AC56" s="210"/>
      <c r="AD56" s="210"/>
      <c r="AE56" s="210"/>
      <c r="AF56" s="210"/>
      <c r="AG56" s="210"/>
      <c r="AH56" s="210"/>
      <c r="AI56" s="210"/>
      <c r="AJ56" s="210"/>
      <c r="AK56" s="210"/>
      <c r="AL56" s="210"/>
      <c r="AM56" s="210"/>
      <c r="AN56" s="210"/>
      <c r="AO56" s="448"/>
      <c r="AP56" s="448"/>
      <c r="AQ56" s="210"/>
      <c r="AR56" s="210"/>
      <c r="AS56" s="211"/>
      <c r="AT56" s="212"/>
      <c r="AU56" s="212"/>
      <c r="AV56" s="212"/>
      <c r="AW56" s="212"/>
    </row>
    <row r="57" spans="1:49" ht="14.25">
      <c r="A57" s="210"/>
      <c r="B57" s="210"/>
      <c r="C57" s="210"/>
      <c r="D57" s="216"/>
      <c r="E57" s="216"/>
      <c r="F57" s="210"/>
      <c r="G57" s="216"/>
      <c r="H57" s="210"/>
      <c r="I57" s="216"/>
      <c r="J57" s="210"/>
      <c r="K57" s="216"/>
      <c r="L57" s="210"/>
      <c r="M57" s="216"/>
      <c r="N57" s="212"/>
      <c r="O57" s="211"/>
      <c r="P57" s="215"/>
      <c r="Q57" s="216"/>
      <c r="R57" s="217"/>
      <c r="S57" s="210"/>
      <c r="T57" s="210"/>
      <c r="U57" s="225"/>
      <c r="V57" s="213"/>
      <c r="W57" s="213"/>
      <c r="X57" s="213"/>
      <c r="Y57" s="213"/>
      <c r="Z57" s="447"/>
      <c r="AA57" s="217"/>
      <c r="AB57" s="210"/>
      <c r="AC57" s="210"/>
      <c r="AD57" s="210"/>
      <c r="AE57" s="210"/>
      <c r="AF57" s="210"/>
      <c r="AG57" s="210"/>
      <c r="AH57" s="210"/>
      <c r="AI57" s="210"/>
      <c r="AJ57" s="210"/>
      <c r="AK57" s="210"/>
      <c r="AL57" s="210"/>
      <c r="AM57" s="210"/>
      <c r="AN57" s="210"/>
      <c r="AO57" s="448"/>
      <c r="AP57" s="448"/>
      <c r="AQ57" s="210"/>
      <c r="AR57" s="210"/>
      <c r="AS57" s="211"/>
      <c r="AT57" s="212"/>
      <c r="AU57" s="212"/>
      <c r="AV57" s="212"/>
      <c r="AW57" s="212"/>
    </row>
    <row r="58" spans="1:49" ht="14.25">
      <c r="A58" s="210"/>
      <c r="B58" s="210"/>
      <c r="C58" s="210"/>
      <c r="D58" s="216"/>
      <c r="E58" s="216"/>
      <c r="F58" s="210"/>
      <c r="G58" s="216"/>
      <c r="H58" s="210"/>
      <c r="I58" s="216"/>
      <c r="J58" s="210"/>
      <c r="K58" s="216"/>
      <c r="L58" s="210"/>
      <c r="M58" s="216"/>
      <c r="N58" s="212"/>
      <c r="O58" s="211"/>
      <c r="P58" s="215"/>
      <c r="Q58" s="216"/>
      <c r="R58" s="217"/>
      <c r="S58" s="210"/>
      <c r="T58" s="210"/>
      <c r="U58" s="225"/>
      <c r="V58" s="213"/>
      <c r="W58" s="213"/>
      <c r="X58" s="213"/>
      <c r="Y58" s="213"/>
      <c r="Z58" s="447"/>
      <c r="AA58" s="217"/>
      <c r="AB58" s="210"/>
      <c r="AC58" s="210"/>
      <c r="AD58" s="210"/>
      <c r="AE58" s="210"/>
      <c r="AF58" s="210"/>
      <c r="AG58" s="210"/>
      <c r="AH58" s="210"/>
      <c r="AI58" s="210"/>
      <c r="AJ58" s="210"/>
      <c r="AK58" s="210"/>
      <c r="AL58" s="210"/>
      <c r="AM58" s="210"/>
      <c r="AN58" s="210"/>
      <c r="AO58" s="448"/>
      <c r="AP58" s="448"/>
      <c r="AQ58" s="210"/>
      <c r="AR58" s="210"/>
      <c r="AS58" s="211"/>
      <c r="AT58" s="212"/>
      <c r="AU58" s="212"/>
      <c r="AV58" s="212"/>
      <c r="AW58" s="212"/>
    </row>
    <row r="59" spans="1:49" ht="14.25">
      <c r="A59" s="210"/>
      <c r="B59" s="210"/>
      <c r="C59" s="210"/>
      <c r="D59" s="216"/>
      <c r="E59" s="216"/>
      <c r="F59" s="210"/>
      <c r="G59" s="216"/>
      <c r="H59" s="210"/>
      <c r="I59" s="216"/>
      <c r="J59" s="210"/>
      <c r="K59" s="216"/>
      <c r="L59" s="210"/>
      <c r="M59" s="216"/>
      <c r="N59" s="212"/>
      <c r="O59" s="211"/>
      <c r="P59" s="215"/>
      <c r="Q59" s="216"/>
      <c r="R59" s="217"/>
      <c r="S59" s="210"/>
      <c r="T59" s="210"/>
      <c r="U59" s="225"/>
      <c r="V59" s="213"/>
      <c r="W59" s="213"/>
      <c r="X59" s="213"/>
      <c r="Y59" s="213"/>
      <c r="Z59" s="447"/>
      <c r="AA59" s="217"/>
      <c r="AB59" s="210"/>
      <c r="AC59" s="210"/>
      <c r="AD59" s="210"/>
      <c r="AE59" s="210"/>
      <c r="AF59" s="210"/>
      <c r="AG59" s="210"/>
      <c r="AH59" s="210"/>
      <c r="AI59" s="210"/>
      <c r="AJ59" s="210"/>
      <c r="AK59" s="210"/>
      <c r="AL59" s="210"/>
      <c r="AM59" s="210"/>
      <c r="AN59" s="210"/>
      <c r="AO59" s="448"/>
      <c r="AP59" s="448"/>
      <c r="AQ59" s="210"/>
      <c r="AR59" s="210"/>
      <c r="AS59" s="211"/>
      <c r="AT59" s="212"/>
      <c r="AU59" s="212"/>
      <c r="AV59" s="212"/>
      <c r="AW59" s="212"/>
    </row>
    <row r="60" spans="1:49" ht="14.25">
      <c r="A60" s="210"/>
      <c r="B60" s="210"/>
      <c r="C60" s="210"/>
      <c r="D60" s="216"/>
      <c r="E60" s="216"/>
      <c r="F60" s="210"/>
      <c r="G60" s="216"/>
      <c r="H60" s="210"/>
      <c r="I60" s="216"/>
      <c r="J60" s="210"/>
      <c r="K60" s="216"/>
      <c r="L60" s="210"/>
      <c r="M60" s="216"/>
      <c r="N60" s="212"/>
      <c r="O60" s="211"/>
      <c r="P60" s="215"/>
      <c r="Q60" s="216"/>
      <c r="R60" s="217"/>
      <c r="S60" s="210"/>
      <c r="T60" s="210"/>
      <c r="U60" s="225"/>
      <c r="V60" s="213"/>
      <c r="W60" s="213"/>
      <c r="X60" s="213"/>
      <c r="Y60" s="213"/>
      <c r="Z60" s="447"/>
      <c r="AA60" s="217"/>
      <c r="AB60" s="210"/>
      <c r="AC60" s="210"/>
      <c r="AD60" s="210"/>
      <c r="AE60" s="210"/>
      <c r="AF60" s="210"/>
      <c r="AG60" s="210"/>
      <c r="AH60" s="210"/>
      <c r="AI60" s="210"/>
      <c r="AJ60" s="210"/>
      <c r="AK60" s="210"/>
      <c r="AL60" s="210"/>
      <c r="AM60" s="210"/>
      <c r="AN60" s="210"/>
      <c r="AO60" s="448"/>
      <c r="AP60" s="448"/>
      <c r="AQ60" s="210"/>
      <c r="AR60" s="210"/>
      <c r="AS60" s="211"/>
      <c r="AT60" s="212"/>
      <c r="AU60" s="212"/>
      <c r="AV60" s="212"/>
      <c r="AW60" s="212"/>
    </row>
    <row r="61" spans="1:49" ht="14.25">
      <c r="A61" s="210"/>
      <c r="B61" s="210"/>
      <c r="C61" s="210"/>
      <c r="D61" s="216"/>
      <c r="E61" s="216"/>
      <c r="F61" s="210"/>
      <c r="G61" s="216"/>
      <c r="H61" s="210"/>
      <c r="I61" s="216"/>
      <c r="J61" s="210"/>
      <c r="K61" s="216"/>
      <c r="L61" s="210"/>
      <c r="M61" s="216"/>
      <c r="N61" s="212"/>
      <c r="O61" s="211"/>
      <c r="P61" s="215"/>
      <c r="Q61" s="216"/>
      <c r="R61" s="217"/>
      <c r="S61" s="210"/>
      <c r="T61" s="210"/>
      <c r="U61" s="225"/>
      <c r="V61" s="213"/>
      <c r="W61" s="213"/>
      <c r="X61" s="213"/>
      <c r="Y61" s="213"/>
      <c r="Z61" s="447"/>
      <c r="AA61" s="217"/>
      <c r="AB61" s="210"/>
      <c r="AC61" s="210"/>
      <c r="AD61" s="210"/>
      <c r="AE61" s="210"/>
      <c r="AF61" s="210"/>
      <c r="AG61" s="210"/>
      <c r="AH61" s="210"/>
      <c r="AI61" s="210"/>
      <c r="AJ61" s="210"/>
      <c r="AK61" s="210"/>
      <c r="AL61" s="210"/>
      <c r="AM61" s="210"/>
      <c r="AN61" s="210"/>
      <c r="AO61" s="448"/>
      <c r="AP61" s="448"/>
      <c r="AQ61" s="210"/>
      <c r="AR61" s="210"/>
      <c r="AS61" s="211"/>
      <c r="AT61" s="212"/>
      <c r="AU61" s="212"/>
      <c r="AV61" s="212"/>
      <c r="AW61" s="212"/>
    </row>
    <row r="62" spans="1:49" ht="14.25">
      <c r="A62" s="210"/>
      <c r="B62" s="210"/>
      <c r="C62" s="210"/>
      <c r="D62" s="216"/>
      <c r="E62" s="216"/>
      <c r="F62" s="210"/>
      <c r="G62" s="216"/>
      <c r="H62" s="210"/>
      <c r="I62" s="216"/>
      <c r="J62" s="210"/>
      <c r="K62" s="216"/>
      <c r="L62" s="210"/>
      <c r="M62" s="216"/>
      <c r="N62" s="212"/>
      <c r="O62" s="211"/>
      <c r="P62" s="215"/>
      <c r="Q62" s="216"/>
      <c r="R62" s="217"/>
      <c r="S62" s="210"/>
      <c r="T62" s="210"/>
      <c r="U62" s="225"/>
      <c r="V62" s="213"/>
      <c r="W62" s="213"/>
      <c r="X62" s="213"/>
      <c r="Y62" s="213"/>
      <c r="Z62" s="447"/>
      <c r="AA62" s="217"/>
      <c r="AB62" s="210"/>
      <c r="AC62" s="210"/>
      <c r="AD62" s="210"/>
      <c r="AE62" s="210"/>
      <c r="AF62" s="210"/>
      <c r="AG62" s="210"/>
      <c r="AH62" s="210"/>
      <c r="AI62" s="210"/>
      <c r="AJ62" s="210"/>
      <c r="AK62" s="210"/>
      <c r="AL62" s="210"/>
      <c r="AM62" s="210"/>
      <c r="AN62" s="210"/>
      <c r="AO62" s="448"/>
      <c r="AP62" s="448"/>
      <c r="AQ62" s="210"/>
      <c r="AR62" s="210"/>
      <c r="AS62" s="211"/>
      <c r="AT62" s="212"/>
      <c r="AU62" s="212"/>
      <c r="AV62" s="212"/>
      <c r="AW62" s="212"/>
    </row>
    <row r="63" spans="1:49" ht="14.25">
      <c r="A63" s="210"/>
      <c r="B63" s="210"/>
      <c r="C63" s="210"/>
      <c r="D63" s="216"/>
      <c r="E63" s="216"/>
      <c r="F63" s="210"/>
      <c r="G63" s="216"/>
      <c r="H63" s="210"/>
      <c r="I63" s="216"/>
      <c r="J63" s="210"/>
      <c r="K63" s="216"/>
      <c r="L63" s="210"/>
      <c r="M63" s="216"/>
      <c r="N63" s="212"/>
      <c r="O63" s="211"/>
      <c r="P63" s="215"/>
      <c r="Q63" s="216"/>
      <c r="R63" s="217"/>
      <c r="S63" s="210"/>
      <c r="T63" s="210"/>
      <c r="U63" s="225"/>
      <c r="V63" s="213"/>
      <c r="W63" s="213"/>
      <c r="X63" s="213"/>
      <c r="Y63" s="213"/>
      <c r="Z63" s="447"/>
      <c r="AA63" s="217"/>
      <c r="AB63" s="210"/>
      <c r="AC63" s="210"/>
      <c r="AD63" s="210"/>
      <c r="AE63" s="210"/>
      <c r="AF63" s="210"/>
      <c r="AG63" s="210"/>
      <c r="AH63" s="210"/>
      <c r="AI63" s="210"/>
      <c r="AJ63" s="210"/>
      <c r="AK63" s="210"/>
      <c r="AL63" s="210"/>
      <c r="AM63" s="210"/>
      <c r="AN63" s="210"/>
      <c r="AO63" s="448"/>
      <c r="AP63" s="448"/>
      <c r="AQ63" s="210"/>
      <c r="AR63" s="210"/>
      <c r="AS63" s="211"/>
      <c r="AT63" s="212"/>
      <c r="AU63" s="212"/>
      <c r="AV63" s="212"/>
      <c r="AW63" s="212"/>
    </row>
    <row r="64" spans="1:49" ht="14.25">
      <c r="A64" s="210"/>
      <c r="B64" s="210"/>
      <c r="C64" s="210"/>
      <c r="D64" s="216"/>
      <c r="E64" s="216"/>
      <c r="F64" s="210"/>
      <c r="G64" s="216"/>
      <c r="H64" s="210"/>
      <c r="I64" s="216"/>
      <c r="J64" s="210"/>
      <c r="K64" s="216"/>
      <c r="L64" s="210"/>
      <c r="M64" s="216"/>
      <c r="N64" s="212"/>
      <c r="O64" s="211"/>
      <c r="P64" s="215"/>
      <c r="Q64" s="216"/>
      <c r="R64" s="217"/>
      <c r="S64" s="210"/>
      <c r="T64" s="210"/>
      <c r="U64" s="225"/>
      <c r="V64" s="213"/>
      <c r="W64" s="213"/>
      <c r="X64" s="213"/>
      <c r="Y64" s="213"/>
      <c r="Z64" s="447"/>
      <c r="AA64" s="217"/>
      <c r="AB64" s="210"/>
      <c r="AC64" s="210"/>
      <c r="AD64" s="210"/>
      <c r="AE64" s="210"/>
      <c r="AF64" s="210"/>
      <c r="AG64" s="210"/>
      <c r="AH64" s="210"/>
      <c r="AI64" s="210"/>
      <c r="AJ64" s="210"/>
      <c r="AK64" s="210"/>
      <c r="AL64" s="210"/>
      <c r="AM64" s="210"/>
      <c r="AN64" s="210"/>
      <c r="AO64" s="448"/>
      <c r="AP64" s="448"/>
      <c r="AQ64" s="210"/>
      <c r="AR64" s="210"/>
      <c r="AS64" s="211"/>
      <c r="AT64" s="212"/>
      <c r="AU64" s="212"/>
      <c r="AV64" s="212"/>
      <c r="AW64" s="212"/>
    </row>
    <row r="65" spans="1:49" ht="14.25">
      <c r="A65" s="210"/>
      <c r="B65" s="210"/>
      <c r="C65" s="210"/>
      <c r="D65" s="216"/>
      <c r="E65" s="216"/>
      <c r="F65" s="210"/>
      <c r="G65" s="216"/>
      <c r="H65" s="210"/>
      <c r="I65" s="216"/>
      <c r="J65" s="210"/>
      <c r="K65" s="216"/>
      <c r="L65" s="210"/>
      <c r="M65" s="216"/>
      <c r="N65" s="212"/>
      <c r="O65" s="211"/>
      <c r="P65" s="215"/>
      <c r="Q65" s="216"/>
      <c r="R65" s="217"/>
      <c r="S65" s="210"/>
      <c r="T65" s="210"/>
      <c r="U65" s="225"/>
      <c r="V65" s="213"/>
      <c r="W65" s="213"/>
      <c r="X65" s="213"/>
      <c r="Y65" s="213"/>
      <c r="Z65" s="447"/>
      <c r="AA65" s="217"/>
      <c r="AB65" s="210"/>
      <c r="AC65" s="210"/>
      <c r="AD65" s="210"/>
      <c r="AE65" s="210"/>
      <c r="AF65" s="210"/>
      <c r="AG65" s="210"/>
      <c r="AH65" s="210"/>
      <c r="AI65" s="210"/>
      <c r="AJ65" s="210"/>
      <c r="AK65" s="210"/>
      <c r="AL65" s="210"/>
      <c r="AM65" s="210"/>
      <c r="AN65" s="210"/>
      <c r="AO65" s="448"/>
      <c r="AP65" s="448"/>
      <c r="AQ65" s="210"/>
      <c r="AR65" s="210"/>
      <c r="AS65" s="211"/>
      <c r="AT65" s="212"/>
      <c r="AU65" s="212"/>
      <c r="AV65" s="212"/>
      <c r="AW65" s="212"/>
    </row>
    <row r="66" spans="1:49" ht="14.25">
      <c r="A66" s="210"/>
      <c r="B66" s="210"/>
      <c r="C66" s="210"/>
      <c r="D66" s="216"/>
      <c r="E66" s="216"/>
      <c r="F66" s="210"/>
      <c r="G66" s="216"/>
      <c r="H66" s="210"/>
      <c r="I66" s="216"/>
      <c r="J66" s="210"/>
      <c r="K66" s="216"/>
      <c r="L66" s="210"/>
      <c r="M66" s="216"/>
      <c r="N66" s="212"/>
      <c r="O66" s="211"/>
      <c r="P66" s="215"/>
      <c r="Q66" s="216"/>
      <c r="R66" s="217"/>
      <c r="S66" s="210"/>
      <c r="T66" s="210"/>
      <c r="U66" s="225"/>
      <c r="V66" s="213"/>
      <c r="W66" s="213"/>
      <c r="X66" s="213"/>
      <c r="Y66" s="213"/>
      <c r="Z66" s="447"/>
      <c r="AA66" s="217"/>
      <c r="AB66" s="210"/>
      <c r="AC66" s="210"/>
      <c r="AD66" s="210"/>
      <c r="AE66" s="210"/>
      <c r="AF66" s="210"/>
      <c r="AG66" s="210"/>
      <c r="AH66" s="210"/>
      <c r="AI66" s="210"/>
      <c r="AJ66" s="210"/>
      <c r="AK66" s="210"/>
      <c r="AL66" s="210"/>
      <c r="AM66" s="210"/>
      <c r="AN66" s="210"/>
      <c r="AO66" s="448"/>
      <c r="AP66" s="448"/>
      <c r="AQ66" s="210"/>
      <c r="AR66" s="210"/>
      <c r="AS66" s="211"/>
      <c r="AT66" s="212"/>
      <c r="AU66" s="212"/>
      <c r="AV66" s="212"/>
      <c r="AW66" s="212"/>
    </row>
    <row r="67" spans="1:49" ht="14.25">
      <c r="A67" s="210"/>
      <c r="B67" s="210"/>
      <c r="C67" s="210"/>
      <c r="D67" s="216"/>
      <c r="E67" s="216"/>
      <c r="F67" s="210"/>
      <c r="G67" s="216"/>
      <c r="H67" s="210"/>
      <c r="I67" s="216"/>
      <c r="J67" s="210"/>
      <c r="K67" s="216"/>
      <c r="L67" s="210"/>
      <c r="M67" s="216"/>
      <c r="N67" s="212"/>
      <c r="O67" s="211"/>
      <c r="P67" s="215"/>
      <c r="Q67" s="216"/>
      <c r="R67" s="217"/>
      <c r="S67" s="210"/>
      <c r="T67" s="210"/>
      <c r="U67" s="225"/>
      <c r="V67" s="213"/>
      <c r="W67" s="213"/>
      <c r="X67" s="213"/>
      <c r="Y67" s="213"/>
      <c r="Z67" s="447"/>
      <c r="AA67" s="217"/>
      <c r="AB67" s="210"/>
      <c r="AC67" s="210"/>
      <c r="AD67" s="210"/>
      <c r="AE67" s="210"/>
      <c r="AF67" s="210"/>
      <c r="AG67" s="210"/>
      <c r="AH67" s="210"/>
      <c r="AI67" s="210"/>
      <c r="AJ67" s="210"/>
      <c r="AK67" s="210"/>
      <c r="AL67" s="210"/>
      <c r="AM67" s="210"/>
      <c r="AN67" s="210"/>
      <c r="AO67" s="448"/>
      <c r="AP67" s="448"/>
      <c r="AQ67" s="210"/>
      <c r="AR67" s="210"/>
      <c r="AS67" s="211"/>
      <c r="AT67" s="212"/>
      <c r="AU67" s="212"/>
      <c r="AV67" s="212"/>
      <c r="AW67" s="212"/>
    </row>
    <row r="68" spans="1:49" ht="14.25">
      <c r="A68" s="210"/>
      <c r="B68" s="210"/>
      <c r="C68" s="210"/>
      <c r="D68" s="216"/>
      <c r="E68" s="216"/>
      <c r="F68" s="210"/>
      <c r="G68" s="216"/>
      <c r="H68" s="210"/>
      <c r="I68" s="216"/>
      <c r="J68" s="210"/>
      <c r="K68" s="216"/>
      <c r="L68" s="210"/>
      <c r="M68" s="216"/>
      <c r="N68" s="212"/>
      <c r="O68" s="211"/>
      <c r="P68" s="215"/>
      <c r="Q68" s="216"/>
      <c r="R68" s="217"/>
      <c r="S68" s="210"/>
      <c r="T68" s="210"/>
      <c r="U68" s="225"/>
      <c r="V68" s="213"/>
      <c r="W68" s="213"/>
      <c r="X68" s="213"/>
      <c r="Y68" s="213"/>
      <c r="Z68" s="447"/>
      <c r="AA68" s="217"/>
      <c r="AB68" s="210"/>
      <c r="AC68" s="210"/>
      <c r="AD68" s="210"/>
      <c r="AE68" s="210"/>
      <c r="AF68" s="210"/>
      <c r="AG68" s="210"/>
      <c r="AH68" s="210"/>
      <c r="AI68" s="210"/>
      <c r="AJ68" s="210"/>
      <c r="AK68" s="210"/>
      <c r="AL68" s="210"/>
      <c r="AM68" s="210"/>
      <c r="AN68" s="210"/>
      <c r="AO68" s="448"/>
      <c r="AP68" s="448"/>
      <c r="AQ68" s="210"/>
      <c r="AR68" s="210"/>
      <c r="AS68" s="211"/>
      <c r="AT68" s="212"/>
      <c r="AU68" s="212"/>
      <c r="AV68" s="212"/>
      <c r="AW68" s="212"/>
    </row>
    <row r="69" spans="1:49" ht="14.25">
      <c r="A69" s="210"/>
      <c r="B69" s="210"/>
      <c r="C69" s="210"/>
      <c r="D69" s="216"/>
      <c r="E69" s="216"/>
      <c r="F69" s="210"/>
      <c r="G69" s="216"/>
      <c r="H69" s="210"/>
      <c r="I69" s="216"/>
      <c r="J69" s="210"/>
      <c r="K69" s="216"/>
      <c r="L69" s="210"/>
      <c r="M69" s="216"/>
      <c r="N69" s="212"/>
      <c r="O69" s="211"/>
      <c r="P69" s="215"/>
      <c r="Q69" s="216"/>
      <c r="R69" s="217"/>
      <c r="S69" s="210"/>
      <c r="T69" s="210"/>
      <c r="U69" s="225"/>
      <c r="V69" s="213"/>
      <c r="W69" s="213"/>
      <c r="X69" s="213"/>
      <c r="Y69" s="213"/>
      <c r="Z69" s="447"/>
      <c r="AA69" s="217"/>
      <c r="AB69" s="210"/>
      <c r="AC69" s="210"/>
      <c r="AD69" s="210"/>
      <c r="AE69" s="210"/>
      <c r="AF69" s="210"/>
      <c r="AG69" s="210"/>
      <c r="AH69" s="210"/>
      <c r="AI69" s="210"/>
      <c r="AJ69" s="210"/>
      <c r="AK69" s="210"/>
      <c r="AL69" s="210"/>
      <c r="AM69" s="210"/>
      <c r="AN69" s="210"/>
      <c r="AO69" s="448"/>
      <c r="AP69" s="448"/>
      <c r="AQ69" s="210"/>
      <c r="AR69" s="210"/>
      <c r="AS69" s="211"/>
      <c r="AT69" s="212"/>
      <c r="AU69" s="212"/>
      <c r="AV69" s="212"/>
      <c r="AW69" s="212"/>
    </row>
    <row r="70" spans="1:49" ht="14.25">
      <c r="A70" s="210"/>
      <c r="B70" s="210"/>
      <c r="C70" s="210"/>
      <c r="D70" s="216"/>
      <c r="E70" s="216"/>
      <c r="F70" s="210"/>
      <c r="G70" s="216"/>
      <c r="H70" s="210"/>
      <c r="I70" s="216"/>
      <c r="J70" s="210"/>
      <c r="K70" s="216"/>
      <c r="L70" s="210"/>
      <c r="M70" s="216"/>
      <c r="N70" s="212"/>
      <c r="O70" s="211"/>
      <c r="P70" s="215"/>
      <c r="Q70" s="216"/>
      <c r="R70" s="217"/>
      <c r="S70" s="210"/>
      <c r="T70" s="210"/>
      <c r="U70" s="225"/>
      <c r="V70" s="213"/>
      <c r="W70" s="213"/>
      <c r="X70" s="213"/>
      <c r="Y70" s="213"/>
      <c r="Z70" s="447"/>
      <c r="AA70" s="217"/>
      <c r="AB70" s="210"/>
      <c r="AC70" s="210"/>
      <c r="AD70" s="210"/>
      <c r="AE70" s="210"/>
      <c r="AF70" s="210"/>
      <c r="AG70" s="210"/>
      <c r="AH70" s="210"/>
      <c r="AI70" s="210"/>
      <c r="AJ70" s="210"/>
      <c r="AK70" s="210"/>
      <c r="AL70" s="210"/>
      <c r="AM70" s="210"/>
      <c r="AN70" s="210"/>
      <c r="AO70" s="448"/>
      <c r="AP70" s="448"/>
      <c r="AQ70" s="210"/>
      <c r="AR70" s="210"/>
      <c r="AS70" s="211"/>
      <c r="AT70" s="212"/>
      <c r="AU70" s="212"/>
      <c r="AV70" s="212"/>
      <c r="AW70" s="212"/>
    </row>
    <row r="71" spans="1:49" ht="14.25">
      <c r="A71" s="210"/>
      <c r="B71" s="210"/>
      <c r="C71" s="210"/>
      <c r="D71" s="216"/>
      <c r="E71" s="216"/>
      <c r="F71" s="210"/>
      <c r="G71" s="216"/>
      <c r="H71" s="210"/>
      <c r="I71" s="216"/>
      <c r="J71" s="210"/>
      <c r="K71" s="216"/>
      <c r="L71" s="210"/>
      <c r="M71" s="216"/>
      <c r="N71" s="212"/>
      <c r="O71" s="211"/>
      <c r="P71" s="215"/>
      <c r="Q71" s="216"/>
      <c r="R71" s="217"/>
      <c r="S71" s="210"/>
      <c r="T71" s="210"/>
      <c r="U71" s="225"/>
      <c r="V71" s="213"/>
      <c r="W71" s="213"/>
      <c r="X71" s="213"/>
      <c r="Y71" s="213"/>
      <c r="Z71" s="447"/>
      <c r="AA71" s="217"/>
      <c r="AB71" s="210"/>
      <c r="AC71" s="210"/>
      <c r="AD71" s="210"/>
      <c r="AE71" s="210"/>
      <c r="AF71" s="210"/>
      <c r="AG71" s="210"/>
      <c r="AH71" s="210"/>
      <c r="AI71" s="210"/>
      <c r="AJ71" s="210"/>
      <c r="AK71" s="210"/>
      <c r="AL71" s="210"/>
      <c r="AM71" s="210"/>
      <c r="AN71" s="210"/>
      <c r="AO71" s="448"/>
      <c r="AP71" s="448"/>
      <c r="AQ71" s="210"/>
      <c r="AR71" s="210"/>
      <c r="AS71" s="211"/>
      <c r="AT71" s="212"/>
      <c r="AU71" s="212"/>
      <c r="AV71" s="212"/>
      <c r="AW71" s="212"/>
    </row>
    <row r="72" spans="1:49" ht="14.25">
      <c r="A72" s="210"/>
      <c r="B72" s="210"/>
      <c r="C72" s="210"/>
      <c r="D72" s="216"/>
      <c r="E72" s="216"/>
      <c r="F72" s="210"/>
      <c r="G72" s="216"/>
      <c r="H72" s="210"/>
      <c r="I72" s="216"/>
      <c r="J72" s="210"/>
      <c r="K72" s="216"/>
      <c r="L72" s="210"/>
      <c r="M72" s="216"/>
      <c r="N72" s="212"/>
      <c r="O72" s="211"/>
      <c r="P72" s="215"/>
      <c r="Q72" s="216"/>
      <c r="R72" s="217"/>
      <c r="S72" s="210"/>
      <c r="T72" s="210"/>
      <c r="U72" s="225"/>
      <c r="V72" s="213"/>
      <c r="W72" s="213"/>
      <c r="X72" s="213"/>
      <c r="Y72" s="213"/>
      <c r="Z72" s="447"/>
      <c r="AA72" s="217"/>
      <c r="AB72" s="210"/>
      <c r="AC72" s="210"/>
      <c r="AD72" s="210"/>
      <c r="AE72" s="210"/>
      <c r="AF72" s="210"/>
      <c r="AG72" s="210"/>
      <c r="AH72" s="210"/>
      <c r="AI72" s="210"/>
      <c r="AJ72" s="210"/>
      <c r="AK72" s="210"/>
      <c r="AL72" s="210"/>
      <c r="AM72" s="210"/>
      <c r="AN72" s="210"/>
      <c r="AO72" s="448"/>
      <c r="AP72" s="448"/>
      <c r="AQ72" s="210"/>
      <c r="AR72" s="210"/>
      <c r="AS72" s="211"/>
      <c r="AT72" s="212"/>
      <c r="AU72" s="212"/>
      <c r="AV72" s="212"/>
      <c r="AW72" s="212"/>
    </row>
    <row r="73" spans="1:49" ht="14.25">
      <c r="A73" s="210"/>
      <c r="B73" s="210"/>
      <c r="C73" s="210"/>
      <c r="D73" s="216"/>
      <c r="E73" s="216"/>
      <c r="F73" s="210"/>
      <c r="G73" s="216"/>
      <c r="H73" s="210"/>
      <c r="I73" s="216"/>
      <c r="J73" s="210"/>
      <c r="K73" s="216"/>
      <c r="L73" s="210"/>
      <c r="M73" s="216"/>
      <c r="N73" s="212"/>
      <c r="O73" s="211"/>
      <c r="P73" s="215"/>
      <c r="Q73" s="216"/>
      <c r="R73" s="217"/>
      <c r="S73" s="210"/>
      <c r="T73" s="210"/>
      <c r="U73" s="225"/>
      <c r="V73" s="213"/>
      <c r="W73" s="213"/>
      <c r="X73" s="213"/>
      <c r="Y73" s="213"/>
      <c r="Z73" s="447"/>
      <c r="AA73" s="217"/>
      <c r="AB73" s="210"/>
      <c r="AC73" s="210"/>
      <c r="AD73" s="210"/>
      <c r="AE73" s="210"/>
      <c r="AF73" s="210"/>
      <c r="AG73" s="210"/>
      <c r="AH73" s="210"/>
      <c r="AI73" s="210"/>
      <c r="AJ73" s="210"/>
      <c r="AK73" s="210"/>
      <c r="AL73" s="210"/>
      <c r="AM73" s="210"/>
      <c r="AN73" s="210"/>
      <c r="AO73" s="448"/>
      <c r="AP73" s="448"/>
      <c r="AQ73" s="210"/>
      <c r="AR73" s="210"/>
      <c r="AS73" s="211"/>
      <c r="AT73" s="212"/>
      <c r="AU73" s="212"/>
      <c r="AV73" s="212"/>
      <c r="AW73" s="212"/>
    </row>
    <row r="74" spans="1:49" ht="14.25">
      <c r="A74" s="210"/>
      <c r="B74" s="210"/>
      <c r="C74" s="210"/>
      <c r="D74" s="216"/>
      <c r="E74" s="216"/>
      <c r="F74" s="210"/>
      <c r="G74" s="216"/>
      <c r="H74" s="210"/>
      <c r="I74" s="216"/>
      <c r="J74" s="210"/>
      <c r="K74" s="216"/>
      <c r="L74" s="210"/>
      <c r="M74" s="216"/>
      <c r="N74" s="212"/>
      <c r="O74" s="211"/>
      <c r="P74" s="215"/>
      <c r="Q74" s="216"/>
      <c r="R74" s="217"/>
      <c r="S74" s="210"/>
      <c r="T74" s="210"/>
      <c r="U74" s="225"/>
      <c r="V74" s="213"/>
      <c r="W74" s="213"/>
      <c r="X74" s="213"/>
      <c r="Y74" s="213"/>
      <c r="Z74" s="447"/>
      <c r="AA74" s="217"/>
      <c r="AB74" s="210"/>
      <c r="AC74" s="210"/>
      <c r="AD74" s="210"/>
      <c r="AE74" s="210"/>
      <c r="AF74" s="210"/>
      <c r="AG74" s="210"/>
      <c r="AH74" s="210"/>
      <c r="AI74" s="210"/>
      <c r="AJ74" s="210"/>
      <c r="AK74" s="210"/>
      <c r="AL74" s="210"/>
      <c r="AM74" s="210"/>
      <c r="AN74" s="210"/>
      <c r="AO74" s="448"/>
      <c r="AP74" s="448"/>
      <c r="AQ74" s="210"/>
      <c r="AR74" s="210"/>
      <c r="AS74" s="211"/>
      <c r="AT74" s="212"/>
      <c r="AU74" s="212"/>
      <c r="AV74" s="212"/>
      <c r="AW74" s="212"/>
    </row>
    <row r="75" spans="1:49" ht="14.25">
      <c r="A75" s="210"/>
      <c r="B75" s="210"/>
      <c r="C75" s="210"/>
      <c r="D75" s="216"/>
      <c r="E75" s="216"/>
      <c r="F75" s="210"/>
      <c r="G75" s="216"/>
      <c r="H75" s="210"/>
      <c r="I75" s="216"/>
      <c r="J75" s="210"/>
      <c r="K75" s="216"/>
      <c r="L75" s="210"/>
      <c r="M75" s="216"/>
      <c r="N75" s="212"/>
      <c r="O75" s="211"/>
      <c r="P75" s="215"/>
      <c r="Q75" s="216"/>
      <c r="R75" s="217"/>
      <c r="S75" s="210"/>
      <c r="T75" s="210"/>
      <c r="U75" s="225"/>
      <c r="V75" s="213"/>
      <c r="W75" s="213"/>
      <c r="X75" s="213"/>
      <c r="Y75" s="213"/>
      <c r="Z75" s="447"/>
      <c r="AA75" s="217"/>
      <c r="AB75" s="210"/>
      <c r="AC75" s="210"/>
      <c r="AD75" s="210"/>
      <c r="AE75" s="210"/>
      <c r="AF75" s="210"/>
      <c r="AG75" s="210"/>
      <c r="AH75" s="210"/>
      <c r="AI75" s="210"/>
      <c r="AJ75" s="210"/>
      <c r="AK75" s="210"/>
      <c r="AL75" s="210"/>
      <c r="AM75" s="210"/>
      <c r="AN75" s="210"/>
      <c r="AO75" s="448"/>
      <c r="AP75" s="448"/>
      <c r="AQ75" s="210"/>
      <c r="AR75" s="210"/>
      <c r="AS75" s="211"/>
      <c r="AT75" s="212"/>
      <c r="AU75" s="212"/>
      <c r="AV75" s="212"/>
      <c r="AW75" s="212"/>
    </row>
    <row r="76" spans="1:49" ht="14.25">
      <c r="A76" s="210"/>
      <c r="B76" s="210"/>
      <c r="C76" s="210"/>
      <c r="D76" s="216"/>
      <c r="E76" s="216"/>
      <c r="F76" s="210"/>
      <c r="G76" s="216"/>
      <c r="H76" s="210"/>
      <c r="I76" s="216"/>
      <c r="J76" s="210"/>
      <c r="K76" s="216"/>
      <c r="L76" s="210"/>
      <c r="M76" s="216"/>
      <c r="N76" s="212"/>
      <c r="O76" s="211"/>
      <c r="P76" s="215"/>
      <c r="Q76" s="216"/>
      <c r="R76" s="217"/>
      <c r="S76" s="210"/>
      <c r="T76" s="210"/>
      <c r="U76" s="225"/>
      <c r="V76" s="213"/>
      <c r="W76" s="213"/>
      <c r="X76" s="213"/>
      <c r="Y76" s="213"/>
      <c r="Z76" s="447"/>
      <c r="AA76" s="217"/>
      <c r="AB76" s="210"/>
      <c r="AC76" s="210"/>
      <c r="AD76" s="210"/>
      <c r="AE76" s="210"/>
      <c r="AF76" s="210"/>
      <c r="AG76" s="210"/>
      <c r="AH76" s="210"/>
      <c r="AI76" s="210"/>
      <c r="AJ76" s="210"/>
      <c r="AK76" s="210"/>
      <c r="AL76" s="210"/>
      <c r="AM76" s="210"/>
      <c r="AN76" s="210"/>
      <c r="AO76" s="448"/>
      <c r="AP76" s="448"/>
      <c r="AQ76" s="210"/>
      <c r="AR76" s="210"/>
      <c r="AS76" s="211"/>
      <c r="AT76" s="212"/>
      <c r="AU76" s="212"/>
      <c r="AV76" s="212"/>
      <c r="AW76" s="212"/>
    </row>
    <row r="77" spans="1:49" ht="14.25">
      <c r="A77" s="210"/>
      <c r="B77" s="210"/>
      <c r="C77" s="210"/>
      <c r="D77" s="216"/>
      <c r="E77" s="216"/>
      <c r="F77" s="210"/>
      <c r="G77" s="216"/>
      <c r="H77" s="210"/>
      <c r="I77" s="216"/>
      <c r="J77" s="210"/>
      <c r="K77" s="216"/>
      <c r="L77" s="210"/>
      <c r="M77" s="216"/>
      <c r="N77" s="212"/>
      <c r="O77" s="211"/>
      <c r="P77" s="215"/>
      <c r="Q77" s="216"/>
      <c r="R77" s="217"/>
      <c r="S77" s="210"/>
      <c r="T77" s="210"/>
      <c r="U77" s="225"/>
      <c r="V77" s="213"/>
      <c r="W77" s="213"/>
      <c r="X77" s="213"/>
      <c r="Y77" s="213"/>
      <c r="Z77" s="447"/>
      <c r="AA77" s="217"/>
      <c r="AB77" s="210"/>
      <c r="AC77" s="210"/>
      <c r="AD77" s="210"/>
      <c r="AE77" s="210"/>
      <c r="AF77" s="210"/>
      <c r="AG77" s="210"/>
      <c r="AH77" s="210"/>
      <c r="AI77" s="210"/>
      <c r="AJ77" s="210"/>
      <c r="AK77" s="210"/>
      <c r="AL77" s="210"/>
      <c r="AM77" s="210"/>
      <c r="AN77" s="210"/>
      <c r="AO77" s="448"/>
      <c r="AP77" s="448"/>
      <c r="AQ77" s="210"/>
      <c r="AR77" s="210"/>
      <c r="AS77" s="211"/>
      <c r="AT77" s="212"/>
      <c r="AU77" s="212"/>
      <c r="AV77" s="212"/>
      <c r="AW77" s="212"/>
    </row>
    <row r="78" spans="1:49" ht="14.25">
      <c r="A78" s="210"/>
      <c r="B78" s="210"/>
      <c r="C78" s="210"/>
      <c r="D78" s="216"/>
      <c r="E78" s="216"/>
      <c r="F78" s="210"/>
      <c r="G78" s="216"/>
      <c r="H78" s="210"/>
      <c r="I78" s="216"/>
      <c r="J78" s="210"/>
      <c r="K78" s="216"/>
      <c r="L78" s="210"/>
      <c r="M78" s="216"/>
      <c r="N78" s="212"/>
      <c r="O78" s="211"/>
      <c r="P78" s="215"/>
      <c r="Q78" s="216"/>
      <c r="R78" s="217"/>
      <c r="S78" s="210"/>
      <c r="T78" s="210"/>
      <c r="U78" s="225"/>
      <c r="V78" s="213"/>
      <c r="W78" s="213"/>
      <c r="X78" s="213"/>
      <c r="Y78" s="213"/>
      <c r="Z78" s="447"/>
      <c r="AA78" s="217"/>
      <c r="AB78" s="210"/>
      <c r="AC78" s="210"/>
      <c r="AD78" s="210"/>
      <c r="AE78" s="210"/>
      <c r="AF78" s="210"/>
      <c r="AG78" s="210"/>
      <c r="AH78" s="210"/>
      <c r="AI78" s="210"/>
      <c r="AJ78" s="210"/>
      <c r="AK78" s="210"/>
      <c r="AL78" s="210"/>
      <c r="AM78" s="210"/>
      <c r="AN78" s="210"/>
      <c r="AO78" s="448"/>
      <c r="AP78" s="448"/>
      <c r="AQ78" s="210"/>
      <c r="AR78" s="210"/>
      <c r="AS78" s="211"/>
      <c r="AT78" s="212"/>
      <c r="AU78" s="212"/>
      <c r="AV78" s="212"/>
      <c r="AW78" s="212"/>
    </row>
    <row r="79" spans="1:49" ht="14.25">
      <c r="A79" s="210"/>
      <c r="B79" s="210"/>
      <c r="C79" s="210"/>
      <c r="D79" s="216"/>
      <c r="E79" s="216"/>
      <c r="F79" s="210"/>
      <c r="G79" s="216"/>
      <c r="H79" s="210"/>
      <c r="I79" s="216"/>
      <c r="J79" s="210"/>
      <c r="K79" s="216"/>
      <c r="L79" s="210"/>
      <c r="M79" s="216"/>
      <c r="N79" s="212"/>
      <c r="O79" s="211"/>
      <c r="P79" s="215"/>
      <c r="Q79" s="216"/>
      <c r="R79" s="217"/>
      <c r="S79" s="210"/>
      <c r="T79" s="210"/>
      <c r="U79" s="225"/>
      <c r="V79" s="213"/>
      <c r="W79" s="213"/>
      <c r="X79" s="213"/>
      <c r="Y79" s="213"/>
      <c r="Z79" s="447"/>
      <c r="AA79" s="217"/>
      <c r="AB79" s="210"/>
      <c r="AC79" s="210"/>
      <c r="AD79" s="210"/>
      <c r="AE79" s="210"/>
      <c r="AF79" s="210"/>
      <c r="AG79" s="210"/>
      <c r="AH79" s="210"/>
      <c r="AI79" s="210"/>
      <c r="AJ79" s="210"/>
      <c r="AK79" s="210"/>
      <c r="AL79" s="210"/>
      <c r="AM79" s="210"/>
      <c r="AN79" s="210"/>
      <c r="AO79" s="448"/>
      <c r="AP79" s="448"/>
      <c r="AQ79" s="210"/>
      <c r="AR79" s="210"/>
      <c r="AS79" s="211"/>
      <c r="AT79" s="212"/>
      <c r="AU79" s="212"/>
      <c r="AV79" s="212"/>
      <c r="AW79" s="212"/>
    </row>
    <row r="80" spans="1:49" ht="14.25">
      <c r="A80" s="210"/>
      <c r="B80" s="210"/>
      <c r="C80" s="210"/>
      <c r="D80" s="216"/>
      <c r="E80" s="216"/>
      <c r="F80" s="210"/>
      <c r="G80" s="216"/>
      <c r="H80" s="210"/>
      <c r="I80" s="216"/>
      <c r="J80" s="210"/>
      <c r="K80" s="216"/>
      <c r="L80" s="210"/>
      <c r="M80" s="216"/>
      <c r="N80" s="212"/>
      <c r="O80" s="211"/>
      <c r="P80" s="215"/>
      <c r="Q80" s="216"/>
      <c r="R80" s="217"/>
      <c r="S80" s="210"/>
      <c r="T80" s="210"/>
      <c r="U80" s="225"/>
      <c r="V80" s="213"/>
      <c r="W80" s="213"/>
      <c r="X80" s="213"/>
      <c r="Y80" s="213"/>
      <c r="Z80" s="447"/>
      <c r="AA80" s="217"/>
      <c r="AB80" s="210"/>
      <c r="AC80" s="210"/>
      <c r="AD80" s="210"/>
      <c r="AE80" s="210"/>
      <c r="AF80" s="210"/>
      <c r="AG80" s="210"/>
      <c r="AH80" s="210"/>
      <c r="AI80" s="210"/>
      <c r="AJ80" s="210"/>
      <c r="AK80" s="210"/>
      <c r="AL80" s="210"/>
      <c r="AM80" s="210"/>
      <c r="AN80" s="210"/>
      <c r="AO80" s="448"/>
      <c r="AP80" s="448"/>
      <c r="AQ80" s="210"/>
      <c r="AR80" s="210"/>
      <c r="AS80" s="211"/>
      <c r="AT80" s="212"/>
      <c r="AU80" s="212"/>
      <c r="AV80" s="212"/>
      <c r="AW80" s="212"/>
    </row>
    <row r="81" spans="1:49" ht="14.25">
      <c r="A81" s="210"/>
      <c r="B81" s="210"/>
      <c r="C81" s="210"/>
      <c r="D81" s="216"/>
      <c r="E81" s="216"/>
      <c r="F81" s="210"/>
      <c r="G81" s="216"/>
      <c r="H81" s="210"/>
      <c r="I81" s="216"/>
      <c r="J81" s="210"/>
      <c r="K81" s="216"/>
      <c r="L81" s="210"/>
      <c r="M81" s="216"/>
      <c r="N81" s="212"/>
      <c r="O81" s="211"/>
      <c r="P81" s="215"/>
      <c r="Q81" s="216"/>
      <c r="R81" s="217"/>
      <c r="S81" s="210"/>
      <c r="T81" s="210"/>
      <c r="U81" s="225"/>
      <c r="V81" s="213"/>
      <c r="W81" s="213"/>
      <c r="X81" s="213"/>
      <c r="Y81" s="213"/>
      <c r="Z81" s="447"/>
      <c r="AA81" s="217"/>
      <c r="AB81" s="210"/>
      <c r="AC81" s="210"/>
      <c r="AD81" s="210"/>
      <c r="AE81" s="210"/>
      <c r="AF81" s="210"/>
      <c r="AG81" s="210"/>
      <c r="AH81" s="210"/>
      <c r="AI81" s="210"/>
      <c r="AJ81" s="210"/>
      <c r="AK81" s="210"/>
      <c r="AL81" s="210"/>
      <c r="AM81" s="210"/>
      <c r="AN81" s="210"/>
      <c r="AO81" s="448"/>
      <c r="AP81" s="448"/>
      <c r="AQ81" s="210"/>
      <c r="AR81" s="210"/>
      <c r="AS81" s="211"/>
      <c r="AT81" s="212"/>
      <c r="AU81" s="212"/>
      <c r="AV81" s="212"/>
      <c r="AW81" s="212"/>
    </row>
    <row r="82" spans="1:49" ht="14.25">
      <c r="A82" s="210"/>
      <c r="B82" s="210"/>
      <c r="C82" s="210"/>
      <c r="D82" s="216"/>
      <c r="E82" s="216"/>
      <c r="F82" s="210"/>
      <c r="G82" s="216"/>
      <c r="H82" s="210"/>
      <c r="I82" s="216"/>
      <c r="J82" s="210"/>
      <c r="K82" s="216"/>
      <c r="L82" s="210"/>
      <c r="M82" s="216"/>
      <c r="N82" s="212"/>
      <c r="O82" s="211"/>
      <c r="P82" s="215"/>
      <c r="Q82" s="216"/>
      <c r="R82" s="217"/>
      <c r="S82" s="210"/>
      <c r="T82" s="210"/>
      <c r="U82" s="225"/>
      <c r="V82" s="213"/>
      <c r="W82" s="213"/>
      <c r="X82" s="213"/>
      <c r="Y82" s="213"/>
      <c r="Z82" s="447"/>
      <c r="AA82" s="217"/>
      <c r="AB82" s="210"/>
      <c r="AC82" s="210"/>
      <c r="AD82" s="210"/>
      <c r="AE82" s="210"/>
      <c r="AF82" s="210"/>
      <c r="AG82" s="210"/>
      <c r="AH82" s="210"/>
      <c r="AI82" s="210"/>
      <c r="AJ82" s="210"/>
      <c r="AK82" s="210"/>
      <c r="AL82" s="210"/>
      <c r="AM82" s="210"/>
      <c r="AN82" s="210"/>
      <c r="AO82" s="448"/>
      <c r="AP82" s="448"/>
      <c r="AQ82" s="210"/>
      <c r="AR82" s="210"/>
      <c r="AS82" s="211"/>
      <c r="AT82" s="212"/>
      <c r="AU82" s="212"/>
      <c r="AV82" s="212"/>
      <c r="AW82" s="212"/>
    </row>
    <row r="83" spans="1:49" ht="14.25">
      <c r="A83" s="210"/>
      <c r="B83" s="210"/>
      <c r="C83" s="210"/>
      <c r="D83" s="216"/>
      <c r="E83" s="216"/>
      <c r="F83" s="210"/>
      <c r="G83" s="216"/>
      <c r="H83" s="210"/>
      <c r="I83" s="216"/>
      <c r="J83" s="210"/>
      <c r="K83" s="216"/>
      <c r="L83" s="210"/>
      <c r="M83" s="216"/>
      <c r="N83" s="212"/>
      <c r="O83" s="211"/>
      <c r="P83" s="215"/>
      <c r="Q83" s="216"/>
      <c r="R83" s="217"/>
      <c r="S83" s="210"/>
      <c r="T83" s="210"/>
      <c r="U83" s="225"/>
      <c r="V83" s="213"/>
      <c r="W83" s="213"/>
      <c r="X83" s="213"/>
      <c r="Y83" s="213"/>
      <c r="Z83" s="447"/>
      <c r="AA83" s="217"/>
      <c r="AB83" s="210"/>
      <c r="AC83" s="210"/>
      <c r="AD83" s="210"/>
      <c r="AE83" s="210"/>
      <c r="AF83" s="210"/>
      <c r="AG83" s="210"/>
      <c r="AH83" s="210"/>
      <c r="AI83" s="210"/>
      <c r="AJ83" s="210"/>
      <c r="AK83" s="210"/>
      <c r="AL83" s="210"/>
      <c r="AM83" s="210"/>
      <c r="AN83" s="210"/>
      <c r="AO83" s="448"/>
      <c r="AP83" s="448"/>
      <c r="AQ83" s="210"/>
      <c r="AR83" s="210"/>
      <c r="AS83" s="211"/>
      <c r="AT83" s="212"/>
      <c r="AU83" s="212"/>
      <c r="AV83" s="212"/>
      <c r="AW83" s="212"/>
    </row>
    <row r="84" spans="1:49" ht="14.25">
      <c r="A84" s="210"/>
      <c r="B84" s="210"/>
      <c r="C84" s="210"/>
      <c r="D84" s="216"/>
      <c r="E84" s="216"/>
      <c r="F84" s="210"/>
      <c r="G84" s="216"/>
      <c r="H84" s="210"/>
      <c r="I84" s="216"/>
      <c r="J84" s="210"/>
      <c r="K84" s="216"/>
      <c r="L84" s="210"/>
      <c r="M84" s="216"/>
      <c r="N84" s="212"/>
      <c r="O84" s="211"/>
      <c r="P84" s="215"/>
      <c r="Q84" s="216"/>
      <c r="R84" s="217"/>
      <c r="S84" s="210"/>
      <c r="T84" s="210"/>
      <c r="U84" s="225"/>
      <c r="V84" s="213"/>
      <c r="W84" s="213"/>
      <c r="X84" s="213"/>
      <c r="Y84" s="213"/>
      <c r="Z84" s="447"/>
      <c r="AA84" s="217"/>
      <c r="AB84" s="210"/>
      <c r="AC84" s="210"/>
      <c r="AD84" s="210"/>
      <c r="AE84" s="210"/>
      <c r="AF84" s="210"/>
      <c r="AG84" s="210"/>
      <c r="AH84" s="210"/>
      <c r="AI84" s="210"/>
      <c r="AJ84" s="210"/>
      <c r="AK84" s="210"/>
      <c r="AL84" s="210"/>
      <c r="AM84" s="210"/>
      <c r="AN84" s="210"/>
      <c r="AO84" s="448"/>
      <c r="AP84" s="448"/>
      <c r="AQ84" s="210"/>
      <c r="AR84" s="210"/>
      <c r="AS84" s="211"/>
      <c r="AT84" s="212"/>
      <c r="AU84" s="212"/>
      <c r="AV84" s="212"/>
      <c r="AW84" s="212"/>
    </row>
    <row r="85" spans="1:49" ht="14.25">
      <c r="A85" s="210"/>
      <c r="B85" s="210"/>
      <c r="C85" s="210"/>
      <c r="D85" s="216"/>
      <c r="E85" s="216"/>
      <c r="F85" s="210"/>
      <c r="G85" s="216"/>
      <c r="H85" s="210"/>
      <c r="I85" s="216"/>
      <c r="J85" s="210"/>
      <c r="K85" s="216"/>
      <c r="L85" s="210"/>
      <c r="M85" s="216"/>
      <c r="N85" s="212"/>
      <c r="O85" s="211"/>
      <c r="P85" s="215"/>
      <c r="Q85" s="216"/>
      <c r="R85" s="217"/>
      <c r="S85" s="210"/>
      <c r="T85" s="210"/>
      <c r="U85" s="225"/>
      <c r="V85" s="213"/>
      <c r="W85" s="213"/>
      <c r="X85" s="213"/>
      <c r="Y85" s="213"/>
      <c r="Z85" s="447"/>
      <c r="AA85" s="217"/>
      <c r="AB85" s="210"/>
      <c r="AC85" s="210"/>
      <c r="AD85" s="210"/>
      <c r="AE85" s="210"/>
      <c r="AF85" s="210"/>
      <c r="AG85" s="210"/>
      <c r="AH85" s="210"/>
      <c r="AI85" s="210"/>
      <c r="AJ85" s="210"/>
      <c r="AK85" s="210"/>
      <c r="AL85" s="210"/>
      <c r="AM85" s="210"/>
      <c r="AN85" s="210"/>
      <c r="AO85" s="448"/>
      <c r="AP85" s="448"/>
      <c r="AQ85" s="210"/>
      <c r="AR85" s="210"/>
      <c r="AS85" s="211"/>
      <c r="AT85" s="212"/>
      <c r="AU85" s="212"/>
      <c r="AV85" s="212"/>
      <c r="AW85" s="212"/>
    </row>
    <row r="86" spans="1:49" ht="14.25">
      <c r="A86" s="210"/>
      <c r="B86" s="210"/>
      <c r="C86" s="210"/>
      <c r="D86" s="216"/>
      <c r="E86" s="216"/>
      <c r="F86" s="210"/>
      <c r="G86" s="216"/>
      <c r="H86" s="210"/>
      <c r="I86" s="216"/>
      <c r="J86" s="210"/>
      <c r="K86" s="216"/>
      <c r="L86" s="210"/>
      <c r="M86" s="216"/>
      <c r="N86" s="212"/>
      <c r="O86" s="211"/>
      <c r="P86" s="215"/>
      <c r="Q86" s="216"/>
      <c r="R86" s="217"/>
      <c r="S86" s="210"/>
      <c r="T86" s="210"/>
      <c r="U86" s="225"/>
      <c r="V86" s="213"/>
      <c r="W86" s="213"/>
      <c r="X86" s="213"/>
      <c r="Y86" s="213"/>
      <c r="Z86" s="447"/>
      <c r="AA86" s="217"/>
      <c r="AB86" s="210"/>
      <c r="AC86" s="210"/>
      <c r="AD86" s="210"/>
      <c r="AE86" s="210"/>
      <c r="AF86" s="210"/>
      <c r="AG86" s="210"/>
      <c r="AH86" s="210"/>
      <c r="AI86" s="210"/>
      <c r="AJ86" s="210"/>
      <c r="AK86" s="210"/>
      <c r="AL86" s="210"/>
      <c r="AM86" s="210"/>
      <c r="AN86" s="210"/>
      <c r="AO86" s="448"/>
      <c r="AP86" s="448"/>
      <c r="AQ86" s="210"/>
      <c r="AR86" s="210"/>
      <c r="AS86" s="211"/>
      <c r="AT86" s="212"/>
      <c r="AU86" s="212"/>
      <c r="AV86" s="212"/>
      <c r="AW86" s="212"/>
    </row>
    <row r="87" spans="1:49" ht="14.25">
      <c r="A87" s="210"/>
      <c r="B87" s="210"/>
      <c r="C87" s="210"/>
      <c r="D87" s="216"/>
      <c r="E87" s="216"/>
      <c r="F87" s="210"/>
      <c r="G87" s="216"/>
      <c r="H87" s="210"/>
      <c r="I87" s="216"/>
      <c r="J87" s="210"/>
      <c r="K87" s="216"/>
      <c r="L87" s="210"/>
      <c r="M87" s="216"/>
      <c r="N87" s="212"/>
      <c r="O87" s="211"/>
      <c r="P87" s="215"/>
      <c r="Q87" s="216"/>
      <c r="R87" s="217"/>
      <c r="S87" s="210"/>
      <c r="T87" s="210"/>
      <c r="U87" s="225"/>
      <c r="V87" s="213"/>
      <c r="W87" s="213"/>
      <c r="X87" s="213"/>
      <c r="Y87" s="213"/>
      <c r="Z87" s="447"/>
      <c r="AA87" s="217"/>
      <c r="AB87" s="210"/>
      <c r="AC87" s="210"/>
      <c r="AD87" s="210"/>
      <c r="AE87" s="210"/>
      <c r="AF87" s="210"/>
      <c r="AG87" s="210"/>
      <c r="AH87" s="210"/>
      <c r="AI87" s="210"/>
      <c r="AJ87" s="210"/>
      <c r="AK87" s="210"/>
      <c r="AL87" s="210"/>
      <c r="AM87" s="210"/>
      <c r="AN87" s="210"/>
      <c r="AO87" s="448"/>
      <c r="AP87" s="448"/>
      <c r="AQ87" s="210"/>
      <c r="AR87" s="210"/>
      <c r="AS87" s="211"/>
      <c r="AT87" s="212"/>
      <c r="AU87" s="212"/>
      <c r="AV87" s="212"/>
      <c r="AW87" s="212"/>
    </row>
    <row r="88" spans="1:49" ht="14.25">
      <c r="A88" s="210"/>
      <c r="B88" s="210"/>
      <c r="C88" s="210"/>
      <c r="D88" s="216"/>
      <c r="E88" s="216"/>
      <c r="F88" s="210"/>
      <c r="G88" s="216"/>
      <c r="H88" s="210"/>
      <c r="I88" s="216"/>
      <c r="J88" s="210"/>
      <c r="K88" s="216"/>
      <c r="L88" s="210"/>
      <c r="M88" s="216"/>
      <c r="N88" s="212"/>
      <c r="O88" s="211"/>
      <c r="P88" s="215"/>
      <c r="Q88" s="216"/>
      <c r="R88" s="217"/>
      <c r="S88" s="210"/>
      <c r="T88" s="210"/>
      <c r="U88" s="225"/>
      <c r="V88" s="213"/>
      <c r="W88" s="213"/>
      <c r="X88" s="213"/>
      <c r="Y88" s="213"/>
      <c r="Z88" s="447"/>
      <c r="AA88" s="217"/>
      <c r="AB88" s="210"/>
      <c r="AC88" s="210"/>
      <c r="AD88" s="210"/>
      <c r="AE88" s="210"/>
      <c r="AF88" s="210"/>
      <c r="AG88" s="210"/>
      <c r="AH88" s="210"/>
      <c r="AI88" s="210"/>
      <c r="AJ88" s="210"/>
      <c r="AK88" s="210"/>
      <c r="AL88" s="210"/>
      <c r="AM88" s="210"/>
      <c r="AN88" s="210"/>
      <c r="AO88" s="448"/>
      <c r="AP88" s="448"/>
      <c r="AQ88" s="210"/>
      <c r="AR88" s="210"/>
      <c r="AS88" s="211"/>
      <c r="AT88" s="212"/>
      <c r="AU88" s="212"/>
      <c r="AV88" s="212"/>
      <c r="AW88" s="212"/>
    </row>
    <row r="89" spans="1:49" ht="14.25">
      <c r="A89" s="210"/>
      <c r="B89" s="210"/>
      <c r="C89" s="210"/>
      <c r="D89" s="216"/>
      <c r="E89" s="216"/>
      <c r="F89" s="210"/>
      <c r="G89" s="216"/>
      <c r="H89" s="210"/>
      <c r="I89" s="216"/>
      <c r="J89" s="210"/>
      <c r="K89" s="216"/>
      <c r="L89" s="210"/>
      <c r="M89" s="216"/>
      <c r="N89" s="212"/>
      <c r="O89" s="211"/>
      <c r="P89" s="215"/>
      <c r="Q89" s="216"/>
      <c r="R89" s="217"/>
      <c r="S89" s="210"/>
      <c r="T89" s="210"/>
      <c r="U89" s="225"/>
      <c r="V89" s="213"/>
      <c r="W89" s="213"/>
      <c r="X89" s="213"/>
      <c r="Y89" s="213"/>
      <c r="Z89" s="447"/>
      <c r="AA89" s="217"/>
      <c r="AB89" s="210"/>
      <c r="AC89" s="210"/>
      <c r="AD89" s="210"/>
      <c r="AE89" s="210"/>
      <c r="AF89" s="210"/>
      <c r="AG89" s="210"/>
      <c r="AH89" s="210"/>
      <c r="AI89" s="210"/>
      <c r="AJ89" s="210"/>
      <c r="AK89" s="210"/>
      <c r="AL89" s="210"/>
      <c r="AM89" s="210"/>
      <c r="AN89" s="210"/>
      <c r="AO89" s="448"/>
      <c r="AP89" s="448"/>
      <c r="AQ89" s="210"/>
      <c r="AR89" s="210"/>
      <c r="AS89" s="211"/>
      <c r="AT89" s="212"/>
      <c r="AU89" s="212"/>
      <c r="AV89" s="212"/>
      <c r="AW89" s="212"/>
    </row>
    <row r="90" spans="1:49" ht="14.25">
      <c r="A90" s="210"/>
      <c r="B90" s="210"/>
      <c r="C90" s="210"/>
      <c r="D90" s="216"/>
      <c r="E90" s="216"/>
      <c r="F90" s="210"/>
      <c r="G90" s="216"/>
      <c r="H90" s="210"/>
      <c r="I90" s="216"/>
      <c r="J90" s="210"/>
      <c r="K90" s="216"/>
      <c r="L90" s="210"/>
      <c r="M90" s="216"/>
      <c r="N90" s="212"/>
      <c r="O90" s="211"/>
      <c r="P90" s="215"/>
      <c r="Q90" s="216"/>
      <c r="R90" s="217"/>
      <c r="S90" s="210"/>
      <c r="T90" s="210"/>
      <c r="U90" s="225"/>
      <c r="V90" s="213"/>
      <c r="W90" s="213"/>
      <c r="X90" s="213"/>
      <c r="Y90" s="213"/>
      <c r="Z90" s="447"/>
      <c r="AA90" s="217"/>
      <c r="AB90" s="210"/>
      <c r="AC90" s="210"/>
      <c r="AD90" s="210"/>
      <c r="AE90" s="210"/>
      <c r="AF90" s="210"/>
      <c r="AG90" s="210"/>
      <c r="AH90" s="210"/>
      <c r="AI90" s="210"/>
      <c r="AJ90" s="210"/>
      <c r="AK90" s="210"/>
      <c r="AL90" s="210"/>
      <c r="AM90" s="210"/>
      <c r="AN90" s="210"/>
      <c r="AO90" s="448"/>
      <c r="AP90" s="448"/>
      <c r="AQ90" s="210"/>
      <c r="AR90" s="210"/>
      <c r="AS90" s="211"/>
      <c r="AT90" s="212"/>
      <c r="AU90" s="212"/>
      <c r="AV90" s="212"/>
      <c r="AW90" s="212"/>
    </row>
    <row r="91" spans="1:49" ht="14.25">
      <c r="A91" s="210"/>
      <c r="B91" s="210"/>
      <c r="C91" s="210"/>
      <c r="D91" s="216"/>
      <c r="E91" s="216"/>
      <c r="F91" s="210"/>
      <c r="G91" s="216"/>
      <c r="H91" s="210"/>
      <c r="I91" s="216"/>
      <c r="J91" s="210"/>
      <c r="K91" s="216"/>
      <c r="L91" s="210"/>
      <c r="M91" s="216"/>
      <c r="N91" s="212"/>
      <c r="O91" s="211"/>
      <c r="P91" s="215"/>
      <c r="Q91" s="216"/>
      <c r="R91" s="217"/>
      <c r="S91" s="210"/>
      <c r="T91" s="210"/>
      <c r="U91" s="225"/>
      <c r="V91" s="213"/>
      <c r="W91" s="213"/>
      <c r="X91" s="213"/>
      <c r="Y91" s="213"/>
      <c r="Z91" s="447"/>
      <c r="AA91" s="217"/>
      <c r="AB91" s="210"/>
      <c r="AC91" s="210"/>
      <c r="AD91" s="210"/>
      <c r="AE91" s="210"/>
      <c r="AF91" s="210"/>
      <c r="AG91" s="210"/>
      <c r="AH91" s="210"/>
      <c r="AI91" s="210"/>
      <c r="AJ91" s="210"/>
      <c r="AK91" s="210"/>
      <c r="AL91" s="210"/>
      <c r="AM91" s="210"/>
      <c r="AN91" s="210"/>
      <c r="AO91" s="448"/>
      <c r="AP91" s="448"/>
      <c r="AQ91" s="210"/>
      <c r="AR91" s="210"/>
      <c r="AS91" s="211"/>
      <c r="AT91" s="212"/>
      <c r="AU91" s="212"/>
      <c r="AV91" s="212"/>
      <c r="AW91" s="212"/>
    </row>
    <row r="92" spans="1:49" ht="14.25">
      <c r="A92" s="210"/>
      <c r="B92" s="210"/>
      <c r="C92" s="210"/>
      <c r="D92" s="216"/>
      <c r="E92" s="216"/>
      <c r="F92" s="210"/>
      <c r="G92" s="216"/>
      <c r="H92" s="210"/>
      <c r="I92" s="216"/>
      <c r="J92" s="210"/>
      <c r="K92" s="216"/>
      <c r="L92" s="210"/>
      <c r="M92" s="216"/>
      <c r="N92" s="212"/>
      <c r="O92" s="211"/>
      <c r="P92" s="215"/>
      <c r="Q92" s="216"/>
      <c r="R92" s="217"/>
      <c r="S92" s="210"/>
      <c r="T92" s="210"/>
      <c r="U92" s="225"/>
      <c r="V92" s="213"/>
      <c r="W92" s="213"/>
      <c r="X92" s="213"/>
      <c r="Y92" s="213"/>
      <c r="Z92" s="447"/>
      <c r="AA92" s="217"/>
      <c r="AB92" s="210"/>
      <c r="AC92" s="210"/>
      <c r="AD92" s="210"/>
      <c r="AE92" s="210"/>
      <c r="AF92" s="210"/>
      <c r="AG92" s="210"/>
      <c r="AH92" s="210"/>
      <c r="AI92" s="210"/>
      <c r="AJ92" s="210"/>
      <c r="AK92" s="210"/>
      <c r="AL92" s="210"/>
      <c r="AM92" s="210"/>
      <c r="AN92" s="210"/>
      <c r="AO92" s="448"/>
      <c r="AP92" s="448"/>
      <c r="AQ92" s="210"/>
      <c r="AR92" s="210"/>
      <c r="AS92" s="211"/>
      <c r="AT92" s="212"/>
      <c r="AU92" s="212"/>
      <c r="AV92" s="212"/>
      <c r="AW92" s="212"/>
    </row>
    <row r="93" spans="1:49" ht="14.25">
      <c r="A93" s="210"/>
      <c r="B93" s="210"/>
      <c r="C93" s="210"/>
      <c r="D93" s="216"/>
      <c r="E93" s="216"/>
      <c r="F93" s="210"/>
      <c r="G93" s="216"/>
      <c r="H93" s="210"/>
      <c r="I93" s="216"/>
      <c r="J93" s="210"/>
      <c r="K93" s="216"/>
      <c r="L93" s="210"/>
      <c r="M93" s="216"/>
      <c r="N93" s="212"/>
      <c r="O93" s="211"/>
      <c r="P93" s="215"/>
      <c r="Q93" s="216"/>
      <c r="R93" s="217"/>
      <c r="S93" s="210"/>
      <c r="T93" s="210"/>
      <c r="U93" s="225"/>
      <c r="V93" s="213"/>
      <c r="W93" s="213"/>
      <c r="X93" s="213"/>
      <c r="Y93" s="213"/>
      <c r="Z93" s="447"/>
      <c r="AA93" s="217"/>
      <c r="AB93" s="210"/>
      <c r="AC93" s="210"/>
      <c r="AD93" s="210"/>
      <c r="AE93" s="210"/>
      <c r="AF93" s="210"/>
      <c r="AG93" s="210"/>
      <c r="AH93" s="210"/>
      <c r="AI93" s="210"/>
      <c r="AJ93" s="210"/>
      <c r="AK93" s="210"/>
      <c r="AL93" s="210"/>
      <c r="AM93" s="210"/>
      <c r="AN93" s="210"/>
      <c r="AO93" s="448"/>
      <c r="AP93" s="448"/>
      <c r="AQ93" s="210"/>
      <c r="AR93" s="210"/>
      <c r="AS93" s="211"/>
      <c r="AT93" s="212"/>
      <c r="AU93" s="212"/>
      <c r="AV93" s="212"/>
      <c r="AW93" s="212"/>
    </row>
    <row r="94" spans="1:49" ht="14.25">
      <c r="A94" s="210"/>
      <c r="B94" s="210"/>
      <c r="C94" s="210"/>
      <c r="D94" s="216"/>
      <c r="E94" s="216"/>
      <c r="F94" s="210"/>
      <c r="G94" s="216"/>
      <c r="H94" s="210"/>
      <c r="I94" s="216"/>
      <c r="J94" s="210"/>
      <c r="K94" s="216"/>
      <c r="L94" s="210"/>
      <c r="M94" s="216"/>
      <c r="N94" s="212"/>
      <c r="O94" s="211"/>
      <c r="P94" s="215"/>
      <c r="Q94" s="216"/>
      <c r="R94" s="217"/>
      <c r="S94" s="210"/>
      <c r="T94" s="210"/>
      <c r="U94" s="225"/>
      <c r="V94" s="213"/>
      <c r="W94" s="213"/>
      <c r="X94" s="213"/>
      <c r="Y94" s="213"/>
      <c r="Z94" s="447"/>
      <c r="AA94" s="217"/>
      <c r="AB94" s="210"/>
      <c r="AC94" s="210"/>
      <c r="AD94" s="210"/>
      <c r="AE94" s="210"/>
      <c r="AF94" s="210"/>
      <c r="AG94" s="210"/>
      <c r="AH94" s="210"/>
      <c r="AI94" s="210"/>
      <c r="AJ94" s="210"/>
      <c r="AK94" s="210"/>
      <c r="AL94" s="210"/>
      <c r="AM94" s="210"/>
      <c r="AN94" s="210"/>
      <c r="AO94" s="448"/>
      <c r="AP94" s="448"/>
      <c r="AQ94" s="210"/>
      <c r="AR94" s="210"/>
      <c r="AS94" s="211"/>
      <c r="AT94" s="212"/>
      <c r="AU94" s="212"/>
      <c r="AV94" s="212"/>
      <c r="AW94" s="212"/>
    </row>
    <row r="95" spans="1:49" ht="14.25">
      <c r="A95" s="210"/>
      <c r="B95" s="210"/>
      <c r="C95" s="210"/>
      <c r="D95" s="216"/>
      <c r="E95" s="216"/>
      <c r="F95" s="210"/>
      <c r="G95" s="216"/>
      <c r="H95" s="210"/>
      <c r="I95" s="216"/>
      <c r="J95" s="210"/>
      <c r="K95" s="216"/>
      <c r="L95" s="210"/>
      <c r="M95" s="216"/>
      <c r="N95" s="212"/>
      <c r="O95" s="211"/>
      <c r="P95" s="215"/>
      <c r="Q95" s="216"/>
      <c r="R95" s="217"/>
      <c r="S95" s="210"/>
      <c r="T95" s="210"/>
      <c r="U95" s="225"/>
      <c r="V95" s="213"/>
      <c r="W95" s="213"/>
      <c r="X95" s="213"/>
      <c r="Y95" s="213"/>
      <c r="Z95" s="447"/>
      <c r="AA95" s="217"/>
      <c r="AB95" s="210"/>
      <c r="AC95" s="210"/>
      <c r="AD95" s="210"/>
      <c r="AE95" s="210"/>
      <c r="AF95" s="210"/>
      <c r="AG95" s="210"/>
      <c r="AH95" s="210"/>
      <c r="AI95" s="210"/>
      <c r="AJ95" s="210"/>
      <c r="AK95" s="210"/>
      <c r="AL95" s="210"/>
      <c r="AM95" s="210"/>
      <c r="AN95" s="210"/>
      <c r="AO95" s="448"/>
      <c r="AP95" s="448"/>
      <c r="AQ95" s="210"/>
      <c r="AR95" s="210"/>
      <c r="AS95" s="211"/>
      <c r="AT95" s="212"/>
      <c r="AU95" s="212"/>
      <c r="AV95" s="212"/>
      <c r="AW95" s="212"/>
    </row>
    <row r="96" spans="1:49" ht="14.25">
      <c r="A96" s="210"/>
      <c r="B96" s="210"/>
      <c r="C96" s="210"/>
      <c r="D96" s="216"/>
      <c r="E96" s="216"/>
      <c r="F96" s="210"/>
      <c r="G96" s="216"/>
      <c r="H96" s="210"/>
      <c r="I96" s="216"/>
      <c r="J96" s="210"/>
      <c r="K96" s="216"/>
      <c r="L96" s="210"/>
      <c r="M96" s="216"/>
      <c r="N96" s="212"/>
      <c r="O96" s="211"/>
      <c r="P96" s="215"/>
      <c r="Q96" s="216"/>
      <c r="R96" s="217"/>
      <c r="S96" s="210"/>
      <c r="T96" s="210"/>
      <c r="U96" s="225"/>
      <c r="V96" s="213"/>
      <c r="W96" s="213"/>
      <c r="X96" s="213"/>
      <c r="Y96" s="213"/>
      <c r="Z96" s="447"/>
      <c r="AA96" s="217"/>
      <c r="AB96" s="210"/>
      <c r="AC96" s="210"/>
      <c r="AD96" s="210"/>
      <c r="AE96" s="210"/>
      <c r="AF96" s="210"/>
      <c r="AG96" s="210"/>
      <c r="AH96" s="210"/>
      <c r="AI96" s="210"/>
      <c r="AJ96" s="210"/>
      <c r="AK96" s="210"/>
      <c r="AL96" s="210"/>
      <c r="AM96" s="210"/>
      <c r="AN96" s="210"/>
      <c r="AO96" s="448"/>
      <c r="AP96" s="448"/>
      <c r="AQ96" s="210"/>
      <c r="AR96" s="210"/>
      <c r="AS96" s="211"/>
      <c r="AT96" s="212"/>
      <c r="AU96" s="212"/>
      <c r="AV96" s="212"/>
      <c r="AW96" s="212"/>
    </row>
    <row r="97" spans="1:49" ht="14.25">
      <c r="A97" s="210"/>
      <c r="B97" s="210"/>
      <c r="C97" s="210"/>
      <c r="D97" s="216"/>
      <c r="E97" s="216"/>
      <c r="F97" s="210"/>
      <c r="G97" s="216"/>
      <c r="H97" s="210"/>
      <c r="I97" s="216"/>
      <c r="J97" s="210"/>
      <c r="K97" s="216"/>
      <c r="L97" s="210"/>
      <c r="M97" s="216"/>
      <c r="N97" s="212"/>
      <c r="O97" s="211"/>
      <c r="P97" s="215"/>
      <c r="Q97" s="216"/>
      <c r="R97" s="217"/>
      <c r="S97" s="210"/>
      <c r="T97" s="210"/>
      <c r="U97" s="225"/>
      <c r="V97" s="213"/>
      <c r="W97" s="213"/>
      <c r="X97" s="213"/>
      <c r="Y97" s="213"/>
      <c r="Z97" s="447"/>
      <c r="AA97" s="217"/>
      <c r="AB97" s="210"/>
      <c r="AC97" s="210"/>
      <c r="AD97" s="210"/>
      <c r="AE97" s="210"/>
      <c r="AF97" s="210"/>
      <c r="AG97" s="210"/>
      <c r="AH97" s="210"/>
      <c r="AI97" s="210"/>
      <c r="AJ97" s="210"/>
      <c r="AK97" s="210"/>
      <c r="AL97" s="210"/>
      <c r="AM97" s="210"/>
      <c r="AN97" s="210"/>
      <c r="AO97" s="448"/>
      <c r="AP97" s="448"/>
      <c r="AQ97" s="210"/>
      <c r="AR97" s="210"/>
      <c r="AS97" s="211"/>
      <c r="AT97" s="212"/>
      <c r="AU97" s="212"/>
      <c r="AV97" s="212"/>
      <c r="AW97" s="212"/>
    </row>
    <row r="98" spans="1:49" ht="14.25">
      <c r="A98" s="210"/>
      <c r="B98" s="210"/>
      <c r="C98" s="210"/>
      <c r="D98" s="216"/>
      <c r="E98" s="216"/>
      <c r="F98" s="210"/>
      <c r="G98" s="216"/>
      <c r="H98" s="210"/>
      <c r="I98" s="216"/>
      <c r="J98" s="210"/>
      <c r="K98" s="216"/>
      <c r="L98" s="210"/>
      <c r="M98" s="216"/>
      <c r="N98" s="212"/>
      <c r="O98" s="211"/>
      <c r="P98" s="215"/>
      <c r="Q98" s="216"/>
      <c r="R98" s="217"/>
      <c r="S98" s="210"/>
      <c r="T98" s="210"/>
      <c r="U98" s="225"/>
      <c r="V98" s="213"/>
      <c r="W98" s="213"/>
      <c r="X98" s="213"/>
      <c r="Y98" s="213"/>
      <c r="Z98" s="447"/>
      <c r="AA98" s="217"/>
      <c r="AB98" s="210"/>
      <c r="AC98" s="210"/>
      <c r="AD98" s="210"/>
      <c r="AE98" s="210"/>
      <c r="AF98" s="210"/>
      <c r="AG98" s="210"/>
      <c r="AH98" s="210"/>
      <c r="AI98" s="210"/>
      <c r="AJ98" s="210"/>
      <c r="AK98" s="210"/>
      <c r="AL98" s="210"/>
      <c r="AM98" s="210"/>
      <c r="AN98" s="210"/>
      <c r="AO98" s="448"/>
      <c r="AP98" s="448"/>
      <c r="AQ98" s="210"/>
      <c r="AR98" s="210"/>
      <c r="AS98" s="211"/>
      <c r="AT98" s="212"/>
      <c r="AU98" s="212"/>
      <c r="AV98" s="212"/>
      <c r="AW98" s="212"/>
    </row>
    <row r="99" spans="1:49" ht="14.25">
      <c r="A99" s="210"/>
      <c r="B99" s="210"/>
      <c r="C99" s="210"/>
      <c r="D99" s="216"/>
      <c r="E99" s="216"/>
      <c r="F99" s="210"/>
      <c r="G99" s="216"/>
      <c r="H99" s="210"/>
      <c r="I99" s="216"/>
      <c r="J99" s="210"/>
      <c r="K99" s="216"/>
      <c r="L99" s="210"/>
      <c r="M99" s="216"/>
      <c r="N99" s="212"/>
      <c r="O99" s="211"/>
      <c r="P99" s="215"/>
      <c r="Q99" s="216"/>
      <c r="R99" s="217"/>
      <c r="S99" s="210"/>
      <c r="T99" s="210"/>
      <c r="U99" s="225"/>
      <c r="V99" s="213"/>
      <c r="W99" s="213"/>
      <c r="X99" s="213"/>
      <c r="Y99" s="213"/>
      <c r="Z99" s="447"/>
      <c r="AA99" s="217"/>
      <c r="AB99" s="210"/>
      <c r="AC99" s="210"/>
      <c r="AD99" s="210"/>
      <c r="AE99" s="210"/>
      <c r="AF99" s="210"/>
      <c r="AG99" s="210"/>
      <c r="AH99" s="210"/>
      <c r="AI99" s="210"/>
      <c r="AJ99" s="210"/>
      <c r="AK99" s="210"/>
      <c r="AL99" s="210"/>
      <c r="AM99" s="210"/>
      <c r="AN99" s="210"/>
      <c r="AO99" s="448"/>
      <c r="AP99" s="448"/>
      <c r="AQ99" s="210"/>
      <c r="AR99" s="210"/>
      <c r="AS99" s="211"/>
      <c r="AT99" s="212"/>
      <c r="AU99" s="212"/>
      <c r="AV99" s="212"/>
      <c r="AW99" s="212"/>
    </row>
    <row r="100" spans="1:49" ht="14.25">
      <c r="A100" s="210"/>
      <c r="B100" s="210"/>
      <c r="C100" s="210"/>
      <c r="D100" s="216"/>
      <c r="E100" s="216"/>
      <c r="F100" s="210"/>
      <c r="G100" s="216"/>
      <c r="H100" s="210"/>
      <c r="I100" s="216"/>
      <c r="J100" s="210"/>
      <c r="K100" s="216"/>
      <c r="L100" s="210"/>
      <c r="M100" s="216"/>
      <c r="N100" s="212"/>
      <c r="O100" s="211"/>
      <c r="P100" s="215"/>
      <c r="Q100" s="216"/>
      <c r="R100" s="217"/>
      <c r="S100" s="210"/>
      <c r="T100" s="210"/>
      <c r="U100" s="225"/>
      <c r="V100" s="213"/>
      <c r="W100" s="213"/>
      <c r="X100" s="213"/>
      <c r="Y100" s="213"/>
      <c r="Z100" s="447"/>
      <c r="AA100" s="217"/>
      <c r="AB100" s="210"/>
      <c r="AC100" s="210"/>
      <c r="AD100" s="210"/>
      <c r="AE100" s="210"/>
      <c r="AF100" s="210"/>
      <c r="AG100" s="210"/>
      <c r="AH100" s="210"/>
      <c r="AI100" s="210"/>
      <c r="AJ100" s="210"/>
      <c r="AK100" s="210"/>
      <c r="AL100" s="210"/>
      <c r="AM100" s="210"/>
      <c r="AN100" s="210"/>
      <c r="AO100" s="448"/>
      <c r="AP100" s="448"/>
      <c r="AQ100" s="210"/>
      <c r="AR100" s="210"/>
      <c r="AS100" s="211"/>
      <c r="AT100" s="212"/>
      <c r="AU100" s="212"/>
      <c r="AV100" s="212"/>
      <c r="AW100" s="212"/>
    </row>
    <row r="101" spans="1:49" ht="14.25">
      <c r="A101" s="210"/>
      <c r="B101" s="210"/>
      <c r="C101" s="210"/>
      <c r="D101" s="216"/>
      <c r="E101" s="216"/>
      <c r="F101" s="210"/>
      <c r="G101" s="216"/>
      <c r="H101" s="210"/>
      <c r="I101" s="216"/>
      <c r="J101" s="210"/>
      <c r="K101" s="216"/>
      <c r="L101" s="210"/>
      <c r="M101" s="216"/>
      <c r="N101" s="212"/>
      <c r="O101" s="211"/>
      <c r="P101" s="215"/>
      <c r="Q101" s="216"/>
      <c r="R101" s="217"/>
      <c r="S101" s="210"/>
      <c r="T101" s="210"/>
      <c r="U101" s="225"/>
      <c r="V101" s="213"/>
      <c r="W101" s="213"/>
      <c r="X101" s="213"/>
      <c r="Y101" s="213"/>
      <c r="Z101" s="447"/>
      <c r="AA101" s="217"/>
      <c r="AB101" s="210"/>
      <c r="AC101" s="210"/>
      <c r="AD101" s="210"/>
      <c r="AE101" s="210"/>
      <c r="AF101" s="210"/>
      <c r="AG101" s="210"/>
      <c r="AH101" s="210"/>
      <c r="AI101" s="210"/>
      <c r="AJ101" s="210"/>
      <c r="AK101" s="210"/>
      <c r="AL101" s="210"/>
      <c r="AM101" s="210"/>
      <c r="AN101" s="210"/>
      <c r="AO101" s="448"/>
      <c r="AP101" s="448"/>
      <c r="AQ101" s="210"/>
      <c r="AR101" s="210"/>
      <c r="AS101" s="211"/>
      <c r="AT101" s="212"/>
      <c r="AU101" s="212"/>
      <c r="AV101" s="212"/>
      <c r="AW101" s="212"/>
    </row>
    <row r="102" spans="1:49" ht="14.25">
      <c r="A102" s="210"/>
      <c r="B102" s="210"/>
      <c r="C102" s="210"/>
      <c r="D102" s="216"/>
      <c r="E102" s="216"/>
      <c r="F102" s="210"/>
      <c r="G102" s="216"/>
      <c r="H102" s="210"/>
      <c r="I102" s="216"/>
      <c r="J102" s="210"/>
      <c r="K102" s="216"/>
      <c r="L102" s="210"/>
      <c r="M102" s="216"/>
      <c r="N102" s="212"/>
      <c r="O102" s="211"/>
      <c r="P102" s="215"/>
      <c r="Q102" s="216"/>
      <c r="R102" s="217"/>
      <c r="S102" s="210"/>
      <c r="T102" s="210"/>
      <c r="U102" s="225"/>
      <c r="V102" s="213"/>
      <c r="W102" s="213"/>
      <c r="X102" s="213"/>
      <c r="Y102" s="213"/>
      <c r="Z102" s="447"/>
      <c r="AA102" s="217"/>
      <c r="AB102" s="210"/>
      <c r="AC102" s="210"/>
      <c r="AD102" s="210"/>
      <c r="AE102" s="210"/>
      <c r="AF102" s="210"/>
      <c r="AG102" s="210"/>
      <c r="AH102" s="210"/>
      <c r="AI102" s="210"/>
      <c r="AJ102" s="210"/>
      <c r="AK102" s="210"/>
      <c r="AL102" s="210"/>
      <c r="AM102" s="210"/>
      <c r="AN102" s="210"/>
      <c r="AO102" s="448"/>
      <c r="AP102" s="448"/>
      <c r="AQ102" s="210"/>
      <c r="AR102" s="210"/>
      <c r="AS102" s="211"/>
      <c r="AT102" s="212"/>
      <c r="AU102" s="212"/>
      <c r="AV102" s="212"/>
      <c r="AW102" s="212"/>
    </row>
    <row r="103" spans="1:49" ht="14.25">
      <c r="A103" s="210"/>
      <c r="B103" s="210"/>
      <c r="C103" s="210"/>
      <c r="D103" s="216"/>
      <c r="E103" s="216"/>
      <c r="F103" s="210"/>
      <c r="G103" s="216"/>
      <c r="H103" s="210"/>
      <c r="I103" s="216"/>
      <c r="J103" s="210"/>
      <c r="K103" s="216"/>
      <c r="L103" s="210"/>
      <c r="M103" s="216"/>
      <c r="N103" s="212"/>
      <c r="O103" s="211"/>
      <c r="P103" s="215"/>
      <c r="Q103" s="216"/>
      <c r="R103" s="217"/>
      <c r="S103" s="210"/>
      <c r="T103" s="210"/>
      <c r="U103" s="225"/>
      <c r="V103" s="213"/>
      <c r="W103" s="213"/>
      <c r="X103" s="213"/>
      <c r="Y103" s="213"/>
      <c r="Z103" s="447"/>
      <c r="AA103" s="217"/>
      <c r="AB103" s="210"/>
      <c r="AC103" s="210"/>
      <c r="AD103" s="210"/>
      <c r="AE103" s="210"/>
      <c r="AF103" s="210"/>
      <c r="AG103" s="210"/>
      <c r="AH103" s="210"/>
      <c r="AI103" s="210"/>
      <c r="AJ103" s="210"/>
      <c r="AK103" s="210"/>
      <c r="AL103" s="210"/>
      <c r="AM103" s="210"/>
      <c r="AN103" s="210"/>
      <c r="AO103" s="448"/>
      <c r="AP103" s="448"/>
      <c r="AQ103" s="210"/>
      <c r="AR103" s="210"/>
      <c r="AS103" s="211"/>
      <c r="AT103" s="212"/>
      <c r="AU103" s="212"/>
      <c r="AV103" s="212"/>
      <c r="AW103" s="212"/>
    </row>
    <row r="104" spans="1:49" ht="14.25">
      <c r="A104" s="210"/>
      <c r="B104" s="210"/>
      <c r="C104" s="210"/>
      <c r="D104" s="216"/>
      <c r="E104" s="216"/>
      <c r="F104" s="210"/>
      <c r="G104" s="216"/>
      <c r="H104" s="210"/>
      <c r="I104" s="216"/>
      <c r="J104" s="210"/>
      <c r="K104" s="216"/>
      <c r="L104" s="210"/>
      <c r="M104" s="216"/>
      <c r="N104" s="212"/>
      <c r="O104" s="211"/>
      <c r="P104" s="215"/>
      <c r="Q104" s="216"/>
      <c r="R104" s="217"/>
      <c r="S104" s="210"/>
      <c r="T104" s="210"/>
      <c r="U104" s="225"/>
      <c r="V104" s="213"/>
      <c r="W104" s="213"/>
      <c r="X104" s="213"/>
      <c r="Y104" s="213"/>
      <c r="Z104" s="447"/>
      <c r="AA104" s="217"/>
      <c r="AB104" s="210"/>
      <c r="AC104" s="210"/>
      <c r="AD104" s="210"/>
      <c r="AE104" s="210"/>
      <c r="AF104" s="210"/>
      <c r="AG104" s="210"/>
      <c r="AH104" s="210"/>
      <c r="AI104" s="210"/>
      <c r="AJ104" s="210"/>
      <c r="AK104" s="210"/>
      <c r="AL104" s="210"/>
      <c r="AM104" s="210"/>
      <c r="AN104" s="210"/>
      <c r="AO104" s="448"/>
      <c r="AP104" s="448"/>
      <c r="AQ104" s="210"/>
      <c r="AR104" s="210"/>
      <c r="AS104" s="211"/>
      <c r="AT104" s="212"/>
      <c r="AU104" s="212"/>
      <c r="AV104" s="212"/>
      <c r="AW104" s="212"/>
    </row>
    <row r="105" spans="1:49" ht="14.25">
      <c r="A105" s="210"/>
      <c r="B105" s="210"/>
      <c r="C105" s="210"/>
      <c r="D105" s="216"/>
      <c r="E105" s="216"/>
      <c r="F105" s="210"/>
      <c r="G105" s="216"/>
      <c r="H105" s="210"/>
      <c r="I105" s="216"/>
      <c r="J105" s="210"/>
      <c r="K105" s="216"/>
      <c r="L105" s="210"/>
      <c r="M105" s="216"/>
      <c r="N105" s="212"/>
      <c r="O105" s="211"/>
      <c r="P105" s="215"/>
      <c r="Q105" s="216"/>
      <c r="R105" s="217"/>
      <c r="S105" s="210"/>
      <c r="T105" s="210"/>
      <c r="U105" s="225"/>
      <c r="V105" s="213"/>
      <c r="W105" s="213"/>
      <c r="X105" s="213"/>
      <c r="Y105" s="213"/>
      <c r="Z105" s="447"/>
      <c r="AA105" s="217"/>
      <c r="AB105" s="210"/>
      <c r="AC105" s="210"/>
      <c r="AD105" s="210"/>
      <c r="AE105" s="210"/>
      <c r="AF105" s="210"/>
      <c r="AG105" s="210"/>
      <c r="AH105" s="210"/>
      <c r="AI105" s="210"/>
      <c r="AJ105" s="210"/>
      <c r="AK105" s="210"/>
      <c r="AL105" s="210"/>
      <c r="AM105" s="210"/>
      <c r="AN105" s="210"/>
      <c r="AO105" s="448"/>
      <c r="AP105" s="448"/>
      <c r="AQ105" s="210"/>
      <c r="AR105" s="210"/>
      <c r="AS105" s="211"/>
      <c r="AT105" s="212"/>
      <c r="AU105" s="212"/>
      <c r="AV105" s="212"/>
      <c r="AW105" s="212"/>
    </row>
    <row r="106" spans="1:49" ht="14.25">
      <c r="A106" s="210"/>
      <c r="B106" s="210"/>
      <c r="C106" s="210"/>
      <c r="D106" s="216"/>
      <c r="E106" s="216"/>
      <c r="F106" s="210"/>
      <c r="G106" s="216"/>
      <c r="H106" s="210"/>
      <c r="I106" s="216"/>
      <c r="J106" s="210"/>
      <c r="K106" s="216"/>
      <c r="L106" s="210"/>
      <c r="M106" s="216"/>
      <c r="N106" s="212"/>
      <c r="O106" s="211"/>
      <c r="P106" s="215"/>
      <c r="Q106" s="216"/>
      <c r="R106" s="217"/>
      <c r="S106" s="210"/>
      <c r="T106" s="210"/>
      <c r="U106" s="225"/>
      <c r="V106" s="213"/>
      <c r="W106" s="213"/>
      <c r="X106" s="213"/>
      <c r="Y106" s="213"/>
      <c r="Z106" s="447"/>
      <c r="AA106" s="217"/>
      <c r="AB106" s="210"/>
      <c r="AC106" s="210"/>
      <c r="AD106" s="210"/>
      <c r="AE106" s="210"/>
      <c r="AF106" s="210"/>
      <c r="AG106" s="210"/>
      <c r="AH106" s="210"/>
      <c r="AI106" s="210"/>
      <c r="AJ106" s="210"/>
      <c r="AK106" s="210"/>
      <c r="AL106" s="210"/>
      <c r="AM106" s="210"/>
      <c r="AN106" s="210"/>
      <c r="AO106" s="448"/>
      <c r="AP106" s="448"/>
      <c r="AQ106" s="210"/>
      <c r="AR106" s="210"/>
      <c r="AS106" s="211"/>
      <c r="AT106" s="212"/>
      <c r="AU106" s="212"/>
      <c r="AV106" s="212"/>
      <c r="AW106" s="212"/>
    </row>
    <row r="107" spans="1:49" ht="14.25">
      <c r="A107" s="210"/>
      <c r="B107" s="210"/>
      <c r="C107" s="210"/>
      <c r="D107" s="216"/>
      <c r="E107" s="216"/>
      <c r="F107" s="210"/>
      <c r="G107" s="216"/>
      <c r="H107" s="210"/>
      <c r="I107" s="216"/>
      <c r="J107" s="210"/>
      <c r="K107" s="216"/>
      <c r="L107" s="210"/>
      <c r="M107" s="216"/>
      <c r="N107" s="212"/>
      <c r="O107" s="211"/>
      <c r="P107" s="215"/>
      <c r="Q107" s="216"/>
      <c r="R107" s="217"/>
      <c r="S107" s="210"/>
      <c r="T107" s="210"/>
      <c r="U107" s="225"/>
      <c r="V107" s="213"/>
      <c r="W107" s="213"/>
      <c r="X107" s="213"/>
      <c r="Y107" s="213"/>
      <c r="Z107" s="447"/>
      <c r="AA107" s="217"/>
      <c r="AB107" s="210"/>
      <c r="AC107" s="210"/>
      <c r="AD107" s="210"/>
      <c r="AE107" s="210"/>
      <c r="AF107" s="210"/>
      <c r="AG107" s="210"/>
      <c r="AH107" s="210"/>
      <c r="AI107" s="210"/>
      <c r="AJ107" s="210"/>
      <c r="AK107" s="210"/>
      <c r="AL107" s="210"/>
      <c r="AM107" s="210"/>
      <c r="AN107" s="210"/>
      <c r="AO107" s="448"/>
      <c r="AP107" s="448"/>
      <c r="AQ107" s="210"/>
      <c r="AR107" s="210"/>
      <c r="AS107" s="211"/>
      <c r="AT107" s="212"/>
      <c r="AU107" s="212"/>
      <c r="AV107" s="212"/>
      <c r="AW107" s="212"/>
    </row>
    <row r="108" spans="1:49" ht="14.25">
      <c r="A108" s="210"/>
      <c r="B108" s="210"/>
      <c r="C108" s="210"/>
      <c r="D108" s="216"/>
      <c r="E108" s="216"/>
      <c r="F108" s="210"/>
      <c r="G108" s="216"/>
      <c r="H108" s="210"/>
      <c r="I108" s="216"/>
      <c r="J108" s="210"/>
      <c r="K108" s="216"/>
      <c r="L108" s="210"/>
      <c r="M108" s="216"/>
      <c r="N108" s="212"/>
      <c r="O108" s="211"/>
      <c r="P108" s="215"/>
      <c r="Q108" s="216"/>
      <c r="R108" s="217"/>
      <c r="S108" s="210"/>
      <c r="T108" s="210"/>
      <c r="U108" s="225"/>
      <c r="V108" s="213"/>
      <c r="W108" s="213"/>
      <c r="X108" s="213"/>
      <c r="Y108" s="213"/>
      <c r="Z108" s="447"/>
      <c r="AA108" s="217"/>
      <c r="AB108" s="210"/>
      <c r="AC108" s="210"/>
      <c r="AD108" s="210"/>
      <c r="AE108" s="210"/>
      <c r="AF108" s="210"/>
      <c r="AG108" s="210"/>
      <c r="AH108" s="210"/>
      <c r="AI108" s="210"/>
      <c r="AJ108" s="210"/>
      <c r="AK108" s="210"/>
      <c r="AL108" s="210"/>
      <c r="AM108" s="210"/>
      <c r="AN108" s="210"/>
      <c r="AO108" s="448"/>
      <c r="AP108" s="448"/>
      <c r="AQ108" s="210"/>
      <c r="AR108" s="210"/>
      <c r="AS108" s="211"/>
      <c r="AT108" s="212"/>
      <c r="AU108" s="212"/>
      <c r="AV108" s="212"/>
      <c r="AW108" s="212"/>
    </row>
    <row r="109" spans="1:49" ht="14.25">
      <c r="A109" s="210"/>
      <c r="B109" s="210"/>
      <c r="C109" s="210"/>
      <c r="D109" s="216"/>
      <c r="E109" s="216"/>
      <c r="F109" s="210"/>
      <c r="G109" s="216"/>
      <c r="H109" s="210"/>
      <c r="I109" s="216"/>
      <c r="J109" s="210"/>
      <c r="K109" s="216"/>
      <c r="L109" s="210"/>
      <c r="M109" s="216"/>
      <c r="N109" s="212"/>
      <c r="O109" s="211"/>
      <c r="P109" s="215"/>
      <c r="Q109" s="216"/>
      <c r="R109" s="217"/>
      <c r="S109" s="210"/>
      <c r="T109" s="210"/>
      <c r="U109" s="225"/>
      <c r="V109" s="213"/>
      <c r="W109" s="213"/>
      <c r="X109" s="213"/>
      <c r="Y109" s="213"/>
      <c r="Z109" s="447"/>
      <c r="AA109" s="217"/>
      <c r="AB109" s="210"/>
      <c r="AC109" s="210"/>
      <c r="AD109" s="210"/>
      <c r="AE109" s="210"/>
      <c r="AF109" s="210"/>
      <c r="AG109" s="210"/>
      <c r="AH109" s="210"/>
      <c r="AI109" s="210"/>
      <c r="AJ109" s="210"/>
      <c r="AK109" s="210"/>
      <c r="AL109" s="210"/>
      <c r="AM109" s="210"/>
      <c r="AN109" s="210"/>
      <c r="AO109" s="448"/>
      <c r="AP109" s="448"/>
      <c r="AQ109" s="210"/>
      <c r="AR109" s="210"/>
      <c r="AS109" s="211"/>
      <c r="AT109" s="212"/>
      <c r="AU109" s="212"/>
      <c r="AV109" s="212"/>
      <c r="AW109" s="212"/>
    </row>
    <row r="110" spans="1:49" ht="14.25">
      <c r="A110" s="210"/>
      <c r="B110" s="210"/>
      <c r="C110" s="210"/>
      <c r="D110" s="216"/>
      <c r="E110" s="216"/>
      <c r="F110" s="210"/>
      <c r="G110" s="216"/>
      <c r="H110" s="210"/>
      <c r="I110" s="216"/>
      <c r="J110" s="210"/>
      <c r="K110" s="216"/>
      <c r="L110" s="210"/>
      <c r="M110" s="216"/>
      <c r="N110" s="212"/>
      <c r="O110" s="211"/>
      <c r="P110" s="215"/>
      <c r="Q110" s="216"/>
      <c r="R110" s="217"/>
      <c r="S110" s="210"/>
      <c r="T110" s="210"/>
      <c r="U110" s="225"/>
      <c r="V110" s="213"/>
      <c r="W110" s="213"/>
      <c r="X110" s="213"/>
      <c r="Y110" s="213"/>
      <c r="Z110" s="447"/>
      <c r="AA110" s="217"/>
      <c r="AB110" s="210"/>
      <c r="AC110" s="210"/>
      <c r="AD110" s="210"/>
      <c r="AE110" s="210"/>
      <c r="AF110" s="210"/>
      <c r="AG110" s="210"/>
      <c r="AH110" s="210"/>
      <c r="AI110" s="210"/>
      <c r="AJ110" s="210"/>
      <c r="AK110" s="210"/>
      <c r="AL110" s="210"/>
      <c r="AM110" s="210"/>
      <c r="AN110" s="210"/>
      <c r="AO110" s="448"/>
      <c r="AP110" s="448"/>
      <c r="AQ110" s="210"/>
      <c r="AR110" s="210"/>
      <c r="AS110" s="211"/>
      <c r="AT110" s="212"/>
      <c r="AU110" s="212"/>
      <c r="AV110" s="212"/>
      <c r="AW110" s="212"/>
    </row>
    <row r="111" spans="1:49" ht="14.25">
      <c r="A111" s="210"/>
      <c r="B111" s="210"/>
      <c r="C111" s="210"/>
      <c r="D111" s="216"/>
      <c r="E111" s="216"/>
      <c r="F111" s="210"/>
      <c r="G111" s="216"/>
      <c r="H111" s="210"/>
      <c r="I111" s="216"/>
      <c r="J111" s="210"/>
      <c r="K111" s="216"/>
      <c r="L111" s="210"/>
      <c r="M111" s="216"/>
      <c r="N111" s="212"/>
      <c r="O111" s="211"/>
      <c r="P111" s="215"/>
      <c r="Q111" s="216"/>
      <c r="R111" s="217"/>
      <c r="S111" s="210"/>
      <c r="T111" s="210"/>
      <c r="U111" s="225"/>
      <c r="V111" s="213"/>
      <c r="W111" s="213"/>
      <c r="X111" s="213"/>
      <c r="Y111" s="213"/>
      <c r="Z111" s="447"/>
      <c r="AA111" s="217"/>
      <c r="AB111" s="210"/>
      <c r="AC111" s="210"/>
      <c r="AD111" s="210"/>
      <c r="AE111" s="210"/>
      <c r="AF111" s="210"/>
      <c r="AG111" s="210"/>
      <c r="AH111" s="210"/>
      <c r="AI111" s="210"/>
      <c r="AJ111" s="210"/>
      <c r="AK111" s="210"/>
      <c r="AL111" s="210"/>
      <c r="AM111" s="210"/>
      <c r="AN111" s="210"/>
      <c r="AO111" s="448"/>
      <c r="AP111" s="448"/>
      <c r="AQ111" s="210"/>
      <c r="AR111" s="210"/>
      <c r="AS111" s="211"/>
      <c r="AT111" s="212"/>
      <c r="AU111" s="212"/>
      <c r="AV111" s="212"/>
      <c r="AW111" s="212"/>
    </row>
    <row r="112" spans="1:49" ht="14.25">
      <c r="A112" s="210"/>
      <c r="B112" s="210"/>
      <c r="C112" s="210"/>
      <c r="D112" s="216"/>
      <c r="E112" s="216"/>
      <c r="F112" s="210"/>
      <c r="G112" s="216"/>
      <c r="H112" s="210"/>
      <c r="I112" s="216"/>
      <c r="J112" s="210"/>
      <c r="K112" s="216"/>
      <c r="L112" s="210"/>
      <c r="M112" s="216"/>
      <c r="N112" s="212"/>
      <c r="O112" s="211"/>
      <c r="P112" s="215"/>
      <c r="Q112" s="216"/>
      <c r="R112" s="217"/>
      <c r="S112" s="210"/>
      <c r="T112" s="210"/>
      <c r="U112" s="225"/>
      <c r="V112" s="213"/>
      <c r="W112" s="213"/>
      <c r="X112" s="213"/>
      <c r="Y112" s="213"/>
      <c r="Z112" s="447"/>
      <c r="AA112" s="217"/>
      <c r="AB112" s="210"/>
      <c r="AC112" s="210"/>
      <c r="AD112" s="210"/>
      <c r="AE112" s="210"/>
      <c r="AF112" s="210"/>
      <c r="AG112" s="210"/>
      <c r="AH112" s="210"/>
      <c r="AI112" s="210"/>
      <c r="AJ112" s="210"/>
      <c r="AK112" s="210"/>
      <c r="AL112" s="210"/>
      <c r="AM112" s="210"/>
      <c r="AN112" s="210"/>
      <c r="AO112" s="448"/>
      <c r="AP112" s="448"/>
      <c r="AQ112" s="210"/>
      <c r="AR112" s="210"/>
      <c r="AS112" s="211"/>
      <c r="AT112" s="212"/>
      <c r="AU112" s="212"/>
      <c r="AV112" s="212"/>
      <c r="AW112" s="212"/>
    </row>
    <row r="113" spans="1:49" ht="14.25">
      <c r="A113" s="210"/>
      <c r="B113" s="210"/>
      <c r="C113" s="210"/>
      <c r="D113" s="216"/>
      <c r="E113" s="216"/>
      <c r="F113" s="210"/>
      <c r="G113" s="216"/>
      <c r="H113" s="210"/>
      <c r="I113" s="216"/>
      <c r="J113" s="210"/>
      <c r="K113" s="216"/>
      <c r="L113" s="210"/>
      <c r="M113" s="216"/>
      <c r="N113" s="212"/>
      <c r="O113" s="211"/>
      <c r="P113" s="215"/>
      <c r="Q113" s="216"/>
      <c r="R113" s="217"/>
      <c r="S113" s="210"/>
      <c r="T113" s="210"/>
      <c r="U113" s="225"/>
      <c r="V113" s="213"/>
      <c r="W113" s="213"/>
      <c r="X113" s="213"/>
      <c r="Y113" s="213"/>
      <c r="Z113" s="447"/>
      <c r="AA113" s="217"/>
      <c r="AB113" s="210"/>
      <c r="AC113" s="210"/>
      <c r="AD113" s="210"/>
      <c r="AE113" s="210"/>
      <c r="AF113" s="210"/>
      <c r="AG113" s="210"/>
      <c r="AH113" s="210"/>
      <c r="AI113" s="210"/>
      <c r="AJ113" s="210"/>
      <c r="AK113" s="210"/>
      <c r="AL113" s="210"/>
      <c r="AM113" s="210"/>
      <c r="AN113" s="210"/>
      <c r="AO113" s="448"/>
      <c r="AP113" s="448"/>
      <c r="AQ113" s="210"/>
      <c r="AR113" s="210"/>
      <c r="AS113" s="211"/>
      <c r="AT113" s="212"/>
      <c r="AU113" s="212"/>
      <c r="AV113" s="212"/>
      <c r="AW113" s="212"/>
    </row>
    <row r="114" spans="1:49" ht="14.25">
      <c r="A114" s="210"/>
      <c r="B114" s="210"/>
      <c r="C114" s="210"/>
      <c r="D114" s="216"/>
      <c r="E114" s="216"/>
      <c r="F114" s="210"/>
      <c r="G114" s="216"/>
      <c r="H114" s="210"/>
      <c r="I114" s="216"/>
      <c r="J114" s="210"/>
      <c r="K114" s="216"/>
      <c r="L114" s="210"/>
      <c r="M114" s="216"/>
      <c r="N114" s="212"/>
      <c r="O114" s="211"/>
      <c r="P114" s="215"/>
      <c r="Q114" s="216"/>
      <c r="R114" s="217"/>
      <c r="S114" s="210"/>
      <c r="T114" s="210"/>
      <c r="U114" s="225"/>
      <c r="V114" s="213"/>
      <c r="W114" s="213"/>
      <c r="X114" s="213"/>
      <c r="Y114" s="213"/>
      <c r="Z114" s="447"/>
      <c r="AA114" s="217"/>
      <c r="AB114" s="210"/>
      <c r="AC114" s="210"/>
      <c r="AD114" s="210"/>
      <c r="AE114" s="210"/>
      <c r="AF114" s="210"/>
      <c r="AG114" s="210"/>
      <c r="AH114" s="210"/>
      <c r="AI114" s="210"/>
      <c r="AJ114" s="210"/>
      <c r="AK114" s="210"/>
      <c r="AL114" s="210"/>
      <c r="AM114" s="210"/>
      <c r="AN114" s="210"/>
      <c r="AO114" s="448"/>
      <c r="AP114" s="448"/>
      <c r="AQ114" s="210"/>
      <c r="AR114" s="210"/>
      <c r="AS114" s="211"/>
      <c r="AT114" s="212"/>
      <c r="AU114" s="212"/>
      <c r="AV114" s="212"/>
      <c r="AW114" s="212"/>
    </row>
    <row r="115" spans="1:49" ht="14.25">
      <c r="A115" s="210"/>
      <c r="B115" s="210"/>
      <c r="C115" s="210"/>
      <c r="D115" s="216"/>
      <c r="E115" s="216"/>
      <c r="F115" s="210"/>
      <c r="G115" s="216"/>
      <c r="H115" s="210"/>
      <c r="I115" s="216"/>
      <c r="J115" s="210"/>
      <c r="K115" s="216"/>
      <c r="L115" s="210"/>
      <c r="M115" s="216"/>
      <c r="N115" s="212"/>
      <c r="O115" s="211"/>
      <c r="P115" s="215"/>
      <c r="Q115" s="216"/>
      <c r="R115" s="217"/>
      <c r="S115" s="210"/>
      <c r="T115" s="210"/>
      <c r="U115" s="225"/>
      <c r="V115" s="213"/>
      <c r="W115" s="213"/>
      <c r="X115" s="213"/>
      <c r="Y115" s="213"/>
      <c r="Z115" s="447"/>
      <c r="AA115" s="217"/>
      <c r="AB115" s="210"/>
      <c r="AC115" s="210"/>
      <c r="AD115" s="210"/>
      <c r="AE115" s="210"/>
      <c r="AF115" s="210"/>
      <c r="AG115" s="210"/>
      <c r="AH115" s="210"/>
      <c r="AI115" s="210"/>
      <c r="AJ115" s="210"/>
      <c r="AK115" s="210"/>
      <c r="AL115" s="210"/>
      <c r="AM115" s="210"/>
      <c r="AN115" s="210"/>
      <c r="AO115" s="448"/>
      <c r="AP115" s="448"/>
      <c r="AQ115" s="210"/>
      <c r="AR115" s="210"/>
      <c r="AS115" s="211"/>
      <c r="AT115" s="212"/>
      <c r="AU115" s="212"/>
      <c r="AV115" s="212"/>
      <c r="AW115" s="212"/>
    </row>
    <row r="116" spans="1:49" ht="14.25">
      <c r="A116" s="210"/>
      <c r="B116" s="210"/>
      <c r="C116" s="210"/>
      <c r="D116" s="216"/>
      <c r="E116" s="216"/>
      <c r="F116" s="210"/>
      <c r="G116" s="216"/>
      <c r="H116" s="210"/>
      <c r="I116" s="216"/>
      <c r="J116" s="210"/>
      <c r="K116" s="216"/>
      <c r="L116" s="210"/>
      <c r="M116" s="216"/>
      <c r="N116" s="212"/>
      <c r="O116" s="211"/>
      <c r="P116" s="215"/>
      <c r="Q116" s="216"/>
      <c r="R116" s="217"/>
      <c r="S116" s="210"/>
      <c r="T116" s="210"/>
      <c r="U116" s="225"/>
      <c r="V116" s="213"/>
      <c r="W116" s="213"/>
      <c r="X116" s="213"/>
      <c r="Y116" s="213"/>
      <c r="Z116" s="447"/>
      <c r="AA116" s="217"/>
      <c r="AB116" s="210"/>
      <c r="AC116" s="210"/>
      <c r="AD116" s="210"/>
      <c r="AE116" s="210"/>
      <c r="AF116" s="210"/>
      <c r="AG116" s="210"/>
      <c r="AH116" s="210"/>
      <c r="AI116" s="210"/>
      <c r="AJ116" s="210"/>
      <c r="AK116" s="210"/>
      <c r="AL116" s="210"/>
      <c r="AM116" s="210"/>
      <c r="AN116" s="210"/>
      <c r="AO116" s="448"/>
      <c r="AP116" s="448"/>
      <c r="AQ116" s="210"/>
      <c r="AR116" s="210"/>
      <c r="AS116" s="211"/>
      <c r="AT116" s="212"/>
      <c r="AU116" s="212"/>
      <c r="AV116" s="212"/>
      <c r="AW116" s="212"/>
    </row>
    <row r="117" spans="1:49" ht="14.25">
      <c r="A117" s="210"/>
      <c r="B117" s="210"/>
      <c r="C117" s="210"/>
      <c r="D117" s="216"/>
      <c r="E117" s="216"/>
      <c r="F117" s="210"/>
      <c r="G117" s="216"/>
      <c r="H117" s="210"/>
      <c r="I117" s="216"/>
      <c r="J117" s="210"/>
      <c r="K117" s="216"/>
      <c r="L117" s="210"/>
      <c r="M117" s="216"/>
      <c r="N117" s="212"/>
      <c r="O117" s="211"/>
      <c r="P117" s="215"/>
      <c r="Q117" s="216"/>
      <c r="R117" s="217"/>
      <c r="S117" s="210"/>
      <c r="T117" s="210"/>
      <c r="U117" s="225"/>
      <c r="V117" s="213"/>
      <c r="W117" s="213"/>
      <c r="X117" s="213"/>
      <c r="Y117" s="213"/>
      <c r="Z117" s="447"/>
      <c r="AA117" s="217"/>
      <c r="AB117" s="210"/>
      <c r="AC117" s="210"/>
      <c r="AD117" s="210"/>
      <c r="AE117" s="210"/>
      <c r="AF117" s="210"/>
      <c r="AG117" s="210"/>
      <c r="AH117" s="210"/>
      <c r="AI117" s="210"/>
      <c r="AJ117" s="210"/>
      <c r="AK117" s="210"/>
      <c r="AL117" s="210"/>
      <c r="AM117" s="210"/>
      <c r="AN117" s="210"/>
      <c r="AO117" s="448"/>
      <c r="AP117" s="448"/>
      <c r="AQ117" s="210"/>
      <c r="AR117" s="210"/>
      <c r="AS117" s="211"/>
      <c r="AT117" s="212"/>
      <c r="AU117" s="212"/>
      <c r="AV117" s="212"/>
      <c r="AW117" s="212"/>
    </row>
    <row r="118" spans="1:49" ht="14.25">
      <c r="A118" s="210"/>
      <c r="B118" s="210"/>
      <c r="C118" s="210"/>
      <c r="D118" s="216"/>
      <c r="E118" s="216"/>
      <c r="F118" s="210"/>
      <c r="G118" s="216"/>
      <c r="H118" s="210"/>
      <c r="I118" s="216"/>
      <c r="J118" s="210"/>
      <c r="K118" s="216"/>
      <c r="L118" s="210"/>
      <c r="M118" s="216"/>
      <c r="N118" s="212"/>
      <c r="O118" s="211"/>
      <c r="P118" s="215"/>
      <c r="Q118" s="216"/>
      <c r="R118" s="217"/>
      <c r="S118" s="210"/>
      <c r="T118" s="210"/>
      <c r="U118" s="225"/>
      <c r="V118" s="213"/>
      <c r="W118" s="213"/>
      <c r="X118" s="213"/>
      <c r="Y118" s="213"/>
      <c r="Z118" s="447"/>
      <c r="AA118" s="217"/>
      <c r="AB118" s="210"/>
      <c r="AC118" s="210"/>
      <c r="AD118" s="210"/>
      <c r="AE118" s="210"/>
      <c r="AF118" s="210"/>
      <c r="AG118" s="210"/>
      <c r="AH118" s="210"/>
      <c r="AI118" s="210"/>
      <c r="AJ118" s="210"/>
      <c r="AK118" s="210"/>
      <c r="AL118" s="210"/>
      <c r="AM118" s="210"/>
      <c r="AN118" s="210"/>
      <c r="AO118" s="448"/>
      <c r="AP118" s="448"/>
      <c r="AQ118" s="210"/>
      <c r="AR118" s="210"/>
      <c r="AS118" s="211"/>
      <c r="AT118" s="212"/>
      <c r="AU118" s="212"/>
      <c r="AV118" s="212"/>
      <c r="AW118" s="212"/>
    </row>
    <row r="119" spans="1:49" ht="14.25">
      <c r="A119" s="210"/>
      <c r="B119" s="210"/>
      <c r="C119" s="210"/>
      <c r="D119" s="216"/>
      <c r="E119" s="216"/>
      <c r="F119" s="210"/>
      <c r="G119" s="216"/>
      <c r="H119" s="210"/>
      <c r="I119" s="216"/>
      <c r="J119" s="210"/>
      <c r="K119" s="216"/>
      <c r="L119" s="210"/>
      <c r="M119" s="216"/>
      <c r="N119" s="212"/>
      <c r="O119" s="211"/>
      <c r="P119" s="215"/>
      <c r="Q119" s="216"/>
      <c r="R119" s="217"/>
      <c r="S119" s="210"/>
      <c r="T119" s="210"/>
      <c r="U119" s="225"/>
      <c r="V119" s="213"/>
      <c r="W119" s="213"/>
      <c r="X119" s="213"/>
      <c r="Y119" s="213"/>
      <c r="Z119" s="447"/>
      <c r="AA119" s="217"/>
      <c r="AB119" s="210"/>
      <c r="AC119" s="210"/>
      <c r="AD119" s="210"/>
      <c r="AE119" s="210"/>
      <c r="AF119" s="210"/>
      <c r="AG119" s="210"/>
      <c r="AH119" s="210"/>
      <c r="AI119" s="210"/>
      <c r="AJ119" s="210"/>
      <c r="AK119" s="210"/>
      <c r="AL119" s="210"/>
      <c r="AM119" s="210"/>
      <c r="AN119" s="210"/>
      <c r="AO119" s="448"/>
      <c r="AP119" s="448"/>
      <c r="AQ119" s="210"/>
      <c r="AR119" s="210"/>
      <c r="AS119" s="211"/>
      <c r="AT119" s="212"/>
      <c r="AU119" s="212"/>
      <c r="AV119" s="212"/>
      <c r="AW119" s="212"/>
    </row>
    <row r="120" spans="1:49" ht="14.25">
      <c r="A120" s="210"/>
      <c r="B120" s="210"/>
      <c r="C120" s="210"/>
      <c r="D120" s="216"/>
      <c r="E120" s="216"/>
      <c r="F120" s="210"/>
      <c r="G120" s="216"/>
      <c r="H120" s="210"/>
      <c r="I120" s="216"/>
      <c r="J120" s="210"/>
      <c r="K120" s="216"/>
      <c r="L120" s="210"/>
      <c r="M120" s="216"/>
      <c r="N120" s="212"/>
      <c r="O120" s="211"/>
      <c r="P120" s="215"/>
      <c r="Q120" s="216"/>
      <c r="R120" s="217"/>
      <c r="S120" s="210"/>
      <c r="T120" s="210"/>
      <c r="U120" s="225"/>
      <c r="V120" s="213"/>
      <c r="W120" s="213"/>
      <c r="X120" s="213"/>
      <c r="Y120" s="213"/>
      <c r="Z120" s="447"/>
      <c r="AA120" s="217"/>
      <c r="AB120" s="210"/>
      <c r="AC120" s="210"/>
      <c r="AD120" s="210"/>
      <c r="AE120" s="210"/>
      <c r="AF120" s="210"/>
      <c r="AG120" s="210"/>
      <c r="AH120" s="210"/>
      <c r="AI120" s="210"/>
      <c r="AJ120" s="210"/>
      <c r="AK120" s="210"/>
      <c r="AL120" s="210"/>
      <c r="AM120" s="210"/>
      <c r="AN120" s="210"/>
      <c r="AO120" s="448"/>
      <c r="AP120" s="448"/>
      <c r="AQ120" s="210"/>
      <c r="AR120" s="210"/>
      <c r="AS120" s="211"/>
      <c r="AT120" s="212"/>
      <c r="AU120" s="212"/>
      <c r="AV120" s="212"/>
      <c r="AW120" s="212"/>
    </row>
    <row r="121" spans="1:49" ht="14.25">
      <c r="A121" s="210"/>
      <c r="B121" s="210"/>
      <c r="C121" s="210"/>
      <c r="D121" s="216"/>
      <c r="E121" s="216"/>
      <c r="F121" s="210"/>
      <c r="G121" s="216"/>
      <c r="H121" s="210"/>
      <c r="I121" s="216"/>
      <c r="J121" s="210"/>
      <c r="K121" s="216"/>
      <c r="L121" s="210"/>
      <c r="M121" s="216"/>
      <c r="N121" s="212"/>
      <c r="O121" s="211"/>
      <c r="P121" s="215"/>
      <c r="Q121" s="216"/>
      <c r="R121" s="217"/>
      <c r="S121" s="210"/>
      <c r="T121" s="210"/>
      <c r="U121" s="225"/>
      <c r="V121" s="213"/>
      <c r="W121" s="213"/>
      <c r="X121" s="213"/>
      <c r="Y121" s="213"/>
      <c r="Z121" s="447"/>
      <c r="AA121" s="217"/>
      <c r="AB121" s="210"/>
      <c r="AC121" s="210"/>
      <c r="AD121" s="210"/>
      <c r="AE121" s="210"/>
      <c r="AF121" s="210"/>
      <c r="AG121" s="210"/>
      <c r="AH121" s="210"/>
      <c r="AI121" s="210"/>
      <c r="AJ121" s="210"/>
      <c r="AK121" s="210"/>
      <c r="AL121" s="210"/>
      <c r="AM121" s="210"/>
      <c r="AN121" s="210"/>
      <c r="AO121" s="448"/>
      <c r="AP121" s="448"/>
      <c r="AQ121" s="210"/>
      <c r="AR121" s="210"/>
      <c r="AS121" s="211"/>
      <c r="AT121" s="212"/>
      <c r="AU121" s="212"/>
      <c r="AV121" s="212"/>
      <c r="AW121" s="212"/>
    </row>
    <row r="122" spans="1:49" ht="14.25">
      <c r="A122" s="210"/>
      <c r="B122" s="210"/>
      <c r="C122" s="210"/>
      <c r="D122" s="216"/>
      <c r="E122" s="216"/>
      <c r="F122" s="210"/>
      <c r="G122" s="216"/>
      <c r="H122" s="210"/>
      <c r="I122" s="216"/>
      <c r="J122" s="210"/>
      <c r="K122" s="216"/>
      <c r="L122" s="210"/>
      <c r="M122" s="216"/>
      <c r="N122" s="212"/>
      <c r="O122" s="211"/>
      <c r="P122" s="215"/>
      <c r="Q122" s="216"/>
      <c r="R122" s="217"/>
      <c r="S122" s="210"/>
      <c r="T122" s="210"/>
      <c r="U122" s="225"/>
      <c r="V122" s="213"/>
      <c r="W122" s="213"/>
      <c r="X122" s="213"/>
      <c r="Y122" s="213"/>
      <c r="Z122" s="447"/>
      <c r="AA122" s="217"/>
      <c r="AB122" s="210"/>
      <c r="AC122" s="210"/>
      <c r="AD122" s="210"/>
      <c r="AE122" s="210"/>
      <c r="AF122" s="210"/>
      <c r="AG122" s="210"/>
      <c r="AH122" s="210"/>
      <c r="AI122" s="210"/>
      <c r="AJ122" s="210"/>
      <c r="AK122" s="210"/>
      <c r="AL122" s="210"/>
      <c r="AM122" s="210"/>
      <c r="AN122" s="210"/>
      <c r="AO122" s="448"/>
      <c r="AP122" s="448"/>
      <c r="AQ122" s="210"/>
      <c r="AR122" s="210"/>
      <c r="AS122" s="211"/>
      <c r="AT122" s="212"/>
      <c r="AU122" s="212"/>
      <c r="AV122" s="212"/>
      <c r="AW122" s="212"/>
    </row>
    <row r="123" spans="1:49" ht="14.25">
      <c r="A123" s="210"/>
      <c r="B123" s="210"/>
      <c r="C123" s="210"/>
      <c r="D123" s="216"/>
      <c r="E123" s="216"/>
      <c r="F123" s="210"/>
      <c r="G123" s="216"/>
      <c r="H123" s="210"/>
      <c r="I123" s="216"/>
      <c r="J123" s="210"/>
      <c r="K123" s="216"/>
      <c r="L123" s="210"/>
      <c r="M123" s="216"/>
      <c r="N123" s="212"/>
      <c r="O123" s="211"/>
      <c r="P123" s="215"/>
      <c r="Q123" s="216"/>
      <c r="R123" s="217"/>
      <c r="S123" s="210"/>
      <c r="T123" s="210"/>
      <c r="U123" s="225"/>
      <c r="V123" s="213"/>
      <c r="W123" s="213"/>
      <c r="X123" s="213"/>
      <c r="Y123" s="213"/>
      <c r="Z123" s="447"/>
      <c r="AA123" s="217"/>
      <c r="AB123" s="210"/>
      <c r="AC123" s="210"/>
      <c r="AD123" s="210"/>
      <c r="AE123" s="210"/>
      <c r="AF123" s="210"/>
      <c r="AG123" s="210"/>
      <c r="AH123" s="210"/>
      <c r="AI123" s="210"/>
      <c r="AJ123" s="210"/>
      <c r="AK123" s="210"/>
      <c r="AL123" s="210"/>
      <c r="AM123" s="210"/>
      <c r="AN123" s="210"/>
      <c r="AO123" s="448"/>
      <c r="AP123" s="448"/>
      <c r="AQ123" s="210"/>
      <c r="AR123" s="210"/>
      <c r="AS123" s="211"/>
      <c r="AT123" s="212"/>
      <c r="AU123" s="212"/>
      <c r="AV123" s="212"/>
      <c r="AW123" s="212"/>
    </row>
    <row r="124" spans="1:49" ht="14.25">
      <c r="A124" s="210"/>
      <c r="B124" s="210"/>
      <c r="C124" s="210"/>
      <c r="D124" s="216"/>
      <c r="E124" s="216"/>
      <c r="F124" s="210"/>
      <c r="G124" s="216"/>
      <c r="H124" s="210"/>
      <c r="I124" s="216"/>
      <c r="J124" s="210"/>
      <c r="K124" s="216"/>
      <c r="L124" s="210"/>
      <c r="M124" s="216"/>
      <c r="N124" s="212"/>
      <c r="O124" s="211"/>
      <c r="P124" s="215"/>
      <c r="Q124" s="216"/>
      <c r="R124" s="217"/>
      <c r="S124" s="210"/>
      <c r="T124" s="210"/>
      <c r="U124" s="225"/>
      <c r="V124" s="213"/>
      <c r="W124" s="213"/>
      <c r="X124" s="213"/>
      <c r="Y124" s="213"/>
      <c r="Z124" s="447"/>
      <c r="AA124" s="217"/>
      <c r="AB124" s="210"/>
      <c r="AC124" s="210"/>
      <c r="AD124" s="210"/>
      <c r="AE124" s="210"/>
      <c r="AF124" s="210"/>
      <c r="AG124" s="210"/>
      <c r="AH124" s="210"/>
      <c r="AI124" s="210"/>
      <c r="AJ124" s="210"/>
      <c r="AK124" s="210"/>
      <c r="AL124" s="210"/>
      <c r="AM124" s="210"/>
      <c r="AN124" s="210"/>
      <c r="AO124" s="448"/>
      <c r="AP124" s="448"/>
      <c r="AQ124" s="210"/>
      <c r="AR124" s="210"/>
      <c r="AS124" s="211"/>
      <c r="AT124" s="212"/>
      <c r="AU124" s="212"/>
      <c r="AV124" s="212"/>
      <c r="AW124" s="212"/>
    </row>
    <row r="125" spans="1:49" ht="14.25">
      <c r="A125" s="210"/>
      <c r="B125" s="210"/>
      <c r="C125" s="210"/>
      <c r="D125" s="216"/>
      <c r="E125" s="216"/>
      <c r="F125" s="210"/>
      <c r="G125" s="216"/>
      <c r="H125" s="210"/>
      <c r="I125" s="216"/>
      <c r="J125" s="210"/>
      <c r="K125" s="216"/>
      <c r="L125" s="210"/>
      <c r="M125" s="216"/>
      <c r="N125" s="212"/>
      <c r="O125" s="211"/>
      <c r="P125" s="215"/>
      <c r="Q125" s="216"/>
      <c r="R125" s="217"/>
      <c r="S125" s="210"/>
      <c r="T125" s="210"/>
      <c r="U125" s="225"/>
      <c r="V125" s="213"/>
      <c r="W125" s="213"/>
      <c r="X125" s="213"/>
      <c r="Y125" s="213"/>
      <c r="Z125" s="447"/>
      <c r="AA125" s="217"/>
      <c r="AB125" s="210"/>
      <c r="AC125" s="210"/>
      <c r="AD125" s="210"/>
      <c r="AE125" s="210"/>
      <c r="AF125" s="210"/>
      <c r="AG125" s="210"/>
      <c r="AH125" s="210"/>
      <c r="AI125" s="210"/>
      <c r="AJ125" s="210"/>
      <c r="AK125" s="210"/>
      <c r="AL125" s="210"/>
      <c r="AM125" s="210"/>
      <c r="AN125" s="210"/>
      <c r="AO125" s="448"/>
      <c r="AP125" s="448"/>
      <c r="AQ125" s="210"/>
      <c r="AR125" s="210"/>
      <c r="AS125" s="211"/>
      <c r="AT125" s="212"/>
      <c r="AU125" s="212"/>
      <c r="AV125" s="212"/>
      <c r="AW125" s="212"/>
    </row>
    <row r="126" spans="1:49" ht="14.25">
      <c r="A126" s="210"/>
      <c r="B126" s="210"/>
      <c r="C126" s="210"/>
      <c r="D126" s="216"/>
      <c r="E126" s="216"/>
      <c r="F126" s="210"/>
      <c r="G126" s="216"/>
      <c r="H126" s="210"/>
      <c r="I126" s="216"/>
      <c r="J126" s="210"/>
      <c r="K126" s="216"/>
      <c r="L126" s="210"/>
      <c r="M126" s="216"/>
      <c r="N126" s="212"/>
      <c r="O126" s="211"/>
      <c r="P126" s="215"/>
      <c r="Q126" s="216"/>
      <c r="R126" s="217"/>
      <c r="S126" s="210"/>
      <c r="T126" s="210"/>
      <c r="U126" s="225"/>
      <c r="V126" s="213"/>
      <c r="W126" s="213"/>
      <c r="X126" s="213"/>
      <c r="Y126" s="213"/>
      <c r="Z126" s="447"/>
      <c r="AA126" s="217"/>
      <c r="AB126" s="210"/>
      <c r="AC126" s="210"/>
      <c r="AD126" s="210"/>
      <c r="AE126" s="210"/>
      <c r="AF126" s="210"/>
      <c r="AG126" s="210"/>
      <c r="AH126" s="210"/>
      <c r="AI126" s="210"/>
      <c r="AJ126" s="210"/>
      <c r="AK126" s="210"/>
      <c r="AL126" s="210"/>
      <c r="AM126" s="210"/>
      <c r="AN126" s="210"/>
      <c r="AO126" s="448"/>
      <c r="AP126" s="448"/>
      <c r="AQ126" s="210"/>
      <c r="AR126" s="210"/>
      <c r="AS126" s="211"/>
      <c r="AT126" s="212"/>
      <c r="AU126" s="212"/>
      <c r="AV126" s="212"/>
      <c r="AW126" s="212"/>
    </row>
    <row r="127" spans="1:49" ht="14.25">
      <c r="A127" s="210"/>
      <c r="B127" s="210"/>
      <c r="C127" s="210"/>
      <c r="D127" s="216"/>
      <c r="E127" s="216"/>
      <c r="F127" s="210"/>
      <c r="G127" s="216"/>
      <c r="H127" s="210"/>
      <c r="I127" s="216"/>
      <c r="J127" s="210"/>
      <c r="K127" s="216"/>
      <c r="L127" s="210"/>
      <c r="M127" s="216"/>
      <c r="N127" s="212"/>
      <c r="O127" s="211"/>
      <c r="P127" s="215"/>
      <c r="Q127" s="216"/>
      <c r="R127" s="217"/>
      <c r="S127" s="210"/>
      <c r="T127" s="210"/>
      <c r="U127" s="225"/>
      <c r="V127" s="213"/>
      <c r="W127" s="213"/>
      <c r="X127" s="213"/>
      <c r="Y127" s="213"/>
      <c r="Z127" s="447"/>
      <c r="AA127" s="217"/>
      <c r="AB127" s="210"/>
      <c r="AC127" s="210"/>
      <c r="AD127" s="210"/>
      <c r="AE127" s="210"/>
      <c r="AF127" s="210"/>
      <c r="AG127" s="210"/>
      <c r="AH127" s="210"/>
      <c r="AI127" s="210"/>
      <c r="AJ127" s="210"/>
      <c r="AK127" s="210"/>
      <c r="AL127" s="210"/>
      <c r="AM127" s="210"/>
      <c r="AN127" s="210"/>
      <c r="AO127" s="448"/>
      <c r="AP127" s="448"/>
      <c r="AQ127" s="210"/>
      <c r="AR127" s="210"/>
      <c r="AS127" s="211"/>
      <c r="AT127" s="212"/>
      <c r="AU127" s="212"/>
      <c r="AV127" s="212"/>
      <c r="AW127" s="212"/>
    </row>
    <row r="128" spans="1:49" ht="14.25">
      <c r="A128" s="210"/>
      <c r="B128" s="210"/>
      <c r="C128" s="210"/>
      <c r="D128" s="216"/>
      <c r="E128" s="216"/>
      <c r="F128" s="210"/>
      <c r="G128" s="216"/>
      <c r="H128" s="210"/>
      <c r="I128" s="216"/>
      <c r="J128" s="210"/>
      <c r="K128" s="216"/>
      <c r="L128" s="210"/>
      <c r="M128" s="216"/>
      <c r="N128" s="212"/>
      <c r="O128" s="211"/>
      <c r="P128" s="215"/>
      <c r="Q128" s="216"/>
      <c r="R128" s="217"/>
      <c r="S128" s="210"/>
      <c r="T128" s="210"/>
      <c r="U128" s="225"/>
      <c r="V128" s="213"/>
      <c r="W128" s="213"/>
      <c r="X128" s="213"/>
      <c r="Y128" s="213"/>
      <c r="Z128" s="447"/>
      <c r="AA128" s="217"/>
      <c r="AB128" s="210"/>
      <c r="AC128" s="210"/>
      <c r="AD128" s="210"/>
      <c r="AE128" s="210"/>
      <c r="AF128" s="210"/>
      <c r="AG128" s="210"/>
      <c r="AH128" s="210"/>
      <c r="AI128" s="210"/>
      <c r="AJ128" s="210"/>
      <c r="AK128" s="210"/>
      <c r="AL128" s="210"/>
      <c r="AM128" s="210"/>
      <c r="AN128" s="210"/>
      <c r="AO128" s="448"/>
      <c r="AP128" s="448"/>
      <c r="AQ128" s="210"/>
      <c r="AR128" s="210"/>
      <c r="AS128" s="211"/>
      <c r="AT128" s="212"/>
      <c r="AU128" s="212"/>
      <c r="AV128" s="212"/>
      <c r="AW128" s="212"/>
    </row>
    <row r="129" spans="1:49" ht="14.25">
      <c r="A129" s="210"/>
      <c r="B129" s="210"/>
      <c r="C129" s="210"/>
      <c r="D129" s="216"/>
      <c r="E129" s="216"/>
      <c r="F129" s="210"/>
      <c r="G129" s="216"/>
      <c r="H129" s="210"/>
      <c r="I129" s="216"/>
      <c r="J129" s="210"/>
      <c r="K129" s="216"/>
      <c r="L129" s="210"/>
      <c r="M129" s="216"/>
      <c r="N129" s="212"/>
      <c r="O129" s="211"/>
      <c r="P129" s="215"/>
      <c r="Q129" s="216"/>
      <c r="R129" s="217"/>
      <c r="S129" s="210"/>
      <c r="T129" s="210"/>
      <c r="U129" s="225"/>
      <c r="V129" s="213"/>
      <c r="W129" s="213"/>
      <c r="X129" s="213"/>
      <c r="Y129" s="213"/>
      <c r="Z129" s="447"/>
      <c r="AA129" s="217"/>
      <c r="AB129" s="210"/>
      <c r="AC129" s="210"/>
      <c r="AD129" s="210"/>
      <c r="AE129" s="210"/>
      <c r="AF129" s="210"/>
      <c r="AG129" s="210"/>
      <c r="AH129" s="210"/>
      <c r="AI129" s="210"/>
      <c r="AJ129" s="210"/>
      <c r="AK129" s="210"/>
      <c r="AL129" s="210"/>
      <c r="AM129" s="210"/>
      <c r="AN129" s="210"/>
      <c r="AO129" s="448"/>
      <c r="AP129" s="448"/>
      <c r="AQ129" s="210"/>
      <c r="AR129" s="210"/>
      <c r="AS129" s="211"/>
      <c r="AT129" s="212"/>
      <c r="AU129" s="212"/>
      <c r="AV129" s="212"/>
      <c r="AW129" s="212"/>
    </row>
    <row r="130" spans="1:49">
      <c r="B130" s="23"/>
      <c r="D130" s="218"/>
      <c r="G130" s="218"/>
      <c r="I130" s="218"/>
      <c r="K130" s="218"/>
      <c r="M130" s="218"/>
    </row>
    <row r="131" spans="1:49">
      <c r="B131" s="23"/>
      <c r="D131" s="218"/>
      <c r="G131" s="218"/>
      <c r="I131" s="218"/>
      <c r="K131" s="218"/>
      <c r="M131" s="218"/>
    </row>
    <row r="132" spans="1:49">
      <c r="B132" s="23"/>
      <c r="D132" s="218"/>
      <c r="G132" s="218"/>
      <c r="I132" s="218"/>
      <c r="K132" s="218"/>
      <c r="M132" s="218"/>
    </row>
    <row r="133" spans="1:49">
      <c r="B133" s="23"/>
      <c r="D133" s="218"/>
      <c r="G133" s="218"/>
      <c r="I133" s="218"/>
      <c r="K133" s="218"/>
      <c r="M133" s="218"/>
    </row>
    <row r="134" spans="1:49">
      <c r="B134" s="23"/>
      <c r="D134" s="218"/>
      <c r="G134" s="218"/>
      <c r="I134" s="218"/>
      <c r="K134" s="218"/>
      <c r="M134" s="218"/>
    </row>
    <row r="135" spans="1:49">
      <c r="B135" s="23"/>
      <c r="D135" s="218"/>
      <c r="G135" s="218"/>
      <c r="I135" s="218"/>
      <c r="K135" s="218"/>
      <c r="M135" s="218"/>
    </row>
    <row r="136" spans="1:49">
      <c r="B136" s="23"/>
      <c r="D136" s="218"/>
      <c r="G136" s="218"/>
      <c r="I136" s="218"/>
      <c r="K136" s="218"/>
      <c r="M136" s="218"/>
    </row>
    <row r="137" spans="1:49">
      <c r="B137" s="23"/>
      <c r="D137" s="218"/>
      <c r="G137" s="218"/>
      <c r="I137" s="218"/>
      <c r="K137" s="218"/>
      <c r="M137" s="218"/>
    </row>
    <row r="138" spans="1:49">
      <c r="B138" s="23"/>
      <c r="D138" s="218"/>
      <c r="G138" s="218"/>
      <c r="I138" s="218"/>
      <c r="K138" s="218"/>
      <c r="M138" s="218"/>
    </row>
    <row r="139" spans="1:49">
      <c r="B139" s="23"/>
      <c r="D139" s="218"/>
      <c r="G139" s="218"/>
      <c r="I139" s="218"/>
      <c r="K139" s="218"/>
      <c r="M139" s="218"/>
    </row>
    <row r="140" spans="1:49">
      <c r="B140" s="23"/>
      <c r="D140" s="218"/>
      <c r="G140" s="218"/>
      <c r="I140" s="218"/>
      <c r="K140" s="218"/>
      <c r="M140" s="218"/>
    </row>
    <row r="141" spans="1:49">
      <c r="B141" s="23"/>
      <c r="D141" s="218"/>
      <c r="G141" s="218"/>
      <c r="I141" s="218"/>
      <c r="K141" s="218"/>
      <c r="M141" s="218"/>
    </row>
    <row r="142" spans="1:49">
      <c r="B142" s="23"/>
      <c r="D142" s="218"/>
      <c r="G142" s="218"/>
      <c r="I142" s="218"/>
      <c r="K142" s="218"/>
      <c r="M142" s="218"/>
    </row>
    <row r="143" spans="1:49">
      <c r="B143" s="23"/>
      <c r="D143" s="218"/>
      <c r="G143" s="218"/>
      <c r="I143" s="218"/>
      <c r="K143" s="218"/>
      <c r="M143" s="218"/>
    </row>
    <row r="144" spans="1:49">
      <c r="B144" s="23"/>
      <c r="D144" s="218"/>
      <c r="G144" s="218"/>
      <c r="I144" s="218"/>
      <c r="K144" s="218"/>
      <c r="M144" s="218"/>
    </row>
    <row r="145" spans="2:13">
      <c r="B145" s="23"/>
      <c r="D145" s="218"/>
      <c r="G145" s="218"/>
      <c r="I145" s="218"/>
      <c r="K145" s="218"/>
      <c r="M145" s="218"/>
    </row>
    <row r="146" spans="2:13">
      <c r="B146" s="23"/>
      <c r="D146" s="218"/>
      <c r="G146" s="218"/>
      <c r="I146" s="218"/>
      <c r="K146" s="218"/>
      <c r="M146" s="218"/>
    </row>
    <row r="147" spans="2:13">
      <c r="B147" s="23"/>
      <c r="D147" s="218"/>
      <c r="G147" s="218"/>
      <c r="I147" s="218"/>
      <c r="K147" s="218"/>
      <c r="M147" s="218"/>
    </row>
    <row r="148" spans="2:13">
      <c r="B148" s="23"/>
      <c r="D148" s="218"/>
      <c r="G148" s="218"/>
      <c r="I148" s="218"/>
      <c r="K148" s="218"/>
      <c r="M148" s="218"/>
    </row>
    <row r="149" spans="2:13">
      <c r="B149" s="23"/>
      <c r="D149" s="218"/>
      <c r="G149" s="218"/>
      <c r="I149" s="218"/>
      <c r="K149" s="218"/>
      <c r="M149" s="218"/>
    </row>
    <row r="150" spans="2:13">
      <c r="B150" s="23"/>
      <c r="D150" s="218"/>
      <c r="G150" s="218"/>
      <c r="I150" s="218"/>
      <c r="K150" s="218"/>
      <c r="M150" s="218"/>
    </row>
    <row r="151" spans="2:13">
      <c r="B151" s="23"/>
      <c r="D151" s="218"/>
      <c r="G151" s="218"/>
      <c r="I151" s="218"/>
      <c r="K151" s="218"/>
      <c r="M151" s="218"/>
    </row>
    <row r="152" spans="2:13">
      <c r="B152" s="23"/>
      <c r="D152" s="218"/>
      <c r="G152" s="218"/>
      <c r="I152" s="218"/>
      <c r="K152" s="218"/>
      <c r="M152" s="218"/>
    </row>
    <row r="153" spans="2:13">
      <c r="B153" s="23"/>
      <c r="D153" s="218"/>
      <c r="G153" s="218"/>
      <c r="I153" s="218"/>
      <c r="K153" s="218"/>
      <c r="M153" s="218"/>
    </row>
    <row r="154" spans="2:13">
      <c r="B154" s="23"/>
      <c r="D154" s="218"/>
      <c r="G154" s="218"/>
      <c r="I154" s="218"/>
      <c r="K154" s="218"/>
      <c r="M154" s="218"/>
    </row>
    <row r="155" spans="2:13">
      <c r="B155" s="23"/>
      <c r="D155" s="218"/>
      <c r="G155" s="218"/>
      <c r="I155" s="218"/>
      <c r="K155" s="218"/>
      <c r="M155" s="218"/>
    </row>
    <row r="156" spans="2:13">
      <c r="B156" s="23"/>
      <c r="D156" s="218"/>
      <c r="G156" s="218"/>
      <c r="I156" s="218"/>
      <c r="K156" s="218"/>
      <c r="M156" s="218"/>
    </row>
    <row r="157" spans="2:13">
      <c r="B157" s="23"/>
      <c r="D157" s="218"/>
      <c r="G157" s="218"/>
      <c r="I157" s="218"/>
      <c r="K157" s="218"/>
      <c r="M157" s="218"/>
    </row>
    <row r="158" spans="2:13">
      <c r="B158" s="23"/>
      <c r="D158" s="218"/>
      <c r="G158" s="218"/>
      <c r="I158" s="218"/>
      <c r="K158" s="218"/>
      <c r="M158" s="218"/>
    </row>
    <row r="159" spans="2:13">
      <c r="B159" s="23"/>
      <c r="D159" s="218"/>
      <c r="G159" s="218"/>
      <c r="I159" s="218"/>
      <c r="K159" s="218"/>
      <c r="M159" s="218"/>
    </row>
    <row r="160" spans="2:13">
      <c r="B160" s="23"/>
      <c r="D160" s="218"/>
      <c r="G160" s="218"/>
      <c r="I160" s="218"/>
      <c r="K160" s="218"/>
      <c r="M160" s="218"/>
    </row>
    <row r="161" spans="2:13">
      <c r="B161" s="23"/>
      <c r="D161" s="218"/>
      <c r="G161" s="218"/>
      <c r="I161" s="218"/>
      <c r="K161" s="218"/>
      <c r="M161" s="218"/>
    </row>
    <row r="162" spans="2:13">
      <c r="B162" s="23"/>
      <c r="D162" s="218"/>
      <c r="G162" s="218"/>
      <c r="I162" s="218"/>
      <c r="K162" s="218"/>
      <c r="M162" s="218"/>
    </row>
    <row r="163" spans="2:13">
      <c r="B163" s="23"/>
      <c r="D163" s="218"/>
      <c r="G163" s="218"/>
      <c r="I163" s="218"/>
      <c r="K163" s="218"/>
      <c r="M163" s="218"/>
    </row>
    <row r="164" spans="2:13">
      <c r="B164" s="23"/>
      <c r="D164" s="218"/>
      <c r="G164" s="218"/>
      <c r="I164" s="218"/>
      <c r="K164" s="218"/>
      <c r="M164" s="218"/>
    </row>
    <row r="165" spans="2:13">
      <c r="B165" s="23"/>
      <c r="D165" s="218"/>
      <c r="G165" s="218"/>
      <c r="I165" s="218"/>
      <c r="K165" s="218"/>
      <c r="M165" s="218"/>
    </row>
    <row r="166" spans="2:13">
      <c r="B166" s="23"/>
      <c r="D166" s="218"/>
      <c r="G166" s="218"/>
      <c r="I166" s="218"/>
      <c r="K166" s="218"/>
      <c r="M166" s="218"/>
    </row>
    <row r="167" spans="2:13">
      <c r="B167" s="23"/>
      <c r="D167" s="218"/>
      <c r="G167" s="218"/>
      <c r="I167" s="218"/>
      <c r="K167" s="218"/>
      <c r="M167" s="218"/>
    </row>
    <row r="168" spans="2:13">
      <c r="B168" s="23"/>
      <c r="D168" s="218"/>
      <c r="G168" s="218"/>
      <c r="I168" s="218"/>
      <c r="K168" s="218"/>
      <c r="M168" s="218"/>
    </row>
    <row r="169" spans="2:13">
      <c r="B169" s="23"/>
      <c r="D169" s="218"/>
      <c r="G169" s="218"/>
      <c r="I169" s="218"/>
      <c r="K169" s="218"/>
      <c r="M169" s="218"/>
    </row>
    <row r="170" spans="2:13">
      <c r="B170" s="23"/>
      <c r="D170" s="218"/>
      <c r="G170" s="218"/>
      <c r="I170" s="218"/>
      <c r="K170" s="218"/>
      <c r="M170" s="218"/>
    </row>
    <row r="171" spans="2:13">
      <c r="B171" s="23"/>
      <c r="D171" s="218"/>
      <c r="G171" s="218"/>
      <c r="I171" s="218"/>
      <c r="K171" s="218"/>
      <c r="M171" s="218"/>
    </row>
    <row r="172" spans="2:13">
      <c r="B172" s="23"/>
      <c r="D172" s="218"/>
      <c r="G172" s="218"/>
      <c r="I172" s="218"/>
      <c r="K172" s="218"/>
      <c r="M172" s="218"/>
    </row>
    <row r="173" spans="2:13">
      <c r="B173" s="23"/>
      <c r="D173" s="218"/>
      <c r="G173" s="218"/>
      <c r="I173" s="218"/>
      <c r="K173" s="218"/>
      <c r="M173" s="218"/>
    </row>
    <row r="174" spans="2:13">
      <c r="B174" s="23"/>
      <c r="D174" s="218"/>
      <c r="G174" s="218"/>
      <c r="I174" s="218"/>
      <c r="K174" s="218"/>
      <c r="M174" s="218"/>
    </row>
    <row r="175" spans="2:13">
      <c r="B175" s="23"/>
      <c r="D175" s="218"/>
      <c r="G175" s="218"/>
      <c r="I175" s="218"/>
      <c r="K175" s="218"/>
      <c r="M175" s="218"/>
    </row>
  </sheetData>
  <sheetProtection sheet="1" formatCells="0" formatColumns="0" formatRows="0" insertColumns="0" insertRows="0" insertHyperlinks="0" deleteColumns="0" deleteRows="0" sort="0" autoFilter="0"/>
  <sortState ref="A2:AW32">
    <sortCondition ref="A2:A32"/>
  </sortState>
  <phoneticPr fontId="2"/>
  <conditionalFormatting sqref="Z2:Z129">
    <cfRule type="dataBar" priority="70">
      <dataBar>
        <cfvo type="min"/>
        <cfvo type="max"/>
        <color theme="3" tint="0.79998168889431442"/>
      </dataBar>
      <extLst>
        <ext uri="{B025F937-C7B1-47D3-B67F-A62EFF666E3E}">
          <ns3:id>{6998A2B2-0B37-4D70-B05F-350F7903926B}</ns3:id>
        </ext>
      </extLst>
    </cfRule>
  </conditionalFormatting>
  <conditionalFormatting sqref="AA2:AA129">
    <cfRule type="dataBar" priority="72">
      <dataBar>
        <cfvo type="min"/>
        <cfvo type="max"/>
        <color theme="5" tint="0.79998168889431442"/>
      </dataBar>
      <extLst>
        <ext uri="{B025F937-C7B1-47D3-B67F-A62EFF666E3E}">
          <ns3:id>{6958541E-8B0F-4997-8108-476821843915}</ns3:id>
        </ext>
      </extLst>
    </cfRule>
  </conditionalFormatting>
  <pageMargins left="0.23622047244094491" right="0.23622047244094491" top="0.74803149606299213" bottom="0.74803149606299213" header="0.31496062992125984" footer="0.31496062992125984"/>
  <pageSetup paperSize="8" scale="58" fitToHeight="0" orientation="landscape" horizontalDpi="1200" verticalDpi="1200" r:id="rId1"/>
  <headerFooter>
    <oddHeader>&amp;A</oddHeader>
    <oddFooter>&amp;P / &amp;N ページ</oddFooter>
  </headerFooter>
  <extLst>
    <ext uri="{78C0D931-6437-407d-A8EE-F0AAD7539E65}">
      <ns3:conditionalFormattings>
        <ns3:conditionalFormatting>
          <ns3:cfRule type="dataBar" id="{6998A2B2-0B37-4D70-B05F-350F7903926B}">
            <ns3:dataBar minLength="0" maxLength="100" gradient="0">
              <ns3:cfvo type="autoMin"/>
              <ns3:cfvo type="autoMax"/>
              <ns3:negativeFillColor rgb="FFFF0000"/>
              <ns3:axisColor rgb="FF000000"/>
            </ns3:dataBar>
          </ns3:cfRule>
          <ns5:sqref>Z2:Z129</ns5:sqref>
        </ns3:conditionalFormatting>
        <ns3:conditionalFormatting>
          <ns3:cfRule type="dataBar" id="{6958541E-8B0F-4997-8108-476821843915}">
            <ns3:dataBar minLength="0" maxLength="100" gradient="0">
              <ns3:cfvo type="autoMin"/>
              <ns3:cfvo type="autoMax"/>
              <ns3:negativeFillColor rgb="FFFF0000"/>
              <ns3:axisColor rgb="FF000000"/>
            </ns3:dataBar>
          </ns3:cfRule>
          <ns5:sqref>AA2:AA129</ns5:sqref>
        </ns3:conditionalFormatting>
      </ns3:conditionalFormattings>
    </ext>
    <ext uri="{CCE6A557-97BC-4b89-ADB6-D9C93CAAB3DF}">
      <ns3:dataValidations count="2">
        <ns3:dataValidation type="list" allowBlank="1" showInputMessage="1" showErrorMessage="1" ns2:uid="{517939F1-913C-4AEA-87A1-254B0DBDC8C2}">
          <ns3:formula1>
            <ns5:f>settings!$A$262:$A$266</ns5:f>
          </ns3:formula1>
          <ns5:sqref>AD1 AE1:AE1048576 AI1:AI1048576</ns5:sqref>
        </ns3:dataValidation>
        <ns3:dataValidation type="list" allowBlank="1" showInputMessage="1" showErrorMessage="1" ns2:uid="{60DA7F6C-2FA9-4525-886A-C249EEDBE0A6}">
          <ns3:formula1>
            <ns5:f>settings!$B$268:$B$271</ns5:f>
          </ns3:formula1>
          <ns5:sqref>T1:T1048576</ns5:sqref>
        </ns3:dataValidation>
      </ns3: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7A5DF-BC97-46B0-8C1D-572AA8B7F0AB}">
  <dimension ref="A1:M27"/>
  <sheetViews>
    <sheetView view="pageBreakPreview" zoomScaleNormal="100" zoomScaleSheetLayoutView="100" workbookViewId="0"/>
  </sheetViews>
  <sheetFormatPr defaultRowHeight="13.5"/>
  <cols>
    <col min="1" max="1" width="9" style="23"/>
    <col min="2" max="2" width="21.5" style="23" customWidth="1"/>
    <col min="3" max="13" width="14.375" style="23" customWidth="1"/>
  </cols>
  <sheetData>
    <row r="1" spans="1:13" ht="21">
      <c r="A1" s="464" t="s">
        <v>1257</v>
      </c>
      <c r="B1" s="464"/>
      <c r="J1" s="24"/>
      <c r="L1" s="25"/>
    </row>
    <row r="2" spans="1:13" ht="21">
      <c r="A2" s="603">
        <f>settings!L11</f>
        <v>44561</v>
      </c>
      <c r="B2" s="603"/>
      <c r="C2" s="26"/>
      <c r="D2" s="26"/>
      <c r="E2" s="26"/>
      <c r="F2" s="26"/>
      <c r="G2" s="26"/>
      <c r="J2" s="24"/>
      <c r="L2" s="25"/>
    </row>
    <row r="3" spans="1:13" ht="21">
      <c r="A3" s="61" t="s">
        <v>1258</v>
      </c>
      <c r="B3" s="27"/>
      <c r="C3" s="28"/>
      <c r="D3" s="28"/>
      <c r="E3" s="28"/>
      <c r="F3" s="28"/>
      <c r="G3" s="28"/>
      <c r="H3" s="462" t="s">
        <v>204</v>
      </c>
      <c r="I3" s="463" t="s">
        <v>205</v>
      </c>
      <c r="J3" s="463" t="s">
        <v>206</v>
      </c>
      <c r="K3" s="463" t="s">
        <v>203</v>
      </c>
      <c r="L3" s="25"/>
    </row>
    <row r="4" spans="1:13">
      <c r="A4" s="604" t="s">
        <v>362</v>
      </c>
      <c r="B4" s="607" t="s">
        <v>54</v>
      </c>
      <c r="C4" s="609" t="s">
        <v>137</v>
      </c>
      <c r="D4" s="610"/>
      <c r="E4" s="611" t="str">
        <f>settings!L12&amp;"年期首簿価"</f>
        <v>2022年期首簿価</v>
      </c>
      <c r="F4" s="612"/>
      <c r="G4" s="612"/>
      <c r="H4" s="629" t="str">
        <f>settings!L12&amp;"年(1年間)の償却額"</f>
        <v>2022年(1年間)の償却額</v>
      </c>
      <c r="I4" s="630"/>
      <c r="J4" s="630"/>
      <c r="K4" s="630"/>
      <c r="L4" s="631"/>
      <c r="M4" s="613" t="s">
        <v>59</v>
      </c>
    </row>
    <row r="5" spans="1:13" ht="13.5" customHeight="1">
      <c r="A5" s="605"/>
      <c r="B5" s="607"/>
      <c r="C5" s="616" t="s">
        <v>1259</v>
      </c>
      <c r="D5" s="618" t="s">
        <v>1260</v>
      </c>
      <c r="E5" s="620" t="s">
        <v>1261</v>
      </c>
      <c r="F5" s="622" t="s">
        <v>1262</v>
      </c>
      <c r="G5" s="624" t="s">
        <v>1263</v>
      </c>
      <c r="H5" s="625" t="s">
        <v>1264</v>
      </c>
      <c r="I5" s="627" t="s">
        <v>1265</v>
      </c>
      <c r="J5" s="627" t="s">
        <v>1266</v>
      </c>
      <c r="K5" s="627" t="s">
        <v>1267</v>
      </c>
      <c r="L5" s="632" t="s">
        <v>1268</v>
      </c>
      <c r="M5" s="614"/>
    </row>
    <row r="6" spans="1:13">
      <c r="A6" s="606"/>
      <c r="B6" s="608"/>
      <c r="C6" s="617"/>
      <c r="D6" s="619"/>
      <c r="E6" s="621"/>
      <c r="F6" s="623"/>
      <c r="G6" s="623"/>
      <c r="H6" s="626"/>
      <c r="I6" s="628"/>
      <c r="J6" s="628"/>
      <c r="K6" s="628"/>
      <c r="L6" s="633"/>
      <c r="M6" s="615"/>
    </row>
    <row r="7" spans="1:13" ht="22.5" customHeight="1">
      <c r="A7">
        <v>101</v>
      </c>
      <c r="B7" s="5" t="str">
        <f t="shared" ref="B7:B26" si="0">VLOOKUP(A7,id_settings,2,FALSE)</f>
        <v>西池袋駅前ビル</v>
      </c>
      <c r="C7" s="465">
        <f>GETPIVOTDATA("12.取得価額",pivot!$W$7,"2.対象物件",B7,"5.資産種類名2","土地")</f>
        <v>168935000</v>
      </c>
      <c r="D7" s="466">
        <f>GETPIVOTDATA("12.取得価額",pivot!$W$7,"2.対象物件",B7,"5.資産種類名2","建物等")</f>
        <v>51870000</v>
      </c>
      <c r="E7" s="465">
        <f>GETPIVOTDATA("13.期首帳簿価額",pivot!$AC$5,"2.対象物件",B7,"5.資産種類名2","土地")</f>
        <v>168935000</v>
      </c>
      <c r="F7" s="122">
        <f>GETPIVOTDATA("13.期首帳簿価額",pivot!$AC$5,"2.対象物件",B7,"5.資産種類名2","建物等")</f>
        <v>40681559</v>
      </c>
      <c r="G7" s="122">
        <f>GETPIVOTDATA("13.期首帳簿価額",pivot!$AC$5,"2.対象物件",B7)</f>
        <v>209616559</v>
      </c>
      <c r="H7" s="465">
        <f>GETPIVOTDATA("14.年間償却額",pivot!$AI$5,"2.対象物件",B7,"5.資産種類名","建物")</f>
        <v>1867320</v>
      </c>
      <c r="I7" s="122">
        <f>GETPIVOTDATA("14.年間償却額",pivot!$AI$5,"2.対象物件",B7,"5.資産種類名","建物附属設備")</f>
        <v>49313</v>
      </c>
      <c r="J7" s="122">
        <f>GETPIVOTDATA("14.年間償却額",pivot!$AI$5,"2.対象物件",B7,"5.資産種類名","構築物")</f>
        <v>0</v>
      </c>
      <c r="K7" s="122">
        <f>GETPIVOTDATA("14.年間償却額",pivot!$AI$5,"2.対象物件",B7,"5.資産種類名","器具備品")</f>
        <v>114456</v>
      </c>
      <c r="L7" s="465">
        <f>GETPIVOTDATA("14.年間償却額",pivot!$AI$5,"2.対象物件",B7)</f>
        <v>2031089</v>
      </c>
      <c r="M7" s="467"/>
    </row>
    <row r="8" spans="1:13" ht="22.5" customHeight="1">
      <c r="A8">
        <v>102</v>
      </c>
      <c r="B8" s="5" t="str">
        <f t="shared" si="0"/>
        <v>池袋ハウス</v>
      </c>
      <c r="C8" s="465">
        <f>GETPIVOTDATA("12.取得価額",pivot!$W$7,"2.対象物件",B8,"5.資産種類名2","土地")</f>
        <v>400269597</v>
      </c>
      <c r="D8" s="466">
        <f>GETPIVOTDATA("12.取得価額",pivot!$W$7,"2.対象物件",B8,"5.資産種類名2","建物等")</f>
        <v>155225603</v>
      </c>
      <c r="E8" s="465">
        <f>GETPIVOTDATA("13.期首帳簿価額",pivot!$AC$5,"2.対象物件",B8,"5.資産種類名2","土地")</f>
        <v>400269597</v>
      </c>
      <c r="F8" s="122">
        <f>GETPIVOTDATA("13.期首帳簿価額",pivot!$AC$5,"2.対象物件",B8,"5.資産種類名2","建物等")</f>
        <v>131180095</v>
      </c>
      <c r="G8" s="122">
        <f>GETPIVOTDATA("13.期首帳簿価額",pivot!$AC$5,"2.対象物件",B8)</f>
        <v>531449692</v>
      </c>
      <c r="H8" s="465">
        <f>GETPIVOTDATA("14.年間償却額",pivot!$AI$5,"2.対象物件",B8,"5.資産種類名","建物")</f>
        <v>6519475</v>
      </c>
      <c r="I8" s="122">
        <f>GETPIVOTDATA("14.年間償却額",pivot!$AI$5,"2.対象物件",B8,"5.資産種類名","建物附属設備")</f>
        <v>302954</v>
      </c>
      <c r="J8" s="122">
        <f>GETPIVOTDATA("14.年間償却額",pivot!$AI$5,"2.対象物件",B8,"5.資産種類名","構築物")</f>
        <v>0</v>
      </c>
      <c r="K8" s="122">
        <f>GETPIVOTDATA("14.年間償却額",pivot!$AI$5,"2.対象物件",B8,"5.資産種類名","器具備品")</f>
        <v>0</v>
      </c>
      <c r="L8" s="465">
        <f>GETPIVOTDATA("14.年間償却額",pivot!$AI$5,"2.対象物件",B8)</f>
        <v>6822429</v>
      </c>
      <c r="M8" s="467"/>
    </row>
    <row r="9" spans="1:13" ht="22.5" customHeight="1">
      <c r="A9">
        <v>103</v>
      </c>
      <c r="B9" s="5" t="str">
        <f t="shared" si="0"/>
        <v>カーサ目白台ハウス</v>
      </c>
      <c r="C9" s="465">
        <f>GETPIVOTDATA("12.取得価額",pivot!$W$7,"2.対象物件",B9,"5.資産種類名2","土地")</f>
        <v>264084489</v>
      </c>
      <c r="D9" s="466">
        <f>GETPIVOTDATA("12.取得価額",pivot!$W$7,"2.対象物件",B9,"5.資産種類名2","建物等")</f>
        <v>149454010</v>
      </c>
      <c r="E9" s="465">
        <f>GETPIVOTDATA("13.期首帳簿価額",pivot!$AC$5,"2.対象物件",B9,"5.資産種類名2","土地")</f>
        <v>264084489</v>
      </c>
      <c r="F9" s="122">
        <f>GETPIVOTDATA("13.期首帳簿価額",pivot!$AC$5,"2.対象物件",B9,"5.資産種類名2","建物等")</f>
        <v>113300805</v>
      </c>
      <c r="G9" s="122">
        <f>GETPIVOTDATA("13.期首帳簿価額",pivot!$AC$5,"2.対象物件",B9)</f>
        <v>377385294</v>
      </c>
      <c r="H9" s="465">
        <f>GETPIVOTDATA("14.年間償却額",pivot!$AI$5,"2.対象物件",B9,"5.資産種類名","建物")</f>
        <v>5828706</v>
      </c>
      <c r="I9" s="122">
        <f>GETPIVOTDATA("14.年間償却額",pivot!$AI$5,"2.対象物件",B9,"5.資産種類名","建物附属設備")</f>
        <v>181266</v>
      </c>
      <c r="J9" s="122">
        <f>GETPIVOTDATA("14.年間償却額",pivot!$AI$5,"2.対象物件",B9,"5.資産種類名","構築物")</f>
        <v>0</v>
      </c>
      <c r="K9" s="122">
        <f>GETPIVOTDATA("14.年間償却額",pivot!$AI$5,"2.対象物件",B9,"5.資産種類名","器具備品")</f>
        <v>0</v>
      </c>
      <c r="L9" s="465">
        <f>GETPIVOTDATA("14.年間償却額",pivot!$AI$5,"2.対象物件",B9)</f>
        <v>6009972</v>
      </c>
      <c r="M9" s="467"/>
    </row>
    <row r="10" spans="1:13" ht="22.5" customHeight="1">
      <c r="A10">
        <v>104</v>
      </c>
      <c r="B10" s="5" t="str">
        <f t="shared" si="0"/>
        <v>コアプラス池袋</v>
      </c>
      <c r="C10" s="465">
        <f>GETPIVOTDATA("12.取得価額",pivot!$W$7,"2.対象物件",B10,"5.資産種類名2","土地")</f>
        <v>78084258</v>
      </c>
      <c r="D10" s="466">
        <f>GETPIVOTDATA("12.取得価額",pivot!$W$7,"2.対象物件",B10,"5.資産種類名2","建物等")</f>
        <v>16087719</v>
      </c>
      <c r="E10" s="465">
        <f>GETPIVOTDATA("13.期首帳簿価額",pivot!$AC$5,"2.対象物件",B10,"5.資産種類名2","土地")</f>
        <v>78084258</v>
      </c>
      <c r="F10" s="122">
        <f>GETPIVOTDATA("13.期首帳簿価額",pivot!$AC$5,"2.対象物件",B10,"5.資産種類名2","建物等")</f>
        <v>29536448</v>
      </c>
      <c r="G10" s="122">
        <f>GETPIVOTDATA("13.期首帳簿価額",pivot!$AC$5,"2.対象物件",B10)</f>
        <v>107620706</v>
      </c>
      <c r="H10" s="465">
        <f>GETPIVOTDATA("14.年間償却額",pivot!$AI$5,"2.対象物件",B10,"5.資産種類名","建物")</f>
        <v>864458</v>
      </c>
      <c r="I10" s="122">
        <f>GETPIVOTDATA("14.年間償却額",pivot!$AI$5,"2.対象物件",B10,"5.資産種類名","建物附属設備")</f>
        <v>409639</v>
      </c>
      <c r="J10" s="122">
        <f>GETPIVOTDATA("14.年間償却額",pivot!$AI$5,"2.対象物件",B10,"5.資産種類名","構築物")</f>
        <v>60741</v>
      </c>
      <c r="K10" s="122">
        <f>GETPIVOTDATA("14.年間償却額",pivot!$AI$5,"2.対象物件",B10,"5.資産種類名","器具備品")</f>
        <v>0</v>
      </c>
      <c r="L10" s="465">
        <f>GETPIVOTDATA("14.年間償却額",pivot!$AI$5,"2.対象物件",B10)</f>
        <v>1334838</v>
      </c>
      <c r="M10" s="467"/>
    </row>
    <row r="11" spans="1:13" ht="22.5" customHeight="1">
      <c r="A11">
        <v>105</v>
      </c>
      <c r="B11" s="5" t="str">
        <f t="shared" si="0"/>
        <v>目白アパート</v>
      </c>
      <c r="C11" s="465">
        <f>GETPIVOTDATA("12.取得価額",pivot!$W$7,"2.対象物件",B11,"5.資産種類名2","土地")</f>
        <v>192559845</v>
      </c>
      <c r="D11" s="466">
        <f>GETPIVOTDATA("12.取得価額",pivot!$W$7,"2.対象物件",B11,"5.資産種類名2","建物等")</f>
        <v>113432893</v>
      </c>
      <c r="E11" s="465">
        <f>GETPIVOTDATA("13.期首帳簿価額",pivot!$AC$5,"2.対象物件",B11,"5.資産種類名2","土地")</f>
        <v>192559845</v>
      </c>
      <c r="F11" s="122">
        <f>GETPIVOTDATA("13.期首帳簿価額",pivot!$AC$5,"2.対象物件",B11,"5.資産種類名2","建物等")</f>
        <v>70902303</v>
      </c>
      <c r="G11" s="122">
        <f>GETPIVOTDATA("13.期首帳簿価額",pivot!$AC$5,"2.対象物件",B11)</f>
        <v>263462148</v>
      </c>
      <c r="H11" s="465">
        <f>GETPIVOTDATA("14.年間償却額",pivot!$AI$5,"2.対象物件",B11,"5.資産種類名","建物")</f>
        <v>8734332</v>
      </c>
      <c r="I11" s="122">
        <f>GETPIVOTDATA("14.年間償却額",pivot!$AI$5,"2.対象物件",B11,"5.資産種類名","建物附属設備")</f>
        <v>1646415</v>
      </c>
      <c r="J11" s="122">
        <f>GETPIVOTDATA("14.年間償却額",pivot!$AI$5,"2.対象物件",B11,"5.資産種類名","構築物")</f>
        <v>80146</v>
      </c>
      <c r="K11" s="122">
        <f>GETPIVOTDATA("14.年間償却額",pivot!$AI$5,"2.対象物件",B11,"5.資産種類名","器具備品")</f>
        <v>0</v>
      </c>
      <c r="L11" s="465">
        <f>GETPIVOTDATA("14.年間償却額",pivot!$AI$5,"2.対象物件",B11)</f>
        <v>10460893</v>
      </c>
      <c r="M11" s="467"/>
    </row>
    <row r="12" spans="1:13" ht="22.5" customHeight="1">
      <c r="A12">
        <v>106</v>
      </c>
      <c r="B12" s="5" t="str">
        <f t="shared" si="0"/>
        <v>東池袋ハイツ</v>
      </c>
      <c r="C12" s="465">
        <f>GETPIVOTDATA("12.取得価額",pivot!$W$7,"2.対象物件",B12,"5.資産種類名2","土地")</f>
        <v>262709157</v>
      </c>
      <c r="D12" s="466">
        <f>GETPIVOTDATA("12.取得価額",pivot!$W$7,"2.対象物件",B12,"5.資産種類名2","建物等")</f>
        <v>187056281</v>
      </c>
      <c r="E12" s="465">
        <f>GETPIVOTDATA("13.期首帳簿価額",pivot!$AC$5,"2.対象物件",B12,"5.資産種類名2","土地")</f>
        <v>262709157</v>
      </c>
      <c r="F12" s="122">
        <f>GETPIVOTDATA("13.期首帳簿価額",pivot!$AC$5,"2.対象物件",B12,"5.資産種類名2","建物等")</f>
        <v>142832573</v>
      </c>
      <c r="G12" s="122">
        <f>GETPIVOTDATA("13.期首帳簿価額",pivot!$AC$5,"2.対象物件",B12)</f>
        <v>405541730</v>
      </c>
      <c r="H12" s="465">
        <f>GETPIVOTDATA("14.年間償却額",pivot!$AI$5,"2.対象物件",B12,"5.資産種類名","建物")</f>
        <v>6359913</v>
      </c>
      <c r="I12" s="122">
        <f>GETPIVOTDATA("14.年間償却額",pivot!$AI$5,"2.対象物件",B12,"5.資産種類名","建物附属設備")</f>
        <v>0</v>
      </c>
      <c r="J12" s="122">
        <f>GETPIVOTDATA("14.年間償却額",pivot!$AI$5,"2.対象物件",B12,"5.資産種類名","構築物")</f>
        <v>0</v>
      </c>
      <c r="K12" s="122">
        <f>GETPIVOTDATA("14.年間償却額",pivot!$AI$5,"2.対象物件",B12,"5.資産種類名","器具備品")</f>
        <v>62964</v>
      </c>
      <c r="L12" s="465">
        <f>GETPIVOTDATA("14.年間償却額",pivot!$AI$5,"2.対象物件",B12)</f>
        <v>6422877</v>
      </c>
      <c r="M12" s="467"/>
    </row>
    <row r="13" spans="1:13" ht="22.5" customHeight="1">
      <c r="A13">
        <v>107</v>
      </c>
      <c r="B13" s="5" t="str">
        <f t="shared" si="0"/>
        <v>メゾン雑司ヶ谷</v>
      </c>
      <c r="C13" s="465">
        <f>GETPIVOTDATA("12.取得価額",pivot!$W$7,"2.対象物件",B13,"5.資産種類名2","土地")</f>
        <v>286363375</v>
      </c>
      <c r="D13" s="466">
        <f>GETPIVOTDATA("12.取得価額",pivot!$W$7,"2.対象物件",B13,"5.資産種類名2","建物等")</f>
        <v>98069650</v>
      </c>
      <c r="E13" s="465">
        <f>GETPIVOTDATA("13.期首帳簿価額",pivot!$AC$5,"2.対象物件",B13,"5.資産種類名2","土地")</f>
        <v>286363375</v>
      </c>
      <c r="F13" s="122">
        <f>GETPIVOTDATA("13.期首帳簿価額",pivot!$AC$5,"2.対象物件",B13,"5.資産種類名2","建物等")</f>
        <v>73661130</v>
      </c>
      <c r="G13" s="122">
        <f>GETPIVOTDATA("13.期首帳簿価額",pivot!$AC$5,"2.対象物件",B13)</f>
        <v>360024505</v>
      </c>
      <c r="H13" s="465">
        <f>GETPIVOTDATA("14.年間償却額",pivot!$AI$5,"2.対象物件",B13,"5.資産種類名","建物")</f>
        <v>4315064</v>
      </c>
      <c r="I13" s="122">
        <f>GETPIVOTDATA("14.年間償却額",pivot!$AI$5,"2.対象物件",B13,"5.資産種類名","建物附属設備")</f>
        <v>212477</v>
      </c>
      <c r="J13" s="122">
        <f>GETPIVOTDATA("14.年間償却額",pivot!$AI$5,"2.対象物件",B13,"5.資産種類名","構築物")</f>
        <v>0</v>
      </c>
      <c r="K13" s="122">
        <f>GETPIVOTDATA("14.年間償却額",pivot!$AI$5,"2.対象物件",B13,"5.資産種類名","器具備品")</f>
        <v>84480</v>
      </c>
      <c r="L13" s="465">
        <f>GETPIVOTDATA("14.年間償却額",pivot!$AI$5,"2.対象物件",B13)</f>
        <v>4612021</v>
      </c>
      <c r="M13" s="467"/>
    </row>
    <row r="14" spans="1:13" ht="22.5" customHeight="1">
      <c r="A14">
        <v>109</v>
      </c>
      <c r="B14" s="5" t="str">
        <f t="shared" si="0"/>
        <v>カーサ南池袋</v>
      </c>
      <c r="C14" s="465">
        <f>GETPIVOTDATA("12.取得価額",pivot!$W$7,"2.対象物件",B14,"5.資産種類名2","土地")</f>
        <v>165375617</v>
      </c>
      <c r="D14" s="466">
        <f>GETPIVOTDATA("12.取得価額",pivot!$W$7,"2.対象物件",B14,"5.資産種類名2","建物等")</f>
        <v>26492683</v>
      </c>
      <c r="E14" s="465">
        <f>GETPIVOTDATA("13.期首帳簿価額",pivot!$AC$5,"2.対象物件",B14,"5.資産種類名2","土地")</f>
        <v>165375617</v>
      </c>
      <c r="F14" s="122">
        <f>GETPIVOTDATA("13.期首帳簿価額",pivot!$AC$5,"2.対象物件",B14,"5.資産種類名2","建物等")</f>
        <v>27798216</v>
      </c>
      <c r="G14" s="122">
        <f>GETPIVOTDATA("13.期首帳簿価額",pivot!$AC$5,"2.対象物件",B14)</f>
        <v>193173833</v>
      </c>
      <c r="H14" s="465">
        <f>GETPIVOTDATA("14.年間償却額",pivot!$AI$5,"2.対象物件",B14,"5.資産種類名","建物")</f>
        <v>2967179</v>
      </c>
      <c r="I14" s="122">
        <f>GETPIVOTDATA("14.年間償却額",pivot!$AI$5,"2.対象物件",B14,"5.資産種類名","建物附属設備")</f>
        <v>1454309</v>
      </c>
      <c r="J14" s="122">
        <f>GETPIVOTDATA("14.年間償却額",pivot!$AI$5,"2.対象物件",B14,"5.資産種類名","構築物")</f>
        <v>0</v>
      </c>
      <c r="K14" s="122">
        <f>GETPIVOTDATA("14.年間償却額",pivot!$AI$5,"2.対象物件",B14,"5.資産種類名","器具備品")</f>
        <v>88704</v>
      </c>
      <c r="L14" s="465">
        <f>GETPIVOTDATA("14.年間償却額",pivot!$AI$5,"2.対象物件",B14)</f>
        <v>4510192</v>
      </c>
      <c r="M14" s="467"/>
    </row>
    <row r="15" spans="1:13" ht="22.5" customHeight="1">
      <c r="A15">
        <v>111</v>
      </c>
      <c r="B15" s="5" t="str">
        <f t="shared" si="0"/>
        <v>目白カーサ二番館</v>
      </c>
      <c r="C15" s="465">
        <f>GETPIVOTDATA("12.取得価額",pivot!$W$7,"2.対象物件",B15,"5.資産種類名2","土地")</f>
        <v>252984606</v>
      </c>
      <c r="D15" s="466">
        <f>GETPIVOTDATA("12.取得価額",pivot!$W$7,"2.対象物件",B15,"5.資産種類名2","建物等")</f>
        <v>59724146</v>
      </c>
      <c r="E15" s="465">
        <f>GETPIVOTDATA("13.期首帳簿価額",pivot!$AC$5,"2.対象物件",B15,"5.資産種類名2","土地")</f>
        <v>252984606</v>
      </c>
      <c r="F15" s="122">
        <f>GETPIVOTDATA("13.期首帳簿価額",pivot!$AC$5,"2.対象物件",B15,"5.資産種類名2","建物等")</f>
        <v>34281663</v>
      </c>
      <c r="G15" s="122">
        <f>GETPIVOTDATA("13.期首帳簿価額",pivot!$AC$5,"2.対象物件",B15)</f>
        <v>287266269</v>
      </c>
      <c r="H15" s="465">
        <f>GETPIVOTDATA("14.年間償却額",pivot!$AI$5,"2.対象物件",B15,"5.資産種類名","建物")</f>
        <v>4300138</v>
      </c>
      <c r="I15" s="122">
        <f>GETPIVOTDATA("14.年間償却額",pivot!$AI$5,"2.対象物件",B15,"5.資産種類名","建物附属設備")</f>
        <v>0</v>
      </c>
      <c r="J15" s="122">
        <f>GETPIVOTDATA("14.年間償却額",pivot!$AI$5,"2.対象物件",B15,"5.資産種類名","構築物")</f>
        <v>0</v>
      </c>
      <c r="K15" s="122">
        <f>GETPIVOTDATA("14.年間償却額",pivot!$AI$5,"2.対象物件",B15,"5.資産種類名","器具備品")</f>
        <v>0</v>
      </c>
      <c r="L15" s="465">
        <f>GETPIVOTDATA("14.年間償却額",pivot!$AI$5,"2.対象物件",B15)</f>
        <v>4300138</v>
      </c>
      <c r="M15" s="467"/>
    </row>
    <row r="16" spans="1:13" ht="22.5" customHeight="1">
      <c r="A16">
        <v>112</v>
      </c>
      <c r="B16" s="5" t="str">
        <f t="shared" si="0"/>
        <v>豊島目白ビル</v>
      </c>
      <c r="C16" s="465">
        <f>GETPIVOTDATA("12.取得価額",pivot!$W$7,"2.対象物件",B16,"5.資産種類名2","土地")</f>
        <v>316421235</v>
      </c>
      <c r="D16" s="466">
        <f>GETPIVOTDATA("12.取得価額",pivot!$W$7,"2.対象物件",B16,"5.資産種類名2","建物等")</f>
        <v>126784406</v>
      </c>
      <c r="E16" s="465">
        <f>GETPIVOTDATA("13.期首帳簿価額",pivot!$AC$5,"2.対象物件",B16,"5.資産種類名2","土地")</f>
        <v>316421235</v>
      </c>
      <c r="F16" s="122">
        <f>GETPIVOTDATA("13.期首帳簿価額",pivot!$AC$5,"2.対象物件",B16,"5.資産種類名2","建物等")</f>
        <v>98680532</v>
      </c>
      <c r="G16" s="122">
        <f>GETPIVOTDATA("13.期首帳簿価額",pivot!$AC$5,"2.対象物件",B16)</f>
        <v>415101767</v>
      </c>
      <c r="H16" s="465">
        <f>GETPIVOTDATA("14.年間償却額",pivot!$AI$5,"2.対象物件",B16,"5.資産種類名","建物")</f>
        <v>4817807</v>
      </c>
      <c r="I16" s="122">
        <f>GETPIVOTDATA("14.年間償却額",pivot!$AI$5,"2.対象物件",B16,"5.資産種類名","建物附属設備")</f>
        <v>0</v>
      </c>
      <c r="J16" s="122">
        <f>GETPIVOTDATA("14.年間償却額",pivot!$AI$5,"2.対象物件",B16,"5.資産種類名","構築物")</f>
        <v>0</v>
      </c>
      <c r="K16" s="122">
        <f>GETPIVOTDATA("14.年間償却額",pivot!$AI$5,"2.対象物件",B16,"5.資産種類名","器具備品")</f>
        <v>0</v>
      </c>
      <c r="L16" s="465">
        <f>GETPIVOTDATA("14.年間償却額",pivot!$AI$5,"2.対象物件",B16)</f>
        <v>4817807</v>
      </c>
      <c r="M16" s="467"/>
    </row>
    <row r="17" spans="1:13" ht="22.5" customHeight="1">
      <c r="A17">
        <v>113</v>
      </c>
      <c r="B17" s="5" t="str">
        <f t="shared" si="0"/>
        <v>第3目白ハイツ</v>
      </c>
      <c r="C17" s="465">
        <f>GETPIVOTDATA("12.取得価額",pivot!$W$7,"2.対象物件",B17,"5.資産種類名2","土地")</f>
        <v>335018465</v>
      </c>
      <c r="D17" s="466">
        <f>GETPIVOTDATA("12.取得価額",pivot!$W$7,"2.対象物件",B17,"5.資産種類名2","建物等")</f>
        <v>149989486</v>
      </c>
      <c r="E17" s="465">
        <f>GETPIVOTDATA("13.期首帳簿価額",pivot!$AC$5,"2.対象物件",B17,"5.資産種類名2","土地")</f>
        <v>335018465</v>
      </c>
      <c r="F17" s="122">
        <f>GETPIVOTDATA("13.期首帳簿価額",pivot!$AC$5,"2.対象物件",B17,"5.資産種類名2","建物等")</f>
        <v>127400532</v>
      </c>
      <c r="G17" s="122">
        <f>GETPIVOTDATA("13.期首帳簿価額",pivot!$AC$5,"2.対象物件",B17)</f>
        <v>462418997</v>
      </c>
      <c r="H17" s="465">
        <f>GETPIVOTDATA("14.年間償却額",pivot!$AI$5,"2.対象物件",B17,"5.資産種類名","建物")</f>
        <v>6299558</v>
      </c>
      <c r="I17" s="122">
        <f>GETPIVOTDATA("14.年間償却額",pivot!$AI$5,"2.対象物件",B17,"5.資産種類名","建物附属設備")</f>
        <v>744405</v>
      </c>
      <c r="J17" s="122">
        <f>GETPIVOTDATA("14.年間償却額",pivot!$AI$5,"2.対象物件",B17,"5.資産種類名","構築物")</f>
        <v>151956</v>
      </c>
      <c r="K17" s="122">
        <f>GETPIVOTDATA("14.年間償却額",pivot!$AI$5,"2.対象物件",B17,"5.資産種類名","器具備品")</f>
        <v>0</v>
      </c>
      <c r="L17" s="465">
        <f>GETPIVOTDATA("14.年間償却額",pivot!$AI$5,"2.対象物件",B17)</f>
        <v>7195919</v>
      </c>
      <c r="M17" s="467"/>
    </row>
    <row r="18" spans="1:13" ht="22.5" customHeight="1">
      <c r="A18">
        <v>114</v>
      </c>
      <c r="B18" s="5" t="str">
        <f t="shared" si="0"/>
        <v>レジデンス目白豊島</v>
      </c>
      <c r="C18" s="465">
        <f>GETPIVOTDATA("12.取得価額",pivot!$W$7,"2.対象物件",B18,"5.資産種類名2","土地")</f>
        <v>154821009</v>
      </c>
      <c r="D18" s="466">
        <f>GETPIVOTDATA("12.取得価額",pivot!$W$7,"2.対象物件",B18,"5.資産種類名2","建物等")</f>
        <v>52665555</v>
      </c>
      <c r="E18" s="465">
        <f>GETPIVOTDATA("13.期首帳簿価額",pivot!$AC$5,"2.対象物件",B18,"5.資産種類名2","土地")</f>
        <v>154821009</v>
      </c>
      <c r="F18" s="122">
        <f>GETPIVOTDATA("13.期首帳簿価額",pivot!$AC$5,"2.対象物件",B18,"5.資産種類名2","建物等")</f>
        <v>42782673</v>
      </c>
      <c r="G18" s="122">
        <f>GETPIVOTDATA("13.期首帳簿価額",pivot!$AC$5,"2.対象物件",B18)</f>
        <v>197603682</v>
      </c>
      <c r="H18" s="465">
        <f>GETPIVOTDATA("14.年間償却額",pivot!$AI$5,"2.対象物件",B18,"5.資産種類名","建物")</f>
        <v>2114406</v>
      </c>
      <c r="I18" s="122">
        <f>GETPIVOTDATA("14.年間償却額",pivot!$AI$5,"2.対象物件",B18,"5.資産種類名","建物附属設備")</f>
        <v>0</v>
      </c>
      <c r="J18" s="122">
        <f>GETPIVOTDATA("14.年間償却額",pivot!$AI$5,"2.対象物件",B18,"5.資産種類名","構築物")</f>
        <v>0</v>
      </c>
      <c r="K18" s="122">
        <f>GETPIVOTDATA("14.年間償却額",pivot!$AI$5,"2.対象物件",B18,"5.資産種類名","器具備品")</f>
        <v>0</v>
      </c>
      <c r="L18" s="465">
        <f>GETPIVOTDATA("14.年間償却額",pivot!$AI$5,"2.対象物件",B18)</f>
        <v>2114406</v>
      </c>
      <c r="M18" s="467"/>
    </row>
    <row r="19" spans="1:13" ht="22.5" customHeight="1">
      <c r="A19">
        <v>115</v>
      </c>
      <c r="B19" s="5" t="str">
        <f t="shared" si="0"/>
        <v>コアプラス大塚</v>
      </c>
      <c r="C19" s="465">
        <f>GETPIVOTDATA("12.取得価額",pivot!$W$7,"2.対象物件",B19,"5.資産種類名2","土地")</f>
        <v>300927161</v>
      </c>
      <c r="D19" s="466">
        <f>GETPIVOTDATA("12.取得価額",pivot!$W$7,"2.対象物件",B19,"5.資産種類名2","建物等")</f>
        <v>250772634</v>
      </c>
      <c r="E19" s="465">
        <f>GETPIVOTDATA("13.期首帳簿価額",pivot!$AC$5,"2.対象物件",B19,"5.資産種類名2","土地")</f>
        <v>300927161</v>
      </c>
      <c r="F19" s="122">
        <f>GETPIVOTDATA("13.期首帳簿価額",pivot!$AC$5,"2.対象物件",B19,"5.資産種類名2","建物等")</f>
        <v>213808751</v>
      </c>
      <c r="G19" s="122">
        <f>GETPIVOTDATA("13.期首帳簿価額",pivot!$AC$5,"2.対象物件",B19)</f>
        <v>514735912</v>
      </c>
      <c r="H19" s="465">
        <f>GETPIVOTDATA("14.年間償却額",pivot!$AI$5,"2.対象物件",B19,"5.資産種類名","建物")</f>
        <v>7773951</v>
      </c>
      <c r="I19" s="122">
        <f>GETPIVOTDATA("14.年間償却額",pivot!$AI$5,"2.対象物件",B19,"5.資産種類名","建物附属設備")</f>
        <v>0</v>
      </c>
      <c r="J19" s="122">
        <f>GETPIVOTDATA("14.年間償却額",pivot!$AI$5,"2.対象物件",B19,"5.資産種類名","構築物")</f>
        <v>0</v>
      </c>
      <c r="K19" s="122">
        <f>GETPIVOTDATA("14.年間償却額",pivot!$AI$5,"2.対象物件",B19,"5.資産種類名","器具備品")</f>
        <v>0</v>
      </c>
      <c r="L19" s="465">
        <f>GETPIVOTDATA("14.年間償却額",pivot!$AI$5,"2.対象物件",B19)</f>
        <v>7773951</v>
      </c>
      <c r="M19" s="467"/>
    </row>
    <row r="20" spans="1:13" ht="22.5" customHeight="1">
      <c r="A20">
        <v>116</v>
      </c>
      <c r="B20" s="5" t="str">
        <f t="shared" si="0"/>
        <v>コアプラスレジデンス梅田</v>
      </c>
      <c r="C20" s="465">
        <f>GETPIVOTDATA("12.取得価額",pivot!$W$7,"2.対象物件",B20,"5.資産種類名2","土地")</f>
        <v>211645475</v>
      </c>
      <c r="D20" s="466">
        <f>GETPIVOTDATA("12.取得価額",pivot!$W$7,"2.対象物件",B20,"5.資産種類名2","建物等")</f>
        <v>147620954</v>
      </c>
      <c r="E20" s="465">
        <f>GETPIVOTDATA("13.期首帳簿価額",pivot!$AC$5,"2.対象物件",B20,"5.資産種類名2","土地")</f>
        <v>211645475</v>
      </c>
      <c r="F20" s="122">
        <f>GETPIVOTDATA("13.期首帳簿価額",pivot!$AC$5,"2.対象物件",B20,"5.資産種類名2","建物等")</f>
        <v>152141411</v>
      </c>
      <c r="G20" s="122">
        <f>GETPIVOTDATA("13.期首帳簿価額",pivot!$AC$5,"2.対象物件",B20)</f>
        <v>363786886</v>
      </c>
      <c r="H20" s="465">
        <f>GETPIVOTDATA("14.年間償却額",pivot!$AI$5,"2.対象物件",B20,"5.資産種類名","建物")</f>
        <v>7073962</v>
      </c>
      <c r="I20" s="122">
        <f>GETPIVOTDATA("14.年間償却額",pivot!$AI$5,"2.対象物件",B20,"5.資産種類名","建物附属設備")</f>
        <v>705692</v>
      </c>
      <c r="J20" s="122">
        <f>GETPIVOTDATA("14.年間償却額",pivot!$AI$5,"2.対象物件",B20,"5.資産種類名","構築物")</f>
        <v>0</v>
      </c>
      <c r="K20" s="122">
        <f>GETPIVOTDATA("14.年間償却額",pivot!$AI$5,"2.対象物件",B20,"5.資産種類名","器具備品")</f>
        <v>83013</v>
      </c>
      <c r="L20" s="465">
        <f>GETPIVOTDATA("14.年間償却額",pivot!$AI$5,"2.対象物件",B20)</f>
        <v>7862667</v>
      </c>
      <c r="M20" s="467"/>
    </row>
    <row r="21" spans="1:13" ht="22.5" customHeight="1">
      <c r="A21">
        <v>117</v>
      </c>
      <c r="B21" s="5" t="str">
        <f t="shared" si="0"/>
        <v>高田馬場第4玉川ビル</v>
      </c>
      <c r="C21" s="465">
        <f>GETPIVOTDATA("12.取得価額",pivot!$W$7,"2.対象物件",B21,"5.資産種類名2","土地")</f>
        <v>113543242</v>
      </c>
      <c r="D21" s="466">
        <f>GETPIVOTDATA("12.取得価額",pivot!$W$7,"2.対象物件",B21,"5.資産種類名2","建物等")</f>
        <v>24151178</v>
      </c>
      <c r="E21" s="465">
        <f>GETPIVOTDATA("13.期首帳簿価額",pivot!$AC$5,"2.対象物件",B21,"5.資産種類名2","土地")</f>
        <v>113543242</v>
      </c>
      <c r="F21" s="122">
        <f>GETPIVOTDATA("13.期首帳簿価額",pivot!$AC$5,"2.対象物件",B21,"5.資産種類名2","建物等")</f>
        <v>15377543</v>
      </c>
      <c r="G21" s="122">
        <f>GETPIVOTDATA("13.期首帳簿価額",pivot!$AC$5,"2.対象物件",B21)</f>
        <v>128920785</v>
      </c>
      <c r="H21" s="465">
        <f>GETPIVOTDATA("14.年間償却額",pivot!$AI$5,"2.対象物件",B21,"5.資産種類名","建物")</f>
        <v>2704931</v>
      </c>
      <c r="I21" s="122">
        <f>GETPIVOTDATA("14.年間償却額",pivot!$AI$5,"2.対象物件",B21,"5.資産種類名","建物附属設備")</f>
        <v>246267</v>
      </c>
      <c r="J21" s="122">
        <f>GETPIVOTDATA("14.年間償却額",pivot!$AI$5,"2.対象物件",B21,"5.資産種類名","構築物")</f>
        <v>0</v>
      </c>
      <c r="K21" s="122">
        <f>GETPIVOTDATA("14.年間償却額",pivot!$AI$5,"2.対象物件",B21,"5.資産種類名","器具備品")</f>
        <v>0</v>
      </c>
      <c r="L21" s="465">
        <f>GETPIVOTDATA("14.年間償却額",pivot!$AI$5,"2.対象物件",B21)</f>
        <v>2951198</v>
      </c>
      <c r="M21" s="467"/>
    </row>
    <row r="22" spans="1:13" ht="22.5" customHeight="1">
      <c r="A22">
        <v>120</v>
      </c>
      <c r="B22" s="5" t="str">
        <f t="shared" si="0"/>
        <v>南池袋マンション</v>
      </c>
      <c r="C22" s="465">
        <f>GETPIVOTDATA("12.取得価額",pivot!$W$7,"2.対象物件",B22,"5.資産種類名2","土地")</f>
        <v>120828203</v>
      </c>
      <c r="D22" s="466">
        <f>GETPIVOTDATA("12.取得価額",pivot!$W$7,"2.対象物件",B22,"5.資産種類名2","建物等")</f>
        <v>33588101</v>
      </c>
      <c r="E22" s="465">
        <f>GETPIVOTDATA("13.期首帳簿価額",pivot!$AC$5,"2.対象物件",B22,"5.資産種類名2","土地")</f>
        <v>120828203</v>
      </c>
      <c r="F22" s="122">
        <f>GETPIVOTDATA("13.期首帳簿価額",pivot!$AC$5,"2.対象物件",B22,"5.資産種類名2","建物等")</f>
        <v>30483564</v>
      </c>
      <c r="G22" s="122">
        <f>GETPIVOTDATA("13.期首帳簿価額",pivot!$AC$5,"2.対象物件",B22)</f>
        <v>151311767</v>
      </c>
      <c r="H22" s="465">
        <f>GETPIVOTDATA("14.年間償却額",pivot!$AI$5,"2.対象物件",B22,"5.資産種類名","建物")</f>
        <v>1410700</v>
      </c>
      <c r="I22" s="122">
        <f>GETPIVOTDATA("14.年間償却額",pivot!$AI$5,"2.対象物件",B22,"5.資産種類名","建物附属設備")</f>
        <v>227130</v>
      </c>
      <c r="J22" s="122">
        <f>GETPIVOTDATA("14.年間償却額",pivot!$AI$5,"2.対象物件",B22,"5.資産種類名","構築物")</f>
        <v>0</v>
      </c>
      <c r="K22" s="122">
        <f>GETPIVOTDATA("14.年間償却額",pivot!$AI$5,"2.対象物件",B22,"5.資産種類名","器具備品")</f>
        <v>0</v>
      </c>
      <c r="L22" s="465">
        <f>GETPIVOTDATA("14.年間償却額",pivot!$AI$5,"2.対象物件",B22)</f>
        <v>1637830</v>
      </c>
      <c r="M22" s="467"/>
    </row>
    <row r="23" spans="1:13" ht="22.5" customHeight="1">
      <c r="A23">
        <v>121</v>
      </c>
      <c r="B23" s="5" t="str">
        <f t="shared" ref="B23:B24" si="1">VLOOKUP(A23,id_settings,2,FALSE)</f>
        <v>目白アパート1号館</v>
      </c>
      <c r="C23" s="465">
        <f>GETPIVOTDATA("12.取得価額",pivot!$W$7,"2.対象物件",B23,"5.資産種類名2","土地")</f>
        <v>5112000</v>
      </c>
      <c r="D23" s="466">
        <f>GETPIVOTDATA("12.取得価額",pivot!$W$7,"2.対象物件",B23,"5.資産種類名2","建物等")</f>
        <v>51251000</v>
      </c>
      <c r="E23" s="465">
        <f>GETPIVOTDATA("13.期首帳簿価額",pivot!$AC$5,"2.対象物件",B23,"5.資産種類名2","土地")</f>
        <v>5112000</v>
      </c>
      <c r="F23" s="122">
        <f>GETPIVOTDATA("13.期首帳簿価額",pivot!$AC$5,"2.対象物件",B23,"5.資産種類名2","建物等")</f>
        <v>51251000</v>
      </c>
      <c r="G23" s="122">
        <f>GETPIVOTDATA("13.期首帳簿価額",pivot!$AC$5,"2.対象物件",B23)</f>
        <v>56363000</v>
      </c>
      <c r="H23" s="465">
        <f>GETPIVOTDATA("14.年間償却額",pivot!$AI$5,"2.対象物件",B23,"5.資産種類名","建物")</f>
        <v>2500000</v>
      </c>
      <c r="I23" s="122">
        <f>GETPIVOTDATA("14.年間償却額",pivot!$AI$5,"2.対象物件",B23,"5.資産種類名","建物附属設備")</f>
        <v>0</v>
      </c>
      <c r="J23" s="122">
        <f>GETPIVOTDATA("14.年間償却額",pivot!$AI$5,"2.対象物件",B23,"5.資産種類名","構築物")</f>
        <v>0</v>
      </c>
      <c r="K23" s="122">
        <f>GETPIVOTDATA("14.年間償却額",pivot!$AI$5,"2.対象物件",B23,"5.資産種類名","器具備品")</f>
        <v>0</v>
      </c>
      <c r="L23" s="465">
        <f>GETPIVOTDATA("14.年間償却額",pivot!$AI$5,"2.対象物件",B23)</f>
        <v>2500000</v>
      </c>
      <c r="M23" s="467"/>
    </row>
    <row r="24" spans="1:13" ht="22.5" customHeight="1">
      <c r="A24">
        <v>122</v>
      </c>
      <c r="B24" s="5" t="str">
        <f t="shared" si="1"/>
        <v>目白アパート2号館</v>
      </c>
      <c r="C24" s="465">
        <f>GETPIVOTDATA("12.取得価額",pivot!$W$7,"2.対象物件",B24,"5.資産種類名2","土地")</f>
        <v>5241000</v>
      </c>
      <c r="D24" s="466">
        <f>GETPIVOTDATA("12.取得価額",pivot!$W$7,"2.対象物件",B24,"5.資産種類名2","建物等")</f>
        <v>31236000</v>
      </c>
      <c r="E24" s="465">
        <f>GETPIVOTDATA("13.期首帳簿価額",pivot!$AC$5,"2.対象物件",B24,"5.資産種類名2","土地")</f>
        <v>5241000</v>
      </c>
      <c r="F24" s="122">
        <f>GETPIVOTDATA("13.期首帳簿価額",pivot!$AC$5,"2.対象物件",B24,"5.資産種類名2","建物等")</f>
        <v>31236000</v>
      </c>
      <c r="G24" s="122">
        <f>GETPIVOTDATA("13.期首帳簿価額",pivot!$AC$5,"2.対象物件",B24)</f>
        <v>36477000</v>
      </c>
      <c r="H24" s="465">
        <f>GETPIVOTDATA("14.年間償却額",pivot!$AI$5,"2.対象物件",B24,"5.資産種類名","建物")</f>
        <v>2000000</v>
      </c>
      <c r="I24" s="122">
        <f>GETPIVOTDATA("14.年間償却額",pivot!$AI$5,"2.対象物件",B24,"5.資産種類名","建物附属設備")</f>
        <v>0</v>
      </c>
      <c r="J24" s="122">
        <f>GETPIVOTDATA("14.年間償却額",pivot!$AI$5,"2.対象物件",B24,"5.資産種類名","構築物")</f>
        <v>0</v>
      </c>
      <c r="K24" s="122">
        <f>GETPIVOTDATA("14.年間償却額",pivot!$AI$5,"2.対象物件",B24,"5.資産種類名","器具備品")</f>
        <v>0</v>
      </c>
      <c r="L24" s="465">
        <f>GETPIVOTDATA("14.年間償却額",pivot!$AI$5,"2.対象物件",B24)</f>
        <v>2000000</v>
      </c>
      <c r="M24" s="467"/>
    </row>
    <row r="25" spans="1:13" ht="22.5" customHeight="1">
      <c r="A25">
        <v>221</v>
      </c>
      <c r="B25" s="5" t="str">
        <f t="shared" si="0"/>
        <v>ビジネス新大阪123号</v>
      </c>
      <c r="C25" s="465">
        <f>GETPIVOTDATA("12.取得価額",pivot!$W$7,"2.対象物件",B25,"5.資産種類名2","土地")</f>
        <v>2488575</v>
      </c>
      <c r="D25" s="466">
        <f>GETPIVOTDATA("12.取得価額",pivot!$W$7,"2.対象物件",B25,"5.資産種類名2","建物等")</f>
        <v>3052637</v>
      </c>
      <c r="E25" s="465">
        <f>GETPIVOTDATA("13.期首帳簿価額",pivot!$AC$5,"2.対象物件",B25,"5.資産種類名2","土地")</f>
        <v>2488575</v>
      </c>
      <c r="F25" s="122">
        <f>GETPIVOTDATA("13.期首帳簿価額",pivot!$AC$5,"2.対象物件",B25,"5.資産種類名2","建物等")</f>
        <v>2797363</v>
      </c>
      <c r="G25" s="122">
        <f>GETPIVOTDATA("13.期首帳簿価額",pivot!$AC$5,"2.対象物件",B25)</f>
        <v>5285938</v>
      </c>
      <c r="H25" s="465">
        <f>GETPIVOTDATA("14.年間償却額",pivot!$AI$5,"2.対象物件",B25,"5.資産種類名","建物")</f>
        <v>256421</v>
      </c>
      <c r="I25" s="122">
        <f>GETPIVOTDATA("14.年間償却額",pivot!$AI$5,"2.対象物件",B25,"5.資産種類名","建物附属設備")</f>
        <v>0</v>
      </c>
      <c r="J25" s="122">
        <f>GETPIVOTDATA("14.年間償却額",pivot!$AI$5,"2.対象物件",B25,"5.資産種類名","構築物")</f>
        <v>0</v>
      </c>
      <c r="K25" s="122">
        <f>GETPIVOTDATA("14.年間償却額",pivot!$AI$5,"2.対象物件",B25,"5.資産種類名","器具備品")</f>
        <v>0</v>
      </c>
      <c r="L25" s="465">
        <f>GETPIVOTDATA("14.年間償却額",pivot!$AI$5,"2.対象物件",B25)</f>
        <v>256421</v>
      </c>
      <c r="M25" s="467"/>
    </row>
    <row r="26" spans="1:13" ht="22.5" customHeight="1" thickBot="1">
      <c r="A26" s="67">
        <v>222</v>
      </c>
      <c r="B26" s="468" t="str">
        <f t="shared" si="0"/>
        <v>プラウD目白301号</v>
      </c>
      <c r="C26" s="469">
        <f>GETPIVOTDATA("12.取得価額",pivot!$W$7,"2.対象物件",B26,"5.資産種類名2","土地")</f>
        <v>57130988</v>
      </c>
      <c r="D26" s="470">
        <f>GETPIVOTDATA("12.取得価額",pivot!$W$7,"2.対象物件",B26,"5.資産種類名2","建物等")</f>
        <v>19286259</v>
      </c>
      <c r="E26" s="469">
        <f>GETPIVOTDATA("13.期首帳簿価額",pivot!$AC$5,"2.対象物件",B26,"5.資産種類名2","土地")</f>
        <v>57130988</v>
      </c>
      <c r="F26" s="123">
        <f>GETPIVOTDATA("13.期首帳簿価額",pivot!$AC$5,"2.対象物件",B26,"5.資産種類名2","建物等")</f>
        <v>37501218</v>
      </c>
      <c r="G26" s="123">
        <f>GETPIVOTDATA("13.期首帳簿価額",pivot!$AC$5,"2.対象物件",B26)</f>
        <v>94632206</v>
      </c>
      <c r="H26" s="469">
        <f>GETPIVOTDATA("14.年間償却額",pivot!$AI$5,"2.対象物件",B26,"5.資産種類名","建物")</f>
        <v>1131918</v>
      </c>
      <c r="I26" s="123">
        <f>GETPIVOTDATA("14.年間償却額",pivot!$AI$5,"2.対象物件",B26,"5.資産種類名","建物附属設備")</f>
        <v>574046</v>
      </c>
      <c r="J26" s="123">
        <f>GETPIVOTDATA("14.年間償却額",pivot!$AI$5,"2.対象物件",B26,"5.資産種類名","構築物")</f>
        <v>0</v>
      </c>
      <c r="K26" s="123">
        <f>GETPIVOTDATA("14.年間償却額",pivot!$AI$5,"2.対象物件",B26,"5.資産種類名","器具備品")</f>
        <v>0</v>
      </c>
      <c r="L26" s="469">
        <f>GETPIVOTDATA("14.年間償却額",pivot!$AI$5,"2.対象物件",B26)</f>
        <v>1705964</v>
      </c>
      <c r="M26" s="471"/>
    </row>
    <row r="27" spans="1:13" ht="14.25" thickTop="1">
      <c r="B27" s="6" t="s">
        <v>1269</v>
      </c>
      <c r="C27" s="57">
        <f>SUM(C7:C26)</f>
        <v>3694543297</v>
      </c>
      <c r="D27" s="57">
        <f t="shared" ref="D27:L27" si="2">SUM(D7:D26)</f>
        <v>1747811195</v>
      </c>
      <c r="E27" s="57">
        <f t="shared" si="2"/>
        <v>3694543297</v>
      </c>
      <c r="F27" s="57">
        <f t="shared" si="2"/>
        <v>1467635379</v>
      </c>
      <c r="G27" s="57">
        <f t="shared" si="2"/>
        <v>5162178676</v>
      </c>
      <c r="H27" s="57">
        <f t="shared" si="2"/>
        <v>79840239</v>
      </c>
      <c r="I27" s="57">
        <f t="shared" si="2"/>
        <v>6753913</v>
      </c>
      <c r="J27" s="57">
        <f t="shared" si="2"/>
        <v>292843</v>
      </c>
      <c r="K27" s="57">
        <f t="shared" si="2"/>
        <v>433617</v>
      </c>
      <c r="L27" s="57">
        <f t="shared" si="2"/>
        <v>87320612</v>
      </c>
    </row>
  </sheetData>
  <sheetProtection sheet="1" formatCells="0" formatColumns="0" formatRows="0" insertColumns="0" insertRows="0" insertHyperlinks="0" deleteColumns="0" deleteRows="0" sort="0" autoFilter="0" pivotTables="0"/>
  <mergeCells count="17">
    <mergeCell ref="M4:M6"/>
    <mergeCell ref="C5:C6"/>
    <mergeCell ref="D5:D6"/>
    <mergeCell ref="E5:E6"/>
    <mergeCell ref="F5:F6"/>
    <mergeCell ref="G5:G6"/>
    <mergeCell ref="H5:H6"/>
    <mergeCell ref="I5:I6"/>
    <mergeCell ref="J5:J6"/>
    <mergeCell ref="K5:K6"/>
    <mergeCell ref="H4:L4"/>
    <mergeCell ref="L5:L6"/>
    <mergeCell ref="A2:B2"/>
    <mergeCell ref="A4:A6"/>
    <mergeCell ref="B4:B6"/>
    <mergeCell ref="C4:D4"/>
    <mergeCell ref="E4:G4"/>
  </mergeCells>
  <phoneticPr fontId="5"/>
  <pageMargins left="0.70866141732283472" right="0.70866141732283472" top="0.74803149606299213" bottom="0.74803149606299213" header="0.31496062992125984" footer="0.31496062992125984"/>
  <pageSetup paperSize="8" orientation="landscape" horizontalDpi="1200" verticalDpi="1200" r:id="rId1"/>
  <headerFooter>
    <oddHeader>&amp;A</oddHeader>
    <oddFooter>&amp;P / &amp;N ページ</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E7C49-D212-407C-A589-08DB6641076F}">
  <sheetPr>
    <pageSetUpPr fitToPage="1"/>
  </sheetPr>
  <dimension ref="A1:Q151"/>
  <sheetViews>
    <sheetView view="pageBreakPreview" zoomScaleNormal="100" zoomScaleSheetLayoutView="100" workbookViewId="0"/>
  </sheetViews>
  <sheetFormatPr defaultRowHeight="13.5"/>
  <cols>
    <col min="1" max="1" width="5.625" style="23" customWidth="1"/>
    <col min="2" max="2" width="15" style="23" customWidth="1"/>
    <col min="3" max="3" width="5.875" style="23" customWidth="1"/>
    <col min="4" max="4" width="15.5" style="23" customWidth="1"/>
    <col min="5" max="6" width="12.125" style="23" customWidth="1"/>
    <col min="7" max="7" width="32.875" style="23" customWidth="1"/>
    <col min="8" max="8" width="12.125" style="23" customWidth="1"/>
    <col min="9" max="11" width="8" style="23" customWidth="1"/>
    <col min="12" max="15" width="12.125" style="78" customWidth="1"/>
    <col min="16" max="16" width="12.125" style="61" customWidth="1"/>
    <col min="17" max="17" width="23" style="23" customWidth="1"/>
  </cols>
  <sheetData>
    <row r="1" spans="1:17" ht="21">
      <c r="A1" s="481" t="s">
        <v>1270</v>
      </c>
      <c r="B1" s="481"/>
      <c r="C1" s="481"/>
      <c r="D1" s="481"/>
      <c r="I1" s="61"/>
      <c r="J1" s="61"/>
      <c r="K1" s="61"/>
      <c r="L1" s="221"/>
      <c r="M1" s="221"/>
      <c r="N1" s="221"/>
      <c r="O1" s="221"/>
      <c r="P1" s="221"/>
      <c r="Q1" s="78"/>
    </row>
    <row r="2" spans="1:17" ht="21">
      <c r="A2" s="634">
        <f>settings!L11</f>
        <v>44561</v>
      </c>
      <c r="B2" s="634"/>
      <c r="C2" s="634"/>
      <c r="D2" s="634"/>
      <c r="I2" s="61"/>
      <c r="J2" s="61"/>
      <c r="K2" s="61"/>
      <c r="L2" s="221"/>
      <c r="M2" s="221"/>
      <c r="N2" s="221"/>
      <c r="O2" s="221"/>
      <c r="P2" s="221"/>
      <c r="Q2" s="78"/>
    </row>
    <row r="3" spans="1:17">
      <c r="A3" s="472"/>
      <c r="B3" s="473"/>
      <c r="C3" s="473"/>
      <c r="D3" s="473"/>
      <c r="E3" s="473"/>
      <c r="F3" s="473"/>
      <c r="G3" s="473"/>
      <c r="H3" s="473"/>
      <c r="I3" s="473"/>
      <c r="J3" s="473"/>
      <c r="K3" s="473"/>
      <c r="L3" s="474"/>
      <c r="M3" s="475">
        <f>settings!L12</f>
        <v>2022</v>
      </c>
      <c r="N3" s="475">
        <f>M3</f>
        <v>2022</v>
      </c>
      <c r="O3" s="475">
        <f>N3</f>
        <v>2022</v>
      </c>
      <c r="P3" s="473"/>
      <c r="Q3" s="476"/>
    </row>
    <row r="4" spans="1:17" ht="28.5" customHeight="1">
      <c r="A4" s="477" t="s">
        <v>6</v>
      </c>
      <c r="B4" s="477" t="s">
        <v>7</v>
      </c>
      <c r="C4" s="477" t="s">
        <v>8</v>
      </c>
      <c r="D4" s="477" t="s">
        <v>9</v>
      </c>
      <c r="E4" s="477" t="s">
        <v>1271</v>
      </c>
      <c r="F4" s="477" t="s">
        <v>1272</v>
      </c>
      <c r="G4" s="477" t="s">
        <v>1273</v>
      </c>
      <c r="H4" s="477" t="s">
        <v>1274</v>
      </c>
      <c r="I4" s="478" t="s">
        <v>14</v>
      </c>
      <c r="J4" s="478" t="s">
        <v>15</v>
      </c>
      <c r="K4" s="478" t="s">
        <v>16</v>
      </c>
      <c r="L4" s="479" t="s">
        <v>1275</v>
      </c>
      <c r="M4" s="479" t="s">
        <v>1276</v>
      </c>
      <c r="N4" s="479" t="s">
        <v>19</v>
      </c>
      <c r="O4" s="479" t="s">
        <v>1277</v>
      </c>
      <c r="P4" s="480" t="s">
        <v>21</v>
      </c>
      <c r="Q4" s="477" t="s">
        <v>22</v>
      </c>
    </row>
    <row r="5" spans="1:17">
      <c r="A5" s="23">
        <v>101</v>
      </c>
      <c r="B5" s="23" t="str">
        <f t="shared" ref="B5:B36" si="0">VLOOKUP(A5,id_settings,2,FALSE)</f>
        <v>西池袋駅前ビル</v>
      </c>
      <c r="C5" s="23">
        <v>401</v>
      </c>
      <c r="D5" s="23" t="str">
        <f t="shared" ref="D5:D36" si="1">VLOOKUP(C5,id_settings,2,FALSE)</f>
        <v>コアプラス東京株式会社</v>
      </c>
      <c r="E5" s="23" t="s">
        <v>204</v>
      </c>
      <c r="F5" s="23" t="s">
        <v>752</v>
      </c>
      <c r="G5" s="23" t="s">
        <v>1278</v>
      </c>
      <c r="H5" s="23" t="s">
        <v>1279</v>
      </c>
      <c r="I5" s="23" t="s">
        <v>1280</v>
      </c>
      <c r="J5" s="23">
        <f t="shared" ref="J5:J36" ca="1" si="2">current_year-LEFT(H5,4)</f>
        <v>8</v>
      </c>
      <c r="K5" s="23">
        <f ca="1">IF(I5&lt;&gt;"",I5-J5,"")</f>
        <v>20</v>
      </c>
      <c r="L5" s="222">
        <v>51870000</v>
      </c>
      <c r="M5" s="222">
        <v>39637325</v>
      </c>
      <c r="N5" s="222">
        <v>1867320</v>
      </c>
      <c r="O5" s="222">
        <v>37770005</v>
      </c>
      <c r="P5" s="61" t="s">
        <v>1281</v>
      </c>
      <c r="Q5" s="23" t="s">
        <v>1282</v>
      </c>
    </row>
    <row r="6" spans="1:17">
      <c r="A6" s="23">
        <v>101</v>
      </c>
      <c r="B6" s="23" t="str">
        <f t="shared" si="0"/>
        <v>西池袋駅前ビル</v>
      </c>
      <c r="C6" s="23">
        <v>401</v>
      </c>
      <c r="D6" s="23" t="str">
        <f t="shared" si="1"/>
        <v>コアプラス東京株式会社</v>
      </c>
      <c r="E6" s="23" t="s">
        <v>202</v>
      </c>
      <c r="F6" s="23" t="s">
        <v>1283</v>
      </c>
      <c r="G6" s="23" t="s">
        <v>1278</v>
      </c>
      <c r="H6" s="23" t="s">
        <v>1279</v>
      </c>
      <c r="I6" s="23" t="s">
        <v>1284</v>
      </c>
      <c r="J6" s="23">
        <f t="shared" ca="1" si="2"/>
        <v>8</v>
      </c>
      <c r="K6" s="23" t="str">
        <f t="shared" ref="K6:K69" si="3">IF(I6&lt;&gt;"",I6-J6,"")</f>
        <v/>
      </c>
      <c r="L6" s="222">
        <v>168935000</v>
      </c>
      <c r="M6" s="222">
        <v>168935000</v>
      </c>
      <c r="N6" s="222"/>
      <c r="O6" s="222">
        <v>168935000</v>
      </c>
      <c r="P6" s="61" t="s">
        <v>1281</v>
      </c>
    </row>
    <row r="7" spans="1:17">
      <c r="A7" s="23">
        <v>101</v>
      </c>
      <c r="B7" s="23" t="str">
        <f t="shared" si="0"/>
        <v>西池袋駅前ビル</v>
      </c>
      <c r="C7" s="23">
        <v>401</v>
      </c>
      <c r="D7" s="23" t="str">
        <f t="shared" si="1"/>
        <v>コアプラス東京株式会社</v>
      </c>
      <c r="E7" s="23" t="s">
        <v>205</v>
      </c>
      <c r="F7" s="23" t="s">
        <v>752</v>
      </c>
      <c r="G7" s="23" t="s">
        <v>1285</v>
      </c>
      <c r="H7" s="23" t="s">
        <v>1286</v>
      </c>
      <c r="I7" s="23" t="s">
        <v>1287</v>
      </c>
      <c r="J7" s="23">
        <f t="shared" ca="1" si="2"/>
        <v>5</v>
      </c>
      <c r="K7" s="23">
        <f t="shared" ca="1" si="3"/>
        <v>8</v>
      </c>
      <c r="L7" s="222">
        <v>640440</v>
      </c>
      <c r="M7" s="222">
        <v>471954</v>
      </c>
      <c r="N7" s="222">
        <v>49313</v>
      </c>
      <c r="O7" s="222">
        <v>422641</v>
      </c>
      <c r="P7" s="61" t="s">
        <v>1288</v>
      </c>
      <c r="Q7" s="23" t="s">
        <v>1289</v>
      </c>
    </row>
    <row r="8" spans="1:17">
      <c r="A8" s="23">
        <v>101</v>
      </c>
      <c r="B8" s="23" t="str">
        <f t="shared" si="0"/>
        <v>西池袋駅前ビル</v>
      </c>
      <c r="C8" s="23">
        <v>401</v>
      </c>
      <c r="D8" s="23" t="str">
        <f t="shared" si="1"/>
        <v>コアプラス東京株式会社</v>
      </c>
      <c r="E8" s="23" t="s">
        <v>205</v>
      </c>
      <c r="F8" s="23" t="s">
        <v>755</v>
      </c>
      <c r="G8" s="23" t="s">
        <v>1290</v>
      </c>
      <c r="H8" s="23" t="s">
        <v>1291</v>
      </c>
      <c r="I8" s="23" t="s">
        <v>1284</v>
      </c>
      <c r="J8" s="23">
        <f t="shared" ca="1" si="2"/>
        <v>4</v>
      </c>
      <c r="K8" s="23" t="str">
        <f t="shared" si="3"/>
        <v/>
      </c>
      <c r="L8" s="222">
        <v>292680</v>
      </c>
      <c r="M8" s="222"/>
      <c r="N8" s="222"/>
      <c r="O8" s="222"/>
      <c r="P8" s="61" t="s">
        <v>1288</v>
      </c>
      <c r="Q8" s="23" t="s">
        <v>1289</v>
      </c>
    </row>
    <row r="9" spans="1:17">
      <c r="A9" s="23">
        <v>101</v>
      </c>
      <c r="B9" s="23" t="str">
        <f t="shared" si="0"/>
        <v>西池袋駅前ビル</v>
      </c>
      <c r="C9" s="23">
        <v>401</v>
      </c>
      <c r="D9" s="23" t="str">
        <f t="shared" si="1"/>
        <v>コアプラス東京株式会社</v>
      </c>
      <c r="E9" s="23" t="s">
        <v>203</v>
      </c>
      <c r="F9" s="23" t="s">
        <v>753</v>
      </c>
      <c r="G9" s="23" t="s">
        <v>1292</v>
      </c>
      <c r="H9" s="23" t="s">
        <v>1293</v>
      </c>
      <c r="I9" s="23" t="s">
        <v>1294</v>
      </c>
      <c r="J9" s="23">
        <f t="shared" ca="1" si="2"/>
        <v>3</v>
      </c>
      <c r="K9" s="23">
        <f t="shared" ca="1" si="3"/>
        <v>7</v>
      </c>
      <c r="L9" s="222">
        <v>858420</v>
      </c>
      <c r="M9" s="222">
        <v>572280</v>
      </c>
      <c r="N9" s="222">
        <v>114456</v>
      </c>
      <c r="O9" s="222">
        <v>457824</v>
      </c>
      <c r="P9" s="61" t="s">
        <v>1288</v>
      </c>
      <c r="Q9" s="23" t="s">
        <v>1289</v>
      </c>
    </row>
    <row r="10" spans="1:17">
      <c r="A10" s="23">
        <v>102</v>
      </c>
      <c r="B10" s="23" t="str">
        <f t="shared" si="0"/>
        <v>池袋ハウス</v>
      </c>
      <c r="C10" s="23">
        <v>402</v>
      </c>
      <c r="D10" s="23" t="str">
        <f t="shared" si="1"/>
        <v>コアプラス名古屋株式会社</v>
      </c>
      <c r="E10" s="23" t="s">
        <v>204</v>
      </c>
      <c r="F10" s="23" t="s">
        <v>752</v>
      </c>
      <c r="G10" s="23" t="s">
        <v>1295</v>
      </c>
      <c r="H10" s="23" t="s">
        <v>1296</v>
      </c>
      <c r="I10" s="23" t="s">
        <v>1297</v>
      </c>
      <c r="J10" s="23">
        <f t="shared" ca="1" si="2"/>
        <v>6</v>
      </c>
      <c r="K10" s="23">
        <f t="shared" ca="1" si="3"/>
        <v>18</v>
      </c>
      <c r="L10" s="222">
        <v>152947603</v>
      </c>
      <c r="M10" s="222">
        <v>125111141</v>
      </c>
      <c r="N10" s="222">
        <v>6423799</v>
      </c>
      <c r="O10" s="222">
        <v>118687342</v>
      </c>
      <c r="P10" s="61" t="s">
        <v>1281</v>
      </c>
      <c r="Q10" s="23" t="s">
        <v>1298</v>
      </c>
    </row>
    <row r="11" spans="1:17">
      <c r="A11" s="23">
        <v>102</v>
      </c>
      <c r="B11" s="23" t="str">
        <f t="shared" si="0"/>
        <v>池袋ハウス</v>
      </c>
      <c r="C11" s="23">
        <v>402</v>
      </c>
      <c r="D11" s="23" t="str">
        <f t="shared" si="1"/>
        <v>コアプラス名古屋株式会社</v>
      </c>
      <c r="E11" s="23" t="s">
        <v>202</v>
      </c>
      <c r="F11" s="23" t="s">
        <v>1283</v>
      </c>
      <c r="G11" s="23" t="s">
        <v>1295</v>
      </c>
      <c r="H11" s="23" t="s">
        <v>1296</v>
      </c>
      <c r="I11" s="23" t="s">
        <v>1284</v>
      </c>
      <c r="J11" s="23">
        <f t="shared" ca="1" si="2"/>
        <v>6</v>
      </c>
      <c r="K11" s="23" t="str">
        <f t="shared" si="3"/>
        <v/>
      </c>
      <c r="L11" s="222">
        <v>397310797</v>
      </c>
      <c r="M11" s="222">
        <v>397310797</v>
      </c>
      <c r="N11" s="222"/>
      <c r="O11" s="222">
        <v>397310797</v>
      </c>
      <c r="P11" s="61" t="s">
        <v>1281</v>
      </c>
      <c r="Q11" s="23" t="s">
        <v>1299</v>
      </c>
    </row>
    <row r="12" spans="1:17">
      <c r="A12" s="23">
        <v>102</v>
      </c>
      <c r="B12" s="23" t="str">
        <f t="shared" si="0"/>
        <v>池袋ハウス</v>
      </c>
      <c r="C12" s="23">
        <v>402</v>
      </c>
      <c r="D12" s="23" t="str">
        <f t="shared" si="1"/>
        <v>コアプラス名古屋株式会社</v>
      </c>
      <c r="E12" s="23" t="s">
        <v>204</v>
      </c>
      <c r="F12" s="23" t="s">
        <v>752</v>
      </c>
      <c r="G12" s="23" t="s">
        <v>1300</v>
      </c>
      <c r="H12" s="23" t="s">
        <v>1301</v>
      </c>
      <c r="I12" s="23" t="s">
        <v>1297</v>
      </c>
      <c r="J12" s="23">
        <f t="shared" ca="1" si="2"/>
        <v>5</v>
      </c>
      <c r="K12" s="23">
        <f t="shared" ca="1" si="3"/>
        <v>19</v>
      </c>
      <c r="L12" s="222">
        <v>2278000</v>
      </c>
      <c r="M12" s="222">
        <v>1895296</v>
      </c>
      <c r="N12" s="222">
        <v>95676</v>
      </c>
      <c r="O12" s="222">
        <v>1799620</v>
      </c>
      <c r="P12" s="61" t="s">
        <v>1281</v>
      </c>
      <c r="Q12" s="23" t="s">
        <v>1298</v>
      </c>
    </row>
    <row r="13" spans="1:17">
      <c r="A13" s="23">
        <v>102</v>
      </c>
      <c r="B13" s="23" t="str">
        <f t="shared" si="0"/>
        <v>池袋ハウス</v>
      </c>
      <c r="C13" s="23">
        <v>402</v>
      </c>
      <c r="D13" s="23" t="str">
        <f t="shared" si="1"/>
        <v>コアプラス名古屋株式会社</v>
      </c>
      <c r="E13" s="23" t="s">
        <v>202</v>
      </c>
      <c r="F13" s="23" t="s">
        <v>1283</v>
      </c>
      <c r="G13" s="23" t="s">
        <v>1295</v>
      </c>
      <c r="H13" s="23" t="s">
        <v>1301</v>
      </c>
      <c r="I13" s="23" t="s">
        <v>1284</v>
      </c>
      <c r="J13" s="23">
        <f t="shared" ca="1" si="2"/>
        <v>5</v>
      </c>
      <c r="K13" s="23" t="str">
        <f t="shared" si="3"/>
        <v/>
      </c>
      <c r="L13" s="222">
        <v>2958800</v>
      </c>
      <c r="M13" s="222">
        <v>2958800</v>
      </c>
      <c r="N13" s="222"/>
      <c r="O13" s="222">
        <v>2958800</v>
      </c>
      <c r="P13" s="61" t="s">
        <v>1281</v>
      </c>
      <c r="Q13" s="23" t="s">
        <v>1299</v>
      </c>
    </row>
    <row r="14" spans="1:17">
      <c r="A14" s="23">
        <v>102</v>
      </c>
      <c r="B14" s="23" t="str">
        <f t="shared" si="0"/>
        <v>池袋ハウス</v>
      </c>
      <c r="C14" s="23">
        <v>402</v>
      </c>
      <c r="D14" s="23" t="str">
        <f t="shared" si="1"/>
        <v>コアプラス名古屋株式会社</v>
      </c>
      <c r="E14" s="23" t="s">
        <v>205</v>
      </c>
      <c r="F14" s="23" t="s">
        <v>752</v>
      </c>
      <c r="G14" s="23" t="s">
        <v>1302</v>
      </c>
      <c r="H14" s="23" t="s">
        <v>1303</v>
      </c>
      <c r="I14" s="23" t="s">
        <v>1304</v>
      </c>
      <c r="J14" s="23">
        <f t="shared" ca="1" si="2"/>
        <v>5</v>
      </c>
      <c r="K14" s="23">
        <f t="shared" ca="1" si="3"/>
        <v>10</v>
      </c>
      <c r="L14" s="222">
        <v>943077</v>
      </c>
      <c r="M14" s="222">
        <v>700864</v>
      </c>
      <c r="N14" s="222">
        <v>63186</v>
      </c>
      <c r="O14" s="222">
        <v>637678</v>
      </c>
      <c r="P14" s="61" t="s">
        <v>1288</v>
      </c>
      <c r="Q14" s="23" t="s">
        <v>1289</v>
      </c>
    </row>
    <row r="15" spans="1:17">
      <c r="A15" s="23">
        <v>102</v>
      </c>
      <c r="B15" s="23" t="str">
        <f t="shared" si="0"/>
        <v>池袋ハウス</v>
      </c>
      <c r="C15" s="23">
        <v>402</v>
      </c>
      <c r="D15" s="23" t="str">
        <f t="shared" si="1"/>
        <v>コアプラス名古屋株式会社</v>
      </c>
      <c r="E15" s="23" t="s">
        <v>205</v>
      </c>
      <c r="F15" s="23" t="s">
        <v>752</v>
      </c>
      <c r="G15" s="23" t="s">
        <v>1305</v>
      </c>
      <c r="H15" s="23" t="s">
        <v>1306</v>
      </c>
      <c r="I15" s="23" t="s">
        <v>1304</v>
      </c>
      <c r="J15" s="23">
        <f t="shared" ca="1" si="2"/>
        <v>3</v>
      </c>
      <c r="K15" s="23">
        <f t="shared" ca="1" si="3"/>
        <v>12</v>
      </c>
      <c r="L15" s="222">
        <v>623700</v>
      </c>
      <c r="M15" s="222">
        <v>578431</v>
      </c>
      <c r="N15" s="222">
        <v>41787</v>
      </c>
      <c r="O15" s="222">
        <v>536644</v>
      </c>
      <c r="P15" s="61" t="s">
        <v>1288</v>
      </c>
      <c r="Q15" s="23" t="s">
        <v>1289</v>
      </c>
    </row>
    <row r="16" spans="1:17">
      <c r="A16" s="23">
        <v>102</v>
      </c>
      <c r="B16" s="23" t="str">
        <f t="shared" si="0"/>
        <v>池袋ハウス</v>
      </c>
      <c r="C16" s="23">
        <v>402</v>
      </c>
      <c r="D16" s="23" t="str">
        <f t="shared" si="1"/>
        <v>コアプラス名古屋株式会社</v>
      </c>
      <c r="E16" s="23" t="s">
        <v>205</v>
      </c>
      <c r="F16" s="23" t="s">
        <v>752</v>
      </c>
      <c r="G16" s="23" t="s">
        <v>1307</v>
      </c>
      <c r="H16" s="23" t="s">
        <v>1308</v>
      </c>
      <c r="I16" s="23" t="s">
        <v>1304</v>
      </c>
      <c r="J16" s="23">
        <f t="shared" ca="1" si="2"/>
        <v>2</v>
      </c>
      <c r="K16" s="23">
        <f t="shared" ca="1" si="3"/>
        <v>13</v>
      </c>
      <c r="L16" s="222">
        <v>500607</v>
      </c>
      <c r="M16" s="222">
        <v>483837</v>
      </c>
      <c r="N16" s="222">
        <v>33540</v>
      </c>
      <c r="O16" s="222">
        <v>450297</v>
      </c>
      <c r="P16" s="61" t="s">
        <v>1288</v>
      </c>
      <c r="Q16" s="23" t="s">
        <v>1289</v>
      </c>
    </row>
    <row r="17" spans="1:17">
      <c r="A17" s="23">
        <v>102</v>
      </c>
      <c r="B17" s="23" t="str">
        <f t="shared" si="0"/>
        <v>池袋ハウス</v>
      </c>
      <c r="C17" s="23">
        <v>402</v>
      </c>
      <c r="D17" s="23" t="str">
        <f t="shared" si="1"/>
        <v>コアプラス名古屋株式会社</v>
      </c>
      <c r="E17" s="23" t="s">
        <v>205</v>
      </c>
      <c r="F17" s="23" t="s">
        <v>752</v>
      </c>
      <c r="G17" s="23" t="s">
        <v>1309</v>
      </c>
      <c r="H17" s="23" t="s">
        <v>1310</v>
      </c>
      <c r="I17" s="23" t="s">
        <v>1304</v>
      </c>
      <c r="J17" s="23">
        <f t="shared" ca="1" si="2"/>
        <v>2</v>
      </c>
      <c r="K17" s="23">
        <f t="shared" ca="1" si="3"/>
        <v>13</v>
      </c>
      <c r="L17" s="222">
        <v>534349</v>
      </c>
      <c r="M17" s="222">
        <v>522416</v>
      </c>
      <c r="N17" s="222">
        <v>35801</v>
      </c>
      <c r="O17" s="222">
        <v>486615</v>
      </c>
      <c r="P17" s="61" t="s">
        <v>1288</v>
      </c>
      <c r="Q17" s="23" t="s">
        <v>1289</v>
      </c>
    </row>
    <row r="18" spans="1:17">
      <c r="A18" s="23">
        <v>102</v>
      </c>
      <c r="B18" s="23" t="str">
        <f t="shared" si="0"/>
        <v>池袋ハウス</v>
      </c>
      <c r="C18" s="23">
        <v>402</v>
      </c>
      <c r="D18" s="23" t="str">
        <f t="shared" si="1"/>
        <v>コアプラス名古屋株式会社</v>
      </c>
      <c r="E18" s="23" t="s">
        <v>205</v>
      </c>
      <c r="F18" s="23" t="s">
        <v>752</v>
      </c>
      <c r="G18" s="23" t="s">
        <v>1311</v>
      </c>
      <c r="H18" s="23" t="s">
        <v>1310</v>
      </c>
      <c r="I18" s="23" t="s">
        <v>1304</v>
      </c>
      <c r="J18" s="23">
        <f t="shared" ca="1" si="2"/>
        <v>2</v>
      </c>
      <c r="K18" s="23">
        <f t="shared" ca="1" si="3"/>
        <v>13</v>
      </c>
      <c r="L18" s="222">
        <v>580905</v>
      </c>
      <c r="M18" s="222">
        <v>567932</v>
      </c>
      <c r="N18" s="222">
        <v>38920</v>
      </c>
      <c r="O18" s="222">
        <v>529012</v>
      </c>
      <c r="P18" s="61" t="s">
        <v>1288</v>
      </c>
      <c r="Q18" s="23" t="s">
        <v>1289</v>
      </c>
    </row>
    <row r="19" spans="1:17">
      <c r="A19" s="23">
        <v>102</v>
      </c>
      <c r="B19" s="23" t="str">
        <f t="shared" si="0"/>
        <v>池袋ハウス</v>
      </c>
      <c r="C19" s="23">
        <v>402</v>
      </c>
      <c r="D19" s="23" t="str">
        <f t="shared" si="1"/>
        <v>コアプラス名古屋株式会社</v>
      </c>
      <c r="E19" s="23" t="s">
        <v>760</v>
      </c>
      <c r="F19" s="23" t="s">
        <v>752</v>
      </c>
      <c r="G19" s="23" t="s">
        <v>1312</v>
      </c>
      <c r="H19" s="23" t="s">
        <v>1313</v>
      </c>
      <c r="I19" s="23" t="s">
        <v>1304</v>
      </c>
      <c r="J19" s="23">
        <f t="shared" ca="1" si="2"/>
        <v>2</v>
      </c>
      <c r="K19" s="23">
        <f t="shared" ca="1" si="3"/>
        <v>13</v>
      </c>
      <c r="L19" s="222">
        <v>487702</v>
      </c>
      <c r="M19" s="222">
        <v>479533</v>
      </c>
      <c r="N19" s="222">
        <v>32676</v>
      </c>
      <c r="O19" s="222">
        <v>446857</v>
      </c>
      <c r="P19" s="61" t="s">
        <v>1288</v>
      </c>
      <c r="Q19" s="23" t="s">
        <v>1289</v>
      </c>
    </row>
    <row r="20" spans="1:17">
      <c r="A20" s="23">
        <v>102</v>
      </c>
      <c r="B20" s="23" t="str">
        <f t="shared" si="0"/>
        <v>池袋ハウス</v>
      </c>
      <c r="C20" s="23">
        <v>402</v>
      </c>
      <c r="D20" s="23" t="str">
        <f t="shared" si="1"/>
        <v>コアプラス名古屋株式会社</v>
      </c>
      <c r="E20" s="23" t="s">
        <v>205</v>
      </c>
      <c r="F20" s="23" t="s">
        <v>752</v>
      </c>
      <c r="G20" s="23" t="s">
        <v>1314</v>
      </c>
      <c r="H20" s="23" t="s">
        <v>1313</v>
      </c>
      <c r="I20" s="23" t="s">
        <v>1304</v>
      </c>
      <c r="J20" s="23">
        <f t="shared" ca="1" si="2"/>
        <v>2</v>
      </c>
      <c r="K20" s="23">
        <f t="shared" ca="1" si="3"/>
        <v>13</v>
      </c>
      <c r="L20" s="222">
        <v>539815</v>
      </c>
      <c r="M20" s="222">
        <v>530774</v>
      </c>
      <c r="N20" s="222">
        <v>36167</v>
      </c>
      <c r="O20" s="222">
        <v>494607</v>
      </c>
      <c r="P20" s="61" t="s">
        <v>1288</v>
      </c>
      <c r="Q20" s="23" t="s">
        <v>1289</v>
      </c>
    </row>
    <row r="21" spans="1:17">
      <c r="A21" s="23">
        <v>102</v>
      </c>
      <c r="B21" s="23" t="str">
        <f t="shared" si="0"/>
        <v>池袋ハウス</v>
      </c>
      <c r="C21" s="23">
        <v>402</v>
      </c>
      <c r="D21" s="23" t="str">
        <f t="shared" si="1"/>
        <v>コアプラス名古屋株式会社</v>
      </c>
      <c r="E21" s="23" t="s">
        <v>205</v>
      </c>
      <c r="F21" s="23" t="s">
        <v>752</v>
      </c>
      <c r="G21" s="23" t="s">
        <v>1315</v>
      </c>
      <c r="H21" s="23" t="s">
        <v>1316</v>
      </c>
      <c r="I21" s="23" t="s">
        <v>1304</v>
      </c>
      <c r="J21" s="23">
        <f t="shared" ca="1" si="2"/>
        <v>2</v>
      </c>
      <c r="K21" s="23">
        <f t="shared" ca="1" si="3"/>
        <v>13</v>
      </c>
      <c r="L21" s="222">
        <v>311610</v>
      </c>
      <c r="M21" s="222">
        <v>309871</v>
      </c>
      <c r="N21" s="222">
        <v>20877</v>
      </c>
      <c r="O21" s="222">
        <v>288994</v>
      </c>
      <c r="P21" s="61" t="s">
        <v>1288</v>
      </c>
      <c r="Q21" s="23" t="s">
        <v>1289</v>
      </c>
    </row>
    <row r="22" spans="1:17">
      <c r="A22" s="23">
        <v>103</v>
      </c>
      <c r="B22" s="23" t="str">
        <f t="shared" si="0"/>
        <v>カーサ目白台ハウス</v>
      </c>
      <c r="C22" s="23">
        <v>403</v>
      </c>
      <c r="D22" s="23" t="str">
        <f t="shared" si="1"/>
        <v>有限会社コアプラス2号</v>
      </c>
      <c r="E22" s="23" t="s">
        <v>204</v>
      </c>
      <c r="F22" s="23" t="s">
        <v>752</v>
      </c>
      <c r="G22" s="23" t="s">
        <v>1317</v>
      </c>
      <c r="H22" s="23" t="s">
        <v>1318</v>
      </c>
      <c r="I22" s="23" t="s">
        <v>1319</v>
      </c>
      <c r="J22" s="23">
        <f t="shared" ca="1" si="2"/>
        <v>8</v>
      </c>
      <c r="K22" s="23">
        <f t="shared" ca="1" si="3"/>
        <v>18</v>
      </c>
      <c r="L22" s="222">
        <v>149454010</v>
      </c>
      <c r="M22" s="222">
        <v>112389418</v>
      </c>
      <c r="N22" s="222">
        <v>5828706</v>
      </c>
      <c r="O22" s="222">
        <v>106560712</v>
      </c>
      <c r="P22" s="61" t="s">
        <v>1281</v>
      </c>
      <c r="Q22" s="23" t="s">
        <v>1289</v>
      </c>
    </row>
    <row r="23" spans="1:17">
      <c r="A23" s="23">
        <v>103</v>
      </c>
      <c r="B23" s="23" t="str">
        <f t="shared" si="0"/>
        <v>カーサ目白台ハウス</v>
      </c>
      <c r="C23" s="23">
        <v>403</v>
      </c>
      <c r="D23" s="23" t="str">
        <f t="shared" si="1"/>
        <v>有限会社コアプラス2号</v>
      </c>
      <c r="E23" s="23" t="s">
        <v>202</v>
      </c>
      <c r="F23" s="23" t="s">
        <v>1283</v>
      </c>
      <c r="G23" s="23" t="s">
        <v>1317</v>
      </c>
      <c r="H23" s="23" t="s">
        <v>1318</v>
      </c>
      <c r="I23" s="23" t="s">
        <v>1284</v>
      </c>
      <c r="J23" s="23">
        <f t="shared" ca="1" si="2"/>
        <v>8</v>
      </c>
      <c r="K23" s="23" t="str">
        <f t="shared" si="3"/>
        <v/>
      </c>
      <c r="L23" s="222">
        <v>264084489</v>
      </c>
      <c r="M23" s="222">
        <v>264084489</v>
      </c>
      <c r="N23" s="222"/>
      <c r="O23" s="222">
        <v>264084489</v>
      </c>
      <c r="P23" s="61" t="s">
        <v>1281</v>
      </c>
      <c r="Q23" s="23" t="s">
        <v>1289</v>
      </c>
    </row>
    <row r="24" spans="1:17">
      <c r="A24" s="23">
        <v>103</v>
      </c>
      <c r="B24" s="23" t="str">
        <f t="shared" si="0"/>
        <v>カーサ目白台ハウス</v>
      </c>
      <c r="C24" s="23">
        <v>403</v>
      </c>
      <c r="D24" s="23" t="str">
        <f t="shared" si="1"/>
        <v>有限会社コアプラス2号</v>
      </c>
      <c r="E24" s="23" t="s">
        <v>205</v>
      </c>
      <c r="F24" s="23" t="s">
        <v>753</v>
      </c>
      <c r="G24" s="23" t="s">
        <v>1320</v>
      </c>
      <c r="H24" s="23" t="s">
        <v>1321</v>
      </c>
      <c r="I24" s="23" t="s">
        <v>1294</v>
      </c>
      <c r="J24" s="23">
        <f t="shared" ca="1" si="2"/>
        <v>7</v>
      </c>
      <c r="K24" s="23">
        <f t="shared" ca="1" si="3"/>
        <v>3</v>
      </c>
      <c r="L24" s="222">
        <v>2157840</v>
      </c>
      <c r="M24" s="222">
        <v>589236</v>
      </c>
      <c r="N24" s="222">
        <v>147309</v>
      </c>
      <c r="O24" s="222">
        <v>441927</v>
      </c>
      <c r="P24" s="61" t="s">
        <v>1288</v>
      </c>
      <c r="Q24" s="23" t="s">
        <v>1289</v>
      </c>
    </row>
    <row r="25" spans="1:17">
      <c r="A25" s="23">
        <v>103</v>
      </c>
      <c r="B25" s="23" t="str">
        <f t="shared" si="0"/>
        <v>カーサ目白台ハウス</v>
      </c>
      <c r="C25" s="23">
        <v>403</v>
      </c>
      <c r="D25" s="23" t="str">
        <f t="shared" si="1"/>
        <v>有限会社コアプラス2号</v>
      </c>
      <c r="E25" s="23" t="s">
        <v>205</v>
      </c>
      <c r="F25" s="23" t="s">
        <v>752</v>
      </c>
      <c r="G25" s="23" t="s">
        <v>1322</v>
      </c>
      <c r="H25" s="23" t="s">
        <v>1323</v>
      </c>
      <c r="I25" s="23" t="s">
        <v>1287</v>
      </c>
      <c r="J25" s="23">
        <f t="shared" ca="1" si="2"/>
        <v>5</v>
      </c>
      <c r="K25" s="23">
        <f t="shared" ca="1" si="3"/>
        <v>8</v>
      </c>
      <c r="L25" s="222">
        <v>441000</v>
      </c>
      <c r="M25" s="222">
        <v>322151</v>
      </c>
      <c r="N25" s="222">
        <v>33957</v>
      </c>
      <c r="O25" s="222">
        <v>288194</v>
      </c>
      <c r="P25" s="61" t="s">
        <v>1288</v>
      </c>
      <c r="Q25" s="23" t="s">
        <v>1289</v>
      </c>
    </row>
    <row r="26" spans="1:17">
      <c r="A26" s="23">
        <v>103</v>
      </c>
      <c r="B26" s="23" t="str">
        <f t="shared" si="0"/>
        <v>カーサ目白台ハウス</v>
      </c>
      <c r="C26" s="23">
        <v>403</v>
      </c>
      <c r="D26" s="23" t="str">
        <f t="shared" si="1"/>
        <v>有限会社コアプラス2号</v>
      </c>
      <c r="E26" s="23" t="s">
        <v>205</v>
      </c>
      <c r="F26" s="23" t="s">
        <v>755</v>
      </c>
      <c r="G26" s="23" t="s">
        <v>1324</v>
      </c>
      <c r="H26" s="23" t="s">
        <v>1325</v>
      </c>
      <c r="I26" s="23" t="s">
        <v>1326</v>
      </c>
      <c r="J26" s="23">
        <f t="shared" ca="1" si="2"/>
        <v>5</v>
      </c>
      <c r="K26" s="23">
        <f t="shared" ca="1" si="3"/>
        <v>13</v>
      </c>
      <c r="L26" s="222">
        <v>253400</v>
      </c>
      <c r="M26" s="222"/>
      <c r="N26" s="222"/>
      <c r="O26" s="222"/>
      <c r="P26" s="61" t="s">
        <v>1288</v>
      </c>
      <c r="Q26" s="23" t="s">
        <v>1289</v>
      </c>
    </row>
    <row r="27" spans="1:17">
      <c r="A27" s="23">
        <v>104</v>
      </c>
      <c r="B27" s="23" t="str">
        <f t="shared" si="0"/>
        <v>コアプラス池袋</v>
      </c>
      <c r="C27" s="23">
        <v>404</v>
      </c>
      <c r="D27" s="23" t="str">
        <f t="shared" si="1"/>
        <v>コアプラス大阪株式会社</v>
      </c>
      <c r="E27" s="23" t="s">
        <v>204</v>
      </c>
      <c r="F27" s="23" t="s">
        <v>752</v>
      </c>
      <c r="G27" s="23" t="s">
        <v>1327</v>
      </c>
      <c r="H27" s="23" t="s">
        <v>1328</v>
      </c>
      <c r="I27" s="23" t="s">
        <v>1329</v>
      </c>
      <c r="J27" s="23">
        <f t="shared" ca="1" si="2"/>
        <v>9</v>
      </c>
      <c r="K27" s="23">
        <f t="shared" ca="1" si="3"/>
        <v>21</v>
      </c>
      <c r="L27" s="222">
        <v>16087719</v>
      </c>
      <c r="M27" s="222">
        <v>11744039</v>
      </c>
      <c r="N27" s="222">
        <v>546982</v>
      </c>
      <c r="O27" s="222">
        <v>11197057</v>
      </c>
      <c r="P27" s="61" t="s">
        <v>1281</v>
      </c>
      <c r="Q27" s="23" t="s">
        <v>1330</v>
      </c>
    </row>
    <row r="28" spans="1:17">
      <c r="A28" s="23">
        <v>104</v>
      </c>
      <c r="B28" s="23" t="str">
        <f t="shared" si="0"/>
        <v>コアプラス池袋</v>
      </c>
      <c r="C28" s="23">
        <v>404</v>
      </c>
      <c r="D28" s="23" t="str">
        <f t="shared" si="1"/>
        <v>コアプラス大阪株式会社</v>
      </c>
      <c r="E28" s="23" t="s">
        <v>202</v>
      </c>
      <c r="F28" s="23" t="s">
        <v>1283</v>
      </c>
      <c r="G28" s="23" t="s">
        <v>1327</v>
      </c>
      <c r="H28" s="23" t="s">
        <v>1328</v>
      </c>
      <c r="I28" s="23" t="s">
        <v>1284</v>
      </c>
      <c r="J28" s="23">
        <f t="shared" ca="1" si="2"/>
        <v>9</v>
      </c>
      <c r="K28" s="23" t="str">
        <f t="shared" si="3"/>
        <v/>
      </c>
      <c r="L28" s="222">
        <v>78084258</v>
      </c>
      <c r="M28" s="222">
        <v>78084258</v>
      </c>
      <c r="N28" s="222"/>
      <c r="O28" s="222">
        <v>78084258</v>
      </c>
      <c r="P28" s="61" t="s">
        <v>1281</v>
      </c>
      <c r="Q28" s="23" t="s">
        <v>1289</v>
      </c>
    </row>
    <row r="29" spans="1:17">
      <c r="A29" s="23">
        <v>104</v>
      </c>
      <c r="B29" s="23" t="str">
        <f t="shared" si="0"/>
        <v>コアプラス池袋</v>
      </c>
      <c r="C29" s="23">
        <v>404</v>
      </c>
      <c r="D29" s="23" t="str">
        <f t="shared" si="1"/>
        <v>コアプラス大阪株式会社</v>
      </c>
      <c r="E29" s="23" t="s">
        <v>204</v>
      </c>
      <c r="F29" s="23" t="s">
        <v>752</v>
      </c>
      <c r="G29" s="23" t="s">
        <v>1331</v>
      </c>
      <c r="H29" s="23" t="s">
        <v>1332</v>
      </c>
      <c r="I29" s="23" t="s">
        <v>1333</v>
      </c>
      <c r="J29" s="23">
        <f t="shared" ca="1" si="2"/>
        <v>9</v>
      </c>
      <c r="K29" s="23">
        <f t="shared" ca="1" si="3"/>
        <v>41</v>
      </c>
      <c r="L29" s="222">
        <v>6065238</v>
      </c>
      <c r="M29" s="222">
        <v>5191850</v>
      </c>
      <c r="N29" s="222">
        <v>121304</v>
      </c>
      <c r="O29" s="222">
        <v>5070546</v>
      </c>
      <c r="P29" s="61" t="s">
        <v>1288</v>
      </c>
      <c r="Q29" s="23" t="s">
        <v>1289</v>
      </c>
    </row>
    <row r="30" spans="1:17">
      <c r="A30" s="23">
        <v>104</v>
      </c>
      <c r="B30" s="23" t="str">
        <f t="shared" si="0"/>
        <v>コアプラス池袋</v>
      </c>
      <c r="C30" s="23">
        <v>404</v>
      </c>
      <c r="D30" s="23" t="str">
        <f t="shared" si="1"/>
        <v>コアプラス大阪株式会社</v>
      </c>
      <c r="E30" s="23" t="s">
        <v>204</v>
      </c>
      <c r="F30" s="23" t="s">
        <v>752</v>
      </c>
      <c r="G30" s="23" t="s">
        <v>1334</v>
      </c>
      <c r="H30" s="23" t="s">
        <v>1332</v>
      </c>
      <c r="I30" s="23" t="s">
        <v>1333</v>
      </c>
      <c r="J30" s="23">
        <f t="shared" ca="1" si="2"/>
        <v>9</v>
      </c>
      <c r="K30" s="23">
        <f t="shared" ca="1" si="3"/>
        <v>41</v>
      </c>
      <c r="L30" s="222">
        <v>1758750</v>
      </c>
      <c r="M30" s="222">
        <v>1505491</v>
      </c>
      <c r="N30" s="222">
        <v>35175</v>
      </c>
      <c r="O30" s="222">
        <v>1470316</v>
      </c>
      <c r="P30" s="61" t="s">
        <v>1288</v>
      </c>
      <c r="Q30" s="23" t="s">
        <v>1289</v>
      </c>
    </row>
    <row r="31" spans="1:17">
      <c r="A31" s="23">
        <v>104</v>
      </c>
      <c r="B31" s="23" t="str">
        <f t="shared" si="0"/>
        <v>コアプラス池袋</v>
      </c>
      <c r="C31" s="23">
        <v>404</v>
      </c>
      <c r="D31" s="23" t="str">
        <f t="shared" si="1"/>
        <v>コアプラス大阪株式会社</v>
      </c>
      <c r="E31" s="23" t="s">
        <v>204</v>
      </c>
      <c r="F31" s="23" t="s">
        <v>752</v>
      </c>
      <c r="G31" s="23" t="s">
        <v>1335</v>
      </c>
      <c r="H31" s="23" t="s">
        <v>1332</v>
      </c>
      <c r="I31" s="23" t="s">
        <v>1333</v>
      </c>
      <c r="J31" s="23">
        <f t="shared" ca="1" si="2"/>
        <v>9</v>
      </c>
      <c r="K31" s="23">
        <f t="shared" ca="1" si="3"/>
        <v>41</v>
      </c>
      <c r="L31" s="222">
        <v>8049861</v>
      </c>
      <c r="M31" s="222">
        <v>6890684</v>
      </c>
      <c r="N31" s="222">
        <v>160997</v>
      </c>
      <c r="O31" s="222">
        <v>6729687</v>
      </c>
      <c r="P31" s="61" t="s">
        <v>1288</v>
      </c>
      <c r="Q31" s="23" t="s">
        <v>1289</v>
      </c>
    </row>
    <row r="32" spans="1:17">
      <c r="A32" s="23">
        <v>104</v>
      </c>
      <c r="B32" s="23" t="str">
        <f t="shared" si="0"/>
        <v>コアプラス池袋</v>
      </c>
      <c r="C32" s="23">
        <v>404</v>
      </c>
      <c r="D32" s="23" t="str">
        <f t="shared" si="1"/>
        <v>コアプラス大阪株式会社</v>
      </c>
      <c r="E32" s="23" t="s">
        <v>205</v>
      </c>
      <c r="F32" s="23" t="s">
        <v>753</v>
      </c>
      <c r="G32" s="23" t="s">
        <v>1336</v>
      </c>
      <c r="H32" s="23" t="s">
        <v>1332</v>
      </c>
      <c r="I32" s="23" t="s">
        <v>1304</v>
      </c>
      <c r="J32" s="23">
        <f t="shared" ca="1" si="2"/>
        <v>9</v>
      </c>
      <c r="K32" s="23">
        <f t="shared" ca="1" si="3"/>
        <v>6</v>
      </c>
      <c r="L32" s="222">
        <v>670025</v>
      </c>
      <c r="M32" s="222">
        <v>241795</v>
      </c>
      <c r="N32" s="222">
        <v>32158</v>
      </c>
      <c r="O32" s="222">
        <v>209637</v>
      </c>
      <c r="P32" s="61" t="s">
        <v>1288</v>
      </c>
      <c r="Q32" s="23" t="s">
        <v>1289</v>
      </c>
    </row>
    <row r="33" spans="1:17">
      <c r="A33" s="23">
        <v>104</v>
      </c>
      <c r="B33" s="23" t="str">
        <f t="shared" si="0"/>
        <v>コアプラス池袋</v>
      </c>
      <c r="C33" s="23">
        <v>404</v>
      </c>
      <c r="D33" s="23" t="str">
        <f t="shared" si="1"/>
        <v>コアプラス大阪株式会社</v>
      </c>
      <c r="E33" s="23" t="s">
        <v>205</v>
      </c>
      <c r="F33" s="23" t="s">
        <v>753</v>
      </c>
      <c r="G33" s="23" t="s">
        <v>1337</v>
      </c>
      <c r="H33" s="23" t="s">
        <v>1332</v>
      </c>
      <c r="I33" s="23" t="s">
        <v>1294</v>
      </c>
      <c r="J33" s="23">
        <f t="shared" ca="1" si="2"/>
        <v>9</v>
      </c>
      <c r="K33" s="23">
        <f t="shared" ca="1" si="3"/>
        <v>1</v>
      </c>
      <c r="L33" s="222">
        <v>204954</v>
      </c>
      <c r="M33" s="222">
        <v>32744</v>
      </c>
      <c r="N33" s="222">
        <v>16371</v>
      </c>
      <c r="O33" s="222">
        <v>16373</v>
      </c>
      <c r="P33" s="61" t="s">
        <v>1288</v>
      </c>
      <c r="Q33" s="23" t="s">
        <v>1338</v>
      </c>
    </row>
    <row r="34" spans="1:17">
      <c r="A34" s="23">
        <v>104</v>
      </c>
      <c r="B34" s="23" t="str">
        <f t="shared" si="0"/>
        <v>コアプラス池袋</v>
      </c>
      <c r="C34" s="23">
        <v>404</v>
      </c>
      <c r="D34" s="23" t="str">
        <f t="shared" si="1"/>
        <v>コアプラス大阪株式会社</v>
      </c>
      <c r="E34" s="23" t="s">
        <v>205</v>
      </c>
      <c r="F34" s="23" t="s">
        <v>753</v>
      </c>
      <c r="G34" s="23" t="s">
        <v>1339</v>
      </c>
      <c r="H34" s="23" t="s">
        <v>1332</v>
      </c>
      <c r="I34" s="23" t="s">
        <v>1294</v>
      </c>
      <c r="J34" s="23">
        <f t="shared" ca="1" si="2"/>
        <v>9</v>
      </c>
      <c r="K34" s="23">
        <f t="shared" ca="1" si="3"/>
        <v>1</v>
      </c>
      <c r="L34" s="222">
        <v>543159</v>
      </c>
      <c r="M34" s="222">
        <v>86773</v>
      </c>
      <c r="N34" s="222">
        <v>43386</v>
      </c>
      <c r="O34" s="222">
        <v>43387</v>
      </c>
      <c r="P34" s="61" t="s">
        <v>1288</v>
      </c>
      <c r="Q34" s="23" t="s">
        <v>1340</v>
      </c>
    </row>
    <row r="35" spans="1:17">
      <c r="A35" s="23">
        <v>104</v>
      </c>
      <c r="B35" s="23" t="str">
        <f t="shared" si="0"/>
        <v>コアプラス池袋</v>
      </c>
      <c r="C35" s="23">
        <v>404</v>
      </c>
      <c r="D35" s="23" t="str">
        <f t="shared" si="1"/>
        <v>コアプラス大阪株式会社</v>
      </c>
      <c r="E35" s="23" t="s">
        <v>205</v>
      </c>
      <c r="F35" s="23" t="s">
        <v>753</v>
      </c>
      <c r="G35" s="23" t="s">
        <v>1341</v>
      </c>
      <c r="H35" s="23" t="s">
        <v>1332</v>
      </c>
      <c r="I35" s="23" t="s">
        <v>1294</v>
      </c>
      <c r="J35" s="23">
        <f t="shared" ca="1" si="2"/>
        <v>9</v>
      </c>
      <c r="K35" s="23">
        <f t="shared" ca="1" si="3"/>
        <v>1</v>
      </c>
      <c r="L35" s="222">
        <v>122354</v>
      </c>
      <c r="M35" s="222">
        <v>19549</v>
      </c>
      <c r="N35" s="222">
        <v>9773</v>
      </c>
      <c r="O35" s="222">
        <v>9776</v>
      </c>
      <c r="P35" s="61" t="s">
        <v>1288</v>
      </c>
      <c r="Q35" s="23" t="s">
        <v>1340</v>
      </c>
    </row>
    <row r="36" spans="1:17">
      <c r="A36" s="23">
        <v>104</v>
      </c>
      <c r="B36" s="23" t="str">
        <f t="shared" si="0"/>
        <v>コアプラス池袋</v>
      </c>
      <c r="C36" s="23">
        <v>404</v>
      </c>
      <c r="D36" s="23" t="str">
        <f t="shared" si="1"/>
        <v>コアプラス大阪株式会社</v>
      </c>
      <c r="E36" s="23" t="s">
        <v>206</v>
      </c>
      <c r="F36" s="23" t="s">
        <v>753</v>
      </c>
      <c r="G36" s="23" t="s">
        <v>1327</v>
      </c>
      <c r="H36" s="23" t="s">
        <v>1332</v>
      </c>
      <c r="I36" s="23" t="s">
        <v>1304</v>
      </c>
      <c r="J36" s="23">
        <f t="shared" ca="1" si="2"/>
        <v>9</v>
      </c>
      <c r="K36" s="23">
        <f t="shared" ca="1" si="3"/>
        <v>6</v>
      </c>
      <c r="L36" s="222">
        <v>1265564</v>
      </c>
      <c r="M36" s="222">
        <v>456706</v>
      </c>
      <c r="N36" s="222">
        <v>60741</v>
      </c>
      <c r="O36" s="222">
        <v>395965</v>
      </c>
      <c r="P36" s="61" t="s">
        <v>1288</v>
      </c>
      <c r="Q36" s="23" t="s">
        <v>1342</v>
      </c>
    </row>
    <row r="37" spans="1:17">
      <c r="A37" s="23">
        <v>104</v>
      </c>
      <c r="B37" s="23" t="str">
        <f t="shared" ref="B37:B68" si="4">VLOOKUP(A37,id_settings,2,FALSE)</f>
        <v>コアプラス池袋</v>
      </c>
      <c r="C37" s="23">
        <v>404</v>
      </c>
      <c r="D37" s="23" t="str">
        <f t="shared" ref="D37:D68" si="5">VLOOKUP(C37,id_settings,2,FALSE)</f>
        <v>コアプラス大阪株式会社</v>
      </c>
      <c r="E37" s="23" t="s">
        <v>205</v>
      </c>
      <c r="F37" s="23" t="s">
        <v>752</v>
      </c>
      <c r="G37" s="23" t="s">
        <v>1343</v>
      </c>
      <c r="H37" s="23" t="s">
        <v>1344</v>
      </c>
      <c r="I37" s="23" t="s">
        <v>1304</v>
      </c>
      <c r="J37" s="23">
        <f t="shared" ref="J37:J68" ca="1" si="6">current_year-LEFT(H37,4)</f>
        <v>7</v>
      </c>
      <c r="K37" s="23">
        <f t="shared" ca="1" si="3"/>
        <v>8</v>
      </c>
      <c r="L37" s="222">
        <v>1296297</v>
      </c>
      <c r="M37" s="222">
        <v>803817</v>
      </c>
      <c r="N37" s="222">
        <v>86851</v>
      </c>
      <c r="O37" s="222">
        <v>716966</v>
      </c>
      <c r="P37" s="61" t="s">
        <v>1288</v>
      </c>
      <c r="Q37" s="23" t="s">
        <v>1289</v>
      </c>
    </row>
    <row r="38" spans="1:17">
      <c r="A38" s="23">
        <v>104</v>
      </c>
      <c r="B38" s="23" t="str">
        <f t="shared" si="4"/>
        <v>コアプラス池袋</v>
      </c>
      <c r="C38" s="23">
        <v>404</v>
      </c>
      <c r="D38" s="23" t="str">
        <f t="shared" si="5"/>
        <v>コアプラス大阪株式会社</v>
      </c>
      <c r="E38" s="23" t="s">
        <v>205</v>
      </c>
      <c r="F38" s="23" t="s">
        <v>752</v>
      </c>
      <c r="G38" s="23" t="s">
        <v>1345</v>
      </c>
      <c r="H38" s="23" t="s">
        <v>1346</v>
      </c>
      <c r="I38" s="23" t="s">
        <v>1304</v>
      </c>
      <c r="J38" s="23">
        <f t="shared" ca="1" si="6"/>
        <v>5</v>
      </c>
      <c r="K38" s="23">
        <f t="shared" ca="1" si="3"/>
        <v>10</v>
      </c>
      <c r="L38" s="222">
        <v>3300000</v>
      </c>
      <c r="M38" s="222">
        <v>2563000</v>
      </c>
      <c r="N38" s="222">
        <v>221100</v>
      </c>
      <c r="O38" s="222">
        <v>2341900</v>
      </c>
      <c r="P38" s="61" t="s">
        <v>1288</v>
      </c>
      <c r="Q38" s="23" t="s">
        <v>1289</v>
      </c>
    </row>
    <row r="39" spans="1:17">
      <c r="A39" s="23">
        <v>105</v>
      </c>
      <c r="B39" s="23" t="str">
        <f t="shared" si="4"/>
        <v>目白アパート</v>
      </c>
      <c r="C39" s="23">
        <v>405</v>
      </c>
      <c r="D39" s="23" t="str">
        <f t="shared" si="5"/>
        <v>コアプラス仙台株式会社</v>
      </c>
      <c r="E39" s="23" t="s">
        <v>204</v>
      </c>
      <c r="F39" s="23" t="s">
        <v>752</v>
      </c>
      <c r="G39" s="23" t="s">
        <v>1347</v>
      </c>
      <c r="H39" s="23" t="s">
        <v>1348</v>
      </c>
      <c r="I39" s="23" t="s">
        <v>1287</v>
      </c>
      <c r="J39" s="23">
        <f t="shared" ca="1" si="6"/>
        <v>9</v>
      </c>
      <c r="K39" s="23">
        <f t="shared" ca="1" si="3"/>
        <v>4</v>
      </c>
      <c r="L39" s="222">
        <v>113432893</v>
      </c>
      <c r="M39" s="222">
        <v>49296051</v>
      </c>
      <c r="N39" s="222">
        <v>8734332</v>
      </c>
      <c r="O39" s="222">
        <v>40561719</v>
      </c>
      <c r="P39" s="61" t="s">
        <v>1281</v>
      </c>
      <c r="Q39" s="23" t="s">
        <v>1349</v>
      </c>
    </row>
    <row r="40" spans="1:17">
      <c r="A40" s="23">
        <v>105</v>
      </c>
      <c r="B40" s="23" t="str">
        <f t="shared" si="4"/>
        <v>目白アパート</v>
      </c>
      <c r="C40" s="23">
        <v>405</v>
      </c>
      <c r="D40" s="23" t="str">
        <f t="shared" si="5"/>
        <v>コアプラス仙台株式会社</v>
      </c>
      <c r="E40" s="23" t="s">
        <v>202</v>
      </c>
      <c r="F40" s="23" t="s">
        <v>1283</v>
      </c>
      <c r="G40" s="23" t="s">
        <v>1347</v>
      </c>
      <c r="H40" s="23" t="s">
        <v>1348</v>
      </c>
      <c r="I40" s="23" t="s">
        <v>1284</v>
      </c>
      <c r="J40" s="23">
        <f t="shared" ca="1" si="6"/>
        <v>9</v>
      </c>
      <c r="K40" s="23" t="str">
        <f t="shared" si="3"/>
        <v/>
      </c>
      <c r="L40" s="222">
        <v>192559845</v>
      </c>
      <c r="M40" s="222">
        <v>192559845</v>
      </c>
      <c r="N40" s="222"/>
      <c r="O40" s="222">
        <v>192559845</v>
      </c>
      <c r="P40" s="61" t="s">
        <v>1281</v>
      </c>
    </row>
    <row r="41" spans="1:17">
      <c r="A41" s="23">
        <v>105</v>
      </c>
      <c r="B41" s="23" t="str">
        <f t="shared" si="4"/>
        <v>目白アパート</v>
      </c>
      <c r="C41" s="23">
        <v>405</v>
      </c>
      <c r="D41" s="23" t="str">
        <f t="shared" si="5"/>
        <v>コアプラス仙台株式会社</v>
      </c>
      <c r="E41" s="23" t="s">
        <v>206</v>
      </c>
      <c r="F41" s="23" t="s">
        <v>753</v>
      </c>
      <c r="G41" s="23" t="s">
        <v>1350</v>
      </c>
      <c r="H41" s="23" t="s">
        <v>1351</v>
      </c>
      <c r="I41" s="23" t="s">
        <v>1304</v>
      </c>
      <c r="J41" s="23">
        <f t="shared" ca="1" si="6"/>
        <v>8</v>
      </c>
      <c r="K41" s="23">
        <f t="shared" ca="1" si="3"/>
        <v>7</v>
      </c>
      <c r="L41" s="222">
        <v>1484600</v>
      </c>
      <c r="M41" s="222">
        <v>602604</v>
      </c>
      <c r="N41" s="222">
        <v>80146</v>
      </c>
      <c r="O41" s="222">
        <v>522458</v>
      </c>
      <c r="P41" s="61" t="s">
        <v>1288</v>
      </c>
      <c r="Q41" s="23" t="s">
        <v>1289</v>
      </c>
    </row>
    <row r="42" spans="1:17">
      <c r="A42" s="23">
        <v>105</v>
      </c>
      <c r="B42" s="23" t="str">
        <f t="shared" si="4"/>
        <v>目白アパート</v>
      </c>
      <c r="C42" s="23">
        <v>405</v>
      </c>
      <c r="D42" s="23" t="str">
        <f t="shared" si="5"/>
        <v>コアプラス仙台株式会社</v>
      </c>
      <c r="E42" s="23" t="s">
        <v>205</v>
      </c>
      <c r="F42" s="23" t="s">
        <v>752</v>
      </c>
      <c r="G42" s="23" t="s">
        <v>1352</v>
      </c>
      <c r="H42" s="23" t="s">
        <v>1301</v>
      </c>
      <c r="I42" s="23" t="s">
        <v>1304</v>
      </c>
      <c r="J42" s="23">
        <f t="shared" ca="1" si="6"/>
        <v>5</v>
      </c>
      <c r="K42" s="23">
        <f t="shared" ca="1" si="3"/>
        <v>10</v>
      </c>
      <c r="L42" s="222">
        <v>2550000</v>
      </c>
      <c r="M42" s="222">
        <v>1866600</v>
      </c>
      <c r="N42" s="222">
        <v>170850</v>
      </c>
      <c r="O42" s="222">
        <v>1695750</v>
      </c>
      <c r="P42" s="61" t="s">
        <v>1288</v>
      </c>
      <c r="Q42" s="23" t="s">
        <v>1289</v>
      </c>
    </row>
    <row r="43" spans="1:17">
      <c r="A43" s="23">
        <v>105</v>
      </c>
      <c r="B43" s="23" t="str">
        <f t="shared" si="4"/>
        <v>目白アパート</v>
      </c>
      <c r="C43" s="23">
        <v>405</v>
      </c>
      <c r="D43" s="23" t="str">
        <f t="shared" si="5"/>
        <v>コアプラス仙台株式会社</v>
      </c>
      <c r="E43" s="23" t="s">
        <v>205</v>
      </c>
      <c r="F43" s="23" t="s">
        <v>752</v>
      </c>
      <c r="G43" s="23" t="s">
        <v>1353</v>
      </c>
      <c r="H43" s="23" t="s">
        <v>1354</v>
      </c>
      <c r="I43" s="23" t="s">
        <v>1304</v>
      </c>
      <c r="J43" s="23">
        <f t="shared" ca="1" si="6"/>
        <v>4</v>
      </c>
      <c r="K43" s="23">
        <f t="shared" ca="1" si="3"/>
        <v>11</v>
      </c>
      <c r="L43" s="222">
        <v>2106000</v>
      </c>
      <c r="M43" s="222">
        <v>1765004</v>
      </c>
      <c r="N43" s="222">
        <v>141102</v>
      </c>
      <c r="O43" s="222">
        <v>1623902</v>
      </c>
      <c r="P43" s="61" t="s">
        <v>1288</v>
      </c>
      <c r="Q43" s="23" t="s">
        <v>1289</v>
      </c>
    </row>
    <row r="44" spans="1:17">
      <c r="A44" s="23">
        <v>105</v>
      </c>
      <c r="B44" s="23" t="str">
        <f t="shared" si="4"/>
        <v>目白アパート</v>
      </c>
      <c r="C44" s="23">
        <v>405</v>
      </c>
      <c r="D44" s="23" t="str">
        <f t="shared" si="5"/>
        <v>コアプラス仙台株式会社</v>
      </c>
      <c r="E44" s="23" t="s">
        <v>205</v>
      </c>
      <c r="F44" s="23" t="s">
        <v>752</v>
      </c>
      <c r="G44" s="23" t="s">
        <v>1355</v>
      </c>
      <c r="H44" s="23" t="s">
        <v>1356</v>
      </c>
      <c r="I44" s="23" t="s">
        <v>1304</v>
      </c>
      <c r="J44" s="23">
        <f t="shared" ca="1" si="6"/>
        <v>4</v>
      </c>
      <c r="K44" s="23">
        <f t="shared" ca="1" si="3"/>
        <v>11</v>
      </c>
      <c r="L44" s="222">
        <v>2743200</v>
      </c>
      <c r="M44" s="222">
        <v>2314348</v>
      </c>
      <c r="N44" s="222">
        <v>183794</v>
      </c>
      <c r="O44" s="222">
        <v>2130554</v>
      </c>
      <c r="P44" s="61" t="s">
        <v>1288</v>
      </c>
      <c r="Q44" s="23" t="s">
        <v>1289</v>
      </c>
    </row>
    <row r="45" spans="1:17">
      <c r="A45" s="23">
        <v>105</v>
      </c>
      <c r="B45" s="23" t="str">
        <f t="shared" si="4"/>
        <v>目白アパート</v>
      </c>
      <c r="C45" s="23">
        <v>405</v>
      </c>
      <c r="D45" s="23" t="str">
        <f t="shared" si="5"/>
        <v>コアプラス仙台株式会社</v>
      </c>
      <c r="E45" s="23" t="s">
        <v>205</v>
      </c>
      <c r="F45" s="23" t="s">
        <v>752</v>
      </c>
      <c r="G45" s="23" t="s">
        <v>1357</v>
      </c>
      <c r="H45" s="23" t="s">
        <v>1358</v>
      </c>
      <c r="I45" s="23" t="s">
        <v>1304</v>
      </c>
      <c r="J45" s="23">
        <f t="shared" ca="1" si="6"/>
        <v>4</v>
      </c>
      <c r="K45" s="23">
        <f t="shared" ca="1" si="3"/>
        <v>11</v>
      </c>
      <c r="L45" s="222">
        <v>12320000</v>
      </c>
      <c r="M45" s="222">
        <v>10600334</v>
      </c>
      <c r="N45" s="222">
        <v>825440</v>
      </c>
      <c r="O45" s="222">
        <v>9774894</v>
      </c>
      <c r="P45" s="61" t="s">
        <v>1288</v>
      </c>
      <c r="Q45" s="23" t="s">
        <v>1289</v>
      </c>
    </row>
    <row r="46" spans="1:17">
      <c r="A46" s="23">
        <v>105</v>
      </c>
      <c r="B46" s="23" t="str">
        <f t="shared" si="4"/>
        <v>目白アパート</v>
      </c>
      <c r="C46" s="23">
        <v>405</v>
      </c>
      <c r="D46" s="23" t="str">
        <f t="shared" si="5"/>
        <v>コアプラス仙台株式会社</v>
      </c>
      <c r="E46" s="23" t="s">
        <v>205</v>
      </c>
      <c r="F46" s="23" t="s">
        <v>752</v>
      </c>
      <c r="G46" s="23" t="s">
        <v>1359</v>
      </c>
      <c r="H46" s="23" t="s">
        <v>1360</v>
      </c>
      <c r="I46" s="23" t="s">
        <v>1304</v>
      </c>
      <c r="J46" s="23">
        <f t="shared" ca="1" si="6"/>
        <v>4</v>
      </c>
      <c r="K46" s="23">
        <f t="shared" ca="1" si="3"/>
        <v>11</v>
      </c>
      <c r="L46" s="222">
        <v>2759000</v>
      </c>
      <c r="M46" s="222">
        <v>2373890</v>
      </c>
      <c r="N46" s="222">
        <v>184853</v>
      </c>
      <c r="O46" s="222">
        <v>2189037</v>
      </c>
      <c r="P46" s="61" t="s">
        <v>1288</v>
      </c>
      <c r="Q46" s="23" t="s">
        <v>1289</v>
      </c>
    </row>
    <row r="47" spans="1:17">
      <c r="A47" s="23">
        <v>105</v>
      </c>
      <c r="B47" s="23" t="str">
        <f t="shared" si="4"/>
        <v>目白アパート</v>
      </c>
      <c r="C47" s="23">
        <v>405</v>
      </c>
      <c r="D47" s="23" t="str">
        <f t="shared" si="5"/>
        <v>コアプラス仙台株式会社</v>
      </c>
      <c r="E47" s="23" t="s">
        <v>205</v>
      </c>
      <c r="F47" s="23" t="s">
        <v>752</v>
      </c>
      <c r="G47" s="23" t="s">
        <v>1361</v>
      </c>
      <c r="H47" s="23" t="s">
        <v>1362</v>
      </c>
      <c r="I47" s="23" t="s">
        <v>1304</v>
      </c>
      <c r="J47" s="23">
        <f t="shared" ca="1" si="6"/>
        <v>2</v>
      </c>
      <c r="K47" s="23">
        <f t="shared" ca="1" si="3"/>
        <v>13</v>
      </c>
      <c r="L47" s="222">
        <v>2095170</v>
      </c>
      <c r="M47" s="222">
        <v>2083472</v>
      </c>
      <c r="N47" s="222">
        <v>140376</v>
      </c>
      <c r="O47" s="222">
        <v>1943096</v>
      </c>
      <c r="P47" s="61" t="s">
        <v>1288</v>
      </c>
      <c r="Q47" s="23" t="s">
        <v>1289</v>
      </c>
    </row>
    <row r="48" spans="1:17">
      <c r="A48" s="23">
        <v>106</v>
      </c>
      <c r="B48" s="23" t="str">
        <f t="shared" si="4"/>
        <v>東池袋ハイツ</v>
      </c>
      <c r="C48" s="23">
        <v>406</v>
      </c>
      <c r="D48" s="23" t="str">
        <f t="shared" si="5"/>
        <v>コアプラス札幌株式会社</v>
      </c>
      <c r="E48" s="23" t="s">
        <v>204</v>
      </c>
      <c r="F48" s="23" t="s">
        <v>752</v>
      </c>
      <c r="G48" s="23" t="s">
        <v>1363</v>
      </c>
      <c r="H48" s="23" t="s">
        <v>1364</v>
      </c>
      <c r="I48" s="23" t="s">
        <v>1329</v>
      </c>
      <c r="J48" s="23">
        <f t="shared" ca="1" si="6"/>
        <v>9</v>
      </c>
      <c r="K48" s="23">
        <f t="shared" ca="1" si="3"/>
        <v>21</v>
      </c>
      <c r="L48" s="222">
        <v>187056281</v>
      </c>
      <c r="M48" s="222">
        <v>142517753</v>
      </c>
      <c r="N48" s="222">
        <v>6359913</v>
      </c>
      <c r="O48" s="222">
        <v>136157840</v>
      </c>
      <c r="P48" s="61" t="s">
        <v>1281</v>
      </c>
      <c r="Q48" s="23" t="s">
        <v>1365</v>
      </c>
    </row>
    <row r="49" spans="1:17">
      <c r="A49" s="23">
        <v>106</v>
      </c>
      <c r="B49" s="23" t="str">
        <f t="shared" si="4"/>
        <v>東池袋ハイツ</v>
      </c>
      <c r="C49" s="23">
        <v>406</v>
      </c>
      <c r="D49" s="23" t="str">
        <f t="shared" si="5"/>
        <v>コアプラス札幌株式会社</v>
      </c>
      <c r="E49" s="23" t="s">
        <v>202</v>
      </c>
      <c r="F49" s="23" t="s">
        <v>1283</v>
      </c>
      <c r="G49" s="23" t="s">
        <v>1363</v>
      </c>
      <c r="H49" s="23" t="s">
        <v>1364</v>
      </c>
      <c r="I49" s="23" t="s">
        <v>1284</v>
      </c>
      <c r="J49" s="23">
        <f t="shared" ca="1" si="6"/>
        <v>9</v>
      </c>
      <c r="K49" s="23" t="str">
        <f t="shared" si="3"/>
        <v/>
      </c>
      <c r="L49" s="222">
        <v>262709157</v>
      </c>
      <c r="M49" s="222">
        <v>262709157</v>
      </c>
      <c r="N49" s="222"/>
      <c r="O49" s="222">
        <v>262709157</v>
      </c>
      <c r="P49" s="61" t="s">
        <v>1281</v>
      </c>
    </row>
    <row r="50" spans="1:17">
      <c r="A50" s="23">
        <v>106</v>
      </c>
      <c r="B50" s="23" t="str">
        <f t="shared" si="4"/>
        <v>東池袋ハイツ</v>
      </c>
      <c r="C50" s="23">
        <v>406</v>
      </c>
      <c r="D50" s="23" t="str">
        <f t="shared" si="5"/>
        <v>コアプラス札幌株式会社</v>
      </c>
      <c r="E50" s="23" t="s">
        <v>203</v>
      </c>
      <c r="F50" s="23" t="s">
        <v>753</v>
      </c>
      <c r="G50" s="23" t="s">
        <v>1366</v>
      </c>
      <c r="H50" s="23" t="s">
        <v>1367</v>
      </c>
      <c r="I50" s="23" t="s">
        <v>1294</v>
      </c>
      <c r="J50" s="23">
        <f t="shared" ca="1" si="6"/>
        <v>5</v>
      </c>
      <c r="K50" s="23">
        <f t="shared" ca="1" si="3"/>
        <v>5</v>
      </c>
      <c r="L50" s="222">
        <v>658800</v>
      </c>
      <c r="M50" s="222">
        <v>314820</v>
      </c>
      <c r="N50" s="222">
        <v>62964</v>
      </c>
      <c r="O50" s="222">
        <v>251856</v>
      </c>
      <c r="P50" s="61" t="s">
        <v>1288</v>
      </c>
      <c r="Q50" s="23" t="s">
        <v>1289</v>
      </c>
    </row>
    <row r="51" spans="1:17">
      <c r="A51" s="23">
        <v>107</v>
      </c>
      <c r="B51" s="23" t="str">
        <f t="shared" si="4"/>
        <v>メゾン雑司ヶ谷</v>
      </c>
      <c r="C51" s="23">
        <v>407</v>
      </c>
      <c r="D51" s="23" t="str">
        <f t="shared" si="5"/>
        <v>コアプラス福岡株式会社</v>
      </c>
      <c r="E51" s="23" t="s">
        <v>204</v>
      </c>
      <c r="F51" s="23" t="s">
        <v>752</v>
      </c>
      <c r="G51" s="23" t="s">
        <v>1368</v>
      </c>
      <c r="H51" s="23" t="s">
        <v>1369</v>
      </c>
      <c r="I51" s="23" t="s">
        <v>1370</v>
      </c>
      <c r="J51" s="23">
        <f t="shared" ca="1" si="6"/>
        <v>8</v>
      </c>
      <c r="K51" s="23">
        <f t="shared" ca="1" si="3"/>
        <v>15</v>
      </c>
      <c r="L51" s="222">
        <v>98069650</v>
      </c>
      <c r="M51" s="222">
        <v>71067811</v>
      </c>
      <c r="N51" s="222">
        <v>4315064</v>
      </c>
      <c r="O51" s="222">
        <v>66752747</v>
      </c>
      <c r="P51" s="61" t="s">
        <v>1281</v>
      </c>
      <c r="Q51" s="23" t="s">
        <v>1371</v>
      </c>
    </row>
    <row r="52" spans="1:17">
      <c r="A52" s="23">
        <v>107</v>
      </c>
      <c r="B52" s="23" t="str">
        <f t="shared" si="4"/>
        <v>メゾン雑司ヶ谷</v>
      </c>
      <c r="C52" s="23">
        <v>407</v>
      </c>
      <c r="D52" s="23" t="str">
        <f t="shared" si="5"/>
        <v>コアプラス福岡株式会社</v>
      </c>
      <c r="E52" s="23" t="s">
        <v>202</v>
      </c>
      <c r="F52" s="23" t="s">
        <v>1283</v>
      </c>
      <c r="G52" s="23" t="s">
        <v>1368</v>
      </c>
      <c r="H52" s="23" t="s">
        <v>1369</v>
      </c>
      <c r="I52" s="23" t="s">
        <v>1284</v>
      </c>
      <c r="J52" s="23">
        <f t="shared" ca="1" si="6"/>
        <v>8</v>
      </c>
      <c r="K52" s="23" t="str">
        <f t="shared" si="3"/>
        <v/>
      </c>
      <c r="L52" s="222">
        <v>286363375</v>
      </c>
      <c r="M52" s="222">
        <v>286363375</v>
      </c>
      <c r="N52" s="222"/>
      <c r="O52" s="222">
        <v>286363375</v>
      </c>
      <c r="P52" s="61" t="s">
        <v>1281</v>
      </c>
      <c r="Q52" s="23" t="s">
        <v>1289</v>
      </c>
    </row>
    <row r="53" spans="1:17">
      <c r="A53" s="23">
        <v>107</v>
      </c>
      <c r="B53" s="23" t="str">
        <f t="shared" si="4"/>
        <v>メゾン雑司ヶ谷</v>
      </c>
      <c r="C53" s="23">
        <v>407</v>
      </c>
      <c r="D53" s="23" t="str">
        <f t="shared" si="5"/>
        <v>コアプラス福岡株式会社</v>
      </c>
      <c r="E53" s="23" t="s">
        <v>203</v>
      </c>
      <c r="F53" s="23" t="s">
        <v>753</v>
      </c>
      <c r="G53" s="23" t="s">
        <v>1372</v>
      </c>
      <c r="H53" s="23" t="s">
        <v>1373</v>
      </c>
      <c r="I53" s="23" t="s">
        <v>1294</v>
      </c>
      <c r="J53" s="23">
        <f t="shared" ca="1" si="6"/>
        <v>4</v>
      </c>
      <c r="K53" s="23">
        <f t="shared" ca="1" si="3"/>
        <v>6</v>
      </c>
      <c r="L53" s="222">
        <v>720000</v>
      </c>
      <c r="M53" s="222">
        <v>422400</v>
      </c>
      <c r="N53" s="222">
        <v>84480</v>
      </c>
      <c r="O53" s="222">
        <v>337920</v>
      </c>
      <c r="P53" s="61" t="s">
        <v>1288</v>
      </c>
      <c r="Q53" s="23" t="s">
        <v>1289</v>
      </c>
    </row>
    <row r="54" spans="1:17">
      <c r="A54" s="23">
        <v>107</v>
      </c>
      <c r="B54" s="23" t="str">
        <f t="shared" si="4"/>
        <v>メゾン雑司ヶ谷</v>
      </c>
      <c r="C54" s="23">
        <v>407</v>
      </c>
      <c r="D54" s="23" t="str">
        <f t="shared" si="5"/>
        <v>コアプラス福岡株式会社</v>
      </c>
      <c r="E54" s="23" t="s">
        <v>205</v>
      </c>
      <c r="F54" s="23" t="s">
        <v>752</v>
      </c>
      <c r="G54" s="23" t="s">
        <v>1374</v>
      </c>
      <c r="H54" s="23" t="s">
        <v>1375</v>
      </c>
      <c r="I54" s="23" t="s">
        <v>1304</v>
      </c>
      <c r="J54" s="23">
        <f t="shared" ca="1" si="6"/>
        <v>2</v>
      </c>
      <c r="K54" s="23">
        <f t="shared" ca="1" si="3"/>
        <v>13</v>
      </c>
      <c r="L54" s="222">
        <v>482200</v>
      </c>
      <c r="M54" s="222">
        <v>460662</v>
      </c>
      <c r="N54" s="222">
        <v>32307</v>
      </c>
      <c r="O54" s="222">
        <v>428355</v>
      </c>
      <c r="P54" s="61" t="s">
        <v>1288</v>
      </c>
      <c r="Q54" s="23" t="s">
        <v>1289</v>
      </c>
    </row>
    <row r="55" spans="1:17">
      <c r="A55" s="23">
        <v>107</v>
      </c>
      <c r="B55" s="23" t="str">
        <f t="shared" si="4"/>
        <v>メゾン雑司ヶ谷</v>
      </c>
      <c r="C55" s="23">
        <v>407</v>
      </c>
      <c r="D55" s="23" t="str">
        <f t="shared" si="5"/>
        <v>コアプラス福岡株式会社</v>
      </c>
      <c r="E55" s="23" t="s">
        <v>205</v>
      </c>
      <c r="F55" s="23" t="s">
        <v>752</v>
      </c>
      <c r="G55" s="23" t="s">
        <v>1376</v>
      </c>
      <c r="H55" s="23" t="s">
        <v>1375</v>
      </c>
      <c r="I55" s="23" t="s">
        <v>1294</v>
      </c>
      <c r="J55" s="23">
        <f t="shared" ca="1" si="6"/>
        <v>2</v>
      </c>
      <c r="K55" s="23">
        <f t="shared" ca="1" si="3"/>
        <v>8</v>
      </c>
      <c r="L55" s="222">
        <v>941600</v>
      </c>
      <c r="M55" s="222">
        <v>878827</v>
      </c>
      <c r="N55" s="222">
        <v>94160</v>
      </c>
      <c r="O55" s="222">
        <v>784667</v>
      </c>
      <c r="P55" s="61" t="s">
        <v>1288</v>
      </c>
      <c r="Q55" s="23" t="s">
        <v>1289</v>
      </c>
    </row>
    <row r="56" spans="1:17">
      <c r="A56" s="23">
        <v>107</v>
      </c>
      <c r="B56" s="23" t="str">
        <f t="shared" si="4"/>
        <v>メゾン雑司ヶ谷</v>
      </c>
      <c r="C56" s="23">
        <v>407</v>
      </c>
      <c r="D56" s="23" t="str">
        <f t="shared" si="5"/>
        <v>コアプラス福岡株式会社</v>
      </c>
      <c r="E56" s="23" t="s">
        <v>205</v>
      </c>
      <c r="F56" s="23" t="s">
        <v>752</v>
      </c>
      <c r="G56" s="23" t="s">
        <v>1377</v>
      </c>
      <c r="H56" s="23" t="s">
        <v>1378</v>
      </c>
      <c r="I56" s="23" t="s">
        <v>1294</v>
      </c>
      <c r="J56" s="23">
        <f t="shared" ca="1" si="6"/>
        <v>2</v>
      </c>
      <c r="K56" s="23">
        <f t="shared" ca="1" si="3"/>
        <v>8</v>
      </c>
      <c r="L56" s="222">
        <v>860100</v>
      </c>
      <c r="M56" s="222">
        <v>831430</v>
      </c>
      <c r="N56" s="222">
        <v>86010</v>
      </c>
      <c r="O56" s="222">
        <v>745420</v>
      </c>
      <c r="P56" s="61" t="s">
        <v>1288</v>
      </c>
      <c r="Q56" s="23" t="s">
        <v>1289</v>
      </c>
    </row>
    <row r="57" spans="1:17">
      <c r="A57" s="23">
        <v>109</v>
      </c>
      <c r="B57" s="23" t="str">
        <f t="shared" si="4"/>
        <v>カーサ南池袋</v>
      </c>
      <c r="C57" s="23">
        <v>409</v>
      </c>
      <c r="D57" s="23" t="str">
        <f t="shared" si="5"/>
        <v>コアプラス四国株式会社</v>
      </c>
      <c r="E57" s="23" t="s">
        <v>204</v>
      </c>
      <c r="F57" s="23" t="s">
        <v>752</v>
      </c>
      <c r="G57" s="23" t="s">
        <v>1379</v>
      </c>
      <c r="H57" s="23" t="s">
        <v>1380</v>
      </c>
      <c r="I57" s="23" t="s">
        <v>1381</v>
      </c>
      <c r="J57" s="23">
        <f t="shared" ca="1" si="6"/>
        <v>8</v>
      </c>
      <c r="K57" s="23">
        <f t="shared" ca="1" si="3"/>
        <v>1</v>
      </c>
      <c r="L57" s="222">
        <v>26042283</v>
      </c>
      <c r="M57" s="222">
        <v>8541873</v>
      </c>
      <c r="N57" s="222">
        <v>2916735</v>
      </c>
      <c r="O57" s="222">
        <v>5625138</v>
      </c>
      <c r="P57" s="61" t="s">
        <v>1281</v>
      </c>
      <c r="Q57" s="23" t="s">
        <v>1382</v>
      </c>
    </row>
    <row r="58" spans="1:17">
      <c r="A58" s="23">
        <v>109</v>
      </c>
      <c r="B58" s="23" t="str">
        <f t="shared" si="4"/>
        <v>カーサ南池袋</v>
      </c>
      <c r="C58" s="23">
        <v>409</v>
      </c>
      <c r="D58" s="23" t="str">
        <f t="shared" si="5"/>
        <v>コアプラス四国株式会社</v>
      </c>
      <c r="E58" s="23" t="s">
        <v>202</v>
      </c>
      <c r="F58" s="23" t="s">
        <v>1283</v>
      </c>
      <c r="G58" s="23" t="s">
        <v>1379</v>
      </c>
      <c r="H58" s="23" t="s">
        <v>1380</v>
      </c>
      <c r="I58" s="23" t="s">
        <v>1284</v>
      </c>
      <c r="J58" s="23">
        <f t="shared" ca="1" si="6"/>
        <v>8</v>
      </c>
      <c r="K58" s="23" t="str">
        <f t="shared" si="3"/>
        <v/>
      </c>
      <c r="L58" s="222">
        <v>163957717</v>
      </c>
      <c r="M58" s="222">
        <v>163957717</v>
      </c>
      <c r="N58" s="222"/>
      <c r="O58" s="222">
        <v>163957717</v>
      </c>
      <c r="P58" s="61" t="s">
        <v>1281</v>
      </c>
    </row>
    <row r="59" spans="1:17">
      <c r="A59" s="23">
        <v>109</v>
      </c>
      <c r="B59" s="23" t="str">
        <f t="shared" si="4"/>
        <v>カーサ南池袋</v>
      </c>
      <c r="C59" s="23">
        <v>409</v>
      </c>
      <c r="D59" s="23" t="str">
        <f t="shared" si="5"/>
        <v>コアプラス四国株式会社</v>
      </c>
      <c r="E59" s="23" t="s">
        <v>204</v>
      </c>
      <c r="F59" s="23" t="s">
        <v>752</v>
      </c>
      <c r="G59" s="23" t="s">
        <v>1379</v>
      </c>
      <c r="H59" s="23" t="s">
        <v>1380</v>
      </c>
      <c r="I59" s="23" t="s">
        <v>1381</v>
      </c>
      <c r="J59" s="23">
        <f t="shared" ca="1" si="6"/>
        <v>8</v>
      </c>
      <c r="K59" s="23">
        <f t="shared" ca="1" si="3"/>
        <v>1</v>
      </c>
      <c r="L59" s="222">
        <v>450400</v>
      </c>
      <c r="M59" s="222">
        <v>147736</v>
      </c>
      <c r="N59" s="222">
        <v>50444</v>
      </c>
      <c r="O59" s="222">
        <v>97292</v>
      </c>
      <c r="P59" s="61" t="s">
        <v>1281</v>
      </c>
      <c r="Q59" s="23" t="s">
        <v>1382</v>
      </c>
    </row>
    <row r="60" spans="1:17">
      <c r="A60" s="23">
        <v>109</v>
      </c>
      <c r="B60" s="23" t="str">
        <f t="shared" si="4"/>
        <v>カーサ南池袋</v>
      </c>
      <c r="C60" s="23">
        <v>409</v>
      </c>
      <c r="D60" s="23" t="str">
        <f t="shared" si="5"/>
        <v>コアプラス四国株式会社</v>
      </c>
      <c r="E60" s="23" t="s">
        <v>202</v>
      </c>
      <c r="F60" s="23" t="s">
        <v>1283</v>
      </c>
      <c r="G60" s="23" t="s">
        <v>1383</v>
      </c>
      <c r="H60" s="23" t="s">
        <v>1380</v>
      </c>
      <c r="I60" s="23" t="s">
        <v>1284</v>
      </c>
      <c r="J60" s="23">
        <f t="shared" ca="1" si="6"/>
        <v>8</v>
      </c>
      <c r="K60" s="23" t="str">
        <f t="shared" si="3"/>
        <v/>
      </c>
      <c r="L60" s="222">
        <v>1417900</v>
      </c>
      <c r="M60" s="222">
        <v>1417900</v>
      </c>
      <c r="N60" s="222"/>
      <c r="O60" s="222">
        <v>1417900</v>
      </c>
      <c r="P60" s="61" t="s">
        <v>1281</v>
      </c>
    </row>
    <row r="61" spans="1:17">
      <c r="A61" s="23">
        <v>109</v>
      </c>
      <c r="B61" s="23" t="str">
        <f t="shared" si="4"/>
        <v>カーサ南池袋</v>
      </c>
      <c r="C61" s="23">
        <v>409</v>
      </c>
      <c r="D61" s="23" t="str">
        <f t="shared" si="5"/>
        <v>コアプラス四国株式会社</v>
      </c>
      <c r="E61" s="23" t="s">
        <v>205</v>
      </c>
      <c r="F61" s="23" t="s">
        <v>752</v>
      </c>
      <c r="G61" s="23" t="s">
        <v>1384</v>
      </c>
      <c r="H61" s="23" t="s">
        <v>1385</v>
      </c>
      <c r="I61" s="23" t="s">
        <v>1304</v>
      </c>
      <c r="J61" s="23">
        <f t="shared" ca="1" si="6"/>
        <v>7</v>
      </c>
      <c r="K61" s="23">
        <f t="shared" ca="1" si="3"/>
        <v>8</v>
      </c>
      <c r="L61" s="222">
        <v>1668160</v>
      </c>
      <c r="M61" s="222">
        <v>1034819</v>
      </c>
      <c r="N61" s="222">
        <v>111766</v>
      </c>
      <c r="O61" s="222">
        <v>923053</v>
      </c>
      <c r="P61" s="61" t="s">
        <v>1288</v>
      </c>
      <c r="Q61" s="23" t="s">
        <v>1289</v>
      </c>
    </row>
    <row r="62" spans="1:17">
      <c r="A62" s="23">
        <v>109</v>
      </c>
      <c r="B62" s="23" t="str">
        <f t="shared" si="4"/>
        <v>カーサ南池袋</v>
      </c>
      <c r="C62" s="23">
        <v>409</v>
      </c>
      <c r="D62" s="23" t="str">
        <f t="shared" si="5"/>
        <v>コアプラス四国株式会社</v>
      </c>
      <c r="E62" s="23" t="s">
        <v>205</v>
      </c>
      <c r="F62" s="23" t="s">
        <v>752</v>
      </c>
      <c r="G62" s="23" t="s">
        <v>1386</v>
      </c>
      <c r="H62" s="23" t="s">
        <v>1385</v>
      </c>
      <c r="I62" s="23" t="s">
        <v>1304</v>
      </c>
      <c r="J62" s="23">
        <f t="shared" ca="1" si="6"/>
        <v>7</v>
      </c>
      <c r="K62" s="23">
        <f t="shared" ca="1" si="3"/>
        <v>8</v>
      </c>
      <c r="L62" s="222">
        <v>2349200</v>
      </c>
      <c r="M62" s="222">
        <v>1457290</v>
      </c>
      <c r="N62" s="222">
        <v>157396</v>
      </c>
      <c r="O62" s="222">
        <v>1299894</v>
      </c>
      <c r="P62" s="61" t="s">
        <v>1288</v>
      </c>
      <c r="Q62" s="23" t="s">
        <v>1289</v>
      </c>
    </row>
    <row r="63" spans="1:17">
      <c r="A63" s="23">
        <v>109</v>
      </c>
      <c r="B63" s="23" t="str">
        <f t="shared" si="4"/>
        <v>カーサ南池袋</v>
      </c>
      <c r="C63" s="23">
        <v>409</v>
      </c>
      <c r="D63" s="23" t="str">
        <f t="shared" si="5"/>
        <v>コアプラス四国株式会社</v>
      </c>
      <c r="E63" s="23" t="s">
        <v>205</v>
      </c>
      <c r="F63" s="23" t="s">
        <v>752</v>
      </c>
      <c r="G63" s="23" t="s">
        <v>1387</v>
      </c>
      <c r="H63" s="23" t="s">
        <v>1385</v>
      </c>
      <c r="I63" s="23" t="s">
        <v>1304</v>
      </c>
      <c r="J63" s="23">
        <f t="shared" ca="1" si="6"/>
        <v>7</v>
      </c>
      <c r="K63" s="23">
        <f t="shared" ca="1" si="3"/>
        <v>8</v>
      </c>
      <c r="L63" s="222">
        <v>1734493</v>
      </c>
      <c r="M63" s="222">
        <v>1075964</v>
      </c>
      <c r="N63" s="222">
        <v>116211</v>
      </c>
      <c r="O63" s="222">
        <v>959753</v>
      </c>
      <c r="P63" s="61" t="s">
        <v>1288</v>
      </c>
      <c r="Q63" s="23" t="s">
        <v>1289</v>
      </c>
    </row>
    <row r="64" spans="1:17">
      <c r="A64" s="23">
        <v>109</v>
      </c>
      <c r="B64" s="23" t="str">
        <f t="shared" si="4"/>
        <v>カーサ南池袋</v>
      </c>
      <c r="C64" s="23">
        <v>409</v>
      </c>
      <c r="D64" s="23" t="str">
        <f t="shared" si="5"/>
        <v>コアプラス四国株式会社</v>
      </c>
      <c r="E64" s="23" t="s">
        <v>205</v>
      </c>
      <c r="F64" s="23" t="s">
        <v>752</v>
      </c>
      <c r="G64" s="23" t="s">
        <v>1388</v>
      </c>
      <c r="H64" s="23" t="s">
        <v>1389</v>
      </c>
      <c r="I64" s="23" t="s">
        <v>1304</v>
      </c>
      <c r="J64" s="23">
        <f t="shared" ca="1" si="6"/>
        <v>7</v>
      </c>
      <c r="K64" s="23">
        <f t="shared" ca="1" si="3"/>
        <v>8</v>
      </c>
      <c r="L64" s="222">
        <v>1549314</v>
      </c>
      <c r="M64" s="222">
        <v>1021644</v>
      </c>
      <c r="N64" s="222">
        <v>103804</v>
      </c>
      <c r="O64" s="222">
        <v>917840</v>
      </c>
      <c r="P64" s="61" t="s">
        <v>1288</v>
      </c>
    </row>
    <row r="65" spans="1:17">
      <c r="A65" s="23">
        <v>109</v>
      </c>
      <c r="B65" s="23" t="str">
        <f t="shared" si="4"/>
        <v>カーサ南池袋</v>
      </c>
      <c r="C65" s="23">
        <v>409</v>
      </c>
      <c r="D65" s="23" t="str">
        <f t="shared" si="5"/>
        <v>コアプラス四国株式会社</v>
      </c>
      <c r="E65" s="23" t="s">
        <v>203</v>
      </c>
      <c r="F65" s="23" t="s">
        <v>753</v>
      </c>
      <c r="G65" s="23" t="s">
        <v>1390</v>
      </c>
      <c r="H65" s="23" t="s">
        <v>1391</v>
      </c>
      <c r="I65" s="23" t="s">
        <v>1294</v>
      </c>
      <c r="J65" s="23">
        <f t="shared" ca="1" si="6"/>
        <v>2</v>
      </c>
      <c r="K65" s="23">
        <f t="shared" ca="1" si="3"/>
        <v>8</v>
      </c>
      <c r="L65" s="222">
        <v>554400</v>
      </c>
      <c r="M65" s="222">
        <v>443520</v>
      </c>
      <c r="N65" s="222">
        <v>88704</v>
      </c>
      <c r="O65" s="222">
        <v>354816</v>
      </c>
      <c r="P65" s="61" t="s">
        <v>1288</v>
      </c>
    </row>
    <row r="66" spans="1:17">
      <c r="A66" s="23">
        <v>109</v>
      </c>
      <c r="B66" s="23" t="str">
        <f t="shared" si="4"/>
        <v>カーサ南池袋</v>
      </c>
      <c r="C66" s="23">
        <v>409</v>
      </c>
      <c r="D66" s="23" t="str">
        <f t="shared" si="5"/>
        <v>コアプラス四国株式会社</v>
      </c>
      <c r="E66" s="23" t="s">
        <v>205</v>
      </c>
      <c r="F66" s="23" t="s">
        <v>752</v>
      </c>
      <c r="G66" s="23" t="s">
        <v>1392</v>
      </c>
      <c r="H66" s="23" t="s">
        <v>1308</v>
      </c>
      <c r="I66" s="23" t="s">
        <v>1304</v>
      </c>
      <c r="J66" s="23">
        <f t="shared" ca="1" si="6"/>
        <v>2</v>
      </c>
      <c r="K66" s="23">
        <f t="shared" ca="1" si="3"/>
        <v>13</v>
      </c>
      <c r="L66" s="222">
        <v>1873128</v>
      </c>
      <c r="M66" s="222">
        <v>1810379</v>
      </c>
      <c r="N66" s="222">
        <v>125499</v>
      </c>
      <c r="O66" s="222">
        <v>1684880</v>
      </c>
      <c r="P66" s="61" t="s">
        <v>1288</v>
      </c>
    </row>
    <row r="67" spans="1:17">
      <c r="A67" s="23">
        <v>109</v>
      </c>
      <c r="B67" s="23" t="str">
        <f t="shared" si="4"/>
        <v>カーサ南池袋</v>
      </c>
      <c r="C67" s="23">
        <v>409</v>
      </c>
      <c r="D67" s="23" t="str">
        <f t="shared" si="5"/>
        <v>コアプラス四国株式会社</v>
      </c>
      <c r="E67" s="23" t="s">
        <v>205</v>
      </c>
      <c r="F67" s="23" t="s">
        <v>752</v>
      </c>
      <c r="G67" s="23" t="s">
        <v>1393</v>
      </c>
      <c r="H67" s="23" t="s">
        <v>1394</v>
      </c>
      <c r="I67" s="23" t="s">
        <v>1304</v>
      </c>
      <c r="J67" s="23">
        <f t="shared" ca="1" si="6"/>
        <v>2</v>
      </c>
      <c r="K67" s="23">
        <f t="shared" ca="1" si="3"/>
        <v>13</v>
      </c>
      <c r="L67" s="222">
        <v>541750</v>
      </c>
      <c r="M67" s="222">
        <v>526627</v>
      </c>
      <c r="N67" s="222">
        <v>36297</v>
      </c>
      <c r="O67" s="222">
        <v>490330</v>
      </c>
      <c r="P67" s="61" t="s">
        <v>1288</v>
      </c>
    </row>
    <row r="68" spans="1:17">
      <c r="A68" s="23">
        <v>109</v>
      </c>
      <c r="B68" s="23" t="str">
        <f t="shared" si="4"/>
        <v>カーサ南池袋</v>
      </c>
      <c r="C68" s="23">
        <v>409</v>
      </c>
      <c r="D68" s="23" t="str">
        <f t="shared" si="5"/>
        <v>コアプラス四国株式会社</v>
      </c>
      <c r="E68" s="23" t="s">
        <v>205</v>
      </c>
      <c r="F68" s="23" t="s">
        <v>752</v>
      </c>
      <c r="G68" s="23" t="s">
        <v>1388</v>
      </c>
      <c r="H68" s="23" t="s">
        <v>1378</v>
      </c>
      <c r="I68" s="23" t="s">
        <v>1304</v>
      </c>
      <c r="J68" s="23">
        <f t="shared" ca="1" si="6"/>
        <v>2</v>
      </c>
      <c r="K68" s="23">
        <f t="shared" ca="1" si="3"/>
        <v>13</v>
      </c>
      <c r="L68" s="222">
        <v>4073820</v>
      </c>
      <c r="M68" s="222">
        <v>3982839</v>
      </c>
      <c r="N68" s="222">
        <v>272945</v>
      </c>
      <c r="O68" s="222">
        <v>3709894</v>
      </c>
      <c r="P68" s="61" t="s">
        <v>1288</v>
      </c>
    </row>
    <row r="69" spans="1:17">
      <c r="A69" s="23">
        <v>109</v>
      </c>
      <c r="B69" s="23" t="str">
        <f t="shared" ref="B69:B100" si="7">VLOOKUP(A69,id_settings,2,FALSE)</f>
        <v>カーサ南池袋</v>
      </c>
      <c r="C69" s="23">
        <v>409</v>
      </c>
      <c r="D69" s="23" t="str">
        <f t="shared" ref="D69:D100" si="8">VLOOKUP(C69,id_settings,2,FALSE)</f>
        <v>コアプラス四国株式会社</v>
      </c>
      <c r="E69" s="23" t="s">
        <v>205</v>
      </c>
      <c r="F69" s="23" t="s">
        <v>752</v>
      </c>
      <c r="G69" s="23" t="s">
        <v>1395</v>
      </c>
      <c r="H69" s="23" t="s">
        <v>1378</v>
      </c>
      <c r="I69" s="23" t="s">
        <v>1304</v>
      </c>
      <c r="J69" s="23">
        <f t="shared" ref="J69:J100" ca="1" si="9">current_year-LEFT(H69,4)</f>
        <v>2</v>
      </c>
      <c r="K69" s="23">
        <f t="shared" ca="1" si="3"/>
        <v>13</v>
      </c>
      <c r="L69" s="222">
        <v>4304820</v>
      </c>
      <c r="M69" s="222">
        <v>4208680</v>
      </c>
      <c r="N69" s="222">
        <v>288422</v>
      </c>
      <c r="O69" s="222">
        <v>3920258</v>
      </c>
      <c r="P69" s="61" t="s">
        <v>1288</v>
      </c>
    </row>
    <row r="70" spans="1:17">
      <c r="A70" s="23">
        <v>109</v>
      </c>
      <c r="B70" s="23" t="str">
        <f t="shared" si="7"/>
        <v>カーサ南池袋</v>
      </c>
      <c r="C70" s="23">
        <v>409</v>
      </c>
      <c r="D70" s="23" t="str">
        <f t="shared" si="8"/>
        <v>コアプラス四国株式会社</v>
      </c>
      <c r="E70" s="23" t="s">
        <v>205</v>
      </c>
      <c r="F70" s="23" t="s">
        <v>752</v>
      </c>
      <c r="G70" s="23" t="s">
        <v>1396</v>
      </c>
      <c r="H70" s="23" t="s">
        <v>1378</v>
      </c>
      <c r="I70" s="23" t="s">
        <v>1304</v>
      </c>
      <c r="J70" s="23">
        <f t="shared" ca="1" si="9"/>
        <v>2</v>
      </c>
      <c r="K70" s="23">
        <f t="shared" ref="K70:K133" ca="1" si="10">IF(I70&lt;&gt;"",I70-J70,"")</f>
        <v>13</v>
      </c>
      <c r="L70" s="222">
        <v>745860</v>
      </c>
      <c r="M70" s="222">
        <v>729203</v>
      </c>
      <c r="N70" s="222">
        <v>49972</v>
      </c>
      <c r="O70" s="222">
        <v>679231</v>
      </c>
      <c r="P70" s="61" t="s">
        <v>1288</v>
      </c>
    </row>
    <row r="71" spans="1:17">
      <c r="A71" s="23">
        <v>109</v>
      </c>
      <c r="B71" s="23" t="str">
        <f t="shared" si="7"/>
        <v>カーサ南池袋</v>
      </c>
      <c r="C71" s="23">
        <v>409</v>
      </c>
      <c r="D71" s="23" t="str">
        <f t="shared" si="8"/>
        <v>コアプラス四国株式会社</v>
      </c>
      <c r="E71" s="23" t="s">
        <v>205</v>
      </c>
      <c r="F71" s="23" t="s">
        <v>752</v>
      </c>
      <c r="G71" s="23" t="s">
        <v>1397</v>
      </c>
      <c r="H71" s="23" t="s">
        <v>1398</v>
      </c>
      <c r="I71" s="23" t="s">
        <v>1304</v>
      </c>
      <c r="J71" s="23">
        <f t="shared" ca="1" si="9"/>
        <v>2</v>
      </c>
      <c r="K71" s="23">
        <f t="shared" ca="1" si="10"/>
        <v>13</v>
      </c>
      <c r="L71" s="222">
        <v>2865641</v>
      </c>
      <c r="M71" s="222">
        <v>2817642</v>
      </c>
      <c r="N71" s="222">
        <v>191997</v>
      </c>
      <c r="O71" s="222">
        <v>2625645</v>
      </c>
      <c r="P71" s="61" t="s">
        <v>1288</v>
      </c>
    </row>
    <row r="72" spans="1:17">
      <c r="A72" s="23">
        <v>111</v>
      </c>
      <c r="B72" s="23" t="str">
        <f t="shared" si="7"/>
        <v>目白カーサ二番館</v>
      </c>
      <c r="C72" s="23">
        <v>401</v>
      </c>
      <c r="D72" s="23" t="str">
        <f t="shared" si="8"/>
        <v>コアプラス東京株式会社</v>
      </c>
      <c r="E72" s="23" t="s">
        <v>204</v>
      </c>
      <c r="F72" s="23" t="s">
        <v>752</v>
      </c>
      <c r="G72" s="23" t="s">
        <v>1399</v>
      </c>
      <c r="H72" s="23" t="s">
        <v>1400</v>
      </c>
      <c r="I72" s="23" t="s">
        <v>1401</v>
      </c>
      <c r="J72" s="23">
        <f t="shared" ca="1" si="9"/>
        <v>7</v>
      </c>
      <c r="K72" s="23">
        <f t="shared" ca="1" si="10"/>
        <v>7</v>
      </c>
      <c r="L72" s="222">
        <v>59724146</v>
      </c>
      <c r="M72" s="222">
        <v>34281663</v>
      </c>
      <c r="N72" s="222">
        <v>4300138</v>
      </c>
      <c r="O72" s="222">
        <v>29981525</v>
      </c>
      <c r="P72" s="61" t="s">
        <v>1281</v>
      </c>
      <c r="Q72" s="23" t="s">
        <v>1289</v>
      </c>
    </row>
    <row r="73" spans="1:17">
      <c r="A73" s="23">
        <v>111</v>
      </c>
      <c r="B73" s="23" t="str">
        <f t="shared" si="7"/>
        <v>目白カーサ二番館</v>
      </c>
      <c r="C73" s="23">
        <v>401</v>
      </c>
      <c r="D73" s="23" t="str">
        <f t="shared" si="8"/>
        <v>コアプラス東京株式会社</v>
      </c>
      <c r="E73" s="23" t="s">
        <v>202</v>
      </c>
      <c r="F73" s="23" t="s">
        <v>1283</v>
      </c>
      <c r="G73" s="23" t="s">
        <v>1399</v>
      </c>
      <c r="H73" s="23" t="s">
        <v>1400</v>
      </c>
      <c r="I73" s="23" t="s">
        <v>1284</v>
      </c>
      <c r="J73" s="23">
        <f t="shared" ca="1" si="9"/>
        <v>7</v>
      </c>
      <c r="K73" s="23" t="str">
        <f t="shared" si="10"/>
        <v/>
      </c>
      <c r="L73" s="222">
        <v>252984606</v>
      </c>
      <c r="M73" s="222">
        <v>252984606</v>
      </c>
      <c r="N73" s="222"/>
      <c r="O73" s="222">
        <v>252984606</v>
      </c>
      <c r="P73" s="61" t="s">
        <v>1281</v>
      </c>
      <c r="Q73" s="23" t="s">
        <v>1289</v>
      </c>
    </row>
    <row r="74" spans="1:17">
      <c r="A74" s="23">
        <v>112</v>
      </c>
      <c r="B74" s="23" t="str">
        <f t="shared" si="7"/>
        <v>豊島目白ビル</v>
      </c>
      <c r="C74" s="23">
        <v>402</v>
      </c>
      <c r="D74" s="23" t="str">
        <f t="shared" si="8"/>
        <v>コアプラス名古屋株式会社</v>
      </c>
      <c r="E74" s="23" t="s">
        <v>204</v>
      </c>
      <c r="F74" s="23" t="s">
        <v>752</v>
      </c>
      <c r="G74" s="23" t="s">
        <v>1402</v>
      </c>
      <c r="H74" s="23" t="s">
        <v>1403</v>
      </c>
      <c r="I74" s="23" t="s">
        <v>1404</v>
      </c>
      <c r="J74" s="23">
        <f t="shared" ca="1" si="9"/>
        <v>7</v>
      </c>
      <c r="K74" s="23">
        <f t="shared" ca="1" si="10"/>
        <v>20</v>
      </c>
      <c r="L74" s="222">
        <v>126784406</v>
      </c>
      <c r="M74" s="222">
        <v>98680532</v>
      </c>
      <c r="N74" s="222">
        <v>4817807</v>
      </c>
      <c r="O74" s="222">
        <v>93862725</v>
      </c>
      <c r="P74" s="61" t="s">
        <v>1281</v>
      </c>
      <c r="Q74" s="23" t="s">
        <v>1405</v>
      </c>
    </row>
    <row r="75" spans="1:17">
      <c r="A75" s="23">
        <v>112</v>
      </c>
      <c r="B75" s="23" t="str">
        <f t="shared" si="7"/>
        <v>豊島目白ビル</v>
      </c>
      <c r="C75" s="23">
        <v>402</v>
      </c>
      <c r="D75" s="23" t="str">
        <f t="shared" si="8"/>
        <v>コアプラス名古屋株式会社</v>
      </c>
      <c r="E75" s="23" t="s">
        <v>202</v>
      </c>
      <c r="F75" s="23" t="s">
        <v>1283</v>
      </c>
      <c r="G75" s="23" t="s">
        <v>1402</v>
      </c>
      <c r="H75" s="23" t="s">
        <v>1403</v>
      </c>
      <c r="I75" s="23" t="s">
        <v>1284</v>
      </c>
      <c r="J75" s="23">
        <f t="shared" ca="1" si="9"/>
        <v>7</v>
      </c>
      <c r="K75" s="23" t="str">
        <f t="shared" si="10"/>
        <v/>
      </c>
      <c r="L75" s="222">
        <v>316421235</v>
      </c>
      <c r="M75" s="222">
        <v>316421235</v>
      </c>
      <c r="N75" s="222"/>
      <c r="O75" s="222">
        <v>316421235</v>
      </c>
      <c r="P75" s="61" t="s">
        <v>1281</v>
      </c>
      <c r="Q75" s="23" t="s">
        <v>1289</v>
      </c>
    </row>
    <row r="76" spans="1:17">
      <c r="A76" s="23">
        <v>113</v>
      </c>
      <c r="B76" s="23" t="str">
        <f t="shared" si="7"/>
        <v>第3目白ハイツ</v>
      </c>
      <c r="C76" s="23">
        <v>403</v>
      </c>
      <c r="D76" s="23" t="str">
        <f t="shared" si="8"/>
        <v>有限会社コアプラス2号</v>
      </c>
      <c r="E76" s="23" t="s">
        <v>204</v>
      </c>
      <c r="F76" s="23" t="s">
        <v>752</v>
      </c>
      <c r="G76" s="23" t="s">
        <v>1406</v>
      </c>
      <c r="H76" s="23" t="s">
        <v>1407</v>
      </c>
      <c r="I76" s="23" t="s">
        <v>1297</v>
      </c>
      <c r="J76" s="23">
        <f t="shared" ca="1" si="9"/>
        <v>7</v>
      </c>
      <c r="K76" s="23">
        <f t="shared" ca="1" si="10"/>
        <v>17</v>
      </c>
      <c r="L76" s="222">
        <v>149989486</v>
      </c>
      <c r="M76" s="222">
        <v>114816954</v>
      </c>
      <c r="N76" s="222">
        <v>6299558</v>
      </c>
      <c r="O76" s="222">
        <v>108517396</v>
      </c>
      <c r="P76" s="61" t="s">
        <v>1281</v>
      </c>
      <c r="Q76" s="23" t="s">
        <v>1408</v>
      </c>
    </row>
    <row r="77" spans="1:17">
      <c r="A77" s="23">
        <v>113</v>
      </c>
      <c r="B77" s="23" t="str">
        <f t="shared" si="7"/>
        <v>第3目白ハイツ</v>
      </c>
      <c r="C77" s="23">
        <v>403</v>
      </c>
      <c r="D77" s="23" t="str">
        <f t="shared" si="8"/>
        <v>有限会社コアプラス2号</v>
      </c>
      <c r="E77" s="23" t="s">
        <v>202</v>
      </c>
      <c r="F77" s="23" t="s">
        <v>1283</v>
      </c>
      <c r="G77" s="23" t="s">
        <v>1406</v>
      </c>
      <c r="H77" s="23" t="s">
        <v>1407</v>
      </c>
      <c r="I77" s="23" t="s">
        <v>1284</v>
      </c>
      <c r="J77" s="23">
        <f t="shared" ca="1" si="9"/>
        <v>7</v>
      </c>
      <c r="K77" s="23" t="str">
        <f t="shared" si="10"/>
        <v/>
      </c>
      <c r="L77" s="222">
        <v>335018465</v>
      </c>
      <c r="M77" s="222">
        <v>335018465</v>
      </c>
      <c r="N77" s="222"/>
      <c r="O77" s="222">
        <v>335018465</v>
      </c>
      <c r="P77" s="61" t="s">
        <v>1281</v>
      </c>
    </row>
    <row r="78" spans="1:17">
      <c r="A78" s="23">
        <v>113</v>
      </c>
      <c r="B78" s="23" t="str">
        <f t="shared" si="7"/>
        <v>第3目白ハイツ</v>
      </c>
      <c r="C78" s="23">
        <v>403</v>
      </c>
      <c r="D78" s="23" t="str">
        <f t="shared" si="8"/>
        <v>有限会社コアプラス2号</v>
      </c>
      <c r="E78" s="23" t="s">
        <v>206</v>
      </c>
      <c r="F78" s="23" t="s">
        <v>752</v>
      </c>
      <c r="G78" s="23" t="s">
        <v>1409</v>
      </c>
      <c r="H78" s="23" t="s">
        <v>1410</v>
      </c>
      <c r="I78" s="23" t="s">
        <v>1304</v>
      </c>
      <c r="J78" s="23">
        <f t="shared" ca="1" si="9"/>
        <v>4</v>
      </c>
      <c r="K78" s="23">
        <f t="shared" ca="1" si="10"/>
        <v>11</v>
      </c>
      <c r="L78" s="222">
        <v>2268000</v>
      </c>
      <c r="M78" s="222">
        <v>1888110</v>
      </c>
      <c r="N78" s="222">
        <v>151956</v>
      </c>
      <c r="O78" s="222">
        <v>1736154</v>
      </c>
      <c r="P78" s="61" t="s">
        <v>1288</v>
      </c>
      <c r="Q78" s="23" t="s">
        <v>1289</v>
      </c>
    </row>
    <row r="79" spans="1:17">
      <c r="A79" s="23">
        <v>113</v>
      </c>
      <c r="B79" s="23" t="str">
        <f t="shared" si="7"/>
        <v>第3目白ハイツ</v>
      </c>
      <c r="C79" s="23">
        <v>403</v>
      </c>
      <c r="D79" s="23" t="str">
        <f t="shared" si="8"/>
        <v>有限会社コアプラス2号</v>
      </c>
      <c r="E79" s="23" t="s">
        <v>205</v>
      </c>
      <c r="F79" s="23" t="s">
        <v>752</v>
      </c>
      <c r="G79" s="23" t="s">
        <v>1411</v>
      </c>
      <c r="H79" s="23" t="s">
        <v>1412</v>
      </c>
      <c r="I79" s="23" t="s">
        <v>1304</v>
      </c>
      <c r="J79" s="23">
        <f t="shared" ca="1" si="9"/>
        <v>2</v>
      </c>
      <c r="K79" s="23">
        <f t="shared" ca="1" si="10"/>
        <v>13</v>
      </c>
      <c r="L79" s="222">
        <v>1651230</v>
      </c>
      <c r="M79" s="222">
        <v>1559037</v>
      </c>
      <c r="N79" s="222">
        <v>110632</v>
      </c>
      <c r="O79" s="222">
        <v>1448405</v>
      </c>
      <c r="P79" s="61" t="s">
        <v>1288</v>
      </c>
      <c r="Q79" s="23" t="s">
        <v>1289</v>
      </c>
    </row>
    <row r="80" spans="1:17">
      <c r="A80" s="23">
        <v>113</v>
      </c>
      <c r="B80" s="23" t="str">
        <f t="shared" si="7"/>
        <v>第3目白ハイツ</v>
      </c>
      <c r="C80" s="23">
        <v>403</v>
      </c>
      <c r="D80" s="23" t="str">
        <f t="shared" si="8"/>
        <v>有限会社コアプラス2号</v>
      </c>
      <c r="E80" s="23" t="s">
        <v>205</v>
      </c>
      <c r="F80" s="23" t="s">
        <v>752</v>
      </c>
      <c r="G80" s="23" t="s">
        <v>1413</v>
      </c>
      <c r="H80" s="23" t="s">
        <v>1414</v>
      </c>
      <c r="I80" s="23" t="s">
        <v>1304</v>
      </c>
      <c r="J80" s="23">
        <f t="shared" ca="1" si="9"/>
        <v>2</v>
      </c>
      <c r="K80" s="23">
        <f t="shared" ca="1" si="10"/>
        <v>13</v>
      </c>
      <c r="L80" s="222">
        <v>1928328</v>
      </c>
      <c r="M80" s="222">
        <v>1852963</v>
      </c>
      <c r="N80" s="222">
        <v>129197</v>
      </c>
      <c r="O80" s="222">
        <v>1723766</v>
      </c>
      <c r="P80" s="61" t="s">
        <v>1288</v>
      </c>
      <c r="Q80" s="23" t="s">
        <v>1289</v>
      </c>
    </row>
    <row r="81" spans="1:17">
      <c r="A81" s="23">
        <v>113</v>
      </c>
      <c r="B81" s="23" t="str">
        <f t="shared" si="7"/>
        <v>第3目白ハイツ</v>
      </c>
      <c r="C81" s="23">
        <v>403</v>
      </c>
      <c r="D81" s="23" t="str">
        <f t="shared" si="8"/>
        <v>有限会社コアプラス2号</v>
      </c>
      <c r="E81" s="23" t="s">
        <v>205</v>
      </c>
      <c r="F81" s="23" t="s">
        <v>752</v>
      </c>
      <c r="G81" s="23" t="s">
        <v>1415</v>
      </c>
      <c r="H81" s="23" t="s">
        <v>1414</v>
      </c>
      <c r="I81" s="23" t="s">
        <v>1304</v>
      </c>
      <c r="J81" s="23">
        <f t="shared" ca="1" si="9"/>
        <v>2</v>
      </c>
      <c r="K81" s="23">
        <f t="shared" ca="1" si="10"/>
        <v>13</v>
      </c>
      <c r="L81" s="222">
        <v>1523875</v>
      </c>
      <c r="M81" s="222">
        <v>1464317</v>
      </c>
      <c r="N81" s="222">
        <v>102099</v>
      </c>
      <c r="O81" s="222">
        <v>1362218</v>
      </c>
      <c r="P81" s="61" t="s">
        <v>1288</v>
      </c>
      <c r="Q81" s="23" t="s">
        <v>1289</v>
      </c>
    </row>
    <row r="82" spans="1:17">
      <c r="A82" s="23">
        <v>113</v>
      </c>
      <c r="B82" s="23" t="str">
        <f t="shared" si="7"/>
        <v>第3目白ハイツ</v>
      </c>
      <c r="C82" s="23">
        <v>403</v>
      </c>
      <c r="D82" s="23" t="str">
        <f t="shared" si="8"/>
        <v>有限会社コアプラス2号</v>
      </c>
      <c r="E82" s="23" t="s">
        <v>205</v>
      </c>
      <c r="F82" s="23" t="s">
        <v>752</v>
      </c>
      <c r="G82" s="23" t="s">
        <v>1416</v>
      </c>
      <c r="H82" s="23" t="s">
        <v>1417</v>
      </c>
      <c r="I82" s="23" t="s">
        <v>1304</v>
      </c>
      <c r="J82" s="23">
        <f t="shared" ca="1" si="9"/>
        <v>2</v>
      </c>
      <c r="K82" s="23">
        <f t="shared" ca="1" si="10"/>
        <v>13</v>
      </c>
      <c r="L82" s="222">
        <v>1732160</v>
      </c>
      <c r="M82" s="222">
        <v>1674133</v>
      </c>
      <c r="N82" s="222">
        <v>116054</v>
      </c>
      <c r="O82" s="222">
        <v>1558079</v>
      </c>
      <c r="P82" s="61" t="s">
        <v>1288</v>
      </c>
      <c r="Q82" s="23" t="s">
        <v>1289</v>
      </c>
    </row>
    <row r="83" spans="1:17">
      <c r="A83" s="23">
        <v>113</v>
      </c>
      <c r="B83" s="23" t="str">
        <f t="shared" si="7"/>
        <v>第3目白ハイツ</v>
      </c>
      <c r="C83" s="23">
        <v>403</v>
      </c>
      <c r="D83" s="23" t="str">
        <f t="shared" si="8"/>
        <v>有限会社コアプラス2号</v>
      </c>
      <c r="E83" s="23" t="s">
        <v>205</v>
      </c>
      <c r="F83" s="23" t="s">
        <v>752</v>
      </c>
      <c r="G83" s="23" t="s">
        <v>1418</v>
      </c>
      <c r="H83" s="23" t="s">
        <v>1417</v>
      </c>
      <c r="I83" s="23" t="s">
        <v>1304</v>
      </c>
      <c r="J83" s="23">
        <f t="shared" ca="1" si="9"/>
        <v>2</v>
      </c>
      <c r="K83" s="23">
        <f t="shared" ca="1" si="10"/>
        <v>13</v>
      </c>
      <c r="L83" s="222">
        <v>1903695</v>
      </c>
      <c r="M83" s="222">
        <v>1839922</v>
      </c>
      <c r="N83" s="222">
        <v>127547</v>
      </c>
      <c r="O83" s="222">
        <v>1712375</v>
      </c>
      <c r="P83" s="61" t="s">
        <v>1288</v>
      </c>
      <c r="Q83" s="23" t="s">
        <v>1289</v>
      </c>
    </row>
    <row r="84" spans="1:17">
      <c r="A84" s="23">
        <v>113</v>
      </c>
      <c r="B84" s="23" t="str">
        <f t="shared" si="7"/>
        <v>第3目白ハイツ</v>
      </c>
      <c r="C84" s="23">
        <v>403</v>
      </c>
      <c r="D84" s="23" t="str">
        <f t="shared" si="8"/>
        <v>有限会社コアプラス2号</v>
      </c>
      <c r="E84" s="23" t="s">
        <v>205</v>
      </c>
      <c r="F84" s="23" t="s">
        <v>752</v>
      </c>
      <c r="G84" s="23" t="s">
        <v>1419</v>
      </c>
      <c r="H84" s="23" t="s">
        <v>1420</v>
      </c>
      <c r="I84" s="23" t="s">
        <v>1304</v>
      </c>
      <c r="J84" s="23">
        <f t="shared" ca="1" si="9"/>
        <v>2</v>
      </c>
      <c r="K84" s="23">
        <f t="shared" ca="1" si="10"/>
        <v>13</v>
      </c>
      <c r="L84" s="222">
        <v>2371294</v>
      </c>
      <c r="M84" s="222">
        <v>2305096</v>
      </c>
      <c r="N84" s="222">
        <v>158876</v>
      </c>
      <c r="O84" s="222">
        <v>2146220</v>
      </c>
      <c r="P84" s="61" t="s">
        <v>1288</v>
      </c>
      <c r="Q84" s="23" t="s">
        <v>1289</v>
      </c>
    </row>
    <row r="85" spans="1:17">
      <c r="A85" s="23">
        <v>114</v>
      </c>
      <c r="B85" s="23" t="str">
        <f t="shared" si="7"/>
        <v>レジデンス目白豊島</v>
      </c>
      <c r="C85" s="23">
        <v>404</v>
      </c>
      <c r="D85" s="23" t="str">
        <f t="shared" si="8"/>
        <v>コアプラス大阪株式会社</v>
      </c>
      <c r="E85" s="23" t="s">
        <v>204</v>
      </c>
      <c r="F85" s="23" t="s">
        <v>752</v>
      </c>
      <c r="G85" s="23" t="s">
        <v>1421</v>
      </c>
      <c r="H85" s="23" t="s">
        <v>1422</v>
      </c>
      <c r="I85" s="23" t="s">
        <v>1319</v>
      </c>
      <c r="J85" s="23">
        <f t="shared" ca="1" si="9"/>
        <v>7</v>
      </c>
      <c r="K85" s="23">
        <f t="shared" ca="1" si="10"/>
        <v>19</v>
      </c>
      <c r="L85" s="222">
        <v>52665555</v>
      </c>
      <c r="M85" s="222">
        <v>41539960</v>
      </c>
      <c r="N85" s="222">
        <v>2053956</v>
      </c>
      <c r="O85" s="222">
        <v>39486004</v>
      </c>
      <c r="P85" s="61" t="s">
        <v>1281</v>
      </c>
      <c r="Q85" s="23" t="s">
        <v>1408</v>
      </c>
    </row>
    <row r="86" spans="1:17">
      <c r="A86" s="23">
        <v>114</v>
      </c>
      <c r="B86" s="23" t="str">
        <f t="shared" si="7"/>
        <v>レジデンス目白豊島</v>
      </c>
      <c r="C86" s="23">
        <v>404</v>
      </c>
      <c r="D86" s="23" t="str">
        <f t="shared" si="8"/>
        <v>コアプラス大阪株式会社</v>
      </c>
      <c r="E86" s="23" t="s">
        <v>202</v>
      </c>
      <c r="F86" s="23" t="s">
        <v>1283</v>
      </c>
      <c r="G86" s="23" t="s">
        <v>1421</v>
      </c>
      <c r="H86" s="23" t="s">
        <v>1422</v>
      </c>
      <c r="I86" s="23" t="s">
        <v>1284</v>
      </c>
      <c r="J86" s="23">
        <f t="shared" ca="1" si="9"/>
        <v>7</v>
      </c>
      <c r="K86" s="23" t="str">
        <f t="shared" si="10"/>
        <v/>
      </c>
      <c r="L86" s="222">
        <v>154821009</v>
      </c>
      <c r="M86" s="222">
        <v>154821009</v>
      </c>
      <c r="N86" s="222"/>
      <c r="O86" s="222">
        <v>154821009</v>
      </c>
      <c r="P86" s="61" t="s">
        <v>1281</v>
      </c>
    </row>
    <row r="87" spans="1:17">
      <c r="A87" s="23">
        <v>114</v>
      </c>
      <c r="B87" s="23" t="str">
        <f t="shared" si="7"/>
        <v>レジデンス目白豊島</v>
      </c>
      <c r="C87" s="23">
        <v>404</v>
      </c>
      <c r="D87" s="23" t="str">
        <f t="shared" si="8"/>
        <v>コアプラス大阪株式会社</v>
      </c>
      <c r="E87" s="23" t="s">
        <v>204</v>
      </c>
      <c r="F87" s="23" t="s">
        <v>752</v>
      </c>
      <c r="G87" s="23" t="s">
        <v>1423</v>
      </c>
      <c r="H87" s="23" t="s">
        <v>1389</v>
      </c>
      <c r="I87" s="23" t="s">
        <v>1319</v>
      </c>
      <c r="J87" s="23">
        <f t="shared" ca="1" si="9"/>
        <v>7</v>
      </c>
      <c r="K87" s="23">
        <f t="shared" ca="1" si="10"/>
        <v>19</v>
      </c>
      <c r="L87" s="222">
        <v>1550000</v>
      </c>
      <c r="M87" s="222">
        <v>1242713</v>
      </c>
      <c r="N87" s="222">
        <v>60450</v>
      </c>
      <c r="O87" s="222">
        <v>1182263</v>
      </c>
      <c r="P87" s="61" t="s">
        <v>1288</v>
      </c>
      <c r="Q87" s="23" t="s">
        <v>1289</v>
      </c>
    </row>
    <row r="88" spans="1:17">
      <c r="A88" s="23">
        <v>115</v>
      </c>
      <c r="B88" s="23" t="str">
        <f t="shared" si="7"/>
        <v>コアプラス大塚</v>
      </c>
      <c r="C88" s="23">
        <v>405</v>
      </c>
      <c r="D88" s="23" t="str">
        <f t="shared" si="8"/>
        <v>コアプラス仙台株式会社</v>
      </c>
      <c r="E88" s="23" t="s">
        <v>204</v>
      </c>
      <c r="F88" s="23" t="s">
        <v>752</v>
      </c>
      <c r="G88" s="23" t="s">
        <v>1424</v>
      </c>
      <c r="H88" s="23" t="s">
        <v>1425</v>
      </c>
      <c r="I88" s="23" t="s">
        <v>1426</v>
      </c>
      <c r="J88" s="23">
        <f t="shared" ca="1" si="9"/>
        <v>6</v>
      </c>
      <c r="K88" s="23">
        <f t="shared" ca="1" si="10"/>
        <v>27</v>
      </c>
      <c r="L88" s="222">
        <v>250772634</v>
      </c>
      <c r="M88" s="222">
        <v>213808751</v>
      </c>
      <c r="N88" s="222">
        <v>7773951</v>
      </c>
      <c r="O88" s="222">
        <v>206034800</v>
      </c>
      <c r="P88" s="61" t="s">
        <v>1281</v>
      </c>
      <c r="Q88" s="23" t="s">
        <v>1405</v>
      </c>
    </row>
    <row r="89" spans="1:17">
      <c r="A89" s="23">
        <v>115</v>
      </c>
      <c r="B89" s="23" t="str">
        <f t="shared" si="7"/>
        <v>コアプラス大塚</v>
      </c>
      <c r="C89" s="23">
        <v>405</v>
      </c>
      <c r="D89" s="23" t="str">
        <f t="shared" si="8"/>
        <v>コアプラス仙台株式会社</v>
      </c>
      <c r="E89" s="23" t="s">
        <v>202</v>
      </c>
      <c r="F89" s="23" t="s">
        <v>1283</v>
      </c>
      <c r="G89" s="23" t="s">
        <v>1424</v>
      </c>
      <c r="H89" s="23" t="s">
        <v>1425</v>
      </c>
      <c r="I89" s="23" t="s">
        <v>1284</v>
      </c>
      <c r="J89" s="23">
        <f t="shared" ca="1" si="9"/>
        <v>6</v>
      </c>
      <c r="K89" s="23" t="str">
        <f t="shared" si="10"/>
        <v/>
      </c>
      <c r="L89" s="222">
        <v>300927161</v>
      </c>
      <c r="M89" s="222">
        <v>300927161</v>
      </c>
      <c r="N89" s="222"/>
      <c r="O89" s="222">
        <v>300927161</v>
      </c>
      <c r="P89" s="61" t="s">
        <v>1281</v>
      </c>
      <c r="Q89" s="23" t="s">
        <v>1289</v>
      </c>
    </row>
    <row r="90" spans="1:17">
      <c r="A90" s="23">
        <v>116</v>
      </c>
      <c r="B90" s="23" t="str">
        <f t="shared" si="7"/>
        <v>コアプラスレジデンス梅田</v>
      </c>
      <c r="C90" s="23">
        <v>406</v>
      </c>
      <c r="D90" s="23" t="str">
        <f t="shared" si="8"/>
        <v>コアプラス札幌株式会社</v>
      </c>
      <c r="E90" s="23" t="s">
        <v>204</v>
      </c>
      <c r="F90" s="23" t="s">
        <v>752</v>
      </c>
      <c r="G90" s="23" t="s">
        <v>1427</v>
      </c>
      <c r="H90" s="23" t="s">
        <v>1428</v>
      </c>
      <c r="I90" s="23" t="s">
        <v>1429</v>
      </c>
      <c r="J90" s="23">
        <f t="shared" ca="1" si="9"/>
        <v>6</v>
      </c>
      <c r="K90" s="23">
        <f t="shared" ca="1" si="10"/>
        <v>19</v>
      </c>
      <c r="L90" s="222">
        <v>147620954</v>
      </c>
      <c r="M90" s="222">
        <v>119484401</v>
      </c>
      <c r="N90" s="222">
        <v>5904838</v>
      </c>
      <c r="O90" s="222">
        <v>113579563</v>
      </c>
      <c r="P90" s="61" t="s">
        <v>1281</v>
      </c>
      <c r="Q90" s="23" t="s">
        <v>1430</v>
      </c>
    </row>
    <row r="91" spans="1:17">
      <c r="A91" s="23">
        <v>116</v>
      </c>
      <c r="B91" s="23" t="str">
        <f t="shared" si="7"/>
        <v>コアプラスレジデンス梅田</v>
      </c>
      <c r="C91" s="23">
        <v>406</v>
      </c>
      <c r="D91" s="23" t="str">
        <f t="shared" si="8"/>
        <v>コアプラス札幌株式会社</v>
      </c>
      <c r="E91" s="23" t="s">
        <v>202</v>
      </c>
      <c r="F91" s="23" t="s">
        <v>1283</v>
      </c>
      <c r="G91" s="23" t="s">
        <v>1427</v>
      </c>
      <c r="H91" s="23" t="s">
        <v>1428</v>
      </c>
      <c r="I91" s="23" t="s">
        <v>1284</v>
      </c>
      <c r="J91" s="23">
        <f t="shared" ca="1" si="9"/>
        <v>6</v>
      </c>
      <c r="K91" s="23" t="str">
        <f t="shared" si="10"/>
        <v/>
      </c>
      <c r="L91" s="222">
        <v>211645475</v>
      </c>
      <c r="M91" s="222">
        <v>211645475</v>
      </c>
      <c r="N91" s="222"/>
      <c r="O91" s="222">
        <v>211645475</v>
      </c>
      <c r="P91" s="61" t="s">
        <v>1281</v>
      </c>
      <c r="Q91" s="23" t="s">
        <v>1289</v>
      </c>
    </row>
    <row r="92" spans="1:17">
      <c r="A92" s="23">
        <v>116</v>
      </c>
      <c r="B92" s="23" t="str">
        <f t="shared" si="7"/>
        <v>コアプラスレジデンス梅田</v>
      </c>
      <c r="C92" s="23">
        <v>406</v>
      </c>
      <c r="D92" s="23" t="str">
        <f t="shared" si="8"/>
        <v>コアプラス札幌株式会社</v>
      </c>
      <c r="E92" s="23" t="s">
        <v>204</v>
      </c>
      <c r="F92" s="23" t="s">
        <v>752</v>
      </c>
      <c r="G92" s="23" t="s">
        <v>1431</v>
      </c>
      <c r="H92" s="23" t="s">
        <v>1432</v>
      </c>
      <c r="I92" s="23" t="s">
        <v>1429</v>
      </c>
      <c r="J92" s="23">
        <f t="shared" ca="1" si="9"/>
        <v>6</v>
      </c>
      <c r="K92" s="23">
        <f t="shared" ca="1" si="10"/>
        <v>19</v>
      </c>
      <c r="L92" s="222">
        <v>22749200</v>
      </c>
      <c r="M92" s="222">
        <v>18722592</v>
      </c>
      <c r="N92" s="222">
        <v>909968</v>
      </c>
      <c r="O92" s="222">
        <v>17812624</v>
      </c>
      <c r="P92" s="61" t="s">
        <v>1288</v>
      </c>
      <c r="Q92" s="23" t="s">
        <v>1289</v>
      </c>
    </row>
    <row r="93" spans="1:17">
      <c r="A93" s="23">
        <v>116</v>
      </c>
      <c r="B93" s="23" t="str">
        <f t="shared" si="7"/>
        <v>コアプラスレジデンス梅田</v>
      </c>
      <c r="C93" s="23">
        <v>406</v>
      </c>
      <c r="D93" s="23" t="str">
        <f t="shared" si="8"/>
        <v>コアプラス札幌株式会社</v>
      </c>
      <c r="E93" s="23" t="s">
        <v>204</v>
      </c>
      <c r="F93" s="23" t="s">
        <v>752</v>
      </c>
      <c r="G93" s="23" t="s">
        <v>1433</v>
      </c>
      <c r="H93" s="23" t="s">
        <v>1434</v>
      </c>
      <c r="I93" s="23" t="s">
        <v>1304</v>
      </c>
      <c r="J93" s="23">
        <f t="shared" ca="1" si="9"/>
        <v>5</v>
      </c>
      <c r="K93" s="23">
        <f t="shared" ca="1" si="10"/>
        <v>10</v>
      </c>
      <c r="L93" s="222">
        <v>1089640</v>
      </c>
      <c r="M93" s="222">
        <v>815871</v>
      </c>
      <c r="N93" s="222">
        <v>73005</v>
      </c>
      <c r="O93" s="222">
        <v>742866</v>
      </c>
      <c r="P93" s="61" t="s">
        <v>1288</v>
      </c>
      <c r="Q93" s="23" t="s">
        <v>1289</v>
      </c>
    </row>
    <row r="94" spans="1:17">
      <c r="A94" s="23">
        <v>116</v>
      </c>
      <c r="B94" s="23" t="str">
        <f t="shared" si="7"/>
        <v>コアプラスレジデンス梅田</v>
      </c>
      <c r="C94" s="23">
        <v>406</v>
      </c>
      <c r="D94" s="23" t="str">
        <f t="shared" si="8"/>
        <v>コアプラス札幌株式会社</v>
      </c>
      <c r="E94" s="23" t="s">
        <v>203</v>
      </c>
      <c r="F94" s="23" t="s">
        <v>753</v>
      </c>
      <c r="G94" s="23" t="s">
        <v>1435</v>
      </c>
      <c r="H94" s="23" t="s">
        <v>1436</v>
      </c>
      <c r="I94" s="23" t="s">
        <v>1294</v>
      </c>
      <c r="J94" s="23">
        <f t="shared" ca="1" si="9"/>
        <v>4</v>
      </c>
      <c r="K94" s="23">
        <f t="shared" ca="1" si="10"/>
        <v>6</v>
      </c>
      <c r="L94" s="222">
        <v>778248</v>
      </c>
      <c r="M94" s="222">
        <v>415066</v>
      </c>
      <c r="N94" s="222">
        <v>83013</v>
      </c>
      <c r="O94" s="222">
        <v>332053</v>
      </c>
      <c r="P94" s="61" t="s">
        <v>1288</v>
      </c>
      <c r="Q94" s="23" t="s">
        <v>1289</v>
      </c>
    </row>
    <row r="95" spans="1:17">
      <c r="A95" s="23">
        <v>116</v>
      </c>
      <c r="B95" s="23" t="str">
        <f t="shared" si="7"/>
        <v>コアプラスレジデンス梅田</v>
      </c>
      <c r="C95" s="23">
        <v>406</v>
      </c>
      <c r="D95" s="23" t="str">
        <f t="shared" si="8"/>
        <v>コアプラス札幌株式会社</v>
      </c>
      <c r="E95" s="23" t="s">
        <v>204</v>
      </c>
      <c r="F95" s="23" t="s">
        <v>752</v>
      </c>
      <c r="G95" s="23" t="s">
        <v>1437</v>
      </c>
      <c r="H95" s="23" t="s">
        <v>1438</v>
      </c>
      <c r="I95" s="23" t="s">
        <v>1304</v>
      </c>
      <c r="J95" s="23">
        <f t="shared" ca="1" si="9"/>
        <v>4</v>
      </c>
      <c r="K95" s="23">
        <f t="shared" ca="1" si="10"/>
        <v>11</v>
      </c>
      <c r="L95" s="222">
        <v>229060</v>
      </c>
      <c r="M95" s="222">
        <v>188135</v>
      </c>
      <c r="N95" s="222">
        <v>15347</v>
      </c>
      <c r="O95" s="222">
        <v>172788</v>
      </c>
      <c r="P95" s="61" t="s">
        <v>1288</v>
      </c>
      <c r="Q95" s="23" t="s">
        <v>1289</v>
      </c>
    </row>
    <row r="96" spans="1:17">
      <c r="A96" s="23">
        <v>116</v>
      </c>
      <c r="B96" s="23" t="str">
        <f t="shared" si="7"/>
        <v>コアプラスレジデンス梅田</v>
      </c>
      <c r="C96" s="23">
        <v>406</v>
      </c>
      <c r="D96" s="23" t="str">
        <f t="shared" si="8"/>
        <v>コアプラス札幌株式会社</v>
      </c>
      <c r="E96" s="23" t="s">
        <v>204</v>
      </c>
      <c r="F96" s="23" t="s">
        <v>752</v>
      </c>
      <c r="G96" s="23" t="s">
        <v>1439</v>
      </c>
      <c r="H96" s="23" t="s">
        <v>1440</v>
      </c>
      <c r="I96" s="23" t="s">
        <v>1304</v>
      </c>
      <c r="J96" s="23">
        <f t="shared" ca="1" si="9"/>
        <v>4</v>
      </c>
      <c r="K96" s="23">
        <f t="shared" ca="1" si="10"/>
        <v>11</v>
      </c>
      <c r="L96" s="222">
        <v>533392</v>
      </c>
      <c r="M96" s="222">
        <v>444050</v>
      </c>
      <c r="N96" s="222">
        <v>35737</v>
      </c>
      <c r="O96" s="222">
        <v>408313</v>
      </c>
      <c r="P96" s="61" t="s">
        <v>1288</v>
      </c>
      <c r="Q96" s="23" t="s">
        <v>1289</v>
      </c>
    </row>
    <row r="97" spans="1:17">
      <c r="A97" s="23">
        <v>116</v>
      </c>
      <c r="B97" s="23" t="str">
        <f t="shared" si="7"/>
        <v>コアプラスレジデンス梅田</v>
      </c>
      <c r="C97" s="23">
        <v>406</v>
      </c>
      <c r="D97" s="23" t="str">
        <f t="shared" si="8"/>
        <v>コアプラス札幌株式会社</v>
      </c>
      <c r="E97" s="23" t="s">
        <v>204</v>
      </c>
      <c r="F97" s="23" t="s">
        <v>752</v>
      </c>
      <c r="G97" s="23" t="s">
        <v>1441</v>
      </c>
      <c r="H97" s="23" t="s">
        <v>1442</v>
      </c>
      <c r="I97" s="23" t="s">
        <v>1304</v>
      </c>
      <c r="J97" s="23">
        <f t="shared" ca="1" si="9"/>
        <v>4</v>
      </c>
      <c r="K97" s="23">
        <f t="shared" ca="1" si="10"/>
        <v>11</v>
      </c>
      <c r="L97" s="222">
        <v>703670</v>
      </c>
      <c r="M97" s="222">
        <v>601523</v>
      </c>
      <c r="N97" s="222">
        <v>47145</v>
      </c>
      <c r="O97" s="222">
        <v>554378</v>
      </c>
      <c r="P97" s="61" t="s">
        <v>1288</v>
      </c>
      <c r="Q97" s="23" t="s">
        <v>1289</v>
      </c>
    </row>
    <row r="98" spans="1:17">
      <c r="A98" s="23">
        <v>116</v>
      </c>
      <c r="B98" s="23" t="str">
        <f t="shared" si="7"/>
        <v>コアプラスレジデンス梅田</v>
      </c>
      <c r="C98" s="23">
        <v>406</v>
      </c>
      <c r="D98" s="23" t="str">
        <f t="shared" si="8"/>
        <v>コアプラス札幌株式会社</v>
      </c>
      <c r="E98" s="23" t="s">
        <v>204</v>
      </c>
      <c r="F98" s="23" t="s">
        <v>752</v>
      </c>
      <c r="G98" s="23" t="s">
        <v>1443</v>
      </c>
      <c r="H98" s="23" t="s">
        <v>1444</v>
      </c>
      <c r="I98" s="23" t="s">
        <v>1304</v>
      </c>
      <c r="J98" s="23">
        <f t="shared" ca="1" si="9"/>
        <v>4</v>
      </c>
      <c r="K98" s="23">
        <f t="shared" ca="1" si="10"/>
        <v>11</v>
      </c>
      <c r="L98" s="222">
        <v>565380</v>
      </c>
      <c r="M98" s="222">
        <v>486464</v>
      </c>
      <c r="N98" s="222">
        <v>37880</v>
      </c>
      <c r="O98" s="222">
        <v>448584</v>
      </c>
      <c r="P98" s="61" t="s">
        <v>1288</v>
      </c>
      <c r="Q98" s="23" t="s">
        <v>1289</v>
      </c>
    </row>
    <row r="99" spans="1:17">
      <c r="A99" s="23">
        <v>116</v>
      </c>
      <c r="B99" s="23" t="str">
        <f t="shared" si="7"/>
        <v>コアプラスレジデンス梅田</v>
      </c>
      <c r="C99" s="23">
        <v>406</v>
      </c>
      <c r="D99" s="23" t="str">
        <f t="shared" si="8"/>
        <v>コアプラス札幌株式会社</v>
      </c>
      <c r="E99" s="23" t="s">
        <v>204</v>
      </c>
      <c r="F99" s="23" t="s">
        <v>752</v>
      </c>
      <c r="G99" s="23" t="s">
        <v>1445</v>
      </c>
      <c r="H99" s="23" t="s">
        <v>1446</v>
      </c>
      <c r="I99" s="23" t="s">
        <v>1304</v>
      </c>
      <c r="J99" s="23">
        <f t="shared" ca="1" si="9"/>
        <v>4</v>
      </c>
      <c r="K99" s="23">
        <f t="shared" ca="1" si="10"/>
        <v>11</v>
      </c>
      <c r="L99" s="222">
        <v>746900</v>
      </c>
      <c r="M99" s="222">
        <v>642646</v>
      </c>
      <c r="N99" s="222">
        <v>50042</v>
      </c>
      <c r="O99" s="222">
        <v>592604</v>
      </c>
      <c r="P99" s="61" t="s">
        <v>1288</v>
      </c>
      <c r="Q99" s="23" t="s">
        <v>1289</v>
      </c>
    </row>
    <row r="100" spans="1:17">
      <c r="A100" s="23">
        <v>116</v>
      </c>
      <c r="B100" s="23" t="str">
        <f t="shared" si="7"/>
        <v>コアプラスレジデンス梅田</v>
      </c>
      <c r="C100" s="23">
        <v>406</v>
      </c>
      <c r="D100" s="23" t="str">
        <f t="shared" si="8"/>
        <v>コアプラス札幌株式会社</v>
      </c>
      <c r="E100" s="23" t="s">
        <v>205</v>
      </c>
      <c r="F100" s="23" t="s">
        <v>752</v>
      </c>
      <c r="G100" s="23" t="s">
        <v>1447</v>
      </c>
      <c r="H100" s="23" t="s">
        <v>1448</v>
      </c>
      <c r="I100" s="23" t="s">
        <v>1304</v>
      </c>
      <c r="J100" s="23">
        <f t="shared" ca="1" si="9"/>
        <v>2</v>
      </c>
      <c r="K100" s="23">
        <f t="shared" ca="1" si="10"/>
        <v>13</v>
      </c>
      <c r="L100" s="222">
        <v>182050</v>
      </c>
      <c r="M100" s="222">
        <v>169853</v>
      </c>
      <c r="N100" s="222">
        <v>12197</v>
      </c>
      <c r="O100" s="222">
        <v>157656</v>
      </c>
      <c r="P100" s="61" t="s">
        <v>1288</v>
      </c>
      <c r="Q100" s="23" t="s">
        <v>1289</v>
      </c>
    </row>
    <row r="101" spans="1:17">
      <c r="A101" s="23">
        <v>116</v>
      </c>
      <c r="B101" s="23" t="str">
        <f t="shared" ref="B101:B132" si="11">VLOOKUP(A101,id_settings,2,FALSE)</f>
        <v>コアプラスレジデンス梅田</v>
      </c>
      <c r="C101" s="23">
        <v>406</v>
      </c>
      <c r="D101" s="23" t="str">
        <f t="shared" ref="D101:D132" si="12">VLOOKUP(C101,id_settings,2,FALSE)</f>
        <v>コアプラス札幌株式会社</v>
      </c>
      <c r="E101" s="23" t="s">
        <v>205</v>
      </c>
      <c r="F101" s="23" t="s">
        <v>752</v>
      </c>
      <c r="G101" s="23" t="s">
        <v>1449</v>
      </c>
      <c r="H101" s="23" t="s">
        <v>1450</v>
      </c>
      <c r="I101" s="23" t="s">
        <v>1304</v>
      </c>
      <c r="J101" s="23">
        <f t="shared" ref="J101:J132" ca="1" si="13">current_year-LEFT(H101,4)</f>
        <v>2</v>
      </c>
      <c r="K101" s="23">
        <f t="shared" ca="1" si="10"/>
        <v>13</v>
      </c>
      <c r="L101" s="222">
        <v>1050341</v>
      </c>
      <c r="M101" s="222">
        <v>985833</v>
      </c>
      <c r="N101" s="222">
        <v>70372</v>
      </c>
      <c r="O101" s="222">
        <v>915461</v>
      </c>
      <c r="P101" s="61" t="s">
        <v>1288</v>
      </c>
      <c r="Q101" s="23" t="s">
        <v>1289</v>
      </c>
    </row>
    <row r="102" spans="1:17">
      <c r="A102" s="23">
        <v>116</v>
      </c>
      <c r="B102" s="23" t="str">
        <f t="shared" si="11"/>
        <v>コアプラスレジデンス梅田</v>
      </c>
      <c r="C102" s="23">
        <v>406</v>
      </c>
      <c r="D102" s="23" t="str">
        <f t="shared" si="12"/>
        <v>コアプラス札幌株式会社</v>
      </c>
      <c r="E102" s="23" t="s">
        <v>205</v>
      </c>
      <c r="F102" s="23" t="s">
        <v>752</v>
      </c>
      <c r="G102" s="23" t="s">
        <v>1451</v>
      </c>
      <c r="H102" s="23" t="s">
        <v>1450</v>
      </c>
      <c r="I102" s="23" t="s">
        <v>1304</v>
      </c>
      <c r="J102" s="23">
        <f t="shared" ca="1" si="13"/>
        <v>2</v>
      </c>
      <c r="K102" s="23">
        <f t="shared" ca="1" si="10"/>
        <v>13</v>
      </c>
      <c r="L102" s="222">
        <v>251900</v>
      </c>
      <c r="M102" s="222">
        <v>236430</v>
      </c>
      <c r="N102" s="222">
        <v>16877</v>
      </c>
      <c r="O102" s="222">
        <v>219553</v>
      </c>
      <c r="P102" s="61" t="s">
        <v>1288</v>
      </c>
      <c r="Q102" s="23" t="s">
        <v>1289</v>
      </c>
    </row>
    <row r="103" spans="1:17">
      <c r="A103" s="23">
        <v>116</v>
      </c>
      <c r="B103" s="23" t="str">
        <f t="shared" si="11"/>
        <v>コアプラスレジデンス梅田</v>
      </c>
      <c r="C103" s="23">
        <v>406</v>
      </c>
      <c r="D103" s="23" t="str">
        <f t="shared" si="12"/>
        <v>コアプラス札幌株式会社</v>
      </c>
      <c r="E103" s="23" t="s">
        <v>205</v>
      </c>
      <c r="F103" s="23" t="s">
        <v>752</v>
      </c>
      <c r="G103" s="23" t="s">
        <v>1445</v>
      </c>
      <c r="H103" s="23" t="s">
        <v>1452</v>
      </c>
      <c r="I103" s="23" t="s">
        <v>1304</v>
      </c>
      <c r="J103" s="23">
        <f t="shared" ca="1" si="13"/>
        <v>2</v>
      </c>
      <c r="K103" s="23">
        <f t="shared" ca="1" si="10"/>
        <v>13</v>
      </c>
      <c r="L103" s="222">
        <v>327119</v>
      </c>
      <c r="M103" s="222">
        <v>312508</v>
      </c>
      <c r="N103" s="222">
        <v>21916</v>
      </c>
      <c r="O103" s="222">
        <v>290592</v>
      </c>
      <c r="P103" s="61" t="s">
        <v>1288</v>
      </c>
      <c r="Q103" s="23" t="s">
        <v>1289</v>
      </c>
    </row>
    <row r="104" spans="1:17">
      <c r="A104" s="23">
        <v>116</v>
      </c>
      <c r="B104" s="23" t="str">
        <f t="shared" si="11"/>
        <v>コアプラスレジデンス梅田</v>
      </c>
      <c r="C104" s="23">
        <v>406</v>
      </c>
      <c r="D104" s="23" t="str">
        <f t="shared" si="12"/>
        <v>コアプラス札幌株式会社</v>
      </c>
      <c r="E104" s="23" t="s">
        <v>205</v>
      </c>
      <c r="F104" s="23" t="s">
        <v>752</v>
      </c>
      <c r="G104" s="23" t="s">
        <v>1441</v>
      </c>
      <c r="H104" s="23" t="s">
        <v>1453</v>
      </c>
      <c r="I104" s="23" t="s">
        <v>1304</v>
      </c>
      <c r="J104" s="23">
        <f t="shared" ca="1" si="13"/>
        <v>2</v>
      </c>
      <c r="K104" s="23">
        <f t="shared" ca="1" si="10"/>
        <v>13</v>
      </c>
      <c r="L104" s="222">
        <v>557902</v>
      </c>
      <c r="M104" s="222">
        <v>536098</v>
      </c>
      <c r="N104" s="222">
        <v>37379</v>
      </c>
      <c r="O104" s="222">
        <v>498719</v>
      </c>
      <c r="P104" s="61" t="s">
        <v>1288</v>
      </c>
      <c r="Q104" s="23" t="s">
        <v>1289</v>
      </c>
    </row>
    <row r="105" spans="1:17">
      <c r="A105" s="23">
        <v>116</v>
      </c>
      <c r="B105" s="23" t="str">
        <f t="shared" si="11"/>
        <v>コアプラスレジデンス梅田</v>
      </c>
      <c r="C105" s="23">
        <v>406</v>
      </c>
      <c r="D105" s="23" t="str">
        <f t="shared" si="12"/>
        <v>コアプラス札幌株式会社</v>
      </c>
      <c r="E105" s="23" t="s">
        <v>205</v>
      </c>
      <c r="F105" s="23" t="s">
        <v>752</v>
      </c>
      <c r="G105" s="23" t="s">
        <v>1439</v>
      </c>
      <c r="H105" s="23" t="s">
        <v>1420</v>
      </c>
      <c r="I105" s="23" t="s">
        <v>1304</v>
      </c>
      <c r="J105" s="23">
        <f t="shared" ca="1" si="13"/>
        <v>2</v>
      </c>
      <c r="K105" s="23">
        <f t="shared" ca="1" si="10"/>
        <v>13</v>
      </c>
      <c r="L105" s="222">
        <v>115500</v>
      </c>
      <c r="M105" s="222">
        <v>112276</v>
      </c>
      <c r="N105" s="222">
        <v>7738</v>
      </c>
      <c r="O105" s="222">
        <v>104538</v>
      </c>
      <c r="P105" s="61" t="s">
        <v>1288</v>
      </c>
      <c r="Q105" s="23" t="s">
        <v>1289</v>
      </c>
    </row>
    <row r="106" spans="1:17">
      <c r="A106" s="23">
        <v>116</v>
      </c>
      <c r="B106" s="23" t="str">
        <f t="shared" si="11"/>
        <v>コアプラスレジデンス梅田</v>
      </c>
      <c r="C106" s="23">
        <v>406</v>
      </c>
      <c r="D106" s="23" t="str">
        <f t="shared" si="12"/>
        <v>コアプラス札幌株式会社</v>
      </c>
      <c r="E106" s="23" t="s">
        <v>205</v>
      </c>
      <c r="F106" s="23" t="s">
        <v>752</v>
      </c>
      <c r="G106" s="23" t="s">
        <v>1454</v>
      </c>
      <c r="H106" s="23" t="s">
        <v>1420</v>
      </c>
      <c r="I106" s="23" t="s">
        <v>1304</v>
      </c>
      <c r="J106" s="23">
        <f t="shared" ca="1" si="13"/>
        <v>2</v>
      </c>
      <c r="K106" s="23">
        <f t="shared" ca="1" si="10"/>
        <v>13</v>
      </c>
      <c r="L106" s="222">
        <v>149050</v>
      </c>
      <c r="M106" s="222">
        <v>144890</v>
      </c>
      <c r="N106" s="222">
        <v>9986</v>
      </c>
      <c r="O106" s="222">
        <v>134904</v>
      </c>
      <c r="P106" s="61" t="s">
        <v>1288</v>
      </c>
      <c r="Q106" s="23" t="s">
        <v>1289</v>
      </c>
    </row>
    <row r="107" spans="1:17">
      <c r="A107" s="23">
        <v>116</v>
      </c>
      <c r="B107" s="23" t="str">
        <f t="shared" si="11"/>
        <v>コアプラスレジデンス梅田</v>
      </c>
      <c r="C107" s="23">
        <v>406</v>
      </c>
      <c r="D107" s="23" t="str">
        <f t="shared" si="12"/>
        <v>コアプラス札幌株式会社</v>
      </c>
      <c r="E107" s="23" t="s">
        <v>205</v>
      </c>
      <c r="F107" s="23" t="s">
        <v>752</v>
      </c>
      <c r="G107" s="23" t="s">
        <v>1455</v>
      </c>
      <c r="H107" s="23" t="s">
        <v>1456</v>
      </c>
      <c r="I107" s="23" t="s">
        <v>1304</v>
      </c>
      <c r="J107" s="23">
        <f t="shared" ca="1" si="13"/>
        <v>2</v>
      </c>
      <c r="K107" s="23">
        <f t="shared" ca="1" si="10"/>
        <v>13</v>
      </c>
      <c r="L107" s="222">
        <v>616000</v>
      </c>
      <c r="M107" s="222">
        <v>602243</v>
      </c>
      <c r="N107" s="222">
        <v>41272</v>
      </c>
      <c r="O107" s="222">
        <v>560971</v>
      </c>
      <c r="P107" s="61" t="s">
        <v>1288</v>
      </c>
      <c r="Q107" s="23" t="s">
        <v>1289</v>
      </c>
    </row>
    <row r="108" spans="1:17">
      <c r="A108" s="23">
        <v>116</v>
      </c>
      <c r="B108" s="23" t="str">
        <f t="shared" si="11"/>
        <v>コアプラスレジデンス梅田</v>
      </c>
      <c r="C108" s="23">
        <v>406</v>
      </c>
      <c r="D108" s="23" t="str">
        <f t="shared" si="12"/>
        <v>コアプラス札幌株式会社</v>
      </c>
      <c r="E108" s="23" t="s">
        <v>205</v>
      </c>
      <c r="F108" s="23" t="s">
        <v>752</v>
      </c>
      <c r="G108" s="23" t="s">
        <v>1457</v>
      </c>
      <c r="H108" s="23" t="s">
        <v>1458</v>
      </c>
      <c r="I108" s="23" t="s">
        <v>1304</v>
      </c>
      <c r="J108" s="23">
        <f t="shared" ca="1" si="13"/>
        <v>2</v>
      </c>
      <c r="K108" s="23">
        <f t="shared" ca="1" si="10"/>
        <v>13</v>
      </c>
      <c r="L108" s="222">
        <v>156530</v>
      </c>
      <c r="M108" s="222">
        <v>153909</v>
      </c>
      <c r="N108" s="222">
        <v>10487</v>
      </c>
      <c r="O108" s="222">
        <v>143422</v>
      </c>
      <c r="P108" s="61" t="s">
        <v>1288</v>
      </c>
      <c r="Q108" s="23" t="s">
        <v>1289</v>
      </c>
    </row>
    <row r="109" spans="1:17">
      <c r="A109" s="23">
        <v>116</v>
      </c>
      <c r="B109" s="23" t="str">
        <f t="shared" si="11"/>
        <v>コアプラスレジデンス梅田</v>
      </c>
      <c r="C109" s="23">
        <v>406</v>
      </c>
      <c r="D109" s="23" t="str">
        <f t="shared" si="12"/>
        <v>コアプラス札幌株式会社</v>
      </c>
      <c r="E109" s="23" t="s">
        <v>205</v>
      </c>
      <c r="F109" s="23" t="s">
        <v>752</v>
      </c>
      <c r="G109" s="23" t="s">
        <v>1433</v>
      </c>
      <c r="H109" s="23" t="s">
        <v>1459</v>
      </c>
      <c r="I109" s="23" t="s">
        <v>1304</v>
      </c>
      <c r="J109" s="23">
        <f t="shared" ca="1" si="13"/>
        <v>2</v>
      </c>
      <c r="K109" s="23">
        <f t="shared" ca="1" si="10"/>
        <v>13</v>
      </c>
      <c r="L109" s="222">
        <v>2064159</v>
      </c>
      <c r="M109" s="222">
        <v>2052635</v>
      </c>
      <c r="N109" s="222">
        <v>138298</v>
      </c>
      <c r="O109" s="222">
        <v>1914337</v>
      </c>
      <c r="P109" s="61" t="s">
        <v>1288</v>
      </c>
      <c r="Q109" s="23" t="s">
        <v>1289</v>
      </c>
    </row>
    <row r="110" spans="1:17">
      <c r="A110" s="23">
        <v>116</v>
      </c>
      <c r="B110" s="23" t="str">
        <f t="shared" si="11"/>
        <v>コアプラスレジデンス梅田</v>
      </c>
      <c r="C110" s="23">
        <v>406</v>
      </c>
      <c r="D110" s="23" t="str">
        <f t="shared" si="12"/>
        <v>コアプラス札幌株式会社</v>
      </c>
      <c r="E110" s="23" t="s">
        <v>205</v>
      </c>
      <c r="F110" s="23" t="s">
        <v>752</v>
      </c>
      <c r="G110" s="23" t="s">
        <v>1443</v>
      </c>
      <c r="H110" s="23" t="s">
        <v>1459</v>
      </c>
      <c r="I110" s="23" t="s">
        <v>1304</v>
      </c>
      <c r="J110" s="23">
        <f t="shared" ca="1" si="13"/>
        <v>2</v>
      </c>
      <c r="K110" s="23">
        <f t="shared" ca="1" si="10"/>
        <v>13</v>
      </c>
      <c r="L110" s="222">
        <v>2382841</v>
      </c>
      <c r="M110" s="222">
        <v>2369537</v>
      </c>
      <c r="N110" s="222">
        <v>159650</v>
      </c>
      <c r="O110" s="222">
        <v>2209887</v>
      </c>
      <c r="P110" s="61" t="s">
        <v>1288</v>
      </c>
      <c r="Q110" s="23" t="s">
        <v>1289</v>
      </c>
    </row>
    <row r="111" spans="1:17">
      <c r="A111" s="23">
        <v>116</v>
      </c>
      <c r="B111" s="23" t="str">
        <f t="shared" si="11"/>
        <v>コアプラスレジデンス梅田</v>
      </c>
      <c r="C111" s="23">
        <v>406</v>
      </c>
      <c r="D111" s="23" t="str">
        <f t="shared" si="12"/>
        <v>コアプラス札幌株式会社</v>
      </c>
      <c r="E111" s="23" t="s">
        <v>205</v>
      </c>
      <c r="F111" s="23" t="s">
        <v>752</v>
      </c>
      <c r="G111" s="23" t="s">
        <v>1460</v>
      </c>
      <c r="H111" s="23" t="s">
        <v>1459</v>
      </c>
      <c r="I111" s="23" t="s">
        <v>1304</v>
      </c>
      <c r="J111" s="23">
        <f t="shared" ca="1" si="13"/>
        <v>2</v>
      </c>
      <c r="K111" s="23">
        <f t="shared" ca="1" si="10"/>
        <v>13</v>
      </c>
      <c r="L111" s="222">
        <v>2679411</v>
      </c>
      <c r="M111" s="222">
        <v>2664451</v>
      </c>
      <c r="N111" s="222">
        <v>179520</v>
      </c>
      <c r="O111" s="222">
        <v>2484931</v>
      </c>
      <c r="P111" s="61" t="s">
        <v>1288</v>
      </c>
      <c r="Q111" s="23" t="s">
        <v>1289</v>
      </c>
    </row>
    <row r="112" spans="1:17">
      <c r="A112" s="23">
        <v>117</v>
      </c>
      <c r="B112" s="23" t="str">
        <f t="shared" si="11"/>
        <v>高田馬場第4玉川ビル</v>
      </c>
      <c r="C112" s="23">
        <v>407</v>
      </c>
      <c r="D112" s="23" t="str">
        <f t="shared" si="12"/>
        <v>コアプラス福岡株式会社</v>
      </c>
      <c r="E112" s="23" t="s">
        <v>204</v>
      </c>
      <c r="F112" s="23" t="s">
        <v>752</v>
      </c>
      <c r="G112" s="23" t="s">
        <v>1461</v>
      </c>
      <c r="H112" s="23" t="s">
        <v>1432</v>
      </c>
      <c r="I112" s="23" t="s">
        <v>1381</v>
      </c>
      <c r="J112" s="23">
        <f t="shared" ca="1" si="13"/>
        <v>6</v>
      </c>
      <c r="K112" s="23">
        <f t="shared" ca="1" si="10"/>
        <v>3</v>
      </c>
      <c r="L112" s="222">
        <v>24151178</v>
      </c>
      <c r="M112" s="222">
        <v>12204400</v>
      </c>
      <c r="N112" s="222">
        <v>2704931</v>
      </c>
      <c r="O112" s="222">
        <v>9499469</v>
      </c>
      <c r="P112" s="61" t="s">
        <v>1281</v>
      </c>
      <c r="Q112" s="23" t="s">
        <v>1462</v>
      </c>
    </row>
    <row r="113" spans="1:17">
      <c r="A113" s="23">
        <v>117</v>
      </c>
      <c r="B113" s="23" t="str">
        <f t="shared" si="11"/>
        <v>高田馬場第4玉川ビル</v>
      </c>
      <c r="C113" s="23">
        <v>407</v>
      </c>
      <c r="D113" s="23" t="str">
        <f t="shared" si="12"/>
        <v>コアプラス福岡株式会社</v>
      </c>
      <c r="E113" s="23" t="s">
        <v>202</v>
      </c>
      <c r="F113" s="23" t="s">
        <v>1283</v>
      </c>
      <c r="G113" s="23" t="s">
        <v>1461</v>
      </c>
      <c r="H113" s="23" t="s">
        <v>1432</v>
      </c>
      <c r="I113" s="23" t="s">
        <v>1284</v>
      </c>
      <c r="J113" s="23">
        <f t="shared" ca="1" si="13"/>
        <v>6</v>
      </c>
      <c r="K113" s="23" t="str">
        <f t="shared" si="10"/>
        <v/>
      </c>
      <c r="L113" s="222">
        <v>113543242</v>
      </c>
      <c r="M113" s="222">
        <v>113543242</v>
      </c>
      <c r="N113" s="222"/>
      <c r="O113" s="222">
        <v>113543242</v>
      </c>
      <c r="P113" s="61" t="s">
        <v>1281</v>
      </c>
    </row>
    <row r="114" spans="1:17">
      <c r="A114" s="23">
        <v>117</v>
      </c>
      <c r="B114" s="23" t="str">
        <f t="shared" si="11"/>
        <v>高田馬場第4玉川ビル</v>
      </c>
      <c r="C114" s="23">
        <v>407</v>
      </c>
      <c r="D114" s="23" t="str">
        <f t="shared" si="12"/>
        <v>コアプラス福岡株式会社</v>
      </c>
      <c r="E114" s="23" t="s">
        <v>205</v>
      </c>
      <c r="F114" s="23" t="s">
        <v>752</v>
      </c>
      <c r="G114" s="23" t="s">
        <v>1461</v>
      </c>
      <c r="H114" s="23" t="s">
        <v>1463</v>
      </c>
      <c r="I114" s="23" t="s">
        <v>1304</v>
      </c>
      <c r="J114" s="23">
        <f t="shared" ca="1" si="13"/>
        <v>5</v>
      </c>
      <c r="K114" s="23">
        <f t="shared" ca="1" si="10"/>
        <v>10</v>
      </c>
      <c r="L114" s="222">
        <v>1620000</v>
      </c>
      <c r="M114" s="222">
        <v>1203930</v>
      </c>
      <c r="N114" s="222">
        <v>108540</v>
      </c>
      <c r="O114" s="222">
        <v>1095390</v>
      </c>
      <c r="P114" s="61" t="s">
        <v>1288</v>
      </c>
      <c r="Q114" s="23" t="s">
        <v>1464</v>
      </c>
    </row>
    <row r="115" spans="1:17">
      <c r="A115" s="23">
        <v>117</v>
      </c>
      <c r="B115" s="23" t="str">
        <f t="shared" si="11"/>
        <v>高田馬場第4玉川ビル</v>
      </c>
      <c r="C115" s="23">
        <v>407</v>
      </c>
      <c r="D115" s="23" t="str">
        <f t="shared" si="12"/>
        <v>コアプラス福岡株式会社</v>
      </c>
      <c r="E115" s="23" t="s">
        <v>205</v>
      </c>
      <c r="F115" s="23" t="s">
        <v>752</v>
      </c>
      <c r="G115" s="23" t="s">
        <v>1461</v>
      </c>
      <c r="H115" s="23" t="s">
        <v>1465</v>
      </c>
      <c r="I115" s="23" t="s">
        <v>1304</v>
      </c>
      <c r="J115" s="23">
        <f t="shared" ca="1" si="13"/>
        <v>2</v>
      </c>
      <c r="K115" s="23">
        <f t="shared" ca="1" si="10"/>
        <v>13</v>
      </c>
      <c r="L115" s="222">
        <v>299434</v>
      </c>
      <c r="M115" s="222">
        <v>279372</v>
      </c>
      <c r="N115" s="222">
        <v>20062</v>
      </c>
      <c r="O115" s="222">
        <v>259310</v>
      </c>
      <c r="P115" s="61" t="s">
        <v>1288</v>
      </c>
      <c r="Q115" s="23" t="s">
        <v>1466</v>
      </c>
    </row>
    <row r="116" spans="1:17">
      <c r="A116" s="23">
        <v>117</v>
      </c>
      <c r="B116" s="23" t="str">
        <f t="shared" si="11"/>
        <v>高田馬場第4玉川ビル</v>
      </c>
      <c r="C116" s="23">
        <v>407</v>
      </c>
      <c r="D116" s="23" t="str">
        <f t="shared" si="12"/>
        <v>コアプラス福岡株式会社</v>
      </c>
      <c r="E116" s="23" t="s">
        <v>205</v>
      </c>
      <c r="F116" s="23" t="s">
        <v>752</v>
      </c>
      <c r="G116" s="23" t="s">
        <v>1461</v>
      </c>
      <c r="H116" s="23" t="s">
        <v>1465</v>
      </c>
      <c r="I116" s="23" t="s">
        <v>1304</v>
      </c>
      <c r="J116" s="23">
        <f t="shared" ca="1" si="13"/>
        <v>2</v>
      </c>
      <c r="K116" s="23">
        <f t="shared" ca="1" si="10"/>
        <v>13</v>
      </c>
      <c r="L116" s="222">
        <v>577426</v>
      </c>
      <c r="M116" s="222">
        <v>538739</v>
      </c>
      <c r="N116" s="222">
        <v>38687</v>
      </c>
      <c r="O116" s="222">
        <v>500052</v>
      </c>
      <c r="P116" s="61" t="s">
        <v>1288</v>
      </c>
      <c r="Q116" s="23" t="s">
        <v>1467</v>
      </c>
    </row>
    <row r="117" spans="1:17">
      <c r="A117" s="23">
        <v>117</v>
      </c>
      <c r="B117" s="23" t="str">
        <f t="shared" si="11"/>
        <v>高田馬場第4玉川ビル</v>
      </c>
      <c r="C117" s="23">
        <v>407</v>
      </c>
      <c r="D117" s="23" t="str">
        <f t="shared" si="12"/>
        <v>コアプラス福岡株式会社</v>
      </c>
      <c r="E117" s="23" t="s">
        <v>205</v>
      </c>
      <c r="F117" s="23" t="s">
        <v>752</v>
      </c>
      <c r="G117" s="23" t="s">
        <v>1461</v>
      </c>
      <c r="H117" s="23" t="s">
        <v>1468</v>
      </c>
      <c r="I117" s="23" t="s">
        <v>1304</v>
      </c>
      <c r="J117" s="23">
        <f t="shared" ca="1" si="13"/>
        <v>2</v>
      </c>
      <c r="K117" s="23">
        <f t="shared" ca="1" si="10"/>
        <v>13</v>
      </c>
      <c r="L117" s="222">
        <v>419912</v>
      </c>
      <c r="M117" s="222">
        <v>396467</v>
      </c>
      <c r="N117" s="222">
        <v>28134</v>
      </c>
      <c r="O117" s="222">
        <v>368333</v>
      </c>
      <c r="P117" s="61" t="s">
        <v>1288</v>
      </c>
      <c r="Q117" s="23" t="s">
        <v>1469</v>
      </c>
    </row>
    <row r="118" spans="1:17">
      <c r="A118" s="23">
        <v>117</v>
      </c>
      <c r="B118" s="23" t="str">
        <f t="shared" si="11"/>
        <v>高田馬場第4玉川ビル</v>
      </c>
      <c r="C118" s="23">
        <v>407</v>
      </c>
      <c r="D118" s="23" t="str">
        <f t="shared" si="12"/>
        <v>コアプラス福岡株式会社</v>
      </c>
      <c r="E118" s="23" t="s">
        <v>205</v>
      </c>
      <c r="F118" s="23" t="s">
        <v>752</v>
      </c>
      <c r="G118" s="23" t="s">
        <v>1461</v>
      </c>
      <c r="H118" s="23" t="s">
        <v>1470</v>
      </c>
      <c r="I118" s="23" t="s">
        <v>1304</v>
      </c>
      <c r="J118" s="23">
        <f t="shared" ca="1" si="13"/>
        <v>2</v>
      </c>
      <c r="K118" s="23">
        <f t="shared" ca="1" si="10"/>
        <v>13</v>
      </c>
      <c r="L118" s="222">
        <v>758872</v>
      </c>
      <c r="M118" s="222">
        <v>754635</v>
      </c>
      <c r="N118" s="222">
        <v>50844</v>
      </c>
      <c r="O118" s="222">
        <v>703791</v>
      </c>
      <c r="P118" s="61" t="s">
        <v>1288</v>
      </c>
      <c r="Q118" s="23" t="s">
        <v>1471</v>
      </c>
    </row>
    <row r="119" spans="1:17">
      <c r="A119" s="23">
        <v>120</v>
      </c>
      <c r="B119" s="23" t="str">
        <f t="shared" si="11"/>
        <v>南池袋マンション</v>
      </c>
      <c r="C119" s="23">
        <v>408</v>
      </c>
      <c r="D119" s="23" t="str">
        <f t="shared" si="12"/>
        <v>コアプラス京都株式会社</v>
      </c>
      <c r="E119" s="23" t="s">
        <v>204</v>
      </c>
      <c r="F119" s="23" t="s">
        <v>752</v>
      </c>
      <c r="G119" s="23" t="s">
        <v>1472</v>
      </c>
      <c r="H119" s="23" t="s">
        <v>1473</v>
      </c>
      <c r="I119" s="23" t="s">
        <v>1297</v>
      </c>
      <c r="J119" s="23">
        <f t="shared" ca="1" si="13"/>
        <v>5</v>
      </c>
      <c r="K119" s="23">
        <f t="shared" ca="1" si="10"/>
        <v>19</v>
      </c>
      <c r="L119" s="222">
        <v>33588101</v>
      </c>
      <c r="M119" s="222">
        <v>27945301</v>
      </c>
      <c r="N119" s="222">
        <v>1410700</v>
      </c>
      <c r="O119" s="222">
        <v>26534601</v>
      </c>
      <c r="P119" s="61" t="s">
        <v>1281</v>
      </c>
      <c r="Q119" s="23" t="s">
        <v>1298</v>
      </c>
    </row>
    <row r="120" spans="1:17">
      <c r="A120" s="23">
        <v>120</v>
      </c>
      <c r="B120" s="23" t="str">
        <f t="shared" si="11"/>
        <v>南池袋マンション</v>
      </c>
      <c r="C120" s="23">
        <v>408</v>
      </c>
      <c r="D120" s="23" t="str">
        <f t="shared" si="12"/>
        <v>コアプラス京都株式会社</v>
      </c>
      <c r="E120" s="23" t="s">
        <v>202</v>
      </c>
      <c r="F120" s="23" t="s">
        <v>1283</v>
      </c>
      <c r="G120" s="23" t="s">
        <v>1472</v>
      </c>
      <c r="H120" s="23" t="s">
        <v>1473</v>
      </c>
      <c r="I120" s="23" t="s">
        <v>1284</v>
      </c>
      <c r="J120" s="23">
        <f t="shared" ca="1" si="13"/>
        <v>5</v>
      </c>
      <c r="K120" s="23" t="str">
        <f t="shared" si="10"/>
        <v/>
      </c>
      <c r="L120" s="222">
        <v>120828203</v>
      </c>
      <c r="M120" s="222">
        <v>120828203</v>
      </c>
      <c r="N120" s="222"/>
      <c r="O120" s="222">
        <v>120828203</v>
      </c>
      <c r="P120" s="61" t="s">
        <v>1281</v>
      </c>
    </row>
    <row r="121" spans="1:17">
      <c r="A121" s="23">
        <v>120</v>
      </c>
      <c r="B121" s="23" t="str">
        <f t="shared" si="11"/>
        <v>南池袋マンション</v>
      </c>
      <c r="C121" s="23">
        <v>408</v>
      </c>
      <c r="D121" s="23" t="str">
        <f t="shared" si="12"/>
        <v>コアプラス京都株式会社</v>
      </c>
      <c r="E121" s="23" t="s">
        <v>205</v>
      </c>
      <c r="F121" s="23" t="s">
        <v>752</v>
      </c>
      <c r="G121" s="23" t="s">
        <v>1472</v>
      </c>
      <c r="H121" s="23" t="s">
        <v>1474</v>
      </c>
      <c r="I121" s="23" t="s">
        <v>1304</v>
      </c>
      <c r="J121" s="23">
        <f t="shared" ca="1" si="13"/>
        <v>5</v>
      </c>
      <c r="K121" s="23">
        <f t="shared" ca="1" si="10"/>
        <v>10</v>
      </c>
      <c r="L121" s="222">
        <v>3390000</v>
      </c>
      <c r="M121" s="222">
        <v>2538263</v>
      </c>
      <c r="N121" s="222">
        <v>227130</v>
      </c>
      <c r="O121" s="222">
        <v>2311133</v>
      </c>
      <c r="P121" s="61">
        <v>1</v>
      </c>
      <c r="Q121" s="23" t="s">
        <v>1475</v>
      </c>
    </row>
    <row r="122" spans="1:17">
      <c r="A122" s="23">
        <v>221</v>
      </c>
      <c r="B122" s="23" t="str">
        <f t="shared" si="11"/>
        <v>ビジネス新大阪123号</v>
      </c>
      <c r="C122" s="23">
        <v>408</v>
      </c>
      <c r="D122" s="23" t="str">
        <f t="shared" si="12"/>
        <v>コアプラス京都株式会社</v>
      </c>
      <c r="E122" s="23" t="s">
        <v>204</v>
      </c>
      <c r="F122" s="23" t="s">
        <v>752</v>
      </c>
      <c r="G122" s="23" t="s">
        <v>1476</v>
      </c>
      <c r="H122" s="23" t="s">
        <v>1477</v>
      </c>
      <c r="I122" s="23" t="s">
        <v>1478</v>
      </c>
      <c r="J122" s="23">
        <f t="shared" ca="1" si="13"/>
        <v>2</v>
      </c>
      <c r="K122" s="23">
        <f t="shared" ca="1" si="10"/>
        <v>10</v>
      </c>
      <c r="L122" s="222">
        <v>3025337</v>
      </c>
      <c r="M122" s="222">
        <v>2771209</v>
      </c>
      <c r="N122" s="222">
        <v>254128</v>
      </c>
      <c r="O122" s="222">
        <v>2517081</v>
      </c>
      <c r="P122" s="61" t="s">
        <v>1281</v>
      </c>
      <c r="Q122" s="23" t="s">
        <v>1430</v>
      </c>
    </row>
    <row r="123" spans="1:17">
      <c r="A123" s="23">
        <v>221</v>
      </c>
      <c r="B123" s="23" t="str">
        <f t="shared" si="11"/>
        <v>ビジネス新大阪123号</v>
      </c>
      <c r="C123" s="23">
        <v>408</v>
      </c>
      <c r="D123" s="23" t="str">
        <f t="shared" si="12"/>
        <v>コアプラス京都株式会社</v>
      </c>
      <c r="E123" s="23" t="s">
        <v>202</v>
      </c>
      <c r="F123" s="23" t="s">
        <v>1283</v>
      </c>
      <c r="G123" s="23" t="s">
        <v>1476</v>
      </c>
      <c r="H123" s="23" t="s">
        <v>1477</v>
      </c>
      <c r="I123" s="23" t="s">
        <v>1284</v>
      </c>
      <c r="J123" s="23">
        <f t="shared" ca="1" si="13"/>
        <v>2</v>
      </c>
      <c r="K123" s="23" t="str">
        <f t="shared" si="10"/>
        <v/>
      </c>
      <c r="L123" s="222">
        <v>2475275</v>
      </c>
      <c r="M123" s="222">
        <v>2475275</v>
      </c>
      <c r="N123" s="222"/>
      <c r="O123" s="222">
        <v>2475275</v>
      </c>
      <c r="P123" s="61" t="s">
        <v>1281</v>
      </c>
      <c r="Q123" s="23" t="s">
        <v>1289</v>
      </c>
    </row>
    <row r="124" spans="1:17">
      <c r="A124" s="23">
        <v>221</v>
      </c>
      <c r="B124" s="23" t="str">
        <f t="shared" si="11"/>
        <v>ビジネス新大阪123号</v>
      </c>
      <c r="C124" s="23">
        <v>408</v>
      </c>
      <c r="D124" s="23" t="str">
        <f t="shared" si="12"/>
        <v>コアプラス京都株式会社</v>
      </c>
      <c r="E124" s="23" t="s">
        <v>204</v>
      </c>
      <c r="F124" s="23" t="s">
        <v>752</v>
      </c>
      <c r="G124" s="23" t="s">
        <v>1476</v>
      </c>
      <c r="H124" s="23" t="s">
        <v>1479</v>
      </c>
      <c r="I124" s="23" t="s">
        <v>1478</v>
      </c>
      <c r="J124" s="23">
        <f t="shared" ca="1" si="13"/>
        <v>2</v>
      </c>
      <c r="K124" s="23">
        <f t="shared" ca="1" si="10"/>
        <v>10</v>
      </c>
      <c r="L124" s="222">
        <v>27300</v>
      </c>
      <c r="M124" s="222">
        <v>26154</v>
      </c>
      <c r="N124" s="222">
        <v>2293</v>
      </c>
      <c r="O124" s="222">
        <v>23861</v>
      </c>
      <c r="P124" s="61" t="s">
        <v>1281</v>
      </c>
      <c r="Q124" s="23" t="s">
        <v>1480</v>
      </c>
    </row>
    <row r="125" spans="1:17">
      <c r="A125" s="23">
        <v>221</v>
      </c>
      <c r="B125" s="23" t="str">
        <f t="shared" si="11"/>
        <v>ビジネス新大阪123号</v>
      </c>
      <c r="C125" s="23">
        <v>408</v>
      </c>
      <c r="D125" s="23" t="str">
        <f t="shared" si="12"/>
        <v>コアプラス京都株式会社</v>
      </c>
      <c r="E125" s="23" t="s">
        <v>202</v>
      </c>
      <c r="F125" s="23" t="s">
        <v>1283</v>
      </c>
      <c r="G125" s="23" t="s">
        <v>1476</v>
      </c>
      <c r="H125" s="23" t="s">
        <v>1479</v>
      </c>
      <c r="I125" s="23" t="s">
        <v>1284</v>
      </c>
      <c r="J125" s="23">
        <f t="shared" ca="1" si="13"/>
        <v>2</v>
      </c>
      <c r="K125" s="23" t="str">
        <f t="shared" si="10"/>
        <v/>
      </c>
      <c r="L125" s="222">
        <v>13300</v>
      </c>
      <c r="M125" s="222">
        <v>13300</v>
      </c>
      <c r="N125" s="222"/>
      <c r="O125" s="222">
        <v>13300</v>
      </c>
      <c r="P125" s="61" t="s">
        <v>1281</v>
      </c>
      <c r="Q125" s="23" t="s">
        <v>1480</v>
      </c>
    </row>
    <row r="126" spans="1:17">
      <c r="A126" s="23">
        <v>222</v>
      </c>
      <c r="B126" s="23" t="str">
        <f t="shared" si="11"/>
        <v>プラウD目白301号</v>
      </c>
      <c r="C126" s="23">
        <v>401</v>
      </c>
      <c r="D126" s="23" t="str">
        <f t="shared" si="12"/>
        <v>コアプラス東京株式会社</v>
      </c>
      <c r="E126" s="23" t="s">
        <v>204</v>
      </c>
      <c r="F126" s="23" t="s">
        <v>752</v>
      </c>
      <c r="G126" s="23" t="s">
        <v>1481</v>
      </c>
      <c r="H126" s="23" t="s">
        <v>1412</v>
      </c>
      <c r="I126" s="23" t="s">
        <v>1404</v>
      </c>
      <c r="J126" s="23">
        <f t="shared" ca="1" si="13"/>
        <v>2</v>
      </c>
      <c r="K126" s="23">
        <f t="shared" ca="1" si="10"/>
        <v>25</v>
      </c>
      <c r="L126" s="222">
        <v>19286259</v>
      </c>
      <c r="M126" s="222">
        <v>18675528</v>
      </c>
      <c r="N126" s="222">
        <v>732877</v>
      </c>
      <c r="O126" s="222">
        <v>17942651</v>
      </c>
      <c r="P126" s="61" t="s">
        <v>1281</v>
      </c>
      <c r="Q126" s="23" t="s">
        <v>1482</v>
      </c>
    </row>
    <row r="127" spans="1:17">
      <c r="A127" s="23">
        <v>222</v>
      </c>
      <c r="B127" s="23" t="str">
        <f t="shared" si="11"/>
        <v>プラウD目白301号</v>
      </c>
      <c r="C127" s="23">
        <v>401</v>
      </c>
      <c r="D127" s="23" t="str">
        <f t="shared" si="12"/>
        <v>コアプラス東京株式会社</v>
      </c>
      <c r="E127" s="23" t="s">
        <v>202</v>
      </c>
      <c r="F127" s="23" t="s">
        <v>1283</v>
      </c>
      <c r="G127" s="23" t="s">
        <v>1481</v>
      </c>
      <c r="H127" s="23" t="s">
        <v>1412</v>
      </c>
      <c r="I127" s="23" t="s">
        <v>1284</v>
      </c>
      <c r="J127" s="23">
        <f t="shared" ca="1" si="13"/>
        <v>2</v>
      </c>
      <c r="K127" s="23" t="str">
        <f t="shared" si="10"/>
        <v/>
      </c>
      <c r="L127" s="222">
        <v>57130988</v>
      </c>
      <c r="M127" s="222">
        <v>57130988</v>
      </c>
      <c r="N127" s="222"/>
      <c r="O127" s="222">
        <v>57130988</v>
      </c>
      <c r="P127" s="61" t="s">
        <v>1281</v>
      </c>
    </row>
    <row r="128" spans="1:17">
      <c r="A128" s="23">
        <v>222</v>
      </c>
      <c r="B128" s="23" t="str">
        <f t="shared" si="11"/>
        <v>プラウD目白301号</v>
      </c>
      <c r="C128" s="23">
        <v>401</v>
      </c>
      <c r="D128" s="23" t="str">
        <f t="shared" si="12"/>
        <v>コアプラス東京株式会社</v>
      </c>
      <c r="E128" s="23" t="s">
        <v>204</v>
      </c>
      <c r="F128" s="23" t="s">
        <v>752</v>
      </c>
      <c r="G128" s="23" t="s">
        <v>1481</v>
      </c>
      <c r="H128" s="23" t="s">
        <v>1398</v>
      </c>
      <c r="I128" s="23" t="s">
        <v>1404</v>
      </c>
      <c r="J128" s="23">
        <f t="shared" ca="1" si="13"/>
        <v>2</v>
      </c>
      <c r="K128" s="23">
        <f t="shared" ca="1" si="10"/>
        <v>25</v>
      </c>
      <c r="L128" s="222">
        <v>10501105</v>
      </c>
      <c r="M128" s="222">
        <v>10401345</v>
      </c>
      <c r="N128" s="222">
        <v>399041</v>
      </c>
      <c r="O128" s="222">
        <v>10002304</v>
      </c>
      <c r="P128" s="61" t="s">
        <v>1288</v>
      </c>
      <c r="Q128" s="23" t="s">
        <v>1483</v>
      </c>
    </row>
    <row r="129" spans="1:17">
      <c r="A129" s="23">
        <v>222</v>
      </c>
      <c r="B129" s="23" t="str">
        <f t="shared" si="11"/>
        <v>プラウD目白301号</v>
      </c>
      <c r="C129" s="23">
        <v>401</v>
      </c>
      <c r="D129" s="23" t="str">
        <f t="shared" si="12"/>
        <v>コアプラス東京株式会社</v>
      </c>
      <c r="E129" s="23" t="s">
        <v>205</v>
      </c>
      <c r="F129" s="23" t="s">
        <v>752</v>
      </c>
      <c r="G129" s="23" t="s">
        <v>1481</v>
      </c>
      <c r="H129" s="23" t="s">
        <v>1398</v>
      </c>
      <c r="I129" s="23" t="s">
        <v>1304</v>
      </c>
      <c r="J129" s="23">
        <f t="shared" ca="1" si="13"/>
        <v>2</v>
      </c>
      <c r="K129" s="23">
        <f t="shared" ca="1" si="10"/>
        <v>13</v>
      </c>
      <c r="L129" s="222">
        <v>8567856</v>
      </c>
      <c r="M129" s="222">
        <v>8424345</v>
      </c>
      <c r="N129" s="222">
        <v>574046</v>
      </c>
      <c r="O129" s="222">
        <v>7850299</v>
      </c>
      <c r="P129" s="61" t="s">
        <v>1288</v>
      </c>
      <c r="Q129" s="23" t="s">
        <v>1483</v>
      </c>
    </row>
    <row r="130" spans="1:17">
      <c r="A130" s="23">
        <v>999</v>
      </c>
      <c r="B130" s="23" t="str">
        <f t="shared" si="11"/>
        <v>賃貸資産以外の償却</v>
      </c>
      <c r="C130" s="23">
        <v>401</v>
      </c>
      <c r="D130" s="23" t="str">
        <f t="shared" si="12"/>
        <v>コアプラス東京株式会社</v>
      </c>
      <c r="E130" s="23" t="s">
        <v>203</v>
      </c>
      <c r="F130" s="23" t="s">
        <v>753</v>
      </c>
      <c r="G130" s="23" t="s">
        <v>1484</v>
      </c>
      <c r="H130" s="23" t="s">
        <v>1485</v>
      </c>
      <c r="I130" s="23" t="s">
        <v>1486</v>
      </c>
      <c r="J130" s="23">
        <f t="shared" ca="1" si="13"/>
        <v>8</v>
      </c>
      <c r="K130" s="23">
        <f t="shared" ca="1" si="10"/>
        <v>-3</v>
      </c>
      <c r="L130" s="222">
        <v>555556</v>
      </c>
      <c r="M130" s="222">
        <v>1</v>
      </c>
      <c r="N130" s="222"/>
      <c r="O130" s="222">
        <v>1</v>
      </c>
      <c r="P130" s="61" t="s">
        <v>1281</v>
      </c>
    </row>
    <row r="131" spans="1:17">
      <c r="A131" s="23">
        <v>999</v>
      </c>
      <c r="B131" s="23" t="str">
        <f t="shared" si="11"/>
        <v>賃貸資産以外の償却</v>
      </c>
      <c r="C131" s="23">
        <v>401</v>
      </c>
      <c r="D131" s="23" t="str">
        <f t="shared" si="12"/>
        <v>コアプラス東京株式会社</v>
      </c>
      <c r="E131" s="23" t="s">
        <v>203</v>
      </c>
      <c r="F131" s="23" t="s">
        <v>752</v>
      </c>
      <c r="G131" s="23" t="s">
        <v>1487</v>
      </c>
      <c r="H131" s="23" t="s">
        <v>1488</v>
      </c>
      <c r="I131" s="23" t="s">
        <v>1486</v>
      </c>
      <c r="J131" s="23">
        <f t="shared" ca="1" si="13"/>
        <v>4</v>
      </c>
      <c r="K131" s="23">
        <f t="shared" ca="1" si="10"/>
        <v>1</v>
      </c>
      <c r="L131" s="222">
        <v>442600</v>
      </c>
      <c r="M131" s="222">
        <v>236054</v>
      </c>
      <c r="N131" s="222">
        <v>88520</v>
      </c>
      <c r="O131" s="222">
        <v>147534</v>
      </c>
      <c r="P131" s="61" t="s">
        <v>1281</v>
      </c>
      <c r="Q131" s="23" t="s">
        <v>1489</v>
      </c>
    </row>
    <row r="132" spans="1:17">
      <c r="A132" s="23">
        <v>999</v>
      </c>
      <c r="B132" s="23" t="str">
        <f t="shared" si="11"/>
        <v>賃貸資産以外の償却</v>
      </c>
      <c r="C132" s="23">
        <v>401</v>
      </c>
      <c r="D132" s="23" t="str">
        <f t="shared" si="12"/>
        <v>コアプラス東京株式会社</v>
      </c>
      <c r="E132" s="23" t="s">
        <v>203</v>
      </c>
      <c r="F132" s="23" t="s">
        <v>755</v>
      </c>
      <c r="G132" s="23" t="s">
        <v>1487</v>
      </c>
      <c r="H132" s="23" t="s">
        <v>1490</v>
      </c>
      <c r="I132" s="23" t="s">
        <v>1491</v>
      </c>
      <c r="J132" s="23">
        <f t="shared" ca="1" si="13"/>
        <v>4</v>
      </c>
      <c r="K132" s="23">
        <f t="shared" ca="1" si="10"/>
        <v>0</v>
      </c>
      <c r="L132" s="222">
        <v>207300</v>
      </c>
      <c r="M132" s="222"/>
      <c r="N132" s="222"/>
      <c r="O132" s="222"/>
      <c r="P132" s="61" t="s">
        <v>1281</v>
      </c>
      <c r="Q132" s="23" t="s">
        <v>1489</v>
      </c>
    </row>
    <row r="133" spans="1:17">
      <c r="A133" s="23">
        <v>999</v>
      </c>
      <c r="B133" s="23" t="str">
        <f t="shared" ref="B133:B149" si="14">VLOOKUP(A133,id_settings,2,FALSE)</f>
        <v>賃貸資産以外の償却</v>
      </c>
      <c r="C133" s="23">
        <v>401</v>
      </c>
      <c r="D133" s="23" t="str">
        <f t="shared" ref="D133:D149" si="15">VLOOKUP(C133,id_settings,2,FALSE)</f>
        <v>コアプラス東京株式会社</v>
      </c>
      <c r="E133" s="23" t="s">
        <v>203</v>
      </c>
      <c r="F133" s="23" t="s">
        <v>755</v>
      </c>
      <c r="G133" s="23" t="s">
        <v>1487</v>
      </c>
      <c r="H133" s="23" t="s">
        <v>1490</v>
      </c>
      <c r="I133" s="23" t="s">
        <v>1491</v>
      </c>
      <c r="J133" s="23">
        <f t="shared" ref="J133:J151" ca="1" si="16">current_year-LEFT(H133,4)</f>
        <v>4</v>
      </c>
      <c r="K133" s="23">
        <f t="shared" ca="1" si="10"/>
        <v>0</v>
      </c>
      <c r="L133" s="222">
        <v>102410</v>
      </c>
      <c r="M133" s="222"/>
      <c r="N133" s="222"/>
      <c r="O133" s="222"/>
      <c r="P133" s="61" t="s">
        <v>1281</v>
      </c>
      <c r="Q133" s="23" t="s">
        <v>1489</v>
      </c>
    </row>
    <row r="134" spans="1:17">
      <c r="A134" s="23">
        <v>999</v>
      </c>
      <c r="B134" s="23" t="str">
        <f t="shared" si="14"/>
        <v>賃貸資産以外の償却</v>
      </c>
      <c r="C134" s="23">
        <v>401</v>
      </c>
      <c r="D134" s="23" t="str">
        <f t="shared" si="15"/>
        <v>コアプラス東京株式会社</v>
      </c>
      <c r="E134" s="23" t="s">
        <v>203</v>
      </c>
      <c r="F134" s="23" t="s">
        <v>755</v>
      </c>
      <c r="G134" s="23" t="s">
        <v>1487</v>
      </c>
      <c r="H134" s="23" t="s">
        <v>1492</v>
      </c>
      <c r="I134" s="23" t="s">
        <v>1491</v>
      </c>
      <c r="J134" s="23">
        <f t="shared" ca="1" si="16"/>
        <v>3</v>
      </c>
      <c r="K134" s="23">
        <f t="shared" ref="K134:K151" ca="1" si="17">IF(I134&lt;&gt;"",I134-J134,"")</f>
        <v>1</v>
      </c>
      <c r="L134" s="222">
        <v>233787</v>
      </c>
      <c r="M134" s="222"/>
      <c r="N134" s="222"/>
      <c r="O134" s="222"/>
      <c r="P134" s="61" t="s">
        <v>1281</v>
      </c>
      <c r="Q134" s="23" t="s">
        <v>1493</v>
      </c>
    </row>
    <row r="135" spans="1:17">
      <c r="A135" s="23">
        <v>999</v>
      </c>
      <c r="B135" s="23" t="str">
        <f t="shared" si="14"/>
        <v>賃貸資産以外の償却</v>
      </c>
      <c r="C135" s="23">
        <v>401</v>
      </c>
      <c r="D135" s="23" t="str">
        <f t="shared" si="15"/>
        <v>コアプラス東京株式会社</v>
      </c>
      <c r="E135" s="23" t="s">
        <v>203</v>
      </c>
      <c r="F135" s="23" t="s">
        <v>755</v>
      </c>
      <c r="G135" s="23" t="s">
        <v>1487</v>
      </c>
      <c r="H135" s="23" t="s">
        <v>1494</v>
      </c>
      <c r="I135" s="23" t="s">
        <v>1491</v>
      </c>
      <c r="J135" s="23">
        <f t="shared" ca="1" si="16"/>
        <v>3</v>
      </c>
      <c r="K135" s="23">
        <f t="shared" ca="1" si="17"/>
        <v>1</v>
      </c>
      <c r="L135" s="222">
        <v>220700</v>
      </c>
      <c r="M135" s="222"/>
      <c r="N135" s="222"/>
      <c r="O135" s="222"/>
      <c r="P135" s="61" t="s">
        <v>1281</v>
      </c>
      <c r="Q135" s="23" t="s">
        <v>1493</v>
      </c>
    </row>
    <row r="136" spans="1:17">
      <c r="A136" s="23">
        <v>999</v>
      </c>
      <c r="B136" s="23" t="str">
        <f t="shared" si="14"/>
        <v>賃貸資産以外の償却</v>
      </c>
      <c r="C136" s="23">
        <v>401</v>
      </c>
      <c r="D136" s="23" t="str">
        <f t="shared" si="15"/>
        <v>コアプラス東京株式会社</v>
      </c>
      <c r="E136" s="23" t="s">
        <v>203</v>
      </c>
      <c r="F136" s="23" t="s">
        <v>756</v>
      </c>
      <c r="G136" s="23" t="s">
        <v>1487</v>
      </c>
      <c r="H136" s="23" t="s">
        <v>1495</v>
      </c>
      <c r="I136" s="23" t="s">
        <v>1284</v>
      </c>
      <c r="J136" s="23">
        <f t="shared" ca="1" si="16"/>
        <v>3</v>
      </c>
      <c r="K136" s="23" t="str">
        <f t="shared" si="17"/>
        <v/>
      </c>
      <c r="L136" s="222">
        <v>108431</v>
      </c>
      <c r="M136" s="222"/>
      <c r="N136" s="222">
        <v>36144</v>
      </c>
      <c r="O136" s="222"/>
      <c r="P136" s="61" t="s">
        <v>1281</v>
      </c>
      <c r="Q136" s="23" t="s">
        <v>1489</v>
      </c>
    </row>
    <row r="137" spans="1:17">
      <c r="A137" s="23">
        <v>999</v>
      </c>
      <c r="B137" s="23" t="str">
        <f t="shared" si="14"/>
        <v>賃貸資産以外の償却</v>
      </c>
      <c r="C137" s="23">
        <v>401</v>
      </c>
      <c r="D137" s="23" t="str">
        <f t="shared" si="15"/>
        <v>コアプラス東京株式会社</v>
      </c>
      <c r="E137" s="23" t="s">
        <v>203</v>
      </c>
      <c r="F137" s="23" t="s">
        <v>755</v>
      </c>
      <c r="G137" s="23" t="s">
        <v>1487</v>
      </c>
      <c r="H137" s="23" t="s">
        <v>1496</v>
      </c>
      <c r="I137" s="23" t="s">
        <v>1486</v>
      </c>
      <c r="J137" s="23">
        <f t="shared" ca="1" si="16"/>
        <v>2</v>
      </c>
      <c r="K137" s="23">
        <f t="shared" ca="1" si="17"/>
        <v>3</v>
      </c>
      <c r="L137" s="222">
        <v>241980</v>
      </c>
      <c r="M137" s="222"/>
      <c r="N137" s="222"/>
      <c r="O137" s="222"/>
      <c r="P137" s="61" t="s">
        <v>1281</v>
      </c>
      <c r="Q137" s="23" t="s">
        <v>1489</v>
      </c>
    </row>
    <row r="138" spans="1:17">
      <c r="A138" s="23">
        <v>999</v>
      </c>
      <c r="B138" s="23" t="str">
        <f t="shared" si="14"/>
        <v>賃貸資産以外の償却</v>
      </c>
      <c r="C138" s="23">
        <v>401</v>
      </c>
      <c r="D138" s="23" t="str">
        <f t="shared" si="15"/>
        <v>コアプラス東京株式会社</v>
      </c>
      <c r="E138" s="23" t="s">
        <v>203</v>
      </c>
      <c r="F138" s="23" t="s">
        <v>755</v>
      </c>
      <c r="G138" s="23" t="s">
        <v>1487</v>
      </c>
      <c r="H138" s="23" t="s">
        <v>1497</v>
      </c>
      <c r="I138" s="23" t="s">
        <v>1486</v>
      </c>
      <c r="J138" s="23">
        <f t="shared" ca="1" si="16"/>
        <v>2</v>
      </c>
      <c r="K138" s="23">
        <f t="shared" ca="1" si="17"/>
        <v>3</v>
      </c>
      <c r="L138" s="222">
        <v>137706</v>
      </c>
      <c r="M138" s="222"/>
      <c r="N138" s="222"/>
      <c r="O138" s="222"/>
      <c r="P138" s="61" t="s">
        <v>1281</v>
      </c>
      <c r="Q138" s="23" t="s">
        <v>1493</v>
      </c>
    </row>
    <row r="139" spans="1:17">
      <c r="A139" s="23">
        <v>999</v>
      </c>
      <c r="B139" s="23" t="str">
        <f t="shared" si="14"/>
        <v>賃貸資産以外の償却</v>
      </c>
      <c r="C139" s="23">
        <v>401</v>
      </c>
      <c r="D139" s="23" t="str">
        <f t="shared" si="15"/>
        <v>コアプラス東京株式会社</v>
      </c>
      <c r="E139" s="23" t="s">
        <v>203</v>
      </c>
      <c r="F139" s="23" t="s">
        <v>755</v>
      </c>
      <c r="G139" s="23" t="s">
        <v>1487</v>
      </c>
      <c r="H139" s="23" t="s">
        <v>1498</v>
      </c>
      <c r="I139" s="23" t="s">
        <v>1491</v>
      </c>
      <c r="J139" s="23">
        <f t="shared" ca="1" si="16"/>
        <v>2</v>
      </c>
      <c r="K139" s="23">
        <f t="shared" ca="1" si="17"/>
        <v>2</v>
      </c>
      <c r="L139" s="222">
        <v>107128</v>
      </c>
      <c r="M139" s="222"/>
      <c r="N139" s="222"/>
      <c r="O139" s="222"/>
      <c r="P139" s="61" t="s">
        <v>1281</v>
      </c>
      <c r="Q139" s="23" t="s">
        <v>1493</v>
      </c>
    </row>
    <row r="140" spans="1:17">
      <c r="A140" s="23">
        <v>999</v>
      </c>
      <c r="B140" s="23" t="str">
        <f t="shared" si="14"/>
        <v>賃貸資産以外の償却</v>
      </c>
      <c r="C140" s="23">
        <v>401</v>
      </c>
      <c r="D140" s="23" t="str">
        <f t="shared" si="15"/>
        <v>コアプラス東京株式会社</v>
      </c>
      <c r="E140" s="23" t="s">
        <v>203</v>
      </c>
      <c r="F140" s="23" t="s">
        <v>755</v>
      </c>
      <c r="G140" s="23" t="s">
        <v>1487</v>
      </c>
      <c r="H140" s="23" t="s">
        <v>1499</v>
      </c>
      <c r="I140" s="23" t="s">
        <v>1491</v>
      </c>
      <c r="J140" s="23">
        <f t="shared" ca="1" si="16"/>
        <v>2</v>
      </c>
      <c r="K140" s="23">
        <f t="shared" ca="1" si="17"/>
        <v>2</v>
      </c>
      <c r="L140" s="222">
        <v>113520</v>
      </c>
      <c r="M140" s="222"/>
      <c r="N140" s="222"/>
      <c r="O140" s="222"/>
      <c r="P140" s="61" t="s">
        <v>1281</v>
      </c>
      <c r="Q140" s="23" t="s">
        <v>1493</v>
      </c>
    </row>
    <row r="141" spans="1:17">
      <c r="A141" s="23">
        <v>999</v>
      </c>
      <c r="B141" s="23" t="str">
        <f t="shared" si="14"/>
        <v>賃貸資産以外の償却</v>
      </c>
      <c r="C141" s="23">
        <v>401</v>
      </c>
      <c r="D141" s="23" t="str">
        <f t="shared" si="15"/>
        <v>コアプラス東京株式会社</v>
      </c>
      <c r="E141" s="23" t="s">
        <v>203</v>
      </c>
      <c r="F141" s="23" t="s">
        <v>755</v>
      </c>
      <c r="G141" s="23" t="s">
        <v>1487</v>
      </c>
      <c r="H141" s="23" t="s">
        <v>1500</v>
      </c>
      <c r="I141" s="23" t="s">
        <v>1491</v>
      </c>
      <c r="J141" s="23">
        <f t="shared" ca="1" si="16"/>
        <v>2</v>
      </c>
      <c r="K141" s="23">
        <f t="shared" ca="1" si="17"/>
        <v>2</v>
      </c>
      <c r="L141" s="222">
        <v>269546</v>
      </c>
      <c r="M141" s="222"/>
      <c r="N141" s="222"/>
      <c r="O141" s="222"/>
      <c r="P141" s="61" t="s">
        <v>1281</v>
      </c>
      <c r="Q141" s="23" t="s">
        <v>1493</v>
      </c>
    </row>
    <row r="142" spans="1:17">
      <c r="A142" s="23">
        <v>999</v>
      </c>
      <c r="B142" s="23" t="str">
        <f t="shared" si="14"/>
        <v>賃貸資産以外の償却</v>
      </c>
      <c r="C142" s="23">
        <v>401</v>
      </c>
      <c r="D142" s="23" t="str">
        <f t="shared" si="15"/>
        <v>コアプラス東京株式会社</v>
      </c>
      <c r="E142" s="23" t="s">
        <v>203</v>
      </c>
      <c r="F142" s="23" t="s">
        <v>755</v>
      </c>
      <c r="G142" s="23" t="s">
        <v>1487</v>
      </c>
      <c r="H142" s="23" t="s">
        <v>1501</v>
      </c>
      <c r="I142" s="23" t="s">
        <v>1491</v>
      </c>
      <c r="J142" s="23">
        <f t="shared" ca="1" si="16"/>
        <v>2</v>
      </c>
      <c r="K142" s="23">
        <f t="shared" ca="1" si="17"/>
        <v>2</v>
      </c>
      <c r="L142" s="222">
        <v>223264</v>
      </c>
      <c r="M142" s="222"/>
      <c r="N142" s="222"/>
      <c r="O142" s="222"/>
      <c r="P142" s="61" t="s">
        <v>1281</v>
      </c>
      <c r="Q142" s="23" t="s">
        <v>1493</v>
      </c>
    </row>
    <row r="143" spans="1:17">
      <c r="A143" s="23">
        <v>999</v>
      </c>
      <c r="B143" s="23" t="str">
        <f t="shared" si="14"/>
        <v>賃貸資産以外の償却</v>
      </c>
      <c r="C143" s="23">
        <v>401</v>
      </c>
      <c r="D143" s="23" t="str">
        <f t="shared" si="15"/>
        <v>コアプラス東京株式会社</v>
      </c>
      <c r="E143" s="23" t="s">
        <v>203</v>
      </c>
      <c r="F143" s="23" t="s">
        <v>755</v>
      </c>
      <c r="G143" s="23" t="s">
        <v>1487</v>
      </c>
      <c r="H143" s="23" t="s">
        <v>1502</v>
      </c>
      <c r="I143" s="23" t="s">
        <v>1491</v>
      </c>
      <c r="J143" s="23">
        <f t="shared" ca="1" si="16"/>
        <v>2</v>
      </c>
      <c r="K143" s="23">
        <f t="shared" ca="1" si="17"/>
        <v>2</v>
      </c>
      <c r="L143" s="222">
        <v>144600</v>
      </c>
      <c r="M143" s="222"/>
      <c r="N143" s="222"/>
      <c r="O143" s="222"/>
      <c r="P143" s="61" t="s">
        <v>1281</v>
      </c>
      <c r="Q143" s="23" t="s">
        <v>1489</v>
      </c>
    </row>
    <row r="144" spans="1:17">
      <c r="A144" s="23">
        <v>999</v>
      </c>
      <c r="B144" s="23" t="str">
        <f t="shared" si="14"/>
        <v>賃貸資産以外の償却</v>
      </c>
      <c r="C144" s="23">
        <v>401</v>
      </c>
      <c r="D144" s="23" t="str">
        <f t="shared" si="15"/>
        <v>コアプラス東京株式会社</v>
      </c>
      <c r="E144" s="23" t="s">
        <v>203</v>
      </c>
      <c r="F144" s="23" t="s">
        <v>755</v>
      </c>
      <c r="G144" s="23" t="s">
        <v>1487</v>
      </c>
      <c r="H144" s="23" t="s">
        <v>1503</v>
      </c>
      <c r="I144" s="23" t="s">
        <v>1491</v>
      </c>
      <c r="J144" s="23">
        <f t="shared" ca="1" si="16"/>
        <v>2</v>
      </c>
      <c r="K144" s="23">
        <f t="shared" ca="1" si="17"/>
        <v>2</v>
      </c>
      <c r="L144" s="222">
        <v>152164</v>
      </c>
      <c r="M144" s="222"/>
      <c r="N144" s="222"/>
      <c r="O144" s="222"/>
      <c r="P144" s="61" t="s">
        <v>1281</v>
      </c>
      <c r="Q144" s="23" t="s">
        <v>1489</v>
      </c>
    </row>
    <row r="145" spans="1:17">
      <c r="A145" s="23">
        <v>999</v>
      </c>
      <c r="B145" s="23" t="str">
        <f t="shared" si="14"/>
        <v>賃貸資産以外の償却</v>
      </c>
      <c r="C145" s="23">
        <v>401</v>
      </c>
      <c r="D145" s="23" t="str">
        <f t="shared" si="15"/>
        <v>コアプラス東京株式会社</v>
      </c>
      <c r="E145" s="23" t="s">
        <v>203</v>
      </c>
      <c r="F145" s="23" t="s">
        <v>755</v>
      </c>
      <c r="G145" s="23" t="s">
        <v>1487</v>
      </c>
      <c r="H145" s="23" t="s">
        <v>1504</v>
      </c>
      <c r="I145" s="23" t="s">
        <v>1491</v>
      </c>
      <c r="J145" s="23">
        <f t="shared" ca="1" si="16"/>
        <v>2</v>
      </c>
      <c r="K145" s="23">
        <f t="shared" ca="1" si="17"/>
        <v>2</v>
      </c>
      <c r="L145" s="222">
        <v>114200</v>
      </c>
      <c r="M145" s="222"/>
      <c r="N145" s="222"/>
      <c r="O145" s="222"/>
      <c r="P145" s="61" t="s">
        <v>1281</v>
      </c>
      <c r="Q145" s="23" t="s">
        <v>1489</v>
      </c>
    </row>
    <row r="146" spans="1:17">
      <c r="A146" s="23">
        <v>999</v>
      </c>
      <c r="B146" s="23" t="str">
        <f t="shared" si="14"/>
        <v>賃貸資産以外の償却</v>
      </c>
      <c r="C146" s="23">
        <v>401</v>
      </c>
      <c r="D146" s="23" t="str">
        <f t="shared" si="15"/>
        <v>コアプラス東京株式会社</v>
      </c>
      <c r="E146" s="23" t="s">
        <v>203</v>
      </c>
      <c r="F146" s="23" t="s">
        <v>755</v>
      </c>
      <c r="G146" s="23" t="s">
        <v>1487</v>
      </c>
      <c r="H146" s="23" t="s">
        <v>1505</v>
      </c>
      <c r="I146" s="23" t="s">
        <v>1491</v>
      </c>
      <c r="J146" s="23">
        <f t="shared" ca="1" si="16"/>
        <v>2</v>
      </c>
      <c r="K146" s="23">
        <f t="shared" ca="1" si="17"/>
        <v>2</v>
      </c>
      <c r="L146" s="222">
        <v>114200</v>
      </c>
      <c r="M146" s="222"/>
      <c r="N146" s="222"/>
      <c r="O146" s="222"/>
      <c r="P146" s="61" t="s">
        <v>1281</v>
      </c>
      <c r="Q146" s="23" t="s">
        <v>1489</v>
      </c>
    </row>
    <row r="147" spans="1:17">
      <c r="A147" s="23">
        <v>999</v>
      </c>
      <c r="B147" s="23" t="str">
        <f t="shared" si="14"/>
        <v>賃貸資産以外の償却</v>
      </c>
      <c r="C147" s="23">
        <v>401</v>
      </c>
      <c r="D147" s="23" t="str">
        <f t="shared" si="15"/>
        <v>コアプラス東京株式会社</v>
      </c>
      <c r="E147" s="23" t="s">
        <v>203</v>
      </c>
      <c r="F147" s="23" t="s">
        <v>755</v>
      </c>
      <c r="G147" s="23" t="s">
        <v>1487</v>
      </c>
      <c r="H147" s="23" t="s">
        <v>1506</v>
      </c>
      <c r="I147" s="23" t="s">
        <v>1491</v>
      </c>
      <c r="J147" s="23">
        <f t="shared" ca="1" si="16"/>
        <v>2</v>
      </c>
      <c r="K147" s="23">
        <f t="shared" ca="1" si="17"/>
        <v>2</v>
      </c>
      <c r="L147" s="222">
        <v>267346</v>
      </c>
      <c r="M147" s="222"/>
      <c r="N147" s="222"/>
      <c r="O147" s="222"/>
      <c r="P147" s="61" t="s">
        <v>1281</v>
      </c>
      <c r="Q147" s="23" t="s">
        <v>1489</v>
      </c>
    </row>
    <row r="148" spans="1:17">
      <c r="A148" s="23">
        <v>121</v>
      </c>
      <c r="B148" s="23" t="str">
        <f t="shared" si="14"/>
        <v>目白アパート1号館</v>
      </c>
      <c r="C148" s="23">
        <v>408</v>
      </c>
      <c r="D148" s="23" t="str">
        <f t="shared" si="15"/>
        <v>コアプラス京都株式会社</v>
      </c>
      <c r="E148" s="23" t="s">
        <v>204</v>
      </c>
      <c r="F148" s="23" t="s">
        <v>752</v>
      </c>
      <c r="G148" s="23" t="s">
        <v>1507</v>
      </c>
      <c r="H148" s="23" t="s">
        <v>1506</v>
      </c>
      <c r="I148" s="23">
        <v>15</v>
      </c>
      <c r="J148" s="23">
        <f t="shared" ca="1" si="16"/>
        <v>2</v>
      </c>
      <c r="K148" s="23">
        <f t="shared" ca="1" si="17"/>
        <v>13</v>
      </c>
      <c r="L148" s="78">
        <v>51251000</v>
      </c>
      <c r="M148" s="78">
        <v>51251000</v>
      </c>
      <c r="N148" s="78">
        <v>2500000</v>
      </c>
      <c r="O148" s="78">
        <f>M148-N148</f>
        <v>48751000</v>
      </c>
      <c r="P148" s="61">
        <v>0</v>
      </c>
      <c r="Q148" s="23" t="s">
        <v>1508</v>
      </c>
    </row>
    <row r="149" spans="1:17">
      <c r="A149" s="23">
        <v>122</v>
      </c>
      <c r="B149" s="23" t="str">
        <f t="shared" si="14"/>
        <v>目白アパート2号館</v>
      </c>
      <c r="C149" s="23">
        <v>408</v>
      </c>
      <c r="D149" s="23" t="str">
        <f t="shared" si="15"/>
        <v>コアプラス京都株式会社</v>
      </c>
      <c r="E149" s="23" t="s">
        <v>204</v>
      </c>
      <c r="F149" s="23" t="s">
        <v>752</v>
      </c>
      <c r="G149" s="23" t="s">
        <v>1509</v>
      </c>
      <c r="H149" s="23" t="s">
        <v>1506</v>
      </c>
      <c r="I149" s="23">
        <v>15</v>
      </c>
      <c r="J149" s="23">
        <f t="shared" ca="1" si="16"/>
        <v>2</v>
      </c>
      <c r="K149" s="23">
        <f t="shared" ca="1" si="17"/>
        <v>13</v>
      </c>
      <c r="L149" s="78">
        <v>31236000</v>
      </c>
      <c r="M149" s="78">
        <v>31236000</v>
      </c>
      <c r="N149" s="78">
        <v>2000000</v>
      </c>
      <c r="O149" s="78">
        <f>M149-N149</f>
        <v>29236000</v>
      </c>
      <c r="P149" s="61">
        <v>0</v>
      </c>
      <c r="Q149" s="23" t="s">
        <v>1508</v>
      </c>
    </row>
    <row r="150" spans="1:17">
      <c r="A150" s="23">
        <v>121</v>
      </c>
      <c r="B150" s="23" t="str">
        <f t="shared" ref="B150:B151" si="18">VLOOKUP(A150,id_settings,2,FALSE)</f>
        <v>目白アパート1号館</v>
      </c>
      <c r="C150" s="23">
        <v>408</v>
      </c>
      <c r="D150" s="23" t="str">
        <f t="shared" ref="D150:D151" si="19">VLOOKUP(C150,id_settings,2,FALSE)</f>
        <v>コアプラス京都株式会社</v>
      </c>
      <c r="E150" s="23" t="s">
        <v>732</v>
      </c>
      <c r="F150" s="23" t="s">
        <v>752</v>
      </c>
      <c r="G150" s="23" t="s">
        <v>1507</v>
      </c>
      <c r="H150" s="23" t="s">
        <v>1506</v>
      </c>
      <c r="J150" s="23">
        <f t="shared" ca="1" si="16"/>
        <v>2</v>
      </c>
      <c r="K150" s="23" t="str">
        <f t="shared" si="17"/>
        <v/>
      </c>
      <c r="L150" s="78">
        <v>5112000</v>
      </c>
      <c r="M150" s="78">
        <v>5112000</v>
      </c>
      <c r="N150" s="78">
        <v>0</v>
      </c>
      <c r="O150" s="78">
        <v>5112000</v>
      </c>
      <c r="P150" s="61">
        <v>0</v>
      </c>
      <c r="Q150" s="23" t="s">
        <v>1508</v>
      </c>
    </row>
    <row r="151" spans="1:17">
      <c r="A151" s="23">
        <v>122</v>
      </c>
      <c r="B151" s="23" t="str">
        <f t="shared" si="18"/>
        <v>目白アパート2号館</v>
      </c>
      <c r="C151" s="23">
        <v>408</v>
      </c>
      <c r="D151" s="23" t="str">
        <f t="shared" si="19"/>
        <v>コアプラス京都株式会社</v>
      </c>
      <c r="E151" s="23" t="s">
        <v>732</v>
      </c>
      <c r="F151" s="23" t="s">
        <v>752</v>
      </c>
      <c r="G151" s="23" t="s">
        <v>1509</v>
      </c>
      <c r="H151" s="23" t="s">
        <v>1506</v>
      </c>
      <c r="J151" s="23">
        <f t="shared" ca="1" si="16"/>
        <v>2</v>
      </c>
      <c r="K151" s="23" t="str">
        <f t="shared" si="17"/>
        <v/>
      </c>
      <c r="L151" s="78">
        <v>5241000</v>
      </c>
      <c r="M151" s="78">
        <v>5241000</v>
      </c>
      <c r="N151" s="78">
        <v>0</v>
      </c>
      <c r="O151" s="78">
        <v>5241000</v>
      </c>
      <c r="P151" s="61">
        <v>0</v>
      </c>
      <c r="Q151" s="23" t="s">
        <v>1508</v>
      </c>
    </row>
  </sheetData>
  <sheetProtection formatCells="0" formatColumns="0" formatRows="0" insertColumns="0" insertRows="0" insertHyperlinks="0" deleteColumns="0" deleteRows="0" sort="0" autoFilter="0"/>
  <mergeCells count="1">
    <mergeCell ref="A2:D2"/>
  </mergeCells>
  <phoneticPr fontId="5"/>
  <pageMargins left="0.70866141732283472" right="0.70866141732283472" top="0.74803149606299213" bottom="0.74803149606299213" header="0.31496062992125984" footer="0.31496062992125984"/>
  <pageSetup paperSize="8" scale="90" fitToHeight="0" orientation="landscape" horizontalDpi="1200" verticalDpi="1200" r:id="rId1"/>
  <headerFooter>
    <oddHeader>&amp;A</oddHeader>
    <oddFooter>&amp;P / &amp;N ページ</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EFDCDD5B-3EAD-493B-8B46-284CF787412E}">
          <x14:formula1>
            <xm:f>settings!$B$281:$B$285</xm:f>
          </x14:formula1>
          <xm:sqref>E1:E3 E152:E1048576</xm:sqref>
        </x14:dataValidation>
        <x14:dataValidation type="list" allowBlank="1" showInputMessage="1" showErrorMessage="1" xr:uid="{8FDADAAF-C0E8-4E44-87E8-4F5A894E138F}">
          <x14:formula1>
            <xm:f>settings!$B$275:$B$279</xm:f>
          </x14:formula1>
          <xm:sqref>F1:F3 F152:F1048576</xm:sqref>
        </x14:dataValidation>
        <x14:dataValidation type="list" allowBlank="1" showInputMessage="1" showErrorMessage="1" xr:uid="{EC895A35-5EEF-413F-A8A6-57DF5A59D2BA}">
          <x14:formula1>
            <xm:f>settings!$B$273:$B$278</xm:f>
          </x14:formula1>
          <xm:sqref>F5:F151</xm:sqref>
        </x14:dataValidation>
        <x14:dataValidation type="list" allowBlank="1" showInputMessage="1" showErrorMessage="1" xr:uid="{A6E25F11-A5AC-4F24-B7DA-6E6A44C3CFC5}">
          <x14:formula1>
            <xm:f>settings!$B$279:$B$284</xm:f>
          </x14:formula1>
          <xm:sqref>E5:E151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B07D1-EF64-4816-9B27-DC289899DF1F}">
  <sheetPr>
    <pageSetUpPr fitToPage="1"/>
  </sheetPr>
  <dimension ref="A1:Q153"/>
  <sheetViews>
    <sheetView view="pageBreakPreview" zoomScaleNormal="100" zoomScaleSheetLayoutView="100" workbookViewId="0">
      <selection sqref="A1:B1"/>
    </sheetView>
  </sheetViews>
  <sheetFormatPr defaultRowHeight="13.5"/>
  <cols>
    <col min="1" max="1" width="9" style="23" customWidth="1"/>
    <col min="2" max="2" width="23.25" style="23" customWidth="1"/>
    <col min="3" max="14" width="13.875" style="23" customWidth="1"/>
    <col min="15" max="16384" width="9" style="23"/>
  </cols>
  <sheetData>
    <row r="1" spans="1:15" ht="21" customHeight="1">
      <c r="A1" s="636">
        <f>settings!L13</f>
        <v>44870</v>
      </c>
      <c r="B1" s="636"/>
      <c r="C1" s="482"/>
      <c r="N1" s="483"/>
    </row>
    <row r="2" spans="1:15" ht="25.5" customHeight="1">
      <c r="A2" s="63"/>
      <c r="B2" s="484"/>
      <c r="C2" s="484"/>
      <c r="N2" s="483"/>
    </row>
    <row r="3" spans="1:15" ht="24">
      <c r="A3" s="486" t="s">
        <v>1510</v>
      </c>
      <c r="B3" s="487"/>
      <c r="C3" s="487"/>
      <c r="D3" s="23" t="s">
        <v>1511</v>
      </c>
      <c r="O3" s="483"/>
    </row>
    <row r="4" spans="1:15">
      <c r="A4" s="488" t="s">
        <v>53</v>
      </c>
      <c r="B4" s="488" t="s">
        <v>54</v>
      </c>
      <c r="C4" s="488" t="s">
        <v>188</v>
      </c>
      <c r="D4" s="488" t="s">
        <v>260</v>
      </c>
      <c r="E4" s="488" t="s">
        <v>262</v>
      </c>
      <c r="F4" s="488" t="s">
        <v>236</v>
      </c>
      <c r="G4" s="488" t="s">
        <v>235</v>
      </c>
      <c r="H4" s="488" t="s">
        <v>234</v>
      </c>
      <c r="I4" s="488" t="s">
        <v>261</v>
      </c>
      <c r="J4" s="488" t="s">
        <v>720</v>
      </c>
      <c r="K4" s="488" t="s">
        <v>193</v>
      </c>
      <c r="L4" s="488" t="s">
        <v>1512</v>
      </c>
      <c r="M4" s="488" t="s">
        <v>1513</v>
      </c>
      <c r="N4" s="488" t="s">
        <v>1514</v>
      </c>
      <c r="O4" s="488" t="s">
        <v>1515</v>
      </c>
    </row>
    <row r="5" spans="1:15" ht="15.95" customHeight="1">
      <c r="A5" s="489">
        <v>115</v>
      </c>
      <c r="B5" s="490" t="str">
        <f t="shared" ref="B5:B24" si="0">VLOOKUP(A5,id_settings,2,FALSE)</f>
        <v>コアプラス大塚</v>
      </c>
      <c r="C5" s="491">
        <f>IFERROR(GETPIVOTDATA("17.満室想定税込(自動)",pivot!$AR$9,"3.物件名",$B5,"7.クラス",C$4,"19.賃貸用","no"),0)+IFERROR(GETPIVOTDATA("17.満室想定税込(自動)",pivot!$AR$9,"3.物件名",$B5,"7.クラス",C$4,"19.賃貸用","yes"),0)</f>
        <v>3011000</v>
      </c>
      <c r="D5" s="491">
        <f>IFERROR(GETPIVOTDATA("17.満室想定税込(自動)",pivot!$AR$9,"3.物件名",$B5,"7.クラス",D$4,"19.賃貸用","no"),0)+IFERROR(GETPIVOTDATA("17.満室想定税込(自動)",pivot!$AR$9,"3.物件名",$B5,"7.クラス",D$4,"19.賃貸用","yes"),0)</f>
        <v>0</v>
      </c>
      <c r="E5" s="491">
        <f>IFERROR(GETPIVOTDATA("17.満室想定税込(自動)",pivot!$AR$9,"3.物件名",$B5,"7.クラス",E$4,"19.賃貸用","no"),0)+IFERROR(GETPIVOTDATA("17.満室想定税込(自動)",pivot!$AR$9,"3.物件名",$B5,"7.クラス",E$4,"19.賃貸用","yes"),0)</f>
        <v>192093</v>
      </c>
      <c r="F5" s="491">
        <f>IFERROR(GETPIVOTDATA("17.満室想定税込(自動)",pivot!$AR$9,"3.物件名",$B5,"7.クラス",F$4,"19.賃貸用","no"),0)+IFERROR(GETPIVOTDATA("17.満室想定税込(自動)",pivot!$AR$9,"3.物件名",$B5,"7.クラス",F$4,"19.賃貸用","yes"),0)</f>
        <v>356481</v>
      </c>
      <c r="G5" s="491">
        <f>IFERROR(GETPIVOTDATA("17.満室想定税込(自動)",pivot!$AR$9,"3.物件名",$B5,"7.クラス",G$4,"19.賃貸用","no"),0)+IFERROR(GETPIVOTDATA("17.満室想定税込(自動)",pivot!$AR$9,"3.物件名",$B5,"7.クラス",G$4,"19.賃貸用","yes"),0)</f>
        <v>0</v>
      </c>
      <c r="H5" s="491">
        <f>IFERROR(GETPIVOTDATA("17.満室想定税込(自動)",pivot!$AR$9,"3.物件名",$B5,"7.クラス",H$4,"19.賃貸用","no"),0)+IFERROR(GETPIVOTDATA("17.満室想定税込(自動)",pivot!$AR$9,"3.物件名",$B5,"7.クラス",H$4,"19.賃貸用","yes"),0)</f>
        <v>13200</v>
      </c>
      <c r="I5" s="491">
        <f>IFERROR(GETPIVOTDATA("17.満室想定税込(自動)",pivot!$AR$9,"3.物件名",$B5,"7.クラス",I$4,"19.賃貸用","no"),0)+IFERROR(GETPIVOTDATA("17.満室想定税込(自動)",pivot!$AR$9,"3.物件名",$B5,"7.クラス",I$4,"19.賃貸用","yes"),0)</f>
        <v>0</v>
      </c>
      <c r="J5" s="491">
        <f>IFERROR(GETPIVOTDATA("17.満室想定税込(自動)",pivot!$AR$9,"3.物件名",$B5,"7.クラス",J$4,"19.賃貸用","no"),0)+IFERROR(GETPIVOTDATA("17.満室想定税込(自動)",pivot!$AR$9,"3.物件名",$B5,"7.クラス",J$4,"19.賃貸用","yes"),0)</f>
        <v>0</v>
      </c>
      <c r="K5" s="491">
        <f>IFERROR(GETPIVOTDATA("17.満室想定税込(自動)",pivot!$AR$9,"3.物件名",$B5,"7.クラス",K$4,"19.賃貸用","no"),0)+IFERROR(GETPIVOTDATA("17.満室想定税込(自動)",pivot!$AR$9,"3.物件名",$B5,"7.クラス",K$4,"19.賃貸用","yes"),0)</f>
        <v>0</v>
      </c>
      <c r="L5" s="491">
        <f>IFERROR(GETPIVOTDATA("17.満室想定税込(自動)",pivot!$AR$9,"3.物件名",$B5,"19.賃貸用","no"),0)+IFERROR(GETPIVOTDATA("17.満室想定税込(自動)",pivot!$AR$9,"3.物件名",$B5,"19.賃貸用","yes"),0)</f>
        <v>3572774</v>
      </c>
      <c r="M5" s="491">
        <f t="shared" ref="M5:M24" si="1">L5*12</f>
        <v>42873288</v>
      </c>
      <c r="N5" s="492">
        <f t="shared" ref="N5:N25" si="2">M5/$M$25</f>
        <v>9.9398402703228902E-2</v>
      </c>
      <c r="O5" s="492">
        <f>N5</f>
        <v>9.9398402703228902E-2</v>
      </c>
    </row>
    <row r="6" spans="1:15" ht="15.95" customHeight="1">
      <c r="A6" s="493">
        <v>102</v>
      </c>
      <c r="B6" s="493" t="str">
        <f t="shared" si="0"/>
        <v>池袋ハウス</v>
      </c>
      <c r="C6" s="494">
        <f>IFERROR(GETPIVOTDATA("17.満室想定税込(自動)",pivot!$AR$9,"3.物件名",$B6,"7.クラス",C$4,"19.賃貸用","no"),0)+IFERROR(GETPIVOTDATA("17.満室想定税込(自動)",pivot!$AR$9,"3.物件名",$B6,"7.クラス",C$4,"19.賃貸用","yes"),0)</f>
        <v>3026000</v>
      </c>
      <c r="D6" s="494">
        <f>IFERROR(GETPIVOTDATA("17.満室想定税込(自動)",pivot!$AR$9,"3.物件名",$B6,"7.クラス",D$4,"19.賃貸用","no"),0)+IFERROR(GETPIVOTDATA("17.満室想定税込(自動)",pivot!$AR$9,"3.物件名",$B6,"7.クラス",D$4,"19.賃貸用","yes"),0)</f>
        <v>0</v>
      </c>
      <c r="E6" s="494">
        <f>IFERROR(GETPIVOTDATA("17.満室想定税込(自動)",pivot!$AR$9,"3.物件名",$B6,"7.クラス",E$4,"19.賃貸用","no"),0)+IFERROR(GETPIVOTDATA("17.満室想定税込(自動)",pivot!$AR$9,"3.物件名",$B6,"7.クラス",E$4,"19.賃貸用","yes"),0)</f>
        <v>0</v>
      </c>
      <c r="F6" s="494">
        <f>IFERROR(GETPIVOTDATA("17.満室想定税込(自動)",pivot!$AR$9,"3.物件名",$B6,"7.クラス",F$4,"19.賃貸用","no"),0)+IFERROR(GETPIVOTDATA("17.満室想定税込(自動)",pivot!$AR$9,"3.物件名",$B6,"7.クラス",F$4,"19.賃貸用","yes"),0)</f>
        <v>72000</v>
      </c>
      <c r="G6" s="494">
        <f>IFERROR(GETPIVOTDATA("17.満室想定税込(自動)",pivot!$AR$9,"3.物件名",$B6,"7.クラス",G$4,"19.賃貸用","no"),0)+IFERROR(GETPIVOTDATA("17.満室想定税込(自動)",pivot!$AR$9,"3.物件名",$B6,"7.クラス",G$4,"19.賃貸用","yes"),0)</f>
        <v>0</v>
      </c>
      <c r="H6" s="494">
        <f>IFERROR(GETPIVOTDATA("17.満室想定税込(自動)",pivot!$AR$9,"3.物件名",$B6,"7.クラス",H$4,"19.賃貸用","no"),0)+IFERROR(GETPIVOTDATA("17.満室想定税込(自動)",pivot!$AR$9,"3.物件名",$B6,"7.クラス",H$4,"19.賃貸用","yes"),0)</f>
        <v>0</v>
      </c>
      <c r="I6" s="494">
        <f>IFERROR(GETPIVOTDATA("17.満室想定税込(自動)",pivot!$AR$9,"3.物件名",$B6,"7.クラス",I$4,"19.賃貸用","no"),0)+IFERROR(GETPIVOTDATA("17.満室想定税込(自動)",pivot!$AR$9,"3.物件名",$B6,"7.クラス",I$4,"19.賃貸用","yes"),0)</f>
        <v>0</v>
      </c>
      <c r="J6" s="494">
        <f>IFERROR(GETPIVOTDATA("17.満室想定税込(自動)",pivot!$AR$9,"3.物件名",$B6,"7.クラス",J$4,"19.賃貸用","no"),0)+IFERROR(GETPIVOTDATA("17.満室想定税込(自動)",pivot!$AR$9,"3.物件名",$B6,"7.クラス",J$4,"19.賃貸用","yes"),0)</f>
        <v>0</v>
      </c>
      <c r="K6" s="494">
        <f>IFERROR(GETPIVOTDATA("17.満室想定税込(自動)",pivot!$AR$9,"3.物件名",$B6,"7.クラス",K$4,"19.賃貸用","no"),0)+IFERROR(GETPIVOTDATA("17.満室想定税込(自動)",pivot!$AR$9,"3.物件名",$B6,"7.クラス",K$4,"19.賃貸用","yes"),0)</f>
        <v>0</v>
      </c>
      <c r="L6" s="494">
        <f>IFERROR(GETPIVOTDATA("17.満室想定税込(自動)",pivot!$AR$9,"3.物件名",$B6,"19.賃貸用","no"),0)+IFERROR(GETPIVOTDATA("17.満室想定税込(自動)",pivot!$AR$9,"3.物件名",$B6,"19.賃貸用","yes"),0)</f>
        <v>3098000</v>
      </c>
      <c r="M6" s="494">
        <f t="shared" si="1"/>
        <v>37176000</v>
      </c>
      <c r="N6" s="495">
        <f t="shared" si="2"/>
        <v>8.6189681064238355E-2</v>
      </c>
      <c r="O6" s="495">
        <f t="shared" ref="O6:O24" si="3">N6+O5</f>
        <v>0.18558808376746727</v>
      </c>
    </row>
    <row r="7" spans="1:15" ht="15.95" customHeight="1">
      <c r="A7" s="493">
        <v>106</v>
      </c>
      <c r="B7" s="493" t="str">
        <f t="shared" si="0"/>
        <v>東池袋ハイツ</v>
      </c>
      <c r="C7" s="494">
        <f>IFERROR(GETPIVOTDATA("17.満室想定税込(自動)",pivot!$AR$9,"3.物件名",$B7,"7.クラス",C$4,"19.賃貸用","no"),0)+IFERROR(GETPIVOTDATA("17.満室想定税込(自動)",pivot!$AR$9,"3.物件名",$B7,"7.クラス",C$4,"19.賃貸用","yes"),0)</f>
        <v>3084000</v>
      </c>
      <c r="D7" s="494">
        <f>IFERROR(GETPIVOTDATA("17.満室想定税込(自動)",pivot!$AR$9,"3.物件名",$B7,"7.クラス",D$4,"19.賃貸用","no"),0)+IFERROR(GETPIVOTDATA("17.満室想定税込(自動)",pivot!$AR$9,"3.物件名",$B7,"7.クラス",D$4,"19.賃貸用","yes"),0)</f>
        <v>0</v>
      </c>
      <c r="E7" s="494">
        <f>IFERROR(GETPIVOTDATA("17.満室想定税込(自動)",pivot!$AR$9,"3.物件名",$B7,"7.クラス",E$4,"19.賃貸用","no"),0)+IFERROR(GETPIVOTDATA("17.満室想定税込(自動)",pivot!$AR$9,"3.物件名",$B7,"7.クラス",E$4,"19.賃貸用","yes"),0)</f>
        <v>0</v>
      </c>
      <c r="F7" s="494">
        <f>IFERROR(GETPIVOTDATA("17.満室想定税込(自動)",pivot!$AR$9,"3.物件名",$B7,"7.クラス",F$4,"19.賃貸用","no"),0)+IFERROR(GETPIVOTDATA("17.満室想定税込(自動)",pivot!$AR$9,"3.物件名",$B7,"7.クラス",F$4,"19.賃貸用","yes"),0)</f>
        <v>0</v>
      </c>
      <c r="G7" s="494">
        <f>IFERROR(GETPIVOTDATA("17.満室想定税込(自動)",pivot!$AR$9,"3.物件名",$B7,"7.クラス",G$4,"19.賃貸用","no"),0)+IFERROR(GETPIVOTDATA("17.満室想定税込(自動)",pivot!$AR$9,"3.物件名",$B7,"7.クラス",G$4,"19.賃貸用","yes"),0)</f>
        <v>0</v>
      </c>
      <c r="H7" s="494">
        <f>IFERROR(GETPIVOTDATA("17.満室想定税込(自動)",pivot!$AR$9,"3.物件名",$B7,"7.クラス",H$4,"19.賃貸用","no"),0)+IFERROR(GETPIVOTDATA("17.満室想定税込(自動)",pivot!$AR$9,"3.物件名",$B7,"7.クラス",H$4,"19.賃貸用","yes"),0)</f>
        <v>13200</v>
      </c>
      <c r="I7" s="494">
        <f>IFERROR(GETPIVOTDATA("17.満室想定税込(自動)",pivot!$AR$9,"3.物件名",$B7,"7.クラス",I$4,"19.賃貸用","no"),0)+IFERROR(GETPIVOTDATA("17.満室想定税込(自動)",pivot!$AR$9,"3.物件名",$B7,"7.クラス",I$4,"19.賃貸用","yes"),0)</f>
        <v>0</v>
      </c>
      <c r="J7" s="494">
        <f>IFERROR(GETPIVOTDATA("17.満室想定税込(自動)",pivot!$AR$9,"3.物件名",$B7,"7.クラス",J$4,"19.賃貸用","no"),0)+IFERROR(GETPIVOTDATA("17.満室想定税込(自動)",pivot!$AR$9,"3.物件名",$B7,"7.クラス",J$4,"19.賃貸用","yes"),0)</f>
        <v>0</v>
      </c>
      <c r="K7" s="494">
        <f>IFERROR(GETPIVOTDATA("17.満室想定税込(自動)",pivot!$AR$9,"3.物件名",$B7,"7.クラス",K$4,"19.賃貸用","no"),0)+IFERROR(GETPIVOTDATA("17.満室想定税込(自動)",pivot!$AR$9,"3.物件名",$B7,"7.クラス",K$4,"19.賃貸用","yes"),0)</f>
        <v>0</v>
      </c>
      <c r="L7" s="494">
        <f>IFERROR(GETPIVOTDATA("17.満室想定税込(自動)",pivot!$AR$9,"3.物件名",$B7,"19.賃貸用","no"),0)+IFERROR(GETPIVOTDATA("17.満室想定税込(自動)",pivot!$AR$9,"3.物件名",$B7,"19.賃貸用","yes"),0)</f>
        <v>3097200</v>
      </c>
      <c r="M7" s="494">
        <f t="shared" si="1"/>
        <v>37166400</v>
      </c>
      <c r="N7" s="495">
        <f t="shared" si="2"/>
        <v>8.6167424206636228E-2</v>
      </c>
      <c r="O7" s="495">
        <f t="shared" si="3"/>
        <v>0.27175550797410353</v>
      </c>
    </row>
    <row r="8" spans="1:15" ht="15.95" customHeight="1">
      <c r="A8" s="493">
        <v>103</v>
      </c>
      <c r="B8" s="493" t="str">
        <f t="shared" si="0"/>
        <v>カーサ目白台ハウス</v>
      </c>
      <c r="C8" s="494">
        <f>IFERROR(GETPIVOTDATA("17.満室想定税込(自動)",pivot!$AR$9,"3.物件名",$B8,"7.クラス",C$4,"19.賃貸用","no"),0)+IFERROR(GETPIVOTDATA("17.満室想定税込(自動)",pivot!$AR$9,"3.物件名",$B8,"7.クラス",C$4,"19.賃貸用","yes"),0)</f>
        <v>1913800</v>
      </c>
      <c r="D8" s="494">
        <f>IFERROR(GETPIVOTDATA("17.満室想定税込(自動)",pivot!$AR$9,"3.物件名",$B8,"7.クラス",D$4,"19.賃貸用","no"),0)+IFERROR(GETPIVOTDATA("17.満室想定税込(自動)",pivot!$AR$9,"3.物件名",$B8,"7.クラス",D$4,"19.賃貸用","yes"),0)</f>
        <v>643878</v>
      </c>
      <c r="E8" s="494">
        <f>IFERROR(GETPIVOTDATA("17.満室想定税込(自動)",pivot!$AR$9,"3.物件名",$B8,"7.クラス",E$4,"19.賃貸用","no"),0)+IFERROR(GETPIVOTDATA("17.満室想定税込(自動)",pivot!$AR$9,"3.物件名",$B8,"7.クラス",E$4,"19.賃貸用","yes"),0)</f>
        <v>363000</v>
      </c>
      <c r="F8" s="494">
        <f>IFERROR(GETPIVOTDATA("17.満室想定税込(自動)",pivot!$AR$9,"3.物件名",$B8,"7.クラス",F$4,"19.賃貸用","no"),0)+IFERROR(GETPIVOTDATA("17.満室想定税込(自動)",pivot!$AR$9,"3.物件名",$B8,"7.クラス",F$4,"19.賃貸用","yes"),0)</f>
        <v>126500</v>
      </c>
      <c r="G8" s="494">
        <f>IFERROR(GETPIVOTDATA("17.満室想定税込(自動)",pivot!$AR$9,"3.物件名",$B8,"7.クラス",G$4,"19.賃貸用","no"),0)+IFERROR(GETPIVOTDATA("17.満室想定税込(自動)",pivot!$AR$9,"3.物件名",$B8,"7.クラス",G$4,"19.賃貸用","yes"),0)</f>
        <v>0</v>
      </c>
      <c r="H8" s="494">
        <f>IFERROR(GETPIVOTDATA("17.満室想定税込(自動)",pivot!$AR$9,"3.物件名",$B8,"7.クラス",H$4,"19.賃貸用","no"),0)+IFERROR(GETPIVOTDATA("17.満室想定税込(自動)",pivot!$AR$9,"3.物件名",$B8,"7.クラス",H$4,"19.賃貸用","yes"),0)</f>
        <v>0</v>
      </c>
      <c r="I8" s="494">
        <f>IFERROR(GETPIVOTDATA("17.満室想定税込(自動)",pivot!$AR$9,"3.物件名",$B8,"7.クラス",I$4,"19.賃貸用","no"),0)+IFERROR(GETPIVOTDATA("17.満室想定税込(自動)",pivot!$AR$9,"3.物件名",$B8,"7.クラス",I$4,"19.賃貸用","yes"),0)</f>
        <v>0</v>
      </c>
      <c r="J8" s="494">
        <f>IFERROR(GETPIVOTDATA("17.満室想定税込(自動)",pivot!$AR$9,"3.物件名",$B8,"7.クラス",J$4,"19.賃貸用","no"),0)+IFERROR(GETPIVOTDATA("17.満室想定税込(自動)",pivot!$AR$9,"3.物件名",$B8,"7.クラス",J$4,"19.賃貸用","yes"),0)</f>
        <v>0</v>
      </c>
      <c r="K8" s="494">
        <f>IFERROR(GETPIVOTDATA("17.満室想定税込(自動)",pivot!$AR$9,"3.物件名",$B8,"7.クラス",K$4,"19.賃貸用","no"),0)+IFERROR(GETPIVOTDATA("17.満室想定税込(自動)",pivot!$AR$9,"3.物件名",$B8,"7.クラス",K$4,"19.賃貸用","yes"),0)</f>
        <v>0</v>
      </c>
      <c r="L8" s="494">
        <f>IFERROR(GETPIVOTDATA("17.満室想定税込(自動)",pivot!$AR$9,"3.物件名",$B8,"19.賃貸用","no"),0)+IFERROR(GETPIVOTDATA("17.満室想定税込(自動)",pivot!$AR$9,"3.物件名",$B8,"19.賃貸用","yes"),0)</f>
        <v>3047178</v>
      </c>
      <c r="M8" s="494">
        <f t="shared" si="1"/>
        <v>36566136</v>
      </c>
      <c r="N8" s="495">
        <f t="shared" si="2"/>
        <v>8.4775758542919202E-2</v>
      </c>
      <c r="O8" s="495">
        <f t="shared" si="3"/>
        <v>0.35653126651702272</v>
      </c>
    </row>
    <row r="9" spans="1:15" ht="15.95" customHeight="1">
      <c r="A9" s="493">
        <v>113</v>
      </c>
      <c r="B9" s="493" t="str">
        <f t="shared" si="0"/>
        <v>第3目白ハイツ</v>
      </c>
      <c r="C9" s="494">
        <f>IFERROR(GETPIVOTDATA("17.満室想定税込(自動)",pivot!$AR$9,"3.物件名",$B9,"7.クラス",C$4,"19.賃貸用","no"),0)+IFERROR(GETPIVOTDATA("17.満室想定税込(自動)",pivot!$AR$9,"3.物件名",$B9,"7.クラス",C$4,"19.賃貸用","yes"),0)</f>
        <v>2984000</v>
      </c>
      <c r="D9" s="494">
        <f>IFERROR(GETPIVOTDATA("17.満室想定税込(自動)",pivot!$AR$9,"3.物件名",$B9,"7.クラス",D$4,"19.賃貸用","no"),0)+IFERROR(GETPIVOTDATA("17.満室想定税込(自動)",pivot!$AR$9,"3.物件名",$B9,"7.クラス",D$4,"19.賃貸用","yes"),0)</f>
        <v>0</v>
      </c>
      <c r="E9" s="494">
        <f>IFERROR(GETPIVOTDATA("17.満室想定税込(自動)",pivot!$AR$9,"3.物件名",$B9,"7.クラス",E$4,"19.賃貸用","no"),0)+IFERROR(GETPIVOTDATA("17.満室想定税込(自動)",pivot!$AR$9,"3.物件名",$B9,"7.クラス",E$4,"19.賃貸用","yes"),0)</f>
        <v>0</v>
      </c>
      <c r="F9" s="494">
        <f>IFERROR(GETPIVOTDATA("17.満室想定税込(自動)",pivot!$AR$9,"3.物件名",$B9,"7.クラス",F$4,"19.賃貸用","no"),0)+IFERROR(GETPIVOTDATA("17.満室想定税込(自動)",pivot!$AR$9,"3.物件名",$B9,"7.クラス",F$4,"19.賃貸用","yes"),0)</f>
        <v>22000</v>
      </c>
      <c r="G9" s="494">
        <f>IFERROR(GETPIVOTDATA("17.満室想定税込(自動)",pivot!$AR$9,"3.物件名",$B9,"7.クラス",G$4,"19.賃貸用","no"),0)+IFERROR(GETPIVOTDATA("17.満室想定税込(自動)",pivot!$AR$9,"3.物件名",$B9,"7.クラス",G$4,"19.賃貸用","yes"),0)</f>
        <v>0</v>
      </c>
      <c r="H9" s="494">
        <f>IFERROR(GETPIVOTDATA("17.満室想定税込(自動)",pivot!$AR$9,"3.物件名",$B9,"7.クラス",H$4,"19.賃貸用","no"),0)+IFERROR(GETPIVOTDATA("17.満室想定税込(自動)",pivot!$AR$9,"3.物件名",$B9,"7.クラス",H$4,"19.賃貸用","yes"),0)</f>
        <v>0</v>
      </c>
      <c r="I9" s="494">
        <f>IFERROR(GETPIVOTDATA("17.満室想定税込(自動)",pivot!$AR$9,"3.物件名",$B9,"7.クラス",I$4,"19.賃貸用","no"),0)+IFERROR(GETPIVOTDATA("17.満室想定税込(自動)",pivot!$AR$9,"3.物件名",$B9,"7.クラス",I$4,"19.賃貸用","yes"),0)</f>
        <v>0</v>
      </c>
      <c r="J9" s="494">
        <f>IFERROR(GETPIVOTDATA("17.満室想定税込(自動)",pivot!$AR$9,"3.物件名",$B9,"7.クラス",J$4,"19.賃貸用","no"),0)+IFERROR(GETPIVOTDATA("17.満室想定税込(自動)",pivot!$AR$9,"3.物件名",$B9,"7.クラス",J$4,"19.賃貸用","yes"),0)</f>
        <v>0</v>
      </c>
      <c r="K9" s="494">
        <f>IFERROR(GETPIVOTDATA("17.満室想定税込(自動)",pivot!$AR$9,"3.物件名",$B9,"7.クラス",K$4,"19.賃貸用","no"),0)+IFERROR(GETPIVOTDATA("17.満室想定税込(自動)",pivot!$AR$9,"3.物件名",$B9,"7.クラス",K$4,"19.賃貸用","yes"),0)</f>
        <v>0</v>
      </c>
      <c r="L9" s="494">
        <f>IFERROR(GETPIVOTDATA("17.満室想定税込(自動)",pivot!$AR$9,"3.物件名",$B9,"19.賃貸用","no"),0)+IFERROR(GETPIVOTDATA("17.満室想定税込(自動)",pivot!$AR$9,"3.物件名",$B9,"19.賃貸用","yes"),0)</f>
        <v>3006000</v>
      </c>
      <c r="M9" s="494">
        <f t="shared" si="1"/>
        <v>36072000</v>
      </c>
      <c r="N9" s="495">
        <f t="shared" si="2"/>
        <v>8.3630142439993699E-2</v>
      </c>
      <c r="O9" s="495">
        <f t="shared" si="3"/>
        <v>0.44016140895701639</v>
      </c>
    </row>
    <row r="10" spans="1:15" ht="15.95" customHeight="1">
      <c r="A10" s="493">
        <v>105</v>
      </c>
      <c r="B10" s="493" t="str">
        <f t="shared" si="0"/>
        <v>目白アパート</v>
      </c>
      <c r="C10" s="494">
        <f>IFERROR(GETPIVOTDATA("17.満室想定税込(自動)",pivot!$AR$9,"3.物件名",$B10,"7.クラス",C$4,"19.賃貸用","no"),0)+IFERROR(GETPIVOTDATA("17.満室想定税込(自動)",pivot!$AR$9,"3.物件名",$B10,"7.クラス",C$4,"19.賃貸用","yes"),0)</f>
        <v>2589502</v>
      </c>
      <c r="D10" s="494">
        <f>IFERROR(GETPIVOTDATA("17.満室想定税込(自動)",pivot!$AR$9,"3.物件名",$B10,"7.クラス",D$4,"19.賃貸用","no"),0)+IFERROR(GETPIVOTDATA("17.満室想定税込(自動)",pivot!$AR$9,"3.物件名",$B10,"7.クラス",D$4,"19.賃貸用","yes"),0)</f>
        <v>0</v>
      </c>
      <c r="E10" s="494">
        <f>IFERROR(GETPIVOTDATA("17.満室想定税込(自動)",pivot!$AR$9,"3.物件名",$B10,"7.クラス",E$4,"19.賃貸用","no"),0)+IFERROR(GETPIVOTDATA("17.満室想定税込(自動)",pivot!$AR$9,"3.物件名",$B10,"7.クラス",E$4,"19.賃貸用","yes"),0)</f>
        <v>99000</v>
      </c>
      <c r="F10" s="494">
        <f>IFERROR(GETPIVOTDATA("17.満室想定税込(自動)",pivot!$AR$9,"3.物件名",$B10,"7.クラス",F$4,"19.賃貸用","no"),0)+IFERROR(GETPIVOTDATA("17.満室想定税込(自動)",pivot!$AR$9,"3.物件名",$B10,"7.クラス",F$4,"19.賃貸用","yes"),0)</f>
        <v>77000</v>
      </c>
      <c r="G10" s="494">
        <f>IFERROR(GETPIVOTDATA("17.満室想定税込(自動)",pivot!$AR$9,"3.物件名",$B10,"7.クラス",G$4,"19.賃貸用","no"),0)+IFERROR(GETPIVOTDATA("17.満室想定税込(自動)",pivot!$AR$9,"3.物件名",$B10,"7.クラス",G$4,"19.賃貸用","yes"),0)</f>
        <v>0</v>
      </c>
      <c r="H10" s="494">
        <f>IFERROR(GETPIVOTDATA("17.満室想定税込(自動)",pivot!$AR$9,"3.物件名",$B10,"7.クラス",H$4,"19.賃貸用","no"),0)+IFERROR(GETPIVOTDATA("17.満室想定税込(自動)",pivot!$AR$9,"3.物件名",$B10,"7.クラス",H$4,"19.賃貸用","yes"),0)</f>
        <v>35524</v>
      </c>
      <c r="I10" s="494">
        <f>IFERROR(GETPIVOTDATA("17.満室想定税込(自動)",pivot!$AR$9,"3.物件名",$B10,"7.クラス",I$4,"19.賃貸用","no"),0)+IFERROR(GETPIVOTDATA("17.満室想定税込(自動)",pivot!$AR$9,"3.物件名",$B10,"7.クラス",I$4,"19.賃貸用","yes"),0)</f>
        <v>0</v>
      </c>
      <c r="J10" s="494">
        <f>IFERROR(GETPIVOTDATA("17.満室想定税込(自動)",pivot!$AR$9,"3.物件名",$B10,"7.クラス",J$4,"19.賃貸用","no"),0)+IFERROR(GETPIVOTDATA("17.満室想定税込(自動)",pivot!$AR$9,"3.物件名",$B10,"7.クラス",J$4,"19.賃貸用","yes"),0)</f>
        <v>0</v>
      </c>
      <c r="K10" s="494">
        <f>IFERROR(GETPIVOTDATA("17.満室想定税込(自動)",pivot!$AR$9,"3.物件名",$B10,"7.クラス",K$4,"19.賃貸用","no"),0)+IFERROR(GETPIVOTDATA("17.満室想定税込(自動)",pivot!$AR$9,"3.物件名",$B10,"7.クラス",K$4,"19.賃貸用","yes"),0)</f>
        <v>0</v>
      </c>
      <c r="L10" s="494">
        <f>IFERROR(GETPIVOTDATA("17.満室想定税込(自動)",pivot!$AR$9,"3.物件名",$B10,"19.賃貸用","no"),0)+IFERROR(GETPIVOTDATA("17.満室想定税込(自動)",pivot!$AR$9,"3.物件名",$B10,"19.賃貸用","yes"),0)</f>
        <v>2801026</v>
      </c>
      <c r="M10" s="494">
        <f t="shared" si="1"/>
        <v>33612312</v>
      </c>
      <c r="N10" s="495">
        <f t="shared" si="2"/>
        <v>7.7927546027320632E-2</v>
      </c>
      <c r="O10" s="495">
        <f t="shared" si="3"/>
        <v>0.51808895498433705</v>
      </c>
    </row>
    <row r="11" spans="1:15" ht="15.95" customHeight="1">
      <c r="A11" s="493">
        <v>112</v>
      </c>
      <c r="B11" s="493" t="str">
        <f t="shared" si="0"/>
        <v>豊島目白ビル</v>
      </c>
      <c r="C11" s="494">
        <f>IFERROR(GETPIVOTDATA("17.満室想定税込(自動)",pivot!$AR$9,"3.物件名",$B11,"7.クラス",C$4,"19.賃貸用","no"),0)+IFERROR(GETPIVOTDATA("17.満室想定税込(自動)",pivot!$AR$9,"3.物件名",$B11,"7.クラス",C$4,"19.賃貸用","yes"),0)</f>
        <v>0</v>
      </c>
      <c r="D11" s="494">
        <f>IFERROR(GETPIVOTDATA("17.満室想定税込(自動)",pivot!$AR$9,"3.物件名",$B11,"7.クラス",D$4,"19.賃貸用","no"),0)+IFERROR(GETPIVOTDATA("17.満室想定税込(自動)",pivot!$AR$9,"3.物件名",$B11,"7.クラス",D$4,"19.賃貸用","yes"),0)</f>
        <v>2530000</v>
      </c>
      <c r="E11" s="494">
        <f>IFERROR(GETPIVOTDATA("17.満室想定税込(自動)",pivot!$AR$9,"3.物件名",$B11,"7.クラス",E$4,"19.賃貸用","no"),0)+IFERROR(GETPIVOTDATA("17.満室想定税込(自動)",pivot!$AR$9,"3.物件名",$B11,"7.クラス",E$4,"19.賃貸用","yes"),0)</f>
        <v>0</v>
      </c>
      <c r="F11" s="494">
        <f>IFERROR(GETPIVOTDATA("17.満室想定税込(自動)",pivot!$AR$9,"3.物件名",$B11,"7.クラス",F$4,"19.賃貸用","no"),0)+IFERROR(GETPIVOTDATA("17.満室想定税込(自動)",pivot!$AR$9,"3.物件名",$B11,"7.クラス",F$4,"19.賃貸用","yes"),0)</f>
        <v>0</v>
      </c>
      <c r="G11" s="494">
        <f>IFERROR(GETPIVOTDATA("17.満室想定税込(自動)",pivot!$AR$9,"3.物件名",$B11,"7.クラス",G$4,"19.賃貸用","no"),0)+IFERROR(GETPIVOTDATA("17.満室想定税込(自動)",pivot!$AR$9,"3.物件名",$B11,"7.クラス",G$4,"19.賃貸用","yes"),0)</f>
        <v>0</v>
      </c>
      <c r="H11" s="494">
        <f>IFERROR(GETPIVOTDATA("17.満室想定税込(自動)",pivot!$AR$9,"3.物件名",$B11,"7.クラス",H$4,"19.賃貸用","no"),0)+IFERROR(GETPIVOTDATA("17.満室想定税込(自動)",pivot!$AR$9,"3.物件名",$B11,"7.クラス",H$4,"19.賃貸用","yes"),0)</f>
        <v>0</v>
      </c>
      <c r="I11" s="494">
        <f>IFERROR(GETPIVOTDATA("17.満室想定税込(自動)",pivot!$AR$9,"3.物件名",$B11,"7.クラス",I$4,"19.賃貸用","no"),0)+IFERROR(GETPIVOTDATA("17.満室想定税込(自動)",pivot!$AR$9,"3.物件名",$B11,"7.クラス",I$4,"19.賃貸用","yes"),0)</f>
        <v>0</v>
      </c>
      <c r="J11" s="494">
        <f>IFERROR(GETPIVOTDATA("17.満室想定税込(自動)",pivot!$AR$9,"3.物件名",$B11,"7.クラス",J$4,"19.賃貸用","no"),0)+IFERROR(GETPIVOTDATA("17.満室想定税込(自動)",pivot!$AR$9,"3.物件名",$B11,"7.クラス",J$4,"19.賃貸用","yes"),0)</f>
        <v>0</v>
      </c>
      <c r="K11" s="494">
        <f>IFERROR(GETPIVOTDATA("17.満室想定税込(自動)",pivot!$AR$9,"3.物件名",$B11,"7.クラス",K$4,"19.賃貸用","no"),0)+IFERROR(GETPIVOTDATA("17.満室想定税込(自動)",pivot!$AR$9,"3.物件名",$B11,"7.クラス",K$4,"19.賃貸用","yes"),0)</f>
        <v>0</v>
      </c>
      <c r="L11" s="494">
        <f>IFERROR(GETPIVOTDATA("17.満室想定税込(自動)",pivot!$AR$9,"3.物件名",$B11,"19.賃貸用","no"),0)+IFERROR(GETPIVOTDATA("17.満室想定税込(自動)",pivot!$AR$9,"3.物件名",$B11,"19.賃貸用","yes"),0)</f>
        <v>2530000</v>
      </c>
      <c r="M11" s="494">
        <f t="shared" si="1"/>
        <v>30360000</v>
      </c>
      <c r="N11" s="495">
        <f t="shared" si="2"/>
        <v>7.0387312166727903E-2</v>
      </c>
      <c r="O11" s="495">
        <f t="shared" si="3"/>
        <v>0.58847626715106494</v>
      </c>
    </row>
    <row r="12" spans="1:15" ht="15.95" customHeight="1">
      <c r="A12" s="493">
        <v>107</v>
      </c>
      <c r="B12" s="493" t="str">
        <f t="shared" si="0"/>
        <v>メゾン雑司ヶ谷</v>
      </c>
      <c r="C12" s="494">
        <f>IFERROR(GETPIVOTDATA("17.満室想定税込(自動)",pivot!$AR$9,"3.物件名",$B12,"7.クラス",C$4,"19.賃貸用","no"),0)+IFERROR(GETPIVOTDATA("17.満室想定税込(自動)",pivot!$AR$9,"3.物件名",$B12,"7.クラス",C$4,"19.賃貸用","yes"),0)</f>
        <v>1378700</v>
      </c>
      <c r="D12" s="494">
        <f>IFERROR(GETPIVOTDATA("17.満室想定税込(自動)",pivot!$AR$9,"3.物件名",$B12,"7.クラス",D$4,"19.賃貸用","no"),0)+IFERROR(GETPIVOTDATA("17.満室想定税込(自動)",pivot!$AR$9,"3.物件名",$B12,"7.クラス",D$4,"19.賃貸用","yes"),0)</f>
        <v>0</v>
      </c>
      <c r="E12" s="494">
        <f>IFERROR(GETPIVOTDATA("17.満室想定税込(自動)",pivot!$AR$9,"3.物件名",$B12,"7.クラス",E$4,"19.賃貸用","no"),0)+IFERROR(GETPIVOTDATA("17.満室想定税込(自動)",pivot!$AR$9,"3.物件名",$B12,"7.クラス",E$4,"19.賃貸用","yes"),0)</f>
        <v>1100000</v>
      </c>
      <c r="F12" s="494">
        <f>IFERROR(GETPIVOTDATA("17.満室想定税込(自動)",pivot!$AR$9,"3.物件名",$B12,"7.クラス",F$4,"19.賃貸用","no"),0)+IFERROR(GETPIVOTDATA("17.満室想定税込(自動)",pivot!$AR$9,"3.物件名",$B12,"7.クラス",F$4,"19.賃貸用","yes"),0)</f>
        <v>0</v>
      </c>
      <c r="G12" s="494">
        <f>IFERROR(GETPIVOTDATA("17.満室想定税込(自動)",pivot!$AR$9,"3.物件名",$B12,"7.クラス",G$4,"19.賃貸用","no"),0)+IFERROR(GETPIVOTDATA("17.満室想定税込(自動)",pivot!$AR$9,"3.物件名",$B12,"7.クラス",G$4,"19.賃貸用","yes"),0)</f>
        <v>0</v>
      </c>
      <c r="H12" s="494">
        <f>IFERROR(GETPIVOTDATA("17.満室想定税込(自動)",pivot!$AR$9,"3.物件名",$B12,"7.クラス",H$4,"19.賃貸用","no"),0)+IFERROR(GETPIVOTDATA("17.満室想定税込(自動)",pivot!$AR$9,"3.物件名",$B12,"7.クラス",H$4,"19.賃貸用","yes"),0)</f>
        <v>0</v>
      </c>
      <c r="I12" s="494">
        <f>IFERROR(GETPIVOTDATA("17.満室想定税込(自動)",pivot!$AR$9,"3.物件名",$B12,"7.クラス",I$4,"19.賃貸用","no"),0)+IFERROR(GETPIVOTDATA("17.満室想定税込(自動)",pivot!$AR$9,"3.物件名",$B12,"7.クラス",I$4,"19.賃貸用","yes"),0)</f>
        <v>0</v>
      </c>
      <c r="J12" s="494">
        <f>IFERROR(GETPIVOTDATA("17.満室想定税込(自動)",pivot!$AR$9,"3.物件名",$B12,"7.クラス",J$4,"19.賃貸用","no"),0)+IFERROR(GETPIVOTDATA("17.満室想定税込(自動)",pivot!$AR$9,"3.物件名",$B12,"7.クラス",J$4,"19.賃貸用","yes"),0)</f>
        <v>0</v>
      </c>
      <c r="K12" s="494">
        <f>IFERROR(GETPIVOTDATA("17.満室想定税込(自動)",pivot!$AR$9,"3.物件名",$B12,"7.クラス",K$4,"19.賃貸用","no"),0)+IFERROR(GETPIVOTDATA("17.満室想定税込(自動)",pivot!$AR$9,"3.物件名",$B12,"7.クラス",K$4,"19.賃貸用","yes"),0)</f>
        <v>0</v>
      </c>
      <c r="L12" s="494">
        <f>IFERROR(GETPIVOTDATA("17.満室想定税込(自動)",pivot!$AR$9,"3.物件名",$B12,"19.賃貸用","no"),0)+IFERROR(GETPIVOTDATA("17.満室想定税込(自動)",pivot!$AR$9,"3.物件名",$B12,"19.賃貸用","yes"),0)</f>
        <v>2478700</v>
      </c>
      <c r="M12" s="494">
        <f t="shared" si="1"/>
        <v>29744400</v>
      </c>
      <c r="N12" s="495">
        <f t="shared" si="2"/>
        <v>6.8960091172991483E-2</v>
      </c>
      <c r="O12" s="495">
        <f t="shared" si="3"/>
        <v>0.65743635832405645</v>
      </c>
    </row>
    <row r="13" spans="1:15" ht="15.95" customHeight="1">
      <c r="A13" s="493">
        <v>116</v>
      </c>
      <c r="B13" s="493" t="str">
        <f t="shared" si="0"/>
        <v>コアプラスレジデンス梅田</v>
      </c>
      <c r="C13" s="494">
        <f>IFERROR(GETPIVOTDATA("17.満室想定税込(自動)",pivot!$AR$9,"3.物件名",$B13,"7.クラス",C$4,"19.賃貸用","no"),0)+IFERROR(GETPIVOTDATA("17.満室想定税込(自動)",pivot!$AR$9,"3.物件名",$B13,"7.クラス",C$4,"19.賃貸用","yes"),0)</f>
        <v>2041000</v>
      </c>
      <c r="D13" s="494">
        <f>IFERROR(GETPIVOTDATA("17.満室想定税込(自動)",pivot!$AR$9,"3.物件名",$B13,"7.クラス",D$4,"19.賃貸用","no"),0)+IFERROR(GETPIVOTDATA("17.満室想定税込(自動)",pivot!$AR$9,"3.物件名",$B13,"7.クラス",D$4,"19.賃貸用","yes"),0)</f>
        <v>0</v>
      </c>
      <c r="E13" s="494">
        <f>IFERROR(GETPIVOTDATA("17.満室想定税込(自動)",pivot!$AR$9,"3.物件名",$B13,"7.クラス",E$4,"19.賃貸用","no"),0)+IFERROR(GETPIVOTDATA("17.満室想定税込(自動)",pivot!$AR$9,"3.物件名",$B13,"7.クラス",E$4,"19.賃貸用","yes"),0)</f>
        <v>413600</v>
      </c>
      <c r="F13" s="494">
        <f>IFERROR(GETPIVOTDATA("17.満室想定税込(自動)",pivot!$AR$9,"3.物件名",$B13,"7.クラス",F$4,"19.賃貸用","no"),0)+IFERROR(GETPIVOTDATA("17.満室想定税込(自動)",pivot!$AR$9,"3.物件名",$B13,"7.クラス",F$4,"19.賃貸用","yes"),0)</f>
        <v>0</v>
      </c>
      <c r="G13" s="494">
        <f>IFERROR(GETPIVOTDATA("17.満室想定税込(自動)",pivot!$AR$9,"3.物件名",$B13,"7.クラス",G$4,"19.賃貸用","no"),0)+IFERROR(GETPIVOTDATA("17.満室想定税込(自動)",pivot!$AR$9,"3.物件名",$B13,"7.クラス",G$4,"19.賃貸用","yes"),0)</f>
        <v>0</v>
      </c>
      <c r="H13" s="494">
        <f>IFERROR(GETPIVOTDATA("17.満室想定税込(自動)",pivot!$AR$9,"3.物件名",$B13,"7.クラス",H$4,"19.賃貸用","no"),0)+IFERROR(GETPIVOTDATA("17.満室想定税込(自動)",pivot!$AR$9,"3.物件名",$B13,"7.クラス",H$4,"19.賃貸用","yes"),0)</f>
        <v>13200</v>
      </c>
      <c r="I13" s="494">
        <f>IFERROR(GETPIVOTDATA("17.満室想定税込(自動)",pivot!$AR$9,"3.物件名",$B13,"7.クラス",I$4,"19.賃貸用","no"),0)+IFERROR(GETPIVOTDATA("17.満室想定税込(自動)",pivot!$AR$9,"3.物件名",$B13,"7.クラス",I$4,"19.賃貸用","yes"),0)</f>
        <v>0</v>
      </c>
      <c r="J13" s="494">
        <f>IFERROR(GETPIVOTDATA("17.満室想定税込(自動)",pivot!$AR$9,"3.物件名",$B13,"7.クラス",J$4,"19.賃貸用","no"),0)+IFERROR(GETPIVOTDATA("17.満室想定税込(自動)",pivot!$AR$9,"3.物件名",$B13,"7.クラス",J$4,"19.賃貸用","yes"),0)</f>
        <v>0</v>
      </c>
      <c r="K13" s="494">
        <f>IFERROR(GETPIVOTDATA("17.満室想定税込(自動)",pivot!$AR$9,"3.物件名",$B13,"7.クラス",K$4,"19.賃貸用","no"),0)+IFERROR(GETPIVOTDATA("17.満室想定税込(自動)",pivot!$AR$9,"3.物件名",$B13,"7.クラス",K$4,"19.賃貸用","yes"),0)</f>
        <v>0</v>
      </c>
      <c r="L13" s="494">
        <f>IFERROR(GETPIVOTDATA("17.満室想定税込(自動)",pivot!$AR$9,"3.物件名",$B13,"19.賃貸用","no"),0)+IFERROR(GETPIVOTDATA("17.満室想定税込(自動)",pivot!$AR$9,"3.物件名",$B13,"19.賃貸用","yes"),0)</f>
        <v>2467800</v>
      </c>
      <c r="M13" s="494">
        <f t="shared" si="1"/>
        <v>29613600</v>
      </c>
      <c r="N13" s="495">
        <f t="shared" si="2"/>
        <v>6.8656841488162493E-2</v>
      </c>
      <c r="O13" s="495">
        <f t="shared" si="3"/>
        <v>0.72609319981221898</v>
      </c>
    </row>
    <row r="14" spans="1:15" ht="15.95" customHeight="1">
      <c r="A14" s="493">
        <v>111</v>
      </c>
      <c r="B14" s="493" t="str">
        <f t="shared" si="0"/>
        <v>目白カーサ二番館</v>
      </c>
      <c r="C14" s="494">
        <f>IFERROR(GETPIVOTDATA("17.満室想定税込(自動)",pivot!$AR$9,"3.物件名",$B14,"7.クラス",C$4,"19.賃貸用","no"),0)+IFERROR(GETPIVOTDATA("17.満室想定税込(自動)",pivot!$AR$9,"3.物件名",$B14,"7.クラス",C$4,"19.賃貸用","yes"),0)</f>
        <v>1758634</v>
      </c>
      <c r="D14" s="494">
        <f>IFERROR(GETPIVOTDATA("17.満室想定税込(自動)",pivot!$AR$9,"3.物件名",$B14,"7.クラス",D$4,"19.賃貸用","no"),0)+IFERROR(GETPIVOTDATA("17.満室想定税込(自動)",pivot!$AR$9,"3.物件名",$B14,"7.クラス",D$4,"19.賃貸用","yes"),0)</f>
        <v>0</v>
      </c>
      <c r="E14" s="494">
        <f>IFERROR(GETPIVOTDATA("17.満室想定税込(自動)",pivot!$AR$9,"3.物件名",$B14,"7.クラス",E$4,"19.賃貸用","no"),0)+IFERROR(GETPIVOTDATA("17.満室想定税込(自動)",pivot!$AR$9,"3.物件名",$B14,"7.クラス",E$4,"19.賃貸用","yes"),0)</f>
        <v>0</v>
      </c>
      <c r="F14" s="494">
        <f>IFERROR(GETPIVOTDATA("17.満室想定税込(自動)",pivot!$AR$9,"3.物件名",$B14,"7.クラス",F$4,"19.賃貸用","no"),0)+IFERROR(GETPIVOTDATA("17.満室想定税込(自動)",pivot!$AR$9,"3.物件名",$B14,"7.クラス",F$4,"19.賃貸用","yes"),0)</f>
        <v>113740</v>
      </c>
      <c r="G14" s="494">
        <f>IFERROR(GETPIVOTDATA("17.満室想定税込(自動)",pivot!$AR$9,"3.物件名",$B14,"7.クラス",G$4,"19.賃貸用","no"),0)+IFERROR(GETPIVOTDATA("17.満室想定税込(自動)",pivot!$AR$9,"3.物件名",$B14,"7.クラス",G$4,"19.賃貸用","yes"),0)</f>
        <v>0</v>
      </c>
      <c r="H14" s="494">
        <f>IFERROR(GETPIVOTDATA("17.満室想定税込(自動)",pivot!$AR$9,"3.物件名",$B14,"7.クラス",H$4,"19.賃貸用","no"),0)+IFERROR(GETPIVOTDATA("17.満室想定税込(自動)",pivot!$AR$9,"3.物件名",$B14,"7.クラス",H$4,"19.賃貸用","yes"),0)</f>
        <v>0</v>
      </c>
      <c r="I14" s="494">
        <f>IFERROR(GETPIVOTDATA("17.満室想定税込(自動)",pivot!$AR$9,"3.物件名",$B14,"7.クラス",I$4,"19.賃貸用","no"),0)+IFERROR(GETPIVOTDATA("17.満室想定税込(自動)",pivot!$AR$9,"3.物件名",$B14,"7.クラス",I$4,"19.賃貸用","yes"),0)</f>
        <v>0</v>
      </c>
      <c r="J14" s="494">
        <f>IFERROR(GETPIVOTDATA("17.満室想定税込(自動)",pivot!$AR$9,"3.物件名",$B14,"7.クラス",J$4,"19.賃貸用","no"),0)+IFERROR(GETPIVOTDATA("17.満室想定税込(自動)",pivot!$AR$9,"3.物件名",$B14,"7.クラス",J$4,"19.賃貸用","yes"),0)</f>
        <v>0</v>
      </c>
      <c r="K14" s="494">
        <f>IFERROR(GETPIVOTDATA("17.満室想定税込(自動)",pivot!$AR$9,"3.物件名",$B14,"7.クラス",K$4,"19.賃貸用","no"),0)+IFERROR(GETPIVOTDATA("17.満室想定税込(自動)",pivot!$AR$9,"3.物件名",$B14,"7.クラス",K$4,"19.賃貸用","yes"),0)</f>
        <v>0</v>
      </c>
      <c r="L14" s="494">
        <f>IFERROR(GETPIVOTDATA("17.満室想定税込(自動)",pivot!$AR$9,"3.物件名",$B14,"19.賃貸用","no"),0)+IFERROR(GETPIVOTDATA("17.満室想定税込(自動)",pivot!$AR$9,"3.物件名",$B14,"19.賃貸用","yes"),0)</f>
        <v>1872374</v>
      </c>
      <c r="M14" s="494">
        <f t="shared" si="1"/>
        <v>22468488</v>
      </c>
      <c r="N14" s="495">
        <f t="shared" si="2"/>
        <v>5.2091451869907109E-2</v>
      </c>
      <c r="O14" s="495">
        <f t="shared" si="3"/>
        <v>0.77818465168212614</v>
      </c>
    </row>
    <row r="15" spans="1:15" ht="15.95" customHeight="1">
      <c r="A15" s="493">
        <v>101</v>
      </c>
      <c r="B15" s="493" t="str">
        <f t="shared" si="0"/>
        <v>西池袋駅前ビル</v>
      </c>
      <c r="C15" s="494">
        <f>IFERROR(GETPIVOTDATA("17.満室想定税込(自動)",pivot!$AR$9,"3.物件名",$B15,"7.クラス",C$4,"19.賃貸用","no"),0)+IFERROR(GETPIVOTDATA("17.満室想定税込(自動)",pivot!$AR$9,"3.物件名",$B15,"7.クラス",C$4,"19.賃貸用","yes"),0)</f>
        <v>1437800</v>
      </c>
      <c r="D15" s="494">
        <f>IFERROR(GETPIVOTDATA("17.満室想定税込(自動)",pivot!$AR$9,"3.物件名",$B15,"7.クラス",D$4,"19.賃貸用","no"),0)+IFERROR(GETPIVOTDATA("17.満室想定税込(自動)",pivot!$AR$9,"3.物件名",$B15,"7.クラス",D$4,"19.賃貸用","yes"),0)</f>
        <v>302500</v>
      </c>
      <c r="E15" s="494">
        <f>IFERROR(GETPIVOTDATA("17.満室想定税込(自動)",pivot!$AR$9,"3.物件名",$B15,"7.クラス",E$4,"19.賃貸用","no"),0)+IFERROR(GETPIVOTDATA("17.満室想定税込(自動)",pivot!$AR$9,"3.物件名",$B15,"7.クラス",E$4,"19.賃貸用","yes"),0)</f>
        <v>0</v>
      </c>
      <c r="F15" s="494">
        <f>IFERROR(GETPIVOTDATA("17.満室想定税込(自動)",pivot!$AR$9,"3.物件名",$B15,"7.クラス",F$4,"19.賃貸用","no"),0)+IFERROR(GETPIVOTDATA("17.満室想定税込(自動)",pivot!$AR$9,"3.物件名",$B15,"7.クラス",F$4,"19.賃貸用","yes"),0)</f>
        <v>0</v>
      </c>
      <c r="G15" s="494">
        <f>IFERROR(GETPIVOTDATA("17.満室想定税込(自動)",pivot!$AR$9,"3.物件名",$B15,"7.クラス",G$4,"19.賃貸用","no"),0)+IFERROR(GETPIVOTDATA("17.満室想定税込(自動)",pivot!$AR$9,"3.物件名",$B15,"7.クラス",G$4,"19.賃貸用","yes"),0)</f>
        <v>0</v>
      </c>
      <c r="H15" s="494">
        <f>IFERROR(GETPIVOTDATA("17.満室想定税込(自動)",pivot!$AR$9,"3.物件名",$B15,"7.クラス",H$4,"19.賃貸用","no"),0)+IFERROR(GETPIVOTDATA("17.満室想定税込(自動)",pivot!$AR$9,"3.物件名",$B15,"7.クラス",H$4,"19.賃貸用","yes"),0)</f>
        <v>99000</v>
      </c>
      <c r="I15" s="494">
        <f>IFERROR(GETPIVOTDATA("17.満室想定税込(自動)",pivot!$AR$9,"3.物件名",$B15,"7.クラス",I$4,"19.賃貸用","no"),0)+IFERROR(GETPIVOTDATA("17.満室想定税込(自動)",pivot!$AR$9,"3.物件名",$B15,"7.クラス",I$4,"19.賃貸用","yes"),0)</f>
        <v>0</v>
      </c>
      <c r="J15" s="494">
        <f>IFERROR(GETPIVOTDATA("17.満室想定税込(自動)",pivot!$AR$9,"3.物件名",$B15,"7.クラス",J$4,"19.賃貸用","no"),0)+IFERROR(GETPIVOTDATA("17.満室想定税込(自動)",pivot!$AR$9,"3.物件名",$B15,"7.クラス",J$4,"19.賃貸用","yes"),0)</f>
        <v>0</v>
      </c>
      <c r="K15" s="494">
        <f>IFERROR(GETPIVOTDATA("17.満室想定税込(自動)",pivot!$AR$9,"3.物件名",$B15,"7.クラス",K$4,"19.賃貸用","no"),0)+IFERROR(GETPIVOTDATA("17.満室想定税込(自動)",pivot!$AR$9,"3.物件名",$B15,"7.クラス",K$4,"19.賃貸用","yes"),0)</f>
        <v>0</v>
      </c>
      <c r="L15" s="494">
        <f>IFERROR(GETPIVOTDATA("17.満室想定税込(自動)",pivot!$AR$9,"3.物件名",$B15,"19.賃貸用","no"),0)+IFERROR(GETPIVOTDATA("17.満室想定税込(自動)",pivot!$AR$9,"3.物件名",$B15,"19.賃貸用","yes"),0)</f>
        <v>1839300</v>
      </c>
      <c r="M15" s="494">
        <f t="shared" si="1"/>
        <v>22071600</v>
      </c>
      <c r="N15" s="495">
        <f t="shared" si="2"/>
        <v>5.117129773449116E-2</v>
      </c>
      <c r="O15" s="495">
        <f t="shared" si="3"/>
        <v>0.82935594941661728</v>
      </c>
    </row>
    <row r="16" spans="1:15" ht="15.95" customHeight="1">
      <c r="A16" s="493">
        <v>109</v>
      </c>
      <c r="B16" s="493" t="str">
        <f t="shared" si="0"/>
        <v>カーサ南池袋</v>
      </c>
      <c r="C16" s="494">
        <f>IFERROR(GETPIVOTDATA("17.満室想定税込(自動)",pivot!$AR$9,"3.物件名",$B16,"7.クラス",C$4,"19.賃貸用","no"),0)+IFERROR(GETPIVOTDATA("17.満室想定税込(自動)",pivot!$AR$9,"3.物件名",$B16,"7.クラス",C$4,"19.賃貸用","yes"),0)</f>
        <v>1417000</v>
      </c>
      <c r="D16" s="494">
        <f>IFERROR(GETPIVOTDATA("17.満室想定税込(自動)",pivot!$AR$9,"3.物件名",$B16,"7.クラス",D$4,"19.賃貸用","no"),0)+IFERROR(GETPIVOTDATA("17.満室想定税込(自動)",pivot!$AR$9,"3.物件名",$B16,"7.クラス",D$4,"19.賃貸用","yes"),0)</f>
        <v>0</v>
      </c>
      <c r="E16" s="494">
        <f>IFERROR(GETPIVOTDATA("17.満室想定税込(自動)",pivot!$AR$9,"3.物件名",$B16,"7.クラス",E$4,"19.賃貸用","no"),0)+IFERROR(GETPIVOTDATA("17.満室想定税込(自動)",pivot!$AR$9,"3.物件名",$B16,"7.クラス",E$4,"19.賃貸用","yes"),0)</f>
        <v>0</v>
      </c>
      <c r="F16" s="494">
        <f>IFERROR(GETPIVOTDATA("17.満室想定税込(自動)",pivot!$AR$9,"3.物件名",$B16,"7.クラス",F$4,"19.賃貸用","no"),0)+IFERROR(GETPIVOTDATA("17.満室想定税込(自動)",pivot!$AR$9,"3.物件名",$B16,"7.クラス",F$4,"19.賃貸用","yes"),0)</f>
        <v>27000</v>
      </c>
      <c r="G16" s="494">
        <f>IFERROR(GETPIVOTDATA("17.満室想定税込(自動)",pivot!$AR$9,"3.物件名",$B16,"7.クラス",G$4,"19.賃貸用","no"),0)+IFERROR(GETPIVOTDATA("17.満室想定税込(自動)",pivot!$AR$9,"3.物件名",$B16,"7.クラス",G$4,"19.賃貸用","yes"),0)</f>
        <v>17600</v>
      </c>
      <c r="H16" s="494">
        <f>IFERROR(GETPIVOTDATA("17.満室想定税込(自動)",pivot!$AR$9,"3.物件名",$B16,"7.クラス",H$4,"19.賃貸用","no"),0)+IFERROR(GETPIVOTDATA("17.満室想定税込(自動)",pivot!$AR$9,"3.物件名",$B16,"7.クラス",H$4,"19.賃貸用","yes"),0)</f>
        <v>72911</v>
      </c>
      <c r="I16" s="494">
        <f>IFERROR(GETPIVOTDATA("17.満室想定税込(自動)",pivot!$AR$9,"3.物件名",$B16,"7.クラス",I$4,"19.賃貸用","no"),0)+IFERROR(GETPIVOTDATA("17.満室想定税込(自動)",pivot!$AR$9,"3.物件名",$B16,"7.クラス",I$4,"19.賃貸用","yes"),0)</f>
        <v>0</v>
      </c>
      <c r="J16" s="494">
        <f>IFERROR(GETPIVOTDATA("17.満室想定税込(自動)",pivot!$AR$9,"3.物件名",$B16,"7.クラス",J$4,"19.賃貸用","no"),0)+IFERROR(GETPIVOTDATA("17.満室想定税込(自動)",pivot!$AR$9,"3.物件名",$B16,"7.クラス",J$4,"19.賃貸用","yes"),0)</f>
        <v>0</v>
      </c>
      <c r="K16" s="494">
        <f>IFERROR(GETPIVOTDATA("17.満室想定税込(自動)",pivot!$AR$9,"3.物件名",$B16,"7.クラス",K$4,"19.賃貸用","no"),0)+IFERROR(GETPIVOTDATA("17.満室想定税込(自動)",pivot!$AR$9,"3.物件名",$B16,"7.クラス",K$4,"19.賃貸用","yes"),0)</f>
        <v>0</v>
      </c>
      <c r="L16" s="494">
        <f>IFERROR(GETPIVOTDATA("17.満室想定税込(自動)",pivot!$AR$9,"3.物件名",$B16,"19.賃貸用","no"),0)+IFERROR(GETPIVOTDATA("17.満室想定税込(自動)",pivot!$AR$9,"3.物件名",$B16,"19.賃貸用","yes"),0)</f>
        <v>1534511</v>
      </c>
      <c r="M16" s="494">
        <f t="shared" si="1"/>
        <v>18414132</v>
      </c>
      <c r="N16" s="495">
        <f t="shared" si="2"/>
        <v>4.269174101987265E-2</v>
      </c>
      <c r="O16" s="495">
        <f t="shared" si="3"/>
        <v>0.87204769043648989</v>
      </c>
    </row>
    <row r="17" spans="1:15" ht="15.95" customHeight="1">
      <c r="A17" s="493">
        <v>114</v>
      </c>
      <c r="B17" s="493" t="str">
        <f t="shared" si="0"/>
        <v>レジデンス目白豊島</v>
      </c>
      <c r="C17" s="494">
        <f>IFERROR(GETPIVOTDATA("17.満室想定税込(自動)",pivot!$AR$9,"3.物件名",$B17,"7.クラス",C$4,"19.賃貸用","no"),0)+IFERROR(GETPIVOTDATA("17.満室想定税込(自動)",pivot!$AR$9,"3.物件名",$B17,"7.クラス",C$4,"19.賃貸用","yes"),0)</f>
        <v>935000</v>
      </c>
      <c r="D17" s="494">
        <f>IFERROR(GETPIVOTDATA("17.満室想定税込(自動)",pivot!$AR$9,"3.物件名",$B17,"7.クラス",D$4,"19.賃貸用","no"),0)+IFERROR(GETPIVOTDATA("17.満室想定税込(自動)",pivot!$AR$9,"3.物件名",$B17,"7.クラス",D$4,"19.賃貸用","yes"),0)</f>
        <v>94600</v>
      </c>
      <c r="E17" s="494">
        <f>IFERROR(GETPIVOTDATA("17.満室想定税込(自動)",pivot!$AR$9,"3.物件名",$B17,"7.クラス",E$4,"19.賃貸用","no"),0)+IFERROR(GETPIVOTDATA("17.満室想定税込(自動)",pivot!$AR$9,"3.物件名",$B17,"7.クラス",E$4,"19.賃貸用","yes"),0)</f>
        <v>0</v>
      </c>
      <c r="F17" s="494">
        <f>IFERROR(GETPIVOTDATA("17.満室想定税込(自動)",pivot!$AR$9,"3.物件名",$B17,"7.クラス",F$4,"19.賃貸用","no"),0)+IFERROR(GETPIVOTDATA("17.満室想定税込(自動)",pivot!$AR$9,"3.物件名",$B17,"7.クラス",F$4,"19.賃貸用","yes"),0)</f>
        <v>0</v>
      </c>
      <c r="G17" s="494">
        <f>IFERROR(GETPIVOTDATA("17.満室想定税込(自動)",pivot!$AR$9,"3.物件名",$B17,"7.クラス",G$4,"19.賃貸用","no"),0)+IFERROR(GETPIVOTDATA("17.満室想定税込(自動)",pivot!$AR$9,"3.物件名",$B17,"7.クラス",G$4,"19.賃貸用","yes"),0)</f>
        <v>264815</v>
      </c>
      <c r="H17" s="494">
        <f>IFERROR(GETPIVOTDATA("17.満室想定税込(自動)",pivot!$AR$9,"3.物件名",$B17,"7.クラス",H$4,"19.賃貸用","no"),0)+IFERROR(GETPIVOTDATA("17.満室想定税込(自動)",pivot!$AR$9,"3.物件名",$B17,"7.クラス",H$4,"19.賃貸用","yes"),0)</f>
        <v>0</v>
      </c>
      <c r="I17" s="494">
        <f>IFERROR(GETPIVOTDATA("17.満室想定税込(自動)",pivot!$AR$9,"3.物件名",$B17,"7.クラス",I$4,"19.賃貸用","no"),0)+IFERROR(GETPIVOTDATA("17.満室想定税込(自動)",pivot!$AR$9,"3.物件名",$B17,"7.クラス",I$4,"19.賃貸用","yes"),0)</f>
        <v>0</v>
      </c>
      <c r="J17" s="494">
        <f>IFERROR(GETPIVOTDATA("17.満室想定税込(自動)",pivot!$AR$9,"3.物件名",$B17,"7.クラス",J$4,"19.賃貸用","no"),0)+IFERROR(GETPIVOTDATA("17.満室想定税込(自動)",pivot!$AR$9,"3.物件名",$B17,"7.クラス",J$4,"19.賃貸用","yes"),0)</f>
        <v>0</v>
      </c>
      <c r="K17" s="494">
        <f>IFERROR(GETPIVOTDATA("17.満室想定税込(自動)",pivot!$AR$9,"3.物件名",$B17,"7.クラス",K$4,"19.賃貸用","no"),0)+IFERROR(GETPIVOTDATA("17.満室想定税込(自動)",pivot!$AR$9,"3.物件名",$B17,"7.クラス",K$4,"19.賃貸用","yes"),0)</f>
        <v>0</v>
      </c>
      <c r="L17" s="494">
        <f>IFERROR(GETPIVOTDATA("17.満室想定税込(自動)",pivot!$AR$9,"3.物件名",$B17,"19.賃貸用","no"),0)+IFERROR(GETPIVOTDATA("17.満室想定税込(自動)",pivot!$AR$9,"3.物件名",$B17,"19.賃貸用","yes"),0)</f>
        <v>1294415</v>
      </c>
      <c r="M17" s="494">
        <f t="shared" si="1"/>
        <v>15532980</v>
      </c>
      <c r="N17" s="495">
        <f t="shared" si="2"/>
        <v>3.6012012916322174E-2</v>
      </c>
      <c r="O17" s="495">
        <f t="shared" si="3"/>
        <v>0.90805970335281205</v>
      </c>
    </row>
    <row r="18" spans="1:15" ht="15.95" customHeight="1">
      <c r="A18" s="493">
        <v>120</v>
      </c>
      <c r="B18" s="493" t="str">
        <f t="shared" si="0"/>
        <v>南池袋マンション</v>
      </c>
      <c r="C18" s="494">
        <f>IFERROR(GETPIVOTDATA("17.満室想定税込(自動)",pivot!$AR$9,"3.物件名",$B18,"7.クラス",C$4,"19.賃貸用","no"),0)+IFERROR(GETPIVOTDATA("17.満室想定税込(自動)",pivot!$AR$9,"3.物件名",$B18,"7.クラス",C$4,"19.賃貸用","yes"),0)</f>
        <v>868000</v>
      </c>
      <c r="D18" s="494">
        <f>IFERROR(GETPIVOTDATA("17.満室想定税込(自動)",pivot!$AR$9,"3.物件名",$B18,"7.クラス",D$4,"19.賃貸用","no"),0)+IFERROR(GETPIVOTDATA("17.満室想定税込(自動)",pivot!$AR$9,"3.物件名",$B18,"7.クラス",D$4,"19.賃貸用","yes"),0)</f>
        <v>0</v>
      </c>
      <c r="E18" s="494">
        <f>IFERROR(GETPIVOTDATA("17.満室想定税込(自動)",pivot!$AR$9,"3.物件名",$B18,"7.クラス",E$4,"19.賃貸用","no"),0)+IFERROR(GETPIVOTDATA("17.満室想定税込(自動)",pivot!$AR$9,"3.物件名",$B18,"7.クラス",E$4,"19.賃貸用","yes"),0)</f>
        <v>0</v>
      </c>
      <c r="F18" s="494">
        <f>IFERROR(GETPIVOTDATA("17.満室想定税込(自動)",pivot!$AR$9,"3.物件名",$B18,"7.クラス",F$4,"19.賃貸用","no"),0)+IFERROR(GETPIVOTDATA("17.満室想定税込(自動)",pivot!$AR$9,"3.物件名",$B18,"7.クラス",F$4,"19.賃貸用","yes"),0)</f>
        <v>0</v>
      </c>
      <c r="G18" s="494">
        <f>IFERROR(GETPIVOTDATA("17.満室想定税込(自動)",pivot!$AR$9,"3.物件名",$B18,"7.クラス",G$4,"19.賃貸用","no"),0)+IFERROR(GETPIVOTDATA("17.満室想定税込(自動)",pivot!$AR$9,"3.物件名",$B18,"7.クラス",G$4,"19.賃貸用","yes"),0)</f>
        <v>0</v>
      </c>
      <c r="H18" s="494">
        <f>IFERROR(GETPIVOTDATA("17.満室想定税込(自動)",pivot!$AR$9,"3.物件名",$B18,"7.クラス",H$4,"19.賃貸用","no"),0)+IFERROR(GETPIVOTDATA("17.満室想定税込(自動)",pivot!$AR$9,"3.物件名",$B18,"7.クラス",H$4,"19.賃貸用","yes"),0)</f>
        <v>0</v>
      </c>
      <c r="I18" s="494">
        <f>IFERROR(GETPIVOTDATA("17.満室想定税込(自動)",pivot!$AR$9,"3.物件名",$B18,"7.クラス",I$4,"19.賃貸用","no"),0)+IFERROR(GETPIVOTDATA("17.満室想定税込(自動)",pivot!$AR$9,"3.物件名",$B18,"7.クラス",I$4,"19.賃貸用","yes"),0)</f>
        <v>0</v>
      </c>
      <c r="J18" s="494">
        <f>IFERROR(GETPIVOTDATA("17.満室想定税込(自動)",pivot!$AR$9,"3.物件名",$B18,"7.クラス",J$4,"19.賃貸用","no"),0)+IFERROR(GETPIVOTDATA("17.満室想定税込(自動)",pivot!$AR$9,"3.物件名",$B18,"7.クラス",J$4,"19.賃貸用","yes"),0)</f>
        <v>0</v>
      </c>
      <c r="K18" s="494">
        <f>IFERROR(GETPIVOTDATA("17.満室想定税込(自動)",pivot!$AR$9,"3.物件名",$B18,"7.クラス",K$4,"19.賃貸用","no"),0)+IFERROR(GETPIVOTDATA("17.満室想定税込(自動)",pivot!$AR$9,"3.物件名",$B18,"7.クラス",K$4,"19.賃貸用","yes"),0)</f>
        <v>0</v>
      </c>
      <c r="L18" s="494">
        <f>IFERROR(GETPIVOTDATA("17.満室想定税込(自動)",pivot!$AR$9,"3.物件名",$B18,"19.賃貸用","no"),0)+IFERROR(GETPIVOTDATA("17.満室想定税込(自動)",pivot!$AR$9,"3.物件名",$B18,"19.賃貸用","yes"),0)</f>
        <v>868000</v>
      </c>
      <c r="M18" s="494">
        <f t="shared" si="1"/>
        <v>10416000</v>
      </c>
      <c r="N18" s="495">
        <f t="shared" si="2"/>
        <v>2.4148690498308228E-2</v>
      </c>
      <c r="O18" s="495">
        <f t="shared" si="3"/>
        <v>0.93220839385112031</v>
      </c>
    </row>
    <row r="19" spans="1:15" ht="15.95" customHeight="1">
      <c r="A19" s="493">
        <v>117</v>
      </c>
      <c r="B19" s="493" t="str">
        <f t="shared" si="0"/>
        <v>高田馬場第4玉川ビル</v>
      </c>
      <c r="C19" s="494">
        <f>IFERROR(GETPIVOTDATA("17.満室想定税込(自動)",pivot!$AR$9,"3.物件名",$B19,"7.クラス",C$4,"19.賃貸用","no"),0)+IFERROR(GETPIVOTDATA("17.満室想定税込(自動)",pivot!$AR$9,"3.物件名",$B19,"7.クラス",C$4,"19.賃貸用","yes"),0)</f>
        <v>846000</v>
      </c>
      <c r="D19" s="494">
        <f>IFERROR(GETPIVOTDATA("17.満室想定税込(自動)",pivot!$AR$9,"3.物件名",$B19,"7.クラス",D$4,"19.賃貸用","no"),0)+IFERROR(GETPIVOTDATA("17.満室想定税込(自動)",pivot!$AR$9,"3.物件名",$B19,"7.クラス",D$4,"19.賃貸用","yes"),0)</f>
        <v>0</v>
      </c>
      <c r="E19" s="494">
        <f>IFERROR(GETPIVOTDATA("17.満室想定税込(自動)",pivot!$AR$9,"3.物件名",$B19,"7.クラス",E$4,"19.賃貸用","no"),0)+IFERROR(GETPIVOTDATA("17.満室想定税込(自動)",pivot!$AR$9,"3.物件名",$B19,"7.クラス",E$4,"19.賃貸用","yes"),0)</f>
        <v>0</v>
      </c>
      <c r="F19" s="494">
        <f>IFERROR(GETPIVOTDATA("17.満室想定税込(自動)",pivot!$AR$9,"3.物件名",$B19,"7.クラス",F$4,"19.賃貸用","no"),0)+IFERROR(GETPIVOTDATA("17.満室想定税込(自動)",pivot!$AR$9,"3.物件名",$B19,"7.クラス",F$4,"19.賃貸用","yes"),0)</f>
        <v>14300</v>
      </c>
      <c r="G19" s="494">
        <f>IFERROR(GETPIVOTDATA("17.満室想定税込(自動)",pivot!$AR$9,"3.物件名",$B19,"7.クラス",G$4,"19.賃貸用","no"),0)+IFERROR(GETPIVOTDATA("17.満室想定税込(自動)",pivot!$AR$9,"3.物件名",$B19,"7.クラス",G$4,"19.賃貸用","yes"),0)</f>
        <v>0</v>
      </c>
      <c r="H19" s="494">
        <f>IFERROR(GETPIVOTDATA("17.満室想定税込(自動)",pivot!$AR$9,"3.物件名",$B19,"7.クラス",H$4,"19.賃貸用","no"),0)+IFERROR(GETPIVOTDATA("17.満室想定税込(自動)",pivot!$AR$9,"3.物件名",$B19,"7.クラス",H$4,"19.賃貸用","yes"),0)</f>
        <v>0</v>
      </c>
      <c r="I19" s="494">
        <f>IFERROR(GETPIVOTDATA("17.満室想定税込(自動)",pivot!$AR$9,"3.物件名",$B19,"7.クラス",I$4,"19.賃貸用","no"),0)+IFERROR(GETPIVOTDATA("17.満室想定税込(自動)",pivot!$AR$9,"3.物件名",$B19,"7.クラス",I$4,"19.賃貸用","yes"),0)</f>
        <v>0</v>
      </c>
      <c r="J19" s="494">
        <f>IFERROR(GETPIVOTDATA("17.満室想定税込(自動)",pivot!$AR$9,"3.物件名",$B19,"7.クラス",J$4,"19.賃貸用","no"),0)+IFERROR(GETPIVOTDATA("17.満室想定税込(自動)",pivot!$AR$9,"3.物件名",$B19,"7.クラス",J$4,"19.賃貸用","yes"),0)</f>
        <v>0</v>
      </c>
      <c r="K19" s="494">
        <f>IFERROR(GETPIVOTDATA("17.満室想定税込(自動)",pivot!$AR$9,"3.物件名",$B19,"7.クラス",K$4,"19.賃貸用","no"),0)+IFERROR(GETPIVOTDATA("17.満室想定税込(自動)",pivot!$AR$9,"3.物件名",$B19,"7.クラス",K$4,"19.賃貸用","yes"),0)</f>
        <v>0</v>
      </c>
      <c r="L19" s="494">
        <f>IFERROR(GETPIVOTDATA("17.満室想定税込(自動)",pivot!$AR$9,"3.物件名",$B19,"19.賃貸用","no"),0)+IFERROR(GETPIVOTDATA("17.満室想定税込(自動)",pivot!$AR$9,"3.物件名",$B19,"19.賃貸用","yes"),0)</f>
        <v>860300</v>
      </c>
      <c r="M19" s="494">
        <f t="shared" si="1"/>
        <v>10323600</v>
      </c>
      <c r="N19" s="495">
        <f t="shared" si="2"/>
        <v>2.3934468243887751E-2</v>
      </c>
      <c r="O19" s="495">
        <f t="shared" si="3"/>
        <v>0.95614286209500809</v>
      </c>
    </row>
    <row r="20" spans="1:15" ht="15.95" customHeight="1">
      <c r="A20" s="493">
        <v>104</v>
      </c>
      <c r="B20" s="493" t="str">
        <f t="shared" si="0"/>
        <v>コアプラス池袋</v>
      </c>
      <c r="C20" s="494">
        <f>IFERROR(GETPIVOTDATA("17.満室想定税込(自動)",pivot!$AR$9,"3.物件名",$B20,"7.クラス",C$4,"19.賃貸用","no"),0)+IFERROR(GETPIVOTDATA("17.満室想定税込(自動)",pivot!$AR$9,"3.物件名",$B20,"7.クラス",C$4,"19.賃貸用","yes"),0)</f>
        <v>455000</v>
      </c>
      <c r="D20" s="494">
        <f>IFERROR(GETPIVOTDATA("17.満室想定税込(自動)",pivot!$AR$9,"3.物件名",$B20,"7.クラス",D$4,"19.賃貸用","no"),0)+IFERROR(GETPIVOTDATA("17.満室想定税込(自動)",pivot!$AR$9,"3.物件名",$B20,"7.クラス",D$4,"19.賃貸用","yes"),0)</f>
        <v>132000</v>
      </c>
      <c r="E20" s="494">
        <f>IFERROR(GETPIVOTDATA("17.満室想定税込(自動)",pivot!$AR$9,"3.物件名",$B20,"7.クラス",E$4,"19.賃貸用","no"),0)+IFERROR(GETPIVOTDATA("17.満室想定税込(自動)",pivot!$AR$9,"3.物件名",$B20,"7.クラス",E$4,"19.賃貸用","yes"),0)</f>
        <v>169400</v>
      </c>
      <c r="F20" s="494">
        <f>IFERROR(GETPIVOTDATA("17.満室想定税込(自動)",pivot!$AR$9,"3.物件名",$B20,"7.クラス",F$4,"19.賃貸用","no"),0)+IFERROR(GETPIVOTDATA("17.満室想定税込(自動)",pivot!$AR$9,"3.物件名",$B20,"7.クラス",F$4,"19.賃貸用","yes"),0)</f>
        <v>0</v>
      </c>
      <c r="G20" s="494">
        <f>IFERROR(GETPIVOTDATA("17.満室想定税込(自動)",pivot!$AR$9,"3.物件名",$B20,"7.クラス",G$4,"19.賃貸用","no"),0)+IFERROR(GETPIVOTDATA("17.満室想定税込(自動)",pivot!$AR$9,"3.物件名",$B20,"7.クラス",G$4,"19.賃貸用","yes"),0)</f>
        <v>0</v>
      </c>
      <c r="H20" s="494">
        <f>IFERROR(GETPIVOTDATA("17.満室想定税込(自動)",pivot!$AR$9,"3.物件名",$B20,"7.クラス",H$4,"19.賃貸用","no"),0)+IFERROR(GETPIVOTDATA("17.満室想定税込(自動)",pivot!$AR$9,"3.物件名",$B20,"7.クラス",H$4,"19.賃貸用","yes"),0)</f>
        <v>0</v>
      </c>
      <c r="I20" s="494">
        <f>IFERROR(GETPIVOTDATA("17.満室想定税込(自動)",pivot!$AR$9,"3.物件名",$B20,"7.クラス",I$4,"19.賃貸用","no"),0)+IFERROR(GETPIVOTDATA("17.満室想定税込(自動)",pivot!$AR$9,"3.物件名",$B20,"7.クラス",I$4,"19.賃貸用","yes"),0)</f>
        <v>0</v>
      </c>
      <c r="J20" s="494">
        <f>IFERROR(GETPIVOTDATA("17.満室想定税込(自動)",pivot!$AR$9,"3.物件名",$B20,"7.クラス",J$4,"19.賃貸用","no"),0)+IFERROR(GETPIVOTDATA("17.満室想定税込(自動)",pivot!$AR$9,"3.物件名",$B20,"7.クラス",J$4,"19.賃貸用","yes"),0)</f>
        <v>0</v>
      </c>
      <c r="K20" s="494">
        <f>IFERROR(GETPIVOTDATA("17.満室想定税込(自動)",pivot!$AR$9,"3.物件名",$B20,"7.クラス",K$4,"19.賃貸用","no"),0)+IFERROR(GETPIVOTDATA("17.満室想定税込(自動)",pivot!$AR$9,"3.物件名",$B20,"7.クラス",K$4,"19.賃貸用","yes"),0)</f>
        <v>0</v>
      </c>
      <c r="L20" s="494">
        <f>IFERROR(GETPIVOTDATA("17.満室想定税込(自動)",pivot!$AR$9,"3.物件名",$B20,"19.賃貸用","no"),0)+IFERROR(GETPIVOTDATA("17.満室想定税込(自動)",pivot!$AR$9,"3.物件名",$B20,"19.賃貸用","yes"),0)</f>
        <v>756400</v>
      </c>
      <c r="M20" s="494">
        <f t="shared" si="1"/>
        <v>9076800</v>
      </c>
      <c r="N20" s="495">
        <f t="shared" si="2"/>
        <v>2.1043858862811456E-2</v>
      </c>
      <c r="O20" s="495">
        <f t="shared" si="3"/>
        <v>0.97718672095781955</v>
      </c>
    </row>
    <row r="21" spans="1:15" ht="15.95" customHeight="1">
      <c r="A21" s="493">
        <v>121</v>
      </c>
      <c r="B21" s="493" t="str">
        <f t="shared" si="0"/>
        <v>目白アパート1号館</v>
      </c>
      <c r="C21" s="494">
        <f>IFERROR(GETPIVOTDATA("17.満室想定税込(自動)",pivot!$AR$9,"3.物件名",$B21,"7.クラス",C$4,"19.賃貸用","no"),0)+IFERROR(GETPIVOTDATA("17.満室想定税込(自動)",pivot!$AR$9,"3.物件名",$B21,"7.クラス",C$4,"19.賃貸用","yes"),0)</f>
        <v>330000</v>
      </c>
      <c r="D21" s="494">
        <f>IFERROR(GETPIVOTDATA("17.満室想定税込(自動)",pivot!$AR$9,"3.物件名",$B21,"7.クラス",D$4,"19.賃貸用","no"),0)+IFERROR(GETPIVOTDATA("17.満室想定税込(自動)",pivot!$AR$9,"3.物件名",$B21,"7.クラス",D$4,"19.賃貸用","yes"),0)</f>
        <v>0</v>
      </c>
      <c r="E21" s="494">
        <f>IFERROR(GETPIVOTDATA("17.満室想定税込(自動)",pivot!$AR$9,"3.物件名",$B21,"7.クラス",E$4,"19.賃貸用","no"),0)+IFERROR(GETPIVOTDATA("17.満室想定税込(自動)",pivot!$AR$9,"3.物件名",$B21,"7.クラス",E$4,"19.賃貸用","yes"),0)</f>
        <v>0</v>
      </c>
      <c r="F21" s="494">
        <f>IFERROR(GETPIVOTDATA("17.満室想定税込(自動)",pivot!$AR$9,"3.物件名",$B21,"7.クラス",F$4,"19.賃貸用","no"),0)+IFERROR(GETPIVOTDATA("17.満室想定税込(自動)",pivot!$AR$9,"3.物件名",$B21,"7.クラス",F$4,"19.賃貸用","yes"),0)</f>
        <v>0</v>
      </c>
      <c r="G21" s="494">
        <f>IFERROR(GETPIVOTDATA("17.満室想定税込(自動)",pivot!$AR$9,"3.物件名",$B21,"7.クラス",G$4,"19.賃貸用","no"),0)+IFERROR(GETPIVOTDATA("17.満室想定税込(自動)",pivot!$AR$9,"3.物件名",$B21,"7.クラス",G$4,"19.賃貸用","yes"),0)</f>
        <v>0</v>
      </c>
      <c r="H21" s="494">
        <f>IFERROR(GETPIVOTDATA("17.満室想定税込(自動)",pivot!$AR$9,"3.物件名",$B21,"7.クラス",H$4,"19.賃貸用","no"),0)+IFERROR(GETPIVOTDATA("17.満室想定税込(自動)",pivot!$AR$9,"3.物件名",$B21,"7.クラス",H$4,"19.賃貸用","yes"),0)</f>
        <v>0</v>
      </c>
      <c r="I21" s="494">
        <f>IFERROR(GETPIVOTDATA("17.満室想定税込(自動)",pivot!$AR$9,"3.物件名",$B21,"7.クラス",I$4,"19.賃貸用","no"),0)+IFERROR(GETPIVOTDATA("17.満室想定税込(自動)",pivot!$AR$9,"3.物件名",$B21,"7.クラス",I$4,"19.賃貸用","yes"),0)</f>
        <v>0</v>
      </c>
      <c r="J21" s="494">
        <f>IFERROR(GETPIVOTDATA("17.満室想定税込(自動)",pivot!$AR$9,"3.物件名",$B21,"7.クラス",J$4,"19.賃貸用","no"),0)+IFERROR(GETPIVOTDATA("17.満室想定税込(自動)",pivot!$AR$9,"3.物件名",$B21,"7.クラス",J$4,"19.賃貸用","yes"),0)</f>
        <v>0</v>
      </c>
      <c r="K21" s="494">
        <f>IFERROR(GETPIVOTDATA("17.満室想定税込(自動)",pivot!$AR$9,"3.物件名",$B21,"7.クラス",K$4,"19.賃貸用","no"),0)+IFERROR(GETPIVOTDATA("17.満室想定税込(自動)",pivot!$AR$9,"3.物件名",$B21,"7.クラス",K$4,"19.賃貸用","yes"),0)</f>
        <v>0</v>
      </c>
      <c r="L21" s="494">
        <f>IFERROR(GETPIVOTDATA("17.満室想定税込(自動)",pivot!$AR$9,"3.物件名",$B21,"19.賃貸用","no"),0)+IFERROR(GETPIVOTDATA("17.満室想定税込(自動)",pivot!$AR$9,"3.物件名",$B21,"19.賃貸用","yes"),0)</f>
        <v>330000</v>
      </c>
      <c r="M21" s="494">
        <f t="shared" si="1"/>
        <v>3960000</v>
      </c>
      <c r="N21" s="495">
        <f t="shared" si="2"/>
        <v>9.1809537608775523E-3</v>
      </c>
      <c r="O21" s="495">
        <f t="shared" si="3"/>
        <v>0.98636767471869713</v>
      </c>
    </row>
    <row r="22" spans="1:15" ht="15.95" customHeight="1">
      <c r="A22" s="493">
        <v>222</v>
      </c>
      <c r="B22" s="493" t="str">
        <f t="shared" si="0"/>
        <v>プラウD目白301号</v>
      </c>
      <c r="C22" s="494">
        <f>IFERROR(GETPIVOTDATA("17.満室想定税込(自動)",pivot!$AR$9,"3.物件名",$B22,"7.クラス",C$4,"19.賃貸用","no"),0)+IFERROR(GETPIVOTDATA("17.満室想定税込(自動)",pivot!$AR$9,"3.物件名",$B22,"7.クラス",C$4,"19.賃貸用","yes"),0)</f>
        <v>295000</v>
      </c>
      <c r="D22" s="494">
        <f>IFERROR(GETPIVOTDATA("17.満室想定税込(自動)",pivot!$AR$9,"3.物件名",$B22,"7.クラス",D$4,"19.賃貸用","no"),0)+IFERROR(GETPIVOTDATA("17.満室想定税込(自動)",pivot!$AR$9,"3.物件名",$B22,"7.クラス",D$4,"19.賃貸用","yes"),0)</f>
        <v>0</v>
      </c>
      <c r="E22" s="494">
        <f>IFERROR(GETPIVOTDATA("17.満室想定税込(自動)",pivot!$AR$9,"3.物件名",$B22,"7.クラス",E$4,"19.賃貸用","no"),0)+IFERROR(GETPIVOTDATA("17.満室想定税込(自動)",pivot!$AR$9,"3.物件名",$B22,"7.クラス",E$4,"19.賃貸用","yes"),0)</f>
        <v>0</v>
      </c>
      <c r="F22" s="494">
        <f>IFERROR(GETPIVOTDATA("17.満室想定税込(自動)",pivot!$AR$9,"3.物件名",$B22,"7.クラス",F$4,"19.賃貸用","no"),0)+IFERROR(GETPIVOTDATA("17.満室想定税込(自動)",pivot!$AR$9,"3.物件名",$B22,"7.クラス",F$4,"19.賃貸用","yes"),0)</f>
        <v>0</v>
      </c>
      <c r="G22" s="494">
        <f>IFERROR(GETPIVOTDATA("17.満室想定税込(自動)",pivot!$AR$9,"3.物件名",$B22,"7.クラス",G$4,"19.賃貸用","no"),0)+IFERROR(GETPIVOTDATA("17.満室想定税込(自動)",pivot!$AR$9,"3.物件名",$B22,"7.クラス",G$4,"19.賃貸用","yes"),0)</f>
        <v>0</v>
      </c>
      <c r="H22" s="494">
        <f>IFERROR(GETPIVOTDATA("17.満室想定税込(自動)",pivot!$AR$9,"3.物件名",$B22,"7.クラス",H$4,"19.賃貸用","no"),0)+IFERROR(GETPIVOTDATA("17.満室想定税込(自動)",pivot!$AR$9,"3.物件名",$B22,"7.クラス",H$4,"19.賃貸用","yes"),0)</f>
        <v>0</v>
      </c>
      <c r="I22" s="494">
        <f>IFERROR(GETPIVOTDATA("17.満室想定税込(自動)",pivot!$AR$9,"3.物件名",$B22,"7.クラス",I$4,"19.賃貸用","no"),0)+IFERROR(GETPIVOTDATA("17.満室想定税込(自動)",pivot!$AR$9,"3.物件名",$B22,"7.クラス",I$4,"19.賃貸用","yes"),0)</f>
        <v>0</v>
      </c>
      <c r="J22" s="494">
        <f>IFERROR(GETPIVOTDATA("17.満室想定税込(自動)",pivot!$AR$9,"3.物件名",$B22,"7.クラス",J$4,"19.賃貸用","no"),0)+IFERROR(GETPIVOTDATA("17.満室想定税込(自動)",pivot!$AR$9,"3.物件名",$B22,"7.クラス",J$4,"19.賃貸用","yes"),0)</f>
        <v>0</v>
      </c>
      <c r="K22" s="494">
        <f>IFERROR(GETPIVOTDATA("17.満室想定税込(自動)",pivot!$AR$9,"3.物件名",$B22,"7.クラス",K$4,"19.賃貸用","no"),0)+IFERROR(GETPIVOTDATA("17.満室想定税込(自動)",pivot!$AR$9,"3.物件名",$B22,"7.クラス",K$4,"19.賃貸用","yes"),0)</f>
        <v>0</v>
      </c>
      <c r="L22" s="494">
        <f>IFERROR(GETPIVOTDATA("17.満室想定税込(自動)",pivot!$AR$9,"3.物件名",$B22,"19.賃貸用","no"),0)+IFERROR(GETPIVOTDATA("17.満室想定税込(自動)",pivot!$AR$9,"3.物件名",$B22,"19.賃貸用","yes"),0)</f>
        <v>295000</v>
      </c>
      <c r="M22" s="494">
        <f t="shared" si="1"/>
        <v>3540000</v>
      </c>
      <c r="N22" s="495">
        <f t="shared" si="2"/>
        <v>8.207216240784479E-3</v>
      </c>
      <c r="O22" s="495">
        <f t="shared" si="3"/>
        <v>0.99457489095948159</v>
      </c>
    </row>
    <row r="23" spans="1:15" ht="15.95" customHeight="1">
      <c r="A23" s="493">
        <v>122</v>
      </c>
      <c r="B23" s="493" t="str">
        <f t="shared" si="0"/>
        <v>目白アパート2号館</v>
      </c>
      <c r="C23" s="494">
        <f>IFERROR(GETPIVOTDATA("17.満室想定税込(自動)",pivot!$AR$9,"3.物件名",$B23,"7.クラス",C$4,"19.賃貸用","no"),0)+IFERROR(GETPIVOTDATA("17.満室想定税込(自動)",pivot!$AR$9,"3.物件名",$B23,"7.クラス",C$4,"19.賃貸用","yes"),0)</f>
        <v>160000</v>
      </c>
      <c r="D23" s="494">
        <f>IFERROR(GETPIVOTDATA("17.満室想定税込(自動)",pivot!$AR$9,"3.物件名",$B23,"7.クラス",D$4,"19.賃貸用","no"),0)+IFERROR(GETPIVOTDATA("17.満室想定税込(自動)",pivot!$AR$9,"3.物件名",$B23,"7.クラス",D$4,"19.賃貸用","yes"),0)</f>
        <v>0</v>
      </c>
      <c r="E23" s="494">
        <f>IFERROR(GETPIVOTDATA("17.満室想定税込(自動)",pivot!$AR$9,"3.物件名",$B23,"7.クラス",E$4,"19.賃貸用","no"),0)+IFERROR(GETPIVOTDATA("17.満室想定税込(自動)",pivot!$AR$9,"3.物件名",$B23,"7.クラス",E$4,"19.賃貸用","yes"),0)</f>
        <v>0</v>
      </c>
      <c r="F23" s="494">
        <f>IFERROR(GETPIVOTDATA("17.満室想定税込(自動)",pivot!$AR$9,"3.物件名",$B23,"7.クラス",F$4,"19.賃貸用","no"),0)+IFERROR(GETPIVOTDATA("17.満室想定税込(自動)",pivot!$AR$9,"3.物件名",$B23,"7.クラス",F$4,"19.賃貸用","yes"),0)</f>
        <v>0</v>
      </c>
      <c r="G23" s="494">
        <f>IFERROR(GETPIVOTDATA("17.満室想定税込(自動)",pivot!$AR$9,"3.物件名",$B23,"7.クラス",G$4,"19.賃貸用","no"),0)+IFERROR(GETPIVOTDATA("17.満室想定税込(自動)",pivot!$AR$9,"3.物件名",$B23,"7.クラス",G$4,"19.賃貸用","yes"),0)</f>
        <v>0</v>
      </c>
      <c r="H23" s="494">
        <f>IFERROR(GETPIVOTDATA("17.満室想定税込(自動)",pivot!$AR$9,"3.物件名",$B23,"7.クラス",H$4,"19.賃貸用","no"),0)+IFERROR(GETPIVOTDATA("17.満室想定税込(自動)",pivot!$AR$9,"3.物件名",$B23,"7.クラス",H$4,"19.賃貸用","yes"),0)</f>
        <v>0</v>
      </c>
      <c r="I23" s="494">
        <f>IFERROR(GETPIVOTDATA("17.満室想定税込(自動)",pivot!$AR$9,"3.物件名",$B23,"7.クラス",I$4,"19.賃貸用","no"),0)+IFERROR(GETPIVOTDATA("17.満室想定税込(自動)",pivot!$AR$9,"3.物件名",$B23,"7.クラス",I$4,"19.賃貸用","yes"),0)</f>
        <v>0</v>
      </c>
      <c r="J23" s="494">
        <f>IFERROR(GETPIVOTDATA("17.満室想定税込(自動)",pivot!$AR$9,"3.物件名",$B23,"7.クラス",J$4,"19.賃貸用","no"),0)+IFERROR(GETPIVOTDATA("17.満室想定税込(自動)",pivot!$AR$9,"3.物件名",$B23,"7.クラス",J$4,"19.賃貸用","yes"),0)</f>
        <v>0</v>
      </c>
      <c r="K23" s="494">
        <f>IFERROR(GETPIVOTDATA("17.満室想定税込(自動)",pivot!$AR$9,"3.物件名",$B23,"7.クラス",K$4,"19.賃貸用","no"),0)+IFERROR(GETPIVOTDATA("17.満室想定税込(自動)",pivot!$AR$9,"3.物件名",$B23,"7.クラス",K$4,"19.賃貸用","yes"),0)</f>
        <v>0</v>
      </c>
      <c r="L23" s="494">
        <f>IFERROR(GETPIVOTDATA("17.満室想定税込(自動)",pivot!$AR$9,"3.物件名",$B23,"19.賃貸用","no"),0)+IFERROR(GETPIVOTDATA("17.満室想定税込(自動)",pivot!$AR$9,"3.物件名",$B23,"19.賃貸用","yes"),0)</f>
        <v>160000</v>
      </c>
      <c r="M23" s="494">
        <f t="shared" si="1"/>
        <v>1920000</v>
      </c>
      <c r="N23" s="495">
        <f t="shared" si="2"/>
        <v>4.4513715204254796E-3</v>
      </c>
      <c r="O23" s="495">
        <f t="shared" si="3"/>
        <v>0.99902626247990711</v>
      </c>
    </row>
    <row r="24" spans="1:15" ht="15.95" customHeight="1" thickBot="1">
      <c r="A24" s="496">
        <v>221</v>
      </c>
      <c r="B24" s="496" t="str">
        <f t="shared" si="0"/>
        <v>ビジネス新大阪123号</v>
      </c>
      <c r="C24" s="497">
        <f>IFERROR(GETPIVOTDATA("17.満室想定税込(自動)",pivot!$AR$9,"3.物件名",$B24,"7.クラス",C$4,"19.賃貸用","no"),0)+IFERROR(GETPIVOTDATA("17.満室想定税込(自動)",pivot!$AR$9,"3.物件名",$B24,"7.クラス",C$4,"19.賃貸用","yes"),0)</f>
        <v>0</v>
      </c>
      <c r="D24" s="497">
        <f>IFERROR(GETPIVOTDATA("17.満室想定税込(自動)",pivot!$AR$9,"3.物件名",$B24,"7.クラス",D$4,"19.賃貸用","no"),0)+IFERROR(GETPIVOTDATA("17.満室想定税込(自動)",pivot!$AR$9,"3.物件名",$B24,"7.クラス",D$4,"19.賃貸用","yes"),0)</f>
        <v>35000</v>
      </c>
      <c r="E24" s="497">
        <f>IFERROR(GETPIVOTDATA("17.満室想定税込(自動)",pivot!$AR$9,"3.物件名",$B24,"7.クラス",E$4,"19.賃貸用","no"),0)+IFERROR(GETPIVOTDATA("17.満室想定税込(自動)",pivot!$AR$9,"3.物件名",$B24,"7.クラス",E$4,"19.賃貸用","yes"),0)</f>
        <v>0</v>
      </c>
      <c r="F24" s="497">
        <f>IFERROR(GETPIVOTDATA("17.満室想定税込(自動)",pivot!$AR$9,"3.物件名",$B24,"7.クラス",F$4,"19.賃貸用","no"),0)+IFERROR(GETPIVOTDATA("17.満室想定税込(自動)",pivot!$AR$9,"3.物件名",$B24,"7.クラス",F$4,"19.賃貸用","yes"),0)</f>
        <v>0</v>
      </c>
      <c r="G24" s="497">
        <f>IFERROR(GETPIVOTDATA("17.満室想定税込(自動)",pivot!$AR$9,"3.物件名",$B24,"7.クラス",G$4,"19.賃貸用","no"),0)+IFERROR(GETPIVOTDATA("17.満室想定税込(自動)",pivot!$AR$9,"3.物件名",$B24,"7.クラス",G$4,"19.賃貸用","yes"),0)</f>
        <v>0</v>
      </c>
      <c r="H24" s="497">
        <f>IFERROR(GETPIVOTDATA("17.満室想定税込(自動)",pivot!$AR$9,"3.物件名",$B24,"7.クラス",H$4,"19.賃貸用","no"),0)+IFERROR(GETPIVOTDATA("17.満室想定税込(自動)",pivot!$AR$9,"3.物件名",$B24,"7.クラス",H$4,"19.賃貸用","yes"),0)</f>
        <v>0</v>
      </c>
      <c r="I24" s="497">
        <f>IFERROR(GETPIVOTDATA("17.満室想定税込(自動)",pivot!$AR$9,"3.物件名",$B24,"7.クラス",I$4,"19.賃貸用","no"),0)+IFERROR(GETPIVOTDATA("17.満室想定税込(自動)",pivot!$AR$9,"3.物件名",$B24,"7.クラス",I$4,"19.賃貸用","yes"),0)</f>
        <v>0</v>
      </c>
      <c r="J24" s="497">
        <f>IFERROR(GETPIVOTDATA("17.満室想定税込(自動)",pivot!$AR$9,"3.物件名",$B24,"7.クラス",J$4,"19.賃貸用","no"),0)+IFERROR(GETPIVOTDATA("17.満室想定税込(自動)",pivot!$AR$9,"3.物件名",$B24,"7.クラス",J$4,"19.賃貸用","yes"),0)</f>
        <v>0</v>
      </c>
      <c r="K24" s="497">
        <f>IFERROR(GETPIVOTDATA("17.満室想定税込(自動)",pivot!$AR$9,"3.物件名",$B24,"7.クラス",K$4,"19.賃貸用","no"),0)+IFERROR(GETPIVOTDATA("17.満室想定税込(自動)",pivot!$AR$9,"3.物件名",$B24,"7.クラス",K$4,"19.賃貸用","yes"),0)</f>
        <v>0</v>
      </c>
      <c r="L24" s="497">
        <f>IFERROR(GETPIVOTDATA("17.満室想定税込(自動)",pivot!$AR$9,"3.物件名",$B24,"19.賃貸用","no"),0)+IFERROR(GETPIVOTDATA("17.満室想定税込(自動)",pivot!$AR$9,"3.物件名",$B24,"19.賃貸用","yes"),0)</f>
        <v>35000</v>
      </c>
      <c r="M24" s="497">
        <f t="shared" si="1"/>
        <v>420000</v>
      </c>
      <c r="N24" s="498">
        <f t="shared" si="2"/>
        <v>9.7373752009307377E-4</v>
      </c>
      <c r="O24" s="498">
        <f t="shared" si="3"/>
        <v>1.0000000000000002</v>
      </c>
    </row>
    <row r="25" spans="1:15" ht="14.25" thickTop="1">
      <c r="A25" s="3"/>
      <c r="B25" s="3"/>
      <c r="C25" s="499">
        <f t="shared" ref="C25:L25" si="4">SUM(C5:C24)</f>
        <v>28530436</v>
      </c>
      <c r="D25" s="499">
        <f t="shared" si="4"/>
        <v>3737978</v>
      </c>
      <c r="E25" s="499">
        <f t="shared" si="4"/>
        <v>2337093</v>
      </c>
      <c r="F25" s="499">
        <f t="shared" si="4"/>
        <v>809021</v>
      </c>
      <c r="G25" s="499">
        <f t="shared" si="4"/>
        <v>282415</v>
      </c>
      <c r="H25" s="499">
        <f t="shared" si="4"/>
        <v>247035</v>
      </c>
      <c r="I25" s="499">
        <f t="shared" si="4"/>
        <v>0</v>
      </c>
      <c r="J25" s="499">
        <f t="shared" si="4"/>
        <v>0</v>
      </c>
      <c r="K25" s="499">
        <f t="shared" si="4"/>
        <v>0</v>
      </c>
      <c r="L25" s="499">
        <f t="shared" si="4"/>
        <v>35943978</v>
      </c>
      <c r="M25" s="499">
        <f>SUM(M5:M24)</f>
        <v>431327736</v>
      </c>
      <c r="N25" s="500">
        <f t="shared" si="2"/>
        <v>1</v>
      </c>
      <c r="O25" s="3"/>
    </row>
    <row r="26" spans="1:15" ht="26.25" customHeight="1"/>
    <row r="27" spans="1:15" ht="24">
      <c r="A27" s="501" t="s">
        <v>1516</v>
      </c>
      <c r="B27" s="502"/>
      <c r="C27" s="502"/>
      <c r="D27" s="23" t="s">
        <v>1511</v>
      </c>
    </row>
    <row r="28" spans="1:15">
      <c r="A28" s="503" t="s">
        <v>53</v>
      </c>
      <c r="B28" s="503" t="s">
        <v>54</v>
      </c>
      <c r="C28" s="503" t="s">
        <v>188</v>
      </c>
      <c r="D28" s="503" t="s">
        <v>260</v>
      </c>
      <c r="E28" s="503" t="s">
        <v>262</v>
      </c>
      <c r="F28" s="503" t="s">
        <v>236</v>
      </c>
      <c r="G28" s="503" t="s">
        <v>235</v>
      </c>
      <c r="H28" s="503" t="s">
        <v>234</v>
      </c>
      <c r="I28" s="503" t="s">
        <v>261</v>
      </c>
      <c r="J28" s="503" t="s">
        <v>720</v>
      </c>
      <c r="K28" s="503" t="s">
        <v>193</v>
      </c>
      <c r="L28" s="503" t="s">
        <v>1512</v>
      </c>
      <c r="M28" s="503" t="s">
        <v>1513</v>
      </c>
      <c r="N28" s="503" t="s">
        <v>1514</v>
      </c>
      <c r="O28" s="503" t="s">
        <v>1515</v>
      </c>
    </row>
    <row r="29" spans="1:15" ht="15.95" customHeight="1">
      <c r="A29" s="489">
        <v>115</v>
      </c>
      <c r="B29" s="490" t="str">
        <f t="shared" ref="B29:B48" si="5">VLOOKUP(A29,id_settings,2,FALSE)</f>
        <v>コアプラス大塚</v>
      </c>
      <c r="C29" s="504">
        <f>IFERROR(GETPIVOTDATA("13.現況賃料税込(自動)",pivot!$BF$7,"3.物件名",$B29,"7.クラス",C$28),0)</f>
        <v>3011000</v>
      </c>
      <c r="D29" s="504">
        <f>IFERROR(GETPIVOTDATA("13.現況賃料税込(自動)",pivot!$BF$7,"3.物件名",$B29,"7.クラス",D$28),0)</f>
        <v>0</v>
      </c>
      <c r="E29" s="504">
        <f>IFERROR(GETPIVOTDATA("13.現況賃料税込(自動)",pivot!$BF$7,"3.物件名",$B29,"7.クラス",E$28),0)</f>
        <v>192093</v>
      </c>
      <c r="F29" s="504">
        <f>IFERROR(GETPIVOTDATA("13.現況賃料税込(自動)",pivot!$BF$7,"3.物件名",$B29,"7.クラス",F$28),0)</f>
        <v>356481</v>
      </c>
      <c r="G29" s="504">
        <f>IFERROR(GETPIVOTDATA("13.現況賃料税込(自動)",pivot!$BF$7,"3.物件名",$B29,"7.クラス",G$28),0)</f>
        <v>0</v>
      </c>
      <c r="H29" s="504">
        <f>IFERROR(GETPIVOTDATA("13.現況賃料税込(自動)",pivot!$BF$7,"3.物件名",$B29,"7.クラス",H$28),0)</f>
        <v>13200</v>
      </c>
      <c r="I29" s="504">
        <f>IFERROR(GETPIVOTDATA("13.現況賃料税込(自動)",pivot!$BF$7,"3.物件名",$B29,"7.クラス",I$28),0)</f>
        <v>0</v>
      </c>
      <c r="J29" s="504">
        <f>IFERROR(GETPIVOTDATA("13.現況賃料税込(自動)",pivot!$BF$7,"3.物件名",$B29,"7.クラス",J$28),0)</f>
        <v>0</v>
      </c>
      <c r="K29" s="504">
        <f>IFERROR(GETPIVOTDATA("13.現況賃料税込(自動)",pivot!$BF$7,"3.物件名",$B29,"7.クラス",K$28),0)</f>
        <v>0</v>
      </c>
      <c r="L29" s="504">
        <f>GETPIVOTDATA("13.現況賃料税込(自動)",pivot!$BF$7,"3.物件名",$B29)</f>
        <v>3572774</v>
      </c>
      <c r="M29" s="504">
        <f t="shared" ref="M29:M48" si="6">L29*12</f>
        <v>42873288</v>
      </c>
      <c r="N29" s="505">
        <f t="shared" ref="N29:N48" si="7">M29/$M$49</f>
        <v>0.10119030322021903</v>
      </c>
      <c r="O29" s="505">
        <f>N29</f>
        <v>0.10119030322021903</v>
      </c>
    </row>
    <row r="30" spans="1:15" ht="15.95" customHeight="1">
      <c r="A30" s="493">
        <v>102</v>
      </c>
      <c r="B30" s="493" t="str">
        <f t="shared" si="5"/>
        <v>池袋ハウス</v>
      </c>
      <c r="C30" s="506">
        <f>IFERROR(GETPIVOTDATA("13.現況賃料税込(自動)",pivot!$BF$7,"3.物件名",$B30,"7.クラス",C$28),0)</f>
        <v>3026000</v>
      </c>
      <c r="D30" s="506">
        <f>IFERROR(GETPIVOTDATA("13.現況賃料税込(自動)",pivot!$BF$7,"3.物件名",$B30,"7.クラス",D$28),0)</f>
        <v>0</v>
      </c>
      <c r="E30" s="506">
        <f>IFERROR(GETPIVOTDATA("13.現況賃料税込(自動)",pivot!$BF$7,"3.物件名",$B30,"7.クラス",E$28),0)</f>
        <v>0</v>
      </c>
      <c r="F30" s="506">
        <f>IFERROR(GETPIVOTDATA("13.現況賃料税込(自動)",pivot!$BF$7,"3.物件名",$B30,"7.クラス",F$28),0)</f>
        <v>72000</v>
      </c>
      <c r="G30" s="506">
        <f>IFERROR(GETPIVOTDATA("13.現況賃料税込(自動)",pivot!$BF$7,"3.物件名",$B30,"7.クラス",G$28),0)</f>
        <v>0</v>
      </c>
      <c r="H30" s="506">
        <f>IFERROR(GETPIVOTDATA("13.現況賃料税込(自動)",pivot!$BF$7,"3.物件名",$B30,"7.クラス",H$28),0)</f>
        <v>0</v>
      </c>
      <c r="I30" s="506">
        <f>IFERROR(GETPIVOTDATA("13.現況賃料税込(自動)",pivot!$BF$7,"3.物件名",$B30,"7.クラス",I$28),0)</f>
        <v>0</v>
      </c>
      <c r="J30" s="506">
        <f>IFERROR(GETPIVOTDATA("13.現況賃料税込(自動)",pivot!$BF$7,"3.物件名",$B30,"7.クラス",J$28),0)</f>
        <v>0</v>
      </c>
      <c r="K30" s="506">
        <f>IFERROR(GETPIVOTDATA("13.現況賃料税込(自動)",pivot!$BF$7,"3.物件名",$B30,"7.クラス",K$28),0)</f>
        <v>0</v>
      </c>
      <c r="L30" s="506">
        <f>GETPIVOTDATA("13.現況賃料税込(自動)",pivot!$BF$7,"3.物件名",$B30)</f>
        <v>3098000</v>
      </c>
      <c r="M30" s="506">
        <f t="shared" si="6"/>
        <v>37176000</v>
      </c>
      <c r="N30" s="507">
        <f t="shared" si="7"/>
        <v>8.7743461908376674E-2</v>
      </c>
      <c r="O30" s="507">
        <f t="shared" ref="O30:O48" si="8">N30+O29</f>
        <v>0.18893376512859572</v>
      </c>
    </row>
    <row r="31" spans="1:15" ht="15.95" customHeight="1">
      <c r="A31" s="493">
        <v>106</v>
      </c>
      <c r="B31" s="493" t="str">
        <f t="shared" si="5"/>
        <v>東池袋ハイツ</v>
      </c>
      <c r="C31" s="506">
        <f>IFERROR(GETPIVOTDATA("13.現況賃料税込(自動)",pivot!$BF$7,"3.物件名",$B31,"7.クラス",C$28),0)</f>
        <v>3084000</v>
      </c>
      <c r="D31" s="506">
        <f>IFERROR(GETPIVOTDATA("13.現況賃料税込(自動)",pivot!$BF$7,"3.物件名",$B31,"7.クラス",D$28),0)</f>
        <v>0</v>
      </c>
      <c r="E31" s="506">
        <f>IFERROR(GETPIVOTDATA("13.現況賃料税込(自動)",pivot!$BF$7,"3.物件名",$B31,"7.クラス",E$28),0)</f>
        <v>0</v>
      </c>
      <c r="F31" s="506">
        <f>IFERROR(GETPIVOTDATA("13.現況賃料税込(自動)",pivot!$BF$7,"3.物件名",$B31,"7.クラス",F$28),0)</f>
        <v>0</v>
      </c>
      <c r="G31" s="506">
        <f>IFERROR(GETPIVOTDATA("13.現況賃料税込(自動)",pivot!$BF$7,"3.物件名",$B31,"7.クラス",G$28),0)</f>
        <v>0</v>
      </c>
      <c r="H31" s="506">
        <f>IFERROR(GETPIVOTDATA("13.現況賃料税込(自動)",pivot!$BF$7,"3.物件名",$B31,"7.クラス",H$28),0)</f>
        <v>13200</v>
      </c>
      <c r="I31" s="506">
        <f>IFERROR(GETPIVOTDATA("13.現況賃料税込(自動)",pivot!$BF$7,"3.物件名",$B31,"7.クラス",I$28),0)</f>
        <v>0</v>
      </c>
      <c r="J31" s="506">
        <f>IFERROR(GETPIVOTDATA("13.現況賃料税込(自動)",pivot!$BF$7,"3.物件名",$B31,"7.クラス",J$28),0)</f>
        <v>0</v>
      </c>
      <c r="K31" s="506">
        <f>IFERROR(GETPIVOTDATA("13.現況賃料税込(自動)",pivot!$BF$7,"3.物件名",$B31,"7.クラス",K$28),0)</f>
        <v>0</v>
      </c>
      <c r="L31" s="506">
        <f>GETPIVOTDATA("13.現況賃料税込(自動)",pivot!$BF$7,"3.物件名",$B31)</f>
        <v>3097200</v>
      </c>
      <c r="M31" s="506">
        <f t="shared" si="6"/>
        <v>37166400</v>
      </c>
      <c r="N31" s="507">
        <f t="shared" si="7"/>
        <v>8.7720803816211834E-2</v>
      </c>
      <c r="O31" s="507">
        <f t="shared" si="8"/>
        <v>0.27665456894480756</v>
      </c>
    </row>
    <row r="32" spans="1:15" ht="15.95" customHeight="1">
      <c r="A32" s="493">
        <v>103</v>
      </c>
      <c r="B32" s="493" t="str">
        <f t="shared" si="5"/>
        <v>カーサ目白台ハウス</v>
      </c>
      <c r="C32" s="506">
        <f>IFERROR(GETPIVOTDATA("13.現況賃料税込(自動)",pivot!$BF$7,"3.物件名",$B32,"7.クラス",C$28),0)</f>
        <v>1913800</v>
      </c>
      <c r="D32" s="506">
        <f>IFERROR(GETPIVOTDATA("13.現況賃料税込(自動)",pivot!$BF$7,"3.物件名",$B32,"7.クラス",D$28),0)</f>
        <v>643878</v>
      </c>
      <c r="E32" s="506">
        <f>IFERROR(GETPIVOTDATA("13.現況賃料税込(自動)",pivot!$BF$7,"3.物件名",$B32,"7.クラス",E$28),0)</f>
        <v>363000</v>
      </c>
      <c r="F32" s="506">
        <f>IFERROR(GETPIVOTDATA("13.現況賃料税込(自動)",pivot!$BF$7,"3.物件名",$B32,"7.クラス",F$28),0)</f>
        <v>126500</v>
      </c>
      <c r="G32" s="506">
        <f>IFERROR(GETPIVOTDATA("13.現況賃料税込(自動)",pivot!$BF$7,"3.物件名",$B32,"7.クラス",G$28),0)</f>
        <v>0</v>
      </c>
      <c r="H32" s="506">
        <f>IFERROR(GETPIVOTDATA("13.現況賃料税込(自動)",pivot!$BF$7,"3.物件名",$B32,"7.クラス",H$28),0)</f>
        <v>0</v>
      </c>
      <c r="I32" s="506">
        <f>IFERROR(GETPIVOTDATA("13.現況賃料税込(自動)",pivot!$BF$7,"3.物件名",$B32,"7.クラス",I$28),0)</f>
        <v>0</v>
      </c>
      <c r="J32" s="506">
        <f>IFERROR(GETPIVOTDATA("13.現況賃料税込(自動)",pivot!$BF$7,"3.物件名",$B32,"7.クラス",J$28),0)</f>
        <v>0</v>
      </c>
      <c r="K32" s="506">
        <f>IFERROR(GETPIVOTDATA("13.現況賃料税込(自動)",pivot!$BF$7,"3.物件名",$B32,"7.クラス",K$28),0)</f>
        <v>0</v>
      </c>
      <c r="L32" s="506">
        <f>GETPIVOTDATA("13.現況賃料税込(自動)",pivot!$BF$7,"3.物件名",$B32)</f>
        <v>3047178</v>
      </c>
      <c r="M32" s="506">
        <f t="shared" si="6"/>
        <v>36566136</v>
      </c>
      <c r="N32" s="507">
        <f t="shared" si="7"/>
        <v>8.6304049958374249E-2</v>
      </c>
      <c r="O32" s="507">
        <f t="shared" si="8"/>
        <v>0.36295861890318182</v>
      </c>
    </row>
    <row r="33" spans="1:15" ht="15.95" customHeight="1">
      <c r="A33" s="493">
        <v>113</v>
      </c>
      <c r="B33" s="493" t="str">
        <f t="shared" si="5"/>
        <v>第3目白ハイツ</v>
      </c>
      <c r="C33" s="506">
        <f>IFERROR(GETPIVOTDATA("13.現況賃料税込(自動)",pivot!$BF$7,"3.物件名",$B33,"7.クラス",C$28),0)</f>
        <v>2984000</v>
      </c>
      <c r="D33" s="506">
        <f>IFERROR(GETPIVOTDATA("13.現況賃料税込(自動)",pivot!$BF$7,"3.物件名",$B33,"7.クラス",D$28),0)</f>
        <v>0</v>
      </c>
      <c r="E33" s="506">
        <f>IFERROR(GETPIVOTDATA("13.現況賃料税込(自動)",pivot!$BF$7,"3.物件名",$B33,"7.クラス",E$28),0)</f>
        <v>0</v>
      </c>
      <c r="F33" s="506">
        <f>IFERROR(GETPIVOTDATA("13.現況賃料税込(自動)",pivot!$BF$7,"3.物件名",$B33,"7.クラス",F$28),0)</f>
        <v>22000</v>
      </c>
      <c r="G33" s="506">
        <f>IFERROR(GETPIVOTDATA("13.現況賃料税込(自動)",pivot!$BF$7,"3.物件名",$B33,"7.クラス",G$28),0)</f>
        <v>0</v>
      </c>
      <c r="H33" s="506">
        <f>IFERROR(GETPIVOTDATA("13.現況賃料税込(自動)",pivot!$BF$7,"3.物件名",$B33,"7.クラス",H$28),0)</f>
        <v>0</v>
      </c>
      <c r="I33" s="506">
        <f>IFERROR(GETPIVOTDATA("13.現況賃料税込(自動)",pivot!$BF$7,"3.物件名",$B33,"7.クラス",I$28),0)</f>
        <v>0</v>
      </c>
      <c r="J33" s="506">
        <f>IFERROR(GETPIVOTDATA("13.現況賃料税込(自動)",pivot!$BF$7,"3.物件名",$B33,"7.クラス",J$28),0)</f>
        <v>0</v>
      </c>
      <c r="K33" s="506">
        <f>IFERROR(GETPIVOTDATA("13.現況賃料税込(自動)",pivot!$BF$7,"3.物件名",$B33,"7.クラス",K$28),0)</f>
        <v>0</v>
      </c>
      <c r="L33" s="506">
        <f>GETPIVOTDATA("13.現況賃料税込(自動)",pivot!$BF$7,"3.物件名",$B33)</f>
        <v>3006000</v>
      </c>
      <c r="M33" s="506">
        <f t="shared" si="6"/>
        <v>36072000</v>
      </c>
      <c r="N33" s="507">
        <f t="shared" si="7"/>
        <v>8.5137781309419083E-2</v>
      </c>
      <c r="O33" s="507">
        <f t="shared" si="8"/>
        <v>0.44809640021260089</v>
      </c>
    </row>
    <row r="34" spans="1:15" ht="15.95" customHeight="1">
      <c r="A34" s="493">
        <v>105</v>
      </c>
      <c r="B34" s="493" t="str">
        <f t="shared" si="5"/>
        <v>目白アパート</v>
      </c>
      <c r="C34" s="506">
        <f>IFERROR(GETPIVOTDATA("13.現況賃料税込(自動)",pivot!$BF$7,"3.物件名",$B34,"7.クラス",C$28),0)</f>
        <v>2385298</v>
      </c>
      <c r="D34" s="506">
        <f>IFERROR(GETPIVOTDATA("13.現況賃料税込(自動)",pivot!$BF$7,"3.物件名",$B34,"7.クラス",D$28),0)</f>
        <v>0</v>
      </c>
      <c r="E34" s="506">
        <f>IFERROR(GETPIVOTDATA("13.現況賃料税込(自動)",pivot!$BF$7,"3.物件名",$B34,"7.クラス",E$28),0)</f>
        <v>99000</v>
      </c>
      <c r="F34" s="506">
        <f>IFERROR(GETPIVOTDATA("13.現況賃料税込(自動)",pivot!$BF$7,"3.物件名",$B34,"7.クラス",F$28),0)</f>
        <v>77000</v>
      </c>
      <c r="G34" s="506">
        <f>IFERROR(GETPIVOTDATA("13.現況賃料税込(自動)",pivot!$BF$7,"3.物件名",$B34,"7.クラス",G$28),0)</f>
        <v>0</v>
      </c>
      <c r="H34" s="506">
        <f>IFERROR(GETPIVOTDATA("13.現況賃料税込(自動)",pivot!$BF$7,"3.物件名",$B34,"7.クラス",H$28),0)</f>
        <v>35524</v>
      </c>
      <c r="I34" s="506">
        <f>IFERROR(GETPIVOTDATA("13.現況賃料税込(自動)",pivot!$BF$7,"3.物件名",$B34,"7.クラス",I$28),0)</f>
        <v>0</v>
      </c>
      <c r="J34" s="506">
        <f>IFERROR(GETPIVOTDATA("13.現況賃料税込(自動)",pivot!$BF$7,"3.物件名",$B34,"7.クラス",J$28),0)</f>
        <v>0</v>
      </c>
      <c r="K34" s="506">
        <f>IFERROR(GETPIVOTDATA("13.現況賃料税込(自動)",pivot!$BF$7,"3.物件名",$B34,"7.クラス",K$28),0)</f>
        <v>0</v>
      </c>
      <c r="L34" s="506">
        <f>GETPIVOTDATA("13.現況賃料税込(自動)",pivot!$BF$7,"3.物件名",$B34)</f>
        <v>2596822</v>
      </c>
      <c r="M34" s="506">
        <f t="shared" si="6"/>
        <v>31161864</v>
      </c>
      <c r="N34" s="507">
        <f t="shared" si="7"/>
        <v>7.3548790264633485E-2</v>
      </c>
      <c r="O34" s="507">
        <f t="shared" si="8"/>
        <v>0.52164519047723434</v>
      </c>
    </row>
    <row r="35" spans="1:15" ht="15.95" customHeight="1">
      <c r="A35" s="493">
        <v>112</v>
      </c>
      <c r="B35" s="493" t="str">
        <f t="shared" si="5"/>
        <v>豊島目白ビル</v>
      </c>
      <c r="C35" s="506">
        <f>IFERROR(GETPIVOTDATA("13.現況賃料税込(自動)",pivot!$BF$7,"3.物件名",$B35,"7.クラス",C$28),0)</f>
        <v>0</v>
      </c>
      <c r="D35" s="506">
        <f>IFERROR(GETPIVOTDATA("13.現況賃料税込(自動)",pivot!$BF$7,"3.物件名",$B35,"7.クラス",D$28),0)</f>
        <v>2530000</v>
      </c>
      <c r="E35" s="506">
        <f>IFERROR(GETPIVOTDATA("13.現況賃料税込(自動)",pivot!$BF$7,"3.物件名",$B35,"7.クラス",E$28),0)</f>
        <v>0</v>
      </c>
      <c r="F35" s="506">
        <f>IFERROR(GETPIVOTDATA("13.現況賃料税込(自動)",pivot!$BF$7,"3.物件名",$B35,"7.クラス",F$28),0)</f>
        <v>0</v>
      </c>
      <c r="G35" s="506">
        <f>IFERROR(GETPIVOTDATA("13.現況賃料税込(自動)",pivot!$BF$7,"3.物件名",$B35,"7.クラス",G$28),0)</f>
        <v>0</v>
      </c>
      <c r="H35" s="506">
        <f>IFERROR(GETPIVOTDATA("13.現況賃料税込(自動)",pivot!$BF$7,"3.物件名",$B35,"7.クラス",H$28),0)</f>
        <v>0</v>
      </c>
      <c r="I35" s="506">
        <f>IFERROR(GETPIVOTDATA("13.現況賃料税込(自動)",pivot!$BF$7,"3.物件名",$B35,"7.クラス",I$28),0)</f>
        <v>0</v>
      </c>
      <c r="J35" s="506">
        <f>IFERROR(GETPIVOTDATA("13.現況賃料税込(自動)",pivot!$BF$7,"3.物件名",$B35,"7.クラス",J$28),0)</f>
        <v>0</v>
      </c>
      <c r="K35" s="506">
        <f>IFERROR(GETPIVOTDATA("13.現況賃料税込(自動)",pivot!$BF$7,"3.物件名",$B35,"7.クラス",K$28),0)</f>
        <v>0</v>
      </c>
      <c r="L35" s="506">
        <f>GETPIVOTDATA("13.現況賃料税込(自動)",pivot!$BF$7,"3.物件名",$B35)</f>
        <v>2530000</v>
      </c>
      <c r="M35" s="506">
        <f t="shared" si="6"/>
        <v>30360000</v>
      </c>
      <c r="N35" s="507">
        <f t="shared" si="7"/>
        <v>7.1656216471334092E-2</v>
      </c>
      <c r="O35" s="507">
        <f t="shared" si="8"/>
        <v>0.59330140694856848</v>
      </c>
    </row>
    <row r="36" spans="1:15" ht="15.95" customHeight="1">
      <c r="A36" s="493">
        <v>107</v>
      </c>
      <c r="B36" s="493" t="str">
        <f t="shared" si="5"/>
        <v>メゾン雑司ヶ谷</v>
      </c>
      <c r="C36" s="506">
        <f>IFERROR(GETPIVOTDATA("13.現況賃料税込(自動)",pivot!$BF$7,"3.物件名",$B36,"7.クラス",C$28),0)</f>
        <v>1378700</v>
      </c>
      <c r="D36" s="506">
        <f>IFERROR(GETPIVOTDATA("13.現況賃料税込(自動)",pivot!$BF$7,"3.物件名",$B36,"7.クラス",D$28),0)</f>
        <v>0</v>
      </c>
      <c r="E36" s="506">
        <f>IFERROR(GETPIVOTDATA("13.現況賃料税込(自動)",pivot!$BF$7,"3.物件名",$B36,"7.クラス",E$28),0)</f>
        <v>1100000</v>
      </c>
      <c r="F36" s="506">
        <f>IFERROR(GETPIVOTDATA("13.現況賃料税込(自動)",pivot!$BF$7,"3.物件名",$B36,"7.クラス",F$28),0)</f>
        <v>0</v>
      </c>
      <c r="G36" s="506">
        <f>IFERROR(GETPIVOTDATA("13.現況賃料税込(自動)",pivot!$BF$7,"3.物件名",$B36,"7.クラス",G$28),0)</f>
        <v>0</v>
      </c>
      <c r="H36" s="506">
        <f>IFERROR(GETPIVOTDATA("13.現況賃料税込(自動)",pivot!$BF$7,"3.物件名",$B36,"7.クラス",H$28),0)</f>
        <v>0</v>
      </c>
      <c r="I36" s="506">
        <f>IFERROR(GETPIVOTDATA("13.現況賃料税込(自動)",pivot!$BF$7,"3.物件名",$B36,"7.クラス",I$28),0)</f>
        <v>0</v>
      </c>
      <c r="J36" s="506">
        <f>IFERROR(GETPIVOTDATA("13.現況賃料税込(自動)",pivot!$BF$7,"3.物件名",$B36,"7.クラス",J$28),0)</f>
        <v>0</v>
      </c>
      <c r="K36" s="506">
        <f>IFERROR(GETPIVOTDATA("13.現況賃料税込(自動)",pivot!$BF$7,"3.物件名",$B36,"7.クラス",K$28),0)</f>
        <v>0</v>
      </c>
      <c r="L36" s="506">
        <f>GETPIVOTDATA("13.現況賃料税込(自動)",pivot!$BF$7,"3.物件名",$B36)</f>
        <v>2478700</v>
      </c>
      <c r="M36" s="506">
        <f t="shared" si="6"/>
        <v>29744400</v>
      </c>
      <c r="N36" s="507">
        <f t="shared" si="7"/>
        <v>7.0203266311263168E-2</v>
      </c>
      <c r="O36" s="507">
        <f t="shared" si="8"/>
        <v>0.66350467325983165</v>
      </c>
    </row>
    <row r="37" spans="1:15" ht="15.95" customHeight="1">
      <c r="A37" s="493">
        <v>116</v>
      </c>
      <c r="B37" s="493" t="str">
        <f t="shared" si="5"/>
        <v>コアプラスレジデンス梅田</v>
      </c>
      <c r="C37" s="506">
        <f>IFERROR(GETPIVOTDATA("13.現況賃料税込(自動)",pivot!$BF$7,"3.物件名",$B37,"7.クラス",C$28),0)</f>
        <v>2041000</v>
      </c>
      <c r="D37" s="506">
        <f>IFERROR(GETPIVOTDATA("13.現況賃料税込(自動)",pivot!$BF$7,"3.物件名",$B37,"7.クラス",D$28),0)</f>
        <v>0</v>
      </c>
      <c r="E37" s="506">
        <f>IFERROR(GETPIVOTDATA("13.現況賃料税込(自動)",pivot!$BF$7,"3.物件名",$B37,"7.クラス",E$28),0)</f>
        <v>413600</v>
      </c>
      <c r="F37" s="506">
        <f>IFERROR(GETPIVOTDATA("13.現況賃料税込(自動)",pivot!$BF$7,"3.物件名",$B37,"7.クラス",F$28),0)</f>
        <v>0</v>
      </c>
      <c r="G37" s="506">
        <f>IFERROR(GETPIVOTDATA("13.現況賃料税込(自動)",pivot!$BF$7,"3.物件名",$B37,"7.クラス",G$28),0)</f>
        <v>0</v>
      </c>
      <c r="H37" s="506">
        <f>IFERROR(GETPIVOTDATA("13.現況賃料税込(自動)",pivot!$BF$7,"3.物件名",$B37,"7.クラス",H$28),0)</f>
        <v>13200</v>
      </c>
      <c r="I37" s="506">
        <f>IFERROR(GETPIVOTDATA("13.現況賃料税込(自動)",pivot!$BF$7,"3.物件名",$B37,"7.クラス",I$28),0)</f>
        <v>0</v>
      </c>
      <c r="J37" s="506">
        <f>IFERROR(GETPIVOTDATA("13.現況賃料税込(自動)",pivot!$BF$7,"3.物件名",$B37,"7.クラス",J$28),0)</f>
        <v>0</v>
      </c>
      <c r="K37" s="506">
        <f>IFERROR(GETPIVOTDATA("13.現況賃料税込(自動)",pivot!$BF$7,"3.物件名",$B37,"7.クラス",K$28),0)</f>
        <v>0</v>
      </c>
      <c r="L37" s="506">
        <f>GETPIVOTDATA("13.現況賃料税込(自動)",pivot!$BF$7,"3.物件名",$B37)</f>
        <v>2467800</v>
      </c>
      <c r="M37" s="506">
        <f t="shared" si="6"/>
        <v>29613600</v>
      </c>
      <c r="N37" s="507">
        <f t="shared" si="7"/>
        <v>6.9894549805517098E-2</v>
      </c>
      <c r="O37" s="507">
        <f t="shared" si="8"/>
        <v>0.73339922306534877</v>
      </c>
    </row>
    <row r="38" spans="1:15" ht="15.95" customHeight="1">
      <c r="A38" s="493">
        <v>111</v>
      </c>
      <c r="B38" s="493" t="str">
        <f t="shared" si="5"/>
        <v>目白カーサ二番館</v>
      </c>
      <c r="C38" s="506">
        <f>IFERROR(GETPIVOTDATA("13.現況賃料税込(自動)",pivot!$BF$7,"3.物件名",$B38,"7.クラス",C$28),0)</f>
        <v>1758634</v>
      </c>
      <c r="D38" s="506">
        <f>IFERROR(GETPIVOTDATA("13.現況賃料税込(自動)",pivot!$BF$7,"3.物件名",$B38,"7.クラス",D$28),0)</f>
        <v>0</v>
      </c>
      <c r="E38" s="506">
        <f>IFERROR(GETPIVOTDATA("13.現況賃料税込(自動)",pivot!$BF$7,"3.物件名",$B38,"7.クラス",E$28),0)</f>
        <v>0</v>
      </c>
      <c r="F38" s="506">
        <f>IFERROR(GETPIVOTDATA("13.現況賃料税込(自動)",pivot!$BF$7,"3.物件名",$B38,"7.クラス",F$28),0)</f>
        <v>113740</v>
      </c>
      <c r="G38" s="506">
        <f>IFERROR(GETPIVOTDATA("13.現況賃料税込(自動)",pivot!$BF$7,"3.物件名",$B38,"7.クラス",G$28),0)</f>
        <v>0</v>
      </c>
      <c r="H38" s="506">
        <f>IFERROR(GETPIVOTDATA("13.現況賃料税込(自動)",pivot!$BF$7,"3.物件名",$B38,"7.クラス",H$28),0)</f>
        <v>0</v>
      </c>
      <c r="I38" s="506">
        <f>IFERROR(GETPIVOTDATA("13.現況賃料税込(自動)",pivot!$BF$7,"3.物件名",$B38,"7.クラス",I$28),0)</f>
        <v>0</v>
      </c>
      <c r="J38" s="506">
        <f>IFERROR(GETPIVOTDATA("13.現況賃料税込(自動)",pivot!$BF$7,"3.物件名",$B38,"7.クラス",J$28),0)</f>
        <v>0</v>
      </c>
      <c r="K38" s="506">
        <f>IFERROR(GETPIVOTDATA("13.現況賃料税込(自動)",pivot!$BF$7,"3.物件名",$B38,"7.クラス",K$28),0)</f>
        <v>0</v>
      </c>
      <c r="L38" s="506">
        <f>GETPIVOTDATA("13.現況賃料税込(自動)",pivot!$BF$7,"3.物件名",$B38)</f>
        <v>1872374</v>
      </c>
      <c r="M38" s="506">
        <f t="shared" si="6"/>
        <v>22468488</v>
      </c>
      <c r="N38" s="507">
        <f t="shared" si="7"/>
        <v>5.3030528323833079E-2</v>
      </c>
      <c r="O38" s="507">
        <f t="shared" si="8"/>
        <v>0.78642975138918181</v>
      </c>
    </row>
    <row r="39" spans="1:15" ht="15.95" customHeight="1">
      <c r="A39" s="508">
        <v>101</v>
      </c>
      <c r="B39" s="493" t="str">
        <f t="shared" si="5"/>
        <v>西池袋駅前ビル</v>
      </c>
      <c r="C39" s="506">
        <f>IFERROR(GETPIVOTDATA("13.現況賃料税込(自動)",pivot!$BF$7,"3.物件名",$B39,"7.クラス",C$28),0)</f>
        <v>1437800</v>
      </c>
      <c r="D39" s="506">
        <f>IFERROR(GETPIVOTDATA("13.現況賃料税込(自動)",pivot!$BF$7,"3.物件名",$B39,"7.クラス",D$28),0)</f>
        <v>302500</v>
      </c>
      <c r="E39" s="506">
        <f>IFERROR(GETPIVOTDATA("13.現況賃料税込(自動)",pivot!$BF$7,"3.物件名",$B39,"7.クラス",E$28),0)</f>
        <v>0</v>
      </c>
      <c r="F39" s="506">
        <f>IFERROR(GETPIVOTDATA("13.現況賃料税込(自動)",pivot!$BF$7,"3.物件名",$B39,"7.クラス",F$28),0)</f>
        <v>0</v>
      </c>
      <c r="G39" s="506">
        <f>IFERROR(GETPIVOTDATA("13.現況賃料税込(自動)",pivot!$BF$7,"3.物件名",$B39,"7.クラス",G$28),0)</f>
        <v>0</v>
      </c>
      <c r="H39" s="506">
        <f>IFERROR(GETPIVOTDATA("13.現況賃料税込(自動)",pivot!$BF$7,"3.物件名",$B39,"7.クラス",H$28),0)</f>
        <v>99000</v>
      </c>
      <c r="I39" s="506">
        <f>IFERROR(GETPIVOTDATA("13.現況賃料税込(自動)",pivot!$BF$7,"3.物件名",$B39,"7.クラス",I$28),0)</f>
        <v>0</v>
      </c>
      <c r="J39" s="506">
        <f>IFERROR(GETPIVOTDATA("13.現況賃料税込(自動)",pivot!$BF$7,"3.物件名",$B39,"7.クラス",J$28),0)</f>
        <v>0</v>
      </c>
      <c r="K39" s="506">
        <f>IFERROR(GETPIVOTDATA("13.現況賃料税込(自動)",pivot!$BF$7,"3.物件名",$B39,"7.クラス",K$28),0)</f>
        <v>0</v>
      </c>
      <c r="L39" s="506">
        <f>GETPIVOTDATA("13.現況賃料税込(自動)",pivot!$BF$7,"3.物件名",$B39)</f>
        <v>1839300</v>
      </c>
      <c r="M39" s="506">
        <f t="shared" si="6"/>
        <v>22071600</v>
      </c>
      <c r="N39" s="507">
        <f t="shared" si="7"/>
        <v>5.209378614850782E-2</v>
      </c>
      <c r="O39" s="507">
        <f t="shared" si="8"/>
        <v>0.8385235375376896</v>
      </c>
    </row>
    <row r="40" spans="1:15" ht="15.95" customHeight="1">
      <c r="A40" s="493">
        <v>109</v>
      </c>
      <c r="B40" s="493" t="str">
        <f t="shared" si="5"/>
        <v>カーサ南池袋</v>
      </c>
      <c r="C40" s="506">
        <f>IFERROR(GETPIVOTDATA("13.現況賃料税込(自動)",pivot!$BF$7,"3.物件名",$B40,"7.クラス",C$28),0)</f>
        <v>1417000</v>
      </c>
      <c r="D40" s="506">
        <f>IFERROR(GETPIVOTDATA("13.現況賃料税込(自動)",pivot!$BF$7,"3.物件名",$B40,"7.クラス",D$28),0)</f>
        <v>0</v>
      </c>
      <c r="E40" s="506">
        <f>IFERROR(GETPIVOTDATA("13.現況賃料税込(自動)",pivot!$BF$7,"3.物件名",$B40,"7.クラス",E$28),0)</f>
        <v>0</v>
      </c>
      <c r="F40" s="506">
        <f>IFERROR(GETPIVOTDATA("13.現況賃料税込(自動)",pivot!$BF$7,"3.物件名",$B40,"7.クラス",F$28),0)</f>
        <v>27000</v>
      </c>
      <c r="G40" s="506">
        <f>IFERROR(GETPIVOTDATA("13.現況賃料税込(自動)",pivot!$BF$7,"3.物件名",$B40,"7.クラス",G$28),0)</f>
        <v>17600</v>
      </c>
      <c r="H40" s="506">
        <f>IFERROR(GETPIVOTDATA("13.現況賃料税込(自動)",pivot!$BF$7,"3.物件名",$B40,"7.クラス",H$28),0)</f>
        <v>72911</v>
      </c>
      <c r="I40" s="506">
        <f>IFERROR(GETPIVOTDATA("13.現況賃料税込(自動)",pivot!$BF$7,"3.物件名",$B40,"7.クラス",I$28),0)</f>
        <v>0</v>
      </c>
      <c r="J40" s="506">
        <f>IFERROR(GETPIVOTDATA("13.現況賃料税込(自動)",pivot!$BF$7,"3.物件名",$B40,"7.クラス",J$28),0)</f>
        <v>0</v>
      </c>
      <c r="K40" s="506">
        <f>IFERROR(GETPIVOTDATA("13.現況賃料税込(自動)",pivot!$BF$7,"3.物件名",$B40,"7.クラス",K$28),0)</f>
        <v>0</v>
      </c>
      <c r="L40" s="506">
        <f>GETPIVOTDATA("13.現況賃料税込(自動)",pivot!$BF$7,"3.物件名",$B40)</f>
        <v>1534511</v>
      </c>
      <c r="M40" s="506">
        <f t="shared" si="6"/>
        <v>18414132</v>
      </c>
      <c r="N40" s="507">
        <f t="shared" si="7"/>
        <v>4.3461364582467722E-2</v>
      </c>
      <c r="O40" s="507">
        <f t="shared" si="8"/>
        <v>0.88198490212015734</v>
      </c>
    </row>
    <row r="41" spans="1:15" ht="15.95" customHeight="1">
      <c r="A41" s="493">
        <v>114</v>
      </c>
      <c r="B41" s="493" t="str">
        <f t="shared" si="5"/>
        <v>レジデンス目白豊島</v>
      </c>
      <c r="C41" s="506">
        <f>IFERROR(GETPIVOTDATA("13.現況賃料税込(自動)",pivot!$BF$7,"3.物件名",$B41,"7.クラス",C$28),0)</f>
        <v>935000</v>
      </c>
      <c r="D41" s="506">
        <f>IFERROR(GETPIVOTDATA("13.現況賃料税込(自動)",pivot!$BF$7,"3.物件名",$B41,"7.クラス",D$28),0)</f>
        <v>94600</v>
      </c>
      <c r="E41" s="506">
        <f>IFERROR(GETPIVOTDATA("13.現況賃料税込(自動)",pivot!$BF$7,"3.物件名",$B41,"7.クラス",E$28),0)</f>
        <v>0</v>
      </c>
      <c r="F41" s="506">
        <f>IFERROR(GETPIVOTDATA("13.現況賃料税込(自動)",pivot!$BF$7,"3.物件名",$B41,"7.クラス",F$28),0)</f>
        <v>0</v>
      </c>
      <c r="G41" s="506">
        <f>IFERROR(GETPIVOTDATA("13.現況賃料税込(自動)",pivot!$BF$7,"3.物件名",$B41,"7.クラス",G$28),0)</f>
        <v>264815</v>
      </c>
      <c r="H41" s="506">
        <f>IFERROR(GETPIVOTDATA("13.現況賃料税込(自動)",pivot!$BF$7,"3.物件名",$B41,"7.クラス",H$28),0)</f>
        <v>0</v>
      </c>
      <c r="I41" s="506">
        <f>IFERROR(GETPIVOTDATA("13.現況賃料税込(自動)",pivot!$BF$7,"3.物件名",$B41,"7.クラス",I$28),0)</f>
        <v>0</v>
      </c>
      <c r="J41" s="506">
        <f>IFERROR(GETPIVOTDATA("13.現況賃料税込(自動)",pivot!$BF$7,"3.物件名",$B41,"7.クラス",J$28),0)</f>
        <v>0</v>
      </c>
      <c r="K41" s="506">
        <f>IFERROR(GETPIVOTDATA("13.現況賃料税込(自動)",pivot!$BF$7,"3.物件名",$B41,"7.クラス",K$28),0)</f>
        <v>0</v>
      </c>
      <c r="L41" s="506">
        <f>GETPIVOTDATA("13.現況賃料税込(自動)",pivot!$BF$7,"3.物件名",$B41)</f>
        <v>1294415</v>
      </c>
      <c r="M41" s="506">
        <f t="shared" si="6"/>
        <v>15532980</v>
      </c>
      <c r="N41" s="507">
        <f t="shared" si="7"/>
        <v>3.6661217961953325E-2</v>
      </c>
      <c r="O41" s="507">
        <f t="shared" si="8"/>
        <v>0.91864612008211066</v>
      </c>
    </row>
    <row r="42" spans="1:15" ht="15.95" customHeight="1">
      <c r="A42" s="493">
        <v>120</v>
      </c>
      <c r="B42" s="493" t="str">
        <f t="shared" si="5"/>
        <v>南池袋マンション</v>
      </c>
      <c r="C42" s="506">
        <f>IFERROR(GETPIVOTDATA("13.現況賃料税込(自動)",pivot!$BF$7,"3.物件名",$B42,"7.クラス",C$28),0)</f>
        <v>868000</v>
      </c>
      <c r="D42" s="506">
        <f>IFERROR(GETPIVOTDATA("13.現況賃料税込(自動)",pivot!$BF$7,"3.物件名",$B42,"7.クラス",D$28),0)</f>
        <v>0</v>
      </c>
      <c r="E42" s="506">
        <f>IFERROR(GETPIVOTDATA("13.現況賃料税込(自動)",pivot!$BF$7,"3.物件名",$B42,"7.クラス",E$28),0)</f>
        <v>0</v>
      </c>
      <c r="F42" s="506">
        <f>IFERROR(GETPIVOTDATA("13.現況賃料税込(自動)",pivot!$BF$7,"3.物件名",$B42,"7.クラス",F$28),0)</f>
        <v>0</v>
      </c>
      <c r="G42" s="506">
        <f>IFERROR(GETPIVOTDATA("13.現況賃料税込(自動)",pivot!$BF$7,"3.物件名",$B42,"7.クラス",G$28),0)</f>
        <v>0</v>
      </c>
      <c r="H42" s="506">
        <f>IFERROR(GETPIVOTDATA("13.現況賃料税込(自動)",pivot!$BF$7,"3.物件名",$B42,"7.クラス",H$28),0)</f>
        <v>0</v>
      </c>
      <c r="I42" s="506">
        <f>IFERROR(GETPIVOTDATA("13.現況賃料税込(自動)",pivot!$BF$7,"3.物件名",$B42,"7.クラス",I$28),0)</f>
        <v>0</v>
      </c>
      <c r="J42" s="506">
        <f>IFERROR(GETPIVOTDATA("13.現況賃料税込(自動)",pivot!$BF$7,"3.物件名",$B42,"7.クラス",J$28),0)</f>
        <v>0</v>
      </c>
      <c r="K42" s="506">
        <f>IFERROR(GETPIVOTDATA("13.現況賃料税込(自動)",pivot!$BF$7,"3.物件名",$B42,"7.クラス",K$28),0)</f>
        <v>0</v>
      </c>
      <c r="L42" s="506">
        <f>GETPIVOTDATA("13.現況賃料税込(自動)",pivot!$BF$7,"3.物件名",$B42)</f>
        <v>868000</v>
      </c>
      <c r="M42" s="506">
        <f t="shared" si="6"/>
        <v>10416000</v>
      </c>
      <c r="N42" s="507">
        <f t="shared" si="7"/>
        <v>2.4584029998860866E-2</v>
      </c>
      <c r="O42" s="507">
        <f t="shared" si="8"/>
        <v>0.94323015008097155</v>
      </c>
    </row>
    <row r="43" spans="1:15" ht="15.95" customHeight="1">
      <c r="A43" s="493">
        <v>117</v>
      </c>
      <c r="B43" s="493" t="str">
        <f t="shared" si="5"/>
        <v>高田馬場第4玉川ビル</v>
      </c>
      <c r="C43" s="506">
        <f>IFERROR(GETPIVOTDATA("13.現況賃料税込(自動)",pivot!$BF$7,"3.物件名",$B43,"7.クラス",C$28),0)</f>
        <v>846000</v>
      </c>
      <c r="D43" s="506">
        <f>IFERROR(GETPIVOTDATA("13.現況賃料税込(自動)",pivot!$BF$7,"3.物件名",$B43,"7.クラス",D$28),0)</f>
        <v>0</v>
      </c>
      <c r="E43" s="506">
        <f>IFERROR(GETPIVOTDATA("13.現況賃料税込(自動)",pivot!$BF$7,"3.物件名",$B43,"7.クラス",E$28),0)</f>
        <v>0</v>
      </c>
      <c r="F43" s="506">
        <f>IFERROR(GETPIVOTDATA("13.現況賃料税込(自動)",pivot!$BF$7,"3.物件名",$B43,"7.クラス",F$28),0)</f>
        <v>0</v>
      </c>
      <c r="G43" s="506">
        <f>IFERROR(GETPIVOTDATA("13.現況賃料税込(自動)",pivot!$BF$7,"3.物件名",$B43,"7.クラス",G$28),0)</f>
        <v>0</v>
      </c>
      <c r="H43" s="506">
        <f>IFERROR(GETPIVOTDATA("13.現況賃料税込(自動)",pivot!$BF$7,"3.物件名",$B43,"7.クラス",H$28),0)</f>
        <v>0</v>
      </c>
      <c r="I43" s="506">
        <f>IFERROR(GETPIVOTDATA("13.現況賃料税込(自動)",pivot!$BF$7,"3.物件名",$B43,"7.クラス",I$28),0)</f>
        <v>0</v>
      </c>
      <c r="J43" s="506">
        <f>IFERROR(GETPIVOTDATA("13.現況賃料税込(自動)",pivot!$BF$7,"3.物件名",$B43,"7.クラス",J$28),0)</f>
        <v>0</v>
      </c>
      <c r="K43" s="506">
        <f>IFERROR(GETPIVOTDATA("13.現況賃料税込(自動)",pivot!$BF$7,"3.物件名",$B43,"7.クラス",K$28),0)</f>
        <v>0</v>
      </c>
      <c r="L43" s="506">
        <f>GETPIVOTDATA("13.現況賃料税込(自動)",pivot!$BF$7,"3.物件名",$B43)</f>
        <v>846000</v>
      </c>
      <c r="M43" s="506">
        <f t="shared" si="6"/>
        <v>10152000</v>
      </c>
      <c r="N43" s="507">
        <f t="shared" si="7"/>
        <v>2.3960932464327525E-2</v>
      </c>
      <c r="O43" s="507">
        <f t="shared" si="8"/>
        <v>0.96719108254529906</v>
      </c>
    </row>
    <row r="44" spans="1:15" ht="15.95" customHeight="1">
      <c r="A44" s="493">
        <v>104</v>
      </c>
      <c r="B44" s="493" t="str">
        <f t="shared" si="5"/>
        <v>コアプラス池袋</v>
      </c>
      <c r="C44" s="506">
        <f>IFERROR(GETPIVOTDATA("13.現況賃料税込(自動)",pivot!$BF$7,"3.物件名",$B44,"7.クラス",C$28),0)</f>
        <v>367000</v>
      </c>
      <c r="D44" s="506">
        <f>IFERROR(GETPIVOTDATA("13.現況賃料税込(自動)",pivot!$BF$7,"3.物件名",$B44,"7.クラス",D$28),0)</f>
        <v>132000</v>
      </c>
      <c r="E44" s="506">
        <f>IFERROR(GETPIVOTDATA("13.現況賃料税込(自動)",pivot!$BF$7,"3.物件名",$B44,"7.クラス",E$28),0)</f>
        <v>169400</v>
      </c>
      <c r="F44" s="506">
        <f>IFERROR(GETPIVOTDATA("13.現況賃料税込(自動)",pivot!$BF$7,"3.物件名",$B44,"7.クラス",F$28),0)</f>
        <v>0</v>
      </c>
      <c r="G44" s="506">
        <f>IFERROR(GETPIVOTDATA("13.現況賃料税込(自動)",pivot!$BF$7,"3.物件名",$B44,"7.クラス",G$28),0)</f>
        <v>0</v>
      </c>
      <c r="H44" s="506">
        <f>IFERROR(GETPIVOTDATA("13.現況賃料税込(自動)",pivot!$BF$7,"3.物件名",$B44,"7.クラス",H$28),0)</f>
        <v>0</v>
      </c>
      <c r="I44" s="506">
        <f>IFERROR(GETPIVOTDATA("13.現況賃料税込(自動)",pivot!$BF$7,"3.物件名",$B44,"7.クラス",I$28),0)</f>
        <v>0</v>
      </c>
      <c r="J44" s="506">
        <f>IFERROR(GETPIVOTDATA("13.現況賃料税込(自動)",pivot!$BF$7,"3.物件名",$B44,"7.クラス",J$28),0)</f>
        <v>0</v>
      </c>
      <c r="K44" s="506">
        <f>IFERROR(GETPIVOTDATA("13.現況賃料税込(自動)",pivot!$BF$7,"3.物件名",$B44,"7.クラス",K$28),0)</f>
        <v>0</v>
      </c>
      <c r="L44" s="506">
        <f>GETPIVOTDATA("13.現況賃料税込(自動)",pivot!$BF$7,"3.物件名",$B44)</f>
        <v>668400</v>
      </c>
      <c r="M44" s="506">
        <f t="shared" si="6"/>
        <v>8020800</v>
      </c>
      <c r="N44" s="507">
        <f t="shared" si="7"/>
        <v>1.8930836003731109E-2</v>
      </c>
      <c r="O44" s="507">
        <f t="shared" si="8"/>
        <v>0.9861219185490302</v>
      </c>
    </row>
    <row r="45" spans="1:15" ht="15.95" customHeight="1">
      <c r="A45" s="493">
        <v>121</v>
      </c>
      <c r="B45" s="493" t="str">
        <f t="shared" si="5"/>
        <v>目白アパート1号館</v>
      </c>
      <c r="C45" s="506">
        <f>IFERROR(GETPIVOTDATA("13.現況賃料税込(自動)",pivot!$BF$7,"3.物件名",$B45,"7.クラス",C$28),0)</f>
        <v>330000</v>
      </c>
      <c r="D45" s="506">
        <f>IFERROR(GETPIVOTDATA("13.現況賃料税込(自動)",pivot!$BF$7,"3.物件名",$B45,"7.クラス",D$28),0)</f>
        <v>0</v>
      </c>
      <c r="E45" s="506">
        <f>IFERROR(GETPIVOTDATA("13.現況賃料税込(自動)",pivot!$BF$7,"3.物件名",$B45,"7.クラス",E$28),0)</f>
        <v>0</v>
      </c>
      <c r="F45" s="506">
        <f>IFERROR(GETPIVOTDATA("13.現況賃料税込(自動)",pivot!$BF$7,"3.物件名",$B45,"7.クラス",F$28),0)</f>
        <v>0</v>
      </c>
      <c r="G45" s="506">
        <f>IFERROR(GETPIVOTDATA("13.現況賃料税込(自動)",pivot!$BF$7,"3.物件名",$B45,"7.クラス",G$28),0)</f>
        <v>0</v>
      </c>
      <c r="H45" s="506">
        <f>IFERROR(GETPIVOTDATA("13.現況賃料税込(自動)",pivot!$BF$7,"3.物件名",$B45,"7.クラス",H$28),0)</f>
        <v>0</v>
      </c>
      <c r="I45" s="506">
        <f>IFERROR(GETPIVOTDATA("13.現況賃料税込(自動)",pivot!$BF$7,"3.物件名",$B45,"7.クラス",I$28),0)</f>
        <v>0</v>
      </c>
      <c r="J45" s="506">
        <f>IFERROR(GETPIVOTDATA("13.現況賃料税込(自動)",pivot!$BF$7,"3.物件名",$B45,"7.クラス",J$28),0)</f>
        <v>0</v>
      </c>
      <c r="K45" s="506">
        <f>IFERROR(GETPIVOTDATA("13.現況賃料税込(自動)",pivot!$BF$7,"3.物件名",$B45,"7.クラス",K$28),0)</f>
        <v>0</v>
      </c>
      <c r="L45" s="506">
        <f>GETPIVOTDATA("13.現況賃料税込(自動)",pivot!$BF$7,"3.物件名",$B45)</f>
        <v>330000</v>
      </c>
      <c r="M45" s="506">
        <f t="shared" si="6"/>
        <v>3960000</v>
      </c>
      <c r="N45" s="507">
        <f t="shared" si="7"/>
        <v>9.346463018000099E-3</v>
      </c>
      <c r="O45" s="507">
        <f t="shared" si="8"/>
        <v>0.99546838156703032</v>
      </c>
    </row>
    <row r="46" spans="1:15" ht="15.95" customHeight="1">
      <c r="A46" s="493">
        <v>222</v>
      </c>
      <c r="B46" s="493" t="str">
        <f t="shared" si="5"/>
        <v>プラウD目白301号</v>
      </c>
      <c r="C46" s="506">
        <f>IFERROR(GETPIVOTDATA("13.現況賃料税込(自動)",pivot!$BF$7,"3.物件名",$B46,"7.クラス",C$28),0)</f>
        <v>0</v>
      </c>
      <c r="D46" s="506">
        <f>IFERROR(GETPIVOTDATA("13.現況賃料税込(自動)",pivot!$BF$7,"3.物件名",$B46,"7.クラス",D$28),0)</f>
        <v>0</v>
      </c>
      <c r="E46" s="506">
        <f>IFERROR(GETPIVOTDATA("13.現況賃料税込(自動)",pivot!$BF$7,"3.物件名",$B46,"7.クラス",E$28),0)</f>
        <v>0</v>
      </c>
      <c r="F46" s="506">
        <f>IFERROR(GETPIVOTDATA("13.現況賃料税込(自動)",pivot!$BF$7,"3.物件名",$B46,"7.クラス",F$28),0)</f>
        <v>0</v>
      </c>
      <c r="G46" s="506">
        <f>IFERROR(GETPIVOTDATA("13.現況賃料税込(自動)",pivot!$BF$7,"3.物件名",$B46,"7.クラス",G$28),0)</f>
        <v>0</v>
      </c>
      <c r="H46" s="506">
        <f>IFERROR(GETPIVOTDATA("13.現況賃料税込(自動)",pivot!$BF$7,"3.物件名",$B46,"7.クラス",H$28),0)</f>
        <v>0</v>
      </c>
      <c r="I46" s="506">
        <f>IFERROR(GETPIVOTDATA("13.現況賃料税込(自動)",pivot!$BF$7,"3.物件名",$B46,"7.クラス",I$28),0)</f>
        <v>0</v>
      </c>
      <c r="J46" s="506">
        <f>IFERROR(GETPIVOTDATA("13.現況賃料税込(自動)",pivot!$BF$7,"3.物件名",$B46,"7.クラス",J$28),0)</f>
        <v>0</v>
      </c>
      <c r="K46" s="506">
        <f>IFERROR(GETPIVOTDATA("13.現況賃料税込(自動)",pivot!$BF$7,"3.物件名",$B46,"7.クラス",K$28),0)</f>
        <v>0</v>
      </c>
      <c r="L46" s="506">
        <f>GETPIVOTDATA("13.現況賃料税込(自動)",pivot!$BF$7,"3.物件名",$B46)</f>
        <v>0</v>
      </c>
      <c r="M46" s="506">
        <f t="shared" si="6"/>
        <v>0</v>
      </c>
      <c r="N46" s="507">
        <f t="shared" si="7"/>
        <v>0</v>
      </c>
      <c r="O46" s="507">
        <f t="shared" si="8"/>
        <v>0.99546838156703032</v>
      </c>
    </row>
    <row r="47" spans="1:15" ht="15.95" customHeight="1">
      <c r="A47" s="493">
        <v>122</v>
      </c>
      <c r="B47" s="493" t="str">
        <f t="shared" si="5"/>
        <v>目白アパート2号館</v>
      </c>
      <c r="C47" s="506">
        <f>IFERROR(GETPIVOTDATA("13.現況賃料税込(自動)",pivot!$BF$7,"3.物件名",$B47,"7.クラス",C$28),0)</f>
        <v>160000</v>
      </c>
      <c r="D47" s="506">
        <f>IFERROR(GETPIVOTDATA("13.現況賃料税込(自動)",pivot!$BF$7,"3.物件名",$B47,"7.クラス",D$28),0)</f>
        <v>0</v>
      </c>
      <c r="E47" s="506">
        <f>IFERROR(GETPIVOTDATA("13.現況賃料税込(自動)",pivot!$BF$7,"3.物件名",$B47,"7.クラス",E$28),0)</f>
        <v>0</v>
      </c>
      <c r="F47" s="506">
        <f>IFERROR(GETPIVOTDATA("13.現況賃料税込(自動)",pivot!$BF$7,"3.物件名",$B47,"7.クラス",F$28),0)</f>
        <v>0</v>
      </c>
      <c r="G47" s="506">
        <f>IFERROR(GETPIVOTDATA("13.現況賃料税込(自動)",pivot!$BF$7,"3.物件名",$B47,"7.クラス",G$28),0)</f>
        <v>0</v>
      </c>
      <c r="H47" s="506">
        <f>IFERROR(GETPIVOTDATA("13.現況賃料税込(自動)",pivot!$BF$7,"3.物件名",$B47,"7.クラス",H$28),0)</f>
        <v>0</v>
      </c>
      <c r="I47" s="506">
        <f>IFERROR(GETPIVOTDATA("13.現況賃料税込(自動)",pivot!$BF$7,"3.物件名",$B47,"7.クラス",I$28),0)</f>
        <v>0</v>
      </c>
      <c r="J47" s="506">
        <f>IFERROR(GETPIVOTDATA("13.現況賃料税込(自動)",pivot!$BF$7,"3.物件名",$B47,"7.クラス",J$28),0)</f>
        <v>0</v>
      </c>
      <c r="K47" s="506">
        <f>IFERROR(GETPIVOTDATA("13.現況賃料税込(自動)",pivot!$BF$7,"3.物件名",$B47,"7.クラス",K$28),0)</f>
        <v>0</v>
      </c>
      <c r="L47" s="506">
        <f>GETPIVOTDATA("13.現況賃料税込(自動)",pivot!$BF$7,"3.物件名",$B47)</f>
        <v>160000</v>
      </c>
      <c r="M47" s="506">
        <f t="shared" si="6"/>
        <v>1920000</v>
      </c>
      <c r="N47" s="507">
        <f t="shared" si="7"/>
        <v>4.5316184329697445E-3</v>
      </c>
      <c r="O47" s="507">
        <f t="shared" si="8"/>
        <v>1</v>
      </c>
    </row>
    <row r="48" spans="1:15" ht="15.95" customHeight="1" thickBot="1">
      <c r="A48" s="496">
        <v>221</v>
      </c>
      <c r="B48" s="496" t="str">
        <f t="shared" si="5"/>
        <v>ビジネス新大阪123号</v>
      </c>
      <c r="C48" s="509">
        <f>IFERROR(GETPIVOTDATA("13.現況賃料税込(自動)",pivot!$BF$7,"3.物件名",$B48,"7.クラス",C$28),0)</f>
        <v>0</v>
      </c>
      <c r="D48" s="509">
        <f>IFERROR(GETPIVOTDATA("13.現況賃料税込(自動)",pivot!$BF$7,"3.物件名",$B48,"7.クラス",D$28),0)</f>
        <v>0</v>
      </c>
      <c r="E48" s="509">
        <f>IFERROR(GETPIVOTDATA("13.現況賃料税込(自動)",pivot!$BF$7,"3.物件名",$B48,"7.クラス",E$28),0)</f>
        <v>0</v>
      </c>
      <c r="F48" s="509">
        <f>IFERROR(GETPIVOTDATA("13.現況賃料税込(自動)",pivot!$BF$7,"3.物件名",$B48,"7.クラス",F$28),0)</f>
        <v>0</v>
      </c>
      <c r="G48" s="509">
        <f>IFERROR(GETPIVOTDATA("13.現況賃料税込(自動)",pivot!$BF$7,"3.物件名",$B48,"7.クラス",G$28),0)</f>
        <v>0</v>
      </c>
      <c r="H48" s="509">
        <f>IFERROR(GETPIVOTDATA("13.現況賃料税込(自動)",pivot!$BF$7,"3.物件名",$B48,"7.クラス",H$28),0)</f>
        <v>0</v>
      </c>
      <c r="I48" s="509">
        <f>IFERROR(GETPIVOTDATA("13.現況賃料税込(自動)",pivot!$BF$7,"3.物件名",$B48,"7.クラス",I$28),0)</f>
        <v>0</v>
      </c>
      <c r="J48" s="509">
        <f>IFERROR(GETPIVOTDATA("13.現況賃料税込(自動)",pivot!$BF$7,"3.物件名",$B48,"7.クラス",J$28),0)</f>
        <v>0</v>
      </c>
      <c r="K48" s="509">
        <f>IFERROR(GETPIVOTDATA("13.現況賃料税込(自動)",pivot!$BF$7,"3.物件名",$B48,"7.クラス",K$28),0)</f>
        <v>0</v>
      </c>
      <c r="L48" s="509">
        <f>GETPIVOTDATA("13.現況賃料税込(自動)",pivot!$BF$7,"3.物件名",$B48)</f>
        <v>0</v>
      </c>
      <c r="M48" s="509">
        <f t="shared" si="6"/>
        <v>0</v>
      </c>
      <c r="N48" s="510">
        <f t="shared" si="7"/>
        <v>0</v>
      </c>
      <c r="O48" s="510">
        <f t="shared" si="8"/>
        <v>1</v>
      </c>
    </row>
    <row r="49" spans="1:15" ht="14.25" thickTop="1">
      <c r="A49" s="485"/>
      <c r="B49" s="485"/>
      <c r="C49" s="504">
        <f>SUM(C29:C48)</f>
        <v>27943232</v>
      </c>
      <c r="D49" s="504">
        <f t="shared" ref="D49:M49" si="9">SUM(D29:D48)</f>
        <v>3702978</v>
      </c>
      <c r="E49" s="504">
        <f t="shared" si="9"/>
        <v>2337093</v>
      </c>
      <c r="F49" s="504">
        <f t="shared" si="9"/>
        <v>794721</v>
      </c>
      <c r="G49" s="504">
        <f t="shared" si="9"/>
        <v>282415</v>
      </c>
      <c r="H49" s="504">
        <f t="shared" si="9"/>
        <v>247035</v>
      </c>
      <c r="I49" s="504">
        <f t="shared" si="9"/>
        <v>0</v>
      </c>
      <c r="J49" s="504">
        <f t="shared" si="9"/>
        <v>0</v>
      </c>
      <c r="K49" s="504">
        <f t="shared" si="9"/>
        <v>0</v>
      </c>
      <c r="L49" s="504">
        <f t="shared" si="9"/>
        <v>35307474</v>
      </c>
      <c r="M49" s="504">
        <f t="shared" si="9"/>
        <v>423689688</v>
      </c>
      <c r="N49" s="500">
        <f>SUM(N29:N48)</f>
        <v>1</v>
      </c>
      <c r="O49" s="3"/>
    </row>
    <row r="54" spans="1:15" ht="17.25">
      <c r="A54" s="63"/>
    </row>
    <row r="56" spans="1:15" ht="24">
      <c r="A56" s="511" t="s">
        <v>1517</v>
      </c>
      <c r="B56" s="512"/>
      <c r="C56" s="513"/>
      <c r="D56" s="513"/>
      <c r="E56" s="513"/>
      <c r="F56" s="513"/>
      <c r="H56" s="635" t="s">
        <v>1518</v>
      </c>
      <c r="I56" s="635"/>
      <c r="J56" s="635"/>
      <c r="K56" s="635"/>
      <c r="L56" s="525"/>
      <c r="M56" s="525"/>
      <c r="N56" s="525"/>
    </row>
    <row r="57" spans="1:15" ht="27">
      <c r="A57" s="514" t="s">
        <v>1519</v>
      </c>
      <c r="B57" s="514" t="s">
        <v>54</v>
      </c>
      <c r="C57" s="514" t="s">
        <v>1520</v>
      </c>
      <c r="D57" s="514" t="s">
        <v>1521</v>
      </c>
      <c r="E57" s="514" t="s">
        <v>1522</v>
      </c>
      <c r="F57" s="514" t="s">
        <v>1523</v>
      </c>
      <c r="H57" s="526" t="s">
        <v>53</v>
      </c>
      <c r="I57" s="527" t="s">
        <v>54</v>
      </c>
      <c r="J57" s="528" t="s">
        <v>1524</v>
      </c>
      <c r="K57" s="528" t="s">
        <v>1525</v>
      </c>
      <c r="L57" s="529" t="s">
        <v>1526</v>
      </c>
      <c r="M57" s="529" t="s">
        <v>1527</v>
      </c>
      <c r="N57" s="529" t="s">
        <v>1528</v>
      </c>
    </row>
    <row r="58" spans="1:15" ht="15.95" customHeight="1">
      <c r="A58">
        <v>115</v>
      </c>
      <c r="B58" s="515" t="str">
        <f t="shared" ref="B58:B77" si="10">VLOOKUP(A58,id_settings,2,FALSE)</f>
        <v>コアプラス大塚</v>
      </c>
      <c r="C58" s="57">
        <f>IFERROR(GETPIVOTDATA("17.満室想定税込(自動)",pivot!$AR$9,"3.物件名",$B58,"19.賃貸用","yes"),0)</f>
        <v>3572774</v>
      </c>
      <c r="D58" s="57">
        <f>GETPIVOTDATA("13.現況賃料税込(自動)",pivot!$BT$8,"3.物件名",B58)</f>
        <v>3572774</v>
      </c>
      <c r="E58" s="99">
        <f t="shared" ref="E58:E77" si="11">D58-C58</f>
        <v>0</v>
      </c>
      <c r="F58" s="516">
        <f t="shared" ref="F58:F77" si="12">IFERROR(D58/C58,0)</f>
        <v>1</v>
      </c>
      <c r="H58">
        <v>101</v>
      </c>
      <c r="I58" t="str">
        <f t="shared" ref="I58:I77" si="13">VLOOKUP(H58,id_settings,2,FALSE)</f>
        <v>西池袋駅前ビル</v>
      </c>
      <c r="J58" s="57">
        <f>IFERROR(GETPIVOTDATA("合計 / 32.購入時賃料税抜",pivot!$CJ$6,"3.物件名",I58),0)</f>
        <v>1691000</v>
      </c>
      <c r="K58" s="57">
        <f>IFERROR(GETPIVOTDATA("合計 / 42.満室想定税抜(自動)",pivot!$CJ$6,"3.物件名",I58),0)</f>
        <v>1802800</v>
      </c>
      <c r="L58" s="57">
        <f>IFERROR(GETPIVOTDATA("合計 / 14.再募集賃料税抜",pivot!$CJ$6,"3.物件名",I58),0)</f>
        <v>1851800</v>
      </c>
      <c r="M58" s="57">
        <f>K58-J58</f>
        <v>111800</v>
      </c>
      <c r="N58" s="57">
        <f>L58-K58</f>
        <v>49000</v>
      </c>
    </row>
    <row r="59" spans="1:15" ht="15.95" customHeight="1">
      <c r="A59" s="517">
        <v>102</v>
      </c>
      <c r="B59" s="493" t="str">
        <f t="shared" si="10"/>
        <v>池袋ハウス</v>
      </c>
      <c r="C59" s="518">
        <f>IFERROR(GETPIVOTDATA("17.満室想定税込(自動)",pivot!$AR$9,"3.物件名",$B59,"19.賃貸用","yes"),0)</f>
        <v>3098000</v>
      </c>
      <c r="D59" s="518">
        <f>GETPIVOTDATA("13.現況賃料税込(自動)",pivot!$BT$8,"3.物件名",B59)</f>
        <v>3098000</v>
      </c>
      <c r="E59" s="519">
        <f t="shared" si="11"/>
        <v>0</v>
      </c>
      <c r="F59" s="520">
        <f t="shared" si="12"/>
        <v>1</v>
      </c>
      <c r="H59">
        <v>102</v>
      </c>
      <c r="I59" t="str">
        <f t="shared" si="13"/>
        <v>池袋ハウス</v>
      </c>
      <c r="J59" s="57">
        <f>IFERROR(GETPIVOTDATA("合計 / 32.購入時賃料税抜",pivot!$CJ$6,"3.物件名",I59),0)</f>
        <v>2801000</v>
      </c>
      <c r="K59" s="57">
        <f>IFERROR(GETPIVOTDATA("合計 / 42.満室想定税抜(自動)",pivot!$CJ$6,"3.物件名",I59),0)</f>
        <v>3092000</v>
      </c>
      <c r="L59" s="57">
        <f>IFERROR(GETPIVOTDATA("合計 / 14.再募集賃料税抜",pivot!$CJ$6,"3.物件名",I59),0)</f>
        <v>3109000</v>
      </c>
      <c r="M59" s="57">
        <f t="shared" ref="M59:M77" si="14">K59-J59</f>
        <v>291000</v>
      </c>
      <c r="N59" s="57">
        <f t="shared" ref="N59:N77" si="15">L59-K59</f>
        <v>17000</v>
      </c>
    </row>
    <row r="60" spans="1:15" ht="15.95" customHeight="1">
      <c r="A60" s="517">
        <v>106</v>
      </c>
      <c r="B60" s="493" t="str">
        <f t="shared" si="10"/>
        <v>東池袋ハイツ</v>
      </c>
      <c r="C60" s="518">
        <f>IFERROR(GETPIVOTDATA("17.満室想定税込(自動)",pivot!$AR$9,"3.物件名",$B60,"19.賃貸用","yes"),0)</f>
        <v>3097200</v>
      </c>
      <c r="D60" s="518">
        <f>GETPIVOTDATA("13.現況賃料税込(自動)",pivot!$BT$8,"3.物件名",B60)</f>
        <v>3097200</v>
      </c>
      <c r="E60" s="519">
        <f t="shared" si="11"/>
        <v>0</v>
      </c>
      <c r="F60" s="520">
        <f t="shared" si="12"/>
        <v>1</v>
      </c>
      <c r="H60">
        <v>103</v>
      </c>
      <c r="I60" t="str">
        <f t="shared" si="13"/>
        <v>カーサ目白台ハウス</v>
      </c>
      <c r="J60" s="57">
        <f>IFERROR(GETPIVOTDATA("合計 / 32.購入時賃料税抜",pivot!$CJ$6,"3.物件名",I60),0)</f>
        <v>2898715</v>
      </c>
      <c r="K60" s="57">
        <f>IFERROR(GETPIVOTDATA("合計 / 42.満室想定税抜(自動)",pivot!$CJ$6,"3.物件名",I60),0)</f>
        <v>2944145</v>
      </c>
      <c r="L60" s="57">
        <f>IFERROR(GETPIVOTDATA("合計 / 14.再募集賃料税抜",pivot!$CJ$6,"3.物件名",I60),0)</f>
        <v>2929143</v>
      </c>
      <c r="M60" s="57">
        <f t="shared" si="14"/>
        <v>45430</v>
      </c>
      <c r="N60" s="57">
        <f t="shared" si="15"/>
        <v>-15002</v>
      </c>
    </row>
    <row r="61" spans="1:15" ht="15.95" customHeight="1">
      <c r="A61" s="517">
        <v>103</v>
      </c>
      <c r="B61" s="493" t="str">
        <f t="shared" si="10"/>
        <v>カーサ目白台ハウス</v>
      </c>
      <c r="C61" s="518">
        <f>IFERROR(GETPIVOTDATA("17.満室想定税込(自動)",pivot!$AR$9,"3.物件名",$B61,"19.賃貸用","yes"),0)</f>
        <v>3047178</v>
      </c>
      <c r="D61" s="518">
        <f>GETPIVOTDATA("13.現況賃料税込(自動)",pivot!$BT$8,"3.物件名",B61)</f>
        <v>3047178</v>
      </c>
      <c r="E61" s="519">
        <f t="shared" si="11"/>
        <v>0</v>
      </c>
      <c r="F61" s="520">
        <f t="shared" si="12"/>
        <v>1</v>
      </c>
      <c r="H61">
        <v>104</v>
      </c>
      <c r="I61" t="str">
        <f t="shared" si="13"/>
        <v>コアプラス池袋</v>
      </c>
      <c r="J61" s="57">
        <f>IFERROR(GETPIVOTDATA("合計 / 32.購入時賃料税抜",pivot!$CJ$6,"3.物件名",I61),0)</f>
        <v>620000</v>
      </c>
      <c r="K61" s="57">
        <f>IFERROR(GETPIVOTDATA("合計 / 42.満室想定税抜(自動)",pivot!$CJ$6,"3.物件名",I61),0)</f>
        <v>722000</v>
      </c>
      <c r="L61" s="57">
        <f>IFERROR(GETPIVOTDATA("合計 / 14.再募集賃料税抜",pivot!$CJ$6,"3.物件名",I61),0)</f>
        <v>729000</v>
      </c>
      <c r="M61" s="57">
        <f t="shared" si="14"/>
        <v>102000</v>
      </c>
      <c r="N61" s="57">
        <f t="shared" si="15"/>
        <v>7000</v>
      </c>
    </row>
    <row r="62" spans="1:15" ht="15.95" customHeight="1">
      <c r="A62" s="517">
        <v>113</v>
      </c>
      <c r="B62" s="493" t="str">
        <f t="shared" si="10"/>
        <v>第3目白ハイツ</v>
      </c>
      <c r="C62" s="518">
        <f>IFERROR(GETPIVOTDATA("17.満室想定税込(自動)",pivot!$AR$9,"3.物件名",$B62,"19.賃貸用","yes"),0)</f>
        <v>3006000</v>
      </c>
      <c r="D62" s="518">
        <f>GETPIVOTDATA("13.現況賃料税込(自動)",pivot!$BT$8,"3.物件名",B62)</f>
        <v>3006000</v>
      </c>
      <c r="E62" s="519">
        <f t="shared" si="11"/>
        <v>0</v>
      </c>
      <c r="F62" s="520">
        <f t="shared" si="12"/>
        <v>1</v>
      </c>
      <c r="H62">
        <v>105</v>
      </c>
      <c r="I62" t="str">
        <f t="shared" si="13"/>
        <v>目白アパート</v>
      </c>
      <c r="J62" s="57">
        <f>IFERROR(GETPIVOTDATA("合計 / 32.購入時賃料税抜",pivot!$CJ$6,"3.物件名",I62),0)</f>
        <v>2602124</v>
      </c>
      <c r="K62" s="57">
        <f>IFERROR(GETPIVOTDATA("合計 / 42.満室想定税抜(自動)",pivot!$CJ$6,"3.物件名",I62),0)</f>
        <v>2783347</v>
      </c>
      <c r="L62" s="57">
        <f>IFERROR(GETPIVOTDATA("合計 / 14.再募集賃料税抜",pivot!$CJ$6,"3.物件名",I62),0)</f>
        <v>2804220</v>
      </c>
      <c r="M62" s="57">
        <f t="shared" si="14"/>
        <v>181223</v>
      </c>
      <c r="N62" s="57">
        <f t="shared" si="15"/>
        <v>20873</v>
      </c>
    </row>
    <row r="63" spans="1:15" ht="15.95" customHeight="1">
      <c r="A63" s="517">
        <v>105</v>
      </c>
      <c r="B63" s="493" t="str">
        <f t="shared" si="10"/>
        <v>目白アパート</v>
      </c>
      <c r="C63" s="518">
        <f>IFERROR(GETPIVOTDATA("17.満室想定税込(自動)",pivot!$AR$9,"3.物件名",$B63,"19.賃貸用","yes"),0)</f>
        <v>2801026</v>
      </c>
      <c r="D63" s="518">
        <f>GETPIVOTDATA("13.現況賃料税込(自動)",pivot!$BT$8,"3.物件名",B63)</f>
        <v>2596822</v>
      </c>
      <c r="E63" s="519">
        <f t="shared" si="11"/>
        <v>-204204</v>
      </c>
      <c r="F63" s="520">
        <f t="shared" si="12"/>
        <v>0.92709671384699754</v>
      </c>
      <c r="H63">
        <v>106</v>
      </c>
      <c r="I63" t="str">
        <f t="shared" si="13"/>
        <v>東池袋ハイツ</v>
      </c>
      <c r="J63" s="57">
        <f>IFERROR(GETPIVOTDATA("合計 / 32.購入時賃料税抜",pivot!$CJ$6,"3.物件名",I63),0)</f>
        <v>2820000</v>
      </c>
      <c r="K63" s="57">
        <f>IFERROR(GETPIVOTDATA("合計 / 42.満室想定税抜(自動)",pivot!$CJ$6,"3.物件名",I63),0)</f>
        <v>3096000</v>
      </c>
      <c r="L63" s="57">
        <f>IFERROR(GETPIVOTDATA("合計 / 14.再募集賃料税抜",pivot!$CJ$6,"3.物件名",I63),0)</f>
        <v>3072000</v>
      </c>
      <c r="M63" s="57">
        <f t="shared" si="14"/>
        <v>276000</v>
      </c>
      <c r="N63" s="57">
        <f t="shared" si="15"/>
        <v>-24000</v>
      </c>
    </row>
    <row r="64" spans="1:15" ht="15.95" customHeight="1">
      <c r="A64" s="517">
        <v>112</v>
      </c>
      <c r="B64" s="493" t="str">
        <f t="shared" si="10"/>
        <v>豊島目白ビル</v>
      </c>
      <c r="C64" s="518">
        <f>IFERROR(GETPIVOTDATA("17.満室想定税込(自動)",pivot!$AR$9,"3.物件名",$B64,"19.賃貸用","yes"),0)</f>
        <v>2530000</v>
      </c>
      <c r="D64" s="518">
        <f>GETPIVOTDATA("13.現況賃料税込(自動)",pivot!$BT$8,"3.物件名",B64)</f>
        <v>2530000</v>
      </c>
      <c r="E64" s="519">
        <f t="shared" si="11"/>
        <v>0</v>
      </c>
      <c r="F64" s="520">
        <f t="shared" si="12"/>
        <v>1</v>
      </c>
      <c r="H64">
        <v>107</v>
      </c>
      <c r="I64" t="str">
        <f t="shared" si="13"/>
        <v>メゾン雑司ヶ谷</v>
      </c>
      <c r="J64" s="57">
        <f>IFERROR(GETPIVOTDATA("合計 / 32.購入時賃料税抜",pivot!$CJ$6,"3.物件名",I64),0)</f>
        <v>2404000</v>
      </c>
      <c r="K64" s="57">
        <f>IFERROR(GETPIVOTDATA("合計 / 42.満室想定税抜(自動)",pivot!$CJ$6,"3.物件名",I64),0)</f>
        <v>2378700</v>
      </c>
      <c r="L64" s="57">
        <f>IFERROR(GETPIVOTDATA("合計 / 14.再募集賃料税抜",pivot!$CJ$6,"3.物件名",I64),0)</f>
        <v>2391700</v>
      </c>
      <c r="M64" s="57">
        <f t="shared" si="14"/>
        <v>-25300</v>
      </c>
      <c r="N64" s="57">
        <f t="shared" si="15"/>
        <v>13000</v>
      </c>
    </row>
    <row r="65" spans="1:17" ht="15.95" customHeight="1">
      <c r="A65" s="517">
        <v>107</v>
      </c>
      <c r="B65" s="493" t="str">
        <f t="shared" si="10"/>
        <v>メゾン雑司ヶ谷</v>
      </c>
      <c r="C65" s="518">
        <f>IFERROR(GETPIVOTDATA("17.満室想定税込(自動)",pivot!$AR$9,"3.物件名",$B65,"19.賃貸用","yes"),0)</f>
        <v>2478700</v>
      </c>
      <c r="D65" s="518">
        <f>GETPIVOTDATA("13.現況賃料税込(自動)",pivot!$BT$8,"3.物件名",B65)</f>
        <v>2478700</v>
      </c>
      <c r="E65" s="519">
        <f t="shared" si="11"/>
        <v>0</v>
      </c>
      <c r="F65" s="520">
        <f t="shared" si="12"/>
        <v>1</v>
      </c>
      <c r="H65">
        <v>109</v>
      </c>
      <c r="I65" t="str">
        <f t="shared" si="13"/>
        <v>カーサ南池袋</v>
      </c>
      <c r="J65" s="57">
        <f>IFERROR(GETPIVOTDATA("合計 / 32.購入時賃料税抜",pivot!$CJ$6,"3.物件名",I65),0)</f>
        <v>1402284</v>
      </c>
      <c r="K65" s="57">
        <f>IFERROR(GETPIVOTDATA("合計 / 42.満室想定税抜(自動)",pivot!$CJ$6,"3.物件名",I65),0)</f>
        <v>1523829</v>
      </c>
      <c r="L65" s="57">
        <f>IFERROR(GETPIVOTDATA("合計 / 14.再募集賃料税抜",pivot!$CJ$6,"3.物件名",I65),0)</f>
        <v>1519127</v>
      </c>
      <c r="M65" s="57">
        <f t="shared" si="14"/>
        <v>121545</v>
      </c>
      <c r="N65" s="57">
        <f t="shared" si="15"/>
        <v>-4702</v>
      </c>
    </row>
    <row r="66" spans="1:17" ht="15.95" customHeight="1">
      <c r="A66" s="517">
        <v>116</v>
      </c>
      <c r="B66" s="493" t="str">
        <f t="shared" si="10"/>
        <v>コアプラスレジデンス梅田</v>
      </c>
      <c r="C66" s="518">
        <f>IFERROR(GETPIVOTDATA("17.満室想定税込(自動)",pivot!$AR$9,"3.物件名",$B66,"19.賃貸用","yes"),0)</f>
        <v>2467800</v>
      </c>
      <c r="D66" s="518">
        <f>GETPIVOTDATA("13.現況賃料税込(自動)",pivot!$BT$8,"3.物件名",B66)</f>
        <v>2467800</v>
      </c>
      <c r="E66" s="519">
        <f t="shared" si="11"/>
        <v>0</v>
      </c>
      <c r="F66" s="520">
        <f t="shared" si="12"/>
        <v>1</v>
      </c>
      <c r="H66">
        <v>111</v>
      </c>
      <c r="I66" t="str">
        <f t="shared" si="13"/>
        <v>目白カーサ二番館</v>
      </c>
      <c r="J66" s="57">
        <f>IFERROR(GETPIVOTDATA("合計 / 32.購入時賃料税抜",pivot!$CJ$6,"3.物件名",I66),0)</f>
        <v>1863350</v>
      </c>
      <c r="K66" s="57">
        <f>IFERROR(GETPIVOTDATA("合計 / 42.満室想定税抜(自動)",pivot!$CJ$6,"3.物件名",I66),0)</f>
        <v>1862034</v>
      </c>
      <c r="L66" s="57">
        <f>IFERROR(GETPIVOTDATA("合計 / 14.再募集賃料税抜",pivot!$CJ$6,"3.物件名",I66),0)</f>
        <v>1856107</v>
      </c>
      <c r="M66" s="57">
        <f t="shared" si="14"/>
        <v>-1316</v>
      </c>
      <c r="N66" s="57">
        <f t="shared" si="15"/>
        <v>-5927</v>
      </c>
    </row>
    <row r="67" spans="1:17" ht="15.95" customHeight="1">
      <c r="A67" s="517">
        <v>111</v>
      </c>
      <c r="B67" s="493" t="str">
        <f t="shared" si="10"/>
        <v>目白カーサ二番館</v>
      </c>
      <c r="C67" s="518">
        <f>IFERROR(GETPIVOTDATA("17.満室想定税込(自動)",pivot!$AR$9,"3.物件名",$B67,"19.賃貸用","yes"),0)</f>
        <v>1872374</v>
      </c>
      <c r="D67" s="518">
        <f>GETPIVOTDATA("13.現況賃料税込(自動)",pivot!$BT$8,"3.物件名",B67)</f>
        <v>1872374</v>
      </c>
      <c r="E67" s="519">
        <f t="shared" si="11"/>
        <v>0</v>
      </c>
      <c r="F67" s="520">
        <f t="shared" si="12"/>
        <v>1</v>
      </c>
      <c r="H67">
        <v>112</v>
      </c>
      <c r="I67" t="str">
        <f t="shared" si="13"/>
        <v>豊島目白ビル</v>
      </c>
      <c r="J67" s="57">
        <f>IFERROR(GETPIVOTDATA("合計 / 32.購入時賃料税抜",pivot!$CJ$6,"3.物件名",I67),0)</f>
        <v>2500000</v>
      </c>
      <c r="K67" s="57">
        <f>IFERROR(GETPIVOTDATA("合計 / 42.満室想定税抜(自動)",pivot!$CJ$6,"3.物件名",I67),0)</f>
        <v>2300000</v>
      </c>
      <c r="L67" s="57">
        <f>IFERROR(GETPIVOTDATA("合計 / 14.再募集賃料税抜",pivot!$CJ$6,"3.物件名",I67),0)</f>
        <v>2300000</v>
      </c>
      <c r="M67" s="57">
        <f t="shared" si="14"/>
        <v>-200000</v>
      </c>
      <c r="N67" s="57">
        <f t="shared" si="15"/>
        <v>0</v>
      </c>
    </row>
    <row r="68" spans="1:17" ht="15.95" customHeight="1">
      <c r="A68" s="517">
        <v>101</v>
      </c>
      <c r="B68" s="493" t="str">
        <f t="shared" si="10"/>
        <v>西池袋駅前ビル</v>
      </c>
      <c r="C68" s="518">
        <f>IFERROR(GETPIVOTDATA("17.満室想定税込(自動)",pivot!$AR$9,"3.物件名",$B68,"19.賃貸用","yes"),0)</f>
        <v>1839300</v>
      </c>
      <c r="D68" s="518">
        <f>GETPIVOTDATA("13.現況賃料税込(自動)",pivot!$BT$8,"3.物件名",B68)</f>
        <v>1839300</v>
      </c>
      <c r="E68" s="519">
        <f t="shared" si="11"/>
        <v>0</v>
      </c>
      <c r="F68" s="520">
        <f t="shared" si="12"/>
        <v>1</v>
      </c>
      <c r="H68">
        <v>113</v>
      </c>
      <c r="I68" t="str">
        <f t="shared" si="13"/>
        <v>第3目白ハイツ</v>
      </c>
      <c r="J68" s="57">
        <f>IFERROR(GETPIVOTDATA("合計 / 32.購入時賃料税抜",pivot!$CJ$6,"3.物件名",I68),0)</f>
        <v>2897000</v>
      </c>
      <c r="K68" s="57">
        <f>IFERROR(GETPIVOTDATA("合計 / 42.満室想定税抜(自動)",pivot!$CJ$6,"3.物件名",I68),0)</f>
        <v>3004000</v>
      </c>
      <c r="L68" s="57">
        <f>IFERROR(GETPIVOTDATA("合計 / 14.再募集賃料税抜",pivot!$CJ$6,"3.物件名",I68),0)</f>
        <v>2948000</v>
      </c>
      <c r="M68" s="57">
        <f t="shared" si="14"/>
        <v>107000</v>
      </c>
      <c r="N68" s="57">
        <f t="shared" si="15"/>
        <v>-56000</v>
      </c>
    </row>
    <row r="69" spans="1:17" ht="15.95" customHeight="1">
      <c r="A69" s="517">
        <v>109</v>
      </c>
      <c r="B69" s="493" t="str">
        <f t="shared" si="10"/>
        <v>カーサ南池袋</v>
      </c>
      <c r="C69" s="518">
        <f>IFERROR(GETPIVOTDATA("17.満室想定税込(自動)",pivot!$AR$9,"3.物件名",$B69,"19.賃貸用","yes"),0)</f>
        <v>1534511</v>
      </c>
      <c r="D69" s="518">
        <f>GETPIVOTDATA("13.現況賃料税込(自動)",pivot!$BT$8,"3.物件名",B69)</f>
        <v>1534511</v>
      </c>
      <c r="E69" s="519">
        <f t="shared" si="11"/>
        <v>0</v>
      </c>
      <c r="F69" s="520">
        <f t="shared" si="12"/>
        <v>1</v>
      </c>
      <c r="H69">
        <v>114</v>
      </c>
      <c r="I69" t="str">
        <f t="shared" si="13"/>
        <v>レジデンス目白豊島</v>
      </c>
      <c r="J69" s="57">
        <f>IFERROR(GETPIVOTDATA("合計 / 32.購入時賃料税抜",pivot!$CJ$6,"3.物件名",I69),0)</f>
        <v>1239741</v>
      </c>
      <c r="K69" s="57">
        <f>IFERROR(GETPIVOTDATA("合計 / 42.満室想定税抜(自動)",pivot!$CJ$6,"3.物件名",I69),0)</f>
        <v>1261741</v>
      </c>
      <c r="L69" s="57">
        <f>IFERROR(GETPIVOTDATA("合計 / 14.再募集賃料税抜",pivot!$CJ$6,"3.物件名",I69),0)</f>
        <v>1274740</v>
      </c>
      <c r="M69" s="57">
        <f t="shared" si="14"/>
        <v>22000</v>
      </c>
      <c r="N69" s="57">
        <f t="shared" si="15"/>
        <v>12999</v>
      </c>
    </row>
    <row r="70" spans="1:17" ht="15.95" customHeight="1">
      <c r="A70" s="517">
        <v>114</v>
      </c>
      <c r="B70" s="493" t="str">
        <f t="shared" si="10"/>
        <v>レジデンス目白豊島</v>
      </c>
      <c r="C70" s="518">
        <f>IFERROR(GETPIVOTDATA("17.満室想定税込(自動)",pivot!$AR$9,"3.物件名",$B70,"19.賃貸用","yes"),0)</f>
        <v>1294415</v>
      </c>
      <c r="D70" s="518">
        <f>GETPIVOTDATA("13.現況賃料税込(自動)",pivot!$BT$8,"3.物件名",B70)</f>
        <v>1294415</v>
      </c>
      <c r="E70" s="519">
        <f t="shared" si="11"/>
        <v>0</v>
      </c>
      <c r="F70" s="520">
        <f t="shared" si="12"/>
        <v>1</v>
      </c>
      <c r="H70">
        <v>115</v>
      </c>
      <c r="I70" t="str">
        <f t="shared" si="13"/>
        <v>コアプラス大塚</v>
      </c>
      <c r="J70" s="57">
        <f>IFERROR(GETPIVOTDATA("合計 / 32.購入時賃料税抜",pivot!$CJ$6,"3.物件名",I70),0)</f>
        <v>3143630</v>
      </c>
      <c r="K70" s="57">
        <f>IFERROR(GETPIVOTDATA("合計 / 42.満室想定税抜(自動)",pivot!$CJ$6,"3.物件名",I70),0)</f>
        <v>3521704</v>
      </c>
      <c r="L70" s="57">
        <f>IFERROR(GETPIVOTDATA("合計 / 14.再募集賃料税抜",pivot!$CJ$6,"3.物件名",I70),0)</f>
        <v>3495703</v>
      </c>
      <c r="M70" s="57">
        <f t="shared" si="14"/>
        <v>378074</v>
      </c>
      <c r="N70" s="57">
        <f t="shared" si="15"/>
        <v>-26001</v>
      </c>
    </row>
    <row r="71" spans="1:17" ht="15.95" customHeight="1">
      <c r="A71" s="517">
        <v>120</v>
      </c>
      <c r="B71" s="493" t="str">
        <f t="shared" si="10"/>
        <v>南池袋マンション</v>
      </c>
      <c r="C71" s="518">
        <f>IFERROR(GETPIVOTDATA("17.満室想定税込(自動)",pivot!$AR$9,"3.物件名",$B71,"19.賃貸用","yes"),0)</f>
        <v>868000</v>
      </c>
      <c r="D71" s="518">
        <f>GETPIVOTDATA("13.現況賃料税込(自動)",pivot!$BT$8,"3.物件名",B71)</f>
        <v>868000</v>
      </c>
      <c r="E71" s="519">
        <f t="shared" si="11"/>
        <v>0</v>
      </c>
      <c r="F71" s="520">
        <f t="shared" si="12"/>
        <v>1</v>
      </c>
      <c r="H71">
        <v>116</v>
      </c>
      <c r="I71" t="str">
        <f t="shared" si="13"/>
        <v>コアプラスレジデンス梅田</v>
      </c>
      <c r="J71" s="57">
        <f>IFERROR(GETPIVOTDATA("合計 / 32.購入時賃料税抜",pivot!$CJ$6,"3.物件名",I71),0)</f>
        <v>2282000</v>
      </c>
      <c r="K71" s="57">
        <f>IFERROR(GETPIVOTDATA("合計 / 42.満室想定税抜(自動)",pivot!$CJ$6,"3.物件名",I71),0)</f>
        <v>2429000</v>
      </c>
      <c r="L71" s="57">
        <f>IFERROR(GETPIVOTDATA("合計 / 14.再募集賃料税抜",pivot!$CJ$6,"3.物件名",I71),0)</f>
        <v>2341000</v>
      </c>
      <c r="M71" s="57">
        <f t="shared" si="14"/>
        <v>147000</v>
      </c>
      <c r="N71" s="57">
        <f t="shared" si="15"/>
        <v>-88000</v>
      </c>
    </row>
    <row r="72" spans="1:17" ht="15.95" customHeight="1">
      <c r="A72" s="517">
        <v>117</v>
      </c>
      <c r="B72" s="493" t="str">
        <f t="shared" si="10"/>
        <v>高田馬場第4玉川ビル</v>
      </c>
      <c r="C72" s="518">
        <f>IFERROR(GETPIVOTDATA("17.満室想定税込(自動)",pivot!$AR$9,"3.物件名",$B72,"19.賃貸用","yes"),0)</f>
        <v>860300</v>
      </c>
      <c r="D72" s="518">
        <f>GETPIVOTDATA("13.現況賃料税込(自動)",pivot!$BT$8,"3.物件名",B72)</f>
        <v>846000</v>
      </c>
      <c r="E72" s="519">
        <f t="shared" si="11"/>
        <v>-14300</v>
      </c>
      <c r="F72" s="520">
        <f t="shared" si="12"/>
        <v>0.98337789143322096</v>
      </c>
      <c r="H72">
        <v>117</v>
      </c>
      <c r="I72" t="str">
        <f t="shared" si="13"/>
        <v>高田馬場第4玉川ビル</v>
      </c>
      <c r="J72" s="57">
        <f>IFERROR(GETPIVOTDATA("合計 / 32.購入時賃料税抜",pivot!$CJ$6,"3.物件名",I72),0)</f>
        <v>844300</v>
      </c>
      <c r="K72" s="57">
        <f>IFERROR(GETPIVOTDATA("合計 / 42.満室想定税抜(自動)",pivot!$CJ$6,"3.物件名",I72),0)</f>
        <v>859000</v>
      </c>
      <c r="L72" s="57">
        <f>IFERROR(GETPIVOTDATA("合計 / 14.再募集賃料税抜",pivot!$CJ$6,"3.物件名",I72),0)</f>
        <v>852000</v>
      </c>
      <c r="M72" s="57">
        <f t="shared" si="14"/>
        <v>14700</v>
      </c>
      <c r="N72" s="57">
        <f t="shared" si="15"/>
        <v>-7000</v>
      </c>
    </row>
    <row r="73" spans="1:17" ht="15.95" customHeight="1">
      <c r="A73" s="517">
        <v>104</v>
      </c>
      <c r="B73" s="493" t="str">
        <f t="shared" si="10"/>
        <v>コアプラス池袋</v>
      </c>
      <c r="C73" s="518">
        <f>IFERROR(GETPIVOTDATA("17.満室想定税込(自動)",pivot!$AR$9,"3.物件名",$B73,"19.賃貸用","yes"),0)</f>
        <v>756400</v>
      </c>
      <c r="D73" s="518">
        <f>GETPIVOTDATA("13.現況賃料税込(自動)",pivot!$BT$8,"3.物件名",B73)</f>
        <v>668400</v>
      </c>
      <c r="E73" s="519">
        <f t="shared" si="11"/>
        <v>-88000</v>
      </c>
      <c r="F73" s="520">
        <f t="shared" si="12"/>
        <v>0.88365943945002645</v>
      </c>
      <c r="H73">
        <v>120</v>
      </c>
      <c r="I73" t="str">
        <f t="shared" si="13"/>
        <v>南池袋マンション</v>
      </c>
      <c r="J73" s="57">
        <f>IFERROR(GETPIVOTDATA("合計 / 32.購入時賃料税抜",pivot!$CJ$6,"3.物件名",I73),0)</f>
        <v>894000</v>
      </c>
      <c r="K73" s="57">
        <f>IFERROR(GETPIVOTDATA("合計 / 42.満室想定税抜(自動)",pivot!$CJ$6,"3.物件名",I73),0)</f>
        <v>868000</v>
      </c>
      <c r="L73" s="57">
        <f>IFERROR(GETPIVOTDATA("合計 / 14.再募集賃料税抜",pivot!$CJ$6,"3.物件名",I73),0)</f>
        <v>866000</v>
      </c>
      <c r="M73" s="57">
        <f t="shared" si="14"/>
        <v>-26000</v>
      </c>
      <c r="N73" s="57">
        <f t="shared" si="15"/>
        <v>-2000</v>
      </c>
    </row>
    <row r="74" spans="1:17" ht="15.95" customHeight="1">
      <c r="A74" s="517">
        <v>121</v>
      </c>
      <c r="B74" s="493" t="str">
        <f t="shared" si="10"/>
        <v>目白アパート1号館</v>
      </c>
      <c r="C74" s="518">
        <f>IFERROR(GETPIVOTDATA("17.満室想定税込(自動)",pivot!$AR$9,"3.物件名",$B74,"19.賃貸用","yes"),0)</f>
        <v>330000</v>
      </c>
      <c r="D74" s="518">
        <f>GETPIVOTDATA("13.現況賃料税込(自動)",pivot!$BT$8,"3.物件名",B74)</f>
        <v>330000</v>
      </c>
      <c r="E74" s="519">
        <f t="shared" si="11"/>
        <v>0</v>
      </c>
      <c r="F74" s="520">
        <f t="shared" si="12"/>
        <v>1</v>
      </c>
      <c r="H74">
        <v>121</v>
      </c>
      <c r="I74" t="str">
        <f t="shared" ref="I74:I75" si="16">VLOOKUP(H74,id_settings,2,FALSE)</f>
        <v>目白アパート1号館</v>
      </c>
      <c r="J74" s="57">
        <f>IFERROR(GETPIVOTDATA("合計 / 32.購入時賃料税抜",pivot!$CJ$6,"3.物件名",I74),0)</f>
        <v>330000</v>
      </c>
      <c r="K74" s="57">
        <f>IFERROR(GETPIVOTDATA("合計 / 42.満室想定税抜(自動)",pivot!$CJ$6,"3.物件名",I74),0)</f>
        <v>330000</v>
      </c>
      <c r="L74" s="57">
        <f>IFERROR(GETPIVOTDATA("合計 / 14.再募集賃料税抜",pivot!$CJ$6,"3.物件名",I74),0)</f>
        <v>330000</v>
      </c>
      <c r="M74" s="57">
        <f t="shared" ref="M74:M75" si="17">K74-J74</f>
        <v>0</v>
      </c>
      <c r="N74" s="57">
        <f t="shared" ref="N74:N75" si="18">L74-K74</f>
        <v>0</v>
      </c>
    </row>
    <row r="75" spans="1:17" ht="15.95" customHeight="1">
      <c r="A75" s="517">
        <v>122</v>
      </c>
      <c r="B75" s="493" t="str">
        <f t="shared" si="10"/>
        <v>目白アパート2号館</v>
      </c>
      <c r="C75" s="518">
        <f>IFERROR(GETPIVOTDATA("17.満室想定税込(自動)",pivot!$AR$9,"3.物件名",$B75,"19.賃貸用","yes"),0)</f>
        <v>160000</v>
      </c>
      <c r="D75" s="518">
        <f>GETPIVOTDATA("13.現況賃料税込(自動)",pivot!$BT$8,"3.物件名",B75)</f>
        <v>160000</v>
      </c>
      <c r="E75" s="519">
        <f t="shared" si="11"/>
        <v>0</v>
      </c>
      <c r="F75" s="520">
        <f t="shared" si="12"/>
        <v>1</v>
      </c>
      <c r="H75">
        <v>122</v>
      </c>
      <c r="I75" t="str">
        <f t="shared" si="16"/>
        <v>目白アパート2号館</v>
      </c>
      <c r="J75" s="57">
        <f>IFERROR(GETPIVOTDATA("合計 / 32.購入時賃料税抜",pivot!$CJ$6,"3.物件名",I75),0)</f>
        <v>160000</v>
      </c>
      <c r="K75" s="57">
        <f>IFERROR(GETPIVOTDATA("合計 / 42.満室想定税抜(自動)",pivot!$CJ$6,"3.物件名",I75),0)</f>
        <v>160000</v>
      </c>
      <c r="L75" s="57">
        <f>IFERROR(GETPIVOTDATA("合計 / 14.再募集賃料税抜",pivot!$CJ$6,"3.物件名",I75),0)</f>
        <v>160000</v>
      </c>
      <c r="M75" s="57">
        <f t="shared" si="17"/>
        <v>0</v>
      </c>
      <c r="N75" s="57">
        <f t="shared" si="18"/>
        <v>0</v>
      </c>
    </row>
    <row r="76" spans="1:17">
      <c r="A76" s="517">
        <v>221</v>
      </c>
      <c r="B76" s="493" t="str">
        <f t="shared" si="10"/>
        <v>ビジネス新大阪123号</v>
      </c>
      <c r="C76" s="518">
        <f>IFERROR(GETPIVOTDATA("17.満室想定税込(自動)",pivot!$AR$9,"3.物件名",$B76,"19.賃貸用","yes"),0)</f>
        <v>35000</v>
      </c>
      <c r="D76" s="518">
        <f>GETPIVOTDATA("13.現況賃料税込(自動)",pivot!$BT$8,"3.物件名",B76)</f>
        <v>0</v>
      </c>
      <c r="E76" s="519">
        <f t="shared" si="11"/>
        <v>-35000</v>
      </c>
      <c r="F76" s="520">
        <f t="shared" si="12"/>
        <v>0</v>
      </c>
      <c r="H76">
        <v>221</v>
      </c>
      <c r="I76" t="str">
        <f t="shared" si="13"/>
        <v>ビジネス新大阪123号</v>
      </c>
      <c r="J76" s="57">
        <f>IFERROR(GETPIVOTDATA("合計 / 32.購入時賃料税抜",pivot!$CJ$6,"3.物件名",I76),0)</f>
        <v>35000</v>
      </c>
      <c r="K76" s="57">
        <f>IFERROR(GETPIVOTDATA("合計 / 42.満室想定税抜(自動)",pivot!$CJ$6,"3.物件名",I76),0)</f>
        <v>35000</v>
      </c>
      <c r="L76" s="57">
        <f>IFERROR(GETPIVOTDATA("合計 / 14.再募集賃料税抜",pivot!$CJ$6,"3.物件名",I76),0)</f>
        <v>35000</v>
      </c>
      <c r="M76" s="57">
        <f t="shared" si="14"/>
        <v>0</v>
      </c>
      <c r="N76" s="57">
        <f t="shared" si="15"/>
        <v>0</v>
      </c>
    </row>
    <row r="77" spans="1:17" ht="14.25" thickBot="1">
      <c r="A77" s="67">
        <v>222</v>
      </c>
      <c r="B77" s="521" t="str">
        <f t="shared" si="10"/>
        <v>プラウD目白301号</v>
      </c>
      <c r="C77" s="522">
        <f>IFERROR(GETPIVOTDATA("17.満室想定税込(自動)",pivot!$AR$9,"3.物件名",$B77,"19.賃貸用","yes"),0)</f>
        <v>0</v>
      </c>
      <c r="D77" s="522">
        <f>GETPIVOTDATA("13.現況賃料税込(自動)",pivot!$BT$8,"3.物件名",B77)</f>
        <v>0</v>
      </c>
      <c r="E77" s="523">
        <f t="shared" si="11"/>
        <v>0</v>
      </c>
      <c r="F77" s="524">
        <f t="shared" si="12"/>
        <v>0</v>
      </c>
      <c r="H77" s="67">
        <v>222</v>
      </c>
      <c r="I77" s="67" t="str">
        <f t="shared" si="13"/>
        <v>プラウD目白301号</v>
      </c>
      <c r="J77" s="522">
        <f>IFERROR(GETPIVOTDATA("合計 / 32.購入時賃料税抜",pivot!$CJ$6,"3.物件名",I77),0)</f>
        <v>295000</v>
      </c>
      <c r="K77" s="522">
        <f>IFERROR(GETPIVOTDATA("合計 / 42.満室想定税抜(自動)",pivot!$CJ$6,"3.物件名",I77),0)</f>
        <v>295000</v>
      </c>
      <c r="L77" s="522">
        <f>IFERROR(GETPIVOTDATA("合計 / 14.再募集賃料税抜",pivot!$CJ$6,"3.物件名",I77),0)</f>
        <v>295000</v>
      </c>
      <c r="M77" s="522">
        <f t="shared" si="14"/>
        <v>0</v>
      </c>
      <c r="N77" s="522">
        <f t="shared" si="15"/>
        <v>0</v>
      </c>
      <c r="O77" s="62"/>
      <c r="P77" s="62"/>
      <c r="Q77" s="62"/>
    </row>
    <row r="78" spans="1:17" ht="14.25" thickTop="1">
      <c r="A78"/>
      <c r="B78"/>
      <c r="C78" s="57">
        <f>SUM(C58:C77)</f>
        <v>35648978</v>
      </c>
      <c r="D78" s="57">
        <f>SUM(D58:D77)</f>
        <v>35307474</v>
      </c>
      <c r="E78" s="99">
        <f>SUM(E58:E77)</f>
        <v>-341504</v>
      </c>
      <c r="F78" s="516">
        <f t="shared" ref="F78" si="19">D78/C78</f>
        <v>0.99042037053628862</v>
      </c>
      <c r="H78"/>
      <c r="I78"/>
      <c r="J78" s="57">
        <f>SUM(J58:J77)</f>
        <v>33723144</v>
      </c>
      <c r="K78" s="57">
        <f>SUM(K58:K77)</f>
        <v>35268300</v>
      </c>
      <c r="L78" s="57">
        <f>SUM(L58:L77)</f>
        <v>35159540</v>
      </c>
      <c r="M78" s="57">
        <f>SUM(M58:M77)</f>
        <v>1545156</v>
      </c>
      <c r="N78" s="57">
        <f>SUM(N58:N77)</f>
        <v>-108760</v>
      </c>
    </row>
    <row r="79" spans="1:17">
      <c r="N79" s="62" t="s">
        <v>1529</v>
      </c>
    </row>
    <row r="81" spans="1:6" ht="20.25" customHeight="1">
      <c r="A81" s="511" t="s">
        <v>1530</v>
      </c>
      <c r="B81" s="511"/>
      <c r="C81" s="511"/>
      <c r="D81" s="511"/>
      <c r="E81" s="511"/>
      <c r="F81" s="511"/>
    </row>
    <row r="82" spans="1:6" ht="20.25" customHeight="1">
      <c r="A82" s="514" t="s">
        <v>299</v>
      </c>
      <c r="B82" s="514"/>
      <c r="C82" s="514" t="s">
        <v>1531</v>
      </c>
      <c r="D82" s="514" t="s">
        <v>1532</v>
      </c>
      <c r="E82" s="530" t="s">
        <v>1533</v>
      </c>
      <c r="F82" s="530" t="s">
        <v>1534</v>
      </c>
    </row>
    <row r="83" spans="1:6" ht="20.25" customHeight="1">
      <c r="A83" t="s">
        <v>188</v>
      </c>
      <c r="B83"/>
      <c r="C83" s="122">
        <f>IFERROR(GETPIVOTDATA("合計 / 17.満室想定税込(自動)",pivot!$CF$7,"7.クラス",A83),0)</f>
        <v>28235436</v>
      </c>
      <c r="D83" s="531">
        <f t="shared" ref="D83:D92" si="20">C83/$C$92</f>
        <v>0.79204054601509188</v>
      </c>
      <c r="E83" s="122">
        <f>IFERROR(GETPIVOTDATA("合計 / 13.現況賃料税込(自動)",pivot!$CF$7,"7.クラス",A83),0)</f>
        <v>27943232</v>
      </c>
      <c r="F83" s="531">
        <f t="shared" ref="F83:F88" si="21">IFERROR(E83/C83,"非該当")</f>
        <v>0.98965116033625267</v>
      </c>
    </row>
    <row r="84" spans="1:6" ht="20.25" customHeight="1">
      <c r="A84" t="s">
        <v>260</v>
      </c>
      <c r="B84"/>
      <c r="C84" s="122">
        <f>IFERROR(GETPIVOTDATA("合計 / 17.満室想定税込(自動)",pivot!$CF$7,"7.クラス",A84),0)</f>
        <v>3737978</v>
      </c>
      <c r="D84" s="531">
        <f t="shared" si="20"/>
        <v>0.104855123756984</v>
      </c>
      <c r="E84" s="122">
        <f>IFERROR(GETPIVOTDATA("合計 / 13.現況賃料税込(自動)",pivot!$CF$7,"7.クラス",A84),0)</f>
        <v>3702978</v>
      </c>
      <c r="F84" s="531">
        <f t="shared" si="21"/>
        <v>0.99063664901184545</v>
      </c>
    </row>
    <row r="85" spans="1:6" ht="20.25" customHeight="1">
      <c r="A85" t="s">
        <v>262</v>
      </c>
      <c r="B85"/>
      <c r="C85" s="122">
        <f>IFERROR(GETPIVOTDATA("合計 / 17.満室想定税込(自動)",pivot!$CF$7,"7.クラス",A85),0)</f>
        <v>2337093</v>
      </c>
      <c r="D85" s="531">
        <f t="shared" si="20"/>
        <v>6.5558485295146476E-2</v>
      </c>
      <c r="E85" s="122">
        <f>IFERROR(GETPIVOTDATA("合計 / 13.現況賃料税込(自動)",pivot!$CF$7,"7.クラス",A85),0)</f>
        <v>2337093</v>
      </c>
      <c r="F85" s="531">
        <f t="shared" si="21"/>
        <v>1</v>
      </c>
    </row>
    <row r="86" spans="1:6" ht="20.25" customHeight="1">
      <c r="A86" t="s">
        <v>236</v>
      </c>
      <c r="B86"/>
      <c r="C86" s="122">
        <f>IFERROR(GETPIVOTDATA("合計 / 17.満室想定税込(自動)",pivot!$CF$7,"7.クラス",A86),0)</f>
        <v>809021</v>
      </c>
      <c r="D86" s="531">
        <f t="shared" si="20"/>
        <v>2.2694086770173327E-2</v>
      </c>
      <c r="E86" s="122">
        <f>IFERROR(GETPIVOTDATA("合計 / 13.現況賃料税込(自動)",pivot!$CF$7,"7.クラス",A86),0)</f>
        <v>794721</v>
      </c>
      <c r="F86" s="531">
        <f t="shared" si="21"/>
        <v>0.98232431543804177</v>
      </c>
    </row>
    <row r="87" spans="1:6" ht="20.25" customHeight="1">
      <c r="A87" t="s">
        <v>234</v>
      </c>
      <c r="B87"/>
      <c r="C87" s="122">
        <f>IFERROR(GETPIVOTDATA("合計 / 17.満室想定税込(自動)",pivot!$CF$7,"7.クラス",A87),0)</f>
        <v>247035</v>
      </c>
      <c r="D87" s="531">
        <f t="shared" si="20"/>
        <v>6.9296516719217025E-3</v>
      </c>
      <c r="E87" s="122">
        <f>IFERROR(GETPIVOTDATA("合計 / 13.現況賃料税込(自動)",pivot!$CF$7,"7.クラス",A87),0)</f>
        <v>247035</v>
      </c>
      <c r="F87" s="531">
        <f t="shared" si="21"/>
        <v>1</v>
      </c>
    </row>
    <row r="88" spans="1:6" ht="20.25" customHeight="1">
      <c r="A88" t="s">
        <v>235</v>
      </c>
      <c r="B88"/>
      <c r="C88" s="122">
        <f>IFERROR(GETPIVOTDATA("合計 / 17.満室想定税込(自動)",pivot!$CF$7,"7.クラス",A88),0)</f>
        <v>282415</v>
      </c>
      <c r="D88" s="531">
        <f t="shared" si="20"/>
        <v>7.9221064906825657E-3</v>
      </c>
      <c r="E88" s="122">
        <f>IFERROR(GETPIVOTDATA("合計 / 13.現況賃料税込(自動)",pivot!$CF$7,"7.クラス",A88),0)</f>
        <v>282415</v>
      </c>
      <c r="F88" s="531">
        <f t="shared" si="21"/>
        <v>1</v>
      </c>
    </row>
    <row r="89" spans="1:6" ht="20.25" customHeight="1">
      <c r="A89" t="s">
        <v>261</v>
      </c>
      <c r="B89"/>
      <c r="C89" s="122">
        <f>IFERROR(GETPIVOTDATA("合計 / 17.満室想定税込(自動)",pivot!$CF$7,"7.クラス",A89),0)</f>
        <v>0</v>
      </c>
      <c r="D89" s="531">
        <f t="shared" si="20"/>
        <v>0</v>
      </c>
      <c r="E89" s="122">
        <f>IFERROR(GETPIVOTDATA("合計 / 13.現況賃料税込(自動)",pivot!$CF$7,"7.クラス",A89),0)</f>
        <v>0</v>
      </c>
      <c r="F89" s="531" t="str">
        <f>IFERROR(E89/C89,"非該当")</f>
        <v>非該当</v>
      </c>
    </row>
    <row r="90" spans="1:6" ht="20.25" customHeight="1">
      <c r="A90" t="s">
        <v>1535</v>
      </c>
      <c r="B90"/>
      <c r="C90" s="122">
        <f>IFERROR(GETPIVOTDATA("合計 / 17.満室想定税込(自動)",pivot!$CF$7,"7.クラス",A90),0)</f>
        <v>0</v>
      </c>
      <c r="D90" s="531">
        <f t="shared" si="20"/>
        <v>0</v>
      </c>
      <c r="E90" s="122">
        <f>IFERROR(GETPIVOTDATA("合計 / 13.現況賃料税込(自動)",pivot!$CF$7,"7.クラス",A90),0)</f>
        <v>0</v>
      </c>
      <c r="F90" s="531" t="str">
        <f>IFERROR(E90/C90,"非該当")</f>
        <v>非該当</v>
      </c>
    </row>
    <row r="91" spans="1:6" ht="20.25" customHeight="1" thickBot="1">
      <c r="A91" s="67" t="s">
        <v>1536</v>
      </c>
      <c r="B91" s="67"/>
      <c r="C91" s="123">
        <f>IFERROR(GETPIVOTDATA("合計 / 17.満室想定税込(自動)",pivot!$CF$7,"7.クラス",A91),0)</f>
        <v>0</v>
      </c>
      <c r="D91" s="532">
        <f t="shared" si="20"/>
        <v>0</v>
      </c>
      <c r="E91" s="123">
        <f>IFERROR(GETPIVOTDATA("合計 / 13.現況賃料税込(自動)",pivot!$CF$7,"7.クラス",A91),0)</f>
        <v>0</v>
      </c>
      <c r="F91" s="532" t="str">
        <f>IFERROR(E91/C91,"非該当")</f>
        <v>非該当</v>
      </c>
    </row>
    <row r="92" spans="1:6" ht="14.25" thickTop="1">
      <c r="A92" s="3" t="s">
        <v>1512</v>
      </c>
      <c r="B92"/>
      <c r="C92" s="57">
        <f>SUM(C83:C91)</f>
        <v>35648978</v>
      </c>
      <c r="D92" s="516">
        <f t="shared" si="20"/>
        <v>1</v>
      </c>
      <c r="E92" s="57">
        <f>SUM(E83:E91)</f>
        <v>35307474</v>
      </c>
      <c r="F92" s="516">
        <f t="shared" ref="F92" si="22">IFERROR(E92/C92,"該当なし")</f>
        <v>0.99042037053628862</v>
      </c>
    </row>
    <row r="110" spans="1:15" ht="17.25">
      <c r="A110" s="63"/>
    </row>
    <row r="112" spans="1:15" ht="24">
      <c r="A112" s="533" t="s">
        <v>1537</v>
      </c>
      <c r="B112" s="534"/>
      <c r="C112" s="534"/>
      <c r="D112" s="534"/>
      <c r="E112" s="534"/>
      <c r="F112" s="534"/>
      <c r="G112" s="534"/>
      <c r="H112" s="534"/>
      <c r="J112" s="533" t="s">
        <v>1538</v>
      </c>
      <c r="K112" s="544"/>
      <c r="L112" s="544"/>
      <c r="M112" s="544"/>
      <c r="N112" s="544"/>
      <c r="O112" s="544"/>
    </row>
    <row r="113" spans="1:15">
      <c r="A113" s="535" t="s">
        <v>1539</v>
      </c>
      <c r="B113" s="536" t="s">
        <v>54</v>
      </c>
      <c r="C113" s="33" t="s">
        <v>1540</v>
      </c>
      <c r="D113" s="33" t="s">
        <v>230</v>
      </c>
      <c r="E113" s="33" t="s">
        <v>231</v>
      </c>
      <c r="F113" s="33" t="s">
        <v>1541</v>
      </c>
      <c r="G113" s="33" t="s">
        <v>1542</v>
      </c>
      <c r="H113" s="33" t="s">
        <v>1543</v>
      </c>
      <c r="J113" s="33" t="s">
        <v>154</v>
      </c>
      <c r="K113" s="539"/>
      <c r="L113" s="539"/>
      <c r="M113" s="539"/>
      <c r="N113" s="539"/>
      <c r="O113" s="540"/>
    </row>
    <row r="114" spans="1:15">
      <c r="A114" s="537">
        <v>1</v>
      </c>
      <c r="B114" s="489" t="str">
        <f>IFERROR(pivot!CU8,"")</f>
        <v>豊島目白ビル</v>
      </c>
      <c r="C114" s="537" t="str">
        <f>IFERROR(pivot!CV8,"")</f>
        <v>101</v>
      </c>
      <c r="D114" s="489" t="str">
        <f>IFERROR(pivot!CW8,"")</f>
        <v>事務所</v>
      </c>
      <c r="E114" s="489" t="str">
        <f>IFERROR(pivot!CX8,"")</f>
        <v>事務所</v>
      </c>
      <c r="F114" s="504">
        <f>IFERROR(pivot!CY8,"")</f>
        <v>2530000</v>
      </c>
      <c r="G114" s="538">
        <f>IFERROR(F114/$L$25,"")</f>
        <v>7.0387312166727903E-2</v>
      </c>
      <c r="H114" s="538">
        <f>G114</f>
        <v>7.0387312166727903E-2</v>
      </c>
      <c r="J114" s="541" t="s">
        <v>1544</v>
      </c>
      <c r="K114" s="541" t="s">
        <v>1545</v>
      </c>
      <c r="L114" s="541" t="s">
        <v>1546</v>
      </c>
      <c r="M114" s="541" t="s">
        <v>1547</v>
      </c>
      <c r="N114" s="541" t="s">
        <v>1548</v>
      </c>
      <c r="O114" s="541" t="s">
        <v>1549</v>
      </c>
    </row>
    <row r="115" spans="1:15">
      <c r="A115" s="537">
        <v>2</v>
      </c>
      <c r="B115" s="489" t="str">
        <f>IFERROR(pivot!CU9,"")</f>
        <v>目白カーサ二番館</v>
      </c>
      <c r="C115" s="537" t="str">
        <f>IFERROR(pivot!CV9,"")</f>
        <v>SL1</v>
      </c>
      <c r="D115" s="489" t="str">
        <f>IFERROR(pivot!CW9,"")</f>
        <v>住居</v>
      </c>
      <c r="E115" s="489" t="str">
        <f>IFERROR(pivot!CX9,"")</f>
        <v>1K</v>
      </c>
      <c r="F115" s="504">
        <f>IFERROR(pivot!CY9,"")</f>
        <v>1758634</v>
      </c>
      <c r="G115" s="538">
        <f t="shared" ref="G115:G153" si="23">IFERROR(F115/$L$25,"")</f>
        <v>4.8927083140324644E-2</v>
      </c>
      <c r="H115" s="516">
        <f>IFERROR(G115+H114,"")</f>
        <v>0.11931439530705254</v>
      </c>
      <c r="J115">
        <v>0</v>
      </c>
      <c r="K115">
        <v>1</v>
      </c>
      <c r="L115">
        <f>IFERROR(GETPIVOTDATA("個数 / 17.満室想定税込(自動)",pivot!$DB$8,"17.満室想定税込(自動)",J115*10000),0)</f>
        <v>0</v>
      </c>
      <c r="M115" s="57">
        <f>IFERROR(GETPIVOTDATA("合計 / 17.満室想定税込(自動)2",pivot!$DB$8,"17.満室想定税込(自動)",J115*10000),0)</f>
        <v>0</v>
      </c>
      <c r="N115" s="130">
        <f t="shared" ref="N115:N135" si="24">M115/$M$136</f>
        <v>0</v>
      </c>
      <c r="O115" s="130">
        <f>N115</f>
        <v>0</v>
      </c>
    </row>
    <row r="116" spans="1:15">
      <c r="A116" s="537">
        <v>3</v>
      </c>
      <c r="B116" s="489" t="str">
        <f>IFERROR(pivot!CU10,"")</f>
        <v>メゾン雑司ヶ谷</v>
      </c>
      <c r="C116" s="537" t="str">
        <f>IFERROR(pivot!CV10,"")</f>
        <v>1F</v>
      </c>
      <c r="D116" s="489" t="str">
        <f>IFERROR(pivot!CW10,"")</f>
        <v>店舗</v>
      </c>
      <c r="E116" s="489" t="str">
        <f>IFERROR(pivot!CX10,"")</f>
        <v>店舗</v>
      </c>
      <c r="F116" s="504">
        <f>IFERROR(pivot!CY10,"")</f>
        <v>1100000</v>
      </c>
      <c r="G116" s="538">
        <f t="shared" si="23"/>
        <v>3.0603179202925174E-2</v>
      </c>
      <c r="H116" s="516">
        <f t="shared" ref="H116:H153" si="25">IFERROR(G116+H115,"")</f>
        <v>0.14991757450997772</v>
      </c>
      <c r="J116">
        <v>1</v>
      </c>
      <c r="K116">
        <v>2</v>
      </c>
      <c r="L116">
        <f>IFERROR(GETPIVOTDATA("個数 / 17.満室想定税込(自動)",pivot!$DB$8,"17.満室想定税込(自動)",J116*10000),0)</f>
        <v>0</v>
      </c>
      <c r="M116" s="57">
        <f>IFERROR(GETPIVOTDATA("合計 / 17.満室想定税込(自動)2",pivot!$DB$8,"17.満室想定税込(自動)",J116*10000),0)</f>
        <v>0</v>
      </c>
      <c r="N116" s="130">
        <f t="shared" si="24"/>
        <v>0</v>
      </c>
      <c r="O116" s="130">
        <f t="shared" ref="O116:O135" si="26">N116+O115</f>
        <v>0</v>
      </c>
    </row>
    <row r="117" spans="1:15">
      <c r="A117" s="537">
        <v>4</v>
      </c>
      <c r="B117" s="489" t="str">
        <f>IFERROR(pivot!CU11,"")</f>
        <v>コアプラスレジデンス梅田</v>
      </c>
      <c r="C117" s="537" t="str">
        <f>IFERROR(pivot!CV11,"")</f>
        <v>101</v>
      </c>
      <c r="D117" s="489" t="str">
        <f>IFERROR(pivot!CW11,"")</f>
        <v>店舗</v>
      </c>
      <c r="E117" s="489" t="str">
        <f>IFERROR(pivot!CX11,"")</f>
        <v>店舗</v>
      </c>
      <c r="F117" s="504">
        <f>IFERROR(pivot!CY11,"")</f>
        <v>413600</v>
      </c>
      <c r="G117" s="538">
        <f t="shared" si="23"/>
        <v>1.1506795380299865E-2</v>
      </c>
      <c r="H117" s="516">
        <f t="shared" si="25"/>
        <v>0.16142436989027759</v>
      </c>
      <c r="J117">
        <v>2</v>
      </c>
      <c r="K117">
        <v>3</v>
      </c>
      <c r="L117">
        <f>IFERROR(GETPIVOTDATA("個数 / 17.満室想定税込(自動)",pivot!$DB$8,"17.満室想定税込(自動)",J117*10000),0)</f>
        <v>0</v>
      </c>
      <c r="M117" s="57">
        <f>IFERROR(GETPIVOTDATA("合計 / 17.満室想定税込(自動)2",pivot!$DB$8,"17.満室想定税込(自動)",J117*10000),0)</f>
        <v>0</v>
      </c>
      <c r="N117" s="130">
        <f t="shared" si="24"/>
        <v>0</v>
      </c>
      <c r="O117" s="130">
        <f t="shared" si="26"/>
        <v>0</v>
      </c>
    </row>
    <row r="118" spans="1:15">
      <c r="A118" s="537">
        <v>5</v>
      </c>
      <c r="B118" s="489" t="str">
        <f>IFERROR(pivot!CU12,"")</f>
        <v>コアプラス大塚</v>
      </c>
      <c r="C118" s="537" t="str">
        <f>IFERROR(pivot!CV12,"")</f>
        <v>BF1</v>
      </c>
      <c r="D118" s="489" t="str">
        <f>IFERROR(pivot!CW12,"")</f>
        <v>駐車場</v>
      </c>
      <c r="E118" s="489" t="str">
        <f>IFERROR(pivot!CX12,"")</f>
        <v>駐車場</v>
      </c>
      <c r="F118" s="504">
        <f>IFERROR(pivot!CY12,"")</f>
        <v>356481</v>
      </c>
      <c r="G118" s="538">
        <f t="shared" si="23"/>
        <v>9.9176835685799714E-3</v>
      </c>
      <c r="H118" s="516">
        <f t="shared" si="25"/>
        <v>0.17134205345885756</v>
      </c>
      <c r="J118">
        <v>3</v>
      </c>
      <c r="K118">
        <v>4</v>
      </c>
      <c r="L118">
        <f>IFERROR(GETPIVOTDATA("個数 / 17.満室想定税込(自動)",pivot!$DB$8,"17.満室想定税込(自動)",J118*10000),0)</f>
        <v>0</v>
      </c>
      <c r="M118" s="57">
        <f>IFERROR(GETPIVOTDATA("合計 / 17.満室想定税込(自動)2",pivot!$DB$8,"17.満室想定税込(自動)",J118*10000),0)</f>
        <v>0</v>
      </c>
      <c r="N118" s="130">
        <f t="shared" si="24"/>
        <v>0</v>
      </c>
      <c r="O118" s="130">
        <f t="shared" si="26"/>
        <v>0</v>
      </c>
    </row>
    <row r="119" spans="1:15">
      <c r="A119" s="537">
        <v>6</v>
      </c>
      <c r="B119" s="489" t="str">
        <f>IFERROR(pivot!CU13,"")</f>
        <v>目白アパート1号館</v>
      </c>
      <c r="C119" s="537">
        <f>IFERROR(pivot!CV13,"")</f>
        <v>101</v>
      </c>
      <c r="D119" s="489" t="str">
        <f>IFERROR(pivot!CW13,"")</f>
        <v>住居</v>
      </c>
      <c r="E119" s="489" t="str">
        <f>IFERROR(pivot!CX13,"")</f>
        <v>2LDK</v>
      </c>
      <c r="F119" s="504">
        <f>IFERROR(pivot!CY13,"")</f>
        <v>330000</v>
      </c>
      <c r="G119" s="538">
        <f t="shared" si="23"/>
        <v>9.1809537608775523E-3</v>
      </c>
      <c r="H119" s="516">
        <f t="shared" si="25"/>
        <v>0.1805230072197351</v>
      </c>
      <c r="J119">
        <v>4</v>
      </c>
      <c r="K119">
        <v>5</v>
      </c>
      <c r="L119">
        <f>IFERROR(GETPIVOTDATA("個数 / 17.満室想定税込(自動)",pivot!$DB$8,"17.満室想定税込(自動)",J119*10000),0)</f>
        <v>0</v>
      </c>
      <c r="M119" s="57">
        <f>IFERROR(GETPIVOTDATA("合計 / 17.満室想定税込(自動)2",pivot!$DB$8,"17.満室想定税込(自動)",J119*10000),0)</f>
        <v>0</v>
      </c>
      <c r="N119" s="130">
        <f t="shared" si="24"/>
        <v>0</v>
      </c>
      <c r="O119" s="130">
        <f t="shared" si="26"/>
        <v>0</v>
      </c>
    </row>
    <row r="120" spans="1:15">
      <c r="A120" s="537">
        <v>7</v>
      </c>
      <c r="B120" s="489" t="str">
        <f>IFERROR(pivot!CU14,"")</f>
        <v>カーサ目白台ハウス</v>
      </c>
      <c r="C120" s="537" t="str">
        <f>IFERROR(pivot!CV14,"")</f>
        <v>503</v>
      </c>
      <c r="D120" s="489" t="str">
        <f>IFERROR(pivot!CW14,"")</f>
        <v>住居</v>
      </c>
      <c r="E120" s="489" t="str">
        <f>IFERROR(pivot!CX14,"")</f>
        <v>2LDK</v>
      </c>
      <c r="F120" s="504">
        <f>IFERROR(pivot!CY14,"")</f>
        <v>305800</v>
      </c>
      <c r="G120" s="538">
        <f t="shared" si="23"/>
        <v>8.5076838184131986E-3</v>
      </c>
      <c r="H120" s="516">
        <f t="shared" si="25"/>
        <v>0.18903069103814829</v>
      </c>
      <c r="J120">
        <v>5</v>
      </c>
      <c r="K120">
        <v>6</v>
      </c>
      <c r="L120">
        <f>IFERROR(GETPIVOTDATA("個数 / 17.満室想定税込(自動)",pivot!$DB$8,"17.満室想定税込(自動)",J120*10000),0)</f>
        <v>10</v>
      </c>
      <c r="M120" s="57">
        <f>IFERROR(GETPIVOTDATA("合計 / 17.満室想定税込(自動)2",pivot!$DB$8,"17.満室想定税込(自動)",J120*10000),0)</f>
        <v>564700</v>
      </c>
      <c r="N120" s="130">
        <f t="shared" si="24"/>
        <v>1.9999691168218547E-2</v>
      </c>
      <c r="O120" s="130">
        <f t="shared" si="26"/>
        <v>1.9999691168218547E-2</v>
      </c>
    </row>
    <row r="121" spans="1:15">
      <c r="A121" s="537">
        <v>8</v>
      </c>
      <c r="B121" s="489" t="str">
        <f>IFERROR(pivot!CU15,"")</f>
        <v>西池袋駅前ビル</v>
      </c>
      <c r="C121" s="537" t="str">
        <f>IFERROR(pivot!CV15,"")</f>
        <v>100</v>
      </c>
      <c r="D121" s="489" t="str">
        <f>IFERROR(pivot!CW15,"")</f>
        <v>事務所</v>
      </c>
      <c r="E121" s="489" t="str">
        <f>IFERROR(pivot!CX15,"")</f>
        <v>事務所</v>
      </c>
      <c r="F121" s="504">
        <f>IFERROR(pivot!CY15,"")</f>
        <v>302500</v>
      </c>
      <c r="G121" s="538">
        <f t="shared" si="23"/>
        <v>8.4158742808044234E-3</v>
      </c>
      <c r="H121" s="516">
        <f t="shared" si="25"/>
        <v>0.19744656531895272</v>
      </c>
      <c r="J121">
        <v>6</v>
      </c>
      <c r="K121">
        <v>7</v>
      </c>
      <c r="L121">
        <f>IFERROR(GETPIVOTDATA("個数 / 17.満室想定税込(自動)",pivot!$DB$8,"17.満室想定税込(自動)",J121*10000),0)</f>
        <v>49</v>
      </c>
      <c r="M121" s="57">
        <f>IFERROR(GETPIVOTDATA("合計 / 17.満室想定税込(自動)2",pivot!$DB$8,"17.満室想定税込(自動)",J121*10000),0)</f>
        <v>3160800</v>
      </c>
      <c r="N121" s="130">
        <f t="shared" si="24"/>
        <v>0.11194443747920167</v>
      </c>
      <c r="O121" s="130">
        <f t="shared" si="26"/>
        <v>0.13194412864742022</v>
      </c>
    </row>
    <row r="122" spans="1:15">
      <c r="A122" s="537">
        <v>9</v>
      </c>
      <c r="B122" s="489" t="str">
        <f>IFERROR(pivot!CU16,"")</f>
        <v>プラウD目白301号</v>
      </c>
      <c r="C122" s="537" t="str">
        <f>IFERROR(pivot!CV16,"")</f>
        <v>201</v>
      </c>
      <c r="D122" s="489" t="str">
        <f>IFERROR(pivot!CW16,"")</f>
        <v>住居</v>
      </c>
      <c r="E122" s="489" t="str">
        <f>IFERROR(pivot!CX16,"")</f>
        <v>2LDK</v>
      </c>
      <c r="F122" s="504">
        <f>IFERROR(pivot!CY16,"")</f>
        <v>295000</v>
      </c>
      <c r="G122" s="538">
        <f t="shared" si="23"/>
        <v>8.207216240784479E-3</v>
      </c>
      <c r="H122" s="516">
        <f t="shared" si="25"/>
        <v>0.20565378155973718</v>
      </c>
      <c r="J122">
        <v>7</v>
      </c>
      <c r="K122">
        <v>8</v>
      </c>
      <c r="L122">
        <f>IFERROR(GETPIVOTDATA("個数 / 17.満室想定税込(自動)",pivot!$DB$8,"17.満室想定税込(自動)",J122*10000),0)</f>
        <v>22</v>
      </c>
      <c r="M122" s="57">
        <f>IFERROR(GETPIVOTDATA("合計 / 17.満室想定税込(自動)2",pivot!$DB$8,"17.満室想定税込(自動)",J122*10000),0)</f>
        <v>1623000</v>
      </c>
      <c r="N122" s="130">
        <f t="shared" si="24"/>
        <v>5.7480961158170182E-2</v>
      </c>
      <c r="O122" s="130">
        <f t="shared" si="26"/>
        <v>0.18942508980559042</v>
      </c>
    </row>
    <row r="123" spans="1:15">
      <c r="A123" s="537">
        <v>10</v>
      </c>
      <c r="B123" s="489" t="str">
        <f>IFERROR(pivot!CU17,"")</f>
        <v>レジデンス目白豊島</v>
      </c>
      <c r="C123" s="537" t="str">
        <f>IFERROR(pivot!CV17,"")</f>
        <v>101</v>
      </c>
      <c r="D123" s="489" t="str">
        <f>IFERROR(pivot!CW17,"")</f>
        <v>倉庫</v>
      </c>
      <c r="E123" s="489" t="str">
        <f>IFERROR(pivot!CX17,"")</f>
        <v>倉庫</v>
      </c>
      <c r="F123" s="504">
        <f>IFERROR(pivot!CY17,"")</f>
        <v>264815</v>
      </c>
      <c r="G123" s="538">
        <f t="shared" si="23"/>
        <v>7.3674371823842094E-3</v>
      </c>
      <c r="H123" s="516">
        <f t="shared" si="25"/>
        <v>0.21302121874212138</v>
      </c>
      <c r="J123">
        <v>8</v>
      </c>
      <c r="K123">
        <v>9</v>
      </c>
      <c r="L123">
        <f>IFERROR(GETPIVOTDATA("個数 / 17.満室想定税込(自動)",pivot!$DB$8,"17.満室想定税込(自動)",J123*10000),0)</f>
        <v>26</v>
      </c>
      <c r="M123" s="57">
        <f>IFERROR(GETPIVOTDATA("合計 / 17.満室想定税込(自動)2",pivot!$DB$8,"17.満室想定税込(自動)",J123*10000),0)</f>
        <v>2172000</v>
      </c>
      <c r="N123" s="130">
        <f t="shared" si="24"/>
        <v>7.6924613453817389E-2</v>
      </c>
      <c r="O123" s="130">
        <f t="shared" si="26"/>
        <v>0.26634970325940782</v>
      </c>
    </row>
    <row r="124" spans="1:15">
      <c r="A124" s="537">
        <v>11</v>
      </c>
      <c r="B124" s="489" t="str">
        <f>IFERROR(pivot!CU18,"")</f>
        <v>カーサ目白台ハウス</v>
      </c>
      <c r="C124" s="537" t="str">
        <f>IFERROR(pivot!CV18,"")</f>
        <v>303</v>
      </c>
      <c r="D124" s="489" t="str">
        <f>IFERROR(pivot!CW18,"")</f>
        <v>住居</v>
      </c>
      <c r="E124" s="489" t="str">
        <f>IFERROR(pivot!CX18,"")</f>
        <v>2LDK</v>
      </c>
      <c r="F124" s="504">
        <f>IFERROR(pivot!CY18,"")</f>
        <v>220000</v>
      </c>
      <c r="G124" s="538">
        <f t="shared" si="23"/>
        <v>6.1206358405850349E-3</v>
      </c>
      <c r="H124" s="516">
        <f t="shared" si="25"/>
        <v>0.21914185458270641</v>
      </c>
      <c r="J124">
        <v>9</v>
      </c>
      <c r="K124">
        <v>10</v>
      </c>
      <c r="L124">
        <f>IFERROR(GETPIVOTDATA("個数 / 17.満室想定税込(自動)",pivot!$DB$8,"17.満室想定税込(自動)",J124*10000),0)</f>
        <v>10</v>
      </c>
      <c r="M124" s="57">
        <f>IFERROR(GETPIVOTDATA("合計 / 17.満室想定税込(自動)2",pivot!$DB$8,"17.満室想定税込(自動)",J124*10000),0)</f>
        <v>941612</v>
      </c>
      <c r="N124" s="130">
        <f t="shared" si="24"/>
        <v>3.3348590756664784E-2</v>
      </c>
      <c r="O124" s="130">
        <f t="shared" si="26"/>
        <v>0.29969829401607262</v>
      </c>
    </row>
    <row r="125" spans="1:15">
      <c r="A125" s="537">
        <v>12</v>
      </c>
      <c r="B125" s="489" t="str">
        <f>IFERROR(pivot!CU19,"")</f>
        <v>カーサ目白台ハウス</v>
      </c>
      <c r="C125" s="537" t="str">
        <f>IFERROR(pivot!CV19,"")</f>
        <v>501</v>
      </c>
      <c r="D125" s="489" t="str">
        <f>IFERROR(pivot!CW19,"")</f>
        <v>住居</v>
      </c>
      <c r="E125" s="489" t="str">
        <f>IFERROR(pivot!CX19,"")</f>
        <v>2LDK</v>
      </c>
      <c r="F125" s="504">
        <f>IFERROR(pivot!CY19,"")</f>
        <v>218000</v>
      </c>
      <c r="G125" s="538">
        <f t="shared" si="23"/>
        <v>6.0649936965797161E-3</v>
      </c>
      <c r="H125" s="516">
        <f t="shared" si="25"/>
        <v>0.22520684827928614</v>
      </c>
      <c r="J125">
        <v>10</v>
      </c>
      <c r="K125">
        <v>11</v>
      </c>
      <c r="L125">
        <f>IFERROR(GETPIVOTDATA("個数 / 17.満室想定税込(自動)",pivot!$DB$8,"17.満室想定税込(自動)",J125*10000),0)</f>
        <v>13</v>
      </c>
      <c r="M125" s="57">
        <f>IFERROR(GETPIVOTDATA("合計 / 17.満室想定税込(自動)2",pivot!$DB$8,"17.満室想定税込(自動)",J125*10000),0)</f>
        <v>1346853</v>
      </c>
      <c r="N125" s="130">
        <f t="shared" si="24"/>
        <v>4.7700804053459632E-2</v>
      </c>
      <c r="O125" s="130">
        <f t="shared" si="26"/>
        <v>0.34739909806953223</v>
      </c>
    </row>
    <row r="126" spans="1:15">
      <c r="A126" s="537">
        <v>13</v>
      </c>
      <c r="B126" s="489" t="str">
        <f>IFERROR(pivot!CU20,"")</f>
        <v>カーサ目白台ハウス</v>
      </c>
      <c r="C126" s="537" t="str">
        <f>IFERROR(pivot!CV20,"")</f>
        <v>301</v>
      </c>
      <c r="D126" s="489" t="str">
        <f>IFERROR(pivot!CW20,"")</f>
        <v>住居</v>
      </c>
      <c r="E126" s="489" t="str">
        <f>IFERROR(pivot!CX20,"")</f>
        <v>2LDK</v>
      </c>
      <c r="F126" s="504">
        <f>IFERROR(pivot!CY20,"")</f>
        <v>218000</v>
      </c>
      <c r="G126" s="538">
        <f t="shared" si="23"/>
        <v>6.0649936965797161E-3</v>
      </c>
      <c r="H126" s="516">
        <f t="shared" si="25"/>
        <v>0.23127184197586587</v>
      </c>
      <c r="J126">
        <v>11</v>
      </c>
      <c r="K126">
        <v>12</v>
      </c>
      <c r="L126">
        <f>IFERROR(GETPIVOTDATA("個数 / 17.満室想定税込(自動)",pivot!$DB$8,"17.満室想定税込(自動)",J126*10000),0)</f>
        <v>12</v>
      </c>
      <c r="M126" s="57">
        <f>IFERROR(GETPIVOTDATA("合計 / 17.満室想定税込(自動)2",pivot!$DB$8,"17.満室想定税込(自動)",J126*10000),0)</f>
        <v>1370037</v>
      </c>
      <c r="N126" s="130">
        <f t="shared" si="24"/>
        <v>4.8521899927452865E-2</v>
      </c>
      <c r="O126" s="130">
        <f t="shared" si="26"/>
        <v>0.3959209979969851</v>
      </c>
    </row>
    <row r="127" spans="1:15">
      <c r="A127" s="537">
        <v>14</v>
      </c>
      <c r="B127" s="489" t="str">
        <f>IFERROR(pivot!CU21,"")</f>
        <v>カーサ目白台ハウス</v>
      </c>
      <c r="C127" s="537" t="str">
        <f>IFERROR(pivot!CV21,"")</f>
        <v>401</v>
      </c>
      <c r="D127" s="489" t="str">
        <f>IFERROR(pivot!CW21,"")</f>
        <v>住居</v>
      </c>
      <c r="E127" s="489" t="str">
        <f>IFERROR(pivot!CX21,"")</f>
        <v>2LDK</v>
      </c>
      <c r="F127" s="504">
        <f>IFERROR(pivot!CY21,"")</f>
        <v>208000</v>
      </c>
      <c r="G127" s="538">
        <f t="shared" si="23"/>
        <v>5.7867829765531238E-3</v>
      </c>
      <c r="H127" s="516">
        <f t="shared" si="25"/>
        <v>0.237058624952419</v>
      </c>
      <c r="J127">
        <v>12</v>
      </c>
      <c r="K127">
        <v>13</v>
      </c>
      <c r="L127">
        <f>IFERROR(GETPIVOTDATA("個数 / 17.満室想定税込(自動)",pivot!$DB$8,"17.満室想定税込(自動)",J127*10000),0)</f>
        <v>23</v>
      </c>
      <c r="M127" s="57">
        <f>IFERROR(GETPIVOTDATA("合計 / 17.満室想定税込(自動)2",pivot!$DB$8,"17.満室想定税込(自動)",J127*10000),0)</f>
        <v>2874000</v>
      </c>
      <c r="N127" s="130">
        <f t="shared" si="24"/>
        <v>0.10178698852038269</v>
      </c>
      <c r="O127" s="130">
        <f t="shared" si="26"/>
        <v>0.49770798651736781</v>
      </c>
    </row>
    <row r="128" spans="1:15">
      <c r="A128" s="537">
        <v>15</v>
      </c>
      <c r="B128" s="489" t="str">
        <f>IFERROR(pivot!CU22,"")</f>
        <v>カーサ目白台ハウス</v>
      </c>
      <c r="C128" s="537" t="str">
        <f>IFERROR(pivot!CV22,"")</f>
        <v>302</v>
      </c>
      <c r="D128" s="489" t="str">
        <f>IFERROR(pivot!CW22,"")</f>
        <v>住居</v>
      </c>
      <c r="E128" s="489" t="str">
        <f>IFERROR(pivot!CX22,"")</f>
        <v>2DK</v>
      </c>
      <c r="F128" s="504">
        <f>IFERROR(pivot!CY22,"")</f>
        <v>208000</v>
      </c>
      <c r="G128" s="538">
        <f t="shared" si="23"/>
        <v>5.7867829765531238E-3</v>
      </c>
      <c r="H128" s="516">
        <f t="shared" si="25"/>
        <v>0.24284540792897213</v>
      </c>
      <c r="J128">
        <v>13</v>
      </c>
      <c r="K128">
        <v>14</v>
      </c>
      <c r="L128">
        <f>IFERROR(GETPIVOTDATA("個数 / 17.満室想定税込(自動)",pivot!$DB$8,"17.満室想定税込(自動)",J128*10000),0)</f>
        <v>32</v>
      </c>
      <c r="M128" s="57">
        <f>IFERROR(GETPIVOTDATA("合計 / 17.満室想定税込(自動)2",pivot!$DB$8,"17.満室想定税込(自動)",J128*10000),0)</f>
        <v>4269000</v>
      </c>
      <c r="N128" s="130">
        <f t="shared" si="24"/>
        <v>0.15119299025522398</v>
      </c>
      <c r="O128" s="130">
        <f t="shared" si="26"/>
        <v>0.64890097677259173</v>
      </c>
    </row>
    <row r="129" spans="1:15">
      <c r="A129" s="537">
        <v>16</v>
      </c>
      <c r="B129" s="489" t="str">
        <f>IFERROR(pivot!CU23,"")</f>
        <v>カーサ目白台ハウス</v>
      </c>
      <c r="C129" s="537" t="str">
        <f>IFERROR(pivot!CV23,"")</f>
        <v>502</v>
      </c>
      <c r="D129" s="489" t="str">
        <f>IFERROR(pivot!CW23,"")</f>
        <v>住居</v>
      </c>
      <c r="E129" s="489" t="str">
        <f>IFERROR(pivot!CX23,"")</f>
        <v>1LDK</v>
      </c>
      <c r="F129" s="504">
        <f>IFERROR(pivot!CY23,"")</f>
        <v>198000</v>
      </c>
      <c r="G129" s="538">
        <f t="shared" si="23"/>
        <v>5.5085722565265316E-3</v>
      </c>
      <c r="H129" s="516">
        <f t="shared" si="25"/>
        <v>0.24835398018549867</v>
      </c>
      <c r="J129">
        <v>14</v>
      </c>
      <c r="K129">
        <v>15</v>
      </c>
      <c r="L129">
        <f>IFERROR(GETPIVOTDATA("個数 / 17.満室想定税込(自動)",pivot!$DB$8,"17.満室想定税込(自動)",J129*10000),0)</f>
        <v>8</v>
      </c>
      <c r="M129" s="57">
        <f>IFERROR(GETPIVOTDATA("合計 / 17.満室想定税込(自動)2",pivot!$DB$8,"17.満室想定税込(自動)",J129*10000),0)</f>
        <v>1143000</v>
      </c>
      <c r="N129" s="130">
        <f t="shared" si="24"/>
        <v>4.0481046582740925E-2</v>
      </c>
      <c r="O129" s="130">
        <f t="shared" si="26"/>
        <v>0.68938202335533261</v>
      </c>
    </row>
    <row r="130" spans="1:15">
      <c r="A130" s="537">
        <v>17</v>
      </c>
      <c r="B130" s="489" t="str">
        <f>IFERROR(pivot!CU24,"")</f>
        <v>カーサ目白台ハウス</v>
      </c>
      <c r="C130" s="537" t="str">
        <f>IFERROR(pivot!CV24,"")</f>
        <v>402</v>
      </c>
      <c r="D130" s="489" t="str">
        <f>IFERROR(pivot!CW24,"")</f>
        <v>住居</v>
      </c>
      <c r="E130" s="489" t="str">
        <f>IFERROR(pivot!CX24,"")</f>
        <v>2LDK</v>
      </c>
      <c r="F130" s="504">
        <f>IFERROR(pivot!CY24,"")</f>
        <v>198000</v>
      </c>
      <c r="G130" s="538">
        <f t="shared" si="23"/>
        <v>5.5085722565265316E-3</v>
      </c>
      <c r="H130" s="516">
        <f t="shared" si="25"/>
        <v>0.25386255244202521</v>
      </c>
      <c r="J130">
        <v>15</v>
      </c>
      <c r="K130">
        <v>16</v>
      </c>
      <c r="L130">
        <f>IFERROR(GETPIVOTDATA("個数 / 17.満室想定税込(自動)",pivot!$DB$8,"17.満室想定税込(自動)",J130*10000),0)</f>
        <v>11</v>
      </c>
      <c r="M130" s="57">
        <f>IFERROR(GETPIVOTDATA("合計 / 17.満室想定税込(自動)2",pivot!$DB$8,"17.満室想定税込(自動)",J130*10000),0)</f>
        <v>1673000</v>
      </c>
      <c r="N130" s="130">
        <f t="shared" si="24"/>
        <v>5.9251785593110728E-2</v>
      </c>
      <c r="O130" s="130">
        <f t="shared" si="26"/>
        <v>0.74863380894844334</v>
      </c>
    </row>
    <row r="131" spans="1:15">
      <c r="A131" s="537">
        <v>18</v>
      </c>
      <c r="B131" s="489" t="str">
        <f>IFERROR(pivot!CU25,"")</f>
        <v>カーサ目白台ハウス</v>
      </c>
      <c r="C131" s="537" t="str">
        <f>IFERROR(pivot!CV25,"")</f>
        <v>201</v>
      </c>
      <c r="D131" s="489" t="str">
        <f>IFERROR(pivot!CW25,"")</f>
        <v>店舗</v>
      </c>
      <c r="E131" s="489" t="str">
        <f>IFERROR(pivot!CX25,"")</f>
        <v>事務所</v>
      </c>
      <c r="F131" s="504">
        <f>IFERROR(pivot!CY25,"")</f>
        <v>198000</v>
      </c>
      <c r="G131" s="538">
        <f t="shared" si="23"/>
        <v>5.5085722565265316E-3</v>
      </c>
      <c r="H131" s="516">
        <f t="shared" si="25"/>
        <v>0.25937112469855172</v>
      </c>
      <c r="J131">
        <v>16</v>
      </c>
      <c r="K131">
        <v>17</v>
      </c>
      <c r="L131">
        <f>IFERROR(GETPIVOTDATA("個数 / 17.満室想定税込(自動)",pivot!$DB$8,"17.満室想定税込(自動)",J131*10000),0)</f>
        <v>10</v>
      </c>
      <c r="M131" s="57">
        <f>IFERROR(GETPIVOTDATA("合計 / 17.満室想定税込(自動)2",pivot!$DB$8,"17.満室想定税込(自動)",J131*10000),0)</f>
        <v>1635000</v>
      </c>
      <c r="N131" s="130">
        <f t="shared" si="24"/>
        <v>5.7905959022555908E-2</v>
      </c>
      <c r="O131" s="130">
        <f t="shared" si="26"/>
        <v>0.80653976797099924</v>
      </c>
    </row>
    <row r="132" spans="1:15">
      <c r="A132" s="537">
        <v>19</v>
      </c>
      <c r="B132" s="489" t="str">
        <f>IFERROR(pivot!CU26,"")</f>
        <v>コアプラス大塚</v>
      </c>
      <c r="C132" s="537" t="str">
        <f>IFERROR(pivot!CV26,"")</f>
        <v>101</v>
      </c>
      <c r="D132" s="489" t="str">
        <f>IFERROR(pivot!CW26,"")</f>
        <v>店舗</v>
      </c>
      <c r="E132" s="489" t="str">
        <f>IFERROR(pivot!CX26,"")</f>
        <v>店舗</v>
      </c>
      <c r="F132" s="504">
        <f>IFERROR(pivot!CY26,"")</f>
        <v>192093</v>
      </c>
      <c r="G132" s="538">
        <f t="shared" si="23"/>
        <v>5.3442331842068229E-3</v>
      </c>
      <c r="H132" s="516">
        <f t="shared" si="25"/>
        <v>0.26471535788275857</v>
      </c>
      <c r="J132">
        <v>17</v>
      </c>
      <c r="K132">
        <v>18</v>
      </c>
      <c r="L132">
        <f>IFERROR(GETPIVOTDATA("個数 / 17.満室想定税込(自動)",pivot!$DB$8,"17.満室想定税込(自動)",J132*10000),0)</f>
        <v>4</v>
      </c>
      <c r="M132" s="57">
        <f>IFERROR(GETPIVOTDATA("合計 / 17.満室想定税込(自動)2",pivot!$DB$8,"17.満室想定税込(自動)",J132*10000),0)</f>
        <v>685000</v>
      </c>
      <c r="N132" s="130">
        <f t="shared" si="24"/>
        <v>2.4260294758685505E-2</v>
      </c>
      <c r="O132" s="130">
        <f t="shared" si="26"/>
        <v>0.83080006272968476</v>
      </c>
    </row>
    <row r="133" spans="1:15">
      <c r="A133" s="537">
        <v>20</v>
      </c>
      <c r="B133" s="489" t="str">
        <f>IFERROR(pivot!CU27,"")</f>
        <v>高田馬場第4玉川ビル</v>
      </c>
      <c r="C133" s="537" t="str">
        <f>IFERROR(pivot!CV27,"")</f>
        <v>101</v>
      </c>
      <c r="D133" s="489" t="str">
        <f>IFERROR(pivot!CW27,"")</f>
        <v>住居</v>
      </c>
      <c r="E133" s="489" t="str">
        <f>IFERROR(pivot!CX27,"")</f>
        <v>2SLDK</v>
      </c>
      <c r="F133" s="504">
        <f>IFERROR(pivot!CY27,"")</f>
        <v>190000</v>
      </c>
      <c r="G133" s="538">
        <f t="shared" si="23"/>
        <v>5.2860036805052572E-3</v>
      </c>
      <c r="H133" s="516">
        <f t="shared" si="25"/>
        <v>0.27000136156326382</v>
      </c>
      <c r="J133">
        <v>18</v>
      </c>
      <c r="K133">
        <v>19</v>
      </c>
      <c r="L133">
        <f>IFERROR(GETPIVOTDATA("個数 / 17.満室想定税込(自動)",pivot!$DB$8,"17.満室想定税込(自動)",J133*10000),0)</f>
        <v>4</v>
      </c>
      <c r="M133" s="57">
        <f>IFERROR(GETPIVOTDATA("合計 / 17.満室想定税込(自動)2",pivot!$DB$8,"17.満室想定税込(自動)",J133*10000),0)</f>
        <v>725000</v>
      </c>
      <c r="N133" s="130">
        <f t="shared" si="24"/>
        <v>2.5676954306637943E-2</v>
      </c>
      <c r="O133" s="130">
        <f t="shared" si="26"/>
        <v>0.85647701703632273</v>
      </c>
    </row>
    <row r="134" spans="1:15">
      <c r="A134" s="537">
        <v>21</v>
      </c>
      <c r="B134" s="489" t="str">
        <f>IFERROR(pivot!CU28,"")</f>
        <v>カーサ目白台ハウス</v>
      </c>
      <c r="C134" s="537" t="str">
        <f>IFERROR(pivot!CV28,"")</f>
        <v>102</v>
      </c>
      <c r="D134" s="489" t="str">
        <f>IFERROR(pivot!CW28,"")</f>
        <v>事務所</v>
      </c>
      <c r="E134" s="489" t="str">
        <f>IFERROR(pivot!CX28,"")</f>
        <v>事務所</v>
      </c>
      <c r="F134" s="504">
        <f>IFERROR(pivot!CY28,"")</f>
        <v>189444</v>
      </c>
      <c r="G134" s="538">
        <f t="shared" si="23"/>
        <v>5.2705351644717789E-3</v>
      </c>
      <c r="H134" s="516">
        <f t="shared" si="25"/>
        <v>0.27527189672773561</v>
      </c>
      <c r="J134">
        <v>19</v>
      </c>
      <c r="K134">
        <v>20</v>
      </c>
      <c r="L134">
        <f>IFERROR(GETPIVOTDATA("個数 / 17.満室想定税込(自動)",pivot!$DB$8,"17.満室想定税込(自動)",J134*10000),0)</f>
        <v>3</v>
      </c>
      <c r="M134" s="57">
        <f>IFERROR(GETPIVOTDATA("合計 / 17.満室想定税込(自動)2",pivot!$DB$8,"17.満室想定税込(自動)",J134*10000),0)</f>
        <v>586000</v>
      </c>
      <c r="N134" s="130">
        <f t="shared" si="24"/>
        <v>2.075406237750322E-2</v>
      </c>
      <c r="O134" s="130">
        <f t="shared" si="26"/>
        <v>0.87723107941382594</v>
      </c>
    </row>
    <row r="135" spans="1:15" ht="14.25" thickBot="1">
      <c r="A135" s="537">
        <v>22</v>
      </c>
      <c r="B135" s="489" t="str">
        <f>IFERROR(pivot!CU29,"")</f>
        <v>カーサ目白台ハウス</v>
      </c>
      <c r="C135" s="537" t="str">
        <f>IFERROR(pivot!CV29,"")</f>
        <v>103</v>
      </c>
      <c r="D135" s="489" t="str">
        <f>IFERROR(pivot!CW29,"")</f>
        <v>事務所</v>
      </c>
      <c r="E135" s="489" t="str">
        <f>IFERROR(pivot!CX29,"")</f>
        <v>事務所</v>
      </c>
      <c r="F135" s="504">
        <f>IFERROR(pivot!CY29,"")</f>
        <v>187000</v>
      </c>
      <c r="G135" s="538">
        <f t="shared" si="23"/>
        <v>5.2025404644972795E-3</v>
      </c>
      <c r="H135" s="516">
        <f t="shared" si="25"/>
        <v>0.28047443719223286</v>
      </c>
      <c r="J135" s="67">
        <v>20</v>
      </c>
      <c r="K135" s="542" t="s">
        <v>1550</v>
      </c>
      <c r="L135" s="67">
        <f>IFERROR(GETPIVOTDATA("個数 / 17.満室想定税込(自動)",pivot!$DB$8,"17.満室想定税込(自動)",J135*10000),0)</f>
        <v>8</v>
      </c>
      <c r="M135" s="522">
        <f>IFERROR(GETPIVOTDATA("合計 / 17.満室想定税込(自動)2",pivot!$DB$8,"17.満室想定税込(自動)",J135*10000),0)</f>
        <v>3466434</v>
      </c>
      <c r="N135" s="543">
        <f t="shared" si="24"/>
        <v>0.12276892058617406</v>
      </c>
      <c r="O135" s="543">
        <f t="shared" si="26"/>
        <v>1</v>
      </c>
    </row>
    <row r="136" spans="1:15" ht="14.25" thickTop="1">
      <c r="A136" s="537">
        <v>23</v>
      </c>
      <c r="B136" s="489" t="str">
        <f>IFERROR(pivot!CU30,"")</f>
        <v>カーサ南池袋</v>
      </c>
      <c r="C136" s="537" t="str">
        <f>IFERROR(pivot!CV30,"")</f>
        <v>332</v>
      </c>
      <c r="D136" s="489" t="str">
        <f>IFERROR(pivot!CW30,"")</f>
        <v>住居</v>
      </c>
      <c r="E136" s="489" t="str">
        <f>IFERROR(pivot!CX30,"")</f>
        <v>3LDK</v>
      </c>
      <c r="F136" s="504">
        <f>IFERROR(pivot!CY30,"")</f>
        <v>185000</v>
      </c>
      <c r="G136" s="538">
        <f t="shared" si="23"/>
        <v>5.1468983204919615E-3</v>
      </c>
      <c r="H136" s="516">
        <f t="shared" si="25"/>
        <v>0.28562133551272484</v>
      </c>
      <c r="J136"/>
      <c r="K136"/>
      <c r="L136">
        <f>SUM(L115:L135)</f>
        <v>245</v>
      </c>
      <c r="M136" s="57">
        <f>SUM(M115:M135)</f>
        <v>28235436</v>
      </c>
      <c r="N136" s="130">
        <f>SUM(N115:N135)</f>
        <v>1</v>
      </c>
      <c r="O136"/>
    </row>
    <row r="137" spans="1:15">
      <c r="A137" s="537">
        <v>24</v>
      </c>
      <c r="B137" s="489" t="str">
        <f>IFERROR(pivot!CU31,"")</f>
        <v>東池袋ハイツ</v>
      </c>
      <c r="C137" s="537" t="str">
        <f>IFERROR(pivot!CV31,"")</f>
        <v>602</v>
      </c>
      <c r="D137" s="489" t="str">
        <f>IFERROR(pivot!CW31,"")</f>
        <v>住居</v>
      </c>
      <c r="E137" s="489" t="str">
        <f>IFERROR(pivot!CX31,"")</f>
        <v>1LDK</v>
      </c>
      <c r="F137" s="504">
        <f>IFERROR(pivot!CY31,"")</f>
        <v>180000</v>
      </c>
      <c r="G137" s="538">
        <f t="shared" si="23"/>
        <v>5.007792960478665E-3</v>
      </c>
      <c r="H137" s="516">
        <f t="shared" si="25"/>
        <v>0.29062912847320349</v>
      </c>
    </row>
    <row r="138" spans="1:15">
      <c r="A138" s="537">
        <v>25</v>
      </c>
      <c r="B138" s="489" t="str">
        <f>IFERROR(pivot!CU32,"")</f>
        <v>カーサ南池袋</v>
      </c>
      <c r="C138" s="537" t="str">
        <f>IFERROR(pivot!CV32,"")</f>
        <v>222</v>
      </c>
      <c r="D138" s="489" t="str">
        <f>IFERROR(pivot!CW32,"")</f>
        <v>住居</v>
      </c>
      <c r="E138" s="489" t="str">
        <f>IFERROR(pivot!CX32,"")</f>
        <v>3LDK</v>
      </c>
      <c r="F138" s="504">
        <f>IFERROR(pivot!CY32,"")</f>
        <v>180000</v>
      </c>
      <c r="G138" s="538">
        <f t="shared" si="23"/>
        <v>5.007792960478665E-3</v>
      </c>
      <c r="H138" s="516">
        <f t="shared" si="25"/>
        <v>0.29563692143368214</v>
      </c>
      <c r="J138" s="33" t="s">
        <v>155</v>
      </c>
      <c r="K138" s="539"/>
      <c r="L138" s="539"/>
      <c r="M138" s="539"/>
      <c r="N138" s="539"/>
      <c r="O138" s="540"/>
    </row>
    <row r="139" spans="1:15">
      <c r="A139" s="537">
        <v>26</v>
      </c>
      <c r="B139" s="489" t="str">
        <f>IFERROR(pivot!CU33,"")</f>
        <v>東池袋ハイツ</v>
      </c>
      <c r="C139" s="537" t="str">
        <f>IFERROR(pivot!CV33,"")</f>
        <v>601</v>
      </c>
      <c r="D139" s="489" t="str">
        <f>IFERROR(pivot!CW33,"")</f>
        <v>住居</v>
      </c>
      <c r="E139" s="489" t="str">
        <f>IFERROR(pivot!CX33,"")</f>
        <v>3DK</v>
      </c>
      <c r="F139" s="504">
        <f>IFERROR(pivot!CY33,"")</f>
        <v>180000</v>
      </c>
      <c r="G139" s="538">
        <f t="shared" si="23"/>
        <v>5.007792960478665E-3</v>
      </c>
      <c r="H139" s="516">
        <f t="shared" si="25"/>
        <v>0.30064471439416079</v>
      </c>
      <c r="J139" s="541" t="s">
        <v>1544</v>
      </c>
      <c r="K139" s="541" t="s">
        <v>1545</v>
      </c>
      <c r="L139" s="541" t="s">
        <v>1546</v>
      </c>
      <c r="M139" s="541" t="s">
        <v>1547</v>
      </c>
      <c r="N139" s="541" t="s">
        <v>1548</v>
      </c>
      <c r="O139" s="541" t="s">
        <v>1549</v>
      </c>
    </row>
    <row r="140" spans="1:15">
      <c r="A140" s="537">
        <v>27</v>
      </c>
      <c r="B140" s="489" t="str">
        <f>IFERROR(pivot!CU34,"")</f>
        <v>コアプラスレジデンス梅田</v>
      </c>
      <c r="C140" s="537" t="str">
        <f>IFERROR(pivot!CV34,"")</f>
        <v>802</v>
      </c>
      <c r="D140" s="489" t="str">
        <f>IFERROR(pivot!CW34,"")</f>
        <v>住居</v>
      </c>
      <c r="E140" s="489" t="str">
        <f>IFERROR(pivot!CX34,"")</f>
        <v>2LDK</v>
      </c>
      <c r="F140" s="504">
        <f>IFERROR(pivot!CY34,"")</f>
        <v>175000</v>
      </c>
      <c r="G140" s="538">
        <f t="shared" si="23"/>
        <v>4.8686876004653684E-3</v>
      </c>
      <c r="H140" s="516">
        <f t="shared" si="25"/>
        <v>0.30551340199462618</v>
      </c>
      <c r="J140">
        <v>0</v>
      </c>
      <c r="K140">
        <v>10</v>
      </c>
      <c r="L140">
        <f>IFERROR(GETPIVOTDATA("個数 / 17.満室想定税込(自動)",pivot!$DF$8,"17.満室想定税込(自動)",J140*10000),0)</f>
        <v>26</v>
      </c>
      <c r="M140" s="57">
        <f>IFERROR(GETPIVOTDATA("合計 / 17.満室想定税込(自動)2",pivot!$DF$8,"17.満室想定税込(自動)",J140*10000),0)</f>
        <v>1040061</v>
      </c>
      <c r="N140" s="130">
        <f t="shared" ref="N140:N150" si="27">M140/$M$151</f>
        <v>0.14029204933350348</v>
      </c>
      <c r="O140" s="130">
        <f>N140</f>
        <v>0.14029204933350348</v>
      </c>
    </row>
    <row r="141" spans="1:15">
      <c r="A141" s="537">
        <v>28</v>
      </c>
      <c r="B141" s="489" t="str">
        <f>IFERROR(pivot!CU35,"")</f>
        <v>カーサ目白台ハウス</v>
      </c>
      <c r="C141" s="537" t="str">
        <f>IFERROR(pivot!CV35,"")</f>
        <v>101</v>
      </c>
      <c r="D141" s="489" t="str">
        <f>IFERROR(pivot!CW35,"")</f>
        <v>事務所</v>
      </c>
      <c r="E141" s="489" t="str">
        <f>IFERROR(pivot!CX35,"")</f>
        <v>事務所</v>
      </c>
      <c r="F141" s="504">
        <f>IFERROR(pivot!CY35,"")</f>
        <v>173148</v>
      </c>
      <c r="G141" s="538">
        <f t="shared" si="23"/>
        <v>4.817162975116444E-3</v>
      </c>
      <c r="H141" s="516">
        <f t="shared" si="25"/>
        <v>0.31033056496974259</v>
      </c>
      <c r="J141">
        <v>10</v>
      </c>
      <c r="K141">
        <v>20</v>
      </c>
      <c r="L141">
        <f>IFERROR(GETPIVOTDATA("個数 / 17.満室想定税込(自動)",pivot!$DF$8,"17.満室想定税込(自動)",J141*10000),0)</f>
        <v>8</v>
      </c>
      <c r="M141" s="57">
        <f>IFERROR(GETPIVOTDATA("合計 / 17.満室想定税込(自動)2",pivot!$DF$8,"17.満室想定税込(自動)",J141*10000),0)</f>
        <v>1406085</v>
      </c>
      <c r="N141" s="130">
        <f t="shared" si="27"/>
        <v>0.18966440063332748</v>
      </c>
      <c r="O141" s="130">
        <f t="shared" ref="O141:O150" si="28">N141+O140</f>
        <v>0.32995644996683093</v>
      </c>
    </row>
    <row r="142" spans="1:15">
      <c r="A142" s="537">
        <v>29</v>
      </c>
      <c r="B142" s="489" t="str">
        <f>IFERROR(pivot!CU36,"")</f>
        <v>東池袋ハイツ</v>
      </c>
      <c r="C142" s="537" t="str">
        <f>IFERROR(pivot!CV36,"")</f>
        <v>204</v>
      </c>
      <c r="D142" s="489" t="str">
        <f>IFERROR(pivot!CW36,"")</f>
        <v>住居</v>
      </c>
      <c r="E142" s="489" t="str">
        <f>IFERROR(pivot!CX36,"")</f>
        <v>3DK</v>
      </c>
      <c r="F142" s="504">
        <f>IFERROR(pivot!CY36,"")</f>
        <v>170000</v>
      </c>
      <c r="G142" s="538">
        <f t="shared" si="23"/>
        <v>4.7295822404520727E-3</v>
      </c>
      <c r="H142" s="516">
        <f t="shared" si="25"/>
        <v>0.31506014721019465</v>
      </c>
      <c r="J142">
        <v>20</v>
      </c>
      <c r="K142">
        <v>30</v>
      </c>
      <c r="L142">
        <f>IFERROR(GETPIVOTDATA("個数 / 17.満室想定税込(自動)",pivot!$DF$8,"17.満室想定税込(自動)",J142*10000),0)</f>
        <v>1</v>
      </c>
      <c r="M142" s="57">
        <f>IFERROR(GETPIVOTDATA("合計 / 17.満室想定税込(自動)2",pivot!$DF$8,"17.満室想定税込(自動)",J142*10000),0)</f>
        <v>264815</v>
      </c>
      <c r="N142" s="130">
        <f t="shared" si="27"/>
        <v>3.5720442401216586E-2</v>
      </c>
      <c r="O142" s="130">
        <f t="shared" si="28"/>
        <v>0.36567689236804751</v>
      </c>
    </row>
    <row r="143" spans="1:15">
      <c r="A143" s="537">
        <v>30</v>
      </c>
      <c r="B143" s="489" t="str">
        <f>IFERROR(pivot!CU37,"")</f>
        <v>東池袋ハイツ</v>
      </c>
      <c r="C143" s="537" t="str">
        <f>IFERROR(pivot!CV37,"")</f>
        <v>304</v>
      </c>
      <c r="D143" s="489" t="str">
        <f>IFERROR(pivot!CW37,"")</f>
        <v>住居</v>
      </c>
      <c r="E143" s="489" t="str">
        <f>IFERROR(pivot!CX37,"")</f>
        <v>3DK</v>
      </c>
      <c r="F143" s="504">
        <f>IFERROR(pivot!CY37,"")</f>
        <v>170000</v>
      </c>
      <c r="G143" s="538">
        <f t="shared" si="23"/>
        <v>4.7295822404520727E-3</v>
      </c>
      <c r="H143" s="516">
        <f t="shared" si="25"/>
        <v>0.31978972945064671</v>
      </c>
      <c r="J143">
        <v>30</v>
      </c>
      <c r="K143">
        <v>40</v>
      </c>
      <c r="L143">
        <f>IFERROR(GETPIVOTDATA("個数 / 17.満室想定税込(自動)",pivot!$DF$8,"17.満室想定税込(自動)",J143*10000),0)</f>
        <v>2</v>
      </c>
      <c r="M143" s="57">
        <f>IFERROR(GETPIVOTDATA("合計 / 17.満室想定税込(自動)2",pivot!$DF$8,"17.満室想定税込(自動)",J143*10000),0)</f>
        <v>658981</v>
      </c>
      <c r="N143" s="130">
        <f t="shared" si="27"/>
        <v>8.888881994598534E-2</v>
      </c>
      <c r="O143" s="130">
        <f t="shared" si="28"/>
        <v>0.45456571231403287</v>
      </c>
    </row>
    <row r="144" spans="1:15">
      <c r="A144" s="537">
        <v>31</v>
      </c>
      <c r="B144" s="489" t="str">
        <f>IFERROR(pivot!CU38,"")</f>
        <v>東池袋ハイツ</v>
      </c>
      <c r="C144" s="537" t="str">
        <f>IFERROR(pivot!CV38,"")</f>
        <v>504</v>
      </c>
      <c r="D144" s="489" t="str">
        <f>IFERROR(pivot!CW38,"")</f>
        <v>住居</v>
      </c>
      <c r="E144" s="489" t="str">
        <f>IFERROR(pivot!CX38,"")</f>
        <v>1K</v>
      </c>
      <c r="F144" s="504">
        <f>IFERROR(pivot!CY38,"")</f>
        <v>170000</v>
      </c>
      <c r="G144" s="538">
        <f t="shared" si="23"/>
        <v>4.7295822404520727E-3</v>
      </c>
      <c r="H144" s="516">
        <f t="shared" si="25"/>
        <v>0.32451931169109877</v>
      </c>
      <c r="J144">
        <v>40</v>
      </c>
      <c r="K144">
        <v>50</v>
      </c>
      <c r="L144">
        <f>IFERROR(GETPIVOTDATA("個数 / 17.満室想定税込(自動)",pivot!$DF$8,"17.満室想定税込(自動)",J144*10000),0)</f>
        <v>1</v>
      </c>
      <c r="M144" s="57">
        <f>IFERROR(GETPIVOTDATA("合計 / 17.満室想定税込(自動)2",pivot!$DF$8,"17.満室想定税込(自動)",J144*10000),0)</f>
        <v>413600</v>
      </c>
      <c r="N144" s="130">
        <f t="shared" si="27"/>
        <v>5.5789796564179442E-2</v>
      </c>
      <c r="O144" s="130">
        <f t="shared" si="28"/>
        <v>0.51035550887821235</v>
      </c>
    </row>
    <row r="145" spans="1:15">
      <c r="A145" s="537">
        <v>32</v>
      </c>
      <c r="B145" s="489" t="str">
        <f>IFERROR(pivot!CU39,"")</f>
        <v>コアプラス池袋</v>
      </c>
      <c r="C145" s="537" t="str">
        <f>IFERROR(pivot!CV39,"")</f>
        <v>101</v>
      </c>
      <c r="D145" s="489" t="str">
        <f>IFERROR(pivot!CW39,"")</f>
        <v>店舗</v>
      </c>
      <c r="E145" s="489" t="str">
        <f>IFERROR(pivot!CX39,"")</f>
        <v>店舗</v>
      </c>
      <c r="F145" s="504">
        <f>IFERROR(pivot!CY39,"")</f>
        <v>169400</v>
      </c>
      <c r="G145" s="538">
        <f t="shared" si="23"/>
        <v>4.712889597250477E-3</v>
      </c>
      <c r="H145" s="516">
        <f t="shared" si="25"/>
        <v>0.32923220128834924</v>
      </c>
      <c r="J145">
        <v>50</v>
      </c>
      <c r="K145">
        <v>60</v>
      </c>
      <c r="L145">
        <f>IFERROR(GETPIVOTDATA("個数 / 17.満室想定税込(自動)",pivot!$DF$8,"17.満室想定税込(自動)",J145*10000),0)</f>
        <v>0</v>
      </c>
      <c r="M145" s="57">
        <f>IFERROR(GETPIVOTDATA("合計 / 17.満室想定税込(自動)2",pivot!$DF$8,"17.満室想定税込(自動)",J145*10000),0)</f>
        <v>0</v>
      </c>
      <c r="N145" s="130">
        <f t="shared" si="27"/>
        <v>0</v>
      </c>
      <c r="O145" s="130">
        <f t="shared" si="28"/>
        <v>0.51035550887821235</v>
      </c>
    </row>
    <row r="146" spans="1:15">
      <c r="A146" s="537">
        <v>33</v>
      </c>
      <c r="B146" s="489" t="str">
        <f>IFERROR(pivot!CU40,"")</f>
        <v>池袋ハウス</v>
      </c>
      <c r="C146" s="537" t="str">
        <f>IFERROR(pivot!CV40,"")</f>
        <v>407</v>
      </c>
      <c r="D146" s="489" t="str">
        <f>IFERROR(pivot!CW40,"")</f>
        <v>住居</v>
      </c>
      <c r="E146" s="489" t="str">
        <f>IFERROR(pivot!CX40,"")</f>
        <v>2DK</v>
      </c>
      <c r="F146" s="504">
        <f>IFERROR(pivot!CY40,"")</f>
        <v>169000</v>
      </c>
      <c r="G146" s="538">
        <f t="shared" si="23"/>
        <v>4.7017611684494129E-3</v>
      </c>
      <c r="H146" s="516">
        <f t="shared" si="25"/>
        <v>0.33393396245679863</v>
      </c>
      <c r="J146">
        <v>60</v>
      </c>
      <c r="K146">
        <v>70</v>
      </c>
      <c r="L146">
        <f>IFERROR(GETPIVOTDATA("個数 / 17.満室想定税込(自動)",pivot!$DF$8,"17.満室想定税込(自動)",J146*10000),0)</f>
        <v>0</v>
      </c>
      <c r="M146" s="57">
        <f>IFERROR(GETPIVOTDATA("合計 / 17.満室想定税込(自動)2",pivot!$DF$8,"17.満室想定税込(自動)",J146*10000),0)</f>
        <v>0</v>
      </c>
      <c r="N146" s="130">
        <f t="shared" si="27"/>
        <v>0</v>
      </c>
      <c r="O146" s="130">
        <f t="shared" si="28"/>
        <v>0.51035550887821235</v>
      </c>
    </row>
    <row r="147" spans="1:15">
      <c r="A147" s="537">
        <v>34</v>
      </c>
      <c r="B147" s="489" t="str">
        <f>IFERROR(pivot!CU41,"")</f>
        <v>東池袋ハイツ</v>
      </c>
      <c r="C147" s="537" t="str">
        <f>IFERROR(pivot!CV41,"")</f>
        <v>102</v>
      </c>
      <c r="D147" s="489" t="str">
        <f>IFERROR(pivot!CW41,"")</f>
        <v>住居</v>
      </c>
      <c r="E147" s="489" t="str">
        <f>IFERROR(pivot!CX41,"")</f>
        <v>3DK</v>
      </c>
      <c r="F147" s="504">
        <f>IFERROR(pivot!CY41,"")</f>
        <v>167000</v>
      </c>
      <c r="G147" s="538">
        <f t="shared" si="23"/>
        <v>4.646119024444095E-3</v>
      </c>
      <c r="H147" s="516">
        <f t="shared" si="25"/>
        <v>0.33858008148124275</v>
      </c>
      <c r="J147">
        <v>70</v>
      </c>
      <c r="K147">
        <v>80</v>
      </c>
      <c r="L147">
        <f>IFERROR(GETPIVOTDATA("個数 / 17.満室想定税込(自動)",pivot!$DF$8,"17.満室想定税込(自動)",J147*10000),0)</f>
        <v>0</v>
      </c>
      <c r="M147" s="57">
        <f>IFERROR(GETPIVOTDATA("合計 / 17.満室想定税込(自動)2",pivot!$DF$8,"17.満室想定税込(自動)",J147*10000),0)</f>
        <v>0</v>
      </c>
      <c r="N147" s="130">
        <f t="shared" si="27"/>
        <v>0</v>
      </c>
      <c r="O147" s="130">
        <f t="shared" si="28"/>
        <v>0.51035550887821235</v>
      </c>
    </row>
    <row r="148" spans="1:15">
      <c r="A148" s="537">
        <v>35</v>
      </c>
      <c r="B148" s="489" t="str">
        <f>IFERROR(pivot!CU42,"")</f>
        <v>高田馬場第4玉川ビル</v>
      </c>
      <c r="C148" s="537" t="str">
        <f>IFERROR(pivot!CV42,"")</f>
        <v>B101</v>
      </c>
      <c r="D148" s="489" t="str">
        <f>IFERROR(pivot!CW42,"")</f>
        <v>住居</v>
      </c>
      <c r="E148" s="489" t="str">
        <f>IFERROR(pivot!CX42,"")</f>
        <v>2SLDK</v>
      </c>
      <c r="F148" s="504">
        <f>IFERROR(pivot!CY42,"")</f>
        <v>165000</v>
      </c>
      <c r="G148" s="538">
        <f t="shared" si="23"/>
        <v>4.5904768804387762E-3</v>
      </c>
      <c r="H148" s="516">
        <f t="shared" si="25"/>
        <v>0.34317055836168153</v>
      </c>
      <c r="J148">
        <v>80</v>
      </c>
      <c r="K148">
        <v>90</v>
      </c>
      <c r="L148">
        <f>IFERROR(GETPIVOTDATA("個数 / 17.満室想定税込(自動)",pivot!$DF$8,"17.満室想定税込(自動)",J148*10000),0)</f>
        <v>0</v>
      </c>
      <c r="M148" s="57">
        <f>IFERROR(GETPIVOTDATA("合計 / 17.満室想定税込(自動)2",pivot!$DF$8,"17.満室想定税込(自動)",J148*10000),0)</f>
        <v>0</v>
      </c>
      <c r="N148" s="130">
        <f t="shared" si="27"/>
        <v>0</v>
      </c>
      <c r="O148" s="130">
        <f t="shared" si="28"/>
        <v>0.51035550887821235</v>
      </c>
    </row>
    <row r="149" spans="1:15">
      <c r="A149" s="537">
        <v>36</v>
      </c>
      <c r="B149" s="489" t="str">
        <f>IFERROR(pivot!CU43,"")</f>
        <v>カーサ南池袋</v>
      </c>
      <c r="C149" s="537" t="str">
        <f>IFERROR(pivot!CV43,"")</f>
        <v>112</v>
      </c>
      <c r="D149" s="489" t="str">
        <f>IFERROR(pivot!CW43,"")</f>
        <v>住居</v>
      </c>
      <c r="E149" s="489" t="str">
        <f>IFERROR(pivot!CX43,"")</f>
        <v>3LDK</v>
      </c>
      <c r="F149" s="504">
        <f>IFERROR(pivot!CY43,"")</f>
        <v>165000</v>
      </c>
      <c r="G149" s="538">
        <f t="shared" si="23"/>
        <v>4.5904768804387762E-3</v>
      </c>
      <c r="H149" s="516">
        <f t="shared" si="25"/>
        <v>0.34776103524212032</v>
      </c>
      <c r="J149">
        <v>90</v>
      </c>
      <c r="K149">
        <v>100</v>
      </c>
      <c r="L149">
        <f>IFERROR(GETPIVOTDATA("個数 / 17.満室想定税込(自動)",pivot!$DF$8,"17.満室想定税込(自動)",J149*10000),0)</f>
        <v>0</v>
      </c>
      <c r="M149" s="57">
        <f>IFERROR(GETPIVOTDATA("合計 / 17.満室想定税込(自動)2",pivot!$DF$8,"17.満室想定税込(自動)",J149*10000),0)</f>
        <v>0</v>
      </c>
      <c r="N149" s="130">
        <f t="shared" si="27"/>
        <v>0</v>
      </c>
      <c r="O149" s="130">
        <f t="shared" si="28"/>
        <v>0.51035550887821235</v>
      </c>
    </row>
    <row r="150" spans="1:15" ht="14.25" thickBot="1">
      <c r="A150" s="537">
        <v>37</v>
      </c>
      <c r="B150" s="489" t="str">
        <f>IFERROR(pivot!CU44,"")</f>
        <v>カーサ目白台ハウス</v>
      </c>
      <c r="C150" s="537" t="str">
        <f>IFERROR(pivot!CV44,"")</f>
        <v>202</v>
      </c>
      <c r="D150" s="489" t="str">
        <f>IFERROR(pivot!CW44,"")</f>
        <v>店舗</v>
      </c>
      <c r="E150" s="489" t="str">
        <f>IFERROR(pivot!CX44,"")</f>
        <v>事務所</v>
      </c>
      <c r="F150" s="504">
        <f>IFERROR(pivot!CY44,"")</f>
        <v>165000</v>
      </c>
      <c r="G150" s="538">
        <f t="shared" si="23"/>
        <v>4.5904768804387762E-3</v>
      </c>
      <c r="H150" s="516">
        <f t="shared" si="25"/>
        <v>0.35235151212255911</v>
      </c>
      <c r="J150" s="67">
        <v>100</v>
      </c>
      <c r="K150" s="542" t="s">
        <v>1550</v>
      </c>
      <c r="L150" s="67">
        <f>IFERROR(GETPIVOTDATA("個数 / 17.満室想定税込(自動)",pivot!$DF$8,"17.満室想定税込(自動)",J150*10000),0)</f>
        <v>2</v>
      </c>
      <c r="M150" s="522">
        <f>IFERROR(GETPIVOTDATA("合計 / 17.満室想定税込(自動)2",pivot!$DF$8,"17.満室想定税込(自動)",J150*10000),0)</f>
        <v>3630000</v>
      </c>
      <c r="N150" s="543">
        <f t="shared" si="27"/>
        <v>0.48964449112178765</v>
      </c>
      <c r="O150" s="543">
        <f t="shared" si="28"/>
        <v>1</v>
      </c>
    </row>
    <row r="151" spans="1:15" ht="14.25" thickTop="1">
      <c r="A151" s="537">
        <v>38</v>
      </c>
      <c r="B151" s="489" t="str">
        <f>IFERROR(pivot!CU45,"")</f>
        <v>コアプラスレジデンス梅田</v>
      </c>
      <c r="C151" s="537" t="str">
        <f>IFERROR(pivot!CV45,"")</f>
        <v>702</v>
      </c>
      <c r="D151" s="489" t="str">
        <f>IFERROR(pivot!CW45,"")</f>
        <v>住居</v>
      </c>
      <c r="E151" s="489" t="str">
        <f>IFERROR(pivot!CX45,"")</f>
        <v>3DK</v>
      </c>
      <c r="F151" s="504">
        <f>IFERROR(pivot!CY45,"")</f>
        <v>165000</v>
      </c>
      <c r="G151" s="538">
        <f t="shared" si="23"/>
        <v>4.5904768804387762E-3</v>
      </c>
      <c r="H151" s="516">
        <f t="shared" si="25"/>
        <v>0.35694198900299789</v>
      </c>
      <c r="J151"/>
      <c r="K151"/>
      <c r="L151">
        <f>SUM(L140:L150)</f>
        <v>40</v>
      </c>
      <c r="M151" s="57">
        <f>SUM(M140:M150)</f>
        <v>7413542</v>
      </c>
      <c r="N151" s="130">
        <f>SUM(N140:N150)</f>
        <v>1</v>
      </c>
      <c r="O151"/>
    </row>
    <row r="152" spans="1:15">
      <c r="A152" s="537">
        <v>39</v>
      </c>
      <c r="B152" s="489" t="str">
        <f>IFERROR(pivot!CU46,"")</f>
        <v>池袋ハウス</v>
      </c>
      <c r="C152" s="537" t="str">
        <f>IFERROR(pivot!CV46,"")</f>
        <v>403</v>
      </c>
      <c r="D152" s="489" t="str">
        <f>IFERROR(pivot!CW46,"")</f>
        <v>住居</v>
      </c>
      <c r="E152" s="489" t="str">
        <f>IFERROR(pivot!CX46,"")</f>
        <v>2DK</v>
      </c>
      <c r="F152" s="504">
        <f>IFERROR(pivot!CY46,"")</f>
        <v>162000</v>
      </c>
      <c r="G152" s="538">
        <f t="shared" si="23"/>
        <v>4.5070136644307984E-3</v>
      </c>
      <c r="H152" s="516">
        <f t="shared" si="25"/>
        <v>0.36144900266742869</v>
      </c>
      <c r="O152" s="62" t="s">
        <v>1551</v>
      </c>
    </row>
    <row r="153" spans="1:15">
      <c r="A153" s="537">
        <v>40</v>
      </c>
      <c r="B153" s="489" t="str">
        <f>IFERROR(pivot!CU47,"")</f>
        <v>池袋ハウス</v>
      </c>
      <c r="C153" s="537" t="str">
        <f>IFERROR(pivot!CV47,"")</f>
        <v>406</v>
      </c>
      <c r="D153" s="489" t="str">
        <f>IFERROR(pivot!CW47,"")</f>
        <v>住居</v>
      </c>
      <c r="E153" s="489" t="str">
        <f>IFERROR(pivot!CX47,"")</f>
        <v>2DK</v>
      </c>
      <c r="F153" s="504">
        <f>IFERROR(pivot!CY47,"")</f>
        <v>162000</v>
      </c>
      <c r="G153" s="538">
        <f t="shared" si="23"/>
        <v>4.5070136644307984E-3</v>
      </c>
      <c r="H153" s="516">
        <f t="shared" si="25"/>
        <v>0.36595601633185948</v>
      </c>
    </row>
  </sheetData>
  <sheetProtection sheet="1" formatCells="0" formatColumns="0" formatRows="0" insertColumns="0" insertRows="0" insertHyperlinks="0" deleteColumns="0" deleteRows="0" sort="0" autoFilter="0" pivotTables="0"/>
  <sortState xmlns:xlrd2="http://schemas.microsoft.com/office/spreadsheetml/2017/richdata2" ref="A29:O48">
    <sortCondition descending="1" ref="M29:M48"/>
  </sortState>
  <mergeCells count="2">
    <mergeCell ref="H56:K56"/>
    <mergeCell ref="A1:B1"/>
  </mergeCells>
  <phoneticPr fontId="5"/>
  <conditionalFormatting sqref="M58:M77">
    <cfRule type="dataBar" priority="21">
      <dataBar>
        <cfvo type="min"/>
        <cfvo type="max"/>
        <color rgb="FF63C384"/>
      </dataBar>
      <extLst>
        <ext xmlns:x14="http://schemas.microsoft.com/office/spreadsheetml/2009/9/main" uri="{B025F937-C7B1-47D3-B67F-A62EFF666E3E}">
          <x14:id>{8D3B0D7C-2554-475F-8A8F-58CE7D0149A9}</x14:id>
        </ext>
      </extLst>
    </cfRule>
  </conditionalFormatting>
  <conditionalFormatting sqref="M115:M135">
    <cfRule type="dataBar" priority="2">
      <dataBar>
        <cfvo type="min"/>
        <cfvo type="max"/>
        <color rgb="FF63C384"/>
      </dataBar>
      <extLst>
        <ext xmlns:x14="http://schemas.microsoft.com/office/spreadsheetml/2009/9/main" uri="{B025F937-C7B1-47D3-B67F-A62EFF666E3E}">
          <x14:id>{4982709D-909F-4142-AC1E-5B26C56FA82E}</x14:id>
        </ext>
      </extLst>
    </cfRule>
  </conditionalFormatting>
  <conditionalFormatting sqref="M140:M150">
    <cfRule type="dataBar" priority="1">
      <dataBar>
        <cfvo type="min"/>
        <cfvo type="max"/>
        <color rgb="FF63C384"/>
      </dataBar>
      <extLst>
        <ext xmlns:x14="http://schemas.microsoft.com/office/spreadsheetml/2009/9/main" uri="{B025F937-C7B1-47D3-B67F-A62EFF666E3E}">
          <x14:id>{3FE1E383-D511-4AED-8BB3-31BBAD5A2BFF}</x14:id>
        </ext>
      </extLst>
    </cfRule>
  </conditionalFormatting>
  <conditionalFormatting sqref="N58:N77">
    <cfRule type="dataBar" priority="23">
      <dataBar>
        <cfvo type="min"/>
        <cfvo type="max"/>
        <color rgb="FF63C384"/>
      </dataBar>
      <extLst>
        <ext xmlns:x14="http://schemas.microsoft.com/office/spreadsheetml/2009/9/main" uri="{B025F937-C7B1-47D3-B67F-A62EFF666E3E}">
          <x14:id>{07D04657-6751-4F9B-9B0B-5EF7D4BA15F8}</x14:id>
        </ext>
      </extLst>
    </cfRule>
  </conditionalFormatting>
  <pageMargins left="0.70866141732283472" right="0.70866141732283472" top="0.74803149606299213" bottom="0.74803149606299213" header="0.31496062992125984" footer="0.31496062992125984"/>
  <pageSetup paperSize="8" scale="94" fitToHeight="0" orientation="landscape" horizontalDpi="1200" verticalDpi="1200" r:id="rId1"/>
  <headerFooter>
    <oddHeader>&amp;A</oddHeader>
    <oddFooter>&amp;P / &amp;N ページ</oddFooter>
  </headerFooter>
  <rowBreaks count="2" manualBreakCount="2">
    <brk id="52" max="16383" man="1"/>
    <brk id="105" max="16383" man="1"/>
  </rowBreaks>
  <extLst>
    <ext xmlns:x14="http://schemas.microsoft.com/office/spreadsheetml/2009/9/main" uri="{78C0D931-6437-407d-A8EE-F0AAD7539E65}">
      <x14:conditionalFormattings>
        <x14:conditionalFormatting xmlns:xm="http://schemas.microsoft.com/office/excel/2006/main">
          <x14:cfRule type="dataBar" id="{8D3B0D7C-2554-475F-8A8F-58CE7D0149A9}">
            <x14:dataBar minLength="0" maxLength="100" border="1" negativeBarBorderColorSameAsPositive="0">
              <x14:cfvo type="autoMin"/>
              <x14:cfvo type="autoMax"/>
              <x14:borderColor rgb="FF63C384"/>
              <x14:negativeFillColor rgb="FFFF0000"/>
              <x14:negativeBorderColor rgb="FFFF0000"/>
              <x14:axisColor rgb="FF000000"/>
            </x14:dataBar>
          </x14:cfRule>
          <xm:sqref>M58:M77</xm:sqref>
        </x14:conditionalFormatting>
        <x14:conditionalFormatting xmlns:xm="http://schemas.microsoft.com/office/excel/2006/main">
          <x14:cfRule type="dataBar" id="{4982709D-909F-4142-AC1E-5B26C56FA82E}">
            <x14:dataBar minLength="0" maxLength="100" border="1" negativeBarBorderColorSameAsPositive="0">
              <x14:cfvo type="autoMin"/>
              <x14:cfvo type="autoMax"/>
              <x14:borderColor rgb="FF63C384"/>
              <x14:negativeFillColor rgb="FFFF0000"/>
              <x14:negativeBorderColor rgb="FFFF0000"/>
              <x14:axisColor rgb="FF000000"/>
            </x14:dataBar>
          </x14:cfRule>
          <xm:sqref>M115:M135</xm:sqref>
        </x14:conditionalFormatting>
        <x14:conditionalFormatting xmlns:xm="http://schemas.microsoft.com/office/excel/2006/main">
          <x14:cfRule type="dataBar" id="{3FE1E383-D511-4AED-8BB3-31BBAD5A2BFF}">
            <x14:dataBar minLength="0" maxLength="100" border="1" negativeBarBorderColorSameAsPositive="0">
              <x14:cfvo type="autoMin"/>
              <x14:cfvo type="autoMax"/>
              <x14:borderColor rgb="FF63C384"/>
              <x14:negativeFillColor rgb="FFFF0000"/>
              <x14:negativeBorderColor rgb="FFFF0000"/>
              <x14:axisColor rgb="FF000000"/>
            </x14:dataBar>
          </x14:cfRule>
          <xm:sqref>M140:M150</xm:sqref>
        </x14:conditionalFormatting>
        <x14:conditionalFormatting xmlns:xm="http://schemas.microsoft.com/office/excel/2006/main">
          <x14:cfRule type="dataBar" id="{07D04657-6751-4F9B-9B0B-5EF7D4BA15F8}">
            <x14:dataBar minLength="0" maxLength="100" border="1" negativeBarBorderColorSameAsPositive="0">
              <x14:cfvo type="autoMin"/>
              <x14:cfvo type="autoMax"/>
              <x14:borderColor rgb="FF63C384"/>
              <x14:negativeFillColor rgb="FFFF0000"/>
              <x14:negativeBorderColor rgb="FFFF0000"/>
              <x14:axisColor rgb="FF000000"/>
            </x14:dataBar>
          </x14:cfRule>
          <xm:sqref>N58:N77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19387-75C9-493F-BF39-E8A134D014C2}">
  <sheetPr>
    <pageSetUpPr fitToPage="1"/>
  </sheetPr>
  <dimension ref="A1:AQ367"/>
  <sheetViews>
    <sheetView view="pageBreakPreview" zoomScaleNormal="100" zoomScaleSheetLayoutView="100" workbookViewId="0">
      <pane xSplit="3" ySplit="3" topLeftCell="D4" activePane="bottomRight" state="frozen"/>
      <selection pane="bottomRight"/>
      <selection pane="bottomLeft" activeCell="A4" sqref="A4"/>
      <selection pane="topRight" activeCell="D1" sqref="D1"/>
    </sheetView>
  </sheetViews>
  <sheetFormatPr defaultRowHeight="13.5"/>
  <cols>
    <col min="1" max="2" width="9.125" style="23" bestFit="1" customWidth="1"/>
    <col min="3" max="3" width="16" style="23" customWidth="1"/>
    <col min="4" max="6" width="9" style="62"/>
    <col min="7" max="7" width="9" style="6"/>
    <col min="8" max="12" width="9" style="62"/>
    <col min="13" max="13" width="11.875" style="6" customWidth="1"/>
    <col min="14" max="15" width="9" style="62"/>
    <col min="16" max="16" width="9" style="6"/>
    <col min="17" max="17" width="10.5" style="6" customWidth="1"/>
    <col min="18" max="18" width="11.625" style="62" customWidth="1"/>
    <col min="19" max="19" width="9" style="62"/>
    <col min="20" max="20" width="20.375" style="23" customWidth="1"/>
    <col min="21" max="21" width="4.5" style="23" customWidth="1"/>
    <col min="22" max="22" width="9" style="62"/>
    <col min="23" max="23" width="15.5" style="23" customWidth="1"/>
    <col min="24" max="24" width="3.5" style="23" customWidth="1"/>
    <col min="25" max="25" width="9.125" style="6" customWidth="1"/>
    <col min="26" max="26" width="11.75" style="6" customWidth="1"/>
    <col min="27" max="27" width="11.25" style="6" customWidth="1"/>
    <col min="28" max="28" width="14.625" style="6" customWidth="1"/>
    <col min="29" max="30" width="11.75" style="6" customWidth="1"/>
    <col min="31" max="31" width="2.75" style="23" customWidth="1"/>
    <col min="32" max="32" width="10.125" style="23" bestFit="1" customWidth="1"/>
    <col min="33" max="33" width="9.125" style="23" bestFit="1" customWidth="1"/>
    <col min="34" max="34" width="9" style="23"/>
    <col min="35" max="35" width="9.125" style="23" bestFit="1" customWidth="1"/>
    <col min="36" max="37" width="10.125" style="23" customWidth="1"/>
    <col min="38" max="38" width="10.125" style="23" bestFit="1" customWidth="1"/>
    <col min="39" max="39" width="10.125" style="23" customWidth="1"/>
    <col min="40" max="16384" width="9" style="23"/>
  </cols>
  <sheetData>
    <row r="1" spans="1:43" ht="17.25">
      <c r="A1" s="63" t="s">
        <v>1552</v>
      </c>
      <c r="T1" s="62"/>
      <c r="V1" s="50" t="s">
        <v>1553</v>
      </c>
      <c r="X1" s="51"/>
      <c r="Y1" s="557" t="s">
        <v>1554</v>
      </c>
      <c r="Z1" s="558"/>
      <c r="AA1" s="559"/>
      <c r="AB1" s="559"/>
      <c r="AC1" s="559"/>
      <c r="AD1" s="559"/>
      <c r="AE1" s="51"/>
      <c r="AF1" s="51" t="s">
        <v>1555</v>
      </c>
      <c r="AG1" s="51"/>
      <c r="AH1" s="51"/>
      <c r="AI1" s="51"/>
      <c r="AJ1" s="51"/>
      <c r="AK1" s="51"/>
      <c r="AL1" s="51"/>
      <c r="AM1" s="51"/>
      <c r="AN1" s="51"/>
      <c r="AO1" s="51"/>
    </row>
    <row r="2" spans="1:43" ht="17.25">
      <c r="A2" s="636">
        <f>settings!L13</f>
        <v>44870</v>
      </c>
      <c r="B2" s="636"/>
      <c r="C2" s="636"/>
      <c r="D2" s="545">
        <v>4</v>
      </c>
      <c r="E2" s="545">
        <v>5</v>
      </c>
      <c r="F2" s="545">
        <v>6</v>
      </c>
      <c r="G2" s="564">
        <v>7</v>
      </c>
      <c r="H2" s="545">
        <v>8</v>
      </c>
      <c r="I2" s="545">
        <v>9</v>
      </c>
      <c r="J2" s="545">
        <v>10</v>
      </c>
      <c r="K2" s="545">
        <v>11</v>
      </c>
      <c r="L2" s="545">
        <v>12</v>
      </c>
      <c r="M2" s="564">
        <v>13</v>
      </c>
      <c r="N2" s="545">
        <v>14</v>
      </c>
      <c r="O2" s="545">
        <v>15</v>
      </c>
      <c r="P2" s="564">
        <v>16</v>
      </c>
      <c r="Q2" s="564">
        <v>17</v>
      </c>
      <c r="R2" s="545">
        <v>18</v>
      </c>
      <c r="S2" s="545">
        <v>19</v>
      </c>
      <c r="T2" s="545">
        <v>20</v>
      </c>
      <c r="V2" s="52" t="s">
        <v>1556</v>
      </c>
      <c r="X2" s="51"/>
      <c r="Y2" s="560" t="s">
        <v>1557</v>
      </c>
      <c r="Z2" s="561"/>
      <c r="AA2" s="559"/>
      <c r="AB2" s="559"/>
      <c r="AC2" s="559"/>
      <c r="AD2" s="559"/>
      <c r="AE2" s="51"/>
      <c r="AF2" s="51" t="s">
        <v>1558</v>
      </c>
      <c r="AG2" s="51"/>
      <c r="AH2" s="51"/>
      <c r="AI2" s="51"/>
      <c r="AJ2" s="51"/>
      <c r="AK2" s="51"/>
      <c r="AL2" s="51"/>
      <c r="AM2" s="51"/>
      <c r="AN2" s="51"/>
      <c r="AO2" s="51"/>
    </row>
    <row r="3" spans="1:43" ht="24.75" customHeight="1">
      <c r="A3" s="159" t="s">
        <v>23</v>
      </c>
      <c r="B3" s="159" t="s">
        <v>24</v>
      </c>
      <c r="C3" s="159" t="s">
        <v>25</v>
      </c>
      <c r="D3" s="547" t="s">
        <v>26</v>
      </c>
      <c r="E3" s="548" t="s">
        <v>27</v>
      </c>
      <c r="F3" s="159" t="s">
        <v>28</v>
      </c>
      <c r="G3" s="159" t="s">
        <v>29</v>
      </c>
      <c r="H3" s="549" t="s">
        <v>30</v>
      </c>
      <c r="I3" s="550" t="s">
        <v>1559</v>
      </c>
      <c r="J3" s="551" t="s">
        <v>32</v>
      </c>
      <c r="K3" s="551" t="s">
        <v>33</v>
      </c>
      <c r="L3" s="551" t="s">
        <v>34</v>
      </c>
      <c r="M3" s="552" t="s">
        <v>35</v>
      </c>
      <c r="N3" s="552" t="s">
        <v>36</v>
      </c>
      <c r="O3" s="552" t="s">
        <v>37</v>
      </c>
      <c r="P3" s="552" t="s">
        <v>38</v>
      </c>
      <c r="Q3" s="552" t="s">
        <v>39</v>
      </c>
      <c r="R3" s="551" t="s">
        <v>40</v>
      </c>
      <c r="S3" s="551" t="s">
        <v>41</v>
      </c>
      <c r="T3" s="159" t="s">
        <v>42</v>
      </c>
      <c r="U3" s="30" t="s">
        <v>43</v>
      </c>
      <c r="V3" s="553" t="s">
        <v>44</v>
      </c>
      <c r="W3" s="553" t="s">
        <v>45</v>
      </c>
      <c r="X3" s="29" t="s">
        <v>46</v>
      </c>
      <c r="Y3" s="554" t="s">
        <v>47</v>
      </c>
      <c r="Z3" s="554" t="s">
        <v>48</v>
      </c>
      <c r="AA3" s="555" t="s">
        <v>49</v>
      </c>
      <c r="AB3" s="555" t="s">
        <v>50</v>
      </c>
      <c r="AC3" s="556" t="s">
        <v>51</v>
      </c>
      <c r="AD3" s="556" t="s">
        <v>52</v>
      </c>
      <c r="AE3" s="54"/>
      <c r="AF3" s="167" t="s">
        <v>31</v>
      </c>
      <c r="AG3" s="167" t="s">
        <v>32</v>
      </c>
      <c r="AH3" s="167" t="s">
        <v>33</v>
      </c>
      <c r="AI3" s="167" t="s">
        <v>34</v>
      </c>
      <c r="AJ3" s="167" t="s">
        <v>35</v>
      </c>
      <c r="AK3" s="168" t="s">
        <v>1560</v>
      </c>
      <c r="AL3" s="167" t="s">
        <v>1561</v>
      </c>
      <c r="AM3" s="169" t="s">
        <v>1562</v>
      </c>
      <c r="AN3" s="167" t="s">
        <v>1563</v>
      </c>
      <c r="AO3" s="167" t="s">
        <v>1564</v>
      </c>
      <c r="AP3" s="167" t="s">
        <v>186</v>
      </c>
      <c r="AQ3" s="167" t="s">
        <v>1565</v>
      </c>
    </row>
    <row r="4" spans="1:43">
      <c r="A4" s="319">
        <v>1</v>
      </c>
      <c r="B4" s="319">
        <v>101</v>
      </c>
      <c r="C4" s="567" t="str">
        <f t="shared" ref="C4:C67" si="0">VLOOKUP(B4,id_settings,2,FALSE)</f>
        <v>西池袋駅前ビル</v>
      </c>
      <c r="D4" s="320" t="s">
        <v>1566</v>
      </c>
      <c r="E4" s="321">
        <v>16.89</v>
      </c>
      <c r="F4" s="322">
        <v>631</v>
      </c>
      <c r="G4" s="563" t="str">
        <f t="shared" ref="G4:G67" si="1">VLOOKUP(F4,id_settings,2,FALSE)</f>
        <v>住居</v>
      </c>
      <c r="H4" s="127" t="s">
        <v>1567</v>
      </c>
      <c r="I4" s="126">
        <v>62000</v>
      </c>
      <c r="J4" s="126">
        <v>3000</v>
      </c>
      <c r="K4" s="126">
        <v>0</v>
      </c>
      <c r="L4" s="126">
        <v>0</v>
      </c>
      <c r="M4" s="562">
        <f>SUM(I4:L4)</f>
        <v>65000</v>
      </c>
      <c r="N4" s="129">
        <v>65000</v>
      </c>
      <c r="O4" s="129">
        <v>0</v>
      </c>
      <c r="P4" s="562">
        <f t="shared" ref="P4:P67" si="2">N4+O4</f>
        <v>65000</v>
      </c>
      <c r="Q4" s="562">
        <f>VALUE(IF(Y4=0,N4+O4,M4))</f>
        <v>65000</v>
      </c>
      <c r="R4" s="126" t="s">
        <v>1568</v>
      </c>
      <c r="S4" s="126" t="s">
        <v>852</v>
      </c>
      <c r="T4" s="323" t="s">
        <v>1284</v>
      </c>
      <c r="V4" s="43" t="s">
        <v>1569</v>
      </c>
      <c r="W4" s="221">
        <v>65000</v>
      </c>
      <c r="Y4" s="6">
        <f t="shared" ref="Y4:Y67" si="3">IF(M4=0,0,1)</f>
        <v>1</v>
      </c>
      <c r="Z4" s="562">
        <f t="shared" ref="Z4:Z67" si="4">IF(Y4=1,SUM(I4:K4),N4)</f>
        <v>65000</v>
      </c>
      <c r="AA4" s="122">
        <f t="shared" ref="AA4:AA67" si="5">N4-Z4</f>
        <v>0</v>
      </c>
      <c r="AB4" s="122">
        <f t="shared" ref="AB4:AB67" si="6">Z4-W4</f>
        <v>0</v>
      </c>
      <c r="AC4" s="6">
        <f t="shared" ref="AC4:AC67" si="7">IF(E4="-",0,1)</f>
        <v>1</v>
      </c>
      <c r="AD4" s="563">
        <f>IF(I4="-",0,1)</f>
        <v>1</v>
      </c>
      <c r="AE4" s="64"/>
      <c r="AF4" s="31">
        <v>62000</v>
      </c>
      <c r="AG4" s="31">
        <v>3000</v>
      </c>
      <c r="AH4" s="31">
        <v>0</v>
      </c>
      <c r="AI4" s="31">
        <v>0</v>
      </c>
      <c r="AJ4" s="31">
        <v>65000</v>
      </c>
      <c r="AK4" s="31">
        <v>65000</v>
      </c>
      <c r="AL4" s="31">
        <v>0</v>
      </c>
      <c r="AM4" s="56">
        <v>65000</v>
      </c>
      <c r="AN4" s="31">
        <v>65000</v>
      </c>
      <c r="AO4" s="31" t="s">
        <v>1568</v>
      </c>
      <c r="AP4" s="23" t="s">
        <v>187</v>
      </c>
      <c r="AQ4" s="23" t="s">
        <v>1284</v>
      </c>
    </row>
    <row r="5" spans="1:43">
      <c r="A5" s="34">
        <v>2</v>
      </c>
      <c r="B5" s="34">
        <v>101</v>
      </c>
      <c r="C5" s="568" t="str">
        <f t="shared" si="0"/>
        <v>西池袋駅前ビル</v>
      </c>
      <c r="D5" s="45" t="s">
        <v>1570</v>
      </c>
      <c r="E5" s="46">
        <v>16.75</v>
      </c>
      <c r="F5" s="324">
        <v>631</v>
      </c>
      <c r="G5" s="566" t="str">
        <f t="shared" si="1"/>
        <v>住居</v>
      </c>
      <c r="H5" s="44" t="s">
        <v>1567</v>
      </c>
      <c r="I5" s="325">
        <v>62000</v>
      </c>
      <c r="J5" s="325">
        <v>3000</v>
      </c>
      <c r="K5" s="325">
        <v>0</v>
      </c>
      <c r="L5" s="325">
        <v>0</v>
      </c>
      <c r="M5" s="565">
        <f t="shared" ref="M5:M68" si="8">SUM(I5:L5)</f>
        <v>65000</v>
      </c>
      <c r="N5" s="326">
        <v>65000</v>
      </c>
      <c r="O5" s="326">
        <v>0</v>
      </c>
      <c r="P5" s="565">
        <f t="shared" si="2"/>
        <v>65000</v>
      </c>
      <c r="Q5" s="565">
        <f t="shared" ref="Q5:Q68" si="9">VALUE(IF(Y5=0,N5+O5,M5))</f>
        <v>65000</v>
      </c>
      <c r="R5" s="325" t="s">
        <v>1568</v>
      </c>
      <c r="S5" s="325" t="s">
        <v>187</v>
      </c>
      <c r="T5" s="327" t="s">
        <v>1284</v>
      </c>
      <c r="V5" s="43" t="s">
        <v>1571</v>
      </c>
      <c r="W5" s="221">
        <v>61000</v>
      </c>
      <c r="Y5" s="6">
        <f t="shared" si="3"/>
        <v>1</v>
      </c>
      <c r="Z5" s="562">
        <f t="shared" si="4"/>
        <v>65000</v>
      </c>
      <c r="AA5" s="122">
        <f t="shared" si="5"/>
        <v>0</v>
      </c>
      <c r="AB5" s="122">
        <f t="shared" si="6"/>
        <v>4000</v>
      </c>
      <c r="AC5" s="6">
        <f t="shared" si="7"/>
        <v>1</v>
      </c>
      <c r="AD5" s="563">
        <f t="shared" ref="AD5:AD68" si="10">IF(I5="-",0,1)</f>
        <v>1</v>
      </c>
      <c r="AE5" s="64"/>
      <c r="AF5" s="31">
        <v>62000</v>
      </c>
      <c r="AG5" s="31">
        <v>3000</v>
      </c>
      <c r="AH5" s="31">
        <v>0</v>
      </c>
      <c r="AI5" s="31">
        <v>0</v>
      </c>
      <c r="AJ5" s="31">
        <v>65000</v>
      </c>
      <c r="AK5" s="31">
        <v>65000</v>
      </c>
      <c r="AL5" s="31">
        <v>0</v>
      </c>
      <c r="AM5" s="56">
        <v>65000</v>
      </c>
      <c r="AN5" s="31">
        <v>65000</v>
      </c>
      <c r="AO5" s="31" t="s">
        <v>1568</v>
      </c>
      <c r="AP5" s="23" t="s">
        <v>187</v>
      </c>
      <c r="AQ5" s="23" t="s">
        <v>1284</v>
      </c>
    </row>
    <row r="6" spans="1:43">
      <c r="A6" s="34">
        <v>3</v>
      </c>
      <c r="B6" s="34">
        <v>101</v>
      </c>
      <c r="C6" s="568" t="str">
        <f t="shared" si="0"/>
        <v>西池袋駅前ビル</v>
      </c>
      <c r="D6" s="45" t="s">
        <v>1572</v>
      </c>
      <c r="E6" s="46">
        <v>16.600000000000001</v>
      </c>
      <c r="F6" s="324">
        <v>631</v>
      </c>
      <c r="G6" s="566" t="str">
        <f t="shared" si="1"/>
        <v>住居</v>
      </c>
      <c r="H6" s="44" t="s">
        <v>1567</v>
      </c>
      <c r="I6" s="325">
        <v>69800</v>
      </c>
      <c r="J6" s="325">
        <v>0</v>
      </c>
      <c r="K6" s="325">
        <v>0</v>
      </c>
      <c r="L6" s="325">
        <v>0</v>
      </c>
      <c r="M6" s="565">
        <f t="shared" si="8"/>
        <v>69800</v>
      </c>
      <c r="N6" s="326">
        <v>69800</v>
      </c>
      <c r="O6" s="326">
        <v>0</v>
      </c>
      <c r="P6" s="565">
        <f t="shared" si="2"/>
        <v>69800</v>
      </c>
      <c r="Q6" s="565">
        <f t="shared" si="9"/>
        <v>69800</v>
      </c>
      <c r="R6" s="325" t="s">
        <v>1568</v>
      </c>
      <c r="S6" s="325" t="s">
        <v>187</v>
      </c>
      <c r="T6" s="327" t="s">
        <v>1284</v>
      </c>
      <c r="V6" s="43" t="s">
        <v>1573</v>
      </c>
      <c r="W6" s="221">
        <v>66000</v>
      </c>
      <c r="Y6" s="6">
        <f t="shared" si="3"/>
        <v>1</v>
      </c>
      <c r="Z6" s="562">
        <f t="shared" si="4"/>
        <v>69800</v>
      </c>
      <c r="AA6" s="122">
        <f t="shared" si="5"/>
        <v>0</v>
      </c>
      <c r="AB6" s="122">
        <f t="shared" si="6"/>
        <v>3800</v>
      </c>
      <c r="AC6" s="6">
        <f t="shared" si="7"/>
        <v>1</v>
      </c>
      <c r="AD6" s="563">
        <f t="shared" si="10"/>
        <v>1</v>
      </c>
      <c r="AE6" s="64"/>
      <c r="AF6" s="31">
        <v>69800</v>
      </c>
      <c r="AG6" s="31">
        <v>0</v>
      </c>
      <c r="AH6" s="31">
        <v>0</v>
      </c>
      <c r="AI6" s="31">
        <v>0</v>
      </c>
      <c r="AJ6" s="31">
        <v>69800</v>
      </c>
      <c r="AK6" s="31">
        <v>69800</v>
      </c>
      <c r="AL6" s="31">
        <v>0</v>
      </c>
      <c r="AM6" s="56">
        <v>69800</v>
      </c>
      <c r="AN6" s="31">
        <v>69800</v>
      </c>
      <c r="AO6" s="31" t="s">
        <v>1568</v>
      </c>
      <c r="AP6" s="23" t="s">
        <v>187</v>
      </c>
      <c r="AQ6" s="23" t="s">
        <v>1284</v>
      </c>
    </row>
    <row r="7" spans="1:43">
      <c r="A7" s="34">
        <v>4</v>
      </c>
      <c r="B7" s="34">
        <v>101</v>
      </c>
      <c r="C7" s="568" t="str">
        <f t="shared" si="0"/>
        <v>西池袋駅前ビル</v>
      </c>
      <c r="D7" s="45" t="s">
        <v>1574</v>
      </c>
      <c r="E7" s="46">
        <v>16.739999999999998</v>
      </c>
      <c r="F7" s="324">
        <v>631</v>
      </c>
      <c r="G7" s="566" t="str">
        <f t="shared" si="1"/>
        <v>住居</v>
      </c>
      <c r="H7" s="44" t="s">
        <v>1567</v>
      </c>
      <c r="I7" s="325">
        <v>60000</v>
      </c>
      <c r="J7" s="325">
        <v>3000</v>
      </c>
      <c r="K7" s="325">
        <v>0</v>
      </c>
      <c r="L7" s="325">
        <v>0</v>
      </c>
      <c r="M7" s="565">
        <f t="shared" si="8"/>
        <v>63000</v>
      </c>
      <c r="N7" s="326">
        <v>70000</v>
      </c>
      <c r="O7" s="326">
        <v>0</v>
      </c>
      <c r="P7" s="565">
        <f t="shared" si="2"/>
        <v>70000</v>
      </c>
      <c r="Q7" s="565">
        <f t="shared" si="9"/>
        <v>63000</v>
      </c>
      <c r="R7" s="325" t="s">
        <v>1575</v>
      </c>
      <c r="S7" s="325" t="s">
        <v>187</v>
      </c>
      <c r="T7" s="327" t="s">
        <v>1284</v>
      </c>
      <c r="V7" s="43" t="s">
        <v>1576</v>
      </c>
      <c r="W7" s="221">
        <v>62000</v>
      </c>
      <c r="Y7" s="6">
        <f t="shared" si="3"/>
        <v>1</v>
      </c>
      <c r="Z7" s="562">
        <f t="shared" si="4"/>
        <v>63000</v>
      </c>
      <c r="AA7" s="122">
        <f t="shared" si="5"/>
        <v>7000</v>
      </c>
      <c r="AB7" s="122">
        <f t="shared" si="6"/>
        <v>1000</v>
      </c>
      <c r="AC7" s="6">
        <f t="shared" si="7"/>
        <v>1</v>
      </c>
      <c r="AD7" s="563">
        <f t="shared" si="10"/>
        <v>1</v>
      </c>
      <c r="AE7" s="64"/>
      <c r="AF7" s="31">
        <v>60000</v>
      </c>
      <c r="AG7" s="31">
        <v>3000</v>
      </c>
      <c r="AH7" s="31">
        <v>0</v>
      </c>
      <c r="AI7" s="31">
        <v>0</v>
      </c>
      <c r="AJ7" s="31">
        <v>63000</v>
      </c>
      <c r="AK7" s="31">
        <v>70000</v>
      </c>
      <c r="AL7" s="31">
        <v>0</v>
      </c>
      <c r="AM7" s="56">
        <v>70000</v>
      </c>
      <c r="AN7" s="31">
        <v>63000</v>
      </c>
      <c r="AO7" s="31" t="s">
        <v>1575</v>
      </c>
      <c r="AP7" s="23" t="s">
        <v>187</v>
      </c>
      <c r="AQ7" s="23" t="s">
        <v>1284</v>
      </c>
    </row>
    <row r="8" spans="1:43">
      <c r="A8" s="34">
        <v>5</v>
      </c>
      <c r="B8" s="34">
        <v>101</v>
      </c>
      <c r="C8" s="568" t="str">
        <f t="shared" si="0"/>
        <v>西池袋駅前ビル</v>
      </c>
      <c r="D8" s="45" t="s">
        <v>1577</v>
      </c>
      <c r="E8" s="46">
        <v>16.739999999999998</v>
      </c>
      <c r="F8" s="324">
        <v>631</v>
      </c>
      <c r="G8" s="566" t="str">
        <f t="shared" si="1"/>
        <v>住居</v>
      </c>
      <c r="H8" s="44" t="s">
        <v>1567</v>
      </c>
      <c r="I8" s="325">
        <v>64000</v>
      </c>
      <c r="J8" s="325">
        <v>3000</v>
      </c>
      <c r="K8" s="325">
        <v>0</v>
      </c>
      <c r="L8" s="325">
        <v>0</v>
      </c>
      <c r="M8" s="565">
        <f t="shared" si="8"/>
        <v>67000</v>
      </c>
      <c r="N8" s="326">
        <v>67000</v>
      </c>
      <c r="O8" s="326">
        <v>0</v>
      </c>
      <c r="P8" s="565">
        <f t="shared" si="2"/>
        <v>67000</v>
      </c>
      <c r="Q8" s="565">
        <f t="shared" si="9"/>
        <v>67000</v>
      </c>
      <c r="R8" s="325" t="s">
        <v>1578</v>
      </c>
      <c r="S8" s="325" t="s">
        <v>187</v>
      </c>
      <c r="T8" s="327" t="s">
        <v>1284</v>
      </c>
      <c r="V8" s="43" t="s">
        <v>1579</v>
      </c>
      <c r="W8" s="221">
        <v>65000</v>
      </c>
      <c r="Y8" s="6">
        <f t="shared" si="3"/>
        <v>1</v>
      </c>
      <c r="Z8" s="562">
        <f t="shared" si="4"/>
        <v>67000</v>
      </c>
      <c r="AA8" s="122">
        <f t="shared" si="5"/>
        <v>0</v>
      </c>
      <c r="AB8" s="122">
        <f t="shared" si="6"/>
        <v>2000</v>
      </c>
      <c r="AC8" s="6">
        <f t="shared" si="7"/>
        <v>1</v>
      </c>
      <c r="AD8" s="563">
        <f t="shared" si="10"/>
        <v>1</v>
      </c>
      <c r="AE8" s="64"/>
      <c r="AF8" s="31">
        <v>64000</v>
      </c>
      <c r="AG8" s="31">
        <v>3000</v>
      </c>
      <c r="AH8" s="31">
        <v>0</v>
      </c>
      <c r="AI8" s="31">
        <v>0</v>
      </c>
      <c r="AJ8" s="31">
        <v>67000</v>
      </c>
      <c r="AK8" s="31">
        <v>67000</v>
      </c>
      <c r="AL8" s="31">
        <v>0</v>
      </c>
      <c r="AM8" s="56">
        <v>67000</v>
      </c>
      <c r="AN8" s="31">
        <v>67000</v>
      </c>
      <c r="AO8" s="31" t="s">
        <v>1578</v>
      </c>
      <c r="AP8" s="23" t="s">
        <v>187</v>
      </c>
      <c r="AQ8" s="23" t="s">
        <v>1284</v>
      </c>
    </row>
    <row r="9" spans="1:43">
      <c r="A9" s="34">
        <v>6</v>
      </c>
      <c r="B9" s="34">
        <v>101</v>
      </c>
      <c r="C9" s="568" t="str">
        <f t="shared" si="0"/>
        <v>西池袋駅前ビル</v>
      </c>
      <c r="D9" s="45" t="s">
        <v>1580</v>
      </c>
      <c r="E9" s="46">
        <v>16.53</v>
      </c>
      <c r="F9" s="324">
        <v>631</v>
      </c>
      <c r="G9" s="566" t="str">
        <f t="shared" si="1"/>
        <v>住居</v>
      </c>
      <c r="H9" s="44" t="s">
        <v>1567</v>
      </c>
      <c r="I9" s="325">
        <v>56000</v>
      </c>
      <c r="J9" s="325">
        <v>3000</v>
      </c>
      <c r="K9" s="325">
        <v>0</v>
      </c>
      <c r="L9" s="325">
        <v>0</v>
      </c>
      <c r="M9" s="565">
        <f t="shared" si="8"/>
        <v>59000</v>
      </c>
      <c r="N9" s="326">
        <v>67000</v>
      </c>
      <c r="O9" s="326">
        <v>0</v>
      </c>
      <c r="P9" s="565">
        <f t="shared" si="2"/>
        <v>67000</v>
      </c>
      <c r="Q9" s="565">
        <f t="shared" si="9"/>
        <v>59000</v>
      </c>
      <c r="R9" s="325" t="s">
        <v>1568</v>
      </c>
      <c r="S9" s="325" t="s">
        <v>187</v>
      </c>
      <c r="T9" s="327" t="s">
        <v>1284</v>
      </c>
      <c r="V9" s="43" t="s">
        <v>1581</v>
      </c>
      <c r="W9" s="221">
        <v>67000</v>
      </c>
      <c r="Y9" s="6">
        <f t="shared" si="3"/>
        <v>1</v>
      </c>
      <c r="Z9" s="562">
        <f t="shared" si="4"/>
        <v>59000</v>
      </c>
      <c r="AA9" s="122">
        <f t="shared" si="5"/>
        <v>8000</v>
      </c>
      <c r="AB9" s="122">
        <f t="shared" si="6"/>
        <v>-8000</v>
      </c>
      <c r="AC9" s="6">
        <f t="shared" si="7"/>
        <v>1</v>
      </c>
      <c r="AD9" s="563">
        <f t="shared" si="10"/>
        <v>1</v>
      </c>
      <c r="AE9" s="64"/>
      <c r="AF9" s="31">
        <v>56000</v>
      </c>
      <c r="AG9" s="31">
        <v>3000</v>
      </c>
      <c r="AH9" s="31">
        <v>0</v>
      </c>
      <c r="AI9" s="31">
        <v>0</v>
      </c>
      <c r="AJ9" s="31">
        <v>59000</v>
      </c>
      <c r="AK9" s="31">
        <v>67000</v>
      </c>
      <c r="AL9" s="31">
        <v>0</v>
      </c>
      <c r="AM9" s="56">
        <v>67000</v>
      </c>
      <c r="AN9" s="31">
        <v>59000</v>
      </c>
      <c r="AO9" s="31" t="s">
        <v>1568</v>
      </c>
      <c r="AP9" s="23" t="s">
        <v>187</v>
      </c>
      <c r="AQ9" s="23" t="s">
        <v>1284</v>
      </c>
    </row>
    <row r="10" spans="1:43">
      <c r="A10" s="34">
        <v>7</v>
      </c>
      <c r="B10" s="34">
        <v>101</v>
      </c>
      <c r="C10" s="568" t="str">
        <f t="shared" si="0"/>
        <v>西池袋駅前ビル</v>
      </c>
      <c r="D10" s="45" t="s">
        <v>1582</v>
      </c>
      <c r="E10" s="46">
        <v>16.75</v>
      </c>
      <c r="F10" s="324">
        <v>631</v>
      </c>
      <c r="G10" s="566" t="str">
        <f t="shared" si="1"/>
        <v>住居</v>
      </c>
      <c r="H10" s="44" t="s">
        <v>1567</v>
      </c>
      <c r="I10" s="325">
        <v>62000</v>
      </c>
      <c r="J10" s="325">
        <v>3000</v>
      </c>
      <c r="K10" s="325">
        <v>0</v>
      </c>
      <c r="L10" s="325">
        <v>0</v>
      </c>
      <c r="M10" s="565">
        <f t="shared" si="8"/>
        <v>65000</v>
      </c>
      <c r="N10" s="326">
        <v>65000</v>
      </c>
      <c r="O10" s="326">
        <v>0</v>
      </c>
      <c r="P10" s="565">
        <f t="shared" si="2"/>
        <v>65000</v>
      </c>
      <c r="Q10" s="565">
        <f t="shared" si="9"/>
        <v>65000</v>
      </c>
      <c r="R10" s="325" t="s">
        <v>1583</v>
      </c>
      <c r="S10" s="325" t="s">
        <v>187</v>
      </c>
      <c r="T10" s="327" t="s">
        <v>1284</v>
      </c>
      <c r="V10" s="43" t="s">
        <v>1584</v>
      </c>
      <c r="W10" s="221">
        <v>65000</v>
      </c>
      <c r="Y10" s="6">
        <f t="shared" si="3"/>
        <v>1</v>
      </c>
      <c r="Z10" s="562">
        <f t="shared" si="4"/>
        <v>65000</v>
      </c>
      <c r="AA10" s="122">
        <f t="shared" si="5"/>
        <v>0</v>
      </c>
      <c r="AB10" s="122">
        <f t="shared" si="6"/>
        <v>0</v>
      </c>
      <c r="AC10" s="6">
        <f t="shared" si="7"/>
        <v>1</v>
      </c>
      <c r="AD10" s="563">
        <f t="shared" si="10"/>
        <v>1</v>
      </c>
      <c r="AE10" s="64"/>
      <c r="AF10" s="31">
        <v>62000</v>
      </c>
      <c r="AG10" s="31">
        <v>3000</v>
      </c>
      <c r="AH10" s="31">
        <v>0</v>
      </c>
      <c r="AI10" s="31">
        <v>0</v>
      </c>
      <c r="AJ10" s="31">
        <v>65000</v>
      </c>
      <c r="AK10" s="31">
        <v>65000</v>
      </c>
      <c r="AL10" s="31">
        <v>0</v>
      </c>
      <c r="AM10" s="56">
        <v>65000</v>
      </c>
      <c r="AN10" s="31">
        <v>65000</v>
      </c>
      <c r="AO10" s="31" t="s">
        <v>1583</v>
      </c>
      <c r="AP10" s="23" t="s">
        <v>187</v>
      </c>
      <c r="AQ10" s="23" t="s">
        <v>1284</v>
      </c>
    </row>
    <row r="11" spans="1:43">
      <c r="A11" s="34">
        <v>8</v>
      </c>
      <c r="B11" s="34">
        <v>101</v>
      </c>
      <c r="C11" s="568" t="str">
        <f t="shared" si="0"/>
        <v>西池袋駅前ビル</v>
      </c>
      <c r="D11" s="45" t="s">
        <v>1585</v>
      </c>
      <c r="E11" s="46">
        <v>16.600000000000001</v>
      </c>
      <c r="F11" s="324">
        <v>631</v>
      </c>
      <c r="G11" s="566" t="str">
        <f t="shared" si="1"/>
        <v>住居</v>
      </c>
      <c r="H11" s="44" t="s">
        <v>1567</v>
      </c>
      <c r="I11" s="325">
        <v>63000</v>
      </c>
      <c r="J11" s="325">
        <v>3000</v>
      </c>
      <c r="K11" s="325">
        <v>0</v>
      </c>
      <c r="L11" s="325">
        <v>0</v>
      </c>
      <c r="M11" s="565">
        <f t="shared" si="8"/>
        <v>66000</v>
      </c>
      <c r="N11" s="326">
        <v>70000</v>
      </c>
      <c r="O11" s="326">
        <v>0</v>
      </c>
      <c r="P11" s="565">
        <f t="shared" si="2"/>
        <v>70000</v>
      </c>
      <c r="Q11" s="565">
        <f t="shared" si="9"/>
        <v>66000</v>
      </c>
      <c r="R11" s="325" t="s">
        <v>1568</v>
      </c>
      <c r="S11" s="325" t="s">
        <v>187</v>
      </c>
      <c r="T11" s="327" t="s">
        <v>1284</v>
      </c>
      <c r="V11" s="43" t="s">
        <v>1586</v>
      </c>
      <c r="W11" s="221">
        <v>67000</v>
      </c>
      <c r="Y11" s="6">
        <f t="shared" si="3"/>
        <v>1</v>
      </c>
      <c r="Z11" s="562">
        <f t="shared" si="4"/>
        <v>66000</v>
      </c>
      <c r="AA11" s="122">
        <f t="shared" si="5"/>
        <v>4000</v>
      </c>
      <c r="AB11" s="122">
        <f t="shared" si="6"/>
        <v>-1000</v>
      </c>
      <c r="AC11" s="6">
        <f t="shared" si="7"/>
        <v>1</v>
      </c>
      <c r="AD11" s="563">
        <f t="shared" si="10"/>
        <v>1</v>
      </c>
      <c r="AE11" s="64"/>
      <c r="AF11" s="31">
        <v>63000</v>
      </c>
      <c r="AG11" s="31">
        <v>3000</v>
      </c>
      <c r="AH11" s="31">
        <v>0</v>
      </c>
      <c r="AI11" s="31">
        <v>0</v>
      </c>
      <c r="AJ11" s="31">
        <v>66000</v>
      </c>
      <c r="AK11" s="31">
        <v>70000</v>
      </c>
      <c r="AL11" s="31">
        <v>0</v>
      </c>
      <c r="AM11" s="56">
        <v>70000</v>
      </c>
      <c r="AN11" s="31">
        <v>66000</v>
      </c>
      <c r="AO11" s="31" t="s">
        <v>1568</v>
      </c>
      <c r="AP11" s="23" t="s">
        <v>187</v>
      </c>
      <c r="AQ11" s="23" t="s">
        <v>1284</v>
      </c>
    </row>
    <row r="12" spans="1:43">
      <c r="A12" s="34">
        <v>9</v>
      </c>
      <c r="B12" s="34">
        <v>101</v>
      </c>
      <c r="C12" s="568" t="str">
        <f t="shared" si="0"/>
        <v>西池袋駅前ビル</v>
      </c>
      <c r="D12" s="45" t="s">
        <v>1587</v>
      </c>
      <c r="E12" s="46">
        <v>16.739999999999998</v>
      </c>
      <c r="F12" s="324">
        <v>631</v>
      </c>
      <c r="G12" s="566" t="str">
        <f t="shared" si="1"/>
        <v>住居</v>
      </c>
      <c r="H12" s="44" t="s">
        <v>1567</v>
      </c>
      <c r="I12" s="325">
        <v>63000</v>
      </c>
      <c r="J12" s="325">
        <v>3000</v>
      </c>
      <c r="K12" s="325">
        <v>0</v>
      </c>
      <c r="L12" s="325">
        <v>0</v>
      </c>
      <c r="M12" s="565">
        <f t="shared" si="8"/>
        <v>66000</v>
      </c>
      <c r="N12" s="326">
        <v>68000</v>
      </c>
      <c r="O12" s="326">
        <v>0</v>
      </c>
      <c r="P12" s="565">
        <f t="shared" si="2"/>
        <v>68000</v>
      </c>
      <c r="Q12" s="565">
        <f t="shared" si="9"/>
        <v>66000</v>
      </c>
      <c r="R12" s="325" t="s">
        <v>1568</v>
      </c>
      <c r="S12" s="325" t="s">
        <v>187</v>
      </c>
      <c r="T12" s="327" t="s">
        <v>1284</v>
      </c>
      <c r="V12" s="43" t="s">
        <v>1588</v>
      </c>
      <c r="W12" s="221">
        <v>67000</v>
      </c>
      <c r="Y12" s="6">
        <f t="shared" si="3"/>
        <v>1</v>
      </c>
      <c r="Z12" s="562">
        <f t="shared" si="4"/>
        <v>66000</v>
      </c>
      <c r="AA12" s="122">
        <f t="shared" si="5"/>
        <v>2000</v>
      </c>
      <c r="AB12" s="122">
        <f t="shared" si="6"/>
        <v>-1000</v>
      </c>
      <c r="AC12" s="6">
        <f t="shared" si="7"/>
        <v>1</v>
      </c>
      <c r="AD12" s="563">
        <f t="shared" si="10"/>
        <v>1</v>
      </c>
      <c r="AE12" s="64"/>
      <c r="AF12" s="31">
        <v>63000</v>
      </c>
      <c r="AG12" s="31">
        <v>3000</v>
      </c>
      <c r="AH12" s="31">
        <v>0</v>
      </c>
      <c r="AI12" s="31">
        <v>0</v>
      </c>
      <c r="AJ12" s="31">
        <v>66000</v>
      </c>
      <c r="AK12" s="31">
        <v>68000</v>
      </c>
      <c r="AL12" s="31">
        <v>0</v>
      </c>
      <c r="AM12" s="56">
        <v>68000</v>
      </c>
      <c r="AN12" s="31">
        <v>66000</v>
      </c>
      <c r="AO12" s="31" t="s">
        <v>1568</v>
      </c>
      <c r="AP12" s="23" t="s">
        <v>187</v>
      </c>
      <c r="AQ12" s="23" t="s">
        <v>1284</v>
      </c>
    </row>
    <row r="13" spans="1:43">
      <c r="A13" s="34">
        <v>10</v>
      </c>
      <c r="B13" s="34">
        <v>101</v>
      </c>
      <c r="C13" s="568" t="str">
        <f t="shared" si="0"/>
        <v>西池袋駅前ビル</v>
      </c>
      <c r="D13" s="45" t="s">
        <v>1589</v>
      </c>
      <c r="E13" s="46">
        <v>16.559999999999999</v>
      </c>
      <c r="F13" s="324">
        <v>631</v>
      </c>
      <c r="G13" s="566" t="str">
        <f t="shared" si="1"/>
        <v>住居</v>
      </c>
      <c r="H13" s="44" t="s">
        <v>1567</v>
      </c>
      <c r="I13" s="325">
        <v>62000</v>
      </c>
      <c r="J13" s="325">
        <v>0</v>
      </c>
      <c r="K13" s="325">
        <v>0</v>
      </c>
      <c r="L13" s="325">
        <v>0</v>
      </c>
      <c r="M13" s="565">
        <f t="shared" si="8"/>
        <v>62000</v>
      </c>
      <c r="N13" s="326">
        <v>62000</v>
      </c>
      <c r="O13" s="326">
        <v>0</v>
      </c>
      <c r="P13" s="565">
        <f t="shared" si="2"/>
        <v>62000</v>
      </c>
      <c r="Q13" s="565">
        <f t="shared" si="9"/>
        <v>62000</v>
      </c>
      <c r="R13" s="325" t="s">
        <v>1568</v>
      </c>
      <c r="S13" s="325" t="s">
        <v>187</v>
      </c>
      <c r="T13" s="327" t="s">
        <v>1284</v>
      </c>
      <c r="V13" s="43" t="s">
        <v>1590</v>
      </c>
      <c r="W13" s="221">
        <v>62000</v>
      </c>
      <c r="Y13" s="6">
        <f t="shared" si="3"/>
        <v>1</v>
      </c>
      <c r="Z13" s="562">
        <f t="shared" si="4"/>
        <v>62000</v>
      </c>
      <c r="AA13" s="122">
        <f t="shared" si="5"/>
        <v>0</v>
      </c>
      <c r="AB13" s="122">
        <f t="shared" si="6"/>
        <v>0</v>
      </c>
      <c r="AC13" s="6">
        <f t="shared" si="7"/>
        <v>1</v>
      </c>
      <c r="AD13" s="563">
        <f t="shared" si="10"/>
        <v>1</v>
      </c>
      <c r="AE13" s="64"/>
      <c r="AF13" s="31">
        <v>62000</v>
      </c>
      <c r="AG13" s="31">
        <v>0</v>
      </c>
      <c r="AH13" s="31">
        <v>0</v>
      </c>
      <c r="AI13" s="31">
        <v>0</v>
      </c>
      <c r="AJ13" s="31">
        <v>62000</v>
      </c>
      <c r="AK13" s="31">
        <v>62000</v>
      </c>
      <c r="AL13" s="31">
        <v>0</v>
      </c>
      <c r="AM13" s="56">
        <v>62000</v>
      </c>
      <c r="AN13" s="31">
        <v>62000</v>
      </c>
      <c r="AO13" s="31" t="s">
        <v>1568</v>
      </c>
      <c r="AP13" s="23" t="s">
        <v>187</v>
      </c>
      <c r="AQ13" s="23" t="s">
        <v>1284</v>
      </c>
    </row>
    <row r="14" spans="1:43">
      <c r="A14" s="34">
        <v>11</v>
      </c>
      <c r="B14" s="34">
        <v>101</v>
      </c>
      <c r="C14" s="568" t="str">
        <f t="shared" si="0"/>
        <v>西池袋駅前ビル</v>
      </c>
      <c r="D14" s="45" t="s">
        <v>1591</v>
      </c>
      <c r="E14" s="46">
        <v>16.559999999999999</v>
      </c>
      <c r="F14" s="324">
        <v>631</v>
      </c>
      <c r="G14" s="566" t="str">
        <f t="shared" si="1"/>
        <v>住居</v>
      </c>
      <c r="H14" s="44" t="s">
        <v>1567</v>
      </c>
      <c r="I14" s="325">
        <v>63000</v>
      </c>
      <c r="J14" s="325">
        <v>3000</v>
      </c>
      <c r="K14" s="325">
        <v>0</v>
      </c>
      <c r="L14" s="325">
        <v>0</v>
      </c>
      <c r="M14" s="565">
        <f t="shared" si="8"/>
        <v>66000</v>
      </c>
      <c r="N14" s="326">
        <v>66000</v>
      </c>
      <c r="O14" s="326">
        <v>0</v>
      </c>
      <c r="P14" s="565">
        <f t="shared" si="2"/>
        <v>66000</v>
      </c>
      <c r="Q14" s="565">
        <f t="shared" si="9"/>
        <v>66000</v>
      </c>
      <c r="R14" s="325" t="s">
        <v>1568</v>
      </c>
      <c r="S14" s="325" t="s">
        <v>187</v>
      </c>
      <c r="T14" s="327" t="s">
        <v>1284</v>
      </c>
      <c r="V14" s="43" t="s">
        <v>1592</v>
      </c>
      <c r="W14" s="221">
        <v>65000</v>
      </c>
      <c r="Y14" s="6">
        <f t="shared" si="3"/>
        <v>1</v>
      </c>
      <c r="Z14" s="562">
        <f t="shared" si="4"/>
        <v>66000</v>
      </c>
      <c r="AA14" s="122">
        <f t="shared" si="5"/>
        <v>0</v>
      </c>
      <c r="AB14" s="122">
        <f t="shared" si="6"/>
        <v>1000</v>
      </c>
      <c r="AC14" s="6">
        <f t="shared" si="7"/>
        <v>1</v>
      </c>
      <c r="AD14" s="563">
        <f t="shared" si="10"/>
        <v>1</v>
      </c>
      <c r="AE14" s="64"/>
      <c r="AF14" s="31">
        <v>63000</v>
      </c>
      <c r="AG14" s="31">
        <v>3000</v>
      </c>
      <c r="AH14" s="31">
        <v>0</v>
      </c>
      <c r="AI14" s="31">
        <v>0</v>
      </c>
      <c r="AJ14" s="31">
        <v>66000</v>
      </c>
      <c r="AK14" s="31">
        <v>66000</v>
      </c>
      <c r="AL14" s="31">
        <v>0</v>
      </c>
      <c r="AM14" s="56">
        <v>66000</v>
      </c>
      <c r="AN14" s="31">
        <v>66000</v>
      </c>
      <c r="AO14" s="31" t="s">
        <v>1568</v>
      </c>
      <c r="AP14" s="23" t="s">
        <v>187</v>
      </c>
      <c r="AQ14" s="23" t="s">
        <v>1284</v>
      </c>
    </row>
    <row r="15" spans="1:43">
      <c r="A15" s="34">
        <v>12</v>
      </c>
      <c r="B15" s="34">
        <v>101</v>
      </c>
      <c r="C15" s="568" t="str">
        <f t="shared" si="0"/>
        <v>西池袋駅前ビル</v>
      </c>
      <c r="D15" s="45" t="s">
        <v>1593</v>
      </c>
      <c r="E15" s="46">
        <v>16.559999999999999</v>
      </c>
      <c r="F15" s="324">
        <v>631</v>
      </c>
      <c r="G15" s="566" t="str">
        <f t="shared" si="1"/>
        <v>住居</v>
      </c>
      <c r="H15" s="44" t="s">
        <v>1567</v>
      </c>
      <c r="I15" s="325">
        <v>62000</v>
      </c>
      <c r="J15" s="325">
        <v>3000</v>
      </c>
      <c r="K15" s="325">
        <v>0</v>
      </c>
      <c r="L15" s="325">
        <v>0</v>
      </c>
      <c r="M15" s="565">
        <f t="shared" si="8"/>
        <v>65000</v>
      </c>
      <c r="N15" s="326">
        <v>65000</v>
      </c>
      <c r="O15" s="326">
        <v>0</v>
      </c>
      <c r="P15" s="565">
        <f t="shared" si="2"/>
        <v>65000</v>
      </c>
      <c r="Q15" s="565">
        <f t="shared" si="9"/>
        <v>65000</v>
      </c>
      <c r="R15" s="325" t="s">
        <v>1568</v>
      </c>
      <c r="S15" s="325" t="s">
        <v>187</v>
      </c>
      <c r="T15" s="327" t="s">
        <v>1284</v>
      </c>
      <c r="V15" s="43" t="s">
        <v>1594</v>
      </c>
      <c r="W15" s="221">
        <v>65000</v>
      </c>
      <c r="Y15" s="6">
        <f t="shared" si="3"/>
        <v>1</v>
      </c>
      <c r="Z15" s="562">
        <f t="shared" si="4"/>
        <v>65000</v>
      </c>
      <c r="AA15" s="122">
        <f t="shared" si="5"/>
        <v>0</v>
      </c>
      <c r="AB15" s="122">
        <f t="shared" si="6"/>
        <v>0</v>
      </c>
      <c r="AC15" s="6">
        <f t="shared" si="7"/>
        <v>1</v>
      </c>
      <c r="AD15" s="563">
        <f t="shared" si="10"/>
        <v>1</v>
      </c>
      <c r="AE15" s="64"/>
      <c r="AF15" s="31">
        <v>62000</v>
      </c>
      <c r="AG15" s="31">
        <v>3000</v>
      </c>
      <c r="AH15" s="31">
        <v>0</v>
      </c>
      <c r="AI15" s="31">
        <v>0</v>
      </c>
      <c r="AJ15" s="31">
        <v>65000</v>
      </c>
      <c r="AK15" s="31">
        <v>65000</v>
      </c>
      <c r="AL15" s="31">
        <v>0</v>
      </c>
      <c r="AM15" s="56">
        <v>65000</v>
      </c>
      <c r="AN15" s="31">
        <v>65000</v>
      </c>
      <c r="AO15" s="31" t="s">
        <v>1568</v>
      </c>
      <c r="AP15" s="23" t="s">
        <v>187</v>
      </c>
      <c r="AQ15" s="23" t="s">
        <v>1284</v>
      </c>
    </row>
    <row r="16" spans="1:43">
      <c r="A16" s="34">
        <v>13</v>
      </c>
      <c r="B16" s="34">
        <v>101</v>
      </c>
      <c r="C16" s="568" t="str">
        <f t="shared" si="0"/>
        <v>西池袋駅前ビル</v>
      </c>
      <c r="D16" s="45" t="s">
        <v>1595</v>
      </c>
      <c r="E16" s="46">
        <v>16.77</v>
      </c>
      <c r="F16" s="324">
        <v>631</v>
      </c>
      <c r="G16" s="566" t="str">
        <f t="shared" si="1"/>
        <v>住居</v>
      </c>
      <c r="H16" s="44" t="s">
        <v>1567</v>
      </c>
      <c r="I16" s="325">
        <v>67000</v>
      </c>
      <c r="J16" s="325">
        <v>3000</v>
      </c>
      <c r="K16" s="325">
        <v>0</v>
      </c>
      <c r="L16" s="325">
        <v>0</v>
      </c>
      <c r="M16" s="565">
        <f t="shared" si="8"/>
        <v>70000</v>
      </c>
      <c r="N16" s="326">
        <v>70000</v>
      </c>
      <c r="O16" s="326">
        <v>0</v>
      </c>
      <c r="P16" s="565">
        <f t="shared" si="2"/>
        <v>70000</v>
      </c>
      <c r="Q16" s="565">
        <f t="shared" si="9"/>
        <v>70000</v>
      </c>
      <c r="R16" s="325" t="s">
        <v>1578</v>
      </c>
      <c r="S16" s="325" t="s">
        <v>187</v>
      </c>
      <c r="T16" s="327" t="s">
        <v>1284</v>
      </c>
      <c r="V16" s="43" t="s">
        <v>1596</v>
      </c>
      <c r="W16" s="221">
        <v>68000</v>
      </c>
      <c r="Y16" s="6">
        <f t="shared" si="3"/>
        <v>1</v>
      </c>
      <c r="Z16" s="562">
        <f t="shared" si="4"/>
        <v>70000</v>
      </c>
      <c r="AA16" s="122">
        <f t="shared" si="5"/>
        <v>0</v>
      </c>
      <c r="AB16" s="122">
        <f t="shared" si="6"/>
        <v>2000</v>
      </c>
      <c r="AC16" s="6">
        <f t="shared" si="7"/>
        <v>1</v>
      </c>
      <c r="AD16" s="563">
        <f t="shared" si="10"/>
        <v>1</v>
      </c>
      <c r="AE16" s="64"/>
      <c r="AF16" s="31">
        <v>67000</v>
      </c>
      <c r="AG16" s="31">
        <v>3000</v>
      </c>
      <c r="AH16" s="31">
        <v>0</v>
      </c>
      <c r="AI16" s="31">
        <v>0</v>
      </c>
      <c r="AJ16" s="31">
        <v>70000</v>
      </c>
      <c r="AK16" s="31">
        <v>70000</v>
      </c>
      <c r="AL16" s="31">
        <v>0</v>
      </c>
      <c r="AM16" s="56">
        <v>70000</v>
      </c>
      <c r="AN16" s="31">
        <v>70000</v>
      </c>
      <c r="AO16" s="31" t="s">
        <v>1578</v>
      </c>
      <c r="AP16" s="23" t="s">
        <v>187</v>
      </c>
      <c r="AQ16" s="23" t="s">
        <v>1284</v>
      </c>
    </row>
    <row r="17" spans="1:43">
      <c r="A17" s="34">
        <v>14</v>
      </c>
      <c r="B17" s="34">
        <v>101</v>
      </c>
      <c r="C17" s="568" t="str">
        <f t="shared" si="0"/>
        <v>西池袋駅前ビル</v>
      </c>
      <c r="D17" s="45" t="s">
        <v>1597</v>
      </c>
      <c r="E17" s="46">
        <v>16.53</v>
      </c>
      <c r="F17" s="324">
        <v>631</v>
      </c>
      <c r="G17" s="566" t="str">
        <f t="shared" si="1"/>
        <v>住居</v>
      </c>
      <c r="H17" s="44" t="s">
        <v>1567</v>
      </c>
      <c r="I17" s="325">
        <v>57000</v>
      </c>
      <c r="J17" s="325">
        <v>3000</v>
      </c>
      <c r="K17" s="325">
        <v>0</v>
      </c>
      <c r="L17" s="325">
        <v>0</v>
      </c>
      <c r="M17" s="565">
        <f t="shared" si="8"/>
        <v>60000</v>
      </c>
      <c r="N17" s="326">
        <v>70000</v>
      </c>
      <c r="O17" s="326">
        <v>0</v>
      </c>
      <c r="P17" s="565">
        <f t="shared" si="2"/>
        <v>70000</v>
      </c>
      <c r="Q17" s="565">
        <f t="shared" si="9"/>
        <v>60000</v>
      </c>
      <c r="R17" s="325" t="s">
        <v>1578</v>
      </c>
      <c r="S17" s="325" t="s">
        <v>187</v>
      </c>
      <c r="T17" s="327" t="s">
        <v>1284</v>
      </c>
      <c r="V17" s="43" t="s">
        <v>1598</v>
      </c>
      <c r="W17" s="221">
        <v>63000</v>
      </c>
      <c r="Y17" s="6">
        <f t="shared" si="3"/>
        <v>1</v>
      </c>
      <c r="Z17" s="562">
        <f t="shared" si="4"/>
        <v>60000</v>
      </c>
      <c r="AA17" s="122">
        <f t="shared" si="5"/>
        <v>10000</v>
      </c>
      <c r="AB17" s="122">
        <f t="shared" si="6"/>
        <v>-3000</v>
      </c>
      <c r="AC17" s="6">
        <f t="shared" si="7"/>
        <v>1</v>
      </c>
      <c r="AD17" s="563">
        <f t="shared" si="10"/>
        <v>1</v>
      </c>
      <c r="AE17" s="64"/>
      <c r="AF17" s="31">
        <v>57000</v>
      </c>
      <c r="AG17" s="31">
        <v>3000</v>
      </c>
      <c r="AH17" s="31">
        <v>0</v>
      </c>
      <c r="AI17" s="31">
        <v>0</v>
      </c>
      <c r="AJ17" s="31">
        <v>60000</v>
      </c>
      <c r="AK17" s="31">
        <v>70000</v>
      </c>
      <c r="AL17" s="31">
        <v>0</v>
      </c>
      <c r="AM17" s="56">
        <v>70000</v>
      </c>
      <c r="AN17" s="31">
        <v>60000</v>
      </c>
      <c r="AO17" s="31" t="s">
        <v>1578</v>
      </c>
      <c r="AP17" s="23" t="s">
        <v>187</v>
      </c>
      <c r="AQ17" s="23" t="s">
        <v>1284</v>
      </c>
    </row>
    <row r="18" spans="1:43">
      <c r="A18" s="34">
        <v>15</v>
      </c>
      <c r="B18" s="34">
        <v>101</v>
      </c>
      <c r="C18" s="568" t="str">
        <f t="shared" si="0"/>
        <v>西池袋駅前ビル</v>
      </c>
      <c r="D18" s="45" t="s">
        <v>1599</v>
      </c>
      <c r="E18" s="46">
        <v>16.75</v>
      </c>
      <c r="F18" s="324">
        <v>631</v>
      </c>
      <c r="G18" s="566" t="str">
        <f t="shared" si="1"/>
        <v>住居</v>
      </c>
      <c r="H18" s="44" t="s">
        <v>1567</v>
      </c>
      <c r="I18" s="325">
        <v>56000</v>
      </c>
      <c r="J18" s="325">
        <v>3000</v>
      </c>
      <c r="K18" s="325">
        <v>0</v>
      </c>
      <c r="L18" s="325">
        <v>0</v>
      </c>
      <c r="M18" s="565">
        <f t="shared" si="8"/>
        <v>59000</v>
      </c>
      <c r="N18" s="326">
        <v>65000</v>
      </c>
      <c r="O18" s="326">
        <v>0</v>
      </c>
      <c r="P18" s="565">
        <f t="shared" si="2"/>
        <v>65000</v>
      </c>
      <c r="Q18" s="565">
        <f t="shared" si="9"/>
        <v>59000</v>
      </c>
      <c r="R18" s="325" t="s">
        <v>1568</v>
      </c>
      <c r="S18" s="325" t="s">
        <v>187</v>
      </c>
      <c r="T18" s="327" t="s">
        <v>1284</v>
      </c>
      <c r="V18" s="43" t="s">
        <v>1600</v>
      </c>
      <c r="W18" s="221">
        <v>67000</v>
      </c>
      <c r="Y18" s="6">
        <f t="shared" si="3"/>
        <v>1</v>
      </c>
      <c r="Z18" s="562">
        <f t="shared" si="4"/>
        <v>59000</v>
      </c>
      <c r="AA18" s="122">
        <f t="shared" si="5"/>
        <v>6000</v>
      </c>
      <c r="AB18" s="122">
        <f t="shared" si="6"/>
        <v>-8000</v>
      </c>
      <c r="AC18" s="6">
        <f t="shared" si="7"/>
        <v>1</v>
      </c>
      <c r="AD18" s="563">
        <f t="shared" si="10"/>
        <v>1</v>
      </c>
      <c r="AE18" s="64"/>
      <c r="AF18" s="31">
        <v>56000</v>
      </c>
      <c r="AG18" s="31">
        <v>3000</v>
      </c>
      <c r="AH18" s="31">
        <v>0</v>
      </c>
      <c r="AI18" s="31">
        <v>0</v>
      </c>
      <c r="AJ18" s="31">
        <v>59000</v>
      </c>
      <c r="AK18" s="31">
        <v>65000</v>
      </c>
      <c r="AL18" s="31">
        <v>0</v>
      </c>
      <c r="AM18" s="56">
        <v>65000</v>
      </c>
      <c r="AN18" s="31">
        <v>59000</v>
      </c>
      <c r="AO18" s="31" t="s">
        <v>1568</v>
      </c>
      <c r="AP18" s="23" t="s">
        <v>187</v>
      </c>
      <c r="AQ18" s="23" t="s">
        <v>1284</v>
      </c>
    </row>
    <row r="19" spans="1:43">
      <c r="A19" s="34">
        <v>16</v>
      </c>
      <c r="B19" s="34">
        <v>101</v>
      </c>
      <c r="C19" s="568" t="str">
        <f t="shared" si="0"/>
        <v>西池袋駅前ビル</v>
      </c>
      <c r="D19" s="45" t="s">
        <v>1601</v>
      </c>
      <c r="E19" s="46">
        <v>16.600000000000001</v>
      </c>
      <c r="F19" s="324">
        <v>631</v>
      </c>
      <c r="G19" s="566" t="str">
        <f t="shared" si="1"/>
        <v>住居</v>
      </c>
      <c r="H19" s="44" t="s">
        <v>1567</v>
      </c>
      <c r="I19" s="325">
        <v>69000</v>
      </c>
      <c r="J19" s="325">
        <v>0</v>
      </c>
      <c r="K19" s="325">
        <v>0</v>
      </c>
      <c r="L19" s="325">
        <v>0</v>
      </c>
      <c r="M19" s="565">
        <f t="shared" si="8"/>
        <v>69000</v>
      </c>
      <c r="N19" s="326">
        <v>69000</v>
      </c>
      <c r="O19" s="326">
        <v>0</v>
      </c>
      <c r="P19" s="565">
        <f t="shared" si="2"/>
        <v>69000</v>
      </c>
      <c r="Q19" s="565">
        <f t="shared" si="9"/>
        <v>69000</v>
      </c>
      <c r="R19" s="325" t="s">
        <v>1568</v>
      </c>
      <c r="S19" s="325" t="s">
        <v>187</v>
      </c>
      <c r="T19" s="327" t="s">
        <v>1284</v>
      </c>
      <c r="V19" s="43" t="s">
        <v>1602</v>
      </c>
      <c r="W19" s="221">
        <v>69000</v>
      </c>
      <c r="Y19" s="6">
        <f t="shared" si="3"/>
        <v>1</v>
      </c>
      <c r="Z19" s="562">
        <f t="shared" si="4"/>
        <v>69000</v>
      </c>
      <c r="AA19" s="122">
        <f t="shared" si="5"/>
        <v>0</v>
      </c>
      <c r="AB19" s="122">
        <f t="shared" si="6"/>
        <v>0</v>
      </c>
      <c r="AC19" s="6">
        <f t="shared" si="7"/>
        <v>1</v>
      </c>
      <c r="AD19" s="563">
        <f t="shared" si="10"/>
        <v>1</v>
      </c>
      <c r="AE19" s="64"/>
      <c r="AF19" s="31">
        <v>69000</v>
      </c>
      <c r="AG19" s="31">
        <v>0</v>
      </c>
      <c r="AH19" s="31">
        <v>0</v>
      </c>
      <c r="AI19" s="31">
        <v>0</v>
      </c>
      <c r="AJ19" s="31">
        <v>69000</v>
      </c>
      <c r="AK19" s="31">
        <v>69000</v>
      </c>
      <c r="AL19" s="31">
        <v>0</v>
      </c>
      <c r="AM19" s="56">
        <v>69000</v>
      </c>
      <c r="AN19" s="31">
        <v>69000</v>
      </c>
      <c r="AO19" s="31" t="s">
        <v>1568</v>
      </c>
      <c r="AP19" s="23" t="s">
        <v>187</v>
      </c>
      <c r="AQ19" s="23" t="s">
        <v>1284</v>
      </c>
    </row>
    <row r="20" spans="1:43">
      <c r="A20" s="34">
        <v>17</v>
      </c>
      <c r="B20" s="34">
        <v>101</v>
      </c>
      <c r="C20" s="568" t="str">
        <f t="shared" si="0"/>
        <v>西池袋駅前ビル</v>
      </c>
      <c r="D20" s="45" t="s">
        <v>1603</v>
      </c>
      <c r="E20" s="46">
        <v>16.559999999999999</v>
      </c>
      <c r="F20" s="324">
        <v>631</v>
      </c>
      <c r="G20" s="566" t="str">
        <f t="shared" si="1"/>
        <v>住居</v>
      </c>
      <c r="H20" s="44" t="s">
        <v>1567</v>
      </c>
      <c r="I20" s="325">
        <v>67000</v>
      </c>
      <c r="J20" s="325">
        <v>3000</v>
      </c>
      <c r="K20" s="325">
        <v>0</v>
      </c>
      <c r="L20" s="325">
        <v>0</v>
      </c>
      <c r="M20" s="565">
        <f t="shared" si="8"/>
        <v>70000</v>
      </c>
      <c r="N20" s="326">
        <v>70000</v>
      </c>
      <c r="O20" s="326">
        <v>0</v>
      </c>
      <c r="P20" s="565">
        <f t="shared" si="2"/>
        <v>70000</v>
      </c>
      <c r="Q20" s="565">
        <f t="shared" si="9"/>
        <v>70000</v>
      </c>
      <c r="R20" s="325" t="s">
        <v>1568</v>
      </c>
      <c r="S20" s="325" t="s">
        <v>187</v>
      </c>
      <c r="T20" s="327" t="s">
        <v>1284</v>
      </c>
      <c r="V20" s="43" t="s">
        <v>1604</v>
      </c>
      <c r="W20" s="221">
        <v>66000</v>
      </c>
      <c r="Y20" s="6">
        <f t="shared" si="3"/>
        <v>1</v>
      </c>
      <c r="Z20" s="562">
        <f t="shared" si="4"/>
        <v>70000</v>
      </c>
      <c r="AA20" s="122">
        <f t="shared" si="5"/>
        <v>0</v>
      </c>
      <c r="AB20" s="122">
        <f t="shared" si="6"/>
        <v>4000</v>
      </c>
      <c r="AC20" s="6">
        <f t="shared" si="7"/>
        <v>1</v>
      </c>
      <c r="AD20" s="563">
        <f t="shared" si="10"/>
        <v>1</v>
      </c>
      <c r="AE20" s="64"/>
      <c r="AF20" s="31">
        <v>67000</v>
      </c>
      <c r="AG20" s="31">
        <v>3000</v>
      </c>
      <c r="AH20" s="31">
        <v>0</v>
      </c>
      <c r="AI20" s="31">
        <v>0</v>
      </c>
      <c r="AJ20" s="31">
        <v>70000</v>
      </c>
      <c r="AK20" s="31">
        <v>70000</v>
      </c>
      <c r="AL20" s="31">
        <v>0</v>
      </c>
      <c r="AM20" s="56">
        <v>70000</v>
      </c>
      <c r="AN20" s="31">
        <v>70000</v>
      </c>
      <c r="AO20" s="31" t="s">
        <v>1568</v>
      </c>
      <c r="AP20" s="23" t="s">
        <v>187</v>
      </c>
      <c r="AQ20" s="23" t="s">
        <v>1284</v>
      </c>
    </row>
    <row r="21" spans="1:43">
      <c r="A21" s="34">
        <v>18</v>
      </c>
      <c r="B21" s="34">
        <v>101</v>
      </c>
      <c r="C21" s="568" t="str">
        <f t="shared" si="0"/>
        <v>西池袋駅前ビル</v>
      </c>
      <c r="D21" s="45" t="s">
        <v>1605</v>
      </c>
      <c r="E21" s="46">
        <v>16.559999999999999</v>
      </c>
      <c r="F21" s="324">
        <v>631</v>
      </c>
      <c r="G21" s="566" t="str">
        <f t="shared" si="1"/>
        <v>住居</v>
      </c>
      <c r="H21" s="44" t="s">
        <v>1567</v>
      </c>
      <c r="I21" s="325">
        <v>62000</v>
      </c>
      <c r="J21" s="325">
        <v>2000</v>
      </c>
      <c r="K21" s="325">
        <v>0</v>
      </c>
      <c r="L21" s="325">
        <v>0</v>
      </c>
      <c r="M21" s="565">
        <f t="shared" si="8"/>
        <v>64000</v>
      </c>
      <c r="N21" s="326">
        <v>64000</v>
      </c>
      <c r="O21" s="326">
        <v>0</v>
      </c>
      <c r="P21" s="565">
        <f t="shared" si="2"/>
        <v>64000</v>
      </c>
      <c r="Q21" s="565">
        <f t="shared" si="9"/>
        <v>64000</v>
      </c>
      <c r="R21" s="325" t="s">
        <v>1568</v>
      </c>
      <c r="S21" s="325" t="s">
        <v>187</v>
      </c>
      <c r="T21" s="327" t="s">
        <v>1284</v>
      </c>
      <c r="V21" s="43" t="s">
        <v>1606</v>
      </c>
      <c r="W21" s="221">
        <v>64000</v>
      </c>
      <c r="Y21" s="6">
        <f t="shared" si="3"/>
        <v>1</v>
      </c>
      <c r="Z21" s="562">
        <f t="shared" si="4"/>
        <v>64000</v>
      </c>
      <c r="AA21" s="122">
        <f t="shared" si="5"/>
        <v>0</v>
      </c>
      <c r="AB21" s="122">
        <f t="shared" si="6"/>
        <v>0</v>
      </c>
      <c r="AC21" s="6">
        <f t="shared" si="7"/>
        <v>1</v>
      </c>
      <c r="AD21" s="563">
        <f t="shared" si="10"/>
        <v>1</v>
      </c>
      <c r="AE21" s="64"/>
      <c r="AF21" s="31">
        <v>62000</v>
      </c>
      <c r="AG21" s="31">
        <v>2000</v>
      </c>
      <c r="AH21" s="31">
        <v>0</v>
      </c>
      <c r="AI21" s="31">
        <v>0</v>
      </c>
      <c r="AJ21" s="31">
        <v>64000</v>
      </c>
      <c r="AK21" s="31">
        <v>64000</v>
      </c>
      <c r="AL21" s="31">
        <v>0</v>
      </c>
      <c r="AM21" s="56">
        <v>64000</v>
      </c>
      <c r="AN21" s="31">
        <v>64000</v>
      </c>
      <c r="AO21" s="31" t="s">
        <v>1568</v>
      </c>
      <c r="AP21" s="23" t="s">
        <v>187</v>
      </c>
      <c r="AQ21" s="23" t="s">
        <v>1284</v>
      </c>
    </row>
    <row r="22" spans="1:43">
      <c r="A22" s="34">
        <v>19</v>
      </c>
      <c r="B22" s="34">
        <v>101</v>
      </c>
      <c r="C22" s="568" t="str">
        <f t="shared" si="0"/>
        <v>西池袋駅前ビル</v>
      </c>
      <c r="D22" s="45" t="s">
        <v>1607</v>
      </c>
      <c r="E22" s="46">
        <v>16.559999999999999</v>
      </c>
      <c r="F22" s="324">
        <v>631</v>
      </c>
      <c r="G22" s="566" t="str">
        <f t="shared" si="1"/>
        <v>住居</v>
      </c>
      <c r="H22" s="44" t="s">
        <v>1567</v>
      </c>
      <c r="I22" s="325">
        <v>60000</v>
      </c>
      <c r="J22" s="325">
        <v>3000</v>
      </c>
      <c r="K22" s="325">
        <v>0</v>
      </c>
      <c r="L22" s="325">
        <v>0</v>
      </c>
      <c r="M22" s="565">
        <f t="shared" si="8"/>
        <v>63000</v>
      </c>
      <c r="N22" s="326">
        <v>70000</v>
      </c>
      <c r="O22" s="326">
        <v>0</v>
      </c>
      <c r="P22" s="565">
        <f t="shared" si="2"/>
        <v>70000</v>
      </c>
      <c r="Q22" s="565">
        <f t="shared" si="9"/>
        <v>63000</v>
      </c>
      <c r="R22" s="325" t="s">
        <v>1568</v>
      </c>
      <c r="S22" s="325" t="s">
        <v>187</v>
      </c>
      <c r="T22" s="327" t="s">
        <v>1284</v>
      </c>
      <c r="V22" s="43" t="s">
        <v>1608</v>
      </c>
      <c r="W22" s="221">
        <v>65000</v>
      </c>
      <c r="Y22" s="6">
        <f t="shared" si="3"/>
        <v>1</v>
      </c>
      <c r="Z22" s="562">
        <f t="shared" si="4"/>
        <v>63000</v>
      </c>
      <c r="AA22" s="122">
        <f t="shared" si="5"/>
        <v>7000</v>
      </c>
      <c r="AB22" s="122">
        <f t="shared" si="6"/>
        <v>-2000</v>
      </c>
      <c r="AC22" s="6">
        <f t="shared" si="7"/>
        <v>1</v>
      </c>
      <c r="AD22" s="563">
        <f t="shared" si="10"/>
        <v>1</v>
      </c>
      <c r="AE22" s="64"/>
      <c r="AF22" s="31">
        <v>60000</v>
      </c>
      <c r="AG22" s="31">
        <v>3000</v>
      </c>
      <c r="AH22" s="31">
        <v>0</v>
      </c>
      <c r="AI22" s="31">
        <v>0</v>
      </c>
      <c r="AJ22" s="31">
        <v>63000</v>
      </c>
      <c r="AK22" s="31">
        <v>70000</v>
      </c>
      <c r="AL22" s="31">
        <v>0</v>
      </c>
      <c r="AM22" s="56">
        <v>70000</v>
      </c>
      <c r="AN22" s="31">
        <v>63000</v>
      </c>
      <c r="AO22" s="31" t="s">
        <v>1568</v>
      </c>
      <c r="AP22" s="23" t="s">
        <v>187</v>
      </c>
      <c r="AQ22" s="23" t="s">
        <v>1284</v>
      </c>
    </row>
    <row r="23" spans="1:43">
      <c r="A23" s="34">
        <v>20</v>
      </c>
      <c r="B23" s="34">
        <v>101</v>
      </c>
      <c r="C23" s="568" t="str">
        <f t="shared" si="0"/>
        <v>西池袋駅前ビル</v>
      </c>
      <c r="D23" s="45" t="s">
        <v>1609</v>
      </c>
      <c r="E23" s="46">
        <v>16.77</v>
      </c>
      <c r="F23" s="324">
        <v>631</v>
      </c>
      <c r="G23" s="566" t="str">
        <f t="shared" si="1"/>
        <v>住居</v>
      </c>
      <c r="H23" s="44" t="s">
        <v>1567</v>
      </c>
      <c r="I23" s="325">
        <v>69000</v>
      </c>
      <c r="J23" s="325">
        <v>3000</v>
      </c>
      <c r="K23" s="325">
        <v>0</v>
      </c>
      <c r="L23" s="325">
        <v>0</v>
      </c>
      <c r="M23" s="565">
        <f t="shared" si="8"/>
        <v>72000</v>
      </c>
      <c r="N23" s="326">
        <v>72000</v>
      </c>
      <c r="O23" s="326">
        <v>0</v>
      </c>
      <c r="P23" s="565">
        <f t="shared" si="2"/>
        <v>72000</v>
      </c>
      <c r="Q23" s="565">
        <f t="shared" si="9"/>
        <v>72000</v>
      </c>
      <c r="R23" s="325" t="s">
        <v>1568</v>
      </c>
      <c r="S23" s="325" t="s">
        <v>187</v>
      </c>
      <c r="T23" s="327" t="s">
        <v>1284</v>
      </c>
      <c r="V23" s="43" t="s">
        <v>1610</v>
      </c>
      <c r="W23" s="221">
        <v>65000</v>
      </c>
      <c r="Y23" s="6">
        <f t="shared" si="3"/>
        <v>1</v>
      </c>
      <c r="Z23" s="562">
        <f t="shared" si="4"/>
        <v>72000</v>
      </c>
      <c r="AA23" s="122">
        <f t="shared" si="5"/>
        <v>0</v>
      </c>
      <c r="AB23" s="122">
        <f t="shared" si="6"/>
        <v>7000</v>
      </c>
      <c r="AC23" s="6">
        <f t="shared" si="7"/>
        <v>1</v>
      </c>
      <c r="AD23" s="563">
        <f t="shared" si="10"/>
        <v>1</v>
      </c>
      <c r="AE23" s="64"/>
      <c r="AF23" s="31">
        <v>69000</v>
      </c>
      <c r="AG23" s="31">
        <v>3000</v>
      </c>
      <c r="AH23" s="31">
        <v>0</v>
      </c>
      <c r="AI23" s="31">
        <v>0</v>
      </c>
      <c r="AJ23" s="31">
        <v>72000</v>
      </c>
      <c r="AK23" s="31">
        <v>72000</v>
      </c>
      <c r="AL23" s="31">
        <v>0</v>
      </c>
      <c r="AM23" s="56">
        <v>72000</v>
      </c>
      <c r="AN23" s="31">
        <v>72000</v>
      </c>
      <c r="AO23" s="31" t="s">
        <v>1568</v>
      </c>
      <c r="AP23" s="23" t="s">
        <v>187</v>
      </c>
      <c r="AQ23" s="23" t="s">
        <v>1284</v>
      </c>
    </row>
    <row r="24" spans="1:43">
      <c r="A24" s="34">
        <v>21</v>
      </c>
      <c r="B24" s="34">
        <v>101</v>
      </c>
      <c r="C24" s="568" t="str">
        <f t="shared" si="0"/>
        <v>西池袋駅前ビル</v>
      </c>
      <c r="D24" s="45" t="s">
        <v>1611</v>
      </c>
      <c r="E24" s="46">
        <v>16.53</v>
      </c>
      <c r="F24" s="324">
        <v>631</v>
      </c>
      <c r="G24" s="566" t="str">
        <f t="shared" si="1"/>
        <v>住居</v>
      </c>
      <c r="H24" s="44" t="s">
        <v>1567</v>
      </c>
      <c r="I24" s="325">
        <v>62000</v>
      </c>
      <c r="J24" s="325">
        <v>3000</v>
      </c>
      <c r="K24" s="325">
        <v>0</v>
      </c>
      <c r="L24" s="325">
        <v>0</v>
      </c>
      <c r="M24" s="565">
        <f t="shared" si="8"/>
        <v>65000</v>
      </c>
      <c r="N24" s="326">
        <v>70000</v>
      </c>
      <c r="O24" s="326">
        <v>0</v>
      </c>
      <c r="P24" s="565">
        <f t="shared" si="2"/>
        <v>70000</v>
      </c>
      <c r="Q24" s="565">
        <f t="shared" si="9"/>
        <v>65000</v>
      </c>
      <c r="R24" s="325" t="s">
        <v>1568</v>
      </c>
      <c r="S24" s="325" t="s">
        <v>187</v>
      </c>
      <c r="T24" s="327" t="s">
        <v>1284</v>
      </c>
      <c r="V24" s="43" t="s">
        <v>1612</v>
      </c>
      <c r="W24" s="221">
        <v>70000</v>
      </c>
      <c r="Y24" s="6">
        <f t="shared" si="3"/>
        <v>1</v>
      </c>
      <c r="Z24" s="562">
        <f t="shared" si="4"/>
        <v>65000</v>
      </c>
      <c r="AA24" s="122">
        <f t="shared" si="5"/>
        <v>5000</v>
      </c>
      <c r="AB24" s="122">
        <f t="shared" si="6"/>
        <v>-5000</v>
      </c>
      <c r="AC24" s="6">
        <f t="shared" si="7"/>
        <v>1</v>
      </c>
      <c r="AD24" s="563">
        <f t="shared" si="10"/>
        <v>1</v>
      </c>
      <c r="AE24" s="64"/>
      <c r="AF24" s="31">
        <v>62000</v>
      </c>
      <c r="AG24" s="31">
        <v>3000</v>
      </c>
      <c r="AH24" s="31">
        <v>0</v>
      </c>
      <c r="AI24" s="31">
        <v>0</v>
      </c>
      <c r="AJ24" s="31">
        <v>65000</v>
      </c>
      <c r="AK24" s="31">
        <v>70000</v>
      </c>
      <c r="AL24" s="31">
        <v>0</v>
      </c>
      <c r="AM24" s="56">
        <v>70000</v>
      </c>
      <c r="AN24" s="31">
        <v>65000</v>
      </c>
      <c r="AO24" s="31" t="s">
        <v>1568</v>
      </c>
      <c r="AP24" s="23" t="s">
        <v>187</v>
      </c>
      <c r="AQ24" s="23" t="s">
        <v>1284</v>
      </c>
    </row>
    <row r="25" spans="1:43">
      <c r="A25" s="34">
        <v>22</v>
      </c>
      <c r="B25" s="34">
        <v>101</v>
      </c>
      <c r="C25" s="568" t="str">
        <f t="shared" si="0"/>
        <v>西池袋駅前ビル</v>
      </c>
      <c r="D25" s="45" t="s">
        <v>1613</v>
      </c>
      <c r="E25" s="46">
        <v>17.829999999999998</v>
      </c>
      <c r="F25" s="324">
        <v>631</v>
      </c>
      <c r="G25" s="566" t="str">
        <f t="shared" si="1"/>
        <v>住居</v>
      </c>
      <c r="H25" s="44" t="s">
        <v>1567</v>
      </c>
      <c r="I25" s="325">
        <v>67000</v>
      </c>
      <c r="J25" s="325">
        <v>0</v>
      </c>
      <c r="K25" s="325">
        <v>0</v>
      </c>
      <c r="L25" s="325">
        <v>0</v>
      </c>
      <c r="M25" s="565">
        <f t="shared" si="8"/>
        <v>67000</v>
      </c>
      <c r="N25" s="326">
        <v>67000</v>
      </c>
      <c r="O25" s="326">
        <v>0</v>
      </c>
      <c r="P25" s="565">
        <f t="shared" si="2"/>
        <v>67000</v>
      </c>
      <c r="Q25" s="565">
        <f t="shared" si="9"/>
        <v>67000</v>
      </c>
      <c r="R25" s="325" t="s">
        <v>1568</v>
      </c>
      <c r="S25" s="325" t="s">
        <v>187</v>
      </c>
      <c r="T25" s="327" t="s">
        <v>1284</v>
      </c>
      <c r="V25" s="43" t="s">
        <v>1614</v>
      </c>
      <c r="W25" s="221">
        <v>67000</v>
      </c>
      <c r="Y25" s="6">
        <f t="shared" si="3"/>
        <v>1</v>
      </c>
      <c r="Z25" s="562">
        <f t="shared" si="4"/>
        <v>67000</v>
      </c>
      <c r="AA25" s="122">
        <f t="shared" si="5"/>
        <v>0</v>
      </c>
      <c r="AB25" s="122">
        <f t="shared" si="6"/>
        <v>0</v>
      </c>
      <c r="AC25" s="6">
        <f t="shared" si="7"/>
        <v>1</v>
      </c>
      <c r="AD25" s="563">
        <f t="shared" si="10"/>
        <v>1</v>
      </c>
      <c r="AE25" s="64"/>
      <c r="AF25" s="31">
        <v>67000</v>
      </c>
      <c r="AG25" s="31">
        <v>0</v>
      </c>
      <c r="AH25" s="31">
        <v>0</v>
      </c>
      <c r="AI25" s="31">
        <v>0</v>
      </c>
      <c r="AJ25" s="31">
        <v>67000</v>
      </c>
      <c r="AK25" s="31">
        <v>67000</v>
      </c>
      <c r="AL25" s="31">
        <v>0</v>
      </c>
      <c r="AM25" s="56">
        <v>67000</v>
      </c>
      <c r="AN25" s="31">
        <v>67000</v>
      </c>
      <c r="AO25" s="31" t="s">
        <v>1568</v>
      </c>
      <c r="AP25" s="23" t="s">
        <v>187</v>
      </c>
      <c r="AQ25" s="23" t="s">
        <v>1284</v>
      </c>
    </row>
    <row r="26" spans="1:43">
      <c r="A26" s="34">
        <v>23</v>
      </c>
      <c r="B26" s="34">
        <v>101</v>
      </c>
      <c r="C26" s="568" t="str">
        <f t="shared" si="0"/>
        <v>西池袋駅前ビル</v>
      </c>
      <c r="D26" s="45" t="s">
        <v>1615</v>
      </c>
      <c r="E26" s="46">
        <v>104.58</v>
      </c>
      <c r="F26" s="324">
        <v>632</v>
      </c>
      <c r="G26" s="566" t="str">
        <f t="shared" si="1"/>
        <v>事務所</v>
      </c>
      <c r="H26" s="44" t="s">
        <v>1616</v>
      </c>
      <c r="I26" s="325">
        <v>275000</v>
      </c>
      <c r="J26" s="325">
        <v>0</v>
      </c>
      <c r="K26" s="325">
        <v>0</v>
      </c>
      <c r="L26" s="325">
        <v>27500</v>
      </c>
      <c r="M26" s="565">
        <f t="shared" si="8"/>
        <v>302500</v>
      </c>
      <c r="N26" s="326">
        <v>275000</v>
      </c>
      <c r="O26" s="326">
        <v>27500</v>
      </c>
      <c r="P26" s="565">
        <f t="shared" si="2"/>
        <v>302500</v>
      </c>
      <c r="Q26" s="565">
        <f t="shared" si="9"/>
        <v>302500</v>
      </c>
      <c r="R26" s="325" t="s">
        <v>1575</v>
      </c>
      <c r="S26" s="325" t="s">
        <v>187</v>
      </c>
      <c r="T26" s="327" t="s">
        <v>1284</v>
      </c>
      <c r="V26" s="43" t="s">
        <v>1617</v>
      </c>
      <c r="W26" s="221">
        <v>250000</v>
      </c>
      <c r="Y26" s="6">
        <f t="shared" si="3"/>
        <v>1</v>
      </c>
      <c r="Z26" s="562">
        <f t="shared" si="4"/>
        <v>275000</v>
      </c>
      <c r="AA26" s="122">
        <f t="shared" si="5"/>
        <v>0</v>
      </c>
      <c r="AB26" s="122">
        <f t="shared" si="6"/>
        <v>25000</v>
      </c>
      <c r="AC26" s="6">
        <f t="shared" si="7"/>
        <v>1</v>
      </c>
      <c r="AD26" s="563">
        <f t="shared" si="10"/>
        <v>1</v>
      </c>
      <c r="AE26" s="64"/>
      <c r="AF26" s="31">
        <v>275000</v>
      </c>
      <c r="AG26" s="31">
        <v>0</v>
      </c>
      <c r="AH26" s="31">
        <v>0</v>
      </c>
      <c r="AI26" s="31">
        <v>27500</v>
      </c>
      <c r="AJ26" s="31">
        <v>302500</v>
      </c>
      <c r="AK26" s="31">
        <v>275000</v>
      </c>
      <c r="AL26" s="31">
        <v>27500</v>
      </c>
      <c r="AM26" s="56">
        <v>302500</v>
      </c>
      <c r="AN26" s="31">
        <v>302500</v>
      </c>
      <c r="AO26" s="31" t="s">
        <v>1575</v>
      </c>
      <c r="AP26" s="23" t="s">
        <v>187</v>
      </c>
      <c r="AQ26" s="23" t="s">
        <v>1284</v>
      </c>
    </row>
    <row r="27" spans="1:43">
      <c r="A27" s="34">
        <v>24</v>
      </c>
      <c r="B27" s="34">
        <v>101</v>
      </c>
      <c r="C27" s="568" t="str">
        <f t="shared" si="0"/>
        <v>西池袋駅前ビル</v>
      </c>
      <c r="D27" s="45" t="s">
        <v>1618</v>
      </c>
      <c r="E27" s="46">
        <v>0</v>
      </c>
      <c r="F27" s="324">
        <v>635</v>
      </c>
      <c r="G27" s="566" t="str">
        <f t="shared" si="1"/>
        <v>アンテナ</v>
      </c>
      <c r="H27" s="44" t="s">
        <v>729</v>
      </c>
      <c r="I27" s="325">
        <v>90000</v>
      </c>
      <c r="J27" s="325">
        <v>0</v>
      </c>
      <c r="K27" s="325">
        <v>0</v>
      </c>
      <c r="L27" s="325">
        <v>9000</v>
      </c>
      <c r="M27" s="565">
        <f t="shared" si="8"/>
        <v>99000</v>
      </c>
      <c r="N27" s="326">
        <v>90000</v>
      </c>
      <c r="O27" s="326">
        <v>9000</v>
      </c>
      <c r="P27" s="565">
        <f t="shared" si="2"/>
        <v>99000</v>
      </c>
      <c r="Q27" s="565">
        <f t="shared" si="9"/>
        <v>99000</v>
      </c>
      <c r="R27" s="325" t="s">
        <v>1017</v>
      </c>
      <c r="S27" s="325" t="s">
        <v>187</v>
      </c>
      <c r="T27" s="327" t="s">
        <v>1619</v>
      </c>
      <c r="V27" s="43" t="s">
        <v>1620</v>
      </c>
      <c r="W27" s="221">
        <v>0</v>
      </c>
      <c r="Y27" s="6">
        <f t="shared" si="3"/>
        <v>1</v>
      </c>
      <c r="Z27" s="562">
        <f t="shared" si="4"/>
        <v>90000</v>
      </c>
      <c r="AA27" s="122">
        <f t="shared" si="5"/>
        <v>0</v>
      </c>
      <c r="AB27" s="122">
        <f t="shared" si="6"/>
        <v>90000</v>
      </c>
      <c r="AC27" s="6">
        <f t="shared" si="7"/>
        <v>1</v>
      </c>
      <c r="AD27" s="563">
        <f t="shared" si="10"/>
        <v>1</v>
      </c>
      <c r="AE27" s="64"/>
      <c r="AF27" s="31">
        <v>90000</v>
      </c>
      <c r="AG27" s="31">
        <v>0</v>
      </c>
      <c r="AH27" s="31">
        <v>0</v>
      </c>
      <c r="AI27" s="31">
        <v>9000</v>
      </c>
      <c r="AJ27" s="31">
        <v>99000</v>
      </c>
      <c r="AK27" s="31">
        <v>90000</v>
      </c>
      <c r="AL27" s="31">
        <v>9000</v>
      </c>
      <c r="AM27" s="56">
        <v>99000</v>
      </c>
      <c r="AN27" s="31">
        <v>99000</v>
      </c>
      <c r="AO27" s="31" t="s">
        <v>1017</v>
      </c>
      <c r="AP27" s="23" t="s">
        <v>187</v>
      </c>
      <c r="AQ27" s="23" t="s">
        <v>1621</v>
      </c>
    </row>
    <row r="28" spans="1:43">
      <c r="A28" s="34">
        <v>25</v>
      </c>
      <c r="B28" s="34">
        <v>101</v>
      </c>
      <c r="C28" s="568" t="str">
        <f t="shared" si="0"/>
        <v>西池袋駅前ビル</v>
      </c>
      <c r="D28" s="45" t="s">
        <v>1622</v>
      </c>
      <c r="E28" s="46" t="s">
        <v>1017</v>
      </c>
      <c r="F28" s="324">
        <v>639</v>
      </c>
      <c r="G28" s="566" t="str">
        <f t="shared" si="1"/>
        <v>その他</v>
      </c>
      <c r="H28" s="44" t="s">
        <v>729</v>
      </c>
      <c r="I28" s="325">
        <v>0</v>
      </c>
      <c r="J28" s="325">
        <v>0</v>
      </c>
      <c r="K28" s="325">
        <v>0</v>
      </c>
      <c r="L28" s="325">
        <v>0</v>
      </c>
      <c r="M28" s="565">
        <f t="shared" si="8"/>
        <v>0</v>
      </c>
      <c r="N28" s="326">
        <v>0</v>
      </c>
      <c r="O28" s="326">
        <v>0</v>
      </c>
      <c r="P28" s="565">
        <f t="shared" si="2"/>
        <v>0</v>
      </c>
      <c r="Q28" s="565">
        <f t="shared" si="9"/>
        <v>0</v>
      </c>
      <c r="R28" s="325" t="s">
        <v>1017</v>
      </c>
      <c r="S28" s="325" t="s">
        <v>283</v>
      </c>
      <c r="T28" s="327" t="s">
        <v>1623</v>
      </c>
      <c r="V28" s="43" t="s">
        <v>1624</v>
      </c>
      <c r="W28" s="221">
        <v>0</v>
      </c>
      <c r="Y28" s="6">
        <f t="shared" si="3"/>
        <v>0</v>
      </c>
      <c r="Z28" s="562">
        <f t="shared" si="4"/>
        <v>0</v>
      </c>
      <c r="AA28" s="122">
        <f t="shared" si="5"/>
        <v>0</v>
      </c>
      <c r="AB28" s="122">
        <f t="shared" si="6"/>
        <v>0</v>
      </c>
      <c r="AC28" s="6">
        <f t="shared" si="7"/>
        <v>0</v>
      </c>
      <c r="AD28" s="563">
        <f t="shared" si="10"/>
        <v>1</v>
      </c>
      <c r="AE28" s="64"/>
      <c r="AF28" s="31">
        <v>0</v>
      </c>
      <c r="AG28" s="31">
        <v>0</v>
      </c>
      <c r="AH28" s="31">
        <v>0</v>
      </c>
      <c r="AI28" s="31">
        <v>0</v>
      </c>
      <c r="AJ28" s="31">
        <v>0</v>
      </c>
      <c r="AK28" s="31">
        <v>0</v>
      </c>
      <c r="AL28" s="31">
        <v>0</v>
      </c>
      <c r="AM28" s="56">
        <v>0</v>
      </c>
      <c r="AN28" s="31">
        <v>0</v>
      </c>
      <c r="AO28" s="31" t="s">
        <v>1017</v>
      </c>
      <c r="AP28" s="23" t="s">
        <v>283</v>
      </c>
      <c r="AQ28" s="23" t="s">
        <v>1623</v>
      </c>
    </row>
    <row r="29" spans="1:43">
      <c r="A29" s="35">
        <v>26</v>
      </c>
      <c r="B29" s="35">
        <v>102</v>
      </c>
      <c r="C29" s="569" t="str">
        <f t="shared" si="0"/>
        <v>池袋ハウス</v>
      </c>
      <c r="D29" s="45" t="s">
        <v>1566</v>
      </c>
      <c r="E29" s="46">
        <v>23.95</v>
      </c>
      <c r="F29" s="324">
        <v>631</v>
      </c>
      <c r="G29" s="566" t="str">
        <f t="shared" si="1"/>
        <v>住居</v>
      </c>
      <c r="H29" s="44" t="s">
        <v>1567</v>
      </c>
      <c r="I29" s="325">
        <v>73000</v>
      </c>
      <c r="J29" s="325">
        <v>7000</v>
      </c>
      <c r="K29" s="325">
        <v>0</v>
      </c>
      <c r="L29" s="325">
        <v>0</v>
      </c>
      <c r="M29" s="565">
        <f t="shared" si="8"/>
        <v>80000</v>
      </c>
      <c r="N29" s="326">
        <v>80000</v>
      </c>
      <c r="O29" s="326">
        <v>0</v>
      </c>
      <c r="P29" s="565">
        <f t="shared" si="2"/>
        <v>80000</v>
      </c>
      <c r="Q29" s="565">
        <f t="shared" si="9"/>
        <v>80000</v>
      </c>
      <c r="R29" s="325" t="s">
        <v>1568</v>
      </c>
      <c r="S29" s="325" t="s">
        <v>187</v>
      </c>
      <c r="T29" s="327" t="s">
        <v>1284</v>
      </c>
      <c r="V29" s="43" t="s">
        <v>1625</v>
      </c>
      <c r="W29" s="221">
        <v>63000</v>
      </c>
      <c r="Y29" s="6">
        <f t="shared" si="3"/>
        <v>1</v>
      </c>
      <c r="Z29" s="562">
        <f t="shared" si="4"/>
        <v>80000</v>
      </c>
      <c r="AA29" s="122">
        <f t="shared" si="5"/>
        <v>0</v>
      </c>
      <c r="AB29" s="122">
        <f t="shared" si="6"/>
        <v>17000</v>
      </c>
      <c r="AC29" s="6">
        <f t="shared" si="7"/>
        <v>1</v>
      </c>
      <c r="AD29" s="563">
        <f t="shared" si="10"/>
        <v>1</v>
      </c>
      <c r="AE29" s="64"/>
      <c r="AF29" s="31">
        <v>73000</v>
      </c>
      <c r="AG29" s="31">
        <v>7000</v>
      </c>
      <c r="AH29" s="31">
        <v>0</v>
      </c>
      <c r="AI29" s="31">
        <v>0</v>
      </c>
      <c r="AJ29" s="31">
        <v>80000</v>
      </c>
      <c r="AK29" s="31">
        <v>80000</v>
      </c>
      <c r="AL29" s="31">
        <v>0</v>
      </c>
      <c r="AM29" s="56">
        <v>80000</v>
      </c>
      <c r="AN29" s="31">
        <v>80000</v>
      </c>
      <c r="AO29" s="31" t="s">
        <v>1568</v>
      </c>
      <c r="AP29" s="23" t="s">
        <v>187</v>
      </c>
      <c r="AQ29" s="23" t="s">
        <v>1284</v>
      </c>
    </row>
    <row r="30" spans="1:43">
      <c r="A30" s="35">
        <v>27</v>
      </c>
      <c r="B30" s="35">
        <v>102</v>
      </c>
      <c r="C30" s="569" t="str">
        <f t="shared" si="0"/>
        <v>池袋ハウス</v>
      </c>
      <c r="D30" s="45" t="s">
        <v>1570</v>
      </c>
      <c r="E30" s="46">
        <v>20.079999999999998</v>
      </c>
      <c r="F30" s="324">
        <v>631</v>
      </c>
      <c r="G30" s="566" t="str">
        <f t="shared" si="1"/>
        <v>住居</v>
      </c>
      <c r="H30" s="44" t="s">
        <v>1567</v>
      </c>
      <c r="I30" s="325">
        <v>55000</v>
      </c>
      <c r="J30" s="325">
        <v>7000</v>
      </c>
      <c r="K30" s="325">
        <v>0</v>
      </c>
      <c r="L30" s="325">
        <v>0</v>
      </c>
      <c r="M30" s="565">
        <f t="shared" si="8"/>
        <v>62000</v>
      </c>
      <c r="N30" s="326">
        <v>62000</v>
      </c>
      <c r="O30" s="326">
        <v>0</v>
      </c>
      <c r="P30" s="565">
        <f t="shared" si="2"/>
        <v>62000</v>
      </c>
      <c r="Q30" s="565">
        <f t="shared" si="9"/>
        <v>62000</v>
      </c>
      <c r="R30" s="325" t="s">
        <v>1568</v>
      </c>
      <c r="S30" s="325" t="s">
        <v>187</v>
      </c>
      <c r="T30" s="327" t="s">
        <v>1284</v>
      </c>
      <c r="V30" s="43" t="s">
        <v>1626</v>
      </c>
      <c r="W30" s="221">
        <v>62000</v>
      </c>
      <c r="Y30" s="6">
        <f t="shared" si="3"/>
        <v>1</v>
      </c>
      <c r="Z30" s="562">
        <f t="shared" si="4"/>
        <v>62000</v>
      </c>
      <c r="AA30" s="122">
        <f t="shared" si="5"/>
        <v>0</v>
      </c>
      <c r="AB30" s="122">
        <f t="shared" si="6"/>
        <v>0</v>
      </c>
      <c r="AC30" s="6">
        <f t="shared" si="7"/>
        <v>1</v>
      </c>
      <c r="AD30" s="563">
        <f t="shared" si="10"/>
        <v>1</v>
      </c>
      <c r="AE30" s="64"/>
      <c r="AF30" s="31">
        <v>55000</v>
      </c>
      <c r="AG30" s="31">
        <v>7000</v>
      </c>
      <c r="AH30" s="31">
        <v>0</v>
      </c>
      <c r="AI30" s="31">
        <v>0</v>
      </c>
      <c r="AJ30" s="31">
        <v>62000</v>
      </c>
      <c r="AK30" s="31">
        <v>62000</v>
      </c>
      <c r="AL30" s="31">
        <v>0</v>
      </c>
      <c r="AM30" s="56">
        <v>62000</v>
      </c>
      <c r="AN30" s="31">
        <v>62000</v>
      </c>
      <c r="AO30" s="31" t="s">
        <v>1568</v>
      </c>
      <c r="AP30" s="23" t="s">
        <v>187</v>
      </c>
      <c r="AQ30" s="23" t="s">
        <v>1284</v>
      </c>
    </row>
    <row r="31" spans="1:43">
      <c r="A31" s="35">
        <v>28</v>
      </c>
      <c r="B31" s="35">
        <v>102</v>
      </c>
      <c r="C31" s="569" t="str">
        <f t="shared" si="0"/>
        <v>池袋ハウス</v>
      </c>
      <c r="D31" s="45" t="s">
        <v>1572</v>
      </c>
      <c r="E31" s="46">
        <v>23.25</v>
      </c>
      <c r="F31" s="324">
        <v>631</v>
      </c>
      <c r="G31" s="566" t="str">
        <f t="shared" si="1"/>
        <v>住居</v>
      </c>
      <c r="H31" s="44" t="s">
        <v>1567</v>
      </c>
      <c r="I31" s="325">
        <v>70000</v>
      </c>
      <c r="J31" s="325">
        <v>7000</v>
      </c>
      <c r="K31" s="325">
        <v>0</v>
      </c>
      <c r="L31" s="325">
        <v>0</v>
      </c>
      <c r="M31" s="565">
        <f t="shared" si="8"/>
        <v>77000</v>
      </c>
      <c r="N31" s="326">
        <v>77000</v>
      </c>
      <c r="O31" s="326">
        <v>0</v>
      </c>
      <c r="P31" s="565">
        <f t="shared" si="2"/>
        <v>77000</v>
      </c>
      <c r="Q31" s="565">
        <f t="shared" si="9"/>
        <v>77000</v>
      </c>
      <c r="R31" s="325" t="s">
        <v>1578</v>
      </c>
      <c r="S31" s="325" t="s">
        <v>187</v>
      </c>
      <c r="T31" s="327" t="s">
        <v>1284</v>
      </c>
      <c r="V31" s="43" t="s">
        <v>1627</v>
      </c>
      <c r="W31" s="221">
        <v>68000</v>
      </c>
      <c r="Y31" s="6">
        <f t="shared" si="3"/>
        <v>1</v>
      </c>
      <c r="Z31" s="562">
        <f t="shared" si="4"/>
        <v>77000</v>
      </c>
      <c r="AA31" s="122">
        <f t="shared" si="5"/>
        <v>0</v>
      </c>
      <c r="AB31" s="122">
        <f t="shared" si="6"/>
        <v>9000</v>
      </c>
      <c r="AC31" s="6">
        <f t="shared" si="7"/>
        <v>1</v>
      </c>
      <c r="AD31" s="563">
        <f t="shared" si="10"/>
        <v>1</v>
      </c>
      <c r="AE31" s="64"/>
      <c r="AF31" s="31">
        <v>70000</v>
      </c>
      <c r="AG31" s="31">
        <v>7000</v>
      </c>
      <c r="AH31" s="31">
        <v>0</v>
      </c>
      <c r="AI31" s="31">
        <v>0</v>
      </c>
      <c r="AJ31" s="31">
        <v>77000</v>
      </c>
      <c r="AK31" s="31">
        <v>77000</v>
      </c>
      <c r="AL31" s="31">
        <v>0</v>
      </c>
      <c r="AM31" s="56">
        <v>77000</v>
      </c>
      <c r="AN31" s="31">
        <v>77000</v>
      </c>
      <c r="AO31" s="31" t="s">
        <v>1578</v>
      </c>
      <c r="AP31" s="23" t="s">
        <v>187</v>
      </c>
      <c r="AQ31" s="23" t="s">
        <v>1284</v>
      </c>
    </row>
    <row r="32" spans="1:43">
      <c r="A32" s="35">
        <v>29</v>
      </c>
      <c r="B32" s="35">
        <v>102</v>
      </c>
      <c r="C32" s="569" t="str">
        <f t="shared" si="0"/>
        <v>池袋ハウス</v>
      </c>
      <c r="D32" s="45" t="s">
        <v>1574</v>
      </c>
      <c r="E32" s="46">
        <v>23.25</v>
      </c>
      <c r="F32" s="324">
        <v>631</v>
      </c>
      <c r="G32" s="566" t="str">
        <f t="shared" si="1"/>
        <v>住居</v>
      </c>
      <c r="H32" s="44" t="s">
        <v>1567</v>
      </c>
      <c r="I32" s="325">
        <v>72000</v>
      </c>
      <c r="J32" s="325">
        <v>7000</v>
      </c>
      <c r="K32" s="325">
        <v>0</v>
      </c>
      <c r="L32" s="325">
        <v>0</v>
      </c>
      <c r="M32" s="565">
        <f t="shared" si="8"/>
        <v>79000</v>
      </c>
      <c r="N32" s="326">
        <v>79000</v>
      </c>
      <c r="O32" s="326">
        <v>0</v>
      </c>
      <c r="P32" s="565">
        <f t="shared" si="2"/>
        <v>79000</v>
      </c>
      <c r="Q32" s="565">
        <f t="shared" si="9"/>
        <v>79000</v>
      </c>
      <c r="R32" s="325" t="s">
        <v>1578</v>
      </c>
      <c r="S32" s="325" t="s">
        <v>187</v>
      </c>
      <c r="T32" s="327" t="s">
        <v>1284</v>
      </c>
      <c r="V32" s="43" t="s">
        <v>1628</v>
      </c>
      <c r="W32" s="221">
        <v>67000</v>
      </c>
      <c r="Y32" s="6">
        <f t="shared" si="3"/>
        <v>1</v>
      </c>
      <c r="Z32" s="562">
        <f t="shared" si="4"/>
        <v>79000</v>
      </c>
      <c r="AA32" s="122">
        <f t="shared" si="5"/>
        <v>0</v>
      </c>
      <c r="AB32" s="122">
        <f t="shared" si="6"/>
        <v>12000</v>
      </c>
      <c r="AC32" s="6">
        <f t="shared" si="7"/>
        <v>1</v>
      </c>
      <c r="AD32" s="563">
        <f t="shared" si="10"/>
        <v>1</v>
      </c>
      <c r="AE32" s="64"/>
      <c r="AF32" s="31">
        <v>72000</v>
      </c>
      <c r="AG32" s="31">
        <v>7000</v>
      </c>
      <c r="AH32" s="31">
        <v>0</v>
      </c>
      <c r="AI32" s="31">
        <v>0</v>
      </c>
      <c r="AJ32" s="31">
        <v>79000</v>
      </c>
      <c r="AK32" s="31">
        <v>79000</v>
      </c>
      <c r="AL32" s="31">
        <v>0</v>
      </c>
      <c r="AM32" s="56">
        <v>79000</v>
      </c>
      <c r="AN32" s="31">
        <v>79000</v>
      </c>
      <c r="AO32" s="31" t="s">
        <v>1578</v>
      </c>
      <c r="AP32" s="23" t="s">
        <v>187</v>
      </c>
      <c r="AQ32" s="23" t="s">
        <v>1284</v>
      </c>
    </row>
    <row r="33" spans="1:43">
      <c r="A33" s="35">
        <v>30</v>
      </c>
      <c r="B33" s="35">
        <v>102</v>
      </c>
      <c r="C33" s="569" t="str">
        <f t="shared" si="0"/>
        <v>池袋ハウス</v>
      </c>
      <c r="D33" s="45" t="s">
        <v>1577</v>
      </c>
      <c r="E33" s="46">
        <v>27.3</v>
      </c>
      <c r="F33" s="324">
        <v>631</v>
      </c>
      <c r="G33" s="566" t="str">
        <f t="shared" si="1"/>
        <v>住居</v>
      </c>
      <c r="H33" s="44" t="s">
        <v>1567</v>
      </c>
      <c r="I33" s="325">
        <v>73000</v>
      </c>
      <c r="J33" s="325">
        <v>7000</v>
      </c>
      <c r="K33" s="325">
        <v>0</v>
      </c>
      <c r="L33" s="325">
        <v>0</v>
      </c>
      <c r="M33" s="565">
        <f t="shared" si="8"/>
        <v>80000</v>
      </c>
      <c r="N33" s="326">
        <v>80000</v>
      </c>
      <c r="O33" s="326">
        <v>0</v>
      </c>
      <c r="P33" s="565">
        <f t="shared" si="2"/>
        <v>80000</v>
      </c>
      <c r="Q33" s="565">
        <f t="shared" si="9"/>
        <v>80000</v>
      </c>
      <c r="R33" s="325" t="s">
        <v>1578</v>
      </c>
      <c r="S33" s="325" t="s">
        <v>187</v>
      </c>
      <c r="T33" s="327" t="s">
        <v>1284</v>
      </c>
      <c r="V33" s="43" t="s">
        <v>1629</v>
      </c>
      <c r="W33" s="221">
        <v>75000</v>
      </c>
      <c r="Y33" s="6">
        <f t="shared" si="3"/>
        <v>1</v>
      </c>
      <c r="Z33" s="562">
        <f t="shared" si="4"/>
        <v>80000</v>
      </c>
      <c r="AA33" s="122">
        <f t="shared" si="5"/>
        <v>0</v>
      </c>
      <c r="AB33" s="122">
        <f t="shared" si="6"/>
        <v>5000</v>
      </c>
      <c r="AC33" s="6">
        <f t="shared" si="7"/>
        <v>1</v>
      </c>
      <c r="AD33" s="563">
        <f t="shared" si="10"/>
        <v>1</v>
      </c>
      <c r="AE33" s="64"/>
      <c r="AF33" s="31">
        <v>73000</v>
      </c>
      <c r="AG33" s="31">
        <v>7000</v>
      </c>
      <c r="AH33" s="31">
        <v>0</v>
      </c>
      <c r="AI33" s="31">
        <v>0</v>
      </c>
      <c r="AJ33" s="31">
        <v>80000</v>
      </c>
      <c r="AK33" s="31">
        <v>80000</v>
      </c>
      <c r="AL33" s="31">
        <v>0</v>
      </c>
      <c r="AM33" s="56">
        <v>80000</v>
      </c>
      <c r="AN33" s="31">
        <v>80000</v>
      </c>
      <c r="AO33" s="31" t="s">
        <v>1578</v>
      </c>
      <c r="AP33" s="23" t="s">
        <v>187</v>
      </c>
      <c r="AQ33" s="23" t="s">
        <v>1284</v>
      </c>
    </row>
    <row r="34" spans="1:43">
      <c r="A34" s="35">
        <v>31</v>
      </c>
      <c r="B34" s="35">
        <v>102</v>
      </c>
      <c r="C34" s="569" t="str">
        <f t="shared" si="0"/>
        <v>池袋ハウス</v>
      </c>
      <c r="D34" s="45" t="s">
        <v>1630</v>
      </c>
      <c r="E34" s="46">
        <v>27.3</v>
      </c>
      <c r="F34" s="324">
        <v>631</v>
      </c>
      <c r="G34" s="566" t="str">
        <f t="shared" si="1"/>
        <v>住居</v>
      </c>
      <c r="H34" s="44" t="s">
        <v>1567</v>
      </c>
      <c r="I34" s="325">
        <v>78000</v>
      </c>
      <c r="J34" s="325">
        <v>7000</v>
      </c>
      <c r="K34" s="325">
        <v>0</v>
      </c>
      <c r="L34" s="325">
        <v>0</v>
      </c>
      <c r="M34" s="565">
        <f t="shared" si="8"/>
        <v>85000</v>
      </c>
      <c r="N34" s="326">
        <v>85000</v>
      </c>
      <c r="O34" s="326">
        <v>0</v>
      </c>
      <c r="P34" s="565">
        <f t="shared" si="2"/>
        <v>85000</v>
      </c>
      <c r="Q34" s="565">
        <f t="shared" si="9"/>
        <v>85000</v>
      </c>
      <c r="R34" s="325" t="s">
        <v>1568</v>
      </c>
      <c r="S34" s="325" t="s">
        <v>187</v>
      </c>
      <c r="T34" s="327" t="s">
        <v>1284</v>
      </c>
      <c r="V34" s="43" t="s">
        <v>1631</v>
      </c>
      <c r="W34" s="221">
        <v>70000</v>
      </c>
      <c r="Y34" s="6">
        <f t="shared" si="3"/>
        <v>1</v>
      </c>
      <c r="Z34" s="562">
        <f t="shared" si="4"/>
        <v>85000</v>
      </c>
      <c r="AA34" s="122">
        <f t="shared" si="5"/>
        <v>0</v>
      </c>
      <c r="AB34" s="122">
        <f t="shared" si="6"/>
        <v>15000</v>
      </c>
      <c r="AC34" s="6">
        <f t="shared" si="7"/>
        <v>1</v>
      </c>
      <c r="AD34" s="563">
        <f t="shared" si="10"/>
        <v>1</v>
      </c>
      <c r="AE34" s="64"/>
      <c r="AF34" s="31">
        <v>78000</v>
      </c>
      <c r="AG34" s="31">
        <v>7000</v>
      </c>
      <c r="AH34" s="31">
        <v>0</v>
      </c>
      <c r="AI34" s="31">
        <v>0</v>
      </c>
      <c r="AJ34" s="31">
        <v>85000</v>
      </c>
      <c r="AK34" s="31">
        <v>85000</v>
      </c>
      <c r="AL34" s="31">
        <v>0</v>
      </c>
      <c r="AM34" s="56">
        <v>85000</v>
      </c>
      <c r="AN34" s="31">
        <v>85000</v>
      </c>
      <c r="AO34" s="31" t="s">
        <v>1568</v>
      </c>
      <c r="AP34" s="23" t="s">
        <v>187</v>
      </c>
      <c r="AQ34" s="23" t="s">
        <v>1284</v>
      </c>
    </row>
    <row r="35" spans="1:43">
      <c r="A35" s="35">
        <v>32</v>
      </c>
      <c r="B35" s="35">
        <v>102</v>
      </c>
      <c r="C35" s="569" t="str">
        <f t="shared" si="0"/>
        <v>池袋ハウス</v>
      </c>
      <c r="D35" s="45" t="s">
        <v>1632</v>
      </c>
      <c r="E35" s="46">
        <v>22.98</v>
      </c>
      <c r="F35" s="324">
        <v>631</v>
      </c>
      <c r="G35" s="566" t="str">
        <f t="shared" si="1"/>
        <v>住居</v>
      </c>
      <c r="H35" s="44" t="s">
        <v>1567</v>
      </c>
      <c r="I35" s="325">
        <v>68000</v>
      </c>
      <c r="J35" s="325">
        <v>7000</v>
      </c>
      <c r="K35" s="325">
        <v>0</v>
      </c>
      <c r="L35" s="325">
        <v>0</v>
      </c>
      <c r="M35" s="565">
        <f t="shared" si="8"/>
        <v>75000</v>
      </c>
      <c r="N35" s="326">
        <v>75000</v>
      </c>
      <c r="O35" s="326">
        <v>0</v>
      </c>
      <c r="P35" s="565">
        <f t="shared" si="2"/>
        <v>75000</v>
      </c>
      <c r="Q35" s="565">
        <f t="shared" si="9"/>
        <v>75000</v>
      </c>
      <c r="R35" s="325" t="s">
        <v>1568</v>
      </c>
      <c r="S35" s="325" t="s">
        <v>187</v>
      </c>
      <c r="T35" s="327" t="s">
        <v>1284</v>
      </c>
      <c r="V35" s="43" t="s">
        <v>1633</v>
      </c>
      <c r="W35" s="221">
        <v>64000</v>
      </c>
      <c r="Y35" s="6">
        <f t="shared" si="3"/>
        <v>1</v>
      </c>
      <c r="Z35" s="562">
        <f t="shared" si="4"/>
        <v>75000</v>
      </c>
      <c r="AA35" s="122">
        <f t="shared" si="5"/>
        <v>0</v>
      </c>
      <c r="AB35" s="122">
        <f t="shared" si="6"/>
        <v>11000</v>
      </c>
      <c r="AC35" s="6">
        <f t="shared" si="7"/>
        <v>1</v>
      </c>
      <c r="AD35" s="563">
        <f t="shared" si="10"/>
        <v>1</v>
      </c>
      <c r="AE35" s="64"/>
      <c r="AF35" s="31">
        <v>68000</v>
      </c>
      <c r="AG35" s="31">
        <v>7000</v>
      </c>
      <c r="AH35" s="31">
        <v>0</v>
      </c>
      <c r="AI35" s="31">
        <v>0</v>
      </c>
      <c r="AJ35" s="31">
        <v>75000</v>
      </c>
      <c r="AK35" s="31">
        <v>75000</v>
      </c>
      <c r="AL35" s="31">
        <v>0</v>
      </c>
      <c r="AM35" s="56">
        <v>75000</v>
      </c>
      <c r="AN35" s="31">
        <v>75000</v>
      </c>
      <c r="AO35" s="31" t="s">
        <v>1568</v>
      </c>
      <c r="AP35" s="23" t="s">
        <v>187</v>
      </c>
      <c r="AQ35" s="23" t="s">
        <v>1284</v>
      </c>
    </row>
    <row r="36" spans="1:43">
      <c r="A36" s="35">
        <v>33</v>
      </c>
      <c r="B36" s="35">
        <v>102</v>
      </c>
      <c r="C36" s="569" t="str">
        <f t="shared" si="0"/>
        <v>池袋ハウス</v>
      </c>
      <c r="D36" s="45" t="s">
        <v>1634</v>
      </c>
      <c r="E36" s="46">
        <v>22.98</v>
      </c>
      <c r="F36" s="324">
        <v>631</v>
      </c>
      <c r="G36" s="566" t="str">
        <f t="shared" si="1"/>
        <v>住居</v>
      </c>
      <c r="H36" s="44" t="s">
        <v>1567</v>
      </c>
      <c r="I36" s="325">
        <v>61000</v>
      </c>
      <c r="J36" s="325">
        <v>7000</v>
      </c>
      <c r="K36" s="325">
        <v>0</v>
      </c>
      <c r="L36" s="325">
        <v>0</v>
      </c>
      <c r="M36" s="565">
        <f t="shared" si="8"/>
        <v>68000</v>
      </c>
      <c r="N36" s="326">
        <v>76000</v>
      </c>
      <c r="O36" s="326">
        <v>0</v>
      </c>
      <c r="P36" s="565">
        <f t="shared" si="2"/>
        <v>76000</v>
      </c>
      <c r="Q36" s="565">
        <f t="shared" si="9"/>
        <v>68000</v>
      </c>
      <c r="R36" s="325" t="s">
        <v>1568</v>
      </c>
      <c r="S36" s="325" t="s">
        <v>187</v>
      </c>
      <c r="T36" s="327" t="s">
        <v>1284</v>
      </c>
      <c r="V36" s="43" t="s">
        <v>1635</v>
      </c>
      <c r="W36" s="221">
        <v>66000</v>
      </c>
      <c r="Y36" s="6">
        <f t="shared" si="3"/>
        <v>1</v>
      </c>
      <c r="Z36" s="562">
        <f t="shared" si="4"/>
        <v>68000</v>
      </c>
      <c r="AA36" s="122">
        <f t="shared" si="5"/>
        <v>8000</v>
      </c>
      <c r="AB36" s="122">
        <f t="shared" si="6"/>
        <v>2000</v>
      </c>
      <c r="AC36" s="6">
        <f t="shared" si="7"/>
        <v>1</v>
      </c>
      <c r="AD36" s="563">
        <f t="shared" si="10"/>
        <v>1</v>
      </c>
      <c r="AE36" s="64"/>
      <c r="AF36" s="31">
        <v>61000</v>
      </c>
      <c r="AG36" s="31">
        <v>7000</v>
      </c>
      <c r="AH36" s="31">
        <v>0</v>
      </c>
      <c r="AI36" s="31">
        <v>0</v>
      </c>
      <c r="AJ36" s="31">
        <v>68000</v>
      </c>
      <c r="AK36" s="31">
        <v>76000</v>
      </c>
      <c r="AL36" s="31">
        <v>0</v>
      </c>
      <c r="AM36" s="56">
        <v>76000</v>
      </c>
      <c r="AN36" s="31">
        <v>68000</v>
      </c>
      <c r="AO36" s="31" t="s">
        <v>1568</v>
      </c>
      <c r="AP36" s="23" t="s">
        <v>187</v>
      </c>
      <c r="AQ36" s="23" t="s">
        <v>1284</v>
      </c>
    </row>
    <row r="37" spans="1:43">
      <c r="A37" s="35">
        <v>34</v>
      </c>
      <c r="B37" s="35">
        <v>102</v>
      </c>
      <c r="C37" s="569" t="str">
        <f t="shared" si="0"/>
        <v>池袋ハウス</v>
      </c>
      <c r="D37" s="45" t="s">
        <v>1636</v>
      </c>
      <c r="E37" s="46">
        <v>23.27</v>
      </c>
      <c r="F37" s="324">
        <v>631</v>
      </c>
      <c r="G37" s="566" t="str">
        <f t="shared" si="1"/>
        <v>住居</v>
      </c>
      <c r="H37" s="44" t="s">
        <v>1567</v>
      </c>
      <c r="I37" s="325">
        <v>61000</v>
      </c>
      <c r="J37" s="325">
        <v>7000</v>
      </c>
      <c r="K37" s="325">
        <v>0</v>
      </c>
      <c r="L37" s="325">
        <v>0</v>
      </c>
      <c r="M37" s="565">
        <f t="shared" si="8"/>
        <v>68000</v>
      </c>
      <c r="N37" s="326">
        <v>68000</v>
      </c>
      <c r="O37" s="326">
        <v>0</v>
      </c>
      <c r="P37" s="565">
        <f t="shared" si="2"/>
        <v>68000</v>
      </c>
      <c r="Q37" s="565">
        <f t="shared" si="9"/>
        <v>68000</v>
      </c>
      <c r="R37" s="325" t="s">
        <v>1568</v>
      </c>
      <c r="S37" s="325" t="s">
        <v>187</v>
      </c>
      <c r="T37" s="327" t="s">
        <v>1284</v>
      </c>
      <c r="V37" s="43" t="s">
        <v>1637</v>
      </c>
      <c r="W37" s="221">
        <v>68000</v>
      </c>
      <c r="Y37" s="6">
        <f t="shared" si="3"/>
        <v>1</v>
      </c>
      <c r="Z37" s="562">
        <f t="shared" si="4"/>
        <v>68000</v>
      </c>
      <c r="AA37" s="122">
        <f t="shared" si="5"/>
        <v>0</v>
      </c>
      <c r="AB37" s="122">
        <f t="shared" si="6"/>
        <v>0</v>
      </c>
      <c r="AC37" s="6">
        <f t="shared" si="7"/>
        <v>1</v>
      </c>
      <c r="AD37" s="563">
        <f t="shared" si="10"/>
        <v>1</v>
      </c>
      <c r="AE37" s="64"/>
      <c r="AF37" s="31">
        <v>61000</v>
      </c>
      <c r="AG37" s="31">
        <v>7000</v>
      </c>
      <c r="AH37" s="31">
        <v>0</v>
      </c>
      <c r="AI37" s="31">
        <v>0</v>
      </c>
      <c r="AJ37" s="31">
        <v>68000</v>
      </c>
      <c r="AK37" s="31">
        <v>68000</v>
      </c>
      <c r="AL37" s="31">
        <v>0</v>
      </c>
      <c r="AM37" s="56">
        <v>68000</v>
      </c>
      <c r="AN37" s="31">
        <v>68000</v>
      </c>
      <c r="AO37" s="31" t="s">
        <v>1568</v>
      </c>
      <c r="AP37" s="23" t="s">
        <v>187</v>
      </c>
      <c r="AQ37" s="23" t="s">
        <v>1284</v>
      </c>
    </row>
    <row r="38" spans="1:43">
      <c r="A38" s="35">
        <v>35</v>
      </c>
      <c r="B38" s="35">
        <v>102</v>
      </c>
      <c r="C38" s="569" t="str">
        <f t="shared" si="0"/>
        <v>池袋ハウス</v>
      </c>
      <c r="D38" s="45" t="s">
        <v>1580</v>
      </c>
      <c r="E38" s="46">
        <v>23.95</v>
      </c>
      <c r="F38" s="324">
        <v>631</v>
      </c>
      <c r="G38" s="566" t="str">
        <f t="shared" si="1"/>
        <v>住居</v>
      </c>
      <c r="H38" s="44" t="s">
        <v>1567</v>
      </c>
      <c r="I38" s="325">
        <v>70000</v>
      </c>
      <c r="J38" s="325">
        <v>7000</v>
      </c>
      <c r="K38" s="325">
        <v>0</v>
      </c>
      <c r="L38" s="325">
        <v>0</v>
      </c>
      <c r="M38" s="565">
        <f t="shared" si="8"/>
        <v>77000</v>
      </c>
      <c r="N38" s="326">
        <v>77000</v>
      </c>
      <c r="O38" s="326">
        <v>0</v>
      </c>
      <c r="P38" s="565">
        <f t="shared" si="2"/>
        <v>77000</v>
      </c>
      <c r="Q38" s="565">
        <f t="shared" si="9"/>
        <v>77000</v>
      </c>
      <c r="R38" s="325" t="s">
        <v>1568</v>
      </c>
      <c r="S38" s="325" t="s">
        <v>187</v>
      </c>
      <c r="T38" s="327" t="s">
        <v>1284</v>
      </c>
      <c r="V38" s="43" t="s">
        <v>1638</v>
      </c>
      <c r="W38" s="221">
        <v>93000</v>
      </c>
      <c r="Y38" s="6">
        <f t="shared" si="3"/>
        <v>1</v>
      </c>
      <c r="Z38" s="562">
        <f t="shared" si="4"/>
        <v>77000</v>
      </c>
      <c r="AA38" s="122">
        <f t="shared" si="5"/>
        <v>0</v>
      </c>
      <c r="AB38" s="122">
        <f t="shared" si="6"/>
        <v>-16000</v>
      </c>
      <c r="AC38" s="6">
        <f t="shared" si="7"/>
        <v>1</v>
      </c>
      <c r="AD38" s="563">
        <f t="shared" si="10"/>
        <v>1</v>
      </c>
      <c r="AE38" s="64"/>
      <c r="AF38" s="31">
        <v>70000</v>
      </c>
      <c r="AG38" s="31">
        <v>7000</v>
      </c>
      <c r="AH38" s="31">
        <v>0</v>
      </c>
      <c r="AI38" s="31">
        <v>0</v>
      </c>
      <c r="AJ38" s="31">
        <v>77000</v>
      </c>
      <c r="AK38" s="31">
        <v>77000</v>
      </c>
      <c r="AL38" s="31">
        <v>0</v>
      </c>
      <c r="AM38" s="56">
        <v>77000</v>
      </c>
      <c r="AN38" s="31">
        <v>77000</v>
      </c>
      <c r="AO38" s="31" t="s">
        <v>1568</v>
      </c>
      <c r="AP38" s="23" t="s">
        <v>187</v>
      </c>
      <c r="AQ38" s="23" t="s">
        <v>1284</v>
      </c>
    </row>
    <row r="39" spans="1:43">
      <c r="A39" s="35">
        <v>36</v>
      </c>
      <c r="B39" s="35">
        <v>102</v>
      </c>
      <c r="C39" s="569" t="str">
        <f t="shared" si="0"/>
        <v>池袋ハウス</v>
      </c>
      <c r="D39" s="45" t="s">
        <v>1582</v>
      </c>
      <c r="E39" s="46">
        <v>20.079999999999998</v>
      </c>
      <c r="F39" s="324">
        <v>631</v>
      </c>
      <c r="G39" s="566" t="str">
        <f t="shared" si="1"/>
        <v>住居</v>
      </c>
      <c r="H39" s="44" t="s">
        <v>1567</v>
      </c>
      <c r="I39" s="325">
        <v>75000</v>
      </c>
      <c r="J39" s="325">
        <v>7000</v>
      </c>
      <c r="K39" s="325">
        <v>0</v>
      </c>
      <c r="L39" s="325">
        <v>0</v>
      </c>
      <c r="M39" s="565">
        <f t="shared" si="8"/>
        <v>82000</v>
      </c>
      <c r="N39" s="326">
        <v>82000</v>
      </c>
      <c r="O39" s="326">
        <v>0</v>
      </c>
      <c r="P39" s="565">
        <f t="shared" si="2"/>
        <v>82000</v>
      </c>
      <c r="Q39" s="565">
        <f t="shared" si="9"/>
        <v>82000</v>
      </c>
      <c r="R39" s="325" t="s">
        <v>1578</v>
      </c>
      <c r="S39" s="325" t="s">
        <v>187</v>
      </c>
      <c r="T39" s="327" t="s">
        <v>1284</v>
      </c>
      <c r="V39" s="43" t="s">
        <v>1639</v>
      </c>
      <c r="W39" s="221">
        <v>67000</v>
      </c>
      <c r="Y39" s="6">
        <f t="shared" si="3"/>
        <v>1</v>
      </c>
      <c r="Z39" s="562">
        <f t="shared" si="4"/>
        <v>82000</v>
      </c>
      <c r="AA39" s="122">
        <f t="shared" si="5"/>
        <v>0</v>
      </c>
      <c r="AB39" s="122">
        <f t="shared" si="6"/>
        <v>15000</v>
      </c>
      <c r="AC39" s="6">
        <f t="shared" si="7"/>
        <v>1</v>
      </c>
      <c r="AD39" s="563">
        <f t="shared" si="10"/>
        <v>1</v>
      </c>
      <c r="AE39" s="64"/>
      <c r="AF39" s="31">
        <v>75000</v>
      </c>
      <c r="AG39" s="31">
        <v>7000</v>
      </c>
      <c r="AH39" s="31">
        <v>0</v>
      </c>
      <c r="AI39" s="31">
        <v>0</v>
      </c>
      <c r="AJ39" s="31">
        <v>82000</v>
      </c>
      <c r="AK39" s="31">
        <v>82000</v>
      </c>
      <c r="AL39" s="31">
        <v>0</v>
      </c>
      <c r="AM39" s="56">
        <v>82000</v>
      </c>
      <c r="AN39" s="31">
        <v>82000</v>
      </c>
      <c r="AO39" s="31" t="s">
        <v>1578</v>
      </c>
      <c r="AP39" s="23" t="s">
        <v>187</v>
      </c>
      <c r="AQ39" s="23" t="s">
        <v>1284</v>
      </c>
    </row>
    <row r="40" spans="1:43">
      <c r="A40" s="35">
        <v>37</v>
      </c>
      <c r="B40" s="35">
        <v>102</v>
      </c>
      <c r="C40" s="569" t="str">
        <f t="shared" si="0"/>
        <v>池袋ハウス</v>
      </c>
      <c r="D40" s="45" t="s">
        <v>1585</v>
      </c>
      <c r="E40" s="46">
        <v>23.25</v>
      </c>
      <c r="F40" s="324">
        <v>631</v>
      </c>
      <c r="G40" s="566" t="str">
        <f t="shared" si="1"/>
        <v>住居</v>
      </c>
      <c r="H40" s="44" t="s">
        <v>1567</v>
      </c>
      <c r="I40" s="325">
        <v>73000</v>
      </c>
      <c r="J40" s="325">
        <v>7000</v>
      </c>
      <c r="K40" s="325">
        <v>0</v>
      </c>
      <c r="L40" s="325">
        <v>0</v>
      </c>
      <c r="M40" s="565">
        <f t="shared" si="8"/>
        <v>80000</v>
      </c>
      <c r="N40" s="326">
        <v>85000</v>
      </c>
      <c r="O40" s="326">
        <v>0</v>
      </c>
      <c r="P40" s="565">
        <f t="shared" si="2"/>
        <v>85000</v>
      </c>
      <c r="Q40" s="565">
        <f t="shared" si="9"/>
        <v>80000</v>
      </c>
      <c r="R40" s="325" t="s">
        <v>1568</v>
      </c>
      <c r="S40" s="325" t="s">
        <v>187</v>
      </c>
      <c r="T40" s="327" t="s">
        <v>1284</v>
      </c>
      <c r="V40" s="43" t="s">
        <v>1640</v>
      </c>
      <c r="W40" s="221">
        <v>77000</v>
      </c>
      <c r="Y40" s="6">
        <f t="shared" si="3"/>
        <v>1</v>
      </c>
      <c r="Z40" s="562">
        <f t="shared" si="4"/>
        <v>80000</v>
      </c>
      <c r="AA40" s="122">
        <f t="shared" si="5"/>
        <v>5000</v>
      </c>
      <c r="AB40" s="122">
        <f t="shared" si="6"/>
        <v>3000</v>
      </c>
      <c r="AC40" s="6">
        <f t="shared" si="7"/>
        <v>1</v>
      </c>
      <c r="AD40" s="563">
        <f t="shared" si="10"/>
        <v>1</v>
      </c>
      <c r="AE40" s="64"/>
      <c r="AF40" s="31">
        <v>73000</v>
      </c>
      <c r="AG40" s="31">
        <v>7000</v>
      </c>
      <c r="AH40" s="31">
        <v>0</v>
      </c>
      <c r="AI40" s="31">
        <v>0</v>
      </c>
      <c r="AJ40" s="31">
        <v>80000</v>
      </c>
      <c r="AK40" s="31">
        <v>85000</v>
      </c>
      <c r="AL40" s="31">
        <v>0</v>
      </c>
      <c r="AM40" s="56">
        <v>85000</v>
      </c>
      <c r="AN40" s="31">
        <v>80000</v>
      </c>
      <c r="AO40" s="31" t="s">
        <v>1568</v>
      </c>
      <c r="AP40" s="23" t="s">
        <v>187</v>
      </c>
      <c r="AQ40" s="23" t="s">
        <v>1284</v>
      </c>
    </row>
    <row r="41" spans="1:43">
      <c r="A41" s="35">
        <v>38</v>
      </c>
      <c r="B41" s="35">
        <v>102</v>
      </c>
      <c r="C41" s="569" t="str">
        <f t="shared" si="0"/>
        <v>池袋ハウス</v>
      </c>
      <c r="D41" s="45" t="s">
        <v>1587</v>
      </c>
      <c r="E41" s="46">
        <v>23.25</v>
      </c>
      <c r="F41" s="324">
        <v>631</v>
      </c>
      <c r="G41" s="566" t="str">
        <f t="shared" si="1"/>
        <v>住居</v>
      </c>
      <c r="H41" s="44" t="s">
        <v>1567</v>
      </c>
      <c r="I41" s="325">
        <v>68000</v>
      </c>
      <c r="J41" s="325">
        <v>7000</v>
      </c>
      <c r="K41" s="325">
        <v>0</v>
      </c>
      <c r="L41" s="325">
        <v>0</v>
      </c>
      <c r="M41" s="565">
        <f t="shared" si="8"/>
        <v>75000</v>
      </c>
      <c r="N41" s="326">
        <v>69000</v>
      </c>
      <c r="O41" s="326">
        <v>0</v>
      </c>
      <c r="P41" s="565">
        <f t="shared" si="2"/>
        <v>69000</v>
      </c>
      <c r="Q41" s="565">
        <f t="shared" si="9"/>
        <v>75000</v>
      </c>
      <c r="R41" s="325" t="s">
        <v>1568</v>
      </c>
      <c r="S41" s="325" t="s">
        <v>187</v>
      </c>
      <c r="T41" s="327" t="s">
        <v>1284</v>
      </c>
      <c r="V41" s="43" t="s">
        <v>1641</v>
      </c>
      <c r="W41" s="221">
        <v>69000</v>
      </c>
      <c r="Y41" s="6">
        <f t="shared" si="3"/>
        <v>1</v>
      </c>
      <c r="Z41" s="562">
        <f t="shared" si="4"/>
        <v>75000</v>
      </c>
      <c r="AA41" s="122">
        <f t="shared" si="5"/>
        <v>-6000</v>
      </c>
      <c r="AB41" s="122">
        <f t="shared" si="6"/>
        <v>6000</v>
      </c>
      <c r="AC41" s="6">
        <f t="shared" si="7"/>
        <v>1</v>
      </c>
      <c r="AD41" s="563">
        <f t="shared" si="10"/>
        <v>1</v>
      </c>
      <c r="AE41" s="64"/>
      <c r="AF41" s="31">
        <v>68000</v>
      </c>
      <c r="AG41" s="31">
        <v>7000</v>
      </c>
      <c r="AH41" s="31">
        <v>0</v>
      </c>
      <c r="AI41" s="31">
        <v>0</v>
      </c>
      <c r="AJ41" s="31">
        <v>75000</v>
      </c>
      <c r="AK41" s="31">
        <v>69000</v>
      </c>
      <c r="AL41" s="31">
        <v>0</v>
      </c>
      <c r="AM41" s="56">
        <v>69000</v>
      </c>
      <c r="AN41" s="31">
        <v>75000</v>
      </c>
      <c r="AO41" s="31" t="s">
        <v>1568</v>
      </c>
      <c r="AP41" s="23" t="s">
        <v>187</v>
      </c>
      <c r="AQ41" s="23" t="s">
        <v>1284</v>
      </c>
    </row>
    <row r="42" spans="1:43">
      <c r="A42" s="35">
        <v>39</v>
      </c>
      <c r="B42" s="35">
        <v>102</v>
      </c>
      <c r="C42" s="569" t="str">
        <f t="shared" si="0"/>
        <v>池袋ハウス</v>
      </c>
      <c r="D42" s="45" t="s">
        <v>1642</v>
      </c>
      <c r="E42" s="46">
        <v>27.3</v>
      </c>
      <c r="F42" s="324">
        <v>631</v>
      </c>
      <c r="G42" s="566" t="str">
        <f t="shared" si="1"/>
        <v>住居</v>
      </c>
      <c r="H42" s="44" t="s">
        <v>1567</v>
      </c>
      <c r="I42" s="325">
        <v>73000</v>
      </c>
      <c r="J42" s="325">
        <v>7000</v>
      </c>
      <c r="K42" s="325">
        <v>0</v>
      </c>
      <c r="L42" s="325">
        <v>0</v>
      </c>
      <c r="M42" s="565">
        <f t="shared" si="8"/>
        <v>80000</v>
      </c>
      <c r="N42" s="326">
        <v>86000</v>
      </c>
      <c r="O42" s="326">
        <v>0</v>
      </c>
      <c r="P42" s="565">
        <f t="shared" si="2"/>
        <v>86000</v>
      </c>
      <c r="Q42" s="565">
        <f t="shared" si="9"/>
        <v>80000</v>
      </c>
      <c r="R42" s="325" t="s">
        <v>1578</v>
      </c>
      <c r="S42" s="325" t="s">
        <v>187</v>
      </c>
      <c r="T42" s="327" t="s">
        <v>1284</v>
      </c>
      <c r="V42" s="43" t="s">
        <v>1643</v>
      </c>
      <c r="W42" s="221">
        <v>73000</v>
      </c>
      <c r="Y42" s="6">
        <f t="shared" si="3"/>
        <v>1</v>
      </c>
      <c r="Z42" s="562">
        <f t="shared" si="4"/>
        <v>80000</v>
      </c>
      <c r="AA42" s="122">
        <f t="shared" si="5"/>
        <v>6000</v>
      </c>
      <c r="AB42" s="122">
        <f t="shared" si="6"/>
        <v>7000</v>
      </c>
      <c r="AC42" s="6">
        <f t="shared" si="7"/>
        <v>1</v>
      </c>
      <c r="AD42" s="563">
        <f t="shared" si="10"/>
        <v>1</v>
      </c>
      <c r="AE42" s="64"/>
      <c r="AF42" s="31">
        <v>73000</v>
      </c>
      <c r="AG42" s="31">
        <v>7000</v>
      </c>
      <c r="AH42" s="31">
        <v>0</v>
      </c>
      <c r="AI42" s="31">
        <v>0</v>
      </c>
      <c r="AJ42" s="31">
        <v>80000</v>
      </c>
      <c r="AK42" s="31">
        <v>86000</v>
      </c>
      <c r="AL42" s="31">
        <v>0</v>
      </c>
      <c r="AM42" s="56">
        <v>86000</v>
      </c>
      <c r="AN42" s="31">
        <v>80000</v>
      </c>
      <c r="AO42" s="31" t="s">
        <v>1578</v>
      </c>
      <c r="AP42" s="23" t="s">
        <v>187</v>
      </c>
      <c r="AQ42" s="23" t="s">
        <v>1284</v>
      </c>
    </row>
    <row r="43" spans="1:43">
      <c r="A43" s="35">
        <v>40</v>
      </c>
      <c r="B43" s="35">
        <v>102</v>
      </c>
      <c r="C43" s="569" t="str">
        <f t="shared" si="0"/>
        <v>池袋ハウス</v>
      </c>
      <c r="D43" s="45" t="s">
        <v>1644</v>
      </c>
      <c r="E43" s="46">
        <v>27.3</v>
      </c>
      <c r="F43" s="324">
        <v>631</v>
      </c>
      <c r="G43" s="566" t="str">
        <f t="shared" si="1"/>
        <v>住居</v>
      </c>
      <c r="H43" s="44" t="s">
        <v>1567</v>
      </c>
      <c r="I43" s="325">
        <v>82000</v>
      </c>
      <c r="J43" s="325">
        <v>7000</v>
      </c>
      <c r="K43" s="325">
        <v>0</v>
      </c>
      <c r="L43" s="325">
        <v>0</v>
      </c>
      <c r="M43" s="565">
        <f t="shared" si="8"/>
        <v>89000</v>
      </c>
      <c r="N43" s="326">
        <v>92000</v>
      </c>
      <c r="O43" s="326">
        <v>0</v>
      </c>
      <c r="P43" s="565">
        <f t="shared" si="2"/>
        <v>92000</v>
      </c>
      <c r="Q43" s="565">
        <f t="shared" si="9"/>
        <v>89000</v>
      </c>
      <c r="R43" s="325" t="s">
        <v>1578</v>
      </c>
      <c r="S43" s="325" t="s">
        <v>187</v>
      </c>
      <c r="T43" s="327" t="s">
        <v>1284</v>
      </c>
      <c r="V43" s="43" t="s">
        <v>1645</v>
      </c>
      <c r="W43" s="221">
        <v>72000</v>
      </c>
      <c r="Y43" s="6">
        <f t="shared" si="3"/>
        <v>1</v>
      </c>
      <c r="Z43" s="562">
        <f t="shared" si="4"/>
        <v>89000</v>
      </c>
      <c r="AA43" s="122">
        <f t="shared" si="5"/>
        <v>3000</v>
      </c>
      <c r="AB43" s="122">
        <f t="shared" si="6"/>
        <v>17000</v>
      </c>
      <c r="AC43" s="6">
        <f t="shared" si="7"/>
        <v>1</v>
      </c>
      <c r="AD43" s="563">
        <f t="shared" si="10"/>
        <v>1</v>
      </c>
      <c r="AE43" s="64"/>
      <c r="AF43" s="31">
        <v>82000</v>
      </c>
      <c r="AG43" s="31">
        <v>7000</v>
      </c>
      <c r="AH43" s="31">
        <v>0</v>
      </c>
      <c r="AI43" s="31">
        <v>0</v>
      </c>
      <c r="AJ43" s="31">
        <v>89000</v>
      </c>
      <c r="AK43" s="31">
        <v>92000</v>
      </c>
      <c r="AL43" s="31">
        <v>0</v>
      </c>
      <c r="AM43" s="56">
        <v>92000</v>
      </c>
      <c r="AN43" s="31">
        <v>89000</v>
      </c>
      <c r="AO43" s="31" t="s">
        <v>1578</v>
      </c>
      <c r="AP43" s="23" t="s">
        <v>187</v>
      </c>
      <c r="AQ43" s="23" t="s">
        <v>1284</v>
      </c>
    </row>
    <row r="44" spans="1:43">
      <c r="A44" s="35">
        <v>41</v>
      </c>
      <c r="B44" s="35">
        <v>102</v>
      </c>
      <c r="C44" s="569" t="str">
        <f t="shared" si="0"/>
        <v>池袋ハウス</v>
      </c>
      <c r="D44" s="45" t="s">
        <v>1646</v>
      </c>
      <c r="E44" s="46">
        <v>22.98</v>
      </c>
      <c r="F44" s="324">
        <v>631</v>
      </c>
      <c r="G44" s="566" t="str">
        <f t="shared" si="1"/>
        <v>住居</v>
      </c>
      <c r="H44" s="44" t="s">
        <v>1567</v>
      </c>
      <c r="I44" s="325">
        <v>78000</v>
      </c>
      <c r="J44" s="325">
        <v>7000</v>
      </c>
      <c r="K44" s="325">
        <v>0</v>
      </c>
      <c r="L44" s="325">
        <v>0</v>
      </c>
      <c r="M44" s="565">
        <f t="shared" si="8"/>
        <v>85000</v>
      </c>
      <c r="N44" s="326">
        <v>85000</v>
      </c>
      <c r="O44" s="326">
        <v>0</v>
      </c>
      <c r="P44" s="565">
        <f t="shared" si="2"/>
        <v>85000</v>
      </c>
      <c r="Q44" s="565">
        <f t="shared" si="9"/>
        <v>85000</v>
      </c>
      <c r="R44" s="325" t="s">
        <v>1578</v>
      </c>
      <c r="S44" s="325" t="s">
        <v>187</v>
      </c>
      <c r="T44" s="327" t="s">
        <v>1284</v>
      </c>
      <c r="V44" s="43" t="s">
        <v>1647</v>
      </c>
      <c r="W44" s="221">
        <v>76000</v>
      </c>
      <c r="Y44" s="6">
        <f t="shared" si="3"/>
        <v>1</v>
      </c>
      <c r="Z44" s="562">
        <f t="shared" si="4"/>
        <v>85000</v>
      </c>
      <c r="AA44" s="122">
        <f t="shared" si="5"/>
        <v>0</v>
      </c>
      <c r="AB44" s="122">
        <f t="shared" si="6"/>
        <v>9000</v>
      </c>
      <c r="AC44" s="6">
        <f t="shared" si="7"/>
        <v>1</v>
      </c>
      <c r="AD44" s="563">
        <f t="shared" si="10"/>
        <v>1</v>
      </c>
      <c r="AE44" s="64"/>
      <c r="AF44" s="31">
        <v>78000</v>
      </c>
      <c r="AG44" s="31">
        <v>7000</v>
      </c>
      <c r="AH44" s="31">
        <v>0</v>
      </c>
      <c r="AI44" s="31">
        <v>0</v>
      </c>
      <c r="AJ44" s="31">
        <v>85000</v>
      </c>
      <c r="AK44" s="31">
        <v>85000</v>
      </c>
      <c r="AL44" s="31">
        <v>0</v>
      </c>
      <c r="AM44" s="56">
        <v>85000</v>
      </c>
      <c r="AN44" s="31">
        <v>85000</v>
      </c>
      <c r="AO44" s="31" t="s">
        <v>1578</v>
      </c>
      <c r="AP44" s="23" t="s">
        <v>187</v>
      </c>
      <c r="AQ44" s="23" t="s">
        <v>1284</v>
      </c>
    </row>
    <row r="45" spans="1:43">
      <c r="A45" s="35">
        <v>42</v>
      </c>
      <c r="B45" s="35">
        <v>102</v>
      </c>
      <c r="C45" s="569" t="str">
        <f t="shared" si="0"/>
        <v>池袋ハウス</v>
      </c>
      <c r="D45" s="45" t="s">
        <v>1648</v>
      </c>
      <c r="E45" s="46">
        <v>22.98</v>
      </c>
      <c r="F45" s="324">
        <v>631</v>
      </c>
      <c r="G45" s="566" t="str">
        <f t="shared" si="1"/>
        <v>住居</v>
      </c>
      <c r="H45" s="44" t="s">
        <v>1567</v>
      </c>
      <c r="I45" s="325">
        <v>75000</v>
      </c>
      <c r="J45" s="325">
        <v>7000</v>
      </c>
      <c r="K45" s="325">
        <v>0</v>
      </c>
      <c r="L45" s="325">
        <v>0</v>
      </c>
      <c r="M45" s="565">
        <f t="shared" si="8"/>
        <v>82000</v>
      </c>
      <c r="N45" s="326">
        <v>82000</v>
      </c>
      <c r="O45" s="326">
        <v>0</v>
      </c>
      <c r="P45" s="565">
        <f t="shared" si="2"/>
        <v>82000</v>
      </c>
      <c r="Q45" s="565">
        <f t="shared" si="9"/>
        <v>82000</v>
      </c>
      <c r="R45" s="325" t="s">
        <v>1578</v>
      </c>
      <c r="S45" s="325" t="s">
        <v>187</v>
      </c>
      <c r="T45" s="327" t="s">
        <v>1284</v>
      </c>
      <c r="V45" s="43" t="s">
        <v>1649</v>
      </c>
      <c r="W45" s="221">
        <v>69000</v>
      </c>
      <c r="Y45" s="6">
        <f t="shared" si="3"/>
        <v>1</v>
      </c>
      <c r="Z45" s="562">
        <f t="shared" si="4"/>
        <v>82000</v>
      </c>
      <c r="AA45" s="122">
        <f t="shared" si="5"/>
        <v>0</v>
      </c>
      <c r="AB45" s="122">
        <f t="shared" si="6"/>
        <v>13000</v>
      </c>
      <c r="AC45" s="6">
        <f t="shared" si="7"/>
        <v>1</v>
      </c>
      <c r="AD45" s="563">
        <f t="shared" si="10"/>
        <v>1</v>
      </c>
      <c r="AE45" s="64"/>
      <c r="AF45" s="31">
        <v>75000</v>
      </c>
      <c r="AG45" s="31">
        <v>7000</v>
      </c>
      <c r="AH45" s="31">
        <v>0</v>
      </c>
      <c r="AI45" s="31">
        <v>0</v>
      </c>
      <c r="AJ45" s="31">
        <v>82000</v>
      </c>
      <c r="AK45" s="31">
        <v>82000</v>
      </c>
      <c r="AL45" s="31">
        <v>0</v>
      </c>
      <c r="AM45" s="56">
        <v>82000</v>
      </c>
      <c r="AN45" s="31">
        <v>82000</v>
      </c>
      <c r="AO45" s="31" t="s">
        <v>1578</v>
      </c>
      <c r="AP45" s="23" t="s">
        <v>187</v>
      </c>
      <c r="AQ45" s="23" t="s">
        <v>1284</v>
      </c>
    </row>
    <row r="46" spans="1:43">
      <c r="A46" s="35">
        <v>43</v>
      </c>
      <c r="B46" s="35">
        <v>102</v>
      </c>
      <c r="C46" s="569" t="str">
        <f t="shared" si="0"/>
        <v>池袋ハウス</v>
      </c>
      <c r="D46" s="45" t="s">
        <v>1589</v>
      </c>
      <c r="E46" s="46">
        <v>23.95</v>
      </c>
      <c r="F46" s="324">
        <v>631</v>
      </c>
      <c r="G46" s="566" t="str">
        <f t="shared" si="1"/>
        <v>住居</v>
      </c>
      <c r="H46" s="44" t="s">
        <v>1567</v>
      </c>
      <c r="I46" s="325">
        <v>78000</v>
      </c>
      <c r="J46" s="325">
        <v>7000</v>
      </c>
      <c r="K46" s="325">
        <v>0</v>
      </c>
      <c r="L46" s="325">
        <v>0</v>
      </c>
      <c r="M46" s="565">
        <f t="shared" si="8"/>
        <v>85000</v>
      </c>
      <c r="N46" s="326">
        <v>85000</v>
      </c>
      <c r="O46" s="326">
        <v>0</v>
      </c>
      <c r="P46" s="565">
        <f t="shared" si="2"/>
        <v>85000</v>
      </c>
      <c r="Q46" s="565">
        <f t="shared" si="9"/>
        <v>85000</v>
      </c>
      <c r="R46" s="325" t="s">
        <v>1578</v>
      </c>
      <c r="S46" s="325" t="s">
        <v>187</v>
      </c>
      <c r="T46" s="327" t="s">
        <v>1284</v>
      </c>
      <c r="V46" s="43" t="s">
        <v>1650</v>
      </c>
      <c r="W46" s="221">
        <v>75000</v>
      </c>
      <c r="Y46" s="6">
        <f t="shared" si="3"/>
        <v>1</v>
      </c>
      <c r="Z46" s="562">
        <f t="shared" si="4"/>
        <v>85000</v>
      </c>
      <c r="AA46" s="122">
        <f t="shared" si="5"/>
        <v>0</v>
      </c>
      <c r="AB46" s="122">
        <f t="shared" si="6"/>
        <v>10000</v>
      </c>
      <c r="AC46" s="6">
        <f t="shared" si="7"/>
        <v>1</v>
      </c>
      <c r="AD46" s="563">
        <f t="shared" si="10"/>
        <v>1</v>
      </c>
      <c r="AE46" s="64"/>
      <c r="AF46" s="31">
        <v>78000</v>
      </c>
      <c r="AG46" s="31">
        <v>7000</v>
      </c>
      <c r="AH46" s="31">
        <v>0</v>
      </c>
      <c r="AI46" s="31">
        <v>0</v>
      </c>
      <c r="AJ46" s="31">
        <v>85000</v>
      </c>
      <c r="AK46" s="31">
        <v>85000</v>
      </c>
      <c r="AL46" s="31">
        <v>0</v>
      </c>
      <c r="AM46" s="56">
        <v>85000</v>
      </c>
      <c r="AN46" s="31">
        <v>85000</v>
      </c>
      <c r="AO46" s="31" t="s">
        <v>1578</v>
      </c>
      <c r="AP46" s="23" t="s">
        <v>187</v>
      </c>
      <c r="AQ46" s="23" t="s">
        <v>1284</v>
      </c>
    </row>
    <row r="47" spans="1:43">
      <c r="A47" s="35">
        <v>44</v>
      </c>
      <c r="B47" s="35">
        <v>102</v>
      </c>
      <c r="C47" s="569" t="str">
        <f t="shared" si="0"/>
        <v>池袋ハウス</v>
      </c>
      <c r="D47" s="45" t="s">
        <v>1591</v>
      </c>
      <c r="E47" s="46">
        <v>20.079999999999998</v>
      </c>
      <c r="F47" s="324">
        <v>631</v>
      </c>
      <c r="G47" s="566" t="str">
        <f t="shared" si="1"/>
        <v>住居</v>
      </c>
      <c r="H47" s="44" t="s">
        <v>1567</v>
      </c>
      <c r="I47" s="325">
        <v>65000</v>
      </c>
      <c r="J47" s="325">
        <v>10000</v>
      </c>
      <c r="K47" s="325">
        <v>0</v>
      </c>
      <c r="L47" s="325">
        <v>0</v>
      </c>
      <c r="M47" s="565">
        <f t="shared" si="8"/>
        <v>75000</v>
      </c>
      <c r="N47" s="326">
        <v>75000</v>
      </c>
      <c r="O47" s="326">
        <v>0</v>
      </c>
      <c r="P47" s="565">
        <f t="shared" si="2"/>
        <v>75000</v>
      </c>
      <c r="Q47" s="565">
        <f t="shared" si="9"/>
        <v>75000</v>
      </c>
      <c r="R47" s="325" t="s">
        <v>1568</v>
      </c>
      <c r="S47" s="325" t="s">
        <v>187</v>
      </c>
      <c r="T47" s="327" t="s">
        <v>1284</v>
      </c>
      <c r="V47" s="43" t="s">
        <v>1651</v>
      </c>
      <c r="W47" s="221">
        <v>75000</v>
      </c>
      <c r="Y47" s="6">
        <f t="shared" si="3"/>
        <v>1</v>
      </c>
      <c r="Z47" s="562">
        <f t="shared" si="4"/>
        <v>75000</v>
      </c>
      <c r="AA47" s="122">
        <f t="shared" si="5"/>
        <v>0</v>
      </c>
      <c r="AB47" s="122">
        <f t="shared" si="6"/>
        <v>0</v>
      </c>
      <c r="AC47" s="6">
        <f t="shared" si="7"/>
        <v>1</v>
      </c>
      <c r="AD47" s="563">
        <f t="shared" si="10"/>
        <v>1</v>
      </c>
      <c r="AE47" s="64"/>
      <c r="AF47" s="31">
        <v>65000</v>
      </c>
      <c r="AG47" s="31">
        <v>10000</v>
      </c>
      <c r="AH47" s="31">
        <v>0</v>
      </c>
      <c r="AI47" s="31">
        <v>0</v>
      </c>
      <c r="AJ47" s="31">
        <v>75000</v>
      </c>
      <c r="AK47" s="31">
        <v>75000</v>
      </c>
      <c r="AL47" s="31">
        <v>0</v>
      </c>
      <c r="AM47" s="56">
        <v>75000</v>
      </c>
      <c r="AN47" s="31">
        <v>75000</v>
      </c>
      <c r="AO47" s="31" t="s">
        <v>1568</v>
      </c>
      <c r="AP47" s="23" t="s">
        <v>187</v>
      </c>
      <c r="AQ47" s="23" t="s">
        <v>1284</v>
      </c>
    </row>
    <row r="48" spans="1:43">
      <c r="A48" s="35">
        <v>45</v>
      </c>
      <c r="B48" s="35">
        <v>102</v>
      </c>
      <c r="C48" s="569" t="str">
        <f t="shared" si="0"/>
        <v>池袋ハウス</v>
      </c>
      <c r="D48" s="45" t="s">
        <v>1593</v>
      </c>
      <c r="E48" s="46">
        <v>23.25</v>
      </c>
      <c r="F48" s="324">
        <v>631</v>
      </c>
      <c r="G48" s="566" t="str">
        <f t="shared" si="1"/>
        <v>住居</v>
      </c>
      <c r="H48" s="44" t="s">
        <v>1567</v>
      </c>
      <c r="I48" s="325">
        <v>72000</v>
      </c>
      <c r="J48" s="325">
        <v>7000</v>
      </c>
      <c r="K48" s="325">
        <v>0</v>
      </c>
      <c r="L48" s="325">
        <v>0</v>
      </c>
      <c r="M48" s="565">
        <f t="shared" si="8"/>
        <v>79000</v>
      </c>
      <c r="N48" s="326">
        <v>77000</v>
      </c>
      <c r="O48" s="326">
        <v>0</v>
      </c>
      <c r="P48" s="565">
        <f t="shared" si="2"/>
        <v>77000</v>
      </c>
      <c r="Q48" s="565">
        <f t="shared" si="9"/>
        <v>79000</v>
      </c>
      <c r="R48" s="325" t="s">
        <v>1578</v>
      </c>
      <c r="S48" s="325" t="s">
        <v>187</v>
      </c>
      <c r="T48" s="327" t="s">
        <v>1284</v>
      </c>
      <c r="V48" s="43" t="s">
        <v>1652</v>
      </c>
      <c r="W48" s="221">
        <v>73000</v>
      </c>
      <c r="Y48" s="6">
        <f t="shared" si="3"/>
        <v>1</v>
      </c>
      <c r="Z48" s="562">
        <f t="shared" si="4"/>
        <v>79000</v>
      </c>
      <c r="AA48" s="122">
        <f t="shared" si="5"/>
        <v>-2000</v>
      </c>
      <c r="AB48" s="122">
        <f t="shared" si="6"/>
        <v>6000</v>
      </c>
      <c r="AC48" s="6">
        <f t="shared" si="7"/>
        <v>1</v>
      </c>
      <c r="AD48" s="563">
        <f t="shared" si="10"/>
        <v>1</v>
      </c>
      <c r="AE48" s="64"/>
      <c r="AF48" s="31">
        <v>72000</v>
      </c>
      <c r="AG48" s="31">
        <v>7000</v>
      </c>
      <c r="AH48" s="31">
        <v>0</v>
      </c>
      <c r="AI48" s="31">
        <v>0</v>
      </c>
      <c r="AJ48" s="31">
        <v>79000</v>
      </c>
      <c r="AK48" s="31">
        <v>77000</v>
      </c>
      <c r="AL48" s="31">
        <v>0</v>
      </c>
      <c r="AM48" s="56">
        <v>77000</v>
      </c>
      <c r="AN48" s="31">
        <v>79000</v>
      </c>
      <c r="AO48" s="31" t="s">
        <v>1578</v>
      </c>
      <c r="AP48" s="23" t="s">
        <v>187</v>
      </c>
      <c r="AQ48" s="23" t="s">
        <v>1284</v>
      </c>
    </row>
    <row r="49" spans="1:43">
      <c r="A49" s="35">
        <v>46</v>
      </c>
      <c r="B49" s="35">
        <v>102</v>
      </c>
      <c r="C49" s="569" t="str">
        <f t="shared" si="0"/>
        <v>池袋ハウス</v>
      </c>
      <c r="D49" s="45" t="s">
        <v>1595</v>
      </c>
      <c r="E49" s="46">
        <v>23.25</v>
      </c>
      <c r="F49" s="324">
        <v>631</v>
      </c>
      <c r="G49" s="566" t="str">
        <f t="shared" si="1"/>
        <v>住居</v>
      </c>
      <c r="H49" s="44" t="s">
        <v>1567</v>
      </c>
      <c r="I49" s="325">
        <v>78000</v>
      </c>
      <c r="J49" s="325">
        <v>7000</v>
      </c>
      <c r="K49" s="325">
        <v>0</v>
      </c>
      <c r="L49" s="325">
        <v>0</v>
      </c>
      <c r="M49" s="565">
        <f t="shared" si="8"/>
        <v>85000</v>
      </c>
      <c r="N49" s="326">
        <v>85000</v>
      </c>
      <c r="O49" s="326">
        <v>0</v>
      </c>
      <c r="P49" s="565">
        <f t="shared" si="2"/>
        <v>85000</v>
      </c>
      <c r="Q49" s="565">
        <f t="shared" si="9"/>
        <v>85000</v>
      </c>
      <c r="R49" s="325" t="s">
        <v>1578</v>
      </c>
      <c r="S49" s="325" t="s">
        <v>187</v>
      </c>
      <c r="T49" s="327" t="s">
        <v>1284</v>
      </c>
      <c r="V49" s="43" t="s">
        <v>1653</v>
      </c>
      <c r="W49" s="221">
        <v>73000</v>
      </c>
      <c r="Y49" s="6">
        <f t="shared" si="3"/>
        <v>1</v>
      </c>
      <c r="Z49" s="562">
        <f t="shared" si="4"/>
        <v>85000</v>
      </c>
      <c r="AA49" s="122">
        <f t="shared" si="5"/>
        <v>0</v>
      </c>
      <c r="AB49" s="122">
        <f t="shared" si="6"/>
        <v>12000</v>
      </c>
      <c r="AC49" s="6">
        <f t="shared" si="7"/>
        <v>1</v>
      </c>
      <c r="AD49" s="563">
        <f t="shared" si="10"/>
        <v>1</v>
      </c>
      <c r="AE49" s="64"/>
      <c r="AF49" s="31">
        <v>78000</v>
      </c>
      <c r="AG49" s="31">
        <v>7000</v>
      </c>
      <c r="AH49" s="31">
        <v>0</v>
      </c>
      <c r="AI49" s="31">
        <v>0</v>
      </c>
      <c r="AJ49" s="31">
        <v>85000</v>
      </c>
      <c r="AK49" s="31">
        <v>85000</v>
      </c>
      <c r="AL49" s="31">
        <v>0</v>
      </c>
      <c r="AM49" s="56">
        <v>85000</v>
      </c>
      <c r="AN49" s="31">
        <v>85000</v>
      </c>
      <c r="AO49" s="31" t="s">
        <v>1578</v>
      </c>
      <c r="AP49" s="23" t="s">
        <v>187</v>
      </c>
      <c r="AQ49" s="23" t="s">
        <v>1284</v>
      </c>
    </row>
    <row r="50" spans="1:43">
      <c r="A50" s="35">
        <v>47</v>
      </c>
      <c r="B50" s="35">
        <v>102</v>
      </c>
      <c r="C50" s="569" t="str">
        <f t="shared" si="0"/>
        <v>池袋ハウス</v>
      </c>
      <c r="D50" s="45" t="s">
        <v>1597</v>
      </c>
      <c r="E50" s="46">
        <v>27.3</v>
      </c>
      <c r="F50" s="324">
        <v>631</v>
      </c>
      <c r="G50" s="566" t="str">
        <f t="shared" si="1"/>
        <v>住居</v>
      </c>
      <c r="H50" s="44" t="s">
        <v>1567</v>
      </c>
      <c r="I50" s="325">
        <v>73000</v>
      </c>
      <c r="J50" s="325">
        <v>7000</v>
      </c>
      <c r="K50" s="325">
        <v>0</v>
      </c>
      <c r="L50" s="325">
        <v>0</v>
      </c>
      <c r="M50" s="565">
        <f t="shared" si="8"/>
        <v>80000</v>
      </c>
      <c r="N50" s="326">
        <v>75000</v>
      </c>
      <c r="O50" s="326">
        <v>0</v>
      </c>
      <c r="P50" s="565">
        <f t="shared" si="2"/>
        <v>75000</v>
      </c>
      <c r="Q50" s="565">
        <f t="shared" si="9"/>
        <v>80000</v>
      </c>
      <c r="R50" s="325" t="s">
        <v>1578</v>
      </c>
      <c r="S50" s="325" t="s">
        <v>187</v>
      </c>
      <c r="T50" s="327" t="s">
        <v>1284</v>
      </c>
      <c r="V50" s="43" t="s">
        <v>1654</v>
      </c>
      <c r="W50" s="221">
        <v>75000</v>
      </c>
      <c r="Y50" s="6">
        <f t="shared" si="3"/>
        <v>1</v>
      </c>
      <c r="Z50" s="562">
        <f t="shared" si="4"/>
        <v>80000</v>
      </c>
      <c r="AA50" s="122">
        <f t="shared" si="5"/>
        <v>-5000</v>
      </c>
      <c r="AB50" s="122">
        <f t="shared" si="6"/>
        <v>5000</v>
      </c>
      <c r="AC50" s="6">
        <f t="shared" si="7"/>
        <v>1</v>
      </c>
      <c r="AD50" s="563">
        <f t="shared" si="10"/>
        <v>1</v>
      </c>
      <c r="AE50" s="64"/>
      <c r="AF50" s="31">
        <v>73000</v>
      </c>
      <c r="AG50" s="31">
        <v>7000</v>
      </c>
      <c r="AH50" s="31">
        <v>0</v>
      </c>
      <c r="AI50" s="31">
        <v>0</v>
      </c>
      <c r="AJ50" s="31">
        <v>80000</v>
      </c>
      <c r="AK50" s="31">
        <v>75000</v>
      </c>
      <c r="AL50" s="31">
        <v>0</v>
      </c>
      <c r="AM50" s="56">
        <v>75000</v>
      </c>
      <c r="AN50" s="31">
        <v>80000</v>
      </c>
      <c r="AO50" s="31" t="s">
        <v>1578</v>
      </c>
      <c r="AP50" s="23" t="s">
        <v>187</v>
      </c>
      <c r="AQ50" s="23" t="s">
        <v>1284</v>
      </c>
    </row>
    <row r="51" spans="1:43">
      <c r="A51" s="35">
        <v>48</v>
      </c>
      <c r="B51" s="35">
        <v>102</v>
      </c>
      <c r="C51" s="569" t="str">
        <f t="shared" si="0"/>
        <v>池袋ハウス</v>
      </c>
      <c r="D51" s="45" t="s">
        <v>1599</v>
      </c>
      <c r="E51" s="46">
        <v>27.3</v>
      </c>
      <c r="F51" s="324">
        <v>631</v>
      </c>
      <c r="G51" s="566" t="str">
        <f t="shared" si="1"/>
        <v>住居</v>
      </c>
      <c r="H51" s="44" t="s">
        <v>1567</v>
      </c>
      <c r="I51" s="325">
        <v>85000</v>
      </c>
      <c r="J51" s="325">
        <v>7000</v>
      </c>
      <c r="K51" s="325">
        <v>0</v>
      </c>
      <c r="L51" s="325">
        <v>0</v>
      </c>
      <c r="M51" s="565">
        <f t="shared" si="8"/>
        <v>92000</v>
      </c>
      <c r="N51" s="326">
        <v>92000</v>
      </c>
      <c r="O51" s="326">
        <v>0</v>
      </c>
      <c r="P51" s="565">
        <f t="shared" si="2"/>
        <v>92000</v>
      </c>
      <c r="Q51" s="565">
        <f t="shared" si="9"/>
        <v>92000</v>
      </c>
      <c r="R51" s="325" t="s">
        <v>1578</v>
      </c>
      <c r="S51" s="325" t="s">
        <v>187</v>
      </c>
      <c r="T51" s="327" t="s">
        <v>1284</v>
      </c>
      <c r="V51" s="43" t="s">
        <v>1655</v>
      </c>
      <c r="W51" s="221">
        <v>73000</v>
      </c>
      <c r="Y51" s="6">
        <f t="shared" si="3"/>
        <v>1</v>
      </c>
      <c r="Z51" s="562">
        <f t="shared" si="4"/>
        <v>92000</v>
      </c>
      <c r="AA51" s="122">
        <f t="shared" si="5"/>
        <v>0</v>
      </c>
      <c r="AB51" s="122">
        <f t="shared" si="6"/>
        <v>19000</v>
      </c>
      <c r="AC51" s="6">
        <f t="shared" si="7"/>
        <v>1</v>
      </c>
      <c r="AD51" s="563">
        <f t="shared" si="10"/>
        <v>1</v>
      </c>
      <c r="AE51" s="64"/>
      <c r="AF51" s="31">
        <v>85000</v>
      </c>
      <c r="AG51" s="31">
        <v>7000</v>
      </c>
      <c r="AH51" s="31">
        <v>0</v>
      </c>
      <c r="AI51" s="31">
        <v>0</v>
      </c>
      <c r="AJ51" s="31">
        <v>92000</v>
      </c>
      <c r="AK51" s="31">
        <v>92000</v>
      </c>
      <c r="AL51" s="31">
        <v>0</v>
      </c>
      <c r="AM51" s="56">
        <v>92000</v>
      </c>
      <c r="AN51" s="31">
        <v>92000</v>
      </c>
      <c r="AO51" s="31" t="s">
        <v>1578</v>
      </c>
      <c r="AP51" s="23" t="s">
        <v>187</v>
      </c>
      <c r="AQ51" s="23" t="s">
        <v>1284</v>
      </c>
    </row>
    <row r="52" spans="1:43">
      <c r="A52" s="35">
        <v>49</v>
      </c>
      <c r="B52" s="35">
        <v>102</v>
      </c>
      <c r="C52" s="569" t="str">
        <f t="shared" si="0"/>
        <v>池袋ハウス</v>
      </c>
      <c r="D52" s="45" t="s">
        <v>1601</v>
      </c>
      <c r="E52" s="46">
        <v>22.98</v>
      </c>
      <c r="F52" s="324">
        <v>631</v>
      </c>
      <c r="G52" s="566" t="str">
        <f t="shared" si="1"/>
        <v>住居</v>
      </c>
      <c r="H52" s="44" t="s">
        <v>1567</v>
      </c>
      <c r="I52" s="325">
        <v>67000</v>
      </c>
      <c r="J52" s="325">
        <v>7000</v>
      </c>
      <c r="K52" s="325">
        <v>0</v>
      </c>
      <c r="L52" s="325">
        <v>0</v>
      </c>
      <c r="M52" s="565">
        <f t="shared" si="8"/>
        <v>74000</v>
      </c>
      <c r="N52" s="326">
        <v>74000</v>
      </c>
      <c r="O52" s="326">
        <v>0</v>
      </c>
      <c r="P52" s="565">
        <f t="shared" si="2"/>
        <v>74000</v>
      </c>
      <c r="Q52" s="565">
        <f t="shared" si="9"/>
        <v>74000</v>
      </c>
      <c r="R52" s="325" t="s">
        <v>1578</v>
      </c>
      <c r="S52" s="325" t="s">
        <v>187</v>
      </c>
      <c r="T52" s="327" t="s">
        <v>1284</v>
      </c>
      <c r="V52" s="43" t="s">
        <v>1656</v>
      </c>
      <c r="W52" s="221">
        <v>73000</v>
      </c>
      <c r="Y52" s="6">
        <f t="shared" si="3"/>
        <v>1</v>
      </c>
      <c r="Z52" s="562">
        <f t="shared" si="4"/>
        <v>74000</v>
      </c>
      <c r="AA52" s="122">
        <f t="shared" si="5"/>
        <v>0</v>
      </c>
      <c r="AB52" s="122">
        <f t="shared" si="6"/>
        <v>1000</v>
      </c>
      <c r="AC52" s="6">
        <f t="shared" si="7"/>
        <v>1</v>
      </c>
      <c r="AD52" s="563">
        <f t="shared" si="10"/>
        <v>1</v>
      </c>
      <c r="AE52" s="64"/>
      <c r="AF52" s="31">
        <v>67000</v>
      </c>
      <c r="AG52" s="31">
        <v>7000</v>
      </c>
      <c r="AH52" s="31">
        <v>0</v>
      </c>
      <c r="AI52" s="31">
        <v>0</v>
      </c>
      <c r="AJ52" s="31">
        <v>74000</v>
      </c>
      <c r="AK52" s="31">
        <v>74000</v>
      </c>
      <c r="AL52" s="31">
        <v>0</v>
      </c>
      <c r="AM52" s="56">
        <v>74000</v>
      </c>
      <c r="AN52" s="31">
        <v>74000</v>
      </c>
      <c r="AO52" s="31" t="s">
        <v>1578</v>
      </c>
      <c r="AP52" s="23" t="s">
        <v>187</v>
      </c>
      <c r="AQ52" s="23" t="s">
        <v>1284</v>
      </c>
    </row>
    <row r="53" spans="1:43">
      <c r="A53" s="35">
        <v>50</v>
      </c>
      <c r="B53" s="35">
        <v>102</v>
      </c>
      <c r="C53" s="569" t="str">
        <f t="shared" si="0"/>
        <v>池袋ハウス</v>
      </c>
      <c r="D53" s="45" t="s">
        <v>1657</v>
      </c>
      <c r="E53" s="46">
        <v>22.98</v>
      </c>
      <c r="F53" s="324">
        <v>631</v>
      </c>
      <c r="G53" s="566" t="str">
        <f t="shared" si="1"/>
        <v>住居</v>
      </c>
      <c r="H53" s="44" t="s">
        <v>1567</v>
      </c>
      <c r="I53" s="325">
        <v>75000</v>
      </c>
      <c r="J53" s="325">
        <v>7000</v>
      </c>
      <c r="K53" s="325">
        <v>0</v>
      </c>
      <c r="L53" s="325">
        <v>0</v>
      </c>
      <c r="M53" s="565">
        <f t="shared" si="8"/>
        <v>82000</v>
      </c>
      <c r="N53" s="326">
        <v>85000</v>
      </c>
      <c r="O53" s="326">
        <v>0</v>
      </c>
      <c r="P53" s="565">
        <f t="shared" si="2"/>
        <v>85000</v>
      </c>
      <c r="Q53" s="565">
        <f t="shared" si="9"/>
        <v>82000</v>
      </c>
      <c r="R53" s="325" t="s">
        <v>1578</v>
      </c>
      <c r="S53" s="325" t="s">
        <v>187</v>
      </c>
      <c r="T53" s="327" t="s">
        <v>1284</v>
      </c>
      <c r="V53" s="43" t="s">
        <v>1658</v>
      </c>
      <c r="W53" s="221">
        <v>73000</v>
      </c>
      <c r="Y53" s="6">
        <f t="shared" si="3"/>
        <v>1</v>
      </c>
      <c r="Z53" s="562">
        <f t="shared" si="4"/>
        <v>82000</v>
      </c>
      <c r="AA53" s="122">
        <f t="shared" si="5"/>
        <v>3000</v>
      </c>
      <c r="AB53" s="122">
        <f t="shared" si="6"/>
        <v>9000</v>
      </c>
      <c r="AC53" s="6">
        <f t="shared" si="7"/>
        <v>1</v>
      </c>
      <c r="AD53" s="563">
        <f t="shared" si="10"/>
        <v>1</v>
      </c>
      <c r="AE53" s="64"/>
      <c r="AF53" s="31">
        <v>75000</v>
      </c>
      <c r="AG53" s="31">
        <v>7000</v>
      </c>
      <c r="AH53" s="31">
        <v>0</v>
      </c>
      <c r="AI53" s="31">
        <v>0</v>
      </c>
      <c r="AJ53" s="31">
        <v>82000</v>
      </c>
      <c r="AK53" s="31">
        <v>85000</v>
      </c>
      <c r="AL53" s="31">
        <v>0</v>
      </c>
      <c r="AM53" s="56">
        <v>85000</v>
      </c>
      <c r="AN53" s="31">
        <v>82000</v>
      </c>
      <c r="AO53" s="31" t="s">
        <v>1578</v>
      </c>
      <c r="AP53" s="23" t="s">
        <v>187</v>
      </c>
      <c r="AQ53" s="23" t="s">
        <v>1284</v>
      </c>
    </row>
    <row r="54" spans="1:43">
      <c r="A54" s="35">
        <v>51</v>
      </c>
      <c r="B54" s="35">
        <v>102</v>
      </c>
      <c r="C54" s="569" t="str">
        <f t="shared" si="0"/>
        <v>池袋ハウス</v>
      </c>
      <c r="D54" s="45" t="s">
        <v>1659</v>
      </c>
      <c r="E54" s="46">
        <v>23.27</v>
      </c>
      <c r="F54" s="324">
        <v>631</v>
      </c>
      <c r="G54" s="566" t="str">
        <f t="shared" si="1"/>
        <v>住居</v>
      </c>
      <c r="H54" s="44" t="s">
        <v>1567</v>
      </c>
      <c r="I54" s="325">
        <v>73000</v>
      </c>
      <c r="J54" s="325">
        <v>7000</v>
      </c>
      <c r="K54" s="325">
        <v>0</v>
      </c>
      <c r="L54" s="325">
        <v>0</v>
      </c>
      <c r="M54" s="565">
        <f t="shared" si="8"/>
        <v>80000</v>
      </c>
      <c r="N54" s="326">
        <v>89000</v>
      </c>
      <c r="O54" s="326">
        <v>0</v>
      </c>
      <c r="P54" s="565">
        <f t="shared" si="2"/>
        <v>89000</v>
      </c>
      <c r="Q54" s="565">
        <f t="shared" si="9"/>
        <v>80000</v>
      </c>
      <c r="R54" s="325" t="s">
        <v>1568</v>
      </c>
      <c r="S54" s="325" t="s">
        <v>187</v>
      </c>
      <c r="T54" s="327" t="s">
        <v>1284</v>
      </c>
      <c r="V54" s="43" t="s">
        <v>1660</v>
      </c>
      <c r="W54" s="221">
        <v>74000</v>
      </c>
      <c r="Y54" s="6">
        <f t="shared" si="3"/>
        <v>1</v>
      </c>
      <c r="Z54" s="562">
        <f t="shared" si="4"/>
        <v>80000</v>
      </c>
      <c r="AA54" s="122">
        <f t="shared" si="5"/>
        <v>9000</v>
      </c>
      <c r="AB54" s="122">
        <f t="shared" si="6"/>
        <v>6000</v>
      </c>
      <c r="AC54" s="6">
        <f t="shared" si="7"/>
        <v>1</v>
      </c>
      <c r="AD54" s="563">
        <f t="shared" si="10"/>
        <v>1</v>
      </c>
      <c r="AE54" s="64"/>
      <c r="AF54" s="31">
        <v>73000</v>
      </c>
      <c r="AG54" s="31">
        <v>7000</v>
      </c>
      <c r="AH54" s="31">
        <v>0</v>
      </c>
      <c r="AI54" s="31">
        <v>0</v>
      </c>
      <c r="AJ54" s="31">
        <v>80000</v>
      </c>
      <c r="AK54" s="31">
        <v>89000</v>
      </c>
      <c r="AL54" s="31">
        <v>0</v>
      </c>
      <c r="AM54" s="56">
        <v>89000</v>
      </c>
      <c r="AN54" s="31">
        <v>80000</v>
      </c>
      <c r="AO54" s="31" t="s">
        <v>1568</v>
      </c>
      <c r="AP54" s="23" t="s">
        <v>187</v>
      </c>
      <c r="AQ54" s="23" t="s">
        <v>1284</v>
      </c>
    </row>
    <row r="55" spans="1:43">
      <c r="A55" s="35">
        <v>52</v>
      </c>
      <c r="B55" s="35">
        <v>102</v>
      </c>
      <c r="C55" s="569" t="str">
        <f t="shared" si="0"/>
        <v>池袋ハウス</v>
      </c>
      <c r="D55" s="45" t="s">
        <v>1661</v>
      </c>
      <c r="E55" s="46">
        <v>20.92</v>
      </c>
      <c r="F55" s="324">
        <v>631</v>
      </c>
      <c r="G55" s="566" t="str">
        <f t="shared" si="1"/>
        <v>住居</v>
      </c>
      <c r="H55" s="44" t="s">
        <v>1567</v>
      </c>
      <c r="I55" s="325">
        <v>61000</v>
      </c>
      <c r="J55" s="325">
        <v>7000</v>
      </c>
      <c r="K55" s="325">
        <v>0</v>
      </c>
      <c r="L55" s="325">
        <v>0</v>
      </c>
      <c r="M55" s="565">
        <f t="shared" si="8"/>
        <v>68000</v>
      </c>
      <c r="N55" s="326">
        <v>68000</v>
      </c>
      <c r="O55" s="326">
        <v>0</v>
      </c>
      <c r="P55" s="565">
        <f t="shared" si="2"/>
        <v>68000</v>
      </c>
      <c r="Q55" s="565">
        <f t="shared" si="9"/>
        <v>68000</v>
      </c>
      <c r="R55" s="325" t="s">
        <v>1568</v>
      </c>
      <c r="S55" s="325" t="s">
        <v>187</v>
      </c>
      <c r="T55" s="327" t="s">
        <v>1284</v>
      </c>
      <c r="V55" s="43" t="s">
        <v>1662</v>
      </c>
      <c r="W55" s="221">
        <v>68000</v>
      </c>
      <c r="Y55" s="6">
        <f t="shared" si="3"/>
        <v>1</v>
      </c>
      <c r="Z55" s="562">
        <f t="shared" si="4"/>
        <v>68000</v>
      </c>
      <c r="AA55" s="122">
        <f t="shared" si="5"/>
        <v>0</v>
      </c>
      <c r="AB55" s="122">
        <f t="shared" si="6"/>
        <v>0</v>
      </c>
      <c r="AC55" s="6">
        <f t="shared" si="7"/>
        <v>1</v>
      </c>
      <c r="AD55" s="563">
        <f t="shared" si="10"/>
        <v>1</v>
      </c>
      <c r="AE55" s="64"/>
      <c r="AF55" s="31">
        <v>61000</v>
      </c>
      <c r="AG55" s="31">
        <v>7000</v>
      </c>
      <c r="AH55" s="31">
        <v>0</v>
      </c>
      <c r="AI55" s="31">
        <v>0</v>
      </c>
      <c r="AJ55" s="31">
        <v>68000</v>
      </c>
      <c r="AK55" s="31">
        <v>68000</v>
      </c>
      <c r="AL55" s="31">
        <v>0</v>
      </c>
      <c r="AM55" s="56">
        <v>68000</v>
      </c>
      <c r="AN55" s="31">
        <v>68000</v>
      </c>
      <c r="AO55" s="31" t="s">
        <v>1568</v>
      </c>
      <c r="AP55" s="23" t="s">
        <v>187</v>
      </c>
      <c r="AQ55" s="23" t="s">
        <v>1284</v>
      </c>
    </row>
    <row r="56" spans="1:43">
      <c r="A56" s="35">
        <v>53</v>
      </c>
      <c r="B56" s="35">
        <v>102</v>
      </c>
      <c r="C56" s="569" t="str">
        <f t="shared" si="0"/>
        <v>池袋ハウス</v>
      </c>
      <c r="D56" s="45" t="s">
        <v>1663</v>
      </c>
      <c r="E56" s="46">
        <v>31.18</v>
      </c>
      <c r="F56" s="324">
        <v>631</v>
      </c>
      <c r="G56" s="566" t="str">
        <f t="shared" si="1"/>
        <v>住居</v>
      </c>
      <c r="H56" s="44" t="s">
        <v>1567</v>
      </c>
      <c r="I56" s="325">
        <v>82000</v>
      </c>
      <c r="J56" s="325">
        <v>7000</v>
      </c>
      <c r="K56" s="325">
        <v>0</v>
      </c>
      <c r="L56" s="325">
        <v>0</v>
      </c>
      <c r="M56" s="565">
        <f t="shared" si="8"/>
        <v>89000</v>
      </c>
      <c r="N56" s="326">
        <v>89000</v>
      </c>
      <c r="O56" s="326">
        <v>0</v>
      </c>
      <c r="P56" s="565">
        <f t="shared" si="2"/>
        <v>89000</v>
      </c>
      <c r="Q56" s="565">
        <f t="shared" si="9"/>
        <v>89000</v>
      </c>
      <c r="R56" s="325" t="s">
        <v>1578</v>
      </c>
      <c r="S56" s="325" t="s">
        <v>187</v>
      </c>
      <c r="T56" s="327" t="s">
        <v>1284</v>
      </c>
      <c r="V56" s="43" t="s">
        <v>1664</v>
      </c>
      <c r="W56" s="221">
        <v>89000</v>
      </c>
      <c r="Y56" s="6">
        <f t="shared" si="3"/>
        <v>1</v>
      </c>
      <c r="Z56" s="562">
        <f t="shared" si="4"/>
        <v>89000</v>
      </c>
      <c r="AA56" s="122">
        <f t="shared" si="5"/>
        <v>0</v>
      </c>
      <c r="AB56" s="122">
        <f t="shared" si="6"/>
        <v>0</v>
      </c>
      <c r="AC56" s="6">
        <f t="shared" si="7"/>
        <v>1</v>
      </c>
      <c r="AD56" s="563">
        <f t="shared" si="10"/>
        <v>1</v>
      </c>
      <c r="AE56" s="64"/>
      <c r="AF56" s="31">
        <v>82000</v>
      </c>
      <c r="AG56" s="31">
        <v>7000</v>
      </c>
      <c r="AH56" s="31">
        <v>0</v>
      </c>
      <c r="AI56" s="31">
        <v>0</v>
      </c>
      <c r="AJ56" s="31">
        <v>89000</v>
      </c>
      <c r="AK56" s="31">
        <v>89000</v>
      </c>
      <c r="AL56" s="31">
        <v>0</v>
      </c>
      <c r="AM56" s="56">
        <v>89000</v>
      </c>
      <c r="AN56" s="31">
        <v>89000</v>
      </c>
      <c r="AO56" s="31" t="s">
        <v>1578</v>
      </c>
      <c r="AP56" s="23" t="s">
        <v>187</v>
      </c>
      <c r="AQ56" s="23" t="s">
        <v>1284</v>
      </c>
    </row>
    <row r="57" spans="1:43">
      <c r="A57" s="35">
        <v>54</v>
      </c>
      <c r="B57" s="35">
        <v>102</v>
      </c>
      <c r="C57" s="569" t="str">
        <f t="shared" si="0"/>
        <v>池袋ハウス</v>
      </c>
      <c r="D57" s="45" t="s">
        <v>1603</v>
      </c>
      <c r="E57" s="46">
        <v>34.72</v>
      </c>
      <c r="F57" s="324">
        <v>631</v>
      </c>
      <c r="G57" s="566" t="str">
        <f t="shared" si="1"/>
        <v>住居</v>
      </c>
      <c r="H57" s="44" t="s">
        <v>1567</v>
      </c>
      <c r="I57" s="325">
        <v>97000</v>
      </c>
      <c r="J57" s="325">
        <v>7000</v>
      </c>
      <c r="K57" s="325">
        <v>0</v>
      </c>
      <c r="L57" s="325">
        <v>0</v>
      </c>
      <c r="M57" s="565">
        <f t="shared" si="8"/>
        <v>104000</v>
      </c>
      <c r="N57" s="326">
        <v>104000</v>
      </c>
      <c r="O57" s="326">
        <v>0</v>
      </c>
      <c r="P57" s="565">
        <f t="shared" si="2"/>
        <v>104000</v>
      </c>
      <c r="Q57" s="565">
        <f t="shared" si="9"/>
        <v>104000</v>
      </c>
      <c r="R57" s="325" t="s">
        <v>1568</v>
      </c>
      <c r="S57" s="325" t="s">
        <v>187</v>
      </c>
      <c r="T57" s="327" t="s">
        <v>1284</v>
      </c>
      <c r="V57" s="43" t="s">
        <v>1665</v>
      </c>
      <c r="W57" s="221">
        <v>97000</v>
      </c>
      <c r="Y57" s="6">
        <f t="shared" si="3"/>
        <v>1</v>
      </c>
      <c r="Z57" s="562">
        <f t="shared" si="4"/>
        <v>104000</v>
      </c>
      <c r="AA57" s="122">
        <f t="shared" si="5"/>
        <v>0</v>
      </c>
      <c r="AB57" s="122">
        <f t="shared" si="6"/>
        <v>7000</v>
      </c>
      <c r="AC57" s="6">
        <f t="shared" si="7"/>
        <v>1</v>
      </c>
      <c r="AD57" s="563">
        <f t="shared" si="10"/>
        <v>1</v>
      </c>
      <c r="AE57" s="64"/>
      <c r="AF57" s="31">
        <v>97000</v>
      </c>
      <c r="AG57" s="31">
        <v>7000</v>
      </c>
      <c r="AH57" s="31">
        <v>0</v>
      </c>
      <c r="AI57" s="31">
        <v>0</v>
      </c>
      <c r="AJ57" s="31">
        <v>104000</v>
      </c>
      <c r="AK57" s="31">
        <v>104000</v>
      </c>
      <c r="AL57" s="31">
        <v>0</v>
      </c>
      <c r="AM57" s="56">
        <v>104000</v>
      </c>
      <c r="AN57" s="31">
        <v>104000</v>
      </c>
      <c r="AO57" s="31" t="s">
        <v>1568</v>
      </c>
      <c r="AP57" s="23" t="s">
        <v>187</v>
      </c>
      <c r="AQ57" s="23" t="s">
        <v>1284</v>
      </c>
    </row>
    <row r="58" spans="1:43">
      <c r="A58" s="35">
        <v>55</v>
      </c>
      <c r="B58" s="35">
        <v>102</v>
      </c>
      <c r="C58" s="569" t="str">
        <f t="shared" si="0"/>
        <v>池袋ハウス</v>
      </c>
      <c r="D58" s="45" t="s">
        <v>1605</v>
      </c>
      <c r="E58" s="46">
        <v>26.48</v>
      </c>
      <c r="F58" s="324">
        <v>631</v>
      </c>
      <c r="G58" s="566" t="str">
        <f t="shared" si="1"/>
        <v>住居</v>
      </c>
      <c r="H58" s="44" t="s">
        <v>1567</v>
      </c>
      <c r="I58" s="325">
        <v>92000</v>
      </c>
      <c r="J58" s="325">
        <v>7000</v>
      </c>
      <c r="K58" s="325">
        <v>0</v>
      </c>
      <c r="L58" s="325">
        <v>0</v>
      </c>
      <c r="M58" s="565">
        <f t="shared" si="8"/>
        <v>99000</v>
      </c>
      <c r="N58" s="326">
        <v>99000</v>
      </c>
      <c r="O58" s="326">
        <v>0</v>
      </c>
      <c r="P58" s="565">
        <f t="shared" si="2"/>
        <v>99000</v>
      </c>
      <c r="Q58" s="565">
        <f t="shared" si="9"/>
        <v>99000</v>
      </c>
      <c r="R58" s="325" t="s">
        <v>1578</v>
      </c>
      <c r="S58" s="325" t="s">
        <v>187</v>
      </c>
      <c r="T58" s="327" t="s">
        <v>1284</v>
      </c>
      <c r="V58" s="43" t="s">
        <v>1666</v>
      </c>
      <c r="W58" s="221">
        <v>91000</v>
      </c>
      <c r="Y58" s="6">
        <f t="shared" si="3"/>
        <v>1</v>
      </c>
      <c r="Z58" s="562">
        <f t="shared" si="4"/>
        <v>99000</v>
      </c>
      <c r="AA58" s="122">
        <f t="shared" si="5"/>
        <v>0</v>
      </c>
      <c r="AB58" s="122">
        <f t="shared" si="6"/>
        <v>8000</v>
      </c>
      <c r="AC58" s="6">
        <f t="shared" si="7"/>
        <v>1</v>
      </c>
      <c r="AD58" s="563">
        <f t="shared" si="10"/>
        <v>1</v>
      </c>
      <c r="AE58" s="64"/>
      <c r="AF58" s="31">
        <v>92000</v>
      </c>
      <c r="AG58" s="31">
        <v>7000</v>
      </c>
      <c r="AH58" s="31">
        <v>0</v>
      </c>
      <c r="AI58" s="31">
        <v>0</v>
      </c>
      <c r="AJ58" s="31">
        <v>99000</v>
      </c>
      <c r="AK58" s="31">
        <v>99000</v>
      </c>
      <c r="AL58" s="31">
        <v>0</v>
      </c>
      <c r="AM58" s="56">
        <v>99000</v>
      </c>
      <c r="AN58" s="31">
        <v>99000</v>
      </c>
      <c r="AO58" s="31" t="s">
        <v>1578</v>
      </c>
      <c r="AP58" s="23" t="s">
        <v>187</v>
      </c>
      <c r="AQ58" s="23" t="s">
        <v>1284</v>
      </c>
    </row>
    <row r="59" spans="1:43">
      <c r="A59" s="35">
        <v>56</v>
      </c>
      <c r="B59" s="35">
        <v>102</v>
      </c>
      <c r="C59" s="569" t="str">
        <f t="shared" si="0"/>
        <v>池袋ハウス</v>
      </c>
      <c r="D59" s="45" t="s">
        <v>1607</v>
      </c>
      <c r="E59" s="46">
        <v>42.38</v>
      </c>
      <c r="F59" s="324">
        <v>631</v>
      </c>
      <c r="G59" s="566" t="str">
        <f t="shared" si="1"/>
        <v>住居</v>
      </c>
      <c r="H59" s="44" t="s">
        <v>1667</v>
      </c>
      <c r="I59" s="325">
        <v>155000</v>
      </c>
      <c r="J59" s="325">
        <v>7000</v>
      </c>
      <c r="K59" s="325">
        <v>0</v>
      </c>
      <c r="L59" s="325">
        <v>0</v>
      </c>
      <c r="M59" s="565">
        <f t="shared" si="8"/>
        <v>162000</v>
      </c>
      <c r="N59" s="326">
        <v>159000</v>
      </c>
      <c r="O59" s="326">
        <v>0</v>
      </c>
      <c r="P59" s="565">
        <f t="shared" si="2"/>
        <v>159000</v>
      </c>
      <c r="Q59" s="565">
        <f t="shared" si="9"/>
        <v>162000</v>
      </c>
      <c r="R59" s="325" t="s">
        <v>1578</v>
      </c>
      <c r="S59" s="325" t="s">
        <v>187</v>
      </c>
      <c r="T59" s="327" t="s">
        <v>1284</v>
      </c>
      <c r="V59" s="43" t="s">
        <v>1668</v>
      </c>
      <c r="W59" s="221">
        <v>137000</v>
      </c>
      <c r="Y59" s="6">
        <f t="shared" si="3"/>
        <v>1</v>
      </c>
      <c r="Z59" s="562">
        <f t="shared" si="4"/>
        <v>162000</v>
      </c>
      <c r="AA59" s="122">
        <f t="shared" si="5"/>
        <v>-3000</v>
      </c>
      <c r="AB59" s="122">
        <f t="shared" si="6"/>
        <v>25000</v>
      </c>
      <c r="AC59" s="6">
        <f t="shared" si="7"/>
        <v>1</v>
      </c>
      <c r="AD59" s="563">
        <f t="shared" si="10"/>
        <v>1</v>
      </c>
      <c r="AE59" s="64"/>
      <c r="AF59" s="31">
        <v>155000</v>
      </c>
      <c r="AG59" s="31">
        <v>7000</v>
      </c>
      <c r="AH59" s="31">
        <v>0</v>
      </c>
      <c r="AI59" s="31">
        <v>0</v>
      </c>
      <c r="AJ59" s="31">
        <v>162000</v>
      </c>
      <c r="AK59" s="31">
        <v>159000</v>
      </c>
      <c r="AL59" s="31">
        <v>0</v>
      </c>
      <c r="AM59" s="56">
        <v>159000</v>
      </c>
      <c r="AN59" s="31">
        <v>162000</v>
      </c>
      <c r="AO59" s="31" t="s">
        <v>1578</v>
      </c>
      <c r="AP59" s="23" t="s">
        <v>187</v>
      </c>
      <c r="AQ59" s="23" t="s">
        <v>1284</v>
      </c>
    </row>
    <row r="60" spans="1:43">
      <c r="A60" s="35">
        <v>57</v>
      </c>
      <c r="B60" s="35">
        <v>102</v>
      </c>
      <c r="C60" s="569" t="str">
        <f t="shared" si="0"/>
        <v>池袋ハウス</v>
      </c>
      <c r="D60" s="45" t="s">
        <v>1609</v>
      </c>
      <c r="E60" s="46">
        <v>51.25</v>
      </c>
      <c r="F60" s="324">
        <v>631</v>
      </c>
      <c r="G60" s="566" t="str">
        <f t="shared" si="1"/>
        <v>住居</v>
      </c>
      <c r="H60" s="44" t="s">
        <v>1669</v>
      </c>
      <c r="I60" s="325">
        <v>110000</v>
      </c>
      <c r="J60" s="325">
        <v>7000</v>
      </c>
      <c r="K60" s="325">
        <v>0</v>
      </c>
      <c r="L60" s="325">
        <v>0</v>
      </c>
      <c r="M60" s="565">
        <f t="shared" si="8"/>
        <v>117000</v>
      </c>
      <c r="N60" s="326">
        <v>117000</v>
      </c>
      <c r="O60" s="326">
        <v>0</v>
      </c>
      <c r="P60" s="565">
        <f t="shared" si="2"/>
        <v>117000</v>
      </c>
      <c r="Q60" s="565">
        <f t="shared" si="9"/>
        <v>117000</v>
      </c>
      <c r="R60" s="325" t="s">
        <v>1568</v>
      </c>
      <c r="S60" s="325" t="s">
        <v>187</v>
      </c>
      <c r="T60" s="327" t="s">
        <v>1284</v>
      </c>
      <c r="V60" s="43" t="s">
        <v>1670</v>
      </c>
      <c r="W60" s="221">
        <v>102000</v>
      </c>
      <c r="Y60" s="6">
        <f t="shared" si="3"/>
        <v>1</v>
      </c>
      <c r="Z60" s="562">
        <f t="shared" si="4"/>
        <v>117000</v>
      </c>
      <c r="AA60" s="122">
        <f t="shared" si="5"/>
        <v>0</v>
      </c>
      <c r="AB60" s="122">
        <f t="shared" si="6"/>
        <v>15000</v>
      </c>
      <c r="AC60" s="6">
        <f t="shared" si="7"/>
        <v>1</v>
      </c>
      <c r="AD60" s="563">
        <f t="shared" si="10"/>
        <v>1</v>
      </c>
      <c r="AE60" s="64"/>
      <c r="AF60" s="31">
        <v>110000</v>
      </c>
      <c r="AG60" s="31">
        <v>7000</v>
      </c>
      <c r="AH60" s="31">
        <v>0</v>
      </c>
      <c r="AI60" s="31">
        <v>0</v>
      </c>
      <c r="AJ60" s="31">
        <v>117000</v>
      </c>
      <c r="AK60" s="31">
        <v>117000</v>
      </c>
      <c r="AL60" s="31">
        <v>0</v>
      </c>
      <c r="AM60" s="56">
        <v>117000</v>
      </c>
      <c r="AN60" s="31">
        <v>117000</v>
      </c>
      <c r="AO60" s="31" t="s">
        <v>1568</v>
      </c>
      <c r="AP60" s="23" t="s">
        <v>187</v>
      </c>
      <c r="AQ60" s="23" t="s">
        <v>1284</v>
      </c>
    </row>
    <row r="61" spans="1:43">
      <c r="A61" s="35">
        <v>58</v>
      </c>
      <c r="B61" s="35">
        <v>102</v>
      </c>
      <c r="C61" s="569" t="str">
        <f t="shared" si="0"/>
        <v>池袋ハウス</v>
      </c>
      <c r="D61" s="45" t="s">
        <v>1611</v>
      </c>
      <c r="E61" s="46">
        <v>51.25</v>
      </c>
      <c r="F61" s="324">
        <v>631</v>
      </c>
      <c r="G61" s="566" t="str">
        <f t="shared" si="1"/>
        <v>住居</v>
      </c>
      <c r="H61" s="44" t="s">
        <v>1667</v>
      </c>
      <c r="I61" s="325">
        <v>155000</v>
      </c>
      <c r="J61" s="325">
        <v>7000</v>
      </c>
      <c r="K61" s="325">
        <v>0</v>
      </c>
      <c r="L61" s="325">
        <v>0</v>
      </c>
      <c r="M61" s="565">
        <f t="shared" si="8"/>
        <v>162000</v>
      </c>
      <c r="N61" s="326">
        <v>167000</v>
      </c>
      <c r="O61" s="326">
        <v>0</v>
      </c>
      <c r="P61" s="565">
        <f t="shared" si="2"/>
        <v>167000</v>
      </c>
      <c r="Q61" s="565">
        <f t="shared" si="9"/>
        <v>162000</v>
      </c>
      <c r="R61" s="325" t="s">
        <v>1568</v>
      </c>
      <c r="S61" s="325" t="s">
        <v>187</v>
      </c>
      <c r="T61" s="327" t="s">
        <v>1284</v>
      </c>
      <c r="V61" s="43" t="s">
        <v>1671</v>
      </c>
      <c r="W61" s="221">
        <v>147000</v>
      </c>
      <c r="Y61" s="6">
        <f t="shared" si="3"/>
        <v>1</v>
      </c>
      <c r="Z61" s="562">
        <f t="shared" si="4"/>
        <v>162000</v>
      </c>
      <c r="AA61" s="122">
        <f t="shared" si="5"/>
        <v>5000</v>
      </c>
      <c r="AB61" s="122">
        <f t="shared" si="6"/>
        <v>15000</v>
      </c>
      <c r="AC61" s="6">
        <f t="shared" si="7"/>
        <v>1</v>
      </c>
      <c r="AD61" s="563">
        <f t="shared" si="10"/>
        <v>1</v>
      </c>
      <c r="AE61" s="64"/>
      <c r="AF61" s="31">
        <v>155000</v>
      </c>
      <c r="AG61" s="31">
        <v>7000</v>
      </c>
      <c r="AH61" s="31">
        <v>0</v>
      </c>
      <c r="AI61" s="31">
        <v>0</v>
      </c>
      <c r="AJ61" s="31">
        <v>162000</v>
      </c>
      <c r="AK61" s="31">
        <v>167000</v>
      </c>
      <c r="AL61" s="31">
        <v>0</v>
      </c>
      <c r="AM61" s="56">
        <v>167000</v>
      </c>
      <c r="AN61" s="31">
        <v>162000</v>
      </c>
      <c r="AO61" s="31" t="s">
        <v>1568</v>
      </c>
      <c r="AP61" s="23" t="s">
        <v>187</v>
      </c>
      <c r="AQ61" s="23" t="s">
        <v>1284</v>
      </c>
    </row>
    <row r="62" spans="1:43">
      <c r="A62" s="35">
        <v>59</v>
      </c>
      <c r="B62" s="35">
        <v>102</v>
      </c>
      <c r="C62" s="569" t="str">
        <f t="shared" si="0"/>
        <v>池袋ハウス</v>
      </c>
      <c r="D62" s="45" t="s">
        <v>1613</v>
      </c>
      <c r="E62" s="46">
        <v>49.79</v>
      </c>
      <c r="F62" s="324">
        <v>631</v>
      </c>
      <c r="G62" s="566" t="str">
        <f t="shared" si="1"/>
        <v>住居</v>
      </c>
      <c r="H62" s="44" t="s">
        <v>1667</v>
      </c>
      <c r="I62" s="325">
        <v>162000</v>
      </c>
      <c r="J62" s="325">
        <v>7000</v>
      </c>
      <c r="K62" s="325">
        <v>0</v>
      </c>
      <c r="L62" s="325">
        <v>0</v>
      </c>
      <c r="M62" s="565">
        <f t="shared" si="8"/>
        <v>169000</v>
      </c>
      <c r="N62" s="326">
        <v>169000</v>
      </c>
      <c r="O62" s="326">
        <v>0</v>
      </c>
      <c r="P62" s="565">
        <f t="shared" si="2"/>
        <v>169000</v>
      </c>
      <c r="Q62" s="565">
        <f t="shared" si="9"/>
        <v>169000</v>
      </c>
      <c r="R62" s="325" t="s">
        <v>1578</v>
      </c>
      <c r="S62" s="325" t="s">
        <v>187</v>
      </c>
      <c r="T62" s="327" t="s">
        <v>1284</v>
      </c>
      <c r="V62" s="43" t="s">
        <v>1672</v>
      </c>
      <c r="W62" s="221">
        <v>147000</v>
      </c>
      <c r="Y62" s="6">
        <f t="shared" si="3"/>
        <v>1</v>
      </c>
      <c r="Z62" s="562">
        <f t="shared" si="4"/>
        <v>169000</v>
      </c>
      <c r="AA62" s="122">
        <f t="shared" si="5"/>
        <v>0</v>
      </c>
      <c r="AB62" s="122">
        <f t="shared" si="6"/>
        <v>22000</v>
      </c>
      <c r="AC62" s="6">
        <f t="shared" si="7"/>
        <v>1</v>
      </c>
      <c r="AD62" s="563">
        <f t="shared" si="10"/>
        <v>1</v>
      </c>
      <c r="AE62" s="64"/>
      <c r="AF62" s="31">
        <v>162000</v>
      </c>
      <c r="AG62" s="31">
        <v>7000</v>
      </c>
      <c r="AH62" s="31">
        <v>0</v>
      </c>
      <c r="AI62" s="31">
        <v>0</v>
      </c>
      <c r="AJ62" s="31">
        <v>169000</v>
      </c>
      <c r="AK62" s="31">
        <v>169000</v>
      </c>
      <c r="AL62" s="31">
        <v>0</v>
      </c>
      <c r="AM62" s="56">
        <v>169000</v>
      </c>
      <c r="AN62" s="31">
        <v>169000</v>
      </c>
      <c r="AO62" s="31" t="s">
        <v>1578</v>
      </c>
      <c r="AP62" s="23" t="s">
        <v>187</v>
      </c>
      <c r="AQ62" s="23" t="s">
        <v>1284</v>
      </c>
    </row>
    <row r="63" spans="1:43">
      <c r="A63" s="35">
        <v>60</v>
      </c>
      <c r="B63" s="35">
        <v>102</v>
      </c>
      <c r="C63" s="569" t="str">
        <f t="shared" si="0"/>
        <v>池袋ハウス</v>
      </c>
      <c r="D63" s="45" t="s">
        <v>1673</v>
      </c>
      <c r="E63" s="46">
        <v>0</v>
      </c>
      <c r="F63" s="324">
        <v>634</v>
      </c>
      <c r="G63" s="566" t="str">
        <f t="shared" si="1"/>
        <v>駐車場</v>
      </c>
      <c r="H63" s="44" t="s">
        <v>1674</v>
      </c>
      <c r="I63" s="325">
        <v>33000</v>
      </c>
      <c r="J63" s="325">
        <v>0</v>
      </c>
      <c r="K63" s="325">
        <v>0</v>
      </c>
      <c r="L63" s="325">
        <v>3000</v>
      </c>
      <c r="M63" s="565">
        <f t="shared" si="8"/>
        <v>36000</v>
      </c>
      <c r="N63" s="326">
        <v>30000</v>
      </c>
      <c r="O63" s="326">
        <v>3000</v>
      </c>
      <c r="P63" s="565">
        <f t="shared" si="2"/>
        <v>33000</v>
      </c>
      <c r="Q63" s="565">
        <f t="shared" si="9"/>
        <v>36000</v>
      </c>
      <c r="R63" s="325" t="s">
        <v>1568</v>
      </c>
      <c r="S63" s="325" t="s">
        <v>187</v>
      </c>
      <c r="T63" s="327" t="s">
        <v>1284</v>
      </c>
      <c r="V63" s="43" t="s">
        <v>1675</v>
      </c>
      <c r="W63" s="221">
        <v>30000</v>
      </c>
      <c r="Y63" s="6">
        <f t="shared" si="3"/>
        <v>1</v>
      </c>
      <c r="Z63" s="562">
        <f t="shared" si="4"/>
        <v>33000</v>
      </c>
      <c r="AA63" s="122">
        <f t="shared" si="5"/>
        <v>-3000</v>
      </c>
      <c r="AB63" s="122">
        <f t="shared" si="6"/>
        <v>3000</v>
      </c>
      <c r="AC63" s="6">
        <f t="shared" si="7"/>
        <v>1</v>
      </c>
      <c r="AD63" s="563">
        <f t="shared" si="10"/>
        <v>1</v>
      </c>
      <c r="AE63" s="64"/>
      <c r="AF63" s="31">
        <v>33000</v>
      </c>
      <c r="AG63" s="31">
        <v>0</v>
      </c>
      <c r="AH63" s="31">
        <v>0</v>
      </c>
      <c r="AI63" s="31">
        <v>3000</v>
      </c>
      <c r="AJ63" s="31">
        <v>36000</v>
      </c>
      <c r="AK63" s="31">
        <v>30000</v>
      </c>
      <c r="AL63" s="31">
        <v>3000</v>
      </c>
      <c r="AM63" s="56">
        <v>33000</v>
      </c>
      <c r="AN63" s="31">
        <v>36000</v>
      </c>
      <c r="AO63" s="31" t="s">
        <v>1568</v>
      </c>
      <c r="AP63" s="23" t="s">
        <v>187</v>
      </c>
      <c r="AQ63" s="23" t="s">
        <v>1284</v>
      </c>
    </row>
    <row r="64" spans="1:43">
      <c r="A64" s="35">
        <v>61</v>
      </c>
      <c r="B64" s="35">
        <v>102</v>
      </c>
      <c r="C64" s="569" t="str">
        <f t="shared" si="0"/>
        <v>池袋ハウス</v>
      </c>
      <c r="D64" s="45" t="s">
        <v>1676</v>
      </c>
      <c r="E64" s="46">
        <v>0</v>
      </c>
      <c r="F64" s="324">
        <v>634</v>
      </c>
      <c r="G64" s="566" t="str">
        <f t="shared" si="1"/>
        <v>駐車場</v>
      </c>
      <c r="H64" s="44" t="s">
        <v>1674</v>
      </c>
      <c r="I64" s="325">
        <v>33000</v>
      </c>
      <c r="J64" s="325">
        <v>0</v>
      </c>
      <c r="K64" s="325">
        <v>0</v>
      </c>
      <c r="L64" s="325">
        <v>3000</v>
      </c>
      <c r="M64" s="565">
        <f t="shared" si="8"/>
        <v>36000</v>
      </c>
      <c r="N64" s="326">
        <v>30000</v>
      </c>
      <c r="O64" s="326">
        <v>3000</v>
      </c>
      <c r="P64" s="565">
        <f t="shared" si="2"/>
        <v>33000</v>
      </c>
      <c r="Q64" s="565">
        <f t="shared" si="9"/>
        <v>36000</v>
      </c>
      <c r="R64" s="325" t="s">
        <v>1575</v>
      </c>
      <c r="S64" s="325" t="s">
        <v>187</v>
      </c>
      <c r="T64" s="327" t="s">
        <v>1284</v>
      </c>
      <c r="V64" s="43" t="s">
        <v>1677</v>
      </c>
      <c r="W64" s="221">
        <v>30000</v>
      </c>
      <c r="Y64" s="6">
        <f t="shared" si="3"/>
        <v>1</v>
      </c>
      <c r="Z64" s="562">
        <f t="shared" si="4"/>
        <v>33000</v>
      </c>
      <c r="AA64" s="122">
        <f t="shared" si="5"/>
        <v>-3000</v>
      </c>
      <c r="AB64" s="122">
        <f t="shared" si="6"/>
        <v>3000</v>
      </c>
      <c r="AC64" s="6">
        <f t="shared" si="7"/>
        <v>1</v>
      </c>
      <c r="AD64" s="563">
        <f t="shared" si="10"/>
        <v>1</v>
      </c>
      <c r="AE64" s="64"/>
      <c r="AF64" s="31">
        <v>33000</v>
      </c>
      <c r="AG64" s="31">
        <v>0</v>
      </c>
      <c r="AH64" s="31">
        <v>0</v>
      </c>
      <c r="AI64" s="31">
        <v>3000</v>
      </c>
      <c r="AJ64" s="31">
        <v>36000</v>
      </c>
      <c r="AK64" s="31">
        <v>30000</v>
      </c>
      <c r="AL64" s="31">
        <v>3000</v>
      </c>
      <c r="AM64" s="56">
        <v>33000</v>
      </c>
      <c r="AN64" s="31">
        <v>36000</v>
      </c>
      <c r="AO64" s="31" t="s">
        <v>1575</v>
      </c>
      <c r="AP64" s="23" t="s">
        <v>187</v>
      </c>
      <c r="AQ64" s="23" t="s">
        <v>1284</v>
      </c>
    </row>
    <row r="65" spans="1:43">
      <c r="A65" s="35">
        <v>62</v>
      </c>
      <c r="B65" s="35">
        <v>102</v>
      </c>
      <c r="C65" s="569" t="str">
        <f t="shared" si="0"/>
        <v>池袋ハウス</v>
      </c>
      <c r="D65" s="45" t="s">
        <v>1678</v>
      </c>
      <c r="E65" s="46" t="s">
        <v>1017</v>
      </c>
      <c r="F65" s="324">
        <v>639</v>
      </c>
      <c r="G65" s="566" t="str">
        <f t="shared" si="1"/>
        <v>その他</v>
      </c>
      <c r="H65" s="44" t="s">
        <v>729</v>
      </c>
      <c r="I65" s="325">
        <v>0</v>
      </c>
      <c r="J65" s="325">
        <v>0</v>
      </c>
      <c r="K65" s="325">
        <v>0</v>
      </c>
      <c r="L65" s="325">
        <v>0</v>
      </c>
      <c r="M65" s="565">
        <f t="shared" si="8"/>
        <v>0</v>
      </c>
      <c r="N65" s="326">
        <v>0</v>
      </c>
      <c r="O65" s="326">
        <v>0</v>
      </c>
      <c r="P65" s="565">
        <f t="shared" si="2"/>
        <v>0</v>
      </c>
      <c r="Q65" s="565">
        <f t="shared" si="9"/>
        <v>0</v>
      </c>
      <c r="R65" s="325" t="s">
        <v>1017</v>
      </c>
      <c r="S65" s="325" t="s">
        <v>283</v>
      </c>
      <c r="T65" s="327" t="s">
        <v>1679</v>
      </c>
      <c r="V65" s="43" t="s">
        <v>1680</v>
      </c>
      <c r="W65" s="221">
        <v>0</v>
      </c>
      <c r="Y65" s="6">
        <f t="shared" si="3"/>
        <v>0</v>
      </c>
      <c r="Z65" s="562">
        <f t="shared" si="4"/>
        <v>0</v>
      </c>
      <c r="AA65" s="122">
        <f t="shared" si="5"/>
        <v>0</v>
      </c>
      <c r="AB65" s="122">
        <f t="shared" si="6"/>
        <v>0</v>
      </c>
      <c r="AC65" s="6">
        <f t="shared" si="7"/>
        <v>0</v>
      </c>
      <c r="AD65" s="563">
        <f t="shared" si="10"/>
        <v>1</v>
      </c>
      <c r="AE65" s="64"/>
      <c r="AF65" s="31">
        <v>0</v>
      </c>
      <c r="AG65" s="31">
        <v>0</v>
      </c>
      <c r="AH65" s="31">
        <v>0</v>
      </c>
      <c r="AI65" s="31">
        <v>0</v>
      </c>
      <c r="AJ65" s="31">
        <v>0</v>
      </c>
      <c r="AK65" s="31">
        <v>0</v>
      </c>
      <c r="AL65" s="31">
        <v>0</v>
      </c>
      <c r="AM65" s="56">
        <v>0</v>
      </c>
      <c r="AN65" s="31">
        <v>0</v>
      </c>
      <c r="AO65" s="31" t="s">
        <v>1017</v>
      </c>
      <c r="AP65" s="23" t="s">
        <v>283</v>
      </c>
      <c r="AQ65" s="23" t="s">
        <v>1681</v>
      </c>
    </row>
    <row r="66" spans="1:43">
      <c r="A66" s="36">
        <v>63</v>
      </c>
      <c r="B66" s="36">
        <v>103</v>
      </c>
      <c r="C66" s="570" t="str">
        <f t="shared" si="0"/>
        <v>カーサ目白台ハウス</v>
      </c>
      <c r="D66" s="45" t="s">
        <v>1566</v>
      </c>
      <c r="E66" s="46">
        <v>58.31</v>
      </c>
      <c r="F66" s="324">
        <v>632</v>
      </c>
      <c r="G66" s="566" t="str">
        <f t="shared" si="1"/>
        <v>事務所</v>
      </c>
      <c r="H66" s="44" t="s">
        <v>1616</v>
      </c>
      <c r="I66" s="325">
        <v>157408</v>
      </c>
      <c r="J66" s="325">
        <v>0</v>
      </c>
      <c r="K66" s="325">
        <v>0</v>
      </c>
      <c r="L66" s="325">
        <v>15740</v>
      </c>
      <c r="M66" s="565">
        <f t="shared" si="8"/>
        <v>173148</v>
      </c>
      <c r="N66" s="326">
        <v>157407</v>
      </c>
      <c r="O66" s="326">
        <v>15740.727272727272</v>
      </c>
      <c r="P66" s="565">
        <f t="shared" si="2"/>
        <v>173147.72727272726</v>
      </c>
      <c r="Q66" s="565">
        <f t="shared" si="9"/>
        <v>173148</v>
      </c>
      <c r="R66" s="325" t="s">
        <v>1575</v>
      </c>
      <c r="S66" s="325" t="s">
        <v>187</v>
      </c>
      <c r="T66" s="327" t="s">
        <v>1284</v>
      </c>
      <c r="V66" s="43" t="s">
        <v>1682</v>
      </c>
      <c r="W66" s="221">
        <v>175000</v>
      </c>
      <c r="Y66" s="6">
        <f t="shared" si="3"/>
        <v>1</v>
      </c>
      <c r="Z66" s="562">
        <f t="shared" si="4"/>
        <v>157408</v>
      </c>
      <c r="AA66" s="122">
        <f t="shared" si="5"/>
        <v>-1</v>
      </c>
      <c r="AB66" s="122">
        <f t="shared" si="6"/>
        <v>-17592</v>
      </c>
      <c r="AC66" s="6">
        <f t="shared" si="7"/>
        <v>1</v>
      </c>
      <c r="AD66" s="563">
        <f t="shared" si="10"/>
        <v>1</v>
      </c>
      <c r="AE66" s="64"/>
      <c r="AF66" s="31">
        <v>157408</v>
      </c>
      <c r="AG66" s="31">
        <v>0</v>
      </c>
      <c r="AH66" s="31">
        <v>0</v>
      </c>
      <c r="AI66" s="31">
        <v>15740</v>
      </c>
      <c r="AJ66" s="31">
        <v>173148</v>
      </c>
      <c r="AK66" s="31">
        <v>157407</v>
      </c>
      <c r="AL66" s="31">
        <v>15740.727272727272</v>
      </c>
      <c r="AM66" s="56">
        <v>173147.72727272726</v>
      </c>
      <c r="AN66" s="31">
        <v>173148</v>
      </c>
      <c r="AO66" s="31" t="s">
        <v>1575</v>
      </c>
      <c r="AP66" s="23" t="s">
        <v>187</v>
      </c>
      <c r="AQ66" s="23" t="s">
        <v>1284</v>
      </c>
    </row>
    <row r="67" spans="1:43">
      <c r="A67" s="36">
        <v>64</v>
      </c>
      <c r="B67" s="36">
        <v>103</v>
      </c>
      <c r="C67" s="570" t="str">
        <f t="shared" si="0"/>
        <v>カーサ目白台ハウス</v>
      </c>
      <c r="D67" s="45" t="s">
        <v>1570</v>
      </c>
      <c r="E67" s="46">
        <v>57</v>
      </c>
      <c r="F67" s="324">
        <v>632</v>
      </c>
      <c r="G67" s="566" t="str">
        <f t="shared" si="1"/>
        <v>事務所</v>
      </c>
      <c r="H67" s="44" t="s">
        <v>1616</v>
      </c>
      <c r="I67" s="325">
        <v>172222</v>
      </c>
      <c r="J67" s="325">
        <v>0</v>
      </c>
      <c r="K67" s="325">
        <v>0</v>
      </c>
      <c r="L67" s="325">
        <v>17222</v>
      </c>
      <c r="M67" s="565">
        <f t="shared" si="8"/>
        <v>189444</v>
      </c>
      <c r="N67" s="326">
        <v>172221</v>
      </c>
      <c r="O67" s="326">
        <v>17222.18181818182</v>
      </c>
      <c r="P67" s="565">
        <f t="shared" si="2"/>
        <v>189443.18181818182</v>
      </c>
      <c r="Q67" s="565">
        <f t="shared" si="9"/>
        <v>189444</v>
      </c>
      <c r="R67" s="325" t="s">
        <v>1568</v>
      </c>
      <c r="S67" s="325" t="s">
        <v>187</v>
      </c>
      <c r="T67" s="327" t="s">
        <v>1284</v>
      </c>
      <c r="V67" s="43" t="s">
        <v>1683</v>
      </c>
      <c r="W67" s="221">
        <v>350000</v>
      </c>
      <c r="Y67" s="6">
        <f t="shared" si="3"/>
        <v>1</v>
      </c>
      <c r="Z67" s="562">
        <f t="shared" si="4"/>
        <v>172222</v>
      </c>
      <c r="AA67" s="122">
        <f t="shared" si="5"/>
        <v>-1</v>
      </c>
      <c r="AB67" s="122">
        <f t="shared" si="6"/>
        <v>-177778</v>
      </c>
      <c r="AC67" s="6">
        <f t="shared" si="7"/>
        <v>1</v>
      </c>
      <c r="AD67" s="563">
        <f t="shared" si="10"/>
        <v>1</v>
      </c>
      <c r="AE67" s="64"/>
      <c r="AF67" s="31">
        <v>172222</v>
      </c>
      <c r="AG67" s="31">
        <v>0</v>
      </c>
      <c r="AH67" s="31">
        <v>0</v>
      </c>
      <c r="AI67" s="31">
        <v>17222</v>
      </c>
      <c r="AJ67" s="31">
        <v>189444</v>
      </c>
      <c r="AK67" s="31">
        <v>172221</v>
      </c>
      <c r="AL67" s="31">
        <v>17222.18181818182</v>
      </c>
      <c r="AM67" s="56">
        <v>189443.18181818182</v>
      </c>
      <c r="AN67" s="31">
        <v>189444</v>
      </c>
      <c r="AO67" s="31" t="s">
        <v>1568</v>
      </c>
      <c r="AP67" s="23" t="s">
        <v>187</v>
      </c>
      <c r="AQ67" s="23" t="s">
        <v>1284</v>
      </c>
    </row>
    <row r="68" spans="1:43">
      <c r="A68" s="36">
        <v>65</v>
      </c>
      <c r="B68" s="36">
        <v>103</v>
      </c>
      <c r="C68" s="570" t="str">
        <f t="shared" ref="C68:C131" si="11">VLOOKUP(B68,id_settings,2,FALSE)</f>
        <v>カーサ目白台ハウス</v>
      </c>
      <c r="D68" s="45" t="s">
        <v>1572</v>
      </c>
      <c r="E68" s="46">
        <v>56.89</v>
      </c>
      <c r="F68" s="324">
        <v>632</v>
      </c>
      <c r="G68" s="566" t="str">
        <f t="shared" ref="G68:G131" si="12">VLOOKUP(F68,id_settings,2,FALSE)</f>
        <v>事務所</v>
      </c>
      <c r="H68" s="44" t="s">
        <v>1616</v>
      </c>
      <c r="I68" s="325">
        <v>170000</v>
      </c>
      <c r="J68" s="325">
        <v>0</v>
      </c>
      <c r="K68" s="325">
        <v>0</v>
      </c>
      <c r="L68" s="325">
        <v>17000</v>
      </c>
      <c r="M68" s="565">
        <f t="shared" si="8"/>
        <v>187000</v>
      </c>
      <c r="N68" s="326">
        <v>170000</v>
      </c>
      <c r="O68" s="326">
        <v>17000</v>
      </c>
      <c r="P68" s="565">
        <f t="shared" ref="P68:P131" si="13">N68+O68</f>
        <v>187000</v>
      </c>
      <c r="Q68" s="565">
        <f t="shared" si="9"/>
        <v>187000</v>
      </c>
      <c r="R68" s="325" t="s">
        <v>1575</v>
      </c>
      <c r="S68" s="325" t="s">
        <v>187</v>
      </c>
      <c r="T68" s="327" t="s">
        <v>1284</v>
      </c>
      <c r="V68" s="43" t="s">
        <v>1684</v>
      </c>
      <c r="W68" s="221">
        <v>170000</v>
      </c>
      <c r="Y68" s="6">
        <f t="shared" ref="Y68:Y131" si="14">IF(M68=0,0,1)</f>
        <v>1</v>
      </c>
      <c r="Z68" s="562">
        <f t="shared" ref="Z68:Z131" si="15">IF(Y68=1,SUM(I68:K68),N68)</f>
        <v>170000</v>
      </c>
      <c r="AA68" s="122">
        <f t="shared" ref="AA68:AA131" si="16">N68-Z68</f>
        <v>0</v>
      </c>
      <c r="AB68" s="122">
        <f t="shared" ref="AB68:AB131" si="17">Z68-W68</f>
        <v>0</v>
      </c>
      <c r="AC68" s="6">
        <f t="shared" ref="AC68:AC131" si="18">IF(E68="-",0,1)</f>
        <v>1</v>
      </c>
      <c r="AD68" s="563">
        <f t="shared" si="10"/>
        <v>1</v>
      </c>
      <c r="AE68" s="64"/>
      <c r="AF68" s="31">
        <v>170000</v>
      </c>
      <c r="AG68" s="31">
        <v>0</v>
      </c>
      <c r="AH68" s="31">
        <v>0</v>
      </c>
      <c r="AI68" s="31">
        <v>17000</v>
      </c>
      <c r="AJ68" s="31">
        <v>187000</v>
      </c>
      <c r="AK68" s="31">
        <v>170000</v>
      </c>
      <c r="AL68" s="31">
        <v>17000</v>
      </c>
      <c r="AM68" s="56">
        <v>187000</v>
      </c>
      <c r="AN68" s="31">
        <v>187000</v>
      </c>
      <c r="AO68" s="31" t="s">
        <v>1575</v>
      </c>
      <c r="AP68" s="23" t="s">
        <v>187</v>
      </c>
      <c r="AQ68" s="23" t="s">
        <v>1284</v>
      </c>
    </row>
    <row r="69" spans="1:43">
      <c r="A69" s="36">
        <v>66</v>
      </c>
      <c r="B69" s="36">
        <v>103</v>
      </c>
      <c r="C69" s="570" t="str">
        <f t="shared" si="11"/>
        <v>カーサ目白台ハウス</v>
      </c>
      <c r="D69" s="45" t="s">
        <v>1580</v>
      </c>
      <c r="E69" s="46">
        <v>51.3</v>
      </c>
      <c r="F69" s="324">
        <v>633</v>
      </c>
      <c r="G69" s="566" t="str">
        <f t="shared" si="12"/>
        <v>店舗</v>
      </c>
      <c r="H69" s="44" t="s">
        <v>1616</v>
      </c>
      <c r="I69" s="325">
        <v>180000</v>
      </c>
      <c r="J69" s="325">
        <v>0</v>
      </c>
      <c r="K69" s="325">
        <v>0</v>
      </c>
      <c r="L69" s="325">
        <v>18000</v>
      </c>
      <c r="M69" s="565">
        <f t="shared" ref="M69:M132" si="19">SUM(I69:L69)</f>
        <v>198000</v>
      </c>
      <c r="N69" s="326">
        <v>180000</v>
      </c>
      <c r="O69" s="326">
        <v>18000</v>
      </c>
      <c r="P69" s="565">
        <f t="shared" si="13"/>
        <v>198000</v>
      </c>
      <c r="Q69" s="565">
        <f t="shared" ref="Q69:Q132" si="20">VALUE(IF(Y69=0,N69+O69,M69))</f>
        <v>198000</v>
      </c>
      <c r="R69" s="325" t="s">
        <v>1575</v>
      </c>
      <c r="S69" s="325" t="s">
        <v>187</v>
      </c>
      <c r="T69" s="327" t="s">
        <v>1284</v>
      </c>
      <c r="V69" s="43" t="s">
        <v>1685</v>
      </c>
      <c r="W69" s="221">
        <v>180000</v>
      </c>
      <c r="Y69" s="6">
        <f t="shared" si="14"/>
        <v>1</v>
      </c>
      <c r="Z69" s="562">
        <f t="shared" si="15"/>
        <v>180000</v>
      </c>
      <c r="AA69" s="122">
        <f t="shared" si="16"/>
        <v>0</v>
      </c>
      <c r="AB69" s="122">
        <f t="shared" si="17"/>
        <v>0</v>
      </c>
      <c r="AC69" s="6">
        <f t="shared" si="18"/>
        <v>1</v>
      </c>
      <c r="AD69" s="563">
        <f t="shared" ref="AD69:AD132" si="21">IF(I69="-",0,1)</f>
        <v>1</v>
      </c>
      <c r="AE69" s="64"/>
      <c r="AF69" s="31">
        <v>180000</v>
      </c>
      <c r="AG69" s="31">
        <v>0</v>
      </c>
      <c r="AH69" s="31">
        <v>0</v>
      </c>
      <c r="AI69" s="31">
        <v>18000</v>
      </c>
      <c r="AJ69" s="31">
        <v>198000</v>
      </c>
      <c r="AK69" s="31">
        <v>180000</v>
      </c>
      <c r="AL69" s="31">
        <v>18000</v>
      </c>
      <c r="AM69" s="56">
        <v>198000</v>
      </c>
      <c r="AN69" s="31">
        <v>198000</v>
      </c>
      <c r="AO69" s="31" t="s">
        <v>1575</v>
      </c>
      <c r="AP69" s="23" t="s">
        <v>187</v>
      </c>
      <c r="AQ69" s="23" t="s">
        <v>1284</v>
      </c>
    </row>
    <row r="70" spans="1:43">
      <c r="A70" s="36">
        <v>67</v>
      </c>
      <c r="B70" s="36">
        <v>103</v>
      </c>
      <c r="C70" s="570" t="str">
        <f t="shared" si="11"/>
        <v>カーサ目白台ハウス</v>
      </c>
      <c r="D70" s="45" t="s">
        <v>1582</v>
      </c>
      <c r="E70" s="46">
        <v>50</v>
      </c>
      <c r="F70" s="324">
        <v>633</v>
      </c>
      <c r="G70" s="566" t="str">
        <f t="shared" si="12"/>
        <v>店舗</v>
      </c>
      <c r="H70" s="44" t="s">
        <v>1616</v>
      </c>
      <c r="I70" s="325">
        <v>150000</v>
      </c>
      <c r="J70" s="325">
        <v>0</v>
      </c>
      <c r="K70" s="325">
        <v>0</v>
      </c>
      <c r="L70" s="325">
        <v>15000</v>
      </c>
      <c r="M70" s="565">
        <f t="shared" si="19"/>
        <v>165000</v>
      </c>
      <c r="N70" s="326">
        <v>150000</v>
      </c>
      <c r="O70" s="326">
        <v>15000</v>
      </c>
      <c r="P70" s="565">
        <f t="shared" si="13"/>
        <v>165000</v>
      </c>
      <c r="Q70" s="565">
        <f t="shared" si="20"/>
        <v>165000</v>
      </c>
      <c r="R70" s="325" t="s">
        <v>1575</v>
      </c>
      <c r="S70" s="325" t="s">
        <v>187</v>
      </c>
      <c r="T70" s="327" t="s">
        <v>1284</v>
      </c>
      <c r="V70" s="43" t="s">
        <v>1686</v>
      </c>
      <c r="W70" s="221">
        <v>150000</v>
      </c>
      <c r="Y70" s="6">
        <f t="shared" si="14"/>
        <v>1</v>
      </c>
      <c r="Z70" s="562">
        <f t="shared" si="15"/>
        <v>150000</v>
      </c>
      <c r="AA70" s="122">
        <f t="shared" si="16"/>
        <v>0</v>
      </c>
      <c r="AB70" s="122">
        <f t="shared" si="17"/>
        <v>0</v>
      </c>
      <c r="AC70" s="6">
        <f t="shared" si="18"/>
        <v>1</v>
      </c>
      <c r="AD70" s="563">
        <f t="shared" si="21"/>
        <v>1</v>
      </c>
      <c r="AE70" s="64"/>
      <c r="AF70" s="31">
        <v>150000</v>
      </c>
      <c r="AG70" s="31">
        <v>0</v>
      </c>
      <c r="AH70" s="31">
        <v>0</v>
      </c>
      <c r="AI70" s="31">
        <v>15000</v>
      </c>
      <c r="AJ70" s="31">
        <v>165000</v>
      </c>
      <c r="AK70" s="31">
        <v>150000</v>
      </c>
      <c r="AL70" s="31">
        <v>15000</v>
      </c>
      <c r="AM70" s="56">
        <v>165000</v>
      </c>
      <c r="AN70" s="31">
        <v>165000</v>
      </c>
      <c r="AO70" s="31" t="s">
        <v>1575</v>
      </c>
      <c r="AP70" s="23" t="s">
        <v>187</v>
      </c>
      <c r="AQ70" s="23" t="s">
        <v>1284</v>
      </c>
    </row>
    <row r="71" spans="1:43">
      <c r="A71" s="36">
        <v>68</v>
      </c>
      <c r="B71" s="36">
        <v>103</v>
      </c>
      <c r="C71" s="570" t="str">
        <f t="shared" si="11"/>
        <v>カーサ目白台ハウス</v>
      </c>
      <c r="D71" s="45" t="s">
        <v>1585</v>
      </c>
      <c r="E71" s="46">
        <v>26.4</v>
      </c>
      <c r="F71" s="324">
        <v>632</v>
      </c>
      <c r="G71" s="566" t="str">
        <f t="shared" si="12"/>
        <v>事務所</v>
      </c>
      <c r="H71" s="44" t="s">
        <v>1616</v>
      </c>
      <c r="I71" s="325">
        <v>85715</v>
      </c>
      <c r="J71" s="325">
        <v>0</v>
      </c>
      <c r="K71" s="325">
        <v>0</v>
      </c>
      <c r="L71" s="325">
        <v>8571</v>
      </c>
      <c r="M71" s="565">
        <f t="shared" si="19"/>
        <v>94286</v>
      </c>
      <c r="N71" s="326">
        <v>85715</v>
      </c>
      <c r="O71" s="326">
        <v>8571.545454545454</v>
      </c>
      <c r="P71" s="565">
        <f t="shared" si="13"/>
        <v>94286.545454545456</v>
      </c>
      <c r="Q71" s="565">
        <f t="shared" si="20"/>
        <v>94286</v>
      </c>
      <c r="R71" s="325" t="s">
        <v>1575</v>
      </c>
      <c r="S71" s="325" t="s">
        <v>187</v>
      </c>
      <c r="T71" s="327" t="s">
        <v>1284</v>
      </c>
      <c r="V71" s="43" t="s">
        <v>1687</v>
      </c>
      <c r="W71" s="221">
        <v>85715</v>
      </c>
      <c r="Y71" s="6">
        <f t="shared" si="14"/>
        <v>1</v>
      </c>
      <c r="Z71" s="562">
        <f t="shared" si="15"/>
        <v>85715</v>
      </c>
      <c r="AA71" s="122">
        <f t="shared" si="16"/>
        <v>0</v>
      </c>
      <c r="AB71" s="122">
        <f t="shared" si="17"/>
        <v>0</v>
      </c>
      <c r="AC71" s="6">
        <f t="shared" si="18"/>
        <v>1</v>
      </c>
      <c r="AD71" s="563">
        <f t="shared" si="21"/>
        <v>1</v>
      </c>
      <c r="AE71" s="64"/>
      <c r="AF71" s="31">
        <v>85715</v>
      </c>
      <c r="AG71" s="31">
        <v>0</v>
      </c>
      <c r="AH71" s="31">
        <v>0</v>
      </c>
      <c r="AI71" s="31">
        <v>8571</v>
      </c>
      <c r="AJ71" s="31">
        <v>94287</v>
      </c>
      <c r="AK71" s="31">
        <v>85715</v>
      </c>
      <c r="AL71" s="31">
        <v>8571.545454545454</v>
      </c>
      <c r="AM71" s="56">
        <v>94286.545454545456</v>
      </c>
      <c r="AN71" s="31">
        <v>94287</v>
      </c>
      <c r="AO71" s="31" t="s">
        <v>1575</v>
      </c>
      <c r="AP71" s="23" t="s">
        <v>187</v>
      </c>
      <c r="AQ71" s="23" t="s">
        <v>1284</v>
      </c>
    </row>
    <row r="72" spans="1:43">
      <c r="A72" s="36">
        <v>69</v>
      </c>
      <c r="B72" s="36">
        <v>103</v>
      </c>
      <c r="C72" s="570" t="str">
        <f t="shared" si="11"/>
        <v>カーサ目白台ハウス</v>
      </c>
      <c r="D72" s="45" t="s">
        <v>1589</v>
      </c>
      <c r="E72" s="46">
        <v>51.3</v>
      </c>
      <c r="F72" s="324">
        <v>631</v>
      </c>
      <c r="G72" s="566" t="str">
        <f t="shared" si="12"/>
        <v>住居</v>
      </c>
      <c r="H72" s="44" t="s">
        <v>1688</v>
      </c>
      <c r="I72" s="325">
        <v>218000</v>
      </c>
      <c r="J72" s="325">
        <v>0</v>
      </c>
      <c r="K72" s="325">
        <v>0</v>
      </c>
      <c r="L72" s="325">
        <v>0</v>
      </c>
      <c r="M72" s="565">
        <f t="shared" si="19"/>
        <v>218000</v>
      </c>
      <c r="N72" s="326">
        <v>218000</v>
      </c>
      <c r="O72" s="326">
        <v>0</v>
      </c>
      <c r="P72" s="565">
        <f t="shared" si="13"/>
        <v>218000</v>
      </c>
      <c r="Q72" s="565">
        <f t="shared" si="20"/>
        <v>218000</v>
      </c>
      <c r="R72" s="325" t="s">
        <v>1568</v>
      </c>
      <c r="S72" s="325" t="s">
        <v>187</v>
      </c>
      <c r="T72" s="327" t="s">
        <v>1284</v>
      </c>
      <c r="V72" s="43" t="s">
        <v>1689</v>
      </c>
      <c r="W72" s="221">
        <v>165000</v>
      </c>
      <c r="Y72" s="6">
        <f t="shared" si="14"/>
        <v>1</v>
      </c>
      <c r="Z72" s="562">
        <f t="shared" si="15"/>
        <v>218000</v>
      </c>
      <c r="AA72" s="122">
        <f t="shared" si="16"/>
        <v>0</v>
      </c>
      <c r="AB72" s="122">
        <f t="shared" si="17"/>
        <v>53000</v>
      </c>
      <c r="AC72" s="6">
        <f t="shared" si="18"/>
        <v>1</v>
      </c>
      <c r="AD72" s="563">
        <f t="shared" si="21"/>
        <v>1</v>
      </c>
      <c r="AE72" s="64"/>
      <c r="AF72" s="31">
        <v>218000</v>
      </c>
      <c r="AG72" s="31">
        <v>0</v>
      </c>
      <c r="AH72" s="31">
        <v>0</v>
      </c>
      <c r="AI72" s="31">
        <v>0</v>
      </c>
      <c r="AJ72" s="31">
        <v>218000</v>
      </c>
      <c r="AK72" s="31">
        <v>218000</v>
      </c>
      <c r="AL72" s="31">
        <v>0</v>
      </c>
      <c r="AM72" s="56">
        <v>218000</v>
      </c>
      <c r="AN72" s="31">
        <v>218000</v>
      </c>
      <c r="AO72" s="31" t="s">
        <v>1568</v>
      </c>
      <c r="AP72" s="23" t="s">
        <v>187</v>
      </c>
      <c r="AQ72" s="23" t="s">
        <v>1284</v>
      </c>
    </row>
    <row r="73" spans="1:43">
      <c r="A73" s="36">
        <v>70</v>
      </c>
      <c r="B73" s="36">
        <v>103</v>
      </c>
      <c r="C73" s="570" t="str">
        <f t="shared" si="11"/>
        <v>カーサ目白台ハウス</v>
      </c>
      <c r="D73" s="45" t="s">
        <v>1591</v>
      </c>
      <c r="E73" s="46">
        <v>52.02</v>
      </c>
      <c r="F73" s="324">
        <v>631</v>
      </c>
      <c r="G73" s="566" t="str">
        <f t="shared" si="12"/>
        <v>住居</v>
      </c>
      <c r="H73" s="44" t="s">
        <v>1667</v>
      </c>
      <c r="I73" s="325">
        <v>208000</v>
      </c>
      <c r="J73" s="325">
        <v>0</v>
      </c>
      <c r="K73" s="325">
        <v>0</v>
      </c>
      <c r="L73" s="325">
        <v>0</v>
      </c>
      <c r="M73" s="565">
        <f t="shared" si="19"/>
        <v>208000</v>
      </c>
      <c r="N73" s="326">
        <v>208000</v>
      </c>
      <c r="O73" s="326">
        <v>0</v>
      </c>
      <c r="P73" s="565">
        <f t="shared" si="13"/>
        <v>208000</v>
      </c>
      <c r="Q73" s="565">
        <f t="shared" si="20"/>
        <v>208000</v>
      </c>
      <c r="R73" s="325" t="s">
        <v>1583</v>
      </c>
      <c r="S73" s="325" t="s">
        <v>187</v>
      </c>
      <c r="T73" s="327" t="s">
        <v>1284</v>
      </c>
      <c r="V73" s="43" t="s">
        <v>1690</v>
      </c>
      <c r="W73" s="221">
        <v>165000</v>
      </c>
      <c r="Y73" s="6">
        <f t="shared" si="14"/>
        <v>1</v>
      </c>
      <c r="Z73" s="562">
        <f t="shared" si="15"/>
        <v>208000</v>
      </c>
      <c r="AA73" s="122">
        <f t="shared" si="16"/>
        <v>0</v>
      </c>
      <c r="AB73" s="122">
        <f t="shared" si="17"/>
        <v>43000</v>
      </c>
      <c r="AC73" s="6">
        <f t="shared" si="18"/>
        <v>1</v>
      </c>
      <c r="AD73" s="563">
        <f t="shared" si="21"/>
        <v>1</v>
      </c>
      <c r="AE73" s="64"/>
      <c r="AF73" s="31">
        <v>208000</v>
      </c>
      <c r="AG73" s="31">
        <v>0</v>
      </c>
      <c r="AH73" s="31">
        <v>0</v>
      </c>
      <c r="AI73" s="31">
        <v>0</v>
      </c>
      <c r="AJ73" s="31">
        <v>208000</v>
      </c>
      <c r="AK73" s="31">
        <v>208000</v>
      </c>
      <c r="AL73" s="31">
        <v>0</v>
      </c>
      <c r="AM73" s="56">
        <v>208000</v>
      </c>
      <c r="AN73" s="31">
        <v>208000</v>
      </c>
      <c r="AO73" s="31" t="s">
        <v>1583</v>
      </c>
      <c r="AP73" s="23" t="s">
        <v>187</v>
      </c>
      <c r="AQ73" s="23" t="s">
        <v>1284</v>
      </c>
    </row>
    <row r="74" spans="1:43">
      <c r="A74" s="36">
        <v>71</v>
      </c>
      <c r="B74" s="36">
        <v>103</v>
      </c>
      <c r="C74" s="570" t="str">
        <f t="shared" si="11"/>
        <v>カーサ目白台ハウス</v>
      </c>
      <c r="D74" s="45" t="s">
        <v>1593</v>
      </c>
      <c r="E74" s="46">
        <v>71.069999999999993</v>
      </c>
      <c r="F74" s="324">
        <v>631</v>
      </c>
      <c r="G74" s="566" t="str">
        <f t="shared" si="12"/>
        <v>住居</v>
      </c>
      <c r="H74" s="44" t="s">
        <v>1688</v>
      </c>
      <c r="I74" s="325">
        <v>220000</v>
      </c>
      <c r="J74" s="325">
        <v>0</v>
      </c>
      <c r="K74" s="325">
        <v>0</v>
      </c>
      <c r="L74" s="325">
        <v>0</v>
      </c>
      <c r="M74" s="565">
        <f t="shared" si="19"/>
        <v>220000</v>
      </c>
      <c r="N74" s="326">
        <v>220000</v>
      </c>
      <c r="O74" s="326">
        <v>0</v>
      </c>
      <c r="P74" s="565">
        <f t="shared" si="13"/>
        <v>220000</v>
      </c>
      <c r="Q74" s="565">
        <f t="shared" si="20"/>
        <v>220000</v>
      </c>
      <c r="R74" s="325" t="s">
        <v>1583</v>
      </c>
      <c r="S74" s="325" t="s">
        <v>187</v>
      </c>
      <c r="T74" s="327" t="s">
        <v>1284</v>
      </c>
      <c r="V74" s="43" t="s">
        <v>1691</v>
      </c>
      <c r="W74" s="221">
        <v>188000</v>
      </c>
      <c r="Y74" s="6">
        <f t="shared" si="14"/>
        <v>1</v>
      </c>
      <c r="Z74" s="562">
        <f t="shared" si="15"/>
        <v>220000</v>
      </c>
      <c r="AA74" s="122">
        <f t="shared" si="16"/>
        <v>0</v>
      </c>
      <c r="AB74" s="122">
        <f t="shared" si="17"/>
        <v>32000</v>
      </c>
      <c r="AC74" s="6">
        <f t="shared" si="18"/>
        <v>1</v>
      </c>
      <c r="AD74" s="563">
        <f t="shared" si="21"/>
        <v>1</v>
      </c>
      <c r="AE74" s="64"/>
      <c r="AF74" s="31">
        <v>220000</v>
      </c>
      <c r="AG74" s="31">
        <v>0</v>
      </c>
      <c r="AH74" s="31">
        <v>0</v>
      </c>
      <c r="AI74" s="31">
        <v>0</v>
      </c>
      <c r="AJ74" s="31">
        <v>220000</v>
      </c>
      <c r="AK74" s="31">
        <v>220000</v>
      </c>
      <c r="AL74" s="31">
        <v>0</v>
      </c>
      <c r="AM74" s="56">
        <v>220000</v>
      </c>
      <c r="AN74" s="31">
        <v>220000</v>
      </c>
      <c r="AO74" s="31" t="s">
        <v>1583</v>
      </c>
      <c r="AP74" s="23" t="s">
        <v>187</v>
      </c>
      <c r="AQ74" s="23" t="s">
        <v>1284</v>
      </c>
    </row>
    <row r="75" spans="1:43">
      <c r="A75" s="36">
        <v>72</v>
      </c>
      <c r="B75" s="36">
        <v>103</v>
      </c>
      <c r="C75" s="570" t="str">
        <f t="shared" si="11"/>
        <v>カーサ目白台ハウス</v>
      </c>
      <c r="D75" s="45" t="s">
        <v>1603</v>
      </c>
      <c r="E75" s="46">
        <v>51.3</v>
      </c>
      <c r="F75" s="324">
        <v>631</v>
      </c>
      <c r="G75" s="566" t="str">
        <f t="shared" si="12"/>
        <v>住居</v>
      </c>
      <c r="H75" s="44" t="s">
        <v>1688</v>
      </c>
      <c r="I75" s="325">
        <v>198000</v>
      </c>
      <c r="J75" s="325">
        <v>10000</v>
      </c>
      <c r="K75" s="325">
        <v>0</v>
      </c>
      <c r="L75" s="325">
        <v>0</v>
      </c>
      <c r="M75" s="565">
        <f t="shared" si="19"/>
        <v>208000</v>
      </c>
      <c r="N75" s="326">
        <v>198000</v>
      </c>
      <c r="O75" s="326">
        <v>0</v>
      </c>
      <c r="P75" s="565">
        <f t="shared" si="13"/>
        <v>198000</v>
      </c>
      <c r="Q75" s="565">
        <f t="shared" si="20"/>
        <v>208000</v>
      </c>
      <c r="R75" s="325" t="s">
        <v>1568</v>
      </c>
      <c r="S75" s="325" t="s">
        <v>187</v>
      </c>
      <c r="T75" s="327" t="s">
        <v>1284</v>
      </c>
      <c r="V75" s="43" t="s">
        <v>1692</v>
      </c>
      <c r="W75" s="221">
        <v>180000</v>
      </c>
      <c r="Y75" s="6">
        <f t="shared" si="14"/>
        <v>1</v>
      </c>
      <c r="Z75" s="562">
        <f t="shared" si="15"/>
        <v>208000</v>
      </c>
      <c r="AA75" s="122">
        <f t="shared" si="16"/>
        <v>-10000</v>
      </c>
      <c r="AB75" s="122">
        <f t="shared" si="17"/>
        <v>28000</v>
      </c>
      <c r="AC75" s="6">
        <f t="shared" si="18"/>
        <v>1</v>
      </c>
      <c r="AD75" s="563">
        <f t="shared" si="21"/>
        <v>1</v>
      </c>
      <c r="AE75" s="64"/>
      <c r="AF75" s="31">
        <v>198000</v>
      </c>
      <c r="AG75" s="31">
        <v>10000</v>
      </c>
      <c r="AH75" s="31">
        <v>0</v>
      </c>
      <c r="AI75" s="31">
        <v>0</v>
      </c>
      <c r="AJ75" s="31">
        <v>208000</v>
      </c>
      <c r="AK75" s="31">
        <v>198000</v>
      </c>
      <c r="AL75" s="31">
        <v>0</v>
      </c>
      <c r="AM75" s="56">
        <v>198000</v>
      </c>
      <c r="AN75" s="31">
        <v>208000</v>
      </c>
      <c r="AO75" s="31" t="s">
        <v>1568</v>
      </c>
      <c r="AP75" s="23" t="s">
        <v>187</v>
      </c>
      <c r="AQ75" s="23" t="s">
        <v>1284</v>
      </c>
    </row>
    <row r="76" spans="1:43">
      <c r="A76" s="36">
        <v>73</v>
      </c>
      <c r="B76" s="36">
        <v>103</v>
      </c>
      <c r="C76" s="570" t="str">
        <f t="shared" si="11"/>
        <v>カーサ目白台ハウス</v>
      </c>
      <c r="D76" s="45" t="s">
        <v>1605</v>
      </c>
      <c r="E76" s="46">
        <v>52.02</v>
      </c>
      <c r="F76" s="324">
        <v>631</v>
      </c>
      <c r="G76" s="566" t="str">
        <f t="shared" si="12"/>
        <v>住居</v>
      </c>
      <c r="H76" s="44" t="s">
        <v>1688</v>
      </c>
      <c r="I76" s="325">
        <v>198000</v>
      </c>
      <c r="J76" s="325">
        <v>0</v>
      </c>
      <c r="K76" s="325">
        <v>0</v>
      </c>
      <c r="L76" s="325">
        <v>0</v>
      </c>
      <c r="M76" s="565">
        <f t="shared" si="19"/>
        <v>198000</v>
      </c>
      <c r="N76" s="326">
        <v>198000</v>
      </c>
      <c r="O76" s="326">
        <v>0</v>
      </c>
      <c r="P76" s="565">
        <f t="shared" si="13"/>
        <v>198000</v>
      </c>
      <c r="Q76" s="565">
        <f t="shared" si="20"/>
        <v>198000</v>
      </c>
      <c r="R76" s="325" t="s">
        <v>1568</v>
      </c>
      <c r="S76" s="325" t="s">
        <v>187</v>
      </c>
      <c r="T76" s="327" t="s">
        <v>1284</v>
      </c>
      <c r="V76" s="43" t="s">
        <v>1693</v>
      </c>
      <c r="W76" s="221">
        <v>170000</v>
      </c>
      <c r="Y76" s="6">
        <f t="shared" si="14"/>
        <v>1</v>
      </c>
      <c r="Z76" s="562">
        <f t="shared" si="15"/>
        <v>198000</v>
      </c>
      <c r="AA76" s="122">
        <f t="shared" si="16"/>
        <v>0</v>
      </c>
      <c r="AB76" s="122">
        <f t="shared" si="17"/>
        <v>28000</v>
      </c>
      <c r="AC76" s="6">
        <f t="shared" si="18"/>
        <v>1</v>
      </c>
      <c r="AD76" s="563">
        <f t="shared" si="21"/>
        <v>1</v>
      </c>
      <c r="AE76" s="64"/>
      <c r="AF76" s="31">
        <v>198000</v>
      </c>
      <c r="AG76" s="31">
        <v>0</v>
      </c>
      <c r="AH76" s="31">
        <v>0</v>
      </c>
      <c r="AI76" s="31">
        <v>0</v>
      </c>
      <c r="AJ76" s="31">
        <v>198000</v>
      </c>
      <c r="AK76" s="31">
        <v>198000</v>
      </c>
      <c r="AL76" s="31">
        <v>0</v>
      </c>
      <c r="AM76" s="56">
        <v>198000</v>
      </c>
      <c r="AN76" s="31">
        <v>198000</v>
      </c>
      <c r="AO76" s="31" t="s">
        <v>1568</v>
      </c>
      <c r="AP76" s="23" t="s">
        <v>187</v>
      </c>
      <c r="AQ76" s="23" t="s">
        <v>1284</v>
      </c>
    </row>
    <row r="77" spans="1:43">
      <c r="A77" s="36">
        <v>74</v>
      </c>
      <c r="B77" s="36">
        <v>103</v>
      </c>
      <c r="C77" s="570" t="str">
        <f t="shared" si="11"/>
        <v>カーサ目白台ハウス</v>
      </c>
      <c r="D77" s="45" t="s">
        <v>1607</v>
      </c>
      <c r="E77" s="46">
        <v>41.32</v>
      </c>
      <c r="F77" s="324">
        <v>631</v>
      </c>
      <c r="G77" s="566" t="str">
        <f t="shared" si="12"/>
        <v>住居</v>
      </c>
      <c r="H77" s="44" t="s">
        <v>1667</v>
      </c>
      <c r="I77" s="325">
        <v>140000</v>
      </c>
      <c r="J77" s="325">
        <v>0</v>
      </c>
      <c r="K77" s="325">
        <v>0</v>
      </c>
      <c r="L77" s="325">
        <v>0</v>
      </c>
      <c r="M77" s="565">
        <f t="shared" si="19"/>
        <v>140000</v>
      </c>
      <c r="N77" s="326">
        <v>130000</v>
      </c>
      <c r="O77" s="326">
        <v>0</v>
      </c>
      <c r="P77" s="565">
        <f t="shared" si="13"/>
        <v>130000</v>
      </c>
      <c r="Q77" s="565">
        <f t="shared" si="20"/>
        <v>140000</v>
      </c>
      <c r="R77" s="325" t="s">
        <v>1568</v>
      </c>
      <c r="S77" s="325" t="s">
        <v>187</v>
      </c>
      <c r="T77" s="327" t="s">
        <v>1284</v>
      </c>
      <c r="V77" s="43" t="s">
        <v>1694</v>
      </c>
      <c r="W77" s="221">
        <v>130000</v>
      </c>
      <c r="Y77" s="6">
        <f t="shared" si="14"/>
        <v>1</v>
      </c>
      <c r="Z77" s="562">
        <f t="shared" si="15"/>
        <v>140000</v>
      </c>
      <c r="AA77" s="122">
        <f t="shared" si="16"/>
        <v>-10000</v>
      </c>
      <c r="AB77" s="122">
        <f t="shared" si="17"/>
        <v>10000</v>
      </c>
      <c r="AC77" s="6">
        <f t="shared" si="18"/>
        <v>1</v>
      </c>
      <c r="AD77" s="563">
        <f t="shared" si="21"/>
        <v>1</v>
      </c>
      <c r="AE77" s="64"/>
      <c r="AF77" s="31">
        <v>140000</v>
      </c>
      <c r="AG77" s="31">
        <v>0</v>
      </c>
      <c r="AH77" s="31">
        <v>0</v>
      </c>
      <c r="AI77" s="31">
        <v>0</v>
      </c>
      <c r="AJ77" s="31">
        <v>140000</v>
      </c>
      <c r="AK77" s="31">
        <v>130000</v>
      </c>
      <c r="AL77" s="31">
        <v>0</v>
      </c>
      <c r="AM77" s="56">
        <v>130000</v>
      </c>
      <c r="AN77" s="31">
        <v>140000</v>
      </c>
      <c r="AO77" s="31" t="s">
        <v>1568</v>
      </c>
      <c r="AP77" s="23" t="s">
        <v>187</v>
      </c>
      <c r="AQ77" s="23" t="s">
        <v>1284</v>
      </c>
    </row>
    <row r="78" spans="1:43">
      <c r="A78" s="36">
        <v>75</v>
      </c>
      <c r="B78" s="36">
        <v>103</v>
      </c>
      <c r="C78" s="570" t="str">
        <f t="shared" si="11"/>
        <v>カーサ目白台ハウス</v>
      </c>
      <c r="D78" s="45" t="s">
        <v>1695</v>
      </c>
      <c r="E78" s="46">
        <v>48.35</v>
      </c>
      <c r="F78" s="324">
        <v>631</v>
      </c>
      <c r="G78" s="566" t="str">
        <f t="shared" si="12"/>
        <v>住居</v>
      </c>
      <c r="H78" s="44" t="s">
        <v>1688</v>
      </c>
      <c r="I78" s="325">
        <v>208000</v>
      </c>
      <c r="J78" s="325">
        <v>10000</v>
      </c>
      <c r="K78" s="325">
        <v>0</v>
      </c>
      <c r="L78" s="325">
        <v>0</v>
      </c>
      <c r="M78" s="565">
        <f t="shared" si="19"/>
        <v>218000</v>
      </c>
      <c r="N78" s="326">
        <v>218000</v>
      </c>
      <c r="O78" s="326">
        <v>0</v>
      </c>
      <c r="P78" s="565">
        <f t="shared" si="13"/>
        <v>218000</v>
      </c>
      <c r="Q78" s="565">
        <f t="shared" si="20"/>
        <v>218000</v>
      </c>
      <c r="R78" s="325" t="s">
        <v>1583</v>
      </c>
      <c r="S78" s="325" t="s">
        <v>187</v>
      </c>
      <c r="T78" s="327" t="s">
        <v>1284</v>
      </c>
      <c r="V78" s="43" t="s">
        <v>1696</v>
      </c>
      <c r="W78" s="221">
        <v>220000</v>
      </c>
      <c r="Y78" s="6">
        <f t="shared" si="14"/>
        <v>1</v>
      </c>
      <c r="Z78" s="562">
        <f t="shared" si="15"/>
        <v>218000</v>
      </c>
      <c r="AA78" s="122">
        <f t="shared" si="16"/>
        <v>0</v>
      </c>
      <c r="AB78" s="122">
        <f t="shared" si="17"/>
        <v>-2000</v>
      </c>
      <c r="AC78" s="6">
        <f t="shared" si="18"/>
        <v>1</v>
      </c>
      <c r="AD78" s="563">
        <f t="shared" si="21"/>
        <v>1</v>
      </c>
      <c r="AE78" s="64"/>
      <c r="AF78" s="31">
        <v>208000</v>
      </c>
      <c r="AG78" s="31">
        <v>10000</v>
      </c>
      <c r="AH78" s="31">
        <v>0</v>
      </c>
      <c r="AI78" s="31">
        <v>0</v>
      </c>
      <c r="AJ78" s="31">
        <v>218000</v>
      </c>
      <c r="AK78" s="31">
        <v>218000</v>
      </c>
      <c r="AL78" s="31">
        <v>0</v>
      </c>
      <c r="AM78" s="56">
        <v>218000</v>
      </c>
      <c r="AN78" s="31">
        <v>218000</v>
      </c>
      <c r="AO78" s="31" t="s">
        <v>1583</v>
      </c>
      <c r="AP78" s="23" t="s">
        <v>187</v>
      </c>
      <c r="AQ78" s="23" t="s">
        <v>1284</v>
      </c>
    </row>
    <row r="79" spans="1:43">
      <c r="A79" s="36">
        <v>76</v>
      </c>
      <c r="B79" s="36">
        <v>103</v>
      </c>
      <c r="C79" s="570" t="str">
        <f t="shared" si="11"/>
        <v>カーサ目白台ハウス</v>
      </c>
      <c r="D79" s="45" t="s">
        <v>1697</v>
      </c>
      <c r="E79" s="46">
        <v>50.76</v>
      </c>
      <c r="F79" s="324">
        <v>631</v>
      </c>
      <c r="G79" s="566" t="str">
        <f t="shared" si="12"/>
        <v>住居</v>
      </c>
      <c r="H79" s="44" t="s">
        <v>1669</v>
      </c>
      <c r="I79" s="325">
        <v>188000</v>
      </c>
      <c r="J79" s="325">
        <v>10000</v>
      </c>
      <c r="K79" s="325">
        <v>0</v>
      </c>
      <c r="L79" s="325">
        <v>0</v>
      </c>
      <c r="M79" s="565">
        <f t="shared" si="19"/>
        <v>198000</v>
      </c>
      <c r="N79" s="326">
        <v>198000</v>
      </c>
      <c r="O79" s="326">
        <v>0</v>
      </c>
      <c r="P79" s="565">
        <f t="shared" si="13"/>
        <v>198000</v>
      </c>
      <c r="Q79" s="565">
        <f t="shared" si="20"/>
        <v>198000</v>
      </c>
      <c r="R79" s="325" t="s">
        <v>1568</v>
      </c>
      <c r="S79" s="325" t="s">
        <v>187</v>
      </c>
      <c r="T79" s="327" t="s">
        <v>1284</v>
      </c>
      <c r="V79" s="43" t="s">
        <v>1698</v>
      </c>
      <c r="W79" s="221">
        <v>180000</v>
      </c>
      <c r="Y79" s="6">
        <f t="shared" si="14"/>
        <v>1</v>
      </c>
      <c r="Z79" s="562">
        <f t="shared" si="15"/>
        <v>198000</v>
      </c>
      <c r="AA79" s="122">
        <f t="shared" si="16"/>
        <v>0</v>
      </c>
      <c r="AB79" s="122">
        <f t="shared" si="17"/>
        <v>18000</v>
      </c>
      <c r="AC79" s="6">
        <f t="shared" si="18"/>
        <v>1</v>
      </c>
      <c r="AD79" s="563">
        <f t="shared" si="21"/>
        <v>1</v>
      </c>
      <c r="AE79" s="64"/>
      <c r="AF79" s="31">
        <v>188000</v>
      </c>
      <c r="AG79" s="31">
        <v>10000</v>
      </c>
      <c r="AH79" s="31">
        <v>0</v>
      </c>
      <c r="AI79" s="31">
        <v>0</v>
      </c>
      <c r="AJ79" s="31">
        <v>198000</v>
      </c>
      <c r="AK79" s="31">
        <v>198000</v>
      </c>
      <c r="AL79" s="31">
        <v>0</v>
      </c>
      <c r="AM79" s="56">
        <v>198000</v>
      </c>
      <c r="AN79" s="31">
        <v>198000</v>
      </c>
      <c r="AO79" s="31" t="s">
        <v>1568</v>
      </c>
      <c r="AP79" s="23" t="s">
        <v>187</v>
      </c>
      <c r="AQ79" s="23" t="s">
        <v>1284</v>
      </c>
    </row>
    <row r="80" spans="1:43">
      <c r="A80" s="36">
        <v>77</v>
      </c>
      <c r="B80" s="36">
        <v>103</v>
      </c>
      <c r="C80" s="570" t="str">
        <f t="shared" si="11"/>
        <v>カーサ目白台ハウス</v>
      </c>
      <c r="D80" s="45" t="s">
        <v>1699</v>
      </c>
      <c r="E80" s="46">
        <v>96.95</v>
      </c>
      <c r="F80" s="324">
        <v>631</v>
      </c>
      <c r="G80" s="566" t="str">
        <f t="shared" si="12"/>
        <v>住居</v>
      </c>
      <c r="H80" s="44" t="s">
        <v>1688</v>
      </c>
      <c r="I80" s="325">
        <v>305800</v>
      </c>
      <c r="J80" s="325">
        <v>0</v>
      </c>
      <c r="K80" s="325">
        <v>0</v>
      </c>
      <c r="L80" s="325">
        <v>0</v>
      </c>
      <c r="M80" s="565">
        <f t="shared" si="19"/>
        <v>305800</v>
      </c>
      <c r="N80" s="326">
        <v>305800</v>
      </c>
      <c r="O80" s="326">
        <v>0</v>
      </c>
      <c r="P80" s="565">
        <f t="shared" si="13"/>
        <v>305800</v>
      </c>
      <c r="Q80" s="565">
        <f t="shared" si="20"/>
        <v>305800</v>
      </c>
      <c r="R80" s="325" t="s">
        <v>1583</v>
      </c>
      <c r="S80" s="325" t="s">
        <v>187</v>
      </c>
      <c r="T80" s="327" t="s">
        <v>1284</v>
      </c>
      <c r="V80" s="43" t="s">
        <v>1700</v>
      </c>
      <c r="W80" s="221">
        <v>270000</v>
      </c>
      <c r="Y80" s="6">
        <f t="shared" si="14"/>
        <v>1</v>
      </c>
      <c r="Z80" s="562">
        <f t="shared" si="15"/>
        <v>305800</v>
      </c>
      <c r="AA80" s="122">
        <f t="shared" si="16"/>
        <v>0</v>
      </c>
      <c r="AB80" s="122">
        <f t="shared" si="17"/>
        <v>35800</v>
      </c>
      <c r="AC80" s="6">
        <f t="shared" si="18"/>
        <v>1</v>
      </c>
      <c r="AD80" s="563">
        <f t="shared" si="21"/>
        <v>1</v>
      </c>
      <c r="AE80" s="64"/>
      <c r="AF80" s="31">
        <v>305800</v>
      </c>
      <c r="AG80" s="31">
        <v>0</v>
      </c>
      <c r="AH80" s="31">
        <v>0</v>
      </c>
      <c r="AI80" s="31">
        <v>0</v>
      </c>
      <c r="AJ80" s="31">
        <v>305800</v>
      </c>
      <c r="AK80" s="31">
        <v>305800</v>
      </c>
      <c r="AL80" s="31">
        <v>0</v>
      </c>
      <c r="AM80" s="56">
        <v>305800</v>
      </c>
      <c r="AN80" s="31">
        <v>305800</v>
      </c>
      <c r="AO80" s="31" t="s">
        <v>1583</v>
      </c>
      <c r="AP80" s="23" t="s">
        <v>187</v>
      </c>
      <c r="AQ80" s="23" t="s">
        <v>1284</v>
      </c>
    </row>
    <row r="81" spans="1:43">
      <c r="A81" s="36">
        <v>78</v>
      </c>
      <c r="B81" s="36">
        <v>103</v>
      </c>
      <c r="C81" s="570" t="str">
        <f t="shared" si="11"/>
        <v>カーサ目白台ハウス</v>
      </c>
      <c r="D81" s="45" t="s">
        <v>1676</v>
      </c>
      <c r="E81" s="46">
        <v>0</v>
      </c>
      <c r="F81" s="324">
        <v>634</v>
      </c>
      <c r="G81" s="566" t="str">
        <f t="shared" si="12"/>
        <v>駐車場</v>
      </c>
      <c r="H81" s="44" t="s">
        <v>1674</v>
      </c>
      <c r="I81" s="325">
        <v>40000</v>
      </c>
      <c r="J81" s="325">
        <v>0</v>
      </c>
      <c r="K81" s="325">
        <v>0</v>
      </c>
      <c r="L81" s="325">
        <v>4000</v>
      </c>
      <c r="M81" s="565">
        <f t="shared" si="19"/>
        <v>44000</v>
      </c>
      <c r="N81" s="546">
        <v>40000</v>
      </c>
      <c r="O81" s="326">
        <v>4000</v>
      </c>
      <c r="P81" s="565">
        <f t="shared" si="13"/>
        <v>44000</v>
      </c>
      <c r="Q81" s="565">
        <f t="shared" si="20"/>
        <v>44000</v>
      </c>
      <c r="R81" s="325" t="s">
        <v>1575</v>
      </c>
      <c r="S81" s="325" t="s">
        <v>187</v>
      </c>
      <c r="T81" s="327" t="s">
        <v>1284</v>
      </c>
      <c r="V81" s="43" t="s">
        <v>1701</v>
      </c>
      <c r="W81" s="221">
        <v>40000</v>
      </c>
      <c r="Y81" s="6">
        <f t="shared" si="14"/>
        <v>1</v>
      </c>
      <c r="Z81" s="562">
        <f t="shared" si="15"/>
        <v>40000</v>
      </c>
      <c r="AA81" s="122">
        <f t="shared" si="16"/>
        <v>0</v>
      </c>
      <c r="AB81" s="122">
        <f t="shared" si="17"/>
        <v>0</v>
      </c>
      <c r="AC81" s="6">
        <f t="shared" si="18"/>
        <v>1</v>
      </c>
      <c r="AD81" s="563">
        <f t="shared" si="21"/>
        <v>1</v>
      </c>
      <c r="AE81" s="64"/>
      <c r="AF81" s="31">
        <v>40000</v>
      </c>
      <c r="AG81" s="31">
        <v>0</v>
      </c>
      <c r="AH81" s="31">
        <v>0</v>
      </c>
      <c r="AI81" s="31">
        <v>4000</v>
      </c>
      <c r="AJ81" s="31">
        <v>44000</v>
      </c>
      <c r="AK81" s="31">
        <v>40000</v>
      </c>
      <c r="AL81" s="31">
        <v>4000</v>
      </c>
      <c r="AM81" s="56">
        <v>44000</v>
      </c>
      <c r="AN81" s="31">
        <v>44000</v>
      </c>
      <c r="AO81" s="31" t="s">
        <v>1575</v>
      </c>
      <c r="AP81" s="23" t="s">
        <v>187</v>
      </c>
      <c r="AQ81" s="23" t="s">
        <v>1284</v>
      </c>
    </row>
    <row r="82" spans="1:43">
      <c r="A82" s="36">
        <v>79</v>
      </c>
      <c r="B82" s="36">
        <v>103</v>
      </c>
      <c r="C82" s="570" t="str">
        <f t="shared" si="11"/>
        <v>カーサ目白台ハウス</v>
      </c>
      <c r="D82" s="45" t="s">
        <v>1702</v>
      </c>
      <c r="E82" s="46">
        <v>0</v>
      </c>
      <c r="F82" s="324">
        <v>634</v>
      </c>
      <c r="G82" s="566" t="str">
        <f t="shared" si="12"/>
        <v>駐車場</v>
      </c>
      <c r="H82" s="44" t="s">
        <v>1674</v>
      </c>
      <c r="I82" s="325">
        <v>35000</v>
      </c>
      <c r="J82" s="325">
        <v>0</v>
      </c>
      <c r="K82" s="325">
        <v>0</v>
      </c>
      <c r="L82" s="325">
        <v>3500</v>
      </c>
      <c r="M82" s="565">
        <f t="shared" si="19"/>
        <v>38500</v>
      </c>
      <c r="N82" s="546">
        <v>40000</v>
      </c>
      <c r="O82" s="326">
        <v>4000</v>
      </c>
      <c r="P82" s="565">
        <f t="shared" si="13"/>
        <v>44000</v>
      </c>
      <c r="Q82" s="565">
        <f t="shared" si="20"/>
        <v>38500</v>
      </c>
      <c r="R82" s="325" t="s">
        <v>1575</v>
      </c>
      <c r="S82" s="325" t="s">
        <v>187</v>
      </c>
      <c r="T82" s="327" t="s">
        <v>1284</v>
      </c>
      <c r="V82" s="43" t="s">
        <v>1703</v>
      </c>
      <c r="W82" s="221">
        <v>40000</v>
      </c>
      <c r="Y82" s="6">
        <f t="shared" si="14"/>
        <v>1</v>
      </c>
      <c r="Z82" s="562">
        <f t="shared" si="15"/>
        <v>35000</v>
      </c>
      <c r="AA82" s="122">
        <f t="shared" si="16"/>
        <v>5000</v>
      </c>
      <c r="AB82" s="122">
        <f t="shared" si="17"/>
        <v>-5000</v>
      </c>
      <c r="AC82" s="6">
        <f t="shared" si="18"/>
        <v>1</v>
      </c>
      <c r="AD82" s="563">
        <f t="shared" si="21"/>
        <v>1</v>
      </c>
      <c r="AE82" s="64"/>
      <c r="AF82" s="31">
        <v>35000</v>
      </c>
      <c r="AG82" s="31">
        <v>0</v>
      </c>
      <c r="AH82" s="31">
        <v>0</v>
      </c>
      <c r="AI82" s="31">
        <v>3500</v>
      </c>
      <c r="AJ82" s="31">
        <v>38500</v>
      </c>
      <c r="AK82" s="31">
        <v>40000</v>
      </c>
      <c r="AL82" s="31">
        <v>4000</v>
      </c>
      <c r="AM82" s="56">
        <v>44000</v>
      </c>
      <c r="AN82" s="31">
        <v>38500</v>
      </c>
      <c r="AO82" s="31" t="s">
        <v>1575</v>
      </c>
      <c r="AP82" s="23" t="s">
        <v>187</v>
      </c>
      <c r="AQ82" s="23" t="s">
        <v>1284</v>
      </c>
    </row>
    <row r="83" spans="1:43">
      <c r="A83" s="36">
        <v>80</v>
      </c>
      <c r="B83" s="36">
        <v>103</v>
      </c>
      <c r="C83" s="570" t="str">
        <f t="shared" si="11"/>
        <v>カーサ目白台ハウス</v>
      </c>
      <c r="D83" s="45" t="s">
        <v>1704</v>
      </c>
      <c r="E83" s="46">
        <v>0</v>
      </c>
      <c r="F83" s="324">
        <v>634</v>
      </c>
      <c r="G83" s="566" t="str">
        <f t="shared" si="12"/>
        <v>駐車場</v>
      </c>
      <c r="H83" s="44" t="s">
        <v>1674</v>
      </c>
      <c r="I83" s="325">
        <v>40000</v>
      </c>
      <c r="J83" s="325">
        <v>0</v>
      </c>
      <c r="K83" s="325">
        <v>0</v>
      </c>
      <c r="L83" s="325">
        <v>4000</v>
      </c>
      <c r="M83" s="565">
        <f t="shared" si="19"/>
        <v>44000</v>
      </c>
      <c r="N83" s="546">
        <v>40000</v>
      </c>
      <c r="O83" s="326">
        <v>4000</v>
      </c>
      <c r="P83" s="565">
        <f t="shared" si="13"/>
        <v>44000</v>
      </c>
      <c r="Q83" s="565">
        <f t="shared" si="20"/>
        <v>44000</v>
      </c>
      <c r="R83" s="325" t="s">
        <v>1568</v>
      </c>
      <c r="S83" s="325" t="s">
        <v>187</v>
      </c>
      <c r="T83" s="327" t="s">
        <v>1284</v>
      </c>
      <c r="V83" s="43" t="s">
        <v>1705</v>
      </c>
      <c r="W83" s="221">
        <v>40000</v>
      </c>
      <c r="Y83" s="6">
        <f t="shared" si="14"/>
        <v>1</v>
      </c>
      <c r="Z83" s="562">
        <f t="shared" si="15"/>
        <v>40000</v>
      </c>
      <c r="AA83" s="122">
        <f t="shared" si="16"/>
        <v>0</v>
      </c>
      <c r="AB83" s="122">
        <f t="shared" si="17"/>
        <v>0</v>
      </c>
      <c r="AC83" s="6">
        <f t="shared" si="18"/>
        <v>1</v>
      </c>
      <c r="AD83" s="563">
        <f t="shared" si="21"/>
        <v>1</v>
      </c>
      <c r="AE83" s="64"/>
      <c r="AF83" s="31">
        <v>40000</v>
      </c>
      <c r="AG83" s="31">
        <v>0</v>
      </c>
      <c r="AH83" s="31">
        <v>0</v>
      </c>
      <c r="AI83" s="31">
        <v>4000</v>
      </c>
      <c r="AJ83" s="31">
        <v>44000</v>
      </c>
      <c r="AK83" s="31">
        <v>40000</v>
      </c>
      <c r="AL83" s="31">
        <v>4000</v>
      </c>
      <c r="AM83" s="56">
        <v>44000</v>
      </c>
      <c r="AN83" s="31">
        <v>44000</v>
      </c>
      <c r="AO83" s="31" t="s">
        <v>1568</v>
      </c>
      <c r="AP83" s="23" t="s">
        <v>187</v>
      </c>
      <c r="AQ83" s="23" t="s">
        <v>1284</v>
      </c>
    </row>
    <row r="84" spans="1:43">
      <c r="A84" s="37">
        <v>81</v>
      </c>
      <c r="B84" s="38">
        <v>104</v>
      </c>
      <c r="C84" s="571" t="str">
        <f t="shared" si="11"/>
        <v>コアプラス池袋</v>
      </c>
      <c r="D84" s="48" t="s">
        <v>1566</v>
      </c>
      <c r="E84" s="49">
        <v>39.6</v>
      </c>
      <c r="F84" s="324">
        <v>633</v>
      </c>
      <c r="G84" s="566" t="str">
        <f t="shared" si="12"/>
        <v>店舗</v>
      </c>
      <c r="H84" s="47" t="s">
        <v>1706</v>
      </c>
      <c r="I84" s="325">
        <v>154000</v>
      </c>
      <c r="J84" s="325">
        <v>0</v>
      </c>
      <c r="K84" s="325">
        <v>0</v>
      </c>
      <c r="L84" s="325">
        <v>15400</v>
      </c>
      <c r="M84" s="565">
        <f t="shared" si="19"/>
        <v>169400</v>
      </c>
      <c r="N84" s="326">
        <v>154000</v>
      </c>
      <c r="O84" s="326">
        <v>15400</v>
      </c>
      <c r="P84" s="565">
        <f t="shared" si="13"/>
        <v>169400</v>
      </c>
      <c r="Q84" s="565">
        <f t="shared" si="20"/>
        <v>169400</v>
      </c>
      <c r="R84" s="325" t="s">
        <v>1568</v>
      </c>
      <c r="S84" s="325" t="s">
        <v>187</v>
      </c>
      <c r="T84" s="327" t="s">
        <v>1284</v>
      </c>
      <c r="V84" s="43" t="s">
        <v>1707</v>
      </c>
      <c r="W84" s="221">
        <v>145000</v>
      </c>
      <c r="Y84" s="6">
        <f t="shared" si="14"/>
        <v>1</v>
      </c>
      <c r="Z84" s="562">
        <f t="shared" si="15"/>
        <v>154000</v>
      </c>
      <c r="AA84" s="122">
        <f t="shared" si="16"/>
        <v>0</v>
      </c>
      <c r="AB84" s="122">
        <f t="shared" si="17"/>
        <v>9000</v>
      </c>
      <c r="AC84" s="6">
        <f t="shared" si="18"/>
        <v>1</v>
      </c>
      <c r="AD84" s="563">
        <f t="shared" si="21"/>
        <v>1</v>
      </c>
      <c r="AE84" s="64"/>
      <c r="AF84" s="31">
        <v>154000</v>
      </c>
      <c r="AG84" s="31">
        <v>0</v>
      </c>
      <c r="AH84" s="31">
        <v>0</v>
      </c>
      <c r="AI84" s="31">
        <v>15400</v>
      </c>
      <c r="AJ84" s="31">
        <v>169400</v>
      </c>
      <c r="AK84" s="31">
        <v>154000</v>
      </c>
      <c r="AL84" s="31">
        <v>15400</v>
      </c>
      <c r="AM84" s="58">
        <v>169400</v>
      </c>
      <c r="AN84" s="59">
        <v>169400</v>
      </c>
      <c r="AO84" s="59" t="s">
        <v>1568</v>
      </c>
      <c r="AP84" s="23" t="s">
        <v>187</v>
      </c>
      <c r="AQ84" s="23" t="s">
        <v>1284</v>
      </c>
    </row>
    <row r="85" spans="1:43">
      <c r="A85" s="37">
        <v>82</v>
      </c>
      <c r="B85" s="38">
        <v>104</v>
      </c>
      <c r="C85" s="571" t="str">
        <f t="shared" si="11"/>
        <v>コアプラス池袋</v>
      </c>
      <c r="D85" s="48" t="s">
        <v>1570</v>
      </c>
      <c r="E85" s="49">
        <v>31.92</v>
      </c>
      <c r="F85" s="324">
        <v>632</v>
      </c>
      <c r="G85" s="566" t="str">
        <f t="shared" si="12"/>
        <v>事務所</v>
      </c>
      <c r="H85" s="47" t="s">
        <v>1616</v>
      </c>
      <c r="I85" s="325">
        <v>120000</v>
      </c>
      <c r="J85" s="325">
        <v>0</v>
      </c>
      <c r="K85" s="325">
        <v>0</v>
      </c>
      <c r="L85" s="325">
        <v>12000</v>
      </c>
      <c r="M85" s="565">
        <f t="shared" si="19"/>
        <v>132000</v>
      </c>
      <c r="N85" s="326">
        <v>120000</v>
      </c>
      <c r="O85" s="326">
        <v>12000</v>
      </c>
      <c r="P85" s="565">
        <f t="shared" si="13"/>
        <v>132000</v>
      </c>
      <c r="Q85" s="565">
        <f t="shared" si="20"/>
        <v>132000</v>
      </c>
      <c r="R85" s="325" t="s">
        <v>1583</v>
      </c>
      <c r="S85" s="325" t="s">
        <v>187</v>
      </c>
      <c r="T85" s="327" t="s">
        <v>1284</v>
      </c>
      <c r="V85" s="43" t="s">
        <v>1708</v>
      </c>
      <c r="W85" s="221">
        <v>80000</v>
      </c>
      <c r="Y85" s="6">
        <f t="shared" si="14"/>
        <v>1</v>
      </c>
      <c r="Z85" s="562">
        <f t="shared" si="15"/>
        <v>120000</v>
      </c>
      <c r="AA85" s="122">
        <f t="shared" si="16"/>
        <v>0</v>
      </c>
      <c r="AB85" s="122">
        <f t="shared" si="17"/>
        <v>40000</v>
      </c>
      <c r="AC85" s="6">
        <f t="shared" si="18"/>
        <v>1</v>
      </c>
      <c r="AD85" s="563">
        <f t="shared" si="21"/>
        <v>1</v>
      </c>
      <c r="AE85" s="64"/>
      <c r="AF85" s="31">
        <v>120000</v>
      </c>
      <c r="AG85" s="31">
        <v>0</v>
      </c>
      <c r="AH85" s="31">
        <v>0</v>
      </c>
      <c r="AI85" s="31">
        <v>12000</v>
      </c>
      <c r="AJ85" s="31">
        <v>132000</v>
      </c>
      <c r="AK85" s="31">
        <v>120000</v>
      </c>
      <c r="AL85" s="31">
        <v>12000</v>
      </c>
      <c r="AM85" s="58">
        <v>132000</v>
      </c>
      <c r="AN85" s="59">
        <v>132000</v>
      </c>
      <c r="AO85" s="59" t="s">
        <v>1583</v>
      </c>
      <c r="AP85" s="23" t="s">
        <v>187</v>
      </c>
      <c r="AQ85" s="23" t="s">
        <v>1284</v>
      </c>
    </row>
    <row r="86" spans="1:43">
      <c r="A86" s="37">
        <v>83</v>
      </c>
      <c r="B86" s="38">
        <v>104</v>
      </c>
      <c r="C86" s="571" t="str">
        <f t="shared" si="11"/>
        <v>コアプラス池袋</v>
      </c>
      <c r="D86" s="48" t="s">
        <v>1580</v>
      </c>
      <c r="E86" s="49">
        <v>19.8</v>
      </c>
      <c r="F86" s="324">
        <v>631</v>
      </c>
      <c r="G86" s="566" t="str">
        <f t="shared" si="12"/>
        <v>住居</v>
      </c>
      <c r="H86" s="47" t="s">
        <v>1709</v>
      </c>
      <c r="I86" s="325">
        <v>70000</v>
      </c>
      <c r="J86" s="325">
        <v>0</v>
      </c>
      <c r="K86" s="325">
        <v>0</v>
      </c>
      <c r="L86" s="325">
        <v>7000</v>
      </c>
      <c r="M86" s="565">
        <f t="shared" si="19"/>
        <v>77000</v>
      </c>
      <c r="N86" s="326">
        <v>77000</v>
      </c>
      <c r="O86" s="326">
        <v>0</v>
      </c>
      <c r="P86" s="565">
        <f t="shared" si="13"/>
        <v>77000</v>
      </c>
      <c r="Q86" s="565">
        <f t="shared" si="20"/>
        <v>77000</v>
      </c>
      <c r="R86" s="325" t="s">
        <v>1583</v>
      </c>
      <c r="S86" s="325" t="s">
        <v>187</v>
      </c>
      <c r="T86" s="327" t="s">
        <v>1284</v>
      </c>
      <c r="V86" s="43" t="s">
        <v>1710</v>
      </c>
      <c r="W86" s="221">
        <v>65000</v>
      </c>
      <c r="Y86" s="6">
        <f t="shared" si="14"/>
        <v>1</v>
      </c>
      <c r="Z86" s="562">
        <f t="shared" si="15"/>
        <v>70000</v>
      </c>
      <c r="AA86" s="122">
        <f t="shared" si="16"/>
        <v>7000</v>
      </c>
      <c r="AB86" s="122">
        <f t="shared" si="17"/>
        <v>5000</v>
      </c>
      <c r="AC86" s="6">
        <f t="shared" si="18"/>
        <v>1</v>
      </c>
      <c r="AD86" s="563">
        <f t="shared" si="21"/>
        <v>1</v>
      </c>
      <c r="AE86" s="64"/>
      <c r="AF86" s="31">
        <v>70000</v>
      </c>
      <c r="AG86" s="31">
        <v>0</v>
      </c>
      <c r="AH86" s="31">
        <v>0</v>
      </c>
      <c r="AI86" s="31">
        <v>7000</v>
      </c>
      <c r="AJ86" s="31">
        <v>77000</v>
      </c>
      <c r="AK86" s="31">
        <v>77000</v>
      </c>
      <c r="AL86" s="31">
        <v>0</v>
      </c>
      <c r="AM86" s="56">
        <v>77000</v>
      </c>
      <c r="AN86" s="59">
        <v>77000</v>
      </c>
      <c r="AO86" s="59" t="s">
        <v>1583</v>
      </c>
      <c r="AP86" s="23" t="s">
        <v>187</v>
      </c>
      <c r="AQ86" s="23" t="s">
        <v>1284</v>
      </c>
    </row>
    <row r="87" spans="1:43">
      <c r="A87" s="37">
        <v>84</v>
      </c>
      <c r="B87" s="38">
        <v>104</v>
      </c>
      <c r="C87" s="571" t="str">
        <f t="shared" si="11"/>
        <v>コアプラス池袋</v>
      </c>
      <c r="D87" s="48" t="s">
        <v>1582</v>
      </c>
      <c r="E87" s="49">
        <v>19.8</v>
      </c>
      <c r="F87" s="324">
        <v>631</v>
      </c>
      <c r="G87" s="566" t="str">
        <f t="shared" si="12"/>
        <v>住居</v>
      </c>
      <c r="H87" s="47" t="s">
        <v>1709</v>
      </c>
      <c r="I87" s="325">
        <v>73000</v>
      </c>
      <c r="J87" s="325">
        <v>0</v>
      </c>
      <c r="K87" s="325">
        <v>0</v>
      </c>
      <c r="L87" s="325">
        <v>0</v>
      </c>
      <c r="M87" s="565">
        <f t="shared" si="19"/>
        <v>73000</v>
      </c>
      <c r="N87" s="326">
        <v>73000</v>
      </c>
      <c r="O87" s="326">
        <v>0</v>
      </c>
      <c r="P87" s="565">
        <f t="shared" si="13"/>
        <v>73000</v>
      </c>
      <c r="Q87" s="565">
        <f t="shared" si="20"/>
        <v>73000</v>
      </c>
      <c r="R87" s="325" t="s">
        <v>1568</v>
      </c>
      <c r="S87" s="325" t="s">
        <v>187</v>
      </c>
      <c r="T87" s="327" t="s">
        <v>1284</v>
      </c>
      <c r="V87" s="43" t="s">
        <v>1711</v>
      </c>
      <c r="W87" s="221">
        <v>63000</v>
      </c>
      <c r="Y87" s="6">
        <f t="shared" si="14"/>
        <v>1</v>
      </c>
      <c r="Z87" s="562">
        <f t="shared" si="15"/>
        <v>73000</v>
      </c>
      <c r="AA87" s="122">
        <f t="shared" si="16"/>
        <v>0</v>
      </c>
      <c r="AB87" s="122">
        <f t="shared" si="17"/>
        <v>10000</v>
      </c>
      <c r="AC87" s="6">
        <f t="shared" si="18"/>
        <v>1</v>
      </c>
      <c r="AD87" s="563">
        <f t="shared" si="21"/>
        <v>1</v>
      </c>
      <c r="AE87" s="64"/>
      <c r="AF87" s="31">
        <v>73000</v>
      </c>
      <c r="AG87" s="31">
        <v>0</v>
      </c>
      <c r="AH87" s="31">
        <v>0</v>
      </c>
      <c r="AI87" s="31">
        <v>0</v>
      </c>
      <c r="AJ87" s="31">
        <v>73000</v>
      </c>
      <c r="AK87" s="31">
        <v>73000</v>
      </c>
      <c r="AL87" s="31">
        <v>0</v>
      </c>
      <c r="AM87" s="58">
        <v>73000</v>
      </c>
      <c r="AN87" s="59">
        <v>73000</v>
      </c>
      <c r="AO87" s="59" t="s">
        <v>1568</v>
      </c>
      <c r="AP87" s="23" t="s">
        <v>187</v>
      </c>
      <c r="AQ87" s="23" t="s">
        <v>1284</v>
      </c>
    </row>
    <row r="88" spans="1:43">
      <c r="A88" s="37">
        <v>85</v>
      </c>
      <c r="B88" s="38">
        <v>104</v>
      </c>
      <c r="C88" s="571" t="str">
        <f t="shared" si="11"/>
        <v>コアプラス池袋</v>
      </c>
      <c r="D88" s="48" t="s">
        <v>1585</v>
      </c>
      <c r="E88" s="49">
        <v>19.8</v>
      </c>
      <c r="F88" s="324">
        <v>631</v>
      </c>
      <c r="G88" s="566" t="str">
        <f t="shared" si="12"/>
        <v>住居</v>
      </c>
      <c r="H88" s="47" t="s">
        <v>1709</v>
      </c>
      <c r="I88" s="325">
        <v>75000</v>
      </c>
      <c r="J88" s="325">
        <v>0</v>
      </c>
      <c r="K88" s="325">
        <v>0</v>
      </c>
      <c r="L88" s="325">
        <v>0</v>
      </c>
      <c r="M88" s="565">
        <f t="shared" si="19"/>
        <v>75000</v>
      </c>
      <c r="N88" s="326">
        <v>75000</v>
      </c>
      <c r="O88" s="326">
        <v>0</v>
      </c>
      <c r="P88" s="565">
        <f t="shared" si="13"/>
        <v>75000</v>
      </c>
      <c r="Q88" s="565">
        <f t="shared" si="20"/>
        <v>75000</v>
      </c>
      <c r="R88" s="325" t="s">
        <v>1568</v>
      </c>
      <c r="S88" s="325" t="s">
        <v>187</v>
      </c>
      <c r="T88" s="327" t="s">
        <v>1284</v>
      </c>
      <c r="V88" s="43" t="s">
        <v>1712</v>
      </c>
      <c r="W88" s="221">
        <v>70000</v>
      </c>
      <c r="Y88" s="6">
        <f t="shared" si="14"/>
        <v>1</v>
      </c>
      <c r="Z88" s="562">
        <f t="shared" si="15"/>
        <v>75000</v>
      </c>
      <c r="AA88" s="122">
        <f t="shared" si="16"/>
        <v>0</v>
      </c>
      <c r="AB88" s="122">
        <f t="shared" si="17"/>
        <v>5000</v>
      </c>
      <c r="AC88" s="6">
        <f t="shared" si="18"/>
        <v>1</v>
      </c>
      <c r="AD88" s="563">
        <f t="shared" si="21"/>
        <v>1</v>
      </c>
      <c r="AE88" s="64"/>
      <c r="AF88" s="31">
        <v>75000</v>
      </c>
      <c r="AG88" s="31">
        <v>0</v>
      </c>
      <c r="AH88" s="31">
        <v>0</v>
      </c>
      <c r="AI88" s="31">
        <v>0</v>
      </c>
      <c r="AJ88" s="31">
        <v>75000</v>
      </c>
      <c r="AK88" s="31">
        <v>75000</v>
      </c>
      <c r="AL88" s="31">
        <v>0</v>
      </c>
      <c r="AM88" s="58">
        <v>75000</v>
      </c>
      <c r="AN88" s="59">
        <v>75000</v>
      </c>
      <c r="AO88" s="59" t="s">
        <v>1568</v>
      </c>
      <c r="AP88" s="23" t="s">
        <v>187</v>
      </c>
      <c r="AQ88" s="23" t="s">
        <v>1284</v>
      </c>
    </row>
    <row r="89" spans="1:43">
      <c r="A89" s="37">
        <v>86</v>
      </c>
      <c r="B89" s="38">
        <v>104</v>
      </c>
      <c r="C89" s="571" t="str">
        <f t="shared" si="11"/>
        <v>コアプラス池袋</v>
      </c>
      <c r="D89" s="48" t="s">
        <v>1589</v>
      </c>
      <c r="E89" s="49">
        <v>16.8</v>
      </c>
      <c r="F89" s="324">
        <v>631</v>
      </c>
      <c r="G89" s="566" t="str">
        <f t="shared" si="12"/>
        <v>住居</v>
      </c>
      <c r="H89" s="47" t="s">
        <v>1709</v>
      </c>
      <c r="I89" s="325">
        <v>70000</v>
      </c>
      <c r="J89" s="325">
        <v>0</v>
      </c>
      <c r="K89" s="325">
        <v>0</v>
      </c>
      <c r="L89" s="325">
        <v>0</v>
      </c>
      <c r="M89" s="565">
        <f t="shared" si="19"/>
        <v>70000</v>
      </c>
      <c r="N89" s="326">
        <v>70000</v>
      </c>
      <c r="O89" s="326">
        <v>0</v>
      </c>
      <c r="P89" s="565">
        <f t="shared" si="13"/>
        <v>70000</v>
      </c>
      <c r="Q89" s="565">
        <f t="shared" si="20"/>
        <v>70000</v>
      </c>
      <c r="R89" s="325" t="s">
        <v>1583</v>
      </c>
      <c r="S89" s="325" t="s">
        <v>187</v>
      </c>
      <c r="T89" s="327" t="s">
        <v>1284</v>
      </c>
      <c r="V89" s="43" t="s">
        <v>1713</v>
      </c>
      <c r="W89" s="221">
        <v>62000</v>
      </c>
      <c r="Y89" s="6">
        <f t="shared" si="14"/>
        <v>1</v>
      </c>
      <c r="Z89" s="562">
        <f t="shared" si="15"/>
        <v>70000</v>
      </c>
      <c r="AA89" s="122">
        <f t="shared" si="16"/>
        <v>0</v>
      </c>
      <c r="AB89" s="122">
        <f t="shared" si="17"/>
        <v>8000</v>
      </c>
      <c r="AC89" s="6">
        <f t="shared" si="18"/>
        <v>1</v>
      </c>
      <c r="AD89" s="563">
        <f t="shared" si="21"/>
        <v>1</v>
      </c>
      <c r="AE89" s="64"/>
      <c r="AF89" s="31">
        <v>70000</v>
      </c>
      <c r="AG89" s="31">
        <v>0</v>
      </c>
      <c r="AH89" s="31">
        <v>0</v>
      </c>
      <c r="AI89" s="31">
        <v>0</v>
      </c>
      <c r="AJ89" s="31">
        <v>70000</v>
      </c>
      <c r="AK89" s="31">
        <v>70000</v>
      </c>
      <c r="AL89" s="31">
        <v>0</v>
      </c>
      <c r="AM89" s="56">
        <v>70000</v>
      </c>
      <c r="AN89" s="59">
        <v>70000</v>
      </c>
      <c r="AO89" s="59" t="s">
        <v>1583</v>
      </c>
      <c r="AP89" s="23" t="s">
        <v>187</v>
      </c>
      <c r="AQ89" s="23" t="s">
        <v>1284</v>
      </c>
    </row>
    <row r="90" spans="1:43">
      <c r="A90" s="37">
        <v>87</v>
      </c>
      <c r="B90" s="38">
        <v>104</v>
      </c>
      <c r="C90" s="571" t="str">
        <f t="shared" si="11"/>
        <v>コアプラス池袋</v>
      </c>
      <c r="D90" s="48" t="s">
        <v>1591</v>
      </c>
      <c r="E90" s="49">
        <v>16.8</v>
      </c>
      <c r="F90" s="324">
        <v>631</v>
      </c>
      <c r="G90" s="566" t="str">
        <f t="shared" si="12"/>
        <v>住居</v>
      </c>
      <c r="H90" s="47" t="s">
        <v>1709</v>
      </c>
      <c r="I90" s="325">
        <v>0</v>
      </c>
      <c r="J90" s="325">
        <v>0</v>
      </c>
      <c r="K90" s="325">
        <v>0</v>
      </c>
      <c r="L90" s="325">
        <v>0</v>
      </c>
      <c r="M90" s="565">
        <f t="shared" si="19"/>
        <v>0</v>
      </c>
      <c r="N90" s="326">
        <v>88000</v>
      </c>
      <c r="O90" s="326">
        <v>0</v>
      </c>
      <c r="P90" s="565">
        <f t="shared" si="13"/>
        <v>88000</v>
      </c>
      <c r="Q90" s="565">
        <f t="shared" si="20"/>
        <v>88000</v>
      </c>
      <c r="R90" s="325" t="s">
        <v>1017</v>
      </c>
      <c r="S90" s="325" t="s">
        <v>187</v>
      </c>
      <c r="T90" s="327" t="s">
        <v>1714</v>
      </c>
      <c r="V90" s="43" t="s">
        <v>1715</v>
      </c>
      <c r="W90" s="221">
        <v>63000</v>
      </c>
      <c r="Y90" s="6">
        <f t="shared" si="14"/>
        <v>0</v>
      </c>
      <c r="Z90" s="562">
        <f t="shared" si="15"/>
        <v>88000</v>
      </c>
      <c r="AA90" s="122">
        <f t="shared" si="16"/>
        <v>0</v>
      </c>
      <c r="AB90" s="122">
        <f t="shared" si="17"/>
        <v>25000</v>
      </c>
      <c r="AC90" s="6">
        <f t="shared" si="18"/>
        <v>1</v>
      </c>
      <c r="AD90" s="563">
        <f t="shared" si="21"/>
        <v>1</v>
      </c>
      <c r="AE90" s="64"/>
      <c r="AF90" s="31">
        <v>0</v>
      </c>
      <c r="AG90" s="31">
        <v>0</v>
      </c>
      <c r="AH90" s="31">
        <v>0</v>
      </c>
      <c r="AI90" s="31">
        <v>0</v>
      </c>
      <c r="AJ90" s="31">
        <v>0</v>
      </c>
      <c r="AK90" s="31">
        <v>88000</v>
      </c>
      <c r="AL90" s="31">
        <v>0</v>
      </c>
      <c r="AM90" s="56">
        <v>88000</v>
      </c>
      <c r="AN90" s="59">
        <v>88000</v>
      </c>
      <c r="AO90" s="59" t="s">
        <v>1017</v>
      </c>
      <c r="AP90" s="23" t="s">
        <v>187</v>
      </c>
      <c r="AQ90" s="23" t="s">
        <v>1714</v>
      </c>
    </row>
    <row r="91" spans="1:43">
      <c r="A91" s="37">
        <v>88</v>
      </c>
      <c r="B91" s="38">
        <v>104</v>
      </c>
      <c r="C91" s="571" t="str">
        <f t="shared" si="11"/>
        <v>コアプラス池袋</v>
      </c>
      <c r="D91" s="48" t="s">
        <v>1593</v>
      </c>
      <c r="E91" s="49">
        <v>16.8</v>
      </c>
      <c r="F91" s="324">
        <v>631</v>
      </c>
      <c r="G91" s="566" t="str">
        <f t="shared" si="12"/>
        <v>住居</v>
      </c>
      <c r="H91" s="47" t="s">
        <v>1709</v>
      </c>
      <c r="I91" s="325">
        <v>72000</v>
      </c>
      <c r="J91" s="325">
        <v>0</v>
      </c>
      <c r="K91" s="325">
        <v>0</v>
      </c>
      <c r="L91" s="325">
        <v>0</v>
      </c>
      <c r="M91" s="565">
        <f t="shared" si="19"/>
        <v>72000</v>
      </c>
      <c r="N91" s="326">
        <v>72000</v>
      </c>
      <c r="O91" s="326">
        <v>0</v>
      </c>
      <c r="P91" s="565">
        <f t="shared" si="13"/>
        <v>72000</v>
      </c>
      <c r="Q91" s="565">
        <f t="shared" si="20"/>
        <v>72000</v>
      </c>
      <c r="R91" s="325" t="s">
        <v>1568</v>
      </c>
      <c r="S91" s="325" t="s">
        <v>187</v>
      </c>
      <c r="T91" s="327" t="s">
        <v>1284</v>
      </c>
      <c r="V91" s="43" t="s">
        <v>1716</v>
      </c>
      <c r="W91" s="221">
        <v>72000</v>
      </c>
      <c r="Y91" s="6">
        <f t="shared" si="14"/>
        <v>1</v>
      </c>
      <c r="Z91" s="562">
        <f t="shared" si="15"/>
        <v>72000</v>
      </c>
      <c r="AA91" s="122">
        <f t="shared" si="16"/>
        <v>0</v>
      </c>
      <c r="AB91" s="122">
        <f t="shared" si="17"/>
        <v>0</v>
      </c>
      <c r="AC91" s="6">
        <f t="shared" si="18"/>
        <v>1</v>
      </c>
      <c r="AD91" s="563">
        <f t="shared" si="21"/>
        <v>1</v>
      </c>
      <c r="AE91" s="64"/>
      <c r="AF91" s="31">
        <v>72000</v>
      </c>
      <c r="AG91" s="31">
        <v>0</v>
      </c>
      <c r="AH91" s="31">
        <v>0</v>
      </c>
      <c r="AI91" s="31">
        <v>0</v>
      </c>
      <c r="AJ91" s="31">
        <v>72000</v>
      </c>
      <c r="AK91" s="31">
        <v>72000</v>
      </c>
      <c r="AL91" s="31">
        <v>0</v>
      </c>
      <c r="AM91" s="58">
        <v>72000</v>
      </c>
      <c r="AN91" s="59">
        <v>72000</v>
      </c>
      <c r="AO91" s="59" t="s">
        <v>1568</v>
      </c>
      <c r="AP91" s="23" t="s">
        <v>187</v>
      </c>
      <c r="AQ91" s="23" t="s">
        <v>1284</v>
      </c>
    </row>
    <row r="92" spans="1:43">
      <c r="A92" s="39">
        <v>89</v>
      </c>
      <c r="B92" s="39">
        <v>105</v>
      </c>
      <c r="C92" s="572" t="str">
        <f t="shared" si="11"/>
        <v>目白アパート</v>
      </c>
      <c r="D92" s="45" t="s">
        <v>1566</v>
      </c>
      <c r="E92" s="46">
        <v>46.12</v>
      </c>
      <c r="F92" s="324">
        <v>631</v>
      </c>
      <c r="G92" s="566" t="str">
        <f t="shared" si="12"/>
        <v>住居</v>
      </c>
      <c r="H92" s="44" t="s">
        <v>1717</v>
      </c>
      <c r="I92" s="325">
        <v>135000</v>
      </c>
      <c r="J92" s="325">
        <v>4000</v>
      </c>
      <c r="K92" s="325">
        <v>0</v>
      </c>
      <c r="L92" s="325">
        <v>0</v>
      </c>
      <c r="M92" s="565">
        <f t="shared" si="19"/>
        <v>139000</v>
      </c>
      <c r="N92" s="326">
        <v>139000</v>
      </c>
      <c r="O92" s="326">
        <v>0</v>
      </c>
      <c r="P92" s="565">
        <f t="shared" si="13"/>
        <v>139000</v>
      </c>
      <c r="Q92" s="565">
        <f t="shared" si="20"/>
        <v>139000</v>
      </c>
      <c r="R92" s="325" t="s">
        <v>1718</v>
      </c>
      <c r="S92" s="325" t="s">
        <v>187</v>
      </c>
      <c r="T92" s="327" t="s">
        <v>1284</v>
      </c>
      <c r="V92" s="43" t="s">
        <v>1719</v>
      </c>
      <c r="W92" s="221">
        <v>139000</v>
      </c>
      <c r="Y92" s="6">
        <f t="shared" si="14"/>
        <v>1</v>
      </c>
      <c r="Z92" s="562">
        <f t="shared" si="15"/>
        <v>139000</v>
      </c>
      <c r="AA92" s="122">
        <f t="shared" si="16"/>
        <v>0</v>
      </c>
      <c r="AB92" s="122">
        <f t="shared" si="17"/>
        <v>0</v>
      </c>
      <c r="AC92" s="6">
        <f t="shared" si="18"/>
        <v>1</v>
      </c>
      <c r="AD92" s="563">
        <f t="shared" si="21"/>
        <v>1</v>
      </c>
      <c r="AE92" s="64"/>
      <c r="AF92" s="31">
        <v>135000</v>
      </c>
      <c r="AG92" s="31">
        <v>4000</v>
      </c>
      <c r="AH92" s="31">
        <v>0</v>
      </c>
      <c r="AI92" s="31">
        <v>0</v>
      </c>
      <c r="AJ92" s="31">
        <v>139000</v>
      </c>
      <c r="AK92" s="31">
        <v>139000</v>
      </c>
      <c r="AL92" s="31">
        <v>0</v>
      </c>
      <c r="AM92" s="56">
        <v>139000</v>
      </c>
      <c r="AN92" s="31">
        <v>139000</v>
      </c>
      <c r="AO92" s="31" t="s">
        <v>1718</v>
      </c>
      <c r="AP92" s="23" t="s">
        <v>187</v>
      </c>
      <c r="AQ92" s="23" t="s">
        <v>1284</v>
      </c>
    </row>
    <row r="93" spans="1:43">
      <c r="A93" s="39">
        <v>90</v>
      </c>
      <c r="B93" s="39">
        <v>105</v>
      </c>
      <c r="C93" s="572" t="str">
        <f t="shared" si="11"/>
        <v>目白アパート</v>
      </c>
      <c r="D93" s="45" t="s">
        <v>1570</v>
      </c>
      <c r="E93" s="46">
        <v>37.799999999999997</v>
      </c>
      <c r="F93" s="324">
        <v>631</v>
      </c>
      <c r="G93" s="566" t="str">
        <f t="shared" si="12"/>
        <v>住居</v>
      </c>
      <c r="H93" s="44" t="s">
        <v>1567</v>
      </c>
      <c r="I93" s="325">
        <v>100000</v>
      </c>
      <c r="J93" s="325">
        <v>3000</v>
      </c>
      <c r="K93" s="325">
        <v>186</v>
      </c>
      <c r="L93" s="325">
        <v>18</v>
      </c>
      <c r="M93" s="565">
        <f t="shared" si="19"/>
        <v>103204</v>
      </c>
      <c r="N93" s="326">
        <v>103204</v>
      </c>
      <c r="O93" s="326">
        <v>0</v>
      </c>
      <c r="P93" s="565">
        <f t="shared" si="13"/>
        <v>103204</v>
      </c>
      <c r="Q93" s="565">
        <f t="shared" si="20"/>
        <v>103204</v>
      </c>
      <c r="R93" s="325" t="s">
        <v>1568</v>
      </c>
      <c r="S93" s="325" t="s">
        <v>187</v>
      </c>
      <c r="T93" s="327" t="s">
        <v>1284</v>
      </c>
      <c r="V93" s="43" t="s">
        <v>1720</v>
      </c>
      <c r="W93" s="221">
        <v>103000</v>
      </c>
      <c r="Y93" s="6">
        <f t="shared" si="14"/>
        <v>1</v>
      </c>
      <c r="Z93" s="562">
        <f t="shared" si="15"/>
        <v>103186</v>
      </c>
      <c r="AA93" s="122">
        <f t="shared" si="16"/>
        <v>18</v>
      </c>
      <c r="AB93" s="122">
        <f t="shared" si="17"/>
        <v>186</v>
      </c>
      <c r="AC93" s="6">
        <f t="shared" si="18"/>
        <v>1</v>
      </c>
      <c r="AD93" s="563">
        <f t="shared" si="21"/>
        <v>1</v>
      </c>
      <c r="AE93" s="64"/>
      <c r="AF93" s="31">
        <v>100000</v>
      </c>
      <c r="AG93" s="31">
        <v>3000</v>
      </c>
      <c r="AH93" s="31">
        <v>186</v>
      </c>
      <c r="AI93" s="31">
        <v>18</v>
      </c>
      <c r="AJ93" s="31">
        <v>103204</v>
      </c>
      <c r="AK93" s="31">
        <v>103204</v>
      </c>
      <c r="AL93" s="31">
        <v>0</v>
      </c>
      <c r="AM93" s="56">
        <v>103204</v>
      </c>
      <c r="AN93" s="31">
        <v>103204</v>
      </c>
      <c r="AO93" s="31" t="s">
        <v>1568</v>
      </c>
      <c r="AP93" s="23" t="s">
        <v>187</v>
      </c>
      <c r="AQ93" s="23" t="s">
        <v>1284</v>
      </c>
    </row>
    <row r="94" spans="1:43">
      <c r="A94" s="39">
        <v>91</v>
      </c>
      <c r="B94" s="39">
        <v>105</v>
      </c>
      <c r="C94" s="572" t="str">
        <f t="shared" si="11"/>
        <v>目白アパート</v>
      </c>
      <c r="D94" s="45" t="s">
        <v>1580</v>
      </c>
      <c r="E94" s="46">
        <v>28.62</v>
      </c>
      <c r="F94" s="324">
        <v>631</v>
      </c>
      <c r="G94" s="566" t="str">
        <f t="shared" si="12"/>
        <v>住居</v>
      </c>
      <c r="H94" s="44" t="s">
        <v>1667</v>
      </c>
      <c r="I94" s="325">
        <v>103000</v>
      </c>
      <c r="J94" s="325">
        <v>5000</v>
      </c>
      <c r="K94" s="325">
        <v>0</v>
      </c>
      <c r="L94" s="325">
        <v>0</v>
      </c>
      <c r="M94" s="565">
        <f t="shared" si="19"/>
        <v>108000</v>
      </c>
      <c r="N94" s="326">
        <v>113000</v>
      </c>
      <c r="O94" s="326">
        <v>0</v>
      </c>
      <c r="P94" s="565">
        <f t="shared" si="13"/>
        <v>113000</v>
      </c>
      <c r="Q94" s="565">
        <f t="shared" si="20"/>
        <v>108000</v>
      </c>
      <c r="R94" s="325" t="s">
        <v>1718</v>
      </c>
      <c r="S94" s="325" t="s">
        <v>187</v>
      </c>
      <c r="T94" s="327" t="s">
        <v>1284</v>
      </c>
      <c r="V94" s="43" t="s">
        <v>1721</v>
      </c>
      <c r="W94" s="221">
        <v>90200</v>
      </c>
      <c r="Y94" s="6">
        <f t="shared" si="14"/>
        <v>1</v>
      </c>
      <c r="Z94" s="562">
        <f t="shared" si="15"/>
        <v>108000</v>
      </c>
      <c r="AA94" s="122">
        <f t="shared" si="16"/>
        <v>5000</v>
      </c>
      <c r="AB94" s="122">
        <f t="shared" si="17"/>
        <v>17800</v>
      </c>
      <c r="AC94" s="6">
        <f t="shared" si="18"/>
        <v>1</v>
      </c>
      <c r="AD94" s="563">
        <f t="shared" si="21"/>
        <v>1</v>
      </c>
      <c r="AE94" s="64"/>
      <c r="AF94" s="31">
        <v>103000</v>
      </c>
      <c r="AG94" s="31">
        <v>5000</v>
      </c>
      <c r="AH94" s="31">
        <v>0</v>
      </c>
      <c r="AI94" s="31">
        <v>0</v>
      </c>
      <c r="AJ94" s="31">
        <v>108000</v>
      </c>
      <c r="AK94" s="31">
        <v>113000</v>
      </c>
      <c r="AL94" s="31">
        <v>0</v>
      </c>
      <c r="AM94" s="56">
        <v>113000</v>
      </c>
      <c r="AN94" s="31">
        <v>108000</v>
      </c>
      <c r="AO94" s="31" t="s">
        <v>1718</v>
      </c>
      <c r="AP94" s="23" t="s">
        <v>187</v>
      </c>
      <c r="AQ94" s="23" t="s">
        <v>1284</v>
      </c>
    </row>
    <row r="95" spans="1:43">
      <c r="A95" s="39">
        <v>92</v>
      </c>
      <c r="B95" s="39">
        <v>105</v>
      </c>
      <c r="C95" s="572" t="str">
        <f t="shared" si="11"/>
        <v>目白アパート</v>
      </c>
      <c r="D95" s="45" t="s">
        <v>1582</v>
      </c>
      <c r="E95" s="46">
        <v>28.62</v>
      </c>
      <c r="F95" s="324">
        <v>631</v>
      </c>
      <c r="G95" s="566" t="str">
        <f t="shared" si="12"/>
        <v>住居</v>
      </c>
      <c r="H95" s="44" t="s">
        <v>1667</v>
      </c>
      <c r="I95" s="325">
        <v>0</v>
      </c>
      <c r="J95" s="325">
        <v>0</v>
      </c>
      <c r="K95" s="325">
        <v>0</v>
      </c>
      <c r="L95" s="325">
        <v>0</v>
      </c>
      <c r="M95" s="565">
        <f t="shared" si="19"/>
        <v>0</v>
      </c>
      <c r="N95" s="326">
        <v>105000</v>
      </c>
      <c r="O95" s="326">
        <v>0</v>
      </c>
      <c r="P95" s="565">
        <f t="shared" si="13"/>
        <v>105000</v>
      </c>
      <c r="Q95" s="565">
        <f t="shared" si="20"/>
        <v>105000</v>
      </c>
      <c r="R95" s="325" t="s">
        <v>1017</v>
      </c>
      <c r="S95" s="325" t="s">
        <v>187</v>
      </c>
      <c r="T95" s="327" t="s">
        <v>1714</v>
      </c>
      <c r="V95" s="43" t="s">
        <v>1722</v>
      </c>
      <c r="W95" s="221">
        <v>88000</v>
      </c>
      <c r="Y95" s="6">
        <f t="shared" si="14"/>
        <v>0</v>
      </c>
      <c r="Z95" s="562">
        <f t="shared" si="15"/>
        <v>105000</v>
      </c>
      <c r="AA95" s="122">
        <f t="shared" si="16"/>
        <v>0</v>
      </c>
      <c r="AB95" s="122">
        <f t="shared" si="17"/>
        <v>17000</v>
      </c>
      <c r="AC95" s="6">
        <f t="shared" si="18"/>
        <v>1</v>
      </c>
      <c r="AD95" s="563">
        <f t="shared" si="21"/>
        <v>1</v>
      </c>
      <c r="AE95" s="64"/>
      <c r="AF95" s="31">
        <v>0</v>
      </c>
      <c r="AG95" s="31">
        <v>0</v>
      </c>
      <c r="AH95" s="31">
        <v>0</v>
      </c>
      <c r="AI95" s="31">
        <v>0</v>
      </c>
      <c r="AJ95" s="31">
        <v>0</v>
      </c>
      <c r="AK95" s="31">
        <v>105000</v>
      </c>
      <c r="AL95" s="31">
        <v>0</v>
      </c>
      <c r="AM95" s="56">
        <v>105000</v>
      </c>
      <c r="AN95" s="31">
        <v>105000</v>
      </c>
      <c r="AO95" s="31" t="s">
        <v>1017</v>
      </c>
      <c r="AP95" s="23" t="s">
        <v>187</v>
      </c>
      <c r="AQ95" s="23" t="s">
        <v>1714</v>
      </c>
    </row>
    <row r="96" spans="1:43">
      <c r="A96" s="39">
        <v>93</v>
      </c>
      <c r="B96" s="39">
        <v>105</v>
      </c>
      <c r="C96" s="572" t="str">
        <f t="shared" si="11"/>
        <v>目白アパート</v>
      </c>
      <c r="D96" s="45" t="s">
        <v>1585</v>
      </c>
      <c r="E96" s="46">
        <v>33.39</v>
      </c>
      <c r="F96" s="324">
        <v>631</v>
      </c>
      <c r="G96" s="566" t="str">
        <f t="shared" si="12"/>
        <v>住居</v>
      </c>
      <c r="H96" s="44" t="s">
        <v>1667</v>
      </c>
      <c r="I96" s="325">
        <v>0</v>
      </c>
      <c r="J96" s="325">
        <v>0</v>
      </c>
      <c r="K96" s="325">
        <v>0</v>
      </c>
      <c r="L96" s="325">
        <v>0</v>
      </c>
      <c r="M96" s="565">
        <f t="shared" si="19"/>
        <v>0</v>
      </c>
      <c r="N96" s="326">
        <v>99204</v>
      </c>
      <c r="O96" s="326">
        <v>0</v>
      </c>
      <c r="P96" s="565">
        <f t="shared" si="13"/>
        <v>99204</v>
      </c>
      <c r="Q96" s="565">
        <f t="shared" si="20"/>
        <v>99204</v>
      </c>
      <c r="R96" s="325" t="s">
        <v>1017</v>
      </c>
      <c r="S96" s="325" t="s">
        <v>187</v>
      </c>
      <c r="T96" s="327" t="s">
        <v>1714</v>
      </c>
      <c r="V96" s="43" t="s">
        <v>1723</v>
      </c>
      <c r="W96" s="221">
        <v>99000</v>
      </c>
      <c r="Y96" s="6">
        <f t="shared" si="14"/>
        <v>0</v>
      </c>
      <c r="Z96" s="562">
        <f t="shared" si="15"/>
        <v>99204</v>
      </c>
      <c r="AA96" s="122">
        <f t="shared" si="16"/>
        <v>0</v>
      </c>
      <c r="AB96" s="122">
        <f t="shared" si="17"/>
        <v>204</v>
      </c>
      <c r="AC96" s="6">
        <f t="shared" si="18"/>
        <v>1</v>
      </c>
      <c r="AD96" s="563">
        <f t="shared" si="21"/>
        <v>1</v>
      </c>
      <c r="AE96" s="64"/>
      <c r="AF96" s="31">
        <v>0</v>
      </c>
      <c r="AG96" s="31">
        <v>0</v>
      </c>
      <c r="AH96" s="31">
        <v>0</v>
      </c>
      <c r="AI96" s="31">
        <v>0</v>
      </c>
      <c r="AJ96" s="31">
        <v>0</v>
      </c>
      <c r="AK96" s="31">
        <v>99204</v>
      </c>
      <c r="AL96" s="31">
        <v>0</v>
      </c>
      <c r="AM96" s="56">
        <v>99204</v>
      </c>
      <c r="AN96" s="31">
        <v>99204</v>
      </c>
      <c r="AO96" s="31" t="s">
        <v>1017</v>
      </c>
      <c r="AP96" s="23" t="s">
        <v>187</v>
      </c>
      <c r="AQ96" s="23" t="s">
        <v>1714</v>
      </c>
    </row>
    <row r="97" spans="1:43">
      <c r="A97" s="39">
        <v>94</v>
      </c>
      <c r="B97" s="39">
        <v>105</v>
      </c>
      <c r="C97" s="572" t="str">
        <f t="shared" si="11"/>
        <v>目白アパート</v>
      </c>
      <c r="D97" s="45" t="s">
        <v>1724</v>
      </c>
      <c r="E97" s="46">
        <v>37.049999999999997</v>
      </c>
      <c r="F97" s="324">
        <v>631</v>
      </c>
      <c r="G97" s="566" t="str">
        <f t="shared" si="12"/>
        <v>住居</v>
      </c>
      <c r="H97" s="44" t="s">
        <v>1667</v>
      </c>
      <c r="I97" s="325">
        <v>100000</v>
      </c>
      <c r="J97" s="325">
        <v>0</v>
      </c>
      <c r="K97" s="325">
        <v>926</v>
      </c>
      <c r="L97" s="325">
        <v>92</v>
      </c>
      <c r="M97" s="565">
        <f t="shared" si="19"/>
        <v>101018</v>
      </c>
      <c r="N97" s="326">
        <v>101018</v>
      </c>
      <c r="O97" s="326">
        <v>0</v>
      </c>
      <c r="P97" s="565">
        <f t="shared" si="13"/>
        <v>101018</v>
      </c>
      <c r="Q97" s="565">
        <f t="shared" si="20"/>
        <v>101018</v>
      </c>
      <c r="R97" s="325" t="s">
        <v>1568</v>
      </c>
      <c r="S97" s="325" t="s">
        <v>187</v>
      </c>
      <c r="T97" s="327" t="s">
        <v>1284</v>
      </c>
      <c r="V97" s="43" t="s">
        <v>1725</v>
      </c>
      <c r="W97" s="221">
        <v>120400</v>
      </c>
      <c r="Y97" s="6">
        <f t="shared" si="14"/>
        <v>1</v>
      </c>
      <c r="Z97" s="562">
        <f t="shared" si="15"/>
        <v>100926</v>
      </c>
      <c r="AA97" s="122">
        <f t="shared" si="16"/>
        <v>92</v>
      </c>
      <c r="AB97" s="122">
        <f t="shared" si="17"/>
        <v>-19474</v>
      </c>
      <c r="AC97" s="6">
        <f t="shared" si="18"/>
        <v>1</v>
      </c>
      <c r="AD97" s="563">
        <f t="shared" si="21"/>
        <v>1</v>
      </c>
      <c r="AE97" s="64"/>
      <c r="AF97" s="31">
        <v>100000</v>
      </c>
      <c r="AG97" s="31">
        <v>0</v>
      </c>
      <c r="AH97" s="31">
        <v>926</v>
      </c>
      <c r="AI97" s="31">
        <v>92</v>
      </c>
      <c r="AJ97" s="31">
        <v>101018</v>
      </c>
      <c r="AK97" s="31">
        <v>101018</v>
      </c>
      <c r="AL97" s="31">
        <v>0</v>
      </c>
      <c r="AM97" s="56">
        <v>101018</v>
      </c>
      <c r="AN97" s="31">
        <v>101018</v>
      </c>
      <c r="AO97" s="31" t="s">
        <v>1568</v>
      </c>
      <c r="AP97" s="23" t="s">
        <v>187</v>
      </c>
      <c r="AQ97" s="23" t="s">
        <v>1284</v>
      </c>
    </row>
    <row r="98" spans="1:43">
      <c r="A98" s="39">
        <v>95</v>
      </c>
      <c r="B98" s="39">
        <v>105</v>
      </c>
      <c r="C98" s="572" t="str">
        <f t="shared" si="11"/>
        <v>目白アパート</v>
      </c>
      <c r="D98" s="45" t="s">
        <v>1589</v>
      </c>
      <c r="E98" s="46">
        <v>28.62</v>
      </c>
      <c r="F98" s="324">
        <v>631</v>
      </c>
      <c r="G98" s="566" t="str">
        <f t="shared" si="12"/>
        <v>住居</v>
      </c>
      <c r="H98" s="44" t="s">
        <v>1667</v>
      </c>
      <c r="I98" s="325">
        <v>105000</v>
      </c>
      <c r="J98" s="325">
        <v>5000</v>
      </c>
      <c r="K98" s="325">
        <v>0</v>
      </c>
      <c r="L98" s="325">
        <v>0</v>
      </c>
      <c r="M98" s="565">
        <f t="shared" si="19"/>
        <v>110000</v>
      </c>
      <c r="N98" s="326">
        <v>110000</v>
      </c>
      <c r="O98" s="326">
        <v>0</v>
      </c>
      <c r="P98" s="565">
        <f t="shared" si="13"/>
        <v>110000</v>
      </c>
      <c r="Q98" s="565">
        <f t="shared" si="20"/>
        <v>110000</v>
      </c>
      <c r="R98" s="325" t="s">
        <v>1578</v>
      </c>
      <c r="S98" s="325" t="s">
        <v>187</v>
      </c>
      <c r="T98" s="327" t="s">
        <v>1284</v>
      </c>
      <c r="V98" s="43" t="s">
        <v>1726</v>
      </c>
      <c r="W98" s="221">
        <v>98000</v>
      </c>
      <c r="Y98" s="6">
        <f t="shared" si="14"/>
        <v>1</v>
      </c>
      <c r="Z98" s="562">
        <f t="shared" si="15"/>
        <v>110000</v>
      </c>
      <c r="AA98" s="122">
        <f t="shared" si="16"/>
        <v>0</v>
      </c>
      <c r="AB98" s="122">
        <f t="shared" si="17"/>
        <v>12000</v>
      </c>
      <c r="AC98" s="6">
        <f t="shared" si="18"/>
        <v>1</v>
      </c>
      <c r="AD98" s="563">
        <f t="shared" si="21"/>
        <v>1</v>
      </c>
      <c r="AE98" s="64"/>
      <c r="AF98" s="31">
        <v>105000</v>
      </c>
      <c r="AG98" s="31">
        <v>5000</v>
      </c>
      <c r="AH98" s="31">
        <v>0</v>
      </c>
      <c r="AI98" s="31">
        <v>0</v>
      </c>
      <c r="AJ98" s="31">
        <v>110000</v>
      </c>
      <c r="AK98" s="31">
        <v>110000</v>
      </c>
      <c r="AL98" s="31">
        <v>0</v>
      </c>
      <c r="AM98" s="56">
        <v>110000</v>
      </c>
      <c r="AN98" s="31">
        <v>110000</v>
      </c>
      <c r="AO98" s="31" t="s">
        <v>1578</v>
      </c>
      <c r="AP98" s="23" t="s">
        <v>187</v>
      </c>
      <c r="AQ98" s="23" t="s">
        <v>1284</v>
      </c>
    </row>
    <row r="99" spans="1:43">
      <c r="A99" s="39">
        <v>96</v>
      </c>
      <c r="B99" s="39">
        <v>105</v>
      </c>
      <c r="C99" s="572" t="str">
        <f t="shared" si="11"/>
        <v>目白アパート</v>
      </c>
      <c r="D99" s="45" t="s">
        <v>1591</v>
      </c>
      <c r="E99" s="46">
        <v>28.62</v>
      </c>
      <c r="F99" s="324">
        <v>631</v>
      </c>
      <c r="G99" s="566" t="str">
        <f t="shared" si="12"/>
        <v>住居</v>
      </c>
      <c r="H99" s="44" t="s">
        <v>1667</v>
      </c>
      <c r="I99" s="325">
        <v>100000</v>
      </c>
      <c r="J99" s="325">
        <v>0</v>
      </c>
      <c r="K99" s="325">
        <v>0</v>
      </c>
      <c r="L99" s="325">
        <v>0</v>
      </c>
      <c r="M99" s="565">
        <f t="shared" si="19"/>
        <v>100000</v>
      </c>
      <c r="N99" s="326">
        <v>100000</v>
      </c>
      <c r="O99" s="326">
        <v>0</v>
      </c>
      <c r="P99" s="565">
        <f t="shared" si="13"/>
        <v>100000</v>
      </c>
      <c r="Q99" s="565">
        <f t="shared" si="20"/>
        <v>100000</v>
      </c>
      <c r="R99" s="325" t="s">
        <v>1568</v>
      </c>
      <c r="S99" s="325" t="s">
        <v>187</v>
      </c>
      <c r="T99" s="327" t="s">
        <v>1284</v>
      </c>
      <c r="V99" s="43" t="s">
        <v>1727</v>
      </c>
      <c r="W99" s="221">
        <v>100000</v>
      </c>
      <c r="Y99" s="6">
        <f t="shared" si="14"/>
        <v>1</v>
      </c>
      <c r="Z99" s="562">
        <f t="shared" si="15"/>
        <v>100000</v>
      </c>
      <c r="AA99" s="122">
        <f t="shared" si="16"/>
        <v>0</v>
      </c>
      <c r="AB99" s="122">
        <f t="shared" si="17"/>
        <v>0</v>
      </c>
      <c r="AC99" s="6">
        <f t="shared" si="18"/>
        <v>1</v>
      </c>
      <c r="AD99" s="563">
        <f t="shared" si="21"/>
        <v>1</v>
      </c>
      <c r="AE99" s="64"/>
      <c r="AF99" s="31">
        <v>100000</v>
      </c>
      <c r="AG99" s="31">
        <v>0</v>
      </c>
      <c r="AH99" s="31">
        <v>0</v>
      </c>
      <c r="AI99" s="31">
        <v>0</v>
      </c>
      <c r="AJ99" s="31">
        <v>100000</v>
      </c>
      <c r="AK99" s="31">
        <v>100000</v>
      </c>
      <c r="AL99" s="31">
        <v>0</v>
      </c>
      <c r="AM99" s="56">
        <v>100000</v>
      </c>
      <c r="AN99" s="31">
        <v>100000</v>
      </c>
      <c r="AO99" s="31" t="s">
        <v>1568</v>
      </c>
      <c r="AP99" s="23" t="s">
        <v>187</v>
      </c>
      <c r="AQ99" s="23" t="s">
        <v>1284</v>
      </c>
    </row>
    <row r="100" spans="1:43">
      <c r="A100" s="39">
        <v>97</v>
      </c>
      <c r="B100" s="39">
        <v>105</v>
      </c>
      <c r="C100" s="572" t="str">
        <f t="shared" si="11"/>
        <v>目白アパート</v>
      </c>
      <c r="D100" s="45" t="s">
        <v>1593</v>
      </c>
      <c r="E100" s="46">
        <v>33.39</v>
      </c>
      <c r="F100" s="324">
        <v>631</v>
      </c>
      <c r="G100" s="566" t="str">
        <f t="shared" si="12"/>
        <v>住居</v>
      </c>
      <c r="H100" s="44" t="s">
        <v>1667</v>
      </c>
      <c r="I100" s="325">
        <v>120000</v>
      </c>
      <c r="J100" s="325">
        <v>5000</v>
      </c>
      <c r="K100" s="325">
        <v>0</v>
      </c>
      <c r="L100" s="325">
        <v>0</v>
      </c>
      <c r="M100" s="565">
        <f t="shared" si="19"/>
        <v>125000</v>
      </c>
      <c r="N100" s="326">
        <v>125000</v>
      </c>
      <c r="O100" s="326">
        <v>0</v>
      </c>
      <c r="P100" s="565">
        <f t="shared" si="13"/>
        <v>125000</v>
      </c>
      <c r="Q100" s="565">
        <f t="shared" si="20"/>
        <v>125000</v>
      </c>
      <c r="R100" s="325" t="s">
        <v>1578</v>
      </c>
      <c r="S100" s="325" t="s">
        <v>187</v>
      </c>
      <c r="T100" s="327" t="s">
        <v>1284</v>
      </c>
      <c r="V100" s="43" t="s">
        <v>1728</v>
      </c>
      <c r="W100" s="221">
        <v>100000</v>
      </c>
      <c r="Y100" s="6">
        <f t="shared" si="14"/>
        <v>1</v>
      </c>
      <c r="Z100" s="562">
        <f t="shared" si="15"/>
        <v>125000</v>
      </c>
      <c r="AA100" s="122">
        <f t="shared" si="16"/>
        <v>0</v>
      </c>
      <c r="AB100" s="122">
        <f t="shared" si="17"/>
        <v>25000</v>
      </c>
      <c r="AC100" s="6">
        <f t="shared" si="18"/>
        <v>1</v>
      </c>
      <c r="AD100" s="563">
        <f t="shared" si="21"/>
        <v>1</v>
      </c>
      <c r="AE100" s="64"/>
      <c r="AF100" s="31">
        <v>120000</v>
      </c>
      <c r="AG100" s="31">
        <v>5000</v>
      </c>
      <c r="AH100" s="31">
        <v>0</v>
      </c>
      <c r="AI100" s="31">
        <v>0</v>
      </c>
      <c r="AJ100" s="31">
        <v>125000</v>
      </c>
      <c r="AK100" s="31">
        <v>125000</v>
      </c>
      <c r="AL100" s="31">
        <v>0</v>
      </c>
      <c r="AM100" s="56">
        <v>125000</v>
      </c>
      <c r="AN100" s="31">
        <v>125000</v>
      </c>
      <c r="AO100" s="31" t="s">
        <v>1578</v>
      </c>
      <c r="AP100" s="23" t="s">
        <v>187</v>
      </c>
      <c r="AQ100" s="23" t="s">
        <v>1284</v>
      </c>
    </row>
    <row r="101" spans="1:43">
      <c r="A101" s="39">
        <v>98</v>
      </c>
      <c r="B101" s="39">
        <v>105</v>
      </c>
      <c r="C101" s="572" t="str">
        <f t="shared" si="11"/>
        <v>目白アパート</v>
      </c>
      <c r="D101" s="45" t="s">
        <v>1729</v>
      </c>
      <c r="E101" s="46">
        <v>37.049999999999997</v>
      </c>
      <c r="F101" s="324">
        <v>631</v>
      </c>
      <c r="G101" s="566" t="str">
        <f t="shared" si="12"/>
        <v>住居</v>
      </c>
      <c r="H101" s="44" t="s">
        <v>1667</v>
      </c>
      <c r="I101" s="325">
        <v>100000</v>
      </c>
      <c r="J101" s="325">
        <v>0</v>
      </c>
      <c r="K101" s="325">
        <v>1112</v>
      </c>
      <c r="L101" s="325">
        <v>111</v>
      </c>
      <c r="M101" s="565">
        <f t="shared" si="19"/>
        <v>101223</v>
      </c>
      <c r="N101" s="326">
        <v>91223</v>
      </c>
      <c r="O101" s="326">
        <v>0</v>
      </c>
      <c r="P101" s="565">
        <f t="shared" si="13"/>
        <v>91223</v>
      </c>
      <c r="Q101" s="565">
        <f t="shared" si="20"/>
        <v>101223</v>
      </c>
      <c r="R101" s="325" t="s">
        <v>1568</v>
      </c>
      <c r="S101" s="325" t="s">
        <v>187</v>
      </c>
      <c r="T101" s="327" t="s">
        <v>1284</v>
      </c>
      <c r="V101" s="43" t="s">
        <v>1730</v>
      </c>
      <c r="W101" s="221">
        <v>100000</v>
      </c>
      <c r="Y101" s="6">
        <f t="shared" si="14"/>
        <v>1</v>
      </c>
      <c r="Z101" s="562">
        <f t="shared" si="15"/>
        <v>101112</v>
      </c>
      <c r="AA101" s="122">
        <f t="shared" si="16"/>
        <v>-9889</v>
      </c>
      <c r="AB101" s="122">
        <f t="shared" si="17"/>
        <v>1112</v>
      </c>
      <c r="AC101" s="6">
        <f t="shared" si="18"/>
        <v>1</v>
      </c>
      <c r="AD101" s="563">
        <f t="shared" si="21"/>
        <v>1</v>
      </c>
      <c r="AE101" s="64"/>
      <c r="AF101" s="31">
        <v>100000</v>
      </c>
      <c r="AG101" s="31">
        <v>0</v>
      </c>
      <c r="AH101" s="31">
        <v>1112</v>
      </c>
      <c r="AI101" s="31">
        <v>111</v>
      </c>
      <c r="AJ101" s="31">
        <v>101223</v>
      </c>
      <c r="AK101" s="31">
        <v>91223</v>
      </c>
      <c r="AL101" s="31">
        <v>0</v>
      </c>
      <c r="AM101" s="56">
        <v>91223</v>
      </c>
      <c r="AN101" s="31">
        <v>101223</v>
      </c>
      <c r="AO101" s="31" t="s">
        <v>1568</v>
      </c>
      <c r="AP101" s="23" t="s">
        <v>187</v>
      </c>
      <c r="AQ101" s="23" t="s">
        <v>1284</v>
      </c>
    </row>
    <row r="102" spans="1:43">
      <c r="A102" s="39">
        <v>99</v>
      </c>
      <c r="B102" s="39">
        <v>105</v>
      </c>
      <c r="C102" s="572" t="str">
        <f t="shared" si="11"/>
        <v>目白アパート</v>
      </c>
      <c r="D102" s="45" t="s">
        <v>1603</v>
      </c>
      <c r="E102" s="46">
        <v>28.62</v>
      </c>
      <c r="F102" s="324">
        <v>631</v>
      </c>
      <c r="G102" s="566" t="str">
        <f t="shared" si="12"/>
        <v>住居</v>
      </c>
      <c r="H102" s="44" t="s">
        <v>1667</v>
      </c>
      <c r="I102" s="325">
        <v>93000</v>
      </c>
      <c r="J102" s="325">
        <v>3000</v>
      </c>
      <c r="K102" s="325">
        <v>371</v>
      </c>
      <c r="L102" s="325">
        <v>37</v>
      </c>
      <c r="M102" s="565">
        <f t="shared" si="19"/>
        <v>96408</v>
      </c>
      <c r="N102" s="326">
        <v>96408</v>
      </c>
      <c r="O102" s="326">
        <v>0</v>
      </c>
      <c r="P102" s="565">
        <f t="shared" si="13"/>
        <v>96408</v>
      </c>
      <c r="Q102" s="565">
        <f t="shared" si="20"/>
        <v>96408</v>
      </c>
      <c r="R102" s="325" t="s">
        <v>1568</v>
      </c>
      <c r="S102" s="325" t="s">
        <v>187</v>
      </c>
      <c r="T102" s="327" t="s">
        <v>1284</v>
      </c>
      <c r="V102" s="43" t="s">
        <v>1731</v>
      </c>
      <c r="W102" s="221">
        <v>96000</v>
      </c>
      <c r="Y102" s="6">
        <f t="shared" si="14"/>
        <v>1</v>
      </c>
      <c r="Z102" s="562">
        <f t="shared" si="15"/>
        <v>96371</v>
      </c>
      <c r="AA102" s="122">
        <f t="shared" si="16"/>
        <v>37</v>
      </c>
      <c r="AB102" s="122">
        <f t="shared" si="17"/>
        <v>371</v>
      </c>
      <c r="AC102" s="6">
        <f t="shared" si="18"/>
        <v>1</v>
      </c>
      <c r="AD102" s="563">
        <f t="shared" si="21"/>
        <v>1</v>
      </c>
      <c r="AE102" s="64"/>
      <c r="AF102" s="31">
        <v>93000</v>
      </c>
      <c r="AG102" s="31">
        <v>3000</v>
      </c>
      <c r="AH102" s="31">
        <v>371</v>
      </c>
      <c r="AI102" s="31">
        <v>37</v>
      </c>
      <c r="AJ102" s="31">
        <v>96408</v>
      </c>
      <c r="AK102" s="31">
        <v>96408</v>
      </c>
      <c r="AL102" s="31">
        <v>0</v>
      </c>
      <c r="AM102" s="56">
        <v>96408</v>
      </c>
      <c r="AN102" s="31">
        <v>96408</v>
      </c>
      <c r="AO102" s="31" t="s">
        <v>1568</v>
      </c>
      <c r="AP102" s="23" t="s">
        <v>187</v>
      </c>
      <c r="AQ102" s="23" t="s">
        <v>1284</v>
      </c>
    </row>
    <row r="103" spans="1:43">
      <c r="A103" s="39">
        <v>100</v>
      </c>
      <c r="B103" s="39">
        <v>105</v>
      </c>
      <c r="C103" s="572" t="str">
        <f t="shared" si="11"/>
        <v>目白アパート</v>
      </c>
      <c r="D103" s="45" t="s">
        <v>1605</v>
      </c>
      <c r="E103" s="46">
        <v>28.62</v>
      </c>
      <c r="F103" s="324">
        <v>631</v>
      </c>
      <c r="G103" s="566" t="str">
        <f t="shared" si="12"/>
        <v>住居</v>
      </c>
      <c r="H103" s="44" t="s">
        <v>1667</v>
      </c>
      <c r="I103" s="325">
        <v>90000</v>
      </c>
      <c r="J103" s="325">
        <v>0</v>
      </c>
      <c r="K103" s="325">
        <v>0</v>
      </c>
      <c r="L103" s="325">
        <v>0</v>
      </c>
      <c r="M103" s="565">
        <f t="shared" si="19"/>
        <v>90000</v>
      </c>
      <c r="N103" s="326">
        <v>90000</v>
      </c>
      <c r="O103" s="326">
        <v>0</v>
      </c>
      <c r="P103" s="565">
        <f t="shared" si="13"/>
        <v>90000</v>
      </c>
      <c r="Q103" s="565">
        <f t="shared" si="20"/>
        <v>90000</v>
      </c>
      <c r="R103" s="325" t="s">
        <v>1568</v>
      </c>
      <c r="S103" s="325" t="s">
        <v>187</v>
      </c>
      <c r="T103" s="327" t="s">
        <v>1284</v>
      </c>
      <c r="V103" s="43" t="s">
        <v>1732</v>
      </c>
      <c r="W103" s="221">
        <v>90000</v>
      </c>
      <c r="Y103" s="6">
        <f t="shared" si="14"/>
        <v>1</v>
      </c>
      <c r="Z103" s="562">
        <f t="shared" si="15"/>
        <v>90000</v>
      </c>
      <c r="AA103" s="122">
        <f t="shared" si="16"/>
        <v>0</v>
      </c>
      <c r="AB103" s="122">
        <f t="shared" si="17"/>
        <v>0</v>
      </c>
      <c r="AC103" s="6">
        <f t="shared" si="18"/>
        <v>1</v>
      </c>
      <c r="AD103" s="563">
        <f t="shared" si="21"/>
        <v>1</v>
      </c>
      <c r="AE103" s="64"/>
      <c r="AF103" s="31">
        <v>90000</v>
      </c>
      <c r="AG103" s="31">
        <v>0</v>
      </c>
      <c r="AH103" s="31">
        <v>0</v>
      </c>
      <c r="AI103" s="31">
        <v>0</v>
      </c>
      <c r="AJ103" s="31">
        <v>90000</v>
      </c>
      <c r="AK103" s="31">
        <v>90000</v>
      </c>
      <c r="AL103" s="31">
        <v>0</v>
      </c>
      <c r="AM103" s="56">
        <v>90000</v>
      </c>
      <c r="AN103" s="31">
        <v>90000</v>
      </c>
      <c r="AO103" s="31" t="s">
        <v>1568</v>
      </c>
      <c r="AP103" s="23" t="s">
        <v>187</v>
      </c>
      <c r="AQ103" s="23" t="s">
        <v>1284</v>
      </c>
    </row>
    <row r="104" spans="1:43">
      <c r="A104" s="39">
        <v>101</v>
      </c>
      <c r="B104" s="39">
        <v>105</v>
      </c>
      <c r="C104" s="572" t="str">
        <f t="shared" si="11"/>
        <v>目白アパート</v>
      </c>
      <c r="D104" s="45" t="s">
        <v>1607</v>
      </c>
      <c r="E104" s="46">
        <v>33.39</v>
      </c>
      <c r="F104" s="324">
        <v>631</v>
      </c>
      <c r="G104" s="566" t="str">
        <f t="shared" si="12"/>
        <v>住居</v>
      </c>
      <c r="H104" s="44" t="s">
        <v>1667</v>
      </c>
      <c r="I104" s="325">
        <v>105000</v>
      </c>
      <c r="J104" s="325">
        <v>5000</v>
      </c>
      <c r="K104" s="325">
        <v>0</v>
      </c>
      <c r="L104" s="325">
        <v>0</v>
      </c>
      <c r="M104" s="565">
        <f t="shared" si="19"/>
        <v>110000</v>
      </c>
      <c r="N104" s="326">
        <v>130000</v>
      </c>
      <c r="O104" s="326">
        <v>0</v>
      </c>
      <c r="P104" s="565">
        <f t="shared" si="13"/>
        <v>130000</v>
      </c>
      <c r="Q104" s="565">
        <f t="shared" si="20"/>
        <v>110000</v>
      </c>
      <c r="R104" s="325" t="s">
        <v>1568</v>
      </c>
      <c r="S104" s="325" t="s">
        <v>187</v>
      </c>
      <c r="T104" s="327" t="s">
        <v>1284</v>
      </c>
      <c r="V104" s="43" t="s">
        <v>1733</v>
      </c>
      <c r="W104" s="221">
        <v>98400</v>
      </c>
      <c r="Y104" s="6">
        <f t="shared" si="14"/>
        <v>1</v>
      </c>
      <c r="Z104" s="562">
        <f t="shared" si="15"/>
        <v>110000</v>
      </c>
      <c r="AA104" s="122">
        <f t="shared" si="16"/>
        <v>20000</v>
      </c>
      <c r="AB104" s="122">
        <f t="shared" si="17"/>
        <v>11600</v>
      </c>
      <c r="AC104" s="6">
        <f t="shared" si="18"/>
        <v>1</v>
      </c>
      <c r="AD104" s="563">
        <f t="shared" si="21"/>
        <v>1</v>
      </c>
      <c r="AE104" s="64"/>
      <c r="AF104" s="31">
        <v>105000</v>
      </c>
      <c r="AG104" s="31">
        <v>5000</v>
      </c>
      <c r="AH104" s="31">
        <v>0</v>
      </c>
      <c r="AI104" s="31">
        <v>0</v>
      </c>
      <c r="AJ104" s="31">
        <v>110000</v>
      </c>
      <c r="AK104" s="31">
        <v>130000</v>
      </c>
      <c r="AL104" s="31">
        <v>0</v>
      </c>
      <c r="AM104" s="56">
        <v>130000</v>
      </c>
      <c r="AN104" s="31">
        <v>110000</v>
      </c>
      <c r="AO104" s="31" t="s">
        <v>1568</v>
      </c>
      <c r="AP104" s="23" t="s">
        <v>187</v>
      </c>
      <c r="AQ104" s="23" t="s">
        <v>1284</v>
      </c>
    </row>
    <row r="105" spans="1:43">
      <c r="A105" s="39">
        <v>102</v>
      </c>
      <c r="B105" s="39">
        <v>105</v>
      </c>
      <c r="C105" s="572" t="str">
        <f t="shared" si="11"/>
        <v>目白アパート</v>
      </c>
      <c r="D105" s="45" t="s">
        <v>1734</v>
      </c>
      <c r="E105" s="46">
        <v>37.049999999999997</v>
      </c>
      <c r="F105" s="324">
        <v>631</v>
      </c>
      <c r="G105" s="566" t="str">
        <f t="shared" si="12"/>
        <v>住居</v>
      </c>
      <c r="H105" s="44" t="s">
        <v>1667</v>
      </c>
      <c r="I105" s="325">
        <v>125000</v>
      </c>
      <c r="J105" s="325">
        <v>4000</v>
      </c>
      <c r="K105" s="325">
        <v>0</v>
      </c>
      <c r="L105" s="325">
        <v>0</v>
      </c>
      <c r="M105" s="565">
        <f t="shared" si="19"/>
        <v>129000</v>
      </c>
      <c r="N105" s="326">
        <v>129000</v>
      </c>
      <c r="O105" s="326">
        <v>0</v>
      </c>
      <c r="P105" s="565">
        <f t="shared" si="13"/>
        <v>129000</v>
      </c>
      <c r="Q105" s="565">
        <f t="shared" si="20"/>
        <v>129000</v>
      </c>
      <c r="R105" s="325" t="s">
        <v>1578</v>
      </c>
      <c r="S105" s="325" t="s">
        <v>187</v>
      </c>
      <c r="T105" s="327" t="s">
        <v>1284</v>
      </c>
      <c r="V105" s="43" t="s">
        <v>1735</v>
      </c>
      <c r="W105" s="221">
        <v>119400</v>
      </c>
      <c r="Y105" s="6">
        <f t="shared" si="14"/>
        <v>1</v>
      </c>
      <c r="Z105" s="562">
        <f t="shared" si="15"/>
        <v>129000</v>
      </c>
      <c r="AA105" s="122">
        <f t="shared" si="16"/>
        <v>0</v>
      </c>
      <c r="AB105" s="122">
        <f t="shared" si="17"/>
        <v>9600</v>
      </c>
      <c r="AC105" s="6">
        <f t="shared" si="18"/>
        <v>1</v>
      </c>
      <c r="AD105" s="563">
        <f t="shared" si="21"/>
        <v>1</v>
      </c>
      <c r="AE105" s="64"/>
      <c r="AF105" s="31">
        <v>125000</v>
      </c>
      <c r="AG105" s="31">
        <v>4000</v>
      </c>
      <c r="AH105" s="31">
        <v>0</v>
      </c>
      <c r="AI105" s="31">
        <v>0</v>
      </c>
      <c r="AJ105" s="31">
        <v>129000</v>
      </c>
      <c r="AK105" s="31">
        <v>129000</v>
      </c>
      <c r="AL105" s="31">
        <v>0</v>
      </c>
      <c r="AM105" s="56">
        <v>129000</v>
      </c>
      <c r="AN105" s="31">
        <v>129000</v>
      </c>
      <c r="AO105" s="31" t="s">
        <v>1578</v>
      </c>
      <c r="AP105" s="23" t="s">
        <v>187</v>
      </c>
      <c r="AQ105" s="23" t="s">
        <v>1284</v>
      </c>
    </row>
    <row r="106" spans="1:43">
      <c r="A106" s="39">
        <v>103</v>
      </c>
      <c r="B106" s="39">
        <v>105</v>
      </c>
      <c r="C106" s="572" t="str">
        <f t="shared" si="11"/>
        <v>目白アパート</v>
      </c>
      <c r="D106" s="45" t="s">
        <v>1695</v>
      </c>
      <c r="E106" s="46">
        <v>28.62</v>
      </c>
      <c r="F106" s="324">
        <v>631</v>
      </c>
      <c r="G106" s="566" t="str">
        <f t="shared" si="12"/>
        <v>住居</v>
      </c>
      <c r="H106" s="44" t="s">
        <v>1667</v>
      </c>
      <c r="I106" s="325">
        <v>107000</v>
      </c>
      <c r="J106" s="325">
        <v>3000</v>
      </c>
      <c r="K106" s="325">
        <v>0</v>
      </c>
      <c r="L106" s="325">
        <v>0</v>
      </c>
      <c r="M106" s="565">
        <f t="shared" si="19"/>
        <v>110000</v>
      </c>
      <c r="N106" s="326">
        <v>110000</v>
      </c>
      <c r="O106" s="326">
        <v>0</v>
      </c>
      <c r="P106" s="565">
        <f t="shared" si="13"/>
        <v>110000</v>
      </c>
      <c r="Q106" s="565">
        <f t="shared" si="20"/>
        <v>110000</v>
      </c>
      <c r="R106" s="325" t="s">
        <v>1568</v>
      </c>
      <c r="S106" s="325" t="s">
        <v>187</v>
      </c>
      <c r="T106" s="327" t="s">
        <v>1284</v>
      </c>
      <c r="V106" s="43" t="s">
        <v>1736</v>
      </c>
      <c r="W106" s="221">
        <v>97000</v>
      </c>
      <c r="Y106" s="6">
        <f t="shared" si="14"/>
        <v>1</v>
      </c>
      <c r="Z106" s="562">
        <f t="shared" si="15"/>
        <v>110000</v>
      </c>
      <c r="AA106" s="122">
        <f t="shared" si="16"/>
        <v>0</v>
      </c>
      <c r="AB106" s="122">
        <f t="shared" si="17"/>
        <v>13000</v>
      </c>
      <c r="AC106" s="6">
        <f t="shared" si="18"/>
        <v>1</v>
      </c>
      <c r="AD106" s="563">
        <f t="shared" si="21"/>
        <v>1</v>
      </c>
      <c r="AE106" s="64"/>
      <c r="AF106" s="31">
        <v>107000</v>
      </c>
      <c r="AG106" s="31">
        <v>3000</v>
      </c>
      <c r="AH106" s="31">
        <v>0</v>
      </c>
      <c r="AI106" s="31">
        <v>0</v>
      </c>
      <c r="AJ106" s="31">
        <v>110000</v>
      </c>
      <c r="AK106" s="31">
        <v>110000</v>
      </c>
      <c r="AL106" s="31">
        <v>0</v>
      </c>
      <c r="AM106" s="56">
        <v>110000</v>
      </c>
      <c r="AN106" s="31">
        <v>110000</v>
      </c>
      <c r="AO106" s="31" t="s">
        <v>1568</v>
      </c>
      <c r="AP106" s="23" t="s">
        <v>187</v>
      </c>
      <c r="AQ106" s="23" t="s">
        <v>1284</v>
      </c>
    </row>
    <row r="107" spans="1:43">
      <c r="A107" s="39">
        <v>104</v>
      </c>
      <c r="B107" s="39">
        <v>105</v>
      </c>
      <c r="C107" s="572" t="str">
        <f t="shared" si="11"/>
        <v>目白アパート</v>
      </c>
      <c r="D107" s="45" t="s">
        <v>1697</v>
      </c>
      <c r="E107" s="46">
        <v>28.62</v>
      </c>
      <c r="F107" s="324">
        <v>631</v>
      </c>
      <c r="G107" s="566" t="str">
        <f t="shared" si="12"/>
        <v>住居</v>
      </c>
      <c r="H107" s="44" t="s">
        <v>1667</v>
      </c>
      <c r="I107" s="325">
        <v>102000</v>
      </c>
      <c r="J107" s="325">
        <v>3000</v>
      </c>
      <c r="K107" s="325">
        <v>0</v>
      </c>
      <c r="L107" s="325">
        <v>0</v>
      </c>
      <c r="M107" s="565">
        <f t="shared" si="19"/>
        <v>105000</v>
      </c>
      <c r="N107" s="326">
        <v>105000</v>
      </c>
      <c r="O107" s="326">
        <v>0</v>
      </c>
      <c r="P107" s="565">
        <f t="shared" si="13"/>
        <v>105000</v>
      </c>
      <c r="Q107" s="565">
        <f t="shared" si="20"/>
        <v>105000</v>
      </c>
      <c r="R107" s="325" t="s">
        <v>1578</v>
      </c>
      <c r="S107" s="325" t="s">
        <v>187</v>
      </c>
      <c r="T107" s="327" t="s">
        <v>1284</v>
      </c>
      <c r="V107" s="43" t="s">
        <v>1737</v>
      </c>
      <c r="W107" s="221">
        <v>94000</v>
      </c>
      <c r="Y107" s="6">
        <f t="shared" si="14"/>
        <v>1</v>
      </c>
      <c r="Z107" s="562">
        <f t="shared" si="15"/>
        <v>105000</v>
      </c>
      <c r="AA107" s="122">
        <f t="shared" si="16"/>
        <v>0</v>
      </c>
      <c r="AB107" s="122">
        <f t="shared" si="17"/>
        <v>11000</v>
      </c>
      <c r="AC107" s="6">
        <f t="shared" si="18"/>
        <v>1</v>
      </c>
      <c r="AD107" s="563">
        <f t="shared" si="21"/>
        <v>1</v>
      </c>
      <c r="AE107" s="64"/>
      <c r="AF107" s="31">
        <v>102000</v>
      </c>
      <c r="AG107" s="31">
        <v>3000</v>
      </c>
      <c r="AH107" s="31">
        <v>0</v>
      </c>
      <c r="AI107" s="31">
        <v>0</v>
      </c>
      <c r="AJ107" s="31">
        <v>105000</v>
      </c>
      <c r="AK107" s="31">
        <v>105000</v>
      </c>
      <c r="AL107" s="31">
        <v>0</v>
      </c>
      <c r="AM107" s="56">
        <v>105000</v>
      </c>
      <c r="AN107" s="31">
        <v>105000</v>
      </c>
      <c r="AO107" s="31" t="s">
        <v>1578</v>
      </c>
      <c r="AP107" s="23" t="s">
        <v>187</v>
      </c>
      <c r="AQ107" s="23" t="s">
        <v>1284</v>
      </c>
    </row>
    <row r="108" spans="1:43">
      <c r="A108" s="39">
        <v>105</v>
      </c>
      <c r="B108" s="39">
        <v>105</v>
      </c>
      <c r="C108" s="572" t="str">
        <f t="shared" si="11"/>
        <v>目白アパート</v>
      </c>
      <c r="D108" s="45" t="s">
        <v>1699</v>
      </c>
      <c r="E108" s="46">
        <v>33.39</v>
      </c>
      <c r="F108" s="324">
        <v>631</v>
      </c>
      <c r="G108" s="566" t="str">
        <f t="shared" si="12"/>
        <v>住居</v>
      </c>
      <c r="H108" s="44" t="s">
        <v>1667</v>
      </c>
      <c r="I108" s="325">
        <v>103000</v>
      </c>
      <c r="J108" s="325">
        <v>0</v>
      </c>
      <c r="K108" s="325">
        <v>186</v>
      </c>
      <c r="L108" s="325">
        <v>18</v>
      </c>
      <c r="M108" s="565">
        <f t="shared" si="19"/>
        <v>103204</v>
      </c>
      <c r="N108" s="326">
        <v>103204</v>
      </c>
      <c r="O108" s="326">
        <v>0</v>
      </c>
      <c r="P108" s="565">
        <f t="shared" si="13"/>
        <v>103204</v>
      </c>
      <c r="Q108" s="565">
        <f t="shared" si="20"/>
        <v>103204</v>
      </c>
      <c r="R108" s="325" t="s">
        <v>1568</v>
      </c>
      <c r="S108" s="325" t="s">
        <v>187</v>
      </c>
      <c r="T108" s="327" t="s">
        <v>1284</v>
      </c>
      <c r="V108" s="43" t="s">
        <v>1738</v>
      </c>
      <c r="W108" s="221">
        <v>100200</v>
      </c>
      <c r="Y108" s="6">
        <f t="shared" si="14"/>
        <v>1</v>
      </c>
      <c r="Z108" s="562">
        <f t="shared" si="15"/>
        <v>103186</v>
      </c>
      <c r="AA108" s="122">
        <f t="shared" si="16"/>
        <v>18</v>
      </c>
      <c r="AB108" s="122">
        <f t="shared" si="17"/>
        <v>2986</v>
      </c>
      <c r="AC108" s="6">
        <f t="shared" si="18"/>
        <v>1</v>
      </c>
      <c r="AD108" s="563">
        <f t="shared" si="21"/>
        <v>1</v>
      </c>
      <c r="AE108" s="64"/>
      <c r="AF108" s="31">
        <v>103000</v>
      </c>
      <c r="AG108" s="31">
        <v>0</v>
      </c>
      <c r="AH108" s="31">
        <v>186</v>
      </c>
      <c r="AI108" s="31">
        <v>18</v>
      </c>
      <c r="AJ108" s="31">
        <v>103204</v>
      </c>
      <c r="AK108" s="31">
        <v>103204</v>
      </c>
      <c r="AL108" s="31">
        <v>0</v>
      </c>
      <c r="AM108" s="56">
        <v>103204</v>
      </c>
      <c r="AN108" s="31">
        <v>103204</v>
      </c>
      <c r="AO108" s="31" t="s">
        <v>1568</v>
      </c>
      <c r="AP108" s="23" t="s">
        <v>187</v>
      </c>
      <c r="AQ108" s="23" t="s">
        <v>1284</v>
      </c>
    </row>
    <row r="109" spans="1:43">
      <c r="A109" s="39">
        <v>106</v>
      </c>
      <c r="B109" s="39">
        <v>105</v>
      </c>
      <c r="C109" s="572" t="str">
        <f t="shared" si="11"/>
        <v>目白アパート</v>
      </c>
      <c r="D109" s="45" t="s">
        <v>1739</v>
      </c>
      <c r="E109" s="46">
        <v>37.049999999999997</v>
      </c>
      <c r="F109" s="324">
        <v>631</v>
      </c>
      <c r="G109" s="566" t="str">
        <f t="shared" si="12"/>
        <v>住居</v>
      </c>
      <c r="H109" s="44" t="s">
        <v>1667</v>
      </c>
      <c r="I109" s="325">
        <v>130000</v>
      </c>
      <c r="J109" s="325">
        <v>5000</v>
      </c>
      <c r="K109" s="325">
        <v>0</v>
      </c>
      <c r="L109" s="325">
        <v>0</v>
      </c>
      <c r="M109" s="565">
        <f t="shared" si="19"/>
        <v>135000</v>
      </c>
      <c r="N109" s="326">
        <v>135220</v>
      </c>
      <c r="O109" s="326">
        <v>0</v>
      </c>
      <c r="P109" s="565">
        <f t="shared" si="13"/>
        <v>135220</v>
      </c>
      <c r="Q109" s="565">
        <f t="shared" si="20"/>
        <v>135000</v>
      </c>
      <c r="R109" s="325" t="s">
        <v>1578</v>
      </c>
      <c r="S109" s="325" t="s">
        <v>187</v>
      </c>
      <c r="T109" s="327" t="s">
        <v>1284</v>
      </c>
      <c r="V109" s="43" t="s">
        <v>1740</v>
      </c>
      <c r="W109" s="221">
        <v>95200</v>
      </c>
      <c r="Y109" s="6">
        <f t="shared" si="14"/>
        <v>1</v>
      </c>
      <c r="Z109" s="562">
        <f t="shared" si="15"/>
        <v>135000</v>
      </c>
      <c r="AA109" s="122">
        <f t="shared" si="16"/>
        <v>220</v>
      </c>
      <c r="AB109" s="122">
        <f t="shared" si="17"/>
        <v>39800</v>
      </c>
      <c r="AC109" s="6">
        <f t="shared" si="18"/>
        <v>1</v>
      </c>
      <c r="AD109" s="563">
        <f t="shared" si="21"/>
        <v>1</v>
      </c>
      <c r="AE109" s="64"/>
      <c r="AF109" s="31">
        <v>130000</v>
      </c>
      <c r="AG109" s="31">
        <v>5000</v>
      </c>
      <c r="AH109" s="31">
        <v>0</v>
      </c>
      <c r="AI109" s="31">
        <v>0</v>
      </c>
      <c r="AJ109" s="31">
        <v>135000</v>
      </c>
      <c r="AK109" s="31">
        <v>135220</v>
      </c>
      <c r="AL109" s="31">
        <v>0</v>
      </c>
      <c r="AM109" s="56">
        <v>135220</v>
      </c>
      <c r="AN109" s="31">
        <v>135000</v>
      </c>
      <c r="AO109" s="31" t="s">
        <v>1578</v>
      </c>
      <c r="AP109" s="23" t="s">
        <v>187</v>
      </c>
      <c r="AQ109" s="23" t="s">
        <v>1284</v>
      </c>
    </row>
    <row r="110" spans="1:43">
      <c r="A110" s="39">
        <v>107</v>
      </c>
      <c r="B110" s="39">
        <v>105</v>
      </c>
      <c r="C110" s="572" t="str">
        <f t="shared" si="11"/>
        <v>目白アパート</v>
      </c>
      <c r="D110" s="45" t="s">
        <v>1741</v>
      </c>
      <c r="E110" s="46">
        <v>28.62</v>
      </c>
      <c r="F110" s="324">
        <v>631</v>
      </c>
      <c r="G110" s="566" t="str">
        <f t="shared" si="12"/>
        <v>住居</v>
      </c>
      <c r="H110" s="44" t="s">
        <v>1667</v>
      </c>
      <c r="I110" s="325">
        <v>110000</v>
      </c>
      <c r="J110" s="325">
        <v>5000</v>
      </c>
      <c r="K110" s="325">
        <v>0</v>
      </c>
      <c r="L110" s="325">
        <v>0</v>
      </c>
      <c r="M110" s="565">
        <f t="shared" si="19"/>
        <v>115000</v>
      </c>
      <c r="N110" s="326">
        <v>115000</v>
      </c>
      <c r="O110" s="326">
        <v>0</v>
      </c>
      <c r="P110" s="565">
        <f t="shared" si="13"/>
        <v>115000</v>
      </c>
      <c r="Q110" s="565">
        <f t="shared" si="20"/>
        <v>115000</v>
      </c>
      <c r="R110" s="325" t="s">
        <v>1578</v>
      </c>
      <c r="S110" s="325" t="s">
        <v>187</v>
      </c>
      <c r="T110" s="327" t="s">
        <v>1284</v>
      </c>
      <c r="V110" s="43" t="s">
        <v>1742</v>
      </c>
      <c r="W110" s="221">
        <v>105000</v>
      </c>
      <c r="Y110" s="6">
        <f t="shared" si="14"/>
        <v>1</v>
      </c>
      <c r="Z110" s="562">
        <f t="shared" si="15"/>
        <v>115000</v>
      </c>
      <c r="AA110" s="122">
        <f t="shared" si="16"/>
        <v>0</v>
      </c>
      <c r="AB110" s="122">
        <f t="shared" si="17"/>
        <v>10000</v>
      </c>
      <c r="AC110" s="6">
        <f t="shared" si="18"/>
        <v>1</v>
      </c>
      <c r="AD110" s="563">
        <f t="shared" si="21"/>
        <v>1</v>
      </c>
      <c r="AE110" s="64"/>
      <c r="AF110" s="31">
        <v>110000</v>
      </c>
      <c r="AG110" s="31">
        <v>5000</v>
      </c>
      <c r="AH110" s="31">
        <v>0</v>
      </c>
      <c r="AI110" s="31">
        <v>0</v>
      </c>
      <c r="AJ110" s="31">
        <v>115000</v>
      </c>
      <c r="AK110" s="31">
        <v>115000</v>
      </c>
      <c r="AL110" s="31">
        <v>0</v>
      </c>
      <c r="AM110" s="56">
        <v>115000</v>
      </c>
      <c r="AN110" s="31">
        <v>115000</v>
      </c>
      <c r="AO110" s="31" t="s">
        <v>1578</v>
      </c>
      <c r="AP110" s="23" t="s">
        <v>187</v>
      </c>
      <c r="AQ110" s="23" t="s">
        <v>1284</v>
      </c>
    </row>
    <row r="111" spans="1:43">
      <c r="A111" s="39">
        <v>108</v>
      </c>
      <c r="B111" s="39">
        <v>105</v>
      </c>
      <c r="C111" s="572" t="str">
        <f t="shared" si="11"/>
        <v>目白アパート</v>
      </c>
      <c r="D111" s="45" t="s">
        <v>1743</v>
      </c>
      <c r="E111" s="46">
        <v>28.62</v>
      </c>
      <c r="F111" s="324">
        <v>631</v>
      </c>
      <c r="G111" s="566" t="str">
        <f t="shared" si="12"/>
        <v>住居</v>
      </c>
      <c r="H111" s="44" t="s">
        <v>1667</v>
      </c>
      <c r="I111" s="325">
        <v>92000</v>
      </c>
      <c r="J111" s="325">
        <v>3000</v>
      </c>
      <c r="K111" s="325">
        <v>0</v>
      </c>
      <c r="L111" s="325">
        <v>0</v>
      </c>
      <c r="M111" s="565">
        <f t="shared" si="19"/>
        <v>95000</v>
      </c>
      <c r="N111" s="326">
        <v>95000</v>
      </c>
      <c r="O111" s="326">
        <v>0</v>
      </c>
      <c r="P111" s="565">
        <f t="shared" si="13"/>
        <v>95000</v>
      </c>
      <c r="Q111" s="565">
        <f t="shared" si="20"/>
        <v>95000</v>
      </c>
      <c r="R111" s="325" t="s">
        <v>1568</v>
      </c>
      <c r="S111" s="325" t="s">
        <v>187</v>
      </c>
      <c r="T111" s="327" t="s">
        <v>1284</v>
      </c>
      <c r="V111" s="43" t="s">
        <v>1744</v>
      </c>
      <c r="W111" s="221">
        <v>95000</v>
      </c>
      <c r="Y111" s="6">
        <f t="shared" si="14"/>
        <v>1</v>
      </c>
      <c r="Z111" s="562">
        <f t="shared" si="15"/>
        <v>95000</v>
      </c>
      <c r="AA111" s="122">
        <f t="shared" si="16"/>
        <v>0</v>
      </c>
      <c r="AB111" s="122">
        <f t="shared" si="17"/>
        <v>0</v>
      </c>
      <c r="AC111" s="6">
        <f t="shared" si="18"/>
        <v>1</v>
      </c>
      <c r="AD111" s="563">
        <f t="shared" si="21"/>
        <v>1</v>
      </c>
      <c r="AE111" s="64"/>
      <c r="AF111" s="31">
        <v>92000</v>
      </c>
      <c r="AG111" s="31">
        <v>3000</v>
      </c>
      <c r="AH111" s="31">
        <v>0</v>
      </c>
      <c r="AI111" s="31">
        <v>0</v>
      </c>
      <c r="AJ111" s="31">
        <v>95000</v>
      </c>
      <c r="AK111" s="31">
        <v>95000</v>
      </c>
      <c r="AL111" s="31">
        <v>0</v>
      </c>
      <c r="AM111" s="56">
        <v>95000</v>
      </c>
      <c r="AN111" s="31">
        <v>95000</v>
      </c>
      <c r="AO111" s="31" t="s">
        <v>1568</v>
      </c>
      <c r="AP111" s="23" t="s">
        <v>187</v>
      </c>
      <c r="AQ111" s="23" t="s">
        <v>1284</v>
      </c>
    </row>
    <row r="112" spans="1:43">
      <c r="A112" s="39">
        <v>109</v>
      </c>
      <c r="B112" s="39">
        <v>105</v>
      </c>
      <c r="C112" s="572" t="str">
        <f t="shared" si="11"/>
        <v>目白アパート</v>
      </c>
      <c r="D112" s="45" t="s">
        <v>1745</v>
      </c>
      <c r="E112" s="46">
        <v>33.39</v>
      </c>
      <c r="F112" s="324">
        <v>631</v>
      </c>
      <c r="G112" s="566" t="str">
        <f t="shared" si="12"/>
        <v>住居</v>
      </c>
      <c r="H112" s="44" t="s">
        <v>1667</v>
      </c>
      <c r="I112" s="325">
        <v>100000</v>
      </c>
      <c r="J112" s="325">
        <v>0</v>
      </c>
      <c r="K112" s="325">
        <v>186</v>
      </c>
      <c r="L112" s="325">
        <v>18</v>
      </c>
      <c r="M112" s="565">
        <f t="shared" si="19"/>
        <v>100204</v>
      </c>
      <c r="N112" s="326">
        <v>100408</v>
      </c>
      <c r="O112" s="326">
        <v>0</v>
      </c>
      <c r="P112" s="565">
        <f t="shared" si="13"/>
        <v>100408</v>
      </c>
      <c r="Q112" s="565">
        <f t="shared" si="20"/>
        <v>100204</v>
      </c>
      <c r="R112" s="325" t="s">
        <v>1568</v>
      </c>
      <c r="S112" s="325" t="s">
        <v>187</v>
      </c>
      <c r="T112" s="327" t="s">
        <v>1284</v>
      </c>
      <c r="V112" s="43" t="s">
        <v>1746</v>
      </c>
      <c r="W112" s="221">
        <v>100000</v>
      </c>
      <c r="Y112" s="6">
        <f t="shared" si="14"/>
        <v>1</v>
      </c>
      <c r="Z112" s="562">
        <f t="shared" si="15"/>
        <v>100186</v>
      </c>
      <c r="AA112" s="122">
        <f t="shared" si="16"/>
        <v>222</v>
      </c>
      <c r="AB112" s="122">
        <f t="shared" si="17"/>
        <v>186</v>
      </c>
      <c r="AC112" s="6">
        <f t="shared" si="18"/>
        <v>1</v>
      </c>
      <c r="AD112" s="563">
        <f t="shared" si="21"/>
        <v>1</v>
      </c>
      <c r="AE112" s="64"/>
      <c r="AF112" s="31">
        <v>100000</v>
      </c>
      <c r="AG112" s="31">
        <v>0</v>
      </c>
      <c r="AH112" s="31">
        <v>186</v>
      </c>
      <c r="AI112" s="31">
        <v>18</v>
      </c>
      <c r="AJ112" s="31">
        <v>100204</v>
      </c>
      <c r="AK112" s="31">
        <v>100408</v>
      </c>
      <c r="AL112" s="31">
        <v>0</v>
      </c>
      <c r="AM112" s="56">
        <v>100408</v>
      </c>
      <c r="AN112" s="31">
        <v>100204</v>
      </c>
      <c r="AO112" s="31" t="s">
        <v>1568</v>
      </c>
      <c r="AP112" s="23" t="s">
        <v>187</v>
      </c>
      <c r="AQ112" s="23" t="s">
        <v>1284</v>
      </c>
    </row>
    <row r="113" spans="1:43">
      <c r="A113" s="39">
        <v>110</v>
      </c>
      <c r="B113" s="39">
        <v>105</v>
      </c>
      <c r="C113" s="572" t="str">
        <f t="shared" si="11"/>
        <v>目白アパート</v>
      </c>
      <c r="D113" s="45" t="s">
        <v>1747</v>
      </c>
      <c r="E113" s="46">
        <v>23.86</v>
      </c>
      <c r="F113" s="324">
        <v>631</v>
      </c>
      <c r="G113" s="566" t="str">
        <f t="shared" si="12"/>
        <v>住居</v>
      </c>
      <c r="H113" s="44" t="s">
        <v>1567</v>
      </c>
      <c r="I113" s="325">
        <v>79000</v>
      </c>
      <c r="J113" s="325">
        <v>3000</v>
      </c>
      <c r="K113" s="325">
        <v>0</v>
      </c>
      <c r="L113" s="325">
        <v>0</v>
      </c>
      <c r="M113" s="565">
        <f t="shared" si="19"/>
        <v>82000</v>
      </c>
      <c r="N113" s="326">
        <v>89000</v>
      </c>
      <c r="O113" s="326">
        <v>0</v>
      </c>
      <c r="P113" s="565">
        <f t="shared" si="13"/>
        <v>89000</v>
      </c>
      <c r="Q113" s="565">
        <f t="shared" si="20"/>
        <v>82000</v>
      </c>
      <c r="R113" s="325" t="s">
        <v>1568</v>
      </c>
      <c r="S113" s="325" t="s">
        <v>187</v>
      </c>
      <c r="T113" s="327" t="s">
        <v>1284</v>
      </c>
      <c r="V113" s="43" t="s">
        <v>1748</v>
      </c>
      <c r="W113" s="221">
        <v>75000</v>
      </c>
      <c r="Y113" s="6">
        <f t="shared" si="14"/>
        <v>1</v>
      </c>
      <c r="Z113" s="562">
        <f t="shared" si="15"/>
        <v>82000</v>
      </c>
      <c r="AA113" s="122">
        <f t="shared" si="16"/>
        <v>7000</v>
      </c>
      <c r="AB113" s="122">
        <f t="shared" si="17"/>
        <v>7000</v>
      </c>
      <c r="AC113" s="6">
        <f t="shared" si="18"/>
        <v>1</v>
      </c>
      <c r="AD113" s="563">
        <f t="shared" si="21"/>
        <v>1</v>
      </c>
      <c r="AE113" s="64"/>
      <c r="AF113" s="31">
        <v>79000</v>
      </c>
      <c r="AG113" s="31">
        <v>3000</v>
      </c>
      <c r="AH113" s="31">
        <v>0</v>
      </c>
      <c r="AI113" s="31">
        <v>0</v>
      </c>
      <c r="AJ113" s="31">
        <v>82000</v>
      </c>
      <c r="AK113" s="31">
        <v>89000</v>
      </c>
      <c r="AL113" s="31">
        <v>0</v>
      </c>
      <c r="AM113" s="56">
        <v>89000</v>
      </c>
      <c r="AN113" s="31">
        <v>82000</v>
      </c>
      <c r="AO113" s="31" t="s">
        <v>1568</v>
      </c>
      <c r="AP113" s="23" t="s">
        <v>187</v>
      </c>
      <c r="AQ113" s="23" t="s">
        <v>1284</v>
      </c>
    </row>
    <row r="114" spans="1:43">
      <c r="A114" s="39">
        <v>111</v>
      </c>
      <c r="B114" s="39">
        <v>105</v>
      </c>
      <c r="C114" s="572" t="str">
        <f t="shared" si="11"/>
        <v>目白アパート</v>
      </c>
      <c r="D114" s="45" t="s">
        <v>1749</v>
      </c>
      <c r="E114" s="46">
        <v>28.62</v>
      </c>
      <c r="F114" s="324">
        <v>631</v>
      </c>
      <c r="G114" s="566" t="str">
        <f t="shared" si="12"/>
        <v>住居</v>
      </c>
      <c r="H114" s="44" t="s">
        <v>1667</v>
      </c>
      <c r="I114" s="325">
        <v>105000</v>
      </c>
      <c r="J114" s="325">
        <v>5000</v>
      </c>
      <c r="K114" s="325">
        <v>0</v>
      </c>
      <c r="L114" s="325">
        <v>0</v>
      </c>
      <c r="M114" s="565">
        <f t="shared" si="19"/>
        <v>110000</v>
      </c>
      <c r="N114" s="326">
        <v>110000</v>
      </c>
      <c r="O114" s="326">
        <v>0</v>
      </c>
      <c r="P114" s="565">
        <f t="shared" si="13"/>
        <v>110000</v>
      </c>
      <c r="Q114" s="565">
        <f t="shared" si="20"/>
        <v>110000</v>
      </c>
      <c r="R114" s="325" t="s">
        <v>1578</v>
      </c>
      <c r="S114" s="325" t="s">
        <v>187</v>
      </c>
      <c r="T114" s="327" t="s">
        <v>1284</v>
      </c>
      <c r="V114" s="43" t="s">
        <v>1750</v>
      </c>
      <c r="W114" s="221">
        <v>100000</v>
      </c>
      <c r="Y114" s="6">
        <f t="shared" si="14"/>
        <v>1</v>
      </c>
      <c r="Z114" s="562">
        <f t="shared" si="15"/>
        <v>110000</v>
      </c>
      <c r="AA114" s="122">
        <f t="shared" si="16"/>
        <v>0</v>
      </c>
      <c r="AB114" s="122">
        <f t="shared" si="17"/>
        <v>10000</v>
      </c>
      <c r="AC114" s="6">
        <f t="shared" si="18"/>
        <v>1</v>
      </c>
      <c r="AD114" s="563">
        <f t="shared" si="21"/>
        <v>1</v>
      </c>
      <c r="AE114" s="64"/>
      <c r="AF114" s="31">
        <v>105000</v>
      </c>
      <c r="AG114" s="31">
        <v>5000</v>
      </c>
      <c r="AH114" s="31">
        <v>0</v>
      </c>
      <c r="AI114" s="31">
        <v>0</v>
      </c>
      <c r="AJ114" s="31">
        <v>110000</v>
      </c>
      <c r="AK114" s="31">
        <v>110000</v>
      </c>
      <c r="AL114" s="31">
        <v>0</v>
      </c>
      <c r="AM114" s="56">
        <v>110000</v>
      </c>
      <c r="AN114" s="31">
        <v>110000</v>
      </c>
      <c r="AO114" s="31" t="s">
        <v>1578</v>
      </c>
      <c r="AP114" s="23" t="s">
        <v>187</v>
      </c>
      <c r="AQ114" s="23" t="s">
        <v>1284</v>
      </c>
    </row>
    <row r="115" spans="1:43">
      <c r="A115" s="39">
        <v>112</v>
      </c>
      <c r="B115" s="39">
        <v>105</v>
      </c>
      <c r="C115" s="572" t="str">
        <f t="shared" si="11"/>
        <v>目白アパート</v>
      </c>
      <c r="D115" s="45" t="s">
        <v>1751</v>
      </c>
      <c r="E115" s="46">
        <v>33.39</v>
      </c>
      <c r="F115" s="324">
        <v>631</v>
      </c>
      <c r="G115" s="566" t="str">
        <f t="shared" si="12"/>
        <v>住居</v>
      </c>
      <c r="H115" s="44" t="s">
        <v>1667</v>
      </c>
      <c r="I115" s="325">
        <v>115000</v>
      </c>
      <c r="J115" s="325">
        <v>0</v>
      </c>
      <c r="K115" s="325">
        <v>1852</v>
      </c>
      <c r="L115" s="325">
        <v>185</v>
      </c>
      <c r="M115" s="565">
        <f t="shared" si="19"/>
        <v>117037</v>
      </c>
      <c r="N115" s="326">
        <v>117037</v>
      </c>
      <c r="O115" s="326">
        <v>0</v>
      </c>
      <c r="P115" s="565">
        <f t="shared" si="13"/>
        <v>117037</v>
      </c>
      <c r="Q115" s="565">
        <f t="shared" si="20"/>
        <v>117037</v>
      </c>
      <c r="R115" s="325" t="s">
        <v>1568</v>
      </c>
      <c r="S115" s="325" t="s">
        <v>187</v>
      </c>
      <c r="T115" s="327" t="s">
        <v>1284</v>
      </c>
      <c r="V115" s="43" t="s">
        <v>1752</v>
      </c>
      <c r="W115" s="221">
        <v>117000</v>
      </c>
      <c r="Y115" s="6">
        <f t="shared" si="14"/>
        <v>1</v>
      </c>
      <c r="Z115" s="562">
        <f t="shared" si="15"/>
        <v>116852</v>
      </c>
      <c r="AA115" s="122">
        <f t="shared" si="16"/>
        <v>185</v>
      </c>
      <c r="AB115" s="122">
        <f t="shared" si="17"/>
        <v>-148</v>
      </c>
      <c r="AC115" s="6">
        <f t="shared" si="18"/>
        <v>1</v>
      </c>
      <c r="AD115" s="563">
        <f t="shared" si="21"/>
        <v>1</v>
      </c>
      <c r="AE115" s="64"/>
      <c r="AF115" s="31">
        <v>115000</v>
      </c>
      <c r="AG115" s="31">
        <v>0</v>
      </c>
      <c r="AH115" s="31">
        <v>1852</v>
      </c>
      <c r="AI115" s="31">
        <v>185</v>
      </c>
      <c r="AJ115" s="31">
        <v>117037</v>
      </c>
      <c r="AK115" s="31">
        <v>117037</v>
      </c>
      <c r="AL115" s="31">
        <v>0</v>
      </c>
      <c r="AM115" s="56">
        <v>117037</v>
      </c>
      <c r="AN115" s="31">
        <v>117037</v>
      </c>
      <c r="AO115" s="31" t="s">
        <v>1568</v>
      </c>
      <c r="AP115" s="23" t="s">
        <v>187</v>
      </c>
      <c r="AQ115" s="23" t="s">
        <v>1284</v>
      </c>
    </row>
    <row r="116" spans="1:43">
      <c r="A116" s="39">
        <v>113</v>
      </c>
      <c r="B116" s="39">
        <v>105</v>
      </c>
      <c r="C116" s="572" t="str">
        <f t="shared" si="11"/>
        <v>目白アパート</v>
      </c>
      <c r="D116" s="45" t="s">
        <v>1673</v>
      </c>
      <c r="E116" s="46">
        <v>0</v>
      </c>
      <c r="F116" s="324">
        <v>634</v>
      </c>
      <c r="G116" s="566" t="str">
        <f t="shared" si="12"/>
        <v>駐車場</v>
      </c>
      <c r="H116" s="44" t="s">
        <v>1674</v>
      </c>
      <c r="I116" s="325">
        <v>35000</v>
      </c>
      <c r="J116" s="325">
        <v>0</v>
      </c>
      <c r="K116" s="325">
        <v>0</v>
      </c>
      <c r="L116" s="325">
        <v>3500</v>
      </c>
      <c r="M116" s="565">
        <f t="shared" si="19"/>
        <v>38500</v>
      </c>
      <c r="N116" s="326">
        <v>35000</v>
      </c>
      <c r="O116" s="326">
        <v>3500</v>
      </c>
      <c r="P116" s="565">
        <f t="shared" si="13"/>
        <v>38500</v>
      </c>
      <c r="Q116" s="565">
        <f t="shared" si="20"/>
        <v>38500</v>
      </c>
      <c r="R116" s="325" t="s">
        <v>1575</v>
      </c>
      <c r="S116" s="325" t="s">
        <v>187</v>
      </c>
      <c r="T116" s="327" t="s">
        <v>1284</v>
      </c>
      <c r="V116" s="43" t="s">
        <v>1753</v>
      </c>
      <c r="W116" s="221">
        <v>35000</v>
      </c>
      <c r="Y116" s="6">
        <f t="shared" si="14"/>
        <v>1</v>
      </c>
      <c r="Z116" s="562">
        <f t="shared" si="15"/>
        <v>35000</v>
      </c>
      <c r="AA116" s="122">
        <f t="shared" si="16"/>
        <v>0</v>
      </c>
      <c r="AB116" s="122">
        <f t="shared" si="17"/>
        <v>0</v>
      </c>
      <c r="AC116" s="6">
        <f t="shared" si="18"/>
        <v>1</v>
      </c>
      <c r="AD116" s="563">
        <f t="shared" si="21"/>
        <v>1</v>
      </c>
      <c r="AE116" s="64"/>
      <c r="AF116" s="31">
        <v>35000</v>
      </c>
      <c r="AG116" s="31">
        <v>0</v>
      </c>
      <c r="AH116" s="31">
        <v>0</v>
      </c>
      <c r="AI116" s="31">
        <v>3500</v>
      </c>
      <c r="AJ116" s="31">
        <v>38500</v>
      </c>
      <c r="AK116" s="31">
        <v>35000</v>
      </c>
      <c r="AL116" s="31">
        <v>3500</v>
      </c>
      <c r="AM116" s="56">
        <v>38500</v>
      </c>
      <c r="AN116" s="31">
        <v>38500</v>
      </c>
      <c r="AO116" s="31" t="s">
        <v>1575</v>
      </c>
      <c r="AP116" s="23" t="s">
        <v>187</v>
      </c>
      <c r="AQ116" s="23" t="s">
        <v>1284</v>
      </c>
    </row>
    <row r="117" spans="1:43">
      <c r="A117" s="39">
        <v>114</v>
      </c>
      <c r="B117" s="39">
        <v>105</v>
      </c>
      <c r="C117" s="572" t="str">
        <f t="shared" si="11"/>
        <v>目白アパート</v>
      </c>
      <c r="D117" s="45" t="s">
        <v>1676</v>
      </c>
      <c r="E117" s="46">
        <v>0</v>
      </c>
      <c r="F117" s="324">
        <v>634</v>
      </c>
      <c r="G117" s="566" t="str">
        <f t="shared" si="12"/>
        <v>駐車場</v>
      </c>
      <c r="H117" s="44" t="s">
        <v>1674</v>
      </c>
      <c r="I117" s="325">
        <v>35000</v>
      </c>
      <c r="J117" s="325">
        <v>0</v>
      </c>
      <c r="K117" s="325">
        <v>0</v>
      </c>
      <c r="L117" s="325">
        <v>3500</v>
      </c>
      <c r="M117" s="565">
        <f t="shared" si="19"/>
        <v>38500</v>
      </c>
      <c r="N117" s="326">
        <v>35000</v>
      </c>
      <c r="O117" s="326">
        <v>3500</v>
      </c>
      <c r="P117" s="565">
        <f t="shared" si="13"/>
        <v>38500</v>
      </c>
      <c r="Q117" s="565">
        <f t="shared" si="20"/>
        <v>38500</v>
      </c>
      <c r="R117" s="325" t="s">
        <v>1575</v>
      </c>
      <c r="S117" s="325" t="s">
        <v>187</v>
      </c>
      <c r="T117" s="327" t="s">
        <v>1284</v>
      </c>
      <c r="V117" s="43" t="s">
        <v>1754</v>
      </c>
      <c r="W117" s="221">
        <v>35000</v>
      </c>
      <c r="Y117" s="6">
        <f t="shared" si="14"/>
        <v>1</v>
      </c>
      <c r="Z117" s="562">
        <f t="shared" si="15"/>
        <v>35000</v>
      </c>
      <c r="AA117" s="122">
        <f t="shared" si="16"/>
        <v>0</v>
      </c>
      <c r="AB117" s="122">
        <f t="shared" si="17"/>
        <v>0</v>
      </c>
      <c r="AC117" s="6">
        <f t="shared" si="18"/>
        <v>1</v>
      </c>
      <c r="AD117" s="563">
        <f t="shared" si="21"/>
        <v>1</v>
      </c>
      <c r="AE117" s="64"/>
      <c r="AF117" s="31">
        <v>35000</v>
      </c>
      <c r="AG117" s="31">
        <v>0</v>
      </c>
      <c r="AH117" s="31">
        <v>0</v>
      </c>
      <c r="AI117" s="31">
        <v>3500</v>
      </c>
      <c r="AJ117" s="31">
        <v>38500</v>
      </c>
      <c r="AK117" s="31">
        <v>35000</v>
      </c>
      <c r="AL117" s="31">
        <v>3500</v>
      </c>
      <c r="AM117" s="56">
        <v>38500</v>
      </c>
      <c r="AN117" s="31">
        <v>38500</v>
      </c>
      <c r="AO117" s="31" t="s">
        <v>1575</v>
      </c>
      <c r="AP117" s="23" t="s">
        <v>187</v>
      </c>
      <c r="AQ117" s="23" t="s">
        <v>1284</v>
      </c>
    </row>
    <row r="118" spans="1:43">
      <c r="A118" s="39">
        <v>115</v>
      </c>
      <c r="B118" s="39">
        <v>105</v>
      </c>
      <c r="C118" s="572" t="str">
        <f t="shared" si="11"/>
        <v>目白アパート</v>
      </c>
      <c r="D118" s="45" t="s">
        <v>1755</v>
      </c>
      <c r="E118" s="46">
        <v>47.62</v>
      </c>
      <c r="F118" s="324">
        <v>633</v>
      </c>
      <c r="G118" s="566" t="str">
        <f t="shared" si="12"/>
        <v>店舗</v>
      </c>
      <c r="H118" s="44" t="s">
        <v>1756</v>
      </c>
      <c r="I118" s="325">
        <v>90000</v>
      </c>
      <c r="J118" s="325">
        <v>0</v>
      </c>
      <c r="K118" s="325">
        <v>0</v>
      </c>
      <c r="L118" s="325">
        <v>9000</v>
      </c>
      <c r="M118" s="565">
        <f t="shared" si="19"/>
        <v>99000</v>
      </c>
      <c r="N118" s="326">
        <v>90000</v>
      </c>
      <c r="O118" s="326">
        <v>9000</v>
      </c>
      <c r="P118" s="565">
        <f t="shared" si="13"/>
        <v>99000</v>
      </c>
      <c r="Q118" s="565">
        <f t="shared" si="20"/>
        <v>99000</v>
      </c>
      <c r="R118" s="325" t="s">
        <v>1575</v>
      </c>
      <c r="S118" s="325" t="s">
        <v>187</v>
      </c>
      <c r="T118" s="327" t="s">
        <v>1284</v>
      </c>
      <c r="V118" s="43" t="s">
        <v>1757</v>
      </c>
      <c r="W118" s="221">
        <v>90000</v>
      </c>
      <c r="Y118" s="6">
        <f t="shared" si="14"/>
        <v>1</v>
      </c>
      <c r="Z118" s="562">
        <f t="shared" si="15"/>
        <v>90000</v>
      </c>
      <c r="AA118" s="122">
        <f t="shared" si="16"/>
        <v>0</v>
      </c>
      <c r="AB118" s="122">
        <f t="shared" si="17"/>
        <v>0</v>
      </c>
      <c r="AC118" s="6">
        <f t="shared" si="18"/>
        <v>1</v>
      </c>
      <c r="AD118" s="563">
        <f t="shared" si="21"/>
        <v>1</v>
      </c>
      <c r="AE118" s="64"/>
      <c r="AF118" s="31">
        <v>90000</v>
      </c>
      <c r="AG118" s="31">
        <v>0</v>
      </c>
      <c r="AH118" s="31">
        <v>0</v>
      </c>
      <c r="AI118" s="31">
        <v>9000</v>
      </c>
      <c r="AJ118" s="31">
        <v>99000</v>
      </c>
      <c r="AK118" s="31">
        <v>90000</v>
      </c>
      <c r="AL118" s="31">
        <v>9000</v>
      </c>
      <c r="AM118" s="56">
        <v>99000</v>
      </c>
      <c r="AN118" s="31">
        <v>99000</v>
      </c>
      <c r="AO118" s="31" t="s">
        <v>1575</v>
      </c>
      <c r="AP118" s="23" t="s">
        <v>187</v>
      </c>
      <c r="AQ118" s="23" t="s">
        <v>1284</v>
      </c>
    </row>
    <row r="119" spans="1:43">
      <c r="A119" s="39">
        <v>116</v>
      </c>
      <c r="B119" s="39">
        <v>105</v>
      </c>
      <c r="C119" s="572" t="str">
        <f t="shared" si="11"/>
        <v>目白アパート</v>
      </c>
      <c r="D119" s="45" t="s">
        <v>1618</v>
      </c>
      <c r="E119" s="46">
        <v>0</v>
      </c>
      <c r="F119" s="324">
        <v>635</v>
      </c>
      <c r="G119" s="566" t="str">
        <f t="shared" si="12"/>
        <v>アンテナ</v>
      </c>
      <c r="H119" s="44" t="s">
        <v>729</v>
      </c>
      <c r="I119" s="325">
        <v>12000</v>
      </c>
      <c r="J119" s="325">
        <v>0</v>
      </c>
      <c r="K119" s="325">
        <v>0</v>
      </c>
      <c r="L119" s="325">
        <v>1200</v>
      </c>
      <c r="M119" s="565">
        <f t="shared" si="19"/>
        <v>13200</v>
      </c>
      <c r="N119" s="326">
        <v>12000</v>
      </c>
      <c r="O119" s="326">
        <v>1199.9999999999998</v>
      </c>
      <c r="P119" s="565">
        <f t="shared" si="13"/>
        <v>13200</v>
      </c>
      <c r="Q119" s="565">
        <f t="shared" si="20"/>
        <v>13200</v>
      </c>
      <c r="R119" s="325" t="s">
        <v>1575</v>
      </c>
      <c r="S119" s="325" t="s">
        <v>187</v>
      </c>
      <c r="T119" s="327" t="s">
        <v>1284</v>
      </c>
      <c r="V119" s="43" t="s">
        <v>1758</v>
      </c>
      <c r="W119" s="221">
        <v>0</v>
      </c>
      <c r="Y119" s="6">
        <f t="shared" si="14"/>
        <v>1</v>
      </c>
      <c r="Z119" s="562">
        <f t="shared" si="15"/>
        <v>12000</v>
      </c>
      <c r="AA119" s="122">
        <f t="shared" si="16"/>
        <v>0</v>
      </c>
      <c r="AB119" s="122">
        <f t="shared" si="17"/>
        <v>12000</v>
      </c>
      <c r="AC119" s="6">
        <f t="shared" si="18"/>
        <v>1</v>
      </c>
      <c r="AD119" s="563">
        <f t="shared" si="21"/>
        <v>1</v>
      </c>
      <c r="AE119" s="64"/>
      <c r="AF119" s="31">
        <v>12000</v>
      </c>
      <c r="AG119" s="31">
        <v>0</v>
      </c>
      <c r="AH119" s="31">
        <v>0</v>
      </c>
      <c r="AI119" s="31">
        <v>1200</v>
      </c>
      <c r="AJ119" s="31">
        <v>13200</v>
      </c>
      <c r="AK119" s="31">
        <v>12000</v>
      </c>
      <c r="AL119" s="31">
        <v>1199.9999999999998</v>
      </c>
      <c r="AM119" s="56">
        <v>13200</v>
      </c>
      <c r="AN119" s="31">
        <v>13200</v>
      </c>
      <c r="AO119" s="31" t="s">
        <v>1575</v>
      </c>
      <c r="AP119" s="23" t="s">
        <v>187</v>
      </c>
      <c r="AQ119" s="23" t="s">
        <v>1284</v>
      </c>
    </row>
    <row r="120" spans="1:43">
      <c r="A120" s="39">
        <v>117</v>
      </c>
      <c r="B120" s="39">
        <v>105</v>
      </c>
      <c r="C120" s="572" t="str">
        <f t="shared" si="11"/>
        <v>目白アパート</v>
      </c>
      <c r="D120" s="45" t="s">
        <v>1759</v>
      </c>
      <c r="E120" s="46">
        <v>0</v>
      </c>
      <c r="F120" s="324">
        <v>635</v>
      </c>
      <c r="G120" s="566" t="str">
        <f t="shared" si="12"/>
        <v>アンテナ</v>
      </c>
      <c r="H120" s="44" t="s">
        <v>729</v>
      </c>
      <c r="I120" s="325">
        <v>22324</v>
      </c>
      <c r="J120" s="325">
        <v>0</v>
      </c>
      <c r="K120" s="325">
        <v>0</v>
      </c>
      <c r="L120" s="325">
        <v>0</v>
      </c>
      <c r="M120" s="565">
        <f t="shared" si="19"/>
        <v>22324</v>
      </c>
      <c r="N120" s="326">
        <v>20294</v>
      </c>
      <c r="O120" s="326">
        <v>2029.4545454545453</v>
      </c>
      <c r="P120" s="565">
        <f t="shared" si="13"/>
        <v>22323.454545454544</v>
      </c>
      <c r="Q120" s="565">
        <f t="shared" si="20"/>
        <v>22324</v>
      </c>
      <c r="R120" s="325" t="s">
        <v>1575</v>
      </c>
      <c r="S120" s="325" t="s">
        <v>187</v>
      </c>
      <c r="T120" s="327" t="s">
        <v>1760</v>
      </c>
      <c r="V120" s="43" t="s">
        <v>1761</v>
      </c>
      <c r="W120" s="221">
        <v>22324</v>
      </c>
      <c r="Y120" s="6">
        <f t="shared" si="14"/>
        <v>1</v>
      </c>
      <c r="Z120" s="562">
        <f t="shared" si="15"/>
        <v>22324</v>
      </c>
      <c r="AA120" s="122">
        <f t="shared" si="16"/>
        <v>-2030</v>
      </c>
      <c r="AB120" s="122">
        <f t="shared" si="17"/>
        <v>0</v>
      </c>
      <c r="AC120" s="6">
        <f t="shared" si="18"/>
        <v>1</v>
      </c>
      <c r="AD120" s="563">
        <f t="shared" si="21"/>
        <v>1</v>
      </c>
      <c r="AE120" s="64"/>
      <c r="AF120" s="31">
        <v>22324</v>
      </c>
      <c r="AG120" s="31">
        <v>0</v>
      </c>
      <c r="AH120" s="31">
        <v>0</v>
      </c>
      <c r="AI120" s="31">
        <v>0</v>
      </c>
      <c r="AJ120" s="31">
        <v>22324</v>
      </c>
      <c r="AK120" s="31">
        <v>20294</v>
      </c>
      <c r="AL120" s="31">
        <v>2029.4545454545453</v>
      </c>
      <c r="AM120" s="56">
        <v>22323.454545454544</v>
      </c>
      <c r="AN120" s="31">
        <v>22324</v>
      </c>
      <c r="AO120" s="31" t="s">
        <v>1575</v>
      </c>
      <c r="AP120" s="23" t="s">
        <v>187</v>
      </c>
      <c r="AQ120" s="23" t="s">
        <v>1762</v>
      </c>
    </row>
    <row r="121" spans="1:43">
      <c r="A121" s="39">
        <v>118</v>
      </c>
      <c r="B121" s="39">
        <v>105</v>
      </c>
      <c r="C121" s="572" t="str">
        <f t="shared" si="11"/>
        <v>目白アパート</v>
      </c>
      <c r="D121" s="45" t="s">
        <v>1622</v>
      </c>
      <c r="E121" s="46" t="s">
        <v>1017</v>
      </c>
      <c r="F121" s="324">
        <v>639</v>
      </c>
      <c r="G121" s="566" t="str">
        <f t="shared" si="12"/>
        <v>その他</v>
      </c>
      <c r="H121" s="44" t="s">
        <v>729</v>
      </c>
      <c r="I121" s="325">
        <v>0</v>
      </c>
      <c r="J121" s="325">
        <v>0</v>
      </c>
      <c r="K121" s="325">
        <v>0</v>
      </c>
      <c r="L121" s="325">
        <v>0</v>
      </c>
      <c r="M121" s="565">
        <f t="shared" si="19"/>
        <v>0</v>
      </c>
      <c r="N121" s="326">
        <v>0</v>
      </c>
      <c r="O121" s="326">
        <v>0</v>
      </c>
      <c r="P121" s="565">
        <f t="shared" si="13"/>
        <v>0</v>
      </c>
      <c r="Q121" s="565">
        <f t="shared" si="20"/>
        <v>0</v>
      </c>
      <c r="R121" s="325" t="s">
        <v>1017</v>
      </c>
      <c r="S121" s="325" t="s">
        <v>283</v>
      </c>
      <c r="T121" s="327" t="s">
        <v>1623</v>
      </c>
      <c r="V121" s="43" t="s">
        <v>1763</v>
      </c>
      <c r="W121" s="221">
        <v>0</v>
      </c>
      <c r="Y121" s="6">
        <f t="shared" si="14"/>
        <v>0</v>
      </c>
      <c r="Z121" s="562">
        <f t="shared" si="15"/>
        <v>0</v>
      </c>
      <c r="AA121" s="122">
        <f t="shared" si="16"/>
        <v>0</v>
      </c>
      <c r="AB121" s="122">
        <f t="shared" si="17"/>
        <v>0</v>
      </c>
      <c r="AC121" s="6">
        <f t="shared" si="18"/>
        <v>0</v>
      </c>
      <c r="AD121" s="563">
        <f t="shared" si="21"/>
        <v>1</v>
      </c>
      <c r="AE121" s="64"/>
      <c r="AF121" s="31">
        <v>0</v>
      </c>
      <c r="AG121" s="31">
        <v>0</v>
      </c>
      <c r="AH121" s="31">
        <v>0</v>
      </c>
      <c r="AI121" s="31">
        <v>0</v>
      </c>
      <c r="AJ121" s="31">
        <v>0</v>
      </c>
      <c r="AK121" s="31">
        <v>0</v>
      </c>
      <c r="AL121" s="31">
        <v>0</v>
      </c>
      <c r="AM121" s="56">
        <v>0</v>
      </c>
      <c r="AN121" s="31">
        <v>0</v>
      </c>
      <c r="AO121" s="31" t="s">
        <v>1017</v>
      </c>
      <c r="AP121" s="23" t="s">
        <v>283</v>
      </c>
      <c r="AQ121" s="23" t="s">
        <v>1623</v>
      </c>
    </row>
    <row r="122" spans="1:43">
      <c r="A122" s="39">
        <v>119</v>
      </c>
      <c r="B122" s="39">
        <v>105</v>
      </c>
      <c r="C122" s="572" t="str">
        <f t="shared" si="11"/>
        <v>目白アパート</v>
      </c>
      <c r="D122" s="45" t="s">
        <v>1764</v>
      </c>
      <c r="E122" s="46" t="s">
        <v>1017</v>
      </c>
      <c r="F122" s="324">
        <v>639</v>
      </c>
      <c r="G122" s="566" t="str">
        <f t="shared" si="12"/>
        <v>その他</v>
      </c>
      <c r="H122" s="44" t="s">
        <v>729</v>
      </c>
      <c r="I122" s="325">
        <v>0</v>
      </c>
      <c r="J122" s="325">
        <v>0</v>
      </c>
      <c r="K122" s="325">
        <v>0</v>
      </c>
      <c r="L122" s="325">
        <v>0</v>
      </c>
      <c r="M122" s="565">
        <f t="shared" si="19"/>
        <v>0</v>
      </c>
      <c r="N122" s="326">
        <v>0</v>
      </c>
      <c r="O122" s="326">
        <v>0</v>
      </c>
      <c r="P122" s="565">
        <f t="shared" si="13"/>
        <v>0</v>
      </c>
      <c r="Q122" s="565">
        <f t="shared" si="20"/>
        <v>0</v>
      </c>
      <c r="R122" s="325" t="s">
        <v>1017</v>
      </c>
      <c r="S122" s="325" t="s">
        <v>283</v>
      </c>
      <c r="T122" s="327" t="s">
        <v>1765</v>
      </c>
      <c r="V122" s="43" t="s">
        <v>1766</v>
      </c>
      <c r="W122" s="221">
        <v>0</v>
      </c>
      <c r="Y122" s="6">
        <f t="shared" si="14"/>
        <v>0</v>
      </c>
      <c r="Z122" s="562">
        <f t="shared" si="15"/>
        <v>0</v>
      </c>
      <c r="AA122" s="122">
        <f t="shared" si="16"/>
        <v>0</v>
      </c>
      <c r="AB122" s="122">
        <f t="shared" si="17"/>
        <v>0</v>
      </c>
      <c r="AC122" s="6">
        <f t="shared" si="18"/>
        <v>0</v>
      </c>
      <c r="AD122" s="563">
        <f t="shared" si="21"/>
        <v>1</v>
      </c>
      <c r="AE122" s="64"/>
      <c r="AF122" s="31">
        <v>0</v>
      </c>
      <c r="AG122" s="31">
        <v>0</v>
      </c>
      <c r="AH122" s="31">
        <v>0</v>
      </c>
      <c r="AI122" s="31">
        <v>0</v>
      </c>
      <c r="AJ122" s="31">
        <v>0</v>
      </c>
      <c r="AK122" s="31">
        <v>0</v>
      </c>
      <c r="AL122" s="31">
        <v>0</v>
      </c>
      <c r="AM122" s="56">
        <v>0</v>
      </c>
      <c r="AN122" s="31">
        <v>0</v>
      </c>
      <c r="AO122" s="31" t="s">
        <v>1017</v>
      </c>
      <c r="AP122" s="23" t="s">
        <v>283</v>
      </c>
      <c r="AQ122" s="23" t="s">
        <v>1765</v>
      </c>
    </row>
    <row r="123" spans="1:43">
      <c r="A123" s="40">
        <v>120</v>
      </c>
      <c r="B123" s="40">
        <v>106</v>
      </c>
      <c r="C123" s="573" t="str">
        <f t="shared" si="11"/>
        <v>東池袋ハイツ</v>
      </c>
      <c r="D123" s="45" t="s">
        <v>1566</v>
      </c>
      <c r="E123" s="46">
        <v>48.36</v>
      </c>
      <c r="F123" s="324">
        <v>631</v>
      </c>
      <c r="G123" s="566" t="str">
        <f t="shared" si="12"/>
        <v>住居</v>
      </c>
      <c r="H123" s="44" t="s">
        <v>1667</v>
      </c>
      <c r="I123" s="325">
        <v>116000</v>
      </c>
      <c r="J123" s="325">
        <v>10000</v>
      </c>
      <c r="K123" s="325">
        <v>0</v>
      </c>
      <c r="L123" s="325">
        <v>0</v>
      </c>
      <c r="M123" s="565">
        <f t="shared" si="19"/>
        <v>126000</v>
      </c>
      <c r="N123" s="326">
        <v>158000</v>
      </c>
      <c r="O123" s="326">
        <v>0</v>
      </c>
      <c r="P123" s="565">
        <f t="shared" si="13"/>
        <v>158000</v>
      </c>
      <c r="Q123" s="565">
        <f t="shared" si="20"/>
        <v>126000</v>
      </c>
      <c r="R123" s="325" t="s">
        <v>1578</v>
      </c>
      <c r="S123" s="325" t="s">
        <v>187</v>
      </c>
      <c r="T123" s="327" t="s">
        <v>1284</v>
      </c>
      <c r="V123" s="43" t="s">
        <v>1767</v>
      </c>
      <c r="W123" s="221">
        <v>127000</v>
      </c>
      <c r="Y123" s="6">
        <f t="shared" si="14"/>
        <v>1</v>
      </c>
      <c r="Z123" s="562">
        <f t="shared" si="15"/>
        <v>126000</v>
      </c>
      <c r="AA123" s="122">
        <f t="shared" si="16"/>
        <v>32000</v>
      </c>
      <c r="AB123" s="122">
        <f t="shared" si="17"/>
        <v>-1000</v>
      </c>
      <c r="AC123" s="6">
        <f t="shared" si="18"/>
        <v>1</v>
      </c>
      <c r="AD123" s="563">
        <f t="shared" si="21"/>
        <v>1</v>
      </c>
      <c r="AE123" s="64"/>
      <c r="AF123" s="31">
        <v>116000</v>
      </c>
      <c r="AG123" s="31">
        <v>10000</v>
      </c>
      <c r="AH123" s="31">
        <v>0</v>
      </c>
      <c r="AI123" s="31">
        <v>0</v>
      </c>
      <c r="AJ123" s="31">
        <v>126000</v>
      </c>
      <c r="AK123" s="31">
        <v>158000</v>
      </c>
      <c r="AL123" s="31">
        <v>0</v>
      </c>
      <c r="AM123" s="56">
        <v>158000</v>
      </c>
      <c r="AN123" s="31">
        <v>126000</v>
      </c>
      <c r="AO123" s="31" t="s">
        <v>1578</v>
      </c>
      <c r="AP123" s="23" t="s">
        <v>187</v>
      </c>
      <c r="AQ123" s="23" t="s">
        <v>1284</v>
      </c>
    </row>
    <row r="124" spans="1:43">
      <c r="A124" s="40">
        <v>121</v>
      </c>
      <c r="B124" s="40">
        <v>106</v>
      </c>
      <c r="C124" s="573" t="str">
        <f t="shared" si="11"/>
        <v>東池袋ハイツ</v>
      </c>
      <c r="D124" s="45" t="s">
        <v>1570</v>
      </c>
      <c r="E124" s="46">
        <v>52.75</v>
      </c>
      <c r="F124" s="324">
        <v>631</v>
      </c>
      <c r="G124" s="566" t="str">
        <f t="shared" si="12"/>
        <v>住居</v>
      </c>
      <c r="H124" s="44" t="s">
        <v>1717</v>
      </c>
      <c r="I124" s="325">
        <v>157000</v>
      </c>
      <c r="J124" s="325">
        <v>10000</v>
      </c>
      <c r="K124" s="325">
        <v>0</v>
      </c>
      <c r="L124" s="325">
        <v>0</v>
      </c>
      <c r="M124" s="565">
        <f t="shared" si="19"/>
        <v>167000</v>
      </c>
      <c r="N124" s="326">
        <v>167000</v>
      </c>
      <c r="O124" s="326">
        <v>0</v>
      </c>
      <c r="P124" s="565">
        <f t="shared" si="13"/>
        <v>167000</v>
      </c>
      <c r="Q124" s="565">
        <f t="shared" si="20"/>
        <v>167000</v>
      </c>
      <c r="R124" s="325" t="s">
        <v>1568</v>
      </c>
      <c r="S124" s="325" t="s">
        <v>187</v>
      </c>
      <c r="T124" s="327" t="s">
        <v>1284</v>
      </c>
      <c r="V124" s="43" t="s">
        <v>1768</v>
      </c>
      <c r="W124" s="221">
        <v>139000</v>
      </c>
      <c r="Y124" s="6">
        <f t="shared" si="14"/>
        <v>1</v>
      </c>
      <c r="Z124" s="562">
        <f t="shared" si="15"/>
        <v>167000</v>
      </c>
      <c r="AA124" s="122">
        <f t="shared" si="16"/>
        <v>0</v>
      </c>
      <c r="AB124" s="122">
        <f t="shared" si="17"/>
        <v>28000</v>
      </c>
      <c r="AC124" s="6">
        <f t="shared" si="18"/>
        <v>1</v>
      </c>
      <c r="AD124" s="563">
        <f t="shared" si="21"/>
        <v>1</v>
      </c>
      <c r="AE124" s="64"/>
      <c r="AF124" s="31">
        <v>157000</v>
      </c>
      <c r="AG124" s="31">
        <v>10000</v>
      </c>
      <c r="AH124" s="31">
        <v>0</v>
      </c>
      <c r="AI124" s="31">
        <v>0</v>
      </c>
      <c r="AJ124" s="31">
        <v>167000</v>
      </c>
      <c r="AK124" s="31">
        <v>167000</v>
      </c>
      <c r="AL124" s="31">
        <v>0</v>
      </c>
      <c r="AM124" s="56">
        <v>167000</v>
      </c>
      <c r="AN124" s="31">
        <v>167000</v>
      </c>
      <c r="AO124" s="31" t="s">
        <v>1568</v>
      </c>
      <c r="AP124" s="23" t="s">
        <v>187</v>
      </c>
      <c r="AQ124" s="23" t="s">
        <v>1284</v>
      </c>
    </row>
    <row r="125" spans="1:43">
      <c r="A125" s="40">
        <v>122</v>
      </c>
      <c r="B125" s="40">
        <v>106</v>
      </c>
      <c r="C125" s="573" t="str">
        <f t="shared" si="11"/>
        <v>東池袋ハイツ</v>
      </c>
      <c r="D125" s="45" t="s">
        <v>1580</v>
      </c>
      <c r="E125" s="46">
        <v>43.2</v>
      </c>
      <c r="F125" s="324">
        <v>631</v>
      </c>
      <c r="G125" s="566" t="str">
        <f t="shared" si="12"/>
        <v>住居</v>
      </c>
      <c r="H125" s="44" t="s">
        <v>1667</v>
      </c>
      <c r="I125" s="325">
        <v>122000</v>
      </c>
      <c r="J125" s="325">
        <v>7000</v>
      </c>
      <c r="K125" s="325">
        <v>0</v>
      </c>
      <c r="L125" s="325">
        <v>0</v>
      </c>
      <c r="M125" s="565">
        <f t="shared" si="19"/>
        <v>129000</v>
      </c>
      <c r="N125" s="326">
        <v>129000</v>
      </c>
      <c r="O125" s="326">
        <v>0</v>
      </c>
      <c r="P125" s="565">
        <f t="shared" si="13"/>
        <v>129000</v>
      </c>
      <c r="Q125" s="565">
        <f t="shared" si="20"/>
        <v>129000</v>
      </c>
      <c r="R125" s="325" t="s">
        <v>1568</v>
      </c>
      <c r="S125" s="325" t="s">
        <v>187</v>
      </c>
      <c r="T125" s="327" t="s">
        <v>1284</v>
      </c>
      <c r="V125" s="43" t="s">
        <v>1769</v>
      </c>
      <c r="W125" s="221">
        <v>129000</v>
      </c>
      <c r="Y125" s="6">
        <f t="shared" si="14"/>
        <v>1</v>
      </c>
      <c r="Z125" s="562">
        <f t="shared" si="15"/>
        <v>129000</v>
      </c>
      <c r="AA125" s="122">
        <f t="shared" si="16"/>
        <v>0</v>
      </c>
      <c r="AB125" s="122">
        <f t="shared" si="17"/>
        <v>0</v>
      </c>
      <c r="AC125" s="6">
        <f t="shared" si="18"/>
        <v>1</v>
      </c>
      <c r="AD125" s="563">
        <f t="shared" si="21"/>
        <v>1</v>
      </c>
      <c r="AE125" s="64"/>
      <c r="AF125" s="31">
        <v>122000</v>
      </c>
      <c r="AG125" s="31">
        <v>7000</v>
      </c>
      <c r="AH125" s="31">
        <v>0</v>
      </c>
      <c r="AI125" s="31">
        <v>0</v>
      </c>
      <c r="AJ125" s="31">
        <v>129000</v>
      </c>
      <c r="AK125" s="31">
        <v>129000</v>
      </c>
      <c r="AL125" s="31">
        <v>0</v>
      </c>
      <c r="AM125" s="56">
        <v>129000</v>
      </c>
      <c r="AN125" s="31">
        <v>129000</v>
      </c>
      <c r="AO125" s="31" t="s">
        <v>1568</v>
      </c>
      <c r="AP125" s="23" t="s">
        <v>187</v>
      </c>
      <c r="AQ125" s="23" t="s">
        <v>1284</v>
      </c>
    </row>
    <row r="126" spans="1:43">
      <c r="A126" s="40">
        <v>123</v>
      </c>
      <c r="B126" s="40">
        <v>106</v>
      </c>
      <c r="C126" s="573" t="str">
        <f t="shared" si="11"/>
        <v>東池袋ハイツ</v>
      </c>
      <c r="D126" s="45" t="s">
        <v>1582</v>
      </c>
      <c r="E126" s="46">
        <v>43.2</v>
      </c>
      <c r="F126" s="324">
        <v>631</v>
      </c>
      <c r="G126" s="566" t="str">
        <f t="shared" si="12"/>
        <v>住居</v>
      </c>
      <c r="H126" s="44" t="s">
        <v>1667</v>
      </c>
      <c r="I126" s="325">
        <v>140000</v>
      </c>
      <c r="J126" s="325">
        <v>10000</v>
      </c>
      <c r="K126" s="325">
        <v>0</v>
      </c>
      <c r="L126" s="325">
        <v>0</v>
      </c>
      <c r="M126" s="565">
        <f t="shared" si="19"/>
        <v>150000</v>
      </c>
      <c r="N126" s="326">
        <v>152000</v>
      </c>
      <c r="O126" s="326">
        <v>0</v>
      </c>
      <c r="P126" s="565">
        <f t="shared" si="13"/>
        <v>152000</v>
      </c>
      <c r="Q126" s="565">
        <f t="shared" si="20"/>
        <v>150000</v>
      </c>
      <c r="R126" s="325" t="s">
        <v>1578</v>
      </c>
      <c r="S126" s="325" t="s">
        <v>187</v>
      </c>
      <c r="T126" s="327" t="s">
        <v>1284</v>
      </c>
      <c r="V126" s="43" t="s">
        <v>1770</v>
      </c>
      <c r="W126" s="221">
        <v>133000</v>
      </c>
      <c r="Y126" s="6">
        <f t="shared" si="14"/>
        <v>1</v>
      </c>
      <c r="Z126" s="562">
        <f t="shared" si="15"/>
        <v>150000</v>
      </c>
      <c r="AA126" s="122">
        <f t="shared" si="16"/>
        <v>2000</v>
      </c>
      <c r="AB126" s="122">
        <f t="shared" si="17"/>
        <v>17000</v>
      </c>
      <c r="AC126" s="6">
        <f t="shared" si="18"/>
        <v>1</v>
      </c>
      <c r="AD126" s="563">
        <f t="shared" si="21"/>
        <v>1</v>
      </c>
      <c r="AE126" s="64"/>
      <c r="AF126" s="31">
        <v>140000</v>
      </c>
      <c r="AG126" s="31">
        <v>10000</v>
      </c>
      <c r="AH126" s="31">
        <v>0</v>
      </c>
      <c r="AI126" s="31">
        <v>0</v>
      </c>
      <c r="AJ126" s="31">
        <v>150000</v>
      </c>
      <c r="AK126" s="31">
        <v>152000</v>
      </c>
      <c r="AL126" s="31">
        <v>0</v>
      </c>
      <c r="AM126" s="56">
        <v>152000</v>
      </c>
      <c r="AN126" s="31">
        <v>150000</v>
      </c>
      <c r="AO126" s="31" t="s">
        <v>1578</v>
      </c>
      <c r="AP126" s="23" t="s">
        <v>187</v>
      </c>
      <c r="AQ126" s="23" t="s">
        <v>1284</v>
      </c>
    </row>
    <row r="127" spans="1:43">
      <c r="A127" s="40">
        <v>124</v>
      </c>
      <c r="B127" s="40">
        <v>106</v>
      </c>
      <c r="C127" s="573" t="str">
        <f t="shared" si="11"/>
        <v>東池袋ハイツ</v>
      </c>
      <c r="D127" s="45" t="s">
        <v>1585</v>
      </c>
      <c r="E127" s="46">
        <v>48.36</v>
      </c>
      <c r="F127" s="324">
        <v>631</v>
      </c>
      <c r="G127" s="566" t="str">
        <f t="shared" si="12"/>
        <v>住居</v>
      </c>
      <c r="H127" s="44" t="s">
        <v>1667</v>
      </c>
      <c r="I127" s="325">
        <v>124000</v>
      </c>
      <c r="J127" s="325">
        <v>10000</v>
      </c>
      <c r="K127" s="325">
        <v>0</v>
      </c>
      <c r="L127" s="325">
        <v>0</v>
      </c>
      <c r="M127" s="565">
        <f t="shared" si="19"/>
        <v>134000</v>
      </c>
      <c r="N127" s="326">
        <v>134000</v>
      </c>
      <c r="O127" s="326">
        <v>0</v>
      </c>
      <c r="P127" s="565">
        <f t="shared" si="13"/>
        <v>134000</v>
      </c>
      <c r="Q127" s="565">
        <f t="shared" si="20"/>
        <v>134000</v>
      </c>
      <c r="R127" s="325" t="s">
        <v>1578</v>
      </c>
      <c r="S127" s="325" t="s">
        <v>187</v>
      </c>
      <c r="T127" s="327" t="s">
        <v>1284</v>
      </c>
      <c r="V127" s="43" t="s">
        <v>1771</v>
      </c>
      <c r="W127" s="221">
        <v>137000</v>
      </c>
      <c r="Y127" s="6">
        <f t="shared" si="14"/>
        <v>1</v>
      </c>
      <c r="Z127" s="562">
        <f t="shared" si="15"/>
        <v>134000</v>
      </c>
      <c r="AA127" s="122">
        <f t="shared" si="16"/>
        <v>0</v>
      </c>
      <c r="AB127" s="122">
        <f t="shared" si="17"/>
        <v>-3000</v>
      </c>
      <c r="AC127" s="6">
        <f t="shared" si="18"/>
        <v>1</v>
      </c>
      <c r="AD127" s="563">
        <f t="shared" si="21"/>
        <v>1</v>
      </c>
      <c r="AE127" s="64"/>
      <c r="AF127" s="31">
        <v>124000</v>
      </c>
      <c r="AG127" s="31">
        <v>10000</v>
      </c>
      <c r="AH127" s="31">
        <v>0</v>
      </c>
      <c r="AI127" s="31">
        <v>0</v>
      </c>
      <c r="AJ127" s="31">
        <v>134000</v>
      </c>
      <c r="AK127" s="31">
        <v>134000</v>
      </c>
      <c r="AL127" s="31">
        <v>0</v>
      </c>
      <c r="AM127" s="56">
        <v>134000</v>
      </c>
      <c r="AN127" s="31">
        <v>134000</v>
      </c>
      <c r="AO127" s="31" t="s">
        <v>1578</v>
      </c>
      <c r="AP127" s="23" t="s">
        <v>187</v>
      </c>
      <c r="AQ127" s="23" t="s">
        <v>1284</v>
      </c>
    </row>
    <row r="128" spans="1:43">
      <c r="A128" s="40">
        <v>125</v>
      </c>
      <c r="B128" s="40">
        <v>106</v>
      </c>
      <c r="C128" s="573" t="str">
        <f t="shared" si="11"/>
        <v>東池袋ハイツ</v>
      </c>
      <c r="D128" s="45" t="s">
        <v>1724</v>
      </c>
      <c r="E128" s="46">
        <v>52.75</v>
      </c>
      <c r="F128" s="324">
        <v>631</v>
      </c>
      <c r="G128" s="566" t="str">
        <f t="shared" si="12"/>
        <v>住居</v>
      </c>
      <c r="H128" s="44" t="s">
        <v>1717</v>
      </c>
      <c r="I128" s="325">
        <v>160000</v>
      </c>
      <c r="J128" s="325">
        <v>10000</v>
      </c>
      <c r="K128" s="325">
        <v>0</v>
      </c>
      <c r="L128" s="325">
        <v>0</v>
      </c>
      <c r="M128" s="565">
        <f t="shared" si="19"/>
        <v>170000</v>
      </c>
      <c r="N128" s="326">
        <v>168000</v>
      </c>
      <c r="O128" s="326">
        <v>0</v>
      </c>
      <c r="P128" s="565">
        <f t="shared" si="13"/>
        <v>168000</v>
      </c>
      <c r="Q128" s="565">
        <f t="shared" si="20"/>
        <v>170000</v>
      </c>
      <c r="R128" s="325" t="s">
        <v>1578</v>
      </c>
      <c r="S128" s="325" t="s">
        <v>187</v>
      </c>
      <c r="T128" s="327" t="s">
        <v>1284</v>
      </c>
      <c r="V128" s="43" t="s">
        <v>1772</v>
      </c>
      <c r="W128" s="221">
        <v>141000</v>
      </c>
      <c r="Y128" s="6">
        <f t="shared" si="14"/>
        <v>1</v>
      </c>
      <c r="Z128" s="562">
        <f t="shared" si="15"/>
        <v>170000</v>
      </c>
      <c r="AA128" s="122">
        <f t="shared" si="16"/>
        <v>-2000</v>
      </c>
      <c r="AB128" s="122">
        <f t="shared" si="17"/>
        <v>29000</v>
      </c>
      <c r="AC128" s="6">
        <f t="shared" si="18"/>
        <v>1</v>
      </c>
      <c r="AD128" s="563">
        <f t="shared" si="21"/>
        <v>1</v>
      </c>
      <c r="AE128" s="64"/>
      <c r="AF128" s="31">
        <v>160000</v>
      </c>
      <c r="AG128" s="31">
        <v>10000</v>
      </c>
      <c r="AH128" s="31">
        <v>0</v>
      </c>
      <c r="AI128" s="31">
        <v>0</v>
      </c>
      <c r="AJ128" s="31">
        <v>170000</v>
      </c>
      <c r="AK128" s="31">
        <v>168000</v>
      </c>
      <c r="AL128" s="31">
        <v>0</v>
      </c>
      <c r="AM128" s="56">
        <v>168000</v>
      </c>
      <c r="AN128" s="31">
        <v>170000</v>
      </c>
      <c r="AO128" s="31" t="s">
        <v>1578</v>
      </c>
      <c r="AP128" s="23" t="s">
        <v>187</v>
      </c>
      <c r="AQ128" s="23" t="s">
        <v>1284</v>
      </c>
    </row>
    <row r="129" spans="1:43">
      <c r="A129" s="40">
        <v>126</v>
      </c>
      <c r="B129" s="40">
        <v>106</v>
      </c>
      <c r="C129" s="573" t="str">
        <f t="shared" si="11"/>
        <v>東池袋ハイツ</v>
      </c>
      <c r="D129" s="45" t="s">
        <v>1589</v>
      </c>
      <c r="E129" s="46">
        <v>43.2</v>
      </c>
      <c r="F129" s="324">
        <v>631</v>
      </c>
      <c r="G129" s="566" t="str">
        <f t="shared" si="12"/>
        <v>住居</v>
      </c>
      <c r="H129" s="44" t="s">
        <v>1667</v>
      </c>
      <c r="I129" s="325">
        <v>140000</v>
      </c>
      <c r="J129" s="325">
        <v>10000</v>
      </c>
      <c r="K129" s="325">
        <v>0</v>
      </c>
      <c r="L129" s="325">
        <v>0</v>
      </c>
      <c r="M129" s="565">
        <f t="shared" si="19"/>
        <v>150000</v>
      </c>
      <c r="N129" s="326">
        <v>135000</v>
      </c>
      <c r="O129" s="326">
        <v>0</v>
      </c>
      <c r="P129" s="565">
        <f t="shared" si="13"/>
        <v>135000</v>
      </c>
      <c r="Q129" s="565">
        <f t="shared" si="20"/>
        <v>150000</v>
      </c>
      <c r="R129" s="325" t="s">
        <v>1578</v>
      </c>
      <c r="S129" s="325" t="s">
        <v>187</v>
      </c>
      <c r="T129" s="327" t="s">
        <v>1284</v>
      </c>
      <c r="V129" s="43" t="s">
        <v>1773</v>
      </c>
      <c r="W129" s="221">
        <v>132000</v>
      </c>
      <c r="Y129" s="6">
        <f t="shared" si="14"/>
        <v>1</v>
      </c>
      <c r="Z129" s="562">
        <f t="shared" si="15"/>
        <v>150000</v>
      </c>
      <c r="AA129" s="122">
        <f t="shared" si="16"/>
        <v>-15000</v>
      </c>
      <c r="AB129" s="122">
        <f t="shared" si="17"/>
        <v>18000</v>
      </c>
      <c r="AC129" s="6">
        <f t="shared" si="18"/>
        <v>1</v>
      </c>
      <c r="AD129" s="563">
        <f t="shared" si="21"/>
        <v>1</v>
      </c>
      <c r="AE129" s="64"/>
      <c r="AF129" s="31">
        <v>140000</v>
      </c>
      <c r="AG129" s="31">
        <v>10000</v>
      </c>
      <c r="AH129" s="31">
        <v>0</v>
      </c>
      <c r="AI129" s="31">
        <v>0</v>
      </c>
      <c r="AJ129" s="31">
        <v>150000</v>
      </c>
      <c r="AK129" s="31">
        <v>135000</v>
      </c>
      <c r="AL129" s="31">
        <v>0</v>
      </c>
      <c r="AM129" s="56">
        <v>135000</v>
      </c>
      <c r="AN129" s="31">
        <v>150000</v>
      </c>
      <c r="AO129" s="31" t="s">
        <v>1578</v>
      </c>
      <c r="AP129" s="23" t="s">
        <v>187</v>
      </c>
      <c r="AQ129" s="23" t="s">
        <v>1284</v>
      </c>
    </row>
    <row r="130" spans="1:43">
      <c r="A130" s="40">
        <v>127</v>
      </c>
      <c r="B130" s="40">
        <v>106</v>
      </c>
      <c r="C130" s="573" t="str">
        <f t="shared" si="11"/>
        <v>東池袋ハイツ</v>
      </c>
      <c r="D130" s="45" t="s">
        <v>1591</v>
      </c>
      <c r="E130" s="46">
        <v>43.2</v>
      </c>
      <c r="F130" s="324">
        <v>631</v>
      </c>
      <c r="G130" s="566" t="str">
        <f t="shared" si="12"/>
        <v>住居</v>
      </c>
      <c r="H130" s="44" t="s">
        <v>1667</v>
      </c>
      <c r="I130" s="325">
        <v>142000</v>
      </c>
      <c r="J130" s="325">
        <v>10000</v>
      </c>
      <c r="K130" s="325">
        <v>0</v>
      </c>
      <c r="L130" s="325">
        <v>0</v>
      </c>
      <c r="M130" s="565">
        <f t="shared" si="19"/>
        <v>152000</v>
      </c>
      <c r="N130" s="326">
        <v>150000</v>
      </c>
      <c r="O130" s="326">
        <v>0</v>
      </c>
      <c r="P130" s="565">
        <f t="shared" si="13"/>
        <v>150000</v>
      </c>
      <c r="Q130" s="565">
        <f t="shared" si="20"/>
        <v>152000</v>
      </c>
      <c r="R130" s="325" t="s">
        <v>1578</v>
      </c>
      <c r="S130" s="325" t="s">
        <v>187</v>
      </c>
      <c r="T130" s="327" t="s">
        <v>1284</v>
      </c>
      <c r="V130" s="43" t="s">
        <v>1774</v>
      </c>
      <c r="W130" s="221">
        <v>135000</v>
      </c>
      <c r="Y130" s="6">
        <f t="shared" si="14"/>
        <v>1</v>
      </c>
      <c r="Z130" s="562">
        <f t="shared" si="15"/>
        <v>152000</v>
      </c>
      <c r="AA130" s="122">
        <f t="shared" si="16"/>
        <v>-2000</v>
      </c>
      <c r="AB130" s="122">
        <f t="shared" si="17"/>
        <v>17000</v>
      </c>
      <c r="AC130" s="6">
        <f t="shared" si="18"/>
        <v>1</v>
      </c>
      <c r="AD130" s="563">
        <f t="shared" si="21"/>
        <v>1</v>
      </c>
      <c r="AE130" s="64"/>
      <c r="AF130" s="31">
        <v>142000</v>
      </c>
      <c r="AG130" s="31">
        <v>10000</v>
      </c>
      <c r="AH130" s="31">
        <v>0</v>
      </c>
      <c r="AI130" s="31">
        <v>0</v>
      </c>
      <c r="AJ130" s="31">
        <v>152000</v>
      </c>
      <c r="AK130" s="31">
        <v>150000</v>
      </c>
      <c r="AL130" s="31">
        <v>0</v>
      </c>
      <c r="AM130" s="56">
        <v>150000</v>
      </c>
      <c r="AN130" s="31">
        <v>152000</v>
      </c>
      <c r="AO130" s="31" t="s">
        <v>1578</v>
      </c>
      <c r="AP130" s="23" t="s">
        <v>187</v>
      </c>
      <c r="AQ130" s="23" t="s">
        <v>1284</v>
      </c>
    </row>
    <row r="131" spans="1:43">
      <c r="A131" s="40">
        <v>128</v>
      </c>
      <c r="B131" s="40">
        <v>106</v>
      </c>
      <c r="C131" s="573" t="str">
        <f t="shared" si="11"/>
        <v>東池袋ハイツ</v>
      </c>
      <c r="D131" s="45" t="s">
        <v>1593</v>
      </c>
      <c r="E131" s="46">
        <v>48.36</v>
      </c>
      <c r="F131" s="324">
        <v>631</v>
      </c>
      <c r="G131" s="566" t="str">
        <f t="shared" si="12"/>
        <v>住居</v>
      </c>
      <c r="H131" s="44" t="s">
        <v>1667</v>
      </c>
      <c r="I131" s="325">
        <v>135000</v>
      </c>
      <c r="J131" s="325">
        <v>10000</v>
      </c>
      <c r="K131" s="325">
        <v>0</v>
      </c>
      <c r="L131" s="325">
        <v>0</v>
      </c>
      <c r="M131" s="565">
        <f t="shared" si="19"/>
        <v>145000</v>
      </c>
      <c r="N131" s="326">
        <v>145000</v>
      </c>
      <c r="O131" s="326">
        <v>0</v>
      </c>
      <c r="P131" s="565">
        <f t="shared" si="13"/>
        <v>145000</v>
      </c>
      <c r="Q131" s="565">
        <f t="shared" si="20"/>
        <v>145000</v>
      </c>
      <c r="R131" s="325" t="s">
        <v>1578</v>
      </c>
      <c r="S131" s="325" t="s">
        <v>187</v>
      </c>
      <c r="T131" s="327" t="s">
        <v>1284</v>
      </c>
      <c r="V131" s="43" t="s">
        <v>1775</v>
      </c>
      <c r="W131" s="221">
        <v>135000</v>
      </c>
      <c r="Y131" s="6">
        <f t="shared" si="14"/>
        <v>1</v>
      </c>
      <c r="Z131" s="562">
        <f t="shared" si="15"/>
        <v>145000</v>
      </c>
      <c r="AA131" s="122">
        <f t="shared" si="16"/>
        <v>0</v>
      </c>
      <c r="AB131" s="122">
        <f t="shared" si="17"/>
        <v>10000</v>
      </c>
      <c r="AC131" s="6">
        <f t="shared" si="18"/>
        <v>1</v>
      </c>
      <c r="AD131" s="563">
        <f t="shared" si="21"/>
        <v>1</v>
      </c>
      <c r="AE131" s="64"/>
      <c r="AF131" s="31">
        <v>135000</v>
      </c>
      <c r="AG131" s="31">
        <v>10000</v>
      </c>
      <c r="AH131" s="31">
        <v>0</v>
      </c>
      <c r="AI131" s="31">
        <v>0</v>
      </c>
      <c r="AJ131" s="31">
        <v>145000</v>
      </c>
      <c r="AK131" s="31">
        <v>145000</v>
      </c>
      <c r="AL131" s="31">
        <v>0</v>
      </c>
      <c r="AM131" s="56">
        <v>145000</v>
      </c>
      <c r="AN131" s="31">
        <v>145000</v>
      </c>
      <c r="AO131" s="31" t="s">
        <v>1578</v>
      </c>
      <c r="AP131" s="23" t="s">
        <v>187</v>
      </c>
      <c r="AQ131" s="23" t="s">
        <v>1284</v>
      </c>
    </row>
    <row r="132" spans="1:43">
      <c r="A132" s="40">
        <v>129</v>
      </c>
      <c r="B132" s="40">
        <v>106</v>
      </c>
      <c r="C132" s="573" t="str">
        <f t="shared" ref="C132:C195" si="22">VLOOKUP(B132,id_settings,2,FALSE)</f>
        <v>東池袋ハイツ</v>
      </c>
      <c r="D132" s="45" t="s">
        <v>1729</v>
      </c>
      <c r="E132" s="46">
        <v>52.75</v>
      </c>
      <c r="F132" s="324">
        <v>631</v>
      </c>
      <c r="G132" s="566" t="str">
        <f t="shared" ref="G132:G195" si="23">VLOOKUP(F132,id_settings,2,FALSE)</f>
        <v>住居</v>
      </c>
      <c r="H132" s="44" t="s">
        <v>1717</v>
      </c>
      <c r="I132" s="325">
        <v>160000</v>
      </c>
      <c r="J132" s="325">
        <v>10000</v>
      </c>
      <c r="K132" s="325">
        <v>0</v>
      </c>
      <c r="L132" s="325">
        <v>0</v>
      </c>
      <c r="M132" s="565">
        <f t="shared" si="19"/>
        <v>170000</v>
      </c>
      <c r="N132" s="326">
        <v>168000</v>
      </c>
      <c r="O132" s="326">
        <v>0</v>
      </c>
      <c r="P132" s="565">
        <f t="shared" ref="P132:P195" si="24">N132+O132</f>
        <v>168000</v>
      </c>
      <c r="Q132" s="565">
        <f t="shared" si="20"/>
        <v>170000</v>
      </c>
      <c r="R132" s="325" t="s">
        <v>1583</v>
      </c>
      <c r="S132" s="325" t="s">
        <v>187</v>
      </c>
      <c r="T132" s="327" t="s">
        <v>1284</v>
      </c>
      <c r="V132" s="43" t="s">
        <v>1776</v>
      </c>
      <c r="W132" s="221">
        <v>158000</v>
      </c>
      <c r="Y132" s="6">
        <f t="shared" ref="Y132:Y195" si="25">IF(M132=0,0,1)</f>
        <v>1</v>
      </c>
      <c r="Z132" s="562">
        <f t="shared" ref="Z132:Z195" si="26">IF(Y132=1,SUM(I132:K132),N132)</f>
        <v>170000</v>
      </c>
      <c r="AA132" s="122">
        <f t="shared" ref="AA132:AA195" si="27">N132-Z132</f>
        <v>-2000</v>
      </c>
      <c r="AB132" s="122">
        <f t="shared" ref="AB132:AB195" si="28">Z132-W132</f>
        <v>12000</v>
      </c>
      <c r="AC132" s="6">
        <f t="shared" ref="AC132:AC195" si="29">IF(E132="-",0,1)</f>
        <v>1</v>
      </c>
      <c r="AD132" s="563">
        <f t="shared" si="21"/>
        <v>1</v>
      </c>
      <c r="AE132" s="64"/>
      <c r="AF132" s="31">
        <v>160000</v>
      </c>
      <c r="AG132" s="31">
        <v>10000</v>
      </c>
      <c r="AH132" s="31">
        <v>0</v>
      </c>
      <c r="AI132" s="31">
        <v>0</v>
      </c>
      <c r="AJ132" s="31">
        <v>170000</v>
      </c>
      <c r="AK132" s="31">
        <v>168000</v>
      </c>
      <c r="AL132" s="31">
        <v>0</v>
      </c>
      <c r="AM132" s="56">
        <v>168000</v>
      </c>
      <c r="AN132" s="31">
        <v>170000</v>
      </c>
      <c r="AO132" s="31" t="s">
        <v>1583</v>
      </c>
      <c r="AP132" s="23" t="s">
        <v>187</v>
      </c>
      <c r="AQ132" s="23" t="s">
        <v>1284</v>
      </c>
    </row>
    <row r="133" spans="1:43">
      <c r="A133" s="40">
        <v>130</v>
      </c>
      <c r="B133" s="40">
        <v>106</v>
      </c>
      <c r="C133" s="573" t="str">
        <f t="shared" si="22"/>
        <v>東池袋ハイツ</v>
      </c>
      <c r="D133" s="45" t="s">
        <v>1603</v>
      </c>
      <c r="E133" s="46">
        <v>39.42</v>
      </c>
      <c r="F133" s="324">
        <v>631</v>
      </c>
      <c r="G133" s="566" t="str">
        <f t="shared" si="23"/>
        <v>住居</v>
      </c>
      <c r="H133" s="44" t="s">
        <v>1669</v>
      </c>
      <c r="I133" s="325">
        <v>125000</v>
      </c>
      <c r="J133" s="325">
        <v>10000</v>
      </c>
      <c r="K133" s="325">
        <v>0</v>
      </c>
      <c r="L133" s="325">
        <v>0</v>
      </c>
      <c r="M133" s="565">
        <f t="shared" ref="M133:M196" si="30">SUM(I133:L133)</f>
        <v>135000</v>
      </c>
      <c r="N133" s="326">
        <v>123000</v>
      </c>
      <c r="O133" s="326">
        <v>0</v>
      </c>
      <c r="P133" s="565">
        <f t="shared" si="24"/>
        <v>123000</v>
      </c>
      <c r="Q133" s="565">
        <f t="shared" ref="Q133:Q196" si="31">VALUE(IF(Y133=0,N133+O133,M133))</f>
        <v>135000</v>
      </c>
      <c r="R133" s="325" t="s">
        <v>1578</v>
      </c>
      <c r="S133" s="325" t="s">
        <v>187</v>
      </c>
      <c r="T133" s="327" t="s">
        <v>1284</v>
      </c>
      <c r="V133" s="43" t="s">
        <v>1777</v>
      </c>
      <c r="W133" s="221">
        <v>123000</v>
      </c>
      <c r="Y133" s="6">
        <f t="shared" si="25"/>
        <v>1</v>
      </c>
      <c r="Z133" s="562">
        <f t="shared" si="26"/>
        <v>135000</v>
      </c>
      <c r="AA133" s="122">
        <f t="shared" si="27"/>
        <v>-12000</v>
      </c>
      <c r="AB133" s="122">
        <f t="shared" si="28"/>
        <v>12000</v>
      </c>
      <c r="AC133" s="6">
        <f t="shared" si="29"/>
        <v>1</v>
      </c>
      <c r="AD133" s="563">
        <f t="shared" ref="AD133:AD196" si="32">IF(I133="-",0,1)</f>
        <v>1</v>
      </c>
      <c r="AE133" s="64"/>
      <c r="AF133" s="31">
        <v>125000</v>
      </c>
      <c r="AG133" s="31">
        <v>10000</v>
      </c>
      <c r="AH133" s="31">
        <v>0</v>
      </c>
      <c r="AI133" s="31">
        <v>0</v>
      </c>
      <c r="AJ133" s="31">
        <v>135000</v>
      </c>
      <c r="AK133" s="31">
        <v>123000</v>
      </c>
      <c r="AL133" s="31">
        <v>0</v>
      </c>
      <c r="AM133" s="56">
        <v>123000</v>
      </c>
      <c r="AN133" s="31">
        <v>135000</v>
      </c>
      <c r="AO133" s="31" t="s">
        <v>1578</v>
      </c>
      <c r="AP133" s="23" t="s">
        <v>187</v>
      </c>
      <c r="AQ133" s="23" t="s">
        <v>1284</v>
      </c>
    </row>
    <row r="134" spans="1:43">
      <c r="A134" s="40">
        <v>131</v>
      </c>
      <c r="B134" s="40">
        <v>106</v>
      </c>
      <c r="C134" s="573" t="str">
        <f t="shared" si="22"/>
        <v>東池袋ハイツ</v>
      </c>
      <c r="D134" s="45" t="s">
        <v>1605</v>
      </c>
      <c r="E134" s="46">
        <v>43.2</v>
      </c>
      <c r="F134" s="324">
        <v>631</v>
      </c>
      <c r="G134" s="566" t="str">
        <f t="shared" si="23"/>
        <v>住居</v>
      </c>
      <c r="H134" s="44" t="s">
        <v>1667</v>
      </c>
      <c r="I134" s="325">
        <v>150000</v>
      </c>
      <c r="J134" s="325">
        <v>10000</v>
      </c>
      <c r="K134" s="325">
        <v>0</v>
      </c>
      <c r="L134" s="325">
        <v>0</v>
      </c>
      <c r="M134" s="565">
        <f t="shared" si="30"/>
        <v>160000</v>
      </c>
      <c r="N134" s="326">
        <v>160000</v>
      </c>
      <c r="O134" s="326">
        <v>0</v>
      </c>
      <c r="P134" s="565">
        <f t="shared" si="24"/>
        <v>160000</v>
      </c>
      <c r="Q134" s="565">
        <f t="shared" si="31"/>
        <v>160000</v>
      </c>
      <c r="R134" s="325" t="s">
        <v>1578</v>
      </c>
      <c r="S134" s="325" t="s">
        <v>187</v>
      </c>
      <c r="T134" s="327" t="s">
        <v>1284</v>
      </c>
      <c r="V134" s="43" t="s">
        <v>1778</v>
      </c>
      <c r="W134" s="221">
        <v>147000</v>
      </c>
      <c r="Y134" s="6">
        <f t="shared" si="25"/>
        <v>1</v>
      </c>
      <c r="Z134" s="562">
        <f t="shared" si="26"/>
        <v>160000</v>
      </c>
      <c r="AA134" s="122">
        <f t="shared" si="27"/>
        <v>0</v>
      </c>
      <c r="AB134" s="122">
        <f t="shared" si="28"/>
        <v>13000</v>
      </c>
      <c r="AC134" s="6">
        <f t="shared" si="29"/>
        <v>1</v>
      </c>
      <c r="AD134" s="563">
        <f t="shared" si="32"/>
        <v>1</v>
      </c>
      <c r="AE134" s="64"/>
      <c r="AF134" s="31">
        <v>150000</v>
      </c>
      <c r="AG134" s="31">
        <v>10000</v>
      </c>
      <c r="AH134" s="31">
        <v>0</v>
      </c>
      <c r="AI134" s="31">
        <v>0</v>
      </c>
      <c r="AJ134" s="31">
        <v>160000</v>
      </c>
      <c r="AK134" s="31">
        <v>160000</v>
      </c>
      <c r="AL134" s="31">
        <v>0</v>
      </c>
      <c r="AM134" s="56">
        <v>160000</v>
      </c>
      <c r="AN134" s="31">
        <v>160000</v>
      </c>
      <c r="AO134" s="31" t="s">
        <v>1578</v>
      </c>
      <c r="AP134" s="23" t="s">
        <v>187</v>
      </c>
      <c r="AQ134" s="23" t="s">
        <v>1284</v>
      </c>
    </row>
    <row r="135" spans="1:43">
      <c r="A135" s="40">
        <v>132</v>
      </c>
      <c r="B135" s="40">
        <v>106</v>
      </c>
      <c r="C135" s="573" t="str">
        <f t="shared" si="22"/>
        <v>東池袋ハイツ</v>
      </c>
      <c r="D135" s="45" t="s">
        <v>1607</v>
      </c>
      <c r="E135" s="46">
        <v>48.36</v>
      </c>
      <c r="F135" s="324">
        <v>631</v>
      </c>
      <c r="G135" s="566" t="str">
        <f t="shared" si="23"/>
        <v>住居</v>
      </c>
      <c r="H135" s="44" t="s">
        <v>1667</v>
      </c>
      <c r="I135" s="325">
        <v>125000</v>
      </c>
      <c r="J135" s="325">
        <v>10000</v>
      </c>
      <c r="K135" s="325">
        <v>0</v>
      </c>
      <c r="L135" s="325">
        <v>0</v>
      </c>
      <c r="M135" s="565">
        <f t="shared" si="30"/>
        <v>135000</v>
      </c>
      <c r="N135" s="326">
        <v>135000</v>
      </c>
      <c r="O135" s="326">
        <v>0</v>
      </c>
      <c r="P135" s="565">
        <f t="shared" si="24"/>
        <v>135000</v>
      </c>
      <c r="Q135" s="565">
        <f t="shared" si="31"/>
        <v>135000</v>
      </c>
      <c r="R135" s="325" t="s">
        <v>1578</v>
      </c>
      <c r="S135" s="325" t="s">
        <v>187</v>
      </c>
      <c r="T135" s="327" t="s">
        <v>1284</v>
      </c>
      <c r="V135" s="43" t="s">
        <v>1779</v>
      </c>
      <c r="W135" s="221">
        <v>135000</v>
      </c>
      <c r="Y135" s="6">
        <f t="shared" si="25"/>
        <v>1</v>
      </c>
      <c r="Z135" s="562">
        <f t="shared" si="26"/>
        <v>135000</v>
      </c>
      <c r="AA135" s="122">
        <f t="shared" si="27"/>
        <v>0</v>
      </c>
      <c r="AB135" s="122">
        <f t="shared" si="28"/>
        <v>0</v>
      </c>
      <c r="AC135" s="6">
        <f t="shared" si="29"/>
        <v>1</v>
      </c>
      <c r="AD135" s="563">
        <f t="shared" si="32"/>
        <v>1</v>
      </c>
      <c r="AE135" s="64"/>
      <c r="AF135" s="31">
        <v>125000</v>
      </c>
      <c r="AG135" s="31">
        <v>10000</v>
      </c>
      <c r="AH135" s="31">
        <v>0</v>
      </c>
      <c r="AI135" s="31">
        <v>0</v>
      </c>
      <c r="AJ135" s="31">
        <v>135000</v>
      </c>
      <c r="AK135" s="31">
        <v>135000</v>
      </c>
      <c r="AL135" s="31">
        <v>0</v>
      </c>
      <c r="AM135" s="56">
        <v>135000</v>
      </c>
      <c r="AN135" s="31">
        <v>135000</v>
      </c>
      <c r="AO135" s="31" t="s">
        <v>1578</v>
      </c>
      <c r="AP135" s="23" t="s">
        <v>187</v>
      </c>
      <c r="AQ135" s="23" t="s">
        <v>1284</v>
      </c>
    </row>
    <row r="136" spans="1:43">
      <c r="A136" s="40">
        <v>133</v>
      </c>
      <c r="B136" s="40">
        <v>106</v>
      </c>
      <c r="C136" s="573" t="str">
        <f t="shared" si="22"/>
        <v>東池袋ハイツ</v>
      </c>
      <c r="D136" s="45" t="s">
        <v>1734</v>
      </c>
      <c r="E136" s="46">
        <v>52.75</v>
      </c>
      <c r="F136" s="324">
        <v>631</v>
      </c>
      <c r="G136" s="566" t="str">
        <f t="shared" si="23"/>
        <v>住居</v>
      </c>
      <c r="H136" s="44" t="s">
        <v>1717</v>
      </c>
      <c r="I136" s="325">
        <v>140000</v>
      </c>
      <c r="J136" s="325">
        <v>10000</v>
      </c>
      <c r="K136" s="325">
        <v>0</v>
      </c>
      <c r="L136" s="325">
        <v>0</v>
      </c>
      <c r="M136" s="565">
        <f t="shared" si="30"/>
        <v>150000</v>
      </c>
      <c r="N136" s="326">
        <v>150000</v>
      </c>
      <c r="O136" s="326">
        <v>0</v>
      </c>
      <c r="P136" s="565">
        <f t="shared" si="24"/>
        <v>150000</v>
      </c>
      <c r="Q136" s="565">
        <f t="shared" si="31"/>
        <v>150000</v>
      </c>
      <c r="R136" s="325" t="s">
        <v>1568</v>
      </c>
      <c r="S136" s="325" t="s">
        <v>187</v>
      </c>
      <c r="T136" s="327" t="s">
        <v>1284</v>
      </c>
      <c r="V136" s="43" t="s">
        <v>1780</v>
      </c>
      <c r="W136" s="221">
        <v>150000</v>
      </c>
      <c r="Y136" s="6">
        <f t="shared" si="25"/>
        <v>1</v>
      </c>
      <c r="Z136" s="562">
        <f t="shared" si="26"/>
        <v>150000</v>
      </c>
      <c r="AA136" s="122">
        <f t="shared" si="27"/>
        <v>0</v>
      </c>
      <c r="AB136" s="122">
        <f t="shared" si="28"/>
        <v>0</v>
      </c>
      <c r="AC136" s="6">
        <f t="shared" si="29"/>
        <v>1</v>
      </c>
      <c r="AD136" s="563">
        <f t="shared" si="32"/>
        <v>1</v>
      </c>
      <c r="AE136" s="64"/>
      <c r="AF136" s="31">
        <v>140000</v>
      </c>
      <c r="AG136" s="31">
        <v>10000</v>
      </c>
      <c r="AH136" s="31">
        <v>0</v>
      </c>
      <c r="AI136" s="31">
        <v>0</v>
      </c>
      <c r="AJ136" s="31">
        <v>150000</v>
      </c>
      <c r="AK136" s="31">
        <v>150000</v>
      </c>
      <c r="AL136" s="31">
        <v>0</v>
      </c>
      <c r="AM136" s="56">
        <v>150000</v>
      </c>
      <c r="AN136" s="31">
        <v>150000</v>
      </c>
      <c r="AO136" s="31" t="s">
        <v>1568</v>
      </c>
      <c r="AP136" s="23" t="s">
        <v>187</v>
      </c>
      <c r="AQ136" s="23" t="s">
        <v>1284</v>
      </c>
    </row>
    <row r="137" spans="1:43">
      <c r="A137" s="40">
        <v>134</v>
      </c>
      <c r="B137" s="40">
        <v>106</v>
      </c>
      <c r="C137" s="573" t="str">
        <f t="shared" si="22"/>
        <v>東池袋ハイツ</v>
      </c>
      <c r="D137" s="45" t="s">
        <v>1695</v>
      </c>
      <c r="E137" s="46">
        <v>29.16</v>
      </c>
      <c r="F137" s="324">
        <v>631</v>
      </c>
      <c r="G137" s="566" t="str">
        <f t="shared" si="23"/>
        <v>住居</v>
      </c>
      <c r="H137" s="44" t="s">
        <v>1567</v>
      </c>
      <c r="I137" s="325">
        <v>85000</v>
      </c>
      <c r="J137" s="325">
        <v>10000</v>
      </c>
      <c r="K137" s="325">
        <v>0</v>
      </c>
      <c r="L137" s="325">
        <v>0</v>
      </c>
      <c r="M137" s="565">
        <f t="shared" si="30"/>
        <v>95000</v>
      </c>
      <c r="N137" s="326">
        <v>95000</v>
      </c>
      <c r="O137" s="326">
        <v>0</v>
      </c>
      <c r="P137" s="565">
        <f t="shared" si="24"/>
        <v>95000</v>
      </c>
      <c r="Q137" s="565">
        <f t="shared" si="31"/>
        <v>95000</v>
      </c>
      <c r="R137" s="325" t="s">
        <v>1568</v>
      </c>
      <c r="S137" s="325" t="s">
        <v>187</v>
      </c>
      <c r="T137" s="327" t="s">
        <v>1284</v>
      </c>
      <c r="V137" s="43" t="s">
        <v>1781</v>
      </c>
      <c r="W137" s="221">
        <v>90000</v>
      </c>
      <c r="Y137" s="6">
        <f t="shared" si="25"/>
        <v>1</v>
      </c>
      <c r="Z137" s="562">
        <f t="shared" si="26"/>
        <v>95000</v>
      </c>
      <c r="AA137" s="122">
        <f t="shared" si="27"/>
        <v>0</v>
      </c>
      <c r="AB137" s="122">
        <f t="shared" si="28"/>
        <v>5000</v>
      </c>
      <c r="AC137" s="6">
        <f t="shared" si="29"/>
        <v>1</v>
      </c>
      <c r="AD137" s="563">
        <f t="shared" si="32"/>
        <v>1</v>
      </c>
      <c r="AE137" s="64"/>
      <c r="AF137" s="31">
        <v>85000</v>
      </c>
      <c r="AG137" s="31">
        <v>10000</v>
      </c>
      <c r="AH137" s="31">
        <v>0</v>
      </c>
      <c r="AI137" s="31">
        <v>0</v>
      </c>
      <c r="AJ137" s="31">
        <v>95000</v>
      </c>
      <c r="AK137" s="31">
        <v>95000</v>
      </c>
      <c r="AL137" s="31">
        <v>0</v>
      </c>
      <c r="AM137" s="56">
        <v>95000</v>
      </c>
      <c r="AN137" s="31">
        <v>95000</v>
      </c>
      <c r="AO137" s="31" t="s">
        <v>1568</v>
      </c>
      <c r="AP137" s="23" t="s">
        <v>187</v>
      </c>
      <c r="AQ137" s="23" t="s">
        <v>1284</v>
      </c>
    </row>
    <row r="138" spans="1:43">
      <c r="A138" s="40">
        <v>135</v>
      </c>
      <c r="B138" s="40">
        <v>106</v>
      </c>
      <c r="C138" s="573" t="str">
        <f t="shared" si="22"/>
        <v>東池袋ハイツ</v>
      </c>
      <c r="D138" s="45" t="s">
        <v>1697</v>
      </c>
      <c r="E138" s="46">
        <v>43.2</v>
      </c>
      <c r="F138" s="324">
        <v>631</v>
      </c>
      <c r="G138" s="566" t="str">
        <f t="shared" si="23"/>
        <v>住居</v>
      </c>
      <c r="H138" s="44" t="s">
        <v>1667</v>
      </c>
      <c r="I138" s="325">
        <v>145000</v>
      </c>
      <c r="J138" s="325">
        <v>10000</v>
      </c>
      <c r="K138" s="325">
        <v>0</v>
      </c>
      <c r="L138" s="325">
        <v>0</v>
      </c>
      <c r="M138" s="565">
        <f t="shared" si="30"/>
        <v>155000</v>
      </c>
      <c r="N138" s="326">
        <v>155000</v>
      </c>
      <c r="O138" s="326">
        <v>0</v>
      </c>
      <c r="P138" s="565">
        <f t="shared" si="24"/>
        <v>155000</v>
      </c>
      <c r="Q138" s="565">
        <f t="shared" si="31"/>
        <v>155000</v>
      </c>
      <c r="R138" s="325" t="s">
        <v>1578</v>
      </c>
      <c r="S138" s="325" t="s">
        <v>187</v>
      </c>
      <c r="T138" s="327" t="s">
        <v>1284</v>
      </c>
      <c r="V138" s="43" t="s">
        <v>1782</v>
      </c>
      <c r="W138" s="221">
        <v>138000</v>
      </c>
      <c r="Y138" s="6">
        <f t="shared" si="25"/>
        <v>1</v>
      </c>
      <c r="Z138" s="562">
        <f t="shared" si="26"/>
        <v>155000</v>
      </c>
      <c r="AA138" s="122">
        <f t="shared" si="27"/>
        <v>0</v>
      </c>
      <c r="AB138" s="122">
        <f t="shared" si="28"/>
        <v>17000</v>
      </c>
      <c r="AC138" s="6">
        <f t="shared" si="29"/>
        <v>1</v>
      </c>
      <c r="AD138" s="563">
        <f t="shared" si="32"/>
        <v>1</v>
      </c>
      <c r="AE138" s="64"/>
      <c r="AF138" s="31">
        <v>145000</v>
      </c>
      <c r="AG138" s="31">
        <v>10000</v>
      </c>
      <c r="AH138" s="31">
        <v>0</v>
      </c>
      <c r="AI138" s="31">
        <v>0</v>
      </c>
      <c r="AJ138" s="31">
        <v>155000</v>
      </c>
      <c r="AK138" s="31">
        <v>155000</v>
      </c>
      <c r="AL138" s="31">
        <v>0</v>
      </c>
      <c r="AM138" s="56">
        <v>155000</v>
      </c>
      <c r="AN138" s="31">
        <v>155000</v>
      </c>
      <c r="AO138" s="31" t="s">
        <v>1578</v>
      </c>
      <c r="AP138" s="23" t="s">
        <v>187</v>
      </c>
      <c r="AQ138" s="23" t="s">
        <v>1284</v>
      </c>
    </row>
    <row r="139" spans="1:43">
      <c r="A139" s="40">
        <v>136</v>
      </c>
      <c r="B139" s="40">
        <v>106</v>
      </c>
      <c r="C139" s="573" t="str">
        <f t="shared" si="22"/>
        <v>東池袋ハイツ</v>
      </c>
      <c r="D139" s="45" t="s">
        <v>1699</v>
      </c>
      <c r="E139" s="46">
        <v>48.36</v>
      </c>
      <c r="F139" s="324">
        <v>631</v>
      </c>
      <c r="G139" s="566" t="str">
        <f t="shared" si="23"/>
        <v>住居</v>
      </c>
      <c r="H139" s="44" t="s">
        <v>1667</v>
      </c>
      <c r="I139" s="325">
        <v>150000</v>
      </c>
      <c r="J139" s="325">
        <v>10000</v>
      </c>
      <c r="K139" s="325">
        <v>0</v>
      </c>
      <c r="L139" s="325">
        <v>0</v>
      </c>
      <c r="M139" s="565">
        <f t="shared" si="30"/>
        <v>160000</v>
      </c>
      <c r="N139" s="326">
        <v>160000</v>
      </c>
      <c r="O139" s="326">
        <v>0</v>
      </c>
      <c r="P139" s="565">
        <f t="shared" si="24"/>
        <v>160000</v>
      </c>
      <c r="Q139" s="565">
        <f t="shared" si="31"/>
        <v>160000</v>
      </c>
      <c r="R139" s="325" t="s">
        <v>1578</v>
      </c>
      <c r="S139" s="325" t="s">
        <v>187</v>
      </c>
      <c r="T139" s="327" t="s">
        <v>1284</v>
      </c>
      <c r="V139" s="43" t="s">
        <v>1783</v>
      </c>
      <c r="W139" s="221">
        <v>137000</v>
      </c>
      <c r="Y139" s="6">
        <f t="shared" si="25"/>
        <v>1</v>
      </c>
      <c r="Z139" s="562">
        <f t="shared" si="26"/>
        <v>160000</v>
      </c>
      <c r="AA139" s="122">
        <f t="shared" si="27"/>
        <v>0</v>
      </c>
      <c r="AB139" s="122">
        <f t="shared" si="28"/>
        <v>23000</v>
      </c>
      <c r="AC139" s="6">
        <f t="shared" si="29"/>
        <v>1</v>
      </c>
      <c r="AD139" s="563">
        <f t="shared" si="32"/>
        <v>1</v>
      </c>
      <c r="AE139" s="64"/>
      <c r="AF139" s="31">
        <v>150000</v>
      </c>
      <c r="AG139" s="31">
        <v>10000</v>
      </c>
      <c r="AH139" s="31">
        <v>0</v>
      </c>
      <c r="AI139" s="31">
        <v>0</v>
      </c>
      <c r="AJ139" s="31">
        <v>160000</v>
      </c>
      <c r="AK139" s="31">
        <v>160000</v>
      </c>
      <c r="AL139" s="31">
        <v>0</v>
      </c>
      <c r="AM139" s="56">
        <v>160000</v>
      </c>
      <c r="AN139" s="31">
        <v>160000</v>
      </c>
      <c r="AO139" s="31" t="s">
        <v>1578</v>
      </c>
      <c r="AP139" s="23" t="s">
        <v>187</v>
      </c>
      <c r="AQ139" s="23" t="s">
        <v>1284</v>
      </c>
    </row>
    <row r="140" spans="1:43">
      <c r="A140" s="40">
        <v>137</v>
      </c>
      <c r="B140" s="40">
        <v>106</v>
      </c>
      <c r="C140" s="573" t="str">
        <f t="shared" si="22"/>
        <v>東池袋ハイツ</v>
      </c>
      <c r="D140" s="45" t="s">
        <v>1739</v>
      </c>
      <c r="E140" s="46">
        <v>17.600000000000001</v>
      </c>
      <c r="F140" s="324">
        <v>631</v>
      </c>
      <c r="G140" s="566" t="str">
        <f t="shared" si="23"/>
        <v>住居</v>
      </c>
      <c r="H140" s="44" t="s">
        <v>1567</v>
      </c>
      <c r="I140" s="325">
        <v>160000</v>
      </c>
      <c r="J140" s="325">
        <v>10000</v>
      </c>
      <c r="K140" s="325">
        <v>0</v>
      </c>
      <c r="L140" s="325">
        <v>0</v>
      </c>
      <c r="M140" s="565">
        <f t="shared" si="30"/>
        <v>170000</v>
      </c>
      <c r="N140" s="326">
        <v>170000</v>
      </c>
      <c r="O140" s="326">
        <v>0</v>
      </c>
      <c r="P140" s="565">
        <f t="shared" si="24"/>
        <v>170000</v>
      </c>
      <c r="Q140" s="565">
        <f t="shared" si="31"/>
        <v>170000</v>
      </c>
      <c r="R140" s="325" t="s">
        <v>1583</v>
      </c>
      <c r="S140" s="325" t="s">
        <v>187</v>
      </c>
      <c r="T140" s="327" t="s">
        <v>1284</v>
      </c>
      <c r="V140" s="43" t="s">
        <v>1784</v>
      </c>
      <c r="W140" s="221">
        <v>146000</v>
      </c>
      <c r="Y140" s="6">
        <f t="shared" si="25"/>
        <v>1</v>
      </c>
      <c r="Z140" s="562">
        <f t="shared" si="26"/>
        <v>170000</v>
      </c>
      <c r="AA140" s="122">
        <f t="shared" si="27"/>
        <v>0</v>
      </c>
      <c r="AB140" s="122">
        <f t="shared" si="28"/>
        <v>24000</v>
      </c>
      <c r="AC140" s="6">
        <f t="shared" si="29"/>
        <v>1</v>
      </c>
      <c r="AD140" s="563">
        <f t="shared" si="32"/>
        <v>1</v>
      </c>
      <c r="AE140" s="64"/>
      <c r="AF140" s="31">
        <v>160000</v>
      </c>
      <c r="AG140" s="31">
        <v>10000</v>
      </c>
      <c r="AH140" s="31">
        <v>0</v>
      </c>
      <c r="AI140" s="31">
        <v>0</v>
      </c>
      <c r="AJ140" s="31">
        <v>170000</v>
      </c>
      <c r="AK140" s="31">
        <v>170000</v>
      </c>
      <c r="AL140" s="31">
        <v>0</v>
      </c>
      <c r="AM140" s="56">
        <v>170000</v>
      </c>
      <c r="AN140" s="31">
        <v>170000</v>
      </c>
      <c r="AO140" s="31" t="s">
        <v>1583</v>
      </c>
      <c r="AP140" s="23" t="s">
        <v>187</v>
      </c>
      <c r="AQ140" s="23" t="s">
        <v>1284</v>
      </c>
    </row>
    <row r="141" spans="1:43">
      <c r="A141" s="40">
        <v>138</v>
      </c>
      <c r="B141" s="40">
        <v>106</v>
      </c>
      <c r="C141" s="573" t="str">
        <f t="shared" si="22"/>
        <v>東池袋ハイツ</v>
      </c>
      <c r="D141" s="45" t="s">
        <v>1741</v>
      </c>
      <c r="E141" s="46">
        <v>55.84</v>
      </c>
      <c r="F141" s="324">
        <v>631</v>
      </c>
      <c r="G141" s="566" t="str">
        <f t="shared" si="23"/>
        <v>住居</v>
      </c>
      <c r="H141" s="44" t="s">
        <v>1717</v>
      </c>
      <c r="I141" s="325">
        <v>170000</v>
      </c>
      <c r="J141" s="325">
        <v>10000</v>
      </c>
      <c r="K141" s="325">
        <v>0</v>
      </c>
      <c r="L141" s="325">
        <v>0</v>
      </c>
      <c r="M141" s="565">
        <f t="shared" si="30"/>
        <v>180000</v>
      </c>
      <c r="N141" s="326">
        <v>148000</v>
      </c>
      <c r="O141" s="326">
        <v>0</v>
      </c>
      <c r="P141" s="565">
        <f t="shared" si="24"/>
        <v>148000</v>
      </c>
      <c r="Q141" s="565">
        <f t="shared" si="31"/>
        <v>180000</v>
      </c>
      <c r="R141" s="325" t="s">
        <v>1578</v>
      </c>
      <c r="S141" s="325" t="s">
        <v>187</v>
      </c>
      <c r="T141" s="327" t="s">
        <v>1284</v>
      </c>
      <c r="V141" s="43" t="s">
        <v>1785</v>
      </c>
      <c r="W141" s="221">
        <v>148000</v>
      </c>
      <c r="Y141" s="6">
        <f t="shared" si="25"/>
        <v>1</v>
      </c>
      <c r="Z141" s="562">
        <f t="shared" si="26"/>
        <v>180000</v>
      </c>
      <c r="AA141" s="122">
        <f t="shared" si="27"/>
        <v>-32000</v>
      </c>
      <c r="AB141" s="122">
        <f t="shared" si="28"/>
        <v>32000</v>
      </c>
      <c r="AC141" s="6">
        <f t="shared" si="29"/>
        <v>1</v>
      </c>
      <c r="AD141" s="563">
        <f t="shared" si="32"/>
        <v>1</v>
      </c>
      <c r="AE141" s="64"/>
      <c r="AF141" s="31">
        <v>170000</v>
      </c>
      <c r="AG141" s="31">
        <v>10000</v>
      </c>
      <c r="AH141" s="31">
        <v>0</v>
      </c>
      <c r="AI141" s="31">
        <v>0</v>
      </c>
      <c r="AJ141" s="31">
        <v>180000</v>
      </c>
      <c r="AK141" s="31">
        <v>148000</v>
      </c>
      <c r="AL141" s="31">
        <v>0</v>
      </c>
      <c r="AM141" s="56">
        <v>148000</v>
      </c>
      <c r="AN141" s="31">
        <v>180000</v>
      </c>
      <c r="AO141" s="31" t="s">
        <v>1578</v>
      </c>
      <c r="AP141" s="23" t="s">
        <v>187</v>
      </c>
      <c r="AQ141" s="23" t="s">
        <v>1284</v>
      </c>
    </row>
    <row r="142" spans="1:43">
      <c r="A142" s="40">
        <v>139</v>
      </c>
      <c r="B142" s="40">
        <v>106</v>
      </c>
      <c r="C142" s="573" t="str">
        <f t="shared" si="22"/>
        <v>東池袋ハイツ</v>
      </c>
      <c r="D142" s="45" t="s">
        <v>1743</v>
      </c>
      <c r="E142" s="46">
        <v>62.32</v>
      </c>
      <c r="F142" s="324">
        <v>631</v>
      </c>
      <c r="G142" s="566" t="str">
        <f t="shared" si="23"/>
        <v>住居</v>
      </c>
      <c r="H142" s="44" t="s">
        <v>1669</v>
      </c>
      <c r="I142" s="325">
        <v>180000</v>
      </c>
      <c r="J142" s="325">
        <v>0</v>
      </c>
      <c r="K142" s="325">
        <v>0</v>
      </c>
      <c r="L142" s="325">
        <v>0</v>
      </c>
      <c r="M142" s="565">
        <f t="shared" si="30"/>
        <v>180000</v>
      </c>
      <c r="N142" s="326">
        <v>180000</v>
      </c>
      <c r="O142" s="326">
        <v>0</v>
      </c>
      <c r="P142" s="565">
        <f t="shared" si="24"/>
        <v>180000</v>
      </c>
      <c r="Q142" s="565">
        <f t="shared" si="31"/>
        <v>180000</v>
      </c>
      <c r="R142" s="325" t="s">
        <v>1583</v>
      </c>
      <c r="S142" s="325" t="s">
        <v>187</v>
      </c>
      <c r="T142" s="327" t="s">
        <v>1284</v>
      </c>
      <c r="V142" s="43" t="s">
        <v>1786</v>
      </c>
      <c r="W142" s="221">
        <v>165000</v>
      </c>
      <c r="Y142" s="6">
        <f t="shared" si="25"/>
        <v>1</v>
      </c>
      <c r="Z142" s="562">
        <f t="shared" si="26"/>
        <v>180000</v>
      </c>
      <c r="AA142" s="122">
        <f t="shared" si="27"/>
        <v>0</v>
      </c>
      <c r="AB142" s="122">
        <f t="shared" si="28"/>
        <v>15000</v>
      </c>
      <c r="AC142" s="6">
        <f t="shared" si="29"/>
        <v>1</v>
      </c>
      <c r="AD142" s="563">
        <f t="shared" si="32"/>
        <v>1</v>
      </c>
      <c r="AE142" s="64"/>
      <c r="AF142" s="31">
        <v>180000</v>
      </c>
      <c r="AG142" s="31">
        <v>0</v>
      </c>
      <c r="AH142" s="31">
        <v>0</v>
      </c>
      <c r="AI142" s="31">
        <v>0</v>
      </c>
      <c r="AJ142" s="31">
        <v>180000</v>
      </c>
      <c r="AK142" s="31">
        <v>180000</v>
      </c>
      <c r="AL142" s="31">
        <v>0</v>
      </c>
      <c r="AM142" s="56">
        <v>180000</v>
      </c>
      <c r="AN142" s="31">
        <v>180000</v>
      </c>
      <c r="AO142" s="31" t="s">
        <v>1583</v>
      </c>
      <c r="AP142" s="23" t="s">
        <v>187</v>
      </c>
      <c r="AQ142" s="23" t="s">
        <v>1284</v>
      </c>
    </row>
    <row r="143" spans="1:43">
      <c r="A143" s="40">
        <v>140</v>
      </c>
      <c r="B143" s="40">
        <v>106</v>
      </c>
      <c r="C143" s="573" t="str">
        <f t="shared" si="22"/>
        <v>東池袋ハイツ</v>
      </c>
      <c r="D143" s="45" t="s">
        <v>1745</v>
      </c>
      <c r="E143" s="46">
        <v>17.600000000000001</v>
      </c>
      <c r="F143" s="324">
        <v>631</v>
      </c>
      <c r="G143" s="566" t="str">
        <f t="shared" si="23"/>
        <v>住居</v>
      </c>
      <c r="H143" s="44" t="s">
        <v>1567</v>
      </c>
      <c r="I143" s="325">
        <v>68000</v>
      </c>
      <c r="J143" s="325">
        <v>3000</v>
      </c>
      <c r="K143" s="325">
        <v>0</v>
      </c>
      <c r="L143" s="325">
        <v>0</v>
      </c>
      <c r="M143" s="565">
        <f t="shared" si="30"/>
        <v>71000</v>
      </c>
      <c r="N143" s="326">
        <v>78000</v>
      </c>
      <c r="O143" s="326">
        <v>0</v>
      </c>
      <c r="P143" s="565">
        <f t="shared" si="24"/>
        <v>78000</v>
      </c>
      <c r="Q143" s="565">
        <f t="shared" si="31"/>
        <v>71000</v>
      </c>
      <c r="R143" s="325" t="s">
        <v>1578</v>
      </c>
      <c r="S143" s="325" t="s">
        <v>187</v>
      </c>
      <c r="T143" s="327" t="s">
        <v>1284</v>
      </c>
      <c r="V143" s="43" t="s">
        <v>1787</v>
      </c>
      <c r="W143" s="55">
        <v>75000</v>
      </c>
      <c r="Y143" s="6">
        <f t="shared" si="25"/>
        <v>1</v>
      </c>
      <c r="Z143" s="562">
        <f t="shared" si="26"/>
        <v>71000</v>
      </c>
      <c r="AA143" s="122">
        <f t="shared" si="27"/>
        <v>7000</v>
      </c>
      <c r="AB143" s="122">
        <f t="shared" si="28"/>
        <v>-4000</v>
      </c>
      <c r="AC143" s="6">
        <f t="shared" si="29"/>
        <v>1</v>
      </c>
      <c r="AD143" s="563">
        <f t="shared" si="32"/>
        <v>1</v>
      </c>
      <c r="AE143" s="64"/>
      <c r="AF143" s="31">
        <v>68000</v>
      </c>
      <c r="AG143" s="31">
        <v>3000</v>
      </c>
      <c r="AH143" s="31">
        <v>0</v>
      </c>
      <c r="AI143" s="31">
        <v>0</v>
      </c>
      <c r="AJ143" s="31">
        <v>71000</v>
      </c>
      <c r="AK143" s="31">
        <v>78000</v>
      </c>
      <c r="AL143" s="31">
        <v>0</v>
      </c>
      <c r="AM143" s="56">
        <v>78000</v>
      </c>
      <c r="AN143" s="31">
        <v>71000</v>
      </c>
      <c r="AO143" s="31" t="s">
        <v>1578</v>
      </c>
      <c r="AP143" s="23" t="s">
        <v>187</v>
      </c>
      <c r="AQ143" s="23" t="s">
        <v>1284</v>
      </c>
    </row>
    <row r="144" spans="1:43">
      <c r="A144" s="40">
        <v>141</v>
      </c>
      <c r="B144" s="40">
        <v>106</v>
      </c>
      <c r="C144" s="573" t="str">
        <f t="shared" si="22"/>
        <v>東池袋ハイツ</v>
      </c>
      <c r="D144" s="45" t="s">
        <v>1618</v>
      </c>
      <c r="E144" s="46">
        <v>0</v>
      </c>
      <c r="F144" s="324">
        <v>635</v>
      </c>
      <c r="G144" s="566" t="str">
        <f t="shared" si="23"/>
        <v>アンテナ</v>
      </c>
      <c r="H144" s="44" t="s">
        <v>729</v>
      </c>
      <c r="I144" s="325">
        <v>12000</v>
      </c>
      <c r="J144" s="325">
        <v>0</v>
      </c>
      <c r="K144" s="325">
        <v>0</v>
      </c>
      <c r="L144" s="325">
        <v>1200</v>
      </c>
      <c r="M144" s="565">
        <f t="shared" si="30"/>
        <v>13200</v>
      </c>
      <c r="N144" s="326">
        <v>12000</v>
      </c>
      <c r="O144" s="326">
        <v>1199.9999999999998</v>
      </c>
      <c r="P144" s="565">
        <f t="shared" si="24"/>
        <v>13200</v>
      </c>
      <c r="Q144" s="565">
        <f t="shared" si="31"/>
        <v>13200</v>
      </c>
      <c r="R144" s="325" t="s">
        <v>1017</v>
      </c>
      <c r="S144" s="325" t="s">
        <v>187</v>
      </c>
      <c r="T144" s="327" t="s">
        <v>1284</v>
      </c>
      <c r="V144" s="43" t="s">
        <v>1788</v>
      </c>
      <c r="W144" s="55">
        <v>0</v>
      </c>
      <c r="Y144" s="6">
        <f t="shared" si="25"/>
        <v>1</v>
      </c>
      <c r="Z144" s="562">
        <f t="shared" si="26"/>
        <v>12000</v>
      </c>
      <c r="AA144" s="122">
        <f t="shared" si="27"/>
        <v>0</v>
      </c>
      <c r="AB144" s="122">
        <f t="shared" si="28"/>
        <v>12000</v>
      </c>
      <c r="AC144" s="6">
        <f t="shared" si="29"/>
        <v>1</v>
      </c>
      <c r="AD144" s="563">
        <f t="shared" si="32"/>
        <v>1</v>
      </c>
      <c r="AE144" s="64"/>
      <c r="AF144" s="31">
        <v>12000</v>
      </c>
      <c r="AG144" s="31">
        <v>0</v>
      </c>
      <c r="AH144" s="31">
        <v>0</v>
      </c>
      <c r="AI144" s="31">
        <v>1200</v>
      </c>
      <c r="AJ144" s="31">
        <v>13200</v>
      </c>
      <c r="AK144" s="31">
        <v>12000</v>
      </c>
      <c r="AL144" s="31">
        <v>1199.9999999999998</v>
      </c>
      <c r="AM144" s="56">
        <v>13200</v>
      </c>
      <c r="AN144" s="31">
        <v>13200</v>
      </c>
      <c r="AO144" s="31" t="s">
        <v>1017</v>
      </c>
      <c r="AP144" s="23" t="s">
        <v>187</v>
      </c>
      <c r="AQ144" s="23" t="s">
        <v>1284</v>
      </c>
    </row>
    <row r="145" spans="1:43">
      <c r="A145" s="40">
        <v>142</v>
      </c>
      <c r="B145" s="40">
        <v>106</v>
      </c>
      <c r="C145" s="573" t="str">
        <f t="shared" si="22"/>
        <v>東池袋ハイツ</v>
      </c>
      <c r="D145" s="45" t="s">
        <v>1622</v>
      </c>
      <c r="E145" s="46" t="s">
        <v>1017</v>
      </c>
      <c r="F145" s="324">
        <v>639</v>
      </c>
      <c r="G145" s="566" t="str">
        <f t="shared" si="23"/>
        <v>その他</v>
      </c>
      <c r="H145" s="46" t="s">
        <v>1789</v>
      </c>
      <c r="I145" s="325">
        <v>0</v>
      </c>
      <c r="J145" s="325">
        <v>0</v>
      </c>
      <c r="K145" s="325">
        <v>0</v>
      </c>
      <c r="L145" s="325">
        <v>0</v>
      </c>
      <c r="M145" s="565">
        <f t="shared" si="30"/>
        <v>0</v>
      </c>
      <c r="N145" s="326">
        <v>0</v>
      </c>
      <c r="O145" s="326">
        <v>0</v>
      </c>
      <c r="P145" s="565">
        <f t="shared" si="24"/>
        <v>0</v>
      </c>
      <c r="Q145" s="565">
        <f t="shared" si="31"/>
        <v>0</v>
      </c>
      <c r="R145" s="325" t="s">
        <v>1017</v>
      </c>
      <c r="S145" s="325" t="s">
        <v>283</v>
      </c>
      <c r="T145" s="327" t="s">
        <v>1623</v>
      </c>
      <c r="V145" s="43" t="s">
        <v>1790</v>
      </c>
      <c r="W145" s="55">
        <v>0</v>
      </c>
      <c r="Y145" s="6">
        <f t="shared" si="25"/>
        <v>0</v>
      </c>
      <c r="Z145" s="562">
        <f t="shared" si="26"/>
        <v>0</v>
      </c>
      <c r="AA145" s="122">
        <f t="shared" si="27"/>
        <v>0</v>
      </c>
      <c r="AB145" s="122">
        <f t="shared" si="28"/>
        <v>0</v>
      </c>
      <c r="AC145" s="6">
        <f t="shared" si="29"/>
        <v>0</v>
      </c>
      <c r="AD145" s="563">
        <f t="shared" si="32"/>
        <v>1</v>
      </c>
      <c r="AE145" s="64"/>
      <c r="AF145" s="31">
        <v>0</v>
      </c>
      <c r="AG145" s="31">
        <v>0</v>
      </c>
      <c r="AH145" s="31">
        <v>0</v>
      </c>
      <c r="AI145" s="31">
        <v>0</v>
      </c>
      <c r="AJ145" s="31">
        <v>0</v>
      </c>
      <c r="AK145" s="31">
        <v>0</v>
      </c>
      <c r="AL145" s="31">
        <v>0</v>
      </c>
      <c r="AM145" s="56">
        <v>0</v>
      </c>
      <c r="AN145" s="31">
        <v>0</v>
      </c>
      <c r="AO145" s="31" t="s">
        <v>1017</v>
      </c>
      <c r="AP145" s="23" t="s">
        <v>283</v>
      </c>
      <c r="AQ145" s="23" t="s">
        <v>1623</v>
      </c>
    </row>
    <row r="146" spans="1:43">
      <c r="A146" s="41">
        <v>143</v>
      </c>
      <c r="B146" s="41">
        <v>107</v>
      </c>
      <c r="C146" s="574" t="str">
        <f t="shared" si="22"/>
        <v>メゾン雑司ヶ谷</v>
      </c>
      <c r="D146" s="45" t="s">
        <v>1580</v>
      </c>
      <c r="E146" s="46">
        <v>16.87</v>
      </c>
      <c r="F146" s="324">
        <v>631</v>
      </c>
      <c r="G146" s="566" t="str">
        <f t="shared" si="23"/>
        <v>住居</v>
      </c>
      <c r="H146" s="44" t="s">
        <v>1709</v>
      </c>
      <c r="I146" s="325">
        <v>52000</v>
      </c>
      <c r="J146" s="325">
        <v>3000</v>
      </c>
      <c r="K146" s="325">
        <v>0</v>
      </c>
      <c r="L146" s="325">
        <v>0</v>
      </c>
      <c r="M146" s="565">
        <f t="shared" si="30"/>
        <v>55000</v>
      </c>
      <c r="N146" s="326">
        <v>61000</v>
      </c>
      <c r="O146" s="326">
        <v>0</v>
      </c>
      <c r="P146" s="565">
        <f t="shared" si="24"/>
        <v>61000</v>
      </c>
      <c r="Q146" s="565">
        <f t="shared" si="31"/>
        <v>55000</v>
      </c>
      <c r="R146" s="325" t="s">
        <v>1568</v>
      </c>
      <c r="S146" s="325" t="s">
        <v>187</v>
      </c>
      <c r="T146" s="327" t="s">
        <v>1284</v>
      </c>
      <c r="V146" s="43" t="s">
        <v>1791</v>
      </c>
      <c r="W146" s="55">
        <v>61000</v>
      </c>
      <c r="Y146" s="6">
        <f t="shared" si="25"/>
        <v>1</v>
      </c>
      <c r="Z146" s="562">
        <f t="shared" si="26"/>
        <v>55000</v>
      </c>
      <c r="AA146" s="122">
        <f t="shared" si="27"/>
        <v>6000</v>
      </c>
      <c r="AB146" s="122">
        <f t="shared" si="28"/>
        <v>-6000</v>
      </c>
      <c r="AC146" s="6">
        <f t="shared" si="29"/>
        <v>1</v>
      </c>
      <c r="AD146" s="563">
        <f t="shared" si="32"/>
        <v>1</v>
      </c>
      <c r="AE146" s="64"/>
      <c r="AF146" s="31">
        <v>52000</v>
      </c>
      <c r="AG146" s="31">
        <v>3000</v>
      </c>
      <c r="AH146" s="31">
        <v>0</v>
      </c>
      <c r="AI146" s="31">
        <v>0</v>
      </c>
      <c r="AJ146" s="31">
        <v>55000</v>
      </c>
      <c r="AK146" s="31">
        <v>61000</v>
      </c>
      <c r="AL146" s="31">
        <v>0</v>
      </c>
      <c r="AM146" s="56">
        <v>61000</v>
      </c>
      <c r="AN146" s="31">
        <v>55000</v>
      </c>
      <c r="AO146" s="31" t="s">
        <v>1568</v>
      </c>
      <c r="AP146" s="23" t="s">
        <v>187</v>
      </c>
      <c r="AQ146" s="23" t="s">
        <v>1284</v>
      </c>
    </row>
    <row r="147" spans="1:43">
      <c r="A147" s="41">
        <v>144</v>
      </c>
      <c r="B147" s="41">
        <v>107</v>
      </c>
      <c r="C147" s="574" t="str">
        <f t="shared" si="22"/>
        <v>メゾン雑司ヶ谷</v>
      </c>
      <c r="D147" s="45" t="s">
        <v>1582</v>
      </c>
      <c r="E147" s="46">
        <v>16.87</v>
      </c>
      <c r="F147" s="324">
        <v>631</v>
      </c>
      <c r="G147" s="566" t="str">
        <f t="shared" si="23"/>
        <v>住居</v>
      </c>
      <c r="H147" s="44" t="s">
        <v>1709</v>
      </c>
      <c r="I147" s="325">
        <v>56000</v>
      </c>
      <c r="J147" s="325">
        <v>3000</v>
      </c>
      <c r="K147" s="325">
        <v>0</v>
      </c>
      <c r="L147" s="325">
        <v>0</v>
      </c>
      <c r="M147" s="565">
        <f t="shared" si="30"/>
        <v>59000</v>
      </c>
      <c r="N147" s="326">
        <v>59000</v>
      </c>
      <c r="O147" s="326">
        <v>0</v>
      </c>
      <c r="P147" s="565">
        <f t="shared" si="24"/>
        <v>59000</v>
      </c>
      <c r="Q147" s="565">
        <f t="shared" si="31"/>
        <v>59000</v>
      </c>
      <c r="R147" s="325" t="s">
        <v>1568</v>
      </c>
      <c r="S147" s="325" t="s">
        <v>187</v>
      </c>
      <c r="T147" s="327" t="s">
        <v>1284</v>
      </c>
      <c r="V147" s="43" t="s">
        <v>1792</v>
      </c>
      <c r="W147" s="55">
        <v>59000</v>
      </c>
      <c r="Y147" s="6">
        <f t="shared" si="25"/>
        <v>1</v>
      </c>
      <c r="Z147" s="562">
        <f t="shared" si="26"/>
        <v>59000</v>
      </c>
      <c r="AA147" s="122">
        <f t="shared" si="27"/>
        <v>0</v>
      </c>
      <c r="AB147" s="122">
        <f t="shared" si="28"/>
        <v>0</v>
      </c>
      <c r="AC147" s="6">
        <f t="shared" si="29"/>
        <v>1</v>
      </c>
      <c r="AD147" s="563">
        <f t="shared" si="32"/>
        <v>1</v>
      </c>
      <c r="AE147" s="64"/>
      <c r="AF147" s="31">
        <v>56000</v>
      </c>
      <c r="AG147" s="31">
        <v>3000</v>
      </c>
      <c r="AH147" s="31">
        <v>0</v>
      </c>
      <c r="AI147" s="31">
        <v>0</v>
      </c>
      <c r="AJ147" s="31">
        <v>59000</v>
      </c>
      <c r="AK147" s="31">
        <v>59000</v>
      </c>
      <c r="AL147" s="31">
        <v>0</v>
      </c>
      <c r="AM147" s="56">
        <v>59000</v>
      </c>
      <c r="AN147" s="31">
        <v>59000</v>
      </c>
      <c r="AO147" s="31" t="s">
        <v>1568</v>
      </c>
      <c r="AP147" s="23" t="s">
        <v>187</v>
      </c>
      <c r="AQ147" s="23" t="s">
        <v>1284</v>
      </c>
    </row>
    <row r="148" spans="1:43">
      <c r="A148" s="41">
        <v>145</v>
      </c>
      <c r="B148" s="41">
        <v>107</v>
      </c>
      <c r="C148" s="574" t="str">
        <f t="shared" si="22"/>
        <v>メゾン雑司ヶ谷</v>
      </c>
      <c r="D148" s="45" t="s">
        <v>1585</v>
      </c>
      <c r="E148" s="46">
        <v>19.54</v>
      </c>
      <c r="F148" s="324">
        <v>631</v>
      </c>
      <c r="G148" s="566" t="str">
        <f t="shared" si="23"/>
        <v>住居</v>
      </c>
      <c r="H148" s="44" t="s">
        <v>1709</v>
      </c>
      <c r="I148" s="325">
        <v>57000</v>
      </c>
      <c r="J148" s="325">
        <v>3000</v>
      </c>
      <c r="K148" s="325">
        <v>0</v>
      </c>
      <c r="L148" s="325">
        <v>0</v>
      </c>
      <c r="M148" s="565">
        <f t="shared" si="30"/>
        <v>60000</v>
      </c>
      <c r="N148" s="326">
        <v>60000</v>
      </c>
      <c r="O148" s="326">
        <v>0</v>
      </c>
      <c r="P148" s="565">
        <f t="shared" si="24"/>
        <v>60000</v>
      </c>
      <c r="Q148" s="565">
        <f t="shared" si="31"/>
        <v>60000</v>
      </c>
      <c r="R148" s="325" t="s">
        <v>1568</v>
      </c>
      <c r="S148" s="325" t="s">
        <v>187</v>
      </c>
      <c r="T148" s="327" t="s">
        <v>1284</v>
      </c>
      <c r="V148" s="43" t="s">
        <v>1793</v>
      </c>
      <c r="W148" s="55">
        <v>59000</v>
      </c>
      <c r="Y148" s="6">
        <f t="shared" si="25"/>
        <v>1</v>
      </c>
      <c r="Z148" s="562">
        <f t="shared" si="26"/>
        <v>60000</v>
      </c>
      <c r="AA148" s="122">
        <f t="shared" si="27"/>
        <v>0</v>
      </c>
      <c r="AB148" s="122">
        <f t="shared" si="28"/>
        <v>1000</v>
      </c>
      <c r="AC148" s="6">
        <f t="shared" si="29"/>
        <v>1</v>
      </c>
      <c r="AD148" s="563">
        <f t="shared" si="32"/>
        <v>1</v>
      </c>
      <c r="AE148" s="64"/>
      <c r="AF148" s="31">
        <v>57000</v>
      </c>
      <c r="AG148" s="31">
        <v>3000</v>
      </c>
      <c r="AH148" s="31">
        <v>0</v>
      </c>
      <c r="AI148" s="31">
        <v>0</v>
      </c>
      <c r="AJ148" s="31">
        <v>60000</v>
      </c>
      <c r="AK148" s="31">
        <v>60000</v>
      </c>
      <c r="AL148" s="31">
        <v>0</v>
      </c>
      <c r="AM148" s="56">
        <v>60000</v>
      </c>
      <c r="AN148" s="31">
        <v>60000</v>
      </c>
      <c r="AO148" s="31" t="s">
        <v>1568</v>
      </c>
      <c r="AP148" s="23" t="s">
        <v>187</v>
      </c>
      <c r="AQ148" s="23" t="s">
        <v>1284</v>
      </c>
    </row>
    <row r="149" spans="1:43">
      <c r="A149" s="41">
        <v>146</v>
      </c>
      <c r="B149" s="41">
        <v>107</v>
      </c>
      <c r="C149" s="574" t="str">
        <f t="shared" si="22"/>
        <v>メゾン雑司ヶ谷</v>
      </c>
      <c r="D149" s="45" t="s">
        <v>1587</v>
      </c>
      <c r="E149" s="46">
        <v>19.54</v>
      </c>
      <c r="F149" s="324">
        <v>631</v>
      </c>
      <c r="G149" s="566" t="str">
        <f t="shared" si="23"/>
        <v>住居</v>
      </c>
      <c r="H149" s="44" t="s">
        <v>1709</v>
      </c>
      <c r="I149" s="325">
        <v>61000</v>
      </c>
      <c r="J149" s="325">
        <v>3000</v>
      </c>
      <c r="K149" s="325">
        <v>0</v>
      </c>
      <c r="L149" s="325">
        <v>0</v>
      </c>
      <c r="M149" s="565">
        <f t="shared" si="30"/>
        <v>64000</v>
      </c>
      <c r="N149" s="326">
        <v>64000</v>
      </c>
      <c r="O149" s="326">
        <v>0</v>
      </c>
      <c r="P149" s="565">
        <f t="shared" si="24"/>
        <v>64000</v>
      </c>
      <c r="Q149" s="565">
        <f t="shared" si="31"/>
        <v>64000</v>
      </c>
      <c r="R149" s="325" t="s">
        <v>1568</v>
      </c>
      <c r="S149" s="325" t="s">
        <v>187</v>
      </c>
      <c r="T149" s="327" t="s">
        <v>1284</v>
      </c>
      <c r="V149" s="43" t="s">
        <v>1794</v>
      </c>
      <c r="W149" s="55">
        <v>64000</v>
      </c>
      <c r="Y149" s="6">
        <f t="shared" si="25"/>
        <v>1</v>
      </c>
      <c r="Z149" s="562">
        <f t="shared" si="26"/>
        <v>64000</v>
      </c>
      <c r="AA149" s="122">
        <f t="shared" si="27"/>
        <v>0</v>
      </c>
      <c r="AB149" s="122">
        <f t="shared" si="28"/>
        <v>0</v>
      </c>
      <c r="AC149" s="6">
        <f t="shared" si="29"/>
        <v>1</v>
      </c>
      <c r="AD149" s="563">
        <f t="shared" si="32"/>
        <v>1</v>
      </c>
      <c r="AE149" s="64"/>
      <c r="AF149" s="31">
        <v>61000</v>
      </c>
      <c r="AG149" s="31">
        <v>3000</v>
      </c>
      <c r="AH149" s="31">
        <v>0</v>
      </c>
      <c r="AI149" s="31">
        <v>0</v>
      </c>
      <c r="AJ149" s="31">
        <v>64000</v>
      </c>
      <c r="AK149" s="31">
        <v>64000</v>
      </c>
      <c r="AL149" s="31">
        <v>0</v>
      </c>
      <c r="AM149" s="56">
        <v>64000</v>
      </c>
      <c r="AN149" s="31">
        <v>64000</v>
      </c>
      <c r="AO149" s="31" t="s">
        <v>1568</v>
      </c>
      <c r="AP149" s="23" t="s">
        <v>187</v>
      </c>
      <c r="AQ149" s="23" t="s">
        <v>1284</v>
      </c>
    </row>
    <row r="150" spans="1:43">
      <c r="A150" s="41">
        <v>147</v>
      </c>
      <c r="B150" s="41">
        <v>107</v>
      </c>
      <c r="C150" s="574" t="str">
        <f t="shared" si="22"/>
        <v>メゾン雑司ヶ谷</v>
      </c>
      <c r="D150" s="45" t="s">
        <v>1642</v>
      </c>
      <c r="E150" s="46">
        <v>17.100000000000001</v>
      </c>
      <c r="F150" s="324">
        <v>631</v>
      </c>
      <c r="G150" s="566" t="str">
        <f t="shared" si="23"/>
        <v>住居</v>
      </c>
      <c r="H150" s="44" t="s">
        <v>1709</v>
      </c>
      <c r="I150" s="325">
        <v>67000</v>
      </c>
      <c r="J150" s="325">
        <v>0</v>
      </c>
      <c r="K150" s="325">
        <v>0</v>
      </c>
      <c r="L150" s="325">
        <v>0</v>
      </c>
      <c r="M150" s="565">
        <f t="shared" si="30"/>
        <v>67000</v>
      </c>
      <c r="N150" s="326">
        <v>67000</v>
      </c>
      <c r="O150" s="326">
        <v>0</v>
      </c>
      <c r="P150" s="565">
        <f t="shared" si="24"/>
        <v>67000</v>
      </c>
      <c r="Q150" s="565">
        <f t="shared" si="31"/>
        <v>67000</v>
      </c>
      <c r="R150" s="325" t="s">
        <v>1568</v>
      </c>
      <c r="S150" s="325" t="s">
        <v>187</v>
      </c>
      <c r="T150" s="327" t="s">
        <v>1284</v>
      </c>
      <c r="V150" s="43" t="s">
        <v>1795</v>
      </c>
      <c r="W150" s="55">
        <v>70000</v>
      </c>
      <c r="Y150" s="6">
        <f t="shared" si="25"/>
        <v>1</v>
      </c>
      <c r="Z150" s="562">
        <f t="shared" si="26"/>
        <v>67000</v>
      </c>
      <c r="AA150" s="122">
        <f t="shared" si="27"/>
        <v>0</v>
      </c>
      <c r="AB150" s="122">
        <f t="shared" si="28"/>
        <v>-3000</v>
      </c>
      <c r="AC150" s="6">
        <f t="shared" si="29"/>
        <v>1</v>
      </c>
      <c r="AD150" s="563">
        <f t="shared" si="32"/>
        <v>1</v>
      </c>
      <c r="AE150" s="64"/>
      <c r="AF150" s="31">
        <v>67000</v>
      </c>
      <c r="AG150" s="31">
        <v>0</v>
      </c>
      <c r="AH150" s="31">
        <v>0</v>
      </c>
      <c r="AI150" s="31">
        <v>0</v>
      </c>
      <c r="AJ150" s="31">
        <v>67000</v>
      </c>
      <c r="AK150" s="31">
        <v>67000</v>
      </c>
      <c r="AL150" s="31">
        <v>0</v>
      </c>
      <c r="AM150" s="56">
        <v>67000</v>
      </c>
      <c r="AN150" s="31">
        <v>67000</v>
      </c>
      <c r="AO150" s="31" t="s">
        <v>1568</v>
      </c>
      <c r="AP150" s="23" t="s">
        <v>187</v>
      </c>
      <c r="AQ150" s="23" t="s">
        <v>1284</v>
      </c>
    </row>
    <row r="151" spans="1:43">
      <c r="A151" s="41">
        <v>148</v>
      </c>
      <c r="B151" s="41">
        <v>107</v>
      </c>
      <c r="C151" s="574" t="str">
        <f t="shared" si="22"/>
        <v>メゾン雑司ヶ谷</v>
      </c>
      <c r="D151" s="45" t="s">
        <v>1644</v>
      </c>
      <c r="E151" s="46">
        <v>17.100000000000001</v>
      </c>
      <c r="F151" s="324">
        <v>631</v>
      </c>
      <c r="G151" s="566" t="str">
        <f t="shared" si="23"/>
        <v>住居</v>
      </c>
      <c r="H151" s="44" t="s">
        <v>1709</v>
      </c>
      <c r="I151" s="325">
        <v>51000</v>
      </c>
      <c r="J151" s="325">
        <v>3000</v>
      </c>
      <c r="K151" s="325">
        <v>0</v>
      </c>
      <c r="L151" s="325">
        <v>0</v>
      </c>
      <c r="M151" s="565">
        <f t="shared" si="30"/>
        <v>54000</v>
      </c>
      <c r="N151" s="326">
        <v>63000</v>
      </c>
      <c r="O151" s="326">
        <v>0</v>
      </c>
      <c r="P151" s="565">
        <f t="shared" si="24"/>
        <v>63000</v>
      </c>
      <c r="Q151" s="565">
        <f t="shared" si="31"/>
        <v>54000</v>
      </c>
      <c r="R151" s="325" t="s">
        <v>1568</v>
      </c>
      <c r="S151" s="325" t="s">
        <v>187</v>
      </c>
      <c r="T151" s="327" t="s">
        <v>1284</v>
      </c>
      <c r="V151" s="43" t="s">
        <v>1796</v>
      </c>
      <c r="W151" s="55">
        <v>63000</v>
      </c>
      <c r="Y151" s="6">
        <f t="shared" si="25"/>
        <v>1</v>
      </c>
      <c r="Z151" s="562">
        <f t="shared" si="26"/>
        <v>54000</v>
      </c>
      <c r="AA151" s="122">
        <f t="shared" si="27"/>
        <v>9000</v>
      </c>
      <c r="AB151" s="122">
        <f t="shared" si="28"/>
        <v>-9000</v>
      </c>
      <c r="AC151" s="6">
        <f t="shared" si="29"/>
        <v>1</v>
      </c>
      <c r="AD151" s="563">
        <f t="shared" si="32"/>
        <v>1</v>
      </c>
      <c r="AE151" s="64"/>
      <c r="AF151" s="31">
        <v>51000</v>
      </c>
      <c r="AG151" s="31">
        <v>3000</v>
      </c>
      <c r="AH151" s="31">
        <v>0</v>
      </c>
      <c r="AI151" s="31">
        <v>0</v>
      </c>
      <c r="AJ151" s="31">
        <v>54000</v>
      </c>
      <c r="AK151" s="31">
        <v>63000</v>
      </c>
      <c r="AL151" s="31">
        <v>0</v>
      </c>
      <c r="AM151" s="56">
        <v>63000</v>
      </c>
      <c r="AN151" s="31">
        <v>54000</v>
      </c>
      <c r="AO151" s="31" t="s">
        <v>1568</v>
      </c>
      <c r="AP151" s="23" t="s">
        <v>187</v>
      </c>
      <c r="AQ151" s="23" t="s">
        <v>1284</v>
      </c>
    </row>
    <row r="152" spans="1:43">
      <c r="A152" s="41">
        <v>149</v>
      </c>
      <c r="B152" s="41">
        <v>107</v>
      </c>
      <c r="C152" s="574" t="str">
        <f t="shared" si="22"/>
        <v>メゾン雑司ヶ谷</v>
      </c>
      <c r="D152" s="45" t="s">
        <v>1646</v>
      </c>
      <c r="E152" s="46">
        <v>16.96</v>
      </c>
      <c r="F152" s="324">
        <v>631</v>
      </c>
      <c r="G152" s="566" t="str">
        <f t="shared" si="23"/>
        <v>住居</v>
      </c>
      <c r="H152" s="44" t="s">
        <v>1709</v>
      </c>
      <c r="I152" s="325">
        <v>59000</v>
      </c>
      <c r="J152" s="325">
        <v>2000</v>
      </c>
      <c r="K152" s="325">
        <v>0</v>
      </c>
      <c r="L152" s="325">
        <v>0</v>
      </c>
      <c r="M152" s="565">
        <f t="shared" si="30"/>
        <v>61000</v>
      </c>
      <c r="N152" s="326">
        <v>61000</v>
      </c>
      <c r="O152" s="326">
        <v>0</v>
      </c>
      <c r="P152" s="565">
        <f t="shared" si="24"/>
        <v>61000</v>
      </c>
      <c r="Q152" s="565">
        <f t="shared" si="31"/>
        <v>61000</v>
      </c>
      <c r="R152" s="325" t="s">
        <v>1568</v>
      </c>
      <c r="S152" s="325" t="s">
        <v>187</v>
      </c>
      <c r="T152" s="327" t="s">
        <v>1284</v>
      </c>
      <c r="V152" s="43" t="s">
        <v>1797</v>
      </c>
      <c r="W152" s="55">
        <v>59000</v>
      </c>
      <c r="Y152" s="6">
        <f t="shared" si="25"/>
        <v>1</v>
      </c>
      <c r="Z152" s="562">
        <f t="shared" si="26"/>
        <v>61000</v>
      </c>
      <c r="AA152" s="122">
        <f t="shared" si="27"/>
        <v>0</v>
      </c>
      <c r="AB152" s="122">
        <f t="shared" si="28"/>
        <v>2000</v>
      </c>
      <c r="AC152" s="6">
        <f t="shared" si="29"/>
        <v>1</v>
      </c>
      <c r="AD152" s="563">
        <f t="shared" si="32"/>
        <v>1</v>
      </c>
      <c r="AE152" s="64"/>
      <c r="AF152" s="31">
        <v>59000</v>
      </c>
      <c r="AG152" s="31">
        <v>2000</v>
      </c>
      <c r="AH152" s="31">
        <v>0</v>
      </c>
      <c r="AI152" s="31">
        <v>0</v>
      </c>
      <c r="AJ152" s="31">
        <v>61000</v>
      </c>
      <c r="AK152" s="31">
        <v>61000</v>
      </c>
      <c r="AL152" s="31">
        <v>0</v>
      </c>
      <c r="AM152" s="56">
        <v>61000</v>
      </c>
      <c r="AN152" s="31">
        <v>61000</v>
      </c>
      <c r="AO152" s="31" t="s">
        <v>1568</v>
      </c>
      <c r="AP152" s="23" t="s">
        <v>187</v>
      </c>
      <c r="AQ152" s="23" t="s">
        <v>1284</v>
      </c>
    </row>
    <row r="153" spans="1:43">
      <c r="A153" s="41">
        <v>150</v>
      </c>
      <c r="B153" s="41">
        <v>107</v>
      </c>
      <c r="C153" s="574" t="str">
        <f t="shared" si="22"/>
        <v>メゾン雑司ヶ谷</v>
      </c>
      <c r="D153" s="45" t="s">
        <v>1798</v>
      </c>
      <c r="E153" s="46">
        <v>19.54</v>
      </c>
      <c r="F153" s="324">
        <v>631</v>
      </c>
      <c r="G153" s="566" t="str">
        <f t="shared" si="23"/>
        <v>住居</v>
      </c>
      <c r="H153" s="44" t="s">
        <v>1709</v>
      </c>
      <c r="I153" s="325">
        <v>59000</v>
      </c>
      <c r="J153" s="325">
        <v>3000</v>
      </c>
      <c r="K153" s="325">
        <v>0</v>
      </c>
      <c r="L153" s="325">
        <v>0</v>
      </c>
      <c r="M153" s="565">
        <f t="shared" si="30"/>
        <v>62000</v>
      </c>
      <c r="N153" s="326">
        <v>62000</v>
      </c>
      <c r="O153" s="326">
        <v>0</v>
      </c>
      <c r="P153" s="565">
        <f t="shared" si="24"/>
        <v>62000</v>
      </c>
      <c r="Q153" s="565">
        <f t="shared" si="31"/>
        <v>62000</v>
      </c>
      <c r="R153" s="325" t="s">
        <v>1799</v>
      </c>
      <c r="S153" s="325" t="s">
        <v>187</v>
      </c>
      <c r="T153" s="327" t="s">
        <v>1284</v>
      </c>
      <c r="V153" s="43" t="s">
        <v>1800</v>
      </c>
      <c r="W153" s="55">
        <v>65000</v>
      </c>
      <c r="Y153" s="6">
        <f t="shared" si="25"/>
        <v>1</v>
      </c>
      <c r="Z153" s="562">
        <f t="shared" si="26"/>
        <v>62000</v>
      </c>
      <c r="AA153" s="122">
        <f t="shared" si="27"/>
        <v>0</v>
      </c>
      <c r="AB153" s="122">
        <f t="shared" si="28"/>
        <v>-3000</v>
      </c>
      <c r="AC153" s="6">
        <f t="shared" si="29"/>
        <v>1</v>
      </c>
      <c r="AD153" s="563">
        <f t="shared" si="32"/>
        <v>1</v>
      </c>
      <c r="AE153" s="64"/>
      <c r="AF153" s="31">
        <v>59000</v>
      </c>
      <c r="AG153" s="31">
        <v>3000</v>
      </c>
      <c r="AH153" s="31">
        <v>0</v>
      </c>
      <c r="AI153" s="31">
        <v>0</v>
      </c>
      <c r="AJ153" s="31">
        <v>62000</v>
      </c>
      <c r="AK153" s="31">
        <v>62000</v>
      </c>
      <c r="AL153" s="31">
        <v>0</v>
      </c>
      <c r="AM153" s="56">
        <v>62000</v>
      </c>
      <c r="AN153" s="31">
        <v>62000</v>
      </c>
      <c r="AO153" s="31" t="s">
        <v>1799</v>
      </c>
      <c r="AP153" s="23" t="s">
        <v>187</v>
      </c>
      <c r="AQ153" s="23" t="s">
        <v>1284</v>
      </c>
    </row>
    <row r="154" spans="1:43">
      <c r="A154" s="41">
        <v>151</v>
      </c>
      <c r="B154" s="41">
        <v>107</v>
      </c>
      <c r="C154" s="574" t="str">
        <f t="shared" si="22"/>
        <v>メゾン雑司ヶ谷</v>
      </c>
      <c r="D154" s="45" t="s">
        <v>1801</v>
      </c>
      <c r="E154" s="46">
        <v>18.47</v>
      </c>
      <c r="F154" s="324">
        <v>631</v>
      </c>
      <c r="G154" s="566" t="str">
        <f t="shared" si="23"/>
        <v>住居</v>
      </c>
      <c r="H154" s="44" t="s">
        <v>1709</v>
      </c>
      <c r="I154" s="325">
        <v>60000</v>
      </c>
      <c r="J154" s="325">
        <v>5000</v>
      </c>
      <c r="K154" s="325">
        <v>0</v>
      </c>
      <c r="L154" s="325">
        <v>0</v>
      </c>
      <c r="M154" s="565">
        <f t="shared" si="30"/>
        <v>65000</v>
      </c>
      <c r="N154" s="326">
        <v>65000</v>
      </c>
      <c r="O154" s="326">
        <v>0</v>
      </c>
      <c r="P154" s="565">
        <f t="shared" si="24"/>
        <v>65000</v>
      </c>
      <c r="Q154" s="565">
        <f t="shared" si="31"/>
        <v>65000</v>
      </c>
      <c r="R154" s="325" t="s">
        <v>1568</v>
      </c>
      <c r="S154" s="325" t="s">
        <v>187</v>
      </c>
      <c r="T154" s="327" t="s">
        <v>1284</v>
      </c>
      <c r="V154" s="43" t="s">
        <v>1802</v>
      </c>
      <c r="W154" s="55">
        <v>65000</v>
      </c>
      <c r="Y154" s="6">
        <f t="shared" si="25"/>
        <v>1</v>
      </c>
      <c r="Z154" s="562">
        <f t="shared" si="26"/>
        <v>65000</v>
      </c>
      <c r="AA154" s="122">
        <f t="shared" si="27"/>
        <v>0</v>
      </c>
      <c r="AB154" s="122">
        <f t="shared" si="28"/>
        <v>0</v>
      </c>
      <c r="AC154" s="6">
        <f t="shared" si="29"/>
        <v>1</v>
      </c>
      <c r="AD154" s="563">
        <f t="shared" si="32"/>
        <v>1</v>
      </c>
      <c r="AE154" s="64"/>
      <c r="AF154" s="31">
        <v>60000</v>
      </c>
      <c r="AG154" s="31">
        <v>5000</v>
      </c>
      <c r="AH154" s="31">
        <v>0</v>
      </c>
      <c r="AI154" s="31">
        <v>0</v>
      </c>
      <c r="AJ154" s="31">
        <v>65000</v>
      </c>
      <c r="AK154" s="31">
        <v>65000</v>
      </c>
      <c r="AL154" s="31">
        <v>0</v>
      </c>
      <c r="AM154" s="56">
        <v>65000</v>
      </c>
      <c r="AN154" s="31">
        <v>65000</v>
      </c>
      <c r="AO154" s="31" t="s">
        <v>1568</v>
      </c>
      <c r="AP154" s="23" t="s">
        <v>187</v>
      </c>
      <c r="AQ154" s="23" t="s">
        <v>1284</v>
      </c>
    </row>
    <row r="155" spans="1:43">
      <c r="A155" s="41">
        <v>152</v>
      </c>
      <c r="B155" s="41">
        <v>107</v>
      </c>
      <c r="C155" s="574" t="str">
        <f t="shared" si="22"/>
        <v>メゾン雑司ヶ谷</v>
      </c>
      <c r="D155" s="45" t="s">
        <v>1803</v>
      </c>
      <c r="E155" s="46">
        <v>18.47</v>
      </c>
      <c r="F155" s="324">
        <v>631</v>
      </c>
      <c r="G155" s="566" t="str">
        <f t="shared" si="23"/>
        <v>住居</v>
      </c>
      <c r="H155" s="44" t="s">
        <v>1709</v>
      </c>
      <c r="I155" s="325">
        <v>62000</v>
      </c>
      <c r="J155" s="325">
        <v>0</v>
      </c>
      <c r="K155" s="325">
        <v>0</v>
      </c>
      <c r="L155" s="325">
        <v>0</v>
      </c>
      <c r="M155" s="565">
        <f t="shared" si="30"/>
        <v>62000</v>
      </c>
      <c r="N155" s="326">
        <v>62000</v>
      </c>
      <c r="O155" s="326">
        <v>0</v>
      </c>
      <c r="P155" s="565">
        <f t="shared" si="24"/>
        <v>62000</v>
      </c>
      <c r="Q155" s="565">
        <f t="shared" si="31"/>
        <v>62000</v>
      </c>
      <c r="R155" s="325" t="s">
        <v>1568</v>
      </c>
      <c r="S155" s="325" t="s">
        <v>187</v>
      </c>
      <c r="T155" s="327" t="s">
        <v>1284</v>
      </c>
      <c r="V155" s="43" t="s">
        <v>1804</v>
      </c>
      <c r="W155" s="55">
        <v>65000</v>
      </c>
      <c r="Y155" s="6">
        <f t="shared" si="25"/>
        <v>1</v>
      </c>
      <c r="Z155" s="562">
        <f t="shared" si="26"/>
        <v>62000</v>
      </c>
      <c r="AA155" s="122">
        <f t="shared" si="27"/>
        <v>0</v>
      </c>
      <c r="AB155" s="122">
        <f t="shared" si="28"/>
        <v>-3000</v>
      </c>
      <c r="AC155" s="6">
        <f t="shared" si="29"/>
        <v>1</v>
      </c>
      <c r="AD155" s="563">
        <f t="shared" si="32"/>
        <v>1</v>
      </c>
      <c r="AE155" s="64"/>
      <c r="AF155" s="31">
        <v>62000</v>
      </c>
      <c r="AG155" s="31">
        <v>0</v>
      </c>
      <c r="AH155" s="31">
        <v>0</v>
      </c>
      <c r="AI155" s="31">
        <v>0</v>
      </c>
      <c r="AJ155" s="31">
        <v>62000</v>
      </c>
      <c r="AK155" s="31">
        <v>62000</v>
      </c>
      <c r="AL155" s="31">
        <v>0</v>
      </c>
      <c r="AM155" s="56">
        <v>62000</v>
      </c>
      <c r="AN155" s="31">
        <v>62000</v>
      </c>
      <c r="AO155" s="31" t="s">
        <v>1568</v>
      </c>
      <c r="AP155" s="23" t="s">
        <v>187</v>
      </c>
      <c r="AQ155" s="23" t="s">
        <v>1284</v>
      </c>
    </row>
    <row r="156" spans="1:43">
      <c r="A156" s="41">
        <v>153</v>
      </c>
      <c r="B156" s="41">
        <v>107</v>
      </c>
      <c r="C156" s="574" t="str">
        <f t="shared" si="22"/>
        <v>メゾン雑司ヶ谷</v>
      </c>
      <c r="D156" s="45" t="s">
        <v>1805</v>
      </c>
      <c r="E156" s="46">
        <v>18.47</v>
      </c>
      <c r="F156" s="324">
        <v>631</v>
      </c>
      <c r="G156" s="566" t="str">
        <f t="shared" si="23"/>
        <v>住居</v>
      </c>
      <c r="H156" s="44" t="s">
        <v>1709</v>
      </c>
      <c r="I156" s="325">
        <v>69000</v>
      </c>
      <c r="J156" s="325">
        <v>3000</v>
      </c>
      <c r="K156" s="325">
        <v>0</v>
      </c>
      <c r="L156" s="325">
        <v>0</v>
      </c>
      <c r="M156" s="565">
        <f t="shared" si="30"/>
        <v>72000</v>
      </c>
      <c r="N156" s="326">
        <v>72000</v>
      </c>
      <c r="O156" s="326">
        <v>0</v>
      </c>
      <c r="P156" s="565">
        <f t="shared" si="24"/>
        <v>72000</v>
      </c>
      <c r="Q156" s="565">
        <f t="shared" si="31"/>
        <v>72000</v>
      </c>
      <c r="R156" s="325" t="s">
        <v>1568</v>
      </c>
      <c r="S156" s="325" t="s">
        <v>187</v>
      </c>
      <c r="T156" s="327" t="s">
        <v>1284</v>
      </c>
      <c r="V156" s="43" t="s">
        <v>1806</v>
      </c>
      <c r="W156" s="55">
        <v>72000</v>
      </c>
      <c r="Y156" s="6">
        <f t="shared" si="25"/>
        <v>1</v>
      </c>
      <c r="Z156" s="562">
        <f t="shared" si="26"/>
        <v>72000</v>
      </c>
      <c r="AA156" s="122">
        <f t="shared" si="27"/>
        <v>0</v>
      </c>
      <c r="AB156" s="122">
        <f t="shared" si="28"/>
        <v>0</v>
      </c>
      <c r="AC156" s="6">
        <f t="shared" si="29"/>
        <v>1</v>
      </c>
      <c r="AD156" s="563">
        <f t="shared" si="32"/>
        <v>1</v>
      </c>
      <c r="AE156" s="64"/>
      <c r="AF156" s="31">
        <v>69000</v>
      </c>
      <c r="AG156" s="31">
        <v>3000</v>
      </c>
      <c r="AH156" s="31">
        <v>0</v>
      </c>
      <c r="AI156" s="31">
        <v>0</v>
      </c>
      <c r="AJ156" s="31">
        <v>72000</v>
      </c>
      <c r="AK156" s="31">
        <v>72000</v>
      </c>
      <c r="AL156" s="31">
        <v>0</v>
      </c>
      <c r="AM156" s="56">
        <v>72000</v>
      </c>
      <c r="AN156" s="31">
        <v>72000</v>
      </c>
      <c r="AO156" s="31" t="s">
        <v>1568</v>
      </c>
      <c r="AP156" s="23" t="s">
        <v>187</v>
      </c>
      <c r="AQ156" s="23" t="s">
        <v>1284</v>
      </c>
    </row>
    <row r="157" spans="1:43">
      <c r="A157" s="41">
        <v>154</v>
      </c>
      <c r="B157" s="41">
        <v>107</v>
      </c>
      <c r="C157" s="574" t="str">
        <f t="shared" si="22"/>
        <v>メゾン雑司ヶ谷</v>
      </c>
      <c r="D157" s="45" t="s">
        <v>1807</v>
      </c>
      <c r="E157" s="46">
        <v>18.47</v>
      </c>
      <c r="F157" s="324">
        <v>631</v>
      </c>
      <c r="G157" s="566" t="str">
        <f t="shared" si="23"/>
        <v>住居</v>
      </c>
      <c r="H157" s="44" t="s">
        <v>1709</v>
      </c>
      <c r="I157" s="325">
        <v>60000</v>
      </c>
      <c r="J157" s="325">
        <v>3000</v>
      </c>
      <c r="K157" s="325">
        <v>0</v>
      </c>
      <c r="L157" s="325">
        <v>0</v>
      </c>
      <c r="M157" s="565">
        <f t="shared" si="30"/>
        <v>63000</v>
      </c>
      <c r="N157" s="326">
        <v>63000</v>
      </c>
      <c r="O157" s="326">
        <v>0</v>
      </c>
      <c r="P157" s="565">
        <f t="shared" si="24"/>
        <v>63000</v>
      </c>
      <c r="Q157" s="565">
        <f t="shared" si="31"/>
        <v>63000</v>
      </c>
      <c r="R157" s="325" t="s">
        <v>1568</v>
      </c>
      <c r="S157" s="325" t="s">
        <v>187</v>
      </c>
      <c r="T157" s="327" t="s">
        <v>1284</v>
      </c>
      <c r="V157" s="43" t="s">
        <v>1808</v>
      </c>
      <c r="W157" s="55">
        <v>65000</v>
      </c>
      <c r="Y157" s="6">
        <f t="shared" si="25"/>
        <v>1</v>
      </c>
      <c r="Z157" s="562">
        <f t="shared" si="26"/>
        <v>63000</v>
      </c>
      <c r="AA157" s="122">
        <f t="shared" si="27"/>
        <v>0</v>
      </c>
      <c r="AB157" s="122">
        <f t="shared" si="28"/>
        <v>-2000</v>
      </c>
      <c r="AC157" s="6">
        <f t="shared" si="29"/>
        <v>1</v>
      </c>
      <c r="AD157" s="563">
        <f t="shared" si="32"/>
        <v>1</v>
      </c>
      <c r="AE157" s="64"/>
      <c r="AF157" s="31">
        <v>60000</v>
      </c>
      <c r="AG157" s="31">
        <v>3000</v>
      </c>
      <c r="AH157" s="31">
        <v>0</v>
      </c>
      <c r="AI157" s="31">
        <v>0</v>
      </c>
      <c r="AJ157" s="31">
        <v>63000</v>
      </c>
      <c r="AK157" s="31">
        <v>63000</v>
      </c>
      <c r="AL157" s="31">
        <v>0</v>
      </c>
      <c r="AM157" s="56">
        <v>63000</v>
      </c>
      <c r="AN157" s="31">
        <v>63000</v>
      </c>
      <c r="AO157" s="31" t="s">
        <v>1568</v>
      </c>
      <c r="AP157" s="23" t="s">
        <v>187</v>
      </c>
      <c r="AQ157" s="23" t="s">
        <v>1284</v>
      </c>
    </row>
    <row r="158" spans="1:43">
      <c r="A158" s="41">
        <v>155</v>
      </c>
      <c r="B158" s="41">
        <v>107</v>
      </c>
      <c r="C158" s="574" t="str">
        <f t="shared" si="22"/>
        <v>メゾン雑司ヶ谷</v>
      </c>
      <c r="D158" s="45" t="s">
        <v>1589</v>
      </c>
      <c r="E158" s="46">
        <v>19.54</v>
      </c>
      <c r="F158" s="324">
        <v>631</v>
      </c>
      <c r="G158" s="566" t="str">
        <f t="shared" si="23"/>
        <v>住居</v>
      </c>
      <c r="H158" s="44" t="s">
        <v>1709</v>
      </c>
      <c r="I158" s="325">
        <v>57000</v>
      </c>
      <c r="J158" s="325">
        <v>3000</v>
      </c>
      <c r="K158" s="325">
        <v>0</v>
      </c>
      <c r="L158" s="325">
        <v>0</v>
      </c>
      <c r="M158" s="565">
        <f t="shared" si="30"/>
        <v>60000</v>
      </c>
      <c r="N158" s="326">
        <v>60000</v>
      </c>
      <c r="O158" s="326">
        <v>0</v>
      </c>
      <c r="P158" s="565">
        <f t="shared" si="24"/>
        <v>60000</v>
      </c>
      <c r="Q158" s="565">
        <f t="shared" si="31"/>
        <v>60000</v>
      </c>
      <c r="R158" s="325" t="s">
        <v>1568</v>
      </c>
      <c r="S158" s="325" t="s">
        <v>187</v>
      </c>
      <c r="T158" s="327" t="s">
        <v>1284</v>
      </c>
      <c r="V158" s="43" t="s">
        <v>1809</v>
      </c>
      <c r="W158" s="55">
        <v>60000</v>
      </c>
      <c r="Y158" s="6">
        <f t="shared" si="25"/>
        <v>1</v>
      </c>
      <c r="Z158" s="562">
        <f t="shared" si="26"/>
        <v>60000</v>
      </c>
      <c r="AA158" s="122">
        <f t="shared" si="27"/>
        <v>0</v>
      </c>
      <c r="AB158" s="122">
        <f t="shared" si="28"/>
        <v>0</v>
      </c>
      <c r="AC158" s="6">
        <f t="shared" si="29"/>
        <v>1</v>
      </c>
      <c r="AD158" s="563">
        <f t="shared" si="32"/>
        <v>1</v>
      </c>
      <c r="AE158" s="64"/>
      <c r="AF158" s="31">
        <v>57000</v>
      </c>
      <c r="AG158" s="31">
        <v>3000</v>
      </c>
      <c r="AH158" s="31">
        <v>0</v>
      </c>
      <c r="AI158" s="31">
        <v>0</v>
      </c>
      <c r="AJ158" s="31">
        <v>60000</v>
      </c>
      <c r="AK158" s="31">
        <v>60000</v>
      </c>
      <c r="AL158" s="31">
        <v>0</v>
      </c>
      <c r="AM158" s="56">
        <v>60000</v>
      </c>
      <c r="AN158" s="31">
        <v>60000</v>
      </c>
      <c r="AO158" s="31" t="s">
        <v>1568</v>
      </c>
      <c r="AP158" s="23" t="s">
        <v>187</v>
      </c>
      <c r="AQ158" s="23" t="s">
        <v>1284</v>
      </c>
    </row>
    <row r="159" spans="1:43">
      <c r="A159" s="41">
        <v>156</v>
      </c>
      <c r="B159" s="41">
        <v>107</v>
      </c>
      <c r="C159" s="574" t="str">
        <f t="shared" si="22"/>
        <v>メゾン雑司ヶ谷</v>
      </c>
      <c r="D159" s="45" t="s">
        <v>1591</v>
      </c>
      <c r="E159" s="46">
        <v>18.47</v>
      </c>
      <c r="F159" s="324">
        <v>631</v>
      </c>
      <c r="G159" s="566" t="str">
        <f t="shared" si="23"/>
        <v>住居</v>
      </c>
      <c r="H159" s="44" t="s">
        <v>1709</v>
      </c>
      <c r="I159" s="325">
        <v>58000</v>
      </c>
      <c r="J159" s="325">
        <v>0</v>
      </c>
      <c r="K159" s="325">
        <v>0</v>
      </c>
      <c r="L159" s="325">
        <v>0</v>
      </c>
      <c r="M159" s="565">
        <f t="shared" si="30"/>
        <v>58000</v>
      </c>
      <c r="N159" s="326">
        <v>58000</v>
      </c>
      <c r="O159" s="326">
        <v>0</v>
      </c>
      <c r="P159" s="565">
        <f t="shared" si="24"/>
        <v>58000</v>
      </c>
      <c r="Q159" s="565">
        <f t="shared" si="31"/>
        <v>58000</v>
      </c>
      <c r="R159" s="325" t="s">
        <v>1568</v>
      </c>
      <c r="S159" s="325" t="s">
        <v>187</v>
      </c>
      <c r="T159" s="327" t="s">
        <v>1284</v>
      </c>
      <c r="V159" s="43" t="s">
        <v>1810</v>
      </c>
      <c r="W159" s="55">
        <v>58000</v>
      </c>
      <c r="Y159" s="6">
        <f t="shared" si="25"/>
        <v>1</v>
      </c>
      <c r="Z159" s="562">
        <f t="shared" si="26"/>
        <v>58000</v>
      </c>
      <c r="AA159" s="122">
        <f t="shared" si="27"/>
        <v>0</v>
      </c>
      <c r="AB159" s="122">
        <f t="shared" si="28"/>
        <v>0</v>
      </c>
      <c r="AC159" s="6">
        <f t="shared" si="29"/>
        <v>1</v>
      </c>
      <c r="AD159" s="563">
        <f t="shared" si="32"/>
        <v>1</v>
      </c>
      <c r="AE159" s="64"/>
      <c r="AF159" s="31">
        <v>58000</v>
      </c>
      <c r="AG159" s="31">
        <v>0</v>
      </c>
      <c r="AH159" s="31">
        <v>0</v>
      </c>
      <c r="AI159" s="31">
        <v>0</v>
      </c>
      <c r="AJ159" s="31">
        <v>58000</v>
      </c>
      <c r="AK159" s="31">
        <v>58000</v>
      </c>
      <c r="AL159" s="31">
        <v>0</v>
      </c>
      <c r="AM159" s="56">
        <v>58000</v>
      </c>
      <c r="AN159" s="31">
        <v>58000</v>
      </c>
      <c r="AO159" s="31" t="s">
        <v>1568</v>
      </c>
      <c r="AP159" s="23" t="s">
        <v>187</v>
      </c>
      <c r="AQ159" s="23" t="s">
        <v>1284</v>
      </c>
    </row>
    <row r="160" spans="1:43">
      <c r="A160" s="41">
        <v>157</v>
      </c>
      <c r="B160" s="41">
        <v>107</v>
      </c>
      <c r="C160" s="574" t="str">
        <f t="shared" si="22"/>
        <v>メゾン雑司ヶ谷</v>
      </c>
      <c r="D160" s="45" t="s">
        <v>1593</v>
      </c>
      <c r="E160" s="46">
        <v>27.28</v>
      </c>
      <c r="F160" s="324">
        <v>631</v>
      </c>
      <c r="G160" s="566" t="str">
        <f t="shared" si="23"/>
        <v>住居</v>
      </c>
      <c r="H160" s="44" t="s">
        <v>1811</v>
      </c>
      <c r="I160" s="325">
        <v>82000</v>
      </c>
      <c r="J160" s="325">
        <v>3000</v>
      </c>
      <c r="K160" s="325">
        <v>0</v>
      </c>
      <c r="L160" s="325">
        <v>0</v>
      </c>
      <c r="M160" s="565">
        <f t="shared" si="30"/>
        <v>85000</v>
      </c>
      <c r="N160" s="326">
        <v>85000</v>
      </c>
      <c r="O160" s="326">
        <v>0</v>
      </c>
      <c r="P160" s="565">
        <f t="shared" si="24"/>
        <v>85000</v>
      </c>
      <c r="Q160" s="565">
        <f t="shared" si="31"/>
        <v>85000</v>
      </c>
      <c r="R160" s="325" t="s">
        <v>1578</v>
      </c>
      <c r="S160" s="325" t="s">
        <v>187</v>
      </c>
      <c r="T160" s="327" t="s">
        <v>1284</v>
      </c>
      <c r="V160" s="43" t="s">
        <v>1812</v>
      </c>
      <c r="W160" s="55">
        <v>88000</v>
      </c>
      <c r="Y160" s="6">
        <f t="shared" si="25"/>
        <v>1</v>
      </c>
      <c r="Z160" s="562">
        <f t="shared" si="26"/>
        <v>85000</v>
      </c>
      <c r="AA160" s="122">
        <f t="shared" si="27"/>
        <v>0</v>
      </c>
      <c r="AB160" s="122">
        <f t="shared" si="28"/>
        <v>-3000</v>
      </c>
      <c r="AC160" s="6">
        <f t="shared" si="29"/>
        <v>1</v>
      </c>
      <c r="AD160" s="563">
        <f t="shared" si="32"/>
        <v>1</v>
      </c>
      <c r="AE160" s="64"/>
      <c r="AF160" s="31">
        <v>82000</v>
      </c>
      <c r="AG160" s="31">
        <v>3000</v>
      </c>
      <c r="AH160" s="31">
        <v>0</v>
      </c>
      <c r="AI160" s="31">
        <v>0</v>
      </c>
      <c r="AJ160" s="31">
        <v>85000</v>
      </c>
      <c r="AK160" s="31">
        <v>85000</v>
      </c>
      <c r="AL160" s="31">
        <v>0</v>
      </c>
      <c r="AM160" s="56">
        <v>85000</v>
      </c>
      <c r="AN160" s="31">
        <v>85000</v>
      </c>
      <c r="AO160" s="31" t="s">
        <v>1578</v>
      </c>
      <c r="AP160" s="23" t="s">
        <v>187</v>
      </c>
      <c r="AQ160" s="23" t="s">
        <v>1284</v>
      </c>
    </row>
    <row r="161" spans="1:43">
      <c r="A161" s="41">
        <v>158</v>
      </c>
      <c r="B161" s="41">
        <v>107</v>
      </c>
      <c r="C161" s="574" t="str">
        <f t="shared" si="22"/>
        <v>メゾン雑司ヶ谷</v>
      </c>
      <c r="D161" s="45" t="s">
        <v>1595</v>
      </c>
      <c r="E161" s="46">
        <v>17.47</v>
      </c>
      <c r="F161" s="324">
        <v>631</v>
      </c>
      <c r="G161" s="566" t="str">
        <f t="shared" si="23"/>
        <v>住居</v>
      </c>
      <c r="H161" s="44" t="s">
        <v>1709</v>
      </c>
      <c r="I161" s="325">
        <v>59000</v>
      </c>
      <c r="J161" s="325">
        <v>3000</v>
      </c>
      <c r="K161" s="325">
        <v>0</v>
      </c>
      <c r="L161" s="325">
        <v>0</v>
      </c>
      <c r="M161" s="565">
        <f t="shared" si="30"/>
        <v>62000</v>
      </c>
      <c r="N161" s="326">
        <v>62000</v>
      </c>
      <c r="O161" s="326">
        <v>0</v>
      </c>
      <c r="P161" s="565">
        <f t="shared" si="24"/>
        <v>62000</v>
      </c>
      <c r="Q161" s="565">
        <f t="shared" si="31"/>
        <v>62000</v>
      </c>
      <c r="R161" s="325" t="s">
        <v>1568</v>
      </c>
      <c r="S161" s="325" t="s">
        <v>187</v>
      </c>
      <c r="T161" s="327" t="s">
        <v>1284</v>
      </c>
      <c r="V161" s="43" t="s">
        <v>1813</v>
      </c>
      <c r="W161" s="55">
        <v>62000</v>
      </c>
      <c r="Y161" s="6">
        <f t="shared" si="25"/>
        <v>1</v>
      </c>
      <c r="Z161" s="562">
        <f t="shared" si="26"/>
        <v>62000</v>
      </c>
      <c r="AA161" s="122">
        <f t="shared" si="27"/>
        <v>0</v>
      </c>
      <c r="AB161" s="122">
        <f t="shared" si="28"/>
        <v>0</v>
      </c>
      <c r="AC161" s="6">
        <f t="shared" si="29"/>
        <v>1</v>
      </c>
      <c r="AD161" s="563">
        <f t="shared" si="32"/>
        <v>1</v>
      </c>
      <c r="AE161" s="64"/>
      <c r="AF161" s="31">
        <v>59000</v>
      </c>
      <c r="AG161" s="31">
        <v>3000</v>
      </c>
      <c r="AH161" s="31">
        <v>0</v>
      </c>
      <c r="AI161" s="31">
        <v>0</v>
      </c>
      <c r="AJ161" s="31">
        <v>62000</v>
      </c>
      <c r="AK161" s="31">
        <v>62000</v>
      </c>
      <c r="AL161" s="31">
        <v>0</v>
      </c>
      <c r="AM161" s="56">
        <v>62000</v>
      </c>
      <c r="AN161" s="31">
        <v>62000</v>
      </c>
      <c r="AO161" s="31" t="s">
        <v>1568</v>
      </c>
      <c r="AP161" s="23" t="s">
        <v>187</v>
      </c>
      <c r="AQ161" s="23" t="s">
        <v>1284</v>
      </c>
    </row>
    <row r="162" spans="1:43">
      <c r="A162" s="41">
        <v>159</v>
      </c>
      <c r="B162" s="41">
        <v>107</v>
      </c>
      <c r="C162" s="574" t="str">
        <f t="shared" si="22"/>
        <v>メゾン雑司ヶ谷</v>
      </c>
      <c r="D162" s="45" t="s">
        <v>1597</v>
      </c>
      <c r="E162" s="46">
        <v>16.96</v>
      </c>
      <c r="F162" s="324">
        <v>631</v>
      </c>
      <c r="G162" s="566" t="str">
        <f t="shared" si="23"/>
        <v>住居</v>
      </c>
      <c r="H162" s="44" t="s">
        <v>1709</v>
      </c>
      <c r="I162" s="325">
        <v>53700</v>
      </c>
      <c r="J162" s="325">
        <v>5000</v>
      </c>
      <c r="K162" s="325">
        <v>0</v>
      </c>
      <c r="L162" s="325">
        <v>0</v>
      </c>
      <c r="M162" s="565">
        <f t="shared" si="30"/>
        <v>58700</v>
      </c>
      <c r="N162" s="326">
        <v>58700</v>
      </c>
      <c r="O162" s="326">
        <v>0</v>
      </c>
      <c r="P162" s="565">
        <f t="shared" si="24"/>
        <v>58700</v>
      </c>
      <c r="Q162" s="565">
        <f t="shared" si="31"/>
        <v>58700</v>
      </c>
      <c r="R162" s="325" t="s">
        <v>1568</v>
      </c>
      <c r="S162" s="325" t="s">
        <v>187</v>
      </c>
      <c r="T162" s="327" t="s">
        <v>1284</v>
      </c>
      <c r="V162" s="43" t="s">
        <v>1814</v>
      </c>
      <c r="W162" s="55">
        <v>59000</v>
      </c>
      <c r="Y162" s="6">
        <f t="shared" si="25"/>
        <v>1</v>
      </c>
      <c r="Z162" s="562">
        <f t="shared" si="26"/>
        <v>58700</v>
      </c>
      <c r="AA162" s="122">
        <f t="shared" si="27"/>
        <v>0</v>
      </c>
      <c r="AB162" s="122">
        <f t="shared" si="28"/>
        <v>-300</v>
      </c>
      <c r="AC162" s="6">
        <f t="shared" si="29"/>
        <v>1</v>
      </c>
      <c r="AD162" s="563">
        <f t="shared" si="32"/>
        <v>1</v>
      </c>
      <c r="AE162" s="64"/>
      <c r="AF162" s="31">
        <v>53700</v>
      </c>
      <c r="AG162" s="31">
        <v>5000</v>
      </c>
      <c r="AH162" s="31">
        <v>0</v>
      </c>
      <c r="AI162" s="31">
        <v>0</v>
      </c>
      <c r="AJ162" s="31">
        <v>58700</v>
      </c>
      <c r="AK162" s="31">
        <v>58700</v>
      </c>
      <c r="AL162" s="31">
        <v>0</v>
      </c>
      <c r="AM162" s="56">
        <v>58700</v>
      </c>
      <c r="AN162" s="31">
        <v>58700</v>
      </c>
      <c r="AO162" s="31" t="s">
        <v>1568</v>
      </c>
      <c r="AP162" s="23" t="s">
        <v>187</v>
      </c>
      <c r="AQ162" s="23" t="s">
        <v>1284</v>
      </c>
    </row>
    <row r="163" spans="1:43">
      <c r="A163" s="41">
        <v>160</v>
      </c>
      <c r="B163" s="41">
        <v>107</v>
      </c>
      <c r="C163" s="574" t="str">
        <f t="shared" si="22"/>
        <v>メゾン雑司ヶ谷</v>
      </c>
      <c r="D163" s="45" t="s">
        <v>1599</v>
      </c>
      <c r="E163" s="46">
        <v>18.47</v>
      </c>
      <c r="F163" s="324">
        <v>631</v>
      </c>
      <c r="G163" s="566" t="str">
        <f t="shared" si="23"/>
        <v>住居</v>
      </c>
      <c r="H163" s="44" t="s">
        <v>1709</v>
      </c>
      <c r="I163" s="325">
        <v>63000</v>
      </c>
      <c r="J163" s="325">
        <v>3000</v>
      </c>
      <c r="K163" s="325">
        <v>0</v>
      </c>
      <c r="L163" s="325">
        <v>0</v>
      </c>
      <c r="M163" s="565">
        <f t="shared" si="30"/>
        <v>66000</v>
      </c>
      <c r="N163" s="326">
        <v>66000</v>
      </c>
      <c r="O163" s="326">
        <v>0</v>
      </c>
      <c r="P163" s="565">
        <f t="shared" si="24"/>
        <v>66000</v>
      </c>
      <c r="Q163" s="565">
        <f t="shared" si="31"/>
        <v>66000</v>
      </c>
      <c r="R163" s="325" t="s">
        <v>1568</v>
      </c>
      <c r="S163" s="325" t="s">
        <v>187</v>
      </c>
      <c r="T163" s="327" t="s">
        <v>1284</v>
      </c>
      <c r="V163" s="43" t="s">
        <v>1815</v>
      </c>
      <c r="W163" s="55">
        <v>66000</v>
      </c>
      <c r="Y163" s="6">
        <f t="shared" si="25"/>
        <v>1</v>
      </c>
      <c r="Z163" s="562">
        <f t="shared" si="26"/>
        <v>66000</v>
      </c>
      <c r="AA163" s="122">
        <f t="shared" si="27"/>
        <v>0</v>
      </c>
      <c r="AB163" s="122">
        <f t="shared" si="28"/>
        <v>0</v>
      </c>
      <c r="AC163" s="6">
        <f t="shared" si="29"/>
        <v>1</v>
      </c>
      <c r="AD163" s="563">
        <f t="shared" si="32"/>
        <v>1</v>
      </c>
      <c r="AE163" s="64"/>
      <c r="AF163" s="31">
        <v>63000</v>
      </c>
      <c r="AG163" s="31">
        <v>3000</v>
      </c>
      <c r="AH163" s="31">
        <v>0</v>
      </c>
      <c r="AI163" s="31">
        <v>0</v>
      </c>
      <c r="AJ163" s="31">
        <v>66000</v>
      </c>
      <c r="AK163" s="31">
        <v>66000</v>
      </c>
      <c r="AL163" s="31">
        <v>0</v>
      </c>
      <c r="AM163" s="56">
        <v>66000</v>
      </c>
      <c r="AN163" s="31">
        <v>66000</v>
      </c>
      <c r="AO163" s="31" t="s">
        <v>1568</v>
      </c>
      <c r="AP163" s="23" t="s">
        <v>187</v>
      </c>
      <c r="AQ163" s="23" t="s">
        <v>1284</v>
      </c>
    </row>
    <row r="164" spans="1:43">
      <c r="A164" s="41">
        <v>161</v>
      </c>
      <c r="B164" s="41">
        <v>107</v>
      </c>
      <c r="C164" s="574" t="str">
        <f t="shared" si="22"/>
        <v>メゾン雑司ヶ谷</v>
      </c>
      <c r="D164" s="45" t="s">
        <v>1601</v>
      </c>
      <c r="E164" s="46">
        <v>18.47</v>
      </c>
      <c r="F164" s="324">
        <v>631</v>
      </c>
      <c r="G164" s="566" t="str">
        <f t="shared" si="23"/>
        <v>住居</v>
      </c>
      <c r="H164" s="44" t="s">
        <v>1709</v>
      </c>
      <c r="I164" s="325">
        <v>59000</v>
      </c>
      <c r="J164" s="325">
        <v>3000</v>
      </c>
      <c r="K164" s="325">
        <v>0</v>
      </c>
      <c r="L164" s="325">
        <v>0</v>
      </c>
      <c r="M164" s="565">
        <f t="shared" si="30"/>
        <v>62000</v>
      </c>
      <c r="N164" s="326">
        <v>62000</v>
      </c>
      <c r="O164" s="326">
        <v>0</v>
      </c>
      <c r="P164" s="565">
        <f t="shared" si="24"/>
        <v>62000</v>
      </c>
      <c r="Q164" s="565">
        <f t="shared" si="31"/>
        <v>62000</v>
      </c>
      <c r="R164" s="325" t="s">
        <v>1568</v>
      </c>
      <c r="S164" s="325" t="s">
        <v>187</v>
      </c>
      <c r="T164" s="327" t="s">
        <v>1284</v>
      </c>
      <c r="V164" s="43" t="s">
        <v>1816</v>
      </c>
      <c r="W164" s="55">
        <v>60000</v>
      </c>
      <c r="Y164" s="6">
        <f t="shared" si="25"/>
        <v>1</v>
      </c>
      <c r="Z164" s="562">
        <f t="shared" si="26"/>
        <v>62000</v>
      </c>
      <c r="AA164" s="122">
        <f t="shared" si="27"/>
        <v>0</v>
      </c>
      <c r="AB164" s="122">
        <f t="shared" si="28"/>
        <v>2000</v>
      </c>
      <c r="AC164" s="6">
        <f t="shared" si="29"/>
        <v>1</v>
      </c>
      <c r="AD164" s="563">
        <f t="shared" si="32"/>
        <v>1</v>
      </c>
      <c r="AE164" s="64"/>
      <c r="AF164" s="31">
        <v>59000</v>
      </c>
      <c r="AG164" s="31">
        <v>3000</v>
      </c>
      <c r="AH164" s="31">
        <v>0</v>
      </c>
      <c r="AI164" s="31">
        <v>0</v>
      </c>
      <c r="AJ164" s="31">
        <v>62000</v>
      </c>
      <c r="AK164" s="31">
        <v>62000</v>
      </c>
      <c r="AL164" s="31">
        <v>0</v>
      </c>
      <c r="AM164" s="56">
        <v>62000</v>
      </c>
      <c r="AN164" s="31">
        <v>62000</v>
      </c>
      <c r="AO164" s="31" t="s">
        <v>1568</v>
      </c>
      <c r="AP164" s="23" t="s">
        <v>187</v>
      </c>
      <c r="AQ164" s="23" t="s">
        <v>1284</v>
      </c>
    </row>
    <row r="165" spans="1:43">
      <c r="A165" s="41">
        <v>162</v>
      </c>
      <c r="B165" s="41">
        <v>107</v>
      </c>
      <c r="C165" s="574" t="str">
        <f t="shared" si="22"/>
        <v>メゾン雑司ヶ谷</v>
      </c>
      <c r="D165" s="45" t="s">
        <v>1659</v>
      </c>
      <c r="E165" s="46">
        <v>19.54</v>
      </c>
      <c r="F165" s="324">
        <v>631</v>
      </c>
      <c r="G165" s="566" t="str">
        <f t="shared" si="23"/>
        <v>住居</v>
      </c>
      <c r="H165" s="44" t="s">
        <v>1709</v>
      </c>
      <c r="I165" s="325">
        <v>59000</v>
      </c>
      <c r="J165" s="325">
        <v>2000</v>
      </c>
      <c r="K165" s="325">
        <v>0</v>
      </c>
      <c r="L165" s="325">
        <v>0</v>
      </c>
      <c r="M165" s="565">
        <f t="shared" si="30"/>
        <v>61000</v>
      </c>
      <c r="N165" s="326">
        <v>61000</v>
      </c>
      <c r="O165" s="326">
        <v>0</v>
      </c>
      <c r="P165" s="565">
        <f t="shared" si="24"/>
        <v>61000</v>
      </c>
      <c r="Q165" s="565">
        <f t="shared" si="31"/>
        <v>61000</v>
      </c>
      <c r="R165" s="325" t="s">
        <v>1568</v>
      </c>
      <c r="S165" s="325" t="s">
        <v>187</v>
      </c>
      <c r="T165" s="327" t="s">
        <v>1284</v>
      </c>
      <c r="V165" s="43" t="s">
        <v>1817</v>
      </c>
      <c r="W165" s="55">
        <v>62000</v>
      </c>
      <c r="Y165" s="6">
        <f t="shared" si="25"/>
        <v>1</v>
      </c>
      <c r="Z165" s="562">
        <f t="shared" si="26"/>
        <v>61000</v>
      </c>
      <c r="AA165" s="122">
        <f t="shared" si="27"/>
        <v>0</v>
      </c>
      <c r="AB165" s="122">
        <f t="shared" si="28"/>
        <v>-1000</v>
      </c>
      <c r="AC165" s="6">
        <f t="shared" si="29"/>
        <v>1</v>
      </c>
      <c r="AD165" s="563">
        <f t="shared" si="32"/>
        <v>1</v>
      </c>
      <c r="AE165" s="64"/>
      <c r="AF165" s="31">
        <v>59000</v>
      </c>
      <c r="AG165" s="31">
        <v>2000</v>
      </c>
      <c r="AH165" s="31">
        <v>0</v>
      </c>
      <c r="AI165" s="31">
        <v>0</v>
      </c>
      <c r="AJ165" s="31">
        <v>61000</v>
      </c>
      <c r="AK165" s="31">
        <v>61000</v>
      </c>
      <c r="AL165" s="31">
        <v>0</v>
      </c>
      <c r="AM165" s="56">
        <v>61000</v>
      </c>
      <c r="AN165" s="31">
        <v>61000</v>
      </c>
      <c r="AO165" s="31" t="s">
        <v>1568</v>
      </c>
      <c r="AP165" s="23" t="s">
        <v>187</v>
      </c>
      <c r="AQ165" s="23" t="s">
        <v>1284</v>
      </c>
    </row>
    <row r="166" spans="1:43">
      <c r="A166" s="41">
        <v>163</v>
      </c>
      <c r="B166" s="41">
        <v>107</v>
      </c>
      <c r="C166" s="574" t="str">
        <f t="shared" si="22"/>
        <v>メゾン雑司ヶ谷</v>
      </c>
      <c r="D166" s="45" t="s">
        <v>1661</v>
      </c>
      <c r="E166" s="46">
        <v>18.47</v>
      </c>
      <c r="F166" s="324">
        <v>631</v>
      </c>
      <c r="G166" s="566" t="str">
        <f t="shared" si="23"/>
        <v>住居</v>
      </c>
      <c r="H166" s="44" t="s">
        <v>1709</v>
      </c>
      <c r="I166" s="325">
        <v>60000</v>
      </c>
      <c r="J166" s="325">
        <v>3000</v>
      </c>
      <c r="K166" s="325">
        <v>0</v>
      </c>
      <c r="L166" s="325">
        <v>0</v>
      </c>
      <c r="M166" s="565">
        <f t="shared" si="30"/>
        <v>63000</v>
      </c>
      <c r="N166" s="326">
        <v>61000</v>
      </c>
      <c r="O166" s="326">
        <v>0</v>
      </c>
      <c r="P166" s="565">
        <f t="shared" si="24"/>
        <v>61000</v>
      </c>
      <c r="Q166" s="565">
        <f t="shared" si="31"/>
        <v>63000</v>
      </c>
      <c r="R166" s="325" t="s">
        <v>1818</v>
      </c>
      <c r="S166" s="325" t="s">
        <v>187</v>
      </c>
      <c r="T166" s="327" t="s">
        <v>1284</v>
      </c>
      <c r="V166" s="43" t="s">
        <v>1819</v>
      </c>
      <c r="W166" s="55">
        <v>63000</v>
      </c>
      <c r="Y166" s="6">
        <f t="shared" si="25"/>
        <v>1</v>
      </c>
      <c r="Z166" s="562">
        <f t="shared" si="26"/>
        <v>63000</v>
      </c>
      <c r="AA166" s="122">
        <f t="shared" si="27"/>
        <v>-2000</v>
      </c>
      <c r="AB166" s="122">
        <f t="shared" si="28"/>
        <v>0</v>
      </c>
      <c r="AC166" s="6">
        <f t="shared" si="29"/>
        <v>1</v>
      </c>
      <c r="AD166" s="563">
        <f t="shared" si="32"/>
        <v>1</v>
      </c>
      <c r="AE166" s="64"/>
      <c r="AF166" s="31">
        <v>60000</v>
      </c>
      <c r="AG166" s="31">
        <v>3000</v>
      </c>
      <c r="AH166" s="31">
        <v>0</v>
      </c>
      <c r="AI166" s="31">
        <v>0</v>
      </c>
      <c r="AJ166" s="31">
        <v>63000</v>
      </c>
      <c r="AK166" s="31">
        <v>61000</v>
      </c>
      <c r="AL166" s="31">
        <v>0</v>
      </c>
      <c r="AM166" s="56">
        <v>61000</v>
      </c>
      <c r="AN166" s="31">
        <v>63000</v>
      </c>
      <c r="AO166" s="31" t="s">
        <v>1818</v>
      </c>
      <c r="AP166" s="23" t="s">
        <v>187</v>
      </c>
      <c r="AQ166" s="23" t="s">
        <v>1284</v>
      </c>
    </row>
    <row r="167" spans="1:43">
      <c r="A167" s="41">
        <v>164</v>
      </c>
      <c r="B167" s="41">
        <v>107</v>
      </c>
      <c r="C167" s="574" t="str">
        <f t="shared" si="22"/>
        <v>メゾン雑司ヶ谷</v>
      </c>
      <c r="D167" s="45" t="s">
        <v>1663</v>
      </c>
      <c r="E167" s="46">
        <v>16.2</v>
      </c>
      <c r="F167" s="324">
        <v>631</v>
      </c>
      <c r="G167" s="566" t="str">
        <f t="shared" si="23"/>
        <v>住居</v>
      </c>
      <c r="H167" s="44" t="s">
        <v>1709</v>
      </c>
      <c r="I167" s="325">
        <v>59000</v>
      </c>
      <c r="J167" s="325">
        <v>0</v>
      </c>
      <c r="K167" s="325">
        <v>0</v>
      </c>
      <c r="L167" s="325">
        <v>0</v>
      </c>
      <c r="M167" s="565">
        <f t="shared" si="30"/>
        <v>59000</v>
      </c>
      <c r="N167" s="326">
        <v>59000</v>
      </c>
      <c r="O167" s="326">
        <v>0</v>
      </c>
      <c r="P167" s="565">
        <f t="shared" si="24"/>
        <v>59000</v>
      </c>
      <c r="Q167" s="565">
        <f t="shared" si="31"/>
        <v>59000</v>
      </c>
      <c r="R167" s="325" t="s">
        <v>1568</v>
      </c>
      <c r="S167" s="325" t="s">
        <v>187</v>
      </c>
      <c r="T167" s="327" t="s">
        <v>1284</v>
      </c>
      <c r="V167" s="43" t="s">
        <v>1820</v>
      </c>
      <c r="W167" s="55">
        <v>59000</v>
      </c>
      <c r="Y167" s="6">
        <f t="shared" si="25"/>
        <v>1</v>
      </c>
      <c r="Z167" s="562">
        <f t="shared" si="26"/>
        <v>59000</v>
      </c>
      <c r="AA167" s="122">
        <f t="shared" si="27"/>
        <v>0</v>
      </c>
      <c r="AB167" s="122">
        <f t="shared" si="28"/>
        <v>0</v>
      </c>
      <c r="AC167" s="6">
        <f t="shared" si="29"/>
        <v>1</v>
      </c>
      <c r="AD167" s="563">
        <f t="shared" si="32"/>
        <v>1</v>
      </c>
      <c r="AE167" s="64"/>
      <c r="AF167" s="31">
        <v>59000</v>
      </c>
      <c r="AG167" s="31">
        <v>0</v>
      </c>
      <c r="AH167" s="31">
        <v>0</v>
      </c>
      <c r="AI167" s="31">
        <v>0</v>
      </c>
      <c r="AJ167" s="31">
        <v>59000</v>
      </c>
      <c r="AK167" s="31">
        <v>59000</v>
      </c>
      <c r="AL167" s="31">
        <v>0</v>
      </c>
      <c r="AM167" s="56">
        <v>59000</v>
      </c>
      <c r="AN167" s="31">
        <v>59000</v>
      </c>
      <c r="AO167" s="31" t="s">
        <v>1568</v>
      </c>
      <c r="AP167" s="23" t="s">
        <v>187</v>
      </c>
      <c r="AQ167" s="23" t="s">
        <v>1284</v>
      </c>
    </row>
    <row r="168" spans="1:43">
      <c r="A168" s="41">
        <v>165</v>
      </c>
      <c r="B168" s="41">
        <v>107</v>
      </c>
      <c r="C168" s="574" t="str">
        <f t="shared" si="22"/>
        <v>メゾン雑司ヶ谷</v>
      </c>
      <c r="D168" s="45" t="s">
        <v>1821</v>
      </c>
      <c r="E168" s="46">
        <v>430</v>
      </c>
      <c r="F168" s="324">
        <v>633</v>
      </c>
      <c r="G168" s="566" t="str">
        <f t="shared" si="23"/>
        <v>店舗</v>
      </c>
      <c r="H168" s="44" t="s">
        <v>1706</v>
      </c>
      <c r="I168" s="325">
        <v>1000000</v>
      </c>
      <c r="J168" s="325">
        <v>0</v>
      </c>
      <c r="K168" s="325">
        <v>0</v>
      </c>
      <c r="L168" s="325">
        <v>100000</v>
      </c>
      <c r="M168" s="565">
        <f t="shared" si="30"/>
        <v>1100000</v>
      </c>
      <c r="N168" s="326">
        <v>1000000</v>
      </c>
      <c r="O168" s="326">
        <v>100000</v>
      </c>
      <c r="P168" s="565">
        <f t="shared" si="24"/>
        <v>1100000</v>
      </c>
      <c r="Q168" s="565">
        <f t="shared" si="31"/>
        <v>1100000</v>
      </c>
      <c r="R168" s="325" t="s">
        <v>1575</v>
      </c>
      <c r="S168" s="325" t="s">
        <v>187</v>
      </c>
      <c r="T168" s="327" t="s">
        <v>1284</v>
      </c>
      <c r="V168" s="43" t="s">
        <v>1822</v>
      </c>
      <c r="W168" s="55">
        <v>1000000</v>
      </c>
      <c r="Y168" s="6">
        <f t="shared" si="25"/>
        <v>1</v>
      </c>
      <c r="Z168" s="562">
        <f t="shared" si="26"/>
        <v>1000000</v>
      </c>
      <c r="AA168" s="122">
        <f t="shared" si="27"/>
        <v>0</v>
      </c>
      <c r="AB168" s="122">
        <f t="shared" si="28"/>
        <v>0</v>
      </c>
      <c r="AC168" s="6">
        <f t="shared" si="29"/>
        <v>1</v>
      </c>
      <c r="AD168" s="563">
        <f t="shared" si="32"/>
        <v>1</v>
      </c>
      <c r="AE168" s="64"/>
      <c r="AF168" s="31">
        <v>1000000</v>
      </c>
      <c r="AG168" s="31">
        <v>0</v>
      </c>
      <c r="AH168" s="31">
        <v>0</v>
      </c>
      <c r="AI168" s="31">
        <v>100000</v>
      </c>
      <c r="AJ168" s="31">
        <v>1100000</v>
      </c>
      <c r="AK168" s="31">
        <v>1000000</v>
      </c>
      <c r="AL168" s="31">
        <v>100000</v>
      </c>
      <c r="AM168" s="56">
        <v>1100000</v>
      </c>
      <c r="AN168" s="31">
        <v>1100000</v>
      </c>
      <c r="AO168" s="31" t="s">
        <v>1575</v>
      </c>
      <c r="AP168" s="23" t="s">
        <v>187</v>
      </c>
      <c r="AQ168" s="23" t="s">
        <v>1284</v>
      </c>
    </row>
    <row r="169" spans="1:43">
      <c r="A169" s="41">
        <v>166</v>
      </c>
      <c r="B169" s="41">
        <v>107</v>
      </c>
      <c r="C169" s="574" t="str">
        <f t="shared" si="22"/>
        <v>メゾン雑司ヶ谷</v>
      </c>
      <c r="D169" s="45" t="s">
        <v>1764</v>
      </c>
      <c r="E169" s="46" t="s">
        <v>1017</v>
      </c>
      <c r="F169" s="324">
        <v>639</v>
      </c>
      <c r="G169" s="566" t="str">
        <f t="shared" si="23"/>
        <v>その他</v>
      </c>
      <c r="H169" s="46" t="s">
        <v>1789</v>
      </c>
      <c r="I169" s="325">
        <v>0</v>
      </c>
      <c r="J169" s="325">
        <v>0</v>
      </c>
      <c r="K169" s="325">
        <v>0</v>
      </c>
      <c r="L169" s="325">
        <v>0</v>
      </c>
      <c r="M169" s="565">
        <f t="shared" si="30"/>
        <v>0</v>
      </c>
      <c r="N169" s="326">
        <v>0</v>
      </c>
      <c r="O169" s="326">
        <v>0</v>
      </c>
      <c r="P169" s="565">
        <f t="shared" si="24"/>
        <v>0</v>
      </c>
      <c r="Q169" s="565">
        <f t="shared" si="31"/>
        <v>0</v>
      </c>
      <c r="R169" s="325" t="s">
        <v>1017</v>
      </c>
      <c r="S169" s="325" t="s">
        <v>283</v>
      </c>
      <c r="T169" s="327" t="s">
        <v>1765</v>
      </c>
      <c r="V169" s="43" t="s">
        <v>1823</v>
      </c>
      <c r="W169" s="55">
        <v>0</v>
      </c>
      <c r="Y169" s="6">
        <f t="shared" si="25"/>
        <v>0</v>
      </c>
      <c r="Z169" s="562">
        <f t="shared" si="26"/>
        <v>0</v>
      </c>
      <c r="AA169" s="122">
        <f t="shared" si="27"/>
        <v>0</v>
      </c>
      <c r="AB169" s="122">
        <f t="shared" si="28"/>
        <v>0</v>
      </c>
      <c r="AC169" s="6">
        <f t="shared" si="29"/>
        <v>0</v>
      </c>
      <c r="AD169" s="563">
        <f t="shared" si="32"/>
        <v>1</v>
      </c>
      <c r="AE169" s="64"/>
      <c r="AF169" s="31">
        <v>0</v>
      </c>
      <c r="AG169" s="31">
        <v>0</v>
      </c>
      <c r="AH169" s="31">
        <v>0</v>
      </c>
      <c r="AI169" s="31">
        <v>0</v>
      </c>
      <c r="AJ169" s="31">
        <v>0</v>
      </c>
      <c r="AK169" s="31">
        <v>0</v>
      </c>
      <c r="AL169" s="31">
        <v>0</v>
      </c>
      <c r="AM169" s="56">
        <v>0</v>
      </c>
      <c r="AN169" s="31">
        <v>0</v>
      </c>
      <c r="AO169" s="31" t="s">
        <v>1017</v>
      </c>
      <c r="AP169" s="23" t="s">
        <v>283</v>
      </c>
      <c r="AQ169" s="23" t="s">
        <v>1765</v>
      </c>
    </row>
    <row r="170" spans="1:43">
      <c r="A170" s="34">
        <v>167</v>
      </c>
      <c r="B170" s="34">
        <v>109</v>
      </c>
      <c r="C170" s="568" t="str">
        <f t="shared" si="22"/>
        <v>カーサ南池袋</v>
      </c>
      <c r="D170" s="45" t="s">
        <v>1566</v>
      </c>
      <c r="E170" s="46">
        <v>21.5</v>
      </c>
      <c r="F170" s="324">
        <v>631</v>
      </c>
      <c r="G170" s="566" t="str">
        <f t="shared" si="23"/>
        <v>住居</v>
      </c>
      <c r="H170" s="44" t="s">
        <v>1567</v>
      </c>
      <c r="I170" s="325">
        <v>50000</v>
      </c>
      <c r="J170" s="325">
        <v>0</v>
      </c>
      <c r="K170" s="325">
        <v>0</v>
      </c>
      <c r="L170" s="325">
        <v>0</v>
      </c>
      <c r="M170" s="565">
        <f t="shared" si="30"/>
        <v>50000</v>
      </c>
      <c r="N170" s="326">
        <v>50000</v>
      </c>
      <c r="O170" s="326">
        <v>0</v>
      </c>
      <c r="P170" s="565">
        <f t="shared" si="24"/>
        <v>50000</v>
      </c>
      <c r="Q170" s="565">
        <f t="shared" si="31"/>
        <v>50000</v>
      </c>
      <c r="R170" s="325" t="s">
        <v>1568</v>
      </c>
      <c r="S170" s="325" t="s">
        <v>187</v>
      </c>
      <c r="T170" s="327" t="s">
        <v>1284</v>
      </c>
      <c r="V170" s="43" t="s">
        <v>1824</v>
      </c>
      <c r="W170" s="55">
        <v>20000</v>
      </c>
      <c r="Y170" s="6">
        <f t="shared" si="25"/>
        <v>1</v>
      </c>
      <c r="Z170" s="562">
        <f t="shared" si="26"/>
        <v>50000</v>
      </c>
      <c r="AA170" s="122">
        <f t="shared" si="27"/>
        <v>0</v>
      </c>
      <c r="AB170" s="122">
        <f t="shared" si="28"/>
        <v>30000</v>
      </c>
      <c r="AC170" s="6">
        <f t="shared" si="29"/>
        <v>1</v>
      </c>
      <c r="AD170" s="563">
        <f t="shared" si="32"/>
        <v>1</v>
      </c>
      <c r="AE170" s="64"/>
      <c r="AF170" s="31">
        <v>50000</v>
      </c>
      <c r="AG170" s="31">
        <v>0</v>
      </c>
      <c r="AH170" s="31">
        <v>0</v>
      </c>
      <c r="AI170" s="31">
        <v>0</v>
      </c>
      <c r="AJ170" s="31">
        <v>50000</v>
      </c>
      <c r="AK170" s="31">
        <v>50000</v>
      </c>
      <c r="AL170" s="31">
        <v>0</v>
      </c>
      <c r="AM170" s="56">
        <v>50000</v>
      </c>
      <c r="AN170" s="31">
        <v>50000</v>
      </c>
      <c r="AO170" s="31" t="s">
        <v>1568</v>
      </c>
      <c r="AP170" s="23" t="s">
        <v>187</v>
      </c>
      <c r="AQ170" s="23" t="s">
        <v>1284</v>
      </c>
    </row>
    <row r="171" spans="1:43">
      <c r="A171" s="34">
        <v>168</v>
      </c>
      <c r="B171" s="34">
        <v>109</v>
      </c>
      <c r="C171" s="568" t="str">
        <f t="shared" si="22"/>
        <v>カーサ南池袋</v>
      </c>
      <c r="D171" s="45" t="s">
        <v>1570</v>
      </c>
      <c r="E171" s="46">
        <v>21.87</v>
      </c>
      <c r="F171" s="324">
        <v>631</v>
      </c>
      <c r="G171" s="566" t="str">
        <f t="shared" si="23"/>
        <v>住居</v>
      </c>
      <c r="H171" s="44" t="s">
        <v>1811</v>
      </c>
      <c r="I171" s="325">
        <v>68000</v>
      </c>
      <c r="J171" s="325">
        <v>0</v>
      </c>
      <c r="K171" s="325">
        <v>0</v>
      </c>
      <c r="L171" s="325">
        <v>0</v>
      </c>
      <c r="M171" s="565">
        <f t="shared" si="30"/>
        <v>68000</v>
      </c>
      <c r="N171" s="326">
        <v>68000</v>
      </c>
      <c r="O171" s="326">
        <v>0</v>
      </c>
      <c r="P171" s="565">
        <f t="shared" si="24"/>
        <v>68000</v>
      </c>
      <c r="Q171" s="565">
        <f t="shared" si="31"/>
        <v>68000</v>
      </c>
      <c r="R171" s="325" t="s">
        <v>1568</v>
      </c>
      <c r="S171" s="325" t="s">
        <v>187</v>
      </c>
      <c r="T171" s="327" t="s">
        <v>1284</v>
      </c>
      <c r="V171" s="43" t="s">
        <v>1825</v>
      </c>
      <c r="W171" s="55">
        <v>68000</v>
      </c>
      <c r="Y171" s="6">
        <f t="shared" si="25"/>
        <v>1</v>
      </c>
      <c r="Z171" s="562">
        <f t="shared" si="26"/>
        <v>68000</v>
      </c>
      <c r="AA171" s="122">
        <f t="shared" si="27"/>
        <v>0</v>
      </c>
      <c r="AB171" s="122">
        <f t="shared" si="28"/>
        <v>0</v>
      </c>
      <c r="AC171" s="6">
        <f t="shared" si="29"/>
        <v>1</v>
      </c>
      <c r="AD171" s="563">
        <f t="shared" si="32"/>
        <v>1</v>
      </c>
      <c r="AE171" s="64"/>
      <c r="AF171" s="31">
        <v>68000</v>
      </c>
      <c r="AG171" s="31">
        <v>0</v>
      </c>
      <c r="AH171" s="31">
        <v>0</v>
      </c>
      <c r="AI171" s="31">
        <v>0</v>
      </c>
      <c r="AJ171" s="31">
        <v>68000</v>
      </c>
      <c r="AK171" s="31">
        <v>68000</v>
      </c>
      <c r="AL171" s="31">
        <v>0</v>
      </c>
      <c r="AM171" s="56">
        <v>68000</v>
      </c>
      <c r="AN171" s="31">
        <v>68000</v>
      </c>
      <c r="AO171" s="31" t="s">
        <v>1568</v>
      </c>
      <c r="AP171" s="23" t="s">
        <v>187</v>
      </c>
      <c r="AQ171" s="23" t="s">
        <v>1284</v>
      </c>
    </row>
    <row r="172" spans="1:43">
      <c r="A172" s="34">
        <v>169</v>
      </c>
      <c r="B172" s="34">
        <v>109</v>
      </c>
      <c r="C172" s="568" t="str">
        <f t="shared" si="22"/>
        <v>カーサ南池袋</v>
      </c>
      <c r="D172" s="45" t="s">
        <v>1572</v>
      </c>
      <c r="E172" s="46">
        <v>17.43</v>
      </c>
      <c r="F172" s="324">
        <v>631</v>
      </c>
      <c r="G172" s="566" t="str">
        <f t="shared" si="23"/>
        <v>住居</v>
      </c>
      <c r="H172" s="44" t="s">
        <v>1709</v>
      </c>
      <c r="I172" s="325">
        <v>62000</v>
      </c>
      <c r="J172" s="325">
        <v>3000</v>
      </c>
      <c r="K172" s="325">
        <v>0</v>
      </c>
      <c r="L172" s="325">
        <v>0</v>
      </c>
      <c r="M172" s="565">
        <f t="shared" si="30"/>
        <v>65000</v>
      </c>
      <c r="N172" s="326">
        <v>65000</v>
      </c>
      <c r="O172" s="326">
        <v>0</v>
      </c>
      <c r="P172" s="565">
        <f t="shared" si="24"/>
        <v>65000</v>
      </c>
      <c r="Q172" s="565">
        <f t="shared" si="31"/>
        <v>65000</v>
      </c>
      <c r="R172" s="325" t="s">
        <v>1818</v>
      </c>
      <c r="S172" s="325" t="s">
        <v>187</v>
      </c>
      <c r="T172" s="327" t="s">
        <v>1284</v>
      </c>
      <c r="V172" s="43" t="s">
        <v>1826</v>
      </c>
      <c r="W172" s="55">
        <v>60000</v>
      </c>
      <c r="Y172" s="6">
        <f t="shared" si="25"/>
        <v>1</v>
      </c>
      <c r="Z172" s="562">
        <f t="shared" si="26"/>
        <v>65000</v>
      </c>
      <c r="AA172" s="122">
        <f t="shared" si="27"/>
        <v>0</v>
      </c>
      <c r="AB172" s="122">
        <f t="shared" si="28"/>
        <v>5000</v>
      </c>
      <c r="AC172" s="6">
        <f t="shared" si="29"/>
        <v>1</v>
      </c>
      <c r="AD172" s="563">
        <f t="shared" si="32"/>
        <v>1</v>
      </c>
      <c r="AE172" s="64"/>
      <c r="AF172" s="31">
        <v>62000</v>
      </c>
      <c r="AG172" s="31">
        <v>3000</v>
      </c>
      <c r="AH172" s="31">
        <v>0</v>
      </c>
      <c r="AI172" s="31">
        <v>0</v>
      </c>
      <c r="AJ172" s="31">
        <v>65000</v>
      </c>
      <c r="AK172" s="31">
        <v>65000</v>
      </c>
      <c r="AL172" s="31">
        <v>0</v>
      </c>
      <c r="AM172" s="56">
        <v>65000</v>
      </c>
      <c r="AN172" s="31">
        <v>65000</v>
      </c>
      <c r="AO172" s="31" t="s">
        <v>1818</v>
      </c>
      <c r="AP172" s="23" t="s">
        <v>187</v>
      </c>
      <c r="AQ172" s="23" t="s">
        <v>1284</v>
      </c>
    </row>
    <row r="173" spans="1:43">
      <c r="A173" s="34">
        <v>170</v>
      </c>
      <c r="B173" s="34">
        <v>109</v>
      </c>
      <c r="C173" s="568" t="str">
        <f t="shared" si="22"/>
        <v>カーサ南池袋</v>
      </c>
      <c r="D173" s="45" t="s">
        <v>1574</v>
      </c>
      <c r="E173" s="46">
        <v>21.77</v>
      </c>
      <c r="F173" s="324">
        <v>631</v>
      </c>
      <c r="G173" s="566" t="str">
        <f t="shared" si="23"/>
        <v>住居</v>
      </c>
      <c r="H173" s="44" t="s">
        <v>1567</v>
      </c>
      <c r="I173" s="325">
        <v>67000</v>
      </c>
      <c r="J173" s="325">
        <v>3000</v>
      </c>
      <c r="K173" s="325">
        <v>0</v>
      </c>
      <c r="L173" s="325">
        <v>0</v>
      </c>
      <c r="M173" s="565">
        <f t="shared" si="30"/>
        <v>70000</v>
      </c>
      <c r="N173" s="326">
        <v>78000</v>
      </c>
      <c r="O173" s="326">
        <v>0</v>
      </c>
      <c r="P173" s="565">
        <f t="shared" si="24"/>
        <v>78000</v>
      </c>
      <c r="Q173" s="565">
        <f t="shared" si="31"/>
        <v>70000</v>
      </c>
      <c r="R173" s="325" t="s">
        <v>1568</v>
      </c>
      <c r="S173" s="325" t="s">
        <v>187</v>
      </c>
      <c r="T173" s="327" t="s">
        <v>1284</v>
      </c>
      <c r="V173" s="43" t="s">
        <v>1827</v>
      </c>
      <c r="W173" s="55">
        <v>82000</v>
      </c>
      <c r="Y173" s="6">
        <f t="shared" si="25"/>
        <v>1</v>
      </c>
      <c r="Z173" s="562">
        <f t="shared" si="26"/>
        <v>70000</v>
      </c>
      <c r="AA173" s="122">
        <f t="shared" si="27"/>
        <v>8000</v>
      </c>
      <c r="AB173" s="122">
        <f t="shared" si="28"/>
        <v>-12000</v>
      </c>
      <c r="AC173" s="6">
        <f t="shared" si="29"/>
        <v>1</v>
      </c>
      <c r="AD173" s="563">
        <f t="shared" si="32"/>
        <v>1</v>
      </c>
      <c r="AE173" s="64"/>
      <c r="AF173" s="31">
        <v>67000</v>
      </c>
      <c r="AG173" s="31">
        <v>3000</v>
      </c>
      <c r="AH173" s="31">
        <v>0</v>
      </c>
      <c r="AI173" s="31">
        <v>0</v>
      </c>
      <c r="AJ173" s="31">
        <v>70000</v>
      </c>
      <c r="AK173" s="31">
        <v>78000</v>
      </c>
      <c r="AL173" s="31">
        <v>0</v>
      </c>
      <c r="AM173" s="56">
        <v>78000</v>
      </c>
      <c r="AN173" s="31">
        <v>70000</v>
      </c>
      <c r="AO173" s="31" t="s">
        <v>1568</v>
      </c>
      <c r="AP173" s="23" t="s">
        <v>187</v>
      </c>
      <c r="AQ173" s="23" t="s">
        <v>1284</v>
      </c>
    </row>
    <row r="174" spans="1:43">
      <c r="A174" s="34">
        <v>171</v>
      </c>
      <c r="B174" s="34">
        <v>109</v>
      </c>
      <c r="C174" s="568" t="str">
        <f t="shared" si="22"/>
        <v>カーサ南池袋</v>
      </c>
      <c r="D174" s="45" t="s">
        <v>1630</v>
      </c>
      <c r="E174" s="46">
        <v>25.25</v>
      </c>
      <c r="F174" s="324">
        <v>631</v>
      </c>
      <c r="G174" s="566" t="str">
        <f t="shared" si="23"/>
        <v>住居</v>
      </c>
      <c r="H174" s="44" t="s">
        <v>1811</v>
      </c>
      <c r="I174" s="325">
        <v>80000</v>
      </c>
      <c r="J174" s="325">
        <v>3000</v>
      </c>
      <c r="K174" s="325">
        <v>0</v>
      </c>
      <c r="L174" s="325">
        <v>0</v>
      </c>
      <c r="M174" s="565">
        <f t="shared" si="30"/>
        <v>83000</v>
      </c>
      <c r="N174" s="326">
        <v>86300</v>
      </c>
      <c r="O174" s="326">
        <v>0</v>
      </c>
      <c r="P174" s="565">
        <f t="shared" si="24"/>
        <v>86300</v>
      </c>
      <c r="Q174" s="565">
        <f t="shared" si="31"/>
        <v>83000</v>
      </c>
      <c r="R174" s="325" t="s">
        <v>1568</v>
      </c>
      <c r="S174" s="325" t="s">
        <v>187</v>
      </c>
      <c r="T174" s="327" t="s">
        <v>1284</v>
      </c>
      <c r="V174" s="43" t="s">
        <v>1828</v>
      </c>
      <c r="W174" s="55">
        <v>86000</v>
      </c>
      <c r="Y174" s="6">
        <f t="shared" si="25"/>
        <v>1</v>
      </c>
      <c r="Z174" s="562">
        <f t="shared" si="26"/>
        <v>83000</v>
      </c>
      <c r="AA174" s="122">
        <f t="shared" si="27"/>
        <v>3300</v>
      </c>
      <c r="AB174" s="122">
        <f t="shared" si="28"/>
        <v>-3000</v>
      </c>
      <c r="AC174" s="6">
        <f t="shared" si="29"/>
        <v>1</v>
      </c>
      <c r="AD174" s="563">
        <f t="shared" si="32"/>
        <v>1</v>
      </c>
      <c r="AE174" s="64"/>
      <c r="AF174" s="31">
        <v>80000</v>
      </c>
      <c r="AG174" s="31">
        <v>3000</v>
      </c>
      <c r="AH174" s="31">
        <v>0</v>
      </c>
      <c r="AI174" s="31">
        <v>0</v>
      </c>
      <c r="AJ174" s="31">
        <v>83000</v>
      </c>
      <c r="AK174" s="31">
        <v>86300</v>
      </c>
      <c r="AL174" s="31">
        <v>0</v>
      </c>
      <c r="AM174" s="56">
        <v>86300</v>
      </c>
      <c r="AN174" s="31">
        <v>83000</v>
      </c>
      <c r="AO174" s="31" t="s">
        <v>1568</v>
      </c>
      <c r="AP174" s="23" t="s">
        <v>187</v>
      </c>
      <c r="AQ174" s="23" t="s">
        <v>1284</v>
      </c>
    </row>
    <row r="175" spans="1:43">
      <c r="A175" s="34">
        <v>172</v>
      </c>
      <c r="B175" s="34">
        <v>109</v>
      </c>
      <c r="C175" s="568" t="str">
        <f t="shared" si="22"/>
        <v>カーサ南池袋</v>
      </c>
      <c r="D175" s="45" t="s">
        <v>1632</v>
      </c>
      <c r="E175" s="46">
        <v>34</v>
      </c>
      <c r="F175" s="324">
        <v>631</v>
      </c>
      <c r="G175" s="566" t="str">
        <f t="shared" si="23"/>
        <v>住居</v>
      </c>
      <c r="H175" s="44" t="s">
        <v>1811</v>
      </c>
      <c r="I175" s="325">
        <v>101000</v>
      </c>
      <c r="J175" s="325">
        <v>5000</v>
      </c>
      <c r="K175" s="325">
        <v>0</v>
      </c>
      <c r="L175" s="325">
        <v>0</v>
      </c>
      <c r="M175" s="565">
        <f t="shared" si="30"/>
        <v>106000</v>
      </c>
      <c r="N175" s="326">
        <v>95000</v>
      </c>
      <c r="O175" s="326">
        <v>0</v>
      </c>
      <c r="P175" s="565">
        <f t="shared" si="24"/>
        <v>95000</v>
      </c>
      <c r="Q175" s="565">
        <f t="shared" si="31"/>
        <v>106000</v>
      </c>
      <c r="R175" s="325" t="s">
        <v>1568</v>
      </c>
      <c r="S175" s="325" t="s">
        <v>187</v>
      </c>
      <c r="T175" s="327" t="s">
        <v>1284</v>
      </c>
      <c r="V175" s="43" t="s">
        <v>1829</v>
      </c>
      <c r="W175" s="55">
        <v>95000</v>
      </c>
      <c r="Y175" s="6">
        <f t="shared" si="25"/>
        <v>1</v>
      </c>
      <c r="Z175" s="562">
        <f t="shared" si="26"/>
        <v>106000</v>
      </c>
      <c r="AA175" s="122">
        <f t="shared" si="27"/>
        <v>-11000</v>
      </c>
      <c r="AB175" s="122">
        <f t="shared" si="28"/>
        <v>11000</v>
      </c>
      <c r="AC175" s="6">
        <f t="shared" si="29"/>
        <v>1</v>
      </c>
      <c r="AD175" s="563">
        <f t="shared" si="32"/>
        <v>1</v>
      </c>
      <c r="AE175" s="64"/>
      <c r="AF175" s="31">
        <v>101000</v>
      </c>
      <c r="AG175" s="31">
        <v>5000</v>
      </c>
      <c r="AH175" s="31">
        <v>0</v>
      </c>
      <c r="AI175" s="31">
        <v>0</v>
      </c>
      <c r="AJ175" s="31">
        <v>106000</v>
      </c>
      <c r="AK175" s="31">
        <v>95000</v>
      </c>
      <c r="AL175" s="31">
        <v>0</v>
      </c>
      <c r="AM175" s="56">
        <v>95000</v>
      </c>
      <c r="AN175" s="31">
        <v>106000</v>
      </c>
      <c r="AO175" s="31" t="s">
        <v>1568</v>
      </c>
      <c r="AP175" s="23" t="s">
        <v>187</v>
      </c>
      <c r="AQ175" s="23" t="s">
        <v>1284</v>
      </c>
    </row>
    <row r="176" spans="1:43">
      <c r="A176" s="34">
        <v>173</v>
      </c>
      <c r="B176" s="34">
        <v>109</v>
      </c>
      <c r="C176" s="568" t="str">
        <f t="shared" si="22"/>
        <v>カーサ南池袋</v>
      </c>
      <c r="D176" s="45" t="s">
        <v>1830</v>
      </c>
      <c r="E176" s="46">
        <v>62.64</v>
      </c>
      <c r="F176" s="324">
        <v>631</v>
      </c>
      <c r="G176" s="566" t="str">
        <f t="shared" si="23"/>
        <v>住居</v>
      </c>
      <c r="H176" s="44" t="s">
        <v>1831</v>
      </c>
      <c r="I176" s="325">
        <v>145000</v>
      </c>
      <c r="J176" s="325">
        <v>0</v>
      </c>
      <c r="K176" s="325">
        <v>0</v>
      </c>
      <c r="L176" s="325">
        <v>0</v>
      </c>
      <c r="M176" s="565">
        <f t="shared" si="30"/>
        <v>145000</v>
      </c>
      <c r="N176" s="326">
        <v>145000</v>
      </c>
      <c r="O176" s="326">
        <v>0</v>
      </c>
      <c r="P176" s="565">
        <f t="shared" si="24"/>
        <v>145000</v>
      </c>
      <c r="Q176" s="565">
        <f t="shared" si="31"/>
        <v>145000</v>
      </c>
      <c r="R176" s="325" t="s">
        <v>1568</v>
      </c>
      <c r="S176" s="325" t="s">
        <v>187</v>
      </c>
      <c r="T176" s="327" t="s">
        <v>1284</v>
      </c>
      <c r="V176" s="43" t="s">
        <v>1832</v>
      </c>
      <c r="W176" s="55">
        <v>145000</v>
      </c>
      <c r="Y176" s="6">
        <f t="shared" si="25"/>
        <v>1</v>
      </c>
      <c r="Z176" s="562">
        <f t="shared" si="26"/>
        <v>145000</v>
      </c>
      <c r="AA176" s="122">
        <f t="shared" si="27"/>
        <v>0</v>
      </c>
      <c r="AB176" s="122">
        <f t="shared" si="28"/>
        <v>0</v>
      </c>
      <c r="AC176" s="6">
        <f t="shared" si="29"/>
        <v>1</v>
      </c>
      <c r="AD176" s="563">
        <f t="shared" si="32"/>
        <v>1</v>
      </c>
      <c r="AE176" s="64"/>
      <c r="AF176" s="31">
        <v>145000</v>
      </c>
      <c r="AG176" s="31">
        <v>0</v>
      </c>
      <c r="AH176" s="31">
        <v>0</v>
      </c>
      <c r="AI176" s="31">
        <v>0</v>
      </c>
      <c r="AJ176" s="31">
        <v>145000</v>
      </c>
      <c r="AK176" s="31">
        <v>145000</v>
      </c>
      <c r="AL176" s="31">
        <v>0</v>
      </c>
      <c r="AM176" s="56">
        <v>145000</v>
      </c>
      <c r="AN176" s="31">
        <v>145000</v>
      </c>
      <c r="AO176" s="31" t="s">
        <v>1568</v>
      </c>
      <c r="AP176" s="23" t="s">
        <v>187</v>
      </c>
      <c r="AQ176" s="23" t="s">
        <v>1284</v>
      </c>
    </row>
    <row r="177" spans="1:43">
      <c r="A177" s="34">
        <v>174</v>
      </c>
      <c r="B177" s="34">
        <v>109</v>
      </c>
      <c r="C177" s="568" t="str">
        <f t="shared" si="22"/>
        <v>カーサ南池袋</v>
      </c>
      <c r="D177" s="45" t="s">
        <v>1833</v>
      </c>
      <c r="E177" s="46">
        <v>62.64</v>
      </c>
      <c r="F177" s="324">
        <v>631</v>
      </c>
      <c r="G177" s="566" t="str">
        <f t="shared" si="23"/>
        <v>住居</v>
      </c>
      <c r="H177" s="44" t="s">
        <v>1831</v>
      </c>
      <c r="I177" s="325">
        <v>160000</v>
      </c>
      <c r="J177" s="325">
        <v>5000</v>
      </c>
      <c r="K177" s="325">
        <v>0</v>
      </c>
      <c r="L177" s="325">
        <v>0</v>
      </c>
      <c r="M177" s="565">
        <f t="shared" si="30"/>
        <v>165000</v>
      </c>
      <c r="N177" s="326">
        <v>165000</v>
      </c>
      <c r="O177" s="326">
        <v>0</v>
      </c>
      <c r="P177" s="565">
        <f t="shared" si="24"/>
        <v>165000</v>
      </c>
      <c r="Q177" s="565">
        <f t="shared" si="31"/>
        <v>165000</v>
      </c>
      <c r="R177" s="325" t="s">
        <v>1578</v>
      </c>
      <c r="S177" s="325" t="s">
        <v>187</v>
      </c>
      <c r="T177" s="327" t="s">
        <v>1284</v>
      </c>
      <c r="V177" s="43" t="s">
        <v>1834</v>
      </c>
      <c r="W177" s="55">
        <v>150000</v>
      </c>
      <c r="Y177" s="6">
        <f t="shared" si="25"/>
        <v>1</v>
      </c>
      <c r="Z177" s="562">
        <f t="shared" si="26"/>
        <v>165000</v>
      </c>
      <c r="AA177" s="122">
        <f t="shared" si="27"/>
        <v>0</v>
      </c>
      <c r="AB177" s="122">
        <f t="shared" si="28"/>
        <v>15000</v>
      </c>
      <c r="AC177" s="6">
        <f t="shared" si="29"/>
        <v>1</v>
      </c>
      <c r="AD177" s="563">
        <f t="shared" si="32"/>
        <v>1</v>
      </c>
      <c r="AE177" s="64"/>
      <c r="AF177" s="31">
        <v>160000</v>
      </c>
      <c r="AG177" s="31">
        <v>5000</v>
      </c>
      <c r="AH177" s="31">
        <v>0</v>
      </c>
      <c r="AI177" s="31">
        <v>0</v>
      </c>
      <c r="AJ177" s="31">
        <v>165000</v>
      </c>
      <c r="AK177" s="31">
        <v>165000</v>
      </c>
      <c r="AL177" s="31">
        <v>0</v>
      </c>
      <c r="AM177" s="56">
        <v>165000</v>
      </c>
      <c r="AN177" s="31">
        <v>165000</v>
      </c>
      <c r="AO177" s="31" t="s">
        <v>1578</v>
      </c>
      <c r="AP177" s="23" t="s">
        <v>187</v>
      </c>
      <c r="AQ177" s="23" t="s">
        <v>1284</v>
      </c>
    </row>
    <row r="178" spans="1:43">
      <c r="A178" s="34">
        <v>175</v>
      </c>
      <c r="B178" s="34">
        <v>109</v>
      </c>
      <c r="C178" s="568" t="str">
        <f t="shared" si="22"/>
        <v>カーサ南池袋</v>
      </c>
      <c r="D178" s="45" t="s">
        <v>1835</v>
      </c>
      <c r="E178" s="46">
        <v>62.64</v>
      </c>
      <c r="F178" s="324">
        <v>631</v>
      </c>
      <c r="G178" s="566" t="str">
        <f t="shared" si="23"/>
        <v>住居</v>
      </c>
      <c r="H178" s="44" t="s">
        <v>1831</v>
      </c>
      <c r="I178" s="325">
        <v>150000</v>
      </c>
      <c r="J178" s="325">
        <v>0</v>
      </c>
      <c r="K178" s="325">
        <v>0</v>
      </c>
      <c r="L178" s="325">
        <v>0</v>
      </c>
      <c r="M178" s="565">
        <f t="shared" si="30"/>
        <v>150000</v>
      </c>
      <c r="N178" s="326">
        <v>150000</v>
      </c>
      <c r="O178" s="326">
        <v>0</v>
      </c>
      <c r="P178" s="565">
        <f t="shared" si="24"/>
        <v>150000</v>
      </c>
      <c r="Q178" s="565">
        <f t="shared" si="31"/>
        <v>150000</v>
      </c>
      <c r="R178" s="325" t="s">
        <v>1583</v>
      </c>
      <c r="S178" s="325" t="s">
        <v>187</v>
      </c>
      <c r="T178" s="327" t="s">
        <v>1284</v>
      </c>
      <c r="V178" s="43" t="s">
        <v>1836</v>
      </c>
      <c r="W178" s="55">
        <v>150000</v>
      </c>
      <c r="Y178" s="6">
        <f t="shared" si="25"/>
        <v>1</v>
      </c>
      <c r="Z178" s="562">
        <f t="shared" si="26"/>
        <v>150000</v>
      </c>
      <c r="AA178" s="122">
        <f t="shared" si="27"/>
        <v>0</v>
      </c>
      <c r="AB178" s="122">
        <f t="shared" si="28"/>
        <v>0</v>
      </c>
      <c r="AC178" s="6">
        <f t="shared" si="29"/>
        <v>1</v>
      </c>
      <c r="AD178" s="563">
        <f t="shared" si="32"/>
        <v>1</v>
      </c>
      <c r="AE178" s="64"/>
      <c r="AF178" s="31">
        <v>150000</v>
      </c>
      <c r="AG178" s="31">
        <v>0</v>
      </c>
      <c r="AH178" s="31">
        <v>0</v>
      </c>
      <c r="AI178" s="31">
        <v>0</v>
      </c>
      <c r="AJ178" s="31">
        <v>150000</v>
      </c>
      <c r="AK178" s="31">
        <v>150000</v>
      </c>
      <c r="AL178" s="31">
        <v>0</v>
      </c>
      <c r="AM178" s="56">
        <v>150000</v>
      </c>
      <c r="AN178" s="31">
        <v>150000</v>
      </c>
      <c r="AO178" s="31" t="s">
        <v>1583</v>
      </c>
      <c r="AP178" s="23" t="s">
        <v>187</v>
      </c>
      <c r="AQ178" s="23" t="s">
        <v>1284</v>
      </c>
    </row>
    <row r="179" spans="1:43">
      <c r="A179" s="34">
        <v>176</v>
      </c>
      <c r="B179" s="34">
        <v>109</v>
      </c>
      <c r="C179" s="568" t="str">
        <f t="shared" si="22"/>
        <v>カーサ南池袋</v>
      </c>
      <c r="D179" s="45" t="s">
        <v>1837</v>
      </c>
      <c r="E179" s="46">
        <v>62.64</v>
      </c>
      <c r="F179" s="324">
        <v>631</v>
      </c>
      <c r="G179" s="566" t="str">
        <f t="shared" si="23"/>
        <v>住居</v>
      </c>
      <c r="H179" s="44" t="s">
        <v>1831</v>
      </c>
      <c r="I179" s="325">
        <v>175000</v>
      </c>
      <c r="J179" s="325">
        <v>5000</v>
      </c>
      <c r="K179" s="325">
        <v>0</v>
      </c>
      <c r="L179" s="325">
        <v>0</v>
      </c>
      <c r="M179" s="565">
        <f t="shared" si="30"/>
        <v>180000</v>
      </c>
      <c r="N179" s="326">
        <v>180000</v>
      </c>
      <c r="O179" s="326">
        <v>0</v>
      </c>
      <c r="P179" s="565">
        <f t="shared" si="24"/>
        <v>180000</v>
      </c>
      <c r="Q179" s="565">
        <f t="shared" si="31"/>
        <v>180000</v>
      </c>
      <c r="R179" s="325" t="s">
        <v>1568</v>
      </c>
      <c r="S179" s="325" t="s">
        <v>187</v>
      </c>
      <c r="T179" s="327" t="s">
        <v>1284</v>
      </c>
      <c r="V179" s="43" t="s">
        <v>1838</v>
      </c>
      <c r="W179" s="55">
        <v>155000</v>
      </c>
      <c r="Y179" s="6">
        <f t="shared" si="25"/>
        <v>1</v>
      </c>
      <c r="Z179" s="562">
        <f t="shared" si="26"/>
        <v>180000</v>
      </c>
      <c r="AA179" s="122">
        <f t="shared" si="27"/>
        <v>0</v>
      </c>
      <c r="AB179" s="122">
        <f t="shared" si="28"/>
        <v>25000</v>
      </c>
      <c r="AC179" s="6">
        <f t="shared" si="29"/>
        <v>1</v>
      </c>
      <c r="AD179" s="563">
        <f t="shared" si="32"/>
        <v>1</v>
      </c>
      <c r="AE179" s="64"/>
      <c r="AF179" s="31">
        <v>175000</v>
      </c>
      <c r="AG179" s="31">
        <v>5000</v>
      </c>
      <c r="AH179" s="31">
        <v>0</v>
      </c>
      <c r="AI179" s="31">
        <v>0</v>
      </c>
      <c r="AJ179" s="31">
        <v>180000</v>
      </c>
      <c r="AK179" s="31">
        <v>180000</v>
      </c>
      <c r="AL179" s="31">
        <v>0</v>
      </c>
      <c r="AM179" s="56">
        <v>180000</v>
      </c>
      <c r="AN179" s="31">
        <v>180000</v>
      </c>
      <c r="AO179" s="31" t="s">
        <v>1568</v>
      </c>
      <c r="AP179" s="23" t="s">
        <v>187</v>
      </c>
      <c r="AQ179" s="23" t="s">
        <v>1284</v>
      </c>
    </row>
    <row r="180" spans="1:43">
      <c r="A180" s="34">
        <v>177</v>
      </c>
      <c r="B180" s="34">
        <v>109</v>
      </c>
      <c r="C180" s="568" t="str">
        <f t="shared" si="22"/>
        <v>カーサ南池袋</v>
      </c>
      <c r="D180" s="45" t="s">
        <v>1839</v>
      </c>
      <c r="E180" s="46">
        <v>62.64</v>
      </c>
      <c r="F180" s="324">
        <v>631</v>
      </c>
      <c r="G180" s="566" t="str">
        <f t="shared" si="23"/>
        <v>住居</v>
      </c>
      <c r="H180" s="44" t="s">
        <v>1831</v>
      </c>
      <c r="I180" s="325">
        <v>150000</v>
      </c>
      <c r="J180" s="325">
        <v>0</v>
      </c>
      <c r="K180" s="325">
        <v>0</v>
      </c>
      <c r="L180" s="325">
        <v>0</v>
      </c>
      <c r="M180" s="565">
        <f t="shared" si="30"/>
        <v>150000</v>
      </c>
      <c r="N180" s="326">
        <v>150000</v>
      </c>
      <c r="O180" s="326">
        <v>0</v>
      </c>
      <c r="P180" s="565">
        <f t="shared" si="24"/>
        <v>150000</v>
      </c>
      <c r="Q180" s="565">
        <f t="shared" si="31"/>
        <v>150000</v>
      </c>
      <c r="R180" s="325" t="s">
        <v>1568</v>
      </c>
      <c r="S180" s="325" t="s">
        <v>187</v>
      </c>
      <c r="T180" s="327" t="s">
        <v>1284</v>
      </c>
      <c r="V180" s="43" t="s">
        <v>1840</v>
      </c>
      <c r="W180" s="55">
        <v>150000</v>
      </c>
      <c r="Y180" s="6">
        <f t="shared" si="25"/>
        <v>1</v>
      </c>
      <c r="Z180" s="562">
        <f t="shared" si="26"/>
        <v>150000</v>
      </c>
      <c r="AA180" s="122">
        <f t="shared" si="27"/>
        <v>0</v>
      </c>
      <c r="AB180" s="122">
        <f t="shared" si="28"/>
        <v>0</v>
      </c>
      <c r="AC180" s="6">
        <f t="shared" si="29"/>
        <v>1</v>
      </c>
      <c r="AD180" s="563">
        <f t="shared" si="32"/>
        <v>1</v>
      </c>
      <c r="AE180" s="64"/>
      <c r="AF180" s="31">
        <v>150000</v>
      </c>
      <c r="AG180" s="31">
        <v>0</v>
      </c>
      <c r="AH180" s="31">
        <v>0</v>
      </c>
      <c r="AI180" s="31">
        <v>0</v>
      </c>
      <c r="AJ180" s="31">
        <v>150000</v>
      </c>
      <c r="AK180" s="31">
        <v>150000</v>
      </c>
      <c r="AL180" s="31">
        <v>0</v>
      </c>
      <c r="AM180" s="56">
        <v>150000</v>
      </c>
      <c r="AN180" s="31">
        <v>150000</v>
      </c>
      <c r="AO180" s="31" t="s">
        <v>1568</v>
      </c>
      <c r="AP180" s="23" t="s">
        <v>187</v>
      </c>
      <c r="AQ180" s="23" t="s">
        <v>1284</v>
      </c>
    </row>
    <row r="181" spans="1:43">
      <c r="A181" s="34">
        <v>178</v>
      </c>
      <c r="B181" s="34">
        <v>109</v>
      </c>
      <c r="C181" s="568" t="str">
        <f t="shared" si="22"/>
        <v>カーサ南池袋</v>
      </c>
      <c r="D181" s="45" t="s">
        <v>1841</v>
      </c>
      <c r="E181" s="46">
        <v>62.64</v>
      </c>
      <c r="F181" s="324">
        <v>631</v>
      </c>
      <c r="G181" s="566" t="str">
        <f t="shared" si="23"/>
        <v>住居</v>
      </c>
      <c r="H181" s="44" t="s">
        <v>1831</v>
      </c>
      <c r="I181" s="325">
        <v>180000</v>
      </c>
      <c r="J181" s="325">
        <v>5000</v>
      </c>
      <c r="K181" s="325">
        <v>0</v>
      </c>
      <c r="L181" s="325">
        <v>0</v>
      </c>
      <c r="M181" s="565">
        <f t="shared" si="30"/>
        <v>185000</v>
      </c>
      <c r="N181" s="326">
        <v>180000</v>
      </c>
      <c r="O181" s="326">
        <v>0</v>
      </c>
      <c r="P181" s="565">
        <f t="shared" si="24"/>
        <v>180000</v>
      </c>
      <c r="Q181" s="565">
        <f t="shared" si="31"/>
        <v>185000</v>
      </c>
      <c r="R181" s="325" t="s">
        <v>1568</v>
      </c>
      <c r="S181" s="325" t="s">
        <v>187</v>
      </c>
      <c r="T181" s="327" t="s">
        <v>1284</v>
      </c>
      <c r="V181" s="43" t="s">
        <v>1842</v>
      </c>
      <c r="W181" s="55">
        <v>150000</v>
      </c>
      <c r="Y181" s="6">
        <f t="shared" si="25"/>
        <v>1</v>
      </c>
      <c r="Z181" s="562">
        <f t="shared" si="26"/>
        <v>185000</v>
      </c>
      <c r="AA181" s="122">
        <f t="shared" si="27"/>
        <v>-5000</v>
      </c>
      <c r="AB181" s="122">
        <f t="shared" si="28"/>
        <v>35000</v>
      </c>
      <c r="AC181" s="6">
        <f t="shared" si="29"/>
        <v>1</v>
      </c>
      <c r="AD181" s="563">
        <f t="shared" si="32"/>
        <v>1</v>
      </c>
      <c r="AE181" s="64"/>
      <c r="AF181" s="31">
        <v>180000</v>
      </c>
      <c r="AG181" s="31">
        <v>5000</v>
      </c>
      <c r="AH181" s="31">
        <v>0</v>
      </c>
      <c r="AI181" s="31">
        <v>0</v>
      </c>
      <c r="AJ181" s="31">
        <v>185000</v>
      </c>
      <c r="AK181" s="31">
        <v>180000</v>
      </c>
      <c r="AL181" s="31">
        <v>0</v>
      </c>
      <c r="AM181" s="56">
        <v>180000</v>
      </c>
      <c r="AN181" s="31">
        <v>185000</v>
      </c>
      <c r="AO181" s="31" t="s">
        <v>1568</v>
      </c>
      <c r="AP181" s="23" t="s">
        <v>187</v>
      </c>
      <c r="AQ181" s="23" t="s">
        <v>1284</v>
      </c>
    </row>
    <row r="182" spans="1:43">
      <c r="A182" s="34">
        <v>179</v>
      </c>
      <c r="B182" s="34">
        <v>109</v>
      </c>
      <c r="C182" s="568" t="str">
        <f t="shared" si="22"/>
        <v>カーサ南池袋</v>
      </c>
      <c r="D182" s="45" t="s">
        <v>1673</v>
      </c>
      <c r="E182" s="46">
        <v>0</v>
      </c>
      <c r="F182" s="324">
        <v>634</v>
      </c>
      <c r="G182" s="566" t="str">
        <f t="shared" si="23"/>
        <v>駐車場</v>
      </c>
      <c r="H182" s="44" t="s">
        <v>1674</v>
      </c>
      <c r="I182" s="325">
        <v>24545</v>
      </c>
      <c r="J182" s="325">
        <v>0</v>
      </c>
      <c r="K182" s="325">
        <v>0</v>
      </c>
      <c r="L182" s="325">
        <v>2455</v>
      </c>
      <c r="M182" s="565">
        <f t="shared" si="30"/>
        <v>27000</v>
      </c>
      <c r="N182" s="326">
        <v>24545</v>
      </c>
      <c r="O182" s="326">
        <v>2454.5454545454545</v>
      </c>
      <c r="P182" s="565">
        <f t="shared" si="24"/>
        <v>26999.545454545456</v>
      </c>
      <c r="Q182" s="565">
        <f t="shared" si="31"/>
        <v>27000</v>
      </c>
      <c r="R182" s="325" t="s">
        <v>1575</v>
      </c>
      <c r="S182" s="325" t="s">
        <v>187</v>
      </c>
      <c r="T182" s="327" t="s">
        <v>1284</v>
      </c>
      <c r="V182" s="43" t="s">
        <v>1843</v>
      </c>
      <c r="W182" s="55">
        <v>25000</v>
      </c>
      <c r="Y182" s="6">
        <f t="shared" si="25"/>
        <v>1</v>
      </c>
      <c r="Z182" s="562">
        <f t="shared" si="26"/>
        <v>24545</v>
      </c>
      <c r="AA182" s="122">
        <f t="shared" si="27"/>
        <v>0</v>
      </c>
      <c r="AB182" s="122">
        <f t="shared" si="28"/>
        <v>-455</v>
      </c>
      <c r="AC182" s="6">
        <f t="shared" si="29"/>
        <v>1</v>
      </c>
      <c r="AD182" s="563">
        <f t="shared" si="32"/>
        <v>1</v>
      </c>
      <c r="AE182" s="64"/>
      <c r="AF182" s="31">
        <v>24545</v>
      </c>
      <c r="AG182" s="31">
        <v>0</v>
      </c>
      <c r="AH182" s="31">
        <v>0</v>
      </c>
      <c r="AI182" s="31">
        <v>2455</v>
      </c>
      <c r="AJ182" s="31">
        <v>27000</v>
      </c>
      <c r="AK182" s="31">
        <v>24545</v>
      </c>
      <c r="AL182" s="31">
        <v>2454.5454545454545</v>
      </c>
      <c r="AM182" s="56">
        <v>26999.545454545456</v>
      </c>
      <c r="AN182" s="31">
        <v>27000</v>
      </c>
      <c r="AO182" s="31" t="s">
        <v>1575</v>
      </c>
      <c r="AP182" s="23" t="s">
        <v>187</v>
      </c>
      <c r="AQ182" s="23" t="s">
        <v>1284</v>
      </c>
    </row>
    <row r="183" spans="1:43">
      <c r="A183" s="34">
        <v>180</v>
      </c>
      <c r="B183" s="34">
        <v>109</v>
      </c>
      <c r="C183" s="568" t="str">
        <f t="shared" si="22"/>
        <v>カーサ南池袋</v>
      </c>
      <c r="D183" s="45" t="s">
        <v>1618</v>
      </c>
      <c r="E183" s="46">
        <v>0</v>
      </c>
      <c r="F183" s="324">
        <v>635</v>
      </c>
      <c r="G183" s="566" t="str">
        <f t="shared" si="23"/>
        <v>アンテナ</v>
      </c>
      <c r="H183" s="44" t="s">
        <v>729</v>
      </c>
      <c r="I183" s="325">
        <v>53467</v>
      </c>
      <c r="J183" s="325">
        <v>0</v>
      </c>
      <c r="K183" s="325">
        <v>0</v>
      </c>
      <c r="L183" s="325">
        <v>5346</v>
      </c>
      <c r="M183" s="565">
        <f t="shared" si="30"/>
        <v>58813</v>
      </c>
      <c r="N183" s="326">
        <v>53466</v>
      </c>
      <c r="O183" s="326">
        <v>5346.636363636364</v>
      </c>
      <c r="P183" s="565">
        <f t="shared" si="24"/>
        <v>58812.636363636368</v>
      </c>
      <c r="Q183" s="565">
        <f t="shared" si="31"/>
        <v>58813</v>
      </c>
      <c r="R183" s="325" t="s">
        <v>1017</v>
      </c>
      <c r="S183" s="325" t="s">
        <v>187</v>
      </c>
      <c r="T183" s="327" t="s">
        <v>1760</v>
      </c>
      <c r="V183" s="43" t="s">
        <v>1844</v>
      </c>
      <c r="W183" s="55">
        <v>53467</v>
      </c>
      <c r="Y183" s="6">
        <f t="shared" si="25"/>
        <v>1</v>
      </c>
      <c r="Z183" s="562">
        <f t="shared" si="26"/>
        <v>53467</v>
      </c>
      <c r="AA183" s="122">
        <f t="shared" si="27"/>
        <v>-1</v>
      </c>
      <c r="AB183" s="122">
        <f t="shared" si="28"/>
        <v>0</v>
      </c>
      <c r="AC183" s="6">
        <f t="shared" si="29"/>
        <v>1</v>
      </c>
      <c r="AD183" s="563">
        <f t="shared" si="32"/>
        <v>1</v>
      </c>
      <c r="AE183" s="64"/>
      <c r="AF183" s="31">
        <v>53467</v>
      </c>
      <c r="AG183" s="31">
        <v>0</v>
      </c>
      <c r="AH183" s="31">
        <v>0</v>
      </c>
      <c r="AI183" s="31">
        <v>5346</v>
      </c>
      <c r="AJ183" s="31">
        <v>58813</v>
      </c>
      <c r="AK183" s="31">
        <v>53466</v>
      </c>
      <c r="AL183" s="31">
        <v>5346.636363636364</v>
      </c>
      <c r="AM183" s="56">
        <v>58812.636363636368</v>
      </c>
      <c r="AN183" s="31">
        <v>58813</v>
      </c>
      <c r="AO183" s="31" t="s">
        <v>1017</v>
      </c>
      <c r="AP183" s="23" t="s">
        <v>187</v>
      </c>
      <c r="AQ183" s="23" t="s">
        <v>1762</v>
      </c>
    </row>
    <row r="184" spans="1:43">
      <c r="A184" s="34">
        <v>181</v>
      </c>
      <c r="B184" s="34">
        <v>109</v>
      </c>
      <c r="C184" s="568" t="str">
        <f t="shared" si="22"/>
        <v>カーサ南池袋</v>
      </c>
      <c r="D184" s="45" t="s">
        <v>1759</v>
      </c>
      <c r="E184" s="46">
        <v>0</v>
      </c>
      <c r="F184" s="324">
        <v>635</v>
      </c>
      <c r="G184" s="566" t="str">
        <f t="shared" si="23"/>
        <v>アンテナ</v>
      </c>
      <c r="H184" s="44" t="s">
        <v>729</v>
      </c>
      <c r="I184" s="325">
        <v>12817</v>
      </c>
      <c r="J184" s="325">
        <v>0</v>
      </c>
      <c r="K184" s="325">
        <v>0</v>
      </c>
      <c r="L184" s="325">
        <v>1281</v>
      </c>
      <c r="M184" s="565">
        <f t="shared" si="30"/>
        <v>14098</v>
      </c>
      <c r="N184" s="326">
        <v>12816</v>
      </c>
      <c r="O184" s="326">
        <v>1281.6363636363637</v>
      </c>
      <c r="P184" s="565">
        <f t="shared" si="24"/>
        <v>14097.636363636364</v>
      </c>
      <c r="Q184" s="565">
        <f t="shared" si="31"/>
        <v>14098</v>
      </c>
      <c r="R184" s="325" t="s">
        <v>1017</v>
      </c>
      <c r="S184" s="325" t="s">
        <v>187</v>
      </c>
      <c r="T184" s="327" t="s">
        <v>1845</v>
      </c>
      <c r="V184" s="43" t="s">
        <v>1846</v>
      </c>
      <c r="W184" s="55">
        <v>12817</v>
      </c>
      <c r="Y184" s="6">
        <f t="shared" si="25"/>
        <v>1</v>
      </c>
      <c r="Z184" s="562">
        <f t="shared" si="26"/>
        <v>12817</v>
      </c>
      <c r="AA184" s="122">
        <f t="shared" si="27"/>
        <v>-1</v>
      </c>
      <c r="AB184" s="122">
        <f t="shared" si="28"/>
        <v>0</v>
      </c>
      <c r="AC184" s="6">
        <f t="shared" si="29"/>
        <v>1</v>
      </c>
      <c r="AD184" s="563">
        <f t="shared" si="32"/>
        <v>1</v>
      </c>
      <c r="AE184" s="64"/>
      <c r="AF184" s="31">
        <v>12817</v>
      </c>
      <c r="AG184" s="31">
        <v>0</v>
      </c>
      <c r="AH184" s="31">
        <v>0</v>
      </c>
      <c r="AI184" s="31">
        <v>1281</v>
      </c>
      <c r="AJ184" s="31">
        <v>14098</v>
      </c>
      <c r="AK184" s="31">
        <v>12816</v>
      </c>
      <c r="AL184" s="31">
        <v>1281.6363636363637</v>
      </c>
      <c r="AM184" s="56">
        <v>14097.636363636364</v>
      </c>
      <c r="AN184" s="31">
        <v>14098</v>
      </c>
      <c r="AO184" s="31" t="s">
        <v>1017</v>
      </c>
      <c r="AP184" s="23" t="s">
        <v>187</v>
      </c>
      <c r="AQ184" s="23" t="s">
        <v>1847</v>
      </c>
    </row>
    <row r="185" spans="1:43">
      <c r="A185" s="34">
        <v>182</v>
      </c>
      <c r="B185" s="34">
        <v>109</v>
      </c>
      <c r="C185" s="568" t="str">
        <f t="shared" si="22"/>
        <v>カーサ南池袋</v>
      </c>
      <c r="D185" s="45" t="s">
        <v>1622</v>
      </c>
      <c r="E185" s="46" t="s">
        <v>1017</v>
      </c>
      <c r="F185" s="324">
        <v>639</v>
      </c>
      <c r="G185" s="566" t="str">
        <f t="shared" si="23"/>
        <v>その他</v>
      </c>
      <c r="H185" s="46" t="s">
        <v>1789</v>
      </c>
      <c r="I185" s="325">
        <v>0</v>
      </c>
      <c r="J185" s="325">
        <v>0</v>
      </c>
      <c r="K185" s="325">
        <v>0</v>
      </c>
      <c r="L185" s="325">
        <v>0</v>
      </c>
      <c r="M185" s="565">
        <f t="shared" si="30"/>
        <v>0</v>
      </c>
      <c r="N185" s="326">
        <v>0</v>
      </c>
      <c r="O185" s="326">
        <v>0</v>
      </c>
      <c r="P185" s="565">
        <f t="shared" si="24"/>
        <v>0</v>
      </c>
      <c r="Q185" s="565">
        <f t="shared" si="31"/>
        <v>0</v>
      </c>
      <c r="R185" s="325" t="s">
        <v>1017</v>
      </c>
      <c r="S185" s="325" t="s">
        <v>283</v>
      </c>
      <c r="T185" s="327" t="s">
        <v>1623</v>
      </c>
      <c r="V185" s="43" t="s">
        <v>1848</v>
      </c>
      <c r="W185" s="55">
        <v>0</v>
      </c>
      <c r="Y185" s="6">
        <f t="shared" si="25"/>
        <v>0</v>
      </c>
      <c r="Z185" s="562">
        <f t="shared" si="26"/>
        <v>0</v>
      </c>
      <c r="AA185" s="122">
        <f t="shared" si="27"/>
        <v>0</v>
      </c>
      <c r="AB185" s="122">
        <f t="shared" si="28"/>
        <v>0</v>
      </c>
      <c r="AC185" s="6">
        <f t="shared" si="29"/>
        <v>0</v>
      </c>
      <c r="AD185" s="563">
        <f t="shared" si="32"/>
        <v>1</v>
      </c>
      <c r="AE185" s="64"/>
      <c r="AF185" s="31">
        <v>0</v>
      </c>
      <c r="AG185" s="31">
        <v>0</v>
      </c>
      <c r="AH185" s="31">
        <v>0</v>
      </c>
      <c r="AI185" s="31">
        <v>0</v>
      </c>
      <c r="AJ185" s="31">
        <v>0</v>
      </c>
      <c r="AK185" s="31">
        <v>0</v>
      </c>
      <c r="AL185" s="31">
        <v>0</v>
      </c>
      <c r="AM185" s="56">
        <v>0</v>
      </c>
      <c r="AN185" s="31">
        <v>0</v>
      </c>
      <c r="AO185" s="31" t="s">
        <v>1017</v>
      </c>
      <c r="AP185" s="23" t="s">
        <v>283</v>
      </c>
      <c r="AQ185" s="23" t="s">
        <v>1623</v>
      </c>
    </row>
    <row r="186" spans="1:43">
      <c r="A186" s="34">
        <v>183</v>
      </c>
      <c r="B186" s="34">
        <v>109</v>
      </c>
      <c r="C186" s="568" t="str">
        <f t="shared" si="22"/>
        <v>カーサ南池袋</v>
      </c>
      <c r="D186" s="45" t="s">
        <v>1615</v>
      </c>
      <c r="E186" s="46">
        <v>0</v>
      </c>
      <c r="F186" s="324">
        <v>636</v>
      </c>
      <c r="G186" s="566" t="str">
        <f t="shared" si="23"/>
        <v>倉庫</v>
      </c>
      <c r="H186" s="44" t="s">
        <v>1756</v>
      </c>
      <c r="I186" s="325">
        <v>16000</v>
      </c>
      <c r="J186" s="325">
        <v>0</v>
      </c>
      <c r="K186" s="325">
        <v>0</v>
      </c>
      <c r="L186" s="325">
        <v>1600</v>
      </c>
      <c r="M186" s="565">
        <f t="shared" si="30"/>
        <v>17600</v>
      </c>
      <c r="N186" s="326">
        <v>16000</v>
      </c>
      <c r="O186" s="326">
        <v>1600</v>
      </c>
      <c r="P186" s="565">
        <f t="shared" si="24"/>
        <v>17600</v>
      </c>
      <c r="Q186" s="565">
        <f t="shared" si="31"/>
        <v>17600</v>
      </c>
      <c r="R186" s="325" t="s">
        <v>1568</v>
      </c>
      <c r="S186" s="325" t="s">
        <v>187</v>
      </c>
      <c r="T186" s="327" t="s">
        <v>1284</v>
      </c>
      <c r="V186" s="43" t="s">
        <v>1849</v>
      </c>
      <c r="W186" s="55">
        <v>0</v>
      </c>
      <c r="Y186" s="6">
        <f t="shared" si="25"/>
        <v>1</v>
      </c>
      <c r="Z186" s="562">
        <f t="shared" si="26"/>
        <v>16000</v>
      </c>
      <c r="AA186" s="122">
        <f t="shared" si="27"/>
        <v>0</v>
      </c>
      <c r="AB186" s="122">
        <f t="shared" si="28"/>
        <v>16000</v>
      </c>
      <c r="AC186" s="6">
        <f t="shared" si="29"/>
        <v>1</v>
      </c>
      <c r="AD186" s="563">
        <f t="shared" si="32"/>
        <v>1</v>
      </c>
      <c r="AE186" s="64"/>
      <c r="AF186" s="31">
        <v>16000</v>
      </c>
      <c r="AG186" s="31">
        <v>0</v>
      </c>
      <c r="AH186" s="31">
        <v>0</v>
      </c>
      <c r="AI186" s="31">
        <v>1600</v>
      </c>
      <c r="AJ186" s="31">
        <v>17600</v>
      </c>
      <c r="AK186" s="31">
        <v>16000</v>
      </c>
      <c r="AL186" s="31">
        <v>1600</v>
      </c>
      <c r="AM186" s="56">
        <v>17600</v>
      </c>
      <c r="AN186" s="31">
        <v>17600</v>
      </c>
      <c r="AO186" s="31" t="s">
        <v>1568</v>
      </c>
      <c r="AP186" s="23" t="s">
        <v>187</v>
      </c>
      <c r="AQ186" s="23" t="s">
        <v>1284</v>
      </c>
    </row>
    <row r="187" spans="1:43">
      <c r="A187" s="36">
        <v>184</v>
      </c>
      <c r="B187" s="36">
        <v>111</v>
      </c>
      <c r="C187" s="570" t="str">
        <f t="shared" si="22"/>
        <v>目白カーサ二番館</v>
      </c>
      <c r="D187" s="45" t="s">
        <v>1850</v>
      </c>
      <c r="E187" s="46" t="s">
        <v>1017</v>
      </c>
      <c r="F187" s="324">
        <v>631</v>
      </c>
      <c r="G187" s="566" t="str">
        <f t="shared" si="23"/>
        <v>住居</v>
      </c>
      <c r="H187" s="44" t="s">
        <v>1567</v>
      </c>
      <c r="I187" s="325">
        <v>1758634</v>
      </c>
      <c r="J187" s="325">
        <v>0</v>
      </c>
      <c r="K187" s="325">
        <v>0</v>
      </c>
      <c r="L187" s="325">
        <v>0</v>
      </c>
      <c r="M187" s="565">
        <f t="shared" si="30"/>
        <v>1758634</v>
      </c>
      <c r="N187" s="326">
        <v>1752707</v>
      </c>
      <c r="O187" s="326">
        <v>0</v>
      </c>
      <c r="P187" s="565">
        <f t="shared" si="24"/>
        <v>1752707</v>
      </c>
      <c r="Q187" s="565">
        <f t="shared" si="31"/>
        <v>1758634</v>
      </c>
      <c r="R187" s="325" t="s">
        <v>1851</v>
      </c>
      <c r="S187" s="325" t="s">
        <v>187</v>
      </c>
      <c r="T187" s="327" t="s">
        <v>1852</v>
      </c>
      <c r="V187" s="43" t="s">
        <v>1853</v>
      </c>
      <c r="W187" s="55">
        <v>1752707</v>
      </c>
      <c r="Y187" s="6">
        <f t="shared" si="25"/>
        <v>1</v>
      </c>
      <c r="Z187" s="562">
        <f t="shared" si="26"/>
        <v>1758634</v>
      </c>
      <c r="AA187" s="122">
        <f t="shared" si="27"/>
        <v>-5927</v>
      </c>
      <c r="AB187" s="122">
        <f t="shared" si="28"/>
        <v>5927</v>
      </c>
      <c r="AC187" s="6">
        <f t="shared" si="29"/>
        <v>0</v>
      </c>
      <c r="AD187" s="563">
        <f t="shared" si="32"/>
        <v>1</v>
      </c>
      <c r="AE187" s="64"/>
      <c r="AF187" s="31">
        <v>1758634</v>
      </c>
      <c r="AG187" s="31">
        <v>0</v>
      </c>
      <c r="AH187" s="31">
        <v>0</v>
      </c>
      <c r="AI187" s="31">
        <v>0</v>
      </c>
      <c r="AJ187" s="31">
        <v>1758634</v>
      </c>
      <c r="AK187" s="31">
        <v>1752707</v>
      </c>
      <c r="AL187" s="31">
        <v>0</v>
      </c>
      <c r="AM187" s="56">
        <v>1752707</v>
      </c>
      <c r="AN187" s="31">
        <v>1758634</v>
      </c>
      <c r="AO187" s="31" t="s">
        <v>1851</v>
      </c>
      <c r="AP187" s="23" t="s">
        <v>187</v>
      </c>
      <c r="AQ187" s="23" t="s">
        <v>1852</v>
      </c>
    </row>
    <row r="188" spans="1:43">
      <c r="A188" s="36">
        <v>185</v>
      </c>
      <c r="B188" s="36">
        <v>111</v>
      </c>
      <c r="C188" s="570" t="str">
        <f t="shared" si="22"/>
        <v>目白カーサ二番館</v>
      </c>
      <c r="D188" s="45" t="s">
        <v>1580</v>
      </c>
      <c r="E188" s="46">
        <v>45.527000000000001</v>
      </c>
      <c r="F188" s="324">
        <v>631</v>
      </c>
      <c r="G188" s="566" t="str">
        <f t="shared" si="23"/>
        <v>住居</v>
      </c>
      <c r="H188" s="44" t="s">
        <v>1667</v>
      </c>
      <c r="I188" s="325" t="s">
        <v>846</v>
      </c>
      <c r="J188" s="325" t="s">
        <v>846</v>
      </c>
      <c r="K188" s="325" t="s">
        <v>846</v>
      </c>
      <c r="L188" s="325" t="s">
        <v>846</v>
      </c>
      <c r="M188" s="565">
        <f t="shared" si="30"/>
        <v>0</v>
      </c>
      <c r="N188" s="325">
        <v>91000</v>
      </c>
      <c r="O188" s="326">
        <v>0</v>
      </c>
      <c r="P188" s="565">
        <f t="shared" si="24"/>
        <v>91000</v>
      </c>
      <c r="Q188" s="565">
        <f t="shared" si="31"/>
        <v>91000</v>
      </c>
      <c r="R188" s="325" t="s">
        <v>1017</v>
      </c>
      <c r="S188" s="325" t="s">
        <v>187</v>
      </c>
      <c r="T188" s="327" t="s">
        <v>1854</v>
      </c>
      <c r="V188" s="43" t="s">
        <v>1855</v>
      </c>
      <c r="W188" s="55">
        <v>0</v>
      </c>
      <c r="Y188" s="6">
        <f t="shared" si="25"/>
        <v>0</v>
      </c>
      <c r="Z188" s="562">
        <f t="shared" si="26"/>
        <v>91000</v>
      </c>
      <c r="AA188" s="122">
        <f t="shared" si="27"/>
        <v>0</v>
      </c>
      <c r="AB188" s="122">
        <f t="shared" si="28"/>
        <v>91000</v>
      </c>
      <c r="AC188" s="6">
        <f t="shared" si="29"/>
        <v>1</v>
      </c>
      <c r="AD188" s="563">
        <f t="shared" si="32"/>
        <v>0</v>
      </c>
      <c r="AE188" s="64"/>
      <c r="AF188" s="60" t="s">
        <v>1017</v>
      </c>
      <c r="AG188" s="60" t="s">
        <v>1017</v>
      </c>
      <c r="AH188" s="60" t="s">
        <v>1017</v>
      </c>
      <c r="AI188" s="60" t="s">
        <v>1017</v>
      </c>
      <c r="AJ188" s="31" t="s">
        <v>1017</v>
      </c>
      <c r="AK188" s="31">
        <v>0</v>
      </c>
      <c r="AL188" s="31">
        <v>0</v>
      </c>
      <c r="AM188" s="61">
        <v>0</v>
      </c>
      <c r="AN188" s="62">
        <v>0</v>
      </c>
      <c r="AO188" s="62" t="s">
        <v>1017</v>
      </c>
      <c r="AP188" s="23" t="s">
        <v>187</v>
      </c>
      <c r="AQ188" s="23" t="s">
        <v>1854</v>
      </c>
    </row>
    <row r="189" spans="1:43">
      <c r="A189" s="36">
        <v>186</v>
      </c>
      <c r="B189" s="36">
        <v>111</v>
      </c>
      <c r="C189" s="570" t="str">
        <f t="shared" si="22"/>
        <v>目白カーサ二番館</v>
      </c>
      <c r="D189" s="45" t="s">
        <v>1582</v>
      </c>
      <c r="E189" s="46">
        <v>45.527000000000001</v>
      </c>
      <c r="F189" s="324">
        <v>631</v>
      </c>
      <c r="G189" s="566" t="str">
        <f t="shared" si="23"/>
        <v>住居</v>
      </c>
      <c r="H189" s="44" t="s">
        <v>1667</v>
      </c>
      <c r="I189" s="325" t="s">
        <v>846</v>
      </c>
      <c r="J189" s="325" t="s">
        <v>846</v>
      </c>
      <c r="K189" s="325" t="s">
        <v>846</v>
      </c>
      <c r="L189" s="325" t="s">
        <v>846</v>
      </c>
      <c r="M189" s="565">
        <f t="shared" si="30"/>
        <v>0</v>
      </c>
      <c r="N189" s="325">
        <v>91000</v>
      </c>
      <c r="O189" s="326">
        <v>0</v>
      </c>
      <c r="P189" s="565">
        <f t="shared" si="24"/>
        <v>91000</v>
      </c>
      <c r="Q189" s="565">
        <f t="shared" si="31"/>
        <v>91000</v>
      </c>
      <c r="R189" s="325" t="s">
        <v>1017</v>
      </c>
      <c r="S189" s="325" t="s">
        <v>187</v>
      </c>
      <c r="T189" s="327" t="s">
        <v>1854</v>
      </c>
      <c r="V189" s="43" t="s">
        <v>1856</v>
      </c>
      <c r="W189" s="55">
        <v>0</v>
      </c>
      <c r="Y189" s="6">
        <f t="shared" si="25"/>
        <v>0</v>
      </c>
      <c r="Z189" s="562">
        <f t="shared" si="26"/>
        <v>91000</v>
      </c>
      <c r="AA189" s="122">
        <f t="shared" si="27"/>
        <v>0</v>
      </c>
      <c r="AB189" s="122">
        <f t="shared" si="28"/>
        <v>91000</v>
      </c>
      <c r="AC189" s="6">
        <f t="shared" si="29"/>
        <v>1</v>
      </c>
      <c r="AD189" s="563">
        <f t="shared" si="32"/>
        <v>0</v>
      </c>
      <c r="AE189" s="64"/>
      <c r="AF189" s="60" t="s">
        <v>1017</v>
      </c>
      <c r="AG189" s="60" t="s">
        <v>1017</v>
      </c>
      <c r="AH189" s="60" t="s">
        <v>1017</v>
      </c>
      <c r="AI189" s="60" t="s">
        <v>1017</v>
      </c>
      <c r="AJ189" s="31" t="s">
        <v>1017</v>
      </c>
      <c r="AK189" s="31">
        <v>0</v>
      </c>
      <c r="AL189" s="31">
        <v>0</v>
      </c>
      <c r="AM189" s="61">
        <v>0</v>
      </c>
      <c r="AN189" s="62">
        <v>0</v>
      </c>
      <c r="AO189" s="62" t="s">
        <v>1017</v>
      </c>
      <c r="AP189" s="23" t="s">
        <v>187</v>
      </c>
      <c r="AQ189" s="23" t="s">
        <v>1854</v>
      </c>
    </row>
    <row r="190" spans="1:43">
      <c r="A190" s="36">
        <v>187</v>
      </c>
      <c r="B190" s="36">
        <v>111</v>
      </c>
      <c r="C190" s="570" t="str">
        <f t="shared" si="22"/>
        <v>目白カーサ二番館</v>
      </c>
      <c r="D190" s="45" t="s">
        <v>1585</v>
      </c>
      <c r="E190" s="46">
        <v>45.527000000000001</v>
      </c>
      <c r="F190" s="324">
        <v>631</v>
      </c>
      <c r="G190" s="566" t="str">
        <f t="shared" si="23"/>
        <v>住居</v>
      </c>
      <c r="H190" s="44" t="s">
        <v>1667</v>
      </c>
      <c r="I190" s="325" t="s">
        <v>846</v>
      </c>
      <c r="J190" s="325" t="s">
        <v>846</v>
      </c>
      <c r="K190" s="325" t="s">
        <v>846</v>
      </c>
      <c r="L190" s="325" t="s">
        <v>846</v>
      </c>
      <c r="M190" s="565">
        <f t="shared" si="30"/>
        <v>0</v>
      </c>
      <c r="N190" s="325">
        <v>91000</v>
      </c>
      <c r="O190" s="326">
        <v>0</v>
      </c>
      <c r="P190" s="565">
        <f t="shared" si="24"/>
        <v>91000</v>
      </c>
      <c r="Q190" s="565">
        <f t="shared" si="31"/>
        <v>91000</v>
      </c>
      <c r="R190" s="325" t="s">
        <v>1017</v>
      </c>
      <c r="S190" s="325" t="s">
        <v>187</v>
      </c>
      <c r="T190" s="327" t="s">
        <v>1854</v>
      </c>
      <c r="V190" s="43" t="s">
        <v>1857</v>
      </c>
      <c r="W190" s="55">
        <v>0</v>
      </c>
      <c r="Y190" s="6">
        <f t="shared" si="25"/>
        <v>0</v>
      </c>
      <c r="Z190" s="562">
        <f t="shared" si="26"/>
        <v>91000</v>
      </c>
      <c r="AA190" s="122">
        <f t="shared" si="27"/>
        <v>0</v>
      </c>
      <c r="AB190" s="122">
        <f t="shared" si="28"/>
        <v>91000</v>
      </c>
      <c r="AC190" s="6">
        <f t="shared" si="29"/>
        <v>1</v>
      </c>
      <c r="AD190" s="563">
        <f t="shared" si="32"/>
        <v>0</v>
      </c>
      <c r="AE190" s="64"/>
      <c r="AF190" s="60" t="s">
        <v>1017</v>
      </c>
      <c r="AG190" s="60" t="s">
        <v>1017</v>
      </c>
      <c r="AH190" s="60" t="s">
        <v>1017</v>
      </c>
      <c r="AI190" s="60" t="s">
        <v>1017</v>
      </c>
      <c r="AJ190" s="31" t="s">
        <v>1017</v>
      </c>
      <c r="AK190" s="31">
        <v>0</v>
      </c>
      <c r="AL190" s="31">
        <v>0</v>
      </c>
      <c r="AM190" s="61">
        <v>0</v>
      </c>
      <c r="AN190" s="62">
        <v>0</v>
      </c>
      <c r="AO190" s="62" t="s">
        <v>1017</v>
      </c>
      <c r="AP190" s="23" t="s">
        <v>187</v>
      </c>
      <c r="AQ190" s="23" t="s">
        <v>1854</v>
      </c>
    </row>
    <row r="191" spans="1:43">
      <c r="A191" s="36">
        <v>188</v>
      </c>
      <c r="B191" s="36">
        <v>111</v>
      </c>
      <c r="C191" s="570" t="str">
        <f t="shared" si="22"/>
        <v>目白カーサ二番館</v>
      </c>
      <c r="D191" s="45" t="s">
        <v>1587</v>
      </c>
      <c r="E191" s="46">
        <v>23.193000000000001</v>
      </c>
      <c r="F191" s="324">
        <v>631</v>
      </c>
      <c r="G191" s="566" t="str">
        <f t="shared" si="23"/>
        <v>住居</v>
      </c>
      <c r="H191" s="44" t="s">
        <v>1811</v>
      </c>
      <c r="I191" s="325" t="s">
        <v>846</v>
      </c>
      <c r="J191" s="325" t="s">
        <v>846</v>
      </c>
      <c r="K191" s="325" t="s">
        <v>846</v>
      </c>
      <c r="L191" s="325" t="s">
        <v>846</v>
      </c>
      <c r="M191" s="565">
        <f t="shared" si="30"/>
        <v>0</v>
      </c>
      <c r="N191" s="325">
        <v>91000</v>
      </c>
      <c r="O191" s="326">
        <v>0</v>
      </c>
      <c r="P191" s="565">
        <f t="shared" si="24"/>
        <v>91000</v>
      </c>
      <c r="Q191" s="565">
        <f t="shared" si="31"/>
        <v>91000</v>
      </c>
      <c r="R191" s="325" t="s">
        <v>1017</v>
      </c>
      <c r="S191" s="325" t="s">
        <v>187</v>
      </c>
      <c r="T191" s="327" t="s">
        <v>1854</v>
      </c>
      <c r="V191" s="43" t="s">
        <v>1858</v>
      </c>
      <c r="W191" s="55">
        <v>0</v>
      </c>
      <c r="Y191" s="6">
        <f t="shared" si="25"/>
        <v>0</v>
      </c>
      <c r="Z191" s="562">
        <f t="shared" si="26"/>
        <v>91000</v>
      </c>
      <c r="AA191" s="122">
        <f t="shared" si="27"/>
        <v>0</v>
      </c>
      <c r="AB191" s="122">
        <f t="shared" si="28"/>
        <v>91000</v>
      </c>
      <c r="AC191" s="6">
        <f t="shared" si="29"/>
        <v>1</v>
      </c>
      <c r="AD191" s="563">
        <f t="shared" si="32"/>
        <v>0</v>
      </c>
      <c r="AE191" s="64"/>
      <c r="AF191" s="60" t="s">
        <v>1017</v>
      </c>
      <c r="AG191" s="60" t="s">
        <v>1017</v>
      </c>
      <c r="AH191" s="60" t="s">
        <v>1017</v>
      </c>
      <c r="AI191" s="60" t="s">
        <v>1017</v>
      </c>
      <c r="AJ191" s="31" t="s">
        <v>1017</v>
      </c>
      <c r="AK191" s="31">
        <v>0</v>
      </c>
      <c r="AL191" s="31">
        <v>0</v>
      </c>
      <c r="AM191" s="61">
        <v>0</v>
      </c>
      <c r="AN191" s="62">
        <v>0</v>
      </c>
      <c r="AO191" s="62" t="s">
        <v>1017</v>
      </c>
      <c r="AP191" s="23" t="s">
        <v>187</v>
      </c>
      <c r="AQ191" s="23" t="s">
        <v>1854</v>
      </c>
    </row>
    <row r="192" spans="1:43">
      <c r="A192" s="36">
        <v>189</v>
      </c>
      <c r="B192" s="36">
        <v>111</v>
      </c>
      <c r="C192" s="570" t="str">
        <f t="shared" si="22"/>
        <v>目白カーサ二番館</v>
      </c>
      <c r="D192" s="45" t="s">
        <v>1589</v>
      </c>
      <c r="E192" s="46">
        <v>45.527000000000001</v>
      </c>
      <c r="F192" s="324">
        <v>631</v>
      </c>
      <c r="G192" s="566" t="str">
        <f t="shared" si="23"/>
        <v>住居</v>
      </c>
      <c r="H192" s="44" t="s">
        <v>1667</v>
      </c>
      <c r="I192" s="325" t="s">
        <v>846</v>
      </c>
      <c r="J192" s="325" t="s">
        <v>846</v>
      </c>
      <c r="K192" s="325" t="s">
        <v>846</v>
      </c>
      <c r="L192" s="325" t="s">
        <v>846</v>
      </c>
      <c r="M192" s="565">
        <f t="shared" si="30"/>
        <v>0</v>
      </c>
      <c r="N192" s="325">
        <v>91000</v>
      </c>
      <c r="O192" s="326">
        <v>0</v>
      </c>
      <c r="P192" s="565">
        <f t="shared" si="24"/>
        <v>91000</v>
      </c>
      <c r="Q192" s="565">
        <f t="shared" si="31"/>
        <v>91000</v>
      </c>
      <c r="R192" s="325" t="s">
        <v>1017</v>
      </c>
      <c r="S192" s="325" t="s">
        <v>187</v>
      </c>
      <c r="T192" s="327" t="s">
        <v>1854</v>
      </c>
      <c r="V192" s="43" t="s">
        <v>1859</v>
      </c>
      <c r="W192" s="55">
        <v>0</v>
      </c>
      <c r="Y192" s="6">
        <f t="shared" si="25"/>
        <v>0</v>
      </c>
      <c r="Z192" s="562">
        <f t="shared" si="26"/>
        <v>91000</v>
      </c>
      <c r="AA192" s="122">
        <f t="shared" si="27"/>
        <v>0</v>
      </c>
      <c r="AB192" s="122">
        <f t="shared" si="28"/>
        <v>91000</v>
      </c>
      <c r="AC192" s="6">
        <f t="shared" si="29"/>
        <v>1</v>
      </c>
      <c r="AD192" s="563">
        <f t="shared" si="32"/>
        <v>0</v>
      </c>
      <c r="AE192" s="64"/>
      <c r="AF192" s="60" t="s">
        <v>1017</v>
      </c>
      <c r="AG192" s="60" t="s">
        <v>1017</v>
      </c>
      <c r="AH192" s="60" t="s">
        <v>1017</v>
      </c>
      <c r="AI192" s="60" t="s">
        <v>1017</v>
      </c>
      <c r="AJ192" s="31" t="s">
        <v>1017</v>
      </c>
      <c r="AK192" s="31">
        <v>0</v>
      </c>
      <c r="AL192" s="31">
        <v>0</v>
      </c>
      <c r="AM192" s="61">
        <v>0</v>
      </c>
      <c r="AN192" s="62">
        <v>0</v>
      </c>
      <c r="AO192" s="62" t="s">
        <v>1017</v>
      </c>
      <c r="AP192" s="23" t="s">
        <v>187</v>
      </c>
      <c r="AQ192" s="23" t="s">
        <v>1854</v>
      </c>
    </row>
    <row r="193" spans="1:43">
      <c r="A193" s="36">
        <v>190</v>
      </c>
      <c r="B193" s="36">
        <v>111</v>
      </c>
      <c r="C193" s="570" t="str">
        <f t="shared" si="22"/>
        <v>目白カーサ二番館</v>
      </c>
      <c r="D193" s="45" t="s">
        <v>1591</v>
      </c>
      <c r="E193" s="46">
        <v>45.527000000000001</v>
      </c>
      <c r="F193" s="324">
        <v>631</v>
      </c>
      <c r="G193" s="566" t="str">
        <f t="shared" si="23"/>
        <v>住居</v>
      </c>
      <c r="H193" s="44" t="s">
        <v>1667</v>
      </c>
      <c r="I193" s="325" t="s">
        <v>846</v>
      </c>
      <c r="J193" s="325" t="s">
        <v>846</v>
      </c>
      <c r="K193" s="325" t="s">
        <v>846</v>
      </c>
      <c r="L193" s="325" t="s">
        <v>846</v>
      </c>
      <c r="M193" s="565">
        <f t="shared" si="30"/>
        <v>0</v>
      </c>
      <c r="N193" s="325">
        <v>91000</v>
      </c>
      <c r="O193" s="326">
        <v>0</v>
      </c>
      <c r="P193" s="565">
        <f t="shared" si="24"/>
        <v>91000</v>
      </c>
      <c r="Q193" s="565">
        <f t="shared" si="31"/>
        <v>91000</v>
      </c>
      <c r="R193" s="325" t="s">
        <v>1017</v>
      </c>
      <c r="S193" s="325" t="s">
        <v>187</v>
      </c>
      <c r="T193" s="327" t="s">
        <v>1854</v>
      </c>
      <c r="V193" s="43" t="s">
        <v>1860</v>
      </c>
      <c r="W193" s="55">
        <v>0</v>
      </c>
      <c r="Y193" s="6">
        <f t="shared" si="25"/>
        <v>0</v>
      </c>
      <c r="Z193" s="562">
        <f t="shared" si="26"/>
        <v>91000</v>
      </c>
      <c r="AA193" s="122">
        <f t="shared" si="27"/>
        <v>0</v>
      </c>
      <c r="AB193" s="122">
        <f t="shared" si="28"/>
        <v>91000</v>
      </c>
      <c r="AC193" s="6">
        <f t="shared" si="29"/>
        <v>1</v>
      </c>
      <c r="AD193" s="563">
        <f t="shared" si="32"/>
        <v>0</v>
      </c>
      <c r="AE193" s="64"/>
      <c r="AF193" s="60" t="s">
        <v>1017</v>
      </c>
      <c r="AG193" s="60" t="s">
        <v>1017</v>
      </c>
      <c r="AH193" s="60" t="s">
        <v>1017</v>
      </c>
      <c r="AI193" s="60" t="s">
        <v>1017</v>
      </c>
      <c r="AJ193" s="31" t="s">
        <v>1017</v>
      </c>
      <c r="AK193" s="31">
        <v>0</v>
      </c>
      <c r="AL193" s="31">
        <v>0</v>
      </c>
      <c r="AM193" s="61">
        <v>0</v>
      </c>
      <c r="AN193" s="62">
        <v>0</v>
      </c>
      <c r="AO193" s="62" t="s">
        <v>1017</v>
      </c>
      <c r="AP193" s="23" t="s">
        <v>187</v>
      </c>
      <c r="AQ193" s="23" t="s">
        <v>1854</v>
      </c>
    </row>
    <row r="194" spans="1:43">
      <c r="A194" s="36">
        <v>191</v>
      </c>
      <c r="B194" s="36">
        <v>111</v>
      </c>
      <c r="C194" s="570" t="str">
        <f t="shared" si="22"/>
        <v>目白カーサ二番館</v>
      </c>
      <c r="D194" s="45" t="s">
        <v>1593</v>
      </c>
      <c r="E194" s="46">
        <v>60.988999999999997</v>
      </c>
      <c r="F194" s="324">
        <v>631</v>
      </c>
      <c r="G194" s="566" t="str">
        <f t="shared" si="23"/>
        <v>住居</v>
      </c>
      <c r="H194" s="44" t="s">
        <v>1667</v>
      </c>
      <c r="I194" s="325" t="s">
        <v>846</v>
      </c>
      <c r="J194" s="325" t="s">
        <v>846</v>
      </c>
      <c r="K194" s="325" t="s">
        <v>846</v>
      </c>
      <c r="L194" s="325" t="s">
        <v>846</v>
      </c>
      <c r="M194" s="565">
        <f t="shared" si="30"/>
        <v>0</v>
      </c>
      <c r="N194" s="325">
        <v>91000</v>
      </c>
      <c r="O194" s="326">
        <v>0</v>
      </c>
      <c r="P194" s="565">
        <f t="shared" si="24"/>
        <v>91000</v>
      </c>
      <c r="Q194" s="565">
        <f t="shared" si="31"/>
        <v>91000</v>
      </c>
      <c r="R194" s="325" t="s">
        <v>1017</v>
      </c>
      <c r="S194" s="325" t="s">
        <v>187</v>
      </c>
      <c r="T194" s="327" t="s">
        <v>1854</v>
      </c>
      <c r="V194" s="43" t="s">
        <v>1861</v>
      </c>
      <c r="W194" s="55">
        <v>0</v>
      </c>
      <c r="Y194" s="6">
        <f t="shared" si="25"/>
        <v>0</v>
      </c>
      <c r="Z194" s="562">
        <f t="shared" si="26"/>
        <v>91000</v>
      </c>
      <c r="AA194" s="122">
        <f t="shared" si="27"/>
        <v>0</v>
      </c>
      <c r="AB194" s="122">
        <f t="shared" si="28"/>
        <v>91000</v>
      </c>
      <c r="AC194" s="6">
        <f t="shared" si="29"/>
        <v>1</v>
      </c>
      <c r="AD194" s="563">
        <f t="shared" si="32"/>
        <v>0</v>
      </c>
      <c r="AE194" s="64"/>
      <c r="AF194" s="60" t="s">
        <v>1017</v>
      </c>
      <c r="AG194" s="60" t="s">
        <v>1017</v>
      </c>
      <c r="AH194" s="60" t="s">
        <v>1017</v>
      </c>
      <c r="AI194" s="60" t="s">
        <v>1017</v>
      </c>
      <c r="AJ194" s="31" t="s">
        <v>1017</v>
      </c>
      <c r="AK194" s="31">
        <v>0</v>
      </c>
      <c r="AL194" s="31">
        <v>0</v>
      </c>
      <c r="AM194" s="61">
        <v>0</v>
      </c>
      <c r="AN194" s="62">
        <v>0</v>
      </c>
      <c r="AO194" s="62" t="s">
        <v>1017</v>
      </c>
      <c r="AP194" s="23" t="s">
        <v>187</v>
      </c>
      <c r="AQ194" s="23" t="s">
        <v>1854</v>
      </c>
    </row>
    <row r="195" spans="1:43">
      <c r="A195" s="36">
        <v>192</v>
      </c>
      <c r="B195" s="36">
        <v>111</v>
      </c>
      <c r="C195" s="570" t="str">
        <f t="shared" si="22"/>
        <v>目白カーサ二番館</v>
      </c>
      <c r="D195" s="45" t="s">
        <v>1603</v>
      </c>
      <c r="E195" s="46">
        <v>45.527000000000001</v>
      </c>
      <c r="F195" s="324">
        <v>631</v>
      </c>
      <c r="G195" s="566" t="str">
        <f t="shared" si="23"/>
        <v>住居</v>
      </c>
      <c r="H195" s="44" t="s">
        <v>1667</v>
      </c>
      <c r="I195" s="325" t="s">
        <v>846</v>
      </c>
      <c r="J195" s="325" t="s">
        <v>846</v>
      </c>
      <c r="K195" s="325" t="s">
        <v>846</v>
      </c>
      <c r="L195" s="325" t="s">
        <v>846</v>
      </c>
      <c r="M195" s="565">
        <f t="shared" si="30"/>
        <v>0</v>
      </c>
      <c r="N195" s="325">
        <v>91000</v>
      </c>
      <c r="O195" s="326">
        <v>0</v>
      </c>
      <c r="P195" s="565">
        <f t="shared" si="24"/>
        <v>91000</v>
      </c>
      <c r="Q195" s="565">
        <f t="shared" si="31"/>
        <v>91000</v>
      </c>
      <c r="R195" s="325" t="s">
        <v>1017</v>
      </c>
      <c r="S195" s="325" t="s">
        <v>187</v>
      </c>
      <c r="T195" s="327" t="s">
        <v>1854</v>
      </c>
      <c r="V195" s="43" t="s">
        <v>1862</v>
      </c>
      <c r="W195" s="55">
        <v>0</v>
      </c>
      <c r="Y195" s="6">
        <f t="shared" si="25"/>
        <v>0</v>
      </c>
      <c r="Z195" s="562">
        <f t="shared" si="26"/>
        <v>91000</v>
      </c>
      <c r="AA195" s="122">
        <f t="shared" si="27"/>
        <v>0</v>
      </c>
      <c r="AB195" s="122">
        <f t="shared" si="28"/>
        <v>91000</v>
      </c>
      <c r="AC195" s="6">
        <f t="shared" si="29"/>
        <v>1</v>
      </c>
      <c r="AD195" s="563">
        <f t="shared" si="32"/>
        <v>0</v>
      </c>
      <c r="AE195" s="64"/>
      <c r="AF195" s="60" t="s">
        <v>1017</v>
      </c>
      <c r="AG195" s="60" t="s">
        <v>1017</v>
      </c>
      <c r="AH195" s="60" t="s">
        <v>1017</v>
      </c>
      <c r="AI195" s="60" t="s">
        <v>1017</v>
      </c>
      <c r="AJ195" s="31" t="s">
        <v>1017</v>
      </c>
      <c r="AK195" s="31">
        <v>0</v>
      </c>
      <c r="AL195" s="31">
        <v>0</v>
      </c>
      <c r="AM195" s="61">
        <v>0</v>
      </c>
      <c r="AN195" s="62">
        <v>0</v>
      </c>
      <c r="AO195" s="62" t="s">
        <v>1017</v>
      </c>
      <c r="AP195" s="23" t="s">
        <v>187</v>
      </c>
      <c r="AQ195" s="23" t="s">
        <v>1854</v>
      </c>
    </row>
    <row r="196" spans="1:43">
      <c r="A196" s="36">
        <v>193</v>
      </c>
      <c r="B196" s="36">
        <v>111</v>
      </c>
      <c r="C196" s="570" t="str">
        <f t="shared" ref="C196:C259" si="33">VLOOKUP(B196,id_settings,2,FALSE)</f>
        <v>目白カーサ二番館</v>
      </c>
      <c r="D196" s="45" t="s">
        <v>1605</v>
      </c>
      <c r="E196" s="46">
        <v>45.527000000000001</v>
      </c>
      <c r="F196" s="324">
        <v>631</v>
      </c>
      <c r="G196" s="566" t="str">
        <f t="shared" ref="G196:G259" si="34">VLOOKUP(F196,id_settings,2,FALSE)</f>
        <v>住居</v>
      </c>
      <c r="H196" s="44" t="s">
        <v>1667</v>
      </c>
      <c r="I196" s="325" t="s">
        <v>846</v>
      </c>
      <c r="J196" s="325" t="s">
        <v>846</v>
      </c>
      <c r="K196" s="325" t="s">
        <v>846</v>
      </c>
      <c r="L196" s="325" t="s">
        <v>846</v>
      </c>
      <c r="M196" s="565">
        <f t="shared" si="30"/>
        <v>0</v>
      </c>
      <c r="N196" s="325">
        <v>91000</v>
      </c>
      <c r="O196" s="326">
        <v>0</v>
      </c>
      <c r="P196" s="565">
        <f t="shared" ref="P196:P259" si="35">N196+O196</f>
        <v>91000</v>
      </c>
      <c r="Q196" s="565">
        <f t="shared" si="31"/>
        <v>91000</v>
      </c>
      <c r="R196" s="325" t="s">
        <v>1017</v>
      </c>
      <c r="S196" s="325" t="s">
        <v>187</v>
      </c>
      <c r="T196" s="327" t="s">
        <v>1854</v>
      </c>
      <c r="V196" s="43" t="s">
        <v>1863</v>
      </c>
      <c r="W196" s="55">
        <v>0</v>
      </c>
      <c r="Y196" s="6">
        <f t="shared" ref="Y196:Y259" si="36">IF(M196=0,0,1)</f>
        <v>0</v>
      </c>
      <c r="Z196" s="562">
        <f t="shared" ref="Z196:Z259" si="37">IF(Y196=1,SUM(I196:K196),N196)</f>
        <v>91000</v>
      </c>
      <c r="AA196" s="122">
        <f t="shared" ref="AA196:AA259" si="38">N196-Z196</f>
        <v>0</v>
      </c>
      <c r="AB196" s="122">
        <f t="shared" ref="AB196:AB259" si="39">Z196-W196</f>
        <v>91000</v>
      </c>
      <c r="AC196" s="6">
        <f t="shared" ref="AC196:AC259" si="40">IF(E196="-",0,1)</f>
        <v>1</v>
      </c>
      <c r="AD196" s="563">
        <f t="shared" si="32"/>
        <v>0</v>
      </c>
      <c r="AE196" s="64"/>
      <c r="AF196" s="60" t="s">
        <v>1017</v>
      </c>
      <c r="AG196" s="60" t="s">
        <v>1017</v>
      </c>
      <c r="AH196" s="60" t="s">
        <v>1017</v>
      </c>
      <c r="AI196" s="60" t="s">
        <v>1017</v>
      </c>
      <c r="AJ196" s="31" t="s">
        <v>1017</v>
      </c>
      <c r="AK196" s="31">
        <v>0</v>
      </c>
      <c r="AL196" s="31">
        <v>0</v>
      </c>
      <c r="AM196" s="61">
        <v>0</v>
      </c>
      <c r="AN196" s="62">
        <v>0</v>
      </c>
      <c r="AO196" s="62" t="s">
        <v>1017</v>
      </c>
      <c r="AP196" s="23" t="s">
        <v>187</v>
      </c>
      <c r="AQ196" s="23" t="s">
        <v>1854</v>
      </c>
    </row>
    <row r="197" spans="1:43">
      <c r="A197" s="36">
        <v>194</v>
      </c>
      <c r="B197" s="36">
        <v>111</v>
      </c>
      <c r="C197" s="570" t="str">
        <f t="shared" si="33"/>
        <v>目白カーサ二番館</v>
      </c>
      <c r="D197" s="45" t="s">
        <v>1607</v>
      </c>
      <c r="E197" s="46">
        <v>45.527000000000001</v>
      </c>
      <c r="F197" s="324">
        <v>631</v>
      </c>
      <c r="G197" s="566" t="str">
        <f t="shared" si="34"/>
        <v>住居</v>
      </c>
      <c r="H197" s="44" t="s">
        <v>1667</v>
      </c>
      <c r="I197" s="325" t="s">
        <v>846</v>
      </c>
      <c r="J197" s="325" t="s">
        <v>846</v>
      </c>
      <c r="K197" s="325" t="s">
        <v>846</v>
      </c>
      <c r="L197" s="325" t="s">
        <v>846</v>
      </c>
      <c r="M197" s="565">
        <f t="shared" ref="M197:M260" si="41">SUM(I197:L197)</f>
        <v>0</v>
      </c>
      <c r="N197" s="325">
        <v>91000</v>
      </c>
      <c r="O197" s="326">
        <v>0</v>
      </c>
      <c r="P197" s="565">
        <f t="shared" si="35"/>
        <v>91000</v>
      </c>
      <c r="Q197" s="565">
        <f t="shared" ref="Q197:Q260" si="42">VALUE(IF(Y197=0,N197+O197,M197))</f>
        <v>91000</v>
      </c>
      <c r="R197" s="325" t="s">
        <v>1017</v>
      </c>
      <c r="S197" s="325" t="s">
        <v>187</v>
      </c>
      <c r="T197" s="327" t="s">
        <v>1854</v>
      </c>
      <c r="V197" s="43" t="s">
        <v>1864</v>
      </c>
      <c r="W197" s="55">
        <v>0</v>
      </c>
      <c r="Y197" s="6">
        <f t="shared" si="36"/>
        <v>0</v>
      </c>
      <c r="Z197" s="562">
        <f t="shared" si="37"/>
        <v>91000</v>
      </c>
      <c r="AA197" s="122">
        <f t="shared" si="38"/>
        <v>0</v>
      </c>
      <c r="AB197" s="122">
        <f t="shared" si="39"/>
        <v>91000</v>
      </c>
      <c r="AC197" s="6">
        <f t="shared" si="40"/>
        <v>1</v>
      </c>
      <c r="AD197" s="563">
        <f t="shared" ref="AD197:AD260" si="43">IF(I197="-",0,1)</f>
        <v>0</v>
      </c>
      <c r="AE197" s="64"/>
      <c r="AF197" s="60" t="s">
        <v>1017</v>
      </c>
      <c r="AG197" s="60" t="s">
        <v>1017</v>
      </c>
      <c r="AH197" s="60" t="s">
        <v>1017</v>
      </c>
      <c r="AI197" s="60" t="s">
        <v>1017</v>
      </c>
      <c r="AJ197" s="31" t="s">
        <v>1017</v>
      </c>
      <c r="AK197" s="31">
        <v>0</v>
      </c>
      <c r="AL197" s="31">
        <v>0</v>
      </c>
      <c r="AM197" s="61">
        <v>0</v>
      </c>
      <c r="AN197" s="62">
        <v>0</v>
      </c>
      <c r="AO197" s="62" t="s">
        <v>1017</v>
      </c>
      <c r="AP197" s="23" t="s">
        <v>187</v>
      </c>
      <c r="AQ197" s="23" t="s">
        <v>1854</v>
      </c>
    </row>
    <row r="198" spans="1:43">
      <c r="A198" s="36">
        <v>195</v>
      </c>
      <c r="B198" s="36">
        <v>111</v>
      </c>
      <c r="C198" s="570" t="str">
        <f t="shared" si="33"/>
        <v>目白カーサ二番館</v>
      </c>
      <c r="D198" s="45" t="s">
        <v>1865</v>
      </c>
      <c r="E198" s="46" t="s">
        <v>846</v>
      </c>
      <c r="F198" s="324">
        <v>634</v>
      </c>
      <c r="G198" s="566" t="str">
        <f t="shared" si="34"/>
        <v>駐車場</v>
      </c>
      <c r="H198" s="44" t="s">
        <v>1674</v>
      </c>
      <c r="I198" s="325">
        <v>83400</v>
      </c>
      <c r="J198" s="325">
        <v>0</v>
      </c>
      <c r="K198" s="325">
        <v>0</v>
      </c>
      <c r="L198" s="325">
        <v>8340</v>
      </c>
      <c r="M198" s="565">
        <f t="shared" si="41"/>
        <v>91740</v>
      </c>
      <c r="N198" s="326">
        <v>83400</v>
      </c>
      <c r="O198" s="326">
        <v>8340</v>
      </c>
      <c r="P198" s="565">
        <f t="shared" si="35"/>
        <v>91740</v>
      </c>
      <c r="Q198" s="565">
        <f t="shared" si="42"/>
        <v>91740</v>
      </c>
      <c r="R198" s="325" t="s">
        <v>1851</v>
      </c>
      <c r="S198" s="325" t="s">
        <v>187</v>
      </c>
      <c r="T198" s="327" t="s">
        <v>1284</v>
      </c>
      <c r="V198" s="43" t="s">
        <v>1866</v>
      </c>
      <c r="W198" s="55">
        <v>90072</v>
      </c>
      <c r="Y198" s="6">
        <f t="shared" si="36"/>
        <v>1</v>
      </c>
      <c r="Z198" s="562">
        <f t="shared" si="37"/>
        <v>83400</v>
      </c>
      <c r="AA198" s="122">
        <f t="shared" si="38"/>
        <v>0</v>
      </c>
      <c r="AB198" s="122">
        <f t="shared" si="39"/>
        <v>-6672</v>
      </c>
      <c r="AC198" s="6">
        <f t="shared" si="40"/>
        <v>0</v>
      </c>
      <c r="AD198" s="563">
        <f t="shared" si="43"/>
        <v>1</v>
      </c>
      <c r="AE198" s="64"/>
      <c r="AF198" s="31">
        <v>83400</v>
      </c>
      <c r="AG198" s="31">
        <v>0</v>
      </c>
      <c r="AH198" s="31">
        <v>0</v>
      </c>
      <c r="AI198" s="31">
        <v>8340</v>
      </c>
      <c r="AJ198" s="31">
        <v>91740</v>
      </c>
      <c r="AK198" s="31">
        <v>83400</v>
      </c>
      <c r="AL198" s="31">
        <v>8340</v>
      </c>
      <c r="AM198" s="56">
        <v>91740</v>
      </c>
      <c r="AN198" s="31">
        <v>91740</v>
      </c>
      <c r="AO198" s="31" t="s">
        <v>1851</v>
      </c>
      <c r="AP198" s="23" t="s">
        <v>187</v>
      </c>
      <c r="AQ198" s="23" t="s">
        <v>1284</v>
      </c>
    </row>
    <row r="199" spans="1:43">
      <c r="A199" s="36">
        <v>196</v>
      </c>
      <c r="B199" s="36">
        <v>111</v>
      </c>
      <c r="C199" s="570" t="str">
        <f t="shared" si="33"/>
        <v>目白カーサ二番館</v>
      </c>
      <c r="D199" s="45" t="s">
        <v>1867</v>
      </c>
      <c r="E199" s="46" t="s">
        <v>846</v>
      </c>
      <c r="F199" s="324">
        <v>634</v>
      </c>
      <c r="G199" s="566" t="str">
        <f t="shared" si="34"/>
        <v>駐車場</v>
      </c>
      <c r="H199" s="44" t="s">
        <v>1674</v>
      </c>
      <c r="I199" s="325">
        <v>20000</v>
      </c>
      <c r="J199" s="325">
        <v>0</v>
      </c>
      <c r="K199" s="325">
        <v>0</v>
      </c>
      <c r="L199" s="325">
        <v>2000</v>
      </c>
      <c r="M199" s="565">
        <f t="shared" si="41"/>
        <v>22000</v>
      </c>
      <c r="N199" s="326">
        <v>20000</v>
      </c>
      <c r="O199" s="326">
        <v>2000</v>
      </c>
      <c r="P199" s="565">
        <f t="shared" si="35"/>
        <v>22000</v>
      </c>
      <c r="Q199" s="565">
        <f t="shared" si="42"/>
        <v>22000</v>
      </c>
      <c r="R199" s="325" t="s">
        <v>1851</v>
      </c>
      <c r="S199" s="325" t="s">
        <v>187</v>
      </c>
      <c r="T199" s="327" t="s">
        <v>1284</v>
      </c>
      <c r="V199" s="43" t="s">
        <v>1868</v>
      </c>
      <c r="W199" s="55">
        <v>20571</v>
      </c>
      <c r="Y199" s="6">
        <f t="shared" si="36"/>
        <v>1</v>
      </c>
      <c r="Z199" s="562">
        <f t="shared" si="37"/>
        <v>20000</v>
      </c>
      <c r="AA199" s="122">
        <f t="shared" si="38"/>
        <v>0</v>
      </c>
      <c r="AB199" s="122">
        <f t="shared" si="39"/>
        <v>-571</v>
      </c>
      <c r="AC199" s="6">
        <f t="shared" si="40"/>
        <v>0</v>
      </c>
      <c r="AD199" s="563">
        <f t="shared" si="43"/>
        <v>1</v>
      </c>
      <c r="AE199" s="64"/>
      <c r="AF199" s="31">
        <v>20000</v>
      </c>
      <c r="AG199" s="31">
        <v>0</v>
      </c>
      <c r="AH199" s="31">
        <v>0</v>
      </c>
      <c r="AI199" s="31">
        <v>2000</v>
      </c>
      <c r="AJ199" s="31">
        <v>22000</v>
      </c>
      <c r="AK199" s="31">
        <v>20000</v>
      </c>
      <c r="AL199" s="31">
        <v>2000</v>
      </c>
      <c r="AM199" s="56">
        <v>22000</v>
      </c>
      <c r="AN199" s="31">
        <v>22000</v>
      </c>
      <c r="AO199" s="31" t="s">
        <v>1851</v>
      </c>
      <c r="AP199" s="23" t="s">
        <v>187</v>
      </c>
      <c r="AQ199" s="23" t="s">
        <v>1284</v>
      </c>
    </row>
    <row r="200" spans="1:43">
      <c r="A200" s="36">
        <v>197</v>
      </c>
      <c r="B200" s="36">
        <v>111</v>
      </c>
      <c r="C200" s="570" t="str">
        <f t="shared" si="33"/>
        <v>目白カーサ二番館</v>
      </c>
      <c r="D200" s="45" t="s">
        <v>1869</v>
      </c>
      <c r="E200" s="46">
        <v>0</v>
      </c>
      <c r="F200" s="324">
        <v>634</v>
      </c>
      <c r="G200" s="566" t="str">
        <f t="shared" si="34"/>
        <v>駐車場</v>
      </c>
      <c r="H200" s="44" t="s">
        <v>1674</v>
      </c>
      <c r="I200" s="325" t="s">
        <v>846</v>
      </c>
      <c r="J200" s="325" t="s">
        <v>846</v>
      </c>
      <c r="K200" s="325" t="s">
        <v>846</v>
      </c>
      <c r="L200" s="325" t="s">
        <v>846</v>
      </c>
      <c r="M200" s="565">
        <f t="shared" si="41"/>
        <v>0</v>
      </c>
      <c r="N200" s="325">
        <v>10000</v>
      </c>
      <c r="O200" s="326">
        <v>1000</v>
      </c>
      <c r="P200" s="565">
        <f t="shared" si="35"/>
        <v>11000</v>
      </c>
      <c r="Q200" s="565">
        <f t="shared" si="42"/>
        <v>11000</v>
      </c>
      <c r="R200" s="325" t="s">
        <v>1017</v>
      </c>
      <c r="S200" s="325" t="s">
        <v>1870</v>
      </c>
      <c r="T200" s="327" t="s">
        <v>1871</v>
      </c>
      <c r="V200" s="43" t="s">
        <v>1872</v>
      </c>
      <c r="W200" s="55">
        <v>0</v>
      </c>
      <c r="Y200" s="6">
        <f t="shared" si="36"/>
        <v>0</v>
      </c>
      <c r="Z200" s="562">
        <f t="shared" si="37"/>
        <v>10000</v>
      </c>
      <c r="AA200" s="122">
        <f t="shared" si="38"/>
        <v>0</v>
      </c>
      <c r="AB200" s="122">
        <f t="shared" si="39"/>
        <v>10000</v>
      </c>
      <c r="AC200" s="6">
        <f t="shared" si="40"/>
        <v>1</v>
      </c>
      <c r="AD200" s="563">
        <f t="shared" si="43"/>
        <v>0</v>
      </c>
      <c r="AE200" s="64"/>
      <c r="AF200" s="31" t="s">
        <v>1017</v>
      </c>
      <c r="AG200" s="31" t="s">
        <v>1017</v>
      </c>
      <c r="AH200" s="31" t="s">
        <v>1017</v>
      </c>
      <c r="AI200" s="31" t="s">
        <v>1017</v>
      </c>
      <c r="AJ200" s="31" t="s">
        <v>1017</v>
      </c>
      <c r="AK200" s="31">
        <v>0</v>
      </c>
      <c r="AL200" s="31">
        <v>0</v>
      </c>
      <c r="AM200" s="56">
        <v>0</v>
      </c>
      <c r="AN200" s="31">
        <v>0</v>
      </c>
      <c r="AO200" s="31" t="s">
        <v>1017</v>
      </c>
      <c r="AP200" s="23" t="s">
        <v>187</v>
      </c>
      <c r="AQ200" s="23" t="s">
        <v>1871</v>
      </c>
    </row>
    <row r="201" spans="1:43">
      <c r="A201" s="36">
        <v>198</v>
      </c>
      <c r="B201" s="36">
        <v>111</v>
      </c>
      <c r="C201" s="570" t="str">
        <f t="shared" si="33"/>
        <v>目白カーサ二番館</v>
      </c>
      <c r="D201" s="45" t="s">
        <v>1873</v>
      </c>
      <c r="E201" s="46">
        <v>0</v>
      </c>
      <c r="F201" s="324">
        <v>634</v>
      </c>
      <c r="G201" s="566" t="str">
        <f t="shared" si="34"/>
        <v>駐車場</v>
      </c>
      <c r="H201" s="44" t="s">
        <v>1674</v>
      </c>
      <c r="I201" s="325" t="s">
        <v>846</v>
      </c>
      <c r="J201" s="325" t="s">
        <v>846</v>
      </c>
      <c r="K201" s="325" t="s">
        <v>846</v>
      </c>
      <c r="L201" s="325" t="s">
        <v>846</v>
      </c>
      <c r="M201" s="565">
        <f t="shared" si="41"/>
        <v>0</v>
      </c>
      <c r="N201" s="325">
        <v>10000</v>
      </c>
      <c r="O201" s="326">
        <v>1000</v>
      </c>
      <c r="P201" s="565">
        <f t="shared" si="35"/>
        <v>11000</v>
      </c>
      <c r="Q201" s="565">
        <f t="shared" si="42"/>
        <v>11000</v>
      </c>
      <c r="R201" s="325" t="s">
        <v>1017</v>
      </c>
      <c r="S201" s="325" t="s">
        <v>1870</v>
      </c>
      <c r="T201" s="327" t="s">
        <v>1871</v>
      </c>
      <c r="V201" s="43" t="s">
        <v>1874</v>
      </c>
      <c r="W201" s="55">
        <v>0</v>
      </c>
      <c r="Y201" s="6">
        <f t="shared" si="36"/>
        <v>0</v>
      </c>
      <c r="Z201" s="562">
        <f t="shared" si="37"/>
        <v>10000</v>
      </c>
      <c r="AA201" s="122">
        <f t="shared" si="38"/>
        <v>0</v>
      </c>
      <c r="AB201" s="122">
        <f t="shared" si="39"/>
        <v>10000</v>
      </c>
      <c r="AC201" s="6">
        <f t="shared" si="40"/>
        <v>1</v>
      </c>
      <c r="AD201" s="563">
        <f t="shared" si="43"/>
        <v>0</v>
      </c>
      <c r="AE201" s="64"/>
      <c r="AF201" s="31" t="s">
        <v>1017</v>
      </c>
      <c r="AG201" s="31" t="s">
        <v>1017</v>
      </c>
      <c r="AH201" s="31" t="s">
        <v>1017</v>
      </c>
      <c r="AI201" s="31" t="s">
        <v>1017</v>
      </c>
      <c r="AJ201" s="31" t="s">
        <v>1017</v>
      </c>
      <c r="AK201" s="31">
        <v>0</v>
      </c>
      <c r="AL201" s="31">
        <v>0</v>
      </c>
      <c r="AM201" s="56">
        <v>0</v>
      </c>
      <c r="AN201" s="31">
        <v>0</v>
      </c>
      <c r="AO201" s="31" t="s">
        <v>1017</v>
      </c>
      <c r="AP201" s="23" t="s">
        <v>187</v>
      </c>
      <c r="AQ201" s="23" t="s">
        <v>1871</v>
      </c>
    </row>
    <row r="202" spans="1:43">
      <c r="A202" s="36">
        <v>199</v>
      </c>
      <c r="B202" s="36">
        <v>111</v>
      </c>
      <c r="C202" s="570" t="str">
        <f t="shared" si="33"/>
        <v>目白カーサ二番館</v>
      </c>
      <c r="D202" s="45" t="s">
        <v>1875</v>
      </c>
      <c r="E202" s="46">
        <v>0</v>
      </c>
      <c r="F202" s="324">
        <v>634</v>
      </c>
      <c r="G202" s="566" t="str">
        <f t="shared" si="34"/>
        <v>駐車場</v>
      </c>
      <c r="H202" s="44" t="s">
        <v>1674</v>
      </c>
      <c r="I202" s="325" t="s">
        <v>846</v>
      </c>
      <c r="J202" s="325" t="s">
        <v>846</v>
      </c>
      <c r="K202" s="325" t="s">
        <v>846</v>
      </c>
      <c r="L202" s="325" t="s">
        <v>846</v>
      </c>
      <c r="M202" s="565">
        <f t="shared" si="41"/>
        <v>0</v>
      </c>
      <c r="N202" s="325">
        <v>10000</v>
      </c>
      <c r="O202" s="326">
        <v>1000</v>
      </c>
      <c r="P202" s="565">
        <f t="shared" si="35"/>
        <v>11000</v>
      </c>
      <c r="Q202" s="565">
        <f t="shared" si="42"/>
        <v>11000</v>
      </c>
      <c r="R202" s="325" t="s">
        <v>1017</v>
      </c>
      <c r="S202" s="325" t="s">
        <v>1870</v>
      </c>
      <c r="T202" s="327" t="s">
        <v>1871</v>
      </c>
      <c r="V202" s="43" t="s">
        <v>1876</v>
      </c>
      <c r="W202" s="55">
        <v>0</v>
      </c>
      <c r="Y202" s="6">
        <f t="shared" si="36"/>
        <v>0</v>
      </c>
      <c r="Z202" s="562">
        <f t="shared" si="37"/>
        <v>10000</v>
      </c>
      <c r="AA202" s="122">
        <f t="shared" si="38"/>
        <v>0</v>
      </c>
      <c r="AB202" s="122">
        <f t="shared" si="39"/>
        <v>10000</v>
      </c>
      <c r="AC202" s="6">
        <f t="shared" si="40"/>
        <v>1</v>
      </c>
      <c r="AD202" s="563">
        <f t="shared" si="43"/>
        <v>0</v>
      </c>
      <c r="AE202" s="64"/>
      <c r="AF202" s="31" t="s">
        <v>1017</v>
      </c>
      <c r="AG202" s="31" t="s">
        <v>1017</v>
      </c>
      <c r="AH202" s="31" t="s">
        <v>1017</v>
      </c>
      <c r="AI202" s="31" t="s">
        <v>1017</v>
      </c>
      <c r="AJ202" s="31" t="s">
        <v>1017</v>
      </c>
      <c r="AK202" s="31">
        <v>0</v>
      </c>
      <c r="AL202" s="31">
        <v>0</v>
      </c>
      <c r="AM202" s="56">
        <v>0</v>
      </c>
      <c r="AN202" s="31">
        <v>0</v>
      </c>
      <c r="AO202" s="31" t="s">
        <v>1017</v>
      </c>
      <c r="AP202" s="23" t="s">
        <v>187</v>
      </c>
      <c r="AQ202" s="23" t="s">
        <v>1871</v>
      </c>
    </row>
    <row r="203" spans="1:43">
      <c r="A203" s="36">
        <v>200</v>
      </c>
      <c r="B203" s="36">
        <v>111</v>
      </c>
      <c r="C203" s="570" t="str">
        <f t="shared" si="33"/>
        <v>目白カーサ二番館</v>
      </c>
      <c r="D203" s="45" t="s">
        <v>1877</v>
      </c>
      <c r="E203" s="46">
        <v>0</v>
      </c>
      <c r="F203" s="324">
        <v>634</v>
      </c>
      <c r="G203" s="566" t="str">
        <f t="shared" si="34"/>
        <v>駐車場</v>
      </c>
      <c r="H203" s="44" t="s">
        <v>1674</v>
      </c>
      <c r="I203" s="325" t="s">
        <v>846</v>
      </c>
      <c r="J203" s="325" t="s">
        <v>846</v>
      </c>
      <c r="K203" s="325" t="s">
        <v>846</v>
      </c>
      <c r="L203" s="325" t="s">
        <v>846</v>
      </c>
      <c r="M203" s="565">
        <f t="shared" si="41"/>
        <v>0</v>
      </c>
      <c r="N203" s="325">
        <v>10000</v>
      </c>
      <c r="O203" s="326">
        <v>1000</v>
      </c>
      <c r="P203" s="565">
        <f t="shared" si="35"/>
        <v>11000</v>
      </c>
      <c r="Q203" s="565">
        <f t="shared" si="42"/>
        <v>11000</v>
      </c>
      <c r="R203" s="325" t="s">
        <v>1017</v>
      </c>
      <c r="S203" s="325" t="s">
        <v>1870</v>
      </c>
      <c r="T203" s="327" t="s">
        <v>1871</v>
      </c>
      <c r="V203" s="43" t="s">
        <v>1878</v>
      </c>
      <c r="W203" s="55">
        <v>0</v>
      </c>
      <c r="Y203" s="6">
        <f t="shared" si="36"/>
        <v>0</v>
      </c>
      <c r="Z203" s="562">
        <f t="shared" si="37"/>
        <v>10000</v>
      </c>
      <c r="AA203" s="122">
        <f t="shared" si="38"/>
        <v>0</v>
      </c>
      <c r="AB203" s="122">
        <f t="shared" si="39"/>
        <v>10000</v>
      </c>
      <c r="AC203" s="6">
        <f t="shared" si="40"/>
        <v>1</v>
      </c>
      <c r="AD203" s="563">
        <f t="shared" si="43"/>
        <v>0</v>
      </c>
      <c r="AE203" s="64"/>
      <c r="AF203" s="31" t="s">
        <v>1017</v>
      </c>
      <c r="AG203" s="31" t="s">
        <v>1017</v>
      </c>
      <c r="AH203" s="31" t="s">
        <v>1017</v>
      </c>
      <c r="AI203" s="31" t="s">
        <v>1017</v>
      </c>
      <c r="AJ203" s="31" t="s">
        <v>1017</v>
      </c>
      <c r="AK203" s="31">
        <v>0</v>
      </c>
      <c r="AL203" s="31">
        <v>0</v>
      </c>
      <c r="AM203" s="56">
        <v>0</v>
      </c>
      <c r="AN203" s="31">
        <v>0</v>
      </c>
      <c r="AO203" s="31" t="s">
        <v>1017</v>
      </c>
      <c r="AP203" s="23" t="s">
        <v>187</v>
      </c>
      <c r="AQ203" s="23" t="s">
        <v>1871</v>
      </c>
    </row>
    <row r="204" spans="1:43">
      <c r="A204" s="36">
        <v>201</v>
      </c>
      <c r="B204" s="36">
        <v>111</v>
      </c>
      <c r="C204" s="570" t="str">
        <f t="shared" si="33"/>
        <v>目白カーサ二番館</v>
      </c>
      <c r="D204" s="45" t="s">
        <v>1879</v>
      </c>
      <c r="E204" s="46">
        <v>0</v>
      </c>
      <c r="F204" s="324">
        <v>634</v>
      </c>
      <c r="G204" s="566" t="str">
        <f t="shared" si="34"/>
        <v>駐車場</v>
      </c>
      <c r="H204" s="44" t="s">
        <v>1674</v>
      </c>
      <c r="I204" s="325" t="s">
        <v>846</v>
      </c>
      <c r="J204" s="325" t="s">
        <v>846</v>
      </c>
      <c r="K204" s="325" t="s">
        <v>846</v>
      </c>
      <c r="L204" s="325" t="s">
        <v>846</v>
      </c>
      <c r="M204" s="565">
        <f t="shared" si="41"/>
        <v>0</v>
      </c>
      <c r="N204" s="325">
        <v>10000</v>
      </c>
      <c r="O204" s="326">
        <v>1000</v>
      </c>
      <c r="P204" s="565">
        <f t="shared" si="35"/>
        <v>11000</v>
      </c>
      <c r="Q204" s="565">
        <f t="shared" si="42"/>
        <v>11000</v>
      </c>
      <c r="R204" s="325" t="s">
        <v>1017</v>
      </c>
      <c r="S204" s="325" t="s">
        <v>1870</v>
      </c>
      <c r="T204" s="327" t="s">
        <v>1871</v>
      </c>
      <c r="V204" s="43" t="s">
        <v>1880</v>
      </c>
      <c r="W204" s="55">
        <v>0</v>
      </c>
      <c r="Y204" s="6">
        <f t="shared" si="36"/>
        <v>0</v>
      </c>
      <c r="Z204" s="562">
        <f t="shared" si="37"/>
        <v>10000</v>
      </c>
      <c r="AA204" s="122">
        <f t="shared" si="38"/>
        <v>0</v>
      </c>
      <c r="AB204" s="122">
        <f t="shared" si="39"/>
        <v>10000</v>
      </c>
      <c r="AC204" s="6">
        <f t="shared" si="40"/>
        <v>1</v>
      </c>
      <c r="AD204" s="563">
        <f t="shared" si="43"/>
        <v>0</v>
      </c>
      <c r="AE204" s="64"/>
      <c r="AF204" s="31" t="s">
        <v>1017</v>
      </c>
      <c r="AG204" s="31" t="s">
        <v>1017</v>
      </c>
      <c r="AH204" s="31" t="s">
        <v>1017</v>
      </c>
      <c r="AI204" s="31" t="s">
        <v>1017</v>
      </c>
      <c r="AJ204" s="31" t="s">
        <v>1017</v>
      </c>
      <c r="AK204" s="31">
        <v>0</v>
      </c>
      <c r="AL204" s="31">
        <v>0</v>
      </c>
      <c r="AM204" s="56">
        <v>0</v>
      </c>
      <c r="AN204" s="31">
        <v>0</v>
      </c>
      <c r="AO204" s="31" t="s">
        <v>1017</v>
      </c>
      <c r="AP204" s="23" t="s">
        <v>187</v>
      </c>
      <c r="AQ204" s="23" t="s">
        <v>1871</v>
      </c>
    </row>
    <row r="205" spans="1:43">
      <c r="A205" s="36">
        <v>202</v>
      </c>
      <c r="B205" s="36">
        <v>111</v>
      </c>
      <c r="C205" s="570" t="str">
        <f t="shared" si="33"/>
        <v>目白カーサ二番館</v>
      </c>
      <c r="D205" s="45" t="s">
        <v>1881</v>
      </c>
      <c r="E205" s="46">
        <v>0</v>
      </c>
      <c r="F205" s="324">
        <v>634</v>
      </c>
      <c r="G205" s="566" t="str">
        <f t="shared" si="34"/>
        <v>駐車場</v>
      </c>
      <c r="H205" s="44" t="s">
        <v>1674</v>
      </c>
      <c r="I205" s="325" t="s">
        <v>846</v>
      </c>
      <c r="J205" s="325" t="s">
        <v>846</v>
      </c>
      <c r="K205" s="325" t="s">
        <v>846</v>
      </c>
      <c r="L205" s="325" t="s">
        <v>846</v>
      </c>
      <c r="M205" s="565">
        <f t="shared" si="41"/>
        <v>0</v>
      </c>
      <c r="N205" s="325">
        <v>10000</v>
      </c>
      <c r="O205" s="326">
        <v>1000</v>
      </c>
      <c r="P205" s="565">
        <f t="shared" si="35"/>
        <v>11000</v>
      </c>
      <c r="Q205" s="565">
        <f t="shared" si="42"/>
        <v>11000</v>
      </c>
      <c r="R205" s="325" t="s">
        <v>1017</v>
      </c>
      <c r="S205" s="325" t="s">
        <v>1870</v>
      </c>
      <c r="T205" s="327" t="s">
        <v>1871</v>
      </c>
      <c r="V205" s="43" t="s">
        <v>1882</v>
      </c>
      <c r="W205" s="55">
        <v>0</v>
      </c>
      <c r="Y205" s="6">
        <f t="shared" si="36"/>
        <v>0</v>
      </c>
      <c r="Z205" s="562">
        <f t="shared" si="37"/>
        <v>10000</v>
      </c>
      <c r="AA205" s="122">
        <f t="shared" si="38"/>
        <v>0</v>
      </c>
      <c r="AB205" s="122">
        <f t="shared" si="39"/>
        <v>10000</v>
      </c>
      <c r="AC205" s="6">
        <f t="shared" si="40"/>
        <v>1</v>
      </c>
      <c r="AD205" s="563">
        <f t="shared" si="43"/>
        <v>0</v>
      </c>
      <c r="AE205" s="64"/>
      <c r="AF205" s="31" t="s">
        <v>1017</v>
      </c>
      <c r="AG205" s="31" t="s">
        <v>1017</v>
      </c>
      <c r="AH205" s="31" t="s">
        <v>1017</v>
      </c>
      <c r="AI205" s="31" t="s">
        <v>1017</v>
      </c>
      <c r="AJ205" s="31" t="s">
        <v>1017</v>
      </c>
      <c r="AK205" s="31">
        <v>0</v>
      </c>
      <c r="AL205" s="31">
        <v>0</v>
      </c>
      <c r="AM205" s="56">
        <v>0</v>
      </c>
      <c r="AN205" s="31">
        <v>0</v>
      </c>
      <c r="AO205" s="31" t="s">
        <v>1017</v>
      </c>
      <c r="AP205" s="23" t="s">
        <v>187</v>
      </c>
      <c r="AQ205" s="23" t="s">
        <v>1871</v>
      </c>
    </row>
    <row r="206" spans="1:43">
      <c r="A206" s="36">
        <v>203</v>
      </c>
      <c r="B206" s="36">
        <v>111</v>
      </c>
      <c r="C206" s="570" t="str">
        <f t="shared" si="33"/>
        <v>目白カーサ二番館</v>
      </c>
      <c r="D206" s="45" t="s">
        <v>1883</v>
      </c>
      <c r="E206" s="46">
        <v>0</v>
      </c>
      <c r="F206" s="324">
        <v>634</v>
      </c>
      <c r="G206" s="566" t="str">
        <f t="shared" si="34"/>
        <v>駐車場</v>
      </c>
      <c r="H206" s="44" t="s">
        <v>1674</v>
      </c>
      <c r="I206" s="325" t="s">
        <v>846</v>
      </c>
      <c r="J206" s="325" t="s">
        <v>846</v>
      </c>
      <c r="K206" s="325" t="s">
        <v>846</v>
      </c>
      <c r="L206" s="325" t="s">
        <v>846</v>
      </c>
      <c r="M206" s="565">
        <f t="shared" si="41"/>
        <v>0</v>
      </c>
      <c r="N206" s="325">
        <v>5000</v>
      </c>
      <c r="O206" s="326">
        <v>500</v>
      </c>
      <c r="P206" s="565">
        <f t="shared" si="35"/>
        <v>5500</v>
      </c>
      <c r="Q206" s="565">
        <f t="shared" si="42"/>
        <v>5500</v>
      </c>
      <c r="R206" s="325" t="s">
        <v>1017</v>
      </c>
      <c r="S206" s="325" t="s">
        <v>1870</v>
      </c>
      <c r="T206" s="327" t="s">
        <v>1884</v>
      </c>
      <c r="V206" s="43" t="s">
        <v>1885</v>
      </c>
      <c r="W206" s="55">
        <v>0</v>
      </c>
      <c r="Y206" s="6">
        <f t="shared" si="36"/>
        <v>0</v>
      </c>
      <c r="Z206" s="562">
        <f t="shared" si="37"/>
        <v>5000</v>
      </c>
      <c r="AA206" s="122">
        <f t="shared" si="38"/>
        <v>0</v>
      </c>
      <c r="AB206" s="122">
        <f t="shared" si="39"/>
        <v>5000</v>
      </c>
      <c r="AC206" s="6">
        <f t="shared" si="40"/>
        <v>1</v>
      </c>
      <c r="AD206" s="563">
        <f t="shared" si="43"/>
        <v>0</v>
      </c>
      <c r="AE206" s="64"/>
      <c r="AF206" s="31" t="s">
        <v>1017</v>
      </c>
      <c r="AG206" s="31" t="s">
        <v>1017</v>
      </c>
      <c r="AH206" s="31" t="s">
        <v>1017</v>
      </c>
      <c r="AI206" s="31" t="s">
        <v>1017</v>
      </c>
      <c r="AJ206" s="31" t="s">
        <v>1017</v>
      </c>
      <c r="AK206" s="31">
        <v>0</v>
      </c>
      <c r="AL206" s="31">
        <v>0</v>
      </c>
      <c r="AM206" s="56">
        <v>0</v>
      </c>
      <c r="AN206" s="31">
        <v>0</v>
      </c>
      <c r="AO206" s="31" t="s">
        <v>1017</v>
      </c>
      <c r="AP206" s="23" t="s">
        <v>187</v>
      </c>
      <c r="AQ206" s="23" t="s">
        <v>1884</v>
      </c>
    </row>
    <row r="207" spans="1:43">
      <c r="A207" s="36">
        <v>204</v>
      </c>
      <c r="B207" s="36">
        <v>111</v>
      </c>
      <c r="C207" s="570" t="str">
        <f t="shared" si="33"/>
        <v>目白カーサ二番館</v>
      </c>
      <c r="D207" s="45" t="s">
        <v>1886</v>
      </c>
      <c r="E207" s="46">
        <v>0</v>
      </c>
      <c r="F207" s="324">
        <v>634</v>
      </c>
      <c r="G207" s="566" t="str">
        <f t="shared" si="34"/>
        <v>駐車場</v>
      </c>
      <c r="H207" s="44" t="s">
        <v>1674</v>
      </c>
      <c r="I207" s="325" t="s">
        <v>846</v>
      </c>
      <c r="J207" s="325" t="s">
        <v>846</v>
      </c>
      <c r="K207" s="325" t="s">
        <v>846</v>
      </c>
      <c r="L207" s="325" t="s">
        <v>846</v>
      </c>
      <c r="M207" s="565">
        <f t="shared" si="41"/>
        <v>0</v>
      </c>
      <c r="N207" s="325">
        <v>5000</v>
      </c>
      <c r="O207" s="326">
        <v>500</v>
      </c>
      <c r="P207" s="565">
        <f t="shared" si="35"/>
        <v>5500</v>
      </c>
      <c r="Q207" s="565">
        <f t="shared" si="42"/>
        <v>5500</v>
      </c>
      <c r="R207" s="325" t="s">
        <v>1017</v>
      </c>
      <c r="S207" s="325" t="s">
        <v>1870</v>
      </c>
      <c r="T207" s="327" t="s">
        <v>1884</v>
      </c>
      <c r="V207" s="43" t="s">
        <v>1887</v>
      </c>
      <c r="W207" s="55">
        <v>0</v>
      </c>
      <c r="Y207" s="6">
        <f t="shared" si="36"/>
        <v>0</v>
      </c>
      <c r="Z207" s="562">
        <f t="shared" si="37"/>
        <v>5000</v>
      </c>
      <c r="AA207" s="122">
        <f t="shared" si="38"/>
        <v>0</v>
      </c>
      <c r="AB207" s="122">
        <f t="shared" si="39"/>
        <v>5000</v>
      </c>
      <c r="AC207" s="6">
        <f t="shared" si="40"/>
        <v>1</v>
      </c>
      <c r="AD207" s="563">
        <f t="shared" si="43"/>
        <v>0</v>
      </c>
      <c r="AE207" s="64"/>
      <c r="AF207" s="31" t="s">
        <v>1017</v>
      </c>
      <c r="AG207" s="31" t="s">
        <v>1017</v>
      </c>
      <c r="AH207" s="31" t="s">
        <v>1017</v>
      </c>
      <c r="AI207" s="31" t="s">
        <v>1017</v>
      </c>
      <c r="AJ207" s="31" t="s">
        <v>1017</v>
      </c>
      <c r="AK207" s="31">
        <v>0</v>
      </c>
      <c r="AL207" s="31">
        <v>0</v>
      </c>
      <c r="AM207" s="56">
        <v>0</v>
      </c>
      <c r="AN207" s="31">
        <v>0</v>
      </c>
      <c r="AO207" s="31" t="s">
        <v>1017</v>
      </c>
      <c r="AP207" s="23" t="s">
        <v>187</v>
      </c>
      <c r="AQ207" s="23" t="s">
        <v>1884</v>
      </c>
    </row>
    <row r="208" spans="1:43">
      <c r="A208" s="36">
        <v>205</v>
      </c>
      <c r="B208" s="36">
        <v>111</v>
      </c>
      <c r="C208" s="570" t="str">
        <f t="shared" si="33"/>
        <v>目白カーサ二番館</v>
      </c>
      <c r="D208" s="45" t="s">
        <v>1888</v>
      </c>
      <c r="E208" s="46">
        <v>0</v>
      </c>
      <c r="F208" s="324">
        <v>634</v>
      </c>
      <c r="G208" s="566" t="str">
        <f t="shared" si="34"/>
        <v>駐車場</v>
      </c>
      <c r="H208" s="44" t="s">
        <v>1674</v>
      </c>
      <c r="I208" s="325" t="s">
        <v>846</v>
      </c>
      <c r="J208" s="325" t="s">
        <v>846</v>
      </c>
      <c r="K208" s="325" t="s">
        <v>846</v>
      </c>
      <c r="L208" s="325" t="s">
        <v>846</v>
      </c>
      <c r="M208" s="565">
        <f t="shared" si="41"/>
        <v>0</v>
      </c>
      <c r="N208" s="325">
        <v>5000</v>
      </c>
      <c r="O208" s="326">
        <v>500</v>
      </c>
      <c r="P208" s="565">
        <f t="shared" si="35"/>
        <v>5500</v>
      </c>
      <c r="Q208" s="565">
        <f t="shared" si="42"/>
        <v>5500</v>
      </c>
      <c r="R208" s="325" t="s">
        <v>1017</v>
      </c>
      <c r="S208" s="325" t="s">
        <v>1870</v>
      </c>
      <c r="T208" s="327" t="s">
        <v>1884</v>
      </c>
      <c r="V208" s="43" t="s">
        <v>1889</v>
      </c>
      <c r="W208" s="55">
        <v>0</v>
      </c>
      <c r="Y208" s="6">
        <f t="shared" si="36"/>
        <v>0</v>
      </c>
      <c r="Z208" s="562">
        <f t="shared" si="37"/>
        <v>5000</v>
      </c>
      <c r="AA208" s="122">
        <f t="shared" si="38"/>
        <v>0</v>
      </c>
      <c r="AB208" s="122">
        <f t="shared" si="39"/>
        <v>5000</v>
      </c>
      <c r="AC208" s="6">
        <f t="shared" si="40"/>
        <v>1</v>
      </c>
      <c r="AD208" s="563">
        <f t="shared" si="43"/>
        <v>0</v>
      </c>
      <c r="AE208" s="64"/>
      <c r="AF208" s="31" t="s">
        <v>1017</v>
      </c>
      <c r="AG208" s="31" t="s">
        <v>1017</v>
      </c>
      <c r="AH208" s="31" t="s">
        <v>1017</v>
      </c>
      <c r="AI208" s="31" t="s">
        <v>1017</v>
      </c>
      <c r="AJ208" s="31" t="s">
        <v>1017</v>
      </c>
      <c r="AK208" s="31">
        <v>0</v>
      </c>
      <c r="AL208" s="31">
        <v>0</v>
      </c>
      <c r="AM208" s="56">
        <v>0</v>
      </c>
      <c r="AN208" s="31">
        <v>0</v>
      </c>
      <c r="AO208" s="31" t="s">
        <v>1017</v>
      </c>
      <c r="AP208" s="23" t="s">
        <v>187</v>
      </c>
      <c r="AQ208" s="23" t="s">
        <v>1884</v>
      </c>
    </row>
    <row r="209" spans="1:43">
      <c r="A209" s="36">
        <v>206</v>
      </c>
      <c r="B209" s="36">
        <v>111</v>
      </c>
      <c r="C209" s="570" t="str">
        <f t="shared" si="33"/>
        <v>目白カーサ二番館</v>
      </c>
      <c r="D209" s="45" t="s">
        <v>1890</v>
      </c>
      <c r="E209" s="46">
        <v>0</v>
      </c>
      <c r="F209" s="324">
        <v>634</v>
      </c>
      <c r="G209" s="566" t="str">
        <f t="shared" si="34"/>
        <v>駐車場</v>
      </c>
      <c r="H209" s="44" t="s">
        <v>1674</v>
      </c>
      <c r="I209" s="325" t="s">
        <v>846</v>
      </c>
      <c r="J209" s="325" t="s">
        <v>846</v>
      </c>
      <c r="K209" s="325" t="s">
        <v>846</v>
      </c>
      <c r="L209" s="325" t="s">
        <v>846</v>
      </c>
      <c r="M209" s="565">
        <f t="shared" si="41"/>
        <v>0</v>
      </c>
      <c r="N209" s="325">
        <v>5000</v>
      </c>
      <c r="O209" s="326">
        <v>500</v>
      </c>
      <c r="P209" s="565">
        <f t="shared" si="35"/>
        <v>5500</v>
      </c>
      <c r="Q209" s="565">
        <f t="shared" si="42"/>
        <v>5500</v>
      </c>
      <c r="R209" s="325" t="s">
        <v>1017</v>
      </c>
      <c r="S209" s="325" t="s">
        <v>1870</v>
      </c>
      <c r="T209" s="327" t="s">
        <v>1884</v>
      </c>
      <c r="V209" s="43" t="s">
        <v>1891</v>
      </c>
      <c r="W209" s="55">
        <v>0</v>
      </c>
      <c r="Y209" s="6">
        <f t="shared" si="36"/>
        <v>0</v>
      </c>
      <c r="Z209" s="562">
        <f t="shared" si="37"/>
        <v>5000</v>
      </c>
      <c r="AA209" s="122">
        <f t="shared" si="38"/>
        <v>0</v>
      </c>
      <c r="AB209" s="122">
        <f t="shared" si="39"/>
        <v>5000</v>
      </c>
      <c r="AC209" s="6">
        <f t="shared" si="40"/>
        <v>1</v>
      </c>
      <c r="AD209" s="563">
        <f t="shared" si="43"/>
        <v>0</v>
      </c>
      <c r="AE209" s="64"/>
      <c r="AF209" s="31" t="s">
        <v>1017</v>
      </c>
      <c r="AG209" s="31" t="s">
        <v>1017</v>
      </c>
      <c r="AH209" s="31" t="s">
        <v>1017</v>
      </c>
      <c r="AI209" s="31" t="s">
        <v>1017</v>
      </c>
      <c r="AJ209" s="31" t="s">
        <v>1017</v>
      </c>
      <c r="AK209" s="31">
        <v>0</v>
      </c>
      <c r="AL209" s="31">
        <v>0</v>
      </c>
      <c r="AM209" s="56">
        <v>0</v>
      </c>
      <c r="AN209" s="31">
        <v>0</v>
      </c>
      <c r="AO209" s="31" t="s">
        <v>1017</v>
      </c>
      <c r="AP209" s="23" t="s">
        <v>187</v>
      </c>
      <c r="AQ209" s="23" t="s">
        <v>1884</v>
      </c>
    </row>
    <row r="210" spans="1:43">
      <c r="A210" s="36">
        <v>207</v>
      </c>
      <c r="B210" s="36">
        <v>111</v>
      </c>
      <c r="C210" s="570" t="str">
        <f t="shared" si="33"/>
        <v>目白カーサ二番館</v>
      </c>
      <c r="D210" s="45" t="s">
        <v>1892</v>
      </c>
      <c r="E210" s="46">
        <v>0</v>
      </c>
      <c r="F210" s="324">
        <v>634</v>
      </c>
      <c r="G210" s="566" t="str">
        <f t="shared" si="34"/>
        <v>駐車場</v>
      </c>
      <c r="H210" s="44" t="s">
        <v>1674</v>
      </c>
      <c r="I210" s="325" t="s">
        <v>846</v>
      </c>
      <c r="J210" s="325" t="s">
        <v>846</v>
      </c>
      <c r="K210" s="325" t="s">
        <v>846</v>
      </c>
      <c r="L210" s="325" t="s">
        <v>846</v>
      </c>
      <c r="M210" s="565">
        <f t="shared" si="41"/>
        <v>0</v>
      </c>
      <c r="N210" s="325">
        <v>5000</v>
      </c>
      <c r="O210" s="326">
        <v>500</v>
      </c>
      <c r="P210" s="565">
        <f t="shared" si="35"/>
        <v>5500</v>
      </c>
      <c r="Q210" s="565">
        <f t="shared" si="42"/>
        <v>5500</v>
      </c>
      <c r="R210" s="325" t="s">
        <v>1017</v>
      </c>
      <c r="S210" s="325" t="s">
        <v>1870</v>
      </c>
      <c r="T210" s="327" t="s">
        <v>1884</v>
      </c>
      <c r="V210" s="43" t="s">
        <v>1893</v>
      </c>
      <c r="W210" s="55">
        <v>0</v>
      </c>
      <c r="Y210" s="6">
        <f t="shared" si="36"/>
        <v>0</v>
      </c>
      <c r="Z210" s="562">
        <f t="shared" si="37"/>
        <v>5000</v>
      </c>
      <c r="AA210" s="122">
        <f t="shared" si="38"/>
        <v>0</v>
      </c>
      <c r="AB210" s="122">
        <f t="shared" si="39"/>
        <v>5000</v>
      </c>
      <c r="AC210" s="6">
        <f t="shared" si="40"/>
        <v>1</v>
      </c>
      <c r="AD210" s="563">
        <f t="shared" si="43"/>
        <v>0</v>
      </c>
      <c r="AE210" s="64"/>
      <c r="AF210" s="31" t="s">
        <v>1017</v>
      </c>
      <c r="AG210" s="31" t="s">
        <v>1017</v>
      </c>
      <c r="AH210" s="31" t="s">
        <v>1017</v>
      </c>
      <c r="AI210" s="31" t="s">
        <v>1017</v>
      </c>
      <c r="AJ210" s="31" t="s">
        <v>1017</v>
      </c>
      <c r="AK210" s="31">
        <v>0</v>
      </c>
      <c r="AL210" s="31">
        <v>0</v>
      </c>
      <c r="AM210" s="56">
        <v>0</v>
      </c>
      <c r="AN210" s="31">
        <v>0</v>
      </c>
      <c r="AO210" s="31" t="s">
        <v>1017</v>
      </c>
      <c r="AP210" s="23" t="s">
        <v>187</v>
      </c>
      <c r="AQ210" s="23" t="s">
        <v>1884</v>
      </c>
    </row>
    <row r="211" spans="1:43">
      <c r="A211" s="37">
        <v>208</v>
      </c>
      <c r="B211" s="37">
        <v>112</v>
      </c>
      <c r="C211" s="575" t="str">
        <f t="shared" si="33"/>
        <v>豊島目白ビル</v>
      </c>
      <c r="D211" s="45" t="s">
        <v>1566</v>
      </c>
      <c r="E211" s="46">
        <v>491.32</v>
      </c>
      <c r="F211" s="324">
        <v>632</v>
      </c>
      <c r="G211" s="566" t="str">
        <f t="shared" si="34"/>
        <v>事務所</v>
      </c>
      <c r="H211" s="44" t="s">
        <v>1616</v>
      </c>
      <c r="I211" s="325">
        <v>2300000</v>
      </c>
      <c r="J211" s="325">
        <v>0</v>
      </c>
      <c r="K211" s="325">
        <v>0</v>
      </c>
      <c r="L211" s="325">
        <v>230000</v>
      </c>
      <c r="M211" s="565">
        <f t="shared" si="41"/>
        <v>2530000</v>
      </c>
      <c r="N211" s="326">
        <v>2300000</v>
      </c>
      <c r="O211" s="326">
        <v>230000</v>
      </c>
      <c r="P211" s="565">
        <f t="shared" si="35"/>
        <v>2530000</v>
      </c>
      <c r="Q211" s="565">
        <f t="shared" si="42"/>
        <v>2530000</v>
      </c>
      <c r="R211" s="325" t="s">
        <v>1575</v>
      </c>
      <c r="S211" s="325" t="s">
        <v>187</v>
      </c>
      <c r="T211" s="327" t="s">
        <v>1284</v>
      </c>
      <c r="V211" s="43" t="s">
        <v>1894</v>
      </c>
      <c r="W211" s="55">
        <v>2500000</v>
      </c>
      <c r="Y211" s="6">
        <f t="shared" si="36"/>
        <v>1</v>
      </c>
      <c r="Z211" s="562">
        <f t="shared" si="37"/>
        <v>2300000</v>
      </c>
      <c r="AA211" s="122">
        <f t="shared" si="38"/>
        <v>0</v>
      </c>
      <c r="AB211" s="122">
        <f t="shared" si="39"/>
        <v>-200000</v>
      </c>
      <c r="AC211" s="6">
        <f t="shared" si="40"/>
        <v>1</v>
      </c>
      <c r="AD211" s="563">
        <f t="shared" si="43"/>
        <v>1</v>
      </c>
      <c r="AE211" s="64"/>
      <c r="AF211" s="31">
        <v>2300000</v>
      </c>
      <c r="AG211" s="31">
        <v>0</v>
      </c>
      <c r="AH211" s="31">
        <v>0</v>
      </c>
      <c r="AI211" s="31">
        <v>230000</v>
      </c>
      <c r="AJ211" s="31">
        <v>2530000</v>
      </c>
      <c r="AK211" s="31">
        <v>2300000</v>
      </c>
      <c r="AL211" s="31">
        <v>230000</v>
      </c>
      <c r="AM211" s="56">
        <v>2530000</v>
      </c>
      <c r="AN211" s="31">
        <v>2530000</v>
      </c>
      <c r="AO211" s="31" t="s">
        <v>1575</v>
      </c>
      <c r="AP211" s="23" t="s">
        <v>187</v>
      </c>
      <c r="AQ211" s="23" t="s">
        <v>1284</v>
      </c>
    </row>
    <row r="212" spans="1:43">
      <c r="A212" s="39">
        <v>209</v>
      </c>
      <c r="B212" s="39">
        <v>113</v>
      </c>
      <c r="C212" s="572" t="str">
        <f t="shared" si="33"/>
        <v>第3目白ハイツ</v>
      </c>
      <c r="D212" s="45" t="s">
        <v>1566</v>
      </c>
      <c r="E212" s="46">
        <v>54.44</v>
      </c>
      <c r="F212" s="324">
        <v>631</v>
      </c>
      <c r="G212" s="566" t="str">
        <f t="shared" si="34"/>
        <v>住居</v>
      </c>
      <c r="H212" s="44" t="s">
        <v>1717</v>
      </c>
      <c r="I212" s="325">
        <v>120000</v>
      </c>
      <c r="J212" s="325">
        <v>5000</v>
      </c>
      <c r="K212" s="325">
        <v>0</v>
      </c>
      <c r="L212" s="325">
        <v>0</v>
      </c>
      <c r="M212" s="565">
        <f t="shared" si="41"/>
        <v>125000</v>
      </c>
      <c r="N212" s="326">
        <v>125000</v>
      </c>
      <c r="O212" s="326">
        <v>0</v>
      </c>
      <c r="P212" s="565">
        <f t="shared" si="35"/>
        <v>125000</v>
      </c>
      <c r="Q212" s="565">
        <f t="shared" si="42"/>
        <v>125000</v>
      </c>
      <c r="R212" s="325" t="s">
        <v>1578</v>
      </c>
      <c r="S212" s="325" t="s">
        <v>187</v>
      </c>
      <c r="T212" s="327" t="s">
        <v>1284</v>
      </c>
      <c r="V212" s="43" t="s">
        <v>1895</v>
      </c>
      <c r="W212" s="55">
        <v>117000</v>
      </c>
      <c r="Y212" s="6">
        <f t="shared" si="36"/>
        <v>1</v>
      </c>
      <c r="Z212" s="562">
        <f t="shared" si="37"/>
        <v>125000</v>
      </c>
      <c r="AA212" s="122">
        <f t="shared" si="38"/>
        <v>0</v>
      </c>
      <c r="AB212" s="122">
        <f t="shared" si="39"/>
        <v>8000</v>
      </c>
      <c r="AC212" s="6">
        <f t="shared" si="40"/>
        <v>1</v>
      </c>
      <c r="AD212" s="563">
        <f t="shared" si="43"/>
        <v>1</v>
      </c>
      <c r="AE212" s="64"/>
      <c r="AF212" s="31">
        <v>120000</v>
      </c>
      <c r="AG212" s="31">
        <v>5000</v>
      </c>
      <c r="AH212" s="31">
        <v>0</v>
      </c>
      <c r="AI212" s="31">
        <v>0</v>
      </c>
      <c r="AJ212" s="31">
        <v>125000</v>
      </c>
      <c r="AK212" s="31">
        <v>125000</v>
      </c>
      <c r="AL212" s="31">
        <v>0</v>
      </c>
      <c r="AM212" s="56">
        <v>125000</v>
      </c>
      <c r="AN212" s="31">
        <v>125000</v>
      </c>
      <c r="AO212" s="31" t="s">
        <v>1578</v>
      </c>
      <c r="AP212" s="23" t="s">
        <v>187</v>
      </c>
      <c r="AQ212" s="23" t="s">
        <v>1284</v>
      </c>
    </row>
    <row r="213" spans="1:43">
      <c r="A213" s="39">
        <v>210</v>
      </c>
      <c r="B213" s="39">
        <v>113</v>
      </c>
      <c r="C213" s="572" t="str">
        <f t="shared" si="33"/>
        <v>第3目白ハイツ</v>
      </c>
      <c r="D213" s="45" t="s">
        <v>1570</v>
      </c>
      <c r="E213" s="46">
        <v>52.49</v>
      </c>
      <c r="F213" s="324">
        <v>631</v>
      </c>
      <c r="G213" s="566" t="str">
        <f t="shared" si="34"/>
        <v>住居</v>
      </c>
      <c r="H213" s="44" t="s">
        <v>1717</v>
      </c>
      <c r="I213" s="325">
        <v>113000</v>
      </c>
      <c r="J213" s="325">
        <v>5000</v>
      </c>
      <c r="K213" s="325">
        <v>0</v>
      </c>
      <c r="L213" s="325">
        <v>0</v>
      </c>
      <c r="M213" s="565">
        <f t="shared" si="41"/>
        <v>118000</v>
      </c>
      <c r="N213" s="326">
        <v>118000</v>
      </c>
      <c r="O213" s="326">
        <v>0</v>
      </c>
      <c r="P213" s="565">
        <f t="shared" si="35"/>
        <v>118000</v>
      </c>
      <c r="Q213" s="565">
        <f t="shared" si="42"/>
        <v>118000</v>
      </c>
      <c r="R213" s="325" t="s">
        <v>1568</v>
      </c>
      <c r="S213" s="325" t="s">
        <v>187</v>
      </c>
      <c r="T213" s="327" t="s">
        <v>1284</v>
      </c>
      <c r="V213" s="43" t="s">
        <v>1896</v>
      </c>
      <c r="W213" s="55">
        <v>118000</v>
      </c>
      <c r="Y213" s="6">
        <f t="shared" si="36"/>
        <v>1</v>
      </c>
      <c r="Z213" s="562">
        <f t="shared" si="37"/>
        <v>118000</v>
      </c>
      <c r="AA213" s="122">
        <f t="shared" si="38"/>
        <v>0</v>
      </c>
      <c r="AB213" s="122">
        <f t="shared" si="39"/>
        <v>0</v>
      </c>
      <c r="AC213" s="6">
        <f t="shared" si="40"/>
        <v>1</v>
      </c>
      <c r="AD213" s="563">
        <f t="shared" si="43"/>
        <v>1</v>
      </c>
      <c r="AE213" s="64"/>
      <c r="AF213" s="31">
        <v>113000</v>
      </c>
      <c r="AG213" s="31">
        <v>5000</v>
      </c>
      <c r="AH213" s="31">
        <v>0</v>
      </c>
      <c r="AI213" s="31">
        <v>0</v>
      </c>
      <c r="AJ213" s="31">
        <v>118000</v>
      </c>
      <c r="AK213" s="31">
        <v>118000</v>
      </c>
      <c r="AL213" s="31">
        <v>0</v>
      </c>
      <c r="AM213" s="56">
        <v>118000</v>
      </c>
      <c r="AN213" s="31">
        <v>118000</v>
      </c>
      <c r="AO213" s="31" t="s">
        <v>1568</v>
      </c>
      <c r="AP213" s="23" t="s">
        <v>187</v>
      </c>
      <c r="AQ213" s="23" t="s">
        <v>1284</v>
      </c>
    </row>
    <row r="214" spans="1:43">
      <c r="A214" s="39">
        <v>211</v>
      </c>
      <c r="B214" s="39">
        <v>113</v>
      </c>
      <c r="C214" s="572" t="str">
        <f t="shared" si="33"/>
        <v>第3目白ハイツ</v>
      </c>
      <c r="D214" s="45" t="s">
        <v>1572</v>
      </c>
      <c r="E214" s="46">
        <v>54.44</v>
      </c>
      <c r="F214" s="324">
        <v>631</v>
      </c>
      <c r="G214" s="566" t="str">
        <f t="shared" si="34"/>
        <v>住居</v>
      </c>
      <c r="H214" s="44" t="s">
        <v>1717</v>
      </c>
      <c r="I214" s="325">
        <v>110000</v>
      </c>
      <c r="J214" s="325">
        <v>5000</v>
      </c>
      <c r="K214" s="325">
        <v>0</v>
      </c>
      <c r="L214" s="325">
        <v>0</v>
      </c>
      <c r="M214" s="565">
        <f t="shared" si="41"/>
        <v>115000</v>
      </c>
      <c r="N214" s="326">
        <v>115000</v>
      </c>
      <c r="O214" s="326">
        <v>0</v>
      </c>
      <c r="P214" s="565">
        <f t="shared" si="35"/>
        <v>115000</v>
      </c>
      <c r="Q214" s="565">
        <f t="shared" si="42"/>
        <v>115000</v>
      </c>
      <c r="R214" s="325" t="s">
        <v>1568</v>
      </c>
      <c r="S214" s="325" t="s">
        <v>187</v>
      </c>
      <c r="T214" s="327" t="s">
        <v>1284</v>
      </c>
      <c r="V214" s="43" t="s">
        <v>1897</v>
      </c>
      <c r="W214" s="55">
        <v>115000</v>
      </c>
      <c r="Y214" s="6">
        <f t="shared" si="36"/>
        <v>1</v>
      </c>
      <c r="Z214" s="562">
        <f t="shared" si="37"/>
        <v>115000</v>
      </c>
      <c r="AA214" s="122">
        <f t="shared" si="38"/>
        <v>0</v>
      </c>
      <c r="AB214" s="122">
        <f t="shared" si="39"/>
        <v>0</v>
      </c>
      <c r="AC214" s="6">
        <f t="shared" si="40"/>
        <v>1</v>
      </c>
      <c r="AD214" s="563">
        <f t="shared" si="43"/>
        <v>1</v>
      </c>
      <c r="AE214" s="64"/>
      <c r="AF214" s="31">
        <v>110000</v>
      </c>
      <c r="AG214" s="31">
        <v>5000</v>
      </c>
      <c r="AH214" s="31">
        <v>0</v>
      </c>
      <c r="AI214" s="31">
        <v>0</v>
      </c>
      <c r="AJ214" s="31">
        <v>115000</v>
      </c>
      <c r="AK214" s="31">
        <v>115000</v>
      </c>
      <c r="AL214" s="31">
        <v>0</v>
      </c>
      <c r="AM214" s="56">
        <v>115000</v>
      </c>
      <c r="AN214" s="31">
        <v>115000</v>
      </c>
      <c r="AO214" s="31" t="s">
        <v>1568</v>
      </c>
      <c r="AP214" s="23" t="s">
        <v>187</v>
      </c>
      <c r="AQ214" s="23" t="s">
        <v>1284</v>
      </c>
    </row>
    <row r="215" spans="1:43">
      <c r="A215" s="39">
        <v>212</v>
      </c>
      <c r="B215" s="39">
        <v>113</v>
      </c>
      <c r="C215" s="572" t="str">
        <f t="shared" si="33"/>
        <v>第3目白ハイツ</v>
      </c>
      <c r="D215" s="45" t="s">
        <v>1898</v>
      </c>
      <c r="E215" s="46">
        <v>52.49</v>
      </c>
      <c r="F215" s="324">
        <v>631</v>
      </c>
      <c r="G215" s="566" t="str">
        <f t="shared" si="34"/>
        <v>住居</v>
      </c>
      <c r="H215" s="44" t="s">
        <v>1717</v>
      </c>
      <c r="I215" s="325">
        <v>113000</v>
      </c>
      <c r="J215" s="325">
        <v>5000</v>
      </c>
      <c r="K215" s="325">
        <v>0</v>
      </c>
      <c r="L215" s="325">
        <v>0</v>
      </c>
      <c r="M215" s="565">
        <f t="shared" si="41"/>
        <v>118000</v>
      </c>
      <c r="N215" s="326">
        <v>118000</v>
      </c>
      <c r="O215" s="326">
        <v>0</v>
      </c>
      <c r="P215" s="565">
        <f t="shared" si="35"/>
        <v>118000</v>
      </c>
      <c r="Q215" s="565">
        <f t="shared" si="42"/>
        <v>118000</v>
      </c>
      <c r="R215" s="325" t="s">
        <v>1568</v>
      </c>
      <c r="S215" s="325" t="s">
        <v>187</v>
      </c>
      <c r="T215" s="327" t="s">
        <v>1284</v>
      </c>
      <c r="V215" s="43" t="s">
        <v>1899</v>
      </c>
      <c r="W215" s="55">
        <v>118000</v>
      </c>
      <c r="Y215" s="6">
        <f t="shared" si="36"/>
        <v>1</v>
      </c>
      <c r="Z215" s="562">
        <f t="shared" si="37"/>
        <v>118000</v>
      </c>
      <c r="AA215" s="122">
        <f t="shared" si="38"/>
        <v>0</v>
      </c>
      <c r="AB215" s="122">
        <f t="shared" si="39"/>
        <v>0</v>
      </c>
      <c r="AC215" s="6">
        <f t="shared" si="40"/>
        <v>1</v>
      </c>
      <c r="AD215" s="563">
        <f t="shared" si="43"/>
        <v>1</v>
      </c>
      <c r="AE215" s="64"/>
      <c r="AF215" s="31">
        <v>113000</v>
      </c>
      <c r="AG215" s="31">
        <v>5000</v>
      </c>
      <c r="AH215" s="31">
        <v>0</v>
      </c>
      <c r="AI215" s="31">
        <v>0</v>
      </c>
      <c r="AJ215" s="31">
        <v>118000</v>
      </c>
      <c r="AK215" s="31">
        <v>118000</v>
      </c>
      <c r="AL215" s="31">
        <v>0</v>
      </c>
      <c r="AM215" s="56">
        <v>118000</v>
      </c>
      <c r="AN215" s="31">
        <v>118000</v>
      </c>
      <c r="AO215" s="31" t="s">
        <v>1568</v>
      </c>
      <c r="AP215" s="23" t="s">
        <v>187</v>
      </c>
      <c r="AQ215" s="23" t="s">
        <v>1284</v>
      </c>
    </row>
    <row r="216" spans="1:43">
      <c r="A216" s="39">
        <v>213</v>
      </c>
      <c r="B216" s="39">
        <v>113</v>
      </c>
      <c r="C216" s="572" t="str">
        <f t="shared" si="33"/>
        <v>第3目白ハイツ</v>
      </c>
      <c r="D216" s="45" t="s">
        <v>1574</v>
      </c>
      <c r="E216" s="46">
        <v>54.44</v>
      </c>
      <c r="F216" s="324">
        <v>631</v>
      </c>
      <c r="G216" s="566" t="str">
        <f t="shared" si="34"/>
        <v>住居</v>
      </c>
      <c r="H216" s="44" t="s">
        <v>1717</v>
      </c>
      <c r="I216" s="325">
        <v>110000</v>
      </c>
      <c r="J216" s="325">
        <v>5000</v>
      </c>
      <c r="K216" s="325">
        <v>0</v>
      </c>
      <c r="L216" s="325">
        <v>0</v>
      </c>
      <c r="M216" s="565">
        <f t="shared" si="41"/>
        <v>115000</v>
      </c>
      <c r="N216" s="326">
        <v>115000</v>
      </c>
      <c r="O216" s="326">
        <v>0</v>
      </c>
      <c r="P216" s="565">
        <f t="shared" si="35"/>
        <v>115000</v>
      </c>
      <c r="Q216" s="565">
        <f t="shared" si="42"/>
        <v>115000</v>
      </c>
      <c r="R216" s="325" t="s">
        <v>1568</v>
      </c>
      <c r="S216" s="325" t="s">
        <v>187</v>
      </c>
      <c r="T216" s="327" t="s">
        <v>1284</v>
      </c>
      <c r="V216" s="43" t="s">
        <v>1900</v>
      </c>
      <c r="W216" s="55">
        <v>115000</v>
      </c>
      <c r="Y216" s="6">
        <f t="shared" si="36"/>
        <v>1</v>
      </c>
      <c r="Z216" s="562">
        <f t="shared" si="37"/>
        <v>115000</v>
      </c>
      <c r="AA216" s="122">
        <f t="shared" si="38"/>
        <v>0</v>
      </c>
      <c r="AB216" s="122">
        <f t="shared" si="39"/>
        <v>0</v>
      </c>
      <c r="AC216" s="6">
        <f t="shared" si="40"/>
        <v>1</v>
      </c>
      <c r="AD216" s="563">
        <f t="shared" si="43"/>
        <v>1</v>
      </c>
      <c r="AE216" s="64"/>
      <c r="AF216" s="31">
        <v>110000</v>
      </c>
      <c r="AG216" s="31">
        <v>5000</v>
      </c>
      <c r="AH216" s="31">
        <v>0</v>
      </c>
      <c r="AI216" s="31">
        <v>0</v>
      </c>
      <c r="AJ216" s="31">
        <v>115000</v>
      </c>
      <c r="AK216" s="31">
        <v>115000</v>
      </c>
      <c r="AL216" s="31">
        <v>0</v>
      </c>
      <c r="AM216" s="56">
        <v>115000</v>
      </c>
      <c r="AN216" s="31">
        <v>115000</v>
      </c>
      <c r="AO216" s="31" t="s">
        <v>1568</v>
      </c>
      <c r="AP216" s="23" t="s">
        <v>187</v>
      </c>
      <c r="AQ216" s="23" t="s">
        <v>1284</v>
      </c>
    </row>
    <row r="217" spans="1:43">
      <c r="A217" s="39">
        <v>214</v>
      </c>
      <c r="B217" s="39">
        <v>113</v>
      </c>
      <c r="C217" s="572" t="str">
        <f t="shared" si="33"/>
        <v>第3目白ハイツ</v>
      </c>
      <c r="D217" s="45" t="s">
        <v>1577</v>
      </c>
      <c r="E217" s="46">
        <v>52.49</v>
      </c>
      <c r="F217" s="324">
        <v>631</v>
      </c>
      <c r="G217" s="566" t="str">
        <f t="shared" si="34"/>
        <v>住居</v>
      </c>
      <c r="H217" s="44" t="s">
        <v>1717</v>
      </c>
      <c r="I217" s="325">
        <v>120000</v>
      </c>
      <c r="J217" s="325">
        <v>5000</v>
      </c>
      <c r="K217" s="325">
        <v>0</v>
      </c>
      <c r="L217" s="325">
        <v>0</v>
      </c>
      <c r="M217" s="565">
        <f t="shared" si="41"/>
        <v>125000</v>
      </c>
      <c r="N217" s="326">
        <v>125000</v>
      </c>
      <c r="O217" s="326">
        <v>0</v>
      </c>
      <c r="P217" s="565">
        <f t="shared" si="35"/>
        <v>125000</v>
      </c>
      <c r="Q217" s="565">
        <f t="shared" si="42"/>
        <v>125000</v>
      </c>
      <c r="R217" s="325" t="s">
        <v>1578</v>
      </c>
      <c r="S217" s="325" t="s">
        <v>187</v>
      </c>
      <c r="T217" s="327" t="s">
        <v>1284</v>
      </c>
      <c r="V217" s="43" t="s">
        <v>1901</v>
      </c>
      <c r="W217" s="55">
        <v>117000</v>
      </c>
      <c r="Y217" s="6">
        <f t="shared" si="36"/>
        <v>1</v>
      </c>
      <c r="Z217" s="562">
        <f t="shared" si="37"/>
        <v>125000</v>
      </c>
      <c r="AA217" s="122">
        <f t="shared" si="38"/>
        <v>0</v>
      </c>
      <c r="AB217" s="122">
        <f t="shared" si="39"/>
        <v>8000</v>
      </c>
      <c r="AC217" s="6">
        <f t="shared" si="40"/>
        <v>1</v>
      </c>
      <c r="AD217" s="563">
        <f t="shared" si="43"/>
        <v>1</v>
      </c>
      <c r="AE217" s="64"/>
      <c r="AF217" s="31">
        <v>120000</v>
      </c>
      <c r="AG217" s="31">
        <v>5000</v>
      </c>
      <c r="AH217" s="31">
        <v>0</v>
      </c>
      <c r="AI217" s="31">
        <v>0</v>
      </c>
      <c r="AJ217" s="31">
        <v>125000</v>
      </c>
      <c r="AK217" s="31">
        <v>125000</v>
      </c>
      <c r="AL217" s="31">
        <v>0</v>
      </c>
      <c r="AM217" s="56">
        <v>125000</v>
      </c>
      <c r="AN217" s="31">
        <v>125000</v>
      </c>
      <c r="AO217" s="31" t="s">
        <v>1578</v>
      </c>
      <c r="AP217" s="23" t="s">
        <v>187</v>
      </c>
      <c r="AQ217" s="23" t="s">
        <v>1284</v>
      </c>
    </row>
    <row r="218" spans="1:43">
      <c r="A218" s="39">
        <v>215</v>
      </c>
      <c r="B218" s="39">
        <v>113</v>
      </c>
      <c r="C218" s="572" t="str">
        <f t="shared" si="33"/>
        <v>第3目白ハイツ</v>
      </c>
      <c r="D218" s="45" t="s">
        <v>1580</v>
      </c>
      <c r="E218" s="46">
        <v>54.44</v>
      </c>
      <c r="F218" s="324">
        <v>631</v>
      </c>
      <c r="G218" s="566" t="str">
        <f t="shared" si="34"/>
        <v>住居</v>
      </c>
      <c r="H218" s="44" t="s">
        <v>1717</v>
      </c>
      <c r="I218" s="325">
        <v>130000</v>
      </c>
      <c r="J218" s="325">
        <v>5000</v>
      </c>
      <c r="K218" s="325">
        <v>0</v>
      </c>
      <c r="L218" s="325">
        <v>0</v>
      </c>
      <c r="M218" s="565">
        <f t="shared" si="41"/>
        <v>135000</v>
      </c>
      <c r="N218" s="326">
        <v>135000</v>
      </c>
      <c r="O218" s="326">
        <v>0</v>
      </c>
      <c r="P218" s="565">
        <f t="shared" si="35"/>
        <v>135000</v>
      </c>
      <c r="Q218" s="565">
        <f t="shared" si="42"/>
        <v>135000</v>
      </c>
      <c r="R218" s="325" t="s">
        <v>1578</v>
      </c>
      <c r="S218" s="325" t="s">
        <v>187</v>
      </c>
      <c r="T218" s="327" t="s">
        <v>1284</v>
      </c>
      <c r="V218" s="43" t="s">
        <v>1902</v>
      </c>
      <c r="W218" s="55">
        <v>120000</v>
      </c>
      <c r="Y218" s="6">
        <f t="shared" si="36"/>
        <v>1</v>
      </c>
      <c r="Z218" s="562">
        <f t="shared" si="37"/>
        <v>135000</v>
      </c>
      <c r="AA218" s="122">
        <f t="shared" si="38"/>
        <v>0</v>
      </c>
      <c r="AB218" s="122">
        <f t="shared" si="39"/>
        <v>15000</v>
      </c>
      <c r="AC218" s="6">
        <f t="shared" si="40"/>
        <v>1</v>
      </c>
      <c r="AD218" s="563">
        <f t="shared" si="43"/>
        <v>1</v>
      </c>
      <c r="AE218" s="64"/>
      <c r="AF218" s="31">
        <v>130000</v>
      </c>
      <c r="AG218" s="31">
        <v>5000</v>
      </c>
      <c r="AH218" s="31">
        <v>0</v>
      </c>
      <c r="AI218" s="31">
        <v>0</v>
      </c>
      <c r="AJ218" s="31">
        <v>135000</v>
      </c>
      <c r="AK218" s="31">
        <v>135000</v>
      </c>
      <c r="AL218" s="31">
        <v>0</v>
      </c>
      <c r="AM218" s="56">
        <v>135000</v>
      </c>
      <c r="AN218" s="31">
        <v>135000</v>
      </c>
      <c r="AO218" s="31" t="s">
        <v>1578</v>
      </c>
      <c r="AP218" s="23" t="s">
        <v>187</v>
      </c>
      <c r="AQ218" s="23" t="s">
        <v>1284</v>
      </c>
    </row>
    <row r="219" spans="1:43">
      <c r="A219" s="39">
        <v>216</v>
      </c>
      <c r="B219" s="39">
        <v>113</v>
      </c>
      <c r="C219" s="572" t="str">
        <f t="shared" si="33"/>
        <v>第3目白ハイツ</v>
      </c>
      <c r="D219" s="45" t="s">
        <v>1582</v>
      </c>
      <c r="E219" s="46">
        <v>52.49</v>
      </c>
      <c r="F219" s="324">
        <v>631</v>
      </c>
      <c r="G219" s="566" t="str">
        <f t="shared" si="34"/>
        <v>住居</v>
      </c>
      <c r="H219" s="44" t="s">
        <v>1717</v>
      </c>
      <c r="I219" s="325">
        <v>120000</v>
      </c>
      <c r="J219" s="325">
        <v>5000</v>
      </c>
      <c r="K219" s="325">
        <v>0</v>
      </c>
      <c r="L219" s="325">
        <v>0</v>
      </c>
      <c r="M219" s="565">
        <f t="shared" si="41"/>
        <v>125000</v>
      </c>
      <c r="N219" s="326">
        <v>125000</v>
      </c>
      <c r="O219" s="326">
        <v>0</v>
      </c>
      <c r="P219" s="565">
        <f t="shared" si="35"/>
        <v>125000</v>
      </c>
      <c r="Q219" s="565">
        <f t="shared" si="42"/>
        <v>125000</v>
      </c>
      <c r="R219" s="325" t="s">
        <v>1578</v>
      </c>
      <c r="S219" s="325" t="s">
        <v>187</v>
      </c>
      <c r="T219" s="327" t="s">
        <v>1284</v>
      </c>
      <c r="V219" s="43" t="s">
        <v>1903</v>
      </c>
      <c r="W219" s="55">
        <v>140000</v>
      </c>
      <c r="Y219" s="6">
        <f t="shared" si="36"/>
        <v>1</v>
      </c>
      <c r="Z219" s="562">
        <f t="shared" si="37"/>
        <v>125000</v>
      </c>
      <c r="AA219" s="122">
        <f t="shared" si="38"/>
        <v>0</v>
      </c>
      <c r="AB219" s="122">
        <f t="shared" si="39"/>
        <v>-15000</v>
      </c>
      <c r="AC219" s="6">
        <f t="shared" si="40"/>
        <v>1</v>
      </c>
      <c r="AD219" s="563">
        <f t="shared" si="43"/>
        <v>1</v>
      </c>
      <c r="AE219" s="64"/>
      <c r="AF219" s="31">
        <v>120000</v>
      </c>
      <c r="AG219" s="31">
        <v>5000</v>
      </c>
      <c r="AH219" s="31">
        <v>0</v>
      </c>
      <c r="AI219" s="31">
        <v>0</v>
      </c>
      <c r="AJ219" s="31">
        <v>125000</v>
      </c>
      <c r="AK219" s="31">
        <v>125000</v>
      </c>
      <c r="AL219" s="31">
        <v>0</v>
      </c>
      <c r="AM219" s="56">
        <v>125000</v>
      </c>
      <c r="AN219" s="31">
        <v>125000</v>
      </c>
      <c r="AO219" s="31" t="s">
        <v>1578</v>
      </c>
      <c r="AP219" s="23" t="s">
        <v>187</v>
      </c>
      <c r="AQ219" s="23" t="s">
        <v>1284</v>
      </c>
    </row>
    <row r="220" spans="1:43">
      <c r="A220" s="39">
        <v>217</v>
      </c>
      <c r="B220" s="39">
        <v>113</v>
      </c>
      <c r="C220" s="572" t="str">
        <f t="shared" si="33"/>
        <v>第3目白ハイツ</v>
      </c>
      <c r="D220" s="45" t="s">
        <v>1585</v>
      </c>
      <c r="E220" s="46">
        <v>54.44</v>
      </c>
      <c r="F220" s="324">
        <v>631</v>
      </c>
      <c r="G220" s="566" t="str">
        <f t="shared" si="34"/>
        <v>住居</v>
      </c>
      <c r="H220" s="44" t="s">
        <v>1717</v>
      </c>
      <c r="I220" s="325">
        <v>115000</v>
      </c>
      <c r="J220" s="325">
        <v>5000</v>
      </c>
      <c r="K220" s="325">
        <v>0</v>
      </c>
      <c r="L220" s="325">
        <v>0</v>
      </c>
      <c r="M220" s="565">
        <f t="shared" si="41"/>
        <v>120000</v>
      </c>
      <c r="N220" s="326">
        <v>120000</v>
      </c>
      <c r="O220" s="326">
        <v>0</v>
      </c>
      <c r="P220" s="565">
        <f t="shared" si="35"/>
        <v>120000</v>
      </c>
      <c r="Q220" s="565">
        <f t="shared" si="42"/>
        <v>120000</v>
      </c>
      <c r="R220" s="325" t="s">
        <v>1568</v>
      </c>
      <c r="S220" s="325" t="s">
        <v>187</v>
      </c>
      <c r="T220" s="327" t="s">
        <v>1284</v>
      </c>
      <c r="V220" s="43" t="s">
        <v>1904</v>
      </c>
      <c r="W220" s="55">
        <v>116000</v>
      </c>
      <c r="Y220" s="6">
        <f t="shared" si="36"/>
        <v>1</v>
      </c>
      <c r="Z220" s="562">
        <f t="shared" si="37"/>
        <v>120000</v>
      </c>
      <c r="AA220" s="122">
        <f t="shared" si="38"/>
        <v>0</v>
      </c>
      <c r="AB220" s="122">
        <f t="shared" si="39"/>
        <v>4000</v>
      </c>
      <c r="AC220" s="6">
        <f t="shared" si="40"/>
        <v>1</v>
      </c>
      <c r="AD220" s="563">
        <f t="shared" si="43"/>
        <v>1</v>
      </c>
      <c r="AE220" s="64"/>
      <c r="AF220" s="31">
        <v>115000</v>
      </c>
      <c r="AG220" s="31">
        <v>5000</v>
      </c>
      <c r="AH220" s="31">
        <v>0</v>
      </c>
      <c r="AI220" s="31">
        <v>0</v>
      </c>
      <c r="AJ220" s="31">
        <v>120000</v>
      </c>
      <c r="AK220" s="31">
        <v>120000</v>
      </c>
      <c r="AL220" s="31">
        <v>0</v>
      </c>
      <c r="AM220" s="56">
        <v>120000</v>
      </c>
      <c r="AN220" s="31">
        <v>120000</v>
      </c>
      <c r="AO220" s="31" t="s">
        <v>1568</v>
      </c>
      <c r="AP220" s="23" t="s">
        <v>187</v>
      </c>
      <c r="AQ220" s="23" t="s">
        <v>1284</v>
      </c>
    </row>
    <row r="221" spans="1:43">
      <c r="A221" s="39">
        <v>218</v>
      </c>
      <c r="B221" s="39">
        <v>113</v>
      </c>
      <c r="C221" s="572" t="str">
        <f t="shared" si="33"/>
        <v>第3目白ハイツ</v>
      </c>
      <c r="D221" s="45" t="s">
        <v>1724</v>
      </c>
      <c r="E221" s="46">
        <v>52.49</v>
      </c>
      <c r="F221" s="324">
        <v>631</v>
      </c>
      <c r="G221" s="566" t="str">
        <f t="shared" si="34"/>
        <v>住居</v>
      </c>
      <c r="H221" s="44" t="s">
        <v>1717</v>
      </c>
      <c r="I221" s="325">
        <v>130000</v>
      </c>
      <c r="J221" s="325">
        <v>5000</v>
      </c>
      <c r="K221" s="325">
        <v>0</v>
      </c>
      <c r="L221" s="325">
        <v>0</v>
      </c>
      <c r="M221" s="565">
        <f t="shared" si="41"/>
        <v>135000</v>
      </c>
      <c r="N221" s="326">
        <v>119000</v>
      </c>
      <c r="O221" s="326">
        <v>0</v>
      </c>
      <c r="P221" s="565">
        <f t="shared" si="35"/>
        <v>119000</v>
      </c>
      <c r="Q221" s="565">
        <f t="shared" si="42"/>
        <v>135000</v>
      </c>
      <c r="R221" s="325" t="s">
        <v>1583</v>
      </c>
      <c r="S221" s="325" t="s">
        <v>187</v>
      </c>
      <c r="T221" s="327" t="s">
        <v>1284</v>
      </c>
      <c r="V221" s="43" t="s">
        <v>1905</v>
      </c>
      <c r="W221" s="55">
        <v>119000</v>
      </c>
      <c r="Y221" s="6">
        <f t="shared" si="36"/>
        <v>1</v>
      </c>
      <c r="Z221" s="562">
        <f t="shared" si="37"/>
        <v>135000</v>
      </c>
      <c r="AA221" s="122">
        <f t="shared" si="38"/>
        <v>-16000</v>
      </c>
      <c r="AB221" s="122">
        <f t="shared" si="39"/>
        <v>16000</v>
      </c>
      <c r="AC221" s="6">
        <f t="shared" si="40"/>
        <v>1</v>
      </c>
      <c r="AD221" s="563">
        <f t="shared" si="43"/>
        <v>1</v>
      </c>
      <c r="AE221" s="64"/>
      <c r="AF221" s="31">
        <v>130000</v>
      </c>
      <c r="AG221" s="31">
        <v>5000</v>
      </c>
      <c r="AH221" s="31">
        <v>0</v>
      </c>
      <c r="AI221" s="31">
        <v>0</v>
      </c>
      <c r="AJ221" s="31">
        <v>135000</v>
      </c>
      <c r="AK221" s="31">
        <v>119000</v>
      </c>
      <c r="AL221" s="31">
        <v>0</v>
      </c>
      <c r="AM221" s="56">
        <v>119000</v>
      </c>
      <c r="AN221" s="31">
        <v>135000</v>
      </c>
      <c r="AO221" s="31" t="s">
        <v>1583</v>
      </c>
      <c r="AP221" s="23" t="s">
        <v>187</v>
      </c>
      <c r="AQ221" s="23" t="s">
        <v>1284</v>
      </c>
    </row>
    <row r="222" spans="1:43">
      <c r="A222" s="39">
        <v>219</v>
      </c>
      <c r="B222" s="39">
        <v>113</v>
      </c>
      <c r="C222" s="572" t="str">
        <f t="shared" si="33"/>
        <v>第3目白ハイツ</v>
      </c>
      <c r="D222" s="45" t="s">
        <v>1587</v>
      </c>
      <c r="E222" s="46">
        <v>54.44</v>
      </c>
      <c r="F222" s="324">
        <v>631</v>
      </c>
      <c r="G222" s="566" t="str">
        <f t="shared" si="34"/>
        <v>住居</v>
      </c>
      <c r="H222" s="44" t="s">
        <v>1717</v>
      </c>
      <c r="I222" s="325">
        <v>130000</v>
      </c>
      <c r="J222" s="325">
        <v>5000</v>
      </c>
      <c r="K222" s="325">
        <v>0</v>
      </c>
      <c r="L222" s="325">
        <v>0</v>
      </c>
      <c r="M222" s="565">
        <f t="shared" si="41"/>
        <v>135000</v>
      </c>
      <c r="N222" s="326">
        <v>120000</v>
      </c>
      <c r="O222" s="326">
        <v>0</v>
      </c>
      <c r="P222" s="565">
        <f t="shared" si="35"/>
        <v>120000</v>
      </c>
      <c r="Q222" s="565">
        <f t="shared" si="42"/>
        <v>135000</v>
      </c>
      <c r="R222" s="325" t="s">
        <v>1583</v>
      </c>
      <c r="S222" s="325" t="s">
        <v>187</v>
      </c>
      <c r="T222" s="327" t="s">
        <v>1284</v>
      </c>
      <c r="V222" s="43" t="s">
        <v>1906</v>
      </c>
      <c r="W222" s="55">
        <v>120000</v>
      </c>
      <c r="Y222" s="6">
        <f t="shared" si="36"/>
        <v>1</v>
      </c>
      <c r="Z222" s="562">
        <f t="shared" si="37"/>
        <v>135000</v>
      </c>
      <c r="AA222" s="122">
        <f t="shared" si="38"/>
        <v>-15000</v>
      </c>
      <c r="AB222" s="122">
        <f t="shared" si="39"/>
        <v>15000</v>
      </c>
      <c r="AC222" s="6">
        <f t="shared" si="40"/>
        <v>1</v>
      </c>
      <c r="AD222" s="563">
        <f t="shared" si="43"/>
        <v>1</v>
      </c>
      <c r="AE222" s="64"/>
      <c r="AF222" s="31">
        <v>130000</v>
      </c>
      <c r="AG222" s="31">
        <v>5000</v>
      </c>
      <c r="AH222" s="31">
        <v>0</v>
      </c>
      <c r="AI222" s="31">
        <v>0</v>
      </c>
      <c r="AJ222" s="31">
        <v>135000</v>
      </c>
      <c r="AK222" s="31">
        <v>120000</v>
      </c>
      <c r="AL222" s="31">
        <v>0</v>
      </c>
      <c r="AM222" s="56">
        <v>120000</v>
      </c>
      <c r="AN222" s="31">
        <v>135000</v>
      </c>
      <c r="AO222" s="31" t="s">
        <v>1583</v>
      </c>
      <c r="AP222" s="23" t="s">
        <v>187</v>
      </c>
      <c r="AQ222" s="23" t="s">
        <v>1284</v>
      </c>
    </row>
    <row r="223" spans="1:43">
      <c r="A223" s="39">
        <v>220</v>
      </c>
      <c r="B223" s="39">
        <v>113</v>
      </c>
      <c r="C223" s="572" t="str">
        <f t="shared" si="33"/>
        <v>第3目白ハイツ</v>
      </c>
      <c r="D223" s="45" t="s">
        <v>1642</v>
      </c>
      <c r="E223" s="46">
        <v>52.49</v>
      </c>
      <c r="F223" s="324">
        <v>631</v>
      </c>
      <c r="G223" s="566" t="str">
        <f t="shared" si="34"/>
        <v>住居</v>
      </c>
      <c r="H223" s="44" t="s">
        <v>1717</v>
      </c>
      <c r="I223" s="325">
        <v>130000</v>
      </c>
      <c r="J223" s="325">
        <v>5000</v>
      </c>
      <c r="K223" s="325">
        <v>0</v>
      </c>
      <c r="L223" s="325">
        <v>0</v>
      </c>
      <c r="M223" s="565">
        <f t="shared" si="41"/>
        <v>135000</v>
      </c>
      <c r="N223" s="326">
        <v>125000</v>
      </c>
      <c r="O223" s="326">
        <v>0</v>
      </c>
      <c r="P223" s="565">
        <f t="shared" si="35"/>
        <v>125000</v>
      </c>
      <c r="Q223" s="565">
        <f t="shared" si="42"/>
        <v>135000</v>
      </c>
      <c r="R223" s="325" t="s">
        <v>1583</v>
      </c>
      <c r="S223" s="325" t="s">
        <v>187</v>
      </c>
      <c r="T223" s="327" t="s">
        <v>1284</v>
      </c>
      <c r="V223" s="43" t="s">
        <v>1907</v>
      </c>
      <c r="W223" s="55">
        <v>120000</v>
      </c>
      <c r="Y223" s="6">
        <f t="shared" si="36"/>
        <v>1</v>
      </c>
      <c r="Z223" s="562">
        <f t="shared" si="37"/>
        <v>135000</v>
      </c>
      <c r="AA223" s="122">
        <f t="shared" si="38"/>
        <v>-10000</v>
      </c>
      <c r="AB223" s="122">
        <f t="shared" si="39"/>
        <v>15000</v>
      </c>
      <c r="AC223" s="6">
        <f t="shared" si="40"/>
        <v>1</v>
      </c>
      <c r="AD223" s="563">
        <f t="shared" si="43"/>
        <v>1</v>
      </c>
      <c r="AE223" s="64"/>
      <c r="AF223" s="31">
        <v>130000</v>
      </c>
      <c r="AG223" s="31">
        <v>5000</v>
      </c>
      <c r="AH223" s="31">
        <v>0</v>
      </c>
      <c r="AI223" s="31">
        <v>0</v>
      </c>
      <c r="AJ223" s="31">
        <v>135000</v>
      </c>
      <c r="AK223" s="31">
        <v>125000</v>
      </c>
      <c r="AL223" s="31">
        <v>0</v>
      </c>
      <c r="AM223" s="56">
        <v>125000</v>
      </c>
      <c r="AN223" s="31">
        <v>135000</v>
      </c>
      <c r="AO223" s="31" t="s">
        <v>1583</v>
      </c>
      <c r="AP223" s="23" t="s">
        <v>187</v>
      </c>
      <c r="AQ223" s="23" t="s">
        <v>1284</v>
      </c>
    </row>
    <row r="224" spans="1:43">
      <c r="A224" s="39">
        <v>221</v>
      </c>
      <c r="B224" s="39">
        <v>113</v>
      </c>
      <c r="C224" s="572" t="str">
        <f t="shared" si="33"/>
        <v>第3目白ハイツ</v>
      </c>
      <c r="D224" s="45" t="s">
        <v>1589</v>
      </c>
      <c r="E224" s="46">
        <v>54.44</v>
      </c>
      <c r="F224" s="324">
        <v>631</v>
      </c>
      <c r="G224" s="566" t="str">
        <f t="shared" si="34"/>
        <v>住居</v>
      </c>
      <c r="H224" s="44" t="s">
        <v>1717</v>
      </c>
      <c r="I224" s="325">
        <v>127000</v>
      </c>
      <c r="J224" s="325">
        <v>5000</v>
      </c>
      <c r="K224" s="325">
        <v>0</v>
      </c>
      <c r="L224" s="325">
        <v>0</v>
      </c>
      <c r="M224" s="565">
        <f t="shared" si="41"/>
        <v>132000</v>
      </c>
      <c r="N224" s="326">
        <v>137000</v>
      </c>
      <c r="O224" s="326">
        <v>0</v>
      </c>
      <c r="P224" s="565">
        <f t="shared" si="35"/>
        <v>137000</v>
      </c>
      <c r="Q224" s="565">
        <f t="shared" si="42"/>
        <v>132000</v>
      </c>
      <c r="R224" s="325" t="s">
        <v>1568</v>
      </c>
      <c r="S224" s="325" t="s">
        <v>187</v>
      </c>
      <c r="T224" s="327" t="s">
        <v>1284</v>
      </c>
      <c r="V224" s="43" t="s">
        <v>1908</v>
      </c>
      <c r="W224" s="55">
        <v>120000</v>
      </c>
      <c r="Y224" s="6">
        <f t="shared" si="36"/>
        <v>1</v>
      </c>
      <c r="Z224" s="562">
        <f t="shared" si="37"/>
        <v>132000</v>
      </c>
      <c r="AA224" s="122">
        <f t="shared" si="38"/>
        <v>5000</v>
      </c>
      <c r="AB224" s="122">
        <f t="shared" si="39"/>
        <v>12000</v>
      </c>
      <c r="AC224" s="6">
        <f t="shared" si="40"/>
        <v>1</v>
      </c>
      <c r="AD224" s="563">
        <f t="shared" si="43"/>
        <v>1</v>
      </c>
      <c r="AE224" s="64"/>
      <c r="AF224" s="31">
        <v>127000</v>
      </c>
      <c r="AG224" s="31">
        <v>5000</v>
      </c>
      <c r="AH224" s="31">
        <v>0</v>
      </c>
      <c r="AI224" s="31">
        <v>0</v>
      </c>
      <c r="AJ224" s="31">
        <v>132000</v>
      </c>
      <c r="AK224" s="31">
        <v>137000</v>
      </c>
      <c r="AL224" s="31">
        <v>0</v>
      </c>
      <c r="AM224" s="56">
        <v>137000</v>
      </c>
      <c r="AN224" s="31">
        <v>132000</v>
      </c>
      <c r="AO224" s="31" t="s">
        <v>1568</v>
      </c>
      <c r="AP224" s="23" t="s">
        <v>187</v>
      </c>
      <c r="AQ224" s="23" t="s">
        <v>1284</v>
      </c>
    </row>
    <row r="225" spans="1:43">
      <c r="A225" s="39">
        <v>222</v>
      </c>
      <c r="B225" s="39">
        <v>113</v>
      </c>
      <c r="C225" s="572" t="str">
        <f t="shared" si="33"/>
        <v>第3目白ハイツ</v>
      </c>
      <c r="D225" s="45" t="s">
        <v>1591</v>
      </c>
      <c r="E225" s="46">
        <v>52.49</v>
      </c>
      <c r="F225" s="324">
        <v>631</v>
      </c>
      <c r="G225" s="566" t="str">
        <f t="shared" si="34"/>
        <v>住居</v>
      </c>
      <c r="H225" s="44" t="s">
        <v>1717</v>
      </c>
      <c r="I225" s="325">
        <v>125000</v>
      </c>
      <c r="J225" s="325">
        <v>5000</v>
      </c>
      <c r="K225" s="325">
        <v>0</v>
      </c>
      <c r="L225" s="325">
        <v>0</v>
      </c>
      <c r="M225" s="565">
        <f t="shared" si="41"/>
        <v>130000</v>
      </c>
      <c r="N225" s="326">
        <v>130000</v>
      </c>
      <c r="O225" s="326">
        <v>0</v>
      </c>
      <c r="P225" s="565">
        <f t="shared" si="35"/>
        <v>130000</v>
      </c>
      <c r="Q225" s="565">
        <f t="shared" si="42"/>
        <v>130000</v>
      </c>
      <c r="R225" s="325" t="s">
        <v>1578</v>
      </c>
      <c r="S225" s="325" t="s">
        <v>187</v>
      </c>
      <c r="T225" s="327" t="s">
        <v>1284</v>
      </c>
      <c r="V225" s="43" t="s">
        <v>1909</v>
      </c>
      <c r="W225" s="55">
        <v>125000</v>
      </c>
      <c r="Y225" s="6">
        <f t="shared" si="36"/>
        <v>1</v>
      </c>
      <c r="Z225" s="562">
        <f t="shared" si="37"/>
        <v>130000</v>
      </c>
      <c r="AA225" s="122">
        <f t="shared" si="38"/>
        <v>0</v>
      </c>
      <c r="AB225" s="122">
        <f t="shared" si="39"/>
        <v>5000</v>
      </c>
      <c r="AC225" s="6">
        <f t="shared" si="40"/>
        <v>1</v>
      </c>
      <c r="AD225" s="563">
        <f t="shared" si="43"/>
        <v>1</v>
      </c>
      <c r="AE225" s="64"/>
      <c r="AF225" s="31">
        <v>125000</v>
      </c>
      <c r="AG225" s="31">
        <v>5000</v>
      </c>
      <c r="AH225" s="31">
        <v>0</v>
      </c>
      <c r="AI225" s="31">
        <v>0</v>
      </c>
      <c r="AJ225" s="31">
        <v>130000</v>
      </c>
      <c r="AK225" s="31">
        <v>130000</v>
      </c>
      <c r="AL225" s="31">
        <v>0</v>
      </c>
      <c r="AM225" s="56">
        <v>130000</v>
      </c>
      <c r="AN225" s="31">
        <v>130000</v>
      </c>
      <c r="AO225" s="31" t="s">
        <v>1578</v>
      </c>
      <c r="AP225" s="23" t="s">
        <v>187</v>
      </c>
      <c r="AQ225" s="23" t="s">
        <v>1284</v>
      </c>
    </row>
    <row r="226" spans="1:43">
      <c r="A226" s="39">
        <v>223</v>
      </c>
      <c r="B226" s="39">
        <v>113</v>
      </c>
      <c r="C226" s="572" t="str">
        <f t="shared" si="33"/>
        <v>第3目白ハイツ</v>
      </c>
      <c r="D226" s="45" t="s">
        <v>1593</v>
      </c>
      <c r="E226" s="46">
        <v>54.44</v>
      </c>
      <c r="F226" s="324">
        <v>631</v>
      </c>
      <c r="G226" s="566" t="str">
        <f t="shared" si="34"/>
        <v>住居</v>
      </c>
      <c r="H226" s="44" t="s">
        <v>1717</v>
      </c>
      <c r="I226" s="325">
        <v>125000</v>
      </c>
      <c r="J226" s="325">
        <v>5000</v>
      </c>
      <c r="K226" s="325">
        <v>0</v>
      </c>
      <c r="L226" s="325">
        <v>0</v>
      </c>
      <c r="M226" s="565">
        <f t="shared" si="41"/>
        <v>130000</v>
      </c>
      <c r="N226" s="326">
        <v>125000</v>
      </c>
      <c r="O226" s="326">
        <v>0</v>
      </c>
      <c r="P226" s="565">
        <f t="shared" si="35"/>
        <v>125000</v>
      </c>
      <c r="Q226" s="565">
        <f t="shared" si="42"/>
        <v>130000</v>
      </c>
      <c r="R226" s="325" t="s">
        <v>1578</v>
      </c>
      <c r="S226" s="325" t="s">
        <v>187</v>
      </c>
      <c r="T226" s="327" t="s">
        <v>1284</v>
      </c>
      <c r="V226" s="43" t="s">
        <v>1910</v>
      </c>
      <c r="W226" s="55">
        <v>118000</v>
      </c>
      <c r="Y226" s="6">
        <f t="shared" si="36"/>
        <v>1</v>
      </c>
      <c r="Z226" s="562">
        <f t="shared" si="37"/>
        <v>130000</v>
      </c>
      <c r="AA226" s="122">
        <f t="shared" si="38"/>
        <v>-5000</v>
      </c>
      <c r="AB226" s="122">
        <f t="shared" si="39"/>
        <v>12000</v>
      </c>
      <c r="AC226" s="6">
        <f t="shared" si="40"/>
        <v>1</v>
      </c>
      <c r="AD226" s="563">
        <f t="shared" si="43"/>
        <v>1</v>
      </c>
      <c r="AE226" s="64"/>
      <c r="AF226" s="31">
        <v>125000</v>
      </c>
      <c r="AG226" s="31">
        <v>5000</v>
      </c>
      <c r="AH226" s="31">
        <v>0</v>
      </c>
      <c r="AI226" s="31">
        <v>0</v>
      </c>
      <c r="AJ226" s="31">
        <v>130000</v>
      </c>
      <c r="AK226" s="31">
        <v>125000</v>
      </c>
      <c r="AL226" s="31">
        <v>0</v>
      </c>
      <c r="AM226" s="56">
        <v>125000</v>
      </c>
      <c r="AN226" s="31">
        <v>130000</v>
      </c>
      <c r="AO226" s="31" t="s">
        <v>1578</v>
      </c>
      <c r="AP226" s="23" t="s">
        <v>187</v>
      </c>
      <c r="AQ226" s="23" t="s">
        <v>1284</v>
      </c>
    </row>
    <row r="227" spans="1:43">
      <c r="A227" s="39">
        <v>224</v>
      </c>
      <c r="B227" s="39">
        <v>113</v>
      </c>
      <c r="C227" s="572" t="str">
        <f t="shared" si="33"/>
        <v>第3目白ハイツ</v>
      </c>
      <c r="D227" s="45" t="s">
        <v>1729</v>
      </c>
      <c r="E227" s="46">
        <v>52.49</v>
      </c>
      <c r="F227" s="324">
        <v>631</v>
      </c>
      <c r="G227" s="566" t="str">
        <f t="shared" si="34"/>
        <v>住居</v>
      </c>
      <c r="H227" s="44" t="s">
        <v>1717</v>
      </c>
      <c r="I227" s="325">
        <v>115000</v>
      </c>
      <c r="J227" s="325">
        <v>5000</v>
      </c>
      <c r="K227" s="325">
        <v>0</v>
      </c>
      <c r="L227" s="325">
        <v>0</v>
      </c>
      <c r="M227" s="565">
        <f t="shared" si="41"/>
        <v>120000</v>
      </c>
      <c r="N227" s="326">
        <v>120000</v>
      </c>
      <c r="O227" s="326">
        <v>0</v>
      </c>
      <c r="P227" s="565">
        <f t="shared" si="35"/>
        <v>120000</v>
      </c>
      <c r="Q227" s="565">
        <f t="shared" si="42"/>
        <v>120000</v>
      </c>
      <c r="R227" s="325" t="s">
        <v>1568</v>
      </c>
      <c r="S227" s="325" t="s">
        <v>187</v>
      </c>
      <c r="T227" s="327" t="s">
        <v>1284</v>
      </c>
      <c r="V227" s="43" t="s">
        <v>1911</v>
      </c>
      <c r="W227" s="55">
        <v>120000</v>
      </c>
      <c r="Y227" s="6">
        <f t="shared" si="36"/>
        <v>1</v>
      </c>
      <c r="Z227" s="562">
        <f t="shared" si="37"/>
        <v>120000</v>
      </c>
      <c r="AA227" s="122">
        <f t="shared" si="38"/>
        <v>0</v>
      </c>
      <c r="AB227" s="122">
        <f t="shared" si="39"/>
        <v>0</v>
      </c>
      <c r="AC227" s="6">
        <f t="shared" si="40"/>
        <v>1</v>
      </c>
      <c r="AD227" s="563">
        <f t="shared" si="43"/>
        <v>1</v>
      </c>
      <c r="AE227" s="64"/>
      <c r="AF227" s="31">
        <v>115000</v>
      </c>
      <c r="AG227" s="31">
        <v>5000</v>
      </c>
      <c r="AH227" s="31">
        <v>0</v>
      </c>
      <c r="AI227" s="31">
        <v>0</v>
      </c>
      <c r="AJ227" s="31">
        <v>120000</v>
      </c>
      <c r="AK227" s="31">
        <v>120000</v>
      </c>
      <c r="AL227" s="31">
        <v>0</v>
      </c>
      <c r="AM227" s="56">
        <v>120000</v>
      </c>
      <c r="AN227" s="31">
        <v>120000</v>
      </c>
      <c r="AO227" s="31" t="s">
        <v>1568</v>
      </c>
      <c r="AP227" s="23" t="s">
        <v>187</v>
      </c>
      <c r="AQ227" s="23" t="s">
        <v>1284</v>
      </c>
    </row>
    <row r="228" spans="1:43">
      <c r="A228" s="39">
        <v>225</v>
      </c>
      <c r="B228" s="39">
        <v>113</v>
      </c>
      <c r="C228" s="572" t="str">
        <f t="shared" si="33"/>
        <v>第3目白ハイツ</v>
      </c>
      <c r="D228" s="45" t="s">
        <v>1595</v>
      </c>
      <c r="E228" s="46">
        <v>54.44</v>
      </c>
      <c r="F228" s="324">
        <v>631</v>
      </c>
      <c r="G228" s="566" t="str">
        <f t="shared" si="34"/>
        <v>住居</v>
      </c>
      <c r="H228" s="44" t="s">
        <v>1717</v>
      </c>
      <c r="I228" s="325">
        <v>95000</v>
      </c>
      <c r="J228" s="325">
        <v>0</v>
      </c>
      <c r="K228" s="325">
        <v>0</v>
      </c>
      <c r="L228" s="325">
        <v>0</v>
      </c>
      <c r="M228" s="565">
        <f t="shared" si="41"/>
        <v>95000</v>
      </c>
      <c r="N228" s="326">
        <v>85000</v>
      </c>
      <c r="O228" s="326">
        <v>0</v>
      </c>
      <c r="P228" s="565">
        <f t="shared" si="35"/>
        <v>85000</v>
      </c>
      <c r="Q228" s="565">
        <f t="shared" si="42"/>
        <v>95000</v>
      </c>
      <c r="R228" s="325" t="s">
        <v>1568</v>
      </c>
      <c r="S228" s="325" t="s">
        <v>187</v>
      </c>
      <c r="T228" s="327" t="s">
        <v>1284</v>
      </c>
      <c r="V228" s="43" t="s">
        <v>1912</v>
      </c>
      <c r="W228" s="55">
        <v>85000</v>
      </c>
      <c r="Y228" s="6">
        <f t="shared" si="36"/>
        <v>1</v>
      </c>
      <c r="Z228" s="562">
        <f t="shared" si="37"/>
        <v>95000</v>
      </c>
      <c r="AA228" s="122">
        <f t="shared" si="38"/>
        <v>-10000</v>
      </c>
      <c r="AB228" s="122">
        <f t="shared" si="39"/>
        <v>10000</v>
      </c>
      <c r="AC228" s="6">
        <f t="shared" si="40"/>
        <v>1</v>
      </c>
      <c r="AD228" s="563">
        <f t="shared" si="43"/>
        <v>1</v>
      </c>
      <c r="AE228" s="64"/>
      <c r="AF228" s="31">
        <v>95000</v>
      </c>
      <c r="AG228" s="31">
        <v>0</v>
      </c>
      <c r="AH228" s="31">
        <v>0</v>
      </c>
      <c r="AI228" s="31">
        <v>0</v>
      </c>
      <c r="AJ228" s="31">
        <v>95000</v>
      </c>
      <c r="AK228" s="31">
        <v>85000</v>
      </c>
      <c r="AL228" s="31">
        <v>0</v>
      </c>
      <c r="AM228" s="56">
        <v>85000</v>
      </c>
      <c r="AN228" s="31">
        <v>95000</v>
      </c>
      <c r="AO228" s="31" t="s">
        <v>1568</v>
      </c>
      <c r="AP228" s="23" t="s">
        <v>187</v>
      </c>
      <c r="AQ228" s="23" t="s">
        <v>1284</v>
      </c>
    </row>
    <row r="229" spans="1:43">
      <c r="A229" s="39">
        <v>226</v>
      </c>
      <c r="B229" s="39">
        <v>113</v>
      </c>
      <c r="C229" s="572" t="str">
        <f t="shared" si="33"/>
        <v>第3目白ハイツ</v>
      </c>
      <c r="D229" s="45" t="s">
        <v>1597</v>
      </c>
      <c r="E229" s="46">
        <v>52.49</v>
      </c>
      <c r="F229" s="324">
        <v>631</v>
      </c>
      <c r="G229" s="566" t="str">
        <f t="shared" si="34"/>
        <v>住居</v>
      </c>
      <c r="H229" s="44" t="s">
        <v>1717</v>
      </c>
      <c r="I229" s="325">
        <v>118000</v>
      </c>
      <c r="J229" s="325">
        <v>5000</v>
      </c>
      <c r="K229" s="325">
        <v>0</v>
      </c>
      <c r="L229" s="325">
        <v>0</v>
      </c>
      <c r="M229" s="565">
        <f t="shared" si="41"/>
        <v>123000</v>
      </c>
      <c r="N229" s="326">
        <v>123000</v>
      </c>
      <c r="O229" s="326">
        <v>0</v>
      </c>
      <c r="P229" s="565">
        <f t="shared" si="35"/>
        <v>123000</v>
      </c>
      <c r="Q229" s="565">
        <f t="shared" si="42"/>
        <v>123000</v>
      </c>
      <c r="R229" s="325" t="s">
        <v>1568</v>
      </c>
      <c r="S229" s="325" t="s">
        <v>187</v>
      </c>
      <c r="T229" s="327" t="s">
        <v>1284</v>
      </c>
      <c r="V229" s="43" t="s">
        <v>1913</v>
      </c>
      <c r="W229" s="55">
        <v>125000</v>
      </c>
      <c r="Y229" s="6">
        <f t="shared" si="36"/>
        <v>1</v>
      </c>
      <c r="Z229" s="562">
        <f t="shared" si="37"/>
        <v>123000</v>
      </c>
      <c r="AA229" s="122">
        <f t="shared" si="38"/>
        <v>0</v>
      </c>
      <c r="AB229" s="122">
        <f t="shared" si="39"/>
        <v>-2000</v>
      </c>
      <c r="AC229" s="6">
        <f t="shared" si="40"/>
        <v>1</v>
      </c>
      <c r="AD229" s="563">
        <f t="shared" si="43"/>
        <v>1</v>
      </c>
      <c r="AE229" s="64"/>
      <c r="AF229" s="31">
        <v>118000</v>
      </c>
      <c r="AG229" s="31">
        <v>5000</v>
      </c>
      <c r="AH229" s="31">
        <v>0</v>
      </c>
      <c r="AI229" s="31">
        <v>0</v>
      </c>
      <c r="AJ229" s="31">
        <v>123000</v>
      </c>
      <c r="AK229" s="31">
        <v>123000</v>
      </c>
      <c r="AL229" s="31">
        <v>0</v>
      </c>
      <c r="AM229" s="56">
        <v>123000</v>
      </c>
      <c r="AN229" s="31">
        <v>123000</v>
      </c>
      <c r="AO229" s="31" t="s">
        <v>1568</v>
      </c>
      <c r="AP229" s="23" t="s">
        <v>187</v>
      </c>
      <c r="AQ229" s="23" t="s">
        <v>1284</v>
      </c>
    </row>
    <row r="230" spans="1:43">
      <c r="A230" s="39">
        <v>227</v>
      </c>
      <c r="B230" s="39">
        <v>113</v>
      </c>
      <c r="C230" s="572" t="str">
        <f t="shared" si="33"/>
        <v>第3目白ハイツ</v>
      </c>
      <c r="D230" s="45" t="s">
        <v>1603</v>
      </c>
      <c r="E230" s="46">
        <v>54.44</v>
      </c>
      <c r="F230" s="324">
        <v>631</v>
      </c>
      <c r="G230" s="566" t="str">
        <f t="shared" si="34"/>
        <v>住居</v>
      </c>
      <c r="H230" s="44" t="s">
        <v>1717</v>
      </c>
      <c r="I230" s="325">
        <v>115000</v>
      </c>
      <c r="J230" s="325">
        <v>5000</v>
      </c>
      <c r="K230" s="325">
        <v>0</v>
      </c>
      <c r="L230" s="325">
        <v>0</v>
      </c>
      <c r="M230" s="565">
        <f t="shared" si="41"/>
        <v>120000</v>
      </c>
      <c r="N230" s="326">
        <v>120000</v>
      </c>
      <c r="O230" s="326">
        <v>0</v>
      </c>
      <c r="P230" s="565">
        <f t="shared" si="35"/>
        <v>120000</v>
      </c>
      <c r="Q230" s="565">
        <f t="shared" si="42"/>
        <v>120000</v>
      </c>
      <c r="R230" s="325" t="s">
        <v>1578</v>
      </c>
      <c r="S230" s="325" t="s">
        <v>187</v>
      </c>
      <c r="T230" s="327" t="s">
        <v>1284</v>
      </c>
      <c r="V230" s="43" t="s">
        <v>1914</v>
      </c>
      <c r="W230" s="55">
        <v>125000</v>
      </c>
      <c r="Y230" s="6">
        <f t="shared" si="36"/>
        <v>1</v>
      </c>
      <c r="Z230" s="562">
        <f t="shared" si="37"/>
        <v>120000</v>
      </c>
      <c r="AA230" s="122">
        <f t="shared" si="38"/>
        <v>0</v>
      </c>
      <c r="AB230" s="122">
        <f t="shared" si="39"/>
        <v>-5000</v>
      </c>
      <c r="AC230" s="6">
        <f t="shared" si="40"/>
        <v>1</v>
      </c>
      <c r="AD230" s="563">
        <f t="shared" si="43"/>
        <v>1</v>
      </c>
      <c r="AE230" s="64"/>
      <c r="AF230" s="31">
        <v>115000</v>
      </c>
      <c r="AG230" s="31">
        <v>5000</v>
      </c>
      <c r="AH230" s="31">
        <v>0</v>
      </c>
      <c r="AI230" s="31">
        <v>0</v>
      </c>
      <c r="AJ230" s="31">
        <v>120000</v>
      </c>
      <c r="AK230" s="31">
        <v>120000</v>
      </c>
      <c r="AL230" s="31">
        <v>0</v>
      </c>
      <c r="AM230" s="56">
        <v>120000</v>
      </c>
      <c r="AN230" s="31">
        <v>120000</v>
      </c>
      <c r="AO230" s="31" t="s">
        <v>1578</v>
      </c>
      <c r="AP230" s="23" t="s">
        <v>187</v>
      </c>
      <c r="AQ230" s="23" t="s">
        <v>1284</v>
      </c>
    </row>
    <row r="231" spans="1:43">
      <c r="A231" s="39">
        <v>228</v>
      </c>
      <c r="B231" s="39">
        <v>113</v>
      </c>
      <c r="C231" s="572" t="str">
        <f t="shared" si="33"/>
        <v>第3目白ハイツ</v>
      </c>
      <c r="D231" s="45" t="s">
        <v>1605</v>
      </c>
      <c r="E231" s="46">
        <v>52.49</v>
      </c>
      <c r="F231" s="324">
        <v>631</v>
      </c>
      <c r="G231" s="566" t="str">
        <f t="shared" si="34"/>
        <v>住居</v>
      </c>
      <c r="H231" s="44" t="s">
        <v>1717</v>
      </c>
      <c r="I231" s="325">
        <v>121000</v>
      </c>
      <c r="J231" s="325">
        <v>5000</v>
      </c>
      <c r="K231" s="325">
        <v>0</v>
      </c>
      <c r="L231" s="325">
        <v>0</v>
      </c>
      <c r="M231" s="565">
        <f t="shared" si="41"/>
        <v>126000</v>
      </c>
      <c r="N231" s="326">
        <v>126000</v>
      </c>
      <c r="O231" s="326">
        <v>0</v>
      </c>
      <c r="P231" s="565">
        <f t="shared" si="35"/>
        <v>126000</v>
      </c>
      <c r="Q231" s="565">
        <f t="shared" si="42"/>
        <v>126000</v>
      </c>
      <c r="R231" s="325" t="s">
        <v>1568</v>
      </c>
      <c r="S231" s="325" t="s">
        <v>187</v>
      </c>
      <c r="T231" s="327" t="s">
        <v>1284</v>
      </c>
      <c r="V231" s="43" t="s">
        <v>1915</v>
      </c>
      <c r="W231" s="55">
        <v>126000</v>
      </c>
      <c r="Y231" s="6">
        <f t="shared" si="36"/>
        <v>1</v>
      </c>
      <c r="Z231" s="562">
        <f t="shared" si="37"/>
        <v>126000</v>
      </c>
      <c r="AA231" s="122">
        <f t="shared" si="38"/>
        <v>0</v>
      </c>
      <c r="AB231" s="122">
        <f t="shared" si="39"/>
        <v>0</v>
      </c>
      <c r="AC231" s="6">
        <f t="shared" si="40"/>
        <v>1</v>
      </c>
      <c r="AD231" s="563">
        <f t="shared" si="43"/>
        <v>1</v>
      </c>
      <c r="AE231" s="64"/>
      <c r="AF231" s="31">
        <v>121000</v>
      </c>
      <c r="AG231" s="31">
        <v>5000</v>
      </c>
      <c r="AH231" s="31">
        <v>0</v>
      </c>
      <c r="AI231" s="31">
        <v>0</v>
      </c>
      <c r="AJ231" s="31">
        <v>126000</v>
      </c>
      <c r="AK231" s="31">
        <v>126000</v>
      </c>
      <c r="AL231" s="31">
        <v>0</v>
      </c>
      <c r="AM231" s="56">
        <v>126000</v>
      </c>
      <c r="AN231" s="31">
        <v>126000</v>
      </c>
      <c r="AO231" s="31" t="s">
        <v>1568</v>
      </c>
      <c r="AP231" s="23" t="s">
        <v>187</v>
      </c>
      <c r="AQ231" s="23" t="s">
        <v>1284</v>
      </c>
    </row>
    <row r="232" spans="1:43">
      <c r="A232" s="39">
        <v>229</v>
      </c>
      <c r="B232" s="39">
        <v>113</v>
      </c>
      <c r="C232" s="572" t="str">
        <f t="shared" si="33"/>
        <v>第3目白ハイツ</v>
      </c>
      <c r="D232" s="45" t="s">
        <v>1607</v>
      </c>
      <c r="E232" s="46">
        <v>54.44</v>
      </c>
      <c r="F232" s="324">
        <v>631</v>
      </c>
      <c r="G232" s="566" t="str">
        <f t="shared" si="34"/>
        <v>住居</v>
      </c>
      <c r="H232" s="44" t="s">
        <v>1717</v>
      </c>
      <c r="I232" s="325">
        <v>125000</v>
      </c>
      <c r="J232" s="325">
        <v>5000</v>
      </c>
      <c r="K232" s="325">
        <v>0</v>
      </c>
      <c r="L232" s="325">
        <v>0</v>
      </c>
      <c r="M232" s="565">
        <f t="shared" si="41"/>
        <v>130000</v>
      </c>
      <c r="N232" s="326">
        <v>125000</v>
      </c>
      <c r="O232" s="326">
        <v>0</v>
      </c>
      <c r="P232" s="565">
        <f t="shared" si="35"/>
        <v>125000</v>
      </c>
      <c r="Q232" s="565">
        <f t="shared" si="42"/>
        <v>130000</v>
      </c>
      <c r="R232" s="325" t="s">
        <v>1568</v>
      </c>
      <c r="S232" s="325" t="s">
        <v>187</v>
      </c>
      <c r="T232" s="327" t="s">
        <v>1284</v>
      </c>
      <c r="V232" s="43" t="s">
        <v>1916</v>
      </c>
      <c r="W232" s="55">
        <v>123000</v>
      </c>
      <c r="Y232" s="6">
        <f t="shared" si="36"/>
        <v>1</v>
      </c>
      <c r="Z232" s="562">
        <f t="shared" si="37"/>
        <v>130000</v>
      </c>
      <c r="AA232" s="122">
        <f t="shared" si="38"/>
        <v>-5000</v>
      </c>
      <c r="AB232" s="122">
        <f t="shared" si="39"/>
        <v>7000</v>
      </c>
      <c r="AC232" s="6">
        <f t="shared" si="40"/>
        <v>1</v>
      </c>
      <c r="AD232" s="563">
        <f t="shared" si="43"/>
        <v>1</v>
      </c>
      <c r="AE232" s="64"/>
      <c r="AF232" s="31">
        <v>125000</v>
      </c>
      <c r="AG232" s="31">
        <v>5000</v>
      </c>
      <c r="AH232" s="31">
        <v>0</v>
      </c>
      <c r="AI232" s="31">
        <v>0</v>
      </c>
      <c r="AJ232" s="31">
        <v>130000</v>
      </c>
      <c r="AK232" s="31">
        <v>125000</v>
      </c>
      <c r="AL232" s="31">
        <v>0</v>
      </c>
      <c r="AM232" s="56">
        <v>125000</v>
      </c>
      <c r="AN232" s="31">
        <v>130000</v>
      </c>
      <c r="AO232" s="31" t="s">
        <v>1568</v>
      </c>
      <c r="AP232" s="23" t="s">
        <v>187</v>
      </c>
      <c r="AQ232" s="23" t="s">
        <v>1284</v>
      </c>
    </row>
    <row r="233" spans="1:43">
      <c r="A233" s="39">
        <v>230</v>
      </c>
      <c r="B233" s="39">
        <v>113</v>
      </c>
      <c r="C233" s="572" t="str">
        <f t="shared" si="33"/>
        <v>第3目白ハイツ</v>
      </c>
      <c r="D233" s="45" t="s">
        <v>1734</v>
      </c>
      <c r="E233" s="46">
        <v>52.49</v>
      </c>
      <c r="F233" s="324">
        <v>631</v>
      </c>
      <c r="G233" s="566" t="str">
        <f t="shared" si="34"/>
        <v>住居</v>
      </c>
      <c r="H233" s="44" t="s">
        <v>1717</v>
      </c>
      <c r="I233" s="325">
        <v>116000</v>
      </c>
      <c r="J233" s="325">
        <v>5000</v>
      </c>
      <c r="K233" s="325">
        <v>0</v>
      </c>
      <c r="L233" s="325">
        <v>0</v>
      </c>
      <c r="M233" s="565">
        <f t="shared" si="41"/>
        <v>121000</v>
      </c>
      <c r="N233" s="326">
        <v>121000</v>
      </c>
      <c r="O233" s="326">
        <v>0</v>
      </c>
      <c r="P233" s="565">
        <f t="shared" si="35"/>
        <v>121000</v>
      </c>
      <c r="Q233" s="565">
        <f t="shared" si="42"/>
        <v>121000</v>
      </c>
      <c r="R233" s="325" t="s">
        <v>1568</v>
      </c>
      <c r="S233" s="325" t="s">
        <v>187</v>
      </c>
      <c r="T233" s="327" t="s">
        <v>1284</v>
      </c>
      <c r="V233" s="43" t="s">
        <v>1917</v>
      </c>
      <c r="W233" s="55">
        <v>121000</v>
      </c>
      <c r="Y233" s="6">
        <f t="shared" si="36"/>
        <v>1</v>
      </c>
      <c r="Z233" s="562">
        <f t="shared" si="37"/>
        <v>121000</v>
      </c>
      <c r="AA233" s="122">
        <f t="shared" si="38"/>
        <v>0</v>
      </c>
      <c r="AB233" s="122">
        <f t="shared" si="39"/>
        <v>0</v>
      </c>
      <c r="AC233" s="6">
        <f t="shared" si="40"/>
        <v>1</v>
      </c>
      <c r="AD233" s="563">
        <f t="shared" si="43"/>
        <v>1</v>
      </c>
      <c r="AE233" s="64"/>
      <c r="AF233" s="31">
        <v>116000</v>
      </c>
      <c r="AG233" s="31">
        <v>5000</v>
      </c>
      <c r="AH233" s="31">
        <v>0</v>
      </c>
      <c r="AI233" s="31">
        <v>0</v>
      </c>
      <c r="AJ233" s="31">
        <v>121000</v>
      </c>
      <c r="AK233" s="31">
        <v>121000</v>
      </c>
      <c r="AL233" s="31">
        <v>0</v>
      </c>
      <c r="AM233" s="56">
        <v>121000</v>
      </c>
      <c r="AN233" s="31">
        <v>121000</v>
      </c>
      <c r="AO233" s="31" t="s">
        <v>1568</v>
      </c>
      <c r="AP233" s="23" t="s">
        <v>187</v>
      </c>
      <c r="AQ233" s="23" t="s">
        <v>1284</v>
      </c>
    </row>
    <row r="234" spans="1:43">
      <c r="A234" s="39">
        <v>231</v>
      </c>
      <c r="B234" s="39">
        <v>113</v>
      </c>
      <c r="C234" s="572" t="str">
        <f t="shared" si="33"/>
        <v>第3目白ハイツ</v>
      </c>
      <c r="D234" s="45" t="s">
        <v>1609</v>
      </c>
      <c r="E234" s="46">
        <v>54.44</v>
      </c>
      <c r="F234" s="324">
        <v>631</v>
      </c>
      <c r="G234" s="566" t="str">
        <f t="shared" si="34"/>
        <v>住居</v>
      </c>
      <c r="H234" s="44" t="s">
        <v>1717</v>
      </c>
      <c r="I234" s="325">
        <v>120000</v>
      </c>
      <c r="J234" s="325">
        <v>5000</v>
      </c>
      <c r="K234" s="325">
        <v>0</v>
      </c>
      <c r="L234" s="325">
        <v>0</v>
      </c>
      <c r="M234" s="565">
        <f t="shared" si="41"/>
        <v>125000</v>
      </c>
      <c r="N234" s="326">
        <v>125000</v>
      </c>
      <c r="O234" s="326">
        <v>0</v>
      </c>
      <c r="P234" s="565">
        <f t="shared" si="35"/>
        <v>125000</v>
      </c>
      <c r="Q234" s="565">
        <f t="shared" si="42"/>
        <v>125000</v>
      </c>
      <c r="R234" s="325" t="s">
        <v>1578</v>
      </c>
      <c r="S234" s="325" t="s">
        <v>187</v>
      </c>
      <c r="T234" s="327" t="s">
        <v>1284</v>
      </c>
      <c r="V234" s="43" t="s">
        <v>1918</v>
      </c>
      <c r="W234" s="55">
        <v>123000</v>
      </c>
      <c r="Y234" s="6">
        <f t="shared" si="36"/>
        <v>1</v>
      </c>
      <c r="Z234" s="562">
        <f t="shared" si="37"/>
        <v>125000</v>
      </c>
      <c r="AA234" s="122">
        <f t="shared" si="38"/>
        <v>0</v>
      </c>
      <c r="AB234" s="122">
        <f t="shared" si="39"/>
        <v>2000</v>
      </c>
      <c r="AC234" s="6">
        <f t="shared" si="40"/>
        <v>1</v>
      </c>
      <c r="AD234" s="563">
        <f t="shared" si="43"/>
        <v>1</v>
      </c>
      <c r="AE234" s="64"/>
      <c r="AF234" s="31">
        <v>120000</v>
      </c>
      <c r="AG234" s="31">
        <v>5000</v>
      </c>
      <c r="AH234" s="31">
        <v>0</v>
      </c>
      <c r="AI234" s="31">
        <v>0</v>
      </c>
      <c r="AJ234" s="31">
        <v>125000</v>
      </c>
      <c r="AK234" s="31">
        <v>125000</v>
      </c>
      <c r="AL234" s="31">
        <v>0</v>
      </c>
      <c r="AM234" s="56">
        <v>125000</v>
      </c>
      <c r="AN234" s="31">
        <v>125000</v>
      </c>
      <c r="AO234" s="31" t="s">
        <v>1578</v>
      </c>
      <c r="AP234" s="23" t="s">
        <v>187</v>
      </c>
      <c r="AQ234" s="23" t="s">
        <v>1284</v>
      </c>
    </row>
    <row r="235" spans="1:43">
      <c r="A235" s="39">
        <v>232</v>
      </c>
      <c r="B235" s="39">
        <v>113</v>
      </c>
      <c r="C235" s="572" t="str">
        <f t="shared" si="33"/>
        <v>第3目白ハイツ</v>
      </c>
      <c r="D235" s="45" t="s">
        <v>1611</v>
      </c>
      <c r="E235" s="46">
        <v>52.49</v>
      </c>
      <c r="F235" s="324">
        <v>631</v>
      </c>
      <c r="G235" s="566" t="str">
        <f t="shared" si="34"/>
        <v>住居</v>
      </c>
      <c r="H235" s="44" t="s">
        <v>1717</v>
      </c>
      <c r="I235" s="325">
        <v>126000</v>
      </c>
      <c r="J235" s="325">
        <v>5000</v>
      </c>
      <c r="K235" s="325">
        <v>0</v>
      </c>
      <c r="L235" s="325">
        <v>0</v>
      </c>
      <c r="M235" s="565">
        <f t="shared" si="41"/>
        <v>131000</v>
      </c>
      <c r="N235" s="326">
        <v>131000</v>
      </c>
      <c r="O235" s="326">
        <v>0</v>
      </c>
      <c r="P235" s="565">
        <f t="shared" si="35"/>
        <v>131000</v>
      </c>
      <c r="Q235" s="565">
        <f t="shared" si="42"/>
        <v>131000</v>
      </c>
      <c r="R235" s="325" t="s">
        <v>1583</v>
      </c>
      <c r="S235" s="325" t="s">
        <v>187</v>
      </c>
      <c r="T235" s="327" t="s">
        <v>1284</v>
      </c>
      <c r="V235" s="43" t="s">
        <v>1919</v>
      </c>
      <c r="W235" s="55">
        <v>131000</v>
      </c>
      <c r="Y235" s="6">
        <f t="shared" si="36"/>
        <v>1</v>
      </c>
      <c r="Z235" s="562">
        <f t="shared" si="37"/>
        <v>131000</v>
      </c>
      <c r="AA235" s="122">
        <f t="shared" si="38"/>
        <v>0</v>
      </c>
      <c r="AB235" s="122">
        <f t="shared" si="39"/>
        <v>0</v>
      </c>
      <c r="AC235" s="6">
        <f t="shared" si="40"/>
        <v>1</v>
      </c>
      <c r="AD235" s="563">
        <f t="shared" si="43"/>
        <v>1</v>
      </c>
      <c r="AE235" s="64"/>
      <c r="AF235" s="31">
        <v>126000</v>
      </c>
      <c r="AG235" s="31">
        <v>5000</v>
      </c>
      <c r="AH235" s="31">
        <v>0</v>
      </c>
      <c r="AI235" s="31">
        <v>0</v>
      </c>
      <c r="AJ235" s="31">
        <v>131000</v>
      </c>
      <c r="AK235" s="31">
        <v>131000</v>
      </c>
      <c r="AL235" s="31">
        <v>0</v>
      </c>
      <c r="AM235" s="56">
        <v>131000</v>
      </c>
      <c r="AN235" s="31">
        <v>131000</v>
      </c>
      <c r="AO235" s="31" t="s">
        <v>1583</v>
      </c>
      <c r="AP235" s="23" t="s">
        <v>187</v>
      </c>
      <c r="AQ235" s="23" t="s">
        <v>1284</v>
      </c>
    </row>
    <row r="236" spans="1:43">
      <c r="A236" s="39">
        <v>233</v>
      </c>
      <c r="B236" s="39">
        <v>113</v>
      </c>
      <c r="C236" s="572" t="str">
        <f t="shared" si="33"/>
        <v>第3目白ハイツ</v>
      </c>
      <c r="D236" s="45" t="s">
        <v>1673</v>
      </c>
      <c r="E236" s="46">
        <v>0</v>
      </c>
      <c r="F236" s="324">
        <v>634</v>
      </c>
      <c r="G236" s="566" t="str">
        <f t="shared" si="34"/>
        <v>駐車場</v>
      </c>
      <c r="H236" s="44" t="s">
        <v>1674</v>
      </c>
      <c r="I236" s="325">
        <v>20000</v>
      </c>
      <c r="J236" s="325">
        <v>0</v>
      </c>
      <c r="K236" s="325">
        <v>0</v>
      </c>
      <c r="L236" s="325">
        <v>2000</v>
      </c>
      <c r="M236" s="565">
        <f t="shared" si="41"/>
        <v>22000</v>
      </c>
      <c r="N236" s="326">
        <v>20000</v>
      </c>
      <c r="O236" s="326">
        <v>2000</v>
      </c>
      <c r="P236" s="565">
        <f t="shared" si="35"/>
        <v>22000</v>
      </c>
      <c r="Q236" s="565">
        <f t="shared" si="42"/>
        <v>22000</v>
      </c>
      <c r="R236" s="325" t="s">
        <v>1575</v>
      </c>
      <c r="S236" s="325" t="s">
        <v>187</v>
      </c>
      <c r="T236" s="327" t="s">
        <v>1284</v>
      </c>
      <c r="V236" s="43" t="s">
        <v>1920</v>
      </c>
      <c r="W236" s="55">
        <v>20000</v>
      </c>
      <c r="Y236" s="6">
        <f t="shared" si="36"/>
        <v>1</v>
      </c>
      <c r="Z236" s="562">
        <f t="shared" si="37"/>
        <v>20000</v>
      </c>
      <c r="AA236" s="122">
        <f t="shared" si="38"/>
        <v>0</v>
      </c>
      <c r="AB236" s="122">
        <f t="shared" si="39"/>
        <v>0</v>
      </c>
      <c r="AC236" s="6">
        <f t="shared" si="40"/>
        <v>1</v>
      </c>
      <c r="AD236" s="563">
        <f t="shared" si="43"/>
        <v>1</v>
      </c>
      <c r="AE236" s="64"/>
      <c r="AF236" s="31">
        <v>20000</v>
      </c>
      <c r="AG236" s="31">
        <v>0</v>
      </c>
      <c r="AH236" s="31">
        <v>0</v>
      </c>
      <c r="AI236" s="31">
        <v>2000</v>
      </c>
      <c r="AJ236" s="31">
        <v>22000</v>
      </c>
      <c r="AK236" s="31">
        <v>20000</v>
      </c>
      <c r="AL236" s="31">
        <v>2000</v>
      </c>
      <c r="AM236" s="56">
        <v>22000</v>
      </c>
      <c r="AN236" s="31">
        <v>22000</v>
      </c>
      <c r="AO236" s="31" t="s">
        <v>1575</v>
      </c>
      <c r="AP236" s="23" t="s">
        <v>187</v>
      </c>
      <c r="AQ236" s="23" t="s">
        <v>1284</v>
      </c>
    </row>
    <row r="237" spans="1:43">
      <c r="A237" s="39">
        <v>234</v>
      </c>
      <c r="B237" s="39">
        <v>113</v>
      </c>
      <c r="C237" s="572" t="str">
        <f t="shared" si="33"/>
        <v>第3目白ハイツ</v>
      </c>
      <c r="D237" s="45" t="s">
        <v>1622</v>
      </c>
      <c r="E237" s="46" t="s">
        <v>1017</v>
      </c>
      <c r="F237" s="324">
        <v>639</v>
      </c>
      <c r="G237" s="566" t="str">
        <f t="shared" si="34"/>
        <v>その他</v>
      </c>
      <c r="H237" s="46" t="s">
        <v>1789</v>
      </c>
      <c r="I237" s="325">
        <v>0</v>
      </c>
      <c r="J237" s="325">
        <v>0</v>
      </c>
      <c r="K237" s="325">
        <v>0</v>
      </c>
      <c r="L237" s="325">
        <v>0</v>
      </c>
      <c r="M237" s="565">
        <f t="shared" si="41"/>
        <v>0</v>
      </c>
      <c r="N237" s="326">
        <v>0</v>
      </c>
      <c r="O237" s="326">
        <v>0</v>
      </c>
      <c r="P237" s="565">
        <f t="shared" si="35"/>
        <v>0</v>
      </c>
      <c r="Q237" s="565">
        <f t="shared" si="42"/>
        <v>0</v>
      </c>
      <c r="R237" s="325" t="s">
        <v>1017</v>
      </c>
      <c r="S237" s="325" t="s">
        <v>283</v>
      </c>
      <c r="T237" s="327" t="s">
        <v>1623</v>
      </c>
      <c r="V237" s="43" t="s">
        <v>1921</v>
      </c>
      <c r="W237" s="55">
        <v>0</v>
      </c>
      <c r="Y237" s="6">
        <f t="shared" si="36"/>
        <v>0</v>
      </c>
      <c r="Z237" s="562">
        <f t="shared" si="37"/>
        <v>0</v>
      </c>
      <c r="AA237" s="122">
        <f t="shared" si="38"/>
        <v>0</v>
      </c>
      <c r="AB237" s="122">
        <f t="shared" si="39"/>
        <v>0</v>
      </c>
      <c r="AC237" s="6">
        <f t="shared" si="40"/>
        <v>0</v>
      </c>
      <c r="AD237" s="563">
        <f t="shared" si="43"/>
        <v>1</v>
      </c>
      <c r="AE237" s="64"/>
      <c r="AF237" s="31">
        <v>0</v>
      </c>
      <c r="AG237" s="31">
        <v>0</v>
      </c>
      <c r="AH237" s="31">
        <v>0</v>
      </c>
      <c r="AI237" s="31">
        <v>0</v>
      </c>
      <c r="AJ237" s="31">
        <v>0</v>
      </c>
      <c r="AK237" s="31">
        <v>0</v>
      </c>
      <c r="AL237" s="31">
        <v>0</v>
      </c>
      <c r="AM237" s="56">
        <v>0</v>
      </c>
      <c r="AN237" s="31">
        <v>0</v>
      </c>
      <c r="AO237" s="31" t="s">
        <v>1017</v>
      </c>
      <c r="AP237" s="23" t="s">
        <v>283</v>
      </c>
      <c r="AQ237" s="23" t="s">
        <v>1623</v>
      </c>
    </row>
    <row r="238" spans="1:43">
      <c r="A238" s="40">
        <v>235</v>
      </c>
      <c r="B238" s="40">
        <v>114</v>
      </c>
      <c r="C238" s="573" t="str">
        <f t="shared" si="33"/>
        <v>レジデンス目白豊島</v>
      </c>
      <c r="D238" s="45" t="s">
        <v>1580</v>
      </c>
      <c r="E238" s="46">
        <v>32.4</v>
      </c>
      <c r="F238" s="324">
        <v>631</v>
      </c>
      <c r="G238" s="566" t="str">
        <f t="shared" si="34"/>
        <v>住居</v>
      </c>
      <c r="H238" s="44" t="s">
        <v>1669</v>
      </c>
      <c r="I238" s="325">
        <v>83000</v>
      </c>
      <c r="J238" s="325">
        <v>2000</v>
      </c>
      <c r="K238" s="325">
        <v>0</v>
      </c>
      <c r="L238" s="325">
        <v>0</v>
      </c>
      <c r="M238" s="565">
        <f t="shared" si="41"/>
        <v>85000</v>
      </c>
      <c r="N238" s="326">
        <v>85000</v>
      </c>
      <c r="O238" s="326">
        <v>0</v>
      </c>
      <c r="P238" s="565">
        <f t="shared" si="35"/>
        <v>85000</v>
      </c>
      <c r="Q238" s="565">
        <f t="shared" si="42"/>
        <v>85000</v>
      </c>
      <c r="R238" s="325" t="s">
        <v>1568</v>
      </c>
      <c r="S238" s="325" t="s">
        <v>187</v>
      </c>
      <c r="T238" s="327" t="s">
        <v>1284</v>
      </c>
      <c r="V238" s="43" t="s">
        <v>1922</v>
      </c>
      <c r="W238" s="55">
        <v>85000</v>
      </c>
      <c r="Y238" s="6">
        <f t="shared" si="36"/>
        <v>1</v>
      </c>
      <c r="Z238" s="562">
        <f t="shared" si="37"/>
        <v>85000</v>
      </c>
      <c r="AA238" s="122">
        <f t="shared" si="38"/>
        <v>0</v>
      </c>
      <c r="AB238" s="122">
        <f t="shared" si="39"/>
        <v>0</v>
      </c>
      <c r="AC238" s="6">
        <f t="shared" si="40"/>
        <v>1</v>
      </c>
      <c r="AD238" s="563">
        <f t="shared" si="43"/>
        <v>1</v>
      </c>
      <c r="AE238" s="64"/>
      <c r="AF238" s="31">
        <v>83000</v>
      </c>
      <c r="AG238" s="31">
        <v>2000</v>
      </c>
      <c r="AH238" s="31">
        <v>0</v>
      </c>
      <c r="AI238" s="31">
        <v>0</v>
      </c>
      <c r="AJ238" s="31">
        <v>85000</v>
      </c>
      <c r="AK238" s="31">
        <v>85000</v>
      </c>
      <c r="AL238" s="31">
        <v>0</v>
      </c>
      <c r="AM238" s="56">
        <v>85000</v>
      </c>
      <c r="AN238" s="31">
        <v>85000</v>
      </c>
      <c r="AO238" s="31" t="s">
        <v>1568</v>
      </c>
      <c r="AP238" s="23" t="s">
        <v>187</v>
      </c>
      <c r="AQ238" s="23" t="s">
        <v>1284</v>
      </c>
    </row>
    <row r="239" spans="1:43">
      <c r="A239" s="40">
        <v>236</v>
      </c>
      <c r="B239" s="40">
        <v>114</v>
      </c>
      <c r="C239" s="573" t="str">
        <f t="shared" si="33"/>
        <v>レジデンス目白豊島</v>
      </c>
      <c r="D239" s="45" t="s">
        <v>1582</v>
      </c>
      <c r="E239" s="46">
        <v>18</v>
      </c>
      <c r="F239" s="324">
        <v>631</v>
      </c>
      <c r="G239" s="566" t="str">
        <f t="shared" si="34"/>
        <v>住居</v>
      </c>
      <c r="H239" s="44" t="s">
        <v>1709</v>
      </c>
      <c r="I239" s="325">
        <v>58000</v>
      </c>
      <c r="J239" s="325">
        <v>2000</v>
      </c>
      <c r="K239" s="325">
        <v>0</v>
      </c>
      <c r="L239" s="325">
        <v>0</v>
      </c>
      <c r="M239" s="565">
        <f t="shared" si="41"/>
        <v>60000</v>
      </c>
      <c r="N239" s="326">
        <v>60000</v>
      </c>
      <c r="O239" s="326">
        <v>0</v>
      </c>
      <c r="P239" s="565">
        <f t="shared" si="35"/>
        <v>60000</v>
      </c>
      <c r="Q239" s="565">
        <f t="shared" si="42"/>
        <v>60000</v>
      </c>
      <c r="R239" s="325" t="s">
        <v>1578</v>
      </c>
      <c r="S239" s="325" t="s">
        <v>187</v>
      </c>
      <c r="T239" s="327" t="s">
        <v>1284</v>
      </c>
      <c r="V239" s="43" t="s">
        <v>1923</v>
      </c>
      <c r="W239" s="55">
        <v>60000</v>
      </c>
      <c r="Y239" s="6">
        <f t="shared" si="36"/>
        <v>1</v>
      </c>
      <c r="Z239" s="562">
        <f t="shared" si="37"/>
        <v>60000</v>
      </c>
      <c r="AA239" s="122">
        <f t="shared" si="38"/>
        <v>0</v>
      </c>
      <c r="AB239" s="122">
        <f t="shared" si="39"/>
        <v>0</v>
      </c>
      <c r="AC239" s="6">
        <f t="shared" si="40"/>
        <v>1</v>
      </c>
      <c r="AD239" s="563">
        <f t="shared" si="43"/>
        <v>1</v>
      </c>
      <c r="AE239" s="64"/>
      <c r="AF239" s="31">
        <v>58000</v>
      </c>
      <c r="AG239" s="31">
        <v>2000</v>
      </c>
      <c r="AH239" s="31">
        <v>0</v>
      </c>
      <c r="AI239" s="31">
        <v>0</v>
      </c>
      <c r="AJ239" s="31">
        <v>60000</v>
      </c>
      <c r="AK239" s="31">
        <v>60000</v>
      </c>
      <c r="AL239" s="31">
        <v>0</v>
      </c>
      <c r="AM239" s="56">
        <v>60000</v>
      </c>
      <c r="AN239" s="31">
        <v>60000</v>
      </c>
      <c r="AO239" s="31" t="s">
        <v>1578</v>
      </c>
      <c r="AP239" s="23" t="s">
        <v>187</v>
      </c>
      <c r="AQ239" s="23" t="s">
        <v>1284</v>
      </c>
    </row>
    <row r="240" spans="1:43">
      <c r="A240" s="40">
        <v>237</v>
      </c>
      <c r="B240" s="40">
        <v>114</v>
      </c>
      <c r="C240" s="573" t="str">
        <f t="shared" si="33"/>
        <v>レジデンス目白豊島</v>
      </c>
      <c r="D240" s="45" t="s">
        <v>1585</v>
      </c>
      <c r="E240" s="46">
        <v>18</v>
      </c>
      <c r="F240" s="324">
        <v>631</v>
      </c>
      <c r="G240" s="566" t="str">
        <f t="shared" si="34"/>
        <v>住居</v>
      </c>
      <c r="H240" s="44" t="s">
        <v>1709</v>
      </c>
      <c r="I240" s="325">
        <v>50000</v>
      </c>
      <c r="J240" s="325">
        <v>3000</v>
      </c>
      <c r="K240" s="325">
        <v>0</v>
      </c>
      <c r="L240" s="325">
        <v>0</v>
      </c>
      <c r="M240" s="565">
        <f t="shared" si="41"/>
        <v>53000</v>
      </c>
      <c r="N240" s="326">
        <v>62000</v>
      </c>
      <c r="O240" s="326">
        <v>0</v>
      </c>
      <c r="P240" s="565">
        <f t="shared" si="35"/>
        <v>62000</v>
      </c>
      <c r="Q240" s="565">
        <f t="shared" si="42"/>
        <v>53000</v>
      </c>
      <c r="R240" s="325" t="s">
        <v>1578</v>
      </c>
      <c r="S240" s="325" t="s">
        <v>187</v>
      </c>
      <c r="T240" s="327" t="s">
        <v>1284</v>
      </c>
      <c r="V240" s="43" t="s">
        <v>1924</v>
      </c>
      <c r="W240" s="55">
        <v>60000</v>
      </c>
      <c r="Y240" s="6">
        <f t="shared" si="36"/>
        <v>1</v>
      </c>
      <c r="Z240" s="562">
        <f t="shared" si="37"/>
        <v>53000</v>
      </c>
      <c r="AA240" s="122">
        <f t="shared" si="38"/>
        <v>9000</v>
      </c>
      <c r="AB240" s="122">
        <f t="shared" si="39"/>
        <v>-7000</v>
      </c>
      <c r="AC240" s="6">
        <f t="shared" si="40"/>
        <v>1</v>
      </c>
      <c r="AD240" s="563">
        <f t="shared" si="43"/>
        <v>1</v>
      </c>
      <c r="AE240" s="64"/>
      <c r="AF240" s="31">
        <v>50000</v>
      </c>
      <c r="AG240" s="31">
        <v>3000</v>
      </c>
      <c r="AH240" s="31">
        <v>0</v>
      </c>
      <c r="AI240" s="31">
        <v>0</v>
      </c>
      <c r="AJ240" s="31">
        <v>53000</v>
      </c>
      <c r="AK240" s="31">
        <v>62000</v>
      </c>
      <c r="AL240" s="31">
        <v>0</v>
      </c>
      <c r="AM240" s="56">
        <v>62000</v>
      </c>
      <c r="AN240" s="31">
        <v>53000</v>
      </c>
      <c r="AO240" s="31" t="s">
        <v>1578</v>
      </c>
      <c r="AP240" s="23" t="s">
        <v>187</v>
      </c>
      <c r="AQ240" s="23" t="s">
        <v>1284</v>
      </c>
    </row>
    <row r="241" spans="1:43">
      <c r="A241" s="40">
        <v>238</v>
      </c>
      <c r="B241" s="40">
        <v>114</v>
      </c>
      <c r="C241" s="573" t="str">
        <f t="shared" si="33"/>
        <v>レジデンス目白豊島</v>
      </c>
      <c r="D241" s="45" t="s">
        <v>1587</v>
      </c>
      <c r="E241" s="46">
        <v>18.239999999999998</v>
      </c>
      <c r="F241" s="324">
        <v>631</v>
      </c>
      <c r="G241" s="566" t="str">
        <f t="shared" si="34"/>
        <v>住居</v>
      </c>
      <c r="H241" s="44" t="s">
        <v>1709</v>
      </c>
      <c r="I241" s="325">
        <v>63000</v>
      </c>
      <c r="J241" s="325">
        <v>2000</v>
      </c>
      <c r="K241" s="325">
        <v>0</v>
      </c>
      <c r="L241" s="325">
        <v>0</v>
      </c>
      <c r="M241" s="565">
        <f t="shared" si="41"/>
        <v>65000</v>
      </c>
      <c r="N241" s="326">
        <v>65000</v>
      </c>
      <c r="O241" s="326">
        <v>0</v>
      </c>
      <c r="P241" s="565">
        <f t="shared" si="35"/>
        <v>65000</v>
      </c>
      <c r="Q241" s="565">
        <f t="shared" si="42"/>
        <v>65000</v>
      </c>
      <c r="R241" s="325" t="s">
        <v>1568</v>
      </c>
      <c r="S241" s="325" t="s">
        <v>187</v>
      </c>
      <c r="T241" s="327" t="s">
        <v>1284</v>
      </c>
      <c r="V241" s="43" t="s">
        <v>1925</v>
      </c>
      <c r="W241" s="55">
        <v>65000</v>
      </c>
      <c r="Y241" s="6">
        <f t="shared" si="36"/>
        <v>1</v>
      </c>
      <c r="Z241" s="562">
        <f t="shared" si="37"/>
        <v>65000</v>
      </c>
      <c r="AA241" s="122">
        <f t="shared" si="38"/>
        <v>0</v>
      </c>
      <c r="AB241" s="122">
        <f t="shared" si="39"/>
        <v>0</v>
      </c>
      <c r="AC241" s="6">
        <f t="shared" si="40"/>
        <v>1</v>
      </c>
      <c r="AD241" s="563">
        <f t="shared" si="43"/>
        <v>1</v>
      </c>
      <c r="AE241" s="64"/>
      <c r="AF241" s="31">
        <v>63000</v>
      </c>
      <c r="AG241" s="31">
        <v>2000</v>
      </c>
      <c r="AH241" s="31">
        <v>0</v>
      </c>
      <c r="AI241" s="31">
        <v>0</v>
      </c>
      <c r="AJ241" s="31">
        <v>65000</v>
      </c>
      <c r="AK241" s="31">
        <v>65000</v>
      </c>
      <c r="AL241" s="31">
        <v>0</v>
      </c>
      <c r="AM241" s="56">
        <v>65000</v>
      </c>
      <c r="AN241" s="31">
        <v>65000</v>
      </c>
      <c r="AO241" s="31" t="s">
        <v>1568</v>
      </c>
      <c r="AP241" s="23" t="s">
        <v>187</v>
      </c>
      <c r="AQ241" s="23" t="s">
        <v>1284</v>
      </c>
    </row>
    <row r="242" spans="1:43">
      <c r="A242" s="40">
        <v>239</v>
      </c>
      <c r="B242" s="40">
        <v>114</v>
      </c>
      <c r="C242" s="573" t="str">
        <f t="shared" si="33"/>
        <v>レジデンス目白豊島</v>
      </c>
      <c r="D242" s="45" t="s">
        <v>1642</v>
      </c>
      <c r="E242" s="46">
        <v>18</v>
      </c>
      <c r="F242" s="324">
        <v>631</v>
      </c>
      <c r="G242" s="566" t="str">
        <f t="shared" si="34"/>
        <v>住居</v>
      </c>
      <c r="H242" s="44" t="s">
        <v>1709</v>
      </c>
      <c r="I242" s="325">
        <v>53700</v>
      </c>
      <c r="J242" s="325">
        <v>6300</v>
      </c>
      <c r="K242" s="325">
        <v>0</v>
      </c>
      <c r="L242" s="325">
        <v>0</v>
      </c>
      <c r="M242" s="565">
        <f t="shared" si="41"/>
        <v>60000</v>
      </c>
      <c r="N242" s="326">
        <v>62000</v>
      </c>
      <c r="O242" s="326">
        <v>0</v>
      </c>
      <c r="P242" s="565">
        <f t="shared" si="35"/>
        <v>62000</v>
      </c>
      <c r="Q242" s="565">
        <f t="shared" si="42"/>
        <v>60000</v>
      </c>
      <c r="R242" s="325" t="s">
        <v>1568</v>
      </c>
      <c r="S242" s="325" t="s">
        <v>187</v>
      </c>
      <c r="T242" s="327" t="s">
        <v>1284</v>
      </c>
      <c r="V242" s="43" t="s">
        <v>1926</v>
      </c>
      <c r="W242" s="55">
        <v>62000</v>
      </c>
      <c r="Y242" s="6">
        <f t="shared" si="36"/>
        <v>1</v>
      </c>
      <c r="Z242" s="562">
        <f t="shared" si="37"/>
        <v>60000</v>
      </c>
      <c r="AA242" s="122">
        <f t="shared" si="38"/>
        <v>2000</v>
      </c>
      <c r="AB242" s="122">
        <f t="shared" si="39"/>
        <v>-2000</v>
      </c>
      <c r="AC242" s="6">
        <f t="shared" si="40"/>
        <v>1</v>
      </c>
      <c r="AD242" s="563">
        <f t="shared" si="43"/>
        <v>1</v>
      </c>
      <c r="AE242" s="64"/>
      <c r="AF242" s="31">
        <v>53700</v>
      </c>
      <c r="AG242" s="31">
        <v>6300</v>
      </c>
      <c r="AH242" s="31">
        <v>0</v>
      </c>
      <c r="AI242" s="31">
        <v>0</v>
      </c>
      <c r="AJ242" s="31">
        <v>60000</v>
      </c>
      <c r="AK242" s="31">
        <v>62000</v>
      </c>
      <c r="AL242" s="31">
        <v>0</v>
      </c>
      <c r="AM242" s="56">
        <v>62000</v>
      </c>
      <c r="AN242" s="31">
        <v>60000</v>
      </c>
      <c r="AO242" s="31" t="s">
        <v>1568</v>
      </c>
      <c r="AP242" s="23" t="s">
        <v>187</v>
      </c>
      <c r="AQ242" s="23" t="s">
        <v>1284</v>
      </c>
    </row>
    <row r="243" spans="1:43">
      <c r="A243" s="40">
        <v>240</v>
      </c>
      <c r="B243" s="40">
        <v>114</v>
      </c>
      <c r="C243" s="573" t="str">
        <f t="shared" si="33"/>
        <v>レジデンス目白豊島</v>
      </c>
      <c r="D243" s="45" t="s">
        <v>1589</v>
      </c>
      <c r="E243" s="46">
        <v>32.4</v>
      </c>
      <c r="F243" s="324">
        <v>632</v>
      </c>
      <c r="G243" s="566" t="str">
        <f t="shared" si="34"/>
        <v>事務所</v>
      </c>
      <c r="H243" s="44" t="s">
        <v>1669</v>
      </c>
      <c r="I243" s="325">
        <v>84000</v>
      </c>
      <c r="J243" s="325">
        <v>2000</v>
      </c>
      <c r="K243" s="325">
        <v>0</v>
      </c>
      <c r="L243" s="325">
        <v>8600</v>
      </c>
      <c r="M243" s="565">
        <f t="shared" si="41"/>
        <v>94600</v>
      </c>
      <c r="N243" s="326">
        <v>86000</v>
      </c>
      <c r="O243" s="326">
        <v>8600</v>
      </c>
      <c r="P243" s="565">
        <f t="shared" si="35"/>
        <v>94600</v>
      </c>
      <c r="Q243" s="565">
        <f t="shared" si="42"/>
        <v>94600</v>
      </c>
      <c r="R243" s="325" t="s">
        <v>1583</v>
      </c>
      <c r="S243" s="325" t="s">
        <v>187</v>
      </c>
      <c r="T243" s="327" t="s">
        <v>1284</v>
      </c>
      <c r="V243" s="43" t="s">
        <v>1927</v>
      </c>
      <c r="W243" s="55">
        <v>86000</v>
      </c>
      <c r="Y243" s="6">
        <f t="shared" si="36"/>
        <v>1</v>
      </c>
      <c r="Z243" s="562">
        <f t="shared" si="37"/>
        <v>86000</v>
      </c>
      <c r="AA243" s="122">
        <f t="shared" si="38"/>
        <v>0</v>
      </c>
      <c r="AB243" s="122">
        <f t="shared" si="39"/>
        <v>0</v>
      </c>
      <c r="AC243" s="6">
        <f t="shared" si="40"/>
        <v>1</v>
      </c>
      <c r="AD243" s="563">
        <f t="shared" si="43"/>
        <v>1</v>
      </c>
      <c r="AE243" s="64"/>
      <c r="AF243" s="31">
        <v>84000</v>
      </c>
      <c r="AG243" s="31">
        <v>2000</v>
      </c>
      <c r="AH243" s="31">
        <v>0</v>
      </c>
      <c r="AI243" s="31">
        <v>8600</v>
      </c>
      <c r="AJ243" s="31">
        <v>94600</v>
      </c>
      <c r="AK243" s="31">
        <v>86000</v>
      </c>
      <c r="AL243" s="31">
        <v>8600</v>
      </c>
      <c r="AM243" s="56">
        <v>94600</v>
      </c>
      <c r="AN243" s="31">
        <v>94600</v>
      </c>
      <c r="AO243" s="31" t="s">
        <v>1583</v>
      </c>
      <c r="AP243" s="23" t="s">
        <v>187</v>
      </c>
      <c r="AQ243" s="23" t="s">
        <v>1284</v>
      </c>
    </row>
    <row r="244" spans="1:43">
      <c r="A244" s="40">
        <v>241</v>
      </c>
      <c r="B244" s="40">
        <v>114</v>
      </c>
      <c r="C244" s="573" t="str">
        <f t="shared" si="33"/>
        <v>レジデンス目白豊島</v>
      </c>
      <c r="D244" s="45" t="s">
        <v>1591</v>
      </c>
      <c r="E244" s="46">
        <v>18</v>
      </c>
      <c r="F244" s="324">
        <v>631</v>
      </c>
      <c r="G244" s="566" t="str">
        <f t="shared" si="34"/>
        <v>住居</v>
      </c>
      <c r="H244" s="44" t="s">
        <v>1709</v>
      </c>
      <c r="I244" s="325">
        <v>58000</v>
      </c>
      <c r="J244" s="325">
        <v>2000</v>
      </c>
      <c r="K244" s="325">
        <v>0</v>
      </c>
      <c r="L244" s="325">
        <v>0</v>
      </c>
      <c r="M244" s="565">
        <f t="shared" si="41"/>
        <v>60000</v>
      </c>
      <c r="N244" s="326">
        <v>60000</v>
      </c>
      <c r="O244" s="326">
        <v>0</v>
      </c>
      <c r="P244" s="565">
        <f t="shared" si="35"/>
        <v>60000</v>
      </c>
      <c r="Q244" s="565">
        <f t="shared" si="42"/>
        <v>60000</v>
      </c>
      <c r="R244" s="325" t="s">
        <v>1568</v>
      </c>
      <c r="S244" s="325" t="s">
        <v>187</v>
      </c>
      <c r="T244" s="327" t="s">
        <v>1284</v>
      </c>
      <c r="V244" s="43" t="s">
        <v>1928</v>
      </c>
      <c r="W244" s="55">
        <v>60000</v>
      </c>
      <c r="Y244" s="6">
        <f t="shared" si="36"/>
        <v>1</v>
      </c>
      <c r="Z244" s="562">
        <f t="shared" si="37"/>
        <v>60000</v>
      </c>
      <c r="AA244" s="122">
        <f t="shared" si="38"/>
        <v>0</v>
      </c>
      <c r="AB244" s="122">
        <f t="shared" si="39"/>
        <v>0</v>
      </c>
      <c r="AC244" s="6">
        <f t="shared" si="40"/>
        <v>1</v>
      </c>
      <c r="AD244" s="563">
        <f t="shared" si="43"/>
        <v>1</v>
      </c>
      <c r="AE244" s="64"/>
      <c r="AF244" s="31">
        <v>58000</v>
      </c>
      <c r="AG244" s="31">
        <v>2000</v>
      </c>
      <c r="AH244" s="31">
        <v>0</v>
      </c>
      <c r="AI244" s="31">
        <v>0</v>
      </c>
      <c r="AJ244" s="31">
        <v>60000</v>
      </c>
      <c r="AK244" s="31">
        <v>60000</v>
      </c>
      <c r="AL244" s="31">
        <v>0</v>
      </c>
      <c r="AM244" s="56">
        <v>60000</v>
      </c>
      <c r="AN244" s="31">
        <v>60000</v>
      </c>
      <c r="AO244" s="31" t="s">
        <v>1568</v>
      </c>
      <c r="AP244" s="23" t="s">
        <v>187</v>
      </c>
      <c r="AQ244" s="23" t="s">
        <v>1284</v>
      </c>
    </row>
    <row r="245" spans="1:43">
      <c r="A245" s="40">
        <v>242</v>
      </c>
      <c r="B245" s="40">
        <v>114</v>
      </c>
      <c r="C245" s="573" t="str">
        <f t="shared" si="33"/>
        <v>レジデンス目白豊島</v>
      </c>
      <c r="D245" s="45" t="s">
        <v>1593</v>
      </c>
      <c r="E245" s="46">
        <v>18</v>
      </c>
      <c r="F245" s="324">
        <v>631</v>
      </c>
      <c r="G245" s="566" t="str">
        <f t="shared" si="34"/>
        <v>住居</v>
      </c>
      <c r="H245" s="44" t="s">
        <v>1709</v>
      </c>
      <c r="I245" s="325">
        <v>62000</v>
      </c>
      <c r="J245" s="325">
        <v>3000</v>
      </c>
      <c r="K245" s="325">
        <v>0</v>
      </c>
      <c r="L245" s="325">
        <v>0</v>
      </c>
      <c r="M245" s="565">
        <f t="shared" si="41"/>
        <v>65000</v>
      </c>
      <c r="N245" s="326">
        <v>67000</v>
      </c>
      <c r="O245" s="326">
        <v>0</v>
      </c>
      <c r="P245" s="565">
        <f t="shared" si="35"/>
        <v>67000</v>
      </c>
      <c r="Q245" s="565">
        <f t="shared" si="42"/>
        <v>65000</v>
      </c>
      <c r="R245" s="325" t="s">
        <v>1578</v>
      </c>
      <c r="S245" s="325" t="s">
        <v>187</v>
      </c>
      <c r="T245" s="327" t="s">
        <v>1284</v>
      </c>
      <c r="V245" s="43" t="s">
        <v>1929</v>
      </c>
      <c r="W245" s="55">
        <v>60000</v>
      </c>
      <c r="Y245" s="6">
        <f t="shared" si="36"/>
        <v>1</v>
      </c>
      <c r="Z245" s="562">
        <f t="shared" si="37"/>
        <v>65000</v>
      </c>
      <c r="AA245" s="122">
        <f t="shared" si="38"/>
        <v>2000</v>
      </c>
      <c r="AB245" s="122">
        <f t="shared" si="39"/>
        <v>5000</v>
      </c>
      <c r="AC245" s="6">
        <f t="shared" si="40"/>
        <v>1</v>
      </c>
      <c r="AD245" s="563">
        <f t="shared" si="43"/>
        <v>1</v>
      </c>
      <c r="AE245" s="64"/>
      <c r="AF245" s="31">
        <v>62000</v>
      </c>
      <c r="AG245" s="31">
        <v>3000</v>
      </c>
      <c r="AH245" s="31">
        <v>0</v>
      </c>
      <c r="AI245" s="31">
        <v>0</v>
      </c>
      <c r="AJ245" s="31">
        <v>65000</v>
      </c>
      <c r="AK245" s="31">
        <v>67000</v>
      </c>
      <c r="AL245" s="31">
        <v>0</v>
      </c>
      <c r="AM245" s="56">
        <v>67000</v>
      </c>
      <c r="AN245" s="31">
        <v>65000</v>
      </c>
      <c r="AO245" s="31" t="s">
        <v>1578</v>
      </c>
      <c r="AP245" s="23" t="s">
        <v>187</v>
      </c>
      <c r="AQ245" s="23" t="s">
        <v>1284</v>
      </c>
    </row>
    <row r="246" spans="1:43">
      <c r="A246" s="40">
        <v>243</v>
      </c>
      <c r="B246" s="40">
        <v>114</v>
      </c>
      <c r="C246" s="573" t="str">
        <f t="shared" si="33"/>
        <v>レジデンス目白豊島</v>
      </c>
      <c r="D246" s="45" t="s">
        <v>1595</v>
      </c>
      <c r="E246" s="46">
        <v>16.5</v>
      </c>
      <c r="F246" s="324">
        <v>631</v>
      </c>
      <c r="G246" s="566" t="str">
        <f t="shared" si="34"/>
        <v>住居</v>
      </c>
      <c r="H246" s="44" t="s">
        <v>1709</v>
      </c>
      <c r="I246" s="325">
        <v>60000</v>
      </c>
      <c r="J246" s="325">
        <v>2000</v>
      </c>
      <c r="K246" s="325">
        <v>0</v>
      </c>
      <c r="L246" s="325">
        <v>0</v>
      </c>
      <c r="M246" s="565">
        <f t="shared" si="41"/>
        <v>62000</v>
      </c>
      <c r="N246" s="326">
        <v>62000</v>
      </c>
      <c r="O246" s="326">
        <v>0</v>
      </c>
      <c r="P246" s="565">
        <f t="shared" si="35"/>
        <v>62000</v>
      </c>
      <c r="Q246" s="565">
        <f t="shared" si="42"/>
        <v>62000</v>
      </c>
      <c r="R246" s="325" t="s">
        <v>1568</v>
      </c>
      <c r="S246" s="325" t="s">
        <v>187</v>
      </c>
      <c r="T246" s="327" t="s">
        <v>1284</v>
      </c>
      <c r="V246" s="43" t="s">
        <v>1930</v>
      </c>
      <c r="W246" s="55">
        <v>62000</v>
      </c>
      <c r="Y246" s="6">
        <f t="shared" si="36"/>
        <v>1</v>
      </c>
      <c r="Z246" s="562">
        <f t="shared" si="37"/>
        <v>62000</v>
      </c>
      <c r="AA246" s="122">
        <f t="shared" si="38"/>
        <v>0</v>
      </c>
      <c r="AB246" s="122">
        <f t="shared" si="39"/>
        <v>0</v>
      </c>
      <c r="AC246" s="6">
        <f t="shared" si="40"/>
        <v>1</v>
      </c>
      <c r="AD246" s="563">
        <f t="shared" si="43"/>
        <v>1</v>
      </c>
      <c r="AE246" s="64"/>
      <c r="AF246" s="31">
        <v>60000</v>
      </c>
      <c r="AG246" s="31">
        <v>2000</v>
      </c>
      <c r="AH246" s="31">
        <v>0</v>
      </c>
      <c r="AI246" s="31">
        <v>0</v>
      </c>
      <c r="AJ246" s="31">
        <v>62000</v>
      </c>
      <c r="AK246" s="31">
        <v>62000</v>
      </c>
      <c r="AL246" s="31">
        <v>0</v>
      </c>
      <c r="AM246" s="56">
        <v>62000</v>
      </c>
      <c r="AN246" s="31">
        <v>62000</v>
      </c>
      <c r="AO246" s="31" t="s">
        <v>1568</v>
      </c>
      <c r="AP246" s="23" t="s">
        <v>187</v>
      </c>
      <c r="AQ246" s="23" t="s">
        <v>1284</v>
      </c>
    </row>
    <row r="247" spans="1:43">
      <c r="A247" s="40">
        <v>244</v>
      </c>
      <c r="B247" s="40">
        <v>114</v>
      </c>
      <c r="C247" s="573" t="str">
        <f t="shared" si="33"/>
        <v>レジデンス目白豊島</v>
      </c>
      <c r="D247" s="45" t="s">
        <v>1597</v>
      </c>
      <c r="E247" s="46">
        <v>17</v>
      </c>
      <c r="F247" s="324">
        <v>631</v>
      </c>
      <c r="G247" s="566" t="str">
        <f t="shared" si="34"/>
        <v>住居</v>
      </c>
      <c r="H247" s="44" t="s">
        <v>1709</v>
      </c>
      <c r="I247" s="325">
        <v>65000</v>
      </c>
      <c r="J247" s="325">
        <v>2000</v>
      </c>
      <c r="K247" s="325">
        <v>0</v>
      </c>
      <c r="L247" s="325">
        <v>0</v>
      </c>
      <c r="M247" s="565">
        <f t="shared" si="41"/>
        <v>67000</v>
      </c>
      <c r="N247" s="326">
        <v>67000</v>
      </c>
      <c r="O247" s="326">
        <v>0</v>
      </c>
      <c r="P247" s="565">
        <f t="shared" si="35"/>
        <v>67000</v>
      </c>
      <c r="Q247" s="565">
        <f t="shared" si="42"/>
        <v>67000</v>
      </c>
      <c r="R247" s="325" t="s">
        <v>1578</v>
      </c>
      <c r="S247" s="325" t="s">
        <v>187</v>
      </c>
      <c r="T247" s="327" t="s">
        <v>1284</v>
      </c>
      <c r="V247" s="43" t="s">
        <v>1931</v>
      </c>
      <c r="W247" s="55">
        <v>60000</v>
      </c>
      <c r="Y247" s="6">
        <f t="shared" si="36"/>
        <v>1</v>
      </c>
      <c r="Z247" s="562">
        <f t="shared" si="37"/>
        <v>67000</v>
      </c>
      <c r="AA247" s="122">
        <f t="shared" si="38"/>
        <v>0</v>
      </c>
      <c r="AB247" s="122">
        <f t="shared" si="39"/>
        <v>7000</v>
      </c>
      <c r="AC247" s="6">
        <f t="shared" si="40"/>
        <v>1</v>
      </c>
      <c r="AD247" s="563">
        <f t="shared" si="43"/>
        <v>1</v>
      </c>
      <c r="AE247" s="64"/>
      <c r="AF247" s="31">
        <v>65000</v>
      </c>
      <c r="AG247" s="31">
        <v>2000</v>
      </c>
      <c r="AH247" s="31">
        <v>0</v>
      </c>
      <c r="AI247" s="31">
        <v>0</v>
      </c>
      <c r="AJ247" s="31">
        <v>67000</v>
      </c>
      <c r="AK247" s="31">
        <v>67000</v>
      </c>
      <c r="AL247" s="31">
        <v>0</v>
      </c>
      <c r="AM247" s="56">
        <v>67000</v>
      </c>
      <c r="AN247" s="31">
        <v>67000</v>
      </c>
      <c r="AO247" s="31" t="s">
        <v>1578</v>
      </c>
      <c r="AP247" s="23" t="s">
        <v>187</v>
      </c>
      <c r="AQ247" s="23" t="s">
        <v>1284</v>
      </c>
    </row>
    <row r="248" spans="1:43">
      <c r="A248" s="40">
        <v>245</v>
      </c>
      <c r="B248" s="40">
        <v>114</v>
      </c>
      <c r="C248" s="573" t="str">
        <f t="shared" si="33"/>
        <v>レジデンス目白豊島</v>
      </c>
      <c r="D248" s="45" t="s">
        <v>1603</v>
      </c>
      <c r="E248" s="46">
        <v>33</v>
      </c>
      <c r="F248" s="324">
        <v>631</v>
      </c>
      <c r="G248" s="566" t="str">
        <f t="shared" si="34"/>
        <v>住居</v>
      </c>
      <c r="H248" s="44" t="s">
        <v>1669</v>
      </c>
      <c r="I248" s="325">
        <v>88000</v>
      </c>
      <c r="J248" s="325">
        <v>2000</v>
      </c>
      <c r="K248" s="325">
        <v>0</v>
      </c>
      <c r="L248" s="325">
        <v>0</v>
      </c>
      <c r="M248" s="565">
        <f t="shared" si="41"/>
        <v>90000</v>
      </c>
      <c r="N248" s="326">
        <v>90000</v>
      </c>
      <c r="O248" s="326">
        <v>0</v>
      </c>
      <c r="P248" s="565">
        <f t="shared" si="35"/>
        <v>90000</v>
      </c>
      <c r="Q248" s="565">
        <f t="shared" si="42"/>
        <v>90000</v>
      </c>
      <c r="R248" s="325" t="s">
        <v>1568</v>
      </c>
      <c r="S248" s="325" t="s">
        <v>187</v>
      </c>
      <c r="T248" s="327" t="s">
        <v>1284</v>
      </c>
      <c r="V248" s="43" t="s">
        <v>1932</v>
      </c>
      <c r="W248" s="55">
        <v>85000</v>
      </c>
      <c r="Y248" s="6">
        <f t="shared" si="36"/>
        <v>1</v>
      </c>
      <c r="Z248" s="562">
        <f t="shared" si="37"/>
        <v>90000</v>
      </c>
      <c r="AA248" s="122">
        <f t="shared" si="38"/>
        <v>0</v>
      </c>
      <c r="AB248" s="122">
        <f t="shared" si="39"/>
        <v>5000</v>
      </c>
      <c r="AC248" s="6">
        <f t="shared" si="40"/>
        <v>1</v>
      </c>
      <c r="AD248" s="563">
        <f t="shared" si="43"/>
        <v>1</v>
      </c>
      <c r="AE248" s="64"/>
      <c r="AF248" s="31">
        <v>88000</v>
      </c>
      <c r="AG248" s="31">
        <v>2000</v>
      </c>
      <c r="AH248" s="31">
        <v>0</v>
      </c>
      <c r="AI248" s="31">
        <v>0</v>
      </c>
      <c r="AJ248" s="31">
        <v>90000</v>
      </c>
      <c r="AK248" s="31">
        <v>90000</v>
      </c>
      <c r="AL248" s="31">
        <v>0</v>
      </c>
      <c r="AM248" s="56">
        <v>90000</v>
      </c>
      <c r="AN248" s="31">
        <v>90000</v>
      </c>
      <c r="AO248" s="31" t="s">
        <v>1568</v>
      </c>
      <c r="AP248" s="23" t="s">
        <v>187</v>
      </c>
      <c r="AQ248" s="23" t="s">
        <v>1284</v>
      </c>
    </row>
    <row r="249" spans="1:43">
      <c r="A249" s="40">
        <v>246</v>
      </c>
      <c r="B249" s="40">
        <v>114</v>
      </c>
      <c r="C249" s="573" t="str">
        <f t="shared" si="33"/>
        <v>レジデンス目白豊島</v>
      </c>
      <c r="D249" s="45" t="s">
        <v>1605</v>
      </c>
      <c r="E249" s="46">
        <v>18</v>
      </c>
      <c r="F249" s="324">
        <v>631</v>
      </c>
      <c r="G249" s="566" t="str">
        <f t="shared" si="34"/>
        <v>住居</v>
      </c>
      <c r="H249" s="44" t="s">
        <v>1709</v>
      </c>
      <c r="I249" s="325">
        <v>67000</v>
      </c>
      <c r="J249" s="325">
        <v>2000</v>
      </c>
      <c r="K249" s="325">
        <v>0</v>
      </c>
      <c r="L249" s="325">
        <v>0</v>
      </c>
      <c r="M249" s="565">
        <f t="shared" si="41"/>
        <v>69000</v>
      </c>
      <c r="N249" s="326">
        <v>69000</v>
      </c>
      <c r="O249" s="326">
        <v>0</v>
      </c>
      <c r="P249" s="565">
        <f t="shared" si="35"/>
        <v>69000</v>
      </c>
      <c r="Q249" s="565">
        <f t="shared" si="42"/>
        <v>69000</v>
      </c>
      <c r="R249" s="325" t="s">
        <v>1578</v>
      </c>
      <c r="S249" s="325" t="s">
        <v>187</v>
      </c>
      <c r="T249" s="327" t="s">
        <v>1284</v>
      </c>
      <c r="V249" s="43" t="s">
        <v>1933</v>
      </c>
      <c r="W249" s="55">
        <v>62000</v>
      </c>
      <c r="Y249" s="6">
        <f t="shared" si="36"/>
        <v>1</v>
      </c>
      <c r="Z249" s="562">
        <f t="shared" si="37"/>
        <v>69000</v>
      </c>
      <c r="AA249" s="122">
        <f t="shared" si="38"/>
        <v>0</v>
      </c>
      <c r="AB249" s="122">
        <f t="shared" si="39"/>
        <v>7000</v>
      </c>
      <c r="AC249" s="6">
        <f t="shared" si="40"/>
        <v>1</v>
      </c>
      <c r="AD249" s="563">
        <f t="shared" si="43"/>
        <v>1</v>
      </c>
      <c r="AE249" s="64"/>
      <c r="AF249" s="31">
        <v>67000</v>
      </c>
      <c r="AG249" s="31">
        <v>2000</v>
      </c>
      <c r="AH249" s="31">
        <v>0</v>
      </c>
      <c r="AI249" s="31">
        <v>0</v>
      </c>
      <c r="AJ249" s="31">
        <v>69000</v>
      </c>
      <c r="AK249" s="31">
        <v>69000</v>
      </c>
      <c r="AL249" s="31">
        <v>0</v>
      </c>
      <c r="AM249" s="56">
        <v>69000</v>
      </c>
      <c r="AN249" s="31">
        <v>69000</v>
      </c>
      <c r="AO249" s="31" t="s">
        <v>1578</v>
      </c>
      <c r="AP249" s="23" t="s">
        <v>187</v>
      </c>
      <c r="AQ249" s="23" t="s">
        <v>1284</v>
      </c>
    </row>
    <row r="250" spans="1:43">
      <c r="A250" s="40">
        <v>247</v>
      </c>
      <c r="B250" s="40">
        <v>114</v>
      </c>
      <c r="C250" s="573" t="str">
        <f t="shared" si="33"/>
        <v>レジデンス目白豊島</v>
      </c>
      <c r="D250" s="45" t="s">
        <v>1607</v>
      </c>
      <c r="E250" s="46">
        <v>20</v>
      </c>
      <c r="F250" s="324">
        <v>631</v>
      </c>
      <c r="G250" s="566" t="str">
        <f t="shared" si="34"/>
        <v>住居</v>
      </c>
      <c r="H250" s="44" t="s">
        <v>1709</v>
      </c>
      <c r="I250" s="325">
        <v>65000</v>
      </c>
      <c r="J250" s="325">
        <v>2000</v>
      </c>
      <c r="K250" s="325">
        <v>0</v>
      </c>
      <c r="L250" s="325">
        <v>0</v>
      </c>
      <c r="M250" s="565">
        <f t="shared" si="41"/>
        <v>67000</v>
      </c>
      <c r="N250" s="326">
        <v>67000</v>
      </c>
      <c r="O250" s="326">
        <v>0</v>
      </c>
      <c r="P250" s="565">
        <f t="shared" si="35"/>
        <v>67000</v>
      </c>
      <c r="Q250" s="565">
        <f t="shared" si="42"/>
        <v>67000</v>
      </c>
      <c r="R250" s="325" t="s">
        <v>1568</v>
      </c>
      <c r="S250" s="325" t="s">
        <v>187</v>
      </c>
      <c r="T250" s="327" t="s">
        <v>1284</v>
      </c>
      <c r="V250" s="43" t="s">
        <v>1934</v>
      </c>
      <c r="W250" s="55">
        <v>67000</v>
      </c>
      <c r="Y250" s="6">
        <f t="shared" si="36"/>
        <v>1</v>
      </c>
      <c r="Z250" s="562">
        <f t="shared" si="37"/>
        <v>67000</v>
      </c>
      <c r="AA250" s="122">
        <f t="shared" si="38"/>
        <v>0</v>
      </c>
      <c r="AB250" s="122">
        <f t="shared" si="39"/>
        <v>0</v>
      </c>
      <c r="AC250" s="6">
        <f t="shared" si="40"/>
        <v>1</v>
      </c>
      <c r="AD250" s="563">
        <f t="shared" si="43"/>
        <v>1</v>
      </c>
      <c r="AE250" s="64"/>
      <c r="AF250" s="31">
        <v>65000</v>
      </c>
      <c r="AG250" s="31">
        <v>2000</v>
      </c>
      <c r="AH250" s="31">
        <v>0</v>
      </c>
      <c r="AI250" s="31">
        <v>0</v>
      </c>
      <c r="AJ250" s="31">
        <v>67000</v>
      </c>
      <c r="AK250" s="31">
        <v>67000</v>
      </c>
      <c r="AL250" s="31">
        <v>0</v>
      </c>
      <c r="AM250" s="56">
        <v>67000</v>
      </c>
      <c r="AN250" s="31">
        <v>67000</v>
      </c>
      <c r="AO250" s="31" t="s">
        <v>1568</v>
      </c>
      <c r="AP250" s="23" t="s">
        <v>187</v>
      </c>
      <c r="AQ250" s="23" t="s">
        <v>1284</v>
      </c>
    </row>
    <row r="251" spans="1:43">
      <c r="A251" s="40">
        <v>248</v>
      </c>
      <c r="B251" s="40">
        <v>114</v>
      </c>
      <c r="C251" s="573" t="str">
        <f t="shared" si="33"/>
        <v>レジデンス目白豊島</v>
      </c>
      <c r="D251" s="45" t="s">
        <v>1609</v>
      </c>
      <c r="E251" s="46">
        <v>18</v>
      </c>
      <c r="F251" s="324">
        <v>631</v>
      </c>
      <c r="G251" s="566" t="str">
        <f t="shared" si="34"/>
        <v>住居</v>
      </c>
      <c r="H251" s="44" t="s">
        <v>1709</v>
      </c>
      <c r="I251" s="325">
        <v>62000</v>
      </c>
      <c r="J251" s="325">
        <v>3000</v>
      </c>
      <c r="K251" s="325">
        <v>0</v>
      </c>
      <c r="L251" s="325">
        <v>0</v>
      </c>
      <c r="M251" s="565">
        <f t="shared" si="41"/>
        <v>65000</v>
      </c>
      <c r="N251" s="326">
        <v>65000</v>
      </c>
      <c r="O251" s="326">
        <v>0</v>
      </c>
      <c r="P251" s="565">
        <f t="shared" si="35"/>
        <v>65000</v>
      </c>
      <c r="Q251" s="565">
        <f t="shared" si="42"/>
        <v>65000</v>
      </c>
      <c r="R251" s="325" t="s">
        <v>1578</v>
      </c>
      <c r="S251" s="325" t="s">
        <v>187</v>
      </c>
      <c r="T251" s="327" t="s">
        <v>1284</v>
      </c>
      <c r="V251" s="43" t="s">
        <v>1935</v>
      </c>
      <c r="W251" s="55">
        <v>65000</v>
      </c>
      <c r="Y251" s="6">
        <f t="shared" si="36"/>
        <v>1</v>
      </c>
      <c r="Z251" s="562">
        <f t="shared" si="37"/>
        <v>65000</v>
      </c>
      <c r="AA251" s="122">
        <f t="shared" si="38"/>
        <v>0</v>
      </c>
      <c r="AB251" s="122">
        <f t="shared" si="39"/>
        <v>0</v>
      </c>
      <c r="AC251" s="6">
        <f t="shared" si="40"/>
        <v>1</v>
      </c>
      <c r="AD251" s="563">
        <f t="shared" si="43"/>
        <v>1</v>
      </c>
      <c r="AE251" s="64"/>
      <c r="AF251" s="31">
        <v>62000</v>
      </c>
      <c r="AG251" s="31">
        <v>3000</v>
      </c>
      <c r="AH251" s="31">
        <v>0</v>
      </c>
      <c r="AI251" s="31">
        <v>0</v>
      </c>
      <c r="AJ251" s="31">
        <v>65000</v>
      </c>
      <c r="AK251" s="31">
        <v>65000</v>
      </c>
      <c r="AL251" s="31">
        <v>0</v>
      </c>
      <c r="AM251" s="56">
        <v>65000</v>
      </c>
      <c r="AN251" s="31">
        <v>65000</v>
      </c>
      <c r="AO251" s="31" t="s">
        <v>1578</v>
      </c>
      <c r="AP251" s="23" t="s">
        <v>187</v>
      </c>
      <c r="AQ251" s="23" t="s">
        <v>1284</v>
      </c>
    </row>
    <row r="252" spans="1:43">
      <c r="A252" s="40">
        <v>249</v>
      </c>
      <c r="B252" s="40">
        <v>114</v>
      </c>
      <c r="C252" s="573" t="str">
        <f t="shared" si="33"/>
        <v>レジデンス目白豊島</v>
      </c>
      <c r="D252" s="45" t="s">
        <v>1611</v>
      </c>
      <c r="E252" s="46">
        <v>16</v>
      </c>
      <c r="F252" s="324">
        <v>631</v>
      </c>
      <c r="G252" s="566" t="str">
        <f t="shared" si="34"/>
        <v>住居</v>
      </c>
      <c r="H252" s="44" t="s">
        <v>1709</v>
      </c>
      <c r="I252" s="325">
        <v>65000</v>
      </c>
      <c r="J252" s="325">
        <v>2000</v>
      </c>
      <c r="K252" s="325">
        <v>0</v>
      </c>
      <c r="L252" s="325">
        <v>0</v>
      </c>
      <c r="M252" s="565">
        <f t="shared" si="41"/>
        <v>67000</v>
      </c>
      <c r="N252" s="326">
        <v>67000</v>
      </c>
      <c r="O252" s="326">
        <v>0</v>
      </c>
      <c r="P252" s="565">
        <f t="shared" si="35"/>
        <v>67000</v>
      </c>
      <c r="Q252" s="565">
        <f t="shared" si="42"/>
        <v>67000</v>
      </c>
      <c r="R252" s="325" t="s">
        <v>1578</v>
      </c>
      <c r="S252" s="325" t="s">
        <v>187</v>
      </c>
      <c r="T252" s="327" t="s">
        <v>1284</v>
      </c>
      <c r="V252" s="43" t="s">
        <v>1936</v>
      </c>
      <c r="W252" s="55">
        <v>60000</v>
      </c>
      <c r="Y252" s="6">
        <f t="shared" si="36"/>
        <v>1</v>
      </c>
      <c r="Z252" s="562">
        <f t="shared" si="37"/>
        <v>67000</v>
      </c>
      <c r="AA252" s="122">
        <f t="shared" si="38"/>
        <v>0</v>
      </c>
      <c r="AB252" s="122">
        <f t="shared" si="39"/>
        <v>7000</v>
      </c>
      <c r="AC252" s="6">
        <f t="shared" si="40"/>
        <v>1</v>
      </c>
      <c r="AD252" s="563">
        <f t="shared" si="43"/>
        <v>1</v>
      </c>
      <c r="AE252" s="64"/>
      <c r="AF252" s="31">
        <v>65000</v>
      </c>
      <c r="AG252" s="31">
        <v>2000</v>
      </c>
      <c r="AH252" s="31">
        <v>0</v>
      </c>
      <c r="AI252" s="31">
        <v>0</v>
      </c>
      <c r="AJ252" s="31">
        <v>67000</v>
      </c>
      <c r="AK252" s="31">
        <v>67000</v>
      </c>
      <c r="AL252" s="31">
        <v>0</v>
      </c>
      <c r="AM252" s="56">
        <v>67000</v>
      </c>
      <c r="AN252" s="31">
        <v>67000</v>
      </c>
      <c r="AO252" s="31" t="s">
        <v>1578</v>
      </c>
      <c r="AP252" s="23" t="s">
        <v>187</v>
      </c>
      <c r="AQ252" s="23" t="s">
        <v>1284</v>
      </c>
    </row>
    <row r="253" spans="1:43">
      <c r="A253" s="40">
        <v>250</v>
      </c>
      <c r="B253" s="40">
        <v>114</v>
      </c>
      <c r="C253" s="573" t="str">
        <f t="shared" si="33"/>
        <v>レジデンス目白豊島</v>
      </c>
      <c r="D253" s="45" t="s">
        <v>1566</v>
      </c>
      <c r="E253" s="46">
        <v>122.31</v>
      </c>
      <c r="F253" s="324">
        <v>636</v>
      </c>
      <c r="G253" s="566" t="str">
        <f t="shared" si="34"/>
        <v>倉庫</v>
      </c>
      <c r="H253" s="44" t="s">
        <v>1756</v>
      </c>
      <c r="I253" s="325">
        <v>240741</v>
      </c>
      <c r="J253" s="325">
        <v>0</v>
      </c>
      <c r="K253" s="325">
        <v>0</v>
      </c>
      <c r="L253" s="325">
        <v>24074</v>
      </c>
      <c r="M253" s="565">
        <f t="shared" si="41"/>
        <v>264815</v>
      </c>
      <c r="N253" s="326">
        <v>240740</v>
      </c>
      <c r="O253" s="326">
        <v>24074.090909090908</v>
      </c>
      <c r="P253" s="565">
        <f t="shared" si="35"/>
        <v>264814.09090909088</v>
      </c>
      <c r="Q253" s="565">
        <f t="shared" si="42"/>
        <v>264815</v>
      </c>
      <c r="R253" s="325" t="s">
        <v>1575</v>
      </c>
      <c r="S253" s="325" t="s">
        <v>187</v>
      </c>
      <c r="T253" s="327" t="s">
        <v>1284</v>
      </c>
      <c r="V253" s="43" t="s">
        <v>1937</v>
      </c>
      <c r="W253" s="55">
        <v>240741</v>
      </c>
      <c r="Y253" s="6">
        <f t="shared" si="36"/>
        <v>1</v>
      </c>
      <c r="Z253" s="562">
        <f t="shared" si="37"/>
        <v>240741</v>
      </c>
      <c r="AA253" s="122">
        <f t="shared" si="38"/>
        <v>-1</v>
      </c>
      <c r="AB253" s="122">
        <f t="shared" si="39"/>
        <v>0</v>
      </c>
      <c r="AC253" s="6">
        <f t="shared" si="40"/>
        <v>1</v>
      </c>
      <c r="AD253" s="563">
        <f t="shared" si="43"/>
        <v>1</v>
      </c>
      <c r="AE253" s="64"/>
      <c r="AF253" s="31">
        <v>240741</v>
      </c>
      <c r="AG253" s="31">
        <v>0</v>
      </c>
      <c r="AH253" s="31">
        <v>0</v>
      </c>
      <c r="AI253" s="31">
        <v>24074</v>
      </c>
      <c r="AJ253" s="31">
        <v>264815</v>
      </c>
      <c r="AK253" s="31">
        <v>240740</v>
      </c>
      <c r="AL253" s="31">
        <v>24074.090909090908</v>
      </c>
      <c r="AM253" s="56">
        <v>264814.09090909088</v>
      </c>
      <c r="AN253" s="31">
        <v>264815</v>
      </c>
      <c r="AO253" s="31" t="s">
        <v>1575</v>
      </c>
      <c r="AP253" s="23" t="s">
        <v>187</v>
      </c>
      <c r="AQ253" s="23" t="s">
        <v>1284</v>
      </c>
    </row>
    <row r="254" spans="1:43">
      <c r="A254" s="41">
        <v>251</v>
      </c>
      <c r="B254" s="41">
        <v>115</v>
      </c>
      <c r="C254" s="574" t="str">
        <f t="shared" si="33"/>
        <v>コアプラス大塚</v>
      </c>
      <c r="D254" s="45" t="s">
        <v>1580</v>
      </c>
      <c r="E254" s="46">
        <v>47.22</v>
      </c>
      <c r="F254" s="324">
        <v>631</v>
      </c>
      <c r="G254" s="566" t="str">
        <f t="shared" si="34"/>
        <v>住居</v>
      </c>
      <c r="H254" s="44" t="s">
        <v>1667</v>
      </c>
      <c r="I254" s="325">
        <v>110000</v>
      </c>
      <c r="J254" s="325">
        <v>5000</v>
      </c>
      <c r="K254" s="325">
        <v>0</v>
      </c>
      <c r="L254" s="325">
        <v>0</v>
      </c>
      <c r="M254" s="565">
        <f t="shared" si="41"/>
        <v>115000</v>
      </c>
      <c r="N254" s="326">
        <v>115000</v>
      </c>
      <c r="O254" s="326">
        <v>0</v>
      </c>
      <c r="P254" s="565">
        <f t="shared" si="35"/>
        <v>115000</v>
      </c>
      <c r="Q254" s="565">
        <f t="shared" si="42"/>
        <v>115000</v>
      </c>
      <c r="R254" s="325" t="s">
        <v>1718</v>
      </c>
      <c r="S254" s="325" t="s">
        <v>187</v>
      </c>
      <c r="T254" s="327" t="s">
        <v>1284</v>
      </c>
      <c r="V254" s="43" t="s">
        <v>1938</v>
      </c>
      <c r="W254" s="55">
        <v>115000</v>
      </c>
      <c r="Y254" s="6">
        <f t="shared" si="36"/>
        <v>1</v>
      </c>
      <c r="Z254" s="562">
        <f t="shared" si="37"/>
        <v>115000</v>
      </c>
      <c r="AA254" s="122">
        <f t="shared" si="38"/>
        <v>0</v>
      </c>
      <c r="AB254" s="122">
        <f t="shared" si="39"/>
        <v>0</v>
      </c>
      <c r="AC254" s="6">
        <f t="shared" si="40"/>
        <v>1</v>
      </c>
      <c r="AD254" s="563">
        <f t="shared" si="43"/>
        <v>1</v>
      </c>
      <c r="AE254" s="64"/>
      <c r="AF254" s="31">
        <v>110000</v>
      </c>
      <c r="AG254" s="31">
        <v>5000</v>
      </c>
      <c r="AH254" s="31">
        <v>0</v>
      </c>
      <c r="AI254" s="31">
        <v>0</v>
      </c>
      <c r="AJ254" s="31">
        <v>115000</v>
      </c>
      <c r="AK254" s="31">
        <v>115000</v>
      </c>
      <c r="AL254" s="31">
        <v>0</v>
      </c>
      <c r="AM254" s="56">
        <v>115000</v>
      </c>
      <c r="AN254" s="31">
        <v>115000</v>
      </c>
      <c r="AO254" s="31" t="s">
        <v>1718</v>
      </c>
      <c r="AP254" s="23" t="s">
        <v>187</v>
      </c>
      <c r="AQ254" s="23" t="s">
        <v>1284</v>
      </c>
    </row>
    <row r="255" spans="1:43">
      <c r="A255" s="41">
        <v>252</v>
      </c>
      <c r="B255" s="41">
        <v>115</v>
      </c>
      <c r="C255" s="574" t="str">
        <f t="shared" si="33"/>
        <v>コアプラス大塚</v>
      </c>
      <c r="D255" s="45" t="s">
        <v>1582</v>
      </c>
      <c r="E255" s="46">
        <v>52</v>
      </c>
      <c r="F255" s="324">
        <v>631</v>
      </c>
      <c r="G255" s="566" t="str">
        <f t="shared" si="34"/>
        <v>住居</v>
      </c>
      <c r="H255" s="44" t="s">
        <v>1667</v>
      </c>
      <c r="I255" s="325">
        <v>125000</v>
      </c>
      <c r="J255" s="325">
        <v>5000</v>
      </c>
      <c r="K255" s="325">
        <v>0</v>
      </c>
      <c r="L255" s="325">
        <v>0</v>
      </c>
      <c r="M255" s="565">
        <f t="shared" si="41"/>
        <v>130000</v>
      </c>
      <c r="N255" s="326">
        <v>123000</v>
      </c>
      <c r="O255" s="326">
        <v>0</v>
      </c>
      <c r="P255" s="565">
        <f t="shared" si="35"/>
        <v>123000</v>
      </c>
      <c r="Q255" s="565">
        <f t="shared" si="42"/>
        <v>130000</v>
      </c>
      <c r="R255" s="325" t="s">
        <v>1568</v>
      </c>
      <c r="S255" s="325" t="s">
        <v>187</v>
      </c>
      <c r="T255" s="327" t="s">
        <v>1284</v>
      </c>
      <c r="V255" s="43" t="s">
        <v>1939</v>
      </c>
      <c r="W255" s="55">
        <v>123000</v>
      </c>
      <c r="Y255" s="6">
        <f t="shared" si="36"/>
        <v>1</v>
      </c>
      <c r="Z255" s="562">
        <f t="shared" si="37"/>
        <v>130000</v>
      </c>
      <c r="AA255" s="122">
        <f t="shared" si="38"/>
        <v>-7000</v>
      </c>
      <c r="AB255" s="122">
        <f t="shared" si="39"/>
        <v>7000</v>
      </c>
      <c r="AC255" s="6">
        <f t="shared" si="40"/>
        <v>1</v>
      </c>
      <c r="AD255" s="563">
        <f t="shared" si="43"/>
        <v>1</v>
      </c>
      <c r="AE255" s="64"/>
      <c r="AF255" s="31">
        <v>125000</v>
      </c>
      <c r="AG255" s="31">
        <v>5000</v>
      </c>
      <c r="AH255" s="31">
        <v>0</v>
      </c>
      <c r="AI255" s="31">
        <v>0</v>
      </c>
      <c r="AJ255" s="31">
        <v>130000</v>
      </c>
      <c r="AK255" s="31">
        <v>123000</v>
      </c>
      <c r="AL255" s="31">
        <v>0</v>
      </c>
      <c r="AM255" s="56">
        <v>123000</v>
      </c>
      <c r="AN255" s="31">
        <v>130000</v>
      </c>
      <c r="AO255" s="31" t="s">
        <v>1568</v>
      </c>
      <c r="AP255" s="23" t="s">
        <v>187</v>
      </c>
      <c r="AQ255" s="23" t="s">
        <v>1284</v>
      </c>
    </row>
    <row r="256" spans="1:43">
      <c r="A256" s="41">
        <v>253</v>
      </c>
      <c r="B256" s="41">
        <v>115</v>
      </c>
      <c r="C256" s="574" t="str">
        <f t="shared" si="33"/>
        <v>コアプラス大塚</v>
      </c>
      <c r="D256" s="45" t="s">
        <v>1585</v>
      </c>
      <c r="E256" s="46">
        <v>52</v>
      </c>
      <c r="F256" s="324">
        <v>631</v>
      </c>
      <c r="G256" s="566" t="str">
        <f t="shared" si="34"/>
        <v>住居</v>
      </c>
      <c r="H256" s="44" t="s">
        <v>1667</v>
      </c>
      <c r="I256" s="325">
        <v>123000</v>
      </c>
      <c r="J256" s="325">
        <v>5000</v>
      </c>
      <c r="K256" s="325">
        <v>0</v>
      </c>
      <c r="L256" s="325">
        <v>0</v>
      </c>
      <c r="M256" s="565">
        <f t="shared" si="41"/>
        <v>128000</v>
      </c>
      <c r="N256" s="326">
        <v>123000</v>
      </c>
      <c r="O256" s="326">
        <v>0</v>
      </c>
      <c r="P256" s="565">
        <f t="shared" si="35"/>
        <v>123000</v>
      </c>
      <c r="Q256" s="565">
        <f t="shared" si="42"/>
        <v>128000</v>
      </c>
      <c r="R256" s="325" t="s">
        <v>1568</v>
      </c>
      <c r="S256" s="325" t="s">
        <v>187</v>
      </c>
      <c r="T256" s="327" t="s">
        <v>1284</v>
      </c>
      <c r="V256" s="43" t="s">
        <v>1940</v>
      </c>
      <c r="W256" s="55">
        <v>123000</v>
      </c>
      <c r="Y256" s="6">
        <f t="shared" si="36"/>
        <v>1</v>
      </c>
      <c r="Z256" s="562">
        <f t="shared" si="37"/>
        <v>128000</v>
      </c>
      <c r="AA256" s="122">
        <f t="shared" si="38"/>
        <v>-5000</v>
      </c>
      <c r="AB256" s="122">
        <f t="shared" si="39"/>
        <v>5000</v>
      </c>
      <c r="AC256" s="6">
        <f t="shared" si="40"/>
        <v>1</v>
      </c>
      <c r="AD256" s="563">
        <f t="shared" si="43"/>
        <v>1</v>
      </c>
      <c r="AE256" s="64"/>
      <c r="AF256" s="31">
        <v>123000</v>
      </c>
      <c r="AG256" s="31">
        <v>5000</v>
      </c>
      <c r="AH256" s="31">
        <v>0</v>
      </c>
      <c r="AI256" s="31">
        <v>0</v>
      </c>
      <c r="AJ256" s="31">
        <v>128000</v>
      </c>
      <c r="AK256" s="31">
        <v>123000</v>
      </c>
      <c r="AL256" s="31">
        <v>0</v>
      </c>
      <c r="AM256" s="56">
        <v>123000</v>
      </c>
      <c r="AN256" s="31">
        <v>128000</v>
      </c>
      <c r="AO256" s="31" t="s">
        <v>1568</v>
      </c>
      <c r="AP256" s="23" t="s">
        <v>187</v>
      </c>
      <c r="AQ256" s="23" t="s">
        <v>1284</v>
      </c>
    </row>
    <row r="257" spans="1:43">
      <c r="A257" s="41">
        <v>254</v>
      </c>
      <c r="B257" s="41">
        <v>115</v>
      </c>
      <c r="C257" s="574" t="str">
        <f t="shared" si="33"/>
        <v>コアプラス大塚</v>
      </c>
      <c r="D257" s="45" t="s">
        <v>1587</v>
      </c>
      <c r="E257" s="46">
        <v>52</v>
      </c>
      <c r="F257" s="324">
        <v>631</v>
      </c>
      <c r="G257" s="566" t="str">
        <f t="shared" si="34"/>
        <v>住居</v>
      </c>
      <c r="H257" s="44" t="s">
        <v>1717</v>
      </c>
      <c r="I257" s="325">
        <v>128000</v>
      </c>
      <c r="J257" s="325">
        <v>5000</v>
      </c>
      <c r="K257" s="325">
        <v>0</v>
      </c>
      <c r="L257" s="325">
        <v>0</v>
      </c>
      <c r="M257" s="565">
        <f t="shared" si="41"/>
        <v>133000</v>
      </c>
      <c r="N257" s="326">
        <v>133000</v>
      </c>
      <c r="O257" s="326">
        <v>0</v>
      </c>
      <c r="P257" s="565">
        <f t="shared" si="35"/>
        <v>133000</v>
      </c>
      <c r="Q257" s="565">
        <f t="shared" si="42"/>
        <v>133000</v>
      </c>
      <c r="R257" s="325" t="s">
        <v>1578</v>
      </c>
      <c r="S257" s="325" t="s">
        <v>187</v>
      </c>
      <c r="T257" s="327" t="s">
        <v>1284</v>
      </c>
      <c r="V257" s="43" t="s">
        <v>1941</v>
      </c>
      <c r="W257" s="55">
        <v>118000</v>
      </c>
      <c r="Y257" s="6">
        <f t="shared" si="36"/>
        <v>1</v>
      </c>
      <c r="Z257" s="562">
        <f t="shared" si="37"/>
        <v>133000</v>
      </c>
      <c r="AA257" s="122">
        <f t="shared" si="38"/>
        <v>0</v>
      </c>
      <c r="AB257" s="122">
        <f t="shared" si="39"/>
        <v>15000</v>
      </c>
      <c r="AC257" s="6">
        <f t="shared" si="40"/>
        <v>1</v>
      </c>
      <c r="AD257" s="563">
        <f t="shared" si="43"/>
        <v>1</v>
      </c>
      <c r="AE257" s="64"/>
      <c r="AF257" s="31">
        <v>128000</v>
      </c>
      <c r="AG257" s="31">
        <v>5000</v>
      </c>
      <c r="AH257" s="31">
        <v>0</v>
      </c>
      <c r="AI257" s="31">
        <v>0</v>
      </c>
      <c r="AJ257" s="31">
        <v>133000</v>
      </c>
      <c r="AK257" s="31">
        <v>133000</v>
      </c>
      <c r="AL257" s="31">
        <v>0</v>
      </c>
      <c r="AM257" s="56">
        <v>133000</v>
      </c>
      <c r="AN257" s="31">
        <v>133000</v>
      </c>
      <c r="AO257" s="31" t="s">
        <v>1578</v>
      </c>
      <c r="AP257" s="23" t="s">
        <v>187</v>
      </c>
      <c r="AQ257" s="23" t="s">
        <v>1284</v>
      </c>
    </row>
    <row r="258" spans="1:43">
      <c r="A258" s="41">
        <v>255</v>
      </c>
      <c r="B258" s="41">
        <v>115</v>
      </c>
      <c r="C258" s="574" t="str">
        <f t="shared" si="33"/>
        <v>コアプラス大塚</v>
      </c>
      <c r="D258" s="45" t="s">
        <v>1642</v>
      </c>
      <c r="E258" s="46">
        <v>52.36</v>
      </c>
      <c r="F258" s="324">
        <v>631</v>
      </c>
      <c r="G258" s="566" t="str">
        <f t="shared" si="34"/>
        <v>住居</v>
      </c>
      <c r="H258" s="44" t="s">
        <v>1667</v>
      </c>
      <c r="I258" s="325">
        <v>125000</v>
      </c>
      <c r="J258" s="325">
        <v>5000</v>
      </c>
      <c r="K258" s="325">
        <v>0</v>
      </c>
      <c r="L258" s="325">
        <v>0</v>
      </c>
      <c r="M258" s="565">
        <f t="shared" si="41"/>
        <v>130000</v>
      </c>
      <c r="N258" s="326">
        <v>130000</v>
      </c>
      <c r="O258" s="326">
        <v>0</v>
      </c>
      <c r="P258" s="565">
        <f t="shared" si="35"/>
        <v>130000</v>
      </c>
      <c r="Q258" s="565">
        <f t="shared" si="42"/>
        <v>130000</v>
      </c>
      <c r="R258" s="325" t="s">
        <v>1578</v>
      </c>
      <c r="S258" s="325" t="s">
        <v>187</v>
      </c>
      <c r="T258" s="327" t="s">
        <v>1284</v>
      </c>
      <c r="V258" s="43" t="s">
        <v>1942</v>
      </c>
      <c r="W258" s="55">
        <v>120000</v>
      </c>
      <c r="Y258" s="6">
        <f t="shared" si="36"/>
        <v>1</v>
      </c>
      <c r="Z258" s="562">
        <f t="shared" si="37"/>
        <v>130000</v>
      </c>
      <c r="AA258" s="122">
        <f t="shared" si="38"/>
        <v>0</v>
      </c>
      <c r="AB258" s="122">
        <f t="shared" si="39"/>
        <v>10000</v>
      </c>
      <c r="AC258" s="6">
        <f t="shared" si="40"/>
        <v>1</v>
      </c>
      <c r="AD258" s="563">
        <f t="shared" si="43"/>
        <v>1</v>
      </c>
      <c r="AE258" s="64"/>
      <c r="AF258" s="31">
        <v>125000</v>
      </c>
      <c r="AG258" s="31">
        <v>5000</v>
      </c>
      <c r="AH258" s="31">
        <v>0</v>
      </c>
      <c r="AI258" s="31">
        <v>0</v>
      </c>
      <c r="AJ258" s="31">
        <v>130000</v>
      </c>
      <c r="AK258" s="31">
        <v>130000</v>
      </c>
      <c r="AL258" s="31">
        <v>0</v>
      </c>
      <c r="AM258" s="56">
        <v>130000</v>
      </c>
      <c r="AN258" s="31">
        <v>130000</v>
      </c>
      <c r="AO258" s="31" t="s">
        <v>1578</v>
      </c>
      <c r="AP258" s="23" t="s">
        <v>187</v>
      </c>
      <c r="AQ258" s="23" t="s">
        <v>1284</v>
      </c>
    </row>
    <row r="259" spans="1:43">
      <c r="A259" s="41">
        <v>256</v>
      </c>
      <c r="B259" s="41">
        <v>115</v>
      </c>
      <c r="C259" s="574" t="str">
        <f t="shared" si="33"/>
        <v>コアプラス大塚</v>
      </c>
      <c r="D259" s="45" t="s">
        <v>1589</v>
      </c>
      <c r="E259" s="46">
        <v>55.18</v>
      </c>
      <c r="F259" s="324">
        <v>631</v>
      </c>
      <c r="G259" s="566" t="str">
        <f t="shared" si="34"/>
        <v>住居</v>
      </c>
      <c r="H259" s="44" t="s">
        <v>1667</v>
      </c>
      <c r="I259" s="325">
        <v>123000</v>
      </c>
      <c r="J259" s="325">
        <v>5000</v>
      </c>
      <c r="K259" s="325">
        <v>0</v>
      </c>
      <c r="L259" s="325">
        <v>0</v>
      </c>
      <c r="M259" s="565">
        <f t="shared" si="41"/>
        <v>128000</v>
      </c>
      <c r="N259" s="326">
        <v>128000</v>
      </c>
      <c r="O259" s="326">
        <v>0</v>
      </c>
      <c r="P259" s="565">
        <f t="shared" si="35"/>
        <v>128000</v>
      </c>
      <c r="Q259" s="565">
        <f t="shared" si="42"/>
        <v>128000</v>
      </c>
      <c r="R259" s="325" t="s">
        <v>1578</v>
      </c>
      <c r="S259" s="325" t="s">
        <v>187</v>
      </c>
      <c r="T259" s="327" t="s">
        <v>1284</v>
      </c>
      <c r="V259" s="43" t="s">
        <v>1943</v>
      </c>
      <c r="W259" s="55">
        <v>115000</v>
      </c>
      <c r="Y259" s="6">
        <f t="shared" si="36"/>
        <v>1</v>
      </c>
      <c r="Z259" s="562">
        <f t="shared" si="37"/>
        <v>128000</v>
      </c>
      <c r="AA259" s="122">
        <f t="shared" si="38"/>
        <v>0</v>
      </c>
      <c r="AB259" s="122">
        <f t="shared" si="39"/>
        <v>13000</v>
      </c>
      <c r="AC259" s="6">
        <f t="shared" si="40"/>
        <v>1</v>
      </c>
      <c r="AD259" s="563">
        <f t="shared" si="43"/>
        <v>1</v>
      </c>
      <c r="AE259" s="64"/>
      <c r="AF259" s="31">
        <v>123000</v>
      </c>
      <c r="AG259" s="31">
        <v>5000</v>
      </c>
      <c r="AH259" s="31">
        <v>0</v>
      </c>
      <c r="AI259" s="31">
        <v>0</v>
      </c>
      <c r="AJ259" s="31">
        <v>128000</v>
      </c>
      <c r="AK259" s="31">
        <v>128000</v>
      </c>
      <c r="AL259" s="31">
        <v>0</v>
      </c>
      <c r="AM259" s="56">
        <v>128000</v>
      </c>
      <c r="AN259" s="31">
        <v>128000</v>
      </c>
      <c r="AO259" s="31" t="s">
        <v>1578</v>
      </c>
      <c r="AP259" s="23" t="s">
        <v>187</v>
      </c>
      <c r="AQ259" s="23" t="s">
        <v>1284</v>
      </c>
    </row>
    <row r="260" spans="1:43">
      <c r="A260" s="41">
        <v>257</v>
      </c>
      <c r="B260" s="41">
        <v>115</v>
      </c>
      <c r="C260" s="574" t="str">
        <f t="shared" ref="C260:C321" si="44">VLOOKUP(B260,id_settings,2,FALSE)</f>
        <v>コアプラス大塚</v>
      </c>
      <c r="D260" s="45" t="s">
        <v>1591</v>
      </c>
      <c r="E260" s="46">
        <v>52</v>
      </c>
      <c r="F260" s="324">
        <v>631</v>
      </c>
      <c r="G260" s="566" t="str">
        <f t="shared" ref="G260:G321" si="45">VLOOKUP(F260,id_settings,2,FALSE)</f>
        <v>住居</v>
      </c>
      <c r="H260" s="44" t="s">
        <v>1667</v>
      </c>
      <c r="I260" s="325">
        <v>121000</v>
      </c>
      <c r="J260" s="325">
        <v>5000</v>
      </c>
      <c r="K260" s="325">
        <v>0</v>
      </c>
      <c r="L260" s="325">
        <v>0</v>
      </c>
      <c r="M260" s="565">
        <f t="shared" si="41"/>
        <v>126000</v>
      </c>
      <c r="N260" s="326">
        <v>126000</v>
      </c>
      <c r="O260" s="326">
        <v>0</v>
      </c>
      <c r="P260" s="565">
        <f t="shared" ref="P260:P320" si="46">N260+O260</f>
        <v>126000</v>
      </c>
      <c r="Q260" s="565">
        <f t="shared" si="42"/>
        <v>126000</v>
      </c>
      <c r="R260" s="325" t="s">
        <v>1568</v>
      </c>
      <c r="S260" s="325" t="s">
        <v>187</v>
      </c>
      <c r="T260" s="327" t="s">
        <v>1284</v>
      </c>
      <c r="V260" s="43" t="s">
        <v>1944</v>
      </c>
      <c r="W260" s="55">
        <v>128000</v>
      </c>
      <c r="Y260" s="6">
        <f t="shared" ref="Y260:Y320" si="47">IF(M260=0,0,1)</f>
        <v>1</v>
      </c>
      <c r="Z260" s="562">
        <f t="shared" ref="Z260:Z320" si="48">IF(Y260=1,SUM(I260:K260),N260)</f>
        <v>126000</v>
      </c>
      <c r="AA260" s="122">
        <f t="shared" ref="AA260:AA320" si="49">N260-Z260</f>
        <v>0</v>
      </c>
      <c r="AB260" s="122">
        <f t="shared" ref="AB260:AB320" si="50">Z260-W260</f>
        <v>-2000</v>
      </c>
      <c r="AC260" s="6">
        <f t="shared" ref="AC260:AC320" si="51">IF(E260="-",0,1)</f>
        <v>1</v>
      </c>
      <c r="AD260" s="563">
        <f t="shared" si="43"/>
        <v>1</v>
      </c>
      <c r="AE260" s="64"/>
      <c r="AF260" s="31">
        <v>121000</v>
      </c>
      <c r="AG260" s="31">
        <v>5000</v>
      </c>
      <c r="AH260" s="31">
        <v>0</v>
      </c>
      <c r="AI260" s="31">
        <v>0</v>
      </c>
      <c r="AJ260" s="31">
        <v>126000</v>
      </c>
      <c r="AK260" s="31">
        <v>126000</v>
      </c>
      <c r="AL260" s="31">
        <v>0</v>
      </c>
      <c r="AM260" s="56">
        <v>126000</v>
      </c>
      <c r="AN260" s="31">
        <v>126000</v>
      </c>
      <c r="AO260" s="31" t="s">
        <v>1568</v>
      </c>
      <c r="AP260" s="23" t="s">
        <v>187</v>
      </c>
      <c r="AQ260" s="23" t="s">
        <v>1284</v>
      </c>
    </row>
    <row r="261" spans="1:43">
      <c r="A261" s="41">
        <v>258</v>
      </c>
      <c r="B261" s="41">
        <v>115</v>
      </c>
      <c r="C261" s="574" t="str">
        <f t="shared" si="44"/>
        <v>コアプラス大塚</v>
      </c>
      <c r="D261" s="45" t="s">
        <v>1593</v>
      </c>
      <c r="E261" s="46">
        <v>52</v>
      </c>
      <c r="F261" s="324">
        <v>631</v>
      </c>
      <c r="G261" s="566" t="str">
        <f t="shared" si="45"/>
        <v>住居</v>
      </c>
      <c r="H261" s="44" t="s">
        <v>1667</v>
      </c>
      <c r="I261" s="325">
        <v>123000</v>
      </c>
      <c r="J261" s="325">
        <v>5000</v>
      </c>
      <c r="K261" s="325">
        <v>0</v>
      </c>
      <c r="L261" s="325">
        <v>0</v>
      </c>
      <c r="M261" s="565">
        <f t="shared" ref="M261:M321" si="52">SUM(I261:L261)</f>
        <v>128000</v>
      </c>
      <c r="N261" s="326">
        <v>128000</v>
      </c>
      <c r="O261" s="326">
        <v>0</v>
      </c>
      <c r="P261" s="565">
        <f t="shared" si="46"/>
        <v>128000</v>
      </c>
      <c r="Q261" s="565">
        <f t="shared" ref="Q261:Q321" si="53">VALUE(IF(Y261=0,N261+O261,M261))</f>
        <v>128000</v>
      </c>
      <c r="R261" s="325" t="s">
        <v>1568</v>
      </c>
      <c r="S261" s="325" t="s">
        <v>187</v>
      </c>
      <c r="T261" s="327" t="s">
        <v>1284</v>
      </c>
      <c r="V261" s="43" t="s">
        <v>1945</v>
      </c>
      <c r="W261" s="55">
        <v>128000</v>
      </c>
      <c r="Y261" s="6">
        <f t="shared" si="47"/>
        <v>1</v>
      </c>
      <c r="Z261" s="562">
        <f t="shared" si="48"/>
        <v>128000</v>
      </c>
      <c r="AA261" s="122">
        <f t="shared" si="49"/>
        <v>0</v>
      </c>
      <c r="AB261" s="122">
        <f t="shared" si="50"/>
        <v>0</v>
      </c>
      <c r="AC261" s="6">
        <f t="shared" si="51"/>
        <v>1</v>
      </c>
      <c r="AD261" s="563">
        <f t="shared" ref="AD261:AD321" si="54">IF(I261="-",0,1)</f>
        <v>1</v>
      </c>
      <c r="AE261" s="64"/>
      <c r="AF261" s="31">
        <v>123000</v>
      </c>
      <c r="AG261" s="31">
        <v>5000</v>
      </c>
      <c r="AH261" s="31">
        <v>0</v>
      </c>
      <c r="AI261" s="31">
        <v>0</v>
      </c>
      <c r="AJ261" s="31">
        <v>128000</v>
      </c>
      <c r="AK261" s="31">
        <v>128000</v>
      </c>
      <c r="AL261" s="31">
        <v>0</v>
      </c>
      <c r="AM261" s="56">
        <v>128000</v>
      </c>
      <c r="AN261" s="31">
        <v>128000</v>
      </c>
      <c r="AO261" s="31" t="s">
        <v>1568</v>
      </c>
      <c r="AP261" s="23" t="s">
        <v>187</v>
      </c>
      <c r="AQ261" s="23" t="s">
        <v>1284</v>
      </c>
    </row>
    <row r="262" spans="1:43">
      <c r="A262" s="41">
        <v>259</v>
      </c>
      <c r="B262" s="41">
        <v>115</v>
      </c>
      <c r="C262" s="574" t="str">
        <f t="shared" si="44"/>
        <v>コアプラス大塚</v>
      </c>
      <c r="D262" s="45" t="s">
        <v>1595</v>
      </c>
      <c r="E262" s="46">
        <v>52</v>
      </c>
      <c r="F262" s="324">
        <v>631</v>
      </c>
      <c r="G262" s="566" t="str">
        <f t="shared" si="45"/>
        <v>住居</v>
      </c>
      <c r="H262" s="44" t="s">
        <v>1667</v>
      </c>
      <c r="I262" s="325">
        <v>126000</v>
      </c>
      <c r="J262" s="325">
        <v>5000</v>
      </c>
      <c r="K262" s="325">
        <v>0</v>
      </c>
      <c r="L262" s="325">
        <v>0</v>
      </c>
      <c r="M262" s="565">
        <f t="shared" si="52"/>
        <v>131000</v>
      </c>
      <c r="N262" s="326">
        <v>131000</v>
      </c>
      <c r="O262" s="326">
        <v>0</v>
      </c>
      <c r="P262" s="565">
        <f t="shared" si="46"/>
        <v>131000</v>
      </c>
      <c r="Q262" s="565">
        <f t="shared" si="53"/>
        <v>131000</v>
      </c>
      <c r="R262" s="325" t="s">
        <v>1568</v>
      </c>
      <c r="S262" s="325" t="s">
        <v>187</v>
      </c>
      <c r="T262" s="327" t="s">
        <v>1284</v>
      </c>
      <c r="V262" s="43" t="s">
        <v>1946</v>
      </c>
      <c r="W262" s="55">
        <v>131000</v>
      </c>
      <c r="Y262" s="6">
        <f t="shared" si="47"/>
        <v>1</v>
      </c>
      <c r="Z262" s="562">
        <f t="shared" si="48"/>
        <v>131000</v>
      </c>
      <c r="AA262" s="122">
        <f t="shared" si="49"/>
        <v>0</v>
      </c>
      <c r="AB262" s="122">
        <f t="shared" si="50"/>
        <v>0</v>
      </c>
      <c r="AC262" s="6">
        <f t="shared" si="51"/>
        <v>1</v>
      </c>
      <c r="AD262" s="563">
        <f t="shared" si="54"/>
        <v>1</v>
      </c>
      <c r="AE262" s="64"/>
      <c r="AF262" s="31">
        <v>126000</v>
      </c>
      <c r="AG262" s="31">
        <v>5000</v>
      </c>
      <c r="AH262" s="31">
        <v>0</v>
      </c>
      <c r="AI262" s="31">
        <v>0</v>
      </c>
      <c r="AJ262" s="31">
        <v>131000</v>
      </c>
      <c r="AK262" s="31">
        <v>131000</v>
      </c>
      <c r="AL262" s="31">
        <v>0</v>
      </c>
      <c r="AM262" s="56">
        <v>131000</v>
      </c>
      <c r="AN262" s="31">
        <v>131000</v>
      </c>
      <c r="AO262" s="31" t="s">
        <v>1568</v>
      </c>
      <c r="AP262" s="23" t="s">
        <v>187</v>
      </c>
      <c r="AQ262" s="23" t="s">
        <v>1284</v>
      </c>
    </row>
    <row r="263" spans="1:43">
      <c r="A263" s="41">
        <v>260</v>
      </c>
      <c r="B263" s="41">
        <v>115</v>
      </c>
      <c r="C263" s="574" t="str">
        <f t="shared" si="44"/>
        <v>コアプラス大塚</v>
      </c>
      <c r="D263" s="45" t="s">
        <v>1597</v>
      </c>
      <c r="E263" s="46">
        <v>52.36</v>
      </c>
      <c r="F263" s="324">
        <v>631</v>
      </c>
      <c r="G263" s="566" t="str">
        <f t="shared" si="45"/>
        <v>住居</v>
      </c>
      <c r="H263" s="44" t="s">
        <v>1667</v>
      </c>
      <c r="I263" s="325">
        <v>125000</v>
      </c>
      <c r="J263" s="325">
        <v>5000</v>
      </c>
      <c r="K263" s="325">
        <v>0</v>
      </c>
      <c r="L263" s="325">
        <v>0</v>
      </c>
      <c r="M263" s="565">
        <f t="shared" si="52"/>
        <v>130000</v>
      </c>
      <c r="N263" s="326">
        <v>130000</v>
      </c>
      <c r="O263" s="326">
        <v>0</v>
      </c>
      <c r="P263" s="565">
        <f t="shared" si="46"/>
        <v>130000</v>
      </c>
      <c r="Q263" s="565">
        <f t="shared" si="53"/>
        <v>130000</v>
      </c>
      <c r="R263" s="325" t="s">
        <v>1578</v>
      </c>
      <c r="S263" s="325" t="s">
        <v>187</v>
      </c>
      <c r="T263" s="327" t="s">
        <v>1284</v>
      </c>
      <c r="V263" s="43" t="s">
        <v>1947</v>
      </c>
      <c r="W263" s="55">
        <v>120000</v>
      </c>
      <c r="Y263" s="6">
        <f t="shared" si="47"/>
        <v>1</v>
      </c>
      <c r="Z263" s="562">
        <f t="shared" si="48"/>
        <v>130000</v>
      </c>
      <c r="AA263" s="122">
        <f t="shared" si="49"/>
        <v>0</v>
      </c>
      <c r="AB263" s="122">
        <f t="shared" si="50"/>
        <v>10000</v>
      </c>
      <c r="AC263" s="6">
        <f t="shared" si="51"/>
        <v>1</v>
      </c>
      <c r="AD263" s="563">
        <f t="shared" si="54"/>
        <v>1</v>
      </c>
      <c r="AE263" s="64"/>
      <c r="AF263" s="31">
        <v>125000</v>
      </c>
      <c r="AG263" s="31">
        <v>5000</v>
      </c>
      <c r="AH263" s="31">
        <v>0</v>
      </c>
      <c r="AI263" s="31">
        <v>0</v>
      </c>
      <c r="AJ263" s="31">
        <v>130000</v>
      </c>
      <c r="AK263" s="31">
        <v>130000</v>
      </c>
      <c r="AL263" s="31">
        <v>0</v>
      </c>
      <c r="AM263" s="56">
        <v>130000</v>
      </c>
      <c r="AN263" s="31">
        <v>130000</v>
      </c>
      <c r="AO263" s="31" t="s">
        <v>1578</v>
      </c>
      <c r="AP263" s="23" t="s">
        <v>187</v>
      </c>
      <c r="AQ263" s="23" t="s">
        <v>1284</v>
      </c>
    </row>
    <row r="264" spans="1:43">
      <c r="A264" s="41">
        <v>261</v>
      </c>
      <c r="B264" s="41">
        <v>115</v>
      </c>
      <c r="C264" s="574" t="str">
        <f t="shared" si="44"/>
        <v>コアプラス大塚</v>
      </c>
      <c r="D264" s="45" t="s">
        <v>1603</v>
      </c>
      <c r="E264" s="46">
        <v>55.18</v>
      </c>
      <c r="F264" s="324">
        <v>631</v>
      </c>
      <c r="G264" s="566" t="str">
        <f t="shared" si="45"/>
        <v>住居</v>
      </c>
      <c r="H264" s="44" t="s">
        <v>1667</v>
      </c>
      <c r="I264" s="325">
        <v>127000</v>
      </c>
      <c r="J264" s="325">
        <v>5000</v>
      </c>
      <c r="K264" s="325">
        <v>0</v>
      </c>
      <c r="L264" s="325">
        <v>0</v>
      </c>
      <c r="M264" s="565">
        <f t="shared" si="52"/>
        <v>132000</v>
      </c>
      <c r="N264" s="326">
        <v>132000</v>
      </c>
      <c r="O264" s="326">
        <v>0</v>
      </c>
      <c r="P264" s="565">
        <f t="shared" si="46"/>
        <v>132000</v>
      </c>
      <c r="Q264" s="565">
        <f t="shared" si="53"/>
        <v>132000</v>
      </c>
      <c r="R264" s="325" t="s">
        <v>1568</v>
      </c>
      <c r="S264" s="325" t="s">
        <v>187</v>
      </c>
      <c r="T264" s="327" t="s">
        <v>1284</v>
      </c>
      <c r="V264" s="43" t="s">
        <v>1948</v>
      </c>
      <c r="W264" s="55">
        <v>132000</v>
      </c>
      <c r="Y264" s="6">
        <f t="shared" si="47"/>
        <v>1</v>
      </c>
      <c r="Z264" s="562">
        <f t="shared" si="48"/>
        <v>132000</v>
      </c>
      <c r="AA264" s="122">
        <f t="shared" si="49"/>
        <v>0</v>
      </c>
      <c r="AB264" s="122">
        <f t="shared" si="50"/>
        <v>0</v>
      </c>
      <c r="AC264" s="6">
        <f t="shared" si="51"/>
        <v>1</v>
      </c>
      <c r="AD264" s="563">
        <f t="shared" si="54"/>
        <v>1</v>
      </c>
      <c r="AE264" s="64"/>
      <c r="AF264" s="31">
        <v>127000</v>
      </c>
      <c r="AG264" s="31">
        <v>5000</v>
      </c>
      <c r="AH264" s="31">
        <v>0</v>
      </c>
      <c r="AI264" s="31">
        <v>0</v>
      </c>
      <c r="AJ264" s="31">
        <v>132000</v>
      </c>
      <c r="AK264" s="31">
        <v>132000</v>
      </c>
      <c r="AL264" s="31">
        <v>0</v>
      </c>
      <c r="AM264" s="56">
        <v>132000</v>
      </c>
      <c r="AN264" s="31">
        <v>132000</v>
      </c>
      <c r="AO264" s="31" t="s">
        <v>1568</v>
      </c>
      <c r="AP264" s="23" t="s">
        <v>187</v>
      </c>
      <c r="AQ264" s="23" t="s">
        <v>1284</v>
      </c>
    </row>
    <row r="265" spans="1:43">
      <c r="A265" s="41">
        <v>262</v>
      </c>
      <c r="B265" s="41">
        <v>115</v>
      </c>
      <c r="C265" s="574" t="str">
        <f t="shared" si="44"/>
        <v>コアプラス大塚</v>
      </c>
      <c r="D265" s="45" t="s">
        <v>1605</v>
      </c>
      <c r="E265" s="46">
        <v>52</v>
      </c>
      <c r="F265" s="324">
        <v>631</v>
      </c>
      <c r="G265" s="566" t="str">
        <f t="shared" si="45"/>
        <v>住居</v>
      </c>
      <c r="H265" s="44" t="s">
        <v>1667</v>
      </c>
      <c r="I265" s="325">
        <v>125000</v>
      </c>
      <c r="J265" s="325">
        <v>5000</v>
      </c>
      <c r="K265" s="325">
        <v>0</v>
      </c>
      <c r="L265" s="325">
        <v>0</v>
      </c>
      <c r="M265" s="565">
        <f t="shared" si="52"/>
        <v>130000</v>
      </c>
      <c r="N265" s="326">
        <v>130000</v>
      </c>
      <c r="O265" s="326">
        <v>0</v>
      </c>
      <c r="P265" s="565">
        <f t="shared" si="46"/>
        <v>130000</v>
      </c>
      <c r="Q265" s="565">
        <f t="shared" si="53"/>
        <v>130000</v>
      </c>
      <c r="R265" s="325" t="s">
        <v>1568</v>
      </c>
      <c r="S265" s="325" t="s">
        <v>187</v>
      </c>
      <c r="T265" s="327" t="s">
        <v>1284</v>
      </c>
      <c r="V265" s="43" t="s">
        <v>1949</v>
      </c>
      <c r="W265" s="55">
        <v>125000</v>
      </c>
      <c r="Y265" s="6">
        <f t="shared" si="47"/>
        <v>1</v>
      </c>
      <c r="Z265" s="562">
        <f t="shared" si="48"/>
        <v>130000</v>
      </c>
      <c r="AA265" s="122">
        <f t="shared" si="49"/>
        <v>0</v>
      </c>
      <c r="AB265" s="122">
        <f t="shared" si="50"/>
        <v>5000</v>
      </c>
      <c r="AC265" s="6">
        <f t="shared" si="51"/>
        <v>1</v>
      </c>
      <c r="AD265" s="563">
        <f t="shared" si="54"/>
        <v>1</v>
      </c>
      <c r="AE265" s="64"/>
      <c r="AF265" s="31">
        <v>125000</v>
      </c>
      <c r="AG265" s="31">
        <v>5000</v>
      </c>
      <c r="AH265" s="31">
        <v>0</v>
      </c>
      <c r="AI265" s="31">
        <v>0</v>
      </c>
      <c r="AJ265" s="31">
        <v>130000</v>
      </c>
      <c r="AK265" s="31">
        <v>130000</v>
      </c>
      <c r="AL265" s="31">
        <v>0</v>
      </c>
      <c r="AM265" s="56">
        <v>130000</v>
      </c>
      <c r="AN265" s="31">
        <v>130000</v>
      </c>
      <c r="AO265" s="31" t="s">
        <v>1568</v>
      </c>
      <c r="AP265" s="23" t="s">
        <v>187</v>
      </c>
      <c r="AQ265" s="23" t="s">
        <v>1284</v>
      </c>
    </row>
    <row r="266" spans="1:43">
      <c r="A266" s="41">
        <v>263</v>
      </c>
      <c r="B266" s="41">
        <v>115</v>
      </c>
      <c r="C266" s="574" t="str">
        <f t="shared" si="44"/>
        <v>コアプラス大塚</v>
      </c>
      <c r="D266" s="45" t="s">
        <v>1607</v>
      </c>
      <c r="E266" s="46">
        <v>52</v>
      </c>
      <c r="F266" s="324">
        <v>631</v>
      </c>
      <c r="G266" s="566" t="str">
        <f t="shared" si="45"/>
        <v>住居</v>
      </c>
      <c r="H266" s="44" t="s">
        <v>1717</v>
      </c>
      <c r="I266" s="325">
        <v>132000</v>
      </c>
      <c r="J266" s="325">
        <v>5000</v>
      </c>
      <c r="K266" s="325">
        <v>0</v>
      </c>
      <c r="L266" s="325">
        <v>0</v>
      </c>
      <c r="M266" s="565">
        <f t="shared" si="52"/>
        <v>137000</v>
      </c>
      <c r="N266" s="326">
        <v>137000</v>
      </c>
      <c r="O266" s="326">
        <v>0</v>
      </c>
      <c r="P266" s="565">
        <f t="shared" si="46"/>
        <v>137000</v>
      </c>
      <c r="Q266" s="565">
        <f t="shared" si="53"/>
        <v>137000</v>
      </c>
      <c r="R266" s="325" t="s">
        <v>1583</v>
      </c>
      <c r="S266" s="325" t="s">
        <v>187</v>
      </c>
      <c r="T266" s="327" t="s">
        <v>1284</v>
      </c>
      <c r="V266" s="43" t="s">
        <v>1950</v>
      </c>
      <c r="W266" s="55">
        <v>125000</v>
      </c>
      <c r="Y266" s="6">
        <f t="shared" si="47"/>
        <v>1</v>
      </c>
      <c r="Z266" s="562">
        <f t="shared" si="48"/>
        <v>137000</v>
      </c>
      <c r="AA266" s="122">
        <f t="shared" si="49"/>
        <v>0</v>
      </c>
      <c r="AB266" s="122">
        <f t="shared" si="50"/>
        <v>12000</v>
      </c>
      <c r="AC266" s="6">
        <f t="shared" si="51"/>
        <v>1</v>
      </c>
      <c r="AD266" s="563">
        <f t="shared" si="54"/>
        <v>1</v>
      </c>
      <c r="AE266" s="64"/>
      <c r="AF266" s="31">
        <v>132000</v>
      </c>
      <c r="AG266" s="31">
        <v>5000</v>
      </c>
      <c r="AH266" s="31">
        <v>0</v>
      </c>
      <c r="AI266" s="31">
        <v>0</v>
      </c>
      <c r="AJ266" s="31">
        <v>137000</v>
      </c>
      <c r="AK266" s="31">
        <v>137000</v>
      </c>
      <c r="AL266" s="31">
        <v>0</v>
      </c>
      <c r="AM266" s="56">
        <v>137000</v>
      </c>
      <c r="AN266" s="31">
        <v>137000</v>
      </c>
      <c r="AO266" s="31" t="s">
        <v>1583</v>
      </c>
      <c r="AP266" s="23" t="s">
        <v>187</v>
      </c>
      <c r="AQ266" s="23" t="s">
        <v>1284</v>
      </c>
    </row>
    <row r="267" spans="1:43">
      <c r="A267" s="41">
        <v>264</v>
      </c>
      <c r="B267" s="41">
        <v>115</v>
      </c>
      <c r="C267" s="574" t="str">
        <f t="shared" si="44"/>
        <v>コアプラス大塚</v>
      </c>
      <c r="D267" s="45" t="s">
        <v>1609</v>
      </c>
      <c r="E267" s="46">
        <v>52</v>
      </c>
      <c r="F267" s="324">
        <v>631</v>
      </c>
      <c r="G267" s="566" t="str">
        <f t="shared" si="45"/>
        <v>住居</v>
      </c>
      <c r="H267" s="44" t="s">
        <v>1717</v>
      </c>
      <c r="I267" s="325">
        <v>132000</v>
      </c>
      <c r="J267" s="325">
        <v>5000</v>
      </c>
      <c r="K267" s="325">
        <v>0</v>
      </c>
      <c r="L267" s="325">
        <v>0</v>
      </c>
      <c r="M267" s="565">
        <f t="shared" si="52"/>
        <v>137000</v>
      </c>
      <c r="N267" s="326">
        <v>128000</v>
      </c>
      <c r="O267" s="326">
        <v>0</v>
      </c>
      <c r="P267" s="565">
        <f t="shared" si="46"/>
        <v>128000</v>
      </c>
      <c r="Q267" s="565">
        <f t="shared" si="53"/>
        <v>137000</v>
      </c>
      <c r="R267" s="325" t="s">
        <v>1578</v>
      </c>
      <c r="S267" s="325" t="s">
        <v>187</v>
      </c>
      <c r="T267" s="327" t="s">
        <v>1284</v>
      </c>
      <c r="V267" s="43" t="s">
        <v>1951</v>
      </c>
      <c r="W267" s="55">
        <v>128000</v>
      </c>
      <c r="Y267" s="6">
        <f t="shared" si="47"/>
        <v>1</v>
      </c>
      <c r="Z267" s="562">
        <f t="shared" si="48"/>
        <v>137000</v>
      </c>
      <c r="AA267" s="122">
        <f t="shared" si="49"/>
        <v>-9000</v>
      </c>
      <c r="AB267" s="122">
        <f t="shared" si="50"/>
        <v>9000</v>
      </c>
      <c r="AC267" s="6">
        <f t="shared" si="51"/>
        <v>1</v>
      </c>
      <c r="AD267" s="563">
        <f t="shared" si="54"/>
        <v>1</v>
      </c>
      <c r="AE267" s="64"/>
      <c r="AF267" s="31">
        <v>132000</v>
      </c>
      <c r="AG267" s="31">
        <v>5000</v>
      </c>
      <c r="AH267" s="31">
        <v>0</v>
      </c>
      <c r="AI267" s="31">
        <v>0</v>
      </c>
      <c r="AJ267" s="31">
        <v>137000</v>
      </c>
      <c r="AK267" s="31">
        <v>128000</v>
      </c>
      <c r="AL267" s="31">
        <v>0</v>
      </c>
      <c r="AM267" s="56">
        <v>128000</v>
      </c>
      <c r="AN267" s="31">
        <v>137000</v>
      </c>
      <c r="AO267" s="31" t="s">
        <v>1578</v>
      </c>
      <c r="AP267" s="23" t="s">
        <v>187</v>
      </c>
      <c r="AQ267" s="23" t="s">
        <v>1284</v>
      </c>
    </row>
    <row r="268" spans="1:43">
      <c r="A268" s="41">
        <v>265</v>
      </c>
      <c r="B268" s="41">
        <v>115</v>
      </c>
      <c r="C268" s="574" t="str">
        <f t="shared" si="44"/>
        <v>コアプラス大塚</v>
      </c>
      <c r="D268" s="45" t="s">
        <v>1611</v>
      </c>
      <c r="E268" s="46">
        <v>52.36</v>
      </c>
      <c r="F268" s="324">
        <v>631</v>
      </c>
      <c r="G268" s="566" t="str">
        <f t="shared" si="45"/>
        <v>住居</v>
      </c>
      <c r="H268" s="44" t="s">
        <v>1667</v>
      </c>
      <c r="I268" s="325">
        <v>123000</v>
      </c>
      <c r="J268" s="325">
        <v>5000</v>
      </c>
      <c r="K268" s="325">
        <v>0</v>
      </c>
      <c r="L268" s="325">
        <v>0</v>
      </c>
      <c r="M268" s="565">
        <f t="shared" si="52"/>
        <v>128000</v>
      </c>
      <c r="N268" s="326">
        <v>128000</v>
      </c>
      <c r="O268" s="326">
        <v>0</v>
      </c>
      <c r="P268" s="565">
        <f t="shared" si="46"/>
        <v>128000</v>
      </c>
      <c r="Q268" s="565">
        <f t="shared" si="53"/>
        <v>128000</v>
      </c>
      <c r="R268" s="325" t="s">
        <v>1568</v>
      </c>
      <c r="S268" s="325" t="s">
        <v>187</v>
      </c>
      <c r="T268" s="327" t="s">
        <v>1284</v>
      </c>
      <c r="V268" s="43" t="s">
        <v>1952</v>
      </c>
      <c r="W268" s="55">
        <v>125000</v>
      </c>
      <c r="Y268" s="6">
        <f t="shared" si="47"/>
        <v>1</v>
      </c>
      <c r="Z268" s="562">
        <f t="shared" si="48"/>
        <v>128000</v>
      </c>
      <c r="AA268" s="122">
        <f t="shared" si="49"/>
        <v>0</v>
      </c>
      <c r="AB268" s="122">
        <f t="shared" si="50"/>
        <v>3000</v>
      </c>
      <c r="AC268" s="6">
        <f t="shared" si="51"/>
        <v>1</v>
      </c>
      <c r="AD268" s="563">
        <f t="shared" si="54"/>
        <v>1</v>
      </c>
      <c r="AE268" s="64"/>
      <c r="AF268" s="31">
        <v>123000</v>
      </c>
      <c r="AG268" s="31">
        <v>5000</v>
      </c>
      <c r="AH268" s="31">
        <v>0</v>
      </c>
      <c r="AI268" s="31">
        <v>0</v>
      </c>
      <c r="AJ268" s="31">
        <v>128000</v>
      </c>
      <c r="AK268" s="31">
        <v>128000</v>
      </c>
      <c r="AL268" s="31">
        <v>0</v>
      </c>
      <c r="AM268" s="56">
        <v>128000</v>
      </c>
      <c r="AN268" s="31">
        <v>128000</v>
      </c>
      <c r="AO268" s="31" t="s">
        <v>1568</v>
      </c>
      <c r="AP268" s="23" t="s">
        <v>187</v>
      </c>
      <c r="AQ268" s="23" t="s">
        <v>1284</v>
      </c>
    </row>
    <row r="269" spans="1:43">
      <c r="A269" s="41">
        <v>266</v>
      </c>
      <c r="B269" s="41">
        <v>115</v>
      </c>
      <c r="C269" s="574" t="str">
        <f t="shared" si="44"/>
        <v>コアプラス大塚</v>
      </c>
      <c r="D269" s="45" t="s">
        <v>1695</v>
      </c>
      <c r="E269" s="46">
        <v>55.18</v>
      </c>
      <c r="F269" s="324">
        <v>631</v>
      </c>
      <c r="G269" s="566" t="str">
        <f t="shared" si="45"/>
        <v>住居</v>
      </c>
      <c r="H269" s="44" t="s">
        <v>1667</v>
      </c>
      <c r="I269" s="325">
        <v>132000</v>
      </c>
      <c r="J269" s="325">
        <v>5000</v>
      </c>
      <c r="K269" s="325">
        <v>0</v>
      </c>
      <c r="L269" s="325">
        <v>0</v>
      </c>
      <c r="M269" s="565">
        <f t="shared" si="52"/>
        <v>137000</v>
      </c>
      <c r="N269" s="326">
        <v>137000</v>
      </c>
      <c r="O269" s="326">
        <v>0</v>
      </c>
      <c r="P269" s="565">
        <f t="shared" si="46"/>
        <v>137000</v>
      </c>
      <c r="Q269" s="565">
        <f t="shared" si="53"/>
        <v>137000</v>
      </c>
      <c r="R269" s="325" t="s">
        <v>1583</v>
      </c>
      <c r="S269" s="325" t="s">
        <v>187</v>
      </c>
      <c r="T269" s="327" t="s">
        <v>1284</v>
      </c>
      <c r="V269" s="43" t="s">
        <v>1953</v>
      </c>
      <c r="W269" s="55">
        <v>120000</v>
      </c>
      <c r="Y269" s="6">
        <f t="shared" si="47"/>
        <v>1</v>
      </c>
      <c r="Z269" s="562">
        <f t="shared" si="48"/>
        <v>137000</v>
      </c>
      <c r="AA269" s="122">
        <f t="shared" si="49"/>
        <v>0</v>
      </c>
      <c r="AB269" s="122">
        <f t="shared" si="50"/>
        <v>17000</v>
      </c>
      <c r="AC269" s="6">
        <f t="shared" si="51"/>
        <v>1</v>
      </c>
      <c r="AD269" s="563">
        <f t="shared" si="54"/>
        <v>1</v>
      </c>
      <c r="AE269" s="64"/>
      <c r="AF269" s="31">
        <v>132000</v>
      </c>
      <c r="AG269" s="31">
        <v>5000</v>
      </c>
      <c r="AH269" s="31">
        <v>0</v>
      </c>
      <c r="AI269" s="31">
        <v>0</v>
      </c>
      <c r="AJ269" s="31">
        <v>137000</v>
      </c>
      <c r="AK269" s="31">
        <v>137000</v>
      </c>
      <c r="AL269" s="31">
        <v>0</v>
      </c>
      <c r="AM269" s="56">
        <v>137000</v>
      </c>
      <c r="AN269" s="31">
        <v>137000</v>
      </c>
      <c r="AO269" s="31" t="s">
        <v>1583</v>
      </c>
      <c r="AP269" s="23" t="s">
        <v>187</v>
      </c>
      <c r="AQ269" s="23" t="s">
        <v>1284</v>
      </c>
    </row>
    <row r="270" spans="1:43">
      <c r="A270" s="41">
        <v>267</v>
      </c>
      <c r="B270" s="41">
        <v>115</v>
      </c>
      <c r="C270" s="574" t="str">
        <f t="shared" si="44"/>
        <v>コアプラス大塚</v>
      </c>
      <c r="D270" s="45" t="s">
        <v>1697</v>
      </c>
      <c r="E270" s="46">
        <v>52</v>
      </c>
      <c r="F270" s="324">
        <v>631</v>
      </c>
      <c r="G270" s="566" t="str">
        <f t="shared" si="45"/>
        <v>住居</v>
      </c>
      <c r="H270" s="44" t="s">
        <v>1667</v>
      </c>
      <c r="I270" s="325">
        <v>128000</v>
      </c>
      <c r="J270" s="325">
        <v>5000</v>
      </c>
      <c r="K270" s="325">
        <v>0</v>
      </c>
      <c r="L270" s="325">
        <v>0</v>
      </c>
      <c r="M270" s="565">
        <f t="shared" si="52"/>
        <v>133000</v>
      </c>
      <c r="N270" s="326">
        <v>133000</v>
      </c>
      <c r="O270" s="326">
        <v>0</v>
      </c>
      <c r="P270" s="565">
        <f t="shared" si="46"/>
        <v>133000</v>
      </c>
      <c r="Q270" s="565">
        <f t="shared" si="53"/>
        <v>133000</v>
      </c>
      <c r="R270" s="325" t="s">
        <v>1568</v>
      </c>
      <c r="S270" s="325" t="s">
        <v>187</v>
      </c>
      <c r="T270" s="327" t="s">
        <v>1284</v>
      </c>
      <c r="V270" s="43" t="s">
        <v>1954</v>
      </c>
      <c r="W270" s="55">
        <v>133000</v>
      </c>
      <c r="Y270" s="6">
        <f t="shared" si="47"/>
        <v>1</v>
      </c>
      <c r="Z270" s="562">
        <f t="shared" si="48"/>
        <v>133000</v>
      </c>
      <c r="AA270" s="122">
        <f t="shared" si="49"/>
        <v>0</v>
      </c>
      <c r="AB270" s="122">
        <f t="shared" si="50"/>
        <v>0</v>
      </c>
      <c r="AC270" s="6">
        <f t="shared" si="51"/>
        <v>1</v>
      </c>
      <c r="AD270" s="563">
        <f t="shared" si="54"/>
        <v>1</v>
      </c>
      <c r="AE270" s="64"/>
      <c r="AF270" s="31">
        <v>128000</v>
      </c>
      <c r="AG270" s="31">
        <v>5000</v>
      </c>
      <c r="AH270" s="31">
        <v>0</v>
      </c>
      <c r="AI270" s="31">
        <v>0</v>
      </c>
      <c r="AJ270" s="31">
        <v>133000</v>
      </c>
      <c r="AK270" s="31">
        <v>133000</v>
      </c>
      <c r="AL270" s="31">
        <v>0</v>
      </c>
      <c r="AM270" s="56">
        <v>133000</v>
      </c>
      <c r="AN270" s="31">
        <v>133000</v>
      </c>
      <c r="AO270" s="31" t="s">
        <v>1568</v>
      </c>
      <c r="AP270" s="23" t="s">
        <v>187</v>
      </c>
      <c r="AQ270" s="23" t="s">
        <v>1284</v>
      </c>
    </row>
    <row r="271" spans="1:43">
      <c r="A271" s="41">
        <v>268</v>
      </c>
      <c r="B271" s="41">
        <v>115</v>
      </c>
      <c r="C271" s="574" t="str">
        <f t="shared" si="44"/>
        <v>コアプラス大塚</v>
      </c>
      <c r="D271" s="45" t="s">
        <v>1699</v>
      </c>
      <c r="E271" s="46">
        <v>52</v>
      </c>
      <c r="F271" s="324">
        <v>631</v>
      </c>
      <c r="G271" s="566" t="str">
        <f t="shared" si="45"/>
        <v>住居</v>
      </c>
      <c r="H271" s="44" t="s">
        <v>1717</v>
      </c>
      <c r="I271" s="325">
        <v>130000</v>
      </c>
      <c r="J271" s="325">
        <v>5000</v>
      </c>
      <c r="K271" s="325">
        <v>0</v>
      </c>
      <c r="L271" s="325">
        <v>0</v>
      </c>
      <c r="M271" s="565">
        <f t="shared" si="52"/>
        <v>135000</v>
      </c>
      <c r="N271" s="326">
        <v>135000</v>
      </c>
      <c r="O271" s="326">
        <v>0</v>
      </c>
      <c r="P271" s="565">
        <f t="shared" si="46"/>
        <v>135000</v>
      </c>
      <c r="Q271" s="565">
        <f t="shared" si="53"/>
        <v>135000</v>
      </c>
      <c r="R271" s="325" t="s">
        <v>1568</v>
      </c>
      <c r="S271" s="325" t="s">
        <v>187</v>
      </c>
      <c r="T271" s="327" t="s">
        <v>1284</v>
      </c>
      <c r="V271" s="43" t="s">
        <v>1955</v>
      </c>
      <c r="W271" s="55">
        <v>128000</v>
      </c>
      <c r="Y271" s="6">
        <f t="shared" si="47"/>
        <v>1</v>
      </c>
      <c r="Z271" s="562">
        <f t="shared" si="48"/>
        <v>135000</v>
      </c>
      <c r="AA271" s="122">
        <f t="shared" si="49"/>
        <v>0</v>
      </c>
      <c r="AB271" s="122">
        <f t="shared" si="50"/>
        <v>7000</v>
      </c>
      <c r="AC271" s="6">
        <f t="shared" si="51"/>
        <v>1</v>
      </c>
      <c r="AD271" s="563">
        <f t="shared" si="54"/>
        <v>1</v>
      </c>
      <c r="AE271" s="64"/>
      <c r="AF271" s="31">
        <v>130000</v>
      </c>
      <c r="AG271" s="31">
        <v>5000</v>
      </c>
      <c r="AH271" s="31">
        <v>0</v>
      </c>
      <c r="AI271" s="31">
        <v>0</v>
      </c>
      <c r="AJ271" s="31">
        <v>135000</v>
      </c>
      <c r="AK271" s="31">
        <v>135000</v>
      </c>
      <c r="AL271" s="31">
        <v>0</v>
      </c>
      <c r="AM271" s="56">
        <v>135000</v>
      </c>
      <c r="AN271" s="31">
        <v>135000</v>
      </c>
      <c r="AO271" s="31" t="s">
        <v>1568</v>
      </c>
      <c r="AP271" s="23" t="s">
        <v>187</v>
      </c>
      <c r="AQ271" s="23" t="s">
        <v>1284</v>
      </c>
    </row>
    <row r="272" spans="1:43">
      <c r="A272" s="41">
        <v>269</v>
      </c>
      <c r="B272" s="41">
        <v>115</v>
      </c>
      <c r="C272" s="574" t="str">
        <f t="shared" si="44"/>
        <v>コアプラス大塚</v>
      </c>
      <c r="D272" s="45" t="s">
        <v>1956</v>
      </c>
      <c r="E272" s="46">
        <v>52</v>
      </c>
      <c r="F272" s="324">
        <v>631</v>
      </c>
      <c r="G272" s="566" t="str">
        <f t="shared" si="45"/>
        <v>住居</v>
      </c>
      <c r="H272" s="44" t="s">
        <v>1667</v>
      </c>
      <c r="I272" s="325">
        <v>125000</v>
      </c>
      <c r="J272" s="325">
        <v>5000</v>
      </c>
      <c r="K272" s="325">
        <v>0</v>
      </c>
      <c r="L272" s="325">
        <v>0</v>
      </c>
      <c r="M272" s="565">
        <f t="shared" si="52"/>
        <v>130000</v>
      </c>
      <c r="N272" s="326">
        <v>125000</v>
      </c>
      <c r="O272" s="326">
        <v>0</v>
      </c>
      <c r="P272" s="565">
        <f t="shared" si="46"/>
        <v>125000</v>
      </c>
      <c r="Q272" s="565">
        <f t="shared" si="53"/>
        <v>130000</v>
      </c>
      <c r="R272" s="325" t="s">
        <v>1568</v>
      </c>
      <c r="S272" s="325" t="s">
        <v>187</v>
      </c>
      <c r="T272" s="327" t="s">
        <v>1284</v>
      </c>
      <c r="V272" s="43" t="s">
        <v>1957</v>
      </c>
      <c r="W272" s="55">
        <v>125000</v>
      </c>
      <c r="Y272" s="6">
        <f t="shared" si="47"/>
        <v>1</v>
      </c>
      <c r="Z272" s="562">
        <f t="shared" si="48"/>
        <v>130000</v>
      </c>
      <c r="AA272" s="122">
        <f t="shared" si="49"/>
        <v>-5000</v>
      </c>
      <c r="AB272" s="122">
        <f t="shared" si="50"/>
        <v>5000</v>
      </c>
      <c r="AC272" s="6">
        <f t="shared" si="51"/>
        <v>1</v>
      </c>
      <c r="AD272" s="563">
        <f t="shared" si="54"/>
        <v>1</v>
      </c>
      <c r="AE272" s="64"/>
      <c r="AF272" s="31">
        <v>125000</v>
      </c>
      <c r="AG272" s="31">
        <v>5000</v>
      </c>
      <c r="AH272" s="31">
        <v>0</v>
      </c>
      <c r="AI272" s="31">
        <v>0</v>
      </c>
      <c r="AJ272" s="31">
        <v>130000</v>
      </c>
      <c r="AK272" s="31">
        <v>125000</v>
      </c>
      <c r="AL272" s="31">
        <v>0</v>
      </c>
      <c r="AM272" s="56">
        <v>125000</v>
      </c>
      <c r="AN272" s="31">
        <v>130000</v>
      </c>
      <c r="AO272" s="31" t="s">
        <v>1568</v>
      </c>
      <c r="AP272" s="23" t="s">
        <v>187</v>
      </c>
      <c r="AQ272" s="23" t="s">
        <v>1284</v>
      </c>
    </row>
    <row r="273" spans="1:43">
      <c r="A273" s="41">
        <v>270</v>
      </c>
      <c r="B273" s="41">
        <v>115</v>
      </c>
      <c r="C273" s="574" t="str">
        <f t="shared" si="44"/>
        <v>コアプラス大塚</v>
      </c>
      <c r="D273" s="45" t="s">
        <v>1958</v>
      </c>
      <c r="E273" s="46">
        <v>52.36</v>
      </c>
      <c r="F273" s="324">
        <v>631</v>
      </c>
      <c r="G273" s="566" t="str">
        <f t="shared" si="45"/>
        <v>住居</v>
      </c>
      <c r="H273" s="44" t="s">
        <v>1667</v>
      </c>
      <c r="I273" s="325">
        <v>120000</v>
      </c>
      <c r="J273" s="325">
        <v>5000</v>
      </c>
      <c r="K273" s="325">
        <v>0</v>
      </c>
      <c r="L273" s="325">
        <v>0</v>
      </c>
      <c r="M273" s="565">
        <f t="shared" si="52"/>
        <v>125000</v>
      </c>
      <c r="N273" s="326">
        <v>125000</v>
      </c>
      <c r="O273" s="326">
        <v>0</v>
      </c>
      <c r="P273" s="565">
        <f t="shared" si="46"/>
        <v>125000</v>
      </c>
      <c r="Q273" s="565">
        <f t="shared" si="53"/>
        <v>125000</v>
      </c>
      <c r="R273" s="325" t="s">
        <v>1568</v>
      </c>
      <c r="S273" s="325" t="s">
        <v>187</v>
      </c>
      <c r="T273" s="327" t="s">
        <v>1284</v>
      </c>
      <c r="V273" s="43" t="s">
        <v>1959</v>
      </c>
      <c r="W273" s="55">
        <v>125000</v>
      </c>
      <c r="Y273" s="6">
        <f t="shared" si="47"/>
        <v>1</v>
      </c>
      <c r="Z273" s="562">
        <f t="shared" si="48"/>
        <v>125000</v>
      </c>
      <c r="AA273" s="122">
        <f t="shared" si="49"/>
        <v>0</v>
      </c>
      <c r="AB273" s="122">
        <f t="shared" si="50"/>
        <v>0</v>
      </c>
      <c r="AC273" s="6">
        <f t="shared" si="51"/>
        <v>1</v>
      </c>
      <c r="AD273" s="563">
        <f t="shared" si="54"/>
        <v>1</v>
      </c>
      <c r="AE273" s="64"/>
      <c r="AF273" s="31">
        <v>120000</v>
      </c>
      <c r="AG273" s="31">
        <v>5000</v>
      </c>
      <c r="AH273" s="31">
        <v>0</v>
      </c>
      <c r="AI273" s="31">
        <v>0</v>
      </c>
      <c r="AJ273" s="31">
        <v>125000</v>
      </c>
      <c r="AK273" s="31">
        <v>125000</v>
      </c>
      <c r="AL273" s="31">
        <v>0</v>
      </c>
      <c r="AM273" s="56">
        <v>125000</v>
      </c>
      <c r="AN273" s="31">
        <v>125000</v>
      </c>
      <c r="AO273" s="31" t="s">
        <v>1568</v>
      </c>
      <c r="AP273" s="23" t="s">
        <v>187</v>
      </c>
      <c r="AQ273" s="23" t="s">
        <v>1284</v>
      </c>
    </row>
    <row r="274" spans="1:43">
      <c r="A274" s="41">
        <v>271</v>
      </c>
      <c r="B274" s="41">
        <v>115</v>
      </c>
      <c r="C274" s="574" t="str">
        <f t="shared" si="44"/>
        <v>コアプラス大塚</v>
      </c>
      <c r="D274" s="45" t="s">
        <v>1741</v>
      </c>
      <c r="E274" s="46">
        <v>52</v>
      </c>
      <c r="F274" s="324">
        <v>631</v>
      </c>
      <c r="G274" s="566" t="str">
        <f t="shared" si="45"/>
        <v>住居</v>
      </c>
      <c r="H274" s="44" t="s">
        <v>1667</v>
      </c>
      <c r="I274" s="325">
        <v>129000</v>
      </c>
      <c r="J274" s="325">
        <v>5000</v>
      </c>
      <c r="K274" s="325">
        <v>0</v>
      </c>
      <c r="L274" s="325">
        <v>0</v>
      </c>
      <c r="M274" s="565">
        <f t="shared" si="52"/>
        <v>134000</v>
      </c>
      <c r="N274" s="326">
        <v>134000</v>
      </c>
      <c r="O274" s="326">
        <v>0</v>
      </c>
      <c r="P274" s="565">
        <f t="shared" si="46"/>
        <v>134000</v>
      </c>
      <c r="Q274" s="565">
        <f t="shared" si="53"/>
        <v>134000</v>
      </c>
      <c r="R274" s="325" t="s">
        <v>1568</v>
      </c>
      <c r="S274" s="325" t="s">
        <v>187</v>
      </c>
      <c r="T274" s="327" t="s">
        <v>1284</v>
      </c>
      <c r="V274" s="43" t="s">
        <v>1960</v>
      </c>
      <c r="W274" s="55">
        <v>134000</v>
      </c>
      <c r="Y274" s="6">
        <f t="shared" si="47"/>
        <v>1</v>
      </c>
      <c r="Z274" s="562">
        <f t="shared" si="48"/>
        <v>134000</v>
      </c>
      <c r="AA274" s="122">
        <f t="shared" si="49"/>
        <v>0</v>
      </c>
      <c r="AB274" s="122">
        <f t="shared" si="50"/>
        <v>0</v>
      </c>
      <c r="AC274" s="6">
        <f t="shared" si="51"/>
        <v>1</v>
      </c>
      <c r="AD274" s="563">
        <f t="shared" si="54"/>
        <v>1</v>
      </c>
      <c r="AE274" s="64"/>
      <c r="AF274" s="31">
        <v>129000</v>
      </c>
      <c r="AG274" s="31">
        <v>5000</v>
      </c>
      <c r="AH274" s="31">
        <v>0</v>
      </c>
      <c r="AI274" s="31">
        <v>0</v>
      </c>
      <c r="AJ274" s="31">
        <v>134000</v>
      </c>
      <c r="AK274" s="31">
        <v>134000</v>
      </c>
      <c r="AL274" s="31">
        <v>0</v>
      </c>
      <c r="AM274" s="56">
        <v>134000</v>
      </c>
      <c r="AN274" s="31">
        <v>134000</v>
      </c>
      <c r="AO274" s="31" t="s">
        <v>1568</v>
      </c>
      <c r="AP274" s="23" t="s">
        <v>187</v>
      </c>
      <c r="AQ274" s="23" t="s">
        <v>1284</v>
      </c>
    </row>
    <row r="275" spans="1:43">
      <c r="A275" s="41">
        <v>272</v>
      </c>
      <c r="B275" s="41">
        <v>115</v>
      </c>
      <c r="C275" s="574" t="str">
        <f t="shared" si="44"/>
        <v>コアプラス大塚</v>
      </c>
      <c r="D275" s="45" t="s">
        <v>1743</v>
      </c>
      <c r="E275" s="46">
        <v>52</v>
      </c>
      <c r="F275" s="324">
        <v>631</v>
      </c>
      <c r="G275" s="566" t="str">
        <f t="shared" si="45"/>
        <v>住居</v>
      </c>
      <c r="H275" s="44" t="s">
        <v>1717</v>
      </c>
      <c r="I275" s="325">
        <v>134000</v>
      </c>
      <c r="J275" s="325">
        <v>5000</v>
      </c>
      <c r="K275" s="325">
        <v>0</v>
      </c>
      <c r="L275" s="325">
        <v>0</v>
      </c>
      <c r="M275" s="565">
        <f t="shared" si="52"/>
        <v>139000</v>
      </c>
      <c r="N275" s="326">
        <v>139000</v>
      </c>
      <c r="O275" s="326">
        <v>0</v>
      </c>
      <c r="P275" s="565">
        <f t="shared" si="46"/>
        <v>139000</v>
      </c>
      <c r="Q275" s="565">
        <f t="shared" si="53"/>
        <v>139000</v>
      </c>
      <c r="R275" s="325" t="s">
        <v>1568</v>
      </c>
      <c r="S275" s="325" t="s">
        <v>187</v>
      </c>
      <c r="T275" s="327" t="s">
        <v>1284</v>
      </c>
      <c r="V275" s="43" t="s">
        <v>1961</v>
      </c>
      <c r="W275" s="55">
        <v>123000</v>
      </c>
      <c r="Y275" s="6">
        <f t="shared" si="47"/>
        <v>1</v>
      </c>
      <c r="Z275" s="562">
        <f t="shared" si="48"/>
        <v>139000</v>
      </c>
      <c r="AA275" s="122">
        <f t="shared" si="49"/>
        <v>0</v>
      </c>
      <c r="AB275" s="122">
        <f t="shared" si="50"/>
        <v>16000</v>
      </c>
      <c r="AC275" s="6">
        <f t="shared" si="51"/>
        <v>1</v>
      </c>
      <c r="AD275" s="563">
        <f t="shared" si="54"/>
        <v>1</v>
      </c>
      <c r="AE275" s="64"/>
      <c r="AF275" s="31">
        <v>134000</v>
      </c>
      <c r="AG275" s="31">
        <v>5000</v>
      </c>
      <c r="AH275" s="31">
        <v>0</v>
      </c>
      <c r="AI275" s="31">
        <v>0</v>
      </c>
      <c r="AJ275" s="31">
        <v>139000</v>
      </c>
      <c r="AK275" s="31">
        <v>139000</v>
      </c>
      <c r="AL275" s="31">
        <v>0</v>
      </c>
      <c r="AM275" s="56">
        <v>139000</v>
      </c>
      <c r="AN275" s="31">
        <v>139000</v>
      </c>
      <c r="AO275" s="31" t="s">
        <v>1568</v>
      </c>
      <c r="AP275" s="23" t="s">
        <v>187</v>
      </c>
      <c r="AQ275" s="23" t="s">
        <v>1284</v>
      </c>
    </row>
    <row r="276" spans="1:43">
      <c r="A276" s="41">
        <v>273</v>
      </c>
      <c r="B276" s="41">
        <v>115</v>
      </c>
      <c r="C276" s="574" t="str">
        <f t="shared" si="44"/>
        <v>コアプラス大塚</v>
      </c>
      <c r="D276" s="45" t="s">
        <v>1745</v>
      </c>
      <c r="E276" s="46">
        <v>52</v>
      </c>
      <c r="F276" s="324">
        <v>631</v>
      </c>
      <c r="G276" s="566" t="str">
        <f t="shared" si="45"/>
        <v>住居</v>
      </c>
      <c r="H276" s="44" t="s">
        <v>1717</v>
      </c>
      <c r="I276" s="325">
        <v>130000</v>
      </c>
      <c r="J276" s="325">
        <v>5000</v>
      </c>
      <c r="K276" s="325">
        <v>0</v>
      </c>
      <c r="L276" s="325">
        <v>0</v>
      </c>
      <c r="M276" s="565">
        <f t="shared" si="52"/>
        <v>135000</v>
      </c>
      <c r="N276" s="326">
        <v>135000</v>
      </c>
      <c r="O276" s="326">
        <v>0</v>
      </c>
      <c r="P276" s="565">
        <f t="shared" si="46"/>
        <v>135000</v>
      </c>
      <c r="Q276" s="565">
        <f t="shared" si="53"/>
        <v>135000</v>
      </c>
      <c r="R276" s="325" t="s">
        <v>1568</v>
      </c>
      <c r="S276" s="325" t="s">
        <v>187</v>
      </c>
      <c r="T276" s="327" t="s">
        <v>1284</v>
      </c>
      <c r="V276" s="43" t="s">
        <v>1962</v>
      </c>
      <c r="W276" s="55">
        <v>125000</v>
      </c>
      <c r="Y276" s="6">
        <f t="shared" si="47"/>
        <v>1</v>
      </c>
      <c r="Z276" s="562">
        <f t="shared" si="48"/>
        <v>135000</v>
      </c>
      <c r="AA276" s="122">
        <f t="shared" si="49"/>
        <v>0</v>
      </c>
      <c r="AB276" s="122">
        <f t="shared" si="50"/>
        <v>10000</v>
      </c>
      <c r="AC276" s="6">
        <f t="shared" si="51"/>
        <v>1</v>
      </c>
      <c r="AD276" s="563">
        <f t="shared" si="54"/>
        <v>1</v>
      </c>
      <c r="AE276" s="64"/>
      <c r="AF276" s="31">
        <v>130000</v>
      </c>
      <c r="AG276" s="31">
        <v>5000</v>
      </c>
      <c r="AH276" s="31">
        <v>0</v>
      </c>
      <c r="AI276" s="31">
        <v>0</v>
      </c>
      <c r="AJ276" s="31">
        <v>135000</v>
      </c>
      <c r="AK276" s="31">
        <v>135000</v>
      </c>
      <c r="AL276" s="31">
        <v>0</v>
      </c>
      <c r="AM276" s="56">
        <v>135000</v>
      </c>
      <c r="AN276" s="31">
        <v>135000</v>
      </c>
      <c r="AO276" s="31" t="s">
        <v>1568</v>
      </c>
      <c r="AP276" s="23" t="s">
        <v>187</v>
      </c>
      <c r="AQ276" s="23" t="s">
        <v>1284</v>
      </c>
    </row>
    <row r="277" spans="1:43">
      <c r="A277" s="41">
        <v>274</v>
      </c>
      <c r="B277" s="41">
        <v>115</v>
      </c>
      <c r="C277" s="574" t="str">
        <f t="shared" si="44"/>
        <v>コアプラス大塚</v>
      </c>
      <c r="D277" s="45" t="s">
        <v>1566</v>
      </c>
      <c r="E277" s="46">
        <v>59.53</v>
      </c>
      <c r="F277" s="324">
        <v>633</v>
      </c>
      <c r="G277" s="566" t="str">
        <f t="shared" si="45"/>
        <v>店舗</v>
      </c>
      <c r="H277" s="44" t="s">
        <v>1706</v>
      </c>
      <c r="I277" s="325">
        <v>170000</v>
      </c>
      <c r="J277" s="325">
        <v>4630</v>
      </c>
      <c r="K277" s="325">
        <v>0</v>
      </c>
      <c r="L277" s="325">
        <v>17463</v>
      </c>
      <c r="M277" s="565">
        <f t="shared" si="52"/>
        <v>192093</v>
      </c>
      <c r="N277" s="326">
        <v>174630</v>
      </c>
      <c r="O277" s="326">
        <v>17463</v>
      </c>
      <c r="P277" s="565">
        <f t="shared" si="46"/>
        <v>192093</v>
      </c>
      <c r="Q277" s="565">
        <f t="shared" si="53"/>
        <v>192093</v>
      </c>
      <c r="R277" s="325" t="s">
        <v>1568</v>
      </c>
      <c r="S277" s="325" t="s">
        <v>187</v>
      </c>
      <c r="T277" s="327" t="s">
        <v>1284</v>
      </c>
      <c r="V277" s="43" t="s">
        <v>1963</v>
      </c>
      <c r="W277" s="55">
        <v>174630</v>
      </c>
      <c r="Y277" s="6">
        <f t="shared" si="47"/>
        <v>1</v>
      </c>
      <c r="Z277" s="562">
        <f t="shared" si="48"/>
        <v>174630</v>
      </c>
      <c r="AA277" s="122">
        <f t="shared" si="49"/>
        <v>0</v>
      </c>
      <c r="AB277" s="122">
        <f t="shared" si="50"/>
        <v>0</v>
      </c>
      <c r="AC277" s="6">
        <f t="shared" si="51"/>
        <v>1</v>
      </c>
      <c r="AD277" s="563">
        <f t="shared" si="54"/>
        <v>1</v>
      </c>
      <c r="AE277" s="64"/>
      <c r="AF277" s="31">
        <v>170000</v>
      </c>
      <c r="AG277" s="31">
        <v>4630</v>
      </c>
      <c r="AH277" s="31">
        <v>0</v>
      </c>
      <c r="AI277" s="31">
        <v>17463</v>
      </c>
      <c r="AJ277" s="31">
        <v>192093</v>
      </c>
      <c r="AK277" s="31">
        <v>174630</v>
      </c>
      <c r="AL277" s="31">
        <v>17463</v>
      </c>
      <c r="AM277" s="56">
        <v>192093</v>
      </c>
      <c r="AN277" s="31">
        <v>192093</v>
      </c>
      <c r="AO277" s="31" t="s">
        <v>1568</v>
      </c>
      <c r="AP277" s="23" t="s">
        <v>187</v>
      </c>
      <c r="AQ277" s="23" t="s">
        <v>1284</v>
      </c>
    </row>
    <row r="278" spans="1:43">
      <c r="A278" s="41">
        <v>275</v>
      </c>
      <c r="B278" s="41">
        <v>115</v>
      </c>
      <c r="C278" s="574" t="str">
        <f t="shared" si="44"/>
        <v>コアプラス大塚</v>
      </c>
      <c r="D278" s="45" t="s">
        <v>1964</v>
      </c>
      <c r="E278" s="46">
        <v>0</v>
      </c>
      <c r="F278" s="324">
        <v>634</v>
      </c>
      <c r="G278" s="566" t="str">
        <f t="shared" si="45"/>
        <v>駐車場</v>
      </c>
      <c r="H278" s="44" t="s">
        <v>1674</v>
      </c>
      <c r="I278" s="325">
        <v>324074</v>
      </c>
      <c r="J278" s="325">
        <v>0</v>
      </c>
      <c r="K278" s="325">
        <v>0</v>
      </c>
      <c r="L278" s="325">
        <v>32407</v>
      </c>
      <c r="M278" s="565">
        <f t="shared" si="52"/>
        <v>356481</v>
      </c>
      <c r="N278" s="326">
        <v>324073</v>
      </c>
      <c r="O278" s="326">
        <v>32407.363636363636</v>
      </c>
      <c r="P278" s="565">
        <f t="shared" si="46"/>
        <v>356480.36363636365</v>
      </c>
      <c r="Q278" s="565">
        <f t="shared" si="53"/>
        <v>356481</v>
      </c>
      <c r="R278" s="325" t="s">
        <v>1575</v>
      </c>
      <c r="S278" s="325" t="s">
        <v>187</v>
      </c>
      <c r="T278" s="327" t="s">
        <v>1965</v>
      </c>
      <c r="V278" s="43" t="s">
        <v>1966</v>
      </c>
      <c r="W278" s="55">
        <v>100000</v>
      </c>
      <c r="Y278" s="6">
        <f t="shared" si="47"/>
        <v>1</v>
      </c>
      <c r="Z278" s="562">
        <f t="shared" si="48"/>
        <v>324074</v>
      </c>
      <c r="AA278" s="122">
        <f t="shared" si="49"/>
        <v>-1</v>
      </c>
      <c r="AB278" s="122">
        <f t="shared" si="50"/>
        <v>224074</v>
      </c>
      <c r="AC278" s="6">
        <f t="shared" si="51"/>
        <v>1</v>
      </c>
      <c r="AD278" s="563">
        <f t="shared" si="54"/>
        <v>1</v>
      </c>
      <c r="AE278" s="64"/>
      <c r="AF278" s="31">
        <v>324074</v>
      </c>
      <c r="AG278" s="31">
        <v>0</v>
      </c>
      <c r="AH278" s="31">
        <v>0</v>
      </c>
      <c r="AI278" s="31">
        <v>32407</v>
      </c>
      <c r="AJ278" s="31">
        <v>356481</v>
      </c>
      <c r="AK278" s="31">
        <v>324073</v>
      </c>
      <c r="AL278" s="31">
        <v>32407.363636363636</v>
      </c>
      <c r="AM278" s="56">
        <v>356480.36363636365</v>
      </c>
      <c r="AN278" s="31">
        <v>356481</v>
      </c>
      <c r="AO278" s="31" t="s">
        <v>1575</v>
      </c>
      <c r="AP278" s="23" t="s">
        <v>187</v>
      </c>
      <c r="AQ278" s="23" t="s">
        <v>1965</v>
      </c>
    </row>
    <row r="279" spans="1:43">
      <c r="A279" s="41">
        <v>276</v>
      </c>
      <c r="B279" s="41">
        <v>115</v>
      </c>
      <c r="C279" s="574" t="str">
        <f t="shared" si="44"/>
        <v>コアプラス大塚</v>
      </c>
      <c r="D279" s="45" t="s">
        <v>1618</v>
      </c>
      <c r="E279" s="46">
        <v>0</v>
      </c>
      <c r="F279" s="324">
        <v>635</v>
      </c>
      <c r="G279" s="566" t="str">
        <f t="shared" si="45"/>
        <v>アンテナ</v>
      </c>
      <c r="H279" s="44" t="s">
        <v>729</v>
      </c>
      <c r="I279" s="325">
        <v>12000</v>
      </c>
      <c r="J279" s="325">
        <v>0</v>
      </c>
      <c r="K279" s="325">
        <v>0</v>
      </c>
      <c r="L279" s="325">
        <v>1200</v>
      </c>
      <c r="M279" s="565">
        <f t="shared" si="52"/>
        <v>13200</v>
      </c>
      <c r="N279" s="326">
        <v>12000</v>
      </c>
      <c r="O279" s="326">
        <v>1199.9999999999998</v>
      </c>
      <c r="P279" s="565">
        <f t="shared" si="46"/>
        <v>13200</v>
      </c>
      <c r="Q279" s="565">
        <f t="shared" si="53"/>
        <v>13200</v>
      </c>
      <c r="R279" s="325" t="s">
        <v>1017</v>
      </c>
      <c r="S279" s="325" t="s">
        <v>187</v>
      </c>
      <c r="T279" s="327" t="s">
        <v>1967</v>
      </c>
      <c r="V279" s="43" t="s">
        <v>1968</v>
      </c>
      <c r="W279" s="55">
        <v>0</v>
      </c>
      <c r="Y279" s="6">
        <f t="shared" si="47"/>
        <v>1</v>
      </c>
      <c r="Z279" s="562">
        <f t="shared" si="48"/>
        <v>12000</v>
      </c>
      <c r="AA279" s="122">
        <f t="shared" si="49"/>
        <v>0</v>
      </c>
      <c r="AB279" s="122">
        <f t="shared" si="50"/>
        <v>12000</v>
      </c>
      <c r="AC279" s="6">
        <f t="shared" si="51"/>
        <v>1</v>
      </c>
      <c r="AD279" s="563">
        <f t="shared" si="54"/>
        <v>1</v>
      </c>
      <c r="AE279" s="64"/>
      <c r="AF279" s="31">
        <v>12000</v>
      </c>
      <c r="AG279" s="31">
        <v>0</v>
      </c>
      <c r="AH279" s="31">
        <v>0</v>
      </c>
      <c r="AI279" s="31">
        <v>1200</v>
      </c>
      <c r="AJ279" s="31">
        <v>13200</v>
      </c>
      <c r="AK279" s="31">
        <v>12000</v>
      </c>
      <c r="AL279" s="31">
        <v>1199.9999999999998</v>
      </c>
      <c r="AM279" s="56">
        <v>13200</v>
      </c>
      <c r="AN279" s="31">
        <v>13200</v>
      </c>
      <c r="AO279" s="31" t="s">
        <v>1017</v>
      </c>
      <c r="AP279" s="23" t="s">
        <v>187</v>
      </c>
      <c r="AQ279" s="23" t="s">
        <v>1969</v>
      </c>
    </row>
    <row r="280" spans="1:43">
      <c r="A280" s="41">
        <v>277</v>
      </c>
      <c r="B280" s="41">
        <v>115</v>
      </c>
      <c r="C280" s="574" t="str">
        <f t="shared" si="44"/>
        <v>コアプラス大塚</v>
      </c>
      <c r="D280" s="45" t="s">
        <v>1622</v>
      </c>
      <c r="E280" s="46" t="s">
        <v>1017</v>
      </c>
      <c r="F280" s="324">
        <v>639</v>
      </c>
      <c r="G280" s="566" t="str">
        <f t="shared" si="45"/>
        <v>その他</v>
      </c>
      <c r="H280" s="44" t="s">
        <v>1789</v>
      </c>
      <c r="I280" s="325">
        <v>0</v>
      </c>
      <c r="J280" s="325">
        <v>0</v>
      </c>
      <c r="K280" s="325">
        <v>0</v>
      </c>
      <c r="L280" s="325">
        <v>0</v>
      </c>
      <c r="M280" s="565">
        <f t="shared" si="52"/>
        <v>0</v>
      </c>
      <c r="N280" s="326">
        <v>0</v>
      </c>
      <c r="O280" s="326">
        <v>0</v>
      </c>
      <c r="P280" s="565">
        <f t="shared" si="46"/>
        <v>0</v>
      </c>
      <c r="Q280" s="565">
        <f t="shared" si="53"/>
        <v>0</v>
      </c>
      <c r="R280" s="325" t="s">
        <v>1017</v>
      </c>
      <c r="S280" s="325" t="s">
        <v>283</v>
      </c>
      <c r="T280" s="327" t="s">
        <v>1623</v>
      </c>
      <c r="V280" s="43" t="s">
        <v>1970</v>
      </c>
      <c r="W280" s="55">
        <v>0</v>
      </c>
      <c r="Y280" s="6">
        <f t="shared" si="47"/>
        <v>0</v>
      </c>
      <c r="Z280" s="562">
        <f t="shared" si="48"/>
        <v>0</v>
      </c>
      <c r="AA280" s="122">
        <f t="shared" si="49"/>
        <v>0</v>
      </c>
      <c r="AB280" s="122">
        <f t="shared" si="50"/>
        <v>0</v>
      </c>
      <c r="AC280" s="6">
        <f t="shared" si="51"/>
        <v>0</v>
      </c>
      <c r="AD280" s="563">
        <f t="shared" si="54"/>
        <v>1</v>
      </c>
      <c r="AE280" s="64"/>
      <c r="AF280" s="31">
        <v>0</v>
      </c>
      <c r="AG280" s="31">
        <v>0</v>
      </c>
      <c r="AH280" s="31">
        <v>0</v>
      </c>
      <c r="AI280" s="31">
        <v>0</v>
      </c>
      <c r="AJ280" s="31">
        <v>0</v>
      </c>
      <c r="AK280" s="31">
        <v>0</v>
      </c>
      <c r="AL280" s="31">
        <v>0</v>
      </c>
      <c r="AM280" s="56">
        <v>0</v>
      </c>
      <c r="AN280" s="31">
        <v>0</v>
      </c>
      <c r="AO280" s="31" t="s">
        <v>1017</v>
      </c>
      <c r="AP280" s="23" t="s">
        <v>283</v>
      </c>
      <c r="AQ280" s="23" t="s">
        <v>1623</v>
      </c>
    </row>
    <row r="281" spans="1:43">
      <c r="A281" s="42">
        <v>278</v>
      </c>
      <c r="B281" s="42">
        <v>116</v>
      </c>
      <c r="C281" s="576" t="str">
        <f t="shared" si="44"/>
        <v>コアプラスレジデンス梅田</v>
      </c>
      <c r="D281" s="45" t="s">
        <v>1580</v>
      </c>
      <c r="E281" s="46">
        <v>55.01</v>
      </c>
      <c r="F281" s="324">
        <v>631</v>
      </c>
      <c r="G281" s="566" t="str">
        <f t="shared" si="45"/>
        <v>住居</v>
      </c>
      <c r="H281" s="44" t="s">
        <v>1717</v>
      </c>
      <c r="I281" s="325">
        <v>122000</v>
      </c>
      <c r="J281" s="325">
        <v>0</v>
      </c>
      <c r="K281" s="325">
        <v>0</v>
      </c>
      <c r="L281" s="325">
        <v>0</v>
      </c>
      <c r="M281" s="565">
        <f t="shared" si="52"/>
        <v>122000</v>
      </c>
      <c r="N281" s="326">
        <v>115000</v>
      </c>
      <c r="O281" s="326">
        <v>0</v>
      </c>
      <c r="P281" s="565">
        <f t="shared" si="46"/>
        <v>115000</v>
      </c>
      <c r="Q281" s="565">
        <f t="shared" si="53"/>
        <v>122000</v>
      </c>
      <c r="R281" s="325" t="s">
        <v>1583</v>
      </c>
      <c r="S281" s="325" t="s">
        <v>187</v>
      </c>
      <c r="T281" s="327" t="s">
        <v>1284</v>
      </c>
      <c r="V281" s="43" t="s">
        <v>1971</v>
      </c>
      <c r="W281" s="55">
        <v>115000</v>
      </c>
      <c r="Y281" s="6">
        <f t="shared" si="47"/>
        <v>1</v>
      </c>
      <c r="Z281" s="562">
        <f t="shared" si="48"/>
        <v>122000</v>
      </c>
      <c r="AA281" s="122">
        <f t="shared" si="49"/>
        <v>-7000</v>
      </c>
      <c r="AB281" s="122">
        <f t="shared" si="50"/>
        <v>7000</v>
      </c>
      <c r="AC281" s="6">
        <f t="shared" si="51"/>
        <v>1</v>
      </c>
      <c r="AD281" s="563">
        <f t="shared" si="54"/>
        <v>1</v>
      </c>
      <c r="AE281" s="64"/>
      <c r="AF281" s="31">
        <v>122000</v>
      </c>
      <c r="AG281" s="31">
        <v>0</v>
      </c>
      <c r="AH281" s="31">
        <v>0</v>
      </c>
      <c r="AI281" s="31">
        <v>0</v>
      </c>
      <c r="AJ281" s="31">
        <v>122000</v>
      </c>
      <c r="AK281" s="31">
        <v>115000</v>
      </c>
      <c r="AL281" s="31">
        <v>0</v>
      </c>
      <c r="AM281" s="56">
        <v>115000</v>
      </c>
      <c r="AN281" s="31">
        <v>122000</v>
      </c>
      <c r="AO281" s="31" t="s">
        <v>1583</v>
      </c>
      <c r="AP281" s="23" t="s">
        <v>187</v>
      </c>
      <c r="AQ281" s="23" t="s">
        <v>1284</v>
      </c>
    </row>
    <row r="282" spans="1:43">
      <c r="A282" s="42">
        <v>279</v>
      </c>
      <c r="B282" s="42">
        <v>116</v>
      </c>
      <c r="C282" s="576" t="str">
        <f t="shared" si="44"/>
        <v>コアプラスレジデンス梅田</v>
      </c>
      <c r="D282" s="45" t="s">
        <v>1582</v>
      </c>
      <c r="E282" s="46">
        <v>62.38</v>
      </c>
      <c r="F282" s="324">
        <v>631</v>
      </c>
      <c r="G282" s="566" t="str">
        <f t="shared" si="45"/>
        <v>住居</v>
      </c>
      <c r="H282" s="44" t="s">
        <v>1717</v>
      </c>
      <c r="I282" s="325">
        <v>145000</v>
      </c>
      <c r="J282" s="325">
        <v>5000</v>
      </c>
      <c r="K282" s="325">
        <v>0</v>
      </c>
      <c r="L282" s="325">
        <v>0</v>
      </c>
      <c r="M282" s="565">
        <f t="shared" si="52"/>
        <v>150000</v>
      </c>
      <c r="N282" s="326">
        <v>160000</v>
      </c>
      <c r="O282" s="326">
        <v>0</v>
      </c>
      <c r="P282" s="565">
        <f t="shared" si="46"/>
        <v>160000</v>
      </c>
      <c r="Q282" s="565">
        <f t="shared" si="53"/>
        <v>150000</v>
      </c>
      <c r="R282" s="325" t="s">
        <v>1568</v>
      </c>
      <c r="S282" s="325" t="s">
        <v>187</v>
      </c>
      <c r="T282" s="327" t="s">
        <v>1284</v>
      </c>
      <c r="V282" s="43" t="s">
        <v>1972</v>
      </c>
      <c r="W282" s="55">
        <v>145000</v>
      </c>
      <c r="Y282" s="6">
        <f t="shared" si="47"/>
        <v>1</v>
      </c>
      <c r="Z282" s="562">
        <f t="shared" si="48"/>
        <v>150000</v>
      </c>
      <c r="AA282" s="122">
        <f t="shared" si="49"/>
        <v>10000</v>
      </c>
      <c r="AB282" s="122">
        <f t="shared" si="50"/>
        <v>5000</v>
      </c>
      <c r="AC282" s="6">
        <f t="shared" si="51"/>
        <v>1</v>
      </c>
      <c r="AD282" s="563">
        <f t="shared" si="54"/>
        <v>1</v>
      </c>
      <c r="AE282" s="64"/>
      <c r="AF282" s="31">
        <v>145000</v>
      </c>
      <c r="AG282" s="31">
        <v>5000</v>
      </c>
      <c r="AH282" s="31">
        <v>0</v>
      </c>
      <c r="AI282" s="31">
        <v>0</v>
      </c>
      <c r="AJ282" s="31">
        <v>150000</v>
      </c>
      <c r="AK282" s="31">
        <v>160000</v>
      </c>
      <c r="AL282" s="31">
        <v>0</v>
      </c>
      <c r="AM282" s="56">
        <v>160000</v>
      </c>
      <c r="AN282" s="31">
        <v>150000</v>
      </c>
      <c r="AO282" s="31" t="s">
        <v>1568</v>
      </c>
      <c r="AP282" s="23" t="s">
        <v>187</v>
      </c>
      <c r="AQ282" s="23" t="s">
        <v>1284</v>
      </c>
    </row>
    <row r="283" spans="1:43">
      <c r="A283" s="42">
        <v>280</v>
      </c>
      <c r="B283" s="42">
        <v>116</v>
      </c>
      <c r="C283" s="576" t="str">
        <f t="shared" si="44"/>
        <v>コアプラスレジデンス梅田</v>
      </c>
      <c r="D283" s="45" t="s">
        <v>1589</v>
      </c>
      <c r="E283" s="46">
        <v>55.01</v>
      </c>
      <c r="F283" s="324">
        <v>631</v>
      </c>
      <c r="G283" s="566" t="str">
        <f t="shared" si="45"/>
        <v>住居</v>
      </c>
      <c r="H283" s="44" t="s">
        <v>1717</v>
      </c>
      <c r="I283" s="325">
        <v>120000</v>
      </c>
      <c r="J283" s="325">
        <v>5000</v>
      </c>
      <c r="K283" s="325">
        <v>0</v>
      </c>
      <c r="L283" s="325">
        <v>0</v>
      </c>
      <c r="M283" s="565">
        <f t="shared" si="52"/>
        <v>125000</v>
      </c>
      <c r="N283" s="326">
        <v>125000</v>
      </c>
      <c r="O283" s="326">
        <v>0</v>
      </c>
      <c r="P283" s="565">
        <f t="shared" si="46"/>
        <v>125000</v>
      </c>
      <c r="Q283" s="565">
        <f t="shared" si="53"/>
        <v>125000</v>
      </c>
      <c r="R283" s="325" t="s">
        <v>1568</v>
      </c>
      <c r="S283" s="325" t="s">
        <v>187</v>
      </c>
      <c r="T283" s="327" t="s">
        <v>1284</v>
      </c>
      <c r="V283" s="43" t="s">
        <v>1973</v>
      </c>
      <c r="W283" s="55">
        <v>125000</v>
      </c>
      <c r="Y283" s="6">
        <f t="shared" si="47"/>
        <v>1</v>
      </c>
      <c r="Z283" s="562">
        <f t="shared" si="48"/>
        <v>125000</v>
      </c>
      <c r="AA283" s="122">
        <f t="shared" si="49"/>
        <v>0</v>
      </c>
      <c r="AB283" s="122">
        <f t="shared" si="50"/>
        <v>0</v>
      </c>
      <c r="AC283" s="6">
        <f t="shared" si="51"/>
        <v>1</v>
      </c>
      <c r="AD283" s="563">
        <f t="shared" si="54"/>
        <v>1</v>
      </c>
      <c r="AE283" s="64"/>
      <c r="AF283" s="31">
        <v>120000</v>
      </c>
      <c r="AG283" s="31">
        <v>5000</v>
      </c>
      <c r="AH283" s="31">
        <v>0</v>
      </c>
      <c r="AI283" s="31">
        <v>0</v>
      </c>
      <c r="AJ283" s="31">
        <v>125000</v>
      </c>
      <c r="AK283" s="31">
        <v>125000</v>
      </c>
      <c r="AL283" s="31">
        <v>0</v>
      </c>
      <c r="AM283" s="56">
        <v>125000</v>
      </c>
      <c r="AN283" s="31">
        <v>125000</v>
      </c>
      <c r="AO283" s="31" t="s">
        <v>1568</v>
      </c>
      <c r="AP283" s="23" t="s">
        <v>187</v>
      </c>
      <c r="AQ283" s="23" t="s">
        <v>1284</v>
      </c>
    </row>
    <row r="284" spans="1:43">
      <c r="A284" s="42">
        <v>281</v>
      </c>
      <c r="B284" s="42">
        <v>116</v>
      </c>
      <c r="C284" s="576" t="str">
        <f t="shared" si="44"/>
        <v>コアプラスレジデンス梅田</v>
      </c>
      <c r="D284" s="45" t="s">
        <v>1591</v>
      </c>
      <c r="E284" s="46">
        <v>62.38</v>
      </c>
      <c r="F284" s="324">
        <v>631</v>
      </c>
      <c r="G284" s="566" t="str">
        <f t="shared" si="45"/>
        <v>住居</v>
      </c>
      <c r="H284" s="44" t="s">
        <v>1717</v>
      </c>
      <c r="I284" s="325">
        <v>153000</v>
      </c>
      <c r="J284" s="325">
        <v>5000</v>
      </c>
      <c r="K284" s="325">
        <v>0</v>
      </c>
      <c r="L284" s="325">
        <v>0</v>
      </c>
      <c r="M284" s="565">
        <f t="shared" si="52"/>
        <v>158000</v>
      </c>
      <c r="N284" s="326">
        <v>155000</v>
      </c>
      <c r="O284" s="326">
        <v>0</v>
      </c>
      <c r="P284" s="565">
        <f t="shared" si="46"/>
        <v>155000</v>
      </c>
      <c r="Q284" s="565">
        <f t="shared" si="53"/>
        <v>158000</v>
      </c>
      <c r="R284" s="325" t="s">
        <v>1568</v>
      </c>
      <c r="S284" s="325" t="s">
        <v>187</v>
      </c>
      <c r="T284" s="327" t="s">
        <v>1284</v>
      </c>
      <c r="V284" s="43" t="s">
        <v>1974</v>
      </c>
      <c r="W284" s="55">
        <v>140000</v>
      </c>
      <c r="Y284" s="6">
        <f t="shared" si="47"/>
        <v>1</v>
      </c>
      <c r="Z284" s="562">
        <f t="shared" si="48"/>
        <v>158000</v>
      </c>
      <c r="AA284" s="122">
        <f t="shared" si="49"/>
        <v>-3000</v>
      </c>
      <c r="AB284" s="122">
        <f t="shared" si="50"/>
        <v>18000</v>
      </c>
      <c r="AC284" s="6">
        <f t="shared" si="51"/>
        <v>1</v>
      </c>
      <c r="AD284" s="563">
        <f t="shared" si="54"/>
        <v>1</v>
      </c>
      <c r="AE284" s="64"/>
      <c r="AF284" s="31">
        <v>153000</v>
      </c>
      <c r="AG284" s="31">
        <v>5000</v>
      </c>
      <c r="AH284" s="31">
        <v>0</v>
      </c>
      <c r="AI284" s="31">
        <v>0</v>
      </c>
      <c r="AJ284" s="31">
        <v>158000</v>
      </c>
      <c r="AK284" s="31">
        <v>155000</v>
      </c>
      <c r="AL284" s="31">
        <v>0</v>
      </c>
      <c r="AM284" s="56">
        <v>155000</v>
      </c>
      <c r="AN284" s="31">
        <v>158000</v>
      </c>
      <c r="AO284" s="31" t="s">
        <v>1568</v>
      </c>
      <c r="AP284" s="23" t="s">
        <v>187</v>
      </c>
      <c r="AQ284" s="23" t="s">
        <v>1284</v>
      </c>
    </row>
    <row r="285" spans="1:43">
      <c r="A285" s="42">
        <v>282</v>
      </c>
      <c r="B285" s="42">
        <v>116</v>
      </c>
      <c r="C285" s="576" t="str">
        <f t="shared" si="44"/>
        <v>コアプラスレジデンス梅田</v>
      </c>
      <c r="D285" s="45" t="s">
        <v>1603</v>
      </c>
      <c r="E285" s="46">
        <v>55.01</v>
      </c>
      <c r="F285" s="324">
        <v>631</v>
      </c>
      <c r="G285" s="566" t="str">
        <f t="shared" si="45"/>
        <v>住居</v>
      </c>
      <c r="H285" s="44" t="s">
        <v>1717</v>
      </c>
      <c r="I285" s="325">
        <v>143000</v>
      </c>
      <c r="J285" s="325">
        <v>5000</v>
      </c>
      <c r="K285" s="325">
        <v>0</v>
      </c>
      <c r="L285" s="325">
        <v>0</v>
      </c>
      <c r="M285" s="565">
        <f t="shared" si="52"/>
        <v>148000</v>
      </c>
      <c r="N285" s="326">
        <v>140000</v>
      </c>
      <c r="O285" s="326">
        <v>0</v>
      </c>
      <c r="P285" s="565">
        <f t="shared" si="46"/>
        <v>140000</v>
      </c>
      <c r="Q285" s="565">
        <f t="shared" si="53"/>
        <v>148000</v>
      </c>
      <c r="R285" s="325" t="s">
        <v>1578</v>
      </c>
      <c r="S285" s="325" t="s">
        <v>187</v>
      </c>
      <c r="T285" s="327" t="s">
        <v>1284</v>
      </c>
      <c r="V285" s="43" t="s">
        <v>1975</v>
      </c>
      <c r="W285" s="55">
        <v>130000</v>
      </c>
      <c r="Y285" s="6">
        <f t="shared" si="47"/>
        <v>1</v>
      </c>
      <c r="Z285" s="562">
        <f t="shared" si="48"/>
        <v>148000</v>
      </c>
      <c r="AA285" s="122">
        <f t="shared" si="49"/>
        <v>-8000</v>
      </c>
      <c r="AB285" s="122">
        <f t="shared" si="50"/>
        <v>18000</v>
      </c>
      <c r="AC285" s="6">
        <f t="shared" si="51"/>
        <v>1</v>
      </c>
      <c r="AD285" s="563">
        <f t="shared" si="54"/>
        <v>1</v>
      </c>
      <c r="AE285" s="64"/>
      <c r="AF285" s="31">
        <v>143000</v>
      </c>
      <c r="AG285" s="31">
        <v>5000</v>
      </c>
      <c r="AH285" s="31">
        <v>0</v>
      </c>
      <c r="AI285" s="31">
        <v>0</v>
      </c>
      <c r="AJ285" s="31">
        <v>148000</v>
      </c>
      <c r="AK285" s="31">
        <v>140000</v>
      </c>
      <c r="AL285" s="31">
        <v>0</v>
      </c>
      <c r="AM285" s="56">
        <v>140000</v>
      </c>
      <c r="AN285" s="31">
        <v>148000</v>
      </c>
      <c r="AO285" s="31" t="s">
        <v>1578</v>
      </c>
      <c r="AP285" s="23" t="s">
        <v>187</v>
      </c>
      <c r="AQ285" s="23" t="s">
        <v>1284</v>
      </c>
    </row>
    <row r="286" spans="1:43">
      <c r="A286" s="42">
        <v>283</v>
      </c>
      <c r="B286" s="42">
        <v>116</v>
      </c>
      <c r="C286" s="576" t="str">
        <f t="shared" si="44"/>
        <v>コアプラスレジデンス梅田</v>
      </c>
      <c r="D286" s="45" t="s">
        <v>1605</v>
      </c>
      <c r="E286" s="46">
        <v>62.38</v>
      </c>
      <c r="F286" s="324">
        <v>631</v>
      </c>
      <c r="G286" s="566" t="str">
        <f t="shared" si="45"/>
        <v>住居</v>
      </c>
      <c r="H286" s="44" t="s">
        <v>1717</v>
      </c>
      <c r="I286" s="325">
        <v>153000</v>
      </c>
      <c r="J286" s="325">
        <v>5000</v>
      </c>
      <c r="K286" s="325">
        <v>0</v>
      </c>
      <c r="L286" s="325">
        <v>0</v>
      </c>
      <c r="M286" s="565">
        <f t="shared" si="52"/>
        <v>158000</v>
      </c>
      <c r="N286" s="326">
        <v>141000</v>
      </c>
      <c r="O286" s="326">
        <v>0</v>
      </c>
      <c r="P286" s="565">
        <f t="shared" si="46"/>
        <v>141000</v>
      </c>
      <c r="Q286" s="565">
        <f t="shared" si="53"/>
        <v>158000</v>
      </c>
      <c r="R286" s="325" t="s">
        <v>1568</v>
      </c>
      <c r="S286" s="325" t="s">
        <v>187</v>
      </c>
      <c r="T286" s="327" t="s">
        <v>1284</v>
      </c>
      <c r="V286" s="43" t="s">
        <v>1976</v>
      </c>
      <c r="W286" s="55">
        <v>130000</v>
      </c>
      <c r="Y286" s="6">
        <f t="shared" si="47"/>
        <v>1</v>
      </c>
      <c r="Z286" s="562">
        <f t="shared" si="48"/>
        <v>158000</v>
      </c>
      <c r="AA286" s="122">
        <f t="shared" si="49"/>
        <v>-17000</v>
      </c>
      <c r="AB286" s="122">
        <f t="shared" si="50"/>
        <v>28000</v>
      </c>
      <c r="AC286" s="6">
        <f t="shared" si="51"/>
        <v>1</v>
      </c>
      <c r="AD286" s="563">
        <f t="shared" si="54"/>
        <v>1</v>
      </c>
      <c r="AE286" s="64"/>
      <c r="AF286" s="31">
        <v>153000</v>
      </c>
      <c r="AG286" s="31">
        <v>5000</v>
      </c>
      <c r="AH286" s="31">
        <v>0</v>
      </c>
      <c r="AI286" s="31">
        <v>0</v>
      </c>
      <c r="AJ286" s="31">
        <v>158000</v>
      </c>
      <c r="AK286" s="31">
        <v>141000</v>
      </c>
      <c r="AL286" s="31">
        <v>0</v>
      </c>
      <c r="AM286" s="56">
        <v>141000</v>
      </c>
      <c r="AN286" s="31">
        <v>158000</v>
      </c>
      <c r="AO286" s="31" t="s">
        <v>1568</v>
      </c>
      <c r="AP286" s="23" t="s">
        <v>187</v>
      </c>
      <c r="AQ286" s="23" t="s">
        <v>1284</v>
      </c>
    </row>
    <row r="287" spans="1:43">
      <c r="A287" s="42">
        <v>284</v>
      </c>
      <c r="B287" s="42">
        <v>116</v>
      </c>
      <c r="C287" s="576" t="str">
        <f t="shared" si="44"/>
        <v>コアプラスレジデンス梅田</v>
      </c>
      <c r="D287" s="45" t="s">
        <v>1695</v>
      </c>
      <c r="E287" s="46">
        <v>55.01</v>
      </c>
      <c r="F287" s="324">
        <v>631</v>
      </c>
      <c r="G287" s="566" t="str">
        <f t="shared" si="45"/>
        <v>住居</v>
      </c>
      <c r="H287" s="44" t="s">
        <v>1717</v>
      </c>
      <c r="I287" s="325">
        <v>140000</v>
      </c>
      <c r="J287" s="325">
        <v>5000</v>
      </c>
      <c r="K287" s="325">
        <v>0</v>
      </c>
      <c r="L287" s="325">
        <v>0</v>
      </c>
      <c r="M287" s="565">
        <f t="shared" si="52"/>
        <v>145000</v>
      </c>
      <c r="N287" s="326">
        <v>130000</v>
      </c>
      <c r="O287" s="326">
        <v>0</v>
      </c>
      <c r="P287" s="565">
        <f t="shared" si="46"/>
        <v>130000</v>
      </c>
      <c r="Q287" s="565">
        <f t="shared" si="53"/>
        <v>145000</v>
      </c>
      <c r="R287" s="325" t="s">
        <v>1568</v>
      </c>
      <c r="S287" s="325" t="s">
        <v>187</v>
      </c>
      <c r="T287" s="327" t="s">
        <v>1284</v>
      </c>
      <c r="V287" s="43" t="s">
        <v>1977</v>
      </c>
      <c r="W287" s="55">
        <v>130000</v>
      </c>
      <c r="Y287" s="6">
        <f t="shared" si="47"/>
        <v>1</v>
      </c>
      <c r="Z287" s="562">
        <f t="shared" si="48"/>
        <v>145000</v>
      </c>
      <c r="AA287" s="122">
        <f t="shared" si="49"/>
        <v>-15000</v>
      </c>
      <c r="AB287" s="122">
        <f t="shared" si="50"/>
        <v>15000</v>
      </c>
      <c r="AC287" s="6">
        <f t="shared" si="51"/>
        <v>1</v>
      </c>
      <c r="AD287" s="563">
        <f t="shared" si="54"/>
        <v>1</v>
      </c>
      <c r="AE287" s="64"/>
      <c r="AF287" s="31">
        <v>140000</v>
      </c>
      <c r="AG287" s="31">
        <v>5000</v>
      </c>
      <c r="AH287" s="31">
        <v>0</v>
      </c>
      <c r="AI287" s="31">
        <v>0</v>
      </c>
      <c r="AJ287" s="31">
        <v>145000</v>
      </c>
      <c r="AK287" s="31">
        <v>130000</v>
      </c>
      <c r="AL287" s="31">
        <v>0</v>
      </c>
      <c r="AM287" s="56">
        <v>130000</v>
      </c>
      <c r="AN287" s="31">
        <v>145000</v>
      </c>
      <c r="AO287" s="31" t="s">
        <v>1568</v>
      </c>
      <c r="AP287" s="23" t="s">
        <v>187</v>
      </c>
      <c r="AQ287" s="23" t="s">
        <v>1284</v>
      </c>
    </row>
    <row r="288" spans="1:43">
      <c r="A288" s="42">
        <v>285</v>
      </c>
      <c r="B288" s="42">
        <v>116</v>
      </c>
      <c r="C288" s="576" t="str">
        <f t="shared" si="44"/>
        <v>コアプラスレジデンス梅田</v>
      </c>
      <c r="D288" s="45" t="s">
        <v>1697</v>
      </c>
      <c r="E288" s="46">
        <v>60</v>
      </c>
      <c r="F288" s="324">
        <v>631</v>
      </c>
      <c r="G288" s="566" t="str">
        <f t="shared" si="45"/>
        <v>住居</v>
      </c>
      <c r="H288" s="44" t="s">
        <v>1717</v>
      </c>
      <c r="I288" s="325">
        <v>135000</v>
      </c>
      <c r="J288" s="325">
        <v>0</v>
      </c>
      <c r="K288" s="325">
        <v>0</v>
      </c>
      <c r="L288" s="325">
        <v>0</v>
      </c>
      <c r="M288" s="565">
        <f t="shared" si="52"/>
        <v>135000</v>
      </c>
      <c r="N288" s="326">
        <v>135000</v>
      </c>
      <c r="O288" s="326">
        <v>0</v>
      </c>
      <c r="P288" s="565">
        <f t="shared" si="46"/>
        <v>135000</v>
      </c>
      <c r="Q288" s="565">
        <f t="shared" si="53"/>
        <v>135000</v>
      </c>
      <c r="R288" s="325" t="s">
        <v>1568</v>
      </c>
      <c r="S288" s="325" t="s">
        <v>187</v>
      </c>
      <c r="T288" s="327" t="s">
        <v>1284</v>
      </c>
      <c r="V288" s="43" t="s">
        <v>1978</v>
      </c>
      <c r="W288" s="55">
        <v>135000</v>
      </c>
      <c r="Y288" s="6">
        <f t="shared" si="47"/>
        <v>1</v>
      </c>
      <c r="Z288" s="562">
        <f t="shared" si="48"/>
        <v>135000</v>
      </c>
      <c r="AA288" s="122">
        <f t="shared" si="49"/>
        <v>0</v>
      </c>
      <c r="AB288" s="122">
        <f t="shared" si="50"/>
        <v>0</v>
      </c>
      <c r="AC288" s="6">
        <f t="shared" si="51"/>
        <v>1</v>
      </c>
      <c r="AD288" s="563">
        <f t="shared" si="54"/>
        <v>1</v>
      </c>
      <c r="AE288" s="64"/>
      <c r="AF288" s="31">
        <v>135000</v>
      </c>
      <c r="AG288" s="31">
        <v>0</v>
      </c>
      <c r="AH288" s="31">
        <v>0</v>
      </c>
      <c r="AI288" s="31">
        <v>0</v>
      </c>
      <c r="AJ288" s="31">
        <v>135000</v>
      </c>
      <c r="AK288" s="31">
        <v>135000</v>
      </c>
      <c r="AL288" s="31">
        <v>0</v>
      </c>
      <c r="AM288" s="56">
        <v>135000</v>
      </c>
      <c r="AN288" s="31">
        <v>135000</v>
      </c>
      <c r="AO288" s="31" t="s">
        <v>1568</v>
      </c>
      <c r="AP288" s="23" t="s">
        <v>187</v>
      </c>
      <c r="AQ288" s="23" t="s">
        <v>1284</v>
      </c>
    </row>
    <row r="289" spans="1:43">
      <c r="A289" s="42">
        <v>286</v>
      </c>
      <c r="B289" s="42">
        <v>116</v>
      </c>
      <c r="C289" s="576" t="str">
        <f t="shared" si="44"/>
        <v>コアプラスレジデンス梅田</v>
      </c>
      <c r="D289" s="45" t="s">
        <v>1741</v>
      </c>
      <c r="E289" s="46">
        <v>65</v>
      </c>
      <c r="F289" s="324">
        <v>631</v>
      </c>
      <c r="G289" s="566" t="str">
        <f t="shared" si="45"/>
        <v>住居</v>
      </c>
      <c r="H289" s="44" t="s">
        <v>1717</v>
      </c>
      <c r="I289" s="325">
        <v>145000</v>
      </c>
      <c r="J289" s="325">
        <v>5000</v>
      </c>
      <c r="K289" s="325">
        <v>0</v>
      </c>
      <c r="L289" s="325">
        <v>0</v>
      </c>
      <c r="M289" s="565">
        <f t="shared" si="52"/>
        <v>150000</v>
      </c>
      <c r="N289" s="326">
        <v>140000</v>
      </c>
      <c r="O289" s="326">
        <v>0</v>
      </c>
      <c r="P289" s="565">
        <f t="shared" si="46"/>
        <v>140000</v>
      </c>
      <c r="Q289" s="565">
        <f t="shared" si="53"/>
        <v>150000</v>
      </c>
      <c r="R289" s="325" t="s">
        <v>1578</v>
      </c>
      <c r="S289" s="325" t="s">
        <v>187</v>
      </c>
      <c r="T289" s="327" t="s">
        <v>1284</v>
      </c>
      <c r="V289" s="43" t="s">
        <v>1979</v>
      </c>
      <c r="W289" s="55">
        <v>130000</v>
      </c>
      <c r="Y289" s="6">
        <f t="shared" si="47"/>
        <v>1</v>
      </c>
      <c r="Z289" s="562">
        <f t="shared" si="48"/>
        <v>150000</v>
      </c>
      <c r="AA289" s="122">
        <f t="shared" si="49"/>
        <v>-10000</v>
      </c>
      <c r="AB289" s="122">
        <f t="shared" si="50"/>
        <v>20000</v>
      </c>
      <c r="AC289" s="6">
        <f t="shared" si="51"/>
        <v>1</v>
      </c>
      <c r="AD289" s="563">
        <f t="shared" si="54"/>
        <v>1</v>
      </c>
      <c r="AE289" s="64"/>
      <c r="AF289" s="31">
        <v>145000</v>
      </c>
      <c r="AG289" s="31">
        <v>5000</v>
      </c>
      <c r="AH289" s="31">
        <v>0</v>
      </c>
      <c r="AI289" s="31">
        <v>0</v>
      </c>
      <c r="AJ289" s="31">
        <v>150000</v>
      </c>
      <c r="AK289" s="31">
        <v>140000</v>
      </c>
      <c r="AL289" s="31">
        <v>0</v>
      </c>
      <c r="AM289" s="56">
        <v>140000</v>
      </c>
      <c r="AN289" s="31">
        <v>150000</v>
      </c>
      <c r="AO289" s="31" t="s">
        <v>1578</v>
      </c>
      <c r="AP289" s="23" t="s">
        <v>187</v>
      </c>
      <c r="AQ289" s="23" t="s">
        <v>1284</v>
      </c>
    </row>
    <row r="290" spans="1:43">
      <c r="A290" s="42">
        <v>287</v>
      </c>
      <c r="B290" s="42">
        <v>116</v>
      </c>
      <c r="C290" s="576" t="str">
        <f t="shared" si="44"/>
        <v>コアプラスレジデンス梅田</v>
      </c>
      <c r="D290" s="45" t="s">
        <v>1743</v>
      </c>
      <c r="E290" s="46">
        <v>65</v>
      </c>
      <c r="F290" s="324">
        <v>631</v>
      </c>
      <c r="G290" s="566" t="str">
        <f t="shared" si="45"/>
        <v>住居</v>
      </c>
      <c r="H290" s="44" t="s">
        <v>1717</v>
      </c>
      <c r="I290" s="325">
        <v>125000</v>
      </c>
      <c r="J290" s="325">
        <v>5000</v>
      </c>
      <c r="K290" s="325">
        <v>0</v>
      </c>
      <c r="L290" s="325">
        <v>0</v>
      </c>
      <c r="M290" s="565">
        <f t="shared" si="52"/>
        <v>130000</v>
      </c>
      <c r="N290" s="326">
        <v>130000</v>
      </c>
      <c r="O290" s="326">
        <v>0</v>
      </c>
      <c r="P290" s="565">
        <f t="shared" si="46"/>
        <v>130000</v>
      </c>
      <c r="Q290" s="565">
        <f t="shared" si="53"/>
        <v>130000</v>
      </c>
      <c r="R290" s="325" t="s">
        <v>1568</v>
      </c>
      <c r="S290" s="325" t="s">
        <v>187</v>
      </c>
      <c r="T290" s="327" t="s">
        <v>1284</v>
      </c>
      <c r="V290" s="43" t="s">
        <v>1980</v>
      </c>
      <c r="W290" s="55">
        <v>130000</v>
      </c>
      <c r="Y290" s="6">
        <f t="shared" si="47"/>
        <v>1</v>
      </c>
      <c r="Z290" s="562">
        <f t="shared" si="48"/>
        <v>130000</v>
      </c>
      <c r="AA290" s="122">
        <f t="shared" si="49"/>
        <v>0</v>
      </c>
      <c r="AB290" s="122">
        <f t="shared" si="50"/>
        <v>0</v>
      </c>
      <c r="AC290" s="6">
        <f t="shared" si="51"/>
        <v>1</v>
      </c>
      <c r="AD290" s="563">
        <f t="shared" si="54"/>
        <v>1</v>
      </c>
      <c r="AE290" s="64"/>
      <c r="AF290" s="31">
        <v>125000</v>
      </c>
      <c r="AG290" s="31">
        <v>5000</v>
      </c>
      <c r="AH290" s="31">
        <v>0</v>
      </c>
      <c r="AI290" s="31">
        <v>0</v>
      </c>
      <c r="AJ290" s="31">
        <v>130000</v>
      </c>
      <c r="AK290" s="31">
        <v>130000</v>
      </c>
      <c r="AL290" s="31">
        <v>0</v>
      </c>
      <c r="AM290" s="56">
        <v>130000</v>
      </c>
      <c r="AN290" s="31">
        <v>130000</v>
      </c>
      <c r="AO290" s="31" t="s">
        <v>1568</v>
      </c>
      <c r="AP290" s="23" t="s">
        <v>187</v>
      </c>
      <c r="AQ290" s="23" t="s">
        <v>1284</v>
      </c>
    </row>
    <row r="291" spans="1:43">
      <c r="A291" s="42">
        <v>288</v>
      </c>
      <c r="B291" s="42">
        <v>116</v>
      </c>
      <c r="C291" s="576" t="str">
        <f t="shared" si="44"/>
        <v>コアプラスレジデンス梅田</v>
      </c>
      <c r="D291" s="45" t="s">
        <v>1747</v>
      </c>
      <c r="E291" s="46">
        <v>65.61</v>
      </c>
      <c r="F291" s="324">
        <v>631</v>
      </c>
      <c r="G291" s="566" t="str">
        <f t="shared" si="45"/>
        <v>住居</v>
      </c>
      <c r="H291" s="44" t="s">
        <v>1717</v>
      </c>
      <c r="I291" s="325">
        <v>138000</v>
      </c>
      <c r="J291" s="325">
        <v>2000</v>
      </c>
      <c r="K291" s="325">
        <v>0</v>
      </c>
      <c r="L291" s="325">
        <v>0</v>
      </c>
      <c r="M291" s="565">
        <f t="shared" si="52"/>
        <v>140000</v>
      </c>
      <c r="N291" s="326">
        <v>132000</v>
      </c>
      <c r="O291" s="326">
        <v>0</v>
      </c>
      <c r="P291" s="565">
        <f t="shared" si="46"/>
        <v>132000</v>
      </c>
      <c r="Q291" s="565">
        <f t="shared" si="53"/>
        <v>140000</v>
      </c>
      <c r="R291" s="325" t="s">
        <v>1568</v>
      </c>
      <c r="S291" s="325" t="s">
        <v>187</v>
      </c>
      <c r="T291" s="327" t="s">
        <v>1284</v>
      </c>
      <c r="V291" s="43" t="s">
        <v>1981</v>
      </c>
      <c r="W291" s="55">
        <v>132000</v>
      </c>
      <c r="Y291" s="6">
        <f t="shared" si="47"/>
        <v>1</v>
      </c>
      <c r="Z291" s="562">
        <f t="shared" si="48"/>
        <v>140000</v>
      </c>
      <c r="AA291" s="122">
        <f t="shared" si="49"/>
        <v>-8000</v>
      </c>
      <c r="AB291" s="122">
        <f t="shared" si="50"/>
        <v>8000</v>
      </c>
      <c r="AC291" s="6">
        <f t="shared" si="51"/>
        <v>1</v>
      </c>
      <c r="AD291" s="563">
        <f t="shared" si="54"/>
        <v>1</v>
      </c>
      <c r="AE291" s="64"/>
      <c r="AF291" s="31">
        <v>138000</v>
      </c>
      <c r="AG291" s="31">
        <v>2000</v>
      </c>
      <c r="AH291" s="31">
        <v>0</v>
      </c>
      <c r="AI291" s="31">
        <v>0</v>
      </c>
      <c r="AJ291" s="31">
        <v>140000</v>
      </c>
      <c r="AK291" s="31">
        <v>132000</v>
      </c>
      <c r="AL291" s="31">
        <v>0</v>
      </c>
      <c r="AM291" s="56">
        <v>132000</v>
      </c>
      <c r="AN291" s="31">
        <v>140000</v>
      </c>
      <c r="AO291" s="31" t="s">
        <v>1568</v>
      </c>
      <c r="AP291" s="23" t="s">
        <v>187</v>
      </c>
      <c r="AQ291" s="23" t="s">
        <v>1284</v>
      </c>
    </row>
    <row r="292" spans="1:43">
      <c r="A292" s="42">
        <v>289</v>
      </c>
      <c r="B292" s="42">
        <v>116</v>
      </c>
      <c r="C292" s="576" t="str">
        <f t="shared" si="44"/>
        <v>コアプラスレジデンス梅田</v>
      </c>
      <c r="D292" s="45" t="s">
        <v>1749</v>
      </c>
      <c r="E292" s="46">
        <v>62.38</v>
      </c>
      <c r="F292" s="324">
        <v>631</v>
      </c>
      <c r="G292" s="566" t="str">
        <f t="shared" si="45"/>
        <v>住居</v>
      </c>
      <c r="H292" s="44" t="s">
        <v>1717</v>
      </c>
      <c r="I292" s="325">
        <v>160000</v>
      </c>
      <c r="J292" s="325">
        <v>5000</v>
      </c>
      <c r="K292" s="325">
        <v>0</v>
      </c>
      <c r="L292" s="325">
        <v>0</v>
      </c>
      <c r="M292" s="565">
        <f t="shared" si="52"/>
        <v>165000</v>
      </c>
      <c r="N292" s="326">
        <v>135000</v>
      </c>
      <c r="O292" s="326">
        <v>0</v>
      </c>
      <c r="P292" s="565">
        <f t="shared" si="46"/>
        <v>135000</v>
      </c>
      <c r="Q292" s="565">
        <f t="shared" si="53"/>
        <v>165000</v>
      </c>
      <c r="R292" s="325" t="s">
        <v>1578</v>
      </c>
      <c r="S292" s="325" t="s">
        <v>187</v>
      </c>
      <c r="T292" s="327" t="s">
        <v>1284</v>
      </c>
      <c r="V292" s="43" t="s">
        <v>1982</v>
      </c>
      <c r="W292" s="55">
        <v>135000</v>
      </c>
      <c r="Y292" s="6">
        <f t="shared" si="47"/>
        <v>1</v>
      </c>
      <c r="Z292" s="562">
        <f t="shared" si="48"/>
        <v>165000</v>
      </c>
      <c r="AA292" s="122">
        <f t="shared" si="49"/>
        <v>-30000</v>
      </c>
      <c r="AB292" s="122">
        <f t="shared" si="50"/>
        <v>30000</v>
      </c>
      <c r="AC292" s="6">
        <f t="shared" si="51"/>
        <v>1</v>
      </c>
      <c r="AD292" s="563">
        <f t="shared" si="54"/>
        <v>1</v>
      </c>
      <c r="AE292" s="64"/>
      <c r="AF292" s="31">
        <v>160000</v>
      </c>
      <c r="AG292" s="31">
        <v>5000</v>
      </c>
      <c r="AH292" s="31">
        <v>0</v>
      </c>
      <c r="AI292" s="31">
        <v>0</v>
      </c>
      <c r="AJ292" s="31">
        <v>165000</v>
      </c>
      <c r="AK292" s="31">
        <v>135000</v>
      </c>
      <c r="AL292" s="31">
        <v>0</v>
      </c>
      <c r="AM292" s="56">
        <v>135000</v>
      </c>
      <c r="AN292" s="31">
        <v>165000</v>
      </c>
      <c r="AO292" s="31" t="s">
        <v>1578</v>
      </c>
      <c r="AP292" s="23" t="s">
        <v>187</v>
      </c>
      <c r="AQ292" s="23" t="s">
        <v>1284</v>
      </c>
    </row>
    <row r="293" spans="1:43">
      <c r="A293" s="42">
        <v>290</v>
      </c>
      <c r="B293" s="42">
        <v>116</v>
      </c>
      <c r="C293" s="576" t="str">
        <f t="shared" si="44"/>
        <v>コアプラスレジデンス梅田</v>
      </c>
      <c r="D293" s="45" t="s">
        <v>1983</v>
      </c>
      <c r="E293" s="46">
        <v>40</v>
      </c>
      <c r="F293" s="324">
        <v>631</v>
      </c>
      <c r="G293" s="566" t="str">
        <f t="shared" si="45"/>
        <v>住居</v>
      </c>
      <c r="H293" s="44" t="s">
        <v>1831</v>
      </c>
      <c r="I293" s="325">
        <v>135000</v>
      </c>
      <c r="J293" s="325">
        <v>5000</v>
      </c>
      <c r="K293" s="325">
        <v>0</v>
      </c>
      <c r="L293" s="325">
        <v>0</v>
      </c>
      <c r="M293" s="565">
        <f t="shared" si="52"/>
        <v>140000</v>
      </c>
      <c r="N293" s="326">
        <v>140000</v>
      </c>
      <c r="O293" s="326">
        <v>0</v>
      </c>
      <c r="P293" s="565">
        <f t="shared" si="46"/>
        <v>140000</v>
      </c>
      <c r="Q293" s="565">
        <f t="shared" si="53"/>
        <v>140000</v>
      </c>
      <c r="R293" s="325" t="s">
        <v>1578</v>
      </c>
      <c r="S293" s="325" t="s">
        <v>187</v>
      </c>
      <c r="T293" s="327" t="s">
        <v>1284</v>
      </c>
      <c r="V293" s="43" t="s">
        <v>1984</v>
      </c>
      <c r="W293" s="55">
        <v>180000</v>
      </c>
      <c r="Y293" s="6">
        <f t="shared" si="47"/>
        <v>1</v>
      </c>
      <c r="Z293" s="562">
        <f t="shared" si="48"/>
        <v>140000</v>
      </c>
      <c r="AA293" s="122">
        <f t="shared" si="49"/>
        <v>0</v>
      </c>
      <c r="AB293" s="122">
        <f t="shared" si="50"/>
        <v>-40000</v>
      </c>
      <c r="AC293" s="6">
        <f t="shared" si="51"/>
        <v>1</v>
      </c>
      <c r="AD293" s="563">
        <f t="shared" si="54"/>
        <v>1</v>
      </c>
      <c r="AE293" s="64"/>
      <c r="AF293" s="31">
        <v>135000</v>
      </c>
      <c r="AG293" s="31">
        <v>5000</v>
      </c>
      <c r="AH293" s="31">
        <v>0</v>
      </c>
      <c r="AI293" s="31">
        <v>0</v>
      </c>
      <c r="AJ293" s="31">
        <v>140000</v>
      </c>
      <c r="AK293" s="31">
        <v>140000</v>
      </c>
      <c r="AL293" s="31">
        <v>0</v>
      </c>
      <c r="AM293" s="56">
        <v>140000</v>
      </c>
      <c r="AN293" s="31">
        <v>140000</v>
      </c>
      <c r="AO293" s="31" t="s">
        <v>1578</v>
      </c>
      <c r="AP293" s="23" t="s">
        <v>187</v>
      </c>
      <c r="AQ293" s="23" t="s">
        <v>1284</v>
      </c>
    </row>
    <row r="294" spans="1:43">
      <c r="A294" s="42">
        <v>291</v>
      </c>
      <c r="B294" s="42">
        <v>116</v>
      </c>
      <c r="C294" s="576" t="str">
        <f t="shared" si="44"/>
        <v>コアプラスレジデンス梅田</v>
      </c>
      <c r="D294" s="45" t="s">
        <v>1985</v>
      </c>
      <c r="E294" s="46">
        <v>62</v>
      </c>
      <c r="F294" s="324">
        <v>631</v>
      </c>
      <c r="G294" s="566" t="str">
        <f t="shared" si="45"/>
        <v>住居</v>
      </c>
      <c r="H294" s="44" t="s">
        <v>1688</v>
      </c>
      <c r="I294" s="325">
        <v>170000</v>
      </c>
      <c r="J294" s="325">
        <v>5000</v>
      </c>
      <c r="K294" s="325">
        <v>0</v>
      </c>
      <c r="L294" s="325">
        <v>0</v>
      </c>
      <c r="M294" s="565">
        <f t="shared" si="52"/>
        <v>175000</v>
      </c>
      <c r="N294" s="326">
        <v>175000</v>
      </c>
      <c r="O294" s="326">
        <v>0</v>
      </c>
      <c r="P294" s="565">
        <f t="shared" si="46"/>
        <v>175000</v>
      </c>
      <c r="Q294" s="565">
        <f t="shared" si="53"/>
        <v>175000</v>
      </c>
      <c r="R294" s="325" t="s">
        <v>1718</v>
      </c>
      <c r="S294" s="325" t="s">
        <v>187</v>
      </c>
      <c r="T294" s="327" t="s">
        <v>1284</v>
      </c>
      <c r="V294" s="43" t="s">
        <v>1986</v>
      </c>
      <c r="W294" s="55">
        <v>175000</v>
      </c>
      <c r="Y294" s="6">
        <f t="shared" si="47"/>
        <v>1</v>
      </c>
      <c r="Z294" s="562">
        <f t="shared" si="48"/>
        <v>175000</v>
      </c>
      <c r="AA294" s="122">
        <f t="shared" si="49"/>
        <v>0</v>
      </c>
      <c r="AB294" s="122">
        <f t="shared" si="50"/>
        <v>0</v>
      </c>
      <c r="AC294" s="6">
        <f t="shared" si="51"/>
        <v>1</v>
      </c>
      <c r="AD294" s="563">
        <f t="shared" si="54"/>
        <v>1</v>
      </c>
      <c r="AE294" s="64"/>
      <c r="AF294" s="31">
        <v>170000</v>
      </c>
      <c r="AG294" s="31">
        <v>5000</v>
      </c>
      <c r="AH294" s="31">
        <v>0</v>
      </c>
      <c r="AI294" s="31">
        <v>0</v>
      </c>
      <c r="AJ294" s="31">
        <v>175000</v>
      </c>
      <c r="AK294" s="31">
        <v>175000</v>
      </c>
      <c r="AL294" s="31">
        <v>0</v>
      </c>
      <c r="AM294" s="56">
        <v>175000</v>
      </c>
      <c r="AN294" s="31">
        <v>175000</v>
      </c>
      <c r="AO294" s="31" t="s">
        <v>1718</v>
      </c>
      <c r="AP294" s="23" t="s">
        <v>187</v>
      </c>
      <c r="AQ294" s="23" t="s">
        <v>1284</v>
      </c>
    </row>
    <row r="295" spans="1:43">
      <c r="A295" s="42">
        <v>292</v>
      </c>
      <c r="B295" s="42">
        <v>116</v>
      </c>
      <c r="C295" s="576" t="str">
        <f t="shared" si="44"/>
        <v>コアプラスレジデンス梅田</v>
      </c>
      <c r="D295" s="45" t="s">
        <v>1566</v>
      </c>
      <c r="E295" s="46">
        <v>130.33000000000001</v>
      </c>
      <c r="F295" s="324">
        <v>633</v>
      </c>
      <c r="G295" s="566" t="str">
        <f t="shared" si="45"/>
        <v>店舗</v>
      </c>
      <c r="H295" s="44" t="s">
        <v>1706</v>
      </c>
      <c r="I295" s="325">
        <v>376000</v>
      </c>
      <c r="J295" s="325">
        <v>0</v>
      </c>
      <c r="K295" s="325">
        <v>0</v>
      </c>
      <c r="L295" s="325">
        <v>37600</v>
      </c>
      <c r="M295" s="565">
        <f t="shared" si="52"/>
        <v>413600</v>
      </c>
      <c r="N295" s="326">
        <v>376000</v>
      </c>
      <c r="O295" s="326">
        <v>37599.999999999993</v>
      </c>
      <c r="P295" s="565">
        <f t="shared" si="46"/>
        <v>413600</v>
      </c>
      <c r="Q295" s="565">
        <f t="shared" si="53"/>
        <v>413600</v>
      </c>
      <c r="R295" s="325" t="s">
        <v>1568</v>
      </c>
      <c r="S295" s="325" t="s">
        <v>187</v>
      </c>
      <c r="T295" s="327" t="s">
        <v>1284</v>
      </c>
      <c r="V295" s="43" t="s">
        <v>1987</v>
      </c>
      <c r="W295" s="55">
        <v>350000</v>
      </c>
      <c r="Y295" s="6">
        <f t="shared" si="47"/>
        <v>1</v>
      </c>
      <c r="Z295" s="562">
        <f t="shared" si="48"/>
        <v>376000</v>
      </c>
      <c r="AA295" s="122">
        <f t="shared" si="49"/>
        <v>0</v>
      </c>
      <c r="AB295" s="122">
        <f t="shared" si="50"/>
        <v>26000</v>
      </c>
      <c r="AC295" s="6">
        <f t="shared" si="51"/>
        <v>1</v>
      </c>
      <c r="AD295" s="563">
        <f t="shared" si="54"/>
        <v>1</v>
      </c>
      <c r="AE295" s="64"/>
      <c r="AF295" s="31">
        <v>376000</v>
      </c>
      <c r="AG295" s="31">
        <v>0</v>
      </c>
      <c r="AH295" s="31">
        <v>0</v>
      </c>
      <c r="AI295" s="31">
        <v>37600</v>
      </c>
      <c r="AJ295" s="31">
        <v>413600</v>
      </c>
      <c r="AK295" s="31">
        <v>376000</v>
      </c>
      <c r="AL295" s="31">
        <v>37599.999999999993</v>
      </c>
      <c r="AM295" s="56">
        <v>413600</v>
      </c>
      <c r="AN295" s="31">
        <v>413600</v>
      </c>
      <c r="AO295" s="31" t="s">
        <v>1568</v>
      </c>
      <c r="AP295" s="23" t="s">
        <v>187</v>
      </c>
      <c r="AQ295" s="23" t="s">
        <v>1284</v>
      </c>
    </row>
    <row r="296" spans="1:43">
      <c r="A296" s="42">
        <v>293</v>
      </c>
      <c r="B296" s="42">
        <v>116</v>
      </c>
      <c r="C296" s="576" t="str">
        <f t="shared" si="44"/>
        <v>コアプラスレジデンス梅田</v>
      </c>
      <c r="D296" s="45" t="s">
        <v>1618</v>
      </c>
      <c r="E296" s="46">
        <v>0</v>
      </c>
      <c r="F296" s="324">
        <v>635</v>
      </c>
      <c r="G296" s="566" t="str">
        <f t="shared" si="45"/>
        <v>アンテナ</v>
      </c>
      <c r="H296" s="44" t="s">
        <v>729</v>
      </c>
      <c r="I296" s="325">
        <v>12000</v>
      </c>
      <c r="J296" s="325">
        <v>0</v>
      </c>
      <c r="K296" s="325">
        <v>0</v>
      </c>
      <c r="L296" s="325">
        <v>1200</v>
      </c>
      <c r="M296" s="565">
        <f t="shared" si="52"/>
        <v>13200</v>
      </c>
      <c r="N296" s="326">
        <v>12000</v>
      </c>
      <c r="O296" s="326">
        <v>1199.9999999999998</v>
      </c>
      <c r="P296" s="565">
        <f t="shared" si="46"/>
        <v>13200</v>
      </c>
      <c r="Q296" s="565">
        <f t="shared" si="53"/>
        <v>13200</v>
      </c>
      <c r="R296" s="325" t="s">
        <v>1017</v>
      </c>
      <c r="S296" s="325" t="s">
        <v>187</v>
      </c>
      <c r="T296" s="327" t="s">
        <v>1967</v>
      </c>
      <c r="V296" s="43" t="s">
        <v>1988</v>
      </c>
      <c r="W296" s="55">
        <v>0</v>
      </c>
      <c r="Y296" s="6">
        <f t="shared" si="47"/>
        <v>1</v>
      </c>
      <c r="Z296" s="562">
        <f t="shared" si="48"/>
        <v>12000</v>
      </c>
      <c r="AA296" s="122">
        <f t="shared" si="49"/>
        <v>0</v>
      </c>
      <c r="AB296" s="122">
        <f t="shared" si="50"/>
        <v>12000</v>
      </c>
      <c r="AC296" s="6">
        <f t="shared" si="51"/>
        <v>1</v>
      </c>
      <c r="AD296" s="563">
        <f t="shared" si="54"/>
        <v>1</v>
      </c>
      <c r="AE296" s="64"/>
      <c r="AF296" s="31">
        <v>12000</v>
      </c>
      <c r="AG296" s="31">
        <v>0</v>
      </c>
      <c r="AH296" s="31">
        <v>0</v>
      </c>
      <c r="AI296" s="31">
        <v>1200</v>
      </c>
      <c r="AJ296" s="31">
        <v>13200</v>
      </c>
      <c r="AK296" s="31">
        <v>12000</v>
      </c>
      <c r="AL296" s="31">
        <v>1199.9999999999998</v>
      </c>
      <c r="AM296" s="56">
        <v>13200</v>
      </c>
      <c r="AN296" s="31">
        <v>13200</v>
      </c>
      <c r="AO296" s="31" t="s">
        <v>1017</v>
      </c>
      <c r="AP296" s="23" t="s">
        <v>187</v>
      </c>
      <c r="AQ296" s="23" t="s">
        <v>1969</v>
      </c>
    </row>
    <row r="297" spans="1:43">
      <c r="A297" s="42">
        <v>294</v>
      </c>
      <c r="B297" s="42">
        <v>116</v>
      </c>
      <c r="C297" s="576" t="str">
        <f t="shared" si="44"/>
        <v>コアプラスレジデンス梅田</v>
      </c>
      <c r="D297" s="45" t="s">
        <v>1622</v>
      </c>
      <c r="E297" s="46" t="s">
        <v>1017</v>
      </c>
      <c r="F297" s="324">
        <v>639</v>
      </c>
      <c r="G297" s="566" t="str">
        <f t="shared" si="45"/>
        <v>その他</v>
      </c>
      <c r="H297" s="44" t="s">
        <v>1789</v>
      </c>
      <c r="I297" s="325">
        <v>0</v>
      </c>
      <c r="J297" s="325">
        <v>0</v>
      </c>
      <c r="K297" s="325">
        <v>0</v>
      </c>
      <c r="L297" s="325">
        <v>0</v>
      </c>
      <c r="M297" s="565">
        <f t="shared" si="52"/>
        <v>0</v>
      </c>
      <c r="N297" s="326">
        <v>0</v>
      </c>
      <c r="O297" s="326">
        <v>0</v>
      </c>
      <c r="P297" s="565">
        <f t="shared" si="46"/>
        <v>0</v>
      </c>
      <c r="Q297" s="565">
        <f t="shared" si="53"/>
        <v>0</v>
      </c>
      <c r="R297" s="325" t="s">
        <v>1017</v>
      </c>
      <c r="S297" s="325" t="s">
        <v>283</v>
      </c>
      <c r="T297" s="327" t="s">
        <v>1989</v>
      </c>
      <c r="V297" s="43" t="s">
        <v>1990</v>
      </c>
      <c r="W297" s="55">
        <v>0</v>
      </c>
      <c r="Y297" s="6">
        <f t="shared" si="47"/>
        <v>0</v>
      </c>
      <c r="Z297" s="562">
        <f t="shared" si="48"/>
        <v>0</v>
      </c>
      <c r="AA297" s="122">
        <f t="shared" si="49"/>
        <v>0</v>
      </c>
      <c r="AB297" s="122">
        <f t="shared" si="50"/>
        <v>0</v>
      </c>
      <c r="AC297" s="6">
        <f t="shared" si="51"/>
        <v>0</v>
      </c>
      <c r="AD297" s="563">
        <f t="shared" si="54"/>
        <v>1</v>
      </c>
      <c r="AE297" s="64"/>
      <c r="AF297" s="31">
        <v>0</v>
      </c>
      <c r="AG297" s="31">
        <v>0</v>
      </c>
      <c r="AH297" s="31">
        <v>0</v>
      </c>
      <c r="AI297" s="31">
        <v>0</v>
      </c>
      <c r="AJ297" s="31">
        <v>0</v>
      </c>
      <c r="AK297" s="31">
        <v>0</v>
      </c>
      <c r="AL297" s="31">
        <v>0</v>
      </c>
      <c r="AM297" s="56">
        <v>0</v>
      </c>
      <c r="AN297" s="31">
        <v>0</v>
      </c>
      <c r="AO297" s="31" t="s">
        <v>1017</v>
      </c>
      <c r="AP297" s="23" t="s">
        <v>283</v>
      </c>
      <c r="AQ297" s="23" t="s">
        <v>1991</v>
      </c>
    </row>
    <row r="298" spans="1:43">
      <c r="A298" s="34">
        <v>295</v>
      </c>
      <c r="B298" s="34">
        <v>117</v>
      </c>
      <c r="C298" s="568" t="str">
        <f t="shared" si="44"/>
        <v>高田馬場第4玉川ビル</v>
      </c>
      <c r="D298" s="45" t="s">
        <v>1566</v>
      </c>
      <c r="E298" s="46">
        <v>89.64</v>
      </c>
      <c r="F298" s="324">
        <v>631</v>
      </c>
      <c r="G298" s="566" t="str">
        <f t="shared" si="45"/>
        <v>住居</v>
      </c>
      <c r="H298" s="44" t="s">
        <v>1992</v>
      </c>
      <c r="I298" s="325">
        <v>185000</v>
      </c>
      <c r="J298" s="325">
        <v>5000</v>
      </c>
      <c r="K298" s="325">
        <v>0</v>
      </c>
      <c r="L298" s="325">
        <v>0</v>
      </c>
      <c r="M298" s="565">
        <f t="shared" si="52"/>
        <v>190000</v>
      </c>
      <c r="N298" s="326">
        <v>190000</v>
      </c>
      <c r="O298" s="326">
        <v>0</v>
      </c>
      <c r="P298" s="565">
        <f t="shared" si="46"/>
        <v>190000</v>
      </c>
      <c r="Q298" s="565">
        <f t="shared" si="53"/>
        <v>190000</v>
      </c>
      <c r="R298" s="325" t="s">
        <v>1568</v>
      </c>
      <c r="S298" s="325" t="s">
        <v>187</v>
      </c>
      <c r="T298" s="327" t="s">
        <v>1284</v>
      </c>
      <c r="V298" s="43" t="s">
        <v>1993</v>
      </c>
      <c r="W298" s="55">
        <v>190000</v>
      </c>
      <c r="Y298" s="6">
        <f t="shared" si="47"/>
        <v>1</v>
      </c>
      <c r="Z298" s="562">
        <f t="shared" si="48"/>
        <v>190000</v>
      </c>
      <c r="AA298" s="122">
        <f t="shared" si="49"/>
        <v>0</v>
      </c>
      <c r="AB298" s="122">
        <f t="shared" si="50"/>
        <v>0</v>
      </c>
      <c r="AC298" s="6">
        <f t="shared" si="51"/>
        <v>1</v>
      </c>
      <c r="AD298" s="563">
        <f t="shared" si="54"/>
        <v>1</v>
      </c>
      <c r="AE298" s="64"/>
      <c r="AF298" s="31">
        <v>185000</v>
      </c>
      <c r="AG298" s="31">
        <v>5000</v>
      </c>
      <c r="AH298" s="31">
        <v>0</v>
      </c>
      <c r="AI298" s="31">
        <v>0</v>
      </c>
      <c r="AJ298" s="31">
        <v>190000</v>
      </c>
      <c r="AK298" s="31">
        <v>190000</v>
      </c>
      <c r="AL298" s="31">
        <v>0</v>
      </c>
      <c r="AM298" s="56">
        <v>190000</v>
      </c>
      <c r="AN298" s="31">
        <v>190000</v>
      </c>
      <c r="AO298" s="31" t="s">
        <v>1568</v>
      </c>
      <c r="AP298" s="23" t="s">
        <v>187</v>
      </c>
      <c r="AQ298" s="23" t="s">
        <v>1284</v>
      </c>
    </row>
    <row r="299" spans="1:43">
      <c r="A299" s="34">
        <v>296</v>
      </c>
      <c r="B299" s="34">
        <v>117</v>
      </c>
      <c r="C299" s="568" t="str">
        <f t="shared" si="44"/>
        <v>高田馬場第4玉川ビル</v>
      </c>
      <c r="D299" s="45" t="s">
        <v>1994</v>
      </c>
      <c r="E299" s="46">
        <v>89.64</v>
      </c>
      <c r="F299" s="324">
        <v>631</v>
      </c>
      <c r="G299" s="566" t="str">
        <f t="shared" si="45"/>
        <v>住居</v>
      </c>
      <c r="H299" s="44" t="s">
        <v>1992</v>
      </c>
      <c r="I299" s="325">
        <v>160000</v>
      </c>
      <c r="J299" s="325">
        <v>5000</v>
      </c>
      <c r="K299" s="325">
        <v>0</v>
      </c>
      <c r="L299" s="325">
        <v>0</v>
      </c>
      <c r="M299" s="565">
        <f t="shared" si="52"/>
        <v>165000</v>
      </c>
      <c r="N299" s="326">
        <v>165000</v>
      </c>
      <c r="O299" s="326">
        <v>0</v>
      </c>
      <c r="P299" s="565">
        <f t="shared" si="46"/>
        <v>165000</v>
      </c>
      <c r="Q299" s="565">
        <f t="shared" si="53"/>
        <v>165000</v>
      </c>
      <c r="R299" s="325" t="s">
        <v>1583</v>
      </c>
      <c r="S299" s="325" t="s">
        <v>187</v>
      </c>
      <c r="T299" s="327" t="s">
        <v>1284</v>
      </c>
      <c r="V299" s="43" t="s">
        <v>1995</v>
      </c>
      <c r="W299" s="55">
        <v>165000</v>
      </c>
      <c r="Y299" s="6">
        <f t="shared" si="47"/>
        <v>1</v>
      </c>
      <c r="Z299" s="562">
        <f t="shared" si="48"/>
        <v>165000</v>
      </c>
      <c r="AA299" s="122">
        <f t="shared" si="49"/>
        <v>0</v>
      </c>
      <c r="AB299" s="122">
        <f t="shared" si="50"/>
        <v>0</v>
      </c>
      <c r="AC299" s="6">
        <f t="shared" si="51"/>
        <v>1</v>
      </c>
      <c r="AD299" s="563">
        <f t="shared" si="54"/>
        <v>1</v>
      </c>
      <c r="AE299" s="64"/>
      <c r="AF299" s="31">
        <v>160000</v>
      </c>
      <c r="AG299" s="31">
        <v>5000</v>
      </c>
      <c r="AH299" s="31">
        <v>0</v>
      </c>
      <c r="AI299" s="31">
        <v>0</v>
      </c>
      <c r="AJ299" s="31">
        <v>165000</v>
      </c>
      <c r="AK299" s="31">
        <v>165000</v>
      </c>
      <c r="AL299" s="31">
        <v>0</v>
      </c>
      <c r="AM299" s="56">
        <v>165000</v>
      </c>
      <c r="AN299" s="31">
        <v>165000</v>
      </c>
      <c r="AO299" s="31" t="s">
        <v>1583</v>
      </c>
      <c r="AP299" s="23" t="s">
        <v>187</v>
      </c>
      <c r="AQ299" s="23" t="s">
        <v>1284</v>
      </c>
    </row>
    <row r="300" spans="1:43">
      <c r="A300" s="34">
        <v>297</v>
      </c>
      <c r="B300" s="34">
        <v>117</v>
      </c>
      <c r="C300" s="568" t="str">
        <f t="shared" si="44"/>
        <v>高田馬場第4玉川ビル</v>
      </c>
      <c r="D300" s="45" t="s">
        <v>1580</v>
      </c>
      <c r="E300" s="46">
        <v>31.98</v>
      </c>
      <c r="F300" s="324">
        <v>631</v>
      </c>
      <c r="G300" s="566" t="str">
        <f t="shared" si="45"/>
        <v>住居</v>
      </c>
      <c r="H300" s="44" t="s">
        <v>1996</v>
      </c>
      <c r="I300" s="325">
        <v>84000</v>
      </c>
      <c r="J300" s="325">
        <v>4000</v>
      </c>
      <c r="K300" s="325">
        <v>0</v>
      </c>
      <c r="L300" s="325">
        <v>0</v>
      </c>
      <c r="M300" s="565">
        <f t="shared" si="52"/>
        <v>88000</v>
      </c>
      <c r="N300" s="326">
        <v>88000</v>
      </c>
      <c r="O300" s="326">
        <v>0</v>
      </c>
      <c r="P300" s="565">
        <f t="shared" si="46"/>
        <v>88000</v>
      </c>
      <c r="Q300" s="565">
        <f t="shared" si="53"/>
        <v>88000</v>
      </c>
      <c r="R300" s="325" t="s">
        <v>1578</v>
      </c>
      <c r="S300" s="325" t="s">
        <v>187</v>
      </c>
      <c r="T300" s="327" t="s">
        <v>1284</v>
      </c>
      <c r="V300" s="43" t="s">
        <v>1997</v>
      </c>
      <c r="W300" s="55">
        <v>83000</v>
      </c>
      <c r="Y300" s="6">
        <f t="shared" si="47"/>
        <v>1</v>
      </c>
      <c r="Z300" s="562">
        <f t="shared" si="48"/>
        <v>88000</v>
      </c>
      <c r="AA300" s="122">
        <f>N300-Z300</f>
        <v>0</v>
      </c>
      <c r="AB300" s="122">
        <f t="shared" si="50"/>
        <v>5000</v>
      </c>
      <c r="AC300" s="6">
        <f t="shared" si="51"/>
        <v>1</v>
      </c>
      <c r="AD300" s="563">
        <f t="shared" si="54"/>
        <v>1</v>
      </c>
      <c r="AE300" s="64"/>
      <c r="AF300" s="31">
        <v>84000</v>
      </c>
      <c r="AG300" s="31">
        <v>4000</v>
      </c>
      <c r="AH300" s="31">
        <v>0</v>
      </c>
      <c r="AI300" s="31">
        <v>0</v>
      </c>
      <c r="AJ300" s="31">
        <v>88000</v>
      </c>
      <c r="AK300" s="31">
        <v>88000</v>
      </c>
      <c r="AL300" s="31">
        <v>0</v>
      </c>
      <c r="AM300" s="56">
        <v>88000</v>
      </c>
      <c r="AN300" s="31">
        <v>88000</v>
      </c>
      <c r="AO300" s="31" t="s">
        <v>1578</v>
      </c>
      <c r="AP300" s="23" t="s">
        <v>187</v>
      </c>
      <c r="AQ300" s="23" t="s">
        <v>1284</v>
      </c>
    </row>
    <row r="301" spans="1:43">
      <c r="A301" s="34">
        <v>298</v>
      </c>
      <c r="B301" s="34">
        <v>117</v>
      </c>
      <c r="C301" s="568" t="str">
        <f t="shared" si="44"/>
        <v>高田馬場第4玉川ビル</v>
      </c>
      <c r="D301" s="45" t="s">
        <v>1582</v>
      </c>
      <c r="E301" s="46">
        <v>28.84</v>
      </c>
      <c r="F301" s="324">
        <v>631</v>
      </c>
      <c r="G301" s="566" t="str">
        <f t="shared" si="45"/>
        <v>住居</v>
      </c>
      <c r="H301" s="44" t="s">
        <v>1996</v>
      </c>
      <c r="I301" s="325">
        <v>78000</v>
      </c>
      <c r="J301" s="325">
        <v>5000</v>
      </c>
      <c r="K301" s="325">
        <v>0</v>
      </c>
      <c r="L301" s="325">
        <v>0</v>
      </c>
      <c r="M301" s="565">
        <f t="shared" si="52"/>
        <v>83000</v>
      </c>
      <c r="N301" s="326">
        <v>78000</v>
      </c>
      <c r="O301" s="326">
        <v>0</v>
      </c>
      <c r="P301" s="565">
        <f t="shared" si="46"/>
        <v>78000</v>
      </c>
      <c r="Q301" s="565">
        <f t="shared" si="53"/>
        <v>83000</v>
      </c>
      <c r="R301" s="325" t="s">
        <v>1568</v>
      </c>
      <c r="S301" s="325" t="s">
        <v>187</v>
      </c>
      <c r="T301" s="327" t="s">
        <v>1284</v>
      </c>
      <c r="V301" s="43" t="s">
        <v>1998</v>
      </c>
      <c r="W301" s="55">
        <v>80000</v>
      </c>
      <c r="Y301" s="6">
        <f t="shared" si="47"/>
        <v>1</v>
      </c>
      <c r="Z301" s="562">
        <f t="shared" si="48"/>
        <v>83000</v>
      </c>
      <c r="AA301" s="122">
        <f t="shared" si="49"/>
        <v>-5000</v>
      </c>
      <c r="AB301" s="122">
        <f t="shared" si="50"/>
        <v>3000</v>
      </c>
      <c r="AC301" s="6">
        <f t="shared" si="51"/>
        <v>1</v>
      </c>
      <c r="AD301" s="563">
        <f t="shared" si="54"/>
        <v>1</v>
      </c>
      <c r="AE301" s="64"/>
      <c r="AF301" s="31">
        <v>78000</v>
      </c>
      <c r="AG301" s="31">
        <v>5000</v>
      </c>
      <c r="AH301" s="31">
        <v>0</v>
      </c>
      <c r="AI301" s="31">
        <v>0</v>
      </c>
      <c r="AJ301" s="31">
        <v>83000</v>
      </c>
      <c r="AK301" s="31">
        <v>78000</v>
      </c>
      <c r="AL301" s="31">
        <v>0</v>
      </c>
      <c r="AM301" s="56">
        <v>78000</v>
      </c>
      <c r="AN301" s="31">
        <v>83000</v>
      </c>
      <c r="AO301" s="31" t="s">
        <v>1568</v>
      </c>
      <c r="AP301" s="23" t="s">
        <v>187</v>
      </c>
      <c r="AQ301" s="23" t="s">
        <v>1284</v>
      </c>
    </row>
    <row r="302" spans="1:43">
      <c r="A302" s="34">
        <v>299</v>
      </c>
      <c r="B302" s="34">
        <v>117</v>
      </c>
      <c r="C302" s="568" t="str">
        <f t="shared" si="44"/>
        <v>高田馬場第4玉川ビル</v>
      </c>
      <c r="D302" s="45" t="s">
        <v>1585</v>
      </c>
      <c r="E302" s="46">
        <v>28.84</v>
      </c>
      <c r="F302" s="324">
        <v>631</v>
      </c>
      <c r="G302" s="566" t="str">
        <f t="shared" si="45"/>
        <v>住居</v>
      </c>
      <c r="H302" s="44" t="s">
        <v>1996</v>
      </c>
      <c r="I302" s="325">
        <v>80000</v>
      </c>
      <c r="J302" s="325">
        <v>5000</v>
      </c>
      <c r="K302" s="325">
        <v>0</v>
      </c>
      <c r="L302" s="325">
        <v>0</v>
      </c>
      <c r="M302" s="565">
        <f t="shared" si="52"/>
        <v>85000</v>
      </c>
      <c r="N302" s="326">
        <v>84000</v>
      </c>
      <c r="O302" s="326">
        <v>0</v>
      </c>
      <c r="P302" s="565">
        <f t="shared" si="46"/>
        <v>84000</v>
      </c>
      <c r="Q302" s="565">
        <f t="shared" si="53"/>
        <v>85000</v>
      </c>
      <c r="R302" s="325" t="s">
        <v>1568</v>
      </c>
      <c r="S302" s="325" t="s">
        <v>187</v>
      </c>
      <c r="T302" s="327" t="s">
        <v>1284</v>
      </c>
      <c r="V302" s="43" t="s">
        <v>1999</v>
      </c>
      <c r="W302" s="55">
        <v>79000</v>
      </c>
      <c r="Y302" s="6">
        <f t="shared" si="47"/>
        <v>1</v>
      </c>
      <c r="Z302" s="562">
        <f t="shared" si="48"/>
        <v>85000</v>
      </c>
      <c r="AA302" s="122">
        <f t="shared" si="49"/>
        <v>-1000</v>
      </c>
      <c r="AB302" s="122">
        <f t="shared" si="50"/>
        <v>6000</v>
      </c>
      <c r="AC302" s="6">
        <f t="shared" si="51"/>
        <v>1</v>
      </c>
      <c r="AD302" s="563">
        <f t="shared" si="54"/>
        <v>1</v>
      </c>
      <c r="AE302" s="64"/>
      <c r="AF302" s="31">
        <v>80000</v>
      </c>
      <c r="AG302" s="31">
        <v>5000</v>
      </c>
      <c r="AH302" s="31">
        <v>0</v>
      </c>
      <c r="AI302" s="31">
        <v>0</v>
      </c>
      <c r="AJ302" s="31">
        <v>85000</v>
      </c>
      <c r="AK302" s="31">
        <v>84000</v>
      </c>
      <c r="AL302" s="31">
        <v>0</v>
      </c>
      <c r="AM302" s="56">
        <v>84000</v>
      </c>
      <c r="AN302" s="31">
        <v>85000</v>
      </c>
      <c r="AO302" s="31" t="s">
        <v>1568</v>
      </c>
      <c r="AP302" s="23" t="s">
        <v>187</v>
      </c>
      <c r="AQ302" s="23" t="s">
        <v>1284</v>
      </c>
    </row>
    <row r="303" spans="1:43">
      <c r="A303" s="34">
        <v>300</v>
      </c>
      <c r="B303" s="34">
        <v>117</v>
      </c>
      <c r="C303" s="568" t="str">
        <f t="shared" si="44"/>
        <v>高田馬場第4玉川ビル</v>
      </c>
      <c r="D303" s="45" t="s">
        <v>1589</v>
      </c>
      <c r="E303" s="46">
        <v>16.78</v>
      </c>
      <c r="F303" s="324">
        <v>631</v>
      </c>
      <c r="G303" s="566" t="str">
        <f t="shared" si="45"/>
        <v>住居</v>
      </c>
      <c r="H303" s="44" t="s">
        <v>1709</v>
      </c>
      <c r="I303" s="325">
        <v>67000</v>
      </c>
      <c r="J303" s="325">
        <v>2000</v>
      </c>
      <c r="K303" s="325">
        <v>0</v>
      </c>
      <c r="L303" s="325">
        <v>0</v>
      </c>
      <c r="M303" s="565">
        <f t="shared" si="52"/>
        <v>69000</v>
      </c>
      <c r="N303" s="326">
        <v>69000</v>
      </c>
      <c r="O303" s="326">
        <v>0</v>
      </c>
      <c r="P303" s="565">
        <f t="shared" si="46"/>
        <v>69000</v>
      </c>
      <c r="Q303" s="565">
        <f t="shared" si="53"/>
        <v>69000</v>
      </c>
      <c r="R303" s="325" t="s">
        <v>1568</v>
      </c>
      <c r="S303" s="325" t="s">
        <v>187</v>
      </c>
      <c r="T303" s="327" t="s">
        <v>1284</v>
      </c>
      <c r="V303" s="43" t="s">
        <v>2000</v>
      </c>
      <c r="W303" s="55">
        <v>69000</v>
      </c>
      <c r="Y303" s="6">
        <f t="shared" si="47"/>
        <v>1</v>
      </c>
      <c r="Z303" s="562">
        <f t="shared" si="48"/>
        <v>69000</v>
      </c>
      <c r="AA303" s="122">
        <f t="shared" si="49"/>
        <v>0</v>
      </c>
      <c r="AB303" s="122">
        <f t="shared" si="50"/>
        <v>0</v>
      </c>
      <c r="AC303" s="6">
        <f t="shared" si="51"/>
        <v>1</v>
      </c>
      <c r="AD303" s="563">
        <f t="shared" si="54"/>
        <v>1</v>
      </c>
      <c r="AE303" s="64"/>
      <c r="AF303" s="31">
        <v>67000</v>
      </c>
      <c r="AG303" s="31">
        <v>2000</v>
      </c>
      <c r="AH303" s="31">
        <v>0</v>
      </c>
      <c r="AI303" s="31">
        <v>0</v>
      </c>
      <c r="AJ303" s="31">
        <v>69000</v>
      </c>
      <c r="AK303" s="31">
        <v>69000</v>
      </c>
      <c r="AL303" s="31">
        <v>0</v>
      </c>
      <c r="AM303" s="56">
        <v>69000</v>
      </c>
      <c r="AN303" s="31">
        <v>69000</v>
      </c>
      <c r="AO303" s="31" t="s">
        <v>1568</v>
      </c>
      <c r="AP303" s="23" t="s">
        <v>187</v>
      </c>
      <c r="AQ303" s="23" t="s">
        <v>1284</v>
      </c>
    </row>
    <row r="304" spans="1:43">
      <c r="A304" s="34">
        <v>301</v>
      </c>
      <c r="B304" s="34">
        <v>117</v>
      </c>
      <c r="C304" s="568" t="str">
        <f t="shared" si="44"/>
        <v>高田馬場第4玉川ビル</v>
      </c>
      <c r="D304" s="45" t="s">
        <v>1591</v>
      </c>
      <c r="E304" s="46">
        <v>27.31</v>
      </c>
      <c r="F304" s="324">
        <v>631</v>
      </c>
      <c r="G304" s="566" t="str">
        <f t="shared" si="45"/>
        <v>住居</v>
      </c>
      <c r="H304" s="44" t="s">
        <v>1996</v>
      </c>
      <c r="I304" s="325">
        <v>80000</v>
      </c>
      <c r="J304" s="325">
        <v>3000</v>
      </c>
      <c r="K304" s="325">
        <v>0</v>
      </c>
      <c r="L304" s="325">
        <v>0</v>
      </c>
      <c r="M304" s="565">
        <f t="shared" si="52"/>
        <v>83000</v>
      </c>
      <c r="N304" s="326">
        <v>82000</v>
      </c>
      <c r="O304" s="326">
        <v>0</v>
      </c>
      <c r="P304" s="565">
        <f t="shared" si="46"/>
        <v>82000</v>
      </c>
      <c r="Q304" s="565">
        <f t="shared" si="53"/>
        <v>83000</v>
      </c>
      <c r="R304" s="325" t="s">
        <v>1568</v>
      </c>
      <c r="S304" s="325" t="s">
        <v>187</v>
      </c>
      <c r="T304" s="327" t="s">
        <v>1284</v>
      </c>
      <c r="V304" s="43" t="s">
        <v>2001</v>
      </c>
      <c r="W304" s="55">
        <v>81000</v>
      </c>
      <c r="Y304" s="6">
        <f t="shared" si="47"/>
        <v>1</v>
      </c>
      <c r="Z304" s="562">
        <f t="shared" si="48"/>
        <v>83000</v>
      </c>
      <c r="AA304" s="122">
        <f t="shared" si="49"/>
        <v>-1000</v>
      </c>
      <c r="AB304" s="122">
        <f t="shared" si="50"/>
        <v>2000</v>
      </c>
      <c r="AC304" s="6">
        <f t="shared" si="51"/>
        <v>1</v>
      </c>
      <c r="AD304" s="563">
        <f t="shared" si="54"/>
        <v>1</v>
      </c>
      <c r="AE304" s="64"/>
      <c r="AF304" s="31">
        <v>80000</v>
      </c>
      <c r="AG304" s="31">
        <v>3000</v>
      </c>
      <c r="AH304" s="31">
        <v>0</v>
      </c>
      <c r="AI304" s="31">
        <v>0</v>
      </c>
      <c r="AJ304" s="31">
        <v>83000</v>
      </c>
      <c r="AK304" s="31">
        <v>82000</v>
      </c>
      <c r="AL304" s="31">
        <v>0</v>
      </c>
      <c r="AM304" s="56">
        <v>82000</v>
      </c>
      <c r="AN304" s="31">
        <v>83000</v>
      </c>
      <c r="AO304" s="31" t="s">
        <v>1568</v>
      </c>
      <c r="AP304" s="23" t="s">
        <v>187</v>
      </c>
      <c r="AQ304" s="23" t="s">
        <v>1284</v>
      </c>
    </row>
    <row r="305" spans="1:43">
      <c r="A305" s="34">
        <v>302</v>
      </c>
      <c r="B305" s="34">
        <v>117</v>
      </c>
      <c r="C305" s="568" t="str">
        <f t="shared" si="44"/>
        <v>高田馬場第4玉川ビル</v>
      </c>
      <c r="D305" s="45" t="s">
        <v>1593</v>
      </c>
      <c r="E305" s="46">
        <v>27.31</v>
      </c>
      <c r="F305" s="324">
        <v>631</v>
      </c>
      <c r="G305" s="566" t="str">
        <f t="shared" si="45"/>
        <v>住居</v>
      </c>
      <c r="H305" s="44" t="s">
        <v>1996</v>
      </c>
      <c r="I305" s="325">
        <v>81000</v>
      </c>
      <c r="J305" s="325">
        <v>2000</v>
      </c>
      <c r="K305" s="325">
        <v>0</v>
      </c>
      <c r="L305" s="325">
        <v>0</v>
      </c>
      <c r="M305" s="565">
        <f t="shared" si="52"/>
        <v>83000</v>
      </c>
      <c r="N305" s="326">
        <v>83000</v>
      </c>
      <c r="O305" s="326">
        <v>0</v>
      </c>
      <c r="P305" s="565">
        <f t="shared" si="46"/>
        <v>83000</v>
      </c>
      <c r="Q305" s="565">
        <f t="shared" si="53"/>
        <v>83000</v>
      </c>
      <c r="R305" s="325" t="s">
        <v>1568</v>
      </c>
      <c r="S305" s="325" t="s">
        <v>187</v>
      </c>
      <c r="T305" s="327" t="s">
        <v>1284</v>
      </c>
      <c r="V305" s="43" t="s">
        <v>2002</v>
      </c>
      <c r="W305" s="55">
        <v>83000</v>
      </c>
      <c r="Y305" s="6">
        <f t="shared" si="47"/>
        <v>1</v>
      </c>
      <c r="Z305" s="562">
        <f t="shared" si="48"/>
        <v>83000</v>
      </c>
      <c r="AA305" s="122">
        <f t="shared" si="49"/>
        <v>0</v>
      </c>
      <c r="AB305" s="122">
        <f t="shared" si="50"/>
        <v>0</v>
      </c>
      <c r="AC305" s="6">
        <f t="shared" si="51"/>
        <v>1</v>
      </c>
      <c r="AD305" s="563">
        <f t="shared" si="54"/>
        <v>1</v>
      </c>
      <c r="AE305" s="64"/>
      <c r="AF305" s="31">
        <v>81000</v>
      </c>
      <c r="AG305" s="31">
        <v>2000</v>
      </c>
      <c r="AH305" s="31">
        <v>0</v>
      </c>
      <c r="AI305" s="31">
        <v>0</v>
      </c>
      <c r="AJ305" s="31">
        <v>83000</v>
      </c>
      <c r="AK305" s="31">
        <v>83000</v>
      </c>
      <c r="AL305" s="31">
        <v>0</v>
      </c>
      <c r="AM305" s="56">
        <v>83000</v>
      </c>
      <c r="AN305" s="31">
        <v>83000</v>
      </c>
      <c r="AO305" s="31" t="s">
        <v>1568</v>
      </c>
      <c r="AP305" s="23" t="s">
        <v>187</v>
      </c>
      <c r="AQ305" s="23" t="s">
        <v>1284</v>
      </c>
    </row>
    <row r="306" spans="1:43">
      <c r="A306" s="34">
        <v>303</v>
      </c>
      <c r="B306" s="34">
        <v>117</v>
      </c>
      <c r="C306" s="568" t="str">
        <f t="shared" si="44"/>
        <v>高田馬場第4玉川ビル</v>
      </c>
      <c r="D306" s="45" t="s">
        <v>1673</v>
      </c>
      <c r="E306" s="46">
        <v>0</v>
      </c>
      <c r="F306" s="324">
        <v>634</v>
      </c>
      <c r="G306" s="566" t="str">
        <f t="shared" si="45"/>
        <v>駐車場</v>
      </c>
      <c r="H306" s="44" t="s">
        <v>1674</v>
      </c>
      <c r="I306" s="325">
        <v>0</v>
      </c>
      <c r="J306" s="325">
        <v>0</v>
      </c>
      <c r="K306" s="325">
        <v>0</v>
      </c>
      <c r="L306" s="325">
        <v>0</v>
      </c>
      <c r="M306" s="565">
        <f t="shared" si="52"/>
        <v>0</v>
      </c>
      <c r="N306" s="326">
        <v>13000</v>
      </c>
      <c r="O306" s="326">
        <v>1300</v>
      </c>
      <c r="P306" s="565">
        <f t="shared" si="46"/>
        <v>14300</v>
      </c>
      <c r="Q306" s="565">
        <f t="shared" si="53"/>
        <v>14300</v>
      </c>
      <c r="R306" s="325" t="s">
        <v>1575</v>
      </c>
      <c r="S306" s="325" t="s">
        <v>187</v>
      </c>
      <c r="T306" s="327" t="s">
        <v>1714</v>
      </c>
      <c r="V306" s="43" t="s">
        <v>2003</v>
      </c>
      <c r="W306" s="55">
        <v>14300</v>
      </c>
      <c r="Y306" s="6">
        <f t="shared" si="47"/>
        <v>0</v>
      </c>
      <c r="Z306" s="562">
        <f t="shared" si="48"/>
        <v>13000</v>
      </c>
      <c r="AA306" s="122">
        <f t="shared" si="49"/>
        <v>0</v>
      </c>
      <c r="AB306" s="122">
        <f t="shared" si="50"/>
        <v>-1300</v>
      </c>
      <c r="AC306" s="6">
        <f t="shared" si="51"/>
        <v>1</v>
      </c>
      <c r="AD306" s="563">
        <f t="shared" si="54"/>
        <v>1</v>
      </c>
      <c r="AE306" s="64"/>
      <c r="AF306" s="31">
        <v>0</v>
      </c>
      <c r="AG306" s="31">
        <v>0</v>
      </c>
      <c r="AH306" s="31">
        <v>0</v>
      </c>
      <c r="AI306" s="31">
        <v>0</v>
      </c>
      <c r="AJ306" s="31">
        <v>0</v>
      </c>
      <c r="AK306" s="31">
        <v>13000</v>
      </c>
      <c r="AL306" s="31">
        <v>1300</v>
      </c>
      <c r="AM306" s="56">
        <v>14300</v>
      </c>
      <c r="AN306" s="31">
        <v>14300</v>
      </c>
      <c r="AO306" s="31" t="s">
        <v>1575</v>
      </c>
      <c r="AP306" s="23" t="s">
        <v>187</v>
      </c>
      <c r="AQ306" s="23" t="s">
        <v>1714</v>
      </c>
    </row>
    <row r="307" spans="1:43">
      <c r="A307" s="37">
        <v>304</v>
      </c>
      <c r="B307" s="37">
        <v>120</v>
      </c>
      <c r="C307" s="575" t="str">
        <f t="shared" si="44"/>
        <v>南池袋マンション</v>
      </c>
      <c r="D307" s="45" t="s">
        <v>1566</v>
      </c>
      <c r="E307" s="46">
        <v>23.07</v>
      </c>
      <c r="F307" s="324">
        <v>631</v>
      </c>
      <c r="G307" s="566" t="str">
        <f t="shared" si="45"/>
        <v>住居</v>
      </c>
      <c r="H307" s="44" t="s">
        <v>1709</v>
      </c>
      <c r="I307" s="325">
        <v>75000</v>
      </c>
      <c r="J307" s="325">
        <v>0</v>
      </c>
      <c r="K307" s="325">
        <v>0</v>
      </c>
      <c r="L307" s="325">
        <v>0</v>
      </c>
      <c r="M307" s="565">
        <f t="shared" si="52"/>
        <v>75000</v>
      </c>
      <c r="N307" s="326">
        <v>75000</v>
      </c>
      <c r="O307" s="326">
        <v>0</v>
      </c>
      <c r="P307" s="565">
        <f t="shared" si="46"/>
        <v>75000</v>
      </c>
      <c r="Q307" s="565">
        <f t="shared" si="53"/>
        <v>75000</v>
      </c>
      <c r="R307" s="325" t="s">
        <v>1568</v>
      </c>
      <c r="S307" s="325" t="s">
        <v>187</v>
      </c>
      <c r="T307" s="327" t="s">
        <v>1284</v>
      </c>
      <c r="V307" s="43" t="s">
        <v>2004</v>
      </c>
      <c r="W307" s="55">
        <v>75000</v>
      </c>
      <c r="Y307" s="6">
        <f t="shared" si="47"/>
        <v>1</v>
      </c>
      <c r="Z307" s="562">
        <f t="shared" si="48"/>
        <v>75000</v>
      </c>
      <c r="AA307" s="122">
        <f t="shared" si="49"/>
        <v>0</v>
      </c>
      <c r="AB307" s="122">
        <f t="shared" si="50"/>
        <v>0</v>
      </c>
      <c r="AC307" s="6">
        <f t="shared" si="51"/>
        <v>1</v>
      </c>
      <c r="AD307" s="563">
        <f t="shared" si="54"/>
        <v>1</v>
      </c>
      <c r="AE307" s="64"/>
      <c r="AF307" s="31">
        <v>75000</v>
      </c>
      <c r="AG307" s="31">
        <v>0</v>
      </c>
      <c r="AH307" s="31">
        <v>0</v>
      </c>
      <c r="AI307" s="31">
        <v>0</v>
      </c>
      <c r="AJ307" s="31">
        <v>75000</v>
      </c>
      <c r="AK307" s="31">
        <v>75000</v>
      </c>
      <c r="AL307" s="31">
        <v>0</v>
      </c>
      <c r="AM307" s="56">
        <v>75000</v>
      </c>
      <c r="AN307" s="31">
        <v>75000</v>
      </c>
      <c r="AO307" s="31" t="s">
        <v>1568</v>
      </c>
      <c r="AP307" s="23" t="s">
        <v>187</v>
      </c>
      <c r="AQ307" s="23" t="s">
        <v>1284</v>
      </c>
    </row>
    <row r="308" spans="1:43">
      <c r="A308" s="37">
        <v>305</v>
      </c>
      <c r="B308" s="37">
        <v>120</v>
      </c>
      <c r="C308" s="575" t="str">
        <f t="shared" si="44"/>
        <v>南池袋マンション</v>
      </c>
      <c r="D308" s="45" t="s">
        <v>1570</v>
      </c>
      <c r="E308" s="46">
        <v>26.94</v>
      </c>
      <c r="F308" s="324">
        <v>631</v>
      </c>
      <c r="G308" s="566" t="str">
        <f t="shared" si="45"/>
        <v>住居</v>
      </c>
      <c r="H308" s="44" t="s">
        <v>1811</v>
      </c>
      <c r="I308" s="325">
        <v>70000</v>
      </c>
      <c r="J308" s="325">
        <v>0</v>
      </c>
      <c r="K308" s="325">
        <v>0</v>
      </c>
      <c r="L308" s="325">
        <v>0</v>
      </c>
      <c r="M308" s="565">
        <f t="shared" si="52"/>
        <v>70000</v>
      </c>
      <c r="N308" s="326">
        <v>70000</v>
      </c>
      <c r="O308" s="326">
        <v>0</v>
      </c>
      <c r="P308" s="565">
        <f t="shared" si="46"/>
        <v>70000</v>
      </c>
      <c r="Q308" s="565">
        <f t="shared" si="53"/>
        <v>70000</v>
      </c>
      <c r="R308" s="325" t="s">
        <v>1568</v>
      </c>
      <c r="S308" s="325" t="s">
        <v>187</v>
      </c>
      <c r="T308" s="327" t="s">
        <v>1284</v>
      </c>
      <c r="V308" s="43" t="s">
        <v>2005</v>
      </c>
      <c r="W308" s="55">
        <v>70000</v>
      </c>
      <c r="Y308" s="6">
        <f t="shared" si="47"/>
        <v>1</v>
      </c>
      <c r="Z308" s="562">
        <f t="shared" si="48"/>
        <v>70000</v>
      </c>
      <c r="AA308" s="122">
        <f t="shared" si="49"/>
        <v>0</v>
      </c>
      <c r="AB308" s="122">
        <f t="shared" si="50"/>
        <v>0</v>
      </c>
      <c r="AC308" s="6">
        <f t="shared" si="51"/>
        <v>1</v>
      </c>
      <c r="AD308" s="563">
        <f t="shared" si="54"/>
        <v>1</v>
      </c>
      <c r="AE308" s="64"/>
      <c r="AF308" s="31">
        <v>70000</v>
      </c>
      <c r="AG308" s="31">
        <v>0</v>
      </c>
      <c r="AH308" s="31">
        <v>0</v>
      </c>
      <c r="AI308" s="31">
        <v>0</v>
      </c>
      <c r="AJ308" s="31">
        <v>70000</v>
      </c>
      <c r="AK308" s="31">
        <v>70000</v>
      </c>
      <c r="AL308" s="31">
        <v>0</v>
      </c>
      <c r="AM308" s="56">
        <v>70000</v>
      </c>
      <c r="AN308" s="31">
        <v>70000</v>
      </c>
      <c r="AO308" s="31" t="s">
        <v>1568</v>
      </c>
      <c r="AP308" s="23" t="s">
        <v>187</v>
      </c>
      <c r="AQ308" s="23" t="s">
        <v>1284</v>
      </c>
    </row>
    <row r="309" spans="1:43">
      <c r="A309" s="37">
        <v>306</v>
      </c>
      <c r="B309" s="37">
        <v>120</v>
      </c>
      <c r="C309" s="575" t="str">
        <f t="shared" si="44"/>
        <v>南池袋マンション</v>
      </c>
      <c r="D309" s="45" t="s">
        <v>1572</v>
      </c>
      <c r="E309" s="46">
        <v>33.450000000000003</v>
      </c>
      <c r="F309" s="324">
        <v>631</v>
      </c>
      <c r="G309" s="566" t="str">
        <f t="shared" si="45"/>
        <v>住居</v>
      </c>
      <c r="H309" s="44" t="s">
        <v>1811</v>
      </c>
      <c r="I309" s="325">
        <v>79000</v>
      </c>
      <c r="J309" s="325">
        <v>4000</v>
      </c>
      <c r="K309" s="325">
        <v>0</v>
      </c>
      <c r="L309" s="325">
        <v>0</v>
      </c>
      <c r="M309" s="565">
        <f t="shared" si="52"/>
        <v>83000</v>
      </c>
      <c r="N309" s="326">
        <v>83000</v>
      </c>
      <c r="O309" s="326">
        <v>0</v>
      </c>
      <c r="P309" s="565">
        <f t="shared" si="46"/>
        <v>83000</v>
      </c>
      <c r="Q309" s="565">
        <f t="shared" si="53"/>
        <v>83000</v>
      </c>
      <c r="R309" s="325" t="s">
        <v>1568</v>
      </c>
      <c r="S309" s="325" t="s">
        <v>187</v>
      </c>
      <c r="T309" s="327" t="s">
        <v>1284</v>
      </c>
      <c r="V309" s="43" t="s">
        <v>2006</v>
      </c>
      <c r="W309" s="55">
        <v>89000</v>
      </c>
      <c r="Y309" s="6">
        <f t="shared" si="47"/>
        <v>1</v>
      </c>
      <c r="Z309" s="562">
        <f t="shared" si="48"/>
        <v>83000</v>
      </c>
      <c r="AA309" s="122">
        <f t="shared" si="49"/>
        <v>0</v>
      </c>
      <c r="AB309" s="122">
        <f t="shared" si="50"/>
        <v>-6000</v>
      </c>
      <c r="AC309" s="6">
        <f t="shared" si="51"/>
        <v>1</v>
      </c>
      <c r="AD309" s="563">
        <f t="shared" si="54"/>
        <v>1</v>
      </c>
      <c r="AE309" s="64"/>
      <c r="AF309" s="31">
        <v>79000</v>
      </c>
      <c r="AG309" s="31">
        <v>4000</v>
      </c>
      <c r="AH309" s="31">
        <v>0</v>
      </c>
      <c r="AI309" s="31">
        <v>0</v>
      </c>
      <c r="AJ309" s="31">
        <v>83000</v>
      </c>
      <c r="AK309" s="31">
        <v>83000</v>
      </c>
      <c r="AL309" s="31">
        <v>0</v>
      </c>
      <c r="AM309" s="56">
        <v>83000</v>
      </c>
      <c r="AN309" s="31">
        <v>83000</v>
      </c>
      <c r="AO309" s="31" t="s">
        <v>1568</v>
      </c>
      <c r="AP309" s="23" t="s">
        <v>187</v>
      </c>
      <c r="AQ309" s="23" t="s">
        <v>1284</v>
      </c>
    </row>
    <row r="310" spans="1:43">
      <c r="A310" s="37">
        <v>307</v>
      </c>
      <c r="B310" s="37">
        <v>120</v>
      </c>
      <c r="C310" s="575" t="str">
        <f t="shared" si="44"/>
        <v>南池袋マンション</v>
      </c>
      <c r="D310" s="45" t="s">
        <v>1580</v>
      </c>
      <c r="E310" s="46">
        <v>43.83</v>
      </c>
      <c r="F310" s="324">
        <v>631</v>
      </c>
      <c r="G310" s="566" t="str">
        <f t="shared" si="45"/>
        <v>住居</v>
      </c>
      <c r="H310" s="44" t="s">
        <v>1669</v>
      </c>
      <c r="I310" s="325">
        <v>102000</v>
      </c>
      <c r="J310" s="325">
        <v>3000</v>
      </c>
      <c r="K310" s="325">
        <v>0</v>
      </c>
      <c r="L310" s="325">
        <v>0</v>
      </c>
      <c r="M310" s="565">
        <f t="shared" si="52"/>
        <v>105000</v>
      </c>
      <c r="N310" s="326">
        <v>103000</v>
      </c>
      <c r="O310" s="326">
        <v>0</v>
      </c>
      <c r="P310" s="565">
        <f t="shared" si="46"/>
        <v>103000</v>
      </c>
      <c r="Q310" s="565">
        <f t="shared" si="53"/>
        <v>105000</v>
      </c>
      <c r="R310" s="325" t="s">
        <v>1568</v>
      </c>
      <c r="S310" s="325" t="s">
        <v>187</v>
      </c>
      <c r="T310" s="327" t="s">
        <v>1284</v>
      </c>
      <c r="V310" s="43" t="s">
        <v>2007</v>
      </c>
      <c r="W310" s="55">
        <v>103000</v>
      </c>
      <c r="Y310" s="6">
        <f t="shared" si="47"/>
        <v>1</v>
      </c>
      <c r="Z310" s="562">
        <f t="shared" si="48"/>
        <v>105000</v>
      </c>
      <c r="AA310" s="122">
        <f t="shared" si="49"/>
        <v>-2000</v>
      </c>
      <c r="AB310" s="122">
        <f t="shared" si="50"/>
        <v>2000</v>
      </c>
      <c r="AC310" s="6">
        <f t="shared" si="51"/>
        <v>1</v>
      </c>
      <c r="AD310" s="563">
        <f t="shared" si="54"/>
        <v>1</v>
      </c>
      <c r="AE310" s="64"/>
      <c r="AF310" s="31">
        <v>102000</v>
      </c>
      <c r="AG310" s="31">
        <v>3000</v>
      </c>
      <c r="AH310" s="31">
        <v>0</v>
      </c>
      <c r="AI310" s="31">
        <v>0</v>
      </c>
      <c r="AJ310" s="31">
        <v>105000</v>
      </c>
      <c r="AK310" s="31">
        <v>103000</v>
      </c>
      <c r="AL310" s="31">
        <v>0</v>
      </c>
      <c r="AM310" s="56">
        <v>103000</v>
      </c>
      <c r="AN310" s="31">
        <v>105000</v>
      </c>
      <c r="AO310" s="31" t="s">
        <v>1568</v>
      </c>
      <c r="AP310" s="23" t="s">
        <v>187</v>
      </c>
      <c r="AQ310" s="23" t="s">
        <v>1284</v>
      </c>
    </row>
    <row r="311" spans="1:43">
      <c r="A311" s="37">
        <v>308</v>
      </c>
      <c r="B311" s="37">
        <v>120</v>
      </c>
      <c r="C311" s="575" t="str">
        <f t="shared" si="44"/>
        <v>南池袋マンション</v>
      </c>
      <c r="D311" s="45" t="s">
        <v>1582</v>
      </c>
      <c r="E311" s="46">
        <v>26.94</v>
      </c>
      <c r="F311" s="324">
        <v>631</v>
      </c>
      <c r="G311" s="566" t="str">
        <f t="shared" si="45"/>
        <v>住居</v>
      </c>
      <c r="H311" s="44" t="s">
        <v>1811</v>
      </c>
      <c r="I311" s="325">
        <v>75000</v>
      </c>
      <c r="J311" s="325">
        <v>0</v>
      </c>
      <c r="K311" s="325">
        <v>0</v>
      </c>
      <c r="L311" s="325">
        <v>0</v>
      </c>
      <c r="M311" s="565">
        <f t="shared" si="52"/>
        <v>75000</v>
      </c>
      <c r="N311" s="326">
        <v>75000</v>
      </c>
      <c r="O311" s="326">
        <v>0</v>
      </c>
      <c r="P311" s="565">
        <f t="shared" si="46"/>
        <v>75000</v>
      </c>
      <c r="Q311" s="565">
        <f t="shared" si="53"/>
        <v>75000</v>
      </c>
      <c r="R311" s="325" t="s">
        <v>1568</v>
      </c>
      <c r="S311" s="325" t="s">
        <v>187</v>
      </c>
      <c r="T311" s="327" t="s">
        <v>1284</v>
      </c>
      <c r="V311" s="43" t="s">
        <v>2008</v>
      </c>
      <c r="W311" s="55">
        <v>75000</v>
      </c>
      <c r="Y311" s="6">
        <f t="shared" si="47"/>
        <v>1</v>
      </c>
      <c r="Z311" s="562">
        <f t="shared" si="48"/>
        <v>75000</v>
      </c>
      <c r="AA311" s="122">
        <f t="shared" si="49"/>
        <v>0</v>
      </c>
      <c r="AB311" s="122">
        <f t="shared" si="50"/>
        <v>0</v>
      </c>
      <c r="AC311" s="6">
        <f t="shared" si="51"/>
        <v>1</v>
      </c>
      <c r="AD311" s="563">
        <f t="shared" si="54"/>
        <v>1</v>
      </c>
      <c r="AE311" s="64"/>
      <c r="AF311" s="31">
        <v>75000</v>
      </c>
      <c r="AG311" s="31">
        <v>0</v>
      </c>
      <c r="AH311" s="31">
        <v>0</v>
      </c>
      <c r="AI311" s="31">
        <v>0</v>
      </c>
      <c r="AJ311" s="31">
        <v>75000</v>
      </c>
      <c r="AK311" s="31">
        <v>75000</v>
      </c>
      <c r="AL311" s="31">
        <v>0</v>
      </c>
      <c r="AM311" s="56">
        <v>75000</v>
      </c>
      <c r="AN311" s="31">
        <v>75000</v>
      </c>
      <c r="AO311" s="31" t="s">
        <v>1568</v>
      </c>
      <c r="AP311" s="23" t="s">
        <v>187</v>
      </c>
      <c r="AQ311" s="23" t="s">
        <v>1284</v>
      </c>
    </row>
    <row r="312" spans="1:43">
      <c r="A312" s="37">
        <v>309</v>
      </c>
      <c r="B312" s="37">
        <v>120</v>
      </c>
      <c r="C312" s="575" t="str">
        <f t="shared" si="44"/>
        <v>南池袋マンション</v>
      </c>
      <c r="D312" s="45" t="s">
        <v>1585</v>
      </c>
      <c r="E312" s="46">
        <v>33.450000000000003</v>
      </c>
      <c r="F312" s="324">
        <v>631</v>
      </c>
      <c r="G312" s="566" t="str">
        <f t="shared" si="45"/>
        <v>住居</v>
      </c>
      <c r="H312" s="44" t="s">
        <v>1811</v>
      </c>
      <c r="I312" s="325">
        <v>87000</v>
      </c>
      <c r="J312" s="325">
        <v>3000</v>
      </c>
      <c r="K312" s="325">
        <v>0</v>
      </c>
      <c r="L312" s="325">
        <v>0</v>
      </c>
      <c r="M312" s="565">
        <f t="shared" si="52"/>
        <v>90000</v>
      </c>
      <c r="N312" s="326">
        <v>90000</v>
      </c>
      <c r="O312" s="326">
        <v>0</v>
      </c>
      <c r="P312" s="565">
        <f t="shared" si="46"/>
        <v>90000</v>
      </c>
      <c r="Q312" s="565">
        <f t="shared" si="53"/>
        <v>90000</v>
      </c>
      <c r="R312" s="325" t="s">
        <v>1568</v>
      </c>
      <c r="S312" s="325" t="s">
        <v>187</v>
      </c>
      <c r="T312" s="327" t="s">
        <v>1284</v>
      </c>
      <c r="V312" s="43" t="s">
        <v>2009</v>
      </c>
      <c r="W312" s="55">
        <v>103000</v>
      </c>
      <c r="Y312" s="6">
        <f t="shared" si="47"/>
        <v>1</v>
      </c>
      <c r="Z312" s="562">
        <f t="shared" si="48"/>
        <v>90000</v>
      </c>
      <c r="AA312" s="122">
        <f t="shared" si="49"/>
        <v>0</v>
      </c>
      <c r="AB312" s="122">
        <f t="shared" si="50"/>
        <v>-13000</v>
      </c>
      <c r="AC312" s="6">
        <f t="shared" si="51"/>
        <v>1</v>
      </c>
      <c r="AD312" s="563">
        <f t="shared" si="54"/>
        <v>1</v>
      </c>
      <c r="AE312" s="64"/>
      <c r="AF312" s="31">
        <v>87000</v>
      </c>
      <c r="AG312" s="31">
        <v>3000</v>
      </c>
      <c r="AH312" s="31">
        <v>0</v>
      </c>
      <c r="AI312" s="31">
        <v>0</v>
      </c>
      <c r="AJ312" s="31">
        <v>90000</v>
      </c>
      <c r="AK312" s="31">
        <v>90000</v>
      </c>
      <c r="AL312" s="31">
        <v>0</v>
      </c>
      <c r="AM312" s="56">
        <v>90000</v>
      </c>
      <c r="AN312" s="31">
        <v>90000</v>
      </c>
      <c r="AO312" s="31" t="s">
        <v>1568</v>
      </c>
      <c r="AP312" s="23" t="s">
        <v>187</v>
      </c>
      <c r="AQ312" s="23" t="s">
        <v>1284</v>
      </c>
    </row>
    <row r="313" spans="1:43">
      <c r="A313" s="37">
        <v>310</v>
      </c>
      <c r="B313" s="37">
        <v>120</v>
      </c>
      <c r="C313" s="575" t="str">
        <f t="shared" si="44"/>
        <v>南池袋マンション</v>
      </c>
      <c r="D313" s="45" t="s">
        <v>1589</v>
      </c>
      <c r="E313" s="46">
        <v>38.04</v>
      </c>
      <c r="F313" s="324">
        <v>631</v>
      </c>
      <c r="G313" s="566" t="str">
        <f t="shared" si="45"/>
        <v>住居</v>
      </c>
      <c r="H313" s="44" t="s">
        <v>1811</v>
      </c>
      <c r="I313" s="325">
        <v>105000</v>
      </c>
      <c r="J313" s="325">
        <v>0</v>
      </c>
      <c r="K313" s="325">
        <v>0</v>
      </c>
      <c r="L313" s="325">
        <v>0</v>
      </c>
      <c r="M313" s="565">
        <f t="shared" si="52"/>
        <v>105000</v>
      </c>
      <c r="N313" s="326">
        <v>105000</v>
      </c>
      <c r="O313" s="326">
        <v>0</v>
      </c>
      <c r="P313" s="565">
        <f t="shared" si="46"/>
        <v>105000</v>
      </c>
      <c r="Q313" s="565">
        <f t="shared" si="53"/>
        <v>105000</v>
      </c>
      <c r="R313" s="325" t="s">
        <v>1568</v>
      </c>
      <c r="S313" s="325" t="s">
        <v>187</v>
      </c>
      <c r="T313" s="327" t="s">
        <v>1284</v>
      </c>
      <c r="V313" s="43" t="s">
        <v>2010</v>
      </c>
      <c r="W313" s="55">
        <v>105000</v>
      </c>
      <c r="Y313" s="6">
        <f t="shared" si="47"/>
        <v>1</v>
      </c>
      <c r="Z313" s="562">
        <f t="shared" si="48"/>
        <v>105000</v>
      </c>
      <c r="AA313" s="122">
        <f t="shared" si="49"/>
        <v>0</v>
      </c>
      <c r="AB313" s="122">
        <f t="shared" si="50"/>
        <v>0</v>
      </c>
      <c r="AC313" s="6">
        <f t="shared" si="51"/>
        <v>1</v>
      </c>
      <c r="AD313" s="563">
        <f t="shared" si="54"/>
        <v>1</v>
      </c>
      <c r="AE313" s="64"/>
      <c r="AF313" s="31">
        <v>105000</v>
      </c>
      <c r="AG313" s="31">
        <v>0</v>
      </c>
      <c r="AH313" s="31">
        <v>0</v>
      </c>
      <c r="AI313" s="31">
        <v>0</v>
      </c>
      <c r="AJ313" s="31">
        <v>105000</v>
      </c>
      <c r="AK313" s="31">
        <v>105000</v>
      </c>
      <c r="AL313" s="31">
        <v>0</v>
      </c>
      <c r="AM313" s="56">
        <v>105000</v>
      </c>
      <c r="AN313" s="31">
        <v>105000</v>
      </c>
      <c r="AO313" s="31" t="s">
        <v>1568</v>
      </c>
      <c r="AP313" s="23" t="s">
        <v>187</v>
      </c>
      <c r="AQ313" s="23" t="s">
        <v>1284</v>
      </c>
    </row>
    <row r="314" spans="1:43">
      <c r="A314" s="37">
        <v>311</v>
      </c>
      <c r="B314" s="37">
        <v>120</v>
      </c>
      <c r="C314" s="575" t="str">
        <f t="shared" si="44"/>
        <v>南池袋マンション</v>
      </c>
      <c r="D314" s="45" t="s">
        <v>1591</v>
      </c>
      <c r="E314" s="46">
        <v>51.96</v>
      </c>
      <c r="F314" s="324">
        <v>631</v>
      </c>
      <c r="G314" s="566" t="str">
        <f t="shared" si="45"/>
        <v>住居</v>
      </c>
      <c r="H314" s="44" t="s">
        <v>1688</v>
      </c>
      <c r="I314" s="325">
        <v>120000</v>
      </c>
      <c r="J314" s="325">
        <v>5000</v>
      </c>
      <c r="K314" s="325">
        <v>0</v>
      </c>
      <c r="L314" s="325">
        <v>0</v>
      </c>
      <c r="M314" s="565">
        <f t="shared" si="52"/>
        <v>125000</v>
      </c>
      <c r="N314" s="326">
        <v>125000</v>
      </c>
      <c r="O314" s="326">
        <v>0</v>
      </c>
      <c r="P314" s="565">
        <f t="shared" si="46"/>
        <v>125000</v>
      </c>
      <c r="Q314" s="565">
        <f t="shared" si="53"/>
        <v>125000</v>
      </c>
      <c r="R314" s="325" t="s">
        <v>1568</v>
      </c>
      <c r="S314" s="325" t="s">
        <v>187</v>
      </c>
      <c r="T314" s="327" t="s">
        <v>1284</v>
      </c>
      <c r="V314" s="43" t="s">
        <v>2011</v>
      </c>
      <c r="W314" s="55">
        <v>136000</v>
      </c>
      <c r="Y314" s="6">
        <f t="shared" si="47"/>
        <v>1</v>
      </c>
      <c r="Z314" s="562">
        <f t="shared" si="48"/>
        <v>125000</v>
      </c>
      <c r="AA314" s="122">
        <f t="shared" si="49"/>
        <v>0</v>
      </c>
      <c r="AB314" s="122">
        <f t="shared" si="50"/>
        <v>-11000</v>
      </c>
      <c r="AC314" s="6">
        <f t="shared" si="51"/>
        <v>1</v>
      </c>
      <c r="AD314" s="563">
        <f t="shared" si="54"/>
        <v>1</v>
      </c>
      <c r="AE314" s="64"/>
      <c r="AF314" s="31">
        <v>120000</v>
      </c>
      <c r="AG314" s="31">
        <v>5000</v>
      </c>
      <c r="AH314" s="31">
        <v>0</v>
      </c>
      <c r="AI314" s="31">
        <v>0</v>
      </c>
      <c r="AJ314" s="31">
        <v>125000</v>
      </c>
      <c r="AK314" s="31">
        <v>125000</v>
      </c>
      <c r="AL314" s="31">
        <v>0</v>
      </c>
      <c r="AM314" s="56">
        <v>125000</v>
      </c>
      <c r="AN314" s="31">
        <v>125000</v>
      </c>
      <c r="AO314" s="31" t="s">
        <v>1568</v>
      </c>
      <c r="AP314" s="23" t="s">
        <v>187</v>
      </c>
      <c r="AQ314" s="23" t="s">
        <v>1284</v>
      </c>
    </row>
    <row r="315" spans="1:43">
      <c r="A315" s="37">
        <v>312</v>
      </c>
      <c r="B315" s="37">
        <v>120</v>
      </c>
      <c r="C315" s="575" t="str">
        <f t="shared" si="44"/>
        <v>南池袋マンション</v>
      </c>
      <c r="D315" s="45" t="s">
        <v>1603</v>
      </c>
      <c r="E315" s="46">
        <v>51.4</v>
      </c>
      <c r="F315" s="324">
        <v>631</v>
      </c>
      <c r="G315" s="566" t="str">
        <f t="shared" si="45"/>
        <v>住居</v>
      </c>
      <c r="H315" s="44" t="s">
        <v>1688</v>
      </c>
      <c r="I315" s="325">
        <v>136000</v>
      </c>
      <c r="J315" s="325">
        <v>4000</v>
      </c>
      <c r="K315" s="325">
        <v>0</v>
      </c>
      <c r="L315" s="325">
        <v>0</v>
      </c>
      <c r="M315" s="565">
        <f t="shared" si="52"/>
        <v>140000</v>
      </c>
      <c r="N315" s="326">
        <v>140000</v>
      </c>
      <c r="O315" s="326">
        <v>0</v>
      </c>
      <c r="P315" s="565">
        <f t="shared" si="46"/>
        <v>140000</v>
      </c>
      <c r="Q315" s="565">
        <f t="shared" si="53"/>
        <v>140000</v>
      </c>
      <c r="R315" s="325" t="s">
        <v>1568</v>
      </c>
      <c r="S315" s="325" t="s">
        <v>187</v>
      </c>
      <c r="T315" s="327" t="s">
        <v>1284</v>
      </c>
      <c r="V315" s="43" t="s">
        <v>2012</v>
      </c>
      <c r="W315" s="55">
        <v>138000</v>
      </c>
      <c r="Y315" s="6">
        <f t="shared" si="47"/>
        <v>1</v>
      </c>
      <c r="Z315" s="562">
        <f t="shared" si="48"/>
        <v>140000</v>
      </c>
      <c r="AA315" s="122">
        <f t="shared" si="49"/>
        <v>0</v>
      </c>
      <c r="AB315" s="122">
        <f t="shared" si="50"/>
        <v>2000</v>
      </c>
      <c r="AC315" s="6">
        <f t="shared" si="51"/>
        <v>1</v>
      </c>
      <c r="AD315" s="563">
        <f t="shared" si="54"/>
        <v>1</v>
      </c>
      <c r="AE315" s="64"/>
      <c r="AF315" s="31">
        <v>136000</v>
      </c>
      <c r="AG315" s="31">
        <v>4000</v>
      </c>
      <c r="AH315" s="31">
        <v>0</v>
      </c>
      <c r="AI315" s="31">
        <v>0</v>
      </c>
      <c r="AJ315" s="31">
        <v>140000</v>
      </c>
      <c r="AK315" s="31">
        <v>140000</v>
      </c>
      <c r="AL315" s="31">
        <v>0</v>
      </c>
      <c r="AM315" s="56">
        <v>140000</v>
      </c>
      <c r="AN315" s="31">
        <v>140000</v>
      </c>
      <c r="AO315" s="31" t="s">
        <v>1568</v>
      </c>
      <c r="AP315" s="23" t="s">
        <v>187</v>
      </c>
      <c r="AQ315" s="23" t="s">
        <v>1284</v>
      </c>
    </row>
    <row r="316" spans="1:43">
      <c r="A316" s="37">
        <v>313</v>
      </c>
      <c r="B316" s="37">
        <v>120</v>
      </c>
      <c r="C316" s="575" t="str">
        <f t="shared" si="44"/>
        <v>南池袋マンション</v>
      </c>
      <c r="D316" s="45" t="s">
        <v>2013</v>
      </c>
      <c r="E316" s="46" t="s">
        <v>1017</v>
      </c>
      <c r="F316" s="324">
        <v>639</v>
      </c>
      <c r="G316" s="566" t="str">
        <f t="shared" si="45"/>
        <v>その他</v>
      </c>
      <c r="H316" s="44" t="s">
        <v>1789</v>
      </c>
      <c r="I316" s="325">
        <v>0</v>
      </c>
      <c r="J316" s="325">
        <v>0</v>
      </c>
      <c r="K316" s="325">
        <v>0</v>
      </c>
      <c r="L316" s="325">
        <v>0</v>
      </c>
      <c r="M316" s="565">
        <f t="shared" si="52"/>
        <v>0</v>
      </c>
      <c r="N316" s="326">
        <v>0</v>
      </c>
      <c r="O316" s="326">
        <v>0</v>
      </c>
      <c r="P316" s="565">
        <f t="shared" si="46"/>
        <v>0</v>
      </c>
      <c r="Q316" s="565">
        <f t="shared" si="53"/>
        <v>0</v>
      </c>
      <c r="R316" s="325" t="s">
        <v>1017</v>
      </c>
      <c r="S316" s="325" t="s">
        <v>283</v>
      </c>
      <c r="T316" s="327" t="s">
        <v>1765</v>
      </c>
      <c r="V316" s="43" t="s">
        <v>2014</v>
      </c>
      <c r="W316" s="55">
        <v>0</v>
      </c>
      <c r="Y316" s="6">
        <f t="shared" si="47"/>
        <v>0</v>
      </c>
      <c r="Z316" s="562">
        <f t="shared" si="48"/>
        <v>0</v>
      </c>
      <c r="AA316" s="122">
        <f t="shared" si="49"/>
        <v>0</v>
      </c>
      <c r="AB316" s="122">
        <f t="shared" si="50"/>
        <v>0</v>
      </c>
      <c r="AC316" s="6">
        <f t="shared" si="51"/>
        <v>0</v>
      </c>
      <c r="AD316" s="563">
        <f t="shared" si="54"/>
        <v>1</v>
      </c>
      <c r="AE316" s="64"/>
      <c r="AF316" s="31">
        <v>0</v>
      </c>
      <c r="AG316" s="31">
        <v>0</v>
      </c>
      <c r="AH316" s="31">
        <v>0</v>
      </c>
      <c r="AI316" s="31">
        <v>0</v>
      </c>
      <c r="AJ316" s="31">
        <v>0</v>
      </c>
      <c r="AK316" s="31">
        <v>0</v>
      </c>
      <c r="AL316" s="31">
        <v>0</v>
      </c>
      <c r="AM316" s="56">
        <v>0</v>
      </c>
      <c r="AN316" s="31">
        <v>0</v>
      </c>
      <c r="AO316" s="31" t="s">
        <v>1017</v>
      </c>
      <c r="AP316" s="23" t="s">
        <v>283</v>
      </c>
      <c r="AQ316" s="23" t="s">
        <v>1765</v>
      </c>
    </row>
    <row r="317" spans="1:43">
      <c r="A317" s="37">
        <v>314</v>
      </c>
      <c r="B317" s="37">
        <v>120</v>
      </c>
      <c r="C317" s="575" t="str">
        <f t="shared" si="44"/>
        <v>南池袋マンション</v>
      </c>
      <c r="D317" s="45" t="s">
        <v>2015</v>
      </c>
      <c r="E317" s="46" t="s">
        <v>846</v>
      </c>
      <c r="F317" s="324">
        <v>637</v>
      </c>
      <c r="G317" s="566" t="str">
        <f t="shared" si="45"/>
        <v>自販機</v>
      </c>
      <c r="H317" s="44" t="s">
        <v>2016</v>
      </c>
      <c r="I317" s="325">
        <v>0</v>
      </c>
      <c r="J317" s="325">
        <v>0</v>
      </c>
      <c r="K317" s="325">
        <v>0</v>
      </c>
      <c r="L317" s="325">
        <v>0</v>
      </c>
      <c r="M317" s="565">
        <f t="shared" si="52"/>
        <v>0</v>
      </c>
      <c r="N317" s="326">
        <v>0</v>
      </c>
      <c r="O317" s="326">
        <v>0</v>
      </c>
      <c r="P317" s="565">
        <f t="shared" si="46"/>
        <v>0</v>
      </c>
      <c r="Q317" s="565">
        <f t="shared" si="53"/>
        <v>0</v>
      </c>
      <c r="R317" s="325" t="s">
        <v>846</v>
      </c>
      <c r="S317" s="325" t="s">
        <v>187</v>
      </c>
      <c r="T317" s="327"/>
      <c r="V317" s="43" t="s">
        <v>2017</v>
      </c>
      <c r="W317" s="55">
        <v>0</v>
      </c>
      <c r="Y317" s="6">
        <f t="shared" si="47"/>
        <v>0</v>
      </c>
      <c r="Z317" s="562">
        <f t="shared" si="48"/>
        <v>0</v>
      </c>
      <c r="AA317" s="122">
        <f t="shared" si="49"/>
        <v>0</v>
      </c>
      <c r="AB317" s="122">
        <f t="shared" si="50"/>
        <v>0</v>
      </c>
      <c r="AC317" s="6">
        <f t="shared" si="51"/>
        <v>0</v>
      </c>
      <c r="AD317" s="563">
        <f t="shared" si="54"/>
        <v>1</v>
      </c>
      <c r="AE317" s="64"/>
      <c r="AF317" s="31">
        <v>0</v>
      </c>
      <c r="AG317" s="31">
        <v>0</v>
      </c>
      <c r="AH317" s="31">
        <v>0</v>
      </c>
      <c r="AI317" s="31">
        <v>0</v>
      </c>
      <c r="AJ317" s="31">
        <v>0</v>
      </c>
      <c r="AK317" s="31">
        <v>0</v>
      </c>
      <c r="AL317" s="31">
        <v>0</v>
      </c>
      <c r="AM317" s="56">
        <v>0</v>
      </c>
      <c r="AN317" s="31">
        <v>0</v>
      </c>
      <c r="AO317" s="31" t="s">
        <v>1017</v>
      </c>
      <c r="AP317" s="23" t="s">
        <v>187</v>
      </c>
    </row>
    <row r="318" spans="1:43">
      <c r="A318" s="34">
        <v>315</v>
      </c>
      <c r="B318" s="34">
        <v>221</v>
      </c>
      <c r="C318" s="568" t="str">
        <f t="shared" si="44"/>
        <v>ビジネス新大阪123号</v>
      </c>
      <c r="D318" s="45" t="s">
        <v>2018</v>
      </c>
      <c r="E318" s="46">
        <v>15.4</v>
      </c>
      <c r="F318" s="324">
        <v>632</v>
      </c>
      <c r="G318" s="566" t="str">
        <f t="shared" si="45"/>
        <v>事務所</v>
      </c>
      <c r="H318" s="44" t="s">
        <v>1709</v>
      </c>
      <c r="I318" s="325">
        <v>0</v>
      </c>
      <c r="J318" s="325">
        <v>0</v>
      </c>
      <c r="K318" s="325">
        <v>0</v>
      </c>
      <c r="L318" s="325">
        <v>0</v>
      </c>
      <c r="M318" s="565">
        <f t="shared" si="52"/>
        <v>0</v>
      </c>
      <c r="N318" s="326">
        <v>35000</v>
      </c>
      <c r="O318" s="326">
        <v>0</v>
      </c>
      <c r="P318" s="565">
        <f t="shared" si="46"/>
        <v>35000</v>
      </c>
      <c r="Q318" s="565">
        <f t="shared" si="53"/>
        <v>35000</v>
      </c>
      <c r="R318" s="325" t="s">
        <v>1017</v>
      </c>
      <c r="S318" s="325" t="s">
        <v>187</v>
      </c>
      <c r="T318" s="327" t="s">
        <v>1714</v>
      </c>
      <c r="V318" s="43" t="s">
        <v>2019</v>
      </c>
      <c r="W318" s="55">
        <v>35000</v>
      </c>
      <c r="Y318" s="6">
        <f t="shared" si="47"/>
        <v>0</v>
      </c>
      <c r="Z318" s="562">
        <f t="shared" si="48"/>
        <v>35000</v>
      </c>
      <c r="AA318" s="122">
        <f t="shared" si="49"/>
        <v>0</v>
      </c>
      <c r="AB318" s="122">
        <f t="shared" si="50"/>
        <v>0</v>
      </c>
      <c r="AC318" s="6">
        <f t="shared" si="51"/>
        <v>1</v>
      </c>
      <c r="AD318" s="563">
        <f t="shared" si="54"/>
        <v>1</v>
      </c>
      <c r="AE318" s="64"/>
      <c r="AF318" s="60">
        <v>0</v>
      </c>
      <c r="AG318" s="60">
        <v>0</v>
      </c>
      <c r="AH318" s="60">
        <v>0</v>
      </c>
      <c r="AI318" s="60">
        <v>0</v>
      </c>
      <c r="AJ318" s="60">
        <v>0</v>
      </c>
      <c r="AK318" s="31">
        <v>35000</v>
      </c>
      <c r="AL318" s="60">
        <v>0</v>
      </c>
      <c r="AM318" s="61">
        <v>35000</v>
      </c>
      <c r="AN318" s="62">
        <v>35000</v>
      </c>
      <c r="AO318" s="62" t="s">
        <v>1017</v>
      </c>
      <c r="AP318" s="23" t="s">
        <v>187</v>
      </c>
      <c r="AQ318" s="23" t="s">
        <v>1714</v>
      </c>
    </row>
    <row r="319" spans="1:43">
      <c r="A319" s="35">
        <v>316</v>
      </c>
      <c r="B319" s="35">
        <v>222</v>
      </c>
      <c r="C319" s="569" t="str">
        <f t="shared" si="44"/>
        <v>プラウD目白301号</v>
      </c>
      <c r="D319" s="45" t="s">
        <v>1580</v>
      </c>
      <c r="E319" s="46">
        <v>76.5</v>
      </c>
      <c r="F319" s="324">
        <v>631</v>
      </c>
      <c r="G319" s="566" t="str">
        <f t="shared" si="45"/>
        <v>住居</v>
      </c>
      <c r="H319" s="44" t="s">
        <v>1688</v>
      </c>
      <c r="I319" s="325">
        <v>0</v>
      </c>
      <c r="J319" s="325">
        <v>0</v>
      </c>
      <c r="K319" s="325">
        <v>0</v>
      </c>
      <c r="L319" s="325">
        <v>0</v>
      </c>
      <c r="M319" s="565">
        <f t="shared" si="52"/>
        <v>0</v>
      </c>
      <c r="N319" s="326">
        <v>295000</v>
      </c>
      <c r="O319" s="326">
        <v>0</v>
      </c>
      <c r="P319" s="565">
        <f t="shared" si="46"/>
        <v>295000</v>
      </c>
      <c r="Q319" s="565">
        <f t="shared" si="53"/>
        <v>295000</v>
      </c>
      <c r="R319" s="325" t="s">
        <v>1017</v>
      </c>
      <c r="S319" s="325" t="s">
        <v>283</v>
      </c>
      <c r="T319" s="327" t="s">
        <v>2020</v>
      </c>
      <c r="V319" s="43" t="s">
        <v>2021</v>
      </c>
      <c r="W319" s="55">
        <v>295000</v>
      </c>
      <c r="Y319" s="6">
        <f t="shared" si="47"/>
        <v>0</v>
      </c>
      <c r="Z319" s="562">
        <f t="shared" si="48"/>
        <v>295000</v>
      </c>
      <c r="AA319" s="122">
        <f t="shared" si="49"/>
        <v>0</v>
      </c>
      <c r="AB319" s="122">
        <f t="shared" si="50"/>
        <v>0</v>
      </c>
      <c r="AC319" s="6">
        <f t="shared" si="51"/>
        <v>1</v>
      </c>
      <c r="AD319" s="563">
        <f t="shared" si="54"/>
        <v>1</v>
      </c>
      <c r="AE319" s="64"/>
      <c r="AF319" s="60">
        <v>250000</v>
      </c>
      <c r="AG319" s="60">
        <v>0</v>
      </c>
      <c r="AH319" s="60">
        <v>0</v>
      </c>
      <c r="AI319" s="60">
        <v>0</v>
      </c>
      <c r="AJ319" s="60">
        <v>0</v>
      </c>
      <c r="AK319" s="31">
        <v>295000</v>
      </c>
      <c r="AL319" s="60">
        <v>0</v>
      </c>
      <c r="AM319" s="61">
        <v>295000</v>
      </c>
      <c r="AN319" s="62">
        <v>295000</v>
      </c>
      <c r="AO319" s="62" t="s">
        <v>1017</v>
      </c>
      <c r="AP319" s="23" t="s">
        <v>283</v>
      </c>
      <c r="AQ319" s="23" t="s">
        <v>2020</v>
      </c>
    </row>
    <row r="320" spans="1:43">
      <c r="A320" s="36">
        <v>317</v>
      </c>
      <c r="B320" s="36">
        <v>121</v>
      </c>
      <c r="C320" s="570" t="str">
        <f t="shared" si="44"/>
        <v>目白アパート1号館</v>
      </c>
      <c r="D320" s="45">
        <v>101</v>
      </c>
      <c r="E320" s="46">
        <v>76.5</v>
      </c>
      <c r="F320" s="324">
        <v>631</v>
      </c>
      <c r="G320" s="566" t="str">
        <f t="shared" si="45"/>
        <v>住居</v>
      </c>
      <c r="H320" s="44" t="s">
        <v>1688</v>
      </c>
      <c r="I320" s="325">
        <v>330000</v>
      </c>
      <c r="J320" s="325">
        <v>0</v>
      </c>
      <c r="K320" s="325">
        <v>0</v>
      </c>
      <c r="L320" s="325">
        <v>0</v>
      </c>
      <c r="M320" s="565">
        <f t="shared" si="52"/>
        <v>330000</v>
      </c>
      <c r="N320" s="326">
        <v>330000</v>
      </c>
      <c r="O320" s="326">
        <v>0</v>
      </c>
      <c r="P320" s="565">
        <f t="shared" si="46"/>
        <v>330000</v>
      </c>
      <c r="Q320" s="565">
        <f t="shared" si="53"/>
        <v>330000</v>
      </c>
      <c r="R320" s="325" t="s">
        <v>1568</v>
      </c>
      <c r="S320" s="325" t="s">
        <v>187</v>
      </c>
      <c r="T320" s="327"/>
      <c r="V320" s="43" t="s">
        <v>2021</v>
      </c>
      <c r="W320" s="55">
        <v>330000</v>
      </c>
      <c r="Y320" s="6">
        <f t="shared" si="47"/>
        <v>1</v>
      </c>
      <c r="Z320" s="562">
        <f t="shared" si="48"/>
        <v>330000</v>
      </c>
      <c r="AA320" s="122">
        <f t="shared" si="49"/>
        <v>0</v>
      </c>
      <c r="AB320" s="122">
        <f t="shared" si="50"/>
        <v>0</v>
      </c>
      <c r="AC320" s="6">
        <f t="shared" si="51"/>
        <v>1</v>
      </c>
      <c r="AD320" s="563">
        <f t="shared" si="54"/>
        <v>1</v>
      </c>
    </row>
    <row r="321" spans="1:30">
      <c r="A321" s="36">
        <v>318</v>
      </c>
      <c r="B321" s="36">
        <v>122</v>
      </c>
      <c r="C321" s="570" t="str">
        <f t="shared" si="44"/>
        <v>目白アパート2号館</v>
      </c>
      <c r="D321" s="45">
        <v>101</v>
      </c>
      <c r="E321" s="46">
        <v>76.5</v>
      </c>
      <c r="F321" s="324">
        <v>631</v>
      </c>
      <c r="G321" s="566" t="str">
        <f t="shared" si="45"/>
        <v>住居</v>
      </c>
      <c r="H321" s="44" t="s">
        <v>1688</v>
      </c>
      <c r="I321" s="325">
        <v>160000</v>
      </c>
      <c r="J321" s="325">
        <v>0</v>
      </c>
      <c r="K321" s="325">
        <v>0</v>
      </c>
      <c r="L321" s="325">
        <v>0</v>
      </c>
      <c r="M321" s="565">
        <f t="shared" si="52"/>
        <v>160000</v>
      </c>
      <c r="N321" s="326">
        <v>160000</v>
      </c>
      <c r="O321" s="326">
        <v>0</v>
      </c>
      <c r="P321" s="565">
        <f t="shared" ref="P321" si="55">N321+O321</f>
        <v>160000</v>
      </c>
      <c r="Q321" s="565">
        <f t="shared" si="53"/>
        <v>160000</v>
      </c>
      <c r="R321" s="325" t="s">
        <v>1568</v>
      </c>
      <c r="S321" s="325" t="s">
        <v>187</v>
      </c>
      <c r="T321" s="327"/>
      <c r="V321" s="43" t="s">
        <v>2021</v>
      </c>
      <c r="W321" s="55">
        <v>160000</v>
      </c>
      <c r="Y321" s="6">
        <f t="shared" ref="Y321" si="56">IF(M321=0,0,1)</f>
        <v>1</v>
      </c>
      <c r="Z321" s="562">
        <f t="shared" ref="Z321" si="57">IF(Y321=1,SUM(I321:K321),N321)</f>
        <v>160000</v>
      </c>
      <c r="AA321" s="122">
        <f t="shared" ref="AA321" si="58">N321-Z321</f>
        <v>0</v>
      </c>
      <c r="AB321" s="122">
        <f t="shared" ref="AB321" si="59">Z321-W321</f>
        <v>0</v>
      </c>
      <c r="AC321" s="6">
        <f t="shared" ref="AC321" si="60">IF(E321="-",0,1)</f>
        <v>1</v>
      </c>
      <c r="AD321" s="563">
        <f t="shared" si="54"/>
        <v>1</v>
      </c>
    </row>
    <row r="322" spans="1:30">
      <c r="D322" s="320"/>
      <c r="E322" s="321"/>
      <c r="F322" s="322"/>
      <c r="G322" s="127"/>
      <c r="H322" s="127"/>
      <c r="I322" s="126"/>
      <c r="J322" s="126"/>
      <c r="K322" s="126"/>
      <c r="L322" s="126"/>
      <c r="M322" s="126"/>
      <c r="N322" s="129"/>
      <c r="O322" s="129"/>
      <c r="P322" s="126"/>
      <c r="Q322" s="126"/>
      <c r="R322" s="126"/>
      <c r="S322" s="126"/>
      <c r="T322" s="323"/>
      <c r="V322" s="127"/>
      <c r="W322" s="55"/>
      <c r="Y322" s="62"/>
      <c r="Z322" s="126"/>
      <c r="AA322" s="31"/>
      <c r="AB322" s="31"/>
      <c r="AC322" s="62"/>
      <c r="AD322" s="127"/>
    </row>
    <row r="323" spans="1:30">
      <c r="G323" s="62"/>
      <c r="M323" s="62"/>
      <c r="P323" s="62"/>
      <c r="Q323" s="62"/>
      <c r="Y323" s="62"/>
      <c r="Z323" s="62"/>
      <c r="AA323" s="62"/>
      <c r="AB323" s="62"/>
      <c r="AC323" s="62"/>
      <c r="AD323" s="62"/>
    </row>
    <row r="324" spans="1:30">
      <c r="G324" s="62"/>
      <c r="M324" s="62"/>
      <c r="P324" s="62"/>
      <c r="Q324" s="62"/>
      <c r="Y324" s="62"/>
      <c r="Z324" s="62"/>
      <c r="AA324" s="62"/>
      <c r="AB324" s="62"/>
      <c r="AC324" s="62"/>
      <c r="AD324" s="62"/>
    </row>
    <row r="325" spans="1:30">
      <c r="G325" s="62"/>
      <c r="M325" s="62"/>
      <c r="P325" s="62"/>
      <c r="Q325" s="62"/>
      <c r="Y325" s="62"/>
      <c r="Z325" s="62"/>
      <c r="AA325" s="62"/>
      <c r="AB325" s="62"/>
      <c r="AC325" s="62"/>
      <c r="AD325" s="62"/>
    </row>
    <row r="326" spans="1:30">
      <c r="G326" s="62"/>
      <c r="M326" s="62"/>
      <c r="P326" s="62"/>
      <c r="Q326" s="62"/>
      <c r="Y326" s="62"/>
      <c r="Z326" s="62"/>
      <c r="AA326" s="62"/>
      <c r="AB326" s="62"/>
      <c r="AC326" s="62"/>
      <c r="AD326" s="62"/>
    </row>
    <row r="327" spans="1:30">
      <c r="G327" s="62"/>
      <c r="M327" s="62"/>
      <c r="P327" s="62"/>
      <c r="Q327" s="62"/>
      <c r="Y327" s="62"/>
      <c r="Z327" s="62"/>
      <c r="AA327" s="62"/>
      <c r="AB327" s="62"/>
      <c r="AC327" s="62"/>
      <c r="AD327" s="62"/>
    </row>
    <row r="328" spans="1:30">
      <c r="G328" s="62"/>
      <c r="M328" s="62"/>
      <c r="P328" s="62"/>
      <c r="Q328" s="62"/>
      <c r="Y328" s="62"/>
      <c r="Z328" s="62"/>
      <c r="AA328" s="62"/>
      <c r="AB328" s="62"/>
      <c r="AC328" s="62"/>
      <c r="AD328" s="62"/>
    </row>
    <row r="329" spans="1:30">
      <c r="G329" s="62"/>
      <c r="M329" s="62"/>
      <c r="P329" s="62"/>
      <c r="Q329" s="62"/>
      <c r="Y329" s="62"/>
      <c r="Z329" s="62"/>
      <c r="AA329" s="62"/>
      <c r="AB329" s="62"/>
      <c r="AC329" s="62"/>
      <c r="AD329" s="62"/>
    </row>
    <row r="330" spans="1:30">
      <c r="G330" s="62"/>
      <c r="M330" s="62"/>
      <c r="P330" s="62"/>
      <c r="Q330" s="62"/>
      <c r="Y330" s="62"/>
      <c r="Z330" s="62"/>
      <c r="AA330" s="62"/>
      <c r="AB330" s="62"/>
      <c r="AC330" s="62"/>
      <c r="AD330" s="62"/>
    </row>
    <row r="331" spans="1:30">
      <c r="G331" s="62"/>
      <c r="M331" s="62"/>
      <c r="P331" s="62"/>
      <c r="Q331" s="62"/>
      <c r="Y331" s="62"/>
      <c r="Z331" s="62"/>
      <c r="AA331" s="62"/>
      <c r="AB331" s="62"/>
      <c r="AC331" s="62"/>
      <c r="AD331" s="62"/>
    </row>
    <row r="332" spans="1:30">
      <c r="G332" s="62"/>
      <c r="M332" s="62"/>
      <c r="P332" s="62"/>
      <c r="Q332" s="62"/>
      <c r="Y332" s="62"/>
      <c r="Z332" s="62"/>
      <c r="AA332" s="62"/>
      <c r="AB332" s="62"/>
      <c r="AC332" s="62"/>
      <c r="AD332" s="62"/>
    </row>
    <row r="333" spans="1:30">
      <c r="G333" s="62"/>
      <c r="M333" s="62"/>
      <c r="P333" s="62"/>
      <c r="Q333" s="62"/>
      <c r="Y333" s="62"/>
      <c r="Z333" s="62"/>
      <c r="AA333" s="62"/>
      <c r="AB333" s="62"/>
      <c r="AC333" s="62"/>
      <c r="AD333" s="62"/>
    </row>
    <row r="334" spans="1:30">
      <c r="G334" s="62"/>
      <c r="M334" s="62"/>
      <c r="P334" s="62"/>
      <c r="Q334" s="62"/>
      <c r="Y334" s="62"/>
      <c r="Z334" s="62"/>
      <c r="AA334" s="62"/>
      <c r="AB334" s="62"/>
      <c r="AC334" s="62"/>
      <c r="AD334" s="62"/>
    </row>
    <row r="335" spans="1:30">
      <c r="G335" s="62"/>
      <c r="M335" s="62"/>
      <c r="P335" s="62"/>
      <c r="Q335" s="62"/>
      <c r="Y335" s="62"/>
      <c r="Z335" s="62"/>
      <c r="AA335" s="62"/>
      <c r="AB335" s="62"/>
      <c r="AC335" s="62"/>
      <c r="AD335" s="62"/>
    </row>
    <row r="336" spans="1:30">
      <c r="G336" s="62"/>
      <c r="M336" s="62"/>
      <c r="P336" s="62"/>
      <c r="Q336" s="62"/>
      <c r="Y336" s="62"/>
      <c r="Z336" s="62"/>
      <c r="AA336" s="62"/>
      <c r="AB336" s="62"/>
      <c r="AC336" s="62"/>
      <c r="AD336" s="62"/>
    </row>
    <row r="337" spans="7:30">
      <c r="G337" s="62"/>
      <c r="M337" s="62"/>
      <c r="P337" s="62"/>
      <c r="Q337" s="62"/>
      <c r="Y337" s="62"/>
      <c r="Z337" s="62"/>
      <c r="AA337" s="62"/>
      <c r="AB337" s="62"/>
      <c r="AC337" s="62"/>
      <c r="AD337" s="62"/>
    </row>
    <row r="338" spans="7:30">
      <c r="G338" s="62"/>
      <c r="M338" s="62"/>
      <c r="P338" s="62"/>
      <c r="Q338" s="62"/>
      <c r="Y338" s="62"/>
      <c r="Z338" s="62"/>
      <c r="AA338" s="62"/>
      <c r="AB338" s="62"/>
      <c r="AC338" s="62"/>
      <c r="AD338" s="62"/>
    </row>
    <row r="339" spans="7:30">
      <c r="G339" s="62"/>
      <c r="M339" s="62"/>
      <c r="P339" s="62"/>
      <c r="Q339" s="62"/>
      <c r="Y339" s="62"/>
      <c r="Z339" s="62"/>
      <c r="AA339" s="62"/>
      <c r="AB339" s="62"/>
      <c r="AC339" s="62"/>
      <c r="AD339" s="62"/>
    </row>
    <row r="340" spans="7:30">
      <c r="G340" s="62"/>
      <c r="M340" s="62"/>
      <c r="P340" s="62"/>
      <c r="Q340" s="62"/>
      <c r="Y340" s="62"/>
      <c r="Z340" s="62"/>
      <c r="AA340" s="62"/>
      <c r="AB340" s="62"/>
      <c r="AC340" s="62"/>
      <c r="AD340" s="62"/>
    </row>
    <row r="341" spans="7:30">
      <c r="G341" s="62"/>
      <c r="M341" s="62"/>
      <c r="P341" s="62"/>
      <c r="Q341" s="62"/>
      <c r="Y341" s="62"/>
      <c r="Z341" s="62"/>
      <c r="AA341" s="62"/>
      <c r="AB341" s="62"/>
      <c r="AC341" s="62"/>
      <c r="AD341" s="62"/>
    </row>
    <row r="342" spans="7:30">
      <c r="G342" s="62"/>
      <c r="M342" s="62"/>
      <c r="P342" s="62"/>
      <c r="Q342" s="62"/>
      <c r="Y342" s="62"/>
      <c r="Z342" s="62"/>
      <c r="AA342" s="62"/>
      <c r="AB342" s="62"/>
      <c r="AC342" s="62"/>
      <c r="AD342" s="62"/>
    </row>
    <row r="343" spans="7:30">
      <c r="G343" s="62"/>
      <c r="M343" s="62"/>
      <c r="P343" s="62"/>
      <c r="Q343" s="62"/>
      <c r="Y343" s="62"/>
      <c r="Z343" s="62"/>
      <c r="AA343" s="62"/>
      <c r="AB343" s="62"/>
      <c r="AC343" s="62"/>
      <c r="AD343" s="62"/>
    </row>
    <row r="344" spans="7:30">
      <c r="G344" s="62"/>
      <c r="M344" s="62"/>
      <c r="P344" s="62"/>
      <c r="Q344" s="62"/>
      <c r="Y344" s="62"/>
      <c r="Z344" s="62"/>
      <c r="AA344" s="62"/>
      <c r="AB344" s="62"/>
      <c r="AC344" s="62"/>
      <c r="AD344" s="62"/>
    </row>
    <row r="345" spans="7:30">
      <c r="G345" s="62"/>
      <c r="M345" s="62"/>
      <c r="P345" s="62"/>
      <c r="Q345" s="62"/>
      <c r="Y345" s="62"/>
      <c r="Z345" s="62"/>
      <c r="AA345" s="62"/>
      <c r="AB345" s="62"/>
      <c r="AC345" s="62"/>
      <c r="AD345" s="62"/>
    </row>
    <row r="346" spans="7:30">
      <c r="G346" s="62"/>
      <c r="M346" s="62"/>
      <c r="P346" s="62"/>
      <c r="Q346" s="62"/>
      <c r="Y346" s="62"/>
      <c r="Z346" s="62"/>
      <c r="AA346" s="62"/>
      <c r="AB346" s="62"/>
      <c r="AC346" s="62"/>
      <c r="AD346" s="62"/>
    </row>
    <row r="347" spans="7:30">
      <c r="G347" s="62"/>
      <c r="M347" s="62"/>
      <c r="P347" s="62"/>
      <c r="Q347" s="62"/>
      <c r="Y347" s="62"/>
      <c r="Z347" s="62"/>
      <c r="AA347" s="62"/>
      <c r="AB347" s="62"/>
      <c r="AC347" s="62"/>
      <c r="AD347" s="62"/>
    </row>
    <row r="348" spans="7:30">
      <c r="G348" s="62"/>
      <c r="M348" s="62"/>
      <c r="P348" s="62"/>
      <c r="Q348" s="62"/>
      <c r="Y348" s="62"/>
      <c r="Z348" s="62"/>
      <c r="AA348" s="62"/>
      <c r="AB348" s="62"/>
      <c r="AC348" s="62"/>
      <c r="AD348" s="62"/>
    </row>
    <row r="349" spans="7:30">
      <c r="G349" s="62"/>
      <c r="M349" s="62"/>
      <c r="P349" s="62"/>
      <c r="Q349" s="62"/>
      <c r="Y349" s="62"/>
      <c r="Z349" s="62"/>
      <c r="AA349" s="62"/>
      <c r="AB349" s="62"/>
      <c r="AC349" s="62"/>
      <c r="AD349" s="62"/>
    </row>
    <row r="350" spans="7:30">
      <c r="G350" s="62"/>
      <c r="M350" s="62"/>
      <c r="P350" s="62"/>
      <c r="Q350" s="62"/>
      <c r="Y350" s="62"/>
      <c r="Z350" s="62"/>
      <c r="AA350" s="62"/>
      <c r="AB350" s="62"/>
      <c r="AC350" s="62"/>
      <c r="AD350" s="62"/>
    </row>
    <row r="351" spans="7:30">
      <c r="G351" s="62"/>
      <c r="M351" s="62"/>
      <c r="P351" s="62"/>
      <c r="Q351" s="62"/>
      <c r="Y351" s="62"/>
      <c r="Z351" s="62"/>
      <c r="AA351" s="62"/>
      <c r="AB351" s="62"/>
      <c r="AC351" s="62"/>
      <c r="AD351" s="62"/>
    </row>
    <row r="352" spans="7:30">
      <c r="G352" s="62"/>
      <c r="M352" s="62"/>
      <c r="P352" s="62"/>
      <c r="Q352" s="62"/>
      <c r="Y352" s="62"/>
      <c r="Z352" s="62"/>
      <c r="AA352" s="62"/>
      <c r="AB352" s="62"/>
      <c r="AC352" s="62"/>
      <c r="AD352" s="62"/>
    </row>
    <row r="353" spans="7:30">
      <c r="G353" s="62"/>
      <c r="M353" s="62"/>
      <c r="P353" s="62"/>
      <c r="Q353" s="62"/>
      <c r="Y353" s="62"/>
      <c r="Z353" s="62"/>
      <c r="AA353" s="62"/>
      <c r="AB353" s="62"/>
      <c r="AC353" s="62"/>
      <c r="AD353" s="62"/>
    </row>
    <row r="354" spans="7:30">
      <c r="G354" s="62"/>
      <c r="M354" s="62"/>
      <c r="P354" s="62"/>
      <c r="Q354" s="62"/>
      <c r="Y354" s="62"/>
      <c r="Z354" s="62"/>
      <c r="AA354" s="62"/>
      <c r="AB354" s="62"/>
      <c r="AC354" s="62"/>
      <c r="AD354" s="62"/>
    </row>
    <row r="355" spans="7:30">
      <c r="G355" s="62"/>
      <c r="M355" s="62"/>
      <c r="P355" s="62"/>
      <c r="Q355" s="62"/>
      <c r="Y355" s="62"/>
      <c r="Z355" s="62"/>
      <c r="AA355" s="62"/>
      <c r="AB355" s="62"/>
      <c r="AC355" s="62"/>
      <c r="AD355" s="62"/>
    </row>
    <row r="356" spans="7:30">
      <c r="G356" s="62"/>
      <c r="M356" s="62"/>
      <c r="P356" s="62"/>
      <c r="Q356" s="62"/>
      <c r="Y356" s="62"/>
      <c r="Z356" s="62"/>
      <c r="AA356" s="62"/>
      <c r="AB356" s="62"/>
      <c r="AC356" s="62"/>
      <c r="AD356" s="62"/>
    </row>
    <row r="357" spans="7:30">
      <c r="G357" s="62"/>
      <c r="M357" s="62"/>
      <c r="P357" s="62"/>
      <c r="Q357" s="62"/>
      <c r="Y357" s="62"/>
      <c r="Z357" s="62"/>
      <c r="AA357" s="62"/>
      <c r="AB357" s="62"/>
      <c r="AC357" s="62"/>
      <c r="AD357" s="62"/>
    </row>
    <row r="358" spans="7:30">
      <c r="G358" s="62"/>
      <c r="M358" s="62"/>
      <c r="P358" s="62"/>
      <c r="Q358" s="62"/>
      <c r="Y358" s="62"/>
      <c r="Z358" s="62"/>
      <c r="AA358" s="62"/>
      <c r="AB358" s="62"/>
      <c r="AC358" s="62"/>
      <c r="AD358" s="62"/>
    </row>
    <row r="359" spans="7:30">
      <c r="G359" s="62"/>
      <c r="M359" s="62"/>
      <c r="P359" s="62"/>
      <c r="Q359" s="62"/>
      <c r="Y359" s="62"/>
      <c r="Z359" s="62"/>
      <c r="AA359" s="62"/>
      <c r="AB359" s="62"/>
      <c r="AC359" s="62"/>
      <c r="AD359" s="62"/>
    </row>
    <row r="360" spans="7:30">
      <c r="G360" s="62"/>
      <c r="M360" s="62"/>
      <c r="P360" s="62"/>
      <c r="Q360" s="62"/>
      <c r="Y360" s="62"/>
      <c r="Z360" s="62"/>
      <c r="AA360" s="62"/>
      <c r="AB360" s="62"/>
      <c r="AC360" s="62"/>
      <c r="AD360" s="62"/>
    </row>
    <row r="361" spans="7:30">
      <c r="G361" s="62"/>
      <c r="M361" s="62"/>
      <c r="P361" s="62"/>
      <c r="Q361" s="62"/>
      <c r="Y361" s="62"/>
      <c r="Z361" s="62"/>
      <c r="AA361" s="62"/>
      <c r="AB361" s="62"/>
      <c r="AC361" s="62"/>
      <c r="AD361" s="62"/>
    </row>
    <row r="362" spans="7:30">
      <c r="G362" s="62"/>
      <c r="M362" s="62"/>
      <c r="P362" s="62"/>
      <c r="Q362" s="62"/>
      <c r="Y362" s="62"/>
      <c r="Z362" s="62"/>
      <c r="AA362" s="62"/>
      <c r="AB362" s="62"/>
      <c r="AC362" s="62"/>
      <c r="AD362" s="62"/>
    </row>
    <row r="363" spans="7:30">
      <c r="G363" s="62"/>
      <c r="M363" s="62"/>
      <c r="P363" s="62"/>
      <c r="Q363" s="62"/>
      <c r="Y363" s="62"/>
      <c r="Z363" s="62"/>
      <c r="AA363" s="62"/>
      <c r="AB363" s="62"/>
      <c r="AC363" s="62"/>
      <c r="AD363" s="62"/>
    </row>
    <row r="364" spans="7:30">
      <c r="G364" s="62"/>
      <c r="M364" s="62"/>
      <c r="P364" s="62"/>
      <c r="Q364" s="62"/>
      <c r="Y364" s="62"/>
      <c r="Z364" s="62"/>
      <c r="AA364" s="62"/>
      <c r="AB364" s="62"/>
      <c r="AC364" s="62"/>
      <c r="AD364" s="62"/>
    </row>
    <row r="365" spans="7:30">
      <c r="G365" s="62"/>
      <c r="M365" s="62"/>
      <c r="P365" s="62"/>
      <c r="Q365" s="62"/>
      <c r="Y365" s="62"/>
      <c r="Z365" s="62"/>
      <c r="AA365" s="62"/>
      <c r="AB365" s="62"/>
      <c r="AC365" s="62"/>
      <c r="AD365" s="62"/>
    </row>
    <row r="366" spans="7:30">
      <c r="G366" s="62"/>
      <c r="M366" s="62"/>
      <c r="P366" s="62"/>
      <c r="Q366" s="62"/>
      <c r="Y366" s="62"/>
      <c r="Z366" s="62"/>
      <c r="AA366" s="62"/>
      <c r="AB366" s="62"/>
      <c r="AC366" s="62"/>
      <c r="AD366" s="62"/>
    </row>
    <row r="367" spans="7:30">
      <c r="G367" s="62"/>
      <c r="M367" s="62"/>
      <c r="P367" s="62"/>
      <c r="Q367" s="62"/>
      <c r="Y367" s="62"/>
      <c r="Z367" s="62"/>
      <c r="AA367" s="62"/>
      <c r="AB367" s="62"/>
      <c r="AC367" s="62"/>
      <c r="AD367" s="62"/>
    </row>
  </sheetData>
  <sheetProtection sheet="1" formatCells="0" formatColumns="0" formatRows="0" insertColumns="0" insertRows="0" insertHyperlinks="0" deleteColumns="0" deleteRows="0" sort="0" autoFilter="0" pivotTables="0"/>
  <mergeCells count="1">
    <mergeCell ref="A2:C2"/>
  </mergeCells>
  <phoneticPr fontId="5"/>
  <dataValidations count="1">
    <dataValidation type="whole" operator="greaterThanOrEqual" allowBlank="1" showInputMessage="1" showErrorMessage="1" error="0以上の数値を入れてください" sqref="N4:P1048576" xr:uid="{EF932386-83A8-4494-A4AE-38CB7A405DAD}">
      <formula1>0</formula1>
    </dataValidation>
  </dataValidations>
  <pageMargins left="0.25" right="0.25" top="0.75" bottom="0.75" header="0.3" footer="0.3"/>
  <pageSetup paperSize="8" fitToHeight="0" orientation="landscape" horizontalDpi="1200" verticalDpi="1200" r:id="rId1"/>
  <headerFooter>
    <oddHeader>&amp;A</oddHeader>
    <oddFooter>&amp;P / &amp;N ページ</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2606B-3398-4C91-83BC-DE58ABF462E1}">
  <sheetPr>
    <pageSetUpPr fitToPage="1"/>
  </sheetPr>
  <dimension ref="A1:L122"/>
  <sheetViews>
    <sheetView view="pageBreakPreview" zoomScaleNormal="100" zoomScaleSheetLayoutView="100" workbookViewId="0"/>
  </sheetViews>
  <sheetFormatPr defaultRowHeight="13.5"/>
  <cols>
    <col min="1" max="1" width="7.125" style="23" customWidth="1"/>
    <col min="2" max="2" width="24.125" style="23" customWidth="1"/>
    <col min="3" max="10" width="13.125" style="23" customWidth="1"/>
    <col min="11" max="11" width="12.5" style="23" customWidth="1"/>
    <col min="12" max="13" width="13.75" style="23" customWidth="1"/>
    <col min="14" max="16384" width="9" style="23"/>
  </cols>
  <sheetData>
    <row r="1" spans="1:12" ht="17.25">
      <c r="A1" s="63" t="s">
        <v>2022</v>
      </c>
      <c r="B1" s="64"/>
      <c r="C1" s="64"/>
      <c r="D1" s="64"/>
      <c r="E1" s="64"/>
      <c r="F1" s="64"/>
      <c r="G1" s="64"/>
      <c r="H1" s="64"/>
      <c r="I1" s="64"/>
      <c r="J1" s="64"/>
    </row>
    <row r="2" spans="1:12" ht="24">
      <c r="A2" s="636">
        <f>settings!L14</f>
        <v>44561</v>
      </c>
      <c r="B2" s="636"/>
      <c r="C2" s="64"/>
      <c r="D2" s="64"/>
      <c r="E2" s="64"/>
      <c r="F2" s="64"/>
      <c r="G2" s="64"/>
      <c r="H2" s="64"/>
      <c r="I2" s="64"/>
      <c r="J2" s="65"/>
    </row>
    <row r="3" spans="1:12" ht="24">
      <c r="A3" s="63"/>
      <c r="B3" s="64"/>
      <c r="C3" s="64"/>
      <c r="D3" s="64"/>
      <c r="E3" s="64"/>
      <c r="F3" s="64"/>
      <c r="G3" s="64"/>
      <c r="H3" s="64"/>
      <c r="I3" s="64"/>
      <c r="J3" s="65"/>
    </row>
    <row r="4" spans="1:12">
      <c r="A4" s="578" t="s">
        <v>136</v>
      </c>
      <c r="B4" s="579"/>
      <c r="C4" s="579"/>
      <c r="D4" s="579"/>
      <c r="E4" s="579"/>
      <c r="F4" s="579"/>
      <c r="G4" s="579"/>
      <c r="H4" s="579"/>
      <c r="I4" s="579"/>
      <c r="J4" s="579"/>
      <c r="K4" s="579"/>
      <c r="L4" s="580"/>
    </row>
    <row r="5" spans="1:12">
      <c r="A5" s="581" t="s">
        <v>53</v>
      </c>
      <c r="B5" s="581" t="s">
        <v>54</v>
      </c>
      <c r="C5" s="581" t="s">
        <v>190</v>
      </c>
      <c r="D5" s="581" t="s">
        <v>194</v>
      </c>
      <c r="E5" s="581" t="s">
        <v>724</v>
      </c>
      <c r="F5" s="581" t="s">
        <v>725</v>
      </c>
      <c r="G5" s="581" t="s">
        <v>723</v>
      </c>
      <c r="H5" s="581" t="s">
        <v>196</v>
      </c>
      <c r="I5" s="581" t="s">
        <v>197</v>
      </c>
      <c r="J5" s="581" t="s">
        <v>193</v>
      </c>
      <c r="K5" s="581" t="s">
        <v>2023</v>
      </c>
      <c r="L5" s="581" t="s">
        <v>200</v>
      </c>
    </row>
    <row r="6" spans="1:12">
      <c r="A6">
        <v>101</v>
      </c>
      <c r="B6" t="str">
        <f t="shared" ref="B6:B25" si="0">VLOOKUP(A6,id_settings,2,FALSE)</f>
        <v>西池袋駅前ビル</v>
      </c>
      <c r="C6" s="99">
        <f>GETPIVOTDATA("年換算(×12)",pivot!$J$5,"物件名",$B6,"BM費用項目(自動)",C$5)</f>
        <v>596640</v>
      </c>
      <c r="D6" s="99">
        <f>GETPIVOTDATA("年換算(×12)",pivot!$J$5,"物件名",$B6,"BM費用項目(自動)",D$5)</f>
        <v>11830</v>
      </c>
      <c r="E6" s="99">
        <f>GETPIVOTDATA("年換算(×12)",pivot!$J$5,"物件名",$B6,"BM費用項目(自動)",E$5)</f>
        <v>251892</v>
      </c>
      <c r="F6" s="99">
        <f>GETPIVOTDATA("年換算(×12)",pivot!$J$5,"物件名",$B6,"BM費用項目(自動)",F$5)</f>
        <v>0</v>
      </c>
      <c r="G6" s="99">
        <f>GETPIVOTDATA("年換算(×12)",pivot!$J$5,"物件名",$B6,"BM費用項目(自動)",G$5)</f>
        <v>18744</v>
      </c>
      <c r="H6" s="99">
        <f>GETPIVOTDATA("年換算(×12)",pivot!$J$5,"物件名",$B6,"BM費用項目(自動)",H$5)</f>
        <v>0</v>
      </c>
      <c r="I6" s="99">
        <f>GETPIVOTDATA("年換算(×12)",pivot!$J$5,"物件名",$B6,"BM費用項目(自動)",I$5)</f>
        <v>0</v>
      </c>
      <c r="J6" s="99">
        <f>GETPIVOTDATA("年換算(×12)",pivot!$J$5,"物件名",$B6,"BM費用項目(自動)",J$5)</f>
        <v>144564</v>
      </c>
      <c r="K6" s="99">
        <f>GETPIVOTDATA("年換算(×12)",pivot!$J$5,"物件名",$B6,"BM費用項目(自動)",K$5)</f>
        <v>0</v>
      </c>
      <c r="L6" s="99">
        <f>SUM(C6:K6)</f>
        <v>1023670</v>
      </c>
    </row>
    <row r="7" spans="1:12">
      <c r="A7">
        <v>102</v>
      </c>
      <c r="B7" t="str">
        <f t="shared" si="0"/>
        <v>池袋ハウス</v>
      </c>
      <c r="C7" s="99">
        <f>GETPIVOTDATA("年換算(×12)",pivot!$J$5,"物件名",$B7,"BM費用項目(自動)",C$5)</f>
        <v>1708080</v>
      </c>
      <c r="D7" s="99">
        <f>GETPIVOTDATA("年換算(×12)",pivot!$J$5,"物件名",$B7,"BM費用項目(自動)",D$5)</f>
        <v>44050</v>
      </c>
      <c r="E7" s="99">
        <f>GETPIVOTDATA("年換算(×12)",pivot!$J$5,"物件名",$B7,"BM費用項目(自動)",E$5)</f>
        <v>382320</v>
      </c>
      <c r="F7" s="99">
        <f>GETPIVOTDATA("年換算(×12)",pivot!$J$5,"物件名",$B7,"BM費用項目(自動)",F$5)</f>
        <v>273012</v>
      </c>
      <c r="G7" s="99">
        <f>GETPIVOTDATA("年換算(×12)",pivot!$J$5,"物件名",$B7,"BM費用項目(自動)",G$5)</f>
        <v>45672</v>
      </c>
      <c r="H7" s="99">
        <f>GETPIVOTDATA("年換算(×12)",pivot!$J$5,"物件名",$B7,"BM費用項目(自動)",H$5)</f>
        <v>0</v>
      </c>
      <c r="I7" s="99">
        <f>GETPIVOTDATA("年換算(×12)",pivot!$J$5,"物件名",$B7,"BM費用項目(自動)",I$5)</f>
        <v>0</v>
      </c>
      <c r="J7" s="99">
        <f>GETPIVOTDATA("年換算(×12)",pivot!$J$5,"物件名",$B7,"BM費用項目(自動)",J$5)</f>
        <v>132000</v>
      </c>
      <c r="K7" s="99">
        <f>GETPIVOTDATA("年換算(×12)",pivot!$J$5,"物件名",$B7,"BM費用項目(自動)",K$5)</f>
        <v>0</v>
      </c>
      <c r="L7" s="99">
        <f t="shared" ref="L7:L25" si="1">SUM(C7:K7)</f>
        <v>2585134</v>
      </c>
    </row>
    <row r="8" spans="1:12">
      <c r="A8">
        <v>103</v>
      </c>
      <c r="B8" t="str">
        <f t="shared" si="0"/>
        <v>カーサ目白台ハウス</v>
      </c>
      <c r="C8" s="99">
        <f>GETPIVOTDATA("年換算(×12)",pivot!$J$5,"物件名",$B8,"BM費用項目(自動)",C$5)</f>
        <v>1457280</v>
      </c>
      <c r="D8" s="99">
        <f>GETPIVOTDATA("年換算(×12)",pivot!$J$5,"物件名",$B8,"BM費用項目(自動)",D$5)</f>
        <v>19430</v>
      </c>
      <c r="E8" s="99">
        <f>GETPIVOTDATA("年換算(×12)",pivot!$J$5,"物件名",$B8,"BM費用項目(自動)",E$5)</f>
        <v>151992</v>
      </c>
      <c r="F8" s="99">
        <f>GETPIVOTDATA("年換算(×12)",pivot!$J$5,"物件名",$B8,"BM費用項目(自動)",F$5)</f>
        <v>286488</v>
      </c>
      <c r="G8" s="99">
        <f>GETPIVOTDATA("年換算(×12)",pivot!$J$5,"物件名",$B8,"BM費用項目(自動)",G$5)</f>
        <v>18744</v>
      </c>
      <c r="H8" s="99">
        <f>GETPIVOTDATA("年換算(×12)",pivot!$J$5,"物件名",$B8,"BM費用項目(自動)",H$5)</f>
        <v>0</v>
      </c>
      <c r="I8" s="99">
        <f>GETPIVOTDATA("年換算(×12)",pivot!$J$5,"物件名",$B8,"BM費用項目(自動)",I$5)</f>
        <v>0</v>
      </c>
      <c r="J8" s="99">
        <f>GETPIVOTDATA("年換算(×12)",pivot!$J$5,"物件名",$B8,"BM費用項目(自動)",J$5)</f>
        <v>0</v>
      </c>
      <c r="K8" s="99">
        <f>GETPIVOTDATA("年換算(×12)",pivot!$J$5,"物件名",$B8,"BM費用項目(自動)",K$5)</f>
        <v>0</v>
      </c>
      <c r="L8" s="99">
        <f t="shared" si="1"/>
        <v>1933934</v>
      </c>
    </row>
    <row r="9" spans="1:12">
      <c r="A9">
        <v>104</v>
      </c>
      <c r="B9" t="str">
        <f t="shared" si="0"/>
        <v>コアプラス池袋</v>
      </c>
      <c r="C9" s="99">
        <f>GETPIVOTDATA("年換算(×12)",pivot!$J$5,"物件名",$B9,"BM費用項目(自動)",C$5)</f>
        <v>376200</v>
      </c>
      <c r="D9" s="99">
        <f>GETPIVOTDATA("年換算(×12)",pivot!$J$5,"物件名",$B9,"BM費用項目(自動)",D$5)</f>
        <v>6600</v>
      </c>
      <c r="E9" s="99">
        <f>GETPIVOTDATA("年換算(×12)",pivot!$J$5,"物件名",$B9,"BM費用項目(自動)",E$5)</f>
        <v>12372</v>
      </c>
      <c r="F9" s="99">
        <f>GETPIVOTDATA("年換算(×12)",pivot!$J$5,"物件名",$B9,"BM費用項目(自動)",F$5)</f>
        <v>0</v>
      </c>
      <c r="G9" s="99">
        <f>GETPIVOTDATA("年換算(×12)",pivot!$J$5,"物件名",$B9,"BM費用項目(自動)",G$5)</f>
        <v>22836</v>
      </c>
      <c r="H9" s="99">
        <f>GETPIVOTDATA("年換算(×12)",pivot!$J$5,"物件名",$B9,"BM費用項目(自動)",H$5)</f>
        <v>0</v>
      </c>
      <c r="I9" s="99">
        <f>GETPIVOTDATA("年換算(×12)",pivot!$J$5,"物件名",$B9,"BM費用項目(自動)",I$5)</f>
        <v>0</v>
      </c>
      <c r="J9" s="99">
        <f>GETPIVOTDATA("年換算(×12)",pivot!$J$5,"物件名",$B9,"BM費用項目(自動)",J$5)</f>
        <v>0</v>
      </c>
      <c r="K9" s="99">
        <f>GETPIVOTDATA("年換算(×12)",pivot!$J$5,"物件名",$B9,"BM費用項目(自動)",K$5)</f>
        <v>0</v>
      </c>
      <c r="L9" s="99">
        <f t="shared" si="1"/>
        <v>418008</v>
      </c>
    </row>
    <row r="10" spans="1:12">
      <c r="A10">
        <v>105</v>
      </c>
      <c r="B10" t="str">
        <f t="shared" si="0"/>
        <v>目白アパート</v>
      </c>
      <c r="C10" s="99">
        <f>GETPIVOTDATA("年換算(×12)",pivot!$J$5,"物件名",$B10,"BM費用項目(自動)",C$5)</f>
        <v>1157640</v>
      </c>
      <c r="D10" s="99">
        <f>GETPIVOTDATA("年換算(×12)",pivot!$J$5,"物件名",$B10,"BM費用項目(自動)",D$5)</f>
        <v>20710</v>
      </c>
      <c r="E10" s="99">
        <f>GETPIVOTDATA("年換算(×12)",pivot!$J$5,"物件名",$B10,"BM費用項目(自動)",E$5)</f>
        <v>217104</v>
      </c>
      <c r="F10" s="99">
        <f>GETPIVOTDATA("年換算(×12)",pivot!$J$5,"物件名",$B10,"BM費用項目(自動)",F$5)</f>
        <v>162288</v>
      </c>
      <c r="G10" s="99">
        <f>GETPIVOTDATA("年換算(×12)",pivot!$J$5,"物件名",$B10,"BM費用項目(自動)",G$5)</f>
        <v>22836</v>
      </c>
      <c r="H10" s="99">
        <f>GETPIVOTDATA("年換算(×12)",pivot!$J$5,"物件名",$B10,"BM費用項目(自動)",H$5)</f>
        <v>0</v>
      </c>
      <c r="I10" s="99">
        <f>GETPIVOTDATA("年換算(×12)",pivot!$J$5,"物件名",$B10,"BM費用項目(自動)",I$5)</f>
        <v>0</v>
      </c>
      <c r="J10" s="99">
        <f>GETPIVOTDATA("年換算(×12)",pivot!$J$5,"物件名",$B10,"BM費用項目(自動)",J$5)</f>
        <v>0</v>
      </c>
      <c r="K10" s="99">
        <f>GETPIVOTDATA("年換算(×12)",pivot!$J$5,"物件名",$B10,"BM費用項目(自動)",K$5)</f>
        <v>0</v>
      </c>
      <c r="L10" s="99">
        <f t="shared" si="1"/>
        <v>1580578</v>
      </c>
    </row>
    <row r="11" spans="1:12">
      <c r="A11">
        <v>106</v>
      </c>
      <c r="B11" t="str">
        <f t="shared" si="0"/>
        <v>東池袋ハイツ</v>
      </c>
      <c r="C11" s="99">
        <f>GETPIVOTDATA("年換算(×12)",pivot!$J$5,"物件名",$B11,"BM費用項目(自動)",C$5)</f>
        <v>1801800</v>
      </c>
      <c r="D11" s="99">
        <f>GETPIVOTDATA("年換算(×12)",pivot!$J$5,"物件名",$B11,"BM費用項目(自動)",D$5)</f>
        <v>45780</v>
      </c>
      <c r="E11" s="99">
        <f>GETPIVOTDATA("年換算(×12)",pivot!$J$5,"物件名",$B11,"BM費用項目(自動)",E$5)</f>
        <v>277608</v>
      </c>
      <c r="F11" s="99">
        <f>GETPIVOTDATA("年換算(×12)",pivot!$J$5,"物件名",$B11,"BM費用項目(自動)",F$5)</f>
        <v>164676</v>
      </c>
      <c r="G11" s="99">
        <f>GETPIVOTDATA("年換算(×12)",pivot!$J$5,"物件名",$B11,"BM費用項目(自動)",G$5)</f>
        <v>18744</v>
      </c>
      <c r="H11" s="99">
        <f>GETPIVOTDATA("年換算(×12)",pivot!$J$5,"物件名",$B11,"BM費用項目(自動)",H$5)</f>
        <v>0</v>
      </c>
      <c r="I11" s="99">
        <f>GETPIVOTDATA("年換算(×12)",pivot!$J$5,"物件名",$B11,"BM費用項目(自動)",I$5)</f>
        <v>0</v>
      </c>
      <c r="J11" s="99">
        <f>GETPIVOTDATA("年換算(×12)",pivot!$J$5,"物件名",$B11,"BM費用項目(自動)",J$5)</f>
        <v>0</v>
      </c>
      <c r="K11" s="99">
        <f>GETPIVOTDATA("年換算(×12)",pivot!$J$5,"物件名",$B11,"BM費用項目(自動)",K$5)</f>
        <v>0</v>
      </c>
      <c r="L11" s="99">
        <f t="shared" si="1"/>
        <v>2308608</v>
      </c>
    </row>
    <row r="12" spans="1:12">
      <c r="A12">
        <v>107</v>
      </c>
      <c r="B12" t="str">
        <f t="shared" si="0"/>
        <v>メゾン雑司ヶ谷</v>
      </c>
      <c r="C12" s="99">
        <f>GETPIVOTDATA("年換算(×12)",pivot!$J$5,"物件名",$B12,"BM費用項目(自動)",C$5)</f>
        <v>869880</v>
      </c>
      <c r="D12" s="99">
        <f>GETPIVOTDATA("年換算(×12)",pivot!$J$5,"物件名",$B12,"BM費用項目(自動)",D$5)</f>
        <v>20610</v>
      </c>
      <c r="E12" s="99">
        <f>GETPIVOTDATA("年換算(×12)",pivot!$J$5,"物件名",$B12,"BM費用項目(自動)",E$5)</f>
        <v>52092</v>
      </c>
      <c r="F12" s="99">
        <f>GETPIVOTDATA("年換算(×12)",pivot!$J$5,"物件名",$B12,"BM費用項目(自動)",F$5)</f>
        <v>107712</v>
      </c>
      <c r="G12" s="99">
        <f>GETPIVOTDATA("年換算(×12)",pivot!$J$5,"物件名",$B12,"BM費用項目(自動)",G$5)</f>
        <v>22836</v>
      </c>
      <c r="H12" s="99">
        <f>GETPIVOTDATA("年換算(×12)",pivot!$J$5,"物件名",$B12,"BM費用項目(自動)",H$5)</f>
        <v>0</v>
      </c>
      <c r="I12" s="99">
        <f>GETPIVOTDATA("年換算(×12)",pivot!$J$5,"物件名",$B12,"BM費用項目(自動)",I$5)</f>
        <v>0</v>
      </c>
      <c r="J12" s="99">
        <f>GETPIVOTDATA("年換算(×12)",pivot!$J$5,"物件名",$B12,"BM費用項目(自動)",J$5)</f>
        <v>0</v>
      </c>
      <c r="K12" s="99">
        <f>GETPIVOTDATA("年換算(×12)",pivot!$J$5,"物件名",$B12,"BM費用項目(自動)",K$5)</f>
        <v>0</v>
      </c>
      <c r="L12" s="99">
        <f t="shared" si="1"/>
        <v>1073130</v>
      </c>
    </row>
    <row r="13" spans="1:12">
      <c r="A13">
        <v>109</v>
      </c>
      <c r="B13" t="str">
        <f t="shared" si="0"/>
        <v>カーサ南池袋</v>
      </c>
      <c r="C13" s="99">
        <f>GETPIVOTDATA("年換算(×12)",pivot!$J$5,"物件名",$B13,"BM費用項目(自動)",C$5)</f>
        <v>394680</v>
      </c>
      <c r="D13" s="99">
        <f>GETPIVOTDATA("年換算(×12)",pivot!$J$5,"物件名",$B13,"BM費用項目(自動)",D$5)</f>
        <v>12950</v>
      </c>
      <c r="E13" s="99">
        <f>GETPIVOTDATA("年換算(×12)",pivot!$J$5,"物件名",$B13,"BM費用項目(自動)",E$5)</f>
        <v>210756</v>
      </c>
      <c r="F13" s="99">
        <f>GETPIVOTDATA("年換算(×12)",pivot!$J$5,"物件名",$B13,"BM費用項目(自動)",F$5)</f>
        <v>84480</v>
      </c>
      <c r="G13" s="99">
        <f>GETPIVOTDATA("年換算(×12)",pivot!$J$5,"物件名",$B13,"BM費用項目(自動)",G$5)</f>
        <v>0</v>
      </c>
      <c r="H13" s="99">
        <f>GETPIVOTDATA("年換算(×12)",pivot!$J$5,"物件名",$B13,"BM費用項目(自動)",H$5)</f>
        <v>0</v>
      </c>
      <c r="I13" s="99">
        <f>GETPIVOTDATA("年換算(×12)",pivot!$J$5,"物件名",$B13,"BM費用項目(自動)",I$5)</f>
        <v>0</v>
      </c>
      <c r="J13" s="99">
        <f>GETPIVOTDATA("年換算(×12)",pivot!$J$5,"物件名",$B13,"BM費用項目(自動)",J$5)</f>
        <v>0</v>
      </c>
      <c r="K13" s="99">
        <f>GETPIVOTDATA("年換算(×12)",pivot!$J$5,"物件名",$B13,"BM費用項目(自動)",K$5)</f>
        <v>0</v>
      </c>
      <c r="L13" s="99">
        <f t="shared" si="1"/>
        <v>702866</v>
      </c>
    </row>
    <row r="14" spans="1:12">
      <c r="A14">
        <v>111</v>
      </c>
      <c r="B14" t="str">
        <f t="shared" si="0"/>
        <v>目白カーサ二番館</v>
      </c>
      <c r="C14" s="99">
        <f>GETPIVOTDATA("年換算(×12)",pivot!$J$5,"物件名",$B14,"BM費用項目(自動)",C$5)</f>
        <v>838200</v>
      </c>
      <c r="D14" s="99">
        <f>GETPIVOTDATA("年換算(×12)",pivot!$J$5,"物件名",$B14,"BM費用項目(自動)",D$5)</f>
        <v>19920</v>
      </c>
      <c r="E14" s="99">
        <f>GETPIVOTDATA("年換算(×12)",pivot!$J$5,"物件名",$B14,"BM費用項目(自動)",E$5)</f>
        <v>136284</v>
      </c>
      <c r="F14" s="99">
        <f>GETPIVOTDATA("年換算(×12)",pivot!$J$5,"物件名",$B14,"BM費用項目(自動)",F$5)</f>
        <v>245880</v>
      </c>
      <c r="G14" s="99">
        <f>GETPIVOTDATA("年換算(×12)",pivot!$J$5,"物件名",$B14,"BM費用項目(自動)",G$5)</f>
        <v>18744</v>
      </c>
      <c r="H14" s="99">
        <f>GETPIVOTDATA("年換算(×12)",pivot!$J$5,"物件名",$B14,"BM費用項目(自動)",H$5)</f>
        <v>0</v>
      </c>
      <c r="I14" s="99">
        <f>GETPIVOTDATA("年換算(×12)",pivot!$J$5,"物件名",$B14,"BM費用項目(自動)",I$5)</f>
        <v>0</v>
      </c>
      <c r="J14" s="99">
        <f>GETPIVOTDATA("年換算(×12)",pivot!$J$5,"物件名",$B14,"BM費用項目(自動)",J$5)</f>
        <v>0</v>
      </c>
      <c r="K14" s="99">
        <f>GETPIVOTDATA("年換算(×12)",pivot!$J$5,"物件名",$B14,"BM費用項目(自動)",K$5)</f>
        <v>0</v>
      </c>
      <c r="L14" s="99">
        <f t="shared" si="1"/>
        <v>1259028</v>
      </c>
    </row>
    <row r="15" spans="1:12">
      <c r="A15">
        <v>112</v>
      </c>
      <c r="B15" t="str">
        <f t="shared" si="0"/>
        <v>豊島目白ビル</v>
      </c>
      <c r="C15" s="99">
        <f>GETPIVOTDATA("年換算(×12)",pivot!$J$5,"物件名",$B15,"BM費用項目(自動)",C$5)</f>
        <v>659419</v>
      </c>
      <c r="D15" s="99">
        <f>GETPIVOTDATA("年換算(×12)",pivot!$J$5,"物件名",$B15,"BM費用項目(自動)",D$5)</f>
        <v>10340</v>
      </c>
      <c r="E15" s="99">
        <f>GETPIVOTDATA("年換算(×12)",pivot!$J$5,"物件名",$B15,"BM費用項目(自動)",E$5)</f>
        <v>0</v>
      </c>
      <c r="F15" s="99">
        <f>GETPIVOTDATA("年換算(×12)",pivot!$J$5,"物件名",$B15,"BM費用項目(自動)",F$5)</f>
        <v>0</v>
      </c>
      <c r="G15" s="99">
        <f>GETPIVOTDATA("年換算(×12)",pivot!$J$5,"物件名",$B15,"BM費用項目(自動)",G$5)</f>
        <v>0</v>
      </c>
      <c r="H15" s="99">
        <f>GETPIVOTDATA("年換算(×12)",pivot!$J$5,"物件名",$B15,"BM費用項目(自動)",H$5)</f>
        <v>0</v>
      </c>
      <c r="I15" s="99">
        <f>GETPIVOTDATA("年換算(×12)",pivot!$J$5,"物件名",$B15,"BM費用項目(自動)",I$5)</f>
        <v>0</v>
      </c>
      <c r="J15" s="99">
        <f>GETPIVOTDATA("年換算(×12)",pivot!$J$5,"物件名",$B15,"BM費用項目(自動)",J$5)</f>
        <v>0</v>
      </c>
      <c r="K15" s="99">
        <f>GETPIVOTDATA("年換算(×12)",pivot!$J$5,"物件名",$B15,"BM費用項目(自動)",K$5)</f>
        <v>0</v>
      </c>
      <c r="L15" s="99">
        <f t="shared" si="1"/>
        <v>669759</v>
      </c>
    </row>
    <row r="16" spans="1:12">
      <c r="A16">
        <v>113</v>
      </c>
      <c r="B16" t="str">
        <f t="shared" si="0"/>
        <v>第3目白ハイツ</v>
      </c>
      <c r="C16" s="99">
        <f>GETPIVOTDATA("年換算(×12)",pivot!$J$5,"物件名",$B16,"BM費用項目(自動)",C$5)</f>
        <v>848760</v>
      </c>
      <c r="D16" s="99">
        <f>GETPIVOTDATA("年換算(×12)",pivot!$J$5,"物件名",$B16,"BM費用項目(自動)",D$5)</f>
        <v>51350</v>
      </c>
      <c r="E16" s="99">
        <f>GETPIVOTDATA("年換算(×12)",pivot!$J$5,"物件名",$B16,"BM費用項目(自動)",E$5)</f>
        <v>91716</v>
      </c>
      <c r="F16" s="99">
        <f>GETPIVOTDATA("年換算(×12)",pivot!$J$5,"物件名",$B16,"BM費用項目(自動)",F$5)</f>
        <v>282516</v>
      </c>
      <c r="G16" s="99">
        <f>GETPIVOTDATA("年換算(×12)",pivot!$J$5,"物件名",$B16,"BM費用項目(自動)",G$5)</f>
        <v>45672</v>
      </c>
      <c r="H16" s="99">
        <f>GETPIVOTDATA("年換算(×12)",pivot!$J$5,"物件名",$B16,"BM費用項目(自動)",H$5)</f>
        <v>0</v>
      </c>
      <c r="I16" s="99">
        <f>GETPIVOTDATA("年換算(×12)",pivot!$J$5,"物件名",$B16,"BM費用項目(自動)",I$5)</f>
        <v>0</v>
      </c>
      <c r="J16" s="99">
        <f>GETPIVOTDATA("年換算(×12)",pivot!$J$5,"物件名",$B16,"BM費用項目(自動)",J$5)</f>
        <v>0</v>
      </c>
      <c r="K16" s="99">
        <f>GETPIVOTDATA("年換算(×12)",pivot!$J$5,"物件名",$B16,"BM費用項目(自動)",K$5)</f>
        <v>0</v>
      </c>
      <c r="L16" s="99">
        <f t="shared" si="1"/>
        <v>1320014</v>
      </c>
    </row>
    <row r="17" spans="1:12">
      <c r="A17">
        <v>114</v>
      </c>
      <c r="B17" t="str">
        <f t="shared" si="0"/>
        <v>レジデンス目白豊島</v>
      </c>
      <c r="C17" s="99">
        <f>GETPIVOTDATA("年換算(×12)",pivot!$J$5,"物件名",$B17,"BM費用項目(自動)",C$5)</f>
        <v>405240</v>
      </c>
      <c r="D17" s="99">
        <f>GETPIVOTDATA("年換算(×12)",pivot!$J$5,"物件名",$B17,"BM費用項目(自動)",D$5)</f>
        <v>7710</v>
      </c>
      <c r="E17" s="99">
        <f>GETPIVOTDATA("年換算(×12)",pivot!$J$5,"物件名",$B17,"BM費用項目(自動)",E$5)</f>
        <v>39024</v>
      </c>
      <c r="F17" s="99">
        <f>GETPIVOTDATA("年換算(×12)",pivot!$J$5,"物件名",$B17,"BM費用項目(自動)",F$5)</f>
        <v>46992</v>
      </c>
      <c r="G17" s="99">
        <f>GETPIVOTDATA("年換算(×12)",pivot!$J$5,"物件名",$B17,"BM費用項目(自動)",G$5)</f>
        <v>0</v>
      </c>
      <c r="H17" s="99">
        <f>GETPIVOTDATA("年換算(×12)",pivot!$J$5,"物件名",$B17,"BM費用項目(自動)",H$5)</f>
        <v>0</v>
      </c>
      <c r="I17" s="99">
        <f>GETPIVOTDATA("年換算(×12)",pivot!$J$5,"物件名",$B17,"BM費用項目(自動)",I$5)</f>
        <v>0</v>
      </c>
      <c r="J17" s="99">
        <f>GETPIVOTDATA("年換算(×12)",pivot!$J$5,"物件名",$B17,"BM費用項目(自動)",J$5)</f>
        <v>0</v>
      </c>
      <c r="K17" s="99">
        <f>GETPIVOTDATA("年換算(×12)",pivot!$J$5,"物件名",$B17,"BM費用項目(自動)",K$5)</f>
        <v>0</v>
      </c>
      <c r="L17" s="99">
        <f t="shared" si="1"/>
        <v>498966</v>
      </c>
    </row>
    <row r="18" spans="1:12">
      <c r="A18">
        <v>115</v>
      </c>
      <c r="B18" t="str">
        <f t="shared" si="0"/>
        <v>コアプラス大塚</v>
      </c>
      <c r="C18" s="99">
        <f>GETPIVOTDATA("年換算(×12)",pivot!$J$5,"物件名",$B18,"BM費用項目(自動)",C$5)</f>
        <v>1301520</v>
      </c>
      <c r="D18" s="99">
        <f>GETPIVOTDATA("年換算(×12)",pivot!$J$5,"物件名",$B18,"BM費用項目(自動)",D$5)</f>
        <v>34430</v>
      </c>
      <c r="E18" s="99">
        <f>GETPIVOTDATA("年換算(×12)",pivot!$J$5,"物件名",$B18,"BM費用項目(自動)",E$5)</f>
        <v>240684</v>
      </c>
      <c r="F18" s="99">
        <f>GETPIVOTDATA("年換算(×12)",pivot!$J$5,"物件名",$B18,"BM費用項目(自動)",F$5)</f>
        <v>295140</v>
      </c>
      <c r="G18" s="99">
        <f>GETPIVOTDATA("年換算(×12)",pivot!$J$5,"物件名",$B18,"BM費用項目(自動)",G$5)</f>
        <v>45672</v>
      </c>
      <c r="H18" s="99">
        <f>GETPIVOTDATA("年換算(×12)",pivot!$J$5,"物件名",$B18,"BM費用項目(自動)",H$5)</f>
        <v>0</v>
      </c>
      <c r="I18" s="99">
        <f>GETPIVOTDATA("年換算(×12)",pivot!$J$5,"物件名",$B18,"BM費用項目(自動)",I$5)</f>
        <v>0</v>
      </c>
      <c r="J18" s="99">
        <f>GETPIVOTDATA("年換算(×12)",pivot!$J$5,"物件名",$B18,"BM費用項目(自動)",J$5)</f>
        <v>0</v>
      </c>
      <c r="K18" s="99">
        <f>GETPIVOTDATA("年換算(×12)",pivot!$J$5,"物件名",$B18,"BM費用項目(自動)",K$5)</f>
        <v>0</v>
      </c>
      <c r="L18" s="99">
        <f t="shared" si="1"/>
        <v>1917446</v>
      </c>
    </row>
    <row r="19" spans="1:12">
      <c r="A19">
        <v>116</v>
      </c>
      <c r="B19" t="str">
        <f t="shared" si="0"/>
        <v>コアプラスレジデンス梅田</v>
      </c>
      <c r="C19" s="99">
        <f>GETPIVOTDATA("年換算(×12)",pivot!$J$5,"物件名",$B19,"BM費用項目(自動)",C$5)</f>
        <v>1160280</v>
      </c>
      <c r="D19" s="99">
        <f>GETPIVOTDATA("年換算(×12)",pivot!$J$5,"物件名",$B19,"BM費用項目(自動)",D$5)</f>
        <v>20620</v>
      </c>
      <c r="E19" s="99">
        <f>GETPIVOTDATA("年換算(×12)",pivot!$J$5,"物件名",$B19,"BM費用項目(自動)",E$5)</f>
        <v>101808</v>
      </c>
      <c r="F19" s="99">
        <f>GETPIVOTDATA("年換算(×12)",pivot!$J$5,"物件名",$B19,"BM費用項目(自動)",F$5)</f>
        <v>259500</v>
      </c>
      <c r="G19" s="99">
        <f>GETPIVOTDATA("年換算(×12)",pivot!$J$5,"物件名",$B19,"BM費用項目(自動)",G$5)</f>
        <v>22836</v>
      </c>
      <c r="H19" s="99">
        <f>GETPIVOTDATA("年換算(×12)",pivot!$J$5,"物件名",$B19,"BM費用項目(自動)",H$5)</f>
        <v>0</v>
      </c>
      <c r="I19" s="99">
        <f>GETPIVOTDATA("年換算(×12)",pivot!$J$5,"物件名",$B19,"BM費用項目(自動)",I$5)</f>
        <v>0</v>
      </c>
      <c r="J19" s="99">
        <f>GETPIVOTDATA("年換算(×12)",pivot!$J$5,"物件名",$B19,"BM費用項目(自動)",J$5)</f>
        <v>132000</v>
      </c>
      <c r="K19" s="99">
        <f>GETPIVOTDATA("年換算(×12)",pivot!$J$5,"物件名",$B19,"BM費用項目(自動)",K$5)</f>
        <v>0</v>
      </c>
      <c r="L19" s="99">
        <f t="shared" si="1"/>
        <v>1697044</v>
      </c>
    </row>
    <row r="20" spans="1:12">
      <c r="A20">
        <v>117</v>
      </c>
      <c r="B20" t="str">
        <f t="shared" si="0"/>
        <v>高田馬場第4玉川ビル</v>
      </c>
      <c r="C20" s="99">
        <f>GETPIVOTDATA("年換算(×12)",pivot!$J$5,"物件名",$B20,"BM費用項目(自動)",C$5)</f>
        <v>231000</v>
      </c>
      <c r="D20" s="99">
        <f>GETPIVOTDATA("年換算(×12)",pivot!$J$5,"物件名",$B20,"BM費用項目(自動)",D$5)</f>
        <v>21200</v>
      </c>
      <c r="E20" s="99">
        <f>GETPIVOTDATA("年換算(×12)",pivot!$J$5,"物件名",$B20,"BM費用項目(自動)",E$5)</f>
        <v>9156</v>
      </c>
      <c r="F20" s="99">
        <f>GETPIVOTDATA("年換算(×12)",pivot!$J$5,"物件名",$B20,"BM費用項目(自動)",F$5)</f>
        <v>0</v>
      </c>
      <c r="G20" s="99">
        <f>GETPIVOTDATA("年換算(×12)",pivot!$J$5,"物件名",$B20,"BM費用項目(自動)",G$5)</f>
        <v>0</v>
      </c>
      <c r="H20" s="99">
        <f>GETPIVOTDATA("年換算(×12)",pivot!$J$5,"物件名",$B20,"BM費用項目(自動)",H$5)</f>
        <v>0</v>
      </c>
      <c r="I20" s="99">
        <f>GETPIVOTDATA("年換算(×12)",pivot!$J$5,"物件名",$B20,"BM費用項目(自動)",I$5)</f>
        <v>0</v>
      </c>
      <c r="J20" s="99">
        <f>GETPIVOTDATA("年換算(×12)",pivot!$J$5,"物件名",$B20,"BM費用項目(自動)",J$5)</f>
        <v>0</v>
      </c>
      <c r="K20" s="99">
        <f>GETPIVOTDATA("年換算(×12)",pivot!$J$5,"物件名",$B20,"BM費用項目(自動)",K$5)</f>
        <v>-6000</v>
      </c>
      <c r="L20" s="99">
        <f t="shared" si="1"/>
        <v>255356</v>
      </c>
    </row>
    <row r="21" spans="1:12">
      <c r="A21">
        <v>120</v>
      </c>
      <c r="B21" t="str">
        <f t="shared" si="0"/>
        <v>南池袋マンション</v>
      </c>
      <c r="C21" s="99">
        <f>GETPIVOTDATA("年換算(×12)",pivot!$J$5,"物件名",$B21,"BM費用項目(自動)",C$5)</f>
        <v>303600</v>
      </c>
      <c r="D21" s="99">
        <f>GETPIVOTDATA("年換算(×12)",pivot!$J$5,"物件名",$B21,"BM費用項目(自動)",D$5)</f>
        <v>13630</v>
      </c>
      <c r="E21" s="99">
        <f>GETPIVOTDATA("年換算(×12)",pivot!$J$5,"物件名",$B21,"BM費用項目(自動)",E$5)</f>
        <v>121512</v>
      </c>
      <c r="F21" s="99">
        <f>GETPIVOTDATA("年換算(×12)",pivot!$J$5,"物件名",$B21,"BM費用項目(自動)",F$5)</f>
        <v>43704</v>
      </c>
      <c r="G21" s="99">
        <f>GETPIVOTDATA("年換算(×12)",pivot!$J$5,"物件名",$B21,"BM費用項目(自動)",G$5)</f>
        <v>18744</v>
      </c>
      <c r="H21" s="99">
        <f>GETPIVOTDATA("年換算(×12)",pivot!$J$5,"物件名",$B21,"BM費用項目(自動)",H$5)</f>
        <v>0</v>
      </c>
      <c r="I21" s="99">
        <f>GETPIVOTDATA("年換算(×12)",pivot!$J$5,"物件名",$B21,"BM費用項目(自動)",I$5)</f>
        <v>0</v>
      </c>
      <c r="J21" s="99">
        <f>GETPIVOTDATA("年換算(×12)",pivot!$J$5,"物件名",$B21,"BM費用項目(自動)",J$5)</f>
        <v>15840</v>
      </c>
      <c r="K21" s="99">
        <f>GETPIVOTDATA("年換算(×12)",pivot!$J$5,"物件名",$B21,"BM費用項目(自動)",K$5)</f>
        <v>0</v>
      </c>
      <c r="L21" s="99">
        <f t="shared" si="1"/>
        <v>517030</v>
      </c>
    </row>
    <row r="22" spans="1:12">
      <c r="A22">
        <v>121</v>
      </c>
      <c r="B22" t="str">
        <f t="shared" ref="B22:B23" si="2">VLOOKUP(A22,id_settings,2,FALSE)</f>
        <v>目白アパート1号館</v>
      </c>
      <c r="C22" s="99">
        <f>GETPIVOTDATA("年換算(×12)",pivot!$J$5,"物件名",$B22,"BM費用項目(自動)",C$5)</f>
        <v>240000</v>
      </c>
      <c r="D22" s="99">
        <f>GETPIVOTDATA("年換算(×12)",pivot!$J$5,"物件名",$B22,"BM費用項目(自動)",D$5)</f>
        <v>0</v>
      </c>
      <c r="E22" s="99">
        <f>GETPIVOTDATA("年換算(×12)",pivot!$J$5,"物件名",$B22,"BM費用項目(自動)",E$5)</f>
        <v>0</v>
      </c>
      <c r="F22" s="99">
        <f>GETPIVOTDATA("年換算(×12)",pivot!$J$5,"物件名",$B22,"BM費用項目(自動)",F$5)</f>
        <v>0</v>
      </c>
      <c r="G22" s="99">
        <f>GETPIVOTDATA("年換算(×12)",pivot!$J$5,"物件名",$B22,"BM費用項目(自動)",G$5)</f>
        <v>0</v>
      </c>
      <c r="H22" s="99">
        <f>GETPIVOTDATA("年換算(×12)",pivot!$J$5,"物件名",$B22,"BM費用項目(自動)",H$5)</f>
        <v>0</v>
      </c>
      <c r="I22" s="99">
        <f>GETPIVOTDATA("年換算(×12)",pivot!$J$5,"物件名",$B22,"BM費用項目(自動)",I$5)</f>
        <v>0</v>
      </c>
      <c r="J22" s="99">
        <f>GETPIVOTDATA("年換算(×12)",pivot!$J$5,"物件名",$B22,"BM費用項目(自動)",J$5)</f>
        <v>0</v>
      </c>
      <c r="K22" s="99">
        <f>GETPIVOTDATA("年換算(×12)",pivot!$J$5,"物件名",$B22,"BM費用項目(自動)",K$5)</f>
        <v>0</v>
      </c>
      <c r="L22" s="99">
        <f t="shared" si="1"/>
        <v>240000</v>
      </c>
    </row>
    <row r="23" spans="1:12">
      <c r="A23">
        <v>122</v>
      </c>
      <c r="B23" t="str">
        <f t="shared" si="2"/>
        <v>目白アパート2号館</v>
      </c>
      <c r="C23" s="99">
        <f>GETPIVOTDATA("年換算(×12)",pivot!$J$5,"物件名",$B23,"BM費用項目(自動)",C$5)</f>
        <v>240000</v>
      </c>
      <c r="D23" s="99">
        <f>GETPIVOTDATA("年換算(×12)",pivot!$J$5,"物件名",$B23,"BM費用項目(自動)",D$5)</f>
        <v>0</v>
      </c>
      <c r="E23" s="99">
        <f>GETPIVOTDATA("年換算(×12)",pivot!$J$5,"物件名",$B23,"BM費用項目(自動)",E$5)</f>
        <v>0</v>
      </c>
      <c r="F23" s="99">
        <f>GETPIVOTDATA("年換算(×12)",pivot!$J$5,"物件名",$B23,"BM費用項目(自動)",F$5)</f>
        <v>0</v>
      </c>
      <c r="G23" s="99">
        <f>GETPIVOTDATA("年換算(×12)",pivot!$J$5,"物件名",$B23,"BM費用項目(自動)",G$5)</f>
        <v>0</v>
      </c>
      <c r="H23" s="99">
        <f>GETPIVOTDATA("年換算(×12)",pivot!$J$5,"物件名",$B23,"BM費用項目(自動)",H$5)</f>
        <v>0</v>
      </c>
      <c r="I23" s="99">
        <f>GETPIVOTDATA("年換算(×12)",pivot!$J$5,"物件名",$B23,"BM費用項目(自動)",I$5)</f>
        <v>0</v>
      </c>
      <c r="J23" s="99">
        <f>GETPIVOTDATA("年換算(×12)",pivot!$J$5,"物件名",$B23,"BM費用項目(自動)",J$5)</f>
        <v>0</v>
      </c>
      <c r="K23" s="99">
        <f>GETPIVOTDATA("年換算(×12)",pivot!$J$5,"物件名",$B23,"BM費用項目(自動)",K$5)</f>
        <v>0</v>
      </c>
      <c r="L23" s="99">
        <f t="shared" si="1"/>
        <v>240000</v>
      </c>
    </row>
    <row r="24" spans="1:12">
      <c r="A24">
        <v>221</v>
      </c>
      <c r="B24" t="str">
        <f t="shared" si="0"/>
        <v>ビジネス新大阪123号</v>
      </c>
      <c r="C24" s="99">
        <f>GETPIVOTDATA("年換算(×12)",pivot!$J$5,"物件名",$B24,"BM費用項目(自動)",C$5)</f>
        <v>0</v>
      </c>
      <c r="D24" s="99">
        <f>GETPIVOTDATA("年換算(×12)",pivot!$J$5,"物件名",$B24,"BM費用項目(自動)",D$5)</f>
        <v>2060</v>
      </c>
      <c r="E24" s="99">
        <f>GETPIVOTDATA("年換算(×12)",pivot!$J$5,"物件名",$B24,"BM費用項目(自動)",E$5)</f>
        <v>0</v>
      </c>
      <c r="F24" s="99">
        <f>GETPIVOTDATA("年換算(×12)",pivot!$J$5,"物件名",$B24,"BM費用項目(自動)",F$5)</f>
        <v>0</v>
      </c>
      <c r="G24" s="99">
        <f>GETPIVOTDATA("年換算(×12)",pivot!$J$5,"物件名",$B24,"BM費用項目(自動)",G$5)</f>
        <v>0</v>
      </c>
      <c r="H24" s="99">
        <f>GETPIVOTDATA("年換算(×12)",pivot!$J$5,"物件名",$B24,"BM費用項目(自動)",H$5)</f>
        <v>48600</v>
      </c>
      <c r="I24" s="99">
        <f>GETPIVOTDATA("年換算(×12)",pivot!$J$5,"物件名",$B24,"BM費用項目(自動)",I$5)</f>
        <v>16200</v>
      </c>
      <c r="J24" s="99">
        <f>GETPIVOTDATA("年換算(×12)",pivot!$J$5,"物件名",$B24,"BM費用項目(自動)",J$5)</f>
        <v>0</v>
      </c>
      <c r="K24" s="99">
        <f>GETPIVOTDATA("年換算(×12)",pivot!$J$5,"物件名",$B24,"BM費用項目(自動)",K$5)</f>
        <v>0</v>
      </c>
      <c r="L24" s="99">
        <f t="shared" si="1"/>
        <v>66860</v>
      </c>
    </row>
    <row r="25" spans="1:12" ht="14.25" thickBot="1">
      <c r="A25" s="67">
        <v>222</v>
      </c>
      <c r="B25" s="67" t="str">
        <f t="shared" si="0"/>
        <v>プラウD目白301号</v>
      </c>
      <c r="C25" s="523">
        <f>GETPIVOTDATA("年換算(×12)",pivot!$J$5,"物件名",$B25,"BM費用項目(自動)",C$5)</f>
        <v>0</v>
      </c>
      <c r="D25" s="523">
        <f>GETPIVOTDATA("年換算(×12)",pivot!$J$5,"物件名",$B25,"BM費用項目(自動)",D$5)</f>
        <v>7360</v>
      </c>
      <c r="E25" s="523">
        <f>GETPIVOTDATA("年換算(×12)",pivot!$J$5,"物件名",$B25,"BM費用項目(自動)",E$5)</f>
        <v>0</v>
      </c>
      <c r="F25" s="523">
        <f>GETPIVOTDATA("年換算(×12)",pivot!$J$5,"物件名",$B25,"BM費用項目(自動)",F$5)</f>
        <v>0</v>
      </c>
      <c r="G25" s="523">
        <f>GETPIVOTDATA("年換算(×12)",pivot!$J$5,"物件名",$B25,"BM費用項目(自動)",G$5)</f>
        <v>0</v>
      </c>
      <c r="H25" s="523">
        <f>GETPIVOTDATA("年換算(×12)",pivot!$J$5,"物件名",$B25,"BM費用項目(自動)",H$5)</f>
        <v>163200</v>
      </c>
      <c r="I25" s="523">
        <f>GETPIVOTDATA("年換算(×12)",pivot!$J$5,"物件名",$B25,"BM費用項目(自動)",I$5)</f>
        <v>174000</v>
      </c>
      <c r="J25" s="523">
        <f>GETPIVOTDATA("年換算(×12)",pivot!$J$5,"物件名",$B25,"BM費用項目(自動)",J$5)</f>
        <v>0</v>
      </c>
      <c r="K25" s="523">
        <f>GETPIVOTDATA("年換算(×12)",pivot!$J$5,"物件名",$B25,"BM費用項目(自動)",K$5)</f>
        <v>0</v>
      </c>
      <c r="L25" s="523">
        <f t="shared" si="1"/>
        <v>344560</v>
      </c>
    </row>
    <row r="26" spans="1:12" ht="14.25" thickTop="1">
      <c r="A26" t="s">
        <v>2024</v>
      </c>
      <c r="B26"/>
      <c r="C26" s="99">
        <f>SUM(C6:C25)</f>
        <v>14590219</v>
      </c>
      <c r="D26" s="99">
        <f t="shared" ref="D26:J26" si="3">SUM(D6:D25)</f>
        <v>370580</v>
      </c>
      <c r="E26" s="99">
        <f t="shared" si="3"/>
        <v>2296320</v>
      </c>
      <c r="F26" s="99">
        <f t="shared" si="3"/>
        <v>2252388</v>
      </c>
      <c r="G26" s="99">
        <f t="shared" si="3"/>
        <v>322080</v>
      </c>
      <c r="H26" s="99">
        <f t="shared" si="3"/>
        <v>211800</v>
      </c>
      <c r="I26" s="99">
        <f t="shared" si="3"/>
        <v>190200</v>
      </c>
      <c r="J26" s="99">
        <f t="shared" si="3"/>
        <v>424404</v>
      </c>
      <c r="K26" s="99">
        <f t="shared" ref="K26" si="4">SUM(K6:K25)</f>
        <v>-6000</v>
      </c>
      <c r="L26" s="99">
        <f>SUM(C26:K26)</f>
        <v>20651991</v>
      </c>
    </row>
    <row r="30" spans="1:12" ht="17.25">
      <c r="A30" s="582" t="s">
        <v>2025</v>
      </c>
      <c r="B30"/>
    </row>
    <row r="31" spans="1:12" ht="17.25">
      <c r="A31" s="637">
        <f>A2</f>
        <v>44561</v>
      </c>
      <c r="B31" s="637"/>
    </row>
    <row r="33" spans="1:12">
      <c r="A33" s="583" t="s">
        <v>2026</v>
      </c>
      <c r="B33" s="69"/>
      <c r="C33" s="584"/>
      <c r="D33" s="584"/>
      <c r="E33" s="69"/>
      <c r="F33" s="69"/>
      <c r="G33" s="579"/>
      <c r="H33" s="69"/>
      <c r="I33" s="69"/>
      <c r="J33" s="69"/>
      <c r="K33" s="69"/>
      <c r="L33" s="69"/>
    </row>
    <row r="34" spans="1:12">
      <c r="A34" s="73" t="s">
        <v>53</v>
      </c>
      <c r="B34" s="73" t="s">
        <v>54</v>
      </c>
      <c r="C34" s="73" t="s">
        <v>55</v>
      </c>
      <c r="D34" s="73" t="s">
        <v>56</v>
      </c>
      <c r="E34" s="585" t="s">
        <v>57</v>
      </c>
      <c r="F34" s="73" t="s">
        <v>58</v>
      </c>
      <c r="G34" s="586" t="s">
        <v>59</v>
      </c>
      <c r="H34" s="587"/>
      <c r="I34" s="587"/>
      <c r="J34" s="587"/>
      <c r="K34" s="587"/>
      <c r="L34" s="587"/>
    </row>
    <row r="35" spans="1:12">
      <c r="A35" s="61">
        <v>101</v>
      </c>
      <c r="B35" s="5" t="str">
        <f t="shared" ref="B35:B66" si="5">VLOOKUP(A35,id_settings,2,FALSE)</f>
        <v>西池袋駅前ビル</v>
      </c>
      <c r="C35" s="61">
        <v>651</v>
      </c>
      <c r="D35" s="5" t="str">
        <f t="shared" ref="D35:D66" si="6">VLOOKUP(C35,id_settings,2,FALSE)</f>
        <v>火災保険料</v>
      </c>
      <c r="E35" s="577" t="s">
        <v>2027</v>
      </c>
      <c r="F35" s="577">
        <v>11830</v>
      </c>
      <c r="G35" s="61"/>
      <c r="H35" s="61"/>
      <c r="I35" s="61"/>
    </row>
    <row r="36" spans="1:12">
      <c r="A36" s="61">
        <v>101</v>
      </c>
      <c r="B36" s="5" t="str">
        <f t="shared" si="5"/>
        <v>西池袋駅前ビル</v>
      </c>
      <c r="C36" s="61">
        <v>652</v>
      </c>
      <c r="D36" s="5" t="str">
        <f t="shared" si="6"/>
        <v>水道料金</v>
      </c>
      <c r="E36" s="577">
        <v>1562</v>
      </c>
      <c r="F36" s="577">
        <v>18744</v>
      </c>
      <c r="G36" s="61" t="s">
        <v>2028</v>
      </c>
      <c r="H36" s="61"/>
      <c r="I36" s="61"/>
    </row>
    <row r="37" spans="1:12">
      <c r="A37" s="61">
        <v>101</v>
      </c>
      <c r="B37" s="5" t="str">
        <f t="shared" si="5"/>
        <v>西池袋駅前ビル</v>
      </c>
      <c r="C37" s="61">
        <v>658</v>
      </c>
      <c r="D37" s="5" t="str">
        <f t="shared" si="6"/>
        <v>その他</v>
      </c>
      <c r="E37" s="577">
        <v>12047</v>
      </c>
      <c r="F37" s="577">
        <v>144564</v>
      </c>
      <c r="G37" s="61" t="s">
        <v>2029</v>
      </c>
      <c r="H37" s="61"/>
      <c r="I37" s="61"/>
    </row>
    <row r="38" spans="1:12">
      <c r="A38" s="61">
        <v>101</v>
      </c>
      <c r="B38" s="5" t="str">
        <f t="shared" si="5"/>
        <v>西池袋駅前ビル</v>
      </c>
      <c r="C38" s="61">
        <v>655</v>
      </c>
      <c r="D38" s="5" t="str">
        <f t="shared" si="6"/>
        <v>建物管理料</v>
      </c>
      <c r="E38" s="577">
        <v>49720</v>
      </c>
      <c r="F38" s="577">
        <v>596640</v>
      </c>
      <c r="G38" s="61" t="s">
        <v>2030</v>
      </c>
      <c r="H38" s="61"/>
      <c r="I38" s="61"/>
    </row>
    <row r="39" spans="1:12">
      <c r="A39" s="61">
        <v>101</v>
      </c>
      <c r="B39" s="5" t="str">
        <f t="shared" si="5"/>
        <v>西池袋駅前ビル</v>
      </c>
      <c r="C39" s="61">
        <v>653</v>
      </c>
      <c r="D39" s="5" t="str">
        <f t="shared" si="6"/>
        <v>電気料金(電灯)</v>
      </c>
      <c r="E39" s="577">
        <v>20991</v>
      </c>
      <c r="F39" s="577">
        <v>251892</v>
      </c>
      <c r="G39" s="61" t="s">
        <v>2031</v>
      </c>
      <c r="H39" s="61"/>
      <c r="I39" s="61"/>
    </row>
    <row r="40" spans="1:12">
      <c r="A40" s="61">
        <v>102</v>
      </c>
      <c r="B40" s="5" t="str">
        <f t="shared" si="5"/>
        <v>池袋ハウス</v>
      </c>
      <c r="C40" s="61">
        <v>651</v>
      </c>
      <c r="D40" s="5" t="str">
        <f t="shared" si="6"/>
        <v>火災保険料</v>
      </c>
      <c r="E40" s="577" t="s">
        <v>2027</v>
      </c>
      <c r="F40" s="577">
        <v>44050</v>
      </c>
      <c r="G40" s="61"/>
      <c r="H40" s="61"/>
      <c r="I40" s="61"/>
    </row>
    <row r="41" spans="1:12">
      <c r="A41" s="61">
        <v>102</v>
      </c>
      <c r="B41" s="5" t="str">
        <f t="shared" si="5"/>
        <v>池袋ハウス</v>
      </c>
      <c r="C41" s="61">
        <v>652</v>
      </c>
      <c r="D41" s="5" t="str">
        <f t="shared" si="6"/>
        <v>水道料金</v>
      </c>
      <c r="E41" s="577">
        <v>1903</v>
      </c>
      <c r="F41" s="577">
        <v>22836</v>
      </c>
      <c r="G41" s="61" t="s">
        <v>2032</v>
      </c>
      <c r="H41" s="61"/>
      <c r="I41" s="61"/>
    </row>
    <row r="42" spans="1:12">
      <c r="A42" s="61">
        <v>102</v>
      </c>
      <c r="B42" s="5" t="str">
        <f t="shared" si="5"/>
        <v>池袋ハウス</v>
      </c>
      <c r="C42" s="61">
        <v>652</v>
      </c>
      <c r="D42" s="5" t="str">
        <f t="shared" si="6"/>
        <v>水道料金</v>
      </c>
      <c r="E42" s="577">
        <v>1903</v>
      </c>
      <c r="F42" s="577">
        <v>22836</v>
      </c>
      <c r="G42" s="61" t="s">
        <v>2033</v>
      </c>
      <c r="H42" s="61"/>
      <c r="I42" s="61"/>
    </row>
    <row r="43" spans="1:12">
      <c r="A43" s="61">
        <v>102</v>
      </c>
      <c r="B43" s="5" t="str">
        <f t="shared" si="5"/>
        <v>池袋ハウス</v>
      </c>
      <c r="C43" s="61">
        <v>658</v>
      </c>
      <c r="D43" s="5" t="str">
        <f t="shared" si="6"/>
        <v>その他</v>
      </c>
      <c r="E43" s="577">
        <v>11000</v>
      </c>
      <c r="F43" s="577">
        <v>132000</v>
      </c>
      <c r="G43" s="61" t="s">
        <v>2029</v>
      </c>
      <c r="H43" s="61"/>
      <c r="I43" s="61"/>
    </row>
    <row r="44" spans="1:12">
      <c r="A44" s="61">
        <v>102</v>
      </c>
      <c r="B44" s="5" t="str">
        <f t="shared" si="5"/>
        <v>池袋ハウス</v>
      </c>
      <c r="C44" s="61">
        <v>655</v>
      </c>
      <c r="D44" s="5" t="str">
        <f t="shared" si="6"/>
        <v>建物管理料</v>
      </c>
      <c r="E44" s="577">
        <v>142340</v>
      </c>
      <c r="F44" s="577">
        <v>1708080</v>
      </c>
      <c r="G44" s="61" t="s">
        <v>2030</v>
      </c>
      <c r="H44" s="61"/>
      <c r="I44" s="61"/>
    </row>
    <row r="45" spans="1:12">
      <c r="A45" s="61">
        <v>102</v>
      </c>
      <c r="B45" s="5" t="str">
        <f t="shared" si="5"/>
        <v>池袋ハウス</v>
      </c>
      <c r="C45" s="61">
        <v>653</v>
      </c>
      <c r="D45" s="5" t="str">
        <f t="shared" si="6"/>
        <v>電気料金(電灯)</v>
      </c>
      <c r="E45" s="577">
        <v>31860</v>
      </c>
      <c r="F45" s="577">
        <v>382320</v>
      </c>
      <c r="G45" s="61" t="s">
        <v>2031</v>
      </c>
      <c r="H45" s="61"/>
      <c r="I45" s="61"/>
    </row>
    <row r="46" spans="1:12">
      <c r="A46" s="61">
        <v>102</v>
      </c>
      <c r="B46" s="5" t="str">
        <f t="shared" si="5"/>
        <v>池袋ハウス</v>
      </c>
      <c r="C46" s="61">
        <v>654</v>
      </c>
      <c r="D46" s="5" t="str">
        <f t="shared" si="6"/>
        <v>電気料金(低圧)</v>
      </c>
      <c r="E46" s="577">
        <v>22751</v>
      </c>
      <c r="F46" s="577">
        <v>273012</v>
      </c>
      <c r="G46" s="61" t="s">
        <v>2034</v>
      </c>
      <c r="H46" s="61"/>
      <c r="I46" s="61"/>
    </row>
    <row r="47" spans="1:12">
      <c r="A47" s="61">
        <v>103</v>
      </c>
      <c r="B47" s="5" t="str">
        <f t="shared" si="5"/>
        <v>カーサ目白台ハウス</v>
      </c>
      <c r="C47" s="61">
        <v>651</v>
      </c>
      <c r="D47" s="5" t="str">
        <f t="shared" si="6"/>
        <v>火災保険料</v>
      </c>
      <c r="E47" s="577" t="s">
        <v>2027</v>
      </c>
      <c r="F47" s="577">
        <v>19430</v>
      </c>
      <c r="G47" s="61"/>
      <c r="H47" s="61"/>
      <c r="I47" s="61"/>
    </row>
    <row r="48" spans="1:12">
      <c r="A48" s="61">
        <v>103</v>
      </c>
      <c r="B48" s="5" t="str">
        <f t="shared" si="5"/>
        <v>カーサ目白台ハウス</v>
      </c>
      <c r="C48" s="61">
        <v>652</v>
      </c>
      <c r="D48" s="5" t="str">
        <f t="shared" si="6"/>
        <v>水道料金</v>
      </c>
      <c r="E48" s="577">
        <v>1562</v>
      </c>
      <c r="F48" s="577">
        <v>18744</v>
      </c>
      <c r="G48" s="61" t="s">
        <v>2032</v>
      </c>
      <c r="H48" s="61"/>
      <c r="I48" s="61"/>
    </row>
    <row r="49" spans="1:9">
      <c r="A49" s="61">
        <v>103</v>
      </c>
      <c r="B49" s="5" t="str">
        <f t="shared" si="5"/>
        <v>カーサ目白台ハウス</v>
      </c>
      <c r="C49" s="61">
        <v>655</v>
      </c>
      <c r="D49" s="5" t="str">
        <f t="shared" si="6"/>
        <v>建物管理料</v>
      </c>
      <c r="E49" s="577">
        <v>121440</v>
      </c>
      <c r="F49" s="577">
        <v>1457280</v>
      </c>
      <c r="G49" s="61" t="s">
        <v>2030</v>
      </c>
      <c r="H49" s="61"/>
      <c r="I49" s="61"/>
    </row>
    <row r="50" spans="1:9">
      <c r="A50" s="61">
        <v>103</v>
      </c>
      <c r="B50" s="5" t="str">
        <f t="shared" si="5"/>
        <v>カーサ目白台ハウス</v>
      </c>
      <c r="C50" s="61">
        <v>653</v>
      </c>
      <c r="D50" s="5" t="str">
        <f t="shared" si="6"/>
        <v>電気料金(電灯)</v>
      </c>
      <c r="E50" s="577">
        <v>12666</v>
      </c>
      <c r="F50" s="577">
        <v>151992</v>
      </c>
      <c r="G50" s="61" t="s">
        <v>2031</v>
      </c>
      <c r="H50" s="61"/>
      <c r="I50" s="61"/>
    </row>
    <row r="51" spans="1:9">
      <c r="A51" s="61">
        <v>103</v>
      </c>
      <c r="B51" s="5" t="str">
        <f t="shared" si="5"/>
        <v>カーサ目白台ハウス</v>
      </c>
      <c r="C51" s="61">
        <v>654</v>
      </c>
      <c r="D51" s="5" t="str">
        <f t="shared" si="6"/>
        <v>電気料金(低圧)</v>
      </c>
      <c r="E51" s="577">
        <v>23874</v>
      </c>
      <c r="F51" s="577">
        <v>286488</v>
      </c>
      <c r="G51" s="61" t="s">
        <v>2034</v>
      </c>
      <c r="H51" s="61"/>
      <c r="I51" s="61"/>
    </row>
    <row r="52" spans="1:9">
      <c r="A52" s="61">
        <v>104</v>
      </c>
      <c r="B52" s="5" t="str">
        <f t="shared" si="5"/>
        <v>コアプラス池袋</v>
      </c>
      <c r="C52" s="61">
        <v>651</v>
      </c>
      <c r="D52" s="5" t="str">
        <f t="shared" si="6"/>
        <v>火災保険料</v>
      </c>
      <c r="E52" s="577" t="s">
        <v>2027</v>
      </c>
      <c r="F52" s="577">
        <v>6600</v>
      </c>
      <c r="G52" s="61"/>
      <c r="H52" s="61"/>
      <c r="I52" s="61"/>
    </row>
    <row r="53" spans="1:9">
      <c r="A53" s="61">
        <v>104</v>
      </c>
      <c r="B53" s="5" t="str">
        <f t="shared" si="5"/>
        <v>コアプラス池袋</v>
      </c>
      <c r="C53" s="61">
        <v>652</v>
      </c>
      <c r="D53" s="5" t="str">
        <f t="shared" si="6"/>
        <v>水道料金</v>
      </c>
      <c r="E53" s="577">
        <v>1903</v>
      </c>
      <c r="F53" s="577">
        <v>22836</v>
      </c>
      <c r="G53" s="61" t="s">
        <v>2032</v>
      </c>
      <c r="H53" s="61"/>
      <c r="I53" s="61"/>
    </row>
    <row r="54" spans="1:9">
      <c r="A54" s="61">
        <v>104</v>
      </c>
      <c r="B54" s="5" t="str">
        <f t="shared" si="5"/>
        <v>コアプラス池袋</v>
      </c>
      <c r="C54" s="61">
        <v>655</v>
      </c>
      <c r="D54" s="5" t="str">
        <f t="shared" si="6"/>
        <v>建物管理料</v>
      </c>
      <c r="E54" s="577">
        <v>31350</v>
      </c>
      <c r="F54" s="577">
        <v>376200</v>
      </c>
      <c r="G54" s="61" t="s">
        <v>2030</v>
      </c>
      <c r="H54" s="61"/>
      <c r="I54" s="61"/>
    </row>
    <row r="55" spans="1:9">
      <c r="A55" s="61">
        <v>104</v>
      </c>
      <c r="B55" s="5" t="str">
        <f t="shared" si="5"/>
        <v>コアプラス池袋</v>
      </c>
      <c r="C55" s="61">
        <v>653</v>
      </c>
      <c r="D55" s="5" t="str">
        <f t="shared" si="6"/>
        <v>電気料金(電灯)</v>
      </c>
      <c r="E55" s="577">
        <v>1031</v>
      </c>
      <c r="F55" s="577">
        <v>12372</v>
      </c>
      <c r="G55" s="61" t="s">
        <v>2031</v>
      </c>
      <c r="H55" s="61"/>
      <c r="I55" s="61"/>
    </row>
    <row r="56" spans="1:9">
      <c r="A56" s="61">
        <v>105</v>
      </c>
      <c r="B56" s="5" t="str">
        <f t="shared" si="5"/>
        <v>目白アパート</v>
      </c>
      <c r="C56" s="61">
        <v>651</v>
      </c>
      <c r="D56" s="5" t="str">
        <f t="shared" si="6"/>
        <v>火災保険料</v>
      </c>
      <c r="E56" s="577" t="s">
        <v>2027</v>
      </c>
      <c r="F56" s="577">
        <v>20710</v>
      </c>
      <c r="G56" s="61"/>
      <c r="H56" s="61"/>
      <c r="I56" s="61"/>
    </row>
    <row r="57" spans="1:9">
      <c r="A57" s="61">
        <v>105</v>
      </c>
      <c r="B57" s="5" t="str">
        <f t="shared" si="5"/>
        <v>目白アパート</v>
      </c>
      <c r="C57" s="61">
        <v>652</v>
      </c>
      <c r="D57" s="5" t="str">
        <f t="shared" si="6"/>
        <v>水道料金</v>
      </c>
      <c r="E57" s="577">
        <v>1903</v>
      </c>
      <c r="F57" s="577">
        <v>22836</v>
      </c>
      <c r="G57" s="61" t="s">
        <v>2032</v>
      </c>
      <c r="H57" s="61"/>
      <c r="I57" s="61"/>
    </row>
    <row r="58" spans="1:9">
      <c r="A58" s="61">
        <v>105</v>
      </c>
      <c r="B58" s="5" t="str">
        <f t="shared" si="5"/>
        <v>目白アパート</v>
      </c>
      <c r="C58" s="61">
        <v>655</v>
      </c>
      <c r="D58" s="5" t="str">
        <f t="shared" si="6"/>
        <v>建物管理料</v>
      </c>
      <c r="E58" s="577">
        <v>96470</v>
      </c>
      <c r="F58" s="577">
        <v>1157640</v>
      </c>
      <c r="G58" s="61" t="s">
        <v>2030</v>
      </c>
      <c r="H58" s="61"/>
      <c r="I58" s="61"/>
    </row>
    <row r="59" spans="1:9">
      <c r="A59" s="61">
        <v>105</v>
      </c>
      <c r="B59" s="5" t="str">
        <f t="shared" si="5"/>
        <v>目白アパート</v>
      </c>
      <c r="C59" s="61">
        <v>653</v>
      </c>
      <c r="D59" s="5" t="str">
        <f t="shared" si="6"/>
        <v>電気料金(電灯)</v>
      </c>
      <c r="E59" s="577">
        <v>18092</v>
      </c>
      <c r="F59" s="577">
        <v>217104</v>
      </c>
      <c r="G59" s="61" t="s">
        <v>2031</v>
      </c>
      <c r="H59" s="61"/>
      <c r="I59" s="61"/>
    </row>
    <row r="60" spans="1:9">
      <c r="A60" s="61">
        <v>105</v>
      </c>
      <c r="B60" s="5" t="str">
        <f t="shared" si="5"/>
        <v>目白アパート</v>
      </c>
      <c r="C60" s="61">
        <v>654</v>
      </c>
      <c r="D60" s="5" t="str">
        <f t="shared" si="6"/>
        <v>電気料金(低圧)</v>
      </c>
      <c r="E60" s="577">
        <v>13524</v>
      </c>
      <c r="F60" s="577">
        <v>162288</v>
      </c>
      <c r="G60" s="61" t="s">
        <v>2034</v>
      </c>
      <c r="H60" s="61"/>
      <c r="I60" s="61"/>
    </row>
    <row r="61" spans="1:9">
      <c r="A61" s="61">
        <v>106</v>
      </c>
      <c r="B61" s="5" t="str">
        <f t="shared" si="5"/>
        <v>東池袋ハイツ</v>
      </c>
      <c r="C61" s="61">
        <v>651</v>
      </c>
      <c r="D61" s="5" t="str">
        <f t="shared" si="6"/>
        <v>火災保険料</v>
      </c>
      <c r="E61" s="577" t="s">
        <v>2027</v>
      </c>
      <c r="F61" s="577">
        <v>45780</v>
      </c>
      <c r="G61" s="61"/>
      <c r="H61" s="61"/>
      <c r="I61" s="61"/>
    </row>
    <row r="62" spans="1:9">
      <c r="A62" s="61">
        <v>106</v>
      </c>
      <c r="B62" s="5" t="str">
        <f t="shared" si="5"/>
        <v>東池袋ハイツ</v>
      </c>
      <c r="C62" s="61">
        <v>652</v>
      </c>
      <c r="D62" s="5" t="str">
        <f t="shared" si="6"/>
        <v>水道料金</v>
      </c>
      <c r="E62" s="577">
        <v>1562</v>
      </c>
      <c r="F62" s="577">
        <v>18744</v>
      </c>
      <c r="G62" s="61" t="s">
        <v>2035</v>
      </c>
      <c r="H62" s="61"/>
      <c r="I62" s="61"/>
    </row>
    <row r="63" spans="1:9">
      <c r="A63" s="61">
        <v>106</v>
      </c>
      <c r="B63" s="5" t="str">
        <f t="shared" si="5"/>
        <v>東池袋ハイツ</v>
      </c>
      <c r="C63" s="61">
        <v>655</v>
      </c>
      <c r="D63" s="5" t="str">
        <f t="shared" si="6"/>
        <v>建物管理料</v>
      </c>
      <c r="E63" s="577">
        <v>150150</v>
      </c>
      <c r="F63" s="577">
        <v>1801800</v>
      </c>
      <c r="G63" s="61" t="s">
        <v>2030</v>
      </c>
      <c r="H63" s="61"/>
      <c r="I63" s="61"/>
    </row>
    <row r="64" spans="1:9">
      <c r="A64" s="61">
        <v>106</v>
      </c>
      <c r="B64" s="5" t="str">
        <f t="shared" si="5"/>
        <v>東池袋ハイツ</v>
      </c>
      <c r="C64" s="61">
        <v>653</v>
      </c>
      <c r="D64" s="5" t="str">
        <f t="shared" si="6"/>
        <v>電気料金(電灯)</v>
      </c>
      <c r="E64" s="577">
        <v>23134</v>
      </c>
      <c r="F64" s="577">
        <v>277608</v>
      </c>
      <c r="G64" s="61" t="s">
        <v>2031</v>
      </c>
      <c r="H64" s="61"/>
      <c r="I64" s="61"/>
    </row>
    <row r="65" spans="1:9">
      <c r="A65" s="61">
        <v>106</v>
      </c>
      <c r="B65" s="5" t="str">
        <f t="shared" si="5"/>
        <v>東池袋ハイツ</v>
      </c>
      <c r="C65" s="61">
        <v>654</v>
      </c>
      <c r="D65" s="5" t="str">
        <f t="shared" si="6"/>
        <v>電気料金(低圧)</v>
      </c>
      <c r="E65" s="577">
        <v>13723</v>
      </c>
      <c r="F65" s="577">
        <v>164676</v>
      </c>
      <c r="G65" s="61" t="s">
        <v>2034</v>
      </c>
      <c r="H65" s="61"/>
      <c r="I65" s="61"/>
    </row>
    <row r="66" spans="1:9">
      <c r="A66" s="61">
        <v>107</v>
      </c>
      <c r="B66" s="5" t="str">
        <f t="shared" si="5"/>
        <v>メゾン雑司ヶ谷</v>
      </c>
      <c r="C66" s="61">
        <v>651</v>
      </c>
      <c r="D66" s="5" t="str">
        <f t="shared" si="6"/>
        <v>火災保険料</v>
      </c>
      <c r="E66" s="577" t="s">
        <v>2027</v>
      </c>
      <c r="F66" s="577">
        <v>20610</v>
      </c>
      <c r="G66" s="61"/>
      <c r="H66" s="61"/>
      <c r="I66" s="61"/>
    </row>
    <row r="67" spans="1:9">
      <c r="A67" s="61">
        <v>107</v>
      </c>
      <c r="B67" s="5" t="str">
        <f t="shared" ref="B67:B98" si="7">VLOOKUP(A67,id_settings,2,FALSE)</f>
        <v>メゾン雑司ヶ谷</v>
      </c>
      <c r="C67" s="61">
        <v>652</v>
      </c>
      <c r="D67" s="5" t="str">
        <f t="shared" ref="D67:D98" si="8">VLOOKUP(C67,id_settings,2,FALSE)</f>
        <v>水道料金</v>
      </c>
      <c r="E67" s="577">
        <v>1903</v>
      </c>
      <c r="F67" s="577">
        <v>22836</v>
      </c>
      <c r="G67" s="61" t="s">
        <v>2032</v>
      </c>
      <c r="H67" s="61"/>
      <c r="I67" s="61"/>
    </row>
    <row r="68" spans="1:9">
      <c r="A68" s="61">
        <v>107</v>
      </c>
      <c r="B68" s="5" t="str">
        <f t="shared" si="7"/>
        <v>メゾン雑司ヶ谷</v>
      </c>
      <c r="C68" s="61">
        <v>655</v>
      </c>
      <c r="D68" s="5" t="str">
        <f t="shared" si="8"/>
        <v>建物管理料</v>
      </c>
      <c r="E68" s="577">
        <v>72490</v>
      </c>
      <c r="F68" s="577">
        <v>869880</v>
      </c>
      <c r="G68" s="61" t="s">
        <v>2030</v>
      </c>
      <c r="H68" s="61"/>
      <c r="I68" s="61"/>
    </row>
    <row r="69" spans="1:9">
      <c r="A69" s="61">
        <v>107</v>
      </c>
      <c r="B69" s="5" t="str">
        <f t="shared" si="7"/>
        <v>メゾン雑司ヶ谷</v>
      </c>
      <c r="C69" s="61">
        <v>653</v>
      </c>
      <c r="D69" s="5" t="str">
        <f t="shared" si="8"/>
        <v>電気料金(電灯)</v>
      </c>
      <c r="E69" s="577">
        <v>4341</v>
      </c>
      <c r="F69" s="577">
        <v>52092</v>
      </c>
      <c r="G69" s="61" t="s">
        <v>2031</v>
      </c>
      <c r="H69" s="61"/>
      <c r="I69" s="61"/>
    </row>
    <row r="70" spans="1:9">
      <c r="A70" s="61">
        <v>107</v>
      </c>
      <c r="B70" s="5" t="str">
        <f t="shared" si="7"/>
        <v>メゾン雑司ヶ谷</v>
      </c>
      <c r="C70" s="61">
        <v>654</v>
      </c>
      <c r="D70" s="5" t="str">
        <f t="shared" si="8"/>
        <v>電気料金(低圧)</v>
      </c>
      <c r="E70" s="577">
        <v>8976</v>
      </c>
      <c r="F70" s="577">
        <v>107712</v>
      </c>
      <c r="G70" s="61" t="s">
        <v>2034</v>
      </c>
      <c r="H70" s="61"/>
      <c r="I70" s="61"/>
    </row>
    <row r="71" spans="1:9">
      <c r="A71" s="61">
        <v>109</v>
      </c>
      <c r="B71" s="5" t="str">
        <f t="shared" si="7"/>
        <v>カーサ南池袋</v>
      </c>
      <c r="C71" s="61">
        <v>651</v>
      </c>
      <c r="D71" s="5" t="str">
        <f t="shared" si="8"/>
        <v>火災保険料</v>
      </c>
      <c r="E71" s="577" t="s">
        <v>2027</v>
      </c>
      <c r="F71" s="577">
        <v>12950</v>
      </c>
      <c r="G71" s="61"/>
      <c r="H71" s="61"/>
      <c r="I71" s="61"/>
    </row>
    <row r="72" spans="1:9">
      <c r="A72" s="61">
        <v>109</v>
      </c>
      <c r="B72" s="5" t="str">
        <f t="shared" si="7"/>
        <v>カーサ南池袋</v>
      </c>
      <c r="C72" s="61">
        <v>655</v>
      </c>
      <c r="D72" s="5" t="str">
        <f t="shared" si="8"/>
        <v>建物管理料</v>
      </c>
      <c r="E72" s="577">
        <v>32890</v>
      </c>
      <c r="F72" s="577">
        <v>394680</v>
      </c>
      <c r="G72" s="61" t="s">
        <v>2030</v>
      </c>
      <c r="H72" s="61"/>
      <c r="I72" s="61"/>
    </row>
    <row r="73" spans="1:9">
      <c r="A73" s="61">
        <v>109</v>
      </c>
      <c r="B73" s="5" t="str">
        <f t="shared" si="7"/>
        <v>カーサ南池袋</v>
      </c>
      <c r="C73" s="61">
        <v>653</v>
      </c>
      <c r="D73" s="5" t="str">
        <f t="shared" si="8"/>
        <v>電気料金(電灯)</v>
      </c>
      <c r="E73" s="577">
        <v>17563</v>
      </c>
      <c r="F73" s="577">
        <v>210756</v>
      </c>
      <c r="G73" s="61" t="s">
        <v>2031</v>
      </c>
      <c r="H73" s="61"/>
      <c r="I73" s="61"/>
    </row>
    <row r="74" spans="1:9">
      <c r="A74" s="61">
        <v>109</v>
      </c>
      <c r="B74" s="5" t="str">
        <f t="shared" si="7"/>
        <v>カーサ南池袋</v>
      </c>
      <c r="C74" s="61">
        <v>654</v>
      </c>
      <c r="D74" s="5" t="str">
        <f t="shared" si="8"/>
        <v>電気料金(低圧)</v>
      </c>
      <c r="E74" s="577">
        <v>7040</v>
      </c>
      <c r="F74" s="577">
        <v>84480</v>
      </c>
      <c r="G74" s="61" t="s">
        <v>2034</v>
      </c>
      <c r="H74" s="61"/>
      <c r="I74" s="61"/>
    </row>
    <row r="75" spans="1:9">
      <c r="A75" s="61">
        <v>111</v>
      </c>
      <c r="B75" s="5" t="str">
        <f t="shared" si="7"/>
        <v>目白カーサ二番館</v>
      </c>
      <c r="C75" s="61">
        <v>651</v>
      </c>
      <c r="D75" s="5" t="str">
        <f t="shared" si="8"/>
        <v>火災保険料</v>
      </c>
      <c r="E75" s="577" t="s">
        <v>2027</v>
      </c>
      <c r="F75" s="577">
        <v>19920</v>
      </c>
      <c r="G75" s="61"/>
      <c r="H75" s="61"/>
      <c r="I75" s="61"/>
    </row>
    <row r="76" spans="1:9">
      <c r="A76" s="61">
        <v>111</v>
      </c>
      <c r="B76" s="5" t="str">
        <f t="shared" si="7"/>
        <v>目白カーサ二番館</v>
      </c>
      <c r="C76" s="61">
        <v>652</v>
      </c>
      <c r="D76" s="5" t="str">
        <f t="shared" si="8"/>
        <v>水道料金</v>
      </c>
      <c r="E76" s="577">
        <v>1562</v>
      </c>
      <c r="F76" s="577">
        <v>18744</v>
      </c>
      <c r="G76" s="61" t="s">
        <v>2032</v>
      </c>
      <c r="H76" s="61"/>
      <c r="I76" s="61"/>
    </row>
    <row r="77" spans="1:9">
      <c r="A77" s="61">
        <v>111</v>
      </c>
      <c r="B77" s="5" t="str">
        <f t="shared" si="7"/>
        <v>目白カーサ二番館</v>
      </c>
      <c r="C77" s="61">
        <v>655</v>
      </c>
      <c r="D77" s="5" t="str">
        <f t="shared" si="8"/>
        <v>建物管理料</v>
      </c>
      <c r="E77" s="577">
        <v>69850</v>
      </c>
      <c r="F77" s="577">
        <v>838200</v>
      </c>
      <c r="G77" s="61" t="s">
        <v>2030</v>
      </c>
      <c r="H77" s="61"/>
      <c r="I77" s="61"/>
    </row>
    <row r="78" spans="1:9">
      <c r="A78" s="61">
        <v>111</v>
      </c>
      <c r="B78" s="5" t="str">
        <f t="shared" si="7"/>
        <v>目白カーサ二番館</v>
      </c>
      <c r="C78" s="61">
        <v>653</v>
      </c>
      <c r="D78" s="5" t="str">
        <f t="shared" si="8"/>
        <v>電気料金(電灯)</v>
      </c>
      <c r="E78" s="577">
        <v>11357</v>
      </c>
      <c r="F78" s="577">
        <v>136284</v>
      </c>
      <c r="G78" s="61" t="s">
        <v>2031</v>
      </c>
      <c r="H78" s="61"/>
      <c r="I78" s="61"/>
    </row>
    <row r="79" spans="1:9">
      <c r="A79" s="61">
        <v>111</v>
      </c>
      <c r="B79" s="5" t="str">
        <f t="shared" si="7"/>
        <v>目白カーサ二番館</v>
      </c>
      <c r="C79" s="61">
        <v>654</v>
      </c>
      <c r="D79" s="5" t="str">
        <f t="shared" si="8"/>
        <v>電気料金(低圧)</v>
      </c>
      <c r="E79" s="577">
        <v>20490</v>
      </c>
      <c r="F79" s="577">
        <v>245880</v>
      </c>
      <c r="G79" s="61" t="s">
        <v>2034</v>
      </c>
      <c r="H79" s="61"/>
      <c r="I79" s="61"/>
    </row>
    <row r="80" spans="1:9">
      <c r="A80" s="61">
        <v>112</v>
      </c>
      <c r="B80" s="5" t="str">
        <f t="shared" si="7"/>
        <v>豊島目白ビル</v>
      </c>
      <c r="C80" s="61">
        <v>651</v>
      </c>
      <c r="D80" s="5" t="str">
        <f t="shared" si="8"/>
        <v>火災保険料</v>
      </c>
      <c r="E80" s="577" t="s">
        <v>2027</v>
      </c>
      <c r="F80" s="577">
        <v>10340</v>
      </c>
      <c r="G80" s="61"/>
      <c r="H80" s="61"/>
      <c r="I80" s="61"/>
    </row>
    <row r="81" spans="1:9">
      <c r="A81" s="61">
        <v>112</v>
      </c>
      <c r="B81" s="5" t="str">
        <f t="shared" si="7"/>
        <v>豊島目白ビル</v>
      </c>
      <c r="C81" s="61">
        <v>655</v>
      </c>
      <c r="D81" s="5" t="str">
        <f t="shared" si="8"/>
        <v>建物管理料</v>
      </c>
      <c r="E81" s="577">
        <v>54952</v>
      </c>
      <c r="F81" s="577">
        <v>659419</v>
      </c>
      <c r="G81" s="61" t="s">
        <v>2030</v>
      </c>
      <c r="H81" s="61"/>
      <c r="I81" s="61"/>
    </row>
    <row r="82" spans="1:9">
      <c r="A82" s="61">
        <v>113</v>
      </c>
      <c r="B82" s="5" t="str">
        <f t="shared" si="7"/>
        <v>第3目白ハイツ</v>
      </c>
      <c r="C82" s="61">
        <v>651</v>
      </c>
      <c r="D82" s="5" t="str">
        <f t="shared" si="8"/>
        <v>火災保険料</v>
      </c>
      <c r="E82" s="577" t="s">
        <v>2027</v>
      </c>
      <c r="F82" s="577">
        <v>51350</v>
      </c>
      <c r="G82" s="61"/>
      <c r="H82" s="61"/>
      <c r="I82" s="61"/>
    </row>
    <row r="83" spans="1:9">
      <c r="A83" s="61">
        <v>113</v>
      </c>
      <c r="B83" s="5" t="str">
        <f t="shared" si="7"/>
        <v>第3目白ハイツ</v>
      </c>
      <c r="C83" s="61">
        <v>652</v>
      </c>
      <c r="D83" s="5" t="str">
        <f t="shared" si="8"/>
        <v>水道料金</v>
      </c>
      <c r="E83" s="577">
        <v>1903</v>
      </c>
      <c r="F83" s="577">
        <v>22836</v>
      </c>
      <c r="G83" s="61" t="s">
        <v>2036</v>
      </c>
      <c r="H83" s="61"/>
      <c r="I83" s="61"/>
    </row>
    <row r="84" spans="1:9">
      <c r="A84" s="61">
        <v>113</v>
      </c>
      <c r="B84" s="5" t="str">
        <f t="shared" si="7"/>
        <v>第3目白ハイツ</v>
      </c>
      <c r="C84" s="61">
        <v>652</v>
      </c>
      <c r="D84" s="5" t="str">
        <f t="shared" si="8"/>
        <v>水道料金</v>
      </c>
      <c r="E84" s="577">
        <v>1903</v>
      </c>
      <c r="F84" s="577">
        <v>22836</v>
      </c>
      <c r="G84" s="61" t="s">
        <v>2028</v>
      </c>
      <c r="H84" s="61"/>
      <c r="I84" s="61"/>
    </row>
    <row r="85" spans="1:9">
      <c r="A85" s="61">
        <v>113</v>
      </c>
      <c r="B85" s="5" t="str">
        <f t="shared" si="7"/>
        <v>第3目白ハイツ</v>
      </c>
      <c r="C85" s="61">
        <v>655</v>
      </c>
      <c r="D85" s="5" t="str">
        <f t="shared" si="8"/>
        <v>建物管理料</v>
      </c>
      <c r="E85" s="577">
        <v>70730</v>
      </c>
      <c r="F85" s="577">
        <v>848760</v>
      </c>
      <c r="G85" s="61" t="s">
        <v>2030</v>
      </c>
      <c r="H85" s="61"/>
      <c r="I85" s="61"/>
    </row>
    <row r="86" spans="1:9">
      <c r="A86" s="61">
        <v>113</v>
      </c>
      <c r="B86" s="5" t="str">
        <f t="shared" si="7"/>
        <v>第3目白ハイツ</v>
      </c>
      <c r="C86" s="61">
        <v>653</v>
      </c>
      <c r="D86" s="5" t="str">
        <f t="shared" si="8"/>
        <v>電気料金(電灯)</v>
      </c>
      <c r="E86" s="577">
        <v>7643</v>
      </c>
      <c r="F86" s="577">
        <v>91716</v>
      </c>
      <c r="G86" s="61" t="s">
        <v>2031</v>
      </c>
      <c r="H86" s="61"/>
      <c r="I86" s="61"/>
    </row>
    <row r="87" spans="1:9">
      <c r="A87" s="61">
        <v>113</v>
      </c>
      <c r="B87" s="5" t="str">
        <f t="shared" si="7"/>
        <v>第3目白ハイツ</v>
      </c>
      <c r="C87" s="61">
        <v>654</v>
      </c>
      <c r="D87" s="5" t="str">
        <f t="shared" si="8"/>
        <v>電気料金(低圧)</v>
      </c>
      <c r="E87" s="577">
        <v>23543</v>
      </c>
      <c r="F87" s="577">
        <v>282516</v>
      </c>
      <c r="G87" s="61" t="s">
        <v>2034</v>
      </c>
      <c r="H87" s="61"/>
      <c r="I87" s="61"/>
    </row>
    <row r="88" spans="1:9">
      <c r="A88" s="61">
        <v>114</v>
      </c>
      <c r="B88" s="5" t="str">
        <f t="shared" si="7"/>
        <v>レジデンス目白豊島</v>
      </c>
      <c r="C88" s="61">
        <v>651</v>
      </c>
      <c r="D88" s="5" t="str">
        <f t="shared" si="8"/>
        <v>火災保険料</v>
      </c>
      <c r="E88" s="577" t="s">
        <v>2027</v>
      </c>
      <c r="F88" s="577">
        <v>7710</v>
      </c>
      <c r="G88" s="61"/>
      <c r="H88" s="61"/>
      <c r="I88" s="61"/>
    </row>
    <row r="89" spans="1:9">
      <c r="A89" s="61">
        <v>114</v>
      </c>
      <c r="B89" s="5" t="str">
        <f t="shared" si="7"/>
        <v>レジデンス目白豊島</v>
      </c>
      <c r="C89" s="61">
        <v>655</v>
      </c>
      <c r="D89" s="5" t="str">
        <f t="shared" si="8"/>
        <v>建物管理料</v>
      </c>
      <c r="E89" s="577">
        <v>33770</v>
      </c>
      <c r="F89" s="577">
        <v>405240</v>
      </c>
      <c r="G89" s="61" t="s">
        <v>2030</v>
      </c>
      <c r="H89" s="61"/>
      <c r="I89" s="61"/>
    </row>
    <row r="90" spans="1:9">
      <c r="A90" s="61">
        <v>114</v>
      </c>
      <c r="B90" s="5" t="str">
        <f t="shared" si="7"/>
        <v>レジデンス目白豊島</v>
      </c>
      <c r="C90" s="61">
        <v>653</v>
      </c>
      <c r="D90" s="5" t="str">
        <f t="shared" si="8"/>
        <v>電気料金(電灯)</v>
      </c>
      <c r="E90" s="577">
        <v>3252</v>
      </c>
      <c r="F90" s="577">
        <v>39024</v>
      </c>
      <c r="G90" s="61" t="s">
        <v>2031</v>
      </c>
      <c r="H90" s="61"/>
      <c r="I90" s="61"/>
    </row>
    <row r="91" spans="1:9">
      <c r="A91" s="61">
        <v>114</v>
      </c>
      <c r="B91" s="5" t="str">
        <f t="shared" si="7"/>
        <v>レジデンス目白豊島</v>
      </c>
      <c r="C91" s="61">
        <v>654</v>
      </c>
      <c r="D91" s="5" t="str">
        <f t="shared" si="8"/>
        <v>電気料金(低圧)</v>
      </c>
      <c r="E91" s="577">
        <v>3916</v>
      </c>
      <c r="F91" s="577">
        <v>46992</v>
      </c>
      <c r="G91" s="61" t="s">
        <v>2034</v>
      </c>
      <c r="H91" s="61"/>
      <c r="I91" s="61"/>
    </row>
    <row r="92" spans="1:9">
      <c r="A92" s="61">
        <v>115</v>
      </c>
      <c r="B92" s="5" t="str">
        <f t="shared" si="7"/>
        <v>コアプラス大塚</v>
      </c>
      <c r="C92" s="61">
        <v>651</v>
      </c>
      <c r="D92" s="5" t="str">
        <f t="shared" si="8"/>
        <v>火災保険料</v>
      </c>
      <c r="E92" s="577" t="s">
        <v>2027</v>
      </c>
      <c r="F92" s="577">
        <v>34430</v>
      </c>
      <c r="G92" s="61"/>
      <c r="H92" s="61"/>
      <c r="I92" s="61"/>
    </row>
    <row r="93" spans="1:9">
      <c r="A93" s="61">
        <v>115</v>
      </c>
      <c r="B93" s="5" t="str">
        <f t="shared" si="7"/>
        <v>コアプラス大塚</v>
      </c>
      <c r="C93" s="61">
        <v>652</v>
      </c>
      <c r="D93" s="5" t="str">
        <f t="shared" si="8"/>
        <v>水道料金</v>
      </c>
      <c r="E93" s="577">
        <v>1903</v>
      </c>
      <c r="F93" s="577">
        <v>22836</v>
      </c>
      <c r="G93" s="61" t="s">
        <v>2036</v>
      </c>
      <c r="H93" s="61"/>
      <c r="I93" s="61"/>
    </row>
    <row r="94" spans="1:9">
      <c r="A94" s="61">
        <v>115</v>
      </c>
      <c r="B94" s="5" t="str">
        <f t="shared" si="7"/>
        <v>コアプラス大塚</v>
      </c>
      <c r="C94" s="61">
        <v>652</v>
      </c>
      <c r="D94" s="5" t="str">
        <f t="shared" si="8"/>
        <v>水道料金</v>
      </c>
      <c r="E94" s="577">
        <v>1903</v>
      </c>
      <c r="F94" s="577">
        <v>22836</v>
      </c>
      <c r="G94" s="61" t="s">
        <v>2028</v>
      </c>
      <c r="H94" s="61"/>
      <c r="I94" s="61"/>
    </row>
    <row r="95" spans="1:9">
      <c r="A95" s="61">
        <v>115</v>
      </c>
      <c r="B95" s="5" t="str">
        <f t="shared" si="7"/>
        <v>コアプラス大塚</v>
      </c>
      <c r="C95" s="61">
        <v>655</v>
      </c>
      <c r="D95" s="5" t="str">
        <f t="shared" si="8"/>
        <v>建物管理料</v>
      </c>
      <c r="E95" s="577">
        <v>108460</v>
      </c>
      <c r="F95" s="577">
        <v>1301520</v>
      </c>
      <c r="G95" s="61" t="s">
        <v>2030</v>
      </c>
      <c r="H95" s="61"/>
      <c r="I95" s="61"/>
    </row>
    <row r="96" spans="1:9">
      <c r="A96" s="61">
        <v>115</v>
      </c>
      <c r="B96" s="5" t="str">
        <f t="shared" si="7"/>
        <v>コアプラス大塚</v>
      </c>
      <c r="C96" s="61">
        <v>653</v>
      </c>
      <c r="D96" s="5" t="str">
        <f t="shared" si="8"/>
        <v>電気料金(電灯)</v>
      </c>
      <c r="E96" s="577">
        <v>20057</v>
      </c>
      <c r="F96" s="577">
        <v>240684</v>
      </c>
      <c r="G96" s="61" t="s">
        <v>2031</v>
      </c>
      <c r="H96" s="61"/>
      <c r="I96" s="61"/>
    </row>
    <row r="97" spans="1:9">
      <c r="A97" s="61">
        <v>115</v>
      </c>
      <c r="B97" s="5" t="str">
        <f t="shared" si="7"/>
        <v>コアプラス大塚</v>
      </c>
      <c r="C97" s="61">
        <v>654</v>
      </c>
      <c r="D97" s="5" t="str">
        <f t="shared" si="8"/>
        <v>電気料金(低圧)</v>
      </c>
      <c r="E97" s="577">
        <v>24595</v>
      </c>
      <c r="F97" s="577">
        <v>295140</v>
      </c>
      <c r="G97" s="61" t="s">
        <v>2034</v>
      </c>
      <c r="H97" s="61"/>
      <c r="I97" s="61"/>
    </row>
    <row r="98" spans="1:9">
      <c r="A98" s="61">
        <v>116</v>
      </c>
      <c r="B98" s="5" t="str">
        <f t="shared" si="7"/>
        <v>コアプラスレジデンス梅田</v>
      </c>
      <c r="C98" s="61">
        <v>651</v>
      </c>
      <c r="D98" s="5" t="str">
        <f t="shared" si="8"/>
        <v>火災保険料</v>
      </c>
      <c r="E98" s="577" t="s">
        <v>2027</v>
      </c>
      <c r="F98" s="577">
        <v>20620</v>
      </c>
      <c r="G98" s="61"/>
      <c r="H98" s="61"/>
      <c r="I98" s="61"/>
    </row>
    <row r="99" spans="1:9">
      <c r="A99" s="61">
        <v>116</v>
      </c>
      <c r="B99" s="5" t="str">
        <f t="shared" ref="B99:B122" si="9">VLOOKUP(A99,id_settings,2,FALSE)</f>
        <v>コアプラスレジデンス梅田</v>
      </c>
      <c r="C99" s="61">
        <v>652</v>
      </c>
      <c r="D99" s="5" t="str">
        <f t="shared" ref="D99:D122" si="10">VLOOKUP(C99,id_settings,2,FALSE)</f>
        <v>水道料金</v>
      </c>
      <c r="E99" s="577">
        <v>1903</v>
      </c>
      <c r="F99" s="577">
        <v>22836</v>
      </c>
      <c r="G99" s="61" t="s">
        <v>2032</v>
      </c>
      <c r="H99" s="61"/>
      <c r="I99" s="61"/>
    </row>
    <row r="100" spans="1:9">
      <c r="A100" s="61">
        <v>116</v>
      </c>
      <c r="B100" s="5" t="str">
        <f t="shared" si="9"/>
        <v>コアプラスレジデンス梅田</v>
      </c>
      <c r="C100" s="61">
        <v>658</v>
      </c>
      <c r="D100" s="5" t="str">
        <f t="shared" si="10"/>
        <v>その他</v>
      </c>
      <c r="E100" s="577">
        <v>11000</v>
      </c>
      <c r="F100" s="577">
        <v>132000</v>
      </c>
      <c r="G100" s="61" t="s">
        <v>2029</v>
      </c>
      <c r="H100" s="61"/>
      <c r="I100" s="61"/>
    </row>
    <row r="101" spans="1:9">
      <c r="A101" s="61">
        <v>116</v>
      </c>
      <c r="B101" s="5" t="str">
        <f t="shared" si="9"/>
        <v>コアプラスレジデンス梅田</v>
      </c>
      <c r="C101" s="61">
        <v>655</v>
      </c>
      <c r="D101" s="5" t="str">
        <f t="shared" si="10"/>
        <v>建物管理料</v>
      </c>
      <c r="E101" s="577">
        <v>96690</v>
      </c>
      <c r="F101" s="577">
        <v>1160280</v>
      </c>
      <c r="G101" s="61" t="s">
        <v>2030</v>
      </c>
      <c r="H101" s="61"/>
      <c r="I101" s="61"/>
    </row>
    <row r="102" spans="1:9">
      <c r="A102" s="61">
        <v>116</v>
      </c>
      <c r="B102" s="5" t="str">
        <f t="shared" si="9"/>
        <v>コアプラスレジデンス梅田</v>
      </c>
      <c r="C102" s="61">
        <v>653</v>
      </c>
      <c r="D102" s="5" t="str">
        <f t="shared" si="10"/>
        <v>電気料金(電灯)</v>
      </c>
      <c r="E102" s="577">
        <v>8484</v>
      </c>
      <c r="F102" s="577">
        <v>101808</v>
      </c>
      <c r="G102" s="61" t="s">
        <v>2031</v>
      </c>
      <c r="H102" s="61"/>
      <c r="I102" s="61"/>
    </row>
    <row r="103" spans="1:9">
      <c r="A103" s="61">
        <v>116</v>
      </c>
      <c r="B103" s="5" t="str">
        <f t="shared" si="9"/>
        <v>コアプラスレジデンス梅田</v>
      </c>
      <c r="C103" s="61">
        <v>654</v>
      </c>
      <c r="D103" s="5" t="str">
        <f t="shared" si="10"/>
        <v>電気料金(低圧)</v>
      </c>
      <c r="E103" s="577">
        <v>21625</v>
      </c>
      <c r="F103" s="577">
        <v>259500</v>
      </c>
      <c r="G103" s="61" t="s">
        <v>2034</v>
      </c>
      <c r="H103" s="61"/>
      <c r="I103" s="61"/>
    </row>
    <row r="104" spans="1:9">
      <c r="A104" s="61">
        <v>117</v>
      </c>
      <c r="B104" s="5" t="str">
        <f t="shared" si="9"/>
        <v>高田馬場第4玉川ビル</v>
      </c>
      <c r="C104" s="61">
        <v>651</v>
      </c>
      <c r="D104" s="5" t="str">
        <f t="shared" si="10"/>
        <v>火災保険料</v>
      </c>
      <c r="E104" s="577" t="s">
        <v>2027</v>
      </c>
      <c r="F104" s="577">
        <v>21200</v>
      </c>
      <c r="G104" s="61"/>
      <c r="H104" s="61"/>
      <c r="I104" s="61"/>
    </row>
    <row r="105" spans="1:9">
      <c r="A105" s="61">
        <v>117</v>
      </c>
      <c r="B105" s="5" t="str">
        <f t="shared" si="9"/>
        <v>高田馬場第4玉川ビル</v>
      </c>
      <c r="C105" s="61">
        <v>655</v>
      </c>
      <c r="D105" s="5" t="str">
        <f t="shared" si="10"/>
        <v>建物管理料</v>
      </c>
      <c r="E105" s="577">
        <v>19250</v>
      </c>
      <c r="F105" s="577">
        <v>231000</v>
      </c>
      <c r="G105" s="61" t="s">
        <v>2030</v>
      </c>
      <c r="H105" s="61"/>
      <c r="I105" s="61"/>
    </row>
    <row r="106" spans="1:9">
      <c r="A106" s="61">
        <v>117</v>
      </c>
      <c r="B106" s="5" t="str">
        <f t="shared" si="9"/>
        <v>高田馬場第4玉川ビル</v>
      </c>
      <c r="C106" s="61">
        <v>653</v>
      </c>
      <c r="D106" s="5" t="str">
        <f t="shared" si="10"/>
        <v>電気料金(電灯)</v>
      </c>
      <c r="E106" s="577">
        <v>763</v>
      </c>
      <c r="F106" s="577">
        <v>9156</v>
      </c>
      <c r="G106" s="61" t="s">
        <v>2031</v>
      </c>
      <c r="H106" s="61"/>
      <c r="I106" s="61"/>
    </row>
    <row r="107" spans="1:9">
      <c r="A107" s="61">
        <v>117</v>
      </c>
      <c r="B107" s="5" t="str">
        <f t="shared" si="9"/>
        <v>高田馬場第4玉川ビル</v>
      </c>
      <c r="C107" s="61">
        <v>659</v>
      </c>
      <c r="D107" s="5" t="str">
        <f t="shared" si="10"/>
        <v>立替金</v>
      </c>
      <c r="E107" s="577">
        <v>50000</v>
      </c>
      <c r="F107" s="577">
        <f>E107*12</f>
        <v>600000</v>
      </c>
      <c r="G107" s="61" t="s">
        <v>2037</v>
      </c>
      <c r="H107" s="61"/>
      <c r="I107" s="61"/>
    </row>
    <row r="108" spans="1:9">
      <c r="A108" s="61">
        <v>117</v>
      </c>
      <c r="B108" s="5" t="str">
        <f t="shared" si="9"/>
        <v>高田馬場第4玉川ビル</v>
      </c>
      <c r="C108" s="61">
        <v>659</v>
      </c>
      <c r="D108" s="5" t="str">
        <f t="shared" si="10"/>
        <v>立替金</v>
      </c>
      <c r="E108" s="577">
        <v>-50500</v>
      </c>
      <c r="F108" s="577">
        <f>E108*12</f>
        <v>-606000</v>
      </c>
      <c r="G108" s="61" t="s">
        <v>2038</v>
      </c>
      <c r="H108" s="61"/>
      <c r="I108" s="61"/>
    </row>
    <row r="109" spans="1:9">
      <c r="A109" s="61">
        <v>120</v>
      </c>
      <c r="B109" s="5" t="str">
        <f t="shared" si="9"/>
        <v>南池袋マンション</v>
      </c>
      <c r="C109" s="61">
        <v>651</v>
      </c>
      <c r="D109" s="5" t="str">
        <f t="shared" si="10"/>
        <v>火災保険料</v>
      </c>
      <c r="E109" s="577" t="s">
        <v>2027</v>
      </c>
      <c r="F109" s="577">
        <v>13630</v>
      </c>
      <c r="G109" s="61"/>
      <c r="H109" s="61"/>
      <c r="I109" s="61"/>
    </row>
    <row r="110" spans="1:9">
      <c r="A110" s="61">
        <v>120</v>
      </c>
      <c r="B110" s="5" t="str">
        <f t="shared" si="9"/>
        <v>南池袋マンション</v>
      </c>
      <c r="C110" s="61">
        <v>652</v>
      </c>
      <c r="D110" s="5" t="str">
        <f t="shared" si="10"/>
        <v>水道料金</v>
      </c>
      <c r="E110" s="577">
        <v>1562</v>
      </c>
      <c r="F110" s="577">
        <v>18744</v>
      </c>
      <c r="G110" s="61" t="s">
        <v>2032</v>
      </c>
      <c r="H110" s="61"/>
      <c r="I110" s="61"/>
    </row>
    <row r="111" spans="1:9">
      <c r="A111" s="61">
        <v>120</v>
      </c>
      <c r="B111" s="5" t="str">
        <f t="shared" si="9"/>
        <v>南池袋マンション</v>
      </c>
      <c r="C111" s="61">
        <v>658</v>
      </c>
      <c r="D111" s="5" t="str">
        <f t="shared" si="10"/>
        <v>その他</v>
      </c>
      <c r="E111" s="577">
        <v>1320</v>
      </c>
      <c r="F111" s="577">
        <v>15840</v>
      </c>
      <c r="G111" s="61" t="s">
        <v>2039</v>
      </c>
      <c r="H111" s="61"/>
      <c r="I111" s="61"/>
    </row>
    <row r="112" spans="1:9">
      <c r="A112" s="61">
        <v>120</v>
      </c>
      <c r="B112" s="5" t="str">
        <f t="shared" si="9"/>
        <v>南池袋マンション</v>
      </c>
      <c r="C112" s="61">
        <v>655</v>
      </c>
      <c r="D112" s="5" t="str">
        <f t="shared" si="10"/>
        <v>建物管理料</v>
      </c>
      <c r="E112" s="577">
        <v>25300</v>
      </c>
      <c r="F112" s="577">
        <v>303600</v>
      </c>
      <c r="G112" s="61" t="s">
        <v>2030</v>
      </c>
      <c r="H112" s="61"/>
      <c r="I112" s="61"/>
    </row>
    <row r="113" spans="1:9">
      <c r="A113" s="61">
        <v>120</v>
      </c>
      <c r="B113" s="5" t="str">
        <f t="shared" si="9"/>
        <v>南池袋マンション</v>
      </c>
      <c r="C113" s="61">
        <v>653</v>
      </c>
      <c r="D113" s="5" t="str">
        <f t="shared" si="10"/>
        <v>電気料金(電灯)</v>
      </c>
      <c r="E113" s="577">
        <v>10126</v>
      </c>
      <c r="F113" s="577">
        <v>121512</v>
      </c>
      <c r="G113" s="61" t="s">
        <v>2031</v>
      </c>
      <c r="H113" s="61"/>
      <c r="I113" s="61"/>
    </row>
    <row r="114" spans="1:9">
      <c r="A114" s="61">
        <v>120</v>
      </c>
      <c r="B114" s="5" t="str">
        <f t="shared" si="9"/>
        <v>南池袋マンション</v>
      </c>
      <c r="C114" s="61">
        <v>654</v>
      </c>
      <c r="D114" s="5" t="str">
        <f t="shared" si="10"/>
        <v>電気料金(低圧)</v>
      </c>
      <c r="E114" s="577">
        <v>3642</v>
      </c>
      <c r="F114" s="577">
        <v>43704</v>
      </c>
      <c r="G114" s="61" t="s">
        <v>2034</v>
      </c>
      <c r="H114" s="61"/>
      <c r="I114" s="61"/>
    </row>
    <row r="115" spans="1:9">
      <c r="A115" s="61">
        <v>221</v>
      </c>
      <c r="B115" s="5" t="str">
        <f t="shared" si="9"/>
        <v>ビジネス新大阪123号</v>
      </c>
      <c r="C115" s="61">
        <v>651</v>
      </c>
      <c r="D115" s="5" t="str">
        <f t="shared" si="10"/>
        <v>火災保険料</v>
      </c>
      <c r="E115" s="577" t="s">
        <v>2027</v>
      </c>
      <c r="F115" s="577">
        <v>2060</v>
      </c>
      <c r="G115" s="61"/>
      <c r="H115" s="61"/>
      <c r="I115" s="61"/>
    </row>
    <row r="116" spans="1:9">
      <c r="A116" s="61">
        <v>221</v>
      </c>
      <c r="B116" s="5" t="str">
        <f t="shared" si="9"/>
        <v>ビジネス新大阪123号</v>
      </c>
      <c r="C116" s="61">
        <v>656</v>
      </c>
      <c r="D116" s="5" t="str">
        <f t="shared" si="10"/>
        <v>区分管理費</v>
      </c>
      <c r="E116" s="577">
        <v>4050</v>
      </c>
      <c r="F116" s="577">
        <v>48600</v>
      </c>
      <c r="G116" s="61"/>
      <c r="H116" s="61"/>
      <c r="I116" s="61"/>
    </row>
    <row r="117" spans="1:9">
      <c r="A117" s="61">
        <v>221</v>
      </c>
      <c r="B117" s="5" t="str">
        <f t="shared" si="9"/>
        <v>ビジネス新大阪123号</v>
      </c>
      <c r="C117" s="61">
        <v>657</v>
      </c>
      <c r="D117" s="5" t="str">
        <f t="shared" si="10"/>
        <v>区分修繕積立金</v>
      </c>
      <c r="E117" s="577">
        <v>1350</v>
      </c>
      <c r="F117" s="577">
        <v>16200</v>
      </c>
      <c r="G117" s="61"/>
      <c r="H117" s="61"/>
      <c r="I117" s="61"/>
    </row>
    <row r="118" spans="1:9">
      <c r="A118" s="61">
        <v>222</v>
      </c>
      <c r="B118" s="5" t="str">
        <f t="shared" si="9"/>
        <v>プラウD目白301号</v>
      </c>
      <c r="C118" s="61">
        <v>651</v>
      </c>
      <c r="D118" s="5" t="str">
        <f t="shared" si="10"/>
        <v>火災保険料</v>
      </c>
      <c r="E118" s="577" t="s">
        <v>2027</v>
      </c>
      <c r="F118" s="577">
        <v>7360</v>
      </c>
      <c r="G118" s="61"/>
      <c r="H118" s="61"/>
      <c r="I118" s="61"/>
    </row>
    <row r="119" spans="1:9">
      <c r="A119" s="61">
        <v>222</v>
      </c>
      <c r="B119" s="5" t="str">
        <f t="shared" si="9"/>
        <v>プラウD目白301号</v>
      </c>
      <c r="C119" s="61">
        <v>656</v>
      </c>
      <c r="D119" s="5" t="str">
        <f t="shared" si="10"/>
        <v>区分管理費</v>
      </c>
      <c r="E119" s="577">
        <v>13600</v>
      </c>
      <c r="F119" s="577">
        <v>163200</v>
      </c>
      <c r="G119" s="61"/>
      <c r="H119" s="61"/>
      <c r="I119" s="61"/>
    </row>
    <row r="120" spans="1:9">
      <c r="A120" s="61">
        <v>222</v>
      </c>
      <c r="B120" s="5" t="str">
        <f t="shared" si="9"/>
        <v>プラウD目白301号</v>
      </c>
      <c r="C120" s="61">
        <v>657</v>
      </c>
      <c r="D120" s="5" t="str">
        <f t="shared" si="10"/>
        <v>区分修繕積立金</v>
      </c>
      <c r="E120" s="577">
        <v>14500</v>
      </c>
      <c r="F120" s="577">
        <v>174000</v>
      </c>
      <c r="G120" s="61"/>
      <c r="H120" s="61"/>
      <c r="I120" s="61"/>
    </row>
    <row r="121" spans="1:9">
      <c r="A121" s="61">
        <v>121</v>
      </c>
      <c r="B121" s="5" t="str">
        <f t="shared" si="9"/>
        <v>目白アパート1号館</v>
      </c>
      <c r="C121" s="61">
        <v>655</v>
      </c>
      <c r="D121" s="5" t="str">
        <f t="shared" si="10"/>
        <v>建物管理料</v>
      </c>
      <c r="E121" s="577">
        <v>20000</v>
      </c>
      <c r="F121" s="577">
        <f>E121*12</f>
        <v>240000</v>
      </c>
    </row>
    <row r="122" spans="1:9">
      <c r="A122" s="61">
        <v>122</v>
      </c>
      <c r="B122" s="5" t="str">
        <f t="shared" si="9"/>
        <v>目白アパート2号館</v>
      </c>
      <c r="C122" s="61">
        <v>655</v>
      </c>
      <c r="D122" s="5" t="str">
        <f t="shared" si="10"/>
        <v>建物管理料</v>
      </c>
      <c r="E122" s="577">
        <v>20000</v>
      </c>
      <c r="F122" s="577">
        <f>E122*12</f>
        <v>240000</v>
      </c>
    </row>
  </sheetData>
  <sheetProtection sheet="1" formatCells="0" formatColumns="0" formatRows="0" insertColumns="0" insertRows="0" insertHyperlinks="0" deleteColumns="0" deleteRows="0" sort="0" autoFilter="0" pivotTables="0"/>
  <mergeCells count="2">
    <mergeCell ref="A2:B2"/>
    <mergeCell ref="A31:B31"/>
  </mergeCells>
  <phoneticPr fontId="5"/>
  <pageMargins left="0.70866141732283472" right="0.70866141732283472" top="0.74803149606299213" bottom="0.74803149606299213" header="0.31496062992125984" footer="0.31496062992125984"/>
  <pageSetup paperSize="8" scale="82" fitToHeight="0" orientation="portrait" horizontalDpi="1200" verticalDpi="1200" r:id="rId1"/>
  <headerFooter>
    <oddHeader>&amp;A</oddHeader>
    <oddFooter>&amp;P / &amp;N ページ</oddFooter>
  </headerFooter>
  <rowBreaks count="1" manualBreakCount="1">
    <brk id="29"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E175D-0921-45F0-83BB-4CA5FD91D9A2}">
  <sheetPr>
    <pageSetUpPr fitToPage="1"/>
  </sheetPr>
  <dimension ref="A1:Z65"/>
  <sheetViews>
    <sheetView view="pageBreakPreview" zoomScaleNormal="100" zoomScaleSheetLayoutView="100" workbookViewId="0">
      <pane xSplit="3" ySplit="2" topLeftCell="D3" activePane="bottomRight" state="frozen"/>
      <selection pane="bottomRight" activeCell="A2" sqref="A2"/>
      <selection pane="bottomLeft" activeCell="A3" sqref="A3"/>
      <selection pane="topRight" activeCell="D1" sqref="D1"/>
    </sheetView>
  </sheetViews>
  <sheetFormatPr defaultRowHeight="13.5"/>
  <cols>
    <col min="1" max="1" width="6" style="23" customWidth="1"/>
    <col min="2" max="2" width="6.75" style="23" customWidth="1"/>
    <col min="3" max="3" width="18.5" style="23" customWidth="1"/>
    <col min="4" max="5" width="9" style="23"/>
    <col min="6" max="6" width="31.75" style="23" customWidth="1"/>
    <col min="7" max="8" width="9" style="23"/>
    <col min="9" max="10" width="12.625" style="23" customWidth="1"/>
    <col min="11" max="14" width="9" style="23"/>
    <col min="15" max="16" width="10.375" style="23" bestFit="1" customWidth="1"/>
    <col min="17" max="17" width="12.625" style="23" bestFit="1" customWidth="1"/>
    <col min="18" max="18" width="11.5" style="23" bestFit="1" customWidth="1"/>
    <col min="19" max="19" width="10.375" style="23" bestFit="1" customWidth="1"/>
    <col min="20" max="20" width="11.25" style="23" bestFit="1" customWidth="1"/>
    <col min="21" max="22" width="12.625" style="23" bestFit="1" customWidth="1"/>
    <col min="23" max="24" width="10.375" style="23" bestFit="1" customWidth="1"/>
    <col min="25" max="26" width="12.625" style="23" bestFit="1" customWidth="1"/>
    <col min="27" max="16384" width="9" style="23"/>
  </cols>
  <sheetData>
    <row r="1" spans="1:26" ht="17.25">
      <c r="A1" s="63" t="s">
        <v>2040</v>
      </c>
      <c r="G1" s="76"/>
      <c r="H1" s="76"/>
      <c r="I1" s="77"/>
      <c r="J1" s="77"/>
      <c r="Q1" s="60" t="str">
        <f>settings!L15</f>
        <v>令和3年度</v>
      </c>
      <c r="S1" s="60"/>
      <c r="T1" s="60"/>
      <c r="U1" s="60"/>
      <c r="V1" s="62"/>
      <c r="W1" s="60"/>
      <c r="X1" s="60"/>
      <c r="Y1" s="60"/>
      <c r="Z1" s="60"/>
    </row>
    <row r="2" spans="1:26" ht="30.75" customHeight="1">
      <c r="A2" s="588" t="s">
        <v>60</v>
      </c>
      <c r="B2" s="589" t="s">
        <v>61</v>
      </c>
      <c r="C2" s="81" t="s">
        <v>54</v>
      </c>
      <c r="D2" s="590" t="s">
        <v>62</v>
      </c>
      <c r="E2" s="81" t="s">
        <v>63</v>
      </c>
      <c r="F2" s="81" t="s">
        <v>64</v>
      </c>
      <c r="G2" s="591" t="s">
        <v>65</v>
      </c>
      <c r="H2" s="592" t="s">
        <v>66</v>
      </c>
      <c r="I2" s="593" t="s">
        <v>67</v>
      </c>
      <c r="J2" s="593" t="s">
        <v>68</v>
      </c>
      <c r="K2" s="589" t="s">
        <v>69</v>
      </c>
      <c r="L2" s="589" t="s">
        <v>70</v>
      </c>
      <c r="M2" s="589" t="s">
        <v>2041</v>
      </c>
      <c r="N2" s="589" t="s">
        <v>2042</v>
      </c>
      <c r="O2" s="594" t="s">
        <v>74</v>
      </c>
      <c r="P2" s="594" t="s">
        <v>75</v>
      </c>
      <c r="Q2" s="595" t="s">
        <v>73</v>
      </c>
      <c r="S2" s="88" t="s">
        <v>2043</v>
      </c>
      <c r="T2" s="88" t="s">
        <v>2044</v>
      </c>
      <c r="U2" s="88" t="s">
        <v>2045</v>
      </c>
      <c r="V2" s="88" t="s">
        <v>2046</v>
      </c>
      <c r="W2" s="89" t="s">
        <v>2047</v>
      </c>
      <c r="X2" s="89" t="s">
        <v>2048</v>
      </c>
      <c r="Y2" s="89" t="s">
        <v>2049</v>
      </c>
      <c r="Z2" s="89" t="s">
        <v>2050</v>
      </c>
    </row>
    <row r="3" spans="1:26" ht="15" customHeight="1">
      <c r="A3" s="23">
        <v>1</v>
      </c>
      <c r="B3" s="23">
        <v>101</v>
      </c>
      <c r="C3" t="str">
        <f t="shared" ref="C3:C34" si="0">VLOOKUP(B3,id_settings,2,FALSE)</f>
        <v>西池袋駅前ビル</v>
      </c>
      <c r="D3" s="23">
        <v>661</v>
      </c>
      <c r="E3" s="23" t="str">
        <f t="shared" ref="E3:E34" si="1">VLOOKUP(D3,id_settings,2,FALSE)</f>
        <v>土地</v>
      </c>
      <c r="F3" s="23" t="s">
        <v>2051</v>
      </c>
      <c r="H3" s="23" t="s">
        <v>881</v>
      </c>
      <c r="I3" s="77">
        <v>261.97000000000003</v>
      </c>
      <c r="J3" s="77">
        <v>261.97000000000003</v>
      </c>
      <c r="K3" s="23">
        <v>1</v>
      </c>
      <c r="L3" s="23">
        <v>1</v>
      </c>
      <c r="M3" s="23" t="s">
        <v>1017</v>
      </c>
      <c r="N3" s="23" t="s">
        <v>1017</v>
      </c>
      <c r="O3" s="64">
        <v>226656</v>
      </c>
      <c r="P3" s="64">
        <v>48569</v>
      </c>
      <c r="Q3" s="64">
        <v>109372730</v>
      </c>
      <c r="R3" s="64"/>
      <c r="S3" s="64">
        <v>226656</v>
      </c>
      <c r="T3" s="64">
        <v>48569</v>
      </c>
      <c r="U3" s="64">
        <v>109372730</v>
      </c>
      <c r="V3" s="64">
        <v>16189745</v>
      </c>
      <c r="W3" s="64">
        <v>226656</v>
      </c>
      <c r="X3" s="64">
        <v>48569</v>
      </c>
      <c r="Y3" s="64">
        <v>97138470</v>
      </c>
      <c r="Z3" s="64">
        <v>16189745</v>
      </c>
    </row>
    <row r="4" spans="1:26" ht="15" customHeight="1">
      <c r="A4" s="23">
        <v>2</v>
      </c>
      <c r="B4" s="23">
        <v>101</v>
      </c>
      <c r="C4" t="str">
        <f t="shared" si="0"/>
        <v>西池袋駅前ビル</v>
      </c>
      <c r="D4" s="23">
        <v>663</v>
      </c>
      <c r="E4" s="23" t="str">
        <f t="shared" si="1"/>
        <v>土地(私道)</v>
      </c>
      <c r="F4" s="23" t="s">
        <v>2052</v>
      </c>
      <c r="H4" s="23" t="s">
        <v>881</v>
      </c>
      <c r="I4" s="77">
        <v>1.56</v>
      </c>
      <c r="J4" s="77">
        <v>1.56</v>
      </c>
      <c r="K4" s="23">
        <v>1</v>
      </c>
      <c r="L4" s="23">
        <v>1</v>
      </c>
      <c r="M4" s="23" t="s">
        <v>1017</v>
      </c>
      <c r="N4" s="23" t="s">
        <v>1017</v>
      </c>
      <c r="O4" s="64">
        <v>1349</v>
      </c>
      <c r="P4" s="64">
        <v>289</v>
      </c>
      <c r="Q4" s="64">
        <v>651300</v>
      </c>
      <c r="R4" s="64"/>
      <c r="S4" s="64">
        <v>1349</v>
      </c>
      <c r="T4" s="64">
        <v>289</v>
      </c>
      <c r="U4" s="64">
        <v>651300</v>
      </c>
      <c r="V4" s="64">
        <v>96406</v>
      </c>
      <c r="W4" s="64">
        <v>1349</v>
      </c>
      <c r="X4" s="64">
        <v>289</v>
      </c>
      <c r="Y4" s="64">
        <v>578440</v>
      </c>
      <c r="Z4" s="64">
        <v>96406</v>
      </c>
    </row>
    <row r="5" spans="1:26" ht="15" customHeight="1">
      <c r="A5" s="23">
        <v>3</v>
      </c>
      <c r="B5" s="23">
        <v>101</v>
      </c>
      <c r="C5" t="str">
        <f t="shared" si="0"/>
        <v>西池袋駅前ビル</v>
      </c>
      <c r="D5" s="23">
        <v>661</v>
      </c>
      <c r="E5" s="23" t="str">
        <f t="shared" si="1"/>
        <v>土地</v>
      </c>
      <c r="F5" s="23" t="s">
        <v>2053</v>
      </c>
      <c r="H5" s="23" t="s">
        <v>881</v>
      </c>
      <c r="I5" s="77">
        <v>49.58</v>
      </c>
      <c r="J5" s="77">
        <v>49.58</v>
      </c>
      <c r="K5" s="23">
        <v>1</v>
      </c>
      <c r="L5" s="23">
        <v>1</v>
      </c>
      <c r="M5" s="23" t="s">
        <v>1017</v>
      </c>
      <c r="N5" s="23" t="s">
        <v>1017</v>
      </c>
      <c r="O5" s="64">
        <v>42896</v>
      </c>
      <c r="P5" s="64">
        <v>9192</v>
      </c>
      <c r="Q5" s="64">
        <v>20699690</v>
      </c>
      <c r="R5" s="64"/>
      <c r="S5" s="64">
        <v>42896</v>
      </c>
      <c r="T5" s="64">
        <v>9192</v>
      </c>
      <c r="U5" s="64">
        <v>20699690</v>
      </c>
      <c r="V5" s="64">
        <v>3064043</v>
      </c>
      <c r="W5" s="64">
        <v>42896</v>
      </c>
      <c r="X5" s="64">
        <v>9192</v>
      </c>
      <c r="Y5" s="64">
        <v>18384260</v>
      </c>
      <c r="Z5" s="64">
        <v>3064043</v>
      </c>
    </row>
    <row r="6" spans="1:26" ht="15" customHeight="1">
      <c r="A6" s="23">
        <v>4</v>
      </c>
      <c r="B6" s="23">
        <v>101</v>
      </c>
      <c r="C6" t="str">
        <f t="shared" si="0"/>
        <v>西池袋駅前ビル</v>
      </c>
      <c r="D6" s="23">
        <v>664</v>
      </c>
      <c r="E6" s="23" t="str">
        <f t="shared" si="1"/>
        <v>建物</v>
      </c>
      <c r="F6" s="23" t="s">
        <v>2054</v>
      </c>
      <c r="H6" s="23" t="s">
        <v>881</v>
      </c>
      <c r="I6" s="77">
        <v>528.42999999999995</v>
      </c>
      <c r="J6" s="77">
        <v>528.42999999999995</v>
      </c>
      <c r="K6" s="23">
        <v>1</v>
      </c>
      <c r="L6" s="23">
        <v>1</v>
      </c>
      <c r="M6" s="23" t="s">
        <v>1017</v>
      </c>
      <c r="N6" s="23" t="s">
        <v>1017</v>
      </c>
      <c r="O6" s="64">
        <v>468013</v>
      </c>
      <c r="P6" s="64">
        <v>100288</v>
      </c>
      <c r="Q6" s="64">
        <v>33429500</v>
      </c>
      <c r="R6" s="64"/>
      <c r="S6" s="64">
        <v>468013</v>
      </c>
      <c r="T6" s="64">
        <v>100288</v>
      </c>
      <c r="U6" s="64">
        <v>33429500</v>
      </c>
      <c r="V6" s="64">
        <v>33429500</v>
      </c>
      <c r="W6" s="64">
        <v>468013</v>
      </c>
      <c r="X6" s="64">
        <v>100288</v>
      </c>
      <c r="Y6" s="64">
        <v>33429500</v>
      </c>
      <c r="Z6" s="64">
        <v>33429500</v>
      </c>
    </row>
    <row r="7" spans="1:26" ht="15" customHeight="1">
      <c r="A7" s="23">
        <v>5</v>
      </c>
      <c r="B7" s="23">
        <v>102</v>
      </c>
      <c r="C7" t="str">
        <f t="shared" si="0"/>
        <v>池袋ハウス</v>
      </c>
      <c r="D7" s="23">
        <v>661</v>
      </c>
      <c r="E7" s="23" t="str">
        <f t="shared" si="1"/>
        <v>土地</v>
      </c>
      <c r="F7" s="23" t="s">
        <v>2055</v>
      </c>
      <c r="H7" s="23" t="s">
        <v>881</v>
      </c>
      <c r="I7" s="77">
        <v>306.51</v>
      </c>
      <c r="J7" s="77">
        <v>306.51</v>
      </c>
      <c r="K7" s="23">
        <v>1</v>
      </c>
      <c r="L7" s="23">
        <v>1</v>
      </c>
      <c r="M7" s="23" t="s">
        <v>1017</v>
      </c>
      <c r="N7" s="23" t="s">
        <v>1017</v>
      </c>
      <c r="O7" s="64">
        <v>217323</v>
      </c>
      <c r="P7" s="64">
        <v>46569</v>
      </c>
      <c r="Q7" s="64">
        <v>110024910</v>
      </c>
      <c r="R7" s="64"/>
      <c r="S7" s="64">
        <v>217323</v>
      </c>
      <c r="T7" s="64">
        <v>46569</v>
      </c>
      <c r="U7" s="64">
        <v>110024910</v>
      </c>
      <c r="V7" s="64">
        <v>15523083</v>
      </c>
      <c r="W7" s="64">
        <v>217323</v>
      </c>
      <c r="X7" s="64">
        <v>46569</v>
      </c>
      <c r="Y7" s="64">
        <v>93138500</v>
      </c>
      <c r="Z7" s="64">
        <v>15523083</v>
      </c>
    </row>
    <row r="8" spans="1:26" ht="15" customHeight="1">
      <c r="A8" s="23">
        <v>6</v>
      </c>
      <c r="B8" s="23">
        <v>102</v>
      </c>
      <c r="C8" t="str">
        <f t="shared" si="0"/>
        <v>池袋ハウス</v>
      </c>
      <c r="D8" s="23">
        <v>661</v>
      </c>
      <c r="E8" s="23" t="str">
        <f t="shared" si="1"/>
        <v>土地</v>
      </c>
      <c r="F8" s="23" t="s">
        <v>2056</v>
      </c>
      <c r="H8" s="23" t="s">
        <v>881</v>
      </c>
      <c r="I8" s="77">
        <v>250.54</v>
      </c>
      <c r="J8" s="77">
        <v>250.54</v>
      </c>
      <c r="K8" s="23">
        <v>1</v>
      </c>
      <c r="L8" s="23">
        <v>1</v>
      </c>
      <c r="M8" s="23" t="s">
        <v>1017</v>
      </c>
      <c r="N8" s="23" t="s">
        <v>1017</v>
      </c>
      <c r="O8" s="64">
        <v>177780</v>
      </c>
      <c r="P8" s="64">
        <v>38095</v>
      </c>
      <c r="Q8" s="64">
        <v>90005510</v>
      </c>
      <c r="R8" s="64"/>
      <c r="S8" s="64">
        <v>177780</v>
      </c>
      <c r="T8" s="64">
        <v>38095</v>
      </c>
      <c r="U8" s="64">
        <v>90005510</v>
      </c>
      <c r="V8" s="64">
        <v>12698606</v>
      </c>
      <c r="W8" s="64">
        <v>177780</v>
      </c>
      <c r="X8" s="64">
        <v>38095</v>
      </c>
      <c r="Y8" s="64">
        <v>76191640</v>
      </c>
      <c r="Z8" s="64">
        <v>12698606</v>
      </c>
    </row>
    <row r="9" spans="1:26" ht="15" customHeight="1">
      <c r="A9" s="23">
        <v>7</v>
      </c>
      <c r="B9" s="23">
        <v>102</v>
      </c>
      <c r="C9" t="str">
        <f t="shared" si="0"/>
        <v>池袋ハウス</v>
      </c>
      <c r="D9" s="23">
        <v>661</v>
      </c>
      <c r="E9" s="23" t="str">
        <f t="shared" si="1"/>
        <v>土地</v>
      </c>
      <c r="F9" s="23" t="s">
        <v>2057</v>
      </c>
      <c r="H9" s="23" t="s">
        <v>881</v>
      </c>
      <c r="I9" s="77">
        <v>175.2</v>
      </c>
      <c r="J9" s="77">
        <v>175.2</v>
      </c>
      <c r="K9" s="23">
        <v>1</v>
      </c>
      <c r="L9" s="23">
        <v>1</v>
      </c>
      <c r="M9" s="23" t="s">
        <v>1017</v>
      </c>
      <c r="N9" s="23" t="s">
        <v>1017</v>
      </c>
      <c r="O9" s="64">
        <v>124909</v>
      </c>
      <c r="P9" s="64">
        <v>26766</v>
      </c>
      <c r="Q9" s="64">
        <v>63238170</v>
      </c>
      <c r="R9" s="64"/>
      <c r="S9" s="64">
        <v>124909</v>
      </c>
      <c r="T9" s="64">
        <v>26766</v>
      </c>
      <c r="U9" s="64">
        <v>63238170</v>
      </c>
      <c r="V9" s="64">
        <v>8922083</v>
      </c>
      <c r="W9" s="64">
        <v>124909</v>
      </c>
      <c r="X9" s="64">
        <v>26766</v>
      </c>
      <c r="Y9" s="64">
        <v>53532500</v>
      </c>
      <c r="Z9" s="64">
        <v>8922083</v>
      </c>
    </row>
    <row r="10" spans="1:26" ht="15" customHeight="1">
      <c r="A10" s="23">
        <v>8</v>
      </c>
      <c r="B10" s="23">
        <v>102</v>
      </c>
      <c r="C10" t="str">
        <f t="shared" si="0"/>
        <v>池袋ハウス</v>
      </c>
      <c r="D10" s="23">
        <v>664</v>
      </c>
      <c r="E10" s="23" t="str">
        <f t="shared" si="1"/>
        <v>建物</v>
      </c>
      <c r="F10" s="23" t="s">
        <v>2058</v>
      </c>
      <c r="H10" s="23" t="s">
        <v>881</v>
      </c>
      <c r="I10" s="77">
        <v>1110.3399999999999</v>
      </c>
      <c r="J10" s="77">
        <v>1110.3399999999999</v>
      </c>
      <c r="K10" s="23">
        <v>1</v>
      </c>
      <c r="L10" s="23">
        <v>1</v>
      </c>
      <c r="M10" s="23" t="s">
        <v>1017</v>
      </c>
      <c r="N10" s="23" t="s">
        <v>1017</v>
      </c>
      <c r="O10" s="64">
        <v>1063081</v>
      </c>
      <c r="P10" s="64">
        <v>227803</v>
      </c>
      <c r="Q10" s="64">
        <v>75934400</v>
      </c>
      <c r="R10" s="64"/>
      <c r="S10" s="64">
        <v>1063081</v>
      </c>
      <c r="T10" s="64">
        <v>227803</v>
      </c>
      <c r="U10" s="64">
        <v>75934400</v>
      </c>
      <c r="V10" s="64">
        <v>75934400</v>
      </c>
      <c r="W10" s="64">
        <v>1063081</v>
      </c>
      <c r="X10" s="64">
        <v>227803</v>
      </c>
      <c r="Y10" s="64">
        <v>75934400</v>
      </c>
      <c r="Z10" s="64">
        <v>75934400</v>
      </c>
    </row>
    <row r="11" spans="1:26" ht="15" customHeight="1">
      <c r="A11" s="23">
        <v>9</v>
      </c>
      <c r="B11" s="23">
        <v>103</v>
      </c>
      <c r="C11" t="str">
        <f t="shared" si="0"/>
        <v>カーサ目白台ハウス</v>
      </c>
      <c r="D11" s="23">
        <v>661</v>
      </c>
      <c r="E11" s="23" t="str">
        <f t="shared" si="1"/>
        <v>土地</v>
      </c>
      <c r="F11" s="23" t="s">
        <v>2059</v>
      </c>
      <c r="H11" s="23" t="s">
        <v>881</v>
      </c>
      <c r="I11" s="77">
        <v>225.25</v>
      </c>
      <c r="J11" s="77">
        <v>225.25</v>
      </c>
      <c r="K11" s="23">
        <v>1</v>
      </c>
      <c r="L11" s="23">
        <v>1</v>
      </c>
      <c r="M11" s="23" t="s">
        <v>1017</v>
      </c>
      <c r="N11" s="23" t="s">
        <v>1017</v>
      </c>
      <c r="O11" s="64">
        <v>307024</v>
      </c>
      <c r="P11" s="64">
        <v>65790</v>
      </c>
      <c r="Q11" s="64">
        <v>104204820</v>
      </c>
      <c r="R11" s="64"/>
      <c r="S11" s="64">
        <v>307024</v>
      </c>
      <c r="T11" s="64">
        <v>65790</v>
      </c>
      <c r="U11" s="64">
        <v>104204820</v>
      </c>
      <c r="V11" s="64">
        <v>24652564</v>
      </c>
      <c r="W11" s="64">
        <v>307024</v>
      </c>
      <c r="X11" s="64">
        <v>65790</v>
      </c>
      <c r="Y11" s="64">
        <v>88332320</v>
      </c>
      <c r="Z11" s="64">
        <v>24652564</v>
      </c>
    </row>
    <row r="12" spans="1:26" ht="15" customHeight="1">
      <c r="A12" s="23">
        <v>10</v>
      </c>
      <c r="B12" s="23">
        <v>103</v>
      </c>
      <c r="C12" t="str">
        <f t="shared" si="0"/>
        <v>カーサ目白台ハウス</v>
      </c>
      <c r="D12" s="23">
        <v>661</v>
      </c>
      <c r="E12" s="23" t="str">
        <f t="shared" si="1"/>
        <v>土地</v>
      </c>
      <c r="F12" s="23" t="s">
        <v>2060</v>
      </c>
      <c r="H12" s="23" t="s">
        <v>881</v>
      </c>
      <c r="I12" s="77">
        <v>170.08</v>
      </c>
      <c r="J12" s="77">
        <v>170.08</v>
      </c>
      <c r="K12" s="23">
        <v>1</v>
      </c>
      <c r="L12" s="23">
        <v>1</v>
      </c>
      <c r="M12" s="23" t="s">
        <v>1017</v>
      </c>
      <c r="N12" s="23" t="s">
        <v>1017</v>
      </c>
      <c r="O12" s="64">
        <v>212489</v>
      </c>
      <c r="P12" s="64">
        <v>45533</v>
      </c>
      <c r="Q12" s="64">
        <v>72124110</v>
      </c>
      <c r="R12" s="64"/>
      <c r="S12" s="64">
        <v>212489</v>
      </c>
      <c r="T12" s="64">
        <v>45533</v>
      </c>
      <c r="U12" s="64">
        <v>72124110</v>
      </c>
      <c r="V12" s="64">
        <v>17061629</v>
      </c>
      <c r="W12" s="64">
        <v>212489</v>
      </c>
      <c r="X12" s="64">
        <v>45533</v>
      </c>
      <c r="Y12" s="64">
        <v>61138150</v>
      </c>
      <c r="Z12" s="64">
        <v>17061629</v>
      </c>
    </row>
    <row r="13" spans="1:26" ht="15" customHeight="1">
      <c r="A13" s="23">
        <v>11</v>
      </c>
      <c r="B13" s="23">
        <v>103</v>
      </c>
      <c r="C13" t="str">
        <f t="shared" si="0"/>
        <v>カーサ目白台ハウス</v>
      </c>
      <c r="D13" s="23">
        <v>664</v>
      </c>
      <c r="E13" s="23" t="str">
        <f t="shared" si="1"/>
        <v>建物</v>
      </c>
      <c r="F13" s="23" t="s">
        <v>2061</v>
      </c>
      <c r="H13" s="23" t="s">
        <v>881</v>
      </c>
      <c r="I13" s="77">
        <v>887.19</v>
      </c>
      <c r="J13" s="77">
        <v>887.19</v>
      </c>
      <c r="K13" s="23">
        <v>1</v>
      </c>
      <c r="L13" s="23">
        <v>1</v>
      </c>
      <c r="M13" s="23" t="s">
        <v>1017</v>
      </c>
      <c r="N13" s="23" t="s">
        <v>1017</v>
      </c>
      <c r="O13" s="64">
        <v>817962</v>
      </c>
      <c r="P13" s="64">
        <v>175277</v>
      </c>
      <c r="Q13" s="64">
        <v>58425900</v>
      </c>
      <c r="R13" s="64"/>
      <c r="S13" s="64">
        <v>817962</v>
      </c>
      <c r="T13" s="64">
        <v>175277</v>
      </c>
      <c r="U13" s="64">
        <v>58425900</v>
      </c>
      <c r="V13" s="64">
        <v>58425900</v>
      </c>
      <c r="W13" s="64">
        <v>817962</v>
      </c>
      <c r="X13" s="64">
        <v>175277</v>
      </c>
      <c r="Y13" s="64">
        <v>58425900</v>
      </c>
      <c r="Z13" s="64">
        <v>58425900</v>
      </c>
    </row>
    <row r="14" spans="1:26" ht="15" customHeight="1">
      <c r="A14" s="23">
        <v>12</v>
      </c>
      <c r="B14" s="23">
        <v>104</v>
      </c>
      <c r="C14" t="str">
        <f t="shared" si="0"/>
        <v>コアプラス池袋</v>
      </c>
      <c r="D14" s="23">
        <v>661</v>
      </c>
      <c r="E14" s="23" t="str">
        <f t="shared" si="1"/>
        <v>土地</v>
      </c>
      <c r="F14" s="23" t="s">
        <v>2062</v>
      </c>
      <c r="H14" s="23" t="s">
        <v>881</v>
      </c>
      <c r="I14" s="77">
        <v>137.30000000000001</v>
      </c>
      <c r="J14" s="77">
        <v>137.30000000000001</v>
      </c>
      <c r="K14" s="23">
        <v>1</v>
      </c>
      <c r="L14" s="23">
        <v>1</v>
      </c>
      <c r="M14" s="23" t="s">
        <v>1017</v>
      </c>
      <c r="N14" s="23" t="s">
        <v>1017</v>
      </c>
      <c r="O14" s="64">
        <v>109261</v>
      </c>
      <c r="P14" s="64">
        <v>23413</v>
      </c>
      <c r="Q14" s="64">
        <v>57534050</v>
      </c>
      <c r="R14" s="64"/>
      <c r="S14" s="64">
        <v>109261</v>
      </c>
      <c r="T14" s="64">
        <v>23413</v>
      </c>
      <c r="U14" s="64">
        <v>57534050</v>
      </c>
      <c r="V14" s="64">
        <v>7804360</v>
      </c>
      <c r="W14" s="64">
        <v>109261</v>
      </c>
      <c r="X14" s="64">
        <v>23413</v>
      </c>
      <c r="Y14" s="64">
        <v>46826160</v>
      </c>
      <c r="Z14" s="64">
        <v>7804360</v>
      </c>
    </row>
    <row r="15" spans="1:26" ht="15" customHeight="1">
      <c r="A15" s="23">
        <v>13</v>
      </c>
      <c r="B15" s="23">
        <v>104</v>
      </c>
      <c r="C15" t="str">
        <f t="shared" si="0"/>
        <v>コアプラス池袋</v>
      </c>
      <c r="D15" s="23">
        <v>664</v>
      </c>
      <c r="E15" s="23" t="str">
        <f t="shared" si="1"/>
        <v>建物</v>
      </c>
      <c r="F15" s="23" t="s">
        <v>2063</v>
      </c>
      <c r="H15" s="23" t="s">
        <v>881</v>
      </c>
      <c r="I15" s="77">
        <v>177.12</v>
      </c>
      <c r="J15" s="77">
        <v>177.12</v>
      </c>
      <c r="K15" s="23">
        <v>1</v>
      </c>
      <c r="L15" s="23">
        <v>1</v>
      </c>
      <c r="M15" s="23" t="s">
        <v>1017</v>
      </c>
      <c r="N15" s="23" t="s">
        <v>1017</v>
      </c>
      <c r="O15" s="64">
        <v>121366</v>
      </c>
      <c r="P15" s="64">
        <v>26007</v>
      </c>
      <c r="Q15" s="64">
        <v>8669000</v>
      </c>
      <c r="R15" s="64"/>
      <c r="S15" s="64">
        <v>121366</v>
      </c>
      <c r="T15" s="64">
        <v>26007</v>
      </c>
      <c r="U15" s="64">
        <v>8669000</v>
      </c>
      <c r="V15" s="64">
        <v>8669000</v>
      </c>
      <c r="W15" s="64">
        <v>121366</v>
      </c>
      <c r="X15" s="64">
        <v>26007</v>
      </c>
      <c r="Y15" s="64">
        <v>8669000</v>
      </c>
      <c r="Z15" s="64">
        <v>8669000</v>
      </c>
    </row>
    <row r="16" spans="1:26" ht="15" customHeight="1">
      <c r="A16" s="23">
        <v>14</v>
      </c>
      <c r="B16" s="23">
        <v>105</v>
      </c>
      <c r="C16" t="str">
        <f t="shared" si="0"/>
        <v>目白アパート</v>
      </c>
      <c r="D16" s="23">
        <v>661</v>
      </c>
      <c r="E16" s="23" t="str">
        <f t="shared" si="1"/>
        <v>土地</v>
      </c>
      <c r="F16" s="23" t="s">
        <v>2064</v>
      </c>
      <c r="H16" s="23" t="s">
        <v>881</v>
      </c>
      <c r="I16" s="77">
        <v>342.64</v>
      </c>
      <c r="J16" s="77">
        <v>342.64</v>
      </c>
      <c r="K16" s="23">
        <v>1</v>
      </c>
      <c r="L16" s="23">
        <v>1</v>
      </c>
      <c r="M16" s="23" t="s">
        <v>1017</v>
      </c>
      <c r="N16" s="23" t="s">
        <v>1017</v>
      </c>
      <c r="O16" s="64">
        <v>203175</v>
      </c>
      <c r="P16" s="64">
        <v>43537</v>
      </c>
      <c r="Q16" s="64">
        <v>102949060</v>
      </c>
      <c r="R16" s="64"/>
      <c r="S16" s="64">
        <v>203175</v>
      </c>
      <c r="T16" s="64">
        <v>43537</v>
      </c>
      <c r="U16" s="64">
        <v>102949060</v>
      </c>
      <c r="V16" s="64">
        <v>14512523</v>
      </c>
      <c r="W16" s="64">
        <v>203175</v>
      </c>
      <c r="X16" s="64">
        <v>43537</v>
      </c>
      <c r="Y16" s="64">
        <v>87075140</v>
      </c>
      <c r="Z16" s="64">
        <v>14512523</v>
      </c>
    </row>
    <row r="17" spans="1:26" ht="15" customHeight="1">
      <c r="A17" s="23">
        <v>15</v>
      </c>
      <c r="B17" s="23">
        <v>105</v>
      </c>
      <c r="C17" t="str">
        <f t="shared" si="0"/>
        <v>目白アパート</v>
      </c>
      <c r="D17" s="23">
        <v>664</v>
      </c>
      <c r="E17" s="23" t="str">
        <f t="shared" si="1"/>
        <v>建物</v>
      </c>
      <c r="F17" s="23" t="s">
        <v>2065</v>
      </c>
      <c r="H17" s="23" t="s">
        <v>881</v>
      </c>
      <c r="I17" s="77">
        <v>1072.93</v>
      </c>
      <c r="J17" s="77">
        <v>1072.93</v>
      </c>
      <c r="K17" s="23">
        <v>1</v>
      </c>
      <c r="L17" s="23">
        <v>1</v>
      </c>
      <c r="M17" s="23" t="s">
        <v>1017</v>
      </c>
      <c r="N17" s="23" t="s">
        <v>1017</v>
      </c>
      <c r="O17" s="64">
        <v>591057</v>
      </c>
      <c r="P17" s="64">
        <v>126655</v>
      </c>
      <c r="Q17" s="64">
        <v>42218400</v>
      </c>
      <c r="R17" s="64"/>
      <c r="S17" s="64">
        <v>591057</v>
      </c>
      <c r="T17" s="64">
        <v>126655</v>
      </c>
      <c r="U17" s="64">
        <v>42218400</v>
      </c>
      <c r="V17" s="64">
        <v>42218400</v>
      </c>
      <c r="W17" s="64">
        <v>601797</v>
      </c>
      <c r="X17" s="64">
        <v>128956</v>
      </c>
      <c r="Y17" s="64">
        <v>42985500</v>
      </c>
      <c r="Z17" s="64">
        <v>42985500</v>
      </c>
    </row>
    <row r="18" spans="1:26" ht="15" customHeight="1">
      <c r="A18" s="23">
        <v>16</v>
      </c>
      <c r="B18" s="23">
        <v>106</v>
      </c>
      <c r="C18" t="str">
        <f t="shared" si="0"/>
        <v>東池袋ハイツ</v>
      </c>
      <c r="D18" s="23">
        <v>661</v>
      </c>
      <c r="E18" s="23" t="str">
        <f t="shared" si="1"/>
        <v>土地</v>
      </c>
      <c r="F18" s="23" t="s">
        <v>2066</v>
      </c>
      <c r="H18" s="23" t="s">
        <v>881</v>
      </c>
      <c r="I18" s="77">
        <v>286.89999999999998</v>
      </c>
      <c r="J18" s="77">
        <v>286.89999999999998</v>
      </c>
      <c r="K18" s="23">
        <v>1</v>
      </c>
      <c r="L18" s="23">
        <v>1</v>
      </c>
      <c r="M18" s="23" t="s">
        <v>1017</v>
      </c>
      <c r="N18" s="23" t="s">
        <v>1017</v>
      </c>
      <c r="O18" s="64">
        <v>287722</v>
      </c>
      <c r="P18" s="64">
        <v>61654</v>
      </c>
      <c r="Q18" s="64">
        <v>149184550</v>
      </c>
      <c r="R18" s="64"/>
      <c r="S18" s="64">
        <v>287722</v>
      </c>
      <c r="T18" s="64">
        <v>61654</v>
      </c>
      <c r="U18" s="64">
        <v>149184550</v>
      </c>
      <c r="V18" s="64">
        <v>20551603</v>
      </c>
      <c r="W18" s="64">
        <v>287722</v>
      </c>
      <c r="X18" s="64">
        <v>61654</v>
      </c>
      <c r="Y18" s="64">
        <v>123309620</v>
      </c>
      <c r="Z18" s="64">
        <v>20551603</v>
      </c>
    </row>
    <row r="19" spans="1:26" ht="15" customHeight="1">
      <c r="A19" s="23">
        <v>17</v>
      </c>
      <c r="B19" s="23">
        <v>106</v>
      </c>
      <c r="C19" t="str">
        <f t="shared" si="0"/>
        <v>東池袋ハイツ</v>
      </c>
      <c r="D19" s="23">
        <v>664</v>
      </c>
      <c r="E19" s="23" t="str">
        <f t="shared" si="1"/>
        <v>建物</v>
      </c>
      <c r="F19" s="23" t="s">
        <v>2067</v>
      </c>
      <c r="H19" s="23" t="s">
        <v>881</v>
      </c>
      <c r="I19" s="77">
        <v>1133.51</v>
      </c>
      <c r="J19" s="77">
        <v>1133.51</v>
      </c>
      <c r="K19" s="23">
        <v>1</v>
      </c>
      <c r="L19" s="23">
        <v>1</v>
      </c>
      <c r="M19" s="23" t="s">
        <v>1017</v>
      </c>
      <c r="N19" s="23" t="s">
        <v>1017</v>
      </c>
      <c r="O19" s="64">
        <v>1084364</v>
      </c>
      <c r="P19" s="64">
        <v>232363</v>
      </c>
      <c r="Q19" s="64">
        <v>77454600</v>
      </c>
      <c r="R19" s="64"/>
      <c r="S19" s="64">
        <v>1084364</v>
      </c>
      <c r="T19" s="64">
        <v>232363</v>
      </c>
      <c r="U19" s="64">
        <v>77454600</v>
      </c>
      <c r="V19" s="64">
        <v>77454600</v>
      </c>
      <c r="W19" s="64">
        <v>1084364</v>
      </c>
      <c r="X19" s="64">
        <v>232363</v>
      </c>
      <c r="Y19" s="64">
        <v>77454600</v>
      </c>
      <c r="Z19" s="64">
        <v>77454600</v>
      </c>
    </row>
    <row r="20" spans="1:26" ht="15" customHeight="1">
      <c r="A20" s="23">
        <v>18</v>
      </c>
      <c r="B20" s="23">
        <v>107</v>
      </c>
      <c r="C20" t="str">
        <f t="shared" si="0"/>
        <v>メゾン雑司ヶ谷</v>
      </c>
      <c r="D20" s="23">
        <v>661</v>
      </c>
      <c r="E20" s="23" t="str">
        <f t="shared" si="1"/>
        <v>土地</v>
      </c>
      <c r="F20" s="23" t="s">
        <v>2068</v>
      </c>
      <c r="H20" s="23" t="s">
        <v>881</v>
      </c>
      <c r="I20" s="77">
        <v>42.84</v>
      </c>
      <c r="J20" s="77">
        <v>42.84</v>
      </c>
      <c r="K20" s="23">
        <v>1</v>
      </c>
      <c r="L20" s="23">
        <v>1</v>
      </c>
      <c r="M20" s="23" t="s">
        <v>1017</v>
      </c>
      <c r="N20" s="23" t="s">
        <v>1017</v>
      </c>
      <c r="O20" s="64">
        <v>30011</v>
      </c>
      <c r="P20" s="64">
        <v>6431</v>
      </c>
      <c r="Q20" s="64">
        <v>14091570</v>
      </c>
      <c r="R20" s="64"/>
      <c r="S20" s="64">
        <v>30011</v>
      </c>
      <c r="T20" s="64">
        <v>6431</v>
      </c>
      <c r="U20" s="64">
        <v>14091570</v>
      </c>
      <c r="V20" s="64">
        <v>2143713</v>
      </c>
      <c r="W20" s="64">
        <v>30011</v>
      </c>
      <c r="X20" s="64">
        <v>6431</v>
      </c>
      <c r="Y20" s="64">
        <v>12862280</v>
      </c>
      <c r="Z20" s="64">
        <v>2143713</v>
      </c>
    </row>
    <row r="21" spans="1:26" ht="15" customHeight="1">
      <c r="A21" s="23">
        <v>19</v>
      </c>
      <c r="B21" s="23">
        <v>107</v>
      </c>
      <c r="C21" t="str">
        <f t="shared" si="0"/>
        <v>メゾン雑司ヶ谷</v>
      </c>
      <c r="D21" s="23">
        <v>661</v>
      </c>
      <c r="E21" s="23" t="str">
        <f t="shared" si="1"/>
        <v>土地</v>
      </c>
      <c r="F21" s="23" t="s">
        <v>2069</v>
      </c>
      <c r="H21" s="23" t="s">
        <v>881</v>
      </c>
      <c r="I21" s="77">
        <v>517.99</v>
      </c>
      <c r="J21" s="77">
        <v>517.99</v>
      </c>
      <c r="K21" s="23">
        <v>1</v>
      </c>
      <c r="L21" s="23">
        <v>1</v>
      </c>
      <c r="M21" s="23" t="s">
        <v>1017</v>
      </c>
      <c r="N21" s="23" t="s">
        <v>1017</v>
      </c>
      <c r="O21" s="64">
        <v>341277</v>
      </c>
      <c r="P21" s="64">
        <v>73130</v>
      </c>
      <c r="Q21" s="64">
        <v>160240680</v>
      </c>
      <c r="R21" s="64"/>
      <c r="S21" s="64">
        <v>341277</v>
      </c>
      <c r="T21" s="64">
        <v>73130</v>
      </c>
      <c r="U21" s="64">
        <v>160240680</v>
      </c>
      <c r="V21" s="64">
        <v>24376985</v>
      </c>
      <c r="W21" s="64">
        <v>341277</v>
      </c>
      <c r="X21" s="64">
        <v>73130</v>
      </c>
      <c r="Y21" s="64">
        <v>146261910</v>
      </c>
      <c r="Z21" s="64">
        <v>24376985</v>
      </c>
    </row>
    <row r="22" spans="1:26" ht="15" customHeight="1">
      <c r="A22" s="23">
        <v>20</v>
      </c>
      <c r="B22" s="23">
        <v>107</v>
      </c>
      <c r="C22" t="str">
        <f t="shared" si="0"/>
        <v>メゾン雑司ヶ谷</v>
      </c>
      <c r="D22" s="23">
        <v>664</v>
      </c>
      <c r="E22" s="23" t="str">
        <f t="shared" si="1"/>
        <v>建物</v>
      </c>
      <c r="F22" s="23" t="s">
        <v>2070</v>
      </c>
      <c r="H22" s="23" t="s">
        <v>881</v>
      </c>
      <c r="I22" s="77">
        <v>961.19</v>
      </c>
      <c r="J22" s="77">
        <v>961.19</v>
      </c>
      <c r="K22" s="23">
        <v>1</v>
      </c>
      <c r="L22" s="23">
        <v>1</v>
      </c>
      <c r="M22" s="23" t="s">
        <v>1017</v>
      </c>
      <c r="N22" s="23" t="s">
        <v>1017</v>
      </c>
      <c r="O22" s="64">
        <v>687330</v>
      </c>
      <c r="P22" s="64">
        <v>147285</v>
      </c>
      <c r="Q22" s="64">
        <v>49095000</v>
      </c>
      <c r="R22" s="64"/>
      <c r="S22" s="64">
        <v>687330</v>
      </c>
      <c r="T22" s="64">
        <v>147285</v>
      </c>
      <c r="U22" s="64">
        <v>49095000</v>
      </c>
      <c r="V22" s="64">
        <v>49095000</v>
      </c>
      <c r="W22" s="64">
        <v>687330</v>
      </c>
      <c r="X22" s="64">
        <v>147285</v>
      </c>
      <c r="Y22" s="64">
        <v>49095000</v>
      </c>
      <c r="Z22" s="64">
        <v>49095000</v>
      </c>
    </row>
    <row r="23" spans="1:26" ht="15" customHeight="1">
      <c r="A23" s="23">
        <v>21</v>
      </c>
      <c r="B23" s="23">
        <v>109</v>
      </c>
      <c r="C23" t="str">
        <f t="shared" si="0"/>
        <v>カーサ南池袋</v>
      </c>
      <c r="D23" s="23">
        <v>661</v>
      </c>
      <c r="E23" s="23" t="str">
        <f t="shared" si="1"/>
        <v>土地</v>
      </c>
      <c r="F23" s="23" t="s">
        <v>2071</v>
      </c>
      <c r="H23" s="23" t="s">
        <v>881</v>
      </c>
      <c r="I23" s="77">
        <v>252.09</v>
      </c>
      <c r="J23" s="77">
        <v>252.09</v>
      </c>
      <c r="K23" s="23">
        <v>1</v>
      </c>
      <c r="L23" s="23">
        <v>1</v>
      </c>
      <c r="M23" s="23" t="s">
        <v>1017</v>
      </c>
      <c r="N23" s="23" t="s">
        <v>1017</v>
      </c>
      <c r="O23" s="64">
        <v>249401</v>
      </c>
      <c r="P23" s="64">
        <v>53443</v>
      </c>
      <c r="Q23" s="64">
        <v>123284110</v>
      </c>
      <c r="R23" s="64"/>
      <c r="S23" s="64">
        <v>249401</v>
      </c>
      <c r="T23" s="64">
        <v>53443</v>
      </c>
      <c r="U23" s="64">
        <v>123284110</v>
      </c>
      <c r="V23" s="64">
        <v>17814360</v>
      </c>
      <c r="W23" s="64">
        <v>249401</v>
      </c>
      <c r="X23" s="64">
        <v>53443</v>
      </c>
      <c r="Y23" s="64">
        <v>106886160</v>
      </c>
      <c r="Z23" s="64">
        <v>17814360</v>
      </c>
    </row>
    <row r="24" spans="1:26" ht="15" customHeight="1">
      <c r="A24" s="23">
        <v>22</v>
      </c>
      <c r="B24" s="23">
        <v>109</v>
      </c>
      <c r="C24" t="str">
        <f t="shared" si="0"/>
        <v>カーサ南池袋</v>
      </c>
      <c r="D24" s="23">
        <v>664</v>
      </c>
      <c r="E24" s="23" t="str">
        <f t="shared" si="1"/>
        <v>建物</v>
      </c>
      <c r="F24" s="23" t="s">
        <v>2072</v>
      </c>
      <c r="H24" s="23" t="s">
        <v>881</v>
      </c>
      <c r="I24" s="77">
        <v>588.5</v>
      </c>
      <c r="J24" s="77">
        <v>588.5</v>
      </c>
      <c r="K24" s="23">
        <v>1</v>
      </c>
      <c r="L24" s="23">
        <v>1</v>
      </c>
      <c r="M24" s="23" t="s">
        <v>1017</v>
      </c>
      <c r="N24" s="23" t="s">
        <v>1017</v>
      </c>
      <c r="O24" s="64">
        <v>210214</v>
      </c>
      <c r="P24" s="64">
        <v>45045</v>
      </c>
      <c r="Q24" s="64">
        <v>15015300</v>
      </c>
      <c r="R24" s="64"/>
      <c r="S24" s="64">
        <v>210214</v>
      </c>
      <c r="T24" s="64">
        <v>45045</v>
      </c>
      <c r="U24" s="64">
        <v>15015300</v>
      </c>
      <c r="V24" s="64">
        <v>15015300</v>
      </c>
      <c r="W24" s="64">
        <v>210214</v>
      </c>
      <c r="X24" s="64">
        <v>45045</v>
      </c>
      <c r="Y24" s="64">
        <v>15015300</v>
      </c>
      <c r="Z24" s="64">
        <v>15015300</v>
      </c>
    </row>
    <row r="25" spans="1:26" ht="15" customHeight="1">
      <c r="A25" s="23">
        <v>23</v>
      </c>
      <c r="B25" s="23">
        <v>111</v>
      </c>
      <c r="C25" t="str">
        <f t="shared" si="0"/>
        <v>目白カーサ二番館</v>
      </c>
      <c r="D25" s="23">
        <v>661</v>
      </c>
      <c r="E25" s="23" t="str">
        <f t="shared" si="1"/>
        <v>土地</v>
      </c>
      <c r="F25" s="23" t="s">
        <v>2073</v>
      </c>
      <c r="H25" s="23" t="s">
        <v>881</v>
      </c>
      <c r="I25" s="77">
        <v>278.5</v>
      </c>
      <c r="J25" s="77">
        <v>278.5</v>
      </c>
      <c r="K25" s="23">
        <v>1</v>
      </c>
      <c r="L25" s="23">
        <v>1</v>
      </c>
      <c r="M25" s="23" t="s">
        <v>1017</v>
      </c>
      <c r="N25" s="23" t="s">
        <v>1017</v>
      </c>
      <c r="O25" s="64">
        <v>276179</v>
      </c>
      <c r="P25" s="64">
        <v>59181</v>
      </c>
      <c r="Q25" s="64">
        <v>136747950</v>
      </c>
      <c r="R25" s="64"/>
      <c r="S25" s="64">
        <v>276179</v>
      </c>
      <c r="T25" s="64">
        <v>59181</v>
      </c>
      <c r="U25" s="64">
        <v>136747950</v>
      </c>
      <c r="V25" s="64">
        <v>19727083</v>
      </c>
      <c r="W25" s="64">
        <v>276179</v>
      </c>
      <c r="X25" s="64">
        <v>59181</v>
      </c>
      <c r="Y25" s="64">
        <v>118362500</v>
      </c>
      <c r="Z25" s="64">
        <v>19727083</v>
      </c>
    </row>
    <row r="26" spans="1:26" ht="15" customHeight="1">
      <c r="A26" s="23">
        <v>24</v>
      </c>
      <c r="B26" s="23">
        <v>111</v>
      </c>
      <c r="C26" t="str">
        <f t="shared" si="0"/>
        <v>目白カーサ二番館</v>
      </c>
      <c r="D26" s="23">
        <v>661</v>
      </c>
      <c r="E26" s="23" t="str">
        <f t="shared" si="1"/>
        <v>土地</v>
      </c>
      <c r="F26" s="23" t="s">
        <v>2074</v>
      </c>
      <c r="H26" s="23" t="s">
        <v>881</v>
      </c>
      <c r="I26" s="77">
        <v>0.21</v>
      </c>
      <c r="J26" s="77">
        <v>0.21</v>
      </c>
      <c r="K26" s="23">
        <v>1</v>
      </c>
      <c r="L26" s="23">
        <v>1</v>
      </c>
      <c r="M26" s="23" t="s">
        <v>1017</v>
      </c>
      <c r="N26" s="23" t="s">
        <v>1017</v>
      </c>
      <c r="O26" s="64">
        <v>182</v>
      </c>
      <c r="P26" s="64">
        <v>39</v>
      </c>
      <c r="Q26" s="64">
        <v>103110</v>
      </c>
      <c r="R26" s="64"/>
      <c r="S26" s="64">
        <v>182</v>
      </c>
      <c r="T26" s="64">
        <v>39</v>
      </c>
      <c r="U26" s="64">
        <v>103110</v>
      </c>
      <c r="V26" s="64">
        <v>13020</v>
      </c>
      <c r="W26" s="64">
        <v>182</v>
      </c>
      <c r="X26" s="64">
        <v>39</v>
      </c>
      <c r="Y26" s="64">
        <v>89250</v>
      </c>
      <c r="Z26" s="64">
        <v>13020</v>
      </c>
    </row>
    <row r="27" spans="1:26" ht="15" customHeight="1">
      <c r="A27" s="23">
        <v>25</v>
      </c>
      <c r="B27" s="23">
        <v>111</v>
      </c>
      <c r="C27" t="str">
        <f t="shared" si="0"/>
        <v>目白カーサ二番館</v>
      </c>
      <c r="D27" s="23">
        <v>664</v>
      </c>
      <c r="E27" s="23" t="str">
        <f t="shared" si="1"/>
        <v>建物</v>
      </c>
      <c r="F27" s="23" t="s">
        <v>2075</v>
      </c>
      <c r="H27" s="23" t="s">
        <v>881</v>
      </c>
      <c r="I27" s="77">
        <v>496.02</v>
      </c>
      <c r="J27" s="77">
        <v>496.02</v>
      </c>
      <c r="K27" s="23">
        <v>1</v>
      </c>
      <c r="L27" s="23">
        <v>1</v>
      </c>
      <c r="M27" s="23" t="s">
        <v>1017</v>
      </c>
      <c r="N27" s="23" t="s">
        <v>1017</v>
      </c>
      <c r="O27" s="64">
        <v>326207</v>
      </c>
      <c r="P27" s="64">
        <v>69901</v>
      </c>
      <c r="Q27" s="64">
        <v>23300500</v>
      </c>
      <c r="R27" s="64"/>
      <c r="S27" s="64">
        <v>326207</v>
      </c>
      <c r="T27" s="64">
        <v>69901</v>
      </c>
      <c r="U27" s="64">
        <v>23300500</v>
      </c>
      <c r="V27" s="64">
        <v>23300500</v>
      </c>
      <c r="W27" s="64">
        <v>340589</v>
      </c>
      <c r="X27" s="64">
        <v>72983</v>
      </c>
      <c r="Y27" s="64">
        <v>24327800</v>
      </c>
      <c r="Z27" s="64">
        <v>24327800</v>
      </c>
    </row>
    <row r="28" spans="1:26" ht="15" customHeight="1">
      <c r="A28" s="23">
        <v>26</v>
      </c>
      <c r="B28" s="23">
        <v>112</v>
      </c>
      <c r="C28" t="str">
        <f t="shared" si="0"/>
        <v>豊島目白ビル</v>
      </c>
      <c r="D28" s="23">
        <v>661</v>
      </c>
      <c r="E28" s="23" t="str">
        <f t="shared" si="1"/>
        <v>土地</v>
      </c>
      <c r="F28" s="23" t="s">
        <v>2076</v>
      </c>
      <c r="H28" s="23" t="s">
        <v>881</v>
      </c>
      <c r="I28" s="77">
        <v>143.13</v>
      </c>
      <c r="J28" s="77">
        <v>143.13</v>
      </c>
      <c r="K28" s="23">
        <v>1</v>
      </c>
      <c r="L28" s="23">
        <v>1</v>
      </c>
      <c r="M28" s="23" t="s">
        <v>1017</v>
      </c>
      <c r="N28" s="23" t="s">
        <v>1017</v>
      </c>
      <c r="O28" s="64">
        <v>785817</v>
      </c>
      <c r="P28" s="64">
        <v>168388</v>
      </c>
      <c r="Q28" s="64">
        <v>147431050</v>
      </c>
      <c r="R28" s="64"/>
      <c r="S28" s="64">
        <v>785817</v>
      </c>
      <c r="T28" s="64">
        <v>168388</v>
      </c>
      <c r="U28" s="64">
        <v>147431050</v>
      </c>
      <c r="V28" s="64">
        <v>70162326</v>
      </c>
      <c r="W28" s="64">
        <v>785817</v>
      </c>
      <c r="X28" s="64">
        <v>168388</v>
      </c>
      <c r="Y28" s="64">
        <v>116937210</v>
      </c>
      <c r="Z28" s="64">
        <v>70162326</v>
      </c>
    </row>
    <row r="29" spans="1:26" ht="15" customHeight="1">
      <c r="A29" s="23">
        <v>27</v>
      </c>
      <c r="B29" s="23">
        <v>112</v>
      </c>
      <c r="C29" t="str">
        <f t="shared" si="0"/>
        <v>豊島目白ビル</v>
      </c>
      <c r="D29" s="23">
        <v>664</v>
      </c>
      <c r="E29" s="23" t="str">
        <f t="shared" si="1"/>
        <v>建物</v>
      </c>
      <c r="F29" s="23" t="s">
        <v>2077</v>
      </c>
      <c r="H29" s="23" t="s">
        <v>881</v>
      </c>
      <c r="I29" s="77">
        <v>491.32</v>
      </c>
      <c r="J29" s="77">
        <v>491.32</v>
      </c>
      <c r="K29" s="23">
        <v>1</v>
      </c>
      <c r="L29" s="23">
        <v>1</v>
      </c>
      <c r="M29" s="23" t="s">
        <v>1017</v>
      </c>
      <c r="N29" s="23" t="s">
        <v>1017</v>
      </c>
      <c r="O29" s="64">
        <v>0</v>
      </c>
      <c r="P29" s="64">
        <v>0</v>
      </c>
      <c r="Q29" s="64">
        <v>39293700</v>
      </c>
      <c r="R29" s="64"/>
      <c r="S29" s="64">
        <v>0</v>
      </c>
      <c r="T29" s="64">
        <v>0</v>
      </c>
      <c r="U29" s="64">
        <v>39293700</v>
      </c>
      <c r="V29" s="64">
        <v>0</v>
      </c>
      <c r="W29" s="64">
        <v>561583</v>
      </c>
      <c r="X29" s="64">
        <v>120339</v>
      </c>
      <c r="Y29" s="64">
        <v>40113100</v>
      </c>
      <c r="Z29" s="64">
        <v>40113100</v>
      </c>
    </row>
    <row r="30" spans="1:26" ht="15" customHeight="1">
      <c r="A30" s="23">
        <v>28</v>
      </c>
      <c r="B30" s="23">
        <v>113</v>
      </c>
      <c r="C30" t="str">
        <f t="shared" si="0"/>
        <v>第3目白ハイツ</v>
      </c>
      <c r="D30" s="23">
        <v>661</v>
      </c>
      <c r="E30" s="23" t="str">
        <f t="shared" si="1"/>
        <v>土地</v>
      </c>
      <c r="F30" s="23" t="s">
        <v>2078</v>
      </c>
      <c r="H30" s="23" t="s">
        <v>881</v>
      </c>
      <c r="I30" s="77">
        <v>471.94</v>
      </c>
      <c r="J30" s="77">
        <v>471.94</v>
      </c>
      <c r="K30" s="23">
        <v>1</v>
      </c>
      <c r="L30" s="23">
        <v>1</v>
      </c>
      <c r="M30" s="23" t="s">
        <v>1017</v>
      </c>
      <c r="N30" s="23" t="s">
        <v>1017</v>
      </c>
      <c r="O30" s="64">
        <v>221138</v>
      </c>
      <c r="P30" s="64">
        <v>47386</v>
      </c>
      <c r="Q30" s="64">
        <v>105686710</v>
      </c>
      <c r="R30" s="64"/>
      <c r="S30" s="64">
        <v>221138</v>
      </c>
      <c r="T30" s="64">
        <v>47386</v>
      </c>
      <c r="U30" s="64">
        <v>105686710</v>
      </c>
      <c r="V30" s="64">
        <v>15795595</v>
      </c>
      <c r="W30" s="64">
        <v>221138</v>
      </c>
      <c r="X30" s="64">
        <v>47386</v>
      </c>
      <c r="Y30" s="64">
        <v>94773570</v>
      </c>
      <c r="Z30" s="64">
        <v>15795595</v>
      </c>
    </row>
    <row r="31" spans="1:26" ht="15" customHeight="1">
      <c r="A31" s="23">
        <v>29</v>
      </c>
      <c r="B31" s="23">
        <v>113</v>
      </c>
      <c r="C31" t="str">
        <f t="shared" si="0"/>
        <v>第3目白ハイツ</v>
      </c>
      <c r="D31" s="23">
        <v>661</v>
      </c>
      <c r="E31" s="23" t="str">
        <f t="shared" si="1"/>
        <v>土地</v>
      </c>
      <c r="F31" s="23" t="s">
        <v>2079</v>
      </c>
      <c r="H31" s="23" t="s">
        <v>881</v>
      </c>
      <c r="I31" s="77">
        <v>334</v>
      </c>
      <c r="J31" s="77">
        <v>334</v>
      </c>
      <c r="K31" s="23">
        <v>1</v>
      </c>
      <c r="L31" s="23">
        <v>1</v>
      </c>
      <c r="M31" s="23" t="s">
        <v>1017</v>
      </c>
      <c r="N31" s="23" t="s">
        <v>1017</v>
      </c>
      <c r="O31" s="64">
        <v>156362</v>
      </c>
      <c r="P31" s="64">
        <v>33506</v>
      </c>
      <c r="Q31" s="64">
        <v>74729110</v>
      </c>
      <c r="R31" s="64"/>
      <c r="S31" s="64">
        <v>156362</v>
      </c>
      <c r="T31" s="64">
        <v>33506</v>
      </c>
      <c r="U31" s="64">
        <v>74729110</v>
      </c>
      <c r="V31" s="64">
        <v>11168771</v>
      </c>
      <c r="W31" s="64">
        <v>156362</v>
      </c>
      <c r="X31" s="64">
        <v>33506</v>
      </c>
      <c r="Y31" s="64">
        <v>67012630</v>
      </c>
      <c r="Z31" s="64">
        <v>11168771</v>
      </c>
    </row>
    <row r="32" spans="1:26" ht="15" customHeight="1">
      <c r="A32" s="23">
        <v>30</v>
      </c>
      <c r="B32" s="23">
        <v>113</v>
      </c>
      <c r="C32" t="str">
        <f t="shared" si="0"/>
        <v>第3目白ハイツ</v>
      </c>
      <c r="D32" s="23">
        <v>664</v>
      </c>
      <c r="E32" s="23" t="str">
        <f t="shared" si="1"/>
        <v>建物</v>
      </c>
      <c r="F32" s="23" t="s">
        <v>2080</v>
      </c>
      <c r="H32" s="23" t="s">
        <v>881</v>
      </c>
      <c r="I32" s="77">
        <v>1307.01</v>
      </c>
      <c r="J32" s="77">
        <v>1307.01</v>
      </c>
      <c r="K32" s="23">
        <v>1</v>
      </c>
      <c r="L32" s="23">
        <v>1</v>
      </c>
      <c r="M32" s="23" t="s">
        <v>1017</v>
      </c>
      <c r="N32" s="23" t="s">
        <v>1017</v>
      </c>
      <c r="O32" s="64">
        <v>884796</v>
      </c>
      <c r="P32" s="64">
        <v>189598</v>
      </c>
      <c r="Q32" s="64">
        <v>63199800</v>
      </c>
      <c r="R32" s="64"/>
      <c r="S32" s="64">
        <v>884796</v>
      </c>
      <c r="T32" s="64">
        <v>189598</v>
      </c>
      <c r="U32" s="64">
        <v>63199800</v>
      </c>
      <c r="V32" s="64">
        <v>63199800</v>
      </c>
      <c r="W32" s="64">
        <v>885323</v>
      </c>
      <c r="X32" s="64">
        <v>189711</v>
      </c>
      <c r="Y32" s="64">
        <v>63237500</v>
      </c>
      <c r="Z32" s="64">
        <v>63237500</v>
      </c>
    </row>
    <row r="33" spans="1:26" ht="15" customHeight="1">
      <c r="A33" s="23">
        <v>31</v>
      </c>
      <c r="B33" s="23">
        <v>114</v>
      </c>
      <c r="C33" t="str">
        <f t="shared" si="0"/>
        <v>レジデンス目白豊島</v>
      </c>
      <c r="D33" s="23">
        <v>661</v>
      </c>
      <c r="E33" s="23" t="str">
        <f t="shared" si="1"/>
        <v>土地</v>
      </c>
      <c r="F33" s="23" t="s">
        <v>2081</v>
      </c>
      <c r="H33" s="23" t="s">
        <v>881</v>
      </c>
      <c r="I33" s="77">
        <v>191.86</v>
      </c>
      <c r="J33" s="77">
        <v>191.86</v>
      </c>
      <c r="K33" s="23">
        <v>1</v>
      </c>
      <c r="L33" s="23">
        <v>1</v>
      </c>
      <c r="M33" s="23" t="s">
        <v>1017</v>
      </c>
      <c r="N33" s="23" t="s">
        <v>1017</v>
      </c>
      <c r="O33" s="64">
        <v>148426</v>
      </c>
      <c r="P33" s="64">
        <v>31805</v>
      </c>
      <c r="Q33" s="64">
        <v>75806570</v>
      </c>
      <c r="R33" s="64"/>
      <c r="S33" s="64">
        <v>148426</v>
      </c>
      <c r="T33" s="64">
        <v>31805</v>
      </c>
      <c r="U33" s="64">
        <v>75806570</v>
      </c>
      <c r="V33" s="64">
        <v>10601863</v>
      </c>
      <c r="W33" s="64">
        <v>148426</v>
      </c>
      <c r="X33" s="64">
        <v>31805</v>
      </c>
      <c r="Y33" s="64">
        <v>63611180</v>
      </c>
      <c r="Z33" s="64">
        <v>10601863</v>
      </c>
    </row>
    <row r="34" spans="1:26" ht="15" customHeight="1">
      <c r="A34" s="23">
        <v>32</v>
      </c>
      <c r="B34" s="23">
        <v>114</v>
      </c>
      <c r="C34" t="str">
        <f t="shared" si="0"/>
        <v>レジデンス目白豊島</v>
      </c>
      <c r="D34" s="23">
        <v>664</v>
      </c>
      <c r="E34" s="23" t="str">
        <f t="shared" si="1"/>
        <v>建物</v>
      </c>
      <c r="F34" s="23" t="s">
        <v>2082</v>
      </c>
      <c r="H34" s="23" t="s">
        <v>881</v>
      </c>
      <c r="I34" s="77">
        <v>104.63</v>
      </c>
      <c r="J34" s="77">
        <v>104.63</v>
      </c>
      <c r="K34" s="23">
        <v>1</v>
      </c>
      <c r="L34" s="23">
        <v>1</v>
      </c>
      <c r="M34" s="23" t="s">
        <v>1017</v>
      </c>
      <c r="N34" s="23" t="s">
        <v>1017</v>
      </c>
      <c r="O34" s="64">
        <v>83074</v>
      </c>
      <c r="P34" s="64">
        <v>17801</v>
      </c>
      <c r="Q34" s="64">
        <v>20654300</v>
      </c>
      <c r="R34" s="64"/>
      <c r="S34" s="64">
        <v>83074</v>
      </c>
      <c r="T34" s="64">
        <v>17801</v>
      </c>
      <c r="U34" s="64">
        <v>20654300</v>
      </c>
      <c r="V34" s="64">
        <v>5933900</v>
      </c>
      <c r="W34" s="64">
        <v>83074</v>
      </c>
      <c r="X34" s="64">
        <v>17801</v>
      </c>
      <c r="Y34" s="64">
        <v>20654300</v>
      </c>
      <c r="Z34" s="64">
        <v>5933900</v>
      </c>
    </row>
    <row r="35" spans="1:26" ht="15" customHeight="1">
      <c r="A35" s="23">
        <v>33</v>
      </c>
      <c r="B35" s="23">
        <v>114</v>
      </c>
      <c r="C35" t="str">
        <f t="shared" ref="C35:C65" si="2">VLOOKUP(B35,id_settings,2,FALSE)</f>
        <v>レジデンス目白豊島</v>
      </c>
      <c r="D35" s="23">
        <v>664</v>
      </c>
      <c r="E35" s="23" t="str">
        <f t="shared" ref="E35:E61" si="3">VLOOKUP(D35,id_settings,2,FALSE)</f>
        <v>建物</v>
      </c>
      <c r="F35" s="23" t="s">
        <v>2083</v>
      </c>
      <c r="H35" s="23" t="s">
        <v>881</v>
      </c>
      <c r="I35" s="77">
        <v>29.51</v>
      </c>
      <c r="J35" s="77">
        <v>29.51</v>
      </c>
      <c r="K35" s="23">
        <v>1</v>
      </c>
      <c r="L35" s="23">
        <v>1</v>
      </c>
      <c r="M35" s="23" t="s">
        <v>1017</v>
      </c>
      <c r="N35" s="23" t="s">
        <v>1017</v>
      </c>
      <c r="O35" s="64">
        <v>23424</v>
      </c>
      <c r="P35" s="64">
        <v>5019</v>
      </c>
      <c r="Q35" s="64">
        <v>20654300</v>
      </c>
      <c r="R35" s="64"/>
      <c r="S35" s="64">
        <v>23424</v>
      </c>
      <c r="T35" s="64">
        <v>5019</v>
      </c>
      <c r="U35" s="64">
        <v>20654300</v>
      </c>
      <c r="V35" s="64">
        <v>1673200</v>
      </c>
      <c r="W35" s="64">
        <v>23424</v>
      </c>
      <c r="X35" s="64">
        <v>5019</v>
      </c>
      <c r="Y35" s="64">
        <v>20654300</v>
      </c>
      <c r="Z35" s="64">
        <v>1673200</v>
      </c>
    </row>
    <row r="36" spans="1:26" ht="15" customHeight="1">
      <c r="A36" s="23">
        <v>34</v>
      </c>
      <c r="B36" s="23">
        <v>114</v>
      </c>
      <c r="C36" t="str">
        <f t="shared" si="2"/>
        <v>レジデンス目白豊島</v>
      </c>
      <c r="D36" s="23">
        <v>664</v>
      </c>
      <c r="E36" s="23" t="str">
        <f t="shared" si="3"/>
        <v>建物</v>
      </c>
      <c r="F36" s="23" t="s">
        <v>2084</v>
      </c>
      <c r="H36" s="23" t="s">
        <v>881</v>
      </c>
      <c r="I36" s="77">
        <v>14.26</v>
      </c>
      <c r="J36" s="77">
        <v>14.26</v>
      </c>
      <c r="K36" s="23">
        <v>1</v>
      </c>
      <c r="L36" s="23">
        <v>1</v>
      </c>
      <c r="M36" s="23" t="s">
        <v>1017</v>
      </c>
      <c r="N36" s="23" t="s">
        <v>1017</v>
      </c>
      <c r="O36" s="64">
        <v>11317</v>
      </c>
      <c r="P36" s="64">
        <v>2425</v>
      </c>
      <c r="Q36" s="64">
        <v>20654300</v>
      </c>
      <c r="R36" s="64"/>
      <c r="S36" s="64">
        <v>11317</v>
      </c>
      <c r="T36" s="64">
        <v>2425</v>
      </c>
      <c r="U36" s="64">
        <v>20654300</v>
      </c>
      <c r="V36" s="64">
        <v>808400</v>
      </c>
      <c r="W36" s="64">
        <v>11317</v>
      </c>
      <c r="X36" s="64">
        <v>2425</v>
      </c>
      <c r="Y36" s="64">
        <v>20654300</v>
      </c>
      <c r="Z36" s="64">
        <v>808400</v>
      </c>
    </row>
    <row r="37" spans="1:26" ht="15" customHeight="1">
      <c r="A37" s="23">
        <v>35</v>
      </c>
      <c r="B37" s="23">
        <v>114</v>
      </c>
      <c r="C37" t="str">
        <f t="shared" si="2"/>
        <v>レジデンス目白豊島</v>
      </c>
      <c r="D37" s="23">
        <v>664</v>
      </c>
      <c r="E37" s="23" t="str">
        <f t="shared" si="3"/>
        <v>建物</v>
      </c>
      <c r="F37" s="23" t="s">
        <v>2085</v>
      </c>
      <c r="H37" s="23" t="s">
        <v>881</v>
      </c>
      <c r="I37" s="77">
        <v>14.26</v>
      </c>
      <c r="J37" s="77">
        <v>14.26</v>
      </c>
      <c r="K37" s="23">
        <v>1</v>
      </c>
      <c r="L37" s="23">
        <v>1</v>
      </c>
      <c r="M37" s="23" t="s">
        <v>1017</v>
      </c>
      <c r="N37" s="23" t="s">
        <v>1017</v>
      </c>
      <c r="O37" s="64">
        <v>11317</v>
      </c>
      <c r="P37" s="64">
        <v>2425</v>
      </c>
      <c r="Q37" s="64">
        <v>20654300</v>
      </c>
      <c r="R37" s="64"/>
      <c r="S37" s="64">
        <v>11317</v>
      </c>
      <c r="T37" s="64">
        <v>2425</v>
      </c>
      <c r="U37" s="64">
        <v>20654300</v>
      </c>
      <c r="V37" s="64">
        <v>808400</v>
      </c>
      <c r="W37" s="64">
        <v>11317</v>
      </c>
      <c r="X37" s="64">
        <v>2425</v>
      </c>
      <c r="Y37" s="64">
        <v>20654300</v>
      </c>
      <c r="Z37" s="64">
        <v>808400</v>
      </c>
    </row>
    <row r="38" spans="1:26" ht="15" customHeight="1">
      <c r="A38" s="23">
        <v>36</v>
      </c>
      <c r="B38" s="23">
        <v>114</v>
      </c>
      <c r="C38" t="str">
        <f t="shared" si="2"/>
        <v>レジデンス目白豊島</v>
      </c>
      <c r="D38" s="23">
        <v>664</v>
      </c>
      <c r="E38" s="23" t="str">
        <f t="shared" si="3"/>
        <v>建物</v>
      </c>
      <c r="F38" s="23" t="s">
        <v>2086</v>
      </c>
      <c r="H38" s="23" t="s">
        <v>881</v>
      </c>
      <c r="I38" s="77">
        <v>14.26</v>
      </c>
      <c r="J38" s="77">
        <v>14.26</v>
      </c>
      <c r="K38" s="23">
        <v>1</v>
      </c>
      <c r="L38" s="23">
        <v>1</v>
      </c>
      <c r="M38" s="23" t="s">
        <v>1017</v>
      </c>
      <c r="N38" s="23" t="s">
        <v>1017</v>
      </c>
      <c r="O38" s="64">
        <v>11317</v>
      </c>
      <c r="P38" s="64">
        <v>2425</v>
      </c>
      <c r="Q38" s="64">
        <v>20654300</v>
      </c>
      <c r="R38" s="64"/>
      <c r="S38" s="64">
        <v>11317</v>
      </c>
      <c r="T38" s="64">
        <v>2425</v>
      </c>
      <c r="U38" s="64">
        <v>20654300</v>
      </c>
      <c r="V38" s="64">
        <v>808400</v>
      </c>
      <c r="W38" s="64">
        <v>11317</v>
      </c>
      <c r="X38" s="64">
        <v>2425</v>
      </c>
      <c r="Y38" s="64">
        <v>20654300</v>
      </c>
      <c r="Z38" s="64">
        <v>808400</v>
      </c>
    </row>
    <row r="39" spans="1:26" ht="15" customHeight="1">
      <c r="A39" s="23">
        <v>37</v>
      </c>
      <c r="B39" s="23">
        <v>114</v>
      </c>
      <c r="C39" t="str">
        <f t="shared" si="2"/>
        <v>レジデンス目白豊島</v>
      </c>
      <c r="D39" s="23">
        <v>664</v>
      </c>
      <c r="E39" s="23" t="str">
        <f t="shared" si="3"/>
        <v>建物</v>
      </c>
      <c r="F39" s="23" t="s">
        <v>2087</v>
      </c>
      <c r="H39" s="23" t="s">
        <v>881</v>
      </c>
      <c r="I39" s="77">
        <v>14.26</v>
      </c>
      <c r="J39" s="77">
        <v>14.26</v>
      </c>
      <c r="K39" s="23">
        <v>1</v>
      </c>
      <c r="L39" s="23">
        <v>1</v>
      </c>
      <c r="M39" s="23" t="s">
        <v>1017</v>
      </c>
      <c r="N39" s="23" t="s">
        <v>1017</v>
      </c>
      <c r="O39" s="64">
        <v>11317</v>
      </c>
      <c r="P39" s="64">
        <v>2425</v>
      </c>
      <c r="Q39" s="64">
        <v>20654300</v>
      </c>
      <c r="R39" s="64"/>
      <c r="S39" s="64">
        <v>11317</v>
      </c>
      <c r="T39" s="64">
        <v>2425</v>
      </c>
      <c r="U39" s="64">
        <v>20654300</v>
      </c>
      <c r="V39" s="64">
        <v>808400</v>
      </c>
      <c r="W39" s="64">
        <v>11317</v>
      </c>
      <c r="X39" s="64">
        <v>2425</v>
      </c>
      <c r="Y39" s="64">
        <v>20654300</v>
      </c>
      <c r="Z39" s="64">
        <v>808400</v>
      </c>
    </row>
    <row r="40" spans="1:26" ht="15" customHeight="1">
      <c r="A40" s="23">
        <v>38</v>
      </c>
      <c r="B40" s="23">
        <v>114</v>
      </c>
      <c r="C40" t="str">
        <f t="shared" si="2"/>
        <v>レジデンス目白豊島</v>
      </c>
      <c r="D40" s="23">
        <v>664</v>
      </c>
      <c r="E40" s="23" t="str">
        <f t="shared" si="3"/>
        <v>建物</v>
      </c>
      <c r="F40" s="23" t="s">
        <v>2088</v>
      </c>
      <c r="H40" s="23" t="s">
        <v>881</v>
      </c>
      <c r="I40" s="77">
        <v>29.51</v>
      </c>
      <c r="J40" s="77">
        <v>29.51</v>
      </c>
      <c r="K40" s="23">
        <v>1</v>
      </c>
      <c r="L40" s="23">
        <v>1</v>
      </c>
      <c r="M40" s="23" t="s">
        <v>1017</v>
      </c>
      <c r="N40" s="23" t="s">
        <v>1017</v>
      </c>
      <c r="O40" s="64">
        <v>23424</v>
      </c>
      <c r="P40" s="64">
        <v>5019</v>
      </c>
      <c r="Q40" s="64">
        <v>20654300</v>
      </c>
      <c r="R40" s="64"/>
      <c r="S40" s="64">
        <v>23424</v>
      </c>
      <c r="T40" s="64">
        <v>5019</v>
      </c>
      <c r="U40" s="64">
        <v>20654300</v>
      </c>
      <c r="V40" s="64">
        <v>1673200</v>
      </c>
      <c r="W40" s="64">
        <v>23424</v>
      </c>
      <c r="X40" s="64">
        <v>5019</v>
      </c>
      <c r="Y40" s="64">
        <v>20654300</v>
      </c>
      <c r="Z40" s="64">
        <v>1673200</v>
      </c>
    </row>
    <row r="41" spans="1:26" ht="15" customHeight="1">
      <c r="A41" s="23">
        <v>39</v>
      </c>
      <c r="B41" s="23">
        <v>114</v>
      </c>
      <c r="C41" t="str">
        <f t="shared" si="2"/>
        <v>レジデンス目白豊島</v>
      </c>
      <c r="D41" s="23">
        <v>664</v>
      </c>
      <c r="E41" s="23" t="str">
        <f t="shared" si="3"/>
        <v>建物</v>
      </c>
      <c r="F41" s="23" t="s">
        <v>2089</v>
      </c>
      <c r="H41" s="23" t="s">
        <v>881</v>
      </c>
      <c r="I41" s="77">
        <v>14.26</v>
      </c>
      <c r="J41" s="77">
        <v>14.26</v>
      </c>
      <c r="K41" s="23">
        <v>1</v>
      </c>
      <c r="L41" s="23">
        <v>1</v>
      </c>
      <c r="M41" s="23" t="s">
        <v>1017</v>
      </c>
      <c r="N41" s="23" t="s">
        <v>1017</v>
      </c>
      <c r="O41" s="64">
        <v>11317</v>
      </c>
      <c r="P41" s="64">
        <v>2425</v>
      </c>
      <c r="Q41" s="64">
        <v>20654300</v>
      </c>
      <c r="R41" s="64"/>
      <c r="S41" s="64">
        <v>11317</v>
      </c>
      <c r="T41" s="64">
        <v>2425</v>
      </c>
      <c r="U41" s="64">
        <v>20654300</v>
      </c>
      <c r="V41" s="64">
        <v>808400</v>
      </c>
      <c r="W41" s="64">
        <v>11317</v>
      </c>
      <c r="X41" s="64">
        <v>2425</v>
      </c>
      <c r="Y41" s="64">
        <v>20654300</v>
      </c>
      <c r="Z41" s="64">
        <v>808400</v>
      </c>
    </row>
    <row r="42" spans="1:26" ht="15" customHeight="1">
      <c r="A42" s="23">
        <v>40</v>
      </c>
      <c r="B42" s="23">
        <v>114</v>
      </c>
      <c r="C42" t="str">
        <f t="shared" si="2"/>
        <v>レジデンス目白豊島</v>
      </c>
      <c r="D42" s="23">
        <v>664</v>
      </c>
      <c r="E42" s="23" t="str">
        <f t="shared" si="3"/>
        <v>建物</v>
      </c>
      <c r="F42" s="23" t="s">
        <v>2090</v>
      </c>
      <c r="H42" s="23" t="s">
        <v>881</v>
      </c>
      <c r="I42" s="77">
        <v>14.26</v>
      </c>
      <c r="J42" s="77">
        <v>14.26</v>
      </c>
      <c r="K42" s="23">
        <v>1</v>
      </c>
      <c r="L42" s="23">
        <v>1</v>
      </c>
      <c r="M42" s="23" t="s">
        <v>1017</v>
      </c>
      <c r="N42" s="23" t="s">
        <v>1017</v>
      </c>
      <c r="O42" s="64">
        <v>11317</v>
      </c>
      <c r="P42" s="64">
        <v>2425</v>
      </c>
      <c r="Q42" s="64">
        <v>20654300</v>
      </c>
      <c r="R42" s="64"/>
      <c r="S42" s="64">
        <v>11317</v>
      </c>
      <c r="T42" s="64">
        <v>2425</v>
      </c>
      <c r="U42" s="64">
        <v>20654300</v>
      </c>
      <c r="V42" s="64">
        <v>808400</v>
      </c>
      <c r="W42" s="64">
        <v>11317</v>
      </c>
      <c r="X42" s="64">
        <v>2425</v>
      </c>
      <c r="Y42" s="64">
        <v>20654300</v>
      </c>
      <c r="Z42" s="64">
        <v>808400</v>
      </c>
    </row>
    <row r="43" spans="1:26" ht="15" customHeight="1">
      <c r="A43" s="23">
        <v>41</v>
      </c>
      <c r="B43" s="23">
        <v>114</v>
      </c>
      <c r="C43" t="str">
        <f t="shared" si="2"/>
        <v>レジデンス目白豊島</v>
      </c>
      <c r="D43" s="23">
        <v>664</v>
      </c>
      <c r="E43" s="23" t="str">
        <f t="shared" si="3"/>
        <v>建物</v>
      </c>
      <c r="F43" s="23" t="s">
        <v>2091</v>
      </c>
      <c r="H43" s="23" t="s">
        <v>881</v>
      </c>
      <c r="I43" s="77">
        <v>14.26</v>
      </c>
      <c r="J43" s="77">
        <v>14.26</v>
      </c>
      <c r="K43" s="23">
        <v>1</v>
      </c>
      <c r="L43" s="23">
        <v>1</v>
      </c>
      <c r="M43" s="23" t="s">
        <v>1017</v>
      </c>
      <c r="N43" s="23" t="s">
        <v>1017</v>
      </c>
      <c r="O43" s="64">
        <v>11317</v>
      </c>
      <c r="P43" s="64">
        <v>2425</v>
      </c>
      <c r="Q43" s="64">
        <v>20654300</v>
      </c>
      <c r="R43" s="64"/>
      <c r="S43" s="64">
        <v>11317</v>
      </c>
      <c r="T43" s="64">
        <v>2425</v>
      </c>
      <c r="U43" s="64">
        <v>20654300</v>
      </c>
      <c r="V43" s="64">
        <v>808400</v>
      </c>
      <c r="W43" s="64">
        <v>11317</v>
      </c>
      <c r="X43" s="64">
        <v>2425</v>
      </c>
      <c r="Y43" s="64">
        <v>20654300</v>
      </c>
      <c r="Z43" s="64">
        <v>808400</v>
      </c>
    </row>
    <row r="44" spans="1:26" ht="15" customHeight="1">
      <c r="A44" s="23">
        <v>42</v>
      </c>
      <c r="B44" s="23">
        <v>114</v>
      </c>
      <c r="C44" t="str">
        <f t="shared" si="2"/>
        <v>レジデンス目白豊島</v>
      </c>
      <c r="D44" s="23">
        <v>664</v>
      </c>
      <c r="E44" s="23" t="str">
        <f t="shared" si="3"/>
        <v>建物</v>
      </c>
      <c r="F44" s="23" t="s">
        <v>2092</v>
      </c>
      <c r="H44" s="23" t="s">
        <v>881</v>
      </c>
      <c r="I44" s="77">
        <v>14.26</v>
      </c>
      <c r="J44" s="77">
        <v>14.26</v>
      </c>
      <c r="K44" s="23">
        <v>1</v>
      </c>
      <c r="L44" s="23">
        <v>1</v>
      </c>
      <c r="M44" s="23" t="s">
        <v>1017</v>
      </c>
      <c r="N44" s="23" t="s">
        <v>1017</v>
      </c>
      <c r="O44" s="64">
        <v>11317</v>
      </c>
      <c r="P44" s="64">
        <v>2425</v>
      </c>
      <c r="Q44" s="64">
        <v>20654300</v>
      </c>
      <c r="R44" s="64"/>
      <c r="S44" s="64">
        <v>11317</v>
      </c>
      <c r="T44" s="64">
        <v>2425</v>
      </c>
      <c r="U44" s="64">
        <v>20654300</v>
      </c>
      <c r="V44" s="64">
        <v>808400</v>
      </c>
      <c r="W44" s="64">
        <v>11317</v>
      </c>
      <c r="X44" s="64">
        <v>2425</v>
      </c>
      <c r="Y44" s="64">
        <v>20654300</v>
      </c>
      <c r="Z44" s="64">
        <v>808400</v>
      </c>
    </row>
    <row r="45" spans="1:26" ht="15" customHeight="1">
      <c r="A45" s="23">
        <v>43</v>
      </c>
      <c r="B45" s="23">
        <v>114</v>
      </c>
      <c r="C45" t="str">
        <f t="shared" si="2"/>
        <v>レジデンス目白豊島</v>
      </c>
      <c r="D45" s="23">
        <v>664</v>
      </c>
      <c r="E45" s="23" t="str">
        <f t="shared" si="3"/>
        <v>建物</v>
      </c>
      <c r="F45" s="23" t="s">
        <v>2093</v>
      </c>
      <c r="H45" s="23" t="s">
        <v>881</v>
      </c>
      <c r="I45" s="77">
        <v>29.51</v>
      </c>
      <c r="J45" s="77">
        <v>29.51</v>
      </c>
      <c r="K45" s="23">
        <v>1</v>
      </c>
      <c r="L45" s="23">
        <v>1</v>
      </c>
      <c r="M45" s="23" t="s">
        <v>1017</v>
      </c>
      <c r="N45" s="23" t="s">
        <v>1017</v>
      </c>
      <c r="O45" s="64">
        <v>23424</v>
      </c>
      <c r="P45" s="64">
        <v>5019</v>
      </c>
      <c r="Q45" s="64">
        <v>20654300</v>
      </c>
      <c r="R45" s="64"/>
      <c r="S45" s="64">
        <v>23424</v>
      </c>
      <c r="T45" s="64">
        <v>5019</v>
      </c>
      <c r="U45" s="64">
        <v>20654300</v>
      </c>
      <c r="V45" s="64">
        <v>1673200</v>
      </c>
      <c r="W45" s="64">
        <v>23424</v>
      </c>
      <c r="X45" s="64">
        <v>5019</v>
      </c>
      <c r="Y45" s="64">
        <v>20654300</v>
      </c>
      <c r="Z45" s="64">
        <v>1673200</v>
      </c>
    </row>
    <row r="46" spans="1:26" ht="15" customHeight="1">
      <c r="A46" s="23">
        <v>44</v>
      </c>
      <c r="B46" s="23">
        <v>114</v>
      </c>
      <c r="C46" t="str">
        <f t="shared" si="2"/>
        <v>レジデンス目白豊島</v>
      </c>
      <c r="D46" s="23">
        <v>664</v>
      </c>
      <c r="E46" s="23" t="str">
        <f t="shared" si="3"/>
        <v>建物</v>
      </c>
      <c r="F46" s="23" t="s">
        <v>2094</v>
      </c>
      <c r="H46" s="23" t="s">
        <v>881</v>
      </c>
      <c r="I46" s="77">
        <v>14.26</v>
      </c>
      <c r="J46" s="77">
        <v>14.26</v>
      </c>
      <c r="K46" s="23">
        <v>1</v>
      </c>
      <c r="L46" s="23">
        <v>1</v>
      </c>
      <c r="M46" s="23" t="s">
        <v>1017</v>
      </c>
      <c r="N46" s="23" t="s">
        <v>1017</v>
      </c>
      <c r="O46" s="64">
        <v>11317</v>
      </c>
      <c r="P46" s="64">
        <v>2425</v>
      </c>
      <c r="Q46" s="64">
        <v>20654300</v>
      </c>
      <c r="R46" s="64"/>
      <c r="S46" s="64">
        <v>11317</v>
      </c>
      <c r="T46" s="64">
        <v>2425</v>
      </c>
      <c r="U46" s="64">
        <v>20654300</v>
      </c>
      <c r="V46" s="64">
        <v>808400</v>
      </c>
      <c r="W46" s="64">
        <v>11317</v>
      </c>
      <c r="X46" s="64">
        <v>2425</v>
      </c>
      <c r="Y46" s="64">
        <v>20654300</v>
      </c>
      <c r="Z46" s="64">
        <v>808400</v>
      </c>
    </row>
    <row r="47" spans="1:26" ht="15" customHeight="1">
      <c r="A47" s="23">
        <v>45</v>
      </c>
      <c r="B47" s="23">
        <v>114</v>
      </c>
      <c r="C47" t="str">
        <f t="shared" si="2"/>
        <v>レジデンス目白豊島</v>
      </c>
      <c r="D47" s="23">
        <v>664</v>
      </c>
      <c r="E47" s="23" t="str">
        <f t="shared" si="3"/>
        <v>建物</v>
      </c>
      <c r="F47" s="23" t="s">
        <v>2095</v>
      </c>
      <c r="H47" s="23" t="s">
        <v>881</v>
      </c>
      <c r="I47" s="77">
        <v>14.26</v>
      </c>
      <c r="J47" s="77">
        <v>14.26</v>
      </c>
      <c r="K47" s="23">
        <v>1</v>
      </c>
      <c r="L47" s="23">
        <v>1</v>
      </c>
      <c r="M47" s="23" t="s">
        <v>1017</v>
      </c>
      <c r="N47" s="23" t="s">
        <v>1017</v>
      </c>
      <c r="O47" s="64">
        <v>11317</v>
      </c>
      <c r="P47" s="64">
        <v>2425</v>
      </c>
      <c r="Q47" s="64">
        <v>20654300</v>
      </c>
      <c r="R47" s="64"/>
      <c r="S47" s="64">
        <v>11317</v>
      </c>
      <c r="T47" s="64">
        <v>2425</v>
      </c>
      <c r="U47" s="64">
        <v>20654300</v>
      </c>
      <c r="V47" s="64">
        <v>808400</v>
      </c>
      <c r="W47" s="64">
        <v>11317</v>
      </c>
      <c r="X47" s="64">
        <v>2425</v>
      </c>
      <c r="Y47" s="64">
        <v>20654300</v>
      </c>
      <c r="Z47" s="64">
        <v>808400</v>
      </c>
    </row>
    <row r="48" spans="1:26" ht="15" customHeight="1">
      <c r="A48" s="23">
        <v>46</v>
      </c>
      <c r="B48" s="23">
        <v>114</v>
      </c>
      <c r="C48" t="str">
        <f t="shared" si="2"/>
        <v>レジデンス目白豊島</v>
      </c>
      <c r="D48" s="23">
        <v>664</v>
      </c>
      <c r="E48" s="23" t="str">
        <f t="shared" si="3"/>
        <v>建物</v>
      </c>
      <c r="F48" s="23" t="s">
        <v>2096</v>
      </c>
      <c r="H48" s="23" t="s">
        <v>881</v>
      </c>
      <c r="I48" s="77">
        <v>14.26</v>
      </c>
      <c r="J48" s="77">
        <v>14.26</v>
      </c>
      <c r="K48" s="23">
        <v>1</v>
      </c>
      <c r="L48" s="23">
        <v>1</v>
      </c>
      <c r="M48" s="23" t="s">
        <v>1017</v>
      </c>
      <c r="N48" s="23" t="s">
        <v>1017</v>
      </c>
      <c r="O48" s="64">
        <v>11317</v>
      </c>
      <c r="P48" s="64">
        <v>2425</v>
      </c>
      <c r="Q48" s="64">
        <v>20654300</v>
      </c>
      <c r="R48" s="64"/>
      <c r="S48" s="64">
        <v>11317</v>
      </c>
      <c r="T48" s="64">
        <v>2425</v>
      </c>
      <c r="U48" s="64">
        <v>20654300</v>
      </c>
      <c r="V48" s="64">
        <v>808400</v>
      </c>
      <c r="W48" s="64">
        <v>11317</v>
      </c>
      <c r="X48" s="64">
        <v>2425</v>
      </c>
      <c r="Y48" s="64">
        <v>20654300</v>
      </c>
      <c r="Z48" s="64">
        <v>808400</v>
      </c>
    </row>
    <row r="49" spans="1:26" ht="15" customHeight="1">
      <c r="A49" s="23">
        <v>47</v>
      </c>
      <c r="B49" s="23">
        <v>114</v>
      </c>
      <c r="C49" t="str">
        <f t="shared" si="2"/>
        <v>レジデンス目白豊島</v>
      </c>
      <c r="D49" s="23">
        <v>664</v>
      </c>
      <c r="E49" s="23" t="str">
        <f t="shared" si="3"/>
        <v>建物</v>
      </c>
      <c r="F49" s="23" t="s">
        <v>2097</v>
      </c>
      <c r="H49" s="23" t="s">
        <v>881</v>
      </c>
      <c r="I49" s="77">
        <v>14.26</v>
      </c>
      <c r="J49" s="77">
        <v>14.26</v>
      </c>
      <c r="K49" s="23">
        <v>1</v>
      </c>
      <c r="L49" s="23">
        <v>1</v>
      </c>
      <c r="M49" s="23" t="s">
        <v>1017</v>
      </c>
      <c r="N49" s="23" t="s">
        <v>1017</v>
      </c>
      <c r="O49" s="64">
        <v>11317</v>
      </c>
      <c r="P49" s="64">
        <v>2425</v>
      </c>
      <c r="Q49" s="64">
        <v>20654300</v>
      </c>
      <c r="R49" s="64"/>
      <c r="S49" s="64">
        <v>11317</v>
      </c>
      <c r="T49" s="64">
        <v>2425</v>
      </c>
      <c r="U49" s="64">
        <v>20654300</v>
      </c>
      <c r="V49" s="64">
        <v>808400</v>
      </c>
      <c r="W49" s="64">
        <v>11317</v>
      </c>
      <c r="X49" s="64">
        <v>2425</v>
      </c>
      <c r="Y49" s="64">
        <v>20654300</v>
      </c>
      <c r="Z49" s="64">
        <v>808400</v>
      </c>
    </row>
    <row r="50" spans="1:26" ht="15" customHeight="1">
      <c r="A50" s="23">
        <v>48</v>
      </c>
      <c r="B50" s="23">
        <v>115</v>
      </c>
      <c r="C50" t="str">
        <f t="shared" si="2"/>
        <v>コアプラス大塚</v>
      </c>
      <c r="D50" s="23">
        <v>661</v>
      </c>
      <c r="E50" s="23" t="str">
        <f t="shared" si="3"/>
        <v>土地</v>
      </c>
      <c r="F50" s="23" t="s">
        <v>2098</v>
      </c>
      <c r="H50" s="23" t="s">
        <v>881</v>
      </c>
      <c r="I50" s="77">
        <v>443.07</v>
      </c>
      <c r="J50" s="77">
        <v>443.07</v>
      </c>
      <c r="K50" s="23">
        <v>1</v>
      </c>
      <c r="L50" s="23">
        <v>1</v>
      </c>
      <c r="M50" s="23" t="s">
        <v>1017</v>
      </c>
      <c r="N50" s="23" t="s">
        <v>1017</v>
      </c>
      <c r="O50" s="64">
        <v>363928</v>
      </c>
      <c r="P50" s="64">
        <v>77984</v>
      </c>
      <c r="Q50" s="64">
        <v>174271390</v>
      </c>
      <c r="R50" s="64"/>
      <c r="S50" s="64">
        <v>363928</v>
      </c>
      <c r="T50" s="64">
        <v>77984</v>
      </c>
      <c r="U50" s="64">
        <v>174271390</v>
      </c>
      <c r="V50" s="64">
        <v>25994916</v>
      </c>
      <c r="W50" s="64">
        <v>363928</v>
      </c>
      <c r="X50" s="64">
        <v>77984</v>
      </c>
      <c r="Y50" s="64">
        <v>155969500</v>
      </c>
      <c r="Z50" s="64">
        <v>25994916</v>
      </c>
    </row>
    <row r="51" spans="1:26" ht="15" customHeight="1">
      <c r="A51" s="23">
        <v>49</v>
      </c>
      <c r="B51" s="23">
        <v>115</v>
      </c>
      <c r="C51" t="str">
        <f t="shared" si="2"/>
        <v>コアプラス大塚</v>
      </c>
      <c r="D51" s="23">
        <v>664</v>
      </c>
      <c r="E51" s="23" t="str">
        <f t="shared" si="3"/>
        <v>建物</v>
      </c>
      <c r="F51" s="23" t="s">
        <v>2099</v>
      </c>
      <c r="H51" s="23" t="s">
        <v>881</v>
      </c>
      <c r="I51" s="77">
        <v>1490.43</v>
      </c>
      <c r="J51" s="77">
        <v>1490.43</v>
      </c>
      <c r="K51" s="23">
        <v>1</v>
      </c>
      <c r="L51" s="23">
        <v>1</v>
      </c>
      <c r="M51" s="23" t="s">
        <v>1017</v>
      </c>
      <c r="N51" s="23" t="s">
        <v>1017</v>
      </c>
      <c r="O51" s="64">
        <v>1729873</v>
      </c>
      <c r="P51" s="64">
        <v>370687</v>
      </c>
      <c r="Q51" s="64">
        <v>123562400</v>
      </c>
      <c r="R51" s="64"/>
      <c r="S51" s="64">
        <v>1729873</v>
      </c>
      <c r="T51" s="64">
        <v>370687</v>
      </c>
      <c r="U51" s="64">
        <v>123562400</v>
      </c>
      <c r="V51" s="64">
        <v>123562400</v>
      </c>
      <c r="W51" s="64">
        <v>1729873</v>
      </c>
      <c r="X51" s="64">
        <v>370687</v>
      </c>
      <c r="Y51" s="64">
        <v>123562400</v>
      </c>
      <c r="Z51" s="64">
        <v>123562400</v>
      </c>
    </row>
    <row r="52" spans="1:26" ht="15" customHeight="1">
      <c r="A52" s="23">
        <v>50</v>
      </c>
      <c r="B52" s="23">
        <v>116</v>
      </c>
      <c r="C52" t="str">
        <f t="shared" si="2"/>
        <v>コアプラスレジデンス梅田</v>
      </c>
      <c r="D52" s="23">
        <v>661</v>
      </c>
      <c r="E52" s="23" t="str">
        <f t="shared" si="3"/>
        <v>土地</v>
      </c>
      <c r="F52" s="23" t="s">
        <v>2100</v>
      </c>
      <c r="H52" s="23" t="s">
        <v>881</v>
      </c>
      <c r="I52" s="77">
        <v>207.8</v>
      </c>
      <c r="J52" s="77">
        <v>207.8</v>
      </c>
      <c r="K52" s="23">
        <v>1</v>
      </c>
      <c r="L52" s="23">
        <v>1</v>
      </c>
      <c r="M52" s="23" t="s">
        <v>1017</v>
      </c>
      <c r="N52" s="23" t="s">
        <v>1017</v>
      </c>
      <c r="O52" s="64">
        <v>210432</v>
      </c>
      <c r="P52" s="64">
        <v>45092</v>
      </c>
      <c r="Q52" s="64">
        <v>114941450</v>
      </c>
      <c r="R52" s="64"/>
      <c r="S52" s="64">
        <v>210432</v>
      </c>
      <c r="T52" s="64">
        <v>45092</v>
      </c>
      <c r="U52" s="64">
        <v>114941450</v>
      </c>
      <c r="V52" s="64">
        <v>15030866</v>
      </c>
      <c r="W52" s="64">
        <v>210432</v>
      </c>
      <c r="X52" s="64">
        <v>45092</v>
      </c>
      <c r="Y52" s="64">
        <v>90185200</v>
      </c>
      <c r="Z52" s="64">
        <v>15030866</v>
      </c>
    </row>
    <row r="53" spans="1:26" ht="15" customHeight="1">
      <c r="A53" s="23">
        <v>51</v>
      </c>
      <c r="B53" s="23">
        <v>116</v>
      </c>
      <c r="C53" t="str">
        <f t="shared" si="2"/>
        <v>コアプラスレジデンス梅田</v>
      </c>
      <c r="D53" s="23">
        <v>664</v>
      </c>
      <c r="E53" s="23" t="str">
        <f t="shared" si="3"/>
        <v>建物</v>
      </c>
      <c r="F53" s="23" t="s">
        <v>2101</v>
      </c>
      <c r="H53" s="23" t="s">
        <v>881</v>
      </c>
      <c r="I53" s="77">
        <v>966.35</v>
      </c>
      <c r="J53" s="77">
        <v>966.35</v>
      </c>
      <c r="K53" s="23">
        <v>1</v>
      </c>
      <c r="L53" s="23">
        <v>1</v>
      </c>
      <c r="M53" s="23" t="s">
        <v>1017</v>
      </c>
      <c r="N53" s="23" t="s">
        <v>1017</v>
      </c>
      <c r="O53" s="64">
        <v>755753</v>
      </c>
      <c r="P53" s="64">
        <v>161947</v>
      </c>
      <c r="Q53" s="64">
        <v>53982400</v>
      </c>
      <c r="R53" s="64"/>
      <c r="S53" s="64">
        <v>755753</v>
      </c>
      <c r="T53" s="64">
        <v>161947</v>
      </c>
      <c r="U53" s="64">
        <v>53982400</v>
      </c>
      <c r="V53" s="64">
        <v>53982400</v>
      </c>
      <c r="W53" s="64">
        <v>755753</v>
      </c>
      <c r="X53" s="64">
        <v>161947</v>
      </c>
      <c r="Y53" s="64">
        <v>53982400</v>
      </c>
      <c r="Z53" s="64">
        <v>53982400</v>
      </c>
    </row>
    <row r="54" spans="1:26" ht="15" customHeight="1">
      <c r="A54" s="23">
        <v>52</v>
      </c>
      <c r="B54" s="23">
        <v>117</v>
      </c>
      <c r="C54" t="str">
        <f t="shared" si="2"/>
        <v>高田馬場第4玉川ビル</v>
      </c>
      <c r="D54" s="23">
        <v>661</v>
      </c>
      <c r="E54" s="23" t="str">
        <f t="shared" si="3"/>
        <v>土地</v>
      </c>
      <c r="F54" s="23" t="s">
        <v>2102</v>
      </c>
      <c r="H54" s="23" t="s">
        <v>881</v>
      </c>
      <c r="I54" s="77">
        <v>179.23</v>
      </c>
      <c r="J54" s="77">
        <v>179.23</v>
      </c>
      <c r="K54" s="23">
        <v>1</v>
      </c>
      <c r="L54" s="23">
        <v>1</v>
      </c>
      <c r="M54" s="23" t="s">
        <v>1017</v>
      </c>
      <c r="N54" s="23" t="s">
        <v>1017</v>
      </c>
      <c r="O54" s="64">
        <v>144698</v>
      </c>
      <c r="P54" s="64">
        <v>31006</v>
      </c>
      <c r="Q54" s="64">
        <v>75126040</v>
      </c>
      <c r="R54" s="64"/>
      <c r="S54" s="64">
        <v>144698</v>
      </c>
      <c r="T54" s="64">
        <v>31006</v>
      </c>
      <c r="U54" s="64">
        <v>75126040</v>
      </c>
      <c r="V54" s="64">
        <v>10335596</v>
      </c>
      <c r="W54" s="64">
        <v>144698</v>
      </c>
      <c r="X54" s="64">
        <v>31006</v>
      </c>
      <c r="Y54" s="64">
        <v>62013580</v>
      </c>
      <c r="Z54" s="64">
        <v>10335596</v>
      </c>
    </row>
    <row r="55" spans="1:26" ht="15" customHeight="1">
      <c r="A55" s="23">
        <v>53</v>
      </c>
      <c r="B55" s="23">
        <v>117</v>
      </c>
      <c r="C55" t="str">
        <f t="shared" si="2"/>
        <v>高田馬場第4玉川ビル</v>
      </c>
      <c r="D55" s="23">
        <v>664</v>
      </c>
      <c r="E55" s="23" t="str">
        <f t="shared" si="3"/>
        <v>建物</v>
      </c>
      <c r="F55" s="23" t="s">
        <v>2103</v>
      </c>
      <c r="H55" s="23" t="s">
        <v>881</v>
      </c>
      <c r="I55" s="77">
        <v>343.46</v>
      </c>
      <c r="J55" s="77">
        <v>343.46</v>
      </c>
      <c r="K55" s="23">
        <v>1</v>
      </c>
      <c r="L55" s="23">
        <v>1</v>
      </c>
      <c r="M55" s="23" t="s">
        <v>1017</v>
      </c>
      <c r="N55" s="23" t="s">
        <v>1017</v>
      </c>
      <c r="O55" s="64">
        <v>141688</v>
      </c>
      <c r="P55" s="64">
        <v>30361</v>
      </c>
      <c r="Q55" s="64">
        <v>10120600</v>
      </c>
      <c r="R55" s="64"/>
      <c r="S55" s="64">
        <v>141688</v>
      </c>
      <c r="T55" s="64">
        <v>30361</v>
      </c>
      <c r="U55" s="64">
        <v>10120600</v>
      </c>
      <c r="V55" s="64">
        <v>10120600</v>
      </c>
      <c r="W55" s="64">
        <v>151558</v>
      </c>
      <c r="X55" s="64">
        <v>32476</v>
      </c>
      <c r="Y55" s="64">
        <v>10825600</v>
      </c>
      <c r="Z55" s="64">
        <v>10825600</v>
      </c>
    </row>
    <row r="56" spans="1:26" ht="15" customHeight="1">
      <c r="A56" s="23">
        <v>54</v>
      </c>
      <c r="B56" s="23">
        <v>120</v>
      </c>
      <c r="C56" t="str">
        <f t="shared" si="2"/>
        <v>南池袋マンション</v>
      </c>
      <c r="D56" s="23">
        <v>661</v>
      </c>
      <c r="E56" s="23" t="str">
        <f t="shared" si="3"/>
        <v>土地</v>
      </c>
      <c r="F56" s="23" t="s">
        <v>2104</v>
      </c>
      <c r="H56" s="23" t="s">
        <v>881</v>
      </c>
      <c r="I56" s="77">
        <v>177.15</v>
      </c>
      <c r="J56" s="77">
        <v>177.15</v>
      </c>
      <c r="K56" s="23">
        <v>1</v>
      </c>
      <c r="L56" s="23">
        <v>1</v>
      </c>
      <c r="M56" s="23" t="s">
        <v>1017</v>
      </c>
      <c r="N56" s="23" t="s">
        <v>1017</v>
      </c>
      <c r="O56" s="64">
        <v>167336</v>
      </c>
      <c r="P56" s="64">
        <v>35857</v>
      </c>
      <c r="Q56" s="64">
        <v>79056190</v>
      </c>
      <c r="R56" s="64"/>
      <c r="S56" s="64">
        <v>167336</v>
      </c>
      <c r="T56" s="64">
        <v>35857</v>
      </c>
      <c r="U56" s="64">
        <v>79056190</v>
      </c>
      <c r="V56" s="64">
        <v>11952605</v>
      </c>
      <c r="W56" s="64">
        <v>167336</v>
      </c>
      <c r="X56" s="64">
        <v>35857</v>
      </c>
      <c r="Y56" s="64">
        <v>71715630</v>
      </c>
      <c r="Z56" s="64">
        <v>11952605</v>
      </c>
    </row>
    <row r="57" spans="1:26" ht="15" customHeight="1">
      <c r="A57" s="23">
        <v>55</v>
      </c>
      <c r="B57" s="23">
        <v>120</v>
      </c>
      <c r="C57" t="str">
        <f t="shared" si="2"/>
        <v>南池袋マンション</v>
      </c>
      <c r="D57" s="23">
        <v>664</v>
      </c>
      <c r="E57" s="23" t="str">
        <f t="shared" si="3"/>
        <v>建物</v>
      </c>
      <c r="F57" s="23" t="s">
        <v>2105</v>
      </c>
      <c r="H57" s="23" t="s">
        <v>881</v>
      </c>
      <c r="I57" s="77">
        <v>349.27</v>
      </c>
      <c r="J57" s="77">
        <v>349.27</v>
      </c>
      <c r="K57" s="23">
        <v>1</v>
      </c>
      <c r="L57" s="23">
        <v>1</v>
      </c>
      <c r="M57" s="23" t="s">
        <v>1017</v>
      </c>
      <c r="N57" s="23" t="s">
        <v>1017</v>
      </c>
      <c r="O57" s="64">
        <v>264752</v>
      </c>
      <c r="P57" s="64">
        <v>56732</v>
      </c>
      <c r="Q57" s="64">
        <v>18910900</v>
      </c>
      <c r="R57" s="64"/>
      <c r="S57" s="64">
        <v>264752</v>
      </c>
      <c r="T57" s="64">
        <v>56732</v>
      </c>
      <c r="U57" s="64">
        <v>18910900</v>
      </c>
      <c r="V57" s="64">
        <v>18910900</v>
      </c>
      <c r="W57" s="64">
        <v>264752</v>
      </c>
      <c r="X57" s="64">
        <v>56732</v>
      </c>
      <c r="Y57" s="64">
        <v>18910900</v>
      </c>
      <c r="Z57" s="64">
        <v>18910900</v>
      </c>
    </row>
    <row r="58" spans="1:26" ht="15" customHeight="1">
      <c r="A58" s="23">
        <v>56</v>
      </c>
      <c r="B58" s="23">
        <v>120</v>
      </c>
      <c r="C58" t="str">
        <f t="shared" si="2"/>
        <v>南池袋マンション</v>
      </c>
      <c r="D58" s="23">
        <v>662</v>
      </c>
      <c r="E58" s="23" t="str">
        <f t="shared" si="3"/>
        <v>土地(道路)</v>
      </c>
      <c r="F58" s="23" t="s">
        <v>2106</v>
      </c>
      <c r="H58" s="23" t="s">
        <v>881</v>
      </c>
      <c r="I58" s="77">
        <v>129.68</v>
      </c>
      <c r="J58" s="77">
        <v>129.68</v>
      </c>
      <c r="K58" s="23">
        <v>1</v>
      </c>
      <c r="L58" s="23">
        <v>1</v>
      </c>
      <c r="M58" s="23" t="s">
        <v>1017</v>
      </c>
      <c r="N58" s="23" t="s">
        <v>1017</v>
      </c>
      <c r="O58" s="64">
        <v>0</v>
      </c>
      <c r="P58" s="64">
        <v>0</v>
      </c>
      <c r="Q58" s="64">
        <v>0</v>
      </c>
      <c r="R58" s="64"/>
      <c r="S58" s="64">
        <v>0</v>
      </c>
      <c r="T58" s="64">
        <v>0</v>
      </c>
      <c r="U58" s="64">
        <v>0</v>
      </c>
      <c r="V58" s="64">
        <v>0</v>
      </c>
      <c r="W58" s="64">
        <v>0</v>
      </c>
      <c r="X58" s="64">
        <v>0</v>
      </c>
      <c r="Y58" s="64">
        <v>0</v>
      </c>
      <c r="Z58" s="64">
        <v>0</v>
      </c>
    </row>
    <row r="59" spans="1:26" ht="15" customHeight="1">
      <c r="A59" s="23">
        <v>57</v>
      </c>
      <c r="B59" s="23">
        <v>221</v>
      </c>
      <c r="C59" t="str">
        <f t="shared" si="2"/>
        <v>ビジネス新大阪123号</v>
      </c>
      <c r="D59" s="23">
        <v>664</v>
      </c>
      <c r="E59" s="23" t="str">
        <f t="shared" si="3"/>
        <v>建物</v>
      </c>
      <c r="F59" s="23" t="s">
        <v>2107</v>
      </c>
      <c r="H59" s="23" t="s">
        <v>881</v>
      </c>
      <c r="I59" s="77">
        <v>19.899999999999999</v>
      </c>
      <c r="J59" s="77">
        <v>19.899999999999999</v>
      </c>
      <c r="K59" s="23" t="s">
        <v>1017</v>
      </c>
      <c r="L59" s="23" t="s">
        <v>1017</v>
      </c>
      <c r="M59" s="23">
        <v>316</v>
      </c>
      <c r="N59" s="23">
        <v>100000</v>
      </c>
      <c r="O59" s="64">
        <v>1761</v>
      </c>
      <c r="P59" s="64">
        <v>754</v>
      </c>
      <c r="Q59" s="64">
        <v>892339.76</v>
      </c>
      <c r="R59" s="64"/>
      <c r="S59" s="64">
        <v>1761</v>
      </c>
      <c r="T59" s="64">
        <v>754</v>
      </c>
      <c r="U59" s="64">
        <v>282386000</v>
      </c>
      <c r="V59" s="64">
        <v>39815500</v>
      </c>
      <c r="W59" s="64">
        <v>1761</v>
      </c>
      <c r="X59" s="64">
        <v>754</v>
      </c>
      <c r="Y59" s="64">
        <v>238893000</v>
      </c>
      <c r="Z59" s="64">
        <v>39815500</v>
      </c>
    </row>
    <row r="60" spans="1:26" ht="15" customHeight="1">
      <c r="A60" s="23">
        <v>58</v>
      </c>
      <c r="B60" s="23">
        <v>222</v>
      </c>
      <c r="C60" t="str">
        <f t="shared" si="2"/>
        <v>プラウD目白301号</v>
      </c>
      <c r="D60" s="23">
        <v>664</v>
      </c>
      <c r="E60" s="23" t="str">
        <f t="shared" si="3"/>
        <v>建物</v>
      </c>
      <c r="F60" s="23" t="s">
        <v>2108</v>
      </c>
      <c r="H60" s="23" t="s">
        <v>881</v>
      </c>
      <c r="I60" s="77">
        <v>79</v>
      </c>
      <c r="J60" s="77">
        <v>79</v>
      </c>
      <c r="K60" s="23" t="s">
        <v>1017</v>
      </c>
      <c r="L60" s="23" t="s">
        <v>1017</v>
      </c>
      <c r="M60" s="23">
        <v>1</v>
      </c>
      <c r="N60" s="23">
        <v>1</v>
      </c>
      <c r="O60" s="64">
        <v>98408</v>
      </c>
      <c r="P60" s="64">
        <v>21087</v>
      </c>
      <c r="Q60" s="64">
        <v>6972378.1681486527</v>
      </c>
      <c r="R60" s="64"/>
      <c r="S60" s="64">
        <v>7029310</v>
      </c>
      <c r="T60" s="64">
        <v>98409</v>
      </c>
      <c r="U60" s="64">
        <v>21097</v>
      </c>
      <c r="V60" s="64" t="s">
        <v>2109</v>
      </c>
      <c r="W60" s="64" t="s">
        <v>2109</v>
      </c>
      <c r="X60" s="64" t="s">
        <v>2109</v>
      </c>
      <c r="Y60" s="64" t="s">
        <v>2109</v>
      </c>
      <c r="Z60" s="64" t="s">
        <v>2109</v>
      </c>
    </row>
    <row r="61" spans="1:26" ht="15" customHeight="1">
      <c r="A61" s="23">
        <v>59</v>
      </c>
      <c r="B61" s="23">
        <v>222</v>
      </c>
      <c r="C61" t="str">
        <f t="shared" si="2"/>
        <v>プラウD目白301号</v>
      </c>
      <c r="D61" s="23">
        <v>661</v>
      </c>
      <c r="E61" s="23" t="str">
        <f t="shared" si="3"/>
        <v>土地</v>
      </c>
      <c r="F61" s="23" t="s">
        <v>2110</v>
      </c>
      <c r="H61" s="23" t="s">
        <v>881</v>
      </c>
      <c r="I61" s="77">
        <v>62.47</v>
      </c>
      <c r="J61" s="77">
        <v>2237.1999999999998</v>
      </c>
      <c r="K61" s="23" t="s">
        <v>1017</v>
      </c>
      <c r="L61" s="23" t="s">
        <v>1017</v>
      </c>
      <c r="M61" s="23">
        <v>9055</v>
      </c>
      <c r="N61" s="23">
        <v>324677</v>
      </c>
      <c r="O61" s="64">
        <v>47872</v>
      </c>
      <c r="P61" s="64">
        <v>10257</v>
      </c>
      <c r="Q61" s="64">
        <v>22311426.347878046</v>
      </c>
      <c r="R61" s="64"/>
      <c r="S61" s="64">
        <v>3231285</v>
      </c>
      <c r="T61" s="64">
        <v>6463590</v>
      </c>
      <c r="U61" s="64">
        <v>19387871.554621998</v>
      </c>
      <c r="V61" s="64" t="s">
        <v>2109</v>
      </c>
      <c r="W61" s="64" t="s">
        <v>2109</v>
      </c>
      <c r="X61" s="64" t="s">
        <v>2109</v>
      </c>
      <c r="Y61" s="64" t="s">
        <v>2109</v>
      </c>
      <c r="Z61" s="64" t="s">
        <v>2109</v>
      </c>
    </row>
    <row r="62" spans="1:26">
      <c r="A62" s="23">
        <v>60</v>
      </c>
      <c r="B62" s="23">
        <v>121</v>
      </c>
      <c r="C62" t="str">
        <f t="shared" si="2"/>
        <v>目白アパート1号館</v>
      </c>
      <c r="D62" s="23">
        <v>664</v>
      </c>
      <c r="E62" s="23" t="str">
        <f t="shared" ref="E62:E65" si="4">VLOOKUP(D62,id_settings,2,FALSE)</f>
        <v>建物</v>
      </c>
      <c r="F62" s="23" t="s">
        <v>2111</v>
      </c>
      <c r="H62" s="23" t="s">
        <v>881</v>
      </c>
      <c r="I62" s="77">
        <v>79</v>
      </c>
      <c r="J62" s="77">
        <v>79</v>
      </c>
      <c r="K62" s="23">
        <v>1</v>
      </c>
      <c r="L62" s="23">
        <v>1</v>
      </c>
      <c r="M62" s="23" t="s">
        <v>1017</v>
      </c>
      <c r="N62" s="23" t="s">
        <v>1017</v>
      </c>
      <c r="O62" s="64">
        <v>167336</v>
      </c>
      <c r="P62" s="64">
        <v>35857</v>
      </c>
      <c r="Q62" s="64">
        <v>79056190</v>
      </c>
      <c r="S62" s="64">
        <v>167336</v>
      </c>
      <c r="T62" s="64">
        <v>35857</v>
      </c>
      <c r="U62" s="64">
        <v>79056190</v>
      </c>
      <c r="V62" s="64" t="s">
        <v>2109</v>
      </c>
      <c r="W62" s="64" t="s">
        <v>2109</v>
      </c>
      <c r="X62" s="64" t="s">
        <v>2109</v>
      </c>
      <c r="Y62" s="64" t="s">
        <v>2109</v>
      </c>
      <c r="Z62" s="64" t="s">
        <v>2109</v>
      </c>
    </row>
    <row r="63" spans="1:26">
      <c r="A63" s="23">
        <v>61</v>
      </c>
      <c r="B63" s="23">
        <v>121</v>
      </c>
      <c r="C63" t="str">
        <f t="shared" si="2"/>
        <v>目白アパート1号館</v>
      </c>
      <c r="D63" s="23">
        <v>661</v>
      </c>
      <c r="E63" s="23" t="str">
        <f t="shared" si="4"/>
        <v>土地</v>
      </c>
      <c r="F63" s="23" t="s">
        <v>2112</v>
      </c>
      <c r="H63" s="23" t="s">
        <v>881</v>
      </c>
      <c r="I63" s="77">
        <v>79</v>
      </c>
      <c r="J63" s="77">
        <v>79</v>
      </c>
      <c r="K63" s="23">
        <v>1</v>
      </c>
      <c r="L63" s="23">
        <v>1</v>
      </c>
      <c r="M63" s="23" t="s">
        <v>1017</v>
      </c>
      <c r="N63" s="23" t="s">
        <v>1017</v>
      </c>
      <c r="O63" s="64">
        <v>264752</v>
      </c>
      <c r="P63" s="64">
        <v>56732</v>
      </c>
      <c r="Q63" s="64">
        <v>18910900</v>
      </c>
      <c r="S63" s="64">
        <v>264752</v>
      </c>
      <c r="T63" s="64">
        <v>56732</v>
      </c>
      <c r="U63" s="64">
        <v>18910900</v>
      </c>
      <c r="V63" s="64" t="s">
        <v>2109</v>
      </c>
      <c r="W63" s="64" t="s">
        <v>2109</v>
      </c>
      <c r="X63" s="64" t="s">
        <v>2109</v>
      </c>
      <c r="Y63" s="64" t="s">
        <v>2109</v>
      </c>
      <c r="Z63" s="64" t="s">
        <v>2109</v>
      </c>
    </row>
    <row r="64" spans="1:26">
      <c r="A64" s="23">
        <v>62</v>
      </c>
      <c r="B64" s="23">
        <v>122</v>
      </c>
      <c r="C64" t="str">
        <f t="shared" si="2"/>
        <v>目白アパート2号館</v>
      </c>
      <c r="D64" s="23">
        <v>664</v>
      </c>
      <c r="E64" s="23" t="str">
        <f t="shared" si="4"/>
        <v>建物</v>
      </c>
      <c r="F64" s="23" t="s">
        <v>2113</v>
      </c>
      <c r="H64" s="23" t="s">
        <v>881</v>
      </c>
      <c r="I64" s="77">
        <v>79</v>
      </c>
      <c r="J64" s="77">
        <v>79</v>
      </c>
      <c r="K64" s="23">
        <v>1</v>
      </c>
      <c r="L64" s="23">
        <v>1</v>
      </c>
      <c r="M64" s="23" t="s">
        <v>1017</v>
      </c>
      <c r="N64" s="23" t="s">
        <v>1017</v>
      </c>
      <c r="O64" s="64">
        <v>167336</v>
      </c>
      <c r="P64" s="64">
        <v>35857</v>
      </c>
      <c r="Q64" s="64">
        <v>79056190</v>
      </c>
      <c r="S64" s="64">
        <v>167336</v>
      </c>
      <c r="T64" s="64">
        <v>35857</v>
      </c>
      <c r="U64" s="64">
        <v>79056190</v>
      </c>
      <c r="V64" s="64" t="s">
        <v>2109</v>
      </c>
      <c r="W64" s="64" t="s">
        <v>2109</v>
      </c>
      <c r="X64" s="64" t="s">
        <v>2109</v>
      </c>
      <c r="Y64" s="64" t="s">
        <v>2109</v>
      </c>
      <c r="Z64" s="64" t="s">
        <v>2109</v>
      </c>
    </row>
    <row r="65" spans="1:26">
      <c r="A65" s="23">
        <v>63</v>
      </c>
      <c r="B65" s="23">
        <v>122</v>
      </c>
      <c r="C65" t="str">
        <f t="shared" si="2"/>
        <v>目白アパート2号館</v>
      </c>
      <c r="D65" s="23">
        <v>661</v>
      </c>
      <c r="E65" s="23" t="str">
        <f t="shared" si="4"/>
        <v>土地</v>
      </c>
      <c r="F65" s="23" t="s">
        <v>2114</v>
      </c>
      <c r="H65" s="23" t="s">
        <v>881</v>
      </c>
      <c r="I65" s="77">
        <v>79</v>
      </c>
      <c r="J65" s="77">
        <v>79</v>
      </c>
      <c r="K65" s="23">
        <v>1</v>
      </c>
      <c r="L65" s="23">
        <v>1</v>
      </c>
      <c r="M65" s="23" t="s">
        <v>1017</v>
      </c>
      <c r="N65" s="23" t="s">
        <v>1017</v>
      </c>
      <c r="O65" s="64">
        <v>264752</v>
      </c>
      <c r="P65" s="64">
        <v>56732</v>
      </c>
      <c r="Q65" s="64">
        <v>18910900</v>
      </c>
      <c r="S65" s="64">
        <v>264752</v>
      </c>
      <c r="T65" s="64">
        <v>56732</v>
      </c>
      <c r="U65" s="64">
        <v>18910900</v>
      </c>
      <c r="V65" s="64" t="s">
        <v>2109</v>
      </c>
      <c r="W65" s="64" t="s">
        <v>2109</v>
      </c>
      <c r="X65" s="64" t="s">
        <v>2109</v>
      </c>
      <c r="Y65" s="64" t="s">
        <v>2109</v>
      </c>
      <c r="Z65" s="64" t="s">
        <v>2109</v>
      </c>
    </row>
  </sheetData>
  <phoneticPr fontId="5"/>
  <pageMargins left="0.23622047244094491" right="0.23622047244094491" top="0.74803149606299213" bottom="0.74803149606299213" header="0.31496062992125984" footer="0.31496062992125984"/>
  <pageSetup paperSize="8" fitToHeight="0" orientation="landscape" horizontalDpi="1200" verticalDpi="1200" r:id="rId1"/>
  <headerFooter>
    <oddHeader>&amp;A</oddHeader>
    <oddFooter>&amp;P / &amp;N ページ</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E4462-DAFE-43F2-8382-24B02771EAC7}">
  <sheetPr>
    <pageSetUpPr fitToPage="1"/>
  </sheetPr>
  <dimension ref="A1:M211"/>
  <sheetViews>
    <sheetView view="pageBreakPreview" zoomScaleNormal="100" zoomScaleSheetLayoutView="100" workbookViewId="0"/>
  </sheetViews>
  <sheetFormatPr defaultRowHeight="13.5"/>
  <cols>
    <col min="1" max="1" width="20.25" customWidth="1"/>
    <col min="2" max="13" width="16.75" customWidth="1"/>
  </cols>
  <sheetData>
    <row r="1" spans="1:13" ht="24">
      <c r="A1" s="90" t="s">
        <v>2115</v>
      </c>
      <c r="B1" s="91"/>
      <c r="C1" s="92"/>
      <c r="D1" s="92"/>
      <c r="E1" s="114" t="s">
        <v>2116</v>
      </c>
      <c r="F1" t="s">
        <v>2117</v>
      </c>
    </row>
    <row r="2" spans="1:13">
      <c r="A2" s="94" t="s">
        <v>2118</v>
      </c>
      <c r="B2" s="94"/>
      <c r="C2" s="94"/>
      <c r="D2" s="94" t="s">
        <v>2119</v>
      </c>
      <c r="E2" s="94"/>
      <c r="F2" s="94"/>
      <c r="G2" s="94"/>
      <c r="H2" s="94"/>
      <c r="I2" s="94"/>
      <c r="J2" s="94"/>
      <c r="K2" s="94"/>
      <c r="L2" s="94"/>
      <c r="M2" s="94"/>
    </row>
    <row r="3" spans="1:13" ht="22.5">
      <c r="A3" s="95" t="s">
        <v>2120</v>
      </c>
      <c r="B3" s="95" t="s">
        <v>2121</v>
      </c>
      <c r="C3" s="95" t="s">
        <v>2122</v>
      </c>
      <c r="D3" s="96" t="s">
        <v>2123</v>
      </c>
      <c r="E3" s="96" t="s">
        <v>2124</v>
      </c>
      <c r="F3" s="96" t="s">
        <v>2125</v>
      </c>
      <c r="G3" s="96" t="s">
        <v>2126</v>
      </c>
      <c r="H3" s="96" t="s">
        <v>2127</v>
      </c>
      <c r="I3" s="96" t="s">
        <v>2128</v>
      </c>
      <c r="J3" s="96" t="s">
        <v>2129</v>
      </c>
      <c r="K3" s="96" t="s">
        <v>2130</v>
      </c>
      <c r="L3" s="96" t="s">
        <v>2131</v>
      </c>
      <c r="M3" s="96" t="s">
        <v>2132</v>
      </c>
    </row>
    <row r="4" spans="1:13">
      <c r="A4" s="97" t="s">
        <v>2133</v>
      </c>
      <c r="B4" s="98"/>
      <c r="C4" s="98"/>
      <c r="D4" s="99"/>
      <c r="E4" s="99"/>
      <c r="F4" s="99"/>
      <c r="G4" s="99"/>
      <c r="H4" s="99"/>
      <c r="I4" s="99"/>
      <c r="J4" s="99"/>
      <c r="K4" s="99"/>
      <c r="L4" s="99"/>
      <c r="M4" s="99"/>
    </row>
    <row r="5" spans="1:13">
      <c r="A5" s="97" t="s">
        <v>2134</v>
      </c>
      <c r="B5" s="98">
        <v>551335733</v>
      </c>
      <c r="C5" s="98">
        <v>551335733</v>
      </c>
      <c r="D5" s="99">
        <v>168052626</v>
      </c>
      <c r="E5" s="99">
        <v>27347048</v>
      </c>
      <c r="F5" s="99">
        <v>21794277</v>
      </c>
      <c r="G5" s="99">
        <v>23273061</v>
      </c>
      <c r="H5" s="99">
        <v>16105913</v>
      </c>
      <c r="I5" s="99">
        <v>27345402</v>
      </c>
      <c r="J5" s="99">
        <v>22770000</v>
      </c>
      <c r="K5" s="99">
        <v>25066515</v>
      </c>
      <c r="L5" s="99">
        <v>16852746</v>
      </c>
      <c r="M5" s="99">
        <v>0</v>
      </c>
    </row>
    <row r="6" spans="1:13">
      <c r="A6" s="97" t="s">
        <v>2135</v>
      </c>
      <c r="B6" s="98">
        <v>2975659</v>
      </c>
      <c r="C6" s="98">
        <v>2975659</v>
      </c>
      <c r="D6" s="99">
        <v>1301740</v>
      </c>
      <c r="E6" s="99">
        <v>0</v>
      </c>
      <c r="F6" s="99">
        <v>0</v>
      </c>
      <c r="G6" s="99">
        <v>300376</v>
      </c>
      <c r="H6" s="99">
        <v>63350</v>
      </c>
      <c r="I6" s="99">
        <v>0</v>
      </c>
      <c r="J6" s="99">
        <v>0</v>
      </c>
      <c r="K6" s="99">
        <v>30800</v>
      </c>
      <c r="L6" s="99">
        <v>0</v>
      </c>
      <c r="M6" s="99">
        <v>0</v>
      </c>
    </row>
    <row r="7" spans="1:13">
      <c r="A7" s="97" t="s">
        <v>2136</v>
      </c>
      <c r="B7" s="98">
        <v>12047492</v>
      </c>
      <c r="C7" s="98">
        <v>12047492</v>
      </c>
      <c r="D7" s="99">
        <v>2277485</v>
      </c>
      <c r="E7" s="99">
        <v>856000</v>
      </c>
      <c r="F7" s="99">
        <v>353000</v>
      </c>
      <c r="G7" s="99">
        <v>595500</v>
      </c>
      <c r="H7" s="99">
        <v>262000</v>
      </c>
      <c r="I7" s="99">
        <v>1805092</v>
      </c>
      <c r="J7" s="99">
        <v>0</v>
      </c>
      <c r="K7" s="99">
        <v>948315</v>
      </c>
      <c r="L7" s="99">
        <v>0</v>
      </c>
      <c r="M7" s="99">
        <v>0</v>
      </c>
    </row>
    <row r="8" spans="1:13">
      <c r="A8" s="97" t="s">
        <v>2137</v>
      </c>
      <c r="B8" s="98">
        <v>5836037</v>
      </c>
      <c r="C8" s="98">
        <v>5836037</v>
      </c>
      <c r="D8" s="99">
        <v>1215008</v>
      </c>
      <c r="E8" s="99">
        <v>756113</v>
      </c>
      <c r="F8" s="99">
        <v>143000</v>
      </c>
      <c r="G8" s="99">
        <v>116292</v>
      </c>
      <c r="H8" s="99">
        <v>236940</v>
      </c>
      <c r="I8" s="99">
        <v>0</v>
      </c>
      <c r="J8" s="99">
        <v>0</v>
      </c>
      <c r="K8" s="99">
        <v>130900</v>
      </c>
      <c r="L8" s="99">
        <v>0</v>
      </c>
      <c r="M8" s="99">
        <v>0</v>
      </c>
    </row>
    <row r="9" spans="1:13">
      <c r="A9" s="97" t="s">
        <v>2138</v>
      </c>
      <c r="B9" s="98">
        <v>402125</v>
      </c>
      <c r="C9" s="98">
        <v>402125</v>
      </c>
      <c r="D9" s="99">
        <v>402125</v>
      </c>
      <c r="E9" s="99">
        <v>0</v>
      </c>
      <c r="F9" s="99">
        <v>0</v>
      </c>
      <c r="G9" s="99">
        <v>0</v>
      </c>
      <c r="H9" s="99">
        <v>0</v>
      </c>
      <c r="I9" s="99">
        <v>0</v>
      </c>
      <c r="J9" s="99">
        <v>0</v>
      </c>
      <c r="K9" s="99">
        <v>0</v>
      </c>
      <c r="L9" s="99">
        <v>0</v>
      </c>
      <c r="M9" s="99">
        <v>0</v>
      </c>
    </row>
    <row r="10" spans="1:13">
      <c r="A10" s="97" t="s">
        <v>2139</v>
      </c>
      <c r="B10" s="98">
        <v>197003705</v>
      </c>
      <c r="C10" s="98">
        <v>197003705</v>
      </c>
      <c r="D10" s="99">
        <v>133661579</v>
      </c>
      <c r="E10" s="99">
        <v>0</v>
      </c>
      <c r="F10" s="99">
        <v>0</v>
      </c>
      <c r="G10" s="99">
        <v>0</v>
      </c>
      <c r="H10" s="99">
        <v>0</v>
      </c>
      <c r="I10" s="99">
        <v>0</v>
      </c>
      <c r="J10" s="99">
        <v>0</v>
      </c>
      <c r="K10" s="99">
        <v>0</v>
      </c>
      <c r="L10" s="99">
        <v>0</v>
      </c>
      <c r="M10" s="99">
        <v>0</v>
      </c>
    </row>
    <row r="11" spans="1:13">
      <c r="A11" s="97" t="s">
        <v>2140</v>
      </c>
      <c r="B11" s="98">
        <v>0</v>
      </c>
      <c r="C11" s="98">
        <v>0</v>
      </c>
      <c r="D11" s="99">
        <v>0</v>
      </c>
      <c r="E11" s="99">
        <v>0</v>
      </c>
      <c r="F11" s="99">
        <v>0</v>
      </c>
      <c r="G11" s="99">
        <v>0</v>
      </c>
      <c r="H11" s="99">
        <v>0</v>
      </c>
      <c r="I11" s="99">
        <v>0</v>
      </c>
      <c r="J11" s="99">
        <v>0</v>
      </c>
      <c r="K11" s="99">
        <v>0</v>
      </c>
      <c r="L11" s="99">
        <v>0</v>
      </c>
      <c r="M11" s="99">
        <v>0</v>
      </c>
    </row>
    <row r="12" spans="1:13">
      <c r="A12" s="97" t="s">
        <v>2141</v>
      </c>
      <c r="B12" s="98">
        <v>0</v>
      </c>
      <c r="C12" s="98">
        <v>27472500</v>
      </c>
      <c r="D12" s="99">
        <v>20790000</v>
      </c>
      <c r="E12" s="99">
        <v>0</v>
      </c>
      <c r="F12" s="99">
        <v>0</v>
      </c>
      <c r="G12" s="99">
        <v>0</v>
      </c>
      <c r="H12" s="99">
        <v>0</v>
      </c>
      <c r="I12" s="99">
        <v>0</v>
      </c>
      <c r="J12" s="99">
        <v>0</v>
      </c>
      <c r="K12" s="99">
        <v>0</v>
      </c>
      <c r="L12" s="99">
        <v>0</v>
      </c>
      <c r="M12" s="99">
        <v>6682500</v>
      </c>
    </row>
    <row r="13" spans="1:13">
      <c r="A13" s="97" t="s">
        <v>2142</v>
      </c>
      <c r="B13" s="98">
        <v>769600751</v>
      </c>
      <c r="C13" s="98">
        <v>797073251</v>
      </c>
      <c r="D13" s="99">
        <v>327700563</v>
      </c>
      <c r="E13" s="99">
        <v>28959161</v>
      </c>
      <c r="F13" s="99">
        <v>22290277</v>
      </c>
      <c r="G13" s="99">
        <v>24285229</v>
      </c>
      <c r="H13" s="99">
        <v>16668203</v>
      </c>
      <c r="I13" s="99">
        <v>29150494</v>
      </c>
      <c r="J13" s="99">
        <v>22770000</v>
      </c>
      <c r="K13" s="99">
        <v>26176530</v>
      </c>
      <c r="L13" s="99">
        <v>16852746</v>
      </c>
      <c r="M13" s="99">
        <v>6682500</v>
      </c>
    </row>
    <row r="14" spans="1:13">
      <c r="A14" s="97" t="s">
        <v>2143</v>
      </c>
      <c r="B14" s="98"/>
      <c r="C14" s="98"/>
      <c r="D14" s="99"/>
      <c r="E14" s="99"/>
      <c r="F14" s="99"/>
      <c r="G14" s="99"/>
      <c r="H14" s="99"/>
      <c r="I14" s="99"/>
      <c r="J14" s="99"/>
      <c r="K14" s="99"/>
      <c r="L14" s="99"/>
      <c r="M14" s="99"/>
    </row>
    <row r="15" spans="1:13">
      <c r="A15" s="97" t="s">
        <v>2144</v>
      </c>
      <c r="B15" s="98">
        <v>0</v>
      </c>
      <c r="C15" s="98">
        <v>0</v>
      </c>
      <c r="D15" s="99">
        <v>0</v>
      </c>
      <c r="E15" s="99">
        <v>0</v>
      </c>
      <c r="F15" s="99">
        <v>0</v>
      </c>
      <c r="G15" s="99">
        <v>0</v>
      </c>
      <c r="H15" s="99">
        <v>0</v>
      </c>
      <c r="I15" s="99">
        <v>0</v>
      </c>
      <c r="J15" s="99">
        <v>0</v>
      </c>
      <c r="K15" s="99">
        <v>0</v>
      </c>
      <c r="L15" s="99">
        <v>0</v>
      </c>
      <c r="M15" s="99">
        <v>0</v>
      </c>
    </row>
    <row r="16" spans="1:13">
      <c r="A16" s="97" t="s">
        <v>2145</v>
      </c>
      <c r="B16" s="98">
        <v>0</v>
      </c>
      <c r="C16" s="98">
        <v>0</v>
      </c>
      <c r="D16" s="99">
        <v>0</v>
      </c>
      <c r="E16" s="99">
        <v>0</v>
      </c>
      <c r="F16" s="99">
        <v>0</v>
      </c>
      <c r="G16" s="99">
        <v>0</v>
      </c>
      <c r="H16" s="99">
        <v>0</v>
      </c>
      <c r="I16" s="99">
        <v>0</v>
      </c>
      <c r="J16" s="99">
        <v>0</v>
      </c>
      <c r="K16" s="99">
        <v>0</v>
      </c>
      <c r="L16" s="99">
        <v>0</v>
      </c>
      <c r="M16" s="99">
        <v>0</v>
      </c>
    </row>
    <row r="17" spans="1:13">
      <c r="A17" s="97" t="s">
        <v>2146</v>
      </c>
      <c r="B17" s="98">
        <v>0</v>
      </c>
      <c r="C17" s="98">
        <v>0</v>
      </c>
      <c r="D17" s="99">
        <v>0</v>
      </c>
      <c r="E17" s="99">
        <v>0</v>
      </c>
      <c r="F17" s="99">
        <v>0</v>
      </c>
      <c r="G17" s="99">
        <v>0</v>
      </c>
      <c r="H17" s="99">
        <v>0</v>
      </c>
      <c r="I17" s="99">
        <v>0</v>
      </c>
      <c r="J17" s="99">
        <v>0</v>
      </c>
      <c r="K17" s="99">
        <v>0</v>
      </c>
      <c r="L17" s="99">
        <v>0</v>
      </c>
      <c r="M17" s="99">
        <v>0</v>
      </c>
    </row>
    <row r="18" spans="1:13">
      <c r="A18" s="97" t="s">
        <v>2147</v>
      </c>
      <c r="B18" s="98">
        <v>0</v>
      </c>
      <c r="C18" s="98">
        <v>0</v>
      </c>
      <c r="D18" s="99">
        <v>0</v>
      </c>
      <c r="E18" s="99">
        <v>0</v>
      </c>
      <c r="F18" s="99">
        <v>0</v>
      </c>
      <c r="G18" s="99">
        <v>0</v>
      </c>
      <c r="H18" s="99">
        <v>0</v>
      </c>
      <c r="I18" s="99">
        <v>0</v>
      </c>
      <c r="J18" s="99">
        <v>0</v>
      </c>
      <c r="K18" s="99">
        <v>0</v>
      </c>
      <c r="L18" s="99">
        <v>0</v>
      </c>
      <c r="M18" s="99">
        <v>0</v>
      </c>
    </row>
    <row r="19" spans="1:13">
      <c r="A19" s="97" t="s">
        <v>2148</v>
      </c>
      <c r="B19" s="98">
        <v>0</v>
      </c>
      <c r="C19" s="98">
        <v>0</v>
      </c>
      <c r="D19" s="99">
        <v>0</v>
      </c>
      <c r="E19" s="99">
        <v>0</v>
      </c>
      <c r="F19" s="99">
        <v>0</v>
      </c>
      <c r="G19" s="99">
        <v>0</v>
      </c>
      <c r="H19" s="99">
        <v>0</v>
      </c>
      <c r="I19" s="99">
        <v>0</v>
      </c>
      <c r="J19" s="99">
        <v>0</v>
      </c>
      <c r="K19" s="99">
        <v>0</v>
      </c>
      <c r="L19" s="99">
        <v>0</v>
      </c>
      <c r="M19" s="99">
        <v>0</v>
      </c>
    </row>
    <row r="20" spans="1:13">
      <c r="A20" s="97" t="s">
        <v>2149</v>
      </c>
      <c r="B20" s="98">
        <v>769600751</v>
      </c>
      <c r="C20" s="98">
        <v>797073251</v>
      </c>
      <c r="D20" s="99">
        <v>327700563</v>
      </c>
      <c r="E20" s="99">
        <v>28959161</v>
      </c>
      <c r="F20" s="99">
        <v>22290277</v>
      </c>
      <c r="G20" s="99">
        <v>24285229</v>
      </c>
      <c r="H20" s="99">
        <v>16668203</v>
      </c>
      <c r="I20" s="99">
        <v>29150494</v>
      </c>
      <c r="J20" s="99">
        <v>22770000</v>
      </c>
      <c r="K20" s="99">
        <v>26176530</v>
      </c>
      <c r="L20" s="99">
        <v>16852746</v>
      </c>
      <c r="M20" s="99">
        <v>6682500</v>
      </c>
    </row>
    <row r="21" spans="1:13">
      <c r="A21" s="97" t="s">
        <v>2150</v>
      </c>
      <c r="B21" s="98"/>
      <c r="C21" s="98"/>
      <c r="D21" s="99"/>
      <c r="E21" s="99"/>
      <c r="F21" s="99"/>
      <c r="G21" s="99"/>
      <c r="H21" s="99"/>
      <c r="I21" s="99"/>
      <c r="J21" s="99"/>
      <c r="K21" s="99"/>
      <c r="L21" s="99"/>
      <c r="M21" s="99"/>
    </row>
    <row r="22" spans="1:13">
      <c r="A22" s="97" t="s">
        <v>2151</v>
      </c>
      <c r="B22" s="98">
        <v>8962200</v>
      </c>
      <c r="C22" s="98">
        <v>8962200</v>
      </c>
      <c r="D22" s="99">
        <v>8962200</v>
      </c>
      <c r="E22" s="99">
        <v>0</v>
      </c>
      <c r="F22" s="99">
        <v>0</v>
      </c>
      <c r="G22" s="99">
        <v>0</v>
      </c>
      <c r="H22" s="99">
        <v>0</v>
      </c>
      <c r="I22" s="99">
        <v>0</v>
      </c>
      <c r="J22" s="99">
        <v>0</v>
      </c>
      <c r="K22" s="99">
        <v>0</v>
      </c>
      <c r="L22" s="99">
        <v>0</v>
      </c>
      <c r="M22" s="99">
        <v>0</v>
      </c>
    </row>
    <row r="23" spans="1:13">
      <c r="A23" s="97" t="s">
        <v>2152</v>
      </c>
      <c r="B23" s="98">
        <v>1670500</v>
      </c>
      <c r="C23" s="98">
        <v>1670500</v>
      </c>
      <c r="D23" s="99">
        <v>1670500</v>
      </c>
      <c r="E23" s="99">
        <v>0</v>
      </c>
      <c r="F23" s="99">
        <v>0</v>
      </c>
      <c r="G23" s="99">
        <v>0</v>
      </c>
      <c r="H23" s="99">
        <v>0</v>
      </c>
      <c r="I23" s="99">
        <v>0</v>
      </c>
      <c r="J23" s="99">
        <v>0</v>
      </c>
      <c r="K23" s="99">
        <v>0</v>
      </c>
      <c r="L23" s="99">
        <v>0</v>
      </c>
      <c r="M23" s="99">
        <v>0</v>
      </c>
    </row>
    <row r="24" spans="1:13">
      <c r="A24" s="97" t="s">
        <v>2153</v>
      </c>
      <c r="B24" s="98">
        <v>1165885</v>
      </c>
      <c r="C24" s="98">
        <v>1165885</v>
      </c>
      <c r="D24" s="99">
        <v>1165885</v>
      </c>
      <c r="E24" s="99">
        <v>0</v>
      </c>
      <c r="F24" s="99">
        <v>0</v>
      </c>
      <c r="G24" s="99">
        <v>0</v>
      </c>
      <c r="H24" s="99">
        <v>0</v>
      </c>
      <c r="I24" s="99">
        <v>0</v>
      </c>
      <c r="J24" s="99">
        <v>0</v>
      </c>
      <c r="K24" s="99">
        <v>0</v>
      </c>
      <c r="L24" s="99">
        <v>0</v>
      </c>
      <c r="M24" s="99">
        <v>0</v>
      </c>
    </row>
    <row r="25" spans="1:13">
      <c r="A25" s="97" t="s">
        <v>2154</v>
      </c>
      <c r="B25" s="98">
        <v>379010</v>
      </c>
      <c r="C25" s="98">
        <v>379010</v>
      </c>
      <c r="D25" s="99">
        <v>379010</v>
      </c>
      <c r="E25" s="99">
        <v>0</v>
      </c>
      <c r="F25" s="99">
        <v>0</v>
      </c>
      <c r="G25" s="99">
        <v>0</v>
      </c>
      <c r="H25" s="99">
        <v>0</v>
      </c>
      <c r="I25" s="99">
        <v>0</v>
      </c>
      <c r="J25" s="99">
        <v>0</v>
      </c>
      <c r="K25" s="99">
        <v>0</v>
      </c>
      <c r="L25" s="99">
        <v>0</v>
      </c>
      <c r="M25" s="99">
        <v>0</v>
      </c>
    </row>
    <row r="26" spans="1:13">
      <c r="A26" s="97" t="s">
        <v>2155</v>
      </c>
      <c r="B26" s="98">
        <v>26683083</v>
      </c>
      <c r="C26" s="98">
        <v>26683083</v>
      </c>
      <c r="D26" s="99">
        <v>8251043</v>
      </c>
      <c r="E26" s="99">
        <v>1305543</v>
      </c>
      <c r="F26" s="99">
        <v>1040454</v>
      </c>
      <c r="G26" s="99">
        <v>1109534</v>
      </c>
      <c r="H26" s="99">
        <v>771917</v>
      </c>
      <c r="I26" s="99">
        <v>1305467</v>
      </c>
      <c r="J26" s="99">
        <v>1087038</v>
      </c>
      <c r="K26" s="99">
        <v>1154904</v>
      </c>
      <c r="L26" s="99">
        <v>804549</v>
      </c>
      <c r="M26" s="99">
        <v>0</v>
      </c>
    </row>
    <row r="27" spans="1:13">
      <c r="A27" s="97" t="s">
        <v>2156</v>
      </c>
      <c r="B27" s="98">
        <v>24766976</v>
      </c>
      <c r="C27" s="98">
        <v>24766976</v>
      </c>
      <c r="D27" s="99">
        <v>9796586</v>
      </c>
      <c r="E27" s="99">
        <v>1354650</v>
      </c>
      <c r="F27" s="99">
        <v>652410</v>
      </c>
      <c r="G27" s="99">
        <v>900020</v>
      </c>
      <c r="H27" s="99">
        <v>409807</v>
      </c>
      <c r="I27" s="99">
        <v>1092960</v>
      </c>
      <c r="J27" s="99">
        <v>494568</v>
      </c>
      <c r="K27" s="99">
        <v>599940</v>
      </c>
      <c r="L27" s="99">
        <v>667480</v>
      </c>
      <c r="M27" s="99">
        <v>0</v>
      </c>
    </row>
    <row r="28" spans="1:13">
      <c r="A28" s="97" t="s">
        <v>2157</v>
      </c>
      <c r="B28" s="98">
        <v>10670814</v>
      </c>
      <c r="C28" s="98">
        <v>10670814</v>
      </c>
      <c r="D28" s="99">
        <v>3736213</v>
      </c>
      <c r="E28" s="99">
        <v>408885</v>
      </c>
      <c r="F28" s="99">
        <v>159558</v>
      </c>
      <c r="G28" s="99">
        <v>347423</v>
      </c>
      <c r="H28" s="99">
        <v>386058</v>
      </c>
      <c r="I28" s="99">
        <v>344593</v>
      </c>
      <c r="J28" s="99">
        <v>0</v>
      </c>
      <c r="K28" s="99">
        <v>371867</v>
      </c>
      <c r="L28" s="99">
        <v>310641</v>
      </c>
      <c r="M28" s="99">
        <v>0</v>
      </c>
    </row>
    <row r="29" spans="1:13">
      <c r="A29" s="97" t="s">
        <v>2158</v>
      </c>
      <c r="B29" s="98">
        <v>4168450</v>
      </c>
      <c r="C29" s="98">
        <v>4168450</v>
      </c>
      <c r="D29" s="99">
        <v>940750</v>
      </c>
      <c r="E29" s="99">
        <v>396000</v>
      </c>
      <c r="F29" s="99">
        <v>231000</v>
      </c>
      <c r="G29" s="99">
        <v>213000</v>
      </c>
      <c r="H29" s="99">
        <v>243500</v>
      </c>
      <c r="I29" s="99">
        <v>0</v>
      </c>
      <c r="J29" s="99">
        <v>0</v>
      </c>
      <c r="K29" s="99">
        <v>60750</v>
      </c>
      <c r="L29" s="99">
        <v>0</v>
      </c>
      <c r="M29" s="99">
        <v>0</v>
      </c>
    </row>
    <row r="30" spans="1:13">
      <c r="A30" s="97" t="s">
        <v>2159</v>
      </c>
      <c r="B30" s="98">
        <v>0</v>
      </c>
      <c r="C30" s="98">
        <v>0</v>
      </c>
      <c r="D30" s="99">
        <v>0</v>
      </c>
      <c r="E30" s="99">
        <v>0</v>
      </c>
      <c r="F30" s="99">
        <v>0</v>
      </c>
      <c r="G30" s="99">
        <v>0</v>
      </c>
      <c r="H30" s="99">
        <v>0</v>
      </c>
      <c r="I30" s="99">
        <v>0</v>
      </c>
      <c r="J30" s="99">
        <v>0</v>
      </c>
      <c r="K30" s="99">
        <v>0</v>
      </c>
      <c r="L30" s="99">
        <v>0</v>
      </c>
      <c r="M30" s="99">
        <v>0</v>
      </c>
    </row>
    <row r="31" spans="1:13">
      <c r="A31" s="97" t="s">
        <v>2160</v>
      </c>
      <c r="B31" s="98">
        <v>69224744</v>
      </c>
      <c r="C31" s="98">
        <v>69224744</v>
      </c>
      <c r="D31" s="99">
        <v>30365994</v>
      </c>
      <c r="E31" s="99">
        <v>3575814</v>
      </c>
      <c r="F31" s="99">
        <v>3040531</v>
      </c>
      <c r="G31" s="99">
        <v>5113818</v>
      </c>
      <c r="H31" s="99">
        <v>1945446</v>
      </c>
      <c r="I31" s="99">
        <v>1436110</v>
      </c>
      <c r="J31" s="99">
        <v>199320</v>
      </c>
      <c r="K31" s="99">
        <v>4015404</v>
      </c>
      <c r="L31" s="99">
        <v>17600</v>
      </c>
      <c r="M31" s="99">
        <v>0</v>
      </c>
    </row>
    <row r="32" spans="1:13">
      <c r="A32" s="97" t="s">
        <v>2161</v>
      </c>
      <c r="B32" s="98">
        <v>20877246</v>
      </c>
      <c r="C32" s="98">
        <v>20877246</v>
      </c>
      <c r="D32" s="99">
        <v>14366122</v>
      </c>
      <c r="E32" s="99">
        <v>0</v>
      </c>
      <c r="F32" s="99">
        <v>0</v>
      </c>
      <c r="G32" s="99">
        <v>11000</v>
      </c>
      <c r="H32" s="99">
        <v>0</v>
      </c>
      <c r="I32" s="99">
        <v>0</v>
      </c>
      <c r="J32" s="99">
        <v>0</v>
      </c>
      <c r="K32" s="99">
        <v>3520</v>
      </c>
      <c r="L32" s="99">
        <v>0</v>
      </c>
      <c r="M32" s="99">
        <v>0</v>
      </c>
    </row>
    <row r="33" spans="1:13">
      <c r="A33" s="97" t="s">
        <v>2162</v>
      </c>
      <c r="B33" s="98">
        <v>10710601</v>
      </c>
      <c r="C33" s="98">
        <v>10710601</v>
      </c>
      <c r="D33" s="99">
        <v>10710601</v>
      </c>
      <c r="E33" s="99">
        <v>0</v>
      </c>
      <c r="F33" s="99">
        <v>0</v>
      </c>
      <c r="G33" s="99">
        <v>0</v>
      </c>
      <c r="H33" s="99">
        <v>0</v>
      </c>
      <c r="I33" s="99">
        <v>0</v>
      </c>
      <c r="J33" s="99">
        <v>0</v>
      </c>
      <c r="K33" s="99">
        <v>0</v>
      </c>
      <c r="L33" s="99">
        <v>0</v>
      </c>
      <c r="M33" s="99">
        <v>0</v>
      </c>
    </row>
    <row r="34" spans="1:13">
      <c r="A34" s="97" t="s">
        <v>2163</v>
      </c>
      <c r="B34" s="98">
        <v>0</v>
      </c>
      <c r="C34" s="98">
        <v>27472500</v>
      </c>
      <c r="D34" s="99">
        <v>445500</v>
      </c>
      <c r="E34" s="99">
        <v>1930500</v>
      </c>
      <c r="F34" s="99">
        <v>1930500</v>
      </c>
      <c r="G34" s="99">
        <v>1930500</v>
      </c>
      <c r="H34" s="99">
        <v>1930500</v>
      </c>
      <c r="I34" s="99">
        <v>1930500</v>
      </c>
      <c r="J34" s="99">
        <v>1930500</v>
      </c>
      <c r="K34" s="99">
        <v>1930500</v>
      </c>
      <c r="L34" s="99">
        <v>1930500</v>
      </c>
      <c r="M34" s="99">
        <v>0</v>
      </c>
    </row>
    <row r="35" spans="1:13">
      <c r="A35" s="97" t="s">
        <v>2164</v>
      </c>
      <c r="B35" s="98">
        <v>1051925</v>
      </c>
      <c r="C35" s="98">
        <v>1051925</v>
      </c>
      <c r="D35" s="99">
        <v>1051925</v>
      </c>
      <c r="E35" s="99">
        <v>0</v>
      </c>
      <c r="F35" s="99">
        <v>0</v>
      </c>
      <c r="G35" s="99">
        <v>0</v>
      </c>
      <c r="H35" s="99">
        <v>0</v>
      </c>
      <c r="I35" s="99">
        <v>0</v>
      </c>
      <c r="J35" s="99">
        <v>0</v>
      </c>
      <c r="K35" s="99">
        <v>0</v>
      </c>
      <c r="L35" s="99">
        <v>0</v>
      </c>
      <c r="M35" s="99">
        <v>0</v>
      </c>
    </row>
    <row r="36" spans="1:13">
      <c r="A36" s="97" t="s">
        <v>2165</v>
      </c>
      <c r="B36" s="98">
        <v>3114160</v>
      </c>
      <c r="C36" s="98">
        <v>3114160</v>
      </c>
      <c r="D36" s="99">
        <v>3114160</v>
      </c>
      <c r="E36" s="99">
        <v>0</v>
      </c>
      <c r="F36" s="99">
        <v>0</v>
      </c>
      <c r="G36" s="99">
        <v>0</v>
      </c>
      <c r="H36" s="99">
        <v>0</v>
      </c>
      <c r="I36" s="99">
        <v>0</v>
      </c>
      <c r="J36" s="99">
        <v>0</v>
      </c>
      <c r="K36" s="99">
        <v>0</v>
      </c>
      <c r="L36" s="99">
        <v>0</v>
      </c>
      <c r="M36" s="99">
        <v>0</v>
      </c>
    </row>
    <row r="37" spans="1:13">
      <c r="A37" s="97" t="s">
        <v>2166</v>
      </c>
      <c r="B37" s="98">
        <v>933700</v>
      </c>
      <c r="C37" s="98">
        <v>933700</v>
      </c>
      <c r="D37" s="99">
        <v>933700</v>
      </c>
      <c r="E37" s="99">
        <v>0</v>
      </c>
      <c r="F37" s="99">
        <v>0</v>
      </c>
      <c r="G37" s="99">
        <v>0</v>
      </c>
      <c r="H37" s="99">
        <v>0</v>
      </c>
      <c r="I37" s="99">
        <v>0</v>
      </c>
      <c r="J37" s="99">
        <v>0</v>
      </c>
      <c r="K37" s="99">
        <v>0</v>
      </c>
      <c r="L37" s="99">
        <v>0</v>
      </c>
      <c r="M37" s="99">
        <v>0</v>
      </c>
    </row>
    <row r="38" spans="1:13">
      <c r="A38" s="97" t="s">
        <v>2167</v>
      </c>
      <c r="B38" s="98">
        <v>2929616</v>
      </c>
      <c r="C38" s="98">
        <v>2929616</v>
      </c>
      <c r="D38" s="99">
        <v>2924616</v>
      </c>
      <c r="E38" s="99">
        <v>0</v>
      </c>
      <c r="F38" s="99">
        <v>0</v>
      </c>
      <c r="G38" s="99">
        <v>0</v>
      </c>
      <c r="H38" s="99">
        <v>0</v>
      </c>
      <c r="I38" s="99">
        <v>0</v>
      </c>
      <c r="J38" s="99">
        <v>0</v>
      </c>
      <c r="K38" s="99">
        <v>0</v>
      </c>
      <c r="L38" s="99">
        <v>0</v>
      </c>
      <c r="M38" s="99">
        <v>0</v>
      </c>
    </row>
    <row r="39" spans="1:13">
      <c r="A39" s="97" t="s">
        <v>2168</v>
      </c>
      <c r="B39" s="98">
        <v>797832</v>
      </c>
      <c r="C39" s="98">
        <v>797832</v>
      </c>
      <c r="D39" s="99">
        <v>797832</v>
      </c>
      <c r="E39" s="99">
        <v>0</v>
      </c>
      <c r="F39" s="99">
        <v>0</v>
      </c>
      <c r="G39" s="99">
        <v>0</v>
      </c>
      <c r="H39" s="99">
        <v>0</v>
      </c>
      <c r="I39" s="99">
        <v>0</v>
      </c>
      <c r="J39" s="99">
        <v>0</v>
      </c>
      <c r="K39" s="99">
        <v>0</v>
      </c>
      <c r="L39" s="99">
        <v>0</v>
      </c>
      <c r="M39" s="99">
        <v>0</v>
      </c>
    </row>
    <row r="40" spans="1:13">
      <c r="A40" s="97" t="s">
        <v>2169</v>
      </c>
      <c r="B40" s="98">
        <v>9252559</v>
      </c>
      <c r="C40" s="98">
        <v>9252559</v>
      </c>
      <c r="D40" s="99">
        <v>9252559</v>
      </c>
      <c r="E40" s="99">
        <v>0</v>
      </c>
      <c r="F40" s="99">
        <v>0</v>
      </c>
      <c r="G40" s="99">
        <v>0</v>
      </c>
      <c r="H40" s="99">
        <v>0</v>
      </c>
      <c r="I40" s="99">
        <v>0</v>
      </c>
      <c r="J40" s="99">
        <v>0</v>
      </c>
      <c r="K40" s="99">
        <v>0</v>
      </c>
      <c r="L40" s="99">
        <v>0</v>
      </c>
      <c r="M40" s="99">
        <v>0</v>
      </c>
    </row>
    <row r="41" spans="1:13">
      <c r="A41" s="97" t="s">
        <v>2170</v>
      </c>
      <c r="B41" s="98">
        <v>0</v>
      </c>
      <c r="C41" s="98">
        <v>0</v>
      </c>
      <c r="D41" s="99">
        <v>0</v>
      </c>
      <c r="E41" s="99">
        <v>0</v>
      </c>
      <c r="F41" s="99">
        <v>0</v>
      </c>
      <c r="G41" s="99">
        <v>0</v>
      </c>
      <c r="H41" s="99">
        <v>0</v>
      </c>
      <c r="I41" s="99">
        <v>0</v>
      </c>
      <c r="J41" s="99">
        <v>0</v>
      </c>
      <c r="K41" s="99">
        <v>0</v>
      </c>
      <c r="L41" s="99">
        <v>0</v>
      </c>
      <c r="M41" s="99">
        <v>0</v>
      </c>
    </row>
    <row r="42" spans="1:13">
      <c r="A42" s="97" t="s">
        <v>2171</v>
      </c>
      <c r="B42" s="98">
        <v>788524</v>
      </c>
      <c r="C42" s="98">
        <v>788524</v>
      </c>
      <c r="D42" s="99">
        <v>759866</v>
      </c>
      <c r="E42" s="99">
        <v>0</v>
      </c>
      <c r="F42" s="99">
        <v>0</v>
      </c>
      <c r="G42" s="99">
        <v>0</v>
      </c>
      <c r="H42" s="99">
        <v>0</v>
      </c>
      <c r="I42" s="99">
        <v>0</v>
      </c>
      <c r="J42" s="99">
        <v>0</v>
      </c>
      <c r="K42" s="99">
        <v>0</v>
      </c>
      <c r="L42" s="99">
        <v>0</v>
      </c>
      <c r="M42" s="99">
        <v>0</v>
      </c>
    </row>
    <row r="43" spans="1:13">
      <c r="A43" s="97" t="s">
        <v>2172</v>
      </c>
      <c r="B43" s="98">
        <v>1001505</v>
      </c>
      <c r="C43" s="98">
        <v>1001505</v>
      </c>
      <c r="D43" s="99">
        <v>698187</v>
      </c>
      <c r="E43" s="99">
        <v>6325</v>
      </c>
      <c r="F43" s="99">
        <v>11275</v>
      </c>
      <c r="G43" s="99">
        <v>27665</v>
      </c>
      <c r="H43" s="99">
        <v>17435</v>
      </c>
      <c r="I43" s="99">
        <v>6325</v>
      </c>
      <c r="J43" s="99">
        <v>16225</v>
      </c>
      <c r="K43" s="99">
        <v>46965</v>
      </c>
      <c r="L43" s="99">
        <v>6325</v>
      </c>
      <c r="M43" s="99">
        <v>9900</v>
      </c>
    </row>
    <row r="44" spans="1:13">
      <c r="A44" s="97" t="s">
        <v>2173</v>
      </c>
      <c r="B44" s="98">
        <v>2971201</v>
      </c>
      <c r="C44" s="98">
        <v>2971201</v>
      </c>
      <c r="D44" s="99">
        <v>358701</v>
      </c>
      <c r="E44" s="99">
        <v>0</v>
      </c>
      <c r="F44" s="99">
        <v>0</v>
      </c>
      <c r="G44" s="99">
        <v>1237500</v>
      </c>
      <c r="H44" s="99">
        <v>0</v>
      </c>
      <c r="I44" s="99">
        <v>0</v>
      </c>
      <c r="J44" s="99">
        <v>0</v>
      </c>
      <c r="K44" s="99">
        <v>0</v>
      </c>
      <c r="L44" s="99">
        <v>0</v>
      </c>
      <c r="M44" s="99">
        <v>0</v>
      </c>
    </row>
    <row r="45" spans="1:13">
      <c r="A45" s="97" t="s">
        <v>2174</v>
      </c>
      <c r="B45" s="98">
        <v>0</v>
      </c>
      <c r="C45" s="98">
        <v>0</v>
      </c>
      <c r="D45" s="99">
        <v>0</v>
      </c>
      <c r="E45" s="99">
        <v>0</v>
      </c>
      <c r="F45" s="99">
        <v>0</v>
      </c>
      <c r="G45" s="99">
        <v>0</v>
      </c>
      <c r="H45" s="99">
        <v>0</v>
      </c>
      <c r="I45" s="99">
        <v>0</v>
      </c>
      <c r="J45" s="99">
        <v>0</v>
      </c>
      <c r="K45" s="99">
        <v>0</v>
      </c>
      <c r="L45" s="99">
        <v>0</v>
      </c>
      <c r="M45" s="99">
        <v>0</v>
      </c>
    </row>
    <row r="46" spans="1:13">
      <c r="A46" s="97" t="s">
        <v>2175</v>
      </c>
      <c r="B46" s="98">
        <v>834650</v>
      </c>
      <c r="C46" s="98">
        <v>834650</v>
      </c>
      <c r="D46" s="99">
        <v>276090</v>
      </c>
      <c r="E46" s="99">
        <v>45780</v>
      </c>
      <c r="F46" s="99">
        <v>20610</v>
      </c>
      <c r="G46" s="99">
        <v>20710</v>
      </c>
      <c r="H46" s="99">
        <v>11830</v>
      </c>
      <c r="I46" s="99">
        <v>19430</v>
      </c>
      <c r="J46" s="99">
        <v>10340</v>
      </c>
      <c r="K46" s="99">
        <v>20660</v>
      </c>
      <c r="L46" s="99">
        <v>19920</v>
      </c>
      <c r="M46" s="99">
        <v>0</v>
      </c>
    </row>
    <row r="47" spans="1:13">
      <c r="A47" s="97" t="s">
        <v>2176</v>
      </c>
      <c r="B47" s="98">
        <v>27379300</v>
      </c>
      <c r="C47" s="98">
        <v>27379300</v>
      </c>
      <c r="D47" s="99">
        <v>7671500</v>
      </c>
      <c r="E47" s="99">
        <v>1261100</v>
      </c>
      <c r="F47" s="99">
        <v>977000</v>
      </c>
      <c r="G47" s="99">
        <v>731800</v>
      </c>
      <c r="H47" s="99">
        <v>683600</v>
      </c>
      <c r="I47" s="99">
        <v>1234600</v>
      </c>
      <c r="J47" s="99">
        <v>1075800</v>
      </c>
      <c r="K47" s="99">
        <v>832200</v>
      </c>
      <c r="L47" s="99">
        <v>558900</v>
      </c>
      <c r="M47" s="99">
        <v>0</v>
      </c>
    </row>
    <row r="48" spans="1:13">
      <c r="A48" s="97" t="s">
        <v>2177</v>
      </c>
      <c r="B48" s="98">
        <v>2492484</v>
      </c>
      <c r="C48" s="98">
        <v>2492484</v>
      </c>
      <c r="D48" s="99">
        <v>2423688</v>
      </c>
      <c r="E48" s="99">
        <v>0</v>
      </c>
      <c r="F48" s="99">
        <v>0</v>
      </c>
      <c r="G48" s="99">
        <v>23996</v>
      </c>
      <c r="H48" s="99">
        <v>10600</v>
      </c>
      <c r="I48" s="99">
        <v>0</v>
      </c>
      <c r="J48" s="99">
        <v>0</v>
      </c>
      <c r="K48" s="99">
        <v>0</v>
      </c>
      <c r="L48" s="99">
        <v>0</v>
      </c>
      <c r="M48" s="99">
        <v>10000</v>
      </c>
    </row>
    <row r="49" spans="1:13">
      <c r="A49" s="97" t="s">
        <v>2178</v>
      </c>
      <c r="B49" s="98">
        <v>142036220</v>
      </c>
      <c r="C49" s="98">
        <v>142036220</v>
      </c>
      <c r="D49" s="99">
        <v>56112914</v>
      </c>
      <c r="E49" s="99">
        <v>4817160</v>
      </c>
      <c r="F49" s="99">
        <v>3459000</v>
      </c>
      <c r="G49" s="99">
        <v>7924107</v>
      </c>
      <c r="H49" s="99">
        <v>1523313</v>
      </c>
      <c r="I49" s="99">
        <v>4507461</v>
      </c>
      <c r="J49" s="99">
        <v>3652401</v>
      </c>
      <c r="K49" s="99">
        <v>4968452</v>
      </c>
      <c r="L49" s="99">
        <v>3225096</v>
      </c>
      <c r="M49" s="99">
        <v>0</v>
      </c>
    </row>
    <row r="50" spans="1:13">
      <c r="A50" s="97" t="s">
        <v>2179</v>
      </c>
      <c r="B50" s="98">
        <v>1568336</v>
      </c>
      <c r="C50" s="98">
        <v>1568336</v>
      </c>
      <c r="D50" s="99">
        <v>1238702</v>
      </c>
      <c r="E50" s="99">
        <v>0</v>
      </c>
      <c r="F50" s="99">
        <v>0</v>
      </c>
      <c r="G50" s="99">
        <v>29529</v>
      </c>
      <c r="H50" s="99">
        <v>10332</v>
      </c>
      <c r="I50" s="99">
        <v>0</v>
      </c>
      <c r="J50" s="99">
        <v>0</v>
      </c>
      <c r="K50" s="99">
        <v>0</v>
      </c>
      <c r="L50" s="99">
        <v>0</v>
      </c>
      <c r="M50" s="99">
        <v>0</v>
      </c>
    </row>
    <row r="51" spans="1:13">
      <c r="A51" s="97" t="s">
        <v>2180</v>
      </c>
      <c r="B51" s="98">
        <v>10200837</v>
      </c>
      <c r="C51" s="98">
        <v>10200837</v>
      </c>
      <c r="D51" s="99">
        <v>10200837</v>
      </c>
      <c r="E51" s="99">
        <v>0</v>
      </c>
      <c r="F51" s="99">
        <v>0</v>
      </c>
      <c r="G51" s="99">
        <v>0</v>
      </c>
      <c r="H51" s="99">
        <v>0</v>
      </c>
      <c r="I51" s="99">
        <v>0</v>
      </c>
      <c r="J51" s="99">
        <v>0</v>
      </c>
      <c r="K51" s="99">
        <v>0</v>
      </c>
      <c r="L51" s="99">
        <v>0</v>
      </c>
      <c r="M51" s="99">
        <v>0</v>
      </c>
    </row>
    <row r="52" spans="1:13">
      <c r="A52" s="97" t="s">
        <v>2181</v>
      </c>
      <c r="B52" s="98">
        <v>0</v>
      </c>
      <c r="C52" s="98">
        <v>0</v>
      </c>
      <c r="D52" s="99">
        <v>0</v>
      </c>
      <c r="E52" s="99">
        <v>0</v>
      </c>
      <c r="F52" s="99">
        <v>0</v>
      </c>
      <c r="G52" s="99">
        <v>0</v>
      </c>
      <c r="H52" s="99">
        <v>0</v>
      </c>
      <c r="I52" s="99">
        <v>0</v>
      </c>
      <c r="J52" s="99">
        <v>0</v>
      </c>
      <c r="K52" s="99">
        <v>0</v>
      </c>
      <c r="L52" s="99">
        <v>0</v>
      </c>
      <c r="M52" s="99">
        <v>0</v>
      </c>
    </row>
    <row r="53" spans="1:13">
      <c r="A53" s="97" t="s">
        <v>2182</v>
      </c>
      <c r="B53" s="98">
        <v>565745</v>
      </c>
      <c r="C53" s="98">
        <v>565745</v>
      </c>
      <c r="D53" s="99">
        <v>565745</v>
      </c>
      <c r="E53" s="99">
        <v>0</v>
      </c>
      <c r="F53" s="99">
        <v>0</v>
      </c>
      <c r="G53" s="99">
        <v>0</v>
      </c>
      <c r="H53" s="99">
        <v>0</v>
      </c>
      <c r="I53" s="99">
        <v>0</v>
      </c>
      <c r="J53" s="99">
        <v>0</v>
      </c>
      <c r="K53" s="99">
        <v>0</v>
      </c>
      <c r="L53" s="99">
        <v>0</v>
      </c>
      <c r="M53" s="99">
        <v>0</v>
      </c>
    </row>
    <row r="54" spans="1:13">
      <c r="A54" s="97" t="s">
        <v>2183</v>
      </c>
      <c r="B54" s="98">
        <v>1987424</v>
      </c>
      <c r="C54" s="98">
        <v>1987424</v>
      </c>
      <c r="D54" s="99">
        <v>1987424</v>
      </c>
      <c r="E54" s="99">
        <v>0</v>
      </c>
      <c r="F54" s="99">
        <v>0</v>
      </c>
      <c r="G54" s="99">
        <v>0</v>
      </c>
      <c r="H54" s="99">
        <v>0</v>
      </c>
      <c r="I54" s="99">
        <v>0</v>
      </c>
      <c r="J54" s="99">
        <v>0</v>
      </c>
      <c r="K54" s="99">
        <v>0</v>
      </c>
      <c r="L54" s="99">
        <v>0</v>
      </c>
      <c r="M54" s="99">
        <v>0</v>
      </c>
    </row>
    <row r="55" spans="1:13">
      <c r="A55" s="97" t="s">
        <v>2184</v>
      </c>
      <c r="B55" s="98">
        <v>0</v>
      </c>
      <c r="C55" s="98">
        <v>0</v>
      </c>
      <c r="D55" s="99">
        <v>0</v>
      </c>
      <c r="E55" s="99">
        <v>0</v>
      </c>
      <c r="F55" s="99">
        <v>0</v>
      </c>
      <c r="G55" s="99">
        <v>0</v>
      </c>
      <c r="H55" s="99">
        <v>0</v>
      </c>
      <c r="I55" s="99">
        <v>0</v>
      </c>
      <c r="J55" s="99">
        <v>0</v>
      </c>
      <c r="K55" s="99">
        <v>0</v>
      </c>
      <c r="L55" s="99">
        <v>0</v>
      </c>
      <c r="M55" s="99">
        <v>0</v>
      </c>
    </row>
    <row r="56" spans="1:13">
      <c r="A56" s="97" t="s">
        <v>2185</v>
      </c>
      <c r="B56" s="98">
        <v>0</v>
      </c>
      <c r="C56" s="98">
        <v>0</v>
      </c>
      <c r="D56" s="99">
        <v>0</v>
      </c>
      <c r="E56" s="99">
        <v>0</v>
      </c>
      <c r="F56" s="99">
        <v>0</v>
      </c>
      <c r="G56" s="99">
        <v>0</v>
      </c>
      <c r="H56" s="99">
        <v>0</v>
      </c>
      <c r="I56" s="99">
        <v>0</v>
      </c>
      <c r="J56" s="99">
        <v>0</v>
      </c>
      <c r="K56" s="99">
        <v>0</v>
      </c>
      <c r="L56" s="99">
        <v>0</v>
      </c>
      <c r="M56" s="99">
        <v>0</v>
      </c>
    </row>
    <row r="57" spans="1:13">
      <c r="A57" s="97" t="s">
        <v>2186</v>
      </c>
      <c r="B57" s="98">
        <v>0</v>
      </c>
      <c r="C57" s="98">
        <v>0</v>
      </c>
      <c r="D57" s="99">
        <v>0</v>
      </c>
      <c r="E57" s="99">
        <v>0</v>
      </c>
      <c r="F57" s="99">
        <v>0</v>
      </c>
      <c r="G57" s="99">
        <v>0</v>
      </c>
      <c r="H57" s="99">
        <v>0</v>
      </c>
      <c r="I57" s="99">
        <v>0</v>
      </c>
      <c r="J57" s="99">
        <v>0</v>
      </c>
      <c r="K57" s="99">
        <v>0</v>
      </c>
      <c r="L57" s="99">
        <v>0</v>
      </c>
      <c r="M57" s="99">
        <v>0</v>
      </c>
    </row>
    <row r="58" spans="1:13">
      <c r="A58" s="97" t="s">
        <v>2187</v>
      </c>
      <c r="B58" s="98">
        <v>0</v>
      </c>
      <c r="C58" s="98">
        <v>0</v>
      </c>
      <c r="D58" s="99">
        <v>0</v>
      </c>
      <c r="E58" s="99">
        <v>0</v>
      </c>
      <c r="F58" s="99">
        <v>0</v>
      </c>
      <c r="G58" s="99">
        <v>0</v>
      </c>
      <c r="H58" s="99">
        <v>0</v>
      </c>
      <c r="I58" s="99">
        <v>0</v>
      </c>
      <c r="J58" s="99">
        <v>0</v>
      </c>
      <c r="K58" s="99">
        <v>0</v>
      </c>
      <c r="L58" s="99">
        <v>0</v>
      </c>
      <c r="M58" s="99">
        <v>0</v>
      </c>
    </row>
    <row r="59" spans="1:13">
      <c r="A59" s="97" t="s">
        <v>2188</v>
      </c>
      <c r="B59" s="98">
        <v>389188277</v>
      </c>
      <c r="C59" s="98">
        <v>416660777</v>
      </c>
      <c r="D59" s="99">
        <v>191158850</v>
      </c>
      <c r="E59" s="99">
        <v>15101757</v>
      </c>
      <c r="F59" s="99">
        <v>11522338</v>
      </c>
      <c r="G59" s="99">
        <v>19620602</v>
      </c>
      <c r="H59" s="99">
        <v>7944338</v>
      </c>
      <c r="I59" s="99">
        <v>11877446</v>
      </c>
      <c r="J59" s="99">
        <v>8466192</v>
      </c>
      <c r="K59" s="99">
        <v>14005162</v>
      </c>
      <c r="L59" s="99">
        <v>7541011</v>
      </c>
      <c r="M59" s="99">
        <v>19900</v>
      </c>
    </row>
    <row r="60" spans="1:13">
      <c r="A60" s="97" t="s">
        <v>2189</v>
      </c>
      <c r="B60" s="98">
        <v>380412474</v>
      </c>
      <c r="C60" s="98">
        <v>380412474</v>
      </c>
      <c r="D60" s="99">
        <v>136541713</v>
      </c>
      <c r="E60" s="99">
        <v>13857404</v>
      </c>
      <c r="F60" s="99">
        <v>10767939</v>
      </c>
      <c r="G60" s="99">
        <v>4664627</v>
      </c>
      <c r="H60" s="99">
        <v>8723865</v>
      </c>
      <c r="I60" s="99">
        <v>17273048</v>
      </c>
      <c r="J60" s="99">
        <v>14303808</v>
      </c>
      <c r="K60" s="99">
        <v>12171368</v>
      </c>
      <c r="L60" s="99">
        <v>9311735</v>
      </c>
      <c r="M60" s="99">
        <v>6662600</v>
      </c>
    </row>
    <row r="61" spans="1:13">
      <c r="A61" s="97" t="s">
        <v>2190</v>
      </c>
      <c r="B61" s="98"/>
      <c r="C61" s="98"/>
      <c r="D61" s="99"/>
      <c r="E61" s="99"/>
      <c r="F61" s="99"/>
      <c r="G61" s="99"/>
      <c r="H61" s="99"/>
      <c r="I61" s="99"/>
      <c r="J61" s="99"/>
      <c r="K61" s="99"/>
      <c r="L61" s="99"/>
      <c r="M61" s="99"/>
    </row>
    <row r="62" spans="1:13">
      <c r="A62" s="97" t="s">
        <v>2191</v>
      </c>
      <c r="B62" s="98">
        <v>10158</v>
      </c>
      <c r="C62" s="98">
        <v>10158</v>
      </c>
      <c r="D62" s="99">
        <v>6925</v>
      </c>
      <c r="E62" s="99">
        <v>34</v>
      </c>
      <c r="F62" s="99">
        <v>78</v>
      </c>
      <c r="G62" s="99">
        <v>137</v>
      </c>
      <c r="H62" s="99">
        <v>197</v>
      </c>
      <c r="I62" s="99">
        <v>135</v>
      </c>
      <c r="J62" s="99">
        <v>207</v>
      </c>
      <c r="K62" s="99">
        <v>435</v>
      </c>
      <c r="L62" s="99">
        <v>61</v>
      </c>
      <c r="M62" s="99">
        <v>127</v>
      </c>
    </row>
    <row r="63" spans="1:13">
      <c r="A63" s="97" t="s">
        <v>2192</v>
      </c>
      <c r="B63" s="98">
        <v>1133000</v>
      </c>
      <c r="C63" s="98">
        <v>1133000</v>
      </c>
      <c r="D63" s="99">
        <v>945400</v>
      </c>
      <c r="E63" s="99">
        <v>1500</v>
      </c>
      <c r="F63" s="99">
        <v>10500</v>
      </c>
      <c r="G63" s="99">
        <v>3500</v>
      </c>
      <c r="H63" s="99">
        <v>12000</v>
      </c>
      <c r="I63" s="99">
        <v>1500</v>
      </c>
      <c r="J63" s="99">
        <v>12000</v>
      </c>
      <c r="K63" s="99">
        <v>6500</v>
      </c>
      <c r="L63" s="99">
        <v>1500</v>
      </c>
      <c r="M63" s="99">
        <v>0</v>
      </c>
    </row>
    <row r="64" spans="1:13">
      <c r="A64" s="97" t="s">
        <v>2193</v>
      </c>
      <c r="B64" s="98">
        <v>3400000</v>
      </c>
      <c r="C64" s="98">
        <v>3400000</v>
      </c>
      <c r="D64" s="99">
        <v>2400000</v>
      </c>
      <c r="E64" s="99">
        <v>0</v>
      </c>
      <c r="F64" s="99">
        <v>0</v>
      </c>
      <c r="G64" s="99">
        <v>0</v>
      </c>
      <c r="H64" s="99">
        <v>1000000</v>
      </c>
      <c r="I64" s="99">
        <v>0</v>
      </c>
      <c r="J64" s="99">
        <v>0</v>
      </c>
      <c r="K64" s="99">
        <v>0</v>
      </c>
      <c r="L64" s="99">
        <v>0</v>
      </c>
      <c r="M64" s="99">
        <v>0</v>
      </c>
    </row>
    <row r="65" spans="1:13">
      <c r="A65" s="100" t="s">
        <v>2194</v>
      </c>
      <c r="B65" s="101">
        <v>0</v>
      </c>
      <c r="C65" s="101">
        <v>0</v>
      </c>
      <c r="D65" s="99">
        <v>0</v>
      </c>
      <c r="E65" s="99">
        <v>0</v>
      </c>
      <c r="F65" s="99">
        <v>0</v>
      </c>
      <c r="G65" s="99">
        <v>0</v>
      </c>
      <c r="H65" s="99">
        <v>0</v>
      </c>
      <c r="I65" s="99">
        <v>0</v>
      </c>
      <c r="J65" s="99">
        <v>0</v>
      </c>
      <c r="K65" s="99">
        <v>0</v>
      </c>
      <c r="L65" s="99">
        <v>0</v>
      </c>
      <c r="M65" s="99">
        <v>0</v>
      </c>
    </row>
    <row r="66" spans="1:13">
      <c r="A66" s="97" t="s">
        <v>2195</v>
      </c>
      <c r="B66" s="98">
        <v>5185670</v>
      </c>
      <c r="C66" s="98">
        <v>5185670</v>
      </c>
      <c r="D66" s="99">
        <v>4868989</v>
      </c>
      <c r="E66" s="99">
        <v>0</v>
      </c>
      <c r="F66" s="99">
        <v>0</v>
      </c>
      <c r="G66" s="99">
        <v>0</v>
      </c>
      <c r="H66" s="99">
        <v>0</v>
      </c>
      <c r="I66" s="99">
        <v>0</v>
      </c>
      <c r="J66" s="99">
        <v>316681</v>
      </c>
      <c r="K66" s="99">
        <v>0</v>
      </c>
      <c r="L66" s="99">
        <v>0</v>
      </c>
      <c r="M66" s="99">
        <v>0</v>
      </c>
    </row>
    <row r="67" spans="1:13">
      <c r="A67" s="97" t="s">
        <v>2196</v>
      </c>
      <c r="B67" s="98">
        <v>0</v>
      </c>
      <c r="C67" s="98">
        <v>0</v>
      </c>
      <c r="D67" s="99">
        <v>0</v>
      </c>
      <c r="E67" s="99">
        <v>0</v>
      </c>
      <c r="F67" s="99">
        <v>0</v>
      </c>
      <c r="G67" s="99">
        <v>0</v>
      </c>
      <c r="H67" s="99">
        <v>0</v>
      </c>
      <c r="I67" s="99">
        <v>0</v>
      </c>
      <c r="J67" s="99">
        <v>0</v>
      </c>
      <c r="K67" s="99">
        <v>0</v>
      </c>
      <c r="L67" s="99">
        <v>0</v>
      </c>
      <c r="M67" s="99">
        <v>0</v>
      </c>
    </row>
    <row r="68" spans="1:13">
      <c r="A68" s="97" t="s">
        <v>2197</v>
      </c>
      <c r="B68" s="98">
        <v>0</v>
      </c>
      <c r="C68" s="98">
        <v>0</v>
      </c>
      <c r="D68" s="99">
        <v>0</v>
      </c>
      <c r="E68" s="99">
        <v>0</v>
      </c>
      <c r="F68" s="99">
        <v>0</v>
      </c>
      <c r="G68" s="99">
        <v>0</v>
      </c>
      <c r="H68" s="99">
        <v>0</v>
      </c>
      <c r="I68" s="99">
        <v>0</v>
      </c>
      <c r="J68" s="99">
        <v>0</v>
      </c>
      <c r="K68" s="99">
        <v>0</v>
      </c>
      <c r="L68" s="99">
        <v>0</v>
      </c>
      <c r="M68" s="99">
        <v>0</v>
      </c>
    </row>
    <row r="69" spans="1:13">
      <c r="A69" s="97" t="s">
        <v>2198</v>
      </c>
      <c r="B69" s="98">
        <v>1104546</v>
      </c>
      <c r="C69" s="98">
        <v>1104546</v>
      </c>
      <c r="D69" s="99">
        <v>793200</v>
      </c>
      <c r="E69" s="99">
        <v>129240</v>
      </c>
      <c r="F69" s="99">
        <v>0</v>
      </c>
      <c r="G69" s="99">
        <v>0</v>
      </c>
      <c r="H69" s="99">
        <v>0</v>
      </c>
      <c r="I69" s="99">
        <v>0</v>
      </c>
      <c r="J69" s="99">
        <v>0</v>
      </c>
      <c r="K69" s="99">
        <v>0</v>
      </c>
      <c r="L69" s="99">
        <v>0</v>
      </c>
      <c r="M69" s="99">
        <v>0</v>
      </c>
    </row>
    <row r="70" spans="1:13">
      <c r="A70" s="97" t="s">
        <v>2199</v>
      </c>
      <c r="B70" s="98">
        <v>10833374</v>
      </c>
      <c r="C70" s="98">
        <v>10833374</v>
      </c>
      <c r="D70" s="99">
        <v>9014514</v>
      </c>
      <c r="E70" s="99">
        <v>130774</v>
      </c>
      <c r="F70" s="99">
        <v>10578</v>
      </c>
      <c r="G70" s="99">
        <v>3637</v>
      </c>
      <c r="H70" s="99">
        <v>1012197</v>
      </c>
      <c r="I70" s="99">
        <v>1635</v>
      </c>
      <c r="J70" s="99">
        <v>328888</v>
      </c>
      <c r="K70" s="99">
        <v>6935</v>
      </c>
      <c r="L70" s="99">
        <v>1561</v>
      </c>
      <c r="M70" s="99">
        <v>127</v>
      </c>
    </row>
    <row r="71" spans="1:13">
      <c r="A71" s="97" t="s">
        <v>2200</v>
      </c>
      <c r="B71" s="98"/>
      <c r="C71" s="98"/>
      <c r="D71" s="99"/>
      <c r="E71" s="99"/>
      <c r="F71" s="99"/>
      <c r="G71" s="99"/>
      <c r="H71" s="99"/>
      <c r="I71" s="99"/>
      <c r="J71" s="99"/>
      <c r="K71" s="99"/>
      <c r="L71" s="99"/>
      <c r="M71" s="99"/>
    </row>
    <row r="72" spans="1:13">
      <c r="A72" s="97" t="s">
        <v>2201</v>
      </c>
      <c r="B72" s="98">
        <v>117515883</v>
      </c>
      <c r="C72" s="98">
        <v>117515883</v>
      </c>
      <c r="D72" s="99">
        <v>48646618</v>
      </c>
      <c r="E72" s="99">
        <v>2204823</v>
      </c>
      <c r="F72" s="99">
        <v>3190933</v>
      </c>
      <c r="G72" s="99">
        <v>1911652</v>
      </c>
      <c r="H72" s="99">
        <v>1484200</v>
      </c>
      <c r="I72" s="99">
        <v>2729953</v>
      </c>
      <c r="J72" s="99">
        <v>4039760</v>
      </c>
      <c r="K72" s="99">
        <v>3519478</v>
      </c>
      <c r="L72" s="99">
        <v>2363119</v>
      </c>
      <c r="M72" s="99">
        <v>942568</v>
      </c>
    </row>
    <row r="73" spans="1:13">
      <c r="A73" s="97" t="s">
        <v>2202</v>
      </c>
      <c r="B73" s="98">
        <v>200000</v>
      </c>
      <c r="C73" s="98">
        <v>200000</v>
      </c>
      <c r="D73" s="99">
        <v>200000</v>
      </c>
      <c r="E73" s="99">
        <v>0</v>
      </c>
      <c r="F73" s="99">
        <v>0</v>
      </c>
      <c r="G73" s="99">
        <v>0</v>
      </c>
      <c r="H73" s="99">
        <v>0</v>
      </c>
      <c r="I73" s="99">
        <v>0</v>
      </c>
      <c r="J73" s="99">
        <v>0</v>
      </c>
      <c r="K73" s="99">
        <v>0</v>
      </c>
      <c r="L73" s="99">
        <v>0</v>
      </c>
      <c r="M73" s="99">
        <v>0</v>
      </c>
    </row>
    <row r="74" spans="1:13">
      <c r="A74" s="97" t="s">
        <v>2203</v>
      </c>
      <c r="B74" s="98">
        <v>26873913</v>
      </c>
      <c r="C74" s="98">
        <v>26873913</v>
      </c>
      <c r="D74" s="99">
        <v>24962066</v>
      </c>
      <c r="E74" s="99">
        <v>0</v>
      </c>
      <c r="F74" s="99">
        <v>641722</v>
      </c>
      <c r="G74" s="99">
        <v>0</v>
      </c>
      <c r="H74" s="99">
        <v>0</v>
      </c>
      <c r="I74" s="99">
        <v>534171</v>
      </c>
      <c r="J74" s="99">
        <v>735954</v>
      </c>
      <c r="K74" s="99">
        <v>0</v>
      </c>
      <c r="L74" s="99">
        <v>0</v>
      </c>
      <c r="M74" s="99">
        <v>0</v>
      </c>
    </row>
    <row r="75" spans="1:13">
      <c r="A75" s="97" t="s">
        <v>2204</v>
      </c>
      <c r="B75" s="98">
        <v>144589796</v>
      </c>
      <c r="C75" s="98">
        <v>144589796</v>
      </c>
      <c r="D75" s="99">
        <v>73808684</v>
      </c>
      <c r="E75" s="99">
        <v>2204823</v>
      </c>
      <c r="F75" s="99">
        <v>3832655</v>
      </c>
      <c r="G75" s="99">
        <v>1911652</v>
      </c>
      <c r="H75" s="99">
        <v>1484200</v>
      </c>
      <c r="I75" s="99">
        <v>3264124</v>
      </c>
      <c r="J75" s="99">
        <v>4775714</v>
      </c>
      <c r="K75" s="99">
        <v>3519478</v>
      </c>
      <c r="L75" s="99">
        <v>2363119</v>
      </c>
      <c r="M75" s="99">
        <v>942568</v>
      </c>
    </row>
    <row r="76" spans="1:13">
      <c r="A76" s="97" t="s">
        <v>2205</v>
      </c>
      <c r="B76" s="98">
        <v>246656052</v>
      </c>
      <c r="C76" s="98">
        <v>246656052</v>
      </c>
      <c r="D76" s="99">
        <v>71747543</v>
      </c>
      <c r="E76" s="99">
        <v>11783355</v>
      </c>
      <c r="F76" s="99">
        <v>6945862</v>
      </c>
      <c r="G76" s="99">
        <v>2756612</v>
      </c>
      <c r="H76" s="99">
        <v>8251862</v>
      </c>
      <c r="I76" s="99">
        <v>14010559</v>
      </c>
      <c r="J76" s="99">
        <v>9856982</v>
      </c>
      <c r="K76" s="99">
        <v>8658825</v>
      </c>
      <c r="L76" s="99">
        <v>6950177</v>
      </c>
      <c r="M76" s="99">
        <v>5720159</v>
      </c>
    </row>
    <row r="77" spans="1:13">
      <c r="A77" s="97" t="s">
        <v>2206</v>
      </c>
      <c r="B77" s="98"/>
      <c r="C77" s="98"/>
      <c r="D77" s="99"/>
      <c r="E77" s="99"/>
      <c r="F77" s="99"/>
      <c r="G77" s="99"/>
      <c r="H77" s="99"/>
      <c r="I77" s="99"/>
      <c r="J77" s="99"/>
      <c r="K77" s="99"/>
      <c r="L77" s="99"/>
      <c r="M77" s="99"/>
    </row>
    <row r="78" spans="1:13">
      <c r="A78" s="97" t="s">
        <v>2207</v>
      </c>
      <c r="B78" s="98">
        <v>0</v>
      </c>
      <c r="C78" s="98">
        <v>0</v>
      </c>
      <c r="D78" s="99">
        <v>0</v>
      </c>
      <c r="E78" s="99">
        <v>0</v>
      </c>
      <c r="F78" s="99">
        <v>0</v>
      </c>
      <c r="G78" s="99">
        <v>0</v>
      </c>
      <c r="H78" s="99">
        <v>0</v>
      </c>
      <c r="I78" s="99">
        <v>0</v>
      </c>
      <c r="J78" s="99">
        <v>0</v>
      </c>
      <c r="K78" s="99">
        <v>0</v>
      </c>
      <c r="L78" s="99">
        <v>0</v>
      </c>
      <c r="M78" s="99">
        <v>0</v>
      </c>
    </row>
    <row r="79" spans="1:13">
      <c r="A79" s="97" t="s">
        <v>2208</v>
      </c>
      <c r="B79" s="98">
        <v>0</v>
      </c>
      <c r="C79" s="98">
        <v>0</v>
      </c>
      <c r="D79" s="99">
        <v>0</v>
      </c>
      <c r="E79" s="99">
        <v>0</v>
      </c>
      <c r="F79" s="99">
        <v>0</v>
      </c>
      <c r="G79" s="99">
        <v>0</v>
      </c>
      <c r="H79" s="99">
        <v>0</v>
      </c>
      <c r="I79" s="99">
        <v>0</v>
      </c>
      <c r="J79" s="99">
        <v>0</v>
      </c>
      <c r="K79" s="99">
        <v>0</v>
      </c>
      <c r="L79" s="99">
        <v>0</v>
      </c>
      <c r="M79" s="99">
        <v>0</v>
      </c>
    </row>
    <row r="80" spans="1:13">
      <c r="A80" s="97" t="s">
        <v>2209</v>
      </c>
      <c r="B80" s="98">
        <v>0</v>
      </c>
      <c r="C80" s="98">
        <v>0</v>
      </c>
      <c r="D80" s="99">
        <v>0</v>
      </c>
      <c r="E80" s="99">
        <v>0</v>
      </c>
      <c r="F80" s="99">
        <v>0</v>
      </c>
      <c r="G80" s="99">
        <v>0</v>
      </c>
      <c r="H80" s="99">
        <v>0</v>
      </c>
      <c r="I80" s="99">
        <v>0</v>
      </c>
      <c r="J80" s="99">
        <v>0</v>
      </c>
      <c r="K80" s="99">
        <v>0</v>
      </c>
      <c r="L80" s="99">
        <v>0</v>
      </c>
      <c r="M80" s="99">
        <v>0</v>
      </c>
    </row>
    <row r="81" spans="1:13">
      <c r="A81" s="97" t="s">
        <v>2210</v>
      </c>
      <c r="B81" s="98">
        <v>0</v>
      </c>
      <c r="C81" s="98">
        <v>0</v>
      </c>
      <c r="D81" s="99">
        <v>0</v>
      </c>
      <c r="E81" s="99">
        <v>0</v>
      </c>
      <c r="F81" s="99">
        <v>0</v>
      </c>
      <c r="G81" s="99">
        <v>0</v>
      </c>
      <c r="H81" s="99">
        <v>0</v>
      </c>
      <c r="I81" s="99">
        <v>0</v>
      </c>
      <c r="J81" s="99">
        <v>0</v>
      </c>
      <c r="K81" s="99">
        <v>0</v>
      </c>
      <c r="L81" s="99">
        <v>0</v>
      </c>
      <c r="M81" s="99">
        <v>0</v>
      </c>
    </row>
    <row r="82" spans="1:13">
      <c r="A82" s="97" t="s">
        <v>2211</v>
      </c>
      <c r="B82" s="98"/>
      <c r="C82" s="98"/>
      <c r="D82" s="99"/>
      <c r="E82" s="99"/>
      <c r="F82" s="99"/>
      <c r="G82" s="99"/>
      <c r="H82" s="99"/>
      <c r="I82" s="99"/>
      <c r="J82" s="99"/>
      <c r="K82" s="99"/>
      <c r="L82" s="99"/>
      <c r="M82" s="99"/>
    </row>
    <row r="83" spans="1:13">
      <c r="A83" s="97" t="s">
        <v>2212</v>
      </c>
      <c r="B83" s="98">
        <v>0</v>
      </c>
      <c r="C83" s="98">
        <v>0</v>
      </c>
      <c r="D83" s="99">
        <v>0</v>
      </c>
      <c r="E83" s="99">
        <v>0</v>
      </c>
      <c r="F83" s="99">
        <v>0</v>
      </c>
      <c r="G83" s="99">
        <v>0</v>
      </c>
      <c r="H83" s="99">
        <v>0</v>
      </c>
      <c r="I83" s="99">
        <v>0</v>
      </c>
      <c r="J83" s="99">
        <v>0</v>
      </c>
      <c r="K83" s="99">
        <v>0</v>
      </c>
      <c r="L83" s="99">
        <v>0</v>
      </c>
      <c r="M83" s="99">
        <v>0</v>
      </c>
    </row>
    <row r="84" spans="1:13">
      <c r="A84" s="97" t="s">
        <v>2213</v>
      </c>
      <c r="B84" s="98">
        <v>0</v>
      </c>
      <c r="C84" s="98">
        <v>0</v>
      </c>
      <c r="D84" s="99">
        <v>0</v>
      </c>
      <c r="E84" s="99">
        <v>0</v>
      </c>
      <c r="F84" s="99">
        <v>0</v>
      </c>
      <c r="G84" s="99">
        <v>0</v>
      </c>
      <c r="H84" s="99">
        <v>0</v>
      </c>
      <c r="I84" s="99">
        <v>0</v>
      </c>
      <c r="J84" s="99">
        <v>0</v>
      </c>
      <c r="K84" s="99">
        <v>0</v>
      </c>
      <c r="L84" s="99">
        <v>0</v>
      </c>
      <c r="M84" s="99">
        <v>0</v>
      </c>
    </row>
    <row r="85" spans="1:13">
      <c r="A85" s="97" t="s">
        <v>2214</v>
      </c>
      <c r="B85" s="98">
        <v>0</v>
      </c>
      <c r="C85" s="98">
        <v>0</v>
      </c>
      <c r="D85" s="99">
        <v>0</v>
      </c>
      <c r="E85" s="99">
        <v>0</v>
      </c>
      <c r="F85" s="99">
        <v>0</v>
      </c>
      <c r="G85" s="99">
        <v>0</v>
      </c>
      <c r="H85" s="99">
        <v>0</v>
      </c>
      <c r="I85" s="99">
        <v>0</v>
      </c>
      <c r="J85" s="99">
        <v>0</v>
      </c>
      <c r="K85" s="99">
        <v>0</v>
      </c>
      <c r="L85" s="99">
        <v>0</v>
      </c>
      <c r="M85" s="99">
        <v>0</v>
      </c>
    </row>
    <row r="86" spans="1:13">
      <c r="A86" s="97" t="s">
        <v>2215</v>
      </c>
      <c r="B86" s="98"/>
      <c r="C86" s="98"/>
      <c r="D86" s="99"/>
      <c r="E86" s="99"/>
      <c r="F86" s="99"/>
      <c r="G86" s="99"/>
      <c r="H86" s="99"/>
      <c r="I86" s="99"/>
      <c r="J86" s="99"/>
      <c r="K86" s="99"/>
      <c r="L86" s="99"/>
      <c r="M86" s="99"/>
    </row>
    <row r="87" spans="1:13">
      <c r="A87" s="97" t="s">
        <v>2216</v>
      </c>
      <c r="B87" s="98">
        <v>246656052</v>
      </c>
      <c r="C87" s="98">
        <v>246656052</v>
      </c>
      <c r="D87" s="99">
        <v>71747543</v>
      </c>
      <c r="E87" s="99">
        <v>11783355</v>
      </c>
      <c r="F87" s="99">
        <v>6945862</v>
      </c>
      <c r="G87" s="99">
        <v>2756612</v>
      </c>
      <c r="H87" s="99">
        <v>8251862</v>
      </c>
      <c r="I87" s="99">
        <v>14010559</v>
      </c>
      <c r="J87" s="99">
        <v>9856982</v>
      </c>
      <c r="K87" s="99">
        <v>8658825</v>
      </c>
      <c r="L87" s="99">
        <v>6950177</v>
      </c>
      <c r="M87" s="99">
        <v>5720159</v>
      </c>
    </row>
    <row r="88" spans="1:13">
      <c r="A88" s="97" t="s">
        <v>2217</v>
      </c>
      <c r="B88" s="98">
        <v>232860</v>
      </c>
      <c r="C88" s="98">
        <v>232860</v>
      </c>
      <c r="D88" s="99">
        <v>194091</v>
      </c>
      <c r="E88" s="99">
        <v>310</v>
      </c>
      <c r="F88" s="99">
        <v>2154</v>
      </c>
      <c r="G88" s="99">
        <v>734</v>
      </c>
      <c r="H88" s="99">
        <v>2478</v>
      </c>
      <c r="I88" s="99">
        <v>326</v>
      </c>
      <c r="J88" s="99">
        <v>2479</v>
      </c>
      <c r="K88" s="99">
        <v>1392</v>
      </c>
      <c r="L88" s="99">
        <v>315</v>
      </c>
      <c r="M88" s="99">
        <v>19</v>
      </c>
    </row>
    <row r="89" spans="1:13">
      <c r="A89" s="97" t="s">
        <v>2218</v>
      </c>
      <c r="B89" s="98">
        <v>0</v>
      </c>
      <c r="C89" s="98">
        <v>0</v>
      </c>
      <c r="D89" s="99">
        <v>0</v>
      </c>
      <c r="E89" s="99">
        <v>0</v>
      </c>
      <c r="F89" s="99">
        <v>0</v>
      </c>
      <c r="G89" s="99">
        <v>0</v>
      </c>
      <c r="H89" s="99">
        <v>0</v>
      </c>
      <c r="I89" s="99">
        <v>0</v>
      </c>
      <c r="J89" s="99">
        <v>0</v>
      </c>
      <c r="K89" s="99">
        <v>0</v>
      </c>
      <c r="L89" s="99">
        <v>0</v>
      </c>
      <c r="M89" s="99">
        <v>0</v>
      </c>
    </row>
    <row r="90" spans="1:13">
      <c r="A90" s="97" t="s">
        <v>2219</v>
      </c>
      <c r="B90" s="98">
        <v>246423192</v>
      </c>
      <c r="C90" s="98">
        <v>246423192</v>
      </c>
      <c r="D90" s="99">
        <v>71553452</v>
      </c>
      <c r="E90" s="99">
        <v>11783045</v>
      </c>
      <c r="F90" s="99">
        <v>6943708</v>
      </c>
      <c r="G90" s="99">
        <v>2755878</v>
      </c>
      <c r="H90" s="99">
        <v>8249384</v>
      </c>
      <c r="I90" s="99">
        <v>14010233</v>
      </c>
      <c r="J90" s="99">
        <v>9854503</v>
      </c>
      <c r="K90" s="99">
        <v>8657433</v>
      </c>
      <c r="L90" s="99">
        <v>6949862</v>
      </c>
      <c r="M90" s="99">
        <v>5720140</v>
      </c>
    </row>
    <row r="92" spans="1:13" ht="24">
      <c r="A92" s="102" t="s">
        <v>2220</v>
      </c>
      <c r="B92" s="102"/>
      <c r="C92" s="103"/>
      <c r="D92" s="103"/>
      <c r="E92" s="114" t="s">
        <v>2116</v>
      </c>
    </row>
    <row r="93" spans="1:13">
      <c r="A93" s="104" t="s">
        <v>2221</v>
      </c>
      <c r="B93" s="104"/>
      <c r="C93" s="104"/>
      <c r="D93" s="104"/>
      <c r="E93" s="104"/>
      <c r="F93" s="104"/>
      <c r="G93" s="104"/>
      <c r="H93" s="104"/>
      <c r="I93" s="104"/>
      <c r="J93" s="104"/>
      <c r="K93" s="104"/>
      <c r="L93" s="104"/>
      <c r="M93" s="104"/>
    </row>
    <row r="94" spans="1:13" ht="27">
      <c r="A94" s="105" t="s">
        <v>2120</v>
      </c>
      <c r="B94" s="105" t="s">
        <v>2121</v>
      </c>
      <c r="C94" s="105" t="s">
        <v>2122</v>
      </c>
      <c r="D94" s="106" t="s">
        <v>2222</v>
      </c>
      <c r="E94" s="106" t="s">
        <v>2223</v>
      </c>
      <c r="F94" s="107" t="s">
        <v>2224</v>
      </c>
      <c r="G94" s="107" t="s">
        <v>2225</v>
      </c>
      <c r="H94" s="107" t="s">
        <v>2226</v>
      </c>
      <c r="I94" s="107" t="s">
        <v>2227</v>
      </c>
      <c r="J94" s="107" t="s">
        <v>2228</v>
      </c>
      <c r="K94" s="107" t="s">
        <v>2229</v>
      </c>
      <c r="L94" s="107" t="s">
        <v>2230</v>
      </c>
      <c r="M94" s="107" t="s">
        <v>2132</v>
      </c>
    </row>
    <row r="95" spans="1:13">
      <c r="A95" s="108" t="s">
        <v>2231</v>
      </c>
      <c r="B95" s="109"/>
      <c r="C95" s="109"/>
      <c r="D95" s="110"/>
      <c r="E95" s="110"/>
      <c r="F95" s="110"/>
      <c r="G95" s="110"/>
      <c r="H95" s="110"/>
      <c r="I95" s="110"/>
      <c r="J95" s="110"/>
      <c r="K95" s="110"/>
      <c r="L95" s="110"/>
      <c r="M95" s="110"/>
    </row>
    <row r="96" spans="1:13">
      <c r="A96" s="111" t="s">
        <v>2232</v>
      </c>
      <c r="B96" s="112">
        <v>18638093</v>
      </c>
      <c r="C96" s="112">
        <v>18638093</v>
      </c>
      <c r="D96" s="113">
        <v>1038693</v>
      </c>
      <c r="E96" s="113">
        <v>1100000</v>
      </c>
      <c r="F96" s="113">
        <v>1100000</v>
      </c>
      <c r="G96" s="113">
        <v>1100000</v>
      </c>
      <c r="H96" s="113">
        <v>1099400</v>
      </c>
      <c r="I96" s="113">
        <v>1100000</v>
      </c>
      <c r="J96" s="113">
        <v>1100000</v>
      </c>
      <c r="K96" s="113">
        <v>1100000</v>
      </c>
      <c r="L96" s="113">
        <v>1100000</v>
      </c>
      <c r="M96" s="113">
        <v>1100000</v>
      </c>
    </row>
    <row r="97" spans="1:13">
      <c r="A97" s="111" t="s">
        <v>2233</v>
      </c>
      <c r="B97" s="112">
        <v>727888479</v>
      </c>
      <c r="C97" s="112">
        <v>727888479</v>
      </c>
      <c r="D97" s="113">
        <v>412288719</v>
      </c>
      <c r="E97" s="113">
        <v>3468706</v>
      </c>
      <c r="F97" s="113">
        <v>6309888</v>
      </c>
      <c r="G97" s="113">
        <v>11669216</v>
      </c>
      <c r="H97" s="113">
        <v>8589316</v>
      </c>
      <c r="I97" s="113">
        <v>16596258</v>
      </c>
      <c r="J97" s="113">
        <v>19634881</v>
      </c>
      <c r="K97" s="113">
        <v>10001864</v>
      </c>
      <c r="L97" s="113">
        <v>8239404</v>
      </c>
      <c r="M97" s="113">
        <v>7983089</v>
      </c>
    </row>
    <row r="98" spans="1:13">
      <c r="A98" s="111" t="s">
        <v>2234</v>
      </c>
      <c r="B98" s="112">
        <v>42000678</v>
      </c>
      <c r="C98" s="112">
        <v>42000678</v>
      </c>
      <c r="D98" s="113">
        <v>42000678</v>
      </c>
      <c r="E98" s="113">
        <v>0</v>
      </c>
      <c r="F98" s="113">
        <v>0</v>
      </c>
      <c r="G98" s="113">
        <v>0</v>
      </c>
      <c r="H98" s="113">
        <v>0</v>
      </c>
      <c r="I98" s="113">
        <v>0</v>
      </c>
      <c r="J98" s="113">
        <v>0</v>
      </c>
      <c r="K98" s="113">
        <v>0</v>
      </c>
      <c r="L98" s="113">
        <v>0</v>
      </c>
      <c r="M98" s="113">
        <v>0</v>
      </c>
    </row>
    <row r="99" spans="1:13">
      <c r="A99" s="111" t="s">
        <v>2235</v>
      </c>
      <c r="B99" s="112">
        <v>3230000</v>
      </c>
      <c r="C99" s="112">
        <v>3230000</v>
      </c>
      <c r="D99" s="113">
        <v>1730000</v>
      </c>
      <c r="E99" s="113">
        <v>0</v>
      </c>
      <c r="F99" s="113">
        <v>0</v>
      </c>
      <c r="G99" s="113">
        <v>0</v>
      </c>
      <c r="H99" s="113">
        <v>0</v>
      </c>
      <c r="I99" s="113">
        <v>0</v>
      </c>
      <c r="J99" s="113">
        <v>0</v>
      </c>
      <c r="K99" s="113">
        <v>0</v>
      </c>
      <c r="L99" s="113">
        <v>0</v>
      </c>
      <c r="M99" s="113">
        <v>0</v>
      </c>
    </row>
    <row r="100" spans="1:13">
      <c r="A100" s="111" t="s">
        <v>2236</v>
      </c>
      <c r="B100" s="112">
        <v>0</v>
      </c>
      <c r="C100" s="112">
        <v>0</v>
      </c>
      <c r="D100" s="113">
        <v>0</v>
      </c>
      <c r="E100" s="113">
        <v>0</v>
      </c>
      <c r="F100" s="113">
        <v>0</v>
      </c>
      <c r="G100" s="113">
        <v>0</v>
      </c>
      <c r="H100" s="113">
        <v>0</v>
      </c>
      <c r="I100" s="113">
        <v>0</v>
      </c>
      <c r="J100" s="113">
        <v>0</v>
      </c>
      <c r="K100" s="113">
        <v>0</v>
      </c>
      <c r="L100" s="113">
        <v>0</v>
      </c>
      <c r="M100" s="113">
        <v>0</v>
      </c>
    </row>
    <row r="101" spans="1:13">
      <c r="A101" s="111" t="s">
        <v>2237</v>
      </c>
      <c r="B101" s="112">
        <v>791757250</v>
      </c>
      <c r="C101" s="112">
        <v>791757250</v>
      </c>
      <c r="D101" s="113">
        <v>457058090</v>
      </c>
      <c r="E101" s="113">
        <v>4568706</v>
      </c>
      <c r="F101" s="113">
        <v>7409888</v>
      </c>
      <c r="G101" s="113">
        <v>12769216</v>
      </c>
      <c r="H101" s="113">
        <v>9688716</v>
      </c>
      <c r="I101" s="113">
        <v>17696258</v>
      </c>
      <c r="J101" s="113">
        <v>20734881</v>
      </c>
      <c r="K101" s="113">
        <v>11101864</v>
      </c>
      <c r="L101" s="113">
        <v>9339404</v>
      </c>
      <c r="M101" s="113">
        <v>9083089</v>
      </c>
    </row>
    <row r="102" spans="1:13">
      <c r="A102" s="111" t="s">
        <v>2238</v>
      </c>
      <c r="B102" s="112"/>
      <c r="C102" s="112"/>
      <c r="D102" s="113"/>
      <c r="E102" s="113"/>
      <c r="F102" s="113"/>
      <c r="G102" s="113"/>
      <c r="H102" s="113"/>
      <c r="I102" s="113"/>
      <c r="J102" s="113"/>
      <c r="K102" s="113"/>
      <c r="L102" s="113"/>
      <c r="M102" s="113"/>
    </row>
    <row r="103" spans="1:13">
      <c r="A103" s="111" t="s">
        <v>2239</v>
      </c>
      <c r="B103" s="112">
        <v>0</v>
      </c>
      <c r="C103" s="112">
        <v>0</v>
      </c>
      <c r="D103" s="113">
        <v>0</v>
      </c>
      <c r="E103" s="113">
        <v>0</v>
      </c>
      <c r="F103" s="113">
        <v>0</v>
      </c>
      <c r="G103" s="113">
        <v>0</v>
      </c>
      <c r="H103" s="113">
        <v>0</v>
      </c>
      <c r="I103" s="113">
        <v>0</v>
      </c>
      <c r="J103" s="113">
        <v>0</v>
      </c>
      <c r="K103" s="113">
        <v>0</v>
      </c>
      <c r="L103" s="113">
        <v>0</v>
      </c>
      <c r="M103" s="113">
        <v>0</v>
      </c>
    </row>
    <row r="104" spans="1:13">
      <c r="A104" s="111" t="s">
        <v>2240</v>
      </c>
      <c r="B104" s="112">
        <v>0</v>
      </c>
      <c r="C104" s="112">
        <v>0</v>
      </c>
      <c r="D104" s="113">
        <v>0</v>
      </c>
      <c r="E104" s="113">
        <v>0</v>
      </c>
      <c r="F104" s="113">
        <v>0</v>
      </c>
      <c r="G104" s="113">
        <v>0</v>
      </c>
      <c r="H104" s="113">
        <v>0</v>
      </c>
      <c r="I104" s="113">
        <v>0</v>
      </c>
      <c r="J104" s="113">
        <v>0</v>
      </c>
      <c r="K104" s="113">
        <v>0</v>
      </c>
      <c r="L104" s="113">
        <v>0</v>
      </c>
      <c r="M104" s="113">
        <v>0</v>
      </c>
    </row>
    <row r="105" spans="1:13">
      <c r="A105" s="111" t="s">
        <v>2241</v>
      </c>
      <c r="B105" s="112"/>
      <c r="C105" s="112"/>
      <c r="D105" s="113"/>
      <c r="E105" s="113"/>
      <c r="F105" s="113"/>
      <c r="G105" s="113"/>
      <c r="H105" s="113"/>
      <c r="I105" s="113"/>
      <c r="J105" s="113"/>
      <c r="K105" s="113"/>
      <c r="L105" s="113"/>
      <c r="M105" s="113"/>
    </row>
    <row r="106" spans="1:13">
      <c r="A106" s="111" t="s">
        <v>2242</v>
      </c>
      <c r="B106" s="112">
        <v>0</v>
      </c>
      <c r="C106" s="112">
        <v>0</v>
      </c>
      <c r="D106" s="113">
        <v>0</v>
      </c>
      <c r="E106" s="113">
        <v>0</v>
      </c>
      <c r="F106" s="113">
        <v>0</v>
      </c>
      <c r="G106" s="113">
        <v>0</v>
      </c>
      <c r="H106" s="113">
        <v>0</v>
      </c>
      <c r="I106" s="113">
        <v>0</v>
      </c>
      <c r="J106" s="113">
        <v>0</v>
      </c>
      <c r="K106" s="113">
        <v>0</v>
      </c>
      <c r="L106" s="113">
        <v>0</v>
      </c>
      <c r="M106" s="113">
        <v>0</v>
      </c>
    </row>
    <row r="107" spans="1:13">
      <c r="A107" s="111" t="s">
        <v>2243</v>
      </c>
      <c r="B107" s="112"/>
      <c r="C107" s="112"/>
      <c r="D107" s="113"/>
      <c r="E107" s="113"/>
      <c r="F107" s="113"/>
      <c r="G107" s="113"/>
      <c r="H107" s="113"/>
      <c r="I107" s="113"/>
      <c r="J107" s="113"/>
      <c r="K107" s="113"/>
      <c r="L107" s="113"/>
      <c r="M107" s="113"/>
    </row>
    <row r="108" spans="1:13">
      <c r="A108" s="111" t="s">
        <v>2244</v>
      </c>
      <c r="B108" s="112">
        <v>0</v>
      </c>
      <c r="C108" s="112">
        <v>0</v>
      </c>
      <c r="D108" s="113">
        <v>0</v>
      </c>
      <c r="E108" s="113">
        <v>0</v>
      </c>
      <c r="F108" s="113">
        <v>0</v>
      </c>
      <c r="G108" s="113">
        <v>0</v>
      </c>
      <c r="H108" s="113">
        <v>0</v>
      </c>
      <c r="I108" s="113">
        <v>0</v>
      </c>
      <c r="J108" s="113">
        <v>0</v>
      </c>
      <c r="K108" s="113">
        <v>0</v>
      </c>
      <c r="L108" s="113">
        <v>0</v>
      </c>
      <c r="M108" s="113">
        <v>0</v>
      </c>
    </row>
    <row r="109" spans="1:13">
      <c r="A109" s="111" t="s">
        <v>2245</v>
      </c>
      <c r="B109" s="112">
        <v>0</v>
      </c>
      <c r="C109" s="112">
        <v>0</v>
      </c>
      <c r="D109" s="113">
        <v>0</v>
      </c>
      <c r="E109" s="113">
        <v>0</v>
      </c>
      <c r="F109" s="113">
        <v>0</v>
      </c>
      <c r="G109" s="113">
        <v>0</v>
      </c>
      <c r="H109" s="113">
        <v>0</v>
      </c>
      <c r="I109" s="113">
        <v>0</v>
      </c>
      <c r="J109" s="113">
        <v>0</v>
      </c>
      <c r="K109" s="113">
        <v>0</v>
      </c>
      <c r="L109" s="113">
        <v>0</v>
      </c>
      <c r="M109" s="113">
        <v>0</v>
      </c>
    </row>
    <row r="110" spans="1:13">
      <c r="A110" s="111" t="s">
        <v>2246</v>
      </c>
      <c r="B110" s="112"/>
      <c r="C110" s="112"/>
      <c r="D110" s="113"/>
      <c r="E110" s="113"/>
      <c r="F110" s="113"/>
      <c r="G110" s="113"/>
      <c r="H110" s="113"/>
      <c r="I110" s="113"/>
      <c r="J110" s="113"/>
      <c r="K110" s="113"/>
      <c r="L110" s="113"/>
      <c r="M110" s="113"/>
    </row>
    <row r="111" spans="1:13">
      <c r="A111" s="111" t="s">
        <v>2247</v>
      </c>
      <c r="B111" s="112">
        <v>0</v>
      </c>
      <c r="C111" s="112">
        <v>0</v>
      </c>
      <c r="D111" s="113">
        <v>0</v>
      </c>
      <c r="E111" s="113">
        <v>0</v>
      </c>
      <c r="F111" s="113">
        <v>0</v>
      </c>
      <c r="G111" s="113">
        <v>0</v>
      </c>
      <c r="H111" s="113">
        <v>0</v>
      </c>
      <c r="I111" s="113">
        <v>0</v>
      </c>
      <c r="J111" s="113">
        <v>0</v>
      </c>
      <c r="K111" s="113">
        <v>0</v>
      </c>
      <c r="L111" s="113">
        <v>0</v>
      </c>
      <c r="M111" s="113">
        <v>0</v>
      </c>
    </row>
    <row r="112" spans="1:13">
      <c r="A112" s="111" t="s">
        <v>2248</v>
      </c>
      <c r="B112" s="112">
        <v>0</v>
      </c>
      <c r="C112" s="112">
        <v>0</v>
      </c>
      <c r="D112" s="113">
        <v>0</v>
      </c>
      <c r="E112" s="113">
        <v>0</v>
      </c>
      <c r="F112" s="113">
        <v>0</v>
      </c>
      <c r="G112" s="113">
        <v>0</v>
      </c>
      <c r="H112" s="113">
        <v>0</v>
      </c>
      <c r="I112" s="113">
        <v>0</v>
      </c>
      <c r="J112" s="113">
        <v>0</v>
      </c>
      <c r="K112" s="113">
        <v>0</v>
      </c>
      <c r="L112" s="113">
        <v>0</v>
      </c>
      <c r="M112" s="113">
        <v>0</v>
      </c>
    </row>
    <row r="113" spans="1:13">
      <c r="A113" s="111" t="s">
        <v>2249</v>
      </c>
      <c r="B113" s="112">
        <v>69772</v>
      </c>
      <c r="C113" s="112">
        <v>69772</v>
      </c>
      <c r="D113" s="113">
        <v>0</v>
      </c>
      <c r="E113" s="113">
        <v>0</v>
      </c>
      <c r="F113" s="113">
        <v>0</v>
      </c>
      <c r="G113" s="113">
        <v>0</v>
      </c>
      <c r="H113" s="113">
        <v>0</v>
      </c>
      <c r="I113" s="113">
        <v>0</v>
      </c>
      <c r="J113" s="113">
        <v>0</v>
      </c>
      <c r="K113" s="113">
        <v>0</v>
      </c>
      <c r="L113" s="113">
        <v>0</v>
      </c>
      <c r="M113" s="113">
        <v>0</v>
      </c>
    </row>
    <row r="114" spans="1:13">
      <c r="A114" s="111" t="s">
        <v>2250</v>
      </c>
      <c r="B114" s="112">
        <v>0</v>
      </c>
      <c r="C114" s="112">
        <v>0</v>
      </c>
      <c r="D114" s="113">
        <v>0</v>
      </c>
      <c r="E114" s="113">
        <v>0</v>
      </c>
      <c r="F114" s="113">
        <v>0</v>
      </c>
      <c r="G114" s="113">
        <v>0</v>
      </c>
      <c r="H114" s="113">
        <v>0</v>
      </c>
      <c r="I114" s="113">
        <v>0</v>
      </c>
      <c r="J114" s="113">
        <v>0</v>
      </c>
      <c r="K114" s="113">
        <v>0</v>
      </c>
      <c r="L114" s="113">
        <v>0</v>
      </c>
      <c r="M114" s="113">
        <v>0</v>
      </c>
    </row>
    <row r="115" spans="1:13">
      <c r="A115" s="111" t="s">
        <v>2251</v>
      </c>
      <c r="B115" s="112">
        <v>0</v>
      </c>
      <c r="C115" s="112">
        <v>0</v>
      </c>
      <c r="D115" s="113">
        <v>0</v>
      </c>
      <c r="E115" s="113">
        <v>0</v>
      </c>
      <c r="F115" s="113">
        <v>0</v>
      </c>
      <c r="G115" s="113">
        <v>0</v>
      </c>
      <c r="H115" s="113">
        <v>0</v>
      </c>
      <c r="I115" s="113">
        <v>0</v>
      </c>
      <c r="J115" s="113">
        <v>0</v>
      </c>
      <c r="K115" s="113">
        <v>0</v>
      </c>
      <c r="L115" s="113">
        <v>0</v>
      </c>
      <c r="M115" s="113">
        <v>0</v>
      </c>
    </row>
    <row r="116" spans="1:13">
      <c r="A116" s="111" t="s">
        <v>2252</v>
      </c>
      <c r="B116" s="112">
        <v>0</v>
      </c>
      <c r="C116" s="112">
        <v>0</v>
      </c>
      <c r="D116" s="113">
        <v>0</v>
      </c>
      <c r="E116" s="113">
        <v>0</v>
      </c>
      <c r="F116" s="113">
        <v>0</v>
      </c>
      <c r="G116" s="113">
        <v>0</v>
      </c>
      <c r="H116" s="113">
        <v>0</v>
      </c>
      <c r="I116" s="113">
        <v>0</v>
      </c>
      <c r="J116" s="113">
        <v>0</v>
      </c>
      <c r="K116" s="113">
        <v>0</v>
      </c>
      <c r="L116" s="113">
        <v>0</v>
      </c>
      <c r="M116" s="113">
        <v>0</v>
      </c>
    </row>
    <row r="117" spans="1:13">
      <c r="A117" s="111" t="s">
        <v>2253</v>
      </c>
      <c r="B117" s="112">
        <v>0</v>
      </c>
      <c r="C117" s="112">
        <v>164487702</v>
      </c>
      <c r="D117" s="113">
        <v>20790000</v>
      </c>
      <c r="E117" s="113">
        <v>9006214</v>
      </c>
      <c r="F117" s="113">
        <v>2538134</v>
      </c>
      <c r="G117" s="113">
        <v>23763379</v>
      </c>
      <c r="H117" s="113">
        <v>-183631</v>
      </c>
      <c r="I117" s="113">
        <v>7495860</v>
      </c>
      <c r="J117" s="113">
        <v>1691258</v>
      </c>
      <c r="K117" s="113">
        <v>6292718</v>
      </c>
      <c r="L117" s="113">
        <v>3931993</v>
      </c>
      <c r="M117" s="113">
        <v>4020800</v>
      </c>
    </row>
    <row r="118" spans="1:13">
      <c r="A118" s="111" t="s">
        <v>2254</v>
      </c>
      <c r="B118" s="112">
        <v>0</v>
      </c>
      <c r="C118" s="112">
        <v>0</v>
      </c>
      <c r="D118" s="113">
        <v>0</v>
      </c>
      <c r="E118" s="113">
        <v>0</v>
      </c>
      <c r="F118" s="113">
        <v>0</v>
      </c>
      <c r="G118" s="113">
        <v>0</v>
      </c>
      <c r="H118" s="113">
        <v>0</v>
      </c>
      <c r="I118" s="113">
        <v>0</v>
      </c>
      <c r="J118" s="113">
        <v>0</v>
      </c>
      <c r="K118" s="113">
        <v>0</v>
      </c>
      <c r="L118" s="113">
        <v>0</v>
      </c>
      <c r="M118" s="113">
        <v>0</v>
      </c>
    </row>
    <row r="119" spans="1:13">
      <c r="A119" s="111" t="s">
        <v>2255</v>
      </c>
      <c r="B119" s="112">
        <v>0</v>
      </c>
      <c r="C119" s="112">
        <v>0</v>
      </c>
      <c r="D119" s="113">
        <v>0</v>
      </c>
      <c r="E119" s="113">
        <v>0</v>
      </c>
      <c r="F119" s="113">
        <v>0</v>
      </c>
      <c r="G119" s="113">
        <v>0</v>
      </c>
      <c r="H119" s="113">
        <v>0</v>
      </c>
      <c r="I119" s="113">
        <v>0</v>
      </c>
      <c r="J119" s="113">
        <v>0</v>
      </c>
      <c r="K119" s="113">
        <v>0</v>
      </c>
      <c r="L119" s="113">
        <v>0</v>
      </c>
      <c r="M119" s="113">
        <v>0</v>
      </c>
    </row>
    <row r="120" spans="1:13">
      <c r="A120" s="111" t="s">
        <v>2256</v>
      </c>
      <c r="B120" s="112">
        <v>0</v>
      </c>
      <c r="C120" s="112">
        <v>0</v>
      </c>
      <c r="D120" s="113">
        <v>0</v>
      </c>
      <c r="E120" s="113">
        <v>0</v>
      </c>
      <c r="F120" s="113">
        <v>0</v>
      </c>
      <c r="G120" s="113">
        <v>0</v>
      </c>
      <c r="H120" s="113">
        <v>0</v>
      </c>
      <c r="I120" s="113">
        <v>0</v>
      </c>
      <c r="J120" s="113">
        <v>0</v>
      </c>
      <c r="K120" s="113">
        <v>0</v>
      </c>
      <c r="L120" s="113">
        <v>0</v>
      </c>
      <c r="M120" s="113">
        <v>0</v>
      </c>
    </row>
    <row r="121" spans="1:13">
      <c r="A121" s="111" t="s">
        <v>2257</v>
      </c>
      <c r="B121" s="112">
        <v>0</v>
      </c>
      <c r="C121" s="112">
        <v>0</v>
      </c>
      <c r="D121" s="113">
        <v>0</v>
      </c>
      <c r="E121" s="113">
        <v>0</v>
      </c>
      <c r="F121" s="113">
        <v>0</v>
      </c>
      <c r="G121" s="113">
        <v>0</v>
      </c>
      <c r="H121" s="113">
        <v>0</v>
      </c>
      <c r="I121" s="113">
        <v>0</v>
      </c>
      <c r="J121" s="113">
        <v>0</v>
      </c>
      <c r="K121" s="113">
        <v>0</v>
      </c>
      <c r="L121" s="113">
        <v>0</v>
      </c>
      <c r="M121" s="113">
        <v>0</v>
      </c>
    </row>
    <row r="122" spans="1:13">
      <c r="A122" s="111" t="s">
        <v>2258</v>
      </c>
      <c r="B122" s="112">
        <v>-11614281</v>
      </c>
      <c r="C122" s="112">
        <v>-11614281</v>
      </c>
      <c r="D122" s="113">
        <v>-10003950</v>
      </c>
      <c r="E122" s="113">
        <v>0</v>
      </c>
      <c r="F122" s="113">
        <v>-642322</v>
      </c>
      <c r="G122" s="113">
        <v>0</v>
      </c>
      <c r="H122" s="113">
        <v>0</v>
      </c>
      <c r="I122" s="113">
        <v>-551436</v>
      </c>
      <c r="J122" s="113">
        <v>-416573</v>
      </c>
      <c r="K122" s="113">
        <v>0</v>
      </c>
      <c r="L122" s="113">
        <v>0</v>
      </c>
      <c r="M122" s="113">
        <v>0</v>
      </c>
    </row>
    <row r="123" spans="1:13">
      <c r="A123" s="111" t="s">
        <v>2259</v>
      </c>
      <c r="B123" s="112">
        <v>-11544509</v>
      </c>
      <c r="C123" s="112">
        <v>152943193</v>
      </c>
      <c r="D123" s="113">
        <v>10786050</v>
      </c>
      <c r="E123" s="113">
        <v>9006214</v>
      </c>
      <c r="F123" s="113">
        <v>1895812</v>
      </c>
      <c r="G123" s="113">
        <v>23763379</v>
      </c>
      <c r="H123" s="113">
        <v>-183631</v>
      </c>
      <c r="I123" s="113">
        <v>6944424</v>
      </c>
      <c r="J123" s="113">
        <v>1274685</v>
      </c>
      <c r="K123" s="113">
        <v>6292718</v>
      </c>
      <c r="L123" s="113">
        <v>3931993</v>
      </c>
      <c r="M123" s="113">
        <v>4020800</v>
      </c>
    </row>
    <row r="124" spans="1:13">
      <c r="A124" s="111" t="s">
        <v>2260</v>
      </c>
      <c r="B124" s="112">
        <v>780212741</v>
      </c>
      <c r="C124" s="112">
        <v>944700443</v>
      </c>
      <c r="D124" s="113">
        <v>467844140</v>
      </c>
      <c r="E124" s="113">
        <v>13574920</v>
      </c>
      <c r="F124" s="113">
        <v>9305700</v>
      </c>
      <c r="G124" s="113">
        <v>36532595</v>
      </c>
      <c r="H124" s="113">
        <v>9505085</v>
      </c>
      <c r="I124" s="113">
        <v>24640682</v>
      </c>
      <c r="J124" s="113">
        <v>22009566</v>
      </c>
      <c r="K124" s="113">
        <v>17394582</v>
      </c>
      <c r="L124" s="113">
        <v>13271397</v>
      </c>
      <c r="M124" s="113">
        <v>13103889</v>
      </c>
    </row>
    <row r="125" spans="1:13">
      <c r="A125" s="111" t="s">
        <v>2261</v>
      </c>
      <c r="B125" s="112"/>
      <c r="C125" s="112"/>
      <c r="D125" s="113"/>
      <c r="E125" s="113"/>
      <c r="F125" s="113"/>
      <c r="G125" s="113"/>
      <c r="H125" s="113"/>
      <c r="I125" s="113"/>
      <c r="J125" s="113"/>
      <c r="K125" s="113"/>
      <c r="L125" s="113"/>
      <c r="M125" s="113"/>
    </row>
    <row r="126" spans="1:13">
      <c r="A126" s="111" t="s">
        <v>2262</v>
      </c>
      <c r="B126" s="112">
        <v>2682422859</v>
      </c>
      <c r="C126" s="112">
        <v>2682422859</v>
      </c>
      <c r="D126" s="113">
        <v>905099958</v>
      </c>
      <c r="E126" s="113">
        <v>137747816</v>
      </c>
      <c r="F126" s="113">
        <v>67831518</v>
      </c>
      <c r="G126" s="113">
        <v>42745302</v>
      </c>
      <c r="H126" s="113">
        <v>38236835</v>
      </c>
      <c r="I126" s="113">
        <v>108017893</v>
      </c>
      <c r="J126" s="113">
        <v>95067176</v>
      </c>
      <c r="K126" s="113">
        <v>47661091</v>
      </c>
      <c r="L126" s="113">
        <v>31056567</v>
      </c>
      <c r="M126" s="113">
        <v>0</v>
      </c>
    </row>
    <row r="127" spans="1:13">
      <c r="A127" s="111" t="s">
        <v>2263</v>
      </c>
      <c r="B127" s="112">
        <v>138202673</v>
      </c>
      <c r="C127" s="112">
        <v>138202673</v>
      </c>
      <c r="D127" s="113">
        <v>35956082</v>
      </c>
      <c r="E127" s="113">
        <v>0</v>
      </c>
      <c r="F127" s="113">
        <v>2011572</v>
      </c>
      <c r="G127" s="113">
        <v>22501314</v>
      </c>
      <c r="H127" s="113">
        <v>434973</v>
      </c>
      <c r="I127" s="113">
        <v>775451</v>
      </c>
      <c r="J127" s="113">
        <v>815655</v>
      </c>
      <c r="K127" s="113">
        <v>17574354</v>
      </c>
      <c r="L127" s="113">
        <v>0</v>
      </c>
      <c r="M127" s="113">
        <v>0</v>
      </c>
    </row>
    <row r="128" spans="1:13">
      <c r="A128" s="111" t="s">
        <v>2264</v>
      </c>
      <c r="B128" s="112">
        <v>4112530</v>
      </c>
      <c r="C128" s="112">
        <v>4112530</v>
      </c>
      <c r="D128" s="113">
        <v>1795877</v>
      </c>
      <c r="E128" s="113">
        <v>0</v>
      </c>
      <c r="F128" s="113">
        <v>0</v>
      </c>
      <c r="G128" s="113">
        <v>542502</v>
      </c>
      <c r="H128" s="113">
        <v>0</v>
      </c>
      <c r="I128" s="113">
        <v>0</v>
      </c>
      <c r="J128" s="113">
        <v>0</v>
      </c>
      <c r="K128" s="113">
        <v>0</v>
      </c>
      <c r="L128" s="113">
        <v>0</v>
      </c>
      <c r="M128" s="113">
        <v>0</v>
      </c>
    </row>
    <row r="129" spans="1:13">
      <c r="A129" s="111" t="s">
        <v>2265</v>
      </c>
      <c r="B129" s="112">
        <v>6517181</v>
      </c>
      <c r="C129" s="112">
        <v>6517181</v>
      </c>
      <c r="D129" s="113">
        <v>4203883</v>
      </c>
      <c r="E129" s="113">
        <v>267597</v>
      </c>
      <c r="F129" s="113">
        <v>359040</v>
      </c>
      <c r="G129" s="113">
        <v>0</v>
      </c>
      <c r="H129" s="113">
        <v>486438</v>
      </c>
      <c r="I129" s="113">
        <v>0</v>
      </c>
      <c r="J129" s="113">
        <v>0</v>
      </c>
      <c r="K129" s="113">
        <v>376992</v>
      </c>
      <c r="L129" s="113">
        <v>0</v>
      </c>
      <c r="M129" s="113">
        <v>0</v>
      </c>
    </row>
    <row r="130" spans="1:13">
      <c r="A130" s="111" t="s">
        <v>2266</v>
      </c>
      <c r="B130" s="112">
        <v>106565</v>
      </c>
      <c r="C130" s="112">
        <v>106565</v>
      </c>
      <c r="D130" s="113">
        <v>106565</v>
      </c>
      <c r="E130" s="113">
        <v>0</v>
      </c>
      <c r="F130" s="113">
        <v>0</v>
      </c>
      <c r="G130" s="113">
        <v>0</v>
      </c>
      <c r="H130" s="113">
        <v>0</v>
      </c>
      <c r="I130" s="113">
        <v>0</v>
      </c>
      <c r="J130" s="113">
        <v>0</v>
      </c>
      <c r="K130" s="113">
        <v>0</v>
      </c>
      <c r="L130" s="113">
        <v>0</v>
      </c>
      <c r="M130" s="113">
        <v>0</v>
      </c>
    </row>
    <row r="131" spans="1:13">
      <c r="A131" s="111" t="s">
        <v>2267</v>
      </c>
      <c r="B131" s="112">
        <v>0</v>
      </c>
      <c r="C131" s="112">
        <v>0</v>
      </c>
      <c r="D131" s="113">
        <v>0</v>
      </c>
      <c r="E131" s="113">
        <v>0</v>
      </c>
      <c r="F131" s="113">
        <v>0</v>
      </c>
      <c r="G131" s="113">
        <v>0</v>
      </c>
      <c r="H131" s="113">
        <v>0</v>
      </c>
      <c r="I131" s="113">
        <v>0</v>
      </c>
      <c r="J131" s="113">
        <v>0</v>
      </c>
      <c r="K131" s="113">
        <v>0</v>
      </c>
      <c r="L131" s="113">
        <v>0</v>
      </c>
      <c r="M131" s="113">
        <v>0</v>
      </c>
    </row>
    <row r="132" spans="1:13">
      <c r="A132" s="111" t="s">
        <v>2268</v>
      </c>
      <c r="B132" s="112">
        <v>6319150249</v>
      </c>
      <c r="C132" s="112">
        <v>6319150249</v>
      </c>
      <c r="D132" s="113">
        <v>2193005368</v>
      </c>
      <c r="E132" s="113">
        <v>262709157</v>
      </c>
      <c r="F132" s="113">
        <v>286363375</v>
      </c>
      <c r="G132" s="113">
        <v>192559845</v>
      </c>
      <c r="H132" s="113">
        <v>168935000</v>
      </c>
      <c r="I132" s="113">
        <v>264084489</v>
      </c>
      <c r="J132" s="113">
        <v>316421235</v>
      </c>
      <c r="K132" s="113">
        <v>320196626</v>
      </c>
      <c r="L132" s="113">
        <v>252984606</v>
      </c>
      <c r="M132" s="113">
        <v>0</v>
      </c>
    </row>
    <row r="133" spans="1:13">
      <c r="A133" s="111" t="s">
        <v>2269</v>
      </c>
      <c r="B133" s="112">
        <v>4179000</v>
      </c>
      <c r="C133" s="112">
        <v>4179000</v>
      </c>
      <c r="D133" s="113">
        <v>0</v>
      </c>
      <c r="E133" s="113">
        <v>0</v>
      </c>
      <c r="F133" s="113">
        <v>0</v>
      </c>
      <c r="G133" s="113">
        <v>2079000</v>
      </c>
      <c r="H133" s="113">
        <v>0</v>
      </c>
      <c r="I133" s="113">
        <v>0</v>
      </c>
      <c r="J133" s="113">
        <v>0</v>
      </c>
      <c r="K133" s="113">
        <v>0</v>
      </c>
      <c r="L133" s="113">
        <v>0</v>
      </c>
      <c r="M133" s="113">
        <v>0</v>
      </c>
    </row>
    <row r="134" spans="1:13">
      <c r="A134" s="111" t="s">
        <v>2270</v>
      </c>
      <c r="B134" s="112">
        <v>9154691057</v>
      </c>
      <c r="C134" s="112">
        <v>9154691057</v>
      </c>
      <c r="D134" s="113">
        <v>3140167733</v>
      </c>
      <c r="E134" s="113">
        <v>400724570</v>
      </c>
      <c r="F134" s="113">
        <v>356565505</v>
      </c>
      <c r="G134" s="113">
        <v>260427963</v>
      </c>
      <c r="H134" s="113">
        <v>208093246</v>
      </c>
      <c r="I134" s="113">
        <v>372877833</v>
      </c>
      <c r="J134" s="113">
        <v>412304066</v>
      </c>
      <c r="K134" s="113">
        <v>385809063</v>
      </c>
      <c r="L134" s="113">
        <v>284041173</v>
      </c>
      <c r="M134" s="113">
        <v>0</v>
      </c>
    </row>
    <row r="135" spans="1:13">
      <c r="A135" s="111" t="s">
        <v>2271</v>
      </c>
      <c r="B135" s="112"/>
      <c r="C135" s="112"/>
      <c r="D135" s="113"/>
      <c r="E135" s="113"/>
      <c r="F135" s="113"/>
      <c r="G135" s="113"/>
      <c r="H135" s="113"/>
      <c r="I135" s="113"/>
      <c r="J135" s="113"/>
      <c r="K135" s="113"/>
      <c r="L135" s="113"/>
      <c r="M135" s="113"/>
    </row>
    <row r="136" spans="1:13">
      <c r="A136" s="111" t="s">
        <v>2272</v>
      </c>
      <c r="B136" s="112">
        <v>0</v>
      </c>
      <c r="C136" s="112">
        <v>0</v>
      </c>
      <c r="D136" s="113">
        <v>0</v>
      </c>
      <c r="E136" s="113">
        <v>0</v>
      </c>
      <c r="F136" s="113">
        <v>0</v>
      </c>
      <c r="G136" s="113">
        <v>0</v>
      </c>
      <c r="H136" s="113">
        <v>0</v>
      </c>
      <c r="I136" s="113">
        <v>0</v>
      </c>
      <c r="J136" s="113">
        <v>0</v>
      </c>
      <c r="K136" s="113">
        <v>0</v>
      </c>
      <c r="L136" s="113">
        <v>0</v>
      </c>
      <c r="M136" s="113">
        <v>0</v>
      </c>
    </row>
    <row r="137" spans="1:13">
      <c r="A137" s="111" t="s">
        <v>2273</v>
      </c>
      <c r="B137" s="112"/>
      <c r="C137" s="112"/>
      <c r="D137" s="113"/>
      <c r="E137" s="113"/>
      <c r="F137" s="113"/>
      <c r="G137" s="113"/>
      <c r="H137" s="113"/>
      <c r="I137" s="113"/>
      <c r="J137" s="113"/>
      <c r="K137" s="113"/>
      <c r="L137" s="113"/>
      <c r="M137" s="113"/>
    </row>
    <row r="138" spans="1:13">
      <c r="A138" s="111" t="s">
        <v>2274</v>
      </c>
      <c r="B138" s="112">
        <v>0</v>
      </c>
      <c r="C138" s="112">
        <v>0</v>
      </c>
      <c r="D138" s="113">
        <v>0</v>
      </c>
      <c r="E138" s="113">
        <v>0</v>
      </c>
      <c r="F138" s="113">
        <v>0</v>
      </c>
      <c r="G138" s="113">
        <v>0</v>
      </c>
      <c r="H138" s="113">
        <v>0</v>
      </c>
      <c r="I138" s="113">
        <v>0</v>
      </c>
      <c r="J138" s="113">
        <v>0</v>
      </c>
      <c r="K138" s="113">
        <v>0</v>
      </c>
      <c r="L138" s="113">
        <v>0</v>
      </c>
      <c r="M138" s="113">
        <v>0</v>
      </c>
    </row>
    <row r="139" spans="1:13">
      <c r="A139" s="111" t="s">
        <v>2275</v>
      </c>
      <c r="B139" s="112">
        <v>41910000</v>
      </c>
      <c r="C139" s="112">
        <v>41910000</v>
      </c>
      <c r="D139" s="113">
        <v>32710000</v>
      </c>
      <c r="E139" s="113">
        <v>50000</v>
      </c>
      <c r="F139" s="113">
        <v>350000</v>
      </c>
      <c r="G139" s="113">
        <v>150000</v>
      </c>
      <c r="H139" s="113">
        <v>350000</v>
      </c>
      <c r="I139" s="113">
        <v>50000</v>
      </c>
      <c r="J139" s="113">
        <v>400000</v>
      </c>
      <c r="K139" s="113">
        <v>1050000</v>
      </c>
      <c r="L139" s="113">
        <v>50000</v>
      </c>
      <c r="M139" s="113">
        <v>0</v>
      </c>
    </row>
    <row r="140" spans="1:13">
      <c r="A140" s="111" t="s">
        <v>2276</v>
      </c>
      <c r="B140" s="112">
        <v>600000</v>
      </c>
      <c r="C140" s="112">
        <v>600000</v>
      </c>
      <c r="D140" s="113">
        <v>600000</v>
      </c>
      <c r="E140" s="113">
        <v>0</v>
      </c>
      <c r="F140" s="113">
        <v>0</v>
      </c>
      <c r="G140" s="113">
        <v>0</v>
      </c>
      <c r="H140" s="113">
        <v>0</v>
      </c>
      <c r="I140" s="113">
        <v>0</v>
      </c>
      <c r="J140" s="113">
        <v>0</v>
      </c>
      <c r="K140" s="113">
        <v>0</v>
      </c>
      <c r="L140" s="113">
        <v>0</v>
      </c>
      <c r="M140" s="113">
        <v>0</v>
      </c>
    </row>
    <row r="141" spans="1:13">
      <c r="A141" s="111" t="s">
        <v>2277</v>
      </c>
      <c r="B141" s="112">
        <v>4640679</v>
      </c>
      <c r="C141" s="112">
        <v>4640679</v>
      </c>
      <c r="D141" s="113">
        <v>2715316</v>
      </c>
      <c r="E141" s="113">
        <v>0</v>
      </c>
      <c r="F141" s="113">
        <v>0</v>
      </c>
      <c r="G141" s="113">
        <v>262540</v>
      </c>
      <c r="H141" s="113">
        <v>299668</v>
      </c>
      <c r="I141" s="113">
        <v>0</v>
      </c>
      <c r="J141" s="113">
        <v>0</v>
      </c>
      <c r="K141" s="113">
        <v>0</v>
      </c>
      <c r="L141" s="113">
        <v>0</v>
      </c>
      <c r="M141" s="113">
        <v>0</v>
      </c>
    </row>
    <row r="142" spans="1:13">
      <c r="A142" s="111" t="s">
        <v>2278</v>
      </c>
      <c r="B142" s="112">
        <v>46062602</v>
      </c>
      <c r="C142" s="112">
        <v>46062602</v>
      </c>
      <c r="D142" s="113">
        <v>46062602</v>
      </c>
      <c r="E142" s="113">
        <v>0</v>
      </c>
      <c r="F142" s="113">
        <v>0</v>
      </c>
      <c r="G142" s="113">
        <v>0</v>
      </c>
      <c r="H142" s="113">
        <v>0</v>
      </c>
      <c r="I142" s="113">
        <v>0</v>
      </c>
      <c r="J142" s="113">
        <v>0</v>
      </c>
      <c r="K142" s="113">
        <v>0</v>
      </c>
      <c r="L142" s="113">
        <v>0</v>
      </c>
      <c r="M142" s="113">
        <v>0</v>
      </c>
    </row>
    <row r="143" spans="1:13">
      <c r="A143" s="111" t="s">
        <v>2279</v>
      </c>
      <c r="B143" s="112">
        <v>7486800</v>
      </c>
      <c r="C143" s="112">
        <v>7486800</v>
      </c>
      <c r="D143" s="113">
        <v>7486800</v>
      </c>
      <c r="E143" s="113">
        <v>0</v>
      </c>
      <c r="F143" s="113">
        <v>0</v>
      </c>
      <c r="G143" s="113">
        <v>0</v>
      </c>
      <c r="H143" s="113">
        <v>0</v>
      </c>
      <c r="I143" s="113">
        <v>0</v>
      </c>
      <c r="J143" s="113">
        <v>0</v>
      </c>
      <c r="K143" s="113">
        <v>0</v>
      </c>
      <c r="L143" s="113">
        <v>0</v>
      </c>
      <c r="M143" s="113">
        <v>0</v>
      </c>
    </row>
    <row r="144" spans="1:13">
      <c r="A144" s="111" t="s">
        <v>2280</v>
      </c>
      <c r="B144" s="112">
        <v>0</v>
      </c>
      <c r="C144" s="112">
        <v>90000000</v>
      </c>
      <c r="D144" s="113">
        <v>0</v>
      </c>
      <c r="E144" s="113">
        <v>0</v>
      </c>
      <c r="F144" s="113">
        <v>0</v>
      </c>
      <c r="G144" s="113">
        <v>0</v>
      </c>
      <c r="H144" s="113">
        <v>0</v>
      </c>
      <c r="I144" s="113">
        <v>0</v>
      </c>
      <c r="J144" s="113">
        <v>0</v>
      </c>
      <c r="K144" s="113">
        <v>0</v>
      </c>
      <c r="L144" s="113">
        <v>0</v>
      </c>
      <c r="M144" s="113">
        <v>90000000</v>
      </c>
    </row>
    <row r="145" spans="1:13">
      <c r="A145" s="111" t="s">
        <v>2281</v>
      </c>
      <c r="B145" s="112">
        <v>100700081</v>
      </c>
      <c r="C145" s="112">
        <v>190700081</v>
      </c>
      <c r="D145" s="113">
        <v>89574718</v>
      </c>
      <c r="E145" s="113">
        <v>50000</v>
      </c>
      <c r="F145" s="113">
        <v>350000</v>
      </c>
      <c r="G145" s="113">
        <v>412540</v>
      </c>
      <c r="H145" s="113">
        <v>649668</v>
      </c>
      <c r="I145" s="113">
        <v>50000</v>
      </c>
      <c r="J145" s="113">
        <v>400000</v>
      </c>
      <c r="K145" s="113">
        <v>1050000</v>
      </c>
      <c r="L145" s="113">
        <v>50000</v>
      </c>
      <c r="M145" s="113">
        <v>90000000</v>
      </c>
    </row>
    <row r="146" spans="1:13">
      <c r="A146" s="111" t="s">
        <v>2282</v>
      </c>
      <c r="B146" s="112">
        <v>9255391138</v>
      </c>
      <c r="C146" s="112">
        <v>9345391138</v>
      </c>
      <c r="D146" s="113">
        <v>3229742451</v>
      </c>
      <c r="E146" s="113">
        <v>400774570</v>
      </c>
      <c r="F146" s="113">
        <v>356915505</v>
      </c>
      <c r="G146" s="113">
        <v>260840503</v>
      </c>
      <c r="H146" s="113">
        <v>208742914</v>
      </c>
      <c r="I146" s="113">
        <v>372927833</v>
      </c>
      <c r="J146" s="113">
        <v>412704066</v>
      </c>
      <c r="K146" s="113">
        <v>386859063</v>
      </c>
      <c r="L146" s="113">
        <v>284091173</v>
      </c>
      <c r="M146" s="113">
        <v>90000000</v>
      </c>
    </row>
    <row r="147" spans="1:13">
      <c r="A147" s="111" t="s">
        <v>2283</v>
      </c>
      <c r="B147" s="112"/>
      <c r="C147" s="112"/>
      <c r="D147" s="113"/>
      <c r="E147" s="113"/>
      <c r="F147" s="113"/>
      <c r="G147" s="113"/>
      <c r="H147" s="113"/>
      <c r="I147" s="113"/>
      <c r="J147" s="113"/>
      <c r="K147" s="113"/>
      <c r="L147" s="113"/>
      <c r="M147" s="113"/>
    </row>
    <row r="148" spans="1:13">
      <c r="A148" s="111" t="s">
        <v>2284</v>
      </c>
      <c r="B148" s="112">
        <v>0</v>
      </c>
      <c r="C148" s="112">
        <v>0</v>
      </c>
      <c r="D148" s="113">
        <v>0</v>
      </c>
      <c r="E148" s="113">
        <v>0</v>
      </c>
      <c r="F148" s="113">
        <v>0</v>
      </c>
      <c r="G148" s="113">
        <v>0</v>
      </c>
      <c r="H148" s="113">
        <v>0</v>
      </c>
      <c r="I148" s="113">
        <v>0</v>
      </c>
      <c r="J148" s="113">
        <v>0</v>
      </c>
      <c r="K148" s="113">
        <v>0</v>
      </c>
      <c r="L148" s="113">
        <v>0</v>
      </c>
      <c r="M148" s="113">
        <v>0</v>
      </c>
    </row>
    <row r="149" spans="1:13">
      <c r="A149" s="111" t="s">
        <v>2285</v>
      </c>
      <c r="B149" s="112">
        <v>0</v>
      </c>
      <c r="C149" s="112">
        <v>0</v>
      </c>
      <c r="D149" s="113">
        <v>0</v>
      </c>
      <c r="E149" s="113">
        <v>0</v>
      </c>
      <c r="F149" s="113">
        <v>0</v>
      </c>
      <c r="G149" s="113">
        <v>0</v>
      </c>
      <c r="H149" s="113">
        <v>0</v>
      </c>
      <c r="I149" s="113">
        <v>0</v>
      </c>
      <c r="J149" s="113">
        <v>0</v>
      </c>
      <c r="K149" s="113">
        <v>0</v>
      </c>
      <c r="L149" s="113">
        <v>0</v>
      </c>
      <c r="M149" s="113">
        <v>0</v>
      </c>
    </row>
    <row r="150" spans="1:13">
      <c r="A150" s="111" t="s">
        <v>2286</v>
      </c>
      <c r="B150" s="112">
        <v>0</v>
      </c>
      <c r="C150" s="112">
        <v>0</v>
      </c>
      <c r="D150" s="113">
        <v>0</v>
      </c>
      <c r="E150" s="113">
        <v>0</v>
      </c>
      <c r="F150" s="113">
        <v>0</v>
      </c>
      <c r="G150" s="113">
        <v>0</v>
      </c>
      <c r="H150" s="113">
        <v>0</v>
      </c>
      <c r="I150" s="113">
        <v>0</v>
      </c>
      <c r="J150" s="113">
        <v>0</v>
      </c>
      <c r="K150" s="113">
        <v>0</v>
      </c>
      <c r="L150" s="113">
        <v>0</v>
      </c>
      <c r="M150" s="113">
        <v>0</v>
      </c>
    </row>
    <row r="151" spans="1:13">
      <c r="A151" s="111" t="s">
        <v>2287</v>
      </c>
      <c r="B151" s="112">
        <v>10035603879</v>
      </c>
      <c r="C151" s="112">
        <v>10290091581</v>
      </c>
      <c r="D151" s="113">
        <v>3697586591</v>
      </c>
      <c r="E151" s="113">
        <v>414349490</v>
      </c>
      <c r="F151" s="113">
        <v>366221205</v>
      </c>
      <c r="G151" s="113">
        <v>297373098</v>
      </c>
      <c r="H151" s="113">
        <v>218247999</v>
      </c>
      <c r="I151" s="113">
        <v>397568515</v>
      </c>
      <c r="J151" s="113">
        <v>434713632</v>
      </c>
      <c r="K151" s="113">
        <v>404253645</v>
      </c>
      <c r="L151" s="113">
        <v>297362570</v>
      </c>
      <c r="M151" s="113">
        <v>103103889</v>
      </c>
    </row>
    <row r="152" spans="1:13">
      <c r="A152" s="111" t="s">
        <v>2288</v>
      </c>
      <c r="B152" s="112"/>
      <c r="C152" s="112"/>
      <c r="D152" s="113"/>
      <c r="E152" s="113"/>
      <c r="F152" s="113"/>
      <c r="G152" s="113"/>
      <c r="H152" s="113"/>
      <c r="I152" s="113"/>
      <c r="J152" s="113"/>
      <c r="K152" s="113"/>
      <c r="L152" s="113"/>
      <c r="M152" s="113"/>
    </row>
    <row r="153" spans="1:13">
      <c r="A153" s="111" t="s">
        <v>2289</v>
      </c>
      <c r="B153" s="112">
        <v>0</v>
      </c>
      <c r="C153" s="112">
        <v>0</v>
      </c>
      <c r="D153" s="113">
        <v>0</v>
      </c>
      <c r="E153" s="113">
        <v>0</v>
      </c>
      <c r="F153" s="113">
        <v>0</v>
      </c>
      <c r="G153" s="113">
        <v>0</v>
      </c>
      <c r="H153" s="113">
        <v>0</v>
      </c>
      <c r="I153" s="113">
        <v>0</v>
      </c>
      <c r="J153" s="113">
        <v>0</v>
      </c>
      <c r="K153" s="113">
        <v>0</v>
      </c>
      <c r="L153" s="113">
        <v>0</v>
      </c>
      <c r="M153" s="113">
        <v>0</v>
      </c>
    </row>
    <row r="154" spans="1:13">
      <c r="A154" s="111" t="s">
        <v>2290</v>
      </c>
      <c r="B154" s="112"/>
      <c r="C154" s="112"/>
      <c r="D154" s="113"/>
      <c r="E154" s="113"/>
      <c r="F154" s="113"/>
      <c r="G154" s="113"/>
      <c r="H154" s="113"/>
      <c r="I154" s="113"/>
      <c r="J154" s="113"/>
      <c r="K154" s="113"/>
      <c r="L154" s="113"/>
      <c r="M154" s="113"/>
    </row>
    <row r="155" spans="1:13">
      <c r="A155" s="111" t="s">
        <v>2291</v>
      </c>
      <c r="B155" s="112">
        <v>157951858</v>
      </c>
      <c r="C155" s="112">
        <v>157951858</v>
      </c>
      <c r="D155" s="113">
        <v>78179293</v>
      </c>
      <c r="E155" s="113">
        <v>760000</v>
      </c>
      <c r="F155" s="113">
        <v>820000</v>
      </c>
      <c r="G155" s="113">
        <v>8194988</v>
      </c>
      <c r="H155" s="113">
        <v>852800</v>
      </c>
      <c r="I155" s="113">
        <v>760000</v>
      </c>
      <c r="J155" s="113">
        <v>751000</v>
      </c>
      <c r="K155" s="113">
        <v>5743441</v>
      </c>
      <c r="L155" s="113">
        <v>17959951</v>
      </c>
      <c r="M155" s="113">
        <v>28948254</v>
      </c>
    </row>
    <row r="156" spans="1:13">
      <c r="A156" s="111" t="s">
        <v>2292</v>
      </c>
      <c r="B156" s="112">
        <v>0</v>
      </c>
      <c r="C156" s="112">
        <v>0</v>
      </c>
      <c r="D156" s="113">
        <v>0</v>
      </c>
      <c r="E156" s="113">
        <v>0</v>
      </c>
      <c r="F156" s="113">
        <v>0</v>
      </c>
      <c r="G156" s="113">
        <v>0</v>
      </c>
      <c r="H156" s="113">
        <v>0</v>
      </c>
      <c r="I156" s="113">
        <v>0</v>
      </c>
      <c r="J156" s="113">
        <v>0</v>
      </c>
      <c r="K156" s="113">
        <v>0</v>
      </c>
      <c r="L156" s="113">
        <v>0</v>
      </c>
      <c r="M156" s="113">
        <v>0</v>
      </c>
    </row>
    <row r="157" spans="1:13">
      <c r="A157" s="111" t="s">
        <v>2293</v>
      </c>
      <c r="B157" s="112">
        <v>0</v>
      </c>
      <c r="C157" s="112">
        <v>0</v>
      </c>
      <c r="D157" s="113">
        <v>0</v>
      </c>
      <c r="E157" s="113">
        <v>0</v>
      </c>
      <c r="F157" s="113">
        <v>0</v>
      </c>
      <c r="G157" s="113">
        <v>0</v>
      </c>
      <c r="H157" s="113">
        <v>0</v>
      </c>
      <c r="I157" s="113">
        <v>0</v>
      </c>
      <c r="J157" s="113">
        <v>0</v>
      </c>
      <c r="K157" s="113">
        <v>0</v>
      </c>
      <c r="L157" s="113">
        <v>0</v>
      </c>
      <c r="M157" s="113">
        <v>0</v>
      </c>
    </row>
    <row r="158" spans="1:13">
      <c r="A158" s="111" t="s">
        <v>2294</v>
      </c>
      <c r="B158" s="112">
        <v>0</v>
      </c>
      <c r="C158" s="112">
        <v>164487702</v>
      </c>
      <c r="D158" s="113">
        <v>137460702</v>
      </c>
      <c r="E158" s="113">
        <v>1930500</v>
      </c>
      <c r="F158" s="113">
        <v>1930500</v>
      </c>
      <c r="G158" s="113">
        <v>1930500</v>
      </c>
      <c r="H158" s="113">
        <v>1930500</v>
      </c>
      <c r="I158" s="113">
        <v>1930500</v>
      </c>
      <c r="J158" s="113">
        <v>1930500</v>
      </c>
      <c r="K158" s="113">
        <v>1930500</v>
      </c>
      <c r="L158" s="113">
        <v>1930500</v>
      </c>
      <c r="M158" s="113">
        <v>0</v>
      </c>
    </row>
    <row r="159" spans="1:13">
      <c r="A159" s="111" t="s">
        <v>2295</v>
      </c>
      <c r="B159" s="112">
        <v>145968</v>
      </c>
      <c r="C159" s="112">
        <v>145968</v>
      </c>
      <c r="D159" s="113">
        <v>145968</v>
      </c>
      <c r="E159" s="113">
        <v>0</v>
      </c>
      <c r="F159" s="113">
        <v>0</v>
      </c>
      <c r="G159" s="113">
        <v>0</v>
      </c>
      <c r="H159" s="113">
        <v>0</v>
      </c>
      <c r="I159" s="113">
        <v>0</v>
      </c>
      <c r="J159" s="113">
        <v>0</v>
      </c>
      <c r="K159" s="113">
        <v>0</v>
      </c>
      <c r="L159" s="113">
        <v>0</v>
      </c>
      <c r="M159" s="113">
        <v>0</v>
      </c>
    </row>
    <row r="160" spans="1:13">
      <c r="A160" s="111" t="s">
        <v>2296</v>
      </c>
      <c r="B160" s="112">
        <v>2037107</v>
      </c>
      <c r="C160" s="112">
        <v>2037107</v>
      </c>
      <c r="D160" s="113">
        <v>2035732</v>
      </c>
      <c r="E160" s="113">
        <v>0</v>
      </c>
      <c r="F160" s="113">
        <v>0</v>
      </c>
      <c r="G160" s="113">
        <v>0</v>
      </c>
      <c r="H160" s="113">
        <v>0</v>
      </c>
      <c r="I160" s="113">
        <v>0</v>
      </c>
      <c r="J160" s="113">
        <v>0</v>
      </c>
      <c r="K160" s="113">
        <v>0</v>
      </c>
      <c r="L160" s="113">
        <v>0</v>
      </c>
      <c r="M160" s="113">
        <v>0</v>
      </c>
    </row>
    <row r="161" spans="1:13">
      <c r="A161" s="111" t="s">
        <v>2297</v>
      </c>
      <c r="B161" s="112">
        <v>0</v>
      </c>
      <c r="C161" s="112">
        <v>0</v>
      </c>
      <c r="D161" s="113">
        <v>0</v>
      </c>
      <c r="E161" s="113">
        <v>0</v>
      </c>
      <c r="F161" s="113">
        <v>0</v>
      </c>
      <c r="G161" s="113">
        <v>0</v>
      </c>
      <c r="H161" s="113">
        <v>0</v>
      </c>
      <c r="I161" s="113">
        <v>0</v>
      </c>
      <c r="J161" s="113">
        <v>0</v>
      </c>
      <c r="K161" s="113">
        <v>0</v>
      </c>
      <c r="L161" s="113">
        <v>0</v>
      </c>
      <c r="M161" s="113">
        <v>0</v>
      </c>
    </row>
    <row r="162" spans="1:13">
      <c r="A162" s="111" t="s">
        <v>2298</v>
      </c>
      <c r="B162" s="112">
        <v>-62071900</v>
      </c>
      <c r="C162" s="112">
        <v>-62071900</v>
      </c>
      <c r="D162" s="113">
        <v>-33811200</v>
      </c>
      <c r="E162" s="113">
        <v>-1141000</v>
      </c>
      <c r="F162" s="113">
        <v>-1074500</v>
      </c>
      <c r="G162" s="113">
        <v>-1122400</v>
      </c>
      <c r="H162" s="113">
        <v>-13140900</v>
      </c>
      <c r="I162" s="113">
        <v>-1465500</v>
      </c>
      <c r="J162" s="113">
        <v>-1161700</v>
      </c>
      <c r="K162" s="113">
        <v>-936000</v>
      </c>
      <c r="L162" s="113">
        <v>-839300</v>
      </c>
      <c r="M162" s="113">
        <v>-1137500</v>
      </c>
    </row>
    <row r="163" spans="1:13">
      <c r="A163" s="111" t="s">
        <v>2299</v>
      </c>
      <c r="B163" s="112">
        <v>24045300</v>
      </c>
      <c r="C163" s="112">
        <v>24045300</v>
      </c>
      <c r="D163" s="113">
        <v>21647600</v>
      </c>
      <c r="E163" s="113">
        <v>0</v>
      </c>
      <c r="F163" s="113">
        <v>547600</v>
      </c>
      <c r="G163" s="113">
        <v>0</v>
      </c>
      <c r="H163" s="113">
        <v>0</v>
      </c>
      <c r="I163" s="113">
        <v>608200</v>
      </c>
      <c r="J163" s="113">
        <v>1241900</v>
      </c>
      <c r="K163" s="113">
        <v>0</v>
      </c>
      <c r="L163" s="113">
        <v>0</v>
      </c>
      <c r="M163" s="113">
        <v>0</v>
      </c>
    </row>
    <row r="164" spans="1:13">
      <c r="A164" s="111" t="s">
        <v>2300</v>
      </c>
      <c r="B164" s="112">
        <v>131978</v>
      </c>
      <c r="C164" s="112">
        <v>131978</v>
      </c>
      <c r="D164" s="113">
        <v>131978</v>
      </c>
      <c r="E164" s="113">
        <v>0</v>
      </c>
      <c r="F164" s="113">
        <v>0</v>
      </c>
      <c r="G164" s="113">
        <v>0</v>
      </c>
      <c r="H164" s="113">
        <v>0</v>
      </c>
      <c r="I164" s="113">
        <v>0</v>
      </c>
      <c r="J164" s="113">
        <v>0</v>
      </c>
      <c r="K164" s="113">
        <v>0</v>
      </c>
      <c r="L164" s="113">
        <v>0</v>
      </c>
      <c r="M164" s="113">
        <v>0</v>
      </c>
    </row>
    <row r="165" spans="1:13">
      <c r="A165" s="111" t="s">
        <v>2301</v>
      </c>
      <c r="B165" s="112">
        <v>0</v>
      </c>
      <c r="C165" s="112">
        <v>0</v>
      </c>
      <c r="D165" s="113">
        <v>0</v>
      </c>
      <c r="E165" s="113">
        <v>0</v>
      </c>
      <c r="F165" s="113">
        <v>0</v>
      </c>
      <c r="G165" s="113">
        <v>0</v>
      </c>
      <c r="H165" s="113">
        <v>0</v>
      </c>
      <c r="I165" s="113">
        <v>0</v>
      </c>
      <c r="J165" s="113">
        <v>0</v>
      </c>
      <c r="K165" s="113">
        <v>0</v>
      </c>
      <c r="L165" s="113">
        <v>0</v>
      </c>
      <c r="M165" s="113">
        <v>0</v>
      </c>
    </row>
    <row r="166" spans="1:13">
      <c r="A166" s="111" t="s">
        <v>2302</v>
      </c>
      <c r="B166" s="112">
        <v>510209</v>
      </c>
      <c r="C166" s="112">
        <v>510209</v>
      </c>
      <c r="D166" s="113">
        <v>510107</v>
      </c>
      <c r="E166" s="113">
        <v>0</v>
      </c>
      <c r="F166" s="113">
        <v>0</v>
      </c>
      <c r="G166" s="113">
        <v>0</v>
      </c>
      <c r="H166" s="113">
        <v>0</v>
      </c>
      <c r="I166" s="113">
        <v>0</v>
      </c>
      <c r="J166" s="113">
        <v>0</v>
      </c>
      <c r="K166" s="113">
        <v>0</v>
      </c>
      <c r="L166" s="113">
        <v>0</v>
      </c>
      <c r="M166" s="113">
        <v>0</v>
      </c>
    </row>
    <row r="167" spans="1:13">
      <c r="A167" s="111" t="s">
        <v>2303</v>
      </c>
      <c r="B167" s="112">
        <v>29084703</v>
      </c>
      <c r="C167" s="112">
        <v>29084703</v>
      </c>
      <c r="D167" s="113">
        <v>29084703</v>
      </c>
      <c r="E167" s="113">
        <v>0</v>
      </c>
      <c r="F167" s="113">
        <v>0</v>
      </c>
      <c r="G167" s="113">
        <v>0</v>
      </c>
      <c r="H167" s="113">
        <v>0</v>
      </c>
      <c r="I167" s="113">
        <v>0</v>
      </c>
      <c r="J167" s="113">
        <v>0</v>
      </c>
      <c r="K167" s="113">
        <v>0</v>
      </c>
      <c r="L167" s="113">
        <v>0</v>
      </c>
      <c r="M167" s="113">
        <v>0</v>
      </c>
    </row>
    <row r="168" spans="1:13">
      <c r="A168" s="111" t="s">
        <v>2304</v>
      </c>
      <c r="B168" s="112">
        <v>0</v>
      </c>
      <c r="C168" s="112">
        <v>0</v>
      </c>
      <c r="D168" s="113">
        <v>0</v>
      </c>
      <c r="E168" s="113">
        <v>0</v>
      </c>
      <c r="F168" s="113">
        <v>0</v>
      </c>
      <c r="G168" s="113">
        <v>0</v>
      </c>
      <c r="H168" s="113">
        <v>0</v>
      </c>
      <c r="I168" s="113">
        <v>0</v>
      </c>
      <c r="J168" s="113">
        <v>0</v>
      </c>
      <c r="K168" s="113">
        <v>0</v>
      </c>
      <c r="L168" s="113">
        <v>0</v>
      </c>
      <c r="M168" s="113">
        <v>0</v>
      </c>
    </row>
    <row r="169" spans="1:13">
      <c r="A169" s="111" t="s">
        <v>2305</v>
      </c>
      <c r="B169" s="112">
        <v>0</v>
      </c>
      <c r="C169" s="112">
        <v>0</v>
      </c>
      <c r="D169" s="113">
        <v>0</v>
      </c>
      <c r="E169" s="113">
        <v>0</v>
      </c>
      <c r="F169" s="113">
        <v>0</v>
      </c>
      <c r="G169" s="113">
        <v>0</v>
      </c>
      <c r="H169" s="113">
        <v>0</v>
      </c>
      <c r="I169" s="113">
        <v>0</v>
      </c>
      <c r="J169" s="113">
        <v>0</v>
      </c>
      <c r="K169" s="113">
        <v>0</v>
      </c>
      <c r="L169" s="113">
        <v>0</v>
      </c>
      <c r="M169" s="113">
        <v>0</v>
      </c>
    </row>
    <row r="170" spans="1:13">
      <c r="A170" s="111" t="s">
        <v>2306</v>
      </c>
      <c r="B170" s="112">
        <v>74706885</v>
      </c>
      <c r="C170" s="112">
        <v>74706885</v>
      </c>
      <c r="D170" s="113">
        <v>13159652</v>
      </c>
      <c r="E170" s="113">
        <v>3075000</v>
      </c>
      <c r="F170" s="113">
        <v>3821800</v>
      </c>
      <c r="G170" s="113">
        <v>3212500</v>
      </c>
      <c r="H170" s="113">
        <v>2153300</v>
      </c>
      <c r="I170" s="113">
        <v>5297033</v>
      </c>
      <c r="J170" s="113">
        <v>16100000</v>
      </c>
      <c r="K170" s="113">
        <v>2800500</v>
      </c>
      <c r="L170" s="113">
        <v>4928900</v>
      </c>
      <c r="M170" s="113">
        <v>0</v>
      </c>
    </row>
    <row r="171" spans="1:13">
      <c r="A171" s="111" t="s">
        <v>2307</v>
      </c>
      <c r="B171" s="112">
        <v>-29065138</v>
      </c>
      <c r="C171" s="112">
        <v>-29065138</v>
      </c>
      <c r="D171" s="113">
        <v>-25068373</v>
      </c>
      <c r="E171" s="113">
        <v>0</v>
      </c>
      <c r="F171" s="113">
        <v>-913000</v>
      </c>
      <c r="G171" s="113">
        <v>0</v>
      </c>
      <c r="H171" s="113">
        <v>0</v>
      </c>
      <c r="I171" s="113">
        <v>-1013765</v>
      </c>
      <c r="J171" s="113">
        <v>-2070000</v>
      </c>
      <c r="K171" s="113">
        <v>0</v>
      </c>
      <c r="L171" s="113">
        <v>0</v>
      </c>
      <c r="M171" s="113">
        <v>0</v>
      </c>
    </row>
    <row r="172" spans="1:13">
      <c r="A172" s="111" t="s">
        <v>2308</v>
      </c>
      <c r="B172" s="112">
        <v>197476970</v>
      </c>
      <c r="C172" s="112">
        <v>361964672</v>
      </c>
      <c r="D172" s="113">
        <v>223476162</v>
      </c>
      <c r="E172" s="113">
        <v>4624500</v>
      </c>
      <c r="F172" s="113">
        <v>5132400</v>
      </c>
      <c r="G172" s="113">
        <v>12215588</v>
      </c>
      <c r="H172" s="113">
        <v>-8204300</v>
      </c>
      <c r="I172" s="113">
        <v>6116468</v>
      </c>
      <c r="J172" s="113">
        <v>16791700</v>
      </c>
      <c r="K172" s="113">
        <v>9538441</v>
      </c>
      <c r="L172" s="113">
        <v>23980051</v>
      </c>
      <c r="M172" s="113">
        <v>27810754</v>
      </c>
    </row>
    <row r="173" spans="1:13">
      <c r="A173" s="111" t="s">
        <v>2309</v>
      </c>
      <c r="B173" s="112">
        <v>197476970</v>
      </c>
      <c r="C173" s="112">
        <v>361964672</v>
      </c>
      <c r="D173" s="113">
        <v>223476162</v>
      </c>
      <c r="E173" s="113">
        <v>4624500</v>
      </c>
      <c r="F173" s="113">
        <v>5132400</v>
      </c>
      <c r="G173" s="113">
        <v>12215588</v>
      </c>
      <c r="H173" s="113">
        <v>-8204300</v>
      </c>
      <c r="I173" s="113">
        <v>6116468</v>
      </c>
      <c r="J173" s="113">
        <v>16791700</v>
      </c>
      <c r="K173" s="113">
        <v>9538441</v>
      </c>
      <c r="L173" s="113">
        <v>23980051</v>
      </c>
      <c r="M173" s="113">
        <v>27810754</v>
      </c>
    </row>
    <row r="174" spans="1:13">
      <c r="A174" s="111" t="s">
        <v>2310</v>
      </c>
      <c r="B174" s="112"/>
      <c r="C174" s="112"/>
      <c r="D174" s="113"/>
      <c r="E174" s="113"/>
      <c r="F174" s="113"/>
      <c r="G174" s="113"/>
      <c r="H174" s="113"/>
      <c r="I174" s="113"/>
      <c r="J174" s="113"/>
      <c r="K174" s="113"/>
      <c r="L174" s="113"/>
      <c r="M174" s="113"/>
    </row>
    <row r="175" spans="1:13">
      <c r="A175" s="111" t="s">
        <v>2311</v>
      </c>
      <c r="B175" s="112">
        <v>8063398235</v>
      </c>
      <c r="C175" s="112">
        <v>8063398235</v>
      </c>
      <c r="D175" s="113">
        <v>2754121577</v>
      </c>
      <c r="E175" s="113">
        <v>289146337</v>
      </c>
      <c r="F175" s="113">
        <v>313706389</v>
      </c>
      <c r="G175" s="113">
        <v>187106609</v>
      </c>
      <c r="H175" s="113">
        <v>166166517</v>
      </c>
      <c r="I175" s="113">
        <v>325693047</v>
      </c>
      <c r="J175" s="113">
        <v>366807279</v>
      </c>
      <c r="K175" s="113">
        <v>312439387</v>
      </c>
      <c r="L175" s="113">
        <v>227542871</v>
      </c>
      <c r="M175" s="113">
        <v>0</v>
      </c>
    </row>
    <row r="176" spans="1:13">
      <c r="A176" s="111" t="s">
        <v>2312</v>
      </c>
      <c r="B176" s="112">
        <v>364355133</v>
      </c>
      <c r="C176" s="112">
        <v>364355133</v>
      </c>
      <c r="D176" s="113">
        <v>218221684</v>
      </c>
      <c r="E176" s="113">
        <v>0</v>
      </c>
      <c r="F176" s="113">
        <v>0</v>
      </c>
      <c r="G176" s="113">
        <v>27500000</v>
      </c>
      <c r="H176" s="113">
        <v>10000000</v>
      </c>
      <c r="I176" s="113">
        <v>9688000</v>
      </c>
      <c r="J176" s="113">
        <v>10000000</v>
      </c>
      <c r="K176" s="113">
        <v>0</v>
      </c>
      <c r="L176" s="113">
        <v>0</v>
      </c>
      <c r="M176" s="113">
        <v>32502449</v>
      </c>
    </row>
    <row r="177" spans="1:13">
      <c r="A177" s="111" t="s">
        <v>2313</v>
      </c>
      <c r="B177" s="112">
        <v>187445651</v>
      </c>
      <c r="C177" s="112">
        <v>187445651</v>
      </c>
      <c r="D177" s="113">
        <v>127245743</v>
      </c>
      <c r="E177" s="113">
        <v>0</v>
      </c>
      <c r="F177" s="113">
        <v>0</v>
      </c>
      <c r="G177" s="113">
        <v>13503100</v>
      </c>
      <c r="H177" s="113">
        <v>0</v>
      </c>
      <c r="I177" s="113">
        <v>0</v>
      </c>
      <c r="J177" s="113">
        <v>0</v>
      </c>
      <c r="K177" s="113">
        <v>1272936</v>
      </c>
      <c r="L177" s="113">
        <v>0</v>
      </c>
      <c r="M177" s="113">
        <v>0</v>
      </c>
    </row>
    <row r="178" spans="1:13">
      <c r="A178" s="111" t="s">
        <v>2314</v>
      </c>
      <c r="B178" s="112">
        <v>0</v>
      </c>
      <c r="C178" s="112">
        <v>0</v>
      </c>
      <c r="D178" s="113">
        <v>0</v>
      </c>
      <c r="E178" s="113">
        <v>0</v>
      </c>
      <c r="F178" s="113">
        <v>0</v>
      </c>
      <c r="G178" s="113">
        <v>0</v>
      </c>
      <c r="H178" s="113">
        <v>0</v>
      </c>
      <c r="I178" s="113">
        <v>0</v>
      </c>
      <c r="J178" s="113">
        <v>0</v>
      </c>
      <c r="K178" s="113">
        <v>0</v>
      </c>
      <c r="L178" s="113">
        <v>0</v>
      </c>
      <c r="M178" s="113">
        <v>0</v>
      </c>
    </row>
    <row r="179" spans="1:13">
      <c r="A179" s="111" t="s">
        <v>2315</v>
      </c>
      <c r="B179" s="112">
        <v>0</v>
      </c>
      <c r="C179" s="112">
        <v>0</v>
      </c>
      <c r="D179" s="113">
        <v>0</v>
      </c>
      <c r="E179" s="113">
        <v>0</v>
      </c>
      <c r="F179" s="113">
        <v>0</v>
      </c>
      <c r="G179" s="113">
        <v>0</v>
      </c>
      <c r="H179" s="113">
        <v>0</v>
      </c>
      <c r="I179" s="113">
        <v>0</v>
      </c>
      <c r="J179" s="113">
        <v>0</v>
      </c>
      <c r="K179" s="113">
        <v>0</v>
      </c>
      <c r="L179" s="113">
        <v>0</v>
      </c>
      <c r="M179" s="113">
        <v>0</v>
      </c>
    </row>
    <row r="180" spans="1:13">
      <c r="A180" s="111" t="s">
        <v>2316</v>
      </c>
      <c r="B180" s="112">
        <v>0</v>
      </c>
      <c r="C180" s="112">
        <v>0</v>
      </c>
      <c r="D180" s="113">
        <v>0</v>
      </c>
      <c r="E180" s="113">
        <v>0</v>
      </c>
      <c r="F180" s="113">
        <v>0</v>
      </c>
      <c r="G180" s="113">
        <v>0</v>
      </c>
      <c r="H180" s="113">
        <v>0</v>
      </c>
      <c r="I180" s="113">
        <v>0</v>
      </c>
      <c r="J180" s="113">
        <v>0</v>
      </c>
      <c r="K180" s="113">
        <v>0</v>
      </c>
      <c r="L180" s="113">
        <v>0</v>
      </c>
      <c r="M180" s="113">
        <v>0</v>
      </c>
    </row>
    <row r="181" spans="1:13">
      <c r="A181" s="111" t="s">
        <v>2317</v>
      </c>
      <c r="B181" s="112">
        <v>8615199019</v>
      </c>
      <c r="C181" s="112">
        <v>8615199019</v>
      </c>
      <c r="D181" s="113">
        <v>3099589004</v>
      </c>
      <c r="E181" s="113">
        <v>289146337</v>
      </c>
      <c r="F181" s="113">
        <v>313706389</v>
      </c>
      <c r="G181" s="113">
        <v>228109709</v>
      </c>
      <c r="H181" s="113">
        <v>176166517</v>
      </c>
      <c r="I181" s="113">
        <v>335381047</v>
      </c>
      <c r="J181" s="113">
        <v>376807279</v>
      </c>
      <c r="K181" s="113">
        <v>313712323</v>
      </c>
      <c r="L181" s="113">
        <v>227542871</v>
      </c>
      <c r="M181" s="113">
        <v>32502449</v>
      </c>
    </row>
    <row r="182" spans="1:13">
      <c r="A182" s="111" t="s">
        <v>2318</v>
      </c>
      <c r="B182" s="112">
        <v>8812675989</v>
      </c>
      <c r="C182" s="112">
        <v>8977163691</v>
      </c>
      <c r="D182" s="113">
        <v>3323065166</v>
      </c>
      <c r="E182" s="113">
        <v>293770837</v>
      </c>
      <c r="F182" s="113">
        <v>318838789</v>
      </c>
      <c r="G182" s="113">
        <v>240325297</v>
      </c>
      <c r="H182" s="113">
        <v>167962217</v>
      </c>
      <c r="I182" s="113">
        <v>341497515</v>
      </c>
      <c r="J182" s="113">
        <v>393598979</v>
      </c>
      <c r="K182" s="113">
        <v>323250764</v>
      </c>
      <c r="L182" s="113">
        <v>251522922</v>
      </c>
      <c r="M182" s="113">
        <v>60313203</v>
      </c>
    </row>
    <row r="183" spans="1:13">
      <c r="A183" s="111" t="s">
        <v>2319</v>
      </c>
      <c r="B183" s="112"/>
      <c r="C183" s="112"/>
      <c r="D183" s="113"/>
      <c r="E183" s="113"/>
      <c r="F183" s="113"/>
      <c r="G183" s="113"/>
      <c r="H183" s="113"/>
      <c r="I183" s="113"/>
      <c r="J183" s="113"/>
      <c r="K183" s="113"/>
      <c r="L183" s="113"/>
      <c r="M183" s="113"/>
    </row>
    <row r="184" spans="1:13">
      <c r="A184" s="111" t="s">
        <v>2320</v>
      </c>
      <c r="B184" s="112">
        <v>10000000</v>
      </c>
      <c r="C184" s="112">
        <v>100000000</v>
      </c>
      <c r="D184" s="113">
        <v>10000000</v>
      </c>
      <c r="E184" s="113">
        <v>3000000</v>
      </c>
      <c r="F184" s="113">
        <v>5000000</v>
      </c>
      <c r="G184" s="113">
        <v>5000000</v>
      </c>
      <c r="H184" s="113">
        <v>10000000</v>
      </c>
      <c r="I184" s="113">
        <v>10000000</v>
      </c>
      <c r="J184" s="113">
        <v>1000000</v>
      </c>
      <c r="K184" s="113">
        <v>1000000</v>
      </c>
      <c r="L184" s="113">
        <v>1000000</v>
      </c>
      <c r="M184" s="113">
        <v>10000000</v>
      </c>
    </row>
    <row r="185" spans="1:13">
      <c r="A185" s="111" t="s">
        <v>2321</v>
      </c>
      <c r="B185" s="112">
        <v>10000000</v>
      </c>
      <c r="C185" s="112">
        <v>100000000</v>
      </c>
      <c r="D185" s="113">
        <v>10000000</v>
      </c>
      <c r="E185" s="113">
        <v>3000000</v>
      </c>
      <c r="F185" s="113">
        <v>5000000</v>
      </c>
      <c r="G185" s="113">
        <v>5000000</v>
      </c>
      <c r="H185" s="113">
        <v>10000000</v>
      </c>
      <c r="I185" s="113">
        <v>10000000</v>
      </c>
      <c r="J185" s="113">
        <v>1000000</v>
      </c>
      <c r="K185" s="113">
        <v>1000000</v>
      </c>
      <c r="L185" s="113">
        <v>1000000</v>
      </c>
      <c r="M185" s="113">
        <v>10000000</v>
      </c>
    </row>
    <row r="186" spans="1:13">
      <c r="A186" s="111" t="s">
        <v>2322</v>
      </c>
      <c r="B186" s="112"/>
      <c r="C186" s="112"/>
      <c r="D186" s="113"/>
      <c r="E186" s="113"/>
      <c r="F186" s="113"/>
      <c r="G186" s="113"/>
      <c r="H186" s="113"/>
      <c r="I186" s="113"/>
      <c r="J186" s="113"/>
      <c r="K186" s="113"/>
      <c r="L186" s="113"/>
      <c r="M186" s="113"/>
    </row>
    <row r="187" spans="1:13">
      <c r="A187" s="111" t="s">
        <v>2323</v>
      </c>
      <c r="B187" s="112">
        <v>0</v>
      </c>
      <c r="C187" s="112">
        <v>0</v>
      </c>
      <c r="D187" s="113">
        <v>0</v>
      </c>
      <c r="E187" s="113">
        <v>0</v>
      </c>
      <c r="F187" s="113">
        <v>0</v>
      </c>
      <c r="G187" s="113">
        <v>0</v>
      </c>
      <c r="H187" s="113">
        <v>0</v>
      </c>
      <c r="I187" s="113">
        <v>0</v>
      </c>
      <c r="J187" s="113">
        <v>0</v>
      </c>
      <c r="K187" s="113">
        <v>0</v>
      </c>
      <c r="L187" s="113">
        <v>0</v>
      </c>
      <c r="M187" s="113">
        <v>0</v>
      </c>
    </row>
    <row r="188" spans="1:13">
      <c r="A188" s="111" t="s">
        <v>2324</v>
      </c>
      <c r="B188" s="112"/>
      <c r="C188" s="112"/>
      <c r="D188" s="113"/>
      <c r="E188" s="113"/>
      <c r="F188" s="113"/>
      <c r="G188" s="113"/>
      <c r="H188" s="113"/>
      <c r="I188" s="113"/>
      <c r="J188" s="113"/>
      <c r="K188" s="113"/>
      <c r="L188" s="113"/>
      <c r="M188" s="113"/>
    </row>
    <row r="189" spans="1:13">
      <c r="A189" s="111" t="s">
        <v>2325</v>
      </c>
      <c r="B189" s="112">
        <v>0</v>
      </c>
      <c r="C189" s="112">
        <v>0</v>
      </c>
      <c r="D189" s="113">
        <v>0</v>
      </c>
      <c r="E189" s="113">
        <v>0</v>
      </c>
      <c r="F189" s="113">
        <v>0</v>
      </c>
      <c r="G189" s="113">
        <v>0</v>
      </c>
      <c r="H189" s="113">
        <v>0</v>
      </c>
      <c r="I189" s="113">
        <v>0</v>
      </c>
      <c r="J189" s="113">
        <v>0</v>
      </c>
      <c r="K189" s="113">
        <v>0</v>
      </c>
      <c r="L189" s="113">
        <v>0</v>
      </c>
      <c r="M189" s="113">
        <v>0</v>
      </c>
    </row>
    <row r="190" spans="1:13">
      <c r="A190" s="111" t="s">
        <v>2326</v>
      </c>
      <c r="B190" s="112">
        <v>26000000</v>
      </c>
      <c r="C190" s="112">
        <v>26000000</v>
      </c>
      <c r="D190" s="113">
        <v>0</v>
      </c>
      <c r="E190" s="113">
        <v>0</v>
      </c>
      <c r="F190" s="113">
        <v>0</v>
      </c>
      <c r="G190" s="113">
        <v>0</v>
      </c>
      <c r="H190" s="113">
        <v>0</v>
      </c>
      <c r="I190" s="113">
        <v>0</v>
      </c>
      <c r="J190" s="113">
        <v>0</v>
      </c>
      <c r="K190" s="113">
        <v>0</v>
      </c>
      <c r="L190" s="113">
        <v>0</v>
      </c>
      <c r="M190" s="113">
        <v>26000000</v>
      </c>
    </row>
    <row r="191" spans="1:13">
      <c r="A191" s="111" t="s">
        <v>2327</v>
      </c>
      <c r="B191" s="112">
        <v>26000000</v>
      </c>
      <c r="C191" s="112">
        <v>26000000</v>
      </c>
      <c r="D191" s="113">
        <v>0</v>
      </c>
      <c r="E191" s="113">
        <v>0</v>
      </c>
      <c r="F191" s="113">
        <v>0</v>
      </c>
      <c r="G191" s="113">
        <v>0</v>
      </c>
      <c r="H191" s="113">
        <v>0</v>
      </c>
      <c r="I191" s="113">
        <v>0</v>
      </c>
      <c r="J191" s="113">
        <v>0</v>
      </c>
      <c r="K191" s="113">
        <v>0</v>
      </c>
      <c r="L191" s="113">
        <v>0</v>
      </c>
      <c r="M191" s="113">
        <v>26000000</v>
      </c>
    </row>
    <row r="192" spans="1:13">
      <c r="A192" s="111" t="s">
        <v>2328</v>
      </c>
      <c r="B192" s="112">
        <v>26000000</v>
      </c>
      <c r="C192" s="112">
        <v>26000000</v>
      </c>
      <c r="D192" s="113">
        <v>0</v>
      </c>
      <c r="E192" s="113">
        <v>0</v>
      </c>
      <c r="F192" s="113">
        <v>0</v>
      </c>
      <c r="G192" s="113">
        <v>0</v>
      </c>
      <c r="H192" s="113">
        <v>0</v>
      </c>
      <c r="I192" s="113">
        <v>0</v>
      </c>
      <c r="J192" s="113">
        <v>0</v>
      </c>
      <c r="K192" s="113">
        <v>0</v>
      </c>
      <c r="L192" s="113">
        <v>0</v>
      </c>
      <c r="M192" s="113">
        <v>26000000</v>
      </c>
    </row>
    <row r="193" spans="1:13">
      <c r="A193" s="111" t="s">
        <v>2329</v>
      </c>
      <c r="B193" s="112"/>
      <c r="C193" s="112"/>
      <c r="D193" s="113"/>
      <c r="E193" s="113"/>
      <c r="F193" s="113"/>
      <c r="G193" s="113"/>
      <c r="H193" s="113"/>
      <c r="I193" s="113"/>
      <c r="J193" s="113"/>
      <c r="K193" s="113"/>
      <c r="L193" s="113"/>
      <c r="M193" s="113"/>
    </row>
    <row r="194" spans="1:13">
      <c r="A194" s="111" t="s">
        <v>2330</v>
      </c>
      <c r="B194" s="112">
        <v>0</v>
      </c>
      <c r="C194" s="112">
        <v>0</v>
      </c>
      <c r="D194" s="113">
        <v>0</v>
      </c>
      <c r="E194" s="113">
        <v>0</v>
      </c>
      <c r="F194" s="113">
        <v>0</v>
      </c>
      <c r="G194" s="113">
        <v>0</v>
      </c>
      <c r="H194" s="113">
        <v>0</v>
      </c>
      <c r="I194" s="113">
        <v>0</v>
      </c>
      <c r="J194" s="113">
        <v>0</v>
      </c>
      <c r="K194" s="113">
        <v>0</v>
      </c>
      <c r="L194" s="113">
        <v>0</v>
      </c>
      <c r="M194" s="113">
        <v>0</v>
      </c>
    </row>
    <row r="195" spans="1:13">
      <c r="A195" s="111" t="s">
        <v>2331</v>
      </c>
      <c r="B195" s="112">
        <v>0</v>
      </c>
      <c r="C195" s="112">
        <v>0</v>
      </c>
      <c r="D195" s="113">
        <v>0</v>
      </c>
      <c r="E195" s="113">
        <v>0</v>
      </c>
      <c r="F195" s="113">
        <v>0</v>
      </c>
      <c r="G195" s="113">
        <v>0</v>
      </c>
      <c r="H195" s="113">
        <v>0</v>
      </c>
      <c r="I195" s="113">
        <v>0</v>
      </c>
      <c r="J195" s="113">
        <v>0</v>
      </c>
      <c r="K195" s="113">
        <v>0</v>
      </c>
      <c r="L195" s="113">
        <v>0</v>
      </c>
      <c r="M195" s="113">
        <v>0</v>
      </c>
    </row>
    <row r="196" spans="1:13">
      <c r="A196" s="111" t="s">
        <v>2332</v>
      </c>
      <c r="B196" s="112">
        <v>940504698</v>
      </c>
      <c r="C196" s="112">
        <v>940504698</v>
      </c>
      <c r="D196" s="113">
        <v>292967973</v>
      </c>
      <c r="E196" s="113">
        <v>105795608</v>
      </c>
      <c r="F196" s="113">
        <v>35438708</v>
      </c>
      <c r="G196" s="113">
        <v>49291923</v>
      </c>
      <c r="H196" s="113">
        <v>32036398</v>
      </c>
      <c r="I196" s="113">
        <v>32060767</v>
      </c>
      <c r="J196" s="113">
        <v>30260150</v>
      </c>
      <c r="K196" s="113">
        <v>71345448</v>
      </c>
      <c r="L196" s="113">
        <v>37889786</v>
      </c>
      <c r="M196" s="113">
        <v>1070546</v>
      </c>
    </row>
    <row r="197" spans="1:13">
      <c r="A197" s="111" t="s">
        <v>2333</v>
      </c>
      <c r="B197" s="112">
        <v>246423192</v>
      </c>
      <c r="C197" s="112">
        <v>246423192</v>
      </c>
      <c r="D197" s="113">
        <v>71553452</v>
      </c>
      <c r="E197" s="113">
        <v>11783045</v>
      </c>
      <c r="F197" s="113">
        <v>6943708</v>
      </c>
      <c r="G197" s="113">
        <v>2755878</v>
      </c>
      <c r="H197" s="113">
        <v>8249384</v>
      </c>
      <c r="I197" s="113">
        <v>14010233</v>
      </c>
      <c r="J197" s="113">
        <v>9854503</v>
      </c>
      <c r="K197" s="113">
        <v>8657433</v>
      </c>
      <c r="L197" s="113">
        <v>6949862</v>
      </c>
      <c r="M197" s="113">
        <v>5720140</v>
      </c>
    </row>
    <row r="198" spans="1:13">
      <c r="A198" s="111" t="s">
        <v>2334</v>
      </c>
      <c r="B198" s="112">
        <v>1186927890</v>
      </c>
      <c r="C198" s="112">
        <v>1186927890</v>
      </c>
      <c r="D198" s="113">
        <v>364521425</v>
      </c>
      <c r="E198" s="113">
        <v>117578653</v>
      </c>
      <c r="F198" s="113">
        <v>42382416</v>
      </c>
      <c r="G198" s="113">
        <v>52047801</v>
      </c>
      <c r="H198" s="113">
        <v>40285782</v>
      </c>
      <c r="I198" s="113">
        <v>46071000</v>
      </c>
      <c r="J198" s="113">
        <v>40114653</v>
      </c>
      <c r="K198" s="113">
        <v>80002881</v>
      </c>
      <c r="L198" s="113">
        <v>44839648</v>
      </c>
      <c r="M198" s="113">
        <v>6790686</v>
      </c>
    </row>
    <row r="199" spans="1:13">
      <c r="A199" s="111" t="s">
        <v>2335</v>
      </c>
      <c r="B199" s="112">
        <v>1186927890</v>
      </c>
      <c r="C199" s="112">
        <v>1186927890</v>
      </c>
      <c r="D199" s="113">
        <v>364521425</v>
      </c>
      <c r="E199" s="113">
        <v>117578653</v>
      </c>
      <c r="F199" s="113">
        <v>42382416</v>
      </c>
      <c r="G199" s="113">
        <v>52047801</v>
      </c>
      <c r="H199" s="113">
        <v>40285782</v>
      </c>
      <c r="I199" s="113">
        <v>46071000</v>
      </c>
      <c r="J199" s="113">
        <v>40114653</v>
      </c>
      <c r="K199" s="113">
        <v>80002881</v>
      </c>
      <c r="L199" s="113">
        <v>44839648</v>
      </c>
      <c r="M199" s="113">
        <v>6790686</v>
      </c>
    </row>
    <row r="200" spans="1:13">
      <c r="A200" s="111" t="s">
        <v>2336</v>
      </c>
      <c r="B200" s="112">
        <v>1186927890</v>
      </c>
      <c r="C200" s="112">
        <v>1186927890</v>
      </c>
      <c r="D200" s="113">
        <v>364521425</v>
      </c>
      <c r="E200" s="113">
        <v>117578653</v>
      </c>
      <c r="F200" s="113">
        <v>42382416</v>
      </c>
      <c r="G200" s="113">
        <v>52047801</v>
      </c>
      <c r="H200" s="113">
        <v>40285782</v>
      </c>
      <c r="I200" s="113">
        <v>46071000</v>
      </c>
      <c r="J200" s="113">
        <v>40114653</v>
      </c>
      <c r="K200" s="113">
        <v>80002881</v>
      </c>
      <c r="L200" s="113">
        <v>44839648</v>
      </c>
      <c r="M200" s="113">
        <v>6790686</v>
      </c>
    </row>
    <row r="201" spans="1:13">
      <c r="A201" s="111" t="s">
        <v>2337</v>
      </c>
      <c r="B201" s="112"/>
      <c r="C201" s="112"/>
      <c r="D201" s="113"/>
      <c r="E201" s="113"/>
      <c r="F201" s="113"/>
      <c r="G201" s="113"/>
      <c r="H201" s="113"/>
      <c r="I201" s="113"/>
      <c r="J201" s="113"/>
      <c r="K201" s="113"/>
      <c r="L201" s="113"/>
      <c r="M201" s="113"/>
    </row>
    <row r="202" spans="1:13">
      <c r="A202" s="111" t="s">
        <v>2338</v>
      </c>
      <c r="B202" s="112">
        <v>0</v>
      </c>
      <c r="C202" s="112">
        <v>0</v>
      </c>
      <c r="D202" s="113">
        <v>0</v>
      </c>
      <c r="E202" s="113">
        <v>0</v>
      </c>
      <c r="F202" s="113">
        <v>0</v>
      </c>
      <c r="G202" s="113">
        <v>0</v>
      </c>
      <c r="H202" s="113">
        <v>0</v>
      </c>
      <c r="I202" s="113">
        <v>0</v>
      </c>
      <c r="J202" s="113">
        <v>0</v>
      </c>
      <c r="K202" s="113">
        <v>0</v>
      </c>
      <c r="L202" s="113">
        <v>0</v>
      </c>
      <c r="M202" s="113">
        <v>0</v>
      </c>
    </row>
    <row r="203" spans="1:13">
      <c r="A203" s="111" t="s">
        <v>2339</v>
      </c>
      <c r="B203" s="112"/>
      <c r="C203" s="112"/>
      <c r="D203" s="113"/>
      <c r="E203" s="113"/>
      <c r="F203" s="113"/>
      <c r="G203" s="113"/>
      <c r="H203" s="113"/>
      <c r="I203" s="113"/>
      <c r="J203" s="113"/>
      <c r="K203" s="113"/>
      <c r="L203" s="113"/>
      <c r="M203" s="113"/>
    </row>
    <row r="204" spans="1:13">
      <c r="A204" s="111" t="s">
        <v>2340</v>
      </c>
      <c r="B204" s="112">
        <v>0</v>
      </c>
      <c r="C204" s="112">
        <v>0</v>
      </c>
      <c r="D204" s="113">
        <v>0</v>
      </c>
      <c r="E204" s="113">
        <v>0</v>
      </c>
      <c r="F204" s="113">
        <v>0</v>
      </c>
      <c r="G204" s="113">
        <v>0</v>
      </c>
      <c r="H204" s="113">
        <v>0</v>
      </c>
      <c r="I204" s="113">
        <v>0</v>
      </c>
      <c r="J204" s="113">
        <v>0</v>
      </c>
      <c r="K204" s="113">
        <v>0</v>
      </c>
      <c r="L204" s="113">
        <v>0</v>
      </c>
      <c r="M204" s="113">
        <v>0</v>
      </c>
    </row>
    <row r="205" spans="1:13">
      <c r="A205" s="111" t="s">
        <v>2341</v>
      </c>
      <c r="B205" s="112">
        <v>1222927890</v>
      </c>
      <c r="C205" s="112">
        <v>1312927890</v>
      </c>
      <c r="D205" s="113">
        <v>374521425</v>
      </c>
      <c r="E205" s="113">
        <v>120578653</v>
      </c>
      <c r="F205" s="113">
        <v>47382416</v>
      </c>
      <c r="G205" s="113">
        <v>57047801</v>
      </c>
      <c r="H205" s="113">
        <v>50285782</v>
      </c>
      <c r="I205" s="113">
        <v>56071000</v>
      </c>
      <c r="J205" s="113">
        <v>41114653</v>
      </c>
      <c r="K205" s="113">
        <v>81002881</v>
      </c>
      <c r="L205" s="113">
        <v>45839648</v>
      </c>
      <c r="M205" s="113">
        <v>42790686</v>
      </c>
    </row>
    <row r="206" spans="1:13">
      <c r="A206" s="111" t="s">
        <v>2342</v>
      </c>
      <c r="B206" s="112"/>
      <c r="C206" s="112"/>
      <c r="D206" s="113"/>
      <c r="E206" s="113"/>
      <c r="F206" s="113"/>
      <c r="G206" s="113"/>
      <c r="H206" s="113"/>
      <c r="I206" s="113"/>
      <c r="J206" s="113"/>
      <c r="K206" s="113"/>
      <c r="L206" s="113"/>
      <c r="M206" s="113"/>
    </row>
    <row r="207" spans="1:13">
      <c r="A207" s="111" t="s">
        <v>2343</v>
      </c>
      <c r="B207" s="112">
        <v>0</v>
      </c>
      <c r="C207" s="112">
        <v>0</v>
      </c>
      <c r="D207" s="113">
        <v>0</v>
      </c>
      <c r="E207" s="113">
        <v>0</v>
      </c>
      <c r="F207" s="113">
        <v>0</v>
      </c>
      <c r="G207" s="113">
        <v>0</v>
      </c>
      <c r="H207" s="113">
        <v>0</v>
      </c>
      <c r="I207" s="113">
        <v>0</v>
      </c>
      <c r="J207" s="113">
        <v>0</v>
      </c>
      <c r="K207" s="113">
        <v>0</v>
      </c>
      <c r="L207" s="113">
        <v>0</v>
      </c>
      <c r="M207" s="113">
        <v>0</v>
      </c>
    </row>
    <row r="208" spans="1:13">
      <c r="A208" s="111" t="s">
        <v>2344</v>
      </c>
      <c r="B208" s="112"/>
      <c r="C208" s="112"/>
      <c r="D208" s="113"/>
      <c r="E208" s="113"/>
      <c r="F208" s="113"/>
      <c r="G208" s="113"/>
      <c r="H208" s="113"/>
      <c r="I208" s="113"/>
      <c r="J208" s="113"/>
      <c r="K208" s="113"/>
      <c r="L208" s="113"/>
      <c r="M208" s="113"/>
    </row>
    <row r="209" spans="1:13">
      <c r="A209" s="111" t="s">
        <v>2345</v>
      </c>
      <c r="B209" s="112">
        <v>0</v>
      </c>
      <c r="C209" s="112">
        <v>0</v>
      </c>
      <c r="D209" s="113">
        <v>0</v>
      </c>
      <c r="E209" s="113">
        <v>0</v>
      </c>
      <c r="F209" s="113">
        <v>0</v>
      </c>
      <c r="G209" s="113">
        <v>0</v>
      </c>
      <c r="H209" s="113">
        <v>0</v>
      </c>
      <c r="I209" s="113">
        <v>0</v>
      </c>
      <c r="J209" s="113">
        <v>0</v>
      </c>
      <c r="K209" s="113">
        <v>0</v>
      </c>
      <c r="L209" s="113">
        <v>0</v>
      </c>
      <c r="M209" s="113">
        <v>0</v>
      </c>
    </row>
    <row r="210" spans="1:13">
      <c r="A210" s="111" t="s">
        <v>2346</v>
      </c>
      <c r="B210" s="112">
        <v>1222927890</v>
      </c>
      <c r="C210" s="112">
        <v>1312927890</v>
      </c>
      <c r="D210" s="113">
        <v>374521425</v>
      </c>
      <c r="E210" s="113">
        <v>120578653</v>
      </c>
      <c r="F210" s="113">
        <v>47382416</v>
      </c>
      <c r="G210" s="113">
        <v>57047801</v>
      </c>
      <c r="H210" s="113">
        <v>50285782</v>
      </c>
      <c r="I210" s="113">
        <v>56071000</v>
      </c>
      <c r="J210" s="113">
        <v>41114653</v>
      </c>
      <c r="K210" s="113">
        <v>81002881</v>
      </c>
      <c r="L210" s="113">
        <v>45839648</v>
      </c>
      <c r="M210" s="113">
        <v>42790686</v>
      </c>
    </row>
    <row r="211" spans="1:13">
      <c r="A211" s="111" t="s">
        <v>2347</v>
      </c>
      <c r="B211" s="112">
        <v>10035603879</v>
      </c>
      <c r="C211" s="112">
        <v>10290091581</v>
      </c>
      <c r="D211" s="113">
        <v>3697586591</v>
      </c>
      <c r="E211" s="113">
        <v>414349490</v>
      </c>
      <c r="F211" s="113">
        <v>366221205</v>
      </c>
      <c r="G211" s="113">
        <v>297373098</v>
      </c>
      <c r="H211" s="113">
        <v>218247999</v>
      </c>
      <c r="I211" s="113">
        <v>397568515</v>
      </c>
      <c r="J211" s="113">
        <v>434713632</v>
      </c>
      <c r="K211" s="113">
        <v>404253645</v>
      </c>
      <c r="L211" s="113">
        <v>297362570</v>
      </c>
      <c r="M211" s="113">
        <v>103103889</v>
      </c>
    </row>
  </sheetData>
  <phoneticPr fontId="5"/>
  <pageMargins left="0.23622047244094491" right="0.23622047244094491" top="0.74803149606299213" bottom="0.74803149606299213" header="0.31496062992125984" footer="0.31496062992125984"/>
  <pageSetup paperSize="8" scale="94" fitToHeight="0" orientation="landscape" horizontalDpi="1200" verticalDpi="1200" r:id="rId1"/>
  <headerFooter>
    <oddHeader>&amp;A</oddHeader>
    <oddFooter>&amp;P / &amp;N ページ</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6E16E-BD27-479C-9DEE-04A5E19BA99D}">
  <sheetPr>
    <pageSetUpPr fitToPage="1"/>
  </sheetPr>
  <dimension ref="A1:M212"/>
  <sheetViews>
    <sheetView view="pageBreakPreview" zoomScaleNormal="100" zoomScaleSheetLayoutView="100" workbookViewId="0"/>
  </sheetViews>
  <sheetFormatPr defaultRowHeight="13.5"/>
  <cols>
    <col min="1" max="1" width="20.25" customWidth="1"/>
    <col min="2" max="13" width="16.75" customWidth="1"/>
  </cols>
  <sheetData>
    <row r="1" spans="1:13" ht="24">
      <c r="A1" s="90" t="s">
        <v>2348</v>
      </c>
      <c r="B1" s="91"/>
      <c r="C1" s="92"/>
      <c r="D1" s="92"/>
      <c r="E1" s="93" t="s">
        <v>2349</v>
      </c>
      <c r="F1" t="s">
        <v>2117</v>
      </c>
    </row>
    <row r="2" spans="1:13">
      <c r="A2" s="94" t="s">
        <v>2118</v>
      </c>
      <c r="B2" s="94"/>
      <c r="C2" s="94"/>
      <c r="D2" s="94" t="s">
        <v>2119</v>
      </c>
      <c r="E2" s="94"/>
      <c r="F2" s="94"/>
      <c r="G2" s="94"/>
      <c r="H2" s="94"/>
      <c r="I2" s="94"/>
      <c r="J2" s="94"/>
      <c r="K2" s="94"/>
      <c r="L2" s="94"/>
      <c r="M2" s="94"/>
    </row>
    <row r="3" spans="1:13" ht="22.5">
      <c r="A3" s="95" t="s">
        <v>2120</v>
      </c>
      <c r="B3" s="95" t="s">
        <v>2121</v>
      </c>
      <c r="C3" s="95" t="s">
        <v>2122</v>
      </c>
      <c r="D3" s="96" t="s">
        <v>2123</v>
      </c>
      <c r="E3" s="96" t="s">
        <v>2124</v>
      </c>
      <c r="F3" s="96" t="s">
        <v>2125</v>
      </c>
      <c r="G3" s="96" t="s">
        <v>2126</v>
      </c>
      <c r="H3" s="96" t="s">
        <v>2127</v>
      </c>
      <c r="I3" s="96" t="s">
        <v>2128</v>
      </c>
      <c r="J3" s="96" t="s">
        <v>2129</v>
      </c>
      <c r="K3" s="96" t="s">
        <v>2130</v>
      </c>
      <c r="L3" s="96" t="s">
        <v>2131</v>
      </c>
      <c r="M3" s="96" t="s">
        <v>2132</v>
      </c>
    </row>
    <row r="4" spans="1:13">
      <c r="A4" s="97" t="s">
        <v>2133</v>
      </c>
      <c r="B4" s="98"/>
      <c r="C4" s="98"/>
      <c r="D4" s="99"/>
      <c r="E4" s="99"/>
      <c r="F4" s="99"/>
      <c r="G4" s="99"/>
      <c r="H4" s="99"/>
      <c r="I4" s="99"/>
      <c r="J4" s="99"/>
      <c r="K4" s="99"/>
      <c r="L4" s="99"/>
      <c r="M4" s="99"/>
    </row>
    <row r="5" spans="1:13">
      <c r="A5" s="97" t="s">
        <v>2134</v>
      </c>
      <c r="B5" s="98">
        <v>551335733</v>
      </c>
      <c r="C5" s="98">
        <v>551335733</v>
      </c>
      <c r="D5" s="99">
        <v>168052626</v>
      </c>
      <c r="E5" s="99">
        <v>27347048</v>
      </c>
      <c r="F5" s="99">
        <v>21794277</v>
      </c>
      <c r="G5" s="99">
        <v>23273061</v>
      </c>
      <c r="H5" s="99">
        <v>16105913</v>
      </c>
      <c r="I5" s="99">
        <v>27345402</v>
      </c>
      <c r="J5" s="99">
        <v>22770000</v>
      </c>
      <c r="K5" s="99">
        <v>25066515</v>
      </c>
      <c r="L5" s="99">
        <v>16852746</v>
      </c>
      <c r="M5" s="99">
        <v>0</v>
      </c>
    </row>
    <row r="6" spans="1:13">
      <c r="A6" s="97" t="s">
        <v>2135</v>
      </c>
      <c r="B6" s="98">
        <v>2975659</v>
      </c>
      <c r="C6" s="98">
        <v>2975659</v>
      </c>
      <c r="D6" s="99">
        <v>1301740</v>
      </c>
      <c r="E6" s="99">
        <v>0</v>
      </c>
      <c r="F6" s="99">
        <v>0</v>
      </c>
      <c r="G6" s="99">
        <v>300376</v>
      </c>
      <c r="H6" s="99">
        <v>63350</v>
      </c>
      <c r="I6" s="99">
        <v>0</v>
      </c>
      <c r="J6" s="99">
        <v>0</v>
      </c>
      <c r="K6" s="99">
        <v>30800</v>
      </c>
      <c r="L6" s="99">
        <v>0</v>
      </c>
      <c r="M6" s="99">
        <v>0</v>
      </c>
    </row>
    <row r="7" spans="1:13">
      <c r="A7" s="97" t="s">
        <v>2136</v>
      </c>
      <c r="B7" s="98">
        <v>12047492</v>
      </c>
      <c r="C7" s="98">
        <v>12047492</v>
      </c>
      <c r="D7" s="99">
        <v>2277485</v>
      </c>
      <c r="E7" s="99">
        <v>856000</v>
      </c>
      <c r="F7" s="99">
        <v>353000</v>
      </c>
      <c r="G7" s="99">
        <v>595500</v>
      </c>
      <c r="H7" s="99">
        <v>262000</v>
      </c>
      <c r="I7" s="99">
        <v>1805092</v>
      </c>
      <c r="J7" s="99">
        <v>0</v>
      </c>
      <c r="K7" s="99">
        <v>948315</v>
      </c>
      <c r="L7" s="99">
        <v>0</v>
      </c>
      <c r="M7" s="99">
        <v>0</v>
      </c>
    </row>
    <row r="8" spans="1:13">
      <c r="A8" s="97" t="s">
        <v>2137</v>
      </c>
      <c r="B8" s="98">
        <v>5836037</v>
      </c>
      <c r="C8" s="98">
        <v>5836037</v>
      </c>
      <c r="D8" s="99">
        <v>1215008</v>
      </c>
      <c r="E8" s="99">
        <v>756113</v>
      </c>
      <c r="F8" s="99">
        <v>143000</v>
      </c>
      <c r="G8" s="99">
        <v>116292</v>
      </c>
      <c r="H8" s="99">
        <v>236940</v>
      </c>
      <c r="I8" s="99">
        <v>0</v>
      </c>
      <c r="J8" s="99">
        <v>0</v>
      </c>
      <c r="K8" s="99">
        <v>130900</v>
      </c>
      <c r="L8" s="99">
        <v>0</v>
      </c>
      <c r="M8" s="99">
        <v>0</v>
      </c>
    </row>
    <row r="9" spans="1:13">
      <c r="A9" s="97" t="s">
        <v>2138</v>
      </c>
      <c r="B9" s="98">
        <v>402125</v>
      </c>
      <c r="C9" s="98">
        <v>402125</v>
      </c>
      <c r="D9" s="99">
        <v>402125</v>
      </c>
      <c r="E9" s="99">
        <v>0</v>
      </c>
      <c r="F9" s="99">
        <v>0</v>
      </c>
      <c r="G9" s="99">
        <v>0</v>
      </c>
      <c r="H9" s="99">
        <v>0</v>
      </c>
      <c r="I9" s="99">
        <v>0</v>
      </c>
      <c r="J9" s="99">
        <v>0</v>
      </c>
      <c r="K9" s="99">
        <v>0</v>
      </c>
      <c r="L9" s="99">
        <v>0</v>
      </c>
      <c r="M9" s="99">
        <v>0</v>
      </c>
    </row>
    <row r="10" spans="1:13">
      <c r="A10" s="97" t="s">
        <v>2139</v>
      </c>
      <c r="B10" s="98">
        <v>197003705</v>
      </c>
      <c r="C10" s="98">
        <v>197003705</v>
      </c>
      <c r="D10" s="99">
        <v>133661579</v>
      </c>
      <c r="E10" s="99">
        <v>0</v>
      </c>
      <c r="F10" s="99">
        <v>0</v>
      </c>
      <c r="G10" s="99">
        <v>0</v>
      </c>
      <c r="H10" s="99">
        <v>0</v>
      </c>
      <c r="I10" s="99">
        <v>0</v>
      </c>
      <c r="J10" s="99">
        <v>0</v>
      </c>
      <c r="K10" s="99">
        <v>0</v>
      </c>
      <c r="L10" s="99">
        <v>0</v>
      </c>
      <c r="M10" s="99">
        <v>0</v>
      </c>
    </row>
    <row r="11" spans="1:13">
      <c r="A11" s="97" t="s">
        <v>2140</v>
      </c>
      <c r="B11" s="98">
        <v>0</v>
      </c>
      <c r="C11" s="98">
        <v>0</v>
      </c>
      <c r="D11" s="99">
        <v>0</v>
      </c>
      <c r="E11" s="99">
        <v>0</v>
      </c>
      <c r="F11" s="99">
        <v>0</v>
      </c>
      <c r="G11" s="99">
        <v>0</v>
      </c>
      <c r="H11" s="99">
        <v>0</v>
      </c>
      <c r="I11" s="99">
        <v>0</v>
      </c>
      <c r="J11" s="99">
        <v>0</v>
      </c>
      <c r="K11" s="99">
        <v>0</v>
      </c>
      <c r="L11" s="99">
        <v>0</v>
      </c>
      <c r="M11" s="99">
        <v>0</v>
      </c>
    </row>
    <row r="12" spans="1:13">
      <c r="A12" s="97" t="s">
        <v>2141</v>
      </c>
      <c r="B12" s="98">
        <v>0</v>
      </c>
      <c r="C12" s="98">
        <v>27472500</v>
      </c>
      <c r="D12" s="99">
        <v>20790000</v>
      </c>
      <c r="E12" s="99">
        <v>0</v>
      </c>
      <c r="F12" s="99">
        <v>0</v>
      </c>
      <c r="G12" s="99">
        <v>0</v>
      </c>
      <c r="H12" s="99">
        <v>0</v>
      </c>
      <c r="I12" s="99">
        <v>0</v>
      </c>
      <c r="J12" s="99">
        <v>0</v>
      </c>
      <c r="K12" s="99">
        <v>0</v>
      </c>
      <c r="L12" s="99">
        <v>0</v>
      </c>
      <c r="M12" s="99">
        <v>6682500</v>
      </c>
    </row>
    <row r="13" spans="1:13">
      <c r="A13" s="97" t="s">
        <v>2142</v>
      </c>
      <c r="B13" s="98">
        <v>769600751</v>
      </c>
      <c r="C13" s="98">
        <v>797073251</v>
      </c>
      <c r="D13" s="99">
        <v>327700563</v>
      </c>
      <c r="E13" s="99">
        <v>28959161</v>
      </c>
      <c r="F13" s="99">
        <v>22290277</v>
      </c>
      <c r="G13" s="99">
        <v>24285229</v>
      </c>
      <c r="H13" s="99">
        <v>16668203</v>
      </c>
      <c r="I13" s="99">
        <v>29150494</v>
      </c>
      <c r="J13" s="99">
        <v>22770000</v>
      </c>
      <c r="K13" s="99">
        <v>26176530</v>
      </c>
      <c r="L13" s="99">
        <v>16852746</v>
      </c>
      <c r="M13" s="99">
        <v>6682500</v>
      </c>
    </row>
    <row r="14" spans="1:13">
      <c r="A14" s="97" t="s">
        <v>2143</v>
      </c>
      <c r="B14" s="98"/>
      <c r="C14" s="98"/>
      <c r="D14" s="99"/>
      <c r="E14" s="99"/>
      <c r="F14" s="99"/>
      <c r="G14" s="99"/>
      <c r="H14" s="99"/>
      <c r="I14" s="99"/>
      <c r="J14" s="99"/>
      <c r="K14" s="99"/>
      <c r="L14" s="99"/>
      <c r="M14" s="99"/>
    </row>
    <row r="15" spans="1:13">
      <c r="A15" s="97" t="s">
        <v>2144</v>
      </c>
      <c r="B15" s="98">
        <v>0</v>
      </c>
      <c r="C15" s="98">
        <v>0</v>
      </c>
      <c r="D15" s="99">
        <v>0</v>
      </c>
      <c r="E15" s="99">
        <v>0</v>
      </c>
      <c r="F15" s="99">
        <v>0</v>
      </c>
      <c r="G15" s="99">
        <v>0</v>
      </c>
      <c r="H15" s="99">
        <v>0</v>
      </c>
      <c r="I15" s="99">
        <v>0</v>
      </c>
      <c r="J15" s="99">
        <v>0</v>
      </c>
      <c r="K15" s="99">
        <v>0</v>
      </c>
      <c r="L15" s="99">
        <v>0</v>
      </c>
      <c r="M15" s="99">
        <v>0</v>
      </c>
    </row>
    <row r="16" spans="1:13">
      <c r="A16" s="97" t="s">
        <v>2145</v>
      </c>
      <c r="B16" s="98">
        <v>0</v>
      </c>
      <c r="C16" s="98">
        <v>0</v>
      </c>
      <c r="D16" s="99">
        <v>0</v>
      </c>
      <c r="E16" s="99">
        <v>0</v>
      </c>
      <c r="F16" s="99">
        <v>0</v>
      </c>
      <c r="G16" s="99">
        <v>0</v>
      </c>
      <c r="H16" s="99">
        <v>0</v>
      </c>
      <c r="I16" s="99">
        <v>0</v>
      </c>
      <c r="J16" s="99">
        <v>0</v>
      </c>
      <c r="K16" s="99">
        <v>0</v>
      </c>
      <c r="L16" s="99">
        <v>0</v>
      </c>
      <c r="M16" s="99">
        <v>0</v>
      </c>
    </row>
    <row r="17" spans="1:13">
      <c r="A17" s="97" t="s">
        <v>2146</v>
      </c>
      <c r="B17" s="98">
        <v>0</v>
      </c>
      <c r="C17" s="98">
        <v>0</v>
      </c>
      <c r="D17" s="99">
        <v>0</v>
      </c>
      <c r="E17" s="99">
        <v>0</v>
      </c>
      <c r="F17" s="99">
        <v>0</v>
      </c>
      <c r="G17" s="99">
        <v>0</v>
      </c>
      <c r="H17" s="99">
        <v>0</v>
      </c>
      <c r="I17" s="99">
        <v>0</v>
      </c>
      <c r="J17" s="99">
        <v>0</v>
      </c>
      <c r="K17" s="99">
        <v>0</v>
      </c>
      <c r="L17" s="99">
        <v>0</v>
      </c>
      <c r="M17" s="99">
        <v>0</v>
      </c>
    </row>
    <row r="18" spans="1:13">
      <c r="A18" s="97" t="s">
        <v>2147</v>
      </c>
      <c r="B18" s="98">
        <v>0</v>
      </c>
      <c r="C18" s="98">
        <v>0</v>
      </c>
      <c r="D18" s="99">
        <v>0</v>
      </c>
      <c r="E18" s="99">
        <v>0</v>
      </c>
      <c r="F18" s="99">
        <v>0</v>
      </c>
      <c r="G18" s="99">
        <v>0</v>
      </c>
      <c r="H18" s="99">
        <v>0</v>
      </c>
      <c r="I18" s="99">
        <v>0</v>
      </c>
      <c r="J18" s="99">
        <v>0</v>
      </c>
      <c r="K18" s="99">
        <v>0</v>
      </c>
      <c r="L18" s="99">
        <v>0</v>
      </c>
      <c r="M18" s="99">
        <v>0</v>
      </c>
    </row>
    <row r="19" spans="1:13">
      <c r="A19" s="97" t="s">
        <v>2148</v>
      </c>
      <c r="B19" s="98">
        <v>0</v>
      </c>
      <c r="C19" s="98">
        <v>0</v>
      </c>
      <c r="D19" s="99">
        <v>0</v>
      </c>
      <c r="E19" s="99">
        <v>0</v>
      </c>
      <c r="F19" s="99">
        <v>0</v>
      </c>
      <c r="G19" s="99">
        <v>0</v>
      </c>
      <c r="H19" s="99">
        <v>0</v>
      </c>
      <c r="I19" s="99">
        <v>0</v>
      </c>
      <c r="J19" s="99">
        <v>0</v>
      </c>
      <c r="K19" s="99">
        <v>0</v>
      </c>
      <c r="L19" s="99">
        <v>0</v>
      </c>
      <c r="M19" s="99">
        <v>0</v>
      </c>
    </row>
    <row r="20" spans="1:13">
      <c r="A20" s="97" t="s">
        <v>2149</v>
      </c>
      <c r="B20" s="98">
        <v>769600751</v>
      </c>
      <c r="C20" s="98">
        <v>797073251</v>
      </c>
      <c r="D20" s="99">
        <v>327700563</v>
      </c>
      <c r="E20" s="99">
        <v>28959161</v>
      </c>
      <c r="F20" s="99">
        <v>22290277</v>
      </c>
      <c r="G20" s="99">
        <v>24285229</v>
      </c>
      <c r="H20" s="99">
        <v>16668203</v>
      </c>
      <c r="I20" s="99">
        <v>29150494</v>
      </c>
      <c r="J20" s="99">
        <v>22770000</v>
      </c>
      <c r="K20" s="99">
        <v>26176530</v>
      </c>
      <c r="L20" s="99">
        <v>16852746</v>
      </c>
      <c r="M20" s="99">
        <v>6682500</v>
      </c>
    </row>
    <row r="21" spans="1:13">
      <c r="A21" s="97" t="s">
        <v>2150</v>
      </c>
      <c r="B21" s="98"/>
      <c r="C21" s="98"/>
      <c r="D21" s="99"/>
      <c r="E21" s="99"/>
      <c r="F21" s="99"/>
      <c r="G21" s="99"/>
      <c r="H21" s="99"/>
      <c r="I21" s="99"/>
      <c r="J21" s="99"/>
      <c r="K21" s="99"/>
      <c r="L21" s="99"/>
      <c r="M21" s="99"/>
    </row>
    <row r="22" spans="1:13">
      <c r="A22" s="97" t="s">
        <v>2151</v>
      </c>
      <c r="B22" s="98">
        <v>8962200</v>
      </c>
      <c r="C22" s="98">
        <v>8962200</v>
      </c>
      <c r="D22" s="99">
        <v>8962200</v>
      </c>
      <c r="E22" s="99">
        <v>0</v>
      </c>
      <c r="F22" s="99">
        <v>0</v>
      </c>
      <c r="G22" s="99">
        <v>0</v>
      </c>
      <c r="H22" s="99">
        <v>0</v>
      </c>
      <c r="I22" s="99">
        <v>0</v>
      </c>
      <c r="J22" s="99">
        <v>0</v>
      </c>
      <c r="K22" s="99">
        <v>0</v>
      </c>
      <c r="L22" s="99">
        <v>0</v>
      </c>
      <c r="M22" s="99">
        <v>0</v>
      </c>
    </row>
    <row r="23" spans="1:13">
      <c r="A23" s="97" t="s">
        <v>2152</v>
      </c>
      <c r="B23" s="98">
        <v>1670500</v>
      </c>
      <c r="C23" s="98">
        <v>1670500</v>
      </c>
      <c r="D23" s="99">
        <v>1670500</v>
      </c>
      <c r="E23" s="99">
        <v>0</v>
      </c>
      <c r="F23" s="99">
        <v>0</v>
      </c>
      <c r="G23" s="99">
        <v>0</v>
      </c>
      <c r="H23" s="99">
        <v>0</v>
      </c>
      <c r="I23" s="99">
        <v>0</v>
      </c>
      <c r="J23" s="99">
        <v>0</v>
      </c>
      <c r="K23" s="99">
        <v>0</v>
      </c>
      <c r="L23" s="99">
        <v>0</v>
      </c>
      <c r="M23" s="99">
        <v>0</v>
      </c>
    </row>
    <row r="24" spans="1:13">
      <c r="A24" s="97" t="s">
        <v>2153</v>
      </c>
      <c r="B24" s="98">
        <v>1165885</v>
      </c>
      <c r="C24" s="98">
        <v>1165885</v>
      </c>
      <c r="D24" s="99">
        <v>1165885</v>
      </c>
      <c r="E24" s="99">
        <v>0</v>
      </c>
      <c r="F24" s="99">
        <v>0</v>
      </c>
      <c r="G24" s="99">
        <v>0</v>
      </c>
      <c r="H24" s="99">
        <v>0</v>
      </c>
      <c r="I24" s="99">
        <v>0</v>
      </c>
      <c r="J24" s="99">
        <v>0</v>
      </c>
      <c r="K24" s="99">
        <v>0</v>
      </c>
      <c r="L24" s="99">
        <v>0</v>
      </c>
      <c r="M24" s="99">
        <v>0</v>
      </c>
    </row>
    <row r="25" spans="1:13">
      <c r="A25" s="97" t="s">
        <v>2154</v>
      </c>
      <c r="B25" s="98">
        <v>379010</v>
      </c>
      <c r="C25" s="98">
        <v>379010</v>
      </c>
      <c r="D25" s="99">
        <v>379010</v>
      </c>
      <c r="E25" s="99">
        <v>0</v>
      </c>
      <c r="F25" s="99">
        <v>0</v>
      </c>
      <c r="G25" s="99">
        <v>0</v>
      </c>
      <c r="H25" s="99">
        <v>0</v>
      </c>
      <c r="I25" s="99">
        <v>0</v>
      </c>
      <c r="J25" s="99">
        <v>0</v>
      </c>
      <c r="K25" s="99">
        <v>0</v>
      </c>
      <c r="L25" s="99">
        <v>0</v>
      </c>
      <c r="M25" s="99">
        <v>0</v>
      </c>
    </row>
    <row r="26" spans="1:13">
      <c r="A26" s="97" t="s">
        <v>2155</v>
      </c>
      <c r="B26" s="98">
        <v>26683083</v>
      </c>
      <c r="C26" s="98">
        <v>26683083</v>
      </c>
      <c r="D26" s="99">
        <v>8251043</v>
      </c>
      <c r="E26" s="99">
        <v>1305543</v>
      </c>
      <c r="F26" s="99">
        <v>1040454</v>
      </c>
      <c r="G26" s="99">
        <v>1109534</v>
      </c>
      <c r="H26" s="99">
        <v>771917</v>
      </c>
      <c r="I26" s="99">
        <v>1305467</v>
      </c>
      <c r="J26" s="99">
        <v>1087038</v>
      </c>
      <c r="K26" s="99">
        <v>1154904</v>
      </c>
      <c r="L26" s="99">
        <v>804549</v>
      </c>
      <c r="M26" s="99">
        <v>0</v>
      </c>
    </row>
    <row r="27" spans="1:13">
      <c r="A27" s="97" t="s">
        <v>2156</v>
      </c>
      <c r="B27" s="98">
        <v>24766976</v>
      </c>
      <c r="C27" s="98">
        <v>24766976</v>
      </c>
      <c r="D27" s="99">
        <v>9796586</v>
      </c>
      <c r="E27" s="99">
        <v>1354650</v>
      </c>
      <c r="F27" s="99">
        <v>652410</v>
      </c>
      <c r="G27" s="99">
        <v>900020</v>
      </c>
      <c r="H27" s="99">
        <v>409807</v>
      </c>
      <c r="I27" s="99">
        <v>1092960</v>
      </c>
      <c r="J27" s="99">
        <v>494568</v>
      </c>
      <c r="K27" s="99">
        <v>599940</v>
      </c>
      <c r="L27" s="99">
        <v>667480</v>
      </c>
      <c r="M27" s="99">
        <v>0</v>
      </c>
    </row>
    <row r="28" spans="1:13">
      <c r="A28" s="97" t="s">
        <v>2157</v>
      </c>
      <c r="B28" s="98">
        <v>10670814</v>
      </c>
      <c r="C28" s="98">
        <v>10670814</v>
      </c>
      <c r="D28" s="99">
        <v>3736213</v>
      </c>
      <c r="E28" s="99">
        <v>408885</v>
      </c>
      <c r="F28" s="99">
        <v>159558</v>
      </c>
      <c r="G28" s="99">
        <v>347423</v>
      </c>
      <c r="H28" s="99">
        <v>386058</v>
      </c>
      <c r="I28" s="99">
        <v>344593</v>
      </c>
      <c r="J28" s="99">
        <v>0</v>
      </c>
      <c r="K28" s="99">
        <v>371867</v>
      </c>
      <c r="L28" s="99">
        <v>310641</v>
      </c>
      <c r="M28" s="99">
        <v>0</v>
      </c>
    </row>
    <row r="29" spans="1:13">
      <c r="A29" s="97" t="s">
        <v>2158</v>
      </c>
      <c r="B29" s="98">
        <v>4168450</v>
      </c>
      <c r="C29" s="98">
        <v>4168450</v>
      </c>
      <c r="D29" s="99">
        <v>940750</v>
      </c>
      <c r="E29" s="99">
        <v>396000</v>
      </c>
      <c r="F29" s="99">
        <v>231000</v>
      </c>
      <c r="G29" s="99">
        <v>213000</v>
      </c>
      <c r="H29" s="99">
        <v>243500</v>
      </c>
      <c r="I29" s="99">
        <v>0</v>
      </c>
      <c r="J29" s="99">
        <v>0</v>
      </c>
      <c r="K29" s="99">
        <v>60750</v>
      </c>
      <c r="L29" s="99">
        <v>0</v>
      </c>
      <c r="M29" s="99">
        <v>0</v>
      </c>
    </row>
    <row r="30" spans="1:13">
      <c r="A30" s="97" t="s">
        <v>2159</v>
      </c>
      <c r="B30" s="98">
        <v>0</v>
      </c>
      <c r="C30" s="98">
        <v>0</v>
      </c>
      <c r="D30" s="99">
        <v>0</v>
      </c>
      <c r="E30" s="99">
        <v>0</v>
      </c>
      <c r="F30" s="99">
        <v>0</v>
      </c>
      <c r="G30" s="99">
        <v>0</v>
      </c>
      <c r="H30" s="99">
        <v>0</v>
      </c>
      <c r="I30" s="99">
        <v>0</v>
      </c>
      <c r="J30" s="99">
        <v>0</v>
      </c>
      <c r="K30" s="99">
        <v>0</v>
      </c>
      <c r="L30" s="99">
        <v>0</v>
      </c>
      <c r="M30" s="99">
        <v>0</v>
      </c>
    </row>
    <row r="31" spans="1:13">
      <c r="A31" s="97" t="s">
        <v>2160</v>
      </c>
      <c r="B31" s="98">
        <v>69224744</v>
      </c>
      <c r="C31" s="98">
        <v>69224744</v>
      </c>
      <c r="D31" s="99">
        <v>30365994</v>
      </c>
      <c r="E31" s="99">
        <v>3575814</v>
      </c>
      <c r="F31" s="99">
        <v>3040531</v>
      </c>
      <c r="G31" s="99">
        <v>5113818</v>
      </c>
      <c r="H31" s="99">
        <v>1945446</v>
      </c>
      <c r="I31" s="99">
        <v>1436110</v>
      </c>
      <c r="J31" s="99">
        <v>199320</v>
      </c>
      <c r="K31" s="99">
        <v>4015404</v>
      </c>
      <c r="L31" s="99">
        <v>17600</v>
      </c>
      <c r="M31" s="99">
        <v>0</v>
      </c>
    </row>
    <row r="32" spans="1:13">
      <c r="A32" s="97" t="s">
        <v>2161</v>
      </c>
      <c r="B32" s="98">
        <v>20877246</v>
      </c>
      <c r="C32" s="98">
        <v>20877246</v>
      </c>
      <c r="D32" s="99">
        <v>14366122</v>
      </c>
      <c r="E32" s="99">
        <v>0</v>
      </c>
      <c r="F32" s="99">
        <v>0</v>
      </c>
      <c r="G32" s="99">
        <v>11000</v>
      </c>
      <c r="H32" s="99">
        <v>0</v>
      </c>
      <c r="I32" s="99">
        <v>0</v>
      </c>
      <c r="J32" s="99">
        <v>0</v>
      </c>
      <c r="K32" s="99">
        <v>3520</v>
      </c>
      <c r="L32" s="99">
        <v>0</v>
      </c>
      <c r="M32" s="99">
        <v>0</v>
      </c>
    </row>
    <row r="33" spans="1:13">
      <c r="A33" s="97" t="s">
        <v>2162</v>
      </c>
      <c r="B33" s="98">
        <v>10710601</v>
      </c>
      <c r="C33" s="98">
        <v>10710601</v>
      </c>
      <c r="D33" s="99">
        <v>10710601</v>
      </c>
      <c r="E33" s="99">
        <v>0</v>
      </c>
      <c r="F33" s="99">
        <v>0</v>
      </c>
      <c r="G33" s="99">
        <v>0</v>
      </c>
      <c r="H33" s="99">
        <v>0</v>
      </c>
      <c r="I33" s="99">
        <v>0</v>
      </c>
      <c r="J33" s="99">
        <v>0</v>
      </c>
      <c r="K33" s="99">
        <v>0</v>
      </c>
      <c r="L33" s="99">
        <v>0</v>
      </c>
      <c r="M33" s="99">
        <v>0</v>
      </c>
    </row>
    <row r="34" spans="1:13">
      <c r="A34" s="97" t="s">
        <v>2163</v>
      </c>
      <c r="B34" s="98">
        <v>0</v>
      </c>
      <c r="C34" s="98">
        <v>27472500</v>
      </c>
      <c r="D34" s="99">
        <v>445500</v>
      </c>
      <c r="E34" s="99">
        <v>1930500</v>
      </c>
      <c r="F34" s="99">
        <v>1930500</v>
      </c>
      <c r="G34" s="99">
        <v>1930500</v>
      </c>
      <c r="H34" s="99">
        <v>1930500</v>
      </c>
      <c r="I34" s="99">
        <v>1930500</v>
      </c>
      <c r="J34" s="99">
        <v>1930500</v>
      </c>
      <c r="K34" s="99">
        <v>1930500</v>
      </c>
      <c r="L34" s="99">
        <v>1930500</v>
      </c>
      <c r="M34" s="99">
        <v>0</v>
      </c>
    </row>
    <row r="35" spans="1:13">
      <c r="A35" s="97" t="s">
        <v>2164</v>
      </c>
      <c r="B35" s="98">
        <v>1051925</v>
      </c>
      <c r="C35" s="98">
        <v>1051925</v>
      </c>
      <c r="D35" s="99">
        <v>1051925</v>
      </c>
      <c r="E35" s="99">
        <v>0</v>
      </c>
      <c r="F35" s="99">
        <v>0</v>
      </c>
      <c r="G35" s="99">
        <v>0</v>
      </c>
      <c r="H35" s="99">
        <v>0</v>
      </c>
      <c r="I35" s="99">
        <v>0</v>
      </c>
      <c r="J35" s="99">
        <v>0</v>
      </c>
      <c r="K35" s="99">
        <v>0</v>
      </c>
      <c r="L35" s="99">
        <v>0</v>
      </c>
      <c r="M35" s="99">
        <v>0</v>
      </c>
    </row>
    <row r="36" spans="1:13">
      <c r="A36" s="97" t="s">
        <v>2165</v>
      </c>
      <c r="B36" s="98">
        <v>3114160</v>
      </c>
      <c r="C36" s="98">
        <v>3114160</v>
      </c>
      <c r="D36" s="99">
        <v>3114160</v>
      </c>
      <c r="E36" s="99">
        <v>0</v>
      </c>
      <c r="F36" s="99">
        <v>0</v>
      </c>
      <c r="G36" s="99">
        <v>0</v>
      </c>
      <c r="H36" s="99">
        <v>0</v>
      </c>
      <c r="I36" s="99">
        <v>0</v>
      </c>
      <c r="J36" s="99">
        <v>0</v>
      </c>
      <c r="K36" s="99">
        <v>0</v>
      </c>
      <c r="L36" s="99">
        <v>0</v>
      </c>
      <c r="M36" s="99">
        <v>0</v>
      </c>
    </row>
    <row r="37" spans="1:13">
      <c r="A37" s="97" t="s">
        <v>2166</v>
      </c>
      <c r="B37" s="98">
        <v>933700</v>
      </c>
      <c r="C37" s="98">
        <v>933700</v>
      </c>
      <c r="D37" s="99">
        <v>933700</v>
      </c>
      <c r="E37" s="99">
        <v>0</v>
      </c>
      <c r="F37" s="99">
        <v>0</v>
      </c>
      <c r="G37" s="99">
        <v>0</v>
      </c>
      <c r="H37" s="99">
        <v>0</v>
      </c>
      <c r="I37" s="99">
        <v>0</v>
      </c>
      <c r="J37" s="99">
        <v>0</v>
      </c>
      <c r="K37" s="99">
        <v>0</v>
      </c>
      <c r="L37" s="99">
        <v>0</v>
      </c>
      <c r="M37" s="99">
        <v>0</v>
      </c>
    </row>
    <row r="38" spans="1:13">
      <c r="A38" s="97" t="s">
        <v>2167</v>
      </c>
      <c r="B38" s="98">
        <v>2929616</v>
      </c>
      <c r="C38" s="98">
        <v>2929616</v>
      </c>
      <c r="D38" s="99">
        <v>2924616</v>
      </c>
      <c r="E38" s="99">
        <v>0</v>
      </c>
      <c r="F38" s="99">
        <v>0</v>
      </c>
      <c r="G38" s="99">
        <v>0</v>
      </c>
      <c r="H38" s="99">
        <v>0</v>
      </c>
      <c r="I38" s="99">
        <v>0</v>
      </c>
      <c r="J38" s="99">
        <v>0</v>
      </c>
      <c r="K38" s="99">
        <v>0</v>
      </c>
      <c r="L38" s="99">
        <v>0</v>
      </c>
      <c r="M38" s="99">
        <v>0</v>
      </c>
    </row>
    <row r="39" spans="1:13">
      <c r="A39" s="97" t="s">
        <v>2168</v>
      </c>
      <c r="B39" s="98">
        <v>797832</v>
      </c>
      <c r="C39" s="98">
        <v>797832</v>
      </c>
      <c r="D39" s="99">
        <v>797832</v>
      </c>
      <c r="E39" s="99">
        <v>0</v>
      </c>
      <c r="F39" s="99">
        <v>0</v>
      </c>
      <c r="G39" s="99">
        <v>0</v>
      </c>
      <c r="H39" s="99">
        <v>0</v>
      </c>
      <c r="I39" s="99">
        <v>0</v>
      </c>
      <c r="J39" s="99">
        <v>0</v>
      </c>
      <c r="K39" s="99">
        <v>0</v>
      </c>
      <c r="L39" s="99">
        <v>0</v>
      </c>
      <c r="M39" s="99">
        <v>0</v>
      </c>
    </row>
    <row r="40" spans="1:13">
      <c r="A40" s="97" t="s">
        <v>2169</v>
      </c>
      <c r="B40" s="98">
        <v>9252559</v>
      </c>
      <c r="C40" s="98">
        <v>9252559</v>
      </c>
      <c r="D40" s="99">
        <v>9252559</v>
      </c>
      <c r="E40" s="99">
        <v>0</v>
      </c>
      <c r="F40" s="99">
        <v>0</v>
      </c>
      <c r="G40" s="99">
        <v>0</v>
      </c>
      <c r="H40" s="99">
        <v>0</v>
      </c>
      <c r="I40" s="99">
        <v>0</v>
      </c>
      <c r="J40" s="99">
        <v>0</v>
      </c>
      <c r="K40" s="99">
        <v>0</v>
      </c>
      <c r="L40" s="99">
        <v>0</v>
      </c>
      <c r="M40" s="99">
        <v>0</v>
      </c>
    </row>
    <row r="41" spans="1:13">
      <c r="A41" s="97" t="s">
        <v>2170</v>
      </c>
      <c r="B41" s="98">
        <v>0</v>
      </c>
      <c r="C41" s="98">
        <v>0</v>
      </c>
      <c r="D41" s="99">
        <v>0</v>
      </c>
      <c r="E41" s="99">
        <v>0</v>
      </c>
      <c r="F41" s="99">
        <v>0</v>
      </c>
      <c r="G41" s="99">
        <v>0</v>
      </c>
      <c r="H41" s="99">
        <v>0</v>
      </c>
      <c r="I41" s="99">
        <v>0</v>
      </c>
      <c r="J41" s="99">
        <v>0</v>
      </c>
      <c r="K41" s="99">
        <v>0</v>
      </c>
      <c r="L41" s="99">
        <v>0</v>
      </c>
      <c r="M41" s="99">
        <v>0</v>
      </c>
    </row>
    <row r="42" spans="1:13">
      <c r="A42" s="97" t="s">
        <v>2171</v>
      </c>
      <c r="B42" s="98">
        <v>788524</v>
      </c>
      <c r="C42" s="98">
        <v>788524</v>
      </c>
      <c r="D42" s="99">
        <v>759866</v>
      </c>
      <c r="E42" s="99">
        <v>0</v>
      </c>
      <c r="F42" s="99">
        <v>0</v>
      </c>
      <c r="G42" s="99">
        <v>0</v>
      </c>
      <c r="H42" s="99">
        <v>0</v>
      </c>
      <c r="I42" s="99">
        <v>0</v>
      </c>
      <c r="J42" s="99">
        <v>0</v>
      </c>
      <c r="K42" s="99">
        <v>0</v>
      </c>
      <c r="L42" s="99">
        <v>0</v>
      </c>
      <c r="M42" s="99">
        <v>0</v>
      </c>
    </row>
    <row r="43" spans="1:13">
      <c r="A43" s="97" t="s">
        <v>2172</v>
      </c>
      <c r="B43" s="98">
        <v>1001505</v>
      </c>
      <c r="C43" s="98">
        <v>1001505</v>
      </c>
      <c r="D43" s="99">
        <v>698187</v>
      </c>
      <c r="E43" s="99">
        <v>6325</v>
      </c>
      <c r="F43" s="99">
        <v>11275</v>
      </c>
      <c r="G43" s="99">
        <v>27665</v>
      </c>
      <c r="H43" s="99">
        <v>17435</v>
      </c>
      <c r="I43" s="99">
        <v>6325</v>
      </c>
      <c r="J43" s="99">
        <v>16225</v>
      </c>
      <c r="K43" s="99">
        <v>46965</v>
      </c>
      <c r="L43" s="99">
        <v>6325</v>
      </c>
      <c r="M43" s="99">
        <v>9900</v>
      </c>
    </row>
    <row r="44" spans="1:13">
      <c r="A44" s="97" t="s">
        <v>2173</v>
      </c>
      <c r="B44" s="98">
        <v>2971201</v>
      </c>
      <c r="C44" s="98">
        <v>2971201</v>
      </c>
      <c r="D44" s="99">
        <v>358701</v>
      </c>
      <c r="E44" s="99">
        <v>0</v>
      </c>
      <c r="F44" s="99">
        <v>0</v>
      </c>
      <c r="G44" s="99">
        <v>1237500</v>
      </c>
      <c r="H44" s="99">
        <v>0</v>
      </c>
      <c r="I44" s="99">
        <v>0</v>
      </c>
      <c r="J44" s="99">
        <v>0</v>
      </c>
      <c r="K44" s="99">
        <v>0</v>
      </c>
      <c r="L44" s="99">
        <v>0</v>
      </c>
      <c r="M44" s="99">
        <v>0</v>
      </c>
    </row>
    <row r="45" spans="1:13">
      <c r="A45" s="97" t="s">
        <v>2174</v>
      </c>
      <c r="B45" s="98">
        <v>0</v>
      </c>
      <c r="C45" s="98">
        <v>0</v>
      </c>
      <c r="D45" s="99">
        <v>0</v>
      </c>
      <c r="E45" s="99">
        <v>0</v>
      </c>
      <c r="F45" s="99">
        <v>0</v>
      </c>
      <c r="G45" s="99">
        <v>0</v>
      </c>
      <c r="H45" s="99">
        <v>0</v>
      </c>
      <c r="I45" s="99">
        <v>0</v>
      </c>
      <c r="J45" s="99">
        <v>0</v>
      </c>
      <c r="K45" s="99">
        <v>0</v>
      </c>
      <c r="L45" s="99">
        <v>0</v>
      </c>
      <c r="M45" s="99">
        <v>0</v>
      </c>
    </row>
    <row r="46" spans="1:13">
      <c r="A46" s="97" t="s">
        <v>2175</v>
      </c>
      <c r="B46" s="98">
        <v>834650</v>
      </c>
      <c r="C46" s="98">
        <v>834650</v>
      </c>
      <c r="D46" s="99">
        <v>276090</v>
      </c>
      <c r="E46" s="99">
        <v>45780</v>
      </c>
      <c r="F46" s="99">
        <v>20610</v>
      </c>
      <c r="G46" s="99">
        <v>20710</v>
      </c>
      <c r="H46" s="99">
        <v>11830</v>
      </c>
      <c r="I46" s="99">
        <v>19430</v>
      </c>
      <c r="J46" s="99">
        <v>10340</v>
      </c>
      <c r="K46" s="99">
        <v>20660</v>
      </c>
      <c r="L46" s="99">
        <v>19920</v>
      </c>
      <c r="M46" s="99">
        <v>0</v>
      </c>
    </row>
    <row r="47" spans="1:13">
      <c r="A47" s="97" t="s">
        <v>2176</v>
      </c>
      <c r="B47" s="98">
        <v>27379300</v>
      </c>
      <c r="C47" s="98">
        <v>27379300</v>
      </c>
      <c r="D47" s="99">
        <v>7671500</v>
      </c>
      <c r="E47" s="99">
        <v>1261100</v>
      </c>
      <c r="F47" s="99">
        <v>977000</v>
      </c>
      <c r="G47" s="99">
        <v>731800</v>
      </c>
      <c r="H47" s="99">
        <v>683600</v>
      </c>
      <c r="I47" s="99">
        <v>1234600</v>
      </c>
      <c r="J47" s="99">
        <v>1075800</v>
      </c>
      <c r="K47" s="99">
        <v>832200</v>
      </c>
      <c r="L47" s="99">
        <v>558900</v>
      </c>
      <c r="M47" s="99">
        <v>0</v>
      </c>
    </row>
    <row r="48" spans="1:13">
      <c r="A48" s="97" t="s">
        <v>2177</v>
      </c>
      <c r="B48" s="98">
        <v>2492484</v>
      </c>
      <c r="C48" s="98">
        <v>2492484</v>
      </c>
      <c r="D48" s="99">
        <v>2423688</v>
      </c>
      <c r="E48" s="99">
        <v>0</v>
      </c>
      <c r="F48" s="99">
        <v>0</v>
      </c>
      <c r="G48" s="99">
        <v>23996</v>
      </c>
      <c r="H48" s="99">
        <v>10600</v>
      </c>
      <c r="I48" s="99">
        <v>0</v>
      </c>
      <c r="J48" s="99">
        <v>0</v>
      </c>
      <c r="K48" s="99">
        <v>0</v>
      </c>
      <c r="L48" s="99">
        <v>0</v>
      </c>
      <c r="M48" s="99">
        <v>10000</v>
      </c>
    </row>
    <row r="49" spans="1:13">
      <c r="A49" s="97" t="s">
        <v>2178</v>
      </c>
      <c r="B49" s="98">
        <v>142036220</v>
      </c>
      <c r="C49" s="98">
        <v>142036220</v>
      </c>
      <c r="D49" s="99">
        <v>56112914</v>
      </c>
      <c r="E49" s="99">
        <v>4817160</v>
      </c>
      <c r="F49" s="99">
        <v>3459000</v>
      </c>
      <c r="G49" s="99">
        <v>7924107</v>
      </c>
      <c r="H49" s="99">
        <v>1523313</v>
      </c>
      <c r="I49" s="99">
        <v>4507461</v>
      </c>
      <c r="J49" s="99">
        <v>3652401</v>
      </c>
      <c r="K49" s="99">
        <v>4968452</v>
      </c>
      <c r="L49" s="99">
        <v>3225096</v>
      </c>
      <c r="M49" s="99">
        <v>0</v>
      </c>
    </row>
    <row r="50" spans="1:13">
      <c r="A50" s="97" t="s">
        <v>2179</v>
      </c>
      <c r="B50" s="98">
        <v>1568336</v>
      </c>
      <c r="C50" s="98">
        <v>1568336</v>
      </c>
      <c r="D50" s="99">
        <v>1238702</v>
      </c>
      <c r="E50" s="99">
        <v>0</v>
      </c>
      <c r="F50" s="99">
        <v>0</v>
      </c>
      <c r="G50" s="99">
        <v>29529</v>
      </c>
      <c r="H50" s="99">
        <v>10332</v>
      </c>
      <c r="I50" s="99">
        <v>0</v>
      </c>
      <c r="J50" s="99">
        <v>0</v>
      </c>
      <c r="K50" s="99">
        <v>0</v>
      </c>
      <c r="L50" s="99">
        <v>0</v>
      </c>
      <c r="M50" s="99">
        <v>0</v>
      </c>
    </row>
    <row r="51" spans="1:13">
      <c r="A51" s="97" t="s">
        <v>2180</v>
      </c>
      <c r="B51" s="98">
        <v>10200837</v>
      </c>
      <c r="C51" s="98">
        <v>10200837</v>
      </c>
      <c r="D51" s="99">
        <v>10200837</v>
      </c>
      <c r="E51" s="99">
        <v>0</v>
      </c>
      <c r="F51" s="99">
        <v>0</v>
      </c>
      <c r="G51" s="99">
        <v>0</v>
      </c>
      <c r="H51" s="99">
        <v>0</v>
      </c>
      <c r="I51" s="99">
        <v>0</v>
      </c>
      <c r="J51" s="99">
        <v>0</v>
      </c>
      <c r="K51" s="99">
        <v>0</v>
      </c>
      <c r="L51" s="99">
        <v>0</v>
      </c>
      <c r="M51" s="99">
        <v>0</v>
      </c>
    </row>
    <row r="52" spans="1:13">
      <c r="A52" s="97" t="s">
        <v>2181</v>
      </c>
      <c r="B52" s="98">
        <v>0</v>
      </c>
      <c r="C52" s="98">
        <v>0</v>
      </c>
      <c r="D52" s="99">
        <v>0</v>
      </c>
      <c r="E52" s="99">
        <v>0</v>
      </c>
      <c r="F52" s="99">
        <v>0</v>
      </c>
      <c r="G52" s="99">
        <v>0</v>
      </c>
      <c r="H52" s="99">
        <v>0</v>
      </c>
      <c r="I52" s="99">
        <v>0</v>
      </c>
      <c r="J52" s="99">
        <v>0</v>
      </c>
      <c r="K52" s="99">
        <v>0</v>
      </c>
      <c r="L52" s="99">
        <v>0</v>
      </c>
      <c r="M52" s="99">
        <v>0</v>
      </c>
    </row>
    <row r="53" spans="1:13">
      <c r="A53" s="97" t="s">
        <v>2182</v>
      </c>
      <c r="B53" s="98">
        <v>565745</v>
      </c>
      <c r="C53" s="98">
        <v>565745</v>
      </c>
      <c r="D53" s="99">
        <v>565745</v>
      </c>
      <c r="E53" s="99">
        <v>0</v>
      </c>
      <c r="F53" s="99">
        <v>0</v>
      </c>
      <c r="G53" s="99">
        <v>0</v>
      </c>
      <c r="H53" s="99">
        <v>0</v>
      </c>
      <c r="I53" s="99">
        <v>0</v>
      </c>
      <c r="J53" s="99">
        <v>0</v>
      </c>
      <c r="K53" s="99">
        <v>0</v>
      </c>
      <c r="L53" s="99">
        <v>0</v>
      </c>
      <c r="M53" s="99">
        <v>0</v>
      </c>
    </row>
    <row r="54" spans="1:13">
      <c r="A54" s="97" t="s">
        <v>2183</v>
      </c>
      <c r="B54" s="98">
        <v>1987424</v>
      </c>
      <c r="C54" s="98">
        <v>1987424</v>
      </c>
      <c r="D54" s="99">
        <v>1987424</v>
      </c>
      <c r="E54" s="99">
        <v>0</v>
      </c>
      <c r="F54" s="99">
        <v>0</v>
      </c>
      <c r="G54" s="99">
        <v>0</v>
      </c>
      <c r="H54" s="99">
        <v>0</v>
      </c>
      <c r="I54" s="99">
        <v>0</v>
      </c>
      <c r="J54" s="99">
        <v>0</v>
      </c>
      <c r="K54" s="99">
        <v>0</v>
      </c>
      <c r="L54" s="99">
        <v>0</v>
      </c>
      <c r="M54" s="99">
        <v>0</v>
      </c>
    </row>
    <row r="55" spans="1:13">
      <c r="A55" s="97" t="s">
        <v>2184</v>
      </c>
      <c r="B55" s="98">
        <v>0</v>
      </c>
      <c r="C55" s="98">
        <v>0</v>
      </c>
      <c r="D55" s="99">
        <v>0</v>
      </c>
      <c r="E55" s="99">
        <v>0</v>
      </c>
      <c r="F55" s="99">
        <v>0</v>
      </c>
      <c r="G55" s="99">
        <v>0</v>
      </c>
      <c r="H55" s="99">
        <v>0</v>
      </c>
      <c r="I55" s="99">
        <v>0</v>
      </c>
      <c r="J55" s="99">
        <v>0</v>
      </c>
      <c r="K55" s="99">
        <v>0</v>
      </c>
      <c r="L55" s="99">
        <v>0</v>
      </c>
      <c r="M55" s="99">
        <v>0</v>
      </c>
    </row>
    <row r="56" spans="1:13">
      <c r="A56" s="97" t="s">
        <v>2185</v>
      </c>
      <c r="B56" s="98">
        <v>0</v>
      </c>
      <c r="C56" s="98">
        <v>0</v>
      </c>
      <c r="D56" s="99">
        <v>0</v>
      </c>
      <c r="E56" s="99">
        <v>0</v>
      </c>
      <c r="F56" s="99">
        <v>0</v>
      </c>
      <c r="G56" s="99">
        <v>0</v>
      </c>
      <c r="H56" s="99">
        <v>0</v>
      </c>
      <c r="I56" s="99">
        <v>0</v>
      </c>
      <c r="J56" s="99">
        <v>0</v>
      </c>
      <c r="K56" s="99">
        <v>0</v>
      </c>
      <c r="L56" s="99">
        <v>0</v>
      </c>
      <c r="M56" s="99">
        <v>0</v>
      </c>
    </row>
    <row r="57" spans="1:13">
      <c r="A57" s="97" t="s">
        <v>2186</v>
      </c>
      <c r="B57" s="98">
        <v>0</v>
      </c>
      <c r="C57" s="98">
        <v>0</v>
      </c>
      <c r="D57" s="99">
        <v>0</v>
      </c>
      <c r="E57" s="99">
        <v>0</v>
      </c>
      <c r="F57" s="99">
        <v>0</v>
      </c>
      <c r="G57" s="99">
        <v>0</v>
      </c>
      <c r="H57" s="99">
        <v>0</v>
      </c>
      <c r="I57" s="99">
        <v>0</v>
      </c>
      <c r="J57" s="99">
        <v>0</v>
      </c>
      <c r="K57" s="99">
        <v>0</v>
      </c>
      <c r="L57" s="99">
        <v>0</v>
      </c>
      <c r="M57" s="99">
        <v>0</v>
      </c>
    </row>
    <row r="58" spans="1:13">
      <c r="A58" s="97" t="s">
        <v>2187</v>
      </c>
      <c r="B58" s="98">
        <v>0</v>
      </c>
      <c r="C58" s="98">
        <v>0</v>
      </c>
      <c r="D58" s="99">
        <v>0</v>
      </c>
      <c r="E58" s="99">
        <v>0</v>
      </c>
      <c r="F58" s="99">
        <v>0</v>
      </c>
      <c r="G58" s="99">
        <v>0</v>
      </c>
      <c r="H58" s="99">
        <v>0</v>
      </c>
      <c r="I58" s="99">
        <v>0</v>
      </c>
      <c r="J58" s="99">
        <v>0</v>
      </c>
      <c r="K58" s="99">
        <v>0</v>
      </c>
      <c r="L58" s="99">
        <v>0</v>
      </c>
      <c r="M58" s="99">
        <v>0</v>
      </c>
    </row>
    <row r="59" spans="1:13">
      <c r="A59" s="97" t="s">
        <v>2188</v>
      </c>
      <c r="B59" s="98">
        <v>389188277</v>
      </c>
      <c r="C59" s="98">
        <v>416660777</v>
      </c>
      <c r="D59" s="99">
        <v>191158850</v>
      </c>
      <c r="E59" s="99">
        <v>15101757</v>
      </c>
      <c r="F59" s="99">
        <v>11522338</v>
      </c>
      <c r="G59" s="99">
        <v>19620602</v>
      </c>
      <c r="H59" s="99">
        <v>7944338</v>
      </c>
      <c r="I59" s="99">
        <v>11877446</v>
      </c>
      <c r="J59" s="99">
        <v>8466192</v>
      </c>
      <c r="K59" s="99">
        <v>14005162</v>
      </c>
      <c r="L59" s="99">
        <v>7541011</v>
      </c>
      <c r="M59" s="99">
        <v>19900</v>
      </c>
    </row>
    <row r="60" spans="1:13">
      <c r="A60" s="97" t="s">
        <v>2189</v>
      </c>
      <c r="B60" s="98">
        <v>380412474</v>
      </c>
      <c r="C60" s="98">
        <v>380412474</v>
      </c>
      <c r="D60" s="99">
        <v>136541713</v>
      </c>
      <c r="E60" s="99">
        <v>13857404</v>
      </c>
      <c r="F60" s="99">
        <v>10767939</v>
      </c>
      <c r="G60" s="99">
        <v>4664627</v>
      </c>
      <c r="H60" s="99">
        <v>8723865</v>
      </c>
      <c r="I60" s="99">
        <v>17273048</v>
      </c>
      <c r="J60" s="99">
        <v>14303808</v>
      </c>
      <c r="K60" s="99">
        <v>12171368</v>
      </c>
      <c r="L60" s="99">
        <v>9311735</v>
      </c>
      <c r="M60" s="99">
        <v>6662600</v>
      </c>
    </row>
    <row r="61" spans="1:13">
      <c r="A61" s="97" t="s">
        <v>2190</v>
      </c>
      <c r="B61" s="98"/>
      <c r="C61" s="98"/>
      <c r="D61" s="99"/>
      <c r="E61" s="99"/>
      <c r="F61" s="99"/>
      <c r="G61" s="99"/>
      <c r="H61" s="99"/>
      <c r="I61" s="99"/>
      <c r="J61" s="99"/>
      <c r="K61" s="99"/>
      <c r="L61" s="99"/>
      <c r="M61" s="99"/>
    </row>
    <row r="62" spans="1:13">
      <c r="A62" s="97" t="s">
        <v>2191</v>
      </c>
      <c r="B62" s="98">
        <v>10158</v>
      </c>
      <c r="C62" s="98">
        <v>10158</v>
      </c>
      <c r="D62" s="99">
        <v>6925</v>
      </c>
      <c r="E62" s="99">
        <v>34</v>
      </c>
      <c r="F62" s="99">
        <v>78</v>
      </c>
      <c r="G62" s="99">
        <v>137</v>
      </c>
      <c r="H62" s="99">
        <v>197</v>
      </c>
      <c r="I62" s="99">
        <v>135</v>
      </c>
      <c r="J62" s="99">
        <v>207</v>
      </c>
      <c r="K62" s="99">
        <v>435</v>
      </c>
      <c r="L62" s="99">
        <v>61</v>
      </c>
      <c r="M62" s="99">
        <v>127</v>
      </c>
    </row>
    <row r="63" spans="1:13">
      <c r="A63" s="97" t="s">
        <v>2192</v>
      </c>
      <c r="B63" s="98">
        <v>1133000</v>
      </c>
      <c r="C63" s="98">
        <v>1133000</v>
      </c>
      <c r="D63" s="99">
        <v>945400</v>
      </c>
      <c r="E63" s="99">
        <v>1500</v>
      </c>
      <c r="F63" s="99">
        <v>10500</v>
      </c>
      <c r="G63" s="99">
        <v>3500</v>
      </c>
      <c r="H63" s="99">
        <v>12000</v>
      </c>
      <c r="I63" s="99">
        <v>1500</v>
      </c>
      <c r="J63" s="99">
        <v>12000</v>
      </c>
      <c r="K63" s="99">
        <v>6500</v>
      </c>
      <c r="L63" s="99">
        <v>1500</v>
      </c>
      <c r="M63" s="99">
        <v>0</v>
      </c>
    </row>
    <row r="64" spans="1:13">
      <c r="A64" s="97" t="s">
        <v>2193</v>
      </c>
      <c r="B64" s="98">
        <v>3400000</v>
      </c>
      <c r="C64" s="98">
        <v>3400000</v>
      </c>
      <c r="D64" s="99">
        <v>2400000</v>
      </c>
      <c r="E64" s="99">
        <v>0</v>
      </c>
      <c r="F64" s="99">
        <v>0</v>
      </c>
      <c r="G64" s="99">
        <v>0</v>
      </c>
      <c r="H64" s="99">
        <v>1000000</v>
      </c>
      <c r="I64" s="99">
        <v>0</v>
      </c>
      <c r="J64" s="99">
        <v>0</v>
      </c>
      <c r="K64" s="99">
        <v>0</v>
      </c>
      <c r="L64" s="99">
        <v>0</v>
      </c>
      <c r="M64" s="99">
        <v>0</v>
      </c>
    </row>
    <row r="65" spans="1:13">
      <c r="A65" s="100" t="s">
        <v>2194</v>
      </c>
      <c r="B65" s="101">
        <v>0</v>
      </c>
      <c r="C65" s="101">
        <v>0</v>
      </c>
      <c r="D65" s="99">
        <v>0</v>
      </c>
      <c r="E65" s="99">
        <v>0</v>
      </c>
      <c r="F65" s="99">
        <v>0</v>
      </c>
      <c r="G65" s="99">
        <v>0</v>
      </c>
      <c r="H65" s="99">
        <v>0</v>
      </c>
      <c r="I65" s="99">
        <v>0</v>
      </c>
      <c r="J65" s="99">
        <v>0</v>
      </c>
      <c r="K65" s="99">
        <v>0</v>
      </c>
      <c r="L65" s="99">
        <v>0</v>
      </c>
      <c r="M65" s="99">
        <v>0</v>
      </c>
    </row>
    <row r="66" spans="1:13">
      <c r="A66" s="97" t="s">
        <v>2195</v>
      </c>
      <c r="B66" s="98">
        <v>5185670</v>
      </c>
      <c r="C66" s="98">
        <v>5185670</v>
      </c>
      <c r="D66" s="99">
        <v>4868989</v>
      </c>
      <c r="E66" s="99">
        <v>0</v>
      </c>
      <c r="F66" s="99">
        <v>0</v>
      </c>
      <c r="G66" s="99">
        <v>0</v>
      </c>
      <c r="H66" s="99">
        <v>0</v>
      </c>
      <c r="I66" s="99">
        <v>0</v>
      </c>
      <c r="J66" s="99">
        <v>316681</v>
      </c>
      <c r="K66" s="99">
        <v>0</v>
      </c>
      <c r="L66" s="99">
        <v>0</v>
      </c>
      <c r="M66" s="99">
        <v>0</v>
      </c>
    </row>
    <row r="67" spans="1:13">
      <c r="A67" s="97" t="s">
        <v>2196</v>
      </c>
      <c r="B67" s="98">
        <v>0</v>
      </c>
      <c r="C67" s="98">
        <v>0</v>
      </c>
      <c r="D67" s="99">
        <v>0</v>
      </c>
      <c r="E67" s="99">
        <v>0</v>
      </c>
      <c r="F67" s="99">
        <v>0</v>
      </c>
      <c r="G67" s="99">
        <v>0</v>
      </c>
      <c r="H67" s="99">
        <v>0</v>
      </c>
      <c r="I67" s="99">
        <v>0</v>
      </c>
      <c r="J67" s="99">
        <v>0</v>
      </c>
      <c r="K67" s="99">
        <v>0</v>
      </c>
      <c r="L67" s="99">
        <v>0</v>
      </c>
      <c r="M67" s="99">
        <v>0</v>
      </c>
    </row>
    <row r="68" spans="1:13">
      <c r="A68" s="97" t="s">
        <v>2197</v>
      </c>
      <c r="B68" s="98">
        <v>0</v>
      </c>
      <c r="C68" s="98">
        <v>0</v>
      </c>
      <c r="D68" s="99">
        <v>0</v>
      </c>
      <c r="E68" s="99">
        <v>0</v>
      </c>
      <c r="F68" s="99">
        <v>0</v>
      </c>
      <c r="G68" s="99">
        <v>0</v>
      </c>
      <c r="H68" s="99">
        <v>0</v>
      </c>
      <c r="I68" s="99">
        <v>0</v>
      </c>
      <c r="J68" s="99">
        <v>0</v>
      </c>
      <c r="K68" s="99">
        <v>0</v>
      </c>
      <c r="L68" s="99">
        <v>0</v>
      </c>
      <c r="M68" s="99">
        <v>0</v>
      </c>
    </row>
    <row r="69" spans="1:13">
      <c r="A69" s="97" t="s">
        <v>2198</v>
      </c>
      <c r="B69" s="98">
        <v>1104546</v>
      </c>
      <c r="C69" s="98">
        <v>1104546</v>
      </c>
      <c r="D69" s="99">
        <v>793200</v>
      </c>
      <c r="E69" s="99">
        <v>129240</v>
      </c>
      <c r="F69" s="99">
        <v>0</v>
      </c>
      <c r="G69" s="99">
        <v>0</v>
      </c>
      <c r="H69" s="99">
        <v>0</v>
      </c>
      <c r="I69" s="99">
        <v>0</v>
      </c>
      <c r="J69" s="99">
        <v>0</v>
      </c>
      <c r="K69" s="99">
        <v>0</v>
      </c>
      <c r="L69" s="99">
        <v>0</v>
      </c>
      <c r="M69" s="99">
        <v>0</v>
      </c>
    </row>
    <row r="70" spans="1:13">
      <c r="A70" s="97" t="s">
        <v>2199</v>
      </c>
      <c r="B70" s="98">
        <v>10833374</v>
      </c>
      <c r="C70" s="98">
        <v>10833374</v>
      </c>
      <c r="D70" s="99">
        <v>9014514</v>
      </c>
      <c r="E70" s="99">
        <v>130774</v>
      </c>
      <c r="F70" s="99">
        <v>10578</v>
      </c>
      <c r="G70" s="99">
        <v>3637</v>
      </c>
      <c r="H70" s="99">
        <v>1012197</v>
      </c>
      <c r="I70" s="99">
        <v>1635</v>
      </c>
      <c r="J70" s="99">
        <v>328888</v>
      </c>
      <c r="K70" s="99">
        <v>6935</v>
      </c>
      <c r="L70" s="99">
        <v>1561</v>
      </c>
      <c r="M70" s="99">
        <v>127</v>
      </c>
    </row>
    <row r="71" spans="1:13">
      <c r="A71" s="97" t="s">
        <v>2200</v>
      </c>
      <c r="B71" s="98"/>
      <c r="C71" s="98"/>
      <c r="D71" s="99"/>
      <c r="E71" s="99"/>
      <c r="F71" s="99"/>
      <c r="G71" s="99"/>
      <c r="H71" s="99"/>
      <c r="I71" s="99"/>
      <c r="J71" s="99"/>
      <c r="K71" s="99"/>
      <c r="L71" s="99"/>
      <c r="M71" s="99"/>
    </row>
    <row r="72" spans="1:13">
      <c r="A72" s="97" t="s">
        <v>2201</v>
      </c>
      <c r="B72" s="98">
        <v>117515883</v>
      </c>
      <c r="C72" s="98">
        <v>117515883</v>
      </c>
      <c r="D72" s="99">
        <v>48646618</v>
      </c>
      <c r="E72" s="99">
        <v>2204823</v>
      </c>
      <c r="F72" s="99">
        <v>3190933</v>
      </c>
      <c r="G72" s="99">
        <v>1911652</v>
      </c>
      <c r="H72" s="99">
        <v>1484200</v>
      </c>
      <c r="I72" s="99">
        <v>2729953</v>
      </c>
      <c r="J72" s="99">
        <v>4039760</v>
      </c>
      <c r="K72" s="99">
        <v>3519478</v>
      </c>
      <c r="L72" s="99">
        <v>2363119</v>
      </c>
      <c r="M72" s="99">
        <v>942568</v>
      </c>
    </row>
    <row r="73" spans="1:13">
      <c r="A73" s="97" t="s">
        <v>2202</v>
      </c>
      <c r="B73" s="98">
        <v>200000</v>
      </c>
      <c r="C73" s="98">
        <v>200000</v>
      </c>
      <c r="D73" s="99">
        <v>200000</v>
      </c>
      <c r="E73" s="99">
        <v>0</v>
      </c>
      <c r="F73" s="99">
        <v>0</v>
      </c>
      <c r="G73" s="99">
        <v>0</v>
      </c>
      <c r="H73" s="99">
        <v>0</v>
      </c>
      <c r="I73" s="99">
        <v>0</v>
      </c>
      <c r="J73" s="99">
        <v>0</v>
      </c>
      <c r="K73" s="99">
        <v>0</v>
      </c>
      <c r="L73" s="99">
        <v>0</v>
      </c>
      <c r="M73" s="99">
        <v>0</v>
      </c>
    </row>
    <row r="74" spans="1:13">
      <c r="A74" s="97" t="s">
        <v>2203</v>
      </c>
      <c r="B74" s="98">
        <v>26873913</v>
      </c>
      <c r="C74" s="98">
        <v>26873913</v>
      </c>
      <c r="D74" s="99">
        <v>24962066</v>
      </c>
      <c r="E74" s="99">
        <v>0</v>
      </c>
      <c r="F74" s="99">
        <v>641722</v>
      </c>
      <c r="G74" s="99">
        <v>0</v>
      </c>
      <c r="H74" s="99">
        <v>0</v>
      </c>
      <c r="I74" s="99">
        <v>534171</v>
      </c>
      <c r="J74" s="99">
        <v>735954</v>
      </c>
      <c r="K74" s="99">
        <v>0</v>
      </c>
      <c r="L74" s="99">
        <v>0</v>
      </c>
      <c r="M74" s="99">
        <v>0</v>
      </c>
    </row>
    <row r="75" spans="1:13">
      <c r="A75" s="97" t="s">
        <v>2204</v>
      </c>
      <c r="B75" s="98">
        <v>144589796</v>
      </c>
      <c r="C75" s="98">
        <v>144589796</v>
      </c>
      <c r="D75" s="99">
        <v>73808684</v>
      </c>
      <c r="E75" s="99">
        <v>2204823</v>
      </c>
      <c r="F75" s="99">
        <v>3832655</v>
      </c>
      <c r="G75" s="99">
        <v>1911652</v>
      </c>
      <c r="H75" s="99">
        <v>1484200</v>
      </c>
      <c r="I75" s="99">
        <v>3264124</v>
      </c>
      <c r="J75" s="99">
        <v>4775714</v>
      </c>
      <c r="K75" s="99">
        <v>3519478</v>
      </c>
      <c r="L75" s="99">
        <v>2363119</v>
      </c>
      <c r="M75" s="99">
        <v>942568</v>
      </c>
    </row>
    <row r="76" spans="1:13">
      <c r="A76" s="97" t="s">
        <v>2205</v>
      </c>
      <c r="B76" s="98">
        <v>246656052</v>
      </c>
      <c r="C76" s="98">
        <v>246656052</v>
      </c>
      <c r="D76" s="99">
        <v>71747543</v>
      </c>
      <c r="E76" s="99">
        <v>11783355</v>
      </c>
      <c r="F76" s="99">
        <v>6945862</v>
      </c>
      <c r="G76" s="99">
        <v>2756612</v>
      </c>
      <c r="H76" s="99">
        <v>8251862</v>
      </c>
      <c r="I76" s="99">
        <v>14010559</v>
      </c>
      <c r="J76" s="99">
        <v>9856982</v>
      </c>
      <c r="K76" s="99">
        <v>8658825</v>
      </c>
      <c r="L76" s="99">
        <v>6950177</v>
      </c>
      <c r="M76" s="99">
        <v>5720159</v>
      </c>
    </row>
    <row r="77" spans="1:13">
      <c r="A77" s="97" t="s">
        <v>2206</v>
      </c>
      <c r="B77" s="98"/>
      <c r="C77" s="98"/>
      <c r="D77" s="99"/>
      <c r="E77" s="99"/>
      <c r="F77" s="99"/>
      <c r="G77" s="99"/>
      <c r="H77" s="99"/>
      <c r="I77" s="99"/>
      <c r="J77" s="99"/>
      <c r="K77" s="99"/>
      <c r="L77" s="99"/>
      <c r="M77" s="99"/>
    </row>
    <row r="78" spans="1:13">
      <c r="A78" s="97" t="s">
        <v>2207</v>
      </c>
      <c r="B78" s="98">
        <v>0</v>
      </c>
      <c r="C78" s="98">
        <v>0</v>
      </c>
      <c r="D78" s="99">
        <v>0</v>
      </c>
      <c r="E78" s="99">
        <v>0</v>
      </c>
      <c r="F78" s="99">
        <v>0</v>
      </c>
      <c r="G78" s="99">
        <v>0</v>
      </c>
      <c r="H78" s="99">
        <v>0</v>
      </c>
      <c r="I78" s="99">
        <v>0</v>
      </c>
      <c r="J78" s="99">
        <v>0</v>
      </c>
      <c r="K78" s="99">
        <v>0</v>
      </c>
      <c r="L78" s="99">
        <v>0</v>
      </c>
      <c r="M78" s="99">
        <v>0</v>
      </c>
    </row>
    <row r="79" spans="1:13">
      <c r="A79" s="97" t="s">
        <v>2208</v>
      </c>
      <c r="B79" s="98">
        <v>0</v>
      </c>
      <c r="C79" s="98">
        <v>0</v>
      </c>
      <c r="D79" s="99">
        <v>0</v>
      </c>
      <c r="E79" s="99">
        <v>0</v>
      </c>
      <c r="F79" s="99">
        <v>0</v>
      </c>
      <c r="G79" s="99">
        <v>0</v>
      </c>
      <c r="H79" s="99">
        <v>0</v>
      </c>
      <c r="I79" s="99">
        <v>0</v>
      </c>
      <c r="J79" s="99">
        <v>0</v>
      </c>
      <c r="K79" s="99">
        <v>0</v>
      </c>
      <c r="L79" s="99">
        <v>0</v>
      </c>
      <c r="M79" s="99">
        <v>0</v>
      </c>
    </row>
    <row r="80" spans="1:13">
      <c r="A80" s="97" t="s">
        <v>2209</v>
      </c>
      <c r="B80" s="98">
        <v>0</v>
      </c>
      <c r="C80" s="98">
        <v>0</v>
      </c>
      <c r="D80" s="99">
        <v>0</v>
      </c>
      <c r="E80" s="99">
        <v>0</v>
      </c>
      <c r="F80" s="99">
        <v>0</v>
      </c>
      <c r="G80" s="99">
        <v>0</v>
      </c>
      <c r="H80" s="99">
        <v>0</v>
      </c>
      <c r="I80" s="99">
        <v>0</v>
      </c>
      <c r="J80" s="99">
        <v>0</v>
      </c>
      <c r="K80" s="99">
        <v>0</v>
      </c>
      <c r="L80" s="99">
        <v>0</v>
      </c>
      <c r="M80" s="99">
        <v>0</v>
      </c>
    </row>
    <row r="81" spans="1:13">
      <c r="A81" s="97" t="s">
        <v>2210</v>
      </c>
      <c r="B81" s="98">
        <v>0</v>
      </c>
      <c r="C81" s="98">
        <v>0</v>
      </c>
      <c r="D81" s="99">
        <v>0</v>
      </c>
      <c r="E81" s="99">
        <v>0</v>
      </c>
      <c r="F81" s="99">
        <v>0</v>
      </c>
      <c r="G81" s="99">
        <v>0</v>
      </c>
      <c r="H81" s="99">
        <v>0</v>
      </c>
      <c r="I81" s="99">
        <v>0</v>
      </c>
      <c r="J81" s="99">
        <v>0</v>
      </c>
      <c r="K81" s="99">
        <v>0</v>
      </c>
      <c r="L81" s="99">
        <v>0</v>
      </c>
      <c r="M81" s="99">
        <v>0</v>
      </c>
    </row>
    <row r="82" spans="1:13">
      <c r="A82" s="97" t="s">
        <v>2211</v>
      </c>
      <c r="B82" s="98"/>
      <c r="C82" s="98"/>
      <c r="D82" s="99"/>
      <c r="E82" s="99"/>
      <c r="F82" s="99"/>
      <c r="G82" s="99"/>
      <c r="H82" s="99"/>
      <c r="I82" s="99"/>
      <c r="J82" s="99"/>
      <c r="K82" s="99"/>
      <c r="L82" s="99"/>
      <c r="M82" s="99"/>
    </row>
    <row r="83" spans="1:13">
      <c r="A83" s="97" t="s">
        <v>2212</v>
      </c>
      <c r="B83" s="98">
        <v>0</v>
      </c>
      <c r="C83" s="98">
        <v>0</v>
      </c>
      <c r="D83" s="99">
        <v>0</v>
      </c>
      <c r="E83" s="99">
        <v>0</v>
      </c>
      <c r="F83" s="99">
        <v>0</v>
      </c>
      <c r="G83" s="99">
        <v>0</v>
      </c>
      <c r="H83" s="99">
        <v>0</v>
      </c>
      <c r="I83" s="99">
        <v>0</v>
      </c>
      <c r="J83" s="99">
        <v>0</v>
      </c>
      <c r="K83" s="99">
        <v>0</v>
      </c>
      <c r="L83" s="99">
        <v>0</v>
      </c>
      <c r="M83" s="99">
        <v>0</v>
      </c>
    </row>
    <row r="84" spans="1:13">
      <c r="A84" s="97" t="s">
        <v>2213</v>
      </c>
      <c r="B84" s="98">
        <v>0</v>
      </c>
      <c r="C84" s="98">
        <v>0</v>
      </c>
      <c r="D84" s="99">
        <v>0</v>
      </c>
      <c r="E84" s="99">
        <v>0</v>
      </c>
      <c r="F84" s="99">
        <v>0</v>
      </c>
      <c r="G84" s="99">
        <v>0</v>
      </c>
      <c r="H84" s="99">
        <v>0</v>
      </c>
      <c r="I84" s="99">
        <v>0</v>
      </c>
      <c r="J84" s="99">
        <v>0</v>
      </c>
      <c r="K84" s="99">
        <v>0</v>
      </c>
      <c r="L84" s="99">
        <v>0</v>
      </c>
      <c r="M84" s="99">
        <v>0</v>
      </c>
    </row>
    <row r="85" spans="1:13">
      <c r="A85" s="97" t="s">
        <v>2214</v>
      </c>
      <c r="B85" s="98">
        <v>0</v>
      </c>
      <c r="C85" s="98">
        <v>0</v>
      </c>
      <c r="D85" s="99">
        <v>0</v>
      </c>
      <c r="E85" s="99">
        <v>0</v>
      </c>
      <c r="F85" s="99">
        <v>0</v>
      </c>
      <c r="G85" s="99">
        <v>0</v>
      </c>
      <c r="H85" s="99">
        <v>0</v>
      </c>
      <c r="I85" s="99">
        <v>0</v>
      </c>
      <c r="J85" s="99">
        <v>0</v>
      </c>
      <c r="K85" s="99">
        <v>0</v>
      </c>
      <c r="L85" s="99">
        <v>0</v>
      </c>
      <c r="M85" s="99">
        <v>0</v>
      </c>
    </row>
    <row r="86" spans="1:13">
      <c r="A86" s="97" t="s">
        <v>2215</v>
      </c>
      <c r="B86" s="98"/>
      <c r="C86" s="98"/>
      <c r="D86" s="99"/>
      <c r="E86" s="99"/>
      <c r="F86" s="99"/>
      <c r="G86" s="99"/>
      <c r="H86" s="99"/>
      <c r="I86" s="99"/>
      <c r="J86" s="99"/>
      <c r="K86" s="99"/>
      <c r="L86" s="99"/>
      <c r="M86" s="99"/>
    </row>
    <row r="87" spans="1:13">
      <c r="A87" s="97" t="s">
        <v>2216</v>
      </c>
      <c r="B87" s="98">
        <v>246656052</v>
      </c>
      <c r="C87" s="98">
        <v>246656052</v>
      </c>
      <c r="D87" s="99">
        <v>71747543</v>
      </c>
      <c r="E87" s="99">
        <v>11783355</v>
      </c>
      <c r="F87" s="99">
        <v>6945862</v>
      </c>
      <c r="G87" s="99">
        <v>2756612</v>
      </c>
      <c r="H87" s="99">
        <v>8251862</v>
      </c>
      <c r="I87" s="99">
        <v>14010559</v>
      </c>
      <c r="J87" s="99">
        <v>9856982</v>
      </c>
      <c r="K87" s="99">
        <v>8658825</v>
      </c>
      <c r="L87" s="99">
        <v>6950177</v>
      </c>
      <c r="M87" s="99">
        <v>5720159</v>
      </c>
    </row>
    <row r="88" spans="1:13">
      <c r="A88" s="97" t="s">
        <v>2217</v>
      </c>
      <c r="B88" s="98">
        <v>232860</v>
      </c>
      <c r="C88" s="98">
        <v>232860</v>
      </c>
      <c r="D88" s="99">
        <v>194091</v>
      </c>
      <c r="E88" s="99">
        <v>310</v>
      </c>
      <c r="F88" s="99">
        <v>2154</v>
      </c>
      <c r="G88" s="99">
        <v>734</v>
      </c>
      <c r="H88" s="99">
        <v>2478</v>
      </c>
      <c r="I88" s="99">
        <v>326</v>
      </c>
      <c r="J88" s="99">
        <v>2479</v>
      </c>
      <c r="K88" s="99">
        <v>1392</v>
      </c>
      <c r="L88" s="99">
        <v>315</v>
      </c>
      <c r="M88" s="99">
        <v>19</v>
      </c>
    </row>
    <row r="89" spans="1:13">
      <c r="A89" s="97" t="s">
        <v>2218</v>
      </c>
      <c r="B89" s="98">
        <v>0</v>
      </c>
      <c r="C89" s="98">
        <v>0</v>
      </c>
      <c r="D89" s="99">
        <v>0</v>
      </c>
      <c r="E89" s="99">
        <v>0</v>
      </c>
      <c r="F89" s="99">
        <v>0</v>
      </c>
      <c r="G89" s="99">
        <v>0</v>
      </c>
      <c r="H89" s="99">
        <v>0</v>
      </c>
      <c r="I89" s="99">
        <v>0</v>
      </c>
      <c r="J89" s="99">
        <v>0</v>
      </c>
      <c r="K89" s="99">
        <v>0</v>
      </c>
      <c r="L89" s="99">
        <v>0</v>
      </c>
      <c r="M89" s="99">
        <v>0</v>
      </c>
    </row>
    <row r="90" spans="1:13">
      <c r="A90" s="97" t="s">
        <v>2219</v>
      </c>
      <c r="B90" s="98">
        <v>246423192</v>
      </c>
      <c r="C90" s="98">
        <v>246423192</v>
      </c>
      <c r="D90" s="99">
        <v>71553452</v>
      </c>
      <c r="E90" s="99">
        <v>11783045</v>
      </c>
      <c r="F90" s="99">
        <v>6943708</v>
      </c>
      <c r="G90" s="99">
        <v>2755878</v>
      </c>
      <c r="H90" s="99">
        <v>8249384</v>
      </c>
      <c r="I90" s="99">
        <v>14010233</v>
      </c>
      <c r="J90" s="99">
        <v>9854503</v>
      </c>
      <c r="K90" s="99">
        <v>8657433</v>
      </c>
      <c r="L90" s="99">
        <v>6949862</v>
      </c>
      <c r="M90" s="99">
        <v>5720140</v>
      </c>
    </row>
    <row r="93" spans="1:13" ht="24">
      <c r="A93" s="102" t="s">
        <v>2350</v>
      </c>
      <c r="B93" s="102"/>
      <c r="C93" s="103"/>
      <c r="D93" s="103"/>
      <c r="E93" s="93" t="s">
        <v>2349</v>
      </c>
    </row>
    <row r="94" spans="1:13">
      <c r="A94" s="104" t="s">
        <v>2221</v>
      </c>
      <c r="B94" s="104"/>
      <c r="C94" s="104"/>
      <c r="D94" s="104"/>
      <c r="E94" s="104"/>
      <c r="F94" s="104"/>
      <c r="G94" s="104"/>
      <c r="H94" s="104"/>
      <c r="I94" s="104"/>
      <c r="J94" s="104"/>
      <c r="K94" s="104"/>
      <c r="L94" s="104"/>
      <c r="M94" s="104"/>
    </row>
    <row r="95" spans="1:13" ht="27">
      <c r="A95" s="105" t="s">
        <v>2120</v>
      </c>
      <c r="B95" s="105" t="s">
        <v>2121</v>
      </c>
      <c r="C95" s="105" t="s">
        <v>2122</v>
      </c>
      <c r="D95" s="106" t="s">
        <v>2222</v>
      </c>
      <c r="E95" s="106" t="s">
        <v>2223</v>
      </c>
      <c r="F95" s="107" t="s">
        <v>2224</v>
      </c>
      <c r="G95" s="107" t="s">
        <v>2225</v>
      </c>
      <c r="H95" s="107" t="s">
        <v>2226</v>
      </c>
      <c r="I95" s="107" t="s">
        <v>2227</v>
      </c>
      <c r="J95" s="107" t="s">
        <v>2228</v>
      </c>
      <c r="K95" s="107" t="s">
        <v>2229</v>
      </c>
      <c r="L95" s="107" t="s">
        <v>2230</v>
      </c>
      <c r="M95" s="107" t="s">
        <v>2132</v>
      </c>
    </row>
    <row r="96" spans="1:13">
      <c r="A96" s="108" t="s">
        <v>2231</v>
      </c>
      <c r="B96" s="109"/>
      <c r="C96" s="109"/>
      <c r="D96" s="99"/>
      <c r="E96" s="99"/>
      <c r="F96" s="99"/>
      <c r="G96" s="99"/>
      <c r="H96" s="99"/>
      <c r="I96" s="99"/>
      <c r="J96" s="99"/>
      <c r="K96" s="99"/>
      <c r="L96" s="99"/>
      <c r="M96" s="99"/>
    </row>
    <row r="97" spans="1:13">
      <c r="A97" s="111" t="s">
        <v>2232</v>
      </c>
      <c r="B97" s="112">
        <v>18638093</v>
      </c>
      <c r="C97" s="112">
        <v>18638093</v>
      </c>
      <c r="D97" s="99">
        <v>1038693</v>
      </c>
      <c r="E97" s="99">
        <v>1100000</v>
      </c>
      <c r="F97" s="99">
        <v>1100000</v>
      </c>
      <c r="G97" s="99">
        <v>1100000</v>
      </c>
      <c r="H97" s="99">
        <v>1099400</v>
      </c>
      <c r="I97" s="99">
        <v>1100000</v>
      </c>
      <c r="J97" s="99">
        <v>1100000</v>
      </c>
      <c r="K97" s="99">
        <v>1100000</v>
      </c>
      <c r="L97" s="99">
        <v>1100000</v>
      </c>
      <c r="M97" s="99">
        <v>1100000</v>
      </c>
    </row>
    <row r="98" spans="1:13">
      <c r="A98" s="111" t="s">
        <v>2233</v>
      </c>
      <c r="B98" s="112">
        <v>727888479</v>
      </c>
      <c r="C98" s="112">
        <v>727888479</v>
      </c>
      <c r="D98" s="99">
        <v>412288719</v>
      </c>
      <c r="E98" s="99">
        <v>3468706</v>
      </c>
      <c r="F98" s="99">
        <v>6309888</v>
      </c>
      <c r="G98" s="99">
        <v>11669216</v>
      </c>
      <c r="H98" s="99">
        <v>8589316</v>
      </c>
      <c r="I98" s="99">
        <v>16596258</v>
      </c>
      <c r="J98" s="99">
        <v>19634881</v>
      </c>
      <c r="K98" s="99">
        <v>10001864</v>
      </c>
      <c r="L98" s="99">
        <v>8239404</v>
      </c>
      <c r="M98" s="99">
        <v>7983089</v>
      </c>
    </row>
    <row r="99" spans="1:13">
      <c r="A99" s="111" t="s">
        <v>2234</v>
      </c>
      <c r="B99" s="112">
        <v>42000678</v>
      </c>
      <c r="C99" s="112">
        <v>42000678</v>
      </c>
      <c r="D99" s="99">
        <v>42000678</v>
      </c>
      <c r="E99" s="99">
        <v>0</v>
      </c>
      <c r="F99" s="99">
        <v>0</v>
      </c>
      <c r="G99" s="99">
        <v>0</v>
      </c>
      <c r="H99" s="99">
        <v>0</v>
      </c>
      <c r="I99" s="99">
        <v>0</v>
      </c>
      <c r="J99" s="99">
        <v>0</v>
      </c>
      <c r="K99" s="99">
        <v>0</v>
      </c>
      <c r="L99" s="99">
        <v>0</v>
      </c>
      <c r="M99" s="99">
        <v>0</v>
      </c>
    </row>
    <row r="100" spans="1:13">
      <c r="A100" s="111" t="s">
        <v>2235</v>
      </c>
      <c r="B100" s="112">
        <v>3230000</v>
      </c>
      <c r="C100" s="112">
        <v>3230000</v>
      </c>
      <c r="D100" s="99">
        <v>1730000</v>
      </c>
      <c r="E100" s="99">
        <v>0</v>
      </c>
      <c r="F100" s="99">
        <v>0</v>
      </c>
      <c r="G100" s="99">
        <v>0</v>
      </c>
      <c r="H100" s="99">
        <v>0</v>
      </c>
      <c r="I100" s="99">
        <v>0</v>
      </c>
      <c r="J100" s="99">
        <v>0</v>
      </c>
      <c r="K100" s="99">
        <v>0</v>
      </c>
      <c r="L100" s="99">
        <v>0</v>
      </c>
      <c r="M100" s="99">
        <v>0</v>
      </c>
    </row>
    <row r="101" spans="1:13">
      <c r="A101" s="111" t="s">
        <v>2236</v>
      </c>
      <c r="B101" s="112">
        <v>0</v>
      </c>
      <c r="C101" s="112">
        <v>0</v>
      </c>
      <c r="D101" s="99">
        <v>0</v>
      </c>
      <c r="E101" s="99">
        <v>0</v>
      </c>
      <c r="F101" s="99">
        <v>0</v>
      </c>
      <c r="G101" s="99">
        <v>0</v>
      </c>
      <c r="H101" s="99">
        <v>0</v>
      </c>
      <c r="I101" s="99">
        <v>0</v>
      </c>
      <c r="J101" s="99">
        <v>0</v>
      </c>
      <c r="K101" s="99">
        <v>0</v>
      </c>
      <c r="L101" s="99">
        <v>0</v>
      </c>
      <c r="M101" s="99">
        <v>0</v>
      </c>
    </row>
    <row r="102" spans="1:13">
      <c r="A102" s="111" t="s">
        <v>2351</v>
      </c>
      <c r="B102" s="112">
        <v>791757250</v>
      </c>
      <c r="C102" s="112">
        <v>791757250</v>
      </c>
      <c r="D102" s="99">
        <v>457058090</v>
      </c>
      <c r="E102" s="99">
        <v>4568706</v>
      </c>
      <c r="F102" s="99">
        <v>7409888</v>
      </c>
      <c r="G102" s="99">
        <v>12769216</v>
      </c>
      <c r="H102" s="99">
        <v>9688716</v>
      </c>
      <c r="I102" s="99">
        <v>17696258</v>
      </c>
      <c r="J102" s="99">
        <v>20734881</v>
      </c>
      <c r="K102" s="99">
        <v>11101864</v>
      </c>
      <c r="L102" s="99">
        <v>9339404</v>
      </c>
      <c r="M102" s="99">
        <v>9083089</v>
      </c>
    </row>
    <row r="103" spans="1:13">
      <c r="A103" s="111" t="s">
        <v>2238</v>
      </c>
      <c r="B103" s="112"/>
      <c r="C103" s="112"/>
      <c r="D103" s="99"/>
      <c r="E103" s="99"/>
      <c r="F103" s="99"/>
      <c r="G103" s="99"/>
      <c r="H103" s="99"/>
      <c r="I103" s="99"/>
      <c r="J103" s="99"/>
      <c r="K103" s="99"/>
      <c r="L103" s="99"/>
      <c r="M103" s="99"/>
    </row>
    <row r="104" spans="1:13">
      <c r="A104" s="111" t="s">
        <v>2239</v>
      </c>
      <c r="B104" s="112">
        <v>0</v>
      </c>
      <c r="C104" s="112">
        <v>0</v>
      </c>
      <c r="D104" s="99">
        <v>0</v>
      </c>
      <c r="E104" s="99">
        <v>0</v>
      </c>
      <c r="F104" s="99">
        <v>0</v>
      </c>
      <c r="G104" s="99">
        <v>0</v>
      </c>
      <c r="H104" s="99">
        <v>0</v>
      </c>
      <c r="I104" s="99">
        <v>0</v>
      </c>
      <c r="J104" s="99">
        <v>0</v>
      </c>
      <c r="K104" s="99">
        <v>0</v>
      </c>
      <c r="L104" s="99">
        <v>0</v>
      </c>
      <c r="M104" s="99">
        <v>0</v>
      </c>
    </row>
    <row r="105" spans="1:13">
      <c r="A105" s="111" t="s">
        <v>2240</v>
      </c>
      <c r="B105" s="112">
        <v>0</v>
      </c>
      <c r="C105" s="112">
        <v>0</v>
      </c>
      <c r="D105" s="99">
        <v>0</v>
      </c>
      <c r="E105" s="99">
        <v>0</v>
      </c>
      <c r="F105" s="99">
        <v>0</v>
      </c>
      <c r="G105" s="99">
        <v>0</v>
      </c>
      <c r="H105" s="99">
        <v>0</v>
      </c>
      <c r="I105" s="99">
        <v>0</v>
      </c>
      <c r="J105" s="99">
        <v>0</v>
      </c>
      <c r="K105" s="99">
        <v>0</v>
      </c>
      <c r="L105" s="99">
        <v>0</v>
      </c>
      <c r="M105" s="99">
        <v>0</v>
      </c>
    </row>
    <row r="106" spans="1:13">
      <c r="A106" s="111" t="s">
        <v>2241</v>
      </c>
      <c r="B106" s="112"/>
      <c r="C106" s="112"/>
      <c r="D106" s="99"/>
      <c r="E106" s="99"/>
      <c r="F106" s="99"/>
      <c r="G106" s="99"/>
      <c r="H106" s="99"/>
      <c r="I106" s="99"/>
      <c r="J106" s="99"/>
      <c r="K106" s="99"/>
      <c r="L106" s="99"/>
      <c r="M106" s="99"/>
    </row>
    <row r="107" spans="1:13">
      <c r="A107" s="111" t="s">
        <v>2242</v>
      </c>
      <c r="B107" s="112">
        <v>0</v>
      </c>
      <c r="C107" s="112">
        <v>0</v>
      </c>
      <c r="D107" s="99">
        <v>0</v>
      </c>
      <c r="E107" s="99">
        <v>0</v>
      </c>
      <c r="F107" s="99">
        <v>0</v>
      </c>
      <c r="G107" s="99">
        <v>0</v>
      </c>
      <c r="H107" s="99">
        <v>0</v>
      </c>
      <c r="I107" s="99">
        <v>0</v>
      </c>
      <c r="J107" s="99">
        <v>0</v>
      </c>
      <c r="K107" s="99">
        <v>0</v>
      </c>
      <c r="L107" s="99">
        <v>0</v>
      </c>
      <c r="M107" s="99">
        <v>0</v>
      </c>
    </row>
    <row r="108" spans="1:13">
      <c r="A108" s="111" t="s">
        <v>2243</v>
      </c>
      <c r="B108" s="112"/>
      <c r="C108" s="112"/>
      <c r="D108" s="99"/>
      <c r="E108" s="99"/>
      <c r="F108" s="99"/>
      <c r="G108" s="99"/>
      <c r="H108" s="99"/>
      <c r="I108" s="99"/>
      <c r="J108" s="99"/>
      <c r="K108" s="99"/>
      <c r="L108" s="99"/>
      <c r="M108" s="99"/>
    </row>
    <row r="109" spans="1:13">
      <c r="A109" s="111" t="s">
        <v>2244</v>
      </c>
      <c r="B109" s="112">
        <v>0</v>
      </c>
      <c r="C109" s="112">
        <v>0</v>
      </c>
      <c r="D109" s="99">
        <v>0</v>
      </c>
      <c r="E109" s="99">
        <v>0</v>
      </c>
      <c r="F109" s="99">
        <v>0</v>
      </c>
      <c r="G109" s="99">
        <v>0</v>
      </c>
      <c r="H109" s="99">
        <v>0</v>
      </c>
      <c r="I109" s="99">
        <v>0</v>
      </c>
      <c r="J109" s="99">
        <v>0</v>
      </c>
      <c r="K109" s="99">
        <v>0</v>
      </c>
      <c r="L109" s="99">
        <v>0</v>
      </c>
      <c r="M109" s="99">
        <v>0</v>
      </c>
    </row>
    <row r="110" spans="1:13">
      <c r="A110" s="111" t="s">
        <v>2245</v>
      </c>
      <c r="B110" s="112">
        <v>0</v>
      </c>
      <c r="C110" s="112">
        <v>0</v>
      </c>
      <c r="D110" s="99">
        <v>0</v>
      </c>
      <c r="E110" s="99">
        <v>0</v>
      </c>
      <c r="F110" s="99">
        <v>0</v>
      </c>
      <c r="G110" s="99">
        <v>0</v>
      </c>
      <c r="H110" s="99">
        <v>0</v>
      </c>
      <c r="I110" s="99">
        <v>0</v>
      </c>
      <c r="J110" s="99">
        <v>0</v>
      </c>
      <c r="K110" s="99">
        <v>0</v>
      </c>
      <c r="L110" s="99">
        <v>0</v>
      </c>
      <c r="M110" s="99">
        <v>0</v>
      </c>
    </row>
    <row r="111" spans="1:13">
      <c r="A111" s="111" t="s">
        <v>2246</v>
      </c>
      <c r="B111" s="112"/>
      <c r="C111" s="112"/>
      <c r="D111" s="99"/>
      <c r="E111" s="99"/>
      <c r="F111" s="99"/>
      <c r="G111" s="99"/>
      <c r="H111" s="99"/>
      <c r="I111" s="99"/>
      <c r="J111" s="99"/>
      <c r="K111" s="99"/>
      <c r="L111" s="99"/>
      <c r="M111" s="99"/>
    </row>
    <row r="112" spans="1:13">
      <c r="A112" s="111" t="s">
        <v>2247</v>
      </c>
      <c r="B112" s="112">
        <v>0</v>
      </c>
      <c r="C112" s="112">
        <v>0</v>
      </c>
      <c r="D112" s="99">
        <v>0</v>
      </c>
      <c r="E112" s="99">
        <v>0</v>
      </c>
      <c r="F112" s="99">
        <v>0</v>
      </c>
      <c r="G112" s="99">
        <v>0</v>
      </c>
      <c r="H112" s="99">
        <v>0</v>
      </c>
      <c r="I112" s="99">
        <v>0</v>
      </c>
      <c r="J112" s="99">
        <v>0</v>
      </c>
      <c r="K112" s="99">
        <v>0</v>
      </c>
      <c r="L112" s="99">
        <v>0</v>
      </c>
      <c r="M112" s="99">
        <v>0</v>
      </c>
    </row>
    <row r="113" spans="1:13">
      <c r="A113" s="111" t="s">
        <v>2248</v>
      </c>
      <c r="B113" s="112">
        <v>0</v>
      </c>
      <c r="C113" s="112">
        <v>0</v>
      </c>
      <c r="D113" s="99">
        <v>0</v>
      </c>
      <c r="E113" s="99">
        <v>0</v>
      </c>
      <c r="F113" s="99">
        <v>0</v>
      </c>
      <c r="G113" s="99">
        <v>0</v>
      </c>
      <c r="H113" s="99">
        <v>0</v>
      </c>
      <c r="I113" s="99">
        <v>0</v>
      </c>
      <c r="J113" s="99">
        <v>0</v>
      </c>
      <c r="K113" s="99">
        <v>0</v>
      </c>
      <c r="L113" s="99">
        <v>0</v>
      </c>
      <c r="M113" s="99">
        <v>0</v>
      </c>
    </row>
    <row r="114" spans="1:13">
      <c r="A114" s="111" t="s">
        <v>2249</v>
      </c>
      <c r="B114" s="112">
        <v>69772</v>
      </c>
      <c r="C114" s="112">
        <v>69772</v>
      </c>
      <c r="D114" s="99">
        <v>0</v>
      </c>
      <c r="E114" s="99">
        <v>0</v>
      </c>
      <c r="F114" s="99">
        <v>0</v>
      </c>
      <c r="G114" s="99">
        <v>0</v>
      </c>
      <c r="H114" s="99">
        <v>0</v>
      </c>
      <c r="I114" s="99">
        <v>0</v>
      </c>
      <c r="J114" s="99">
        <v>0</v>
      </c>
      <c r="K114" s="99">
        <v>0</v>
      </c>
      <c r="L114" s="99">
        <v>0</v>
      </c>
      <c r="M114" s="99">
        <v>0</v>
      </c>
    </row>
    <row r="115" spans="1:13">
      <c r="A115" s="111" t="s">
        <v>2250</v>
      </c>
      <c r="B115" s="112">
        <v>0</v>
      </c>
      <c r="C115" s="112">
        <v>0</v>
      </c>
      <c r="D115" s="99">
        <v>0</v>
      </c>
      <c r="E115" s="99">
        <v>0</v>
      </c>
      <c r="F115" s="99">
        <v>0</v>
      </c>
      <c r="G115" s="99">
        <v>0</v>
      </c>
      <c r="H115" s="99">
        <v>0</v>
      </c>
      <c r="I115" s="99">
        <v>0</v>
      </c>
      <c r="J115" s="99">
        <v>0</v>
      </c>
      <c r="K115" s="99">
        <v>0</v>
      </c>
      <c r="L115" s="99">
        <v>0</v>
      </c>
      <c r="M115" s="99">
        <v>0</v>
      </c>
    </row>
    <row r="116" spans="1:13">
      <c r="A116" s="111" t="s">
        <v>2251</v>
      </c>
      <c r="B116" s="112">
        <v>0</v>
      </c>
      <c r="C116" s="112">
        <v>0</v>
      </c>
      <c r="D116" s="99">
        <v>0</v>
      </c>
      <c r="E116" s="99">
        <v>0</v>
      </c>
      <c r="F116" s="99">
        <v>0</v>
      </c>
      <c r="G116" s="99">
        <v>0</v>
      </c>
      <c r="H116" s="99">
        <v>0</v>
      </c>
      <c r="I116" s="99">
        <v>0</v>
      </c>
      <c r="J116" s="99">
        <v>0</v>
      </c>
      <c r="K116" s="99">
        <v>0</v>
      </c>
      <c r="L116" s="99">
        <v>0</v>
      </c>
      <c r="M116" s="99">
        <v>0</v>
      </c>
    </row>
    <row r="117" spans="1:13">
      <c r="A117" s="111" t="s">
        <v>2252</v>
      </c>
      <c r="B117" s="112">
        <v>0</v>
      </c>
      <c r="C117" s="112">
        <v>0</v>
      </c>
      <c r="D117" s="99">
        <v>0</v>
      </c>
      <c r="E117" s="99">
        <v>0</v>
      </c>
      <c r="F117" s="99">
        <v>0</v>
      </c>
      <c r="G117" s="99">
        <v>0</v>
      </c>
      <c r="H117" s="99">
        <v>0</v>
      </c>
      <c r="I117" s="99">
        <v>0</v>
      </c>
      <c r="J117" s="99">
        <v>0</v>
      </c>
      <c r="K117" s="99">
        <v>0</v>
      </c>
      <c r="L117" s="99">
        <v>0</v>
      </c>
      <c r="M117" s="99">
        <v>0</v>
      </c>
    </row>
    <row r="118" spans="1:13">
      <c r="A118" s="111" t="s">
        <v>2253</v>
      </c>
      <c r="B118" s="112">
        <v>0</v>
      </c>
      <c r="C118" s="112">
        <v>164487702</v>
      </c>
      <c r="D118" s="99">
        <v>20790000</v>
      </c>
      <c r="E118" s="99">
        <v>9006214</v>
      </c>
      <c r="F118" s="99">
        <v>2538134</v>
      </c>
      <c r="G118" s="99">
        <v>23763379</v>
      </c>
      <c r="H118" s="99">
        <v>-183631</v>
      </c>
      <c r="I118" s="99">
        <v>7495860</v>
      </c>
      <c r="J118" s="99">
        <v>1691258</v>
      </c>
      <c r="K118" s="99">
        <v>6292718</v>
      </c>
      <c r="L118" s="99">
        <v>3931993</v>
      </c>
      <c r="M118" s="99">
        <v>4020800</v>
      </c>
    </row>
    <row r="119" spans="1:13">
      <c r="A119" s="111" t="s">
        <v>2254</v>
      </c>
      <c r="B119" s="112">
        <v>0</v>
      </c>
      <c r="C119" s="112">
        <v>0</v>
      </c>
      <c r="D119" s="99">
        <v>0</v>
      </c>
      <c r="E119" s="99">
        <v>0</v>
      </c>
      <c r="F119" s="99">
        <v>0</v>
      </c>
      <c r="G119" s="99">
        <v>0</v>
      </c>
      <c r="H119" s="99">
        <v>0</v>
      </c>
      <c r="I119" s="99">
        <v>0</v>
      </c>
      <c r="J119" s="99">
        <v>0</v>
      </c>
      <c r="K119" s="99">
        <v>0</v>
      </c>
      <c r="L119" s="99">
        <v>0</v>
      </c>
      <c r="M119" s="99">
        <v>0</v>
      </c>
    </row>
    <row r="120" spans="1:13">
      <c r="A120" s="111" t="s">
        <v>2255</v>
      </c>
      <c r="B120" s="112">
        <v>0</v>
      </c>
      <c r="C120" s="112">
        <v>0</v>
      </c>
      <c r="D120" s="99">
        <v>0</v>
      </c>
      <c r="E120" s="99">
        <v>0</v>
      </c>
      <c r="F120" s="99">
        <v>0</v>
      </c>
      <c r="G120" s="99">
        <v>0</v>
      </c>
      <c r="H120" s="99">
        <v>0</v>
      </c>
      <c r="I120" s="99">
        <v>0</v>
      </c>
      <c r="J120" s="99">
        <v>0</v>
      </c>
      <c r="K120" s="99">
        <v>0</v>
      </c>
      <c r="L120" s="99">
        <v>0</v>
      </c>
      <c r="M120" s="99">
        <v>0</v>
      </c>
    </row>
    <row r="121" spans="1:13">
      <c r="A121" s="111" t="s">
        <v>2256</v>
      </c>
      <c r="B121" s="112">
        <v>0</v>
      </c>
      <c r="C121" s="112">
        <v>0</v>
      </c>
      <c r="D121" s="99">
        <v>0</v>
      </c>
      <c r="E121" s="99">
        <v>0</v>
      </c>
      <c r="F121" s="99">
        <v>0</v>
      </c>
      <c r="G121" s="99">
        <v>0</v>
      </c>
      <c r="H121" s="99">
        <v>0</v>
      </c>
      <c r="I121" s="99">
        <v>0</v>
      </c>
      <c r="J121" s="99">
        <v>0</v>
      </c>
      <c r="K121" s="99">
        <v>0</v>
      </c>
      <c r="L121" s="99">
        <v>0</v>
      </c>
      <c r="M121" s="99">
        <v>0</v>
      </c>
    </row>
    <row r="122" spans="1:13">
      <c r="A122" s="111" t="s">
        <v>2257</v>
      </c>
      <c r="B122" s="112">
        <v>0</v>
      </c>
      <c r="C122" s="112">
        <v>0</v>
      </c>
      <c r="D122" s="99">
        <v>0</v>
      </c>
      <c r="E122" s="99">
        <v>0</v>
      </c>
      <c r="F122" s="99">
        <v>0</v>
      </c>
      <c r="G122" s="99">
        <v>0</v>
      </c>
      <c r="H122" s="99">
        <v>0</v>
      </c>
      <c r="I122" s="99">
        <v>0</v>
      </c>
      <c r="J122" s="99">
        <v>0</v>
      </c>
      <c r="K122" s="99">
        <v>0</v>
      </c>
      <c r="L122" s="99">
        <v>0</v>
      </c>
      <c r="M122" s="99">
        <v>0</v>
      </c>
    </row>
    <row r="123" spans="1:13">
      <c r="A123" s="111" t="s">
        <v>2258</v>
      </c>
      <c r="B123" s="112">
        <v>-11614281</v>
      </c>
      <c r="C123" s="112">
        <v>-11614281</v>
      </c>
      <c r="D123" s="99">
        <v>-10003950</v>
      </c>
      <c r="E123" s="99">
        <v>0</v>
      </c>
      <c r="F123" s="99">
        <v>-642322</v>
      </c>
      <c r="G123" s="99">
        <v>0</v>
      </c>
      <c r="H123" s="99">
        <v>0</v>
      </c>
      <c r="I123" s="99">
        <v>-551436</v>
      </c>
      <c r="J123" s="99">
        <v>-416573</v>
      </c>
      <c r="K123" s="99">
        <v>0</v>
      </c>
      <c r="L123" s="99">
        <v>0</v>
      </c>
      <c r="M123" s="99">
        <v>0</v>
      </c>
    </row>
    <row r="124" spans="1:13">
      <c r="A124" s="111" t="s">
        <v>2259</v>
      </c>
      <c r="B124" s="112">
        <v>-11544509</v>
      </c>
      <c r="C124" s="112">
        <v>152943193</v>
      </c>
      <c r="D124" s="99">
        <v>10786050</v>
      </c>
      <c r="E124" s="99">
        <v>9006214</v>
      </c>
      <c r="F124" s="99">
        <v>1895812</v>
      </c>
      <c r="G124" s="99">
        <v>23763379</v>
      </c>
      <c r="H124" s="99">
        <v>-183631</v>
      </c>
      <c r="I124" s="99">
        <v>6944424</v>
      </c>
      <c r="J124" s="99">
        <v>1274685</v>
      </c>
      <c r="K124" s="99">
        <v>6292718</v>
      </c>
      <c r="L124" s="99">
        <v>3931993</v>
      </c>
      <c r="M124" s="99">
        <v>4020800</v>
      </c>
    </row>
    <row r="125" spans="1:13">
      <c r="A125" s="111" t="s">
        <v>2260</v>
      </c>
      <c r="B125" s="112">
        <v>780212741</v>
      </c>
      <c r="C125" s="112">
        <v>944700443</v>
      </c>
      <c r="D125" s="99">
        <v>467844140</v>
      </c>
      <c r="E125" s="99">
        <v>13574920</v>
      </c>
      <c r="F125" s="99">
        <v>9305700</v>
      </c>
      <c r="G125" s="99">
        <v>36532595</v>
      </c>
      <c r="H125" s="99">
        <v>9505085</v>
      </c>
      <c r="I125" s="99">
        <v>24640682</v>
      </c>
      <c r="J125" s="99">
        <v>22009566</v>
      </c>
      <c r="K125" s="99">
        <v>17394582</v>
      </c>
      <c r="L125" s="99">
        <v>13271397</v>
      </c>
      <c r="M125" s="99">
        <v>13103889</v>
      </c>
    </row>
    <row r="126" spans="1:13">
      <c r="A126" s="111" t="s">
        <v>2261</v>
      </c>
      <c r="B126" s="112"/>
      <c r="C126" s="112"/>
      <c r="D126" s="99"/>
      <c r="E126" s="99"/>
      <c r="F126" s="99"/>
      <c r="G126" s="99"/>
      <c r="H126" s="99"/>
      <c r="I126" s="99"/>
      <c r="J126" s="99"/>
      <c r="K126" s="99"/>
      <c r="L126" s="99"/>
      <c r="M126" s="99"/>
    </row>
    <row r="127" spans="1:13">
      <c r="A127" s="111" t="s">
        <v>2262</v>
      </c>
      <c r="B127" s="112">
        <v>2682422859</v>
      </c>
      <c r="C127" s="112">
        <v>2682422859</v>
      </c>
      <c r="D127" s="99">
        <v>905099958</v>
      </c>
      <c r="E127" s="99">
        <v>137747816</v>
      </c>
      <c r="F127" s="99">
        <v>67831518</v>
      </c>
      <c r="G127" s="99">
        <v>42745302</v>
      </c>
      <c r="H127" s="99">
        <v>38236835</v>
      </c>
      <c r="I127" s="99">
        <v>108017893</v>
      </c>
      <c r="J127" s="99">
        <v>95067176</v>
      </c>
      <c r="K127" s="99">
        <v>47661091</v>
      </c>
      <c r="L127" s="99">
        <v>31056567</v>
      </c>
      <c r="M127" s="99">
        <v>0</v>
      </c>
    </row>
    <row r="128" spans="1:13">
      <c r="A128" s="111" t="s">
        <v>2263</v>
      </c>
      <c r="B128" s="112">
        <v>138202673</v>
      </c>
      <c r="C128" s="112">
        <v>138202673</v>
      </c>
      <c r="D128" s="99">
        <v>35956082</v>
      </c>
      <c r="E128" s="99">
        <v>0</v>
      </c>
      <c r="F128" s="99">
        <v>2011572</v>
      </c>
      <c r="G128" s="99">
        <v>22501314</v>
      </c>
      <c r="H128" s="99">
        <v>434973</v>
      </c>
      <c r="I128" s="99">
        <v>775451</v>
      </c>
      <c r="J128" s="99">
        <v>815655</v>
      </c>
      <c r="K128" s="99">
        <v>17574354</v>
      </c>
      <c r="L128" s="99">
        <v>0</v>
      </c>
      <c r="M128" s="99">
        <v>0</v>
      </c>
    </row>
    <row r="129" spans="1:13">
      <c r="A129" s="111" t="s">
        <v>2264</v>
      </c>
      <c r="B129" s="112">
        <v>4112530</v>
      </c>
      <c r="C129" s="112">
        <v>4112530</v>
      </c>
      <c r="D129" s="99">
        <v>1795877</v>
      </c>
      <c r="E129" s="99">
        <v>0</v>
      </c>
      <c r="F129" s="99">
        <v>0</v>
      </c>
      <c r="G129" s="99">
        <v>542502</v>
      </c>
      <c r="H129" s="99">
        <v>0</v>
      </c>
      <c r="I129" s="99">
        <v>0</v>
      </c>
      <c r="J129" s="99">
        <v>0</v>
      </c>
      <c r="K129" s="99">
        <v>0</v>
      </c>
      <c r="L129" s="99">
        <v>0</v>
      </c>
      <c r="M129" s="99">
        <v>0</v>
      </c>
    </row>
    <row r="130" spans="1:13">
      <c r="A130" s="111" t="s">
        <v>2265</v>
      </c>
      <c r="B130" s="112">
        <v>6517181</v>
      </c>
      <c r="C130" s="112">
        <v>6517181</v>
      </c>
      <c r="D130" s="99">
        <v>4203883</v>
      </c>
      <c r="E130" s="99">
        <v>267597</v>
      </c>
      <c r="F130" s="99">
        <v>359040</v>
      </c>
      <c r="G130" s="99">
        <v>0</v>
      </c>
      <c r="H130" s="99">
        <v>486438</v>
      </c>
      <c r="I130" s="99">
        <v>0</v>
      </c>
      <c r="J130" s="99">
        <v>0</v>
      </c>
      <c r="K130" s="99">
        <v>376992</v>
      </c>
      <c r="L130" s="99">
        <v>0</v>
      </c>
      <c r="M130" s="99">
        <v>0</v>
      </c>
    </row>
    <row r="131" spans="1:13">
      <c r="A131" s="111" t="s">
        <v>2266</v>
      </c>
      <c r="B131" s="112">
        <v>106565</v>
      </c>
      <c r="C131" s="112">
        <v>106565</v>
      </c>
      <c r="D131" s="99">
        <v>106565</v>
      </c>
      <c r="E131" s="99">
        <v>0</v>
      </c>
      <c r="F131" s="99">
        <v>0</v>
      </c>
      <c r="G131" s="99">
        <v>0</v>
      </c>
      <c r="H131" s="99">
        <v>0</v>
      </c>
      <c r="I131" s="99">
        <v>0</v>
      </c>
      <c r="J131" s="99">
        <v>0</v>
      </c>
      <c r="K131" s="99">
        <v>0</v>
      </c>
      <c r="L131" s="99">
        <v>0</v>
      </c>
      <c r="M131" s="99">
        <v>0</v>
      </c>
    </row>
    <row r="132" spans="1:13">
      <c r="A132" s="111" t="s">
        <v>2267</v>
      </c>
      <c r="B132" s="112">
        <v>0</v>
      </c>
      <c r="C132" s="112">
        <v>0</v>
      </c>
      <c r="D132" s="99">
        <v>0</v>
      </c>
      <c r="E132" s="99">
        <v>0</v>
      </c>
      <c r="F132" s="99">
        <v>0</v>
      </c>
      <c r="G132" s="99">
        <v>0</v>
      </c>
      <c r="H132" s="99">
        <v>0</v>
      </c>
      <c r="I132" s="99">
        <v>0</v>
      </c>
      <c r="J132" s="99">
        <v>0</v>
      </c>
      <c r="K132" s="99">
        <v>0</v>
      </c>
      <c r="L132" s="99">
        <v>0</v>
      </c>
      <c r="M132" s="99">
        <v>0</v>
      </c>
    </row>
    <row r="133" spans="1:13">
      <c r="A133" s="111" t="s">
        <v>2268</v>
      </c>
      <c r="B133" s="112">
        <v>6319150249</v>
      </c>
      <c r="C133" s="112">
        <v>6319150249</v>
      </c>
      <c r="D133" s="99">
        <v>2193005368</v>
      </c>
      <c r="E133" s="99">
        <v>262709157</v>
      </c>
      <c r="F133" s="99">
        <v>286363375</v>
      </c>
      <c r="G133" s="99">
        <v>192559845</v>
      </c>
      <c r="H133" s="99">
        <v>168935000</v>
      </c>
      <c r="I133" s="99">
        <v>264084489</v>
      </c>
      <c r="J133" s="99">
        <v>316421235</v>
      </c>
      <c r="K133" s="99">
        <v>320196626</v>
      </c>
      <c r="L133" s="99">
        <v>252984606</v>
      </c>
      <c r="M133" s="99">
        <v>0</v>
      </c>
    </row>
    <row r="134" spans="1:13">
      <c r="A134" s="111" t="s">
        <v>2269</v>
      </c>
      <c r="B134" s="112">
        <v>4179000</v>
      </c>
      <c r="C134" s="112">
        <v>4179000</v>
      </c>
      <c r="D134" s="99">
        <v>0</v>
      </c>
      <c r="E134" s="99">
        <v>0</v>
      </c>
      <c r="F134" s="99">
        <v>0</v>
      </c>
      <c r="G134" s="99">
        <v>2079000</v>
      </c>
      <c r="H134" s="99">
        <v>0</v>
      </c>
      <c r="I134" s="99">
        <v>0</v>
      </c>
      <c r="J134" s="99">
        <v>0</v>
      </c>
      <c r="K134" s="99">
        <v>0</v>
      </c>
      <c r="L134" s="99">
        <v>0</v>
      </c>
      <c r="M134" s="99">
        <v>0</v>
      </c>
    </row>
    <row r="135" spans="1:13">
      <c r="A135" s="111" t="s">
        <v>2270</v>
      </c>
      <c r="B135" s="112">
        <v>9154691057</v>
      </c>
      <c r="C135" s="112">
        <v>9154691057</v>
      </c>
      <c r="D135" s="99">
        <v>3140167733</v>
      </c>
      <c r="E135" s="99">
        <v>400724570</v>
      </c>
      <c r="F135" s="99">
        <v>356565505</v>
      </c>
      <c r="G135" s="99">
        <v>260427963</v>
      </c>
      <c r="H135" s="99">
        <v>208093246</v>
      </c>
      <c r="I135" s="99">
        <v>372877833</v>
      </c>
      <c r="J135" s="99">
        <v>412304066</v>
      </c>
      <c r="K135" s="99">
        <v>385809063</v>
      </c>
      <c r="L135" s="99">
        <v>284041173</v>
      </c>
      <c r="M135" s="99">
        <v>0</v>
      </c>
    </row>
    <row r="136" spans="1:13">
      <c r="A136" s="111" t="s">
        <v>2271</v>
      </c>
      <c r="B136" s="112"/>
      <c r="C136" s="112"/>
      <c r="D136" s="99"/>
      <c r="E136" s="99"/>
      <c r="F136" s="99"/>
      <c r="G136" s="99"/>
      <c r="H136" s="99"/>
      <c r="I136" s="99"/>
      <c r="J136" s="99"/>
      <c r="K136" s="99"/>
      <c r="L136" s="99"/>
      <c r="M136" s="99"/>
    </row>
    <row r="137" spans="1:13">
      <c r="A137" s="111" t="s">
        <v>2272</v>
      </c>
      <c r="B137" s="112">
        <v>0</v>
      </c>
      <c r="C137" s="112">
        <v>0</v>
      </c>
      <c r="D137" s="99">
        <v>0</v>
      </c>
      <c r="E137" s="99">
        <v>0</v>
      </c>
      <c r="F137" s="99">
        <v>0</v>
      </c>
      <c r="G137" s="99">
        <v>0</v>
      </c>
      <c r="H137" s="99">
        <v>0</v>
      </c>
      <c r="I137" s="99">
        <v>0</v>
      </c>
      <c r="J137" s="99">
        <v>0</v>
      </c>
      <c r="K137" s="99">
        <v>0</v>
      </c>
      <c r="L137" s="99">
        <v>0</v>
      </c>
      <c r="M137" s="99">
        <v>0</v>
      </c>
    </row>
    <row r="138" spans="1:13">
      <c r="A138" s="111" t="s">
        <v>2273</v>
      </c>
      <c r="B138" s="112"/>
      <c r="C138" s="112"/>
      <c r="D138" s="99"/>
      <c r="E138" s="99"/>
      <c r="F138" s="99"/>
      <c r="G138" s="99"/>
      <c r="H138" s="99"/>
      <c r="I138" s="99"/>
      <c r="J138" s="99"/>
      <c r="K138" s="99"/>
      <c r="L138" s="99"/>
      <c r="M138" s="99"/>
    </row>
    <row r="139" spans="1:13">
      <c r="A139" s="111" t="s">
        <v>2274</v>
      </c>
      <c r="B139" s="112">
        <v>0</v>
      </c>
      <c r="C139" s="112">
        <v>0</v>
      </c>
      <c r="D139" s="99">
        <v>0</v>
      </c>
      <c r="E139" s="99">
        <v>0</v>
      </c>
      <c r="F139" s="99">
        <v>0</v>
      </c>
      <c r="G139" s="99">
        <v>0</v>
      </c>
      <c r="H139" s="99">
        <v>0</v>
      </c>
      <c r="I139" s="99">
        <v>0</v>
      </c>
      <c r="J139" s="99">
        <v>0</v>
      </c>
      <c r="K139" s="99">
        <v>0</v>
      </c>
      <c r="L139" s="99">
        <v>0</v>
      </c>
      <c r="M139" s="99">
        <v>0</v>
      </c>
    </row>
    <row r="140" spans="1:13">
      <c r="A140" s="111" t="s">
        <v>2352</v>
      </c>
      <c r="B140" s="112">
        <v>41910000</v>
      </c>
      <c r="C140" s="112">
        <v>41910000</v>
      </c>
      <c r="D140" s="99">
        <v>32710000</v>
      </c>
      <c r="E140" s="99">
        <v>50000</v>
      </c>
      <c r="F140" s="99">
        <v>350000</v>
      </c>
      <c r="G140" s="99">
        <v>150000</v>
      </c>
      <c r="H140" s="99">
        <v>350000</v>
      </c>
      <c r="I140" s="99">
        <v>50000</v>
      </c>
      <c r="J140" s="99">
        <v>400000</v>
      </c>
      <c r="K140" s="99">
        <v>1050000</v>
      </c>
      <c r="L140" s="99">
        <v>50000</v>
      </c>
      <c r="M140" s="99">
        <v>0</v>
      </c>
    </row>
    <row r="141" spans="1:13">
      <c r="A141" s="111" t="s">
        <v>2276</v>
      </c>
      <c r="B141" s="112">
        <v>600000</v>
      </c>
      <c r="C141" s="112">
        <v>600000</v>
      </c>
      <c r="D141" s="99">
        <v>600000</v>
      </c>
      <c r="E141" s="99">
        <v>0</v>
      </c>
      <c r="F141" s="99">
        <v>0</v>
      </c>
      <c r="G141" s="99">
        <v>0</v>
      </c>
      <c r="H141" s="99">
        <v>0</v>
      </c>
      <c r="I141" s="99">
        <v>0</v>
      </c>
      <c r="J141" s="99">
        <v>0</v>
      </c>
      <c r="K141" s="99">
        <v>0</v>
      </c>
      <c r="L141" s="99">
        <v>0</v>
      </c>
      <c r="M141" s="99">
        <v>0</v>
      </c>
    </row>
    <row r="142" spans="1:13">
      <c r="A142" s="111" t="s">
        <v>2277</v>
      </c>
      <c r="B142" s="112">
        <v>4640679</v>
      </c>
      <c r="C142" s="112">
        <v>4640679</v>
      </c>
      <c r="D142" s="99">
        <v>2715316</v>
      </c>
      <c r="E142" s="99">
        <v>0</v>
      </c>
      <c r="F142" s="99">
        <v>0</v>
      </c>
      <c r="G142" s="99">
        <v>262540</v>
      </c>
      <c r="H142" s="99">
        <v>299668</v>
      </c>
      <c r="I142" s="99">
        <v>0</v>
      </c>
      <c r="J142" s="99">
        <v>0</v>
      </c>
      <c r="K142" s="99">
        <v>0</v>
      </c>
      <c r="L142" s="99">
        <v>0</v>
      </c>
      <c r="M142" s="99">
        <v>0</v>
      </c>
    </row>
    <row r="143" spans="1:13">
      <c r="A143" s="111" t="s">
        <v>2278</v>
      </c>
      <c r="B143" s="112">
        <v>46062602</v>
      </c>
      <c r="C143" s="112">
        <v>46062602</v>
      </c>
      <c r="D143" s="99">
        <v>46062602</v>
      </c>
      <c r="E143" s="99">
        <v>0</v>
      </c>
      <c r="F143" s="99">
        <v>0</v>
      </c>
      <c r="G143" s="99">
        <v>0</v>
      </c>
      <c r="H143" s="99">
        <v>0</v>
      </c>
      <c r="I143" s="99">
        <v>0</v>
      </c>
      <c r="J143" s="99">
        <v>0</v>
      </c>
      <c r="K143" s="99">
        <v>0</v>
      </c>
      <c r="L143" s="99">
        <v>0</v>
      </c>
      <c r="M143" s="99">
        <v>0</v>
      </c>
    </row>
    <row r="144" spans="1:13">
      <c r="A144" s="111" t="s">
        <v>2279</v>
      </c>
      <c r="B144" s="112">
        <v>7486800</v>
      </c>
      <c r="C144" s="112">
        <v>7486800</v>
      </c>
      <c r="D144" s="99">
        <v>7486800</v>
      </c>
      <c r="E144" s="99">
        <v>0</v>
      </c>
      <c r="F144" s="99">
        <v>0</v>
      </c>
      <c r="G144" s="99">
        <v>0</v>
      </c>
      <c r="H144" s="99">
        <v>0</v>
      </c>
      <c r="I144" s="99">
        <v>0</v>
      </c>
      <c r="J144" s="99">
        <v>0</v>
      </c>
      <c r="K144" s="99">
        <v>0</v>
      </c>
      <c r="L144" s="99">
        <v>0</v>
      </c>
      <c r="M144" s="99">
        <v>0</v>
      </c>
    </row>
    <row r="145" spans="1:13">
      <c r="A145" s="111" t="s">
        <v>2280</v>
      </c>
      <c r="B145" s="112">
        <v>0</v>
      </c>
      <c r="C145" s="112">
        <v>90000000</v>
      </c>
      <c r="D145" s="99">
        <v>0</v>
      </c>
      <c r="E145" s="99">
        <v>0</v>
      </c>
      <c r="F145" s="99">
        <v>0</v>
      </c>
      <c r="G145" s="99">
        <v>0</v>
      </c>
      <c r="H145" s="99">
        <v>0</v>
      </c>
      <c r="I145" s="99">
        <v>0</v>
      </c>
      <c r="J145" s="99">
        <v>0</v>
      </c>
      <c r="K145" s="99">
        <v>0</v>
      </c>
      <c r="L145" s="99">
        <v>0</v>
      </c>
      <c r="M145" s="99">
        <v>90000000</v>
      </c>
    </row>
    <row r="146" spans="1:13">
      <c r="A146" s="111" t="s">
        <v>2281</v>
      </c>
      <c r="B146" s="112">
        <v>100700081</v>
      </c>
      <c r="C146" s="112">
        <v>190700081</v>
      </c>
      <c r="D146" s="99">
        <v>89574718</v>
      </c>
      <c r="E146" s="99">
        <v>50000</v>
      </c>
      <c r="F146" s="99">
        <v>350000</v>
      </c>
      <c r="G146" s="99">
        <v>412540</v>
      </c>
      <c r="H146" s="99">
        <v>649668</v>
      </c>
      <c r="I146" s="99">
        <v>50000</v>
      </c>
      <c r="J146" s="99">
        <v>400000</v>
      </c>
      <c r="K146" s="99">
        <v>1050000</v>
      </c>
      <c r="L146" s="99">
        <v>50000</v>
      </c>
      <c r="M146" s="99">
        <v>90000000</v>
      </c>
    </row>
    <row r="147" spans="1:13">
      <c r="A147" s="111" t="s">
        <v>2282</v>
      </c>
      <c r="B147" s="112">
        <v>9255391138</v>
      </c>
      <c r="C147" s="112">
        <v>9345391138</v>
      </c>
      <c r="D147" s="99">
        <v>3229742451</v>
      </c>
      <c r="E147" s="99">
        <v>400774570</v>
      </c>
      <c r="F147" s="99">
        <v>356915505</v>
      </c>
      <c r="G147" s="99">
        <v>260840503</v>
      </c>
      <c r="H147" s="99">
        <v>208742914</v>
      </c>
      <c r="I147" s="99">
        <v>372927833</v>
      </c>
      <c r="J147" s="99">
        <v>412704066</v>
      </c>
      <c r="K147" s="99">
        <v>386859063</v>
      </c>
      <c r="L147" s="99">
        <v>284091173</v>
      </c>
      <c r="M147" s="99">
        <v>90000000</v>
      </c>
    </row>
    <row r="148" spans="1:13">
      <c r="A148" s="111" t="s">
        <v>2283</v>
      </c>
      <c r="B148" s="112"/>
      <c r="C148" s="112"/>
      <c r="D148" s="99"/>
      <c r="E148" s="99"/>
      <c r="F148" s="99"/>
      <c r="G148" s="99"/>
      <c r="H148" s="99"/>
      <c r="I148" s="99"/>
      <c r="J148" s="99"/>
      <c r="K148" s="99"/>
      <c r="L148" s="99"/>
      <c r="M148" s="99"/>
    </row>
    <row r="149" spans="1:13">
      <c r="A149" s="111" t="s">
        <v>2284</v>
      </c>
      <c r="B149" s="112">
        <v>0</v>
      </c>
      <c r="C149" s="112">
        <v>0</v>
      </c>
      <c r="D149" s="99">
        <v>0</v>
      </c>
      <c r="E149" s="99">
        <v>0</v>
      </c>
      <c r="F149" s="99">
        <v>0</v>
      </c>
      <c r="G149" s="99">
        <v>0</v>
      </c>
      <c r="H149" s="99">
        <v>0</v>
      </c>
      <c r="I149" s="99">
        <v>0</v>
      </c>
      <c r="J149" s="99">
        <v>0</v>
      </c>
      <c r="K149" s="99">
        <v>0</v>
      </c>
      <c r="L149" s="99">
        <v>0</v>
      </c>
      <c r="M149" s="99">
        <v>0</v>
      </c>
    </row>
    <row r="150" spans="1:13">
      <c r="A150" s="111" t="s">
        <v>2285</v>
      </c>
      <c r="B150" s="112">
        <v>0</v>
      </c>
      <c r="C150" s="112">
        <v>0</v>
      </c>
      <c r="D150" s="99">
        <v>0</v>
      </c>
      <c r="E150" s="99">
        <v>0</v>
      </c>
      <c r="F150" s="99">
        <v>0</v>
      </c>
      <c r="G150" s="99">
        <v>0</v>
      </c>
      <c r="H150" s="99">
        <v>0</v>
      </c>
      <c r="I150" s="99">
        <v>0</v>
      </c>
      <c r="J150" s="99">
        <v>0</v>
      </c>
      <c r="K150" s="99">
        <v>0</v>
      </c>
      <c r="L150" s="99">
        <v>0</v>
      </c>
      <c r="M150" s="99">
        <v>0</v>
      </c>
    </row>
    <row r="151" spans="1:13">
      <c r="A151" s="111" t="s">
        <v>2286</v>
      </c>
      <c r="B151" s="112">
        <v>0</v>
      </c>
      <c r="C151" s="112">
        <v>0</v>
      </c>
      <c r="D151" s="99">
        <v>0</v>
      </c>
      <c r="E151" s="99">
        <v>0</v>
      </c>
      <c r="F151" s="99">
        <v>0</v>
      </c>
      <c r="G151" s="99">
        <v>0</v>
      </c>
      <c r="H151" s="99">
        <v>0</v>
      </c>
      <c r="I151" s="99">
        <v>0</v>
      </c>
      <c r="J151" s="99">
        <v>0</v>
      </c>
      <c r="K151" s="99">
        <v>0</v>
      </c>
      <c r="L151" s="99">
        <v>0</v>
      </c>
      <c r="M151" s="99">
        <v>0</v>
      </c>
    </row>
    <row r="152" spans="1:13">
      <c r="A152" s="111" t="s">
        <v>2287</v>
      </c>
      <c r="B152" s="112">
        <v>10035603879</v>
      </c>
      <c r="C152" s="112">
        <v>10290091581</v>
      </c>
      <c r="D152" s="99">
        <v>3697586591</v>
      </c>
      <c r="E152" s="99">
        <v>414349490</v>
      </c>
      <c r="F152" s="99">
        <v>366221205</v>
      </c>
      <c r="G152" s="99">
        <v>297373098</v>
      </c>
      <c r="H152" s="99">
        <v>218247999</v>
      </c>
      <c r="I152" s="99">
        <v>397568515</v>
      </c>
      <c r="J152" s="99">
        <v>434713632</v>
      </c>
      <c r="K152" s="99">
        <v>404253645</v>
      </c>
      <c r="L152" s="99">
        <v>297362570</v>
      </c>
      <c r="M152" s="99">
        <v>103103889</v>
      </c>
    </row>
    <row r="153" spans="1:13">
      <c r="A153" s="111" t="s">
        <v>2288</v>
      </c>
      <c r="B153" s="112"/>
      <c r="C153" s="112"/>
      <c r="D153" s="99"/>
      <c r="E153" s="99"/>
      <c r="F153" s="99"/>
      <c r="G153" s="99"/>
      <c r="H153" s="99"/>
      <c r="I153" s="99"/>
      <c r="J153" s="99"/>
      <c r="K153" s="99"/>
      <c r="L153" s="99"/>
      <c r="M153" s="99"/>
    </row>
    <row r="154" spans="1:13">
      <c r="A154" s="111" t="s">
        <v>2289</v>
      </c>
      <c r="B154" s="112">
        <v>0</v>
      </c>
      <c r="C154" s="112">
        <v>0</v>
      </c>
      <c r="D154" s="99">
        <v>0</v>
      </c>
      <c r="E154" s="99">
        <v>0</v>
      </c>
      <c r="F154" s="99">
        <v>0</v>
      </c>
      <c r="G154" s="99">
        <v>0</v>
      </c>
      <c r="H154" s="99">
        <v>0</v>
      </c>
      <c r="I154" s="99">
        <v>0</v>
      </c>
      <c r="J154" s="99">
        <v>0</v>
      </c>
      <c r="K154" s="99">
        <v>0</v>
      </c>
      <c r="L154" s="99">
        <v>0</v>
      </c>
      <c r="M154" s="99">
        <v>0</v>
      </c>
    </row>
    <row r="155" spans="1:13">
      <c r="A155" s="111" t="s">
        <v>2290</v>
      </c>
      <c r="B155" s="112"/>
      <c r="C155" s="112"/>
      <c r="D155" s="99"/>
      <c r="E155" s="99"/>
      <c r="F155" s="99"/>
      <c r="G155" s="99"/>
      <c r="H155" s="99"/>
      <c r="I155" s="99"/>
      <c r="J155" s="99"/>
      <c r="K155" s="99"/>
      <c r="L155" s="99"/>
      <c r="M155" s="99"/>
    </row>
    <row r="156" spans="1:13">
      <c r="A156" s="111" t="s">
        <v>2291</v>
      </c>
      <c r="B156" s="112">
        <v>157951858</v>
      </c>
      <c r="C156" s="112">
        <v>157951858</v>
      </c>
      <c r="D156" s="99">
        <v>78179293</v>
      </c>
      <c r="E156" s="99">
        <v>760000</v>
      </c>
      <c r="F156" s="99">
        <v>820000</v>
      </c>
      <c r="G156" s="99">
        <v>8194988</v>
      </c>
      <c r="H156" s="99">
        <v>852800</v>
      </c>
      <c r="I156" s="99">
        <v>760000</v>
      </c>
      <c r="J156" s="99">
        <v>751000</v>
      </c>
      <c r="K156" s="99">
        <v>5743441</v>
      </c>
      <c r="L156" s="99">
        <v>17959951</v>
      </c>
      <c r="M156" s="99">
        <v>28948254</v>
      </c>
    </row>
    <row r="157" spans="1:13">
      <c r="A157" s="111" t="s">
        <v>2292</v>
      </c>
      <c r="B157" s="112">
        <v>0</v>
      </c>
      <c r="C157" s="112">
        <v>0</v>
      </c>
      <c r="D157" s="99">
        <v>0</v>
      </c>
      <c r="E157" s="99">
        <v>0</v>
      </c>
      <c r="F157" s="99">
        <v>0</v>
      </c>
      <c r="G157" s="99">
        <v>0</v>
      </c>
      <c r="H157" s="99">
        <v>0</v>
      </c>
      <c r="I157" s="99">
        <v>0</v>
      </c>
      <c r="J157" s="99">
        <v>0</v>
      </c>
      <c r="K157" s="99">
        <v>0</v>
      </c>
      <c r="L157" s="99">
        <v>0</v>
      </c>
      <c r="M157" s="99">
        <v>0</v>
      </c>
    </row>
    <row r="158" spans="1:13">
      <c r="A158" s="111" t="s">
        <v>2293</v>
      </c>
      <c r="B158" s="112">
        <v>0</v>
      </c>
      <c r="C158" s="112">
        <v>0</v>
      </c>
      <c r="D158" s="99">
        <v>0</v>
      </c>
      <c r="E158" s="99">
        <v>0</v>
      </c>
      <c r="F158" s="99">
        <v>0</v>
      </c>
      <c r="G158" s="99">
        <v>0</v>
      </c>
      <c r="H158" s="99">
        <v>0</v>
      </c>
      <c r="I158" s="99">
        <v>0</v>
      </c>
      <c r="J158" s="99">
        <v>0</v>
      </c>
      <c r="K158" s="99">
        <v>0</v>
      </c>
      <c r="L158" s="99">
        <v>0</v>
      </c>
      <c r="M158" s="99">
        <v>0</v>
      </c>
    </row>
    <row r="159" spans="1:13">
      <c r="A159" s="111" t="s">
        <v>2294</v>
      </c>
      <c r="B159" s="112">
        <v>0</v>
      </c>
      <c r="C159" s="112">
        <v>164487702</v>
      </c>
      <c r="D159" s="99">
        <v>137460702</v>
      </c>
      <c r="E159" s="99">
        <v>1930500</v>
      </c>
      <c r="F159" s="99">
        <v>1930500</v>
      </c>
      <c r="G159" s="99">
        <v>1930500</v>
      </c>
      <c r="H159" s="99">
        <v>1930500</v>
      </c>
      <c r="I159" s="99">
        <v>1930500</v>
      </c>
      <c r="J159" s="99">
        <v>1930500</v>
      </c>
      <c r="K159" s="99">
        <v>1930500</v>
      </c>
      <c r="L159" s="99">
        <v>1930500</v>
      </c>
      <c r="M159" s="99">
        <v>0</v>
      </c>
    </row>
    <row r="160" spans="1:13">
      <c r="A160" s="111" t="s">
        <v>2295</v>
      </c>
      <c r="B160" s="112">
        <v>145968</v>
      </c>
      <c r="C160" s="112">
        <v>145968</v>
      </c>
      <c r="D160" s="99">
        <v>145968</v>
      </c>
      <c r="E160" s="99">
        <v>0</v>
      </c>
      <c r="F160" s="99">
        <v>0</v>
      </c>
      <c r="G160" s="99">
        <v>0</v>
      </c>
      <c r="H160" s="99">
        <v>0</v>
      </c>
      <c r="I160" s="99">
        <v>0</v>
      </c>
      <c r="J160" s="99">
        <v>0</v>
      </c>
      <c r="K160" s="99">
        <v>0</v>
      </c>
      <c r="L160" s="99">
        <v>0</v>
      </c>
      <c r="M160" s="99">
        <v>0</v>
      </c>
    </row>
    <row r="161" spans="1:13">
      <c r="A161" s="111" t="s">
        <v>2296</v>
      </c>
      <c r="B161" s="112">
        <v>2037107</v>
      </c>
      <c r="C161" s="112">
        <v>2037107</v>
      </c>
      <c r="D161" s="99">
        <v>2035732</v>
      </c>
      <c r="E161" s="99">
        <v>0</v>
      </c>
      <c r="F161" s="99">
        <v>0</v>
      </c>
      <c r="G161" s="99">
        <v>0</v>
      </c>
      <c r="H161" s="99">
        <v>0</v>
      </c>
      <c r="I161" s="99">
        <v>0</v>
      </c>
      <c r="J161" s="99">
        <v>0</v>
      </c>
      <c r="K161" s="99">
        <v>0</v>
      </c>
      <c r="L161" s="99">
        <v>0</v>
      </c>
      <c r="M161" s="99">
        <v>0</v>
      </c>
    </row>
    <row r="162" spans="1:13">
      <c r="A162" s="111" t="s">
        <v>2297</v>
      </c>
      <c r="B162" s="112">
        <v>0</v>
      </c>
      <c r="C162" s="112">
        <v>0</v>
      </c>
      <c r="D162" s="99">
        <v>0</v>
      </c>
      <c r="E162" s="99">
        <v>0</v>
      </c>
      <c r="F162" s="99">
        <v>0</v>
      </c>
      <c r="G162" s="99">
        <v>0</v>
      </c>
      <c r="H162" s="99">
        <v>0</v>
      </c>
      <c r="I162" s="99">
        <v>0</v>
      </c>
      <c r="J162" s="99">
        <v>0</v>
      </c>
      <c r="K162" s="99">
        <v>0</v>
      </c>
      <c r="L162" s="99">
        <v>0</v>
      </c>
      <c r="M162" s="99">
        <v>0</v>
      </c>
    </row>
    <row r="163" spans="1:13">
      <c r="A163" s="111" t="s">
        <v>2298</v>
      </c>
      <c r="B163" s="112">
        <v>-62071900</v>
      </c>
      <c r="C163" s="112">
        <v>-62071900</v>
      </c>
      <c r="D163" s="99">
        <v>-33811200</v>
      </c>
      <c r="E163" s="99">
        <v>-1141000</v>
      </c>
      <c r="F163" s="99">
        <v>-1074500</v>
      </c>
      <c r="G163" s="99">
        <v>-1122400</v>
      </c>
      <c r="H163" s="99">
        <v>-13140900</v>
      </c>
      <c r="I163" s="99">
        <v>-1465500</v>
      </c>
      <c r="J163" s="99">
        <v>-1161700</v>
      </c>
      <c r="K163" s="99">
        <v>-936000</v>
      </c>
      <c r="L163" s="99">
        <v>-839300</v>
      </c>
      <c r="M163" s="99">
        <v>-1137500</v>
      </c>
    </row>
    <row r="164" spans="1:13">
      <c r="A164" s="111" t="s">
        <v>2299</v>
      </c>
      <c r="B164" s="112">
        <v>24045300</v>
      </c>
      <c r="C164" s="112">
        <v>24045300</v>
      </c>
      <c r="D164" s="99">
        <v>21647600</v>
      </c>
      <c r="E164" s="99">
        <v>0</v>
      </c>
      <c r="F164" s="99">
        <v>547600</v>
      </c>
      <c r="G164" s="99">
        <v>0</v>
      </c>
      <c r="H164" s="99">
        <v>0</v>
      </c>
      <c r="I164" s="99">
        <v>608200</v>
      </c>
      <c r="J164" s="99">
        <v>1241900</v>
      </c>
      <c r="K164" s="99">
        <v>0</v>
      </c>
      <c r="L164" s="99">
        <v>0</v>
      </c>
      <c r="M164" s="99">
        <v>0</v>
      </c>
    </row>
    <row r="165" spans="1:13">
      <c r="A165" s="111" t="s">
        <v>2300</v>
      </c>
      <c r="B165" s="112">
        <v>131978</v>
      </c>
      <c r="C165" s="112">
        <v>131978</v>
      </c>
      <c r="D165" s="99">
        <v>131978</v>
      </c>
      <c r="E165" s="99">
        <v>0</v>
      </c>
      <c r="F165" s="99">
        <v>0</v>
      </c>
      <c r="G165" s="99">
        <v>0</v>
      </c>
      <c r="H165" s="99">
        <v>0</v>
      </c>
      <c r="I165" s="99">
        <v>0</v>
      </c>
      <c r="J165" s="99">
        <v>0</v>
      </c>
      <c r="K165" s="99">
        <v>0</v>
      </c>
      <c r="L165" s="99">
        <v>0</v>
      </c>
      <c r="M165" s="99">
        <v>0</v>
      </c>
    </row>
    <row r="166" spans="1:13">
      <c r="A166" s="111" t="s">
        <v>2301</v>
      </c>
      <c r="B166" s="112">
        <v>0</v>
      </c>
      <c r="C166" s="112">
        <v>0</v>
      </c>
      <c r="D166" s="99">
        <v>0</v>
      </c>
      <c r="E166" s="99">
        <v>0</v>
      </c>
      <c r="F166" s="99">
        <v>0</v>
      </c>
      <c r="G166" s="99">
        <v>0</v>
      </c>
      <c r="H166" s="99">
        <v>0</v>
      </c>
      <c r="I166" s="99">
        <v>0</v>
      </c>
      <c r="J166" s="99">
        <v>0</v>
      </c>
      <c r="K166" s="99">
        <v>0</v>
      </c>
      <c r="L166" s="99">
        <v>0</v>
      </c>
      <c r="M166" s="99">
        <v>0</v>
      </c>
    </row>
    <row r="167" spans="1:13">
      <c r="A167" s="111" t="s">
        <v>2302</v>
      </c>
      <c r="B167" s="112">
        <v>510209</v>
      </c>
      <c r="C167" s="112">
        <v>510209</v>
      </c>
      <c r="D167" s="99">
        <v>510107</v>
      </c>
      <c r="E167" s="99">
        <v>0</v>
      </c>
      <c r="F167" s="99">
        <v>0</v>
      </c>
      <c r="G167" s="99">
        <v>0</v>
      </c>
      <c r="H167" s="99">
        <v>0</v>
      </c>
      <c r="I167" s="99">
        <v>0</v>
      </c>
      <c r="J167" s="99">
        <v>0</v>
      </c>
      <c r="K167" s="99">
        <v>0</v>
      </c>
      <c r="L167" s="99">
        <v>0</v>
      </c>
      <c r="M167" s="99">
        <v>0</v>
      </c>
    </row>
    <row r="168" spans="1:13">
      <c r="A168" s="111" t="s">
        <v>2303</v>
      </c>
      <c r="B168" s="112">
        <v>29084703</v>
      </c>
      <c r="C168" s="112">
        <v>29084703</v>
      </c>
      <c r="D168" s="99">
        <v>29084703</v>
      </c>
      <c r="E168" s="99">
        <v>0</v>
      </c>
      <c r="F168" s="99">
        <v>0</v>
      </c>
      <c r="G168" s="99">
        <v>0</v>
      </c>
      <c r="H168" s="99">
        <v>0</v>
      </c>
      <c r="I168" s="99">
        <v>0</v>
      </c>
      <c r="J168" s="99">
        <v>0</v>
      </c>
      <c r="K168" s="99">
        <v>0</v>
      </c>
      <c r="L168" s="99">
        <v>0</v>
      </c>
      <c r="M168" s="99">
        <v>0</v>
      </c>
    </row>
    <row r="169" spans="1:13">
      <c r="A169" s="111" t="s">
        <v>2304</v>
      </c>
      <c r="B169" s="112">
        <v>0</v>
      </c>
      <c r="C169" s="112">
        <v>0</v>
      </c>
      <c r="D169" s="99">
        <v>0</v>
      </c>
      <c r="E169" s="99">
        <v>0</v>
      </c>
      <c r="F169" s="99">
        <v>0</v>
      </c>
      <c r="G169" s="99">
        <v>0</v>
      </c>
      <c r="H169" s="99">
        <v>0</v>
      </c>
      <c r="I169" s="99">
        <v>0</v>
      </c>
      <c r="J169" s="99">
        <v>0</v>
      </c>
      <c r="K169" s="99">
        <v>0</v>
      </c>
      <c r="L169" s="99">
        <v>0</v>
      </c>
      <c r="M169" s="99">
        <v>0</v>
      </c>
    </row>
    <row r="170" spans="1:13">
      <c r="A170" s="111" t="s">
        <v>2305</v>
      </c>
      <c r="B170" s="112">
        <v>0</v>
      </c>
      <c r="C170" s="112">
        <v>0</v>
      </c>
      <c r="D170" s="99">
        <v>0</v>
      </c>
      <c r="E170" s="99">
        <v>0</v>
      </c>
      <c r="F170" s="99">
        <v>0</v>
      </c>
      <c r="G170" s="99">
        <v>0</v>
      </c>
      <c r="H170" s="99">
        <v>0</v>
      </c>
      <c r="I170" s="99">
        <v>0</v>
      </c>
      <c r="J170" s="99">
        <v>0</v>
      </c>
      <c r="K170" s="99">
        <v>0</v>
      </c>
      <c r="L170" s="99">
        <v>0</v>
      </c>
      <c r="M170" s="99">
        <v>0</v>
      </c>
    </row>
    <row r="171" spans="1:13">
      <c r="A171" s="111" t="s">
        <v>2306</v>
      </c>
      <c r="B171" s="112">
        <v>74706885</v>
      </c>
      <c r="C171" s="112">
        <v>74706885</v>
      </c>
      <c r="D171" s="99">
        <v>13159652</v>
      </c>
      <c r="E171" s="99">
        <v>3075000</v>
      </c>
      <c r="F171" s="99">
        <v>3821800</v>
      </c>
      <c r="G171" s="99">
        <v>3212500</v>
      </c>
      <c r="H171" s="99">
        <v>2153300</v>
      </c>
      <c r="I171" s="99">
        <v>5297033</v>
      </c>
      <c r="J171" s="99">
        <v>16100000</v>
      </c>
      <c r="K171" s="99">
        <v>2800500</v>
      </c>
      <c r="L171" s="99">
        <v>4928900</v>
      </c>
      <c r="M171" s="99">
        <v>0</v>
      </c>
    </row>
    <row r="172" spans="1:13">
      <c r="A172" s="111" t="s">
        <v>2307</v>
      </c>
      <c r="B172" s="112">
        <v>-29065138</v>
      </c>
      <c r="C172" s="112">
        <v>-29065138</v>
      </c>
      <c r="D172" s="99">
        <v>-25068373</v>
      </c>
      <c r="E172" s="99">
        <v>0</v>
      </c>
      <c r="F172" s="99">
        <v>-913000</v>
      </c>
      <c r="G172" s="99">
        <v>0</v>
      </c>
      <c r="H172" s="99">
        <v>0</v>
      </c>
      <c r="I172" s="99">
        <v>-1013765</v>
      </c>
      <c r="J172" s="99">
        <v>-2070000</v>
      </c>
      <c r="K172" s="99">
        <v>0</v>
      </c>
      <c r="L172" s="99">
        <v>0</v>
      </c>
      <c r="M172" s="99">
        <v>0</v>
      </c>
    </row>
    <row r="173" spans="1:13">
      <c r="A173" s="111" t="s">
        <v>2308</v>
      </c>
      <c r="B173" s="112">
        <v>197476970</v>
      </c>
      <c r="C173" s="112">
        <v>361964672</v>
      </c>
      <c r="D173" s="99">
        <v>223476162</v>
      </c>
      <c r="E173" s="99">
        <v>4624500</v>
      </c>
      <c r="F173" s="99">
        <v>5132400</v>
      </c>
      <c r="G173" s="99">
        <v>12215588</v>
      </c>
      <c r="H173" s="99">
        <v>-8204300</v>
      </c>
      <c r="I173" s="99">
        <v>6116468</v>
      </c>
      <c r="J173" s="99">
        <v>16791700</v>
      </c>
      <c r="K173" s="99">
        <v>9538441</v>
      </c>
      <c r="L173" s="99">
        <v>23980051</v>
      </c>
      <c r="M173" s="99">
        <v>27810754</v>
      </c>
    </row>
    <row r="174" spans="1:13">
      <c r="A174" s="111" t="s">
        <v>2309</v>
      </c>
      <c r="B174" s="112">
        <v>197476970</v>
      </c>
      <c r="C174" s="112">
        <v>361964672</v>
      </c>
      <c r="D174" s="99">
        <v>223476162</v>
      </c>
      <c r="E174" s="99">
        <v>4624500</v>
      </c>
      <c r="F174" s="99">
        <v>5132400</v>
      </c>
      <c r="G174" s="99">
        <v>12215588</v>
      </c>
      <c r="H174" s="99">
        <v>-8204300</v>
      </c>
      <c r="I174" s="99">
        <v>6116468</v>
      </c>
      <c r="J174" s="99">
        <v>16791700</v>
      </c>
      <c r="K174" s="99">
        <v>9538441</v>
      </c>
      <c r="L174" s="99">
        <v>23980051</v>
      </c>
      <c r="M174" s="99">
        <v>27810754</v>
      </c>
    </row>
    <row r="175" spans="1:13">
      <c r="A175" s="111" t="s">
        <v>2310</v>
      </c>
      <c r="B175" s="112"/>
      <c r="C175" s="112"/>
      <c r="D175" s="99"/>
      <c r="E175" s="99"/>
      <c r="F175" s="99"/>
      <c r="G175" s="99"/>
      <c r="H175" s="99"/>
      <c r="I175" s="99"/>
      <c r="J175" s="99"/>
      <c r="K175" s="99"/>
      <c r="L175" s="99"/>
      <c r="M175" s="99"/>
    </row>
    <row r="176" spans="1:13">
      <c r="A176" s="111" t="s">
        <v>2311</v>
      </c>
      <c r="B176" s="112">
        <v>8063398235</v>
      </c>
      <c r="C176" s="112">
        <v>8063398235</v>
      </c>
      <c r="D176" s="99">
        <v>2754121577</v>
      </c>
      <c r="E176" s="99">
        <v>289146337</v>
      </c>
      <c r="F176" s="99">
        <v>313706389</v>
      </c>
      <c r="G176" s="99">
        <v>187106609</v>
      </c>
      <c r="H176" s="99">
        <v>166166517</v>
      </c>
      <c r="I176" s="99">
        <v>325693047</v>
      </c>
      <c r="J176" s="99">
        <v>366807279</v>
      </c>
      <c r="K176" s="99">
        <v>312439387</v>
      </c>
      <c r="L176" s="99">
        <v>227542871</v>
      </c>
      <c r="M176" s="99">
        <v>0</v>
      </c>
    </row>
    <row r="177" spans="1:13">
      <c r="A177" s="111" t="s">
        <v>2312</v>
      </c>
      <c r="B177" s="112">
        <v>364355133</v>
      </c>
      <c r="C177" s="112">
        <v>364355133</v>
      </c>
      <c r="D177" s="99">
        <v>218221684</v>
      </c>
      <c r="E177" s="99">
        <v>0</v>
      </c>
      <c r="F177" s="99">
        <v>0</v>
      </c>
      <c r="G177" s="99">
        <v>27500000</v>
      </c>
      <c r="H177" s="99">
        <v>10000000</v>
      </c>
      <c r="I177" s="99">
        <v>9688000</v>
      </c>
      <c r="J177" s="99">
        <v>10000000</v>
      </c>
      <c r="K177" s="99">
        <v>0</v>
      </c>
      <c r="L177" s="99">
        <v>0</v>
      </c>
      <c r="M177" s="99">
        <v>32502449</v>
      </c>
    </row>
    <row r="178" spans="1:13">
      <c r="A178" s="111" t="s">
        <v>2313</v>
      </c>
      <c r="B178" s="112">
        <v>187445651</v>
      </c>
      <c r="C178" s="112">
        <v>187445651</v>
      </c>
      <c r="D178" s="99">
        <v>127245743</v>
      </c>
      <c r="E178" s="99">
        <v>0</v>
      </c>
      <c r="F178" s="99">
        <v>0</v>
      </c>
      <c r="G178" s="99">
        <v>13503100</v>
      </c>
      <c r="H178" s="99">
        <v>0</v>
      </c>
      <c r="I178" s="99">
        <v>0</v>
      </c>
      <c r="J178" s="99">
        <v>0</v>
      </c>
      <c r="K178" s="99">
        <v>1272936</v>
      </c>
      <c r="L178" s="99">
        <v>0</v>
      </c>
      <c r="M178" s="99">
        <v>0</v>
      </c>
    </row>
    <row r="179" spans="1:13">
      <c r="A179" s="111" t="s">
        <v>2314</v>
      </c>
      <c r="B179" s="112">
        <v>0</v>
      </c>
      <c r="C179" s="112">
        <v>0</v>
      </c>
      <c r="D179" s="99">
        <v>0</v>
      </c>
      <c r="E179" s="99">
        <v>0</v>
      </c>
      <c r="F179" s="99">
        <v>0</v>
      </c>
      <c r="G179" s="99">
        <v>0</v>
      </c>
      <c r="H179" s="99">
        <v>0</v>
      </c>
      <c r="I179" s="99">
        <v>0</v>
      </c>
      <c r="J179" s="99">
        <v>0</v>
      </c>
      <c r="K179" s="99">
        <v>0</v>
      </c>
      <c r="L179" s="99">
        <v>0</v>
      </c>
      <c r="M179" s="99">
        <v>0</v>
      </c>
    </row>
    <row r="180" spans="1:13">
      <c r="A180" s="111" t="s">
        <v>2315</v>
      </c>
      <c r="B180" s="112">
        <v>0</v>
      </c>
      <c r="C180" s="112">
        <v>0</v>
      </c>
      <c r="D180" s="99">
        <v>0</v>
      </c>
      <c r="E180" s="99">
        <v>0</v>
      </c>
      <c r="F180" s="99">
        <v>0</v>
      </c>
      <c r="G180" s="99">
        <v>0</v>
      </c>
      <c r="H180" s="99">
        <v>0</v>
      </c>
      <c r="I180" s="99">
        <v>0</v>
      </c>
      <c r="J180" s="99">
        <v>0</v>
      </c>
      <c r="K180" s="99">
        <v>0</v>
      </c>
      <c r="L180" s="99">
        <v>0</v>
      </c>
      <c r="M180" s="99">
        <v>0</v>
      </c>
    </row>
    <row r="181" spans="1:13">
      <c r="A181" s="111" t="s">
        <v>2316</v>
      </c>
      <c r="B181" s="112">
        <v>0</v>
      </c>
      <c r="C181" s="112">
        <v>0</v>
      </c>
      <c r="D181" s="99">
        <v>0</v>
      </c>
      <c r="E181" s="99">
        <v>0</v>
      </c>
      <c r="F181" s="99">
        <v>0</v>
      </c>
      <c r="G181" s="99">
        <v>0</v>
      </c>
      <c r="H181" s="99">
        <v>0</v>
      </c>
      <c r="I181" s="99">
        <v>0</v>
      </c>
      <c r="J181" s="99">
        <v>0</v>
      </c>
      <c r="K181" s="99">
        <v>0</v>
      </c>
      <c r="L181" s="99">
        <v>0</v>
      </c>
      <c r="M181" s="99">
        <v>0</v>
      </c>
    </row>
    <row r="182" spans="1:13">
      <c r="A182" s="111" t="s">
        <v>2317</v>
      </c>
      <c r="B182" s="112">
        <v>8615199019</v>
      </c>
      <c r="C182" s="112">
        <v>8615199019</v>
      </c>
      <c r="D182" s="99">
        <v>3099589004</v>
      </c>
      <c r="E182" s="99">
        <v>289146337</v>
      </c>
      <c r="F182" s="99">
        <v>313706389</v>
      </c>
      <c r="G182" s="99">
        <v>228109709</v>
      </c>
      <c r="H182" s="99">
        <v>176166517</v>
      </c>
      <c r="I182" s="99">
        <v>335381047</v>
      </c>
      <c r="J182" s="99">
        <v>376807279</v>
      </c>
      <c r="K182" s="99">
        <v>313712323</v>
      </c>
      <c r="L182" s="99">
        <v>227542871</v>
      </c>
      <c r="M182" s="99">
        <v>32502449</v>
      </c>
    </row>
    <row r="183" spans="1:13">
      <c r="A183" s="111" t="s">
        <v>2318</v>
      </c>
      <c r="B183" s="112">
        <v>8812675989</v>
      </c>
      <c r="C183" s="112">
        <v>8977163691</v>
      </c>
      <c r="D183" s="99">
        <v>3323065166</v>
      </c>
      <c r="E183" s="99">
        <v>293770837</v>
      </c>
      <c r="F183" s="99">
        <v>318838789</v>
      </c>
      <c r="G183" s="99">
        <v>240325297</v>
      </c>
      <c r="H183" s="99">
        <v>167962217</v>
      </c>
      <c r="I183" s="99">
        <v>341497515</v>
      </c>
      <c r="J183" s="99">
        <v>393598979</v>
      </c>
      <c r="K183" s="99">
        <v>323250764</v>
      </c>
      <c r="L183" s="99">
        <v>251522922</v>
      </c>
      <c r="M183" s="99">
        <v>60313203</v>
      </c>
    </row>
    <row r="184" spans="1:13">
      <c r="A184" s="111" t="s">
        <v>2319</v>
      </c>
      <c r="B184" s="112"/>
      <c r="C184" s="112"/>
      <c r="D184" s="99"/>
      <c r="E184" s="99"/>
      <c r="F184" s="99"/>
      <c r="G184" s="99"/>
      <c r="H184" s="99"/>
      <c r="I184" s="99"/>
      <c r="J184" s="99"/>
      <c r="K184" s="99"/>
      <c r="L184" s="99"/>
      <c r="M184" s="99"/>
    </row>
    <row r="185" spans="1:13">
      <c r="A185" s="111" t="s">
        <v>2320</v>
      </c>
      <c r="B185" s="112">
        <v>10000000</v>
      </c>
      <c r="C185" s="112">
        <v>100000000</v>
      </c>
      <c r="D185" s="99">
        <v>10000000</v>
      </c>
      <c r="E185" s="99">
        <v>3000000</v>
      </c>
      <c r="F185" s="99">
        <v>5000000</v>
      </c>
      <c r="G185" s="99">
        <v>5000000</v>
      </c>
      <c r="H185" s="99">
        <v>10000000</v>
      </c>
      <c r="I185" s="99">
        <v>10000000</v>
      </c>
      <c r="J185" s="99">
        <v>1000000</v>
      </c>
      <c r="K185" s="99">
        <v>1000000</v>
      </c>
      <c r="L185" s="99">
        <v>1000000</v>
      </c>
      <c r="M185" s="99">
        <v>10000000</v>
      </c>
    </row>
    <row r="186" spans="1:13">
      <c r="A186" s="111" t="s">
        <v>2321</v>
      </c>
      <c r="B186" s="112">
        <v>10000000</v>
      </c>
      <c r="C186" s="112">
        <v>100000000</v>
      </c>
      <c r="D186" s="99">
        <v>10000000</v>
      </c>
      <c r="E186" s="99">
        <v>3000000</v>
      </c>
      <c r="F186" s="99">
        <v>5000000</v>
      </c>
      <c r="G186" s="99">
        <v>5000000</v>
      </c>
      <c r="H186" s="99">
        <v>10000000</v>
      </c>
      <c r="I186" s="99">
        <v>10000000</v>
      </c>
      <c r="J186" s="99">
        <v>1000000</v>
      </c>
      <c r="K186" s="99">
        <v>1000000</v>
      </c>
      <c r="L186" s="99">
        <v>1000000</v>
      </c>
      <c r="M186" s="99">
        <v>10000000</v>
      </c>
    </row>
    <row r="187" spans="1:13">
      <c r="A187" s="111" t="s">
        <v>2322</v>
      </c>
      <c r="B187" s="112"/>
      <c r="C187" s="112"/>
      <c r="D187" s="99"/>
      <c r="E187" s="99"/>
      <c r="F187" s="99"/>
      <c r="G187" s="99"/>
      <c r="H187" s="99"/>
      <c r="I187" s="99"/>
      <c r="J187" s="99"/>
      <c r="K187" s="99"/>
      <c r="L187" s="99"/>
      <c r="M187" s="99"/>
    </row>
    <row r="188" spans="1:13">
      <c r="A188" s="111" t="s">
        <v>2323</v>
      </c>
      <c r="B188" s="112">
        <v>0</v>
      </c>
      <c r="C188" s="112">
        <v>0</v>
      </c>
      <c r="D188" s="99">
        <v>0</v>
      </c>
      <c r="E188" s="99">
        <v>0</v>
      </c>
      <c r="F188" s="99">
        <v>0</v>
      </c>
      <c r="G188" s="99">
        <v>0</v>
      </c>
      <c r="H188" s="99">
        <v>0</v>
      </c>
      <c r="I188" s="99">
        <v>0</v>
      </c>
      <c r="J188" s="99">
        <v>0</v>
      </c>
      <c r="K188" s="99">
        <v>0</v>
      </c>
      <c r="L188" s="99">
        <v>0</v>
      </c>
      <c r="M188" s="99">
        <v>0</v>
      </c>
    </row>
    <row r="189" spans="1:13">
      <c r="A189" s="111" t="s">
        <v>2324</v>
      </c>
      <c r="B189" s="112"/>
      <c r="C189" s="112"/>
      <c r="D189" s="99"/>
      <c r="E189" s="99"/>
      <c r="F189" s="99"/>
      <c r="G189" s="99"/>
      <c r="H189" s="99"/>
      <c r="I189" s="99"/>
      <c r="J189" s="99"/>
      <c r="K189" s="99"/>
      <c r="L189" s="99"/>
      <c r="M189" s="99"/>
    </row>
    <row r="190" spans="1:13">
      <c r="A190" s="111" t="s">
        <v>2325</v>
      </c>
      <c r="B190" s="112">
        <v>0</v>
      </c>
      <c r="C190" s="112">
        <v>0</v>
      </c>
      <c r="D190" s="99">
        <v>0</v>
      </c>
      <c r="E190" s="99">
        <v>0</v>
      </c>
      <c r="F190" s="99">
        <v>0</v>
      </c>
      <c r="G190" s="99">
        <v>0</v>
      </c>
      <c r="H190" s="99">
        <v>0</v>
      </c>
      <c r="I190" s="99">
        <v>0</v>
      </c>
      <c r="J190" s="99">
        <v>0</v>
      </c>
      <c r="K190" s="99">
        <v>0</v>
      </c>
      <c r="L190" s="99">
        <v>0</v>
      </c>
      <c r="M190" s="99">
        <v>0</v>
      </c>
    </row>
    <row r="191" spans="1:13">
      <c r="A191" s="111" t="s">
        <v>2326</v>
      </c>
      <c r="B191" s="112">
        <v>26000000</v>
      </c>
      <c r="C191" s="112">
        <v>26000000</v>
      </c>
      <c r="D191" s="99">
        <v>0</v>
      </c>
      <c r="E191" s="99">
        <v>0</v>
      </c>
      <c r="F191" s="99">
        <v>0</v>
      </c>
      <c r="G191" s="99">
        <v>0</v>
      </c>
      <c r="H191" s="99">
        <v>0</v>
      </c>
      <c r="I191" s="99">
        <v>0</v>
      </c>
      <c r="J191" s="99">
        <v>0</v>
      </c>
      <c r="K191" s="99">
        <v>0</v>
      </c>
      <c r="L191" s="99">
        <v>0</v>
      </c>
      <c r="M191" s="99">
        <v>26000000</v>
      </c>
    </row>
    <row r="192" spans="1:13">
      <c r="A192" s="111" t="s">
        <v>2327</v>
      </c>
      <c r="B192" s="112">
        <v>26000000</v>
      </c>
      <c r="C192" s="112">
        <v>26000000</v>
      </c>
      <c r="D192" s="99">
        <v>0</v>
      </c>
      <c r="E192" s="99">
        <v>0</v>
      </c>
      <c r="F192" s="99">
        <v>0</v>
      </c>
      <c r="G192" s="99">
        <v>0</v>
      </c>
      <c r="H192" s="99">
        <v>0</v>
      </c>
      <c r="I192" s="99">
        <v>0</v>
      </c>
      <c r="J192" s="99">
        <v>0</v>
      </c>
      <c r="K192" s="99">
        <v>0</v>
      </c>
      <c r="L192" s="99">
        <v>0</v>
      </c>
      <c r="M192" s="99">
        <v>26000000</v>
      </c>
    </row>
    <row r="193" spans="1:13">
      <c r="A193" s="111" t="s">
        <v>2328</v>
      </c>
      <c r="B193" s="112">
        <v>26000000</v>
      </c>
      <c r="C193" s="112">
        <v>26000000</v>
      </c>
      <c r="D193" s="99">
        <v>0</v>
      </c>
      <c r="E193" s="99">
        <v>0</v>
      </c>
      <c r="F193" s="99">
        <v>0</v>
      </c>
      <c r="G193" s="99">
        <v>0</v>
      </c>
      <c r="H193" s="99">
        <v>0</v>
      </c>
      <c r="I193" s="99">
        <v>0</v>
      </c>
      <c r="J193" s="99">
        <v>0</v>
      </c>
      <c r="K193" s="99">
        <v>0</v>
      </c>
      <c r="L193" s="99">
        <v>0</v>
      </c>
      <c r="M193" s="99">
        <v>26000000</v>
      </c>
    </row>
    <row r="194" spans="1:13">
      <c r="A194" s="111" t="s">
        <v>2329</v>
      </c>
      <c r="B194" s="112"/>
      <c r="C194" s="112"/>
      <c r="D194" s="99"/>
      <c r="E194" s="99"/>
      <c r="F194" s="99"/>
      <c r="G194" s="99"/>
      <c r="H194" s="99"/>
      <c r="I194" s="99"/>
      <c r="J194" s="99"/>
      <c r="K194" s="99"/>
      <c r="L194" s="99"/>
      <c r="M194" s="99"/>
    </row>
    <row r="195" spans="1:13">
      <c r="A195" s="111" t="s">
        <v>2330</v>
      </c>
      <c r="B195" s="112">
        <v>0</v>
      </c>
      <c r="C195" s="112">
        <v>0</v>
      </c>
      <c r="D195" s="99">
        <v>0</v>
      </c>
      <c r="E195" s="99">
        <v>0</v>
      </c>
      <c r="F195" s="99">
        <v>0</v>
      </c>
      <c r="G195" s="99">
        <v>0</v>
      </c>
      <c r="H195" s="99">
        <v>0</v>
      </c>
      <c r="I195" s="99">
        <v>0</v>
      </c>
      <c r="J195" s="99">
        <v>0</v>
      </c>
      <c r="K195" s="99">
        <v>0</v>
      </c>
      <c r="L195" s="99">
        <v>0</v>
      </c>
      <c r="M195" s="99">
        <v>0</v>
      </c>
    </row>
    <row r="196" spans="1:13">
      <c r="A196" s="111" t="s">
        <v>2331</v>
      </c>
      <c r="B196" s="112">
        <v>0</v>
      </c>
      <c r="C196" s="112">
        <v>0</v>
      </c>
      <c r="D196" s="99">
        <v>0</v>
      </c>
      <c r="E196" s="99">
        <v>0</v>
      </c>
      <c r="F196" s="99">
        <v>0</v>
      </c>
      <c r="G196" s="99">
        <v>0</v>
      </c>
      <c r="H196" s="99">
        <v>0</v>
      </c>
      <c r="I196" s="99">
        <v>0</v>
      </c>
      <c r="J196" s="99">
        <v>0</v>
      </c>
      <c r="K196" s="99">
        <v>0</v>
      </c>
      <c r="L196" s="99">
        <v>0</v>
      </c>
      <c r="M196" s="99">
        <v>0</v>
      </c>
    </row>
    <row r="197" spans="1:13">
      <c r="A197" s="111" t="s">
        <v>2332</v>
      </c>
      <c r="B197" s="112">
        <v>940504698</v>
      </c>
      <c r="C197" s="112">
        <v>940504698</v>
      </c>
      <c r="D197" s="99">
        <v>292967973</v>
      </c>
      <c r="E197" s="99">
        <v>105795608</v>
      </c>
      <c r="F197" s="99">
        <v>35438708</v>
      </c>
      <c r="G197" s="99">
        <v>49291923</v>
      </c>
      <c r="H197" s="99">
        <v>32036398</v>
      </c>
      <c r="I197" s="99">
        <v>32060767</v>
      </c>
      <c r="J197" s="99">
        <v>30260150</v>
      </c>
      <c r="K197" s="99">
        <v>71345448</v>
      </c>
      <c r="L197" s="99">
        <v>37889786</v>
      </c>
      <c r="M197" s="99">
        <v>1070546</v>
      </c>
    </row>
    <row r="198" spans="1:13">
      <c r="A198" s="111" t="s">
        <v>2333</v>
      </c>
      <c r="B198" s="112">
        <v>246423192</v>
      </c>
      <c r="C198" s="112">
        <v>246423192</v>
      </c>
      <c r="D198" s="99">
        <v>71553452</v>
      </c>
      <c r="E198" s="99">
        <v>11783045</v>
      </c>
      <c r="F198" s="99">
        <v>6943708</v>
      </c>
      <c r="G198" s="99">
        <v>2755878</v>
      </c>
      <c r="H198" s="99">
        <v>8249384</v>
      </c>
      <c r="I198" s="99">
        <v>14010233</v>
      </c>
      <c r="J198" s="99">
        <v>9854503</v>
      </c>
      <c r="K198" s="99">
        <v>8657433</v>
      </c>
      <c r="L198" s="99">
        <v>6949862</v>
      </c>
      <c r="M198" s="99">
        <v>5720140</v>
      </c>
    </row>
    <row r="199" spans="1:13">
      <c r="A199" s="111" t="s">
        <v>2334</v>
      </c>
      <c r="B199" s="112">
        <v>1186927890</v>
      </c>
      <c r="C199" s="112">
        <v>1186927890</v>
      </c>
      <c r="D199" s="99">
        <v>364521425</v>
      </c>
      <c r="E199" s="99">
        <v>117578653</v>
      </c>
      <c r="F199" s="99">
        <v>42382416</v>
      </c>
      <c r="G199" s="99">
        <v>52047801</v>
      </c>
      <c r="H199" s="99">
        <v>40285782</v>
      </c>
      <c r="I199" s="99">
        <v>46071000</v>
      </c>
      <c r="J199" s="99">
        <v>40114653</v>
      </c>
      <c r="K199" s="99">
        <v>80002881</v>
      </c>
      <c r="L199" s="99">
        <v>44839648</v>
      </c>
      <c r="M199" s="99">
        <v>6790686</v>
      </c>
    </row>
    <row r="200" spans="1:13">
      <c r="A200" s="111" t="s">
        <v>2335</v>
      </c>
      <c r="B200" s="112">
        <v>1186927890</v>
      </c>
      <c r="C200" s="112">
        <v>1186927890</v>
      </c>
      <c r="D200" s="99">
        <v>364521425</v>
      </c>
      <c r="E200" s="99">
        <v>117578653</v>
      </c>
      <c r="F200" s="99">
        <v>42382416</v>
      </c>
      <c r="G200" s="99">
        <v>52047801</v>
      </c>
      <c r="H200" s="99">
        <v>40285782</v>
      </c>
      <c r="I200" s="99">
        <v>46071000</v>
      </c>
      <c r="J200" s="99">
        <v>40114653</v>
      </c>
      <c r="K200" s="99">
        <v>80002881</v>
      </c>
      <c r="L200" s="99">
        <v>44839648</v>
      </c>
      <c r="M200" s="99">
        <v>6790686</v>
      </c>
    </row>
    <row r="201" spans="1:13">
      <c r="A201" s="111" t="s">
        <v>2336</v>
      </c>
      <c r="B201" s="112">
        <v>1186927890</v>
      </c>
      <c r="C201" s="112">
        <v>1186927890</v>
      </c>
      <c r="D201" s="99">
        <v>364521425</v>
      </c>
      <c r="E201" s="99">
        <v>117578653</v>
      </c>
      <c r="F201" s="99">
        <v>42382416</v>
      </c>
      <c r="G201" s="99">
        <v>52047801</v>
      </c>
      <c r="H201" s="99">
        <v>40285782</v>
      </c>
      <c r="I201" s="99">
        <v>46071000</v>
      </c>
      <c r="J201" s="99">
        <v>40114653</v>
      </c>
      <c r="K201" s="99">
        <v>80002881</v>
      </c>
      <c r="L201" s="99">
        <v>44839648</v>
      </c>
      <c r="M201" s="99">
        <v>6790686</v>
      </c>
    </row>
    <row r="202" spans="1:13">
      <c r="A202" s="111" t="s">
        <v>2337</v>
      </c>
      <c r="B202" s="112"/>
      <c r="C202" s="112"/>
      <c r="D202" s="99"/>
      <c r="E202" s="99"/>
      <c r="F202" s="99"/>
      <c r="G202" s="99"/>
      <c r="H202" s="99"/>
      <c r="I202" s="99"/>
      <c r="J202" s="99"/>
      <c r="K202" s="99"/>
      <c r="L202" s="99"/>
      <c r="M202" s="99"/>
    </row>
    <row r="203" spans="1:13">
      <c r="A203" s="111" t="s">
        <v>2338</v>
      </c>
      <c r="B203" s="112">
        <v>0</v>
      </c>
      <c r="C203" s="112">
        <v>0</v>
      </c>
      <c r="D203" s="99">
        <v>0</v>
      </c>
      <c r="E203" s="99">
        <v>0</v>
      </c>
      <c r="F203" s="99">
        <v>0</v>
      </c>
      <c r="G203" s="99">
        <v>0</v>
      </c>
      <c r="H203" s="99">
        <v>0</v>
      </c>
      <c r="I203" s="99">
        <v>0</v>
      </c>
      <c r="J203" s="99">
        <v>0</v>
      </c>
      <c r="K203" s="99">
        <v>0</v>
      </c>
      <c r="L203" s="99">
        <v>0</v>
      </c>
      <c r="M203" s="99">
        <v>0</v>
      </c>
    </row>
    <row r="204" spans="1:13">
      <c r="A204" s="111" t="s">
        <v>2339</v>
      </c>
      <c r="B204" s="112"/>
      <c r="C204" s="112"/>
      <c r="D204" s="99"/>
      <c r="E204" s="99"/>
      <c r="F204" s="99"/>
      <c r="G204" s="99"/>
      <c r="H204" s="99"/>
      <c r="I204" s="99"/>
      <c r="J204" s="99"/>
      <c r="K204" s="99"/>
      <c r="L204" s="99"/>
      <c r="M204" s="99"/>
    </row>
    <row r="205" spans="1:13">
      <c r="A205" s="111" t="s">
        <v>2340</v>
      </c>
      <c r="B205" s="112">
        <v>0</v>
      </c>
      <c r="C205" s="112">
        <v>0</v>
      </c>
      <c r="D205" s="99">
        <v>0</v>
      </c>
      <c r="E205" s="99">
        <v>0</v>
      </c>
      <c r="F205" s="99">
        <v>0</v>
      </c>
      <c r="G205" s="99">
        <v>0</v>
      </c>
      <c r="H205" s="99">
        <v>0</v>
      </c>
      <c r="I205" s="99">
        <v>0</v>
      </c>
      <c r="J205" s="99">
        <v>0</v>
      </c>
      <c r="K205" s="99">
        <v>0</v>
      </c>
      <c r="L205" s="99">
        <v>0</v>
      </c>
      <c r="M205" s="99">
        <v>0</v>
      </c>
    </row>
    <row r="206" spans="1:13">
      <c r="A206" s="111" t="s">
        <v>2341</v>
      </c>
      <c r="B206" s="112">
        <v>1222927890</v>
      </c>
      <c r="C206" s="112">
        <v>1312927890</v>
      </c>
      <c r="D206" s="99">
        <v>374521425</v>
      </c>
      <c r="E206" s="99">
        <v>120578653</v>
      </c>
      <c r="F206" s="99">
        <v>47382416</v>
      </c>
      <c r="G206" s="99">
        <v>57047801</v>
      </c>
      <c r="H206" s="99">
        <v>50285782</v>
      </c>
      <c r="I206" s="99">
        <v>56071000</v>
      </c>
      <c r="J206" s="99">
        <v>41114653</v>
      </c>
      <c r="K206" s="99">
        <v>81002881</v>
      </c>
      <c r="L206" s="99">
        <v>45839648</v>
      </c>
      <c r="M206" s="99">
        <v>42790686</v>
      </c>
    </row>
    <row r="207" spans="1:13">
      <c r="A207" s="111" t="s">
        <v>2342</v>
      </c>
      <c r="B207" s="112"/>
      <c r="C207" s="112"/>
      <c r="D207" s="99"/>
      <c r="E207" s="99"/>
      <c r="F207" s="99"/>
      <c r="G207" s="99"/>
      <c r="H207" s="99"/>
      <c r="I207" s="99"/>
      <c r="J207" s="99"/>
      <c r="K207" s="99"/>
      <c r="L207" s="99"/>
      <c r="M207" s="99"/>
    </row>
    <row r="208" spans="1:13">
      <c r="A208" s="111" t="s">
        <v>2343</v>
      </c>
      <c r="B208" s="112">
        <v>0</v>
      </c>
      <c r="C208" s="112">
        <v>0</v>
      </c>
      <c r="D208" s="99">
        <v>0</v>
      </c>
      <c r="E208" s="99">
        <v>0</v>
      </c>
      <c r="F208" s="99">
        <v>0</v>
      </c>
      <c r="G208" s="99">
        <v>0</v>
      </c>
      <c r="H208" s="99">
        <v>0</v>
      </c>
      <c r="I208" s="99">
        <v>0</v>
      </c>
      <c r="J208" s="99">
        <v>0</v>
      </c>
      <c r="K208" s="99">
        <v>0</v>
      </c>
      <c r="L208" s="99">
        <v>0</v>
      </c>
      <c r="M208" s="99">
        <v>0</v>
      </c>
    </row>
    <row r="209" spans="1:13">
      <c r="A209" s="111" t="s">
        <v>2344</v>
      </c>
      <c r="B209" s="112"/>
      <c r="C209" s="112"/>
      <c r="D209" s="99"/>
      <c r="E209" s="99"/>
      <c r="F209" s="99"/>
      <c r="G209" s="99"/>
      <c r="H209" s="99"/>
      <c r="I209" s="99"/>
      <c r="J209" s="99"/>
      <c r="K209" s="99"/>
      <c r="L209" s="99"/>
      <c r="M209" s="99"/>
    </row>
    <row r="210" spans="1:13">
      <c r="A210" s="111" t="s">
        <v>2345</v>
      </c>
      <c r="B210" s="112">
        <v>0</v>
      </c>
      <c r="C210" s="112">
        <v>0</v>
      </c>
      <c r="D210" s="99">
        <v>0</v>
      </c>
      <c r="E210" s="99">
        <v>0</v>
      </c>
      <c r="F210" s="99">
        <v>0</v>
      </c>
      <c r="G210" s="99">
        <v>0</v>
      </c>
      <c r="H210" s="99">
        <v>0</v>
      </c>
      <c r="I210" s="99">
        <v>0</v>
      </c>
      <c r="J210" s="99">
        <v>0</v>
      </c>
      <c r="K210" s="99">
        <v>0</v>
      </c>
      <c r="L210" s="99">
        <v>0</v>
      </c>
      <c r="M210" s="99">
        <v>0</v>
      </c>
    </row>
    <row r="211" spans="1:13">
      <c r="A211" s="111" t="s">
        <v>2346</v>
      </c>
      <c r="B211" s="112">
        <v>1222927890</v>
      </c>
      <c r="C211" s="112">
        <v>1312927890</v>
      </c>
      <c r="D211" s="99">
        <v>374521425</v>
      </c>
      <c r="E211" s="99">
        <v>120578653</v>
      </c>
      <c r="F211" s="99">
        <v>47382416</v>
      </c>
      <c r="G211" s="99">
        <v>57047801</v>
      </c>
      <c r="H211" s="99">
        <v>50285782</v>
      </c>
      <c r="I211" s="99">
        <v>56071000</v>
      </c>
      <c r="J211" s="99">
        <v>41114653</v>
      </c>
      <c r="K211" s="99">
        <v>81002881</v>
      </c>
      <c r="L211" s="99">
        <v>45839648</v>
      </c>
      <c r="M211" s="99">
        <v>42790686</v>
      </c>
    </row>
    <row r="212" spans="1:13">
      <c r="A212" s="111" t="s">
        <v>2347</v>
      </c>
      <c r="B212" s="112">
        <v>10035603879</v>
      </c>
      <c r="C212" s="112">
        <v>10290091581</v>
      </c>
      <c r="D212" s="99">
        <v>3697586591</v>
      </c>
      <c r="E212" s="99">
        <v>414349490</v>
      </c>
      <c r="F212" s="99">
        <v>366221205</v>
      </c>
      <c r="G212" s="99">
        <v>297373098</v>
      </c>
      <c r="H212" s="99">
        <v>218247999</v>
      </c>
      <c r="I212" s="99">
        <v>397568515</v>
      </c>
      <c r="J212" s="99">
        <v>434713632</v>
      </c>
      <c r="K212" s="99">
        <v>404253645</v>
      </c>
      <c r="L212" s="99">
        <v>297362570</v>
      </c>
      <c r="M212" s="99">
        <v>103103889</v>
      </c>
    </row>
  </sheetData>
  <phoneticPr fontId="5"/>
  <pageMargins left="0.23622047244094491" right="0.23622047244094491" top="0.74803149606299213" bottom="0.74803149606299213" header="0.31496062992125984" footer="0.31496062992125984"/>
  <pageSetup paperSize="8" scale="94" fitToHeight="0" orientation="landscape" horizontalDpi="1200" verticalDpi="1200" r:id="rId1"/>
  <headerFooter>
    <oddHeader>&amp;A</oddHeader>
    <oddFooter>&amp;P / &amp;N ページ</oddFooter>
  </headerFooter>
  <rowBreaks count="1" manualBreakCount="1">
    <brk id="91" max="16383"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dc:creator>
  <cp:keywords/>
  <dc:description/>
  <cp:lastModifiedBy>超合金</cp:lastModifiedBy>
  <cp:revision/>
  <dcterms:created xsi:type="dcterms:W3CDTF">2022-10-24T08:00:34Z</dcterms:created>
  <dcterms:modified xsi:type="dcterms:W3CDTF">2023-09-12T01:22:21Z</dcterms:modified>
  <cp:category/>
  <cp:contentStatus/>
</cp:coreProperties>
</file>
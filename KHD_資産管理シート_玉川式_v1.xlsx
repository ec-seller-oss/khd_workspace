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<sst xmlns="http://schemas.openxmlformats.org/spreadsheetml/2006/main" count="11449" uniqueCount="2353">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</sst>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inlineStr">
        <is>
          <t>自宅ローズハイム東陽町</t>
        </is>
      </c>
      <c r="C26" s="23" t="s">
        <v>373</v>
      </c>
      <c r="D26" t="inlineStr">
        <is>
          <t>個人保有・自宅（非賃貸）</t>
        </is>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v>126</v>
      </c>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t="inlineStr">
        <is>
          <t>no</t>
        </is>
      </c>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v>305</v>
      </c>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t="inlineStr">
        <is>
          <t>東京メトロ東西線「東陽町」駅圏内</t>
        </is>
      </c>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t="inlineStr">
        <is>
          <t>東京都江東区東陽5-29-41 ローズハイム東陽町302</t>
        </is>
      </c>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t="inlineStr">
        <is>
          <t>区分</t>
        </is>
      </c>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t="inlineStr">
        <is>
          <t>所有権</t>
        </is>
      </c>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t="inlineStr">
        <is>
          <t>RC区分マンション</t>
        </is>
      </c>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v>45862</v>
      </c>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t="inlineStr">
        <is>
          <t>自宅（居住用・非賃貸）</t>
        </is>
      </c>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v>45862</v>
      </c>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v>43000000</v>
      </c>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t="inlineStr">
        <is>
          <t>自宅につき賃貸収支なし。KHD本店所在地でもある。借入835(日本住宅ローン4,300万・変動2.02%)に対応</t>
        </is>
      </c>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v>835</v>
      </c>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v>0.06</v>
      </c>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t="inlineStr">
        <is>
          <t>自主管理（区分所有・管理組合あり）</t>
        </is>
      </c>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v>0</v>
      </c>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0</v>
      </c>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0</v>
      </c>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0</v>
      </c>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0</v>
      </c>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v>0</v>
      </c>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v>126</v>
      </c>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v>835</v>
      </c>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518</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c r="V4" s="213"/>
      <c r="W4" s="213"/>
      <c r="X4" s="213"/>
      <c r="Y4" s="213"/>
      <c r="Z4" s="460">
        <f>IFERROR(Y4/N4,0)</f>
      </c>
      <c r="AA4" s="461"/>
      <c r="AB4" t="inlineStr">
        <is>
          <t>なし</t>
        </is>
      </c>
      <c r="AC4" t="inlineStr">
        <is>
          <t>2025年に700万円ベースの返済予定表あり(借換えの可能性)。現在残債・金融機関名は要確認</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126</v>
      </c>
      <c r="K5" s="459">
        <f>VLOOKUP(J5,id_settings,2,FALSE)</f>
      </c>
      <c r="L5" s="210">
        <v>126</v>
      </c>
      <c r="M5" s="459">
        <f>VLOOKUP(L5,id_settings,2,FALSE)</f>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
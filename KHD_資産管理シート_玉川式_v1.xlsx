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<sst xmlns="http://schemas.openxmlformats.org/spreadsheetml/2006/main" count="11449" uniqueCount="2353">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</sst>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v>110</v>
      </c>
      <c r="D5" s="16">
        <v>118</v>
      </c>
    </row>
    <row r="6" spans="1:79">
      <c r="A6" s="171">
        <v>12</v>
      </c>
      <c r="B6" s="170" t="s">
        <v>77</v>
      </c>
      <c r="C6" s="22"/>
      <c r="D6" s="22"/>
    </row>
    <row r="7" spans="1:79">
      <c r="A7" s="139">
        <v>13</v>
      </c>
      <c r="B7" s="8" t="s">
        <v>78</v>
      </c>
      <c r="C7" s="140">
        <v>410</v>
      </c>
      <c r="D7" s="140">
        <v>410</v>
      </c>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t="inlineStr">
        <is>
          <t>1997/3/1</t>
        </is>
      </c>
      <c r="G15" s="198" t="inlineStr">
        <is>
          <t>1968/7/1</t>
        </is>
      </c>
      <c r="H15" s="198" t="inlineStr">
        <is>
          <t>1971/1/1</t>
        </is>
      </c>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t="inlineStr">
        <is>
          <t>2026/8/14</t>
        </is>
      </c>
      <c r="G17" s="199" t="inlineStr">
        <is>
          <t>2026/8/14</t>
        </is>
      </c>
      <c r="H17" s="199" t="inlineStr">
        <is>
          <t>2021/10/15</t>
        </is>
      </c>
      <c r="I17" s="199"/>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833</v>
      </c>
      <c r="H21" s="197">
        <v>834</v>
      </c>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要確認</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要確認</t>
        </is>
      </c>
      <c r="E11" s="254" t="inlineStr">
        <is>
          <t>菊池研太</t>
        </is>
      </c>
      <c r="F11" s="254" t="inlineStr">
        <is>
          <t>資産保有・持株</t>
        </is>
      </c>
      <c r="G11" s="257" t="inlineStr">
        <is>
          <t>要確認</t>
        </is>
      </c>
      <c r="H11" s="258" t="inlineStr">
        <is>
          <t>要確認</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要確認</t>
        </is>
      </c>
      <c r="H12" s="249" t="inlineStr">
        <is>
          <t>要確認</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要確認</t>
        </is>
      </c>
      <c r="E13" s="254" t="inlineStr">
        <is>
          <t>菊池研太</t>
        </is>
      </c>
      <c r="F13" s="254" t="inlineStr">
        <is>
          <t>不動産売買（バイセル不動産）</t>
        </is>
      </c>
      <c r="G13" s="257" t="inlineStr">
        <is>
          <t>要確認</t>
        </is>
      </c>
      <c r="H13" s="258" t="inlineStr">
        <is>
          <t>要確認</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833</v>
      </c>
      <c r="F33" s="292">
        <v>834</v>
      </c>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622</v>
      </c>
      <c r="K2" s="459">
        <f>VLOOKUP(J2,id_settings,2,FALSE)</f>
      </c>
      <c r="L2" s="210">
        <v>622</v>
      </c>
      <c r="M2" s="459">
        <f>VLOOKUP(L2,id_settings,2,FALSE)</f>
      </c>
      <c r="N2" s="212">
        <v>37000000</v>
      </c>
      <c r="O2" s="211" t="inlineStr">
        <is>
          <t>2026/8/14</t>
        </is>
      </c>
      <c r="P2" s="328" t="inlineStr">
        <is>
          <t>確定待ち(西原様)</t>
        </is>
      </c>
      <c r="Q2" s="216" t="inlineStr">
        <is>
          <t>確定待ち(西原様)</t>
        </is>
      </c>
      <c r="R2" s="217" t="inlineStr">
        <is>
          <t>確定待ち</t>
        </is>
      </c>
      <c r="S2" s="217" t="inlineStr">
        <is>
          <t>毎月</t>
        </is>
      </c>
      <c r="T2" s="210" t="inlineStr">
        <is>
          <t>元利均等</t>
        </is>
      </c>
      <c r="U2" s="225"/>
      <c r="V2" s="213"/>
      <c r="W2" s="213"/>
      <c r="X2" s="213"/>
      <c r="Y2" s="213"/>
      <c r="Z2" s="460">
        <f>IFERROR(Y2/N2,0)</f>
      </c>
      <c r="AA2" s="461"/>
      <c r="AB2" t="inlineStr">
        <is>
          <t>なし</t>
        </is>
      </c>
      <c r="AC2" t="inlineStr">
        <is>
          <t>根抵当極度額60,000,000円。実行額3,700万予定。契約7/31 13時・決済8/14。売主:土地=三浦哲/建物=(有)三浦設計/貸家3棟=末永ちゑ子</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834</v>
      </c>
      <c r="B3" s="458" t="inlineStr">
        <is>
          <t>返済中</t>
        </is>
      </c>
      <c r="C3" s="210">
        <v>518</v>
      </c>
      <c r="D3" s="459">
        <f>VLOOKUP(C3,id_settings,2,FALSE)</f>
      </c>
      <c r="E3" s="216" t="inlineStr">
        <is>
          <t>-</t>
        </is>
      </c>
      <c r="F3" s="210">
        <v>305</v>
      </c>
      <c r="G3" s="459">
        <f>VLOOKUP(F3,id_settings,2,FALSE)</f>
      </c>
      <c r="H3" s="210">
        <v>601</v>
      </c>
      <c r="I3" s="459">
        <f>VLOOKUP(H3,id_settings,2,FALSE)</f>
      </c>
      <c r="J3" s="210">
        <v>125</v>
      </c>
      <c r="K3" s="459">
        <f>VLOOKUP(J3,id_settings,2,FALSE)</f>
      </c>
      <c r="L3" s="210">
        <v>125</v>
      </c>
      <c r="M3" s="459">
        <f>VLOOKUP(L3,id_settings,2,FALSE)</f>
      </c>
      <c r="N3" s="212">
        <v>6000000</v>
      </c>
      <c r="O3" s="211" t="inlineStr">
        <is>
          <t>2021/10/15</t>
        </is>
      </c>
      <c r="P3" s="328">
        <v>2.9</v>
      </c>
      <c r="Q3" s="216" t="inlineStr">
        <is>
          <t>要確認</t>
        </is>
      </c>
      <c r="R3" s="217" t="inlineStr">
        <is>
          <t>要確認</t>
        </is>
      </c>
      <c r="S3" s="217" t="inlineStr">
        <is>
          <t>毎月</t>
        </is>
      </c>
      <c r="T3" s="210" t="inlineStr">
        <is>
          <t>元利均等</t>
        </is>
      </c>
      <c r="U3" s="225"/>
      <c r="V3" s="213"/>
      <c r="W3" s="213"/>
      <c r="X3" s="213"/>
      <c r="Y3" s="213"/>
      <c r="Z3" s="460">
        <f>IFERROR(Y3/N3,0)</f>
      </c>
      <c r="AA3" s="461"/>
      <c r="AB3" t="inlineStr">
        <is>
          <t>なし</t>
        </is>
      </c>
      <c r="AC3" t="inlineStr">
        <is>
          <t>2025年に700万円ベースの返済予定表あり(借換えの可能性)。現在残債・金融機関名は要確認</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835</v>
      </c>
      <c r="B4" s="458" t="inlineStr">
        <is>
          <t>返済中</t>
        </is>
      </c>
      <c r="C4" s="210">
        <v>517</v>
      </c>
      <c r="D4" s="459">
        <f>VLOOKUP(C4,id_settings,2,FALSE)</f>
      </c>
      <c r="E4" s="216" t="inlineStr">
        <is>
          <t>-</t>
        </is>
      </c>
      <c r="F4" s="210">
        <v>305</v>
      </c>
      <c r="G4" s="459">
        <f>VLOOKUP(F4,id_settings,2,FALSE)</f>
      </c>
      <c r="H4" s="210">
        <v>605</v>
      </c>
      <c r="I4" s="459">
        <f>VLOOKUP(H4,id_settings,2,FALSE)</f>
      </c>
      <c r="J4" s="210">
        <v>623</v>
      </c>
      <c r="K4" s="459" t="inlineStr">
        <is>
          <t>自宅ローズハイム東陽町</t>
        </is>
      </c>
      <c r="L4" s="210">
        <v>613</v>
      </c>
      <c r="M4" s="459" t="inlineStr">
        <is>
          <t>自宅ローズハイム東陽町</t>
        </is>
      </c>
      <c r="N4" s="212">
        <v>43000000</v>
      </c>
      <c r="O4" s="211" t="inlineStr">
        <is>
          <t>2025/7/24</t>
        </is>
      </c>
      <c r="P4" s="328">
        <v>2.02</v>
      </c>
      <c r="Q4" s="216" t="inlineStr">
        <is>
          <t>変動(基準0.920%)・5年/1.25倍ルール</t>
        </is>
      </c>
      <c r="R4" s="217">
        <v>40</v>
      </c>
      <c r="S4" s="217" t="inlineStr">
        <is>
          <t>毎月</t>
        </is>
      </c>
      <c r="T4" s="210" t="inlineStr">
        <is>
          <t>元利均等</t>
        </is>
      </c>
      <c r="U4" s="225" t="inlineStr">
        <is>
          <t>2026/7/20</t>
        </is>
      </c>
      <c r="V4" s="213">
        <v>59374</v>
      </c>
      <c r="W4" s="213">
        <v>71294</v>
      </c>
      <c r="X4" s="213">
        <v>130668</v>
      </c>
      <c r="Y4" s="213">
        <v>42294066</v>
      </c>
      <c r="Z4" s="460">
        <f>IFERROR(Y4/N4,0)</f>
      </c>
      <c r="AA4" s="461"/>
      <c r="AB4" t="inlineStr">
        <is>
          <t>なし</t>
        </is>
      </c>
      <c r="AC4" t="inlineStr">
        <is>
          <t>MCJ変動ローン(日本住宅ローン)。479回払い・2065/7完済予定。残債は2026/7/20時点</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c r="B5" s="458"/>
      <c r="C5" s="210"/>
      <c r="D5" s="459"/>
      <c r="E5" s="216"/>
      <c r="F5" s="210"/>
      <c r="G5" s="459"/>
      <c r="H5" s="210"/>
      <c r="I5" s="459"/>
      <c r="J5" s="210"/>
      <c r="K5" s="459"/>
      <c r="L5" s="210"/>
      <c r="M5" s="459"/>
      <c r="N5" s="212"/>
      <c r="O5" s="211"/>
      <c r="P5" s="328"/>
      <c r="Q5" s="216"/>
      <c r="R5" s="217"/>
      <c r="S5" s="217"/>
      <c r="T5" s="210"/>
      <c r="U5" s="225"/>
      <c r="V5" s="213"/>
      <c r="W5" s="213"/>
      <c r="X5" s="213"/>
      <c r="Y5" s="213"/>
      <c r="Z5" s="460"/>
      <c r="AA5" s="461"/>
      <c r="AF5" s="210"/>
      <c r="AH5" s="210"/>
      <c r="AJ5" s="210"/>
      <c r="AL5" s="210"/>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115</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102</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106</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v>103</v>
      </c>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v>113</v>
      </c>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v>105</v>
      </c>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v>112</v>
      </c>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v>107</v>
      </c>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v>116</v>
      </c>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v>111</v>
      </c>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v>101</v>
      </c>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v>109</v>
      </c>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v>114</v>
      </c>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v>120</v>
      </c>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v>117</v>
      </c>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v>104</v>
      </c>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v>121</v>
      </c>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v>222</v>
      </c>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v>122</v>
      </c>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v>221</v>
      </c>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115</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102</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106</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v>103</v>
      </c>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v>113</v>
      </c>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v>105</v>
      </c>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v>112</v>
      </c>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v>107</v>
      </c>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v>116</v>
      </c>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v>111</v>
      </c>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v>101</v>
      </c>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v>109</v>
      </c>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v>114</v>
      </c>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v>120</v>
      </c>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v>117</v>
      </c>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v>104</v>
      </c>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v>121</v>
      </c>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v>222</v>
      </c>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v>122</v>
      </c>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v>221</v>
      </c>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115</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102</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106</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v>103</v>
      </c>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v>113</v>
      </c>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v>105</v>
      </c>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v>112</v>
      </c>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v>107</v>
      </c>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v>116</v>
      </c>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v>111</v>
      </c>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v>101</v>
      </c>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v>109</v>
      </c>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v>114</v>
      </c>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v>120</v>
      </c>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v>117</v>
      </c>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v>104</v>
      </c>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v>121</v>
      </c>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v>122</v>
      </c>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v>221</v>
      </c>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v>222</v>
      </c>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2</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3</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v>4</v>
      </c>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v>5</v>
      </c>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v>6</v>
      </c>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v>7</v>
      </c>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v>8</v>
      </c>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v>9</v>
      </c>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v>10</v>
      </c>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v>11</v>
      </c>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v>12</v>
      </c>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v>13</v>
      </c>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v>14</v>
      </c>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v>15</v>
      </c>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v>16</v>
      </c>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v>17</v>
      </c>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v>18</v>
      </c>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v>19</v>
      </c>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v>20</v>
      </c>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v>21</v>
      </c>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v>22</v>
      </c>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v>23</v>
      </c>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v>24</v>
      </c>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v>25</v>
      </c>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v>26</v>
      </c>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v>27</v>
      </c>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v>28</v>
      </c>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v>29</v>
      </c>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v>30</v>
      </c>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v>31</v>
      </c>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v>32</v>
      </c>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v>33</v>
      </c>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v>34</v>
      </c>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v>35</v>
      </c>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v>36</v>
      </c>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v>37</v>
      </c>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v>38</v>
      </c>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v>39</v>
      </c>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v>40</v>
      </c>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c r="B3" s="23"/>
      <c r="C3"/>
      <c r="D3" s="23"/>
      <c r="E3" s="23"/>
      <c r="F3" s="23"/>
      <c r="H3" s="23"/>
      <c r="I3" s="77"/>
      <c r="J3" s="77"/>
      <c r="K3" s="23"/>
      <c r="L3" s="23"/>
      <c r="M3" s="23"/>
      <c r="N3" s="23"/>
      <c r="O3" s="64"/>
      <c r="P3" s="64"/>
      <c r="Q3" s="64"/>
      <c r="R3" s="64"/>
      <c r="S3" s="64"/>
      <c r="T3" s="64"/>
      <c r="U3" s="64"/>
      <c r="V3" s="64"/>
      <c r="W3" s="64"/>
      <c r="X3" s="64"/>
      <c r="Y3" s="64"/>
      <c r="Z3" s="64"/>
    </row>
    <row r="4" spans="1:26" ht="15" customHeight="1">
      <c r="A4" s="23"/>
      <c r="B4" s="23"/>
      <c r="C4"/>
      <c r="D4" s="23"/>
      <c r="E4" s="23"/>
      <c r="F4" s="23"/>
      <c r="H4" s="23"/>
      <c r="I4" s="77"/>
      <c r="J4" s="77"/>
      <c r="K4" s="23"/>
      <c r="L4" s="23"/>
      <c r="M4" s="23"/>
      <c r="N4" s="23"/>
      <c r="O4" s="64"/>
      <c r="P4" s="64"/>
      <c r="Q4" s="64"/>
      <c r="R4" s="64"/>
      <c r="S4" s="64"/>
      <c r="T4" s="64"/>
      <c r="U4" s="64"/>
      <c r="V4" s="64"/>
      <c r="W4" s="64"/>
      <c r="X4" s="64"/>
      <c r="Y4" s="64"/>
      <c r="Z4" s="64"/>
    </row>
    <row r="5" spans="1:26" ht="15" customHeight="1">
      <c r="A5" s="23"/>
      <c r="B5" s="23"/>
      <c r="C5"/>
      <c r="D5" s="23"/>
      <c r="E5" s="23"/>
      <c r="F5" s="23"/>
      <c r="H5" s="23"/>
      <c r="I5" s="77"/>
      <c r="J5" s="77"/>
      <c r="K5" s="23"/>
      <c r="L5" s="23"/>
      <c r="M5" s="23"/>
      <c r="N5" s="23"/>
      <c r="O5" s="64"/>
      <c r="P5" s="64"/>
      <c r="Q5" s="64"/>
      <c r="R5" s="64"/>
      <c r="S5" s="64"/>
      <c r="T5" s="64"/>
      <c r="U5" s="64"/>
      <c r="V5" s="64"/>
      <c r="W5" s="64"/>
      <c r="X5" s="64"/>
      <c r="Y5" s="64"/>
      <c r="Z5" s="64"/>
    </row>
    <row r="6" spans="1:26" ht="15" customHeight="1">
      <c r="A6" s="23"/>
      <c r="B6" s="23"/>
      <c r="C6"/>
      <c r="D6" s="23"/>
      <c r="E6" s="23"/>
      <c r="F6" s="23"/>
      <c r="H6" s="23"/>
      <c r="I6" s="77"/>
      <c r="J6" s="77"/>
      <c r="K6" s="23"/>
      <c r="L6" s="23"/>
      <c r="M6" s="23"/>
      <c r="N6" s="23"/>
      <c r="O6" s="64"/>
      <c r="P6" s="64"/>
      <c r="Q6" s="64"/>
      <c r="R6" s="64"/>
      <c r="S6" s="64"/>
      <c r="T6" s="64"/>
      <c r="U6" s="64"/>
      <c r="V6" s="64"/>
      <c r="W6" s="64"/>
      <c r="X6" s="64"/>
      <c r="Y6" s="64"/>
      <c r="Z6" s="64"/>
    </row>
    <row r="7" spans="1:26" ht="15" customHeight="1">
      <c r="A7" s="23"/>
      <c r="B7" s="23"/>
      <c r="C7"/>
      <c r="D7" s="23"/>
      <c r="E7" s="23"/>
      <c r="F7" s="23"/>
      <c r="H7" s="23"/>
      <c r="I7" s="77"/>
      <c r="J7" s="77"/>
      <c r="K7" s="23"/>
      <c r="L7" s="23"/>
      <c r="M7" s="23"/>
      <c r="N7" s="23"/>
      <c r="O7" s="64"/>
      <c r="P7" s="64"/>
      <c r="Q7" s="64"/>
      <c r="R7" s="64"/>
      <c r="S7" s="64"/>
      <c r="T7" s="64"/>
      <c r="U7" s="64"/>
      <c r="V7" s="64"/>
      <c r="W7" s="64"/>
      <c r="X7" s="64"/>
      <c r="Y7" s="64"/>
      <c r="Z7" s="64"/>
    </row>
    <row r="8" spans="1:26" ht="15" customHeight="1">
      <c r="A8" s="23"/>
      <c r="B8" s="23"/>
      <c r="C8"/>
      <c r="D8" s="23"/>
      <c r="E8" s="23"/>
      <c r="F8" s="23"/>
      <c r="H8" s="23"/>
      <c r="I8" s="77"/>
      <c r="J8" s="77"/>
      <c r="K8" s="23"/>
      <c r="L8" s="23"/>
      <c r="M8" s="23"/>
      <c r="N8" s="23"/>
      <c r="O8" s="64"/>
      <c r="P8" s="64"/>
      <c r="Q8" s="64"/>
      <c r="R8" s="64"/>
      <c r="S8" s="64"/>
      <c r="T8" s="64"/>
      <c r="U8" s="64"/>
      <c r="V8" s="64"/>
      <c r="W8" s="64"/>
      <c r="X8" s="64"/>
      <c r="Y8" s="64"/>
      <c r="Z8" s="64"/>
    </row>
    <row r="9" spans="1:26" ht="15" customHeight="1">
      <c r="A9" s="23"/>
      <c r="B9" s="23"/>
      <c r="C9"/>
      <c r="D9" s="23"/>
      <c r="E9" s="23"/>
      <c r="F9" s="23"/>
      <c r="H9" s="23"/>
      <c r="I9" s="77"/>
      <c r="J9" s="77"/>
      <c r="K9" s="23"/>
      <c r="L9" s="23"/>
      <c r="M9" s="23"/>
      <c r="N9" s="23"/>
      <c r="O9" s="64"/>
      <c r="P9" s="64"/>
      <c r="Q9" s="64"/>
      <c r="R9" s="64"/>
      <c r="S9" s="64"/>
      <c r="T9" s="64"/>
      <c r="U9" s="64"/>
      <c r="V9" s="64"/>
      <c r="W9" s="64"/>
      <c r="X9" s="64"/>
      <c r="Y9" s="64"/>
      <c r="Z9" s="64"/>
    </row>
    <row r="10" spans="1:26" ht="15" customHeight="1">
      <c r="A10" s="23"/>
      <c r="B10" s="23"/>
      <c r="C10"/>
      <c r="D10" s="23"/>
      <c r="E10" s="23"/>
      <c r="F10" s="23"/>
      <c r="H10" s="23"/>
      <c r="I10" s="77"/>
      <c r="J10" s="77"/>
      <c r="K10" s="23"/>
      <c r="L10" s="23"/>
      <c r="M10" s="23"/>
      <c r="N10" s="23"/>
      <c r="O10" s="64"/>
      <c r="P10" s="64"/>
      <c r="Q10" s="64"/>
      <c r="R10" s="64"/>
      <c r="S10" s="64"/>
      <c r="T10" s="64"/>
      <c r="U10" s="64"/>
      <c r="V10" s="64"/>
      <c r="W10" s="64"/>
      <c r="X10" s="64"/>
      <c r="Y10" s="64"/>
      <c r="Z10" s="64"/>
    </row>
    <row r="11" spans="1:26" ht="15" customHeight="1">
      <c r="A11" s="23"/>
      <c r="B11" s="23"/>
      <c r="C11"/>
      <c r="D11" s="23"/>
      <c r="E11" s="23"/>
      <c r="F11" s="23"/>
      <c r="H11" s="23"/>
      <c r="I11" s="77"/>
      <c r="J11" s="77"/>
      <c r="K11" s="23"/>
      <c r="L11" s="23"/>
      <c r="M11" s="23"/>
      <c r="N11" s="23"/>
      <c r="O11" s="64"/>
      <c r="P11" s="64"/>
      <c r="Q11" s="64"/>
      <c r="R11" s="64"/>
      <c r="S11" s="64"/>
      <c r="T11" s="64"/>
      <c r="U11" s="64"/>
      <c r="V11" s="64"/>
      <c r="W11" s="64"/>
      <c r="X11" s="64"/>
      <c r="Y11" s="64"/>
      <c r="Z11" s="64"/>
    </row>
    <row r="12" spans="1:26" ht="15" customHeight="1">
      <c r="A12" s="23"/>
      <c r="B12" s="23"/>
      <c r="C12"/>
      <c r="D12" s="23"/>
      <c r="E12" s="23"/>
      <c r="F12" s="23"/>
      <c r="H12" s="23"/>
      <c r="I12" s="77"/>
      <c r="J12" s="77"/>
      <c r="K12" s="23"/>
      <c r="L12" s="23"/>
      <c r="M12" s="23"/>
      <c r="N12" s="23"/>
      <c r="O12" s="64"/>
      <c r="P12" s="64"/>
      <c r="Q12" s="64"/>
      <c r="R12" s="64"/>
      <c r="S12" s="64"/>
      <c r="T12" s="64"/>
      <c r="U12" s="64"/>
      <c r="V12" s="64"/>
      <c r="W12" s="64"/>
      <c r="X12" s="64"/>
      <c r="Y12" s="64"/>
      <c r="Z12" s="64"/>
    </row>
    <row r="13" spans="1:26" ht="15" customHeight="1">
      <c r="A13" s="23"/>
      <c r="B13" s="23"/>
      <c r="C13"/>
      <c r="D13" s="23"/>
      <c r="E13" s="23"/>
      <c r="F13" s="23"/>
      <c r="H13" s="23"/>
      <c r="I13" s="77"/>
      <c r="J13" s="77"/>
      <c r="K13" s="23"/>
      <c r="L13" s="23"/>
      <c r="M13" s="23"/>
      <c r="N13" s="23"/>
      <c r="O13" s="64"/>
      <c r="P13" s="64"/>
      <c r="Q13" s="64"/>
      <c r="R13" s="64"/>
      <c r="S13" s="64"/>
      <c r="T13" s="64"/>
      <c r="U13" s="64"/>
      <c r="V13" s="64"/>
      <c r="W13" s="64"/>
      <c r="X13" s="64"/>
      <c r="Y13" s="64"/>
      <c r="Z13" s="64"/>
    </row>
    <row r="14" spans="1:26" ht="15" customHeight="1">
      <c r="A14" s="23"/>
      <c r="B14" s="23"/>
      <c r="C14"/>
      <c r="D14" s="23"/>
      <c r="E14" s="23"/>
      <c r="F14" s="23"/>
      <c r="H14" s="23"/>
      <c r="I14" s="77"/>
      <c r="J14" s="77"/>
      <c r="K14" s="23"/>
      <c r="L14" s="23"/>
      <c r="M14" s="23"/>
      <c r="N14" s="23"/>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 試算表（月次試算表から転記して使用）</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c r="C97" s="112"/>
      <c r="D97" s="99"/>
      <c r="E97" s="99"/>
      <c r="F97" s="99"/>
      <c r="G97" s="99"/>
      <c r="H97" s="99"/>
      <c r="I97" s="99"/>
      <c r="J97" s="99"/>
      <c r="K97" s="99"/>
      <c r="L97" s="99"/>
      <c r="M97" s="99"/>
    </row>
    <row r="98" spans="1:13">
      <c r="A98" s="111" t="s">
        <v>2233</v>
      </c>
      <c r="B98" s="112"/>
      <c r="C98" s="112"/>
      <c r="D98" s="99"/>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c r="C100" s="112"/>
      <c r="D100" s="99"/>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c r="C102" s="112"/>
      <c r="D102" s="99"/>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c r="C116" s="112"/>
      <c r="D116" s="99"/>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c r="C120" s="112"/>
      <c r="D120" s="99"/>
      <c r="E120" s="99"/>
      <c r="F120" s="99"/>
      <c r="G120" s="99"/>
      <c r="H120" s="99"/>
      <c r="I120" s="99"/>
      <c r="J120" s="99"/>
      <c r="K120" s="99"/>
      <c r="L120" s="99"/>
      <c r="M120" s="99"/>
    </row>
    <row r="121" spans="1:13">
      <c r="A121" s="111" t="s">
        <v>2256</v>
      </c>
      <c r="B121" s="112"/>
      <c r="C121" s="112"/>
      <c r="D121" s="99"/>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c r="C124" s="112"/>
      <c r="D124" s="99"/>
      <c r="E124" s="99"/>
      <c r="F124" s="99"/>
      <c r="G124" s="99"/>
      <c r="H124" s="99"/>
      <c r="I124" s="99"/>
      <c r="J124" s="99"/>
      <c r="K124" s="99"/>
      <c r="L124" s="99"/>
      <c r="M124" s="99"/>
    </row>
    <row r="125" spans="1:13">
      <c r="A125" s="111" t="s">
        <v>2260</v>
      </c>
      <c r="B125" s="112"/>
      <c r="C125" s="112"/>
      <c r="D125" s="99"/>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c r="C140" s="112"/>
      <c r="D140" s="99"/>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c r="C142" s="112"/>
      <c r="D142" s="99"/>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c r="C146" s="112"/>
      <c r="D146" s="99"/>
      <c r="E146" s="99"/>
      <c r="F146" s="99"/>
      <c r="G146" s="99"/>
      <c r="H146" s="99"/>
      <c r="I146" s="99"/>
      <c r="J146" s="99"/>
      <c r="K146" s="99"/>
      <c r="L146" s="99"/>
      <c r="M146" s="99"/>
    </row>
    <row r="147" spans="1:13">
      <c r="A147" s="111" t="s">
        <v>2282</v>
      </c>
      <c r="B147" s="112"/>
      <c r="C147" s="112"/>
      <c r="D147" s="99"/>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c r="C152" s="112"/>
      <c r="D152" s="99"/>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c r="C157" s="112"/>
      <c r="D157" s="99"/>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c r="C161" s="112"/>
      <c r="D161" s="99"/>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c r="C163" s="112"/>
      <c r="D163" s="99"/>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c r="C173" s="112"/>
      <c r="D173" s="99"/>
      <c r="E173" s="99"/>
      <c r="F173" s="99"/>
      <c r="G173" s="99"/>
      <c r="H173" s="99"/>
      <c r="I173" s="99"/>
      <c r="J173" s="99"/>
      <c r="K173" s="99"/>
      <c r="L173" s="99"/>
      <c r="M173" s="99"/>
    </row>
    <row r="174" spans="1:13">
      <c r="A174" s="111" t="s">
        <v>2309</v>
      </c>
      <c r="B174" s="112"/>
      <c r="C174" s="112"/>
      <c r="D174" s="99"/>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c r="C179" s="112"/>
      <c r="D179" s="99"/>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c r="C182" s="112"/>
      <c r="D182" s="99"/>
      <c r="E182" s="99"/>
      <c r="F182" s="99"/>
      <c r="G182" s="99"/>
      <c r="H182" s="99"/>
      <c r="I182" s="99"/>
      <c r="J182" s="99"/>
      <c r="K182" s="99"/>
      <c r="L182" s="99"/>
      <c r="M182" s="99"/>
    </row>
    <row r="183" spans="1:13">
      <c r="A183" s="111" t="s">
        <v>2318</v>
      </c>
      <c r="B183" s="112"/>
      <c r="C183" s="112"/>
      <c r="D183" s="99"/>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c r="C185" s="112"/>
      <c r="D185" s="99"/>
      <c r="E185" s="99"/>
      <c r="F185" s="99"/>
      <c r="G185" s="99"/>
      <c r="H185" s="99"/>
      <c r="I185" s="99"/>
      <c r="J185" s="99"/>
      <c r="K185" s="99"/>
      <c r="L185" s="99"/>
      <c r="M185" s="99"/>
    </row>
    <row r="186" spans="1:13">
      <c r="A186" s="111" t="s">
        <v>2321</v>
      </c>
      <c r="B186" s="112"/>
      <c r="C186" s="112"/>
      <c r="D186" s="99"/>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c r="C197" s="112"/>
      <c r="D197" s="99"/>
      <c r="E197" s="99"/>
      <c r="F197" s="99"/>
      <c r="G197" s="99"/>
      <c r="H197" s="99"/>
      <c r="I197" s="99"/>
      <c r="J197" s="99"/>
      <c r="K197" s="99"/>
      <c r="L197" s="99"/>
      <c r="M197" s="99"/>
    </row>
    <row r="198" spans="1:13">
      <c r="A198" s="111" t="s">
        <v>2333</v>
      </c>
      <c r="B198" s="112"/>
      <c r="C198" s="112"/>
      <c r="D198" s="99"/>
      <c r="E198" s="99"/>
      <c r="F198" s="99"/>
      <c r="G198" s="99"/>
      <c r="H198" s="99"/>
      <c r="I198" s="99"/>
      <c r="J198" s="99"/>
      <c r="K198" s="99"/>
      <c r="L198" s="99"/>
      <c r="M198" s="99"/>
    </row>
    <row r="199" spans="1:13">
      <c r="A199" s="111" t="s">
        <v>2334</v>
      </c>
      <c r="B199" s="112"/>
      <c r="C199" s="112"/>
      <c r="D199" s="99"/>
      <c r="E199" s="99"/>
      <c r="F199" s="99"/>
      <c r="G199" s="99"/>
      <c r="H199" s="99"/>
      <c r="I199" s="99"/>
      <c r="J199" s="99"/>
      <c r="K199" s="99"/>
      <c r="L199" s="99"/>
      <c r="M199" s="99"/>
    </row>
    <row r="200" spans="1:13">
      <c r="A200" s="111" t="s">
        <v>2335</v>
      </c>
      <c r="B200" s="112"/>
      <c r="C200" s="112"/>
      <c r="D200" s="99"/>
      <c r="E200" s="99"/>
      <c r="F200" s="99"/>
      <c r="G200" s="99"/>
      <c r="H200" s="99"/>
      <c r="I200" s="99"/>
      <c r="J200" s="99"/>
      <c r="K200" s="99"/>
      <c r="L200" s="99"/>
      <c r="M200" s="99"/>
    </row>
    <row r="201" spans="1:13">
      <c r="A201" s="111" t="s">
        <v>2336</v>
      </c>
      <c r="B201" s="112"/>
      <c r="C201" s="112"/>
      <c r="D201" s="99"/>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c r="C206" s="112"/>
      <c r="D206" s="99"/>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c r="C211" s="112"/>
      <c r="D211" s="99"/>
      <c r="E211" s="99"/>
      <c r="F211" s="99"/>
      <c r="G211" s="99"/>
      <c r="H211" s="99"/>
      <c r="I211" s="99"/>
      <c r="J211" s="99"/>
      <c r="K211" s="99"/>
      <c r="L211" s="99"/>
      <c r="M211" s="99"/>
    </row>
    <row r="212" spans="1:13">
      <c r="A212" s="111" t="s">
        <v>2347</v>
      </c>
      <c r="B212" s="112"/>
      <c r="C212" s="112"/>
      <c r="D212" s="99"/>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
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fullCalcOnLoad="1" forceFullCalc="1"/>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<sst xmlns="http://schemas.openxmlformats.org/spreadsheetml/2006/main" count="11449" uniqueCount="2353">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</sst>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issingItemsLimit="0"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c r="D5" s="16"/>
    </row>
    <row r="6" spans="1:79">
      <c r="A6" s="171">
        <v>12</v>
      </c>
      <c r="B6" s="170" t="s">
        <v>77</v>
      </c>
      <c r="C6" s="22"/>
      <c r="D6" s="22"/>
    </row>
    <row r="7" spans="1:79">
      <c r="A7" s="139">
        <v>13</v>
      </c>
      <c r="B7" s="8" t="s">
        <v>78</v>
      </c>
      <c r="C7" s="140"/>
      <c r="D7" s="140"/>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2026</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46234</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46234</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inlineStr">
        <is>
          <t>2026年1月～12月予測</t>
        </is>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inlineStr">
        <is>
          <t>2026年1月～12月予測</t>
        </is>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46234</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46234</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46022</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t="inlineStr">
        <is>
          <t>2026</t>
        </is>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46234</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46022</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inlineStr">
        <is>
          <t>令和8年度</t>
        </is>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0</v>
      </c>
      <c r="N25" s="342">
        <v>23</v>
      </c>
      <c r="O25" s="23" t="s">
        <v>410</v>
      </c>
      <c r="P25" s="23" t="s">
        <v>450</v>
      </c>
      <c r="Q25" s="64">
        <f>SUMIF('5借入一覧'!$J:$J,621,'5借入一覧'!$W:$W)</f>
        <v>32278</v>
      </c>
      <c r="R25" s="23"/>
    </row>
    <row r="26" spans="1:18" ht="13.5" customHeight="1">
      <c r="A26" s="23">
        <v>126</v>
      </c>
      <c r="B26" s="597" t="inlineStr">
        <is>
          <t>自宅ローズハイム東陽町</t>
        </is>
      </c>
      <c r="C26" s="23" t="s">
        <v>373</v>
      </c>
      <c r="D26" t="inlineStr">
        <is>
          <t>個人保有・自宅（非賃貸）</t>
        </is>
      </c>
      <c r="G26" s="149">
        <v>32</v>
      </c>
      <c r="H26" t="s">
        <v>392</v>
      </c>
      <c r="I26" t="s">
        <v>463</v>
      </c>
      <c r="J26" s="3" t="s">
        <v>464</v>
      </c>
      <c r="K26" t="s">
        <v>461</v>
      </c>
      <c r="L26" s="601">
        <v>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3516400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金融機関予備6</t>
        </is>
      </c>
      <c r="C170" s="23" t="s">
        <v>629</v>
      </c>
      <c r="D170" t="inlineStr">
        <is>
          <t>None</t>
        </is>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v>126</v>
      </c>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t="inlineStr">
        <is>
          <t>no</t>
        </is>
      </c>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v>305</v>
      </c>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t="inlineStr">
        <is>
          <t>東京メトロ東西線「東陽町」駅圏内</t>
        </is>
      </c>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t="inlineStr">
        <is>
          <t>東京都江東区東陽5-29-41 ローズハイム東陽町302</t>
        </is>
      </c>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t="inlineStr">
        <is>
          <t>区分</t>
        </is>
      </c>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t="inlineStr">
        <is>
          <t>所有権</t>
        </is>
      </c>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t="inlineStr">
        <is>
          <t>RC区分マンション</t>
        </is>
      </c>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v>35490</v>
      </c>
      <c r="G15" s="198">
        <v>25020</v>
      </c>
      <c r="H15" s="198">
        <v>25934</v>
      </c>
      <c r="I15" s="198">
        <v>45862</v>
      </c>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t="inlineStr">
        <is>
          <t>自宅（居住用・非賃貸）</t>
        </is>
      </c>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v>46248</v>
      </c>
      <c r="G17" s="199">
        <v>46248</v>
      </c>
      <c r="H17" s="199">
        <v>44484</v>
      </c>
      <c r="I17" s="199">
        <v>45862</v>
      </c>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v>43000000</v>
      </c>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t="inlineStr">
        <is>
          <t>自宅につき賃貸収支なし。KHD本店所在地でもある。借入835(日本住宅ローン4,300万・変動2.02%)に対応</t>
        </is>
      </c>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836</v>
      </c>
      <c r="H21" s="197">
        <v>834</v>
      </c>
      <c r="I21" s="197">
        <v>835</v>
      </c>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v>0.06</v>
      </c>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t="inlineStr">
        <is>
          <t>自主管理（区分所有・管理組合あり）</t>
        </is>
      </c>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v>0</v>
      </c>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v>0</v>
      </c>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v>0</v>
      </c>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v>0</v>
      </c>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v>0</v>
      </c>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v>0</v>
      </c>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東京都江東区東陽5-29-41 ローズハイム東陽町302</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東京都江東区東陽5-29-41 ローズハイム東陽町302</t>
        </is>
      </c>
      <c r="E11" s="254" t="inlineStr">
        <is>
          <t>菊池研太</t>
        </is>
      </c>
      <c r="F11" s="254" t="inlineStr">
        <is>
          <t>資産保有・持株</t>
        </is>
      </c>
      <c r="G11" s="257" t="inlineStr">
        <is>
          <t>令和4年8月30日</t>
        </is>
      </c>
      <c r="H11" s="258" t="inlineStr">
        <is>
          <t>1万円</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平成11年8月17日</t>
        </is>
      </c>
      <c r="H12" s="249" t="inlineStr">
        <is>
          <t>1000万円</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埼玉県さいたま市大宮区宮町四丁目38番地4</t>
        </is>
      </c>
      <c r="E13" s="254" t="inlineStr">
        <is>
          <t>江藤哲寛</t>
        </is>
      </c>
      <c r="F13" s="254" t="inlineStr">
        <is>
          <t>不動産売買（バイセル不動産）※代表は菊池ではなく江藤哲寛氏</t>
        </is>
      </c>
      <c r="G13" s="257" t="inlineStr">
        <is>
          <t>令和3年9月1日</t>
        </is>
      </c>
      <c r="H13" s="258" t="inlineStr">
        <is>
          <t>1000万円</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v>126</v>
      </c>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836</v>
      </c>
      <c r="F33" s="292">
        <v>834</v>
      </c>
      <c r="G33" s="292">
        <v>835</v>
      </c>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v>833</v>
      </c>
      <c r="B2" s="458" t="inlineStr">
        <is>
          <t>実行予定</t>
        </is>
      </c>
      <c r="C2" s="210">
        <v>513</v>
      </c>
      <c r="D2" s="459">
        <f>VLOOKUP(C2,id_settings,2,FALSE)</f>
      </c>
      <c r="E2" s="216" t="inlineStr">
        <is>
          <t>花巻支店</t>
        </is>
      </c>
      <c r="F2" s="210">
        <v>412</v>
      </c>
      <c r="G2" s="459">
        <f>VLOOKUP(F2,id_settings,2,FALSE)</f>
      </c>
      <c r="H2" s="210">
        <v>601</v>
      </c>
      <c r="I2" s="459">
        <f>VLOOKUP(H2,id_settings,2,FALSE)</f>
      </c>
      <c r="J2" s="210">
        <v>123</v>
      </c>
      <c r="K2" s="459">
        <f>VLOOKUP(J2,id_settings,2,FALSE)</f>
      </c>
      <c r="L2" s="210">
        <v>622</v>
      </c>
      <c r="M2" s="459">
        <f>VLOOKUP(L2,id_settings,2,FALSE)</f>
      </c>
      <c r="N2" s="212">
        <v>29500000</v>
      </c>
      <c r="O2" s="211">
        <v>46248</v>
      </c>
      <c r="P2" s="328">
        <v>2.75</v>
      </c>
      <c r="Q2" s="216" t="inlineStr">
        <is>
          <t>変動(短プラ2.875%基準・連動)</t>
        </is>
      </c>
      <c r="R2" s="217">
        <v>20</v>
      </c>
      <c r="S2" s="217" t="inlineStr">
        <is>
          <t>毎月</t>
        </is>
      </c>
      <c r="T2" s="210" t="inlineStr">
        <is>
          <t>元利均等</t>
        </is>
      </c>
      <c r="U2" s="225"/>
      <c r="V2" s="213"/>
      <c r="W2" s="213"/>
      <c r="X2" s="213"/>
      <c r="Y2" s="213"/>
      <c r="Z2" s="460">
        <f>IFERROR(Y2/N2,0)</f>
      </c>
      <c r="AA2" s="461"/>
      <c r="AB2" t="inlineStr">
        <is>
          <t>岩手県信用保証協会</t>
        </is>
      </c>
      <c r="AC2" t="inlineStr">
        <is>
          <t>融資①アパート。根抵当極度額6,000万。諸費用込み融資。信用保証料概算292.1万。連帯保証:菊池研太。決済8/14</t>
        </is>
      </c>
      <c r="AF2" s="210">
        <f>IFERROR(VLOOKUP(AE2,id_settings,2,FALSE),"なし")</f>
      </c>
      <c r="AH2" s="210">
        <f>IFERROR(VLOOKUP(AG2,id_settings,2,FALSE),"なし")</f>
      </c>
      <c r="AJ2" s="210">
        <f>IFERROR(VLOOKUP(AI2,id_settings,2,FALSE),"なし")</f>
      </c>
      <c r="AL2" s="210">
        <f>IFERROR(VLOOKUP(AK2,id_settings,2,FALSE),"なし")</f>
      </c>
      <c r="AO2" s="448"/>
      <c r="AP2" s="448"/>
      <c r="AQ2" s="23"/>
      <c r="AR2" s="23"/>
      <c r="AS2" s="23"/>
      <c r="AT2" s="23"/>
      <c r="AU2" s="23"/>
      <c r="AV2" s="23"/>
      <c r="AW2" s="23"/>
    </row>
    <row r="3" spans="1:49" s="210" customFormat="1" ht="34.5" customHeight="1">
      <c r="A3" s="210">
        <v>836</v>
      </c>
      <c r="B3" s="458" t="inlineStr">
        <is>
          <t>実行予定</t>
        </is>
      </c>
      <c r="C3" s="210">
        <v>513</v>
      </c>
      <c r="D3" s="459">
        <f>VLOOKUP(C3,id_settings,2,FALSE)</f>
      </c>
      <c r="E3" s="216" t="inlineStr">
        <is>
          <t>花巻支店</t>
        </is>
      </c>
      <c r="F3" s="210">
        <v>412</v>
      </c>
      <c r="G3" s="459">
        <f>VLOOKUP(F3,id_settings,2,FALSE)</f>
      </c>
      <c r="H3" s="210">
        <v>601</v>
      </c>
      <c r="I3" s="459">
        <f>VLOOKUP(H3,id_settings,2,FALSE)</f>
      </c>
      <c r="J3" s="210">
        <v>124</v>
      </c>
      <c r="K3" s="459">
        <f>VLOOKUP(J3,id_settings,2,FALSE)</f>
      </c>
      <c r="L3" s="210">
        <v>622</v>
      </c>
      <c r="M3" s="459">
        <f>VLOOKUP(L3,id_settings,2,FALSE)</f>
      </c>
      <c r="N3" s="212">
        <v>13700000</v>
      </c>
      <c r="O3" s="211">
        <v>46248</v>
      </c>
      <c r="P3" s="328">
        <v>2.75</v>
      </c>
      <c r="Q3" s="216" t="inlineStr">
        <is>
          <t>変動(短プラ2.875%基準・連動)</t>
        </is>
      </c>
      <c r="R3" s="217">
        <v>20</v>
      </c>
      <c r="S3" s="217" t="inlineStr">
        <is>
          <t>毎月</t>
        </is>
      </c>
      <c r="T3" s="210" t="inlineStr">
        <is>
          <t>元利均等</t>
        </is>
      </c>
      <c r="U3" s="225"/>
      <c r="V3" s="213"/>
      <c r="W3" s="213"/>
      <c r="X3" s="213"/>
      <c r="Y3" s="213"/>
      <c r="Z3" s="460">
        <f>IFERROR(Y3/N3,0)</f>
      </c>
      <c r="AA3" s="461"/>
      <c r="AB3" t="inlineStr">
        <is>
          <t>岩手県信用保証協会</t>
        </is>
      </c>
      <c r="AC3" t="inlineStr">
        <is>
          <t>融資②貸家3棟。諸費用込み融資。信用保証料概算135.7万。連帯保証:菊池研太。決済8/14</t>
        </is>
      </c>
      <c r="AF3" s="210">
        <f>IFERROR(VLOOKUP(AE3,id_settings,2,FALSE),"なし")</f>
      </c>
      <c r="AH3" s="210">
        <f>IFERROR(VLOOKUP(AG3,id_settings,2,FALSE),"なし")</f>
      </c>
      <c r="AJ3" s="210">
        <f>IFERROR(VLOOKUP(AI3,id_settings,2,FALSE),"なし")</f>
      </c>
      <c r="AL3" s="210">
        <f>IFERROR(VLOOKUP(AK3,id_settings,2,FALSE),"なし")</f>
      </c>
      <c r="AO3" s="448"/>
      <c r="AP3" s="448"/>
      <c r="AQ3" s="23"/>
      <c r="AR3" s="23"/>
      <c r="AS3" s="23"/>
      <c r="AT3" s="23"/>
      <c r="AU3" s="23"/>
      <c r="AV3" s="23"/>
      <c r="AW3" s="23"/>
    </row>
    <row r="4" spans="1:49" s="210" customFormat="1" ht="34.5" customHeight="1">
      <c r="A4" s="210">
        <v>834</v>
      </c>
      <c r="B4" s="458" t="inlineStr">
        <is>
          <t>返済中</t>
        </is>
      </c>
      <c r="C4" s="210">
        <v>515</v>
      </c>
      <c r="D4" s="459">
        <f>VLOOKUP(C4,id_settings,2,FALSE)</f>
      </c>
      <c r="E4" s="216" t="inlineStr">
        <is>
          <t>-</t>
        </is>
      </c>
      <c r="F4" s="210">
        <v>305</v>
      </c>
      <c r="G4" s="459">
        <f>VLOOKUP(F4,id_settings,2,FALSE)</f>
      </c>
      <c r="H4" s="210">
        <v>601</v>
      </c>
      <c r="I4" s="459">
        <f>VLOOKUP(H4,id_settings,2,FALSE)</f>
      </c>
      <c r="J4" s="210">
        <v>125</v>
      </c>
      <c r="K4" s="459">
        <f>VLOOKUP(J4,id_settings,2,FALSE)</f>
      </c>
      <c r="L4" s="210">
        <v>125</v>
      </c>
      <c r="M4" s="459">
        <f>VLOOKUP(L4,id_settings,2,FALSE)</f>
      </c>
      <c r="N4" s="212">
        <v>6000000</v>
      </c>
      <c r="O4" s="211">
        <v>44484</v>
      </c>
      <c r="P4" s="328">
        <v>2.9</v>
      </c>
      <c r="Q4" s="216" t="inlineStr">
        <is>
          <t>要確認</t>
        </is>
      </c>
      <c r="R4" s="217"/>
      <c r="S4" s="217" t="inlineStr">
        <is>
          <t>毎月</t>
        </is>
      </c>
      <c r="T4" s="210" t="inlineStr">
        <is>
          <t>元利均等</t>
        </is>
      </c>
      <c r="U4" s="225">
        <v>46254</v>
      </c>
      <c r="V4" s="213">
        <v>84000</v>
      </c>
      <c r="W4" s="213">
        <v>4544</v>
      </c>
      <c r="X4" s="213">
        <v>88544</v>
      </c>
      <c r="Y4" s="213">
        <v>2548000</v>
      </c>
      <c r="Z4" s="460">
        <f>IFERROR(Y4/N4,0)</f>
      </c>
      <c r="AA4" s="461"/>
      <c r="AB4" t="inlineStr">
        <is>
          <t>なし</t>
        </is>
      </c>
      <c r="AC4" t="inlineStr">
        <is>
          <t>東京ベイ信用金庫。返済予定表(TB)より2026/8/20時点残債2,548,000円・月額元金84,000+利息4,544=88,544円。原借入600万/2021-10-15</t>
        </is>
      </c>
      <c r="AF4" s="210">
        <f>IFERROR(VLOOKUP(AE4,id_settings,2,FALSE),"なし")</f>
      </c>
      <c r="AH4" s="210">
        <f>IFERROR(VLOOKUP(AG4,id_settings,2,FALSE),"なし")</f>
      </c>
      <c r="AJ4" s="210">
        <f>IFERROR(VLOOKUP(AI4,id_settings,2,FALSE),"なし")</f>
      </c>
      <c r="AL4" s="210">
        <f>IFERROR(VLOOKUP(AK4,id_settings,2,FALSE),"なし")</f>
      </c>
      <c r="AO4" s="448"/>
      <c r="AP4" s="448"/>
      <c r="AQ4" s="23"/>
      <c r="AR4" s="23"/>
      <c r="AS4" s="23"/>
      <c r="AT4" s="23"/>
      <c r="AU4" s="23"/>
      <c r="AV4" s="23"/>
      <c r="AW4" s="23"/>
    </row>
    <row r="5" spans="1:49" s="210" customFormat="1" ht="34.5" customHeight="1">
      <c r="A5" s="210">
        <v>835</v>
      </c>
      <c r="B5" s="458" t="inlineStr">
        <is>
          <t>返済中</t>
        </is>
      </c>
      <c r="C5" s="210">
        <v>517</v>
      </c>
      <c r="D5" s="459">
        <f>VLOOKUP(C5,id_settings,2,FALSE)</f>
      </c>
      <c r="E5" s="216" t="inlineStr">
        <is>
          <t>-</t>
        </is>
      </c>
      <c r="F5" s="210">
        <v>305</v>
      </c>
      <c r="G5" s="459">
        <f>VLOOKUP(F5,id_settings,2,FALSE)</f>
      </c>
      <c r="H5" s="210">
        <v>605</v>
      </c>
      <c r="I5" s="459">
        <f>VLOOKUP(H5,id_settings,2,FALSE)</f>
      </c>
      <c r="J5" s="210">
        <v>126</v>
      </c>
      <c r="K5" s="459">
        <f>VLOOKUP(J5,id_settings,2,FALSE)</f>
      </c>
      <c r="L5" s="210">
        <v>126</v>
      </c>
      <c r="M5" s="459">
        <f>VLOOKUP(L5,id_settings,2,FALSE)</f>
      </c>
      <c r="N5" s="212">
        <v>43000000</v>
      </c>
      <c r="O5" s="211">
        <v>45862</v>
      </c>
      <c r="P5" s="328">
        <v>2.02</v>
      </c>
      <c r="Q5" s="216" t="inlineStr">
        <is>
          <t>変動(基準0.920%)・5年/1.25倍ルール</t>
        </is>
      </c>
      <c r="R5" s="217">
        <v>40</v>
      </c>
      <c r="S5" s="217" t="inlineStr">
        <is>
          <t>毎月</t>
        </is>
      </c>
      <c r="T5" s="210" t="inlineStr">
        <is>
          <t>元利均等</t>
        </is>
      </c>
      <c r="U5" s="225">
        <v>46223</v>
      </c>
      <c r="V5" s="213">
        <v>59374</v>
      </c>
      <c r="W5" s="213">
        <v>71294</v>
      </c>
      <c r="X5" s="213">
        <v>130668</v>
      </c>
      <c r="Y5" s="213">
        <v>42294066</v>
      </c>
      <c r="Z5" s="460">
        <f>IFERROR(Y5/N5,0)</f>
      </c>
      <c r="AA5" s="461"/>
      <c r="AB5" t="inlineStr">
        <is>
          <t>なし</t>
        </is>
      </c>
      <c r="AC5" t="inlineStr">
        <is>
          <t>MCJ変動ローン(日本住宅ローン)。479回払い・2065/7完済予定。残債は2026/7/20時点</t>
        </is>
      </c>
      <c r="AF5" s="210">
        <f>IFERROR(VLOOKUP(AE5,id_settings,2,FALSE),"なし")</f>
      </c>
      <c r="AH5" s="210">
        <f>IFERROR(VLOOKUP(AG5,id_settings,2,FALSE),"なし")</f>
      </c>
      <c r="AJ5" s="210">
        <f>IFERROR(VLOOKUP(AI5,id_settings,2,FALSE),"なし")</f>
      </c>
      <c r="AL5" s="210">
        <f>IFERROR(VLOOKUP(AK5,id_settings,2,FALSE),"なし")</f>
      </c>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c r="B33" s="210"/>
      <c r="C33" s="210"/>
      <c r="D33" s="216"/>
      <c r="E33" s="216"/>
      <c r="F33" s="210"/>
      <c r="G33" s="216"/>
      <c r="H33" s="210"/>
      <c r="I33" s="216"/>
      <c r="J33" s="210"/>
      <c r="K33" s="216"/>
      <c r="L33" s="210"/>
      <c r="M33" s="216"/>
      <c r="N33" s="212"/>
      <c r="O33" s="211"/>
      <c r="P33" s="215"/>
      <c r="Q33" s="216"/>
      <c r="R33" s="217"/>
      <c r="S33" s="210"/>
      <c r="T33" s="210"/>
      <c r="U33" s="225"/>
      <c r="V33" s="213"/>
      <c r="W33" s="213"/>
      <c r="X33" s="213"/>
      <c r="Y33" s="213"/>
      <c r="Z33" s="447"/>
      <c r="AA33" s="217"/>
      <c r="AB33" s="210"/>
      <c r="AC33" s="210"/>
      <c r="AD33" s="210"/>
      <c r="AE33" s="210"/>
      <c r="AF33" s="210"/>
      <c r="AG33" s="210"/>
      <c r="AH33" s="210"/>
      <c r="AI33" s="210"/>
      <c r="AJ33" s="210"/>
      <c r="AK33" s="210"/>
      <c r="AL33" s="210"/>
      <c r="AM33" s="210"/>
      <c r="AN33" s="210"/>
      <c r="AO33" s="448"/>
      <c r="AP33" s="448"/>
      <c r="AQ33" s="210"/>
      <c r="AR33" s="210"/>
      <c r="AS33" s="211"/>
      <c r="AT33" s="212"/>
      <c r="AU33" s="212"/>
      <c r="AV33" s="212"/>
      <c r="AW33" s="212"/>
    </row>
    <row r="34" spans="1:49" ht="14.25">
      <c r="A34" s="210"/>
      <c r="B34" s="210"/>
      <c r="C34" s="210"/>
      <c r="D34" s="216"/>
      <c r="E34" s="216"/>
      <c r="F34" s="210"/>
      <c r="G34" s="216"/>
      <c r="H34" s="210"/>
      <c r="I34" s="216"/>
      <c r="J34" s="210"/>
      <c r="K34" s="216"/>
      <c r="L34" s="210"/>
      <c r="M34" s="216"/>
      <c r="N34" s="212"/>
      <c r="O34" s="211"/>
      <c r="P34" s="215"/>
      <c r="Q34" s="216"/>
      <c r="R34" s="217"/>
      <c r="S34" s="210"/>
      <c r="T34" s="210"/>
      <c r="U34" s="225"/>
      <c r="V34" s="213"/>
      <c r="W34" s="213"/>
      <c r="X34" s="213"/>
      <c r="Y34" s="213"/>
      <c r="Z34" s="447"/>
      <c r="AA34" s="217"/>
      <c r="AB34" s="210"/>
      <c r="AC34" s="210"/>
      <c r="AD34" s="210"/>
      <c r="AE34" s="210"/>
      <c r="AF34" s="210"/>
      <c r="AG34" s="210"/>
      <c r="AH34" s="210"/>
      <c r="AI34" s="210"/>
      <c r="AJ34" s="210"/>
      <c r="AK34" s="210"/>
      <c r="AL34" s="210"/>
      <c r="AM34" s="210"/>
      <c r="AN34" s="210"/>
      <c r="AO34" s="448"/>
      <c r="AP34" s="448"/>
      <c r="AQ34" s="210"/>
      <c r="AR34" s="210"/>
      <c r="AS34" s="211"/>
      <c r="AT34" s="212"/>
      <c r="AU34" s="212"/>
      <c r="AV34" s="212"/>
      <c r="AW34" s="212"/>
    </row>
    <row r="35" spans="1:49" ht="14.25">
      <c r="A35" s="210"/>
      <c r="B35" s="210"/>
      <c r="C35" s="210"/>
      <c r="D35" s="216"/>
      <c r="E35" s="216"/>
      <c r="F35" s="210"/>
      <c r="G35" s="216"/>
      <c r="H35" s="210"/>
      <c r="I35" s="216"/>
      <c r="J35" s="210"/>
      <c r="K35" s="216"/>
      <c r="L35" s="210"/>
      <c r="M35" s="216"/>
      <c r="N35" s="212"/>
      <c r="O35" s="211"/>
      <c r="P35" s="215"/>
      <c r="Q35" s="216"/>
      <c r="R35" s="217"/>
      <c r="S35" s="210"/>
      <c r="T35" s="210"/>
      <c r="U35" s="225"/>
      <c r="V35" s="213"/>
      <c r="W35" s="213"/>
      <c r="X35" s="213"/>
      <c r="Y35" s="213"/>
      <c r="Z35" s="447"/>
      <c r="AA35" s="217"/>
      <c r="AB35" s="210"/>
      <c r="AC35" s="210"/>
      <c r="AD35" s="210"/>
      <c r="AE35" s="210"/>
      <c r="AF35" s="210"/>
      <c r="AG35" s="210"/>
      <c r="AH35" s="210"/>
      <c r="AI35" s="210"/>
      <c r="AJ35" s="210"/>
      <c r="AK35" s="210"/>
      <c r="AL35" s="210"/>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v>123</v>
      </c>
      <c r="B5" s="23">
        <f>VLOOKUP(A5,id_settings,2,FALSE)</f>
      </c>
      <c r="C5" s="23">
        <v>412</v>
      </c>
      <c r="D5" s="23">
        <f>VLOOKUP(C5,id_settings,2,FALSE)</f>
      </c>
      <c r="E5" s="23" t="inlineStr">
        <is>
          <t>建物</t>
        </is>
      </c>
      <c r="F5" s="23" t="inlineStr">
        <is>
          <t>定額法</t>
        </is>
      </c>
      <c r="G5" s="23" t="inlineStr">
        <is>
          <t>アーバンキューブ</t>
        </is>
      </c>
      <c r="H5" s="23">
        <v>46248</v>
      </c>
      <c r="I5" s="23">
        <v>27</v>
      </c>
      <c r="J5" s="23"/>
      <c r="K5" s="23"/>
      <c r="L5" s="222">
        <v>0</v>
      </c>
      <c r="M5" s="222">
        <v>0</v>
      </c>
      <c r="N5" s="222">
        <v>0</v>
      </c>
      <c r="O5" s="222">
        <v>0</v>
      </c>
      <c r="P5" s="61"/>
      <c r="Q5" s="23" t="inlineStr">
        <is>
          <t>取得価額(建物/土地内訳)は契約書の建物価格確定後に入力。総額2,500万</t>
        </is>
      </c>
    </row>
    <row r="6" spans="1:17">
      <c r="A6" s="23">
        <v>123</v>
      </c>
      <c r="B6" s="23">
        <f>VLOOKUP(A6,id_settings,2,FALSE)</f>
      </c>
      <c r="C6" s="23">
        <v>412</v>
      </c>
      <c r="D6" s="23">
        <f>VLOOKUP(C6,id_settings,2,FALSE)</f>
      </c>
      <c r="E6" s="23" t="inlineStr">
        <is>
          <t>土地</t>
        </is>
      </c>
      <c r="F6" s="23" t="inlineStr">
        <is>
          <t>非償却</t>
        </is>
      </c>
      <c r="G6" s="23" t="inlineStr">
        <is>
          <t>アーバンキューブ</t>
        </is>
      </c>
      <c r="H6" s="23">
        <v>46248</v>
      </c>
      <c r="I6" s="23" t="inlineStr">
        <is>
          <t/>
        </is>
      </c>
      <c r="J6" s="23"/>
      <c r="K6" s="23"/>
      <c r="L6" s="222">
        <v>0</v>
      </c>
      <c r="M6" s="222">
        <v>0</v>
      </c>
      <c r="N6" s="222" t="inlineStr">
        <is>
          <t>None</t>
        </is>
      </c>
      <c r="O6" s="222">
        <v>0</v>
      </c>
      <c r="P6" s="61"/>
      <c r="Q6" t="inlineStr">
        <is>
          <t>同上</t>
        </is>
      </c>
    </row>
    <row r="7" spans="1:17">
      <c r="A7" s="23">
        <v>124</v>
      </c>
      <c r="B7" s="23">
        <f>VLOOKUP(A7,id_settings,2,FALSE)</f>
      </c>
      <c r="C7" s="23">
        <v>412</v>
      </c>
      <c r="D7" s="23">
        <f>VLOOKUP(C7,id_settings,2,FALSE)</f>
      </c>
      <c r="E7" s="23" t="inlineStr">
        <is>
          <t>建物</t>
        </is>
      </c>
      <c r="F7" s="23" t="inlineStr">
        <is>
          <t>定額法</t>
        </is>
      </c>
      <c r="G7" s="23" t="inlineStr">
        <is>
          <t>花みずき貸家3棟</t>
        </is>
      </c>
      <c r="H7" s="23">
        <v>46248</v>
      </c>
      <c r="I7" s="23">
        <v>27</v>
      </c>
      <c r="J7" s="23"/>
      <c r="K7" s="23"/>
      <c r="L7" s="222">
        <v>0</v>
      </c>
      <c r="M7" s="222">
        <v>0</v>
      </c>
      <c r="N7" s="222">
        <v>0</v>
      </c>
      <c r="O7" s="222">
        <v>0</v>
      </c>
      <c r="P7" s="61"/>
      <c r="Q7" s="23" t="inlineStr">
        <is>
          <t>取得価額(建物/土地内訳)は契約書の建物価格確定後に入力。総額1,200万</t>
        </is>
      </c>
    </row>
    <row r="8" spans="1:17">
      <c r="A8" s="23">
        <v>124</v>
      </c>
      <c r="B8" s="23">
        <f>VLOOKUP(A8,id_settings,2,FALSE)</f>
      </c>
      <c r="C8" s="23">
        <v>412</v>
      </c>
      <c r="D8" s="23">
        <f>VLOOKUP(C8,id_settings,2,FALSE)</f>
      </c>
      <c r="E8" s="23" t="inlineStr">
        <is>
          <t>土地</t>
        </is>
      </c>
      <c r="F8" s="23" t="inlineStr">
        <is>
          <t>非償却</t>
        </is>
      </c>
      <c r="G8" s="23" t="inlineStr">
        <is>
          <t>花みずき貸家3棟</t>
        </is>
      </c>
      <c r="H8" s="23">
        <v>46248</v>
      </c>
      <c r="I8" s="23" t="inlineStr">
        <is>
          <t/>
        </is>
      </c>
      <c r="J8" s="23"/>
      <c r="K8" s="23"/>
      <c r="L8" s="222">
        <v>0</v>
      </c>
      <c r="M8" s="222">
        <v>0</v>
      </c>
      <c r="N8" s="222" t="inlineStr">
        <is>
          <t>None</t>
        </is>
      </c>
      <c r="O8" s="222">
        <v>0</v>
      </c>
      <c r="P8" s="61"/>
      <c r="Q8" s="23" t="inlineStr">
        <is>
          <t>同上</t>
        </is>
      </c>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123</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124</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125</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123</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124</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125</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123</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124</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125</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123</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124</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125</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inlineStr">
        <is>
          <t>過去スナップショット欄（任意・年1回残す場合に使用）</t>
        </is>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v>123</v>
      </c>
      <c r="B35" s="5">
        <f>VLOOKUP(A35,id_settings,2,FALSE)</f>
      </c>
      <c r="C35" s="61">
        <v>651</v>
      </c>
      <c r="D35" s="5">
        <f>VLOOKUP(C35,id_settings,2,FALSE)</f>
      </c>
      <c r="E35" s="577" t="inlineStr">
        <is>
          <t>n/a</t>
        </is>
      </c>
      <c r="F35" s="577">
        <v>71230</v>
      </c>
      <c r="G35" s="61" t="inlineStr">
        <is>
          <t>大森さん確定見積(2026年内契約予定)</t>
        </is>
      </c>
      <c r="H35" s="61"/>
      <c r="I35" s="61"/>
    </row>
    <row r="36" spans="1:12">
      <c r="A36" s="61">
        <v>123</v>
      </c>
      <c r="B36" s="5">
        <f>VLOOKUP(A36,id_settings,2,FALSE)</f>
      </c>
      <c r="C36" s="61">
        <v>655</v>
      </c>
      <c r="D36" s="5">
        <f>VLOOKUP(C36,id_settings,2,FALSE)</f>
      </c>
      <c r="E36" s="577">
        <v>16800</v>
      </c>
      <c r="F36" s="577">
        <v>201600</v>
      </c>
      <c r="G36" s="61" t="inlineStr">
        <is>
          <t>5%管理料概算(レントロール年403.2万×5%)。大学生協の実額請求と要突合</t>
        </is>
      </c>
      <c r="H36" s="61"/>
      <c r="I36" s="61"/>
    </row>
    <row r="37" spans="1:12">
      <c r="A37" s="61">
        <v>124</v>
      </c>
      <c r="B37" s="5">
        <f>VLOOKUP(A37,id_settings,2,FALSE)</f>
      </c>
      <c r="C37" s="61">
        <v>651</v>
      </c>
      <c r="D37" s="5">
        <f>VLOOKUP(C37,id_settings,2,FALSE)</f>
      </c>
      <c r="E37" s="577" t="inlineStr">
        <is>
          <t>n/a</t>
        </is>
      </c>
      <c r="F37" s="577">
        <v>28670</v>
      </c>
      <c r="G37" s="61" t="inlineStr">
        <is>
          <t>大森さん確定見積(2026年内契約予定)</t>
        </is>
      </c>
      <c r="H37" s="61"/>
      <c r="I37" s="61"/>
    </row>
    <row r="38" spans="1:12">
      <c r="A38" s="61">
        <v>124</v>
      </c>
      <c r="B38" s="5">
        <f>VLOOKUP(A38,id_settings,2,FALSE)</f>
      </c>
      <c r="C38" s="61">
        <v>655</v>
      </c>
      <c r="D38" s="5">
        <f>VLOOKUP(C38,id_settings,2,FALSE)</f>
      </c>
      <c r="E38" s="577">
        <v>5415</v>
      </c>
      <c r="F38" s="577">
        <v>64980</v>
      </c>
      <c r="G38" s="61" t="inlineStr">
        <is>
          <t>5%管理料概算(現況年129.96万×5%)。トラステンの実額請求と要突合</t>
        </is>
      </c>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v>1</v>
      </c>
      <c r="B3" s="23">
        <v>123</v>
      </c>
      <c r="C3">
        <f>VLOOKUP(B3,id_settings,2,FALSE)</f>
      </c>
      <c r="D3" s="23">
        <v>661</v>
      </c>
      <c r="E3" s="23">
        <f>VLOOKUP(D3,id_settings,2,FALSE)</f>
      </c>
      <c r="F3" s="23" t="inlineStr">
        <is>
          <t>岩手県盛岡市高松二丁目10番2</t>
        </is>
      </c>
      <c r="H3" s="23" t="inlineStr">
        <is>
          <t>所有権</t>
        </is>
      </c>
      <c r="I3" s="77">
        <v>12.42</v>
      </c>
      <c r="J3" s="77">
        <v>12.42</v>
      </c>
      <c r="K3" s="23">
        <v>1</v>
      </c>
      <c r="L3" s="23">
        <v>1</v>
      </c>
      <c r="M3" s="23" t="inlineStr">
        <is>
          <t>-</t>
        </is>
      </c>
      <c r="N3" s="23" t="inlineStr">
        <is>
          <t>-</t>
        </is>
      </c>
      <c r="O3" s="64"/>
      <c r="P3" s="64"/>
      <c r="Q3" s="64"/>
      <c r="R3" s="64"/>
      <c r="S3" s="64"/>
      <c r="T3" s="64"/>
      <c r="U3" s="64"/>
      <c r="V3" s="64"/>
      <c r="W3" s="64"/>
      <c r="X3" s="64"/>
      <c r="Y3" s="64"/>
      <c r="Z3" s="64"/>
    </row>
    <row r="4" spans="1:26" ht="15" customHeight="1">
      <c r="A4" s="23">
        <v>2</v>
      </c>
      <c r="B4" s="23">
        <v>123</v>
      </c>
      <c r="C4">
        <f>VLOOKUP(B4,id_settings,2,FALSE)</f>
      </c>
      <c r="D4" s="23">
        <v>661</v>
      </c>
      <c r="E4" s="23">
        <f>VLOOKUP(D4,id_settings,2,FALSE)</f>
      </c>
      <c r="F4" s="23" t="inlineStr">
        <is>
          <t>岩手県盛岡市高松二丁目10番4</t>
        </is>
      </c>
      <c r="H4" s="23" t="inlineStr">
        <is>
          <t>所有権</t>
        </is>
      </c>
      <c r="I4" s="77">
        <v>181.18</v>
      </c>
      <c r="J4" s="77">
        <v>181.18</v>
      </c>
      <c r="K4" s="23">
        <v>1</v>
      </c>
      <c r="L4" s="23">
        <v>1</v>
      </c>
      <c r="M4" s="23" t="inlineStr">
        <is>
          <t>-</t>
        </is>
      </c>
      <c r="N4" s="23" t="inlineStr">
        <is>
          <t>-</t>
        </is>
      </c>
      <c r="O4" s="64"/>
      <c r="P4" s="64"/>
      <c r="Q4" s="64"/>
      <c r="R4" s="64"/>
      <c r="S4" s="64"/>
      <c r="T4" s="64"/>
      <c r="U4" s="64"/>
      <c r="V4" s="64"/>
      <c r="W4" s="64"/>
      <c r="X4" s="64"/>
      <c r="Y4" s="64"/>
      <c r="Z4" s="64"/>
    </row>
    <row r="5" spans="1:26" ht="15" customHeight="1">
      <c r="A5" s="23">
        <v>3</v>
      </c>
      <c r="B5" s="23">
        <v>123</v>
      </c>
      <c r="C5">
        <f>VLOOKUP(B5,id_settings,2,FALSE)</f>
      </c>
      <c r="D5" s="23">
        <v>661</v>
      </c>
      <c r="E5" s="23">
        <f>VLOOKUP(D5,id_settings,2,FALSE)</f>
      </c>
      <c r="F5" s="23" t="inlineStr">
        <is>
          <t>岩手県盛岡市高松二丁目10番5</t>
        </is>
      </c>
      <c r="H5" s="23" t="inlineStr">
        <is>
          <t>所有権</t>
        </is>
      </c>
      <c r="I5" s="77">
        <v>94.39</v>
      </c>
      <c r="J5" s="77">
        <v>94.39</v>
      </c>
      <c r="K5" s="23">
        <v>1</v>
      </c>
      <c r="L5" s="23">
        <v>1</v>
      </c>
      <c r="M5" s="23" t="inlineStr">
        <is>
          <t>-</t>
        </is>
      </c>
      <c r="N5" s="23" t="inlineStr">
        <is>
          <t>-</t>
        </is>
      </c>
      <c r="O5" s="64"/>
      <c r="P5" s="64"/>
      <c r="Q5" s="64"/>
      <c r="R5" s="64"/>
      <c r="S5" s="64"/>
      <c r="T5" s="64"/>
      <c r="U5" s="64"/>
      <c r="V5" s="64"/>
      <c r="W5" s="64"/>
      <c r="X5" s="64"/>
      <c r="Y5" s="64"/>
      <c r="Z5" s="64"/>
    </row>
    <row r="6" spans="1:26" ht="15" customHeight="1">
      <c r="A6" s="23">
        <v>4</v>
      </c>
      <c r="B6" s="23">
        <v>123</v>
      </c>
      <c r="C6">
        <f>VLOOKUP(B6,id_settings,2,FALSE)</f>
      </c>
      <c r="D6" s="23">
        <v>661</v>
      </c>
      <c r="E6" s="23">
        <f>VLOOKUP(D6,id_settings,2,FALSE)</f>
      </c>
      <c r="F6" s="23" t="inlineStr">
        <is>
          <t>岩手県盛岡市高松二丁目10番10</t>
        </is>
      </c>
      <c r="H6" s="23" t="inlineStr">
        <is>
          <t>所有権</t>
        </is>
      </c>
      <c r="I6" s="77">
        <v>0.57</v>
      </c>
      <c r="J6" s="77">
        <v>0.57</v>
      </c>
      <c r="K6" s="23">
        <v>1</v>
      </c>
      <c r="L6" s="23">
        <v>1</v>
      </c>
      <c r="M6" s="23" t="inlineStr">
        <is>
          <t>-</t>
        </is>
      </c>
      <c r="N6" s="23" t="inlineStr">
        <is>
          <t>-</t>
        </is>
      </c>
      <c r="O6" s="64"/>
      <c r="P6" s="64"/>
      <c r="Q6" s="64"/>
      <c r="R6" s="64"/>
      <c r="S6" s="64"/>
      <c r="T6" s="64"/>
      <c r="U6" s="64"/>
      <c r="V6" s="64"/>
      <c r="W6" s="64"/>
      <c r="X6" s="64"/>
      <c r="Y6" s="64"/>
      <c r="Z6" s="64"/>
    </row>
    <row r="7" spans="1:26" ht="15" customHeight="1">
      <c r="A7" s="23">
        <v>5</v>
      </c>
      <c r="B7" s="23">
        <v>123</v>
      </c>
      <c r="C7">
        <f>VLOOKUP(B7,id_settings,2,FALSE)</f>
      </c>
      <c r="D7" s="23">
        <v>662</v>
      </c>
      <c r="E7" s="23">
        <f>VLOOKUP(D7,id_settings,2,FALSE)</f>
      </c>
      <c r="F7" s="23" t="inlineStr">
        <is>
          <t>岩手県盛岡市高松二丁目10番1</t>
        </is>
      </c>
      <c r="H7" s="23" t="inlineStr">
        <is>
          <t>所有権</t>
        </is>
      </c>
      <c r="I7" s="77">
        <v>7.54</v>
      </c>
      <c r="J7" s="77">
        <v>7.54</v>
      </c>
      <c r="K7" s="23">
        <v>1</v>
      </c>
      <c r="L7" s="23">
        <v>1</v>
      </c>
      <c r="M7" s="23" t="inlineStr">
        <is>
          <t>-</t>
        </is>
      </c>
      <c r="N7" s="23" t="inlineStr">
        <is>
          <t>-</t>
        </is>
      </c>
      <c r="O7" s="64"/>
      <c r="P7" s="64"/>
      <c r="Q7" s="64"/>
      <c r="R7" s="64"/>
      <c r="S7" s="64"/>
      <c r="T7" s="64"/>
      <c r="U7" s="64"/>
      <c r="V7" s="64"/>
      <c r="W7" s="64"/>
      <c r="X7" s="64"/>
      <c r="Y7" s="64"/>
      <c r="Z7" s="64"/>
    </row>
    <row r="8" spans="1:26" ht="15" customHeight="1">
      <c r="A8" s="23">
        <v>6</v>
      </c>
      <c r="B8" s="23">
        <v>123</v>
      </c>
      <c r="C8">
        <f>VLOOKUP(B8,id_settings,2,FALSE)</f>
      </c>
      <c r="D8" s="23">
        <v>662</v>
      </c>
      <c r="E8" s="23">
        <f>VLOOKUP(D8,id_settings,2,FALSE)</f>
      </c>
      <c r="F8" s="23" t="inlineStr">
        <is>
          <t>岩手県盛岡市高松二丁目10番11</t>
        </is>
      </c>
      <c r="H8" s="23" t="inlineStr">
        <is>
          <t>所有権</t>
        </is>
      </c>
      <c r="I8" s="77">
        <v>15.37</v>
      </c>
      <c r="J8" s="77">
        <v>15.37</v>
      </c>
      <c r="K8" s="23">
        <v>1</v>
      </c>
      <c r="L8" s="23">
        <v>1</v>
      </c>
      <c r="M8" s="23" t="inlineStr">
        <is>
          <t>-</t>
        </is>
      </c>
      <c r="N8" s="23" t="inlineStr">
        <is>
          <t>-</t>
        </is>
      </c>
      <c r="O8" s="64"/>
      <c r="P8" s="64"/>
      <c r="Q8" s="64"/>
      <c r="R8" s="64"/>
      <c r="S8" s="64"/>
      <c r="T8" s="64"/>
      <c r="U8" s="64"/>
      <c r="V8" s="64"/>
      <c r="W8" s="64"/>
      <c r="X8" s="64"/>
      <c r="Y8" s="64"/>
      <c r="Z8" s="64"/>
    </row>
    <row r="9" spans="1:26" ht="15" customHeight="1">
      <c r="A9" s="23">
        <v>7</v>
      </c>
      <c r="B9" s="23">
        <v>123</v>
      </c>
      <c r="C9">
        <f>VLOOKUP(B9,id_settings,2,FALSE)</f>
      </c>
      <c r="D9" s="23">
        <v>662</v>
      </c>
      <c r="E9" s="23">
        <f>VLOOKUP(D9,id_settings,2,FALSE)</f>
      </c>
      <c r="F9" s="23" t="inlineStr">
        <is>
          <t>岩手県盛岡市高松二丁目10番12</t>
        </is>
      </c>
      <c r="H9" s="23" t="inlineStr">
        <is>
          <t>所有権</t>
        </is>
      </c>
      <c r="I9" s="77">
        <v>22.16</v>
      </c>
      <c r="J9" s="77">
        <v>22.16</v>
      </c>
      <c r="K9" s="23">
        <v>1</v>
      </c>
      <c r="L9" s="23">
        <v>1</v>
      </c>
      <c r="M9" s="23" t="inlineStr">
        <is>
          <t>-</t>
        </is>
      </c>
      <c r="N9" s="23" t="inlineStr">
        <is>
          <t>-</t>
        </is>
      </c>
      <c r="O9" s="64"/>
      <c r="P9" s="64"/>
      <c r="Q9" s="64"/>
      <c r="R9" s="64"/>
      <c r="S9" s="64"/>
      <c r="T9" s="64"/>
      <c r="U9" s="64"/>
      <c r="V9" s="64"/>
      <c r="W9" s="64"/>
      <c r="X9" s="64"/>
      <c r="Y9" s="64"/>
      <c r="Z9" s="64"/>
    </row>
    <row r="10" spans="1:26" ht="15" customHeight="1">
      <c r="A10" s="23">
        <v>8</v>
      </c>
      <c r="B10" s="23">
        <v>123</v>
      </c>
      <c r="C10">
        <f>VLOOKUP(B10,id_settings,2,FALSE)</f>
      </c>
      <c r="D10" s="23">
        <v>662</v>
      </c>
      <c r="E10" s="23">
        <f>VLOOKUP(D10,id_settings,2,FALSE)</f>
      </c>
      <c r="F10" s="23" t="inlineStr">
        <is>
          <t>岩手県盛岡市高松二丁目11番8</t>
        </is>
      </c>
      <c r="H10" s="23" t="inlineStr">
        <is>
          <t>所有権</t>
        </is>
      </c>
      <c r="I10" s="77">
        <v>2.03</v>
      </c>
      <c r="J10" s="77">
        <v>2.03</v>
      </c>
      <c r="K10" s="23">
        <v>1</v>
      </c>
      <c r="L10" s="23">
        <v>1</v>
      </c>
      <c r="M10" s="23" t="inlineStr">
        <is>
          <t>-</t>
        </is>
      </c>
      <c r="N10" s="23" t="inlineStr">
        <is>
          <t>-</t>
        </is>
      </c>
      <c r="O10" s="64"/>
      <c r="P10" s="64"/>
      <c r="Q10" s="64"/>
      <c r="R10" s="64"/>
      <c r="S10" s="64"/>
      <c r="T10" s="64"/>
      <c r="U10" s="64"/>
      <c r="V10" s="64"/>
      <c r="W10" s="64"/>
      <c r="X10" s="64"/>
      <c r="Y10" s="64"/>
      <c r="Z10" s="64"/>
    </row>
    <row r="11" spans="1:26" ht="15" customHeight="1">
      <c r="A11" s="23">
        <v>9</v>
      </c>
      <c r="B11" s="23">
        <v>123</v>
      </c>
      <c r="C11">
        <f>VLOOKUP(B11,id_settings,2,FALSE)</f>
      </c>
      <c r="D11" s="23">
        <v>664</v>
      </c>
      <c r="E11" s="23">
        <f>VLOOKUP(D11,id_settings,2,FALSE)</f>
      </c>
      <c r="F11" s="23" t="inlineStr">
        <is>
          <t>岩手県盛岡市高松二丁目34-5</t>
        </is>
      </c>
      <c r="G11" t="inlineStr">
        <is>
          <t>(家屋番号 要確認)</t>
        </is>
      </c>
      <c r="H11" s="23" t="inlineStr">
        <is>
          <t>所有権</t>
        </is>
      </c>
      <c r="I11" s="77">
        <v>238.48</v>
      </c>
      <c r="J11" s="77">
        <v>238.48</v>
      </c>
      <c r="K11" s="23">
        <v>1</v>
      </c>
      <c r="L11" s="23">
        <v>1</v>
      </c>
      <c r="M11" s="23" t="inlineStr">
        <is>
          <t>-</t>
        </is>
      </c>
      <c r="N11" s="23" t="inlineStr">
        <is>
          <t>-</t>
        </is>
      </c>
      <c r="O11" s="64"/>
      <c r="P11" s="64"/>
      <c r="Q11" s="64"/>
      <c r="R11" s="64"/>
      <c r="S11" s="64"/>
      <c r="T11" s="64"/>
      <c r="U11" s="64"/>
      <c r="V11" s="64"/>
      <c r="W11" s="64"/>
      <c r="X11" s="64"/>
      <c r="Y11" s="64"/>
      <c r="Z11" s="64"/>
    </row>
    <row r="12" spans="1:26" ht="15" customHeight="1">
      <c r="A12" s="23">
        <v>10</v>
      </c>
      <c r="B12" s="23">
        <v>124</v>
      </c>
      <c r="C12">
        <f>VLOOKUP(B12,id_settings,2,FALSE)</f>
      </c>
      <c r="D12" s="23">
        <v>661</v>
      </c>
      <c r="E12" s="23">
        <f>VLOOKUP(D12,id_settings,2,FALSE)</f>
      </c>
      <c r="F12" s="23" t="inlineStr">
        <is>
          <t>岩手県盛岡市高松二丁目10番6</t>
        </is>
      </c>
      <c r="H12" s="23" t="inlineStr">
        <is>
          <t>所有権</t>
        </is>
      </c>
      <c r="I12" s="77">
        <v>312.59</v>
      </c>
      <c r="J12" s="77">
        <v>312.59</v>
      </c>
      <c r="K12" s="23">
        <v>1</v>
      </c>
      <c r="L12" s="23">
        <v>1</v>
      </c>
      <c r="M12" s="23" t="inlineStr">
        <is>
          <t>-</t>
        </is>
      </c>
      <c r="N12" s="23" t="inlineStr">
        <is>
          <t>-</t>
        </is>
      </c>
      <c r="O12" s="64"/>
      <c r="P12" s="64"/>
      <c r="Q12" s="64"/>
      <c r="R12" s="64"/>
      <c r="S12" s="64"/>
      <c r="T12" s="64"/>
      <c r="U12" s="64"/>
      <c r="V12" s="64"/>
      <c r="W12" s="64"/>
      <c r="X12" s="64"/>
      <c r="Y12" s="64"/>
      <c r="Z12" s="64"/>
    </row>
    <row r="13" spans="1:26" ht="15" customHeight="1">
      <c r="A13" s="23">
        <v>11</v>
      </c>
      <c r="B13" s="23">
        <v>124</v>
      </c>
      <c r="C13">
        <f>VLOOKUP(B13,id_settings,2,FALSE)</f>
      </c>
      <c r="D13" s="23">
        <v>661</v>
      </c>
      <c r="E13" s="23">
        <f>VLOOKUP(D13,id_settings,2,FALSE)</f>
      </c>
      <c r="F13" s="23" t="inlineStr">
        <is>
          <t>岩手県盛岡市高松二丁目11番4</t>
        </is>
      </c>
      <c r="H13" s="23" t="inlineStr">
        <is>
          <t>所有権</t>
        </is>
      </c>
      <c r="I13" s="77">
        <v>45.57</v>
      </c>
      <c r="J13" s="77">
        <v>45.57</v>
      </c>
      <c r="K13" s="23">
        <v>1</v>
      </c>
      <c r="L13" s="23">
        <v>1</v>
      </c>
      <c r="M13" s="23" t="inlineStr">
        <is>
          <t>-</t>
        </is>
      </c>
      <c r="N13" s="23" t="inlineStr">
        <is>
          <t>-</t>
        </is>
      </c>
      <c r="O13" s="64"/>
      <c r="P13" s="64"/>
      <c r="Q13" s="64"/>
      <c r="R13" s="64"/>
      <c r="S13" s="64"/>
      <c r="T13" s="64"/>
      <c r="U13" s="64"/>
      <c r="V13" s="64"/>
      <c r="W13" s="64"/>
      <c r="X13" s="64"/>
      <c r="Y13" s="64"/>
      <c r="Z13" s="64"/>
    </row>
    <row r="14" spans="1:26" ht="15" customHeight="1">
      <c r="A14" s="23">
        <v>12</v>
      </c>
      <c r="B14" s="23">
        <v>124</v>
      </c>
      <c r="C14">
        <f>VLOOKUP(B14,id_settings,2,FALSE)</f>
      </c>
      <c r="D14" s="23">
        <v>664</v>
      </c>
      <c r="E14" s="23">
        <f>VLOOKUP(D14,id_settings,2,FALSE)</f>
      </c>
      <c r="F14" s="23" t="inlineStr">
        <is>
          <t>岩手県盛岡市高松二丁目34番30号(3棟)</t>
        </is>
      </c>
      <c r="G14" t="inlineStr">
        <is>
          <t>(家屋番号 要確認)</t>
        </is>
      </c>
      <c r="H14" s="23" t="inlineStr">
        <is>
          <t>所有権</t>
        </is>
      </c>
      <c r="I14" s="77">
        <v>163.92</v>
      </c>
      <c r="J14" s="77">
        <v>163.92</v>
      </c>
      <c r="K14" s="23">
        <v>1</v>
      </c>
      <c r="L14" s="23">
        <v>1</v>
      </c>
      <c r="M14" s="23" t="inlineStr">
        <is>
          <t>-</t>
        </is>
      </c>
      <c r="N14" s="23" t="inlineStr">
        <is>
          <t>-</t>
        </is>
      </c>
      <c r="O14" s="64"/>
      <c r="P14" s="64"/>
      <c r="Q14" s="64"/>
      <c r="R14" s="64"/>
      <c r="S14" s="64"/>
      <c r="T14" s="64"/>
      <c r="U14" s="64"/>
      <c r="V14" s="64"/>
      <c r="W14" s="64"/>
      <c r="X14" s="64"/>
      <c r="Y14" s="64"/>
      <c r="Z14" s="64"/>
    </row>
    <row r="15" spans="1:26" ht="15" customHeight="1">
      <c r="A15" s="23">
        <v>13</v>
      </c>
      <c r="B15" s="23">
        <v>125</v>
      </c>
      <c r="C15">
        <f>VLOOKUP(B15,id_settings,2,FALSE)</f>
      </c>
      <c r="D15" s="23">
        <v>661</v>
      </c>
      <c r="E15" s="23">
        <f>VLOOKUP(D15,id_settings,2,FALSE)</f>
      </c>
      <c r="F15" s="23" t="inlineStr">
        <is>
          <t>東京都足立区千住元町23-70(地番)</t>
        </is>
      </c>
      <c r="H15" s="23" t="inlineStr">
        <is>
          <t>所有権</t>
        </is>
      </c>
      <c r="I15" s="77">
        <v>0</v>
      </c>
      <c r="J15" s="77">
        <v>0</v>
      </c>
      <c r="K15" s="23">
        <v>1</v>
      </c>
      <c r="L15" s="23">
        <v>1</v>
      </c>
      <c r="M15" s="23" t="inlineStr">
        <is>
          <t>-</t>
        </is>
      </c>
      <c r="N15" s="23" t="inlineStr">
        <is>
          <t>-</t>
        </is>
      </c>
      <c r="O15" s="64"/>
      <c r="P15" s="64"/>
      <c r="Q15" s="64"/>
      <c r="R15" s="64"/>
      <c r="S15" s="64"/>
      <c r="T15" s="64"/>
      <c r="U15" s="64"/>
      <c r="V15" s="64"/>
      <c r="W15" s="64"/>
      <c r="X15" s="64"/>
      <c r="Y15" s="64"/>
      <c r="Z15" s="64"/>
    </row>
    <row r="16" spans="1:26" ht="15" customHeight="1">
      <c r="A16" s="23">
        <v>14</v>
      </c>
      <c r="B16" s="23">
        <v>125</v>
      </c>
      <c r="C16">
        <f>VLOOKUP(B16,id_settings,2,FALSE)</f>
      </c>
      <c r="D16" s="23">
        <v>664</v>
      </c>
      <c r="E16" s="23">
        <f>VLOOKUP(D16,id_settings,2,FALSE)</f>
      </c>
      <c r="F16" s="23" t="inlineStr">
        <is>
          <t>同上</t>
        </is>
      </c>
      <c r="G16" t="inlineStr">
        <is>
          <t>要確認</t>
        </is>
      </c>
      <c r="H16" s="23" t="inlineStr">
        <is>
          <t>所有権</t>
        </is>
      </c>
      <c r="I16" s="77">
        <v>0</v>
      </c>
      <c r="J16" s="77">
        <v>0</v>
      </c>
      <c r="K16" s="23">
        <v>1</v>
      </c>
      <c r="L16" s="23">
        <v>1</v>
      </c>
      <c r="M16" s="23" t="inlineStr">
        <is>
          <t>-</t>
        </is>
      </c>
      <c r="N16" s="23" t="inlineStr">
        <is>
          <t>-</t>
        </is>
      </c>
      <c r="O16" s="64"/>
      <c r="P16" s="64"/>
      <c r="Q16" s="64"/>
      <c r="R16" s="64"/>
      <c r="S16" s="64"/>
      <c r="T16" s="64"/>
      <c r="U16" s="64"/>
      <c r="V16" s="64"/>
      <c r="W16" s="64"/>
      <c r="X16" s="64"/>
      <c r="Y16" s="64"/>
      <c r="Z16" s="64"/>
    </row>
    <row r="17" spans="1:26" ht="15" customHeight="1">
      <c r="A17" s="23">
        <v>15</v>
      </c>
      <c r="B17" s="23">
        <v>126</v>
      </c>
      <c r="C17">
        <f>VLOOKUP(B17,id_settings,2,FALSE)</f>
      </c>
      <c r="D17" s="23">
        <v>663</v>
      </c>
      <c r="E17" s="23">
        <f>VLOOKUP(D17,id_settings,2,FALSE)</f>
      </c>
      <c r="F17" s="23" t="inlineStr">
        <is>
          <t>東京都江東区東陽5-29-41(敷地権)</t>
        </is>
      </c>
      <c r="H17" s="23" t="inlineStr">
        <is>
          <t>所有権</t>
        </is>
      </c>
      <c r="I17" s="77">
        <v>0</v>
      </c>
      <c r="J17" s="77">
        <v>0</v>
      </c>
      <c r="K17" s="23">
        <v>1</v>
      </c>
      <c r="L17" s="23">
        <v>1</v>
      </c>
      <c r="M17" s="23" t="inlineStr">
        <is>
          <t>-</t>
        </is>
      </c>
      <c r="N17" s="23" t="inlineStr">
        <is>
          <t>-</t>
        </is>
      </c>
      <c r="O17" s="64"/>
      <c r="P17" s="64"/>
      <c r="Q17" s="64"/>
      <c r="R17" s="64"/>
      <c r="S17" s="64"/>
      <c r="T17" s="64"/>
      <c r="U17" s="64"/>
      <c r="V17" s="64"/>
      <c r="W17" s="64"/>
      <c r="X17" s="64"/>
      <c r="Y17" s="64"/>
      <c r="Z17" s="64"/>
    </row>
    <row r="18" spans="1:26" ht="15" customHeight="1">
      <c r="A18" s="23">
        <v>16</v>
      </c>
      <c r="B18" s="23">
        <v>126</v>
      </c>
      <c r="C18">
        <f>VLOOKUP(B18,id_settings,2,FALSE)</f>
      </c>
      <c r="D18" s="23">
        <v>664</v>
      </c>
      <c r="E18" s="23">
        <f>VLOOKUP(D18,id_settings,2,FALSE)</f>
      </c>
      <c r="F18" s="23" t="inlineStr">
        <is>
          <t>東京都江東区東陽5-29-41-302</t>
        </is>
      </c>
      <c r="G18" t="inlineStr">
        <is>
          <t>302号</t>
        </is>
      </c>
      <c r="H18" s="23" t="inlineStr">
        <is>
          <t>所有権</t>
        </is>
      </c>
      <c r="I18" s="77">
        <v>0</v>
      </c>
      <c r="J18" s="77">
        <v>0</v>
      </c>
      <c r="K18" s="23">
        <v>1</v>
      </c>
      <c r="L18" s="23">
        <v>1</v>
      </c>
      <c r="M18" s="23" t="inlineStr">
        <is>
          <t>-</t>
        </is>
      </c>
      <c r="N18" s="23" t="inlineStr">
        <is>
          <t>-</t>
        </is>
      </c>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KHD直近期 連結P/L（決算書から転記して使用）</t>
        </is>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inlineStr">
        <is>
          <t>KHD 残高試算表 2026/02〜04(MF)※半期試算表作成時に更新</t>
        </is>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t="inlineStr">
        <is>
          <t>1.KIKUCHIホールディングス(株)</t>
        </is>
      </c>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v>571145</v>
      </c>
      <c r="C9" s="98">
        <v>571145</v>
      </c>
      <c r="D9" s="99">
        <v>571145</v>
      </c>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v>571145</v>
      </c>
      <c r="C13" s="98">
        <v>571145</v>
      </c>
      <c r="D13" s="99">
        <v>571145</v>
      </c>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v>571145</v>
      </c>
      <c r="C20" s="98">
        <v>571145</v>
      </c>
      <c r="D20" s="99">
        <v>571145</v>
      </c>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v>13860</v>
      </c>
      <c r="C25" s="98">
        <v>13860</v>
      </c>
      <c r="D25" s="99">
        <v>13860</v>
      </c>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v>286600</v>
      </c>
      <c r="C33" s="98">
        <v>286600</v>
      </c>
      <c r="D33" s="99">
        <v>286600</v>
      </c>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v>6700</v>
      </c>
      <c r="C35" s="98">
        <v>6700</v>
      </c>
      <c r="D35" s="99">
        <v>6700</v>
      </c>
      <c r="E35" s="99"/>
      <c r="F35" s="99"/>
      <c r="G35" s="99"/>
      <c r="H35" s="99"/>
      <c r="I35" s="99"/>
      <c r="J35" s="99"/>
      <c r="K35" s="99"/>
      <c r="L35" s="99"/>
      <c r="M35" s="99"/>
    </row>
    <row r="36" spans="1:13">
      <c r="A36" s="97" t="s">
        <v>2165</v>
      </c>
      <c r="B36" s="98">
        <v>264086</v>
      </c>
      <c r="C36" s="98">
        <v>264086</v>
      </c>
      <c r="D36" s="99">
        <v>264086</v>
      </c>
      <c r="E36" s="99"/>
      <c r="F36" s="99"/>
      <c r="G36" s="99"/>
      <c r="H36" s="99"/>
      <c r="I36" s="99"/>
      <c r="J36" s="99"/>
      <c r="K36" s="99"/>
      <c r="L36" s="99"/>
      <c r="M36" s="99"/>
    </row>
    <row r="37" spans="1:13">
      <c r="A37" s="97" t="s">
        <v>2166</v>
      </c>
      <c r="B37" s="98">
        <v>26874</v>
      </c>
      <c r="C37" s="98">
        <v>26874</v>
      </c>
      <c r="D37" s="99">
        <v>26874</v>
      </c>
      <c r="E37" s="99"/>
      <c r="F37" s="99"/>
      <c r="G37" s="99"/>
      <c r="H37" s="99"/>
      <c r="I37" s="99"/>
      <c r="J37" s="99"/>
      <c r="K37" s="99"/>
      <c r="L37" s="99"/>
      <c r="M37" s="99"/>
    </row>
    <row r="38" spans="1:13">
      <c r="A38" s="97" t="s">
        <v>2167</v>
      </c>
      <c r="B38" s="98">
        <v>149230</v>
      </c>
      <c r="C38" s="98">
        <v>149230</v>
      </c>
      <c r="D38" s="99">
        <v>149230</v>
      </c>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v>655</v>
      </c>
      <c r="C40" s="98">
        <v>655</v>
      </c>
      <c r="D40" s="99">
        <v>655</v>
      </c>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v>114025</v>
      </c>
      <c r="C43" s="98">
        <v>114025</v>
      </c>
      <c r="D43" s="99">
        <v>114025</v>
      </c>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v>240</v>
      </c>
      <c r="C48" s="98">
        <v>240</v>
      </c>
      <c r="D48" s="99">
        <v>240</v>
      </c>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v>16830</v>
      </c>
      <c r="C53" s="98">
        <v>16830</v>
      </c>
      <c r="D53" s="99">
        <v>16830</v>
      </c>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v>879100</v>
      </c>
      <c r="C59" s="98">
        <v>879100</v>
      </c>
      <c r="D59" s="99">
        <v>879100</v>
      </c>
      <c r="E59" s="99"/>
      <c r="F59" s="99"/>
      <c r="G59" s="99"/>
      <c r="H59" s="99"/>
      <c r="I59" s="99"/>
      <c r="J59" s="99"/>
      <c r="K59" s="99"/>
      <c r="L59" s="99"/>
      <c r="M59" s="99"/>
    </row>
    <row r="60" spans="1:13">
      <c r="A60" s="97" t="s">
        <v>2189</v>
      </c>
      <c r="B60" s="98">
        <v>-307955</v>
      </c>
      <c r="C60" s="98">
        <v>-307955</v>
      </c>
      <c r="D60" s="99">
        <v>-307955</v>
      </c>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v>1747</v>
      </c>
      <c r="C62" s="98">
        <v>1747</v>
      </c>
      <c r="D62" s="99">
        <v>1747</v>
      </c>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v>1747</v>
      </c>
      <c r="C70" s="98">
        <v>1747</v>
      </c>
      <c r="D70" s="99">
        <v>1747</v>
      </c>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v>12009</v>
      </c>
      <c r="C72" s="98">
        <v>12009</v>
      </c>
      <c r="D72" s="99">
        <v>12009</v>
      </c>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v>12009</v>
      </c>
      <c r="C75" s="98">
        <v>12009</v>
      </c>
      <c r="D75" s="99">
        <v>12009</v>
      </c>
      <c r="E75" s="99"/>
      <c r="F75" s="99"/>
      <c r="G75" s="99"/>
      <c r="H75" s="99"/>
      <c r="I75" s="99"/>
      <c r="J75" s="99"/>
      <c r="K75" s="99"/>
      <c r="L75" s="99"/>
      <c r="M75" s="99"/>
    </row>
    <row r="76" spans="1:13">
      <c r="A76" s="97" t="s">
        <v>2205</v>
      </c>
      <c r="B76" s="98">
        <v>-318217</v>
      </c>
      <c r="C76" s="98">
        <v>-318217</v>
      </c>
      <c r="D76" s="99">
        <v>-318217</v>
      </c>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v>-318217</v>
      </c>
      <c r="C87" s="98">
        <v>-318217</v>
      </c>
      <c r="D87" s="99">
        <v>-318217</v>
      </c>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v>-318217</v>
      </c>
      <c r="C90" s="98">
        <v>-318217</v>
      </c>
      <c r="D90" s="99">
        <v>-318217</v>
      </c>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v>50000</v>
      </c>
      <c r="C97" s="112">
        <v>50000</v>
      </c>
      <c r="D97" s="99">
        <v>50000</v>
      </c>
      <c r="E97" s="99"/>
      <c r="F97" s="99"/>
      <c r="G97" s="99"/>
      <c r="H97" s="99"/>
      <c r="I97" s="99"/>
      <c r="J97" s="99"/>
      <c r="K97" s="99"/>
      <c r="L97" s="99"/>
      <c r="M97" s="99"/>
    </row>
    <row r="98" spans="1:13">
      <c r="A98" s="111" t="s">
        <v>2233</v>
      </c>
      <c r="B98" s="112">
        <v>8402611</v>
      </c>
      <c r="C98" s="112">
        <v>8402611</v>
      </c>
      <c r="D98" s="99">
        <v>8402611</v>
      </c>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v>250000</v>
      </c>
      <c r="C100" s="112">
        <v>250000</v>
      </c>
      <c r="D100" s="99">
        <v>250000</v>
      </c>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v>8702611</v>
      </c>
      <c r="C102" s="112">
        <v>8702611</v>
      </c>
      <c r="D102" s="99">
        <v>8702611</v>
      </c>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v>5211227</v>
      </c>
      <c r="C116" s="112">
        <v>5211227</v>
      </c>
      <c r="D116" s="99">
        <v>5211227</v>
      </c>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v>46901</v>
      </c>
      <c r="C120" s="112">
        <v>46901</v>
      </c>
      <c r="D120" s="99">
        <v>46901</v>
      </c>
      <c r="E120" s="99"/>
      <c r="F120" s="99"/>
      <c r="G120" s="99"/>
      <c r="H120" s="99"/>
      <c r="I120" s="99"/>
      <c r="J120" s="99"/>
      <c r="K120" s="99"/>
      <c r="L120" s="99"/>
      <c r="M120" s="99"/>
    </row>
    <row r="121" spans="1:13">
      <c r="A121" s="111" t="s">
        <v>2256</v>
      </c>
      <c r="B121" s="112">
        <v>133002</v>
      </c>
      <c r="C121" s="112">
        <v>133002</v>
      </c>
      <c r="D121" s="99">
        <v>133002</v>
      </c>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v>5391130</v>
      </c>
      <c r="C124" s="112">
        <v>5391130</v>
      </c>
      <c r="D124" s="99">
        <v>5391130</v>
      </c>
      <c r="E124" s="99"/>
      <c r="F124" s="99"/>
      <c r="G124" s="99"/>
      <c r="H124" s="99"/>
      <c r="I124" s="99"/>
      <c r="J124" s="99"/>
      <c r="K124" s="99"/>
      <c r="L124" s="99"/>
      <c r="M124" s="99"/>
    </row>
    <row r="125" spans="1:13">
      <c r="A125" s="111" t="s">
        <v>2260</v>
      </c>
      <c r="B125" s="112">
        <v>14093741</v>
      </c>
      <c r="C125" s="112">
        <v>14093741</v>
      </c>
      <c r="D125" s="99">
        <v>14093741</v>
      </c>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v>45000</v>
      </c>
      <c r="C140" s="112">
        <v>45000</v>
      </c>
      <c r="D140" s="99">
        <v>45000</v>
      </c>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v>108821</v>
      </c>
      <c r="C142" s="112">
        <v>108821</v>
      </c>
      <c r="D142" s="99">
        <v>108821</v>
      </c>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v>153821</v>
      </c>
      <c r="C146" s="112">
        <v>153821</v>
      </c>
      <c r="D146" s="99">
        <v>153821</v>
      </c>
      <c r="E146" s="99"/>
      <c r="F146" s="99"/>
      <c r="G146" s="99"/>
      <c r="H146" s="99"/>
      <c r="I146" s="99"/>
      <c r="J146" s="99"/>
      <c r="K146" s="99"/>
      <c r="L146" s="99"/>
      <c r="M146" s="99"/>
    </row>
    <row r="147" spans="1:13">
      <c r="A147" s="111" t="s">
        <v>2282</v>
      </c>
      <c r="B147" s="112">
        <v>153821</v>
      </c>
      <c r="C147" s="112">
        <v>153821</v>
      </c>
      <c r="D147" s="99">
        <v>153821</v>
      </c>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v>14247562</v>
      </c>
      <c r="C152" s="112">
        <v>14247562</v>
      </c>
      <c r="D152" s="99">
        <v>14247562</v>
      </c>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v>1633553</v>
      </c>
      <c r="C157" s="112">
        <v>1633553</v>
      </c>
      <c r="D157" s="99">
        <v>1633553</v>
      </c>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v>226189</v>
      </c>
      <c r="C161" s="112">
        <v>226189</v>
      </c>
      <c r="D161" s="99">
        <v>226189</v>
      </c>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v>0</v>
      </c>
      <c r="C163" s="112">
        <v>0</v>
      </c>
      <c r="D163" s="99">
        <v>0</v>
      </c>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v>1859742</v>
      </c>
      <c r="C173" s="112">
        <v>1859742</v>
      </c>
      <c r="D173" s="99">
        <v>1859742</v>
      </c>
      <c r="E173" s="99"/>
      <c r="F173" s="99"/>
      <c r="G173" s="99"/>
      <c r="H173" s="99"/>
      <c r="I173" s="99"/>
      <c r="J173" s="99"/>
      <c r="K173" s="99"/>
      <c r="L173" s="99"/>
      <c r="M173" s="99"/>
    </row>
    <row r="174" spans="1:13">
      <c r="A174" s="111" t="s">
        <v>2309</v>
      </c>
      <c r="B174" s="112">
        <v>1859742</v>
      </c>
      <c r="C174" s="112">
        <v>1859742</v>
      </c>
      <c r="D174" s="99">
        <v>1859742</v>
      </c>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v>4366000</v>
      </c>
      <c r="C179" s="112">
        <v>4366000</v>
      </c>
      <c r="D179" s="99">
        <v>4366000</v>
      </c>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v>4366000</v>
      </c>
      <c r="C182" s="112">
        <v>4366000</v>
      </c>
      <c r="D182" s="99">
        <v>4366000</v>
      </c>
      <c r="E182" s="99"/>
      <c r="F182" s="99"/>
      <c r="G182" s="99"/>
      <c r="H182" s="99"/>
      <c r="I182" s="99"/>
      <c r="J182" s="99"/>
      <c r="K182" s="99"/>
      <c r="L182" s="99"/>
      <c r="M182" s="99"/>
    </row>
    <row r="183" spans="1:13">
      <c r="A183" s="111" t="s">
        <v>2318</v>
      </c>
      <c r="B183" s="112">
        <v>6225742</v>
      </c>
      <c r="C183" s="112">
        <v>6225742</v>
      </c>
      <c r="D183" s="99">
        <v>6225742</v>
      </c>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v>10000</v>
      </c>
      <c r="C185" s="112">
        <v>10000</v>
      </c>
      <c r="D185" s="99">
        <v>10000</v>
      </c>
      <c r="E185" s="99"/>
      <c r="F185" s="99"/>
      <c r="G185" s="99"/>
      <c r="H185" s="99"/>
      <c r="I185" s="99"/>
      <c r="J185" s="99"/>
      <c r="K185" s="99"/>
      <c r="L185" s="99"/>
      <c r="M185" s="99"/>
    </row>
    <row r="186" spans="1:13">
      <c r="A186" s="111" t="s">
        <v>2321</v>
      </c>
      <c r="B186" s="112">
        <v>10000</v>
      </c>
      <c r="C186" s="112">
        <v>10000</v>
      </c>
      <c r="D186" s="99">
        <v>10000</v>
      </c>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v>8330037</v>
      </c>
      <c r="C197" s="112">
        <v>8330037</v>
      </c>
      <c r="D197" s="99">
        <v>8330037</v>
      </c>
      <c r="E197" s="99"/>
      <c r="F197" s="99"/>
      <c r="G197" s="99"/>
      <c r="H197" s="99"/>
      <c r="I197" s="99"/>
      <c r="J197" s="99"/>
      <c r="K197" s="99"/>
      <c r="L197" s="99"/>
      <c r="M197" s="99"/>
    </row>
    <row r="198" spans="1:13">
      <c r="A198" s="111" t="s">
        <v>2333</v>
      </c>
      <c r="B198" s="112">
        <v>-318217</v>
      </c>
      <c r="C198" s="112">
        <v>-318217</v>
      </c>
      <c r="D198" s="99">
        <v>-318217</v>
      </c>
      <c r="E198" s="99"/>
      <c r="F198" s="99"/>
      <c r="G198" s="99"/>
      <c r="H198" s="99"/>
      <c r="I198" s="99"/>
      <c r="J198" s="99"/>
      <c r="K198" s="99"/>
      <c r="L198" s="99"/>
      <c r="M198" s="99"/>
    </row>
    <row r="199" spans="1:13">
      <c r="A199" s="111" t="s">
        <v>2334</v>
      </c>
      <c r="B199" s="112">
        <v>8011820</v>
      </c>
      <c r="C199" s="112">
        <v>8011820</v>
      </c>
      <c r="D199" s="99">
        <v>8011820</v>
      </c>
      <c r="E199" s="99"/>
      <c r="F199" s="99"/>
      <c r="G199" s="99"/>
      <c r="H199" s="99"/>
      <c r="I199" s="99"/>
      <c r="J199" s="99"/>
      <c r="K199" s="99"/>
      <c r="L199" s="99"/>
      <c r="M199" s="99"/>
    </row>
    <row r="200" spans="1:13">
      <c r="A200" s="111" t="s">
        <v>2335</v>
      </c>
      <c r="B200" s="112">
        <v>8011820</v>
      </c>
      <c r="C200" s="112">
        <v>8011820</v>
      </c>
      <c r="D200" s="99">
        <v>8011820</v>
      </c>
      <c r="E200" s="99"/>
      <c r="F200" s="99"/>
      <c r="G200" s="99"/>
      <c r="H200" s="99"/>
      <c r="I200" s="99"/>
      <c r="J200" s="99"/>
      <c r="K200" s="99"/>
      <c r="L200" s="99"/>
      <c r="M200" s="99"/>
    </row>
    <row r="201" spans="1:13">
      <c r="A201" s="111" t="s">
        <v>2336</v>
      </c>
      <c r="B201" s="112">
        <v>8011820</v>
      </c>
      <c r="C201" s="112">
        <v>8011820</v>
      </c>
      <c r="D201" s="99">
        <v>8011820</v>
      </c>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v>8021820</v>
      </c>
      <c r="C206" s="112">
        <v>8021820</v>
      </c>
      <c r="D206" s="99">
        <v>8021820</v>
      </c>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v>8021820</v>
      </c>
      <c r="C211" s="112">
        <v>8021820</v>
      </c>
      <c r="D211" s="99">
        <v>8021820</v>
      </c>
      <c r="E211" s="99"/>
      <c r="F211" s="99"/>
      <c r="G211" s="99"/>
      <c r="H211" s="99"/>
      <c r="I211" s="99"/>
      <c r="J211" s="99"/>
      <c r="K211" s="99"/>
      <c r="L211" s="99"/>
      <c r="M211" s="99"/>
    </row>
    <row r="212" spans="1:13">
      <c r="A212" s="111" t="s">
        <v>2347</v>
      </c>
      <c r="B212" s="112">
        <v>14247562</v>
      </c>
      <c r="C212" s="112">
        <v>14247562</v>
      </c>
      <c r="D212" s="99">
        <v>14247562</v>
      </c>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
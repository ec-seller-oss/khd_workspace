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<sst xmlns="http://schemas.openxmlformats.org/spreadsheetml/2006/main" count="11449" uniqueCount="2353">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</sst>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v>110</v>
      </c>
      <c r="D5" s="16">
        <v>118</v>
      </c>
    </row>
    <row r="6" spans="1:79">
      <c r="A6" s="171">
        <v>12</v>
      </c>
      <c r="B6" s="170" t="s">
        <v>77</v>
      </c>
      <c r="C6" s="22"/>
      <c r="D6" s="22"/>
    </row>
    <row r="7" spans="1:79">
      <c r="A7" s="139">
        <v>13</v>
      </c>
      <c r="B7" s="8" t="s">
        <v>78</v>
      </c>
      <c r="C7" s="140">
        <v>410</v>
      </c>
      <c r="D7" s="140">
        <v>410</v>
      </c>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s">
        <v>372</v>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s">
        <v>380</v>
      </c>
      <c r="C4" s="23" t="s">
        <v>373</v>
      </c>
      <c r="G4" s="149">
        <v>2</v>
      </c>
      <c r="H4" t="s">
        <v>374</v>
      </c>
      <c r="I4" t="s">
        <v>381</v>
      </c>
      <c r="J4" s="3" t="s">
        <v>382</v>
      </c>
      <c r="K4" t="s">
        <v>383</v>
      </c>
      <c r="L4" s="598">
        <v>2021</v>
      </c>
      <c r="N4" s="342">
        <v>2</v>
      </c>
      <c r="O4" s="23" t="s">
        <v>378</v>
      </c>
      <c r="P4" s="23" t="s">
        <v>384</v>
      </c>
      <c r="Q4" s="64">
        <f>'2法人連結'!E21</f>
        <v>3063467948</v>
      </c>
      <c r="R4" s="23">
        <f>Q3+Q6-Q4</f>
        <v>0</v>
      </c>
    </row>
    <row r="5" spans="1:18" ht="13.5" customHeight="1">
      <c r="A5" s="23">
        <v>103</v>
      </c>
      <c r="B5" s="597" t="s">
        <v>385</v>
      </c>
      <c r="C5" s="23" t="s">
        <v>373</v>
      </c>
      <c r="G5" s="149">
        <v>3</v>
      </c>
      <c r="H5" t="s">
        <v>386</v>
      </c>
      <c r="I5" t="s">
        <v>387</v>
      </c>
      <c r="J5" s="3" t="s">
        <v>388</v>
      </c>
      <c r="K5" t="s">
        <v>389</v>
      </c>
      <c r="L5" s="599">
        <v>44870</v>
      </c>
      <c r="N5" s="342">
        <v>3</v>
      </c>
      <c r="O5" s="23" t="s">
        <v>378</v>
      </c>
      <c r="P5" s="23" t="s">
        <v>390</v>
      </c>
      <c r="Q5" s="64">
        <f>'2法人連結'!E21-'2法人連結'!E16</f>
        <v>7577667250</v>
      </c>
      <c r="R5" s="23">
        <f>Q5-Q3</f>
        <v>0</v>
      </c>
    </row>
    <row r="6" spans="1:18" ht="13.5" customHeight="1">
      <c r="A6" s="23">
        <v>104</v>
      </c>
      <c r="B6" s="597" t="s">
        <v>391</v>
      </c>
      <c r="C6" s="23" t="s">
        <v>373</v>
      </c>
      <c r="G6" s="149">
        <v>4</v>
      </c>
      <c r="H6" t="s">
        <v>392</v>
      </c>
      <c r="I6" t="s">
        <v>393</v>
      </c>
      <c r="J6" s="3" t="s">
        <v>394</v>
      </c>
      <c r="K6" t="s">
        <v>389</v>
      </c>
      <c r="L6" s="599">
        <v>44870</v>
      </c>
      <c r="N6" s="342">
        <v>4</v>
      </c>
      <c r="O6" s="23" t="s">
        <v>378</v>
      </c>
      <c r="P6" s="23" t="s">
        <v>395</v>
      </c>
      <c r="Q6" s="64">
        <f>'2法人連結'!E16</f>
        <v>-4514199302</v>
      </c>
      <c r="R6" s="23">
        <f>Q3-Q4+Q6</f>
        <v>0</v>
      </c>
    </row>
    <row r="7" spans="1:18" ht="13.5" customHeight="1">
      <c r="A7" s="23">
        <v>105</v>
      </c>
      <c r="B7" s="597" t="s">
        <v>396</v>
      </c>
      <c r="C7" s="23" t="s">
        <v>373</v>
      </c>
      <c r="G7" s="149">
        <v>5</v>
      </c>
      <c r="H7" t="s">
        <v>392</v>
      </c>
      <c r="I7" t="s">
        <v>397</v>
      </c>
      <c r="J7" s="3" t="s">
        <v>398</v>
      </c>
      <c r="K7" t="s">
        <v>399</v>
      </c>
      <c r="L7" s="598" t="s">
        <v>400</v>
      </c>
      <c r="N7" s="342">
        <v>5</v>
      </c>
      <c r="O7" s="23" t="s">
        <v>401</v>
      </c>
      <c r="P7" s="23" t="s">
        <v>402</v>
      </c>
      <c r="Q7" s="64">
        <f>GETPIVOTDATA("25.残債",'4借入集計'!$A$5)</f>
        <v>4439492417</v>
      </c>
      <c r="R7" s="23">
        <f>Q7-Q8</f>
        <v>0</v>
      </c>
    </row>
    <row r="8" spans="1:18" ht="13.5" customHeight="1">
      <c r="A8" s="23">
        <v>106</v>
      </c>
      <c r="B8" s="597" t="s">
        <v>403</v>
      </c>
      <c r="C8" s="23" t="s">
        <v>373</v>
      </c>
      <c r="G8" s="149">
        <v>6</v>
      </c>
      <c r="H8" t="s">
        <v>392</v>
      </c>
      <c r="I8" t="s">
        <v>404</v>
      </c>
      <c r="J8" s="3" t="s">
        <v>398</v>
      </c>
      <c r="K8" t="s">
        <v>399</v>
      </c>
      <c r="L8" s="598" t="s">
        <v>400</v>
      </c>
      <c r="N8" s="342">
        <v>6</v>
      </c>
      <c r="O8" s="23" t="s">
        <v>401</v>
      </c>
      <c r="P8" s="23" t="s">
        <v>405</v>
      </c>
      <c r="Q8" s="64">
        <f>GETPIVOTDATA("25.残債",'4借入集計'!$A$23)</f>
        <v>4439492417</v>
      </c>
      <c r="R8" s="23">
        <f>Q8-Q9</f>
        <v>0</v>
      </c>
    </row>
    <row r="9" spans="1:18" ht="13.5" customHeight="1">
      <c r="A9" s="23">
        <v>107</v>
      </c>
      <c r="B9" s="597" t="s">
        <v>406</v>
      </c>
      <c r="C9" s="23" t="s">
        <v>373</v>
      </c>
      <c r="G9" s="149">
        <v>7</v>
      </c>
      <c r="H9" t="s">
        <v>149</v>
      </c>
      <c r="I9" t="s">
        <v>407</v>
      </c>
      <c r="J9" s="3" t="s">
        <v>382</v>
      </c>
      <c r="K9" t="s">
        <v>389</v>
      </c>
      <c r="L9" s="599">
        <v>44870</v>
      </c>
      <c r="N9" s="342">
        <v>7</v>
      </c>
      <c r="O9" s="23" t="s">
        <v>401</v>
      </c>
      <c r="P9" s="23" t="s">
        <v>408</v>
      </c>
      <c r="Q9" s="64">
        <f>GETPIVOTDATA("残債",'4借入集計'!$A$59)</f>
        <v>4439492417</v>
      </c>
      <c r="R9" s="23">
        <f>Q9-Q7</f>
        <v>0</v>
      </c>
    </row>
    <row r="10" spans="1:18" ht="13.5" customHeight="1">
      <c r="A10" s="23">
        <v>109</v>
      </c>
      <c r="B10" s="597" t="s">
        <v>409</v>
      </c>
      <c r="C10" s="23" t="s">
        <v>373</v>
      </c>
      <c r="G10" s="149">
        <v>8</v>
      </c>
      <c r="H10" t="s">
        <v>410</v>
      </c>
      <c r="I10" t="s">
        <v>407</v>
      </c>
      <c r="J10" s="3" t="s">
        <v>382</v>
      </c>
      <c r="K10" t="s">
        <v>389</v>
      </c>
      <c r="L10" s="599">
        <v>44870</v>
      </c>
      <c r="N10" s="342">
        <v>8</v>
      </c>
      <c r="O10" s="23" t="s">
        <v>411</v>
      </c>
      <c r="P10" s="23" t="s">
        <v>412</v>
      </c>
      <c r="Q10" s="64">
        <f>SUMIF('9賃料一覧'!$AD:$AD,1,'9賃料一覧'!$Q:$Q)</f>
        <v>35943978</v>
      </c>
      <c r="R10" s="23">
        <f>Q10-Q12</f>
        <v>0</v>
      </c>
    </row>
    <row r="11" spans="1:18" ht="13.5" customHeight="1">
      <c r="A11" s="23">
        <v>110</v>
      </c>
      <c r="B11" s="597" t="s">
        <v>413</v>
      </c>
      <c r="C11" s="23" t="s">
        <v>373</v>
      </c>
      <c r="D11" s="23" t="s">
        <v>414</v>
      </c>
      <c r="G11" s="149">
        <v>9</v>
      </c>
      <c r="H11" t="s">
        <v>415</v>
      </c>
      <c r="I11" t="s">
        <v>407</v>
      </c>
      <c r="J11" s="3" t="s">
        <v>382</v>
      </c>
      <c r="K11" t="s">
        <v>389</v>
      </c>
      <c r="L11" s="599">
        <v>44561</v>
      </c>
      <c r="N11" s="342">
        <v>9</v>
      </c>
      <c r="O11" s="23" t="s">
        <v>411</v>
      </c>
      <c r="P11" s="23" t="s">
        <v>416</v>
      </c>
      <c r="Q11" s="64">
        <f>SUMIF('9賃料一覧'!$AD:$AD,0,'9賃料一覧'!$Q:$Q)</f>
        <v>1003500</v>
      </c>
      <c r="R11" s="23"/>
    </row>
    <row r="12" spans="1:18" ht="13.5" customHeight="1">
      <c r="A12" s="23">
        <v>111</v>
      </c>
      <c r="B12" s="597" t="s">
        <v>417</v>
      </c>
      <c r="C12" s="23" t="s">
        <v>373</v>
      </c>
      <c r="G12" s="149">
        <v>10</v>
      </c>
      <c r="H12" t="s">
        <v>415</v>
      </c>
      <c r="I12" t="s">
        <v>418</v>
      </c>
      <c r="J12" s="3" t="s">
        <v>382</v>
      </c>
      <c r="K12" t="s">
        <v>399</v>
      </c>
      <c r="L12" s="598">
        <v>2022</v>
      </c>
      <c r="N12" s="342">
        <v>10</v>
      </c>
      <c r="O12" s="23" t="s">
        <v>153</v>
      </c>
      <c r="P12" s="23" t="s">
        <v>419</v>
      </c>
      <c r="Q12" s="64">
        <f>'8賃料集計'!L25</f>
        <v>35943978</v>
      </c>
      <c r="R12" s="23"/>
    </row>
    <row r="13" spans="1:18" ht="13.5" customHeight="1">
      <c r="A13" s="23">
        <v>112</v>
      </c>
      <c r="B13" s="597" t="s">
        <v>420</v>
      </c>
      <c r="C13" s="23" t="s">
        <v>373</v>
      </c>
      <c r="G13" s="149">
        <v>11</v>
      </c>
      <c r="H13" t="s">
        <v>153</v>
      </c>
      <c r="I13" t="s">
        <v>407</v>
      </c>
      <c r="J13" s="3" t="s">
        <v>382</v>
      </c>
      <c r="K13" t="s">
        <v>389</v>
      </c>
      <c r="L13" s="599">
        <v>44870</v>
      </c>
      <c r="N13" s="342">
        <v>11</v>
      </c>
      <c r="O13" s="23" t="s">
        <v>421</v>
      </c>
      <c r="P13" s="23" t="s">
        <v>422</v>
      </c>
      <c r="Q13" s="64">
        <f>GETPIVOTDATA("17.満室想定税込(自動)",pivot!$AR$9)</f>
        <v>35943978</v>
      </c>
      <c r="R13" s="23"/>
    </row>
    <row r="14" spans="1:18" ht="13.5" customHeight="1">
      <c r="A14" s="23">
        <v>113</v>
      </c>
      <c r="B14" s="597" t="s">
        <v>423</v>
      </c>
      <c r="C14" s="23" t="s">
        <v>373</v>
      </c>
      <c r="G14" s="149">
        <v>12</v>
      </c>
      <c r="H14" t="s">
        <v>151</v>
      </c>
      <c r="I14" t="s">
        <v>407</v>
      </c>
      <c r="J14" s="3" t="s">
        <v>382</v>
      </c>
      <c r="K14" t="s">
        <v>389</v>
      </c>
      <c r="L14" s="599">
        <v>44561</v>
      </c>
      <c r="N14" s="342">
        <v>12</v>
      </c>
      <c r="O14" s="23" t="s">
        <v>421</v>
      </c>
      <c r="P14" s="23" t="s">
        <v>424</v>
      </c>
      <c r="Q14" s="64">
        <f>IFERROR(GETPIVOTDATA("17.満室想定税込(自動)",pivot!$AR$9,"19.賃貸用","yes"),0)</f>
        <v>35648978</v>
      </c>
      <c r="R14" s="23"/>
    </row>
    <row r="15" spans="1:18" ht="13.5" customHeight="1">
      <c r="A15" s="23">
        <v>114</v>
      </c>
      <c r="B15" s="597" t="s">
        <v>425</v>
      </c>
      <c r="C15" s="23" t="s">
        <v>373</v>
      </c>
      <c r="G15" s="149">
        <v>13</v>
      </c>
      <c r="H15" t="s">
        <v>156</v>
      </c>
      <c r="I15" t="s">
        <v>426</v>
      </c>
      <c r="J15" s="3" t="s">
        <v>382</v>
      </c>
      <c r="K15" t="s">
        <v>399</v>
      </c>
      <c r="L15" s="599" t="s">
        <v>427</v>
      </c>
      <c r="N15" s="342">
        <v>13</v>
      </c>
      <c r="O15" s="23" t="s">
        <v>421</v>
      </c>
      <c r="P15" s="23" t="s">
        <v>428</v>
      </c>
      <c r="Q15" s="64">
        <f>IFERROR(GETPIVOTDATA("17.満室想定税込(自動)",pivot!$AR$9,"19.賃貸用","no"),0)</f>
        <v>295000</v>
      </c>
      <c r="R15" s="23">
        <f>Q12-Q14-Q15</f>
        <v>0</v>
      </c>
    </row>
    <row r="16" spans="1:18" ht="13.5" customHeight="1">
      <c r="A16" s="23">
        <v>115</v>
      </c>
      <c r="B16" s="597" t="s">
        <v>429</v>
      </c>
      <c r="C16" s="23" t="s">
        <v>373</v>
      </c>
      <c r="N16" s="342">
        <v>14</v>
      </c>
      <c r="O16" s="23" t="s">
        <v>430</v>
      </c>
      <c r="P16" s="23" t="s">
        <v>431</v>
      </c>
      <c r="Q16" s="64">
        <f>asset!E36</f>
        <v>4417003271</v>
      </c>
      <c r="R16" s="23"/>
    </row>
    <row r="17" spans="1:18" ht="13.5" customHeight="1">
      <c r="A17" s="23">
        <v>116</v>
      </c>
      <c r="B17" s="597" t="s">
        <v>432</v>
      </c>
      <c r="C17" s="23" t="s">
        <v>373</v>
      </c>
      <c r="G17" s="147" t="s">
        <v>433</v>
      </c>
      <c r="N17" s="342">
        <v>15</v>
      </c>
      <c r="O17" s="23" t="s">
        <v>430</v>
      </c>
      <c r="P17" s="23" t="s">
        <v>434</v>
      </c>
      <c r="Q17" s="64">
        <f>asset!E37</f>
        <v>5011481</v>
      </c>
      <c r="R17" s="23"/>
    </row>
    <row r="18" spans="1:18" ht="13.5" customHeight="1">
      <c r="A18" s="23">
        <v>117</v>
      </c>
      <c r="B18" s="597" t="s">
        <v>435</v>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s">
        <v>437</v>
      </c>
      <c r="C19" s="23" t="s">
        <v>373</v>
      </c>
      <c r="D19" s="23" t="s">
        <v>414</v>
      </c>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s">
        <v>443</v>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s">
        <v>447</v>
      </c>
      <c r="C21" s="23" t="s">
        <v>373</v>
      </c>
      <c r="D21" s="23" t="s">
        <v>448</v>
      </c>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s">
        <v>451</v>
      </c>
      <c r="C22" s="23" t="s">
        <v>373</v>
      </c>
      <c r="D22" s="23" t="s">
        <v>448</v>
      </c>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高松二丁目・一括購入</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高松二丁目・一括購入(3棟)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10000000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30000000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15000000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5000000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3000000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3000000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s">
        <v>533</v>
      </c>
      <c r="C61" s="23" t="s">
        <v>534</v>
      </c>
      <c r="S61" s="23"/>
    </row>
    <row r="62" spans="1:19" ht="13.5" customHeight="1">
      <c r="A62" s="23">
        <v>222</v>
      </c>
      <c r="B62" s="597" t="s">
        <v>535</v>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s">
        <v>576</v>
      </c>
      <c r="C103" s="23" t="s">
        <v>577</v>
      </c>
    </row>
    <row r="104" spans="1:3" ht="13.5" customHeight="1">
      <c r="A104" s="23">
        <v>302</v>
      </c>
      <c r="B104" s="597" t="s">
        <v>578</v>
      </c>
      <c r="C104" s="23" t="s">
        <v>577</v>
      </c>
    </row>
    <row r="105" spans="1:3" ht="13.5" customHeight="1">
      <c r="A105" s="23">
        <v>303</v>
      </c>
      <c r="B105" s="597" t="s">
        <v>579</v>
      </c>
      <c r="C105" s="23" t="s">
        <v>577</v>
      </c>
    </row>
    <row r="106" spans="1:3" ht="13.5" customHeight="1">
      <c r="A106" s="23">
        <v>304</v>
      </c>
      <c r="B106" s="597" t="s">
        <v>580</v>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s">
        <v>591</v>
      </c>
      <c r="C117" s="23" t="s">
        <v>592</v>
      </c>
    </row>
    <row r="118" spans="1:3" ht="13.5" customHeight="1">
      <c r="A118" s="23">
        <v>402</v>
      </c>
      <c r="B118" s="597" t="s">
        <v>593</v>
      </c>
      <c r="C118" s="23" t="s">
        <v>592</v>
      </c>
    </row>
    <row r="119" spans="1:3" ht="13.5" customHeight="1">
      <c r="A119" s="23">
        <v>403</v>
      </c>
      <c r="B119" s="597" t="s">
        <v>594</v>
      </c>
      <c r="C119" s="23" t="s">
        <v>592</v>
      </c>
    </row>
    <row r="120" spans="1:3" ht="13.5" customHeight="1">
      <c r="A120" s="23">
        <v>404</v>
      </c>
      <c r="B120" s="597" t="s">
        <v>595</v>
      </c>
      <c r="C120" s="23" t="s">
        <v>592</v>
      </c>
    </row>
    <row r="121" spans="1:3" ht="13.5" customHeight="1">
      <c r="A121" s="23">
        <v>405</v>
      </c>
      <c r="B121" s="597" t="s">
        <v>596</v>
      </c>
      <c r="C121" s="23" t="s">
        <v>592</v>
      </c>
    </row>
    <row r="122" spans="1:3" ht="13.5" customHeight="1">
      <c r="A122" s="23">
        <v>406</v>
      </c>
      <c r="B122" s="597" t="s">
        <v>597</v>
      </c>
      <c r="C122" s="23" t="s">
        <v>592</v>
      </c>
    </row>
    <row r="123" spans="1:3" ht="13.5" customHeight="1">
      <c r="A123" s="23">
        <v>407</v>
      </c>
      <c r="B123" s="597" t="s">
        <v>598</v>
      </c>
      <c r="C123" s="23" t="s">
        <v>592</v>
      </c>
    </row>
    <row r="124" spans="1:3" ht="13.5" customHeight="1">
      <c r="A124" s="23">
        <v>408</v>
      </c>
      <c r="B124" s="597" t="s">
        <v>599</v>
      </c>
      <c r="C124" s="23" t="s">
        <v>592</v>
      </c>
    </row>
    <row r="125" spans="1:3" ht="13.5" customHeight="1">
      <c r="A125" s="23">
        <v>409</v>
      </c>
      <c r="B125" s="597" t="s">
        <v>600</v>
      </c>
      <c r="C125" s="23" t="s">
        <v>592</v>
      </c>
    </row>
    <row r="126" spans="1:3" ht="13.5" customHeight="1">
      <c r="A126" s="23">
        <v>410</v>
      </c>
      <c r="B126" s="597" t="s">
        <v>601</v>
      </c>
      <c r="C126" s="23" t="s">
        <v>592</v>
      </c>
    </row>
    <row r="127" spans="1:3" ht="13.5" customHeight="1">
      <c r="A127" s="23">
        <v>411</v>
      </c>
      <c r="B127" s="597" t="s">
        <v>602</v>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s">
        <v>628</v>
      </c>
      <c r="C153" s="23" t="s">
        <v>629</v>
      </c>
    </row>
    <row r="154" spans="1:3" ht="13.5" customHeight="1">
      <c r="A154" s="23">
        <v>502</v>
      </c>
      <c r="B154" s="597" t="s">
        <v>630</v>
      </c>
      <c r="C154" s="23" t="s">
        <v>629</v>
      </c>
    </row>
    <row r="155" spans="1:3" ht="13.5" customHeight="1">
      <c r="A155" s="23">
        <v>503</v>
      </c>
      <c r="B155" s="597" t="s">
        <v>631</v>
      </c>
      <c r="C155" s="23" t="s">
        <v>629</v>
      </c>
    </row>
    <row r="156" spans="1:3" ht="13.5" customHeight="1">
      <c r="A156" s="23">
        <v>504</v>
      </c>
      <c r="B156" s="597" t="s">
        <v>632</v>
      </c>
      <c r="C156" s="23" t="s">
        <v>629</v>
      </c>
    </row>
    <row r="157" spans="1:3" ht="13.5" customHeight="1">
      <c r="A157" s="23">
        <v>505</v>
      </c>
      <c r="B157" s="597" t="s">
        <v>633</v>
      </c>
      <c r="C157" s="23" t="s">
        <v>629</v>
      </c>
    </row>
    <row r="158" spans="1:3" ht="13.5" customHeight="1">
      <c r="A158" s="23">
        <v>506</v>
      </c>
      <c r="B158" s="597" t="s">
        <v>634</v>
      </c>
      <c r="C158" s="23" t="s">
        <v>629</v>
      </c>
    </row>
    <row r="159" spans="1:3" ht="13.5" customHeight="1">
      <c r="A159" s="23">
        <v>507</v>
      </c>
      <c r="B159" s="597" t="s">
        <v>635</v>
      </c>
      <c r="C159" s="23" t="s">
        <v>629</v>
      </c>
    </row>
    <row r="160" spans="1:3" ht="13.5" customHeight="1">
      <c r="A160" s="23">
        <v>508</v>
      </c>
      <c r="B160" s="597" t="s">
        <v>636</v>
      </c>
      <c r="C160" s="23" t="s">
        <v>629</v>
      </c>
    </row>
    <row r="161" spans="1:3" ht="13.5" customHeight="1">
      <c r="A161" s="23">
        <v>509</v>
      </c>
      <c r="B161" s="597" t="s">
        <v>637</v>
      </c>
      <c r="C161" s="23" t="s">
        <v>629</v>
      </c>
    </row>
    <row r="162" spans="1:3" ht="13.5" customHeight="1">
      <c r="A162" s="23">
        <v>510</v>
      </c>
      <c r="B162" s="597" t="s">
        <v>638</v>
      </c>
      <c r="C162" s="23" t="s">
        <v>629</v>
      </c>
    </row>
    <row r="163" spans="1:3" ht="13.5" customHeight="1">
      <c r="A163" s="23">
        <v>511</v>
      </c>
      <c r="B163" s="597" t="s">
        <v>639</v>
      </c>
      <c r="C163" s="23" t="s">
        <v>629</v>
      </c>
    </row>
    <row r="164" spans="1:3" ht="13.5" customHeight="1">
      <c r="A164" s="23">
        <v>512</v>
      </c>
      <c r="B164" s="597" t="s">
        <v>640</v>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s">
        <v>764</v>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101</v>
      </c>
      <c r="G4" s="197">
        <v>102</v>
      </c>
      <c r="H4" s="197">
        <v>103</v>
      </c>
      <c r="I4" s="197">
        <v>104</v>
      </c>
      <c r="J4" s="197">
        <v>105</v>
      </c>
      <c r="K4" s="197">
        <v>106</v>
      </c>
      <c r="L4" s="197">
        <v>107</v>
      </c>
      <c r="M4" s="197">
        <v>109</v>
      </c>
      <c r="N4" s="197">
        <v>110</v>
      </c>
      <c r="O4" s="197">
        <v>111</v>
      </c>
      <c r="P4" s="197">
        <v>112</v>
      </c>
      <c r="Q4" s="197">
        <v>113</v>
      </c>
      <c r="R4" s="197">
        <v>114</v>
      </c>
      <c r="S4" s="197">
        <v>115</v>
      </c>
      <c r="T4" s="197">
        <v>116</v>
      </c>
      <c r="U4" s="197">
        <v>117</v>
      </c>
      <c r="V4" s="197">
        <v>118</v>
      </c>
      <c r="W4" s="197">
        <v>120</v>
      </c>
      <c r="X4" s="197">
        <v>221</v>
      </c>
      <c r="Y4" s="197">
        <v>222</v>
      </c>
      <c r="Z4" s="197">
        <v>121</v>
      </c>
      <c r="AA4" s="197">
        <v>122</v>
      </c>
      <c r="AB4" s="197">
        <v>123</v>
      </c>
      <c r="AC4" s="197">
        <v>124</v>
      </c>
      <c r="AD4" s="197">
        <v>125</v>
      </c>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s">
        <v>851</v>
      </c>
      <c r="G5" s="197" t="s">
        <v>851</v>
      </c>
      <c r="H5" s="197" t="s">
        <v>851</v>
      </c>
      <c r="I5" s="197" t="s">
        <v>851</v>
      </c>
      <c r="J5" s="197" t="s">
        <v>851</v>
      </c>
      <c r="K5" s="197" t="s">
        <v>851</v>
      </c>
      <c r="L5" s="197" t="s">
        <v>851</v>
      </c>
      <c r="M5" s="197" t="s">
        <v>851</v>
      </c>
      <c r="N5" s="197" t="s">
        <v>852</v>
      </c>
      <c r="O5" s="197" t="s">
        <v>851</v>
      </c>
      <c r="P5" s="197" t="s">
        <v>851</v>
      </c>
      <c r="Q5" s="197" t="s">
        <v>851</v>
      </c>
      <c r="R5" s="197" t="s">
        <v>851</v>
      </c>
      <c r="S5" s="197" t="s">
        <v>851</v>
      </c>
      <c r="T5" s="197" t="s">
        <v>851</v>
      </c>
      <c r="U5" s="197" t="s">
        <v>851</v>
      </c>
      <c r="V5" s="197" t="s">
        <v>852</v>
      </c>
      <c r="W5" s="197" t="s">
        <v>851</v>
      </c>
      <c r="X5" s="197" t="s">
        <v>851</v>
      </c>
      <c r="Y5" s="197" t="s">
        <v>851</v>
      </c>
      <c r="Z5" s="197" t="s">
        <v>851</v>
      </c>
      <c r="AA5" s="197" t="s">
        <v>851</v>
      </c>
      <c r="AB5" s="197" t="inlineStr">
        <is>
          <t>no</t>
        </is>
      </c>
      <c r="AC5" s="197" t="inlineStr">
        <is>
          <t>no</t>
        </is>
      </c>
      <c r="AD5" s="197" t="inlineStr">
        <is>
          <t>no</t>
        </is>
      </c>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401</v>
      </c>
      <c r="G8" s="197">
        <v>402</v>
      </c>
      <c r="H8" s="197">
        <v>403</v>
      </c>
      <c r="I8" s="197">
        <v>404</v>
      </c>
      <c r="J8" s="197">
        <v>405</v>
      </c>
      <c r="K8" s="197">
        <v>406</v>
      </c>
      <c r="L8" s="197">
        <v>407</v>
      </c>
      <c r="M8" s="197">
        <v>409</v>
      </c>
      <c r="N8" s="197">
        <v>410</v>
      </c>
      <c r="O8" s="197">
        <v>401</v>
      </c>
      <c r="P8" s="197">
        <v>402</v>
      </c>
      <c r="Q8" s="197">
        <v>404</v>
      </c>
      <c r="R8" s="197">
        <v>404</v>
      </c>
      <c r="S8" s="197">
        <v>405</v>
      </c>
      <c r="T8" s="197">
        <v>406</v>
      </c>
      <c r="U8" s="197">
        <v>407</v>
      </c>
      <c r="V8" s="197">
        <v>410</v>
      </c>
      <c r="W8" s="197">
        <v>408</v>
      </c>
      <c r="X8" s="197">
        <v>408</v>
      </c>
      <c r="Y8" s="197">
        <v>401</v>
      </c>
      <c r="Z8" s="197">
        <v>408</v>
      </c>
      <c r="AA8" s="197">
        <v>408</v>
      </c>
      <c r="AB8" s="197">
        <v>412</v>
      </c>
      <c r="AC8" s="197">
        <v>412</v>
      </c>
      <c r="AD8" s="197">
        <v>305</v>
      </c>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s">
        <v>856</v>
      </c>
      <c r="G10" s="197" t="s">
        <v>857</v>
      </c>
      <c r="H10" s="197" t="s">
        <v>858</v>
      </c>
      <c r="I10" s="197" t="s">
        <v>859</v>
      </c>
      <c r="J10" s="197" t="s">
        <v>860</v>
      </c>
      <c r="K10" s="197" t="s">
        <v>861</v>
      </c>
      <c r="L10" s="197" t="s">
        <v>862</v>
      </c>
      <c r="M10" s="197" t="s">
        <v>856</v>
      </c>
      <c r="N10" s="197" t="s">
        <v>863</v>
      </c>
      <c r="O10" s="197" t="s">
        <v>858</v>
      </c>
      <c r="P10" s="197" t="s">
        <v>859</v>
      </c>
      <c r="Q10" s="197" t="s">
        <v>860</v>
      </c>
      <c r="R10" s="197" t="s">
        <v>861</v>
      </c>
      <c r="S10" s="197" t="s">
        <v>862</v>
      </c>
      <c r="T10" s="197" t="s">
        <v>864</v>
      </c>
      <c r="U10" s="197" t="s">
        <v>864</v>
      </c>
      <c r="V10" s="197" t="s">
        <v>865</v>
      </c>
      <c r="W10" s="197" t="s">
        <v>866</v>
      </c>
      <c r="X10" s="197" t="s">
        <v>860</v>
      </c>
      <c r="Y10" s="197" t="s">
        <v>858</v>
      </c>
      <c r="Z10" s="197" t="s">
        <v>858</v>
      </c>
      <c r="AA10" s="197" t="s">
        <v>858</v>
      </c>
      <c r="AB10" s="197" t="inlineStr">
        <is>
          <t>盛岡市高松二丁目（バス便）</t>
        </is>
      </c>
      <c r="AC10" s="197" t="inlineStr">
        <is>
          <t>盛岡市高松二丁目（バス便）</t>
        </is>
      </c>
      <c r="AD10" s="197" t="inlineStr">
        <is>
          <t>北千住駅エリア（千住元町）</t>
        </is>
      </c>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s">
        <v>867</v>
      </c>
      <c r="G11" s="197" t="s">
        <v>868</v>
      </c>
      <c r="H11" s="197" t="s">
        <v>869</v>
      </c>
      <c r="I11" s="197" t="s">
        <v>870</v>
      </c>
      <c r="J11" s="197" t="s">
        <v>871</v>
      </c>
      <c r="K11" s="197" t="s">
        <v>872</v>
      </c>
      <c r="L11" s="197" t="s">
        <v>867</v>
      </c>
      <c r="M11" s="197" t="s">
        <v>869</v>
      </c>
      <c r="N11" s="197" t="s">
        <v>873</v>
      </c>
      <c r="O11" s="197" t="s">
        <v>871</v>
      </c>
      <c r="P11" s="197" t="s">
        <v>871</v>
      </c>
      <c r="Q11" s="197" t="s">
        <v>869</v>
      </c>
      <c r="R11" s="197" t="s">
        <v>872</v>
      </c>
      <c r="S11" s="197" t="s">
        <v>870</v>
      </c>
      <c r="T11" s="197" t="s">
        <v>874</v>
      </c>
      <c r="U11" s="197" t="s">
        <v>874</v>
      </c>
      <c r="V11" s="197" t="s">
        <v>875</v>
      </c>
      <c r="W11" s="197" t="s">
        <v>868</v>
      </c>
      <c r="X11" s="197" t="s">
        <v>871</v>
      </c>
      <c r="Y11" s="197" t="s">
        <v>876</v>
      </c>
      <c r="Z11" s="197" t="s">
        <v>877</v>
      </c>
      <c r="AA11" s="197" t="s">
        <v>878</v>
      </c>
      <c r="AB11" s="197" t="inlineStr">
        <is>
          <t>岩手県盛岡市高松二丁目34-5</t>
        </is>
      </c>
      <c r="AC11" s="197" t="inlineStr">
        <is>
          <t>岩手県盛岡市高松二丁目34番30号</t>
        </is>
      </c>
      <c r="AD11" s="197" t="inlineStr">
        <is>
          <t>東京都足立区千住元町23-70</t>
        </is>
      </c>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s">
        <v>879</v>
      </c>
      <c r="G12" s="197" t="s">
        <v>879</v>
      </c>
      <c r="H12" s="197" t="s">
        <v>879</v>
      </c>
      <c r="I12" s="197" t="s">
        <v>879</v>
      </c>
      <c r="J12" s="197" t="s">
        <v>879</v>
      </c>
      <c r="K12" s="197" t="s">
        <v>879</v>
      </c>
      <c r="L12" s="197" t="s">
        <v>879</v>
      </c>
      <c r="M12" s="197" t="s">
        <v>879</v>
      </c>
      <c r="N12" s="197" t="s">
        <v>879</v>
      </c>
      <c r="O12" s="197" t="s">
        <v>879</v>
      </c>
      <c r="P12" s="197" t="s">
        <v>879</v>
      </c>
      <c r="Q12" s="197" t="s">
        <v>879</v>
      </c>
      <c r="R12" s="197" t="s">
        <v>879</v>
      </c>
      <c r="S12" s="197" t="s">
        <v>879</v>
      </c>
      <c r="T12" s="197" t="s">
        <v>879</v>
      </c>
      <c r="U12" s="197" t="s">
        <v>879</v>
      </c>
      <c r="V12" s="197" t="s">
        <v>879</v>
      </c>
      <c r="W12" s="197" t="s">
        <v>879</v>
      </c>
      <c r="X12" s="197" t="s">
        <v>880</v>
      </c>
      <c r="Y12" s="197" t="s">
        <v>880</v>
      </c>
      <c r="Z12" s="197" t="s">
        <v>880</v>
      </c>
      <c r="AA12" s="197" t="s">
        <v>880</v>
      </c>
      <c r="AB12" s="197" t="inlineStr">
        <is>
          <t>一棟</t>
        </is>
      </c>
      <c r="AC12" s="197" t="inlineStr">
        <is>
          <t>一棟</t>
        </is>
      </c>
      <c r="AD12" s="197" t="inlineStr">
        <is>
          <t>一棟</t>
        </is>
      </c>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s">
        <v>881</v>
      </c>
      <c r="G13" s="197" t="s">
        <v>881</v>
      </c>
      <c r="H13" s="197" t="s">
        <v>881</v>
      </c>
      <c r="I13" s="197" t="s">
        <v>881</v>
      </c>
      <c r="J13" s="197" t="s">
        <v>881</v>
      </c>
      <c r="K13" s="197" t="s">
        <v>881</v>
      </c>
      <c r="L13" s="197" t="s">
        <v>881</v>
      </c>
      <c r="M13" s="197" t="s">
        <v>881</v>
      </c>
      <c r="N13" s="197" t="s">
        <v>881</v>
      </c>
      <c r="O13" s="197" t="s">
        <v>881</v>
      </c>
      <c r="P13" s="197" t="s">
        <v>881</v>
      </c>
      <c r="Q13" s="197" t="s">
        <v>881</v>
      </c>
      <c r="R13" s="197" t="s">
        <v>881</v>
      </c>
      <c r="S13" s="197" t="s">
        <v>881</v>
      </c>
      <c r="T13" s="197" t="s">
        <v>881</v>
      </c>
      <c r="U13" s="197" t="s">
        <v>881</v>
      </c>
      <c r="V13" s="197" t="s">
        <v>881</v>
      </c>
      <c r="W13" s="197" t="s">
        <v>881</v>
      </c>
      <c r="X13" s="197" t="s">
        <v>882</v>
      </c>
      <c r="Y13" s="197" t="s">
        <v>881</v>
      </c>
      <c r="Z13" s="197" t="s">
        <v>881</v>
      </c>
      <c r="AA13" s="197" t="s">
        <v>881</v>
      </c>
      <c r="AB13" s="197" t="inlineStr">
        <is>
          <t>所有権</t>
        </is>
      </c>
      <c r="AC13" s="197" t="inlineStr">
        <is>
          <t>所有権</t>
        </is>
      </c>
      <c r="AD13" s="197" t="inlineStr">
        <is>
          <t>所有権</t>
        </is>
      </c>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s">
        <v>883</v>
      </c>
      <c r="G14" s="197" t="s">
        <v>884</v>
      </c>
      <c r="H14" s="197" t="s">
        <v>885</v>
      </c>
      <c r="I14" s="197" t="s">
        <v>886</v>
      </c>
      <c r="J14" s="197" t="s">
        <v>887</v>
      </c>
      <c r="K14" s="197" t="s">
        <v>888</v>
      </c>
      <c r="L14" s="197" t="s">
        <v>888</v>
      </c>
      <c r="M14" s="197" t="s">
        <v>886</v>
      </c>
      <c r="N14" s="197" t="s">
        <v>887</v>
      </c>
      <c r="O14" s="197" t="s">
        <v>889</v>
      </c>
      <c r="P14" s="197" t="s">
        <v>890</v>
      </c>
      <c r="Q14" s="197" t="s">
        <v>891</v>
      </c>
      <c r="R14" s="197" t="s">
        <v>892</v>
      </c>
      <c r="S14" s="197" t="s">
        <v>887</v>
      </c>
      <c r="T14" s="197" t="s">
        <v>890</v>
      </c>
      <c r="U14" s="197" t="s">
        <v>890</v>
      </c>
      <c r="V14" s="197" t="s">
        <v>887</v>
      </c>
      <c r="W14" s="197" t="s">
        <v>893</v>
      </c>
      <c r="X14" s="197" t="s">
        <v>890</v>
      </c>
      <c r="Y14" s="197" t="s">
        <v>887</v>
      </c>
      <c r="Z14" s="197" t="s">
        <v>894</v>
      </c>
      <c r="AA14" s="197" t="s">
        <v>894</v>
      </c>
      <c r="AB14" s="197" t="inlineStr">
        <is>
          <t>木造2階建・8戸(1K)・延床238.48㎡</t>
        </is>
      </c>
      <c r="AC14" s="197" t="inlineStr">
        <is>
          <t>木造・貸家3棟(3K)・延床163.92㎡・旧耐震</t>
        </is>
      </c>
      <c r="AD14" s="197" t="inlineStr">
        <is>
          <t>木造戸建・1971年築</t>
        </is>
      </c>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33639</v>
      </c>
      <c r="G15" s="198">
        <v>34852</v>
      </c>
      <c r="H15" s="198">
        <v>36647</v>
      </c>
      <c r="I15" s="198">
        <v>28501</v>
      </c>
      <c r="J15" s="198">
        <v>37053</v>
      </c>
      <c r="K15" s="198">
        <v>37296</v>
      </c>
      <c r="L15" s="198">
        <v>33639</v>
      </c>
      <c r="M15" s="198">
        <v>36647</v>
      </c>
      <c r="N15" s="198">
        <v>34824</v>
      </c>
      <c r="O15" s="198">
        <v>37053</v>
      </c>
      <c r="P15" s="198">
        <v>37296</v>
      </c>
      <c r="Q15" s="198">
        <v>33639</v>
      </c>
      <c r="R15" s="198">
        <v>34852</v>
      </c>
      <c r="S15" s="198">
        <v>36647</v>
      </c>
      <c r="T15" s="198">
        <v>28501</v>
      </c>
      <c r="U15" s="198">
        <v>28501</v>
      </c>
      <c r="V15" s="198">
        <v>34100</v>
      </c>
      <c r="W15" s="198">
        <v>34852</v>
      </c>
      <c r="X15" s="198">
        <v>37053</v>
      </c>
      <c r="Y15" s="198">
        <v>37296</v>
      </c>
      <c r="Z15" s="198">
        <v>37296</v>
      </c>
      <c r="AA15" s="198">
        <v>37296</v>
      </c>
      <c r="AB15" s="198" t="inlineStr">
        <is>
          <t>1997/3/1</t>
        </is>
      </c>
      <c r="AC15" s="198" t="inlineStr">
        <is>
          <t>1968/7/1</t>
        </is>
      </c>
      <c r="AD15" s="198" t="inlineStr">
        <is>
          <t>1971/1/1</t>
        </is>
      </c>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s">
        <v>896</v>
      </c>
      <c r="G16" s="197" t="s">
        <v>897</v>
      </c>
      <c r="H16" s="197" t="s">
        <v>896</v>
      </c>
      <c r="I16" s="197" t="s">
        <v>896</v>
      </c>
      <c r="J16" s="197" t="s">
        <v>896</v>
      </c>
      <c r="K16" s="197" t="s">
        <v>896</v>
      </c>
      <c r="L16" s="197" t="s">
        <v>896</v>
      </c>
      <c r="M16" s="197" t="s">
        <v>896</v>
      </c>
      <c r="N16" s="197" t="s">
        <v>414</v>
      </c>
      <c r="O16" s="197" t="s">
        <v>896</v>
      </c>
      <c r="P16" s="197" t="s">
        <v>896</v>
      </c>
      <c r="Q16" s="197" t="s">
        <v>896</v>
      </c>
      <c r="R16" s="197" t="s">
        <v>896</v>
      </c>
      <c r="S16" s="197" t="s">
        <v>896</v>
      </c>
      <c r="T16" s="197" t="s">
        <v>896</v>
      </c>
      <c r="U16" s="197" t="s">
        <v>896</v>
      </c>
      <c r="V16" s="197" t="s">
        <v>414</v>
      </c>
      <c r="W16" s="197" t="s">
        <v>896</v>
      </c>
      <c r="X16" s="197" t="s">
        <v>898</v>
      </c>
      <c r="Y16" s="197" t="s">
        <v>899</v>
      </c>
      <c r="Z16" s="197" t="s">
        <v>896</v>
      </c>
      <c r="AA16" s="197" t="s">
        <v>896</v>
      </c>
      <c r="AB16" s="197" t="inlineStr">
        <is>
          <t>長期保有</t>
        </is>
      </c>
      <c r="AC16" s="197" t="inlineStr">
        <is>
          <t>長期保有（将来解体・更地売却出口）</t>
        </is>
      </c>
      <c r="AD16" s="197" t="inlineStr">
        <is>
          <t>長期保有（賃貸中）</t>
        </is>
      </c>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44624</v>
      </c>
      <c r="G17" s="199">
        <v>44348</v>
      </c>
      <c r="H17" s="199">
        <v>44352</v>
      </c>
      <c r="I17" s="199">
        <v>43894</v>
      </c>
      <c r="J17" s="199">
        <v>43926</v>
      </c>
      <c r="K17" s="199">
        <v>43836</v>
      </c>
      <c r="L17" s="199">
        <v>43621</v>
      </c>
      <c r="M17" s="199">
        <v>43256</v>
      </c>
      <c r="N17" s="199">
        <v>42615</v>
      </c>
      <c r="O17" s="199">
        <v>43227</v>
      </c>
      <c r="P17" s="199">
        <v>42979</v>
      </c>
      <c r="Q17" s="199">
        <v>42887</v>
      </c>
      <c r="R17" s="199">
        <v>42525</v>
      </c>
      <c r="S17" s="199">
        <v>42523</v>
      </c>
      <c r="T17" s="199">
        <v>42039</v>
      </c>
      <c r="U17" s="199">
        <v>42039</v>
      </c>
      <c r="V17" s="199">
        <v>42342</v>
      </c>
      <c r="W17" s="199">
        <v>43717</v>
      </c>
      <c r="X17" s="199">
        <v>44146</v>
      </c>
      <c r="Y17" s="199">
        <v>43507</v>
      </c>
      <c r="Z17" s="199">
        <v>43507</v>
      </c>
      <c r="AA17" s="199">
        <v>43507</v>
      </c>
      <c r="AB17" s="199" t="inlineStr">
        <is>
          <t>2026/8/14</t>
        </is>
      </c>
      <c r="AC17" s="199" t="inlineStr">
        <is>
          <t>2026/8/14</t>
        </is>
      </c>
      <c r="AD17" s="199" t="inlineStr">
        <is>
          <t>2021/10/15</t>
        </is>
      </c>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227000000</v>
      </c>
      <c r="G18" s="200">
        <v>415000000</v>
      </c>
      <c r="H18" s="200">
        <v>420000000</v>
      </c>
      <c r="I18" s="200">
        <v>94750000</v>
      </c>
      <c r="J18" s="200">
        <v>295000000</v>
      </c>
      <c r="K18" s="200">
        <v>436000000</v>
      </c>
      <c r="L18" s="200">
        <v>392000000</v>
      </c>
      <c r="M18" s="200">
        <v>190000000</v>
      </c>
      <c r="N18" s="200">
        <v>392000000</v>
      </c>
      <c r="O18" s="200">
        <v>300000000</v>
      </c>
      <c r="P18" s="200">
        <v>440000000</v>
      </c>
      <c r="Q18" s="200">
        <v>480000000</v>
      </c>
      <c r="R18" s="200">
        <v>210000000</v>
      </c>
      <c r="S18" s="200">
        <v>550000000</v>
      </c>
      <c r="T18" s="200">
        <v>354000000</v>
      </c>
      <c r="U18" s="200">
        <v>130000000</v>
      </c>
      <c r="V18" s="200">
        <v>436000000</v>
      </c>
      <c r="W18" s="200">
        <v>145000000</v>
      </c>
      <c r="X18" s="200">
        <v>5350000</v>
      </c>
      <c r="Y18" s="200">
        <v>75000000</v>
      </c>
      <c r="Z18" s="200">
        <v>50000000</v>
      </c>
      <c r="AA18" s="200">
        <v>30000000</v>
      </c>
      <c r="AB18" s="200">
        <v>37000000</v>
      </c>
      <c r="AC18" s="200">
        <v>0</v>
      </c>
      <c r="AD18" s="200">
        <v>8000000</v>
      </c>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s">
        <v>902</v>
      </c>
      <c r="G19" s="200"/>
      <c r="H19" s="200"/>
      <c r="I19" s="200"/>
      <c r="J19" s="200"/>
      <c r="K19" s="200"/>
      <c r="L19" s="200"/>
      <c r="M19" s="200"/>
      <c r="N19" s="200"/>
      <c r="O19" s="200"/>
      <c r="P19" s="200"/>
      <c r="Q19" s="200"/>
      <c r="R19" s="200"/>
      <c r="S19" s="200"/>
      <c r="T19" s="200"/>
      <c r="U19" s="200"/>
      <c r="V19" s="200"/>
      <c r="W19" s="200"/>
      <c r="X19" s="200"/>
      <c r="Y19" s="200"/>
      <c r="Z19" s="200" t="s">
        <v>448</v>
      </c>
      <c r="AA19" s="200" t="s">
        <v>448</v>
      </c>
      <c r="AB19" s="200" t="inlineStr">
        <is>
          <t>花みずきと一括3,700万円(税込総額)。按分は契約書で確定。2023年外壁改修済</t>
        </is>
      </c>
      <c r="AC19" s="200" t="inlineStr">
        <is>
          <t>価格はアーバンキューブ側へ一括計上。賃料10.8万/月。解体見積424.6万(東日産業)。塀が東側隣地へ越境</t>
        </is>
      </c>
      <c r="AD19" s="200" t="inlineStr">
        <is>
          <t>2024/1定期借家で賃貸中。満室想定82.8万/年。2025年雪災請求は否認(羽角式)。保険2025/6解約→再加入検討</t>
        </is>
      </c>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806</v>
      </c>
      <c r="G21" s="197">
        <v>801</v>
      </c>
      <c r="H21" s="197">
        <v>807</v>
      </c>
      <c r="I21" s="197">
        <v>802</v>
      </c>
      <c r="J21" s="197">
        <v>803</v>
      </c>
      <c r="K21" s="197">
        <v>805</v>
      </c>
      <c r="L21" s="197">
        <v>808</v>
      </c>
      <c r="M21" s="197">
        <v>809</v>
      </c>
      <c r="N21" s="197" t="s">
        <v>846</v>
      </c>
      <c r="O21" s="197">
        <v>811</v>
      </c>
      <c r="P21" s="197">
        <v>812</v>
      </c>
      <c r="Q21" s="197">
        <v>813</v>
      </c>
      <c r="R21" s="197">
        <v>814</v>
      </c>
      <c r="S21" s="197">
        <v>815</v>
      </c>
      <c r="T21" s="197">
        <v>816</v>
      </c>
      <c r="U21" s="197">
        <v>817</v>
      </c>
      <c r="V21" s="197">
        <v>111</v>
      </c>
      <c r="W21" s="197">
        <v>820</v>
      </c>
      <c r="X21" s="197"/>
      <c r="Y21" s="197">
        <v>825</v>
      </c>
      <c r="Z21" s="197">
        <v>821</v>
      </c>
      <c r="AA21" s="197">
        <v>821</v>
      </c>
      <c r="AB21" s="197">
        <v>833</v>
      </c>
      <c r="AC21" s="197">
        <v>833</v>
      </c>
      <c r="AD21" s="197">
        <v>834</v>
      </c>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t="s">
        <v>764</v>
      </c>
      <c r="AA28" s="201" t="s">
        <v>764</v>
      </c>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f>5/8</f>
        <v>0.625</v>
      </c>
      <c r="AA29" s="201">
        <f>3/8</f>
        <v>0.375</v>
      </c>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v>501000</v>
      </c>
      <c r="G41" s="200">
        <v>117000</v>
      </c>
      <c r="H41" s="200">
        <v>366000</v>
      </c>
      <c r="I41" s="200">
        <v>162100</v>
      </c>
      <c r="J41" s="200">
        <v>646000</v>
      </c>
      <c r="K41" s="200">
        <v>412000</v>
      </c>
      <c r="L41" s="200">
        <v>220000</v>
      </c>
      <c r="M41" s="200">
        <v>434000</v>
      </c>
      <c r="N41" s="200" t="s">
        <v>414</v>
      </c>
      <c r="O41" s="200">
        <v>436000</v>
      </c>
      <c r="P41" s="200">
        <v>420000</v>
      </c>
      <c r="Q41" s="200">
        <v>565000</v>
      </c>
      <c r="R41" s="200">
        <v>389000</v>
      </c>
      <c r="S41" s="200">
        <v>418000</v>
      </c>
      <c r="T41" s="200">
        <v>267000</v>
      </c>
      <c r="U41" s="200">
        <v>267000</v>
      </c>
      <c r="V41" s="200" t="s">
        <v>414</v>
      </c>
      <c r="W41" s="200">
        <v>655000</v>
      </c>
      <c r="X41" s="200" t="s">
        <v>521</v>
      </c>
      <c r="Y41" s="200" t="s">
        <v>521</v>
      </c>
      <c r="Z41" s="200">
        <v>655000</v>
      </c>
      <c r="AA41" s="200">
        <v>655000</v>
      </c>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t="s">
        <v>923</v>
      </c>
      <c r="G42" s="197" t="s">
        <v>924</v>
      </c>
      <c r="H42" s="197" t="s">
        <v>925</v>
      </c>
      <c r="I42" s="197" t="s">
        <v>926</v>
      </c>
      <c r="J42" s="197" t="s">
        <v>927</v>
      </c>
      <c r="K42" s="197" t="s">
        <v>928</v>
      </c>
      <c r="L42" s="197" t="s">
        <v>929</v>
      </c>
      <c r="M42" s="197" t="s">
        <v>930</v>
      </c>
      <c r="N42" s="197" t="s">
        <v>414</v>
      </c>
      <c r="O42" s="197" t="s">
        <v>931</v>
      </c>
      <c r="P42" s="197" t="s">
        <v>932</v>
      </c>
      <c r="Q42" s="197" t="s">
        <v>933</v>
      </c>
      <c r="R42" s="197" t="s">
        <v>934</v>
      </c>
      <c r="S42" s="197" t="s">
        <v>935</v>
      </c>
      <c r="T42" s="197" t="s">
        <v>936</v>
      </c>
      <c r="U42" s="197" t="s">
        <v>936</v>
      </c>
      <c r="V42" s="197" t="s">
        <v>414</v>
      </c>
      <c r="W42" s="197" t="s">
        <v>937</v>
      </c>
      <c r="X42" s="197" t="s">
        <v>521</v>
      </c>
      <c r="Y42" s="197" t="s">
        <v>521</v>
      </c>
      <c r="Z42" s="197" t="s">
        <v>937</v>
      </c>
      <c r="AA42" s="197" t="s">
        <v>937</v>
      </c>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6.5000000000000002E-2</v>
      </c>
      <c r="G44" s="202">
        <v>6.8000000000000005E-2</v>
      </c>
      <c r="H44" s="202">
        <v>7.4999999999999997E-2</v>
      </c>
      <c r="I44" s="202">
        <v>5.8000000000000003E-2</v>
      </c>
      <c r="J44" s="202">
        <v>5.8999999999999997E-2</v>
      </c>
      <c r="K44" s="202">
        <v>6.0999999999999999E-2</v>
      </c>
      <c r="L44" s="202">
        <v>6.5000000000000002E-2</v>
      </c>
      <c r="M44" s="202">
        <v>7.4999999999999997E-2</v>
      </c>
      <c r="N44" s="202" t="s">
        <v>414</v>
      </c>
      <c r="O44" s="202">
        <v>5.8999999999999997E-2</v>
      </c>
      <c r="P44" s="202">
        <v>6.0999999999999999E-2</v>
      </c>
      <c r="Q44" s="202">
        <v>6.5000000000000002E-2</v>
      </c>
      <c r="R44" s="202">
        <v>6.8000000000000005E-2</v>
      </c>
      <c r="S44" s="202">
        <v>7.4999999999999997E-2</v>
      </c>
      <c r="T44" s="202">
        <v>5.8000000000000003E-2</v>
      </c>
      <c r="U44" s="202">
        <v>5.8000000000000003E-2</v>
      </c>
      <c r="V44" s="202" t="s">
        <v>414</v>
      </c>
      <c r="W44" s="202">
        <v>6.8000000000000005E-2</v>
      </c>
      <c r="X44" s="202">
        <v>5.8999999999999997E-2</v>
      </c>
      <c r="Y44" s="202"/>
      <c r="Z44" s="202">
        <v>0.05</v>
      </c>
      <c r="AA44" s="202">
        <v>0.05</v>
      </c>
      <c r="AB44" s="202">
        <v>0.08</v>
      </c>
      <c r="AC44" s="202">
        <v>0.08</v>
      </c>
      <c r="AD44" s="202">
        <v>0.08</v>
      </c>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s">
        <v>944</v>
      </c>
      <c r="G47" s="197" t="s">
        <v>945</v>
      </c>
      <c r="H47" s="197" t="s">
        <v>944</v>
      </c>
      <c r="I47" s="197" t="s">
        <v>944</v>
      </c>
      <c r="J47" s="197" t="s">
        <v>944</v>
      </c>
      <c r="K47" s="197" t="s">
        <v>944</v>
      </c>
      <c r="L47" s="197" t="s">
        <v>944</v>
      </c>
      <c r="M47" s="197" t="s">
        <v>944</v>
      </c>
      <c r="N47" s="197" t="s">
        <v>414</v>
      </c>
      <c r="O47" s="197" t="s">
        <v>944</v>
      </c>
      <c r="P47" s="197" t="s">
        <v>944</v>
      </c>
      <c r="Q47" s="197" t="s">
        <v>944</v>
      </c>
      <c r="R47" s="197" t="s">
        <v>944</v>
      </c>
      <c r="S47" s="197" t="s">
        <v>944</v>
      </c>
      <c r="T47" s="197" t="s">
        <v>946</v>
      </c>
      <c r="U47" s="197" t="s">
        <v>946</v>
      </c>
      <c r="V47" s="197" t="s">
        <v>414</v>
      </c>
      <c r="W47" s="197" t="s">
        <v>944</v>
      </c>
      <c r="X47" s="197" t="s">
        <v>945</v>
      </c>
      <c r="Y47" s="197" t="s">
        <v>945</v>
      </c>
      <c r="Z47" s="197" t="s">
        <v>945</v>
      </c>
      <c r="AA47" s="197" t="s">
        <v>945</v>
      </c>
      <c r="AB47" s="197" t="inlineStr">
        <is>
          <t>大学生協</t>
        </is>
      </c>
      <c r="AC47" s="197" t="inlineStr">
        <is>
          <t>不動産管理トラステン合同会社</t>
        </is>
      </c>
      <c r="AD47" s="197" t="inlineStr">
        <is>
          <t>自主管理（要確認）</t>
        </is>
      </c>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5.5E-2</v>
      </c>
      <c r="G48" s="202">
        <v>4.4999999999999998E-2</v>
      </c>
      <c r="H48" s="202">
        <v>5.5E-2</v>
      </c>
      <c r="I48" s="202">
        <v>5.5E-2</v>
      </c>
      <c r="J48" s="202">
        <v>5.5E-2</v>
      </c>
      <c r="K48" s="202">
        <v>5.5E-2</v>
      </c>
      <c r="L48" s="202">
        <v>5.5E-2</v>
      </c>
      <c r="M48" s="202">
        <v>5.5E-2</v>
      </c>
      <c r="N48" s="202" t="s">
        <v>414</v>
      </c>
      <c r="O48" s="202">
        <v>5.5E-2</v>
      </c>
      <c r="P48" s="202">
        <v>5.5E-2</v>
      </c>
      <c r="Q48" s="202">
        <v>5.5E-2</v>
      </c>
      <c r="R48" s="202">
        <v>5.5E-2</v>
      </c>
      <c r="S48" s="202">
        <v>5.5E-2</v>
      </c>
      <c r="T48" s="202">
        <v>5.5E-2</v>
      </c>
      <c r="U48" s="202">
        <v>5.5E-2</v>
      </c>
      <c r="V48" s="202" t="s">
        <v>414</v>
      </c>
      <c r="W48" s="202">
        <v>5.5E-2</v>
      </c>
      <c r="X48" s="202">
        <v>0</v>
      </c>
      <c r="Y48" s="202">
        <v>0</v>
      </c>
      <c r="Z48" s="202">
        <v>0</v>
      </c>
      <c r="AA48" s="202">
        <v>0</v>
      </c>
      <c r="AB48" s="202">
        <v>0.055</v>
      </c>
      <c r="AC48" s="202">
        <v>0.055</v>
      </c>
      <c r="AD48" s="202">
        <v>0.055</v>
      </c>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3</v>
      </c>
      <c r="J49" s="197">
        <v>3</v>
      </c>
      <c r="K49" s="197">
        <v>3</v>
      </c>
      <c r="L49" s="197">
        <v>3</v>
      </c>
      <c r="M49" s="197">
        <v>3</v>
      </c>
      <c r="N49" s="197" t="s">
        <v>414</v>
      </c>
      <c r="O49" s="197">
        <v>3</v>
      </c>
      <c r="P49" s="197">
        <v>3</v>
      </c>
      <c r="Q49" s="197">
        <v>3</v>
      </c>
      <c r="R49" s="197">
        <v>3</v>
      </c>
      <c r="S49" s="197">
        <v>3</v>
      </c>
      <c r="T49" s="197">
        <v>3</v>
      </c>
      <c r="U49" s="197">
        <v>3</v>
      </c>
      <c r="V49" s="197" t="s">
        <v>414</v>
      </c>
      <c r="W49" s="197">
        <v>3</v>
      </c>
      <c r="X49" s="197">
        <v>3</v>
      </c>
      <c r="Y49" s="197">
        <v>3</v>
      </c>
      <c r="Z49" s="197">
        <v>3</v>
      </c>
      <c r="AA49" s="197">
        <v>3</v>
      </c>
      <c r="AB49" s="197">
        <v>3</v>
      </c>
      <c r="AC49" s="197">
        <v>3</v>
      </c>
      <c r="AD49" s="197">
        <v>3</v>
      </c>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1.7</v>
      </c>
      <c r="J50" s="197">
        <v>1.7</v>
      </c>
      <c r="K50" s="197">
        <v>1.7</v>
      </c>
      <c r="L50" s="197">
        <v>1.7</v>
      </c>
      <c r="M50" s="197">
        <v>1.7</v>
      </c>
      <c r="N50" s="197" t="s">
        <v>414</v>
      </c>
      <c r="O50" s="197">
        <v>1.7</v>
      </c>
      <c r="P50" s="197">
        <v>1.7</v>
      </c>
      <c r="Q50" s="197">
        <v>1.7</v>
      </c>
      <c r="R50" s="197">
        <v>1.7</v>
      </c>
      <c r="S50" s="197">
        <v>1.7</v>
      </c>
      <c r="T50" s="197">
        <v>1.7</v>
      </c>
      <c r="U50" s="197">
        <v>1.7</v>
      </c>
      <c r="V50" s="197" t="s">
        <v>414</v>
      </c>
      <c r="W50" s="197">
        <v>1.7</v>
      </c>
      <c r="X50" s="197">
        <v>1.7</v>
      </c>
      <c r="Y50" s="197">
        <v>1.7</v>
      </c>
      <c r="Z50" s="197">
        <v>1.7</v>
      </c>
      <c r="AA50" s="197">
        <v>1.7</v>
      </c>
      <c r="AB50" s="197">
        <v>1.7</v>
      </c>
      <c r="AC50" s="197">
        <v>1.7</v>
      </c>
      <c r="AD50" s="197">
        <v>1.7</v>
      </c>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2</v>
      </c>
      <c r="J51" s="197">
        <v>2</v>
      </c>
      <c r="K51" s="197">
        <v>2</v>
      </c>
      <c r="L51" s="197">
        <v>2</v>
      </c>
      <c r="M51" s="197">
        <v>2</v>
      </c>
      <c r="N51" s="197" t="s">
        <v>414</v>
      </c>
      <c r="O51" s="197">
        <v>2</v>
      </c>
      <c r="P51" s="197">
        <v>2</v>
      </c>
      <c r="Q51" s="197">
        <v>2</v>
      </c>
      <c r="R51" s="197">
        <v>2</v>
      </c>
      <c r="S51" s="197">
        <v>2</v>
      </c>
      <c r="T51" s="197">
        <v>2</v>
      </c>
      <c r="U51" s="197">
        <v>2</v>
      </c>
      <c r="V51" s="197" t="s">
        <v>414</v>
      </c>
      <c r="W51" s="197">
        <v>2</v>
      </c>
      <c r="X51" s="197">
        <v>2</v>
      </c>
      <c r="Y51" s="197">
        <v>2</v>
      </c>
      <c r="Z51" s="197">
        <v>2</v>
      </c>
      <c r="AA51" s="197">
        <v>2</v>
      </c>
      <c r="AB51" s="197">
        <v>2</v>
      </c>
      <c r="AC51" s="197">
        <v>2</v>
      </c>
      <c r="AD51" s="197">
        <v>2</v>
      </c>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1.5</v>
      </c>
      <c r="J52" s="197">
        <v>1.5</v>
      </c>
      <c r="K52" s="197">
        <v>1.5</v>
      </c>
      <c r="L52" s="197">
        <v>1.5</v>
      </c>
      <c r="M52" s="197">
        <v>1.5</v>
      </c>
      <c r="N52" s="197" t="s">
        <v>414</v>
      </c>
      <c r="O52" s="197">
        <v>1.7</v>
      </c>
      <c r="P52" s="197">
        <v>1.7</v>
      </c>
      <c r="Q52" s="197">
        <v>1.7</v>
      </c>
      <c r="R52" s="197">
        <v>1.7</v>
      </c>
      <c r="S52" s="197">
        <v>1.7</v>
      </c>
      <c r="T52" s="197">
        <v>1.7</v>
      </c>
      <c r="U52" s="197">
        <v>1.7</v>
      </c>
      <c r="V52" s="197" t="s">
        <v>414</v>
      </c>
      <c r="W52" s="197">
        <v>2</v>
      </c>
      <c r="X52" s="197">
        <v>2</v>
      </c>
      <c r="Y52" s="197">
        <v>2</v>
      </c>
      <c r="Z52" s="197">
        <v>2</v>
      </c>
      <c r="AA52" s="197">
        <v>2</v>
      </c>
      <c r="AB52" s="197">
        <v>1.5</v>
      </c>
      <c r="AC52" s="197">
        <v>1.5</v>
      </c>
      <c r="AD52" s="197">
        <v>1.5</v>
      </c>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f t="shared" ref="F55:AK55" si="93">IFERROR((F49*12)/(F49*12+F50),0)</f>
        <v>0.95490716180371349</v>
      </c>
      <c r="G55" s="195">
        <f t="shared" si="93"/>
        <v>0.95490716180371349</v>
      </c>
      <c r="H55" s="195">
        <f t="shared" si="93"/>
        <v>0.95490716180371349</v>
      </c>
      <c r="I55" s="195">
        <f t="shared" si="93"/>
        <v>0.95490716180371349</v>
      </c>
      <c r="J55" s="195">
        <f t="shared" si="93"/>
        <v>0.95490716180371349</v>
      </c>
      <c r="K55" s="195">
        <f t="shared" si="93"/>
        <v>0.95490716180371349</v>
      </c>
      <c r="L55" s="195">
        <f t="shared" si="93"/>
        <v>0.95490716180371349</v>
      </c>
      <c r="M55" s="195">
        <f t="shared" si="93"/>
        <v>0.95490716180371349</v>
      </c>
      <c r="N55" s="195">
        <f t="shared" si="93"/>
        <v>0</v>
      </c>
      <c r="O55" s="195">
        <f t="shared" si="93"/>
        <v>0.95490716180371349</v>
      </c>
      <c r="P55" s="195">
        <f t="shared" si="93"/>
        <v>0.95490716180371349</v>
      </c>
      <c r="Q55" s="195">
        <f t="shared" si="93"/>
        <v>0.95490716180371349</v>
      </c>
      <c r="R55" s="195">
        <f t="shared" si="93"/>
        <v>0.95490716180371349</v>
      </c>
      <c r="S55" s="195">
        <f t="shared" si="93"/>
        <v>0.95490716180371349</v>
      </c>
      <c r="T55" s="195">
        <f t="shared" si="93"/>
        <v>0.95490716180371349</v>
      </c>
      <c r="U55" s="195">
        <f t="shared" si="93"/>
        <v>0.95490716180371349</v>
      </c>
      <c r="V55" s="195">
        <f t="shared" si="93"/>
        <v>0</v>
      </c>
      <c r="W55" s="195">
        <f t="shared" si="93"/>
        <v>0.95490716180371349</v>
      </c>
      <c r="X55" s="195">
        <f t="shared" si="93"/>
        <v>0.95490716180371349</v>
      </c>
      <c r="Y55" s="195">
        <f t="shared" si="93"/>
        <v>0.95490716180371349</v>
      </c>
      <c r="Z55" s="195">
        <f t="shared" si="93"/>
        <v>0.95490716180371349</v>
      </c>
      <c r="AA55" s="195">
        <f t="shared" si="93"/>
        <v>0.95490716180371349</v>
      </c>
      <c r="AB55" s="195">
        <v>0.95</v>
      </c>
      <c r="AC55" s="195">
        <v>0.95</v>
      </c>
      <c r="AD55" s="195">
        <v>0.95</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t="s">
        <v>976</v>
      </c>
      <c r="G78" s="197" t="s">
        <v>976</v>
      </c>
      <c r="H78" s="197" t="s">
        <v>976</v>
      </c>
      <c r="I78" s="197" t="s">
        <v>976</v>
      </c>
      <c r="J78" s="197" t="s">
        <v>976</v>
      </c>
      <c r="K78" s="197" t="s">
        <v>976</v>
      </c>
      <c r="L78" s="197" t="s">
        <v>976</v>
      </c>
      <c r="M78" s="197" t="s">
        <v>976</v>
      </c>
      <c r="N78" s="197" t="s">
        <v>414</v>
      </c>
      <c r="O78" s="197" t="s">
        <v>976</v>
      </c>
      <c r="P78" s="197" t="s">
        <v>976</v>
      </c>
      <c r="Q78" s="197" t="s">
        <v>976</v>
      </c>
      <c r="R78" s="197" t="s">
        <v>976</v>
      </c>
      <c r="S78" s="197" t="s">
        <v>976</v>
      </c>
      <c r="T78" s="197" t="s">
        <v>976</v>
      </c>
      <c r="U78" s="197" t="s">
        <v>976</v>
      </c>
      <c r="V78" s="197" t="s">
        <v>414</v>
      </c>
      <c r="W78" s="197" t="s">
        <v>976</v>
      </c>
      <c r="X78" s="197" t="s">
        <v>976</v>
      </c>
      <c r="Y78" s="197" t="s">
        <v>976</v>
      </c>
      <c r="Z78" s="197" t="s">
        <v>976</v>
      </c>
      <c r="AA78" s="197" t="s">
        <v>976</v>
      </c>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t="s">
        <v>976</v>
      </c>
      <c r="G79" s="197" t="s">
        <v>976</v>
      </c>
      <c r="H79" s="197" t="s">
        <v>976</v>
      </c>
      <c r="I79" s="197" t="s">
        <v>976</v>
      </c>
      <c r="J79" s="197" t="s">
        <v>976</v>
      </c>
      <c r="K79" s="197" t="s">
        <v>976</v>
      </c>
      <c r="L79" s="197" t="s">
        <v>976</v>
      </c>
      <c r="M79" s="197" t="s">
        <v>976</v>
      </c>
      <c r="N79" s="197" t="s">
        <v>414</v>
      </c>
      <c r="O79" s="197" t="s">
        <v>976</v>
      </c>
      <c r="P79" s="197" t="s">
        <v>976</v>
      </c>
      <c r="Q79" s="197" t="s">
        <v>976</v>
      </c>
      <c r="R79" s="197" t="s">
        <v>976</v>
      </c>
      <c r="S79" s="197" t="s">
        <v>976</v>
      </c>
      <c r="T79" s="197" t="s">
        <v>976</v>
      </c>
      <c r="U79" s="197" t="s">
        <v>976</v>
      </c>
      <c r="V79" s="197" t="s">
        <v>414</v>
      </c>
      <c r="W79" s="197" t="s">
        <v>976</v>
      </c>
      <c r="X79" s="197" t="s">
        <v>978</v>
      </c>
      <c r="Y79" s="197" t="s">
        <v>978</v>
      </c>
      <c r="Z79" s="197" t="s">
        <v>978</v>
      </c>
      <c r="AA79" s="197" t="s">
        <v>978</v>
      </c>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t="s">
        <v>980</v>
      </c>
      <c r="G80" s="197" t="s">
        <v>980</v>
      </c>
      <c r="H80" s="197" t="s">
        <v>980</v>
      </c>
      <c r="I80" s="197" t="s">
        <v>980</v>
      </c>
      <c r="J80" s="197" t="s">
        <v>980</v>
      </c>
      <c r="K80" s="197" t="s">
        <v>980</v>
      </c>
      <c r="L80" s="197" t="s">
        <v>980</v>
      </c>
      <c r="M80" s="197" t="s">
        <v>980</v>
      </c>
      <c r="N80" s="197" t="s">
        <v>414</v>
      </c>
      <c r="O80" s="197" t="s">
        <v>980</v>
      </c>
      <c r="P80" s="197" t="s">
        <v>980</v>
      </c>
      <c r="Q80" s="197" t="s">
        <v>980</v>
      </c>
      <c r="R80" s="197" t="s">
        <v>980</v>
      </c>
      <c r="S80" s="197" t="s">
        <v>980</v>
      </c>
      <c r="T80" s="197" t="s">
        <v>980</v>
      </c>
      <c r="U80" s="197" t="s">
        <v>980</v>
      </c>
      <c r="V80" s="197" t="s">
        <v>414</v>
      </c>
      <c r="W80" s="197" t="s">
        <v>980</v>
      </c>
      <c r="X80" s="197" t="s">
        <v>978</v>
      </c>
      <c r="Y80" s="197" t="s">
        <v>978</v>
      </c>
      <c r="Z80" s="197" t="s">
        <v>978</v>
      </c>
      <c r="AA80" s="197" t="s">
        <v>978</v>
      </c>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t="s">
        <v>980</v>
      </c>
      <c r="G81" s="197" t="s">
        <v>980</v>
      </c>
      <c r="H81" s="197" t="s">
        <v>980</v>
      </c>
      <c r="I81" s="197" t="s">
        <v>980</v>
      </c>
      <c r="J81" s="197" t="s">
        <v>980</v>
      </c>
      <c r="K81" s="197" t="s">
        <v>980</v>
      </c>
      <c r="L81" s="197" t="s">
        <v>980</v>
      </c>
      <c r="M81" s="197" t="s">
        <v>980</v>
      </c>
      <c r="N81" s="197" t="s">
        <v>414</v>
      </c>
      <c r="O81" s="197" t="s">
        <v>980</v>
      </c>
      <c r="P81" s="197" t="s">
        <v>980</v>
      </c>
      <c r="Q81" s="197" t="s">
        <v>980</v>
      </c>
      <c r="R81" s="197" t="s">
        <v>980</v>
      </c>
      <c r="S81" s="197" t="s">
        <v>980</v>
      </c>
      <c r="T81" s="197" t="s">
        <v>980</v>
      </c>
      <c r="U81" s="197" t="s">
        <v>980</v>
      </c>
      <c r="V81" s="197" t="s">
        <v>414</v>
      </c>
      <c r="W81" s="197" t="s">
        <v>980</v>
      </c>
      <c r="X81" s="197" t="s">
        <v>978</v>
      </c>
      <c r="Y81" s="197" t="s">
        <v>978</v>
      </c>
      <c r="Z81" s="197" t="s">
        <v>978</v>
      </c>
      <c r="AA81" s="197" t="s">
        <v>978</v>
      </c>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t="s">
        <v>983</v>
      </c>
      <c r="G82" s="197" t="s">
        <v>983</v>
      </c>
      <c r="H82" s="197" t="s">
        <v>983</v>
      </c>
      <c r="I82" s="197" t="s">
        <v>983</v>
      </c>
      <c r="J82" s="197" t="s">
        <v>984</v>
      </c>
      <c r="K82" s="197" t="s">
        <v>984</v>
      </c>
      <c r="L82" s="197" t="s">
        <v>983</v>
      </c>
      <c r="M82" s="197" t="s">
        <v>983</v>
      </c>
      <c r="N82" s="197" t="s">
        <v>414</v>
      </c>
      <c r="O82" s="197" t="s">
        <v>983</v>
      </c>
      <c r="P82" s="197" t="s">
        <v>983</v>
      </c>
      <c r="Q82" s="197" t="s">
        <v>983</v>
      </c>
      <c r="R82" s="197" t="s">
        <v>983</v>
      </c>
      <c r="S82" s="197" t="s">
        <v>983</v>
      </c>
      <c r="T82" s="197" t="s">
        <v>983</v>
      </c>
      <c r="U82" s="197" t="s">
        <v>983</v>
      </c>
      <c r="V82" s="197" t="s">
        <v>414</v>
      </c>
      <c r="W82" s="197" t="s">
        <v>983</v>
      </c>
      <c r="X82" s="197" t="s">
        <v>978</v>
      </c>
      <c r="Y82" s="197" t="s">
        <v>978</v>
      </c>
      <c r="Z82" s="197" t="s">
        <v>978</v>
      </c>
      <c r="AA82" s="197" t="s">
        <v>978</v>
      </c>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t="s">
        <v>983</v>
      </c>
      <c r="G83" s="197" t="s">
        <v>983</v>
      </c>
      <c r="H83" s="197" t="s">
        <v>983</v>
      </c>
      <c r="I83" s="197" t="s">
        <v>983</v>
      </c>
      <c r="J83" s="197" t="s">
        <v>983</v>
      </c>
      <c r="K83" s="197" t="s">
        <v>983</v>
      </c>
      <c r="L83" s="197" t="s">
        <v>984</v>
      </c>
      <c r="M83" s="197" t="s">
        <v>983</v>
      </c>
      <c r="N83" s="197" t="s">
        <v>414</v>
      </c>
      <c r="O83" s="197" t="s">
        <v>983</v>
      </c>
      <c r="P83" s="197" t="s">
        <v>983</v>
      </c>
      <c r="Q83" s="197" t="s">
        <v>983</v>
      </c>
      <c r="R83" s="197" t="s">
        <v>983</v>
      </c>
      <c r="S83" s="197" t="s">
        <v>983</v>
      </c>
      <c r="T83" s="197" t="s">
        <v>983</v>
      </c>
      <c r="U83" s="197" t="s">
        <v>983</v>
      </c>
      <c r="V83" s="197" t="s">
        <v>414</v>
      </c>
      <c r="W83" s="197" t="s">
        <v>984</v>
      </c>
      <c r="X83" s="197" t="s">
        <v>978</v>
      </c>
      <c r="Y83" s="197" t="s">
        <v>978</v>
      </c>
      <c r="Z83" s="197" t="s">
        <v>978</v>
      </c>
      <c r="AA83" s="197" t="s">
        <v>978</v>
      </c>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v>6</v>
      </c>
      <c r="G84" s="197">
        <v>8</v>
      </c>
      <c r="H84" s="197">
        <v>2</v>
      </c>
      <c r="I84" s="197">
        <v>5</v>
      </c>
      <c r="J84" s="197">
        <v>4</v>
      </c>
      <c r="K84" s="197">
        <v>6</v>
      </c>
      <c r="L84" s="197">
        <v>2</v>
      </c>
      <c r="M84" s="197">
        <v>6</v>
      </c>
      <c r="N84" s="197" t="s">
        <v>414</v>
      </c>
      <c r="O84" s="197">
        <v>2</v>
      </c>
      <c r="P84" s="197">
        <v>5</v>
      </c>
      <c r="Q84" s="197">
        <v>4</v>
      </c>
      <c r="R84" s="197">
        <v>6</v>
      </c>
      <c r="S84" s="197">
        <v>2</v>
      </c>
      <c r="T84" s="197">
        <v>5</v>
      </c>
      <c r="U84" s="197">
        <v>5</v>
      </c>
      <c r="V84" s="197" t="s">
        <v>414</v>
      </c>
      <c r="W84" s="197">
        <v>5</v>
      </c>
      <c r="X84" s="197" t="s">
        <v>978</v>
      </c>
      <c r="Y84" s="197" t="s">
        <v>978</v>
      </c>
      <c r="Z84" s="197" t="s">
        <v>978</v>
      </c>
      <c r="AA84" s="197" t="s">
        <v>978</v>
      </c>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t="s">
        <v>980</v>
      </c>
      <c r="G85" s="197" t="s">
        <v>980</v>
      </c>
      <c r="H85" s="197" t="s">
        <v>980</v>
      </c>
      <c r="I85" s="197" t="s">
        <v>980</v>
      </c>
      <c r="J85" s="197" t="s">
        <v>980</v>
      </c>
      <c r="K85" s="197" t="s">
        <v>980</v>
      </c>
      <c r="L85" s="197" t="s">
        <v>980</v>
      </c>
      <c r="M85" s="197" t="s">
        <v>980</v>
      </c>
      <c r="N85" s="197" t="s">
        <v>414</v>
      </c>
      <c r="O85" s="197" t="s">
        <v>980</v>
      </c>
      <c r="P85" s="197" t="s">
        <v>980</v>
      </c>
      <c r="Q85" s="197" t="s">
        <v>980</v>
      </c>
      <c r="R85" s="197" t="s">
        <v>980</v>
      </c>
      <c r="S85" s="197" t="s">
        <v>980</v>
      </c>
      <c r="T85" s="197" t="s">
        <v>980</v>
      </c>
      <c r="U85" s="197" t="s">
        <v>980</v>
      </c>
      <c r="V85" s="197" t="s">
        <v>414</v>
      </c>
      <c r="W85" s="197" t="s">
        <v>980</v>
      </c>
      <c r="X85" s="197" t="s">
        <v>978</v>
      </c>
      <c r="Y85" s="197" t="s">
        <v>978</v>
      </c>
      <c r="Z85" s="197" t="s">
        <v>978</v>
      </c>
      <c r="AA85" s="197" t="s">
        <v>978</v>
      </c>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t="s">
        <v>976</v>
      </c>
      <c r="G86" s="197" t="s">
        <v>976</v>
      </c>
      <c r="H86" s="197" t="s">
        <v>976</v>
      </c>
      <c r="I86" s="197" t="s">
        <v>976</v>
      </c>
      <c r="J86" s="197" t="s">
        <v>976</v>
      </c>
      <c r="K86" s="197" t="s">
        <v>976</v>
      </c>
      <c r="L86" s="197" t="s">
        <v>976</v>
      </c>
      <c r="M86" s="197" t="s">
        <v>976</v>
      </c>
      <c r="N86" s="197" t="s">
        <v>414</v>
      </c>
      <c r="O86" s="197" t="s">
        <v>976</v>
      </c>
      <c r="P86" s="197" t="s">
        <v>976</v>
      </c>
      <c r="Q86" s="197" t="s">
        <v>976</v>
      </c>
      <c r="R86" s="197" t="s">
        <v>976</v>
      </c>
      <c r="S86" s="197" t="s">
        <v>976</v>
      </c>
      <c r="T86" s="197" t="s">
        <v>976</v>
      </c>
      <c r="U86" s="197" t="s">
        <v>976</v>
      </c>
      <c r="V86" s="197" t="s">
        <v>414</v>
      </c>
      <c r="W86" s="197" t="s">
        <v>976</v>
      </c>
      <c r="X86" s="197" t="s">
        <v>978</v>
      </c>
      <c r="Y86" s="197" t="s">
        <v>978</v>
      </c>
      <c r="Z86" s="197" t="s">
        <v>978</v>
      </c>
      <c r="AA86" s="197" t="s">
        <v>978</v>
      </c>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t="s">
        <v>978</v>
      </c>
      <c r="G87" s="197" t="s">
        <v>976</v>
      </c>
      <c r="H87" s="197" t="s">
        <v>978</v>
      </c>
      <c r="I87" s="197" t="s">
        <v>978</v>
      </c>
      <c r="J87" s="197" t="s">
        <v>978</v>
      </c>
      <c r="K87" s="197" t="s">
        <v>978</v>
      </c>
      <c r="L87" s="197" t="s">
        <v>978</v>
      </c>
      <c r="M87" s="197" t="s">
        <v>978</v>
      </c>
      <c r="N87" s="197" t="s">
        <v>414</v>
      </c>
      <c r="O87" s="197" t="s">
        <v>978</v>
      </c>
      <c r="P87" s="197" t="s">
        <v>978</v>
      </c>
      <c r="Q87" s="197" t="s">
        <v>978</v>
      </c>
      <c r="R87" s="197" t="s">
        <v>978</v>
      </c>
      <c r="S87" s="197" t="s">
        <v>978</v>
      </c>
      <c r="T87" s="197" t="s">
        <v>978</v>
      </c>
      <c r="U87" s="197" t="s">
        <v>978</v>
      </c>
      <c r="V87" s="197" t="s">
        <v>414</v>
      </c>
      <c r="W87" s="197" t="s">
        <v>978</v>
      </c>
      <c r="X87" s="197" t="s">
        <v>978</v>
      </c>
      <c r="Y87" s="197" t="s">
        <v>978</v>
      </c>
      <c r="Z87" s="197" t="s">
        <v>978</v>
      </c>
      <c r="AA87" s="197" t="s">
        <v>978</v>
      </c>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t="s">
        <v>976</v>
      </c>
      <c r="G88" s="197" t="s">
        <v>976</v>
      </c>
      <c r="H88" s="197" t="s">
        <v>976</v>
      </c>
      <c r="I88" s="197" t="s">
        <v>976</v>
      </c>
      <c r="J88" s="197" t="s">
        <v>976</v>
      </c>
      <c r="K88" s="197" t="s">
        <v>976</v>
      </c>
      <c r="L88" s="197" t="s">
        <v>976</v>
      </c>
      <c r="M88" s="197" t="s">
        <v>976</v>
      </c>
      <c r="N88" s="197" t="s">
        <v>414</v>
      </c>
      <c r="O88" s="197" t="s">
        <v>976</v>
      </c>
      <c r="P88" s="197" t="s">
        <v>976</v>
      </c>
      <c r="Q88" s="197" t="s">
        <v>976</v>
      </c>
      <c r="R88" s="197" t="s">
        <v>976</v>
      </c>
      <c r="S88" s="197" t="s">
        <v>976</v>
      </c>
      <c r="T88" s="197" t="s">
        <v>976</v>
      </c>
      <c r="U88" s="197" t="s">
        <v>976</v>
      </c>
      <c r="V88" s="197" t="s">
        <v>414</v>
      </c>
      <c r="W88" s="197" t="s">
        <v>976</v>
      </c>
      <c r="X88" s="197" t="s">
        <v>976</v>
      </c>
      <c r="Y88" s="197" t="s">
        <v>976</v>
      </c>
      <c r="Z88" s="197" t="s">
        <v>976</v>
      </c>
      <c r="AA88" s="197" t="s">
        <v>976</v>
      </c>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t="s">
        <v>992</v>
      </c>
      <c r="G89" s="197" t="s">
        <v>992</v>
      </c>
      <c r="H89" s="197" t="s">
        <v>992</v>
      </c>
      <c r="I89" s="197" t="s">
        <v>992</v>
      </c>
      <c r="J89" s="197" t="s">
        <v>992</v>
      </c>
      <c r="K89" s="197" t="s">
        <v>992</v>
      </c>
      <c r="L89" s="197" t="s">
        <v>992</v>
      </c>
      <c r="M89" s="197" t="s">
        <v>992</v>
      </c>
      <c r="N89" s="197" t="s">
        <v>414</v>
      </c>
      <c r="O89" s="197" t="s">
        <v>992</v>
      </c>
      <c r="P89" s="197" t="s">
        <v>992</v>
      </c>
      <c r="Q89" s="197" t="s">
        <v>992</v>
      </c>
      <c r="R89" s="197" t="s">
        <v>992</v>
      </c>
      <c r="S89" s="197" t="s">
        <v>992</v>
      </c>
      <c r="T89" s="197" t="s">
        <v>992</v>
      </c>
      <c r="U89" s="197" t="s">
        <v>992</v>
      </c>
      <c r="V89" s="197" t="s">
        <v>414</v>
      </c>
      <c r="W89" s="197" t="s">
        <v>992</v>
      </c>
      <c r="X89" s="197" t="s">
        <v>992</v>
      </c>
      <c r="Y89" s="197" t="s">
        <v>992</v>
      </c>
      <c r="Z89" s="197" t="s">
        <v>992</v>
      </c>
      <c r="AA89" s="197" t="s">
        <v>992</v>
      </c>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v>501000</v>
      </c>
      <c r="G91" s="200">
        <v>117000</v>
      </c>
      <c r="H91" s="200">
        <v>366000</v>
      </c>
      <c r="I91" s="200">
        <v>162100</v>
      </c>
      <c r="J91" s="200">
        <v>646000</v>
      </c>
      <c r="K91" s="200">
        <v>412000</v>
      </c>
      <c r="L91" s="200">
        <v>220000</v>
      </c>
      <c r="M91" s="200">
        <v>434000</v>
      </c>
      <c r="N91" s="200" t="s">
        <v>414</v>
      </c>
      <c r="O91" s="200">
        <v>436000</v>
      </c>
      <c r="P91" s="200">
        <v>420000</v>
      </c>
      <c r="Q91" s="200">
        <v>565000</v>
      </c>
      <c r="R91" s="200">
        <v>565000</v>
      </c>
      <c r="S91" s="200">
        <v>565000</v>
      </c>
      <c r="T91" s="200">
        <v>565000</v>
      </c>
      <c r="U91" s="200">
        <v>565000</v>
      </c>
      <c r="V91" s="200" t="s">
        <v>414</v>
      </c>
      <c r="W91" s="200">
        <v>655000</v>
      </c>
      <c r="X91" s="200">
        <v>565000</v>
      </c>
      <c r="Y91" s="200">
        <v>565000</v>
      </c>
      <c r="Z91" s="200">
        <v>565000</v>
      </c>
      <c r="AA91" s="200">
        <v>565000</v>
      </c>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t="s">
        <v>923</v>
      </c>
      <c r="G92" s="197" t="s">
        <v>924</v>
      </c>
      <c r="H92" s="197" t="s">
        <v>925</v>
      </c>
      <c r="I92" s="197" t="s">
        <v>926</v>
      </c>
      <c r="J92" s="197" t="s">
        <v>927</v>
      </c>
      <c r="K92" s="197" t="s">
        <v>928</v>
      </c>
      <c r="L92" s="197" t="s">
        <v>929</v>
      </c>
      <c r="M92" s="197" t="s">
        <v>930</v>
      </c>
      <c r="N92" s="197" t="s">
        <v>414</v>
      </c>
      <c r="O92" s="197" t="s">
        <v>931</v>
      </c>
      <c r="P92" s="197" t="s">
        <v>932</v>
      </c>
      <c r="Q92" s="197" t="s">
        <v>933</v>
      </c>
      <c r="R92" s="197" t="s">
        <v>933</v>
      </c>
      <c r="S92" s="197" t="s">
        <v>933</v>
      </c>
      <c r="T92" s="197" t="s">
        <v>933</v>
      </c>
      <c r="U92" s="197" t="s">
        <v>933</v>
      </c>
      <c r="V92" s="197" t="s">
        <v>414</v>
      </c>
      <c r="W92" s="197" t="s">
        <v>937</v>
      </c>
      <c r="X92" s="197" t="s">
        <v>933</v>
      </c>
      <c r="Y92" s="197" t="s">
        <v>933</v>
      </c>
      <c r="Z92" s="197" t="s">
        <v>933</v>
      </c>
      <c r="AA92" s="197" t="s">
        <v>933</v>
      </c>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v>501000</v>
      </c>
      <c r="G93" s="200">
        <v>117000</v>
      </c>
      <c r="H93" s="200">
        <v>366000</v>
      </c>
      <c r="I93" s="200">
        <v>162100</v>
      </c>
      <c r="J93" s="200">
        <v>646000</v>
      </c>
      <c r="K93" s="200">
        <v>412000</v>
      </c>
      <c r="L93" s="200">
        <v>220000</v>
      </c>
      <c r="M93" s="200">
        <v>434000</v>
      </c>
      <c r="N93" s="200" t="s">
        <v>414</v>
      </c>
      <c r="O93" s="200">
        <v>436000</v>
      </c>
      <c r="P93" s="200">
        <v>420000</v>
      </c>
      <c r="Q93" s="200">
        <v>565000</v>
      </c>
      <c r="R93" s="200">
        <v>565000</v>
      </c>
      <c r="S93" s="200">
        <v>565000</v>
      </c>
      <c r="T93" s="200">
        <v>565000</v>
      </c>
      <c r="U93" s="200">
        <v>565000</v>
      </c>
      <c r="V93" s="200" t="s">
        <v>414</v>
      </c>
      <c r="W93" s="200">
        <v>655000</v>
      </c>
      <c r="X93" s="200">
        <v>565000</v>
      </c>
      <c r="Y93" s="200">
        <v>565000</v>
      </c>
      <c r="Z93" s="200">
        <v>565000</v>
      </c>
      <c r="AA93" s="200">
        <v>565000</v>
      </c>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t="s">
        <v>923</v>
      </c>
      <c r="G94" s="197" t="s">
        <v>924</v>
      </c>
      <c r="H94" s="197" t="s">
        <v>925</v>
      </c>
      <c r="I94" s="197" t="s">
        <v>926</v>
      </c>
      <c r="J94" s="197" t="s">
        <v>927</v>
      </c>
      <c r="K94" s="197" t="s">
        <v>928</v>
      </c>
      <c r="L94" s="197" t="s">
        <v>929</v>
      </c>
      <c r="M94" s="197" t="s">
        <v>930</v>
      </c>
      <c r="N94" s="197" t="s">
        <v>414</v>
      </c>
      <c r="O94" s="197" t="s">
        <v>931</v>
      </c>
      <c r="P94" s="197" t="s">
        <v>932</v>
      </c>
      <c r="Q94" s="197" t="s">
        <v>933</v>
      </c>
      <c r="R94" s="197" t="s">
        <v>933</v>
      </c>
      <c r="S94" s="197" t="s">
        <v>933</v>
      </c>
      <c r="T94" s="197" t="s">
        <v>933</v>
      </c>
      <c r="U94" s="197" t="s">
        <v>933</v>
      </c>
      <c r="V94" s="197" t="s">
        <v>414</v>
      </c>
      <c r="W94" s="197" t="s">
        <v>937</v>
      </c>
      <c r="X94" s="197" t="s">
        <v>933</v>
      </c>
      <c r="Y94" s="197" t="s">
        <v>933</v>
      </c>
      <c r="Z94" s="197" t="s">
        <v>933</v>
      </c>
      <c r="AA94" s="197" t="s">
        <v>933</v>
      </c>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v>501000</v>
      </c>
      <c r="G95" s="200">
        <v>117000</v>
      </c>
      <c r="H95" s="200">
        <v>366000</v>
      </c>
      <c r="I95" s="200">
        <v>162100</v>
      </c>
      <c r="J95" s="200">
        <v>646000</v>
      </c>
      <c r="K95" s="200">
        <v>412000</v>
      </c>
      <c r="L95" s="200">
        <v>220000</v>
      </c>
      <c r="M95" s="200">
        <v>434000</v>
      </c>
      <c r="N95" s="200" t="s">
        <v>414</v>
      </c>
      <c r="O95" s="200">
        <v>436000</v>
      </c>
      <c r="P95" s="200">
        <v>420000</v>
      </c>
      <c r="Q95" s="200">
        <v>565000</v>
      </c>
      <c r="R95" s="200">
        <v>565000</v>
      </c>
      <c r="S95" s="200">
        <v>565000</v>
      </c>
      <c r="T95" s="200">
        <v>565000</v>
      </c>
      <c r="U95" s="200">
        <v>565000</v>
      </c>
      <c r="V95" s="200" t="s">
        <v>414</v>
      </c>
      <c r="W95" s="200">
        <v>655000</v>
      </c>
      <c r="X95" s="200">
        <v>565000</v>
      </c>
      <c r="Y95" s="200">
        <v>565000</v>
      </c>
      <c r="Z95" s="200">
        <v>565000</v>
      </c>
      <c r="AA95" s="200">
        <v>565000</v>
      </c>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t="s">
        <v>923</v>
      </c>
      <c r="G96" s="197" t="s">
        <v>924</v>
      </c>
      <c r="H96" s="197" t="s">
        <v>925</v>
      </c>
      <c r="I96" s="197" t="s">
        <v>926</v>
      </c>
      <c r="J96" s="197" t="s">
        <v>927</v>
      </c>
      <c r="K96" s="197" t="s">
        <v>928</v>
      </c>
      <c r="L96" s="197" t="s">
        <v>929</v>
      </c>
      <c r="M96" s="197" t="s">
        <v>930</v>
      </c>
      <c r="N96" s="200" t="s">
        <v>414</v>
      </c>
      <c r="O96" s="197" t="s">
        <v>931</v>
      </c>
      <c r="P96" s="197" t="s">
        <v>932</v>
      </c>
      <c r="Q96" s="197" t="s">
        <v>933</v>
      </c>
      <c r="R96" s="197" t="s">
        <v>933</v>
      </c>
      <c r="S96" s="197" t="s">
        <v>933</v>
      </c>
      <c r="T96" s="197" t="s">
        <v>933</v>
      </c>
      <c r="U96" s="197" t="s">
        <v>933</v>
      </c>
      <c r="V96" s="200" t="s">
        <v>414</v>
      </c>
      <c r="W96" s="197" t="s">
        <v>937</v>
      </c>
      <c r="X96" s="197" t="s">
        <v>933</v>
      </c>
      <c r="Y96" s="197" t="s">
        <v>933</v>
      </c>
      <c r="Z96" s="197" t="s">
        <v>933</v>
      </c>
      <c r="AA96" s="197" t="s">
        <v>933</v>
      </c>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301</v>
      </c>
      <c r="B10" s="353" t="str">
        <f t="shared" ref="B10:B23" si="0">VLOOKUP(A10,id_settings,2,FALSE)</f>
        <v>玉川陽介</v>
      </c>
      <c r="C10" s="246"/>
      <c r="D10" s="247" t="s">
        <v>1015</v>
      </c>
      <c r="E10" s="244" t="s">
        <v>846</v>
      </c>
      <c r="F10" s="244" t="s">
        <v>1016</v>
      </c>
      <c r="G10" s="248">
        <v>28491</v>
      </c>
      <c r="H10" s="249" t="s">
        <v>846</v>
      </c>
      <c r="I10" s="244" t="s">
        <v>846</v>
      </c>
      <c r="J10" s="250" t="s">
        <v>846</v>
      </c>
      <c r="K10" s="251" t="s">
        <v>846</v>
      </c>
      <c r="L10" s="252" t="s">
        <v>1017</v>
      </c>
      <c r="M10" s="245" t="s">
        <v>1018</v>
      </c>
      <c r="N10" s="253" t="s">
        <v>1017</v>
      </c>
    </row>
    <row r="11" spans="1:14" ht="18" customHeight="1">
      <c r="A11" s="254">
        <v>302</v>
      </c>
      <c r="B11" s="354" t="str">
        <f t="shared" si="0"/>
        <v>玉川花子</v>
      </c>
      <c r="C11" s="227"/>
      <c r="D11" s="256" t="s">
        <v>1015</v>
      </c>
      <c r="E11" s="254" t="s">
        <v>846</v>
      </c>
      <c r="F11" s="254" t="s">
        <v>1019</v>
      </c>
      <c r="G11" s="257">
        <v>29253</v>
      </c>
      <c r="H11" s="258" t="s">
        <v>1017</v>
      </c>
      <c r="I11" s="254" t="s">
        <v>846</v>
      </c>
      <c r="J11" s="259" t="s">
        <v>1017</v>
      </c>
      <c r="K11" s="260" t="s">
        <v>846</v>
      </c>
      <c r="L11" s="261" t="s">
        <v>1017</v>
      </c>
      <c r="M11" s="255" t="s">
        <v>1018</v>
      </c>
      <c r="N11" s="261" t="s">
        <v>1017</v>
      </c>
    </row>
    <row r="12" spans="1:14" ht="18" customHeight="1">
      <c r="A12" s="244">
        <v>303</v>
      </c>
      <c r="B12" s="353" t="str">
        <f t="shared" si="0"/>
        <v>玉川太郎</v>
      </c>
      <c r="C12" s="246"/>
      <c r="D12" s="247" t="s">
        <v>1015</v>
      </c>
      <c r="E12" s="244" t="s">
        <v>846</v>
      </c>
      <c r="F12" s="244" t="s">
        <v>1020</v>
      </c>
      <c r="G12" s="248">
        <v>44686</v>
      </c>
      <c r="H12" s="249" t="s">
        <v>1017</v>
      </c>
      <c r="I12" s="244" t="s">
        <v>846</v>
      </c>
      <c r="J12" s="250" t="s">
        <v>1017</v>
      </c>
      <c r="K12" s="251" t="s">
        <v>846</v>
      </c>
      <c r="L12" s="252" t="s">
        <v>1017</v>
      </c>
      <c r="M12" s="245" t="s">
        <v>846</v>
      </c>
      <c r="N12" s="252" t="s">
        <v>1017</v>
      </c>
    </row>
    <row r="13" spans="1:14" ht="18" customHeight="1">
      <c r="A13" s="254">
        <v>304</v>
      </c>
      <c r="B13" s="354" t="str">
        <f t="shared" si="0"/>
        <v>鈴木次郎</v>
      </c>
      <c r="C13" s="227"/>
      <c r="D13" s="256" t="s">
        <v>1021</v>
      </c>
      <c r="E13" s="254" t="s">
        <v>1017</v>
      </c>
      <c r="F13" s="254" t="s">
        <v>1022</v>
      </c>
      <c r="G13" s="257">
        <v>33030</v>
      </c>
      <c r="H13" s="258" t="s">
        <v>1017</v>
      </c>
      <c r="I13" s="254" t="s">
        <v>1017</v>
      </c>
      <c r="J13" s="259" t="s">
        <v>1017</v>
      </c>
      <c r="K13" s="260" t="s">
        <v>1017</v>
      </c>
      <c r="L13" s="261" t="s">
        <v>1017</v>
      </c>
      <c r="M13" s="255" t="s">
        <v>1017</v>
      </c>
      <c r="N13" s="261" t="s">
        <v>1017</v>
      </c>
    </row>
    <row r="14" spans="1:14" ht="18" customHeight="1">
      <c r="A14" s="244">
        <v>401</v>
      </c>
      <c r="B14" s="355" t="str">
        <f t="shared" si="0"/>
        <v>コアプラス東京株式会社</v>
      </c>
      <c r="C14" s="246"/>
      <c r="D14" s="247" t="s">
        <v>1023</v>
      </c>
      <c r="E14" s="244" t="s">
        <v>1024</v>
      </c>
      <c r="F14" s="262" t="s">
        <v>1025</v>
      </c>
      <c r="G14" s="248">
        <v>40180</v>
      </c>
      <c r="H14" s="249">
        <v>1000</v>
      </c>
      <c r="I14" s="244" t="s">
        <v>1026</v>
      </c>
      <c r="J14" s="250">
        <v>13</v>
      </c>
      <c r="K14" s="251" t="s">
        <v>1027</v>
      </c>
      <c r="L14" s="252" t="s">
        <v>1028</v>
      </c>
      <c r="M14" s="245" t="s">
        <v>1029</v>
      </c>
      <c r="N14" s="252" t="s">
        <v>1028</v>
      </c>
    </row>
    <row r="15" spans="1:14" ht="18" customHeight="1">
      <c r="A15" s="254">
        <v>402</v>
      </c>
      <c r="B15" s="356" t="str">
        <f t="shared" si="0"/>
        <v>コアプラス名古屋株式会社</v>
      </c>
      <c r="C15" s="227"/>
      <c r="D15" s="256" t="s">
        <v>1023</v>
      </c>
      <c r="E15" s="254" t="s">
        <v>1024</v>
      </c>
      <c r="F15" s="263" t="s">
        <v>1030</v>
      </c>
      <c r="G15" s="257">
        <v>37290</v>
      </c>
      <c r="H15" s="258">
        <v>300</v>
      </c>
      <c r="I15" s="254" t="s">
        <v>1026</v>
      </c>
      <c r="J15" s="259">
        <v>20</v>
      </c>
      <c r="K15" s="260" t="s">
        <v>1027</v>
      </c>
      <c r="L15" s="261" t="s">
        <v>1031</v>
      </c>
      <c r="M15" s="255" t="s">
        <v>1032</v>
      </c>
      <c r="N15" s="264" t="s">
        <v>1017</v>
      </c>
    </row>
    <row r="16" spans="1:14" ht="18" customHeight="1">
      <c r="A16" s="244">
        <v>404</v>
      </c>
      <c r="B16" s="355" t="str">
        <f t="shared" si="0"/>
        <v>コアプラス大阪株式会社</v>
      </c>
      <c r="C16" s="246"/>
      <c r="D16" s="265" t="s">
        <v>1033</v>
      </c>
      <c r="E16" s="244" t="s">
        <v>1024</v>
      </c>
      <c r="F16" s="262" t="s">
        <v>1034</v>
      </c>
      <c r="G16" s="248">
        <v>41337</v>
      </c>
      <c r="H16" s="249">
        <v>500</v>
      </c>
      <c r="I16" s="244" t="s">
        <v>1026</v>
      </c>
      <c r="J16" s="250">
        <v>10</v>
      </c>
      <c r="K16" s="251" t="s">
        <v>1027</v>
      </c>
      <c r="L16" s="252" t="s">
        <v>1035</v>
      </c>
      <c r="M16" s="245" t="s">
        <v>1036</v>
      </c>
      <c r="N16" s="252" t="s">
        <v>1035</v>
      </c>
    </row>
    <row r="17" spans="1:14" ht="18" customHeight="1">
      <c r="A17" s="254">
        <v>405</v>
      </c>
      <c r="B17" s="356" t="str">
        <f t="shared" si="0"/>
        <v>コアプラス仙台株式会社</v>
      </c>
      <c r="C17" s="227"/>
      <c r="D17" s="256" t="s">
        <v>1023</v>
      </c>
      <c r="E17" s="254" t="s">
        <v>1024</v>
      </c>
      <c r="F17" s="263" t="s">
        <v>1030</v>
      </c>
      <c r="G17" s="257">
        <v>41369</v>
      </c>
      <c r="H17" s="258">
        <v>500</v>
      </c>
      <c r="I17" s="254" t="s">
        <v>1026</v>
      </c>
      <c r="J17" s="259">
        <v>9</v>
      </c>
      <c r="K17" s="260" t="s">
        <v>1027</v>
      </c>
      <c r="L17" s="261" t="s">
        <v>1037</v>
      </c>
      <c r="M17" s="255" t="s">
        <v>1032</v>
      </c>
      <c r="N17" s="264" t="s">
        <v>1017</v>
      </c>
    </row>
    <row r="18" spans="1:14" ht="18" customHeight="1">
      <c r="A18" s="244">
        <v>406</v>
      </c>
      <c r="B18" s="355" t="str">
        <f t="shared" si="0"/>
        <v>コアプラス札幌株式会社</v>
      </c>
      <c r="C18" s="246"/>
      <c r="D18" s="247" t="s">
        <v>1023</v>
      </c>
      <c r="E18" s="244" t="s">
        <v>1024</v>
      </c>
      <c r="F18" s="262" t="s">
        <v>1030</v>
      </c>
      <c r="G18" s="248">
        <v>41765</v>
      </c>
      <c r="H18" s="249">
        <v>1000</v>
      </c>
      <c r="I18" s="244" t="s">
        <v>1026</v>
      </c>
      <c r="J18" s="250">
        <v>8</v>
      </c>
      <c r="K18" s="251" t="s">
        <v>1027</v>
      </c>
      <c r="L18" s="252" t="s">
        <v>1038</v>
      </c>
      <c r="M18" s="245" t="s">
        <v>1032</v>
      </c>
      <c r="N18" s="253" t="s">
        <v>1017</v>
      </c>
    </row>
    <row r="19" spans="1:14" ht="18" customHeight="1">
      <c r="A19" s="254">
        <v>407</v>
      </c>
      <c r="B19" s="356" t="str">
        <f t="shared" si="0"/>
        <v>コアプラス福岡株式会社</v>
      </c>
      <c r="C19" s="227"/>
      <c r="D19" s="256" t="s">
        <v>1023</v>
      </c>
      <c r="E19" s="254" t="s">
        <v>1024</v>
      </c>
      <c r="F19" s="263" t="s">
        <v>1030</v>
      </c>
      <c r="G19" s="257">
        <v>42162</v>
      </c>
      <c r="H19" s="258">
        <v>1000</v>
      </c>
      <c r="I19" s="254" t="s">
        <v>1026</v>
      </c>
      <c r="J19" s="259">
        <v>7</v>
      </c>
      <c r="K19" s="260" t="s">
        <v>1027</v>
      </c>
      <c r="L19" s="261" t="s">
        <v>1039</v>
      </c>
      <c r="M19" s="255" t="s">
        <v>1036</v>
      </c>
      <c r="N19" s="261" t="s">
        <v>1039</v>
      </c>
    </row>
    <row r="20" spans="1:14" ht="18" customHeight="1">
      <c r="A20" s="244">
        <v>408</v>
      </c>
      <c r="B20" s="355" t="str">
        <f t="shared" si="0"/>
        <v>コアプラス京都株式会社</v>
      </c>
      <c r="C20" s="246"/>
      <c r="D20" s="247" t="s">
        <v>1023</v>
      </c>
      <c r="E20" s="244" t="s">
        <v>1024</v>
      </c>
      <c r="F20" s="262" t="s">
        <v>1030</v>
      </c>
      <c r="G20" s="248">
        <v>42193</v>
      </c>
      <c r="H20" s="249">
        <v>100</v>
      </c>
      <c r="I20" s="244" t="s">
        <v>1026</v>
      </c>
      <c r="J20" s="250">
        <v>7</v>
      </c>
      <c r="K20" s="251" t="s">
        <v>1027</v>
      </c>
      <c r="L20" s="252" t="s">
        <v>1040</v>
      </c>
      <c r="M20" s="245" t="s">
        <v>1036</v>
      </c>
      <c r="N20" s="252" t="s">
        <v>1040</v>
      </c>
    </row>
    <row r="21" spans="1:14" ht="18" customHeight="1">
      <c r="A21" s="254">
        <v>409</v>
      </c>
      <c r="B21" s="356" t="str">
        <f t="shared" si="0"/>
        <v>コアプラス四国株式会社</v>
      </c>
      <c r="C21" s="227"/>
      <c r="D21" s="256" t="s">
        <v>1023</v>
      </c>
      <c r="E21" s="254" t="s">
        <v>1024</v>
      </c>
      <c r="F21" s="263" t="s">
        <v>1030</v>
      </c>
      <c r="G21" s="257">
        <v>42225</v>
      </c>
      <c r="H21" s="258">
        <v>100</v>
      </c>
      <c r="I21" s="254" t="s">
        <v>1026</v>
      </c>
      <c r="J21" s="259">
        <v>7</v>
      </c>
      <c r="K21" s="260" t="s">
        <v>1027</v>
      </c>
      <c r="L21" s="261" t="s">
        <v>1041</v>
      </c>
      <c r="M21" s="255" t="s">
        <v>1032</v>
      </c>
      <c r="N21" s="264" t="s">
        <v>1017</v>
      </c>
    </row>
    <row r="22" spans="1:14" ht="18" customHeight="1">
      <c r="A22" s="244">
        <v>410</v>
      </c>
      <c r="B22" s="355" t="str">
        <f t="shared" si="0"/>
        <v>コアプラス沖縄株式会社</v>
      </c>
      <c r="C22" s="246"/>
      <c r="D22" s="247" t="s">
        <v>1023</v>
      </c>
      <c r="E22" s="244" t="s">
        <v>1024</v>
      </c>
      <c r="F22" s="262" t="s">
        <v>1030</v>
      </c>
      <c r="G22" s="248">
        <v>42623</v>
      </c>
      <c r="H22" s="249">
        <v>100</v>
      </c>
      <c r="I22" s="244" t="s">
        <v>1026</v>
      </c>
      <c r="J22" s="250">
        <v>6</v>
      </c>
      <c r="K22" s="251" t="s">
        <v>1027</v>
      </c>
      <c r="L22" s="252" t="s">
        <v>1042</v>
      </c>
      <c r="M22" s="245" t="s">
        <v>1032</v>
      </c>
      <c r="N22" s="253" t="s">
        <v>1017</v>
      </c>
    </row>
    <row r="23" spans="1:14" ht="18" customHeight="1">
      <c r="A23" s="254">
        <v>411</v>
      </c>
      <c r="B23" s="354" t="str">
        <f t="shared" si="0"/>
        <v>コアプラスホールディングス株式会社</v>
      </c>
      <c r="C23" s="227"/>
      <c r="D23" s="256" t="s">
        <v>1023</v>
      </c>
      <c r="E23" s="254" t="s">
        <v>1024</v>
      </c>
      <c r="F23" s="263" t="s">
        <v>1043</v>
      </c>
      <c r="G23" s="257">
        <v>43587</v>
      </c>
      <c r="H23" s="258">
        <v>1000</v>
      </c>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v>403</v>
      </c>
      <c r="B25" s="357" t="str">
        <f>VLOOKUP(A25,id_settings,2,FALSE)</f>
        <v>有限会社コアプラス2号</v>
      </c>
      <c r="C25" s="269"/>
      <c r="D25" s="270" t="s">
        <v>1047</v>
      </c>
      <c r="E25" s="267" t="s">
        <v>1024</v>
      </c>
      <c r="F25" s="267" t="s">
        <v>1048</v>
      </c>
      <c r="G25" s="271">
        <v>41153</v>
      </c>
      <c r="H25" s="272">
        <v>500</v>
      </c>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101</v>
      </c>
      <c r="E2" s="16">
        <v>102</v>
      </c>
      <c r="F2" s="16">
        <v>103</v>
      </c>
      <c r="G2" s="16">
        <v>104</v>
      </c>
      <c r="H2" s="16">
        <v>105</v>
      </c>
      <c r="I2" s="16">
        <v>106</v>
      </c>
      <c r="J2" s="16">
        <v>107</v>
      </c>
      <c r="K2" s="16">
        <v>109</v>
      </c>
      <c r="L2" s="16">
        <v>111</v>
      </c>
      <c r="M2" s="16">
        <v>112</v>
      </c>
      <c r="N2" s="16">
        <v>113</v>
      </c>
      <c r="O2" s="16">
        <v>114</v>
      </c>
      <c r="P2" s="16">
        <v>115</v>
      </c>
      <c r="Q2" s="16">
        <v>116</v>
      </c>
      <c r="R2" s="16">
        <v>117</v>
      </c>
      <c r="S2" s="16">
        <v>120</v>
      </c>
      <c r="T2" s="16">
        <v>121</v>
      </c>
      <c r="U2" s="16">
        <v>122</v>
      </c>
      <c r="V2" s="16">
        <v>221</v>
      </c>
      <c r="W2" s="16">
        <v>222</v>
      </c>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c r="E33" s="292"/>
      <c r="F33" s="292"/>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801</v>
      </c>
      <c r="B2" s="458" t="str">
        <f>IF(V2+W2+X2+Y2=0,"完済","返済中")</f>
        <v>返済中</v>
      </c>
      <c r="C2" s="210">
        <v>502</v>
      </c>
      <c r="D2" s="459" t="str">
        <f t="shared" ref="D2:D32" si="0">VLOOKUP(C2,id_settings,2,FALSE)</f>
        <v>首里信金</v>
      </c>
      <c r="E2" s="216" t="s">
        <v>1240</v>
      </c>
      <c r="F2" s="210">
        <v>402</v>
      </c>
      <c r="G2" s="459" t="str">
        <f t="shared" ref="G2:G32" si="1">VLOOKUP(F2,id_settings,2,FALSE)</f>
        <v>コアプラス名古屋株式会社</v>
      </c>
      <c r="H2" s="210">
        <v>601</v>
      </c>
      <c r="I2" s="459" t="str">
        <f t="shared" ref="I2:I32" si="2">VLOOKUP(H2,id_settings,2,FALSE)</f>
        <v>不動産購入</v>
      </c>
      <c r="J2" s="210">
        <v>102</v>
      </c>
      <c r="K2" s="459" t="str">
        <f t="shared" ref="K2:K32" si="3">VLOOKUP(J2,id_settings,2,FALSE)</f>
        <v>池袋ハウス</v>
      </c>
      <c r="L2" s="210">
        <v>102</v>
      </c>
      <c r="M2" s="459" t="str">
        <f t="shared" ref="M2:M32" si="4">VLOOKUP(L2,id_settings,2,FALSE)</f>
        <v>池袋ハウス</v>
      </c>
      <c r="N2" s="212">
        <v>550000000</v>
      </c>
      <c r="O2" s="211">
        <v>41320</v>
      </c>
      <c r="P2" s="328">
        <v>1.65</v>
      </c>
      <c r="Q2" s="216" t="s">
        <v>1241</v>
      </c>
      <c r="R2" s="217">
        <v>35</v>
      </c>
      <c r="S2" s="217">
        <f>R2</f>
        <v>35</v>
      </c>
      <c r="T2" s="210" t="s">
        <v>1242</v>
      </c>
      <c r="U2" s="225">
        <v>44824</v>
      </c>
      <c r="V2" s="213">
        <v>1050252</v>
      </c>
      <c r="W2" s="213">
        <v>674466</v>
      </c>
      <c r="X2" s="213">
        <v>1724718</v>
      </c>
      <c r="Y2" s="213">
        <v>489470974</v>
      </c>
      <c r="Z2" s="460">
        <f t="shared" ref="Z2:Z32" si="5">IFERROR(Y2/N2,0)</f>
        <v>0.88994722545454541</v>
      </c>
      <c r="AA2" s="461">
        <f t="shared" ref="AA2:AA32" ca="1" si="6">IF(Z2&lt;&gt;0,R2-(current_year-YEAR(O2)),0)</f>
        <v>25</v>
      </c>
      <c r="AF2" s="210" t="str">
        <f t="shared" ref="AF2:AF32" si="7">IFERROR(VLOOKUP(AE2,id_settings,2,FALSE),"なし")</f>
        <v>なし</v>
      </c>
      <c r="AH2" s="210" t="str">
        <f t="shared" ref="AH2:AH32" si="8">IFERROR(VLOOKUP(AG2,id_settings,2,FALSE),"なし")</f>
        <v>なし</v>
      </c>
      <c r="AJ2" s="210" t="str">
        <f t="shared" ref="AJ2:AJ32" si="9">IFERROR(VLOOKUP(AI2,id_settings,2,FALSE),"なし")</f>
        <v>なし</v>
      </c>
      <c r="AL2" s="210" t="str">
        <f t="shared" ref="AL2:AL32" si="10">IFERROR(VLOOKUP(AK2,id_settings,2,FALSE),"なし")</f>
        <v>なし</v>
      </c>
      <c r="AO2" s="448">
        <f t="shared" ref="AO2:AO29" si="11">O2</f>
        <v>41320</v>
      </c>
      <c r="AP2" s="448">
        <f t="shared" ref="AP2:AP29" si="12">AO2</f>
        <v>41320</v>
      </c>
      <c r="AQ2" s="23"/>
      <c r="AR2" s="23"/>
      <c r="AS2" s="23"/>
      <c r="AT2" s="23"/>
      <c r="AU2" s="23"/>
      <c r="AV2" s="23"/>
      <c r="AW2" s="23"/>
    </row>
    <row r="3" spans="1:49" s="210" customFormat="1" ht="34.5" customHeight="1">
      <c r="A3" s="210">
        <v>802</v>
      </c>
      <c r="B3" s="458" t="str">
        <f t="shared" ref="B3:B32" si="13">IF(V3+W3+X3+Y3=0,"完済","返済中")</f>
        <v>返済中</v>
      </c>
      <c r="C3" s="210">
        <v>503</v>
      </c>
      <c r="D3" s="459" t="str">
        <f t="shared" si="0"/>
        <v>名護信金</v>
      </c>
      <c r="E3" s="216" t="s">
        <v>1243</v>
      </c>
      <c r="F3" s="210">
        <v>404</v>
      </c>
      <c r="G3" s="459" t="str">
        <f t="shared" si="1"/>
        <v>コアプラス大阪株式会社</v>
      </c>
      <c r="H3" s="210">
        <v>601</v>
      </c>
      <c r="I3" s="459" t="str">
        <f t="shared" si="2"/>
        <v>不動産購入</v>
      </c>
      <c r="J3" s="210">
        <v>104</v>
      </c>
      <c r="K3" s="459" t="str">
        <f t="shared" si="3"/>
        <v>コアプラス池袋</v>
      </c>
      <c r="L3" s="210">
        <v>104</v>
      </c>
      <c r="M3" s="459" t="str">
        <f t="shared" si="4"/>
        <v>コアプラス池袋</v>
      </c>
      <c r="N3" s="212">
        <v>85000000</v>
      </c>
      <c r="O3" s="211">
        <v>41690</v>
      </c>
      <c r="P3" s="328">
        <v>1</v>
      </c>
      <c r="Q3" s="216" t="s">
        <v>1241</v>
      </c>
      <c r="R3" s="217">
        <v>25</v>
      </c>
      <c r="S3" s="217">
        <f t="shared" ref="S3:S32" si="14">R3</f>
        <v>25</v>
      </c>
      <c r="T3" s="210" t="s">
        <v>1242</v>
      </c>
      <c r="U3" s="225">
        <v>44824</v>
      </c>
      <c r="V3" s="213">
        <v>273127</v>
      </c>
      <c r="W3" s="213">
        <v>48972</v>
      </c>
      <c r="X3" s="213">
        <v>322099</v>
      </c>
      <c r="Y3" s="213">
        <v>58496261</v>
      </c>
      <c r="Z3" s="460">
        <f t="shared" si="5"/>
        <v>0.68819130588235289</v>
      </c>
      <c r="AA3" s="461">
        <f t="shared" ca="1" si="6"/>
        <v>16</v>
      </c>
      <c r="AF3" s="210" t="str">
        <f t="shared" si="7"/>
        <v>なし</v>
      </c>
      <c r="AH3" s="210" t="str">
        <f t="shared" si="8"/>
        <v>なし</v>
      </c>
      <c r="AJ3" s="210" t="str">
        <f t="shared" si="9"/>
        <v>なし</v>
      </c>
      <c r="AL3" s="210" t="str">
        <f t="shared" si="10"/>
        <v>なし</v>
      </c>
      <c r="AO3" s="448">
        <f t="shared" si="11"/>
        <v>41690</v>
      </c>
      <c r="AP3" s="448">
        <f t="shared" si="12"/>
        <v>41690</v>
      </c>
      <c r="AQ3" s="23"/>
      <c r="AR3" s="23"/>
      <c r="AS3" s="23"/>
      <c r="AT3" s="23"/>
      <c r="AU3" s="23"/>
      <c r="AV3" s="23"/>
      <c r="AW3" s="23"/>
    </row>
    <row r="4" spans="1:49" s="210" customFormat="1" ht="34.5" customHeight="1">
      <c r="A4" s="210">
        <v>803</v>
      </c>
      <c r="B4" s="458" t="str">
        <f t="shared" si="13"/>
        <v>返済中</v>
      </c>
      <c r="C4" s="210">
        <v>504</v>
      </c>
      <c r="D4" s="459" t="str">
        <f t="shared" si="0"/>
        <v>読谷信金</v>
      </c>
      <c r="E4" s="216" t="s">
        <v>1244</v>
      </c>
      <c r="F4" s="210">
        <v>405</v>
      </c>
      <c r="G4" s="459" t="str">
        <f t="shared" si="1"/>
        <v>コアプラス仙台株式会社</v>
      </c>
      <c r="H4" s="210">
        <v>601</v>
      </c>
      <c r="I4" s="459" t="str">
        <f t="shared" si="2"/>
        <v>不動産購入</v>
      </c>
      <c r="J4" s="210">
        <v>105</v>
      </c>
      <c r="K4" s="459" t="str">
        <f t="shared" si="3"/>
        <v>目白アパート</v>
      </c>
      <c r="L4" s="210">
        <v>105</v>
      </c>
      <c r="M4" s="459" t="str">
        <f t="shared" si="4"/>
        <v>目白アパート</v>
      </c>
      <c r="N4" s="212">
        <v>265000000</v>
      </c>
      <c r="O4" s="211">
        <v>41894</v>
      </c>
      <c r="P4" s="328">
        <v>1</v>
      </c>
      <c r="Q4" s="216" t="s">
        <v>1241</v>
      </c>
      <c r="R4" s="217">
        <v>25</v>
      </c>
      <c r="S4" s="217">
        <f t="shared" si="14"/>
        <v>25</v>
      </c>
      <c r="T4" s="210" t="s">
        <v>1242</v>
      </c>
      <c r="U4" s="225">
        <v>44824</v>
      </c>
      <c r="V4" s="213">
        <v>845627</v>
      </c>
      <c r="W4" s="213">
        <v>156620</v>
      </c>
      <c r="X4" s="213">
        <v>1002247</v>
      </c>
      <c r="Y4" s="213">
        <v>187106609</v>
      </c>
      <c r="Z4" s="460">
        <f t="shared" si="5"/>
        <v>0.7060626754716981</v>
      </c>
      <c r="AA4" s="461">
        <f t="shared" ca="1" si="6"/>
        <v>16</v>
      </c>
      <c r="AF4" s="210" t="str">
        <f t="shared" si="7"/>
        <v>なし</v>
      </c>
      <c r="AH4" s="210" t="str">
        <f t="shared" si="8"/>
        <v>なし</v>
      </c>
      <c r="AJ4" s="210" t="str">
        <f t="shared" si="9"/>
        <v>なし</v>
      </c>
      <c r="AL4" s="210" t="str">
        <f t="shared" si="10"/>
        <v>なし</v>
      </c>
      <c r="AO4" s="448">
        <f t="shared" si="11"/>
        <v>41894</v>
      </c>
      <c r="AP4" s="448">
        <f t="shared" si="12"/>
        <v>41894</v>
      </c>
      <c r="AQ4" s="23"/>
      <c r="AR4" s="23"/>
      <c r="AS4" s="23"/>
      <c r="AT4" s="23"/>
      <c r="AU4" s="23"/>
      <c r="AV4" s="23"/>
      <c r="AW4" s="23"/>
    </row>
    <row r="5" spans="1:49" s="210" customFormat="1" ht="34.5" customHeight="1">
      <c r="A5" s="210">
        <v>804</v>
      </c>
      <c r="B5" s="458" t="str">
        <f t="shared" si="13"/>
        <v>返済中</v>
      </c>
      <c r="C5" s="210">
        <v>505</v>
      </c>
      <c r="D5" s="459" t="str">
        <f t="shared" si="0"/>
        <v>宜野湾信組</v>
      </c>
      <c r="E5" s="216" t="s">
        <v>1245</v>
      </c>
      <c r="F5" s="210">
        <v>404</v>
      </c>
      <c r="G5" s="459" t="str">
        <f t="shared" si="1"/>
        <v>コアプラス大阪株式会社</v>
      </c>
      <c r="H5" s="210">
        <v>601</v>
      </c>
      <c r="I5" s="459" t="str">
        <f t="shared" si="2"/>
        <v>不動産購入</v>
      </c>
      <c r="J5" s="210">
        <v>104</v>
      </c>
      <c r="K5" s="459" t="str">
        <f t="shared" si="3"/>
        <v>コアプラス池袋</v>
      </c>
      <c r="L5" s="210">
        <v>104</v>
      </c>
      <c r="M5" s="459" t="str">
        <f t="shared" si="4"/>
        <v>コアプラス池袋</v>
      </c>
      <c r="N5" s="212">
        <v>17000000</v>
      </c>
      <c r="O5" s="211">
        <v>41948</v>
      </c>
      <c r="P5" s="328">
        <v>1</v>
      </c>
      <c r="Q5" s="216" t="s">
        <v>1241</v>
      </c>
      <c r="R5" s="217">
        <v>25</v>
      </c>
      <c r="S5" s="217">
        <f t="shared" si="14"/>
        <v>25</v>
      </c>
      <c r="T5" s="210" t="s">
        <v>1242</v>
      </c>
      <c r="U5" s="225">
        <v>44824</v>
      </c>
      <c r="V5" s="213">
        <v>55801</v>
      </c>
      <c r="W5" s="213">
        <v>10004</v>
      </c>
      <c r="X5" s="213">
        <v>65805</v>
      </c>
      <c r="Y5" s="213">
        <v>11950562</v>
      </c>
      <c r="Z5" s="460">
        <f t="shared" si="5"/>
        <v>0.70297423529411762</v>
      </c>
      <c r="AA5" s="461">
        <f t="shared" ca="1" si="6"/>
        <v>16</v>
      </c>
      <c r="AF5" s="210" t="str">
        <f t="shared" si="7"/>
        <v>なし</v>
      </c>
      <c r="AH5" s="210" t="str">
        <f t="shared" si="8"/>
        <v>なし</v>
      </c>
      <c r="AJ5" s="210" t="str">
        <f t="shared" si="9"/>
        <v>なし</v>
      </c>
      <c r="AL5" s="210" t="str">
        <f t="shared" si="10"/>
        <v>なし</v>
      </c>
      <c r="AO5" s="448">
        <f t="shared" si="11"/>
        <v>41948</v>
      </c>
      <c r="AP5" s="448">
        <f t="shared" si="12"/>
        <v>41948</v>
      </c>
      <c r="AQ5" s="23"/>
      <c r="AR5" s="23"/>
      <c r="AS5" s="23"/>
      <c r="AT5" s="23"/>
      <c r="AU5" s="23"/>
      <c r="AV5" s="23"/>
      <c r="AW5" s="23"/>
    </row>
    <row r="6" spans="1:49" s="210" customFormat="1" ht="34.5" customHeight="1">
      <c r="A6" s="210">
        <v>805</v>
      </c>
      <c r="B6" s="458" t="str">
        <f t="shared" si="13"/>
        <v>返済中</v>
      </c>
      <c r="C6" s="210">
        <v>506</v>
      </c>
      <c r="D6" s="459" t="str">
        <f t="shared" si="0"/>
        <v>恩納銀行</v>
      </c>
      <c r="E6" s="216" t="s">
        <v>1246</v>
      </c>
      <c r="F6" s="210">
        <v>406</v>
      </c>
      <c r="G6" s="459" t="str">
        <f t="shared" si="1"/>
        <v>コアプラス札幌株式会社</v>
      </c>
      <c r="H6" s="210">
        <v>601</v>
      </c>
      <c r="I6" s="459" t="str">
        <f t="shared" si="2"/>
        <v>不動産購入</v>
      </c>
      <c r="J6" s="210">
        <v>106</v>
      </c>
      <c r="K6" s="459" t="str">
        <f t="shared" si="3"/>
        <v>東池袋ハイツ</v>
      </c>
      <c r="L6" s="210">
        <v>106</v>
      </c>
      <c r="M6" s="459" t="str">
        <f t="shared" si="4"/>
        <v>東池袋ハイツ</v>
      </c>
      <c r="N6" s="212">
        <v>376000000</v>
      </c>
      <c r="O6" s="211">
        <v>41974</v>
      </c>
      <c r="P6" s="328">
        <v>1</v>
      </c>
      <c r="Q6" s="216" t="s">
        <v>1247</v>
      </c>
      <c r="R6" s="217">
        <v>30</v>
      </c>
      <c r="S6" s="217">
        <f t="shared" si="14"/>
        <v>30</v>
      </c>
      <c r="T6" s="210" t="s">
        <v>1242</v>
      </c>
      <c r="U6" s="225">
        <v>44824</v>
      </c>
      <c r="V6" s="213">
        <v>970634</v>
      </c>
      <c r="W6" s="213">
        <v>241754</v>
      </c>
      <c r="X6" s="213">
        <v>1212388</v>
      </c>
      <c r="Y6" s="213">
        <v>289146337</v>
      </c>
      <c r="Z6" s="460">
        <f t="shared" si="5"/>
        <v>0.76900621542553194</v>
      </c>
      <c r="AA6" s="461">
        <f t="shared" ca="1" si="6"/>
        <v>21</v>
      </c>
      <c r="AF6" s="210" t="str">
        <f t="shared" si="7"/>
        <v>なし</v>
      </c>
      <c r="AH6" s="210" t="str">
        <f t="shared" si="8"/>
        <v>なし</v>
      </c>
      <c r="AJ6" s="210" t="str">
        <f t="shared" si="9"/>
        <v>なし</v>
      </c>
      <c r="AL6" s="210" t="str">
        <f t="shared" si="10"/>
        <v>なし</v>
      </c>
      <c r="AO6" s="448">
        <f t="shared" si="11"/>
        <v>41974</v>
      </c>
      <c r="AP6" s="448">
        <f t="shared" si="12"/>
        <v>41974</v>
      </c>
      <c r="AQ6" s="23"/>
      <c r="AR6" s="23"/>
      <c r="AS6" s="23"/>
      <c r="AT6" s="23"/>
      <c r="AU6" s="23"/>
      <c r="AV6" s="23"/>
      <c r="AW6" s="23"/>
    </row>
    <row r="7" spans="1:49" s="210" customFormat="1" ht="34.5" customHeight="1">
      <c r="A7" s="210">
        <v>806</v>
      </c>
      <c r="B7" s="458" t="str">
        <f t="shared" si="13"/>
        <v>返済中</v>
      </c>
      <c r="C7" s="210">
        <v>507</v>
      </c>
      <c r="D7" s="459" t="str">
        <f t="shared" si="0"/>
        <v>嘉手納銀行</v>
      </c>
      <c r="E7" s="216" t="s">
        <v>1248</v>
      </c>
      <c r="F7" s="210">
        <v>401</v>
      </c>
      <c r="G7" s="459" t="str">
        <f t="shared" si="1"/>
        <v>コアプラス東京株式会社</v>
      </c>
      <c r="H7" s="210">
        <v>601</v>
      </c>
      <c r="I7" s="459" t="str">
        <f t="shared" si="2"/>
        <v>不動産購入</v>
      </c>
      <c r="J7" s="210">
        <v>101</v>
      </c>
      <c r="K7" s="459" t="str">
        <f t="shared" si="3"/>
        <v>西池袋駅前ビル</v>
      </c>
      <c r="L7" s="210">
        <v>101</v>
      </c>
      <c r="M7" s="459" t="str">
        <f t="shared" si="4"/>
        <v>西池袋駅前ビル</v>
      </c>
      <c r="N7" s="212">
        <v>226000000</v>
      </c>
      <c r="O7" s="211">
        <v>42156</v>
      </c>
      <c r="P7" s="328">
        <v>1</v>
      </c>
      <c r="Q7" s="216" t="s">
        <v>1241</v>
      </c>
      <c r="R7" s="217">
        <v>25</v>
      </c>
      <c r="S7" s="217">
        <f t="shared" si="14"/>
        <v>25</v>
      </c>
      <c r="T7" s="210" t="s">
        <v>1242</v>
      </c>
      <c r="U7" s="225">
        <v>44834</v>
      </c>
      <c r="V7" s="213">
        <v>712666</v>
      </c>
      <c r="W7" s="213">
        <v>139065</v>
      </c>
      <c r="X7" s="213">
        <v>851731</v>
      </c>
      <c r="Y7" s="213">
        <v>166166517</v>
      </c>
      <c r="Z7" s="460">
        <f t="shared" si="5"/>
        <v>0.73525007522123897</v>
      </c>
      <c r="AA7" s="461">
        <f t="shared" ca="1" si="6"/>
        <v>17</v>
      </c>
      <c r="AF7" s="210" t="str">
        <f t="shared" si="7"/>
        <v>なし</v>
      </c>
      <c r="AH7" s="210" t="str">
        <f t="shared" si="8"/>
        <v>なし</v>
      </c>
      <c r="AJ7" s="210" t="str">
        <f t="shared" si="9"/>
        <v>なし</v>
      </c>
      <c r="AL7" s="210" t="str">
        <f t="shared" si="10"/>
        <v>なし</v>
      </c>
      <c r="AO7" s="448">
        <f t="shared" si="11"/>
        <v>42156</v>
      </c>
      <c r="AP7" s="448">
        <f t="shared" si="12"/>
        <v>42156</v>
      </c>
      <c r="AQ7" s="23"/>
      <c r="AR7" s="23"/>
      <c r="AS7" s="23"/>
      <c r="AT7" s="23"/>
      <c r="AU7" s="23"/>
      <c r="AV7" s="23"/>
      <c r="AW7" s="23"/>
    </row>
    <row r="8" spans="1:49" s="210" customFormat="1" ht="34.5" customHeight="1">
      <c r="A8" s="210">
        <v>807</v>
      </c>
      <c r="B8" s="458" t="str">
        <f t="shared" si="13"/>
        <v>返済中</v>
      </c>
      <c r="C8" s="210">
        <v>508</v>
      </c>
      <c r="D8" s="459" t="str">
        <f t="shared" si="0"/>
        <v>奄美信金</v>
      </c>
      <c r="E8" s="216" t="s">
        <v>1240</v>
      </c>
      <c r="F8" s="210">
        <v>404</v>
      </c>
      <c r="G8" s="459" t="str">
        <f t="shared" si="1"/>
        <v>コアプラス大阪株式会社</v>
      </c>
      <c r="H8" s="210">
        <v>601</v>
      </c>
      <c r="I8" s="459" t="str">
        <f t="shared" si="2"/>
        <v>不動産購入</v>
      </c>
      <c r="J8" s="210">
        <v>103</v>
      </c>
      <c r="K8" s="459" t="str">
        <f t="shared" si="3"/>
        <v>カーサ目白台ハウス</v>
      </c>
      <c r="L8" s="210">
        <v>103</v>
      </c>
      <c r="M8" s="459" t="str">
        <f t="shared" si="4"/>
        <v>カーサ目白台ハウス</v>
      </c>
      <c r="N8" s="212">
        <v>413500000</v>
      </c>
      <c r="O8" s="211">
        <v>42200</v>
      </c>
      <c r="P8" s="328">
        <v>1.1000000000000001</v>
      </c>
      <c r="Q8" s="216" t="s">
        <v>1241</v>
      </c>
      <c r="R8" s="217">
        <v>30</v>
      </c>
      <c r="S8" s="217">
        <f t="shared" si="14"/>
        <v>30</v>
      </c>
      <c r="T8" s="210" t="s">
        <v>1242</v>
      </c>
      <c r="U8" s="225">
        <v>44824</v>
      </c>
      <c r="V8" s="213">
        <v>1049552</v>
      </c>
      <c r="W8" s="213">
        <v>299492</v>
      </c>
      <c r="X8" s="213">
        <v>1349044</v>
      </c>
      <c r="Y8" s="213">
        <v>325693047</v>
      </c>
      <c r="Z8" s="460">
        <f t="shared" si="5"/>
        <v>0.78764944860943165</v>
      </c>
      <c r="AA8" s="461">
        <f t="shared" ca="1" si="6"/>
        <v>22</v>
      </c>
      <c r="AF8" s="210" t="str">
        <f t="shared" si="7"/>
        <v>なし</v>
      </c>
      <c r="AH8" s="210" t="str">
        <f t="shared" si="8"/>
        <v>なし</v>
      </c>
      <c r="AJ8" s="210" t="str">
        <f t="shared" si="9"/>
        <v>なし</v>
      </c>
      <c r="AL8" s="210" t="str">
        <f t="shared" si="10"/>
        <v>なし</v>
      </c>
      <c r="AO8" s="448">
        <f t="shared" si="11"/>
        <v>42200</v>
      </c>
      <c r="AP8" s="448">
        <f t="shared" si="12"/>
        <v>42200</v>
      </c>
      <c r="AQ8" s="23"/>
      <c r="AR8" s="23"/>
      <c r="AS8" s="23"/>
      <c r="AT8" s="23"/>
      <c r="AU8" s="23"/>
      <c r="AV8" s="23"/>
      <c r="AW8" s="23"/>
    </row>
    <row r="9" spans="1:49" ht="34.5" customHeight="1">
      <c r="A9" s="210">
        <v>808</v>
      </c>
      <c r="B9" s="458" t="str">
        <f t="shared" si="13"/>
        <v>返済中</v>
      </c>
      <c r="C9" s="210">
        <v>509</v>
      </c>
      <c r="D9" s="459" t="str">
        <f t="shared" si="0"/>
        <v>竹富信金</v>
      </c>
      <c r="E9" s="216" t="s">
        <v>1243</v>
      </c>
      <c r="F9" s="210">
        <v>407</v>
      </c>
      <c r="G9" s="459" t="str">
        <f t="shared" si="1"/>
        <v>コアプラス福岡株式会社</v>
      </c>
      <c r="H9" s="210">
        <v>601</v>
      </c>
      <c r="I9" s="459" t="str">
        <f t="shared" si="2"/>
        <v>不動産購入</v>
      </c>
      <c r="J9" s="210">
        <v>107</v>
      </c>
      <c r="K9" s="459" t="str">
        <f t="shared" si="3"/>
        <v>メゾン雑司ヶ谷</v>
      </c>
      <c r="L9" s="210">
        <v>107</v>
      </c>
      <c r="M9" s="459" t="str">
        <f t="shared" si="4"/>
        <v>メゾン雑司ヶ谷</v>
      </c>
      <c r="N9" s="212">
        <v>392000000</v>
      </c>
      <c r="O9" s="211">
        <v>42292</v>
      </c>
      <c r="P9" s="328">
        <v>1.2</v>
      </c>
      <c r="Q9" s="216" t="s">
        <v>1241</v>
      </c>
      <c r="R9" s="217">
        <v>30</v>
      </c>
      <c r="S9" s="217">
        <f t="shared" si="14"/>
        <v>30</v>
      </c>
      <c r="T9" s="210" t="s">
        <v>1242</v>
      </c>
      <c r="U9" s="225">
        <v>44834</v>
      </c>
      <c r="V9" s="213">
        <v>982474</v>
      </c>
      <c r="W9" s="213">
        <v>314688</v>
      </c>
      <c r="X9" s="213">
        <v>1297162</v>
      </c>
      <c r="Y9" s="213">
        <v>313706389</v>
      </c>
      <c r="Z9" s="460">
        <f t="shared" si="5"/>
        <v>0.80027140051020407</v>
      </c>
      <c r="AA9" s="461">
        <f t="shared" ca="1" si="6"/>
        <v>22</v>
      </c>
      <c r="AB9" s="210"/>
      <c r="AC9" s="210"/>
      <c r="AD9" s="210"/>
      <c r="AE9" s="210"/>
      <c r="AF9" s="210" t="str">
        <f t="shared" si="7"/>
        <v>なし</v>
      </c>
      <c r="AG9" s="210"/>
      <c r="AH9" s="210" t="str">
        <f t="shared" si="8"/>
        <v>なし</v>
      </c>
      <c r="AI9" s="210"/>
      <c r="AJ9" s="210" t="str">
        <f t="shared" si="9"/>
        <v>なし</v>
      </c>
      <c r="AK9" s="210"/>
      <c r="AL9" s="210" t="str">
        <f t="shared" si="10"/>
        <v>なし</v>
      </c>
      <c r="AM9" s="210"/>
      <c r="AN9" s="210"/>
      <c r="AO9" s="448">
        <f t="shared" si="11"/>
        <v>42292</v>
      </c>
      <c r="AP9" s="448">
        <f t="shared" si="12"/>
        <v>42292</v>
      </c>
    </row>
    <row r="10" spans="1:49" ht="34.5" customHeight="1">
      <c r="A10" s="210">
        <v>809</v>
      </c>
      <c r="B10" s="458" t="str">
        <f t="shared" si="13"/>
        <v>返済中</v>
      </c>
      <c r="C10" s="210">
        <v>510</v>
      </c>
      <c r="D10" s="459" t="str">
        <f t="shared" si="0"/>
        <v>西表信金</v>
      </c>
      <c r="E10" s="216" t="s">
        <v>1248</v>
      </c>
      <c r="F10" s="210">
        <v>409</v>
      </c>
      <c r="G10" s="459" t="str">
        <f t="shared" si="1"/>
        <v>コアプラス四国株式会社</v>
      </c>
      <c r="H10" s="210">
        <v>601</v>
      </c>
      <c r="I10" s="459" t="str">
        <f t="shared" si="2"/>
        <v>不動産購入</v>
      </c>
      <c r="J10" s="210">
        <v>109</v>
      </c>
      <c r="K10" s="459" t="str">
        <f t="shared" si="3"/>
        <v>カーサ南池袋</v>
      </c>
      <c r="L10" s="210">
        <v>109</v>
      </c>
      <c r="M10" s="459" t="str">
        <f t="shared" si="4"/>
        <v>カーサ南池袋</v>
      </c>
      <c r="N10" s="212">
        <v>180000000</v>
      </c>
      <c r="O10" s="211">
        <v>42362</v>
      </c>
      <c r="P10" s="328">
        <v>1.5</v>
      </c>
      <c r="Q10" s="216" t="s">
        <v>1241</v>
      </c>
      <c r="R10" s="217">
        <v>30</v>
      </c>
      <c r="S10" s="217">
        <f t="shared" si="14"/>
        <v>30</v>
      </c>
      <c r="T10" s="210" t="s">
        <v>1242</v>
      </c>
      <c r="U10" s="225">
        <v>44834</v>
      </c>
      <c r="V10" s="213">
        <v>437860</v>
      </c>
      <c r="W10" s="213">
        <v>183356</v>
      </c>
      <c r="X10" s="213">
        <v>621216</v>
      </c>
      <c r="Y10" s="213">
        <v>146247653</v>
      </c>
      <c r="Z10" s="460">
        <f t="shared" si="5"/>
        <v>0.81248696111111107</v>
      </c>
      <c r="AA10" s="461">
        <f t="shared" ca="1" si="6"/>
        <v>22</v>
      </c>
      <c r="AB10" s="210"/>
      <c r="AC10" s="210"/>
      <c r="AD10" s="210"/>
      <c r="AE10" s="210"/>
      <c r="AF10" s="210" t="str">
        <f t="shared" si="7"/>
        <v>なし</v>
      </c>
      <c r="AG10" s="210"/>
      <c r="AH10" s="210" t="str">
        <f t="shared" si="8"/>
        <v>なし</v>
      </c>
      <c r="AI10" s="210"/>
      <c r="AJ10" s="210" t="str">
        <f t="shared" si="9"/>
        <v>なし</v>
      </c>
      <c r="AK10" s="210"/>
      <c r="AL10" s="210" t="str">
        <f t="shared" si="10"/>
        <v>なし</v>
      </c>
      <c r="AM10" s="210"/>
      <c r="AN10" s="210"/>
      <c r="AO10" s="448">
        <f t="shared" si="11"/>
        <v>42362</v>
      </c>
      <c r="AP10" s="448">
        <f t="shared" si="12"/>
        <v>42362</v>
      </c>
    </row>
    <row r="11" spans="1:49" ht="34.5" customHeight="1">
      <c r="A11" s="210">
        <v>810</v>
      </c>
      <c r="B11" s="458" t="str">
        <f t="shared" si="13"/>
        <v>完済</v>
      </c>
      <c r="C11" s="210">
        <v>511</v>
      </c>
      <c r="D11" s="459" t="str">
        <f t="shared" si="0"/>
        <v>宮古信組</v>
      </c>
      <c r="E11" s="216" t="s">
        <v>1240</v>
      </c>
      <c r="F11" s="210">
        <v>410</v>
      </c>
      <c r="G11" s="459" t="str">
        <f t="shared" si="1"/>
        <v>コアプラス沖縄株式会社</v>
      </c>
      <c r="H11" s="210">
        <v>601</v>
      </c>
      <c r="I11" s="459" t="str">
        <f t="shared" si="2"/>
        <v>不動産購入</v>
      </c>
      <c r="J11" s="210">
        <v>110</v>
      </c>
      <c r="K11" s="459" t="str">
        <f t="shared" si="3"/>
        <v>仙台駅前コーポ</v>
      </c>
      <c r="L11" s="210">
        <v>110</v>
      </c>
      <c r="M11" s="459" t="str">
        <f t="shared" si="4"/>
        <v>仙台駅前コーポ</v>
      </c>
      <c r="N11" s="212">
        <v>250000000</v>
      </c>
      <c r="O11" s="211">
        <v>42390</v>
      </c>
      <c r="P11" s="328">
        <v>1.375</v>
      </c>
      <c r="Q11" s="216" t="s">
        <v>1241</v>
      </c>
      <c r="R11" s="217">
        <v>30</v>
      </c>
      <c r="S11" s="217">
        <f t="shared" si="14"/>
        <v>30</v>
      </c>
      <c r="T11" s="210" t="s">
        <v>1242</v>
      </c>
      <c r="U11" s="225" t="s">
        <v>1249</v>
      </c>
      <c r="V11" s="213"/>
      <c r="W11" s="213"/>
      <c r="X11" s="213"/>
      <c r="Y11" s="213"/>
      <c r="Z11" s="460">
        <f t="shared" si="5"/>
        <v>0</v>
      </c>
      <c r="AA11" s="461">
        <f t="shared" si="6"/>
        <v>0</v>
      </c>
      <c r="AB11" s="210"/>
      <c r="AC11" s="210"/>
      <c r="AD11" s="210"/>
      <c r="AE11" s="210"/>
      <c r="AF11" s="210" t="str">
        <f t="shared" si="7"/>
        <v>なし</v>
      </c>
      <c r="AG11" s="210"/>
      <c r="AH11" s="210" t="str">
        <f t="shared" si="8"/>
        <v>なし</v>
      </c>
      <c r="AI11" s="210"/>
      <c r="AJ11" s="210" t="str">
        <f t="shared" si="9"/>
        <v>なし</v>
      </c>
      <c r="AK11" s="210"/>
      <c r="AL11" s="210" t="str">
        <f t="shared" si="10"/>
        <v>なし</v>
      </c>
      <c r="AM11" s="210"/>
      <c r="AN11" s="210"/>
      <c r="AO11" s="448">
        <f t="shared" si="11"/>
        <v>42390</v>
      </c>
      <c r="AP11" s="448">
        <f t="shared" si="12"/>
        <v>42390</v>
      </c>
    </row>
    <row r="12" spans="1:49" ht="34.5" customHeight="1">
      <c r="A12" s="210">
        <v>811</v>
      </c>
      <c r="B12" s="458" t="str">
        <f t="shared" si="13"/>
        <v>返済中</v>
      </c>
      <c r="C12" s="210">
        <v>512</v>
      </c>
      <c r="D12" s="459" t="str">
        <f t="shared" si="0"/>
        <v>座間味信金</v>
      </c>
      <c r="E12" s="216" t="s">
        <v>1243</v>
      </c>
      <c r="F12" s="210">
        <v>401</v>
      </c>
      <c r="G12" s="459" t="str">
        <f t="shared" si="1"/>
        <v>コアプラス東京株式会社</v>
      </c>
      <c r="H12" s="210">
        <v>601</v>
      </c>
      <c r="I12" s="459" t="str">
        <f t="shared" si="2"/>
        <v>不動産購入</v>
      </c>
      <c r="J12" s="210">
        <v>111</v>
      </c>
      <c r="K12" s="459" t="str">
        <f t="shared" si="3"/>
        <v>目白カーサ二番館</v>
      </c>
      <c r="L12" s="210">
        <v>111</v>
      </c>
      <c r="M12" s="459" t="str">
        <f t="shared" si="4"/>
        <v>目白カーサ二番館</v>
      </c>
      <c r="N12" s="212">
        <v>280000000</v>
      </c>
      <c r="O12" s="211">
        <v>42424</v>
      </c>
      <c r="P12" s="328">
        <v>1.3</v>
      </c>
      <c r="Q12" s="216" t="s">
        <v>1247</v>
      </c>
      <c r="R12" s="217">
        <v>30</v>
      </c>
      <c r="S12" s="217">
        <f t="shared" si="14"/>
        <v>30</v>
      </c>
      <c r="T12" s="210" t="s">
        <v>1242</v>
      </c>
      <c r="U12" s="225">
        <v>44824</v>
      </c>
      <c r="V12" s="213">
        <v>692442</v>
      </c>
      <c r="W12" s="213">
        <v>247247</v>
      </c>
      <c r="X12" s="213">
        <v>939689</v>
      </c>
      <c r="Y12" s="213">
        <v>227542871</v>
      </c>
      <c r="Z12" s="460">
        <f t="shared" si="5"/>
        <v>0.8126531107142857</v>
      </c>
      <c r="AA12" s="461">
        <f t="shared" ca="1" si="6"/>
        <v>23</v>
      </c>
      <c r="AB12" s="210"/>
      <c r="AC12" s="210"/>
      <c r="AD12" s="210"/>
      <c r="AE12" s="210"/>
      <c r="AF12" s="210" t="str">
        <f t="shared" si="7"/>
        <v>なし</v>
      </c>
      <c r="AG12" s="210"/>
      <c r="AH12" s="210" t="str">
        <f t="shared" si="8"/>
        <v>なし</v>
      </c>
      <c r="AI12" s="210"/>
      <c r="AJ12" s="210" t="str">
        <f t="shared" si="9"/>
        <v>なし</v>
      </c>
      <c r="AK12" s="210"/>
      <c r="AL12" s="210" t="str">
        <f t="shared" si="10"/>
        <v>なし</v>
      </c>
      <c r="AM12" s="210"/>
      <c r="AN12" s="210"/>
      <c r="AO12" s="448">
        <f t="shared" si="11"/>
        <v>42424</v>
      </c>
      <c r="AP12" s="448">
        <f t="shared" si="12"/>
        <v>42424</v>
      </c>
    </row>
    <row r="13" spans="1:49" ht="34.5" customHeight="1">
      <c r="A13" s="210">
        <v>812</v>
      </c>
      <c r="B13" s="458" t="str">
        <f t="shared" si="13"/>
        <v>返済中</v>
      </c>
      <c r="C13" s="210">
        <v>501</v>
      </c>
      <c r="D13" s="459" t="str">
        <f t="shared" si="0"/>
        <v>石垣銀行</v>
      </c>
      <c r="E13" s="216" t="s">
        <v>1244</v>
      </c>
      <c r="F13" s="210">
        <v>402</v>
      </c>
      <c r="G13" s="459" t="str">
        <f t="shared" si="1"/>
        <v>コアプラス名古屋株式会社</v>
      </c>
      <c r="H13" s="210">
        <v>601</v>
      </c>
      <c r="I13" s="459" t="str">
        <f t="shared" si="2"/>
        <v>不動産購入</v>
      </c>
      <c r="J13" s="210">
        <v>112</v>
      </c>
      <c r="K13" s="459" t="str">
        <f t="shared" si="3"/>
        <v>豊島目白ビル</v>
      </c>
      <c r="L13" s="210">
        <v>112</v>
      </c>
      <c r="M13" s="459" t="str">
        <f t="shared" si="4"/>
        <v>豊島目白ビル</v>
      </c>
      <c r="N13" s="212">
        <v>450000000</v>
      </c>
      <c r="O13" s="211">
        <v>42458</v>
      </c>
      <c r="P13" s="328">
        <v>1.3</v>
      </c>
      <c r="Q13" s="216" t="s">
        <v>1241</v>
      </c>
      <c r="R13" s="217">
        <v>30</v>
      </c>
      <c r="S13" s="217">
        <f t="shared" si="14"/>
        <v>30</v>
      </c>
      <c r="T13" s="210" t="s">
        <v>1242</v>
      </c>
      <c r="U13" s="225">
        <v>44834</v>
      </c>
      <c r="V13" s="213">
        <v>1111644</v>
      </c>
      <c r="W13" s="213">
        <v>398578</v>
      </c>
      <c r="X13" s="213">
        <v>1510222</v>
      </c>
      <c r="Y13" s="213">
        <v>366807279</v>
      </c>
      <c r="Z13" s="460">
        <f t="shared" si="5"/>
        <v>0.81512728666666667</v>
      </c>
      <c r="AA13" s="461">
        <f t="shared" ca="1" si="6"/>
        <v>23</v>
      </c>
      <c r="AB13" s="210"/>
      <c r="AC13" s="210"/>
      <c r="AD13" s="210"/>
      <c r="AE13" s="210"/>
      <c r="AF13" s="210" t="str">
        <f t="shared" si="7"/>
        <v>なし</v>
      </c>
      <c r="AG13" s="210"/>
      <c r="AH13" s="210" t="str">
        <f t="shared" si="8"/>
        <v>なし</v>
      </c>
      <c r="AI13" s="210"/>
      <c r="AJ13" s="210" t="str">
        <f t="shared" si="9"/>
        <v>なし</v>
      </c>
      <c r="AK13" s="210"/>
      <c r="AL13" s="210" t="str">
        <f t="shared" si="10"/>
        <v>なし</v>
      </c>
      <c r="AM13" s="210"/>
      <c r="AN13" s="210"/>
      <c r="AO13" s="448">
        <f t="shared" si="11"/>
        <v>42458</v>
      </c>
      <c r="AP13" s="448">
        <f t="shared" si="12"/>
        <v>42458</v>
      </c>
    </row>
    <row r="14" spans="1:49" ht="34.5" customHeight="1">
      <c r="A14" s="210">
        <v>813</v>
      </c>
      <c r="B14" s="458" t="str">
        <f t="shared" si="13"/>
        <v>返済中</v>
      </c>
      <c r="C14" s="210">
        <v>502</v>
      </c>
      <c r="D14" s="459" t="str">
        <f t="shared" si="0"/>
        <v>首里信金</v>
      </c>
      <c r="E14" s="216" t="s">
        <v>1245</v>
      </c>
      <c r="F14" s="210">
        <v>404</v>
      </c>
      <c r="G14" s="459" t="str">
        <f t="shared" si="1"/>
        <v>コアプラス大阪株式会社</v>
      </c>
      <c r="H14" s="210">
        <v>601</v>
      </c>
      <c r="I14" s="459" t="str">
        <f t="shared" si="2"/>
        <v>不動産購入</v>
      </c>
      <c r="J14" s="210">
        <v>113</v>
      </c>
      <c r="K14" s="459" t="str">
        <f t="shared" si="3"/>
        <v>第3目白ハイツ</v>
      </c>
      <c r="L14" s="210">
        <v>113</v>
      </c>
      <c r="M14" s="459" t="str">
        <f t="shared" si="4"/>
        <v>第3目白ハイツ</v>
      </c>
      <c r="N14" s="212">
        <v>495000000</v>
      </c>
      <c r="O14" s="211">
        <v>42551</v>
      </c>
      <c r="P14" s="328">
        <v>1.375</v>
      </c>
      <c r="Q14" s="216" t="s">
        <v>1241</v>
      </c>
      <c r="R14" s="217">
        <v>30</v>
      </c>
      <c r="S14" s="217">
        <f t="shared" si="14"/>
        <v>30</v>
      </c>
      <c r="T14" s="210" t="s">
        <v>1242</v>
      </c>
      <c r="U14" s="225">
        <v>44834</v>
      </c>
      <c r="V14" s="213">
        <v>1209934</v>
      </c>
      <c r="W14" s="213">
        <v>468878</v>
      </c>
      <c r="X14" s="213">
        <v>1678812</v>
      </c>
      <c r="Y14" s="213">
        <v>407992887</v>
      </c>
      <c r="Z14" s="460">
        <f t="shared" si="5"/>
        <v>0.82422805454545456</v>
      </c>
      <c r="AA14" s="461">
        <f t="shared" ca="1" si="6"/>
        <v>23</v>
      </c>
      <c r="AB14" s="210"/>
      <c r="AC14" s="210"/>
      <c r="AD14" s="210"/>
      <c r="AE14" s="210"/>
      <c r="AF14" s="210" t="str">
        <f t="shared" si="7"/>
        <v>なし</v>
      </c>
      <c r="AG14" s="210"/>
      <c r="AH14" s="210" t="str">
        <f t="shared" si="8"/>
        <v>なし</v>
      </c>
      <c r="AI14" s="210"/>
      <c r="AJ14" s="210" t="str">
        <f t="shared" si="9"/>
        <v>なし</v>
      </c>
      <c r="AK14" s="210"/>
      <c r="AL14" s="210" t="str">
        <f t="shared" si="10"/>
        <v>なし</v>
      </c>
      <c r="AM14" s="210"/>
      <c r="AN14" s="210"/>
      <c r="AO14" s="448">
        <f t="shared" si="11"/>
        <v>42551</v>
      </c>
      <c r="AP14" s="448">
        <f t="shared" si="12"/>
        <v>42551</v>
      </c>
    </row>
    <row r="15" spans="1:49" ht="34.5" customHeight="1">
      <c r="A15" s="210">
        <v>814</v>
      </c>
      <c r="B15" s="458" t="str">
        <f t="shared" si="13"/>
        <v>返済中</v>
      </c>
      <c r="C15" s="210">
        <v>503</v>
      </c>
      <c r="D15" s="459" t="str">
        <f t="shared" si="0"/>
        <v>名護信金</v>
      </c>
      <c r="E15" s="216" t="s">
        <v>1246</v>
      </c>
      <c r="F15" s="210">
        <v>404</v>
      </c>
      <c r="G15" s="459" t="str">
        <f t="shared" si="1"/>
        <v>コアプラス大阪株式会社</v>
      </c>
      <c r="H15" s="210">
        <v>601</v>
      </c>
      <c r="I15" s="459" t="str">
        <f t="shared" si="2"/>
        <v>不動産購入</v>
      </c>
      <c r="J15" s="210">
        <v>114</v>
      </c>
      <c r="K15" s="459" t="str">
        <f t="shared" si="3"/>
        <v>レジデンス目白豊島</v>
      </c>
      <c r="L15" s="210">
        <v>114</v>
      </c>
      <c r="M15" s="459" t="str">
        <f t="shared" si="4"/>
        <v>レジデンス目白豊島</v>
      </c>
      <c r="N15" s="212">
        <v>189000000</v>
      </c>
      <c r="O15" s="211">
        <v>42612</v>
      </c>
      <c r="P15" s="328">
        <v>1.3</v>
      </c>
      <c r="Q15" s="216" t="s">
        <v>1241</v>
      </c>
      <c r="R15" s="217">
        <v>40</v>
      </c>
      <c r="S15" s="217">
        <f t="shared" si="14"/>
        <v>40</v>
      </c>
      <c r="T15" s="210" t="s">
        <v>1242</v>
      </c>
      <c r="U15" s="225">
        <v>44824</v>
      </c>
      <c r="V15" s="213">
        <v>324776</v>
      </c>
      <c r="W15" s="213">
        <v>180387</v>
      </c>
      <c r="X15" s="213">
        <v>505163</v>
      </c>
      <c r="Y15" s="213">
        <v>166191734</v>
      </c>
      <c r="Z15" s="460">
        <f t="shared" si="5"/>
        <v>0.87932134391534389</v>
      </c>
      <c r="AA15" s="461">
        <f t="shared" ca="1" si="6"/>
        <v>33</v>
      </c>
      <c r="AB15" s="210"/>
      <c r="AC15" s="210"/>
      <c r="AD15" s="210"/>
      <c r="AE15" s="210"/>
      <c r="AF15" s="210" t="str">
        <f t="shared" si="7"/>
        <v>なし</v>
      </c>
      <c r="AG15" s="210"/>
      <c r="AH15" s="210" t="str">
        <f t="shared" si="8"/>
        <v>なし</v>
      </c>
      <c r="AI15" s="210"/>
      <c r="AJ15" s="210" t="str">
        <f t="shared" si="9"/>
        <v>なし</v>
      </c>
      <c r="AK15" s="210"/>
      <c r="AL15" s="210" t="str">
        <f t="shared" si="10"/>
        <v>なし</v>
      </c>
      <c r="AM15" s="210"/>
      <c r="AN15" s="210"/>
      <c r="AO15" s="448">
        <f t="shared" si="11"/>
        <v>42612</v>
      </c>
      <c r="AP15" s="448">
        <f t="shared" si="12"/>
        <v>42612</v>
      </c>
    </row>
    <row r="16" spans="1:49" ht="34.5" customHeight="1">
      <c r="A16" s="210">
        <v>815</v>
      </c>
      <c r="B16" s="458" t="str">
        <f t="shared" si="13"/>
        <v>返済中</v>
      </c>
      <c r="C16" s="210">
        <v>504</v>
      </c>
      <c r="D16" s="459" t="str">
        <f t="shared" si="0"/>
        <v>読谷信金</v>
      </c>
      <c r="E16" s="216" t="s">
        <v>1248</v>
      </c>
      <c r="F16" s="210">
        <v>405</v>
      </c>
      <c r="G16" s="459" t="str">
        <f t="shared" si="1"/>
        <v>コアプラス仙台株式会社</v>
      </c>
      <c r="H16" s="210">
        <v>601</v>
      </c>
      <c r="I16" s="459" t="str">
        <f t="shared" si="2"/>
        <v>不動産購入</v>
      </c>
      <c r="J16" s="210">
        <v>115</v>
      </c>
      <c r="K16" s="459" t="str">
        <f t="shared" si="3"/>
        <v>コアプラス大塚</v>
      </c>
      <c r="L16" s="210">
        <v>115</v>
      </c>
      <c r="M16" s="459" t="str">
        <f t="shared" si="4"/>
        <v>コアプラス大塚</v>
      </c>
      <c r="N16" s="212">
        <v>530000000</v>
      </c>
      <c r="O16" s="211">
        <v>42852</v>
      </c>
      <c r="P16" s="328">
        <v>1.3</v>
      </c>
      <c r="Q16" s="216" t="s">
        <v>1241</v>
      </c>
      <c r="R16" s="217">
        <v>40</v>
      </c>
      <c r="S16" s="217">
        <f t="shared" si="14"/>
        <v>40</v>
      </c>
      <c r="T16" s="210" t="s">
        <v>1242</v>
      </c>
      <c r="U16" s="225">
        <v>44824</v>
      </c>
      <c r="V16" s="213">
        <v>902892</v>
      </c>
      <c r="W16" s="213">
        <v>513702</v>
      </c>
      <c r="X16" s="213">
        <v>1416594</v>
      </c>
      <c r="Y16" s="213">
        <v>473298872</v>
      </c>
      <c r="Z16" s="460">
        <f t="shared" si="5"/>
        <v>0.8930167396226415</v>
      </c>
      <c r="AA16" s="461">
        <f t="shared" ca="1" si="6"/>
        <v>34</v>
      </c>
      <c r="AB16" s="210"/>
      <c r="AC16" s="210"/>
      <c r="AD16" s="210"/>
      <c r="AE16" s="210"/>
      <c r="AF16" s="210" t="str">
        <f t="shared" si="7"/>
        <v>なし</v>
      </c>
      <c r="AG16" s="210"/>
      <c r="AH16" s="210" t="str">
        <f t="shared" si="8"/>
        <v>なし</v>
      </c>
      <c r="AI16" s="210"/>
      <c r="AJ16" s="210" t="str">
        <f t="shared" si="9"/>
        <v>なし</v>
      </c>
      <c r="AK16" s="210"/>
      <c r="AL16" s="210" t="str">
        <f t="shared" si="10"/>
        <v>なし</v>
      </c>
      <c r="AM16" s="210"/>
      <c r="AN16" s="210"/>
      <c r="AO16" s="448">
        <f t="shared" si="11"/>
        <v>42852</v>
      </c>
      <c r="AP16" s="448">
        <f t="shared" si="12"/>
        <v>42852</v>
      </c>
    </row>
    <row r="17" spans="1:49" ht="34.5" customHeight="1">
      <c r="A17" s="210">
        <v>816</v>
      </c>
      <c r="B17" s="458" t="str">
        <f t="shared" si="13"/>
        <v>返済中</v>
      </c>
      <c r="C17" s="210">
        <v>505</v>
      </c>
      <c r="D17" s="459" t="str">
        <f t="shared" si="0"/>
        <v>宜野湾信組</v>
      </c>
      <c r="E17" s="216" t="s">
        <v>1240</v>
      </c>
      <c r="F17" s="210">
        <v>406</v>
      </c>
      <c r="G17" s="459" t="str">
        <f t="shared" si="1"/>
        <v>コアプラス札幌株式会社</v>
      </c>
      <c r="H17" s="210">
        <v>601</v>
      </c>
      <c r="I17" s="459" t="str">
        <f t="shared" si="2"/>
        <v>不動産購入</v>
      </c>
      <c r="J17" s="210">
        <v>116</v>
      </c>
      <c r="K17" s="459" t="str">
        <f t="shared" si="3"/>
        <v>コアプラスレジデンス梅田</v>
      </c>
      <c r="L17" s="210">
        <v>116</v>
      </c>
      <c r="M17" s="459" t="str">
        <f t="shared" si="4"/>
        <v>コアプラスレジデンス梅田</v>
      </c>
      <c r="N17" s="212">
        <v>369000000</v>
      </c>
      <c r="O17" s="211">
        <v>42853</v>
      </c>
      <c r="P17" s="328">
        <v>1.45</v>
      </c>
      <c r="Q17" s="216" t="s">
        <v>1241</v>
      </c>
      <c r="R17" s="217">
        <v>40</v>
      </c>
      <c r="S17" s="217">
        <f t="shared" si="14"/>
        <v>40</v>
      </c>
      <c r="T17" s="210" t="s">
        <v>1242</v>
      </c>
      <c r="U17" s="225">
        <v>44834</v>
      </c>
      <c r="V17" s="213">
        <v>613310</v>
      </c>
      <c r="W17" s="213">
        <v>400259</v>
      </c>
      <c r="X17" s="213">
        <v>1013569</v>
      </c>
      <c r="Y17" s="213">
        <v>330636161</v>
      </c>
      <c r="Z17" s="460">
        <f t="shared" si="5"/>
        <v>0.89603295663956639</v>
      </c>
      <c r="AA17" s="461">
        <f t="shared" ca="1" si="6"/>
        <v>34</v>
      </c>
      <c r="AB17" s="210"/>
      <c r="AC17" s="210"/>
      <c r="AD17" s="210"/>
      <c r="AE17" s="210"/>
      <c r="AF17" s="210" t="str">
        <f t="shared" si="7"/>
        <v>なし</v>
      </c>
      <c r="AG17" s="210"/>
      <c r="AH17" s="210" t="str">
        <f t="shared" si="8"/>
        <v>なし</v>
      </c>
      <c r="AI17" s="210"/>
      <c r="AJ17" s="210" t="str">
        <f t="shared" si="9"/>
        <v>なし</v>
      </c>
      <c r="AK17" s="210"/>
      <c r="AL17" s="210" t="str">
        <f t="shared" si="10"/>
        <v>なし</v>
      </c>
      <c r="AM17" s="210"/>
      <c r="AN17" s="210"/>
      <c r="AO17" s="448">
        <f t="shared" si="11"/>
        <v>42853</v>
      </c>
      <c r="AP17" s="448">
        <f t="shared" si="12"/>
        <v>42853</v>
      </c>
    </row>
    <row r="18" spans="1:49" ht="34.5" customHeight="1">
      <c r="A18" s="210">
        <v>817</v>
      </c>
      <c r="B18" s="458" t="str">
        <f t="shared" si="13"/>
        <v>返済中</v>
      </c>
      <c r="C18" s="210">
        <v>506</v>
      </c>
      <c r="D18" s="459" t="str">
        <f t="shared" si="0"/>
        <v>恩納銀行</v>
      </c>
      <c r="E18" s="216" t="s">
        <v>1243</v>
      </c>
      <c r="F18" s="210">
        <v>407</v>
      </c>
      <c r="G18" s="459" t="str">
        <f t="shared" si="1"/>
        <v>コアプラス福岡株式会社</v>
      </c>
      <c r="H18" s="210">
        <v>601</v>
      </c>
      <c r="I18" s="459" t="str">
        <f t="shared" si="2"/>
        <v>不動産購入</v>
      </c>
      <c r="J18" s="210">
        <v>117</v>
      </c>
      <c r="K18" s="459" t="str">
        <f t="shared" si="3"/>
        <v>高田馬場第4玉川ビル</v>
      </c>
      <c r="L18" s="210">
        <v>117</v>
      </c>
      <c r="M18" s="459" t="str">
        <f t="shared" si="4"/>
        <v>高田馬場第4玉川ビル</v>
      </c>
      <c r="N18" s="212">
        <v>118000000</v>
      </c>
      <c r="O18" s="211">
        <v>42978</v>
      </c>
      <c r="P18" s="328">
        <v>1.675</v>
      </c>
      <c r="Q18" s="216" t="s">
        <v>1247</v>
      </c>
      <c r="R18" s="217">
        <v>35</v>
      </c>
      <c r="S18" s="217">
        <f t="shared" si="14"/>
        <v>35</v>
      </c>
      <c r="T18" s="210" t="s">
        <v>1242</v>
      </c>
      <c r="U18" s="225">
        <v>44824</v>
      </c>
      <c r="V18" s="213">
        <v>224843</v>
      </c>
      <c r="W18" s="213">
        <v>146653</v>
      </c>
      <c r="X18" s="213">
        <v>371496</v>
      </c>
      <c r="Y18" s="213">
        <v>104842675</v>
      </c>
      <c r="Z18" s="460">
        <f t="shared" si="5"/>
        <v>0.88849724576271183</v>
      </c>
      <c r="AA18" s="461">
        <f t="shared" ca="1" si="6"/>
        <v>29</v>
      </c>
      <c r="AB18" s="210"/>
      <c r="AC18" s="210"/>
      <c r="AD18" s="210"/>
      <c r="AE18" s="210"/>
      <c r="AF18" s="210" t="str">
        <f t="shared" si="7"/>
        <v>なし</v>
      </c>
      <c r="AG18" s="210"/>
      <c r="AH18" s="210" t="str">
        <f t="shared" si="8"/>
        <v>なし</v>
      </c>
      <c r="AI18" s="210"/>
      <c r="AJ18" s="210" t="str">
        <f t="shared" si="9"/>
        <v>なし</v>
      </c>
      <c r="AK18" s="210"/>
      <c r="AL18" s="210" t="str">
        <f t="shared" si="10"/>
        <v>なし</v>
      </c>
      <c r="AM18" s="210"/>
      <c r="AN18" s="210"/>
      <c r="AO18" s="448">
        <f t="shared" si="11"/>
        <v>42978</v>
      </c>
      <c r="AP18" s="448">
        <f t="shared" si="12"/>
        <v>42978</v>
      </c>
    </row>
    <row r="19" spans="1:49" ht="34.5" customHeight="1">
      <c r="A19" s="210">
        <v>818</v>
      </c>
      <c r="B19" s="458" t="str">
        <f t="shared" si="13"/>
        <v>完済</v>
      </c>
      <c r="C19" s="210">
        <v>507</v>
      </c>
      <c r="D19" s="459" t="str">
        <f t="shared" si="0"/>
        <v>嘉手納銀行</v>
      </c>
      <c r="E19" s="216" t="s">
        <v>1248</v>
      </c>
      <c r="F19" s="210">
        <v>410</v>
      </c>
      <c r="G19" s="459" t="str">
        <f t="shared" si="1"/>
        <v>コアプラス沖縄株式会社</v>
      </c>
      <c r="H19" s="210">
        <v>601</v>
      </c>
      <c r="I19" s="459" t="str">
        <f t="shared" si="2"/>
        <v>不動産購入</v>
      </c>
      <c r="J19" s="210">
        <v>118</v>
      </c>
      <c r="K19" s="459" t="str">
        <f t="shared" si="3"/>
        <v>あおばマンション</v>
      </c>
      <c r="L19" s="210">
        <v>118</v>
      </c>
      <c r="M19" s="459" t="str">
        <f t="shared" si="4"/>
        <v>あおばマンション</v>
      </c>
      <c r="N19" s="212">
        <v>189000000</v>
      </c>
      <c r="O19" s="211">
        <v>42978</v>
      </c>
      <c r="P19" s="328">
        <v>1.675</v>
      </c>
      <c r="Q19" s="216" t="s">
        <v>1241</v>
      </c>
      <c r="R19" s="217">
        <v>35</v>
      </c>
      <c r="S19" s="217">
        <f t="shared" si="14"/>
        <v>35</v>
      </c>
      <c r="T19" s="210" t="s">
        <v>1242</v>
      </c>
      <c r="U19" s="225" t="s">
        <v>1249</v>
      </c>
      <c r="V19" s="213"/>
      <c r="W19" s="213"/>
      <c r="X19" s="213"/>
      <c r="Y19" s="213"/>
      <c r="Z19" s="460">
        <f t="shared" si="5"/>
        <v>0</v>
      </c>
      <c r="AA19" s="461">
        <f t="shared" si="6"/>
        <v>0</v>
      </c>
      <c r="AB19" s="210"/>
      <c r="AC19" s="210"/>
      <c r="AD19" s="210"/>
      <c r="AE19" s="210"/>
      <c r="AF19" s="210" t="str">
        <f t="shared" si="7"/>
        <v>なし</v>
      </c>
      <c r="AG19" s="210"/>
      <c r="AH19" s="210" t="str">
        <f t="shared" si="8"/>
        <v>なし</v>
      </c>
      <c r="AI19" s="210"/>
      <c r="AJ19" s="210" t="str">
        <f t="shared" si="9"/>
        <v>なし</v>
      </c>
      <c r="AK19" s="210"/>
      <c r="AL19" s="210" t="str">
        <f t="shared" si="10"/>
        <v>なし</v>
      </c>
      <c r="AM19" s="210"/>
      <c r="AN19" s="210"/>
      <c r="AO19" s="448">
        <f t="shared" si="11"/>
        <v>42978</v>
      </c>
      <c r="AP19" s="448">
        <f t="shared" si="12"/>
        <v>42978</v>
      </c>
    </row>
    <row r="20" spans="1:49" ht="34.5" customHeight="1">
      <c r="A20" s="210">
        <v>820</v>
      </c>
      <c r="B20" s="458" t="str">
        <f t="shared" si="13"/>
        <v>返済中</v>
      </c>
      <c r="C20" s="210">
        <v>509</v>
      </c>
      <c r="D20" s="459" t="str">
        <f t="shared" si="0"/>
        <v>竹富信金</v>
      </c>
      <c r="E20" s="216" t="s">
        <v>1248</v>
      </c>
      <c r="F20" s="210">
        <v>408</v>
      </c>
      <c r="G20" s="459" t="str">
        <f t="shared" si="1"/>
        <v>コアプラス京都株式会社</v>
      </c>
      <c r="H20" s="210">
        <v>601</v>
      </c>
      <c r="I20" s="459" t="str">
        <f t="shared" si="2"/>
        <v>不動産購入</v>
      </c>
      <c r="J20" s="210">
        <v>120</v>
      </c>
      <c r="K20" s="459" t="str">
        <f t="shared" si="3"/>
        <v>南池袋マンション</v>
      </c>
      <c r="L20" s="210">
        <v>120</v>
      </c>
      <c r="M20" s="459" t="str">
        <f t="shared" si="4"/>
        <v>南池袋マンション</v>
      </c>
      <c r="N20" s="212">
        <v>155000000</v>
      </c>
      <c r="O20" s="211">
        <v>43109</v>
      </c>
      <c r="P20" s="328">
        <v>1.65</v>
      </c>
      <c r="Q20" s="216" t="s">
        <v>1247</v>
      </c>
      <c r="R20" s="217">
        <v>35</v>
      </c>
      <c r="S20" s="217">
        <f t="shared" si="14"/>
        <v>35</v>
      </c>
      <c r="T20" s="210" t="s">
        <v>1242</v>
      </c>
      <c r="U20" s="225">
        <v>44834</v>
      </c>
      <c r="V20" s="213">
        <v>294357</v>
      </c>
      <c r="W20" s="213">
        <v>191699</v>
      </c>
      <c r="X20" s="213">
        <v>486056</v>
      </c>
      <c r="Y20" s="213">
        <v>139123336</v>
      </c>
      <c r="Z20" s="460">
        <f t="shared" si="5"/>
        <v>0.89756990967741934</v>
      </c>
      <c r="AA20" s="461">
        <f t="shared" ca="1" si="6"/>
        <v>30</v>
      </c>
      <c r="AB20" s="210"/>
      <c r="AC20" s="210"/>
      <c r="AD20" s="210"/>
      <c r="AE20" s="210"/>
      <c r="AF20" s="210" t="str">
        <f t="shared" si="7"/>
        <v>なし</v>
      </c>
      <c r="AG20" s="210"/>
      <c r="AH20" s="210" t="str">
        <f t="shared" si="8"/>
        <v>なし</v>
      </c>
      <c r="AI20" s="210"/>
      <c r="AJ20" s="210" t="str">
        <f t="shared" si="9"/>
        <v>なし</v>
      </c>
      <c r="AK20" s="210"/>
      <c r="AL20" s="210" t="str">
        <f t="shared" si="10"/>
        <v>なし</v>
      </c>
      <c r="AM20" s="210"/>
      <c r="AN20" s="210"/>
      <c r="AO20" s="448">
        <f t="shared" si="11"/>
        <v>43109</v>
      </c>
      <c r="AP20" s="448">
        <f t="shared" si="12"/>
        <v>43109</v>
      </c>
    </row>
    <row r="21" spans="1:49" ht="34.5" customHeight="1">
      <c r="A21" s="210">
        <v>821</v>
      </c>
      <c r="B21" s="458" t="str">
        <f t="shared" si="13"/>
        <v>返済中</v>
      </c>
      <c r="C21" s="210">
        <v>509</v>
      </c>
      <c r="D21" s="459" t="str">
        <f t="shared" si="0"/>
        <v>竹富信金</v>
      </c>
      <c r="E21" s="216" t="s">
        <v>1248</v>
      </c>
      <c r="F21" s="210">
        <v>408</v>
      </c>
      <c r="G21" s="459" t="str">
        <f t="shared" si="1"/>
        <v>コアプラス京都株式会社</v>
      </c>
      <c r="H21" s="210">
        <v>601</v>
      </c>
      <c r="I21" s="459" t="str">
        <f t="shared" si="2"/>
        <v>不動産購入</v>
      </c>
      <c r="J21" s="210">
        <v>971</v>
      </c>
      <c r="K21" s="459" t="str">
        <f t="shared" si="3"/>
        <v>目白アパート1号2号_二棟一括</v>
      </c>
      <c r="L21" s="210">
        <v>971</v>
      </c>
      <c r="M21" s="459" t="str">
        <f t="shared" si="4"/>
        <v>目白アパート1号2号_二棟一括</v>
      </c>
      <c r="N21" s="212">
        <v>80000000</v>
      </c>
      <c r="O21" s="211">
        <v>44103</v>
      </c>
      <c r="P21" s="328">
        <v>1.6</v>
      </c>
      <c r="Q21" s="216" t="s">
        <v>1247</v>
      </c>
      <c r="R21" s="217">
        <v>26</v>
      </c>
      <c r="S21" s="217">
        <f t="shared" si="14"/>
        <v>26</v>
      </c>
      <c r="T21" s="210" t="s">
        <v>1242</v>
      </c>
      <c r="U21" s="225">
        <v>44805</v>
      </c>
      <c r="V21" s="213">
        <v>213926</v>
      </c>
      <c r="W21" s="213">
        <v>100486</v>
      </c>
      <c r="X21" s="213">
        <v>314412</v>
      </c>
      <c r="Y21" s="213">
        <v>75151106</v>
      </c>
      <c r="Z21" s="460">
        <f t="shared" si="5"/>
        <v>0.93938882499999998</v>
      </c>
      <c r="AA21" s="461">
        <f t="shared" ca="1" si="6"/>
        <v>23</v>
      </c>
      <c r="AB21" s="210"/>
      <c r="AC21" s="210" t="s">
        <v>1250</v>
      </c>
      <c r="AD21" s="210"/>
      <c r="AE21" s="210"/>
      <c r="AF21" s="210" t="str">
        <f t="shared" si="7"/>
        <v>なし</v>
      </c>
      <c r="AG21" s="210"/>
      <c r="AH21" s="210" t="str">
        <f t="shared" si="8"/>
        <v>なし</v>
      </c>
      <c r="AI21" s="210"/>
      <c r="AJ21" s="210" t="str">
        <f t="shared" si="9"/>
        <v>なし</v>
      </c>
      <c r="AK21" s="210"/>
      <c r="AL21" s="210" t="str">
        <f t="shared" si="10"/>
        <v>なし</v>
      </c>
      <c r="AM21" s="210"/>
      <c r="AN21" s="210"/>
      <c r="AO21" s="448">
        <f t="shared" si="11"/>
        <v>44103</v>
      </c>
      <c r="AP21" s="448">
        <f t="shared" si="12"/>
        <v>44103</v>
      </c>
    </row>
    <row r="22" spans="1:49" ht="34.5" customHeight="1">
      <c r="A22" s="210">
        <v>822</v>
      </c>
      <c r="B22" s="458" t="str">
        <f t="shared" si="13"/>
        <v>完済</v>
      </c>
      <c r="C22" s="210">
        <v>509</v>
      </c>
      <c r="D22" s="459" t="str">
        <f t="shared" si="0"/>
        <v>竹富信金</v>
      </c>
      <c r="E22" s="216" t="s">
        <v>1246</v>
      </c>
      <c r="F22" s="210">
        <v>402</v>
      </c>
      <c r="G22" s="459" t="str">
        <f t="shared" si="1"/>
        <v>コアプラス名古屋株式会社</v>
      </c>
      <c r="H22" s="210">
        <v>603</v>
      </c>
      <c r="I22" s="459" t="str">
        <f t="shared" si="2"/>
        <v>運転資金</v>
      </c>
      <c r="J22" s="210">
        <v>102</v>
      </c>
      <c r="K22" s="459" t="str">
        <f t="shared" si="3"/>
        <v>池袋ハウス</v>
      </c>
      <c r="L22" s="210">
        <v>611</v>
      </c>
      <c r="M22" s="459" t="str">
        <f t="shared" si="4"/>
        <v>無担保</v>
      </c>
      <c r="N22" s="212">
        <v>238000000</v>
      </c>
      <c r="O22" s="211">
        <v>42304</v>
      </c>
      <c r="P22" s="328">
        <v>1.675</v>
      </c>
      <c r="Q22" s="216" t="s">
        <v>1241</v>
      </c>
      <c r="R22" s="217">
        <v>30</v>
      </c>
      <c r="S22" s="217">
        <f t="shared" si="14"/>
        <v>30</v>
      </c>
      <c r="T22" s="210" t="s">
        <v>1251</v>
      </c>
      <c r="U22" s="225" t="s">
        <v>1249</v>
      </c>
      <c r="W22" s="213"/>
      <c r="X22" s="213"/>
      <c r="Y22" s="213"/>
      <c r="Z22" s="460">
        <f t="shared" si="5"/>
        <v>0</v>
      </c>
      <c r="AA22" s="461">
        <f t="shared" si="6"/>
        <v>0</v>
      </c>
      <c r="AB22" s="210"/>
      <c r="AC22" s="210"/>
      <c r="AD22" s="210"/>
      <c r="AE22" s="210"/>
      <c r="AF22" s="210" t="str">
        <f t="shared" si="7"/>
        <v>なし</v>
      </c>
      <c r="AG22" s="210"/>
      <c r="AH22" s="210" t="str">
        <f t="shared" si="8"/>
        <v>なし</v>
      </c>
      <c r="AI22" s="210"/>
      <c r="AJ22" s="210" t="str">
        <f t="shared" si="9"/>
        <v>なし</v>
      </c>
      <c r="AK22" s="210"/>
      <c r="AL22" s="210" t="str">
        <f t="shared" si="10"/>
        <v>なし</v>
      </c>
      <c r="AM22" s="210"/>
      <c r="AN22" s="210"/>
      <c r="AO22" s="448">
        <f t="shared" si="11"/>
        <v>42304</v>
      </c>
      <c r="AP22" s="448">
        <f t="shared" si="12"/>
        <v>42304</v>
      </c>
      <c r="AQ22" s="210"/>
      <c r="AR22" s="210"/>
      <c r="AS22" s="211"/>
      <c r="AT22" s="212"/>
      <c r="AU22" s="212"/>
      <c r="AV22" s="212"/>
      <c r="AW22" s="212"/>
    </row>
    <row r="23" spans="1:49" ht="34.5" customHeight="1">
      <c r="A23" s="210">
        <v>823</v>
      </c>
      <c r="B23" s="458" t="str">
        <f t="shared" si="13"/>
        <v>返済中</v>
      </c>
      <c r="C23" s="210">
        <v>506</v>
      </c>
      <c r="D23" s="459" t="str">
        <f t="shared" si="0"/>
        <v>恩納銀行</v>
      </c>
      <c r="E23" s="216" t="s">
        <v>1243</v>
      </c>
      <c r="F23" s="210">
        <v>406</v>
      </c>
      <c r="G23" s="459" t="str">
        <f t="shared" si="1"/>
        <v>コアプラス札幌株式会社</v>
      </c>
      <c r="H23" s="210">
        <v>602</v>
      </c>
      <c r="I23" s="459" t="str">
        <f t="shared" si="2"/>
        <v>修繕資金</v>
      </c>
      <c r="J23" s="210">
        <v>116</v>
      </c>
      <c r="K23" s="459" t="str">
        <f t="shared" si="3"/>
        <v>コアプラスレジデンス梅田</v>
      </c>
      <c r="L23" s="210">
        <v>116</v>
      </c>
      <c r="M23" s="459" t="str">
        <f t="shared" si="4"/>
        <v>コアプラスレジデンス梅田</v>
      </c>
      <c r="N23" s="212">
        <v>15000000</v>
      </c>
      <c r="O23" s="211">
        <v>42928</v>
      </c>
      <c r="P23" s="328">
        <v>0.97499999999999998</v>
      </c>
      <c r="Q23" s="216" t="s">
        <v>1241</v>
      </c>
      <c r="R23" s="217">
        <v>10</v>
      </c>
      <c r="S23" s="217">
        <f t="shared" si="14"/>
        <v>10</v>
      </c>
      <c r="T23" s="210" t="s">
        <v>1251</v>
      </c>
      <c r="U23" s="225">
        <v>44742</v>
      </c>
      <c r="V23" s="213">
        <v>125000</v>
      </c>
      <c r="W23" s="213">
        <v>6210</v>
      </c>
      <c r="X23" s="213">
        <v>131210</v>
      </c>
      <c r="Y23" s="213">
        <v>7500000</v>
      </c>
      <c r="Z23" s="460">
        <f t="shared" si="5"/>
        <v>0.5</v>
      </c>
      <c r="AA23" s="461">
        <f t="shared" ca="1" si="6"/>
        <v>4</v>
      </c>
      <c r="AB23" s="210"/>
      <c r="AC23" s="210"/>
      <c r="AD23" s="210"/>
      <c r="AE23" s="210">
        <v>671</v>
      </c>
      <c r="AF23" s="210" t="str">
        <f t="shared" si="7"/>
        <v>共同担保</v>
      </c>
      <c r="AG23" s="210">
        <v>106</v>
      </c>
      <c r="AH23" s="210" t="str">
        <f t="shared" si="8"/>
        <v>東池袋ハイツ</v>
      </c>
      <c r="AI23" s="210"/>
      <c r="AJ23" s="210" t="str">
        <f t="shared" si="9"/>
        <v>なし</v>
      </c>
      <c r="AK23" s="210"/>
      <c r="AL23" s="210" t="str">
        <f t="shared" si="10"/>
        <v>なし</v>
      </c>
      <c r="AM23" s="210"/>
      <c r="AN23" s="210"/>
      <c r="AO23" s="448">
        <f t="shared" si="11"/>
        <v>42928</v>
      </c>
      <c r="AP23" s="448">
        <f t="shared" si="12"/>
        <v>42928</v>
      </c>
      <c r="AQ23" s="210"/>
      <c r="AR23" s="210"/>
      <c r="AS23" s="211"/>
      <c r="AT23" s="212"/>
      <c r="AU23" s="212"/>
      <c r="AV23" s="212"/>
      <c r="AW23" s="212"/>
    </row>
    <row r="24" spans="1:49" ht="34.5" customHeight="1">
      <c r="A24" s="210">
        <v>824</v>
      </c>
      <c r="B24" s="458" t="str">
        <f t="shared" si="13"/>
        <v>返済中</v>
      </c>
      <c r="C24" s="210">
        <v>511</v>
      </c>
      <c r="D24" s="459" t="str">
        <f t="shared" si="0"/>
        <v>宮古信組</v>
      </c>
      <c r="E24" s="216" t="s">
        <v>1240</v>
      </c>
      <c r="F24" s="210">
        <v>405</v>
      </c>
      <c r="G24" s="459" t="str">
        <f t="shared" si="1"/>
        <v>コアプラス仙台株式会社</v>
      </c>
      <c r="H24" s="210">
        <v>602</v>
      </c>
      <c r="I24" s="459" t="str">
        <f t="shared" si="2"/>
        <v>修繕資金</v>
      </c>
      <c r="J24" s="210">
        <v>105</v>
      </c>
      <c r="K24" s="459" t="str">
        <f t="shared" si="3"/>
        <v>目白アパート</v>
      </c>
      <c r="L24" s="210">
        <v>105</v>
      </c>
      <c r="M24" s="459" t="str">
        <f t="shared" si="4"/>
        <v>目白アパート</v>
      </c>
      <c r="N24" s="212">
        <v>17900000</v>
      </c>
      <c r="O24" s="211">
        <v>43644</v>
      </c>
      <c r="P24" s="328">
        <v>0.97499999999999998</v>
      </c>
      <c r="Q24" s="216" t="s">
        <v>1241</v>
      </c>
      <c r="R24" s="217">
        <v>10</v>
      </c>
      <c r="S24" s="217">
        <f t="shared" si="14"/>
        <v>10</v>
      </c>
      <c r="T24" s="210" t="s">
        <v>1242</v>
      </c>
      <c r="U24" s="225">
        <v>44742</v>
      </c>
      <c r="V24" s="213">
        <v>150000</v>
      </c>
      <c r="W24" s="213">
        <v>10351</v>
      </c>
      <c r="X24" s="213">
        <v>160351</v>
      </c>
      <c r="Y24" s="213">
        <v>12500000</v>
      </c>
      <c r="Z24" s="460">
        <f t="shared" si="5"/>
        <v>0.6983240223463687</v>
      </c>
      <c r="AA24" s="461">
        <f t="shared" ca="1" si="6"/>
        <v>6</v>
      </c>
      <c r="AB24" s="210"/>
      <c r="AC24" s="210"/>
      <c r="AD24" s="210"/>
      <c r="AE24" s="210">
        <v>673</v>
      </c>
      <c r="AF24" s="210" t="str">
        <f t="shared" si="7"/>
        <v>第二抵当</v>
      </c>
      <c r="AG24" s="210">
        <v>107</v>
      </c>
      <c r="AH24" s="210" t="str">
        <f t="shared" si="8"/>
        <v>メゾン雑司ヶ谷</v>
      </c>
      <c r="AI24" s="210"/>
      <c r="AJ24" s="210" t="str">
        <f t="shared" si="9"/>
        <v>なし</v>
      </c>
      <c r="AK24" s="210"/>
      <c r="AL24" s="210" t="str">
        <f t="shared" si="10"/>
        <v>なし</v>
      </c>
      <c r="AM24" s="210"/>
      <c r="AN24" s="210"/>
      <c r="AO24" s="448">
        <f t="shared" si="11"/>
        <v>43644</v>
      </c>
      <c r="AP24" s="448">
        <f t="shared" si="12"/>
        <v>43644</v>
      </c>
      <c r="AQ24" s="210"/>
      <c r="AR24" s="210"/>
      <c r="AS24" s="211"/>
      <c r="AT24" s="212"/>
      <c r="AU24" s="212"/>
      <c r="AV24" s="212"/>
      <c r="AW24" s="212"/>
    </row>
    <row r="25" spans="1:49" ht="34.5" customHeight="1">
      <c r="A25" s="210">
        <v>825</v>
      </c>
      <c r="B25" s="458" t="str">
        <f t="shared" si="13"/>
        <v>返済中</v>
      </c>
      <c r="C25" s="210">
        <v>512</v>
      </c>
      <c r="D25" s="459" t="str">
        <f t="shared" si="0"/>
        <v>座間味信金</v>
      </c>
      <c r="E25" s="216" t="s">
        <v>1243</v>
      </c>
      <c r="F25" s="210">
        <v>301</v>
      </c>
      <c r="G25" s="459" t="str">
        <f t="shared" si="1"/>
        <v>玉川陽介</v>
      </c>
      <c r="H25" s="210">
        <v>605</v>
      </c>
      <c r="I25" s="459" t="str">
        <f t="shared" si="2"/>
        <v>住宅ローン</v>
      </c>
      <c r="J25" s="210">
        <v>222</v>
      </c>
      <c r="K25" s="459" t="str">
        <f t="shared" si="3"/>
        <v>プラウD目白301号</v>
      </c>
      <c r="L25" s="210">
        <v>222</v>
      </c>
      <c r="M25" s="459" t="str">
        <f t="shared" si="4"/>
        <v>プラウD目白301号</v>
      </c>
      <c r="N25" s="212">
        <v>94000000</v>
      </c>
      <c r="O25" s="211">
        <v>44266</v>
      </c>
      <c r="P25" s="328">
        <v>2.8</v>
      </c>
      <c r="Q25" s="216" t="s">
        <v>1241</v>
      </c>
      <c r="R25" s="217">
        <v>30</v>
      </c>
      <c r="S25" s="217">
        <f t="shared" si="14"/>
        <v>30</v>
      </c>
      <c r="T25" s="210" t="s">
        <v>1242</v>
      </c>
      <c r="U25" s="225">
        <v>44718</v>
      </c>
      <c r="V25" s="213">
        <v>169657</v>
      </c>
      <c r="W25" s="213">
        <v>221433</v>
      </c>
      <c r="X25" s="213">
        <v>391090</v>
      </c>
      <c r="Y25" s="213">
        <v>91457870</v>
      </c>
      <c r="Z25" s="460">
        <f t="shared" si="5"/>
        <v>0.97295606382978728</v>
      </c>
      <c r="AA25" s="461">
        <f t="shared" ca="1" si="6"/>
        <v>28</v>
      </c>
      <c r="AB25" s="210"/>
      <c r="AC25" s="210"/>
      <c r="AD25" s="210"/>
      <c r="AE25" s="210">
        <v>673</v>
      </c>
      <c r="AF25" s="210" t="str">
        <f t="shared" si="7"/>
        <v>第二抵当</v>
      </c>
      <c r="AG25" s="210">
        <v>109</v>
      </c>
      <c r="AH25" s="210" t="str">
        <f t="shared" si="8"/>
        <v>カーサ南池袋</v>
      </c>
      <c r="AI25" s="210">
        <v>671</v>
      </c>
      <c r="AJ25" s="210" t="str">
        <f t="shared" si="9"/>
        <v>共同担保</v>
      </c>
      <c r="AK25" s="210">
        <v>111</v>
      </c>
      <c r="AL25" s="210" t="str">
        <f t="shared" si="10"/>
        <v>目白カーサ二番館</v>
      </c>
      <c r="AM25" s="210"/>
      <c r="AN25" s="210"/>
      <c r="AO25" s="448">
        <f t="shared" si="11"/>
        <v>44266</v>
      </c>
      <c r="AP25" s="448">
        <f t="shared" si="12"/>
        <v>44266</v>
      </c>
      <c r="AQ25" s="210"/>
      <c r="AR25" s="210"/>
      <c r="AS25" s="211"/>
      <c r="AT25" s="212"/>
      <c r="AU25" s="212"/>
      <c r="AV25" s="212"/>
      <c r="AW25" s="212"/>
    </row>
    <row r="26" spans="1:49" ht="34.5" customHeight="1">
      <c r="A26" s="210">
        <v>826</v>
      </c>
      <c r="B26" s="458" t="str">
        <f t="shared" si="13"/>
        <v>返済中</v>
      </c>
      <c r="C26" s="210">
        <v>501</v>
      </c>
      <c r="D26" s="459" t="str">
        <f t="shared" si="0"/>
        <v>石垣銀行</v>
      </c>
      <c r="E26" s="216" t="s">
        <v>1244</v>
      </c>
      <c r="F26" s="210">
        <v>401</v>
      </c>
      <c r="G26" s="459" t="str">
        <f t="shared" si="1"/>
        <v>コアプラス東京株式会社</v>
      </c>
      <c r="H26" s="210">
        <v>602</v>
      </c>
      <c r="I26" s="459" t="str">
        <f t="shared" si="2"/>
        <v>修繕資金</v>
      </c>
      <c r="J26" s="210">
        <v>222</v>
      </c>
      <c r="K26" s="459" t="str">
        <f t="shared" si="3"/>
        <v>プラウD目白301号</v>
      </c>
      <c r="L26" s="210">
        <v>222</v>
      </c>
      <c r="M26" s="459" t="str">
        <f t="shared" si="4"/>
        <v>プラウD目白301号</v>
      </c>
      <c r="N26" s="212">
        <v>20556000</v>
      </c>
      <c r="O26" s="211">
        <v>44377</v>
      </c>
      <c r="P26" s="328">
        <v>2.9636</v>
      </c>
      <c r="Q26" s="216" t="s">
        <v>1241</v>
      </c>
      <c r="R26" s="217">
        <v>5</v>
      </c>
      <c r="S26" s="217">
        <f t="shared" si="14"/>
        <v>5</v>
      </c>
      <c r="T26" s="210" t="s">
        <v>1251</v>
      </c>
      <c r="U26" s="225">
        <v>44739</v>
      </c>
      <c r="V26" s="213">
        <v>326683</v>
      </c>
      <c r="W26" s="213">
        <v>42817</v>
      </c>
      <c r="X26" s="213">
        <v>369500</v>
      </c>
      <c r="Y26" s="213">
        <v>16705681</v>
      </c>
      <c r="Z26" s="460">
        <f t="shared" si="5"/>
        <v>0.81269123370305507</v>
      </c>
      <c r="AA26" s="461">
        <f t="shared" ca="1" si="6"/>
        <v>3</v>
      </c>
      <c r="AB26" s="210"/>
      <c r="AC26" s="210"/>
      <c r="AD26" s="210"/>
      <c r="AE26" s="210">
        <v>671</v>
      </c>
      <c r="AF26" s="210" t="str">
        <f t="shared" si="7"/>
        <v>共同担保</v>
      </c>
      <c r="AG26" s="210">
        <v>109</v>
      </c>
      <c r="AH26" s="210" t="str">
        <f t="shared" si="8"/>
        <v>カーサ南池袋</v>
      </c>
      <c r="AI26" s="210"/>
      <c r="AJ26" s="210" t="str">
        <f t="shared" si="9"/>
        <v>なし</v>
      </c>
      <c r="AK26" s="210"/>
      <c r="AL26" s="210" t="str">
        <f t="shared" si="10"/>
        <v>なし</v>
      </c>
      <c r="AM26" s="210"/>
      <c r="AN26" s="210"/>
      <c r="AO26" s="448">
        <f t="shared" si="11"/>
        <v>44377</v>
      </c>
      <c r="AP26" s="448">
        <f t="shared" si="12"/>
        <v>44377</v>
      </c>
      <c r="AQ26" s="210"/>
      <c r="AR26" s="210"/>
      <c r="AS26" s="211"/>
      <c r="AT26" s="212"/>
      <c r="AU26" s="212"/>
      <c r="AV26" s="212"/>
      <c r="AW26" s="212"/>
    </row>
    <row r="27" spans="1:49" ht="34.5" customHeight="1">
      <c r="A27" s="210">
        <v>827</v>
      </c>
      <c r="B27" s="458" t="str">
        <f t="shared" si="13"/>
        <v>返済中</v>
      </c>
      <c r="C27" s="210">
        <v>502</v>
      </c>
      <c r="D27" s="459" t="str">
        <f t="shared" si="0"/>
        <v>首里信金</v>
      </c>
      <c r="E27" s="216" t="s">
        <v>1245</v>
      </c>
      <c r="F27" s="210">
        <v>401</v>
      </c>
      <c r="G27" s="459" t="str">
        <f t="shared" si="1"/>
        <v>コアプラス東京株式会社</v>
      </c>
      <c r="H27" s="210">
        <v>603</v>
      </c>
      <c r="I27" s="459" t="str">
        <f t="shared" si="2"/>
        <v>運転資金</v>
      </c>
      <c r="J27" s="210">
        <v>621</v>
      </c>
      <c r="K27" s="459" t="str">
        <f t="shared" si="3"/>
        <v>対象物件なし(運転資金)</v>
      </c>
      <c r="L27" s="210">
        <v>611</v>
      </c>
      <c r="M27" s="459" t="str">
        <f t="shared" si="4"/>
        <v>無担保</v>
      </c>
      <c r="N27" s="212">
        <v>11000000</v>
      </c>
      <c r="O27" s="211">
        <v>44469</v>
      </c>
      <c r="P27" s="328">
        <v>1.875</v>
      </c>
      <c r="Q27" s="216" t="s">
        <v>1241</v>
      </c>
      <c r="R27" s="217">
        <v>10</v>
      </c>
      <c r="S27" s="217">
        <f t="shared" si="14"/>
        <v>10</v>
      </c>
      <c r="T27" s="210" t="s">
        <v>1251</v>
      </c>
      <c r="U27" s="225">
        <v>44742</v>
      </c>
      <c r="V27" s="213">
        <v>84461</v>
      </c>
      <c r="W27" s="213">
        <v>16139</v>
      </c>
      <c r="X27" s="213">
        <v>100600</v>
      </c>
      <c r="Y27" s="213">
        <v>10244573</v>
      </c>
      <c r="Z27" s="460">
        <f t="shared" si="5"/>
        <v>0.93132481818181823</v>
      </c>
      <c r="AA27" s="461">
        <f t="shared" ca="1" si="6"/>
        <v>8</v>
      </c>
      <c r="AB27" s="210" t="s">
        <v>1252</v>
      </c>
      <c r="AC27" s="210" t="s">
        <v>1253</v>
      </c>
      <c r="AD27" s="210"/>
      <c r="AE27" s="210"/>
      <c r="AF27" s="210" t="str">
        <f t="shared" si="7"/>
        <v>なし</v>
      </c>
      <c r="AG27" s="210"/>
      <c r="AH27" s="210" t="str">
        <f t="shared" si="8"/>
        <v>なし</v>
      </c>
      <c r="AI27" s="210"/>
      <c r="AJ27" s="210" t="str">
        <f t="shared" si="9"/>
        <v>なし</v>
      </c>
      <c r="AK27" s="210"/>
      <c r="AL27" s="210" t="str">
        <f t="shared" si="10"/>
        <v>なし</v>
      </c>
      <c r="AM27" s="210"/>
      <c r="AN27" s="210"/>
      <c r="AO27" s="448">
        <f t="shared" si="11"/>
        <v>44469</v>
      </c>
      <c r="AP27" s="448">
        <f t="shared" si="12"/>
        <v>44469</v>
      </c>
      <c r="AQ27" s="210"/>
      <c r="AR27" s="210"/>
      <c r="AS27" s="211"/>
      <c r="AT27" s="212"/>
      <c r="AU27" s="212"/>
      <c r="AV27" s="212"/>
      <c r="AW27" s="212"/>
    </row>
    <row r="28" spans="1:49" ht="34.5" customHeight="1">
      <c r="A28" s="210">
        <v>828</v>
      </c>
      <c r="B28" s="458" t="str">
        <f t="shared" si="13"/>
        <v>返済中</v>
      </c>
      <c r="C28" s="210">
        <v>502</v>
      </c>
      <c r="D28" s="459" t="str">
        <f t="shared" si="0"/>
        <v>首里信金</v>
      </c>
      <c r="E28" s="216" t="s">
        <v>1246</v>
      </c>
      <c r="F28" s="210">
        <v>301</v>
      </c>
      <c r="G28" s="459" t="str">
        <f t="shared" si="1"/>
        <v>玉川陽介</v>
      </c>
      <c r="H28" s="210">
        <v>604</v>
      </c>
      <c r="I28" s="459" t="str">
        <f t="shared" si="2"/>
        <v>他業借入</v>
      </c>
      <c r="J28" s="210">
        <v>621</v>
      </c>
      <c r="K28" s="459" t="str">
        <f t="shared" si="3"/>
        <v>対象物件なし(運転資金)</v>
      </c>
      <c r="L28" s="210">
        <v>611</v>
      </c>
      <c r="M28" s="459" t="str">
        <f t="shared" si="4"/>
        <v>無担保</v>
      </c>
      <c r="N28" s="212">
        <v>11000000</v>
      </c>
      <c r="O28" s="211">
        <v>44469</v>
      </c>
      <c r="P28" s="328">
        <v>1.875</v>
      </c>
      <c r="Q28" s="216" t="s">
        <v>1241</v>
      </c>
      <c r="R28" s="217">
        <v>10</v>
      </c>
      <c r="S28" s="217">
        <f t="shared" si="14"/>
        <v>10</v>
      </c>
      <c r="T28" s="210" t="s">
        <v>1251</v>
      </c>
      <c r="U28" s="225">
        <v>44742</v>
      </c>
      <c r="V28" s="213">
        <v>84461</v>
      </c>
      <c r="W28" s="213">
        <v>16139</v>
      </c>
      <c r="X28" s="213">
        <v>100600</v>
      </c>
      <c r="Y28" s="213">
        <v>10244573</v>
      </c>
      <c r="Z28" s="460">
        <f t="shared" si="5"/>
        <v>0.93132481818181823</v>
      </c>
      <c r="AA28" s="461">
        <f t="shared" ca="1" si="6"/>
        <v>8</v>
      </c>
      <c r="AB28" s="210"/>
      <c r="AC28" s="210" t="s">
        <v>1254</v>
      </c>
      <c r="AD28" s="210"/>
      <c r="AE28" s="210"/>
      <c r="AF28" s="210" t="str">
        <f t="shared" si="7"/>
        <v>なし</v>
      </c>
      <c r="AG28" s="210"/>
      <c r="AH28" s="210" t="str">
        <f t="shared" si="8"/>
        <v>なし</v>
      </c>
      <c r="AI28" s="210"/>
      <c r="AJ28" s="210" t="str">
        <f t="shared" si="9"/>
        <v>なし</v>
      </c>
      <c r="AK28" s="210"/>
      <c r="AL28" s="210" t="str">
        <f t="shared" si="10"/>
        <v>なし</v>
      </c>
      <c r="AM28" s="210"/>
      <c r="AN28" s="210"/>
      <c r="AO28" s="448">
        <f t="shared" si="11"/>
        <v>44469</v>
      </c>
      <c r="AP28" s="448">
        <f t="shared" si="12"/>
        <v>44469</v>
      </c>
      <c r="AQ28" s="210"/>
      <c r="AR28" s="210"/>
      <c r="AS28" s="211"/>
      <c r="AT28" s="212"/>
      <c r="AU28" s="212"/>
      <c r="AV28" s="212"/>
      <c r="AW28" s="212"/>
    </row>
    <row r="29" spans="1:49" ht="34.5" customHeight="1">
      <c r="A29" s="210">
        <v>829</v>
      </c>
      <c r="B29" s="458" t="str">
        <f t="shared" si="13"/>
        <v>返済中</v>
      </c>
      <c r="C29" s="210">
        <v>502</v>
      </c>
      <c r="D29" s="459" t="str">
        <f t="shared" si="0"/>
        <v>首里信金</v>
      </c>
      <c r="E29" s="216" t="s">
        <v>1248</v>
      </c>
      <c r="F29" s="210">
        <v>401</v>
      </c>
      <c r="G29" s="459" t="str">
        <f t="shared" si="1"/>
        <v>コアプラス東京株式会社</v>
      </c>
      <c r="H29" s="210">
        <v>602</v>
      </c>
      <c r="I29" s="459" t="str">
        <f t="shared" si="2"/>
        <v>修繕資金</v>
      </c>
      <c r="J29" s="210">
        <v>121</v>
      </c>
      <c r="K29" s="459" t="str">
        <f t="shared" si="3"/>
        <v>目白アパート1号館</v>
      </c>
      <c r="L29" s="210">
        <v>611</v>
      </c>
      <c r="M29" s="459" t="str">
        <f t="shared" si="4"/>
        <v>無担保</v>
      </c>
      <c r="N29" s="212">
        <v>10000000</v>
      </c>
      <c r="O29" s="211">
        <v>44469</v>
      </c>
      <c r="P29" s="328">
        <v>1.85</v>
      </c>
      <c r="Q29" s="216" t="s">
        <v>1241</v>
      </c>
      <c r="R29" s="217">
        <v>15</v>
      </c>
      <c r="S29" s="217">
        <f t="shared" si="14"/>
        <v>15</v>
      </c>
      <c r="T29" s="210" t="s">
        <v>1251</v>
      </c>
      <c r="U29" s="225">
        <v>44742</v>
      </c>
      <c r="V29" s="213">
        <v>49298</v>
      </c>
      <c r="W29" s="213">
        <v>14364</v>
      </c>
      <c r="X29" s="213">
        <v>63662</v>
      </c>
      <c r="Y29" s="213">
        <v>9268450</v>
      </c>
      <c r="Z29" s="460">
        <f t="shared" si="5"/>
        <v>0.92684500000000003</v>
      </c>
      <c r="AA29" s="461">
        <f t="shared" ca="1" si="6"/>
        <v>13</v>
      </c>
      <c r="AB29" s="210"/>
      <c r="AC29" s="23" t="s">
        <v>1255</v>
      </c>
      <c r="AE29" s="210"/>
      <c r="AF29" s="210" t="str">
        <f t="shared" si="7"/>
        <v>なし</v>
      </c>
      <c r="AG29" s="210"/>
      <c r="AH29" s="210" t="str">
        <f t="shared" si="8"/>
        <v>なし</v>
      </c>
      <c r="AI29" s="210"/>
      <c r="AJ29" s="210" t="str">
        <f t="shared" si="9"/>
        <v>なし</v>
      </c>
      <c r="AK29" s="210"/>
      <c r="AL29" s="210" t="str">
        <f t="shared" si="10"/>
        <v>なし</v>
      </c>
      <c r="AM29" s="210"/>
      <c r="AN29" s="210"/>
      <c r="AO29" s="448">
        <f t="shared" si="11"/>
        <v>44469</v>
      </c>
      <c r="AP29" s="448">
        <f t="shared" si="12"/>
        <v>44469</v>
      </c>
      <c r="AQ29" s="210"/>
      <c r="AR29" s="210"/>
      <c r="AS29" s="211"/>
      <c r="AT29" s="212"/>
      <c r="AU29" s="212"/>
      <c r="AV29" s="212"/>
      <c r="AW29" s="212"/>
    </row>
    <row r="30" spans="1:49" ht="34.5" customHeight="1">
      <c r="A30" s="210">
        <v>830</v>
      </c>
      <c r="B30" s="458" t="str">
        <f t="shared" si="13"/>
        <v>返済中</v>
      </c>
      <c r="C30" s="210">
        <v>302</v>
      </c>
      <c r="D30" s="459" t="str">
        <f t="shared" si="0"/>
        <v>玉川花子</v>
      </c>
      <c r="E30" s="216" t="s">
        <v>846</v>
      </c>
      <c r="F30" s="210">
        <v>401</v>
      </c>
      <c r="G30" s="459" t="str">
        <f t="shared" si="1"/>
        <v>コアプラス東京株式会社</v>
      </c>
      <c r="H30" s="210">
        <v>606</v>
      </c>
      <c r="I30" s="459" t="str">
        <f t="shared" si="2"/>
        <v>親族借入</v>
      </c>
      <c r="J30" s="210">
        <v>621</v>
      </c>
      <c r="K30" s="459" t="str">
        <f t="shared" si="3"/>
        <v>対象物件なし(運転資金)</v>
      </c>
      <c r="L30" s="210">
        <v>611</v>
      </c>
      <c r="M30" s="459" t="str">
        <f t="shared" si="4"/>
        <v>無担保</v>
      </c>
      <c r="N30" s="64">
        <v>2000000</v>
      </c>
      <c r="O30" s="211">
        <v>44469</v>
      </c>
      <c r="P30" s="328">
        <v>0</v>
      </c>
      <c r="Q30" s="218" t="s">
        <v>980</v>
      </c>
      <c r="R30" s="217">
        <v>10</v>
      </c>
      <c r="S30" s="217">
        <f t="shared" si="14"/>
        <v>10</v>
      </c>
      <c r="T30" s="23" t="s">
        <v>1256</v>
      </c>
      <c r="U30" s="225">
        <v>44742</v>
      </c>
      <c r="V30" s="78">
        <v>0</v>
      </c>
      <c r="W30" s="78">
        <v>0</v>
      </c>
      <c r="X30" s="78">
        <v>0</v>
      </c>
      <c r="Y30" s="78">
        <v>2000000</v>
      </c>
      <c r="Z30" s="460">
        <f t="shared" si="5"/>
        <v>1</v>
      </c>
      <c r="AA30" s="461">
        <f t="shared" ca="1" si="6"/>
        <v>8</v>
      </c>
      <c r="AE30" s="210"/>
      <c r="AF30" s="210" t="str">
        <f t="shared" si="7"/>
        <v>なし</v>
      </c>
      <c r="AG30" s="210"/>
      <c r="AH30" s="210" t="str">
        <f t="shared" si="8"/>
        <v>なし</v>
      </c>
      <c r="AI30" s="210"/>
      <c r="AJ30" s="210" t="str">
        <f t="shared" si="9"/>
        <v>なし</v>
      </c>
      <c r="AK30" s="210"/>
      <c r="AL30" s="210" t="str">
        <f t="shared" si="10"/>
        <v>なし</v>
      </c>
      <c r="AM30" s="210"/>
      <c r="AN30" s="210"/>
      <c r="AO30" s="448">
        <v>48121</v>
      </c>
      <c r="AP30" s="448">
        <v>48121</v>
      </c>
    </row>
    <row r="31" spans="1:49" ht="34.5" customHeight="1">
      <c r="A31" s="210">
        <v>831</v>
      </c>
      <c r="B31" s="458" t="str">
        <f t="shared" si="13"/>
        <v>完済</v>
      </c>
      <c r="C31" s="210">
        <v>501</v>
      </c>
      <c r="D31" s="459" t="str">
        <f t="shared" si="0"/>
        <v>石垣銀行</v>
      </c>
      <c r="E31" s="216" t="s">
        <v>1243</v>
      </c>
      <c r="F31" s="210">
        <v>401</v>
      </c>
      <c r="G31" s="459" t="str">
        <f t="shared" si="1"/>
        <v>コアプラス東京株式会社</v>
      </c>
      <c r="H31" s="210">
        <v>607</v>
      </c>
      <c r="I31" s="459" t="str">
        <f t="shared" si="2"/>
        <v>その他(間接部門)</v>
      </c>
      <c r="J31" s="210">
        <v>621</v>
      </c>
      <c r="K31" s="459" t="str">
        <f t="shared" si="3"/>
        <v>対象物件なし(運転資金)</v>
      </c>
      <c r="L31" s="210">
        <v>611</v>
      </c>
      <c r="M31" s="459" t="str">
        <f t="shared" si="4"/>
        <v>無担保</v>
      </c>
      <c r="N31" s="212">
        <v>11000000</v>
      </c>
      <c r="O31" s="211">
        <v>42978</v>
      </c>
      <c r="P31" s="328">
        <v>1.675</v>
      </c>
      <c r="Q31" s="216" t="s">
        <v>1241</v>
      </c>
      <c r="R31" s="217">
        <v>10</v>
      </c>
      <c r="S31" s="217">
        <f t="shared" si="14"/>
        <v>10</v>
      </c>
      <c r="T31" s="210" t="s">
        <v>1251</v>
      </c>
      <c r="U31" s="225" t="s">
        <v>1249</v>
      </c>
      <c r="V31" s="213"/>
      <c r="W31" s="213"/>
      <c r="X31" s="213"/>
      <c r="Y31" s="213"/>
      <c r="Z31" s="460">
        <f t="shared" si="5"/>
        <v>0</v>
      </c>
      <c r="AA31" s="461">
        <f t="shared" si="6"/>
        <v>0</v>
      </c>
      <c r="AB31" s="210"/>
      <c r="AC31" s="210"/>
      <c r="AD31" s="210"/>
      <c r="AE31" s="210"/>
      <c r="AF31" s="210" t="str">
        <f t="shared" si="7"/>
        <v>なし</v>
      </c>
      <c r="AG31" s="210"/>
      <c r="AH31" s="210" t="str">
        <f t="shared" si="8"/>
        <v>なし</v>
      </c>
      <c r="AI31" s="210"/>
      <c r="AJ31" s="210" t="str">
        <f t="shared" si="9"/>
        <v>なし</v>
      </c>
      <c r="AK31" s="210"/>
      <c r="AL31" s="210" t="str">
        <f t="shared" si="10"/>
        <v>なし</v>
      </c>
      <c r="AM31" s="210"/>
      <c r="AN31" s="210"/>
      <c r="AO31" s="448">
        <f>O31</f>
        <v>42978</v>
      </c>
      <c r="AP31" s="448">
        <f>AO31</f>
        <v>42978</v>
      </c>
      <c r="AQ31" s="210"/>
      <c r="AR31" s="210"/>
      <c r="AS31" s="211"/>
      <c r="AT31" s="212"/>
      <c r="AU31" s="212"/>
      <c r="AV31" s="212"/>
      <c r="AW31" s="212"/>
    </row>
    <row r="32" spans="1:49" ht="34.5" customHeight="1">
      <c r="A32" s="210">
        <v>832</v>
      </c>
      <c r="B32" s="458" t="str">
        <f t="shared" si="13"/>
        <v>完済</v>
      </c>
      <c r="C32" s="210">
        <v>501</v>
      </c>
      <c r="D32" s="459" t="str">
        <f t="shared" si="0"/>
        <v>石垣銀行</v>
      </c>
      <c r="E32" s="216" t="s">
        <v>1248</v>
      </c>
      <c r="F32" s="210">
        <v>401</v>
      </c>
      <c r="G32" s="459" t="str">
        <f t="shared" si="1"/>
        <v>コアプラス東京株式会社</v>
      </c>
      <c r="H32" s="210">
        <v>608</v>
      </c>
      <c r="I32" s="459" t="str">
        <f t="shared" si="2"/>
        <v>その他(賃貸部門)</v>
      </c>
      <c r="J32" s="210">
        <v>621</v>
      </c>
      <c r="K32" s="459" t="str">
        <f t="shared" si="3"/>
        <v>対象物件なし(運転資金)</v>
      </c>
      <c r="L32" s="210">
        <v>611</v>
      </c>
      <c r="M32" s="459" t="str">
        <f t="shared" si="4"/>
        <v>無担保</v>
      </c>
      <c r="N32" s="212">
        <v>11000000</v>
      </c>
      <c r="O32" s="211">
        <v>42978</v>
      </c>
      <c r="P32" s="328">
        <v>1.675</v>
      </c>
      <c r="Q32" s="216" t="s">
        <v>1241</v>
      </c>
      <c r="R32" s="217">
        <v>10</v>
      </c>
      <c r="S32" s="217">
        <f t="shared" si="14"/>
        <v>10</v>
      </c>
      <c r="T32" s="210" t="s">
        <v>1251</v>
      </c>
      <c r="U32" s="225" t="s">
        <v>1249</v>
      </c>
      <c r="V32" s="213"/>
      <c r="W32" s="213"/>
      <c r="X32" s="213"/>
      <c r="Y32" s="213"/>
      <c r="Z32" s="460">
        <f t="shared" si="5"/>
        <v>0</v>
      </c>
      <c r="AA32" s="461">
        <f t="shared" si="6"/>
        <v>0</v>
      </c>
      <c r="AB32" s="210"/>
      <c r="AC32" s="210"/>
      <c r="AD32" s="210"/>
      <c r="AE32" s="210"/>
      <c r="AF32" s="210" t="str">
        <f t="shared" si="7"/>
        <v>なし</v>
      </c>
      <c r="AG32" s="210"/>
      <c r="AH32" s="210" t="str">
        <f t="shared" si="8"/>
        <v>なし</v>
      </c>
      <c r="AI32" s="210"/>
      <c r="AJ32" s="210" t="str">
        <f t="shared" si="9"/>
        <v>なし</v>
      </c>
      <c r="AK32" s="210"/>
      <c r="AL32" s="210" t="str">
        <f t="shared" si="10"/>
        <v>なし</v>
      </c>
      <c r="AM32" s="210"/>
      <c r="AN32" s="210"/>
      <c r="AO32" s="448">
        <f>O32</f>
        <v>42978</v>
      </c>
      <c r="AP32" s="448">
        <f>AO32</f>
        <v>42978</v>
      </c>
      <c r="AQ32" s="210"/>
      <c r="AR32" s="210"/>
      <c r="AS32" s="211"/>
      <c r="AT32" s="212"/>
      <c r="AU32" s="212"/>
      <c r="AV32" s="212"/>
      <c r="AW32" s="212"/>
    </row>
    <row r="33" spans="1:49" ht="14.25">
      <c r="A33" s="210">
        <v>833</v>
      </c>
      <c r="B33" s="210" t="inlineStr">
        <is>
          <t>実行予定</t>
        </is>
      </c>
      <c r="C33" s="210">
        <v>513</v>
      </c>
      <c r="D33" s="216">
        <f>VLOOKUP(C33,id_settings,2,FALSE)</f>
      </c>
      <c r="E33" s="216" t="inlineStr">
        <is>
          <t>花巻支店</t>
        </is>
      </c>
      <c r="F33" s="210">
        <v>412</v>
      </c>
      <c r="G33" s="216">
        <f>VLOOKUP(F33,id_settings,2,FALSE)</f>
      </c>
      <c r="H33" s="210">
        <v>601</v>
      </c>
      <c r="I33" s="216">
        <f>VLOOKUP(H33,id_settings,2,FALSE)</f>
      </c>
      <c r="J33" s="210">
        <v>622</v>
      </c>
      <c r="K33" s="216">
        <f>VLOOKUP(J33,id_settings,2,FALSE)</f>
      </c>
      <c r="L33" s="210">
        <v>622</v>
      </c>
      <c r="M33" s="216">
        <f>VLOOKUP(L33,id_settings,2,FALSE)</f>
      </c>
      <c r="N33" s="212">
        <v>37000000</v>
      </c>
      <c r="O33" s="211" t="inlineStr">
        <is>
          <t>2026/8/14</t>
        </is>
      </c>
      <c r="P33" s="215" t="inlineStr">
        <is>
          <t>確定待ち(西原様)</t>
        </is>
      </c>
      <c r="Q33" s="216" t="inlineStr">
        <is>
          <t>確定待ち(西原様)</t>
        </is>
      </c>
      <c r="R33" s="217" t="inlineStr">
        <is>
          <t>確定待ち</t>
        </is>
      </c>
      <c r="S33" s="210" t="inlineStr">
        <is>
          <t>毎月</t>
        </is>
      </c>
      <c r="T33" s="210" t="inlineStr">
        <is>
          <t>元利均等</t>
        </is>
      </c>
      <c r="U33" s="225"/>
      <c r="V33" s="213"/>
      <c r="W33" s="213"/>
      <c r="X33" s="213"/>
      <c r="Y33" s="213"/>
      <c r="Z33" s="447">
        <f>IFERROR(Y33/N33,0)</f>
      </c>
      <c r="AA33" s="217"/>
      <c r="AB33" s="210" t="inlineStr">
        <is>
          <t>なし</t>
        </is>
      </c>
      <c r="AC33" s="210" t="inlineStr">
        <is>
          <t>根抵当極度額60,000,000円。実行額3,700万予定。契約7/31 13時・決済8/14。売主:土地=三浦哲/建物=(有)三浦設計/貸家3棟=末永ちゑ子</t>
        </is>
      </c>
      <c r="AD33" s="210"/>
      <c r="AE33" s="210"/>
      <c r="AF33" s="210">
        <f>IFERROR(VLOOKUP(AE33,id_settings,2,FALSE),"なし")</f>
      </c>
      <c r="AG33" s="210"/>
      <c r="AH33" s="210">
        <f>IFERROR(VLOOKUP(AG33,id_settings,2,FALSE),"なし")</f>
      </c>
      <c r="AI33" s="210"/>
      <c r="AJ33" s="210">
        <f>IFERROR(VLOOKUP(AI33,id_settings,2,FALSE),"なし")</f>
      </c>
      <c r="AK33" s="210"/>
      <c r="AL33" s="210">
        <f>IFERROR(VLOOKUP(AK33,id_settings,2,FALSE),"なし")</f>
      </c>
      <c r="AM33" s="210"/>
      <c r="AN33" s="210"/>
      <c r="AO33" s="448"/>
      <c r="AP33" s="448"/>
      <c r="AQ33" s="210"/>
      <c r="AR33" s="210"/>
      <c r="AS33" s="211"/>
      <c r="AT33" s="212"/>
      <c r="AU33" s="212"/>
      <c r="AV33" s="212"/>
      <c r="AW33" s="212"/>
    </row>
    <row r="34" spans="1:49" ht="14.25">
      <c r="A34" s="210">
        <v>834</v>
      </c>
      <c r="B34" s="210" t="inlineStr">
        <is>
          <t>返済中</t>
        </is>
      </c>
      <c r="C34" s="210">
        <v>518</v>
      </c>
      <c r="D34" s="216">
        <f>VLOOKUP(C34,id_settings,2,FALSE)</f>
      </c>
      <c r="E34" s="216" t="inlineStr">
        <is>
          <t>-</t>
        </is>
      </c>
      <c r="F34" s="210">
        <v>305</v>
      </c>
      <c r="G34" s="216">
        <f>VLOOKUP(F34,id_settings,2,FALSE)</f>
      </c>
      <c r="H34" s="210">
        <v>601</v>
      </c>
      <c r="I34" s="216">
        <f>VLOOKUP(H34,id_settings,2,FALSE)</f>
      </c>
      <c r="J34" s="210">
        <v>125</v>
      </c>
      <c r="K34" s="216">
        <f>VLOOKUP(J34,id_settings,2,FALSE)</f>
      </c>
      <c r="L34" s="210">
        <v>125</v>
      </c>
      <c r="M34" s="216">
        <f>VLOOKUP(L34,id_settings,2,FALSE)</f>
      </c>
      <c r="N34" s="212">
        <v>6000000</v>
      </c>
      <c r="O34" s="211" t="inlineStr">
        <is>
          <t>2021/10/15</t>
        </is>
      </c>
      <c r="P34" s="215">
        <v>2.9</v>
      </c>
      <c r="Q34" s="216" t="inlineStr">
        <is>
          <t>要確認</t>
        </is>
      </c>
      <c r="R34" s="217" t="inlineStr">
        <is>
          <t>要確認</t>
        </is>
      </c>
      <c r="S34" s="210" t="inlineStr">
        <is>
          <t>毎月</t>
        </is>
      </c>
      <c r="T34" s="210" t="inlineStr">
        <is>
          <t>元利均等</t>
        </is>
      </c>
      <c r="U34" s="225"/>
      <c r="V34" s="213"/>
      <c r="W34" s="213"/>
      <c r="X34" s="213"/>
      <c r="Y34" s="213"/>
      <c r="Z34" s="447">
        <f>IFERROR(Y34/N34,0)</f>
      </c>
      <c r="AA34" s="217"/>
      <c r="AB34" s="210" t="inlineStr">
        <is>
          <t>なし</t>
        </is>
      </c>
      <c r="AC34" s="210" t="inlineStr">
        <is>
          <t>2025年に700万円ベースの返済予定表あり(借換えの可能性)。現在残債・金融機関名は要確認</t>
        </is>
      </c>
      <c r="AD34" s="210"/>
      <c r="AE34" s="210"/>
      <c r="AF34" s="210">
        <f>IFERROR(VLOOKUP(AE34,id_settings,2,FALSE),"なし")</f>
      </c>
      <c r="AG34" s="210"/>
      <c r="AH34" s="210">
        <f>IFERROR(VLOOKUP(AG34,id_settings,2,FALSE),"なし")</f>
      </c>
      <c r="AI34" s="210"/>
      <c r="AJ34" s="210">
        <f>IFERROR(VLOOKUP(AI34,id_settings,2,FALSE),"なし")</f>
      </c>
      <c r="AK34" s="210"/>
      <c r="AL34" s="210">
        <f>IFERROR(VLOOKUP(AK34,id_settings,2,FALSE),"なし")</f>
      </c>
      <c r="AM34" s="210"/>
      <c r="AN34" s="210"/>
      <c r="AO34" s="448"/>
      <c r="AP34" s="448"/>
      <c r="AQ34" s="210"/>
      <c r="AR34" s="210"/>
      <c r="AS34" s="211"/>
      <c r="AT34" s="212"/>
      <c r="AU34" s="212"/>
      <c r="AV34" s="212"/>
      <c r="AW34" s="212"/>
    </row>
    <row r="35" spans="1:49" ht="14.25">
      <c r="A35" s="210">
        <v>835</v>
      </c>
      <c r="B35" s="210" t="inlineStr">
        <is>
          <t>返済中</t>
        </is>
      </c>
      <c r="C35" s="210">
        <v>517</v>
      </c>
      <c r="D35" s="216">
        <f>VLOOKUP(C35,id_settings,2,FALSE)</f>
      </c>
      <c r="E35" s="216" t="inlineStr">
        <is>
          <t>-</t>
        </is>
      </c>
      <c r="F35" s="210">
        <v>305</v>
      </c>
      <c r="G35" s="216">
        <f>VLOOKUP(F35,id_settings,2,FALSE)</f>
      </c>
      <c r="H35" s="210">
        <v>605</v>
      </c>
      <c r="I35" s="216">
        <f>VLOOKUP(H35,id_settings,2,FALSE)</f>
      </c>
      <c r="J35" s="210">
        <v>623</v>
      </c>
      <c r="K35" s="216" t="inlineStr">
        <is>
          <t>自宅ローズハイム東陽町</t>
        </is>
      </c>
      <c r="L35" s="210">
        <v>613</v>
      </c>
      <c r="M35" s="216" t="inlineStr">
        <is>
          <t>自宅ローズハイム東陽町</t>
        </is>
      </c>
      <c r="N35" s="212">
        <v>43000000</v>
      </c>
      <c r="O35" s="211" t="inlineStr">
        <is>
          <t>2025/7/24</t>
        </is>
      </c>
      <c r="P35" s="215">
        <v>2.02</v>
      </c>
      <c r="Q35" s="216" t="inlineStr">
        <is>
          <t>変動(基準0.920%)・5年/1.25倍ルール</t>
        </is>
      </c>
      <c r="R35" s="217">
        <v>40</v>
      </c>
      <c r="S35" s="210" t="inlineStr">
        <is>
          <t>毎月</t>
        </is>
      </c>
      <c r="T35" s="210" t="inlineStr">
        <is>
          <t>元利均等</t>
        </is>
      </c>
      <c r="U35" s="225" t="inlineStr">
        <is>
          <t>2026/7/20</t>
        </is>
      </c>
      <c r="V35" s="213">
        <v>59374</v>
      </c>
      <c r="W35" s="213">
        <v>71294</v>
      </c>
      <c r="X35" s="213">
        <v>130668</v>
      </c>
      <c r="Y35" s="213">
        <v>42294066</v>
      </c>
      <c r="Z35" s="447">
        <f>IFERROR(Y35/N35,0)</f>
      </c>
      <c r="AA35" s="217"/>
      <c r="AB35" s="210" t="inlineStr">
        <is>
          <t>なし</t>
        </is>
      </c>
      <c r="AC35" s="210" t="inlineStr">
        <is>
          <t>MCJ変動ローン(日本住宅ローン)。479回払い・2065/7完済予定。残債は2026/7/20時点</t>
        </is>
      </c>
      <c r="AD35" s="210"/>
      <c r="AE35" s="210"/>
      <c r="AF35" s="210">
        <f>IFERROR(VLOOKUP(AE35,id_settings,2,FALSE),"なし")</f>
      </c>
      <c r="AG35" s="210"/>
      <c r="AH35" s="210">
        <f>IFERROR(VLOOKUP(AG35,id_settings,2,FALSE),"なし")</f>
      </c>
      <c r="AI35" s="210"/>
      <c r="AJ35" s="210">
        <f>IFERROR(VLOOKUP(AI35,id_settings,2,FALSE),"なし")</f>
      </c>
      <c r="AK35" s="210"/>
      <c r="AL35" s="210">
        <f>IFERROR(VLOOKUP(AK35,id_settings,2,FALSE),"なし")</f>
      </c>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101</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102</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103</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v>104</v>
      </c>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v>105</v>
      </c>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v>106</v>
      </c>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v>107</v>
      </c>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v>109</v>
      </c>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v>111</v>
      </c>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v>112</v>
      </c>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v>113</v>
      </c>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v>114</v>
      </c>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v>115</v>
      </c>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v>116</v>
      </c>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v>117</v>
      </c>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v>120</v>
      </c>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v>121</v>
      </c>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v>122</v>
      </c>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v>221</v>
      </c>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v>222</v>
      </c>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v>101</v>
      </c>
      <c r="B5" s="23" t="str">
        <f t="shared" ref="B5:B36" si="0">VLOOKUP(A5,id_settings,2,FALSE)</f>
        <v>西池袋駅前ビル</v>
      </c>
      <c r="C5" s="23">
        <v>401</v>
      </c>
      <c r="D5" s="23" t="str">
        <f t="shared" ref="D5:D36" si="1">VLOOKUP(C5,id_settings,2,FALSE)</f>
        <v>コアプラス東京株式会社</v>
      </c>
      <c r="E5" s="23" t="s">
        <v>204</v>
      </c>
      <c r="F5" s="23" t="s">
        <v>752</v>
      </c>
      <c r="G5" s="23" t="s">
        <v>1278</v>
      </c>
      <c r="H5" s="23" t="s">
        <v>1279</v>
      </c>
      <c r="I5" s="23" t="s">
        <v>1280</v>
      </c>
      <c r="J5" s="23">
        <f t="shared" ref="J5:J36" ca="1" si="2">current_year-LEFT(H5,4)</f>
        <v>8</v>
      </c>
      <c r="K5" s="23">
        <f ca="1">IF(I5&lt;&gt;"",I5-J5,"")</f>
        <v>20</v>
      </c>
      <c r="L5" s="222">
        <v>51870000</v>
      </c>
      <c r="M5" s="222">
        <v>39637325</v>
      </c>
      <c r="N5" s="222">
        <v>1867320</v>
      </c>
      <c r="O5" s="222">
        <v>37770005</v>
      </c>
      <c r="P5" s="61" t="s">
        <v>1281</v>
      </c>
      <c r="Q5" s="23" t="s">
        <v>1282</v>
      </c>
    </row>
    <row r="6" spans="1:17">
      <c r="A6" s="23">
        <v>101</v>
      </c>
      <c r="B6" s="23" t="str">
        <f t="shared" si="0"/>
        <v>西池袋駅前ビル</v>
      </c>
      <c r="C6" s="23">
        <v>401</v>
      </c>
      <c r="D6" s="23" t="str">
        <f t="shared" si="1"/>
        <v>コアプラス東京株式会社</v>
      </c>
      <c r="E6" s="23" t="s">
        <v>202</v>
      </c>
      <c r="F6" s="23" t="s">
        <v>1283</v>
      </c>
      <c r="G6" s="23" t="s">
        <v>1278</v>
      </c>
      <c r="H6" s="23" t="s">
        <v>1279</v>
      </c>
      <c r="I6" s="23" t="s">
        <v>1284</v>
      </c>
      <c r="J6" s="23">
        <f t="shared" ca="1" si="2"/>
        <v>8</v>
      </c>
      <c r="K6" s="23" t="str">
        <f t="shared" ref="K6:K69" si="3">IF(I6&lt;&gt;"",I6-J6,"")</f>
        <v/>
      </c>
      <c r="L6" s="222">
        <v>168935000</v>
      </c>
      <c r="M6" s="222">
        <v>168935000</v>
      </c>
      <c r="N6" s="222"/>
      <c r="O6" s="222">
        <v>168935000</v>
      </c>
      <c r="P6" s="61" t="s">
        <v>1281</v>
      </c>
    </row>
    <row r="7" spans="1:17">
      <c r="A7" s="23">
        <v>101</v>
      </c>
      <c r="B7" s="23" t="str">
        <f t="shared" si="0"/>
        <v>西池袋駅前ビル</v>
      </c>
      <c r="C7" s="23">
        <v>401</v>
      </c>
      <c r="D7" s="23" t="str">
        <f t="shared" si="1"/>
        <v>コアプラス東京株式会社</v>
      </c>
      <c r="E7" s="23" t="s">
        <v>205</v>
      </c>
      <c r="F7" s="23" t="s">
        <v>752</v>
      </c>
      <c r="G7" s="23" t="s">
        <v>1285</v>
      </c>
      <c r="H7" s="23" t="s">
        <v>1286</v>
      </c>
      <c r="I7" s="23" t="s">
        <v>1287</v>
      </c>
      <c r="J7" s="23">
        <f t="shared" ca="1" si="2"/>
        <v>5</v>
      </c>
      <c r="K7" s="23">
        <f t="shared" ca="1" si="3"/>
        <v>8</v>
      </c>
      <c r="L7" s="222">
        <v>640440</v>
      </c>
      <c r="M7" s="222">
        <v>471954</v>
      </c>
      <c r="N7" s="222">
        <v>49313</v>
      </c>
      <c r="O7" s="222">
        <v>422641</v>
      </c>
      <c r="P7" s="61" t="s">
        <v>1288</v>
      </c>
      <c r="Q7" s="23" t="s">
        <v>1289</v>
      </c>
    </row>
    <row r="8" spans="1:17">
      <c r="A8" s="23">
        <v>101</v>
      </c>
      <c r="B8" s="23" t="str">
        <f t="shared" si="0"/>
        <v>西池袋駅前ビル</v>
      </c>
      <c r="C8" s="23">
        <v>401</v>
      </c>
      <c r="D8" s="23" t="str">
        <f t="shared" si="1"/>
        <v>コアプラス東京株式会社</v>
      </c>
      <c r="E8" s="23" t="s">
        <v>205</v>
      </c>
      <c r="F8" s="23" t="s">
        <v>755</v>
      </c>
      <c r="G8" s="23" t="s">
        <v>1290</v>
      </c>
      <c r="H8" s="23" t="s">
        <v>1291</v>
      </c>
      <c r="I8" s="23" t="s">
        <v>1284</v>
      </c>
      <c r="J8" s="23">
        <f t="shared" ca="1" si="2"/>
        <v>4</v>
      </c>
      <c r="K8" s="23" t="str">
        <f t="shared" si="3"/>
        <v/>
      </c>
      <c r="L8" s="222">
        <v>292680</v>
      </c>
      <c r="M8" s="222"/>
      <c r="N8" s="222"/>
      <c r="O8" s="222"/>
      <c r="P8" s="61" t="s">
        <v>1288</v>
      </c>
      <c r="Q8" s="23" t="s">
        <v>1289</v>
      </c>
    </row>
    <row r="9" spans="1:17">
      <c r="A9" s="23">
        <v>101</v>
      </c>
      <c r="B9" s="23" t="str">
        <f t="shared" si="0"/>
        <v>西池袋駅前ビル</v>
      </c>
      <c r="C9" s="23">
        <v>401</v>
      </c>
      <c r="D9" s="23" t="str">
        <f t="shared" si="1"/>
        <v>コアプラス東京株式会社</v>
      </c>
      <c r="E9" s="23" t="s">
        <v>203</v>
      </c>
      <c r="F9" s="23" t="s">
        <v>753</v>
      </c>
      <c r="G9" s="23" t="s">
        <v>1292</v>
      </c>
      <c r="H9" s="23" t="s">
        <v>1293</v>
      </c>
      <c r="I9" s="23" t="s">
        <v>1294</v>
      </c>
      <c r="J9" s="23">
        <f t="shared" ca="1" si="2"/>
        <v>3</v>
      </c>
      <c r="K9" s="23">
        <f t="shared" ca="1" si="3"/>
        <v>7</v>
      </c>
      <c r="L9" s="222">
        <v>858420</v>
      </c>
      <c r="M9" s="222">
        <v>572280</v>
      </c>
      <c r="N9" s="222">
        <v>114456</v>
      </c>
      <c r="O9" s="222">
        <v>457824</v>
      </c>
      <c r="P9" s="61" t="s">
        <v>1288</v>
      </c>
      <c r="Q9" s="23" t="s">
        <v>1289</v>
      </c>
    </row>
    <row r="10" spans="1:17">
      <c r="A10" s="23">
        <v>102</v>
      </c>
      <c r="B10" s="23" t="str">
        <f t="shared" si="0"/>
        <v>池袋ハウス</v>
      </c>
      <c r="C10" s="23">
        <v>402</v>
      </c>
      <c r="D10" s="23" t="str">
        <f t="shared" si="1"/>
        <v>コアプラス名古屋株式会社</v>
      </c>
      <c r="E10" s="23" t="s">
        <v>204</v>
      </c>
      <c r="F10" s="23" t="s">
        <v>752</v>
      </c>
      <c r="G10" s="23" t="s">
        <v>1295</v>
      </c>
      <c r="H10" s="23" t="s">
        <v>1296</v>
      </c>
      <c r="I10" s="23" t="s">
        <v>1297</v>
      </c>
      <c r="J10" s="23">
        <f t="shared" ca="1" si="2"/>
        <v>6</v>
      </c>
      <c r="K10" s="23">
        <f t="shared" ca="1" si="3"/>
        <v>18</v>
      </c>
      <c r="L10" s="222">
        <v>152947603</v>
      </c>
      <c r="M10" s="222">
        <v>125111141</v>
      </c>
      <c r="N10" s="222">
        <v>6423799</v>
      </c>
      <c r="O10" s="222">
        <v>118687342</v>
      </c>
      <c r="P10" s="61" t="s">
        <v>1281</v>
      </c>
      <c r="Q10" s="23" t="s">
        <v>1298</v>
      </c>
    </row>
    <row r="11" spans="1:17">
      <c r="A11" s="23">
        <v>102</v>
      </c>
      <c r="B11" s="23" t="str">
        <f t="shared" si="0"/>
        <v>池袋ハウス</v>
      </c>
      <c r="C11" s="23">
        <v>402</v>
      </c>
      <c r="D11" s="23" t="str">
        <f t="shared" si="1"/>
        <v>コアプラス名古屋株式会社</v>
      </c>
      <c r="E11" s="23" t="s">
        <v>202</v>
      </c>
      <c r="F11" s="23" t="s">
        <v>1283</v>
      </c>
      <c r="G11" s="23" t="s">
        <v>1295</v>
      </c>
      <c r="H11" s="23" t="s">
        <v>1296</v>
      </c>
      <c r="I11" s="23" t="s">
        <v>1284</v>
      </c>
      <c r="J11" s="23">
        <f t="shared" ca="1" si="2"/>
        <v>6</v>
      </c>
      <c r="K11" s="23" t="str">
        <f t="shared" si="3"/>
        <v/>
      </c>
      <c r="L11" s="222">
        <v>397310797</v>
      </c>
      <c r="M11" s="222">
        <v>397310797</v>
      </c>
      <c r="N11" s="222"/>
      <c r="O11" s="222">
        <v>397310797</v>
      </c>
      <c r="P11" s="61" t="s">
        <v>1281</v>
      </c>
      <c r="Q11" s="23" t="s">
        <v>1299</v>
      </c>
    </row>
    <row r="12" spans="1:17">
      <c r="A12" s="23">
        <v>102</v>
      </c>
      <c r="B12" s="23" t="str">
        <f t="shared" si="0"/>
        <v>池袋ハウス</v>
      </c>
      <c r="C12" s="23">
        <v>402</v>
      </c>
      <c r="D12" s="23" t="str">
        <f t="shared" si="1"/>
        <v>コアプラス名古屋株式会社</v>
      </c>
      <c r="E12" s="23" t="s">
        <v>204</v>
      </c>
      <c r="F12" s="23" t="s">
        <v>752</v>
      </c>
      <c r="G12" s="23" t="s">
        <v>1300</v>
      </c>
      <c r="H12" s="23" t="s">
        <v>1301</v>
      </c>
      <c r="I12" s="23" t="s">
        <v>1297</v>
      </c>
      <c r="J12" s="23">
        <f t="shared" ca="1" si="2"/>
        <v>5</v>
      </c>
      <c r="K12" s="23">
        <f t="shared" ca="1" si="3"/>
        <v>19</v>
      </c>
      <c r="L12" s="222">
        <v>2278000</v>
      </c>
      <c r="M12" s="222">
        <v>1895296</v>
      </c>
      <c r="N12" s="222">
        <v>95676</v>
      </c>
      <c r="O12" s="222">
        <v>1799620</v>
      </c>
      <c r="P12" s="61" t="s">
        <v>1281</v>
      </c>
      <c r="Q12" s="23" t="s">
        <v>1298</v>
      </c>
    </row>
    <row r="13" spans="1:17">
      <c r="A13" s="23">
        <v>102</v>
      </c>
      <c r="B13" s="23" t="str">
        <f t="shared" si="0"/>
        <v>池袋ハウス</v>
      </c>
      <c r="C13" s="23">
        <v>402</v>
      </c>
      <c r="D13" s="23" t="str">
        <f t="shared" si="1"/>
        <v>コアプラス名古屋株式会社</v>
      </c>
      <c r="E13" s="23" t="s">
        <v>202</v>
      </c>
      <c r="F13" s="23" t="s">
        <v>1283</v>
      </c>
      <c r="G13" s="23" t="s">
        <v>1295</v>
      </c>
      <c r="H13" s="23" t="s">
        <v>1301</v>
      </c>
      <c r="I13" s="23" t="s">
        <v>1284</v>
      </c>
      <c r="J13" s="23">
        <f t="shared" ca="1" si="2"/>
        <v>5</v>
      </c>
      <c r="K13" s="23" t="str">
        <f t="shared" si="3"/>
        <v/>
      </c>
      <c r="L13" s="222">
        <v>2958800</v>
      </c>
      <c r="M13" s="222">
        <v>2958800</v>
      </c>
      <c r="N13" s="222"/>
      <c r="O13" s="222">
        <v>2958800</v>
      </c>
      <c r="P13" s="61" t="s">
        <v>1281</v>
      </c>
      <c r="Q13" s="23" t="s">
        <v>1299</v>
      </c>
    </row>
    <row r="14" spans="1:17">
      <c r="A14" s="23">
        <v>102</v>
      </c>
      <c r="B14" s="23" t="str">
        <f t="shared" si="0"/>
        <v>池袋ハウス</v>
      </c>
      <c r="C14" s="23">
        <v>402</v>
      </c>
      <c r="D14" s="23" t="str">
        <f t="shared" si="1"/>
        <v>コアプラス名古屋株式会社</v>
      </c>
      <c r="E14" s="23" t="s">
        <v>205</v>
      </c>
      <c r="F14" s="23" t="s">
        <v>752</v>
      </c>
      <c r="G14" s="23" t="s">
        <v>1302</v>
      </c>
      <c r="H14" s="23" t="s">
        <v>1303</v>
      </c>
      <c r="I14" s="23" t="s">
        <v>1304</v>
      </c>
      <c r="J14" s="23">
        <f t="shared" ca="1" si="2"/>
        <v>5</v>
      </c>
      <c r="K14" s="23">
        <f t="shared" ca="1" si="3"/>
        <v>10</v>
      </c>
      <c r="L14" s="222">
        <v>943077</v>
      </c>
      <c r="M14" s="222">
        <v>700864</v>
      </c>
      <c r="N14" s="222">
        <v>63186</v>
      </c>
      <c r="O14" s="222">
        <v>637678</v>
      </c>
      <c r="P14" s="61" t="s">
        <v>1288</v>
      </c>
      <c r="Q14" s="23" t="s">
        <v>1289</v>
      </c>
    </row>
    <row r="15" spans="1:17">
      <c r="A15" s="23">
        <v>102</v>
      </c>
      <c r="B15" s="23" t="str">
        <f t="shared" si="0"/>
        <v>池袋ハウス</v>
      </c>
      <c r="C15" s="23">
        <v>402</v>
      </c>
      <c r="D15" s="23" t="str">
        <f t="shared" si="1"/>
        <v>コアプラス名古屋株式会社</v>
      </c>
      <c r="E15" s="23" t="s">
        <v>205</v>
      </c>
      <c r="F15" s="23" t="s">
        <v>752</v>
      </c>
      <c r="G15" s="23" t="s">
        <v>1305</v>
      </c>
      <c r="H15" s="23" t="s">
        <v>1306</v>
      </c>
      <c r="I15" s="23" t="s">
        <v>1304</v>
      </c>
      <c r="J15" s="23">
        <f t="shared" ca="1" si="2"/>
        <v>3</v>
      </c>
      <c r="K15" s="23">
        <f t="shared" ca="1" si="3"/>
        <v>12</v>
      </c>
      <c r="L15" s="222">
        <v>623700</v>
      </c>
      <c r="M15" s="222">
        <v>578431</v>
      </c>
      <c r="N15" s="222">
        <v>41787</v>
      </c>
      <c r="O15" s="222">
        <v>536644</v>
      </c>
      <c r="P15" s="61" t="s">
        <v>1288</v>
      </c>
      <c r="Q15" s="23" t="s">
        <v>1289</v>
      </c>
    </row>
    <row r="16" spans="1:17">
      <c r="A16" s="23">
        <v>102</v>
      </c>
      <c r="B16" s="23" t="str">
        <f t="shared" si="0"/>
        <v>池袋ハウス</v>
      </c>
      <c r="C16" s="23">
        <v>402</v>
      </c>
      <c r="D16" s="23" t="str">
        <f t="shared" si="1"/>
        <v>コアプラス名古屋株式会社</v>
      </c>
      <c r="E16" s="23" t="s">
        <v>205</v>
      </c>
      <c r="F16" s="23" t="s">
        <v>752</v>
      </c>
      <c r="G16" s="23" t="s">
        <v>1307</v>
      </c>
      <c r="H16" s="23" t="s">
        <v>1308</v>
      </c>
      <c r="I16" s="23" t="s">
        <v>1304</v>
      </c>
      <c r="J16" s="23">
        <f t="shared" ca="1" si="2"/>
        <v>2</v>
      </c>
      <c r="K16" s="23">
        <f t="shared" ca="1" si="3"/>
        <v>13</v>
      </c>
      <c r="L16" s="222">
        <v>500607</v>
      </c>
      <c r="M16" s="222">
        <v>483837</v>
      </c>
      <c r="N16" s="222">
        <v>33540</v>
      </c>
      <c r="O16" s="222">
        <v>450297</v>
      </c>
      <c r="P16" s="61" t="s">
        <v>1288</v>
      </c>
      <c r="Q16" s="23" t="s">
        <v>1289</v>
      </c>
    </row>
    <row r="17" spans="1:17">
      <c r="A17" s="23">
        <v>102</v>
      </c>
      <c r="B17" s="23" t="str">
        <f t="shared" si="0"/>
        <v>池袋ハウス</v>
      </c>
      <c r="C17" s="23">
        <v>402</v>
      </c>
      <c r="D17" s="23" t="str">
        <f t="shared" si="1"/>
        <v>コアプラス名古屋株式会社</v>
      </c>
      <c r="E17" s="23" t="s">
        <v>205</v>
      </c>
      <c r="F17" s="23" t="s">
        <v>752</v>
      </c>
      <c r="G17" s="23" t="s">
        <v>1309</v>
      </c>
      <c r="H17" s="23" t="s">
        <v>1310</v>
      </c>
      <c r="I17" s="23" t="s">
        <v>1304</v>
      </c>
      <c r="J17" s="23">
        <f t="shared" ca="1" si="2"/>
        <v>2</v>
      </c>
      <c r="K17" s="23">
        <f t="shared" ca="1" si="3"/>
        <v>13</v>
      </c>
      <c r="L17" s="222">
        <v>534349</v>
      </c>
      <c r="M17" s="222">
        <v>522416</v>
      </c>
      <c r="N17" s="222">
        <v>35801</v>
      </c>
      <c r="O17" s="222">
        <v>486615</v>
      </c>
      <c r="P17" s="61" t="s">
        <v>1288</v>
      </c>
      <c r="Q17" s="23" t="s">
        <v>1289</v>
      </c>
    </row>
    <row r="18" spans="1:17">
      <c r="A18" s="23">
        <v>102</v>
      </c>
      <c r="B18" s="23" t="str">
        <f t="shared" si="0"/>
        <v>池袋ハウス</v>
      </c>
      <c r="C18" s="23">
        <v>402</v>
      </c>
      <c r="D18" s="23" t="str">
        <f t="shared" si="1"/>
        <v>コアプラス名古屋株式会社</v>
      </c>
      <c r="E18" s="23" t="s">
        <v>205</v>
      </c>
      <c r="F18" s="23" t="s">
        <v>752</v>
      </c>
      <c r="G18" s="23" t="s">
        <v>1311</v>
      </c>
      <c r="H18" s="23" t="s">
        <v>1310</v>
      </c>
      <c r="I18" s="23" t="s">
        <v>1304</v>
      </c>
      <c r="J18" s="23">
        <f t="shared" ca="1" si="2"/>
        <v>2</v>
      </c>
      <c r="K18" s="23">
        <f t="shared" ca="1" si="3"/>
        <v>13</v>
      </c>
      <c r="L18" s="222">
        <v>580905</v>
      </c>
      <c r="M18" s="222">
        <v>567932</v>
      </c>
      <c r="N18" s="222">
        <v>38920</v>
      </c>
      <c r="O18" s="222">
        <v>529012</v>
      </c>
      <c r="P18" s="61" t="s">
        <v>1288</v>
      </c>
      <c r="Q18" s="23" t="s">
        <v>1289</v>
      </c>
    </row>
    <row r="19" spans="1:17">
      <c r="A19" s="23">
        <v>102</v>
      </c>
      <c r="B19" s="23" t="str">
        <f t="shared" si="0"/>
        <v>池袋ハウス</v>
      </c>
      <c r="C19" s="23">
        <v>402</v>
      </c>
      <c r="D19" s="23" t="str">
        <f t="shared" si="1"/>
        <v>コアプラス名古屋株式会社</v>
      </c>
      <c r="E19" s="23" t="s">
        <v>760</v>
      </c>
      <c r="F19" s="23" t="s">
        <v>752</v>
      </c>
      <c r="G19" s="23" t="s">
        <v>1312</v>
      </c>
      <c r="H19" s="23" t="s">
        <v>1313</v>
      </c>
      <c r="I19" s="23" t="s">
        <v>1304</v>
      </c>
      <c r="J19" s="23">
        <f t="shared" ca="1" si="2"/>
        <v>2</v>
      </c>
      <c r="K19" s="23">
        <f t="shared" ca="1" si="3"/>
        <v>13</v>
      </c>
      <c r="L19" s="222">
        <v>487702</v>
      </c>
      <c r="M19" s="222">
        <v>479533</v>
      </c>
      <c r="N19" s="222">
        <v>32676</v>
      </c>
      <c r="O19" s="222">
        <v>446857</v>
      </c>
      <c r="P19" s="61" t="s">
        <v>1288</v>
      </c>
      <c r="Q19" s="23" t="s">
        <v>1289</v>
      </c>
    </row>
    <row r="20" spans="1:17">
      <c r="A20" s="23">
        <v>102</v>
      </c>
      <c r="B20" s="23" t="str">
        <f t="shared" si="0"/>
        <v>池袋ハウス</v>
      </c>
      <c r="C20" s="23">
        <v>402</v>
      </c>
      <c r="D20" s="23" t="str">
        <f t="shared" si="1"/>
        <v>コアプラス名古屋株式会社</v>
      </c>
      <c r="E20" s="23" t="s">
        <v>205</v>
      </c>
      <c r="F20" s="23" t="s">
        <v>752</v>
      </c>
      <c r="G20" s="23" t="s">
        <v>1314</v>
      </c>
      <c r="H20" s="23" t="s">
        <v>1313</v>
      </c>
      <c r="I20" s="23" t="s">
        <v>1304</v>
      </c>
      <c r="J20" s="23">
        <f t="shared" ca="1" si="2"/>
        <v>2</v>
      </c>
      <c r="K20" s="23">
        <f t="shared" ca="1" si="3"/>
        <v>13</v>
      </c>
      <c r="L20" s="222">
        <v>539815</v>
      </c>
      <c r="M20" s="222">
        <v>530774</v>
      </c>
      <c r="N20" s="222">
        <v>36167</v>
      </c>
      <c r="O20" s="222">
        <v>494607</v>
      </c>
      <c r="P20" s="61" t="s">
        <v>1288</v>
      </c>
      <c r="Q20" s="23" t="s">
        <v>1289</v>
      </c>
    </row>
    <row r="21" spans="1:17">
      <c r="A21" s="23">
        <v>102</v>
      </c>
      <c r="B21" s="23" t="str">
        <f t="shared" si="0"/>
        <v>池袋ハウス</v>
      </c>
      <c r="C21" s="23">
        <v>402</v>
      </c>
      <c r="D21" s="23" t="str">
        <f t="shared" si="1"/>
        <v>コアプラス名古屋株式会社</v>
      </c>
      <c r="E21" s="23" t="s">
        <v>205</v>
      </c>
      <c r="F21" s="23" t="s">
        <v>752</v>
      </c>
      <c r="G21" s="23" t="s">
        <v>1315</v>
      </c>
      <c r="H21" s="23" t="s">
        <v>1316</v>
      </c>
      <c r="I21" s="23" t="s">
        <v>1304</v>
      </c>
      <c r="J21" s="23">
        <f t="shared" ca="1" si="2"/>
        <v>2</v>
      </c>
      <c r="K21" s="23">
        <f t="shared" ca="1" si="3"/>
        <v>13</v>
      </c>
      <c r="L21" s="222">
        <v>311610</v>
      </c>
      <c r="M21" s="222">
        <v>309871</v>
      </c>
      <c r="N21" s="222">
        <v>20877</v>
      </c>
      <c r="O21" s="222">
        <v>288994</v>
      </c>
      <c r="P21" s="61" t="s">
        <v>1288</v>
      </c>
      <c r="Q21" s="23" t="s">
        <v>1289</v>
      </c>
    </row>
    <row r="22" spans="1:17">
      <c r="A22" s="23">
        <v>103</v>
      </c>
      <c r="B22" s="23" t="str">
        <f t="shared" si="0"/>
        <v>カーサ目白台ハウス</v>
      </c>
      <c r="C22" s="23">
        <v>403</v>
      </c>
      <c r="D22" s="23" t="str">
        <f t="shared" si="1"/>
        <v>有限会社コアプラス2号</v>
      </c>
      <c r="E22" s="23" t="s">
        <v>204</v>
      </c>
      <c r="F22" s="23" t="s">
        <v>752</v>
      </c>
      <c r="G22" s="23" t="s">
        <v>1317</v>
      </c>
      <c r="H22" s="23" t="s">
        <v>1318</v>
      </c>
      <c r="I22" s="23" t="s">
        <v>1319</v>
      </c>
      <c r="J22" s="23">
        <f t="shared" ca="1" si="2"/>
        <v>8</v>
      </c>
      <c r="K22" s="23">
        <f t="shared" ca="1" si="3"/>
        <v>18</v>
      </c>
      <c r="L22" s="222">
        <v>149454010</v>
      </c>
      <c r="M22" s="222">
        <v>112389418</v>
      </c>
      <c r="N22" s="222">
        <v>5828706</v>
      </c>
      <c r="O22" s="222">
        <v>106560712</v>
      </c>
      <c r="P22" s="61" t="s">
        <v>1281</v>
      </c>
      <c r="Q22" s="23" t="s">
        <v>1289</v>
      </c>
    </row>
    <row r="23" spans="1:17">
      <c r="A23" s="23">
        <v>103</v>
      </c>
      <c r="B23" s="23" t="str">
        <f t="shared" si="0"/>
        <v>カーサ目白台ハウス</v>
      </c>
      <c r="C23" s="23">
        <v>403</v>
      </c>
      <c r="D23" s="23" t="str">
        <f t="shared" si="1"/>
        <v>有限会社コアプラス2号</v>
      </c>
      <c r="E23" s="23" t="s">
        <v>202</v>
      </c>
      <c r="F23" s="23" t="s">
        <v>1283</v>
      </c>
      <c r="G23" s="23" t="s">
        <v>1317</v>
      </c>
      <c r="H23" s="23" t="s">
        <v>1318</v>
      </c>
      <c r="I23" s="23" t="s">
        <v>1284</v>
      </c>
      <c r="J23" s="23">
        <f t="shared" ca="1" si="2"/>
        <v>8</v>
      </c>
      <c r="K23" s="23" t="str">
        <f t="shared" si="3"/>
        <v/>
      </c>
      <c r="L23" s="222">
        <v>264084489</v>
      </c>
      <c r="M23" s="222">
        <v>264084489</v>
      </c>
      <c r="N23" s="222"/>
      <c r="O23" s="222">
        <v>264084489</v>
      </c>
      <c r="P23" s="61" t="s">
        <v>1281</v>
      </c>
      <c r="Q23" s="23" t="s">
        <v>1289</v>
      </c>
    </row>
    <row r="24" spans="1:17">
      <c r="A24" s="23">
        <v>103</v>
      </c>
      <c r="B24" s="23" t="str">
        <f t="shared" si="0"/>
        <v>カーサ目白台ハウス</v>
      </c>
      <c r="C24" s="23">
        <v>403</v>
      </c>
      <c r="D24" s="23" t="str">
        <f t="shared" si="1"/>
        <v>有限会社コアプラス2号</v>
      </c>
      <c r="E24" s="23" t="s">
        <v>205</v>
      </c>
      <c r="F24" s="23" t="s">
        <v>753</v>
      </c>
      <c r="G24" s="23" t="s">
        <v>1320</v>
      </c>
      <c r="H24" s="23" t="s">
        <v>1321</v>
      </c>
      <c r="I24" s="23" t="s">
        <v>1294</v>
      </c>
      <c r="J24" s="23">
        <f t="shared" ca="1" si="2"/>
        <v>7</v>
      </c>
      <c r="K24" s="23">
        <f t="shared" ca="1" si="3"/>
        <v>3</v>
      </c>
      <c r="L24" s="222">
        <v>2157840</v>
      </c>
      <c r="M24" s="222">
        <v>589236</v>
      </c>
      <c r="N24" s="222">
        <v>147309</v>
      </c>
      <c r="O24" s="222">
        <v>441927</v>
      </c>
      <c r="P24" s="61" t="s">
        <v>1288</v>
      </c>
      <c r="Q24" s="23" t="s">
        <v>1289</v>
      </c>
    </row>
    <row r="25" spans="1:17">
      <c r="A25" s="23">
        <v>103</v>
      </c>
      <c r="B25" s="23" t="str">
        <f t="shared" si="0"/>
        <v>カーサ目白台ハウス</v>
      </c>
      <c r="C25" s="23">
        <v>403</v>
      </c>
      <c r="D25" s="23" t="str">
        <f t="shared" si="1"/>
        <v>有限会社コアプラス2号</v>
      </c>
      <c r="E25" s="23" t="s">
        <v>205</v>
      </c>
      <c r="F25" s="23" t="s">
        <v>752</v>
      </c>
      <c r="G25" s="23" t="s">
        <v>1322</v>
      </c>
      <c r="H25" s="23" t="s">
        <v>1323</v>
      </c>
      <c r="I25" s="23" t="s">
        <v>1287</v>
      </c>
      <c r="J25" s="23">
        <f t="shared" ca="1" si="2"/>
        <v>5</v>
      </c>
      <c r="K25" s="23">
        <f t="shared" ca="1" si="3"/>
        <v>8</v>
      </c>
      <c r="L25" s="222">
        <v>441000</v>
      </c>
      <c r="M25" s="222">
        <v>322151</v>
      </c>
      <c r="N25" s="222">
        <v>33957</v>
      </c>
      <c r="O25" s="222">
        <v>288194</v>
      </c>
      <c r="P25" s="61" t="s">
        <v>1288</v>
      </c>
      <c r="Q25" s="23" t="s">
        <v>1289</v>
      </c>
    </row>
    <row r="26" spans="1:17">
      <c r="A26" s="23">
        <v>103</v>
      </c>
      <c r="B26" s="23" t="str">
        <f t="shared" si="0"/>
        <v>カーサ目白台ハウス</v>
      </c>
      <c r="C26" s="23">
        <v>403</v>
      </c>
      <c r="D26" s="23" t="str">
        <f t="shared" si="1"/>
        <v>有限会社コアプラス2号</v>
      </c>
      <c r="E26" s="23" t="s">
        <v>205</v>
      </c>
      <c r="F26" s="23" t="s">
        <v>755</v>
      </c>
      <c r="G26" s="23" t="s">
        <v>1324</v>
      </c>
      <c r="H26" s="23" t="s">
        <v>1325</v>
      </c>
      <c r="I26" s="23" t="s">
        <v>1326</v>
      </c>
      <c r="J26" s="23">
        <f t="shared" ca="1" si="2"/>
        <v>5</v>
      </c>
      <c r="K26" s="23">
        <f t="shared" ca="1" si="3"/>
        <v>13</v>
      </c>
      <c r="L26" s="222">
        <v>253400</v>
      </c>
      <c r="M26" s="222"/>
      <c r="N26" s="222"/>
      <c r="O26" s="222"/>
      <c r="P26" s="61" t="s">
        <v>1288</v>
      </c>
      <c r="Q26" s="23" t="s">
        <v>1289</v>
      </c>
    </row>
    <row r="27" spans="1:17">
      <c r="A27" s="23">
        <v>104</v>
      </c>
      <c r="B27" s="23" t="str">
        <f t="shared" si="0"/>
        <v>コアプラス池袋</v>
      </c>
      <c r="C27" s="23">
        <v>404</v>
      </c>
      <c r="D27" s="23" t="str">
        <f t="shared" si="1"/>
        <v>コアプラス大阪株式会社</v>
      </c>
      <c r="E27" s="23" t="s">
        <v>204</v>
      </c>
      <c r="F27" s="23" t="s">
        <v>752</v>
      </c>
      <c r="G27" s="23" t="s">
        <v>1327</v>
      </c>
      <c r="H27" s="23" t="s">
        <v>1328</v>
      </c>
      <c r="I27" s="23" t="s">
        <v>1329</v>
      </c>
      <c r="J27" s="23">
        <f t="shared" ca="1" si="2"/>
        <v>9</v>
      </c>
      <c r="K27" s="23">
        <f t="shared" ca="1" si="3"/>
        <v>21</v>
      </c>
      <c r="L27" s="222">
        <v>16087719</v>
      </c>
      <c r="M27" s="222">
        <v>11744039</v>
      </c>
      <c r="N27" s="222">
        <v>546982</v>
      </c>
      <c r="O27" s="222">
        <v>11197057</v>
      </c>
      <c r="P27" s="61" t="s">
        <v>1281</v>
      </c>
      <c r="Q27" s="23" t="s">
        <v>1330</v>
      </c>
    </row>
    <row r="28" spans="1:17">
      <c r="A28" s="23">
        <v>104</v>
      </c>
      <c r="B28" s="23" t="str">
        <f t="shared" si="0"/>
        <v>コアプラス池袋</v>
      </c>
      <c r="C28" s="23">
        <v>404</v>
      </c>
      <c r="D28" s="23" t="str">
        <f t="shared" si="1"/>
        <v>コアプラス大阪株式会社</v>
      </c>
      <c r="E28" s="23" t="s">
        <v>202</v>
      </c>
      <c r="F28" s="23" t="s">
        <v>1283</v>
      </c>
      <c r="G28" s="23" t="s">
        <v>1327</v>
      </c>
      <c r="H28" s="23" t="s">
        <v>1328</v>
      </c>
      <c r="I28" s="23" t="s">
        <v>1284</v>
      </c>
      <c r="J28" s="23">
        <f t="shared" ca="1" si="2"/>
        <v>9</v>
      </c>
      <c r="K28" s="23" t="str">
        <f t="shared" si="3"/>
        <v/>
      </c>
      <c r="L28" s="222">
        <v>78084258</v>
      </c>
      <c r="M28" s="222">
        <v>78084258</v>
      </c>
      <c r="N28" s="222"/>
      <c r="O28" s="222">
        <v>78084258</v>
      </c>
      <c r="P28" s="61" t="s">
        <v>1281</v>
      </c>
      <c r="Q28" s="23" t="s">
        <v>1289</v>
      </c>
    </row>
    <row r="29" spans="1:17">
      <c r="A29" s="23">
        <v>104</v>
      </c>
      <c r="B29" s="23" t="str">
        <f t="shared" si="0"/>
        <v>コアプラス池袋</v>
      </c>
      <c r="C29" s="23">
        <v>404</v>
      </c>
      <c r="D29" s="23" t="str">
        <f t="shared" si="1"/>
        <v>コアプラス大阪株式会社</v>
      </c>
      <c r="E29" s="23" t="s">
        <v>204</v>
      </c>
      <c r="F29" s="23" t="s">
        <v>752</v>
      </c>
      <c r="G29" s="23" t="s">
        <v>1331</v>
      </c>
      <c r="H29" s="23" t="s">
        <v>1332</v>
      </c>
      <c r="I29" s="23" t="s">
        <v>1333</v>
      </c>
      <c r="J29" s="23">
        <f t="shared" ca="1" si="2"/>
        <v>9</v>
      </c>
      <c r="K29" s="23">
        <f t="shared" ca="1" si="3"/>
        <v>41</v>
      </c>
      <c r="L29" s="222">
        <v>6065238</v>
      </c>
      <c r="M29" s="222">
        <v>5191850</v>
      </c>
      <c r="N29" s="222">
        <v>121304</v>
      </c>
      <c r="O29" s="222">
        <v>5070546</v>
      </c>
      <c r="P29" s="61" t="s">
        <v>1288</v>
      </c>
      <c r="Q29" s="23" t="s">
        <v>1289</v>
      </c>
    </row>
    <row r="30" spans="1:17">
      <c r="A30" s="23">
        <v>104</v>
      </c>
      <c r="B30" s="23" t="str">
        <f t="shared" si="0"/>
        <v>コアプラス池袋</v>
      </c>
      <c r="C30" s="23">
        <v>404</v>
      </c>
      <c r="D30" s="23" t="str">
        <f t="shared" si="1"/>
        <v>コアプラス大阪株式会社</v>
      </c>
      <c r="E30" s="23" t="s">
        <v>204</v>
      </c>
      <c r="F30" s="23" t="s">
        <v>752</v>
      </c>
      <c r="G30" s="23" t="s">
        <v>1334</v>
      </c>
      <c r="H30" s="23" t="s">
        <v>1332</v>
      </c>
      <c r="I30" s="23" t="s">
        <v>1333</v>
      </c>
      <c r="J30" s="23">
        <f t="shared" ca="1" si="2"/>
        <v>9</v>
      </c>
      <c r="K30" s="23">
        <f t="shared" ca="1" si="3"/>
        <v>41</v>
      </c>
      <c r="L30" s="222">
        <v>1758750</v>
      </c>
      <c r="M30" s="222">
        <v>1505491</v>
      </c>
      <c r="N30" s="222">
        <v>35175</v>
      </c>
      <c r="O30" s="222">
        <v>1470316</v>
      </c>
      <c r="P30" s="61" t="s">
        <v>1288</v>
      </c>
      <c r="Q30" s="23" t="s">
        <v>1289</v>
      </c>
    </row>
    <row r="31" spans="1:17">
      <c r="A31" s="23">
        <v>104</v>
      </c>
      <c r="B31" s="23" t="str">
        <f t="shared" si="0"/>
        <v>コアプラス池袋</v>
      </c>
      <c r="C31" s="23">
        <v>404</v>
      </c>
      <c r="D31" s="23" t="str">
        <f t="shared" si="1"/>
        <v>コアプラス大阪株式会社</v>
      </c>
      <c r="E31" s="23" t="s">
        <v>204</v>
      </c>
      <c r="F31" s="23" t="s">
        <v>752</v>
      </c>
      <c r="G31" s="23" t="s">
        <v>1335</v>
      </c>
      <c r="H31" s="23" t="s">
        <v>1332</v>
      </c>
      <c r="I31" s="23" t="s">
        <v>1333</v>
      </c>
      <c r="J31" s="23">
        <f t="shared" ca="1" si="2"/>
        <v>9</v>
      </c>
      <c r="K31" s="23">
        <f t="shared" ca="1" si="3"/>
        <v>41</v>
      </c>
      <c r="L31" s="222">
        <v>8049861</v>
      </c>
      <c r="M31" s="222">
        <v>6890684</v>
      </c>
      <c r="N31" s="222">
        <v>160997</v>
      </c>
      <c r="O31" s="222">
        <v>6729687</v>
      </c>
      <c r="P31" s="61" t="s">
        <v>1288</v>
      </c>
      <c r="Q31" s="23" t="s">
        <v>1289</v>
      </c>
    </row>
    <row r="32" spans="1:17">
      <c r="A32" s="23">
        <v>104</v>
      </c>
      <c r="B32" s="23" t="str">
        <f t="shared" si="0"/>
        <v>コアプラス池袋</v>
      </c>
      <c r="C32" s="23">
        <v>404</v>
      </c>
      <c r="D32" s="23" t="str">
        <f t="shared" si="1"/>
        <v>コアプラス大阪株式会社</v>
      </c>
      <c r="E32" s="23" t="s">
        <v>205</v>
      </c>
      <c r="F32" s="23" t="s">
        <v>753</v>
      </c>
      <c r="G32" s="23" t="s">
        <v>1336</v>
      </c>
      <c r="H32" s="23" t="s">
        <v>1332</v>
      </c>
      <c r="I32" s="23" t="s">
        <v>1304</v>
      </c>
      <c r="J32" s="23">
        <f t="shared" ca="1" si="2"/>
        <v>9</v>
      </c>
      <c r="K32" s="23">
        <f t="shared" ca="1" si="3"/>
        <v>6</v>
      </c>
      <c r="L32" s="222">
        <v>670025</v>
      </c>
      <c r="M32" s="222">
        <v>241795</v>
      </c>
      <c r="N32" s="222">
        <v>32158</v>
      </c>
      <c r="O32" s="222">
        <v>209637</v>
      </c>
      <c r="P32" s="61" t="s">
        <v>1288</v>
      </c>
      <c r="Q32" s="23" t="s">
        <v>1289</v>
      </c>
    </row>
    <row r="33" spans="1:17">
      <c r="A33" s="23">
        <v>104</v>
      </c>
      <c r="B33" s="23" t="str">
        <f t="shared" si="0"/>
        <v>コアプラス池袋</v>
      </c>
      <c r="C33" s="23">
        <v>404</v>
      </c>
      <c r="D33" s="23" t="str">
        <f t="shared" si="1"/>
        <v>コアプラス大阪株式会社</v>
      </c>
      <c r="E33" s="23" t="s">
        <v>205</v>
      </c>
      <c r="F33" s="23" t="s">
        <v>753</v>
      </c>
      <c r="G33" s="23" t="s">
        <v>1337</v>
      </c>
      <c r="H33" s="23" t="s">
        <v>1332</v>
      </c>
      <c r="I33" s="23" t="s">
        <v>1294</v>
      </c>
      <c r="J33" s="23">
        <f t="shared" ca="1" si="2"/>
        <v>9</v>
      </c>
      <c r="K33" s="23">
        <f t="shared" ca="1" si="3"/>
        <v>1</v>
      </c>
      <c r="L33" s="222">
        <v>204954</v>
      </c>
      <c r="M33" s="222">
        <v>32744</v>
      </c>
      <c r="N33" s="222">
        <v>16371</v>
      </c>
      <c r="O33" s="222">
        <v>16373</v>
      </c>
      <c r="P33" s="61" t="s">
        <v>1288</v>
      </c>
      <c r="Q33" s="23" t="s">
        <v>1338</v>
      </c>
    </row>
    <row r="34" spans="1:17">
      <c r="A34" s="23">
        <v>104</v>
      </c>
      <c r="B34" s="23" t="str">
        <f t="shared" si="0"/>
        <v>コアプラス池袋</v>
      </c>
      <c r="C34" s="23">
        <v>404</v>
      </c>
      <c r="D34" s="23" t="str">
        <f t="shared" si="1"/>
        <v>コアプラス大阪株式会社</v>
      </c>
      <c r="E34" s="23" t="s">
        <v>205</v>
      </c>
      <c r="F34" s="23" t="s">
        <v>753</v>
      </c>
      <c r="G34" s="23" t="s">
        <v>1339</v>
      </c>
      <c r="H34" s="23" t="s">
        <v>1332</v>
      </c>
      <c r="I34" s="23" t="s">
        <v>1294</v>
      </c>
      <c r="J34" s="23">
        <f t="shared" ca="1" si="2"/>
        <v>9</v>
      </c>
      <c r="K34" s="23">
        <f t="shared" ca="1" si="3"/>
        <v>1</v>
      </c>
      <c r="L34" s="222">
        <v>543159</v>
      </c>
      <c r="M34" s="222">
        <v>86773</v>
      </c>
      <c r="N34" s="222">
        <v>43386</v>
      </c>
      <c r="O34" s="222">
        <v>43387</v>
      </c>
      <c r="P34" s="61" t="s">
        <v>1288</v>
      </c>
      <c r="Q34" s="23" t="s">
        <v>1340</v>
      </c>
    </row>
    <row r="35" spans="1:17">
      <c r="A35" s="23">
        <v>104</v>
      </c>
      <c r="B35" s="23" t="str">
        <f t="shared" si="0"/>
        <v>コアプラス池袋</v>
      </c>
      <c r="C35" s="23">
        <v>404</v>
      </c>
      <c r="D35" s="23" t="str">
        <f t="shared" si="1"/>
        <v>コアプラス大阪株式会社</v>
      </c>
      <c r="E35" s="23" t="s">
        <v>205</v>
      </c>
      <c r="F35" s="23" t="s">
        <v>753</v>
      </c>
      <c r="G35" s="23" t="s">
        <v>1341</v>
      </c>
      <c r="H35" s="23" t="s">
        <v>1332</v>
      </c>
      <c r="I35" s="23" t="s">
        <v>1294</v>
      </c>
      <c r="J35" s="23">
        <f t="shared" ca="1" si="2"/>
        <v>9</v>
      </c>
      <c r="K35" s="23">
        <f t="shared" ca="1" si="3"/>
        <v>1</v>
      </c>
      <c r="L35" s="222">
        <v>122354</v>
      </c>
      <c r="M35" s="222">
        <v>19549</v>
      </c>
      <c r="N35" s="222">
        <v>9773</v>
      </c>
      <c r="O35" s="222">
        <v>9776</v>
      </c>
      <c r="P35" s="61" t="s">
        <v>1288</v>
      </c>
      <c r="Q35" s="23" t="s">
        <v>1340</v>
      </c>
    </row>
    <row r="36" spans="1:17">
      <c r="A36" s="23">
        <v>104</v>
      </c>
      <c r="B36" s="23" t="str">
        <f t="shared" si="0"/>
        <v>コアプラス池袋</v>
      </c>
      <c r="C36" s="23">
        <v>404</v>
      </c>
      <c r="D36" s="23" t="str">
        <f t="shared" si="1"/>
        <v>コアプラス大阪株式会社</v>
      </c>
      <c r="E36" s="23" t="s">
        <v>206</v>
      </c>
      <c r="F36" s="23" t="s">
        <v>753</v>
      </c>
      <c r="G36" s="23" t="s">
        <v>1327</v>
      </c>
      <c r="H36" s="23" t="s">
        <v>1332</v>
      </c>
      <c r="I36" s="23" t="s">
        <v>1304</v>
      </c>
      <c r="J36" s="23">
        <f t="shared" ca="1" si="2"/>
        <v>9</v>
      </c>
      <c r="K36" s="23">
        <f t="shared" ca="1" si="3"/>
        <v>6</v>
      </c>
      <c r="L36" s="222">
        <v>1265564</v>
      </c>
      <c r="M36" s="222">
        <v>456706</v>
      </c>
      <c r="N36" s="222">
        <v>60741</v>
      </c>
      <c r="O36" s="222">
        <v>395965</v>
      </c>
      <c r="P36" s="61" t="s">
        <v>1288</v>
      </c>
      <c r="Q36" s="23" t="s">
        <v>1342</v>
      </c>
    </row>
    <row r="37" spans="1:17">
      <c r="A37" s="23">
        <v>104</v>
      </c>
      <c r="B37" s="23" t="str">
        <f t="shared" ref="B37:B68" si="4">VLOOKUP(A37,id_settings,2,FALSE)</f>
        <v>コアプラス池袋</v>
      </c>
      <c r="C37" s="23">
        <v>404</v>
      </c>
      <c r="D37" s="23" t="str">
        <f t="shared" ref="D37:D68" si="5">VLOOKUP(C37,id_settings,2,FALSE)</f>
        <v>コアプラス大阪株式会社</v>
      </c>
      <c r="E37" s="23" t="s">
        <v>205</v>
      </c>
      <c r="F37" s="23" t="s">
        <v>752</v>
      </c>
      <c r="G37" s="23" t="s">
        <v>1343</v>
      </c>
      <c r="H37" s="23" t="s">
        <v>1344</v>
      </c>
      <c r="I37" s="23" t="s">
        <v>1304</v>
      </c>
      <c r="J37" s="23">
        <f t="shared" ref="J37:J68" ca="1" si="6">current_year-LEFT(H37,4)</f>
        <v>7</v>
      </c>
      <c r="K37" s="23">
        <f t="shared" ca="1" si="3"/>
        <v>8</v>
      </c>
      <c r="L37" s="222">
        <v>1296297</v>
      </c>
      <c r="M37" s="222">
        <v>803817</v>
      </c>
      <c r="N37" s="222">
        <v>86851</v>
      </c>
      <c r="O37" s="222">
        <v>716966</v>
      </c>
      <c r="P37" s="61" t="s">
        <v>1288</v>
      </c>
      <c r="Q37" s="23" t="s">
        <v>1289</v>
      </c>
    </row>
    <row r="38" spans="1:17">
      <c r="A38" s="23">
        <v>104</v>
      </c>
      <c r="B38" s="23" t="str">
        <f t="shared" si="4"/>
        <v>コアプラス池袋</v>
      </c>
      <c r="C38" s="23">
        <v>404</v>
      </c>
      <c r="D38" s="23" t="str">
        <f t="shared" si="5"/>
        <v>コアプラス大阪株式会社</v>
      </c>
      <c r="E38" s="23" t="s">
        <v>205</v>
      </c>
      <c r="F38" s="23" t="s">
        <v>752</v>
      </c>
      <c r="G38" s="23" t="s">
        <v>1345</v>
      </c>
      <c r="H38" s="23" t="s">
        <v>1346</v>
      </c>
      <c r="I38" s="23" t="s">
        <v>1304</v>
      </c>
      <c r="J38" s="23">
        <f t="shared" ca="1" si="6"/>
        <v>5</v>
      </c>
      <c r="K38" s="23">
        <f t="shared" ca="1" si="3"/>
        <v>10</v>
      </c>
      <c r="L38" s="222">
        <v>3300000</v>
      </c>
      <c r="M38" s="222">
        <v>2563000</v>
      </c>
      <c r="N38" s="222">
        <v>221100</v>
      </c>
      <c r="O38" s="222">
        <v>2341900</v>
      </c>
      <c r="P38" s="61" t="s">
        <v>1288</v>
      </c>
      <c r="Q38" s="23" t="s">
        <v>1289</v>
      </c>
    </row>
    <row r="39" spans="1:17">
      <c r="A39" s="23">
        <v>105</v>
      </c>
      <c r="B39" s="23" t="str">
        <f t="shared" si="4"/>
        <v>目白アパート</v>
      </c>
      <c r="C39" s="23">
        <v>405</v>
      </c>
      <c r="D39" s="23" t="str">
        <f t="shared" si="5"/>
        <v>コアプラス仙台株式会社</v>
      </c>
      <c r="E39" s="23" t="s">
        <v>204</v>
      </c>
      <c r="F39" s="23" t="s">
        <v>752</v>
      </c>
      <c r="G39" s="23" t="s">
        <v>1347</v>
      </c>
      <c r="H39" s="23" t="s">
        <v>1348</v>
      </c>
      <c r="I39" s="23" t="s">
        <v>1287</v>
      </c>
      <c r="J39" s="23">
        <f t="shared" ca="1" si="6"/>
        <v>9</v>
      </c>
      <c r="K39" s="23">
        <f t="shared" ca="1" si="3"/>
        <v>4</v>
      </c>
      <c r="L39" s="222">
        <v>113432893</v>
      </c>
      <c r="M39" s="222">
        <v>49296051</v>
      </c>
      <c r="N39" s="222">
        <v>8734332</v>
      </c>
      <c r="O39" s="222">
        <v>40561719</v>
      </c>
      <c r="P39" s="61" t="s">
        <v>1281</v>
      </c>
      <c r="Q39" s="23" t="s">
        <v>1349</v>
      </c>
    </row>
    <row r="40" spans="1:17">
      <c r="A40" s="23">
        <v>105</v>
      </c>
      <c r="B40" s="23" t="str">
        <f t="shared" si="4"/>
        <v>目白アパート</v>
      </c>
      <c r="C40" s="23">
        <v>405</v>
      </c>
      <c r="D40" s="23" t="str">
        <f t="shared" si="5"/>
        <v>コアプラス仙台株式会社</v>
      </c>
      <c r="E40" s="23" t="s">
        <v>202</v>
      </c>
      <c r="F40" s="23" t="s">
        <v>1283</v>
      </c>
      <c r="G40" s="23" t="s">
        <v>1347</v>
      </c>
      <c r="H40" s="23" t="s">
        <v>1348</v>
      </c>
      <c r="I40" s="23" t="s">
        <v>1284</v>
      </c>
      <c r="J40" s="23">
        <f t="shared" ca="1" si="6"/>
        <v>9</v>
      </c>
      <c r="K40" s="23" t="str">
        <f t="shared" si="3"/>
        <v/>
      </c>
      <c r="L40" s="222">
        <v>192559845</v>
      </c>
      <c r="M40" s="222">
        <v>192559845</v>
      </c>
      <c r="N40" s="222"/>
      <c r="O40" s="222">
        <v>192559845</v>
      </c>
      <c r="P40" s="61" t="s">
        <v>1281</v>
      </c>
    </row>
    <row r="41" spans="1:17">
      <c r="A41" s="23">
        <v>105</v>
      </c>
      <c r="B41" s="23" t="str">
        <f t="shared" si="4"/>
        <v>目白アパート</v>
      </c>
      <c r="C41" s="23">
        <v>405</v>
      </c>
      <c r="D41" s="23" t="str">
        <f t="shared" si="5"/>
        <v>コアプラス仙台株式会社</v>
      </c>
      <c r="E41" s="23" t="s">
        <v>206</v>
      </c>
      <c r="F41" s="23" t="s">
        <v>753</v>
      </c>
      <c r="G41" s="23" t="s">
        <v>1350</v>
      </c>
      <c r="H41" s="23" t="s">
        <v>1351</v>
      </c>
      <c r="I41" s="23" t="s">
        <v>1304</v>
      </c>
      <c r="J41" s="23">
        <f t="shared" ca="1" si="6"/>
        <v>8</v>
      </c>
      <c r="K41" s="23">
        <f t="shared" ca="1" si="3"/>
        <v>7</v>
      </c>
      <c r="L41" s="222">
        <v>1484600</v>
      </c>
      <c r="M41" s="222">
        <v>602604</v>
      </c>
      <c r="N41" s="222">
        <v>80146</v>
      </c>
      <c r="O41" s="222">
        <v>522458</v>
      </c>
      <c r="P41" s="61" t="s">
        <v>1288</v>
      </c>
      <c r="Q41" s="23" t="s">
        <v>1289</v>
      </c>
    </row>
    <row r="42" spans="1:17">
      <c r="A42" s="23">
        <v>105</v>
      </c>
      <c r="B42" s="23" t="str">
        <f t="shared" si="4"/>
        <v>目白アパート</v>
      </c>
      <c r="C42" s="23">
        <v>405</v>
      </c>
      <c r="D42" s="23" t="str">
        <f t="shared" si="5"/>
        <v>コアプラス仙台株式会社</v>
      </c>
      <c r="E42" s="23" t="s">
        <v>205</v>
      </c>
      <c r="F42" s="23" t="s">
        <v>752</v>
      </c>
      <c r="G42" s="23" t="s">
        <v>1352</v>
      </c>
      <c r="H42" s="23" t="s">
        <v>1301</v>
      </c>
      <c r="I42" s="23" t="s">
        <v>1304</v>
      </c>
      <c r="J42" s="23">
        <f t="shared" ca="1" si="6"/>
        <v>5</v>
      </c>
      <c r="K42" s="23">
        <f t="shared" ca="1" si="3"/>
        <v>10</v>
      </c>
      <c r="L42" s="222">
        <v>2550000</v>
      </c>
      <c r="M42" s="222">
        <v>1866600</v>
      </c>
      <c r="N42" s="222">
        <v>170850</v>
      </c>
      <c r="O42" s="222">
        <v>1695750</v>
      </c>
      <c r="P42" s="61" t="s">
        <v>1288</v>
      </c>
      <c r="Q42" s="23" t="s">
        <v>1289</v>
      </c>
    </row>
    <row r="43" spans="1:17">
      <c r="A43" s="23">
        <v>105</v>
      </c>
      <c r="B43" s="23" t="str">
        <f t="shared" si="4"/>
        <v>目白アパート</v>
      </c>
      <c r="C43" s="23">
        <v>405</v>
      </c>
      <c r="D43" s="23" t="str">
        <f t="shared" si="5"/>
        <v>コアプラス仙台株式会社</v>
      </c>
      <c r="E43" s="23" t="s">
        <v>205</v>
      </c>
      <c r="F43" s="23" t="s">
        <v>752</v>
      </c>
      <c r="G43" s="23" t="s">
        <v>1353</v>
      </c>
      <c r="H43" s="23" t="s">
        <v>1354</v>
      </c>
      <c r="I43" s="23" t="s">
        <v>1304</v>
      </c>
      <c r="J43" s="23">
        <f t="shared" ca="1" si="6"/>
        <v>4</v>
      </c>
      <c r="K43" s="23">
        <f t="shared" ca="1" si="3"/>
        <v>11</v>
      </c>
      <c r="L43" s="222">
        <v>2106000</v>
      </c>
      <c r="M43" s="222">
        <v>1765004</v>
      </c>
      <c r="N43" s="222">
        <v>141102</v>
      </c>
      <c r="O43" s="222">
        <v>1623902</v>
      </c>
      <c r="P43" s="61" t="s">
        <v>1288</v>
      </c>
      <c r="Q43" s="23" t="s">
        <v>1289</v>
      </c>
    </row>
    <row r="44" spans="1:17">
      <c r="A44" s="23">
        <v>105</v>
      </c>
      <c r="B44" s="23" t="str">
        <f t="shared" si="4"/>
        <v>目白アパート</v>
      </c>
      <c r="C44" s="23">
        <v>405</v>
      </c>
      <c r="D44" s="23" t="str">
        <f t="shared" si="5"/>
        <v>コアプラス仙台株式会社</v>
      </c>
      <c r="E44" s="23" t="s">
        <v>205</v>
      </c>
      <c r="F44" s="23" t="s">
        <v>752</v>
      </c>
      <c r="G44" s="23" t="s">
        <v>1355</v>
      </c>
      <c r="H44" s="23" t="s">
        <v>1356</v>
      </c>
      <c r="I44" s="23" t="s">
        <v>1304</v>
      </c>
      <c r="J44" s="23">
        <f t="shared" ca="1" si="6"/>
        <v>4</v>
      </c>
      <c r="K44" s="23">
        <f t="shared" ca="1" si="3"/>
        <v>11</v>
      </c>
      <c r="L44" s="222">
        <v>2743200</v>
      </c>
      <c r="M44" s="222">
        <v>2314348</v>
      </c>
      <c r="N44" s="222">
        <v>183794</v>
      </c>
      <c r="O44" s="222">
        <v>2130554</v>
      </c>
      <c r="P44" s="61" t="s">
        <v>1288</v>
      </c>
      <c r="Q44" s="23" t="s">
        <v>1289</v>
      </c>
    </row>
    <row r="45" spans="1:17">
      <c r="A45" s="23">
        <v>105</v>
      </c>
      <c r="B45" s="23" t="str">
        <f t="shared" si="4"/>
        <v>目白アパート</v>
      </c>
      <c r="C45" s="23">
        <v>405</v>
      </c>
      <c r="D45" s="23" t="str">
        <f t="shared" si="5"/>
        <v>コアプラス仙台株式会社</v>
      </c>
      <c r="E45" s="23" t="s">
        <v>205</v>
      </c>
      <c r="F45" s="23" t="s">
        <v>752</v>
      </c>
      <c r="G45" s="23" t="s">
        <v>1357</v>
      </c>
      <c r="H45" s="23" t="s">
        <v>1358</v>
      </c>
      <c r="I45" s="23" t="s">
        <v>1304</v>
      </c>
      <c r="J45" s="23">
        <f t="shared" ca="1" si="6"/>
        <v>4</v>
      </c>
      <c r="K45" s="23">
        <f t="shared" ca="1" si="3"/>
        <v>11</v>
      </c>
      <c r="L45" s="222">
        <v>12320000</v>
      </c>
      <c r="M45" s="222">
        <v>10600334</v>
      </c>
      <c r="N45" s="222">
        <v>825440</v>
      </c>
      <c r="O45" s="222">
        <v>9774894</v>
      </c>
      <c r="P45" s="61" t="s">
        <v>1288</v>
      </c>
      <c r="Q45" s="23" t="s">
        <v>1289</v>
      </c>
    </row>
    <row r="46" spans="1:17">
      <c r="A46" s="23">
        <v>105</v>
      </c>
      <c r="B46" s="23" t="str">
        <f t="shared" si="4"/>
        <v>目白アパート</v>
      </c>
      <c r="C46" s="23">
        <v>405</v>
      </c>
      <c r="D46" s="23" t="str">
        <f t="shared" si="5"/>
        <v>コアプラス仙台株式会社</v>
      </c>
      <c r="E46" s="23" t="s">
        <v>205</v>
      </c>
      <c r="F46" s="23" t="s">
        <v>752</v>
      </c>
      <c r="G46" s="23" t="s">
        <v>1359</v>
      </c>
      <c r="H46" s="23" t="s">
        <v>1360</v>
      </c>
      <c r="I46" s="23" t="s">
        <v>1304</v>
      </c>
      <c r="J46" s="23">
        <f t="shared" ca="1" si="6"/>
        <v>4</v>
      </c>
      <c r="K46" s="23">
        <f t="shared" ca="1" si="3"/>
        <v>11</v>
      </c>
      <c r="L46" s="222">
        <v>2759000</v>
      </c>
      <c r="M46" s="222">
        <v>2373890</v>
      </c>
      <c r="N46" s="222">
        <v>184853</v>
      </c>
      <c r="O46" s="222">
        <v>2189037</v>
      </c>
      <c r="P46" s="61" t="s">
        <v>1288</v>
      </c>
      <c r="Q46" s="23" t="s">
        <v>1289</v>
      </c>
    </row>
    <row r="47" spans="1:17">
      <c r="A47" s="23">
        <v>105</v>
      </c>
      <c r="B47" s="23" t="str">
        <f t="shared" si="4"/>
        <v>目白アパート</v>
      </c>
      <c r="C47" s="23">
        <v>405</v>
      </c>
      <c r="D47" s="23" t="str">
        <f t="shared" si="5"/>
        <v>コアプラス仙台株式会社</v>
      </c>
      <c r="E47" s="23" t="s">
        <v>205</v>
      </c>
      <c r="F47" s="23" t="s">
        <v>752</v>
      </c>
      <c r="G47" s="23" t="s">
        <v>1361</v>
      </c>
      <c r="H47" s="23" t="s">
        <v>1362</v>
      </c>
      <c r="I47" s="23" t="s">
        <v>1304</v>
      </c>
      <c r="J47" s="23">
        <f t="shared" ca="1" si="6"/>
        <v>2</v>
      </c>
      <c r="K47" s="23">
        <f t="shared" ca="1" si="3"/>
        <v>13</v>
      </c>
      <c r="L47" s="222">
        <v>2095170</v>
      </c>
      <c r="M47" s="222">
        <v>2083472</v>
      </c>
      <c r="N47" s="222">
        <v>140376</v>
      </c>
      <c r="O47" s="222">
        <v>1943096</v>
      </c>
      <c r="P47" s="61" t="s">
        <v>1288</v>
      </c>
      <c r="Q47" s="23" t="s">
        <v>1289</v>
      </c>
    </row>
    <row r="48" spans="1:17">
      <c r="A48" s="23">
        <v>106</v>
      </c>
      <c r="B48" s="23" t="str">
        <f t="shared" si="4"/>
        <v>東池袋ハイツ</v>
      </c>
      <c r="C48" s="23">
        <v>406</v>
      </c>
      <c r="D48" s="23" t="str">
        <f t="shared" si="5"/>
        <v>コアプラス札幌株式会社</v>
      </c>
      <c r="E48" s="23" t="s">
        <v>204</v>
      </c>
      <c r="F48" s="23" t="s">
        <v>752</v>
      </c>
      <c r="G48" s="23" t="s">
        <v>1363</v>
      </c>
      <c r="H48" s="23" t="s">
        <v>1364</v>
      </c>
      <c r="I48" s="23" t="s">
        <v>1329</v>
      </c>
      <c r="J48" s="23">
        <f t="shared" ca="1" si="6"/>
        <v>9</v>
      </c>
      <c r="K48" s="23">
        <f t="shared" ca="1" si="3"/>
        <v>21</v>
      </c>
      <c r="L48" s="222">
        <v>187056281</v>
      </c>
      <c r="M48" s="222">
        <v>142517753</v>
      </c>
      <c r="N48" s="222">
        <v>6359913</v>
      </c>
      <c r="O48" s="222">
        <v>136157840</v>
      </c>
      <c r="P48" s="61" t="s">
        <v>1281</v>
      </c>
      <c r="Q48" s="23" t="s">
        <v>1365</v>
      </c>
    </row>
    <row r="49" spans="1:17">
      <c r="A49" s="23">
        <v>106</v>
      </c>
      <c r="B49" s="23" t="str">
        <f t="shared" si="4"/>
        <v>東池袋ハイツ</v>
      </c>
      <c r="C49" s="23">
        <v>406</v>
      </c>
      <c r="D49" s="23" t="str">
        <f t="shared" si="5"/>
        <v>コアプラス札幌株式会社</v>
      </c>
      <c r="E49" s="23" t="s">
        <v>202</v>
      </c>
      <c r="F49" s="23" t="s">
        <v>1283</v>
      </c>
      <c r="G49" s="23" t="s">
        <v>1363</v>
      </c>
      <c r="H49" s="23" t="s">
        <v>1364</v>
      </c>
      <c r="I49" s="23" t="s">
        <v>1284</v>
      </c>
      <c r="J49" s="23">
        <f t="shared" ca="1" si="6"/>
        <v>9</v>
      </c>
      <c r="K49" s="23" t="str">
        <f t="shared" si="3"/>
        <v/>
      </c>
      <c r="L49" s="222">
        <v>262709157</v>
      </c>
      <c r="M49" s="222">
        <v>262709157</v>
      </c>
      <c r="N49" s="222"/>
      <c r="O49" s="222">
        <v>262709157</v>
      </c>
      <c r="P49" s="61" t="s">
        <v>1281</v>
      </c>
    </row>
    <row r="50" spans="1:17">
      <c r="A50" s="23">
        <v>106</v>
      </c>
      <c r="B50" s="23" t="str">
        <f t="shared" si="4"/>
        <v>東池袋ハイツ</v>
      </c>
      <c r="C50" s="23">
        <v>406</v>
      </c>
      <c r="D50" s="23" t="str">
        <f t="shared" si="5"/>
        <v>コアプラス札幌株式会社</v>
      </c>
      <c r="E50" s="23" t="s">
        <v>203</v>
      </c>
      <c r="F50" s="23" t="s">
        <v>753</v>
      </c>
      <c r="G50" s="23" t="s">
        <v>1366</v>
      </c>
      <c r="H50" s="23" t="s">
        <v>1367</v>
      </c>
      <c r="I50" s="23" t="s">
        <v>1294</v>
      </c>
      <c r="J50" s="23">
        <f t="shared" ca="1" si="6"/>
        <v>5</v>
      </c>
      <c r="K50" s="23">
        <f t="shared" ca="1" si="3"/>
        <v>5</v>
      </c>
      <c r="L50" s="222">
        <v>658800</v>
      </c>
      <c r="M50" s="222">
        <v>314820</v>
      </c>
      <c r="N50" s="222">
        <v>62964</v>
      </c>
      <c r="O50" s="222">
        <v>251856</v>
      </c>
      <c r="P50" s="61" t="s">
        <v>1288</v>
      </c>
      <c r="Q50" s="23" t="s">
        <v>1289</v>
      </c>
    </row>
    <row r="51" spans="1:17">
      <c r="A51" s="23">
        <v>107</v>
      </c>
      <c r="B51" s="23" t="str">
        <f t="shared" si="4"/>
        <v>メゾン雑司ヶ谷</v>
      </c>
      <c r="C51" s="23">
        <v>407</v>
      </c>
      <c r="D51" s="23" t="str">
        <f t="shared" si="5"/>
        <v>コアプラス福岡株式会社</v>
      </c>
      <c r="E51" s="23" t="s">
        <v>204</v>
      </c>
      <c r="F51" s="23" t="s">
        <v>752</v>
      </c>
      <c r="G51" s="23" t="s">
        <v>1368</v>
      </c>
      <c r="H51" s="23" t="s">
        <v>1369</v>
      </c>
      <c r="I51" s="23" t="s">
        <v>1370</v>
      </c>
      <c r="J51" s="23">
        <f t="shared" ca="1" si="6"/>
        <v>8</v>
      </c>
      <c r="K51" s="23">
        <f t="shared" ca="1" si="3"/>
        <v>15</v>
      </c>
      <c r="L51" s="222">
        <v>98069650</v>
      </c>
      <c r="M51" s="222">
        <v>71067811</v>
      </c>
      <c r="N51" s="222">
        <v>4315064</v>
      </c>
      <c r="O51" s="222">
        <v>66752747</v>
      </c>
      <c r="P51" s="61" t="s">
        <v>1281</v>
      </c>
      <c r="Q51" s="23" t="s">
        <v>1371</v>
      </c>
    </row>
    <row r="52" spans="1:17">
      <c r="A52" s="23">
        <v>107</v>
      </c>
      <c r="B52" s="23" t="str">
        <f t="shared" si="4"/>
        <v>メゾン雑司ヶ谷</v>
      </c>
      <c r="C52" s="23">
        <v>407</v>
      </c>
      <c r="D52" s="23" t="str">
        <f t="shared" si="5"/>
        <v>コアプラス福岡株式会社</v>
      </c>
      <c r="E52" s="23" t="s">
        <v>202</v>
      </c>
      <c r="F52" s="23" t="s">
        <v>1283</v>
      </c>
      <c r="G52" s="23" t="s">
        <v>1368</v>
      </c>
      <c r="H52" s="23" t="s">
        <v>1369</v>
      </c>
      <c r="I52" s="23" t="s">
        <v>1284</v>
      </c>
      <c r="J52" s="23">
        <f t="shared" ca="1" si="6"/>
        <v>8</v>
      </c>
      <c r="K52" s="23" t="str">
        <f t="shared" si="3"/>
        <v/>
      </c>
      <c r="L52" s="222">
        <v>286363375</v>
      </c>
      <c r="M52" s="222">
        <v>286363375</v>
      </c>
      <c r="N52" s="222"/>
      <c r="O52" s="222">
        <v>286363375</v>
      </c>
      <c r="P52" s="61" t="s">
        <v>1281</v>
      </c>
      <c r="Q52" s="23" t="s">
        <v>1289</v>
      </c>
    </row>
    <row r="53" spans="1:17">
      <c r="A53" s="23">
        <v>107</v>
      </c>
      <c r="B53" s="23" t="str">
        <f t="shared" si="4"/>
        <v>メゾン雑司ヶ谷</v>
      </c>
      <c r="C53" s="23">
        <v>407</v>
      </c>
      <c r="D53" s="23" t="str">
        <f t="shared" si="5"/>
        <v>コアプラス福岡株式会社</v>
      </c>
      <c r="E53" s="23" t="s">
        <v>203</v>
      </c>
      <c r="F53" s="23" t="s">
        <v>753</v>
      </c>
      <c r="G53" s="23" t="s">
        <v>1372</v>
      </c>
      <c r="H53" s="23" t="s">
        <v>1373</v>
      </c>
      <c r="I53" s="23" t="s">
        <v>1294</v>
      </c>
      <c r="J53" s="23">
        <f t="shared" ca="1" si="6"/>
        <v>4</v>
      </c>
      <c r="K53" s="23">
        <f t="shared" ca="1" si="3"/>
        <v>6</v>
      </c>
      <c r="L53" s="222">
        <v>720000</v>
      </c>
      <c r="M53" s="222">
        <v>422400</v>
      </c>
      <c r="N53" s="222">
        <v>84480</v>
      </c>
      <c r="O53" s="222">
        <v>337920</v>
      </c>
      <c r="P53" s="61" t="s">
        <v>1288</v>
      </c>
      <c r="Q53" s="23" t="s">
        <v>1289</v>
      </c>
    </row>
    <row r="54" spans="1:17">
      <c r="A54" s="23">
        <v>107</v>
      </c>
      <c r="B54" s="23" t="str">
        <f t="shared" si="4"/>
        <v>メゾン雑司ヶ谷</v>
      </c>
      <c r="C54" s="23">
        <v>407</v>
      </c>
      <c r="D54" s="23" t="str">
        <f t="shared" si="5"/>
        <v>コアプラス福岡株式会社</v>
      </c>
      <c r="E54" s="23" t="s">
        <v>205</v>
      </c>
      <c r="F54" s="23" t="s">
        <v>752</v>
      </c>
      <c r="G54" s="23" t="s">
        <v>1374</v>
      </c>
      <c r="H54" s="23" t="s">
        <v>1375</v>
      </c>
      <c r="I54" s="23" t="s">
        <v>1304</v>
      </c>
      <c r="J54" s="23">
        <f t="shared" ca="1" si="6"/>
        <v>2</v>
      </c>
      <c r="K54" s="23">
        <f t="shared" ca="1" si="3"/>
        <v>13</v>
      </c>
      <c r="L54" s="222">
        <v>482200</v>
      </c>
      <c r="M54" s="222">
        <v>460662</v>
      </c>
      <c r="N54" s="222">
        <v>32307</v>
      </c>
      <c r="O54" s="222">
        <v>428355</v>
      </c>
      <c r="P54" s="61" t="s">
        <v>1288</v>
      </c>
      <c r="Q54" s="23" t="s">
        <v>1289</v>
      </c>
    </row>
    <row r="55" spans="1:17">
      <c r="A55" s="23">
        <v>107</v>
      </c>
      <c r="B55" s="23" t="str">
        <f t="shared" si="4"/>
        <v>メゾン雑司ヶ谷</v>
      </c>
      <c r="C55" s="23">
        <v>407</v>
      </c>
      <c r="D55" s="23" t="str">
        <f t="shared" si="5"/>
        <v>コアプラス福岡株式会社</v>
      </c>
      <c r="E55" s="23" t="s">
        <v>205</v>
      </c>
      <c r="F55" s="23" t="s">
        <v>752</v>
      </c>
      <c r="G55" s="23" t="s">
        <v>1376</v>
      </c>
      <c r="H55" s="23" t="s">
        <v>1375</v>
      </c>
      <c r="I55" s="23" t="s">
        <v>1294</v>
      </c>
      <c r="J55" s="23">
        <f t="shared" ca="1" si="6"/>
        <v>2</v>
      </c>
      <c r="K55" s="23">
        <f t="shared" ca="1" si="3"/>
        <v>8</v>
      </c>
      <c r="L55" s="222">
        <v>941600</v>
      </c>
      <c r="M55" s="222">
        <v>878827</v>
      </c>
      <c r="N55" s="222">
        <v>94160</v>
      </c>
      <c r="O55" s="222">
        <v>784667</v>
      </c>
      <c r="P55" s="61" t="s">
        <v>1288</v>
      </c>
      <c r="Q55" s="23" t="s">
        <v>1289</v>
      </c>
    </row>
    <row r="56" spans="1:17">
      <c r="A56" s="23">
        <v>107</v>
      </c>
      <c r="B56" s="23" t="str">
        <f t="shared" si="4"/>
        <v>メゾン雑司ヶ谷</v>
      </c>
      <c r="C56" s="23">
        <v>407</v>
      </c>
      <c r="D56" s="23" t="str">
        <f t="shared" si="5"/>
        <v>コアプラス福岡株式会社</v>
      </c>
      <c r="E56" s="23" t="s">
        <v>205</v>
      </c>
      <c r="F56" s="23" t="s">
        <v>752</v>
      </c>
      <c r="G56" s="23" t="s">
        <v>1377</v>
      </c>
      <c r="H56" s="23" t="s">
        <v>1378</v>
      </c>
      <c r="I56" s="23" t="s">
        <v>1294</v>
      </c>
      <c r="J56" s="23">
        <f t="shared" ca="1" si="6"/>
        <v>2</v>
      </c>
      <c r="K56" s="23">
        <f t="shared" ca="1" si="3"/>
        <v>8</v>
      </c>
      <c r="L56" s="222">
        <v>860100</v>
      </c>
      <c r="M56" s="222">
        <v>831430</v>
      </c>
      <c r="N56" s="222">
        <v>86010</v>
      </c>
      <c r="O56" s="222">
        <v>745420</v>
      </c>
      <c r="P56" s="61" t="s">
        <v>1288</v>
      </c>
      <c r="Q56" s="23" t="s">
        <v>1289</v>
      </c>
    </row>
    <row r="57" spans="1:17">
      <c r="A57" s="23">
        <v>109</v>
      </c>
      <c r="B57" s="23" t="str">
        <f t="shared" si="4"/>
        <v>カーサ南池袋</v>
      </c>
      <c r="C57" s="23">
        <v>409</v>
      </c>
      <c r="D57" s="23" t="str">
        <f t="shared" si="5"/>
        <v>コアプラス四国株式会社</v>
      </c>
      <c r="E57" s="23" t="s">
        <v>204</v>
      </c>
      <c r="F57" s="23" t="s">
        <v>752</v>
      </c>
      <c r="G57" s="23" t="s">
        <v>1379</v>
      </c>
      <c r="H57" s="23" t="s">
        <v>1380</v>
      </c>
      <c r="I57" s="23" t="s">
        <v>1381</v>
      </c>
      <c r="J57" s="23">
        <f t="shared" ca="1" si="6"/>
        <v>8</v>
      </c>
      <c r="K57" s="23">
        <f t="shared" ca="1" si="3"/>
        <v>1</v>
      </c>
      <c r="L57" s="222">
        <v>26042283</v>
      </c>
      <c r="M57" s="222">
        <v>8541873</v>
      </c>
      <c r="N57" s="222">
        <v>2916735</v>
      </c>
      <c r="O57" s="222">
        <v>5625138</v>
      </c>
      <c r="P57" s="61" t="s">
        <v>1281</v>
      </c>
      <c r="Q57" s="23" t="s">
        <v>1382</v>
      </c>
    </row>
    <row r="58" spans="1:17">
      <c r="A58" s="23">
        <v>109</v>
      </c>
      <c r="B58" s="23" t="str">
        <f t="shared" si="4"/>
        <v>カーサ南池袋</v>
      </c>
      <c r="C58" s="23">
        <v>409</v>
      </c>
      <c r="D58" s="23" t="str">
        <f t="shared" si="5"/>
        <v>コアプラス四国株式会社</v>
      </c>
      <c r="E58" s="23" t="s">
        <v>202</v>
      </c>
      <c r="F58" s="23" t="s">
        <v>1283</v>
      </c>
      <c r="G58" s="23" t="s">
        <v>1379</v>
      </c>
      <c r="H58" s="23" t="s">
        <v>1380</v>
      </c>
      <c r="I58" s="23" t="s">
        <v>1284</v>
      </c>
      <c r="J58" s="23">
        <f t="shared" ca="1" si="6"/>
        <v>8</v>
      </c>
      <c r="K58" s="23" t="str">
        <f t="shared" si="3"/>
        <v/>
      </c>
      <c r="L58" s="222">
        <v>163957717</v>
      </c>
      <c r="M58" s="222">
        <v>163957717</v>
      </c>
      <c r="N58" s="222"/>
      <c r="O58" s="222">
        <v>163957717</v>
      </c>
      <c r="P58" s="61" t="s">
        <v>1281</v>
      </c>
    </row>
    <row r="59" spans="1:17">
      <c r="A59" s="23">
        <v>109</v>
      </c>
      <c r="B59" s="23" t="str">
        <f t="shared" si="4"/>
        <v>カーサ南池袋</v>
      </c>
      <c r="C59" s="23">
        <v>409</v>
      </c>
      <c r="D59" s="23" t="str">
        <f t="shared" si="5"/>
        <v>コアプラス四国株式会社</v>
      </c>
      <c r="E59" s="23" t="s">
        <v>204</v>
      </c>
      <c r="F59" s="23" t="s">
        <v>752</v>
      </c>
      <c r="G59" s="23" t="s">
        <v>1379</v>
      </c>
      <c r="H59" s="23" t="s">
        <v>1380</v>
      </c>
      <c r="I59" s="23" t="s">
        <v>1381</v>
      </c>
      <c r="J59" s="23">
        <f t="shared" ca="1" si="6"/>
        <v>8</v>
      </c>
      <c r="K59" s="23">
        <f t="shared" ca="1" si="3"/>
        <v>1</v>
      </c>
      <c r="L59" s="222">
        <v>450400</v>
      </c>
      <c r="M59" s="222">
        <v>147736</v>
      </c>
      <c r="N59" s="222">
        <v>50444</v>
      </c>
      <c r="O59" s="222">
        <v>97292</v>
      </c>
      <c r="P59" s="61" t="s">
        <v>1281</v>
      </c>
      <c r="Q59" s="23" t="s">
        <v>1382</v>
      </c>
    </row>
    <row r="60" spans="1:17">
      <c r="A60" s="23">
        <v>109</v>
      </c>
      <c r="B60" s="23" t="str">
        <f t="shared" si="4"/>
        <v>カーサ南池袋</v>
      </c>
      <c r="C60" s="23">
        <v>409</v>
      </c>
      <c r="D60" s="23" t="str">
        <f t="shared" si="5"/>
        <v>コアプラス四国株式会社</v>
      </c>
      <c r="E60" s="23" t="s">
        <v>202</v>
      </c>
      <c r="F60" s="23" t="s">
        <v>1283</v>
      </c>
      <c r="G60" s="23" t="s">
        <v>1383</v>
      </c>
      <c r="H60" s="23" t="s">
        <v>1380</v>
      </c>
      <c r="I60" s="23" t="s">
        <v>1284</v>
      </c>
      <c r="J60" s="23">
        <f t="shared" ca="1" si="6"/>
        <v>8</v>
      </c>
      <c r="K60" s="23" t="str">
        <f t="shared" si="3"/>
        <v/>
      </c>
      <c r="L60" s="222">
        <v>1417900</v>
      </c>
      <c r="M60" s="222">
        <v>1417900</v>
      </c>
      <c r="N60" s="222"/>
      <c r="O60" s="222">
        <v>1417900</v>
      </c>
      <c r="P60" s="61" t="s">
        <v>1281</v>
      </c>
    </row>
    <row r="61" spans="1:17">
      <c r="A61" s="23">
        <v>109</v>
      </c>
      <c r="B61" s="23" t="str">
        <f t="shared" si="4"/>
        <v>カーサ南池袋</v>
      </c>
      <c r="C61" s="23">
        <v>409</v>
      </c>
      <c r="D61" s="23" t="str">
        <f t="shared" si="5"/>
        <v>コアプラス四国株式会社</v>
      </c>
      <c r="E61" s="23" t="s">
        <v>205</v>
      </c>
      <c r="F61" s="23" t="s">
        <v>752</v>
      </c>
      <c r="G61" s="23" t="s">
        <v>1384</v>
      </c>
      <c r="H61" s="23" t="s">
        <v>1385</v>
      </c>
      <c r="I61" s="23" t="s">
        <v>1304</v>
      </c>
      <c r="J61" s="23">
        <f t="shared" ca="1" si="6"/>
        <v>7</v>
      </c>
      <c r="K61" s="23">
        <f t="shared" ca="1" si="3"/>
        <v>8</v>
      </c>
      <c r="L61" s="222">
        <v>1668160</v>
      </c>
      <c r="M61" s="222">
        <v>1034819</v>
      </c>
      <c r="N61" s="222">
        <v>111766</v>
      </c>
      <c r="O61" s="222">
        <v>923053</v>
      </c>
      <c r="P61" s="61" t="s">
        <v>1288</v>
      </c>
      <c r="Q61" s="23" t="s">
        <v>1289</v>
      </c>
    </row>
    <row r="62" spans="1:17">
      <c r="A62" s="23">
        <v>109</v>
      </c>
      <c r="B62" s="23" t="str">
        <f t="shared" si="4"/>
        <v>カーサ南池袋</v>
      </c>
      <c r="C62" s="23">
        <v>409</v>
      </c>
      <c r="D62" s="23" t="str">
        <f t="shared" si="5"/>
        <v>コアプラス四国株式会社</v>
      </c>
      <c r="E62" s="23" t="s">
        <v>205</v>
      </c>
      <c r="F62" s="23" t="s">
        <v>752</v>
      </c>
      <c r="G62" s="23" t="s">
        <v>1386</v>
      </c>
      <c r="H62" s="23" t="s">
        <v>1385</v>
      </c>
      <c r="I62" s="23" t="s">
        <v>1304</v>
      </c>
      <c r="J62" s="23">
        <f t="shared" ca="1" si="6"/>
        <v>7</v>
      </c>
      <c r="K62" s="23">
        <f t="shared" ca="1" si="3"/>
        <v>8</v>
      </c>
      <c r="L62" s="222">
        <v>2349200</v>
      </c>
      <c r="M62" s="222">
        <v>1457290</v>
      </c>
      <c r="N62" s="222">
        <v>157396</v>
      </c>
      <c r="O62" s="222">
        <v>1299894</v>
      </c>
      <c r="P62" s="61" t="s">
        <v>1288</v>
      </c>
      <c r="Q62" s="23" t="s">
        <v>1289</v>
      </c>
    </row>
    <row r="63" spans="1:17">
      <c r="A63" s="23">
        <v>109</v>
      </c>
      <c r="B63" s="23" t="str">
        <f t="shared" si="4"/>
        <v>カーサ南池袋</v>
      </c>
      <c r="C63" s="23">
        <v>409</v>
      </c>
      <c r="D63" s="23" t="str">
        <f t="shared" si="5"/>
        <v>コアプラス四国株式会社</v>
      </c>
      <c r="E63" s="23" t="s">
        <v>205</v>
      </c>
      <c r="F63" s="23" t="s">
        <v>752</v>
      </c>
      <c r="G63" s="23" t="s">
        <v>1387</v>
      </c>
      <c r="H63" s="23" t="s">
        <v>1385</v>
      </c>
      <c r="I63" s="23" t="s">
        <v>1304</v>
      </c>
      <c r="J63" s="23">
        <f t="shared" ca="1" si="6"/>
        <v>7</v>
      </c>
      <c r="K63" s="23">
        <f t="shared" ca="1" si="3"/>
        <v>8</v>
      </c>
      <c r="L63" s="222">
        <v>1734493</v>
      </c>
      <c r="M63" s="222">
        <v>1075964</v>
      </c>
      <c r="N63" s="222">
        <v>116211</v>
      </c>
      <c r="O63" s="222">
        <v>959753</v>
      </c>
      <c r="P63" s="61" t="s">
        <v>1288</v>
      </c>
      <c r="Q63" s="23" t="s">
        <v>1289</v>
      </c>
    </row>
    <row r="64" spans="1:17">
      <c r="A64" s="23">
        <v>109</v>
      </c>
      <c r="B64" s="23" t="str">
        <f t="shared" si="4"/>
        <v>カーサ南池袋</v>
      </c>
      <c r="C64" s="23">
        <v>409</v>
      </c>
      <c r="D64" s="23" t="str">
        <f t="shared" si="5"/>
        <v>コアプラス四国株式会社</v>
      </c>
      <c r="E64" s="23" t="s">
        <v>205</v>
      </c>
      <c r="F64" s="23" t="s">
        <v>752</v>
      </c>
      <c r="G64" s="23" t="s">
        <v>1388</v>
      </c>
      <c r="H64" s="23" t="s">
        <v>1389</v>
      </c>
      <c r="I64" s="23" t="s">
        <v>1304</v>
      </c>
      <c r="J64" s="23">
        <f t="shared" ca="1" si="6"/>
        <v>7</v>
      </c>
      <c r="K64" s="23">
        <f t="shared" ca="1" si="3"/>
        <v>8</v>
      </c>
      <c r="L64" s="222">
        <v>1549314</v>
      </c>
      <c r="M64" s="222">
        <v>1021644</v>
      </c>
      <c r="N64" s="222">
        <v>103804</v>
      </c>
      <c r="O64" s="222">
        <v>917840</v>
      </c>
      <c r="P64" s="61" t="s">
        <v>1288</v>
      </c>
    </row>
    <row r="65" spans="1:17">
      <c r="A65" s="23">
        <v>109</v>
      </c>
      <c r="B65" s="23" t="str">
        <f t="shared" si="4"/>
        <v>カーサ南池袋</v>
      </c>
      <c r="C65" s="23">
        <v>409</v>
      </c>
      <c r="D65" s="23" t="str">
        <f t="shared" si="5"/>
        <v>コアプラス四国株式会社</v>
      </c>
      <c r="E65" s="23" t="s">
        <v>203</v>
      </c>
      <c r="F65" s="23" t="s">
        <v>753</v>
      </c>
      <c r="G65" s="23" t="s">
        <v>1390</v>
      </c>
      <c r="H65" s="23" t="s">
        <v>1391</v>
      </c>
      <c r="I65" s="23" t="s">
        <v>1294</v>
      </c>
      <c r="J65" s="23">
        <f t="shared" ca="1" si="6"/>
        <v>2</v>
      </c>
      <c r="K65" s="23">
        <f t="shared" ca="1" si="3"/>
        <v>8</v>
      </c>
      <c r="L65" s="222">
        <v>554400</v>
      </c>
      <c r="M65" s="222">
        <v>443520</v>
      </c>
      <c r="N65" s="222">
        <v>88704</v>
      </c>
      <c r="O65" s="222">
        <v>354816</v>
      </c>
      <c r="P65" s="61" t="s">
        <v>1288</v>
      </c>
    </row>
    <row r="66" spans="1:17">
      <c r="A66" s="23">
        <v>109</v>
      </c>
      <c r="B66" s="23" t="str">
        <f t="shared" si="4"/>
        <v>カーサ南池袋</v>
      </c>
      <c r="C66" s="23">
        <v>409</v>
      </c>
      <c r="D66" s="23" t="str">
        <f t="shared" si="5"/>
        <v>コアプラス四国株式会社</v>
      </c>
      <c r="E66" s="23" t="s">
        <v>205</v>
      </c>
      <c r="F66" s="23" t="s">
        <v>752</v>
      </c>
      <c r="G66" s="23" t="s">
        <v>1392</v>
      </c>
      <c r="H66" s="23" t="s">
        <v>1308</v>
      </c>
      <c r="I66" s="23" t="s">
        <v>1304</v>
      </c>
      <c r="J66" s="23">
        <f t="shared" ca="1" si="6"/>
        <v>2</v>
      </c>
      <c r="K66" s="23">
        <f t="shared" ca="1" si="3"/>
        <v>13</v>
      </c>
      <c r="L66" s="222">
        <v>1873128</v>
      </c>
      <c r="M66" s="222">
        <v>1810379</v>
      </c>
      <c r="N66" s="222">
        <v>125499</v>
      </c>
      <c r="O66" s="222">
        <v>1684880</v>
      </c>
      <c r="P66" s="61" t="s">
        <v>1288</v>
      </c>
    </row>
    <row r="67" spans="1:17">
      <c r="A67" s="23">
        <v>109</v>
      </c>
      <c r="B67" s="23" t="str">
        <f t="shared" si="4"/>
        <v>カーサ南池袋</v>
      </c>
      <c r="C67" s="23">
        <v>409</v>
      </c>
      <c r="D67" s="23" t="str">
        <f t="shared" si="5"/>
        <v>コアプラス四国株式会社</v>
      </c>
      <c r="E67" s="23" t="s">
        <v>205</v>
      </c>
      <c r="F67" s="23" t="s">
        <v>752</v>
      </c>
      <c r="G67" s="23" t="s">
        <v>1393</v>
      </c>
      <c r="H67" s="23" t="s">
        <v>1394</v>
      </c>
      <c r="I67" s="23" t="s">
        <v>1304</v>
      </c>
      <c r="J67" s="23">
        <f t="shared" ca="1" si="6"/>
        <v>2</v>
      </c>
      <c r="K67" s="23">
        <f t="shared" ca="1" si="3"/>
        <v>13</v>
      </c>
      <c r="L67" s="222">
        <v>541750</v>
      </c>
      <c r="M67" s="222">
        <v>526627</v>
      </c>
      <c r="N67" s="222">
        <v>36297</v>
      </c>
      <c r="O67" s="222">
        <v>490330</v>
      </c>
      <c r="P67" s="61" t="s">
        <v>1288</v>
      </c>
    </row>
    <row r="68" spans="1:17">
      <c r="A68" s="23">
        <v>109</v>
      </c>
      <c r="B68" s="23" t="str">
        <f t="shared" si="4"/>
        <v>カーサ南池袋</v>
      </c>
      <c r="C68" s="23">
        <v>409</v>
      </c>
      <c r="D68" s="23" t="str">
        <f t="shared" si="5"/>
        <v>コアプラス四国株式会社</v>
      </c>
      <c r="E68" s="23" t="s">
        <v>205</v>
      </c>
      <c r="F68" s="23" t="s">
        <v>752</v>
      </c>
      <c r="G68" s="23" t="s">
        <v>1388</v>
      </c>
      <c r="H68" s="23" t="s">
        <v>1378</v>
      </c>
      <c r="I68" s="23" t="s">
        <v>1304</v>
      </c>
      <c r="J68" s="23">
        <f t="shared" ca="1" si="6"/>
        <v>2</v>
      </c>
      <c r="K68" s="23">
        <f t="shared" ca="1" si="3"/>
        <v>13</v>
      </c>
      <c r="L68" s="222">
        <v>4073820</v>
      </c>
      <c r="M68" s="222">
        <v>3982839</v>
      </c>
      <c r="N68" s="222">
        <v>272945</v>
      </c>
      <c r="O68" s="222">
        <v>3709894</v>
      </c>
      <c r="P68" s="61" t="s">
        <v>1288</v>
      </c>
    </row>
    <row r="69" spans="1:17">
      <c r="A69" s="23">
        <v>109</v>
      </c>
      <c r="B69" s="23" t="str">
        <f t="shared" ref="B69:B100" si="7">VLOOKUP(A69,id_settings,2,FALSE)</f>
        <v>カーサ南池袋</v>
      </c>
      <c r="C69" s="23">
        <v>409</v>
      </c>
      <c r="D69" s="23" t="str">
        <f t="shared" ref="D69:D100" si="8">VLOOKUP(C69,id_settings,2,FALSE)</f>
        <v>コアプラス四国株式会社</v>
      </c>
      <c r="E69" s="23" t="s">
        <v>205</v>
      </c>
      <c r="F69" s="23" t="s">
        <v>752</v>
      </c>
      <c r="G69" s="23" t="s">
        <v>1395</v>
      </c>
      <c r="H69" s="23" t="s">
        <v>1378</v>
      </c>
      <c r="I69" s="23" t="s">
        <v>1304</v>
      </c>
      <c r="J69" s="23">
        <f t="shared" ref="J69:J100" ca="1" si="9">current_year-LEFT(H69,4)</f>
        <v>2</v>
      </c>
      <c r="K69" s="23">
        <f t="shared" ca="1" si="3"/>
        <v>13</v>
      </c>
      <c r="L69" s="222">
        <v>4304820</v>
      </c>
      <c r="M69" s="222">
        <v>4208680</v>
      </c>
      <c r="N69" s="222">
        <v>288422</v>
      </c>
      <c r="O69" s="222">
        <v>3920258</v>
      </c>
      <c r="P69" s="61" t="s">
        <v>1288</v>
      </c>
    </row>
    <row r="70" spans="1:17">
      <c r="A70" s="23">
        <v>109</v>
      </c>
      <c r="B70" s="23" t="str">
        <f t="shared" si="7"/>
        <v>カーサ南池袋</v>
      </c>
      <c r="C70" s="23">
        <v>409</v>
      </c>
      <c r="D70" s="23" t="str">
        <f t="shared" si="8"/>
        <v>コアプラス四国株式会社</v>
      </c>
      <c r="E70" s="23" t="s">
        <v>205</v>
      </c>
      <c r="F70" s="23" t="s">
        <v>752</v>
      </c>
      <c r="G70" s="23" t="s">
        <v>1396</v>
      </c>
      <c r="H70" s="23" t="s">
        <v>1378</v>
      </c>
      <c r="I70" s="23" t="s">
        <v>1304</v>
      </c>
      <c r="J70" s="23">
        <f t="shared" ca="1" si="9"/>
        <v>2</v>
      </c>
      <c r="K70" s="23">
        <f t="shared" ref="K70:K133" ca="1" si="10">IF(I70&lt;&gt;"",I70-J70,"")</f>
        <v>13</v>
      </c>
      <c r="L70" s="222">
        <v>745860</v>
      </c>
      <c r="M70" s="222">
        <v>729203</v>
      </c>
      <c r="N70" s="222">
        <v>49972</v>
      </c>
      <c r="O70" s="222">
        <v>679231</v>
      </c>
      <c r="P70" s="61" t="s">
        <v>1288</v>
      </c>
    </row>
    <row r="71" spans="1:17">
      <c r="A71" s="23">
        <v>109</v>
      </c>
      <c r="B71" s="23" t="str">
        <f t="shared" si="7"/>
        <v>カーサ南池袋</v>
      </c>
      <c r="C71" s="23">
        <v>409</v>
      </c>
      <c r="D71" s="23" t="str">
        <f t="shared" si="8"/>
        <v>コアプラス四国株式会社</v>
      </c>
      <c r="E71" s="23" t="s">
        <v>205</v>
      </c>
      <c r="F71" s="23" t="s">
        <v>752</v>
      </c>
      <c r="G71" s="23" t="s">
        <v>1397</v>
      </c>
      <c r="H71" s="23" t="s">
        <v>1398</v>
      </c>
      <c r="I71" s="23" t="s">
        <v>1304</v>
      </c>
      <c r="J71" s="23">
        <f t="shared" ca="1" si="9"/>
        <v>2</v>
      </c>
      <c r="K71" s="23">
        <f t="shared" ca="1" si="10"/>
        <v>13</v>
      </c>
      <c r="L71" s="222">
        <v>2865641</v>
      </c>
      <c r="M71" s="222">
        <v>2817642</v>
      </c>
      <c r="N71" s="222">
        <v>191997</v>
      </c>
      <c r="O71" s="222">
        <v>2625645</v>
      </c>
      <c r="P71" s="61" t="s">
        <v>1288</v>
      </c>
    </row>
    <row r="72" spans="1:17">
      <c r="A72" s="23">
        <v>111</v>
      </c>
      <c r="B72" s="23" t="str">
        <f t="shared" si="7"/>
        <v>目白カーサ二番館</v>
      </c>
      <c r="C72" s="23">
        <v>401</v>
      </c>
      <c r="D72" s="23" t="str">
        <f t="shared" si="8"/>
        <v>コアプラス東京株式会社</v>
      </c>
      <c r="E72" s="23" t="s">
        <v>204</v>
      </c>
      <c r="F72" s="23" t="s">
        <v>752</v>
      </c>
      <c r="G72" s="23" t="s">
        <v>1399</v>
      </c>
      <c r="H72" s="23" t="s">
        <v>1400</v>
      </c>
      <c r="I72" s="23" t="s">
        <v>1401</v>
      </c>
      <c r="J72" s="23">
        <f t="shared" ca="1" si="9"/>
        <v>7</v>
      </c>
      <c r="K72" s="23">
        <f t="shared" ca="1" si="10"/>
        <v>7</v>
      </c>
      <c r="L72" s="222">
        <v>59724146</v>
      </c>
      <c r="M72" s="222">
        <v>34281663</v>
      </c>
      <c r="N72" s="222">
        <v>4300138</v>
      </c>
      <c r="O72" s="222">
        <v>29981525</v>
      </c>
      <c r="P72" s="61" t="s">
        <v>1281</v>
      </c>
      <c r="Q72" s="23" t="s">
        <v>1289</v>
      </c>
    </row>
    <row r="73" spans="1:17">
      <c r="A73" s="23">
        <v>111</v>
      </c>
      <c r="B73" s="23" t="str">
        <f t="shared" si="7"/>
        <v>目白カーサ二番館</v>
      </c>
      <c r="C73" s="23">
        <v>401</v>
      </c>
      <c r="D73" s="23" t="str">
        <f t="shared" si="8"/>
        <v>コアプラス東京株式会社</v>
      </c>
      <c r="E73" s="23" t="s">
        <v>202</v>
      </c>
      <c r="F73" s="23" t="s">
        <v>1283</v>
      </c>
      <c r="G73" s="23" t="s">
        <v>1399</v>
      </c>
      <c r="H73" s="23" t="s">
        <v>1400</v>
      </c>
      <c r="I73" s="23" t="s">
        <v>1284</v>
      </c>
      <c r="J73" s="23">
        <f t="shared" ca="1" si="9"/>
        <v>7</v>
      </c>
      <c r="K73" s="23" t="str">
        <f t="shared" si="10"/>
        <v/>
      </c>
      <c r="L73" s="222">
        <v>252984606</v>
      </c>
      <c r="M73" s="222">
        <v>252984606</v>
      </c>
      <c r="N73" s="222"/>
      <c r="O73" s="222">
        <v>252984606</v>
      </c>
      <c r="P73" s="61" t="s">
        <v>1281</v>
      </c>
      <c r="Q73" s="23" t="s">
        <v>1289</v>
      </c>
    </row>
    <row r="74" spans="1:17">
      <c r="A74" s="23">
        <v>112</v>
      </c>
      <c r="B74" s="23" t="str">
        <f t="shared" si="7"/>
        <v>豊島目白ビル</v>
      </c>
      <c r="C74" s="23">
        <v>402</v>
      </c>
      <c r="D74" s="23" t="str">
        <f t="shared" si="8"/>
        <v>コアプラス名古屋株式会社</v>
      </c>
      <c r="E74" s="23" t="s">
        <v>204</v>
      </c>
      <c r="F74" s="23" t="s">
        <v>752</v>
      </c>
      <c r="G74" s="23" t="s">
        <v>1402</v>
      </c>
      <c r="H74" s="23" t="s">
        <v>1403</v>
      </c>
      <c r="I74" s="23" t="s">
        <v>1404</v>
      </c>
      <c r="J74" s="23">
        <f t="shared" ca="1" si="9"/>
        <v>7</v>
      </c>
      <c r="K74" s="23">
        <f t="shared" ca="1" si="10"/>
        <v>20</v>
      </c>
      <c r="L74" s="222">
        <v>126784406</v>
      </c>
      <c r="M74" s="222">
        <v>98680532</v>
      </c>
      <c r="N74" s="222">
        <v>4817807</v>
      </c>
      <c r="O74" s="222">
        <v>93862725</v>
      </c>
      <c r="P74" s="61" t="s">
        <v>1281</v>
      </c>
      <c r="Q74" s="23" t="s">
        <v>1405</v>
      </c>
    </row>
    <row r="75" spans="1:17">
      <c r="A75" s="23">
        <v>112</v>
      </c>
      <c r="B75" s="23" t="str">
        <f t="shared" si="7"/>
        <v>豊島目白ビル</v>
      </c>
      <c r="C75" s="23">
        <v>402</v>
      </c>
      <c r="D75" s="23" t="str">
        <f t="shared" si="8"/>
        <v>コアプラス名古屋株式会社</v>
      </c>
      <c r="E75" s="23" t="s">
        <v>202</v>
      </c>
      <c r="F75" s="23" t="s">
        <v>1283</v>
      </c>
      <c r="G75" s="23" t="s">
        <v>1402</v>
      </c>
      <c r="H75" s="23" t="s">
        <v>1403</v>
      </c>
      <c r="I75" s="23" t="s">
        <v>1284</v>
      </c>
      <c r="J75" s="23">
        <f t="shared" ca="1" si="9"/>
        <v>7</v>
      </c>
      <c r="K75" s="23" t="str">
        <f t="shared" si="10"/>
        <v/>
      </c>
      <c r="L75" s="222">
        <v>316421235</v>
      </c>
      <c r="M75" s="222">
        <v>316421235</v>
      </c>
      <c r="N75" s="222"/>
      <c r="O75" s="222">
        <v>316421235</v>
      </c>
      <c r="P75" s="61" t="s">
        <v>1281</v>
      </c>
      <c r="Q75" s="23" t="s">
        <v>1289</v>
      </c>
    </row>
    <row r="76" spans="1:17">
      <c r="A76" s="23">
        <v>113</v>
      </c>
      <c r="B76" s="23" t="str">
        <f t="shared" si="7"/>
        <v>第3目白ハイツ</v>
      </c>
      <c r="C76" s="23">
        <v>403</v>
      </c>
      <c r="D76" s="23" t="str">
        <f t="shared" si="8"/>
        <v>有限会社コアプラス2号</v>
      </c>
      <c r="E76" s="23" t="s">
        <v>204</v>
      </c>
      <c r="F76" s="23" t="s">
        <v>752</v>
      </c>
      <c r="G76" s="23" t="s">
        <v>1406</v>
      </c>
      <c r="H76" s="23" t="s">
        <v>1407</v>
      </c>
      <c r="I76" s="23" t="s">
        <v>1297</v>
      </c>
      <c r="J76" s="23">
        <f t="shared" ca="1" si="9"/>
        <v>7</v>
      </c>
      <c r="K76" s="23">
        <f t="shared" ca="1" si="10"/>
        <v>17</v>
      </c>
      <c r="L76" s="222">
        <v>149989486</v>
      </c>
      <c r="M76" s="222">
        <v>114816954</v>
      </c>
      <c r="N76" s="222">
        <v>6299558</v>
      </c>
      <c r="O76" s="222">
        <v>108517396</v>
      </c>
      <c r="P76" s="61" t="s">
        <v>1281</v>
      </c>
      <c r="Q76" s="23" t="s">
        <v>1408</v>
      </c>
    </row>
    <row r="77" spans="1:17">
      <c r="A77" s="23">
        <v>113</v>
      </c>
      <c r="B77" s="23" t="str">
        <f t="shared" si="7"/>
        <v>第3目白ハイツ</v>
      </c>
      <c r="C77" s="23">
        <v>403</v>
      </c>
      <c r="D77" s="23" t="str">
        <f t="shared" si="8"/>
        <v>有限会社コアプラス2号</v>
      </c>
      <c r="E77" s="23" t="s">
        <v>202</v>
      </c>
      <c r="F77" s="23" t="s">
        <v>1283</v>
      </c>
      <c r="G77" s="23" t="s">
        <v>1406</v>
      </c>
      <c r="H77" s="23" t="s">
        <v>1407</v>
      </c>
      <c r="I77" s="23" t="s">
        <v>1284</v>
      </c>
      <c r="J77" s="23">
        <f t="shared" ca="1" si="9"/>
        <v>7</v>
      </c>
      <c r="K77" s="23" t="str">
        <f t="shared" si="10"/>
        <v/>
      </c>
      <c r="L77" s="222">
        <v>335018465</v>
      </c>
      <c r="M77" s="222">
        <v>335018465</v>
      </c>
      <c r="N77" s="222"/>
      <c r="O77" s="222">
        <v>335018465</v>
      </c>
      <c r="P77" s="61" t="s">
        <v>1281</v>
      </c>
    </row>
    <row r="78" spans="1:17">
      <c r="A78" s="23">
        <v>113</v>
      </c>
      <c r="B78" s="23" t="str">
        <f t="shared" si="7"/>
        <v>第3目白ハイツ</v>
      </c>
      <c r="C78" s="23">
        <v>403</v>
      </c>
      <c r="D78" s="23" t="str">
        <f t="shared" si="8"/>
        <v>有限会社コアプラス2号</v>
      </c>
      <c r="E78" s="23" t="s">
        <v>206</v>
      </c>
      <c r="F78" s="23" t="s">
        <v>752</v>
      </c>
      <c r="G78" s="23" t="s">
        <v>1409</v>
      </c>
      <c r="H78" s="23" t="s">
        <v>1410</v>
      </c>
      <c r="I78" s="23" t="s">
        <v>1304</v>
      </c>
      <c r="J78" s="23">
        <f t="shared" ca="1" si="9"/>
        <v>4</v>
      </c>
      <c r="K78" s="23">
        <f t="shared" ca="1" si="10"/>
        <v>11</v>
      </c>
      <c r="L78" s="222">
        <v>2268000</v>
      </c>
      <c r="M78" s="222">
        <v>1888110</v>
      </c>
      <c r="N78" s="222">
        <v>151956</v>
      </c>
      <c r="O78" s="222">
        <v>1736154</v>
      </c>
      <c r="P78" s="61" t="s">
        <v>1288</v>
      </c>
      <c r="Q78" s="23" t="s">
        <v>1289</v>
      </c>
    </row>
    <row r="79" spans="1:17">
      <c r="A79" s="23">
        <v>113</v>
      </c>
      <c r="B79" s="23" t="str">
        <f t="shared" si="7"/>
        <v>第3目白ハイツ</v>
      </c>
      <c r="C79" s="23">
        <v>403</v>
      </c>
      <c r="D79" s="23" t="str">
        <f t="shared" si="8"/>
        <v>有限会社コアプラス2号</v>
      </c>
      <c r="E79" s="23" t="s">
        <v>205</v>
      </c>
      <c r="F79" s="23" t="s">
        <v>752</v>
      </c>
      <c r="G79" s="23" t="s">
        <v>1411</v>
      </c>
      <c r="H79" s="23" t="s">
        <v>1412</v>
      </c>
      <c r="I79" s="23" t="s">
        <v>1304</v>
      </c>
      <c r="J79" s="23">
        <f t="shared" ca="1" si="9"/>
        <v>2</v>
      </c>
      <c r="K79" s="23">
        <f t="shared" ca="1" si="10"/>
        <v>13</v>
      </c>
      <c r="L79" s="222">
        <v>1651230</v>
      </c>
      <c r="M79" s="222">
        <v>1559037</v>
      </c>
      <c r="N79" s="222">
        <v>110632</v>
      </c>
      <c r="O79" s="222">
        <v>1448405</v>
      </c>
      <c r="P79" s="61" t="s">
        <v>1288</v>
      </c>
      <c r="Q79" s="23" t="s">
        <v>1289</v>
      </c>
    </row>
    <row r="80" spans="1:17">
      <c r="A80" s="23">
        <v>113</v>
      </c>
      <c r="B80" s="23" t="str">
        <f t="shared" si="7"/>
        <v>第3目白ハイツ</v>
      </c>
      <c r="C80" s="23">
        <v>403</v>
      </c>
      <c r="D80" s="23" t="str">
        <f t="shared" si="8"/>
        <v>有限会社コアプラス2号</v>
      </c>
      <c r="E80" s="23" t="s">
        <v>205</v>
      </c>
      <c r="F80" s="23" t="s">
        <v>752</v>
      </c>
      <c r="G80" s="23" t="s">
        <v>1413</v>
      </c>
      <c r="H80" s="23" t="s">
        <v>1414</v>
      </c>
      <c r="I80" s="23" t="s">
        <v>1304</v>
      </c>
      <c r="J80" s="23">
        <f t="shared" ca="1" si="9"/>
        <v>2</v>
      </c>
      <c r="K80" s="23">
        <f t="shared" ca="1" si="10"/>
        <v>13</v>
      </c>
      <c r="L80" s="222">
        <v>1928328</v>
      </c>
      <c r="M80" s="222">
        <v>1852963</v>
      </c>
      <c r="N80" s="222">
        <v>129197</v>
      </c>
      <c r="O80" s="222">
        <v>1723766</v>
      </c>
      <c r="P80" s="61" t="s">
        <v>1288</v>
      </c>
      <c r="Q80" s="23" t="s">
        <v>1289</v>
      </c>
    </row>
    <row r="81" spans="1:17">
      <c r="A81" s="23">
        <v>113</v>
      </c>
      <c r="B81" s="23" t="str">
        <f t="shared" si="7"/>
        <v>第3目白ハイツ</v>
      </c>
      <c r="C81" s="23">
        <v>403</v>
      </c>
      <c r="D81" s="23" t="str">
        <f t="shared" si="8"/>
        <v>有限会社コアプラス2号</v>
      </c>
      <c r="E81" s="23" t="s">
        <v>205</v>
      </c>
      <c r="F81" s="23" t="s">
        <v>752</v>
      </c>
      <c r="G81" s="23" t="s">
        <v>1415</v>
      </c>
      <c r="H81" s="23" t="s">
        <v>1414</v>
      </c>
      <c r="I81" s="23" t="s">
        <v>1304</v>
      </c>
      <c r="J81" s="23">
        <f t="shared" ca="1" si="9"/>
        <v>2</v>
      </c>
      <c r="K81" s="23">
        <f t="shared" ca="1" si="10"/>
        <v>13</v>
      </c>
      <c r="L81" s="222">
        <v>1523875</v>
      </c>
      <c r="M81" s="222">
        <v>1464317</v>
      </c>
      <c r="N81" s="222">
        <v>102099</v>
      </c>
      <c r="O81" s="222">
        <v>1362218</v>
      </c>
      <c r="P81" s="61" t="s">
        <v>1288</v>
      </c>
      <c r="Q81" s="23" t="s">
        <v>1289</v>
      </c>
    </row>
    <row r="82" spans="1:17">
      <c r="A82" s="23">
        <v>113</v>
      </c>
      <c r="B82" s="23" t="str">
        <f t="shared" si="7"/>
        <v>第3目白ハイツ</v>
      </c>
      <c r="C82" s="23">
        <v>403</v>
      </c>
      <c r="D82" s="23" t="str">
        <f t="shared" si="8"/>
        <v>有限会社コアプラス2号</v>
      </c>
      <c r="E82" s="23" t="s">
        <v>205</v>
      </c>
      <c r="F82" s="23" t="s">
        <v>752</v>
      </c>
      <c r="G82" s="23" t="s">
        <v>1416</v>
      </c>
      <c r="H82" s="23" t="s">
        <v>1417</v>
      </c>
      <c r="I82" s="23" t="s">
        <v>1304</v>
      </c>
      <c r="J82" s="23">
        <f t="shared" ca="1" si="9"/>
        <v>2</v>
      </c>
      <c r="K82" s="23">
        <f t="shared" ca="1" si="10"/>
        <v>13</v>
      </c>
      <c r="L82" s="222">
        <v>1732160</v>
      </c>
      <c r="M82" s="222">
        <v>1674133</v>
      </c>
      <c r="N82" s="222">
        <v>116054</v>
      </c>
      <c r="O82" s="222">
        <v>1558079</v>
      </c>
      <c r="P82" s="61" t="s">
        <v>1288</v>
      </c>
      <c r="Q82" s="23" t="s">
        <v>1289</v>
      </c>
    </row>
    <row r="83" spans="1:17">
      <c r="A83" s="23">
        <v>113</v>
      </c>
      <c r="B83" s="23" t="str">
        <f t="shared" si="7"/>
        <v>第3目白ハイツ</v>
      </c>
      <c r="C83" s="23">
        <v>403</v>
      </c>
      <c r="D83" s="23" t="str">
        <f t="shared" si="8"/>
        <v>有限会社コアプラス2号</v>
      </c>
      <c r="E83" s="23" t="s">
        <v>205</v>
      </c>
      <c r="F83" s="23" t="s">
        <v>752</v>
      </c>
      <c r="G83" s="23" t="s">
        <v>1418</v>
      </c>
      <c r="H83" s="23" t="s">
        <v>1417</v>
      </c>
      <c r="I83" s="23" t="s">
        <v>1304</v>
      </c>
      <c r="J83" s="23">
        <f t="shared" ca="1" si="9"/>
        <v>2</v>
      </c>
      <c r="K83" s="23">
        <f t="shared" ca="1" si="10"/>
        <v>13</v>
      </c>
      <c r="L83" s="222">
        <v>1903695</v>
      </c>
      <c r="M83" s="222">
        <v>1839922</v>
      </c>
      <c r="N83" s="222">
        <v>127547</v>
      </c>
      <c r="O83" s="222">
        <v>1712375</v>
      </c>
      <c r="P83" s="61" t="s">
        <v>1288</v>
      </c>
      <c r="Q83" s="23" t="s">
        <v>1289</v>
      </c>
    </row>
    <row r="84" spans="1:17">
      <c r="A84" s="23">
        <v>113</v>
      </c>
      <c r="B84" s="23" t="str">
        <f t="shared" si="7"/>
        <v>第3目白ハイツ</v>
      </c>
      <c r="C84" s="23">
        <v>403</v>
      </c>
      <c r="D84" s="23" t="str">
        <f t="shared" si="8"/>
        <v>有限会社コアプラス2号</v>
      </c>
      <c r="E84" s="23" t="s">
        <v>205</v>
      </c>
      <c r="F84" s="23" t="s">
        <v>752</v>
      </c>
      <c r="G84" s="23" t="s">
        <v>1419</v>
      </c>
      <c r="H84" s="23" t="s">
        <v>1420</v>
      </c>
      <c r="I84" s="23" t="s">
        <v>1304</v>
      </c>
      <c r="J84" s="23">
        <f t="shared" ca="1" si="9"/>
        <v>2</v>
      </c>
      <c r="K84" s="23">
        <f t="shared" ca="1" si="10"/>
        <v>13</v>
      </c>
      <c r="L84" s="222">
        <v>2371294</v>
      </c>
      <c r="M84" s="222">
        <v>2305096</v>
      </c>
      <c r="N84" s="222">
        <v>158876</v>
      </c>
      <c r="O84" s="222">
        <v>2146220</v>
      </c>
      <c r="P84" s="61" t="s">
        <v>1288</v>
      </c>
      <c r="Q84" s="23" t="s">
        <v>1289</v>
      </c>
    </row>
    <row r="85" spans="1:17">
      <c r="A85" s="23">
        <v>114</v>
      </c>
      <c r="B85" s="23" t="str">
        <f t="shared" si="7"/>
        <v>レジデンス目白豊島</v>
      </c>
      <c r="C85" s="23">
        <v>404</v>
      </c>
      <c r="D85" s="23" t="str">
        <f t="shared" si="8"/>
        <v>コアプラス大阪株式会社</v>
      </c>
      <c r="E85" s="23" t="s">
        <v>204</v>
      </c>
      <c r="F85" s="23" t="s">
        <v>752</v>
      </c>
      <c r="G85" s="23" t="s">
        <v>1421</v>
      </c>
      <c r="H85" s="23" t="s">
        <v>1422</v>
      </c>
      <c r="I85" s="23" t="s">
        <v>1319</v>
      </c>
      <c r="J85" s="23">
        <f t="shared" ca="1" si="9"/>
        <v>7</v>
      </c>
      <c r="K85" s="23">
        <f t="shared" ca="1" si="10"/>
        <v>19</v>
      </c>
      <c r="L85" s="222">
        <v>52665555</v>
      </c>
      <c r="M85" s="222">
        <v>41539960</v>
      </c>
      <c r="N85" s="222">
        <v>2053956</v>
      </c>
      <c r="O85" s="222">
        <v>39486004</v>
      </c>
      <c r="P85" s="61" t="s">
        <v>1281</v>
      </c>
      <c r="Q85" s="23" t="s">
        <v>1408</v>
      </c>
    </row>
    <row r="86" spans="1:17">
      <c r="A86" s="23">
        <v>114</v>
      </c>
      <c r="B86" s="23" t="str">
        <f t="shared" si="7"/>
        <v>レジデンス目白豊島</v>
      </c>
      <c r="C86" s="23">
        <v>404</v>
      </c>
      <c r="D86" s="23" t="str">
        <f t="shared" si="8"/>
        <v>コアプラス大阪株式会社</v>
      </c>
      <c r="E86" s="23" t="s">
        <v>202</v>
      </c>
      <c r="F86" s="23" t="s">
        <v>1283</v>
      </c>
      <c r="G86" s="23" t="s">
        <v>1421</v>
      </c>
      <c r="H86" s="23" t="s">
        <v>1422</v>
      </c>
      <c r="I86" s="23" t="s">
        <v>1284</v>
      </c>
      <c r="J86" s="23">
        <f t="shared" ca="1" si="9"/>
        <v>7</v>
      </c>
      <c r="K86" s="23" t="str">
        <f t="shared" si="10"/>
        <v/>
      </c>
      <c r="L86" s="222">
        <v>154821009</v>
      </c>
      <c r="M86" s="222">
        <v>154821009</v>
      </c>
      <c r="N86" s="222"/>
      <c r="O86" s="222">
        <v>154821009</v>
      </c>
      <c r="P86" s="61" t="s">
        <v>1281</v>
      </c>
    </row>
    <row r="87" spans="1:17">
      <c r="A87" s="23">
        <v>114</v>
      </c>
      <c r="B87" s="23" t="str">
        <f t="shared" si="7"/>
        <v>レジデンス目白豊島</v>
      </c>
      <c r="C87" s="23">
        <v>404</v>
      </c>
      <c r="D87" s="23" t="str">
        <f t="shared" si="8"/>
        <v>コアプラス大阪株式会社</v>
      </c>
      <c r="E87" s="23" t="s">
        <v>204</v>
      </c>
      <c r="F87" s="23" t="s">
        <v>752</v>
      </c>
      <c r="G87" s="23" t="s">
        <v>1423</v>
      </c>
      <c r="H87" s="23" t="s">
        <v>1389</v>
      </c>
      <c r="I87" s="23" t="s">
        <v>1319</v>
      </c>
      <c r="J87" s="23">
        <f t="shared" ca="1" si="9"/>
        <v>7</v>
      </c>
      <c r="K87" s="23">
        <f t="shared" ca="1" si="10"/>
        <v>19</v>
      </c>
      <c r="L87" s="222">
        <v>1550000</v>
      </c>
      <c r="M87" s="222">
        <v>1242713</v>
      </c>
      <c r="N87" s="222">
        <v>60450</v>
      </c>
      <c r="O87" s="222">
        <v>1182263</v>
      </c>
      <c r="P87" s="61" t="s">
        <v>1288</v>
      </c>
      <c r="Q87" s="23" t="s">
        <v>1289</v>
      </c>
    </row>
    <row r="88" spans="1:17">
      <c r="A88" s="23">
        <v>115</v>
      </c>
      <c r="B88" s="23" t="str">
        <f t="shared" si="7"/>
        <v>コアプラス大塚</v>
      </c>
      <c r="C88" s="23">
        <v>405</v>
      </c>
      <c r="D88" s="23" t="str">
        <f t="shared" si="8"/>
        <v>コアプラス仙台株式会社</v>
      </c>
      <c r="E88" s="23" t="s">
        <v>204</v>
      </c>
      <c r="F88" s="23" t="s">
        <v>752</v>
      </c>
      <c r="G88" s="23" t="s">
        <v>1424</v>
      </c>
      <c r="H88" s="23" t="s">
        <v>1425</v>
      </c>
      <c r="I88" s="23" t="s">
        <v>1426</v>
      </c>
      <c r="J88" s="23">
        <f t="shared" ca="1" si="9"/>
        <v>6</v>
      </c>
      <c r="K88" s="23">
        <f t="shared" ca="1" si="10"/>
        <v>27</v>
      </c>
      <c r="L88" s="222">
        <v>250772634</v>
      </c>
      <c r="M88" s="222">
        <v>213808751</v>
      </c>
      <c r="N88" s="222">
        <v>7773951</v>
      </c>
      <c r="O88" s="222">
        <v>206034800</v>
      </c>
      <c r="P88" s="61" t="s">
        <v>1281</v>
      </c>
      <c r="Q88" s="23" t="s">
        <v>1405</v>
      </c>
    </row>
    <row r="89" spans="1:17">
      <c r="A89" s="23">
        <v>115</v>
      </c>
      <c r="B89" s="23" t="str">
        <f t="shared" si="7"/>
        <v>コアプラス大塚</v>
      </c>
      <c r="C89" s="23">
        <v>405</v>
      </c>
      <c r="D89" s="23" t="str">
        <f t="shared" si="8"/>
        <v>コアプラス仙台株式会社</v>
      </c>
      <c r="E89" s="23" t="s">
        <v>202</v>
      </c>
      <c r="F89" s="23" t="s">
        <v>1283</v>
      </c>
      <c r="G89" s="23" t="s">
        <v>1424</v>
      </c>
      <c r="H89" s="23" t="s">
        <v>1425</v>
      </c>
      <c r="I89" s="23" t="s">
        <v>1284</v>
      </c>
      <c r="J89" s="23">
        <f t="shared" ca="1" si="9"/>
        <v>6</v>
      </c>
      <c r="K89" s="23" t="str">
        <f t="shared" si="10"/>
        <v/>
      </c>
      <c r="L89" s="222">
        <v>300927161</v>
      </c>
      <c r="M89" s="222">
        <v>300927161</v>
      </c>
      <c r="N89" s="222"/>
      <c r="O89" s="222">
        <v>300927161</v>
      </c>
      <c r="P89" s="61" t="s">
        <v>1281</v>
      </c>
      <c r="Q89" s="23" t="s">
        <v>1289</v>
      </c>
    </row>
    <row r="90" spans="1:17">
      <c r="A90" s="23">
        <v>116</v>
      </c>
      <c r="B90" s="23" t="str">
        <f t="shared" si="7"/>
        <v>コアプラスレジデンス梅田</v>
      </c>
      <c r="C90" s="23">
        <v>406</v>
      </c>
      <c r="D90" s="23" t="str">
        <f t="shared" si="8"/>
        <v>コアプラス札幌株式会社</v>
      </c>
      <c r="E90" s="23" t="s">
        <v>204</v>
      </c>
      <c r="F90" s="23" t="s">
        <v>752</v>
      </c>
      <c r="G90" s="23" t="s">
        <v>1427</v>
      </c>
      <c r="H90" s="23" t="s">
        <v>1428</v>
      </c>
      <c r="I90" s="23" t="s">
        <v>1429</v>
      </c>
      <c r="J90" s="23">
        <f t="shared" ca="1" si="9"/>
        <v>6</v>
      </c>
      <c r="K90" s="23">
        <f t="shared" ca="1" si="10"/>
        <v>19</v>
      </c>
      <c r="L90" s="222">
        <v>147620954</v>
      </c>
      <c r="M90" s="222">
        <v>119484401</v>
      </c>
      <c r="N90" s="222">
        <v>5904838</v>
      </c>
      <c r="O90" s="222">
        <v>113579563</v>
      </c>
      <c r="P90" s="61" t="s">
        <v>1281</v>
      </c>
      <c r="Q90" s="23" t="s">
        <v>1430</v>
      </c>
    </row>
    <row r="91" spans="1:17">
      <c r="A91" s="23">
        <v>116</v>
      </c>
      <c r="B91" s="23" t="str">
        <f t="shared" si="7"/>
        <v>コアプラスレジデンス梅田</v>
      </c>
      <c r="C91" s="23">
        <v>406</v>
      </c>
      <c r="D91" s="23" t="str">
        <f t="shared" si="8"/>
        <v>コアプラス札幌株式会社</v>
      </c>
      <c r="E91" s="23" t="s">
        <v>202</v>
      </c>
      <c r="F91" s="23" t="s">
        <v>1283</v>
      </c>
      <c r="G91" s="23" t="s">
        <v>1427</v>
      </c>
      <c r="H91" s="23" t="s">
        <v>1428</v>
      </c>
      <c r="I91" s="23" t="s">
        <v>1284</v>
      </c>
      <c r="J91" s="23">
        <f t="shared" ca="1" si="9"/>
        <v>6</v>
      </c>
      <c r="K91" s="23" t="str">
        <f t="shared" si="10"/>
        <v/>
      </c>
      <c r="L91" s="222">
        <v>211645475</v>
      </c>
      <c r="M91" s="222">
        <v>211645475</v>
      </c>
      <c r="N91" s="222"/>
      <c r="O91" s="222">
        <v>211645475</v>
      </c>
      <c r="P91" s="61" t="s">
        <v>1281</v>
      </c>
      <c r="Q91" s="23" t="s">
        <v>1289</v>
      </c>
    </row>
    <row r="92" spans="1:17">
      <c r="A92" s="23">
        <v>116</v>
      </c>
      <c r="B92" s="23" t="str">
        <f t="shared" si="7"/>
        <v>コアプラスレジデンス梅田</v>
      </c>
      <c r="C92" s="23">
        <v>406</v>
      </c>
      <c r="D92" s="23" t="str">
        <f t="shared" si="8"/>
        <v>コアプラス札幌株式会社</v>
      </c>
      <c r="E92" s="23" t="s">
        <v>204</v>
      </c>
      <c r="F92" s="23" t="s">
        <v>752</v>
      </c>
      <c r="G92" s="23" t="s">
        <v>1431</v>
      </c>
      <c r="H92" s="23" t="s">
        <v>1432</v>
      </c>
      <c r="I92" s="23" t="s">
        <v>1429</v>
      </c>
      <c r="J92" s="23">
        <f t="shared" ca="1" si="9"/>
        <v>6</v>
      </c>
      <c r="K92" s="23">
        <f t="shared" ca="1" si="10"/>
        <v>19</v>
      </c>
      <c r="L92" s="222">
        <v>22749200</v>
      </c>
      <c r="M92" s="222">
        <v>18722592</v>
      </c>
      <c r="N92" s="222">
        <v>909968</v>
      </c>
      <c r="O92" s="222">
        <v>17812624</v>
      </c>
      <c r="P92" s="61" t="s">
        <v>1288</v>
      </c>
      <c r="Q92" s="23" t="s">
        <v>1289</v>
      </c>
    </row>
    <row r="93" spans="1:17">
      <c r="A93" s="23">
        <v>116</v>
      </c>
      <c r="B93" s="23" t="str">
        <f t="shared" si="7"/>
        <v>コアプラスレジデンス梅田</v>
      </c>
      <c r="C93" s="23">
        <v>406</v>
      </c>
      <c r="D93" s="23" t="str">
        <f t="shared" si="8"/>
        <v>コアプラス札幌株式会社</v>
      </c>
      <c r="E93" s="23" t="s">
        <v>204</v>
      </c>
      <c r="F93" s="23" t="s">
        <v>752</v>
      </c>
      <c r="G93" s="23" t="s">
        <v>1433</v>
      </c>
      <c r="H93" s="23" t="s">
        <v>1434</v>
      </c>
      <c r="I93" s="23" t="s">
        <v>1304</v>
      </c>
      <c r="J93" s="23">
        <f t="shared" ca="1" si="9"/>
        <v>5</v>
      </c>
      <c r="K93" s="23">
        <f t="shared" ca="1" si="10"/>
        <v>10</v>
      </c>
      <c r="L93" s="222">
        <v>1089640</v>
      </c>
      <c r="M93" s="222">
        <v>815871</v>
      </c>
      <c r="N93" s="222">
        <v>73005</v>
      </c>
      <c r="O93" s="222">
        <v>742866</v>
      </c>
      <c r="P93" s="61" t="s">
        <v>1288</v>
      </c>
      <c r="Q93" s="23" t="s">
        <v>1289</v>
      </c>
    </row>
    <row r="94" spans="1:17">
      <c r="A94" s="23">
        <v>116</v>
      </c>
      <c r="B94" s="23" t="str">
        <f t="shared" si="7"/>
        <v>コアプラスレジデンス梅田</v>
      </c>
      <c r="C94" s="23">
        <v>406</v>
      </c>
      <c r="D94" s="23" t="str">
        <f t="shared" si="8"/>
        <v>コアプラス札幌株式会社</v>
      </c>
      <c r="E94" s="23" t="s">
        <v>203</v>
      </c>
      <c r="F94" s="23" t="s">
        <v>753</v>
      </c>
      <c r="G94" s="23" t="s">
        <v>1435</v>
      </c>
      <c r="H94" s="23" t="s">
        <v>1436</v>
      </c>
      <c r="I94" s="23" t="s">
        <v>1294</v>
      </c>
      <c r="J94" s="23">
        <f t="shared" ca="1" si="9"/>
        <v>4</v>
      </c>
      <c r="K94" s="23">
        <f t="shared" ca="1" si="10"/>
        <v>6</v>
      </c>
      <c r="L94" s="222">
        <v>778248</v>
      </c>
      <c r="M94" s="222">
        <v>415066</v>
      </c>
      <c r="N94" s="222">
        <v>83013</v>
      </c>
      <c r="O94" s="222">
        <v>332053</v>
      </c>
      <c r="P94" s="61" t="s">
        <v>1288</v>
      </c>
      <c r="Q94" s="23" t="s">
        <v>1289</v>
      </c>
    </row>
    <row r="95" spans="1:17">
      <c r="A95" s="23">
        <v>116</v>
      </c>
      <c r="B95" s="23" t="str">
        <f t="shared" si="7"/>
        <v>コアプラスレジデンス梅田</v>
      </c>
      <c r="C95" s="23">
        <v>406</v>
      </c>
      <c r="D95" s="23" t="str">
        <f t="shared" si="8"/>
        <v>コアプラス札幌株式会社</v>
      </c>
      <c r="E95" s="23" t="s">
        <v>204</v>
      </c>
      <c r="F95" s="23" t="s">
        <v>752</v>
      </c>
      <c r="G95" s="23" t="s">
        <v>1437</v>
      </c>
      <c r="H95" s="23" t="s">
        <v>1438</v>
      </c>
      <c r="I95" s="23" t="s">
        <v>1304</v>
      </c>
      <c r="J95" s="23">
        <f t="shared" ca="1" si="9"/>
        <v>4</v>
      </c>
      <c r="K95" s="23">
        <f t="shared" ca="1" si="10"/>
        <v>11</v>
      </c>
      <c r="L95" s="222">
        <v>229060</v>
      </c>
      <c r="M95" s="222">
        <v>188135</v>
      </c>
      <c r="N95" s="222">
        <v>15347</v>
      </c>
      <c r="O95" s="222">
        <v>172788</v>
      </c>
      <c r="P95" s="61" t="s">
        <v>1288</v>
      </c>
      <c r="Q95" s="23" t="s">
        <v>1289</v>
      </c>
    </row>
    <row r="96" spans="1:17">
      <c r="A96" s="23">
        <v>116</v>
      </c>
      <c r="B96" s="23" t="str">
        <f t="shared" si="7"/>
        <v>コアプラスレジデンス梅田</v>
      </c>
      <c r="C96" s="23">
        <v>406</v>
      </c>
      <c r="D96" s="23" t="str">
        <f t="shared" si="8"/>
        <v>コアプラス札幌株式会社</v>
      </c>
      <c r="E96" s="23" t="s">
        <v>204</v>
      </c>
      <c r="F96" s="23" t="s">
        <v>752</v>
      </c>
      <c r="G96" s="23" t="s">
        <v>1439</v>
      </c>
      <c r="H96" s="23" t="s">
        <v>1440</v>
      </c>
      <c r="I96" s="23" t="s">
        <v>1304</v>
      </c>
      <c r="J96" s="23">
        <f t="shared" ca="1" si="9"/>
        <v>4</v>
      </c>
      <c r="K96" s="23">
        <f t="shared" ca="1" si="10"/>
        <v>11</v>
      </c>
      <c r="L96" s="222">
        <v>533392</v>
      </c>
      <c r="M96" s="222">
        <v>444050</v>
      </c>
      <c r="N96" s="222">
        <v>35737</v>
      </c>
      <c r="O96" s="222">
        <v>408313</v>
      </c>
      <c r="P96" s="61" t="s">
        <v>1288</v>
      </c>
      <c r="Q96" s="23" t="s">
        <v>1289</v>
      </c>
    </row>
    <row r="97" spans="1:17">
      <c r="A97" s="23">
        <v>116</v>
      </c>
      <c r="B97" s="23" t="str">
        <f t="shared" si="7"/>
        <v>コアプラスレジデンス梅田</v>
      </c>
      <c r="C97" s="23">
        <v>406</v>
      </c>
      <c r="D97" s="23" t="str">
        <f t="shared" si="8"/>
        <v>コアプラス札幌株式会社</v>
      </c>
      <c r="E97" s="23" t="s">
        <v>204</v>
      </c>
      <c r="F97" s="23" t="s">
        <v>752</v>
      </c>
      <c r="G97" s="23" t="s">
        <v>1441</v>
      </c>
      <c r="H97" s="23" t="s">
        <v>1442</v>
      </c>
      <c r="I97" s="23" t="s">
        <v>1304</v>
      </c>
      <c r="J97" s="23">
        <f t="shared" ca="1" si="9"/>
        <v>4</v>
      </c>
      <c r="K97" s="23">
        <f t="shared" ca="1" si="10"/>
        <v>11</v>
      </c>
      <c r="L97" s="222">
        <v>703670</v>
      </c>
      <c r="M97" s="222">
        <v>601523</v>
      </c>
      <c r="N97" s="222">
        <v>47145</v>
      </c>
      <c r="O97" s="222">
        <v>554378</v>
      </c>
      <c r="P97" s="61" t="s">
        <v>1288</v>
      </c>
      <c r="Q97" s="23" t="s">
        <v>1289</v>
      </c>
    </row>
    <row r="98" spans="1:17">
      <c r="A98" s="23">
        <v>116</v>
      </c>
      <c r="B98" s="23" t="str">
        <f t="shared" si="7"/>
        <v>コアプラスレジデンス梅田</v>
      </c>
      <c r="C98" s="23">
        <v>406</v>
      </c>
      <c r="D98" s="23" t="str">
        <f t="shared" si="8"/>
        <v>コアプラス札幌株式会社</v>
      </c>
      <c r="E98" s="23" t="s">
        <v>204</v>
      </c>
      <c r="F98" s="23" t="s">
        <v>752</v>
      </c>
      <c r="G98" s="23" t="s">
        <v>1443</v>
      </c>
      <c r="H98" s="23" t="s">
        <v>1444</v>
      </c>
      <c r="I98" s="23" t="s">
        <v>1304</v>
      </c>
      <c r="J98" s="23">
        <f t="shared" ca="1" si="9"/>
        <v>4</v>
      </c>
      <c r="K98" s="23">
        <f t="shared" ca="1" si="10"/>
        <v>11</v>
      </c>
      <c r="L98" s="222">
        <v>565380</v>
      </c>
      <c r="M98" s="222">
        <v>486464</v>
      </c>
      <c r="N98" s="222">
        <v>37880</v>
      </c>
      <c r="O98" s="222">
        <v>448584</v>
      </c>
      <c r="P98" s="61" t="s">
        <v>1288</v>
      </c>
      <c r="Q98" s="23" t="s">
        <v>1289</v>
      </c>
    </row>
    <row r="99" spans="1:17">
      <c r="A99" s="23">
        <v>116</v>
      </c>
      <c r="B99" s="23" t="str">
        <f t="shared" si="7"/>
        <v>コアプラスレジデンス梅田</v>
      </c>
      <c r="C99" s="23">
        <v>406</v>
      </c>
      <c r="D99" s="23" t="str">
        <f t="shared" si="8"/>
        <v>コアプラス札幌株式会社</v>
      </c>
      <c r="E99" s="23" t="s">
        <v>204</v>
      </c>
      <c r="F99" s="23" t="s">
        <v>752</v>
      </c>
      <c r="G99" s="23" t="s">
        <v>1445</v>
      </c>
      <c r="H99" s="23" t="s">
        <v>1446</v>
      </c>
      <c r="I99" s="23" t="s">
        <v>1304</v>
      </c>
      <c r="J99" s="23">
        <f t="shared" ca="1" si="9"/>
        <v>4</v>
      </c>
      <c r="K99" s="23">
        <f t="shared" ca="1" si="10"/>
        <v>11</v>
      </c>
      <c r="L99" s="222">
        <v>746900</v>
      </c>
      <c r="M99" s="222">
        <v>642646</v>
      </c>
      <c r="N99" s="222">
        <v>50042</v>
      </c>
      <c r="O99" s="222">
        <v>592604</v>
      </c>
      <c r="P99" s="61" t="s">
        <v>1288</v>
      </c>
      <c r="Q99" s="23" t="s">
        <v>1289</v>
      </c>
    </row>
    <row r="100" spans="1:17">
      <c r="A100" s="23">
        <v>116</v>
      </c>
      <c r="B100" s="23" t="str">
        <f t="shared" si="7"/>
        <v>コアプラスレジデンス梅田</v>
      </c>
      <c r="C100" s="23">
        <v>406</v>
      </c>
      <c r="D100" s="23" t="str">
        <f t="shared" si="8"/>
        <v>コアプラス札幌株式会社</v>
      </c>
      <c r="E100" s="23" t="s">
        <v>205</v>
      </c>
      <c r="F100" s="23" t="s">
        <v>752</v>
      </c>
      <c r="G100" s="23" t="s">
        <v>1447</v>
      </c>
      <c r="H100" s="23" t="s">
        <v>1448</v>
      </c>
      <c r="I100" s="23" t="s">
        <v>1304</v>
      </c>
      <c r="J100" s="23">
        <f t="shared" ca="1" si="9"/>
        <v>2</v>
      </c>
      <c r="K100" s="23">
        <f t="shared" ca="1" si="10"/>
        <v>13</v>
      </c>
      <c r="L100" s="222">
        <v>182050</v>
      </c>
      <c r="M100" s="222">
        <v>169853</v>
      </c>
      <c r="N100" s="222">
        <v>12197</v>
      </c>
      <c r="O100" s="222">
        <v>157656</v>
      </c>
      <c r="P100" s="61" t="s">
        <v>1288</v>
      </c>
      <c r="Q100" s="23" t="s">
        <v>1289</v>
      </c>
    </row>
    <row r="101" spans="1:17">
      <c r="A101" s="23">
        <v>116</v>
      </c>
      <c r="B101" s="23" t="str">
        <f t="shared" ref="B101:B132" si="11">VLOOKUP(A101,id_settings,2,FALSE)</f>
        <v>コアプラスレジデンス梅田</v>
      </c>
      <c r="C101" s="23">
        <v>406</v>
      </c>
      <c r="D101" s="23" t="str">
        <f t="shared" ref="D101:D132" si="12">VLOOKUP(C101,id_settings,2,FALSE)</f>
        <v>コアプラス札幌株式会社</v>
      </c>
      <c r="E101" s="23" t="s">
        <v>205</v>
      </c>
      <c r="F101" s="23" t="s">
        <v>752</v>
      </c>
      <c r="G101" s="23" t="s">
        <v>1449</v>
      </c>
      <c r="H101" s="23" t="s">
        <v>1450</v>
      </c>
      <c r="I101" s="23" t="s">
        <v>1304</v>
      </c>
      <c r="J101" s="23">
        <f t="shared" ref="J101:J132" ca="1" si="13">current_year-LEFT(H101,4)</f>
        <v>2</v>
      </c>
      <c r="K101" s="23">
        <f t="shared" ca="1" si="10"/>
        <v>13</v>
      </c>
      <c r="L101" s="222">
        <v>1050341</v>
      </c>
      <c r="M101" s="222">
        <v>985833</v>
      </c>
      <c r="N101" s="222">
        <v>70372</v>
      </c>
      <c r="O101" s="222">
        <v>915461</v>
      </c>
      <c r="P101" s="61" t="s">
        <v>1288</v>
      </c>
      <c r="Q101" s="23" t="s">
        <v>1289</v>
      </c>
    </row>
    <row r="102" spans="1:17">
      <c r="A102" s="23">
        <v>116</v>
      </c>
      <c r="B102" s="23" t="str">
        <f t="shared" si="11"/>
        <v>コアプラスレジデンス梅田</v>
      </c>
      <c r="C102" s="23">
        <v>406</v>
      </c>
      <c r="D102" s="23" t="str">
        <f t="shared" si="12"/>
        <v>コアプラス札幌株式会社</v>
      </c>
      <c r="E102" s="23" t="s">
        <v>205</v>
      </c>
      <c r="F102" s="23" t="s">
        <v>752</v>
      </c>
      <c r="G102" s="23" t="s">
        <v>1451</v>
      </c>
      <c r="H102" s="23" t="s">
        <v>1450</v>
      </c>
      <c r="I102" s="23" t="s">
        <v>1304</v>
      </c>
      <c r="J102" s="23">
        <f t="shared" ca="1" si="13"/>
        <v>2</v>
      </c>
      <c r="K102" s="23">
        <f t="shared" ca="1" si="10"/>
        <v>13</v>
      </c>
      <c r="L102" s="222">
        <v>251900</v>
      </c>
      <c r="M102" s="222">
        <v>236430</v>
      </c>
      <c r="N102" s="222">
        <v>16877</v>
      </c>
      <c r="O102" s="222">
        <v>219553</v>
      </c>
      <c r="P102" s="61" t="s">
        <v>1288</v>
      </c>
      <c r="Q102" s="23" t="s">
        <v>1289</v>
      </c>
    </row>
    <row r="103" spans="1:17">
      <c r="A103" s="23">
        <v>116</v>
      </c>
      <c r="B103" s="23" t="str">
        <f t="shared" si="11"/>
        <v>コアプラスレジデンス梅田</v>
      </c>
      <c r="C103" s="23">
        <v>406</v>
      </c>
      <c r="D103" s="23" t="str">
        <f t="shared" si="12"/>
        <v>コアプラス札幌株式会社</v>
      </c>
      <c r="E103" s="23" t="s">
        <v>205</v>
      </c>
      <c r="F103" s="23" t="s">
        <v>752</v>
      </c>
      <c r="G103" s="23" t="s">
        <v>1445</v>
      </c>
      <c r="H103" s="23" t="s">
        <v>1452</v>
      </c>
      <c r="I103" s="23" t="s">
        <v>1304</v>
      </c>
      <c r="J103" s="23">
        <f t="shared" ca="1" si="13"/>
        <v>2</v>
      </c>
      <c r="K103" s="23">
        <f t="shared" ca="1" si="10"/>
        <v>13</v>
      </c>
      <c r="L103" s="222">
        <v>327119</v>
      </c>
      <c r="M103" s="222">
        <v>312508</v>
      </c>
      <c r="N103" s="222">
        <v>21916</v>
      </c>
      <c r="O103" s="222">
        <v>290592</v>
      </c>
      <c r="P103" s="61" t="s">
        <v>1288</v>
      </c>
      <c r="Q103" s="23" t="s">
        <v>1289</v>
      </c>
    </row>
    <row r="104" spans="1:17">
      <c r="A104" s="23">
        <v>116</v>
      </c>
      <c r="B104" s="23" t="str">
        <f t="shared" si="11"/>
        <v>コアプラスレジデンス梅田</v>
      </c>
      <c r="C104" s="23">
        <v>406</v>
      </c>
      <c r="D104" s="23" t="str">
        <f t="shared" si="12"/>
        <v>コアプラス札幌株式会社</v>
      </c>
      <c r="E104" s="23" t="s">
        <v>205</v>
      </c>
      <c r="F104" s="23" t="s">
        <v>752</v>
      </c>
      <c r="G104" s="23" t="s">
        <v>1441</v>
      </c>
      <c r="H104" s="23" t="s">
        <v>1453</v>
      </c>
      <c r="I104" s="23" t="s">
        <v>1304</v>
      </c>
      <c r="J104" s="23">
        <f t="shared" ca="1" si="13"/>
        <v>2</v>
      </c>
      <c r="K104" s="23">
        <f t="shared" ca="1" si="10"/>
        <v>13</v>
      </c>
      <c r="L104" s="222">
        <v>557902</v>
      </c>
      <c r="M104" s="222">
        <v>536098</v>
      </c>
      <c r="N104" s="222">
        <v>37379</v>
      </c>
      <c r="O104" s="222">
        <v>498719</v>
      </c>
      <c r="P104" s="61" t="s">
        <v>1288</v>
      </c>
      <c r="Q104" s="23" t="s">
        <v>1289</v>
      </c>
    </row>
    <row r="105" spans="1:17">
      <c r="A105" s="23">
        <v>116</v>
      </c>
      <c r="B105" s="23" t="str">
        <f t="shared" si="11"/>
        <v>コアプラスレジデンス梅田</v>
      </c>
      <c r="C105" s="23">
        <v>406</v>
      </c>
      <c r="D105" s="23" t="str">
        <f t="shared" si="12"/>
        <v>コアプラス札幌株式会社</v>
      </c>
      <c r="E105" s="23" t="s">
        <v>205</v>
      </c>
      <c r="F105" s="23" t="s">
        <v>752</v>
      </c>
      <c r="G105" s="23" t="s">
        <v>1439</v>
      </c>
      <c r="H105" s="23" t="s">
        <v>1420</v>
      </c>
      <c r="I105" s="23" t="s">
        <v>1304</v>
      </c>
      <c r="J105" s="23">
        <f t="shared" ca="1" si="13"/>
        <v>2</v>
      </c>
      <c r="K105" s="23">
        <f t="shared" ca="1" si="10"/>
        <v>13</v>
      </c>
      <c r="L105" s="222">
        <v>115500</v>
      </c>
      <c r="M105" s="222">
        <v>112276</v>
      </c>
      <c r="N105" s="222">
        <v>7738</v>
      </c>
      <c r="O105" s="222">
        <v>104538</v>
      </c>
      <c r="P105" s="61" t="s">
        <v>1288</v>
      </c>
      <c r="Q105" s="23" t="s">
        <v>1289</v>
      </c>
    </row>
    <row r="106" spans="1:17">
      <c r="A106" s="23">
        <v>116</v>
      </c>
      <c r="B106" s="23" t="str">
        <f t="shared" si="11"/>
        <v>コアプラスレジデンス梅田</v>
      </c>
      <c r="C106" s="23">
        <v>406</v>
      </c>
      <c r="D106" s="23" t="str">
        <f t="shared" si="12"/>
        <v>コアプラス札幌株式会社</v>
      </c>
      <c r="E106" s="23" t="s">
        <v>205</v>
      </c>
      <c r="F106" s="23" t="s">
        <v>752</v>
      </c>
      <c r="G106" s="23" t="s">
        <v>1454</v>
      </c>
      <c r="H106" s="23" t="s">
        <v>1420</v>
      </c>
      <c r="I106" s="23" t="s">
        <v>1304</v>
      </c>
      <c r="J106" s="23">
        <f t="shared" ca="1" si="13"/>
        <v>2</v>
      </c>
      <c r="K106" s="23">
        <f t="shared" ca="1" si="10"/>
        <v>13</v>
      </c>
      <c r="L106" s="222">
        <v>149050</v>
      </c>
      <c r="M106" s="222">
        <v>144890</v>
      </c>
      <c r="N106" s="222">
        <v>9986</v>
      </c>
      <c r="O106" s="222">
        <v>134904</v>
      </c>
      <c r="P106" s="61" t="s">
        <v>1288</v>
      </c>
      <c r="Q106" s="23" t="s">
        <v>1289</v>
      </c>
    </row>
    <row r="107" spans="1:17">
      <c r="A107" s="23">
        <v>116</v>
      </c>
      <c r="B107" s="23" t="str">
        <f t="shared" si="11"/>
        <v>コアプラスレジデンス梅田</v>
      </c>
      <c r="C107" s="23">
        <v>406</v>
      </c>
      <c r="D107" s="23" t="str">
        <f t="shared" si="12"/>
        <v>コアプラス札幌株式会社</v>
      </c>
      <c r="E107" s="23" t="s">
        <v>205</v>
      </c>
      <c r="F107" s="23" t="s">
        <v>752</v>
      </c>
      <c r="G107" s="23" t="s">
        <v>1455</v>
      </c>
      <c r="H107" s="23" t="s">
        <v>1456</v>
      </c>
      <c r="I107" s="23" t="s">
        <v>1304</v>
      </c>
      <c r="J107" s="23">
        <f t="shared" ca="1" si="13"/>
        <v>2</v>
      </c>
      <c r="K107" s="23">
        <f t="shared" ca="1" si="10"/>
        <v>13</v>
      </c>
      <c r="L107" s="222">
        <v>616000</v>
      </c>
      <c r="M107" s="222">
        <v>602243</v>
      </c>
      <c r="N107" s="222">
        <v>41272</v>
      </c>
      <c r="O107" s="222">
        <v>560971</v>
      </c>
      <c r="P107" s="61" t="s">
        <v>1288</v>
      </c>
      <c r="Q107" s="23" t="s">
        <v>1289</v>
      </c>
    </row>
    <row r="108" spans="1:17">
      <c r="A108" s="23">
        <v>116</v>
      </c>
      <c r="B108" s="23" t="str">
        <f t="shared" si="11"/>
        <v>コアプラスレジデンス梅田</v>
      </c>
      <c r="C108" s="23">
        <v>406</v>
      </c>
      <c r="D108" s="23" t="str">
        <f t="shared" si="12"/>
        <v>コアプラス札幌株式会社</v>
      </c>
      <c r="E108" s="23" t="s">
        <v>205</v>
      </c>
      <c r="F108" s="23" t="s">
        <v>752</v>
      </c>
      <c r="G108" s="23" t="s">
        <v>1457</v>
      </c>
      <c r="H108" s="23" t="s">
        <v>1458</v>
      </c>
      <c r="I108" s="23" t="s">
        <v>1304</v>
      </c>
      <c r="J108" s="23">
        <f t="shared" ca="1" si="13"/>
        <v>2</v>
      </c>
      <c r="K108" s="23">
        <f t="shared" ca="1" si="10"/>
        <v>13</v>
      </c>
      <c r="L108" s="222">
        <v>156530</v>
      </c>
      <c r="M108" s="222">
        <v>153909</v>
      </c>
      <c r="N108" s="222">
        <v>10487</v>
      </c>
      <c r="O108" s="222">
        <v>143422</v>
      </c>
      <c r="P108" s="61" t="s">
        <v>1288</v>
      </c>
      <c r="Q108" s="23" t="s">
        <v>1289</v>
      </c>
    </row>
    <row r="109" spans="1:17">
      <c r="A109" s="23">
        <v>116</v>
      </c>
      <c r="B109" s="23" t="str">
        <f t="shared" si="11"/>
        <v>コアプラスレジデンス梅田</v>
      </c>
      <c r="C109" s="23">
        <v>406</v>
      </c>
      <c r="D109" s="23" t="str">
        <f t="shared" si="12"/>
        <v>コアプラス札幌株式会社</v>
      </c>
      <c r="E109" s="23" t="s">
        <v>205</v>
      </c>
      <c r="F109" s="23" t="s">
        <v>752</v>
      </c>
      <c r="G109" s="23" t="s">
        <v>1433</v>
      </c>
      <c r="H109" s="23" t="s">
        <v>1459</v>
      </c>
      <c r="I109" s="23" t="s">
        <v>1304</v>
      </c>
      <c r="J109" s="23">
        <f t="shared" ca="1" si="13"/>
        <v>2</v>
      </c>
      <c r="K109" s="23">
        <f t="shared" ca="1" si="10"/>
        <v>13</v>
      </c>
      <c r="L109" s="222">
        <v>2064159</v>
      </c>
      <c r="M109" s="222">
        <v>2052635</v>
      </c>
      <c r="N109" s="222">
        <v>138298</v>
      </c>
      <c r="O109" s="222">
        <v>1914337</v>
      </c>
      <c r="P109" s="61" t="s">
        <v>1288</v>
      </c>
      <c r="Q109" s="23" t="s">
        <v>1289</v>
      </c>
    </row>
    <row r="110" spans="1:17">
      <c r="A110" s="23">
        <v>116</v>
      </c>
      <c r="B110" s="23" t="str">
        <f t="shared" si="11"/>
        <v>コアプラスレジデンス梅田</v>
      </c>
      <c r="C110" s="23">
        <v>406</v>
      </c>
      <c r="D110" s="23" t="str">
        <f t="shared" si="12"/>
        <v>コアプラス札幌株式会社</v>
      </c>
      <c r="E110" s="23" t="s">
        <v>205</v>
      </c>
      <c r="F110" s="23" t="s">
        <v>752</v>
      </c>
      <c r="G110" s="23" t="s">
        <v>1443</v>
      </c>
      <c r="H110" s="23" t="s">
        <v>1459</v>
      </c>
      <c r="I110" s="23" t="s">
        <v>1304</v>
      </c>
      <c r="J110" s="23">
        <f t="shared" ca="1" si="13"/>
        <v>2</v>
      </c>
      <c r="K110" s="23">
        <f t="shared" ca="1" si="10"/>
        <v>13</v>
      </c>
      <c r="L110" s="222">
        <v>2382841</v>
      </c>
      <c r="M110" s="222">
        <v>2369537</v>
      </c>
      <c r="N110" s="222">
        <v>159650</v>
      </c>
      <c r="O110" s="222">
        <v>2209887</v>
      </c>
      <c r="P110" s="61" t="s">
        <v>1288</v>
      </c>
      <c r="Q110" s="23" t="s">
        <v>1289</v>
      </c>
    </row>
    <row r="111" spans="1:17">
      <c r="A111" s="23">
        <v>116</v>
      </c>
      <c r="B111" s="23" t="str">
        <f t="shared" si="11"/>
        <v>コアプラスレジデンス梅田</v>
      </c>
      <c r="C111" s="23">
        <v>406</v>
      </c>
      <c r="D111" s="23" t="str">
        <f t="shared" si="12"/>
        <v>コアプラス札幌株式会社</v>
      </c>
      <c r="E111" s="23" t="s">
        <v>205</v>
      </c>
      <c r="F111" s="23" t="s">
        <v>752</v>
      </c>
      <c r="G111" s="23" t="s">
        <v>1460</v>
      </c>
      <c r="H111" s="23" t="s">
        <v>1459</v>
      </c>
      <c r="I111" s="23" t="s">
        <v>1304</v>
      </c>
      <c r="J111" s="23">
        <f t="shared" ca="1" si="13"/>
        <v>2</v>
      </c>
      <c r="K111" s="23">
        <f t="shared" ca="1" si="10"/>
        <v>13</v>
      </c>
      <c r="L111" s="222">
        <v>2679411</v>
      </c>
      <c r="M111" s="222">
        <v>2664451</v>
      </c>
      <c r="N111" s="222">
        <v>179520</v>
      </c>
      <c r="O111" s="222">
        <v>2484931</v>
      </c>
      <c r="P111" s="61" t="s">
        <v>1288</v>
      </c>
      <c r="Q111" s="23" t="s">
        <v>1289</v>
      </c>
    </row>
    <row r="112" spans="1:17">
      <c r="A112" s="23">
        <v>117</v>
      </c>
      <c r="B112" s="23" t="str">
        <f t="shared" si="11"/>
        <v>高田馬場第4玉川ビル</v>
      </c>
      <c r="C112" s="23">
        <v>407</v>
      </c>
      <c r="D112" s="23" t="str">
        <f t="shared" si="12"/>
        <v>コアプラス福岡株式会社</v>
      </c>
      <c r="E112" s="23" t="s">
        <v>204</v>
      </c>
      <c r="F112" s="23" t="s">
        <v>752</v>
      </c>
      <c r="G112" s="23" t="s">
        <v>1461</v>
      </c>
      <c r="H112" s="23" t="s">
        <v>1432</v>
      </c>
      <c r="I112" s="23" t="s">
        <v>1381</v>
      </c>
      <c r="J112" s="23">
        <f t="shared" ca="1" si="13"/>
        <v>6</v>
      </c>
      <c r="K112" s="23">
        <f t="shared" ca="1" si="10"/>
        <v>3</v>
      </c>
      <c r="L112" s="222">
        <v>24151178</v>
      </c>
      <c r="M112" s="222">
        <v>12204400</v>
      </c>
      <c r="N112" s="222">
        <v>2704931</v>
      </c>
      <c r="O112" s="222">
        <v>9499469</v>
      </c>
      <c r="P112" s="61" t="s">
        <v>1281</v>
      </c>
      <c r="Q112" s="23" t="s">
        <v>1462</v>
      </c>
    </row>
    <row r="113" spans="1:17">
      <c r="A113" s="23">
        <v>117</v>
      </c>
      <c r="B113" s="23" t="str">
        <f t="shared" si="11"/>
        <v>高田馬場第4玉川ビル</v>
      </c>
      <c r="C113" s="23">
        <v>407</v>
      </c>
      <c r="D113" s="23" t="str">
        <f t="shared" si="12"/>
        <v>コアプラス福岡株式会社</v>
      </c>
      <c r="E113" s="23" t="s">
        <v>202</v>
      </c>
      <c r="F113" s="23" t="s">
        <v>1283</v>
      </c>
      <c r="G113" s="23" t="s">
        <v>1461</v>
      </c>
      <c r="H113" s="23" t="s">
        <v>1432</v>
      </c>
      <c r="I113" s="23" t="s">
        <v>1284</v>
      </c>
      <c r="J113" s="23">
        <f t="shared" ca="1" si="13"/>
        <v>6</v>
      </c>
      <c r="K113" s="23" t="str">
        <f t="shared" si="10"/>
        <v/>
      </c>
      <c r="L113" s="222">
        <v>113543242</v>
      </c>
      <c r="M113" s="222">
        <v>113543242</v>
      </c>
      <c r="N113" s="222"/>
      <c r="O113" s="222">
        <v>113543242</v>
      </c>
      <c r="P113" s="61" t="s">
        <v>1281</v>
      </c>
    </row>
    <row r="114" spans="1:17">
      <c r="A114" s="23">
        <v>117</v>
      </c>
      <c r="B114" s="23" t="str">
        <f t="shared" si="11"/>
        <v>高田馬場第4玉川ビル</v>
      </c>
      <c r="C114" s="23">
        <v>407</v>
      </c>
      <c r="D114" s="23" t="str">
        <f t="shared" si="12"/>
        <v>コアプラス福岡株式会社</v>
      </c>
      <c r="E114" s="23" t="s">
        <v>205</v>
      </c>
      <c r="F114" s="23" t="s">
        <v>752</v>
      </c>
      <c r="G114" s="23" t="s">
        <v>1461</v>
      </c>
      <c r="H114" s="23" t="s">
        <v>1463</v>
      </c>
      <c r="I114" s="23" t="s">
        <v>1304</v>
      </c>
      <c r="J114" s="23">
        <f t="shared" ca="1" si="13"/>
        <v>5</v>
      </c>
      <c r="K114" s="23">
        <f t="shared" ca="1" si="10"/>
        <v>10</v>
      </c>
      <c r="L114" s="222">
        <v>1620000</v>
      </c>
      <c r="M114" s="222">
        <v>1203930</v>
      </c>
      <c r="N114" s="222">
        <v>108540</v>
      </c>
      <c r="O114" s="222">
        <v>1095390</v>
      </c>
      <c r="P114" s="61" t="s">
        <v>1288</v>
      </c>
      <c r="Q114" s="23" t="s">
        <v>1464</v>
      </c>
    </row>
    <row r="115" spans="1:17">
      <c r="A115" s="23">
        <v>117</v>
      </c>
      <c r="B115" s="23" t="str">
        <f t="shared" si="11"/>
        <v>高田馬場第4玉川ビル</v>
      </c>
      <c r="C115" s="23">
        <v>407</v>
      </c>
      <c r="D115" s="23" t="str">
        <f t="shared" si="12"/>
        <v>コアプラス福岡株式会社</v>
      </c>
      <c r="E115" s="23" t="s">
        <v>205</v>
      </c>
      <c r="F115" s="23" t="s">
        <v>752</v>
      </c>
      <c r="G115" s="23" t="s">
        <v>1461</v>
      </c>
      <c r="H115" s="23" t="s">
        <v>1465</v>
      </c>
      <c r="I115" s="23" t="s">
        <v>1304</v>
      </c>
      <c r="J115" s="23">
        <f t="shared" ca="1" si="13"/>
        <v>2</v>
      </c>
      <c r="K115" s="23">
        <f t="shared" ca="1" si="10"/>
        <v>13</v>
      </c>
      <c r="L115" s="222">
        <v>299434</v>
      </c>
      <c r="M115" s="222">
        <v>279372</v>
      </c>
      <c r="N115" s="222">
        <v>20062</v>
      </c>
      <c r="O115" s="222">
        <v>259310</v>
      </c>
      <c r="P115" s="61" t="s">
        <v>1288</v>
      </c>
      <c r="Q115" s="23" t="s">
        <v>1466</v>
      </c>
    </row>
    <row r="116" spans="1:17">
      <c r="A116" s="23">
        <v>117</v>
      </c>
      <c r="B116" s="23" t="str">
        <f t="shared" si="11"/>
        <v>高田馬場第4玉川ビル</v>
      </c>
      <c r="C116" s="23">
        <v>407</v>
      </c>
      <c r="D116" s="23" t="str">
        <f t="shared" si="12"/>
        <v>コアプラス福岡株式会社</v>
      </c>
      <c r="E116" s="23" t="s">
        <v>205</v>
      </c>
      <c r="F116" s="23" t="s">
        <v>752</v>
      </c>
      <c r="G116" s="23" t="s">
        <v>1461</v>
      </c>
      <c r="H116" s="23" t="s">
        <v>1465</v>
      </c>
      <c r="I116" s="23" t="s">
        <v>1304</v>
      </c>
      <c r="J116" s="23">
        <f t="shared" ca="1" si="13"/>
        <v>2</v>
      </c>
      <c r="K116" s="23">
        <f t="shared" ca="1" si="10"/>
        <v>13</v>
      </c>
      <c r="L116" s="222">
        <v>577426</v>
      </c>
      <c r="M116" s="222">
        <v>538739</v>
      </c>
      <c r="N116" s="222">
        <v>38687</v>
      </c>
      <c r="O116" s="222">
        <v>500052</v>
      </c>
      <c r="P116" s="61" t="s">
        <v>1288</v>
      </c>
      <c r="Q116" s="23" t="s">
        <v>1467</v>
      </c>
    </row>
    <row r="117" spans="1:17">
      <c r="A117" s="23">
        <v>117</v>
      </c>
      <c r="B117" s="23" t="str">
        <f t="shared" si="11"/>
        <v>高田馬場第4玉川ビル</v>
      </c>
      <c r="C117" s="23">
        <v>407</v>
      </c>
      <c r="D117" s="23" t="str">
        <f t="shared" si="12"/>
        <v>コアプラス福岡株式会社</v>
      </c>
      <c r="E117" s="23" t="s">
        <v>205</v>
      </c>
      <c r="F117" s="23" t="s">
        <v>752</v>
      </c>
      <c r="G117" s="23" t="s">
        <v>1461</v>
      </c>
      <c r="H117" s="23" t="s">
        <v>1468</v>
      </c>
      <c r="I117" s="23" t="s">
        <v>1304</v>
      </c>
      <c r="J117" s="23">
        <f t="shared" ca="1" si="13"/>
        <v>2</v>
      </c>
      <c r="K117" s="23">
        <f t="shared" ca="1" si="10"/>
        <v>13</v>
      </c>
      <c r="L117" s="222">
        <v>419912</v>
      </c>
      <c r="M117" s="222">
        <v>396467</v>
      </c>
      <c r="N117" s="222">
        <v>28134</v>
      </c>
      <c r="O117" s="222">
        <v>368333</v>
      </c>
      <c r="P117" s="61" t="s">
        <v>1288</v>
      </c>
      <c r="Q117" s="23" t="s">
        <v>1469</v>
      </c>
    </row>
    <row r="118" spans="1:17">
      <c r="A118" s="23">
        <v>117</v>
      </c>
      <c r="B118" s="23" t="str">
        <f t="shared" si="11"/>
        <v>高田馬場第4玉川ビル</v>
      </c>
      <c r="C118" s="23">
        <v>407</v>
      </c>
      <c r="D118" s="23" t="str">
        <f t="shared" si="12"/>
        <v>コアプラス福岡株式会社</v>
      </c>
      <c r="E118" s="23" t="s">
        <v>205</v>
      </c>
      <c r="F118" s="23" t="s">
        <v>752</v>
      </c>
      <c r="G118" s="23" t="s">
        <v>1461</v>
      </c>
      <c r="H118" s="23" t="s">
        <v>1470</v>
      </c>
      <c r="I118" s="23" t="s">
        <v>1304</v>
      </c>
      <c r="J118" s="23">
        <f t="shared" ca="1" si="13"/>
        <v>2</v>
      </c>
      <c r="K118" s="23">
        <f t="shared" ca="1" si="10"/>
        <v>13</v>
      </c>
      <c r="L118" s="222">
        <v>758872</v>
      </c>
      <c r="M118" s="222">
        <v>754635</v>
      </c>
      <c r="N118" s="222">
        <v>50844</v>
      </c>
      <c r="O118" s="222">
        <v>703791</v>
      </c>
      <c r="P118" s="61" t="s">
        <v>1288</v>
      </c>
      <c r="Q118" s="23" t="s">
        <v>1471</v>
      </c>
    </row>
    <row r="119" spans="1:17">
      <c r="A119" s="23">
        <v>120</v>
      </c>
      <c r="B119" s="23" t="str">
        <f t="shared" si="11"/>
        <v>南池袋マンション</v>
      </c>
      <c r="C119" s="23">
        <v>408</v>
      </c>
      <c r="D119" s="23" t="str">
        <f t="shared" si="12"/>
        <v>コアプラス京都株式会社</v>
      </c>
      <c r="E119" s="23" t="s">
        <v>204</v>
      </c>
      <c r="F119" s="23" t="s">
        <v>752</v>
      </c>
      <c r="G119" s="23" t="s">
        <v>1472</v>
      </c>
      <c r="H119" s="23" t="s">
        <v>1473</v>
      </c>
      <c r="I119" s="23" t="s">
        <v>1297</v>
      </c>
      <c r="J119" s="23">
        <f t="shared" ca="1" si="13"/>
        <v>5</v>
      </c>
      <c r="K119" s="23">
        <f t="shared" ca="1" si="10"/>
        <v>19</v>
      </c>
      <c r="L119" s="222">
        <v>33588101</v>
      </c>
      <c r="M119" s="222">
        <v>27945301</v>
      </c>
      <c r="N119" s="222">
        <v>1410700</v>
      </c>
      <c r="O119" s="222">
        <v>26534601</v>
      </c>
      <c r="P119" s="61" t="s">
        <v>1281</v>
      </c>
      <c r="Q119" s="23" t="s">
        <v>1298</v>
      </c>
    </row>
    <row r="120" spans="1:17">
      <c r="A120" s="23">
        <v>120</v>
      </c>
      <c r="B120" s="23" t="str">
        <f t="shared" si="11"/>
        <v>南池袋マンション</v>
      </c>
      <c r="C120" s="23">
        <v>408</v>
      </c>
      <c r="D120" s="23" t="str">
        <f t="shared" si="12"/>
        <v>コアプラス京都株式会社</v>
      </c>
      <c r="E120" s="23" t="s">
        <v>202</v>
      </c>
      <c r="F120" s="23" t="s">
        <v>1283</v>
      </c>
      <c r="G120" s="23" t="s">
        <v>1472</v>
      </c>
      <c r="H120" s="23" t="s">
        <v>1473</v>
      </c>
      <c r="I120" s="23" t="s">
        <v>1284</v>
      </c>
      <c r="J120" s="23">
        <f t="shared" ca="1" si="13"/>
        <v>5</v>
      </c>
      <c r="K120" s="23" t="str">
        <f t="shared" si="10"/>
        <v/>
      </c>
      <c r="L120" s="222">
        <v>120828203</v>
      </c>
      <c r="M120" s="222">
        <v>120828203</v>
      </c>
      <c r="N120" s="222"/>
      <c r="O120" s="222">
        <v>120828203</v>
      </c>
      <c r="P120" s="61" t="s">
        <v>1281</v>
      </c>
    </row>
    <row r="121" spans="1:17">
      <c r="A121" s="23">
        <v>120</v>
      </c>
      <c r="B121" s="23" t="str">
        <f t="shared" si="11"/>
        <v>南池袋マンション</v>
      </c>
      <c r="C121" s="23">
        <v>408</v>
      </c>
      <c r="D121" s="23" t="str">
        <f t="shared" si="12"/>
        <v>コアプラス京都株式会社</v>
      </c>
      <c r="E121" s="23" t="s">
        <v>205</v>
      </c>
      <c r="F121" s="23" t="s">
        <v>752</v>
      </c>
      <c r="G121" s="23" t="s">
        <v>1472</v>
      </c>
      <c r="H121" s="23" t="s">
        <v>1474</v>
      </c>
      <c r="I121" s="23" t="s">
        <v>1304</v>
      </c>
      <c r="J121" s="23">
        <f t="shared" ca="1" si="13"/>
        <v>5</v>
      </c>
      <c r="K121" s="23">
        <f t="shared" ca="1" si="10"/>
        <v>10</v>
      </c>
      <c r="L121" s="222">
        <v>3390000</v>
      </c>
      <c r="M121" s="222">
        <v>2538263</v>
      </c>
      <c r="N121" s="222">
        <v>227130</v>
      </c>
      <c r="O121" s="222">
        <v>2311133</v>
      </c>
      <c r="P121" s="61">
        <v>1</v>
      </c>
      <c r="Q121" s="23" t="s">
        <v>1475</v>
      </c>
    </row>
    <row r="122" spans="1:17">
      <c r="A122" s="23">
        <v>221</v>
      </c>
      <c r="B122" s="23" t="str">
        <f t="shared" si="11"/>
        <v>ビジネス新大阪123号</v>
      </c>
      <c r="C122" s="23">
        <v>408</v>
      </c>
      <c r="D122" s="23" t="str">
        <f t="shared" si="12"/>
        <v>コアプラス京都株式会社</v>
      </c>
      <c r="E122" s="23" t="s">
        <v>204</v>
      </c>
      <c r="F122" s="23" t="s">
        <v>752</v>
      </c>
      <c r="G122" s="23" t="s">
        <v>1476</v>
      </c>
      <c r="H122" s="23" t="s">
        <v>1477</v>
      </c>
      <c r="I122" s="23" t="s">
        <v>1478</v>
      </c>
      <c r="J122" s="23">
        <f t="shared" ca="1" si="13"/>
        <v>2</v>
      </c>
      <c r="K122" s="23">
        <f t="shared" ca="1" si="10"/>
        <v>10</v>
      </c>
      <c r="L122" s="222">
        <v>3025337</v>
      </c>
      <c r="M122" s="222">
        <v>2771209</v>
      </c>
      <c r="N122" s="222">
        <v>254128</v>
      </c>
      <c r="O122" s="222">
        <v>2517081</v>
      </c>
      <c r="P122" s="61" t="s">
        <v>1281</v>
      </c>
      <c r="Q122" s="23" t="s">
        <v>1430</v>
      </c>
    </row>
    <row r="123" spans="1:17">
      <c r="A123" s="23">
        <v>221</v>
      </c>
      <c r="B123" s="23" t="str">
        <f t="shared" si="11"/>
        <v>ビジネス新大阪123号</v>
      </c>
      <c r="C123" s="23">
        <v>408</v>
      </c>
      <c r="D123" s="23" t="str">
        <f t="shared" si="12"/>
        <v>コアプラス京都株式会社</v>
      </c>
      <c r="E123" s="23" t="s">
        <v>202</v>
      </c>
      <c r="F123" s="23" t="s">
        <v>1283</v>
      </c>
      <c r="G123" s="23" t="s">
        <v>1476</v>
      </c>
      <c r="H123" s="23" t="s">
        <v>1477</v>
      </c>
      <c r="I123" s="23" t="s">
        <v>1284</v>
      </c>
      <c r="J123" s="23">
        <f t="shared" ca="1" si="13"/>
        <v>2</v>
      </c>
      <c r="K123" s="23" t="str">
        <f t="shared" si="10"/>
        <v/>
      </c>
      <c r="L123" s="222">
        <v>2475275</v>
      </c>
      <c r="M123" s="222">
        <v>2475275</v>
      </c>
      <c r="N123" s="222"/>
      <c r="O123" s="222">
        <v>2475275</v>
      </c>
      <c r="P123" s="61" t="s">
        <v>1281</v>
      </c>
      <c r="Q123" s="23" t="s">
        <v>1289</v>
      </c>
    </row>
    <row r="124" spans="1:17">
      <c r="A124" s="23">
        <v>221</v>
      </c>
      <c r="B124" s="23" t="str">
        <f t="shared" si="11"/>
        <v>ビジネス新大阪123号</v>
      </c>
      <c r="C124" s="23">
        <v>408</v>
      </c>
      <c r="D124" s="23" t="str">
        <f t="shared" si="12"/>
        <v>コアプラス京都株式会社</v>
      </c>
      <c r="E124" s="23" t="s">
        <v>204</v>
      </c>
      <c r="F124" s="23" t="s">
        <v>752</v>
      </c>
      <c r="G124" s="23" t="s">
        <v>1476</v>
      </c>
      <c r="H124" s="23" t="s">
        <v>1479</v>
      </c>
      <c r="I124" s="23" t="s">
        <v>1478</v>
      </c>
      <c r="J124" s="23">
        <f t="shared" ca="1" si="13"/>
        <v>2</v>
      </c>
      <c r="K124" s="23">
        <f t="shared" ca="1" si="10"/>
        <v>10</v>
      </c>
      <c r="L124" s="222">
        <v>27300</v>
      </c>
      <c r="M124" s="222">
        <v>26154</v>
      </c>
      <c r="N124" s="222">
        <v>2293</v>
      </c>
      <c r="O124" s="222">
        <v>23861</v>
      </c>
      <c r="P124" s="61" t="s">
        <v>1281</v>
      </c>
      <c r="Q124" s="23" t="s">
        <v>1480</v>
      </c>
    </row>
    <row r="125" spans="1:17">
      <c r="A125" s="23">
        <v>221</v>
      </c>
      <c r="B125" s="23" t="str">
        <f t="shared" si="11"/>
        <v>ビジネス新大阪123号</v>
      </c>
      <c r="C125" s="23">
        <v>408</v>
      </c>
      <c r="D125" s="23" t="str">
        <f t="shared" si="12"/>
        <v>コアプラス京都株式会社</v>
      </c>
      <c r="E125" s="23" t="s">
        <v>202</v>
      </c>
      <c r="F125" s="23" t="s">
        <v>1283</v>
      </c>
      <c r="G125" s="23" t="s">
        <v>1476</v>
      </c>
      <c r="H125" s="23" t="s">
        <v>1479</v>
      </c>
      <c r="I125" s="23" t="s">
        <v>1284</v>
      </c>
      <c r="J125" s="23">
        <f t="shared" ca="1" si="13"/>
        <v>2</v>
      </c>
      <c r="K125" s="23" t="str">
        <f t="shared" si="10"/>
        <v/>
      </c>
      <c r="L125" s="222">
        <v>13300</v>
      </c>
      <c r="M125" s="222">
        <v>13300</v>
      </c>
      <c r="N125" s="222"/>
      <c r="O125" s="222">
        <v>13300</v>
      </c>
      <c r="P125" s="61" t="s">
        <v>1281</v>
      </c>
      <c r="Q125" s="23" t="s">
        <v>1480</v>
      </c>
    </row>
    <row r="126" spans="1:17">
      <c r="A126" s="23">
        <v>222</v>
      </c>
      <c r="B126" s="23" t="str">
        <f t="shared" si="11"/>
        <v>プラウD目白301号</v>
      </c>
      <c r="C126" s="23">
        <v>401</v>
      </c>
      <c r="D126" s="23" t="str">
        <f t="shared" si="12"/>
        <v>コアプラス東京株式会社</v>
      </c>
      <c r="E126" s="23" t="s">
        <v>204</v>
      </c>
      <c r="F126" s="23" t="s">
        <v>752</v>
      </c>
      <c r="G126" s="23" t="s">
        <v>1481</v>
      </c>
      <c r="H126" s="23" t="s">
        <v>1412</v>
      </c>
      <c r="I126" s="23" t="s">
        <v>1404</v>
      </c>
      <c r="J126" s="23">
        <f t="shared" ca="1" si="13"/>
        <v>2</v>
      </c>
      <c r="K126" s="23">
        <f t="shared" ca="1" si="10"/>
        <v>25</v>
      </c>
      <c r="L126" s="222">
        <v>19286259</v>
      </c>
      <c r="M126" s="222">
        <v>18675528</v>
      </c>
      <c r="N126" s="222">
        <v>732877</v>
      </c>
      <c r="O126" s="222">
        <v>17942651</v>
      </c>
      <c r="P126" s="61" t="s">
        <v>1281</v>
      </c>
      <c r="Q126" s="23" t="s">
        <v>1482</v>
      </c>
    </row>
    <row r="127" spans="1:17">
      <c r="A127" s="23">
        <v>222</v>
      </c>
      <c r="B127" s="23" t="str">
        <f t="shared" si="11"/>
        <v>プラウD目白301号</v>
      </c>
      <c r="C127" s="23">
        <v>401</v>
      </c>
      <c r="D127" s="23" t="str">
        <f t="shared" si="12"/>
        <v>コアプラス東京株式会社</v>
      </c>
      <c r="E127" s="23" t="s">
        <v>202</v>
      </c>
      <c r="F127" s="23" t="s">
        <v>1283</v>
      </c>
      <c r="G127" s="23" t="s">
        <v>1481</v>
      </c>
      <c r="H127" s="23" t="s">
        <v>1412</v>
      </c>
      <c r="I127" s="23" t="s">
        <v>1284</v>
      </c>
      <c r="J127" s="23">
        <f t="shared" ca="1" si="13"/>
        <v>2</v>
      </c>
      <c r="K127" s="23" t="str">
        <f t="shared" si="10"/>
        <v/>
      </c>
      <c r="L127" s="222">
        <v>57130988</v>
      </c>
      <c r="M127" s="222">
        <v>57130988</v>
      </c>
      <c r="N127" s="222"/>
      <c r="O127" s="222">
        <v>57130988</v>
      </c>
      <c r="P127" s="61" t="s">
        <v>1281</v>
      </c>
    </row>
    <row r="128" spans="1:17">
      <c r="A128" s="23">
        <v>222</v>
      </c>
      <c r="B128" s="23" t="str">
        <f t="shared" si="11"/>
        <v>プラウD目白301号</v>
      </c>
      <c r="C128" s="23">
        <v>401</v>
      </c>
      <c r="D128" s="23" t="str">
        <f t="shared" si="12"/>
        <v>コアプラス東京株式会社</v>
      </c>
      <c r="E128" s="23" t="s">
        <v>204</v>
      </c>
      <c r="F128" s="23" t="s">
        <v>752</v>
      </c>
      <c r="G128" s="23" t="s">
        <v>1481</v>
      </c>
      <c r="H128" s="23" t="s">
        <v>1398</v>
      </c>
      <c r="I128" s="23" t="s">
        <v>1404</v>
      </c>
      <c r="J128" s="23">
        <f t="shared" ca="1" si="13"/>
        <v>2</v>
      </c>
      <c r="K128" s="23">
        <f t="shared" ca="1" si="10"/>
        <v>25</v>
      </c>
      <c r="L128" s="222">
        <v>10501105</v>
      </c>
      <c r="M128" s="222">
        <v>10401345</v>
      </c>
      <c r="N128" s="222">
        <v>399041</v>
      </c>
      <c r="O128" s="222">
        <v>10002304</v>
      </c>
      <c r="P128" s="61" t="s">
        <v>1288</v>
      </c>
      <c r="Q128" s="23" t="s">
        <v>1483</v>
      </c>
    </row>
    <row r="129" spans="1:17">
      <c r="A129" s="23">
        <v>222</v>
      </c>
      <c r="B129" s="23" t="str">
        <f t="shared" si="11"/>
        <v>プラウD目白301号</v>
      </c>
      <c r="C129" s="23">
        <v>401</v>
      </c>
      <c r="D129" s="23" t="str">
        <f t="shared" si="12"/>
        <v>コアプラス東京株式会社</v>
      </c>
      <c r="E129" s="23" t="s">
        <v>205</v>
      </c>
      <c r="F129" s="23" t="s">
        <v>752</v>
      </c>
      <c r="G129" s="23" t="s">
        <v>1481</v>
      </c>
      <c r="H129" s="23" t="s">
        <v>1398</v>
      </c>
      <c r="I129" s="23" t="s">
        <v>1304</v>
      </c>
      <c r="J129" s="23">
        <f t="shared" ca="1" si="13"/>
        <v>2</v>
      </c>
      <c r="K129" s="23">
        <f t="shared" ca="1" si="10"/>
        <v>13</v>
      </c>
      <c r="L129" s="222">
        <v>8567856</v>
      </c>
      <c r="M129" s="222">
        <v>8424345</v>
      </c>
      <c r="N129" s="222">
        <v>574046</v>
      </c>
      <c r="O129" s="222">
        <v>7850299</v>
      </c>
      <c r="P129" s="61" t="s">
        <v>1288</v>
      </c>
      <c r="Q129" s="23" t="s">
        <v>1483</v>
      </c>
    </row>
    <row r="130" spans="1:17">
      <c r="A130" s="23">
        <v>999</v>
      </c>
      <c r="B130" s="23" t="str">
        <f t="shared" si="11"/>
        <v>賃貸資産以外の償却</v>
      </c>
      <c r="C130" s="23">
        <v>401</v>
      </c>
      <c r="D130" s="23" t="str">
        <f t="shared" si="12"/>
        <v>コアプラス東京株式会社</v>
      </c>
      <c r="E130" s="23" t="s">
        <v>203</v>
      </c>
      <c r="F130" s="23" t="s">
        <v>753</v>
      </c>
      <c r="G130" s="23" t="s">
        <v>1484</v>
      </c>
      <c r="H130" s="23" t="s">
        <v>1485</v>
      </c>
      <c r="I130" s="23" t="s">
        <v>1486</v>
      </c>
      <c r="J130" s="23">
        <f t="shared" ca="1" si="13"/>
        <v>8</v>
      </c>
      <c r="K130" s="23">
        <f t="shared" ca="1" si="10"/>
        <v>-3</v>
      </c>
      <c r="L130" s="222">
        <v>555556</v>
      </c>
      <c r="M130" s="222">
        <v>1</v>
      </c>
      <c r="N130" s="222"/>
      <c r="O130" s="222">
        <v>1</v>
      </c>
      <c r="P130" s="61" t="s">
        <v>1281</v>
      </c>
    </row>
    <row r="131" spans="1:17">
      <c r="A131" s="23">
        <v>999</v>
      </c>
      <c r="B131" s="23" t="str">
        <f t="shared" si="11"/>
        <v>賃貸資産以外の償却</v>
      </c>
      <c r="C131" s="23">
        <v>401</v>
      </c>
      <c r="D131" s="23" t="str">
        <f t="shared" si="12"/>
        <v>コアプラス東京株式会社</v>
      </c>
      <c r="E131" s="23" t="s">
        <v>203</v>
      </c>
      <c r="F131" s="23" t="s">
        <v>752</v>
      </c>
      <c r="G131" s="23" t="s">
        <v>1487</v>
      </c>
      <c r="H131" s="23" t="s">
        <v>1488</v>
      </c>
      <c r="I131" s="23" t="s">
        <v>1486</v>
      </c>
      <c r="J131" s="23">
        <f t="shared" ca="1" si="13"/>
        <v>4</v>
      </c>
      <c r="K131" s="23">
        <f t="shared" ca="1" si="10"/>
        <v>1</v>
      </c>
      <c r="L131" s="222">
        <v>442600</v>
      </c>
      <c r="M131" s="222">
        <v>236054</v>
      </c>
      <c r="N131" s="222">
        <v>88520</v>
      </c>
      <c r="O131" s="222">
        <v>147534</v>
      </c>
      <c r="P131" s="61" t="s">
        <v>1281</v>
      </c>
      <c r="Q131" s="23" t="s">
        <v>1489</v>
      </c>
    </row>
    <row r="132" spans="1:17">
      <c r="A132" s="23">
        <v>999</v>
      </c>
      <c r="B132" s="23" t="str">
        <f t="shared" si="11"/>
        <v>賃貸資産以外の償却</v>
      </c>
      <c r="C132" s="23">
        <v>401</v>
      </c>
      <c r="D132" s="23" t="str">
        <f t="shared" si="12"/>
        <v>コアプラス東京株式会社</v>
      </c>
      <c r="E132" s="23" t="s">
        <v>203</v>
      </c>
      <c r="F132" s="23" t="s">
        <v>755</v>
      </c>
      <c r="G132" s="23" t="s">
        <v>1487</v>
      </c>
      <c r="H132" s="23" t="s">
        <v>1490</v>
      </c>
      <c r="I132" s="23" t="s">
        <v>1491</v>
      </c>
      <c r="J132" s="23">
        <f t="shared" ca="1" si="13"/>
        <v>4</v>
      </c>
      <c r="K132" s="23">
        <f t="shared" ca="1" si="10"/>
        <v>0</v>
      </c>
      <c r="L132" s="222">
        <v>207300</v>
      </c>
      <c r="M132" s="222"/>
      <c r="N132" s="222"/>
      <c r="O132" s="222"/>
      <c r="P132" s="61" t="s">
        <v>1281</v>
      </c>
      <c r="Q132" s="23" t="s">
        <v>1489</v>
      </c>
    </row>
    <row r="133" spans="1:17">
      <c r="A133" s="23">
        <v>999</v>
      </c>
      <c r="B133" s="23" t="str">
        <f t="shared" ref="B133:B149" si="14">VLOOKUP(A133,id_settings,2,FALSE)</f>
        <v>賃貸資産以外の償却</v>
      </c>
      <c r="C133" s="23">
        <v>401</v>
      </c>
      <c r="D133" s="23" t="str">
        <f t="shared" ref="D133:D149" si="15">VLOOKUP(C133,id_settings,2,FALSE)</f>
        <v>コアプラス東京株式会社</v>
      </c>
      <c r="E133" s="23" t="s">
        <v>203</v>
      </c>
      <c r="F133" s="23" t="s">
        <v>755</v>
      </c>
      <c r="G133" s="23" t="s">
        <v>1487</v>
      </c>
      <c r="H133" s="23" t="s">
        <v>1490</v>
      </c>
      <c r="I133" s="23" t="s">
        <v>1491</v>
      </c>
      <c r="J133" s="23">
        <f t="shared" ref="J133:J151" ca="1" si="16">current_year-LEFT(H133,4)</f>
        <v>4</v>
      </c>
      <c r="K133" s="23">
        <f t="shared" ca="1" si="10"/>
        <v>0</v>
      </c>
      <c r="L133" s="222">
        <v>102410</v>
      </c>
      <c r="M133" s="222"/>
      <c r="N133" s="222"/>
      <c r="O133" s="222"/>
      <c r="P133" s="61" t="s">
        <v>1281</v>
      </c>
      <c r="Q133" s="23" t="s">
        <v>1489</v>
      </c>
    </row>
    <row r="134" spans="1:17">
      <c r="A134" s="23">
        <v>999</v>
      </c>
      <c r="B134" s="23" t="str">
        <f t="shared" si="14"/>
        <v>賃貸資産以外の償却</v>
      </c>
      <c r="C134" s="23">
        <v>401</v>
      </c>
      <c r="D134" s="23" t="str">
        <f t="shared" si="15"/>
        <v>コアプラス東京株式会社</v>
      </c>
      <c r="E134" s="23" t="s">
        <v>203</v>
      </c>
      <c r="F134" s="23" t="s">
        <v>755</v>
      </c>
      <c r="G134" s="23" t="s">
        <v>1487</v>
      </c>
      <c r="H134" s="23" t="s">
        <v>1492</v>
      </c>
      <c r="I134" s="23" t="s">
        <v>1491</v>
      </c>
      <c r="J134" s="23">
        <f t="shared" ca="1" si="16"/>
        <v>3</v>
      </c>
      <c r="K134" s="23">
        <f t="shared" ref="K134:K151" ca="1" si="17">IF(I134&lt;&gt;"",I134-J134,"")</f>
        <v>1</v>
      </c>
      <c r="L134" s="222">
        <v>233787</v>
      </c>
      <c r="M134" s="222"/>
      <c r="N134" s="222"/>
      <c r="O134" s="222"/>
      <c r="P134" s="61" t="s">
        <v>1281</v>
      </c>
      <c r="Q134" s="23" t="s">
        <v>1493</v>
      </c>
    </row>
    <row r="135" spans="1:17">
      <c r="A135" s="23">
        <v>999</v>
      </c>
      <c r="B135" s="23" t="str">
        <f t="shared" si="14"/>
        <v>賃貸資産以外の償却</v>
      </c>
      <c r="C135" s="23">
        <v>401</v>
      </c>
      <c r="D135" s="23" t="str">
        <f t="shared" si="15"/>
        <v>コアプラス東京株式会社</v>
      </c>
      <c r="E135" s="23" t="s">
        <v>203</v>
      </c>
      <c r="F135" s="23" t="s">
        <v>755</v>
      </c>
      <c r="G135" s="23" t="s">
        <v>1487</v>
      </c>
      <c r="H135" s="23" t="s">
        <v>1494</v>
      </c>
      <c r="I135" s="23" t="s">
        <v>1491</v>
      </c>
      <c r="J135" s="23">
        <f t="shared" ca="1" si="16"/>
        <v>3</v>
      </c>
      <c r="K135" s="23">
        <f t="shared" ca="1" si="17"/>
        <v>1</v>
      </c>
      <c r="L135" s="222">
        <v>220700</v>
      </c>
      <c r="M135" s="222"/>
      <c r="N135" s="222"/>
      <c r="O135" s="222"/>
      <c r="P135" s="61" t="s">
        <v>1281</v>
      </c>
      <c r="Q135" s="23" t="s">
        <v>1493</v>
      </c>
    </row>
    <row r="136" spans="1:17">
      <c r="A136" s="23">
        <v>999</v>
      </c>
      <c r="B136" s="23" t="str">
        <f t="shared" si="14"/>
        <v>賃貸資産以外の償却</v>
      </c>
      <c r="C136" s="23">
        <v>401</v>
      </c>
      <c r="D136" s="23" t="str">
        <f t="shared" si="15"/>
        <v>コアプラス東京株式会社</v>
      </c>
      <c r="E136" s="23" t="s">
        <v>203</v>
      </c>
      <c r="F136" s="23" t="s">
        <v>756</v>
      </c>
      <c r="G136" s="23" t="s">
        <v>1487</v>
      </c>
      <c r="H136" s="23" t="s">
        <v>1495</v>
      </c>
      <c r="I136" s="23" t="s">
        <v>1284</v>
      </c>
      <c r="J136" s="23">
        <f t="shared" ca="1" si="16"/>
        <v>3</v>
      </c>
      <c r="K136" s="23" t="str">
        <f t="shared" si="17"/>
        <v/>
      </c>
      <c r="L136" s="222">
        <v>108431</v>
      </c>
      <c r="M136" s="222"/>
      <c r="N136" s="222">
        <v>36144</v>
      </c>
      <c r="O136" s="222"/>
      <c r="P136" s="61" t="s">
        <v>1281</v>
      </c>
      <c r="Q136" s="23" t="s">
        <v>1489</v>
      </c>
    </row>
    <row r="137" spans="1:17">
      <c r="A137" s="23">
        <v>999</v>
      </c>
      <c r="B137" s="23" t="str">
        <f t="shared" si="14"/>
        <v>賃貸資産以外の償却</v>
      </c>
      <c r="C137" s="23">
        <v>401</v>
      </c>
      <c r="D137" s="23" t="str">
        <f t="shared" si="15"/>
        <v>コアプラス東京株式会社</v>
      </c>
      <c r="E137" s="23" t="s">
        <v>203</v>
      </c>
      <c r="F137" s="23" t="s">
        <v>755</v>
      </c>
      <c r="G137" s="23" t="s">
        <v>1487</v>
      </c>
      <c r="H137" s="23" t="s">
        <v>1496</v>
      </c>
      <c r="I137" s="23" t="s">
        <v>1486</v>
      </c>
      <c r="J137" s="23">
        <f t="shared" ca="1" si="16"/>
        <v>2</v>
      </c>
      <c r="K137" s="23">
        <f t="shared" ca="1" si="17"/>
        <v>3</v>
      </c>
      <c r="L137" s="222">
        <v>241980</v>
      </c>
      <c r="M137" s="222"/>
      <c r="N137" s="222"/>
      <c r="O137" s="222"/>
      <c r="P137" s="61" t="s">
        <v>1281</v>
      </c>
      <c r="Q137" s="23" t="s">
        <v>1489</v>
      </c>
    </row>
    <row r="138" spans="1:17">
      <c r="A138" s="23">
        <v>999</v>
      </c>
      <c r="B138" s="23" t="str">
        <f t="shared" si="14"/>
        <v>賃貸資産以外の償却</v>
      </c>
      <c r="C138" s="23">
        <v>401</v>
      </c>
      <c r="D138" s="23" t="str">
        <f t="shared" si="15"/>
        <v>コアプラス東京株式会社</v>
      </c>
      <c r="E138" s="23" t="s">
        <v>203</v>
      </c>
      <c r="F138" s="23" t="s">
        <v>755</v>
      </c>
      <c r="G138" s="23" t="s">
        <v>1487</v>
      </c>
      <c r="H138" s="23" t="s">
        <v>1497</v>
      </c>
      <c r="I138" s="23" t="s">
        <v>1486</v>
      </c>
      <c r="J138" s="23">
        <f t="shared" ca="1" si="16"/>
        <v>2</v>
      </c>
      <c r="K138" s="23">
        <f t="shared" ca="1" si="17"/>
        <v>3</v>
      </c>
      <c r="L138" s="222">
        <v>137706</v>
      </c>
      <c r="M138" s="222"/>
      <c r="N138" s="222"/>
      <c r="O138" s="222"/>
      <c r="P138" s="61" t="s">
        <v>1281</v>
      </c>
      <c r="Q138" s="23" t="s">
        <v>1493</v>
      </c>
    </row>
    <row r="139" spans="1:17">
      <c r="A139" s="23">
        <v>999</v>
      </c>
      <c r="B139" s="23" t="str">
        <f t="shared" si="14"/>
        <v>賃貸資産以外の償却</v>
      </c>
      <c r="C139" s="23">
        <v>401</v>
      </c>
      <c r="D139" s="23" t="str">
        <f t="shared" si="15"/>
        <v>コアプラス東京株式会社</v>
      </c>
      <c r="E139" s="23" t="s">
        <v>203</v>
      </c>
      <c r="F139" s="23" t="s">
        <v>755</v>
      </c>
      <c r="G139" s="23" t="s">
        <v>1487</v>
      </c>
      <c r="H139" s="23" t="s">
        <v>1498</v>
      </c>
      <c r="I139" s="23" t="s">
        <v>1491</v>
      </c>
      <c r="J139" s="23">
        <f t="shared" ca="1" si="16"/>
        <v>2</v>
      </c>
      <c r="K139" s="23">
        <f t="shared" ca="1" si="17"/>
        <v>2</v>
      </c>
      <c r="L139" s="222">
        <v>107128</v>
      </c>
      <c r="M139" s="222"/>
      <c r="N139" s="222"/>
      <c r="O139" s="222"/>
      <c r="P139" s="61" t="s">
        <v>1281</v>
      </c>
      <c r="Q139" s="23" t="s">
        <v>1493</v>
      </c>
    </row>
    <row r="140" spans="1:17">
      <c r="A140" s="23">
        <v>999</v>
      </c>
      <c r="B140" s="23" t="str">
        <f t="shared" si="14"/>
        <v>賃貸資産以外の償却</v>
      </c>
      <c r="C140" s="23">
        <v>401</v>
      </c>
      <c r="D140" s="23" t="str">
        <f t="shared" si="15"/>
        <v>コアプラス東京株式会社</v>
      </c>
      <c r="E140" s="23" t="s">
        <v>203</v>
      </c>
      <c r="F140" s="23" t="s">
        <v>755</v>
      </c>
      <c r="G140" s="23" t="s">
        <v>1487</v>
      </c>
      <c r="H140" s="23" t="s">
        <v>1499</v>
      </c>
      <c r="I140" s="23" t="s">
        <v>1491</v>
      </c>
      <c r="J140" s="23">
        <f t="shared" ca="1" si="16"/>
        <v>2</v>
      </c>
      <c r="K140" s="23">
        <f t="shared" ca="1" si="17"/>
        <v>2</v>
      </c>
      <c r="L140" s="222">
        <v>113520</v>
      </c>
      <c r="M140" s="222"/>
      <c r="N140" s="222"/>
      <c r="O140" s="222"/>
      <c r="P140" s="61" t="s">
        <v>1281</v>
      </c>
      <c r="Q140" s="23" t="s">
        <v>1493</v>
      </c>
    </row>
    <row r="141" spans="1:17">
      <c r="A141" s="23">
        <v>999</v>
      </c>
      <c r="B141" s="23" t="str">
        <f t="shared" si="14"/>
        <v>賃貸資産以外の償却</v>
      </c>
      <c r="C141" s="23">
        <v>401</v>
      </c>
      <c r="D141" s="23" t="str">
        <f t="shared" si="15"/>
        <v>コアプラス東京株式会社</v>
      </c>
      <c r="E141" s="23" t="s">
        <v>203</v>
      </c>
      <c r="F141" s="23" t="s">
        <v>755</v>
      </c>
      <c r="G141" s="23" t="s">
        <v>1487</v>
      </c>
      <c r="H141" s="23" t="s">
        <v>1500</v>
      </c>
      <c r="I141" s="23" t="s">
        <v>1491</v>
      </c>
      <c r="J141" s="23">
        <f t="shared" ca="1" si="16"/>
        <v>2</v>
      </c>
      <c r="K141" s="23">
        <f t="shared" ca="1" si="17"/>
        <v>2</v>
      </c>
      <c r="L141" s="222">
        <v>269546</v>
      </c>
      <c r="M141" s="222"/>
      <c r="N141" s="222"/>
      <c r="O141" s="222"/>
      <c r="P141" s="61" t="s">
        <v>1281</v>
      </c>
      <c r="Q141" s="23" t="s">
        <v>1493</v>
      </c>
    </row>
    <row r="142" spans="1:17">
      <c r="A142" s="23">
        <v>999</v>
      </c>
      <c r="B142" s="23" t="str">
        <f t="shared" si="14"/>
        <v>賃貸資産以外の償却</v>
      </c>
      <c r="C142" s="23">
        <v>401</v>
      </c>
      <c r="D142" s="23" t="str">
        <f t="shared" si="15"/>
        <v>コアプラス東京株式会社</v>
      </c>
      <c r="E142" s="23" t="s">
        <v>203</v>
      </c>
      <c r="F142" s="23" t="s">
        <v>755</v>
      </c>
      <c r="G142" s="23" t="s">
        <v>1487</v>
      </c>
      <c r="H142" s="23" t="s">
        <v>1501</v>
      </c>
      <c r="I142" s="23" t="s">
        <v>1491</v>
      </c>
      <c r="J142" s="23">
        <f t="shared" ca="1" si="16"/>
        <v>2</v>
      </c>
      <c r="K142" s="23">
        <f t="shared" ca="1" si="17"/>
        <v>2</v>
      </c>
      <c r="L142" s="222">
        <v>223264</v>
      </c>
      <c r="M142" s="222"/>
      <c r="N142" s="222"/>
      <c r="O142" s="222"/>
      <c r="P142" s="61" t="s">
        <v>1281</v>
      </c>
      <c r="Q142" s="23" t="s">
        <v>1493</v>
      </c>
    </row>
    <row r="143" spans="1:17">
      <c r="A143" s="23">
        <v>999</v>
      </c>
      <c r="B143" s="23" t="str">
        <f t="shared" si="14"/>
        <v>賃貸資産以外の償却</v>
      </c>
      <c r="C143" s="23">
        <v>401</v>
      </c>
      <c r="D143" s="23" t="str">
        <f t="shared" si="15"/>
        <v>コアプラス東京株式会社</v>
      </c>
      <c r="E143" s="23" t="s">
        <v>203</v>
      </c>
      <c r="F143" s="23" t="s">
        <v>755</v>
      </c>
      <c r="G143" s="23" t="s">
        <v>1487</v>
      </c>
      <c r="H143" s="23" t="s">
        <v>1502</v>
      </c>
      <c r="I143" s="23" t="s">
        <v>1491</v>
      </c>
      <c r="J143" s="23">
        <f t="shared" ca="1" si="16"/>
        <v>2</v>
      </c>
      <c r="K143" s="23">
        <f t="shared" ca="1" si="17"/>
        <v>2</v>
      </c>
      <c r="L143" s="222">
        <v>144600</v>
      </c>
      <c r="M143" s="222"/>
      <c r="N143" s="222"/>
      <c r="O143" s="222"/>
      <c r="P143" s="61" t="s">
        <v>1281</v>
      </c>
      <c r="Q143" s="23" t="s">
        <v>1489</v>
      </c>
    </row>
    <row r="144" spans="1:17">
      <c r="A144" s="23">
        <v>999</v>
      </c>
      <c r="B144" s="23" t="str">
        <f t="shared" si="14"/>
        <v>賃貸資産以外の償却</v>
      </c>
      <c r="C144" s="23">
        <v>401</v>
      </c>
      <c r="D144" s="23" t="str">
        <f t="shared" si="15"/>
        <v>コアプラス東京株式会社</v>
      </c>
      <c r="E144" s="23" t="s">
        <v>203</v>
      </c>
      <c r="F144" s="23" t="s">
        <v>755</v>
      </c>
      <c r="G144" s="23" t="s">
        <v>1487</v>
      </c>
      <c r="H144" s="23" t="s">
        <v>1503</v>
      </c>
      <c r="I144" s="23" t="s">
        <v>1491</v>
      </c>
      <c r="J144" s="23">
        <f t="shared" ca="1" si="16"/>
        <v>2</v>
      </c>
      <c r="K144" s="23">
        <f t="shared" ca="1" si="17"/>
        <v>2</v>
      </c>
      <c r="L144" s="222">
        <v>152164</v>
      </c>
      <c r="M144" s="222"/>
      <c r="N144" s="222"/>
      <c r="O144" s="222"/>
      <c r="P144" s="61" t="s">
        <v>1281</v>
      </c>
      <c r="Q144" s="23" t="s">
        <v>1489</v>
      </c>
    </row>
    <row r="145" spans="1:17">
      <c r="A145" s="23">
        <v>999</v>
      </c>
      <c r="B145" s="23" t="str">
        <f t="shared" si="14"/>
        <v>賃貸資産以外の償却</v>
      </c>
      <c r="C145" s="23">
        <v>401</v>
      </c>
      <c r="D145" s="23" t="str">
        <f t="shared" si="15"/>
        <v>コアプラス東京株式会社</v>
      </c>
      <c r="E145" s="23" t="s">
        <v>203</v>
      </c>
      <c r="F145" s="23" t="s">
        <v>755</v>
      </c>
      <c r="G145" s="23" t="s">
        <v>1487</v>
      </c>
      <c r="H145" s="23" t="s">
        <v>1504</v>
      </c>
      <c r="I145" s="23" t="s">
        <v>1491</v>
      </c>
      <c r="J145" s="23">
        <f t="shared" ca="1" si="16"/>
        <v>2</v>
      </c>
      <c r="K145" s="23">
        <f t="shared" ca="1" si="17"/>
        <v>2</v>
      </c>
      <c r="L145" s="222">
        <v>114200</v>
      </c>
      <c r="M145" s="222"/>
      <c r="N145" s="222"/>
      <c r="O145" s="222"/>
      <c r="P145" s="61" t="s">
        <v>1281</v>
      </c>
      <c r="Q145" s="23" t="s">
        <v>1489</v>
      </c>
    </row>
    <row r="146" spans="1:17">
      <c r="A146" s="23">
        <v>999</v>
      </c>
      <c r="B146" s="23" t="str">
        <f t="shared" si="14"/>
        <v>賃貸資産以外の償却</v>
      </c>
      <c r="C146" s="23">
        <v>401</v>
      </c>
      <c r="D146" s="23" t="str">
        <f t="shared" si="15"/>
        <v>コアプラス東京株式会社</v>
      </c>
      <c r="E146" s="23" t="s">
        <v>203</v>
      </c>
      <c r="F146" s="23" t="s">
        <v>755</v>
      </c>
      <c r="G146" s="23" t="s">
        <v>1487</v>
      </c>
      <c r="H146" s="23" t="s">
        <v>1505</v>
      </c>
      <c r="I146" s="23" t="s">
        <v>1491</v>
      </c>
      <c r="J146" s="23">
        <f t="shared" ca="1" si="16"/>
        <v>2</v>
      </c>
      <c r="K146" s="23">
        <f t="shared" ca="1" si="17"/>
        <v>2</v>
      </c>
      <c r="L146" s="222">
        <v>114200</v>
      </c>
      <c r="M146" s="222"/>
      <c r="N146" s="222"/>
      <c r="O146" s="222"/>
      <c r="P146" s="61" t="s">
        <v>1281</v>
      </c>
      <c r="Q146" s="23" t="s">
        <v>1489</v>
      </c>
    </row>
    <row r="147" spans="1:17">
      <c r="A147" s="23">
        <v>999</v>
      </c>
      <c r="B147" s="23" t="str">
        <f t="shared" si="14"/>
        <v>賃貸資産以外の償却</v>
      </c>
      <c r="C147" s="23">
        <v>401</v>
      </c>
      <c r="D147" s="23" t="str">
        <f t="shared" si="15"/>
        <v>コアプラス東京株式会社</v>
      </c>
      <c r="E147" s="23" t="s">
        <v>203</v>
      </c>
      <c r="F147" s="23" t="s">
        <v>755</v>
      </c>
      <c r="G147" s="23" t="s">
        <v>1487</v>
      </c>
      <c r="H147" s="23" t="s">
        <v>1506</v>
      </c>
      <c r="I147" s="23" t="s">
        <v>1491</v>
      </c>
      <c r="J147" s="23">
        <f t="shared" ca="1" si="16"/>
        <v>2</v>
      </c>
      <c r="K147" s="23">
        <f t="shared" ca="1" si="17"/>
        <v>2</v>
      </c>
      <c r="L147" s="222">
        <v>267346</v>
      </c>
      <c r="M147" s="222"/>
      <c r="N147" s="222"/>
      <c r="O147" s="222"/>
      <c r="P147" s="61" t="s">
        <v>1281</v>
      </c>
      <c r="Q147" s="23" t="s">
        <v>1489</v>
      </c>
    </row>
    <row r="148" spans="1:17">
      <c r="A148" s="23">
        <v>121</v>
      </c>
      <c r="B148" s="23" t="str">
        <f t="shared" si="14"/>
        <v>目白アパート1号館</v>
      </c>
      <c r="C148" s="23">
        <v>408</v>
      </c>
      <c r="D148" s="23" t="str">
        <f t="shared" si="15"/>
        <v>コアプラス京都株式会社</v>
      </c>
      <c r="E148" s="23" t="s">
        <v>204</v>
      </c>
      <c r="F148" s="23" t="s">
        <v>752</v>
      </c>
      <c r="G148" s="23" t="s">
        <v>1507</v>
      </c>
      <c r="H148" s="23" t="s">
        <v>1506</v>
      </c>
      <c r="I148" s="23">
        <v>15</v>
      </c>
      <c r="J148" s="23">
        <f t="shared" ca="1" si="16"/>
        <v>2</v>
      </c>
      <c r="K148" s="23">
        <f t="shared" ca="1" si="17"/>
        <v>13</v>
      </c>
      <c r="L148" s="78">
        <v>51251000</v>
      </c>
      <c r="M148" s="78">
        <v>51251000</v>
      </c>
      <c r="N148" s="78">
        <v>2500000</v>
      </c>
      <c r="O148" s="78">
        <f>M148-N148</f>
        <v>48751000</v>
      </c>
      <c r="P148" s="61">
        <v>0</v>
      </c>
      <c r="Q148" s="23" t="s">
        <v>1508</v>
      </c>
    </row>
    <row r="149" spans="1:17">
      <c r="A149" s="23">
        <v>122</v>
      </c>
      <c r="B149" s="23" t="str">
        <f t="shared" si="14"/>
        <v>目白アパート2号館</v>
      </c>
      <c r="C149" s="23">
        <v>408</v>
      </c>
      <c r="D149" s="23" t="str">
        <f t="shared" si="15"/>
        <v>コアプラス京都株式会社</v>
      </c>
      <c r="E149" s="23" t="s">
        <v>204</v>
      </c>
      <c r="F149" s="23" t="s">
        <v>752</v>
      </c>
      <c r="G149" s="23" t="s">
        <v>1509</v>
      </c>
      <c r="H149" s="23" t="s">
        <v>1506</v>
      </c>
      <c r="I149" s="23">
        <v>15</v>
      </c>
      <c r="J149" s="23">
        <f t="shared" ca="1" si="16"/>
        <v>2</v>
      </c>
      <c r="K149" s="23">
        <f t="shared" ca="1" si="17"/>
        <v>13</v>
      </c>
      <c r="L149" s="78">
        <v>31236000</v>
      </c>
      <c r="M149" s="78">
        <v>31236000</v>
      </c>
      <c r="N149" s="78">
        <v>2000000</v>
      </c>
      <c r="O149" s="78">
        <f>M149-N149</f>
        <v>29236000</v>
      </c>
      <c r="P149" s="61">
        <v>0</v>
      </c>
      <c r="Q149" s="23" t="s">
        <v>1508</v>
      </c>
    </row>
    <row r="150" spans="1:17">
      <c r="A150" s="23">
        <v>121</v>
      </c>
      <c r="B150" s="23" t="str">
        <f t="shared" ref="B150:B151" si="18">VLOOKUP(A150,id_settings,2,FALSE)</f>
        <v>目白アパート1号館</v>
      </c>
      <c r="C150" s="23">
        <v>408</v>
      </c>
      <c r="D150" s="23" t="str">
        <f t="shared" ref="D150:D151" si="19">VLOOKUP(C150,id_settings,2,FALSE)</f>
        <v>コアプラス京都株式会社</v>
      </c>
      <c r="E150" s="23" t="s">
        <v>732</v>
      </c>
      <c r="F150" s="23" t="s">
        <v>752</v>
      </c>
      <c r="G150" s="23" t="s">
        <v>1507</v>
      </c>
      <c r="H150" s="23" t="s">
        <v>1506</v>
      </c>
      <c r="J150" s="23">
        <f t="shared" ca="1" si="16"/>
        <v>2</v>
      </c>
      <c r="K150" s="23" t="str">
        <f t="shared" si="17"/>
        <v/>
      </c>
      <c r="L150" s="78">
        <v>5112000</v>
      </c>
      <c r="M150" s="78">
        <v>5112000</v>
      </c>
      <c r="N150" s="78">
        <v>0</v>
      </c>
      <c r="O150" s="78">
        <v>5112000</v>
      </c>
      <c r="P150" s="61">
        <v>0</v>
      </c>
      <c r="Q150" s="23" t="s">
        <v>1508</v>
      </c>
    </row>
    <row r="151" spans="1:17">
      <c r="A151" s="23">
        <v>122</v>
      </c>
      <c r="B151" s="23" t="str">
        <f t="shared" si="18"/>
        <v>目白アパート2号館</v>
      </c>
      <c r="C151" s="23">
        <v>408</v>
      </c>
      <c r="D151" s="23" t="str">
        <f t="shared" si="19"/>
        <v>コアプラス京都株式会社</v>
      </c>
      <c r="E151" s="23" t="s">
        <v>732</v>
      </c>
      <c r="F151" s="23" t="s">
        <v>752</v>
      </c>
      <c r="G151" s="23" t="s">
        <v>1509</v>
      </c>
      <c r="H151" s="23" t="s">
        <v>1506</v>
      </c>
      <c r="J151" s="23">
        <f t="shared" ca="1" si="16"/>
        <v>2</v>
      </c>
      <c r="K151" s="23" t="str">
        <f t="shared" si="17"/>
        <v/>
      </c>
      <c r="L151" s="78">
        <v>5241000</v>
      </c>
      <c r="M151" s="78">
        <v>5241000</v>
      </c>
      <c r="N151" s="78">
        <v>0</v>
      </c>
      <c r="O151" s="78">
        <v>5241000</v>
      </c>
      <c r="P151" s="61">
        <v>0</v>
      </c>
      <c r="Q151" s="23" t="s">
        <v>1508</v>
      </c>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115</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102</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106</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v>103</v>
      </c>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v>113</v>
      </c>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v>105</v>
      </c>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v>112</v>
      </c>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v>107</v>
      </c>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v>116</v>
      </c>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v>111</v>
      </c>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v>101</v>
      </c>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v>109</v>
      </c>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v>114</v>
      </c>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v>120</v>
      </c>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v>117</v>
      </c>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v>104</v>
      </c>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v>121</v>
      </c>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v>222</v>
      </c>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v>122</v>
      </c>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v>221</v>
      </c>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115</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102</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106</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v>103</v>
      </c>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v>113</v>
      </c>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v>105</v>
      </c>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v>112</v>
      </c>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v>107</v>
      </c>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v>116</v>
      </c>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v>111</v>
      </c>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v>101</v>
      </c>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v>109</v>
      </c>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v>114</v>
      </c>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v>120</v>
      </c>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v>117</v>
      </c>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v>104</v>
      </c>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v>121</v>
      </c>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v>222</v>
      </c>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v>122</v>
      </c>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v>221</v>
      </c>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115</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102</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106</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v>103</v>
      </c>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v>113</v>
      </c>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v>105</v>
      </c>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v>112</v>
      </c>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v>107</v>
      </c>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v>116</v>
      </c>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v>111</v>
      </c>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v>101</v>
      </c>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v>109</v>
      </c>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v>114</v>
      </c>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v>120</v>
      </c>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v>117</v>
      </c>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v>104</v>
      </c>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v>121</v>
      </c>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v>122</v>
      </c>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v>221</v>
      </c>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v>222</v>
      </c>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2</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3</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v>4</v>
      </c>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v>5</v>
      </c>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v>6</v>
      </c>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v>7</v>
      </c>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v>8</v>
      </c>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v>9</v>
      </c>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v>10</v>
      </c>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v>11</v>
      </c>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v>12</v>
      </c>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v>13</v>
      </c>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v>14</v>
      </c>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v>15</v>
      </c>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v>16</v>
      </c>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v>17</v>
      </c>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v>18</v>
      </c>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v>19</v>
      </c>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v>20</v>
      </c>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v>21</v>
      </c>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v>22</v>
      </c>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v>23</v>
      </c>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v>24</v>
      </c>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v>25</v>
      </c>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v>26</v>
      </c>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v>27</v>
      </c>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v>28</v>
      </c>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v>29</v>
      </c>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v>30</v>
      </c>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v>31</v>
      </c>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v>32</v>
      </c>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v>33</v>
      </c>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v>34</v>
      </c>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v>35</v>
      </c>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v>36</v>
      </c>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v>37</v>
      </c>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v>38</v>
      </c>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v>39</v>
      </c>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v>40</v>
      </c>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s">
        <v>1558</v>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101</v>
      </c>
      <c r="C4" s="567" t="str">
        <f t="shared" ref="C4:C67" si="0">VLOOKUP(B4,id_settings,2,FALSE)</f>
        <v>西池袋駅前ビル</v>
      </c>
      <c r="D4" s="320" t="s">
        <v>1566</v>
      </c>
      <c r="E4" s="321">
        <v>16.89</v>
      </c>
      <c r="F4" s="322">
        <v>631</v>
      </c>
      <c r="G4" s="563" t="str">
        <f t="shared" ref="G4:G67" si="1">VLOOKUP(F4,id_settings,2,FALSE)</f>
        <v>住居</v>
      </c>
      <c r="H4" s="127" t="s">
        <v>1567</v>
      </c>
      <c r="I4" s="126">
        <v>62000</v>
      </c>
      <c r="J4" s="126">
        <v>3000</v>
      </c>
      <c r="K4" s="126">
        <v>0</v>
      </c>
      <c r="L4" s="126">
        <v>0</v>
      </c>
      <c r="M4" s="562">
        <f>SUM(I4:L4)</f>
        <v>65000</v>
      </c>
      <c r="N4" s="129">
        <v>65000</v>
      </c>
      <c r="O4" s="129">
        <v>0</v>
      </c>
      <c r="P4" s="562">
        <f t="shared" ref="P4:P67" si="2">N4+O4</f>
        <v>65000</v>
      </c>
      <c r="Q4" s="562">
        <f>VALUE(IF(Y4=0,N4+O4,M4))</f>
        <v>65000</v>
      </c>
      <c r="R4" s="126" t="s">
        <v>1568</v>
      </c>
      <c r="S4" s="126" t="s">
        <v>852</v>
      </c>
      <c r="T4" s="323" t="s">
        <v>1284</v>
      </c>
      <c r="V4" s="43" t="s">
        <v>1569</v>
      </c>
      <c r="W4" s="221">
        <v>65000</v>
      </c>
      <c r="Y4" s="6">
        <f t="shared" ref="Y4:Y67" si="3">IF(M4=0,0,1)</f>
        <v>1</v>
      </c>
      <c r="Z4" s="562">
        <f t="shared" ref="Z4:Z67" si="4">IF(Y4=1,SUM(I4:K4),N4)</f>
        <v>65000</v>
      </c>
      <c r="AA4" s="122">
        <f t="shared" ref="AA4:AA67" si="5">N4-Z4</f>
        <v>0</v>
      </c>
      <c r="AB4" s="122">
        <f t="shared" ref="AB4:AB67" si="6">Z4-W4</f>
        <v>0</v>
      </c>
      <c r="AC4" s="6">
        <f t="shared" ref="AC4:AC67" si="7">IF(E4="-",0,1)</f>
        <v>1</v>
      </c>
      <c r="AD4" s="563">
        <f>IF(I4="-",0,1)</f>
        <v>1</v>
      </c>
      <c r="AE4" s="64"/>
      <c r="AF4" s="31">
        <v>62000</v>
      </c>
      <c r="AG4" s="31">
        <v>3000</v>
      </c>
      <c r="AH4" s="31">
        <v>0</v>
      </c>
      <c r="AI4" s="31">
        <v>0</v>
      </c>
      <c r="AJ4" s="31">
        <v>65000</v>
      </c>
      <c r="AK4" s="31">
        <v>65000</v>
      </c>
      <c r="AL4" s="31">
        <v>0</v>
      </c>
      <c r="AM4" s="56">
        <v>65000</v>
      </c>
      <c r="AN4" s="31">
        <v>65000</v>
      </c>
      <c r="AO4" s="31" t="s">
        <v>1568</v>
      </c>
      <c r="AP4" s="23" t="s">
        <v>187</v>
      </c>
      <c r="AQ4" s="23" t="s">
        <v>1284</v>
      </c>
    </row>
    <row r="5" spans="1:43">
      <c r="A5" s="34">
        <v>2</v>
      </c>
      <c r="B5" s="34">
        <v>101</v>
      </c>
      <c r="C5" s="568" t="str">
        <f t="shared" si="0"/>
        <v>西池袋駅前ビル</v>
      </c>
      <c r="D5" s="45" t="s">
        <v>1570</v>
      </c>
      <c r="E5" s="46">
        <v>16.75</v>
      </c>
      <c r="F5" s="324">
        <v>631</v>
      </c>
      <c r="G5" s="566" t="str">
        <f t="shared" si="1"/>
        <v>住居</v>
      </c>
      <c r="H5" s="44" t="s">
        <v>1567</v>
      </c>
      <c r="I5" s="325">
        <v>62000</v>
      </c>
      <c r="J5" s="325">
        <v>3000</v>
      </c>
      <c r="K5" s="325">
        <v>0</v>
      </c>
      <c r="L5" s="325">
        <v>0</v>
      </c>
      <c r="M5" s="565">
        <f t="shared" ref="M5:M68" si="8">SUM(I5:L5)</f>
        <v>65000</v>
      </c>
      <c r="N5" s="326">
        <v>65000</v>
      </c>
      <c r="O5" s="326">
        <v>0</v>
      </c>
      <c r="P5" s="565">
        <f t="shared" si="2"/>
        <v>65000</v>
      </c>
      <c r="Q5" s="565">
        <f t="shared" ref="Q5:Q68" si="9">VALUE(IF(Y5=0,N5+O5,M5))</f>
        <v>65000</v>
      </c>
      <c r="R5" s="325" t="s">
        <v>1568</v>
      </c>
      <c r="S5" s="325" t="s">
        <v>187</v>
      </c>
      <c r="T5" s="327" t="s">
        <v>1284</v>
      </c>
      <c r="V5" s="43" t="s">
        <v>1571</v>
      </c>
      <c r="W5" s="221">
        <v>61000</v>
      </c>
      <c r="Y5" s="6">
        <f t="shared" si="3"/>
        <v>1</v>
      </c>
      <c r="Z5" s="562">
        <f t="shared" si="4"/>
        <v>65000</v>
      </c>
      <c r="AA5" s="122">
        <f t="shared" si="5"/>
        <v>0</v>
      </c>
      <c r="AB5" s="122">
        <f t="shared" si="6"/>
        <v>4000</v>
      </c>
      <c r="AC5" s="6">
        <f t="shared" si="7"/>
        <v>1</v>
      </c>
      <c r="AD5" s="563">
        <f t="shared" ref="AD5:AD68" si="10">IF(I5="-",0,1)</f>
        <v>1</v>
      </c>
      <c r="AE5" s="64"/>
      <c r="AF5" s="31">
        <v>62000</v>
      </c>
      <c r="AG5" s="31">
        <v>3000</v>
      </c>
      <c r="AH5" s="31">
        <v>0</v>
      </c>
      <c r="AI5" s="31">
        <v>0</v>
      </c>
      <c r="AJ5" s="31">
        <v>65000</v>
      </c>
      <c r="AK5" s="31">
        <v>65000</v>
      </c>
      <c r="AL5" s="31">
        <v>0</v>
      </c>
      <c r="AM5" s="56">
        <v>65000</v>
      </c>
      <c r="AN5" s="31">
        <v>65000</v>
      </c>
      <c r="AO5" s="31" t="s">
        <v>1568</v>
      </c>
      <c r="AP5" s="23" t="s">
        <v>187</v>
      </c>
      <c r="AQ5" s="23" t="s">
        <v>1284</v>
      </c>
    </row>
    <row r="6" spans="1:43">
      <c r="A6" s="34">
        <v>3</v>
      </c>
      <c r="B6" s="34">
        <v>101</v>
      </c>
      <c r="C6" s="568" t="str">
        <f t="shared" si="0"/>
        <v>西池袋駅前ビル</v>
      </c>
      <c r="D6" s="45" t="s">
        <v>1572</v>
      </c>
      <c r="E6" s="46">
        <v>16.600000000000001</v>
      </c>
      <c r="F6" s="324">
        <v>631</v>
      </c>
      <c r="G6" s="566" t="str">
        <f t="shared" si="1"/>
        <v>住居</v>
      </c>
      <c r="H6" s="44" t="s">
        <v>1567</v>
      </c>
      <c r="I6" s="325">
        <v>69800</v>
      </c>
      <c r="J6" s="325">
        <v>0</v>
      </c>
      <c r="K6" s="325">
        <v>0</v>
      </c>
      <c r="L6" s="325">
        <v>0</v>
      </c>
      <c r="M6" s="565">
        <f t="shared" si="8"/>
        <v>69800</v>
      </c>
      <c r="N6" s="326">
        <v>69800</v>
      </c>
      <c r="O6" s="326">
        <v>0</v>
      </c>
      <c r="P6" s="565">
        <f t="shared" si="2"/>
        <v>69800</v>
      </c>
      <c r="Q6" s="565">
        <f t="shared" si="9"/>
        <v>69800</v>
      </c>
      <c r="R6" s="325" t="s">
        <v>1568</v>
      </c>
      <c r="S6" s="325" t="s">
        <v>187</v>
      </c>
      <c r="T6" s="327" t="s">
        <v>1284</v>
      </c>
      <c r="V6" s="43" t="s">
        <v>1573</v>
      </c>
      <c r="W6" s="221">
        <v>66000</v>
      </c>
      <c r="Y6" s="6">
        <f t="shared" si="3"/>
        <v>1</v>
      </c>
      <c r="Z6" s="562">
        <f t="shared" si="4"/>
        <v>69800</v>
      </c>
      <c r="AA6" s="122">
        <f t="shared" si="5"/>
        <v>0</v>
      </c>
      <c r="AB6" s="122">
        <f t="shared" si="6"/>
        <v>3800</v>
      </c>
      <c r="AC6" s="6">
        <f t="shared" si="7"/>
        <v>1</v>
      </c>
      <c r="AD6" s="563">
        <f t="shared" si="10"/>
        <v>1</v>
      </c>
      <c r="AE6" s="64"/>
      <c r="AF6" s="31">
        <v>69800</v>
      </c>
      <c r="AG6" s="31">
        <v>0</v>
      </c>
      <c r="AH6" s="31">
        <v>0</v>
      </c>
      <c r="AI6" s="31">
        <v>0</v>
      </c>
      <c r="AJ6" s="31">
        <v>69800</v>
      </c>
      <c r="AK6" s="31">
        <v>69800</v>
      </c>
      <c r="AL6" s="31">
        <v>0</v>
      </c>
      <c r="AM6" s="56">
        <v>69800</v>
      </c>
      <c r="AN6" s="31">
        <v>69800</v>
      </c>
      <c r="AO6" s="31" t="s">
        <v>1568</v>
      </c>
      <c r="AP6" s="23" t="s">
        <v>187</v>
      </c>
      <c r="AQ6" s="23" t="s">
        <v>1284</v>
      </c>
    </row>
    <row r="7" spans="1:43">
      <c r="A7" s="34">
        <v>4</v>
      </c>
      <c r="B7" s="34">
        <v>101</v>
      </c>
      <c r="C7" s="568" t="str">
        <f t="shared" si="0"/>
        <v>西池袋駅前ビル</v>
      </c>
      <c r="D7" s="45" t="s">
        <v>1574</v>
      </c>
      <c r="E7" s="46">
        <v>16.739999999999998</v>
      </c>
      <c r="F7" s="324">
        <v>631</v>
      </c>
      <c r="G7" s="566" t="str">
        <f t="shared" si="1"/>
        <v>住居</v>
      </c>
      <c r="H7" s="44" t="s">
        <v>1567</v>
      </c>
      <c r="I7" s="325">
        <v>60000</v>
      </c>
      <c r="J7" s="325">
        <v>3000</v>
      </c>
      <c r="K7" s="325">
        <v>0</v>
      </c>
      <c r="L7" s="325">
        <v>0</v>
      </c>
      <c r="M7" s="565">
        <f t="shared" si="8"/>
        <v>63000</v>
      </c>
      <c r="N7" s="326">
        <v>70000</v>
      </c>
      <c r="O7" s="326">
        <v>0</v>
      </c>
      <c r="P7" s="565">
        <f t="shared" si="2"/>
        <v>70000</v>
      </c>
      <c r="Q7" s="565">
        <f t="shared" si="9"/>
        <v>63000</v>
      </c>
      <c r="R7" s="325" t="s">
        <v>1575</v>
      </c>
      <c r="S7" s="325" t="s">
        <v>187</v>
      </c>
      <c r="T7" s="327" t="s">
        <v>1284</v>
      </c>
      <c r="V7" s="43" t="s">
        <v>1576</v>
      </c>
      <c r="W7" s="221">
        <v>62000</v>
      </c>
      <c r="Y7" s="6">
        <f t="shared" si="3"/>
        <v>1</v>
      </c>
      <c r="Z7" s="562">
        <f t="shared" si="4"/>
        <v>63000</v>
      </c>
      <c r="AA7" s="122">
        <f t="shared" si="5"/>
        <v>7000</v>
      </c>
      <c r="AB7" s="122">
        <f t="shared" si="6"/>
        <v>1000</v>
      </c>
      <c r="AC7" s="6">
        <f t="shared" si="7"/>
        <v>1</v>
      </c>
      <c r="AD7" s="563">
        <f t="shared" si="10"/>
        <v>1</v>
      </c>
      <c r="AE7" s="64"/>
      <c r="AF7" s="31">
        <v>60000</v>
      </c>
      <c r="AG7" s="31">
        <v>3000</v>
      </c>
      <c r="AH7" s="31">
        <v>0</v>
      </c>
      <c r="AI7" s="31">
        <v>0</v>
      </c>
      <c r="AJ7" s="31">
        <v>63000</v>
      </c>
      <c r="AK7" s="31">
        <v>70000</v>
      </c>
      <c r="AL7" s="31">
        <v>0</v>
      </c>
      <c r="AM7" s="56">
        <v>70000</v>
      </c>
      <c r="AN7" s="31">
        <v>63000</v>
      </c>
      <c r="AO7" s="31" t="s">
        <v>1575</v>
      </c>
      <c r="AP7" s="23" t="s">
        <v>187</v>
      </c>
      <c r="AQ7" s="23" t="s">
        <v>1284</v>
      </c>
    </row>
    <row r="8" spans="1:43">
      <c r="A8" s="34">
        <v>5</v>
      </c>
      <c r="B8" s="34">
        <v>101</v>
      </c>
      <c r="C8" s="568" t="str">
        <f t="shared" si="0"/>
        <v>西池袋駅前ビル</v>
      </c>
      <c r="D8" s="45" t="s">
        <v>1577</v>
      </c>
      <c r="E8" s="46">
        <v>16.739999999999998</v>
      </c>
      <c r="F8" s="324">
        <v>631</v>
      </c>
      <c r="G8" s="566" t="str">
        <f t="shared" si="1"/>
        <v>住居</v>
      </c>
      <c r="H8" s="44" t="s">
        <v>1567</v>
      </c>
      <c r="I8" s="325">
        <v>64000</v>
      </c>
      <c r="J8" s="325">
        <v>3000</v>
      </c>
      <c r="K8" s="325">
        <v>0</v>
      </c>
      <c r="L8" s="325">
        <v>0</v>
      </c>
      <c r="M8" s="565">
        <f t="shared" si="8"/>
        <v>67000</v>
      </c>
      <c r="N8" s="326">
        <v>67000</v>
      </c>
      <c r="O8" s="326">
        <v>0</v>
      </c>
      <c r="P8" s="565">
        <f t="shared" si="2"/>
        <v>67000</v>
      </c>
      <c r="Q8" s="565">
        <f t="shared" si="9"/>
        <v>67000</v>
      </c>
      <c r="R8" s="325" t="s">
        <v>1578</v>
      </c>
      <c r="S8" s="325" t="s">
        <v>187</v>
      </c>
      <c r="T8" s="327" t="s">
        <v>1284</v>
      </c>
      <c r="V8" s="43" t="s">
        <v>1579</v>
      </c>
      <c r="W8" s="221">
        <v>65000</v>
      </c>
      <c r="Y8" s="6">
        <f t="shared" si="3"/>
        <v>1</v>
      </c>
      <c r="Z8" s="562">
        <f t="shared" si="4"/>
        <v>67000</v>
      </c>
      <c r="AA8" s="122">
        <f t="shared" si="5"/>
        <v>0</v>
      </c>
      <c r="AB8" s="122">
        <f t="shared" si="6"/>
        <v>2000</v>
      </c>
      <c r="AC8" s="6">
        <f t="shared" si="7"/>
        <v>1</v>
      </c>
      <c r="AD8" s="563">
        <f t="shared" si="10"/>
        <v>1</v>
      </c>
      <c r="AE8" s="64"/>
      <c r="AF8" s="31">
        <v>64000</v>
      </c>
      <c r="AG8" s="31">
        <v>3000</v>
      </c>
      <c r="AH8" s="31">
        <v>0</v>
      </c>
      <c r="AI8" s="31">
        <v>0</v>
      </c>
      <c r="AJ8" s="31">
        <v>67000</v>
      </c>
      <c r="AK8" s="31">
        <v>67000</v>
      </c>
      <c r="AL8" s="31">
        <v>0</v>
      </c>
      <c r="AM8" s="56">
        <v>67000</v>
      </c>
      <c r="AN8" s="31">
        <v>67000</v>
      </c>
      <c r="AO8" s="31" t="s">
        <v>1578</v>
      </c>
      <c r="AP8" s="23" t="s">
        <v>187</v>
      </c>
      <c r="AQ8" s="23" t="s">
        <v>1284</v>
      </c>
    </row>
    <row r="9" spans="1:43">
      <c r="A9" s="34">
        <v>6</v>
      </c>
      <c r="B9" s="34">
        <v>101</v>
      </c>
      <c r="C9" s="568" t="str">
        <f t="shared" si="0"/>
        <v>西池袋駅前ビル</v>
      </c>
      <c r="D9" s="45" t="s">
        <v>1580</v>
      </c>
      <c r="E9" s="46">
        <v>16.53</v>
      </c>
      <c r="F9" s="324">
        <v>631</v>
      </c>
      <c r="G9" s="566" t="str">
        <f t="shared" si="1"/>
        <v>住居</v>
      </c>
      <c r="H9" s="44" t="s">
        <v>1567</v>
      </c>
      <c r="I9" s="325">
        <v>56000</v>
      </c>
      <c r="J9" s="325">
        <v>3000</v>
      </c>
      <c r="K9" s="325">
        <v>0</v>
      </c>
      <c r="L9" s="325">
        <v>0</v>
      </c>
      <c r="M9" s="565">
        <f t="shared" si="8"/>
        <v>59000</v>
      </c>
      <c r="N9" s="326">
        <v>67000</v>
      </c>
      <c r="O9" s="326">
        <v>0</v>
      </c>
      <c r="P9" s="565">
        <f t="shared" si="2"/>
        <v>67000</v>
      </c>
      <c r="Q9" s="565">
        <f t="shared" si="9"/>
        <v>59000</v>
      </c>
      <c r="R9" s="325" t="s">
        <v>1568</v>
      </c>
      <c r="S9" s="325" t="s">
        <v>187</v>
      </c>
      <c r="T9" s="327" t="s">
        <v>1284</v>
      </c>
      <c r="V9" s="43" t="s">
        <v>1581</v>
      </c>
      <c r="W9" s="221">
        <v>67000</v>
      </c>
      <c r="Y9" s="6">
        <f t="shared" si="3"/>
        <v>1</v>
      </c>
      <c r="Z9" s="562">
        <f t="shared" si="4"/>
        <v>59000</v>
      </c>
      <c r="AA9" s="122">
        <f t="shared" si="5"/>
        <v>8000</v>
      </c>
      <c r="AB9" s="122">
        <f t="shared" si="6"/>
        <v>-8000</v>
      </c>
      <c r="AC9" s="6">
        <f t="shared" si="7"/>
        <v>1</v>
      </c>
      <c r="AD9" s="563">
        <f t="shared" si="10"/>
        <v>1</v>
      </c>
      <c r="AE9" s="64"/>
      <c r="AF9" s="31">
        <v>56000</v>
      </c>
      <c r="AG9" s="31">
        <v>3000</v>
      </c>
      <c r="AH9" s="31">
        <v>0</v>
      </c>
      <c r="AI9" s="31">
        <v>0</v>
      </c>
      <c r="AJ9" s="31">
        <v>59000</v>
      </c>
      <c r="AK9" s="31">
        <v>67000</v>
      </c>
      <c r="AL9" s="31">
        <v>0</v>
      </c>
      <c r="AM9" s="56">
        <v>67000</v>
      </c>
      <c r="AN9" s="31">
        <v>59000</v>
      </c>
      <c r="AO9" s="31" t="s">
        <v>1568</v>
      </c>
      <c r="AP9" s="23" t="s">
        <v>187</v>
      </c>
      <c r="AQ9" s="23" t="s">
        <v>1284</v>
      </c>
    </row>
    <row r="10" spans="1:43">
      <c r="A10" s="34">
        <v>7</v>
      </c>
      <c r="B10" s="34">
        <v>101</v>
      </c>
      <c r="C10" s="568" t="str">
        <f t="shared" si="0"/>
        <v>西池袋駅前ビル</v>
      </c>
      <c r="D10" s="45" t="s">
        <v>1582</v>
      </c>
      <c r="E10" s="46">
        <v>16.75</v>
      </c>
      <c r="F10" s="324">
        <v>631</v>
      </c>
      <c r="G10" s="566" t="str">
        <f t="shared" si="1"/>
        <v>住居</v>
      </c>
      <c r="H10" s="44" t="s">
        <v>1567</v>
      </c>
      <c r="I10" s="325">
        <v>62000</v>
      </c>
      <c r="J10" s="325">
        <v>3000</v>
      </c>
      <c r="K10" s="325">
        <v>0</v>
      </c>
      <c r="L10" s="325">
        <v>0</v>
      </c>
      <c r="M10" s="565">
        <f t="shared" si="8"/>
        <v>65000</v>
      </c>
      <c r="N10" s="326">
        <v>65000</v>
      </c>
      <c r="O10" s="326">
        <v>0</v>
      </c>
      <c r="P10" s="565">
        <f t="shared" si="2"/>
        <v>65000</v>
      </c>
      <c r="Q10" s="565">
        <f t="shared" si="9"/>
        <v>65000</v>
      </c>
      <c r="R10" s="325" t="s">
        <v>1583</v>
      </c>
      <c r="S10" s="325" t="s">
        <v>187</v>
      </c>
      <c r="T10" s="327" t="s">
        <v>1284</v>
      </c>
      <c r="V10" s="43" t="s">
        <v>1584</v>
      </c>
      <c r="W10" s="221">
        <v>65000</v>
      </c>
      <c r="Y10" s="6">
        <f t="shared" si="3"/>
        <v>1</v>
      </c>
      <c r="Z10" s="562">
        <f t="shared" si="4"/>
        <v>65000</v>
      </c>
      <c r="AA10" s="122">
        <f t="shared" si="5"/>
        <v>0</v>
      </c>
      <c r="AB10" s="122">
        <f t="shared" si="6"/>
        <v>0</v>
      </c>
      <c r="AC10" s="6">
        <f t="shared" si="7"/>
        <v>1</v>
      </c>
      <c r="AD10" s="563">
        <f t="shared" si="10"/>
        <v>1</v>
      </c>
      <c r="AE10" s="64"/>
      <c r="AF10" s="31">
        <v>62000</v>
      </c>
      <c r="AG10" s="31">
        <v>3000</v>
      </c>
      <c r="AH10" s="31">
        <v>0</v>
      </c>
      <c r="AI10" s="31">
        <v>0</v>
      </c>
      <c r="AJ10" s="31">
        <v>65000</v>
      </c>
      <c r="AK10" s="31">
        <v>65000</v>
      </c>
      <c r="AL10" s="31">
        <v>0</v>
      </c>
      <c r="AM10" s="56">
        <v>65000</v>
      </c>
      <c r="AN10" s="31">
        <v>65000</v>
      </c>
      <c r="AO10" s="31" t="s">
        <v>1583</v>
      </c>
      <c r="AP10" s="23" t="s">
        <v>187</v>
      </c>
      <c r="AQ10" s="23" t="s">
        <v>1284</v>
      </c>
    </row>
    <row r="11" spans="1:43">
      <c r="A11" s="34">
        <v>8</v>
      </c>
      <c r="B11" s="34">
        <v>101</v>
      </c>
      <c r="C11" s="568" t="str">
        <f t="shared" si="0"/>
        <v>西池袋駅前ビル</v>
      </c>
      <c r="D11" s="45" t="s">
        <v>1585</v>
      </c>
      <c r="E11" s="46">
        <v>16.600000000000001</v>
      </c>
      <c r="F11" s="324">
        <v>631</v>
      </c>
      <c r="G11" s="566" t="str">
        <f t="shared" si="1"/>
        <v>住居</v>
      </c>
      <c r="H11" s="44" t="s">
        <v>1567</v>
      </c>
      <c r="I11" s="325">
        <v>63000</v>
      </c>
      <c r="J11" s="325">
        <v>3000</v>
      </c>
      <c r="K11" s="325">
        <v>0</v>
      </c>
      <c r="L11" s="325">
        <v>0</v>
      </c>
      <c r="M11" s="565">
        <f t="shared" si="8"/>
        <v>66000</v>
      </c>
      <c r="N11" s="326">
        <v>70000</v>
      </c>
      <c r="O11" s="326">
        <v>0</v>
      </c>
      <c r="P11" s="565">
        <f t="shared" si="2"/>
        <v>70000</v>
      </c>
      <c r="Q11" s="565">
        <f t="shared" si="9"/>
        <v>66000</v>
      </c>
      <c r="R11" s="325" t="s">
        <v>1568</v>
      </c>
      <c r="S11" s="325" t="s">
        <v>187</v>
      </c>
      <c r="T11" s="327" t="s">
        <v>1284</v>
      </c>
      <c r="V11" s="43" t="s">
        <v>1586</v>
      </c>
      <c r="W11" s="221">
        <v>67000</v>
      </c>
      <c r="Y11" s="6">
        <f t="shared" si="3"/>
        <v>1</v>
      </c>
      <c r="Z11" s="562">
        <f t="shared" si="4"/>
        <v>66000</v>
      </c>
      <c r="AA11" s="122">
        <f t="shared" si="5"/>
        <v>4000</v>
      </c>
      <c r="AB11" s="122">
        <f t="shared" si="6"/>
        <v>-1000</v>
      </c>
      <c r="AC11" s="6">
        <f t="shared" si="7"/>
        <v>1</v>
      </c>
      <c r="AD11" s="563">
        <f t="shared" si="10"/>
        <v>1</v>
      </c>
      <c r="AE11" s="64"/>
      <c r="AF11" s="31">
        <v>63000</v>
      </c>
      <c r="AG11" s="31">
        <v>3000</v>
      </c>
      <c r="AH11" s="31">
        <v>0</v>
      </c>
      <c r="AI11" s="31">
        <v>0</v>
      </c>
      <c r="AJ11" s="31">
        <v>66000</v>
      </c>
      <c r="AK11" s="31">
        <v>70000</v>
      </c>
      <c r="AL11" s="31">
        <v>0</v>
      </c>
      <c r="AM11" s="56">
        <v>70000</v>
      </c>
      <c r="AN11" s="31">
        <v>66000</v>
      </c>
      <c r="AO11" s="31" t="s">
        <v>1568</v>
      </c>
      <c r="AP11" s="23" t="s">
        <v>187</v>
      </c>
      <c r="AQ11" s="23" t="s">
        <v>1284</v>
      </c>
    </row>
    <row r="12" spans="1:43">
      <c r="A12" s="34">
        <v>9</v>
      </c>
      <c r="B12" s="34">
        <v>101</v>
      </c>
      <c r="C12" s="568" t="str">
        <f t="shared" si="0"/>
        <v>西池袋駅前ビル</v>
      </c>
      <c r="D12" s="45" t="s">
        <v>1587</v>
      </c>
      <c r="E12" s="46">
        <v>16.739999999999998</v>
      </c>
      <c r="F12" s="324">
        <v>631</v>
      </c>
      <c r="G12" s="566" t="str">
        <f t="shared" si="1"/>
        <v>住居</v>
      </c>
      <c r="H12" s="44" t="s">
        <v>1567</v>
      </c>
      <c r="I12" s="325">
        <v>63000</v>
      </c>
      <c r="J12" s="325">
        <v>3000</v>
      </c>
      <c r="K12" s="325">
        <v>0</v>
      </c>
      <c r="L12" s="325">
        <v>0</v>
      </c>
      <c r="M12" s="565">
        <f t="shared" si="8"/>
        <v>66000</v>
      </c>
      <c r="N12" s="326">
        <v>68000</v>
      </c>
      <c r="O12" s="326">
        <v>0</v>
      </c>
      <c r="P12" s="565">
        <f t="shared" si="2"/>
        <v>68000</v>
      </c>
      <c r="Q12" s="565">
        <f t="shared" si="9"/>
        <v>66000</v>
      </c>
      <c r="R12" s="325" t="s">
        <v>1568</v>
      </c>
      <c r="S12" s="325" t="s">
        <v>187</v>
      </c>
      <c r="T12" s="327" t="s">
        <v>1284</v>
      </c>
      <c r="V12" s="43" t="s">
        <v>1588</v>
      </c>
      <c r="W12" s="221">
        <v>67000</v>
      </c>
      <c r="Y12" s="6">
        <f t="shared" si="3"/>
        <v>1</v>
      </c>
      <c r="Z12" s="562">
        <f t="shared" si="4"/>
        <v>66000</v>
      </c>
      <c r="AA12" s="122">
        <f t="shared" si="5"/>
        <v>2000</v>
      </c>
      <c r="AB12" s="122">
        <f t="shared" si="6"/>
        <v>-1000</v>
      </c>
      <c r="AC12" s="6">
        <f t="shared" si="7"/>
        <v>1</v>
      </c>
      <c r="AD12" s="563">
        <f t="shared" si="10"/>
        <v>1</v>
      </c>
      <c r="AE12" s="64"/>
      <c r="AF12" s="31">
        <v>63000</v>
      </c>
      <c r="AG12" s="31">
        <v>3000</v>
      </c>
      <c r="AH12" s="31">
        <v>0</v>
      </c>
      <c r="AI12" s="31">
        <v>0</v>
      </c>
      <c r="AJ12" s="31">
        <v>66000</v>
      </c>
      <c r="AK12" s="31">
        <v>68000</v>
      </c>
      <c r="AL12" s="31">
        <v>0</v>
      </c>
      <c r="AM12" s="56">
        <v>68000</v>
      </c>
      <c r="AN12" s="31">
        <v>66000</v>
      </c>
      <c r="AO12" s="31" t="s">
        <v>1568</v>
      </c>
      <c r="AP12" s="23" t="s">
        <v>187</v>
      </c>
      <c r="AQ12" s="23" t="s">
        <v>1284</v>
      </c>
    </row>
    <row r="13" spans="1:43">
      <c r="A13" s="34">
        <v>10</v>
      </c>
      <c r="B13" s="34">
        <v>101</v>
      </c>
      <c r="C13" s="568" t="str">
        <f t="shared" si="0"/>
        <v>西池袋駅前ビル</v>
      </c>
      <c r="D13" s="45" t="s">
        <v>1589</v>
      </c>
      <c r="E13" s="46">
        <v>16.559999999999999</v>
      </c>
      <c r="F13" s="324">
        <v>631</v>
      </c>
      <c r="G13" s="566" t="str">
        <f t="shared" si="1"/>
        <v>住居</v>
      </c>
      <c r="H13" s="44" t="s">
        <v>1567</v>
      </c>
      <c r="I13" s="325">
        <v>62000</v>
      </c>
      <c r="J13" s="325">
        <v>0</v>
      </c>
      <c r="K13" s="325">
        <v>0</v>
      </c>
      <c r="L13" s="325">
        <v>0</v>
      </c>
      <c r="M13" s="565">
        <f t="shared" si="8"/>
        <v>62000</v>
      </c>
      <c r="N13" s="326">
        <v>62000</v>
      </c>
      <c r="O13" s="326">
        <v>0</v>
      </c>
      <c r="P13" s="565">
        <f t="shared" si="2"/>
        <v>62000</v>
      </c>
      <c r="Q13" s="565">
        <f t="shared" si="9"/>
        <v>62000</v>
      </c>
      <c r="R13" s="325" t="s">
        <v>1568</v>
      </c>
      <c r="S13" s="325" t="s">
        <v>187</v>
      </c>
      <c r="T13" s="327" t="s">
        <v>1284</v>
      </c>
      <c r="V13" s="43" t="s">
        <v>1590</v>
      </c>
      <c r="W13" s="221">
        <v>62000</v>
      </c>
      <c r="Y13" s="6">
        <f t="shared" si="3"/>
        <v>1</v>
      </c>
      <c r="Z13" s="562">
        <f t="shared" si="4"/>
        <v>62000</v>
      </c>
      <c r="AA13" s="122">
        <f t="shared" si="5"/>
        <v>0</v>
      </c>
      <c r="AB13" s="122">
        <f t="shared" si="6"/>
        <v>0</v>
      </c>
      <c r="AC13" s="6">
        <f t="shared" si="7"/>
        <v>1</v>
      </c>
      <c r="AD13" s="563">
        <f t="shared" si="10"/>
        <v>1</v>
      </c>
      <c r="AE13" s="64"/>
      <c r="AF13" s="31">
        <v>62000</v>
      </c>
      <c r="AG13" s="31">
        <v>0</v>
      </c>
      <c r="AH13" s="31">
        <v>0</v>
      </c>
      <c r="AI13" s="31">
        <v>0</v>
      </c>
      <c r="AJ13" s="31">
        <v>62000</v>
      </c>
      <c r="AK13" s="31">
        <v>62000</v>
      </c>
      <c r="AL13" s="31">
        <v>0</v>
      </c>
      <c r="AM13" s="56">
        <v>62000</v>
      </c>
      <c r="AN13" s="31">
        <v>62000</v>
      </c>
      <c r="AO13" s="31" t="s">
        <v>1568</v>
      </c>
      <c r="AP13" s="23" t="s">
        <v>187</v>
      </c>
      <c r="AQ13" s="23" t="s">
        <v>1284</v>
      </c>
    </row>
    <row r="14" spans="1:43">
      <c r="A14" s="34">
        <v>11</v>
      </c>
      <c r="B14" s="34">
        <v>101</v>
      </c>
      <c r="C14" s="568" t="str">
        <f t="shared" si="0"/>
        <v>西池袋駅前ビル</v>
      </c>
      <c r="D14" s="45" t="s">
        <v>1591</v>
      </c>
      <c r="E14" s="46">
        <v>16.559999999999999</v>
      </c>
      <c r="F14" s="324">
        <v>631</v>
      </c>
      <c r="G14" s="566" t="str">
        <f t="shared" si="1"/>
        <v>住居</v>
      </c>
      <c r="H14" s="44" t="s">
        <v>1567</v>
      </c>
      <c r="I14" s="325">
        <v>63000</v>
      </c>
      <c r="J14" s="325">
        <v>3000</v>
      </c>
      <c r="K14" s="325">
        <v>0</v>
      </c>
      <c r="L14" s="325">
        <v>0</v>
      </c>
      <c r="M14" s="565">
        <f t="shared" si="8"/>
        <v>66000</v>
      </c>
      <c r="N14" s="326">
        <v>66000</v>
      </c>
      <c r="O14" s="326">
        <v>0</v>
      </c>
      <c r="P14" s="565">
        <f t="shared" si="2"/>
        <v>66000</v>
      </c>
      <c r="Q14" s="565">
        <f t="shared" si="9"/>
        <v>66000</v>
      </c>
      <c r="R14" s="325" t="s">
        <v>1568</v>
      </c>
      <c r="S14" s="325" t="s">
        <v>187</v>
      </c>
      <c r="T14" s="327" t="s">
        <v>1284</v>
      </c>
      <c r="V14" s="43" t="s">
        <v>1592</v>
      </c>
      <c r="W14" s="221">
        <v>65000</v>
      </c>
      <c r="Y14" s="6">
        <f t="shared" si="3"/>
        <v>1</v>
      </c>
      <c r="Z14" s="562">
        <f t="shared" si="4"/>
        <v>66000</v>
      </c>
      <c r="AA14" s="122">
        <f t="shared" si="5"/>
        <v>0</v>
      </c>
      <c r="AB14" s="122">
        <f t="shared" si="6"/>
        <v>1000</v>
      </c>
      <c r="AC14" s="6">
        <f t="shared" si="7"/>
        <v>1</v>
      </c>
      <c r="AD14" s="563">
        <f t="shared" si="10"/>
        <v>1</v>
      </c>
      <c r="AE14" s="64"/>
      <c r="AF14" s="31">
        <v>63000</v>
      </c>
      <c r="AG14" s="31">
        <v>3000</v>
      </c>
      <c r="AH14" s="31">
        <v>0</v>
      </c>
      <c r="AI14" s="31">
        <v>0</v>
      </c>
      <c r="AJ14" s="31">
        <v>66000</v>
      </c>
      <c r="AK14" s="31">
        <v>66000</v>
      </c>
      <c r="AL14" s="31">
        <v>0</v>
      </c>
      <c r="AM14" s="56">
        <v>66000</v>
      </c>
      <c r="AN14" s="31">
        <v>66000</v>
      </c>
      <c r="AO14" s="31" t="s">
        <v>1568</v>
      </c>
      <c r="AP14" s="23" t="s">
        <v>187</v>
      </c>
      <c r="AQ14" s="23" t="s">
        <v>1284</v>
      </c>
    </row>
    <row r="15" spans="1:43">
      <c r="A15" s="34">
        <v>12</v>
      </c>
      <c r="B15" s="34">
        <v>101</v>
      </c>
      <c r="C15" s="568" t="str">
        <f t="shared" si="0"/>
        <v>西池袋駅前ビル</v>
      </c>
      <c r="D15" s="45" t="s">
        <v>1593</v>
      </c>
      <c r="E15" s="46">
        <v>16.559999999999999</v>
      </c>
      <c r="F15" s="324">
        <v>631</v>
      </c>
      <c r="G15" s="566" t="str">
        <f t="shared" si="1"/>
        <v>住居</v>
      </c>
      <c r="H15" s="44" t="s">
        <v>1567</v>
      </c>
      <c r="I15" s="325">
        <v>62000</v>
      </c>
      <c r="J15" s="325">
        <v>3000</v>
      </c>
      <c r="K15" s="325">
        <v>0</v>
      </c>
      <c r="L15" s="325">
        <v>0</v>
      </c>
      <c r="M15" s="565">
        <f t="shared" si="8"/>
        <v>65000</v>
      </c>
      <c r="N15" s="326">
        <v>65000</v>
      </c>
      <c r="O15" s="326">
        <v>0</v>
      </c>
      <c r="P15" s="565">
        <f t="shared" si="2"/>
        <v>65000</v>
      </c>
      <c r="Q15" s="565">
        <f t="shared" si="9"/>
        <v>65000</v>
      </c>
      <c r="R15" s="325" t="s">
        <v>1568</v>
      </c>
      <c r="S15" s="325" t="s">
        <v>187</v>
      </c>
      <c r="T15" s="327" t="s">
        <v>1284</v>
      </c>
      <c r="V15" s="43" t="s">
        <v>1594</v>
      </c>
      <c r="W15" s="221">
        <v>65000</v>
      </c>
      <c r="Y15" s="6">
        <f t="shared" si="3"/>
        <v>1</v>
      </c>
      <c r="Z15" s="562">
        <f t="shared" si="4"/>
        <v>65000</v>
      </c>
      <c r="AA15" s="122">
        <f t="shared" si="5"/>
        <v>0</v>
      </c>
      <c r="AB15" s="122">
        <f t="shared" si="6"/>
        <v>0</v>
      </c>
      <c r="AC15" s="6">
        <f t="shared" si="7"/>
        <v>1</v>
      </c>
      <c r="AD15" s="563">
        <f t="shared" si="10"/>
        <v>1</v>
      </c>
      <c r="AE15" s="64"/>
      <c r="AF15" s="31">
        <v>62000</v>
      </c>
      <c r="AG15" s="31">
        <v>3000</v>
      </c>
      <c r="AH15" s="31">
        <v>0</v>
      </c>
      <c r="AI15" s="31">
        <v>0</v>
      </c>
      <c r="AJ15" s="31">
        <v>65000</v>
      </c>
      <c r="AK15" s="31">
        <v>65000</v>
      </c>
      <c r="AL15" s="31">
        <v>0</v>
      </c>
      <c r="AM15" s="56">
        <v>65000</v>
      </c>
      <c r="AN15" s="31">
        <v>65000</v>
      </c>
      <c r="AO15" s="31" t="s">
        <v>1568</v>
      </c>
      <c r="AP15" s="23" t="s">
        <v>187</v>
      </c>
      <c r="AQ15" s="23" t="s">
        <v>1284</v>
      </c>
    </row>
    <row r="16" spans="1:43">
      <c r="A16" s="34">
        <v>13</v>
      </c>
      <c r="B16" s="34">
        <v>101</v>
      </c>
      <c r="C16" s="568" t="str">
        <f t="shared" si="0"/>
        <v>西池袋駅前ビル</v>
      </c>
      <c r="D16" s="45" t="s">
        <v>1595</v>
      </c>
      <c r="E16" s="46">
        <v>16.77</v>
      </c>
      <c r="F16" s="324">
        <v>631</v>
      </c>
      <c r="G16" s="566" t="str">
        <f t="shared" si="1"/>
        <v>住居</v>
      </c>
      <c r="H16" s="44" t="s">
        <v>1567</v>
      </c>
      <c r="I16" s="325">
        <v>67000</v>
      </c>
      <c r="J16" s="325">
        <v>3000</v>
      </c>
      <c r="K16" s="325">
        <v>0</v>
      </c>
      <c r="L16" s="325">
        <v>0</v>
      </c>
      <c r="M16" s="565">
        <f t="shared" si="8"/>
        <v>70000</v>
      </c>
      <c r="N16" s="326">
        <v>70000</v>
      </c>
      <c r="O16" s="326">
        <v>0</v>
      </c>
      <c r="P16" s="565">
        <f t="shared" si="2"/>
        <v>70000</v>
      </c>
      <c r="Q16" s="565">
        <f t="shared" si="9"/>
        <v>70000</v>
      </c>
      <c r="R16" s="325" t="s">
        <v>1578</v>
      </c>
      <c r="S16" s="325" t="s">
        <v>187</v>
      </c>
      <c r="T16" s="327" t="s">
        <v>1284</v>
      </c>
      <c r="V16" s="43" t="s">
        <v>1596</v>
      </c>
      <c r="W16" s="221">
        <v>68000</v>
      </c>
      <c r="Y16" s="6">
        <f t="shared" si="3"/>
        <v>1</v>
      </c>
      <c r="Z16" s="562">
        <f t="shared" si="4"/>
        <v>70000</v>
      </c>
      <c r="AA16" s="122">
        <f t="shared" si="5"/>
        <v>0</v>
      </c>
      <c r="AB16" s="122">
        <f t="shared" si="6"/>
        <v>2000</v>
      </c>
      <c r="AC16" s="6">
        <f t="shared" si="7"/>
        <v>1</v>
      </c>
      <c r="AD16" s="563">
        <f t="shared" si="10"/>
        <v>1</v>
      </c>
      <c r="AE16" s="64"/>
      <c r="AF16" s="31">
        <v>67000</v>
      </c>
      <c r="AG16" s="31">
        <v>3000</v>
      </c>
      <c r="AH16" s="31">
        <v>0</v>
      </c>
      <c r="AI16" s="31">
        <v>0</v>
      </c>
      <c r="AJ16" s="31">
        <v>70000</v>
      </c>
      <c r="AK16" s="31">
        <v>70000</v>
      </c>
      <c r="AL16" s="31">
        <v>0</v>
      </c>
      <c r="AM16" s="56">
        <v>70000</v>
      </c>
      <c r="AN16" s="31">
        <v>70000</v>
      </c>
      <c r="AO16" s="31" t="s">
        <v>1578</v>
      </c>
      <c r="AP16" s="23" t="s">
        <v>187</v>
      </c>
      <c r="AQ16" s="23" t="s">
        <v>1284</v>
      </c>
    </row>
    <row r="17" spans="1:43">
      <c r="A17" s="34">
        <v>14</v>
      </c>
      <c r="B17" s="34">
        <v>101</v>
      </c>
      <c r="C17" s="568" t="str">
        <f t="shared" si="0"/>
        <v>西池袋駅前ビル</v>
      </c>
      <c r="D17" s="45" t="s">
        <v>1597</v>
      </c>
      <c r="E17" s="46">
        <v>16.53</v>
      </c>
      <c r="F17" s="324">
        <v>631</v>
      </c>
      <c r="G17" s="566" t="str">
        <f t="shared" si="1"/>
        <v>住居</v>
      </c>
      <c r="H17" s="44" t="s">
        <v>1567</v>
      </c>
      <c r="I17" s="325">
        <v>57000</v>
      </c>
      <c r="J17" s="325">
        <v>3000</v>
      </c>
      <c r="K17" s="325">
        <v>0</v>
      </c>
      <c r="L17" s="325">
        <v>0</v>
      </c>
      <c r="M17" s="565">
        <f t="shared" si="8"/>
        <v>60000</v>
      </c>
      <c r="N17" s="326">
        <v>70000</v>
      </c>
      <c r="O17" s="326">
        <v>0</v>
      </c>
      <c r="P17" s="565">
        <f t="shared" si="2"/>
        <v>70000</v>
      </c>
      <c r="Q17" s="565">
        <f t="shared" si="9"/>
        <v>60000</v>
      </c>
      <c r="R17" s="325" t="s">
        <v>1578</v>
      </c>
      <c r="S17" s="325" t="s">
        <v>187</v>
      </c>
      <c r="T17" s="327" t="s">
        <v>1284</v>
      </c>
      <c r="V17" s="43" t="s">
        <v>1598</v>
      </c>
      <c r="W17" s="221">
        <v>63000</v>
      </c>
      <c r="Y17" s="6">
        <f t="shared" si="3"/>
        <v>1</v>
      </c>
      <c r="Z17" s="562">
        <f t="shared" si="4"/>
        <v>60000</v>
      </c>
      <c r="AA17" s="122">
        <f t="shared" si="5"/>
        <v>10000</v>
      </c>
      <c r="AB17" s="122">
        <f t="shared" si="6"/>
        <v>-3000</v>
      </c>
      <c r="AC17" s="6">
        <f t="shared" si="7"/>
        <v>1</v>
      </c>
      <c r="AD17" s="563">
        <f t="shared" si="10"/>
        <v>1</v>
      </c>
      <c r="AE17" s="64"/>
      <c r="AF17" s="31">
        <v>57000</v>
      </c>
      <c r="AG17" s="31">
        <v>3000</v>
      </c>
      <c r="AH17" s="31">
        <v>0</v>
      </c>
      <c r="AI17" s="31">
        <v>0</v>
      </c>
      <c r="AJ17" s="31">
        <v>60000</v>
      </c>
      <c r="AK17" s="31">
        <v>70000</v>
      </c>
      <c r="AL17" s="31">
        <v>0</v>
      </c>
      <c r="AM17" s="56">
        <v>70000</v>
      </c>
      <c r="AN17" s="31">
        <v>60000</v>
      </c>
      <c r="AO17" s="31" t="s">
        <v>1578</v>
      </c>
      <c r="AP17" s="23" t="s">
        <v>187</v>
      </c>
      <c r="AQ17" s="23" t="s">
        <v>1284</v>
      </c>
    </row>
    <row r="18" spans="1:43">
      <c r="A18" s="34">
        <v>15</v>
      </c>
      <c r="B18" s="34">
        <v>101</v>
      </c>
      <c r="C18" s="568" t="str">
        <f t="shared" si="0"/>
        <v>西池袋駅前ビル</v>
      </c>
      <c r="D18" s="45" t="s">
        <v>1599</v>
      </c>
      <c r="E18" s="46">
        <v>16.75</v>
      </c>
      <c r="F18" s="324">
        <v>631</v>
      </c>
      <c r="G18" s="566" t="str">
        <f t="shared" si="1"/>
        <v>住居</v>
      </c>
      <c r="H18" s="44" t="s">
        <v>1567</v>
      </c>
      <c r="I18" s="325">
        <v>56000</v>
      </c>
      <c r="J18" s="325">
        <v>3000</v>
      </c>
      <c r="K18" s="325">
        <v>0</v>
      </c>
      <c r="L18" s="325">
        <v>0</v>
      </c>
      <c r="M18" s="565">
        <f t="shared" si="8"/>
        <v>59000</v>
      </c>
      <c r="N18" s="326">
        <v>65000</v>
      </c>
      <c r="O18" s="326">
        <v>0</v>
      </c>
      <c r="P18" s="565">
        <f t="shared" si="2"/>
        <v>65000</v>
      </c>
      <c r="Q18" s="565">
        <f t="shared" si="9"/>
        <v>59000</v>
      </c>
      <c r="R18" s="325" t="s">
        <v>1568</v>
      </c>
      <c r="S18" s="325" t="s">
        <v>187</v>
      </c>
      <c r="T18" s="327" t="s">
        <v>1284</v>
      </c>
      <c r="V18" s="43" t="s">
        <v>1600</v>
      </c>
      <c r="W18" s="221">
        <v>67000</v>
      </c>
      <c r="Y18" s="6">
        <f t="shared" si="3"/>
        <v>1</v>
      </c>
      <c r="Z18" s="562">
        <f t="shared" si="4"/>
        <v>59000</v>
      </c>
      <c r="AA18" s="122">
        <f t="shared" si="5"/>
        <v>6000</v>
      </c>
      <c r="AB18" s="122">
        <f t="shared" si="6"/>
        <v>-8000</v>
      </c>
      <c r="AC18" s="6">
        <f t="shared" si="7"/>
        <v>1</v>
      </c>
      <c r="AD18" s="563">
        <f t="shared" si="10"/>
        <v>1</v>
      </c>
      <c r="AE18" s="64"/>
      <c r="AF18" s="31">
        <v>56000</v>
      </c>
      <c r="AG18" s="31">
        <v>3000</v>
      </c>
      <c r="AH18" s="31">
        <v>0</v>
      </c>
      <c r="AI18" s="31">
        <v>0</v>
      </c>
      <c r="AJ18" s="31">
        <v>59000</v>
      </c>
      <c r="AK18" s="31">
        <v>65000</v>
      </c>
      <c r="AL18" s="31">
        <v>0</v>
      </c>
      <c r="AM18" s="56">
        <v>65000</v>
      </c>
      <c r="AN18" s="31">
        <v>59000</v>
      </c>
      <c r="AO18" s="31" t="s">
        <v>1568</v>
      </c>
      <c r="AP18" s="23" t="s">
        <v>187</v>
      </c>
      <c r="AQ18" s="23" t="s">
        <v>1284</v>
      </c>
    </row>
    <row r="19" spans="1:43">
      <c r="A19" s="34">
        <v>16</v>
      </c>
      <c r="B19" s="34">
        <v>101</v>
      </c>
      <c r="C19" s="568" t="str">
        <f t="shared" si="0"/>
        <v>西池袋駅前ビル</v>
      </c>
      <c r="D19" s="45" t="s">
        <v>1601</v>
      </c>
      <c r="E19" s="46">
        <v>16.600000000000001</v>
      </c>
      <c r="F19" s="324">
        <v>631</v>
      </c>
      <c r="G19" s="566" t="str">
        <f t="shared" si="1"/>
        <v>住居</v>
      </c>
      <c r="H19" s="44" t="s">
        <v>1567</v>
      </c>
      <c r="I19" s="325">
        <v>69000</v>
      </c>
      <c r="J19" s="325">
        <v>0</v>
      </c>
      <c r="K19" s="325">
        <v>0</v>
      </c>
      <c r="L19" s="325">
        <v>0</v>
      </c>
      <c r="M19" s="565">
        <f t="shared" si="8"/>
        <v>69000</v>
      </c>
      <c r="N19" s="326">
        <v>69000</v>
      </c>
      <c r="O19" s="326">
        <v>0</v>
      </c>
      <c r="P19" s="565">
        <f t="shared" si="2"/>
        <v>69000</v>
      </c>
      <c r="Q19" s="565">
        <f t="shared" si="9"/>
        <v>69000</v>
      </c>
      <c r="R19" s="325" t="s">
        <v>1568</v>
      </c>
      <c r="S19" s="325" t="s">
        <v>187</v>
      </c>
      <c r="T19" s="327" t="s">
        <v>1284</v>
      </c>
      <c r="V19" s="43" t="s">
        <v>1602</v>
      </c>
      <c r="W19" s="221">
        <v>69000</v>
      </c>
      <c r="Y19" s="6">
        <f t="shared" si="3"/>
        <v>1</v>
      </c>
      <c r="Z19" s="562">
        <f t="shared" si="4"/>
        <v>69000</v>
      </c>
      <c r="AA19" s="122">
        <f t="shared" si="5"/>
        <v>0</v>
      </c>
      <c r="AB19" s="122">
        <f t="shared" si="6"/>
        <v>0</v>
      </c>
      <c r="AC19" s="6">
        <f t="shared" si="7"/>
        <v>1</v>
      </c>
      <c r="AD19" s="563">
        <f t="shared" si="10"/>
        <v>1</v>
      </c>
      <c r="AE19" s="64"/>
      <c r="AF19" s="31">
        <v>69000</v>
      </c>
      <c r="AG19" s="31">
        <v>0</v>
      </c>
      <c r="AH19" s="31">
        <v>0</v>
      </c>
      <c r="AI19" s="31">
        <v>0</v>
      </c>
      <c r="AJ19" s="31">
        <v>69000</v>
      </c>
      <c r="AK19" s="31">
        <v>69000</v>
      </c>
      <c r="AL19" s="31">
        <v>0</v>
      </c>
      <c r="AM19" s="56">
        <v>69000</v>
      </c>
      <c r="AN19" s="31">
        <v>69000</v>
      </c>
      <c r="AO19" s="31" t="s">
        <v>1568</v>
      </c>
      <c r="AP19" s="23" t="s">
        <v>187</v>
      </c>
      <c r="AQ19" s="23" t="s">
        <v>1284</v>
      </c>
    </row>
    <row r="20" spans="1:43">
      <c r="A20" s="34">
        <v>17</v>
      </c>
      <c r="B20" s="34">
        <v>101</v>
      </c>
      <c r="C20" s="568" t="str">
        <f t="shared" si="0"/>
        <v>西池袋駅前ビル</v>
      </c>
      <c r="D20" s="45" t="s">
        <v>1603</v>
      </c>
      <c r="E20" s="46">
        <v>16.559999999999999</v>
      </c>
      <c r="F20" s="324">
        <v>631</v>
      </c>
      <c r="G20" s="566" t="str">
        <f t="shared" si="1"/>
        <v>住居</v>
      </c>
      <c r="H20" s="44" t="s">
        <v>1567</v>
      </c>
      <c r="I20" s="325">
        <v>67000</v>
      </c>
      <c r="J20" s="325">
        <v>3000</v>
      </c>
      <c r="K20" s="325">
        <v>0</v>
      </c>
      <c r="L20" s="325">
        <v>0</v>
      </c>
      <c r="M20" s="565">
        <f t="shared" si="8"/>
        <v>70000</v>
      </c>
      <c r="N20" s="326">
        <v>70000</v>
      </c>
      <c r="O20" s="326">
        <v>0</v>
      </c>
      <c r="P20" s="565">
        <f t="shared" si="2"/>
        <v>70000</v>
      </c>
      <c r="Q20" s="565">
        <f t="shared" si="9"/>
        <v>70000</v>
      </c>
      <c r="R20" s="325" t="s">
        <v>1568</v>
      </c>
      <c r="S20" s="325" t="s">
        <v>187</v>
      </c>
      <c r="T20" s="327" t="s">
        <v>1284</v>
      </c>
      <c r="V20" s="43" t="s">
        <v>1604</v>
      </c>
      <c r="W20" s="221">
        <v>66000</v>
      </c>
      <c r="Y20" s="6">
        <f t="shared" si="3"/>
        <v>1</v>
      </c>
      <c r="Z20" s="562">
        <f t="shared" si="4"/>
        <v>70000</v>
      </c>
      <c r="AA20" s="122">
        <f t="shared" si="5"/>
        <v>0</v>
      </c>
      <c r="AB20" s="122">
        <f t="shared" si="6"/>
        <v>4000</v>
      </c>
      <c r="AC20" s="6">
        <f t="shared" si="7"/>
        <v>1</v>
      </c>
      <c r="AD20" s="563">
        <f t="shared" si="10"/>
        <v>1</v>
      </c>
      <c r="AE20" s="64"/>
      <c r="AF20" s="31">
        <v>67000</v>
      </c>
      <c r="AG20" s="31">
        <v>3000</v>
      </c>
      <c r="AH20" s="31">
        <v>0</v>
      </c>
      <c r="AI20" s="31">
        <v>0</v>
      </c>
      <c r="AJ20" s="31">
        <v>70000</v>
      </c>
      <c r="AK20" s="31">
        <v>70000</v>
      </c>
      <c r="AL20" s="31">
        <v>0</v>
      </c>
      <c r="AM20" s="56">
        <v>70000</v>
      </c>
      <c r="AN20" s="31">
        <v>70000</v>
      </c>
      <c r="AO20" s="31" t="s">
        <v>1568</v>
      </c>
      <c r="AP20" s="23" t="s">
        <v>187</v>
      </c>
      <c r="AQ20" s="23" t="s">
        <v>1284</v>
      </c>
    </row>
    <row r="21" spans="1:43">
      <c r="A21" s="34">
        <v>18</v>
      </c>
      <c r="B21" s="34">
        <v>101</v>
      </c>
      <c r="C21" s="568" t="str">
        <f t="shared" si="0"/>
        <v>西池袋駅前ビル</v>
      </c>
      <c r="D21" s="45" t="s">
        <v>1605</v>
      </c>
      <c r="E21" s="46">
        <v>16.559999999999999</v>
      </c>
      <c r="F21" s="324">
        <v>631</v>
      </c>
      <c r="G21" s="566" t="str">
        <f t="shared" si="1"/>
        <v>住居</v>
      </c>
      <c r="H21" s="44" t="s">
        <v>1567</v>
      </c>
      <c r="I21" s="325">
        <v>62000</v>
      </c>
      <c r="J21" s="325">
        <v>2000</v>
      </c>
      <c r="K21" s="325">
        <v>0</v>
      </c>
      <c r="L21" s="325">
        <v>0</v>
      </c>
      <c r="M21" s="565">
        <f t="shared" si="8"/>
        <v>64000</v>
      </c>
      <c r="N21" s="326">
        <v>64000</v>
      </c>
      <c r="O21" s="326">
        <v>0</v>
      </c>
      <c r="P21" s="565">
        <f t="shared" si="2"/>
        <v>64000</v>
      </c>
      <c r="Q21" s="565">
        <f t="shared" si="9"/>
        <v>64000</v>
      </c>
      <c r="R21" s="325" t="s">
        <v>1568</v>
      </c>
      <c r="S21" s="325" t="s">
        <v>187</v>
      </c>
      <c r="T21" s="327" t="s">
        <v>1284</v>
      </c>
      <c r="V21" s="43" t="s">
        <v>1606</v>
      </c>
      <c r="W21" s="221">
        <v>64000</v>
      </c>
      <c r="Y21" s="6">
        <f t="shared" si="3"/>
        <v>1</v>
      </c>
      <c r="Z21" s="562">
        <f t="shared" si="4"/>
        <v>64000</v>
      </c>
      <c r="AA21" s="122">
        <f t="shared" si="5"/>
        <v>0</v>
      </c>
      <c r="AB21" s="122">
        <f t="shared" si="6"/>
        <v>0</v>
      </c>
      <c r="AC21" s="6">
        <f t="shared" si="7"/>
        <v>1</v>
      </c>
      <c r="AD21" s="563">
        <f t="shared" si="10"/>
        <v>1</v>
      </c>
      <c r="AE21" s="64"/>
      <c r="AF21" s="31">
        <v>62000</v>
      </c>
      <c r="AG21" s="31">
        <v>2000</v>
      </c>
      <c r="AH21" s="31">
        <v>0</v>
      </c>
      <c r="AI21" s="31">
        <v>0</v>
      </c>
      <c r="AJ21" s="31">
        <v>64000</v>
      </c>
      <c r="AK21" s="31">
        <v>64000</v>
      </c>
      <c r="AL21" s="31">
        <v>0</v>
      </c>
      <c r="AM21" s="56">
        <v>64000</v>
      </c>
      <c r="AN21" s="31">
        <v>64000</v>
      </c>
      <c r="AO21" s="31" t="s">
        <v>1568</v>
      </c>
      <c r="AP21" s="23" t="s">
        <v>187</v>
      </c>
      <c r="AQ21" s="23" t="s">
        <v>1284</v>
      </c>
    </row>
    <row r="22" spans="1:43">
      <c r="A22" s="34">
        <v>19</v>
      </c>
      <c r="B22" s="34">
        <v>101</v>
      </c>
      <c r="C22" s="568" t="str">
        <f t="shared" si="0"/>
        <v>西池袋駅前ビル</v>
      </c>
      <c r="D22" s="45" t="s">
        <v>1607</v>
      </c>
      <c r="E22" s="46">
        <v>16.559999999999999</v>
      </c>
      <c r="F22" s="324">
        <v>631</v>
      </c>
      <c r="G22" s="566" t="str">
        <f t="shared" si="1"/>
        <v>住居</v>
      </c>
      <c r="H22" s="44" t="s">
        <v>1567</v>
      </c>
      <c r="I22" s="325">
        <v>60000</v>
      </c>
      <c r="J22" s="325">
        <v>3000</v>
      </c>
      <c r="K22" s="325">
        <v>0</v>
      </c>
      <c r="L22" s="325">
        <v>0</v>
      </c>
      <c r="M22" s="565">
        <f t="shared" si="8"/>
        <v>63000</v>
      </c>
      <c r="N22" s="326">
        <v>70000</v>
      </c>
      <c r="O22" s="326">
        <v>0</v>
      </c>
      <c r="P22" s="565">
        <f t="shared" si="2"/>
        <v>70000</v>
      </c>
      <c r="Q22" s="565">
        <f t="shared" si="9"/>
        <v>63000</v>
      </c>
      <c r="R22" s="325" t="s">
        <v>1568</v>
      </c>
      <c r="S22" s="325" t="s">
        <v>187</v>
      </c>
      <c r="T22" s="327" t="s">
        <v>1284</v>
      </c>
      <c r="V22" s="43" t="s">
        <v>1608</v>
      </c>
      <c r="W22" s="221">
        <v>65000</v>
      </c>
      <c r="Y22" s="6">
        <f t="shared" si="3"/>
        <v>1</v>
      </c>
      <c r="Z22" s="562">
        <f t="shared" si="4"/>
        <v>63000</v>
      </c>
      <c r="AA22" s="122">
        <f t="shared" si="5"/>
        <v>7000</v>
      </c>
      <c r="AB22" s="122">
        <f t="shared" si="6"/>
        <v>-2000</v>
      </c>
      <c r="AC22" s="6">
        <f t="shared" si="7"/>
        <v>1</v>
      </c>
      <c r="AD22" s="563">
        <f t="shared" si="10"/>
        <v>1</v>
      </c>
      <c r="AE22" s="64"/>
      <c r="AF22" s="31">
        <v>60000</v>
      </c>
      <c r="AG22" s="31">
        <v>3000</v>
      </c>
      <c r="AH22" s="31">
        <v>0</v>
      </c>
      <c r="AI22" s="31">
        <v>0</v>
      </c>
      <c r="AJ22" s="31">
        <v>63000</v>
      </c>
      <c r="AK22" s="31">
        <v>70000</v>
      </c>
      <c r="AL22" s="31">
        <v>0</v>
      </c>
      <c r="AM22" s="56">
        <v>70000</v>
      </c>
      <c r="AN22" s="31">
        <v>63000</v>
      </c>
      <c r="AO22" s="31" t="s">
        <v>1568</v>
      </c>
      <c r="AP22" s="23" t="s">
        <v>187</v>
      </c>
      <c r="AQ22" s="23" t="s">
        <v>1284</v>
      </c>
    </row>
    <row r="23" spans="1:43">
      <c r="A23" s="34">
        <v>20</v>
      </c>
      <c r="B23" s="34">
        <v>101</v>
      </c>
      <c r="C23" s="568" t="str">
        <f t="shared" si="0"/>
        <v>西池袋駅前ビル</v>
      </c>
      <c r="D23" s="45" t="s">
        <v>1609</v>
      </c>
      <c r="E23" s="46">
        <v>16.77</v>
      </c>
      <c r="F23" s="324">
        <v>631</v>
      </c>
      <c r="G23" s="566" t="str">
        <f t="shared" si="1"/>
        <v>住居</v>
      </c>
      <c r="H23" s="44" t="s">
        <v>1567</v>
      </c>
      <c r="I23" s="325">
        <v>69000</v>
      </c>
      <c r="J23" s="325">
        <v>3000</v>
      </c>
      <c r="K23" s="325">
        <v>0</v>
      </c>
      <c r="L23" s="325">
        <v>0</v>
      </c>
      <c r="M23" s="565">
        <f t="shared" si="8"/>
        <v>72000</v>
      </c>
      <c r="N23" s="326">
        <v>72000</v>
      </c>
      <c r="O23" s="326">
        <v>0</v>
      </c>
      <c r="P23" s="565">
        <f t="shared" si="2"/>
        <v>72000</v>
      </c>
      <c r="Q23" s="565">
        <f t="shared" si="9"/>
        <v>72000</v>
      </c>
      <c r="R23" s="325" t="s">
        <v>1568</v>
      </c>
      <c r="S23" s="325" t="s">
        <v>187</v>
      </c>
      <c r="T23" s="327" t="s">
        <v>1284</v>
      </c>
      <c r="V23" s="43" t="s">
        <v>1610</v>
      </c>
      <c r="W23" s="221">
        <v>65000</v>
      </c>
      <c r="Y23" s="6">
        <f t="shared" si="3"/>
        <v>1</v>
      </c>
      <c r="Z23" s="562">
        <f t="shared" si="4"/>
        <v>72000</v>
      </c>
      <c r="AA23" s="122">
        <f t="shared" si="5"/>
        <v>0</v>
      </c>
      <c r="AB23" s="122">
        <f t="shared" si="6"/>
        <v>7000</v>
      </c>
      <c r="AC23" s="6">
        <f t="shared" si="7"/>
        <v>1</v>
      </c>
      <c r="AD23" s="563">
        <f t="shared" si="10"/>
        <v>1</v>
      </c>
      <c r="AE23" s="64"/>
      <c r="AF23" s="31">
        <v>69000</v>
      </c>
      <c r="AG23" s="31">
        <v>3000</v>
      </c>
      <c r="AH23" s="31">
        <v>0</v>
      </c>
      <c r="AI23" s="31">
        <v>0</v>
      </c>
      <c r="AJ23" s="31">
        <v>72000</v>
      </c>
      <c r="AK23" s="31">
        <v>72000</v>
      </c>
      <c r="AL23" s="31">
        <v>0</v>
      </c>
      <c r="AM23" s="56">
        <v>72000</v>
      </c>
      <c r="AN23" s="31">
        <v>72000</v>
      </c>
      <c r="AO23" s="31" t="s">
        <v>1568</v>
      </c>
      <c r="AP23" s="23" t="s">
        <v>187</v>
      </c>
      <c r="AQ23" s="23" t="s">
        <v>1284</v>
      </c>
    </row>
    <row r="24" spans="1:43">
      <c r="A24" s="34">
        <v>21</v>
      </c>
      <c r="B24" s="34">
        <v>101</v>
      </c>
      <c r="C24" s="568" t="str">
        <f t="shared" si="0"/>
        <v>西池袋駅前ビル</v>
      </c>
      <c r="D24" s="45" t="s">
        <v>1611</v>
      </c>
      <c r="E24" s="46">
        <v>16.53</v>
      </c>
      <c r="F24" s="324">
        <v>631</v>
      </c>
      <c r="G24" s="566" t="str">
        <f t="shared" si="1"/>
        <v>住居</v>
      </c>
      <c r="H24" s="44" t="s">
        <v>1567</v>
      </c>
      <c r="I24" s="325">
        <v>62000</v>
      </c>
      <c r="J24" s="325">
        <v>3000</v>
      </c>
      <c r="K24" s="325">
        <v>0</v>
      </c>
      <c r="L24" s="325">
        <v>0</v>
      </c>
      <c r="M24" s="565">
        <f t="shared" si="8"/>
        <v>65000</v>
      </c>
      <c r="N24" s="326">
        <v>70000</v>
      </c>
      <c r="O24" s="326">
        <v>0</v>
      </c>
      <c r="P24" s="565">
        <f t="shared" si="2"/>
        <v>70000</v>
      </c>
      <c r="Q24" s="565">
        <f t="shared" si="9"/>
        <v>65000</v>
      </c>
      <c r="R24" s="325" t="s">
        <v>1568</v>
      </c>
      <c r="S24" s="325" t="s">
        <v>187</v>
      </c>
      <c r="T24" s="327" t="s">
        <v>1284</v>
      </c>
      <c r="V24" s="43" t="s">
        <v>1612</v>
      </c>
      <c r="W24" s="221">
        <v>70000</v>
      </c>
      <c r="Y24" s="6">
        <f t="shared" si="3"/>
        <v>1</v>
      </c>
      <c r="Z24" s="562">
        <f t="shared" si="4"/>
        <v>65000</v>
      </c>
      <c r="AA24" s="122">
        <f t="shared" si="5"/>
        <v>5000</v>
      </c>
      <c r="AB24" s="122">
        <f t="shared" si="6"/>
        <v>-5000</v>
      </c>
      <c r="AC24" s="6">
        <f t="shared" si="7"/>
        <v>1</v>
      </c>
      <c r="AD24" s="563">
        <f t="shared" si="10"/>
        <v>1</v>
      </c>
      <c r="AE24" s="64"/>
      <c r="AF24" s="31">
        <v>62000</v>
      </c>
      <c r="AG24" s="31">
        <v>3000</v>
      </c>
      <c r="AH24" s="31">
        <v>0</v>
      </c>
      <c r="AI24" s="31">
        <v>0</v>
      </c>
      <c r="AJ24" s="31">
        <v>65000</v>
      </c>
      <c r="AK24" s="31">
        <v>70000</v>
      </c>
      <c r="AL24" s="31">
        <v>0</v>
      </c>
      <c r="AM24" s="56">
        <v>70000</v>
      </c>
      <c r="AN24" s="31">
        <v>65000</v>
      </c>
      <c r="AO24" s="31" t="s">
        <v>1568</v>
      </c>
      <c r="AP24" s="23" t="s">
        <v>187</v>
      </c>
      <c r="AQ24" s="23" t="s">
        <v>1284</v>
      </c>
    </row>
    <row r="25" spans="1:43">
      <c r="A25" s="34">
        <v>22</v>
      </c>
      <c r="B25" s="34">
        <v>101</v>
      </c>
      <c r="C25" s="568" t="str">
        <f t="shared" si="0"/>
        <v>西池袋駅前ビル</v>
      </c>
      <c r="D25" s="45" t="s">
        <v>1613</v>
      </c>
      <c r="E25" s="46">
        <v>17.829999999999998</v>
      </c>
      <c r="F25" s="324">
        <v>631</v>
      </c>
      <c r="G25" s="566" t="str">
        <f t="shared" si="1"/>
        <v>住居</v>
      </c>
      <c r="H25" s="44" t="s">
        <v>1567</v>
      </c>
      <c r="I25" s="325">
        <v>67000</v>
      </c>
      <c r="J25" s="325">
        <v>0</v>
      </c>
      <c r="K25" s="325">
        <v>0</v>
      </c>
      <c r="L25" s="325">
        <v>0</v>
      </c>
      <c r="M25" s="565">
        <f t="shared" si="8"/>
        <v>67000</v>
      </c>
      <c r="N25" s="326">
        <v>67000</v>
      </c>
      <c r="O25" s="326">
        <v>0</v>
      </c>
      <c r="P25" s="565">
        <f t="shared" si="2"/>
        <v>67000</v>
      </c>
      <c r="Q25" s="565">
        <f t="shared" si="9"/>
        <v>67000</v>
      </c>
      <c r="R25" s="325" t="s">
        <v>1568</v>
      </c>
      <c r="S25" s="325" t="s">
        <v>187</v>
      </c>
      <c r="T25" s="327" t="s">
        <v>1284</v>
      </c>
      <c r="V25" s="43" t="s">
        <v>1614</v>
      </c>
      <c r="W25" s="221">
        <v>67000</v>
      </c>
      <c r="Y25" s="6">
        <f t="shared" si="3"/>
        <v>1</v>
      </c>
      <c r="Z25" s="562">
        <f t="shared" si="4"/>
        <v>67000</v>
      </c>
      <c r="AA25" s="122">
        <f t="shared" si="5"/>
        <v>0</v>
      </c>
      <c r="AB25" s="122">
        <f t="shared" si="6"/>
        <v>0</v>
      </c>
      <c r="AC25" s="6">
        <f t="shared" si="7"/>
        <v>1</v>
      </c>
      <c r="AD25" s="563">
        <f t="shared" si="10"/>
        <v>1</v>
      </c>
      <c r="AE25" s="64"/>
      <c r="AF25" s="31">
        <v>67000</v>
      </c>
      <c r="AG25" s="31">
        <v>0</v>
      </c>
      <c r="AH25" s="31">
        <v>0</v>
      </c>
      <c r="AI25" s="31">
        <v>0</v>
      </c>
      <c r="AJ25" s="31">
        <v>67000</v>
      </c>
      <c r="AK25" s="31">
        <v>67000</v>
      </c>
      <c r="AL25" s="31">
        <v>0</v>
      </c>
      <c r="AM25" s="56">
        <v>67000</v>
      </c>
      <c r="AN25" s="31">
        <v>67000</v>
      </c>
      <c r="AO25" s="31" t="s">
        <v>1568</v>
      </c>
      <c r="AP25" s="23" t="s">
        <v>187</v>
      </c>
      <c r="AQ25" s="23" t="s">
        <v>1284</v>
      </c>
    </row>
    <row r="26" spans="1:43">
      <c r="A26" s="34">
        <v>23</v>
      </c>
      <c r="B26" s="34">
        <v>101</v>
      </c>
      <c r="C26" s="568" t="str">
        <f t="shared" si="0"/>
        <v>西池袋駅前ビル</v>
      </c>
      <c r="D26" s="45" t="s">
        <v>1615</v>
      </c>
      <c r="E26" s="46">
        <v>104.58</v>
      </c>
      <c r="F26" s="324">
        <v>632</v>
      </c>
      <c r="G26" s="566" t="str">
        <f t="shared" si="1"/>
        <v>事務所</v>
      </c>
      <c r="H26" s="44" t="s">
        <v>1616</v>
      </c>
      <c r="I26" s="325">
        <v>275000</v>
      </c>
      <c r="J26" s="325">
        <v>0</v>
      </c>
      <c r="K26" s="325">
        <v>0</v>
      </c>
      <c r="L26" s="325">
        <v>27500</v>
      </c>
      <c r="M26" s="565">
        <f t="shared" si="8"/>
        <v>302500</v>
      </c>
      <c r="N26" s="326">
        <v>275000</v>
      </c>
      <c r="O26" s="326">
        <v>27500</v>
      </c>
      <c r="P26" s="565">
        <f t="shared" si="2"/>
        <v>302500</v>
      </c>
      <c r="Q26" s="565">
        <f t="shared" si="9"/>
        <v>302500</v>
      </c>
      <c r="R26" s="325" t="s">
        <v>1575</v>
      </c>
      <c r="S26" s="325" t="s">
        <v>187</v>
      </c>
      <c r="T26" s="327" t="s">
        <v>1284</v>
      </c>
      <c r="V26" s="43" t="s">
        <v>1617</v>
      </c>
      <c r="W26" s="221">
        <v>250000</v>
      </c>
      <c r="Y26" s="6">
        <f t="shared" si="3"/>
        <v>1</v>
      </c>
      <c r="Z26" s="562">
        <f t="shared" si="4"/>
        <v>275000</v>
      </c>
      <c r="AA26" s="122">
        <f t="shared" si="5"/>
        <v>0</v>
      </c>
      <c r="AB26" s="122">
        <f t="shared" si="6"/>
        <v>25000</v>
      </c>
      <c r="AC26" s="6">
        <f t="shared" si="7"/>
        <v>1</v>
      </c>
      <c r="AD26" s="563">
        <f t="shared" si="10"/>
        <v>1</v>
      </c>
      <c r="AE26" s="64"/>
      <c r="AF26" s="31">
        <v>275000</v>
      </c>
      <c r="AG26" s="31">
        <v>0</v>
      </c>
      <c r="AH26" s="31">
        <v>0</v>
      </c>
      <c r="AI26" s="31">
        <v>27500</v>
      </c>
      <c r="AJ26" s="31">
        <v>302500</v>
      </c>
      <c r="AK26" s="31">
        <v>275000</v>
      </c>
      <c r="AL26" s="31">
        <v>27500</v>
      </c>
      <c r="AM26" s="56">
        <v>302500</v>
      </c>
      <c r="AN26" s="31">
        <v>302500</v>
      </c>
      <c r="AO26" s="31" t="s">
        <v>1575</v>
      </c>
      <c r="AP26" s="23" t="s">
        <v>187</v>
      </c>
      <c r="AQ26" s="23" t="s">
        <v>1284</v>
      </c>
    </row>
    <row r="27" spans="1:43">
      <c r="A27" s="34">
        <v>24</v>
      </c>
      <c r="B27" s="34">
        <v>101</v>
      </c>
      <c r="C27" s="568" t="str">
        <f t="shared" si="0"/>
        <v>西池袋駅前ビル</v>
      </c>
      <c r="D27" s="45" t="s">
        <v>1618</v>
      </c>
      <c r="E27" s="46">
        <v>0</v>
      </c>
      <c r="F27" s="324">
        <v>635</v>
      </c>
      <c r="G27" s="566" t="str">
        <f t="shared" si="1"/>
        <v>アンテナ</v>
      </c>
      <c r="H27" s="44" t="s">
        <v>729</v>
      </c>
      <c r="I27" s="325">
        <v>90000</v>
      </c>
      <c r="J27" s="325">
        <v>0</v>
      </c>
      <c r="K27" s="325">
        <v>0</v>
      </c>
      <c r="L27" s="325">
        <v>9000</v>
      </c>
      <c r="M27" s="565">
        <f t="shared" si="8"/>
        <v>99000</v>
      </c>
      <c r="N27" s="326">
        <v>90000</v>
      </c>
      <c r="O27" s="326">
        <v>9000</v>
      </c>
      <c r="P27" s="565">
        <f t="shared" si="2"/>
        <v>99000</v>
      </c>
      <c r="Q27" s="565">
        <f t="shared" si="9"/>
        <v>99000</v>
      </c>
      <c r="R27" s="325" t="s">
        <v>1017</v>
      </c>
      <c r="S27" s="325" t="s">
        <v>187</v>
      </c>
      <c r="T27" s="327" t="s">
        <v>1619</v>
      </c>
      <c r="V27" s="43" t="s">
        <v>1620</v>
      </c>
      <c r="W27" s="221">
        <v>0</v>
      </c>
      <c r="Y27" s="6">
        <f t="shared" si="3"/>
        <v>1</v>
      </c>
      <c r="Z27" s="562">
        <f t="shared" si="4"/>
        <v>90000</v>
      </c>
      <c r="AA27" s="122">
        <f t="shared" si="5"/>
        <v>0</v>
      </c>
      <c r="AB27" s="122">
        <f t="shared" si="6"/>
        <v>90000</v>
      </c>
      <c r="AC27" s="6">
        <f t="shared" si="7"/>
        <v>1</v>
      </c>
      <c r="AD27" s="563">
        <f t="shared" si="10"/>
        <v>1</v>
      </c>
      <c r="AE27" s="64"/>
      <c r="AF27" s="31">
        <v>90000</v>
      </c>
      <c r="AG27" s="31">
        <v>0</v>
      </c>
      <c r="AH27" s="31">
        <v>0</v>
      </c>
      <c r="AI27" s="31">
        <v>9000</v>
      </c>
      <c r="AJ27" s="31">
        <v>99000</v>
      </c>
      <c r="AK27" s="31">
        <v>90000</v>
      </c>
      <c r="AL27" s="31">
        <v>9000</v>
      </c>
      <c r="AM27" s="56">
        <v>99000</v>
      </c>
      <c r="AN27" s="31">
        <v>99000</v>
      </c>
      <c r="AO27" s="31" t="s">
        <v>1017</v>
      </c>
      <c r="AP27" s="23" t="s">
        <v>187</v>
      </c>
      <c r="AQ27" s="23" t="s">
        <v>1621</v>
      </c>
    </row>
    <row r="28" spans="1:43">
      <c r="A28" s="34">
        <v>25</v>
      </c>
      <c r="B28" s="34">
        <v>101</v>
      </c>
      <c r="C28" s="568" t="str">
        <f t="shared" si="0"/>
        <v>西池袋駅前ビル</v>
      </c>
      <c r="D28" s="45" t="s">
        <v>1622</v>
      </c>
      <c r="E28" s="46" t="s">
        <v>1017</v>
      </c>
      <c r="F28" s="324">
        <v>639</v>
      </c>
      <c r="G28" s="566" t="str">
        <f t="shared" si="1"/>
        <v>その他</v>
      </c>
      <c r="H28" s="44" t="s">
        <v>729</v>
      </c>
      <c r="I28" s="325">
        <v>0</v>
      </c>
      <c r="J28" s="325">
        <v>0</v>
      </c>
      <c r="K28" s="325">
        <v>0</v>
      </c>
      <c r="L28" s="325">
        <v>0</v>
      </c>
      <c r="M28" s="565">
        <f t="shared" si="8"/>
        <v>0</v>
      </c>
      <c r="N28" s="326">
        <v>0</v>
      </c>
      <c r="O28" s="326">
        <v>0</v>
      </c>
      <c r="P28" s="565">
        <f t="shared" si="2"/>
        <v>0</v>
      </c>
      <c r="Q28" s="565">
        <f t="shared" si="9"/>
        <v>0</v>
      </c>
      <c r="R28" s="325" t="s">
        <v>1017</v>
      </c>
      <c r="S28" s="325" t="s">
        <v>283</v>
      </c>
      <c r="T28" s="327" t="s">
        <v>1623</v>
      </c>
      <c r="V28" s="43" t="s">
        <v>1624</v>
      </c>
      <c r="W28" s="221">
        <v>0</v>
      </c>
      <c r="Y28" s="6">
        <f t="shared" si="3"/>
        <v>0</v>
      </c>
      <c r="Z28" s="562">
        <f t="shared" si="4"/>
        <v>0</v>
      </c>
      <c r="AA28" s="122">
        <f t="shared" si="5"/>
        <v>0</v>
      </c>
      <c r="AB28" s="122">
        <f t="shared" si="6"/>
        <v>0</v>
      </c>
      <c r="AC28" s="6">
        <f t="shared" si="7"/>
        <v>0</v>
      </c>
      <c r="AD28" s="563">
        <f t="shared" si="10"/>
        <v>1</v>
      </c>
      <c r="AE28" s="64"/>
      <c r="AF28" s="31">
        <v>0</v>
      </c>
      <c r="AG28" s="31">
        <v>0</v>
      </c>
      <c r="AH28" s="31">
        <v>0</v>
      </c>
      <c r="AI28" s="31">
        <v>0</v>
      </c>
      <c r="AJ28" s="31">
        <v>0</v>
      </c>
      <c r="AK28" s="31">
        <v>0</v>
      </c>
      <c r="AL28" s="31">
        <v>0</v>
      </c>
      <c r="AM28" s="56">
        <v>0</v>
      </c>
      <c r="AN28" s="31">
        <v>0</v>
      </c>
      <c r="AO28" s="31" t="s">
        <v>1017</v>
      </c>
      <c r="AP28" s="23" t="s">
        <v>283</v>
      </c>
      <c r="AQ28" s="23" t="s">
        <v>1623</v>
      </c>
    </row>
    <row r="29" spans="1:43">
      <c r="A29" s="35">
        <v>26</v>
      </c>
      <c r="B29" s="35">
        <v>102</v>
      </c>
      <c r="C29" s="569" t="str">
        <f t="shared" si="0"/>
        <v>池袋ハウス</v>
      </c>
      <c r="D29" s="45" t="s">
        <v>1566</v>
      </c>
      <c r="E29" s="46">
        <v>23.95</v>
      </c>
      <c r="F29" s="324">
        <v>631</v>
      </c>
      <c r="G29" s="566" t="str">
        <f t="shared" si="1"/>
        <v>住居</v>
      </c>
      <c r="H29" s="44" t="s">
        <v>1567</v>
      </c>
      <c r="I29" s="325">
        <v>73000</v>
      </c>
      <c r="J29" s="325">
        <v>7000</v>
      </c>
      <c r="K29" s="325">
        <v>0</v>
      </c>
      <c r="L29" s="325">
        <v>0</v>
      </c>
      <c r="M29" s="565">
        <f t="shared" si="8"/>
        <v>80000</v>
      </c>
      <c r="N29" s="326">
        <v>80000</v>
      </c>
      <c r="O29" s="326">
        <v>0</v>
      </c>
      <c r="P29" s="565">
        <f t="shared" si="2"/>
        <v>80000</v>
      </c>
      <c r="Q29" s="565">
        <f t="shared" si="9"/>
        <v>80000</v>
      </c>
      <c r="R29" s="325" t="s">
        <v>1568</v>
      </c>
      <c r="S29" s="325" t="s">
        <v>187</v>
      </c>
      <c r="T29" s="327" t="s">
        <v>1284</v>
      </c>
      <c r="V29" s="43" t="s">
        <v>1625</v>
      </c>
      <c r="W29" s="221">
        <v>63000</v>
      </c>
      <c r="Y29" s="6">
        <f t="shared" si="3"/>
        <v>1</v>
      </c>
      <c r="Z29" s="562">
        <f t="shared" si="4"/>
        <v>80000</v>
      </c>
      <c r="AA29" s="122">
        <f t="shared" si="5"/>
        <v>0</v>
      </c>
      <c r="AB29" s="122">
        <f t="shared" si="6"/>
        <v>17000</v>
      </c>
      <c r="AC29" s="6">
        <f t="shared" si="7"/>
        <v>1</v>
      </c>
      <c r="AD29" s="563">
        <f t="shared" si="10"/>
        <v>1</v>
      </c>
      <c r="AE29" s="64"/>
      <c r="AF29" s="31">
        <v>73000</v>
      </c>
      <c r="AG29" s="31">
        <v>7000</v>
      </c>
      <c r="AH29" s="31">
        <v>0</v>
      </c>
      <c r="AI29" s="31">
        <v>0</v>
      </c>
      <c r="AJ29" s="31">
        <v>80000</v>
      </c>
      <c r="AK29" s="31">
        <v>80000</v>
      </c>
      <c r="AL29" s="31">
        <v>0</v>
      </c>
      <c r="AM29" s="56">
        <v>80000</v>
      </c>
      <c r="AN29" s="31">
        <v>80000</v>
      </c>
      <c r="AO29" s="31" t="s">
        <v>1568</v>
      </c>
      <c r="AP29" s="23" t="s">
        <v>187</v>
      </c>
      <c r="AQ29" s="23" t="s">
        <v>1284</v>
      </c>
    </row>
    <row r="30" spans="1:43">
      <c r="A30" s="35">
        <v>27</v>
      </c>
      <c r="B30" s="35">
        <v>102</v>
      </c>
      <c r="C30" s="569" t="str">
        <f t="shared" si="0"/>
        <v>池袋ハウス</v>
      </c>
      <c r="D30" s="45" t="s">
        <v>1570</v>
      </c>
      <c r="E30" s="46">
        <v>20.079999999999998</v>
      </c>
      <c r="F30" s="324">
        <v>631</v>
      </c>
      <c r="G30" s="566" t="str">
        <f t="shared" si="1"/>
        <v>住居</v>
      </c>
      <c r="H30" s="44" t="s">
        <v>1567</v>
      </c>
      <c r="I30" s="325">
        <v>55000</v>
      </c>
      <c r="J30" s="325">
        <v>7000</v>
      </c>
      <c r="K30" s="325">
        <v>0</v>
      </c>
      <c r="L30" s="325">
        <v>0</v>
      </c>
      <c r="M30" s="565">
        <f t="shared" si="8"/>
        <v>62000</v>
      </c>
      <c r="N30" s="326">
        <v>62000</v>
      </c>
      <c r="O30" s="326">
        <v>0</v>
      </c>
      <c r="P30" s="565">
        <f t="shared" si="2"/>
        <v>62000</v>
      </c>
      <c r="Q30" s="565">
        <f t="shared" si="9"/>
        <v>62000</v>
      </c>
      <c r="R30" s="325" t="s">
        <v>1568</v>
      </c>
      <c r="S30" s="325" t="s">
        <v>187</v>
      </c>
      <c r="T30" s="327" t="s">
        <v>1284</v>
      </c>
      <c r="V30" s="43" t="s">
        <v>1626</v>
      </c>
      <c r="W30" s="221">
        <v>62000</v>
      </c>
      <c r="Y30" s="6">
        <f t="shared" si="3"/>
        <v>1</v>
      </c>
      <c r="Z30" s="562">
        <f t="shared" si="4"/>
        <v>62000</v>
      </c>
      <c r="AA30" s="122">
        <f t="shared" si="5"/>
        <v>0</v>
      </c>
      <c r="AB30" s="122">
        <f t="shared" si="6"/>
        <v>0</v>
      </c>
      <c r="AC30" s="6">
        <f t="shared" si="7"/>
        <v>1</v>
      </c>
      <c r="AD30" s="563">
        <f t="shared" si="10"/>
        <v>1</v>
      </c>
      <c r="AE30" s="64"/>
      <c r="AF30" s="31">
        <v>55000</v>
      </c>
      <c r="AG30" s="31">
        <v>7000</v>
      </c>
      <c r="AH30" s="31">
        <v>0</v>
      </c>
      <c r="AI30" s="31">
        <v>0</v>
      </c>
      <c r="AJ30" s="31">
        <v>62000</v>
      </c>
      <c r="AK30" s="31">
        <v>62000</v>
      </c>
      <c r="AL30" s="31">
        <v>0</v>
      </c>
      <c r="AM30" s="56">
        <v>62000</v>
      </c>
      <c r="AN30" s="31">
        <v>62000</v>
      </c>
      <c r="AO30" s="31" t="s">
        <v>1568</v>
      </c>
      <c r="AP30" s="23" t="s">
        <v>187</v>
      </c>
      <c r="AQ30" s="23" t="s">
        <v>1284</v>
      </c>
    </row>
    <row r="31" spans="1:43">
      <c r="A31" s="35">
        <v>28</v>
      </c>
      <c r="B31" s="35">
        <v>102</v>
      </c>
      <c r="C31" s="569" t="str">
        <f t="shared" si="0"/>
        <v>池袋ハウス</v>
      </c>
      <c r="D31" s="45" t="s">
        <v>1572</v>
      </c>
      <c r="E31" s="46">
        <v>23.25</v>
      </c>
      <c r="F31" s="324">
        <v>631</v>
      </c>
      <c r="G31" s="566" t="str">
        <f t="shared" si="1"/>
        <v>住居</v>
      </c>
      <c r="H31" s="44" t="s">
        <v>1567</v>
      </c>
      <c r="I31" s="325">
        <v>70000</v>
      </c>
      <c r="J31" s="325">
        <v>7000</v>
      </c>
      <c r="K31" s="325">
        <v>0</v>
      </c>
      <c r="L31" s="325">
        <v>0</v>
      </c>
      <c r="M31" s="565">
        <f t="shared" si="8"/>
        <v>77000</v>
      </c>
      <c r="N31" s="326">
        <v>77000</v>
      </c>
      <c r="O31" s="326">
        <v>0</v>
      </c>
      <c r="P31" s="565">
        <f t="shared" si="2"/>
        <v>77000</v>
      </c>
      <c r="Q31" s="565">
        <f t="shared" si="9"/>
        <v>77000</v>
      </c>
      <c r="R31" s="325" t="s">
        <v>1578</v>
      </c>
      <c r="S31" s="325" t="s">
        <v>187</v>
      </c>
      <c r="T31" s="327" t="s">
        <v>1284</v>
      </c>
      <c r="V31" s="43" t="s">
        <v>1627</v>
      </c>
      <c r="W31" s="221">
        <v>68000</v>
      </c>
      <c r="Y31" s="6">
        <f t="shared" si="3"/>
        <v>1</v>
      </c>
      <c r="Z31" s="562">
        <f t="shared" si="4"/>
        <v>77000</v>
      </c>
      <c r="AA31" s="122">
        <f t="shared" si="5"/>
        <v>0</v>
      </c>
      <c r="AB31" s="122">
        <f t="shared" si="6"/>
        <v>9000</v>
      </c>
      <c r="AC31" s="6">
        <f t="shared" si="7"/>
        <v>1</v>
      </c>
      <c r="AD31" s="563">
        <f t="shared" si="10"/>
        <v>1</v>
      </c>
      <c r="AE31" s="64"/>
      <c r="AF31" s="31">
        <v>70000</v>
      </c>
      <c r="AG31" s="31">
        <v>7000</v>
      </c>
      <c r="AH31" s="31">
        <v>0</v>
      </c>
      <c r="AI31" s="31">
        <v>0</v>
      </c>
      <c r="AJ31" s="31">
        <v>77000</v>
      </c>
      <c r="AK31" s="31">
        <v>77000</v>
      </c>
      <c r="AL31" s="31">
        <v>0</v>
      </c>
      <c r="AM31" s="56">
        <v>77000</v>
      </c>
      <c r="AN31" s="31">
        <v>77000</v>
      </c>
      <c r="AO31" s="31" t="s">
        <v>1578</v>
      </c>
      <c r="AP31" s="23" t="s">
        <v>187</v>
      </c>
      <c r="AQ31" s="23" t="s">
        <v>1284</v>
      </c>
    </row>
    <row r="32" spans="1:43">
      <c r="A32" s="35">
        <v>29</v>
      </c>
      <c r="B32" s="35">
        <v>102</v>
      </c>
      <c r="C32" s="569" t="str">
        <f t="shared" si="0"/>
        <v>池袋ハウス</v>
      </c>
      <c r="D32" s="45" t="s">
        <v>1574</v>
      </c>
      <c r="E32" s="46">
        <v>23.25</v>
      </c>
      <c r="F32" s="324">
        <v>631</v>
      </c>
      <c r="G32" s="566" t="str">
        <f t="shared" si="1"/>
        <v>住居</v>
      </c>
      <c r="H32" s="44" t="s">
        <v>1567</v>
      </c>
      <c r="I32" s="325">
        <v>72000</v>
      </c>
      <c r="J32" s="325">
        <v>7000</v>
      </c>
      <c r="K32" s="325">
        <v>0</v>
      </c>
      <c r="L32" s="325">
        <v>0</v>
      </c>
      <c r="M32" s="565">
        <f t="shared" si="8"/>
        <v>79000</v>
      </c>
      <c r="N32" s="326">
        <v>79000</v>
      </c>
      <c r="O32" s="326">
        <v>0</v>
      </c>
      <c r="P32" s="565">
        <f t="shared" si="2"/>
        <v>79000</v>
      </c>
      <c r="Q32" s="565">
        <f t="shared" si="9"/>
        <v>79000</v>
      </c>
      <c r="R32" s="325" t="s">
        <v>1578</v>
      </c>
      <c r="S32" s="325" t="s">
        <v>187</v>
      </c>
      <c r="T32" s="327" t="s">
        <v>1284</v>
      </c>
      <c r="V32" s="43" t="s">
        <v>1628</v>
      </c>
      <c r="W32" s="221">
        <v>67000</v>
      </c>
      <c r="Y32" s="6">
        <f t="shared" si="3"/>
        <v>1</v>
      </c>
      <c r="Z32" s="562">
        <f t="shared" si="4"/>
        <v>79000</v>
      </c>
      <c r="AA32" s="122">
        <f t="shared" si="5"/>
        <v>0</v>
      </c>
      <c r="AB32" s="122">
        <f t="shared" si="6"/>
        <v>12000</v>
      </c>
      <c r="AC32" s="6">
        <f t="shared" si="7"/>
        <v>1</v>
      </c>
      <c r="AD32" s="563">
        <f t="shared" si="10"/>
        <v>1</v>
      </c>
      <c r="AE32" s="64"/>
      <c r="AF32" s="31">
        <v>72000</v>
      </c>
      <c r="AG32" s="31">
        <v>7000</v>
      </c>
      <c r="AH32" s="31">
        <v>0</v>
      </c>
      <c r="AI32" s="31">
        <v>0</v>
      </c>
      <c r="AJ32" s="31">
        <v>79000</v>
      </c>
      <c r="AK32" s="31">
        <v>79000</v>
      </c>
      <c r="AL32" s="31">
        <v>0</v>
      </c>
      <c r="AM32" s="56">
        <v>79000</v>
      </c>
      <c r="AN32" s="31">
        <v>79000</v>
      </c>
      <c r="AO32" s="31" t="s">
        <v>1578</v>
      </c>
      <c r="AP32" s="23" t="s">
        <v>187</v>
      </c>
      <c r="AQ32" s="23" t="s">
        <v>1284</v>
      </c>
    </row>
    <row r="33" spans="1:43">
      <c r="A33" s="35">
        <v>30</v>
      </c>
      <c r="B33" s="35">
        <v>102</v>
      </c>
      <c r="C33" s="569" t="str">
        <f t="shared" si="0"/>
        <v>池袋ハウス</v>
      </c>
      <c r="D33" s="45" t="s">
        <v>1577</v>
      </c>
      <c r="E33" s="46">
        <v>27.3</v>
      </c>
      <c r="F33" s="324">
        <v>631</v>
      </c>
      <c r="G33" s="566" t="str">
        <f t="shared" si="1"/>
        <v>住居</v>
      </c>
      <c r="H33" s="44" t="s">
        <v>1567</v>
      </c>
      <c r="I33" s="325">
        <v>73000</v>
      </c>
      <c r="J33" s="325">
        <v>7000</v>
      </c>
      <c r="K33" s="325">
        <v>0</v>
      </c>
      <c r="L33" s="325">
        <v>0</v>
      </c>
      <c r="M33" s="565">
        <f t="shared" si="8"/>
        <v>80000</v>
      </c>
      <c r="N33" s="326">
        <v>80000</v>
      </c>
      <c r="O33" s="326">
        <v>0</v>
      </c>
      <c r="P33" s="565">
        <f t="shared" si="2"/>
        <v>80000</v>
      </c>
      <c r="Q33" s="565">
        <f t="shared" si="9"/>
        <v>80000</v>
      </c>
      <c r="R33" s="325" t="s">
        <v>1578</v>
      </c>
      <c r="S33" s="325" t="s">
        <v>187</v>
      </c>
      <c r="T33" s="327" t="s">
        <v>1284</v>
      </c>
      <c r="V33" s="43" t="s">
        <v>1629</v>
      </c>
      <c r="W33" s="221">
        <v>75000</v>
      </c>
      <c r="Y33" s="6">
        <f t="shared" si="3"/>
        <v>1</v>
      </c>
      <c r="Z33" s="562">
        <f t="shared" si="4"/>
        <v>80000</v>
      </c>
      <c r="AA33" s="122">
        <f t="shared" si="5"/>
        <v>0</v>
      </c>
      <c r="AB33" s="122">
        <f t="shared" si="6"/>
        <v>5000</v>
      </c>
      <c r="AC33" s="6">
        <f t="shared" si="7"/>
        <v>1</v>
      </c>
      <c r="AD33" s="563">
        <f t="shared" si="10"/>
        <v>1</v>
      </c>
      <c r="AE33" s="64"/>
      <c r="AF33" s="31">
        <v>73000</v>
      </c>
      <c r="AG33" s="31">
        <v>7000</v>
      </c>
      <c r="AH33" s="31">
        <v>0</v>
      </c>
      <c r="AI33" s="31">
        <v>0</v>
      </c>
      <c r="AJ33" s="31">
        <v>80000</v>
      </c>
      <c r="AK33" s="31">
        <v>80000</v>
      </c>
      <c r="AL33" s="31">
        <v>0</v>
      </c>
      <c r="AM33" s="56">
        <v>80000</v>
      </c>
      <c r="AN33" s="31">
        <v>80000</v>
      </c>
      <c r="AO33" s="31" t="s">
        <v>1578</v>
      </c>
      <c r="AP33" s="23" t="s">
        <v>187</v>
      </c>
      <c r="AQ33" s="23" t="s">
        <v>1284</v>
      </c>
    </row>
    <row r="34" spans="1:43">
      <c r="A34" s="35">
        <v>31</v>
      </c>
      <c r="B34" s="35">
        <v>102</v>
      </c>
      <c r="C34" s="569" t="str">
        <f t="shared" si="0"/>
        <v>池袋ハウス</v>
      </c>
      <c r="D34" s="45" t="s">
        <v>1630</v>
      </c>
      <c r="E34" s="46">
        <v>27.3</v>
      </c>
      <c r="F34" s="324">
        <v>631</v>
      </c>
      <c r="G34" s="566" t="str">
        <f t="shared" si="1"/>
        <v>住居</v>
      </c>
      <c r="H34" s="44" t="s">
        <v>1567</v>
      </c>
      <c r="I34" s="325">
        <v>78000</v>
      </c>
      <c r="J34" s="325">
        <v>7000</v>
      </c>
      <c r="K34" s="325">
        <v>0</v>
      </c>
      <c r="L34" s="325">
        <v>0</v>
      </c>
      <c r="M34" s="565">
        <f t="shared" si="8"/>
        <v>85000</v>
      </c>
      <c r="N34" s="326">
        <v>85000</v>
      </c>
      <c r="O34" s="326">
        <v>0</v>
      </c>
      <c r="P34" s="565">
        <f t="shared" si="2"/>
        <v>85000</v>
      </c>
      <c r="Q34" s="565">
        <f t="shared" si="9"/>
        <v>85000</v>
      </c>
      <c r="R34" s="325" t="s">
        <v>1568</v>
      </c>
      <c r="S34" s="325" t="s">
        <v>187</v>
      </c>
      <c r="T34" s="327" t="s">
        <v>1284</v>
      </c>
      <c r="V34" s="43" t="s">
        <v>1631</v>
      </c>
      <c r="W34" s="221">
        <v>70000</v>
      </c>
      <c r="Y34" s="6">
        <f t="shared" si="3"/>
        <v>1</v>
      </c>
      <c r="Z34" s="562">
        <f t="shared" si="4"/>
        <v>85000</v>
      </c>
      <c r="AA34" s="122">
        <f t="shared" si="5"/>
        <v>0</v>
      </c>
      <c r="AB34" s="122">
        <f t="shared" si="6"/>
        <v>15000</v>
      </c>
      <c r="AC34" s="6">
        <f t="shared" si="7"/>
        <v>1</v>
      </c>
      <c r="AD34" s="563">
        <f t="shared" si="10"/>
        <v>1</v>
      </c>
      <c r="AE34" s="64"/>
      <c r="AF34" s="31">
        <v>78000</v>
      </c>
      <c r="AG34" s="31">
        <v>7000</v>
      </c>
      <c r="AH34" s="31">
        <v>0</v>
      </c>
      <c r="AI34" s="31">
        <v>0</v>
      </c>
      <c r="AJ34" s="31">
        <v>85000</v>
      </c>
      <c r="AK34" s="31">
        <v>85000</v>
      </c>
      <c r="AL34" s="31">
        <v>0</v>
      </c>
      <c r="AM34" s="56">
        <v>85000</v>
      </c>
      <c r="AN34" s="31">
        <v>85000</v>
      </c>
      <c r="AO34" s="31" t="s">
        <v>1568</v>
      </c>
      <c r="AP34" s="23" t="s">
        <v>187</v>
      </c>
      <c r="AQ34" s="23" t="s">
        <v>1284</v>
      </c>
    </row>
    <row r="35" spans="1:43">
      <c r="A35" s="35">
        <v>32</v>
      </c>
      <c r="B35" s="35">
        <v>102</v>
      </c>
      <c r="C35" s="569" t="str">
        <f t="shared" si="0"/>
        <v>池袋ハウス</v>
      </c>
      <c r="D35" s="45" t="s">
        <v>1632</v>
      </c>
      <c r="E35" s="46">
        <v>22.98</v>
      </c>
      <c r="F35" s="324">
        <v>631</v>
      </c>
      <c r="G35" s="566" t="str">
        <f t="shared" si="1"/>
        <v>住居</v>
      </c>
      <c r="H35" s="44" t="s">
        <v>1567</v>
      </c>
      <c r="I35" s="325">
        <v>68000</v>
      </c>
      <c r="J35" s="325">
        <v>7000</v>
      </c>
      <c r="K35" s="325">
        <v>0</v>
      </c>
      <c r="L35" s="325">
        <v>0</v>
      </c>
      <c r="M35" s="565">
        <f t="shared" si="8"/>
        <v>75000</v>
      </c>
      <c r="N35" s="326">
        <v>75000</v>
      </c>
      <c r="O35" s="326">
        <v>0</v>
      </c>
      <c r="P35" s="565">
        <f t="shared" si="2"/>
        <v>75000</v>
      </c>
      <c r="Q35" s="565">
        <f t="shared" si="9"/>
        <v>75000</v>
      </c>
      <c r="R35" s="325" t="s">
        <v>1568</v>
      </c>
      <c r="S35" s="325" t="s">
        <v>187</v>
      </c>
      <c r="T35" s="327" t="s">
        <v>1284</v>
      </c>
      <c r="V35" s="43" t="s">
        <v>1633</v>
      </c>
      <c r="W35" s="221">
        <v>64000</v>
      </c>
      <c r="Y35" s="6">
        <f t="shared" si="3"/>
        <v>1</v>
      </c>
      <c r="Z35" s="562">
        <f t="shared" si="4"/>
        <v>75000</v>
      </c>
      <c r="AA35" s="122">
        <f t="shared" si="5"/>
        <v>0</v>
      </c>
      <c r="AB35" s="122">
        <f t="shared" si="6"/>
        <v>11000</v>
      </c>
      <c r="AC35" s="6">
        <f t="shared" si="7"/>
        <v>1</v>
      </c>
      <c r="AD35" s="563">
        <f t="shared" si="10"/>
        <v>1</v>
      </c>
      <c r="AE35" s="64"/>
      <c r="AF35" s="31">
        <v>68000</v>
      </c>
      <c r="AG35" s="31">
        <v>7000</v>
      </c>
      <c r="AH35" s="31">
        <v>0</v>
      </c>
      <c r="AI35" s="31">
        <v>0</v>
      </c>
      <c r="AJ35" s="31">
        <v>75000</v>
      </c>
      <c r="AK35" s="31">
        <v>75000</v>
      </c>
      <c r="AL35" s="31">
        <v>0</v>
      </c>
      <c r="AM35" s="56">
        <v>75000</v>
      </c>
      <c r="AN35" s="31">
        <v>75000</v>
      </c>
      <c r="AO35" s="31" t="s">
        <v>1568</v>
      </c>
      <c r="AP35" s="23" t="s">
        <v>187</v>
      </c>
      <c r="AQ35" s="23" t="s">
        <v>1284</v>
      </c>
    </row>
    <row r="36" spans="1:43">
      <c r="A36" s="35">
        <v>33</v>
      </c>
      <c r="B36" s="35">
        <v>102</v>
      </c>
      <c r="C36" s="569" t="str">
        <f t="shared" si="0"/>
        <v>池袋ハウス</v>
      </c>
      <c r="D36" s="45" t="s">
        <v>1634</v>
      </c>
      <c r="E36" s="46">
        <v>22.98</v>
      </c>
      <c r="F36" s="324">
        <v>631</v>
      </c>
      <c r="G36" s="566" t="str">
        <f t="shared" si="1"/>
        <v>住居</v>
      </c>
      <c r="H36" s="44" t="s">
        <v>1567</v>
      </c>
      <c r="I36" s="325">
        <v>61000</v>
      </c>
      <c r="J36" s="325">
        <v>7000</v>
      </c>
      <c r="K36" s="325">
        <v>0</v>
      </c>
      <c r="L36" s="325">
        <v>0</v>
      </c>
      <c r="M36" s="565">
        <f t="shared" si="8"/>
        <v>68000</v>
      </c>
      <c r="N36" s="326">
        <v>76000</v>
      </c>
      <c r="O36" s="326">
        <v>0</v>
      </c>
      <c r="P36" s="565">
        <f t="shared" si="2"/>
        <v>76000</v>
      </c>
      <c r="Q36" s="565">
        <f t="shared" si="9"/>
        <v>68000</v>
      </c>
      <c r="R36" s="325" t="s">
        <v>1568</v>
      </c>
      <c r="S36" s="325" t="s">
        <v>187</v>
      </c>
      <c r="T36" s="327" t="s">
        <v>1284</v>
      </c>
      <c r="V36" s="43" t="s">
        <v>1635</v>
      </c>
      <c r="W36" s="221">
        <v>66000</v>
      </c>
      <c r="Y36" s="6">
        <f t="shared" si="3"/>
        <v>1</v>
      </c>
      <c r="Z36" s="562">
        <f t="shared" si="4"/>
        <v>68000</v>
      </c>
      <c r="AA36" s="122">
        <f t="shared" si="5"/>
        <v>8000</v>
      </c>
      <c r="AB36" s="122">
        <f t="shared" si="6"/>
        <v>2000</v>
      </c>
      <c r="AC36" s="6">
        <f t="shared" si="7"/>
        <v>1</v>
      </c>
      <c r="AD36" s="563">
        <f t="shared" si="10"/>
        <v>1</v>
      </c>
      <c r="AE36" s="64"/>
      <c r="AF36" s="31">
        <v>61000</v>
      </c>
      <c r="AG36" s="31">
        <v>7000</v>
      </c>
      <c r="AH36" s="31">
        <v>0</v>
      </c>
      <c r="AI36" s="31">
        <v>0</v>
      </c>
      <c r="AJ36" s="31">
        <v>68000</v>
      </c>
      <c r="AK36" s="31">
        <v>76000</v>
      </c>
      <c r="AL36" s="31">
        <v>0</v>
      </c>
      <c r="AM36" s="56">
        <v>76000</v>
      </c>
      <c r="AN36" s="31">
        <v>68000</v>
      </c>
      <c r="AO36" s="31" t="s">
        <v>1568</v>
      </c>
      <c r="AP36" s="23" t="s">
        <v>187</v>
      </c>
      <c r="AQ36" s="23" t="s">
        <v>1284</v>
      </c>
    </row>
    <row r="37" spans="1:43">
      <c r="A37" s="35">
        <v>34</v>
      </c>
      <c r="B37" s="35">
        <v>102</v>
      </c>
      <c r="C37" s="569" t="str">
        <f t="shared" si="0"/>
        <v>池袋ハウス</v>
      </c>
      <c r="D37" s="45" t="s">
        <v>1636</v>
      </c>
      <c r="E37" s="46">
        <v>23.27</v>
      </c>
      <c r="F37" s="324">
        <v>631</v>
      </c>
      <c r="G37" s="566" t="str">
        <f t="shared" si="1"/>
        <v>住居</v>
      </c>
      <c r="H37" s="44" t="s">
        <v>1567</v>
      </c>
      <c r="I37" s="325">
        <v>61000</v>
      </c>
      <c r="J37" s="325">
        <v>7000</v>
      </c>
      <c r="K37" s="325">
        <v>0</v>
      </c>
      <c r="L37" s="325">
        <v>0</v>
      </c>
      <c r="M37" s="565">
        <f t="shared" si="8"/>
        <v>68000</v>
      </c>
      <c r="N37" s="326">
        <v>68000</v>
      </c>
      <c r="O37" s="326">
        <v>0</v>
      </c>
      <c r="P37" s="565">
        <f t="shared" si="2"/>
        <v>68000</v>
      </c>
      <c r="Q37" s="565">
        <f t="shared" si="9"/>
        <v>68000</v>
      </c>
      <c r="R37" s="325" t="s">
        <v>1568</v>
      </c>
      <c r="S37" s="325" t="s">
        <v>187</v>
      </c>
      <c r="T37" s="327" t="s">
        <v>1284</v>
      </c>
      <c r="V37" s="43" t="s">
        <v>1637</v>
      </c>
      <c r="W37" s="221">
        <v>68000</v>
      </c>
      <c r="Y37" s="6">
        <f t="shared" si="3"/>
        <v>1</v>
      </c>
      <c r="Z37" s="562">
        <f t="shared" si="4"/>
        <v>68000</v>
      </c>
      <c r="AA37" s="122">
        <f t="shared" si="5"/>
        <v>0</v>
      </c>
      <c r="AB37" s="122">
        <f t="shared" si="6"/>
        <v>0</v>
      </c>
      <c r="AC37" s="6">
        <f t="shared" si="7"/>
        <v>1</v>
      </c>
      <c r="AD37" s="563">
        <f t="shared" si="10"/>
        <v>1</v>
      </c>
      <c r="AE37" s="64"/>
      <c r="AF37" s="31">
        <v>61000</v>
      </c>
      <c r="AG37" s="31">
        <v>7000</v>
      </c>
      <c r="AH37" s="31">
        <v>0</v>
      </c>
      <c r="AI37" s="31">
        <v>0</v>
      </c>
      <c r="AJ37" s="31">
        <v>68000</v>
      </c>
      <c r="AK37" s="31">
        <v>68000</v>
      </c>
      <c r="AL37" s="31">
        <v>0</v>
      </c>
      <c r="AM37" s="56">
        <v>68000</v>
      </c>
      <c r="AN37" s="31">
        <v>68000</v>
      </c>
      <c r="AO37" s="31" t="s">
        <v>1568</v>
      </c>
      <c r="AP37" s="23" t="s">
        <v>187</v>
      </c>
      <c r="AQ37" s="23" t="s">
        <v>1284</v>
      </c>
    </row>
    <row r="38" spans="1:43">
      <c r="A38" s="35">
        <v>35</v>
      </c>
      <c r="B38" s="35">
        <v>102</v>
      </c>
      <c r="C38" s="569" t="str">
        <f t="shared" si="0"/>
        <v>池袋ハウス</v>
      </c>
      <c r="D38" s="45" t="s">
        <v>1580</v>
      </c>
      <c r="E38" s="46">
        <v>23.95</v>
      </c>
      <c r="F38" s="324">
        <v>631</v>
      </c>
      <c r="G38" s="566" t="str">
        <f t="shared" si="1"/>
        <v>住居</v>
      </c>
      <c r="H38" s="44" t="s">
        <v>1567</v>
      </c>
      <c r="I38" s="325">
        <v>70000</v>
      </c>
      <c r="J38" s="325">
        <v>7000</v>
      </c>
      <c r="K38" s="325">
        <v>0</v>
      </c>
      <c r="L38" s="325">
        <v>0</v>
      </c>
      <c r="M38" s="565">
        <f t="shared" si="8"/>
        <v>77000</v>
      </c>
      <c r="N38" s="326">
        <v>77000</v>
      </c>
      <c r="O38" s="326">
        <v>0</v>
      </c>
      <c r="P38" s="565">
        <f t="shared" si="2"/>
        <v>77000</v>
      </c>
      <c r="Q38" s="565">
        <f t="shared" si="9"/>
        <v>77000</v>
      </c>
      <c r="R38" s="325" t="s">
        <v>1568</v>
      </c>
      <c r="S38" s="325" t="s">
        <v>187</v>
      </c>
      <c r="T38" s="327" t="s">
        <v>1284</v>
      </c>
      <c r="V38" s="43" t="s">
        <v>1638</v>
      </c>
      <c r="W38" s="221">
        <v>93000</v>
      </c>
      <c r="Y38" s="6">
        <f t="shared" si="3"/>
        <v>1</v>
      </c>
      <c r="Z38" s="562">
        <f t="shared" si="4"/>
        <v>77000</v>
      </c>
      <c r="AA38" s="122">
        <f t="shared" si="5"/>
        <v>0</v>
      </c>
      <c r="AB38" s="122">
        <f t="shared" si="6"/>
        <v>-16000</v>
      </c>
      <c r="AC38" s="6">
        <f t="shared" si="7"/>
        <v>1</v>
      </c>
      <c r="AD38" s="563">
        <f t="shared" si="10"/>
        <v>1</v>
      </c>
      <c r="AE38" s="64"/>
      <c r="AF38" s="31">
        <v>70000</v>
      </c>
      <c r="AG38" s="31">
        <v>7000</v>
      </c>
      <c r="AH38" s="31">
        <v>0</v>
      </c>
      <c r="AI38" s="31">
        <v>0</v>
      </c>
      <c r="AJ38" s="31">
        <v>77000</v>
      </c>
      <c r="AK38" s="31">
        <v>77000</v>
      </c>
      <c r="AL38" s="31">
        <v>0</v>
      </c>
      <c r="AM38" s="56">
        <v>77000</v>
      </c>
      <c r="AN38" s="31">
        <v>77000</v>
      </c>
      <c r="AO38" s="31" t="s">
        <v>1568</v>
      </c>
      <c r="AP38" s="23" t="s">
        <v>187</v>
      </c>
      <c r="AQ38" s="23" t="s">
        <v>1284</v>
      </c>
    </row>
    <row r="39" spans="1:43">
      <c r="A39" s="35">
        <v>36</v>
      </c>
      <c r="B39" s="35">
        <v>102</v>
      </c>
      <c r="C39" s="569" t="str">
        <f t="shared" si="0"/>
        <v>池袋ハウス</v>
      </c>
      <c r="D39" s="45" t="s">
        <v>1582</v>
      </c>
      <c r="E39" s="46">
        <v>20.079999999999998</v>
      </c>
      <c r="F39" s="324">
        <v>631</v>
      </c>
      <c r="G39" s="566" t="str">
        <f t="shared" si="1"/>
        <v>住居</v>
      </c>
      <c r="H39" s="44" t="s">
        <v>1567</v>
      </c>
      <c r="I39" s="325">
        <v>75000</v>
      </c>
      <c r="J39" s="325">
        <v>7000</v>
      </c>
      <c r="K39" s="325">
        <v>0</v>
      </c>
      <c r="L39" s="325">
        <v>0</v>
      </c>
      <c r="M39" s="565">
        <f t="shared" si="8"/>
        <v>82000</v>
      </c>
      <c r="N39" s="326">
        <v>82000</v>
      </c>
      <c r="O39" s="326">
        <v>0</v>
      </c>
      <c r="P39" s="565">
        <f t="shared" si="2"/>
        <v>82000</v>
      </c>
      <c r="Q39" s="565">
        <f t="shared" si="9"/>
        <v>82000</v>
      </c>
      <c r="R39" s="325" t="s">
        <v>1578</v>
      </c>
      <c r="S39" s="325" t="s">
        <v>187</v>
      </c>
      <c r="T39" s="327" t="s">
        <v>1284</v>
      </c>
      <c r="V39" s="43" t="s">
        <v>1639</v>
      </c>
      <c r="W39" s="221">
        <v>67000</v>
      </c>
      <c r="Y39" s="6">
        <f t="shared" si="3"/>
        <v>1</v>
      </c>
      <c r="Z39" s="562">
        <f t="shared" si="4"/>
        <v>82000</v>
      </c>
      <c r="AA39" s="122">
        <f t="shared" si="5"/>
        <v>0</v>
      </c>
      <c r="AB39" s="122">
        <f t="shared" si="6"/>
        <v>15000</v>
      </c>
      <c r="AC39" s="6">
        <f t="shared" si="7"/>
        <v>1</v>
      </c>
      <c r="AD39" s="563">
        <f t="shared" si="10"/>
        <v>1</v>
      </c>
      <c r="AE39" s="64"/>
      <c r="AF39" s="31">
        <v>75000</v>
      </c>
      <c r="AG39" s="31">
        <v>7000</v>
      </c>
      <c r="AH39" s="31">
        <v>0</v>
      </c>
      <c r="AI39" s="31">
        <v>0</v>
      </c>
      <c r="AJ39" s="31">
        <v>82000</v>
      </c>
      <c r="AK39" s="31">
        <v>82000</v>
      </c>
      <c r="AL39" s="31">
        <v>0</v>
      </c>
      <c r="AM39" s="56">
        <v>82000</v>
      </c>
      <c r="AN39" s="31">
        <v>82000</v>
      </c>
      <c r="AO39" s="31" t="s">
        <v>1578</v>
      </c>
      <c r="AP39" s="23" t="s">
        <v>187</v>
      </c>
      <c r="AQ39" s="23" t="s">
        <v>1284</v>
      </c>
    </row>
    <row r="40" spans="1:43">
      <c r="A40" s="35">
        <v>37</v>
      </c>
      <c r="B40" s="35">
        <v>102</v>
      </c>
      <c r="C40" s="569" t="str">
        <f t="shared" si="0"/>
        <v>池袋ハウス</v>
      </c>
      <c r="D40" s="45" t="s">
        <v>1585</v>
      </c>
      <c r="E40" s="46">
        <v>23.25</v>
      </c>
      <c r="F40" s="324">
        <v>631</v>
      </c>
      <c r="G40" s="566" t="str">
        <f t="shared" si="1"/>
        <v>住居</v>
      </c>
      <c r="H40" s="44" t="s">
        <v>1567</v>
      </c>
      <c r="I40" s="325">
        <v>73000</v>
      </c>
      <c r="J40" s="325">
        <v>7000</v>
      </c>
      <c r="K40" s="325">
        <v>0</v>
      </c>
      <c r="L40" s="325">
        <v>0</v>
      </c>
      <c r="M40" s="565">
        <f t="shared" si="8"/>
        <v>80000</v>
      </c>
      <c r="N40" s="326">
        <v>85000</v>
      </c>
      <c r="O40" s="326">
        <v>0</v>
      </c>
      <c r="P40" s="565">
        <f t="shared" si="2"/>
        <v>85000</v>
      </c>
      <c r="Q40" s="565">
        <f t="shared" si="9"/>
        <v>80000</v>
      </c>
      <c r="R40" s="325" t="s">
        <v>1568</v>
      </c>
      <c r="S40" s="325" t="s">
        <v>187</v>
      </c>
      <c r="T40" s="327" t="s">
        <v>1284</v>
      </c>
      <c r="V40" s="43" t="s">
        <v>1640</v>
      </c>
      <c r="W40" s="221">
        <v>77000</v>
      </c>
      <c r="Y40" s="6">
        <f t="shared" si="3"/>
        <v>1</v>
      </c>
      <c r="Z40" s="562">
        <f t="shared" si="4"/>
        <v>80000</v>
      </c>
      <c r="AA40" s="122">
        <f t="shared" si="5"/>
        <v>5000</v>
      </c>
      <c r="AB40" s="122">
        <f t="shared" si="6"/>
        <v>3000</v>
      </c>
      <c r="AC40" s="6">
        <f t="shared" si="7"/>
        <v>1</v>
      </c>
      <c r="AD40" s="563">
        <f t="shared" si="10"/>
        <v>1</v>
      </c>
      <c r="AE40" s="64"/>
      <c r="AF40" s="31">
        <v>73000</v>
      </c>
      <c r="AG40" s="31">
        <v>7000</v>
      </c>
      <c r="AH40" s="31">
        <v>0</v>
      </c>
      <c r="AI40" s="31">
        <v>0</v>
      </c>
      <c r="AJ40" s="31">
        <v>80000</v>
      </c>
      <c r="AK40" s="31">
        <v>85000</v>
      </c>
      <c r="AL40" s="31">
        <v>0</v>
      </c>
      <c r="AM40" s="56">
        <v>85000</v>
      </c>
      <c r="AN40" s="31">
        <v>80000</v>
      </c>
      <c r="AO40" s="31" t="s">
        <v>1568</v>
      </c>
      <c r="AP40" s="23" t="s">
        <v>187</v>
      </c>
      <c r="AQ40" s="23" t="s">
        <v>1284</v>
      </c>
    </row>
    <row r="41" spans="1:43">
      <c r="A41" s="35">
        <v>38</v>
      </c>
      <c r="B41" s="35">
        <v>102</v>
      </c>
      <c r="C41" s="569" t="str">
        <f t="shared" si="0"/>
        <v>池袋ハウス</v>
      </c>
      <c r="D41" s="45" t="s">
        <v>1587</v>
      </c>
      <c r="E41" s="46">
        <v>23.25</v>
      </c>
      <c r="F41" s="324">
        <v>631</v>
      </c>
      <c r="G41" s="566" t="str">
        <f t="shared" si="1"/>
        <v>住居</v>
      </c>
      <c r="H41" s="44" t="s">
        <v>1567</v>
      </c>
      <c r="I41" s="325">
        <v>68000</v>
      </c>
      <c r="J41" s="325">
        <v>7000</v>
      </c>
      <c r="K41" s="325">
        <v>0</v>
      </c>
      <c r="L41" s="325">
        <v>0</v>
      </c>
      <c r="M41" s="565">
        <f t="shared" si="8"/>
        <v>75000</v>
      </c>
      <c r="N41" s="326">
        <v>69000</v>
      </c>
      <c r="O41" s="326">
        <v>0</v>
      </c>
      <c r="P41" s="565">
        <f t="shared" si="2"/>
        <v>69000</v>
      </c>
      <c r="Q41" s="565">
        <f t="shared" si="9"/>
        <v>75000</v>
      </c>
      <c r="R41" s="325" t="s">
        <v>1568</v>
      </c>
      <c r="S41" s="325" t="s">
        <v>187</v>
      </c>
      <c r="T41" s="327" t="s">
        <v>1284</v>
      </c>
      <c r="V41" s="43" t="s">
        <v>1641</v>
      </c>
      <c r="W41" s="221">
        <v>69000</v>
      </c>
      <c r="Y41" s="6">
        <f t="shared" si="3"/>
        <v>1</v>
      </c>
      <c r="Z41" s="562">
        <f t="shared" si="4"/>
        <v>75000</v>
      </c>
      <c r="AA41" s="122">
        <f t="shared" si="5"/>
        <v>-6000</v>
      </c>
      <c r="AB41" s="122">
        <f t="shared" si="6"/>
        <v>6000</v>
      </c>
      <c r="AC41" s="6">
        <f t="shared" si="7"/>
        <v>1</v>
      </c>
      <c r="AD41" s="563">
        <f t="shared" si="10"/>
        <v>1</v>
      </c>
      <c r="AE41" s="64"/>
      <c r="AF41" s="31">
        <v>68000</v>
      </c>
      <c r="AG41" s="31">
        <v>7000</v>
      </c>
      <c r="AH41" s="31">
        <v>0</v>
      </c>
      <c r="AI41" s="31">
        <v>0</v>
      </c>
      <c r="AJ41" s="31">
        <v>75000</v>
      </c>
      <c r="AK41" s="31">
        <v>69000</v>
      </c>
      <c r="AL41" s="31">
        <v>0</v>
      </c>
      <c r="AM41" s="56">
        <v>69000</v>
      </c>
      <c r="AN41" s="31">
        <v>75000</v>
      </c>
      <c r="AO41" s="31" t="s">
        <v>1568</v>
      </c>
      <c r="AP41" s="23" t="s">
        <v>187</v>
      </c>
      <c r="AQ41" s="23" t="s">
        <v>1284</v>
      </c>
    </row>
    <row r="42" spans="1:43">
      <c r="A42" s="35">
        <v>39</v>
      </c>
      <c r="B42" s="35">
        <v>102</v>
      </c>
      <c r="C42" s="569" t="str">
        <f t="shared" si="0"/>
        <v>池袋ハウス</v>
      </c>
      <c r="D42" s="45" t="s">
        <v>1642</v>
      </c>
      <c r="E42" s="46">
        <v>27.3</v>
      </c>
      <c r="F42" s="324">
        <v>631</v>
      </c>
      <c r="G42" s="566" t="str">
        <f t="shared" si="1"/>
        <v>住居</v>
      </c>
      <c r="H42" s="44" t="s">
        <v>1567</v>
      </c>
      <c r="I42" s="325">
        <v>73000</v>
      </c>
      <c r="J42" s="325">
        <v>7000</v>
      </c>
      <c r="K42" s="325">
        <v>0</v>
      </c>
      <c r="L42" s="325">
        <v>0</v>
      </c>
      <c r="M42" s="565">
        <f t="shared" si="8"/>
        <v>80000</v>
      </c>
      <c r="N42" s="326">
        <v>86000</v>
      </c>
      <c r="O42" s="326">
        <v>0</v>
      </c>
      <c r="P42" s="565">
        <f t="shared" si="2"/>
        <v>86000</v>
      </c>
      <c r="Q42" s="565">
        <f t="shared" si="9"/>
        <v>80000</v>
      </c>
      <c r="R42" s="325" t="s">
        <v>1578</v>
      </c>
      <c r="S42" s="325" t="s">
        <v>187</v>
      </c>
      <c r="T42" s="327" t="s">
        <v>1284</v>
      </c>
      <c r="V42" s="43" t="s">
        <v>1643</v>
      </c>
      <c r="W42" s="221">
        <v>73000</v>
      </c>
      <c r="Y42" s="6">
        <f t="shared" si="3"/>
        <v>1</v>
      </c>
      <c r="Z42" s="562">
        <f t="shared" si="4"/>
        <v>80000</v>
      </c>
      <c r="AA42" s="122">
        <f t="shared" si="5"/>
        <v>6000</v>
      </c>
      <c r="AB42" s="122">
        <f t="shared" si="6"/>
        <v>7000</v>
      </c>
      <c r="AC42" s="6">
        <f t="shared" si="7"/>
        <v>1</v>
      </c>
      <c r="AD42" s="563">
        <f t="shared" si="10"/>
        <v>1</v>
      </c>
      <c r="AE42" s="64"/>
      <c r="AF42" s="31">
        <v>73000</v>
      </c>
      <c r="AG42" s="31">
        <v>7000</v>
      </c>
      <c r="AH42" s="31">
        <v>0</v>
      </c>
      <c r="AI42" s="31">
        <v>0</v>
      </c>
      <c r="AJ42" s="31">
        <v>80000</v>
      </c>
      <c r="AK42" s="31">
        <v>86000</v>
      </c>
      <c r="AL42" s="31">
        <v>0</v>
      </c>
      <c r="AM42" s="56">
        <v>86000</v>
      </c>
      <c r="AN42" s="31">
        <v>80000</v>
      </c>
      <c r="AO42" s="31" t="s">
        <v>1578</v>
      </c>
      <c r="AP42" s="23" t="s">
        <v>187</v>
      </c>
      <c r="AQ42" s="23" t="s">
        <v>1284</v>
      </c>
    </row>
    <row r="43" spans="1:43">
      <c r="A43" s="35">
        <v>40</v>
      </c>
      <c r="B43" s="35">
        <v>102</v>
      </c>
      <c r="C43" s="569" t="str">
        <f t="shared" si="0"/>
        <v>池袋ハウス</v>
      </c>
      <c r="D43" s="45" t="s">
        <v>1644</v>
      </c>
      <c r="E43" s="46">
        <v>27.3</v>
      </c>
      <c r="F43" s="324">
        <v>631</v>
      </c>
      <c r="G43" s="566" t="str">
        <f t="shared" si="1"/>
        <v>住居</v>
      </c>
      <c r="H43" s="44" t="s">
        <v>1567</v>
      </c>
      <c r="I43" s="325">
        <v>82000</v>
      </c>
      <c r="J43" s="325">
        <v>7000</v>
      </c>
      <c r="K43" s="325">
        <v>0</v>
      </c>
      <c r="L43" s="325">
        <v>0</v>
      </c>
      <c r="M43" s="565">
        <f t="shared" si="8"/>
        <v>89000</v>
      </c>
      <c r="N43" s="326">
        <v>92000</v>
      </c>
      <c r="O43" s="326">
        <v>0</v>
      </c>
      <c r="P43" s="565">
        <f t="shared" si="2"/>
        <v>92000</v>
      </c>
      <c r="Q43" s="565">
        <f t="shared" si="9"/>
        <v>89000</v>
      </c>
      <c r="R43" s="325" t="s">
        <v>1578</v>
      </c>
      <c r="S43" s="325" t="s">
        <v>187</v>
      </c>
      <c r="T43" s="327" t="s">
        <v>1284</v>
      </c>
      <c r="V43" s="43" t="s">
        <v>1645</v>
      </c>
      <c r="W43" s="221">
        <v>72000</v>
      </c>
      <c r="Y43" s="6">
        <f t="shared" si="3"/>
        <v>1</v>
      </c>
      <c r="Z43" s="562">
        <f t="shared" si="4"/>
        <v>89000</v>
      </c>
      <c r="AA43" s="122">
        <f t="shared" si="5"/>
        <v>3000</v>
      </c>
      <c r="AB43" s="122">
        <f t="shared" si="6"/>
        <v>17000</v>
      </c>
      <c r="AC43" s="6">
        <f t="shared" si="7"/>
        <v>1</v>
      </c>
      <c r="AD43" s="563">
        <f t="shared" si="10"/>
        <v>1</v>
      </c>
      <c r="AE43" s="64"/>
      <c r="AF43" s="31">
        <v>82000</v>
      </c>
      <c r="AG43" s="31">
        <v>7000</v>
      </c>
      <c r="AH43" s="31">
        <v>0</v>
      </c>
      <c r="AI43" s="31">
        <v>0</v>
      </c>
      <c r="AJ43" s="31">
        <v>89000</v>
      </c>
      <c r="AK43" s="31">
        <v>92000</v>
      </c>
      <c r="AL43" s="31">
        <v>0</v>
      </c>
      <c r="AM43" s="56">
        <v>92000</v>
      </c>
      <c r="AN43" s="31">
        <v>89000</v>
      </c>
      <c r="AO43" s="31" t="s">
        <v>1578</v>
      </c>
      <c r="AP43" s="23" t="s">
        <v>187</v>
      </c>
      <c r="AQ43" s="23" t="s">
        <v>1284</v>
      </c>
    </row>
    <row r="44" spans="1:43">
      <c r="A44" s="35">
        <v>41</v>
      </c>
      <c r="B44" s="35">
        <v>102</v>
      </c>
      <c r="C44" s="569" t="str">
        <f t="shared" si="0"/>
        <v>池袋ハウス</v>
      </c>
      <c r="D44" s="45" t="s">
        <v>1646</v>
      </c>
      <c r="E44" s="46">
        <v>22.98</v>
      </c>
      <c r="F44" s="324">
        <v>631</v>
      </c>
      <c r="G44" s="566" t="str">
        <f t="shared" si="1"/>
        <v>住居</v>
      </c>
      <c r="H44" s="44" t="s">
        <v>1567</v>
      </c>
      <c r="I44" s="325">
        <v>78000</v>
      </c>
      <c r="J44" s="325">
        <v>7000</v>
      </c>
      <c r="K44" s="325">
        <v>0</v>
      </c>
      <c r="L44" s="325">
        <v>0</v>
      </c>
      <c r="M44" s="565">
        <f t="shared" si="8"/>
        <v>85000</v>
      </c>
      <c r="N44" s="326">
        <v>85000</v>
      </c>
      <c r="O44" s="326">
        <v>0</v>
      </c>
      <c r="P44" s="565">
        <f t="shared" si="2"/>
        <v>85000</v>
      </c>
      <c r="Q44" s="565">
        <f t="shared" si="9"/>
        <v>85000</v>
      </c>
      <c r="R44" s="325" t="s">
        <v>1578</v>
      </c>
      <c r="S44" s="325" t="s">
        <v>187</v>
      </c>
      <c r="T44" s="327" t="s">
        <v>1284</v>
      </c>
      <c r="V44" s="43" t="s">
        <v>1647</v>
      </c>
      <c r="W44" s="221">
        <v>76000</v>
      </c>
      <c r="Y44" s="6">
        <f t="shared" si="3"/>
        <v>1</v>
      </c>
      <c r="Z44" s="562">
        <f t="shared" si="4"/>
        <v>85000</v>
      </c>
      <c r="AA44" s="122">
        <f t="shared" si="5"/>
        <v>0</v>
      </c>
      <c r="AB44" s="122">
        <f t="shared" si="6"/>
        <v>9000</v>
      </c>
      <c r="AC44" s="6">
        <f t="shared" si="7"/>
        <v>1</v>
      </c>
      <c r="AD44" s="563">
        <f t="shared" si="10"/>
        <v>1</v>
      </c>
      <c r="AE44" s="64"/>
      <c r="AF44" s="31">
        <v>78000</v>
      </c>
      <c r="AG44" s="31">
        <v>7000</v>
      </c>
      <c r="AH44" s="31">
        <v>0</v>
      </c>
      <c r="AI44" s="31">
        <v>0</v>
      </c>
      <c r="AJ44" s="31">
        <v>85000</v>
      </c>
      <c r="AK44" s="31">
        <v>85000</v>
      </c>
      <c r="AL44" s="31">
        <v>0</v>
      </c>
      <c r="AM44" s="56">
        <v>85000</v>
      </c>
      <c r="AN44" s="31">
        <v>85000</v>
      </c>
      <c r="AO44" s="31" t="s">
        <v>1578</v>
      </c>
      <c r="AP44" s="23" t="s">
        <v>187</v>
      </c>
      <c r="AQ44" s="23" t="s">
        <v>1284</v>
      </c>
    </row>
    <row r="45" spans="1:43">
      <c r="A45" s="35">
        <v>42</v>
      </c>
      <c r="B45" s="35">
        <v>102</v>
      </c>
      <c r="C45" s="569" t="str">
        <f t="shared" si="0"/>
        <v>池袋ハウス</v>
      </c>
      <c r="D45" s="45" t="s">
        <v>1648</v>
      </c>
      <c r="E45" s="46">
        <v>22.98</v>
      </c>
      <c r="F45" s="324">
        <v>631</v>
      </c>
      <c r="G45" s="566" t="str">
        <f t="shared" si="1"/>
        <v>住居</v>
      </c>
      <c r="H45" s="44" t="s">
        <v>1567</v>
      </c>
      <c r="I45" s="325">
        <v>75000</v>
      </c>
      <c r="J45" s="325">
        <v>7000</v>
      </c>
      <c r="K45" s="325">
        <v>0</v>
      </c>
      <c r="L45" s="325">
        <v>0</v>
      </c>
      <c r="M45" s="565">
        <f t="shared" si="8"/>
        <v>82000</v>
      </c>
      <c r="N45" s="326">
        <v>82000</v>
      </c>
      <c r="O45" s="326">
        <v>0</v>
      </c>
      <c r="P45" s="565">
        <f t="shared" si="2"/>
        <v>82000</v>
      </c>
      <c r="Q45" s="565">
        <f t="shared" si="9"/>
        <v>82000</v>
      </c>
      <c r="R45" s="325" t="s">
        <v>1578</v>
      </c>
      <c r="S45" s="325" t="s">
        <v>187</v>
      </c>
      <c r="T45" s="327" t="s">
        <v>1284</v>
      </c>
      <c r="V45" s="43" t="s">
        <v>1649</v>
      </c>
      <c r="W45" s="221">
        <v>69000</v>
      </c>
      <c r="Y45" s="6">
        <f t="shared" si="3"/>
        <v>1</v>
      </c>
      <c r="Z45" s="562">
        <f t="shared" si="4"/>
        <v>82000</v>
      </c>
      <c r="AA45" s="122">
        <f t="shared" si="5"/>
        <v>0</v>
      </c>
      <c r="AB45" s="122">
        <f t="shared" si="6"/>
        <v>13000</v>
      </c>
      <c r="AC45" s="6">
        <f t="shared" si="7"/>
        <v>1</v>
      </c>
      <c r="AD45" s="563">
        <f t="shared" si="10"/>
        <v>1</v>
      </c>
      <c r="AE45" s="64"/>
      <c r="AF45" s="31">
        <v>75000</v>
      </c>
      <c r="AG45" s="31">
        <v>7000</v>
      </c>
      <c r="AH45" s="31">
        <v>0</v>
      </c>
      <c r="AI45" s="31">
        <v>0</v>
      </c>
      <c r="AJ45" s="31">
        <v>82000</v>
      </c>
      <c r="AK45" s="31">
        <v>82000</v>
      </c>
      <c r="AL45" s="31">
        <v>0</v>
      </c>
      <c r="AM45" s="56">
        <v>82000</v>
      </c>
      <c r="AN45" s="31">
        <v>82000</v>
      </c>
      <c r="AO45" s="31" t="s">
        <v>1578</v>
      </c>
      <c r="AP45" s="23" t="s">
        <v>187</v>
      </c>
      <c r="AQ45" s="23" t="s">
        <v>1284</v>
      </c>
    </row>
    <row r="46" spans="1:43">
      <c r="A46" s="35">
        <v>43</v>
      </c>
      <c r="B46" s="35">
        <v>102</v>
      </c>
      <c r="C46" s="569" t="str">
        <f t="shared" si="0"/>
        <v>池袋ハウス</v>
      </c>
      <c r="D46" s="45" t="s">
        <v>1589</v>
      </c>
      <c r="E46" s="46">
        <v>23.95</v>
      </c>
      <c r="F46" s="324">
        <v>631</v>
      </c>
      <c r="G46" s="566" t="str">
        <f t="shared" si="1"/>
        <v>住居</v>
      </c>
      <c r="H46" s="44" t="s">
        <v>1567</v>
      </c>
      <c r="I46" s="325">
        <v>78000</v>
      </c>
      <c r="J46" s="325">
        <v>7000</v>
      </c>
      <c r="K46" s="325">
        <v>0</v>
      </c>
      <c r="L46" s="325">
        <v>0</v>
      </c>
      <c r="M46" s="565">
        <f t="shared" si="8"/>
        <v>85000</v>
      </c>
      <c r="N46" s="326">
        <v>85000</v>
      </c>
      <c r="O46" s="326">
        <v>0</v>
      </c>
      <c r="P46" s="565">
        <f t="shared" si="2"/>
        <v>85000</v>
      </c>
      <c r="Q46" s="565">
        <f t="shared" si="9"/>
        <v>85000</v>
      </c>
      <c r="R46" s="325" t="s">
        <v>1578</v>
      </c>
      <c r="S46" s="325" t="s">
        <v>187</v>
      </c>
      <c r="T46" s="327" t="s">
        <v>1284</v>
      </c>
      <c r="V46" s="43" t="s">
        <v>1650</v>
      </c>
      <c r="W46" s="221">
        <v>75000</v>
      </c>
      <c r="Y46" s="6">
        <f t="shared" si="3"/>
        <v>1</v>
      </c>
      <c r="Z46" s="562">
        <f t="shared" si="4"/>
        <v>85000</v>
      </c>
      <c r="AA46" s="122">
        <f t="shared" si="5"/>
        <v>0</v>
      </c>
      <c r="AB46" s="122">
        <f t="shared" si="6"/>
        <v>10000</v>
      </c>
      <c r="AC46" s="6">
        <f t="shared" si="7"/>
        <v>1</v>
      </c>
      <c r="AD46" s="563">
        <f t="shared" si="10"/>
        <v>1</v>
      </c>
      <c r="AE46" s="64"/>
      <c r="AF46" s="31">
        <v>78000</v>
      </c>
      <c r="AG46" s="31">
        <v>7000</v>
      </c>
      <c r="AH46" s="31">
        <v>0</v>
      </c>
      <c r="AI46" s="31">
        <v>0</v>
      </c>
      <c r="AJ46" s="31">
        <v>85000</v>
      </c>
      <c r="AK46" s="31">
        <v>85000</v>
      </c>
      <c r="AL46" s="31">
        <v>0</v>
      </c>
      <c r="AM46" s="56">
        <v>85000</v>
      </c>
      <c r="AN46" s="31">
        <v>85000</v>
      </c>
      <c r="AO46" s="31" t="s">
        <v>1578</v>
      </c>
      <c r="AP46" s="23" t="s">
        <v>187</v>
      </c>
      <c r="AQ46" s="23" t="s">
        <v>1284</v>
      </c>
    </row>
    <row r="47" spans="1:43">
      <c r="A47" s="35">
        <v>44</v>
      </c>
      <c r="B47" s="35">
        <v>102</v>
      </c>
      <c r="C47" s="569" t="str">
        <f t="shared" si="0"/>
        <v>池袋ハウス</v>
      </c>
      <c r="D47" s="45" t="s">
        <v>1591</v>
      </c>
      <c r="E47" s="46">
        <v>20.079999999999998</v>
      </c>
      <c r="F47" s="324">
        <v>631</v>
      </c>
      <c r="G47" s="566" t="str">
        <f t="shared" si="1"/>
        <v>住居</v>
      </c>
      <c r="H47" s="44" t="s">
        <v>1567</v>
      </c>
      <c r="I47" s="325">
        <v>65000</v>
      </c>
      <c r="J47" s="325">
        <v>10000</v>
      </c>
      <c r="K47" s="325">
        <v>0</v>
      </c>
      <c r="L47" s="325">
        <v>0</v>
      </c>
      <c r="M47" s="565">
        <f t="shared" si="8"/>
        <v>75000</v>
      </c>
      <c r="N47" s="326">
        <v>75000</v>
      </c>
      <c r="O47" s="326">
        <v>0</v>
      </c>
      <c r="P47" s="565">
        <f t="shared" si="2"/>
        <v>75000</v>
      </c>
      <c r="Q47" s="565">
        <f t="shared" si="9"/>
        <v>75000</v>
      </c>
      <c r="R47" s="325" t="s">
        <v>1568</v>
      </c>
      <c r="S47" s="325" t="s">
        <v>187</v>
      </c>
      <c r="T47" s="327" t="s">
        <v>1284</v>
      </c>
      <c r="V47" s="43" t="s">
        <v>1651</v>
      </c>
      <c r="W47" s="221">
        <v>75000</v>
      </c>
      <c r="Y47" s="6">
        <f t="shared" si="3"/>
        <v>1</v>
      </c>
      <c r="Z47" s="562">
        <f t="shared" si="4"/>
        <v>75000</v>
      </c>
      <c r="AA47" s="122">
        <f t="shared" si="5"/>
        <v>0</v>
      </c>
      <c r="AB47" s="122">
        <f t="shared" si="6"/>
        <v>0</v>
      </c>
      <c r="AC47" s="6">
        <f t="shared" si="7"/>
        <v>1</v>
      </c>
      <c r="AD47" s="563">
        <f t="shared" si="10"/>
        <v>1</v>
      </c>
      <c r="AE47" s="64"/>
      <c r="AF47" s="31">
        <v>65000</v>
      </c>
      <c r="AG47" s="31">
        <v>10000</v>
      </c>
      <c r="AH47" s="31">
        <v>0</v>
      </c>
      <c r="AI47" s="31">
        <v>0</v>
      </c>
      <c r="AJ47" s="31">
        <v>75000</v>
      </c>
      <c r="AK47" s="31">
        <v>75000</v>
      </c>
      <c r="AL47" s="31">
        <v>0</v>
      </c>
      <c r="AM47" s="56">
        <v>75000</v>
      </c>
      <c r="AN47" s="31">
        <v>75000</v>
      </c>
      <c r="AO47" s="31" t="s">
        <v>1568</v>
      </c>
      <c r="AP47" s="23" t="s">
        <v>187</v>
      </c>
      <c r="AQ47" s="23" t="s">
        <v>1284</v>
      </c>
    </row>
    <row r="48" spans="1:43">
      <c r="A48" s="35">
        <v>45</v>
      </c>
      <c r="B48" s="35">
        <v>102</v>
      </c>
      <c r="C48" s="569" t="str">
        <f t="shared" si="0"/>
        <v>池袋ハウス</v>
      </c>
      <c r="D48" s="45" t="s">
        <v>1593</v>
      </c>
      <c r="E48" s="46">
        <v>23.25</v>
      </c>
      <c r="F48" s="324">
        <v>631</v>
      </c>
      <c r="G48" s="566" t="str">
        <f t="shared" si="1"/>
        <v>住居</v>
      </c>
      <c r="H48" s="44" t="s">
        <v>1567</v>
      </c>
      <c r="I48" s="325">
        <v>72000</v>
      </c>
      <c r="J48" s="325">
        <v>7000</v>
      </c>
      <c r="K48" s="325">
        <v>0</v>
      </c>
      <c r="L48" s="325">
        <v>0</v>
      </c>
      <c r="M48" s="565">
        <f t="shared" si="8"/>
        <v>79000</v>
      </c>
      <c r="N48" s="326">
        <v>77000</v>
      </c>
      <c r="O48" s="326">
        <v>0</v>
      </c>
      <c r="P48" s="565">
        <f t="shared" si="2"/>
        <v>77000</v>
      </c>
      <c r="Q48" s="565">
        <f t="shared" si="9"/>
        <v>79000</v>
      </c>
      <c r="R48" s="325" t="s">
        <v>1578</v>
      </c>
      <c r="S48" s="325" t="s">
        <v>187</v>
      </c>
      <c r="T48" s="327" t="s">
        <v>1284</v>
      </c>
      <c r="V48" s="43" t="s">
        <v>1652</v>
      </c>
      <c r="W48" s="221">
        <v>73000</v>
      </c>
      <c r="Y48" s="6">
        <f t="shared" si="3"/>
        <v>1</v>
      </c>
      <c r="Z48" s="562">
        <f t="shared" si="4"/>
        <v>79000</v>
      </c>
      <c r="AA48" s="122">
        <f t="shared" si="5"/>
        <v>-2000</v>
      </c>
      <c r="AB48" s="122">
        <f t="shared" si="6"/>
        <v>6000</v>
      </c>
      <c r="AC48" s="6">
        <f t="shared" si="7"/>
        <v>1</v>
      </c>
      <c r="AD48" s="563">
        <f t="shared" si="10"/>
        <v>1</v>
      </c>
      <c r="AE48" s="64"/>
      <c r="AF48" s="31">
        <v>72000</v>
      </c>
      <c r="AG48" s="31">
        <v>7000</v>
      </c>
      <c r="AH48" s="31">
        <v>0</v>
      </c>
      <c r="AI48" s="31">
        <v>0</v>
      </c>
      <c r="AJ48" s="31">
        <v>79000</v>
      </c>
      <c r="AK48" s="31">
        <v>77000</v>
      </c>
      <c r="AL48" s="31">
        <v>0</v>
      </c>
      <c r="AM48" s="56">
        <v>77000</v>
      </c>
      <c r="AN48" s="31">
        <v>79000</v>
      </c>
      <c r="AO48" s="31" t="s">
        <v>1578</v>
      </c>
      <c r="AP48" s="23" t="s">
        <v>187</v>
      </c>
      <c r="AQ48" s="23" t="s">
        <v>1284</v>
      </c>
    </row>
    <row r="49" spans="1:43">
      <c r="A49" s="35">
        <v>46</v>
      </c>
      <c r="B49" s="35">
        <v>102</v>
      </c>
      <c r="C49" s="569" t="str">
        <f t="shared" si="0"/>
        <v>池袋ハウス</v>
      </c>
      <c r="D49" s="45" t="s">
        <v>1595</v>
      </c>
      <c r="E49" s="46">
        <v>23.25</v>
      </c>
      <c r="F49" s="324">
        <v>631</v>
      </c>
      <c r="G49" s="566" t="str">
        <f t="shared" si="1"/>
        <v>住居</v>
      </c>
      <c r="H49" s="44" t="s">
        <v>1567</v>
      </c>
      <c r="I49" s="325">
        <v>78000</v>
      </c>
      <c r="J49" s="325">
        <v>7000</v>
      </c>
      <c r="K49" s="325">
        <v>0</v>
      </c>
      <c r="L49" s="325">
        <v>0</v>
      </c>
      <c r="M49" s="565">
        <f t="shared" si="8"/>
        <v>85000</v>
      </c>
      <c r="N49" s="326">
        <v>85000</v>
      </c>
      <c r="O49" s="326">
        <v>0</v>
      </c>
      <c r="P49" s="565">
        <f t="shared" si="2"/>
        <v>85000</v>
      </c>
      <c r="Q49" s="565">
        <f t="shared" si="9"/>
        <v>85000</v>
      </c>
      <c r="R49" s="325" t="s">
        <v>1578</v>
      </c>
      <c r="S49" s="325" t="s">
        <v>187</v>
      </c>
      <c r="T49" s="327" t="s">
        <v>1284</v>
      </c>
      <c r="V49" s="43" t="s">
        <v>1653</v>
      </c>
      <c r="W49" s="221">
        <v>73000</v>
      </c>
      <c r="Y49" s="6">
        <f t="shared" si="3"/>
        <v>1</v>
      </c>
      <c r="Z49" s="562">
        <f t="shared" si="4"/>
        <v>85000</v>
      </c>
      <c r="AA49" s="122">
        <f t="shared" si="5"/>
        <v>0</v>
      </c>
      <c r="AB49" s="122">
        <f t="shared" si="6"/>
        <v>12000</v>
      </c>
      <c r="AC49" s="6">
        <f t="shared" si="7"/>
        <v>1</v>
      </c>
      <c r="AD49" s="563">
        <f t="shared" si="10"/>
        <v>1</v>
      </c>
      <c r="AE49" s="64"/>
      <c r="AF49" s="31">
        <v>78000</v>
      </c>
      <c r="AG49" s="31">
        <v>7000</v>
      </c>
      <c r="AH49" s="31">
        <v>0</v>
      </c>
      <c r="AI49" s="31">
        <v>0</v>
      </c>
      <c r="AJ49" s="31">
        <v>85000</v>
      </c>
      <c r="AK49" s="31">
        <v>85000</v>
      </c>
      <c r="AL49" s="31">
        <v>0</v>
      </c>
      <c r="AM49" s="56">
        <v>85000</v>
      </c>
      <c r="AN49" s="31">
        <v>85000</v>
      </c>
      <c r="AO49" s="31" t="s">
        <v>1578</v>
      </c>
      <c r="AP49" s="23" t="s">
        <v>187</v>
      </c>
      <c r="AQ49" s="23" t="s">
        <v>1284</v>
      </c>
    </row>
    <row r="50" spans="1:43">
      <c r="A50" s="35">
        <v>47</v>
      </c>
      <c r="B50" s="35">
        <v>102</v>
      </c>
      <c r="C50" s="569" t="str">
        <f t="shared" si="0"/>
        <v>池袋ハウス</v>
      </c>
      <c r="D50" s="45" t="s">
        <v>1597</v>
      </c>
      <c r="E50" s="46">
        <v>27.3</v>
      </c>
      <c r="F50" s="324">
        <v>631</v>
      </c>
      <c r="G50" s="566" t="str">
        <f t="shared" si="1"/>
        <v>住居</v>
      </c>
      <c r="H50" s="44" t="s">
        <v>1567</v>
      </c>
      <c r="I50" s="325">
        <v>73000</v>
      </c>
      <c r="J50" s="325">
        <v>7000</v>
      </c>
      <c r="K50" s="325">
        <v>0</v>
      </c>
      <c r="L50" s="325">
        <v>0</v>
      </c>
      <c r="M50" s="565">
        <f t="shared" si="8"/>
        <v>80000</v>
      </c>
      <c r="N50" s="326">
        <v>75000</v>
      </c>
      <c r="O50" s="326">
        <v>0</v>
      </c>
      <c r="P50" s="565">
        <f t="shared" si="2"/>
        <v>75000</v>
      </c>
      <c r="Q50" s="565">
        <f t="shared" si="9"/>
        <v>80000</v>
      </c>
      <c r="R50" s="325" t="s">
        <v>1578</v>
      </c>
      <c r="S50" s="325" t="s">
        <v>187</v>
      </c>
      <c r="T50" s="327" t="s">
        <v>1284</v>
      </c>
      <c r="V50" s="43" t="s">
        <v>1654</v>
      </c>
      <c r="W50" s="221">
        <v>75000</v>
      </c>
      <c r="Y50" s="6">
        <f t="shared" si="3"/>
        <v>1</v>
      </c>
      <c r="Z50" s="562">
        <f t="shared" si="4"/>
        <v>80000</v>
      </c>
      <c r="AA50" s="122">
        <f t="shared" si="5"/>
        <v>-5000</v>
      </c>
      <c r="AB50" s="122">
        <f t="shared" si="6"/>
        <v>5000</v>
      </c>
      <c r="AC50" s="6">
        <f t="shared" si="7"/>
        <v>1</v>
      </c>
      <c r="AD50" s="563">
        <f t="shared" si="10"/>
        <v>1</v>
      </c>
      <c r="AE50" s="64"/>
      <c r="AF50" s="31">
        <v>73000</v>
      </c>
      <c r="AG50" s="31">
        <v>7000</v>
      </c>
      <c r="AH50" s="31">
        <v>0</v>
      </c>
      <c r="AI50" s="31">
        <v>0</v>
      </c>
      <c r="AJ50" s="31">
        <v>80000</v>
      </c>
      <c r="AK50" s="31">
        <v>75000</v>
      </c>
      <c r="AL50" s="31">
        <v>0</v>
      </c>
      <c r="AM50" s="56">
        <v>75000</v>
      </c>
      <c r="AN50" s="31">
        <v>80000</v>
      </c>
      <c r="AO50" s="31" t="s">
        <v>1578</v>
      </c>
      <c r="AP50" s="23" t="s">
        <v>187</v>
      </c>
      <c r="AQ50" s="23" t="s">
        <v>1284</v>
      </c>
    </row>
    <row r="51" spans="1:43">
      <c r="A51" s="35">
        <v>48</v>
      </c>
      <c r="B51" s="35">
        <v>102</v>
      </c>
      <c r="C51" s="569" t="str">
        <f t="shared" si="0"/>
        <v>池袋ハウス</v>
      </c>
      <c r="D51" s="45" t="s">
        <v>1599</v>
      </c>
      <c r="E51" s="46">
        <v>27.3</v>
      </c>
      <c r="F51" s="324">
        <v>631</v>
      </c>
      <c r="G51" s="566" t="str">
        <f t="shared" si="1"/>
        <v>住居</v>
      </c>
      <c r="H51" s="44" t="s">
        <v>1567</v>
      </c>
      <c r="I51" s="325">
        <v>85000</v>
      </c>
      <c r="J51" s="325">
        <v>7000</v>
      </c>
      <c r="K51" s="325">
        <v>0</v>
      </c>
      <c r="L51" s="325">
        <v>0</v>
      </c>
      <c r="M51" s="565">
        <f t="shared" si="8"/>
        <v>92000</v>
      </c>
      <c r="N51" s="326">
        <v>92000</v>
      </c>
      <c r="O51" s="326">
        <v>0</v>
      </c>
      <c r="P51" s="565">
        <f t="shared" si="2"/>
        <v>92000</v>
      </c>
      <c r="Q51" s="565">
        <f t="shared" si="9"/>
        <v>92000</v>
      </c>
      <c r="R51" s="325" t="s">
        <v>1578</v>
      </c>
      <c r="S51" s="325" t="s">
        <v>187</v>
      </c>
      <c r="T51" s="327" t="s">
        <v>1284</v>
      </c>
      <c r="V51" s="43" t="s">
        <v>1655</v>
      </c>
      <c r="W51" s="221">
        <v>73000</v>
      </c>
      <c r="Y51" s="6">
        <f t="shared" si="3"/>
        <v>1</v>
      </c>
      <c r="Z51" s="562">
        <f t="shared" si="4"/>
        <v>92000</v>
      </c>
      <c r="AA51" s="122">
        <f t="shared" si="5"/>
        <v>0</v>
      </c>
      <c r="AB51" s="122">
        <f t="shared" si="6"/>
        <v>19000</v>
      </c>
      <c r="AC51" s="6">
        <f t="shared" si="7"/>
        <v>1</v>
      </c>
      <c r="AD51" s="563">
        <f t="shared" si="10"/>
        <v>1</v>
      </c>
      <c r="AE51" s="64"/>
      <c r="AF51" s="31">
        <v>85000</v>
      </c>
      <c r="AG51" s="31">
        <v>7000</v>
      </c>
      <c r="AH51" s="31">
        <v>0</v>
      </c>
      <c r="AI51" s="31">
        <v>0</v>
      </c>
      <c r="AJ51" s="31">
        <v>92000</v>
      </c>
      <c r="AK51" s="31">
        <v>92000</v>
      </c>
      <c r="AL51" s="31">
        <v>0</v>
      </c>
      <c r="AM51" s="56">
        <v>92000</v>
      </c>
      <c r="AN51" s="31">
        <v>92000</v>
      </c>
      <c r="AO51" s="31" t="s">
        <v>1578</v>
      </c>
      <c r="AP51" s="23" t="s">
        <v>187</v>
      </c>
      <c r="AQ51" s="23" t="s">
        <v>1284</v>
      </c>
    </row>
    <row r="52" spans="1:43">
      <c r="A52" s="35">
        <v>49</v>
      </c>
      <c r="B52" s="35">
        <v>102</v>
      </c>
      <c r="C52" s="569" t="str">
        <f t="shared" si="0"/>
        <v>池袋ハウス</v>
      </c>
      <c r="D52" s="45" t="s">
        <v>1601</v>
      </c>
      <c r="E52" s="46">
        <v>22.98</v>
      </c>
      <c r="F52" s="324">
        <v>631</v>
      </c>
      <c r="G52" s="566" t="str">
        <f t="shared" si="1"/>
        <v>住居</v>
      </c>
      <c r="H52" s="44" t="s">
        <v>1567</v>
      </c>
      <c r="I52" s="325">
        <v>67000</v>
      </c>
      <c r="J52" s="325">
        <v>7000</v>
      </c>
      <c r="K52" s="325">
        <v>0</v>
      </c>
      <c r="L52" s="325">
        <v>0</v>
      </c>
      <c r="M52" s="565">
        <f t="shared" si="8"/>
        <v>74000</v>
      </c>
      <c r="N52" s="326">
        <v>74000</v>
      </c>
      <c r="O52" s="326">
        <v>0</v>
      </c>
      <c r="P52" s="565">
        <f t="shared" si="2"/>
        <v>74000</v>
      </c>
      <c r="Q52" s="565">
        <f t="shared" si="9"/>
        <v>74000</v>
      </c>
      <c r="R52" s="325" t="s">
        <v>1578</v>
      </c>
      <c r="S52" s="325" t="s">
        <v>187</v>
      </c>
      <c r="T52" s="327" t="s">
        <v>1284</v>
      </c>
      <c r="V52" s="43" t="s">
        <v>1656</v>
      </c>
      <c r="W52" s="221">
        <v>73000</v>
      </c>
      <c r="Y52" s="6">
        <f t="shared" si="3"/>
        <v>1</v>
      </c>
      <c r="Z52" s="562">
        <f t="shared" si="4"/>
        <v>74000</v>
      </c>
      <c r="AA52" s="122">
        <f t="shared" si="5"/>
        <v>0</v>
      </c>
      <c r="AB52" s="122">
        <f t="shared" si="6"/>
        <v>1000</v>
      </c>
      <c r="AC52" s="6">
        <f t="shared" si="7"/>
        <v>1</v>
      </c>
      <c r="AD52" s="563">
        <f t="shared" si="10"/>
        <v>1</v>
      </c>
      <c r="AE52" s="64"/>
      <c r="AF52" s="31">
        <v>67000</v>
      </c>
      <c r="AG52" s="31">
        <v>7000</v>
      </c>
      <c r="AH52" s="31">
        <v>0</v>
      </c>
      <c r="AI52" s="31">
        <v>0</v>
      </c>
      <c r="AJ52" s="31">
        <v>74000</v>
      </c>
      <c r="AK52" s="31">
        <v>74000</v>
      </c>
      <c r="AL52" s="31">
        <v>0</v>
      </c>
      <c r="AM52" s="56">
        <v>74000</v>
      </c>
      <c r="AN52" s="31">
        <v>74000</v>
      </c>
      <c r="AO52" s="31" t="s">
        <v>1578</v>
      </c>
      <c r="AP52" s="23" t="s">
        <v>187</v>
      </c>
      <c r="AQ52" s="23" t="s">
        <v>1284</v>
      </c>
    </row>
    <row r="53" spans="1:43">
      <c r="A53" s="35">
        <v>50</v>
      </c>
      <c r="B53" s="35">
        <v>102</v>
      </c>
      <c r="C53" s="569" t="str">
        <f t="shared" si="0"/>
        <v>池袋ハウス</v>
      </c>
      <c r="D53" s="45" t="s">
        <v>1657</v>
      </c>
      <c r="E53" s="46">
        <v>22.98</v>
      </c>
      <c r="F53" s="324">
        <v>631</v>
      </c>
      <c r="G53" s="566" t="str">
        <f t="shared" si="1"/>
        <v>住居</v>
      </c>
      <c r="H53" s="44" t="s">
        <v>1567</v>
      </c>
      <c r="I53" s="325">
        <v>75000</v>
      </c>
      <c r="J53" s="325">
        <v>7000</v>
      </c>
      <c r="K53" s="325">
        <v>0</v>
      </c>
      <c r="L53" s="325">
        <v>0</v>
      </c>
      <c r="M53" s="565">
        <f t="shared" si="8"/>
        <v>82000</v>
      </c>
      <c r="N53" s="326">
        <v>85000</v>
      </c>
      <c r="O53" s="326">
        <v>0</v>
      </c>
      <c r="P53" s="565">
        <f t="shared" si="2"/>
        <v>85000</v>
      </c>
      <c r="Q53" s="565">
        <f t="shared" si="9"/>
        <v>82000</v>
      </c>
      <c r="R53" s="325" t="s">
        <v>1578</v>
      </c>
      <c r="S53" s="325" t="s">
        <v>187</v>
      </c>
      <c r="T53" s="327" t="s">
        <v>1284</v>
      </c>
      <c r="V53" s="43" t="s">
        <v>1658</v>
      </c>
      <c r="W53" s="221">
        <v>73000</v>
      </c>
      <c r="Y53" s="6">
        <f t="shared" si="3"/>
        <v>1</v>
      </c>
      <c r="Z53" s="562">
        <f t="shared" si="4"/>
        <v>82000</v>
      </c>
      <c r="AA53" s="122">
        <f t="shared" si="5"/>
        <v>3000</v>
      </c>
      <c r="AB53" s="122">
        <f t="shared" si="6"/>
        <v>9000</v>
      </c>
      <c r="AC53" s="6">
        <f t="shared" si="7"/>
        <v>1</v>
      </c>
      <c r="AD53" s="563">
        <f t="shared" si="10"/>
        <v>1</v>
      </c>
      <c r="AE53" s="64"/>
      <c r="AF53" s="31">
        <v>75000</v>
      </c>
      <c r="AG53" s="31">
        <v>7000</v>
      </c>
      <c r="AH53" s="31">
        <v>0</v>
      </c>
      <c r="AI53" s="31">
        <v>0</v>
      </c>
      <c r="AJ53" s="31">
        <v>82000</v>
      </c>
      <c r="AK53" s="31">
        <v>85000</v>
      </c>
      <c r="AL53" s="31">
        <v>0</v>
      </c>
      <c r="AM53" s="56">
        <v>85000</v>
      </c>
      <c r="AN53" s="31">
        <v>82000</v>
      </c>
      <c r="AO53" s="31" t="s">
        <v>1578</v>
      </c>
      <c r="AP53" s="23" t="s">
        <v>187</v>
      </c>
      <c r="AQ53" s="23" t="s">
        <v>1284</v>
      </c>
    </row>
    <row r="54" spans="1:43">
      <c r="A54" s="35">
        <v>51</v>
      </c>
      <c r="B54" s="35">
        <v>102</v>
      </c>
      <c r="C54" s="569" t="str">
        <f t="shared" si="0"/>
        <v>池袋ハウス</v>
      </c>
      <c r="D54" s="45" t="s">
        <v>1659</v>
      </c>
      <c r="E54" s="46">
        <v>23.27</v>
      </c>
      <c r="F54" s="324">
        <v>631</v>
      </c>
      <c r="G54" s="566" t="str">
        <f t="shared" si="1"/>
        <v>住居</v>
      </c>
      <c r="H54" s="44" t="s">
        <v>1567</v>
      </c>
      <c r="I54" s="325">
        <v>73000</v>
      </c>
      <c r="J54" s="325">
        <v>7000</v>
      </c>
      <c r="K54" s="325">
        <v>0</v>
      </c>
      <c r="L54" s="325">
        <v>0</v>
      </c>
      <c r="M54" s="565">
        <f t="shared" si="8"/>
        <v>80000</v>
      </c>
      <c r="N54" s="326">
        <v>89000</v>
      </c>
      <c r="O54" s="326">
        <v>0</v>
      </c>
      <c r="P54" s="565">
        <f t="shared" si="2"/>
        <v>89000</v>
      </c>
      <c r="Q54" s="565">
        <f t="shared" si="9"/>
        <v>80000</v>
      </c>
      <c r="R54" s="325" t="s">
        <v>1568</v>
      </c>
      <c r="S54" s="325" t="s">
        <v>187</v>
      </c>
      <c r="T54" s="327" t="s">
        <v>1284</v>
      </c>
      <c r="V54" s="43" t="s">
        <v>1660</v>
      </c>
      <c r="W54" s="221">
        <v>74000</v>
      </c>
      <c r="Y54" s="6">
        <f t="shared" si="3"/>
        <v>1</v>
      </c>
      <c r="Z54" s="562">
        <f t="shared" si="4"/>
        <v>80000</v>
      </c>
      <c r="AA54" s="122">
        <f t="shared" si="5"/>
        <v>9000</v>
      </c>
      <c r="AB54" s="122">
        <f t="shared" si="6"/>
        <v>6000</v>
      </c>
      <c r="AC54" s="6">
        <f t="shared" si="7"/>
        <v>1</v>
      </c>
      <c r="AD54" s="563">
        <f t="shared" si="10"/>
        <v>1</v>
      </c>
      <c r="AE54" s="64"/>
      <c r="AF54" s="31">
        <v>73000</v>
      </c>
      <c r="AG54" s="31">
        <v>7000</v>
      </c>
      <c r="AH54" s="31">
        <v>0</v>
      </c>
      <c r="AI54" s="31">
        <v>0</v>
      </c>
      <c r="AJ54" s="31">
        <v>80000</v>
      </c>
      <c r="AK54" s="31">
        <v>89000</v>
      </c>
      <c r="AL54" s="31">
        <v>0</v>
      </c>
      <c r="AM54" s="56">
        <v>89000</v>
      </c>
      <c r="AN54" s="31">
        <v>80000</v>
      </c>
      <c r="AO54" s="31" t="s">
        <v>1568</v>
      </c>
      <c r="AP54" s="23" t="s">
        <v>187</v>
      </c>
      <c r="AQ54" s="23" t="s">
        <v>1284</v>
      </c>
    </row>
    <row r="55" spans="1:43">
      <c r="A55" s="35">
        <v>52</v>
      </c>
      <c r="B55" s="35">
        <v>102</v>
      </c>
      <c r="C55" s="569" t="str">
        <f t="shared" si="0"/>
        <v>池袋ハウス</v>
      </c>
      <c r="D55" s="45" t="s">
        <v>1661</v>
      </c>
      <c r="E55" s="46">
        <v>20.92</v>
      </c>
      <c r="F55" s="324">
        <v>631</v>
      </c>
      <c r="G55" s="566" t="str">
        <f t="shared" si="1"/>
        <v>住居</v>
      </c>
      <c r="H55" s="44" t="s">
        <v>1567</v>
      </c>
      <c r="I55" s="325">
        <v>61000</v>
      </c>
      <c r="J55" s="325">
        <v>7000</v>
      </c>
      <c r="K55" s="325">
        <v>0</v>
      </c>
      <c r="L55" s="325">
        <v>0</v>
      </c>
      <c r="M55" s="565">
        <f t="shared" si="8"/>
        <v>68000</v>
      </c>
      <c r="N55" s="326">
        <v>68000</v>
      </c>
      <c r="O55" s="326">
        <v>0</v>
      </c>
      <c r="P55" s="565">
        <f t="shared" si="2"/>
        <v>68000</v>
      </c>
      <c r="Q55" s="565">
        <f t="shared" si="9"/>
        <v>68000</v>
      </c>
      <c r="R55" s="325" t="s">
        <v>1568</v>
      </c>
      <c r="S55" s="325" t="s">
        <v>187</v>
      </c>
      <c r="T55" s="327" t="s">
        <v>1284</v>
      </c>
      <c r="V55" s="43" t="s">
        <v>1662</v>
      </c>
      <c r="W55" s="221">
        <v>68000</v>
      </c>
      <c r="Y55" s="6">
        <f t="shared" si="3"/>
        <v>1</v>
      </c>
      <c r="Z55" s="562">
        <f t="shared" si="4"/>
        <v>68000</v>
      </c>
      <c r="AA55" s="122">
        <f t="shared" si="5"/>
        <v>0</v>
      </c>
      <c r="AB55" s="122">
        <f t="shared" si="6"/>
        <v>0</v>
      </c>
      <c r="AC55" s="6">
        <f t="shared" si="7"/>
        <v>1</v>
      </c>
      <c r="AD55" s="563">
        <f t="shared" si="10"/>
        <v>1</v>
      </c>
      <c r="AE55" s="64"/>
      <c r="AF55" s="31">
        <v>61000</v>
      </c>
      <c r="AG55" s="31">
        <v>7000</v>
      </c>
      <c r="AH55" s="31">
        <v>0</v>
      </c>
      <c r="AI55" s="31">
        <v>0</v>
      </c>
      <c r="AJ55" s="31">
        <v>68000</v>
      </c>
      <c r="AK55" s="31">
        <v>68000</v>
      </c>
      <c r="AL55" s="31">
        <v>0</v>
      </c>
      <c r="AM55" s="56">
        <v>68000</v>
      </c>
      <c r="AN55" s="31">
        <v>68000</v>
      </c>
      <c r="AO55" s="31" t="s">
        <v>1568</v>
      </c>
      <c r="AP55" s="23" t="s">
        <v>187</v>
      </c>
      <c r="AQ55" s="23" t="s">
        <v>1284</v>
      </c>
    </row>
    <row r="56" spans="1:43">
      <c r="A56" s="35">
        <v>53</v>
      </c>
      <c r="B56" s="35">
        <v>102</v>
      </c>
      <c r="C56" s="569" t="str">
        <f t="shared" si="0"/>
        <v>池袋ハウス</v>
      </c>
      <c r="D56" s="45" t="s">
        <v>1663</v>
      </c>
      <c r="E56" s="46">
        <v>31.18</v>
      </c>
      <c r="F56" s="324">
        <v>631</v>
      </c>
      <c r="G56" s="566" t="str">
        <f t="shared" si="1"/>
        <v>住居</v>
      </c>
      <c r="H56" s="44" t="s">
        <v>1567</v>
      </c>
      <c r="I56" s="325">
        <v>82000</v>
      </c>
      <c r="J56" s="325">
        <v>7000</v>
      </c>
      <c r="K56" s="325">
        <v>0</v>
      </c>
      <c r="L56" s="325">
        <v>0</v>
      </c>
      <c r="M56" s="565">
        <f t="shared" si="8"/>
        <v>89000</v>
      </c>
      <c r="N56" s="326">
        <v>89000</v>
      </c>
      <c r="O56" s="326">
        <v>0</v>
      </c>
      <c r="P56" s="565">
        <f t="shared" si="2"/>
        <v>89000</v>
      </c>
      <c r="Q56" s="565">
        <f t="shared" si="9"/>
        <v>89000</v>
      </c>
      <c r="R56" s="325" t="s">
        <v>1578</v>
      </c>
      <c r="S56" s="325" t="s">
        <v>187</v>
      </c>
      <c r="T56" s="327" t="s">
        <v>1284</v>
      </c>
      <c r="V56" s="43" t="s">
        <v>1664</v>
      </c>
      <c r="W56" s="221">
        <v>89000</v>
      </c>
      <c r="Y56" s="6">
        <f t="shared" si="3"/>
        <v>1</v>
      </c>
      <c r="Z56" s="562">
        <f t="shared" si="4"/>
        <v>89000</v>
      </c>
      <c r="AA56" s="122">
        <f t="shared" si="5"/>
        <v>0</v>
      </c>
      <c r="AB56" s="122">
        <f t="shared" si="6"/>
        <v>0</v>
      </c>
      <c r="AC56" s="6">
        <f t="shared" si="7"/>
        <v>1</v>
      </c>
      <c r="AD56" s="563">
        <f t="shared" si="10"/>
        <v>1</v>
      </c>
      <c r="AE56" s="64"/>
      <c r="AF56" s="31">
        <v>82000</v>
      </c>
      <c r="AG56" s="31">
        <v>7000</v>
      </c>
      <c r="AH56" s="31">
        <v>0</v>
      </c>
      <c r="AI56" s="31">
        <v>0</v>
      </c>
      <c r="AJ56" s="31">
        <v>89000</v>
      </c>
      <c r="AK56" s="31">
        <v>89000</v>
      </c>
      <c r="AL56" s="31">
        <v>0</v>
      </c>
      <c r="AM56" s="56">
        <v>89000</v>
      </c>
      <c r="AN56" s="31">
        <v>89000</v>
      </c>
      <c r="AO56" s="31" t="s">
        <v>1578</v>
      </c>
      <c r="AP56" s="23" t="s">
        <v>187</v>
      </c>
      <c r="AQ56" s="23" t="s">
        <v>1284</v>
      </c>
    </row>
    <row r="57" spans="1:43">
      <c r="A57" s="35">
        <v>54</v>
      </c>
      <c r="B57" s="35">
        <v>102</v>
      </c>
      <c r="C57" s="569" t="str">
        <f t="shared" si="0"/>
        <v>池袋ハウス</v>
      </c>
      <c r="D57" s="45" t="s">
        <v>1603</v>
      </c>
      <c r="E57" s="46">
        <v>34.72</v>
      </c>
      <c r="F57" s="324">
        <v>631</v>
      </c>
      <c r="G57" s="566" t="str">
        <f t="shared" si="1"/>
        <v>住居</v>
      </c>
      <c r="H57" s="44" t="s">
        <v>1567</v>
      </c>
      <c r="I57" s="325">
        <v>97000</v>
      </c>
      <c r="J57" s="325">
        <v>7000</v>
      </c>
      <c r="K57" s="325">
        <v>0</v>
      </c>
      <c r="L57" s="325">
        <v>0</v>
      </c>
      <c r="M57" s="565">
        <f t="shared" si="8"/>
        <v>104000</v>
      </c>
      <c r="N57" s="326">
        <v>104000</v>
      </c>
      <c r="O57" s="326">
        <v>0</v>
      </c>
      <c r="P57" s="565">
        <f t="shared" si="2"/>
        <v>104000</v>
      </c>
      <c r="Q57" s="565">
        <f t="shared" si="9"/>
        <v>104000</v>
      </c>
      <c r="R57" s="325" t="s">
        <v>1568</v>
      </c>
      <c r="S57" s="325" t="s">
        <v>187</v>
      </c>
      <c r="T57" s="327" t="s">
        <v>1284</v>
      </c>
      <c r="V57" s="43" t="s">
        <v>1665</v>
      </c>
      <c r="W57" s="221">
        <v>97000</v>
      </c>
      <c r="Y57" s="6">
        <f t="shared" si="3"/>
        <v>1</v>
      </c>
      <c r="Z57" s="562">
        <f t="shared" si="4"/>
        <v>104000</v>
      </c>
      <c r="AA57" s="122">
        <f t="shared" si="5"/>
        <v>0</v>
      </c>
      <c r="AB57" s="122">
        <f t="shared" si="6"/>
        <v>7000</v>
      </c>
      <c r="AC57" s="6">
        <f t="shared" si="7"/>
        <v>1</v>
      </c>
      <c r="AD57" s="563">
        <f t="shared" si="10"/>
        <v>1</v>
      </c>
      <c r="AE57" s="64"/>
      <c r="AF57" s="31">
        <v>97000</v>
      </c>
      <c r="AG57" s="31">
        <v>7000</v>
      </c>
      <c r="AH57" s="31">
        <v>0</v>
      </c>
      <c r="AI57" s="31">
        <v>0</v>
      </c>
      <c r="AJ57" s="31">
        <v>104000</v>
      </c>
      <c r="AK57" s="31">
        <v>104000</v>
      </c>
      <c r="AL57" s="31">
        <v>0</v>
      </c>
      <c r="AM57" s="56">
        <v>104000</v>
      </c>
      <c r="AN57" s="31">
        <v>104000</v>
      </c>
      <c r="AO57" s="31" t="s">
        <v>1568</v>
      </c>
      <c r="AP57" s="23" t="s">
        <v>187</v>
      </c>
      <c r="AQ57" s="23" t="s">
        <v>1284</v>
      </c>
    </row>
    <row r="58" spans="1:43">
      <c r="A58" s="35">
        <v>55</v>
      </c>
      <c r="B58" s="35">
        <v>102</v>
      </c>
      <c r="C58" s="569" t="str">
        <f t="shared" si="0"/>
        <v>池袋ハウス</v>
      </c>
      <c r="D58" s="45" t="s">
        <v>1605</v>
      </c>
      <c r="E58" s="46">
        <v>26.48</v>
      </c>
      <c r="F58" s="324">
        <v>631</v>
      </c>
      <c r="G58" s="566" t="str">
        <f t="shared" si="1"/>
        <v>住居</v>
      </c>
      <c r="H58" s="44" t="s">
        <v>1567</v>
      </c>
      <c r="I58" s="325">
        <v>92000</v>
      </c>
      <c r="J58" s="325">
        <v>7000</v>
      </c>
      <c r="K58" s="325">
        <v>0</v>
      </c>
      <c r="L58" s="325">
        <v>0</v>
      </c>
      <c r="M58" s="565">
        <f t="shared" si="8"/>
        <v>99000</v>
      </c>
      <c r="N58" s="326">
        <v>99000</v>
      </c>
      <c r="O58" s="326">
        <v>0</v>
      </c>
      <c r="P58" s="565">
        <f t="shared" si="2"/>
        <v>99000</v>
      </c>
      <c r="Q58" s="565">
        <f t="shared" si="9"/>
        <v>99000</v>
      </c>
      <c r="R58" s="325" t="s">
        <v>1578</v>
      </c>
      <c r="S58" s="325" t="s">
        <v>187</v>
      </c>
      <c r="T58" s="327" t="s">
        <v>1284</v>
      </c>
      <c r="V58" s="43" t="s">
        <v>1666</v>
      </c>
      <c r="W58" s="221">
        <v>91000</v>
      </c>
      <c r="Y58" s="6">
        <f t="shared" si="3"/>
        <v>1</v>
      </c>
      <c r="Z58" s="562">
        <f t="shared" si="4"/>
        <v>99000</v>
      </c>
      <c r="AA58" s="122">
        <f t="shared" si="5"/>
        <v>0</v>
      </c>
      <c r="AB58" s="122">
        <f t="shared" si="6"/>
        <v>8000</v>
      </c>
      <c r="AC58" s="6">
        <f t="shared" si="7"/>
        <v>1</v>
      </c>
      <c r="AD58" s="563">
        <f t="shared" si="10"/>
        <v>1</v>
      </c>
      <c r="AE58" s="64"/>
      <c r="AF58" s="31">
        <v>92000</v>
      </c>
      <c r="AG58" s="31">
        <v>7000</v>
      </c>
      <c r="AH58" s="31">
        <v>0</v>
      </c>
      <c r="AI58" s="31">
        <v>0</v>
      </c>
      <c r="AJ58" s="31">
        <v>99000</v>
      </c>
      <c r="AK58" s="31">
        <v>99000</v>
      </c>
      <c r="AL58" s="31">
        <v>0</v>
      </c>
      <c r="AM58" s="56">
        <v>99000</v>
      </c>
      <c r="AN58" s="31">
        <v>99000</v>
      </c>
      <c r="AO58" s="31" t="s">
        <v>1578</v>
      </c>
      <c r="AP58" s="23" t="s">
        <v>187</v>
      </c>
      <c r="AQ58" s="23" t="s">
        <v>1284</v>
      </c>
    </row>
    <row r="59" spans="1:43">
      <c r="A59" s="35">
        <v>56</v>
      </c>
      <c r="B59" s="35">
        <v>102</v>
      </c>
      <c r="C59" s="569" t="str">
        <f t="shared" si="0"/>
        <v>池袋ハウス</v>
      </c>
      <c r="D59" s="45" t="s">
        <v>1607</v>
      </c>
      <c r="E59" s="46">
        <v>42.38</v>
      </c>
      <c r="F59" s="324">
        <v>631</v>
      </c>
      <c r="G59" s="566" t="str">
        <f t="shared" si="1"/>
        <v>住居</v>
      </c>
      <c r="H59" s="44" t="s">
        <v>1667</v>
      </c>
      <c r="I59" s="325">
        <v>155000</v>
      </c>
      <c r="J59" s="325">
        <v>7000</v>
      </c>
      <c r="K59" s="325">
        <v>0</v>
      </c>
      <c r="L59" s="325">
        <v>0</v>
      </c>
      <c r="M59" s="565">
        <f t="shared" si="8"/>
        <v>162000</v>
      </c>
      <c r="N59" s="326">
        <v>159000</v>
      </c>
      <c r="O59" s="326">
        <v>0</v>
      </c>
      <c r="P59" s="565">
        <f t="shared" si="2"/>
        <v>159000</v>
      </c>
      <c r="Q59" s="565">
        <f t="shared" si="9"/>
        <v>162000</v>
      </c>
      <c r="R59" s="325" t="s">
        <v>1578</v>
      </c>
      <c r="S59" s="325" t="s">
        <v>187</v>
      </c>
      <c r="T59" s="327" t="s">
        <v>1284</v>
      </c>
      <c r="V59" s="43" t="s">
        <v>1668</v>
      </c>
      <c r="W59" s="221">
        <v>137000</v>
      </c>
      <c r="Y59" s="6">
        <f t="shared" si="3"/>
        <v>1</v>
      </c>
      <c r="Z59" s="562">
        <f t="shared" si="4"/>
        <v>162000</v>
      </c>
      <c r="AA59" s="122">
        <f t="shared" si="5"/>
        <v>-3000</v>
      </c>
      <c r="AB59" s="122">
        <f t="shared" si="6"/>
        <v>25000</v>
      </c>
      <c r="AC59" s="6">
        <f t="shared" si="7"/>
        <v>1</v>
      </c>
      <c r="AD59" s="563">
        <f t="shared" si="10"/>
        <v>1</v>
      </c>
      <c r="AE59" s="64"/>
      <c r="AF59" s="31">
        <v>155000</v>
      </c>
      <c r="AG59" s="31">
        <v>7000</v>
      </c>
      <c r="AH59" s="31">
        <v>0</v>
      </c>
      <c r="AI59" s="31">
        <v>0</v>
      </c>
      <c r="AJ59" s="31">
        <v>162000</v>
      </c>
      <c r="AK59" s="31">
        <v>159000</v>
      </c>
      <c r="AL59" s="31">
        <v>0</v>
      </c>
      <c r="AM59" s="56">
        <v>159000</v>
      </c>
      <c r="AN59" s="31">
        <v>162000</v>
      </c>
      <c r="AO59" s="31" t="s">
        <v>1578</v>
      </c>
      <c r="AP59" s="23" t="s">
        <v>187</v>
      </c>
      <c r="AQ59" s="23" t="s">
        <v>1284</v>
      </c>
    </row>
    <row r="60" spans="1:43">
      <c r="A60" s="35">
        <v>57</v>
      </c>
      <c r="B60" s="35">
        <v>102</v>
      </c>
      <c r="C60" s="569" t="str">
        <f t="shared" si="0"/>
        <v>池袋ハウス</v>
      </c>
      <c r="D60" s="45" t="s">
        <v>1609</v>
      </c>
      <c r="E60" s="46">
        <v>51.25</v>
      </c>
      <c r="F60" s="324">
        <v>631</v>
      </c>
      <c r="G60" s="566" t="str">
        <f t="shared" si="1"/>
        <v>住居</v>
      </c>
      <c r="H60" s="44" t="s">
        <v>1669</v>
      </c>
      <c r="I60" s="325">
        <v>110000</v>
      </c>
      <c r="J60" s="325">
        <v>7000</v>
      </c>
      <c r="K60" s="325">
        <v>0</v>
      </c>
      <c r="L60" s="325">
        <v>0</v>
      </c>
      <c r="M60" s="565">
        <f t="shared" si="8"/>
        <v>117000</v>
      </c>
      <c r="N60" s="326">
        <v>117000</v>
      </c>
      <c r="O60" s="326">
        <v>0</v>
      </c>
      <c r="P60" s="565">
        <f t="shared" si="2"/>
        <v>117000</v>
      </c>
      <c r="Q60" s="565">
        <f t="shared" si="9"/>
        <v>117000</v>
      </c>
      <c r="R60" s="325" t="s">
        <v>1568</v>
      </c>
      <c r="S60" s="325" t="s">
        <v>187</v>
      </c>
      <c r="T60" s="327" t="s">
        <v>1284</v>
      </c>
      <c r="V60" s="43" t="s">
        <v>1670</v>
      </c>
      <c r="W60" s="221">
        <v>102000</v>
      </c>
      <c r="Y60" s="6">
        <f t="shared" si="3"/>
        <v>1</v>
      </c>
      <c r="Z60" s="562">
        <f t="shared" si="4"/>
        <v>117000</v>
      </c>
      <c r="AA60" s="122">
        <f t="shared" si="5"/>
        <v>0</v>
      </c>
      <c r="AB60" s="122">
        <f t="shared" si="6"/>
        <v>15000</v>
      </c>
      <c r="AC60" s="6">
        <f t="shared" si="7"/>
        <v>1</v>
      </c>
      <c r="AD60" s="563">
        <f t="shared" si="10"/>
        <v>1</v>
      </c>
      <c r="AE60" s="64"/>
      <c r="AF60" s="31">
        <v>110000</v>
      </c>
      <c r="AG60" s="31">
        <v>7000</v>
      </c>
      <c r="AH60" s="31">
        <v>0</v>
      </c>
      <c r="AI60" s="31">
        <v>0</v>
      </c>
      <c r="AJ60" s="31">
        <v>117000</v>
      </c>
      <c r="AK60" s="31">
        <v>117000</v>
      </c>
      <c r="AL60" s="31">
        <v>0</v>
      </c>
      <c r="AM60" s="56">
        <v>117000</v>
      </c>
      <c r="AN60" s="31">
        <v>117000</v>
      </c>
      <c r="AO60" s="31" t="s">
        <v>1568</v>
      </c>
      <c r="AP60" s="23" t="s">
        <v>187</v>
      </c>
      <c r="AQ60" s="23" t="s">
        <v>1284</v>
      </c>
    </row>
    <row r="61" spans="1:43">
      <c r="A61" s="35">
        <v>58</v>
      </c>
      <c r="B61" s="35">
        <v>102</v>
      </c>
      <c r="C61" s="569" t="str">
        <f t="shared" si="0"/>
        <v>池袋ハウス</v>
      </c>
      <c r="D61" s="45" t="s">
        <v>1611</v>
      </c>
      <c r="E61" s="46">
        <v>51.25</v>
      </c>
      <c r="F61" s="324">
        <v>631</v>
      </c>
      <c r="G61" s="566" t="str">
        <f t="shared" si="1"/>
        <v>住居</v>
      </c>
      <c r="H61" s="44" t="s">
        <v>1667</v>
      </c>
      <c r="I61" s="325">
        <v>155000</v>
      </c>
      <c r="J61" s="325">
        <v>7000</v>
      </c>
      <c r="K61" s="325">
        <v>0</v>
      </c>
      <c r="L61" s="325">
        <v>0</v>
      </c>
      <c r="M61" s="565">
        <f t="shared" si="8"/>
        <v>162000</v>
      </c>
      <c r="N61" s="326">
        <v>167000</v>
      </c>
      <c r="O61" s="326">
        <v>0</v>
      </c>
      <c r="P61" s="565">
        <f t="shared" si="2"/>
        <v>167000</v>
      </c>
      <c r="Q61" s="565">
        <f t="shared" si="9"/>
        <v>162000</v>
      </c>
      <c r="R61" s="325" t="s">
        <v>1568</v>
      </c>
      <c r="S61" s="325" t="s">
        <v>187</v>
      </c>
      <c r="T61" s="327" t="s">
        <v>1284</v>
      </c>
      <c r="V61" s="43" t="s">
        <v>1671</v>
      </c>
      <c r="W61" s="221">
        <v>147000</v>
      </c>
      <c r="Y61" s="6">
        <f t="shared" si="3"/>
        <v>1</v>
      </c>
      <c r="Z61" s="562">
        <f t="shared" si="4"/>
        <v>162000</v>
      </c>
      <c r="AA61" s="122">
        <f t="shared" si="5"/>
        <v>5000</v>
      </c>
      <c r="AB61" s="122">
        <f t="shared" si="6"/>
        <v>15000</v>
      </c>
      <c r="AC61" s="6">
        <f t="shared" si="7"/>
        <v>1</v>
      </c>
      <c r="AD61" s="563">
        <f t="shared" si="10"/>
        <v>1</v>
      </c>
      <c r="AE61" s="64"/>
      <c r="AF61" s="31">
        <v>155000</v>
      </c>
      <c r="AG61" s="31">
        <v>7000</v>
      </c>
      <c r="AH61" s="31">
        <v>0</v>
      </c>
      <c r="AI61" s="31">
        <v>0</v>
      </c>
      <c r="AJ61" s="31">
        <v>162000</v>
      </c>
      <c r="AK61" s="31">
        <v>167000</v>
      </c>
      <c r="AL61" s="31">
        <v>0</v>
      </c>
      <c r="AM61" s="56">
        <v>167000</v>
      </c>
      <c r="AN61" s="31">
        <v>162000</v>
      </c>
      <c r="AO61" s="31" t="s">
        <v>1568</v>
      </c>
      <c r="AP61" s="23" t="s">
        <v>187</v>
      </c>
      <c r="AQ61" s="23" t="s">
        <v>1284</v>
      </c>
    </row>
    <row r="62" spans="1:43">
      <c r="A62" s="35">
        <v>59</v>
      </c>
      <c r="B62" s="35">
        <v>102</v>
      </c>
      <c r="C62" s="569" t="str">
        <f t="shared" si="0"/>
        <v>池袋ハウス</v>
      </c>
      <c r="D62" s="45" t="s">
        <v>1613</v>
      </c>
      <c r="E62" s="46">
        <v>49.79</v>
      </c>
      <c r="F62" s="324">
        <v>631</v>
      </c>
      <c r="G62" s="566" t="str">
        <f t="shared" si="1"/>
        <v>住居</v>
      </c>
      <c r="H62" s="44" t="s">
        <v>1667</v>
      </c>
      <c r="I62" s="325">
        <v>162000</v>
      </c>
      <c r="J62" s="325">
        <v>7000</v>
      </c>
      <c r="K62" s="325">
        <v>0</v>
      </c>
      <c r="L62" s="325">
        <v>0</v>
      </c>
      <c r="M62" s="565">
        <f t="shared" si="8"/>
        <v>169000</v>
      </c>
      <c r="N62" s="326">
        <v>169000</v>
      </c>
      <c r="O62" s="326">
        <v>0</v>
      </c>
      <c r="P62" s="565">
        <f t="shared" si="2"/>
        <v>169000</v>
      </c>
      <c r="Q62" s="565">
        <f t="shared" si="9"/>
        <v>169000</v>
      </c>
      <c r="R62" s="325" t="s">
        <v>1578</v>
      </c>
      <c r="S62" s="325" t="s">
        <v>187</v>
      </c>
      <c r="T62" s="327" t="s">
        <v>1284</v>
      </c>
      <c r="V62" s="43" t="s">
        <v>1672</v>
      </c>
      <c r="W62" s="221">
        <v>147000</v>
      </c>
      <c r="Y62" s="6">
        <f t="shared" si="3"/>
        <v>1</v>
      </c>
      <c r="Z62" s="562">
        <f t="shared" si="4"/>
        <v>169000</v>
      </c>
      <c r="AA62" s="122">
        <f t="shared" si="5"/>
        <v>0</v>
      </c>
      <c r="AB62" s="122">
        <f t="shared" si="6"/>
        <v>22000</v>
      </c>
      <c r="AC62" s="6">
        <f t="shared" si="7"/>
        <v>1</v>
      </c>
      <c r="AD62" s="563">
        <f t="shared" si="10"/>
        <v>1</v>
      </c>
      <c r="AE62" s="64"/>
      <c r="AF62" s="31">
        <v>162000</v>
      </c>
      <c r="AG62" s="31">
        <v>7000</v>
      </c>
      <c r="AH62" s="31">
        <v>0</v>
      </c>
      <c r="AI62" s="31">
        <v>0</v>
      </c>
      <c r="AJ62" s="31">
        <v>169000</v>
      </c>
      <c r="AK62" s="31">
        <v>169000</v>
      </c>
      <c r="AL62" s="31">
        <v>0</v>
      </c>
      <c r="AM62" s="56">
        <v>169000</v>
      </c>
      <c r="AN62" s="31">
        <v>169000</v>
      </c>
      <c r="AO62" s="31" t="s">
        <v>1578</v>
      </c>
      <c r="AP62" s="23" t="s">
        <v>187</v>
      </c>
      <c r="AQ62" s="23" t="s">
        <v>1284</v>
      </c>
    </row>
    <row r="63" spans="1:43">
      <c r="A63" s="35">
        <v>60</v>
      </c>
      <c r="B63" s="35">
        <v>102</v>
      </c>
      <c r="C63" s="569" t="str">
        <f t="shared" si="0"/>
        <v>池袋ハウス</v>
      </c>
      <c r="D63" s="45" t="s">
        <v>1673</v>
      </c>
      <c r="E63" s="46">
        <v>0</v>
      </c>
      <c r="F63" s="324">
        <v>634</v>
      </c>
      <c r="G63" s="566" t="str">
        <f t="shared" si="1"/>
        <v>駐車場</v>
      </c>
      <c r="H63" s="44" t="s">
        <v>1674</v>
      </c>
      <c r="I63" s="325">
        <v>33000</v>
      </c>
      <c r="J63" s="325">
        <v>0</v>
      </c>
      <c r="K63" s="325">
        <v>0</v>
      </c>
      <c r="L63" s="325">
        <v>3000</v>
      </c>
      <c r="M63" s="565">
        <f t="shared" si="8"/>
        <v>36000</v>
      </c>
      <c r="N63" s="326">
        <v>30000</v>
      </c>
      <c r="O63" s="326">
        <v>3000</v>
      </c>
      <c r="P63" s="565">
        <f t="shared" si="2"/>
        <v>33000</v>
      </c>
      <c r="Q63" s="565">
        <f t="shared" si="9"/>
        <v>36000</v>
      </c>
      <c r="R63" s="325" t="s">
        <v>1568</v>
      </c>
      <c r="S63" s="325" t="s">
        <v>187</v>
      </c>
      <c r="T63" s="327" t="s">
        <v>1284</v>
      </c>
      <c r="V63" s="43" t="s">
        <v>1675</v>
      </c>
      <c r="W63" s="221">
        <v>30000</v>
      </c>
      <c r="Y63" s="6">
        <f t="shared" si="3"/>
        <v>1</v>
      </c>
      <c r="Z63" s="562">
        <f t="shared" si="4"/>
        <v>33000</v>
      </c>
      <c r="AA63" s="122">
        <f t="shared" si="5"/>
        <v>-3000</v>
      </c>
      <c r="AB63" s="122">
        <f t="shared" si="6"/>
        <v>3000</v>
      </c>
      <c r="AC63" s="6">
        <f t="shared" si="7"/>
        <v>1</v>
      </c>
      <c r="AD63" s="563">
        <f t="shared" si="10"/>
        <v>1</v>
      </c>
      <c r="AE63" s="64"/>
      <c r="AF63" s="31">
        <v>33000</v>
      </c>
      <c r="AG63" s="31">
        <v>0</v>
      </c>
      <c r="AH63" s="31">
        <v>0</v>
      </c>
      <c r="AI63" s="31">
        <v>3000</v>
      </c>
      <c r="AJ63" s="31">
        <v>36000</v>
      </c>
      <c r="AK63" s="31">
        <v>30000</v>
      </c>
      <c r="AL63" s="31">
        <v>3000</v>
      </c>
      <c r="AM63" s="56">
        <v>33000</v>
      </c>
      <c r="AN63" s="31">
        <v>36000</v>
      </c>
      <c r="AO63" s="31" t="s">
        <v>1568</v>
      </c>
      <c r="AP63" s="23" t="s">
        <v>187</v>
      </c>
      <c r="AQ63" s="23" t="s">
        <v>1284</v>
      </c>
    </row>
    <row r="64" spans="1:43">
      <c r="A64" s="35">
        <v>61</v>
      </c>
      <c r="B64" s="35">
        <v>102</v>
      </c>
      <c r="C64" s="569" t="str">
        <f t="shared" si="0"/>
        <v>池袋ハウス</v>
      </c>
      <c r="D64" s="45" t="s">
        <v>1676</v>
      </c>
      <c r="E64" s="46">
        <v>0</v>
      </c>
      <c r="F64" s="324">
        <v>634</v>
      </c>
      <c r="G64" s="566" t="str">
        <f t="shared" si="1"/>
        <v>駐車場</v>
      </c>
      <c r="H64" s="44" t="s">
        <v>1674</v>
      </c>
      <c r="I64" s="325">
        <v>33000</v>
      </c>
      <c r="J64" s="325">
        <v>0</v>
      </c>
      <c r="K64" s="325">
        <v>0</v>
      </c>
      <c r="L64" s="325">
        <v>3000</v>
      </c>
      <c r="M64" s="565">
        <f t="shared" si="8"/>
        <v>36000</v>
      </c>
      <c r="N64" s="326">
        <v>30000</v>
      </c>
      <c r="O64" s="326">
        <v>3000</v>
      </c>
      <c r="P64" s="565">
        <f t="shared" si="2"/>
        <v>33000</v>
      </c>
      <c r="Q64" s="565">
        <f t="shared" si="9"/>
        <v>36000</v>
      </c>
      <c r="R64" s="325" t="s">
        <v>1575</v>
      </c>
      <c r="S64" s="325" t="s">
        <v>187</v>
      </c>
      <c r="T64" s="327" t="s">
        <v>1284</v>
      </c>
      <c r="V64" s="43" t="s">
        <v>1677</v>
      </c>
      <c r="W64" s="221">
        <v>30000</v>
      </c>
      <c r="Y64" s="6">
        <f t="shared" si="3"/>
        <v>1</v>
      </c>
      <c r="Z64" s="562">
        <f t="shared" si="4"/>
        <v>33000</v>
      </c>
      <c r="AA64" s="122">
        <f t="shared" si="5"/>
        <v>-3000</v>
      </c>
      <c r="AB64" s="122">
        <f t="shared" si="6"/>
        <v>3000</v>
      </c>
      <c r="AC64" s="6">
        <f t="shared" si="7"/>
        <v>1</v>
      </c>
      <c r="AD64" s="563">
        <f t="shared" si="10"/>
        <v>1</v>
      </c>
      <c r="AE64" s="64"/>
      <c r="AF64" s="31">
        <v>33000</v>
      </c>
      <c r="AG64" s="31">
        <v>0</v>
      </c>
      <c r="AH64" s="31">
        <v>0</v>
      </c>
      <c r="AI64" s="31">
        <v>3000</v>
      </c>
      <c r="AJ64" s="31">
        <v>36000</v>
      </c>
      <c r="AK64" s="31">
        <v>30000</v>
      </c>
      <c r="AL64" s="31">
        <v>3000</v>
      </c>
      <c r="AM64" s="56">
        <v>33000</v>
      </c>
      <c r="AN64" s="31">
        <v>36000</v>
      </c>
      <c r="AO64" s="31" t="s">
        <v>1575</v>
      </c>
      <c r="AP64" s="23" t="s">
        <v>187</v>
      </c>
      <c r="AQ64" s="23" t="s">
        <v>1284</v>
      </c>
    </row>
    <row r="65" spans="1:43">
      <c r="A65" s="35">
        <v>62</v>
      </c>
      <c r="B65" s="35">
        <v>102</v>
      </c>
      <c r="C65" s="569" t="str">
        <f t="shared" si="0"/>
        <v>池袋ハウス</v>
      </c>
      <c r="D65" s="45" t="s">
        <v>1678</v>
      </c>
      <c r="E65" s="46" t="s">
        <v>1017</v>
      </c>
      <c r="F65" s="324">
        <v>639</v>
      </c>
      <c r="G65" s="566" t="str">
        <f t="shared" si="1"/>
        <v>その他</v>
      </c>
      <c r="H65" s="44" t="s">
        <v>729</v>
      </c>
      <c r="I65" s="325">
        <v>0</v>
      </c>
      <c r="J65" s="325">
        <v>0</v>
      </c>
      <c r="K65" s="325">
        <v>0</v>
      </c>
      <c r="L65" s="325">
        <v>0</v>
      </c>
      <c r="M65" s="565">
        <f t="shared" si="8"/>
        <v>0</v>
      </c>
      <c r="N65" s="326">
        <v>0</v>
      </c>
      <c r="O65" s="326">
        <v>0</v>
      </c>
      <c r="P65" s="565">
        <f t="shared" si="2"/>
        <v>0</v>
      </c>
      <c r="Q65" s="565">
        <f t="shared" si="9"/>
        <v>0</v>
      </c>
      <c r="R65" s="325" t="s">
        <v>1017</v>
      </c>
      <c r="S65" s="325" t="s">
        <v>283</v>
      </c>
      <c r="T65" s="327" t="s">
        <v>1679</v>
      </c>
      <c r="V65" s="43" t="s">
        <v>1680</v>
      </c>
      <c r="W65" s="221">
        <v>0</v>
      </c>
      <c r="Y65" s="6">
        <f t="shared" si="3"/>
        <v>0</v>
      </c>
      <c r="Z65" s="562">
        <f t="shared" si="4"/>
        <v>0</v>
      </c>
      <c r="AA65" s="122">
        <f t="shared" si="5"/>
        <v>0</v>
      </c>
      <c r="AB65" s="122">
        <f t="shared" si="6"/>
        <v>0</v>
      </c>
      <c r="AC65" s="6">
        <f t="shared" si="7"/>
        <v>0</v>
      </c>
      <c r="AD65" s="563">
        <f t="shared" si="10"/>
        <v>1</v>
      </c>
      <c r="AE65" s="64"/>
      <c r="AF65" s="31">
        <v>0</v>
      </c>
      <c r="AG65" s="31">
        <v>0</v>
      </c>
      <c r="AH65" s="31">
        <v>0</v>
      </c>
      <c r="AI65" s="31">
        <v>0</v>
      </c>
      <c r="AJ65" s="31">
        <v>0</v>
      </c>
      <c r="AK65" s="31">
        <v>0</v>
      </c>
      <c r="AL65" s="31">
        <v>0</v>
      </c>
      <c r="AM65" s="56">
        <v>0</v>
      </c>
      <c r="AN65" s="31">
        <v>0</v>
      </c>
      <c r="AO65" s="31" t="s">
        <v>1017</v>
      </c>
      <c r="AP65" s="23" t="s">
        <v>283</v>
      </c>
      <c r="AQ65" s="23" t="s">
        <v>1681</v>
      </c>
    </row>
    <row r="66" spans="1:43">
      <c r="A66" s="36">
        <v>63</v>
      </c>
      <c r="B66" s="36">
        <v>103</v>
      </c>
      <c r="C66" s="570" t="str">
        <f t="shared" si="0"/>
        <v>カーサ目白台ハウス</v>
      </c>
      <c r="D66" s="45" t="s">
        <v>1566</v>
      </c>
      <c r="E66" s="46">
        <v>58.31</v>
      </c>
      <c r="F66" s="324">
        <v>632</v>
      </c>
      <c r="G66" s="566" t="str">
        <f t="shared" si="1"/>
        <v>事務所</v>
      </c>
      <c r="H66" s="44" t="s">
        <v>1616</v>
      </c>
      <c r="I66" s="325">
        <v>157408</v>
      </c>
      <c r="J66" s="325">
        <v>0</v>
      </c>
      <c r="K66" s="325">
        <v>0</v>
      </c>
      <c r="L66" s="325">
        <v>15740</v>
      </c>
      <c r="M66" s="565">
        <f t="shared" si="8"/>
        <v>173148</v>
      </c>
      <c r="N66" s="326">
        <v>157407</v>
      </c>
      <c r="O66" s="326">
        <v>15740.727272727272</v>
      </c>
      <c r="P66" s="565">
        <f t="shared" si="2"/>
        <v>173147.72727272726</v>
      </c>
      <c r="Q66" s="565">
        <f t="shared" si="9"/>
        <v>173148</v>
      </c>
      <c r="R66" s="325" t="s">
        <v>1575</v>
      </c>
      <c r="S66" s="325" t="s">
        <v>187</v>
      </c>
      <c r="T66" s="327" t="s">
        <v>1284</v>
      </c>
      <c r="V66" s="43" t="s">
        <v>1682</v>
      </c>
      <c r="W66" s="221">
        <v>175000</v>
      </c>
      <c r="Y66" s="6">
        <f t="shared" si="3"/>
        <v>1</v>
      </c>
      <c r="Z66" s="562">
        <f t="shared" si="4"/>
        <v>157408</v>
      </c>
      <c r="AA66" s="122">
        <f t="shared" si="5"/>
        <v>-1</v>
      </c>
      <c r="AB66" s="122">
        <f t="shared" si="6"/>
        <v>-17592</v>
      </c>
      <c r="AC66" s="6">
        <f t="shared" si="7"/>
        <v>1</v>
      </c>
      <c r="AD66" s="563">
        <f t="shared" si="10"/>
        <v>1</v>
      </c>
      <c r="AE66" s="64"/>
      <c r="AF66" s="31">
        <v>157408</v>
      </c>
      <c r="AG66" s="31">
        <v>0</v>
      </c>
      <c r="AH66" s="31">
        <v>0</v>
      </c>
      <c r="AI66" s="31">
        <v>15740</v>
      </c>
      <c r="AJ66" s="31">
        <v>173148</v>
      </c>
      <c r="AK66" s="31">
        <v>157407</v>
      </c>
      <c r="AL66" s="31">
        <v>15740.727272727272</v>
      </c>
      <c r="AM66" s="56">
        <v>173147.72727272726</v>
      </c>
      <c r="AN66" s="31">
        <v>173148</v>
      </c>
      <c r="AO66" s="31" t="s">
        <v>1575</v>
      </c>
      <c r="AP66" s="23" t="s">
        <v>187</v>
      </c>
      <c r="AQ66" s="23" t="s">
        <v>1284</v>
      </c>
    </row>
    <row r="67" spans="1:43">
      <c r="A67" s="36">
        <v>64</v>
      </c>
      <c r="B67" s="36">
        <v>103</v>
      </c>
      <c r="C67" s="570" t="str">
        <f t="shared" si="0"/>
        <v>カーサ目白台ハウス</v>
      </c>
      <c r="D67" s="45" t="s">
        <v>1570</v>
      </c>
      <c r="E67" s="46">
        <v>57</v>
      </c>
      <c r="F67" s="324">
        <v>632</v>
      </c>
      <c r="G67" s="566" t="str">
        <f t="shared" si="1"/>
        <v>事務所</v>
      </c>
      <c r="H67" s="44" t="s">
        <v>1616</v>
      </c>
      <c r="I67" s="325">
        <v>172222</v>
      </c>
      <c r="J67" s="325">
        <v>0</v>
      </c>
      <c r="K67" s="325">
        <v>0</v>
      </c>
      <c r="L67" s="325">
        <v>17222</v>
      </c>
      <c r="M67" s="565">
        <f t="shared" si="8"/>
        <v>189444</v>
      </c>
      <c r="N67" s="326">
        <v>172221</v>
      </c>
      <c r="O67" s="326">
        <v>17222.18181818182</v>
      </c>
      <c r="P67" s="565">
        <f t="shared" si="2"/>
        <v>189443.18181818182</v>
      </c>
      <c r="Q67" s="565">
        <f t="shared" si="9"/>
        <v>189444</v>
      </c>
      <c r="R67" s="325" t="s">
        <v>1568</v>
      </c>
      <c r="S67" s="325" t="s">
        <v>187</v>
      </c>
      <c r="T67" s="327" t="s">
        <v>1284</v>
      </c>
      <c r="V67" s="43" t="s">
        <v>1683</v>
      </c>
      <c r="W67" s="221">
        <v>350000</v>
      </c>
      <c r="Y67" s="6">
        <f t="shared" si="3"/>
        <v>1</v>
      </c>
      <c r="Z67" s="562">
        <f t="shared" si="4"/>
        <v>172222</v>
      </c>
      <c r="AA67" s="122">
        <f t="shared" si="5"/>
        <v>-1</v>
      </c>
      <c r="AB67" s="122">
        <f t="shared" si="6"/>
        <v>-177778</v>
      </c>
      <c r="AC67" s="6">
        <f t="shared" si="7"/>
        <v>1</v>
      </c>
      <c r="AD67" s="563">
        <f t="shared" si="10"/>
        <v>1</v>
      </c>
      <c r="AE67" s="64"/>
      <c r="AF67" s="31">
        <v>172222</v>
      </c>
      <c r="AG67" s="31">
        <v>0</v>
      </c>
      <c r="AH67" s="31">
        <v>0</v>
      </c>
      <c r="AI67" s="31">
        <v>17222</v>
      </c>
      <c r="AJ67" s="31">
        <v>189444</v>
      </c>
      <c r="AK67" s="31">
        <v>172221</v>
      </c>
      <c r="AL67" s="31">
        <v>17222.18181818182</v>
      </c>
      <c r="AM67" s="56">
        <v>189443.18181818182</v>
      </c>
      <c r="AN67" s="31">
        <v>189444</v>
      </c>
      <c r="AO67" s="31" t="s">
        <v>1568</v>
      </c>
      <c r="AP67" s="23" t="s">
        <v>187</v>
      </c>
      <c r="AQ67" s="23" t="s">
        <v>1284</v>
      </c>
    </row>
    <row r="68" spans="1:43">
      <c r="A68" s="36">
        <v>65</v>
      </c>
      <c r="B68" s="36">
        <v>103</v>
      </c>
      <c r="C68" s="570" t="str">
        <f t="shared" ref="C68:C131" si="11">VLOOKUP(B68,id_settings,2,FALSE)</f>
        <v>カーサ目白台ハウス</v>
      </c>
      <c r="D68" s="45" t="s">
        <v>1572</v>
      </c>
      <c r="E68" s="46">
        <v>56.89</v>
      </c>
      <c r="F68" s="324">
        <v>632</v>
      </c>
      <c r="G68" s="566" t="str">
        <f t="shared" ref="G68:G131" si="12">VLOOKUP(F68,id_settings,2,FALSE)</f>
        <v>事務所</v>
      </c>
      <c r="H68" s="44" t="s">
        <v>1616</v>
      </c>
      <c r="I68" s="325">
        <v>170000</v>
      </c>
      <c r="J68" s="325">
        <v>0</v>
      </c>
      <c r="K68" s="325">
        <v>0</v>
      </c>
      <c r="L68" s="325">
        <v>17000</v>
      </c>
      <c r="M68" s="565">
        <f t="shared" si="8"/>
        <v>187000</v>
      </c>
      <c r="N68" s="326">
        <v>170000</v>
      </c>
      <c r="O68" s="326">
        <v>17000</v>
      </c>
      <c r="P68" s="565">
        <f t="shared" ref="P68:P131" si="13">N68+O68</f>
        <v>187000</v>
      </c>
      <c r="Q68" s="565">
        <f t="shared" si="9"/>
        <v>187000</v>
      </c>
      <c r="R68" s="325" t="s">
        <v>1575</v>
      </c>
      <c r="S68" s="325" t="s">
        <v>187</v>
      </c>
      <c r="T68" s="327" t="s">
        <v>1284</v>
      </c>
      <c r="V68" s="43" t="s">
        <v>1684</v>
      </c>
      <c r="W68" s="221">
        <v>170000</v>
      </c>
      <c r="Y68" s="6">
        <f t="shared" ref="Y68:Y131" si="14">IF(M68=0,0,1)</f>
        <v>1</v>
      </c>
      <c r="Z68" s="562">
        <f t="shared" ref="Z68:Z131" si="15">IF(Y68=1,SUM(I68:K68),N68)</f>
        <v>170000</v>
      </c>
      <c r="AA68" s="122">
        <f t="shared" ref="AA68:AA131" si="16">N68-Z68</f>
        <v>0</v>
      </c>
      <c r="AB68" s="122">
        <f t="shared" ref="AB68:AB131" si="17">Z68-W68</f>
        <v>0</v>
      </c>
      <c r="AC68" s="6">
        <f t="shared" ref="AC68:AC131" si="18">IF(E68="-",0,1)</f>
        <v>1</v>
      </c>
      <c r="AD68" s="563">
        <f t="shared" si="10"/>
        <v>1</v>
      </c>
      <c r="AE68" s="64"/>
      <c r="AF68" s="31">
        <v>170000</v>
      </c>
      <c r="AG68" s="31">
        <v>0</v>
      </c>
      <c r="AH68" s="31">
        <v>0</v>
      </c>
      <c r="AI68" s="31">
        <v>17000</v>
      </c>
      <c r="AJ68" s="31">
        <v>187000</v>
      </c>
      <c r="AK68" s="31">
        <v>170000</v>
      </c>
      <c r="AL68" s="31">
        <v>17000</v>
      </c>
      <c r="AM68" s="56">
        <v>187000</v>
      </c>
      <c r="AN68" s="31">
        <v>187000</v>
      </c>
      <c r="AO68" s="31" t="s">
        <v>1575</v>
      </c>
      <c r="AP68" s="23" t="s">
        <v>187</v>
      </c>
      <c r="AQ68" s="23" t="s">
        <v>1284</v>
      </c>
    </row>
    <row r="69" spans="1:43">
      <c r="A69" s="36">
        <v>66</v>
      </c>
      <c r="B69" s="36">
        <v>103</v>
      </c>
      <c r="C69" s="570" t="str">
        <f t="shared" si="11"/>
        <v>カーサ目白台ハウス</v>
      </c>
      <c r="D69" s="45" t="s">
        <v>1580</v>
      </c>
      <c r="E69" s="46">
        <v>51.3</v>
      </c>
      <c r="F69" s="324">
        <v>633</v>
      </c>
      <c r="G69" s="566" t="str">
        <f t="shared" si="12"/>
        <v>店舗</v>
      </c>
      <c r="H69" s="44" t="s">
        <v>1616</v>
      </c>
      <c r="I69" s="325">
        <v>180000</v>
      </c>
      <c r="J69" s="325">
        <v>0</v>
      </c>
      <c r="K69" s="325">
        <v>0</v>
      </c>
      <c r="L69" s="325">
        <v>18000</v>
      </c>
      <c r="M69" s="565">
        <f t="shared" ref="M69:M132" si="19">SUM(I69:L69)</f>
        <v>198000</v>
      </c>
      <c r="N69" s="326">
        <v>180000</v>
      </c>
      <c r="O69" s="326">
        <v>18000</v>
      </c>
      <c r="P69" s="565">
        <f t="shared" si="13"/>
        <v>198000</v>
      </c>
      <c r="Q69" s="565">
        <f t="shared" ref="Q69:Q132" si="20">VALUE(IF(Y69=0,N69+O69,M69))</f>
        <v>198000</v>
      </c>
      <c r="R69" s="325" t="s">
        <v>1575</v>
      </c>
      <c r="S69" s="325" t="s">
        <v>187</v>
      </c>
      <c r="T69" s="327" t="s">
        <v>1284</v>
      </c>
      <c r="V69" s="43" t="s">
        <v>1685</v>
      </c>
      <c r="W69" s="221">
        <v>180000</v>
      </c>
      <c r="Y69" s="6">
        <f t="shared" si="14"/>
        <v>1</v>
      </c>
      <c r="Z69" s="562">
        <f t="shared" si="15"/>
        <v>180000</v>
      </c>
      <c r="AA69" s="122">
        <f t="shared" si="16"/>
        <v>0</v>
      </c>
      <c r="AB69" s="122">
        <f t="shared" si="17"/>
        <v>0</v>
      </c>
      <c r="AC69" s="6">
        <f t="shared" si="18"/>
        <v>1</v>
      </c>
      <c r="AD69" s="563">
        <f t="shared" ref="AD69:AD132" si="21">IF(I69="-",0,1)</f>
        <v>1</v>
      </c>
      <c r="AE69" s="64"/>
      <c r="AF69" s="31">
        <v>180000</v>
      </c>
      <c r="AG69" s="31">
        <v>0</v>
      </c>
      <c r="AH69" s="31">
        <v>0</v>
      </c>
      <c r="AI69" s="31">
        <v>18000</v>
      </c>
      <c r="AJ69" s="31">
        <v>198000</v>
      </c>
      <c r="AK69" s="31">
        <v>180000</v>
      </c>
      <c r="AL69" s="31">
        <v>18000</v>
      </c>
      <c r="AM69" s="56">
        <v>198000</v>
      </c>
      <c r="AN69" s="31">
        <v>198000</v>
      </c>
      <c r="AO69" s="31" t="s">
        <v>1575</v>
      </c>
      <c r="AP69" s="23" t="s">
        <v>187</v>
      </c>
      <c r="AQ69" s="23" t="s">
        <v>1284</v>
      </c>
    </row>
    <row r="70" spans="1:43">
      <c r="A70" s="36">
        <v>67</v>
      </c>
      <c r="B70" s="36">
        <v>103</v>
      </c>
      <c r="C70" s="570" t="str">
        <f t="shared" si="11"/>
        <v>カーサ目白台ハウス</v>
      </c>
      <c r="D70" s="45" t="s">
        <v>1582</v>
      </c>
      <c r="E70" s="46">
        <v>50</v>
      </c>
      <c r="F70" s="324">
        <v>633</v>
      </c>
      <c r="G70" s="566" t="str">
        <f t="shared" si="12"/>
        <v>店舗</v>
      </c>
      <c r="H70" s="44" t="s">
        <v>1616</v>
      </c>
      <c r="I70" s="325">
        <v>150000</v>
      </c>
      <c r="J70" s="325">
        <v>0</v>
      </c>
      <c r="K70" s="325">
        <v>0</v>
      </c>
      <c r="L70" s="325">
        <v>15000</v>
      </c>
      <c r="M70" s="565">
        <f t="shared" si="19"/>
        <v>165000</v>
      </c>
      <c r="N70" s="326">
        <v>150000</v>
      </c>
      <c r="O70" s="326">
        <v>15000</v>
      </c>
      <c r="P70" s="565">
        <f t="shared" si="13"/>
        <v>165000</v>
      </c>
      <c r="Q70" s="565">
        <f t="shared" si="20"/>
        <v>165000</v>
      </c>
      <c r="R70" s="325" t="s">
        <v>1575</v>
      </c>
      <c r="S70" s="325" t="s">
        <v>187</v>
      </c>
      <c r="T70" s="327" t="s">
        <v>1284</v>
      </c>
      <c r="V70" s="43" t="s">
        <v>1686</v>
      </c>
      <c r="W70" s="221">
        <v>150000</v>
      </c>
      <c r="Y70" s="6">
        <f t="shared" si="14"/>
        <v>1</v>
      </c>
      <c r="Z70" s="562">
        <f t="shared" si="15"/>
        <v>150000</v>
      </c>
      <c r="AA70" s="122">
        <f t="shared" si="16"/>
        <v>0</v>
      </c>
      <c r="AB70" s="122">
        <f t="shared" si="17"/>
        <v>0</v>
      </c>
      <c r="AC70" s="6">
        <f t="shared" si="18"/>
        <v>1</v>
      </c>
      <c r="AD70" s="563">
        <f t="shared" si="21"/>
        <v>1</v>
      </c>
      <c r="AE70" s="64"/>
      <c r="AF70" s="31">
        <v>150000</v>
      </c>
      <c r="AG70" s="31">
        <v>0</v>
      </c>
      <c r="AH70" s="31">
        <v>0</v>
      </c>
      <c r="AI70" s="31">
        <v>15000</v>
      </c>
      <c r="AJ70" s="31">
        <v>165000</v>
      </c>
      <c r="AK70" s="31">
        <v>150000</v>
      </c>
      <c r="AL70" s="31">
        <v>15000</v>
      </c>
      <c r="AM70" s="56">
        <v>165000</v>
      </c>
      <c r="AN70" s="31">
        <v>165000</v>
      </c>
      <c r="AO70" s="31" t="s">
        <v>1575</v>
      </c>
      <c r="AP70" s="23" t="s">
        <v>187</v>
      </c>
      <c r="AQ70" s="23" t="s">
        <v>1284</v>
      </c>
    </row>
    <row r="71" spans="1:43">
      <c r="A71" s="36">
        <v>68</v>
      </c>
      <c r="B71" s="36">
        <v>103</v>
      </c>
      <c r="C71" s="570" t="str">
        <f t="shared" si="11"/>
        <v>カーサ目白台ハウス</v>
      </c>
      <c r="D71" s="45" t="s">
        <v>1585</v>
      </c>
      <c r="E71" s="46">
        <v>26.4</v>
      </c>
      <c r="F71" s="324">
        <v>632</v>
      </c>
      <c r="G71" s="566" t="str">
        <f t="shared" si="12"/>
        <v>事務所</v>
      </c>
      <c r="H71" s="44" t="s">
        <v>1616</v>
      </c>
      <c r="I71" s="325">
        <v>85715</v>
      </c>
      <c r="J71" s="325">
        <v>0</v>
      </c>
      <c r="K71" s="325">
        <v>0</v>
      </c>
      <c r="L71" s="325">
        <v>8571</v>
      </c>
      <c r="M71" s="565">
        <f t="shared" si="19"/>
        <v>94286</v>
      </c>
      <c r="N71" s="326">
        <v>85715</v>
      </c>
      <c r="O71" s="326">
        <v>8571.545454545454</v>
      </c>
      <c r="P71" s="565">
        <f t="shared" si="13"/>
        <v>94286.545454545456</v>
      </c>
      <c r="Q71" s="565">
        <f t="shared" si="20"/>
        <v>94286</v>
      </c>
      <c r="R71" s="325" t="s">
        <v>1575</v>
      </c>
      <c r="S71" s="325" t="s">
        <v>187</v>
      </c>
      <c r="T71" s="327" t="s">
        <v>1284</v>
      </c>
      <c r="V71" s="43" t="s">
        <v>1687</v>
      </c>
      <c r="W71" s="221">
        <v>85715</v>
      </c>
      <c r="Y71" s="6">
        <f t="shared" si="14"/>
        <v>1</v>
      </c>
      <c r="Z71" s="562">
        <f t="shared" si="15"/>
        <v>85715</v>
      </c>
      <c r="AA71" s="122">
        <f t="shared" si="16"/>
        <v>0</v>
      </c>
      <c r="AB71" s="122">
        <f t="shared" si="17"/>
        <v>0</v>
      </c>
      <c r="AC71" s="6">
        <f t="shared" si="18"/>
        <v>1</v>
      </c>
      <c r="AD71" s="563">
        <f t="shared" si="21"/>
        <v>1</v>
      </c>
      <c r="AE71" s="64"/>
      <c r="AF71" s="31">
        <v>85715</v>
      </c>
      <c r="AG71" s="31">
        <v>0</v>
      </c>
      <c r="AH71" s="31">
        <v>0</v>
      </c>
      <c r="AI71" s="31">
        <v>8571</v>
      </c>
      <c r="AJ71" s="31">
        <v>94287</v>
      </c>
      <c r="AK71" s="31">
        <v>85715</v>
      </c>
      <c r="AL71" s="31">
        <v>8571.545454545454</v>
      </c>
      <c r="AM71" s="56">
        <v>94286.545454545456</v>
      </c>
      <c r="AN71" s="31">
        <v>94287</v>
      </c>
      <c r="AO71" s="31" t="s">
        <v>1575</v>
      </c>
      <c r="AP71" s="23" t="s">
        <v>187</v>
      </c>
      <c r="AQ71" s="23" t="s">
        <v>1284</v>
      </c>
    </row>
    <row r="72" spans="1:43">
      <c r="A72" s="36">
        <v>69</v>
      </c>
      <c r="B72" s="36">
        <v>103</v>
      </c>
      <c r="C72" s="570" t="str">
        <f t="shared" si="11"/>
        <v>カーサ目白台ハウス</v>
      </c>
      <c r="D72" s="45" t="s">
        <v>1589</v>
      </c>
      <c r="E72" s="46">
        <v>51.3</v>
      </c>
      <c r="F72" s="324">
        <v>631</v>
      </c>
      <c r="G72" s="566" t="str">
        <f t="shared" si="12"/>
        <v>住居</v>
      </c>
      <c r="H72" s="44" t="s">
        <v>1688</v>
      </c>
      <c r="I72" s="325">
        <v>218000</v>
      </c>
      <c r="J72" s="325">
        <v>0</v>
      </c>
      <c r="K72" s="325">
        <v>0</v>
      </c>
      <c r="L72" s="325">
        <v>0</v>
      </c>
      <c r="M72" s="565">
        <f t="shared" si="19"/>
        <v>218000</v>
      </c>
      <c r="N72" s="326">
        <v>218000</v>
      </c>
      <c r="O72" s="326">
        <v>0</v>
      </c>
      <c r="P72" s="565">
        <f t="shared" si="13"/>
        <v>218000</v>
      </c>
      <c r="Q72" s="565">
        <f t="shared" si="20"/>
        <v>218000</v>
      </c>
      <c r="R72" s="325" t="s">
        <v>1568</v>
      </c>
      <c r="S72" s="325" t="s">
        <v>187</v>
      </c>
      <c r="T72" s="327" t="s">
        <v>1284</v>
      </c>
      <c r="V72" s="43" t="s">
        <v>1689</v>
      </c>
      <c r="W72" s="221">
        <v>165000</v>
      </c>
      <c r="Y72" s="6">
        <f t="shared" si="14"/>
        <v>1</v>
      </c>
      <c r="Z72" s="562">
        <f t="shared" si="15"/>
        <v>218000</v>
      </c>
      <c r="AA72" s="122">
        <f t="shared" si="16"/>
        <v>0</v>
      </c>
      <c r="AB72" s="122">
        <f t="shared" si="17"/>
        <v>53000</v>
      </c>
      <c r="AC72" s="6">
        <f t="shared" si="18"/>
        <v>1</v>
      </c>
      <c r="AD72" s="563">
        <f t="shared" si="21"/>
        <v>1</v>
      </c>
      <c r="AE72" s="64"/>
      <c r="AF72" s="31">
        <v>218000</v>
      </c>
      <c r="AG72" s="31">
        <v>0</v>
      </c>
      <c r="AH72" s="31">
        <v>0</v>
      </c>
      <c r="AI72" s="31">
        <v>0</v>
      </c>
      <c r="AJ72" s="31">
        <v>218000</v>
      </c>
      <c r="AK72" s="31">
        <v>218000</v>
      </c>
      <c r="AL72" s="31">
        <v>0</v>
      </c>
      <c r="AM72" s="56">
        <v>218000</v>
      </c>
      <c r="AN72" s="31">
        <v>218000</v>
      </c>
      <c r="AO72" s="31" t="s">
        <v>1568</v>
      </c>
      <c r="AP72" s="23" t="s">
        <v>187</v>
      </c>
      <c r="AQ72" s="23" t="s">
        <v>1284</v>
      </c>
    </row>
    <row r="73" spans="1:43">
      <c r="A73" s="36">
        <v>70</v>
      </c>
      <c r="B73" s="36">
        <v>103</v>
      </c>
      <c r="C73" s="570" t="str">
        <f t="shared" si="11"/>
        <v>カーサ目白台ハウス</v>
      </c>
      <c r="D73" s="45" t="s">
        <v>1591</v>
      </c>
      <c r="E73" s="46">
        <v>52.02</v>
      </c>
      <c r="F73" s="324">
        <v>631</v>
      </c>
      <c r="G73" s="566" t="str">
        <f t="shared" si="12"/>
        <v>住居</v>
      </c>
      <c r="H73" s="44" t="s">
        <v>1667</v>
      </c>
      <c r="I73" s="325">
        <v>208000</v>
      </c>
      <c r="J73" s="325">
        <v>0</v>
      </c>
      <c r="K73" s="325">
        <v>0</v>
      </c>
      <c r="L73" s="325">
        <v>0</v>
      </c>
      <c r="M73" s="565">
        <f t="shared" si="19"/>
        <v>208000</v>
      </c>
      <c r="N73" s="326">
        <v>208000</v>
      </c>
      <c r="O73" s="326">
        <v>0</v>
      </c>
      <c r="P73" s="565">
        <f t="shared" si="13"/>
        <v>208000</v>
      </c>
      <c r="Q73" s="565">
        <f t="shared" si="20"/>
        <v>208000</v>
      </c>
      <c r="R73" s="325" t="s">
        <v>1583</v>
      </c>
      <c r="S73" s="325" t="s">
        <v>187</v>
      </c>
      <c r="T73" s="327" t="s">
        <v>1284</v>
      </c>
      <c r="V73" s="43" t="s">
        <v>1690</v>
      </c>
      <c r="W73" s="221">
        <v>165000</v>
      </c>
      <c r="Y73" s="6">
        <f t="shared" si="14"/>
        <v>1</v>
      </c>
      <c r="Z73" s="562">
        <f t="shared" si="15"/>
        <v>208000</v>
      </c>
      <c r="AA73" s="122">
        <f t="shared" si="16"/>
        <v>0</v>
      </c>
      <c r="AB73" s="122">
        <f t="shared" si="17"/>
        <v>43000</v>
      </c>
      <c r="AC73" s="6">
        <f t="shared" si="18"/>
        <v>1</v>
      </c>
      <c r="AD73" s="563">
        <f t="shared" si="21"/>
        <v>1</v>
      </c>
      <c r="AE73" s="64"/>
      <c r="AF73" s="31">
        <v>208000</v>
      </c>
      <c r="AG73" s="31">
        <v>0</v>
      </c>
      <c r="AH73" s="31">
        <v>0</v>
      </c>
      <c r="AI73" s="31">
        <v>0</v>
      </c>
      <c r="AJ73" s="31">
        <v>208000</v>
      </c>
      <c r="AK73" s="31">
        <v>208000</v>
      </c>
      <c r="AL73" s="31">
        <v>0</v>
      </c>
      <c r="AM73" s="56">
        <v>208000</v>
      </c>
      <c r="AN73" s="31">
        <v>208000</v>
      </c>
      <c r="AO73" s="31" t="s">
        <v>1583</v>
      </c>
      <c r="AP73" s="23" t="s">
        <v>187</v>
      </c>
      <c r="AQ73" s="23" t="s">
        <v>1284</v>
      </c>
    </row>
    <row r="74" spans="1:43">
      <c r="A74" s="36">
        <v>71</v>
      </c>
      <c r="B74" s="36">
        <v>103</v>
      </c>
      <c r="C74" s="570" t="str">
        <f t="shared" si="11"/>
        <v>カーサ目白台ハウス</v>
      </c>
      <c r="D74" s="45" t="s">
        <v>1593</v>
      </c>
      <c r="E74" s="46">
        <v>71.069999999999993</v>
      </c>
      <c r="F74" s="324">
        <v>631</v>
      </c>
      <c r="G74" s="566" t="str">
        <f t="shared" si="12"/>
        <v>住居</v>
      </c>
      <c r="H74" s="44" t="s">
        <v>1688</v>
      </c>
      <c r="I74" s="325">
        <v>220000</v>
      </c>
      <c r="J74" s="325">
        <v>0</v>
      </c>
      <c r="K74" s="325">
        <v>0</v>
      </c>
      <c r="L74" s="325">
        <v>0</v>
      </c>
      <c r="M74" s="565">
        <f t="shared" si="19"/>
        <v>220000</v>
      </c>
      <c r="N74" s="326">
        <v>220000</v>
      </c>
      <c r="O74" s="326">
        <v>0</v>
      </c>
      <c r="P74" s="565">
        <f t="shared" si="13"/>
        <v>220000</v>
      </c>
      <c r="Q74" s="565">
        <f t="shared" si="20"/>
        <v>220000</v>
      </c>
      <c r="R74" s="325" t="s">
        <v>1583</v>
      </c>
      <c r="S74" s="325" t="s">
        <v>187</v>
      </c>
      <c r="T74" s="327" t="s">
        <v>1284</v>
      </c>
      <c r="V74" s="43" t="s">
        <v>1691</v>
      </c>
      <c r="W74" s="221">
        <v>188000</v>
      </c>
      <c r="Y74" s="6">
        <f t="shared" si="14"/>
        <v>1</v>
      </c>
      <c r="Z74" s="562">
        <f t="shared" si="15"/>
        <v>220000</v>
      </c>
      <c r="AA74" s="122">
        <f t="shared" si="16"/>
        <v>0</v>
      </c>
      <c r="AB74" s="122">
        <f t="shared" si="17"/>
        <v>32000</v>
      </c>
      <c r="AC74" s="6">
        <f t="shared" si="18"/>
        <v>1</v>
      </c>
      <c r="AD74" s="563">
        <f t="shared" si="21"/>
        <v>1</v>
      </c>
      <c r="AE74" s="64"/>
      <c r="AF74" s="31">
        <v>220000</v>
      </c>
      <c r="AG74" s="31">
        <v>0</v>
      </c>
      <c r="AH74" s="31">
        <v>0</v>
      </c>
      <c r="AI74" s="31">
        <v>0</v>
      </c>
      <c r="AJ74" s="31">
        <v>220000</v>
      </c>
      <c r="AK74" s="31">
        <v>220000</v>
      </c>
      <c r="AL74" s="31">
        <v>0</v>
      </c>
      <c r="AM74" s="56">
        <v>220000</v>
      </c>
      <c r="AN74" s="31">
        <v>220000</v>
      </c>
      <c r="AO74" s="31" t="s">
        <v>1583</v>
      </c>
      <c r="AP74" s="23" t="s">
        <v>187</v>
      </c>
      <c r="AQ74" s="23" t="s">
        <v>1284</v>
      </c>
    </row>
    <row r="75" spans="1:43">
      <c r="A75" s="36">
        <v>72</v>
      </c>
      <c r="B75" s="36">
        <v>103</v>
      </c>
      <c r="C75" s="570" t="str">
        <f t="shared" si="11"/>
        <v>カーサ目白台ハウス</v>
      </c>
      <c r="D75" s="45" t="s">
        <v>1603</v>
      </c>
      <c r="E75" s="46">
        <v>51.3</v>
      </c>
      <c r="F75" s="324">
        <v>631</v>
      </c>
      <c r="G75" s="566" t="str">
        <f t="shared" si="12"/>
        <v>住居</v>
      </c>
      <c r="H75" s="44" t="s">
        <v>1688</v>
      </c>
      <c r="I75" s="325">
        <v>198000</v>
      </c>
      <c r="J75" s="325">
        <v>10000</v>
      </c>
      <c r="K75" s="325">
        <v>0</v>
      </c>
      <c r="L75" s="325">
        <v>0</v>
      </c>
      <c r="M75" s="565">
        <f t="shared" si="19"/>
        <v>208000</v>
      </c>
      <c r="N75" s="326">
        <v>198000</v>
      </c>
      <c r="O75" s="326">
        <v>0</v>
      </c>
      <c r="P75" s="565">
        <f t="shared" si="13"/>
        <v>198000</v>
      </c>
      <c r="Q75" s="565">
        <f t="shared" si="20"/>
        <v>208000</v>
      </c>
      <c r="R75" s="325" t="s">
        <v>1568</v>
      </c>
      <c r="S75" s="325" t="s">
        <v>187</v>
      </c>
      <c r="T75" s="327" t="s">
        <v>1284</v>
      </c>
      <c r="V75" s="43" t="s">
        <v>1692</v>
      </c>
      <c r="W75" s="221">
        <v>180000</v>
      </c>
      <c r="Y75" s="6">
        <f t="shared" si="14"/>
        <v>1</v>
      </c>
      <c r="Z75" s="562">
        <f t="shared" si="15"/>
        <v>208000</v>
      </c>
      <c r="AA75" s="122">
        <f t="shared" si="16"/>
        <v>-10000</v>
      </c>
      <c r="AB75" s="122">
        <f t="shared" si="17"/>
        <v>28000</v>
      </c>
      <c r="AC75" s="6">
        <f t="shared" si="18"/>
        <v>1</v>
      </c>
      <c r="AD75" s="563">
        <f t="shared" si="21"/>
        <v>1</v>
      </c>
      <c r="AE75" s="64"/>
      <c r="AF75" s="31">
        <v>198000</v>
      </c>
      <c r="AG75" s="31">
        <v>10000</v>
      </c>
      <c r="AH75" s="31">
        <v>0</v>
      </c>
      <c r="AI75" s="31">
        <v>0</v>
      </c>
      <c r="AJ75" s="31">
        <v>208000</v>
      </c>
      <c r="AK75" s="31">
        <v>198000</v>
      </c>
      <c r="AL75" s="31">
        <v>0</v>
      </c>
      <c r="AM75" s="56">
        <v>198000</v>
      </c>
      <c r="AN75" s="31">
        <v>208000</v>
      </c>
      <c r="AO75" s="31" t="s">
        <v>1568</v>
      </c>
      <c r="AP75" s="23" t="s">
        <v>187</v>
      </c>
      <c r="AQ75" s="23" t="s">
        <v>1284</v>
      </c>
    </row>
    <row r="76" spans="1:43">
      <c r="A76" s="36">
        <v>73</v>
      </c>
      <c r="B76" s="36">
        <v>103</v>
      </c>
      <c r="C76" s="570" t="str">
        <f t="shared" si="11"/>
        <v>カーサ目白台ハウス</v>
      </c>
      <c r="D76" s="45" t="s">
        <v>1605</v>
      </c>
      <c r="E76" s="46">
        <v>52.02</v>
      </c>
      <c r="F76" s="324">
        <v>631</v>
      </c>
      <c r="G76" s="566" t="str">
        <f t="shared" si="12"/>
        <v>住居</v>
      </c>
      <c r="H76" s="44" t="s">
        <v>1688</v>
      </c>
      <c r="I76" s="325">
        <v>198000</v>
      </c>
      <c r="J76" s="325">
        <v>0</v>
      </c>
      <c r="K76" s="325">
        <v>0</v>
      </c>
      <c r="L76" s="325">
        <v>0</v>
      </c>
      <c r="M76" s="565">
        <f t="shared" si="19"/>
        <v>198000</v>
      </c>
      <c r="N76" s="326">
        <v>198000</v>
      </c>
      <c r="O76" s="326">
        <v>0</v>
      </c>
      <c r="P76" s="565">
        <f t="shared" si="13"/>
        <v>198000</v>
      </c>
      <c r="Q76" s="565">
        <f t="shared" si="20"/>
        <v>198000</v>
      </c>
      <c r="R76" s="325" t="s">
        <v>1568</v>
      </c>
      <c r="S76" s="325" t="s">
        <v>187</v>
      </c>
      <c r="T76" s="327" t="s">
        <v>1284</v>
      </c>
      <c r="V76" s="43" t="s">
        <v>1693</v>
      </c>
      <c r="W76" s="221">
        <v>170000</v>
      </c>
      <c r="Y76" s="6">
        <f t="shared" si="14"/>
        <v>1</v>
      </c>
      <c r="Z76" s="562">
        <f t="shared" si="15"/>
        <v>198000</v>
      </c>
      <c r="AA76" s="122">
        <f t="shared" si="16"/>
        <v>0</v>
      </c>
      <c r="AB76" s="122">
        <f t="shared" si="17"/>
        <v>28000</v>
      </c>
      <c r="AC76" s="6">
        <f t="shared" si="18"/>
        <v>1</v>
      </c>
      <c r="AD76" s="563">
        <f t="shared" si="21"/>
        <v>1</v>
      </c>
      <c r="AE76" s="64"/>
      <c r="AF76" s="31">
        <v>198000</v>
      </c>
      <c r="AG76" s="31">
        <v>0</v>
      </c>
      <c r="AH76" s="31">
        <v>0</v>
      </c>
      <c r="AI76" s="31">
        <v>0</v>
      </c>
      <c r="AJ76" s="31">
        <v>198000</v>
      </c>
      <c r="AK76" s="31">
        <v>198000</v>
      </c>
      <c r="AL76" s="31">
        <v>0</v>
      </c>
      <c r="AM76" s="56">
        <v>198000</v>
      </c>
      <c r="AN76" s="31">
        <v>198000</v>
      </c>
      <c r="AO76" s="31" t="s">
        <v>1568</v>
      </c>
      <c r="AP76" s="23" t="s">
        <v>187</v>
      </c>
      <c r="AQ76" s="23" t="s">
        <v>1284</v>
      </c>
    </row>
    <row r="77" spans="1:43">
      <c r="A77" s="36">
        <v>74</v>
      </c>
      <c r="B77" s="36">
        <v>103</v>
      </c>
      <c r="C77" s="570" t="str">
        <f t="shared" si="11"/>
        <v>カーサ目白台ハウス</v>
      </c>
      <c r="D77" s="45" t="s">
        <v>1607</v>
      </c>
      <c r="E77" s="46">
        <v>41.32</v>
      </c>
      <c r="F77" s="324">
        <v>631</v>
      </c>
      <c r="G77" s="566" t="str">
        <f t="shared" si="12"/>
        <v>住居</v>
      </c>
      <c r="H77" s="44" t="s">
        <v>1667</v>
      </c>
      <c r="I77" s="325">
        <v>140000</v>
      </c>
      <c r="J77" s="325">
        <v>0</v>
      </c>
      <c r="K77" s="325">
        <v>0</v>
      </c>
      <c r="L77" s="325">
        <v>0</v>
      </c>
      <c r="M77" s="565">
        <f t="shared" si="19"/>
        <v>140000</v>
      </c>
      <c r="N77" s="326">
        <v>130000</v>
      </c>
      <c r="O77" s="326">
        <v>0</v>
      </c>
      <c r="P77" s="565">
        <f t="shared" si="13"/>
        <v>130000</v>
      </c>
      <c r="Q77" s="565">
        <f t="shared" si="20"/>
        <v>140000</v>
      </c>
      <c r="R77" s="325" t="s">
        <v>1568</v>
      </c>
      <c r="S77" s="325" t="s">
        <v>187</v>
      </c>
      <c r="T77" s="327" t="s">
        <v>1284</v>
      </c>
      <c r="V77" s="43" t="s">
        <v>1694</v>
      </c>
      <c r="W77" s="221">
        <v>130000</v>
      </c>
      <c r="Y77" s="6">
        <f t="shared" si="14"/>
        <v>1</v>
      </c>
      <c r="Z77" s="562">
        <f t="shared" si="15"/>
        <v>140000</v>
      </c>
      <c r="AA77" s="122">
        <f t="shared" si="16"/>
        <v>-10000</v>
      </c>
      <c r="AB77" s="122">
        <f t="shared" si="17"/>
        <v>10000</v>
      </c>
      <c r="AC77" s="6">
        <f t="shared" si="18"/>
        <v>1</v>
      </c>
      <c r="AD77" s="563">
        <f t="shared" si="21"/>
        <v>1</v>
      </c>
      <c r="AE77" s="64"/>
      <c r="AF77" s="31">
        <v>140000</v>
      </c>
      <c r="AG77" s="31">
        <v>0</v>
      </c>
      <c r="AH77" s="31">
        <v>0</v>
      </c>
      <c r="AI77" s="31">
        <v>0</v>
      </c>
      <c r="AJ77" s="31">
        <v>140000</v>
      </c>
      <c r="AK77" s="31">
        <v>130000</v>
      </c>
      <c r="AL77" s="31">
        <v>0</v>
      </c>
      <c r="AM77" s="56">
        <v>130000</v>
      </c>
      <c r="AN77" s="31">
        <v>140000</v>
      </c>
      <c r="AO77" s="31" t="s">
        <v>1568</v>
      </c>
      <c r="AP77" s="23" t="s">
        <v>187</v>
      </c>
      <c r="AQ77" s="23" t="s">
        <v>1284</v>
      </c>
    </row>
    <row r="78" spans="1:43">
      <c r="A78" s="36">
        <v>75</v>
      </c>
      <c r="B78" s="36">
        <v>103</v>
      </c>
      <c r="C78" s="570" t="str">
        <f t="shared" si="11"/>
        <v>カーサ目白台ハウス</v>
      </c>
      <c r="D78" s="45" t="s">
        <v>1695</v>
      </c>
      <c r="E78" s="46">
        <v>48.35</v>
      </c>
      <c r="F78" s="324">
        <v>631</v>
      </c>
      <c r="G78" s="566" t="str">
        <f t="shared" si="12"/>
        <v>住居</v>
      </c>
      <c r="H78" s="44" t="s">
        <v>1688</v>
      </c>
      <c r="I78" s="325">
        <v>208000</v>
      </c>
      <c r="J78" s="325">
        <v>10000</v>
      </c>
      <c r="K78" s="325">
        <v>0</v>
      </c>
      <c r="L78" s="325">
        <v>0</v>
      </c>
      <c r="M78" s="565">
        <f t="shared" si="19"/>
        <v>218000</v>
      </c>
      <c r="N78" s="326">
        <v>218000</v>
      </c>
      <c r="O78" s="326">
        <v>0</v>
      </c>
      <c r="P78" s="565">
        <f t="shared" si="13"/>
        <v>218000</v>
      </c>
      <c r="Q78" s="565">
        <f t="shared" si="20"/>
        <v>218000</v>
      </c>
      <c r="R78" s="325" t="s">
        <v>1583</v>
      </c>
      <c r="S78" s="325" t="s">
        <v>187</v>
      </c>
      <c r="T78" s="327" t="s">
        <v>1284</v>
      </c>
      <c r="V78" s="43" t="s">
        <v>1696</v>
      </c>
      <c r="W78" s="221">
        <v>220000</v>
      </c>
      <c r="Y78" s="6">
        <f t="shared" si="14"/>
        <v>1</v>
      </c>
      <c r="Z78" s="562">
        <f t="shared" si="15"/>
        <v>218000</v>
      </c>
      <c r="AA78" s="122">
        <f t="shared" si="16"/>
        <v>0</v>
      </c>
      <c r="AB78" s="122">
        <f t="shared" si="17"/>
        <v>-2000</v>
      </c>
      <c r="AC78" s="6">
        <f t="shared" si="18"/>
        <v>1</v>
      </c>
      <c r="AD78" s="563">
        <f t="shared" si="21"/>
        <v>1</v>
      </c>
      <c r="AE78" s="64"/>
      <c r="AF78" s="31">
        <v>208000</v>
      </c>
      <c r="AG78" s="31">
        <v>10000</v>
      </c>
      <c r="AH78" s="31">
        <v>0</v>
      </c>
      <c r="AI78" s="31">
        <v>0</v>
      </c>
      <c r="AJ78" s="31">
        <v>218000</v>
      </c>
      <c r="AK78" s="31">
        <v>218000</v>
      </c>
      <c r="AL78" s="31">
        <v>0</v>
      </c>
      <c r="AM78" s="56">
        <v>218000</v>
      </c>
      <c r="AN78" s="31">
        <v>218000</v>
      </c>
      <c r="AO78" s="31" t="s">
        <v>1583</v>
      </c>
      <c r="AP78" s="23" t="s">
        <v>187</v>
      </c>
      <c r="AQ78" s="23" t="s">
        <v>1284</v>
      </c>
    </row>
    <row r="79" spans="1:43">
      <c r="A79" s="36">
        <v>76</v>
      </c>
      <c r="B79" s="36">
        <v>103</v>
      </c>
      <c r="C79" s="570" t="str">
        <f t="shared" si="11"/>
        <v>カーサ目白台ハウス</v>
      </c>
      <c r="D79" s="45" t="s">
        <v>1697</v>
      </c>
      <c r="E79" s="46">
        <v>50.76</v>
      </c>
      <c r="F79" s="324">
        <v>631</v>
      </c>
      <c r="G79" s="566" t="str">
        <f t="shared" si="12"/>
        <v>住居</v>
      </c>
      <c r="H79" s="44" t="s">
        <v>1669</v>
      </c>
      <c r="I79" s="325">
        <v>188000</v>
      </c>
      <c r="J79" s="325">
        <v>10000</v>
      </c>
      <c r="K79" s="325">
        <v>0</v>
      </c>
      <c r="L79" s="325">
        <v>0</v>
      </c>
      <c r="M79" s="565">
        <f t="shared" si="19"/>
        <v>198000</v>
      </c>
      <c r="N79" s="326">
        <v>198000</v>
      </c>
      <c r="O79" s="326">
        <v>0</v>
      </c>
      <c r="P79" s="565">
        <f t="shared" si="13"/>
        <v>198000</v>
      </c>
      <c r="Q79" s="565">
        <f t="shared" si="20"/>
        <v>198000</v>
      </c>
      <c r="R79" s="325" t="s">
        <v>1568</v>
      </c>
      <c r="S79" s="325" t="s">
        <v>187</v>
      </c>
      <c r="T79" s="327" t="s">
        <v>1284</v>
      </c>
      <c r="V79" s="43" t="s">
        <v>1698</v>
      </c>
      <c r="W79" s="221">
        <v>180000</v>
      </c>
      <c r="Y79" s="6">
        <f t="shared" si="14"/>
        <v>1</v>
      </c>
      <c r="Z79" s="562">
        <f t="shared" si="15"/>
        <v>198000</v>
      </c>
      <c r="AA79" s="122">
        <f t="shared" si="16"/>
        <v>0</v>
      </c>
      <c r="AB79" s="122">
        <f t="shared" si="17"/>
        <v>18000</v>
      </c>
      <c r="AC79" s="6">
        <f t="shared" si="18"/>
        <v>1</v>
      </c>
      <c r="AD79" s="563">
        <f t="shared" si="21"/>
        <v>1</v>
      </c>
      <c r="AE79" s="64"/>
      <c r="AF79" s="31">
        <v>188000</v>
      </c>
      <c r="AG79" s="31">
        <v>10000</v>
      </c>
      <c r="AH79" s="31">
        <v>0</v>
      </c>
      <c r="AI79" s="31">
        <v>0</v>
      </c>
      <c r="AJ79" s="31">
        <v>198000</v>
      </c>
      <c r="AK79" s="31">
        <v>198000</v>
      </c>
      <c r="AL79" s="31">
        <v>0</v>
      </c>
      <c r="AM79" s="56">
        <v>198000</v>
      </c>
      <c r="AN79" s="31">
        <v>198000</v>
      </c>
      <c r="AO79" s="31" t="s">
        <v>1568</v>
      </c>
      <c r="AP79" s="23" t="s">
        <v>187</v>
      </c>
      <c r="AQ79" s="23" t="s">
        <v>1284</v>
      </c>
    </row>
    <row r="80" spans="1:43">
      <c r="A80" s="36">
        <v>77</v>
      </c>
      <c r="B80" s="36">
        <v>103</v>
      </c>
      <c r="C80" s="570" t="str">
        <f t="shared" si="11"/>
        <v>カーサ目白台ハウス</v>
      </c>
      <c r="D80" s="45" t="s">
        <v>1699</v>
      </c>
      <c r="E80" s="46">
        <v>96.95</v>
      </c>
      <c r="F80" s="324">
        <v>631</v>
      </c>
      <c r="G80" s="566" t="str">
        <f t="shared" si="12"/>
        <v>住居</v>
      </c>
      <c r="H80" s="44" t="s">
        <v>1688</v>
      </c>
      <c r="I80" s="325">
        <v>305800</v>
      </c>
      <c r="J80" s="325">
        <v>0</v>
      </c>
      <c r="K80" s="325">
        <v>0</v>
      </c>
      <c r="L80" s="325">
        <v>0</v>
      </c>
      <c r="M80" s="565">
        <f t="shared" si="19"/>
        <v>305800</v>
      </c>
      <c r="N80" s="326">
        <v>305800</v>
      </c>
      <c r="O80" s="326">
        <v>0</v>
      </c>
      <c r="P80" s="565">
        <f t="shared" si="13"/>
        <v>305800</v>
      </c>
      <c r="Q80" s="565">
        <f t="shared" si="20"/>
        <v>305800</v>
      </c>
      <c r="R80" s="325" t="s">
        <v>1583</v>
      </c>
      <c r="S80" s="325" t="s">
        <v>187</v>
      </c>
      <c r="T80" s="327" t="s">
        <v>1284</v>
      </c>
      <c r="V80" s="43" t="s">
        <v>1700</v>
      </c>
      <c r="W80" s="221">
        <v>270000</v>
      </c>
      <c r="Y80" s="6">
        <f t="shared" si="14"/>
        <v>1</v>
      </c>
      <c r="Z80" s="562">
        <f t="shared" si="15"/>
        <v>305800</v>
      </c>
      <c r="AA80" s="122">
        <f t="shared" si="16"/>
        <v>0</v>
      </c>
      <c r="AB80" s="122">
        <f t="shared" si="17"/>
        <v>35800</v>
      </c>
      <c r="AC80" s="6">
        <f t="shared" si="18"/>
        <v>1</v>
      </c>
      <c r="AD80" s="563">
        <f t="shared" si="21"/>
        <v>1</v>
      </c>
      <c r="AE80" s="64"/>
      <c r="AF80" s="31">
        <v>305800</v>
      </c>
      <c r="AG80" s="31">
        <v>0</v>
      </c>
      <c r="AH80" s="31">
        <v>0</v>
      </c>
      <c r="AI80" s="31">
        <v>0</v>
      </c>
      <c r="AJ80" s="31">
        <v>305800</v>
      </c>
      <c r="AK80" s="31">
        <v>305800</v>
      </c>
      <c r="AL80" s="31">
        <v>0</v>
      </c>
      <c r="AM80" s="56">
        <v>305800</v>
      </c>
      <c r="AN80" s="31">
        <v>305800</v>
      </c>
      <c r="AO80" s="31" t="s">
        <v>1583</v>
      </c>
      <c r="AP80" s="23" t="s">
        <v>187</v>
      </c>
      <c r="AQ80" s="23" t="s">
        <v>1284</v>
      </c>
    </row>
    <row r="81" spans="1:43">
      <c r="A81" s="36">
        <v>78</v>
      </c>
      <c r="B81" s="36">
        <v>103</v>
      </c>
      <c r="C81" s="570" t="str">
        <f t="shared" si="11"/>
        <v>カーサ目白台ハウス</v>
      </c>
      <c r="D81" s="45" t="s">
        <v>1676</v>
      </c>
      <c r="E81" s="46">
        <v>0</v>
      </c>
      <c r="F81" s="324">
        <v>634</v>
      </c>
      <c r="G81" s="566" t="str">
        <f t="shared" si="12"/>
        <v>駐車場</v>
      </c>
      <c r="H81" s="44" t="s">
        <v>1674</v>
      </c>
      <c r="I81" s="325">
        <v>40000</v>
      </c>
      <c r="J81" s="325">
        <v>0</v>
      </c>
      <c r="K81" s="325">
        <v>0</v>
      </c>
      <c r="L81" s="325">
        <v>4000</v>
      </c>
      <c r="M81" s="565">
        <f t="shared" si="19"/>
        <v>44000</v>
      </c>
      <c r="N81" s="546">
        <v>40000</v>
      </c>
      <c r="O81" s="326">
        <v>4000</v>
      </c>
      <c r="P81" s="565">
        <f t="shared" si="13"/>
        <v>44000</v>
      </c>
      <c r="Q81" s="565">
        <f t="shared" si="20"/>
        <v>44000</v>
      </c>
      <c r="R81" s="325" t="s">
        <v>1575</v>
      </c>
      <c r="S81" s="325" t="s">
        <v>187</v>
      </c>
      <c r="T81" s="327" t="s">
        <v>1284</v>
      </c>
      <c r="V81" s="43" t="s">
        <v>1701</v>
      </c>
      <c r="W81" s="221">
        <v>40000</v>
      </c>
      <c r="Y81" s="6">
        <f t="shared" si="14"/>
        <v>1</v>
      </c>
      <c r="Z81" s="562">
        <f t="shared" si="15"/>
        <v>40000</v>
      </c>
      <c r="AA81" s="122">
        <f t="shared" si="16"/>
        <v>0</v>
      </c>
      <c r="AB81" s="122">
        <f t="shared" si="17"/>
        <v>0</v>
      </c>
      <c r="AC81" s="6">
        <f t="shared" si="18"/>
        <v>1</v>
      </c>
      <c r="AD81" s="563">
        <f t="shared" si="21"/>
        <v>1</v>
      </c>
      <c r="AE81" s="64"/>
      <c r="AF81" s="31">
        <v>40000</v>
      </c>
      <c r="AG81" s="31">
        <v>0</v>
      </c>
      <c r="AH81" s="31">
        <v>0</v>
      </c>
      <c r="AI81" s="31">
        <v>4000</v>
      </c>
      <c r="AJ81" s="31">
        <v>44000</v>
      </c>
      <c r="AK81" s="31">
        <v>40000</v>
      </c>
      <c r="AL81" s="31">
        <v>4000</v>
      </c>
      <c r="AM81" s="56">
        <v>44000</v>
      </c>
      <c r="AN81" s="31">
        <v>44000</v>
      </c>
      <c r="AO81" s="31" t="s">
        <v>1575</v>
      </c>
      <c r="AP81" s="23" t="s">
        <v>187</v>
      </c>
      <c r="AQ81" s="23" t="s">
        <v>1284</v>
      </c>
    </row>
    <row r="82" spans="1:43">
      <c r="A82" s="36">
        <v>79</v>
      </c>
      <c r="B82" s="36">
        <v>103</v>
      </c>
      <c r="C82" s="570" t="str">
        <f t="shared" si="11"/>
        <v>カーサ目白台ハウス</v>
      </c>
      <c r="D82" s="45" t="s">
        <v>1702</v>
      </c>
      <c r="E82" s="46">
        <v>0</v>
      </c>
      <c r="F82" s="324">
        <v>634</v>
      </c>
      <c r="G82" s="566" t="str">
        <f t="shared" si="12"/>
        <v>駐車場</v>
      </c>
      <c r="H82" s="44" t="s">
        <v>1674</v>
      </c>
      <c r="I82" s="325">
        <v>35000</v>
      </c>
      <c r="J82" s="325">
        <v>0</v>
      </c>
      <c r="K82" s="325">
        <v>0</v>
      </c>
      <c r="L82" s="325">
        <v>3500</v>
      </c>
      <c r="M82" s="565">
        <f t="shared" si="19"/>
        <v>38500</v>
      </c>
      <c r="N82" s="546">
        <v>40000</v>
      </c>
      <c r="O82" s="326">
        <v>4000</v>
      </c>
      <c r="P82" s="565">
        <f t="shared" si="13"/>
        <v>44000</v>
      </c>
      <c r="Q82" s="565">
        <f t="shared" si="20"/>
        <v>38500</v>
      </c>
      <c r="R82" s="325" t="s">
        <v>1575</v>
      </c>
      <c r="S82" s="325" t="s">
        <v>187</v>
      </c>
      <c r="T82" s="327" t="s">
        <v>1284</v>
      </c>
      <c r="V82" s="43" t="s">
        <v>1703</v>
      </c>
      <c r="W82" s="221">
        <v>40000</v>
      </c>
      <c r="Y82" s="6">
        <f t="shared" si="14"/>
        <v>1</v>
      </c>
      <c r="Z82" s="562">
        <f t="shared" si="15"/>
        <v>35000</v>
      </c>
      <c r="AA82" s="122">
        <f t="shared" si="16"/>
        <v>5000</v>
      </c>
      <c r="AB82" s="122">
        <f t="shared" si="17"/>
        <v>-5000</v>
      </c>
      <c r="AC82" s="6">
        <f t="shared" si="18"/>
        <v>1</v>
      </c>
      <c r="AD82" s="563">
        <f t="shared" si="21"/>
        <v>1</v>
      </c>
      <c r="AE82" s="64"/>
      <c r="AF82" s="31">
        <v>35000</v>
      </c>
      <c r="AG82" s="31">
        <v>0</v>
      </c>
      <c r="AH82" s="31">
        <v>0</v>
      </c>
      <c r="AI82" s="31">
        <v>3500</v>
      </c>
      <c r="AJ82" s="31">
        <v>38500</v>
      </c>
      <c r="AK82" s="31">
        <v>40000</v>
      </c>
      <c r="AL82" s="31">
        <v>4000</v>
      </c>
      <c r="AM82" s="56">
        <v>44000</v>
      </c>
      <c r="AN82" s="31">
        <v>38500</v>
      </c>
      <c r="AO82" s="31" t="s">
        <v>1575</v>
      </c>
      <c r="AP82" s="23" t="s">
        <v>187</v>
      </c>
      <c r="AQ82" s="23" t="s">
        <v>1284</v>
      </c>
    </row>
    <row r="83" spans="1:43">
      <c r="A83" s="36">
        <v>80</v>
      </c>
      <c r="B83" s="36">
        <v>103</v>
      </c>
      <c r="C83" s="570" t="str">
        <f t="shared" si="11"/>
        <v>カーサ目白台ハウス</v>
      </c>
      <c r="D83" s="45" t="s">
        <v>1704</v>
      </c>
      <c r="E83" s="46">
        <v>0</v>
      </c>
      <c r="F83" s="324">
        <v>634</v>
      </c>
      <c r="G83" s="566" t="str">
        <f t="shared" si="12"/>
        <v>駐車場</v>
      </c>
      <c r="H83" s="44" t="s">
        <v>1674</v>
      </c>
      <c r="I83" s="325">
        <v>40000</v>
      </c>
      <c r="J83" s="325">
        <v>0</v>
      </c>
      <c r="K83" s="325">
        <v>0</v>
      </c>
      <c r="L83" s="325">
        <v>4000</v>
      </c>
      <c r="M83" s="565">
        <f t="shared" si="19"/>
        <v>44000</v>
      </c>
      <c r="N83" s="546">
        <v>40000</v>
      </c>
      <c r="O83" s="326">
        <v>4000</v>
      </c>
      <c r="P83" s="565">
        <f t="shared" si="13"/>
        <v>44000</v>
      </c>
      <c r="Q83" s="565">
        <f t="shared" si="20"/>
        <v>44000</v>
      </c>
      <c r="R83" s="325" t="s">
        <v>1568</v>
      </c>
      <c r="S83" s="325" t="s">
        <v>187</v>
      </c>
      <c r="T83" s="327" t="s">
        <v>1284</v>
      </c>
      <c r="V83" s="43" t="s">
        <v>1705</v>
      </c>
      <c r="W83" s="221">
        <v>40000</v>
      </c>
      <c r="Y83" s="6">
        <f t="shared" si="14"/>
        <v>1</v>
      </c>
      <c r="Z83" s="562">
        <f t="shared" si="15"/>
        <v>40000</v>
      </c>
      <c r="AA83" s="122">
        <f t="shared" si="16"/>
        <v>0</v>
      </c>
      <c r="AB83" s="122">
        <f t="shared" si="17"/>
        <v>0</v>
      </c>
      <c r="AC83" s="6">
        <f t="shared" si="18"/>
        <v>1</v>
      </c>
      <c r="AD83" s="563">
        <f t="shared" si="21"/>
        <v>1</v>
      </c>
      <c r="AE83" s="64"/>
      <c r="AF83" s="31">
        <v>40000</v>
      </c>
      <c r="AG83" s="31">
        <v>0</v>
      </c>
      <c r="AH83" s="31">
        <v>0</v>
      </c>
      <c r="AI83" s="31">
        <v>4000</v>
      </c>
      <c r="AJ83" s="31">
        <v>44000</v>
      </c>
      <c r="AK83" s="31">
        <v>40000</v>
      </c>
      <c r="AL83" s="31">
        <v>4000</v>
      </c>
      <c r="AM83" s="56">
        <v>44000</v>
      </c>
      <c r="AN83" s="31">
        <v>44000</v>
      </c>
      <c r="AO83" s="31" t="s">
        <v>1568</v>
      </c>
      <c r="AP83" s="23" t="s">
        <v>187</v>
      </c>
      <c r="AQ83" s="23" t="s">
        <v>1284</v>
      </c>
    </row>
    <row r="84" spans="1:43">
      <c r="A84" s="37">
        <v>81</v>
      </c>
      <c r="B84" s="38">
        <v>104</v>
      </c>
      <c r="C84" s="571" t="str">
        <f t="shared" si="11"/>
        <v>コアプラス池袋</v>
      </c>
      <c r="D84" s="48" t="s">
        <v>1566</v>
      </c>
      <c r="E84" s="49">
        <v>39.6</v>
      </c>
      <c r="F84" s="324">
        <v>633</v>
      </c>
      <c r="G84" s="566" t="str">
        <f t="shared" si="12"/>
        <v>店舗</v>
      </c>
      <c r="H84" s="47" t="s">
        <v>1706</v>
      </c>
      <c r="I84" s="325">
        <v>154000</v>
      </c>
      <c r="J84" s="325">
        <v>0</v>
      </c>
      <c r="K84" s="325">
        <v>0</v>
      </c>
      <c r="L84" s="325">
        <v>15400</v>
      </c>
      <c r="M84" s="565">
        <f t="shared" si="19"/>
        <v>169400</v>
      </c>
      <c r="N84" s="326">
        <v>154000</v>
      </c>
      <c r="O84" s="326">
        <v>15400</v>
      </c>
      <c r="P84" s="565">
        <f t="shared" si="13"/>
        <v>169400</v>
      </c>
      <c r="Q84" s="565">
        <f t="shared" si="20"/>
        <v>169400</v>
      </c>
      <c r="R84" s="325" t="s">
        <v>1568</v>
      </c>
      <c r="S84" s="325" t="s">
        <v>187</v>
      </c>
      <c r="T84" s="327" t="s">
        <v>1284</v>
      </c>
      <c r="V84" s="43" t="s">
        <v>1707</v>
      </c>
      <c r="W84" s="221">
        <v>145000</v>
      </c>
      <c r="Y84" s="6">
        <f t="shared" si="14"/>
        <v>1</v>
      </c>
      <c r="Z84" s="562">
        <f t="shared" si="15"/>
        <v>154000</v>
      </c>
      <c r="AA84" s="122">
        <f t="shared" si="16"/>
        <v>0</v>
      </c>
      <c r="AB84" s="122">
        <f t="shared" si="17"/>
        <v>9000</v>
      </c>
      <c r="AC84" s="6">
        <f t="shared" si="18"/>
        <v>1</v>
      </c>
      <c r="AD84" s="563">
        <f t="shared" si="21"/>
        <v>1</v>
      </c>
      <c r="AE84" s="64"/>
      <c r="AF84" s="31">
        <v>154000</v>
      </c>
      <c r="AG84" s="31">
        <v>0</v>
      </c>
      <c r="AH84" s="31">
        <v>0</v>
      </c>
      <c r="AI84" s="31">
        <v>15400</v>
      </c>
      <c r="AJ84" s="31">
        <v>169400</v>
      </c>
      <c r="AK84" s="31">
        <v>154000</v>
      </c>
      <c r="AL84" s="31">
        <v>15400</v>
      </c>
      <c r="AM84" s="58">
        <v>169400</v>
      </c>
      <c r="AN84" s="59">
        <v>169400</v>
      </c>
      <c r="AO84" s="59" t="s">
        <v>1568</v>
      </c>
      <c r="AP84" s="23" t="s">
        <v>187</v>
      </c>
      <c r="AQ84" s="23" t="s">
        <v>1284</v>
      </c>
    </row>
    <row r="85" spans="1:43">
      <c r="A85" s="37">
        <v>82</v>
      </c>
      <c r="B85" s="38">
        <v>104</v>
      </c>
      <c r="C85" s="571" t="str">
        <f t="shared" si="11"/>
        <v>コアプラス池袋</v>
      </c>
      <c r="D85" s="48" t="s">
        <v>1570</v>
      </c>
      <c r="E85" s="49">
        <v>31.92</v>
      </c>
      <c r="F85" s="324">
        <v>632</v>
      </c>
      <c r="G85" s="566" t="str">
        <f t="shared" si="12"/>
        <v>事務所</v>
      </c>
      <c r="H85" s="47" t="s">
        <v>1616</v>
      </c>
      <c r="I85" s="325">
        <v>120000</v>
      </c>
      <c r="J85" s="325">
        <v>0</v>
      </c>
      <c r="K85" s="325">
        <v>0</v>
      </c>
      <c r="L85" s="325">
        <v>12000</v>
      </c>
      <c r="M85" s="565">
        <f t="shared" si="19"/>
        <v>132000</v>
      </c>
      <c r="N85" s="326">
        <v>120000</v>
      </c>
      <c r="O85" s="326">
        <v>12000</v>
      </c>
      <c r="P85" s="565">
        <f t="shared" si="13"/>
        <v>132000</v>
      </c>
      <c r="Q85" s="565">
        <f t="shared" si="20"/>
        <v>132000</v>
      </c>
      <c r="R85" s="325" t="s">
        <v>1583</v>
      </c>
      <c r="S85" s="325" t="s">
        <v>187</v>
      </c>
      <c r="T85" s="327" t="s">
        <v>1284</v>
      </c>
      <c r="V85" s="43" t="s">
        <v>1708</v>
      </c>
      <c r="W85" s="221">
        <v>80000</v>
      </c>
      <c r="Y85" s="6">
        <f t="shared" si="14"/>
        <v>1</v>
      </c>
      <c r="Z85" s="562">
        <f t="shared" si="15"/>
        <v>120000</v>
      </c>
      <c r="AA85" s="122">
        <f t="shared" si="16"/>
        <v>0</v>
      </c>
      <c r="AB85" s="122">
        <f t="shared" si="17"/>
        <v>40000</v>
      </c>
      <c r="AC85" s="6">
        <f t="shared" si="18"/>
        <v>1</v>
      </c>
      <c r="AD85" s="563">
        <f t="shared" si="21"/>
        <v>1</v>
      </c>
      <c r="AE85" s="64"/>
      <c r="AF85" s="31">
        <v>120000</v>
      </c>
      <c r="AG85" s="31">
        <v>0</v>
      </c>
      <c r="AH85" s="31">
        <v>0</v>
      </c>
      <c r="AI85" s="31">
        <v>12000</v>
      </c>
      <c r="AJ85" s="31">
        <v>132000</v>
      </c>
      <c r="AK85" s="31">
        <v>120000</v>
      </c>
      <c r="AL85" s="31">
        <v>12000</v>
      </c>
      <c r="AM85" s="58">
        <v>132000</v>
      </c>
      <c r="AN85" s="59">
        <v>132000</v>
      </c>
      <c r="AO85" s="59" t="s">
        <v>1583</v>
      </c>
      <c r="AP85" s="23" t="s">
        <v>187</v>
      </c>
      <c r="AQ85" s="23" t="s">
        <v>1284</v>
      </c>
    </row>
    <row r="86" spans="1:43">
      <c r="A86" s="37">
        <v>83</v>
      </c>
      <c r="B86" s="38">
        <v>104</v>
      </c>
      <c r="C86" s="571" t="str">
        <f t="shared" si="11"/>
        <v>コアプラス池袋</v>
      </c>
      <c r="D86" s="48" t="s">
        <v>1580</v>
      </c>
      <c r="E86" s="49">
        <v>19.8</v>
      </c>
      <c r="F86" s="324">
        <v>631</v>
      </c>
      <c r="G86" s="566" t="str">
        <f t="shared" si="12"/>
        <v>住居</v>
      </c>
      <c r="H86" s="47" t="s">
        <v>1709</v>
      </c>
      <c r="I86" s="325">
        <v>70000</v>
      </c>
      <c r="J86" s="325">
        <v>0</v>
      </c>
      <c r="K86" s="325">
        <v>0</v>
      </c>
      <c r="L86" s="325">
        <v>7000</v>
      </c>
      <c r="M86" s="565">
        <f t="shared" si="19"/>
        <v>77000</v>
      </c>
      <c r="N86" s="326">
        <v>77000</v>
      </c>
      <c r="O86" s="326">
        <v>0</v>
      </c>
      <c r="P86" s="565">
        <f t="shared" si="13"/>
        <v>77000</v>
      </c>
      <c r="Q86" s="565">
        <f t="shared" si="20"/>
        <v>77000</v>
      </c>
      <c r="R86" s="325" t="s">
        <v>1583</v>
      </c>
      <c r="S86" s="325" t="s">
        <v>187</v>
      </c>
      <c r="T86" s="327" t="s">
        <v>1284</v>
      </c>
      <c r="V86" s="43" t="s">
        <v>1710</v>
      </c>
      <c r="W86" s="221">
        <v>65000</v>
      </c>
      <c r="Y86" s="6">
        <f t="shared" si="14"/>
        <v>1</v>
      </c>
      <c r="Z86" s="562">
        <f t="shared" si="15"/>
        <v>70000</v>
      </c>
      <c r="AA86" s="122">
        <f t="shared" si="16"/>
        <v>7000</v>
      </c>
      <c r="AB86" s="122">
        <f t="shared" si="17"/>
        <v>5000</v>
      </c>
      <c r="AC86" s="6">
        <f t="shared" si="18"/>
        <v>1</v>
      </c>
      <c r="AD86" s="563">
        <f t="shared" si="21"/>
        <v>1</v>
      </c>
      <c r="AE86" s="64"/>
      <c r="AF86" s="31">
        <v>70000</v>
      </c>
      <c r="AG86" s="31">
        <v>0</v>
      </c>
      <c r="AH86" s="31">
        <v>0</v>
      </c>
      <c r="AI86" s="31">
        <v>7000</v>
      </c>
      <c r="AJ86" s="31">
        <v>77000</v>
      </c>
      <c r="AK86" s="31">
        <v>77000</v>
      </c>
      <c r="AL86" s="31">
        <v>0</v>
      </c>
      <c r="AM86" s="56">
        <v>77000</v>
      </c>
      <c r="AN86" s="59">
        <v>77000</v>
      </c>
      <c r="AO86" s="59" t="s">
        <v>1583</v>
      </c>
      <c r="AP86" s="23" t="s">
        <v>187</v>
      </c>
      <c r="AQ86" s="23" t="s">
        <v>1284</v>
      </c>
    </row>
    <row r="87" spans="1:43">
      <c r="A87" s="37">
        <v>84</v>
      </c>
      <c r="B87" s="38">
        <v>104</v>
      </c>
      <c r="C87" s="571" t="str">
        <f t="shared" si="11"/>
        <v>コアプラス池袋</v>
      </c>
      <c r="D87" s="48" t="s">
        <v>1582</v>
      </c>
      <c r="E87" s="49">
        <v>19.8</v>
      </c>
      <c r="F87" s="324">
        <v>631</v>
      </c>
      <c r="G87" s="566" t="str">
        <f t="shared" si="12"/>
        <v>住居</v>
      </c>
      <c r="H87" s="47" t="s">
        <v>1709</v>
      </c>
      <c r="I87" s="325">
        <v>73000</v>
      </c>
      <c r="J87" s="325">
        <v>0</v>
      </c>
      <c r="K87" s="325">
        <v>0</v>
      </c>
      <c r="L87" s="325">
        <v>0</v>
      </c>
      <c r="M87" s="565">
        <f t="shared" si="19"/>
        <v>73000</v>
      </c>
      <c r="N87" s="326">
        <v>73000</v>
      </c>
      <c r="O87" s="326">
        <v>0</v>
      </c>
      <c r="P87" s="565">
        <f t="shared" si="13"/>
        <v>73000</v>
      </c>
      <c r="Q87" s="565">
        <f t="shared" si="20"/>
        <v>73000</v>
      </c>
      <c r="R87" s="325" t="s">
        <v>1568</v>
      </c>
      <c r="S87" s="325" t="s">
        <v>187</v>
      </c>
      <c r="T87" s="327" t="s">
        <v>1284</v>
      </c>
      <c r="V87" s="43" t="s">
        <v>1711</v>
      </c>
      <c r="W87" s="221">
        <v>63000</v>
      </c>
      <c r="Y87" s="6">
        <f t="shared" si="14"/>
        <v>1</v>
      </c>
      <c r="Z87" s="562">
        <f t="shared" si="15"/>
        <v>73000</v>
      </c>
      <c r="AA87" s="122">
        <f t="shared" si="16"/>
        <v>0</v>
      </c>
      <c r="AB87" s="122">
        <f t="shared" si="17"/>
        <v>10000</v>
      </c>
      <c r="AC87" s="6">
        <f t="shared" si="18"/>
        <v>1</v>
      </c>
      <c r="AD87" s="563">
        <f t="shared" si="21"/>
        <v>1</v>
      </c>
      <c r="AE87" s="64"/>
      <c r="AF87" s="31">
        <v>73000</v>
      </c>
      <c r="AG87" s="31">
        <v>0</v>
      </c>
      <c r="AH87" s="31">
        <v>0</v>
      </c>
      <c r="AI87" s="31">
        <v>0</v>
      </c>
      <c r="AJ87" s="31">
        <v>73000</v>
      </c>
      <c r="AK87" s="31">
        <v>73000</v>
      </c>
      <c r="AL87" s="31">
        <v>0</v>
      </c>
      <c r="AM87" s="58">
        <v>73000</v>
      </c>
      <c r="AN87" s="59">
        <v>73000</v>
      </c>
      <c r="AO87" s="59" t="s">
        <v>1568</v>
      </c>
      <c r="AP87" s="23" t="s">
        <v>187</v>
      </c>
      <c r="AQ87" s="23" t="s">
        <v>1284</v>
      </c>
    </row>
    <row r="88" spans="1:43">
      <c r="A88" s="37">
        <v>85</v>
      </c>
      <c r="B88" s="38">
        <v>104</v>
      </c>
      <c r="C88" s="571" t="str">
        <f t="shared" si="11"/>
        <v>コアプラス池袋</v>
      </c>
      <c r="D88" s="48" t="s">
        <v>1585</v>
      </c>
      <c r="E88" s="49">
        <v>19.8</v>
      </c>
      <c r="F88" s="324">
        <v>631</v>
      </c>
      <c r="G88" s="566" t="str">
        <f t="shared" si="12"/>
        <v>住居</v>
      </c>
      <c r="H88" s="47" t="s">
        <v>1709</v>
      </c>
      <c r="I88" s="325">
        <v>75000</v>
      </c>
      <c r="J88" s="325">
        <v>0</v>
      </c>
      <c r="K88" s="325">
        <v>0</v>
      </c>
      <c r="L88" s="325">
        <v>0</v>
      </c>
      <c r="M88" s="565">
        <f t="shared" si="19"/>
        <v>75000</v>
      </c>
      <c r="N88" s="326">
        <v>75000</v>
      </c>
      <c r="O88" s="326">
        <v>0</v>
      </c>
      <c r="P88" s="565">
        <f t="shared" si="13"/>
        <v>75000</v>
      </c>
      <c r="Q88" s="565">
        <f t="shared" si="20"/>
        <v>75000</v>
      </c>
      <c r="R88" s="325" t="s">
        <v>1568</v>
      </c>
      <c r="S88" s="325" t="s">
        <v>187</v>
      </c>
      <c r="T88" s="327" t="s">
        <v>1284</v>
      </c>
      <c r="V88" s="43" t="s">
        <v>1712</v>
      </c>
      <c r="W88" s="221">
        <v>70000</v>
      </c>
      <c r="Y88" s="6">
        <f t="shared" si="14"/>
        <v>1</v>
      </c>
      <c r="Z88" s="562">
        <f t="shared" si="15"/>
        <v>75000</v>
      </c>
      <c r="AA88" s="122">
        <f t="shared" si="16"/>
        <v>0</v>
      </c>
      <c r="AB88" s="122">
        <f t="shared" si="17"/>
        <v>5000</v>
      </c>
      <c r="AC88" s="6">
        <f t="shared" si="18"/>
        <v>1</v>
      </c>
      <c r="AD88" s="563">
        <f t="shared" si="21"/>
        <v>1</v>
      </c>
      <c r="AE88" s="64"/>
      <c r="AF88" s="31">
        <v>75000</v>
      </c>
      <c r="AG88" s="31">
        <v>0</v>
      </c>
      <c r="AH88" s="31">
        <v>0</v>
      </c>
      <c r="AI88" s="31">
        <v>0</v>
      </c>
      <c r="AJ88" s="31">
        <v>75000</v>
      </c>
      <c r="AK88" s="31">
        <v>75000</v>
      </c>
      <c r="AL88" s="31">
        <v>0</v>
      </c>
      <c r="AM88" s="58">
        <v>75000</v>
      </c>
      <c r="AN88" s="59">
        <v>75000</v>
      </c>
      <c r="AO88" s="59" t="s">
        <v>1568</v>
      </c>
      <c r="AP88" s="23" t="s">
        <v>187</v>
      </c>
      <c r="AQ88" s="23" t="s">
        <v>1284</v>
      </c>
    </row>
    <row r="89" spans="1:43">
      <c r="A89" s="37">
        <v>86</v>
      </c>
      <c r="B89" s="38">
        <v>104</v>
      </c>
      <c r="C89" s="571" t="str">
        <f t="shared" si="11"/>
        <v>コアプラス池袋</v>
      </c>
      <c r="D89" s="48" t="s">
        <v>1589</v>
      </c>
      <c r="E89" s="49">
        <v>16.8</v>
      </c>
      <c r="F89" s="324">
        <v>631</v>
      </c>
      <c r="G89" s="566" t="str">
        <f t="shared" si="12"/>
        <v>住居</v>
      </c>
      <c r="H89" s="47" t="s">
        <v>1709</v>
      </c>
      <c r="I89" s="325">
        <v>70000</v>
      </c>
      <c r="J89" s="325">
        <v>0</v>
      </c>
      <c r="K89" s="325">
        <v>0</v>
      </c>
      <c r="L89" s="325">
        <v>0</v>
      </c>
      <c r="M89" s="565">
        <f t="shared" si="19"/>
        <v>70000</v>
      </c>
      <c r="N89" s="326">
        <v>70000</v>
      </c>
      <c r="O89" s="326">
        <v>0</v>
      </c>
      <c r="P89" s="565">
        <f t="shared" si="13"/>
        <v>70000</v>
      </c>
      <c r="Q89" s="565">
        <f t="shared" si="20"/>
        <v>70000</v>
      </c>
      <c r="R89" s="325" t="s">
        <v>1583</v>
      </c>
      <c r="S89" s="325" t="s">
        <v>187</v>
      </c>
      <c r="T89" s="327" t="s">
        <v>1284</v>
      </c>
      <c r="V89" s="43" t="s">
        <v>1713</v>
      </c>
      <c r="W89" s="221">
        <v>62000</v>
      </c>
      <c r="Y89" s="6">
        <f t="shared" si="14"/>
        <v>1</v>
      </c>
      <c r="Z89" s="562">
        <f t="shared" si="15"/>
        <v>70000</v>
      </c>
      <c r="AA89" s="122">
        <f t="shared" si="16"/>
        <v>0</v>
      </c>
      <c r="AB89" s="122">
        <f t="shared" si="17"/>
        <v>8000</v>
      </c>
      <c r="AC89" s="6">
        <f t="shared" si="18"/>
        <v>1</v>
      </c>
      <c r="AD89" s="563">
        <f t="shared" si="21"/>
        <v>1</v>
      </c>
      <c r="AE89" s="64"/>
      <c r="AF89" s="31">
        <v>70000</v>
      </c>
      <c r="AG89" s="31">
        <v>0</v>
      </c>
      <c r="AH89" s="31">
        <v>0</v>
      </c>
      <c r="AI89" s="31">
        <v>0</v>
      </c>
      <c r="AJ89" s="31">
        <v>70000</v>
      </c>
      <c r="AK89" s="31">
        <v>70000</v>
      </c>
      <c r="AL89" s="31">
        <v>0</v>
      </c>
      <c r="AM89" s="56">
        <v>70000</v>
      </c>
      <c r="AN89" s="59">
        <v>70000</v>
      </c>
      <c r="AO89" s="59" t="s">
        <v>1583</v>
      </c>
      <c r="AP89" s="23" t="s">
        <v>187</v>
      </c>
      <c r="AQ89" s="23" t="s">
        <v>1284</v>
      </c>
    </row>
    <row r="90" spans="1:43">
      <c r="A90" s="37">
        <v>87</v>
      </c>
      <c r="B90" s="38">
        <v>104</v>
      </c>
      <c r="C90" s="571" t="str">
        <f t="shared" si="11"/>
        <v>コアプラス池袋</v>
      </c>
      <c r="D90" s="48" t="s">
        <v>1591</v>
      </c>
      <c r="E90" s="49">
        <v>16.8</v>
      </c>
      <c r="F90" s="324">
        <v>631</v>
      </c>
      <c r="G90" s="566" t="str">
        <f t="shared" si="12"/>
        <v>住居</v>
      </c>
      <c r="H90" s="47" t="s">
        <v>1709</v>
      </c>
      <c r="I90" s="325">
        <v>0</v>
      </c>
      <c r="J90" s="325">
        <v>0</v>
      </c>
      <c r="K90" s="325">
        <v>0</v>
      </c>
      <c r="L90" s="325">
        <v>0</v>
      </c>
      <c r="M90" s="565">
        <f t="shared" si="19"/>
        <v>0</v>
      </c>
      <c r="N90" s="326">
        <v>88000</v>
      </c>
      <c r="O90" s="326">
        <v>0</v>
      </c>
      <c r="P90" s="565">
        <f t="shared" si="13"/>
        <v>88000</v>
      </c>
      <c r="Q90" s="565">
        <f t="shared" si="20"/>
        <v>88000</v>
      </c>
      <c r="R90" s="325" t="s">
        <v>1017</v>
      </c>
      <c r="S90" s="325" t="s">
        <v>187</v>
      </c>
      <c r="T90" s="327" t="s">
        <v>1714</v>
      </c>
      <c r="V90" s="43" t="s">
        <v>1715</v>
      </c>
      <c r="W90" s="221">
        <v>63000</v>
      </c>
      <c r="Y90" s="6">
        <f t="shared" si="14"/>
        <v>0</v>
      </c>
      <c r="Z90" s="562">
        <f t="shared" si="15"/>
        <v>88000</v>
      </c>
      <c r="AA90" s="122">
        <f t="shared" si="16"/>
        <v>0</v>
      </c>
      <c r="AB90" s="122">
        <f t="shared" si="17"/>
        <v>25000</v>
      </c>
      <c r="AC90" s="6">
        <f t="shared" si="18"/>
        <v>1</v>
      </c>
      <c r="AD90" s="563">
        <f t="shared" si="21"/>
        <v>1</v>
      </c>
      <c r="AE90" s="64"/>
      <c r="AF90" s="31">
        <v>0</v>
      </c>
      <c r="AG90" s="31">
        <v>0</v>
      </c>
      <c r="AH90" s="31">
        <v>0</v>
      </c>
      <c r="AI90" s="31">
        <v>0</v>
      </c>
      <c r="AJ90" s="31">
        <v>0</v>
      </c>
      <c r="AK90" s="31">
        <v>88000</v>
      </c>
      <c r="AL90" s="31">
        <v>0</v>
      </c>
      <c r="AM90" s="56">
        <v>88000</v>
      </c>
      <c r="AN90" s="59">
        <v>88000</v>
      </c>
      <c r="AO90" s="59" t="s">
        <v>1017</v>
      </c>
      <c r="AP90" s="23" t="s">
        <v>187</v>
      </c>
      <c r="AQ90" s="23" t="s">
        <v>1714</v>
      </c>
    </row>
    <row r="91" spans="1:43">
      <c r="A91" s="37">
        <v>88</v>
      </c>
      <c r="B91" s="38">
        <v>104</v>
      </c>
      <c r="C91" s="571" t="str">
        <f t="shared" si="11"/>
        <v>コアプラス池袋</v>
      </c>
      <c r="D91" s="48" t="s">
        <v>1593</v>
      </c>
      <c r="E91" s="49">
        <v>16.8</v>
      </c>
      <c r="F91" s="324">
        <v>631</v>
      </c>
      <c r="G91" s="566" t="str">
        <f t="shared" si="12"/>
        <v>住居</v>
      </c>
      <c r="H91" s="47" t="s">
        <v>1709</v>
      </c>
      <c r="I91" s="325">
        <v>72000</v>
      </c>
      <c r="J91" s="325">
        <v>0</v>
      </c>
      <c r="K91" s="325">
        <v>0</v>
      </c>
      <c r="L91" s="325">
        <v>0</v>
      </c>
      <c r="M91" s="565">
        <f t="shared" si="19"/>
        <v>72000</v>
      </c>
      <c r="N91" s="326">
        <v>72000</v>
      </c>
      <c r="O91" s="326">
        <v>0</v>
      </c>
      <c r="P91" s="565">
        <f t="shared" si="13"/>
        <v>72000</v>
      </c>
      <c r="Q91" s="565">
        <f t="shared" si="20"/>
        <v>72000</v>
      </c>
      <c r="R91" s="325" t="s">
        <v>1568</v>
      </c>
      <c r="S91" s="325" t="s">
        <v>187</v>
      </c>
      <c r="T91" s="327" t="s">
        <v>1284</v>
      </c>
      <c r="V91" s="43" t="s">
        <v>1716</v>
      </c>
      <c r="W91" s="221">
        <v>72000</v>
      </c>
      <c r="Y91" s="6">
        <f t="shared" si="14"/>
        <v>1</v>
      </c>
      <c r="Z91" s="562">
        <f t="shared" si="15"/>
        <v>72000</v>
      </c>
      <c r="AA91" s="122">
        <f t="shared" si="16"/>
        <v>0</v>
      </c>
      <c r="AB91" s="122">
        <f t="shared" si="17"/>
        <v>0</v>
      </c>
      <c r="AC91" s="6">
        <f t="shared" si="18"/>
        <v>1</v>
      </c>
      <c r="AD91" s="563">
        <f t="shared" si="21"/>
        <v>1</v>
      </c>
      <c r="AE91" s="64"/>
      <c r="AF91" s="31">
        <v>72000</v>
      </c>
      <c r="AG91" s="31">
        <v>0</v>
      </c>
      <c r="AH91" s="31">
        <v>0</v>
      </c>
      <c r="AI91" s="31">
        <v>0</v>
      </c>
      <c r="AJ91" s="31">
        <v>72000</v>
      </c>
      <c r="AK91" s="31">
        <v>72000</v>
      </c>
      <c r="AL91" s="31">
        <v>0</v>
      </c>
      <c r="AM91" s="58">
        <v>72000</v>
      </c>
      <c r="AN91" s="59">
        <v>72000</v>
      </c>
      <c r="AO91" s="59" t="s">
        <v>1568</v>
      </c>
      <c r="AP91" s="23" t="s">
        <v>187</v>
      </c>
      <c r="AQ91" s="23" t="s">
        <v>1284</v>
      </c>
    </row>
    <row r="92" spans="1:43">
      <c r="A92" s="39">
        <v>89</v>
      </c>
      <c r="B92" s="39">
        <v>105</v>
      </c>
      <c r="C92" s="572" t="str">
        <f t="shared" si="11"/>
        <v>目白アパート</v>
      </c>
      <c r="D92" s="45" t="s">
        <v>1566</v>
      </c>
      <c r="E92" s="46">
        <v>46.12</v>
      </c>
      <c r="F92" s="324">
        <v>631</v>
      </c>
      <c r="G92" s="566" t="str">
        <f t="shared" si="12"/>
        <v>住居</v>
      </c>
      <c r="H92" s="44" t="s">
        <v>1717</v>
      </c>
      <c r="I92" s="325">
        <v>135000</v>
      </c>
      <c r="J92" s="325">
        <v>4000</v>
      </c>
      <c r="K92" s="325">
        <v>0</v>
      </c>
      <c r="L92" s="325">
        <v>0</v>
      </c>
      <c r="M92" s="565">
        <f t="shared" si="19"/>
        <v>139000</v>
      </c>
      <c r="N92" s="326">
        <v>139000</v>
      </c>
      <c r="O92" s="326">
        <v>0</v>
      </c>
      <c r="P92" s="565">
        <f t="shared" si="13"/>
        <v>139000</v>
      </c>
      <c r="Q92" s="565">
        <f t="shared" si="20"/>
        <v>139000</v>
      </c>
      <c r="R92" s="325" t="s">
        <v>1718</v>
      </c>
      <c r="S92" s="325" t="s">
        <v>187</v>
      </c>
      <c r="T92" s="327" t="s">
        <v>1284</v>
      </c>
      <c r="V92" s="43" t="s">
        <v>1719</v>
      </c>
      <c r="W92" s="221">
        <v>139000</v>
      </c>
      <c r="Y92" s="6">
        <f t="shared" si="14"/>
        <v>1</v>
      </c>
      <c r="Z92" s="562">
        <f t="shared" si="15"/>
        <v>139000</v>
      </c>
      <c r="AA92" s="122">
        <f t="shared" si="16"/>
        <v>0</v>
      </c>
      <c r="AB92" s="122">
        <f t="shared" si="17"/>
        <v>0</v>
      </c>
      <c r="AC92" s="6">
        <f t="shared" si="18"/>
        <v>1</v>
      </c>
      <c r="AD92" s="563">
        <f t="shared" si="21"/>
        <v>1</v>
      </c>
      <c r="AE92" s="64"/>
      <c r="AF92" s="31">
        <v>135000</v>
      </c>
      <c r="AG92" s="31">
        <v>4000</v>
      </c>
      <c r="AH92" s="31">
        <v>0</v>
      </c>
      <c r="AI92" s="31">
        <v>0</v>
      </c>
      <c r="AJ92" s="31">
        <v>139000</v>
      </c>
      <c r="AK92" s="31">
        <v>139000</v>
      </c>
      <c r="AL92" s="31">
        <v>0</v>
      </c>
      <c r="AM92" s="56">
        <v>139000</v>
      </c>
      <c r="AN92" s="31">
        <v>139000</v>
      </c>
      <c r="AO92" s="31" t="s">
        <v>1718</v>
      </c>
      <c r="AP92" s="23" t="s">
        <v>187</v>
      </c>
      <c r="AQ92" s="23" t="s">
        <v>1284</v>
      </c>
    </row>
    <row r="93" spans="1:43">
      <c r="A93" s="39">
        <v>90</v>
      </c>
      <c r="B93" s="39">
        <v>105</v>
      </c>
      <c r="C93" s="572" t="str">
        <f t="shared" si="11"/>
        <v>目白アパート</v>
      </c>
      <c r="D93" s="45" t="s">
        <v>1570</v>
      </c>
      <c r="E93" s="46">
        <v>37.799999999999997</v>
      </c>
      <c r="F93" s="324">
        <v>631</v>
      </c>
      <c r="G93" s="566" t="str">
        <f t="shared" si="12"/>
        <v>住居</v>
      </c>
      <c r="H93" s="44" t="s">
        <v>1567</v>
      </c>
      <c r="I93" s="325">
        <v>100000</v>
      </c>
      <c r="J93" s="325">
        <v>3000</v>
      </c>
      <c r="K93" s="325">
        <v>186</v>
      </c>
      <c r="L93" s="325">
        <v>18</v>
      </c>
      <c r="M93" s="565">
        <f t="shared" si="19"/>
        <v>103204</v>
      </c>
      <c r="N93" s="326">
        <v>103204</v>
      </c>
      <c r="O93" s="326">
        <v>0</v>
      </c>
      <c r="P93" s="565">
        <f t="shared" si="13"/>
        <v>103204</v>
      </c>
      <c r="Q93" s="565">
        <f t="shared" si="20"/>
        <v>103204</v>
      </c>
      <c r="R93" s="325" t="s">
        <v>1568</v>
      </c>
      <c r="S93" s="325" t="s">
        <v>187</v>
      </c>
      <c r="T93" s="327" t="s">
        <v>1284</v>
      </c>
      <c r="V93" s="43" t="s">
        <v>1720</v>
      </c>
      <c r="W93" s="221">
        <v>103000</v>
      </c>
      <c r="Y93" s="6">
        <f t="shared" si="14"/>
        <v>1</v>
      </c>
      <c r="Z93" s="562">
        <f t="shared" si="15"/>
        <v>103186</v>
      </c>
      <c r="AA93" s="122">
        <f t="shared" si="16"/>
        <v>18</v>
      </c>
      <c r="AB93" s="122">
        <f t="shared" si="17"/>
        <v>186</v>
      </c>
      <c r="AC93" s="6">
        <f t="shared" si="18"/>
        <v>1</v>
      </c>
      <c r="AD93" s="563">
        <f t="shared" si="21"/>
        <v>1</v>
      </c>
      <c r="AE93" s="64"/>
      <c r="AF93" s="31">
        <v>100000</v>
      </c>
      <c r="AG93" s="31">
        <v>3000</v>
      </c>
      <c r="AH93" s="31">
        <v>186</v>
      </c>
      <c r="AI93" s="31">
        <v>18</v>
      </c>
      <c r="AJ93" s="31">
        <v>103204</v>
      </c>
      <c r="AK93" s="31">
        <v>103204</v>
      </c>
      <c r="AL93" s="31">
        <v>0</v>
      </c>
      <c r="AM93" s="56">
        <v>103204</v>
      </c>
      <c r="AN93" s="31">
        <v>103204</v>
      </c>
      <c r="AO93" s="31" t="s">
        <v>1568</v>
      </c>
      <c r="AP93" s="23" t="s">
        <v>187</v>
      </c>
      <c r="AQ93" s="23" t="s">
        <v>1284</v>
      </c>
    </row>
    <row r="94" spans="1:43">
      <c r="A94" s="39">
        <v>91</v>
      </c>
      <c r="B94" s="39">
        <v>105</v>
      </c>
      <c r="C94" s="572" t="str">
        <f t="shared" si="11"/>
        <v>目白アパート</v>
      </c>
      <c r="D94" s="45" t="s">
        <v>1580</v>
      </c>
      <c r="E94" s="46">
        <v>28.62</v>
      </c>
      <c r="F94" s="324">
        <v>631</v>
      </c>
      <c r="G94" s="566" t="str">
        <f t="shared" si="12"/>
        <v>住居</v>
      </c>
      <c r="H94" s="44" t="s">
        <v>1667</v>
      </c>
      <c r="I94" s="325">
        <v>103000</v>
      </c>
      <c r="J94" s="325">
        <v>5000</v>
      </c>
      <c r="K94" s="325">
        <v>0</v>
      </c>
      <c r="L94" s="325">
        <v>0</v>
      </c>
      <c r="M94" s="565">
        <f t="shared" si="19"/>
        <v>108000</v>
      </c>
      <c r="N94" s="326">
        <v>113000</v>
      </c>
      <c r="O94" s="326">
        <v>0</v>
      </c>
      <c r="P94" s="565">
        <f t="shared" si="13"/>
        <v>113000</v>
      </c>
      <c r="Q94" s="565">
        <f t="shared" si="20"/>
        <v>108000</v>
      </c>
      <c r="R94" s="325" t="s">
        <v>1718</v>
      </c>
      <c r="S94" s="325" t="s">
        <v>187</v>
      </c>
      <c r="T94" s="327" t="s">
        <v>1284</v>
      </c>
      <c r="V94" s="43" t="s">
        <v>1721</v>
      </c>
      <c r="W94" s="221">
        <v>90200</v>
      </c>
      <c r="Y94" s="6">
        <f t="shared" si="14"/>
        <v>1</v>
      </c>
      <c r="Z94" s="562">
        <f t="shared" si="15"/>
        <v>108000</v>
      </c>
      <c r="AA94" s="122">
        <f t="shared" si="16"/>
        <v>5000</v>
      </c>
      <c r="AB94" s="122">
        <f t="shared" si="17"/>
        <v>17800</v>
      </c>
      <c r="AC94" s="6">
        <f t="shared" si="18"/>
        <v>1</v>
      </c>
      <c r="AD94" s="563">
        <f t="shared" si="21"/>
        <v>1</v>
      </c>
      <c r="AE94" s="64"/>
      <c r="AF94" s="31">
        <v>103000</v>
      </c>
      <c r="AG94" s="31">
        <v>5000</v>
      </c>
      <c r="AH94" s="31">
        <v>0</v>
      </c>
      <c r="AI94" s="31">
        <v>0</v>
      </c>
      <c r="AJ94" s="31">
        <v>108000</v>
      </c>
      <c r="AK94" s="31">
        <v>113000</v>
      </c>
      <c r="AL94" s="31">
        <v>0</v>
      </c>
      <c r="AM94" s="56">
        <v>113000</v>
      </c>
      <c r="AN94" s="31">
        <v>108000</v>
      </c>
      <c r="AO94" s="31" t="s">
        <v>1718</v>
      </c>
      <c r="AP94" s="23" t="s">
        <v>187</v>
      </c>
      <c r="AQ94" s="23" t="s">
        <v>1284</v>
      </c>
    </row>
    <row r="95" spans="1:43">
      <c r="A95" s="39">
        <v>92</v>
      </c>
      <c r="B95" s="39">
        <v>105</v>
      </c>
      <c r="C95" s="572" t="str">
        <f t="shared" si="11"/>
        <v>目白アパート</v>
      </c>
      <c r="D95" s="45" t="s">
        <v>1582</v>
      </c>
      <c r="E95" s="46">
        <v>28.62</v>
      </c>
      <c r="F95" s="324">
        <v>631</v>
      </c>
      <c r="G95" s="566" t="str">
        <f t="shared" si="12"/>
        <v>住居</v>
      </c>
      <c r="H95" s="44" t="s">
        <v>1667</v>
      </c>
      <c r="I95" s="325">
        <v>0</v>
      </c>
      <c r="J95" s="325">
        <v>0</v>
      </c>
      <c r="K95" s="325">
        <v>0</v>
      </c>
      <c r="L95" s="325">
        <v>0</v>
      </c>
      <c r="M95" s="565">
        <f t="shared" si="19"/>
        <v>0</v>
      </c>
      <c r="N95" s="326">
        <v>105000</v>
      </c>
      <c r="O95" s="326">
        <v>0</v>
      </c>
      <c r="P95" s="565">
        <f t="shared" si="13"/>
        <v>105000</v>
      </c>
      <c r="Q95" s="565">
        <f t="shared" si="20"/>
        <v>105000</v>
      </c>
      <c r="R95" s="325" t="s">
        <v>1017</v>
      </c>
      <c r="S95" s="325" t="s">
        <v>187</v>
      </c>
      <c r="T95" s="327" t="s">
        <v>1714</v>
      </c>
      <c r="V95" s="43" t="s">
        <v>1722</v>
      </c>
      <c r="W95" s="221">
        <v>88000</v>
      </c>
      <c r="Y95" s="6">
        <f t="shared" si="14"/>
        <v>0</v>
      </c>
      <c r="Z95" s="562">
        <f t="shared" si="15"/>
        <v>105000</v>
      </c>
      <c r="AA95" s="122">
        <f t="shared" si="16"/>
        <v>0</v>
      </c>
      <c r="AB95" s="122">
        <f t="shared" si="17"/>
        <v>17000</v>
      </c>
      <c r="AC95" s="6">
        <f t="shared" si="18"/>
        <v>1</v>
      </c>
      <c r="AD95" s="563">
        <f t="shared" si="21"/>
        <v>1</v>
      </c>
      <c r="AE95" s="64"/>
      <c r="AF95" s="31">
        <v>0</v>
      </c>
      <c r="AG95" s="31">
        <v>0</v>
      </c>
      <c r="AH95" s="31">
        <v>0</v>
      </c>
      <c r="AI95" s="31">
        <v>0</v>
      </c>
      <c r="AJ95" s="31">
        <v>0</v>
      </c>
      <c r="AK95" s="31">
        <v>105000</v>
      </c>
      <c r="AL95" s="31">
        <v>0</v>
      </c>
      <c r="AM95" s="56">
        <v>105000</v>
      </c>
      <c r="AN95" s="31">
        <v>105000</v>
      </c>
      <c r="AO95" s="31" t="s">
        <v>1017</v>
      </c>
      <c r="AP95" s="23" t="s">
        <v>187</v>
      </c>
      <c r="AQ95" s="23" t="s">
        <v>1714</v>
      </c>
    </row>
    <row r="96" spans="1:43">
      <c r="A96" s="39">
        <v>93</v>
      </c>
      <c r="B96" s="39">
        <v>105</v>
      </c>
      <c r="C96" s="572" t="str">
        <f t="shared" si="11"/>
        <v>目白アパート</v>
      </c>
      <c r="D96" s="45" t="s">
        <v>1585</v>
      </c>
      <c r="E96" s="46">
        <v>33.39</v>
      </c>
      <c r="F96" s="324">
        <v>631</v>
      </c>
      <c r="G96" s="566" t="str">
        <f t="shared" si="12"/>
        <v>住居</v>
      </c>
      <c r="H96" s="44" t="s">
        <v>1667</v>
      </c>
      <c r="I96" s="325">
        <v>0</v>
      </c>
      <c r="J96" s="325">
        <v>0</v>
      </c>
      <c r="K96" s="325">
        <v>0</v>
      </c>
      <c r="L96" s="325">
        <v>0</v>
      </c>
      <c r="M96" s="565">
        <f t="shared" si="19"/>
        <v>0</v>
      </c>
      <c r="N96" s="326">
        <v>99204</v>
      </c>
      <c r="O96" s="326">
        <v>0</v>
      </c>
      <c r="P96" s="565">
        <f t="shared" si="13"/>
        <v>99204</v>
      </c>
      <c r="Q96" s="565">
        <f t="shared" si="20"/>
        <v>99204</v>
      </c>
      <c r="R96" s="325" t="s">
        <v>1017</v>
      </c>
      <c r="S96" s="325" t="s">
        <v>187</v>
      </c>
      <c r="T96" s="327" t="s">
        <v>1714</v>
      </c>
      <c r="V96" s="43" t="s">
        <v>1723</v>
      </c>
      <c r="W96" s="221">
        <v>99000</v>
      </c>
      <c r="Y96" s="6">
        <f t="shared" si="14"/>
        <v>0</v>
      </c>
      <c r="Z96" s="562">
        <f t="shared" si="15"/>
        <v>99204</v>
      </c>
      <c r="AA96" s="122">
        <f t="shared" si="16"/>
        <v>0</v>
      </c>
      <c r="AB96" s="122">
        <f t="shared" si="17"/>
        <v>204</v>
      </c>
      <c r="AC96" s="6">
        <f t="shared" si="18"/>
        <v>1</v>
      </c>
      <c r="AD96" s="563">
        <f t="shared" si="21"/>
        <v>1</v>
      </c>
      <c r="AE96" s="64"/>
      <c r="AF96" s="31">
        <v>0</v>
      </c>
      <c r="AG96" s="31">
        <v>0</v>
      </c>
      <c r="AH96" s="31">
        <v>0</v>
      </c>
      <c r="AI96" s="31">
        <v>0</v>
      </c>
      <c r="AJ96" s="31">
        <v>0</v>
      </c>
      <c r="AK96" s="31">
        <v>99204</v>
      </c>
      <c r="AL96" s="31">
        <v>0</v>
      </c>
      <c r="AM96" s="56">
        <v>99204</v>
      </c>
      <c r="AN96" s="31">
        <v>99204</v>
      </c>
      <c r="AO96" s="31" t="s">
        <v>1017</v>
      </c>
      <c r="AP96" s="23" t="s">
        <v>187</v>
      </c>
      <c r="AQ96" s="23" t="s">
        <v>1714</v>
      </c>
    </row>
    <row r="97" spans="1:43">
      <c r="A97" s="39">
        <v>94</v>
      </c>
      <c r="B97" s="39">
        <v>105</v>
      </c>
      <c r="C97" s="572" t="str">
        <f t="shared" si="11"/>
        <v>目白アパート</v>
      </c>
      <c r="D97" s="45" t="s">
        <v>1724</v>
      </c>
      <c r="E97" s="46">
        <v>37.049999999999997</v>
      </c>
      <c r="F97" s="324">
        <v>631</v>
      </c>
      <c r="G97" s="566" t="str">
        <f t="shared" si="12"/>
        <v>住居</v>
      </c>
      <c r="H97" s="44" t="s">
        <v>1667</v>
      </c>
      <c r="I97" s="325">
        <v>100000</v>
      </c>
      <c r="J97" s="325">
        <v>0</v>
      </c>
      <c r="K97" s="325">
        <v>926</v>
      </c>
      <c r="L97" s="325">
        <v>92</v>
      </c>
      <c r="M97" s="565">
        <f t="shared" si="19"/>
        <v>101018</v>
      </c>
      <c r="N97" s="326">
        <v>101018</v>
      </c>
      <c r="O97" s="326">
        <v>0</v>
      </c>
      <c r="P97" s="565">
        <f t="shared" si="13"/>
        <v>101018</v>
      </c>
      <c r="Q97" s="565">
        <f t="shared" si="20"/>
        <v>101018</v>
      </c>
      <c r="R97" s="325" t="s">
        <v>1568</v>
      </c>
      <c r="S97" s="325" t="s">
        <v>187</v>
      </c>
      <c r="T97" s="327" t="s">
        <v>1284</v>
      </c>
      <c r="V97" s="43" t="s">
        <v>1725</v>
      </c>
      <c r="W97" s="221">
        <v>120400</v>
      </c>
      <c r="Y97" s="6">
        <f t="shared" si="14"/>
        <v>1</v>
      </c>
      <c r="Z97" s="562">
        <f t="shared" si="15"/>
        <v>100926</v>
      </c>
      <c r="AA97" s="122">
        <f t="shared" si="16"/>
        <v>92</v>
      </c>
      <c r="AB97" s="122">
        <f t="shared" si="17"/>
        <v>-19474</v>
      </c>
      <c r="AC97" s="6">
        <f t="shared" si="18"/>
        <v>1</v>
      </c>
      <c r="AD97" s="563">
        <f t="shared" si="21"/>
        <v>1</v>
      </c>
      <c r="AE97" s="64"/>
      <c r="AF97" s="31">
        <v>100000</v>
      </c>
      <c r="AG97" s="31">
        <v>0</v>
      </c>
      <c r="AH97" s="31">
        <v>926</v>
      </c>
      <c r="AI97" s="31">
        <v>92</v>
      </c>
      <c r="AJ97" s="31">
        <v>101018</v>
      </c>
      <c r="AK97" s="31">
        <v>101018</v>
      </c>
      <c r="AL97" s="31">
        <v>0</v>
      </c>
      <c r="AM97" s="56">
        <v>101018</v>
      </c>
      <c r="AN97" s="31">
        <v>101018</v>
      </c>
      <c r="AO97" s="31" t="s">
        <v>1568</v>
      </c>
      <c r="AP97" s="23" t="s">
        <v>187</v>
      </c>
      <c r="AQ97" s="23" t="s">
        <v>1284</v>
      </c>
    </row>
    <row r="98" spans="1:43">
      <c r="A98" s="39">
        <v>95</v>
      </c>
      <c r="B98" s="39">
        <v>105</v>
      </c>
      <c r="C98" s="572" t="str">
        <f t="shared" si="11"/>
        <v>目白アパート</v>
      </c>
      <c r="D98" s="45" t="s">
        <v>1589</v>
      </c>
      <c r="E98" s="46">
        <v>28.62</v>
      </c>
      <c r="F98" s="324">
        <v>631</v>
      </c>
      <c r="G98" s="566" t="str">
        <f t="shared" si="12"/>
        <v>住居</v>
      </c>
      <c r="H98" s="44" t="s">
        <v>1667</v>
      </c>
      <c r="I98" s="325">
        <v>105000</v>
      </c>
      <c r="J98" s="325">
        <v>5000</v>
      </c>
      <c r="K98" s="325">
        <v>0</v>
      </c>
      <c r="L98" s="325">
        <v>0</v>
      </c>
      <c r="M98" s="565">
        <f t="shared" si="19"/>
        <v>110000</v>
      </c>
      <c r="N98" s="326">
        <v>110000</v>
      </c>
      <c r="O98" s="326">
        <v>0</v>
      </c>
      <c r="P98" s="565">
        <f t="shared" si="13"/>
        <v>110000</v>
      </c>
      <c r="Q98" s="565">
        <f t="shared" si="20"/>
        <v>110000</v>
      </c>
      <c r="R98" s="325" t="s">
        <v>1578</v>
      </c>
      <c r="S98" s="325" t="s">
        <v>187</v>
      </c>
      <c r="T98" s="327" t="s">
        <v>1284</v>
      </c>
      <c r="V98" s="43" t="s">
        <v>1726</v>
      </c>
      <c r="W98" s="221">
        <v>98000</v>
      </c>
      <c r="Y98" s="6">
        <f t="shared" si="14"/>
        <v>1</v>
      </c>
      <c r="Z98" s="562">
        <f t="shared" si="15"/>
        <v>110000</v>
      </c>
      <c r="AA98" s="122">
        <f t="shared" si="16"/>
        <v>0</v>
      </c>
      <c r="AB98" s="122">
        <f t="shared" si="17"/>
        <v>12000</v>
      </c>
      <c r="AC98" s="6">
        <f t="shared" si="18"/>
        <v>1</v>
      </c>
      <c r="AD98" s="563">
        <f t="shared" si="21"/>
        <v>1</v>
      </c>
      <c r="AE98" s="64"/>
      <c r="AF98" s="31">
        <v>105000</v>
      </c>
      <c r="AG98" s="31">
        <v>5000</v>
      </c>
      <c r="AH98" s="31">
        <v>0</v>
      </c>
      <c r="AI98" s="31">
        <v>0</v>
      </c>
      <c r="AJ98" s="31">
        <v>110000</v>
      </c>
      <c r="AK98" s="31">
        <v>110000</v>
      </c>
      <c r="AL98" s="31">
        <v>0</v>
      </c>
      <c r="AM98" s="56">
        <v>110000</v>
      </c>
      <c r="AN98" s="31">
        <v>110000</v>
      </c>
      <c r="AO98" s="31" t="s">
        <v>1578</v>
      </c>
      <c r="AP98" s="23" t="s">
        <v>187</v>
      </c>
      <c r="AQ98" s="23" t="s">
        <v>1284</v>
      </c>
    </row>
    <row r="99" spans="1:43">
      <c r="A99" s="39">
        <v>96</v>
      </c>
      <c r="B99" s="39">
        <v>105</v>
      </c>
      <c r="C99" s="572" t="str">
        <f t="shared" si="11"/>
        <v>目白アパート</v>
      </c>
      <c r="D99" s="45" t="s">
        <v>1591</v>
      </c>
      <c r="E99" s="46">
        <v>28.62</v>
      </c>
      <c r="F99" s="324">
        <v>631</v>
      </c>
      <c r="G99" s="566" t="str">
        <f t="shared" si="12"/>
        <v>住居</v>
      </c>
      <c r="H99" s="44" t="s">
        <v>1667</v>
      </c>
      <c r="I99" s="325">
        <v>100000</v>
      </c>
      <c r="J99" s="325">
        <v>0</v>
      </c>
      <c r="K99" s="325">
        <v>0</v>
      </c>
      <c r="L99" s="325">
        <v>0</v>
      </c>
      <c r="M99" s="565">
        <f t="shared" si="19"/>
        <v>100000</v>
      </c>
      <c r="N99" s="326">
        <v>100000</v>
      </c>
      <c r="O99" s="326">
        <v>0</v>
      </c>
      <c r="P99" s="565">
        <f t="shared" si="13"/>
        <v>100000</v>
      </c>
      <c r="Q99" s="565">
        <f t="shared" si="20"/>
        <v>100000</v>
      </c>
      <c r="R99" s="325" t="s">
        <v>1568</v>
      </c>
      <c r="S99" s="325" t="s">
        <v>187</v>
      </c>
      <c r="T99" s="327" t="s">
        <v>1284</v>
      </c>
      <c r="V99" s="43" t="s">
        <v>1727</v>
      </c>
      <c r="W99" s="221">
        <v>100000</v>
      </c>
      <c r="Y99" s="6">
        <f t="shared" si="14"/>
        <v>1</v>
      </c>
      <c r="Z99" s="562">
        <f t="shared" si="15"/>
        <v>100000</v>
      </c>
      <c r="AA99" s="122">
        <f t="shared" si="16"/>
        <v>0</v>
      </c>
      <c r="AB99" s="122">
        <f t="shared" si="17"/>
        <v>0</v>
      </c>
      <c r="AC99" s="6">
        <f t="shared" si="18"/>
        <v>1</v>
      </c>
      <c r="AD99" s="563">
        <f t="shared" si="21"/>
        <v>1</v>
      </c>
      <c r="AE99" s="64"/>
      <c r="AF99" s="31">
        <v>100000</v>
      </c>
      <c r="AG99" s="31">
        <v>0</v>
      </c>
      <c r="AH99" s="31">
        <v>0</v>
      </c>
      <c r="AI99" s="31">
        <v>0</v>
      </c>
      <c r="AJ99" s="31">
        <v>100000</v>
      </c>
      <c r="AK99" s="31">
        <v>100000</v>
      </c>
      <c r="AL99" s="31">
        <v>0</v>
      </c>
      <c r="AM99" s="56">
        <v>100000</v>
      </c>
      <c r="AN99" s="31">
        <v>100000</v>
      </c>
      <c r="AO99" s="31" t="s">
        <v>1568</v>
      </c>
      <c r="AP99" s="23" t="s">
        <v>187</v>
      </c>
      <c r="AQ99" s="23" t="s">
        <v>1284</v>
      </c>
    </row>
    <row r="100" spans="1:43">
      <c r="A100" s="39">
        <v>97</v>
      </c>
      <c r="B100" s="39">
        <v>105</v>
      </c>
      <c r="C100" s="572" t="str">
        <f t="shared" si="11"/>
        <v>目白アパート</v>
      </c>
      <c r="D100" s="45" t="s">
        <v>1593</v>
      </c>
      <c r="E100" s="46">
        <v>33.39</v>
      </c>
      <c r="F100" s="324">
        <v>631</v>
      </c>
      <c r="G100" s="566" t="str">
        <f t="shared" si="12"/>
        <v>住居</v>
      </c>
      <c r="H100" s="44" t="s">
        <v>1667</v>
      </c>
      <c r="I100" s="325">
        <v>120000</v>
      </c>
      <c r="J100" s="325">
        <v>5000</v>
      </c>
      <c r="K100" s="325">
        <v>0</v>
      </c>
      <c r="L100" s="325">
        <v>0</v>
      </c>
      <c r="M100" s="565">
        <f t="shared" si="19"/>
        <v>125000</v>
      </c>
      <c r="N100" s="326">
        <v>125000</v>
      </c>
      <c r="O100" s="326">
        <v>0</v>
      </c>
      <c r="P100" s="565">
        <f t="shared" si="13"/>
        <v>125000</v>
      </c>
      <c r="Q100" s="565">
        <f t="shared" si="20"/>
        <v>125000</v>
      </c>
      <c r="R100" s="325" t="s">
        <v>1578</v>
      </c>
      <c r="S100" s="325" t="s">
        <v>187</v>
      </c>
      <c r="T100" s="327" t="s">
        <v>1284</v>
      </c>
      <c r="V100" s="43" t="s">
        <v>1728</v>
      </c>
      <c r="W100" s="221">
        <v>100000</v>
      </c>
      <c r="Y100" s="6">
        <f t="shared" si="14"/>
        <v>1</v>
      </c>
      <c r="Z100" s="562">
        <f t="shared" si="15"/>
        <v>125000</v>
      </c>
      <c r="AA100" s="122">
        <f t="shared" si="16"/>
        <v>0</v>
      </c>
      <c r="AB100" s="122">
        <f t="shared" si="17"/>
        <v>25000</v>
      </c>
      <c r="AC100" s="6">
        <f t="shared" si="18"/>
        <v>1</v>
      </c>
      <c r="AD100" s="563">
        <f t="shared" si="21"/>
        <v>1</v>
      </c>
      <c r="AE100" s="64"/>
      <c r="AF100" s="31">
        <v>120000</v>
      </c>
      <c r="AG100" s="31">
        <v>5000</v>
      </c>
      <c r="AH100" s="31">
        <v>0</v>
      </c>
      <c r="AI100" s="31">
        <v>0</v>
      </c>
      <c r="AJ100" s="31">
        <v>125000</v>
      </c>
      <c r="AK100" s="31">
        <v>125000</v>
      </c>
      <c r="AL100" s="31">
        <v>0</v>
      </c>
      <c r="AM100" s="56">
        <v>125000</v>
      </c>
      <c r="AN100" s="31">
        <v>125000</v>
      </c>
      <c r="AO100" s="31" t="s">
        <v>1578</v>
      </c>
      <c r="AP100" s="23" t="s">
        <v>187</v>
      </c>
      <c r="AQ100" s="23" t="s">
        <v>1284</v>
      </c>
    </row>
    <row r="101" spans="1:43">
      <c r="A101" s="39">
        <v>98</v>
      </c>
      <c r="B101" s="39">
        <v>105</v>
      </c>
      <c r="C101" s="572" t="str">
        <f t="shared" si="11"/>
        <v>目白アパート</v>
      </c>
      <c r="D101" s="45" t="s">
        <v>1729</v>
      </c>
      <c r="E101" s="46">
        <v>37.049999999999997</v>
      </c>
      <c r="F101" s="324">
        <v>631</v>
      </c>
      <c r="G101" s="566" t="str">
        <f t="shared" si="12"/>
        <v>住居</v>
      </c>
      <c r="H101" s="44" t="s">
        <v>1667</v>
      </c>
      <c r="I101" s="325">
        <v>100000</v>
      </c>
      <c r="J101" s="325">
        <v>0</v>
      </c>
      <c r="K101" s="325">
        <v>1112</v>
      </c>
      <c r="L101" s="325">
        <v>111</v>
      </c>
      <c r="M101" s="565">
        <f t="shared" si="19"/>
        <v>101223</v>
      </c>
      <c r="N101" s="326">
        <v>91223</v>
      </c>
      <c r="O101" s="326">
        <v>0</v>
      </c>
      <c r="P101" s="565">
        <f t="shared" si="13"/>
        <v>91223</v>
      </c>
      <c r="Q101" s="565">
        <f t="shared" si="20"/>
        <v>101223</v>
      </c>
      <c r="R101" s="325" t="s">
        <v>1568</v>
      </c>
      <c r="S101" s="325" t="s">
        <v>187</v>
      </c>
      <c r="T101" s="327" t="s">
        <v>1284</v>
      </c>
      <c r="V101" s="43" t="s">
        <v>1730</v>
      </c>
      <c r="W101" s="221">
        <v>100000</v>
      </c>
      <c r="Y101" s="6">
        <f t="shared" si="14"/>
        <v>1</v>
      </c>
      <c r="Z101" s="562">
        <f t="shared" si="15"/>
        <v>101112</v>
      </c>
      <c r="AA101" s="122">
        <f t="shared" si="16"/>
        <v>-9889</v>
      </c>
      <c r="AB101" s="122">
        <f t="shared" si="17"/>
        <v>1112</v>
      </c>
      <c r="AC101" s="6">
        <f t="shared" si="18"/>
        <v>1</v>
      </c>
      <c r="AD101" s="563">
        <f t="shared" si="21"/>
        <v>1</v>
      </c>
      <c r="AE101" s="64"/>
      <c r="AF101" s="31">
        <v>100000</v>
      </c>
      <c r="AG101" s="31">
        <v>0</v>
      </c>
      <c r="AH101" s="31">
        <v>1112</v>
      </c>
      <c r="AI101" s="31">
        <v>111</v>
      </c>
      <c r="AJ101" s="31">
        <v>101223</v>
      </c>
      <c r="AK101" s="31">
        <v>91223</v>
      </c>
      <c r="AL101" s="31">
        <v>0</v>
      </c>
      <c r="AM101" s="56">
        <v>91223</v>
      </c>
      <c r="AN101" s="31">
        <v>101223</v>
      </c>
      <c r="AO101" s="31" t="s">
        <v>1568</v>
      </c>
      <c r="AP101" s="23" t="s">
        <v>187</v>
      </c>
      <c r="AQ101" s="23" t="s">
        <v>1284</v>
      </c>
    </row>
    <row r="102" spans="1:43">
      <c r="A102" s="39">
        <v>99</v>
      </c>
      <c r="B102" s="39">
        <v>105</v>
      </c>
      <c r="C102" s="572" t="str">
        <f t="shared" si="11"/>
        <v>目白アパート</v>
      </c>
      <c r="D102" s="45" t="s">
        <v>1603</v>
      </c>
      <c r="E102" s="46">
        <v>28.62</v>
      </c>
      <c r="F102" s="324">
        <v>631</v>
      </c>
      <c r="G102" s="566" t="str">
        <f t="shared" si="12"/>
        <v>住居</v>
      </c>
      <c r="H102" s="44" t="s">
        <v>1667</v>
      </c>
      <c r="I102" s="325">
        <v>93000</v>
      </c>
      <c r="J102" s="325">
        <v>3000</v>
      </c>
      <c r="K102" s="325">
        <v>371</v>
      </c>
      <c r="L102" s="325">
        <v>37</v>
      </c>
      <c r="M102" s="565">
        <f t="shared" si="19"/>
        <v>96408</v>
      </c>
      <c r="N102" s="326">
        <v>96408</v>
      </c>
      <c r="O102" s="326">
        <v>0</v>
      </c>
      <c r="P102" s="565">
        <f t="shared" si="13"/>
        <v>96408</v>
      </c>
      <c r="Q102" s="565">
        <f t="shared" si="20"/>
        <v>96408</v>
      </c>
      <c r="R102" s="325" t="s">
        <v>1568</v>
      </c>
      <c r="S102" s="325" t="s">
        <v>187</v>
      </c>
      <c r="T102" s="327" t="s">
        <v>1284</v>
      </c>
      <c r="V102" s="43" t="s">
        <v>1731</v>
      </c>
      <c r="W102" s="221">
        <v>96000</v>
      </c>
      <c r="Y102" s="6">
        <f t="shared" si="14"/>
        <v>1</v>
      </c>
      <c r="Z102" s="562">
        <f t="shared" si="15"/>
        <v>96371</v>
      </c>
      <c r="AA102" s="122">
        <f t="shared" si="16"/>
        <v>37</v>
      </c>
      <c r="AB102" s="122">
        <f t="shared" si="17"/>
        <v>371</v>
      </c>
      <c r="AC102" s="6">
        <f t="shared" si="18"/>
        <v>1</v>
      </c>
      <c r="AD102" s="563">
        <f t="shared" si="21"/>
        <v>1</v>
      </c>
      <c r="AE102" s="64"/>
      <c r="AF102" s="31">
        <v>93000</v>
      </c>
      <c r="AG102" s="31">
        <v>3000</v>
      </c>
      <c r="AH102" s="31">
        <v>371</v>
      </c>
      <c r="AI102" s="31">
        <v>37</v>
      </c>
      <c r="AJ102" s="31">
        <v>96408</v>
      </c>
      <c r="AK102" s="31">
        <v>96408</v>
      </c>
      <c r="AL102" s="31">
        <v>0</v>
      </c>
      <c r="AM102" s="56">
        <v>96408</v>
      </c>
      <c r="AN102" s="31">
        <v>96408</v>
      </c>
      <c r="AO102" s="31" t="s">
        <v>1568</v>
      </c>
      <c r="AP102" s="23" t="s">
        <v>187</v>
      </c>
      <c r="AQ102" s="23" t="s">
        <v>1284</v>
      </c>
    </row>
    <row r="103" spans="1:43">
      <c r="A103" s="39">
        <v>100</v>
      </c>
      <c r="B103" s="39">
        <v>105</v>
      </c>
      <c r="C103" s="572" t="str">
        <f t="shared" si="11"/>
        <v>目白アパート</v>
      </c>
      <c r="D103" s="45" t="s">
        <v>1605</v>
      </c>
      <c r="E103" s="46">
        <v>28.62</v>
      </c>
      <c r="F103" s="324">
        <v>631</v>
      </c>
      <c r="G103" s="566" t="str">
        <f t="shared" si="12"/>
        <v>住居</v>
      </c>
      <c r="H103" s="44" t="s">
        <v>1667</v>
      </c>
      <c r="I103" s="325">
        <v>90000</v>
      </c>
      <c r="J103" s="325">
        <v>0</v>
      </c>
      <c r="K103" s="325">
        <v>0</v>
      </c>
      <c r="L103" s="325">
        <v>0</v>
      </c>
      <c r="M103" s="565">
        <f t="shared" si="19"/>
        <v>90000</v>
      </c>
      <c r="N103" s="326">
        <v>90000</v>
      </c>
      <c r="O103" s="326">
        <v>0</v>
      </c>
      <c r="P103" s="565">
        <f t="shared" si="13"/>
        <v>90000</v>
      </c>
      <c r="Q103" s="565">
        <f t="shared" si="20"/>
        <v>90000</v>
      </c>
      <c r="R103" s="325" t="s">
        <v>1568</v>
      </c>
      <c r="S103" s="325" t="s">
        <v>187</v>
      </c>
      <c r="T103" s="327" t="s">
        <v>1284</v>
      </c>
      <c r="V103" s="43" t="s">
        <v>1732</v>
      </c>
      <c r="W103" s="221">
        <v>90000</v>
      </c>
      <c r="Y103" s="6">
        <f t="shared" si="14"/>
        <v>1</v>
      </c>
      <c r="Z103" s="562">
        <f t="shared" si="15"/>
        <v>90000</v>
      </c>
      <c r="AA103" s="122">
        <f t="shared" si="16"/>
        <v>0</v>
      </c>
      <c r="AB103" s="122">
        <f t="shared" si="17"/>
        <v>0</v>
      </c>
      <c r="AC103" s="6">
        <f t="shared" si="18"/>
        <v>1</v>
      </c>
      <c r="AD103" s="563">
        <f t="shared" si="21"/>
        <v>1</v>
      </c>
      <c r="AE103" s="64"/>
      <c r="AF103" s="31">
        <v>90000</v>
      </c>
      <c r="AG103" s="31">
        <v>0</v>
      </c>
      <c r="AH103" s="31">
        <v>0</v>
      </c>
      <c r="AI103" s="31">
        <v>0</v>
      </c>
      <c r="AJ103" s="31">
        <v>90000</v>
      </c>
      <c r="AK103" s="31">
        <v>90000</v>
      </c>
      <c r="AL103" s="31">
        <v>0</v>
      </c>
      <c r="AM103" s="56">
        <v>90000</v>
      </c>
      <c r="AN103" s="31">
        <v>90000</v>
      </c>
      <c r="AO103" s="31" t="s">
        <v>1568</v>
      </c>
      <c r="AP103" s="23" t="s">
        <v>187</v>
      </c>
      <c r="AQ103" s="23" t="s">
        <v>1284</v>
      </c>
    </row>
    <row r="104" spans="1:43">
      <c r="A104" s="39">
        <v>101</v>
      </c>
      <c r="B104" s="39">
        <v>105</v>
      </c>
      <c r="C104" s="572" t="str">
        <f t="shared" si="11"/>
        <v>目白アパート</v>
      </c>
      <c r="D104" s="45" t="s">
        <v>1607</v>
      </c>
      <c r="E104" s="46">
        <v>33.39</v>
      </c>
      <c r="F104" s="324">
        <v>631</v>
      </c>
      <c r="G104" s="566" t="str">
        <f t="shared" si="12"/>
        <v>住居</v>
      </c>
      <c r="H104" s="44" t="s">
        <v>1667</v>
      </c>
      <c r="I104" s="325">
        <v>105000</v>
      </c>
      <c r="J104" s="325">
        <v>5000</v>
      </c>
      <c r="K104" s="325">
        <v>0</v>
      </c>
      <c r="L104" s="325">
        <v>0</v>
      </c>
      <c r="M104" s="565">
        <f t="shared" si="19"/>
        <v>110000</v>
      </c>
      <c r="N104" s="326">
        <v>130000</v>
      </c>
      <c r="O104" s="326">
        <v>0</v>
      </c>
      <c r="P104" s="565">
        <f t="shared" si="13"/>
        <v>130000</v>
      </c>
      <c r="Q104" s="565">
        <f t="shared" si="20"/>
        <v>110000</v>
      </c>
      <c r="R104" s="325" t="s">
        <v>1568</v>
      </c>
      <c r="S104" s="325" t="s">
        <v>187</v>
      </c>
      <c r="T104" s="327" t="s">
        <v>1284</v>
      </c>
      <c r="V104" s="43" t="s">
        <v>1733</v>
      </c>
      <c r="W104" s="221">
        <v>98400</v>
      </c>
      <c r="Y104" s="6">
        <f t="shared" si="14"/>
        <v>1</v>
      </c>
      <c r="Z104" s="562">
        <f t="shared" si="15"/>
        <v>110000</v>
      </c>
      <c r="AA104" s="122">
        <f t="shared" si="16"/>
        <v>20000</v>
      </c>
      <c r="AB104" s="122">
        <f t="shared" si="17"/>
        <v>11600</v>
      </c>
      <c r="AC104" s="6">
        <f t="shared" si="18"/>
        <v>1</v>
      </c>
      <c r="AD104" s="563">
        <f t="shared" si="21"/>
        <v>1</v>
      </c>
      <c r="AE104" s="64"/>
      <c r="AF104" s="31">
        <v>105000</v>
      </c>
      <c r="AG104" s="31">
        <v>5000</v>
      </c>
      <c r="AH104" s="31">
        <v>0</v>
      </c>
      <c r="AI104" s="31">
        <v>0</v>
      </c>
      <c r="AJ104" s="31">
        <v>110000</v>
      </c>
      <c r="AK104" s="31">
        <v>130000</v>
      </c>
      <c r="AL104" s="31">
        <v>0</v>
      </c>
      <c r="AM104" s="56">
        <v>130000</v>
      </c>
      <c r="AN104" s="31">
        <v>110000</v>
      </c>
      <c r="AO104" s="31" t="s">
        <v>1568</v>
      </c>
      <c r="AP104" s="23" t="s">
        <v>187</v>
      </c>
      <c r="AQ104" s="23" t="s">
        <v>1284</v>
      </c>
    </row>
    <row r="105" spans="1:43">
      <c r="A105" s="39">
        <v>102</v>
      </c>
      <c r="B105" s="39">
        <v>105</v>
      </c>
      <c r="C105" s="572" t="str">
        <f t="shared" si="11"/>
        <v>目白アパート</v>
      </c>
      <c r="D105" s="45" t="s">
        <v>1734</v>
      </c>
      <c r="E105" s="46">
        <v>37.049999999999997</v>
      </c>
      <c r="F105" s="324">
        <v>631</v>
      </c>
      <c r="G105" s="566" t="str">
        <f t="shared" si="12"/>
        <v>住居</v>
      </c>
      <c r="H105" s="44" t="s">
        <v>1667</v>
      </c>
      <c r="I105" s="325">
        <v>125000</v>
      </c>
      <c r="J105" s="325">
        <v>4000</v>
      </c>
      <c r="K105" s="325">
        <v>0</v>
      </c>
      <c r="L105" s="325">
        <v>0</v>
      </c>
      <c r="M105" s="565">
        <f t="shared" si="19"/>
        <v>129000</v>
      </c>
      <c r="N105" s="326">
        <v>129000</v>
      </c>
      <c r="O105" s="326">
        <v>0</v>
      </c>
      <c r="P105" s="565">
        <f t="shared" si="13"/>
        <v>129000</v>
      </c>
      <c r="Q105" s="565">
        <f t="shared" si="20"/>
        <v>129000</v>
      </c>
      <c r="R105" s="325" t="s">
        <v>1578</v>
      </c>
      <c r="S105" s="325" t="s">
        <v>187</v>
      </c>
      <c r="T105" s="327" t="s">
        <v>1284</v>
      </c>
      <c r="V105" s="43" t="s">
        <v>1735</v>
      </c>
      <c r="W105" s="221">
        <v>119400</v>
      </c>
      <c r="Y105" s="6">
        <f t="shared" si="14"/>
        <v>1</v>
      </c>
      <c r="Z105" s="562">
        <f t="shared" si="15"/>
        <v>129000</v>
      </c>
      <c r="AA105" s="122">
        <f t="shared" si="16"/>
        <v>0</v>
      </c>
      <c r="AB105" s="122">
        <f t="shared" si="17"/>
        <v>9600</v>
      </c>
      <c r="AC105" s="6">
        <f t="shared" si="18"/>
        <v>1</v>
      </c>
      <c r="AD105" s="563">
        <f t="shared" si="21"/>
        <v>1</v>
      </c>
      <c r="AE105" s="64"/>
      <c r="AF105" s="31">
        <v>125000</v>
      </c>
      <c r="AG105" s="31">
        <v>4000</v>
      </c>
      <c r="AH105" s="31">
        <v>0</v>
      </c>
      <c r="AI105" s="31">
        <v>0</v>
      </c>
      <c r="AJ105" s="31">
        <v>129000</v>
      </c>
      <c r="AK105" s="31">
        <v>129000</v>
      </c>
      <c r="AL105" s="31">
        <v>0</v>
      </c>
      <c r="AM105" s="56">
        <v>129000</v>
      </c>
      <c r="AN105" s="31">
        <v>129000</v>
      </c>
      <c r="AO105" s="31" t="s">
        <v>1578</v>
      </c>
      <c r="AP105" s="23" t="s">
        <v>187</v>
      </c>
      <c r="AQ105" s="23" t="s">
        <v>1284</v>
      </c>
    </row>
    <row r="106" spans="1:43">
      <c r="A106" s="39">
        <v>103</v>
      </c>
      <c r="B106" s="39">
        <v>105</v>
      </c>
      <c r="C106" s="572" t="str">
        <f t="shared" si="11"/>
        <v>目白アパート</v>
      </c>
      <c r="D106" s="45" t="s">
        <v>1695</v>
      </c>
      <c r="E106" s="46">
        <v>28.62</v>
      </c>
      <c r="F106" s="324">
        <v>631</v>
      </c>
      <c r="G106" s="566" t="str">
        <f t="shared" si="12"/>
        <v>住居</v>
      </c>
      <c r="H106" s="44" t="s">
        <v>1667</v>
      </c>
      <c r="I106" s="325">
        <v>107000</v>
      </c>
      <c r="J106" s="325">
        <v>3000</v>
      </c>
      <c r="K106" s="325">
        <v>0</v>
      </c>
      <c r="L106" s="325">
        <v>0</v>
      </c>
      <c r="M106" s="565">
        <f t="shared" si="19"/>
        <v>110000</v>
      </c>
      <c r="N106" s="326">
        <v>110000</v>
      </c>
      <c r="O106" s="326">
        <v>0</v>
      </c>
      <c r="P106" s="565">
        <f t="shared" si="13"/>
        <v>110000</v>
      </c>
      <c r="Q106" s="565">
        <f t="shared" si="20"/>
        <v>110000</v>
      </c>
      <c r="R106" s="325" t="s">
        <v>1568</v>
      </c>
      <c r="S106" s="325" t="s">
        <v>187</v>
      </c>
      <c r="T106" s="327" t="s">
        <v>1284</v>
      </c>
      <c r="V106" s="43" t="s">
        <v>1736</v>
      </c>
      <c r="W106" s="221">
        <v>97000</v>
      </c>
      <c r="Y106" s="6">
        <f t="shared" si="14"/>
        <v>1</v>
      </c>
      <c r="Z106" s="562">
        <f t="shared" si="15"/>
        <v>110000</v>
      </c>
      <c r="AA106" s="122">
        <f t="shared" si="16"/>
        <v>0</v>
      </c>
      <c r="AB106" s="122">
        <f t="shared" si="17"/>
        <v>13000</v>
      </c>
      <c r="AC106" s="6">
        <f t="shared" si="18"/>
        <v>1</v>
      </c>
      <c r="AD106" s="563">
        <f t="shared" si="21"/>
        <v>1</v>
      </c>
      <c r="AE106" s="64"/>
      <c r="AF106" s="31">
        <v>107000</v>
      </c>
      <c r="AG106" s="31">
        <v>3000</v>
      </c>
      <c r="AH106" s="31">
        <v>0</v>
      </c>
      <c r="AI106" s="31">
        <v>0</v>
      </c>
      <c r="AJ106" s="31">
        <v>110000</v>
      </c>
      <c r="AK106" s="31">
        <v>110000</v>
      </c>
      <c r="AL106" s="31">
        <v>0</v>
      </c>
      <c r="AM106" s="56">
        <v>110000</v>
      </c>
      <c r="AN106" s="31">
        <v>110000</v>
      </c>
      <c r="AO106" s="31" t="s">
        <v>1568</v>
      </c>
      <c r="AP106" s="23" t="s">
        <v>187</v>
      </c>
      <c r="AQ106" s="23" t="s">
        <v>1284</v>
      </c>
    </row>
    <row r="107" spans="1:43">
      <c r="A107" s="39">
        <v>104</v>
      </c>
      <c r="B107" s="39">
        <v>105</v>
      </c>
      <c r="C107" s="572" t="str">
        <f t="shared" si="11"/>
        <v>目白アパート</v>
      </c>
      <c r="D107" s="45" t="s">
        <v>1697</v>
      </c>
      <c r="E107" s="46">
        <v>28.62</v>
      </c>
      <c r="F107" s="324">
        <v>631</v>
      </c>
      <c r="G107" s="566" t="str">
        <f t="shared" si="12"/>
        <v>住居</v>
      </c>
      <c r="H107" s="44" t="s">
        <v>1667</v>
      </c>
      <c r="I107" s="325">
        <v>102000</v>
      </c>
      <c r="J107" s="325">
        <v>3000</v>
      </c>
      <c r="K107" s="325">
        <v>0</v>
      </c>
      <c r="L107" s="325">
        <v>0</v>
      </c>
      <c r="M107" s="565">
        <f t="shared" si="19"/>
        <v>105000</v>
      </c>
      <c r="N107" s="326">
        <v>105000</v>
      </c>
      <c r="O107" s="326">
        <v>0</v>
      </c>
      <c r="P107" s="565">
        <f t="shared" si="13"/>
        <v>105000</v>
      </c>
      <c r="Q107" s="565">
        <f t="shared" si="20"/>
        <v>105000</v>
      </c>
      <c r="R107" s="325" t="s">
        <v>1578</v>
      </c>
      <c r="S107" s="325" t="s">
        <v>187</v>
      </c>
      <c r="T107" s="327" t="s">
        <v>1284</v>
      </c>
      <c r="V107" s="43" t="s">
        <v>1737</v>
      </c>
      <c r="W107" s="221">
        <v>94000</v>
      </c>
      <c r="Y107" s="6">
        <f t="shared" si="14"/>
        <v>1</v>
      </c>
      <c r="Z107" s="562">
        <f t="shared" si="15"/>
        <v>105000</v>
      </c>
      <c r="AA107" s="122">
        <f t="shared" si="16"/>
        <v>0</v>
      </c>
      <c r="AB107" s="122">
        <f t="shared" si="17"/>
        <v>11000</v>
      </c>
      <c r="AC107" s="6">
        <f t="shared" si="18"/>
        <v>1</v>
      </c>
      <c r="AD107" s="563">
        <f t="shared" si="21"/>
        <v>1</v>
      </c>
      <c r="AE107" s="64"/>
      <c r="AF107" s="31">
        <v>102000</v>
      </c>
      <c r="AG107" s="31">
        <v>3000</v>
      </c>
      <c r="AH107" s="31">
        <v>0</v>
      </c>
      <c r="AI107" s="31">
        <v>0</v>
      </c>
      <c r="AJ107" s="31">
        <v>105000</v>
      </c>
      <c r="AK107" s="31">
        <v>105000</v>
      </c>
      <c r="AL107" s="31">
        <v>0</v>
      </c>
      <c r="AM107" s="56">
        <v>105000</v>
      </c>
      <c r="AN107" s="31">
        <v>105000</v>
      </c>
      <c r="AO107" s="31" t="s">
        <v>1578</v>
      </c>
      <c r="AP107" s="23" t="s">
        <v>187</v>
      </c>
      <c r="AQ107" s="23" t="s">
        <v>1284</v>
      </c>
    </row>
    <row r="108" spans="1:43">
      <c r="A108" s="39">
        <v>105</v>
      </c>
      <c r="B108" s="39">
        <v>105</v>
      </c>
      <c r="C108" s="572" t="str">
        <f t="shared" si="11"/>
        <v>目白アパート</v>
      </c>
      <c r="D108" s="45" t="s">
        <v>1699</v>
      </c>
      <c r="E108" s="46">
        <v>33.39</v>
      </c>
      <c r="F108" s="324">
        <v>631</v>
      </c>
      <c r="G108" s="566" t="str">
        <f t="shared" si="12"/>
        <v>住居</v>
      </c>
      <c r="H108" s="44" t="s">
        <v>1667</v>
      </c>
      <c r="I108" s="325">
        <v>103000</v>
      </c>
      <c r="J108" s="325">
        <v>0</v>
      </c>
      <c r="K108" s="325">
        <v>186</v>
      </c>
      <c r="L108" s="325">
        <v>18</v>
      </c>
      <c r="M108" s="565">
        <f t="shared" si="19"/>
        <v>103204</v>
      </c>
      <c r="N108" s="326">
        <v>103204</v>
      </c>
      <c r="O108" s="326">
        <v>0</v>
      </c>
      <c r="P108" s="565">
        <f t="shared" si="13"/>
        <v>103204</v>
      </c>
      <c r="Q108" s="565">
        <f t="shared" si="20"/>
        <v>103204</v>
      </c>
      <c r="R108" s="325" t="s">
        <v>1568</v>
      </c>
      <c r="S108" s="325" t="s">
        <v>187</v>
      </c>
      <c r="T108" s="327" t="s">
        <v>1284</v>
      </c>
      <c r="V108" s="43" t="s">
        <v>1738</v>
      </c>
      <c r="W108" s="221">
        <v>100200</v>
      </c>
      <c r="Y108" s="6">
        <f t="shared" si="14"/>
        <v>1</v>
      </c>
      <c r="Z108" s="562">
        <f t="shared" si="15"/>
        <v>103186</v>
      </c>
      <c r="AA108" s="122">
        <f t="shared" si="16"/>
        <v>18</v>
      </c>
      <c r="AB108" s="122">
        <f t="shared" si="17"/>
        <v>2986</v>
      </c>
      <c r="AC108" s="6">
        <f t="shared" si="18"/>
        <v>1</v>
      </c>
      <c r="AD108" s="563">
        <f t="shared" si="21"/>
        <v>1</v>
      </c>
      <c r="AE108" s="64"/>
      <c r="AF108" s="31">
        <v>103000</v>
      </c>
      <c r="AG108" s="31">
        <v>0</v>
      </c>
      <c r="AH108" s="31">
        <v>186</v>
      </c>
      <c r="AI108" s="31">
        <v>18</v>
      </c>
      <c r="AJ108" s="31">
        <v>103204</v>
      </c>
      <c r="AK108" s="31">
        <v>103204</v>
      </c>
      <c r="AL108" s="31">
        <v>0</v>
      </c>
      <c r="AM108" s="56">
        <v>103204</v>
      </c>
      <c r="AN108" s="31">
        <v>103204</v>
      </c>
      <c r="AO108" s="31" t="s">
        <v>1568</v>
      </c>
      <c r="AP108" s="23" t="s">
        <v>187</v>
      </c>
      <c r="AQ108" s="23" t="s">
        <v>1284</v>
      </c>
    </row>
    <row r="109" spans="1:43">
      <c r="A109" s="39">
        <v>106</v>
      </c>
      <c r="B109" s="39">
        <v>105</v>
      </c>
      <c r="C109" s="572" t="str">
        <f t="shared" si="11"/>
        <v>目白アパート</v>
      </c>
      <c r="D109" s="45" t="s">
        <v>1739</v>
      </c>
      <c r="E109" s="46">
        <v>37.049999999999997</v>
      </c>
      <c r="F109" s="324">
        <v>631</v>
      </c>
      <c r="G109" s="566" t="str">
        <f t="shared" si="12"/>
        <v>住居</v>
      </c>
      <c r="H109" s="44" t="s">
        <v>1667</v>
      </c>
      <c r="I109" s="325">
        <v>130000</v>
      </c>
      <c r="J109" s="325">
        <v>5000</v>
      </c>
      <c r="K109" s="325">
        <v>0</v>
      </c>
      <c r="L109" s="325">
        <v>0</v>
      </c>
      <c r="M109" s="565">
        <f t="shared" si="19"/>
        <v>135000</v>
      </c>
      <c r="N109" s="326">
        <v>135220</v>
      </c>
      <c r="O109" s="326">
        <v>0</v>
      </c>
      <c r="P109" s="565">
        <f t="shared" si="13"/>
        <v>135220</v>
      </c>
      <c r="Q109" s="565">
        <f t="shared" si="20"/>
        <v>135000</v>
      </c>
      <c r="R109" s="325" t="s">
        <v>1578</v>
      </c>
      <c r="S109" s="325" t="s">
        <v>187</v>
      </c>
      <c r="T109" s="327" t="s">
        <v>1284</v>
      </c>
      <c r="V109" s="43" t="s">
        <v>1740</v>
      </c>
      <c r="W109" s="221">
        <v>95200</v>
      </c>
      <c r="Y109" s="6">
        <f t="shared" si="14"/>
        <v>1</v>
      </c>
      <c r="Z109" s="562">
        <f t="shared" si="15"/>
        <v>135000</v>
      </c>
      <c r="AA109" s="122">
        <f t="shared" si="16"/>
        <v>220</v>
      </c>
      <c r="AB109" s="122">
        <f t="shared" si="17"/>
        <v>39800</v>
      </c>
      <c r="AC109" s="6">
        <f t="shared" si="18"/>
        <v>1</v>
      </c>
      <c r="AD109" s="563">
        <f t="shared" si="21"/>
        <v>1</v>
      </c>
      <c r="AE109" s="64"/>
      <c r="AF109" s="31">
        <v>130000</v>
      </c>
      <c r="AG109" s="31">
        <v>5000</v>
      </c>
      <c r="AH109" s="31">
        <v>0</v>
      </c>
      <c r="AI109" s="31">
        <v>0</v>
      </c>
      <c r="AJ109" s="31">
        <v>135000</v>
      </c>
      <c r="AK109" s="31">
        <v>135220</v>
      </c>
      <c r="AL109" s="31">
        <v>0</v>
      </c>
      <c r="AM109" s="56">
        <v>135220</v>
      </c>
      <c r="AN109" s="31">
        <v>135000</v>
      </c>
      <c r="AO109" s="31" t="s">
        <v>1578</v>
      </c>
      <c r="AP109" s="23" t="s">
        <v>187</v>
      </c>
      <c r="AQ109" s="23" t="s">
        <v>1284</v>
      </c>
    </row>
    <row r="110" spans="1:43">
      <c r="A110" s="39">
        <v>107</v>
      </c>
      <c r="B110" s="39">
        <v>105</v>
      </c>
      <c r="C110" s="572" t="str">
        <f t="shared" si="11"/>
        <v>目白アパート</v>
      </c>
      <c r="D110" s="45" t="s">
        <v>1741</v>
      </c>
      <c r="E110" s="46">
        <v>28.62</v>
      </c>
      <c r="F110" s="324">
        <v>631</v>
      </c>
      <c r="G110" s="566" t="str">
        <f t="shared" si="12"/>
        <v>住居</v>
      </c>
      <c r="H110" s="44" t="s">
        <v>1667</v>
      </c>
      <c r="I110" s="325">
        <v>110000</v>
      </c>
      <c r="J110" s="325">
        <v>5000</v>
      </c>
      <c r="K110" s="325">
        <v>0</v>
      </c>
      <c r="L110" s="325">
        <v>0</v>
      </c>
      <c r="M110" s="565">
        <f t="shared" si="19"/>
        <v>115000</v>
      </c>
      <c r="N110" s="326">
        <v>115000</v>
      </c>
      <c r="O110" s="326">
        <v>0</v>
      </c>
      <c r="P110" s="565">
        <f t="shared" si="13"/>
        <v>115000</v>
      </c>
      <c r="Q110" s="565">
        <f t="shared" si="20"/>
        <v>115000</v>
      </c>
      <c r="R110" s="325" t="s">
        <v>1578</v>
      </c>
      <c r="S110" s="325" t="s">
        <v>187</v>
      </c>
      <c r="T110" s="327" t="s">
        <v>1284</v>
      </c>
      <c r="V110" s="43" t="s">
        <v>1742</v>
      </c>
      <c r="W110" s="221">
        <v>105000</v>
      </c>
      <c r="Y110" s="6">
        <f t="shared" si="14"/>
        <v>1</v>
      </c>
      <c r="Z110" s="562">
        <f t="shared" si="15"/>
        <v>115000</v>
      </c>
      <c r="AA110" s="122">
        <f t="shared" si="16"/>
        <v>0</v>
      </c>
      <c r="AB110" s="122">
        <f t="shared" si="17"/>
        <v>10000</v>
      </c>
      <c r="AC110" s="6">
        <f t="shared" si="18"/>
        <v>1</v>
      </c>
      <c r="AD110" s="563">
        <f t="shared" si="21"/>
        <v>1</v>
      </c>
      <c r="AE110" s="64"/>
      <c r="AF110" s="31">
        <v>110000</v>
      </c>
      <c r="AG110" s="31">
        <v>5000</v>
      </c>
      <c r="AH110" s="31">
        <v>0</v>
      </c>
      <c r="AI110" s="31">
        <v>0</v>
      </c>
      <c r="AJ110" s="31">
        <v>115000</v>
      </c>
      <c r="AK110" s="31">
        <v>115000</v>
      </c>
      <c r="AL110" s="31">
        <v>0</v>
      </c>
      <c r="AM110" s="56">
        <v>115000</v>
      </c>
      <c r="AN110" s="31">
        <v>115000</v>
      </c>
      <c r="AO110" s="31" t="s">
        <v>1578</v>
      </c>
      <c r="AP110" s="23" t="s">
        <v>187</v>
      </c>
      <c r="AQ110" s="23" t="s">
        <v>1284</v>
      </c>
    </row>
    <row r="111" spans="1:43">
      <c r="A111" s="39">
        <v>108</v>
      </c>
      <c r="B111" s="39">
        <v>105</v>
      </c>
      <c r="C111" s="572" t="str">
        <f t="shared" si="11"/>
        <v>目白アパート</v>
      </c>
      <c r="D111" s="45" t="s">
        <v>1743</v>
      </c>
      <c r="E111" s="46">
        <v>28.62</v>
      </c>
      <c r="F111" s="324">
        <v>631</v>
      </c>
      <c r="G111" s="566" t="str">
        <f t="shared" si="12"/>
        <v>住居</v>
      </c>
      <c r="H111" s="44" t="s">
        <v>1667</v>
      </c>
      <c r="I111" s="325">
        <v>92000</v>
      </c>
      <c r="J111" s="325">
        <v>3000</v>
      </c>
      <c r="K111" s="325">
        <v>0</v>
      </c>
      <c r="L111" s="325">
        <v>0</v>
      </c>
      <c r="M111" s="565">
        <f t="shared" si="19"/>
        <v>95000</v>
      </c>
      <c r="N111" s="326">
        <v>95000</v>
      </c>
      <c r="O111" s="326">
        <v>0</v>
      </c>
      <c r="P111" s="565">
        <f t="shared" si="13"/>
        <v>95000</v>
      </c>
      <c r="Q111" s="565">
        <f t="shared" si="20"/>
        <v>95000</v>
      </c>
      <c r="R111" s="325" t="s">
        <v>1568</v>
      </c>
      <c r="S111" s="325" t="s">
        <v>187</v>
      </c>
      <c r="T111" s="327" t="s">
        <v>1284</v>
      </c>
      <c r="V111" s="43" t="s">
        <v>1744</v>
      </c>
      <c r="W111" s="221">
        <v>95000</v>
      </c>
      <c r="Y111" s="6">
        <f t="shared" si="14"/>
        <v>1</v>
      </c>
      <c r="Z111" s="562">
        <f t="shared" si="15"/>
        <v>95000</v>
      </c>
      <c r="AA111" s="122">
        <f t="shared" si="16"/>
        <v>0</v>
      </c>
      <c r="AB111" s="122">
        <f t="shared" si="17"/>
        <v>0</v>
      </c>
      <c r="AC111" s="6">
        <f t="shared" si="18"/>
        <v>1</v>
      </c>
      <c r="AD111" s="563">
        <f t="shared" si="21"/>
        <v>1</v>
      </c>
      <c r="AE111" s="64"/>
      <c r="AF111" s="31">
        <v>92000</v>
      </c>
      <c r="AG111" s="31">
        <v>3000</v>
      </c>
      <c r="AH111" s="31">
        <v>0</v>
      </c>
      <c r="AI111" s="31">
        <v>0</v>
      </c>
      <c r="AJ111" s="31">
        <v>95000</v>
      </c>
      <c r="AK111" s="31">
        <v>95000</v>
      </c>
      <c r="AL111" s="31">
        <v>0</v>
      </c>
      <c r="AM111" s="56">
        <v>95000</v>
      </c>
      <c r="AN111" s="31">
        <v>95000</v>
      </c>
      <c r="AO111" s="31" t="s">
        <v>1568</v>
      </c>
      <c r="AP111" s="23" t="s">
        <v>187</v>
      </c>
      <c r="AQ111" s="23" t="s">
        <v>1284</v>
      </c>
    </row>
    <row r="112" spans="1:43">
      <c r="A112" s="39">
        <v>109</v>
      </c>
      <c r="B112" s="39">
        <v>105</v>
      </c>
      <c r="C112" s="572" t="str">
        <f t="shared" si="11"/>
        <v>目白アパート</v>
      </c>
      <c r="D112" s="45" t="s">
        <v>1745</v>
      </c>
      <c r="E112" s="46">
        <v>33.39</v>
      </c>
      <c r="F112" s="324">
        <v>631</v>
      </c>
      <c r="G112" s="566" t="str">
        <f t="shared" si="12"/>
        <v>住居</v>
      </c>
      <c r="H112" s="44" t="s">
        <v>1667</v>
      </c>
      <c r="I112" s="325">
        <v>100000</v>
      </c>
      <c r="J112" s="325">
        <v>0</v>
      </c>
      <c r="K112" s="325">
        <v>186</v>
      </c>
      <c r="L112" s="325">
        <v>18</v>
      </c>
      <c r="M112" s="565">
        <f t="shared" si="19"/>
        <v>100204</v>
      </c>
      <c r="N112" s="326">
        <v>100408</v>
      </c>
      <c r="O112" s="326">
        <v>0</v>
      </c>
      <c r="P112" s="565">
        <f t="shared" si="13"/>
        <v>100408</v>
      </c>
      <c r="Q112" s="565">
        <f t="shared" si="20"/>
        <v>100204</v>
      </c>
      <c r="R112" s="325" t="s">
        <v>1568</v>
      </c>
      <c r="S112" s="325" t="s">
        <v>187</v>
      </c>
      <c r="T112" s="327" t="s">
        <v>1284</v>
      </c>
      <c r="V112" s="43" t="s">
        <v>1746</v>
      </c>
      <c r="W112" s="221">
        <v>100000</v>
      </c>
      <c r="Y112" s="6">
        <f t="shared" si="14"/>
        <v>1</v>
      </c>
      <c r="Z112" s="562">
        <f t="shared" si="15"/>
        <v>100186</v>
      </c>
      <c r="AA112" s="122">
        <f t="shared" si="16"/>
        <v>222</v>
      </c>
      <c r="AB112" s="122">
        <f t="shared" si="17"/>
        <v>186</v>
      </c>
      <c r="AC112" s="6">
        <f t="shared" si="18"/>
        <v>1</v>
      </c>
      <c r="AD112" s="563">
        <f t="shared" si="21"/>
        <v>1</v>
      </c>
      <c r="AE112" s="64"/>
      <c r="AF112" s="31">
        <v>100000</v>
      </c>
      <c r="AG112" s="31">
        <v>0</v>
      </c>
      <c r="AH112" s="31">
        <v>186</v>
      </c>
      <c r="AI112" s="31">
        <v>18</v>
      </c>
      <c r="AJ112" s="31">
        <v>100204</v>
      </c>
      <c r="AK112" s="31">
        <v>100408</v>
      </c>
      <c r="AL112" s="31">
        <v>0</v>
      </c>
      <c r="AM112" s="56">
        <v>100408</v>
      </c>
      <c r="AN112" s="31">
        <v>100204</v>
      </c>
      <c r="AO112" s="31" t="s">
        <v>1568</v>
      </c>
      <c r="AP112" s="23" t="s">
        <v>187</v>
      </c>
      <c r="AQ112" s="23" t="s">
        <v>1284</v>
      </c>
    </row>
    <row r="113" spans="1:43">
      <c r="A113" s="39">
        <v>110</v>
      </c>
      <c r="B113" s="39">
        <v>105</v>
      </c>
      <c r="C113" s="572" t="str">
        <f t="shared" si="11"/>
        <v>目白アパート</v>
      </c>
      <c r="D113" s="45" t="s">
        <v>1747</v>
      </c>
      <c r="E113" s="46">
        <v>23.86</v>
      </c>
      <c r="F113" s="324">
        <v>631</v>
      </c>
      <c r="G113" s="566" t="str">
        <f t="shared" si="12"/>
        <v>住居</v>
      </c>
      <c r="H113" s="44" t="s">
        <v>1567</v>
      </c>
      <c r="I113" s="325">
        <v>79000</v>
      </c>
      <c r="J113" s="325">
        <v>3000</v>
      </c>
      <c r="K113" s="325">
        <v>0</v>
      </c>
      <c r="L113" s="325">
        <v>0</v>
      </c>
      <c r="M113" s="565">
        <f t="shared" si="19"/>
        <v>82000</v>
      </c>
      <c r="N113" s="326">
        <v>89000</v>
      </c>
      <c r="O113" s="326">
        <v>0</v>
      </c>
      <c r="P113" s="565">
        <f t="shared" si="13"/>
        <v>89000</v>
      </c>
      <c r="Q113" s="565">
        <f t="shared" si="20"/>
        <v>82000</v>
      </c>
      <c r="R113" s="325" t="s">
        <v>1568</v>
      </c>
      <c r="S113" s="325" t="s">
        <v>187</v>
      </c>
      <c r="T113" s="327" t="s">
        <v>1284</v>
      </c>
      <c r="V113" s="43" t="s">
        <v>1748</v>
      </c>
      <c r="W113" s="221">
        <v>75000</v>
      </c>
      <c r="Y113" s="6">
        <f t="shared" si="14"/>
        <v>1</v>
      </c>
      <c r="Z113" s="562">
        <f t="shared" si="15"/>
        <v>82000</v>
      </c>
      <c r="AA113" s="122">
        <f t="shared" si="16"/>
        <v>7000</v>
      </c>
      <c r="AB113" s="122">
        <f t="shared" si="17"/>
        <v>7000</v>
      </c>
      <c r="AC113" s="6">
        <f t="shared" si="18"/>
        <v>1</v>
      </c>
      <c r="AD113" s="563">
        <f t="shared" si="21"/>
        <v>1</v>
      </c>
      <c r="AE113" s="64"/>
      <c r="AF113" s="31">
        <v>79000</v>
      </c>
      <c r="AG113" s="31">
        <v>3000</v>
      </c>
      <c r="AH113" s="31">
        <v>0</v>
      </c>
      <c r="AI113" s="31">
        <v>0</v>
      </c>
      <c r="AJ113" s="31">
        <v>82000</v>
      </c>
      <c r="AK113" s="31">
        <v>89000</v>
      </c>
      <c r="AL113" s="31">
        <v>0</v>
      </c>
      <c r="AM113" s="56">
        <v>89000</v>
      </c>
      <c r="AN113" s="31">
        <v>82000</v>
      </c>
      <c r="AO113" s="31" t="s">
        <v>1568</v>
      </c>
      <c r="AP113" s="23" t="s">
        <v>187</v>
      </c>
      <c r="AQ113" s="23" t="s">
        <v>1284</v>
      </c>
    </row>
    <row r="114" spans="1:43">
      <c r="A114" s="39">
        <v>111</v>
      </c>
      <c r="B114" s="39">
        <v>105</v>
      </c>
      <c r="C114" s="572" t="str">
        <f t="shared" si="11"/>
        <v>目白アパート</v>
      </c>
      <c r="D114" s="45" t="s">
        <v>1749</v>
      </c>
      <c r="E114" s="46">
        <v>28.62</v>
      </c>
      <c r="F114" s="324">
        <v>631</v>
      </c>
      <c r="G114" s="566" t="str">
        <f t="shared" si="12"/>
        <v>住居</v>
      </c>
      <c r="H114" s="44" t="s">
        <v>1667</v>
      </c>
      <c r="I114" s="325">
        <v>105000</v>
      </c>
      <c r="J114" s="325">
        <v>5000</v>
      </c>
      <c r="K114" s="325">
        <v>0</v>
      </c>
      <c r="L114" s="325">
        <v>0</v>
      </c>
      <c r="M114" s="565">
        <f t="shared" si="19"/>
        <v>110000</v>
      </c>
      <c r="N114" s="326">
        <v>110000</v>
      </c>
      <c r="O114" s="326">
        <v>0</v>
      </c>
      <c r="P114" s="565">
        <f t="shared" si="13"/>
        <v>110000</v>
      </c>
      <c r="Q114" s="565">
        <f t="shared" si="20"/>
        <v>110000</v>
      </c>
      <c r="R114" s="325" t="s">
        <v>1578</v>
      </c>
      <c r="S114" s="325" t="s">
        <v>187</v>
      </c>
      <c r="T114" s="327" t="s">
        <v>1284</v>
      </c>
      <c r="V114" s="43" t="s">
        <v>1750</v>
      </c>
      <c r="W114" s="221">
        <v>100000</v>
      </c>
      <c r="Y114" s="6">
        <f t="shared" si="14"/>
        <v>1</v>
      </c>
      <c r="Z114" s="562">
        <f t="shared" si="15"/>
        <v>110000</v>
      </c>
      <c r="AA114" s="122">
        <f t="shared" si="16"/>
        <v>0</v>
      </c>
      <c r="AB114" s="122">
        <f t="shared" si="17"/>
        <v>10000</v>
      </c>
      <c r="AC114" s="6">
        <f t="shared" si="18"/>
        <v>1</v>
      </c>
      <c r="AD114" s="563">
        <f t="shared" si="21"/>
        <v>1</v>
      </c>
      <c r="AE114" s="64"/>
      <c r="AF114" s="31">
        <v>105000</v>
      </c>
      <c r="AG114" s="31">
        <v>5000</v>
      </c>
      <c r="AH114" s="31">
        <v>0</v>
      </c>
      <c r="AI114" s="31">
        <v>0</v>
      </c>
      <c r="AJ114" s="31">
        <v>110000</v>
      </c>
      <c r="AK114" s="31">
        <v>110000</v>
      </c>
      <c r="AL114" s="31">
        <v>0</v>
      </c>
      <c r="AM114" s="56">
        <v>110000</v>
      </c>
      <c r="AN114" s="31">
        <v>110000</v>
      </c>
      <c r="AO114" s="31" t="s">
        <v>1578</v>
      </c>
      <c r="AP114" s="23" t="s">
        <v>187</v>
      </c>
      <c r="AQ114" s="23" t="s">
        <v>1284</v>
      </c>
    </row>
    <row r="115" spans="1:43">
      <c r="A115" s="39">
        <v>112</v>
      </c>
      <c r="B115" s="39">
        <v>105</v>
      </c>
      <c r="C115" s="572" t="str">
        <f t="shared" si="11"/>
        <v>目白アパート</v>
      </c>
      <c r="D115" s="45" t="s">
        <v>1751</v>
      </c>
      <c r="E115" s="46">
        <v>33.39</v>
      </c>
      <c r="F115" s="324">
        <v>631</v>
      </c>
      <c r="G115" s="566" t="str">
        <f t="shared" si="12"/>
        <v>住居</v>
      </c>
      <c r="H115" s="44" t="s">
        <v>1667</v>
      </c>
      <c r="I115" s="325">
        <v>115000</v>
      </c>
      <c r="J115" s="325">
        <v>0</v>
      </c>
      <c r="K115" s="325">
        <v>1852</v>
      </c>
      <c r="L115" s="325">
        <v>185</v>
      </c>
      <c r="M115" s="565">
        <f t="shared" si="19"/>
        <v>117037</v>
      </c>
      <c r="N115" s="326">
        <v>117037</v>
      </c>
      <c r="O115" s="326">
        <v>0</v>
      </c>
      <c r="P115" s="565">
        <f t="shared" si="13"/>
        <v>117037</v>
      </c>
      <c r="Q115" s="565">
        <f t="shared" si="20"/>
        <v>117037</v>
      </c>
      <c r="R115" s="325" t="s">
        <v>1568</v>
      </c>
      <c r="S115" s="325" t="s">
        <v>187</v>
      </c>
      <c r="T115" s="327" t="s">
        <v>1284</v>
      </c>
      <c r="V115" s="43" t="s">
        <v>1752</v>
      </c>
      <c r="W115" s="221">
        <v>117000</v>
      </c>
      <c r="Y115" s="6">
        <f t="shared" si="14"/>
        <v>1</v>
      </c>
      <c r="Z115" s="562">
        <f t="shared" si="15"/>
        <v>116852</v>
      </c>
      <c r="AA115" s="122">
        <f t="shared" si="16"/>
        <v>185</v>
      </c>
      <c r="AB115" s="122">
        <f t="shared" si="17"/>
        <v>-148</v>
      </c>
      <c r="AC115" s="6">
        <f t="shared" si="18"/>
        <v>1</v>
      </c>
      <c r="AD115" s="563">
        <f t="shared" si="21"/>
        <v>1</v>
      </c>
      <c r="AE115" s="64"/>
      <c r="AF115" s="31">
        <v>115000</v>
      </c>
      <c r="AG115" s="31">
        <v>0</v>
      </c>
      <c r="AH115" s="31">
        <v>1852</v>
      </c>
      <c r="AI115" s="31">
        <v>185</v>
      </c>
      <c r="AJ115" s="31">
        <v>117037</v>
      </c>
      <c r="AK115" s="31">
        <v>117037</v>
      </c>
      <c r="AL115" s="31">
        <v>0</v>
      </c>
      <c r="AM115" s="56">
        <v>117037</v>
      </c>
      <c r="AN115" s="31">
        <v>117037</v>
      </c>
      <c r="AO115" s="31" t="s">
        <v>1568</v>
      </c>
      <c r="AP115" s="23" t="s">
        <v>187</v>
      </c>
      <c r="AQ115" s="23" t="s">
        <v>1284</v>
      </c>
    </row>
    <row r="116" spans="1:43">
      <c r="A116" s="39">
        <v>113</v>
      </c>
      <c r="B116" s="39">
        <v>105</v>
      </c>
      <c r="C116" s="572" t="str">
        <f t="shared" si="11"/>
        <v>目白アパート</v>
      </c>
      <c r="D116" s="45" t="s">
        <v>1673</v>
      </c>
      <c r="E116" s="46">
        <v>0</v>
      </c>
      <c r="F116" s="324">
        <v>634</v>
      </c>
      <c r="G116" s="566" t="str">
        <f t="shared" si="12"/>
        <v>駐車場</v>
      </c>
      <c r="H116" s="44" t="s">
        <v>1674</v>
      </c>
      <c r="I116" s="325">
        <v>35000</v>
      </c>
      <c r="J116" s="325">
        <v>0</v>
      </c>
      <c r="K116" s="325">
        <v>0</v>
      </c>
      <c r="L116" s="325">
        <v>3500</v>
      </c>
      <c r="M116" s="565">
        <f t="shared" si="19"/>
        <v>38500</v>
      </c>
      <c r="N116" s="326">
        <v>35000</v>
      </c>
      <c r="O116" s="326">
        <v>3500</v>
      </c>
      <c r="P116" s="565">
        <f t="shared" si="13"/>
        <v>38500</v>
      </c>
      <c r="Q116" s="565">
        <f t="shared" si="20"/>
        <v>38500</v>
      </c>
      <c r="R116" s="325" t="s">
        <v>1575</v>
      </c>
      <c r="S116" s="325" t="s">
        <v>187</v>
      </c>
      <c r="T116" s="327" t="s">
        <v>1284</v>
      </c>
      <c r="V116" s="43" t="s">
        <v>1753</v>
      </c>
      <c r="W116" s="221">
        <v>35000</v>
      </c>
      <c r="Y116" s="6">
        <f t="shared" si="14"/>
        <v>1</v>
      </c>
      <c r="Z116" s="562">
        <f t="shared" si="15"/>
        <v>35000</v>
      </c>
      <c r="AA116" s="122">
        <f t="shared" si="16"/>
        <v>0</v>
      </c>
      <c r="AB116" s="122">
        <f t="shared" si="17"/>
        <v>0</v>
      </c>
      <c r="AC116" s="6">
        <f t="shared" si="18"/>
        <v>1</v>
      </c>
      <c r="AD116" s="563">
        <f t="shared" si="21"/>
        <v>1</v>
      </c>
      <c r="AE116" s="64"/>
      <c r="AF116" s="31">
        <v>35000</v>
      </c>
      <c r="AG116" s="31">
        <v>0</v>
      </c>
      <c r="AH116" s="31">
        <v>0</v>
      </c>
      <c r="AI116" s="31">
        <v>3500</v>
      </c>
      <c r="AJ116" s="31">
        <v>38500</v>
      </c>
      <c r="AK116" s="31">
        <v>35000</v>
      </c>
      <c r="AL116" s="31">
        <v>3500</v>
      </c>
      <c r="AM116" s="56">
        <v>38500</v>
      </c>
      <c r="AN116" s="31">
        <v>38500</v>
      </c>
      <c r="AO116" s="31" t="s">
        <v>1575</v>
      </c>
      <c r="AP116" s="23" t="s">
        <v>187</v>
      </c>
      <c r="AQ116" s="23" t="s">
        <v>1284</v>
      </c>
    </row>
    <row r="117" spans="1:43">
      <c r="A117" s="39">
        <v>114</v>
      </c>
      <c r="B117" s="39">
        <v>105</v>
      </c>
      <c r="C117" s="572" t="str">
        <f t="shared" si="11"/>
        <v>目白アパート</v>
      </c>
      <c r="D117" s="45" t="s">
        <v>1676</v>
      </c>
      <c r="E117" s="46">
        <v>0</v>
      </c>
      <c r="F117" s="324">
        <v>634</v>
      </c>
      <c r="G117" s="566" t="str">
        <f t="shared" si="12"/>
        <v>駐車場</v>
      </c>
      <c r="H117" s="44" t="s">
        <v>1674</v>
      </c>
      <c r="I117" s="325">
        <v>35000</v>
      </c>
      <c r="J117" s="325">
        <v>0</v>
      </c>
      <c r="K117" s="325">
        <v>0</v>
      </c>
      <c r="L117" s="325">
        <v>3500</v>
      </c>
      <c r="M117" s="565">
        <f t="shared" si="19"/>
        <v>38500</v>
      </c>
      <c r="N117" s="326">
        <v>35000</v>
      </c>
      <c r="O117" s="326">
        <v>3500</v>
      </c>
      <c r="P117" s="565">
        <f t="shared" si="13"/>
        <v>38500</v>
      </c>
      <c r="Q117" s="565">
        <f t="shared" si="20"/>
        <v>38500</v>
      </c>
      <c r="R117" s="325" t="s">
        <v>1575</v>
      </c>
      <c r="S117" s="325" t="s">
        <v>187</v>
      </c>
      <c r="T117" s="327" t="s">
        <v>1284</v>
      </c>
      <c r="V117" s="43" t="s">
        <v>1754</v>
      </c>
      <c r="W117" s="221">
        <v>35000</v>
      </c>
      <c r="Y117" s="6">
        <f t="shared" si="14"/>
        <v>1</v>
      </c>
      <c r="Z117" s="562">
        <f t="shared" si="15"/>
        <v>35000</v>
      </c>
      <c r="AA117" s="122">
        <f t="shared" si="16"/>
        <v>0</v>
      </c>
      <c r="AB117" s="122">
        <f t="shared" si="17"/>
        <v>0</v>
      </c>
      <c r="AC117" s="6">
        <f t="shared" si="18"/>
        <v>1</v>
      </c>
      <c r="AD117" s="563">
        <f t="shared" si="21"/>
        <v>1</v>
      </c>
      <c r="AE117" s="64"/>
      <c r="AF117" s="31">
        <v>35000</v>
      </c>
      <c r="AG117" s="31">
        <v>0</v>
      </c>
      <c r="AH117" s="31">
        <v>0</v>
      </c>
      <c r="AI117" s="31">
        <v>3500</v>
      </c>
      <c r="AJ117" s="31">
        <v>38500</v>
      </c>
      <c r="AK117" s="31">
        <v>35000</v>
      </c>
      <c r="AL117" s="31">
        <v>3500</v>
      </c>
      <c r="AM117" s="56">
        <v>38500</v>
      </c>
      <c r="AN117" s="31">
        <v>38500</v>
      </c>
      <c r="AO117" s="31" t="s">
        <v>1575</v>
      </c>
      <c r="AP117" s="23" t="s">
        <v>187</v>
      </c>
      <c r="AQ117" s="23" t="s">
        <v>1284</v>
      </c>
    </row>
    <row r="118" spans="1:43">
      <c r="A118" s="39">
        <v>115</v>
      </c>
      <c r="B118" s="39">
        <v>105</v>
      </c>
      <c r="C118" s="572" t="str">
        <f t="shared" si="11"/>
        <v>目白アパート</v>
      </c>
      <c r="D118" s="45" t="s">
        <v>1755</v>
      </c>
      <c r="E118" s="46">
        <v>47.62</v>
      </c>
      <c r="F118" s="324">
        <v>633</v>
      </c>
      <c r="G118" s="566" t="str">
        <f t="shared" si="12"/>
        <v>店舗</v>
      </c>
      <c r="H118" s="44" t="s">
        <v>1756</v>
      </c>
      <c r="I118" s="325">
        <v>90000</v>
      </c>
      <c r="J118" s="325">
        <v>0</v>
      </c>
      <c r="K118" s="325">
        <v>0</v>
      </c>
      <c r="L118" s="325">
        <v>9000</v>
      </c>
      <c r="M118" s="565">
        <f t="shared" si="19"/>
        <v>99000</v>
      </c>
      <c r="N118" s="326">
        <v>90000</v>
      </c>
      <c r="O118" s="326">
        <v>9000</v>
      </c>
      <c r="P118" s="565">
        <f t="shared" si="13"/>
        <v>99000</v>
      </c>
      <c r="Q118" s="565">
        <f t="shared" si="20"/>
        <v>99000</v>
      </c>
      <c r="R118" s="325" t="s">
        <v>1575</v>
      </c>
      <c r="S118" s="325" t="s">
        <v>187</v>
      </c>
      <c r="T118" s="327" t="s">
        <v>1284</v>
      </c>
      <c r="V118" s="43" t="s">
        <v>1757</v>
      </c>
      <c r="W118" s="221">
        <v>90000</v>
      </c>
      <c r="Y118" s="6">
        <f t="shared" si="14"/>
        <v>1</v>
      </c>
      <c r="Z118" s="562">
        <f t="shared" si="15"/>
        <v>90000</v>
      </c>
      <c r="AA118" s="122">
        <f t="shared" si="16"/>
        <v>0</v>
      </c>
      <c r="AB118" s="122">
        <f t="shared" si="17"/>
        <v>0</v>
      </c>
      <c r="AC118" s="6">
        <f t="shared" si="18"/>
        <v>1</v>
      </c>
      <c r="AD118" s="563">
        <f t="shared" si="21"/>
        <v>1</v>
      </c>
      <c r="AE118" s="64"/>
      <c r="AF118" s="31">
        <v>90000</v>
      </c>
      <c r="AG118" s="31">
        <v>0</v>
      </c>
      <c r="AH118" s="31">
        <v>0</v>
      </c>
      <c r="AI118" s="31">
        <v>9000</v>
      </c>
      <c r="AJ118" s="31">
        <v>99000</v>
      </c>
      <c r="AK118" s="31">
        <v>90000</v>
      </c>
      <c r="AL118" s="31">
        <v>9000</v>
      </c>
      <c r="AM118" s="56">
        <v>99000</v>
      </c>
      <c r="AN118" s="31">
        <v>99000</v>
      </c>
      <c r="AO118" s="31" t="s">
        <v>1575</v>
      </c>
      <c r="AP118" s="23" t="s">
        <v>187</v>
      </c>
      <c r="AQ118" s="23" t="s">
        <v>1284</v>
      </c>
    </row>
    <row r="119" spans="1:43">
      <c r="A119" s="39">
        <v>116</v>
      </c>
      <c r="B119" s="39">
        <v>105</v>
      </c>
      <c r="C119" s="572" t="str">
        <f t="shared" si="11"/>
        <v>目白アパート</v>
      </c>
      <c r="D119" s="45" t="s">
        <v>1618</v>
      </c>
      <c r="E119" s="46">
        <v>0</v>
      </c>
      <c r="F119" s="324">
        <v>635</v>
      </c>
      <c r="G119" s="566" t="str">
        <f t="shared" si="12"/>
        <v>アンテナ</v>
      </c>
      <c r="H119" s="44" t="s">
        <v>729</v>
      </c>
      <c r="I119" s="325">
        <v>12000</v>
      </c>
      <c r="J119" s="325">
        <v>0</v>
      </c>
      <c r="K119" s="325">
        <v>0</v>
      </c>
      <c r="L119" s="325">
        <v>1200</v>
      </c>
      <c r="M119" s="565">
        <f t="shared" si="19"/>
        <v>13200</v>
      </c>
      <c r="N119" s="326">
        <v>12000</v>
      </c>
      <c r="O119" s="326">
        <v>1199.9999999999998</v>
      </c>
      <c r="P119" s="565">
        <f t="shared" si="13"/>
        <v>13200</v>
      </c>
      <c r="Q119" s="565">
        <f t="shared" si="20"/>
        <v>13200</v>
      </c>
      <c r="R119" s="325" t="s">
        <v>1575</v>
      </c>
      <c r="S119" s="325" t="s">
        <v>187</v>
      </c>
      <c r="T119" s="327" t="s">
        <v>1284</v>
      </c>
      <c r="V119" s="43" t="s">
        <v>1758</v>
      </c>
      <c r="W119" s="221">
        <v>0</v>
      </c>
      <c r="Y119" s="6">
        <f t="shared" si="14"/>
        <v>1</v>
      </c>
      <c r="Z119" s="562">
        <f t="shared" si="15"/>
        <v>12000</v>
      </c>
      <c r="AA119" s="122">
        <f t="shared" si="16"/>
        <v>0</v>
      </c>
      <c r="AB119" s="122">
        <f t="shared" si="17"/>
        <v>12000</v>
      </c>
      <c r="AC119" s="6">
        <f t="shared" si="18"/>
        <v>1</v>
      </c>
      <c r="AD119" s="563">
        <f t="shared" si="21"/>
        <v>1</v>
      </c>
      <c r="AE119" s="64"/>
      <c r="AF119" s="31">
        <v>12000</v>
      </c>
      <c r="AG119" s="31">
        <v>0</v>
      </c>
      <c r="AH119" s="31">
        <v>0</v>
      </c>
      <c r="AI119" s="31">
        <v>1200</v>
      </c>
      <c r="AJ119" s="31">
        <v>13200</v>
      </c>
      <c r="AK119" s="31">
        <v>12000</v>
      </c>
      <c r="AL119" s="31">
        <v>1199.9999999999998</v>
      </c>
      <c r="AM119" s="56">
        <v>13200</v>
      </c>
      <c r="AN119" s="31">
        <v>13200</v>
      </c>
      <c r="AO119" s="31" t="s">
        <v>1575</v>
      </c>
      <c r="AP119" s="23" t="s">
        <v>187</v>
      </c>
      <c r="AQ119" s="23" t="s">
        <v>1284</v>
      </c>
    </row>
    <row r="120" spans="1:43">
      <c r="A120" s="39">
        <v>117</v>
      </c>
      <c r="B120" s="39">
        <v>105</v>
      </c>
      <c r="C120" s="572" t="str">
        <f t="shared" si="11"/>
        <v>目白アパート</v>
      </c>
      <c r="D120" s="45" t="s">
        <v>1759</v>
      </c>
      <c r="E120" s="46">
        <v>0</v>
      </c>
      <c r="F120" s="324">
        <v>635</v>
      </c>
      <c r="G120" s="566" t="str">
        <f t="shared" si="12"/>
        <v>アンテナ</v>
      </c>
      <c r="H120" s="44" t="s">
        <v>729</v>
      </c>
      <c r="I120" s="325">
        <v>22324</v>
      </c>
      <c r="J120" s="325">
        <v>0</v>
      </c>
      <c r="K120" s="325">
        <v>0</v>
      </c>
      <c r="L120" s="325">
        <v>0</v>
      </c>
      <c r="M120" s="565">
        <f t="shared" si="19"/>
        <v>22324</v>
      </c>
      <c r="N120" s="326">
        <v>20294</v>
      </c>
      <c r="O120" s="326">
        <v>2029.4545454545453</v>
      </c>
      <c r="P120" s="565">
        <f t="shared" si="13"/>
        <v>22323.454545454544</v>
      </c>
      <c r="Q120" s="565">
        <f t="shared" si="20"/>
        <v>22324</v>
      </c>
      <c r="R120" s="325" t="s">
        <v>1575</v>
      </c>
      <c r="S120" s="325" t="s">
        <v>187</v>
      </c>
      <c r="T120" s="327" t="s">
        <v>1760</v>
      </c>
      <c r="V120" s="43" t="s">
        <v>1761</v>
      </c>
      <c r="W120" s="221">
        <v>22324</v>
      </c>
      <c r="Y120" s="6">
        <f t="shared" si="14"/>
        <v>1</v>
      </c>
      <c r="Z120" s="562">
        <f t="shared" si="15"/>
        <v>22324</v>
      </c>
      <c r="AA120" s="122">
        <f t="shared" si="16"/>
        <v>-2030</v>
      </c>
      <c r="AB120" s="122">
        <f t="shared" si="17"/>
        <v>0</v>
      </c>
      <c r="AC120" s="6">
        <f t="shared" si="18"/>
        <v>1</v>
      </c>
      <c r="AD120" s="563">
        <f t="shared" si="21"/>
        <v>1</v>
      </c>
      <c r="AE120" s="64"/>
      <c r="AF120" s="31">
        <v>22324</v>
      </c>
      <c r="AG120" s="31">
        <v>0</v>
      </c>
      <c r="AH120" s="31">
        <v>0</v>
      </c>
      <c r="AI120" s="31">
        <v>0</v>
      </c>
      <c r="AJ120" s="31">
        <v>22324</v>
      </c>
      <c r="AK120" s="31">
        <v>20294</v>
      </c>
      <c r="AL120" s="31">
        <v>2029.4545454545453</v>
      </c>
      <c r="AM120" s="56">
        <v>22323.454545454544</v>
      </c>
      <c r="AN120" s="31">
        <v>22324</v>
      </c>
      <c r="AO120" s="31" t="s">
        <v>1575</v>
      </c>
      <c r="AP120" s="23" t="s">
        <v>187</v>
      </c>
      <c r="AQ120" s="23" t="s">
        <v>1762</v>
      </c>
    </row>
    <row r="121" spans="1:43">
      <c r="A121" s="39">
        <v>118</v>
      </c>
      <c r="B121" s="39">
        <v>105</v>
      </c>
      <c r="C121" s="572" t="str">
        <f t="shared" si="11"/>
        <v>目白アパート</v>
      </c>
      <c r="D121" s="45" t="s">
        <v>1622</v>
      </c>
      <c r="E121" s="46" t="s">
        <v>1017</v>
      </c>
      <c r="F121" s="324">
        <v>639</v>
      </c>
      <c r="G121" s="566" t="str">
        <f t="shared" si="12"/>
        <v>その他</v>
      </c>
      <c r="H121" s="44" t="s">
        <v>729</v>
      </c>
      <c r="I121" s="325">
        <v>0</v>
      </c>
      <c r="J121" s="325">
        <v>0</v>
      </c>
      <c r="K121" s="325">
        <v>0</v>
      </c>
      <c r="L121" s="325">
        <v>0</v>
      </c>
      <c r="M121" s="565">
        <f t="shared" si="19"/>
        <v>0</v>
      </c>
      <c r="N121" s="326">
        <v>0</v>
      </c>
      <c r="O121" s="326">
        <v>0</v>
      </c>
      <c r="P121" s="565">
        <f t="shared" si="13"/>
        <v>0</v>
      </c>
      <c r="Q121" s="565">
        <f t="shared" si="20"/>
        <v>0</v>
      </c>
      <c r="R121" s="325" t="s">
        <v>1017</v>
      </c>
      <c r="S121" s="325" t="s">
        <v>283</v>
      </c>
      <c r="T121" s="327" t="s">
        <v>1623</v>
      </c>
      <c r="V121" s="43" t="s">
        <v>1763</v>
      </c>
      <c r="W121" s="221">
        <v>0</v>
      </c>
      <c r="Y121" s="6">
        <f t="shared" si="14"/>
        <v>0</v>
      </c>
      <c r="Z121" s="562">
        <f t="shared" si="15"/>
        <v>0</v>
      </c>
      <c r="AA121" s="122">
        <f t="shared" si="16"/>
        <v>0</v>
      </c>
      <c r="AB121" s="122">
        <f t="shared" si="17"/>
        <v>0</v>
      </c>
      <c r="AC121" s="6">
        <f t="shared" si="18"/>
        <v>0</v>
      </c>
      <c r="AD121" s="563">
        <f t="shared" si="21"/>
        <v>1</v>
      </c>
      <c r="AE121" s="64"/>
      <c r="AF121" s="31">
        <v>0</v>
      </c>
      <c r="AG121" s="31">
        <v>0</v>
      </c>
      <c r="AH121" s="31">
        <v>0</v>
      </c>
      <c r="AI121" s="31">
        <v>0</v>
      </c>
      <c r="AJ121" s="31">
        <v>0</v>
      </c>
      <c r="AK121" s="31">
        <v>0</v>
      </c>
      <c r="AL121" s="31">
        <v>0</v>
      </c>
      <c r="AM121" s="56">
        <v>0</v>
      </c>
      <c r="AN121" s="31">
        <v>0</v>
      </c>
      <c r="AO121" s="31" t="s">
        <v>1017</v>
      </c>
      <c r="AP121" s="23" t="s">
        <v>283</v>
      </c>
      <c r="AQ121" s="23" t="s">
        <v>1623</v>
      </c>
    </row>
    <row r="122" spans="1:43">
      <c r="A122" s="39">
        <v>119</v>
      </c>
      <c r="B122" s="39">
        <v>105</v>
      </c>
      <c r="C122" s="572" t="str">
        <f t="shared" si="11"/>
        <v>目白アパート</v>
      </c>
      <c r="D122" s="45" t="s">
        <v>1764</v>
      </c>
      <c r="E122" s="46" t="s">
        <v>1017</v>
      </c>
      <c r="F122" s="324">
        <v>639</v>
      </c>
      <c r="G122" s="566" t="str">
        <f t="shared" si="12"/>
        <v>その他</v>
      </c>
      <c r="H122" s="44" t="s">
        <v>729</v>
      </c>
      <c r="I122" s="325">
        <v>0</v>
      </c>
      <c r="J122" s="325">
        <v>0</v>
      </c>
      <c r="K122" s="325">
        <v>0</v>
      </c>
      <c r="L122" s="325">
        <v>0</v>
      </c>
      <c r="M122" s="565">
        <f t="shared" si="19"/>
        <v>0</v>
      </c>
      <c r="N122" s="326">
        <v>0</v>
      </c>
      <c r="O122" s="326">
        <v>0</v>
      </c>
      <c r="P122" s="565">
        <f t="shared" si="13"/>
        <v>0</v>
      </c>
      <c r="Q122" s="565">
        <f t="shared" si="20"/>
        <v>0</v>
      </c>
      <c r="R122" s="325" t="s">
        <v>1017</v>
      </c>
      <c r="S122" s="325" t="s">
        <v>283</v>
      </c>
      <c r="T122" s="327" t="s">
        <v>1765</v>
      </c>
      <c r="V122" s="43" t="s">
        <v>1766</v>
      </c>
      <c r="W122" s="221">
        <v>0</v>
      </c>
      <c r="Y122" s="6">
        <f t="shared" si="14"/>
        <v>0</v>
      </c>
      <c r="Z122" s="562">
        <f t="shared" si="15"/>
        <v>0</v>
      </c>
      <c r="AA122" s="122">
        <f t="shared" si="16"/>
        <v>0</v>
      </c>
      <c r="AB122" s="122">
        <f t="shared" si="17"/>
        <v>0</v>
      </c>
      <c r="AC122" s="6">
        <f t="shared" si="18"/>
        <v>0</v>
      </c>
      <c r="AD122" s="563">
        <f t="shared" si="21"/>
        <v>1</v>
      </c>
      <c r="AE122" s="64"/>
      <c r="AF122" s="31">
        <v>0</v>
      </c>
      <c r="AG122" s="31">
        <v>0</v>
      </c>
      <c r="AH122" s="31">
        <v>0</v>
      </c>
      <c r="AI122" s="31">
        <v>0</v>
      </c>
      <c r="AJ122" s="31">
        <v>0</v>
      </c>
      <c r="AK122" s="31">
        <v>0</v>
      </c>
      <c r="AL122" s="31">
        <v>0</v>
      </c>
      <c r="AM122" s="56">
        <v>0</v>
      </c>
      <c r="AN122" s="31">
        <v>0</v>
      </c>
      <c r="AO122" s="31" t="s">
        <v>1017</v>
      </c>
      <c r="AP122" s="23" t="s">
        <v>283</v>
      </c>
      <c r="AQ122" s="23" t="s">
        <v>1765</v>
      </c>
    </row>
    <row r="123" spans="1:43">
      <c r="A123" s="40">
        <v>120</v>
      </c>
      <c r="B123" s="40">
        <v>106</v>
      </c>
      <c r="C123" s="573" t="str">
        <f t="shared" si="11"/>
        <v>東池袋ハイツ</v>
      </c>
      <c r="D123" s="45" t="s">
        <v>1566</v>
      </c>
      <c r="E123" s="46">
        <v>48.36</v>
      </c>
      <c r="F123" s="324">
        <v>631</v>
      </c>
      <c r="G123" s="566" t="str">
        <f t="shared" si="12"/>
        <v>住居</v>
      </c>
      <c r="H123" s="44" t="s">
        <v>1667</v>
      </c>
      <c r="I123" s="325">
        <v>116000</v>
      </c>
      <c r="J123" s="325">
        <v>10000</v>
      </c>
      <c r="K123" s="325">
        <v>0</v>
      </c>
      <c r="L123" s="325">
        <v>0</v>
      </c>
      <c r="M123" s="565">
        <f t="shared" si="19"/>
        <v>126000</v>
      </c>
      <c r="N123" s="326">
        <v>158000</v>
      </c>
      <c r="O123" s="326">
        <v>0</v>
      </c>
      <c r="P123" s="565">
        <f t="shared" si="13"/>
        <v>158000</v>
      </c>
      <c r="Q123" s="565">
        <f t="shared" si="20"/>
        <v>126000</v>
      </c>
      <c r="R123" s="325" t="s">
        <v>1578</v>
      </c>
      <c r="S123" s="325" t="s">
        <v>187</v>
      </c>
      <c r="T123" s="327" t="s">
        <v>1284</v>
      </c>
      <c r="V123" s="43" t="s">
        <v>1767</v>
      </c>
      <c r="W123" s="221">
        <v>127000</v>
      </c>
      <c r="Y123" s="6">
        <f t="shared" si="14"/>
        <v>1</v>
      </c>
      <c r="Z123" s="562">
        <f t="shared" si="15"/>
        <v>126000</v>
      </c>
      <c r="AA123" s="122">
        <f t="shared" si="16"/>
        <v>32000</v>
      </c>
      <c r="AB123" s="122">
        <f t="shared" si="17"/>
        <v>-1000</v>
      </c>
      <c r="AC123" s="6">
        <f t="shared" si="18"/>
        <v>1</v>
      </c>
      <c r="AD123" s="563">
        <f t="shared" si="21"/>
        <v>1</v>
      </c>
      <c r="AE123" s="64"/>
      <c r="AF123" s="31">
        <v>116000</v>
      </c>
      <c r="AG123" s="31">
        <v>10000</v>
      </c>
      <c r="AH123" s="31">
        <v>0</v>
      </c>
      <c r="AI123" s="31">
        <v>0</v>
      </c>
      <c r="AJ123" s="31">
        <v>126000</v>
      </c>
      <c r="AK123" s="31">
        <v>158000</v>
      </c>
      <c r="AL123" s="31">
        <v>0</v>
      </c>
      <c r="AM123" s="56">
        <v>158000</v>
      </c>
      <c r="AN123" s="31">
        <v>126000</v>
      </c>
      <c r="AO123" s="31" t="s">
        <v>1578</v>
      </c>
      <c r="AP123" s="23" t="s">
        <v>187</v>
      </c>
      <c r="AQ123" s="23" t="s">
        <v>1284</v>
      </c>
    </row>
    <row r="124" spans="1:43">
      <c r="A124" s="40">
        <v>121</v>
      </c>
      <c r="B124" s="40">
        <v>106</v>
      </c>
      <c r="C124" s="573" t="str">
        <f t="shared" si="11"/>
        <v>東池袋ハイツ</v>
      </c>
      <c r="D124" s="45" t="s">
        <v>1570</v>
      </c>
      <c r="E124" s="46">
        <v>52.75</v>
      </c>
      <c r="F124" s="324">
        <v>631</v>
      </c>
      <c r="G124" s="566" t="str">
        <f t="shared" si="12"/>
        <v>住居</v>
      </c>
      <c r="H124" s="44" t="s">
        <v>1717</v>
      </c>
      <c r="I124" s="325">
        <v>157000</v>
      </c>
      <c r="J124" s="325">
        <v>10000</v>
      </c>
      <c r="K124" s="325">
        <v>0</v>
      </c>
      <c r="L124" s="325">
        <v>0</v>
      </c>
      <c r="M124" s="565">
        <f t="shared" si="19"/>
        <v>167000</v>
      </c>
      <c r="N124" s="326">
        <v>167000</v>
      </c>
      <c r="O124" s="326">
        <v>0</v>
      </c>
      <c r="P124" s="565">
        <f t="shared" si="13"/>
        <v>167000</v>
      </c>
      <c r="Q124" s="565">
        <f t="shared" si="20"/>
        <v>167000</v>
      </c>
      <c r="R124" s="325" t="s">
        <v>1568</v>
      </c>
      <c r="S124" s="325" t="s">
        <v>187</v>
      </c>
      <c r="T124" s="327" t="s">
        <v>1284</v>
      </c>
      <c r="V124" s="43" t="s">
        <v>1768</v>
      </c>
      <c r="W124" s="221">
        <v>139000</v>
      </c>
      <c r="Y124" s="6">
        <f t="shared" si="14"/>
        <v>1</v>
      </c>
      <c r="Z124" s="562">
        <f t="shared" si="15"/>
        <v>167000</v>
      </c>
      <c r="AA124" s="122">
        <f t="shared" si="16"/>
        <v>0</v>
      </c>
      <c r="AB124" s="122">
        <f t="shared" si="17"/>
        <v>28000</v>
      </c>
      <c r="AC124" s="6">
        <f t="shared" si="18"/>
        <v>1</v>
      </c>
      <c r="AD124" s="563">
        <f t="shared" si="21"/>
        <v>1</v>
      </c>
      <c r="AE124" s="64"/>
      <c r="AF124" s="31">
        <v>157000</v>
      </c>
      <c r="AG124" s="31">
        <v>10000</v>
      </c>
      <c r="AH124" s="31">
        <v>0</v>
      </c>
      <c r="AI124" s="31">
        <v>0</v>
      </c>
      <c r="AJ124" s="31">
        <v>167000</v>
      </c>
      <c r="AK124" s="31">
        <v>167000</v>
      </c>
      <c r="AL124" s="31">
        <v>0</v>
      </c>
      <c r="AM124" s="56">
        <v>167000</v>
      </c>
      <c r="AN124" s="31">
        <v>167000</v>
      </c>
      <c r="AO124" s="31" t="s">
        <v>1568</v>
      </c>
      <c r="AP124" s="23" t="s">
        <v>187</v>
      </c>
      <c r="AQ124" s="23" t="s">
        <v>1284</v>
      </c>
    </row>
    <row r="125" spans="1:43">
      <c r="A125" s="40">
        <v>122</v>
      </c>
      <c r="B125" s="40">
        <v>106</v>
      </c>
      <c r="C125" s="573" t="str">
        <f t="shared" si="11"/>
        <v>東池袋ハイツ</v>
      </c>
      <c r="D125" s="45" t="s">
        <v>1580</v>
      </c>
      <c r="E125" s="46">
        <v>43.2</v>
      </c>
      <c r="F125" s="324">
        <v>631</v>
      </c>
      <c r="G125" s="566" t="str">
        <f t="shared" si="12"/>
        <v>住居</v>
      </c>
      <c r="H125" s="44" t="s">
        <v>1667</v>
      </c>
      <c r="I125" s="325">
        <v>122000</v>
      </c>
      <c r="J125" s="325">
        <v>7000</v>
      </c>
      <c r="K125" s="325">
        <v>0</v>
      </c>
      <c r="L125" s="325">
        <v>0</v>
      </c>
      <c r="M125" s="565">
        <f t="shared" si="19"/>
        <v>129000</v>
      </c>
      <c r="N125" s="326">
        <v>129000</v>
      </c>
      <c r="O125" s="326">
        <v>0</v>
      </c>
      <c r="P125" s="565">
        <f t="shared" si="13"/>
        <v>129000</v>
      </c>
      <c r="Q125" s="565">
        <f t="shared" si="20"/>
        <v>129000</v>
      </c>
      <c r="R125" s="325" t="s">
        <v>1568</v>
      </c>
      <c r="S125" s="325" t="s">
        <v>187</v>
      </c>
      <c r="T125" s="327" t="s">
        <v>1284</v>
      </c>
      <c r="V125" s="43" t="s">
        <v>1769</v>
      </c>
      <c r="W125" s="221">
        <v>129000</v>
      </c>
      <c r="Y125" s="6">
        <f t="shared" si="14"/>
        <v>1</v>
      </c>
      <c r="Z125" s="562">
        <f t="shared" si="15"/>
        <v>129000</v>
      </c>
      <c r="AA125" s="122">
        <f t="shared" si="16"/>
        <v>0</v>
      </c>
      <c r="AB125" s="122">
        <f t="shared" si="17"/>
        <v>0</v>
      </c>
      <c r="AC125" s="6">
        <f t="shared" si="18"/>
        <v>1</v>
      </c>
      <c r="AD125" s="563">
        <f t="shared" si="21"/>
        <v>1</v>
      </c>
      <c r="AE125" s="64"/>
      <c r="AF125" s="31">
        <v>122000</v>
      </c>
      <c r="AG125" s="31">
        <v>7000</v>
      </c>
      <c r="AH125" s="31">
        <v>0</v>
      </c>
      <c r="AI125" s="31">
        <v>0</v>
      </c>
      <c r="AJ125" s="31">
        <v>129000</v>
      </c>
      <c r="AK125" s="31">
        <v>129000</v>
      </c>
      <c r="AL125" s="31">
        <v>0</v>
      </c>
      <c r="AM125" s="56">
        <v>129000</v>
      </c>
      <c r="AN125" s="31">
        <v>129000</v>
      </c>
      <c r="AO125" s="31" t="s">
        <v>1568</v>
      </c>
      <c r="AP125" s="23" t="s">
        <v>187</v>
      </c>
      <c r="AQ125" s="23" t="s">
        <v>1284</v>
      </c>
    </row>
    <row r="126" spans="1:43">
      <c r="A126" s="40">
        <v>123</v>
      </c>
      <c r="B126" s="40">
        <v>106</v>
      </c>
      <c r="C126" s="573" t="str">
        <f t="shared" si="11"/>
        <v>東池袋ハイツ</v>
      </c>
      <c r="D126" s="45" t="s">
        <v>1582</v>
      </c>
      <c r="E126" s="46">
        <v>43.2</v>
      </c>
      <c r="F126" s="324">
        <v>631</v>
      </c>
      <c r="G126" s="566" t="str">
        <f t="shared" si="12"/>
        <v>住居</v>
      </c>
      <c r="H126" s="44" t="s">
        <v>1667</v>
      </c>
      <c r="I126" s="325">
        <v>140000</v>
      </c>
      <c r="J126" s="325">
        <v>10000</v>
      </c>
      <c r="K126" s="325">
        <v>0</v>
      </c>
      <c r="L126" s="325">
        <v>0</v>
      </c>
      <c r="M126" s="565">
        <f t="shared" si="19"/>
        <v>150000</v>
      </c>
      <c r="N126" s="326">
        <v>152000</v>
      </c>
      <c r="O126" s="326">
        <v>0</v>
      </c>
      <c r="P126" s="565">
        <f t="shared" si="13"/>
        <v>152000</v>
      </c>
      <c r="Q126" s="565">
        <f t="shared" si="20"/>
        <v>150000</v>
      </c>
      <c r="R126" s="325" t="s">
        <v>1578</v>
      </c>
      <c r="S126" s="325" t="s">
        <v>187</v>
      </c>
      <c r="T126" s="327" t="s">
        <v>1284</v>
      </c>
      <c r="V126" s="43" t="s">
        <v>1770</v>
      </c>
      <c r="W126" s="221">
        <v>133000</v>
      </c>
      <c r="Y126" s="6">
        <f t="shared" si="14"/>
        <v>1</v>
      </c>
      <c r="Z126" s="562">
        <f t="shared" si="15"/>
        <v>150000</v>
      </c>
      <c r="AA126" s="122">
        <f t="shared" si="16"/>
        <v>2000</v>
      </c>
      <c r="AB126" s="122">
        <f t="shared" si="17"/>
        <v>17000</v>
      </c>
      <c r="AC126" s="6">
        <f t="shared" si="18"/>
        <v>1</v>
      </c>
      <c r="AD126" s="563">
        <f t="shared" si="21"/>
        <v>1</v>
      </c>
      <c r="AE126" s="64"/>
      <c r="AF126" s="31">
        <v>140000</v>
      </c>
      <c r="AG126" s="31">
        <v>10000</v>
      </c>
      <c r="AH126" s="31">
        <v>0</v>
      </c>
      <c r="AI126" s="31">
        <v>0</v>
      </c>
      <c r="AJ126" s="31">
        <v>150000</v>
      </c>
      <c r="AK126" s="31">
        <v>152000</v>
      </c>
      <c r="AL126" s="31">
        <v>0</v>
      </c>
      <c r="AM126" s="56">
        <v>152000</v>
      </c>
      <c r="AN126" s="31">
        <v>150000</v>
      </c>
      <c r="AO126" s="31" t="s">
        <v>1578</v>
      </c>
      <c r="AP126" s="23" t="s">
        <v>187</v>
      </c>
      <c r="AQ126" s="23" t="s">
        <v>1284</v>
      </c>
    </row>
    <row r="127" spans="1:43">
      <c r="A127" s="40">
        <v>124</v>
      </c>
      <c r="B127" s="40">
        <v>106</v>
      </c>
      <c r="C127" s="573" t="str">
        <f t="shared" si="11"/>
        <v>東池袋ハイツ</v>
      </c>
      <c r="D127" s="45" t="s">
        <v>1585</v>
      </c>
      <c r="E127" s="46">
        <v>48.36</v>
      </c>
      <c r="F127" s="324">
        <v>631</v>
      </c>
      <c r="G127" s="566" t="str">
        <f t="shared" si="12"/>
        <v>住居</v>
      </c>
      <c r="H127" s="44" t="s">
        <v>1667</v>
      </c>
      <c r="I127" s="325">
        <v>124000</v>
      </c>
      <c r="J127" s="325">
        <v>10000</v>
      </c>
      <c r="K127" s="325">
        <v>0</v>
      </c>
      <c r="L127" s="325">
        <v>0</v>
      </c>
      <c r="M127" s="565">
        <f t="shared" si="19"/>
        <v>134000</v>
      </c>
      <c r="N127" s="326">
        <v>134000</v>
      </c>
      <c r="O127" s="326">
        <v>0</v>
      </c>
      <c r="P127" s="565">
        <f t="shared" si="13"/>
        <v>134000</v>
      </c>
      <c r="Q127" s="565">
        <f t="shared" si="20"/>
        <v>134000</v>
      </c>
      <c r="R127" s="325" t="s">
        <v>1578</v>
      </c>
      <c r="S127" s="325" t="s">
        <v>187</v>
      </c>
      <c r="T127" s="327" t="s">
        <v>1284</v>
      </c>
      <c r="V127" s="43" t="s">
        <v>1771</v>
      </c>
      <c r="W127" s="221">
        <v>137000</v>
      </c>
      <c r="Y127" s="6">
        <f t="shared" si="14"/>
        <v>1</v>
      </c>
      <c r="Z127" s="562">
        <f t="shared" si="15"/>
        <v>134000</v>
      </c>
      <c r="AA127" s="122">
        <f t="shared" si="16"/>
        <v>0</v>
      </c>
      <c r="AB127" s="122">
        <f t="shared" si="17"/>
        <v>-3000</v>
      </c>
      <c r="AC127" s="6">
        <f t="shared" si="18"/>
        <v>1</v>
      </c>
      <c r="AD127" s="563">
        <f t="shared" si="21"/>
        <v>1</v>
      </c>
      <c r="AE127" s="64"/>
      <c r="AF127" s="31">
        <v>124000</v>
      </c>
      <c r="AG127" s="31">
        <v>10000</v>
      </c>
      <c r="AH127" s="31">
        <v>0</v>
      </c>
      <c r="AI127" s="31">
        <v>0</v>
      </c>
      <c r="AJ127" s="31">
        <v>134000</v>
      </c>
      <c r="AK127" s="31">
        <v>134000</v>
      </c>
      <c r="AL127" s="31">
        <v>0</v>
      </c>
      <c r="AM127" s="56">
        <v>134000</v>
      </c>
      <c r="AN127" s="31">
        <v>134000</v>
      </c>
      <c r="AO127" s="31" t="s">
        <v>1578</v>
      </c>
      <c r="AP127" s="23" t="s">
        <v>187</v>
      </c>
      <c r="AQ127" s="23" t="s">
        <v>1284</v>
      </c>
    </row>
    <row r="128" spans="1:43">
      <c r="A128" s="40">
        <v>125</v>
      </c>
      <c r="B128" s="40">
        <v>106</v>
      </c>
      <c r="C128" s="573" t="str">
        <f t="shared" si="11"/>
        <v>東池袋ハイツ</v>
      </c>
      <c r="D128" s="45" t="s">
        <v>1724</v>
      </c>
      <c r="E128" s="46">
        <v>52.75</v>
      </c>
      <c r="F128" s="324">
        <v>631</v>
      </c>
      <c r="G128" s="566" t="str">
        <f t="shared" si="12"/>
        <v>住居</v>
      </c>
      <c r="H128" s="44" t="s">
        <v>1717</v>
      </c>
      <c r="I128" s="325">
        <v>160000</v>
      </c>
      <c r="J128" s="325">
        <v>10000</v>
      </c>
      <c r="K128" s="325">
        <v>0</v>
      </c>
      <c r="L128" s="325">
        <v>0</v>
      </c>
      <c r="M128" s="565">
        <f t="shared" si="19"/>
        <v>170000</v>
      </c>
      <c r="N128" s="326">
        <v>168000</v>
      </c>
      <c r="O128" s="326">
        <v>0</v>
      </c>
      <c r="P128" s="565">
        <f t="shared" si="13"/>
        <v>168000</v>
      </c>
      <c r="Q128" s="565">
        <f t="shared" si="20"/>
        <v>170000</v>
      </c>
      <c r="R128" s="325" t="s">
        <v>1578</v>
      </c>
      <c r="S128" s="325" t="s">
        <v>187</v>
      </c>
      <c r="T128" s="327" t="s">
        <v>1284</v>
      </c>
      <c r="V128" s="43" t="s">
        <v>1772</v>
      </c>
      <c r="W128" s="221">
        <v>141000</v>
      </c>
      <c r="Y128" s="6">
        <f t="shared" si="14"/>
        <v>1</v>
      </c>
      <c r="Z128" s="562">
        <f t="shared" si="15"/>
        <v>170000</v>
      </c>
      <c r="AA128" s="122">
        <f t="shared" si="16"/>
        <v>-2000</v>
      </c>
      <c r="AB128" s="122">
        <f t="shared" si="17"/>
        <v>29000</v>
      </c>
      <c r="AC128" s="6">
        <f t="shared" si="18"/>
        <v>1</v>
      </c>
      <c r="AD128" s="563">
        <f t="shared" si="21"/>
        <v>1</v>
      </c>
      <c r="AE128" s="64"/>
      <c r="AF128" s="31">
        <v>160000</v>
      </c>
      <c r="AG128" s="31">
        <v>10000</v>
      </c>
      <c r="AH128" s="31">
        <v>0</v>
      </c>
      <c r="AI128" s="31">
        <v>0</v>
      </c>
      <c r="AJ128" s="31">
        <v>170000</v>
      </c>
      <c r="AK128" s="31">
        <v>168000</v>
      </c>
      <c r="AL128" s="31">
        <v>0</v>
      </c>
      <c r="AM128" s="56">
        <v>168000</v>
      </c>
      <c r="AN128" s="31">
        <v>170000</v>
      </c>
      <c r="AO128" s="31" t="s">
        <v>1578</v>
      </c>
      <c r="AP128" s="23" t="s">
        <v>187</v>
      </c>
      <c r="AQ128" s="23" t="s">
        <v>1284</v>
      </c>
    </row>
    <row r="129" spans="1:43">
      <c r="A129" s="40">
        <v>126</v>
      </c>
      <c r="B129" s="40">
        <v>106</v>
      </c>
      <c r="C129" s="573" t="str">
        <f t="shared" si="11"/>
        <v>東池袋ハイツ</v>
      </c>
      <c r="D129" s="45" t="s">
        <v>1589</v>
      </c>
      <c r="E129" s="46">
        <v>43.2</v>
      </c>
      <c r="F129" s="324">
        <v>631</v>
      </c>
      <c r="G129" s="566" t="str">
        <f t="shared" si="12"/>
        <v>住居</v>
      </c>
      <c r="H129" s="44" t="s">
        <v>1667</v>
      </c>
      <c r="I129" s="325">
        <v>140000</v>
      </c>
      <c r="J129" s="325">
        <v>10000</v>
      </c>
      <c r="K129" s="325">
        <v>0</v>
      </c>
      <c r="L129" s="325">
        <v>0</v>
      </c>
      <c r="M129" s="565">
        <f t="shared" si="19"/>
        <v>150000</v>
      </c>
      <c r="N129" s="326">
        <v>135000</v>
      </c>
      <c r="O129" s="326">
        <v>0</v>
      </c>
      <c r="P129" s="565">
        <f t="shared" si="13"/>
        <v>135000</v>
      </c>
      <c r="Q129" s="565">
        <f t="shared" si="20"/>
        <v>150000</v>
      </c>
      <c r="R129" s="325" t="s">
        <v>1578</v>
      </c>
      <c r="S129" s="325" t="s">
        <v>187</v>
      </c>
      <c r="T129" s="327" t="s">
        <v>1284</v>
      </c>
      <c r="V129" s="43" t="s">
        <v>1773</v>
      </c>
      <c r="W129" s="221">
        <v>132000</v>
      </c>
      <c r="Y129" s="6">
        <f t="shared" si="14"/>
        <v>1</v>
      </c>
      <c r="Z129" s="562">
        <f t="shared" si="15"/>
        <v>150000</v>
      </c>
      <c r="AA129" s="122">
        <f t="shared" si="16"/>
        <v>-15000</v>
      </c>
      <c r="AB129" s="122">
        <f t="shared" si="17"/>
        <v>18000</v>
      </c>
      <c r="AC129" s="6">
        <f t="shared" si="18"/>
        <v>1</v>
      </c>
      <c r="AD129" s="563">
        <f t="shared" si="21"/>
        <v>1</v>
      </c>
      <c r="AE129" s="64"/>
      <c r="AF129" s="31">
        <v>140000</v>
      </c>
      <c r="AG129" s="31">
        <v>10000</v>
      </c>
      <c r="AH129" s="31">
        <v>0</v>
      </c>
      <c r="AI129" s="31">
        <v>0</v>
      </c>
      <c r="AJ129" s="31">
        <v>150000</v>
      </c>
      <c r="AK129" s="31">
        <v>135000</v>
      </c>
      <c r="AL129" s="31">
        <v>0</v>
      </c>
      <c r="AM129" s="56">
        <v>135000</v>
      </c>
      <c r="AN129" s="31">
        <v>150000</v>
      </c>
      <c r="AO129" s="31" t="s">
        <v>1578</v>
      </c>
      <c r="AP129" s="23" t="s">
        <v>187</v>
      </c>
      <c r="AQ129" s="23" t="s">
        <v>1284</v>
      </c>
    </row>
    <row r="130" spans="1:43">
      <c r="A130" s="40">
        <v>127</v>
      </c>
      <c r="B130" s="40">
        <v>106</v>
      </c>
      <c r="C130" s="573" t="str">
        <f t="shared" si="11"/>
        <v>東池袋ハイツ</v>
      </c>
      <c r="D130" s="45" t="s">
        <v>1591</v>
      </c>
      <c r="E130" s="46">
        <v>43.2</v>
      </c>
      <c r="F130" s="324">
        <v>631</v>
      </c>
      <c r="G130" s="566" t="str">
        <f t="shared" si="12"/>
        <v>住居</v>
      </c>
      <c r="H130" s="44" t="s">
        <v>1667</v>
      </c>
      <c r="I130" s="325">
        <v>142000</v>
      </c>
      <c r="J130" s="325">
        <v>10000</v>
      </c>
      <c r="K130" s="325">
        <v>0</v>
      </c>
      <c r="L130" s="325">
        <v>0</v>
      </c>
      <c r="M130" s="565">
        <f t="shared" si="19"/>
        <v>152000</v>
      </c>
      <c r="N130" s="326">
        <v>150000</v>
      </c>
      <c r="O130" s="326">
        <v>0</v>
      </c>
      <c r="P130" s="565">
        <f t="shared" si="13"/>
        <v>150000</v>
      </c>
      <c r="Q130" s="565">
        <f t="shared" si="20"/>
        <v>152000</v>
      </c>
      <c r="R130" s="325" t="s">
        <v>1578</v>
      </c>
      <c r="S130" s="325" t="s">
        <v>187</v>
      </c>
      <c r="T130" s="327" t="s">
        <v>1284</v>
      </c>
      <c r="V130" s="43" t="s">
        <v>1774</v>
      </c>
      <c r="W130" s="221">
        <v>135000</v>
      </c>
      <c r="Y130" s="6">
        <f t="shared" si="14"/>
        <v>1</v>
      </c>
      <c r="Z130" s="562">
        <f t="shared" si="15"/>
        <v>152000</v>
      </c>
      <c r="AA130" s="122">
        <f t="shared" si="16"/>
        <v>-2000</v>
      </c>
      <c r="AB130" s="122">
        <f t="shared" si="17"/>
        <v>17000</v>
      </c>
      <c r="AC130" s="6">
        <f t="shared" si="18"/>
        <v>1</v>
      </c>
      <c r="AD130" s="563">
        <f t="shared" si="21"/>
        <v>1</v>
      </c>
      <c r="AE130" s="64"/>
      <c r="AF130" s="31">
        <v>142000</v>
      </c>
      <c r="AG130" s="31">
        <v>10000</v>
      </c>
      <c r="AH130" s="31">
        <v>0</v>
      </c>
      <c r="AI130" s="31">
        <v>0</v>
      </c>
      <c r="AJ130" s="31">
        <v>152000</v>
      </c>
      <c r="AK130" s="31">
        <v>150000</v>
      </c>
      <c r="AL130" s="31">
        <v>0</v>
      </c>
      <c r="AM130" s="56">
        <v>150000</v>
      </c>
      <c r="AN130" s="31">
        <v>152000</v>
      </c>
      <c r="AO130" s="31" t="s">
        <v>1578</v>
      </c>
      <c r="AP130" s="23" t="s">
        <v>187</v>
      </c>
      <c r="AQ130" s="23" t="s">
        <v>1284</v>
      </c>
    </row>
    <row r="131" spans="1:43">
      <c r="A131" s="40">
        <v>128</v>
      </c>
      <c r="B131" s="40">
        <v>106</v>
      </c>
      <c r="C131" s="573" t="str">
        <f t="shared" si="11"/>
        <v>東池袋ハイツ</v>
      </c>
      <c r="D131" s="45" t="s">
        <v>1593</v>
      </c>
      <c r="E131" s="46">
        <v>48.36</v>
      </c>
      <c r="F131" s="324">
        <v>631</v>
      </c>
      <c r="G131" s="566" t="str">
        <f t="shared" si="12"/>
        <v>住居</v>
      </c>
      <c r="H131" s="44" t="s">
        <v>1667</v>
      </c>
      <c r="I131" s="325">
        <v>135000</v>
      </c>
      <c r="J131" s="325">
        <v>10000</v>
      </c>
      <c r="K131" s="325">
        <v>0</v>
      </c>
      <c r="L131" s="325">
        <v>0</v>
      </c>
      <c r="M131" s="565">
        <f t="shared" si="19"/>
        <v>145000</v>
      </c>
      <c r="N131" s="326">
        <v>145000</v>
      </c>
      <c r="O131" s="326">
        <v>0</v>
      </c>
      <c r="P131" s="565">
        <f t="shared" si="13"/>
        <v>145000</v>
      </c>
      <c r="Q131" s="565">
        <f t="shared" si="20"/>
        <v>145000</v>
      </c>
      <c r="R131" s="325" t="s">
        <v>1578</v>
      </c>
      <c r="S131" s="325" t="s">
        <v>187</v>
      </c>
      <c r="T131" s="327" t="s">
        <v>1284</v>
      </c>
      <c r="V131" s="43" t="s">
        <v>1775</v>
      </c>
      <c r="W131" s="221">
        <v>135000</v>
      </c>
      <c r="Y131" s="6">
        <f t="shared" si="14"/>
        <v>1</v>
      </c>
      <c r="Z131" s="562">
        <f t="shared" si="15"/>
        <v>145000</v>
      </c>
      <c r="AA131" s="122">
        <f t="shared" si="16"/>
        <v>0</v>
      </c>
      <c r="AB131" s="122">
        <f t="shared" si="17"/>
        <v>10000</v>
      </c>
      <c r="AC131" s="6">
        <f t="shared" si="18"/>
        <v>1</v>
      </c>
      <c r="AD131" s="563">
        <f t="shared" si="21"/>
        <v>1</v>
      </c>
      <c r="AE131" s="64"/>
      <c r="AF131" s="31">
        <v>135000</v>
      </c>
      <c r="AG131" s="31">
        <v>10000</v>
      </c>
      <c r="AH131" s="31">
        <v>0</v>
      </c>
      <c r="AI131" s="31">
        <v>0</v>
      </c>
      <c r="AJ131" s="31">
        <v>145000</v>
      </c>
      <c r="AK131" s="31">
        <v>145000</v>
      </c>
      <c r="AL131" s="31">
        <v>0</v>
      </c>
      <c r="AM131" s="56">
        <v>145000</v>
      </c>
      <c r="AN131" s="31">
        <v>145000</v>
      </c>
      <c r="AO131" s="31" t="s">
        <v>1578</v>
      </c>
      <c r="AP131" s="23" t="s">
        <v>187</v>
      </c>
      <c r="AQ131" s="23" t="s">
        <v>1284</v>
      </c>
    </row>
    <row r="132" spans="1:43">
      <c r="A132" s="40">
        <v>129</v>
      </c>
      <c r="B132" s="40">
        <v>106</v>
      </c>
      <c r="C132" s="573" t="str">
        <f t="shared" ref="C132:C195" si="22">VLOOKUP(B132,id_settings,2,FALSE)</f>
        <v>東池袋ハイツ</v>
      </c>
      <c r="D132" s="45" t="s">
        <v>1729</v>
      </c>
      <c r="E132" s="46">
        <v>52.75</v>
      </c>
      <c r="F132" s="324">
        <v>631</v>
      </c>
      <c r="G132" s="566" t="str">
        <f t="shared" ref="G132:G195" si="23">VLOOKUP(F132,id_settings,2,FALSE)</f>
        <v>住居</v>
      </c>
      <c r="H132" s="44" t="s">
        <v>1717</v>
      </c>
      <c r="I132" s="325">
        <v>160000</v>
      </c>
      <c r="J132" s="325">
        <v>10000</v>
      </c>
      <c r="K132" s="325">
        <v>0</v>
      </c>
      <c r="L132" s="325">
        <v>0</v>
      </c>
      <c r="M132" s="565">
        <f t="shared" si="19"/>
        <v>170000</v>
      </c>
      <c r="N132" s="326">
        <v>168000</v>
      </c>
      <c r="O132" s="326">
        <v>0</v>
      </c>
      <c r="P132" s="565">
        <f t="shared" ref="P132:P195" si="24">N132+O132</f>
        <v>168000</v>
      </c>
      <c r="Q132" s="565">
        <f t="shared" si="20"/>
        <v>170000</v>
      </c>
      <c r="R132" s="325" t="s">
        <v>1583</v>
      </c>
      <c r="S132" s="325" t="s">
        <v>187</v>
      </c>
      <c r="T132" s="327" t="s">
        <v>1284</v>
      </c>
      <c r="V132" s="43" t="s">
        <v>1776</v>
      </c>
      <c r="W132" s="221">
        <v>158000</v>
      </c>
      <c r="Y132" s="6">
        <f t="shared" ref="Y132:Y195" si="25">IF(M132=0,0,1)</f>
        <v>1</v>
      </c>
      <c r="Z132" s="562">
        <f t="shared" ref="Z132:Z195" si="26">IF(Y132=1,SUM(I132:K132),N132)</f>
        <v>170000</v>
      </c>
      <c r="AA132" s="122">
        <f t="shared" ref="AA132:AA195" si="27">N132-Z132</f>
        <v>-2000</v>
      </c>
      <c r="AB132" s="122">
        <f t="shared" ref="AB132:AB195" si="28">Z132-W132</f>
        <v>12000</v>
      </c>
      <c r="AC132" s="6">
        <f t="shared" ref="AC132:AC195" si="29">IF(E132="-",0,1)</f>
        <v>1</v>
      </c>
      <c r="AD132" s="563">
        <f t="shared" si="21"/>
        <v>1</v>
      </c>
      <c r="AE132" s="64"/>
      <c r="AF132" s="31">
        <v>160000</v>
      </c>
      <c r="AG132" s="31">
        <v>10000</v>
      </c>
      <c r="AH132" s="31">
        <v>0</v>
      </c>
      <c r="AI132" s="31">
        <v>0</v>
      </c>
      <c r="AJ132" s="31">
        <v>170000</v>
      </c>
      <c r="AK132" s="31">
        <v>168000</v>
      </c>
      <c r="AL132" s="31">
        <v>0</v>
      </c>
      <c r="AM132" s="56">
        <v>168000</v>
      </c>
      <c r="AN132" s="31">
        <v>170000</v>
      </c>
      <c r="AO132" s="31" t="s">
        <v>1583</v>
      </c>
      <c r="AP132" s="23" t="s">
        <v>187</v>
      </c>
      <c r="AQ132" s="23" t="s">
        <v>1284</v>
      </c>
    </row>
    <row r="133" spans="1:43">
      <c r="A133" s="40">
        <v>130</v>
      </c>
      <c r="B133" s="40">
        <v>106</v>
      </c>
      <c r="C133" s="573" t="str">
        <f t="shared" si="22"/>
        <v>東池袋ハイツ</v>
      </c>
      <c r="D133" s="45" t="s">
        <v>1603</v>
      </c>
      <c r="E133" s="46">
        <v>39.42</v>
      </c>
      <c r="F133" s="324">
        <v>631</v>
      </c>
      <c r="G133" s="566" t="str">
        <f t="shared" si="23"/>
        <v>住居</v>
      </c>
      <c r="H133" s="44" t="s">
        <v>1669</v>
      </c>
      <c r="I133" s="325">
        <v>125000</v>
      </c>
      <c r="J133" s="325">
        <v>10000</v>
      </c>
      <c r="K133" s="325">
        <v>0</v>
      </c>
      <c r="L133" s="325">
        <v>0</v>
      </c>
      <c r="M133" s="565">
        <f t="shared" ref="M133:M196" si="30">SUM(I133:L133)</f>
        <v>135000</v>
      </c>
      <c r="N133" s="326">
        <v>123000</v>
      </c>
      <c r="O133" s="326">
        <v>0</v>
      </c>
      <c r="P133" s="565">
        <f t="shared" si="24"/>
        <v>123000</v>
      </c>
      <c r="Q133" s="565">
        <f t="shared" ref="Q133:Q196" si="31">VALUE(IF(Y133=0,N133+O133,M133))</f>
        <v>135000</v>
      </c>
      <c r="R133" s="325" t="s">
        <v>1578</v>
      </c>
      <c r="S133" s="325" t="s">
        <v>187</v>
      </c>
      <c r="T133" s="327" t="s">
        <v>1284</v>
      </c>
      <c r="V133" s="43" t="s">
        <v>1777</v>
      </c>
      <c r="W133" s="221">
        <v>123000</v>
      </c>
      <c r="Y133" s="6">
        <f t="shared" si="25"/>
        <v>1</v>
      </c>
      <c r="Z133" s="562">
        <f t="shared" si="26"/>
        <v>135000</v>
      </c>
      <c r="AA133" s="122">
        <f t="shared" si="27"/>
        <v>-12000</v>
      </c>
      <c r="AB133" s="122">
        <f t="shared" si="28"/>
        <v>12000</v>
      </c>
      <c r="AC133" s="6">
        <f t="shared" si="29"/>
        <v>1</v>
      </c>
      <c r="AD133" s="563">
        <f t="shared" ref="AD133:AD196" si="32">IF(I133="-",0,1)</f>
        <v>1</v>
      </c>
      <c r="AE133" s="64"/>
      <c r="AF133" s="31">
        <v>125000</v>
      </c>
      <c r="AG133" s="31">
        <v>10000</v>
      </c>
      <c r="AH133" s="31">
        <v>0</v>
      </c>
      <c r="AI133" s="31">
        <v>0</v>
      </c>
      <c r="AJ133" s="31">
        <v>135000</v>
      </c>
      <c r="AK133" s="31">
        <v>123000</v>
      </c>
      <c r="AL133" s="31">
        <v>0</v>
      </c>
      <c r="AM133" s="56">
        <v>123000</v>
      </c>
      <c r="AN133" s="31">
        <v>135000</v>
      </c>
      <c r="AO133" s="31" t="s">
        <v>1578</v>
      </c>
      <c r="AP133" s="23" t="s">
        <v>187</v>
      </c>
      <c r="AQ133" s="23" t="s">
        <v>1284</v>
      </c>
    </row>
    <row r="134" spans="1:43">
      <c r="A134" s="40">
        <v>131</v>
      </c>
      <c r="B134" s="40">
        <v>106</v>
      </c>
      <c r="C134" s="573" t="str">
        <f t="shared" si="22"/>
        <v>東池袋ハイツ</v>
      </c>
      <c r="D134" s="45" t="s">
        <v>1605</v>
      </c>
      <c r="E134" s="46">
        <v>43.2</v>
      </c>
      <c r="F134" s="324">
        <v>631</v>
      </c>
      <c r="G134" s="566" t="str">
        <f t="shared" si="23"/>
        <v>住居</v>
      </c>
      <c r="H134" s="44" t="s">
        <v>1667</v>
      </c>
      <c r="I134" s="325">
        <v>150000</v>
      </c>
      <c r="J134" s="325">
        <v>10000</v>
      </c>
      <c r="K134" s="325">
        <v>0</v>
      </c>
      <c r="L134" s="325">
        <v>0</v>
      </c>
      <c r="M134" s="565">
        <f t="shared" si="30"/>
        <v>160000</v>
      </c>
      <c r="N134" s="326">
        <v>160000</v>
      </c>
      <c r="O134" s="326">
        <v>0</v>
      </c>
      <c r="P134" s="565">
        <f t="shared" si="24"/>
        <v>160000</v>
      </c>
      <c r="Q134" s="565">
        <f t="shared" si="31"/>
        <v>160000</v>
      </c>
      <c r="R134" s="325" t="s">
        <v>1578</v>
      </c>
      <c r="S134" s="325" t="s">
        <v>187</v>
      </c>
      <c r="T134" s="327" t="s">
        <v>1284</v>
      </c>
      <c r="V134" s="43" t="s">
        <v>1778</v>
      </c>
      <c r="W134" s="221">
        <v>147000</v>
      </c>
      <c r="Y134" s="6">
        <f t="shared" si="25"/>
        <v>1</v>
      </c>
      <c r="Z134" s="562">
        <f t="shared" si="26"/>
        <v>160000</v>
      </c>
      <c r="AA134" s="122">
        <f t="shared" si="27"/>
        <v>0</v>
      </c>
      <c r="AB134" s="122">
        <f t="shared" si="28"/>
        <v>13000</v>
      </c>
      <c r="AC134" s="6">
        <f t="shared" si="29"/>
        <v>1</v>
      </c>
      <c r="AD134" s="563">
        <f t="shared" si="32"/>
        <v>1</v>
      </c>
      <c r="AE134" s="64"/>
      <c r="AF134" s="31">
        <v>150000</v>
      </c>
      <c r="AG134" s="31">
        <v>10000</v>
      </c>
      <c r="AH134" s="31">
        <v>0</v>
      </c>
      <c r="AI134" s="31">
        <v>0</v>
      </c>
      <c r="AJ134" s="31">
        <v>160000</v>
      </c>
      <c r="AK134" s="31">
        <v>160000</v>
      </c>
      <c r="AL134" s="31">
        <v>0</v>
      </c>
      <c r="AM134" s="56">
        <v>160000</v>
      </c>
      <c r="AN134" s="31">
        <v>160000</v>
      </c>
      <c r="AO134" s="31" t="s">
        <v>1578</v>
      </c>
      <c r="AP134" s="23" t="s">
        <v>187</v>
      </c>
      <c r="AQ134" s="23" t="s">
        <v>1284</v>
      </c>
    </row>
    <row r="135" spans="1:43">
      <c r="A135" s="40">
        <v>132</v>
      </c>
      <c r="B135" s="40">
        <v>106</v>
      </c>
      <c r="C135" s="573" t="str">
        <f t="shared" si="22"/>
        <v>東池袋ハイツ</v>
      </c>
      <c r="D135" s="45" t="s">
        <v>1607</v>
      </c>
      <c r="E135" s="46">
        <v>48.36</v>
      </c>
      <c r="F135" s="324">
        <v>631</v>
      </c>
      <c r="G135" s="566" t="str">
        <f t="shared" si="23"/>
        <v>住居</v>
      </c>
      <c r="H135" s="44" t="s">
        <v>1667</v>
      </c>
      <c r="I135" s="325">
        <v>125000</v>
      </c>
      <c r="J135" s="325">
        <v>10000</v>
      </c>
      <c r="K135" s="325">
        <v>0</v>
      </c>
      <c r="L135" s="325">
        <v>0</v>
      </c>
      <c r="M135" s="565">
        <f t="shared" si="30"/>
        <v>135000</v>
      </c>
      <c r="N135" s="326">
        <v>135000</v>
      </c>
      <c r="O135" s="326">
        <v>0</v>
      </c>
      <c r="P135" s="565">
        <f t="shared" si="24"/>
        <v>135000</v>
      </c>
      <c r="Q135" s="565">
        <f t="shared" si="31"/>
        <v>135000</v>
      </c>
      <c r="R135" s="325" t="s">
        <v>1578</v>
      </c>
      <c r="S135" s="325" t="s">
        <v>187</v>
      </c>
      <c r="T135" s="327" t="s">
        <v>1284</v>
      </c>
      <c r="V135" s="43" t="s">
        <v>1779</v>
      </c>
      <c r="W135" s="221">
        <v>135000</v>
      </c>
      <c r="Y135" s="6">
        <f t="shared" si="25"/>
        <v>1</v>
      </c>
      <c r="Z135" s="562">
        <f t="shared" si="26"/>
        <v>135000</v>
      </c>
      <c r="AA135" s="122">
        <f t="shared" si="27"/>
        <v>0</v>
      </c>
      <c r="AB135" s="122">
        <f t="shared" si="28"/>
        <v>0</v>
      </c>
      <c r="AC135" s="6">
        <f t="shared" si="29"/>
        <v>1</v>
      </c>
      <c r="AD135" s="563">
        <f t="shared" si="32"/>
        <v>1</v>
      </c>
      <c r="AE135" s="64"/>
      <c r="AF135" s="31">
        <v>125000</v>
      </c>
      <c r="AG135" s="31">
        <v>10000</v>
      </c>
      <c r="AH135" s="31">
        <v>0</v>
      </c>
      <c r="AI135" s="31">
        <v>0</v>
      </c>
      <c r="AJ135" s="31">
        <v>135000</v>
      </c>
      <c r="AK135" s="31">
        <v>135000</v>
      </c>
      <c r="AL135" s="31">
        <v>0</v>
      </c>
      <c r="AM135" s="56">
        <v>135000</v>
      </c>
      <c r="AN135" s="31">
        <v>135000</v>
      </c>
      <c r="AO135" s="31" t="s">
        <v>1578</v>
      </c>
      <c r="AP135" s="23" t="s">
        <v>187</v>
      </c>
      <c r="AQ135" s="23" t="s">
        <v>1284</v>
      </c>
    </row>
    <row r="136" spans="1:43">
      <c r="A136" s="40">
        <v>133</v>
      </c>
      <c r="B136" s="40">
        <v>106</v>
      </c>
      <c r="C136" s="573" t="str">
        <f t="shared" si="22"/>
        <v>東池袋ハイツ</v>
      </c>
      <c r="D136" s="45" t="s">
        <v>1734</v>
      </c>
      <c r="E136" s="46">
        <v>52.75</v>
      </c>
      <c r="F136" s="324">
        <v>631</v>
      </c>
      <c r="G136" s="566" t="str">
        <f t="shared" si="23"/>
        <v>住居</v>
      </c>
      <c r="H136" s="44" t="s">
        <v>1717</v>
      </c>
      <c r="I136" s="325">
        <v>140000</v>
      </c>
      <c r="J136" s="325">
        <v>10000</v>
      </c>
      <c r="K136" s="325">
        <v>0</v>
      </c>
      <c r="L136" s="325">
        <v>0</v>
      </c>
      <c r="M136" s="565">
        <f t="shared" si="30"/>
        <v>150000</v>
      </c>
      <c r="N136" s="326">
        <v>150000</v>
      </c>
      <c r="O136" s="326">
        <v>0</v>
      </c>
      <c r="P136" s="565">
        <f t="shared" si="24"/>
        <v>150000</v>
      </c>
      <c r="Q136" s="565">
        <f t="shared" si="31"/>
        <v>150000</v>
      </c>
      <c r="R136" s="325" t="s">
        <v>1568</v>
      </c>
      <c r="S136" s="325" t="s">
        <v>187</v>
      </c>
      <c r="T136" s="327" t="s">
        <v>1284</v>
      </c>
      <c r="V136" s="43" t="s">
        <v>1780</v>
      </c>
      <c r="W136" s="221">
        <v>150000</v>
      </c>
      <c r="Y136" s="6">
        <f t="shared" si="25"/>
        <v>1</v>
      </c>
      <c r="Z136" s="562">
        <f t="shared" si="26"/>
        <v>150000</v>
      </c>
      <c r="AA136" s="122">
        <f t="shared" si="27"/>
        <v>0</v>
      </c>
      <c r="AB136" s="122">
        <f t="shared" si="28"/>
        <v>0</v>
      </c>
      <c r="AC136" s="6">
        <f t="shared" si="29"/>
        <v>1</v>
      </c>
      <c r="AD136" s="563">
        <f t="shared" si="32"/>
        <v>1</v>
      </c>
      <c r="AE136" s="64"/>
      <c r="AF136" s="31">
        <v>140000</v>
      </c>
      <c r="AG136" s="31">
        <v>10000</v>
      </c>
      <c r="AH136" s="31">
        <v>0</v>
      </c>
      <c r="AI136" s="31">
        <v>0</v>
      </c>
      <c r="AJ136" s="31">
        <v>150000</v>
      </c>
      <c r="AK136" s="31">
        <v>150000</v>
      </c>
      <c r="AL136" s="31">
        <v>0</v>
      </c>
      <c r="AM136" s="56">
        <v>150000</v>
      </c>
      <c r="AN136" s="31">
        <v>150000</v>
      </c>
      <c r="AO136" s="31" t="s">
        <v>1568</v>
      </c>
      <c r="AP136" s="23" t="s">
        <v>187</v>
      </c>
      <c r="AQ136" s="23" t="s">
        <v>1284</v>
      </c>
    </row>
    <row r="137" spans="1:43">
      <c r="A137" s="40">
        <v>134</v>
      </c>
      <c r="B137" s="40">
        <v>106</v>
      </c>
      <c r="C137" s="573" t="str">
        <f t="shared" si="22"/>
        <v>東池袋ハイツ</v>
      </c>
      <c r="D137" s="45" t="s">
        <v>1695</v>
      </c>
      <c r="E137" s="46">
        <v>29.16</v>
      </c>
      <c r="F137" s="324">
        <v>631</v>
      </c>
      <c r="G137" s="566" t="str">
        <f t="shared" si="23"/>
        <v>住居</v>
      </c>
      <c r="H137" s="44" t="s">
        <v>1567</v>
      </c>
      <c r="I137" s="325">
        <v>85000</v>
      </c>
      <c r="J137" s="325">
        <v>10000</v>
      </c>
      <c r="K137" s="325">
        <v>0</v>
      </c>
      <c r="L137" s="325">
        <v>0</v>
      </c>
      <c r="M137" s="565">
        <f t="shared" si="30"/>
        <v>95000</v>
      </c>
      <c r="N137" s="326">
        <v>95000</v>
      </c>
      <c r="O137" s="326">
        <v>0</v>
      </c>
      <c r="P137" s="565">
        <f t="shared" si="24"/>
        <v>95000</v>
      </c>
      <c r="Q137" s="565">
        <f t="shared" si="31"/>
        <v>95000</v>
      </c>
      <c r="R137" s="325" t="s">
        <v>1568</v>
      </c>
      <c r="S137" s="325" t="s">
        <v>187</v>
      </c>
      <c r="T137" s="327" t="s">
        <v>1284</v>
      </c>
      <c r="V137" s="43" t="s">
        <v>1781</v>
      </c>
      <c r="W137" s="221">
        <v>90000</v>
      </c>
      <c r="Y137" s="6">
        <f t="shared" si="25"/>
        <v>1</v>
      </c>
      <c r="Z137" s="562">
        <f t="shared" si="26"/>
        <v>95000</v>
      </c>
      <c r="AA137" s="122">
        <f t="shared" si="27"/>
        <v>0</v>
      </c>
      <c r="AB137" s="122">
        <f t="shared" si="28"/>
        <v>5000</v>
      </c>
      <c r="AC137" s="6">
        <f t="shared" si="29"/>
        <v>1</v>
      </c>
      <c r="AD137" s="563">
        <f t="shared" si="32"/>
        <v>1</v>
      </c>
      <c r="AE137" s="64"/>
      <c r="AF137" s="31">
        <v>85000</v>
      </c>
      <c r="AG137" s="31">
        <v>10000</v>
      </c>
      <c r="AH137" s="31">
        <v>0</v>
      </c>
      <c r="AI137" s="31">
        <v>0</v>
      </c>
      <c r="AJ137" s="31">
        <v>95000</v>
      </c>
      <c r="AK137" s="31">
        <v>95000</v>
      </c>
      <c r="AL137" s="31">
        <v>0</v>
      </c>
      <c r="AM137" s="56">
        <v>95000</v>
      </c>
      <c r="AN137" s="31">
        <v>95000</v>
      </c>
      <c r="AO137" s="31" t="s">
        <v>1568</v>
      </c>
      <c r="AP137" s="23" t="s">
        <v>187</v>
      </c>
      <c r="AQ137" s="23" t="s">
        <v>1284</v>
      </c>
    </row>
    <row r="138" spans="1:43">
      <c r="A138" s="40">
        <v>135</v>
      </c>
      <c r="B138" s="40">
        <v>106</v>
      </c>
      <c r="C138" s="573" t="str">
        <f t="shared" si="22"/>
        <v>東池袋ハイツ</v>
      </c>
      <c r="D138" s="45" t="s">
        <v>1697</v>
      </c>
      <c r="E138" s="46">
        <v>43.2</v>
      </c>
      <c r="F138" s="324">
        <v>631</v>
      </c>
      <c r="G138" s="566" t="str">
        <f t="shared" si="23"/>
        <v>住居</v>
      </c>
      <c r="H138" s="44" t="s">
        <v>1667</v>
      </c>
      <c r="I138" s="325">
        <v>145000</v>
      </c>
      <c r="J138" s="325">
        <v>10000</v>
      </c>
      <c r="K138" s="325">
        <v>0</v>
      </c>
      <c r="L138" s="325">
        <v>0</v>
      </c>
      <c r="M138" s="565">
        <f t="shared" si="30"/>
        <v>155000</v>
      </c>
      <c r="N138" s="326">
        <v>155000</v>
      </c>
      <c r="O138" s="326">
        <v>0</v>
      </c>
      <c r="P138" s="565">
        <f t="shared" si="24"/>
        <v>155000</v>
      </c>
      <c r="Q138" s="565">
        <f t="shared" si="31"/>
        <v>155000</v>
      </c>
      <c r="R138" s="325" t="s">
        <v>1578</v>
      </c>
      <c r="S138" s="325" t="s">
        <v>187</v>
      </c>
      <c r="T138" s="327" t="s">
        <v>1284</v>
      </c>
      <c r="V138" s="43" t="s">
        <v>1782</v>
      </c>
      <c r="W138" s="221">
        <v>138000</v>
      </c>
      <c r="Y138" s="6">
        <f t="shared" si="25"/>
        <v>1</v>
      </c>
      <c r="Z138" s="562">
        <f t="shared" si="26"/>
        <v>155000</v>
      </c>
      <c r="AA138" s="122">
        <f t="shared" si="27"/>
        <v>0</v>
      </c>
      <c r="AB138" s="122">
        <f t="shared" si="28"/>
        <v>17000</v>
      </c>
      <c r="AC138" s="6">
        <f t="shared" si="29"/>
        <v>1</v>
      </c>
      <c r="AD138" s="563">
        <f t="shared" si="32"/>
        <v>1</v>
      </c>
      <c r="AE138" s="64"/>
      <c r="AF138" s="31">
        <v>145000</v>
      </c>
      <c r="AG138" s="31">
        <v>10000</v>
      </c>
      <c r="AH138" s="31">
        <v>0</v>
      </c>
      <c r="AI138" s="31">
        <v>0</v>
      </c>
      <c r="AJ138" s="31">
        <v>155000</v>
      </c>
      <c r="AK138" s="31">
        <v>155000</v>
      </c>
      <c r="AL138" s="31">
        <v>0</v>
      </c>
      <c r="AM138" s="56">
        <v>155000</v>
      </c>
      <c r="AN138" s="31">
        <v>155000</v>
      </c>
      <c r="AO138" s="31" t="s">
        <v>1578</v>
      </c>
      <c r="AP138" s="23" t="s">
        <v>187</v>
      </c>
      <c r="AQ138" s="23" t="s">
        <v>1284</v>
      </c>
    </row>
    <row r="139" spans="1:43">
      <c r="A139" s="40">
        <v>136</v>
      </c>
      <c r="B139" s="40">
        <v>106</v>
      </c>
      <c r="C139" s="573" t="str">
        <f t="shared" si="22"/>
        <v>東池袋ハイツ</v>
      </c>
      <c r="D139" s="45" t="s">
        <v>1699</v>
      </c>
      <c r="E139" s="46">
        <v>48.36</v>
      </c>
      <c r="F139" s="324">
        <v>631</v>
      </c>
      <c r="G139" s="566" t="str">
        <f t="shared" si="23"/>
        <v>住居</v>
      </c>
      <c r="H139" s="44" t="s">
        <v>1667</v>
      </c>
      <c r="I139" s="325">
        <v>150000</v>
      </c>
      <c r="J139" s="325">
        <v>10000</v>
      </c>
      <c r="K139" s="325">
        <v>0</v>
      </c>
      <c r="L139" s="325">
        <v>0</v>
      </c>
      <c r="M139" s="565">
        <f t="shared" si="30"/>
        <v>160000</v>
      </c>
      <c r="N139" s="326">
        <v>160000</v>
      </c>
      <c r="O139" s="326">
        <v>0</v>
      </c>
      <c r="P139" s="565">
        <f t="shared" si="24"/>
        <v>160000</v>
      </c>
      <c r="Q139" s="565">
        <f t="shared" si="31"/>
        <v>160000</v>
      </c>
      <c r="R139" s="325" t="s">
        <v>1578</v>
      </c>
      <c r="S139" s="325" t="s">
        <v>187</v>
      </c>
      <c r="T139" s="327" t="s">
        <v>1284</v>
      </c>
      <c r="V139" s="43" t="s">
        <v>1783</v>
      </c>
      <c r="W139" s="221">
        <v>137000</v>
      </c>
      <c r="Y139" s="6">
        <f t="shared" si="25"/>
        <v>1</v>
      </c>
      <c r="Z139" s="562">
        <f t="shared" si="26"/>
        <v>160000</v>
      </c>
      <c r="AA139" s="122">
        <f t="shared" si="27"/>
        <v>0</v>
      </c>
      <c r="AB139" s="122">
        <f t="shared" si="28"/>
        <v>23000</v>
      </c>
      <c r="AC139" s="6">
        <f t="shared" si="29"/>
        <v>1</v>
      </c>
      <c r="AD139" s="563">
        <f t="shared" si="32"/>
        <v>1</v>
      </c>
      <c r="AE139" s="64"/>
      <c r="AF139" s="31">
        <v>150000</v>
      </c>
      <c r="AG139" s="31">
        <v>10000</v>
      </c>
      <c r="AH139" s="31">
        <v>0</v>
      </c>
      <c r="AI139" s="31">
        <v>0</v>
      </c>
      <c r="AJ139" s="31">
        <v>160000</v>
      </c>
      <c r="AK139" s="31">
        <v>160000</v>
      </c>
      <c r="AL139" s="31">
        <v>0</v>
      </c>
      <c r="AM139" s="56">
        <v>160000</v>
      </c>
      <c r="AN139" s="31">
        <v>160000</v>
      </c>
      <c r="AO139" s="31" t="s">
        <v>1578</v>
      </c>
      <c r="AP139" s="23" t="s">
        <v>187</v>
      </c>
      <c r="AQ139" s="23" t="s">
        <v>1284</v>
      </c>
    </row>
    <row r="140" spans="1:43">
      <c r="A140" s="40">
        <v>137</v>
      </c>
      <c r="B140" s="40">
        <v>106</v>
      </c>
      <c r="C140" s="573" t="str">
        <f t="shared" si="22"/>
        <v>東池袋ハイツ</v>
      </c>
      <c r="D140" s="45" t="s">
        <v>1739</v>
      </c>
      <c r="E140" s="46">
        <v>17.600000000000001</v>
      </c>
      <c r="F140" s="324">
        <v>631</v>
      </c>
      <c r="G140" s="566" t="str">
        <f t="shared" si="23"/>
        <v>住居</v>
      </c>
      <c r="H140" s="44" t="s">
        <v>1567</v>
      </c>
      <c r="I140" s="325">
        <v>160000</v>
      </c>
      <c r="J140" s="325">
        <v>10000</v>
      </c>
      <c r="K140" s="325">
        <v>0</v>
      </c>
      <c r="L140" s="325">
        <v>0</v>
      </c>
      <c r="M140" s="565">
        <f t="shared" si="30"/>
        <v>170000</v>
      </c>
      <c r="N140" s="326">
        <v>170000</v>
      </c>
      <c r="O140" s="326">
        <v>0</v>
      </c>
      <c r="P140" s="565">
        <f t="shared" si="24"/>
        <v>170000</v>
      </c>
      <c r="Q140" s="565">
        <f t="shared" si="31"/>
        <v>170000</v>
      </c>
      <c r="R140" s="325" t="s">
        <v>1583</v>
      </c>
      <c r="S140" s="325" t="s">
        <v>187</v>
      </c>
      <c r="T140" s="327" t="s">
        <v>1284</v>
      </c>
      <c r="V140" s="43" t="s">
        <v>1784</v>
      </c>
      <c r="W140" s="221">
        <v>146000</v>
      </c>
      <c r="Y140" s="6">
        <f t="shared" si="25"/>
        <v>1</v>
      </c>
      <c r="Z140" s="562">
        <f t="shared" si="26"/>
        <v>170000</v>
      </c>
      <c r="AA140" s="122">
        <f t="shared" si="27"/>
        <v>0</v>
      </c>
      <c r="AB140" s="122">
        <f t="shared" si="28"/>
        <v>24000</v>
      </c>
      <c r="AC140" s="6">
        <f t="shared" si="29"/>
        <v>1</v>
      </c>
      <c r="AD140" s="563">
        <f t="shared" si="32"/>
        <v>1</v>
      </c>
      <c r="AE140" s="64"/>
      <c r="AF140" s="31">
        <v>160000</v>
      </c>
      <c r="AG140" s="31">
        <v>10000</v>
      </c>
      <c r="AH140" s="31">
        <v>0</v>
      </c>
      <c r="AI140" s="31">
        <v>0</v>
      </c>
      <c r="AJ140" s="31">
        <v>170000</v>
      </c>
      <c r="AK140" s="31">
        <v>170000</v>
      </c>
      <c r="AL140" s="31">
        <v>0</v>
      </c>
      <c r="AM140" s="56">
        <v>170000</v>
      </c>
      <c r="AN140" s="31">
        <v>170000</v>
      </c>
      <c r="AO140" s="31" t="s">
        <v>1583</v>
      </c>
      <c r="AP140" s="23" t="s">
        <v>187</v>
      </c>
      <c r="AQ140" s="23" t="s">
        <v>1284</v>
      </c>
    </row>
    <row r="141" spans="1:43">
      <c r="A141" s="40">
        <v>138</v>
      </c>
      <c r="B141" s="40">
        <v>106</v>
      </c>
      <c r="C141" s="573" t="str">
        <f t="shared" si="22"/>
        <v>東池袋ハイツ</v>
      </c>
      <c r="D141" s="45" t="s">
        <v>1741</v>
      </c>
      <c r="E141" s="46">
        <v>55.84</v>
      </c>
      <c r="F141" s="324">
        <v>631</v>
      </c>
      <c r="G141" s="566" t="str">
        <f t="shared" si="23"/>
        <v>住居</v>
      </c>
      <c r="H141" s="44" t="s">
        <v>1717</v>
      </c>
      <c r="I141" s="325">
        <v>170000</v>
      </c>
      <c r="J141" s="325">
        <v>10000</v>
      </c>
      <c r="K141" s="325">
        <v>0</v>
      </c>
      <c r="L141" s="325">
        <v>0</v>
      </c>
      <c r="M141" s="565">
        <f t="shared" si="30"/>
        <v>180000</v>
      </c>
      <c r="N141" s="326">
        <v>148000</v>
      </c>
      <c r="O141" s="326">
        <v>0</v>
      </c>
      <c r="P141" s="565">
        <f t="shared" si="24"/>
        <v>148000</v>
      </c>
      <c r="Q141" s="565">
        <f t="shared" si="31"/>
        <v>180000</v>
      </c>
      <c r="R141" s="325" t="s">
        <v>1578</v>
      </c>
      <c r="S141" s="325" t="s">
        <v>187</v>
      </c>
      <c r="T141" s="327" t="s">
        <v>1284</v>
      </c>
      <c r="V141" s="43" t="s">
        <v>1785</v>
      </c>
      <c r="W141" s="221">
        <v>148000</v>
      </c>
      <c r="Y141" s="6">
        <f t="shared" si="25"/>
        <v>1</v>
      </c>
      <c r="Z141" s="562">
        <f t="shared" si="26"/>
        <v>180000</v>
      </c>
      <c r="AA141" s="122">
        <f t="shared" si="27"/>
        <v>-32000</v>
      </c>
      <c r="AB141" s="122">
        <f t="shared" si="28"/>
        <v>32000</v>
      </c>
      <c r="AC141" s="6">
        <f t="shared" si="29"/>
        <v>1</v>
      </c>
      <c r="AD141" s="563">
        <f t="shared" si="32"/>
        <v>1</v>
      </c>
      <c r="AE141" s="64"/>
      <c r="AF141" s="31">
        <v>170000</v>
      </c>
      <c r="AG141" s="31">
        <v>10000</v>
      </c>
      <c r="AH141" s="31">
        <v>0</v>
      </c>
      <c r="AI141" s="31">
        <v>0</v>
      </c>
      <c r="AJ141" s="31">
        <v>180000</v>
      </c>
      <c r="AK141" s="31">
        <v>148000</v>
      </c>
      <c r="AL141" s="31">
        <v>0</v>
      </c>
      <c r="AM141" s="56">
        <v>148000</v>
      </c>
      <c r="AN141" s="31">
        <v>180000</v>
      </c>
      <c r="AO141" s="31" t="s">
        <v>1578</v>
      </c>
      <c r="AP141" s="23" t="s">
        <v>187</v>
      </c>
      <c r="AQ141" s="23" t="s">
        <v>1284</v>
      </c>
    </row>
    <row r="142" spans="1:43">
      <c r="A142" s="40">
        <v>139</v>
      </c>
      <c r="B142" s="40">
        <v>106</v>
      </c>
      <c r="C142" s="573" t="str">
        <f t="shared" si="22"/>
        <v>東池袋ハイツ</v>
      </c>
      <c r="D142" s="45" t="s">
        <v>1743</v>
      </c>
      <c r="E142" s="46">
        <v>62.32</v>
      </c>
      <c r="F142" s="324">
        <v>631</v>
      </c>
      <c r="G142" s="566" t="str">
        <f t="shared" si="23"/>
        <v>住居</v>
      </c>
      <c r="H142" s="44" t="s">
        <v>1669</v>
      </c>
      <c r="I142" s="325">
        <v>180000</v>
      </c>
      <c r="J142" s="325">
        <v>0</v>
      </c>
      <c r="K142" s="325">
        <v>0</v>
      </c>
      <c r="L142" s="325">
        <v>0</v>
      </c>
      <c r="M142" s="565">
        <f t="shared" si="30"/>
        <v>180000</v>
      </c>
      <c r="N142" s="326">
        <v>180000</v>
      </c>
      <c r="O142" s="326">
        <v>0</v>
      </c>
      <c r="P142" s="565">
        <f t="shared" si="24"/>
        <v>180000</v>
      </c>
      <c r="Q142" s="565">
        <f t="shared" si="31"/>
        <v>180000</v>
      </c>
      <c r="R142" s="325" t="s">
        <v>1583</v>
      </c>
      <c r="S142" s="325" t="s">
        <v>187</v>
      </c>
      <c r="T142" s="327" t="s">
        <v>1284</v>
      </c>
      <c r="V142" s="43" t="s">
        <v>1786</v>
      </c>
      <c r="W142" s="221">
        <v>165000</v>
      </c>
      <c r="Y142" s="6">
        <f t="shared" si="25"/>
        <v>1</v>
      </c>
      <c r="Z142" s="562">
        <f t="shared" si="26"/>
        <v>180000</v>
      </c>
      <c r="AA142" s="122">
        <f t="shared" si="27"/>
        <v>0</v>
      </c>
      <c r="AB142" s="122">
        <f t="shared" si="28"/>
        <v>15000</v>
      </c>
      <c r="AC142" s="6">
        <f t="shared" si="29"/>
        <v>1</v>
      </c>
      <c r="AD142" s="563">
        <f t="shared" si="32"/>
        <v>1</v>
      </c>
      <c r="AE142" s="64"/>
      <c r="AF142" s="31">
        <v>180000</v>
      </c>
      <c r="AG142" s="31">
        <v>0</v>
      </c>
      <c r="AH142" s="31">
        <v>0</v>
      </c>
      <c r="AI142" s="31">
        <v>0</v>
      </c>
      <c r="AJ142" s="31">
        <v>180000</v>
      </c>
      <c r="AK142" s="31">
        <v>180000</v>
      </c>
      <c r="AL142" s="31">
        <v>0</v>
      </c>
      <c r="AM142" s="56">
        <v>180000</v>
      </c>
      <c r="AN142" s="31">
        <v>180000</v>
      </c>
      <c r="AO142" s="31" t="s">
        <v>1583</v>
      </c>
      <c r="AP142" s="23" t="s">
        <v>187</v>
      </c>
      <c r="AQ142" s="23" t="s">
        <v>1284</v>
      </c>
    </row>
    <row r="143" spans="1:43">
      <c r="A143" s="40">
        <v>140</v>
      </c>
      <c r="B143" s="40">
        <v>106</v>
      </c>
      <c r="C143" s="573" t="str">
        <f t="shared" si="22"/>
        <v>東池袋ハイツ</v>
      </c>
      <c r="D143" s="45" t="s">
        <v>1745</v>
      </c>
      <c r="E143" s="46">
        <v>17.600000000000001</v>
      </c>
      <c r="F143" s="324">
        <v>631</v>
      </c>
      <c r="G143" s="566" t="str">
        <f t="shared" si="23"/>
        <v>住居</v>
      </c>
      <c r="H143" s="44" t="s">
        <v>1567</v>
      </c>
      <c r="I143" s="325">
        <v>68000</v>
      </c>
      <c r="J143" s="325">
        <v>3000</v>
      </c>
      <c r="K143" s="325">
        <v>0</v>
      </c>
      <c r="L143" s="325">
        <v>0</v>
      </c>
      <c r="M143" s="565">
        <f t="shared" si="30"/>
        <v>71000</v>
      </c>
      <c r="N143" s="326">
        <v>78000</v>
      </c>
      <c r="O143" s="326">
        <v>0</v>
      </c>
      <c r="P143" s="565">
        <f t="shared" si="24"/>
        <v>78000</v>
      </c>
      <c r="Q143" s="565">
        <f t="shared" si="31"/>
        <v>71000</v>
      </c>
      <c r="R143" s="325" t="s">
        <v>1578</v>
      </c>
      <c r="S143" s="325" t="s">
        <v>187</v>
      </c>
      <c r="T143" s="327" t="s">
        <v>1284</v>
      </c>
      <c r="V143" s="43" t="s">
        <v>1787</v>
      </c>
      <c r="W143" s="55">
        <v>75000</v>
      </c>
      <c r="Y143" s="6">
        <f t="shared" si="25"/>
        <v>1</v>
      </c>
      <c r="Z143" s="562">
        <f t="shared" si="26"/>
        <v>71000</v>
      </c>
      <c r="AA143" s="122">
        <f t="shared" si="27"/>
        <v>7000</v>
      </c>
      <c r="AB143" s="122">
        <f t="shared" si="28"/>
        <v>-4000</v>
      </c>
      <c r="AC143" s="6">
        <f t="shared" si="29"/>
        <v>1</v>
      </c>
      <c r="AD143" s="563">
        <f t="shared" si="32"/>
        <v>1</v>
      </c>
      <c r="AE143" s="64"/>
      <c r="AF143" s="31">
        <v>68000</v>
      </c>
      <c r="AG143" s="31">
        <v>3000</v>
      </c>
      <c r="AH143" s="31">
        <v>0</v>
      </c>
      <c r="AI143" s="31">
        <v>0</v>
      </c>
      <c r="AJ143" s="31">
        <v>71000</v>
      </c>
      <c r="AK143" s="31">
        <v>78000</v>
      </c>
      <c r="AL143" s="31">
        <v>0</v>
      </c>
      <c r="AM143" s="56">
        <v>78000</v>
      </c>
      <c r="AN143" s="31">
        <v>71000</v>
      </c>
      <c r="AO143" s="31" t="s">
        <v>1578</v>
      </c>
      <c r="AP143" s="23" t="s">
        <v>187</v>
      </c>
      <c r="AQ143" s="23" t="s">
        <v>1284</v>
      </c>
    </row>
    <row r="144" spans="1:43">
      <c r="A144" s="40">
        <v>141</v>
      </c>
      <c r="B144" s="40">
        <v>106</v>
      </c>
      <c r="C144" s="573" t="str">
        <f t="shared" si="22"/>
        <v>東池袋ハイツ</v>
      </c>
      <c r="D144" s="45" t="s">
        <v>1618</v>
      </c>
      <c r="E144" s="46">
        <v>0</v>
      </c>
      <c r="F144" s="324">
        <v>635</v>
      </c>
      <c r="G144" s="566" t="str">
        <f t="shared" si="23"/>
        <v>アンテナ</v>
      </c>
      <c r="H144" s="44" t="s">
        <v>729</v>
      </c>
      <c r="I144" s="325">
        <v>12000</v>
      </c>
      <c r="J144" s="325">
        <v>0</v>
      </c>
      <c r="K144" s="325">
        <v>0</v>
      </c>
      <c r="L144" s="325">
        <v>1200</v>
      </c>
      <c r="M144" s="565">
        <f t="shared" si="30"/>
        <v>13200</v>
      </c>
      <c r="N144" s="326">
        <v>12000</v>
      </c>
      <c r="O144" s="326">
        <v>1199.9999999999998</v>
      </c>
      <c r="P144" s="565">
        <f t="shared" si="24"/>
        <v>13200</v>
      </c>
      <c r="Q144" s="565">
        <f t="shared" si="31"/>
        <v>13200</v>
      </c>
      <c r="R144" s="325" t="s">
        <v>1017</v>
      </c>
      <c r="S144" s="325" t="s">
        <v>187</v>
      </c>
      <c r="T144" s="327" t="s">
        <v>1284</v>
      </c>
      <c r="V144" s="43" t="s">
        <v>1788</v>
      </c>
      <c r="W144" s="55">
        <v>0</v>
      </c>
      <c r="Y144" s="6">
        <f t="shared" si="25"/>
        <v>1</v>
      </c>
      <c r="Z144" s="562">
        <f t="shared" si="26"/>
        <v>12000</v>
      </c>
      <c r="AA144" s="122">
        <f t="shared" si="27"/>
        <v>0</v>
      </c>
      <c r="AB144" s="122">
        <f t="shared" si="28"/>
        <v>12000</v>
      </c>
      <c r="AC144" s="6">
        <f t="shared" si="29"/>
        <v>1</v>
      </c>
      <c r="AD144" s="563">
        <f t="shared" si="32"/>
        <v>1</v>
      </c>
      <c r="AE144" s="64"/>
      <c r="AF144" s="31">
        <v>12000</v>
      </c>
      <c r="AG144" s="31">
        <v>0</v>
      </c>
      <c r="AH144" s="31">
        <v>0</v>
      </c>
      <c r="AI144" s="31">
        <v>1200</v>
      </c>
      <c r="AJ144" s="31">
        <v>13200</v>
      </c>
      <c r="AK144" s="31">
        <v>12000</v>
      </c>
      <c r="AL144" s="31">
        <v>1199.9999999999998</v>
      </c>
      <c r="AM144" s="56">
        <v>13200</v>
      </c>
      <c r="AN144" s="31">
        <v>13200</v>
      </c>
      <c r="AO144" s="31" t="s">
        <v>1017</v>
      </c>
      <c r="AP144" s="23" t="s">
        <v>187</v>
      </c>
      <c r="AQ144" s="23" t="s">
        <v>1284</v>
      </c>
    </row>
    <row r="145" spans="1:43">
      <c r="A145" s="40">
        <v>142</v>
      </c>
      <c r="B145" s="40">
        <v>106</v>
      </c>
      <c r="C145" s="573" t="str">
        <f t="shared" si="22"/>
        <v>東池袋ハイツ</v>
      </c>
      <c r="D145" s="45" t="s">
        <v>1622</v>
      </c>
      <c r="E145" s="46" t="s">
        <v>1017</v>
      </c>
      <c r="F145" s="324">
        <v>639</v>
      </c>
      <c r="G145" s="566" t="str">
        <f t="shared" si="23"/>
        <v>その他</v>
      </c>
      <c r="H145" s="46" t="s">
        <v>1789</v>
      </c>
      <c r="I145" s="325">
        <v>0</v>
      </c>
      <c r="J145" s="325">
        <v>0</v>
      </c>
      <c r="K145" s="325">
        <v>0</v>
      </c>
      <c r="L145" s="325">
        <v>0</v>
      </c>
      <c r="M145" s="565">
        <f t="shared" si="30"/>
        <v>0</v>
      </c>
      <c r="N145" s="326">
        <v>0</v>
      </c>
      <c r="O145" s="326">
        <v>0</v>
      </c>
      <c r="P145" s="565">
        <f t="shared" si="24"/>
        <v>0</v>
      </c>
      <c r="Q145" s="565">
        <f t="shared" si="31"/>
        <v>0</v>
      </c>
      <c r="R145" s="325" t="s">
        <v>1017</v>
      </c>
      <c r="S145" s="325" t="s">
        <v>283</v>
      </c>
      <c r="T145" s="327" t="s">
        <v>1623</v>
      </c>
      <c r="V145" s="43" t="s">
        <v>1790</v>
      </c>
      <c r="W145" s="55">
        <v>0</v>
      </c>
      <c r="Y145" s="6">
        <f t="shared" si="25"/>
        <v>0</v>
      </c>
      <c r="Z145" s="562">
        <f t="shared" si="26"/>
        <v>0</v>
      </c>
      <c r="AA145" s="122">
        <f t="shared" si="27"/>
        <v>0</v>
      </c>
      <c r="AB145" s="122">
        <f t="shared" si="28"/>
        <v>0</v>
      </c>
      <c r="AC145" s="6">
        <f t="shared" si="29"/>
        <v>0</v>
      </c>
      <c r="AD145" s="563">
        <f t="shared" si="32"/>
        <v>1</v>
      </c>
      <c r="AE145" s="64"/>
      <c r="AF145" s="31">
        <v>0</v>
      </c>
      <c r="AG145" s="31">
        <v>0</v>
      </c>
      <c r="AH145" s="31">
        <v>0</v>
      </c>
      <c r="AI145" s="31">
        <v>0</v>
      </c>
      <c r="AJ145" s="31">
        <v>0</v>
      </c>
      <c r="AK145" s="31">
        <v>0</v>
      </c>
      <c r="AL145" s="31">
        <v>0</v>
      </c>
      <c r="AM145" s="56">
        <v>0</v>
      </c>
      <c r="AN145" s="31">
        <v>0</v>
      </c>
      <c r="AO145" s="31" t="s">
        <v>1017</v>
      </c>
      <c r="AP145" s="23" t="s">
        <v>283</v>
      </c>
      <c r="AQ145" s="23" t="s">
        <v>1623</v>
      </c>
    </row>
    <row r="146" spans="1:43">
      <c r="A146" s="41">
        <v>143</v>
      </c>
      <c r="B146" s="41">
        <v>107</v>
      </c>
      <c r="C146" s="574" t="str">
        <f t="shared" si="22"/>
        <v>メゾン雑司ヶ谷</v>
      </c>
      <c r="D146" s="45" t="s">
        <v>1580</v>
      </c>
      <c r="E146" s="46">
        <v>16.87</v>
      </c>
      <c r="F146" s="324">
        <v>631</v>
      </c>
      <c r="G146" s="566" t="str">
        <f t="shared" si="23"/>
        <v>住居</v>
      </c>
      <c r="H146" s="44" t="s">
        <v>1709</v>
      </c>
      <c r="I146" s="325">
        <v>52000</v>
      </c>
      <c r="J146" s="325">
        <v>3000</v>
      </c>
      <c r="K146" s="325">
        <v>0</v>
      </c>
      <c r="L146" s="325">
        <v>0</v>
      </c>
      <c r="M146" s="565">
        <f t="shared" si="30"/>
        <v>55000</v>
      </c>
      <c r="N146" s="326">
        <v>61000</v>
      </c>
      <c r="O146" s="326">
        <v>0</v>
      </c>
      <c r="P146" s="565">
        <f t="shared" si="24"/>
        <v>61000</v>
      </c>
      <c r="Q146" s="565">
        <f t="shared" si="31"/>
        <v>55000</v>
      </c>
      <c r="R146" s="325" t="s">
        <v>1568</v>
      </c>
      <c r="S146" s="325" t="s">
        <v>187</v>
      </c>
      <c r="T146" s="327" t="s">
        <v>1284</v>
      </c>
      <c r="V146" s="43" t="s">
        <v>1791</v>
      </c>
      <c r="W146" s="55">
        <v>61000</v>
      </c>
      <c r="Y146" s="6">
        <f t="shared" si="25"/>
        <v>1</v>
      </c>
      <c r="Z146" s="562">
        <f t="shared" si="26"/>
        <v>55000</v>
      </c>
      <c r="AA146" s="122">
        <f t="shared" si="27"/>
        <v>6000</v>
      </c>
      <c r="AB146" s="122">
        <f t="shared" si="28"/>
        <v>-6000</v>
      </c>
      <c r="AC146" s="6">
        <f t="shared" si="29"/>
        <v>1</v>
      </c>
      <c r="AD146" s="563">
        <f t="shared" si="32"/>
        <v>1</v>
      </c>
      <c r="AE146" s="64"/>
      <c r="AF146" s="31">
        <v>52000</v>
      </c>
      <c r="AG146" s="31">
        <v>3000</v>
      </c>
      <c r="AH146" s="31">
        <v>0</v>
      </c>
      <c r="AI146" s="31">
        <v>0</v>
      </c>
      <c r="AJ146" s="31">
        <v>55000</v>
      </c>
      <c r="AK146" s="31">
        <v>61000</v>
      </c>
      <c r="AL146" s="31">
        <v>0</v>
      </c>
      <c r="AM146" s="56">
        <v>61000</v>
      </c>
      <c r="AN146" s="31">
        <v>55000</v>
      </c>
      <c r="AO146" s="31" t="s">
        <v>1568</v>
      </c>
      <c r="AP146" s="23" t="s">
        <v>187</v>
      </c>
      <c r="AQ146" s="23" t="s">
        <v>1284</v>
      </c>
    </row>
    <row r="147" spans="1:43">
      <c r="A147" s="41">
        <v>144</v>
      </c>
      <c r="B147" s="41">
        <v>107</v>
      </c>
      <c r="C147" s="574" t="str">
        <f t="shared" si="22"/>
        <v>メゾン雑司ヶ谷</v>
      </c>
      <c r="D147" s="45" t="s">
        <v>1582</v>
      </c>
      <c r="E147" s="46">
        <v>16.87</v>
      </c>
      <c r="F147" s="324">
        <v>631</v>
      </c>
      <c r="G147" s="566" t="str">
        <f t="shared" si="23"/>
        <v>住居</v>
      </c>
      <c r="H147" s="44" t="s">
        <v>1709</v>
      </c>
      <c r="I147" s="325">
        <v>56000</v>
      </c>
      <c r="J147" s="325">
        <v>3000</v>
      </c>
      <c r="K147" s="325">
        <v>0</v>
      </c>
      <c r="L147" s="325">
        <v>0</v>
      </c>
      <c r="M147" s="565">
        <f t="shared" si="30"/>
        <v>59000</v>
      </c>
      <c r="N147" s="326">
        <v>59000</v>
      </c>
      <c r="O147" s="326">
        <v>0</v>
      </c>
      <c r="P147" s="565">
        <f t="shared" si="24"/>
        <v>59000</v>
      </c>
      <c r="Q147" s="565">
        <f t="shared" si="31"/>
        <v>59000</v>
      </c>
      <c r="R147" s="325" t="s">
        <v>1568</v>
      </c>
      <c r="S147" s="325" t="s">
        <v>187</v>
      </c>
      <c r="T147" s="327" t="s">
        <v>1284</v>
      </c>
      <c r="V147" s="43" t="s">
        <v>1792</v>
      </c>
      <c r="W147" s="55">
        <v>59000</v>
      </c>
      <c r="Y147" s="6">
        <f t="shared" si="25"/>
        <v>1</v>
      </c>
      <c r="Z147" s="562">
        <f t="shared" si="26"/>
        <v>59000</v>
      </c>
      <c r="AA147" s="122">
        <f t="shared" si="27"/>
        <v>0</v>
      </c>
      <c r="AB147" s="122">
        <f t="shared" si="28"/>
        <v>0</v>
      </c>
      <c r="AC147" s="6">
        <f t="shared" si="29"/>
        <v>1</v>
      </c>
      <c r="AD147" s="563">
        <f t="shared" si="32"/>
        <v>1</v>
      </c>
      <c r="AE147" s="64"/>
      <c r="AF147" s="31">
        <v>56000</v>
      </c>
      <c r="AG147" s="31">
        <v>3000</v>
      </c>
      <c r="AH147" s="31">
        <v>0</v>
      </c>
      <c r="AI147" s="31">
        <v>0</v>
      </c>
      <c r="AJ147" s="31">
        <v>59000</v>
      </c>
      <c r="AK147" s="31">
        <v>59000</v>
      </c>
      <c r="AL147" s="31">
        <v>0</v>
      </c>
      <c r="AM147" s="56">
        <v>59000</v>
      </c>
      <c r="AN147" s="31">
        <v>59000</v>
      </c>
      <c r="AO147" s="31" t="s">
        <v>1568</v>
      </c>
      <c r="AP147" s="23" t="s">
        <v>187</v>
      </c>
      <c r="AQ147" s="23" t="s">
        <v>1284</v>
      </c>
    </row>
    <row r="148" spans="1:43">
      <c r="A148" s="41">
        <v>145</v>
      </c>
      <c r="B148" s="41">
        <v>107</v>
      </c>
      <c r="C148" s="574" t="str">
        <f t="shared" si="22"/>
        <v>メゾン雑司ヶ谷</v>
      </c>
      <c r="D148" s="45" t="s">
        <v>1585</v>
      </c>
      <c r="E148" s="46">
        <v>19.54</v>
      </c>
      <c r="F148" s="324">
        <v>631</v>
      </c>
      <c r="G148" s="566" t="str">
        <f t="shared" si="23"/>
        <v>住居</v>
      </c>
      <c r="H148" s="44" t="s">
        <v>1709</v>
      </c>
      <c r="I148" s="325">
        <v>57000</v>
      </c>
      <c r="J148" s="325">
        <v>3000</v>
      </c>
      <c r="K148" s="325">
        <v>0</v>
      </c>
      <c r="L148" s="325">
        <v>0</v>
      </c>
      <c r="M148" s="565">
        <f t="shared" si="30"/>
        <v>60000</v>
      </c>
      <c r="N148" s="326">
        <v>60000</v>
      </c>
      <c r="O148" s="326">
        <v>0</v>
      </c>
      <c r="P148" s="565">
        <f t="shared" si="24"/>
        <v>60000</v>
      </c>
      <c r="Q148" s="565">
        <f t="shared" si="31"/>
        <v>60000</v>
      </c>
      <c r="R148" s="325" t="s">
        <v>1568</v>
      </c>
      <c r="S148" s="325" t="s">
        <v>187</v>
      </c>
      <c r="T148" s="327" t="s">
        <v>1284</v>
      </c>
      <c r="V148" s="43" t="s">
        <v>1793</v>
      </c>
      <c r="W148" s="55">
        <v>59000</v>
      </c>
      <c r="Y148" s="6">
        <f t="shared" si="25"/>
        <v>1</v>
      </c>
      <c r="Z148" s="562">
        <f t="shared" si="26"/>
        <v>60000</v>
      </c>
      <c r="AA148" s="122">
        <f t="shared" si="27"/>
        <v>0</v>
      </c>
      <c r="AB148" s="122">
        <f t="shared" si="28"/>
        <v>1000</v>
      </c>
      <c r="AC148" s="6">
        <f t="shared" si="29"/>
        <v>1</v>
      </c>
      <c r="AD148" s="563">
        <f t="shared" si="32"/>
        <v>1</v>
      </c>
      <c r="AE148" s="64"/>
      <c r="AF148" s="31">
        <v>57000</v>
      </c>
      <c r="AG148" s="31">
        <v>3000</v>
      </c>
      <c r="AH148" s="31">
        <v>0</v>
      </c>
      <c r="AI148" s="31">
        <v>0</v>
      </c>
      <c r="AJ148" s="31">
        <v>60000</v>
      </c>
      <c r="AK148" s="31">
        <v>60000</v>
      </c>
      <c r="AL148" s="31">
        <v>0</v>
      </c>
      <c r="AM148" s="56">
        <v>60000</v>
      </c>
      <c r="AN148" s="31">
        <v>60000</v>
      </c>
      <c r="AO148" s="31" t="s">
        <v>1568</v>
      </c>
      <c r="AP148" s="23" t="s">
        <v>187</v>
      </c>
      <c r="AQ148" s="23" t="s">
        <v>1284</v>
      </c>
    </row>
    <row r="149" spans="1:43">
      <c r="A149" s="41">
        <v>146</v>
      </c>
      <c r="B149" s="41">
        <v>107</v>
      </c>
      <c r="C149" s="574" t="str">
        <f t="shared" si="22"/>
        <v>メゾン雑司ヶ谷</v>
      </c>
      <c r="D149" s="45" t="s">
        <v>1587</v>
      </c>
      <c r="E149" s="46">
        <v>19.54</v>
      </c>
      <c r="F149" s="324">
        <v>631</v>
      </c>
      <c r="G149" s="566" t="str">
        <f t="shared" si="23"/>
        <v>住居</v>
      </c>
      <c r="H149" s="44" t="s">
        <v>1709</v>
      </c>
      <c r="I149" s="325">
        <v>61000</v>
      </c>
      <c r="J149" s="325">
        <v>3000</v>
      </c>
      <c r="K149" s="325">
        <v>0</v>
      </c>
      <c r="L149" s="325">
        <v>0</v>
      </c>
      <c r="M149" s="565">
        <f t="shared" si="30"/>
        <v>64000</v>
      </c>
      <c r="N149" s="326">
        <v>64000</v>
      </c>
      <c r="O149" s="326">
        <v>0</v>
      </c>
      <c r="P149" s="565">
        <f t="shared" si="24"/>
        <v>64000</v>
      </c>
      <c r="Q149" s="565">
        <f t="shared" si="31"/>
        <v>64000</v>
      </c>
      <c r="R149" s="325" t="s">
        <v>1568</v>
      </c>
      <c r="S149" s="325" t="s">
        <v>187</v>
      </c>
      <c r="T149" s="327" t="s">
        <v>1284</v>
      </c>
      <c r="V149" s="43" t="s">
        <v>1794</v>
      </c>
      <c r="W149" s="55">
        <v>64000</v>
      </c>
      <c r="Y149" s="6">
        <f t="shared" si="25"/>
        <v>1</v>
      </c>
      <c r="Z149" s="562">
        <f t="shared" si="26"/>
        <v>64000</v>
      </c>
      <c r="AA149" s="122">
        <f t="shared" si="27"/>
        <v>0</v>
      </c>
      <c r="AB149" s="122">
        <f t="shared" si="28"/>
        <v>0</v>
      </c>
      <c r="AC149" s="6">
        <f t="shared" si="29"/>
        <v>1</v>
      </c>
      <c r="AD149" s="563">
        <f t="shared" si="32"/>
        <v>1</v>
      </c>
      <c r="AE149" s="64"/>
      <c r="AF149" s="31">
        <v>61000</v>
      </c>
      <c r="AG149" s="31">
        <v>3000</v>
      </c>
      <c r="AH149" s="31">
        <v>0</v>
      </c>
      <c r="AI149" s="31">
        <v>0</v>
      </c>
      <c r="AJ149" s="31">
        <v>64000</v>
      </c>
      <c r="AK149" s="31">
        <v>64000</v>
      </c>
      <c r="AL149" s="31">
        <v>0</v>
      </c>
      <c r="AM149" s="56">
        <v>64000</v>
      </c>
      <c r="AN149" s="31">
        <v>64000</v>
      </c>
      <c r="AO149" s="31" t="s">
        <v>1568</v>
      </c>
      <c r="AP149" s="23" t="s">
        <v>187</v>
      </c>
      <c r="AQ149" s="23" t="s">
        <v>1284</v>
      </c>
    </row>
    <row r="150" spans="1:43">
      <c r="A150" s="41">
        <v>147</v>
      </c>
      <c r="B150" s="41">
        <v>107</v>
      </c>
      <c r="C150" s="574" t="str">
        <f t="shared" si="22"/>
        <v>メゾン雑司ヶ谷</v>
      </c>
      <c r="D150" s="45" t="s">
        <v>1642</v>
      </c>
      <c r="E150" s="46">
        <v>17.100000000000001</v>
      </c>
      <c r="F150" s="324">
        <v>631</v>
      </c>
      <c r="G150" s="566" t="str">
        <f t="shared" si="23"/>
        <v>住居</v>
      </c>
      <c r="H150" s="44" t="s">
        <v>1709</v>
      </c>
      <c r="I150" s="325">
        <v>67000</v>
      </c>
      <c r="J150" s="325">
        <v>0</v>
      </c>
      <c r="K150" s="325">
        <v>0</v>
      </c>
      <c r="L150" s="325">
        <v>0</v>
      </c>
      <c r="M150" s="565">
        <f t="shared" si="30"/>
        <v>67000</v>
      </c>
      <c r="N150" s="326">
        <v>67000</v>
      </c>
      <c r="O150" s="326">
        <v>0</v>
      </c>
      <c r="P150" s="565">
        <f t="shared" si="24"/>
        <v>67000</v>
      </c>
      <c r="Q150" s="565">
        <f t="shared" si="31"/>
        <v>67000</v>
      </c>
      <c r="R150" s="325" t="s">
        <v>1568</v>
      </c>
      <c r="S150" s="325" t="s">
        <v>187</v>
      </c>
      <c r="T150" s="327" t="s">
        <v>1284</v>
      </c>
      <c r="V150" s="43" t="s">
        <v>1795</v>
      </c>
      <c r="W150" s="55">
        <v>70000</v>
      </c>
      <c r="Y150" s="6">
        <f t="shared" si="25"/>
        <v>1</v>
      </c>
      <c r="Z150" s="562">
        <f t="shared" si="26"/>
        <v>67000</v>
      </c>
      <c r="AA150" s="122">
        <f t="shared" si="27"/>
        <v>0</v>
      </c>
      <c r="AB150" s="122">
        <f t="shared" si="28"/>
        <v>-3000</v>
      </c>
      <c r="AC150" s="6">
        <f t="shared" si="29"/>
        <v>1</v>
      </c>
      <c r="AD150" s="563">
        <f t="shared" si="32"/>
        <v>1</v>
      </c>
      <c r="AE150" s="64"/>
      <c r="AF150" s="31">
        <v>67000</v>
      </c>
      <c r="AG150" s="31">
        <v>0</v>
      </c>
      <c r="AH150" s="31">
        <v>0</v>
      </c>
      <c r="AI150" s="31">
        <v>0</v>
      </c>
      <c r="AJ150" s="31">
        <v>67000</v>
      </c>
      <c r="AK150" s="31">
        <v>67000</v>
      </c>
      <c r="AL150" s="31">
        <v>0</v>
      </c>
      <c r="AM150" s="56">
        <v>67000</v>
      </c>
      <c r="AN150" s="31">
        <v>67000</v>
      </c>
      <c r="AO150" s="31" t="s">
        <v>1568</v>
      </c>
      <c r="AP150" s="23" t="s">
        <v>187</v>
      </c>
      <c r="AQ150" s="23" t="s">
        <v>1284</v>
      </c>
    </row>
    <row r="151" spans="1:43">
      <c r="A151" s="41">
        <v>148</v>
      </c>
      <c r="B151" s="41">
        <v>107</v>
      </c>
      <c r="C151" s="574" t="str">
        <f t="shared" si="22"/>
        <v>メゾン雑司ヶ谷</v>
      </c>
      <c r="D151" s="45" t="s">
        <v>1644</v>
      </c>
      <c r="E151" s="46">
        <v>17.100000000000001</v>
      </c>
      <c r="F151" s="324">
        <v>631</v>
      </c>
      <c r="G151" s="566" t="str">
        <f t="shared" si="23"/>
        <v>住居</v>
      </c>
      <c r="H151" s="44" t="s">
        <v>1709</v>
      </c>
      <c r="I151" s="325">
        <v>51000</v>
      </c>
      <c r="J151" s="325">
        <v>3000</v>
      </c>
      <c r="K151" s="325">
        <v>0</v>
      </c>
      <c r="L151" s="325">
        <v>0</v>
      </c>
      <c r="M151" s="565">
        <f t="shared" si="30"/>
        <v>54000</v>
      </c>
      <c r="N151" s="326">
        <v>63000</v>
      </c>
      <c r="O151" s="326">
        <v>0</v>
      </c>
      <c r="P151" s="565">
        <f t="shared" si="24"/>
        <v>63000</v>
      </c>
      <c r="Q151" s="565">
        <f t="shared" si="31"/>
        <v>54000</v>
      </c>
      <c r="R151" s="325" t="s">
        <v>1568</v>
      </c>
      <c r="S151" s="325" t="s">
        <v>187</v>
      </c>
      <c r="T151" s="327" t="s">
        <v>1284</v>
      </c>
      <c r="V151" s="43" t="s">
        <v>1796</v>
      </c>
      <c r="W151" s="55">
        <v>63000</v>
      </c>
      <c r="Y151" s="6">
        <f t="shared" si="25"/>
        <v>1</v>
      </c>
      <c r="Z151" s="562">
        <f t="shared" si="26"/>
        <v>54000</v>
      </c>
      <c r="AA151" s="122">
        <f t="shared" si="27"/>
        <v>9000</v>
      </c>
      <c r="AB151" s="122">
        <f t="shared" si="28"/>
        <v>-9000</v>
      </c>
      <c r="AC151" s="6">
        <f t="shared" si="29"/>
        <v>1</v>
      </c>
      <c r="AD151" s="563">
        <f t="shared" si="32"/>
        <v>1</v>
      </c>
      <c r="AE151" s="64"/>
      <c r="AF151" s="31">
        <v>51000</v>
      </c>
      <c r="AG151" s="31">
        <v>3000</v>
      </c>
      <c r="AH151" s="31">
        <v>0</v>
      </c>
      <c r="AI151" s="31">
        <v>0</v>
      </c>
      <c r="AJ151" s="31">
        <v>54000</v>
      </c>
      <c r="AK151" s="31">
        <v>63000</v>
      </c>
      <c r="AL151" s="31">
        <v>0</v>
      </c>
      <c r="AM151" s="56">
        <v>63000</v>
      </c>
      <c r="AN151" s="31">
        <v>54000</v>
      </c>
      <c r="AO151" s="31" t="s">
        <v>1568</v>
      </c>
      <c r="AP151" s="23" t="s">
        <v>187</v>
      </c>
      <c r="AQ151" s="23" t="s">
        <v>1284</v>
      </c>
    </row>
    <row r="152" spans="1:43">
      <c r="A152" s="41">
        <v>149</v>
      </c>
      <c r="B152" s="41">
        <v>107</v>
      </c>
      <c r="C152" s="574" t="str">
        <f t="shared" si="22"/>
        <v>メゾン雑司ヶ谷</v>
      </c>
      <c r="D152" s="45" t="s">
        <v>1646</v>
      </c>
      <c r="E152" s="46">
        <v>16.96</v>
      </c>
      <c r="F152" s="324">
        <v>631</v>
      </c>
      <c r="G152" s="566" t="str">
        <f t="shared" si="23"/>
        <v>住居</v>
      </c>
      <c r="H152" s="44" t="s">
        <v>1709</v>
      </c>
      <c r="I152" s="325">
        <v>59000</v>
      </c>
      <c r="J152" s="325">
        <v>2000</v>
      </c>
      <c r="K152" s="325">
        <v>0</v>
      </c>
      <c r="L152" s="325">
        <v>0</v>
      </c>
      <c r="M152" s="565">
        <f t="shared" si="30"/>
        <v>61000</v>
      </c>
      <c r="N152" s="326">
        <v>61000</v>
      </c>
      <c r="O152" s="326">
        <v>0</v>
      </c>
      <c r="P152" s="565">
        <f t="shared" si="24"/>
        <v>61000</v>
      </c>
      <c r="Q152" s="565">
        <f t="shared" si="31"/>
        <v>61000</v>
      </c>
      <c r="R152" s="325" t="s">
        <v>1568</v>
      </c>
      <c r="S152" s="325" t="s">
        <v>187</v>
      </c>
      <c r="T152" s="327" t="s">
        <v>1284</v>
      </c>
      <c r="V152" s="43" t="s">
        <v>1797</v>
      </c>
      <c r="W152" s="55">
        <v>59000</v>
      </c>
      <c r="Y152" s="6">
        <f t="shared" si="25"/>
        <v>1</v>
      </c>
      <c r="Z152" s="562">
        <f t="shared" si="26"/>
        <v>61000</v>
      </c>
      <c r="AA152" s="122">
        <f t="shared" si="27"/>
        <v>0</v>
      </c>
      <c r="AB152" s="122">
        <f t="shared" si="28"/>
        <v>2000</v>
      </c>
      <c r="AC152" s="6">
        <f t="shared" si="29"/>
        <v>1</v>
      </c>
      <c r="AD152" s="563">
        <f t="shared" si="32"/>
        <v>1</v>
      </c>
      <c r="AE152" s="64"/>
      <c r="AF152" s="31">
        <v>59000</v>
      </c>
      <c r="AG152" s="31">
        <v>2000</v>
      </c>
      <c r="AH152" s="31">
        <v>0</v>
      </c>
      <c r="AI152" s="31">
        <v>0</v>
      </c>
      <c r="AJ152" s="31">
        <v>61000</v>
      </c>
      <c r="AK152" s="31">
        <v>61000</v>
      </c>
      <c r="AL152" s="31">
        <v>0</v>
      </c>
      <c r="AM152" s="56">
        <v>61000</v>
      </c>
      <c r="AN152" s="31">
        <v>61000</v>
      </c>
      <c r="AO152" s="31" t="s">
        <v>1568</v>
      </c>
      <c r="AP152" s="23" t="s">
        <v>187</v>
      </c>
      <c r="AQ152" s="23" t="s">
        <v>1284</v>
      </c>
    </row>
    <row r="153" spans="1:43">
      <c r="A153" s="41">
        <v>150</v>
      </c>
      <c r="B153" s="41">
        <v>107</v>
      </c>
      <c r="C153" s="574" t="str">
        <f t="shared" si="22"/>
        <v>メゾン雑司ヶ谷</v>
      </c>
      <c r="D153" s="45" t="s">
        <v>1798</v>
      </c>
      <c r="E153" s="46">
        <v>19.54</v>
      </c>
      <c r="F153" s="324">
        <v>631</v>
      </c>
      <c r="G153" s="566" t="str">
        <f t="shared" si="23"/>
        <v>住居</v>
      </c>
      <c r="H153" s="44" t="s">
        <v>1709</v>
      </c>
      <c r="I153" s="325">
        <v>59000</v>
      </c>
      <c r="J153" s="325">
        <v>3000</v>
      </c>
      <c r="K153" s="325">
        <v>0</v>
      </c>
      <c r="L153" s="325">
        <v>0</v>
      </c>
      <c r="M153" s="565">
        <f t="shared" si="30"/>
        <v>62000</v>
      </c>
      <c r="N153" s="326">
        <v>62000</v>
      </c>
      <c r="O153" s="326">
        <v>0</v>
      </c>
      <c r="P153" s="565">
        <f t="shared" si="24"/>
        <v>62000</v>
      </c>
      <c r="Q153" s="565">
        <f t="shared" si="31"/>
        <v>62000</v>
      </c>
      <c r="R153" s="325" t="s">
        <v>1799</v>
      </c>
      <c r="S153" s="325" t="s">
        <v>187</v>
      </c>
      <c r="T153" s="327" t="s">
        <v>1284</v>
      </c>
      <c r="V153" s="43" t="s">
        <v>1800</v>
      </c>
      <c r="W153" s="55">
        <v>65000</v>
      </c>
      <c r="Y153" s="6">
        <f t="shared" si="25"/>
        <v>1</v>
      </c>
      <c r="Z153" s="562">
        <f t="shared" si="26"/>
        <v>62000</v>
      </c>
      <c r="AA153" s="122">
        <f t="shared" si="27"/>
        <v>0</v>
      </c>
      <c r="AB153" s="122">
        <f t="shared" si="28"/>
        <v>-3000</v>
      </c>
      <c r="AC153" s="6">
        <f t="shared" si="29"/>
        <v>1</v>
      </c>
      <c r="AD153" s="563">
        <f t="shared" si="32"/>
        <v>1</v>
      </c>
      <c r="AE153" s="64"/>
      <c r="AF153" s="31">
        <v>59000</v>
      </c>
      <c r="AG153" s="31">
        <v>3000</v>
      </c>
      <c r="AH153" s="31">
        <v>0</v>
      </c>
      <c r="AI153" s="31">
        <v>0</v>
      </c>
      <c r="AJ153" s="31">
        <v>62000</v>
      </c>
      <c r="AK153" s="31">
        <v>62000</v>
      </c>
      <c r="AL153" s="31">
        <v>0</v>
      </c>
      <c r="AM153" s="56">
        <v>62000</v>
      </c>
      <c r="AN153" s="31">
        <v>62000</v>
      </c>
      <c r="AO153" s="31" t="s">
        <v>1799</v>
      </c>
      <c r="AP153" s="23" t="s">
        <v>187</v>
      </c>
      <c r="AQ153" s="23" t="s">
        <v>1284</v>
      </c>
    </row>
    <row r="154" spans="1:43">
      <c r="A154" s="41">
        <v>151</v>
      </c>
      <c r="B154" s="41">
        <v>107</v>
      </c>
      <c r="C154" s="574" t="str">
        <f t="shared" si="22"/>
        <v>メゾン雑司ヶ谷</v>
      </c>
      <c r="D154" s="45" t="s">
        <v>1801</v>
      </c>
      <c r="E154" s="46">
        <v>18.47</v>
      </c>
      <c r="F154" s="324">
        <v>631</v>
      </c>
      <c r="G154" s="566" t="str">
        <f t="shared" si="23"/>
        <v>住居</v>
      </c>
      <c r="H154" s="44" t="s">
        <v>1709</v>
      </c>
      <c r="I154" s="325">
        <v>60000</v>
      </c>
      <c r="J154" s="325">
        <v>5000</v>
      </c>
      <c r="K154" s="325">
        <v>0</v>
      </c>
      <c r="L154" s="325">
        <v>0</v>
      </c>
      <c r="M154" s="565">
        <f t="shared" si="30"/>
        <v>65000</v>
      </c>
      <c r="N154" s="326">
        <v>65000</v>
      </c>
      <c r="O154" s="326">
        <v>0</v>
      </c>
      <c r="P154" s="565">
        <f t="shared" si="24"/>
        <v>65000</v>
      </c>
      <c r="Q154" s="565">
        <f t="shared" si="31"/>
        <v>65000</v>
      </c>
      <c r="R154" s="325" t="s">
        <v>1568</v>
      </c>
      <c r="S154" s="325" t="s">
        <v>187</v>
      </c>
      <c r="T154" s="327" t="s">
        <v>1284</v>
      </c>
      <c r="V154" s="43" t="s">
        <v>1802</v>
      </c>
      <c r="W154" s="55">
        <v>65000</v>
      </c>
      <c r="Y154" s="6">
        <f t="shared" si="25"/>
        <v>1</v>
      </c>
      <c r="Z154" s="562">
        <f t="shared" si="26"/>
        <v>65000</v>
      </c>
      <c r="AA154" s="122">
        <f t="shared" si="27"/>
        <v>0</v>
      </c>
      <c r="AB154" s="122">
        <f t="shared" si="28"/>
        <v>0</v>
      </c>
      <c r="AC154" s="6">
        <f t="shared" si="29"/>
        <v>1</v>
      </c>
      <c r="AD154" s="563">
        <f t="shared" si="32"/>
        <v>1</v>
      </c>
      <c r="AE154" s="64"/>
      <c r="AF154" s="31">
        <v>60000</v>
      </c>
      <c r="AG154" s="31">
        <v>5000</v>
      </c>
      <c r="AH154" s="31">
        <v>0</v>
      </c>
      <c r="AI154" s="31">
        <v>0</v>
      </c>
      <c r="AJ154" s="31">
        <v>65000</v>
      </c>
      <c r="AK154" s="31">
        <v>65000</v>
      </c>
      <c r="AL154" s="31">
        <v>0</v>
      </c>
      <c r="AM154" s="56">
        <v>65000</v>
      </c>
      <c r="AN154" s="31">
        <v>65000</v>
      </c>
      <c r="AO154" s="31" t="s">
        <v>1568</v>
      </c>
      <c r="AP154" s="23" t="s">
        <v>187</v>
      </c>
      <c r="AQ154" s="23" t="s">
        <v>1284</v>
      </c>
    </row>
    <row r="155" spans="1:43">
      <c r="A155" s="41">
        <v>152</v>
      </c>
      <c r="B155" s="41">
        <v>107</v>
      </c>
      <c r="C155" s="574" t="str">
        <f t="shared" si="22"/>
        <v>メゾン雑司ヶ谷</v>
      </c>
      <c r="D155" s="45" t="s">
        <v>1803</v>
      </c>
      <c r="E155" s="46">
        <v>18.47</v>
      </c>
      <c r="F155" s="324">
        <v>631</v>
      </c>
      <c r="G155" s="566" t="str">
        <f t="shared" si="23"/>
        <v>住居</v>
      </c>
      <c r="H155" s="44" t="s">
        <v>1709</v>
      </c>
      <c r="I155" s="325">
        <v>62000</v>
      </c>
      <c r="J155" s="325">
        <v>0</v>
      </c>
      <c r="K155" s="325">
        <v>0</v>
      </c>
      <c r="L155" s="325">
        <v>0</v>
      </c>
      <c r="M155" s="565">
        <f t="shared" si="30"/>
        <v>62000</v>
      </c>
      <c r="N155" s="326">
        <v>62000</v>
      </c>
      <c r="O155" s="326">
        <v>0</v>
      </c>
      <c r="P155" s="565">
        <f t="shared" si="24"/>
        <v>62000</v>
      </c>
      <c r="Q155" s="565">
        <f t="shared" si="31"/>
        <v>62000</v>
      </c>
      <c r="R155" s="325" t="s">
        <v>1568</v>
      </c>
      <c r="S155" s="325" t="s">
        <v>187</v>
      </c>
      <c r="T155" s="327" t="s">
        <v>1284</v>
      </c>
      <c r="V155" s="43" t="s">
        <v>1804</v>
      </c>
      <c r="W155" s="55">
        <v>65000</v>
      </c>
      <c r="Y155" s="6">
        <f t="shared" si="25"/>
        <v>1</v>
      </c>
      <c r="Z155" s="562">
        <f t="shared" si="26"/>
        <v>62000</v>
      </c>
      <c r="AA155" s="122">
        <f t="shared" si="27"/>
        <v>0</v>
      </c>
      <c r="AB155" s="122">
        <f t="shared" si="28"/>
        <v>-3000</v>
      </c>
      <c r="AC155" s="6">
        <f t="shared" si="29"/>
        <v>1</v>
      </c>
      <c r="AD155" s="563">
        <f t="shared" si="32"/>
        <v>1</v>
      </c>
      <c r="AE155" s="64"/>
      <c r="AF155" s="31">
        <v>62000</v>
      </c>
      <c r="AG155" s="31">
        <v>0</v>
      </c>
      <c r="AH155" s="31">
        <v>0</v>
      </c>
      <c r="AI155" s="31">
        <v>0</v>
      </c>
      <c r="AJ155" s="31">
        <v>62000</v>
      </c>
      <c r="AK155" s="31">
        <v>62000</v>
      </c>
      <c r="AL155" s="31">
        <v>0</v>
      </c>
      <c r="AM155" s="56">
        <v>62000</v>
      </c>
      <c r="AN155" s="31">
        <v>62000</v>
      </c>
      <c r="AO155" s="31" t="s">
        <v>1568</v>
      </c>
      <c r="AP155" s="23" t="s">
        <v>187</v>
      </c>
      <c r="AQ155" s="23" t="s">
        <v>1284</v>
      </c>
    </row>
    <row r="156" spans="1:43">
      <c r="A156" s="41">
        <v>153</v>
      </c>
      <c r="B156" s="41">
        <v>107</v>
      </c>
      <c r="C156" s="574" t="str">
        <f t="shared" si="22"/>
        <v>メゾン雑司ヶ谷</v>
      </c>
      <c r="D156" s="45" t="s">
        <v>1805</v>
      </c>
      <c r="E156" s="46">
        <v>18.47</v>
      </c>
      <c r="F156" s="324">
        <v>631</v>
      </c>
      <c r="G156" s="566" t="str">
        <f t="shared" si="23"/>
        <v>住居</v>
      </c>
      <c r="H156" s="44" t="s">
        <v>1709</v>
      </c>
      <c r="I156" s="325">
        <v>69000</v>
      </c>
      <c r="J156" s="325">
        <v>3000</v>
      </c>
      <c r="K156" s="325">
        <v>0</v>
      </c>
      <c r="L156" s="325">
        <v>0</v>
      </c>
      <c r="M156" s="565">
        <f t="shared" si="30"/>
        <v>72000</v>
      </c>
      <c r="N156" s="326">
        <v>72000</v>
      </c>
      <c r="O156" s="326">
        <v>0</v>
      </c>
      <c r="P156" s="565">
        <f t="shared" si="24"/>
        <v>72000</v>
      </c>
      <c r="Q156" s="565">
        <f t="shared" si="31"/>
        <v>72000</v>
      </c>
      <c r="R156" s="325" t="s">
        <v>1568</v>
      </c>
      <c r="S156" s="325" t="s">
        <v>187</v>
      </c>
      <c r="T156" s="327" t="s">
        <v>1284</v>
      </c>
      <c r="V156" s="43" t="s">
        <v>1806</v>
      </c>
      <c r="W156" s="55">
        <v>72000</v>
      </c>
      <c r="Y156" s="6">
        <f t="shared" si="25"/>
        <v>1</v>
      </c>
      <c r="Z156" s="562">
        <f t="shared" si="26"/>
        <v>72000</v>
      </c>
      <c r="AA156" s="122">
        <f t="shared" si="27"/>
        <v>0</v>
      </c>
      <c r="AB156" s="122">
        <f t="shared" si="28"/>
        <v>0</v>
      </c>
      <c r="AC156" s="6">
        <f t="shared" si="29"/>
        <v>1</v>
      </c>
      <c r="AD156" s="563">
        <f t="shared" si="32"/>
        <v>1</v>
      </c>
      <c r="AE156" s="64"/>
      <c r="AF156" s="31">
        <v>69000</v>
      </c>
      <c r="AG156" s="31">
        <v>3000</v>
      </c>
      <c r="AH156" s="31">
        <v>0</v>
      </c>
      <c r="AI156" s="31">
        <v>0</v>
      </c>
      <c r="AJ156" s="31">
        <v>72000</v>
      </c>
      <c r="AK156" s="31">
        <v>72000</v>
      </c>
      <c r="AL156" s="31">
        <v>0</v>
      </c>
      <c r="AM156" s="56">
        <v>72000</v>
      </c>
      <c r="AN156" s="31">
        <v>72000</v>
      </c>
      <c r="AO156" s="31" t="s">
        <v>1568</v>
      </c>
      <c r="AP156" s="23" t="s">
        <v>187</v>
      </c>
      <c r="AQ156" s="23" t="s">
        <v>1284</v>
      </c>
    </row>
    <row r="157" spans="1:43">
      <c r="A157" s="41">
        <v>154</v>
      </c>
      <c r="B157" s="41">
        <v>107</v>
      </c>
      <c r="C157" s="574" t="str">
        <f t="shared" si="22"/>
        <v>メゾン雑司ヶ谷</v>
      </c>
      <c r="D157" s="45" t="s">
        <v>1807</v>
      </c>
      <c r="E157" s="46">
        <v>18.47</v>
      </c>
      <c r="F157" s="324">
        <v>631</v>
      </c>
      <c r="G157" s="566" t="str">
        <f t="shared" si="23"/>
        <v>住居</v>
      </c>
      <c r="H157" s="44" t="s">
        <v>1709</v>
      </c>
      <c r="I157" s="325">
        <v>60000</v>
      </c>
      <c r="J157" s="325">
        <v>3000</v>
      </c>
      <c r="K157" s="325">
        <v>0</v>
      </c>
      <c r="L157" s="325">
        <v>0</v>
      </c>
      <c r="M157" s="565">
        <f t="shared" si="30"/>
        <v>63000</v>
      </c>
      <c r="N157" s="326">
        <v>63000</v>
      </c>
      <c r="O157" s="326">
        <v>0</v>
      </c>
      <c r="P157" s="565">
        <f t="shared" si="24"/>
        <v>63000</v>
      </c>
      <c r="Q157" s="565">
        <f t="shared" si="31"/>
        <v>63000</v>
      </c>
      <c r="R157" s="325" t="s">
        <v>1568</v>
      </c>
      <c r="S157" s="325" t="s">
        <v>187</v>
      </c>
      <c r="T157" s="327" t="s">
        <v>1284</v>
      </c>
      <c r="V157" s="43" t="s">
        <v>1808</v>
      </c>
      <c r="W157" s="55">
        <v>65000</v>
      </c>
      <c r="Y157" s="6">
        <f t="shared" si="25"/>
        <v>1</v>
      </c>
      <c r="Z157" s="562">
        <f t="shared" si="26"/>
        <v>63000</v>
      </c>
      <c r="AA157" s="122">
        <f t="shared" si="27"/>
        <v>0</v>
      </c>
      <c r="AB157" s="122">
        <f t="shared" si="28"/>
        <v>-2000</v>
      </c>
      <c r="AC157" s="6">
        <f t="shared" si="29"/>
        <v>1</v>
      </c>
      <c r="AD157" s="563">
        <f t="shared" si="32"/>
        <v>1</v>
      </c>
      <c r="AE157" s="64"/>
      <c r="AF157" s="31">
        <v>60000</v>
      </c>
      <c r="AG157" s="31">
        <v>3000</v>
      </c>
      <c r="AH157" s="31">
        <v>0</v>
      </c>
      <c r="AI157" s="31">
        <v>0</v>
      </c>
      <c r="AJ157" s="31">
        <v>63000</v>
      </c>
      <c r="AK157" s="31">
        <v>63000</v>
      </c>
      <c r="AL157" s="31">
        <v>0</v>
      </c>
      <c r="AM157" s="56">
        <v>63000</v>
      </c>
      <c r="AN157" s="31">
        <v>63000</v>
      </c>
      <c r="AO157" s="31" t="s">
        <v>1568</v>
      </c>
      <c r="AP157" s="23" t="s">
        <v>187</v>
      </c>
      <c r="AQ157" s="23" t="s">
        <v>1284</v>
      </c>
    </row>
    <row r="158" spans="1:43">
      <c r="A158" s="41">
        <v>155</v>
      </c>
      <c r="B158" s="41">
        <v>107</v>
      </c>
      <c r="C158" s="574" t="str">
        <f t="shared" si="22"/>
        <v>メゾン雑司ヶ谷</v>
      </c>
      <c r="D158" s="45" t="s">
        <v>1589</v>
      </c>
      <c r="E158" s="46">
        <v>19.54</v>
      </c>
      <c r="F158" s="324">
        <v>631</v>
      </c>
      <c r="G158" s="566" t="str">
        <f t="shared" si="23"/>
        <v>住居</v>
      </c>
      <c r="H158" s="44" t="s">
        <v>1709</v>
      </c>
      <c r="I158" s="325">
        <v>57000</v>
      </c>
      <c r="J158" s="325">
        <v>3000</v>
      </c>
      <c r="K158" s="325">
        <v>0</v>
      </c>
      <c r="L158" s="325">
        <v>0</v>
      </c>
      <c r="M158" s="565">
        <f t="shared" si="30"/>
        <v>60000</v>
      </c>
      <c r="N158" s="326">
        <v>60000</v>
      </c>
      <c r="O158" s="326">
        <v>0</v>
      </c>
      <c r="P158" s="565">
        <f t="shared" si="24"/>
        <v>60000</v>
      </c>
      <c r="Q158" s="565">
        <f t="shared" si="31"/>
        <v>60000</v>
      </c>
      <c r="R158" s="325" t="s">
        <v>1568</v>
      </c>
      <c r="S158" s="325" t="s">
        <v>187</v>
      </c>
      <c r="T158" s="327" t="s">
        <v>1284</v>
      </c>
      <c r="V158" s="43" t="s">
        <v>1809</v>
      </c>
      <c r="W158" s="55">
        <v>60000</v>
      </c>
      <c r="Y158" s="6">
        <f t="shared" si="25"/>
        <v>1</v>
      </c>
      <c r="Z158" s="562">
        <f t="shared" si="26"/>
        <v>60000</v>
      </c>
      <c r="AA158" s="122">
        <f t="shared" si="27"/>
        <v>0</v>
      </c>
      <c r="AB158" s="122">
        <f t="shared" si="28"/>
        <v>0</v>
      </c>
      <c r="AC158" s="6">
        <f t="shared" si="29"/>
        <v>1</v>
      </c>
      <c r="AD158" s="563">
        <f t="shared" si="32"/>
        <v>1</v>
      </c>
      <c r="AE158" s="64"/>
      <c r="AF158" s="31">
        <v>57000</v>
      </c>
      <c r="AG158" s="31">
        <v>3000</v>
      </c>
      <c r="AH158" s="31">
        <v>0</v>
      </c>
      <c r="AI158" s="31">
        <v>0</v>
      </c>
      <c r="AJ158" s="31">
        <v>60000</v>
      </c>
      <c r="AK158" s="31">
        <v>60000</v>
      </c>
      <c r="AL158" s="31">
        <v>0</v>
      </c>
      <c r="AM158" s="56">
        <v>60000</v>
      </c>
      <c r="AN158" s="31">
        <v>60000</v>
      </c>
      <c r="AO158" s="31" t="s">
        <v>1568</v>
      </c>
      <c r="AP158" s="23" t="s">
        <v>187</v>
      </c>
      <c r="AQ158" s="23" t="s">
        <v>1284</v>
      </c>
    </row>
    <row r="159" spans="1:43">
      <c r="A159" s="41">
        <v>156</v>
      </c>
      <c r="B159" s="41">
        <v>107</v>
      </c>
      <c r="C159" s="574" t="str">
        <f t="shared" si="22"/>
        <v>メゾン雑司ヶ谷</v>
      </c>
      <c r="D159" s="45" t="s">
        <v>1591</v>
      </c>
      <c r="E159" s="46">
        <v>18.47</v>
      </c>
      <c r="F159" s="324">
        <v>631</v>
      </c>
      <c r="G159" s="566" t="str">
        <f t="shared" si="23"/>
        <v>住居</v>
      </c>
      <c r="H159" s="44" t="s">
        <v>1709</v>
      </c>
      <c r="I159" s="325">
        <v>58000</v>
      </c>
      <c r="J159" s="325">
        <v>0</v>
      </c>
      <c r="K159" s="325">
        <v>0</v>
      </c>
      <c r="L159" s="325">
        <v>0</v>
      </c>
      <c r="M159" s="565">
        <f t="shared" si="30"/>
        <v>58000</v>
      </c>
      <c r="N159" s="326">
        <v>58000</v>
      </c>
      <c r="O159" s="326">
        <v>0</v>
      </c>
      <c r="P159" s="565">
        <f t="shared" si="24"/>
        <v>58000</v>
      </c>
      <c r="Q159" s="565">
        <f t="shared" si="31"/>
        <v>58000</v>
      </c>
      <c r="R159" s="325" t="s">
        <v>1568</v>
      </c>
      <c r="S159" s="325" t="s">
        <v>187</v>
      </c>
      <c r="T159" s="327" t="s">
        <v>1284</v>
      </c>
      <c r="V159" s="43" t="s">
        <v>1810</v>
      </c>
      <c r="W159" s="55">
        <v>58000</v>
      </c>
      <c r="Y159" s="6">
        <f t="shared" si="25"/>
        <v>1</v>
      </c>
      <c r="Z159" s="562">
        <f t="shared" si="26"/>
        <v>58000</v>
      </c>
      <c r="AA159" s="122">
        <f t="shared" si="27"/>
        <v>0</v>
      </c>
      <c r="AB159" s="122">
        <f t="shared" si="28"/>
        <v>0</v>
      </c>
      <c r="AC159" s="6">
        <f t="shared" si="29"/>
        <v>1</v>
      </c>
      <c r="AD159" s="563">
        <f t="shared" si="32"/>
        <v>1</v>
      </c>
      <c r="AE159" s="64"/>
      <c r="AF159" s="31">
        <v>58000</v>
      </c>
      <c r="AG159" s="31">
        <v>0</v>
      </c>
      <c r="AH159" s="31">
        <v>0</v>
      </c>
      <c r="AI159" s="31">
        <v>0</v>
      </c>
      <c r="AJ159" s="31">
        <v>58000</v>
      </c>
      <c r="AK159" s="31">
        <v>58000</v>
      </c>
      <c r="AL159" s="31">
        <v>0</v>
      </c>
      <c r="AM159" s="56">
        <v>58000</v>
      </c>
      <c r="AN159" s="31">
        <v>58000</v>
      </c>
      <c r="AO159" s="31" t="s">
        <v>1568</v>
      </c>
      <c r="AP159" s="23" t="s">
        <v>187</v>
      </c>
      <c r="AQ159" s="23" t="s">
        <v>1284</v>
      </c>
    </row>
    <row r="160" spans="1:43">
      <c r="A160" s="41">
        <v>157</v>
      </c>
      <c r="B160" s="41">
        <v>107</v>
      </c>
      <c r="C160" s="574" t="str">
        <f t="shared" si="22"/>
        <v>メゾン雑司ヶ谷</v>
      </c>
      <c r="D160" s="45" t="s">
        <v>1593</v>
      </c>
      <c r="E160" s="46">
        <v>27.28</v>
      </c>
      <c r="F160" s="324">
        <v>631</v>
      </c>
      <c r="G160" s="566" t="str">
        <f t="shared" si="23"/>
        <v>住居</v>
      </c>
      <c r="H160" s="44" t="s">
        <v>1811</v>
      </c>
      <c r="I160" s="325">
        <v>82000</v>
      </c>
      <c r="J160" s="325">
        <v>3000</v>
      </c>
      <c r="K160" s="325">
        <v>0</v>
      </c>
      <c r="L160" s="325">
        <v>0</v>
      </c>
      <c r="M160" s="565">
        <f t="shared" si="30"/>
        <v>85000</v>
      </c>
      <c r="N160" s="326">
        <v>85000</v>
      </c>
      <c r="O160" s="326">
        <v>0</v>
      </c>
      <c r="P160" s="565">
        <f t="shared" si="24"/>
        <v>85000</v>
      </c>
      <c r="Q160" s="565">
        <f t="shared" si="31"/>
        <v>85000</v>
      </c>
      <c r="R160" s="325" t="s">
        <v>1578</v>
      </c>
      <c r="S160" s="325" t="s">
        <v>187</v>
      </c>
      <c r="T160" s="327" t="s">
        <v>1284</v>
      </c>
      <c r="V160" s="43" t="s">
        <v>1812</v>
      </c>
      <c r="W160" s="55">
        <v>88000</v>
      </c>
      <c r="Y160" s="6">
        <f t="shared" si="25"/>
        <v>1</v>
      </c>
      <c r="Z160" s="562">
        <f t="shared" si="26"/>
        <v>85000</v>
      </c>
      <c r="AA160" s="122">
        <f t="shared" si="27"/>
        <v>0</v>
      </c>
      <c r="AB160" s="122">
        <f t="shared" si="28"/>
        <v>-3000</v>
      </c>
      <c r="AC160" s="6">
        <f t="shared" si="29"/>
        <v>1</v>
      </c>
      <c r="AD160" s="563">
        <f t="shared" si="32"/>
        <v>1</v>
      </c>
      <c r="AE160" s="64"/>
      <c r="AF160" s="31">
        <v>82000</v>
      </c>
      <c r="AG160" s="31">
        <v>3000</v>
      </c>
      <c r="AH160" s="31">
        <v>0</v>
      </c>
      <c r="AI160" s="31">
        <v>0</v>
      </c>
      <c r="AJ160" s="31">
        <v>85000</v>
      </c>
      <c r="AK160" s="31">
        <v>85000</v>
      </c>
      <c r="AL160" s="31">
        <v>0</v>
      </c>
      <c r="AM160" s="56">
        <v>85000</v>
      </c>
      <c r="AN160" s="31">
        <v>85000</v>
      </c>
      <c r="AO160" s="31" t="s">
        <v>1578</v>
      </c>
      <c r="AP160" s="23" t="s">
        <v>187</v>
      </c>
      <c r="AQ160" s="23" t="s">
        <v>1284</v>
      </c>
    </row>
    <row r="161" spans="1:43">
      <c r="A161" s="41">
        <v>158</v>
      </c>
      <c r="B161" s="41">
        <v>107</v>
      </c>
      <c r="C161" s="574" t="str">
        <f t="shared" si="22"/>
        <v>メゾン雑司ヶ谷</v>
      </c>
      <c r="D161" s="45" t="s">
        <v>1595</v>
      </c>
      <c r="E161" s="46">
        <v>17.47</v>
      </c>
      <c r="F161" s="324">
        <v>631</v>
      </c>
      <c r="G161" s="566" t="str">
        <f t="shared" si="23"/>
        <v>住居</v>
      </c>
      <c r="H161" s="44" t="s">
        <v>1709</v>
      </c>
      <c r="I161" s="325">
        <v>59000</v>
      </c>
      <c r="J161" s="325">
        <v>3000</v>
      </c>
      <c r="K161" s="325">
        <v>0</v>
      </c>
      <c r="L161" s="325">
        <v>0</v>
      </c>
      <c r="M161" s="565">
        <f t="shared" si="30"/>
        <v>62000</v>
      </c>
      <c r="N161" s="326">
        <v>62000</v>
      </c>
      <c r="O161" s="326">
        <v>0</v>
      </c>
      <c r="P161" s="565">
        <f t="shared" si="24"/>
        <v>62000</v>
      </c>
      <c r="Q161" s="565">
        <f t="shared" si="31"/>
        <v>62000</v>
      </c>
      <c r="R161" s="325" t="s">
        <v>1568</v>
      </c>
      <c r="S161" s="325" t="s">
        <v>187</v>
      </c>
      <c r="T161" s="327" t="s">
        <v>1284</v>
      </c>
      <c r="V161" s="43" t="s">
        <v>1813</v>
      </c>
      <c r="W161" s="55">
        <v>62000</v>
      </c>
      <c r="Y161" s="6">
        <f t="shared" si="25"/>
        <v>1</v>
      </c>
      <c r="Z161" s="562">
        <f t="shared" si="26"/>
        <v>62000</v>
      </c>
      <c r="AA161" s="122">
        <f t="shared" si="27"/>
        <v>0</v>
      </c>
      <c r="AB161" s="122">
        <f t="shared" si="28"/>
        <v>0</v>
      </c>
      <c r="AC161" s="6">
        <f t="shared" si="29"/>
        <v>1</v>
      </c>
      <c r="AD161" s="563">
        <f t="shared" si="32"/>
        <v>1</v>
      </c>
      <c r="AE161" s="64"/>
      <c r="AF161" s="31">
        <v>59000</v>
      </c>
      <c r="AG161" s="31">
        <v>3000</v>
      </c>
      <c r="AH161" s="31">
        <v>0</v>
      </c>
      <c r="AI161" s="31">
        <v>0</v>
      </c>
      <c r="AJ161" s="31">
        <v>62000</v>
      </c>
      <c r="AK161" s="31">
        <v>62000</v>
      </c>
      <c r="AL161" s="31">
        <v>0</v>
      </c>
      <c r="AM161" s="56">
        <v>62000</v>
      </c>
      <c r="AN161" s="31">
        <v>62000</v>
      </c>
      <c r="AO161" s="31" t="s">
        <v>1568</v>
      </c>
      <c r="AP161" s="23" t="s">
        <v>187</v>
      </c>
      <c r="AQ161" s="23" t="s">
        <v>1284</v>
      </c>
    </row>
    <row r="162" spans="1:43">
      <c r="A162" s="41">
        <v>159</v>
      </c>
      <c r="B162" s="41">
        <v>107</v>
      </c>
      <c r="C162" s="574" t="str">
        <f t="shared" si="22"/>
        <v>メゾン雑司ヶ谷</v>
      </c>
      <c r="D162" s="45" t="s">
        <v>1597</v>
      </c>
      <c r="E162" s="46">
        <v>16.96</v>
      </c>
      <c r="F162" s="324">
        <v>631</v>
      </c>
      <c r="G162" s="566" t="str">
        <f t="shared" si="23"/>
        <v>住居</v>
      </c>
      <c r="H162" s="44" t="s">
        <v>1709</v>
      </c>
      <c r="I162" s="325">
        <v>53700</v>
      </c>
      <c r="J162" s="325">
        <v>5000</v>
      </c>
      <c r="K162" s="325">
        <v>0</v>
      </c>
      <c r="L162" s="325">
        <v>0</v>
      </c>
      <c r="M162" s="565">
        <f t="shared" si="30"/>
        <v>58700</v>
      </c>
      <c r="N162" s="326">
        <v>58700</v>
      </c>
      <c r="O162" s="326">
        <v>0</v>
      </c>
      <c r="P162" s="565">
        <f t="shared" si="24"/>
        <v>58700</v>
      </c>
      <c r="Q162" s="565">
        <f t="shared" si="31"/>
        <v>58700</v>
      </c>
      <c r="R162" s="325" t="s">
        <v>1568</v>
      </c>
      <c r="S162" s="325" t="s">
        <v>187</v>
      </c>
      <c r="T162" s="327" t="s">
        <v>1284</v>
      </c>
      <c r="V162" s="43" t="s">
        <v>1814</v>
      </c>
      <c r="W162" s="55">
        <v>59000</v>
      </c>
      <c r="Y162" s="6">
        <f t="shared" si="25"/>
        <v>1</v>
      </c>
      <c r="Z162" s="562">
        <f t="shared" si="26"/>
        <v>58700</v>
      </c>
      <c r="AA162" s="122">
        <f t="shared" si="27"/>
        <v>0</v>
      </c>
      <c r="AB162" s="122">
        <f t="shared" si="28"/>
        <v>-300</v>
      </c>
      <c r="AC162" s="6">
        <f t="shared" si="29"/>
        <v>1</v>
      </c>
      <c r="AD162" s="563">
        <f t="shared" si="32"/>
        <v>1</v>
      </c>
      <c r="AE162" s="64"/>
      <c r="AF162" s="31">
        <v>53700</v>
      </c>
      <c r="AG162" s="31">
        <v>5000</v>
      </c>
      <c r="AH162" s="31">
        <v>0</v>
      </c>
      <c r="AI162" s="31">
        <v>0</v>
      </c>
      <c r="AJ162" s="31">
        <v>58700</v>
      </c>
      <c r="AK162" s="31">
        <v>58700</v>
      </c>
      <c r="AL162" s="31">
        <v>0</v>
      </c>
      <c r="AM162" s="56">
        <v>58700</v>
      </c>
      <c r="AN162" s="31">
        <v>58700</v>
      </c>
      <c r="AO162" s="31" t="s">
        <v>1568</v>
      </c>
      <c r="AP162" s="23" t="s">
        <v>187</v>
      </c>
      <c r="AQ162" s="23" t="s">
        <v>1284</v>
      </c>
    </row>
    <row r="163" spans="1:43">
      <c r="A163" s="41">
        <v>160</v>
      </c>
      <c r="B163" s="41">
        <v>107</v>
      </c>
      <c r="C163" s="574" t="str">
        <f t="shared" si="22"/>
        <v>メゾン雑司ヶ谷</v>
      </c>
      <c r="D163" s="45" t="s">
        <v>1599</v>
      </c>
      <c r="E163" s="46">
        <v>18.47</v>
      </c>
      <c r="F163" s="324">
        <v>631</v>
      </c>
      <c r="G163" s="566" t="str">
        <f t="shared" si="23"/>
        <v>住居</v>
      </c>
      <c r="H163" s="44" t="s">
        <v>1709</v>
      </c>
      <c r="I163" s="325">
        <v>63000</v>
      </c>
      <c r="J163" s="325">
        <v>3000</v>
      </c>
      <c r="K163" s="325">
        <v>0</v>
      </c>
      <c r="L163" s="325">
        <v>0</v>
      </c>
      <c r="M163" s="565">
        <f t="shared" si="30"/>
        <v>66000</v>
      </c>
      <c r="N163" s="326">
        <v>66000</v>
      </c>
      <c r="O163" s="326">
        <v>0</v>
      </c>
      <c r="P163" s="565">
        <f t="shared" si="24"/>
        <v>66000</v>
      </c>
      <c r="Q163" s="565">
        <f t="shared" si="31"/>
        <v>66000</v>
      </c>
      <c r="R163" s="325" t="s">
        <v>1568</v>
      </c>
      <c r="S163" s="325" t="s">
        <v>187</v>
      </c>
      <c r="T163" s="327" t="s">
        <v>1284</v>
      </c>
      <c r="V163" s="43" t="s">
        <v>1815</v>
      </c>
      <c r="W163" s="55">
        <v>66000</v>
      </c>
      <c r="Y163" s="6">
        <f t="shared" si="25"/>
        <v>1</v>
      </c>
      <c r="Z163" s="562">
        <f t="shared" si="26"/>
        <v>66000</v>
      </c>
      <c r="AA163" s="122">
        <f t="shared" si="27"/>
        <v>0</v>
      </c>
      <c r="AB163" s="122">
        <f t="shared" si="28"/>
        <v>0</v>
      </c>
      <c r="AC163" s="6">
        <f t="shared" si="29"/>
        <v>1</v>
      </c>
      <c r="AD163" s="563">
        <f t="shared" si="32"/>
        <v>1</v>
      </c>
      <c r="AE163" s="64"/>
      <c r="AF163" s="31">
        <v>63000</v>
      </c>
      <c r="AG163" s="31">
        <v>3000</v>
      </c>
      <c r="AH163" s="31">
        <v>0</v>
      </c>
      <c r="AI163" s="31">
        <v>0</v>
      </c>
      <c r="AJ163" s="31">
        <v>66000</v>
      </c>
      <c r="AK163" s="31">
        <v>66000</v>
      </c>
      <c r="AL163" s="31">
        <v>0</v>
      </c>
      <c r="AM163" s="56">
        <v>66000</v>
      </c>
      <c r="AN163" s="31">
        <v>66000</v>
      </c>
      <c r="AO163" s="31" t="s">
        <v>1568</v>
      </c>
      <c r="AP163" s="23" t="s">
        <v>187</v>
      </c>
      <c r="AQ163" s="23" t="s">
        <v>1284</v>
      </c>
    </row>
    <row r="164" spans="1:43">
      <c r="A164" s="41">
        <v>161</v>
      </c>
      <c r="B164" s="41">
        <v>107</v>
      </c>
      <c r="C164" s="574" t="str">
        <f t="shared" si="22"/>
        <v>メゾン雑司ヶ谷</v>
      </c>
      <c r="D164" s="45" t="s">
        <v>1601</v>
      </c>
      <c r="E164" s="46">
        <v>18.47</v>
      </c>
      <c r="F164" s="324">
        <v>631</v>
      </c>
      <c r="G164" s="566" t="str">
        <f t="shared" si="23"/>
        <v>住居</v>
      </c>
      <c r="H164" s="44" t="s">
        <v>1709</v>
      </c>
      <c r="I164" s="325">
        <v>59000</v>
      </c>
      <c r="J164" s="325">
        <v>3000</v>
      </c>
      <c r="K164" s="325">
        <v>0</v>
      </c>
      <c r="L164" s="325">
        <v>0</v>
      </c>
      <c r="M164" s="565">
        <f t="shared" si="30"/>
        <v>62000</v>
      </c>
      <c r="N164" s="326">
        <v>62000</v>
      </c>
      <c r="O164" s="326">
        <v>0</v>
      </c>
      <c r="P164" s="565">
        <f t="shared" si="24"/>
        <v>62000</v>
      </c>
      <c r="Q164" s="565">
        <f t="shared" si="31"/>
        <v>62000</v>
      </c>
      <c r="R164" s="325" t="s">
        <v>1568</v>
      </c>
      <c r="S164" s="325" t="s">
        <v>187</v>
      </c>
      <c r="T164" s="327" t="s">
        <v>1284</v>
      </c>
      <c r="V164" s="43" t="s">
        <v>1816</v>
      </c>
      <c r="W164" s="55">
        <v>60000</v>
      </c>
      <c r="Y164" s="6">
        <f t="shared" si="25"/>
        <v>1</v>
      </c>
      <c r="Z164" s="562">
        <f t="shared" si="26"/>
        <v>62000</v>
      </c>
      <c r="AA164" s="122">
        <f t="shared" si="27"/>
        <v>0</v>
      </c>
      <c r="AB164" s="122">
        <f t="shared" si="28"/>
        <v>2000</v>
      </c>
      <c r="AC164" s="6">
        <f t="shared" si="29"/>
        <v>1</v>
      </c>
      <c r="AD164" s="563">
        <f t="shared" si="32"/>
        <v>1</v>
      </c>
      <c r="AE164" s="64"/>
      <c r="AF164" s="31">
        <v>59000</v>
      </c>
      <c r="AG164" s="31">
        <v>3000</v>
      </c>
      <c r="AH164" s="31">
        <v>0</v>
      </c>
      <c r="AI164" s="31">
        <v>0</v>
      </c>
      <c r="AJ164" s="31">
        <v>62000</v>
      </c>
      <c r="AK164" s="31">
        <v>62000</v>
      </c>
      <c r="AL164" s="31">
        <v>0</v>
      </c>
      <c r="AM164" s="56">
        <v>62000</v>
      </c>
      <c r="AN164" s="31">
        <v>62000</v>
      </c>
      <c r="AO164" s="31" t="s">
        <v>1568</v>
      </c>
      <c r="AP164" s="23" t="s">
        <v>187</v>
      </c>
      <c r="AQ164" s="23" t="s">
        <v>1284</v>
      </c>
    </row>
    <row r="165" spans="1:43">
      <c r="A165" s="41">
        <v>162</v>
      </c>
      <c r="B165" s="41">
        <v>107</v>
      </c>
      <c r="C165" s="574" t="str">
        <f t="shared" si="22"/>
        <v>メゾン雑司ヶ谷</v>
      </c>
      <c r="D165" s="45" t="s">
        <v>1659</v>
      </c>
      <c r="E165" s="46">
        <v>19.54</v>
      </c>
      <c r="F165" s="324">
        <v>631</v>
      </c>
      <c r="G165" s="566" t="str">
        <f t="shared" si="23"/>
        <v>住居</v>
      </c>
      <c r="H165" s="44" t="s">
        <v>1709</v>
      </c>
      <c r="I165" s="325">
        <v>59000</v>
      </c>
      <c r="J165" s="325">
        <v>2000</v>
      </c>
      <c r="K165" s="325">
        <v>0</v>
      </c>
      <c r="L165" s="325">
        <v>0</v>
      </c>
      <c r="M165" s="565">
        <f t="shared" si="30"/>
        <v>61000</v>
      </c>
      <c r="N165" s="326">
        <v>61000</v>
      </c>
      <c r="O165" s="326">
        <v>0</v>
      </c>
      <c r="P165" s="565">
        <f t="shared" si="24"/>
        <v>61000</v>
      </c>
      <c r="Q165" s="565">
        <f t="shared" si="31"/>
        <v>61000</v>
      </c>
      <c r="R165" s="325" t="s">
        <v>1568</v>
      </c>
      <c r="S165" s="325" t="s">
        <v>187</v>
      </c>
      <c r="T165" s="327" t="s">
        <v>1284</v>
      </c>
      <c r="V165" s="43" t="s">
        <v>1817</v>
      </c>
      <c r="W165" s="55">
        <v>62000</v>
      </c>
      <c r="Y165" s="6">
        <f t="shared" si="25"/>
        <v>1</v>
      </c>
      <c r="Z165" s="562">
        <f t="shared" si="26"/>
        <v>61000</v>
      </c>
      <c r="AA165" s="122">
        <f t="shared" si="27"/>
        <v>0</v>
      </c>
      <c r="AB165" s="122">
        <f t="shared" si="28"/>
        <v>-1000</v>
      </c>
      <c r="AC165" s="6">
        <f t="shared" si="29"/>
        <v>1</v>
      </c>
      <c r="AD165" s="563">
        <f t="shared" si="32"/>
        <v>1</v>
      </c>
      <c r="AE165" s="64"/>
      <c r="AF165" s="31">
        <v>59000</v>
      </c>
      <c r="AG165" s="31">
        <v>2000</v>
      </c>
      <c r="AH165" s="31">
        <v>0</v>
      </c>
      <c r="AI165" s="31">
        <v>0</v>
      </c>
      <c r="AJ165" s="31">
        <v>61000</v>
      </c>
      <c r="AK165" s="31">
        <v>61000</v>
      </c>
      <c r="AL165" s="31">
        <v>0</v>
      </c>
      <c r="AM165" s="56">
        <v>61000</v>
      </c>
      <c r="AN165" s="31">
        <v>61000</v>
      </c>
      <c r="AO165" s="31" t="s">
        <v>1568</v>
      </c>
      <c r="AP165" s="23" t="s">
        <v>187</v>
      </c>
      <c r="AQ165" s="23" t="s">
        <v>1284</v>
      </c>
    </row>
    <row r="166" spans="1:43">
      <c r="A166" s="41">
        <v>163</v>
      </c>
      <c r="B166" s="41">
        <v>107</v>
      </c>
      <c r="C166" s="574" t="str">
        <f t="shared" si="22"/>
        <v>メゾン雑司ヶ谷</v>
      </c>
      <c r="D166" s="45" t="s">
        <v>1661</v>
      </c>
      <c r="E166" s="46">
        <v>18.47</v>
      </c>
      <c r="F166" s="324">
        <v>631</v>
      </c>
      <c r="G166" s="566" t="str">
        <f t="shared" si="23"/>
        <v>住居</v>
      </c>
      <c r="H166" s="44" t="s">
        <v>1709</v>
      </c>
      <c r="I166" s="325">
        <v>60000</v>
      </c>
      <c r="J166" s="325">
        <v>3000</v>
      </c>
      <c r="K166" s="325">
        <v>0</v>
      </c>
      <c r="L166" s="325">
        <v>0</v>
      </c>
      <c r="M166" s="565">
        <f t="shared" si="30"/>
        <v>63000</v>
      </c>
      <c r="N166" s="326">
        <v>61000</v>
      </c>
      <c r="O166" s="326">
        <v>0</v>
      </c>
      <c r="P166" s="565">
        <f t="shared" si="24"/>
        <v>61000</v>
      </c>
      <c r="Q166" s="565">
        <f t="shared" si="31"/>
        <v>63000</v>
      </c>
      <c r="R166" s="325" t="s">
        <v>1818</v>
      </c>
      <c r="S166" s="325" t="s">
        <v>187</v>
      </c>
      <c r="T166" s="327" t="s">
        <v>1284</v>
      </c>
      <c r="V166" s="43" t="s">
        <v>1819</v>
      </c>
      <c r="W166" s="55">
        <v>63000</v>
      </c>
      <c r="Y166" s="6">
        <f t="shared" si="25"/>
        <v>1</v>
      </c>
      <c r="Z166" s="562">
        <f t="shared" si="26"/>
        <v>63000</v>
      </c>
      <c r="AA166" s="122">
        <f t="shared" si="27"/>
        <v>-2000</v>
      </c>
      <c r="AB166" s="122">
        <f t="shared" si="28"/>
        <v>0</v>
      </c>
      <c r="AC166" s="6">
        <f t="shared" si="29"/>
        <v>1</v>
      </c>
      <c r="AD166" s="563">
        <f t="shared" si="32"/>
        <v>1</v>
      </c>
      <c r="AE166" s="64"/>
      <c r="AF166" s="31">
        <v>60000</v>
      </c>
      <c r="AG166" s="31">
        <v>3000</v>
      </c>
      <c r="AH166" s="31">
        <v>0</v>
      </c>
      <c r="AI166" s="31">
        <v>0</v>
      </c>
      <c r="AJ166" s="31">
        <v>63000</v>
      </c>
      <c r="AK166" s="31">
        <v>61000</v>
      </c>
      <c r="AL166" s="31">
        <v>0</v>
      </c>
      <c r="AM166" s="56">
        <v>61000</v>
      </c>
      <c r="AN166" s="31">
        <v>63000</v>
      </c>
      <c r="AO166" s="31" t="s">
        <v>1818</v>
      </c>
      <c r="AP166" s="23" t="s">
        <v>187</v>
      </c>
      <c r="AQ166" s="23" t="s">
        <v>1284</v>
      </c>
    </row>
    <row r="167" spans="1:43">
      <c r="A167" s="41">
        <v>164</v>
      </c>
      <c r="B167" s="41">
        <v>107</v>
      </c>
      <c r="C167" s="574" t="str">
        <f t="shared" si="22"/>
        <v>メゾン雑司ヶ谷</v>
      </c>
      <c r="D167" s="45" t="s">
        <v>1663</v>
      </c>
      <c r="E167" s="46">
        <v>16.2</v>
      </c>
      <c r="F167" s="324">
        <v>631</v>
      </c>
      <c r="G167" s="566" t="str">
        <f t="shared" si="23"/>
        <v>住居</v>
      </c>
      <c r="H167" s="44" t="s">
        <v>1709</v>
      </c>
      <c r="I167" s="325">
        <v>59000</v>
      </c>
      <c r="J167" s="325">
        <v>0</v>
      </c>
      <c r="K167" s="325">
        <v>0</v>
      </c>
      <c r="L167" s="325">
        <v>0</v>
      </c>
      <c r="M167" s="565">
        <f t="shared" si="30"/>
        <v>59000</v>
      </c>
      <c r="N167" s="326">
        <v>59000</v>
      </c>
      <c r="O167" s="326">
        <v>0</v>
      </c>
      <c r="P167" s="565">
        <f t="shared" si="24"/>
        <v>59000</v>
      </c>
      <c r="Q167" s="565">
        <f t="shared" si="31"/>
        <v>59000</v>
      </c>
      <c r="R167" s="325" t="s">
        <v>1568</v>
      </c>
      <c r="S167" s="325" t="s">
        <v>187</v>
      </c>
      <c r="T167" s="327" t="s">
        <v>1284</v>
      </c>
      <c r="V167" s="43" t="s">
        <v>1820</v>
      </c>
      <c r="W167" s="55">
        <v>59000</v>
      </c>
      <c r="Y167" s="6">
        <f t="shared" si="25"/>
        <v>1</v>
      </c>
      <c r="Z167" s="562">
        <f t="shared" si="26"/>
        <v>59000</v>
      </c>
      <c r="AA167" s="122">
        <f t="shared" si="27"/>
        <v>0</v>
      </c>
      <c r="AB167" s="122">
        <f t="shared" si="28"/>
        <v>0</v>
      </c>
      <c r="AC167" s="6">
        <f t="shared" si="29"/>
        <v>1</v>
      </c>
      <c r="AD167" s="563">
        <f t="shared" si="32"/>
        <v>1</v>
      </c>
      <c r="AE167" s="64"/>
      <c r="AF167" s="31">
        <v>59000</v>
      </c>
      <c r="AG167" s="31">
        <v>0</v>
      </c>
      <c r="AH167" s="31">
        <v>0</v>
      </c>
      <c r="AI167" s="31">
        <v>0</v>
      </c>
      <c r="AJ167" s="31">
        <v>59000</v>
      </c>
      <c r="AK167" s="31">
        <v>59000</v>
      </c>
      <c r="AL167" s="31">
        <v>0</v>
      </c>
      <c r="AM167" s="56">
        <v>59000</v>
      </c>
      <c r="AN167" s="31">
        <v>59000</v>
      </c>
      <c r="AO167" s="31" t="s">
        <v>1568</v>
      </c>
      <c r="AP167" s="23" t="s">
        <v>187</v>
      </c>
      <c r="AQ167" s="23" t="s">
        <v>1284</v>
      </c>
    </row>
    <row r="168" spans="1:43">
      <c r="A168" s="41">
        <v>165</v>
      </c>
      <c r="B168" s="41">
        <v>107</v>
      </c>
      <c r="C168" s="574" t="str">
        <f t="shared" si="22"/>
        <v>メゾン雑司ヶ谷</v>
      </c>
      <c r="D168" s="45" t="s">
        <v>1821</v>
      </c>
      <c r="E168" s="46">
        <v>430</v>
      </c>
      <c r="F168" s="324">
        <v>633</v>
      </c>
      <c r="G168" s="566" t="str">
        <f t="shared" si="23"/>
        <v>店舗</v>
      </c>
      <c r="H168" s="44" t="s">
        <v>1706</v>
      </c>
      <c r="I168" s="325">
        <v>1000000</v>
      </c>
      <c r="J168" s="325">
        <v>0</v>
      </c>
      <c r="K168" s="325">
        <v>0</v>
      </c>
      <c r="L168" s="325">
        <v>100000</v>
      </c>
      <c r="M168" s="565">
        <f t="shared" si="30"/>
        <v>1100000</v>
      </c>
      <c r="N168" s="326">
        <v>1000000</v>
      </c>
      <c r="O168" s="326">
        <v>100000</v>
      </c>
      <c r="P168" s="565">
        <f t="shared" si="24"/>
        <v>1100000</v>
      </c>
      <c r="Q168" s="565">
        <f t="shared" si="31"/>
        <v>1100000</v>
      </c>
      <c r="R168" s="325" t="s">
        <v>1575</v>
      </c>
      <c r="S168" s="325" t="s">
        <v>187</v>
      </c>
      <c r="T168" s="327" t="s">
        <v>1284</v>
      </c>
      <c r="V168" s="43" t="s">
        <v>1822</v>
      </c>
      <c r="W168" s="55">
        <v>1000000</v>
      </c>
      <c r="Y168" s="6">
        <f t="shared" si="25"/>
        <v>1</v>
      </c>
      <c r="Z168" s="562">
        <f t="shared" si="26"/>
        <v>1000000</v>
      </c>
      <c r="AA168" s="122">
        <f t="shared" si="27"/>
        <v>0</v>
      </c>
      <c r="AB168" s="122">
        <f t="shared" si="28"/>
        <v>0</v>
      </c>
      <c r="AC168" s="6">
        <f t="shared" si="29"/>
        <v>1</v>
      </c>
      <c r="AD168" s="563">
        <f t="shared" si="32"/>
        <v>1</v>
      </c>
      <c r="AE168" s="64"/>
      <c r="AF168" s="31">
        <v>1000000</v>
      </c>
      <c r="AG168" s="31">
        <v>0</v>
      </c>
      <c r="AH168" s="31">
        <v>0</v>
      </c>
      <c r="AI168" s="31">
        <v>100000</v>
      </c>
      <c r="AJ168" s="31">
        <v>1100000</v>
      </c>
      <c r="AK168" s="31">
        <v>1000000</v>
      </c>
      <c r="AL168" s="31">
        <v>100000</v>
      </c>
      <c r="AM168" s="56">
        <v>1100000</v>
      </c>
      <c r="AN168" s="31">
        <v>1100000</v>
      </c>
      <c r="AO168" s="31" t="s">
        <v>1575</v>
      </c>
      <c r="AP168" s="23" t="s">
        <v>187</v>
      </c>
      <c r="AQ168" s="23" t="s">
        <v>1284</v>
      </c>
    </row>
    <row r="169" spans="1:43">
      <c r="A169" s="41">
        <v>166</v>
      </c>
      <c r="B169" s="41">
        <v>107</v>
      </c>
      <c r="C169" s="574" t="str">
        <f t="shared" si="22"/>
        <v>メゾン雑司ヶ谷</v>
      </c>
      <c r="D169" s="45" t="s">
        <v>1764</v>
      </c>
      <c r="E169" s="46" t="s">
        <v>1017</v>
      </c>
      <c r="F169" s="324">
        <v>639</v>
      </c>
      <c r="G169" s="566" t="str">
        <f t="shared" si="23"/>
        <v>その他</v>
      </c>
      <c r="H169" s="46" t="s">
        <v>1789</v>
      </c>
      <c r="I169" s="325">
        <v>0</v>
      </c>
      <c r="J169" s="325">
        <v>0</v>
      </c>
      <c r="K169" s="325">
        <v>0</v>
      </c>
      <c r="L169" s="325">
        <v>0</v>
      </c>
      <c r="M169" s="565">
        <f t="shared" si="30"/>
        <v>0</v>
      </c>
      <c r="N169" s="326">
        <v>0</v>
      </c>
      <c r="O169" s="326">
        <v>0</v>
      </c>
      <c r="P169" s="565">
        <f t="shared" si="24"/>
        <v>0</v>
      </c>
      <c r="Q169" s="565">
        <f t="shared" si="31"/>
        <v>0</v>
      </c>
      <c r="R169" s="325" t="s">
        <v>1017</v>
      </c>
      <c r="S169" s="325" t="s">
        <v>283</v>
      </c>
      <c r="T169" s="327" t="s">
        <v>1765</v>
      </c>
      <c r="V169" s="43" t="s">
        <v>1823</v>
      </c>
      <c r="W169" s="55">
        <v>0</v>
      </c>
      <c r="Y169" s="6">
        <f t="shared" si="25"/>
        <v>0</v>
      </c>
      <c r="Z169" s="562">
        <f t="shared" si="26"/>
        <v>0</v>
      </c>
      <c r="AA169" s="122">
        <f t="shared" si="27"/>
        <v>0</v>
      </c>
      <c r="AB169" s="122">
        <f t="shared" si="28"/>
        <v>0</v>
      </c>
      <c r="AC169" s="6">
        <f t="shared" si="29"/>
        <v>0</v>
      </c>
      <c r="AD169" s="563">
        <f t="shared" si="32"/>
        <v>1</v>
      </c>
      <c r="AE169" s="64"/>
      <c r="AF169" s="31">
        <v>0</v>
      </c>
      <c r="AG169" s="31">
        <v>0</v>
      </c>
      <c r="AH169" s="31">
        <v>0</v>
      </c>
      <c r="AI169" s="31">
        <v>0</v>
      </c>
      <c r="AJ169" s="31">
        <v>0</v>
      </c>
      <c r="AK169" s="31">
        <v>0</v>
      </c>
      <c r="AL169" s="31">
        <v>0</v>
      </c>
      <c r="AM169" s="56">
        <v>0</v>
      </c>
      <c r="AN169" s="31">
        <v>0</v>
      </c>
      <c r="AO169" s="31" t="s">
        <v>1017</v>
      </c>
      <c r="AP169" s="23" t="s">
        <v>283</v>
      </c>
      <c r="AQ169" s="23" t="s">
        <v>1765</v>
      </c>
    </row>
    <row r="170" spans="1:43">
      <c r="A170" s="34">
        <v>167</v>
      </c>
      <c r="B170" s="34">
        <v>109</v>
      </c>
      <c r="C170" s="568" t="str">
        <f t="shared" si="22"/>
        <v>カーサ南池袋</v>
      </c>
      <c r="D170" s="45" t="s">
        <v>1566</v>
      </c>
      <c r="E170" s="46">
        <v>21.5</v>
      </c>
      <c r="F170" s="324">
        <v>631</v>
      </c>
      <c r="G170" s="566" t="str">
        <f t="shared" si="23"/>
        <v>住居</v>
      </c>
      <c r="H170" s="44" t="s">
        <v>1567</v>
      </c>
      <c r="I170" s="325">
        <v>50000</v>
      </c>
      <c r="J170" s="325">
        <v>0</v>
      </c>
      <c r="K170" s="325">
        <v>0</v>
      </c>
      <c r="L170" s="325">
        <v>0</v>
      </c>
      <c r="M170" s="565">
        <f t="shared" si="30"/>
        <v>50000</v>
      </c>
      <c r="N170" s="326">
        <v>50000</v>
      </c>
      <c r="O170" s="326">
        <v>0</v>
      </c>
      <c r="P170" s="565">
        <f t="shared" si="24"/>
        <v>50000</v>
      </c>
      <c r="Q170" s="565">
        <f t="shared" si="31"/>
        <v>50000</v>
      </c>
      <c r="R170" s="325" t="s">
        <v>1568</v>
      </c>
      <c r="S170" s="325" t="s">
        <v>187</v>
      </c>
      <c r="T170" s="327" t="s">
        <v>1284</v>
      </c>
      <c r="V170" s="43" t="s">
        <v>1824</v>
      </c>
      <c r="W170" s="55">
        <v>20000</v>
      </c>
      <c r="Y170" s="6">
        <f t="shared" si="25"/>
        <v>1</v>
      </c>
      <c r="Z170" s="562">
        <f t="shared" si="26"/>
        <v>50000</v>
      </c>
      <c r="AA170" s="122">
        <f t="shared" si="27"/>
        <v>0</v>
      </c>
      <c r="AB170" s="122">
        <f t="shared" si="28"/>
        <v>30000</v>
      </c>
      <c r="AC170" s="6">
        <f t="shared" si="29"/>
        <v>1</v>
      </c>
      <c r="AD170" s="563">
        <f t="shared" si="32"/>
        <v>1</v>
      </c>
      <c r="AE170" s="64"/>
      <c r="AF170" s="31">
        <v>50000</v>
      </c>
      <c r="AG170" s="31">
        <v>0</v>
      </c>
      <c r="AH170" s="31">
        <v>0</v>
      </c>
      <c r="AI170" s="31">
        <v>0</v>
      </c>
      <c r="AJ170" s="31">
        <v>50000</v>
      </c>
      <c r="AK170" s="31">
        <v>50000</v>
      </c>
      <c r="AL170" s="31">
        <v>0</v>
      </c>
      <c r="AM170" s="56">
        <v>50000</v>
      </c>
      <c r="AN170" s="31">
        <v>50000</v>
      </c>
      <c r="AO170" s="31" t="s">
        <v>1568</v>
      </c>
      <c r="AP170" s="23" t="s">
        <v>187</v>
      </c>
      <c r="AQ170" s="23" t="s">
        <v>1284</v>
      </c>
    </row>
    <row r="171" spans="1:43">
      <c r="A171" s="34">
        <v>168</v>
      </c>
      <c r="B171" s="34">
        <v>109</v>
      </c>
      <c r="C171" s="568" t="str">
        <f t="shared" si="22"/>
        <v>カーサ南池袋</v>
      </c>
      <c r="D171" s="45" t="s">
        <v>1570</v>
      </c>
      <c r="E171" s="46">
        <v>21.87</v>
      </c>
      <c r="F171" s="324">
        <v>631</v>
      </c>
      <c r="G171" s="566" t="str">
        <f t="shared" si="23"/>
        <v>住居</v>
      </c>
      <c r="H171" s="44" t="s">
        <v>1811</v>
      </c>
      <c r="I171" s="325">
        <v>68000</v>
      </c>
      <c r="J171" s="325">
        <v>0</v>
      </c>
      <c r="K171" s="325">
        <v>0</v>
      </c>
      <c r="L171" s="325">
        <v>0</v>
      </c>
      <c r="M171" s="565">
        <f t="shared" si="30"/>
        <v>68000</v>
      </c>
      <c r="N171" s="326">
        <v>68000</v>
      </c>
      <c r="O171" s="326">
        <v>0</v>
      </c>
      <c r="P171" s="565">
        <f t="shared" si="24"/>
        <v>68000</v>
      </c>
      <c r="Q171" s="565">
        <f t="shared" si="31"/>
        <v>68000</v>
      </c>
      <c r="R171" s="325" t="s">
        <v>1568</v>
      </c>
      <c r="S171" s="325" t="s">
        <v>187</v>
      </c>
      <c r="T171" s="327" t="s">
        <v>1284</v>
      </c>
      <c r="V171" s="43" t="s">
        <v>1825</v>
      </c>
      <c r="W171" s="55">
        <v>68000</v>
      </c>
      <c r="Y171" s="6">
        <f t="shared" si="25"/>
        <v>1</v>
      </c>
      <c r="Z171" s="562">
        <f t="shared" si="26"/>
        <v>68000</v>
      </c>
      <c r="AA171" s="122">
        <f t="shared" si="27"/>
        <v>0</v>
      </c>
      <c r="AB171" s="122">
        <f t="shared" si="28"/>
        <v>0</v>
      </c>
      <c r="AC171" s="6">
        <f t="shared" si="29"/>
        <v>1</v>
      </c>
      <c r="AD171" s="563">
        <f t="shared" si="32"/>
        <v>1</v>
      </c>
      <c r="AE171" s="64"/>
      <c r="AF171" s="31">
        <v>68000</v>
      </c>
      <c r="AG171" s="31">
        <v>0</v>
      </c>
      <c r="AH171" s="31">
        <v>0</v>
      </c>
      <c r="AI171" s="31">
        <v>0</v>
      </c>
      <c r="AJ171" s="31">
        <v>68000</v>
      </c>
      <c r="AK171" s="31">
        <v>68000</v>
      </c>
      <c r="AL171" s="31">
        <v>0</v>
      </c>
      <c r="AM171" s="56">
        <v>68000</v>
      </c>
      <c r="AN171" s="31">
        <v>68000</v>
      </c>
      <c r="AO171" s="31" t="s">
        <v>1568</v>
      </c>
      <c r="AP171" s="23" t="s">
        <v>187</v>
      </c>
      <c r="AQ171" s="23" t="s">
        <v>1284</v>
      </c>
    </row>
    <row r="172" spans="1:43">
      <c r="A172" s="34">
        <v>169</v>
      </c>
      <c r="B172" s="34">
        <v>109</v>
      </c>
      <c r="C172" s="568" t="str">
        <f t="shared" si="22"/>
        <v>カーサ南池袋</v>
      </c>
      <c r="D172" s="45" t="s">
        <v>1572</v>
      </c>
      <c r="E172" s="46">
        <v>17.43</v>
      </c>
      <c r="F172" s="324">
        <v>631</v>
      </c>
      <c r="G172" s="566" t="str">
        <f t="shared" si="23"/>
        <v>住居</v>
      </c>
      <c r="H172" s="44" t="s">
        <v>1709</v>
      </c>
      <c r="I172" s="325">
        <v>62000</v>
      </c>
      <c r="J172" s="325">
        <v>3000</v>
      </c>
      <c r="K172" s="325">
        <v>0</v>
      </c>
      <c r="L172" s="325">
        <v>0</v>
      </c>
      <c r="M172" s="565">
        <f t="shared" si="30"/>
        <v>65000</v>
      </c>
      <c r="N172" s="326">
        <v>65000</v>
      </c>
      <c r="O172" s="326">
        <v>0</v>
      </c>
      <c r="P172" s="565">
        <f t="shared" si="24"/>
        <v>65000</v>
      </c>
      <c r="Q172" s="565">
        <f t="shared" si="31"/>
        <v>65000</v>
      </c>
      <c r="R172" s="325" t="s">
        <v>1818</v>
      </c>
      <c r="S172" s="325" t="s">
        <v>187</v>
      </c>
      <c r="T172" s="327" t="s">
        <v>1284</v>
      </c>
      <c r="V172" s="43" t="s">
        <v>1826</v>
      </c>
      <c r="W172" s="55">
        <v>60000</v>
      </c>
      <c r="Y172" s="6">
        <f t="shared" si="25"/>
        <v>1</v>
      </c>
      <c r="Z172" s="562">
        <f t="shared" si="26"/>
        <v>65000</v>
      </c>
      <c r="AA172" s="122">
        <f t="shared" si="27"/>
        <v>0</v>
      </c>
      <c r="AB172" s="122">
        <f t="shared" si="28"/>
        <v>5000</v>
      </c>
      <c r="AC172" s="6">
        <f t="shared" si="29"/>
        <v>1</v>
      </c>
      <c r="AD172" s="563">
        <f t="shared" si="32"/>
        <v>1</v>
      </c>
      <c r="AE172" s="64"/>
      <c r="AF172" s="31">
        <v>62000</v>
      </c>
      <c r="AG172" s="31">
        <v>3000</v>
      </c>
      <c r="AH172" s="31">
        <v>0</v>
      </c>
      <c r="AI172" s="31">
        <v>0</v>
      </c>
      <c r="AJ172" s="31">
        <v>65000</v>
      </c>
      <c r="AK172" s="31">
        <v>65000</v>
      </c>
      <c r="AL172" s="31">
        <v>0</v>
      </c>
      <c r="AM172" s="56">
        <v>65000</v>
      </c>
      <c r="AN172" s="31">
        <v>65000</v>
      </c>
      <c r="AO172" s="31" t="s">
        <v>1818</v>
      </c>
      <c r="AP172" s="23" t="s">
        <v>187</v>
      </c>
      <c r="AQ172" s="23" t="s">
        <v>1284</v>
      </c>
    </row>
    <row r="173" spans="1:43">
      <c r="A173" s="34">
        <v>170</v>
      </c>
      <c r="B173" s="34">
        <v>109</v>
      </c>
      <c r="C173" s="568" t="str">
        <f t="shared" si="22"/>
        <v>カーサ南池袋</v>
      </c>
      <c r="D173" s="45" t="s">
        <v>1574</v>
      </c>
      <c r="E173" s="46">
        <v>21.77</v>
      </c>
      <c r="F173" s="324">
        <v>631</v>
      </c>
      <c r="G173" s="566" t="str">
        <f t="shared" si="23"/>
        <v>住居</v>
      </c>
      <c r="H173" s="44" t="s">
        <v>1567</v>
      </c>
      <c r="I173" s="325">
        <v>67000</v>
      </c>
      <c r="J173" s="325">
        <v>3000</v>
      </c>
      <c r="K173" s="325">
        <v>0</v>
      </c>
      <c r="L173" s="325">
        <v>0</v>
      </c>
      <c r="M173" s="565">
        <f t="shared" si="30"/>
        <v>70000</v>
      </c>
      <c r="N173" s="326">
        <v>78000</v>
      </c>
      <c r="O173" s="326">
        <v>0</v>
      </c>
      <c r="P173" s="565">
        <f t="shared" si="24"/>
        <v>78000</v>
      </c>
      <c r="Q173" s="565">
        <f t="shared" si="31"/>
        <v>70000</v>
      </c>
      <c r="R173" s="325" t="s">
        <v>1568</v>
      </c>
      <c r="S173" s="325" t="s">
        <v>187</v>
      </c>
      <c r="T173" s="327" t="s">
        <v>1284</v>
      </c>
      <c r="V173" s="43" t="s">
        <v>1827</v>
      </c>
      <c r="W173" s="55">
        <v>82000</v>
      </c>
      <c r="Y173" s="6">
        <f t="shared" si="25"/>
        <v>1</v>
      </c>
      <c r="Z173" s="562">
        <f t="shared" si="26"/>
        <v>70000</v>
      </c>
      <c r="AA173" s="122">
        <f t="shared" si="27"/>
        <v>8000</v>
      </c>
      <c r="AB173" s="122">
        <f t="shared" si="28"/>
        <v>-12000</v>
      </c>
      <c r="AC173" s="6">
        <f t="shared" si="29"/>
        <v>1</v>
      </c>
      <c r="AD173" s="563">
        <f t="shared" si="32"/>
        <v>1</v>
      </c>
      <c r="AE173" s="64"/>
      <c r="AF173" s="31">
        <v>67000</v>
      </c>
      <c r="AG173" s="31">
        <v>3000</v>
      </c>
      <c r="AH173" s="31">
        <v>0</v>
      </c>
      <c r="AI173" s="31">
        <v>0</v>
      </c>
      <c r="AJ173" s="31">
        <v>70000</v>
      </c>
      <c r="AK173" s="31">
        <v>78000</v>
      </c>
      <c r="AL173" s="31">
        <v>0</v>
      </c>
      <c r="AM173" s="56">
        <v>78000</v>
      </c>
      <c r="AN173" s="31">
        <v>70000</v>
      </c>
      <c r="AO173" s="31" t="s">
        <v>1568</v>
      </c>
      <c r="AP173" s="23" t="s">
        <v>187</v>
      </c>
      <c r="AQ173" s="23" t="s">
        <v>1284</v>
      </c>
    </row>
    <row r="174" spans="1:43">
      <c r="A174" s="34">
        <v>171</v>
      </c>
      <c r="B174" s="34">
        <v>109</v>
      </c>
      <c r="C174" s="568" t="str">
        <f t="shared" si="22"/>
        <v>カーサ南池袋</v>
      </c>
      <c r="D174" s="45" t="s">
        <v>1630</v>
      </c>
      <c r="E174" s="46">
        <v>25.25</v>
      </c>
      <c r="F174" s="324">
        <v>631</v>
      </c>
      <c r="G174" s="566" t="str">
        <f t="shared" si="23"/>
        <v>住居</v>
      </c>
      <c r="H174" s="44" t="s">
        <v>1811</v>
      </c>
      <c r="I174" s="325">
        <v>80000</v>
      </c>
      <c r="J174" s="325">
        <v>3000</v>
      </c>
      <c r="K174" s="325">
        <v>0</v>
      </c>
      <c r="L174" s="325">
        <v>0</v>
      </c>
      <c r="M174" s="565">
        <f t="shared" si="30"/>
        <v>83000</v>
      </c>
      <c r="N174" s="326">
        <v>86300</v>
      </c>
      <c r="O174" s="326">
        <v>0</v>
      </c>
      <c r="P174" s="565">
        <f t="shared" si="24"/>
        <v>86300</v>
      </c>
      <c r="Q174" s="565">
        <f t="shared" si="31"/>
        <v>83000</v>
      </c>
      <c r="R174" s="325" t="s">
        <v>1568</v>
      </c>
      <c r="S174" s="325" t="s">
        <v>187</v>
      </c>
      <c r="T174" s="327" t="s">
        <v>1284</v>
      </c>
      <c r="V174" s="43" t="s">
        <v>1828</v>
      </c>
      <c r="W174" s="55">
        <v>86000</v>
      </c>
      <c r="Y174" s="6">
        <f t="shared" si="25"/>
        <v>1</v>
      </c>
      <c r="Z174" s="562">
        <f t="shared" si="26"/>
        <v>83000</v>
      </c>
      <c r="AA174" s="122">
        <f t="shared" si="27"/>
        <v>3300</v>
      </c>
      <c r="AB174" s="122">
        <f t="shared" si="28"/>
        <v>-3000</v>
      </c>
      <c r="AC174" s="6">
        <f t="shared" si="29"/>
        <v>1</v>
      </c>
      <c r="AD174" s="563">
        <f t="shared" si="32"/>
        <v>1</v>
      </c>
      <c r="AE174" s="64"/>
      <c r="AF174" s="31">
        <v>80000</v>
      </c>
      <c r="AG174" s="31">
        <v>3000</v>
      </c>
      <c r="AH174" s="31">
        <v>0</v>
      </c>
      <c r="AI174" s="31">
        <v>0</v>
      </c>
      <c r="AJ174" s="31">
        <v>83000</v>
      </c>
      <c r="AK174" s="31">
        <v>86300</v>
      </c>
      <c r="AL174" s="31">
        <v>0</v>
      </c>
      <c r="AM174" s="56">
        <v>86300</v>
      </c>
      <c r="AN174" s="31">
        <v>83000</v>
      </c>
      <c r="AO174" s="31" t="s">
        <v>1568</v>
      </c>
      <c r="AP174" s="23" t="s">
        <v>187</v>
      </c>
      <c r="AQ174" s="23" t="s">
        <v>1284</v>
      </c>
    </row>
    <row r="175" spans="1:43">
      <c r="A175" s="34">
        <v>172</v>
      </c>
      <c r="B175" s="34">
        <v>109</v>
      </c>
      <c r="C175" s="568" t="str">
        <f t="shared" si="22"/>
        <v>カーサ南池袋</v>
      </c>
      <c r="D175" s="45" t="s">
        <v>1632</v>
      </c>
      <c r="E175" s="46">
        <v>34</v>
      </c>
      <c r="F175" s="324">
        <v>631</v>
      </c>
      <c r="G175" s="566" t="str">
        <f t="shared" si="23"/>
        <v>住居</v>
      </c>
      <c r="H175" s="44" t="s">
        <v>1811</v>
      </c>
      <c r="I175" s="325">
        <v>101000</v>
      </c>
      <c r="J175" s="325">
        <v>5000</v>
      </c>
      <c r="K175" s="325">
        <v>0</v>
      </c>
      <c r="L175" s="325">
        <v>0</v>
      </c>
      <c r="M175" s="565">
        <f t="shared" si="30"/>
        <v>106000</v>
      </c>
      <c r="N175" s="326">
        <v>95000</v>
      </c>
      <c r="O175" s="326">
        <v>0</v>
      </c>
      <c r="P175" s="565">
        <f t="shared" si="24"/>
        <v>95000</v>
      </c>
      <c r="Q175" s="565">
        <f t="shared" si="31"/>
        <v>106000</v>
      </c>
      <c r="R175" s="325" t="s">
        <v>1568</v>
      </c>
      <c r="S175" s="325" t="s">
        <v>187</v>
      </c>
      <c r="T175" s="327" t="s">
        <v>1284</v>
      </c>
      <c r="V175" s="43" t="s">
        <v>1829</v>
      </c>
      <c r="W175" s="55">
        <v>95000</v>
      </c>
      <c r="Y175" s="6">
        <f t="shared" si="25"/>
        <v>1</v>
      </c>
      <c r="Z175" s="562">
        <f t="shared" si="26"/>
        <v>106000</v>
      </c>
      <c r="AA175" s="122">
        <f t="shared" si="27"/>
        <v>-11000</v>
      </c>
      <c r="AB175" s="122">
        <f t="shared" si="28"/>
        <v>11000</v>
      </c>
      <c r="AC175" s="6">
        <f t="shared" si="29"/>
        <v>1</v>
      </c>
      <c r="AD175" s="563">
        <f t="shared" si="32"/>
        <v>1</v>
      </c>
      <c r="AE175" s="64"/>
      <c r="AF175" s="31">
        <v>101000</v>
      </c>
      <c r="AG175" s="31">
        <v>5000</v>
      </c>
      <c r="AH175" s="31">
        <v>0</v>
      </c>
      <c r="AI175" s="31">
        <v>0</v>
      </c>
      <c r="AJ175" s="31">
        <v>106000</v>
      </c>
      <c r="AK175" s="31">
        <v>95000</v>
      </c>
      <c r="AL175" s="31">
        <v>0</v>
      </c>
      <c r="AM175" s="56">
        <v>95000</v>
      </c>
      <c r="AN175" s="31">
        <v>106000</v>
      </c>
      <c r="AO175" s="31" t="s">
        <v>1568</v>
      </c>
      <c r="AP175" s="23" t="s">
        <v>187</v>
      </c>
      <c r="AQ175" s="23" t="s">
        <v>1284</v>
      </c>
    </row>
    <row r="176" spans="1:43">
      <c r="A176" s="34">
        <v>173</v>
      </c>
      <c r="B176" s="34">
        <v>109</v>
      </c>
      <c r="C176" s="568" t="str">
        <f t="shared" si="22"/>
        <v>カーサ南池袋</v>
      </c>
      <c r="D176" s="45" t="s">
        <v>1830</v>
      </c>
      <c r="E176" s="46">
        <v>62.64</v>
      </c>
      <c r="F176" s="324">
        <v>631</v>
      </c>
      <c r="G176" s="566" t="str">
        <f t="shared" si="23"/>
        <v>住居</v>
      </c>
      <c r="H176" s="44" t="s">
        <v>1831</v>
      </c>
      <c r="I176" s="325">
        <v>145000</v>
      </c>
      <c r="J176" s="325">
        <v>0</v>
      </c>
      <c r="K176" s="325">
        <v>0</v>
      </c>
      <c r="L176" s="325">
        <v>0</v>
      </c>
      <c r="M176" s="565">
        <f t="shared" si="30"/>
        <v>145000</v>
      </c>
      <c r="N176" s="326">
        <v>145000</v>
      </c>
      <c r="O176" s="326">
        <v>0</v>
      </c>
      <c r="P176" s="565">
        <f t="shared" si="24"/>
        <v>145000</v>
      </c>
      <c r="Q176" s="565">
        <f t="shared" si="31"/>
        <v>145000</v>
      </c>
      <c r="R176" s="325" t="s">
        <v>1568</v>
      </c>
      <c r="S176" s="325" t="s">
        <v>187</v>
      </c>
      <c r="T176" s="327" t="s">
        <v>1284</v>
      </c>
      <c r="V176" s="43" t="s">
        <v>1832</v>
      </c>
      <c r="W176" s="55">
        <v>145000</v>
      </c>
      <c r="Y176" s="6">
        <f t="shared" si="25"/>
        <v>1</v>
      </c>
      <c r="Z176" s="562">
        <f t="shared" si="26"/>
        <v>145000</v>
      </c>
      <c r="AA176" s="122">
        <f t="shared" si="27"/>
        <v>0</v>
      </c>
      <c r="AB176" s="122">
        <f t="shared" si="28"/>
        <v>0</v>
      </c>
      <c r="AC176" s="6">
        <f t="shared" si="29"/>
        <v>1</v>
      </c>
      <c r="AD176" s="563">
        <f t="shared" si="32"/>
        <v>1</v>
      </c>
      <c r="AE176" s="64"/>
      <c r="AF176" s="31">
        <v>145000</v>
      </c>
      <c r="AG176" s="31">
        <v>0</v>
      </c>
      <c r="AH176" s="31">
        <v>0</v>
      </c>
      <c r="AI176" s="31">
        <v>0</v>
      </c>
      <c r="AJ176" s="31">
        <v>145000</v>
      </c>
      <c r="AK176" s="31">
        <v>145000</v>
      </c>
      <c r="AL176" s="31">
        <v>0</v>
      </c>
      <c r="AM176" s="56">
        <v>145000</v>
      </c>
      <c r="AN176" s="31">
        <v>145000</v>
      </c>
      <c r="AO176" s="31" t="s">
        <v>1568</v>
      </c>
      <c r="AP176" s="23" t="s">
        <v>187</v>
      </c>
      <c r="AQ176" s="23" t="s">
        <v>1284</v>
      </c>
    </row>
    <row r="177" spans="1:43">
      <c r="A177" s="34">
        <v>174</v>
      </c>
      <c r="B177" s="34">
        <v>109</v>
      </c>
      <c r="C177" s="568" t="str">
        <f t="shared" si="22"/>
        <v>カーサ南池袋</v>
      </c>
      <c r="D177" s="45" t="s">
        <v>1833</v>
      </c>
      <c r="E177" s="46">
        <v>62.64</v>
      </c>
      <c r="F177" s="324">
        <v>631</v>
      </c>
      <c r="G177" s="566" t="str">
        <f t="shared" si="23"/>
        <v>住居</v>
      </c>
      <c r="H177" s="44" t="s">
        <v>1831</v>
      </c>
      <c r="I177" s="325">
        <v>160000</v>
      </c>
      <c r="J177" s="325">
        <v>5000</v>
      </c>
      <c r="K177" s="325">
        <v>0</v>
      </c>
      <c r="L177" s="325">
        <v>0</v>
      </c>
      <c r="M177" s="565">
        <f t="shared" si="30"/>
        <v>165000</v>
      </c>
      <c r="N177" s="326">
        <v>165000</v>
      </c>
      <c r="O177" s="326">
        <v>0</v>
      </c>
      <c r="P177" s="565">
        <f t="shared" si="24"/>
        <v>165000</v>
      </c>
      <c r="Q177" s="565">
        <f t="shared" si="31"/>
        <v>165000</v>
      </c>
      <c r="R177" s="325" t="s">
        <v>1578</v>
      </c>
      <c r="S177" s="325" t="s">
        <v>187</v>
      </c>
      <c r="T177" s="327" t="s">
        <v>1284</v>
      </c>
      <c r="V177" s="43" t="s">
        <v>1834</v>
      </c>
      <c r="W177" s="55">
        <v>150000</v>
      </c>
      <c r="Y177" s="6">
        <f t="shared" si="25"/>
        <v>1</v>
      </c>
      <c r="Z177" s="562">
        <f t="shared" si="26"/>
        <v>165000</v>
      </c>
      <c r="AA177" s="122">
        <f t="shared" si="27"/>
        <v>0</v>
      </c>
      <c r="AB177" s="122">
        <f t="shared" si="28"/>
        <v>15000</v>
      </c>
      <c r="AC177" s="6">
        <f t="shared" si="29"/>
        <v>1</v>
      </c>
      <c r="AD177" s="563">
        <f t="shared" si="32"/>
        <v>1</v>
      </c>
      <c r="AE177" s="64"/>
      <c r="AF177" s="31">
        <v>160000</v>
      </c>
      <c r="AG177" s="31">
        <v>5000</v>
      </c>
      <c r="AH177" s="31">
        <v>0</v>
      </c>
      <c r="AI177" s="31">
        <v>0</v>
      </c>
      <c r="AJ177" s="31">
        <v>165000</v>
      </c>
      <c r="AK177" s="31">
        <v>165000</v>
      </c>
      <c r="AL177" s="31">
        <v>0</v>
      </c>
      <c r="AM177" s="56">
        <v>165000</v>
      </c>
      <c r="AN177" s="31">
        <v>165000</v>
      </c>
      <c r="AO177" s="31" t="s">
        <v>1578</v>
      </c>
      <c r="AP177" s="23" t="s">
        <v>187</v>
      </c>
      <c r="AQ177" s="23" t="s">
        <v>1284</v>
      </c>
    </row>
    <row r="178" spans="1:43">
      <c r="A178" s="34">
        <v>175</v>
      </c>
      <c r="B178" s="34">
        <v>109</v>
      </c>
      <c r="C178" s="568" t="str">
        <f t="shared" si="22"/>
        <v>カーサ南池袋</v>
      </c>
      <c r="D178" s="45" t="s">
        <v>1835</v>
      </c>
      <c r="E178" s="46">
        <v>62.64</v>
      </c>
      <c r="F178" s="324">
        <v>631</v>
      </c>
      <c r="G178" s="566" t="str">
        <f t="shared" si="23"/>
        <v>住居</v>
      </c>
      <c r="H178" s="44" t="s">
        <v>1831</v>
      </c>
      <c r="I178" s="325">
        <v>150000</v>
      </c>
      <c r="J178" s="325">
        <v>0</v>
      </c>
      <c r="K178" s="325">
        <v>0</v>
      </c>
      <c r="L178" s="325">
        <v>0</v>
      </c>
      <c r="M178" s="565">
        <f t="shared" si="30"/>
        <v>150000</v>
      </c>
      <c r="N178" s="326">
        <v>150000</v>
      </c>
      <c r="O178" s="326">
        <v>0</v>
      </c>
      <c r="P178" s="565">
        <f t="shared" si="24"/>
        <v>150000</v>
      </c>
      <c r="Q178" s="565">
        <f t="shared" si="31"/>
        <v>150000</v>
      </c>
      <c r="R178" s="325" t="s">
        <v>1583</v>
      </c>
      <c r="S178" s="325" t="s">
        <v>187</v>
      </c>
      <c r="T178" s="327" t="s">
        <v>1284</v>
      </c>
      <c r="V178" s="43" t="s">
        <v>1836</v>
      </c>
      <c r="W178" s="55">
        <v>150000</v>
      </c>
      <c r="Y178" s="6">
        <f t="shared" si="25"/>
        <v>1</v>
      </c>
      <c r="Z178" s="562">
        <f t="shared" si="26"/>
        <v>150000</v>
      </c>
      <c r="AA178" s="122">
        <f t="shared" si="27"/>
        <v>0</v>
      </c>
      <c r="AB178" s="122">
        <f t="shared" si="28"/>
        <v>0</v>
      </c>
      <c r="AC178" s="6">
        <f t="shared" si="29"/>
        <v>1</v>
      </c>
      <c r="AD178" s="563">
        <f t="shared" si="32"/>
        <v>1</v>
      </c>
      <c r="AE178" s="64"/>
      <c r="AF178" s="31">
        <v>150000</v>
      </c>
      <c r="AG178" s="31">
        <v>0</v>
      </c>
      <c r="AH178" s="31">
        <v>0</v>
      </c>
      <c r="AI178" s="31">
        <v>0</v>
      </c>
      <c r="AJ178" s="31">
        <v>150000</v>
      </c>
      <c r="AK178" s="31">
        <v>150000</v>
      </c>
      <c r="AL178" s="31">
        <v>0</v>
      </c>
      <c r="AM178" s="56">
        <v>150000</v>
      </c>
      <c r="AN178" s="31">
        <v>150000</v>
      </c>
      <c r="AO178" s="31" t="s">
        <v>1583</v>
      </c>
      <c r="AP178" s="23" t="s">
        <v>187</v>
      </c>
      <c r="AQ178" s="23" t="s">
        <v>1284</v>
      </c>
    </row>
    <row r="179" spans="1:43">
      <c r="A179" s="34">
        <v>176</v>
      </c>
      <c r="B179" s="34">
        <v>109</v>
      </c>
      <c r="C179" s="568" t="str">
        <f t="shared" si="22"/>
        <v>カーサ南池袋</v>
      </c>
      <c r="D179" s="45" t="s">
        <v>1837</v>
      </c>
      <c r="E179" s="46">
        <v>62.64</v>
      </c>
      <c r="F179" s="324">
        <v>631</v>
      </c>
      <c r="G179" s="566" t="str">
        <f t="shared" si="23"/>
        <v>住居</v>
      </c>
      <c r="H179" s="44" t="s">
        <v>1831</v>
      </c>
      <c r="I179" s="325">
        <v>175000</v>
      </c>
      <c r="J179" s="325">
        <v>5000</v>
      </c>
      <c r="K179" s="325">
        <v>0</v>
      </c>
      <c r="L179" s="325">
        <v>0</v>
      </c>
      <c r="M179" s="565">
        <f t="shared" si="30"/>
        <v>180000</v>
      </c>
      <c r="N179" s="326">
        <v>180000</v>
      </c>
      <c r="O179" s="326">
        <v>0</v>
      </c>
      <c r="P179" s="565">
        <f t="shared" si="24"/>
        <v>180000</v>
      </c>
      <c r="Q179" s="565">
        <f t="shared" si="31"/>
        <v>180000</v>
      </c>
      <c r="R179" s="325" t="s">
        <v>1568</v>
      </c>
      <c r="S179" s="325" t="s">
        <v>187</v>
      </c>
      <c r="T179" s="327" t="s">
        <v>1284</v>
      </c>
      <c r="V179" s="43" t="s">
        <v>1838</v>
      </c>
      <c r="W179" s="55">
        <v>155000</v>
      </c>
      <c r="Y179" s="6">
        <f t="shared" si="25"/>
        <v>1</v>
      </c>
      <c r="Z179" s="562">
        <f t="shared" si="26"/>
        <v>180000</v>
      </c>
      <c r="AA179" s="122">
        <f t="shared" si="27"/>
        <v>0</v>
      </c>
      <c r="AB179" s="122">
        <f t="shared" si="28"/>
        <v>25000</v>
      </c>
      <c r="AC179" s="6">
        <f t="shared" si="29"/>
        <v>1</v>
      </c>
      <c r="AD179" s="563">
        <f t="shared" si="32"/>
        <v>1</v>
      </c>
      <c r="AE179" s="64"/>
      <c r="AF179" s="31">
        <v>175000</v>
      </c>
      <c r="AG179" s="31">
        <v>5000</v>
      </c>
      <c r="AH179" s="31">
        <v>0</v>
      </c>
      <c r="AI179" s="31">
        <v>0</v>
      </c>
      <c r="AJ179" s="31">
        <v>180000</v>
      </c>
      <c r="AK179" s="31">
        <v>180000</v>
      </c>
      <c r="AL179" s="31">
        <v>0</v>
      </c>
      <c r="AM179" s="56">
        <v>180000</v>
      </c>
      <c r="AN179" s="31">
        <v>180000</v>
      </c>
      <c r="AO179" s="31" t="s">
        <v>1568</v>
      </c>
      <c r="AP179" s="23" t="s">
        <v>187</v>
      </c>
      <c r="AQ179" s="23" t="s">
        <v>1284</v>
      </c>
    </row>
    <row r="180" spans="1:43">
      <c r="A180" s="34">
        <v>177</v>
      </c>
      <c r="B180" s="34">
        <v>109</v>
      </c>
      <c r="C180" s="568" t="str">
        <f t="shared" si="22"/>
        <v>カーサ南池袋</v>
      </c>
      <c r="D180" s="45" t="s">
        <v>1839</v>
      </c>
      <c r="E180" s="46">
        <v>62.64</v>
      </c>
      <c r="F180" s="324">
        <v>631</v>
      </c>
      <c r="G180" s="566" t="str">
        <f t="shared" si="23"/>
        <v>住居</v>
      </c>
      <c r="H180" s="44" t="s">
        <v>1831</v>
      </c>
      <c r="I180" s="325">
        <v>150000</v>
      </c>
      <c r="J180" s="325">
        <v>0</v>
      </c>
      <c r="K180" s="325">
        <v>0</v>
      </c>
      <c r="L180" s="325">
        <v>0</v>
      </c>
      <c r="M180" s="565">
        <f t="shared" si="30"/>
        <v>150000</v>
      </c>
      <c r="N180" s="326">
        <v>150000</v>
      </c>
      <c r="O180" s="326">
        <v>0</v>
      </c>
      <c r="P180" s="565">
        <f t="shared" si="24"/>
        <v>150000</v>
      </c>
      <c r="Q180" s="565">
        <f t="shared" si="31"/>
        <v>150000</v>
      </c>
      <c r="R180" s="325" t="s">
        <v>1568</v>
      </c>
      <c r="S180" s="325" t="s">
        <v>187</v>
      </c>
      <c r="T180" s="327" t="s">
        <v>1284</v>
      </c>
      <c r="V180" s="43" t="s">
        <v>1840</v>
      </c>
      <c r="W180" s="55">
        <v>150000</v>
      </c>
      <c r="Y180" s="6">
        <f t="shared" si="25"/>
        <v>1</v>
      </c>
      <c r="Z180" s="562">
        <f t="shared" si="26"/>
        <v>150000</v>
      </c>
      <c r="AA180" s="122">
        <f t="shared" si="27"/>
        <v>0</v>
      </c>
      <c r="AB180" s="122">
        <f t="shared" si="28"/>
        <v>0</v>
      </c>
      <c r="AC180" s="6">
        <f t="shared" si="29"/>
        <v>1</v>
      </c>
      <c r="AD180" s="563">
        <f t="shared" si="32"/>
        <v>1</v>
      </c>
      <c r="AE180" s="64"/>
      <c r="AF180" s="31">
        <v>150000</v>
      </c>
      <c r="AG180" s="31">
        <v>0</v>
      </c>
      <c r="AH180" s="31">
        <v>0</v>
      </c>
      <c r="AI180" s="31">
        <v>0</v>
      </c>
      <c r="AJ180" s="31">
        <v>150000</v>
      </c>
      <c r="AK180" s="31">
        <v>150000</v>
      </c>
      <c r="AL180" s="31">
        <v>0</v>
      </c>
      <c r="AM180" s="56">
        <v>150000</v>
      </c>
      <c r="AN180" s="31">
        <v>150000</v>
      </c>
      <c r="AO180" s="31" t="s">
        <v>1568</v>
      </c>
      <c r="AP180" s="23" t="s">
        <v>187</v>
      </c>
      <c r="AQ180" s="23" t="s">
        <v>1284</v>
      </c>
    </row>
    <row r="181" spans="1:43">
      <c r="A181" s="34">
        <v>178</v>
      </c>
      <c r="B181" s="34">
        <v>109</v>
      </c>
      <c r="C181" s="568" t="str">
        <f t="shared" si="22"/>
        <v>カーサ南池袋</v>
      </c>
      <c r="D181" s="45" t="s">
        <v>1841</v>
      </c>
      <c r="E181" s="46">
        <v>62.64</v>
      </c>
      <c r="F181" s="324">
        <v>631</v>
      </c>
      <c r="G181" s="566" t="str">
        <f t="shared" si="23"/>
        <v>住居</v>
      </c>
      <c r="H181" s="44" t="s">
        <v>1831</v>
      </c>
      <c r="I181" s="325">
        <v>180000</v>
      </c>
      <c r="J181" s="325">
        <v>5000</v>
      </c>
      <c r="K181" s="325">
        <v>0</v>
      </c>
      <c r="L181" s="325">
        <v>0</v>
      </c>
      <c r="M181" s="565">
        <f t="shared" si="30"/>
        <v>185000</v>
      </c>
      <c r="N181" s="326">
        <v>180000</v>
      </c>
      <c r="O181" s="326">
        <v>0</v>
      </c>
      <c r="P181" s="565">
        <f t="shared" si="24"/>
        <v>180000</v>
      </c>
      <c r="Q181" s="565">
        <f t="shared" si="31"/>
        <v>185000</v>
      </c>
      <c r="R181" s="325" t="s">
        <v>1568</v>
      </c>
      <c r="S181" s="325" t="s">
        <v>187</v>
      </c>
      <c r="T181" s="327" t="s">
        <v>1284</v>
      </c>
      <c r="V181" s="43" t="s">
        <v>1842</v>
      </c>
      <c r="W181" s="55">
        <v>150000</v>
      </c>
      <c r="Y181" s="6">
        <f t="shared" si="25"/>
        <v>1</v>
      </c>
      <c r="Z181" s="562">
        <f t="shared" si="26"/>
        <v>185000</v>
      </c>
      <c r="AA181" s="122">
        <f t="shared" si="27"/>
        <v>-5000</v>
      </c>
      <c r="AB181" s="122">
        <f t="shared" si="28"/>
        <v>35000</v>
      </c>
      <c r="AC181" s="6">
        <f t="shared" si="29"/>
        <v>1</v>
      </c>
      <c r="AD181" s="563">
        <f t="shared" si="32"/>
        <v>1</v>
      </c>
      <c r="AE181" s="64"/>
      <c r="AF181" s="31">
        <v>180000</v>
      </c>
      <c r="AG181" s="31">
        <v>5000</v>
      </c>
      <c r="AH181" s="31">
        <v>0</v>
      </c>
      <c r="AI181" s="31">
        <v>0</v>
      </c>
      <c r="AJ181" s="31">
        <v>185000</v>
      </c>
      <c r="AK181" s="31">
        <v>180000</v>
      </c>
      <c r="AL181" s="31">
        <v>0</v>
      </c>
      <c r="AM181" s="56">
        <v>180000</v>
      </c>
      <c r="AN181" s="31">
        <v>185000</v>
      </c>
      <c r="AO181" s="31" t="s">
        <v>1568</v>
      </c>
      <c r="AP181" s="23" t="s">
        <v>187</v>
      </c>
      <c r="AQ181" s="23" t="s">
        <v>1284</v>
      </c>
    </row>
    <row r="182" spans="1:43">
      <c r="A182" s="34">
        <v>179</v>
      </c>
      <c r="B182" s="34">
        <v>109</v>
      </c>
      <c r="C182" s="568" t="str">
        <f t="shared" si="22"/>
        <v>カーサ南池袋</v>
      </c>
      <c r="D182" s="45" t="s">
        <v>1673</v>
      </c>
      <c r="E182" s="46">
        <v>0</v>
      </c>
      <c r="F182" s="324">
        <v>634</v>
      </c>
      <c r="G182" s="566" t="str">
        <f t="shared" si="23"/>
        <v>駐車場</v>
      </c>
      <c r="H182" s="44" t="s">
        <v>1674</v>
      </c>
      <c r="I182" s="325">
        <v>24545</v>
      </c>
      <c r="J182" s="325">
        <v>0</v>
      </c>
      <c r="K182" s="325">
        <v>0</v>
      </c>
      <c r="L182" s="325">
        <v>2455</v>
      </c>
      <c r="M182" s="565">
        <f t="shared" si="30"/>
        <v>27000</v>
      </c>
      <c r="N182" s="326">
        <v>24545</v>
      </c>
      <c r="O182" s="326">
        <v>2454.5454545454545</v>
      </c>
      <c r="P182" s="565">
        <f t="shared" si="24"/>
        <v>26999.545454545456</v>
      </c>
      <c r="Q182" s="565">
        <f t="shared" si="31"/>
        <v>27000</v>
      </c>
      <c r="R182" s="325" t="s">
        <v>1575</v>
      </c>
      <c r="S182" s="325" t="s">
        <v>187</v>
      </c>
      <c r="T182" s="327" t="s">
        <v>1284</v>
      </c>
      <c r="V182" s="43" t="s">
        <v>1843</v>
      </c>
      <c r="W182" s="55">
        <v>25000</v>
      </c>
      <c r="Y182" s="6">
        <f t="shared" si="25"/>
        <v>1</v>
      </c>
      <c r="Z182" s="562">
        <f t="shared" si="26"/>
        <v>24545</v>
      </c>
      <c r="AA182" s="122">
        <f t="shared" si="27"/>
        <v>0</v>
      </c>
      <c r="AB182" s="122">
        <f t="shared" si="28"/>
        <v>-455</v>
      </c>
      <c r="AC182" s="6">
        <f t="shared" si="29"/>
        <v>1</v>
      </c>
      <c r="AD182" s="563">
        <f t="shared" si="32"/>
        <v>1</v>
      </c>
      <c r="AE182" s="64"/>
      <c r="AF182" s="31">
        <v>24545</v>
      </c>
      <c r="AG182" s="31">
        <v>0</v>
      </c>
      <c r="AH182" s="31">
        <v>0</v>
      </c>
      <c r="AI182" s="31">
        <v>2455</v>
      </c>
      <c r="AJ182" s="31">
        <v>27000</v>
      </c>
      <c r="AK182" s="31">
        <v>24545</v>
      </c>
      <c r="AL182" s="31">
        <v>2454.5454545454545</v>
      </c>
      <c r="AM182" s="56">
        <v>26999.545454545456</v>
      </c>
      <c r="AN182" s="31">
        <v>27000</v>
      </c>
      <c r="AO182" s="31" t="s">
        <v>1575</v>
      </c>
      <c r="AP182" s="23" t="s">
        <v>187</v>
      </c>
      <c r="AQ182" s="23" t="s">
        <v>1284</v>
      </c>
    </row>
    <row r="183" spans="1:43">
      <c r="A183" s="34">
        <v>180</v>
      </c>
      <c r="B183" s="34">
        <v>109</v>
      </c>
      <c r="C183" s="568" t="str">
        <f t="shared" si="22"/>
        <v>カーサ南池袋</v>
      </c>
      <c r="D183" s="45" t="s">
        <v>1618</v>
      </c>
      <c r="E183" s="46">
        <v>0</v>
      </c>
      <c r="F183" s="324">
        <v>635</v>
      </c>
      <c r="G183" s="566" t="str">
        <f t="shared" si="23"/>
        <v>アンテナ</v>
      </c>
      <c r="H183" s="44" t="s">
        <v>729</v>
      </c>
      <c r="I183" s="325">
        <v>53467</v>
      </c>
      <c r="J183" s="325">
        <v>0</v>
      </c>
      <c r="K183" s="325">
        <v>0</v>
      </c>
      <c r="L183" s="325">
        <v>5346</v>
      </c>
      <c r="M183" s="565">
        <f t="shared" si="30"/>
        <v>58813</v>
      </c>
      <c r="N183" s="326">
        <v>53466</v>
      </c>
      <c r="O183" s="326">
        <v>5346.636363636364</v>
      </c>
      <c r="P183" s="565">
        <f t="shared" si="24"/>
        <v>58812.636363636368</v>
      </c>
      <c r="Q183" s="565">
        <f t="shared" si="31"/>
        <v>58813</v>
      </c>
      <c r="R183" s="325" t="s">
        <v>1017</v>
      </c>
      <c r="S183" s="325" t="s">
        <v>187</v>
      </c>
      <c r="T183" s="327" t="s">
        <v>1760</v>
      </c>
      <c r="V183" s="43" t="s">
        <v>1844</v>
      </c>
      <c r="W183" s="55">
        <v>53467</v>
      </c>
      <c r="Y183" s="6">
        <f t="shared" si="25"/>
        <v>1</v>
      </c>
      <c r="Z183" s="562">
        <f t="shared" si="26"/>
        <v>53467</v>
      </c>
      <c r="AA183" s="122">
        <f t="shared" si="27"/>
        <v>-1</v>
      </c>
      <c r="AB183" s="122">
        <f t="shared" si="28"/>
        <v>0</v>
      </c>
      <c r="AC183" s="6">
        <f t="shared" si="29"/>
        <v>1</v>
      </c>
      <c r="AD183" s="563">
        <f t="shared" si="32"/>
        <v>1</v>
      </c>
      <c r="AE183" s="64"/>
      <c r="AF183" s="31">
        <v>53467</v>
      </c>
      <c r="AG183" s="31">
        <v>0</v>
      </c>
      <c r="AH183" s="31">
        <v>0</v>
      </c>
      <c r="AI183" s="31">
        <v>5346</v>
      </c>
      <c r="AJ183" s="31">
        <v>58813</v>
      </c>
      <c r="AK183" s="31">
        <v>53466</v>
      </c>
      <c r="AL183" s="31">
        <v>5346.636363636364</v>
      </c>
      <c r="AM183" s="56">
        <v>58812.636363636368</v>
      </c>
      <c r="AN183" s="31">
        <v>58813</v>
      </c>
      <c r="AO183" s="31" t="s">
        <v>1017</v>
      </c>
      <c r="AP183" s="23" t="s">
        <v>187</v>
      </c>
      <c r="AQ183" s="23" t="s">
        <v>1762</v>
      </c>
    </row>
    <row r="184" spans="1:43">
      <c r="A184" s="34">
        <v>181</v>
      </c>
      <c r="B184" s="34">
        <v>109</v>
      </c>
      <c r="C184" s="568" t="str">
        <f t="shared" si="22"/>
        <v>カーサ南池袋</v>
      </c>
      <c r="D184" s="45" t="s">
        <v>1759</v>
      </c>
      <c r="E184" s="46">
        <v>0</v>
      </c>
      <c r="F184" s="324">
        <v>635</v>
      </c>
      <c r="G184" s="566" t="str">
        <f t="shared" si="23"/>
        <v>アンテナ</v>
      </c>
      <c r="H184" s="44" t="s">
        <v>729</v>
      </c>
      <c r="I184" s="325">
        <v>12817</v>
      </c>
      <c r="J184" s="325">
        <v>0</v>
      </c>
      <c r="K184" s="325">
        <v>0</v>
      </c>
      <c r="L184" s="325">
        <v>1281</v>
      </c>
      <c r="M184" s="565">
        <f t="shared" si="30"/>
        <v>14098</v>
      </c>
      <c r="N184" s="326">
        <v>12816</v>
      </c>
      <c r="O184" s="326">
        <v>1281.6363636363637</v>
      </c>
      <c r="P184" s="565">
        <f t="shared" si="24"/>
        <v>14097.636363636364</v>
      </c>
      <c r="Q184" s="565">
        <f t="shared" si="31"/>
        <v>14098</v>
      </c>
      <c r="R184" s="325" t="s">
        <v>1017</v>
      </c>
      <c r="S184" s="325" t="s">
        <v>187</v>
      </c>
      <c r="T184" s="327" t="s">
        <v>1845</v>
      </c>
      <c r="V184" s="43" t="s">
        <v>1846</v>
      </c>
      <c r="W184" s="55">
        <v>12817</v>
      </c>
      <c r="Y184" s="6">
        <f t="shared" si="25"/>
        <v>1</v>
      </c>
      <c r="Z184" s="562">
        <f t="shared" si="26"/>
        <v>12817</v>
      </c>
      <c r="AA184" s="122">
        <f t="shared" si="27"/>
        <v>-1</v>
      </c>
      <c r="AB184" s="122">
        <f t="shared" si="28"/>
        <v>0</v>
      </c>
      <c r="AC184" s="6">
        <f t="shared" si="29"/>
        <v>1</v>
      </c>
      <c r="AD184" s="563">
        <f t="shared" si="32"/>
        <v>1</v>
      </c>
      <c r="AE184" s="64"/>
      <c r="AF184" s="31">
        <v>12817</v>
      </c>
      <c r="AG184" s="31">
        <v>0</v>
      </c>
      <c r="AH184" s="31">
        <v>0</v>
      </c>
      <c r="AI184" s="31">
        <v>1281</v>
      </c>
      <c r="AJ184" s="31">
        <v>14098</v>
      </c>
      <c r="AK184" s="31">
        <v>12816</v>
      </c>
      <c r="AL184" s="31">
        <v>1281.6363636363637</v>
      </c>
      <c r="AM184" s="56">
        <v>14097.636363636364</v>
      </c>
      <c r="AN184" s="31">
        <v>14098</v>
      </c>
      <c r="AO184" s="31" t="s">
        <v>1017</v>
      </c>
      <c r="AP184" s="23" t="s">
        <v>187</v>
      </c>
      <c r="AQ184" s="23" t="s">
        <v>1847</v>
      </c>
    </row>
    <row r="185" spans="1:43">
      <c r="A185" s="34">
        <v>182</v>
      </c>
      <c r="B185" s="34">
        <v>109</v>
      </c>
      <c r="C185" s="568" t="str">
        <f t="shared" si="22"/>
        <v>カーサ南池袋</v>
      </c>
      <c r="D185" s="45" t="s">
        <v>1622</v>
      </c>
      <c r="E185" s="46" t="s">
        <v>1017</v>
      </c>
      <c r="F185" s="324">
        <v>639</v>
      </c>
      <c r="G185" s="566" t="str">
        <f t="shared" si="23"/>
        <v>その他</v>
      </c>
      <c r="H185" s="46" t="s">
        <v>1789</v>
      </c>
      <c r="I185" s="325">
        <v>0</v>
      </c>
      <c r="J185" s="325">
        <v>0</v>
      </c>
      <c r="K185" s="325">
        <v>0</v>
      </c>
      <c r="L185" s="325">
        <v>0</v>
      </c>
      <c r="M185" s="565">
        <f t="shared" si="30"/>
        <v>0</v>
      </c>
      <c r="N185" s="326">
        <v>0</v>
      </c>
      <c r="O185" s="326">
        <v>0</v>
      </c>
      <c r="P185" s="565">
        <f t="shared" si="24"/>
        <v>0</v>
      </c>
      <c r="Q185" s="565">
        <f t="shared" si="31"/>
        <v>0</v>
      </c>
      <c r="R185" s="325" t="s">
        <v>1017</v>
      </c>
      <c r="S185" s="325" t="s">
        <v>283</v>
      </c>
      <c r="T185" s="327" t="s">
        <v>1623</v>
      </c>
      <c r="V185" s="43" t="s">
        <v>1848</v>
      </c>
      <c r="W185" s="55">
        <v>0</v>
      </c>
      <c r="Y185" s="6">
        <f t="shared" si="25"/>
        <v>0</v>
      </c>
      <c r="Z185" s="562">
        <f t="shared" si="26"/>
        <v>0</v>
      </c>
      <c r="AA185" s="122">
        <f t="shared" si="27"/>
        <v>0</v>
      </c>
      <c r="AB185" s="122">
        <f t="shared" si="28"/>
        <v>0</v>
      </c>
      <c r="AC185" s="6">
        <f t="shared" si="29"/>
        <v>0</v>
      </c>
      <c r="AD185" s="563">
        <f t="shared" si="32"/>
        <v>1</v>
      </c>
      <c r="AE185" s="64"/>
      <c r="AF185" s="31">
        <v>0</v>
      </c>
      <c r="AG185" s="31">
        <v>0</v>
      </c>
      <c r="AH185" s="31">
        <v>0</v>
      </c>
      <c r="AI185" s="31">
        <v>0</v>
      </c>
      <c r="AJ185" s="31">
        <v>0</v>
      </c>
      <c r="AK185" s="31">
        <v>0</v>
      </c>
      <c r="AL185" s="31">
        <v>0</v>
      </c>
      <c r="AM185" s="56">
        <v>0</v>
      </c>
      <c r="AN185" s="31">
        <v>0</v>
      </c>
      <c r="AO185" s="31" t="s">
        <v>1017</v>
      </c>
      <c r="AP185" s="23" t="s">
        <v>283</v>
      </c>
      <c r="AQ185" s="23" t="s">
        <v>1623</v>
      </c>
    </row>
    <row r="186" spans="1:43">
      <c r="A186" s="34">
        <v>183</v>
      </c>
      <c r="B186" s="34">
        <v>109</v>
      </c>
      <c r="C186" s="568" t="str">
        <f t="shared" si="22"/>
        <v>カーサ南池袋</v>
      </c>
      <c r="D186" s="45" t="s">
        <v>1615</v>
      </c>
      <c r="E186" s="46">
        <v>0</v>
      </c>
      <c r="F186" s="324">
        <v>636</v>
      </c>
      <c r="G186" s="566" t="str">
        <f t="shared" si="23"/>
        <v>倉庫</v>
      </c>
      <c r="H186" s="44" t="s">
        <v>1756</v>
      </c>
      <c r="I186" s="325">
        <v>16000</v>
      </c>
      <c r="J186" s="325">
        <v>0</v>
      </c>
      <c r="K186" s="325">
        <v>0</v>
      </c>
      <c r="L186" s="325">
        <v>1600</v>
      </c>
      <c r="M186" s="565">
        <f t="shared" si="30"/>
        <v>17600</v>
      </c>
      <c r="N186" s="326">
        <v>16000</v>
      </c>
      <c r="O186" s="326">
        <v>1600</v>
      </c>
      <c r="P186" s="565">
        <f t="shared" si="24"/>
        <v>17600</v>
      </c>
      <c r="Q186" s="565">
        <f t="shared" si="31"/>
        <v>17600</v>
      </c>
      <c r="R186" s="325" t="s">
        <v>1568</v>
      </c>
      <c r="S186" s="325" t="s">
        <v>187</v>
      </c>
      <c r="T186" s="327" t="s">
        <v>1284</v>
      </c>
      <c r="V186" s="43" t="s">
        <v>1849</v>
      </c>
      <c r="W186" s="55">
        <v>0</v>
      </c>
      <c r="Y186" s="6">
        <f t="shared" si="25"/>
        <v>1</v>
      </c>
      <c r="Z186" s="562">
        <f t="shared" si="26"/>
        <v>16000</v>
      </c>
      <c r="AA186" s="122">
        <f t="shared" si="27"/>
        <v>0</v>
      </c>
      <c r="AB186" s="122">
        <f t="shared" si="28"/>
        <v>16000</v>
      </c>
      <c r="AC186" s="6">
        <f t="shared" si="29"/>
        <v>1</v>
      </c>
      <c r="AD186" s="563">
        <f t="shared" si="32"/>
        <v>1</v>
      </c>
      <c r="AE186" s="64"/>
      <c r="AF186" s="31">
        <v>16000</v>
      </c>
      <c r="AG186" s="31">
        <v>0</v>
      </c>
      <c r="AH186" s="31">
        <v>0</v>
      </c>
      <c r="AI186" s="31">
        <v>1600</v>
      </c>
      <c r="AJ186" s="31">
        <v>17600</v>
      </c>
      <c r="AK186" s="31">
        <v>16000</v>
      </c>
      <c r="AL186" s="31">
        <v>1600</v>
      </c>
      <c r="AM186" s="56">
        <v>17600</v>
      </c>
      <c r="AN186" s="31">
        <v>17600</v>
      </c>
      <c r="AO186" s="31" t="s">
        <v>1568</v>
      </c>
      <c r="AP186" s="23" t="s">
        <v>187</v>
      </c>
      <c r="AQ186" s="23" t="s">
        <v>1284</v>
      </c>
    </row>
    <row r="187" spans="1:43">
      <c r="A187" s="36">
        <v>184</v>
      </c>
      <c r="B187" s="36">
        <v>111</v>
      </c>
      <c r="C187" s="570" t="str">
        <f t="shared" si="22"/>
        <v>目白カーサ二番館</v>
      </c>
      <c r="D187" s="45" t="s">
        <v>1850</v>
      </c>
      <c r="E187" s="46" t="s">
        <v>1017</v>
      </c>
      <c r="F187" s="324">
        <v>631</v>
      </c>
      <c r="G187" s="566" t="str">
        <f t="shared" si="23"/>
        <v>住居</v>
      </c>
      <c r="H187" s="44" t="s">
        <v>1567</v>
      </c>
      <c r="I187" s="325">
        <v>1758634</v>
      </c>
      <c r="J187" s="325">
        <v>0</v>
      </c>
      <c r="K187" s="325">
        <v>0</v>
      </c>
      <c r="L187" s="325">
        <v>0</v>
      </c>
      <c r="M187" s="565">
        <f t="shared" si="30"/>
        <v>1758634</v>
      </c>
      <c r="N187" s="326">
        <v>1752707</v>
      </c>
      <c r="O187" s="326">
        <v>0</v>
      </c>
      <c r="P187" s="565">
        <f t="shared" si="24"/>
        <v>1752707</v>
      </c>
      <c r="Q187" s="565">
        <f t="shared" si="31"/>
        <v>1758634</v>
      </c>
      <c r="R187" s="325" t="s">
        <v>1851</v>
      </c>
      <c r="S187" s="325" t="s">
        <v>187</v>
      </c>
      <c r="T187" s="327" t="s">
        <v>1852</v>
      </c>
      <c r="V187" s="43" t="s">
        <v>1853</v>
      </c>
      <c r="W187" s="55">
        <v>1752707</v>
      </c>
      <c r="Y187" s="6">
        <f t="shared" si="25"/>
        <v>1</v>
      </c>
      <c r="Z187" s="562">
        <f t="shared" si="26"/>
        <v>1758634</v>
      </c>
      <c r="AA187" s="122">
        <f t="shared" si="27"/>
        <v>-5927</v>
      </c>
      <c r="AB187" s="122">
        <f t="shared" si="28"/>
        <v>5927</v>
      </c>
      <c r="AC187" s="6">
        <f t="shared" si="29"/>
        <v>0</v>
      </c>
      <c r="AD187" s="563">
        <f t="shared" si="32"/>
        <v>1</v>
      </c>
      <c r="AE187" s="64"/>
      <c r="AF187" s="31">
        <v>1758634</v>
      </c>
      <c r="AG187" s="31">
        <v>0</v>
      </c>
      <c r="AH187" s="31">
        <v>0</v>
      </c>
      <c r="AI187" s="31">
        <v>0</v>
      </c>
      <c r="AJ187" s="31">
        <v>1758634</v>
      </c>
      <c r="AK187" s="31">
        <v>1752707</v>
      </c>
      <c r="AL187" s="31">
        <v>0</v>
      </c>
      <c r="AM187" s="56">
        <v>1752707</v>
      </c>
      <c r="AN187" s="31">
        <v>1758634</v>
      </c>
      <c r="AO187" s="31" t="s">
        <v>1851</v>
      </c>
      <c r="AP187" s="23" t="s">
        <v>187</v>
      </c>
      <c r="AQ187" s="23" t="s">
        <v>1852</v>
      </c>
    </row>
    <row r="188" spans="1:43">
      <c r="A188" s="36">
        <v>185</v>
      </c>
      <c r="B188" s="36">
        <v>111</v>
      </c>
      <c r="C188" s="570" t="str">
        <f t="shared" si="22"/>
        <v>目白カーサ二番館</v>
      </c>
      <c r="D188" s="45" t="s">
        <v>1580</v>
      </c>
      <c r="E188" s="46">
        <v>45.527000000000001</v>
      </c>
      <c r="F188" s="324">
        <v>631</v>
      </c>
      <c r="G188" s="566" t="str">
        <f t="shared" si="23"/>
        <v>住居</v>
      </c>
      <c r="H188" s="44" t="s">
        <v>1667</v>
      </c>
      <c r="I188" s="325" t="s">
        <v>846</v>
      </c>
      <c r="J188" s="325" t="s">
        <v>846</v>
      </c>
      <c r="K188" s="325" t="s">
        <v>846</v>
      </c>
      <c r="L188" s="325" t="s">
        <v>846</v>
      </c>
      <c r="M188" s="565">
        <f t="shared" si="30"/>
        <v>0</v>
      </c>
      <c r="N188" s="325">
        <v>91000</v>
      </c>
      <c r="O188" s="326">
        <v>0</v>
      </c>
      <c r="P188" s="565">
        <f t="shared" si="24"/>
        <v>91000</v>
      </c>
      <c r="Q188" s="565">
        <f t="shared" si="31"/>
        <v>91000</v>
      </c>
      <c r="R188" s="325" t="s">
        <v>1017</v>
      </c>
      <c r="S188" s="325" t="s">
        <v>187</v>
      </c>
      <c r="T188" s="327" t="s">
        <v>1854</v>
      </c>
      <c r="V188" s="43" t="s">
        <v>1855</v>
      </c>
      <c r="W188" s="55">
        <v>0</v>
      </c>
      <c r="Y188" s="6">
        <f t="shared" si="25"/>
        <v>0</v>
      </c>
      <c r="Z188" s="562">
        <f t="shared" si="26"/>
        <v>91000</v>
      </c>
      <c r="AA188" s="122">
        <f t="shared" si="27"/>
        <v>0</v>
      </c>
      <c r="AB188" s="122">
        <f t="shared" si="28"/>
        <v>91000</v>
      </c>
      <c r="AC188" s="6">
        <f t="shared" si="29"/>
        <v>1</v>
      </c>
      <c r="AD188" s="563">
        <f t="shared" si="32"/>
        <v>0</v>
      </c>
      <c r="AE188" s="64"/>
      <c r="AF188" s="60" t="s">
        <v>1017</v>
      </c>
      <c r="AG188" s="60" t="s">
        <v>1017</v>
      </c>
      <c r="AH188" s="60" t="s">
        <v>1017</v>
      </c>
      <c r="AI188" s="60" t="s">
        <v>1017</v>
      </c>
      <c r="AJ188" s="31" t="s">
        <v>1017</v>
      </c>
      <c r="AK188" s="31">
        <v>0</v>
      </c>
      <c r="AL188" s="31">
        <v>0</v>
      </c>
      <c r="AM188" s="61">
        <v>0</v>
      </c>
      <c r="AN188" s="62">
        <v>0</v>
      </c>
      <c r="AO188" s="62" t="s">
        <v>1017</v>
      </c>
      <c r="AP188" s="23" t="s">
        <v>187</v>
      </c>
      <c r="AQ188" s="23" t="s">
        <v>1854</v>
      </c>
    </row>
    <row r="189" spans="1:43">
      <c r="A189" s="36">
        <v>186</v>
      </c>
      <c r="B189" s="36">
        <v>111</v>
      </c>
      <c r="C189" s="570" t="str">
        <f t="shared" si="22"/>
        <v>目白カーサ二番館</v>
      </c>
      <c r="D189" s="45" t="s">
        <v>1582</v>
      </c>
      <c r="E189" s="46">
        <v>45.527000000000001</v>
      </c>
      <c r="F189" s="324">
        <v>631</v>
      </c>
      <c r="G189" s="566" t="str">
        <f t="shared" si="23"/>
        <v>住居</v>
      </c>
      <c r="H189" s="44" t="s">
        <v>1667</v>
      </c>
      <c r="I189" s="325" t="s">
        <v>846</v>
      </c>
      <c r="J189" s="325" t="s">
        <v>846</v>
      </c>
      <c r="K189" s="325" t="s">
        <v>846</v>
      </c>
      <c r="L189" s="325" t="s">
        <v>846</v>
      </c>
      <c r="M189" s="565">
        <f t="shared" si="30"/>
        <v>0</v>
      </c>
      <c r="N189" s="325">
        <v>91000</v>
      </c>
      <c r="O189" s="326">
        <v>0</v>
      </c>
      <c r="P189" s="565">
        <f t="shared" si="24"/>
        <v>91000</v>
      </c>
      <c r="Q189" s="565">
        <f t="shared" si="31"/>
        <v>91000</v>
      </c>
      <c r="R189" s="325" t="s">
        <v>1017</v>
      </c>
      <c r="S189" s="325" t="s">
        <v>187</v>
      </c>
      <c r="T189" s="327" t="s">
        <v>1854</v>
      </c>
      <c r="V189" s="43" t="s">
        <v>1856</v>
      </c>
      <c r="W189" s="55">
        <v>0</v>
      </c>
      <c r="Y189" s="6">
        <f t="shared" si="25"/>
        <v>0</v>
      </c>
      <c r="Z189" s="562">
        <f t="shared" si="26"/>
        <v>91000</v>
      </c>
      <c r="AA189" s="122">
        <f t="shared" si="27"/>
        <v>0</v>
      </c>
      <c r="AB189" s="122">
        <f t="shared" si="28"/>
        <v>91000</v>
      </c>
      <c r="AC189" s="6">
        <f t="shared" si="29"/>
        <v>1</v>
      </c>
      <c r="AD189" s="563">
        <f t="shared" si="32"/>
        <v>0</v>
      </c>
      <c r="AE189" s="64"/>
      <c r="AF189" s="60" t="s">
        <v>1017</v>
      </c>
      <c r="AG189" s="60" t="s">
        <v>1017</v>
      </c>
      <c r="AH189" s="60" t="s">
        <v>1017</v>
      </c>
      <c r="AI189" s="60" t="s">
        <v>1017</v>
      </c>
      <c r="AJ189" s="31" t="s">
        <v>1017</v>
      </c>
      <c r="AK189" s="31">
        <v>0</v>
      </c>
      <c r="AL189" s="31">
        <v>0</v>
      </c>
      <c r="AM189" s="61">
        <v>0</v>
      </c>
      <c r="AN189" s="62">
        <v>0</v>
      </c>
      <c r="AO189" s="62" t="s">
        <v>1017</v>
      </c>
      <c r="AP189" s="23" t="s">
        <v>187</v>
      </c>
      <c r="AQ189" s="23" t="s">
        <v>1854</v>
      </c>
    </row>
    <row r="190" spans="1:43">
      <c r="A190" s="36">
        <v>187</v>
      </c>
      <c r="B190" s="36">
        <v>111</v>
      </c>
      <c r="C190" s="570" t="str">
        <f t="shared" si="22"/>
        <v>目白カーサ二番館</v>
      </c>
      <c r="D190" s="45" t="s">
        <v>1585</v>
      </c>
      <c r="E190" s="46">
        <v>45.527000000000001</v>
      </c>
      <c r="F190" s="324">
        <v>631</v>
      </c>
      <c r="G190" s="566" t="str">
        <f t="shared" si="23"/>
        <v>住居</v>
      </c>
      <c r="H190" s="44" t="s">
        <v>1667</v>
      </c>
      <c r="I190" s="325" t="s">
        <v>846</v>
      </c>
      <c r="J190" s="325" t="s">
        <v>846</v>
      </c>
      <c r="K190" s="325" t="s">
        <v>846</v>
      </c>
      <c r="L190" s="325" t="s">
        <v>846</v>
      </c>
      <c r="M190" s="565">
        <f t="shared" si="30"/>
        <v>0</v>
      </c>
      <c r="N190" s="325">
        <v>91000</v>
      </c>
      <c r="O190" s="326">
        <v>0</v>
      </c>
      <c r="P190" s="565">
        <f t="shared" si="24"/>
        <v>91000</v>
      </c>
      <c r="Q190" s="565">
        <f t="shared" si="31"/>
        <v>91000</v>
      </c>
      <c r="R190" s="325" t="s">
        <v>1017</v>
      </c>
      <c r="S190" s="325" t="s">
        <v>187</v>
      </c>
      <c r="T190" s="327" t="s">
        <v>1854</v>
      </c>
      <c r="V190" s="43" t="s">
        <v>1857</v>
      </c>
      <c r="W190" s="55">
        <v>0</v>
      </c>
      <c r="Y190" s="6">
        <f t="shared" si="25"/>
        <v>0</v>
      </c>
      <c r="Z190" s="562">
        <f t="shared" si="26"/>
        <v>91000</v>
      </c>
      <c r="AA190" s="122">
        <f t="shared" si="27"/>
        <v>0</v>
      </c>
      <c r="AB190" s="122">
        <f t="shared" si="28"/>
        <v>91000</v>
      </c>
      <c r="AC190" s="6">
        <f t="shared" si="29"/>
        <v>1</v>
      </c>
      <c r="AD190" s="563">
        <f t="shared" si="32"/>
        <v>0</v>
      </c>
      <c r="AE190" s="64"/>
      <c r="AF190" s="60" t="s">
        <v>1017</v>
      </c>
      <c r="AG190" s="60" t="s">
        <v>1017</v>
      </c>
      <c r="AH190" s="60" t="s">
        <v>1017</v>
      </c>
      <c r="AI190" s="60" t="s">
        <v>1017</v>
      </c>
      <c r="AJ190" s="31" t="s">
        <v>1017</v>
      </c>
      <c r="AK190" s="31">
        <v>0</v>
      </c>
      <c r="AL190" s="31">
        <v>0</v>
      </c>
      <c r="AM190" s="61">
        <v>0</v>
      </c>
      <c r="AN190" s="62">
        <v>0</v>
      </c>
      <c r="AO190" s="62" t="s">
        <v>1017</v>
      </c>
      <c r="AP190" s="23" t="s">
        <v>187</v>
      </c>
      <c r="AQ190" s="23" t="s">
        <v>1854</v>
      </c>
    </row>
    <row r="191" spans="1:43">
      <c r="A191" s="36">
        <v>188</v>
      </c>
      <c r="B191" s="36">
        <v>111</v>
      </c>
      <c r="C191" s="570" t="str">
        <f t="shared" si="22"/>
        <v>目白カーサ二番館</v>
      </c>
      <c r="D191" s="45" t="s">
        <v>1587</v>
      </c>
      <c r="E191" s="46">
        <v>23.193000000000001</v>
      </c>
      <c r="F191" s="324">
        <v>631</v>
      </c>
      <c r="G191" s="566" t="str">
        <f t="shared" si="23"/>
        <v>住居</v>
      </c>
      <c r="H191" s="44" t="s">
        <v>1811</v>
      </c>
      <c r="I191" s="325" t="s">
        <v>846</v>
      </c>
      <c r="J191" s="325" t="s">
        <v>846</v>
      </c>
      <c r="K191" s="325" t="s">
        <v>846</v>
      </c>
      <c r="L191" s="325" t="s">
        <v>846</v>
      </c>
      <c r="M191" s="565">
        <f t="shared" si="30"/>
        <v>0</v>
      </c>
      <c r="N191" s="325">
        <v>91000</v>
      </c>
      <c r="O191" s="326">
        <v>0</v>
      </c>
      <c r="P191" s="565">
        <f t="shared" si="24"/>
        <v>91000</v>
      </c>
      <c r="Q191" s="565">
        <f t="shared" si="31"/>
        <v>91000</v>
      </c>
      <c r="R191" s="325" t="s">
        <v>1017</v>
      </c>
      <c r="S191" s="325" t="s">
        <v>187</v>
      </c>
      <c r="T191" s="327" t="s">
        <v>1854</v>
      </c>
      <c r="V191" s="43" t="s">
        <v>1858</v>
      </c>
      <c r="W191" s="55">
        <v>0</v>
      </c>
      <c r="Y191" s="6">
        <f t="shared" si="25"/>
        <v>0</v>
      </c>
      <c r="Z191" s="562">
        <f t="shared" si="26"/>
        <v>91000</v>
      </c>
      <c r="AA191" s="122">
        <f t="shared" si="27"/>
        <v>0</v>
      </c>
      <c r="AB191" s="122">
        <f t="shared" si="28"/>
        <v>91000</v>
      </c>
      <c r="AC191" s="6">
        <f t="shared" si="29"/>
        <v>1</v>
      </c>
      <c r="AD191" s="563">
        <f t="shared" si="32"/>
        <v>0</v>
      </c>
      <c r="AE191" s="64"/>
      <c r="AF191" s="60" t="s">
        <v>1017</v>
      </c>
      <c r="AG191" s="60" t="s">
        <v>1017</v>
      </c>
      <c r="AH191" s="60" t="s">
        <v>1017</v>
      </c>
      <c r="AI191" s="60" t="s">
        <v>1017</v>
      </c>
      <c r="AJ191" s="31" t="s">
        <v>1017</v>
      </c>
      <c r="AK191" s="31">
        <v>0</v>
      </c>
      <c r="AL191" s="31">
        <v>0</v>
      </c>
      <c r="AM191" s="61">
        <v>0</v>
      </c>
      <c r="AN191" s="62">
        <v>0</v>
      </c>
      <c r="AO191" s="62" t="s">
        <v>1017</v>
      </c>
      <c r="AP191" s="23" t="s">
        <v>187</v>
      </c>
      <c r="AQ191" s="23" t="s">
        <v>1854</v>
      </c>
    </row>
    <row r="192" spans="1:43">
      <c r="A192" s="36">
        <v>189</v>
      </c>
      <c r="B192" s="36">
        <v>111</v>
      </c>
      <c r="C192" s="570" t="str">
        <f t="shared" si="22"/>
        <v>目白カーサ二番館</v>
      </c>
      <c r="D192" s="45" t="s">
        <v>1589</v>
      </c>
      <c r="E192" s="46">
        <v>45.527000000000001</v>
      </c>
      <c r="F192" s="324">
        <v>631</v>
      </c>
      <c r="G192" s="566" t="str">
        <f t="shared" si="23"/>
        <v>住居</v>
      </c>
      <c r="H192" s="44" t="s">
        <v>1667</v>
      </c>
      <c r="I192" s="325" t="s">
        <v>846</v>
      </c>
      <c r="J192" s="325" t="s">
        <v>846</v>
      </c>
      <c r="K192" s="325" t="s">
        <v>846</v>
      </c>
      <c r="L192" s="325" t="s">
        <v>846</v>
      </c>
      <c r="M192" s="565">
        <f t="shared" si="30"/>
        <v>0</v>
      </c>
      <c r="N192" s="325">
        <v>91000</v>
      </c>
      <c r="O192" s="326">
        <v>0</v>
      </c>
      <c r="P192" s="565">
        <f t="shared" si="24"/>
        <v>91000</v>
      </c>
      <c r="Q192" s="565">
        <f t="shared" si="31"/>
        <v>91000</v>
      </c>
      <c r="R192" s="325" t="s">
        <v>1017</v>
      </c>
      <c r="S192" s="325" t="s">
        <v>187</v>
      </c>
      <c r="T192" s="327" t="s">
        <v>1854</v>
      </c>
      <c r="V192" s="43" t="s">
        <v>1859</v>
      </c>
      <c r="W192" s="55">
        <v>0</v>
      </c>
      <c r="Y192" s="6">
        <f t="shared" si="25"/>
        <v>0</v>
      </c>
      <c r="Z192" s="562">
        <f t="shared" si="26"/>
        <v>91000</v>
      </c>
      <c r="AA192" s="122">
        <f t="shared" si="27"/>
        <v>0</v>
      </c>
      <c r="AB192" s="122">
        <f t="shared" si="28"/>
        <v>91000</v>
      </c>
      <c r="AC192" s="6">
        <f t="shared" si="29"/>
        <v>1</v>
      </c>
      <c r="AD192" s="563">
        <f t="shared" si="32"/>
        <v>0</v>
      </c>
      <c r="AE192" s="64"/>
      <c r="AF192" s="60" t="s">
        <v>1017</v>
      </c>
      <c r="AG192" s="60" t="s">
        <v>1017</v>
      </c>
      <c r="AH192" s="60" t="s">
        <v>1017</v>
      </c>
      <c r="AI192" s="60" t="s">
        <v>1017</v>
      </c>
      <c r="AJ192" s="31" t="s">
        <v>1017</v>
      </c>
      <c r="AK192" s="31">
        <v>0</v>
      </c>
      <c r="AL192" s="31">
        <v>0</v>
      </c>
      <c r="AM192" s="61">
        <v>0</v>
      </c>
      <c r="AN192" s="62">
        <v>0</v>
      </c>
      <c r="AO192" s="62" t="s">
        <v>1017</v>
      </c>
      <c r="AP192" s="23" t="s">
        <v>187</v>
      </c>
      <c r="AQ192" s="23" t="s">
        <v>1854</v>
      </c>
    </row>
    <row r="193" spans="1:43">
      <c r="A193" s="36">
        <v>190</v>
      </c>
      <c r="B193" s="36">
        <v>111</v>
      </c>
      <c r="C193" s="570" t="str">
        <f t="shared" si="22"/>
        <v>目白カーサ二番館</v>
      </c>
      <c r="D193" s="45" t="s">
        <v>1591</v>
      </c>
      <c r="E193" s="46">
        <v>45.527000000000001</v>
      </c>
      <c r="F193" s="324">
        <v>631</v>
      </c>
      <c r="G193" s="566" t="str">
        <f t="shared" si="23"/>
        <v>住居</v>
      </c>
      <c r="H193" s="44" t="s">
        <v>1667</v>
      </c>
      <c r="I193" s="325" t="s">
        <v>846</v>
      </c>
      <c r="J193" s="325" t="s">
        <v>846</v>
      </c>
      <c r="K193" s="325" t="s">
        <v>846</v>
      </c>
      <c r="L193" s="325" t="s">
        <v>846</v>
      </c>
      <c r="M193" s="565">
        <f t="shared" si="30"/>
        <v>0</v>
      </c>
      <c r="N193" s="325">
        <v>91000</v>
      </c>
      <c r="O193" s="326">
        <v>0</v>
      </c>
      <c r="P193" s="565">
        <f t="shared" si="24"/>
        <v>91000</v>
      </c>
      <c r="Q193" s="565">
        <f t="shared" si="31"/>
        <v>91000</v>
      </c>
      <c r="R193" s="325" t="s">
        <v>1017</v>
      </c>
      <c r="S193" s="325" t="s">
        <v>187</v>
      </c>
      <c r="T193" s="327" t="s">
        <v>1854</v>
      </c>
      <c r="V193" s="43" t="s">
        <v>1860</v>
      </c>
      <c r="W193" s="55">
        <v>0</v>
      </c>
      <c r="Y193" s="6">
        <f t="shared" si="25"/>
        <v>0</v>
      </c>
      <c r="Z193" s="562">
        <f t="shared" si="26"/>
        <v>91000</v>
      </c>
      <c r="AA193" s="122">
        <f t="shared" si="27"/>
        <v>0</v>
      </c>
      <c r="AB193" s="122">
        <f t="shared" si="28"/>
        <v>91000</v>
      </c>
      <c r="AC193" s="6">
        <f t="shared" si="29"/>
        <v>1</v>
      </c>
      <c r="AD193" s="563">
        <f t="shared" si="32"/>
        <v>0</v>
      </c>
      <c r="AE193" s="64"/>
      <c r="AF193" s="60" t="s">
        <v>1017</v>
      </c>
      <c r="AG193" s="60" t="s">
        <v>1017</v>
      </c>
      <c r="AH193" s="60" t="s">
        <v>1017</v>
      </c>
      <c r="AI193" s="60" t="s">
        <v>1017</v>
      </c>
      <c r="AJ193" s="31" t="s">
        <v>1017</v>
      </c>
      <c r="AK193" s="31">
        <v>0</v>
      </c>
      <c r="AL193" s="31">
        <v>0</v>
      </c>
      <c r="AM193" s="61">
        <v>0</v>
      </c>
      <c r="AN193" s="62">
        <v>0</v>
      </c>
      <c r="AO193" s="62" t="s">
        <v>1017</v>
      </c>
      <c r="AP193" s="23" t="s">
        <v>187</v>
      </c>
      <c r="AQ193" s="23" t="s">
        <v>1854</v>
      </c>
    </row>
    <row r="194" spans="1:43">
      <c r="A194" s="36">
        <v>191</v>
      </c>
      <c r="B194" s="36">
        <v>111</v>
      </c>
      <c r="C194" s="570" t="str">
        <f t="shared" si="22"/>
        <v>目白カーサ二番館</v>
      </c>
      <c r="D194" s="45" t="s">
        <v>1593</v>
      </c>
      <c r="E194" s="46">
        <v>60.988999999999997</v>
      </c>
      <c r="F194" s="324">
        <v>631</v>
      </c>
      <c r="G194" s="566" t="str">
        <f t="shared" si="23"/>
        <v>住居</v>
      </c>
      <c r="H194" s="44" t="s">
        <v>1667</v>
      </c>
      <c r="I194" s="325" t="s">
        <v>846</v>
      </c>
      <c r="J194" s="325" t="s">
        <v>846</v>
      </c>
      <c r="K194" s="325" t="s">
        <v>846</v>
      </c>
      <c r="L194" s="325" t="s">
        <v>846</v>
      </c>
      <c r="M194" s="565">
        <f t="shared" si="30"/>
        <v>0</v>
      </c>
      <c r="N194" s="325">
        <v>91000</v>
      </c>
      <c r="O194" s="326">
        <v>0</v>
      </c>
      <c r="P194" s="565">
        <f t="shared" si="24"/>
        <v>91000</v>
      </c>
      <c r="Q194" s="565">
        <f t="shared" si="31"/>
        <v>91000</v>
      </c>
      <c r="R194" s="325" t="s">
        <v>1017</v>
      </c>
      <c r="S194" s="325" t="s">
        <v>187</v>
      </c>
      <c r="T194" s="327" t="s">
        <v>1854</v>
      </c>
      <c r="V194" s="43" t="s">
        <v>1861</v>
      </c>
      <c r="W194" s="55">
        <v>0</v>
      </c>
      <c r="Y194" s="6">
        <f t="shared" si="25"/>
        <v>0</v>
      </c>
      <c r="Z194" s="562">
        <f t="shared" si="26"/>
        <v>91000</v>
      </c>
      <c r="AA194" s="122">
        <f t="shared" si="27"/>
        <v>0</v>
      </c>
      <c r="AB194" s="122">
        <f t="shared" si="28"/>
        <v>91000</v>
      </c>
      <c r="AC194" s="6">
        <f t="shared" si="29"/>
        <v>1</v>
      </c>
      <c r="AD194" s="563">
        <f t="shared" si="32"/>
        <v>0</v>
      </c>
      <c r="AE194" s="64"/>
      <c r="AF194" s="60" t="s">
        <v>1017</v>
      </c>
      <c r="AG194" s="60" t="s">
        <v>1017</v>
      </c>
      <c r="AH194" s="60" t="s">
        <v>1017</v>
      </c>
      <c r="AI194" s="60" t="s">
        <v>1017</v>
      </c>
      <c r="AJ194" s="31" t="s">
        <v>1017</v>
      </c>
      <c r="AK194" s="31">
        <v>0</v>
      </c>
      <c r="AL194" s="31">
        <v>0</v>
      </c>
      <c r="AM194" s="61">
        <v>0</v>
      </c>
      <c r="AN194" s="62">
        <v>0</v>
      </c>
      <c r="AO194" s="62" t="s">
        <v>1017</v>
      </c>
      <c r="AP194" s="23" t="s">
        <v>187</v>
      </c>
      <c r="AQ194" s="23" t="s">
        <v>1854</v>
      </c>
    </row>
    <row r="195" spans="1:43">
      <c r="A195" s="36">
        <v>192</v>
      </c>
      <c r="B195" s="36">
        <v>111</v>
      </c>
      <c r="C195" s="570" t="str">
        <f t="shared" si="22"/>
        <v>目白カーサ二番館</v>
      </c>
      <c r="D195" s="45" t="s">
        <v>1603</v>
      </c>
      <c r="E195" s="46">
        <v>45.527000000000001</v>
      </c>
      <c r="F195" s="324">
        <v>631</v>
      </c>
      <c r="G195" s="566" t="str">
        <f t="shared" si="23"/>
        <v>住居</v>
      </c>
      <c r="H195" s="44" t="s">
        <v>1667</v>
      </c>
      <c r="I195" s="325" t="s">
        <v>846</v>
      </c>
      <c r="J195" s="325" t="s">
        <v>846</v>
      </c>
      <c r="K195" s="325" t="s">
        <v>846</v>
      </c>
      <c r="L195" s="325" t="s">
        <v>846</v>
      </c>
      <c r="M195" s="565">
        <f t="shared" si="30"/>
        <v>0</v>
      </c>
      <c r="N195" s="325">
        <v>91000</v>
      </c>
      <c r="O195" s="326">
        <v>0</v>
      </c>
      <c r="P195" s="565">
        <f t="shared" si="24"/>
        <v>91000</v>
      </c>
      <c r="Q195" s="565">
        <f t="shared" si="31"/>
        <v>91000</v>
      </c>
      <c r="R195" s="325" t="s">
        <v>1017</v>
      </c>
      <c r="S195" s="325" t="s">
        <v>187</v>
      </c>
      <c r="T195" s="327" t="s">
        <v>1854</v>
      </c>
      <c r="V195" s="43" t="s">
        <v>1862</v>
      </c>
      <c r="W195" s="55">
        <v>0</v>
      </c>
      <c r="Y195" s="6">
        <f t="shared" si="25"/>
        <v>0</v>
      </c>
      <c r="Z195" s="562">
        <f t="shared" si="26"/>
        <v>91000</v>
      </c>
      <c r="AA195" s="122">
        <f t="shared" si="27"/>
        <v>0</v>
      </c>
      <c r="AB195" s="122">
        <f t="shared" si="28"/>
        <v>91000</v>
      </c>
      <c r="AC195" s="6">
        <f t="shared" si="29"/>
        <v>1</v>
      </c>
      <c r="AD195" s="563">
        <f t="shared" si="32"/>
        <v>0</v>
      </c>
      <c r="AE195" s="64"/>
      <c r="AF195" s="60" t="s">
        <v>1017</v>
      </c>
      <c r="AG195" s="60" t="s">
        <v>1017</v>
      </c>
      <c r="AH195" s="60" t="s">
        <v>1017</v>
      </c>
      <c r="AI195" s="60" t="s">
        <v>1017</v>
      </c>
      <c r="AJ195" s="31" t="s">
        <v>1017</v>
      </c>
      <c r="AK195" s="31">
        <v>0</v>
      </c>
      <c r="AL195" s="31">
        <v>0</v>
      </c>
      <c r="AM195" s="61">
        <v>0</v>
      </c>
      <c r="AN195" s="62">
        <v>0</v>
      </c>
      <c r="AO195" s="62" t="s">
        <v>1017</v>
      </c>
      <c r="AP195" s="23" t="s">
        <v>187</v>
      </c>
      <c r="AQ195" s="23" t="s">
        <v>1854</v>
      </c>
    </row>
    <row r="196" spans="1:43">
      <c r="A196" s="36">
        <v>193</v>
      </c>
      <c r="B196" s="36">
        <v>111</v>
      </c>
      <c r="C196" s="570" t="str">
        <f t="shared" ref="C196:C259" si="33">VLOOKUP(B196,id_settings,2,FALSE)</f>
        <v>目白カーサ二番館</v>
      </c>
      <c r="D196" s="45" t="s">
        <v>1605</v>
      </c>
      <c r="E196" s="46">
        <v>45.527000000000001</v>
      </c>
      <c r="F196" s="324">
        <v>631</v>
      </c>
      <c r="G196" s="566" t="str">
        <f t="shared" ref="G196:G259" si="34">VLOOKUP(F196,id_settings,2,FALSE)</f>
        <v>住居</v>
      </c>
      <c r="H196" s="44" t="s">
        <v>1667</v>
      </c>
      <c r="I196" s="325" t="s">
        <v>846</v>
      </c>
      <c r="J196" s="325" t="s">
        <v>846</v>
      </c>
      <c r="K196" s="325" t="s">
        <v>846</v>
      </c>
      <c r="L196" s="325" t="s">
        <v>846</v>
      </c>
      <c r="M196" s="565">
        <f t="shared" si="30"/>
        <v>0</v>
      </c>
      <c r="N196" s="325">
        <v>91000</v>
      </c>
      <c r="O196" s="326">
        <v>0</v>
      </c>
      <c r="P196" s="565">
        <f t="shared" ref="P196:P259" si="35">N196+O196</f>
        <v>91000</v>
      </c>
      <c r="Q196" s="565">
        <f t="shared" si="31"/>
        <v>91000</v>
      </c>
      <c r="R196" s="325" t="s">
        <v>1017</v>
      </c>
      <c r="S196" s="325" t="s">
        <v>187</v>
      </c>
      <c r="T196" s="327" t="s">
        <v>1854</v>
      </c>
      <c r="V196" s="43" t="s">
        <v>1863</v>
      </c>
      <c r="W196" s="55">
        <v>0</v>
      </c>
      <c r="Y196" s="6">
        <f t="shared" ref="Y196:Y259" si="36">IF(M196=0,0,1)</f>
        <v>0</v>
      </c>
      <c r="Z196" s="562">
        <f t="shared" ref="Z196:Z259" si="37">IF(Y196=1,SUM(I196:K196),N196)</f>
        <v>91000</v>
      </c>
      <c r="AA196" s="122">
        <f t="shared" ref="AA196:AA259" si="38">N196-Z196</f>
        <v>0</v>
      </c>
      <c r="AB196" s="122">
        <f t="shared" ref="AB196:AB259" si="39">Z196-W196</f>
        <v>91000</v>
      </c>
      <c r="AC196" s="6">
        <f t="shared" ref="AC196:AC259" si="40">IF(E196="-",0,1)</f>
        <v>1</v>
      </c>
      <c r="AD196" s="563">
        <f t="shared" si="32"/>
        <v>0</v>
      </c>
      <c r="AE196" s="64"/>
      <c r="AF196" s="60" t="s">
        <v>1017</v>
      </c>
      <c r="AG196" s="60" t="s">
        <v>1017</v>
      </c>
      <c r="AH196" s="60" t="s">
        <v>1017</v>
      </c>
      <c r="AI196" s="60" t="s">
        <v>1017</v>
      </c>
      <c r="AJ196" s="31" t="s">
        <v>1017</v>
      </c>
      <c r="AK196" s="31">
        <v>0</v>
      </c>
      <c r="AL196" s="31">
        <v>0</v>
      </c>
      <c r="AM196" s="61">
        <v>0</v>
      </c>
      <c r="AN196" s="62">
        <v>0</v>
      </c>
      <c r="AO196" s="62" t="s">
        <v>1017</v>
      </c>
      <c r="AP196" s="23" t="s">
        <v>187</v>
      </c>
      <c r="AQ196" s="23" t="s">
        <v>1854</v>
      </c>
    </row>
    <row r="197" spans="1:43">
      <c r="A197" s="36">
        <v>194</v>
      </c>
      <c r="B197" s="36">
        <v>111</v>
      </c>
      <c r="C197" s="570" t="str">
        <f t="shared" si="33"/>
        <v>目白カーサ二番館</v>
      </c>
      <c r="D197" s="45" t="s">
        <v>1607</v>
      </c>
      <c r="E197" s="46">
        <v>45.527000000000001</v>
      </c>
      <c r="F197" s="324">
        <v>631</v>
      </c>
      <c r="G197" s="566" t="str">
        <f t="shared" si="34"/>
        <v>住居</v>
      </c>
      <c r="H197" s="44" t="s">
        <v>1667</v>
      </c>
      <c r="I197" s="325" t="s">
        <v>846</v>
      </c>
      <c r="J197" s="325" t="s">
        <v>846</v>
      </c>
      <c r="K197" s="325" t="s">
        <v>846</v>
      </c>
      <c r="L197" s="325" t="s">
        <v>846</v>
      </c>
      <c r="M197" s="565">
        <f t="shared" ref="M197:M260" si="41">SUM(I197:L197)</f>
        <v>0</v>
      </c>
      <c r="N197" s="325">
        <v>91000</v>
      </c>
      <c r="O197" s="326">
        <v>0</v>
      </c>
      <c r="P197" s="565">
        <f t="shared" si="35"/>
        <v>91000</v>
      </c>
      <c r="Q197" s="565">
        <f t="shared" ref="Q197:Q260" si="42">VALUE(IF(Y197=0,N197+O197,M197))</f>
        <v>91000</v>
      </c>
      <c r="R197" s="325" t="s">
        <v>1017</v>
      </c>
      <c r="S197" s="325" t="s">
        <v>187</v>
      </c>
      <c r="T197" s="327" t="s">
        <v>1854</v>
      </c>
      <c r="V197" s="43" t="s">
        <v>1864</v>
      </c>
      <c r="W197" s="55">
        <v>0</v>
      </c>
      <c r="Y197" s="6">
        <f t="shared" si="36"/>
        <v>0</v>
      </c>
      <c r="Z197" s="562">
        <f t="shared" si="37"/>
        <v>91000</v>
      </c>
      <c r="AA197" s="122">
        <f t="shared" si="38"/>
        <v>0</v>
      </c>
      <c r="AB197" s="122">
        <f t="shared" si="39"/>
        <v>91000</v>
      </c>
      <c r="AC197" s="6">
        <f t="shared" si="40"/>
        <v>1</v>
      </c>
      <c r="AD197" s="563">
        <f t="shared" ref="AD197:AD260" si="43">IF(I197="-",0,1)</f>
        <v>0</v>
      </c>
      <c r="AE197" s="64"/>
      <c r="AF197" s="60" t="s">
        <v>1017</v>
      </c>
      <c r="AG197" s="60" t="s">
        <v>1017</v>
      </c>
      <c r="AH197" s="60" t="s">
        <v>1017</v>
      </c>
      <c r="AI197" s="60" t="s">
        <v>1017</v>
      </c>
      <c r="AJ197" s="31" t="s">
        <v>1017</v>
      </c>
      <c r="AK197" s="31">
        <v>0</v>
      </c>
      <c r="AL197" s="31">
        <v>0</v>
      </c>
      <c r="AM197" s="61">
        <v>0</v>
      </c>
      <c r="AN197" s="62">
        <v>0</v>
      </c>
      <c r="AO197" s="62" t="s">
        <v>1017</v>
      </c>
      <c r="AP197" s="23" t="s">
        <v>187</v>
      </c>
      <c r="AQ197" s="23" t="s">
        <v>1854</v>
      </c>
    </row>
    <row r="198" spans="1:43">
      <c r="A198" s="36">
        <v>195</v>
      </c>
      <c r="B198" s="36">
        <v>111</v>
      </c>
      <c r="C198" s="570" t="str">
        <f t="shared" si="33"/>
        <v>目白カーサ二番館</v>
      </c>
      <c r="D198" s="45" t="s">
        <v>1865</v>
      </c>
      <c r="E198" s="46" t="s">
        <v>846</v>
      </c>
      <c r="F198" s="324">
        <v>634</v>
      </c>
      <c r="G198" s="566" t="str">
        <f t="shared" si="34"/>
        <v>駐車場</v>
      </c>
      <c r="H198" s="44" t="s">
        <v>1674</v>
      </c>
      <c r="I198" s="325">
        <v>83400</v>
      </c>
      <c r="J198" s="325">
        <v>0</v>
      </c>
      <c r="K198" s="325">
        <v>0</v>
      </c>
      <c r="L198" s="325">
        <v>8340</v>
      </c>
      <c r="M198" s="565">
        <f t="shared" si="41"/>
        <v>91740</v>
      </c>
      <c r="N198" s="326">
        <v>83400</v>
      </c>
      <c r="O198" s="326">
        <v>8340</v>
      </c>
      <c r="P198" s="565">
        <f t="shared" si="35"/>
        <v>91740</v>
      </c>
      <c r="Q198" s="565">
        <f t="shared" si="42"/>
        <v>91740</v>
      </c>
      <c r="R198" s="325" t="s">
        <v>1851</v>
      </c>
      <c r="S198" s="325" t="s">
        <v>187</v>
      </c>
      <c r="T198" s="327" t="s">
        <v>1284</v>
      </c>
      <c r="V198" s="43" t="s">
        <v>1866</v>
      </c>
      <c r="W198" s="55">
        <v>90072</v>
      </c>
      <c r="Y198" s="6">
        <f t="shared" si="36"/>
        <v>1</v>
      </c>
      <c r="Z198" s="562">
        <f t="shared" si="37"/>
        <v>83400</v>
      </c>
      <c r="AA198" s="122">
        <f t="shared" si="38"/>
        <v>0</v>
      </c>
      <c r="AB198" s="122">
        <f t="shared" si="39"/>
        <v>-6672</v>
      </c>
      <c r="AC198" s="6">
        <f t="shared" si="40"/>
        <v>0</v>
      </c>
      <c r="AD198" s="563">
        <f t="shared" si="43"/>
        <v>1</v>
      </c>
      <c r="AE198" s="64"/>
      <c r="AF198" s="31">
        <v>83400</v>
      </c>
      <c r="AG198" s="31">
        <v>0</v>
      </c>
      <c r="AH198" s="31">
        <v>0</v>
      </c>
      <c r="AI198" s="31">
        <v>8340</v>
      </c>
      <c r="AJ198" s="31">
        <v>91740</v>
      </c>
      <c r="AK198" s="31">
        <v>83400</v>
      </c>
      <c r="AL198" s="31">
        <v>8340</v>
      </c>
      <c r="AM198" s="56">
        <v>91740</v>
      </c>
      <c r="AN198" s="31">
        <v>91740</v>
      </c>
      <c r="AO198" s="31" t="s">
        <v>1851</v>
      </c>
      <c r="AP198" s="23" t="s">
        <v>187</v>
      </c>
      <c r="AQ198" s="23" t="s">
        <v>1284</v>
      </c>
    </row>
    <row r="199" spans="1:43">
      <c r="A199" s="36">
        <v>196</v>
      </c>
      <c r="B199" s="36">
        <v>111</v>
      </c>
      <c r="C199" s="570" t="str">
        <f t="shared" si="33"/>
        <v>目白カーサ二番館</v>
      </c>
      <c r="D199" s="45" t="s">
        <v>1867</v>
      </c>
      <c r="E199" s="46" t="s">
        <v>846</v>
      </c>
      <c r="F199" s="324">
        <v>634</v>
      </c>
      <c r="G199" s="566" t="str">
        <f t="shared" si="34"/>
        <v>駐車場</v>
      </c>
      <c r="H199" s="44" t="s">
        <v>1674</v>
      </c>
      <c r="I199" s="325">
        <v>20000</v>
      </c>
      <c r="J199" s="325">
        <v>0</v>
      </c>
      <c r="K199" s="325">
        <v>0</v>
      </c>
      <c r="L199" s="325">
        <v>2000</v>
      </c>
      <c r="M199" s="565">
        <f t="shared" si="41"/>
        <v>22000</v>
      </c>
      <c r="N199" s="326">
        <v>20000</v>
      </c>
      <c r="O199" s="326">
        <v>2000</v>
      </c>
      <c r="P199" s="565">
        <f t="shared" si="35"/>
        <v>22000</v>
      </c>
      <c r="Q199" s="565">
        <f t="shared" si="42"/>
        <v>22000</v>
      </c>
      <c r="R199" s="325" t="s">
        <v>1851</v>
      </c>
      <c r="S199" s="325" t="s">
        <v>187</v>
      </c>
      <c r="T199" s="327" t="s">
        <v>1284</v>
      </c>
      <c r="V199" s="43" t="s">
        <v>1868</v>
      </c>
      <c r="W199" s="55">
        <v>20571</v>
      </c>
      <c r="Y199" s="6">
        <f t="shared" si="36"/>
        <v>1</v>
      </c>
      <c r="Z199" s="562">
        <f t="shared" si="37"/>
        <v>20000</v>
      </c>
      <c r="AA199" s="122">
        <f t="shared" si="38"/>
        <v>0</v>
      </c>
      <c r="AB199" s="122">
        <f t="shared" si="39"/>
        <v>-571</v>
      </c>
      <c r="AC199" s="6">
        <f t="shared" si="40"/>
        <v>0</v>
      </c>
      <c r="AD199" s="563">
        <f t="shared" si="43"/>
        <v>1</v>
      </c>
      <c r="AE199" s="64"/>
      <c r="AF199" s="31">
        <v>20000</v>
      </c>
      <c r="AG199" s="31">
        <v>0</v>
      </c>
      <c r="AH199" s="31">
        <v>0</v>
      </c>
      <c r="AI199" s="31">
        <v>2000</v>
      </c>
      <c r="AJ199" s="31">
        <v>22000</v>
      </c>
      <c r="AK199" s="31">
        <v>20000</v>
      </c>
      <c r="AL199" s="31">
        <v>2000</v>
      </c>
      <c r="AM199" s="56">
        <v>22000</v>
      </c>
      <c r="AN199" s="31">
        <v>22000</v>
      </c>
      <c r="AO199" s="31" t="s">
        <v>1851</v>
      </c>
      <c r="AP199" s="23" t="s">
        <v>187</v>
      </c>
      <c r="AQ199" s="23" t="s">
        <v>1284</v>
      </c>
    </row>
    <row r="200" spans="1:43">
      <c r="A200" s="36">
        <v>197</v>
      </c>
      <c r="B200" s="36">
        <v>111</v>
      </c>
      <c r="C200" s="570" t="str">
        <f t="shared" si="33"/>
        <v>目白カーサ二番館</v>
      </c>
      <c r="D200" s="45" t="s">
        <v>1869</v>
      </c>
      <c r="E200" s="46">
        <v>0</v>
      </c>
      <c r="F200" s="324">
        <v>634</v>
      </c>
      <c r="G200" s="566" t="str">
        <f t="shared" si="34"/>
        <v>駐車場</v>
      </c>
      <c r="H200" s="44" t="s">
        <v>1674</v>
      </c>
      <c r="I200" s="325" t="s">
        <v>846</v>
      </c>
      <c r="J200" s="325" t="s">
        <v>846</v>
      </c>
      <c r="K200" s="325" t="s">
        <v>846</v>
      </c>
      <c r="L200" s="325" t="s">
        <v>846</v>
      </c>
      <c r="M200" s="565">
        <f t="shared" si="41"/>
        <v>0</v>
      </c>
      <c r="N200" s="325">
        <v>10000</v>
      </c>
      <c r="O200" s="326">
        <v>1000</v>
      </c>
      <c r="P200" s="565">
        <f t="shared" si="35"/>
        <v>11000</v>
      </c>
      <c r="Q200" s="565">
        <f t="shared" si="42"/>
        <v>11000</v>
      </c>
      <c r="R200" s="325" t="s">
        <v>1017</v>
      </c>
      <c r="S200" s="325" t="s">
        <v>1870</v>
      </c>
      <c r="T200" s="327" t="s">
        <v>1871</v>
      </c>
      <c r="V200" s="43" t="s">
        <v>1872</v>
      </c>
      <c r="W200" s="55">
        <v>0</v>
      </c>
      <c r="Y200" s="6">
        <f t="shared" si="36"/>
        <v>0</v>
      </c>
      <c r="Z200" s="562">
        <f t="shared" si="37"/>
        <v>10000</v>
      </c>
      <c r="AA200" s="122">
        <f t="shared" si="38"/>
        <v>0</v>
      </c>
      <c r="AB200" s="122">
        <f t="shared" si="39"/>
        <v>10000</v>
      </c>
      <c r="AC200" s="6">
        <f t="shared" si="40"/>
        <v>1</v>
      </c>
      <c r="AD200" s="563">
        <f t="shared" si="43"/>
        <v>0</v>
      </c>
      <c r="AE200" s="64"/>
      <c r="AF200" s="31" t="s">
        <v>1017</v>
      </c>
      <c r="AG200" s="31" t="s">
        <v>1017</v>
      </c>
      <c r="AH200" s="31" t="s">
        <v>1017</v>
      </c>
      <c r="AI200" s="31" t="s">
        <v>1017</v>
      </c>
      <c r="AJ200" s="31" t="s">
        <v>1017</v>
      </c>
      <c r="AK200" s="31">
        <v>0</v>
      </c>
      <c r="AL200" s="31">
        <v>0</v>
      </c>
      <c r="AM200" s="56">
        <v>0</v>
      </c>
      <c r="AN200" s="31">
        <v>0</v>
      </c>
      <c r="AO200" s="31" t="s">
        <v>1017</v>
      </c>
      <c r="AP200" s="23" t="s">
        <v>187</v>
      </c>
      <c r="AQ200" s="23" t="s">
        <v>1871</v>
      </c>
    </row>
    <row r="201" spans="1:43">
      <c r="A201" s="36">
        <v>198</v>
      </c>
      <c r="B201" s="36">
        <v>111</v>
      </c>
      <c r="C201" s="570" t="str">
        <f t="shared" si="33"/>
        <v>目白カーサ二番館</v>
      </c>
      <c r="D201" s="45" t="s">
        <v>1873</v>
      </c>
      <c r="E201" s="46">
        <v>0</v>
      </c>
      <c r="F201" s="324">
        <v>634</v>
      </c>
      <c r="G201" s="566" t="str">
        <f t="shared" si="34"/>
        <v>駐車場</v>
      </c>
      <c r="H201" s="44" t="s">
        <v>1674</v>
      </c>
      <c r="I201" s="325" t="s">
        <v>846</v>
      </c>
      <c r="J201" s="325" t="s">
        <v>846</v>
      </c>
      <c r="K201" s="325" t="s">
        <v>846</v>
      </c>
      <c r="L201" s="325" t="s">
        <v>846</v>
      </c>
      <c r="M201" s="565">
        <f t="shared" si="41"/>
        <v>0</v>
      </c>
      <c r="N201" s="325">
        <v>10000</v>
      </c>
      <c r="O201" s="326">
        <v>1000</v>
      </c>
      <c r="P201" s="565">
        <f t="shared" si="35"/>
        <v>11000</v>
      </c>
      <c r="Q201" s="565">
        <f t="shared" si="42"/>
        <v>11000</v>
      </c>
      <c r="R201" s="325" t="s">
        <v>1017</v>
      </c>
      <c r="S201" s="325" t="s">
        <v>1870</v>
      </c>
      <c r="T201" s="327" t="s">
        <v>1871</v>
      </c>
      <c r="V201" s="43" t="s">
        <v>1874</v>
      </c>
      <c r="W201" s="55">
        <v>0</v>
      </c>
      <c r="Y201" s="6">
        <f t="shared" si="36"/>
        <v>0</v>
      </c>
      <c r="Z201" s="562">
        <f t="shared" si="37"/>
        <v>10000</v>
      </c>
      <c r="AA201" s="122">
        <f t="shared" si="38"/>
        <v>0</v>
      </c>
      <c r="AB201" s="122">
        <f t="shared" si="39"/>
        <v>10000</v>
      </c>
      <c r="AC201" s="6">
        <f t="shared" si="40"/>
        <v>1</v>
      </c>
      <c r="AD201" s="563">
        <f t="shared" si="43"/>
        <v>0</v>
      </c>
      <c r="AE201" s="64"/>
      <c r="AF201" s="31" t="s">
        <v>1017</v>
      </c>
      <c r="AG201" s="31" t="s">
        <v>1017</v>
      </c>
      <c r="AH201" s="31" t="s">
        <v>1017</v>
      </c>
      <c r="AI201" s="31" t="s">
        <v>1017</v>
      </c>
      <c r="AJ201" s="31" t="s">
        <v>1017</v>
      </c>
      <c r="AK201" s="31">
        <v>0</v>
      </c>
      <c r="AL201" s="31">
        <v>0</v>
      </c>
      <c r="AM201" s="56">
        <v>0</v>
      </c>
      <c r="AN201" s="31">
        <v>0</v>
      </c>
      <c r="AO201" s="31" t="s">
        <v>1017</v>
      </c>
      <c r="AP201" s="23" t="s">
        <v>187</v>
      </c>
      <c r="AQ201" s="23" t="s">
        <v>1871</v>
      </c>
    </row>
    <row r="202" spans="1:43">
      <c r="A202" s="36">
        <v>199</v>
      </c>
      <c r="B202" s="36">
        <v>111</v>
      </c>
      <c r="C202" s="570" t="str">
        <f t="shared" si="33"/>
        <v>目白カーサ二番館</v>
      </c>
      <c r="D202" s="45" t="s">
        <v>1875</v>
      </c>
      <c r="E202" s="46">
        <v>0</v>
      </c>
      <c r="F202" s="324">
        <v>634</v>
      </c>
      <c r="G202" s="566" t="str">
        <f t="shared" si="34"/>
        <v>駐車場</v>
      </c>
      <c r="H202" s="44" t="s">
        <v>1674</v>
      </c>
      <c r="I202" s="325" t="s">
        <v>846</v>
      </c>
      <c r="J202" s="325" t="s">
        <v>846</v>
      </c>
      <c r="K202" s="325" t="s">
        <v>846</v>
      </c>
      <c r="L202" s="325" t="s">
        <v>846</v>
      </c>
      <c r="M202" s="565">
        <f t="shared" si="41"/>
        <v>0</v>
      </c>
      <c r="N202" s="325">
        <v>10000</v>
      </c>
      <c r="O202" s="326">
        <v>1000</v>
      </c>
      <c r="P202" s="565">
        <f t="shared" si="35"/>
        <v>11000</v>
      </c>
      <c r="Q202" s="565">
        <f t="shared" si="42"/>
        <v>11000</v>
      </c>
      <c r="R202" s="325" t="s">
        <v>1017</v>
      </c>
      <c r="S202" s="325" t="s">
        <v>1870</v>
      </c>
      <c r="T202" s="327" t="s">
        <v>1871</v>
      </c>
      <c r="V202" s="43" t="s">
        <v>1876</v>
      </c>
      <c r="W202" s="55">
        <v>0</v>
      </c>
      <c r="Y202" s="6">
        <f t="shared" si="36"/>
        <v>0</v>
      </c>
      <c r="Z202" s="562">
        <f t="shared" si="37"/>
        <v>10000</v>
      </c>
      <c r="AA202" s="122">
        <f t="shared" si="38"/>
        <v>0</v>
      </c>
      <c r="AB202" s="122">
        <f t="shared" si="39"/>
        <v>10000</v>
      </c>
      <c r="AC202" s="6">
        <f t="shared" si="40"/>
        <v>1</v>
      </c>
      <c r="AD202" s="563">
        <f t="shared" si="43"/>
        <v>0</v>
      </c>
      <c r="AE202" s="64"/>
      <c r="AF202" s="31" t="s">
        <v>1017</v>
      </c>
      <c r="AG202" s="31" t="s">
        <v>1017</v>
      </c>
      <c r="AH202" s="31" t="s">
        <v>1017</v>
      </c>
      <c r="AI202" s="31" t="s">
        <v>1017</v>
      </c>
      <c r="AJ202" s="31" t="s">
        <v>1017</v>
      </c>
      <c r="AK202" s="31">
        <v>0</v>
      </c>
      <c r="AL202" s="31">
        <v>0</v>
      </c>
      <c r="AM202" s="56">
        <v>0</v>
      </c>
      <c r="AN202" s="31">
        <v>0</v>
      </c>
      <c r="AO202" s="31" t="s">
        <v>1017</v>
      </c>
      <c r="AP202" s="23" t="s">
        <v>187</v>
      </c>
      <c r="AQ202" s="23" t="s">
        <v>1871</v>
      </c>
    </row>
    <row r="203" spans="1:43">
      <c r="A203" s="36">
        <v>200</v>
      </c>
      <c r="B203" s="36">
        <v>111</v>
      </c>
      <c r="C203" s="570" t="str">
        <f t="shared" si="33"/>
        <v>目白カーサ二番館</v>
      </c>
      <c r="D203" s="45" t="s">
        <v>1877</v>
      </c>
      <c r="E203" s="46">
        <v>0</v>
      </c>
      <c r="F203" s="324">
        <v>634</v>
      </c>
      <c r="G203" s="566" t="str">
        <f t="shared" si="34"/>
        <v>駐車場</v>
      </c>
      <c r="H203" s="44" t="s">
        <v>1674</v>
      </c>
      <c r="I203" s="325" t="s">
        <v>846</v>
      </c>
      <c r="J203" s="325" t="s">
        <v>846</v>
      </c>
      <c r="K203" s="325" t="s">
        <v>846</v>
      </c>
      <c r="L203" s="325" t="s">
        <v>846</v>
      </c>
      <c r="M203" s="565">
        <f t="shared" si="41"/>
        <v>0</v>
      </c>
      <c r="N203" s="325">
        <v>10000</v>
      </c>
      <c r="O203" s="326">
        <v>1000</v>
      </c>
      <c r="P203" s="565">
        <f t="shared" si="35"/>
        <v>11000</v>
      </c>
      <c r="Q203" s="565">
        <f t="shared" si="42"/>
        <v>11000</v>
      </c>
      <c r="R203" s="325" t="s">
        <v>1017</v>
      </c>
      <c r="S203" s="325" t="s">
        <v>1870</v>
      </c>
      <c r="T203" s="327" t="s">
        <v>1871</v>
      </c>
      <c r="V203" s="43" t="s">
        <v>1878</v>
      </c>
      <c r="W203" s="55">
        <v>0</v>
      </c>
      <c r="Y203" s="6">
        <f t="shared" si="36"/>
        <v>0</v>
      </c>
      <c r="Z203" s="562">
        <f t="shared" si="37"/>
        <v>10000</v>
      </c>
      <c r="AA203" s="122">
        <f t="shared" si="38"/>
        <v>0</v>
      </c>
      <c r="AB203" s="122">
        <f t="shared" si="39"/>
        <v>10000</v>
      </c>
      <c r="AC203" s="6">
        <f t="shared" si="40"/>
        <v>1</v>
      </c>
      <c r="AD203" s="563">
        <f t="shared" si="43"/>
        <v>0</v>
      </c>
      <c r="AE203" s="64"/>
      <c r="AF203" s="31" t="s">
        <v>1017</v>
      </c>
      <c r="AG203" s="31" t="s">
        <v>1017</v>
      </c>
      <c r="AH203" s="31" t="s">
        <v>1017</v>
      </c>
      <c r="AI203" s="31" t="s">
        <v>1017</v>
      </c>
      <c r="AJ203" s="31" t="s">
        <v>1017</v>
      </c>
      <c r="AK203" s="31">
        <v>0</v>
      </c>
      <c r="AL203" s="31">
        <v>0</v>
      </c>
      <c r="AM203" s="56">
        <v>0</v>
      </c>
      <c r="AN203" s="31">
        <v>0</v>
      </c>
      <c r="AO203" s="31" t="s">
        <v>1017</v>
      </c>
      <c r="AP203" s="23" t="s">
        <v>187</v>
      </c>
      <c r="AQ203" s="23" t="s">
        <v>1871</v>
      </c>
    </row>
    <row r="204" spans="1:43">
      <c r="A204" s="36">
        <v>201</v>
      </c>
      <c r="B204" s="36">
        <v>111</v>
      </c>
      <c r="C204" s="570" t="str">
        <f t="shared" si="33"/>
        <v>目白カーサ二番館</v>
      </c>
      <c r="D204" s="45" t="s">
        <v>1879</v>
      </c>
      <c r="E204" s="46">
        <v>0</v>
      </c>
      <c r="F204" s="324">
        <v>634</v>
      </c>
      <c r="G204" s="566" t="str">
        <f t="shared" si="34"/>
        <v>駐車場</v>
      </c>
      <c r="H204" s="44" t="s">
        <v>1674</v>
      </c>
      <c r="I204" s="325" t="s">
        <v>846</v>
      </c>
      <c r="J204" s="325" t="s">
        <v>846</v>
      </c>
      <c r="K204" s="325" t="s">
        <v>846</v>
      </c>
      <c r="L204" s="325" t="s">
        <v>846</v>
      </c>
      <c r="M204" s="565">
        <f t="shared" si="41"/>
        <v>0</v>
      </c>
      <c r="N204" s="325">
        <v>10000</v>
      </c>
      <c r="O204" s="326">
        <v>1000</v>
      </c>
      <c r="P204" s="565">
        <f t="shared" si="35"/>
        <v>11000</v>
      </c>
      <c r="Q204" s="565">
        <f t="shared" si="42"/>
        <v>11000</v>
      </c>
      <c r="R204" s="325" t="s">
        <v>1017</v>
      </c>
      <c r="S204" s="325" t="s">
        <v>1870</v>
      </c>
      <c r="T204" s="327" t="s">
        <v>1871</v>
      </c>
      <c r="V204" s="43" t="s">
        <v>1880</v>
      </c>
      <c r="W204" s="55">
        <v>0</v>
      </c>
      <c r="Y204" s="6">
        <f t="shared" si="36"/>
        <v>0</v>
      </c>
      <c r="Z204" s="562">
        <f t="shared" si="37"/>
        <v>10000</v>
      </c>
      <c r="AA204" s="122">
        <f t="shared" si="38"/>
        <v>0</v>
      </c>
      <c r="AB204" s="122">
        <f t="shared" si="39"/>
        <v>10000</v>
      </c>
      <c r="AC204" s="6">
        <f t="shared" si="40"/>
        <v>1</v>
      </c>
      <c r="AD204" s="563">
        <f t="shared" si="43"/>
        <v>0</v>
      </c>
      <c r="AE204" s="64"/>
      <c r="AF204" s="31" t="s">
        <v>1017</v>
      </c>
      <c r="AG204" s="31" t="s">
        <v>1017</v>
      </c>
      <c r="AH204" s="31" t="s">
        <v>1017</v>
      </c>
      <c r="AI204" s="31" t="s">
        <v>1017</v>
      </c>
      <c r="AJ204" s="31" t="s">
        <v>1017</v>
      </c>
      <c r="AK204" s="31">
        <v>0</v>
      </c>
      <c r="AL204" s="31">
        <v>0</v>
      </c>
      <c r="AM204" s="56">
        <v>0</v>
      </c>
      <c r="AN204" s="31">
        <v>0</v>
      </c>
      <c r="AO204" s="31" t="s">
        <v>1017</v>
      </c>
      <c r="AP204" s="23" t="s">
        <v>187</v>
      </c>
      <c r="AQ204" s="23" t="s">
        <v>1871</v>
      </c>
    </row>
    <row r="205" spans="1:43">
      <c r="A205" s="36">
        <v>202</v>
      </c>
      <c r="B205" s="36">
        <v>111</v>
      </c>
      <c r="C205" s="570" t="str">
        <f t="shared" si="33"/>
        <v>目白カーサ二番館</v>
      </c>
      <c r="D205" s="45" t="s">
        <v>1881</v>
      </c>
      <c r="E205" s="46">
        <v>0</v>
      </c>
      <c r="F205" s="324">
        <v>634</v>
      </c>
      <c r="G205" s="566" t="str">
        <f t="shared" si="34"/>
        <v>駐車場</v>
      </c>
      <c r="H205" s="44" t="s">
        <v>1674</v>
      </c>
      <c r="I205" s="325" t="s">
        <v>846</v>
      </c>
      <c r="J205" s="325" t="s">
        <v>846</v>
      </c>
      <c r="K205" s="325" t="s">
        <v>846</v>
      </c>
      <c r="L205" s="325" t="s">
        <v>846</v>
      </c>
      <c r="M205" s="565">
        <f t="shared" si="41"/>
        <v>0</v>
      </c>
      <c r="N205" s="325">
        <v>10000</v>
      </c>
      <c r="O205" s="326">
        <v>1000</v>
      </c>
      <c r="P205" s="565">
        <f t="shared" si="35"/>
        <v>11000</v>
      </c>
      <c r="Q205" s="565">
        <f t="shared" si="42"/>
        <v>11000</v>
      </c>
      <c r="R205" s="325" t="s">
        <v>1017</v>
      </c>
      <c r="S205" s="325" t="s">
        <v>1870</v>
      </c>
      <c r="T205" s="327" t="s">
        <v>1871</v>
      </c>
      <c r="V205" s="43" t="s">
        <v>1882</v>
      </c>
      <c r="W205" s="55">
        <v>0</v>
      </c>
      <c r="Y205" s="6">
        <f t="shared" si="36"/>
        <v>0</v>
      </c>
      <c r="Z205" s="562">
        <f t="shared" si="37"/>
        <v>10000</v>
      </c>
      <c r="AA205" s="122">
        <f t="shared" si="38"/>
        <v>0</v>
      </c>
      <c r="AB205" s="122">
        <f t="shared" si="39"/>
        <v>10000</v>
      </c>
      <c r="AC205" s="6">
        <f t="shared" si="40"/>
        <v>1</v>
      </c>
      <c r="AD205" s="563">
        <f t="shared" si="43"/>
        <v>0</v>
      </c>
      <c r="AE205" s="64"/>
      <c r="AF205" s="31" t="s">
        <v>1017</v>
      </c>
      <c r="AG205" s="31" t="s">
        <v>1017</v>
      </c>
      <c r="AH205" s="31" t="s">
        <v>1017</v>
      </c>
      <c r="AI205" s="31" t="s">
        <v>1017</v>
      </c>
      <c r="AJ205" s="31" t="s">
        <v>1017</v>
      </c>
      <c r="AK205" s="31">
        <v>0</v>
      </c>
      <c r="AL205" s="31">
        <v>0</v>
      </c>
      <c r="AM205" s="56">
        <v>0</v>
      </c>
      <c r="AN205" s="31">
        <v>0</v>
      </c>
      <c r="AO205" s="31" t="s">
        <v>1017</v>
      </c>
      <c r="AP205" s="23" t="s">
        <v>187</v>
      </c>
      <c r="AQ205" s="23" t="s">
        <v>1871</v>
      </c>
    </row>
    <row r="206" spans="1:43">
      <c r="A206" s="36">
        <v>203</v>
      </c>
      <c r="B206" s="36">
        <v>111</v>
      </c>
      <c r="C206" s="570" t="str">
        <f t="shared" si="33"/>
        <v>目白カーサ二番館</v>
      </c>
      <c r="D206" s="45" t="s">
        <v>1883</v>
      </c>
      <c r="E206" s="46">
        <v>0</v>
      </c>
      <c r="F206" s="324">
        <v>634</v>
      </c>
      <c r="G206" s="566" t="str">
        <f t="shared" si="34"/>
        <v>駐車場</v>
      </c>
      <c r="H206" s="44" t="s">
        <v>1674</v>
      </c>
      <c r="I206" s="325" t="s">
        <v>846</v>
      </c>
      <c r="J206" s="325" t="s">
        <v>846</v>
      </c>
      <c r="K206" s="325" t="s">
        <v>846</v>
      </c>
      <c r="L206" s="325" t="s">
        <v>846</v>
      </c>
      <c r="M206" s="565">
        <f t="shared" si="41"/>
        <v>0</v>
      </c>
      <c r="N206" s="325">
        <v>5000</v>
      </c>
      <c r="O206" s="326">
        <v>500</v>
      </c>
      <c r="P206" s="565">
        <f t="shared" si="35"/>
        <v>5500</v>
      </c>
      <c r="Q206" s="565">
        <f t="shared" si="42"/>
        <v>5500</v>
      </c>
      <c r="R206" s="325" t="s">
        <v>1017</v>
      </c>
      <c r="S206" s="325" t="s">
        <v>1870</v>
      </c>
      <c r="T206" s="327" t="s">
        <v>1884</v>
      </c>
      <c r="V206" s="43" t="s">
        <v>1885</v>
      </c>
      <c r="W206" s="55">
        <v>0</v>
      </c>
      <c r="Y206" s="6">
        <f t="shared" si="36"/>
        <v>0</v>
      </c>
      <c r="Z206" s="562">
        <f t="shared" si="37"/>
        <v>5000</v>
      </c>
      <c r="AA206" s="122">
        <f t="shared" si="38"/>
        <v>0</v>
      </c>
      <c r="AB206" s="122">
        <f t="shared" si="39"/>
        <v>5000</v>
      </c>
      <c r="AC206" s="6">
        <f t="shared" si="40"/>
        <v>1</v>
      </c>
      <c r="AD206" s="563">
        <f t="shared" si="43"/>
        <v>0</v>
      </c>
      <c r="AE206" s="64"/>
      <c r="AF206" s="31" t="s">
        <v>1017</v>
      </c>
      <c r="AG206" s="31" t="s">
        <v>1017</v>
      </c>
      <c r="AH206" s="31" t="s">
        <v>1017</v>
      </c>
      <c r="AI206" s="31" t="s">
        <v>1017</v>
      </c>
      <c r="AJ206" s="31" t="s">
        <v>1017</v>
      </c>
      <c r="AK206" s="31">
        <v>0</v>
      </c>
      <c r="AL206" s="31">
        <v>0</v>
      </c>
      <c r="AM206" s="56">
        <v>0</v>
      </c>
      <c r="AN206" s="31">
        <v>0</v>
      </c>
      <c r="AO206" s="31" t="s">
        <v>1017</v>
      </c>
      <c r="AP206" s="23" t="s">
        <v>187</v>
      </c>
      <c r="AQ206" s="23" t="s">
        <v>1884</v>
      </c>
    </row>
    <row r="207" spans="1:43">
      <c r="A207" s="36">
        <v>204</v>
      </c>
      <c r="B207" s="36">
        <v>111</v>
      </c>
      <c r="C207" s="570" t="str">
        <f t="shared" si="33"/>
        <v>目白カーサ二番館</v>
      </c>
      <c r="D207" s="45" t="s">
        <v>1886</v>
      </c>
      <c r="E207" s="46">
        <v>0</v>
      </c>
      <c r="F207" s="324">
        <v>634</v>
      </c>
      <c r="G207" s="566" t="str">
        <f t="shared" si="34"/>
        <v>駐車場</v>
      </c>
      <c r="H207" s="44" t="s">
        <v>1674</v>
      </c>
      <c r="I207" s="325" t="s">
        <v>846</v>
      </c>
      <c r="J207" s="325" t="s">
        <v>846</v>
      </c>
      <c r="K207" s="325" t="s">
        <v>846</v>
      </c>
      <c r="L207" s="325" t="s">
        <v>846</v>
      </c>
      <c r="M207" s="565">
        <f t="shared" si="41"/>
        <v>0</v>
      </c>
      <c r="N207" s="325">
        <v>5000</v>
      </c>
      <c r="O207" s="326">
        <v>500</v>
      </c>
      <c r="P207" s="565">
        <f t="shared" si="35"/>
        <v>5500</v>
      </c>
      <c r="Q207" s="565">
        <f t="shared" si="42"/>
        <v>5500</v>
      </c>
      <c r="R207" s="325" t="s">
        <v>1017</v>
      </c>
      <c r="S207" s="325" t="s">
        <v>1870</v>
      </c>
      <c r="T207" s="327" t="s">
        <v>1884</v>
      </c>
      <c r="V207" s="43" t="s">
        <v>1887</v>
      </c>
      <c r="W207" s="55">
        <v>0</v>
      </c>
      <c r="Y207" s="6">
        <f t="shared" si="36"/>
        <v>0</v>
      </c>
      <c r="Z207" s="562">
        <f t="shared" si="37"/>
        <v>5000</v>
      </c>
      <c r="AA207" s="122">
        <f t="shared" si="38"/>
        <v>0</v>
      </c>
      <c r="AB207" s="122">
        <f t="shared" si="39"/>
        <v>5000</v>
      </c>
      <c r="AC207" s="6">
        <f t="shared" si="40"/>
        <v>1</v>
      </c>
      <c r="AD207" s="563">
        <f t="shared" si="43"/>
        <v>0</v>
      </c>
      <c r="AE207" s="64"/>
      <c r="AF207" s="31" t="s">
        <v>1017</v>
      </c>
      <c r="AG207" s="31" t="s">
        <v>1017</v>
      </c>
      <c r="AH207" s="31" t="s">
        <v>1017</v>
      </c>
      <c r="AI207" s="31" t="s">
        <v>1017</v>
      </c>
      <c r="AJ207" s="31" t="s">
        <v>1017</v>
      </c>
      <c r="AK207" s="31">
        <v>0</v>
      </c>
      <c r="AL207" s="31">
        <v>0</v>
      </c>
      <c r="AM207" s="56">
        <v>0</v>
      </c>
      <c r="AN207" s="31">
        <v>0</v>
      </c>
      <c r="AO207" s="31" t="s">
        <v>1017</v>
      </c>
      <c r="AP207" s="23" t="s">
        <v>187</v>
      </c>
      <c r="AQ207" s="23" t="s">
        <v>1884</v>
      </c>
    </row>
    <row r="208" spans="1:43">
      <c r="A208" s="36">
        <v>205</v>
      </c>
      <c r="B208" s="36">
        <v>111</v>
      </c>
      <c r="C208" s="570" t="str">
        <f t="shared" si="33"/>
        <v>目白カーサ二番館</v>
      </c>
      <c r="D208" s="45" t="s">
        <v>1888</v>
      </c>
      <c r="E208" s="46">
        <v>0</v>
      </c>
      <c r="F208" s="324">
        <v>634</v>
      </c>
      <c r="G208" s="566" t="str">
        <f t="shared" si="34"/>
        <v>駐車場</v>
      </c>
      <c r="H208" s="44" t="s">
        <v>1674</v>
      </c>
      <c r="I208" s="325" t="s">
        <v>846</v>
      </c>
      <c r="J208" s="325" t="s">
        <v>846</v>
      </c>
      <c r="K208" s="325" t="s">
        <v>846</v>
      </c>
      <c r="L208" s="325" t="s">
        <v>846</v>
      </c>
      <c r="M208" s="565">
        <f t="shared" si="41"/>
        <v>0</v>
      </c>
      <c r="N208" s="325">
        <v>5000</v>
      </c>
      <c r="O208" s="326">
        <v>500</v>
      </c>
      <c r="P208" s="565">
        <f t="shared" si="35"/>
        <v>5500</v>
      </c>
      <c r="Q208" s="565">
        <f t="shared" si="42"/>
        <v>5500</v>
      </c>
      <c r="R208" s="325" t="s">
        <v>1017</v>
      </c>
      <c r="S208" s="325" t="s">
        <v>1870</v>
      </c>
      <c r="T208" s="327" t="s">
        <v>1884</v>
      </c>
      <c r="V208" s="43" t="s">
        <v>1889</v>
      </c>
      <c r="W208" s="55">
        <v>0</v>
      </c>
      <c r="Y208" s="6">
        <f t="shared" si="36"/>
        <v>0</v>
      </c>
      <c r="Z208" s="562">
        <f t="shared" si="37"/>
        <v>5000</v>
      </c>
      <c r="AA208" s="122">
        <f t="shared" si="38"/>
        <v>0</v>
      </c>
      <c r="AB208" s="122">
        <f t="shared" si="39"/>
        <v>5000</v>
      </c>
      <c r="AC208" s="6">
        <f t="shared" si="40"/>
        <v>1</v>
      </c>
      <c r="AD208" s="563">
        <f t="shared" si="43"/>
        <v>0</v>
      </c>
      <c r="AE208" s="64"/>
      <c r="AF208" s="31" t="s">
        <v>1017</v>
      </c>
      <c r="AG208" s="31" t="s">
        <v>1017</v>
      </c>
      <c r="AH208" s="31" t="s">
        <v>1017</v>
      </c>
      <c r="AI208" s="31" t="s">
        <v>1017</v>
      </c>
      <c r="AJ208" s="31" t="s">
        <v>1017</v>
      </c>
      <c r="AK208" s="31">
        <v>0</v>
      </c>
      <c r="AL208" s="31">
        <v>0</v>
      </c>
      <c r="AM208" s="56">
        <v>0</v>
      </c>
      <c r="AN208" s="31">
        <v>0</v>
      </c>
      <c r="AO208" s="31" t="s">
        <v>1017</v>
      </c>
      <c r="AP208" s="23" t="s">
        <v>187</v>
      </c>
      <c r="AQ208" s="23" t="s">
        <v>1884</v>
      </c>
    </row>
    <row r="209" spans="1:43">
      <c r="A209" s="36">
        <v>206</v>
      </c>
      <c r="B209" s="36">
        <v>111</v>
      </c>
      <c r="C209" s="570" t="str">
        <f t="shared" si="33"/>
        <v>目白カーサ二番館</v>
      </c>
      <c r="D209" s="45" t="s">
        <v>1890</v>
      </c>
      <c r="E209" s="46">
        <v>0</v>
      </c>
      <c r="F209" s="324">
        <v>634</v>
      </c>
      <c r="G209" s="566" t="str">
        <f t="shared" si="34"/>
        <v>駐車場</v>
      </c>
      <c r="H209" s="44" t="s">
        <v>1674</v>
      </c>
      <c r="I209" s="325" t="s">
        <v>846</v>
      </c>
      <c r="J209" s="325" t="s">
        <v>846</v>
      </c>
      <c r="K209" s="325" t="s">
        <v>846</v>
      </c>
      <c r="L209" s="325" t="s">
        <v>846</v>
      </c>
      <c r="M209" s="565">
        <f t="shared" si="41"/>
        <v>0</v>
      </c>
      <c r="N209" s="325">
        <v>5000</v>
      </c>
      <c r="O209" s="326">
        <v>500</v>
      </c>
      <c r="P209" s="565">
        <f t="shared" si="35"/>
        <v>5500</v>
      </c>
      <c r="Q209" s="565">
        <f t="shared" si="42"/>
        <v>5500</v>
      </c>
      <c r="R209" s="325" t="s">
        <v>1017</v>
      </c>
      <c r="S209" s="325" t="s">
        <v>1870</v>
      </c>
      <c r="T209" s="327" t="s">
        <v>1884</v>
      </c>
      <c r="V209" s="43" t="s">
        <v>1891</v>
      </c>
      <c r="W209" s="55">
        <v>0</v>
      </c>
      <c r="Y209" s="6">
        <f t="shared" si="36"/>
        <v>0</v>
      </c>
      <c r="Z209" s="562">
        <f t="shared" si="37"/>
        <v>5000</v>
      </c>
      <c r="AA209" s="122">
        <f t="shared" si="38"/>
        <v>0</v>
      </c>
      <c r="AB209" s="122">
        <f t="shared" si="39"/>
        <v>5000</v>
      </c>
      <c r="AC209" s="6">
        <f t="shared" si="40"/>
        <v>1</v>
      </c>
      <c r="AD209" s="563">
        <f t="shared" si="43"/>
        <v>0</v>
      </c>
      <c r="AE209" s="64"/>
      <c r="AF209" s="31" t="s">
        <v>1017</v>
      </c>
      <c r="AG209" s="31" t="s">
        <v>1017</v>
      </c>
      <c r="AH209" s="31" t="s">
        <v>1017</v>
      </c>
      <c r="AI209" s="31" t="s">
        <v>1017</v>
      </c>
      <c r="AJ209" s="31" t="s">
        <v>1017</v>
      </c>
      <c r="AK209" s="31">
        <v>0</v>
      </c>
      <c r="AL209" s="31">
        <v>0</v>
      </c>
      <c r="AM209" s="56">
        <v>0</v>
      </c>
      <c r="AN209" s="31">
        <v>0</v>
      </c>
      <c r="AO209" s="31" t="s">
        <v>1017</v>
      </c>
      <c r="AP209" s="23" t="s">
        <v>187</v>
      </c>
      <c r="AQ209" s="23" t="s">
        <v>1884</v>
      </c>
    </row>
    <row r="210" spans="1:43">
      <c r="A210" s="36">
        <v>207</v>
      </c>
      <c r="B210" s="36">
        <v>111</v>
      </c>
      <c r="C210" s="570" t="str">
        <f t="shared" si="33"/>
        <v>目白カーサ二番館</v>
      </c>
      <c r="D210" s="45" t="s">
        <v>1892</v>
      </c>
      <c r="E210" s="46">
        <v>0</v>
      </c>
      <c r="F210" s="324">
        <v>634</v>
      </c>
      <c r="G210" s="566" t="str">
        <f t="shared" si="34"/>
        <v>駐車場</v>
      </c>
      <c r="H210" s="44" t="s">
        <v>1674</v>
      </c>
      <c r="I210" s="325" t="s">
        <v>846</v>
      </c>
      <c r="J210" s="325" t="s">
        <v>846</v>
      </c>
      <c r="K210" s="325" t="s">
        <v>846</v>
      </c>
      <c r="L210" s="325" t="s">
        <v>846</v>
      </c>
      <c r="M210" s="565">
        <f t="shared" si="41"/>
        <v>0</v>
      </c>
      <c r="N210" s="325">
        <v>5000</v>
      </c>
      <c r="O210" s="326">
        <v>500</v>
      </c>
      <c r="P210" s="565">
        <f t="shared" si="35"/>
        <v>5500</v>
      </c>
      <c r="Q210" s="565">
        <f t="shared" si="42"/>
        <v>5500</v>
      </c>
      <c r="R210" s="325" t="s">
        <v>1017</v>
      </c>
      <c r="S210" s="325" t="s">
        <v>1870</v>
      </c>
      <c r="T210" s="327" t="s">
        <v>1884</v>
      </c>
      <c r="V210" s="43" t="s">
        <v>1893</v>
      </c>
      <c r="W210" s="55">
        <v>0</v>
      </c>
      <c r="Y210" s="6">
        <f t="shared" si="36"/>
        <v>0</v>
      </c>
      <c r="Z210" s="562">
        <f t="shared" si="37"/>
        <v>5000</v>
      </c>
      <c r="AA210" s="122">
        <f t="shared" si="38"/>
        <v>0</v>
      </c>
      <c r="AB210" s="122">
        <f t="shared" si="39"/>
        <v>5000</v>
      </c>
      <c r="AC210" s="6">
        <f t="shared" si="40"/>
        <v>1</v>
      </c>
      <c r="AD210" s="563">
        <f t="shared" si="43"/>
        <v>0</v>
      </c>
      <c r="AE210" s="64"/>
      <c r="AF210" s="31" t="s">
        <v>1017</v>
      </c>
      <c r="AG210" s="31" t="s">
        <v>1017</v>
      </c>
      <c r="AH210" s="31" t="s">
        <v>1017</v>
      </c>
      <c r="AI210" s="31" t="s">
        <v>1017</v>
      </c>
      <c r="AJ210" s="31" t="s">
        <v>1017</v>
      </c>
      <c r="AK210" s="31">
        <v>0</v>
      </c>
      <c r="AL210" s="31">
        <v>0</v>
      </c>
      <c r="AM210" s="56">
        <v>0</v>
      </c>
      <c r="AN210" s="31">
        <v>0</v>
      </c>
      <c r="AO210" s="31" t="s">
        <v>1017</v>
      </c>
      <c r="AP210" s="23" t="s">
        <v>187</v>
      </c>
      <c r="AQ210" s="23" t="s">
        <v>1884</v>
      </c>
    </row>
    <row r="211" spans="1:43">
      <c r="A211" s="37">
        <v>208</v>
      </c>
      <c r="B211" s="37">
        <v>112</v>
      </c>
      <c r="C211" s="575" t="str">
        <f t="shared" si="33"/>
        <v>豊島目白ビル</v>
      </c>
      <c r="D211" s="45" t="s">
        <v>1566</v>
      </c>
      <c r="E211" s="46">
        <v>491.32</v>
      </c>
      <c r="F211" s="324">
        <v>632</v>
      </c>
      <c r="G211" s="566" t="str">
        <f t="shared" si="34"/>
        <v>事務所</v>
      </c>
      <c r="H211" s="44" t="s">
        <v>1616</v>
      </c>
      <c r="I211" s="325">
        <v>2300000</v>
      </c>
      <c r="J211" s="325">
        <v>0</v>
      </c>
      <c r="K211" s="325">
        <v>0</v>
      </c>
      <c r="L211" s="325">
        <v>230000</v>
      </c>
      <c r="M211" s="565">
        <f t="shared" si="41"/>
        <v>2530000</v>
      </c>
      <c r="N211" s="326">
        <v>2300000</v>
      </c>
      <c r="O211" s="326">
        <v>230000</v>
      </c>
      <c r="P211" s="565">
        <f t="shared" si="35"/>
        <v>2530000</v>
      </c>
      <c r="Q211" s="565">
        <f t="shared" si="42"/>
        <v>2530000</v>
      </c>
      <c r="R211" s="325" t="s">
        <v>1575</v>
      </c>
      <c r="S211" s="325" t="s">
        <v>187</v>
      </c>
      <c r="T211" s="327" t="s">
        <v>1284</v>
      </c>
      <c r="V211" s="43" t="s">
        <v>1894</v>
      </c>
      <c r="W211" s="55">
        <v>2500000</v>
      </c>
      <c r="Y211" s="6">
        <f t="shared" si="36"/>
        <v>1</v>
      </c>
      <c r="Z211" s="562">
        <f t="shared" si="37"/>
        <v>2300000</v>
      </c>
      <c r="AA211" s="122">
        <f t="shared" si="38"/>
        <v>0</v>
      </c>
      <c r="AB211" s="122">
        <f t="shared" si="39"/>
        <v>-200000</v>
      </c>
      <c r="AC211" s="6">
        <f t="shared" si="40"/>
        <v>1</v>
      </c>
      <c r="AD211" s="563">
        <f t="shared" si="43"/>
        <v>1</v>
      </c>
      <c r="AE211" s="64"/>
      <c r="AF211" s="31">
        <v>2300000</v>
      </c>
      <c r="AG211" s="31">
        <v>0</v>
      </c>
      <c r="AH211" s="31">
        <v>0</v>
      </c>
      <c r="AI211" s="31">
        <v>230000</v>
      </c>
      <c r="AJ211" s="31">
        <v>2530000</v>
      </c>
      <c r="AK211" s="31">
        <v>2300000</v>
      </c>
      <c r="AL211" s="31">
        <v>230000</v>
      </c>
      <c r="AM211" s="56">
        <v>2530000</v>
      </c>
      <c r="AN211" s="31">
        <v>2530000</v>
      </c>
      <c r="AO211" s="31" t="s">
        <v>1575</v>
      </c>
      <c r="AP211" s="23" t="s">
        <v>187</v>
      </c>
      <c r="AQ211" s="23" t="s">
        <v>1284</v>
      </c>
    </row>
    <row r="212" spans="1:43">
      <c r="A212" s="39">
        <v>209</v>
      </c>
      <c r="B212" s="39">
        <v>113</v>
      </c>
      <c r="C212" s="572" t="str">
        <f t="shared" si="33"/>
        <v>第3目白ハイツ</v>
      </c>
      <c r="D212" s="45" t="s">
        <v>1566</v>
      </c>
      <c r="E212" s="46">
        <v>54.44</v>
      </c>
      <c r="F212" s="324">
        <v>631</v>
      </c>
      <c r="G212" s="566" t="str">
        <f t="shared" si="34"/>
        <v>住居</v>
      </c>
      <c r="H212" s="44" t="s">
        <v>1717</v>
      </c>
      <c r="I212" s="325">
        <v>120000</v>
      </c>
      <c r="J212" s="325">
        <v>5000</v>
      </c>
      <c r="K212" s="325">
        <v>0</v>
      </c>
      <c r="L212" s="325">
        <v>0</v>
      </c>
      <c r="M212" s="565">
        <f t="shared" si="41"/>
        <v>125000</v>
      </c>
      <c r="N212" s="326">
        <v>125000</v>
      </c>
      <c r="O212" s="326">
        <v>0</v>
      </c>
      <c r="P212" s="565">
        <f t="shared" si="35"/>
        <v>125000</v>
      </c>
      <c r="Q212" s="565">
        <f t="shared" si="42"/>
        <v>125000</v>
      </c>
      <c r="R212" s="325" t="s">
        <v>1578</v>
      </c>
      <c r="S212" s="325" t="s">
        <v>187</v>
      </c>
      <c r="T212" s="327" t="s">
        <v>1284</v>
      </c>
      <c r="V212" s="43" t="s">
        <v>1895</v>
      </c>
      <c r="W212" s="55">
        <v>117000</v>
      </c>
      <c r="Y212" s="6">
        <f t="shared" si="36"/>
        <v>1</v>
      </c>
      <c r="Z212" s="562">
        <f t="shared" si="37"/>
        <v>125000</v>
      </c>
      <c r="AA212" s="122">
        <f t="shared" si="38"/>
        <v>0</v>
      </c>
      <c r="AB212" s="122">
        <f t="shared" si="39"/>
        <v>8000</v>
      </c>
      <c r="AC212" s="6">
        <f t="shared" si="40"/>
        <v>1</v>
      </c>
      <c r="AD212" s="563">
        <f t="shared" si="43"/>
        <v>1</v>
      </c>
      <c r="AE212" s="64"/>
      <c r="AF212" s="31">
        <v>120000</v>
      </c>
      <c r="AG212" s="31">
        <v>5000</v>
      </c>
      <c r="AH212" s="31">
        <v>0</v>
      </c>
      <c r="AI212" s="31">
        <v>0</v>
      </c>
      <c r="AJ212" s="31">
        <v>125000</v>
      </c>
      <c r="AK212" s="31">
        <v>125000</v>
      </c>
      <c r="AL212" s="31">
        <v>0</v>
      </c>
      <c r="AM212" s="56">
        <v>125000</v>
      </c>
      <c r="AN212" s="31">
        <v>125000</v>
      </c>
      <c r="AO212" s="31" t="s">
        <v>1578</v>
      </c>
      <c r="AP212" s="23" t="s">
        <v>187</v>
      </c>
      <c r="AQ212" s="23" t="s">
        <v>1284</v>
      </c>
    </row>
    <row r="213" spans="1:43">
      <c r="A213" s="39">
        <v>210</v>
      </c>
      <c r="B213" s="39">
        <v>113</v>
      </c>
      <c r="C213" s="572" t="str">
        <f t="shared" si="33"/>
        <v>第3目白ハイツ</v>
      </c>
      <c r="D213" s="45" t="s">
        <v>1570</v>
      </c>
      <c r="E213" s="46">
        <v>52.49</v>
      </c>
      <c r="F213" s="324">
        <v>631</v>
      </c>
      <c r="G213" s="566" t="str">
        <f t="shared" si="34"/>
        <v>住居</v>
      </c>
      <c r="H213" s="44" t="s">
        <v>1717</v>
      </c>
      <c r="I213" s="325">
        <v>113000</v>
      </c>
      <c r="J213" s="325">
        <v>5000</v>
      </c>
      <c r="K213" s="325">
        <v>0</v>
      </c>
      <c r="L213" s="325">
        <v>0</v>
      </c>
      <c r="M213" s="565">
        <f t="shared" si="41"/>
        <v>118000</v>
      </c>
      <c r="N213" s="326">
        <v>118000</v>
      </c>
      <c r="O213" s="326">
        <v>0</v>
      </c>
      <c r="P213" s="565">
        <f t="shared" si="35"/>
        <v>118000</v>
      </c>
      <c r="Q213" s="565">
        <f t="shared" si="42"/>
        <v>118000</v>
      </c>
      <c r="R213" s="325" t="s">
        <v>1568</v>
      </c>
      <c r="S213" s="325" t="s">
        <v>187</v>
      </c>
      <c r="T213" s="327" t="s">
        <v>1284</v>
      </c>
      <c r="V213" s="43" t="s">
        <v>1896</v>
      </c>
      <c r="W213" s="55">
        <v>118000</v>
      </c>
      <c r="Y213" s="6">
        <f t="shared" si="36"/>
        <v>1</v>
      </c>
      <c r="Z213" s="562">
        <f t="shared" si="37"/>
        <v>118000</v>
      </c>
      <c r="AA213" s="122">
        <f t="shared" si="38"/>
        <v>0</v>
      </c>
      <c r="AB213" s="122">
        <f t="shared" si="39"/>
        <v>0</v>
      </c>
      <c r="AC213" s="6">
        <f t="shared" si="40"/>
        <v>1</v>
      </c>
      <c r="AD213" s="563">
        <f t="shared" si="43"/>
        <v>1</v>
      </c>
      <c r="AE213" s="64"/>
      <c r="AF213" s="31">
        <v>113000</v>
      </c>
      <c r="AG213" s="31">
        <v>5000</v>
      </c>
      <c r="AH213" s="31">
        <v>0</v>
      </c>
      <c r="AI213" s="31">
        <v>0</v>
      </c>
      <c r="AJ213" s="31">
        <v>118000</v>
      </c>
      <c r="AK213" s="31">
        <v>118000</v>
      </c>
      <c r="AL213" s="31">
        <v>0</v>
      </c>
      <c r="AM213" s="56">
        <v>118000</v>
      </c>
      <c r="AN213" s="31">
        <v>118000</v>
      </c>
      <c r="AO213" s="31" t="s">
        <v>1568</v>
      </c>
      <c r="AP213" s="23" t="s">
        <v>187</v>
      </c>
      <c r="AQ213" s="23" t="s">
        <v>1284</v>
      </c>
    </row>
    <row r="214" spans="1:43">
      <c r="A214" s="39">
        <v>211</v>
      </c>
      <c r="B214" s="39">
        <v>113</v>
      </c>
      <c r="C214" s="572" t="str">
        <f t="shared" si="33"/>
        <v>第3目白ハイツ</v>
      </c>
      <c r="D214" s="45" t="s">
        <v>1572</v>
      </c>
      <c r="E214" s="46">
        <v>54.44</v>
      </c>
      <c r="F214" s="324">
        <v>631</v>
      </c>
      <c r="G214" s="566" t="str">
        <f t="shared" si="34"/>
        <v>住居</v>
      </c>
      <c r="H214" s="44" t="s">
        <v>1717</v>
      </c>
      <c r="I214" s="325">
        <v>110000</v>
      </c>
      <c r="J214" s="325">
        <v>5000</v>
      </c>
      <c r="K214" s="325">
        <v>0</v>
      </c>
      <c r="L214" s="325">
        <v>0</v>
      </c>
      <c r="M214" s="565">
        <f t="shared" si="41"/>
        <v>115000</v>
      </c>
      <c r="N214" s="326">
        <v>115000</v>
      </c>
      <c r="O214" s="326">
        <v>0</v>
      </c>
      <c r="P214" s="565">
        <f t="shared" si="35"/>
        <v>115000</v>
      </c>
      <c r="Q214" s="565">
        <f t="shared" si="42"/>
        <v>115000</v>
      </c>
      <c r="R214" s="325" t="s">
        <v>1568</v>
      </c>
      <c r="S214" s="325" t="s">
        <v>187</v>
      </c>
      <c r="T214" s="327" t="s">
        <v>1284</v>
      </c>
      <c r="V214" s="43" t="s">
        <v>1897</v>
      </c>
      <c r="W214" s="55">
        <v>115000</v>
      </c>
      <c r="Y214" s="6">
        <f t="shared" si="36"/>
        <v>1</v>
      </c>
      <c r="Z214" s="562">
        <f t="shared" si="37"/>
        <v>115000</v>
      </c>
      <c r="AA214" s="122">
        <f t="shared" si="38"/>
        <v>0</v>
      </c>
      <c r="AB214" s="122">
        <f t="shared" si="39"/>
        <v>0</v>
      </c>
      <c r="AC214" s="6">
        <f t="shared" si="40"/>
        <v>1</v>
      </c>
      <c r="AD214" s="563">
        <f t="shared" si="43"/>
        <v>1</v>
      </c>
      <c r="AE214" s="64"/>
      <c r="AF214" s="31">
        <v>110000</v>
      </c>
      <c r="AG214" s="31">
        <v>5000</v>
      </c>
      <c r="AH214" s="31">
        <v>0</v>
      </c>
      <c r="AI214" s="31">
        <v>0</v>
      </c>
      <c r="AJ214" s="31">
        <v>115000</v>
      </c>
      <c r="AK214" s="31">
        <v>115000</v>
      </c>
      <c r="AL214" s="31">
        <v>0</v>
      </c>
      <c r="AM214" s="56">
        <v>115000</v>
      </c>
      <c r="AN214" s="31">
        <v>115000</v>
      </c>
      <c r="AO214" s="31" t="s">
        <v>1568</v>
      </c>
      <c r="AP214" s="23" t="s">
        <v>187</v>
      </c>
      <c r="AQ214" s="23" t="s">
        <v>1284</v>
      </c>
    </row>
    <row r="215" spans="1:43">
      <c r="A215" s="39">
        <v>212</v>
      </c>
      <c r="B215" s="39">
        <v>113</v>
      </c>
      <c r="C215" s="572" t="str">
        <f t="shared" si="33"/>
        <v>第3目白ハイツ</v>
      </c>
      <c r="D215" s="45" t="s">
        <v>1898</v>
      </c>
      <c r="E215" s="46">
        <v>52.49</v>
      </c>
      <c r="F215" s="324">
        <v>631</v>
      </c>
      <c r="G215" s="566" t="str">
        <f t="shared" si="34"/>
        <v>住居</v>
      </c>
      <c r="H215" s="44" t="s">
        <v>1717</v>
      </c>
      <c r="I215" s="325">
        <v>113000</v>
      </c>
      <c r="J215" s="325">
        <v>5000</v>
      </c>
      <c r="K215" s="325">
        <v>0</v>
      </c>
      <c r="L215" s="325">
        <v>0</v>
      </c>
      <c r="M215" s="565">
        <f t="shared" si="41"/>
        <v>118000</v>
      </c>
      <c r="N215" s="326">
        <v>118000</v>
      </c>
      <c r="O215" s="326">
        <v>0</v>
      </c>
      <c r="P215" s="565">
        <f t="shared" si="35"/>
        <v>118000</v>
      </c>
      <c r="Q215" s="565">
        <f t="shared" si="42"/>
        <v>118000</v>
      </c>
      <c r="R215" s="325" t="s">
        <v>1568</v>
      </c>
      <c r="S215" s="325" t="s">
        <v>187</v>
      </c>
      <c r="T215" s="327" t="s">
        <v>1284</v>
      </c>
      <c r="V215" s="43" t="s">
        <v>1899</v>
      </c>
      <c r="W215" s="55">
        <v>118000</v>
      </c>
      <c r="Y215" s="6">
        <f t="shared" si="36"/>
        <v>1</v>
      </c>
      <c r="Z215" s="562">
        <f t="shared" si="37"/>
        <v>118000</v>
      </c>
      <c r="AA215" s="122">
        <f t="shared" si="38"/>
        <v>0</v>
      </c>
      <c r="AB215" s="122">
        <f t="shared" si="39"/>
        <v>0</v>
      </c>
      <c r="AC215" s="6">
        <f t="shared" si="40"/>
        <v>1</v>
      </c>
      <c r="AD215" s="563">
        <f t="shared" si="43"/>
        <v>1</v>
      </c>
      <c r="AE215" s="64"/>
      <c r="AF215" s="31">
        <v>113000</v>
      </c>
      <c r="AG215" s="31">
        <v>5000</v>
      </c>
      <c r="AH215" s="31">
        <v>0</v>
      </c>
      <c r="AI215" s="31">
        <v>0</v>
      </c>
      <c r="AJ215" s="31">
        <v>118000</v>
      </c>
      <c r="AK215" s="31">
        <v>118000</v>
      </c>
      <c r="AL215" s="31">
        <v>0</v>
      </c>
      <c r="AM215" s="56">
        <v>118000</v>
      </c>
      <c r="AN215" s="31">
        <v>118000</v>
      </c>
      <c r="AO215" s="31" t="s">
        <v>1568</v>
      </c>
      <c r="AP215" s="23" t="s">
        <v>187</v>
      </c>
      <c r="AQ215" s="23" t="s">
        <v>1284</v>
      </c>
    </row>
    <row r="216" spans="1:43">
      <c r="A216" s="39">
        <v>213</v>
      </c>
      <c r="B216" s="39">
        <v>113</v>
      </c>
      <c r="C216" s="572" t="str">
        <f t="shared" si="33"/>
        <v>第3目白ハイツ</v>
      </c>
      <c r="D216" s="45" t="s">
        <v>1574</v>
      </c>
      <c r="E216" s="46">
        <v>54.44</v>
      </c>
      <c r="F216" s="324">
        <v>631</v>
      </c>
      <c r="G216" s="566" t="str">
        <f t="shared" si="34"/>
        <v>住居</v>
      </c>
      <c r="H216" s="44" t="s">
        <v>1717</v>
      </c>
      <c r="I216" s="325">
        <v>110000</v>
      </c>
      <c r="J216" s="325">
        <v>5000</v>
      </c>
      <c r="K216" s="325">
        <v>0</v>
      </c>
      <c r="L216" s="325">
        <v>0</v>
      </c>
      <c r="M216" s="565">
        <f t="shared" si="41"/>
        <v>115000</v>
      </c>
      <c r="N216" s="326">
        <v>115000</v>
      </c>
      <c r="O216" s="326">
        <v>0</v>
      </c>
      <c r="P216" s="565">
        <f t="shared" si="35"/>
        <v>115000</v>
      </c>
      <c r="Q216" s="565">
        <f t="shared" si="42"/>
        <v>115000</v>
      </c>
      <c r="R216" s="325" t="s">
        <v>1568</v>
      </c>
      <c r="S216" s="325" t="s">
        <v>187</v>
      </c>
      <c r="T216" s="327" t="s">
        <v>1284</v>
      </c>
      <c r="V216" s="43" t="s">
        <v>1900</v>
      </c>
      <c r="W216" s="55">
        <v>115000</v>
      </c>
      <c r="Y216" s="6">
        <f t="shared" si="36"/>
        <v>1</v>
      </c>
      <c r="Z216" s="562">
        <f t="shared" si="37"/>
        <v>115000</v>
      </c>
      <c r="AA216" s="122">
        <f t="shared" si="38"/>
        <v>0</v>
      </c>
      <c r="AB216" s="122">
        <f t="shared" si="39"/>
        <v>0</v>
      </c>
      <c r="AC216" s="6">
        <f t="shared" si="40"/>
        <v>1</v>
      </c>
      <c r="AD216" s="563">
        <f t="shared" si="43"/>
        <v>1</v>
      </c>
      <c r="AE216" s="64"/>
      <c r="AF216" s="31">
        <v>110000</v>
      </c>
      <c r="AG216" s="31">
        <v>5000</v>
      </c>
      <c r="AH216" s="31">
        <v>0</v>
      </c>
      <c r="AI216" s="31">
        <v>0</v>
      </c>
      <c r="AJ216" s="31">
        <v>115000</v>
      </c>
      <c r="AK216" s="31">
        <v>115000</v>
      </c>
      <c r="AL216" s="31">
        <v>0</v>
      </c>
      <c r="AM216" s="56">
        <v>115000</v>
      </c>
      <c r="AN216" s="31">
        <v>115000</v>
      </c>
      <c r="AO216" s="31" t="s">
        <v>1568</v>
      </c>
      <c r="AP216" s="23" t="s">
        <v>187</v>
      </c>
      <c r="AQ216" s="23" t="s">
        <v>1284</v>
      </c>
    </row>
    <row r="217" spans="1:43">
      <c r="A217" s="39">
        <v>214</v>
      </c>
      <c r="B217" s="39">
        <v>113</v>
      </c>
      <c r="C217" s="572" t="str">
        <f t="shared" si="33"/>
        <v>第3目白ハイツ</v>
      </c>
      <c r="D217" s="45" t="s">
        <v>1577</v>
      </c>
      <c r="E217" s="46">
        <v>52.49</v>
      </c>
      <c r="F217" s="324">
        <v>631</v>
      </c>
      <c r="G217" s="566" t="str">
        <f t="shared" si="34"/>
        <v>住居</v>
      </c>
      <c r="H217" s="44" t="s">
        <v>1717</v>
      </c>
      <c r="I217" s="325">
        <v>120000</v>
      </c>
      <c r="J217" s="325">
        <v>5000</v>
      </c>
      <c r="K217" s="325">
        <v>0</v>
      </c>
      <c r="L217" s="325">
        <v>0</v>
      </c>
      <c r="M217" s="565">
        <f t="shared" si="41"/>
        <v>125000</v>
      </c>
      <c r="N217" s="326">
        <v>125000</v>
      </c>
      <c r="O217" s="326">
        <v>0</v>
      </c>
      <c r="P217" s="565">
        <f t="shared" si="35"/>
        <v>125000</v>
      </c>
      <c r="Q217" s="565">
        <f t="shared" si="42"/>
        <v>125000</v>
      </c>
      <c r="R217" s="325" t="s">
        <v>1578</v>
      </c>
      <c r="S217" s="325" t="s">
        <v>187</v>
      </c>
      <c r="T217" s="327" t="s">
        <v>1284</v>
      </c>
      <c r="V217" s="43" t="s">
        <v>1901</v>
      </c>
      <c r="W217" s="55">
        <v>117000</v>
      </c>
      <c r="Y217" s="6">
        <f t="shared" si="36"/>
        <v>1</v>
      </c>
      <c r="Z217" s="562">
        <f t="shared" si="37"/>
        <v>125000</v>
      </c>
      <c r="AA217" s="122">
        <f t="shared" si="38"/>
        <v>0</v>
      </c>
      <c r="AB217" s="122">
        <f t="shared" si="39"/>
        <v>8000</v>
      </c>
      <c r="AC217" s="6">
        <f t="shared" si="40"/>
        <v>1</v>
      </c>
      <c r="AD217" s="563">
        <f t="shared" si="43"/>
        <v>1</v>
      </c>
      <c r="AE217" s="64"/>
      <c r="AF217" s="31">
        <v>120000</v>
      </c>
      <c r="AG217" s="31">
        <v>5000</v>
      </c>
      <c r="AH217" s="31">
        <v>0</v>
      </c>
      <c r="AI217" s="31">
        <v>0</v>
      </c>
      <c r="AJ217" s="31">
        <v>125000</v>
      </c>
      <c r="AK217" s="31">
        <v>125000</v>
      </c>
      <c r="AL217" s="31">
        <v>0</v>
      </c>
      <c r="AM217" s="56">
        <v>125000</v>
      </c>
      <c r="AN217" s="31">
        <v>125000</v>
      </c>
      <c r="AO217" s="31" t="s">
        <v>1578</v>
      </c>
      <c r="AP217" s="23" t="s">
        <v>187</v>
      </c>
      <c r="AQ217" s="23" t="s">
        <v>1284</v>
      </c>
    </row>
    <row r="218" spans="1:43">
      <c r="A218" s="39">
        <v>215</v>
      </c>
      <c r="B218" s="39">
        <v>113</v>
      </c>
      <c r="C218" s="572" t="str">
        <f t="shared" si="33"/>
        <v>第3目白ハイツ</v>
      </c>
      <c r="D218" s="45" t="s">
        <v>1580</v>
      </c>
      <c r="E218" s="46">
        <v>54.44</v>
      </c>
      <c r="F218" s="324">
        <v>631</v>
      </c>
      <c r="G218" s="566" t="str">
        <f t="shared" si="34"/>
        <v>住居</v>
      </c>
      <c r="H218" s="44" t="s">
        <v>1717</v>
      </c>
      <c r="I218" s="325">
        <v>130000</v>
      </c>
      <c r="J218" s="325">
        <v>5000</v>
      </c>
      <c r="K218" s="325">
        <v>0</v>
      </c>
      <c r="L218" s="325">
        <v>0</v>
      </c>
      <c r="M218" s="565">
        <f t="shared" si="41"/>
        <v>135000</v>
      </c>
      <c r="N218" s="326">
        <v>135000</v>
      </c>
      <c r="O218" s="326">
        <v>0</v>
      </c>
      <c r="P218" s="565">
        <f t="shared" si="35"/>
        <v>135000</v>
      </c>
      <c r="Q218" s="565">
        <f t="shared" si="42"/>
        <v>135000</v>
      </c>
      <c r="R218" s="325" t="s">
        <v>1578</v>
      </c>
      <c r="S218" s="325" t="s">
        <v>187</v>
      </c>
      <c r="T218" s="327" t="s">
        <v>1284</v>
      </c>
      <c r="V218" s="43" t="s">
        <v>1902</v>
      </c>
      <c r="W218" s="55">
        <v>120000</v>
      </c>
      <c r="Y218" s="6">
        <f t="shared" si="36"/>
        <v>1</v>
      </c>
      <c r="Z218" s="562">
        <f t="shared" si="37"/>
        <v>135000</v>
      </c>
      <c r="AA218" s="122">
        <f t="shared" si="38"/>
        <v>0</v>
      </c>
      <c r="AB218" s="122">
        <f t="shared" si="39"/>
        <v>15000</v>
      </c>
      <c r="AC218" s="6">
        <f t="shared" si="40"/>
        <v>1</v>
      </c>
      <c r="AD218" s="563">
        <f t="shared" si="43"/>
        <v>1</v>
      </c>
      <c r="AE218" s="64"/>
      <c r="AF218" s="31">
        <v>130000</v>
      </c>
      <c r="AG218" s="31">
        <v>5000</v>
      </c>
      <c r="AH218" s="31">
        <v>0</v>
      </c>
      <c r="AI218" s="31">
        <v>0</v>
      </c>
      <c r="AJ218" s="31">
        <v>135000</v>
      </c>
      <c r="AK218" s="31">
        <v>135000</v>
      </c>
      <c r="AL218" s="31">
        <v>0</v>
      </c>
      <c r="AM218" s="56">
        <v>135000</v>
      </c>
      <c r="AN218" s="31">
        <v>135000</v>
      </c>
      <c r="AO218" s="31" t="s">
        <v>1578</v>
      </c>
      <c r="AP218" s="23" t="s">
        <v>187</v>
      </c>
      <c r="AQ218" s="23" t="s">
        <v>1284</v>
      </c>
    </row>
    <row r="219" spans="1:43">
      <c r="A219" s="39">
        <v>216</v>
      </c>
      <c r="B219" s="39">
        <v>113</v>
      </c>
      <c r="C219" s="572" t="str">
        <f t="shared" si="33"/>
        <v>第3目白ハイツ</v>
      </c>
      <c r="D219" s="45" t="s">
        <v>1582</v>
      </c>
      <c r="E219" s="46">
        <v>52.49</v>
      </c>
      <c r="F219" s="324">
        <v>631</v>
      </c>
      <c r="G219" s="566" t="str">
        <f t="shared" si="34"/>
        <v>住居</v>
      </c>
      <c r="H219" s="44" t="s">
        <v>1717</v>
      </c>
      <c r="I219" s="325">
        <v>120000</v>
      </c>
      <c r="J219" s="325">
        <v>5000</v>
      </c>
      <c r="K219" s="325">
        <v>0</v>
      </c>
      <c r="L219" s="325">
        <v>0</v>
      </c>
      <c r="M219" s="565">
        <f t="shared" si="41"/>
        <v>125000</v>
      </c>
      <c r="N219" s="326">
        <v>125000</v>
      </c>
      <c r="O219" s="326">
        <v>0</v>
      </c>
      <c r="P219" s="565">
        <f t="shared" si="35"/>
        <v>125000</v>
      </c>
      <c r="Q219" s="565">
        <f t="shared" si="42"/>
        <v>125000</v>
      </c>
      <c r="R219" s="325" t="s">
        <v>1578</v>
      </c>
      <c r="S219" s="325" t="s">
        <v>187</v>
      </c>
      <c r="T219" s="327" t="s">
        <v>1284</v>
      </c>
      <c r="V219" s="43" t="s">
        <v>1903</v>
      </c>
      <c r="W219" s="55">
        <v>140000</v>
      </c>
      <c r="Y219" s="6">
        <f t="shared" si="36"/>
        <v>1</v>
      </c>
      <c r="Z219" s="562">
        <f t="shared" si="37"/>
        <v>125000</v>
      </c>
      <c r="AA219" s="122">
        <f t="shared" si="38"/>
        <v>0</v>
      </c>
      <c r="AB219" s="122">
        <f t="shared" si="39"/>
        <v>-15000</v>
      </c>
      <c r="AC219" s="6">
        <f t="shared" si="40"/>
        <v>1</v>
      </c>
      <c r="AD219" s="563">
        <f t="shared" si="43"/>
        <v>1</v>
      </c>
      <c r="AE219" s="64"/>
      <c r="AF219" s="31">
        <v>120000</v>
      </c>
      <c r="AG219" s="31">
        <v>5000</v>
      </c>
      <c r="AH219" s="31">
        <v>0</v>
      </c>
      <c r="AI219" s="31">
        <v>0</v>
      </c>
      <c r="AJ219" s="31">
        <v>125000</v>
      </c>
      <c r="AK219" s="31">
        <v>125000</v>
      </c>
      <c r="AL219" s="31">
        <v>0</v>
      </c>
      <c r="AM219" s="56">
        <v>125000</v>
      </c>
      <c r="AN219" s="31">
        <v>125000</v>
      </c>
      <c r="AO219" s="31" t="s">
        <v>1578</v>
      </c>
      <c r="AP219" s="23" t="s">
        <v>187</v>
      </c>
      <c r="AQ219" s="23" t="s">
        <v>1284</v>
      </c>
    </row>
    <row r="220" spans="1:43">
      <c r="A220" s="39">
        <v>217</v>
      </c>
      <c r="B220" s="39">
        <v>113</v>
      </c>
      <c r="C220" s="572" t="str">
        <f t="shared" si="33"/>
        <v>第3目白ハイツ</v>
      </c>
      <c r="D220" s="45" t="s">
        <v>1585</v>
      </c>
      <c r="E220" s="46">
        <v>54.44</v>
      </c>
      <c r="F220" s="324">
        <v>631</v>
      </c>
      <c r="G220" s="566" t="str">
        <f t="shared" si="34"/>
        <v>住居</v>
      </c>
      <c r="H220" s="44" t="s">
        <v>1717</v>
      </c>
      <c r="I220" s="325">
        <v>115000</v>
      </c>
      <c r="J220" s="325">
        <v>5000</v>
      </c>
      <c r="K220" s="325">
        <v>0</v>
      </c>
      <c r="L220" s="325">
        <v>0</v>
      </c>
      <c r="M220" s="565">
        <f t="shared" si="41"/>
        <v>120000</v>
      </c>
      <c r="N220" s="326">
        <v>120000</v>
      </c>
      <c r="O220" s="326">
        <v>0</v>
      </c>
      <c r="P220" s="565">
        <f t="shared" si="35"/>
        <v>120000</v>
      </c>
      <c r="Q220" s="565">
        <f t="shared" si="42"/>
        <v>120000</v>
      </c>
      <c r="R220" s="325" t="s">
        <v>1568</v>
      </c>
      <c r="S220" s="325" t="s">
        <v>187</v>
      </c>
      <c r="T220" s="327" t="s">
        <v>1284</v>
      </c>
      <c r="V220" s="43" t="s">
        <v>1904</v>
      </c>
      <c r="W220" s="55">
        <v>116000</v>
      </c>
      <c r="Y220" s="6">
        <f t="shared" si="36"/>
        <v>1</v>
      </c>
      <c r="Z220" s="562">
        <f t="shared" si="37"/>
        <v>120000</v>
      </c>
      <c r="AA220" s="122">
        <f t="shared" si="38"/>
        <v>0</v>
      </c>
      <c r="AB220" s="122">
        <f t="shared" si="39"/>
        <v>4000</v>
      </c>
      <c r="AC220" s="6">
        <f t="shared" si="40"/>
        <v>1</v>
      </c>
      <c r="AD220" s="563">
        <f t="shared" si="43"/>
        <v>1</v>
      </c>
      <c r="AE220" s="64"/>
      <c r="AF220" s="31">
        <v>115000</v>
      </c>
      <c r="AG220" s="31">
        <v>5000</v>
      </c>
      <c r="AH220" s="31">
        <v>0</v>
      </c>
      <c r="AI220" s="31">
        <v>0</v>
      </c>
      <c r="AJ220" s="31">
        <v>120000</v>
      </c>
      <c r="AK220" s="31">
        <v>120000</v>
      </c>
      <c r="AL220" s="31">
        <v>0</v>
      </c>
      <c r="AM220" s="56">
        <v>120000</v>
      </c>
      <c r="AN220" s="31">
        <v>120000</v>
      </c>
      <c r="AO220" s="31" t="s">
        <v>1568</v>
      </c>
      <c r="AP220" s="23" t="s">
        <v>187</v>
      </c>
      <c r="AQ220" s="23" t="s">
        <v>1284</v>
      </c>
    </row>
    <row r="221" spans="1:43">
      <c r="A221" s="39">
        <v>218</v>
      </c>
      <c r="B221" s="39">
        <v>113</v>
      </c>
      <c r="C221" s="572" t="str">
        <f t="shared" si="33"/>
        <v>第3目白ハイツ</v>
      </c>
      <c r="D221" s="45" t="s">
        <v>1724</v>
      </c>
      <c r="E221" s="46">
        <v>52.49</v>
      </c>
      <c r="F221" s="324">
        <v>631</v>
      </c>
      <c r="G221" s="566" t="str">
        <f t="shared" si="34"/>
        <v>住居</v>
      </c>
      <c r="H221" s="44" t="s">
        <v>1717</v>
      </c>
      <c r="I221" s="325">
        <v>130000</v>
      </c>
      <c r="J221" s="325">
        <v>5000</v>
      </c>
      <c r="K221" s="325">
        <v>0</v>
      </c>
      <c r="L221" s="325">
        <v>0</v>
      </c>
      <c r="M221" s="565">
        <f t="shared" si="41"/>
        <v>135000</v>
      </c>
      <c r="N221" s="326">
        <v>119000</v>
      </c>
      <c r="O221" s="326">
        <v>0</v>
      </c>
      <c r="P221" s="565">
        <f t="shared" si="35"/>
        <v>119000</v>
      </c>
      <c r="Q221" s="565">
        <f t="shared" si="42"/>
        <v>135000</v>
      </c>
      <c r="R221" s="325" t="s">
        <v>1583</v>
      </c>
      <c r="S221" s="325" t="s">
        <v>187</v>
      </c>
      <c r="T221" s="327" t="s">
        <v>1284</v>
      </c>
      <c r="V221" s="43" t="s">
        <v>1905</v>
      </c>
      <c r="W221" s="55">
        <v>119000</v>
      </c>
      <c r="Y221" s="6">
        <f t="shared" si="36"/>
        <v>1</v>
      </c>
      <c r="Z221" s="562">
        <f t="shared" si="37"/>
        <v>135000</v>
      </c>
      <c r="AA221" s="122">
        <f t="shared" si="38"/>
        <v>-16000</v>
      </c>
      <c r="AB221" s="122">
        <f t="shared" si="39"/>
        <v>16000</v>
      </c>
      <c r="AC221" s="6">
        <f t="shared" si="40"/>
        <v>1</v>
      </c>
      <c r="AD221" s="563">
        <f t="shared" si="43"/>
        <v>1</v>
      </c>
      <c r="AE221" s="64"/>
      <c r="AF221" s="31">
        <v>130000</v>
      </c>
      <c r="AG221" s="31">
        <v>5000</v>
      </c>
      <c r="AH221" s="31">
        <v>0</v>
      </c>
      <c r="AI221" s="31">
        <v>0</v>
      </c>
      <c r="AJ221" s="31">
        <v>135000</v>
      </c>
      <c r="AK221" s="31">
        <v>119000</v>
      </c>
      <c r="AL221" s="31">
        <v>0</v>
      </c>
      <c r="AM221" s="56">
        <v>119000</v>
      </c>
      <c r="AN221" s="31">
        <v>135000</v>
      </c>
      <c r="AO221" s="31" t="s">
        <v>1583</v>
      </c>
      <c r="AP221" s="23" t="s">
        <v>187</v>
      </c>
      <c r="AQ221" s="23" t="s">
        <v>1284</v>
      </c>
    </row>
    <row r="222" spans="1:43">
      <c r="A222" s="39">
        <v>219</v>
      </c>
      <c r="B222" s="39">
        <v>113</v>
      </c>
      <c r="C222" s="572" t="str">
        <f t="shared" si="33"/>
        <v>第3目白ハイツ</v>
      </c>
      <c r="D222" s="45" t="s">
        <v>1587</v>
      </c>
      <c r="E222" s="46">
        <v>54.44</v>
      </c>
      <c r="F222" s="324">
        <v>631</v>
      </c>
      <c r="G222" s="566" t="str">
        <f t="shared" si="34"/>
        <v>住居</v>
      </c>
      <c r="H222" s="44" t="s">
        <v>1717</v>
      </c>
      <c r="I222" s="325">
        <v>130000</v>
      </c>
      <c r="J222" s="325">
        <v>5000</v>
      </c>
      <c r="K222" s="325">
        <v>0</v>
      </c>
      <c r="L222" s="325">
        <v>0</v>
      </c>
      <c r="M222" s="565">
        <f t="shared" si="41"/>
        <v>135000</v>
      </c>
      <c r="N222" s="326">
        <v>120000</v>
      </c>
      <c r="O222" s="326">
        <v>0</v>
      </c>
      <c r="P222" s="565">
        <f t="shared" si="35"/>
        <v>120000</v>
      </c>
      <c r="Q222" s="565">
        <f t="shared" si="42"/>
        <v>135000</v>
      </c>
      <c r="R222" s="325" t="s">
        <v>1583</v>
      </c>
      <c r="S222" s="325" t="s">
        <v>187</v>
      </c>
      <c r="T222" s="327" t="s">
        <v>1284</v>
      </c>
      <c r="V222" s="43" t="s">
        <v>1906</v>
      </c>
      <c r="W222" s="55">
        <v>120000</v>
      </c>
      <c r="Y222" s="6">
        <f t="shared" si="36"/>
        <v>1</v>
      </c>
      <c r="Z222" s="562">
        <f t="shared" si="37"/>
        <v>135000</v>
      </c>
      <c r="AA222" s="122">
        <f t="shared" si="38"/>
        <v>-15000</v>
      </c>
      <c r="AB222" s="122">
        <f t="shared" si="39"/>
        <v>15000</v>
      </c>
      <c r="AC222" s="6">
        <f t="shared" si="40"/>
        <v>1</v>
      </c>
      <c r="AD222" s="563">
        <f t="shared" si="43"/>
        <v>1</v>
      </c>
      <c r="AE222" s="64"/>
      <c r="AF222" s="31">
        <v>130000</v>
      </c>
      <c r="AG222" s="31">
        <v>5000</v>
      </c>
      <c r="AH222" s="31">
        <v>0</v>
      </c>
      <c r="AI222" s="31">
        <v>0</v>
      </c>
      <c r="AJ222" s="31">
        <v>135000</v>
      </c>
      <c r="AK222" s="31">
        <v>120000</v>
      </c>
      <c r="AL222" s="31">
        <v>0</v>
      </c>
      <c r="AM222" s="56">
        <v>120000</v>
      </c>
      <c r="AN222" s="31">
        <v>135000</v>
      </c>
      <c r="AO222" s="31" t="s">
        <v>1583</v>
      </c>
      <c r="AP222" s="23" t="s">
        <v>187</v>
      </c>
      <c r="AQ222" s="23" t="s">
        <v>1284</v>
      </c>
    </row>
    <row r="223" spans="1:43">
      <c r="A223" s="39">
        <v>220</v>
      </c>
      <c r="B223" s="39">
        <v>113</v>
      </c>
      <c r="C223" s="572" t="str">
        <f t="shared" si="33"/>
        <v>第3目白ハイツ</v>
      </c>
      <c r="D223" s="45" t="s">
        <v>1642</v>
      </c>
      <c r="E223" s="46">
        <v>52.49</v>
      </c>
      <c r="F223" s="324">
        <v>631</v>
      </c>
      <c r="G223" s="566" t="str">
        <f t="shared" si="34"/>
        <v>住居</v>
      </c>
      <c r="H223" s="44" t="s">
        <v>1717</v>
      </c>
      <c r="I223" s="325">
        <v>130000</v>
      </c>
      <c r="J223" s="325">
        <v>5000</v>
      </c>
      <c r="K223" s="325">
        <v>0</v>
      </c>
      <c r="L223" s="325">
        <v>0</v>
      </c>
      <c r="M223" s="565">
        <f t="shared" si="41"/>
        <v>135000</v>
      </c>
      <c r="N223" s="326">
        <v>125000</v>
      </c>
      <c r="O223" s="326">
        <v>0</v>
      </c>
      <c r="P223" s="565">
        <f t="shared" si="35"/>
        <v>125000</v>
      </c>
      <c r="Q223" s="565">
        <f t="shared" si="42"/>
        <v>135000</v>
      </c>
      <c r="R223" s="325" t="s">
        <v>1583</v>
      </c>
      <c r="S223" s="325" t="s">
        <v>187</v>
      </c>
      <c r="T223" s="327" t="s">
        <v>1284</v>
      </c>
      <c r="V223" s="43" t="s">
        <v>1907</v>
      </c>
      <c r="W223" s="55">
        <v>120000</v>
      </c>
      <c r="Y223" s="6">
        <f t="shared" si="36"/>
        <v>1</v>
      </c>
      <c r="Z223" s="562">
        <f t="shared" si="37"/>
        <v>135000</v>
      </c>
      <c r="AA223" s="122">
        <f t="shared" si="38"/>
        <v>-10000</v>
      </c>
      <c r="AB223" s="122">
        <f t="shared" si="39"/>
        <v>15000</v>
      </c>
      <c r="AC223" s="6">
        <f t="shared" si="40"/>
        <v>1</v>
      </c>
      <c r="AD223" s="563">
        <f t="shared" si="43"/>
        <v>1</v>
      </c>
      <c r="AE223" s="64"/>
      <c r="AF223" s="31">
        <v>130000</v>
      </c>
      <c r="AG223" s="31">
        <v>5000</v>
      </c>
      <c r="AH223" s="31">
        <v>0</v>
      </c>
      <c r="AI223" s="31">
        <v>0</v>
      </c>
      <c r="AJ223" s="31">
        <v>135000</v>
      </c>
      <c r="AK223" s="31">
        <v>125000</v>
      </c>
      <c r="AL223" s="31">
        <v>0</v>
      </c>
      <c r="AM223" s="56">
        <v>125000</v>
      </c>
      <c r="AN223" s="31">
        <v>135000</v>
      </c>
      <c r="AO223" s="31" t="s">
        <v>1583</v>
      </c>
      <c r="AP223" s="23" t="s">
        <v>187</v>
      </c>
      <c r="AQ223" s="23" t="s">
        <v>1284</v>
      </c>
    </row>
    <row r="224" spans="1:43">
      <c r="A224" s="39">
        <v>221</v>
      </c>
      <c r="B224" s="39">
        <v>113</v>
      </c>
      <c r="C224" s="572" t="str">
        <f t="shared" si="33"/>
        <v>第3目白ハイツ</v>
      </c>
      <c r="D224" s="45" t="s">
        <v>1589</v>
      </c>
      <c r="E224" s="46">
        <v>54.44</v>
      </c>
      <c r="F224" s="324">
        <v>631</v>
      </c>
      <c r="G224" s="566" t="str">
        <f t="shared" si="34"/>
        <v>住居</v>
      </c>
      <c r="H224" s="44" t="s">
        <v>1717</v>
      </c>
      <c r="I224" s="325">
        <v>127000</v>
      </c>
      <c r="J224" s="325">
        <v>5000</v>
      </c>
      <c r="K224" s="325">
        <v>0</v>
      </c>
      <c r="L224" s="325">
        <v>0</v>
      </c>
      <c r="M224" s="565">
        <f t="shared" si="41"/>
        <v>132000</v>
      </c>
      <c r="N224" s="326">
        <v>137000</v>
      </c>
      <c r="O224" s="326">
        <v>0</v>
      </c>
      <c r="P224" s="565">
        <f t="shared" si="35"/>
        <v>137000</v>
      </c>
      <c r="Q224" s="565">
        <f t="shared" si="42"/>
        <v>132000</v>
      </c>
      <c r="R224" s="325" t="s">
        <v>1568</v>
      </c>
      <c r="S224" s="325" t="s">
        <v>187</v>
      </c>
      <c r="T224" s="327" t="s">
        <v>1284</v>
      </c>
      <c r="V224" s="43" t="s">
        <v>1908</v>
      </c>
      <c r="W224" s="55">
        <v>120000</v>
      </c>
      <c r="Y224" s="6">
        <f t="shared" si="36"/>
        <v>1</v>
      </c>
      <c r="Z224" s="562">
        <f t="shared" si="37"/>
        <v>132000</v>
      </c>
      <c r="AA224" s="122">
        <f t="shared" si="38"/>
        <v>5000</v>
      </c>
      <c r="AB224" s="122">
        <f t="shared" si="39"/>
        <v>12000</v>
      </c>
      <c r="AC224" s="6">
        <f t="shared" si="40"/>
        <v>1</v>
      </c>
      <c r="AD224" s="563">
        <f t="shared" si="43"/>
        <v>1</v>
      </c>
      <c r="AE224" s="64"/>
      <c r="AF224" s="31">
        <v>127000</v>
      </c>
      <c r="AG224" s="31">
        <v>5000</v>
      </c>
      <c r="AH224" s="31">
        <v>0</v>
      </c>
      <c r="AI224" s="31">
        <v>0</v>
      </c>
      <c r="AJ224" s="31">
        <v>132000</v>
      </c>
      <c r="AK224" s="31">
        <v>137000</v>
      </c>
      <c r="AL224" s="31">
        <v>0</v>
      </c>
      <c r="AM224" s="56">
        <v>137000</v>
      </c>
      <c r="AN224" s="31">
        <v>132000</v>
      </c>
      <c r="AO224" s="31" t="s">
        <v>1568</v>
      </c>
      <c r="AP224" s="23" t="s">
        <v>187</v>
      </c>
      <c r="AQ224" s="23" t="s">
        <v>1284</v>
      </c>
    </row>
    <row r="225" spans="1:43">
      <c r="A225" s="39">
        <v>222</v>
      </c>
      <c r="B225" s="39">
        <v>113</v>
      </c>
      <c r="C225" s="572" t="str">
        <f t="shared" si="33"/>
        <v>第3目白ハイツ</v>
      </c>
      <c r="D225" s="45" t="s">
        <v>1591</v>
      </c>
      <c r="E225" s="46">
        <v>52.49</v>
      </c>
      <c r="F225" s="324">
        <v>631</v>
      </c>
      <c r="G225" s="566" t="str">
        <f t="shared" si="34"/>
        <v>住居</v>
      </c>
      <c r="H225" s="44" t="s">
        <v>1717</v>
      </c>
      <c r="I225" s="325">
        <v>125000</v>
      </c>
      <c r="J225" s="325">
        <v>5000</v>
      </c>
      <c r="K225" s="325">
        <v>0</v>
      </c>
      <c r="L225" s="325">
        <v>0</v>
      </c>
      <c r="M225" s="565">
        <f t="shared" si="41"/>
        <v>130000</v>
      </c>
      <c r="N225" s="326">
        <v>130000</v>
      </c>
      <c r="O225" s="326">
        <v>0</v>
      </c>
      <c r="P225" s="565">
        <f t="shared" si="35"/>
        <v>130000</v>
      </c>
      <c r="Q225" s="565">
        <f t="shared" si="42"/>
        <v>130000</v>
      </c>
      <c r="R225" s="325" t="s">
        <v>1578</v>
      </c>
      <c r="S225" s="325" t="s">
        <v>187</v>
      </c>
      <c r="T225" s="327" t="s">
        <v>1284</v>
      </c>
      <c r="V225" s="43" t="s">
        <v>1909</v>
      </c>
      <c r="W225" s="55">
        <v>125000</v>
      </c>
      <c r="Y225" s="6">
        <f t="shared" si="36"/>
        <v>1</v>
      </c>
      <c r="Z225" s="562">
        <f t="shared" si="37"/>
        <v>130000</v>
      </c>
      <c r="AA225" s="122">
        <f t="shared" si="38"/>
        <v>0</v>
      </c>
      <c r="AB225" s="122">
        <f t="shared" si="39"/>
        <v>5000</v>
      </c>
      <c r="AC225" s="6">
        <f t="shared" si="40"/>
        <v>1</v>
      </c>
      <c r="AD225" s="563">
        <f t="shared" si="43"/>
        <v>1</v>
      </c>
      <c r="AE225" s="64"/>
      <c r="AF225" s="31">
        <v>125000</v>
      </c>
      <c r="AG225" s="31">
        <v>5000</v>
      </c>
      <c r="AH225" s="31">
        <v>0</v>
      </c>
      <c r="AI225" s="31">
        <v>0</v>
      </c>
      <c r="AJ225" s="31">
        <v>130000</v>
      </c>
      <c r="AK225" s="31">
        <v>130000</v>
      </c>
      <c r="AL225" s="31">
        <v>0</v>
      </c>
      <c r="AM225" s="56">
        <v>130000</v>
      </c>
      <c r="AN225" s="31">
        <v>130000</v>
      </c>
      <c r="AO225" s="31" t="s">
        <v>1578</v>
      </c>
      <c r="AP225" s="23" t="s">
        <v>187</v>
      </c>
      <c r="AQ225" s="23" t="s">
        <v>1284</v>
      </c>
    </row>
    <row r="226" spans="1:43">
      <c r="A226" s="39">
        <v>223</v>
      </c>
      <c r="B226" s="39">
        <v>113</v>
      </c>
      <c r="C226" s="572" t="str">
        <f t="shared" si="33"/>
        <v>第3目白ハイツ</v>
      </c>
      <c r="D226" s="45" t="s">
        <v>1593</v>
      </c>
      <c r="E226" s="46">
        <v>54.44</v>
      </c>
      <c r="F226" s="324">
        <v>631</v>
      </c>
      <c r="G226" s="566" t="str">
        <f t="shared" si="34"/>
        <v>住居</v>
      </c>
      <c r="H226" s="44" t="s">
        <v>1717</v>
      </c>
      <c r="I226" s="325">
        <v>125000</v>
      </c>
      <c r="J226" s="325">
        <v>5000</v>
      </c>
      <c r="K226" s="325">
        <v>0</v>
      </c>
      <c r="L226" s="325">
        <v>0</v>
      </c>
      <c r="M226" s="565">
        <f t="shared" si="41"/>
        <v>130000</v>
      </c>
      <c r="N226" s="326">
        <v>125000</v>
      </c>
      <c r="O226" s="326">
        <v>0</v>
      </c>
      <c r="P226" s="565">
        <f t="shared" si="35"/>
        <v>125000</v>
      </c>
      <c r="Q226" s="565">
        <f t="shared" si="42"/>
        <v>130000</v>
      </c>
      <c r="R226" s="325" t="s">
        <v>1578</v>
      </c>
      <c r="S226" s="325" t="s">
        <v>187</v>
      </c>
      <c r="T226" s="327" t="s">
        <v>1284</v>
      </c>
      <c r="V226" s="43" t="s">
        <v>1910</v>
      </c>
      <c r="W226" s="55">
        <v>118000</v>
      </c>
      <c r="Y226" s="6">
        <f t="shared" si="36"/>
        <v>1</v>
      </c>
      <c r="Z226" s="562">
        <f t="shared" si="37"/>
        <v>130000</v>
      </c>
      <c r="AA226" s="122">
        <f t="shared" si="38"/>
        <v>-5000</v>
      </c>
      <c r="AB226" s="122">
        <f t="shared" si="39"/>
        <v>12000</v>
      </c>
      <c r="AC226" s="6">
        <f t="shared" si="40"/>
        <v>1</v>
      </c>
      <c r="AD226" s="563">
        <f t="shared" si="43"/>
        <v>1</v>
      </c>
      <c r="AE226" s="64"/>
      <c r="AF226" s="31">
        <v>125000</v>
      </c>
      <c r="AG226" s="31">
        <v>5000</v>
      </c>
      <c r="AH226" s="31">
        <v>0</v>
      </c>
      <c r="AI226" s="31">
        <v>0</v>
      </c>
      <c r="AJ226" s="31">
        <v>130000</v>
      </c>
      <c r="AK226" s="31">
        <v>125000</v>
      </c>
      <c r="AL226" s="31">
        <v>0</v>
      </c>
      <c r="AM226" s="56">
        <v>125000</v>
      </c>
      <c r="AN226" s="31">
        <v>130000</v>
      </c>
      <c r="AO226" s="31" t="s">
        <v>1578</v>
      </c>
      <c r="AP226" s="23" t="s">
        <v>187</v>
      </c>
      <c r="AQ226" s="23" t="s">
        <v>1284</v>
      </c>
    </row>
    <row r="227" spans="1:43">
      <c r="A227" s="39">
        <v>224</v>
      </c>
      <c r="B227" s="39">
        <v>113</v>
      </c>
      <c r="C227" s="572" t="str">
        <f t="shared" si="33"/>
        <v>第3目白ハイツ</v>
      </c>
      <c r="D227" s="45" t="s">
        <v>1729</v>
      </c>
      <c r="E227" s="46">
        <v>52.49</v>
      </c>
      <c r="F227" s="324">
        <v>631</v>
      </c>
      <c r="G227" s="566" t="str">
        <f t="shared" si="34"/>
        <v>住居</v>
      </c>
      <c r="H227" s="44" t="s">
        <v>1717</v>
      </c>
      <c r="I227" s="325">
        <v>115000</v>
      </c>
      <c r="J227" s="325">
        <v>5000</v>
      </c>
      <c r="K227" s="325">
        <v>0</v>
      </c>
      <c r="L227" s="325">
        <v>0</v>
      </c>
      <c r="M227" s="565">
        <f t="shared" si="41"/>
        <v>120000</v>
      </c>
      <c r="N227" s="326">
        <v>120000</v>
      </c>
      <c r="O227" s="326">
        <v>0</v>
      </c>
      <c r="P227" s="565">
        <f t="shared" si="35"/>
        <v>120000</v>
      </c>
      <c r="Q227" s="565">
        <f t="shared" si="42"/>
        <v>120000</v>
      </c>
      <c r="R227" s="325" t="s">
        <v>1568</v>
      </c>
      <c r="S227" s="325" t="s">
        <v>187</v>
      </c>
      <c r="T227" s="327" t="s">
        <v>1284</v>
      </c>
      <c r="V227" s="43" t="s">
        <v>1911</v>
      </c>
      <c r="W227" s="55">
        <v>120000</v>
      </c>
      <c r="Y227" s="6">
        <f t="shared" si="36"/>
        <v>1</v>
      </c>
      <c r="Z227" s="562">
        <f t="shared" si="37"/>
        <v>120000</v>
      </c>
      <c r="AA227" s="122">
        <f t="shared" si="38"/>
        <v>0</v>
      </c>
      <c r="AB227" s="122">
        <f t="shared" si="39"/>
        <v>0</v>
      </c>
      <c r="AC227" s="6">
        <f t="shared" si="40"/>
        <v>1</v>
      </c>
      <c r="AD227" s="563">
        <f t="shared" si="43"/>
        <v>1</v>
      </c>
      <c r="AE227" s="64"/>
      <c r="AF227" s="31">
        <v>115000</v>
      </c>
      <c r="AG227" s="31">
        <v>5000</v>
      </c>
      <c r="AH227" s="31">
        <v>0</v>
      </c>
      <c r="AI227" s="31">
        <v>0</v>
      </c>
      <c r="AJ227" s="31">
        <v>120000</v>
      </c>
      <c r="AK227" s="31">
        <v>120000</v>
      </c>
      <c r="AL227" s="31">
        <v>0</v>
      </c>
      <c r="AM227" s="56">
        <v>120000</v>
      </c>
      <c r="AN227" s="31">
        <v>120000</v>
      </c>
      <c r="AO227" s="31" t="s">
        <v>1568</v>
      </c>
      <c r="AP227" s="23" t="s">
        <v>187</v>
      </c>
      <c r="AQ227" s="23" t="s">
        <v>1284</v>
      </c>
    </row>
    <row r="228" spans="1:43">
      <c r="A228" s="39">
        <v>225</v>
      </c>
      <c r="B228" s="39">
        <v>113</v>
      </c>
      <c r="C228" s="572" t="str">
        <f t="shared" si="33"/>
        <v>第3目白ハイツ</v>
      </c>
      <c r="D228" s="45" t="s">
        <v>1595</v>
      </c>
      <c r="E228" s="46">
        <v>54.44</v>
      </c>
      <c r="F228" s="324">
        <v>631</v>
      </c>
      <c r="G228" s="566" t="str">
        <f t="shared" si="34"/>
        <v>住居</v>
      </c>
      <c r="H228" s="44" t="s">
        <v>1717</v>
      </c>
      <c r="I228" s="325">
        <v>95000</v>
      </c>
      <c r="J228" s="325">
        <v>0</v>
      </c>
      <c r="K228" s="325">
        <v>0</v>
      </c>
      <c r="L228" s="325">
        <v>0</v>
      </c>
      <c r="M228" s="565">
        <f t="shared" si="41"/>
        <v>95000</v>
      </c>
      <c r="N228" s="326">
        <v>85000</v>
      </c>
      <c r="O228" s="326">
        <v>0</v>
      </c>
      <c r="P228" s="565">
        <f t="shared" si="35"/>
        <v>85000</v>
      </c>
      <c r="Q228" s="565">
        <f t="shared" si="42"/>
        <v>95000</v>
      </c>
      <c r="R228" s="325" t="s">
        <v>1568</v>
      </c>
      <c r="S228" s="325" t="s">
        <v>187</v>
      </c>
      <c r="T228" s="327" t="s">
        <v>1284</v>
      </c>
      <c r="V228" s="43" t="s">
        <v>1912</v>
      </c>
      <c r="W228" s="55">
        <v>85000</v>
      </c>
      <c r="Y228" s="6">
        <f t="shared" si="36"/>
        <v>1</v>
      </c>
      <c r="Z228" s="562">
        <f t="shared" si="37"/>
        <v>95000</v>
      </c>
      <c r="AA228" s="122">
        <f t="shared" si="38"/>
        <v>-10000</v>
      </c>
      <c r="AB228" s="122">
        <f t="shared" si="39"/>
        <v>10000</v>
      </c>
      <c r="AC228" s="6">
        <f t="shared" si="40"/>
        <v>1</v>
      </c>
      <c r="AD228" s="563">
        <f t="shared" si="43"/>
        <v>1</v>
      </c>
      <c r="AE228" s="64"/>
      <c r="AF228" s="31">
        <v>95000</v>
      </c>
      <c r="AG228" s="31">
        <v>0</v>
      </c>
      <c r="AH228" s="31">
        <v>0</v>
      </c>
      <c r="AI228" s="31">
        <v>0</v>
      </c>
      <c r="AJ228" s="31">
        <v>95000</v>
      </c>
      <c r="AK228" s="31">
        <v>85000</v>
      </c>
      <c r="AL228" s="31">
        <v>0</v>
      </c>
      <c r="AM228" s="56">
        <v>85000</v>
      </c>
      <c r="AN228" s="31">
        <v>95000</v>
      </c>
      <c r="AO228" s="31" t="s">
        <v>1568</v>
      </c>
      <c r="AP228" s="23" t="s">
        <v>187</v>
      </c>
      <c r="AQ228" s="23" t="s">
        <v>1284</v>
      </c>
    </row>
    <row r="229" spans="1:43">
      <c r="A229" s="39">
        <v>226</v>
      </c>
      <c r="B229" s="39">
        <v>113</v>
      </c>
      <c r="C229" s="572" t="str">
        <f t="shared" si="33"/>
        <v>第3目白ハイツ</v>
      </c>
      <c r="D229" s="45" t="s">
        <v>1597</v>
      </c>
      <c r="E229" s="46">
        <v>52.49</v>
      </c>
      <c r="F229" s="324">
        <v>631</v>
      </c>
      <c r="G229" s="566" t="str">
        <f t="shared" si="34"/>
        <v>住居</v>
      </c>
      <c r="H229" s="44" t="s">
        <v>1717</v>
      </c>
      <c r="I229" s="325">
        <v>118000</v>
      </c>
      <c r="J229" s="325">
        <v>5000</v>
      </c>
      <c r="K229" s="325">
        <v>0</v>
      </c>
      <c r="L229" s="325">
        <v>0</v>
      </c>
      <c r="M229" s="565">
        <f t="shared" si="41"/>
        <v>123000</v>
      </c>
      <c r="N229" s="326">
        <v>123000</v>
      </c>
      <c r="O229" s="326">
        <v>0</v>
      </c>
      <c r="P229" s="565">
        <f t="shared" si="35"/>
        <v>123000</v>
      </c>
      <c r="Q229" s="565">
        <f t="shared" si="42"/>
        <v>123000</v>
      </c>
      <c r="R229" s="325" t="s">
        <v>1568</v>
      </c>
      <c r="S229" s="325" t="s">
        <v>187</v>
      </c>
      <c r="T229" s="327" t="s">
        <v>1284</v>
      </c>
      <c r="V229" s="43" t="s">
        <v>1913</v>
      </c>
      <c r="W229" s="55">
        <v>125000</v>
      </c>
      <c r="Y229" s="6">
        <f t="shared" si="36"/>
        <v>1</v>
      </c>
      <c r="Z229" s="562">
        <f t="shared" si="37"/>
        <v>123000</v>
      </c>
      <c r="AA229" s="122">
        <f t="shared" si="38"/>
        <v>0</v>
      </c>
      <c r="AB229" s="122">
        <f t="shared" si="39"/>
        <v>-2000</v>
      </c>
      <c r="AC229" s="6">
        <f t="shared" si="40"/>
        <v>1</v>
      </c>
      <c r="AD229" s="563">
        <f t="shared" si="43"/>
        <v>1</v>
      </c>
      <c r="AE229" s="64"/>
      <c r="AF229" s="31">
        <v>118000</v>
      </c>
      <c r="AG229" s="31">
        <v>5000</v>
      </c>
      <c r="AH229" s="31">
        <v>0</v>
      </c>
      <c r="AI229" s="31">
        <v>0</v>
      </c>
      <c r="AJ229" s="31">
        <v>123000</v>
      </c>
      <c r="AK229" s="31">
        <v>123000</v>
      </c>
      <c r="AL229" s="31">
        <v>0</v>
      </c>
      <c r="AM229" s="56">
        <v>123000</v>
      </c>
      <c r="AN229" s="31">
        <v>123000</v>
      </c>
      <c r="AO229" s="31" t="s">
        <v>1568</v>
      </c>
      <c r="AP229" s="23" t="s">
        <v>187</v>
      </c>
      <c r="AQ229" s="23" t="s">
        <v>1284</v>
      </c>
    </row>
    <row r="230" spans="1:43">
      <c r="A230" s="39">
        <v>227</v>
      </c>
      <c r="B230" s="39">
        <v>113</v>
      </c>
      <c r="C230" s="572" t="str">
        <f t="shared" si="33"/>
        <v>第3目白ハイツ</v>
      </c>
      <c r="D230" s="45" t="s">
        <v>1603</v>
      </c>
      <c r="E230" s="46">
        <v>54.44</v>
      </c>
      <c r="F230" s="324">
        <v>631</v>
      </c>
      <c r="G230" s="566" t="str">
        <f t="shared" si="34"/>
        <v>住居</v>
      </c>
      <c r="H230" s="44" t="s">
        <v>1717</v>
      </c>
      <c r="I230" s="325">
        <v>115000</v>
      </c>
      <c r="J230" s="325">
        <v>5000</v>
      </c>
      <c r="K230" s="325">
        <v>0</v>
      </c>
      <c r="L230" s="325">
        <v>0</v>
      </c>
      <c r="M230" s="565">
        <f t="shared" si="41"/>
        <v>120000</v>
      </c>
      <c r="N230" s="326">
        <v>120000</v>
      </c>
      <c r="O230" s="326">
        <v>0</v>
      </c>
      <c r="P230" s="565">
        <f t="shared" si="35"/>
        <v>120000</v>
      </c>
      <c r="Q230" s="565">
        <f t="shared" si="42"/>
        <v>120000</v>
      </c>
      <c r="R230" s="325" t="s">
        <v>1578</v>
      </c>
      <c r="S230" s="325" t="s">
        <v>187</v>
      </c>
      <c r="T230" s="327" t="s">
        <v>1284</v>
      </c>
      <c r="V230" s="43" t="s">
        <v>1914</v>
      </c>
      <c r="W230" s="55">
        <v>125000</v>
      </c>
      <c r="Y230" s="6">
        <f t="shared" si="36"/>
        <v>1</v>
      </c>
      <c r="Z230" s="562">
        <f t="shared" si="37"/>
        <v>120000</v>
      </c>
      <c r="AA230" s="122">
        <f t="shared" si="38"/>
        <v>0</v>
      </c>
      <c r="AB230" s="122">
        <f t="shared" si="39"/>
        <v>-5000</v>
      </c>
      <c r="AC230" s="6">
        <f t="shared" si="40"/>
        <v>1</v>
      </c>
      <c r="AD230" s="563">
        <f t="shared" si="43"/>
        <v>1</v>
      </c>
      <c r="AE230" s="64"/>
      <c r="AF230" s="31">
        <v>115000</v>
      </c>
      <c r="AG230" s="31">
        <v>5000</v>
      </c>
      <c r="AH230" s="31">
        <v>0</v>
      </c>
      <c r="AI230" s="31">
        <v>0</v>
      </c>
      <c r="AJ230" s="31">
        <v>120000</v>
      </c>
      <c r="AK230" s="31">
        <v>120000</v>
      </c>
      <c r="AL230" s="31">
        <v>0</v>
      </c>
      <c r="AM230" s="56">
        <v>120000</v>
      </c>
      <c r="AN230" s="31">
        <v>120000</v>
      </c>
      <c r="AO230" s="31" t="s">
        <v>1578</v>
      </c>
      <c r="AP230" s="23" t="s">
        <v>187</v>
      </c>
      <c r="AQ230" s="23" t="s">
        <v>1284</v>
      </c>
    </row>
    <row r="231" spans="1:43">
      <c r="A231" s="39">
        <v>228</v>
      </c>
      <c r="B231" s="39">
        <v>113</v>
      </c>
      <c r="C231" s="572" t="str">
        <f t="shared" si="33"/>
        <v>第3目白ハイツ</v>
      </c>
      <c r="D231" s="45" t="s">
        <v>1605</v>
      </c>
      <c r="E231" s="46">
        <v>52.49</v>
      </c>
      <c r="F231" s="324">
        <v>631</v>
      </c>
      <c r="G231" s="566" t="str">
        <f t="shared" si="34"/>
        <v>住居</v>
      </c>
      <c r="H231" s="44" t="s">
        <v>1717</v>
      </c>
      <c r="I231" s="325">
        <v>121000</v>
      </c>
      <c r="J231" s="325">
        <v>5000</v>
      </c>
      <c r="K231" s="325">
        <v>0</v>
      </c>
      <c r="L231" s="325">
        <v>0</v>
      </c>
      <c r="M231" s="565">
        <f t="shared" si="41"/>
        <v>126000</v>
      </c>
      <c r="N231" s="326">
        <v>126000</v>
      </c>
      <c r="O231" s="326">
        <v>0</v>
      </c>
      <c r="P231" s="565">
        <f t="shared" si="35"/>
        <v>126000</v>
      </c>
      <c r="Q231" s="565">
        <f t="shared" si="42"/>
        <v>126000</v>
      </c>
      <c r="R231" s="325" t="s">
        <v>1568</v>
      </c>
      <c r="S231" s="325" t="s">
        <v>187</v>
      </c>
      <c r="T231" s="327" t="s">
        <v>1284</v>
      </c>
      <c r="V231" s="43" t="s">
        <v>1915</v>
      </c>
      <c r="W231" s="55">
        <v>126000</v>
      </c>
      <c r="Y231" s="6">
        <f t="shared" si="36"/>
        <v>1</v>
      </c>
      <c r="Z231" s="562">
        <f t="shared" si="37"/>
        <v>126000</v>
      </c>
      <c r="AA231" s="122">
        <f t="shared" si="38"/>
        <v>0</v>
      </c>
      <c r="AB231" s="122">
        <f t="shared" si="39"/>
        <v>0</v>
      </c>
      <c r="AC231" s="6">
        <f t="shared" si="40"/>
        <v>1</v>
      </c>
      <c r="AD231" s="563">
        <f t="shared" si="43"/>
        <v>1</v>
      </c>
      <c r="AE231" s="64"/>
      <c r="AF231" s="31">
        <v>121000</v>
      </c>
      <c r="AG231" s="31">
        <v>5000</v>
      </c>
      <c r="AH231" s="31">
        <v>0</v>
      </c>
      <c r="AI231" s="31">
        <v>0</v>
      </c>
      <c r="AJ231" s="31">
        <v>126000</v>
      </c>
      <c r="AK231" s="31">
        <v>126000</v>
      </c>
      <c r="AL231" s="31">
        <v>0</v>
      </c>
      <c r="AM231" s="56">
        <v>126000</v>
      </c>
      <c r="AN231" s="31">
        <v>126000</v>
      </c>
      <c r="AO231" s="31" t="s">
        <v>1568</v>
      </c>
      <c r="AP231" s="23" t="s">
        <v>187</v>
      </c>
      <c r="AQ231" s="23" t="s">
        <v>1284</v>
      </c>
    </row>
    <row r="232" spans="1:43">
      <c r="A232" s="39">
        <v>229</v>
      </c>
      <c r="B232" s="39">
        <v>113</v>
      </c>
      <c r="C232" s="572" t="str">
        <f t="shared" si="33"/>
        <v>第3目白ハイツ</v>
      </c>
      <c r="D232" s="45" t="s">
        <v>1607</v>
      </c>
      <c r="E232" s="46">
        <v>54.44</v>
      </c>
      <c r="F232" s="324">
        <v>631</v>
      </c>
      <c r="G232" s="566" t="str">
        <f t="shared" si="34"/>
        <v>住居</v>
      </c>
      <c r="H232" s="44" t="s">
        <v>1717</v>
      </c>
      <c r="I232" s="325">
        <v>125000</v>
      </c>
      <c r="J232" s="325">
        <v>5000</v>
      </c>
      <c r="K232" s="325">
        <v>0</v>
      </c>
      <c r="L232" s="325">
        <v>0</v>
      </c>
      <c r="M232" s="565">
        <f t="shared" si="41"/>
        <v>130000</v>
      </c>
      <c r="N232" s="326">
        <v>125000</v>
      </c>
      <c r="O232" s="326">
        <v>0</v>
      </c>
      <c r="P232" s="565">
        <f t="shared" si="35"/>
        <v>125000</v>
      </c>
      <c r="Q232" s="565">
        <f t="shared" si="42"/>
        <v>130000</v>
      </c>
      <c r="R232" s="325" t="s">
        <v>1568</v>
      </c>
      <c r="S232" s="325" t="s">
        <v>187</v>
      </c>
      <c r="T232" s="327" t="s">
        <v>1284</v>
      </c>
      <c r="V232" s="43" t="s">
        <v>1916</v>
      </c>
      <c r="W232" s="55">
        <v>123000</v>
      </c>
      <c r="Y232" s="6">
        <f t="shared" si="36"/>
        <v>1</v>
      </c>
      <c r="Z232" s="562">
        <f t="shared" si="37"/>
        <v>130000</v>
      </c>
      <c r="AA232" s="122">
        <f t="shared" si="38"/>
        <v>-5000</v>
      </c>
      <c r="AB232" s="122">
        <f t="shared" si="39"/>
        <v>7000</v>
      </c>
      <c r="AC232" s="6">
        <f t="shared" si="40"/>
        <v>1</v>
      </c>
      <c r="AD232" s="563">
        <f t="shared" si="43"/>
        <v>1</v>
      </c>
      <c r="AE232" s="64"/>
      <c r="AF232" s="31">
        <v>125000</v>
      </c>
      <c r="AG232" s="31">
        <v>5000</v>
      </c>
      <c r="AH232" s="31">
        <v>0</v>
      </c>
      <c r="AI232" s="31">
        <v>0</v>
      </c>
      <c r="AJ232" s="31">
        <v>130000</v>
      </c>
      <c r="AK232" s="31">
        <v>125000</v>
      </c>
      <c r="AL232" s="31">
        <v>0</v>
      </c>
      <c r="AM232" s="56">
        <v>125000</v>
      </c>
      <c r="AN232" s="31">
        <v>130000</v>
      </c>
      <c r="AO232" s="31" t="s">
        <v>1568</v>
      </c>
      <c r="AP232" s="23" t="s">
        <v>187</v>
      </c>
      <c r="AQ232" s="23" t="s">
        <v>1284</v>
      </c>
    </row>
    <row r="233" spans="1:43">
      <c r="A233" s="39">
        <v>230</v>
      </c>
      <c r="B233" s="39">
        <v>113</v>
      </c>
      <c r="C233" s="572" t="str">
        <f t="shared" si="33"/>
        <v>第3目白ハイツ</v>
      </c>
      <c r="D233" s="45" t="s">
        <v>1734</v>
      </c>
      <c r="E233" s="46">
        <v>52.49</v>
      </c>
      <c r="F233" s="324">
        <v>631</v>
      </c>
      <c r="G233" s="566" t="str">
        <f t="shared" si="34"/>
        <v>住居</v>
      </c>
      <c r="H233" s="44" t="s">
        <v>1717</v>
      </c>
      <c r="I233" s="325">
        <v>116000</v>
      </c>
      <c r="J233" s="325">
        <v>5000</v>
      </c>
      <c r="K233" s="325">
        <v>0</v>
      </c>
      <c r="L233" s="325">
        <v>0</v>
      </c>
      <c r="M233" s="565">
        <f t="shared" si="41"/>
        <v>121000</v>
      </c>
      <c r="N233" s="326">
        <v>121000</v>
      </c>
      <c r="O233" s="326">
        <v>0</v>
      </c>
      <c r="P233" s="565">
        <f t="shared" si="35"/>
        <v>121000</v>
      </c>
      <c r="Q233" s="565">
        <f t="shared" si="42"/>
        <v>121000</v>
      </c>
      <c r="R233" s="325" t="s">
        <v>1568</v>
      </c>
      <c r="S233" s="325" t="s">
        <v>187</v>
      </c>
      <c r="T233" s="327" t="s">
        <v>1284</v>
      </c>
      <c r="V233" s="43" t="s">
        <v>1917</v>
      </c>
      <c r="W233" s="55">
        <v>121000</v>
      </c>
      <c r="Y233" s="6">
        <f t="shared" si="36"/>
        <v>1</v>
      </c>
      <c r="Z233" s="562">
        <f t="shared" si="37"/>
        <v>121000</v>
      </c>
      <c r="AA233" s="122">
        <f t="shared" si="38"/>
        <v>0</v>
      </c>
      <c r="AB233" s="122">
        <f t="shared" si="39"/>
        <v>0</v>
      </c>
      <c r="AC233" s="6">
        <f t="shared" si="40"/>
        <v>1</v>
      </c>
      <c r="AD233" s="563">
        <f t="shared" si="43"/>
        <v>1</v>
      </c>
      <c r="AE233" s="64"/>
      <c r="AF233" s="31">
        <v>116000</v>
      </c>
      <c r="AG233" s="31">
        <v>5000</v>
      </c>
      <c r="AH233" s="31">
        <v>0</v>
      </c>
      <c r="AI233" s="31">
        <v>0</v>
      </c>
      <c r="AJ233" s="31">
        <v>121000</v>
      </c>
      <c r="AK233" s="31">
        <v>121000</v>
      </c>
      <c r="AL233" s="31">
        <v>0</v>
      </c>
      <c r="AM233" s="56">
        <v>121000</v>
      </c>
      <c r="AN233" s="31">
        <v>121000</v>
      </c>
      <c r="AO233" s="31" t="s">
        <v>1568</v>
      </c>
      <c r="AP233" s="23" t="s">
        <v>187</v>
      </c>
      <c r="AQ233" s="23" t="s">
        <v>1284</v>
      </c>
    </row>
    <row r="234" spans="1:43">
      <c r="A234" s="39">
        <v>231</v>
      </c>
      <c r="B234" s="39">
        <v>113</v>
      </c>
      <c r="C234" s="572" t="str">
        <f t="shared" si="33"/>
        <v>第3目白ハイツ</v>
      </c>
      <c r="D234" s="45" t="s">
        <v>1609</v>
      </c>
      <c r="E234" s="46">
        <v>54.44</v>
      </c>
      <c r="F234" s="324">
        <v>631</v>
      </c>
      <c r="G234" s="566" t="str">
        <f t="shared" si="34"/>
        <v>住居</v>
      </c>
      <c r="H234" s="44" t="s">
        <v>1717</v>
      </c>
      <c r="I234" s="325">
        <v>120000</v>
      </c>
      <c r="J234" s="325">
        <v>5000</v>
      </c>
      <c r="K234" s="325">
        <v>0</v>
      </c>
      <c r="L234" s="325">
        <v>0</v>
      </c>
      <c r="M234" s="565">
        <f t="shared" si="41"/>
        <v>125000</v>
      </c>
      <c r="N234" s="326">
        <v>125000</v>
      </c>
      <c r="O234" s="326">
        <v>0</v>
      </c>
      <c r="P234" s="565">
        <f t="shared" si="35"/>
        <v>125000</v>
      </c>
      <c r="Q234" s="565">
        <f t="shared" si="42"/>
        <v>125000</v>
      </c>
      <c r="R234" s="325" t="s">
        <v>1578</v>
      </c>
      <c r="S234" s="325" t="s">
        <v>187</v>
      </c>
      <c r="T234" s="327" t="s">
        <v>1284</v>
      </c>
      <c r="V234" s="43" t="s">
        <v>1918</v>
      </c>
      <c r="W234" s="55">
        <v>123000</v>
      </c>
      <c r="Y234" s="6">
        <f t="shared" si="36"/>
        <v>1</v>
      </c>
      <c r="Z234" s="562">
        <f t="shared" si="37"/>
        <v>125000</v>
      </c>
      <c r="AA234" s="122">
        <f t="shared" si="38"/>
        <v>0</v>
      </c>
      <c r="AB234" s="122">
        <f t="shared" si="39"/>
        <v>2000</v>
      </c>
      <c r="AC234" s="6">
        <f t="shared" si="40"/>
        <v>1</v>
      </c>
      <c r="AD234" s="563">
        <f t="shared" si="43"/>
        <v>1</v>
      </c>
      <c r="AE234" s="64"/>
      <c r="AF234" s="31">
        <v>120000</v>
      </c>
      <c r="AG234" s="31">
        <v>5000</v>
      </c>
      <c r="AH234" s="31">
        <v>0</v>
      </c>
      <c r="AI234" s="31">
        <v>0</v>
      </c>
      <c r="AJ234" s="31">
        <v>125000</v>
      </c>
      <c r="AK234" s="31">
        <v>125000</v>
      </c>
      <c r="AL234" s="31">
        <v>0</v>
      </c>
      <c r="AM234" s="56">
        <v>125000</v>
      </c>
      <c r="AN234" s="31">
        <v>125000</v>
      </c>
      <c r="AO234" s="31" t="s">
        <v>1578</v>
      </c>
      <c r="AP234" s="23" t="s">
        <v>187</v>
      </c>
      <c r="AQ234" s="23" t="s">
        <v>1284</v>
      </c>
    </row>
    <row r="235" spans="1:43">
      <c r="A235" s="39">
        <v>232</v>
      </c>
      <c r="B235" s="39">
        <v>113</v>
      </c>
      <c r="C235" s="572" t="str">
        <f t="shared" si="33"/>
        <v>第3目白ハイツ</v>
      </c>
      <c r="D235" s="45" t="s">
        <v>1611</v>
      </c>
      <c r="E235" s="46">
        <v>52.49</v>
      </c>
      <c r="F235" s="324">
        <v>631</v>
      </c>
      <c r="G235" s="566" t="str">
        <f t="shared" si="34"/>
        <v>住居</v>
      </c>
      <c r="H235" s="44" t="s">
        <v>1717</v>
      </c>
      <c r="I235" s="325">
        <v>126000</v>
      </c>
      <c r="J235" s="325">
        <v>5000</v>
      </c>
      <c r="K235" s="325">
        <v>0</v>
      </c>
      <c r="L235" s="325">
        <v>0</v>
      </c>
      <c r="M235" s="565">
        <f t="shared" si="41"/>
        <v>131000</v>
      </c>
      <c r="N235" s="326">
        <v>131000</v>
      </c>
      <c r="O235" s="326">
        <v>0</v>
      </c>
      <c r="P235" s="565">
        <f t="shared" si="35"/>
        <v>131000</v>
      </c>
      <c r="Q235" s="565">
        <f t="shared" si="42"/>
        <v>131000</v>
      </c>
      <c r="R235" s="325" t="s">
        <v>1583</v>
      </c>
      <c r="S235" s="325" t="s">
        <v>187</v>
      </c>
      <c r="T235" s="327" t="s">
        <v>1284</v>
      </c>
      <c r="V235" s="43" t="s">
        <v>1919</v>
      </c>
      <c r="W235" s="55">
        <v>131000</v>
      </c>
      <c r="Y235" s="6">
        <f t="shared" si="36"/>
        <v>1</v>
      </c>
      <c r="Z235" s="562">
        <f t="shared" si="37"/>
        <v>131000</v>
      </c>
      <c r="AA235" s="122">
        <f t="shared" si="38"/>
        <v>0</v>
      </c>
      <c r="AB235" s="122">
        <f t="shared" si="39"/>
        <v>0</v>
      </c>
      <c r="AC235" s="6">
        <f t="shared" si="40"/>
        <v>1</v>
      </c>
      <c r="AD235" s="563">
        <f t="shared" si="43"/>
        <v>1</v>
      </c>
      <c r="AE235" s="64"/>
      <c r="AF235" s="31">
        <v>126000</v>
      </c>
      <c r="AG235" s="31">
        <v>5000</v>
      </c>
      <c r="AH235" s="31">
        <v>0</v>
      </c>
      <c r="AI235" s="31">
        <v>0</v>
      </c>
      <c r="AJ235" s="31">
        <v>131000</v>
      </c>
      <c r="AK235" s="31">
        <v>131000</v>
      </c>
      <c r="AL235" s="31">
        <v>0</v>
      </c>
      <c r="AM235" s="56">
        <v>131000</v>
      </c>
      <c r="AN235" s="31">
        <v>131000</v>
      </c>
      <c r="AO235" s="31" t="s">
        <v>1583</v>
      </c>
      <c r="AP235" s="23" t="s">
        <v>187</v>
      </c>
      <c r="AQ235" s="23" t="s">
        <v>1284</v>
      </c>
    </row>
    <row r="236" spans="1:43">
      <c r="A236" s="39">
        <v>233</v>
      </c>
      <c r="B236" s="39">
        <v>113</v>
      </c>
      <c r="C236" s="572" t="str">
        <f t="shared" si="33"/>
        <v>第3目白ハイツ</v>
      </c>
      <c r="D236" s="45" t="s">
        <v>1673</v>
      </c>
      <c r="E236" s="46">
        <v>0</v>
      </c>
      <c r="F236" s="324">
        <v>634</v>
      </c>
      <c r="G236" s="566" t="str">
        <f t="shared" si="34"/>
        <v>駐車場</v>
      </c>
      <c r="H236" s="44" t="s">
        <v>1674</v>
      </c>
      <c r="I236" s="325">
        <v>20000</v>
      </c>
      <c r="J236" s="325">
        <v>0</v>
      </c>
      <c r="K236" s="325">
        <v>0</v>
      </c>
      <c r="L236" s="325">
        <v>2000</v>
      </c>
      <c r="M236" s="565">
        <f t="shared" si="41"/>
        <v>22000</v>
      </c>
      <c r="N236" s="326">
        <v>20000</v>
      </c>
      <c r="O236" s="326">
        <v>2000</v>
      </c>
      <c r="P236" s="565">
        <f t="shared" si="35"/>
        <v>22000</v>
      </c>
      <c r="Q236" s="565">
        <f t="shared" si="42"/>
        <v>22000</v>
      </c>
      <c r="R236" s="325" t="s">
        <v>1575</v>
      </c>
      <c r="S236" s="325" t="s">
        <v>187</v>
      </c>
      <c r="T236" s="327" t="s">
        <v>1284</v>
      </c>
      <c r="V236" s="43" t="s">
        <v>1920</v>
      </c>
      <c r="W236" s="55">
        <v>20000</v>
      </c>
      <c r="Y236" s="6">
        <f t="shared" si="36"/>
        <v>1</v>
      </c>
      <c r="Z236" s="562">
        <f t="shared" si="37"/>
        <v>20000</v>
      </c>
      <c r="AA236" s="122">
        <f t="shared" si="38"/>
        <v>0</v>
      </c>
      <c r="AB236" s="122">
        <f t="shared" si="39"/>
        <v>0</v>
      </c>
      <c r="AC236" s="6">
        <f t="shared" si="40"/>
        <v>1</v>
      </c>
      <c r="AD236" s="563">
        <f t="shared" si="43"/>
        <v>1</v>
      </c>
      <c r="AE236" s="64"/>
      <c r="AF236" s="31">
        <v>20000</v>
      </c>
      <c r="AG236" s="31">
        <v>0</v>
      </c>
      <c r="AH236" s="31">
        <v>0</v>
      </c>
      <c r="AI236" s="31">
        <v>2000</v>
      </c>
      <c r="AJ236" s="31">
        <v>22000</v>
      </c>
      <c r="AK236" s="31">
        <v>20000</v>
      </c>
      <c r="AL236" s="31">
        <v>2000</v>
      </c>
      <c r="AM236" s="56">
        <v>22000</v>
      </c>
      <c r="AN236" s="31">
        <v>22000</v>
      </c>
      <c r="AO236" s="31" t="s">
        <v>1575</v>
      </c>
      <c r="AP236" s="23" t="s">
        <v>187</v>
      </c>
      <c r="AQ236" s="23" t="s">
        <v>1284</v>
      </c>
    </row>
    <row r="237" spans="1:43">
      <c r="A237" s="39">
        <v>234</v>
      </c>
      <c r="B237" s="39">
        <v>113</v>
      </c>
      <c r="C237" s="572" t="str">
        <f t="shared" si="33"/>
        <v>第3目白ハイツ</v>
      </c>
      <c r="D237" s="45" t="s">
        <v>1622</v>
      </c>
      <c r="E237" s="46" t="s">
        <v>1017</v>
      </c>
      <c r="F237" s="324">
        <v>639</v>
      </c>
      <c r="G237" s="566" t="str">
        <f t="shared" si="34"/>
        <v>その他</v>
      </c>
      <c r="H237" s="46" t="s">
        <v>1789</v>
      </c>
      <c r="I237" s="325">
        <v>0</v>
      </c>
      <c r="J237" s="325">
        <v>0</v>
      </c>
      <c r="K237" s="325">
        <v>0</v>
      </c>
      <c r="L237" s="325">
        <v>0</v>
      </c>
      <c r="M237" s="565">
        <f t="shared" si="41"/>
        <v>0</v>
      </c>
      <c r="N237" s="326">
        <v>0</v>
      </c>
      <c r="O237" s="326">
        <v>0</v>
      </c>
      <c r="P237" s="565">
        <f t="shared" si="35"/>
        <v>0</v>
      </c>
      <c r="Q237" s="565">
        <f t="shared" si="42"/>
        <v>0</v>
      </c>
      <c r="R237" s="325" t="s">
        <v>1017</v>
      </c>
      <c r="S237" s="325" t="s">
        <v>283</v>
      </c>
      <c r="T237" s="327" t="s">
        <v>1623</v>
      </c>
      <c r="V237" s="43" t="s">
        <v>1921</v>
      </c>
      <c r="W237" s="55">
        <v>0</v>
      </c>
      <c r="Y237" s="6">
        <f t="shared" si="36"/>
        <v>0</v>
      </c>
      <c r="Z237" s="562">
        <f t="shared" si="37"/>
        <v>0</v>
      </c>
      <c r="AA237" s="122">
        <f t="shared" si="38"/>
        <v>0</v>
      </c>
      <c r="AB237" s="122">
        <f t="shared" si="39"/>
        <v>0</v>
      </c>
      <c r="AC237" s="6">
        <f t="shared" si="40"/>
        <v>0</v>
      </c>
      <c r="AD237" s="563">
        <f t="shared" si="43"/>
        <v>1</v>
      </c>
      <c r="AE237" s="64"/>
      <c r="AF237" s="31">
        <v>0</v>
      </c>
      <c r="AG237" s="31">
        <v>0</v>
      </c>
      <c r="AH237" s="31">
        <v>0</v>
      </c>
      <c r="AI237" s="31">
        <v>0</v>
      </c>
      <c r="AJ237" s="31">
        <v>0</v>
      </c>
      <c r="AK237" s="31">
        <v>0</v>
      </c>
      <c r="AL237" s="31">
        <v>0</v>
      </c>
      <c r="AM237" s="56">
        <v>0</v>
      </c>
      <c r="AN237" s="31">
        <v>0</v>
      </c>
      <c r="AO237" s="31" t="s">
        <v>1017</v>
      </c>
      <c r="AP237" s="23" t="s">
        <v>283</v>
      </c>
      <c r="AQ237" s="23" t="s">
        <v>1623</v>
      </c>
    </row>
    <row r="238" spans="1:43">
      <c r="A238" s="40">
        <v>235</v>
      </c>
      <c r="B238" s="40">
        <v>114</v>
      </c>
      <c r="C238" s="573" t="str">
        <f t="shared" si="33"/>
        <v>レジデンス目白豊島</v>
      </c>
      <c r="D238" s="45" t="s">
        <v>1580</v>
      </c>
      <c r="E238" s="46">
        <v>32.4</v>
      </c>
      <c r="F238" s="324">
        <v>631</v>
      </c>
      <c r="G238" s="566" t="str">
        <f t="shared" si="34"/>
        <v>住居</v>
      </c>
      <c r="H238" s="44" t="s">
        <v>1669</v>
      </c>
      <c r="I238" s="325">
        <v>83000</v>
      </c>
      <c r="J238" s="325">
        <v>2000</v>
      </c>
      <c r="K238" s="325">
        <v>0</v>
      </c>
      <c r="L238" s="325">
        <v>0</v>
      </c>
      <c r="M238" s="565">
        <f t="shared" si="41"/>
        <v>85000</v>
      </c>
      <c r="N238" s="326">
        <v>85000</v>
      </c>
      <c r="O238" s="326">
        <v>0</v>
      </c>
      <c r="P238" s="565">
        <f t="shared" si="35"/>
        <v>85000</v>
      </c>
      <c r="Q238" s="565">
        <f t="shared" si="42"/>
        <v>85000</v>
      </c>
      <c r="R238" s="325" t="s">
        <v>1568</v>
      </c>
      <c r="S238" s="325" t="s">
        <v>187</v>
      </c>
      <c r="T238" s="327" t="s">
        <v>1284</v>
      </c>
      <c r="V238" s="43" t="s">
        <v>1922</v>
      </c>
      <c r="W238" s="55">
        <v>85000</v>
      </c>
      <c r="Y238" s="6">
        <f t="shared" si="36"/>
        <v>1</v>
      </c>
      <c r="Z238" s="562">
        <f t="shared" si="37"/>
        <v>85000</v>
      </c>
      <c r="AA238" s="122">
        <f t="shared" si="38"/>
        <v>0</v>
      </c>
      <c r="AB238" s="122">
        <f t="shared" si="39"/>
        <v>0</v>
      </c>
      <c r="AC238" s="6">
        <f t="shared" si="40"/>
        <v>1</v>
      </c>
      <c r="AD238" s="563">
        <f t="shared" si="43"/>
        <v>1</v>
      </c>
      <c r="AE238" s="64"/>
      <c r="AF238" s="31">
        <v>83000</v>
      </c>
      <c r="AG238" s="31">
        <v>2000</v>
      </c>
      <c r="AH238" s="31">
        <v>0</v>
      </c>
      <c r="AI238" s="31">
        <v>0</v>
      </c>
      <c r="AJ238" s="31">
        <v>85000</v>
      </c>
      <c r="AK238" s="31">
        <v>85000</v>
      </c>
      <c r="AL238" s="31">
        <v>0</v>
      </c>
      <c r="AM238" s="56">
        <v>85000</v>
      </c>
      <c r="AN238" s="31">
        <v>85000</v>
      </c>
      <c r="AO238" s="31" t="s">
        <v>1568</v>
      </c>
      <c r="AP238" s="23" t="s">
        <v>187</v>
      </c>
      <c r="AQ238" s="23" t="s">
        <v>1284</v>
      </c>
    </row>
    <row r="239" spans="1:43">
      <c r="A239" s="40">
        <v>236</v>
      </c>
      <c r="B239" s="40">
        <v>114</v>
      </c>
      <c r="C239" s="573" t="str">
        <f t="shared" si="33"/>
        <v>レジデンス目白豊島</v>
      </c>
      <c r="D239" s="45" t="s">
        <v>1582</v>
      </c>
      <c r="E239" s="46">
        <v>18</v>
      </c>
      <c r="F239" s="324">
        <v>631</v>
      </c>
      <c r="G239" s="566" t="str">
        <f t="shared" si="34"/>
        <v>住居</v>
      </c>
      <c r="H239" s="44" t="s">
        <v>1709</v>
      </c>
      <c r="I239" s="325">
        <v>58000</v>
      </c>
      <c r="J239" s="325">
        <v>2000</v>
      </c>
      <c r="K239" s="325">
        <v>0</v>
      </c>
      <c r="L239" s="325">
        <v>0</v>
      </c>
      <c r="M239" s="565">
        <f t="shared" si="41"/>
        <v>60000</v>
      </c>
      <c r="N239" s="326">
        <v>60000</v>
      </c>
      <c r="O239" s="326">
        <v>0</v>
      </c>
      <c r="P239" s="565">
        <f t="shared" si="35"/>
        <v>60000</v>
      </c>
      <c r="Q239" s="565">
        <f t="shared" si="42"/>
        <v>60000</v>
      </c>
      <c r="R239" s="325" t="s">
        <v>1578</v>
      </c>
      <c r="S239" s="325" t="s">
        <v>187</v>
      </c>
      <c r="T239" s="327" t="s">
        <v>1284</v>
      </c>
      <c r="V239" s="43" t="s">
        <v>1923</v>
      </c>
      <c r="W239" s="55">
        <v>60000</v>
      </c>
      <c r="Y239" s="6">
        <f t="shared" si="36"/>
        <v>1</v>
      </c>
      <c r="Z239" s="562">
        <f t="shared" si="37"/>
        <v>60000</v>
      </c>
      <c r="AA239" s="122">
        <f t="shared" si="38"/>
        <v>0</v>
      </c>
      <c r="AB239" s="122">
        <f t="shared" si="39"/>
        <v>0</v>
      </c>
      <c r="AC239" s="6">
        <f t="shared" si="40"/>
        <v>1</v>
      </c>
      <c r="AD239" s="563">
        <f t="shared" si="43"/>
        <v>1</v>
      </c>
      <c r="AE239" s="64"/>
      <c r="AF239" s="31">
        <v>58000</v>
      </c>
      <c r="AG239" s="31">
        <v>2000</v>
      </c>
      <c r="AH239" s="31">
        <v>0</v>
      </c>
      <c r="AI239" s="31">
        <v>0</v>
      </c>
      <c r="AJ239" s="31">
        <v>60000</v>
      </c>
      <c r="AK239" s="31">
        <v>60000</v>
      </c>
      <c r="AL239" s="31">
        <v>0</v>
      </c>
      <c r="AM239" s="56">
        <v>60000</v>
      </c>
      <c r="AN239" s="31">
        <v>60000</v>
      </c>
      <c r="AO239" s="31" t="s">
        <v>1578</v>
      </c>
      <c r="AP239" s="23" t="s">
        <v>187</v>
      </c>
      <c r="AQ239" s="23" t="s">
        <v>1284</v>
      </c>
    </row>
    <row r="240" spans="1:43">
      <c r="A240" s="40">
        <v>237</v>
      </c>
      <c r="B240" s="40">
        <v>114</v>
      </c>
      <c r="C240" s="573" t="str">
        <f t="shared" si="33"/>
        <v>レジデンス目白豊島</v>
      </c>
      <c r="D240" s="45" t="s">
        <v>1585</v>
      </c>
      <c r="E240" s="46">
        <v>18</v>
      </c>
      <c r="F240" s="324">
        <v>631</v>
      </c>
      <c r="G240" s="566" t="str">
        <f t="shared" si="34"/>
        <v>住居</v>
      </c>
      <c r="H240" s="44" t="s">
        <v>1709</v>
      </c>
      <c r="I240" s="325">
        <v>50000</v>
      </c>
      <c r="J240" s="325">
        <v>3000</v>
      </c>
      <c r="K240" s="325">
        <v>0</v>
      </c>
      <c r="L240" s="325">
        <v>0</v>
      </c>
      <c r="M240" s="565">
        <f t="shared" si="41"/>
        <v>53000</v>
      </c>
      <c r="N240" s="326">
        <v>62000</v>
      </c>
      <c r="O240" s="326">
        <v>0</v>
      </c>
      <c r="P240" s="565">
        <f t="shared" si="35"/>
        <v>62000</v>
      </c>
      <c r="Q240" s="565">
        <f t="shared" si="42"/>
        <v>53000</v>
      </c>
      <c r="R240" s="325" t="s">
        <v>1578</v>
      </c>
      <c r="S240" s="325" t="s">
        <v>187</v>
      </c>
      <c r="T240" s="327" t="s">
        <v>1284</v>
      </c>
      <c r="V240" s="43" t="s">
        <v>1924</v>
      </c>
      <c r="W240" s="55">
        <v>60000</v>
      </c>
      <c r="Y240" s="6">
        <f t="shared" si="36"/>
        <v>1</v>
      </c>
      <c r="Z240" s="562">
        <f t="shared" si="37"/>
        <v>53000</v>
      </c>
      <c r="AA240" s="122">
        <f t="shared" si="38"/>
        <v>9000</v>
      </c>
      <c r="AB240" s="122">
        <f t="shared" si="39"/>
        <v>-7000</v>
      </c>
      <c r="AC240" s="6">
        <f t="shared" si="40"/>
        <v>1</v>
      </c>
      <c r="AD240" s="563">
        <f t="shared" si="43"/>
        <v>1</v>
      </c>
      <c r="AE240" s="64"/>
      <c r="AF240" s="31">
        <v>50000</v>
      </c>
      <c r="AG240" s="31">
        <v>3000</v>
      </c>
      <c r="AH240" s="31">
        <v>0</v>
      </c>
      <c r="AI240" s="31">
        <v>0</v>
      </c>
      <c r="AJ240" s="31">
        <v>53000</v>
      </c>
      <c r="AK240" s="31">
        <v>62000</v>
      </c>
      <c r="AL240" s="31">
        <v>0</v>
      </c>
      <c r="AM240" s="56">
        <v>62000</v>
      </c>
      <c r="AN240" s="31">
        <v>53000</v>
      </c>
      <c r="AO240" s="31" t="s">
        <v>1578</v>
      </c>
      <c r="AP240" s="23" t="s">
        <v>187</v>
      </c>
      <c r="AQ240" s="23" t="s">
        <v>1284</v>
      </c>
    </row>
    <row r="241" spans="1:43">
      <c r="A241" s="40">
        <v>238</v>
      </c>
      <c r="B241" s="40">
        <v>114</v>
      </c>
      <c r="C241" s="573" t="str">
        <f t="shared" si="33"/>
        <v>レジデンス目白豊島</v>
      </c>
      <c r="D241" s="45" t="s">
        <v>1587</v>
      </c>
      <c r="E241" s="46">
        <v>18.239999999999998</v>
      </c>
      <c r="F241" s="324">
        <v>631</v>
      </c>
      <c r="G241" s="566" t="str">
        <f t="shared" si="34"/>
        <v>住居</v>
      </c>
      <c r="H241" s="44" t="s">
        <v>1709</v>
      </c>
      <c r="I241" s="325">
        <v>63000</v>
      </c>
      <c r="J241" s="325">
        <v>2000</v>
      </c>
      <c r="K241" s="325">
        <v>0</v>
      </c>
      <c r="L241" s="325">
        <v>0</v>
      </c>
      <c r="M241" s="565">
        <f t="shared" si="41"/>
        <v>65000</v>
      </c>
      <c r="N241" s="326">
        <v>65000</v>
      </c>
      <c r="O241" s="326">
        <v>0</v>
      </c>
      <c r="P241" s="565">
        <f t="shared" si="35"/>
        <v>65000</v>
      </c>
      <c r="Q241" s="565">
        <f t="shared" si="42"/>
        <v>65000</v>
      </c>
      <c r="R241" s="325" t="s">
        <v>1568</v>
      </c>
      <c r="S241" s="325" t="s">
        <v>187</v>
      </c>
      <c r="T241" s="327" t="s">
        <v>1284</v>
      </c>
      <c r="V241" s="43" t="s">
        <v>1925</v>
      </c>
      <c r="W241" s="55">
        <v>65000</v>
      </c>
      <c r="Y241" s="6">
        <f t="shared" si="36"/>
        <v>1</v>
      </c>
      <c r="Z241" s="562">
        <f t="shared" si="37"/>
        <v>65000</v>
      </c>
      <c r="AA241" s="122">
        <f t="shared" si="38"/>
        <v>0</v>
      </c>
      <c r="AB241" s="122">
        <f t="shared" si="39"/>
        <v>0</v>
      </c>
      <c r="AC241" s="6">
        <f t="shared" si="40"/>
        <v>1</v>
      </c>
      <c r="AD241" s="563">
        <f t="shared" si="43"/>
        <v>1</v>
      </c>
      <c r="AE241" s="64"/>
      <c r="AF241" s="31">
        <v>63000</v>
      </c>
      <c r="AG241" s="31">
        <v>2000</v>
      </c>
      <c r="AH241" s="31">
        <v>0</v>
      </c>
      <c r="AI241" s="31">
        <v>0</v>
      </c>
      <c r="AJ241" s="31">
        <v>65000</v>
      </c>
      <c r="AK241" s="31">
        <v>65000</v>
      </c>
      <c r="AL241" s="31">
        <v>0</v>
      </c>
      <c r="AM241" s="56">
        <v>65000</v>
      </c>
      <c r="AN241" s="31">
        <v>65000</v>
      </c>
      <c r="AO241" s="31" t="s">
        <v>1568</v>
      </c>
      <c r="AP241" s="23" t="s">
        <v>187</v>
      </c>
      <c r="AQ241" s="23" t="s">
        <v>1284</v>
      </c>
    </row>
    <row r="242" spans="1:43">
      <c r="A242" s="40">
        <v>239</v>
      </c>
      <c r="B242" s="40">
        <v>114</v>
      </c>
      <c r="C242" s="573" t="str">
        <f t="shared" si="33"/>
        <v>レジデンス目白豊島</v>
      </c>
      <c r="D242" s="45" t="s">
        <v>1642</v>
      </c>
      <c r="E242" s="46">
        <v>18</v>
      </c>
      <c r="F242" s="324">
        <v>631</v>
      </c>
      <c r="G242" s="566" t="str">
        <f t="shared" si="34"/>
        <v>住居</v>
      </c>
      <c r="H242" s="44" t="s">
        <v>1709</v>
      </c>
      <c r="I242" s="325">
        <v>53700</v>
      </c>
      <c r="J242" s="325">
        <v>6300</v>
      </c>
      <c r="K242" s="325">
        <v>0</v>
      </c>
      <c r="L242" s="325">
        <v>0</v>
      </c>
      <c r="M242" s="565">
        <f t="shared" si="41"/>
        <v>60000</v>
      </c>
      <c r="N242" s="326">
        <v>62000</v>
      </c>
      <c r="O242" s="326">
        <v>0</v>
      </c>
      <c r="P242" s="565">
        <f t="shared" si="35"/>
        <v>62000</v>
      </c>
      <c r="Q242" s="565">
        <f t="shared" si="42"/>
        <v>60000</v>
      </c>
      <c r="R242" s="325" t="s">
        <v>1568</v>
      </c>
      <c r="S242" s="325" t="s">
        <v>187</v>
      </c>
      <c r="T242" s="327" t="s">
        <v>1284</v>
      </c>
      <c r="V242" s="43" t="s">
        <v>1926</v>
      </c>
      <c r="W242" s="55">
        <v>62000</v>
      </c>
      <c r="Y242" s="6">
        <f t="shared" si="36"/>
        <v>1</v>
      </c>
      <c r="Z242" s="562">
        <f t="shared" si="37"/>
        <v>60000</v>
      </c>
      <c r="AA242" s="122">
        <f t="shared" si="38"/>
        <v>2000</v>
      </c>
      <c r="AB242" s="122">
        <f t="shared" si="39"/>
        <v>-2000</v>
      </c>
      <c r="AC242" s="6">
        <f t="shared" si="40"/>
        <v>1</v>
      </c>
      <c r="AD242" s="563">
        <f t="shared" si="43"/>
        <v>1</v>
      </c>
      <c r="AE242" s="64"/>
      <c r="AF242" s="31">
        <v>53700</v>
      </c>
      <c r="AG242" s="31">
        <v>6300</v>
      </c>
      <c r="AH242" s="31">
        <v>0</v>
      </c>
      <c r="AI242" s="31">
        <v>0</v>
      </c>
      <c r="AJ242" s="31">
        <v>60000</v>
      </c>
      <c r="AK242" s="31">
        <v>62000</v>
      </c>
      <c r="AL242" s="31">
        <v>0</v>
      </c>
      <c r="AM242" s="56">
        <v>62000</v>
      </c>
      <c r="AN242" s="31">
        <v>60000</v>
      </c>
      <c r="AO242" s="31" t="s">
        <v>1568</v>
      </c>
      <c r="AP242" s="23" t="s">
        <v>187</v>
      </c>
      <c r="AQ242" s="23" t="s">
        <v>1284</v>
      </c>
    </row>
    <row r="243" spans="1:43">
      <c r="A243" s="40">
        <v>240</v>
      </c>
      <c r="B243" s="40">
        <v>114</v>
      </c>
      <c r="C243" s="573" t="str">
        <f t="shared" si="33"/>
        <v>レジデンス目白豊島</v>
      </c>
      <c r="D243" s="45" t="s">
        <v>1589</v>
      </c>
      <c r="E243" s="46">
        <v>32.4</v>
      </c>
      <c r="F243" s="324">
        <v>632</v>
      </c>
      <c r="G243" s="566" t="str">
        <f t="shared" si="34"/>
        <v>事務所</v>
      </c>
      <c r="H243" s="44" t="s">
        <v>1669</v>
      </c>
      <c r="I243" s="325">
        <v>84000</v>
      </c>
      <c r="J243" s="325">
        <v>2000</v>
      </c>
      <c r="K243" s="325">
        <v>0</v>
      </c>
      <c r="L243" s="325">
        <v>8600</v>
      </c>
      <c r="M243" s="565">
        <f t="shared" si="41"/>
        <v>94600</v>
      </c>
      <c r="N243" s="326">
        <v>86000</v>
      </c>
      <c r="O243" s="326">
        <v>8600</v>
      </c>
      <c r="P243" s="565">
        <f t="shared" si="35"/>
        <v>94600</v>
      </c>
      <c r="Q243" s="565">
        <f t="shared" si="42"/>
        <v>94600</v>
      </c>
      <c r="R243" s="325" t="s">
        <v>1583</v>
      </c>
      <c r="S243" s="325" t="s">
        <v>187</v>
      </c>
      <c r="T243" s="327" t="s">
        <v>1284</v>
      </c>
      <c r="V243" s="43" t="s">
        <v>1927</v>
      </c>
      <c r="W243" s="55">
        <v>86000</v>
      </c>
      <c r="Y243" s="6">
        <f t="shared" si="36"/>
        <v>1</v>
      </c>
      <c r="Z243" s="562">
        <f t="shared" si="37"/>
        <v>86000</v>
      </c>
      <c r="AA243" s="122">
        <f t="shared" si="38"/>
        <v>0</v>
      </c>
      <c r="AB243" s="122">
        <f t="shared" si="39"/>
        <v>0</v>
      </c>
      <c r="AC243" s="6">
        <f t="shared" si="40"/>
        <v>1</v>
      </c>
      <c r="AD243" s="563">
        <f t="shared" si="43"/>
        <v>1</v>
      </c>
      <c r="AE243" s="64"/>
      <c r="AF243" s="31">
        <v>84000</v>
      </c>
      <c r="AG243" s="31">
        <v>2000</v>
      </c>
      <c r="AH243" s="31">
        <v>0</v>
      </c>
      <c r="AI243" s="31">
        <v>8600</v>
      </c>
      <c r="AJ243" s="31">
        <v>94600</v>
      </c>
      <c r="AK243" s="31">
        <v>86000</v>
      </c>
      <c r="AL243" s="31">
        <v>8600</v>
      </c>
      <c r="AM243" s="56">
        <v>94600</v>
      </c>
      <c r="AN243" s="31">
        <v>94600</v>
      </c>
      <c r="AO243" s="31" t="s">
        <v>1583</v>
      </c>
      <c r="AP243" s="23" t="s">
        <v>187</v>
      </c>
      <c r="AQ243" s="23" t="s">
        <v>1284</v>
      </c>
    </row>
    <row r="244" spans="1:43">
      <c r="A244" s="40">
        <v>241</v>
      </c>
      <c r="B244" s="40">
        <v>114</v>
      </c>
      <c r="C244" s="573" t="str">
        <f t="shared" si="33"/>
        <v>レジデンス目白豊島</v>
      </c>
      <c r="D244" s="45" t="s">
        <v>1591</v>
      </c>
      <c r="E244" s="46">
        <v>18</v>
      </c>
      <c r="F244" s="324">
        <v>631</v>
      </c>
      <c r="G244" s="566" t="str">
        <f t="shared" si="34"/>
        <v>住居</v>
      </c>
      <c r="H244" s="44" t="s">
        <v>1709</v>
      </c>
      <c r="I244" s="325">
        <v>58000</v>
      </c>
      <c r="J244" s="325">
        <v>2000</v>
      </c>
      <c r="K244" s="325">
        <v>0</v>
      </c>
      <c r="L244" s="325">
        <v>0</v>
      </c>
      <c r="M244" s="565">
        <f t="shared" si="41"/>
        <v>60000</v>
      </c>
      <c r="N244" s="326">
        <v>60000</v>
      </c>
      <c r="O244" s="326">
        <v>0</v>
      </c>
      <c r="P244" s="565">
        <f t="shared" si="35"/>
        <v>60000</v>
      </c>
      <c r="Q244" s="565">
        <f t="shared" si="42"/>
        <v>60000</v>
      </c>
      <c r="R244" s="325" t="s">
        <v>1568</v>
      </c>
      <c r="S244" s="325" t="s">
        <v>187</v>
      </c>
      <c r="T244" s="327" t="s">
        <v>1284</v>
      </c>
      <c r="V244" s="43" t="s">
        <v>1928</v>
      </c>
      <c r="W244" s="55">
        <v>60000</v>
      </c>
      <c r="Y244" s="6">
        <f t="shared" si="36"/>
        <v>1</v>
      </c>
      <c r="Z244" s="562">
        <f t="shared" si="37"/>
        <v>60000</v>
      </c>
      <c r="AA244" s="122">
        <f t="shared" si="38"/>
        <v>0</v>
      </c>
      <c r="AB244" s="122">
        <f t="shared" si="39"/>
        <v>0</v>
      </c>
      <c r="AC244" s="6">
        <f t="shared" si="40"/>
        <v>1</v>
      </c>
      <c r="AD244" s="563">
        <f t="shared" si="43"/>
        <v>1</v>
      </c>
      <c r="AE244" s="64"/>
      <c r="AF244" s="31">
        <v>58000</v>
      </c>
      <c r="AG244" s="31">
        <v>2000</v>
      </c>
      <c r="AH244" s="31">
        <v>0</v>
      </c>
      <c r="AI244" s="31">
        <v>0</v>
      </c>
      <c r="AJ244" s="31">
        <v>60000</v>
      </c>
      <c r="AK244" s="31">
        <v>60000</v>
      </c>
      <c r="AL244" s="31">
        <v>0</v>
      </c>
      <c r="AM244" s="56">
        <v>60000</v>
      </c>
      <c r="AN244" s="31">
        <v>60000</v>
      </c>
      <c r="AO244" s="31" t="s">
        <v>1568</v>
      </c>
      <c r="AP244" s="23" t="s">
        <v>187</v>
      </c>
      <c r="AQ244" s="23" t="s">
        <v>1284</v>
      </c>
    </row>
    <row r="245" spans="1:43">
      <c r="A245" s="40">
        <v>242</v>
      </c>
      <c r="B245" s="40">
        <v>114</v>
      </c>
      <c r="C245" s="573" t="str">
        <f t="shared" si="33"/>
        <v>レジデンス目白豊島</v>
      </c>
      <c r="D245" s="45" t="s">
        <v>1593</v>
      </c>
      <c r="E245" s="46">
        <v>18</v>
      </c>
      <c r="F245" s="324">
        <v>631</v>
      </c>
      <c r="G245" s="566" t="str">
        <f t="shared" si="34"/>
        <v>住居</v>
      </c>
      <c r="H245" s="44" t="s">
        <v>1709</v>
      </c>
      <c r="I245" s="325">
        <v>62000</v>
      </c>
      <c r="J245" s="325">
        <v>3000</v>
      </c>
      <c r="K245" s="325">
        <v>0</v>
      </c>
      <c r="L245" s="325">
        <v>0</v>
      </c>
      <c r="M245" s="565">
        <f t="shared" si="41"/>
        <v>65000</v>
      </c>
      <c r="N245" s="326">
        <v>67000</v>
      </c>
      <c r="O245" s="326">
        <v>0</v>
      </c>
      <c r="P245" s="565">
        <f t="shared" si="35"/>
        <v>67000</v>
      </c>
      <c r="Q245" s="565">
        <f t="shared" si="42"/>
        <v>65000</v>
      </c>
      <c r="R245" s="325" t="s">
        <v>1578</v>
      </c>
      <c r="S245" s="325" t="s">
        <v>187</v>
      </c>
      <c r="T245" s="327" t="s">
        <v>1284</v>
      </c>
      <c r="V245" s="43" t="s">
        <v>1929</v>
      </c>
      <c r="W245" s="55">
        <v>60000</v>
      </c>
      <c r="Y245" s="6">
        <f t="shared" si="36"/>
        <v>1</v>
      </c>
      <c r="Z245" s="562">
        <f t="shared" si="37"/>
        <v>65000</v>
      </c>
      <c r="AA245" s="122">
        <f t="shared" si="38"/>
        <v>2000</v>
      </c>
      <c r="AB245" s="122">
        <f t="shared" si="39"/>
        <v>5000</v>
      </c>
      <c r="AC245" s="6">
        <f t="shared" si="40"/>
        <v>1</v>
      </c>
      <c r="AD245" s="563">
        <f t="shared" si="43"/>
        <v>1</v>
      </c>
      <c r="AE245" s="64"/>
      <c r="AF245" s="31">
        <v>62000</v>
      </c>
      <c r="AG245" s="31">
        <v>3000</v>
      </c>
      <c r="AH245" s="31">
        <v>0</v>
      </c>
      <c r="AI245" s="31">
        <v>0</v>
      </c>
      <c r="AJ245" s="31">
        <v>65000</v>
      </c>
      <c r="AK245" s="31">
        <v>67000</v>
      </c>
      <c r="AL245" s="31">
        <v>0</v>
      </c>
      <c r="AM245" s="56">
        <v>67000</v>
      </c>
      <c r="AN245" s="31">
        <v>65000</v>
      </c>
      <c r="AO245" s="31" t="s">
        <v>1578</v>
      </c>
      <c r="AP245" s="23" t="s">
        <v>187</v>
      </c>
      <c r="AQ245" s="23" t="s">
        <v>1284</v>
      </c>
    </row>
    <row r="246" spans="1:43">
      <c r="A246" s="40">
        <v>243</v>
      </c>
      <c r="B246" s="40">
        <v>114</v>
      </c>
      <c r="C246" s="573" t="str">
        <f t="shared" si="33"/>
        <v>レジデンス目白豊島</v>
      </c>
      <c r="D246" s="45" t="s">
        <v>1595</v>
      </c>
      <c r="E246" s="46">
        <v>16.5</v>
      </c>
      <c r="F246" s="324">
        <v>631</v>
      </c>
      <c r="G246" s="566" t="str">
        <f t="shared" si="34"/>
        <v>住居</v>
      </c>
      <c r="H246" s="44" t="s">
        <v>1709</v>
      </c>
      <c r="I246" s="325">
        <v>60000</v>
      </c>
      <c r="J246" s="325">
        <v>2000</v>
      </c>
      <c r="K246" s="325">
        <v>0</v>
      </c>
      <c r="L246" s="325">
        <v>0</v>
      </c>
      <c r="M246" s="565">
        <f t="shared" si="41"/>
        <v>62000</v>
      </c>
      <c r="N246" s="326">
        <v>62000</v>
      </c>
      <c r="O246" s="326">
        <v>0</v>
      </c>
      <c r="P246" s="565">
        <f t="shared" si="35"/>
        <v>62000</v>
      </c>
      <c r="Q246" s="565">
        <f t="shared" si="42"/>
        <v>62000</v>
      </c>
      <c r="R246" s="325" t="s">
        <v>1568</v>
      </c>
      <c r="S246" s="325" t="s">
        <v>187</v>
      </c>
      <c r="T246" s="327" t="s">
        <v>1284</v>
      </c>
      <c r="V246" s="43" t="s">
        <v>1930</v>
      </c>
      <c r="W246" s="55">
        <v>62000</v>
      </c>
      <c r="Y246" s="6">
        <f t="shared" si="36"/>
        <v>1</v>
      </c>
      <c r="Z246" s="562">
        <f t="shared" si="37"/>
        <v>62000</v>
      </c>
      <c r="AA246" s="122">
        <f t="shared" si="38"/>
        <v>0</v>
      </c>
      <c r="AB246" s="122">
        <f t="shared" si="39"/>
        <v>0</v>
      </c>
      <c r="AC246" s="6">
        <f t="shared" si="40"/>
        <v>1</v>
      </c>
      <c r="AD246" s="563">
        <f t="shared" si="43"/>
        <v>1</v>
      </c>
      <c r="AE246" s="64"/>
      <c r="AF246" s="31">
        <v>60000</v>
      </c>
      <c r="AG246" s="31">
        <v>2000</v>
      </c>
      <c r="AH246" s="31">
        <v>0</v>
      </c>
      <c r="AI246" s="31">
        <v>0</v>
      </c>
      <c r="AJ246" s="31">
        <v>62000</v>
      </c>
      <c r="AK246" s="31">
        <v>62000</v>
      </c>
      <c r="AL246" s="31">
        <v>0</v>
      </c>
      <c r="AM246" s="56">
        <v>62000</v>
      </c>
      <c r="AN246" s="31">
        <v>62000</v>
      </c>
      <c r="AO246" s="31" t="s">
        <v>1568</v>
      </c>
      <c r="AP246" s="23" t="s">
        <v>187</v>
      </c>
      <c r="AQ246" s="23" t="s">
        <v>1284</v>
      </c>
    </row>
    <row r="247" spans="1:43">
      <c r="A247" s="40">
        <v>244</v>
      </c>
      <c r="B247" s="40">
        <v>114</v>
      </c>
      <c r="C247" s="573" t="str">
        <f t="shared" si="33"/>
        <v>レジデンス目白豊島</v>
      </c>
      <c r="D247" s="45" t="s">
        <v>1597</v>
      </c>
      <c r="E247" s="46">
        <v>17</v>
      </c>
      <c r="F247" s="324">
        <v>631</v>
      </c>
      <c r="G247" s="566" t="str">
        <f t="shared" si="34"/>
        <v>住居</v>
      </c>
      <c r="H247" s="44" t="s">
        <v>1709</v>
      </c>
      <c r="I247" s="325">
        <v>65000</v>
      </c>
      <c r="J247" s="325">
        <v>2000</v>
      </c>
      <c r="K247" s="325">
        <v>0</v>
      </c>
      <c r="L247" s="325">
        <v>0</v>
      </c>
      <c r="M247" s="565">
        <f t="shared" si="41"/>
        <v>67000</v>
      </c>
      <c r="N247" s="326">
        <v>67000</v>
      </c>
      <c r="O247" s="326">
        <v>0</v>
      </c>
      <c r="P247" s="565">
        <f t="shared" si="35"/>
        <v>67000</v>
      </c>
      <c r="Q247" s="565">
        <f t="shared" si="42"/>
        <v>67000</v>
      </c>
      <c r="R247" s="325" t="s">
        <v>1578</v>
      </c>
      <c r="S247" s="325" t="s">
        <v>187</v>
      </c>
      <c r="T247" s="327" t="s">
        <v>1284</v>
      </c>
      <c r="V247" s="43" t="s">
        <v>1931</v>
      </c>
      <c r="W247" s="55">
        <v>60000</v>
      </c>
      <c r="Y247" s="6">
        <f t="shared" si="36"/>
        <v>1</v>
      </c>
      <c r="Z247" s="562">
        <f t="shared" si="37"/>
        <v>67000</v>
      </c>
      <c r="AA247" s="122">
        <f t="shared" si="38"/>
        <v>0</v>
      </c>
      <c r="AB247" s="122">
        <f t="shared" si="39"/>
        <v>7000</v>
      </c>
      <c r="AC247" s="6">
        <f t="shared" si="40"/>
        <v>1</v>
      </c>
      <c r="AD247" s="563">
        <f t="shared" si="43"/>
        <v>1</v>
      </c>
      <c r="AE247" s="64"/>
      <c r="AF247" s="31">
        <v>65000</v>
      </c>
      <c r="AG247" s="31">
        <v>2000</v>
      </c>
      <c r="AH247" s="31">
        <v>0</v>
      </c>
      <c r="AI247" s="31">
        <v>0</v>
      </c>
      <c r="AJ247" s="31">
        <v>67000</v>
      </c>
      <c r="AK247" s="31">
        <v>67000</v>
      </c>
      <c r="AL247" s="31">
        <v>0</v>
      </c>
      <c r="AM247" s="56">
        <v>67000</v>
      </c>
      <c r="AN247" s="31">
        <v>67000</v>
      </c>
      <c r="AO247" s="31" t="s">
        <v>1578</v>
      </c>
      <c r="AP247" s="23" t="s">
        <v>187</v>
      </c>
      <c r="AQ247" s="23" t="s">
        <v>1284</v>
      </c>
    </row>
    <row r="248" spans="1:43">
      <c r="A248" s="40">
        <v>245</v>
      </c>
      <c r="B248" s="40">
        <v>114</v>
      </c>
      <c r="C248" s="573" t="str">
        <f t="shared" si="33"/>
        <v>レジデンス目白豊島</v>
      </c>
      <c r="D248" s="45" t="s">
        <v>1603</v>
      </c>
      <c r="E248" s="46">
        <v>33</v>
      </c>
      <c r="F248" s="324">
        <v>631</v>
      </c>
      <c r="G248" s="566" t="str">
        <f t="shared" si="34"/>
        <v>住居</v>
      </c>
      <c r="H248" s="44" t="s">
        <v>1669</v>
      </c>
      <c r="I248" s="325">
        <v>88000</v>
      </c>
      <c r="J248" s="325">
        <v>2000</v>
      </c>
      <c r="K248" s="325">
        <v>0</v>
      </c>
      <c r="L248" s="325">
        <v>0</v>
      </c>
      <c r="M248" s="565">
        <f t="shared" si="41"/>
        <v>90000</v>
      </c>
      <c r="N248" s="326">
        <v>90000</v>
      </c>
      <c r="O248" s="326">
        <v>0</v>
      </c>
      <c r="P248" s="565">
        <f t="shared" si="35"/>
        <v>90000</v>
      </c>
      <c r="Q248" s="565">
        <f t="shared" si="42"/>
        <v>90000</v>
      </c>
      <c r="R248" s="325" t="s">
        <v>1568</v>
      </c>
      <c r="S248" s="325" t="s">
        <v>187</v>
      </c>
      <c r="T248" s="327" t="s">
        <v>1284</v>
      </c>
      <c r="V248" s="43" t="s">
        <v>1932</v>
      </c>
      <c r="W248" s="55">
        <v>85000</v>
      </c>
      <c r="Y248" s="6">
        <f t="shared" si="36"/>
        <v>1</v>
      </c>
      <c r="Z248" s="562">
        <f t="shared" si="37"/>
        <v>90000</v>
      </c>
      <c r="AA248" s="122">
        <f t="shared" si="38"/>
        <v>0</v>
      </c>
      <c r="AB248" s="122">
        <f t="shared" si="39"/>
        <v>5000</v>
      </c>
      <c r="AC248" s="6">
        <f t="shared" si="40"/>
        <v>1</v>
      </c>
      <c r="AD248" s="563">
        <f t="shared" si="43"/>
        <v>1</v>
      </c>
      <c r="AE248" s="64"/>
      <c r="AF248" s="31">
        <v>88000</v>
      </c>
      <c r="AG248" s="31">
        <v>2000</v>
      </c>
      <c r="AH248" s="31">
        <v>0</v>
      </c>
      <c r="AI248" s="31">
        <v>0</v>
      </c>
      <c r="AJ248" s="31">
        <v>90000</v>
      </c>
      <c r="AK248" s="31">
        <v>90000</v>
      </c>
      <c r="AL248" s="31">
        <v>0</v>
      </c>
      <c r="AM248" s="56">
        <v>90000</v>
      </c>
      <c r="AN248" s="31">
        <v>90000</v>
      </c>
      <c r="AO248" s="31" t="s">
        <v>1568</v>
      </c>
      <c r="AP248" s="23" t="s">
        <v>187</v>
      </c>
      <c r="AQ248" s="23" t="s">
        <v>1284</v>
      </c>
    </row>
    <row r="249" spans="1:43">
      <c r="A249" s="40">
        <v>246</v>
      </c>
      <c r="B249" s="40">
        <v>114</v>
      </c>
      <c r="C249" s="573" t="str">
        <f t="shared" si="33"/>
        <v>レジデンス目白豊島</v>
      </c>
      <c r="D249" s="45" t="s">
        <v>1605</v>
      </c>
      <c r="E249" s="46">
        <v>18</v>
      </c>
      <c r="F249" s="324">
        <v>631</v>
      </c>
      <c r="G249" s="566" t="str">
        <f t="shared" si="34"/>
        <v>住居</v>
      </c>
      <c r="H249" s="44" t="s">
        <v>1709</v>
      </c>
      <c r="I249" s="325">
        <v>67000</v>
      </c>
      <c r="J249" s="325">
        <v>2000</v>
      </c>
      <c r="K249" s="325">
        <v>0</v>
      </c>
      <c r="L249" s="325">
        <v>0</v>
      </c>
      <c r="M249" s="565">
        <f t="shared" si="41"/>
        <v>69000</v>
      </c>
      <c r="N249" s="326">
        <v>69000</v>
      </c>
      <c r="O249" s="326">
        <v>0</v>
      </c>
      <c r="P249" s="565">
        <f t="shared" si="35"/>
        <v>69000</v>
      </c>
      <c r="Q249" s="565">
        <f t="shared" si="42"/>
        <v>69000</v>
      </c>
      <c r="R249" s="325" t="s">
        <v>1578</v>
      </c>
      <c r="S249" s="325" t="s">
        <v>187</v>
      </c>
      <c r="T249" s="327" t="s">
        <v>1284</v>
      </c>
      <c r="V249" s="43" t="s">
        <v>1933</v>
      </c>
      <c r="W249" s="55">
        <v>62000</v>
      </c>
      <c r="Y249" s="6">
        <f t="shared" si="36"/>
        <v>1</v>
      </c>
      <c r="Z249" s="562">
        <f t="shared" si="37"/>
        <v>69000</v>
      </c>
      <c r="AA249" s="122">
        <f t="shared" si="38"/>
        <v>0</v>
      </c>
      <c r="AB249" s="122">
        <f t="shared" si="39"/>
        <v>7000</v>
      </c>
      <c r="AC249" s="6">
        <f t="shared" si="40"/>
        <v>1</v>
      </c>
      <c r="AD249" s="563">
        <f t="shared" si="43"/>
        <v>1</v>
      </c>
      <c r="AE249" s="64"/>
      <c r="AF249" s="31">
        <v>67000</v>
      </c>
      <c r="AG249" s="31">
        <v>2000</v>
      </c>
      <c r="AH249" s="31">
        <v>0</v>
      </c>
      <c r="AI249" s="31">
        <v>0</v>
      </c>
      <c r="AJ249" s="31">
        <v>69000</v>
      </c>
      <c r="AK249" s="31">
        <v>69000</v>
      </c>
      <c r="AL249" s="31">
        <v>0</v>
      </c>
      <c r="AM249" s="56">
        <v>69000</v>
      </c>
      <c r="AN249" s="31">
        <v>69000</v>
      </c>
      <c r="AO249" s="31" t="s">
        <v>1578</v>
      </c>
      <c r="AP249" s="23" t="s">
        <v>187</v>
      </c>
      <c r="AQ249" s="23" t="s">
        <v>1284</v>
      </c>
    </row>
    <row r="250" spans="1:43">
      <c r="A250" s="40">
        <v>247</v>
      </c>
      <c r="B250" s="40">
        <v>114</v>
      </c>
      <c r="C250" s="573" t="str">
        <f t="shared" si="33"/>
        <v>レジデンス目白豊島</v>
      </c>
      <c r="D250" s="45" t="s">
        <v>1607</v>
      </c>
      <c r="E250" s="46">
        <v>20</v>
      </c>
      <c r="F250" s="324">
        <v>631</v>
      </c>
      <c r="G250" s="566" t="str">
        <f t="shared" si="34"/>
        <v>住居</v>
      </c>
      <c r="H250" s="44" t="s">
        <v>1709</v>
      </c>
      <c r="I250" s="325">
        <v>65000</v>
      </c>
      <c r="J250" s="325">
        <v>2000</v>
      </c>
      <c r="K250" s="325">
        <v>0</v>
      </c>
      <c r="L250" s="325">
        <v>0</v>
      </c>
      <c r="M250" s="565">
        <f t="shared" si="41"/>
        <v>67000</v>
      </c>
      <c r="N250" s="326">
        <v>67000</v>
      </c>
      <c r="O250" s="326">
        <v>0</v>
      </c>
      <c r="P250" s="565">
        <f t="shared" si="35"/>
        <v>67000</v>
      </c>
      <c r="Q250" s="565">
        <f t="shared" si="42"/>
        <v>67000</v>
      </c>
      <c r="R250" s="325" t="s">
        <v>1568</v>
      </c>
      <c r="S250" s="325" t="s">
        <v>187</v>
      </c>
      <c r="T250" s="327" t="s">
        <v>1284</v>
      </c>
      <c r="V250" s="43" t="s">
        <v>1934</v>
      </c>
      <c r="W250" s="55">
        <v>67000</v>
      </c>
      <c r="Y250" s="6">
        <f t="shared" si="36"/>
        <v>1</v>
      </c>
      <c r="Z250" s="562">
        <f t="shared" si="37"/>
        <v>67000</v>
      </c>
      <c r="AA250" s="122">
        <f t="shared" si="38"/>
        <v>0</v>
      </c>
      <c r="AB250" s="122">
        <f t="shared" si="39"/>
        <v>0</v>
      </c>
      <c r="AC250" s="6">
        <f t="shared" si="40"/>
        <v>1</v>
      </c>
      <c r="AD250" s="563">
        <f t="shared" si="43"/>
        <v>1</v>
      </c>
      <c r="AE250" s="64"/>
      <c r="AF250" s="31">
        <v>65000</v>
      </c>
      <c r="AG250" s="31">
        <v>2000</v>
      </c>
      <c r="AH250" s="31">
        <v>0</v>
      </c>
      <c r="AI250" s="31">
        <v>0</v>
      </c>
      <c r="AJ250" s="31">
        <v>67000</v>
      </c>
      <c r="AK250" s="31">
        <v>67000</v>
      </c>
      <c r="AL250" s="31">
        <v>0</v>
      </c>
      <c r="AM250" s="56">
        <v>67000</v>
      </c>
      <c r="AN250" s="31">
        <v>67000</v>
      </c>
      <c r="AO250" s="31" t="s">
        <v>1568</v>
      </c>
      <c r="AP250" s="23" t="s">
        <v>187</v>
      </c>
      <c r="AQ250" s="23" t="s">
        <v>1284</v>
      </c>
    </row>
    <row r="251" spans="1:43">
      <c r="A251" s="40">
        <v>248</v>
      </c>
      <c r="B251" s="40">
        <v>114</v>
      </c>
      <c r="C251" s="573" t="str">
        <f t="shared" si="33"/>
        <v>レジデンス目白豊島</v>
      </c>
      <c r="D251" s="45" t="s">
        <v>1609</v>
      </c>
      <c r="E251" s="46">
        <v>18</v>
      </c>
      <c r="F251" s="324">
        <v>631</v>
      </c>
      <c r="G251" s="566" t="str">
        <f t="shared" si="34"/>
        <v>住居</v>
      </c>
      <c r="H251" s="44" t="s">
        <v>1709</v>
      </c>
      <c r="I251" s="325">
        <v>62000</v>
      </c>
      <c r="J251" s="325">
        <v>3000</v>
      </c>
      <c r="K251" s="325">
        <v>0</v>
      </c>
      <c r="L251" s="325">
        <v>0</v>
      </c>
      <c r="M251" s="565">
        <f t="shared" si="41"/>
        <v>65000</v>
      </c>
      <c r="N251" s="326">
        <v>65000</v>
      </c>
      <c r="O251" s="326">
        <v>0</v>
      </c>
      <c r="P251" s="565">
        <f t="shared" si="35"/>
        <v>65000</v>
      </c>
      <c r="Q251" s="565">
        <f t="shared" si="42"/>
        <v>65000</v>
      </c>
      <c r="R251" s="325" t="s">
        <v>1578</v>
      </c>
      <c r="S251" s="325" t="s">
        <v>187</v>
      </c>
      <c r="T251" s="327" t="s">
        <v>1284</v>
      </c>
      <c r="V251" s="43" t="s">
        <v>1935</v>
      </c>
      <c r="W251" s="55">
        <v>65000</v>
      </c>
      <c r="Y251" s="6">
        <f t="shared" si="36"/>
        <v>1</v>
      </c>
      <c r="Z251" s="562">
        <f t="shared" si="37"/>
        <v>65000</v>
      </c>
      <c r="AA251" s="122">
        <f t="shared" si="38"/>
        <v>0</v>
      </c>
      <c r="AB251" s="122">
        <f t="shared" si="39"/>
        <v>0</v>
      </c>
      <c r="AC251" s="6">
        <f t="shared" si="40"/>
        <v>1</v>
      </c>
      <c r="AD251" s="563">
        <f t="shared" si="43"/>
        <v>1</v>
      </c>
      <c r="AE251" s="64"/>
      <c r="AF251" s="31">
        <v>62000</v>
      </c>
      <c r="AG251" s="31">
        <v>3000</v>
      </c>
      <c r="AH251" s="31">
        <v>0</v>
      </c>
      <c r="AI251" s="31">
        <v>0</v>
      </c>
      <c r="AJ251" s="31">
        <v>65000</v>
      </c>
      <c r="AK251" s="31">
        <v>65000</v>
      </c>
      <c r="AL251" s="31">
        <v>0</v>
      </c>
      <c r="AM251" s="56">
        <v>65000</v>
      </c>
      <c r="AN251" s="31">
        <v>65000</v>
      </c>
      <c r="AO251" s="31" t="s">
        <v>1578</v>
      </c>
      <c r="AP251" s="23" t="s">
        <v>187</v>
      </c>
      <c r="AQ251" s="23" t="s">
        <v>1284</v>
      </c>
    </row>
    <row r="252" spans="1:43">
      <c r="A252" s="40">
        <v>249</v>
      </c>
      <c r="B252" s="40">
        <v>114</v>
      </c>
      <c r="C252" s="573" t="str">
        <f t="shared" si="33"/>
        <v>レジデンス目白豊島</v>
      </c>
      <c r="D252" s="45" t="s">
        <v>1611</v>
      </c>
      <c r="E252" s="46">
        <v>16</v>
      </c>
      <c r="F252" s="324">
        <v>631</v>
      </c>
      <c r="G252" s="566" t="str">
        <f t="shared" si="34"/>
        <v>住居</v>
      </c>
      <c r="H252" s="44" t="s">
        <v>1709</v>
      </c>
      <c r="I252" s="325">
        <v>65000</v>
      </c>
      <c r="J252" s="325">
        <v>2000</v>
      </c>
      <c r="K252" s="325">
        <v>0</v>
      </c>
      <c r="L252" s="325">
        <v>0</v>
      </c>
      <c r="M252" s="565">
        <f t="shared" si="41"/>
        <v>67000</v>
      </c>
      <c r="N252" s="326">
        <v>67000</v>
      </c>
      <c r="O252" s="326">
        <v>0</v>
      </c>
      <c r="P252" s="565">
        <f t="shared" si="35"/>
        <v>67000</v>
      </c>
      <c r="Q252" s="565">
        <f t="shared" si="42"/>
        <v>67000</v>
      </c>
      <c r="R252" s="325" t="s">
        <v>1578</v>
      </c>
      <c r="S252" s="325" t="s">
        <v>187</v>
      </c>
      <c r="T252" s="327" t="s">
        <v>1284</v>
      </c>
      <c r="V252" s="43" t="s">
        <v>1936</v>
      </c>
      <c r="W252" s="55">
        <v>60000</v>
      </c>
      <c r="Y252" s="6">
        <f t="shared" si="36"/>
        <v>1</v>
      </c>
      <c r="Z252" s="562">
        <f t="shared" si="37"/>
        <v>67000</v>
      </c>
      <c r="AA252" s="122">
        <f t="shared" si="38"/>
        <v>0</v>
      </c>
      <c r="AB252" s="122">
        <f t="shared" si="39"/>
        <v>7000</v>
      </c>
      <c r="AC252" s="6">
        <f t="shared" si="40"/>
        <v>1</v>
      </c>
      <c r="AD252" s="563">
        <f t="shared" si="43"/>
        <v>1</v>
      </c>
      <c r="AE252" s="64"/>
      <c r="AF252" s="31">
        <v>65000</v>
      </c>
      <c r="AG252" s="31">
        <v>2000</v>
      </c>
      <c r="AH252" s="31">
        <v>0</v>
      </c>
      <c r="AI252" s="31">
        <v>0</v>
      </c>
      <c r="AJ252" s="31">
        <v>67000</v>
      </c>
      <c r="AK252" s="31">
        <v>67000</v>
      </c>
      <c r="AL252" s="31">
        <v>0</v>
      </c>
      <c r="AM252" s="56">
        <v>67000</v>
      </c>
      <c r="AN252" s="31">
        <v>67000</v>
      </c>
      <c r="AO252" s="31" t="s">
        <v>1578</v>
      </c>
      <c r="AP252" s="23" t="s">
        <v>187</v>
      </c>
      <c r="AQ252" s="23" t="s">
        <v>1284</v>
      </c>
    </row>
    <row r="253" spans="1:43">
      <c r="A253" s="40">
        <v>250</v>
      </c>
      <c r="B253" s="40">
        <v>114</v>
      </c>
      <c r="C253" s="573" t="str">
        <f t="shared" si="33"/>
        <v>レジデンス目白豊島</v>
      </c>
      <c r="D253" s="45" t="s">
        <v>1566</v>
      </c>
      <c r="E253" s="46">
        <v>122.31</v>
      </c>
      <c r="F253" s="324">
        <v>636</v>
      </c>
      <c r="G253" s="566" t="str">
        <f t="shared" si="34"/>
        <v>倉庫</v>
      </c>
      <c r="H253" s="44" t="s">
        <v>1756</v>
      </c>
      <c r="I253" s="325">
        <v>240741</v>
      </c>
      <c r="J253" s="325">
        <v>0</v>
      </c>
      <c r="K253" s="325">
        <v>0</v>
      </c>
      <c r="L253" s="325">
        <v>24074</v>
      </c>
      <c r="M253" s="565">
        <f t="shared" si="41"/>
        <v>264815</v>
      </c>
      <c r="N253" s="326">
        <v>240740</v>
      </c>
      <c r="O253" s="326">
        <v>24074.090909090908</v>
      </c>
      <c r="P253" s="565">
        <f t="shared" si="35"/>
        <v>264814.09090909088</v>
      </c>
      <c r="Q253" s="565">
        <f t="shared" si="42"/>
        <v>264815</v>
      </c>
      <c r="R253" s="325" t="s">
        <v>1575</v>
      </c>
      <c r="S253" s="325" t="s">
        <v>187</v>
      </c>
      <c r="T253" s="327" t="s">
        <v>1284</v>
      </c>
      <c r="V253" s="43" t="s">
        <v>1937</v>
      </c>
      <c r="W253" s="55">
        <v>240741</v>
      </c>
      <c r="Y253" s="6">
        <f t="shared" si="36"/>
        <v>1</v>
      </c>
      <c r="Z253" s="562">
        <f t="shared" si="37"/>
        <v>240741</v>
      </c>
      <c r="AA253" s="122">
        <f t="shared" si="38"/>
        <v>-1</v>
      </c>
      <c r="AB253" s="122">
        <f t="shared" si="39"/>
        <v>0</v>
      </c>
      <c r="AC253" s="6">
        <f t="shared" si="40"/>
        <v>1</v>
      </c>
      <c r="AD253" s="563">
        <f t="shared" si="43"/>
        <v>1</v>
      </c>
      <c r="AE253" s="64"/>
      <c r="AF253" s="31">
        <v>240741</v>
      </c>
      <c r="AG253" s="31">
        <v>0</v>
      </c>
      <c r="AH253" s="31">
        <v>0</v>
      </c>
      <c r="AI253" s="31">
        <v>24074</v>
      </c>
      <c r="AJ253" s="31">
        <v>264815</v>
      </c>
      <c r="AK253" s="31">
        <v>240740</v>
      </c>
      <c r="AL253" s="31">
        <v>24074.090909090908</v>
      </c>
      <c r="AM253" s="56">
        <v>264814.09090909088</v>
      </c>
      <c r="AN253" s="31">
        <v>264815</v>
      </c>
      <c r="AO253" s="31" t="s">
        <v>1575</v>
      </c>
      <c r="AP253" s="23" t="s">
        <v>187</v>
      </c>
      <c r="AQ253" s="23" t="s">
        <v>1284</v>
      </c>
    </row>
    <row r="254" spans="1:43">
      <c r="A254" s="41">
        <v>251</v>
      </c>
      <c r="B254" s="41">
        <v>115</v>
      </c>
      <c r="C254" s="574" t="str">
        <f t="shared" si="33"/>
        <v>コアプラス大塚</v>
      </c>
      <c r="D254" s="45" t="s">
        <v>1580</v>
      </c>
      <c r="E254" s="46">
        <v>47.22</v>
      </c>
      <c r="F254" s="324">
        <v>631</v>
      </c>
      <c r="G254" s="566" t="str">
        <f t="shared" si="34"/>
        <v>住居</v>
      </c>
      <c r="H254" s="44" t="s">
        <v>1667</v>
      </c>
      <c r="I254" s="325">
        <v>110000</v>
      </c>
      <c r="J254" s="325">
        <v>5000</v>
      </c>
      <c r="K254" s="325">
        <v>0</v>
      </c>
      <c r="L254" s="325">
        <v>0</v>
      </c>
      <c r="M254" s="565">
        <f t="shared" si="41"/>
        <v>115000</v>
      </c>
      <c r="N254" s="326">
        <v>115000</v>
      </c>
      <c r="O254" s="326">
        <v>0</v>
      </c>
      <c r="P254" s="565">
        <f t="shared" si="35"/>
        <v>115000</v>
      </c>
      <c r="Q254" s="565">
        <f t="shared" si="42"/>
        <v>115000</v>
      </c>
      <c r="R254" s="325" t="s">
        <v>1718</v>
      </c>
      <c r="S254" s="325" t="s">
        <v>187</v>
      </c>
      <c r="T254" s="327" t="s">
        <v>1284</v>
      </c>
      <c r="V254" s="43" t="s">
        <v>1938</v>
      </c>
      <c r="W254" s="55">
        <v>115000</v>
      </c>
      <c r="Y254" s="6">
        <f t="shared" si="36"/>
        <v>1</v>
      </c>
      <c r="Z254" s="562">
        <f t="shared" si="37"/>
        <v>115000</v>
      </c>
      <c r="AA254" s="122">
        <f t="shared" si="38"/>
        <v>0</v>
      </c>
      <c r="AB254" s="122">
        <f t="shared" si="39"/>
        <v>0</v>
      </c>
      <c r="AC254" s="6">
        <f t="shared" si="40"/>
        <v>1</v>
      </c>
      <c r="AD254" s="563">
        <f t="shared" si="43"/>
        <v>1</v>
      </c>
      <c r="AE254" s="64"/>
      <c r="AF254" s="31">
        <v>110000</v>
      </c>
      <c r="AG254" s="31">
        <v>5000</v>
      </c>
      <c r="AH254" s="31">
        <v>0</v>
      </c>
      <c r="AI254" s="31">
        <v>0</v>
      </c>
      <c r="AJ254" s="31">
        <v>115000</v>
      </c>
      <c r="AK254" s="31">
        <v>115000</v>
      </c>
      <c r="AL254" s="31">
        <v>0</v>
      </c>
      <c r="AM254" s="56">
        <v>115000</v>
      </c>
      <c r="AN254" s="31">
        <v>115000</v>
      </c>
      <c r="AO254" s="31" t="s">
        <v>1718</v>
      </c>
      <c r="AP254" s="23" t="s">
        <v>187</v>
      </c>
      <c r="AQ254" s="23" t="s">
        <v>1284</v>
      </c>
    </row>
    <row r="255" spans="1:43">
      <c r="A255" s="41">
        <v>252</v>
      </c>
      <c r="B255" s="41">
        <v>115</v>
      </c>
      <c r="C255" s="574" t="str">
        <f t="shared" si="33"/>
        <v>コアプラス大塚</v>
      </c>
      <c r="D255" s="45" t="s">
        <v>1582</v>
      </c>
      <c r="E255" s="46">
        <v>52</v>
      </c>
      <c r="F255" s="324">
        <v>631</v>
      </c>
      <c r="G255" s="566" t="str">
        <f t="shared" si="34"/>
        <v>住居</v>
      </c>
      <c r="H255" s="44" t="s">
        <v>1667</v>
      </c>
      <c r="I255" s="325">
        <v>125000</v>
      </c>
      <c r="J255" s="325">
        <v>5000</v>
      </c>
      <c r="K255" s="325">
        <v>0</v>
      </c>
      <c r="L255" s="325">
        <v>0</v>
      </c>
      <c r="M255" s="565">
        <f t="shared" si="41"/>
        <v>130000</v>
      </c>
      <c r="N255" s="326">
        <v>123000</v>
      </c>
      <c r="O255" s="326">
        <v>0</v>
      </c>
      <c r="P255" s="565">
        <f t="shared" si="35"/>
        <v>123000</v>
      </c>
      <c r="Q255" s="565">
        <f t="shared" si="42"/>
        <v>130000</v>
      </c>
      <c r="R255" s="325" t="s">
        <v>1568</v>
      </c>
      <c r="S255" s="325" t="s">
        <v>187</v>
      </c>
      <c r="T255" s="327" t="s">
        <v>1284</v>
      </c>
      <c r="V255" s="43" t="s">
        <v>1939</v>
      </c>
      <c r="W255" s="55">
        <v>123000</v>
      </c>
      <c r="Y255" s="6">
        <f t="shared" si="36"/>
        <v>1</v>
      </c>
      <c r="Z255" s="562">
        <f t="shared" si="37"/>
        <v>130000</v>
      </c>
      <c r="AA255" s="122">
        <f t="shared" si="38"/>
        <v>-7000</v>
      </c>
      <c r="AB255" s="122">
        <f t="shared" si="39"/>
        <v>7000</v>
      </c>
      <c r="AC255" s="6">
        <f t="shared" si="40"/>
        <v>1</v>
      </c>
      <c r="AD255" s="563">
        <f t="shared" si="43"/>
        <v>1</v>
      </c>
      <c r="AE255" s="64"/>
      <c r="AF255" s="31">
        <v>125000</v>
      </c>
      <c r="AG255" s="31">
        <v>5000</v>
      </c>
      <c r="AH255" s="31">
        <v>0</v>
      </c>
      <c r="AI255" s="31">
        <v>0</v>
      </c>
      <c r="AJ255" s="31">
        <v>130000</v>
      </c>
      <c r="AK255" s="31">
        <v>123000</v>
      </c>
      <c r="AL255" s="31">
        <v>0</v>
      </c>
      <c r="AM255" s="56">
        <v>123000</v>
      </c>
      <c r="AN255" s="31">
        <v>130000</v>
      </c>
      <c r="AO255" s="31" t="s">
        <v>1568</v>
      </c>
      <c r="AP255" s="23" t="s">
        <v>187</v>
      </c>
      <c r="AQ255" s="23" t="s">
        <v>1284</v>
      </c>
    </row>
    <row r="256" spans="1:43">
      <c r="A256" s="41">
        <v>253</v>
      </c>
      <c r="B256" s="41">
        <v>115</v>
      </c>
      <c r="C256" s="574" t="str">
        <f t="shared" si="33"/>
        <v>コアプラス大塚</v>
      </c>
      <c r="D256" s="45" t="s">
        <v>1585</v>
      </c>
      <c r="E256" s="46">
        <v>52</v>
      </c>
      <c r="F256" s="324">
        <v>631</v>
      </c>
      <c r="G256" s="566" t="str">
        <f t="shared" si="34"/>
        <v>住居</v>
      </c>
      <c r="H256" s="44" t="s">
        <v>1667</v>
      </c>
      <c r="I256" s="325">
        <v>123000</v>
      </c>
      <c r="J256" s="325">
        <v>5000</v>
      </c>
      <c r="K256" s="325">
        <v>0</v>
      </c>
      <c r="L256" s="325">
        <v>0</v>
      </c>
      <c r="M256" s="565">
        <f t="shared" si="41"/>
        <v>128000</v>
      </c>
      <c r="N256" s="326">
        <v>123000</v>
      </c>
      <c r="O256" s="326">
        <v>0</v>
      </c>
      <c r="P256" s="565">
        <f t="shared" si="35"/>
        <v>123000</v>
      </c>
      <c r="Q256" s="565">
        <f t="shared" si="42"/>
        <v>128000</v>
      </c>
      <c r="R256" s="325" t="s">
        <v>1568</v>
      </c>
      <c r="S256" s="325" t="s">
        <v>187</v>
      </c>
      <c r="T256" s="327" t="s">
        <v>1284</v>
      </c>
      <c r="V256" s="43" t="s">
        <v>1940</v>
      </c>
      <c r="W256" s="55">
        <v>123000</v>
      </c>
      <c r="Y256" s="6">
        <f t="shared" si="36"/>
        <v>1</v>
      </c>
      <c r="Z256" s="562">
        <f t="shared" si="37"/>
        <v>128000</v>
      </c>
      <c r="AA256" s="122">
        <f t="shared" si="38"/>
        <v>-5000</v>
      </c>
      <c r="AB256" s="122">
        <f t="shared" si="39"/>
        <v>5000</v>
      </c>
      <c r="AC256" s="6">
        <f t="shared" si="40"/>
        <v>1</v>
      </c>
      <c r="AD256" s="563">
        <f t="shared" si="43"/>
        <v>1</v>
      </c>
      <c r="AE256" s="64"/>
      <c r="AF256" s="31">
        <v>123000</v>
      </c>
      <c r="AG256" s="31">
        <v>5000</v>
      </c>
      <c r="AH256" s="31">
        <v>0</v>
      </c>
      <c r="AI256" s="31">
        <v>0</v>
      </c>
      <c r="AJ256" s="31">
        <v>128000</v>
      </c>
      <c r="AK256" s="31">
        <v>123000</v>
      </c>
      <c r="AL256" s="31">
        <v>0</v>
      </c>
      <c r="AM256" s="56">
        <v>123000</v>
      </c>
      <c r="AN256" s="31">
        <v>128000</v>
      </c>
      <c r="AO256" s="31" t="s">
        <v>1568</v>
      </c>
      <c r="AP256" s="23" t="s">
        <v>187</v>
      </c>
      <c r="AQ256" s="23" t="s">
        <v>1284</v>
      </c>
    </row>
    <row r="257" spans="1:43">
      <c r="A257" s="41">
        <v>254</v>
      </c>
      <c r="B257" s="41">
        <v>115</v>
      </c>
      <c r="C257" s="574" t="str">
        <f t="shared" si="33"/>
        <v>コアプラス大塚</v>
      </c>
      <c r="D257" s="45" t="s">
        <v>1587</v>
      </c>
      <c r="E257" s="46">
        <v>52</v>
      </c>
      <c r="F257" s="324">
        <v>631</v>
      </c>
      <c r="G257" s="566" t="str">
        <f t="shared" si="34"/>
        <v>住居</v>
      </c>
      <c r="H257" s="44" t="s">
        <v>1717</v>
      </c>
      <c r="I257" s="325">
        <v>128000</v>
      </c>
      <c r="J257" s="325">
        <v>5000</v>
      </c>
      <c r="K257" s="325">
        <v>0</v>
      </c>
      <c r="L257" s="325">
        <v>0</v>
      </c>
      <c r="M257" s="565">
        <f t="shared" si="41"/>
        <v>133000</v>
      </c>
      <c r="N257" s="326">
        <v>133000</v>
      </c>
      <c r="O257" s="326">
        <v>0</v>
      </c>
      <c r="P257" s="565">
        <f t="shared" si="35"/>
        <v>133000</v>
      </c>
      <c r="Q257" s="565">
        <f t="shared" si="42"/>
        <v>133000</v>
      </c>
      <c r="R257" s="325" t="s">
        <v>1578</v>
      </c>
      <c r="S257" s="325" t="s">
        <v>187</v>
      </c>
      <c r="T257" s="327" t="s">
        <v>1284</v>
      </c>
      <c r="V257" s="43" t="s">
        <v>1941</v>
      </c>
      <c r="W257" s="55">
        <v>118000</v>
      </c>
      <c r="Y257" s="6">
        <f t="shared" si="36"/>
        <v>1</v>
      </c>
      <c r="Z257" s="562">
        <f t="shared" si="37"/>
        <v>133000</v>
      </c>
      <c r="AA257" s="122">
        <f t="shared" si="38"/>
        <v>0</v>
      </c>
      <c r="AB257" s="122">
        <f t="shared" si="39"/>
        <v>15000</v>
      </c>
      <c r="AC257" s="6">
        <f t="shared" si="40"/>
        <v>1</v>
      </c>
      <c r="AD257" s="563">
        <f t="shared" si="43"/>
        <v>1</v>
      </c>
      <c r="AE257" s="64"/>
      <c r="AF257" s="31">
        <v>128000</v>
      </c>
      <c r="AG257" s="31">
        <v>5000</v>
      </c>
      <c r="AH257" s="31">
        <v>0</v>
      </c>
      <c r="AI257" s="31">
        <v>0</v>
      </c>
      <c r="AJ257" s="31">
        <v>133000</v>
      </c>
      <c r="AK257" s="31">
        <v>133000</v>
      </c>
      <c r="AL257" s="31">
        <v>0</v>
      </c>
      <c r="AM257" s="56">
        <v>133000</v>
      </c>
      <c r="AN257" s="31">
        <v>133000</v>
      </c>
      <c r="AO257" s="31" t="s">
        <v>1578</v>
      </c>
      <c r="AP257" s="23" t="s">
        <v>187</v>
      </c>
      <c r="AQ257" s="23" t="s">
        <v>1284</v>
      </c>
    </row>
    <row r="258" spans="1:43">
      <c r="A258" s="41">
        <v>255</v>
      </c>
      <c r="B258" s="41">
        <v>115</v>
      </c>
      <c r="C258" s="574" t="str">
        <f t="shared" si="33"/>
        <v>コアプラス大塚</v>
      </c>
      <c r="D258" s="45" t="s">
        <v>1642</v>
      </c>
      <c r="E258" s="46">
        <v>52.36</v>
      </c>
      <c r="F258" s="324">
        <v>631</v>
      </c>
      <c r="G258" s="566" t="str">
        <f t="shared" si="34"/>
        <v>住居</v>
      </c>
      <c r="H258" s="44" t="s">
        <v>1667</v>
      </c>
      <c r="I258" s="325">
        <v>125000</v>
      </c>
      <c r="J258" s="325">
        <v>5000</v>
      </c>
      <c r="K258" s="325">
        <v>0</v>
      </c>
      <c r="L258" s="325">
        <v>0</v>
      </c>
      <c r="M258" s="565">
        <f t="shared" si="41"/>
        <v>130000</v>
      </c>
      <c r="N258" s="326">
        <v>130000</v>
      </c>
      <c r="O258" s="326">
        <v>0</v>
      </c>
      <c r="P258" s="565">
        <f t="shared" si="35"/>
        <v>130000</v>
      </c>
      <c r="Q258" s="565">
        <f t="shared" si="42"/>
        <v>130000</v>
      </c>
      <c r="R258" s="325" t="s">
        <v>1578</v>
      </c>
      <c r="S258" s="325" t="s">
        <v>187</v>
      </c>
      <c r="T258" s="327" t="s">
        <v>1284</v>
      </c>
      <c r="V258" s="43" t="s">
        <v>1942</v>
      </c>
      <c r="W258" s="55">
        <v>120000</v>
      </c>
      <c r="Y258" s="6">
        <f t="shared" si="36"/>
        <v>1</v>
      </c>
      <c r="Z258" s="562">
        <f t="shared" si="37"/>
        <v>130000</v>
      </c>
      <c r="AA258" s="122">
        <f t="shared" si="38"/>
        <v>0</v>
      </c>
      <c r="AB258" s="122">
        <f t="shared" si="39"/>
        <v>10000</v>
      </c>
      <c r="AC258" s="6">
        <f t="shared" si="40"/>
        <v>1</v>
      </c>
      <c r="AD258" s="563">
        <f t="shared" si="43"/>
        <v>1</v>
      </c>
      <c r="AE258" s="64"/>
      <c r="AF258" s="31">
        <v>125000</v>
      </c>
      <c r="AG258" s="31">
        <v>5000</v>
      </c>
      <c r="AH258" s="31">
        <v>0</v>
      </c>
      <c r="AI258" s="31">
        <v>0</v>
      </c>
      <c r="AJ258" s="31">
        <v>130000</v>
      </c>
      <c r="AK258" s="31">
        <v>130000</v>
      </c>
      <c r="AL258" s="31">
        <v>0</v>
      </c>
      <c r="AM258" s="56">
        <v>130000</v>
      </c>
      <c r="AN258" s="31">
        <v>130000</v>
      </c>
      <c r="AO258" s="31" t="s">
        <v>1578</v>
      </c>
      <c r="AP258" s="23" t="s">
        <v>187</v>
      </c>
      <c r="AQ258" s="23" t="s">
        <v>1284</v>
      </c>
    </row>
    <row r="259" spans="1:43">
      <c r="A259" s="41">
        <v>256</v>
      </c>
      <c r="B259" s="41">
        <v>115</v>
      </c>
      <c r="C259" s="574" t="str">
        <f t="shared" si="33"/>
        <v>コアプラス大塚</v>
      </c>
      <c r="D259" s="45" t="s">
        <v>1589</v>
      </c>
      <c r="E259" s="46">
        <v>55.18</v>
      </c>
      <c r="F259" s="324">
        <v>631</v>
      </c>
      <c r="G259" s="566" t="str">
        <f t="shared" si="34"/>
        <v>住居</v>
      </c>
      <c r="H259" s="44" t="s">
        <v>1667</v>
      </c>
      <c r="I259" s="325">
        <v>123000</v>
      </c>
      <c r="J259" s="325">
        <v>5000</v>
      </c>
      <c r="K259" s="325">
        <v>0</v>
      </c>
      <c r="L259" s="325">
        <v>0</v>
      </c>
      <c r="M259" s="565">
        <f t="shared" si="41"/>
        <v>128000</v>
      </c>
      <c r="N259" s="326">
        <v>128000</v>
      </c>
      <c r="O259" s="326">
        <v>0</v>
      </c>
      <c r="P259" s="565">
        <f t="shared" si="35"/>
        <v>128000</v>
      </c>
      <c r="Q259" s="565">
        <f t="shared" si="42"/>
        <v>128000</v>
      </c>
      <c r="R259" s="325" t="s">
        <v>1578</v>
      </c>
      <c r="S259" s="325" t="s">
        <v>187</v>
      </c>
      <c r="T259" s="327" t="s">
        <v>1284</v>
      </c>
      <c r="V259" s="43" t="s">
        <v>1943</v>
      </c>
      <c r="W259" s="55">
        <v>115000</v>
      </c>
      <c r="Y259" s="6">
        <f t="shared" si="36"/>
        <v>1</v>
      </c>
      <c r="Z259" s="562">
        <f t="shared" si="37"/>
        <v>128000</v>
      </c>
      <c r="AA259" s="122">
        <f t="shared" si="38"/>
        <v>0</v>
      </c>
      <c r="AB259" s="122">
        <f t="shared" si="39"/>
        <v>13000</v>
      </c>
      <c r="AC259" s="6">
        <f t="shared" si="40"/>
        <v>1</v>
      </c>
      <c r="AD259" s="563">
        <f t="shared" si="43"/>
        <v>1</v>
      </c>
      <c r="AE259" s="64"/>
      <c r="AF259" s="31">
        <v>123000</v>
      </c>
      <c r="AG259" s="31">
        <v>5000</v>
      </c>
      <c r="AH259" s="31">
        <v>0</v>
      </c>
      <c r="AI259" s="31">
        <v>0</v>
      </c>
      <c r="AJ259" s="31">
        <v>128000</v>
      </c>
      <c r="AK259" s="31">
        <v>128000</v>
      </c>
      <c r="AL259" s="31">
        <v>0</v>
      </c>
      <c r="AM259" s="56">
        <v>128000</v>
      </c>
      <c r="AN259" s="31">
        <v>128000</v>
      </c>
      <c r="AO259" s="31" t="s">
        <v>1578</v>
      </c>
      <c r="AP259" s="23" t="s">
        <v>187</v>
      </c>
      <c r="AQ259" s="23" t="s">
        <v>1284</v>
      </c>
    </row>
    <row r="260" spans="1:43">
      <c r="A260" s="41">
        <v>257</v>
      </c>
      <c r="B260" s="41">
        <v>115</v>
      </c>
      <c r="C260" s="574" t="str">
        <f t="shared" ref="C260:C321" si="44">VLOOKUP(B260,id_settings,2,FALSE)</f>
        <v>コアプラス大塚</v>
      </c>
      <c r="D260" s="45" t="s">
        <v>1591</v>
      </c>
      <c r="E260" s="46">
        <v>52</v>
      </c>
      <c r="F260" s="324">
        <v>631</v>
      </c>
      <c r="G260" s="566" t="str">
        <f t="shared" ref="G260:G321" si="45">VLOOKUP(F260,id_settings,2,FALSE)</f>
        <v>住居</v>
      </c>
      <c r="H260" s="44" t="s">
        <v>1667</v>
      </c>
      <c r="I260" s="325">
        <v>121000</v>
      </c>
      <c r="J260" s="325">
        <v>5000</v>
      </c>
      <c r="K260" s="325">
        <v>0</v>
      </c>
      <c r="L260" s="325">
        <v>0</v>
      </c>
      <c r="M260" s="565">
        <f t="shared" si="41"/>
        <v>126000</v>
      </c>
      <c r="N260" s="326">
        <v>126000</v>
      </c>
      <c r="O260" s="326">
        <v>0</v>
      </c>
      <c r="P260" s="565">
        <f t="shared" ref="P260:P320" si="46">N260+O260</f>
        <v>126000</v>
      </c>
      <c r="Q260" s="565">
        <f t="shared" si="42"/>
        <v>126000</v>
      </c>
      <c r="R260" s="325" t="s">
        <v>1568</v>
      </c>
      <c r="S260" s="325" t="s">
        <v>187</v>
      </c>
      <c r="T260" s="327" t="s">
        <v>1284</v>
      </c>
      <c r="V260" s="43" t="s">
        <v>1944</v>
      </c>
      <c r="W260" s="55">
        <v>128000</v>
      </c>
      <c r="Y260" s="6">
        <f t="shared" ref="Y260:Y320" si="47">IF(M260=0,0,1)</f>
        <v>1</v>
      </c>
      <c r="Z260" s="562">
        <f t="shared" ref="Z260:Z320" si="48">IF(Y260=1,SUM(I260:K260),N260)</f>
        <v>126000</v>
      </c>
      <c r="AA260" s="122">
        <f t="shared" ref="AA260:AA320" si="49">N260-Z260</f>
        <v>0</v>
      </c>
      <c r="AB260" s="122">
        <f t="shared" ref="AB260:AB320" si="50">Z260-W260</f>
        <v>-2000</v>
      </c>
      <c r="AC260" s="6">
        <f t="shared" ref="AC260:AC320" si="51">IF(E260="-",0,1)</f>
        <v>1</v>
      </c>
      <c r="AD260" s="563">
        <f t="shared" si="43"/>
        <v>1</v>
      </c>
      <c r="AE260" s="64"/>
      <c r="AF260" s="31">
        <v>121000</v>
      </c>
      <c r="AG260" s="31">
        <v>5000</v>
      </c>
      <c r="AH260" s="31">
        <v>0</v>
      </c>
      <c r="AI260" s="31">
        <v>0</v>
      </c>
      <c r="AJ260" s="31">
        <v>126000</v>
      </c>
      <c r="AK260" s="31">
        <v>126000</v>
      </c>
      <c r="AL260" s="31">
        <v>0</v>
      </c>
      <c r="AM260" s="56">
        <v>126000</v>
      </c>
      <c r="AN260" s="31">
        <v>126000</v>
      </c>
      <c r="AO260" s="31" t="s">
        <v>1568</v>
      </c>
      <c r="AP260" s="23" t="s">
        <v>187</v>
      </c>
      <c r="AQ260" s="23" t="s">
        <v>1284</v>
      </c>
    </row>
    <row r="261" spans="1:43">
      <c r="A261" s="41">
        <v>258</v>
      </c>
      <c r="B261" s="41">
        <v>115</v>
      </c>
      <c r="C261" s="574" t="str">
        <f t="shared" si="44"/>
        <v>コアプラス大塚</v>
      </c>
      <c r="D261" s="45" t="s">
        <v>1593</v>
      </c>
      <c r="E261" s="46">
        <v>52</v>
      </c>
      <c r="F261" s="324">
        <v>631</v>
      </c>
      <c r="G261" s="566" t="str">
        <f t="shared" si="45"/>
        <v>住居</v>
      </c>
      <c r="H261" s="44" t="s">
        <v>1667</v>
      </c>
      <c r="I261" s="325">
        <v>123000</v>
      </c>
      <c r="J261" s="325">
        <v>5000</v>
      </c>
      <c r="K261" s="325">
        <v>0</v>
      </c>
      <c r="L261" s="325">
        <v>0</v>
      </c>
      <c r="M261" s="565">
        <f t="shared" ref="M261:M321" si="52">SUM(I261:L261)</f>
        <v>128000</v>
      </c>
      <c r="N261" s="326">
        <v>128000</v>
      </c>
      <c r="O261" s="326">
        <v>0</v>
      </c>
      <c r="P261" s="565">
        <f t="shared" si="46"/>
        <v>128000</v>
      </c>
      <c r="Q261" s="565">
        <f t="shared" ref="Q261:Q321" si="53">VALUE(IF(Y261=0,N261+O261,M261))</f>
        <v>128000</v>
      </c>
      <c r="R261" s="325" t="s">
        <v>1568</v>
      </c>
      <c r="S261" s="325" t="s">
        <v>187</v>
      </c>
      <c r="T261" s="327" t="s">
        <v>1284</v>
      </c>
      <c r="V261" s="43" t="s">
        <v>1945</v>
      </c>
      <c r="W261" s="55">
        <v>128000</v>
      </c>
      <c r="Y261" s="6">
        <f t="shared" si="47"/>
        <v>1</v>
      </c>
      <c r="Z261" s="562">
        <f t="shared" si="48"/>
        <v>128000</v>
      </c>
      <c r="AA261" s="122">
        <f t="shared" si="49"/>
        <v>0</v>
      </c>
      <c r="AB261" s="122">
        <f t="shared" si="50"/>
        <v>0</v>
      </c>
      <c r="AC261" s="6">
        <f t="shared" si="51"/>
        <v>1</v>
      </c>
      <c r="AD261" s="563">
        <f t="shared" ref="AD261:AD321" si="54">IF(I261="-",0,1)</f>
        <v>1</v>
      </c>
      <c r="AE261" s="64"/>
      <c r="AF261" s="31">
        <v>123000</v>
      </c>
      <c r="AG261" s="31">
        <v>5000</v>
      </c>
      <c r="AH261" s="31">
        <v>0</v>
      </c>
      <c r="AI261" s="31">
        <v>0</v>
      </c>
      <c r="AJ261" s="31">
        <v>128000</v>
      </c>
      <c r="AK261" s="31">
        <v>128000</v>
      </c>
      <c r="AL261" s="31">
        <v>0</v>
      </c>
      <c r="AM261" s="56">
        <v>128000</v>
      </c>
      <c r="AN261" s="31">
        <v>128000</v>
      </c>
      <c r="AO261" s="31" t="s">
        <v>1568</v>
      </c>
      <c r="AP261" s="23" t="s">
        <v>187</v>
      </c>
      <c r="AQ261" s="23" t="s">
        <v>1284</v>
      </c>
    </row>
    <row r="262" spans="1:43">
      <c r="A262" s="41">
        <v>259</v>
      </c>
      <c r="B262" s="41">
        <v>115</v>
      </c>
      <c r="C262" s="574" t="str">
        <f t="shared" si="44"/>
        <v>コアプラス大塚</v>
      </c>
      <c r="D262" s="45" t="s">
        <v>1595</v>
      </c>
      <c r="E262" s="46">
        <v>52</v>
      </c>
      <c r="F262" s="324">
        <v>631</v>
      </c>
      <c r="G262" s="566" t="str">
        <f t="shared" si="45"/>
        <v>住居</v>
      </c>
      <c r="H262" s="44" t="s">
        <v>1667</v>
      </c>
      <c r="I262" s="325">
        <v>126000</v>
      </c>
      <c r="J262" s="325">
        <v>5000</v>
      </c>
      <c r="K262" s="325">
        <v>0</v>
      </c>
      <c r="L262" s="325">
        <v>0</v>
      </c>
      <c r="M262" s="565">
        <f t="shared" si="52"/>
        <v>131000</v>
      </c>
      <c r="N262" s="326">
        <v>131000</v>
      </c>
      <c r="O262" s="326">
        <v>0</v>
      </c>
      <c r="P262" s="565">
        <f t="shared" si="46"/>
        <v>131000</v>
      </c>
      <c r="Q262" s="565">
        <f t="shared" si="53"/>
        <v>131000</v>
      </c>
      <c r="R262" s="325" t="s">
        <v>1568</v>
      </c>
      <c r="S262" s="325" t="s">
        <v>187</v>
      </c>
      <c r="T262" s="327" t="s">
        <v>1284</v>
      </c>
      <c r="V262" s="43" t="s">
        <v>1946</v>
      </c>
      <c r="W262" s="55">
        <v>131000</v>
      </c>
      <c r="Y262" s="6">
        <f t="shared" si="47"/>
        <v>1</v>
      </c>
      <c r="Z262" s="562">
        <f t="shared" si="48"/>
        <v>131000</v>
      </c>
      <c r="AA262" s="122">
        <f t="shared" si="49"/>
        <v>0</v>
      </c>
      <c r="AB262" s="122">
        <f t="shared" si="50"/>
        <v>0</v>
      </c>
      <c r="AC262" s="6">
        <f t="shared" si="51"/>
        <v>1</v>
      </c>
      <c r="AD262" s="563">
        <f t="shared" si="54"/>
        <v>1</v>
      </c>
      <c r="AE262" s="64"/>
      <c r="AF262" s="31">
        <v>126000</v>
      </c>
      <c r="AG262" s="31">
        <v>5000</v>
      </c>
      <c r="AH262" s="31">
        <v>0</v>
      </c>
      <c r="AI262" s="31">
        <v>0</v>
      </c>
      <c r="AJ262" s="31">
        <v>131000</v>
      </c>
      <c r="AK262" s="31">
        <v>131000</v>
      </c>
      <c r="AL262" s="31">
        <v>0</v>
      </c>
      <c r="AM262" s="56">
        <v>131000</v>
      </c>
      <c r="AN262" s="31">
        <v>131000</v>
      </c>
      <c r="AO262" s="31" t="s">
        <v>1568</v>
      </c>
      <c r="AP262" s="23" t="s">
        <v>187</v>
      </c>
      <c r="AQ262" s="23" t="s">
        <v>1284</v>
      </c>
    </row>
    <row r="263" spans="1:43">
      <c r="A263" s="41">
        <v>260</v>
      </c>
      <c r="B263" s="41">
        <v>115</v>
      </c>
      <c r="C263" s="574" t="str">
        <f t="shared" si="44"/>
        <v>コアプラス大塚</v>
      </c>
      <c r="D263" s="45" t="s">
        <v>1597</v>
      </c>
      <c r="E263" s="46">
        <v>52.36</v>
      </c>
      <c r="F263" s="324">
        <v>631</v>
      </c>
      <c r="G263" s="566" t="str">
        <f t="shared" si="45"/>
        <v>住居</v>
      </c>
      <c r="H263" s="44" t="s">
        <v>1667</v>
      </c>
      <c r="I263" s="325">
        <v>125000</v>
      </c>
      <c r="J263" s="325">
        <v>5000</v>
      </c>
      <c r="K263" s="325">
        <v>0</v>
      </c>
      <c r="L263" s="325">
        <v>0</v>
      </c>
      <c r="M263" s="565">
        <f t="shared" si="52"/>
        <v>130000</v>
      </c>
      <c r="N263" s="326">
        <v>130000</v>
      </c>
      <c r="O263" s="326">
        <v>0</v>
      </c>
      <c r="P263" s="565">
        <f t="shared" si="46"/>
        <v>130000</v>
      </c>
      <c r="Q263" s="565">
        <f t="shared" si="53"/>
        <v>130000</v>
      </c>
      <c r="R263" s="325" t="s">
        <v>1578</v>
      </c>
      <c r="S263" s="325" t="s">
        <v>187</v>
      </c>
      <c r="T263" s="327" t="s">
        <v>1284</v>
      </c>
      <c r="V263" s="43" t="s">
        <v>1947</v>
      </c>
      <c r="W263" s="55">
        <v>120000</v>
      </c>
      <c r="Y263" s="6">
        <f t="shared" si="47"/>
        <v>1</v>
      </c>
      <c r="Z263" s="562">
        <f t="shared" si="48"/>
        <v>130000</v>
      </c>
      <c r="AA263" s="122">
        <f t="shared" si="49"/>
        <v>0</v>
      </c>
      <c r="AB263" s="122">
        <f t="shared" si="50"/>
        <v>10000</v>
      </c>
      <c r="AC263" s="6">
        <f t="shared" si="51"/>
        <v>1</v>
      </c>
      <c r="AD263" s="563">
        <f t="shared" si="54"/>
        <v>1</v>
      </c>
      <c r="AE263" s="64"/>
      <c r="AF263" s="31">
        <v>125000</v>
      </c>
      <c r="AG263" s="31">
        <v>5000</v>
      </c>
      <c r="AH263" s="31">
        <v>0</v>
      </c>
      <c r="AI263" s="31">
        <v>0</v>
      </c>
      <c r="AJ263" s="31">
        <v>130000</v>
      </c>
      <c r="AK263" s="31">
        <v>130000</v>
      </c>
      <c r="AL263" s="31">
        <v>0</v>
      </c>
      <c r="AM263" s="56">
        <v>130000</v>
      </c>
      <c r="AN263" s="31">
        <v>130000</v>
      </c>
      <c r="AO263" s="31" t="s">
        <v>1578</v>
      </c>
      <c r="AP263" s="23" t="s">
        <v>187</v>
      </c>
      <c r="AQ263" s="23" t="s">
        <v>1284</v>
      </c>
    </row>
    <row r="264" spans="1:43">
      <c r="A264" s="41">
        <v>261</v>
      </c>
      <c r="B264" s="41">
        <v>115</v>
      </c>
      <c r="C264" s="574" t="str">
        <f t="shared" si="44"/>
        <v>コアプラス大塚</v>
      </c>
      <c r="D264" s="45" t="s">
        <v>1603</v>
      </c>
      <c r="E264" s="46">
        <v>55.18</v>
      </c>
      <c r="F264" s="324">
        <v>631</v>
      </c>
      <c r="G264" s="566" t="str">
        <f t="shared" si="45"/>
        <v>住居</v>
      </c>
      <c r="H264" s="44" t="s">
        <v>1667</v>
      </c>
      <c r="I264" s="325">
        <v>127000</v>
      </c>
      <c r="J264" s="325">
        <v>5000</v>
      </c>
      <c r="K264" s="325">
        <v>0</v>
      </c>
      <c r="L264" s="325">
        <v>0</v>
      </c>
      <c r="M264" s="565">
        <f t="shared" si="52"/>
        <v>132000</v>
      </c>
      <c r="N264" s="326">
        <v>132000</v>
      </c>
      <c r="O264" s="326">
        <v>0</v>
      </c>
      <c r="P264" s="565">
        <f t="shared" si="46"/>
        <v>132000</v>
      </c>
      <c r="Q264" s="565">
        <f t="shared" si="53"/>
        <v>132000</v>
      </c>
      <c r="R264" s="325" t="s">
        <v>1568</v>
      </c>
      <c r="S264" s="325" t="s">
        <v>187</v>
      </c>
      <c r="T264" s="327" t="s">
        <v>1284</v>
      </c>
      <c r="V264" s="43" t="s">
        <v>1948</v>
      </c>
      <c r="W264" s="55">
        <v>132000</v>
      </c>
      <c r="Y264" s="6">
        <f t="shared" si="47"/>
        <v>1</v>
      </c>
      <c r="Z264" s="562">
        <f t="shared" si="48"/>
        <v>132000</v>
      </c>
      <c r="AA264" s="122">
        <f t="shared" si="49"/>
        <v>0</v>
      </c>
      <c r="AB264" s="122">
        <f t="shared" si="50"/>
        <v>0</v>
      </c>
      <c r="AC264" s="6">
        <f t="shared" si="51"/>
        <v>1</v>
      </c>
      <c r="AD264" s="563">
        <f t="shared" si="54"/>
        <v>1</v>
      </c>
      <c r="AE264" s="64"/>
      <c r="AF264" s="31">
        <v>127000</v>
      </c>
      <c r="AG264" s="31">
        <v>5000</v>
      </c>
      <c r="AH264" s="31">
        <v>0</v>
      </c>
      <c r="AI264" s="31">
        <v>0</v>
      </c>
      <c r="AJ264" s="31">
        <v>132000</v>
      </c>
      <c r="AK264" s="31">
        <v>132000</v>
      </c>
      <c r="AL264" s="31">
        <v>0</v>
      </c>
      <c r="AM264" s="56">
        <v>132000</v>
      </c>
      <c r="AN264" s="31">
        <v>132000</v>
      </c>
      <c r="AO264" s="31" t="s">
        <v>1568</v>
      </c>
      <c r="AP264" s="23" t="s">
        <v>187</v>
      </c>
      <c r="AQ264" s="23" t="s">
        <v>1284</v>
      </c>
    </row>
    <row r="265" spans="1:43">
      <c r="A265" s="41">
        <v>262</v>
      </c>
      <c r="B265" s="41">
        <v>115</v>
      </c>
      <c r="C265" s="574" t="str">
        <f t="shared" si="44"/>
        <v>コアプラス大塚</v>
      </c>
      <c r="D265" s="45" t="s">
        <v>1605</v>
      </c>
      <c r="E265" s="46">
        <v>52</v>
      </c>
      <c r="F265" s="324">
        <v>631</v>
      </c>
      <c r="G265" s="566" t="str">
        <f t="shared" si="45"/>
        <v>住居</v>
      </c>
      <c r="H265" s="44" t="s">
        <v>1667</v>
      </c>
      <c r="I265" s="325">
        <v>125000</v>
      </c>
      <c r="J265" s="325">
        <v>5000</v>
      </c>
      <c r="K265" s="325">
        <v>0</v>
      </c>
      <c r="L265" s="325">
        <v>0</v>
      </c>
      <c r="M265" s="565">
        <f t="shared" si="52"/>
        <v>130000</v>
      </c>
      <c r="N265" s="326">
        <v>130000</v>
      </c>
      <c r="O265" s="326">
        <v>0</v>
      </c>
      <c r="P265" s="565">
        <f t="shared" si="46"/>
        <v>130000</v>
      </c>
      <c r="Q265" s="565">
        <f t="shared" si="53"/>
        <v>130000</v>
      </c>
      <c r="R265" s="325" t="s">
        <v>1568</v>
      </c>
      <c r="S265" s="325" t="s">
        <v>187</v>
      </c>
      <c r="T265" s="327" t="s">
        <v>1284</v>
      </c>
      <c r="V265" s="43" t="s">
        <v>1949</v>
      </c>
      <c r="W265" s="55">
        <v>125000</v>
      </c>
      <c r="Y265" s="6">
        <f t="shared" si="47"/>
        <v>1</v>
      </c>
      <c r="Z265" s="562">
        <f t="shared" si="48"/>
        <v>130000</v>
      </c>
      <c r="AA265" s="122">
        <f t="shared" si="49"/>
        <v>0</v>
      </c>
      <c r="AB265" s="122">
        <f t="shared" si="50"/>
        <v>5000</v>
      </c>
      <c r="AC265" s="6">
        <f t="shared" si="51"/>
        <v>1</v>
      </c>
      <c r="AD265" s="563">
        <f t="shared" si="54"/>
        <v>1</v>
      </c>
      <c r="AE265" s="64"/>
      <c r="AF265" s="31">
        <v>125000</v>
      </c>
      <c r="AG265" s="31">
        <v>5000</v>
      </c>
      <c r="AH265" s="31">
        <v>0</v>
      </c>
      <c r="AI265" s="31">
        <v>0</v>
      </c>
      <c r="AJ265" s="31">
        <v>130000</v>
      </c>
      <c r="AK265" s="31">
        <v>130000</v>
      </c>
      <c r="AL265" s="31">
        <v>0</v>
      </c>
      <c r="AM265" s="56">
        <v>130000</v>
      </c>
      <c r="AN265" s="31">
        <v>130000</v>
      </c>
      <c r="AO265" s="31" t="s">
        <v>1568</v>
      </c>
      <c r="AP265" s="23" t="s">
        <v>187</v>
      </c>
      <c r="AQ265" s="23" t="s">
        <v>1284</v>
      </c>
    </row>
    <row r="266" spans="1:43">
      <c r="A266" s="41">
        <v>263</v>
      </c>
      <c r="B266" s="41">
        <v>115</v>
      </c>
      <c r="C266" s="574" t="str">
        <f t="shared" si="44"/>
        <v>コアプラス大塚</v>
      </c>
      <c r="D266" s="45" t="s">
        <v>1607</v>
      </c>
      <c r="E266" s="46">
        <v>52</v>
      </c>
      <c r="F266" s="324">
        <v>631</v>
      </c>
      <c r="G266" s="566" t="str">
        <f t="shared" si="45"/>
        <v>住居</v>
      </c>
      <c r="H266" s="44" t="s">
        <v>1717</v>
      </c>
      <c r="I266" s="325">
        <v>132000</v>
      </c>
      <c r="J266" s="325">
        <v>5000</v>
      </c>
      <c r="K266" s="325">
        <v>0</v>
      </c>
      <c r="L266" s="325">
        <v>0</v>
      </c>
      <c r="M266" s="565">
        <f t="shared" si="52"/>
        <v>137000</v>
      </c>
      <c r="N266" s="326">
        <v>137000</v>
      </c>
      <c r="O266" s="326">
        <v>0</v>
      </c>
      <c r="P266" s="565">
        <f t="shared" si="46"/>
        <v>137000</v>
      </c>
      <c r="Q266" s="565">
        <f t="shared" si="53"/>
        <v>137000</v>
      </c>
      <c r="R266" s="325" t="s">
        <v>1583</v>
      </c>
      <c r="S266" s="325" t="s">
        <v>187</v>
      </c>
      <c r="T266" s="327" t="s">
        <v>1284</v>
      </c>
      <c r="V266" s="43" t="s">
        <v>1950</v>
      </c>
      <c r="W266" s="55">
        <v>125000</v>
      </c>
      <c r="Y266" s="6">
        <f t="shared" si="47"/>
        <v>1</v>
      </c>
      <c r="Z266" s="562">
        <f t="shared" si="48"/>
        <v>137000</v>
      </c>
      <c r="AA266" s="122">
        <f t="shared" si="49"/>
        <v>0</v>
      </c>
      <c r="AB266" s="122">
        <f t="shared" si="50"/>
        <v>12000</v>
      </c>
      <c r="AC266" s="6">
        <f t="shared" si="51"/>
        <v>1</v>
      </c>
      <c r="AD266" s="563">
        <f t="shared" si="54"/>
        <v>1</v>
      </c>
      <c r="AE266" s="64"/>
      <c r="AF266" s="31">
        <v>132000</v>
      </c>
      <c r="AG266" s="31">
        <v>5000</v>
      </c>
      <c r="AH266" s="31">
        <v>0</v>
      </c>
      <c r="AI266" s="31">
        <v>0</v>
      </c>
      <c r="AJ266" s="31">
        <v>137000</v>
      </c>
      <c r="AK266" s="31">
        <v>137000</v>
      </c>
      <c r="AL266" s="31">
        <v>0</v>
      </c>
      <c r="AM266" s="56">
        <v>137000</v>
      </c>
      <c r="AN266" s="31">
        <v>137000</v>
      </c>
      <c r="AO266" s="31" t="s">
        <v>1583</v>
      </c>
      <c r="AP266" s="23" t="s">
        <v>187</v>
      </c>
      <c r="AQ266" s="23" t="s">
        <v>1284</v>
      </c>
    </row>
    <row r="267" spans="1:43">
      <c r="A267" s="41">
        <v>264</v>
      </c>
      <c r="B267" s="41">
        <v>115</v>
      </c>
      <c r="C267" s="574" t="str">
        <f t="shared" si="44"/>
        <v>コアプラス大塚</v>
      </c>
      <c r="D267" s="45" t="s">
        <v>1609</v>
      </c>
      <c r="E267" s="46">
        <v>52</v>
      </c>
      <c r="F267" s="324">
        <v>631</v>
      </c>
      <c r="G267" s="566" t="str">
        <f t="shared" si="45"/>
        <v>住居</v>
      </c>
      <c r="H267" s="44" t="s">
        <v>1717</v>
      </c>
      <c r="I267" s="325">
        <v>132000</v>
      </c>
      <c r="J267" s="325">
        <v>5000</v>
      </c>
      <c r="K267" s="325">
        <v>0</v>
      </c>
      <c r="L267" s="325">
        <v>0</v>
      </c>
      <c r="M267" s="565">
        <f t="shared" si="52"/>
        <v>137000</v>
      </c>
      <c r="N267" s="326">
        <v>128000</v>
      </c>
      <c r="O267" s="326">
        <v>0</v>
      </c>
      <c r="P267" s="565">
        <f t="shared" si="46"/>
        <v>128000</v>
      </c>
      <c r="Q267" s="565">
        <f t="shared" si="53"/>
        <v>137000</v>
      </c>
      <c r="R267" s="325" t="s">
        <v>1578</v>
      </c>
      <c r="S267" s="325" t="s">
        <v>187</v>
      </c>
      <c r="T267" s="327" t="s">
        <v>1284</v>
      </c>
      <c r="V267" s="43" t="s">
        <v>1951</v>
      </c>
      <c r="W267" s="55">
        <v>128000</v>
      </c>
      <c r="Y267" s="6">
        <f t="shared" si="47"/>
        <v>1</v>
      </c>
      <c r="Z267" s="562">
        <f t="shared" si="48"/>
        <v>137000</v>
      </c>
      <c r="AA267" s="122">
        <f t="shared" si="49"/>
        <v>-9000</v>
      </c>
      <c r="AB267" s="122">
        <f t="shared" si="50"/>
        <v>9000</v>
      </c>
      <c r="AC267" s="6">
        <f t="shared" si="51"/>
        <v>1</v>
      </c>
      <c r="AD267" s="563">
        <f t="shared" si="54"/>
        <v>1</v>
      </c>
      <c r="AE267" s="64"/>
      <c r="AF267" s="31">
        <v>132000</v>
      </c>
      <c r="AG267" s="31">
        <v>5000</v>
      </c>
      <c r="AH267" s="31">
        <v>0</v>
      </c>
      <c r="AI267" s="31">
        <v>0</v>
      </c>
      <c r="AJ267" s="31">
        <v>137000</v>
      </c>
      <c r="AK267" s="31">
        <v>128000</v>
      </c>
      <c r="AL267" s="31">
        <v>0</v>
      </c>
      <c r="AM267" s="56">
        <v>128000</v>
      </c>
      <c r="AN267" s="31">
        <v>137000</v>
      </c>
      <c r="AO267" s="31" t="s">
        <v>1578</v>
      </c>
      <c r="AP267" s="23" t="s">
        <v>187</v>
      </c>
      <c r="AQ267" s="23" t="s">
        <v>1284</v>
      </c>
    </row>
    <row r="268" spans="1:43">
      <c r="A268" s="41">
        <v>265</v>
      </c>
      <c r="B268" s="41">
        <v>115</v>
      </c>
      <c r="C268" s="574" t="str">
        <f t="shared" si="44"/>
        <v>コアプラス大塚</v>
      </c>
      <c r="D268" s="45" t="s">
        <v>1611</v>
      </c>
      <c r="E268" s="46">
        <v>52.36</v>
      </c>
      <c r="F268" s="324">
        <v>631</v>
      </c>
      <c r="G268" s="566" t="str">
        <f t="shared" si="45"/>
        <v>住居</v>
      </c>
      <c r="H268" s="44" t="s">
        <v>1667</v>
      </c>
      <c r="I268" s="325">
        <v>123000</v>
      </c>
      <c r="J268" s="325">
        <v>5000</v>
      </c>
      <c r="K268" s="325">
        <v>0</v>
      </c>
      <c r="L268" s="325">
        <v>0</v>
      </c>
      <c r="M268" s="565">
        <f t="shared" si="52"/>
        <v>128000</v>
      </c>
      <c r="N268" s="326">
        <v>128000</v>
      </c>
      <c r="O268" s="326">
        <v>0</v>
      </c>
      <c r="P268" s="565">
        <f t="shared" si="46"/>
        <v>128000</v>
      </c>
      <c r="Q268" s="565">
        <f t="shared" si="53"/>
        <v>128000</v>
      </c>
      <c r="R268" s="325" t="s">
        <v>1568</v>
      </c>
      <c r="S268" s="325" t="s">
        <v>187</v>
      </c>
      <c r="T268" s="327" t="s">
        <v>1284</v>
      </c>
      <c r="V268" s="43" t="s">
        <v>1952</v>
      </c>
      <c r="W268" s="55">
        <v>125000</v>
      </c>
      <c r="Y268" s="6">
        <f t="shared" si="47"/>
        <v>1</v>
      </c>
      <c r="Z268" s="562">
        <f t="shared" si="48"/>
        <v>128000</v>
      </c>
      <c r="AA268" s="122">
        <f t="shared" si="49"/>
        <v>0</v>
      </c>
      <c r="AB268" s="122">
        <f t="shared" si="50"/>
        <v>3000</v>
      </c>
      <c r="AC268" s="6">
        <f t="shared" si="51"/>
        <v>1</v>
      </c>
      <c r="AD268" s="563">
        <f t="shared" si="54"/>
        <v>1</v>
      </c>
      <c r="AE268" s="64"/>
      <c r="AF268" s="31">
        <v>123000</v>
      </c>
      <c r="AG268" s="31">
        <v>5000</v>
      </c>
      <c r="AH268" s="31">
        <v>0</v>
      </c>
      <c r="AI268" s="31">
        <v>0</v>
      </c>
      <c r="AJ268" s="31">
        <v>128000</v>
      </c>
      <c r="AK268" s="31">
        <v>128000</v>
      </c>
      <c r="AL268" s="31">
        <v>0</v>
      </c>
      <c r="AM268" s="56">
        <v>128000</v>
      </c>
      <c r="AN268" s="31">
        <v>128000</v>
      </c>
      <c r="AO268" s="31" t="s">
        <v>1568</v>
      </c>
      <c r="AP268" s="23" t="s">
        <v>187</v>
      </c>
      <c r="AQ268" s="23" t="s">
        <v>1284</v>
      </c>
    </row>
    <row r="269" spans="1:43">
      <c r="A269" s="41">
        <v>266</v>
      </c>
      <c r="B269" s="41">
        <v>115</v>
      </c>
      <c r="C269" s="574" t="str">
        <f t="shared" si="44"/>
        <v>コアプラス大塚</v>
      </c>
      <c r="D269" s="45" t="s">
        <v>1695</v>
      </c>
      <c r="E269" s="46">
        <v>55.18</v>
      </c>
      <c r="F269" s="324">
        <v>631</v>
      </c>
      <c r="G269" s="566" t="str">
        <f t="shared" si="45"/>
        <v>住居</v>
      </c>
      <c r="H269" s="44" t="s">
        <v>1667</v>
      </c>
      <c r="I269" s="325">
        <v>132000</v>
      </c>
      <c r="J269" s="325">
        <v>5000</v>
      </c>
      <c r="K269" s="325">
        <v>0</v>
      </c>
      <c r="L269" s="325">
        <v>0</v>
      </c>
      <c r="M269" s="565">
        <f t="shared" si="52"/>
        <v>137000</v>
      </c>
      <c r="N269" s="326">
        <v>137000</v>
      </c>
      <c r="O269" s="326">
        <v>0</v>
      </c>
      <c r="P269" s="565">
        <f t="shared" si="46"/>
        <v>137000</v>
      </c>
      <c r="Q269" s="565">
        <f t="shared" si="53"/>
        <v>137000</v>
      </c>
      <c r="R269" s="325" t="s">
        <v>1583</v>
      </c>
      <c r="S269" s="325" t="s">
        <v>187</v>
      </c>
      <c r="T269" s="327" t="s">
        <v>1284</v>
      </c>
      <c r="V269" s="43" t="s">
        <v>1953</v>
      </c>
      <c r="W269" s="55">
        <v>120000</v>
      </c>
      <c r="Y269" s="6">
        <f t="shared" si="47"/>
        <v>1</v>
      </c>
      <c r="Z269" s="562">
        <f t="shared" si="48"/>
        <v>137000</v>
      </c>
      <c r="AA269" s="122">
        <f t="shared" si="49"/>
        <v>0</v>
      </c>
      <c r="AB269" s="122">
        <f t="shared" si="50"/>
        <v>17000</v>
      </c>
      <c r="AC269" s="6">
        <f t="shared" si="51"/>
        <v>1</v>
      </c>
      <c r="AD269" s="563">
        <f t="shared" si="54"/>
        <v>1</v>
      </c>
      <c r="AE269" s="64"/>
      <c r="AF269" s="31">
        <v>132000</v>
      </c>
      <c r="AG269" s="31">
        <v>5000</v>
      </c>
      <c r="AH269" s="31">
        <v>0</v>
      </c>
      <c r="AI269" s="31">
        <v>0</v>
      </c>
      <c r="AJ269" s="31">
        <v>137000</v>
      </c>
      <c r="AK269" s="31">
        <v>137000</v>
      </c>
      <c r="AL269" s="31">
        <v>0</v>
      </c>
      <c r="AM269" s="56">
        <v>137000</v>
      </c>
      <c r="AN269" s="31">
        <v>137000</v>
      </c>
      <c r="AO269" s="31" t="s">
        <v>1583</v>
      </c>
      <c r="AP269" s="23" t="s">
        <v>187</v>
      </c>
      <c r="AQ269" s="23" t="s">
        <v>1284</v>
      </c>
    </row>
    <row r="270" spans="1:43">
      <c r="A270" s="41">
        <v>267</v>
      </c>
      <c r="B270" s="41">
        <v>115</v>
      </c>
      <c r="C270" s="574" t="str">
        <f t="shared" si="44"/>
        <v>コアプラス大塚</v>
      </c>
      <c r="D270" s="45" t="s">
        <v>1697</v>
      </c>
      <c r="E270" s="46">
        <v>52</v>
      </c>
      <c r="F270" s="324">
        <v>631</v>
      </c>
      <c r="G270" s="566" t="str">
        <f t="shared" si="45"/>
        <v>住居</v>
      </c>
      <c r="H270" s="44" t="s">
        <v>1667</v>
      </c>
      <c r="I270" s="325">
        <v>128000</v>
      </c>
      <c r="J270" s="325">
        <v>5000</v>
      </c>
      <c r="K270" s="325">
        <v>0</v>
      </c>
      <c r="L270" s="325">
        <v>0</v>
      </c>
      <c r="M270" s="565">
        <f t="shared" si="52"/>
        <v>133000</v>
      </c>
      <c r="N270" s="326">
        <v>133000</v>
      </c>
      <c r="O270" s="326">
        <v>0</v>
      </c>
      <c r="P270" s="565">
        <f t="shared" si="46"/>
        <v>133000</v>
      </c>
      <c r="Q270" s="565">
        <f t="shared" si="53"/>
        <v>133000</v>
      </c>
      <c r="R270" s="325" t="s">
        <v>1568</v>
      </c>
      <c r="S270" s="325" t="s">
        <v>187</v>
      </c>
      <c r="T270" s="327" t="s">
        <v>1284</v>
      </c>
      <c r="V270" s="43" t="s">
        <v>1954</v>
      </c>
      <c r="W270" s="55">
        <v>133000</v>
      </c>
      <c r="Y270" s="6">
        <f t="shared" si="47"/>
        <v>1</v>
      </c>
      <c r="Z270" s="562">
        <f t="shared" si="48"/>
        <v>133000</v>
      </c>
      <c r="AA270" s="122">
        <f t="shared" si="49"/>
        <v>0</v>
      </c>
      <c r="AB270" s="122">
        <f t="shared" si="50"/>
        <v>0</v>
      </c>
      <c r="AC270" s="6">
        <f t="shared" si="51"/>
        <v>1</v>
      </c>
      <c r="AD270" s="563">
        <f t="shared" si="54"/>
        <v>1</v>
      </c>
      <c r="AE270" s="64"/>
      <c r="AF270" s="31">
        <v>128000</v>
      </c>
      <c r="AG270" s="31">
        <v>5000</v>
      </c>
      <c r="AH270" s="31">
        <v>0</v>
      </c>
      <c r="AI270" s="31">
        <v>0</v>
      </c>
      <c r="AJ270" s="31">
        <v>133000</v>
      </c>
      <c r="AK270" s="31">
        <v>133000</v>
      </c>
      <c r="AL270" s="31">
        <v>0</v>
      </c>
      <c r="AM270" s="56">
        <v>133000</v>
      </c>
      <c r="AN270" s="31">
        <v>133000</v>
      </c>
      <c r="AO270" s="31" t="s">
        <v>1568</v>
      </c>
      <c r="AP270" s="23" t="s">
        <v>187</v>
      </c>
      <c r="AQ270" s="23" t="s">
        <v>1284</v>
      </c>
    </row>
    <row r="271" spans="1:43">
      <c r="A271" s="41">
        <v>268</v>
      </c>
      <c r="B271" s="41">
        <v>115</v>
      </c>
      <c r="C271" s="574" t="str">
        <f t="shared" si="44"/>
        <v>コアプラス大塚</v>
      </c>
      <c r="D271" s="45" t="s">
        <v>1699</v>
      </c>
      <c r="E271" s="46">
        <v>52</v>
      </c>
      <c r="F271" s="324">
        <v>631</v>
      </c>
      <c r="G271" s="566" t="str">
        <f t="shared" si="45"/>
        <v>住居</v>
      </c>
      <c r="H271" s="44" t="s">
        <v>1717</v>
      </c>
      <c r="I271" s="325">
        <v>130000</v>
      </c>
      <c r="J271" s="325">
        <v>5000</v>
      </c>
      <c r="K271" s="325">
        <v>0</v>
      </c>
      <c r="L271" s="325">
        <v>0</v>
      </c>
      <c r="M271" s="565">
        <f t="shared" si="52"/>
        <v>135000</v>
      </c>
      <c r="N271" s="326">
        <v>135000</v>
      </c>
      <c r="O271" s="326">
        <v>0</v>
      </c>
      <c r="P271" s="565">
        <f t="shared" si="46"/>
        <v>135000</v>
      </c>
      <c r="Q271" s="565">
        <f t="shared" si="53"/>
        <v>135000</v>
      </c>
      <c r="R271" s="325" t="s">
        <v>1568</v>
      </c>
      <c r="S271" s="325" t="s">
        <v>187</v>
      </c>
      <c r="T271" s="327" t="s">
        <v>1284</v>
      </c>
      <c r="V271" s="43" t="s">
        <v>1955</v>
      </c>
      <c r="W271" s="55">
        <v>128000</v>
      </c>
      <c r="Y271" s="6">
        <f t="shared" si="47"/>
        <v>1</v>
      </c>
      <c r="Z271" s="562">
        <f t="shared" si="48"/>
        <v>135000</v>
      </c>
      <c r="AA271" s="122">
        <f t="shared" si="49"/>
        <v>0</v>
      </c>
      <c r="AB271" s="122">
        <f t="shared" si="50"/>
        <v>7000</v>
      </c>
      <c r="AC271" s="6">
        <f t="shared" si="51"/>
        <v>1</v>
      </c>
      <c r="AD271" s="563">
        <f t="shared" si="54"/>
        <v>1</v>
      </c>
      <c r="AE271" s="64"/>
      <c r="AF271" s="31">
        <v>130000</v>
      </c>
      <c r="AG271" s="31">
        <v>5000</v>
      </c>
      <c r="AH271" s="31">
        <v>0</v>
      </c>
      <c r="AI271" s="31">
        <v>0</v>
      </c>
      <c r="AJ271" s="31">
        <v>135000</v>
      </c>
      <c r="AK271" s="31">
        <v>135000</v>
      </c>
      <c r="AL271" s="31">
        <v>0</v>
      </c>
      <c r="AM271" s="56">
        <v>135000</v>
      </c>
      <c r="AN271" s="31">
        <v>135000</v>
      </c>
      <c r="AO271" s="31" t="s">
        <v>1568</v>
      </c>
      <c r="AP271" s="23" t="s">
        <v>187</v>
      </c>
      <c r="AQ271" s="23" t="s">
        <v>1284</v>
      </c>
    </row>
    <row r="272" spans="1:43">
      <c r="A272" s="41">
        <v>269</v>
      </c>
      <c r="B272" s="41">
        <v>115</v>
      </c>
      <c r="C272" s="574" t="str">
        <f t="shared" si="44"/>
        <v>コアプラス大塚</v>
      </c>
      <c r="D272" s="45" t="s">
        <v>1956</v>
      </c>
      <c r="E272" s="46">
        <v>52</v>
      </c>
      <c r="F272" s="324">
        <v>631</v>
      </c>
      <c r="G272" s="566" t="str">
        <f t="shared" si="45"/>
        <v>住居</v>
      </c>
      <c r="H272" s="44" t="s">
        <v>1667</v>
      </c>
      <c r="I272" s="325">
        <v>125000</v>
      </c>
      <c r="J272" s="325">
        <v>5000</v>
      </c>
      <c r="K272" s="325">
        <v>0</v>
      </c>
      <c r="L272" s="325">
        <v>0</v>
      </c>
      <c r="M272" s="565">
        <f t="shared" si="52"/>
        <v>130000</v>
      </c>
      <c r="N272" s="326">
        <v>125000</v>
      </c>
      <c r="O272" s="326">
        <v>0</v>
      </c>
      <c r="P272" s="565">
        <f t="shared" si="46"/>
        <v>125000</v>
      </c>
      <c r="Q272" s="565">
        <f t="shared" si="53"/>
        <v>130000</v>
      </c>
      <c r="R272" s="325" t="s">
        <v>1568</v>
      </c>
      <c r="S272" s="325" t="s">
        <v>187</v>
      </c>
      <c r="T272" s="327" t="s">
        <v>1284</v>
      </c>
      <c r="V272" s="43" t="s">
        <v>1957</v>
      </c>
      <c r="W272" s="55">
        <v>125000</v>
      </c>
      <c r="Y272" s="6">
        <f t="shared" si="47"/>
        <v>1</v>
      </c>
      <c r="Z272" s="562">
        <f t="shared" si="48"/>
        <v>130000</v>
      </c>
      <c r="AA272" s="122">
        <f t="shared" si="49"/>
        <v>-5000</v>
      </c>
      <c r="AB272" s="122">
        <f t="shared" si="50"/>
        <v>5000</v>
      </c>
      <c r="AC272" s="6">
        <f t="shared" si="51"/>
        <v>1</v>
      </c>
      <c r="AD272" s="563">
        <f t="shared" si="54"/>
        <v>1</v>
      </c>
      <c r="AE272" s="64"/>
      <c r="AF272" s="31">
        <v>125000</v>
      </c>
      <c r="AG272" s="31">
        <v>5000</v>
      </c>
      <c r="AH272" s="31">
        <v>0</v>
      </c>
      <c r="AI272" s="31">
        <v>0</v>
      </c>
      <c r="AJ272" s="31">
        <v>130000</v>
      </c>
      <c r="AK272" s="31">
        <v>125000</v>
      </c>
      <c r="AL272" s="31">
        <v>0</v>
      </c>
      <c r="AM272" s="56">
        <v>125000</v>
      </c>
      <c r="AN272" s="31">
        <v>130000</v>
      </c>
      <c r="AO272" s="31" t="s">
        <v>1568</v>
      </c>
      <c r="AP272" s="23" t="s">
        <v>187</v>
      </c>
      <c r="AQ272" s="23" t="s">
        <v>1284</v>
      </c>
    </row>
    <row r="273" spans="1:43">
      <c r="A273" s="41">
        <v>270</v>
      </c>
      <c r="B273" s="41">
        <v>115</v>
      </c>
      <c r="C273" s="574" t="str">
        <f t="shared" si="44"/>
        <v>コアプラス大塚</v>
      </c>
      <c r="D273" s="45" t="s">
        <v>1958</v>
      </c>
      <c r="E273" s="46">
        <v>52.36</v>
      </c>
      <c r="F273" s="324">
        <v>631</v>
      </c>
      <c r="G273" s="566" t="str">
        <f t="shared" si="45"/>
        <v>住居</v>
      </c>
      <c r="H273" s="44" t="s">
        <v>1667</v>
      </c>
      <c r="I273" s="325">
        <v>120000</v>
      </c>
      <c r="J273" s="325">
        <v>5000</v>
      </c>
      <c r="K273" s="325">
        <v>0</v>
      </c>
      <c r="L273" s="325">
        <v>0</v>
      </c>
      <c r="M273" s="565">
        <f t="shared" si="52"/>
        <v>125000</v>
      </c>
      <c r="N273" s="326">
        <v>125000</v>
      </c>
      <c r="O273" s="326">
        <v>0</v>
      </c>
      <c r="P273" s="565">
        <f t="shared" si="46"/>
        <v>125000</v>
      </c>
      <c r="Q273" s="565">
        <f t="shared" si="53"/>
        <v>125000</v>
      </c>
      <c r="R273" s="325" t="s">
        <v>1568</v>
      </c>
      <c r="S273" s="325" t="s">
        <v>187</v>
      </c>
      <c r="T273" s="327" t="s">
        <v>1284</v>
      </c>
      <c r="V273" s="43" t="s">
        <v>1959</v>
      </c>
      <c r="W273" s="55">
        <v>125000</v>
      </c>
      <c r="Y273" s="6">
        <f t="shared" si="47"/>
        <v>1</v>
      </c>
      <c r="Z273" s="562">
        <f t="shared" si="48"/>
        <v>125000</v>
      </c>
      <c r="AA273" s="122">
        <f t="shared" si="49"/>
        <v>0</v>
      </c>
      <c r="AB273" s="122">
        <f t="shared" si="50"/>
        <v>0</v>
      </c>
      <c r="AC273" s="6">
        <f t="shared" si="51"/>
        <v>1</v>
      </c>
      <c r="AD273" s="563">
        <f t="shared" si="54"/>
        <v>1</v>
      </c>
      <c r="AE273" s="64"/>
      <c r="AF273" s="31">
        <v>120000</v>
      </c>
      <c r="AG273" s="31">
        <v>5000</v>
      </c>
      <c r="AH273" s="31">
        <v>0</v>
      </c>
      <c r="AI273" s="31">
        <v>0</v>
      </c>
      <c r="AJ273" s="31">
        <v>125000</v>
      </c>
      <c r="AK273" s="31">
        <v>125000</v>
      </c>
      <c r="AL273" s="31">
        <v>0</v>
      </c>
      <c r="AM273" s="56">
        <v>125000</v>
      </c>
      <c r="AN273" s="31">
        <v>125000</v>
      </c>
      <c r="AO273" s="31" t="s">
        <v>1568</v>
      </c>
      <c r="AP273" s="23" t="s">
        <v>187</v>
      </c>
      <c r="AQ273" s="23" t="s">
        <v>1284</v>
      </c>
    </row>
    <row r="274" spans="1:43">
      <c r="A274" s="41">
        <v>271</v>
      </c>
      <c r="B274" s="41">
        <v>115</v>
      </c>
      <c r="C274" s="574" t="str">
        <f t="shared" si="44"/>
        <v>コアプラス大塚</v>
      </c>
      <c r="D274" s="45" t="s">
        <v>1741</v>
      </c>
      <c r="E274" s="46">
        <v>52</v>
      </c>
      <c r="F274" s="324">
        <v>631</v>
      </c>
      <c r="G274" s="566" t="str">
        <f t="shared" si="45"/>
        <v>住居</v>
      </c>
      <c r="H274" s="44" t="s">
        <v>1667</v>
      </c>
      <c r="I274" s="325">
        <v>129000</v>
      </c>
      <c r="J274" s="325">
        <v>5000</v>
      </c>
      <c r="K274" s="325">
        <v>0</v>
      </c>
      <c r="L274" s="325">
        <v>0</v>
      </c>
      <c r="M274" s="565">
        <f t="shared" si="52"/>
        <v>134000</v>
      </c>
      <c r="N274" s="326">
        <v>134000</v>
      </c>
      <c r="O274" s="326">
        <v>0</v>
      </c>
      <c r="P274" s="565">
        <f t="shared" si="46"/>
        <v>134000</v>
      </c>
      <c r="Q274" s="565">
        <f t="shared" si="53"/>
        <v>134000</v>
      </c>
      <c r="R274" s="325" t="s">
        <v>1568</v>
      </c>
      <c r="S274" s="325" t="s">
        <v>187</v>
      </c>
      <c r="T274" s="327" t="s">
        <v>1284</v>
      </c>
      <c r="V274" s="43" t="s">
        <v>1960</v>
      </c>
      <c r="W274" s="55">
        <v>134000</v>
      </c>
      <c r="Y274" s="6">
        <f t="shared" si="47"/>
        <v>1</v>
      </c>
      <c r="Z274" s="562">
        <f t="shared" si="48"/>
        <v>134000</v>
      </c>
      <c r="AA274" s="122">
        <f t="shared" si="49"/>
        <v>0</v>
      </c>
      <c r="AB274" s="122">
        <f t="shared" si="50"/>
        <v>0</v>
      </c>
      <c r="AC274" s="6">
        <f t="shared" si="51"/>
        <v>1</v>
      </c>
      <c r="AD274" s="563">
        <f t="shared" si="54"/>
        <v>1</v>
      </c>
      <c r="AE274" s="64"/>
      <c r="AF274" s="31">
        <v>129000</v>
      </c>
      <c r="AG274" s="31">
        <v>5000</v>
      </c>
      <c r="AH274" s="31">
        <v>0</v>
      </c>
      <c r="AI274" s="31">
        <v>0</v>
      </c>
      <c r="AJ274" s="31">
        <v>134000</v>
      </c>
      <c r="AK274" s="31">
        <v>134000</v>
      </c>
      <c r="AL274" s="31">
        <v>0</v>
      </c>
      <c r="AM274" s="56">
        <v>134000</v>
      </c>
      <c r="AN274" s="31">
        <v>134000</v>
      </c>
      <c r="AO274" s="31" t="s">
        <v>1568</v>
      </c>
      <c r="AP274" s="23" t="s">
        <v>187</v>
      </c>
      <c r="AQ274" s="23" t="s">
        <v>1284</v>
      </c>
    </row>
    <row r="275" spans="1:43">
      <c r="A275" s="41">
        <v>272</v>
      </c>
      <c r="B275" s="41">
        <v>115</v>
      </c>
      <c r="C275" s="574" t="str">
        <f t="shared" si="44"/>
        <v>コアプラス大塚</v>
      </c>
      <c r="D275" s="45" t="s">
        <v>1743</v>
      </c>
      <c r="E275" s="46">
        <v>52</v>
      </c>
      <c r="F275" s="324">
        <v>631</v>
      </c>
      <c r="G275" s="566" t="str">
        <f t="shared" si="45"/>
        <v>住居</v>
      </c>
      <c r="H275" s="44" t="s">
        <v>1717</v>
      </c>
      <c r="I275" s="325">
        <v>134000</v>
      </c>
      <c r="J275" s="325">
        <v>5000</v>
      </c>
      <c r="K275" s="325">
        <v>0</v>
      </c>
      <c r="L275" s="325">
        <v>0</v>
      </c>
      <c r="M275" s="565">
        <f t="shared" si="52"/>
        <v>139000</v>
      </c>
      <c r="N275" s="326">
        <v>139000</v>
      </c>
      <c r="O275" s="326">
        <v>0</v>
      </c>
      <c r="P275" s="565">
        <f t="shared" si="46"/>
        <v>139000</v>
      </c>
      <c r="Q275" s="565">
        <f t="shared" si="53"/>
        <v>139000</v>
      </c>
      <c r="R275" s="325" t="s">
        <v>1568</v>
      </c>
      <c r="S275" s="325" t="s">
        <v>187</v>
      </c>
      <c r="T275" s="327" t="s">
        <v>1284</v>
      </c>
      <c r="V275" s="43" t="s">
        <v>1961</v>
      </c>
      <c r="W275" s="55">
        <v>123000</v>
      </c>
      <c r="Y275" s="6">
        <f t="shared" si="47"/>
        <v>1</v>
      </c>
      <c r="Z275" s="562">
        <f t="shared" si="48"/>
        <v>139000</v>
      </c>
      <c r="AA275" s="122">
        <f t="shared" si="49"/>
        <v>0</v>
      </c>
      <c r="AB275" s="122">
        <f t="shared" si="50"/>
        <v>16000</v>
      </c>
      <c r="AC275" s="6">
        <f t="shared" si="51"/>
        <v>1</v>
      </c>
      <c r="AD275" s="563">
        <f t="shared" si="54"/>
        <v>1</v>
      </c>
      <c r="AE275" s="64"/>
      <c r="AF275" s="31">
        <v>134000</v>
      </c>
      <c r="AG275" s="31">
        <v>5000</v>
      </c>
      <c r="AH275" s="31">
        <v>0</v>
      </c>
      <c r="AI275" s="31">
        <v>0</v>
      </c>
      <c r="AJ275" s="31">
        <v>139000</v>
      </c>
      <c r="AK275" s="31">
        <v>139000</v>
      </c>
      <c r="AL275" s="31">
        <v>0</v>
      </c>
      <c r="AM275" s="56">
        <v>139000</v>
      </c>
      <c r="AN275" s="31">
        <v>139000</v>
      </c>
      <c r="AO275" s="31" t="s">
        <v>1568</v>
      </c>
      <c r="AP275" s="23" t="s">
        <v>187</v>
      </c>
      <c r="AQ275" s="23" t="s">
        <v>1284</v>
      </c>
    </row>
    <row r="276" spans="1:43">
      <c r="A276" s="41">
        <v>273</v>
      </c>
      <c r="B276" s="41">
        <v>115</v>
      </c>
      <c r="C276" s="574" t="str">
        <f t="shared" si="44"/>
        <v>コアプラス大塚</v>
      </c>
      <c r="D276" s="45" t="s">
        <v>1745</v>
      </c>
      <c r="E276" s="46">
        <v>52</v>
      </c>
      <c r="F276" s="324">
        <v>631</v>
      </c>
      <c r="G276" s="566" t="str">
        <f t="shared" si="45"/>
        <v>住居</v>
      </c>
      <c r="H276" s="44" t="s">
        <v>1717</v>
      </c>
      <c r="I276" s="325">
        <v>130000</v>
      </c>
      <c r="J276" s="325">
        <v>5000</v>
      </c>
      <c r="K276" s="325">
        <v>0</v>
      </c>
      <c r="L276" s="325">
        <v>0</v>
      </c>
      <c r="M276" s="565">
        <f t="shared" si="52"/>
        <v>135000</v>
      </c>
      <c r="N276" s="326">
        <v>135000</v>
      </c>
      <c r="O276" s="326">
        <v>0</v>
      </c>
      <c r="P276" s="565">
        <f t="shared" si="46"/>
        <v>135000</v>
      </c>
      <c r="Q276" s="565">
        <f t="shared" si="53"/>
        <v>135000</v>
      </c>
      <c r="R276" s="325" t="s">
        <v>1568</v>
      </c>
      <c r="S276" s="325" t="s">
        <v>187</v>
      </c>
      <c r="T276" s="327" t="s">
        <v>1284</v>
      </c>
      <c r="V276" s="43" t="s">
        <v>1962</v>
      </c>
      <c r="W276" s="55">
        <v>125000</v>
      </c>
      <c r="Y276" s="6">
        <f t="shared" si="47"/>
        <v>1</v>
      </c>
      <c r="Z276" s="562">
        <f t="shared" si="48"/>
        <v>135000</v>
      </c>
      <c r="AA276" s="122">
        <f t="shared" si="49"/>
        <v>0</v>
      </c>
      <c r="AB276" s="122">
        <f t="shared" si="50"/>
        <v>10000</v>
      </c>
      <c r="AC276" s="6">
        <f t="shared" si="51"/>
        <v>1</v>
      </c>
      <c r="AD276" s="563">
        <f t="shared" si="54"/>
        <v>1</v>
      </c>
      <c r="AE276" s="64"/>
      <c r="AF276" s="31">
        <v>130000</v>
      </c>
      <c r="AG276" s="31">
        <v>5000</v>
      </c>
      <c r="AH276" s="31">
        <v>0</v>
      </c>
      <c r="AI276" s="31">
        <v>0</v>
      </c>
      <c r="AJ276" s="31">
        <v>135000</v>
      </c>
      <c r="AK276" s="31">
        <v>135000</v>
      </c>
      <c r="AL276" s="31">
        <v>0</v>
      </c>
      <c r="AM276" s="56">
        <v>135000</v>
      </c>
      <c r="AN276" s="31">
        <v>135000</v>
      </c>
      <c r="AO276" s="31" t="s">
        <v>1568</v>
      </c>
      <c r="AP276" s="23" t="s">
        <v>187</v>
      </c>
      <c r="AQ276" s="23" t="s">
        <v>1284</v>
      </c>
    </row>
    <row r="277" spans="1:43">
      <c r="A277" s="41">
        <v>274</v>
      </c>
      <c r="B277" s="41">
        <v>115</v>
      </c>
      <c r="C277" s="574" t="str">
        <f t="shared" si="44"/>
        <v>コアプラス大塚</v>
      </c>
      <c r="D277" s="45" t="s">
        <v>1566</v>
      </c>
      <c r="E277" s="46">
        <v>59.53</v>
      </c>
      <c r="F277" s="324">
        <v>633</v>
      </c>
      <c r="G277" s="566" t="str">
        <f t="shared" si="45"/>
        <v>店舗</v>
      </c>
      <c r="H277" s="44" t="s">
        <v>1706</v>
      </c>
      <c r="I277" s="325">
        <v>170000</v>
      </c>
      <c r="J277" s="325">
        <v>4630</v>
      </c>
      <c r="K277" s="325">
        <v>0</v>
      </c>
      <c r="L277" s="325">
        <v>17463</v>
      </c>
      <c r="M277" s="565">
        <f t="shared" si="52"/>
        <v>192093</v>
      </c>
      <c r="N277" s="326">
        <v>174630</v>
      </c>
      <c r="O277" s="326">
        <v>17463</v>
      </c>
      <c r="P277" s="565">
        <f t="shared" si="46"/>
        <v>192093</v>
      </c>
      <c r="Q277" s="565">
        <f t="shared" si="53"/>
        <v>192093</v>
      </c>
      <c r="R277" s="325" t="s">
        <v>1568</v>
      </c>
      <c r="S277" s="325" t="s">
        <v>187</v>
      </c>
      <c r="T277" s="327" t="s">
        <v>1284</v>
      </c>
      <c r="V277" s="43" t="s">
        <v>1963</v>
      </c>
      <c r="W277" s="55">
        <v>174630</v>
      </c>
      <c r="Y277" s="6">
        <f t="shared" si="47"/>
        <v>1</v>
      </c>
      <c r="Z277" s="562">
        <f t="shared" si="48"/>
        <v>174630</v>
      </c>
      <c r="AA277" s="122">
        <f t="shared" si="49"/>
        <v>0</v>
      </c>
      <c r="AB277" s="122">
        <f t="shared" si="50"/>
        <v>0</v>
      </c>
      <c r="AC277" s="6">
        <f t="shared" si="51"/>
        <v>1</v>
      </c>
      <c r="AD277" s="563">
        <f t="shared" si="54"/>
        <v>1</v>
      </c>
      <c r="AE277" s="64"/>
      <c r="AF277" s="31">
        <v>170000</v>
      </c>
      <c r="AG277" s="31">
        <v>4630</v>
      </c>
      <c r="AH277" s="31">
        <v>0</v>
      </c>
      <c r="AI277" s="31">
        <v>17463</v>
      </c>
      <c r="AJ277" s="31">
        <v>192093</v>
      </c>
      <c r="AK277" s="31">
        <v>174630</v>
      </c>
      <c r="AL277" s="31">
        <v>17463</v>
      </c>
      <c r="AM277" s="56">
        <v>192093</v>
      </c>
      <c r="AN277" s="31">
        <v>192093</v>
      </c>
      <c r="AO277" s="31" t="s">
        <v>1568</v>
      </c>
      <c r="AP277" s="23" t="s">
        <v>187</v>
      </c>
      <c r="AQ277" s="23" t="s">
        <v>1284</v>
      </c>
    </row>
    <row r="278" spans="1:43">
      <c r="A278" s="41">
        <v>275</v>
      </c>
      <c r="B278" s="41">
        <v>115</v>
      </c>
      <c r="C278" s="574" t="str">
        <f t="shared" si="44"/>
        <v>コアプラス大塚</v>
      </c>
      <c r="D278" s="45" t="s">
        <v>1964</v>
      </c>
      <c r="E278" s="46">
        <v>0</v>
      </c>
      <c r="F278" s="324">
        <v>634</v>
      </c>
      <c r="G278" s="566" t="str">
        <f t="shared" si="45"/>
        <v>駐車場</v>
      </c>
      <c r="H278" s="44" t="s">
        <v>1674</v>
      </c>
      <c r="I278" s="325">
        <v>324074</v>
      </c>
      <c r="J278" s="325">
        <v>0</v>
      </c>
      <c r="K278" s="325">
        <v>0</v>
      </c>
      <c r="L278" s="325">
        <v>32407</v>
      </c>
      <c r="M278" s="565">
        <f t="shared" si="52"/>
        <v>356481</v>
      </c>
      <c r="N278" s="326">
        <v>324073</v>
      </c>
      <c r="O278" s="326">
        <v>32407.363636363636</v>
      </c>
      <c r="P278" s="565">
        <f t="shared" si="46"/>
        <v>356480.36363636365</v>
      </c>
      <c r="Q278" s="565">
        <f t="shared" si="53"/>
        <v>356481</v>
      </c>
      <c r="R278" s="325" t="s">
        <v>1575</v>
      </c>
      <c r="S278" s="325" t="s">
        <v>187</v>
      </c>
      <c r="T278" s="327" t="s">
        <v>1965</v>
      </c>
      <c r="V278" s="43" t="s">
        <v>1966</v>
      </c>
      <c r="W278" s="55">
        <v>100000</v>
      </c>
      <c r="Y278" s="6">
        <f t="shared" si="47"/>
        <v>1</v>
      </c>
      <c r="Z278" s="562">
        <f t="shared" si="48"/>
        <v>324074</v>
      </c>
      <c r="AA278" s="122">
        <f t="shared" si="49"/>
        <v>-1</v>
      </c>
      <c r="AB278" s="122">
        <f t="shared" si="50"/>
        <v>224074</v>
      </c>
      <c r="AC278" s="6">
        <f t="shared" si="51"/>
        <v>1</v>
      </c>
      <c r="AD278" s="563">
        <f t="shared" si="54"/>
        <v>1</v>
      </c>
      <c r="AE278" s="64"/>
      <c r="AF278" s="31">
        <v>324074</v>
      </c>
      <c r="AG278" s="31">
        <v>0</v>
      </c>
      <c r="AH278" s="31">
        <v>0</v>
      </c>
      <c r="AI278" s="31">
        <v>32407</v>
      </c>
      <c r="AJ278" s="31">
        <v>356481</v>
      </c>
      <c r="AK278" s="31">
        <v>324073</v>
      </c>
      <c r="AL278" s="31">
        <v>32407.363636363636</v>
      </c>
      <c r="AM278" s="56">
        <v>356480.36363636365</v>
      </c>
      <c r="AN278" s="31">
        <v>356481</v>
      </c>
      <c r="AO278" s="31" t="s">
        <v>1575</v>
      </c>
      <c r="AP278" s="23" t="s">
        <v>187</v>
      </c>
      <c r="AQ278" s="23" t="s">
        <v>1965</v>
      </c>
    </row>
    <row r="279" spans="1:43">
      <c r="A279" s="41">
        <v>276</v>
      </c>
      <c r="B279" s="41">
        <v>115</v>
      </c>
      <c r="C279" s="574" t="str">
        <f t="shared" si="44"/>
        <v>コアプラス大塚</v>
      </c>
      <c r="D279" s="45" t="s">
        <v>1618</v>
      </c>
      <c r="E279" s="46">
        <v>0</v>
      </c>
      <c r="F279" s="324">
        <v>635</v>
      </c>
      <c r="G279" s="566" t="str">
        <f t="shared" si="45"/>
        <v>アンテナ</v>
      </c>
      <c r="H279" s="44" t="s">
        <v>729</v>
      </c>
      <c r="I279" s="325">
        <v>12000</v>
      </c>
      <c r="J279" s="325">
        <v>0</v>
      </c>
      <c r="K279" s="325">
        <v>0</v>
      </c>
      <c r="L279" s="325">
        <v>1200</v>
      </c>
      <c r="M279" s="565">
        <f t="shared" si="52"/>
        <v>13200</v>
      </c>
      <c r="N279" s="326">
        <v>12000</v>
      </c>
      <c r="O279" s="326">
        <v>1199.9999999999998</v>
      </c>
      <c r="P279" s="565">
        <f t="shared" si="46"/>
        <v>13200</v>
      </c>
      <c r="Q279" s="565">
        <f t="shared" si="53"/>
        <v>13200</v>
      </c>
      <c r="R279" s="325" t="s">
        <v>1017</v>
      </c>
      <c r="S279" s="325" t="s">
        <v>187</v>
      </c>
      <c r="T279" s="327" t="s">
        <v>1967</v>
      </c>
      <c r="V279" s="43" t="s">
        <v>1968</v>
      </c>
      <c r="W279" s="55">
        <v>0</v>
      </c>
      <c r="Y279" s="6">
        <f t="shared" si="47"/>
        <v>1</v>
      </c>
      <c r="Z279" s="562">
        <f t="shared" si="48"/>
        <v>12000</v>
      </c>
      <c r="AA279" s="122">
        <f t="shared" si="49"/>
        <v>0</v>
      </c>
      <c r="AB279" s="122">
        <f t="shared" si="50"/>
        <v>12000</v>
      </c>
      <c r="AC279" s="6">
        <f t="shared" si="51"/>
        <v>1</v>
      </c>
      <c r="AD279" s="563">
        <f t="shared" si="54"/>
        <v>1</v>
      </c>
      <c r="AE279" s="64"/>
      <c r="AF279" s="31">
        <v>12000</v>
      </c>
      <c r="AG279" s="31">
        <v>0</v>
      </c>
      <c r="AH279" s="31">
        <v>0</v>
      </c>
      <c r="AI279" s="31">
        <v>1200</v>
      </c>
      <c r="AJ279" s="31">
        <v>13200</v>
      </c>
      <c r="AK279" s="31">
        <v>12000</v>
      </c>
      <c r="AL279" s="31">
        <v>1199.9999999999998</v>
      </c>
      <c r="AM279" s="56">
        <v>13200</v>
      </c>
      <c r="AN279" s="31">
        <v>13200</v>
      </c>
      <c r="AO279" s="31" t="s">
        <v>1017</v>
      </c>
      <c r="AP279" s="23" t="s">
        <v>187</v>
      </c>
      <c r="AQ279" s="23" t="s">
        <v>1969</v>
      </c>
    </row>
    <row r="280" spans="1:43">
      <c r="A280" s="41">
        <v>277</v>
      </c>
      <c r="B280" s="41">
        <v>115</v>
      </c>
      <c r="C280" s="574" t="str">
        <f t="shared" si="44"/>
        <v>コアプラス大塚</v>
      </c>
      <c r="D280" s="45" t="s">
        <v>1622</v>
      </c>
      <c r="E280" s="46" t="s">
        <v>1017</v>
      </c>
      <c r="F280" s="324">
        <v>639</v>
      </c>
      <c r="G280" s="566" t="str">
        <f t="shared" si="45"/>
        <v>その他</v>
      </c>
      <c r="H280" s="44" t="s">
        <v>1789</v>
      </c>
      <c r="I280" s="325">
        <v>0</v>
      </c>
      <c r="J280" s="325">
        <v>0</v>
      </c>
      <c r="K280" s="325">
        <v>0</v>
      </c>
      <c r="L280" s="325">
        <v>0</v>
      </c>
      <c r="M280" s="565">
        <f t="shared" si="52"/>
        <v>0</v>
      </c>
      <c r="N280" s="326">
        <v>0</v>
      </c>
      <c r="O280" s="326">
        <v>0</v>
      </c>
      <c r="P280" s="565">
        <f t="shared" si="46"/>
        <v>0</v>
      </c>
      <c r="Q280" s="565">
        <f t="shared" si="53"/>
        <v>0</v>
      </c>
      <c r="R280" s="325" t="s">
        <v>1017</v>
      </c>
      <c r="S280" s="325" t="s">
        <v>283</v>
      </c>
      <c r="T280" s="327" t="s">
        <v>1623</v>
      </c>
      <c r="V280" s="43" t="s">
        <v>1970</v>
      </c>
      <c r="W280" s="55">
        <v>0</v>
      </c>
      <c r="Y280" s="6">
        <f t="shared" si="47"/>
        <v>0</v>
      </c>
      <c r="Z280" s="562">
        <f t="shared" si="48"/>
        <v>0</v>
      </c>
      <c r="AA280" s="122">
        <f t="shared" si="49"/>
        <v>0</v>
      </c>
      <c r="AB280" s="122">
        <f t="shared" si="50"/>
        <v>0</v>
      </c>
      <c r="AC280" s="6">
        <f t="shared" si="51"/>
        <v>0</v>
      </c>
      <c r="AD280" s="563">
        <f t="shared" si="54"/>
        <v>1</v>
      </c>
      <c r="AE280" s="64"/>
      <c r="AF280" s="31">
        <v>0</v>
      </c>
      <c r="AG280" s="31">
        <v>0</v>
      </c>
      <c r="AH280" s="31">
        <v>0</v>
      </c>
      <c r="AI280" s="31">
        <v>0</v>
      </c>
      <c r="AJ280" s="31">
        <v>0</v>
      </c>
      <c r="AK280" s="31">
        <v>0</v>
      </c>
      <c r="AL280" s="31">
        <v>0</v>
      </c>
      <c r="AM280" s="56">
        <v>0</v>
      </c>
      <c r="AN280" s="31">
        <v>0</v>
      </c>
      <c r="AO280" s="31" t="s">
        <v>1017</v>
      </c>
      <c r="AP280" s="23" t="s">
        <v>283</v>
      </c>
      <c r="AQ280" s="23" t="s">
        <v>1623</v>
      </c>
    </row>
    <row r="281" spans="1:43">
      <c r="A281" s="42">
        <v>278</v>
      </c>
      <c r="B281" s="42">
        <v>116</v>
      </c>
      <c r="C281" s="576" t="str">
        <f t="shared" si="44"/>
        <v>コアプラスレジデンス梅田</v>
      </c>
      <c r="D281" s="45" t="s">
        <v>1580</v>
      </c>
      <c r="E281" s="46">
        <v>55.01</v>
      </c>
      <c r="F281" s="324">
        <v>631</v>
      </c>
      <c r="G281" s="566" t="str">
        <f t="shared" si="45"/>
        <v>住居</v>
      </c>
      <c r="H281" s="44" t="s">
        <v>1717</v>
      </c>
      <c r="I281" s="325">
        <v>122000</v>
      </c>
      <c r="J281" s="325">
        <v>0</v>
      </c>
      <c r="K281" s="325">
        <v>0</v>
      </c>
      <c r="L281" s="325">
        <v>0</v>
      </c>
      <c r="M281" s="565">
        <f t="shared" si="52"/>
        <v>122000</v>
      </c>
      <c r="N281" s="326">
        <v>115000</v>
      </c>
      <c r="O281" s="326">
        <v>0</v>
      </c>
      <c r="P281" s="565">
        <f t="shared" si="46"/>
        <v>115000</v>
      </c>
      <c r="Q281" s="565">
        <f t="shared" si="53"/>
        <v>122000</v>
      </c>
      <c r="R281" s="325" t="s">
        <v>1583</v>
      </c>
      <c r="S281" s="325" t="s">
        <v>187</v>
      </c>
      <c r="T281" s="327" t="s">
        <v>1284</v>
      </c>
      <c r="V281" s="43" t="s">
        <v>1971</v>
      </c>
      <c r="W281" s="55">
        <v>115000</v>
      </c>
      <c r="Y281" s="6">
        <f t="shared" si="47"/>
        <v>1</v>
      </c>
      <c r="Z281" s="562">
        <f t="shared" si="48"/>
        <v>122000</v>
      </c>
      <c r="AA281" s="122">
        <f t="shared" si="49"/>
        <v>-7000</v>
      </c>
      <c r="AB281" s="122">
        <f t="shared" si="50"/>
        <v>7000</v>
      </c>
      <c r="AC281" s="6">
        <f t="shared" si="51"/>
        <v>1</v>
      </c>
      <c r="AD281" s="563">
        <f t="shared" si="54"/>
        <v>1</v>
      </c>
      <c r="AE281" s="64"/>
      <c r="AF281" s="31">
        <v>122000</v>
      </c>
      <c r="AG281" s="31">
        <v>0</v>
      </c>
      <c r="AH281" s="31">
        <v>0</v>
      </c>
      <c r="AI281" s="31">
        <v>0</v>
      </c>
      <c r="AJ281" s="31">
        <v>122000</v>
      </c>
      <c r="AK281" s="31">
        <v>115000</v>
      </c>
      <c r="AL281" s="31">
        <v>0</v>
      </c>
      <c r="AM281" s="56">
        <v>115000</v>
      </c>
      <c r="AN281" s="31">
        <v>122000</v>
      </c>
      <c r="AO281" s="31" t="s">
        <v>1583</v>
      </c>
      <c r="AP281" s="23" t="s">
        <v>187</v>
      </c>
      <c r="AQ281" s="23" t="s">
        <v>1284</v>
      </c>
    </row>
    <row r="282" spans="1:43">
      <c r="A282" s="42">
        <v>279</v>
      </c>
      <c r="B282" s="42">
        <v>116</v>
      </c>
      <c r="C282" s="576" t="str">
        <f t="shared" si="44"/>
        <v>コアプラスレジデンス梅田</v>
      </c>
      <c r="D282" s="45" t="s">
        <v>1582</v>
      </c>
      <c r="E282" s="46">
        <v>62.38</v>
      </c>
      <c r="F282" s="324">
        <v>631</v>
      </c>
      <c r="G282" s="566" t="str">
        <f t="shared" si="45"/>
        <v>住居</v>
      </c>
      <c r="H282" s="44" t="s">
        <v>1717</v>
      </c>
      <c r="I282" s="325">
        <v>145000</v>
      </c>
      <c r="J282" s="325">
        <v>5000</v>
      </c>
      <c r="K282" s="325">
        <v>0</v>
      </c>
      <c r="L282" s="325">
        <v>0</v>
      </c>
      <c r="M282" s="565">
        <f t="shared" si="52"/>
        <v>150000</v>
      </c>
      <c r="N282" s="326">
        <v>160000</v>
      </c>
      <c r="O282" s="326">
        <v>0</v>
      </c>
      <c r="P282" s="565">
        <f t="shared" si="46"/>
        <v>160000</v>
      </c>
      <c r="Q282" s="565">
        <f t="shared" si="53"/>
        <v>150000</v>
      </c>
      <c r="R282" s="325" t="s">
        <v>1568</v>
      </c>
      <c r="S282" s="325" t="s">
        <v>187</v>
      </c>
      <c r="T282" s="327" t="s">
        <v>1284</v>
      </c>
      <c r="V282" s="43" t="s">
        <v>1972</v>
      </c>
      <c r="W282" s="55">
        <v>145000</v>
      </c>
      <c r="Y282" s="6">
        <f t="shared" si="47"/>
        <v>1</v>
      </c>
      <c r="Z282" s="562">
        <f t="shared" si="48"/>
        <v>150000</v>
      </c>
      <c r="AA282" s="122">
        <f t="shared" si="49"/>
        <v>10000</v>
      </c>
      <c r="AB282" s="122">
        <f t="shared" si="50"/>
        <v>5000</v>
      </c>
      <c r="AC282" s="6">
        <f t="shared" si="51"/>
        <v>1</v>
      </c>
      <c r="AD282" s="563">
        <f t="shared" si="54"/>
        <v>1</v>
      </c>
      <c r="AE282" s="64"/>
      <c r="AF282" s="31">
        <v>145000</v>
      </c>
      <c r="AG282" s="31">
        <v>5000</v>
      </c>
      <c r="AH282" s="31">
        <v>0</v>
      </c>
      <c r="AI282" s="31">
        <v>0</v>
      </c>
      <c r="AJ282" s="31">
        <v>150000</v>
      </c>
      <c r="AK282" s="31">
        <v>160000</v>
      </c>
      <c r="AL282" s="31">
        <v>0</v>
      </c>
      <c r="AM282" s="56">
        <v>160000</v>
      </c>
      <c r="AN282" s="31">
        <v>150000</v>
      </c>
      <c r="AO282" s="31" t="s">
        <v>1568</v>
      </c>
      <c r="AP282" s="23" t="s">
        <v>187</v>
      </c>
      <c r="AQ282" s="23" t="s">
        <v>1284</v>
      </c>
    </row>
    <row r="283" spans="1:43">
      <c r="A283" s="42">
        <v>280</v>
      </c>
      <c r="B283" s="42">
        <v>116</v>
      </c>
      <c r="C283" s="576" t="str">
        <f t="shared" si="44"/>
        <v>コアプラスレジデンス梅田</v>
      </c>
      <c r="D283" s="45" t="s">
        <v>1589</v>
      </c>
      <c r="E283" s="46">
        <v>55.01</v>
      </c>
      <c r="F283" s="324">
        <v>631</v>
      </c>
      <c r="G283" s="566" t="str">
        <f t="shared" si="45"/>
        <v>住居</v>
      </c>
      <c r="H283" s="44" t="s">
        <v>1717</v>
      </c>
      <c r="I283" s="325">
        <v>120000</v>
      </c>
      <c r="J283" s="325">
        <v>5000</v>
      </c>
      <c r="K283" s="325">
        <v>0</v>
      </c>
      <c r="L283" s="325">
        <v>0</v>
      </c>
      <c r="M283" s="565">
        <f t="shared" si="52"/>
        <v>125000</v>
      </c>
      <c r="N283" s="326">
        <v>125000</v>
      </c>
      <c r="O283" s="326">
        <v>0</v>
      </c>
      <c r="P283" s="565">
        <f t="shared" si="46"/>
        <v>125000</v>
      </c>
      <c r="Q283" s="565">
        <f t="shared" si="53"/>
        <v>125000</v>
      </c>
      <c r="R283" s="325" t="s">
        <v>1568</v>
      </c>
      <c r="S283" s="325" t="s">
        <v>187</v>
      </c>
      <c r="T283" s="327" t="s">
        <v>1284</v>
      </c>
      <c r="V283" s="43" t="s">
        <v>1973</v>
      </c>
      <c r="W283" s="55">
        <v>125000</v>
      </c>
      <c r="Y283" s="6">
        <f t="shared" si="47"/>
        <v>1</v>
      </c>
      <c r="Z283" s="562">
        <f t="shared" si="48"/>
        <v>125000</v>
      </c>
      <c r="AA283" s="122">
        <f t="shared" si="49"/>
        <v>0</v>
      </c>
      <c r="AB283" s="122">
        <f t="shared" si="50"/>
        <v>0</v>
      </c>
      <c r="AC283" s="6">
        <f t="shared" si="51"/>
        <v>1</v>
      </c>
      <c r="AD283" s="563">
        <f t="shared" si="54"/>
        <v>1</v>
      </c>
      <c r="AE283" s="64"/>
      <c r="AF283" s="31">
        <v>120000</v>
      </c>
      <c r="AG283" s="31">
        <v>5000</v>
      </c>
      <c r="AH283" s="31">
        <v>0</v>
      </c>
      <c r="AI283" s="31">
        <v>0</v>
      </c>
      <c r="AJ283" s="31">
        <v>125000</v>
      </c>
      <c r="AK283" s="31">
        <v>125000</v>
      </c>
      <c r="AL283" s="31">
        <v>0</v>
      </c>
      <c r="AM283" s="56">
        <v>125000</v>
      </c>
      <c r="AN283" s="31">
        <v>125000</v>
      </c>
      <c r="AO283" s="31" t="s">
        <v>1568</v>
      </c>
      <c r="AP283" s="23" t="s">
        <v>187</v>
      </c>
      <c r="AQ283" s="23" t="s">
        <v>1284</v>
      </c>
    </row>
    <row r="284" spans="1:43">
      <c r="A284" s="42">
        <v>281</v>
      </c>
      <c r="B284" s="42">
        <v>116</v>
      </c>
      <c r="C284" s="576" t="str">
        <f t="shared" si="44"/>
        <v>コアプラスレジデンス梅田</v>
      </c>
      <c r="D284" s="45" t="s">
        <v>1591</v>
      </c>
      <c r="E284" s="46">
        <v>62.38</v>
      </c>
      <c r="F284" s="324">
        <v>631</v>
      </c>
      <c r="G284" s="566" t="str">
        <f t="shared" si="45"/>
        <v>住居</v>
      </c>
      <c r="H284" s="44" t="s">
        <v>1717</v>
      </c>
      <c r="I284" s="325">
        <v>153000</v>
      </c>
      <c r="J284" s="325">
        <v>5000</v>
      </c>
      <c r="K284" s="325">
        <v>0</v>
      </c>
      <c r="L284" s="325">
        <v>0</v>
      </c>
      <c r="M284" s="565">
        <f t="shared" si="52"/>
        <v>158000</v>
      </c>
      <c r="N284" s="326">
        <v>155000</v>
      </c>
      <c r="O284" s="326">
        <v>0</v>
      </c>
      <c r="P284" s="565">
        <f t="shared" si="46"/>
        <v>155000</v>
      </c>
      <c r="Q284" s="565">
        <f t="shared" si="53"/>
        <v>158000</v>
      </c>
      <c r="R284" s="325" t="s">
        <v>1568</v>
      </c>
      <c r="S284" s="325" t="s">
        <v>187</v>
      </c>
      <c r="T284" s="327" t="s">
        <v>1284</v>
      </c>
      <c r="V284" s="43" t="s">
        <v>1974</v>
      </c>
      <c r="W284" s="55">
        <v>140000</v>
      </c>
      <c r="Y284" s="6">
        <f t="shared" si="47"/>
        <v>1</v>
      </c>
      <c r="Z284" s="562">
        <f t="shared" si="48"/>
        <v>158000</v>
      </c>
      <c r="AA284" s="122">
        <f t="shared" si="49"/>
        <v>-3000</v>
      </c>
      <c r="AB284" s="122">
        <f t="shared" si="50"/>
        <v>18000</v>
      </c>
      <c r="AC284" s="6">
        <f t="shared" si="51"/>
        <v>1</v>
      </c>
      <c r="AD284" s="563">
        <f t="shared" si="54"/>
        <v>1</v>
      </c>
      <c r="AE284" s="64"/>
      <c r="AF284" s="31">
        <v>153000</v>
      </c>
      <c r="AG284" s="31">
        <v>5000</v>
      </c>
      <c r="AH284" s="31">
        <v>0</v>
      </c>
      <c r="AI284" s="31">
        <v>0</v>
      </c>
      <c r="AJ284" s="31">
        <v>158000</v>
      </c>
      <c r="AK284" s="31">
        <v>155000</v>
      </c>
      <c r="AL284" s="31">
        <v>0</v>
      </c>
      <c r="AM284" s="56">
        <v>155000</v>
      </c>
      <c r="AN284" s="31">
        <v>158000</v>
      </c>
      <c r="AO284" s="31" t="s">
        <v>1568</v>
      </c>
      <c r="AP284" s="23" t="s">
        <v>187</v>
      </c>
      <c r="AQ284" s="23" t="s">
        <v>1284</v>
      </c>
    </row>
    <row r="285" spans="1:43">
      <c r="A285" s="42">
        <v>282</v>
      </c>
      <c r="B285" s="42">
        <v>116</v>
      </c>
      <c r="C285" s="576" t="str">
        <f t="shared" si="44"/>
        <v>コアプラスレジデンス梅田</v>
      </c>
      <c r="D285" s="45" t="s">
        <v>1603</v>
      </c>
      <c r="E285" s="46">
        <v>55.01</v>
      </c>
      <c r="F285" s="324">
        <v>631</v>
      </c>
      <c r="G285" s="566" t="str">
        <f t="shared" si="45"/>
        <v>住居</v>
      </c>
      <c r="H285" s="44" t="s">
        <v>1717</v>
      </c>
      <c r="I285" s="325">
        <v>143000</v>
      </c>
      <c r="J285" s="325">
        <v>5000</v>
      </c>
      <c r="K285" s="325">
        <v>0</v>
      </c>
      <c r="L285" s="325">
        <v>0</v>
      </c>
      <c r="M285" s="565">
        <f t="shared" si="52"/>
        <v>148000</v>
      </c>
      <c r="N285" s="326">
        <v>140000</v>
      </c>
      <c r="O285" s="326">
        <v>0</v>
      </c>
      <c r="P285" s="565">
        <f t="shared" si="46"/>
        <v>140000</v>
      </c>
      <c r="Q285" s="565">
        <f t="shared" si="53"/>
        <v>148000</v>
      </c>
      <c r="R285" s="325" t="s">
        <v>1578</v>
      </c>
      <c r="S285" s="325" t="s">
        <v>187</v>
      </c>
      <c r="T285" s="327" t="s">
        <v>1284</v>
      </c>
      <c r="V285" s="43" t="s">
        <v>1975</v>
      </c>
      <c r="W285" s="55">
        <v>130000</v>
      </c>
      <c r="Y285" s="6">
        <f t="shared" si="47"/>
        <v>1</v>
      </c>
      <c r="Z285" s="562">
        <f t="shared" si="48"/>
        <v>148000</v>
      </c>
      <c r="AA285" s="122">
        <f t="shared" si="49"/>
        <v>-8000</v>
      </c>
      <c r="AB285" s="122">
        <f t="shared" si="50"/>
        <v>18000</v>
      </c>
      <c r="AC285" s="6">
        <f t="shared" si="51"/>
        <v>1</v>
      </c>
      <c r="AD285" s="563">
        <f t="shared" si="54"/>
        <v>1</v>
      </c>
      <c r="AE285" s="64"/>
      <c r="AF285" s="31">
        <v>143000</v>
      </c>
      <c r="AG285" s="31">
        <v>5000</v>
      </c>
      <c r="AH285" s="31">
        <v>0</v>
      </c>
      <c r="AI285" s="31">
        <v>0</v>
      </c>
      <c r="AJ285" s="31">
        <v>148000</v>
      </c>
      <c r="AK285" s="31">
        <v>140000</v>
      </c>
      <c r="AL285" s="31">
        <v>0</v>
      </c>
      <c r="AM285" s="56">
        <v>140000</v>
      </c>
      <c r="AN285" s="31">
        <v>148000</v>
      </c>
      <c r="AO285" s="31" t="s">
        <v>1578</v>
      </c>
      <c r="AP285" s="23" t="s">
        <v>187</v>
      </c>
      <c r="AQ285" s="23" t="s">
        <v>1284</v>
      </c>
    </row>
    <row r="286" spans="1:43">
      <c r="A286" s="42">
        <v>283</v>
      </c>
      <c r="B286" s="42">
        <v>116</v>
      </c>
      <c r="C286" s="576" t="str">
        <f t="shared" si="44"/>
        <v>コアプラスレジデンス梅田</v>
      </c>
      <c r="D286" s="45" t="s">
        <v>1605</v>
      </c>
      <c r="E286" s="46">
        <v>62.38</v>
      </c>
      <c r="F286" s="324">
        <v>631</v>
      </c>
      <c r="G286" s="566" t="str">
        <f t="shared" si="45"/>
        <v>住居</v>
      </c>
      <c r="H286" s="44" t="s">
        <v>1717</v>
      </c>
      <c r="I286" s="325">
        <v>153000</v>
      </c>
      <c r="J286" s="325">
        <v>5000</v>
      </c>
      <c r="K286" s="325">
        <v>0</v>
      </c>
      <c r="L286" s="325">
        <v>0</v>
      </c>
      <c r="M286" s="565">
        <f t="shared" si="52"/>
        <v>158000</v>
      </c>
      <c r="N286" s="326">
        <v>141000</v>
      </c>
      <c r="O286" s="326">
        <v>0</v>
      </c>
      <c r="P286" s="565">
        <f t="shared" si="46"/>
        <v>141000</v>
      </c>
      <c r="Q286" s="565">
        <f t="shared" si="53"/>
        <v>158000</v>
      </c>
      <c r="R286" s="325" t="s">
        <v>1568</v>
      </c>
      <c r="S286" s="325" t="s">
        <v>187</v>
      </c>
      <c r="T286" s="327" t="s">
        <v>1284</v>
      </c>
      <c r="V286" s="43" t="s">
        <v>1976</v>
      </c>
      <c r="W286" s="55">
        <v>130000</v>
      </c>
      <c r="Y286" s="6">
        <f t="shared" si="47"/>
        <v>1</v>
      </c>
      <c r="Z286" s="562">
        <f t="shared" si="48"/>
        <v>158000</v>
      </c>
      <c r="AA286" s="122">
        <f t="shared" si="49"/>
        <v>-17000</v>
      </c>
      <c r="AB286" s="122">
        <f t="shared" si="50"/>
        <v>28000</v>
      </c>
      <c r="AC286" s="6">
        <f t="shared" si="51"/>
        <v>1</v>
      </c>
      <c r="AD286" s="563">
        <f t="shared" si="54"/>
        <v>1</v>
      </c>
      <c r="AE286" s="64"/>
      <c r="AF286" s="31">
        <v>153000</v>
      </c>
      <c r="AG286" s="31">
        <v>5000</v>
      </c>
      <c r="AH286" s="31">
        <v>0</v>
      </c>
      <c r="AI286" s="31">
        <v>0</v>
      </c>
      <c r="AJ286" s="31">
        <v>158000</v>
      </c>
      <c r="AK286" s="31">
        <v>141000</v>
      </c>
      <c r="AL286" s="31">
        <v>0</v>
      </c>
      <c r="AM286" s="56">
        <v>141000</v>
      </c>
      <c r="AN286" s="31">
        <v>158000</v>
      </c>
      <c r="AO286" s="31" t="s">
        <v>1568</v>
      </c>
      <c r="AP286" s="23" t="s">
        <v>187</v>
      </c>
      <c r="AQ286" s="23" t="s">
        <v>1284</v>
      </c>
    </row>
    <row r="287" spans="1:43">
      <c r="A287" s="42">
        <v>284</v>
      </c>
      <c r="B287" s="42">
        <v>116</v>
      </c>
      <c r="C287" s="576" t="str">
        <f t="shared" si="44"/>
        <v>コアプラスレジデンス梅田</v>
      </c>
      <c r="D287" s="45" t="s">
        <v>1695</v>
      </c>
      <c r="E287" s="46">
        <v>55.01</v>
      </c>
      <c r="F287" s="324">
        <v>631</v>
      </c>
      <c r="G287" s="566" t="str">
        <f t="shared" si="45"/>
        <v>住居</v>
      </c>
      <c r="H287" s="44" t="s">
        <v>1717</v>
      </c>
      <c r="I287" s="325">
        <v>140000</v>
      </c>
      <c r="J287" s="325">
        <v>5000</v>
      </c>
      <c r="K287" s="325">
        <v>0</v>
      </c>
      <c r="L287" s="325">
        <v>0</v>
      </c>
      <c r="M287" s="565">
        <f t="shared" si="52"/>
        <v>145000</v>
      </c>
      <c r="N287" s="326">
        <v>130000</v>
      </c>
      <c r="O287" s="326">
        <v>0</v>
      </c>
      <c r="P287" s="565">
        <f t="shared" si="46"/>
        <v>130000</v>
      </c>
      <c r="Q287" s="565">
        <f t="shared" si="53"/>
        <v>145000</v>
      </c>
      <c r="R287" s="325" t="s">
        <v>1568</v>
      </c>
      <c r="S287" s="325" t="s">
        <v>187</v>
      </c>
      <c r="T287" s="327" t="s">
        <v>1284</v>
      </c>
      <c r="V287" s="43" t="s">
        <v>1977</v>
      </c>
      <c r="W287" s="55">
        <v>130000</v>
      </c>
      <c r="Y287" s="6">
        <f t="shared" si="47"/>
        <v>1</v>
      </c>
      <c r="Z287" s="562">
        <f t="shared" si="48"/>
        <v>145000</v>
      </c>
      <c r="AA287" s="122">
        <f t="shared" si="49"/>
        <v>-15000</v>
      </c>
      <c r="AB287" s="122">
        <f t="shared" si="50"/>
        <v>15000</v>
      </c>
      <c r="AC287" s="6">
        <f t="shared" si="51"/>
        <v>1</v>
      </c>
      <c r="AD287" s="563">
        <f t="shared" si="54"/>
        <v>1</v>
      </c>
      <c r="AE287" s="64"/>
      <c r="AF287" s="31">
        <v>140000</v>
      </c>
      <c r="AG287" s="31">
        <v>5000</v>
      </c>
      <c r="AH287" s="31">
        <v>0</v>
      </c>
      <c r="AI287" s="31">
        <v>0</v>
      </c>
      <c r="AJ287" s="31">
        <v>145000</v>
      </c>
      <c r="AK287" s="31">
        <v>130000</v>
      </c>
      <c r="AL287" s="31">
        <v>0</v>
      </c>
      <c r="AM287" s="56">
        <v>130000</v>
      </c>
      <c r="AN287" s="31">
        <v>145000</v>
      </c>
      <c r="AO287" s="31" t="s">
        <v>1568</v>
      </c>
      <c r="AP287" s="23" t="s">
        <v>187</v>
      </c>
      <c r="AQ287" s="23" t="s">
        <v>1284</v>
      </c>
    </row>
    <row r="288" spans="1:43">
      <c r="A288" s="42">
        <v>285</v>
      </c>
      <c r="B288" s="42">
        <v>116</v>
      </c>
      <c r="C288" s="576" t="str">
        <f t="shared" si="44"/>
        <v>コアプラスレジデンス梅田</v>
      </c>
      <c r="D288" s="45" t="s">
        <v>1697</v>
      </c>
      <c r="E288" s="46">
        <v>60</v>
      </c>
      <c r="F288" s="324">
        <v>631</v>
      </c>
      <c r="G288" s="566" t="str">
        <f t="shared" si="45"/>
        <v>住居</v>
      </c>
      <c r="H288" s="44" t="s">
        <v>1717</v>
      </c>
      <c r="I288" s="325">
        <v>135000</v>
      </c>
      <c r="J288" s="325">
        <v>0</v>
      </c>
      <c r="K288" s="325">
        <v>0</v>
      </c>
      <c r="L288" s="325">
        <v>0</v>
      </c>
      <c r="M288" s="565">
        <f t="shared" si="52"/>
        <v>135000</v>
      </c>
      <c r="N288" s="326">
        <v>135000</v>
      </c>
      <c r="O288" s="326">
        <v>0</v>
      </c>
      <c r="P288" s="565">
        <f t="shared" si="46"/>
        <v>135000</v>
      </c>
      <c r="Q288" s="565">
        <f t="shared" si="53"/>
        <v>135000</v>
      </c>
      <c r="R288" s="325" t="s">
        <v>1568</v>
      </c>
      <c r="S288" s="325" t="s">
        <v>187</v>
      </c>
      <c r="T288" s="327" t="s">
        <v>1284</v>
      </c>
      <c r="V288" s="43" t="s">
        <v>1978</v>
      </c>
      <c r="W288" s="55">
        <v>135000</v>
      </c>
      <c r="Y288" s="6">
        <f t="shared" si="47"/>
        <v>1</v>
      </c>
      <c r="Z288" s="562">
        <f t="shared" si="48"/>
        <v>135000</v>
      </c>
      <c r="AA288" s="122">
        <f t="shared" si="49"/>
        <v>0</v>
      </c>
      <c r="AB288" s="122">
        <f t="shared" si="50"/>
        <v>0</v>
      </c>
      <c r="AC288" s="6">
        <f t="shared" si="51"/>
        <v>1</v>
      </c>
      <c r="AD288" s="563">
        <f t="shared" si="54"/>
        <v>1</v>
      </c>
      <c r="AE288" s="64"/>
      <c r="AF288" s="31">
        <v>135000</v>
      </c>
      <c r="AG288" s="31">
        <v>0</v>
      </c>
      <c r="AH288" s="31">
        <v>0</v>
      </c>
      <c r="AI288" s="31">
        <v>0</v>
      </c>
      <c r="AJ288" s="31">
        <v>135000</v>
      </c>
      <c r="AK288" s="31">
        <v>135000</v>
      </c>
      <c r="AL288" s="31">
        <v>0</v>
      </c>
      <c r="AM288" s="56">
        <v>135000</v>
      </c>
      <c r="AN288" s="31">
        <v>135000</v>
      </c>
      <c r="AO288" s="31" t="s">
        <v>1568</v>
      </c>
      <c r="AP288" s="23" t="s">
        <v>187</v>
      </c>
      <c r="AQ288" s="23" t="s">
        <v>1284</v>
      </c>
    </row>
    <row r="289" spans="1:43">
      <c r="A289" s="42">
        <v>286</v>
      </c>
      <c r="B289" s="42">
        <v>116</v>
      </c>
      <c r="C289" s="576" t="str">
        <f t="shared" si="44"/>
        <v>コアプラスレジデンス梅田</v>
      </c>
      <c r="D289" s="45" t="s">
        <v>1741</v>
      </c>
      <c r="E289" s="46">
        <v>65</v>
      </c>
      <c r="F289" s="324">
        <v>631</v>
      </c>
      <c r="G289" s="566" t="str">
        <f t="shared" si="45"/>
        <v>住居</v>
      </c>
      <c r="H289" s="44" t="s">
        <v>1717</v>
      </c>
      <c r="I289" s="325">
        <v>145000</v>
      </c>
      <c r="J289" s="325">
        <v>5000</v>
      </c>
      <c r="K289" s="325">
        <v>0</v>
      </c>
      <c r="L289" s="325">
        <v>0</v>
      </c>
      <c r="M289" s="565">
        <f t="shared" si="52"/>
        <v>150000</v>
      </c>
      <c r="N289" s="326">
        <v>140000</v>
      </c>
      <c r="O289" s="326">
        <v>0</v>
      </c>
      <c r="P289" s="565">
        <f t="shared" si="46"/>
        <v>140000</v>
      </c>
      <c r="Q289" s="565">
        <f t="shared" si="53"/>
        <v>150000</v>
      </c>
      <c r="R289" s="325" t="s">
        <v>1578</v>
      </c>
      <c r="S289" s="325" t="s">
        <v>187</v>
      </c>
      <c r="T289" s="327" t="s">
        <v>1284</v>
      </c>
      <c r="V289" s="43" t="s">
        <v>1979</v>
      </c>
      <c r="W289" s="55">
        <v>130000</v>
      </c>
      <c r="Y289" s="6">
        <f t="shared" si="47"/>
        <v>1</v>
      </c>
      <c r="Z289" s="562">
        <f t="shared" si="48"/>
        <v>150000</v>
      </c>
      <c r="AA289" s="122">
        <f t="shared" si="49"/>
        <v>-10000</v>
      </c>
      <c r="AB289" s="122">
        <f t="shared" si="50"/>
        <v>20000</v>
      </c>
      <c r="AC289" s="6">
        <f t="shared" si="51"/>
        <v>1</v>
      </c>
      <c r="AD289" s="563">
        <f t="shared" si="54"/>
        <v>1</v>
      </c>
      <c r="AE289" s="64"/>
      <c r="AF289" s="31">
        <v>145000</v>
      </c>
      <c r="AG289" s="31">
        <v>5000</v>
      </c>
      <c r="AH289" s="31">
        <v>0</v>
      </c>
      <c r="AI289" s="31">
        <v>0</v>
      </c>
      <c r="AJ289" s="31">
        <v>150000</v>
      </c>
      <c r="AK289" s="31">
        <v>140000</v>
      </c>
      <c r="AL289" s="31">
        <v>0</v>
      </c>
      <c r="AM289" s="56">
        <v>140000</v>
      </c>
      <c r="AN289" s="31">
        <v>150000</v>
      </c>
      <c r="AO289" s="31" t="s">
        <v>1578</v>
      </c>
      <c r="AP289" s="23" t="s">
        <v>187</v>
      </c>
      <c r="AQ289" s="23" t="s">
        <v>1284</v>
      </c>
    </row>
    <row r="290" spans="1:43">
      <c r="A290" s="42">
        <v>287</v>
      </c>
      <c r="B290" s="42">
        <v>116</v>
      </c>
      <c r="C290" s="576" t="str">
        <f t="shared" si="44"/>
        <v>コアプラスレジデンス梅田</v>
      </c>
      <c r="D290" s="45" t="s">
        <v>1743</v>
      </c>
      <c r="E290" s="46">
        <v>65</v>
      </c>
      <c r="F290" s="324">
        <v>631</v>
      </c>
      <c r="G290" s="566" t="str">
        <f t="shared" si="45"/>
        <v>住居</v>
      </c>
      <c r="H290" s="44" t="s">
        <v>1717</v>
      </c>
      <c r="I290" s="325">
        <v>125000</v>
      </c>
      <c r="J290" s="325">
        <v>5000</v>
      </c>
      <c r="K290" s="325">
        <v>0</v>
      </c>
      <c r="L290" s="325">
        <v>0</v>
      </c>
      <c r="M290" s="565">
        <f t="shared" si="52"/>
        <v>130000</v>
      </c>
      <c r="N290" s="326">
        <v>130000</v>
      </c>
      <c r="O290" s="326">
        <v>0</v>
      </c>
      <c r="P290" s="565">
        <f t="shared" si="46"/>
        <v>130000</v>
      </c>
      <c r="Q290" s="565">
        <f t="shared" si="53"/>
        <v>130000</v>
      </c>
      <c r="R290" s="325" t="s">
        <v>1568</v>
      </c>
      <c r="S290" s="325" t="s">
        <v>187</v>
      </c>
      <c r="T290" s="327" t="s">
        <v>1284</v>
      </c>
      <c r="V290" s="43" t="s">
        <v>1980</v>
      </c>
      <c r="W290" s="55">
        <v>130000</v>
      </c>
      <c r="Y290" s="6">
        <f t="shared" si="47"/>
        <v>1</v>
      </c>
      <c r="Z290" s="562">
        <f t="shared" si="48"/>
        <v>130000</v>
      </c>
      <c r="AA290" s="122">
        <f t="shared" si="49"/>
        <v>0</v>
      </c>
      <c r="AB290" s="122">
        <f t="shared" si="50"/>
        <v>0</v>
      </c>
      <c r="AC290" s="6">
        <f t="shared" si="51"/>
        <v>1</v>
      </c>
      <c r="AD290" s="563">
        <f t="shared" si="54"/>
        <v>1</v>
      </c>
      <c r="AE290" s="64"/>
      <c r="AF290" s="31">
        <v>125000</v>
      </c>
      <c r="AG290" s="31">
        <v>5000</v>
      </c>
      <c r="AH290" s="31">
        <v>0</v>
      </c>
      <c r="AI290" s="31">
        <v>0</v>
      </c>
      <c r="AJ290" s="31">
        <v>130000</v>
      </c>
      <c r="AK290" s="31">
        <v>130000</v>
      </c>
      <c r="AL290" s="31">
        <v>0</v>
      </c>
      <c r="AM290" s="56">
        <v>130000</v>
      </c>
      <c r="AN290" s="31">
        <v>130000</v>
      </c>
      <c r="AO290" s="31" t="s">
        <v>1568</v>
      </c>
      <c r="AP290" s="23" t="s">
        <v>187</v>
      </c>
      <c r="AQ290" s="23" t="s">
        <v>1284</v>
      </c>
    </row>
    <row r="291" spans="1:43">
      <c r="A291" s="42">
        <v>288</v>
      </c>
      <c r="B291" s="42">
        <v>116</v>
      </c>
      <c r="C291" s="576" t="str">
        <f t="shared" si="44"/>
        <v>コアプラスレジデンス梅田</v>
      </c>
      <c r="D291" s="45" t="s">
        <v>1747</v>
      </c>
      <c r="E291" s="46">
        <v>65.61</v>
      </c>
      <c r="F291" s="324">
        <v>631</v>
      </c>
      <c r="G291" s="566" t="str">
        <f t="shared" si="45"/>
        <v>住居</v>
      </c>
      <c r="H291" s="44" t="s">
        <v>1717</v>
      </c>
      <c r="I291" s="325">
        <v>138000</v>
      </c>
      <c r="J291" s="325">
        <v>2000</v>
      </c>
      <c r="K291" s="325">
        <v>0</v>
      </c>
      <c r="L291" s="325">
        <v>0</v>
      </c>
      <c r="M291" s="565">
        <f t="shared" si="52"/>
        <v>140000</v>
      </c>
      <c r="N291" s="326">
        <v>132000</v>
      </c>
      <c r="O291" s="326">
        <v>0</v>
      </c>
      <c r="P291" s="565">
        <f t="shared" si="46"/>
        <v>132000</v>
      </c>
      <c r="Q291" s="565">
        <f t="shared" si="53"/>
        <v>140000</v>
      </c>
      <c r="R291" s="325" t="s">
        <v>1568</v>
      </c>
      <c r="S291" s="325" t="s">
        <v>187</v>
      </c>
      <c r="T291" s="327" t="s">
        <v>1284</v>
      </c>
      <c r="V291" s="43" t="s">
        <v>1981</v>
      </c>
      <c r="W291" s="55">
        <v>132000</v>
      </c>
      <c r="Y291" s="6">
        <f t="shared" si="47"/>
        <v>1</v>
      </c>
      <c r="Z291" s="562">
        <f t="shared" si="48"/>
        <v>140000</v>
      </c>
      <c r="AA291" s="122">
        <f t="shared" si="49"/>
        <v>-8000</v>
      </c>
      <c r="AB291" s="122">
        <f t="shared" si="50"/>
        <v>8000</v>
      </c>
      <c r="AC291" s="6">
        <f t="shared" si="51"/>
        <v>1</v>
      </c>
      <c r="AD291" s="563">
        <f t="shared" si="54"/>
        <v>1</v>
      </c>
      <c r="AE291" s="64"/>
      <c r="AF291" s="31">
        <v>138000</v>
      </c>
      <c r="AG291" s="31">
        <v>2000</v>
      </c>
      <c r="AH291" s="31">
        <v>0</v>
      </c>
      <c r="AI291" s="31">
        <v>0</v>
      </c>
      <c r="AJ291" s="31">
        <v>140000</v>
      </c>
      <c r="AK291" s="31">
        <v>132000</v>
      </c>
      <c r="AL291" s="31">
        <v>0</v>
      </c>
      <c r="AM291" s="56">
        <v>132000</v>
      </c>
      <c r="AN291" s="31">
        <v>140000</v>
      </c>
      <c r="AO291" s="31" t="s">
        <v>1568</v>
      </c>
      <c r="AP291" s="23" t="s">
        <v>187</v>
      </c>
      <c r="AQ291" s="23" t="s">
        <v>1284</v>
      </c>
    </row>
    <row r="292" spans="1:43">
      <c r="A292" s="42">
        <v>289</v>
      </c>
      <c r="B292" s="42">
        <v>116</v>
      </c>
      <c r="C292" s="576" t="str">
        <f t="shared" si="44"/>
        <v>コアプラスレジデンス梅田</v>
      </c>
      <c r="D292" s="45" t="s">
        <v>1749</v>
      </c>
      <c r="E292" s="46">
        <v>62.38</v>
      </c>
      <c r="F292" s="324">
        <v>631</v>
      </c>
      <c r="G292" s="566" t="str">
        <f t="shared" si="45"/>
        <v>住居</v>
      </c>
      <c r="H292" s="44" t="s">
        <v>1717</v>
      </c>
      <c r="I292" s="325">
        <v>160000</v>
      </c>
      <c r="J292" s="325">
        <v>5000</v>
      </c>
      <c r="K292" s="325">
        <v>0</v>
      </c>
      <c r="L292" s="325">
        <v>0</v>
      </c>
      <c r="M292" s="565">
        <f t="shared" si="52"/>
        <v>165000</v>
      </c>
      <c r="N292" s="326">
        <v>135000</v>
      </c>
      <c r="O292" s="326">
        <v>0</v>
      </c>
      <c r="P292" s="565">
        <f t="shared" si="46"/>
        <v>135000</v>
      </c>
      <c r="Q292" s="565">
        <f t="shared" si="53"/>
        <v>165000</v>
      </c>
      <c r="R292" s="325" t="s">
        <v>1578</v>
      </c>
      <c r="S292" s="325" t="s">
        <v>187</v>
      </c>
      <c r="T292" s="327" t="s">
        <v>1284</v>
      </c>
      <c r="V292" s="43" t="s">
        <v>1982</v>
      </c>
      <c r="W292" s="55">
        <v>135000</v>
      </c>
      <c r="Y292" s="6">
        <f t="shared" si="47"/>
        <v>1</v>
      </c>
      <c r="Z292" s="562">
        <f t="shared" si="48"/>
        <v>165000</v>
      </c>
      <c r="AA292" s="122">
        <f t="shared" si="49"/>
        <v>-30000</v>
      </c>
      <c r="AB292" s="122">
        <f t="shared" si="50"/>
        <v>30000</v>
      </c>
      <c r="AC292" s="6">
        <f t="shared" si="51"/>
        <v>1</v>
      </c>
      <c r="AD292" s="563">
        <f t="shared" si="54"/>
        <v>1</v>
      </c>
      <c r="AE292" s="64"/>
      <c r="AF292" s="31">
        <v>160000</v>
      </c>
      <c r="AG292" s="31">
        <v>5000</v>
      </c>
      <c r="AH292" s="31">
        <v>0</v>
      </c>
      <c r="AI292" s="31">
        <v>0</v>
      </c>
      <c r="AJ292" s="31">
        <v>165000</v>
      </c>
      <c r="AK292" s="31">
        <v>135000</v>
      </c>
      <c r="AL292" s="31">
        <v>0</v>
      </c>
      <c r="AM292" s="56">
        <v>135000</v>
      </c>
      <c r="AN292" s="31">
        <v>165000</v>
      </c>
      <c r="AO292" s="31" t="s">
        <v>1578</v>
      </c>
      <c r="AP292" s="23" t="s">
        <v>187</v>
      </c>
      <c r="AQ292" s="23" t="s">
        <v>1284</v>
      </c>
    </row>
    <row r="293" spans="1:43">
      <c r="A293" s="42">
        <v>290</v>
      </c>
      <c r="B293" s="42">
        <v>116</v>
      </c>
      <c r="C293" s="576" t="str">
        <f t="shared" si="44"/>
        <v>コアプラスレジデンス梅田</v>
      </c>
      <c r="D293" s="45" t="s">
        <v>1983</v>
      </c>
      <c r="E293" s="46">
        <v>40</v>
      </c>
      <c r="F293" s="324">
        <v>631</v>
      </c>
      <c r="G293" s="566" t="str">
        <f t="shared" si="45"/>
        <v>住居</v>
      </c>
      <c r="H293" s="44" t="s">
        <v>1831</v>
      </c>
      <c r="I293" s="325">
        <v>135000</v>
      </c>
      <c r="J293" s="325">
        <v>5000</v>
      </c>
      <c r="K293" s="325">
        <v>0</v>
      </c>
      <c r="L293" s="325">
        <v>0</v>
      </c>
      <c r="M293" s="565">
        <f t="shared" si="52"/>
        <v>140000</v>
      </c>
      <c r="N293" s="326">
        <v>140000</v>
      </c>
      <c r="O293" s="326">
        <v>0</v>
      </c>
      <c r="P293" s="565">
        <f t="shared" si="46"/>
        <v>140000</v>
      </c>
      <c r="Q293" s="565">
        <f t="shared" si="53"/>
        <v>140000</v>
      </c>
      <c r="R293" s="325" t="s">
        <v>1578</v>
      </c>
      <c r="S293" s="325" t="s">
        <v>187</v>
      </c>
      <c r="T293" s="327" t="s">
        <v>1284</v>
      </c>
      <c r="V293" s="43" t="s">
        <v>1984</v>
      </c>
      <c r="W293" s="55">
        <v>180000</v>
      </c>
      <c r="Y293" s="6">
        <f t="shared" si="47"/>
        <v>1</v>
      </c>
      <c r="Z293" s="562">
        <f t="shared" si="48"/>
        <v>140000</v>
      </c>
      <c r="AA293" s="122">
        <f t="shared" si="49"/>
        <v>0</v>
      </c>
      <c r="AB293" s="122">
        <f t="shared" si="50"/>
        <v>-40000</v>
      </c>
      <c r="AC293" s="6">
        <f t="shared" si="51"/>
        <v>1</v>
      </c>
      <c r="AD293" s="563">
        <f t="shared" si="54"/>
        <v>1</v>
      </c>
      <c r="AE293" s="64"/>
      <c r="AF293" s="31">
        <v>135000</v>
      </c>
      <c r="AG293" s="31">
        <v>5000</v>
      </c>
      <c r="AH293" s="31">
        <v>0</v>
      </c>
      <c r="AI293" s="31">
        <v>0</v>
      </c>
      <c r="AJ293" s="31">
        <v>140000</v>
      </c>
      <c r="AK293" s="31">
        <v>140000</v>
      </c>
      <c r="AL293" s="31">
        <v>0</v>
      </c>
      <c r="AM293" s="56">
        <v>140000</v>
      </c>
      <c r="AN293" s="31">
        <v>140000</v>
      </c>
      <c r="AO293" s="31" t="s">
        <v>1578</v>
      </c>
      <c r="AP293" s="23" t="s">
        <v>187</v>
      </c>
      <c r="AQ293" s="23" t="s">
        <v>1284</v>
      </c>
    </row>
    <row r="294" spans="1:43">
      <c r="A294" s="42">
        <v>291</v>
      </c>
      <c r="B294" s="42">
        <v>116</v>
      </c>
      <c r="C294" s="576" t="str">
        <f t="shared" si="44"/>
        <v>コアプラスレジデンス梅田</v>
      </c>
      <c r="D294" s="45" t="s">
        <v>1985</v>
      </c>
      <c r="E294" s="46">
        <v>62</v>
      </c>
      <c r="F294" s="324">
        <v>631</v>
      </c>
      <c r="G294" s="566" t="str">
        <f t="shared" si="45"/>
        <v>住居</v>
      </c>
      <c r="H294" s="44" t="s">
        <v>1688</v>
      </c>
      <c r="I294" s="325">
        <v>170000</v>
      </c>
      <c r="J294" s="325">
        <v>5000</v>
      </c>
      <c r="K294" s="325">
        <v>0</v>
      </c>
      <c r="L294" s="325">
        <v>0</v>
      </c>
      <c r="M294" s="565">
        <f t="shared" si="52"/>
        <v>175000</v>
      </c>
      <c r="N294" s="326">
        <v>175000</v>
      </c>
      <c r="O294" s="326">
        <v>0</v>
      </c>
      <c r="P294" s="565">
        <f t="shared" si="46"/>
        <v>175000</v>
      </c>
      <c r="Q294" s="565">
        <f t="shared" si="53"/>
        <v>175000</v>
      </c>
      <c r="R294" s="325" t="s">
        <v>1718</v>
      </c>
      <c r="S294" s="325" t="s">
        <v>187</v>
      </c>
      <c r="T294" s="327" t="s">
        <v>1284</v>
      </c>
      <c r="V294" s="43" t="s">
        <v>1986</v>
      </c>
      <c r="W294" s="55">
        <v>175000</v>
      </c>
      <c r="Y294" s="6">
        <f t="shared" si="47"/>
        <v>1</v>
      </c>
      <c r="Z294" s="562">
        <f t="shared" si="48"/>
        <v>175000</v>
      </c>
      <c r="AA294" s="122">
        <f t="shared" si="49"/>
        <v>0</v>
      </c>
      <c r="AB294" s="122">
        <f t="shared" si="50"/>
        <v>0</v>
      </c>
      <c r="AC294" s="6">
        <f t="shared" si="51"/>
        <v>1</v>
      </c>
      <c r="AD294" s="563">
        <f t="shared" si="54"/>
        <v>1</v>
      </c>
      <c r="AE294" s="64"/>
      <c r="AF294" s="31">
        <v>170000</v>
      </c>
      <c r="AG294" s="31">
        <v>5000</v>
      </c>
      <c r="AH294" s="31">
        <v>0</v>
      </c>
      <c r="AI294" s="31">
        <v>0</v>
      </c>
      <c r="AJ294" s="31">
        <v>175000</v>
      </c>
      <c r="AK294" s="31">
        <v>175000</v>
      </c>
      <c r="AL294" s="31">
        <v>0</v>
      </c>
      <c r="AM294" s="56">
        <v>175000</v>
      </c>
      <c r="AN294" s="31">
        <v>175000</v>
      </c>
      <c r="AO294" s="31" t="s">
        <v>1718</v>
      </c>
      <c r="AP294" s="23" t="s">
        <v>187</v>
      </c>
      <c r="AQ294" s="23" t="s">
        <v>1284</v>
      </c>
    </row>
    <row r="295" spans="1:43">
      <c r="A295" s="42">
        <v>292</v>
      </c>
      <c r="B295" s="42">
        <v>116</v>
      </c>
      <c r="C295" s="576" t="str">
        <f t="shared" si="44"/>
        <v>コアプラスレジデンス梅田</v>
      </c>
      <c r="D295" s="45" t="s">
        <v>1566</v>
      </c>
      <c r="E295" s="46">
        <v>130.33000000000001</v>
      </c>
      <c r="F295" s="324">
        <v>633</v>
      </c>
      <c r="G295" s="566" t="str">
        <f t="shared" si="45"/>
        <v>店舗</v>
      </c>
      <c r="H295" s="44" t="s">
        <v>1706</v>
      </c>
      <c r="I295" s="325">
        <v>376000</v>
      </c>
      <c r="J295" s="325">
        <v>0</v>
      </c>
      <c r="K295" s="325">
        <v>0</v>
      </c>
      <c r="L295" s="325">
        <v>37600</v>
      </c>
      <c r="M295" s="565">
        <f t="shared" si="52"/>
        <v>413600</v>
      </c>
      <c r="N295" s="326">
        <v>376000</v>
      </c>
      <c r="O295" s="326">
        <v>37599.999999999993</v>
      </c>
      <c r="P295" s="565">
        <f t="shared" si="46"/>
        <v>413600</v>
      </c>
      <c r="Q295" s="565">
        <f t="shared" si="53"/>
        <v>413600</v>
      </c>
      <c r="R295" s="325" t="s">
        <v>1568</v>
      </c>
      <c r="S295" s="325" t="s">
        <v>187</v>
      </c>
      <c r="T295" s="327" t="s">
        <v>1284</v>
      </c>
      <c r="V295" s="43" t="s">
        <v>1987</v>
      </c>
      <c r="W295" s="55">
        <v>350000</v>
      </c>
      <c r="Y295" s="6">
        <f t="shared" si="47"/>
        <v>1</v>
      </c>
      <c r="Z295" s="562">
        <f t="shared" si="48"/>
        <v>376000</v>
      </c>
      <c r="AA295" s="122">
        <f t="shared" si="49"/>
        <v>0</v>
      </c>
      <c r="AB295" s="122">
        <f t="shared" si="50"/>
        <v>26000</v>
      </c>
      <c r="AC295" s="6">
        <f t="shared" si="51"/>
        <v>1</v>
      </c>
      <c r="AD295" s="563">
        <f t="shared" si="54"/>
        <v>1</v>
      </c>
      <c r="AE295" s="64"/>
      <c r="AF295" s="31">
        <v>376000</v>
      </c>
      <c r="AG295" s="31">
        <v>0</v>
      </c>
      <c r="AH295" s="31">
        <v>0</v>
      </c>
      <c r="AI295" s="31">
        <v>37600</v>
      </c>
      <c r="AJ295" s="31">
        <v>413600</v>
      </c>
      <c r="AK295" s="31">
        <v>376000</v>
      </c>
      <c r="AL295" s="31">
        <v>37599.999999999993</v>
      </c>
      <c r="AM295" s="56">
        <v>413600</v>
      </c>
      <c r="AN295" s="31">
        <v>413600</v>
      </c>
      <c r="AO295" s="31" t="s">
        <v>1568</v>
      </c>
      <c r="AP295" s="23" t="s">
        <v>187</v>
      </c>
      <c r="AQ295" s="23" t="s">
        <v>1284</v>
      </c>
    </row>
    <row r="296" spans="1:43">
      <c r="A296" s="42">
        <v>293</v>
      </c>
      <c r="B296" s="42">
        <v>116</v>
      </c>
      <c r="C296" s="576" t="str">
        <f t="shared" si="44"/>
        <v>コアプラスレジデンス梅田</v>
      </c>
      <c r="D296" s="45" t="s">
        <v>1618</v>
      </c>
      <c r="E296" s="46">
        <v>0</v>
      </c>
      <c r="F296" s="324">
        <v>635</v>
      </c>
      <c r="G296" s="566" t="str">
        <f t="shared" si="45"/>
        <v>アンテナ</v>
      </c>
      <c r="H296" s="44" t="s">
        <v>729</v>
      </c>
      <c r="I296" s="325">
        <v>12000</v>
      </c>
      <c r="J296" s="325">
        <v>0</v>
      </c>
      <c r="K296" s="325">
        <v>0</v>
      </c>
      <c r="L296" s="325">
        <v>1200</v>
      </c>
      <c r="M296" s="565">
        <f t="shared" si="52"/>
        <v>13200</v>
      </c>
      <c r="N296" s="326">
        <v>12000</v>
      </c>
      <c r="O296" s="326">
        <v>1199.9999999999998</v>
      </c>
      <c r="P296" s="565">
        <f t="shared" si="46"/>
        <v>13200</v>
      </c>
      <c r="Q296" s="565">
        <f t="shared" si="53"/>
        <v>13200</v>
      </c>
      <c r="R296" s="325" t="s">
        <v>1017</v>
      </c>
      <c r="S296" s="325" t="s">
        <v>187</v>
      </c>
      <c r="T296" s="327" t="s">
        <v>1967</v>
      </c>
      <c r="V296" s="43" t="s">
        <v>1988</v>
      </c>
      <c r="W296" s="55">
        <v>0</v>
      </c>
      <c r="Y296" s="6">
        <f t="shared" si="47"/>
        <v>1</v>
      </c>
      <c r="Z296" s="562">
        <f t="shared" si="48"/>
        <v>12000</v>
      </c>
      <c r="AA296" s="122">
        <f t="shared" si="49"/>
        <v>0</v>
      </c>
      <c r="AB296" s="122">
        <f t="shared" si="50"/>
        <v>12000</v>
      </c>
      <c r="AC296" s="6">
        <f t="shared" si="51"/>
        <v>1</v>
      </c>
      <c r="AD296" s="563">
        <f t="shared" si="54"/>
        <v>1</v>
      </c>
      <c r="AE296" s="64"/>
      <c r="AF296" s="31">
        <v>12000</v>
      </c>
      <c r="AG296" s="31">
        <v>0</v>
      </c>
      <c r="AH296" s="31">
        <v>0</v>
      </c>
      <c r="AI296" s="31">
        <v>1200</v>
      </c>
      <c r="AJ296" s="31">
        <v>13200</v>
      </c>
      <c r="AK296" s="31">
        <v>12000</v>
      </c>
      <c r="AL296" s="31">
        <v>1199.9999999999998</v>
      </c>
      <c r="AM296" s="56">
        <v>13200</v>
      </c>
      <c r="AN296" s="31">
        <v>13200</v>
      </c>
      <c r="AO296" s="31" t="s">
        <v>1017</v>
      </c>
      <c r="AP296" s="23" t="s">
        <v>187</v>
      </c>
      <c r="AQ296" s="23" t="s">
        <v>1969</v>
      </c>
    </row>
    <row r="297" spans="1:43">
      <c r="A297" s="42">
        <v>294</v>
      </c>
      <c r="B297" s="42">
        <v>116</v>
      </c>
      <c r="C297" s="576" t="str">
        <f t="shared" si="44"/>
        <v>コアプラスレジデンス梅田</v>
      </c>
      <c r="D297" s="45" t="s">
        <v>1622</v>
      </c>
      <c r="E297" s="46" t="s">
        <v>1017</v>
      </c>
      <c r="F297" s="324">
        <v>639</v>
      </c>
      <c r="G297" s="566" t="str">
        <f t="shared" si="45"/>
        <v>その他</v>
      </c>
      <c r="H297" s="44" t="s">
        <v>1789</v>
      </c>
      <c r="I297" s="325">
        <v>0</v>
      </c>
      <c r="J297" s="325">
        <v>0</v>
      </c>
      <c r="K297" s="325">
        <v>0</v>
      </c>
      <c r="L297" s="325">
        <v>0</v>
      </c>
      <c r="M297" s="565">
        <f t="shared" si="52"/>
        <v>0</v>
      </c>
      <c r="N297" s="326">
        <v>0</v>
      </c>
      <c r="O297" s="326">
        <v>0</v>
      </c>
      <c r="P297" s="565">
        <f t="shared" si="46"/>
        <v>0</v>
      </c>
      <c r="Q297" s="565">
        <f t="shared" si="53"/>
        <v>0</v>
      </c>
      <c r="R297" s="325" t="s">
        <v>1017</v>
      </c>
      <c r="S297" s="325" t="s">
        <v>283</v>
      </c>
      <c r="T297" s="327" t="s">
        <v>1989</v>
      </c>
      <c r="V297" s="43" t="s">
        <v>1990</v>
      </c>
      <c r="W297" s="55">
        <v>0</v>
      </c>
      <c r="Y297" s="6">
        <f t="shared" si="47"/>
        <v>0</v>
      </c>
      <c r="Z297" s="562">
        <f t="shared" si="48"/>
        <v>0</v>
      </c>
      <c r="AA297" s="122">
        <f t="shared" si="49"/>
        <v>0</v>
      </c>
      <c r="AB297" s="122">
        <f t="shared" si="50"/>
        <v>0</v>
      </c>
      <c r="AC297" s="6">
        <f t="shared" si="51"/>
        <v>0</v>
      </c>
      <c r="AD297" s="563">
        <f t="shared" si="54"/>
        <v>1</v>
      </c>
      <c r="AE297" s="64"/>
      <c r="AF297" s="31">
        <v>0</v>
      </c>
      <c r="AG297" s="31">
        <v>0</v>
      </c>
      <c r="AH297" s="31">
        <v>0</v>
      </c>
      <c r="AI297" s="31">
        <v>0</v>
      </c>
      <c r="AJ297" s="31">
        <v>0</v>
      </c>
      <c r="AK297" s="31">
        <v>0</v>
      </c>
      <c r="AL297" s="31">
        <v>0</v>
      </c>
      <c r="AM297" s="56">
        <v>0</v>
      </c>
      <c r="AN297" s="31">
        <v>0</v>
      </c>
      <c r="AO297" s="31" t="s">
        <v>1017</v>
      </c>
      <c r="AP297" s="23" t="s">
        <v>283</v>
      </c>
      <c r="AQ297" s="23" t="s">
        <v>1991</v>
      </c>
    </row>
    <row r="298" spans="1:43">
      <c r="A298" s="34">
        <v>295</v>
      </c>
      <c r="B298" s="34">
        <v>117</v>
      </c>
      <c r="C298" s="568" t="str">
        <f t="shared" si="44"/>
        <v>高田馬場第4玉川ビル</v>
      </c>
      <c r="D298" s="45" t="s">
        <v>1566</v>
      </c>
      <c r="E298" s="46">
        <v>89.64</v>
      </c>
      <c r="F298" s="324">
        <v>631</v>
      </c>
      <c r="G298" s="566" t="str">
        <f t="shared" si="45"/>
        <v>住居</v>
      </c>
      <c r="H298" s="44" t="s">
        <v>1992</v>
      </c>
      <c r="I298" s="325">
        <v>185000</v>
      </c>
      <c r="J298" s="325">
        <v>5000</v>
      </c>
      <c r="K298" s="325">
        <v>0</v>
      </c>
      <c r="L298" s="325">
        <v>0</v>
      </c>
      <c r="M298" s="565">
        <f t="shared" si="52"/>
        <v>190000</v>
      </c>
      <c r="N298" s="326">
        <v>190000</v>
      </c>
      <c r="O298" s="326">
        <v>0</v>
      </c>
      <c r="P298" s="565">
        <f t="shared" si="46"/>
        <v>190000</v>
      </c>
      <c r="Q298" s="565">
        <f t="shared" si="53"/>
        <v>190000</v>
      </c>
      <c r="R298" s="325" t="s">
        <v>1568</v>
      </c>
      <c r="S298" s="325" t="s">
        <v>187</v>
      </c>
      <c r="T298" s="327" t="s">
        <v>1284</v>
      </c>
      <c r="V298" s="43" t="s">
        <v>1993</v>
      </c>
      <c r="W298" s="55">
        <v>190000</v>
      </c>
      <c r="Y298" s="6">
        <f t="shared" si="47"/>
        <v>1</v>
      </c>
      <c r="Z298" s="562">
        <f t="shared" si="48"/>
        <v>190000</v>
      </c>
      <c r="AA298" s="122">
        <f t="shared" si="49"/>
        <v>0</v>
      </c>
      <c r="AB298" s="122">
        <f t="shared" si="50"/>
        <v>0</v>
      </c>
      <c r="AC298" s="6">
        <f t="shared" si="51"/>
        <v>1</v>
      </c>
      <c r="AD298" s="563">
        <f t="shared" si="54"/>
        <v>1</v>
      </c>
      <c r="AE298" s="64"/>
      <c r="AF298" s="31">
        <v>185000</v>
      </c>
      <c r="AG298" s="31">
        <v>5000</v>
      </c>
      <c r="AH298" s="31">
        <v>0</v>
      </c>
      <c r="AI298" s="31">
        <v>0</v>
      </c>
      <c r="AJ298" s="31">
        <v>190000</v>
      </c>
      <c r="AK298" s="31">
        <v>190000</v>
      </c>
      <c r="AL298" s="31">
        <v>0</v>
      </c>
      <c r="AM298" s="56">
        <v>190000</v>
      </c>
      <c r="AN298" s="31">
        <v>190000</v>
      </c>
      <c r="AO298" s="31" t="s">
        <v>1568</v>
      </c>
      <c r="AP298" s="23" t="s">
        <v>187</v>
      </c>
      <c r="AQ298" s="23" t="s">
        <v>1284</v>
      </c>
    </row>
    <row r="299" spans="1:43">
      <c r="A299" s="34">
        <v>296</v>
      </c>
      <c r="B299" s="34">
        <v>117</v>
      </c>
      <c r="C299" s="568" t="str">
        <f t="shared" si="44"/>
        <v>高田馬場第4玉川ビル</v>
      </c>
      <c r="D299" s="45" t="s">
        <v>1994</v>
      </c>
      <c r="E299" s="46">
        <v>89.64</v>
      </c>
      <c r="F299" s="324">
        <v>631</v>
      </c>
      <c r="G299" s="566" t="str">
        <f t="shared" si="45"/>
        <v>住居</v>
      </c>
      <c r="H299" s="44" t="s">
        <v>1992</v>
      </c>
      <c r="I299" s="325">
        <v>160000</v>
      </c>
      <c r="J299" s="325">
        <v>5000</v>
      </c>
      <c r="K299" s="325">
        <v>0</v>
      </c>
      <c r="L299" s="325">
        <v>0</v>
      </c>
      <c r="M299" s="565">
        <f t="shared" si="52"/>
        <v>165000</v>
      </c>
      <c r="N299" s="326">
        <v>165000</v>
      </c>
      <c r="O299" s="326">
        <v>0</v>
      </c>
      <c r="P299" s="565">
        <f t="shared" si="46"/>
        <v>165000</v>
      </c>
      <c r="Q299" s="565">
        <f t="shared" si="53"/>
        <v>165000</v>
      </c>
      <c r="R299" s="325" t="s">
        <v>1583</v>
      </c>
      <c r="S299" s="325" t="s">
        <v>187</v>
      </c>
      <c r="T299" s="327" t="s">
        <v>1284</v>
      </c>
      <c r="V299" s="43" t="s">
        <v>1995</v>
      </c>
      <c r="W299" s="55">
        <v>165000</v>
      </c>
      <c r="Y299" s="6">
        <f t="shared" si="47"/>
        <v>1</v>
      </c>
      <c r="Z299" s="562">
        <f t="shared" si="48"/>
        <v>165000</v>
      </c>
      <c r="AA299" s="122">
        <f t="shared" si="49"/>
        <v>0</v>
      </c>
      <c r="AB299" s="122">
        <f t="shared" si="50"/>
        <v>0</v>
      </c>
      <c r="AC299" s="6">
        <f t="shared" si="51"/>
        <v>1</v>
      </c>
      <c r="AD299" s="563">
        <f t="shared" si="54"/>
        <v>1</v>
      </c>
      <c r="AE299" s="64"/>
      <c r="AF299" s="31">
        <v>160000</v>
      </c>
      <c r="AG299" s="31">
        <v>5000</v>
      </c>
      <c r="AH299" s="31">
        <v>0</v>
      </c>
      <c r="AI299" s="31">
        <v>0</v>
      </c>
      <c r="AJ299" s="31">
        <v>165000</v>
      </c>
      <c r="AK299" s="31">
        <v>165000</v>
      </c>
      <c r="AL299" s="31">
        <v>0</v>
      </c>
      <c r="AM299" s="56">
        <v>165000</v>
      </c>
      <c r="AN299" s="31">
        <v>165000</v>
      </c>
      <c r="AO299" s="31" t="s">
        <v>1583</v>
      </c>
      <c r="AP299" s="23" t="s">
        <v>187</v>
      </c>
      <c r="AQ299" s="23" t="s">
        <v>1284</v>
      </c>
    </row>
    <row r="300" spans="1:43">
      <c r="A300" s="34">
        <v>297</v>
      </c>
      <c r="B300" s="34">
        <v>117</v>
      </c>
      <c r="C300" s="568" t="str">
        <f t="shared" si="44"/>
        <v>高田馬場第4玉川ビル</v>
      </c>
      <c r="D300" s="45" t="s">
        <v>1580</v>
      </c>
      <c r="E300" s="46">
        <v>31.98</v>
      </c>
      <c r="F300" s="324">
        <v>631</v>
      </c>
      <c r="G300" s="566" t="str">
        <f t="shared" si="45"/>
        <v>住居</v>
      </c>
      <c r="H300" s="44" t="s">
        <v>1996</v>
      </c>
      <c r="I300" s="325">
        <v>84000</v>
      </c>
      <c r="J300" s="325">
        <v>4000</v>
      </c>
      <c r="K300" s="325">
        <v>0</v>
      </c>
      <c r="L300" s="325">
        <v>0</v>
      </c>
      <c r="M300" s="565">
        <f t="shared" si="52"/>
        <v>88000</v>
      </c>
      <c r="N300" s="326">
        <v>88000</v>
      </c>
      <c r="O300" s="326">
        <v>0</v>
      </c>
      <c r="P300" s="565">
        <f t="shared" si="46"/>
        <v>88000</v>
      </c>
      <c r="Q300" s="565">
        <f t="shared" si="53"/>
        <v>88000</v>
      </c>
      <c r="R300" s="325" t="s">
        <v>1578</v>
      </c>
      <c r="S300" s="325" t="s">
        <v>187</v>
      </c>
      <c r="T300" s="327" t="s">
        <v>1284</v>
      </c>
      <c r="V300" s="43" t="s">
        <v>1997</v>
      </c>
      <c r="W300" s="55">
        <v>83000</v>
      </c>
      <c r="Y300" s="6">
        <f t="shared" si="47"/>
        <v>1</v>
      </c>
      <c r="Z300" s="562">
        <f t="shared" si="48"/>
        <v>88000</v>
      </c>
      <c r="AA300" s="122">
        <f>N300-Z300</f>
        <v>0</v>
      </c>
      <c r="AB300" s="122">
        <f t="shared" si="50"/>
        <v>5000</v>
      </c>
      <c r="AC300" s="6">
        <f t="shared" si="51"/>
        <v>1</v>
      </c>
      <c r="AD300" s="563">
        <f t="shared" si="54"/>
        <v>1</v>
      </c>
      <c r="AE300" s="64"/>
      <c r="AF300" s="31">
        <v>84000</v>
      </c>
      <c r="AG300" s="31">
        <v>4000</v>
      </c>
      <c r="AH300" s="31">
        <v>0</v>
      </c>
      <c r="AI300" s="31">
        <v>0</v>
      </c>
      <c r="AJ300" s="31">
        <v>88000</v>
      </c>
      <c r="AK300" s="31">
        <v>88000</v>
      </c>
      <c r="AL300" s="31">
        <v>0</v>
      </c>
      <c r="AM300" s="56">
        <v>88000</v>
      </c>
      <c r="AN300" s="31">
        <v>88000</v>
      </c>
      <c r="AO300" s="31" t="s">
        <v>1578</v>
      </c>
      <c r="AP300" s="23" t="s">
        <v>187</v>
      </c>
      <c r="AQ300" s="23" t="s">
        <v>1284</v>
      </c>
    </row>
    <row r="301" spans="1:43">
      <c r="A301" s="34">
        <v>298</v>
      </c>
      <c r="B301" s="34">
        <v>117</v>
      </c>
      <c r="C301" s="568" t="str">
        <f t="shared" si="44"/>
        <v>高田馬場第4玉川ビル</v>
      </c>
      <c r="D301" s="45" t="s">
        <v>1582</v>
      </c>
      <c r="E301" s="46">
        <v>28.84</v>
      </c>
      <c r="F301" s="324">
        <v>631</v>
      </c>
      <c r="G301" s="566" t="str">
        <f t="shared" si="45"/>
        <v>住居</v>
      </c>
      <c r="H301" s="44" t="s">
        <v>1996</v>
      </c>
      <c r="I301" s="325">
        <v>78000</v>
      </c>
      <c r="J301" s="325">
        <v>5000</v>
      </c>
      <c r="K301" s="325">
        <v>0</v>
      </c>
      <c r="L301" s="325">
        <v>0</v>
      </c>
      <c r="M301" s="565">
        <f t="shared" si="52"/>
        <v>83000</v>
      </c>
      <c r="N301" s="326">
        <v>78000</v>
      </c>
      <c r="O301" s="326">
        <v>0</v>
      </c>
      <c r="P301" s="565">
        <f t="shared" si="46"/>
        <v>78000</v>
      </c>
      <c r="Q301" s="565">
        <f t="shared" si="53"/>
        <v>83000</v>
      </c>
      <c r="R301" s="325" t="s">
        <v>1568</v>
      </c>
      <c r="S301" s="325" t="s">
        <v>187</v>
      </c>
      <c r="T301" s="327" t="s">
        <v>1284</v>
      </c>
      <c r="V301" s="43" t="s">
        <v>1998</v>
      </c>
      <c r="W301" s="55">
        <v>80000</v>
      </c>
      <c r="Y301" s="6">
        <f t="shared" si="47"/>
        <v>1</v>
      </c>
      <c r="Z301" s="562">
        <f t="shared" si="48"/>
        <v>83000</v>
      </c>
      <c r="AA301" s="122">
        <f t="shared" si="49"/>
        <v>-5000</v>
      </c>
      <c r="AB301" s="122">
        <f t="shared" si="50"/>
        <v>3000</v>
      </c>
      <c r="AC301" s="6">
        <f t="shared" si="51"/>
        <v>1</v>
      </c>
      <c r="AD301" s="563">
        <f t="shared" si="54"/>
        <v>1</v>
      </c>
      <c r="AE301" s="64"/>
      <c r="AF301" s="31">
        <v>78000</v>
      </c>
      <c r="AG301" s="31">
        <v>5000</v>
      </c>
      <c r="AH301" s="31">
        <v>0</v>
      </c>
      <c r="AI301" s="31">
        <v>0</v>
      </c>
      <c r="AJ301" s="31">
        <v>83000</v>
      </c>
      <c r="AK301" s="31">
        <v>78000</v>
      </c>
      <c r="AL301" s="31">
        <v>0</v>
      </c>
      <c r="AM301" s="56">
        <v>78000</v>
      </c>
      <c r="AN301" s="31">
        <v>83000</v>
      </c>
      <c r="AO301" s="31" t="s">
        <v>1568</v>
      </c>
      <c r="AP301" s="23" t="s">
        <v>187</v>
      </c>
      <c r="AQ301" s="23" t="s">
        <v>1284</v>
      </c>
    </row>
    <row r="302" spans="1:43">
      <c r="A302" s="34">
        <v>299</v>
      </c>
      <c r="B302" s="34">
        <v>117</v>
      </c>
      <c r="C302" s="568" t="str">
        <f t="shared" si="44"/>
        <v>高田馬場第4玉川ビル</v>
      </c>
      <c r="D302" s="45" t="s">
        <v>1585</v>
      </c>
      <c r="E302" s="46">
        <v>28.84</v>
      </c>
      <c r="F302" s="324">
        <v>631</v>
      </c>
      <c r="G302" s="566" t="str">
        <f t="shared" si="45"/>
        <v>住居</v>
      </c>
      <c r="H302" s="44" t="s">
        <v>1996</v>
      </c>
      <c r="I302" s="325">
        <v>80000</v>
      </c>
      <c r="J302" s="325">
        <v>5000</v>
      </c>
      <c r="K302" s="325">
        <v>0</v>
      </c>
      <c r="L302" s="325">
        <v>0</v>
      </c>
      <c r="M302" s="565">
        <f t="shared" si="52"/>
        <v>85000</v>
      </c>
      <c r="N302" s="326">
        <v>84000</v>
      </c>
      <c r="O302" s="326">
        <v>0</v>
      </c>
      <c r="P302" s="565">
        <f t="shared" si="46"/>
        <v>84000</v>
      </c>
      <c r="Q302" s="565">
        <f t="shared" si="53"/>
        <v>85000</v>
      </c>
      <c r="R302" s="325" t="s">
        <v>1568</v>
      </c>
      <c r="S302" s="325" t="s">
        <v>187</v>
      </c>
      <c r="T302" s="327" t="s">
        <v>1284</v>
      </c>
      <c r="V302" s="43" t="s">
        <v>1999</v>
      </c>
      <c r="W302" s="55">
        <v>79000</v>
      </c>
      <c r="Y302" s="6">
        <f t="shared" si="47"/>
        <v>1</v>
      </c>
      <c r="Z302" s="562">
        <f t="shared" si="48"/>
        <v>85000</v>
      </c>
      <c r="AA302" s="122">
        <f t="shared" si="49"/>
        <v>-1000</v>
      </c>
      <c r="AB302" s="122">
        <f t="shared" si="50"/>
        <v>6000</v>
      </c>
      <c r="AC302" s="6">
        <f t="shared" si="51"/>
        <v>1</v>
      </c>
      <c r="AD302" s="563">
        <f t="shared" si="54"/>
        <v>1</v>
      </c>
      <c r="AE302" s="64"/>
      <c r="AF302" s="31">
        <v>80000</v>
      </c>
      <c r="AG302" s="31">
        <v>5000</v>
      </c>
      <c r="AH302" s="31">
        <v>0</v>
      </c>
      <c r="AI302" s="31">
        <v>0</v>
      </c>
      <c r="AJ302" s="31">
        <v>85000</v>
      </c>
      <c r="AK302" s="31">
        <v>84000</v>
      </c>
      <c r="AL302" s="31">
        <v>0</v>
      </c>
      <c r="AM302" s="56">
        <v>84000</v>
      </c>
      <c r="AN302" s="31">
        <v>85000</v>
      </c>
      <c r="AO302" s="31" t="s">
        <v>1568</v>
      </c>
      <c r="AP302" s="23" t="s">
        <v>187</v>
      </c>
      <c r="AQ302" s="23" t="s">
        <v>1284</v>
      </c>
    </row>
    <row r="303" spans="1:43">
      <c r="A303" s="34">
        <v>300</v>
      </c>
      <c r="B303" s="34">
        <v>117</v>
      </c>
      <c r="C303" s="568" t="str">
        <f t="shared" si="44"/>
        <v>高田馬場第4玉川ビル</v>
      </c>
      <c r="D303" s="45" t="s">
        <v>1589</v>
      </c>
      <c r="E303" s="46">
        <v>16.78</v>
      </c>
      <c r="F303" s="324">
        <v>631</v>
      </c>
      <c r="G303" s="566" t="str">
        <f t="shared" si="45"/>
        <v>住居</v>
      </c>
      <c r="H303" s="44" t="s">
        <v>1709</v>
      </c>
      <c r="I303" s="325">
        <v>67000</v>
      </c>
      <c r="J303" s="325">
        <v>2000</v>
      </c>
      <c r="K303" s="325">
        <v>0</v>
      </c>
      <c r="L303" s="325">
        <v>0</v>
      </c>
      <c r="M303" s="565">
        <f t="shared" si="52"/>
        <v>69000</v>
      </c>
      <c r="N303" s="326">
        <v>69000</v>
      </c>
      <c r="O303" s="326">
        <v>0</v>
      </c>
      <c r="P303" s="565">
        <f t="shared" si="46"/>
        <v>69000</v>
      </c>
      <c r="Q303" s="565">
        <f t="shared" si="53"/>
        <v>69000</v>
      </c>
      <c r="R303" s="325" t="s">
        <v>1568</v>
      </c>
      <c r="S303" s="325" t="s">
        <v>187</v>
      </c>
      <c r="T303" s="327" t="s">
        <v>1284</v>
      </c>
      <c r="V303" s="43" t="s">
        <v>2000</v>
      </c>
      <c r="W303" s="55">
        <v>69000</v>
      </c>
      <c r="Y303" s="6">
        <f t="shared" si="47"/>
        <v>1</v>
      </c>
      <c r="Z303" s="562">
        <f t="shared" si="48"/>
        <v>69000</v>
      </c>
      <c r="AA303" s="122">
        <f t="shared" si="49"/>
        <v>0</v>
      </c>
      <c r="AB303" s="122">
        <f t="shared" si="50"/>
        <v>0</v>
      </c>
      <c r="AC303" s="6">
        <f t="shared" si="51"/>
        <v>1</v>
      </c>
      <c r="AD303" s="563">
        <f t="shared" si="54"/>
        <v>1</v>
      </c>
      <c r="AE303" s="64"/>
      <c r="AF303" s="31">
        <v>67000</v>
      </c>
      <c r="AG303" s="31">
        <v>2000</v>
      </c>
      <c r="AH303" s="31">
        <v>0</v>
      </c>
      <c r="AI303" s="31">
        <v>0</v>
      </c>
      <c r="AJ303" s="31">
        <v>69000</v>
      </c>
      <c r="AK303" s="31">
        <v>69000</v>
      </c>
      <c r="AL303" s="31">
        <v>0</v>
      </c>
      <c r="AM303" s="56">
        <v>69000</v>
      </c>
      <c r="AN303" s="31">
        <v>69000</v>
      </c>
      <c r="AO303" s="31" t="s">
        <v>1568</v>
      </c>
      <c r="AP303" s="23" t="s">
        <v>187</v>
      </c>
      <c r="AQ303" s="23" t="s">
        <v>1284</v>
      </c>
    </row>
    <row r="304" spans="1:43">
      <c r="A304" s="34">
        <v>301</v>
      </c>
      <c r="B304" s="34">
        <v>117</v>
      </c>
      <c r="C304" s="568" t="str">
        <f t="shared" si="44"/>
        <v>高田馬場第4玉川ビル</v>
      </c>
      <c r="D304" s="45" t="s">
        <v>1591</v>
      </c>
      <c r="E304" s="46">
        <v>27.31</v>
      </c>
      <c r="F304" s="324">
        <v>631</v>
      </c>
      <c r="G304" s="566" t="str">
        <f t="shared" si="45"/>
        <v>住居</v>
      </c>
      <c r="H304" s="44" t="s">
        <v>1996</v>
      </c>
      <c r="I304" s="325">
        <v>80000</v>
      </c>
      <c r="J304" s="325">
        <v>3000</v>
      </c>
      <c r="K304" s="325">
        <v>0</v>
      </c>
      <c r="L304" s="325">
        <v>0</v>
      </c>
      <c r="M304" s="565">
        <f t="shared" si="52"/>
        <v>83000</v>
      </c>
      <c r="N304" s="326">
        <v>82000</v>
      </c>
      <c r="O304" s="326">
        <v>0</v>
      </c>
      <c r="P304" s="565">
        <f t="shared" si="46"/>
        <v>82000</v>
      </c>
      <c r="Q304" s="565">
        <f t="shared" si="53"/>
        <v>83000</v>
      </c>
      <c r="R304" s="325" t="s">
        <v>1568</v>
      </c>
      <c r="S304" s="325" t="s">
        <v>187</v>
      </c>
      <c r="T304" s="327" t="s">
        <v>1284</v>
      </c>
      <c r="V304" s="43" t="s">
        <v>2001</v>
      </c>
      <c r="W304" s="55">
        <v>81000</v>
      </c>
      <c r="Y304" s="6">
        <f t="shared" si="47"/>
        <v>1</v>
      </c>
      <c r="Z304" s="562">
        <f t="shared" si="48"/>
        <v>83000</v>
      </c>
      <c r="AA304" s="122">
        <f t="shared" si="49"/>
        <v>-1000</v>
      </c>
      <c r="AB304" s="122">
        <f t="shared" si="50"/>
        <v>2000</v>
      </c>
      <c r="AC304" s="6">
        <f t="shared" si="51"/>
        <v>1</v>
      </c>
      <c r="AD304" s="563">
        <f t="shared" si="54"/>
        <v>1</v>
      </c>
      <c r="AE304" s="64"/>
      <c r="AF304" s="31">
        <v>80000</v>
      </c>
      <c r="AG304" s="31">
        <v>3000</v>
      </c>
      <c r="AH304" s="31">
        <v>0</v>
      </c>
      <c r="AI304" s="31">
        <v>0</v>
      </c>
      <c r="AJ304" s="31">
        <v>83000</v>
      </c>
      <c r="AK304" s="31">
        <v>82000</v>
      </c>
      <c r="AL304" s="31">
        <v>0</v>
      </c>
      <c r="AM304" s="56">
        <v>82000</v>
      </c>
      <c r="AN304" s="31">
        <v>83000</v>
      </c>
      <c r="AO304" s="31" t="s">
        <v>1568</v>
      </c>
      <c r="AP304" s="23" t="s">
        <v>187</v>
      </c>
      <c r="AQ304" s="23" t="s">
        <v>1284</v>
      </c>
    </row>
    <row r="305" spans="1:43">
      <c r="A305" s="34">
        <v>302</v>
      </c>
      <c r="B305" s="34">
        <v>117</v>
      </c>
      <c r="C305" s="568" t="str">
        <f t="shared" si="44"/>
        <v>高田馬場第4玉川ビル</v>
      </c>
      <c r="D305" s="45" t="s">
        <v>1593</v>
      </c>
      <c r="E305" s="46">
        <v>27.31</v>
      </c>
      <c r="F305" s="324">
        <v>631</v>
      </c>
      <c r="G305" s="566" t="str">
        <f t="shared" si="45"/>
        <v>住居</v>
      </c>
      <c r="H305" s="44" t="s">
        <v>1996</v>
      </c>
      <c r="I305" s="325">
        <v>81000</v>
      </c>
      <c r="J305" s="325">
        <v>2000</v>
      </c>
      <c r="K305" s="325">
        <v>0</v>
      </c>
      <c r="L305" s="325">
        <v>0</v>
      </c>
      <c r="M305" s="565">
        <f t="shared" si="52"/>
        <v>83000</v>
      </c>
      <c r="N305" s="326">
        <v>83000</v>
      </c>
      <c r="O305" s="326">
        <v>0</v>
      </c>
      <c r="P305" s="565">
        <f t="shared" si="46"/>
        <v>83000</v>
      </c>
      <c r="Q305" s="565">
        <f t="shared" si="53"/>
        <v>83000</v>
      </c>
      <c r="R305" s="325" t="s">
        <v>1568</v>
      </c>
      <c r="S305" s="325" t="s">
        <v>187</v>
      </c>
      <c r="T305" s="327" t="s">
        <v>1284</v>
      </c>
      <c r="V305" s="43" t="s">
        <v>2002</v>
      </c>
      <c r="W305" s="55">
        <v>83000</v>
      </c>
      <c r="Y305" s="6">
        <f t="shared" si="47"/>
        <v>1</v>
      </c>
      <c r="Z305" s="562">
        <f t="shared" si="48"/>
        <v>83000</v>
      </c>
      <c r="AA305" s="122">
        <f t="shared" si="49"/>
        <v>0</v>
      </c>
      <c r="AB305" s="122">
        <f t="shared" si="50"/>
        <v>0</v>
      </c>
      <c r="AC305" s="6">
        <f t="shared" si="51"/>
        <v>1</v>
      </c>
      <c r="AD305" s="563">
        <f t="shared" si="54"/>
        <v>1</v>
      </c>
      <c r="AE305" s="64"/>
      <c r="AF305" s="31">
        <v>81000</v>
      </c>
      <c r="AG305" s="31">
        <v>2000</v>
      </c>
      <c r="AH305" s="31">
        <v>0</v>
      </c>
      <c r="AI305" s="31">
        <v>0</v>
      </c>
      <c r="AJ305" s="31">
        <v>83000</v>
      </c>
      <c r="AK305" s="31">
        <v>83000</v>
      </c>
      <c r="AL305" s="31">
        <v>0</v>
      </c>
      <c r="AM305" s="56">
        <v>83000</v>
      </c>
      <c r="AN305" s="31">
        <v>83000</v>
      </c>
      <c r="AO305" s="31" t="s">
        <v>1568</v>
      </c>
      <c r="AP305" s="23" t="s">
        <v>187</v>
      </c>
      <c r="AQ305" s="23" t="s">
        <v>1284</v>
      </c>
    </row>
    <row r="306" spans="1:43">
      <c r="A306" s="34">
        <v>303</v>
      </c>
      <c r="B306" s="34">
        <v>117</v>
      </c>
      <c r="C306" s="568" t="str">
        <f t="shared" si="44"/>
        <v>高田馬場第4玉川ビル</v>
      </c>
      <c r="D306" s="45" t="s">
        <v>1673</v>
      </c>
      <c r="E306" s="46">
        <v>0</v>
      </c>
      <c r="F306" s="324">
        <v>634</v>
      </c>
      <c r="G306" s="566" t="str">
        <f t="shared" si="45"/>
        <v>駐車場</v>
      </c>
      <c r="H306" s="44" t="s">
        <v>1674</v>
      </c>
      <c r="I306" s="325">
        <v>0</v>
      </c>
      <c r="J306" s="325">
        <v>0</v>
      </c>
      <c r="K306" s="325">
        <v>0</v>
      </c>
      <c r="L306" s="325">
        <v>0</v>
      </c>
      <c r="M306" s="565">
        <f t="shared" si="52"/>
        <v>0</v>
      </c>
      <c r="N306" s="326">
        <v>13000</v>
      </c>
      <c r="O306" s="326">
        <v>1300</v>
      </c>
      <c r="P306" s="565">
        <f t="shared" si="46"/>
        <v>14300</v>
      </c>
      <c r="Q306" s="565">
        <f t="shared" si="53"/>
        <v>14300</v>
      </c>
      <c r="R306" s="325" t="s">
        <v>1575</v>
      </c>
      <c r="S306" s="325" t="s">
        <v>187</v>
      </c>
      <c r="T306" s="327" t="s">
        <v>1714</v>
      </c>
      <c r="V306" s="43" t="s">
        <v>2003</v>
      </c>
      <c r="W306" s="55">
        <v>14300</v>
      </c>
      <c r="Y306" s="6">
        <f t="shared" si="47"/>
        <v>0</v>
      </c>
      <c r="Z306" s="562">
        <f t="shared" si="48"/>
        <v>13000</v>
      </c>
      <c r="AA306" s="122">
        <f t="shared" si="49"/>
        <v>0</v>
      </c>
      <c r="AB306" s="122">
        <f t="shared" si="50"/>
        <v>-1300</v>
      </c>
      <c r="AC306" s="6">
        <f t="shared" si="51"/>
        <v>1</v>
      </c>
      <c r="AD306" s="563">
        <f t="shared" si="54"/>
        <v>1</v>
      </c>
      <c r="AE306" s="64"/>
      <c r="AF306" s="31">
        <v>0</v>
      </c>
      <c r="AG306" s="31">
        <v>0</v>
      </c>
      <c r="AH306" s="31">
        <v>0</v>
      </c>
      <c r="AI306" s="31">
        <v>0</v>
      </c>
      <c r="AJ306" s="31">
        <v>0</v>
      </c>
      <c r="AK306" s="31">
        <v>13000</v>
      </c>
      <c r="AL306" s="31">
        <v>1300</v>
      </c>
      <c r="AM306" s="56">
        <v>14300</v>
      </c>
      <c r="AN306" s="31">
        <v>14300</v>
      </c>
      <c r="AO306" s="31" t="s">
        <v>1575</v>
      </c>
      <c r="AP306" s="23" t="s">
        <v>187</v>
      </c>
      <c r="AQ306" s="23" t="s">
        <v>1714</v>
      </c>
    </row>
    <row r="307" spans="1:43">
      <c r="A307" s="37">
        <v>304</v>
      </c>
      <c r="B307" s="37">
        <v>120</v>
      </c>
      <c r="C307" s="575" t="str">
        <f t="shared" si="44"/>
        <v>南池袋マンション</v>
      </c>
      <c r="D307" s="45" t="s">
        <v>1566</v>
      </c>
      <c r="E307" s="46">
        <v>23.07</v>
      </c>
      <c r="F307" s="324">
        <v>631</v>
      </c>
      <c r="G307" s="566" t="str">
        <f t="shared" si="45"/>
        <v>住居</v>
      </c>
      <c r="H307" s="44" t="s">
        <v>1709</v>
      </c>
      <c r="I307" s="325">
        <v>75000</v>
      </c>
      <c r="J307" s="325">
        <v>0</v>
      </c>
      <c r="K307" s="325">
        <v>0</v>
      </c>
      <c r="L307" s="325">
        <v>0</v>
      </c>
      <c r="M307" s="565">
        <f t="shared" si="52"/>
        <v>75000</v>
      </c>
      <c r="N307" s="326">
        <v>75000</v>
      </c>
      <c r="O307" s="326">
        <v>0</v>
      </c>
      <c r="P307" s="565">
        <f t="shared" si="46"/>
        <v>75000</v>
      </c>
      <c r="Q307" s="565">
        <f t="shared" si="53"/>
        <v>75000</v>
      </c>
      <c r="R307" s="325" t="s">
        <v>1568</v>
      </c>
      <c r="S307" s="325" t="s">
        <v>187</v>
      </c>
      <c r="T307" s="327" t="s">
        <v>1284</v>
      </c>
      <c r="V307" s="43" t="s">
        <v>2004</v>
      </c>
      <c r="W307" s="55">
        <v>75000</v>
      </c>
      <c r="Y307" s="6">
        <f t="shared" si="47"/>
        <v>1</v>
      </c>
      <c r="Z307" s="562">
        <f t="shared" si="48"/>
        <v>75000</v>
      </c>
      <c r="AA307" s="122">
        <f t="shared" si="49"/>
        <v>0</v>
      </c>
      <c r="AB307" s="122">
        <f t="shared" si="50"/>
        <v>0</v>
      </c>
      <c r="AC307" s="6">
        <f t="shared" si="51"/>
        <v>1</v>
      </c>
      <c r="AD307" s="563">
        <f t="shared" si="54"/>
        <v>1</v>
      </c>
      <c r="AE307" s="64"/>
      <c r="AF307" s="31">
        <v>75000</v>
      </c>
      <c r="AG307" s="31">
        <v>0</v>
      </c>
      <c r="AH307" s="31">
        <v>0</v>
      </c>
      <c r="AI307" s="31">
        <v>0</v>
      </c>
      <c r="AJ307" s="31">
        <v>75000</v>
      </c>
      <c r="AK307" s="31">
        <v>75000</v>
      </c>
      <c r="AL307" s="31">
        <v>0</v>
      </c>
      <c r="AM307" s="56">
        <v>75000</v>
      </c>
      <c r="AN307" s="31">
        <v>75000</v>
      </c>
      <c r="AO307" s="31" t="s">
        <v>1568</v>
      </c>
      <c r="AP307" s="23" t="s">
        <v>187</v>
      </c>
      <c r="AQ307" s="23" t="s">
        <v>1284</v>
      </c>
    </row>
    <row r="308" spans="1:43">
      <c r="A308" s="37">
        <v>305</v>
      </c>
      <c r="B308" s="37">
        <v>120</v>
      </c>
      <c r="C308" s="575" t="str">
        <f t="shared" si="44"/>
        <v>南池袋マンション</v>
      </c>
      <c r="D308" s="45" t="s">
        <v>1570</v>
      </c>
      <c r="E308" s="46">
        <v>26.94</v>
      </c>
      <c r="F308" s="324">
        <v>631</v>
      </c>
      <c r="G308" s="566" t="str">
        <f t="shared" si="45"/>
        <v>住居</v>
      </c>
      <c r="H308" s="44" t="s">
        <v>1811</v>
      </c>
      <c r="I308" s="325">
        <v>70000</v>
      </c>
      <c r="J308" s="325">
        <v>0</v>
      </c>
      <c r="K308" s="325">
        <v>0</v>
      </c>
      <c r="L308" s="325">
        <v>0</v>
      </c>
      <c r="M308" s="565">
        <f t="shared" si="52"/>
        <v>70000</v>
      </c>
      <c r="N308" s="326">
        <v>70000</v>
      </c>
      <c r="O308" s="326">
        <v>0</v>
      </c>
      <c r="P308" s="565">
        <f t="shared" si="46"/>
        <v>70000</v>
      </c>
      <c r="Q308" s="565">
        <f t="shared" si="53"/>
        <v>70000</v>
      </c>
      <c r="R308" s="325" t="s">
        <v>1568</v>
      </c>
      <c r="S308" s="325" t="s">
        <v>187</v>
      </c>
      <c r="T308" s="327" t="s">
        <v>1284</v>
      </c>
      <c r="V308" s="43" t="s">
        <v>2005</v>
      </c>
      <c r="W308" s="55">
        <v>70000</v>
      </c>
      <c r="Y308" s="6">
        <f t="shared" si="47"/>
        <v>1</v>
      </c>
      <c r="Z308" s="562">
        <f t="shared" si="48"/>
        <v>70000</v>
      </c>
      <c r="AA308" s="122">
        <f t="shared" si="49"/>
        <v>0</v>
      </c>
      <c r="AB308" s="122">
        <f t="shared" si="50"/>
        <v>0</v>
      </c>
      <c r="AC308" s="6">
        <f t="shared" si="51"/>
        <v>1</v>
      </c>
      <c r="AD308" s="563">
        <f t="shared" si="54"/>
        <v>1</v>
      </c>
      <c r="AE308" s="64"/>
      <c r="AF308" s="31">
        <v>70000</v>
      </c>
      <c r="AG308" s="31">
        <v>0</v>
      </c>
      <c r="AH308" s="31">
        <v>0</v>
      </c>
      <c r="AI308" s="31">
        <v>0</v>
      </c>
      <c r="AJ308" s="31">
        <v>70000</v>
      </c>
      <c r="AK308" s="31">
        <v>70000</v>
      </c>
      <c r="AL308" s="31">
        <v>0</v>
      </c>
      <c r="AM308" s="56">
        <v>70000</v>
      </c>
      <c r="AN308" s="31">
        <v>70000</v>
      </c>
      <c r="AO308" s="31" t="s">
        <v>1568</v>
      </c>
      <c r="AP308" s="23" t="s">
        <v>187</v>
      </c>
      <c r="AQ308" s="23" t="s">
        <v>1284</v>
      </c>
    </row>
    <row r="309" spans="1:43">
      <c r="A309" s="37">
        <v>306</v>
      </c>
      <c r="B309" s="37">
        <v>120</v>
      </c>
      <c r="C309" s="575" t="str">
        <f t="shared" si="44"/>
        <v>南池袋マンション</v>
      </c>
      <c r="D309" s="45" t="s">
        <v>1572</v>
      </c>
      <c r="E309" s="46">
        <v>33.450000000000003</v>
      </c>
      <c r="F309" s="324">
        <v>631</v>
      </c>
      <c r="G309" s="566" t="str">
        <f t="shared" si="45"/>
        <v>住居</v>
      </c>
      <c r="H309" s="44" t="s">
        <v>1811</v>
      </c>
      <c r="I309" s="325">
        <v>79000</v>
      </c>
      <c r="J309" s="325">
        <v>4000</v>
      </c>
      <c r="K309" s="325">
        <v>0</v>
      </c>
      <c r="L309" s="325">
        <v>0</v>
      </c>
      <c r="M309" s="565">
        <f t="shared" si="52"/>
        <v>83000</v>
      </c>
      <c r="N309" s="326">
        <v>83000</v>
      </c>
      <c r="O309" s="326">
        <v>0</v>
      </c>
      <c r="P309" s="565">
        <f t="shared" si="46"/>
        <v>83000</v>
      </c>
      <c r="Q309" s="565">
        <f t="shared" si="53"/>
        <v>83000</v>
      </c>
      <c r="R309" s="325" t="s">
        <v>1568</v>
      </c>
      <c r="S309" s="325" t="s">
        <v>187</v>
      </c>
      <c r="T309" s="327" t="s">
        <v>1284</v>
      </c>
      <c r="V309" s="43" t="s">
        <v>2006</v>
      </c>
      <c r="W309" s="55">
        <v>89000</v>
      </c>
      <c r="Y309" s="6">
        <f t="shared" si="47"/>
        <v>1</v>
      </c>
      <c r="Z309" s="562">
        <f t="shared" si="48"/>
        <v>83000</v>
      </c>
      <c r="AA309" s="122">
        <f t="shared" si="49"/>
        <v>0</v>
      </c>
      <c r="AB309" s="122">
        <f t="shared" si="50"/>
        <v>-6000</v>
      </c>
      <c r="AC309" s="6">
        <f t="shared" si="51"/>
        <v>1</v>
      </c>
      <c r="AD309" s="563">
        <f t="shared" si="54"/>
        <v>1</v>
      </c>
      <c r="AE309" s="64"/>
      <c r="AF309" s="31">
        <v>79000</v>
      </c>
      <c r="AG309" s="31">
        <v>4000</v>
      </c>
      <c r="AH309" s="31">
        <v>0</v>
      </c>
      <c r="AI309" s="31">
        <v>0</v>
      </c>
      <c r="AJ309" s="31">
        <v>83000</v>
      </c>
      <c r="AK309" s="31">
        <v>83000</v>
      </c>
      <c r="AL309" s="31">
        <v>0</v>
      </c>
      <c r="AM309" s="56">
        <v>83000</v>
      </c>
      <c r="AN309" s="31">
        <v>83000</v>
      </c>
      <c r="AO309" s="31" t="s">
        <v>1568</v>
      </c>
      <c r="AP309" s="23" t="s">
        <v>187</v>
      </c>
      <c r="AQ309" s="23" t="s">
        <v>1284</v>
      </c>
    </row>
    <row r="310" spans="1:43">
      <c r="A310" s="37">
        <v>307</v>
      </c>
      <c r="B310" s="37">
        <v>120</v>
      </c>
      <c r="C310" s="575" t="str">
        <f t="shared" si="44"/>
        <v>南池袋マンション</v>
      </c>
      <c r="D310" s="45" t="s">
        <v>1580</v>
      </c>
      <c r="E310" s="46">
        <v>43.83</v>
      </c>
      <c r="F310" s="324">
        <v>631</v>
      </c>
      <c r="G310" s="566" t="str">
        <f t="shared" si="45"/>
        <v>住居</v>
      </c>
      <c r="H310" s="44" t="s">
        <v>1669</v>
      </c>
      <c r="I310" s="325">
        <v>102000</v>
      </c>
      <c r="J310" s="325">
        <v>3000</v>
      </c>
      <c r="K310" s="325">
        <v>0</v>
      </c>
      <c r="L310" s="325">
        <v>0</v>
      </c>
      <c r="M310" s="565">
        <f t="shared" si="52"/>
        <v>105000</v>
      </c>
      <c r="N310" s="326">
        <v>103000</v>
      </c>
      <c r="O310" s="326">
        <v>0</v>
      </c>
      <c r="P310" s="565">
        <f t="shared" si="46"/>
        <v>103000</v>
      </c>
      <c r="Q310" s="565">
        <f t="shared" si="53"/>
        <v>105000</v>
      </c>
      <c r="R310" s="325" t="s">
        <v>1568</v>
      </c>
      <c r="S310" s="325" t="s">
        <v>187</v>
      </c>
      <c r="T310" s="327" t="s">
        <v>1284</v>
      </c>
      <c r="V310" s="43" t="s">
        <v>2007</v>
      </c>
      <c r="W310" s="55">
        <v>103000</v>
      </c>
      <c r="Y310" s="6">
        <f t="shared" si="47"/>
        <v>1</v>
      </c>
      <c r="Z310" s="562">
        <f t="shared" si="48"/>
        <v>105000</v>
      </c>
      <c r="AA310" s="122">
        <f t="shared" si="49"/>
        <v>-2000</v>
      </c>
      <c r="AB310" s="122">
        <f t="shared" si="50"/>
        <v>2000</v>
      </c>
      <c r="AC310" s="6">
        <f t="shared" si="51"/>
        <v>1</v>
      </c>
      <c r="AD310" s="563">
        <f t="shared" si="54"/>
        <v>1</v>
      </c>
      <c r="AE310" s="64"/>
      <c r="AF310" s="31">
        <v>102000</v>
      </c>
      <c r="AG310" s="31">
        <v>3000</v>
      </c>
      <c r="AH310" s="31">
        <v>0</v>
      </c>
      <c r="AI310" s="31">
        <v>0</v>
      </c>
      <c r="AJ310" s="31">
        <v>105000</v>
      </c>
      <c r="AK310" s="31">
        <v>103000</v>
      </c>
      <c r="AL310" s="31">
        <v>0</v>
      </c>
      <c r="AM310" s="56">
        <v>103000</v>
      </c>
      <c r="AN310" s="31">
        <v>105000</v>
      </c>
      <c r="AO310" s="31" t="s">
        <v>1568</v>
      </c>
      <c r="AP310" s="23" t="s">
        <v>187</v>
      </c>
      <c r="AQ310" s="23" t="s">
        <v>1284</v>
      </c>
    </row>
    <row r="311" spans="1:43">
      <c r="A311" s="37">
        <v>308</v>
      </c>
      <c r="B311" s="37">
        <v>120</v>
      </c>
      <c r="C311" s="575" t="str">
        <f t="shared" si="44"/>
        <v>南池袋マンション</v>
      </c>
      <c r="D311" s="45" t="s">
        <v>1582</v>
      </c>
      <c r="E311" s="46">
        <v>26.94</v>
      </c>
      <c r="F311" s="324">
        <v>631</v>
      </c>
      <c r="G311" s="566" t="str">
        <f t="shared" si="45"/>
        <v>住居</v>
      </c>
      <c r="H311" s="44" t="s">
        <v>1811</v>
      </c>
      <c r="I311" s="325">
        <v>75000</v>
      </c>
      <c r="J311" s="325">
        <v>0</v>
      </c>
      <c r="K311" s="325">
        <v>0</v>
      </c>
      <c r="L311" s="325">
        <v>0</v>
      </c>
      <c r="M311" s="565">
        <f t="shared" si="52"/>
        <v>75000</v>
      </c>
      <c r="N311" s="326">
        <v>75000</v>
      </c>
      <c r="O311" s="326">
        <v>0</v>
      </c>
      <c r="P311" s="565">
        <f t="shared" si="46"/>
        <v>75000</v>
      </c>
      <c r="Q311" s="565">
        <f t="shared" si="53"/>
        <v>75000</v>
      </c>
      <c r="R311" s="325" t="s">
        <v>1568</v>
      </c>
      <c r="S311" s="325" t="s">
        <v>187</v>
      </c>
      <c r="T311" s="327" t="s">
        <v>1284</v>
      </c>
      <c r="V311" s="43" t="s">
        <v>2008</v>
      </c>
      <c r="W311" s="55">
        <v>75000</v>
      </c>
      <c r="Y311" s="6">
        <f t="shared" si="47"/>
        <v>1</v>
      </c>
      <c r="Z311" s="562">
        <f t="shared" si="48"/>
        <v>75000</v>
      </c>
      <c r="AA311" s="122">
        <f t="shared" si="49"/>
        <v>0</v>
      </c>
      <c r="AB311" s="122">
        <f t="shared" si="50"/>
        <v>0</v>
      </c>
      <c r="AC311" s="6">
        <f t="shared" si="51"/>
        <v>1</v>
      </c>
      <c r="AD311" s="563">
        <f t="shared" si="54"/>
        <v>1</v>
      </c>
      <c r="AE311" s="64"/>
      <c r="AF311" s="31">
        <v>75000</v>
      </c>
      <c r="AG311" s="31">
        <v>0</v>
      </c>
      <c r="AH311" s="31">
        <v>0</v>
      </c>
      <c r="AI311" s="31">
        <v>0</v>
      </c>
      <c r="AJ311" s="31">
        <v>75000</v>
      </c>
      <c r="AK311" s="31">
        <v>75000</v>
      </c>
      <c r="AL311" s="31">
        <v>0</v>
      </c>
      <c r="AM311" s="56">
        <v>75000</v>
      </c>
      <c r="AN311" s="31">
        <v>75000</v>
      </c>
      <c r="AO311" s="31" t="s">
        <v>1568</v>
      </c>
      <c r="AP311" s="23" t="s">
        <v>187</v>
      </c>
      <c r="AQ311" s="23" t="s">
        <v>1284</v>
      </c>
    </row>
    <row r="312" spans="1:43">
      <c r="A312" s="37">
        <v>309</v>
      </c>
      <c r="B312" s="37">
        <v>120</v>
      </c>
      <c r="C312" s="575" t="str">
        <f t="shared" si="44"/>
        <v>南池袋マンション</v>
      </c>
      <c r="D312" s="45" t="s">
        <v>1585</v>
      </c>
      <c r="E312" s="46">
        <v>33.450000000000003</v>
      </c>
      <c r="F312" s="324">
        <v>631</v>
      </c>
      <c r="G312" s="566" t="str">
        <f t="shared" si="45"/>
        <v>住居</v>
      </c>
      <c r="H312" s="44" t="s">
        <v>1811</v>
      </c>
      <c r="I312" s="325">
        <v>87000</v>
      </c>
      <c r="J312" s="325">
        <v>3000</v>
      </c>
      <c r="K312" s="325">
        <v>0</v>
      </c>
      <c r="L312" s="325">
        <v>0</v>
      </c>
      <c r="M312" s="565">
        <f t="shared" si="52"/>
        <v>90000</v>
      </c>
      <c r="N312" s="326">
        <v>90000</v>
      </c>
      <c r="O312" s="326">
        <v>0</v>
      </c>
      <c r="P312" s="565">
        <f t="shared" si="46"/>
        <v>90000</v>
      </c>
      <c r="Q312" s="565">
        <f t="shared" si="53"/>
        <v>90000</v>
      </c>
      <c r="R312" s="325" t="s">
        <v>1568</v>
      </c>
      <c r="S312" s="325" t="s">
        <v>187</v>
      </c>
      <c r="T312" s="327" t="s">
        <v>1284</v>
      </c>
      <c r="V312" s="43" t="s">
        <v>2009</v>
      </c>
      <c r="W312" s="55">
        <v>103000</v>
      </c>
      <c r="Y312" s="6">
        <f t="shared" si="47"/>
        <v>1</v>
      </c>
      <c r="Z312" s="562">
        <f t="shared" si="48"/>
        <v>90000</v>
      </c>
      <c r="AA312" s="122">
        <f t="shared" si="49"/>
        <v>0</v>
      </c>
      <c r="AB312" s="122">
        <f t="shared" si="50"/>
        <v>-13000</v>
      </c>
      <c r="AC312" s="6">
        <f t="shared" si="51"/>
        <v>1</v>
      </c>
      <c r="AD312" s="563">
        <f t="shared" si="54"/>
        <v>1</v>
      </c>
      <c r="AE312" s="64"/>
      <c r="AF312" s="31">
        <v>87000</v>
      </c>
      <c r="AG312" s="31">
        <v>3000</v>
      </c>
      <c r="AH312" s="31">
        <v>0</v>
      </c>
      <c r="AI312" s="31">
        <v>0</v>
      </c>
      <c r="AJ312" s="31">
        <v>90000</v>
      </c>
      <c r="AK312" s="31">
        <v>90000</v>
      </c>
      <c r="AL312" s="31">
        <v>0</v>
      </c>
      <c r="AM312" s="56">
        <v>90000</v>
      </c>
      <c r="AN312" s="31">
        <v>90000</v>
      </c>
      <c r="AO312" s="31" t="s">
        <v>1568</v>
      </c>
      <c r="AP312" s="23" t="s">
        <v>187</v>
      </c>
      <c r="AQ312" s="23" t="s">
        <v>1284</v>
      </c>
    </row>
    <row r="313" spans="1:43">
      <c r="A313" s="37">
        <v>310</v>
      </c>
      <c r="B313" s="37">
        <v>120</v>
      </c>
      <c r="C313" s="575" t="str">
        <f t="shared" si="44"/>
        <v>南池袋マンション</v>
      </c>
      <c r="D313" s="45" t="s">
        <v>1589</v>
      </c>
      <c r="E313" s="46">
        <v>38.04</v>
      </c>
      <c r="F313" s="324">
        <v>631</v>
      </c>
      <c r="G313" s="566" t="str">
        <f t="shared" si="45"/>
        <v>住居</v>
      </c>
      <c r="H313" s="44" t="s">
        <v>1811</v>
      </c>
      <c r="I313" s="325">
        <v>105000</v>
      </c>
      <c r="J313" s="325">
        <v>0</v>
      </c>
      <c r="K313" s="325">
        <v>0</v>
      </c>
      <c r="L313" s="325">
        <v>0</v>
      </c>
      <c r="M313" s="565">
        <f t="shared" si="52"/>
        <v>105000</v>
      </c>
      <c r="N313" s="326">
        <v>105000</v>
      </c>
      <c r="O313" s="326">
        <v>0</v>
      </c>
      <c r="P313" s="565">
        <f t="shared" si="46"/>
        <v>105000</v>
      </c>
      <c r="Q313" s="565">
        <f t="shared" si="53"/>
        <v>105000</v>
      </c>
      <c r="R313" s="325" t="s">
        <v>1568</v>
      </c>
      <c r="S313" s="325" t="s">
        <v>187</v>
      </c>
      <c r="T313" s="327" t="s">
        <v>1284</v>
      </c>
      <c r="V313" s="43" t="s">
        <v>2010</v>
      </c>
      <c r="W313" s="55">
        <v>105000</v>
      </c>
      <c r="Y313" s="6">
        <f t="shared" si="47"/>
        <v>1</v>
      </c>
      <c r="Z313" s="562">
        <f t="shared" si="48"/>
        <v>105000</v>
      </c>
      <c r="AA313" s="122">
        <f t="shared" si="49"/>
        <v>0</v>
      </c>
      <c r="AB313" s="122">
        <f t="shared" si="50"/>
        <v>0</v>
      </c>
      <c r="AC313" s="6">
        <f t="shared" si="51"/>
        <v>1</v>
      </c>
      <c r="AD313" s="563">
        <f t="shared" si="54"/>
        <v>1</v>
      </c>
      <c r="AE313" s="64"/>
      <c r="AF313" s="31">
        <v>105000</v>
      </c>
      <c r="AG313" s="31">
        <v>0</v>
      </c>
      <c r="AH313" s="31">
        <v>0</v>
      </c>
      <c r="AI313" s="31">
        <v>0</v>
      </c>
      <c r="AJ313" s="31">
        <v>105000</v>
      </c>
      <c r="AK313" s="31">
        <v>105000</v>
      </c>
      <c r="AL313" s="31">
        <v>0</v>
      </c>
      <c r="AM313" s="56">
        <v>105000</v>
      </c>
      <c r="AN313" s="31">
        <v>105000</v>
      </c>
      <c r="AO313" s="31" t="s">
        <v>1568</v>
      </c>
      <c r="AP313" s="23" t="s">
        <v>187</v>
      </c>
      <c r="AQ313" s="23" t="s">
        <v>1284</v>
      </c>
    </row>
    <row r="314" spans="1:43">
      <c r="A314" s="37">
        <v>311</v>
      </c>
      <c r="B314" s="37">
        <v>120</v>
      </c>
      <c r="C314" s="575" t="str">
        <f t="shared" si="44"/>
        <v>南池袋マンション</v>
      </c>
      <c r="D314" s="45" t="s">
        <v>1591</v>
      </c>
      <c r="E314" s="46">
        <v>51.96</v>
      </c>
      <c r="F314" s="324">
        <v>631</v>
      </c>
      <c r="G314" s="566" t="str">
        <f t="shared" si="45"/>
        <v>住居</v>
      </c>
      <c r="H314" s="44" t="s">
        <v>1688</v>
      </c>
      <c r="I314" s="325">
        <v>120000</v>
      </c>
      <c r="J314" s="325">
        <v>5000</v>
      </c>
      <c r="K314" s="325">
        <v>0</v>
      </c>
      <c r="L314" s="325">
        <v>0</v>
      </c>
      <c r="M314" s="565">
        <f t="shared" si="52"/>
        <v>125000</v>
      </c>
      <c r="N314" s="326">
        <v>125000</v>
      </c>
      <c r="O314" s="326">
        <v>0</v>
      </c>
      <c r="P314" s="565">
        <f t="shared" si="46"/>
        <v>125000</v>
      </c>
      <c r="Q314" s="565">
        <f t="shared" si="53"/>
        <v>125000</v>
      </c>
      <c r="R314" s="325" t="s">
        <v>1568</v>
      </c>
      <c r="S314" s="325" t="s">
        <v>187</v>
      </c>
      <c r="T314" s="327" t="s">
        <v>1284</v>
      </c>
      <c r="V314" s="43" t="s">
        <v>2011</v>
      </c>
      <c r="W314" s="55">
        <v>136000</v>
      </c>
      <c r="Y314" s="6">
        <f t="shared" si="47"/>
        <v>1</v>
      </c>
      <c r="Z314" s="562">
        <f t="shared" si="48"/>
        <v>125000</v>
      </c>
      <c r="AA314" s="122">
        <f t="shared" si="49"/>
        <v>0</v>
      </c>
      <c r="AB314" s="122">
        <f t="shared" si="50"/>
        <v>-11000</v>
      </c>
      <c r="AC314" s="6">
        <f t="shared" si="51"/>
        <v>1</v>
      </c>
      <c r="AD314" s="563">
        <f t="shared" si="54"/>
        <v>1</v>
      </c>
      <c r="AE314" s="64"/>
      <c r="AF314" s="31">
        <v>120000</v>
      </c>
      <c r="AG314" s="31">
        <v>5000</v>
      </c>
      <c r="AH314" s="31">
        <v>0</v>
      </c>
      <c r="AI314" s="31">
        <v>0</v>
      </c>
      <c r="AJ314" s="31">
        <v>125000</v>
      </c>
      <c r="AK314" s="31">
        <v>125000</v>
      </c>
      <c r="AL314" s="31">
        <v>0</v>
      </c>
      <c r="AM314" s="56">
        <v>125000</v>
      </c>
      <c r="AN314" s="31">
        <v>125000</v>
      </c>
      <c r="AO314" s="31" t="s">
        <v>1568</v>
      </c>
      <c r="AP314" s="23" t="s">
        <v>187</v>
      </c>
      <c r="AQ314" s="23" t="s">
        <v>1284</v>
      </c>
    </row>
    <row r="315" spans="1:43">
      <c r="A315" s="37">
        <v>312</v>
      </c>
      <c r="B315" s="37">
        <v>120</v>
      </c>
      <c r="C315" s="575" t="str">
        <f t="shared" si="44"/>
        <v>南池袋マンション</v>
      </c>
      <c r="D315" s="45" t="s">
        <v>1603</v>
      </c>
      <c r="E315" s="46">
        <v>51.4</v>
      </c>
      <c r="F315" s="324">
        <v>631</v>
      </c>
      <c r="G315" s="566" t="str">
        <f t="shared" si="45"/>
        <v>住居</v>
      </c>
      <c r="H315" s="44" t="s">
        <v>1688</v>
      </c>
      <c r="I315" s="325">
        <v>136000</v>
      </c>
      <c r="J315" s="325">
        <v>4000</v>
      </c>
      <c r="K315" s="325">
        <v>0</v>
      </c>
      <c r="L315" s="325">
        <v>0</v>
      </c>
      <c r="M315" s="565">
        <f t="shared" si="52"/>
        <v>140000</v>
      </c>
      <c r="N315" s="326">
        <v>140000</v>
      </c>
      <c r="O315" s="326">
        <v>0</v>
      </c>
      <c r="P315" s="565">
        <f t="shared" si="46"/>
        <v>140000</v>
      </c>
      <c r="Q315" s="565">
        <f t="shared" si="53"/>
        <v>140000</v>
      </c>
      <c r="R315" s="325" t="s">
        <v>1568</v>
      </c>
      <c r="S315" s="325" t="s">
        <v>187</v>
      </c>
      <c r="T315" s="327" t="s">
        <v>1284</v>
      </c>
      <c r="V315" s="43" t="s">
        <v>2012</v>
      </c>
      <c r="W315" s="55">
        <v>138000</v>
      </c>
      <c r="Y315" s="6">
        <f t="shared" si="47"/>
        <v>1</v>
      </c>
      <c r="Z315" s="562">
        <f t="shared" si="48"/>
        <v>140000</v>
      </c>
      <c r="AA315" s="122">
        <f t="shared" si="49"/>
        <v>0</v>
      </c>
      <c r="AB315" s="122">
        <f t="shared" si="50"/>
        <v>2000</v>
      </c>
      <c r="AC315" s="6">
        <f t="shared" si="51"/>
        <v>1</v>
      </c>
      <c r="AD315" s="563">
        <f t="shared" si="54"/>
        <v>1</v>
      </c>
      <c r="AE315" s="64"/>
      <c r="AF315" s="31">
        <v>136000</v>
      </c>
      <c r="AG315" s="31">
        <v>4000</v>
      </c>
      <c r="AH315" s="31">
        <v>0</v>
      </c>
      <c r="AI315" s="31">
        <v>0</v>
      </c>
      <c r="AJ315" s="31">
        <v>140000</v>
      </c>
      <c r="AK315" s="31">
        <v>140000</v>
      </c>
      <c r="AL315" s="31">
        <v>0</v>
      </c>
      <c r="AM315" s="56">
        <v>140000</v>
      </c>
      <c r="AN315" s="31">
        <v>140000</v>
      </c>
      <c r="AO315" s="31" t="s">
        <v>1568</v>
      </c>
      <c r="AP315" s="23" t="s">
        <v>187</v>
      </c>
      <c r="AQ315" s="23" t="s">
        <v>1284</v>
      </c>
    </row>
    <row r="316" spans="1:43">
      <c r="A316" s="37">
        <v>313</v>
      </c>
      <c r="B316" s="37">
        <v>120</v>
      </c>
      <c r="C316" s="575" t="str">
        <f t="shared" si="44"/>
        <v>南池袋マンション</v>
      </c>
      <c r="D316" s="45" t="s">
        <v>2013</v>
      </c>
      <c r="E316" s="46" t="s">
        <v>1017</v>
      </c>
      <c r="F316" s="324">
        <v>639</v>
      </c>
      <c r="G316" s="566" t="str">
        <f t="shared" si="45"/>
        <v>その他</v>
      </c>
      <c r="H316" s="44" t="s">
        <v>1789</v>
      </c>
      <c r="I316" s="325">
        <v>0</v>
      </c>
      <c r="J316" s="325">
        <v>0</v>
      </c>
      <c r="K316" s="325">
        <v>0</v>
      </c>
      <c r="L316" s="325">
        <v>0</v>
      </c>
      <c r="M316" s="565">
        <f t="shared" si="52"/>
        <v>0</v>
      </c>
      <c r="N316" s="326">
        <v>0</v>
      </c>
      <c r="O316" s="326">
        <v>0</v>
      </c>
      <c r="P316" s="565">
        <f t="shared" si="46"/>
        <v>0</v>
      </c>
      <c r="Q316" s="565">
        <f t="shared" si="53"/>
        <v>0</v>
      </c>
      <c r="R316" s="325" t="s">
        <v>1017</v>
      </c>
      <c r="S316" s="325" t="s">
        <v>283</v>
      </c>
      <c r="T316" s="327" t="s">
        <v>1765</v>
      </c>
      <c r="V316" s="43" t="s">
        <v>2014</v>
      </c>
      <c r="W316" s="55">
        <v>0</v>
      </c>
      <c r="Y316" s="6">
        <f t="shared" si="47"/>
        <v>0</v>
      </c>
      <c r="Z316" s="562">
        <f t="shared" si="48"/>
        <v>0</v>
      </c>
      <c r="AA316" s="122">
        <f t="shared" si="49"/>
        <v>0</v>
      </c>
      <c r="AB316" s="122">
        <f t="shared" si="50"/>
        <v>0</v>
      </c>
      <c r="AC316" s="6">
        <f t="shared" si="51"/>
        <v>0</v>
      </c>
      <c r="AD316" s="563">
        <f t="shared" si="54"/>
        <v>1</v>
      </c>
      <c r="AE316" s="64"/>
      <c r="AF316" s="31">
        <v>0</v>
      </c>
      <c r="AG316" s="31">
        <v>0</v>
      </c>
      <c r="AH316" s="31">
        <v>0</v>
      </c>
      <c r="AI316" s="31">
        <v>0</v>
      </c>
      <c r="AJ316" s="31">
        <v>0</v>
      </c>
      <c r="AK316" s="31">
        <v>0</v>
      </c>
      <c r="AL316" s="31">
        <v>0</v>
      </c>
      <c r="AM316" s="56">
        <v>0</v>
      </c>
      <c r="AN316" s="31">
        <v>0</v>
      </c>
      <c r="AO316" s="31" t="s">
        <v>1017</v>
      </c>
      <c r="AP316" s="23" t="s">
        <v>283</v>
      </c>
      <c r="AQ316" s="23" t="s">
        <v>1765</v>
      </c>
    </row>
    <row r="317" spans="1:43">
      <c r="A317" s="37">
        <v>314</v>
      </c>
      <c r="B317" s="37">
        <v>120</v>
      </c>
      <c r="C317" s="575" t="str">
        <f t="shared" si="44"/>
        <v>南池袋マンション</v>
      </c>
      <c r="D317" s="45" t="s">
        <v>2015</v>
      </c>
      <c r="E317" s="46" t="s">
        <v>846</v>
      </c>
      <c r="F317" s="324">
        <v>637</v>
      </c>
      <c r="G317" s="566" t="str">
        <f t="shared" si="45"/>
        <v>自販機</v>
      </c>
      <c r="H317" s="44" t="s">
        <v>2016</v>
      </c>
      <c r="I317" s="325">
        <v>0</v>
      </c>
      <c r="J317" s="325">
        <v>0</v>
      </c>
      <c r="K317" s="325">
        <v>0</v>
      </c>
      <c r="L317" s="325">
        <v>0</v>
      </c>
      <c r="M317" s="565">
        <f t="shared" si="52"/>
        <v>0</v>
      </c>
      <c r="N317" s="326">
        <v>0</v>
      </c>
      <c r="O317" s="326">
        <v>0</v>
      </c>
      <c r="P317" s="565">
        <f t="shared" si="46"/>
        <v>0</v>
      </c>
      <c r="Q317" s="565">
        <f t="shared" si="53"/>
        <v>0</v>
      </c>
      <c r="R317" s="325" t="s">
        <v>846</v>
      </c>
      <c r="S317" s="325" t="s">
        <v>187</v>
      </c>
      <c r="T317" s="327"/>
      <c r="V317" s="43" t="s">
        <v>2017</v>
      </c>
      <c r="W317" s="55">
        <v>0</v>
      </c>
      <c r="Y317" s="6">
        <f t="shared" si="47"/>
        <v>0</v>
      </c>
      <c r="Z317" s="562">
        <f t="shared" si="48"/>
        <v>0</v>
      </c>
      <c r="AA317" s="122">
        <f t="shared" si="49"/>
        <v>0</v>
      </c>
      <c r="AB317" s="122">
        <f t="shared" si="50"/>
        <v>0</v>
      </c>
      <c r="AC317" s="6">
        <f t="shared" si="51"/>
        <v>0</v>
      </c>
      <c r="AD317" s="563">
        <f t="shared" si="54"/>
        <v>1</v>
      </c>
      <c r="AE317" s="64"/>
      <c r="AF317" s="31">
        <v>0</v>
      </c>
      <c r="AG317" s="31">
        <v>0</v>
      </c>
      <c r="AH317" s="31">
        <v>0</v>
      </c>
      <c r="AI317" s="31">
        <v>0</v>
      </c>
      <c r="AJ317" s="31">
        <v>0</v>
      </c>
      <c r="AK317" s="31">
        <v>0</v>
      </c>
      <c r="AL317" s="31">
        <v>0</v>
      </c>
      <c r="AM317" s="56">
        <v>0</v>
      </c>
      <c r="AN317" s="31">
        <v>0</v>
      </c>
      <c r="AO317" s="31" t="s">
        <v>1017</v>
      </c>
      <c r="AP317" s="23" t="s">
        <v>187</v>
      </c>
    </row>
    <row r="318" spans="1:43">
      <c r="A318" s="34">
        <v>315</v>
      </c>
      <c r="B318" s="34">
        <v>221</v>
      </c>
      <c r="C318" s="568" t="str">
        <f t="shared" si="44"/>
        <v>ビジネス新大阪123号</v>
      </c>
      <c r="D318" s="45" t="s">
        <v>2018</v>
      </c>
      <c r="E318" s="46">
        <v>15.4</v>
      </c>
      <c r="F318" s="324">
        <v>632</v>
      </c>
      <c r="G318" s="566" t="str">
        <f t="shared" si="45"/>
        <v>事務所</v>
      </c>
      <c r="H318" s="44" t="s">
        <v>1709</v>
      </c>
      <c r="I318" s="325">
        <v>0</v>
      </c>
      <c r="J318" s="325">
        <v>0</v>
      </c>
      <c r="K318" s="325">
        <v>0</v>
      </c>
      <c r="L318" s="325">
        <v>0</v>
      </c>
      <c r="M318" s="565">
        <f t="shared" si="52"/>
        <v>0</v>
      </c>
      <c r="N318" s="326">
        <v>35000</v>
      </c>
      <c r="O318" s="326">
        <v>0</v>
      </c>
      <c r="P318" s="565">
        <f t="shared" si="46"/>
        <v>35000</v>
      </c>
      <c r="Q318" s="565">
        <f t="shared" si="53"/>
        <v>35000</v>
      </c>
      <c r="R318" s="325" t="s">
        <v>1017</v>
      </c>
      <c r="S318" s="325" t="s">
        <v>187</v>
      </c>
      <c r="T318" s="327" t="s">
        <v>1714</v>
      </c>
      <c r="V318" s="43" t="s">
        <v>2019</v>
      </c>
      <c r="W318" s="55">
        <v>35000</v>
      </c>
      <c r="Y318" s="6">
        <f t="shared" si="47"/>
        <v>0</v>
      </c>
      <c r="Z318" s="562">
        <f t="shared" si="48"/>
        <v>35000</v>
      </c>
      <c r="AA318" s="122">
        <f t="shared" si="49"/>
        <v>0</v>
      </c>
      <c r="AB318" s="122">
        <f t="shared" si="50"/>
        <v>0</v>
      </c>
      <c r="AC318" s="6">
        <f t="shared" si="51"/>
        <v>1</v>
      </c>
      <c r="AD318" s="563">
        <f t="shared" si="54"/>
        <v>1</v>
      </c>
      <c r="AE318" s="64"/>
      <c r="AF318" s="60">
        <v>0</v>
      </c>
      <c r="AG318" s="60">
        <v>0</v>
      </c>
      <c r="AH318" s="60">
        <v>0</v>
      </c>
      <c r="AI318" s="60">
        <v>0</v>
      </c>
      <c r="AJ318" s="60">
        <v>0</v>
      </c>
      <c r="AK318" s="31">
        <v>35000</v>
      </c>
      <c r="AL318" s="60">
        <v>0</v>
      </c>
      <c r="AM318" s="61">
        <v>35000</v>
      </c>
      <c r="AN318" s="62">
        <v>35000</v>
      </c>
      <c r="AO318" s="62" t="s">
        <v>1017</v>
      </c>
      <c r="AP318" s="23" t="s">
        <v>187</v>
      </c>
      <c r="AQ318" s="23" t="s">
        <v>1714</v>
      </c>
    </row>
    <row r="319" spans="1:43">
      <c r="A319" s="35">
        <v>316</v>
      </c>
      <c r="B319" s="35">
        <v>222</v>
      </c>
      <c r="C319" s="569" t="str">
        <f t="shared" si="44"/>
        <v>プラウD目白301号</v>
      </c>
      <c r="D319" s="45" t="s">
        <v>1580</v>
      </c>
      <c r="E319" s="46">
        <v>76.5</v>
      </c>
      <c r="F319" s="324">
        <v>631</v>
      </c>
      <c r="G319" s="566" t="str">
        <f t="shared" si="45"/>
        <v>住居</v>
      </c>
      <c r="H319" s="44" t="s">
        <v>1688</v>
      </c>
      <c r="I319" s="325">
        <v>0</v>
      </c>
      <c r="J319" s="325">
        <v>0</v>
      </c>
      <c r="K319" s="325">
        <v>0</v>
      </c>
      <c r="L319" s="325">
        <v>0</v>
      </c>
      <c r="M319" s="565">
        <f t="shared" si="52"/>
        <v>0</v>
      </c>
      <c r="N319" s="326">
        <v>295000</v>
      </c>
      <c r="O319" s="326">
        <v>0</v>
      </c>
      <c r="P319" s="565">
        <f t="shared" si="46"/>
        <v>295000</v>
      </c>
      <c r="Q319" s="565">
        <f t="shared" si="53"/>
        <v>295000</v>
      </c>
      <c r="R319" s="325" t="s">
        <v>1017</v>
      </c>
      <c r="S319" s="325" t="s">
        <v>283</v>
      </c>
      <c r="T319" s="327" t="s">
        <v>2020</v>
      </c>
      <c r="V319" s="43" t="s">
        <v>2021</v>
      </c>
      <c r="W319" s="55">
        <v>295000</v>
      </c>
      <c r="Y319" s="6">
        <f t="shared" si="47"/>
        <v>0</v>
      </c>
      <c r="Z319" s="562">
        <f t="shared" si="48"/>
        <v>295000</v>
      </c>
      <c r="AA319" s="122">
        <f t="shared" si="49"/>
        <v>0</v>
      </c>
      <c r="AB319" s="122">
        <f t="shared" si="50"/>
        <v>0</v>
      </c>
      <c r="AC319" s="6">
        <f t="shared" si="51"/>
        <v>1</v>
      </c>
      <c r="AD319" s="563">
        <f t="shared" si="54"/>
        <v>1</v>
      </c>
      <c r="AE319" s="64"/>
      <c r="AF319" s="60">
        <v>250000</v>
      </c>
      <c r="AG319" s="60">
        <v>0</v>
      </c>
      <c r="AH319" s="60">
        <v>0</v>
      </c>
      <c r="AI319" s="60">
        <v>0</v>
      </c>
      <c r="AJ319" s="60">
        <v>0</v>
      </c>
      <c r="AK319" s="31">
        <v>295000</v>
      </c>
      <c r="AL319" s="60">
        <v>0</v>
      </c>
      <c r="AM319" s="61">
        <v>295000</v>
      </c>
      <c r="AN319" s="62">
        <v>295000</v>
      </c>
      <c r="AO319" s="62" t="s">
        <v>1017</v>
      </c>
      <c r="AP319" s="23" t="s">
        <v>283</v>
      </c>
      <c r="AQ319" s="23" t="s">
        <v>2020</v>
      </c>
    </row>
    <row r="320" spans="1:43">
      <c r="A320" s="36">
        <v>317</v>
      </c>
      <c r="B320" s="36">
        <v>121</v>
      </c>
      <c r="C320" s="570" t="str">
        <f t="shared" si="44"/>
        <v>目白アパート1号館</v>
      </c>
      <c r="D320" s="45">
        <v>101</v>
      </c>
      <c r="E320" s="46">
        <v>76.5</v>
      </c>
      <c r="F320" s="324">
        <v>631</v>
      </c>
      <c r="G320" s="566" t="str">
        <f t="shared" si="45"/>
        <v>住居</v>
      </c>
      <c r="H320" s="44" t="s">
        <v>1688</v>
      </c>
      <c r="I320" s="325">
        <v>330000</v>
      </c>
      <c r="J320" s="325">
        <v>0</v>
      </c>
      <c r="K320" s="325">
        <v>0</v>
      </c>
      <c r="L320" s="325">
        <v>0</v>
      </c>
      <c r="M320" s="565">
        <f t="shared" si="52"/>
        <v>330000</v>
      </c>
      <c r="N320" s="326">
        <v>330000</v>
      </c>
      <c r="O320" s="326">
        <v>0</v>
      </c>
      <c r="P320" s="565">
        <f t="shared" si="46"/>
        <v>330000</v>
      </c>
      <c r="Q320" s="565">
        <f t="shared" si="53"/>
        <v>330000</v>
      </c>
      <c r="R320" s="325" t="s">
        <v>1568</v>
      </c>
      <c r="S320" s="325" t="s">
        <v>187</v>
      </c>
      <c r="T320" s="327"/>
      <c r="V320" s="43" t="s">
        <v>2021</v>
      </c>
      <c r="W320" s="55">
        <v>330000</v>
      </c>
      <c r="Y320" s="6">
        <f t="shared" si="47"/>
        <v>1</v>
      </c>
      <c r="Z320" s="562">
        <f t="shared" si="48"/>
        <v>330000</v>
      </c>
      <c r="AA320" s="122">
        <f t="shared" si="49"/>
        <v>0</v>
      </c>
      <c r="AB320" s="122">
        <f t="shared" si="50"/>
        <v>0</v>
      </c>
      <c r="AC320" s="6">
        <f t="shared" si="51"/>
        <v>1</v>
      </c>
      <c r="AD320" s="563">
        <f t="shared" si="54"/>
        <v>1</v>
      </c>
    </row>
    <row r="321" spans="1:30">
      <c r="A321" s="36">
        <v>318</v>
      </c>
      <c r="B321" s="36">
        <v>122</v>
      </c>
      <c r="C321" s="570" t="str">
        <f t="shared" si="44"/>
        <v>目白アパート2号館</v>
      </c>
      <c r="D321" s="45">
        <v>101</v>
      </c>
      <c r="E321" s="46">
        <v>76.5</v>
      </c>
      <c r="F321" s="324">
        <v>631</v>
      </c>
      <c r="G321" s="566" t="str">
        <f t="shared" si="45"/>
        <v>住居</v>
      </c>
      <c r="H321" s="44" t="s">
        <v>1688</v>
      </c>
      <c r="I321" s="325">
        <v>160000</v>
      </c>
      <c r="J321" s="325">
        <v>0</v>
      </c>
      <c r="K321" s="325">
        <v>0</v>
      </c>
      <c r="L321" s="325">
        <v>0</v>
      </c>
      <c r="M321" s="565">
        <f t="shared" si="52"/>
        <v>160000</v>
      </c>
      <c r="N321" s="326">
        <v>160000</v>
      </c>
      <c r="O321" s="326">
        <v>0</v>
      </c>
      <c r="P321" s="565">
        <f t="shared" ref="P321" si="55">N321+O321</f>
        <v>160000</v>
      </c>
      <c r="Q321" s="565">
        <f t="shared" si="53"/>
        <v>160000</v>
      </c>
      <c r="R321" s="325" t="s">
        <v>1568</v>
      </c>
      <c r="S321" s="325" t="s">
        <v>187</v>
      </c>
      <c r="T321" s="327"/>
      <c r="V321" s="43" t="s">
        <v>2021</v>
      </c>
      <c r="W321" s="55">
        <v>160000</v>
      </c>
      <c r="Y321" s="6">
        <f t="shared" ref="Y321" si="56">IF(M321=0,0,1)</f>
        <v>1</v>
      </c>
      <c r="Z321" s="562">
        <f t="shared" ref="Z321" si="57">IF(Y321=1,SUM(I321:K321),N321)</f>
        <v>160000</v>
      </c>
      <c r="AA321" s="122">
        <f t="shared" ref="AA321" si="58">N321-Z321</f>
        <v>0</v>
      </c>
      <c r="AB321" s="122">
        <f t="shared" ref="AB321" si="59">Z321-W321</f>
        <v>0</v>
      </c>
      <c r="AC321" s="6">
        <f t="shared" ref="AC321" si="60">IF(E321="-",0,1)</f>
        <v>1</v>
      </c>
      <c r="AD321" s="563">
        <f t="shared" si="54"/>
        <v>1</v>
      </c>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v>101</v>
      </c>
      <c r="B6" t="str">
        <f t="shared" ref="B6:B25" si="0">VLOOKUP(A6,id_settings,2,FALSE)</f>
        <v>西池袋駅前ビル</v>
      </c>
      <c r="C6" s="99">
        <f>GETPIVOTDATA("年換算(×12)",pivot!$J$5,"物件名",$B6,"BM費用項目(自動)",C$5)</f>
        <v>596640</v>
      </c>
      <c r="D6" s="99">
        <f>GETPIVOTDATA("年換算(×12)",pivot!$J$5,"物件名",$B6,"BM費用項目(自動)",D$5)</f>
        <v>11830</v>
      </c>
      <c r="E6" s="99">
        <f>GETPIVOTDATA("年換算(×12)",pivot!$J$5,"物件名",$B6,"BM費用項目(自動)",E$5)</f>
        <v>251892</v>
      </c>
      <c r="F6" s="99">
        <f>GETPIVOTDATA("年換算(×12)",pivot!$J$5,"物件名",$B6,"BM費用項目(自動)",F$5)</f>
        <v>0</v>
      </c>
      <c r="G6" s="99">
        <f>GETPIVOTDATA("年換算(×12)",pivot!$J$5,"物件名",$B6,"BM費用項目(自動)",G$5)</f>
        <v>18744</v>
      </c>
      <c r="H6" s="99">
        <f>GETPIVOTDATA("年換算(×12)",pivot!$J$5,"物件名",$B6,"BM費用項目(自動)",H$5)</f>
        <v>0</v>
      </c>
      <c r="I6" s="99">
        <f>GETPIVOTDATA("年換算(×12)",pivot!$J$5,"物件名",$B6,"BM費用項目(自動)",I$5)</f>
        <v>0</v>
      </c>
      <c r="J6" s="99">
        <f>GETPIVOTDATA("年換算(×12)",pivot!$J$5,"物件名",$B6,"BM費用項目(自動)",J$5)</f>
        <v>144564</v>
      </c>
      <c r="K6" s="99">
        <f>GETPIVOTDATA("年換算(×12)",pivot!$J$5,"物件名",$B6,"BM費用項目(自動)",K$5)</f>
        <v>0</v>
      </c>
      <c r="L6" s="99">
        <f>SUM(C6:K6)</f>
        <v>1023670</v>
      </c>
    </row>
    <row r="7" spans="1:12">
      <c r="A7">
        <v>102</v>
      </c>
      <c r="B7" t="str">
        <f t="shared" si="0"/>
        <v>池袋ハウス</v>
      </c>
      <c r="C7" s="99">
        <f>GETPIVOTDATA("年換算(×12)",pivot!$J$5,"物件名",$B7,"BM費用項目(自動)",C$5)</f>
        <v>1708080</v>
      </c>
      <c r="D7" s="99">
        <f>GETPIVOTDATA("年換算(×12)",pivot!$J$5,"物件名",$B7,"BM費用項目(自動)",D$5)</f>
        <v>44050</v>
      </c>
      <c r="E7" s="99">
        <f>GETPIVOTDATA("年換算(×12)",pivot!$J$5,"物件名",$B7,"BM費用項目(自動)",E$5)</f>
        <v>382320</v>
      </c>
      <c r="F7" s="99">
        <f>GETPIVOTDATA("年換算(×12)",pivot!$J$5,"物件名",$B7,"BM費用項目(自動)",F$5)</f>
        <v>273012</v>
      </c>
      <c r="G7" s="99">
        <f>GETPIVOTDATA("年換算(×12)",pivot!$J$5,"物件名",$B7,"BM費用項目(自動)",G$5)</f>
        <v>45672</v>
      </c>
      <c r="H7" s="99">
        <f>GETPIVOTDATA("年換算(×12)",pivot!$J$5,"物件名",$B7,"BM費用項目(自動)",H$5)</f>
        <v>0</v>
      </c>
      <c r="I7" s="99">
        <f>GETPIVOTDATA("年換算(×12)",pivot!$J$5,"物件名",$B7,"BM費用項目(自動)",I$5)</f>
        <v>0</v>
      </c>
      <c r="J7" s="99">
        <f>GETPIVOTDATA("年換算(×12)",pivot!$J$5,"物件名",$B7,"BM費用項目(自動)",J$5)</f>
        <v>132000</v>
      </c>
      <c r="K7" s="99">
        <f>GETPIVOTDATA("年換算(×12)",pivot!$J$5,"物件名",$B7,"BM費用項目(自動)",K$5)</f>
        <v>0</v>
      </c>
      <c r="L7" s="99">
        <f t="shared" ref="L7:L25" si="1">SUM(C7:K7)</f>
        <v>2585134</v>
      </c>
    </row>
    <row r="8" spans="1:12">
      <c r="A8">
        <v>103</v>
      </c>
      <c r="B8" t="str">
        <f t="shared" si="0"/>
        <v>カーサ目白台ハウス</v>
      </c>
      <c r="C8" s="99">
        <f>GETPIVOTDATA("年換算(×12)",pivot!$J$5,"物件名",$B8,"BM費用項目(自動)",C$5)</f>
        <v>1457280</v>
      </c>
      <c r="D8" s="99">
        <f>GETPIVOTDATA("年換算(×12)",pivot!$J$5,"物件名",$B8,"BM費用項目(自動)",D$5)</f>
        <v>19430</v>
      </c>
      <c r="E8" s="99">
        <f>GETPIVOTDATA("年換算(×12)",pivot!$J$5,"物件名",$B8,"BM費用項目(自動)",E$5)</f>
        <v>151992</v>
      </c>
      <c r="F8" s="99">
        <f>GETPIVOTDATA("年換算(×12)",pivot!$J$5,"物件名",$B8,"BM費用項目(自動)",F$5)</f>
        <v>286488</v>
      </c>
      <c r="G8" s="99">
        <f>GETPIVOTDATA("年換算(×12)",pivot!$J$5,"物件名",$B8,"BM費用項目(自動)",G$5)</f>
        <v>18744</v>
      </c>
      <c r="H8" s="99">
        <f>GETPIVOTDATA("年換算(×12)",pivot!$J$5,"物件名",$B8,"BM費用項目(自動)",H$5)</f>
        <v>0</v>
      </c>
      <c r="I8" s="99">
        <f>GETPIVOTDATA("年換算(×12)",pivot!$J$5,"物件名",$B8,"BM費用項目(自動)",I$5)</f>
        <v>0</v>
      </c>
      <c r="J8" s="99">
        <f>GETPIVOTDATA("年換算(×12)",pivot!$J$5,"物件名",$B8,"BM費用項目(自動)",J$5)</f>
        <v>0</v>
      </c>
      <c r="K8" s="99">
        <f>GETPIVOTDATA("年換算(×12)",pivot!$J$5,"物件名",$B8,"BM費用項目(自動)",K$5)</f>
        <v>0</v>
      </c>
      <c r="L8" s="99">
        <f t="shared" si="1"/>
        <v>1933934</v>
      </c>
    </row>
    <row r="9" spans="1:12">
      <c r="A9">
        <v>104</v>
      </c>
      <c r="B9" t="str">
        <f t="shared" si="0"/>
        <v>コアプラス池袋</v>
      </c>
      <c r="C9" s="99">
        <f>GETPIVOTDATA("年換算(×12)",pivot!$J$5,"物件名",$B9,"BM費用項目(自動)",C$5)</f>
        <v>376200</v>
      </c>
      <c r="D9" s="99">
        <f>GETPIVOTDATA("年換算(×12)",pivot!$J$5,"物件名",$B9,"BM費用項目(自動)",D$5)</f>
        <v>6600</v>
      </c>
      <c r="E9" s="99">
        <f>GETPIVOTDATA("年換算(×12)",pivot!$J$5,"物件名",$B9,"BM費用項目(自動)",E$5)</f>
        <v>12372</v>
      </c>
      <c r="F9" s="99">
        <f>GETPIVOTDATA("年換算(×12)",pivot!$J$5,"物件名",$B9,"BM費用項目(自動)",F$5)</f>
        <v>0</v>
      </c>
      <c r="G9" s="99">
        <f>GETPIVOTDATA("年換算(×12)",pivot!$J$5,"物件名",$B9,"BM費用項目(自動)",G$5)</f>
        <v>22836</v>
      </c>
      <c r="H9" s="99">
        <f>GETPIVOTDATA("年換算(×12)",pivot!$J$5,"物件名",$B9,"BM費用項目(自動)",H$5)</f>
        <v>0</v>
      </c>
      <c r="I9" s="99">
        <f>GETPIVOTDATA("年換算(×12)",pivot!$J$5,"物件名",$B9,"BM費用項目(自動)",I$5)</f>
        <v>0</v>
      </c>
      <c r="J9" s="99">
        <f>GETPIVOTDATA("年換算(×12)",pivot!$J$5,"物件名",$B9,"BM費用項目(自動)",J$5)</f>
        <v>0</v>
      </c>
      <c r="K9" s="99">
        <f>GETPIVOTDATA("年換算(×12)",pivot!$J$5,"物件名",$B9,"BM費用項目(自動)",K$5)</f>
        <v>0</v>
      </c>
      <c r="L9" s="99">
        <f t="shared" si="1"/>
        <v>418008</v>
      </c>
    </row>
    <row r="10" spans="1:12">
      <c r="A10">
        <v>105</v>
      </c>
      <c r="B10" t="str">
        <f t="shared" si="0"/>
        <v>目白アパート</v>
      </c>
      <c r="C10" s="99">
        <f>GETPIVOTDATA("年換算(×12)",pivot!$J$5,"物件名",$B10,"BM費用項目(自動)",C$5)</f>
        <v>1157640</v>
      </c>
      <c r="D10" s="99">
        <f>GETPIVOTDATA("年換算(×12)",pivot!$J$5,"物件名",$B10,"BM費用項目(自動)",D$5)</f>
        <v>20710</v>
      </c>
      <c r="E10" s="99">
        <f>GETPIVOTDATA("年換算(×12)",pivot!$J$5,"物件名",$B10,"BM費用項目(自動)",E$5)</f>
        <v>217104</v>
      </c>
      <c r="F10" s="99">
        <f>GETPIVOTDATA("年換算(×12)",pivot!$J$5,"物件名",$B10,"BM費用項目(自動)",F$5)</f>
        <v>162288</v>
      </c>
      <c r="G10" s="99">
        <f>GETPIVOTDATA("年換算(×12)",pivot!$J$5,"物件名",$B10,"BM費用項目(自動)",G$5)</f>
        <v>22836</v>
      </c>
      <c r="H10" s="99">
        <f>GETPIVOTDATA("年換算(×12)",pivot!$J$5,"物件名",$B10,"BM費用項目(自動)",H$5)</f>
        <v>0</v>
      </c>
      <c r="I10" s="99">
        <f>GETPIVOTDATA("年換算(×12)",pivot!$J$5,"物件名",$B10,"BM費用項目(自動)",I$5)</f>
        <v>0</v>
      </c>
      <c r="J10" s="99">
        <f>GETPIVOTDATA("年換算(×12)",pivot!$J$5,"物件名",$B10,"BM費用項目(自動)",J$5)</f>
        <v>0</v>
      </c>
      <c r="K10" s="99">
        <f>GETPIVOTDATA("年換算(×12)",pivot!$J$5,"物件名",$B10,"BM費用項目(自動)",K$5)</f>
        <v>0</v>
      </c>
      <c r="L10" s="99">
        <f t="shared" si="1"/>
        <v>1580578</v>
      </c>
    </row>
    <row r="11" spans="1:12">
      <c r="A11">
        <v>106</v>
      </c>
      <c r="B11" t="str">
        <f t="shared" si="0"/>
        <v>東池袋ハイツ</v>
      </c>
      <c r="C11" s="99">
        <f>GETPIVOTDATA("年換算(×12)",pivot!$J$5,"物件名",$B11,"BM費用項目(自動)",C$5)</f>
        <v>1801800</v>
      </c>
      <c r="D11" s="99">
        <f>GETPIVOTDATA("年換算(×12)",pivot!$J$5,"物件名",$B11,"BM費用項目(自動)",D$5)</f>
        <v>45780</v>
      </c>
      <c r="E11" s="99">
        <f>GETPIVOTDATA("年換算(×12)",pivot!$J$5,"物件名",$B11,"BM費用項目(自動)",E$5)</f>
        <v>277608</v>
      </c>
      <c r="F11" s="99">
        <f>GETPIVOTDATA("年換算(×12)",pivot!$J$5,"物件名",$B11,"BM費用項目(自動)",F$5)</f>
        <v>164676</v>
      </c>
      <c r="G11" s="99">
        <f>GETPIVOTDATA("年換算(×12)",pivot!$J$5,"物件名",$B11,"BM費用項目(自動)",G$5)</f>
        <v>18744</v>
      </c>
      <c r="H11" s="99">
        <f>GETPIVOTDATA("年換算(×12)",pivot!$J$5,"物件名",$B11,"BM費用項目(自動)",H$5)</f>
        <v>0</v>
      </c>
      <c r="I11" s="99">
        <f>GETPIVOTDATA("年換算(×12)",pivot!$J$5,"物件名",$B11,"BM費用項目(自動)",I$5)</f>
        <v>0</v>
      </c>
      <c r="J11" s="99">
        <f>GETPIVOTDATA("年換算(×12)",pivot!$J$5,"物件名",$B11,"BM費用項目(自動)",J$5)</f>
        <v>0</v>
      </c>
      <c r="K11" s="99">
        <f>GETPIVOTDATA("年換算(×12)",pivot!$J$5,"物件名",$B11,"BM費用項目(自動)",K$5)</f>
        <v>0</v>
      </c>
      <c r="L11" s="99">
        <f t="shared" si="1"/>
        <v>2308608</v>
      </c>
    </row>
    <row r="12" spans="1:12">
      <c r="A12">
        <v>107</v>
      </c>
      <c r="B12" t="str">
        <f t="shared" si="0"/>
        <v>メゾン雑司ヶ谷</v>
      </c>
      <c r="C12" s="99">
        <f>GETPIVOTDATA("年換算(×12)",pivot!$J$5,"物件名",$B12,"BM費用項目(自動)",C$5)</f>
        <v>869880</v>
      </c>
      <c r="D12" s="99">
        <f>GETPIVOTDATA("年換算(×12)",pivot!$J$5,"物件名",$B12,"BM費用項目(自動)",D$5)</f>
        <v>20610</v>
      </c>
      <c r="E12" s="99">
        <f>GETPIVOTDATA("年換算(×12)",pivot!$J$5,"物件名",$B12,"BM費用項目(自動)",E$5)</f>
        <v>52092</v>
      </c>
      <c r="F12" s="99">
        <f>GETPIVOTDATA("年換算(×12)",pivot!$J$5,"物件名",$B12,"BM費用項目(自動)",F$5)</f>
        <v>107712</v>
      </c>
      <c r="G12" s="99">
        <f>GETPIVOTDATA("年換算(×12)",pivot!$J$5,"物件名",$B12,"BM費用項目(自動)",G$5)</f>
        <v>22836</v>
      </c>
      <c r="H12" s="99">
        <f>GETPIVOTDATA("年換算(×12)",pivot!$J$5,"物件名",$B12,"BM費用項目(自動)",H$5)</f>
        <v>0</v>
      </c>
      <c r="I12" s="99">
        <f>GETPIVOTDATA("年換算(×12)",pivot!$J$5,"物件名",$B12,"BM費用項目(自動)",I$5)</f>
        <v>0</v>
      </c>
      <c r="J12" s="99">
        <f>GETPIVOTDATA("年換算(×12)",pivot!$J$5,"物件名",$B12,"BM費用項目(自動)",J$5)</f>
        <v>0</v>
      </c>
      <c r="K12" s="99">
        <f>GETPIVOTDATA("年換算(×12)",pivot!$J$5,"物件名",$B12,"BM費用項目(自動)",K$5)</f>
        <v>0</v>
      </c>
      <c r="L12" s="99">
        <f t="shared" si="1"/>
        <v>1073130</v>
      </c>
    </row>
    <row r="13" spans="1:12">
      <c r="A13">
        <v>109</v>
      </c>
      <c r="B13" t="str">
        <f t="shared" si="0"/>
        <v>カーサ南池袋</v>
      </c>
      <c r="C13" s="99">
        <f>GETPIVOTDATA("年換算(×12)",pivot!$J$5,"物件名",$B13,"BM費用項目(自動)",C$5)</f>
        <v>394680</v>
      </c>
      <c r="D13" s="99">
        <f>GETPIVOTDATA("年換算(×12)",pivot!$J$5,"物件名",$B13,"BM費用項目(自動)",D$5)</f>
        <v>12950</v>
      </c>
      <c r="E13" s="99">
        <f>GETPIVOTDATA("年換算(×12)",pivot!$J$5,"物件名",$B13,"BM費用項目(自動)",E$5)</f>
        <v>210756</v>
      </c>
      <c r="F13" s="99">
        <f>GETPIVOTDATA("年換算(×12)",pivot!$J$5,"物件名",$B13,"BM費用項目(自動)",F$5)</f>
        <v>84480</v>
      </c>
      <c r="G13" s="99">
        <f>GETPIVOTDATA("年換算(×12)",pivot!$J$5,"物件名",$B13,"BM費用項目(自動)",G$5)</f>
        <v>0</v>
      </c>
      <c r="H13" s="99">
        <f>GETPIVOTDATA("年換算(×12)",pivot!$J$5,"物件名",$B13,"BM費用項目(自動)",H$5)</f>
        <v>0</v>
      </c>
      <c r="I13" s="99">
        <f>GETPIVOTDATA("年換算(×12)",pivot!$J$5,"物件名",$B13,"BM費用項目(自動)",I$5)</f>
        <v>0</v>
      </c>
      <c r="J13" s="99">
        <f>GETPIVOTDATA("年換算(×12)",pivot!$J$5,"物件名",$B13,"BM費用項目(自動)",J$5)</f>
        <v>0</v>
      </c>
      <c r="K13" s="99">
        <f>GETPIVOTDATA("年換算(×12)",pivot!$J$5,"物件名",$B13,"BM費用項目(自動)",K$5)</f>
        <v>0</v>
      </c>
      <c r="L13" s="99">
        <f t="shared" si="1"/>
        <v>702866</v>
      </c>
    </row>
    <row r="14" spans="1:12">
      <c r="A14">
        <v>111</v>
      </c>
      <c r="B14" t="str">
        <f t="shared" si="0"/>
        <v>目白カーサ二番館</v>
      </c>
      <c r="C14" s="99">
        <f>GETPIVOTDATA("年換算(×12)",pivot!$J$5,"物件名",$B14,"BM費用項目(自動)",C$5)</f>
        <v>838200</v>
      </c>
      <c r="D14" s="99">
        <f>GETPIVOTDATA("年換算(×12)",pivot!$J$5,"物件名",$B14,"BM費用項目(自動)",D$5)</f>
        <v>19920</v>
      </c>
      <c r="E14" s="99">
        <f>GETPIVOTDATA("年換算(×12)",pivot!$J$5,"物件名",$B14,"BM費用項目(自動)",E$5)</f>
        <v>136284</v>
      </c>
      <c r="F14" s="99">
        <f>GETPIVOTDATA("年換算(×12)",pivot!$J$5,"物件名",$B14,"BM費用項目(自動)",F$5)</f>
        <v>245880</v>
      </c>
      <c r="G14" s="99">
        <f>GETPIVOTDATA("年換算(×12)",pivot!$J$5,"物件名",$B14,"BM費用項目(自動)",G$5)</f>
        <v>18744</v>
      </c>
      <c r="H14" s="99">
        <f>GETPIVOTDATA("年換算(×12)",pivot!$J$5,"物件名",$B14,"BM費用項目(自動)",H$5)</f>
        <v>0</v>
      </c>
      <c r="I14" s="99">
        <f>GETPIVOTDATA("年換算(×12)",pivot!$J$5,"物件名",$B14,"BM費用項目(自動)",I$5)</f>
        <v>0</v>
      </c>
      <c r="J14" s="99">
        <f>GETPIVOTDATA("年換算(×12)",pivot!$J$5,"物件名",$B14,"BM費用項目(自動)",J$5)</f>
        <v>0</v>
      </c>
      <c r="K14" s="99">
        <f>GETPIVOTDATA("年換算(×12)",pivot!$J$5,"物件名",$B14,"BM費用項目(自動)",K$5)</f>
        <v>0</v>
      </c>
      <c r="L14" s="99">
        <f t="shared" si="1"/>
        <v>1259028</v>
      </c>
    </row>
    <row r="15" spans="1:12">
      <c r="A15">
        <v>112</v>
      </c>
      <c r="B15" t="str">
        <f t="shared" si="0"/>
        <v>豊島目白ビル</v>
      </c>
      <c r="C15" s="99">
        <f>GETPIVOTDATA("年換算(×12)",pivot!$J$5,"物件名",$B15,"BM費用項目(自動)",C$5)</f>
        <v>659419</v>
      </c>
      <c r="D15" s="99">
        <f>GETPIVOTDATA("年換算(×12)",pivot!$J$5,"物件名",$B15,"BM費用項目(自動)",D$5)</f>
        <v>10340</v>
      </c>
      <c r="E15" s="99">
        <f>GETPIVOTDATA("年換算(×12)",pivot!$J$5,"物件名",$B15,"BM費用項目(自動)",E$5)</f>
        <v>0</v>
      </c>
      <c r="F15" s="99">
        <f>GETPIVOTDATA("年換算(×12)",pivot!$J$5,"物件名",$B15,"BM費用項目(自動)",F$5)</f>
        <v>0</v>
      </c>
      <c r="G15" s="99">
        <f>GETPIVOTDATA("年換算(×12)",pivot!$J$5,"物件名",$B15,"BM費用項目(自動)",G$5)</f>
        <v>0</v>
      </c>
      <c r="H15" s="99">
        <f>GETPIVOTDATA("年換算(×12)",pivot!$J$5,"物件名",$B15,"BM費用項目(自動)",H$5)</f>
        <v>0</v>
      </c>
      <c r="I15" s="99">
        <f>GETPIVOTDATA("年換算(×12)",pivot!$J$5,"物件名",$B15,"BM費用項目(自動)",I$5)</f>
        <v>0</v>
      </c>
      <c r="J15" s="99">
        <f>GETPIVOTDATA("年換算(×12)",pivot!$J$5,"物件名",$B15,"BM費用項目(自動)",J$5)</f>
        <v>0</v>
      </c>
      <c r="K15" s="99">
        <f>GETPIVOTDATA("年換算(×12)",pivot!$J$5,"物件名",$B15,"BM費用項目(自動)",K$5)</f>
        <v>0</v>
      </c>
      <c r="L15" s="99">
        <f t="shared" si="1"/>
        <v>669759</v>
      </c>
    </row>
    <row r="16" spans="1:12">
      <c r="A16">
        <v>113</v>
      </c>
      <c r="B16" t="str">
        <f t="shared" si="0"/>
        <v>第3目白ハイツ</v>
      </c>
      <c r="C16" s="99">
        <f>GETPIVOTDATA("年換算(×12)",pivot!$J$5,"物件名",$B16,"BM費用項目(自動)",C$5)</f>
        <v>848760</v>
      </c>
      <c r="D16" s="99">
        <f>GETPIVOTDATA("年換算(×12)",pivot!$J$5,"物件名",$B16,"BM費用項目(自動)",D$5)</f>
        <v>51350</v>
      </c>
      <c r="E16" s="99">
        <f>GETPIVOTDATA("年換算(×12)",pivot!$J$5,"物件名",$B16,"BM費用項目(自動)",E$5)</f>
        <v>91716</v>
      </c>
      <c r="F16" s="99">
        <f>GETPIVOTDATA("年換算(×12)",pivot!$J$5,"物件名",$B16,"BM費用項目(自動)",F$5)</f>
        <v>282516</v>
      </c>
      <c r="G16" s="99">
        <f>GETPIVOTDATA("年換算(×12)",pivot!$J$5,"物件名",$B16,"BM費用項目(自動)",G$5)</f>
        <v>45672</v>
      </c>
      <c r="H16" s="99">
        <f>GETPIVOTDATA("年換算(×12)",pivot!$J$5,"物件名",$B16,"BM費用項目(自動)",H$5)</f>
        <v>0</v>
      </c>
      <c r="I16" s="99">
        <f>GETPIVOTDATA("年換算(×12)",pivot!$J$5,"物件名",$B16,"BM費用項目(自動)",I$5)</f>
        <v>0</v>
      </c>
      <c r="J16" s="99">
        <f>GETPIVOTDATA("年換算(×12)",pivot!$J$5,"物件名",$B16,"BM費用項目(自動)",J$5)</f>
        <v>0</v>
      </c>
      <c r="K16" s="99">
        <f>GETPIVOTDATA("年換算(×12)",pivot!$J$5,"物件名",$B16,"BM費用項目(自動)",K$5)</f>
        <v>0</v>
      </c>
      <c r="L16" s="99">
        <f t="shared" si="1"/>
        <v>1320014</v>
      </c>
    </row>
    <row r="17" spans="1:12">
      <c r="A17">
        <v>114</v>
      </c>
      <c r="B17" t="str">
        <f t="shared" si="0"/>
        <v>レジデンス目白豊島</v>
      </c>
      <c r="C17" s="99">
        <f>GETPIVOTDATA("年換算(×12)",pivot!$J$5,"物件名",$B17,"BM費用項目(自動)",C$5)</f>
        <v>405240</v>
      </c>
      <c r="D17" s="99">
        <f>GETPIVOTDATA("年換算(×12)",pivot!$J$5,"物件名",$B17,"BM費用項目(自動)",D$5)</f>
        <v>7710</v>
      </c>
      <c r="E17" s="99">
        <f>GETPIVOTDATA("年換算(×12)",pivot!$J$5,"物件名",$B17,"BM費用項目(自動)",E$5)</f>
        <v>39024</v>
      </c>
      <c r="F17" s="99">
        <f>GETPIVOTDATA("年換算(×12)",pivot!$J$5,"物件名",$B17,"BM費用項目(自動)",F$5)</f>
        <v>46992</v>
      </c>
      <c r="G17" s="99">
        <f>GETPIVOTDATA("年換算(×12)",pivot!$J$5,"物件名",$B17,"BM費用項目(自動)",G$5)</f>
        <v>0</v>
      </c>
      <c r="H17" s="99">
        <f>GETPIVOTDATA("年換算(×12)",pivot!$J$5,"物件名",$B17,"BM費用項目(自動)",H$5)</f>
        <v>0</v>
      </c>
      <c r="I17" s="99">
        <f>GETPIVOTDATA("年換算(×12)",pivot!$J$5,"物件名",$B17,"BM費用項目(自動)",I$5)</f>
        <v>0</v>
      </c>
      <c r="J17" s="99">
        <f>GETPIVOTDATA("年換算(×12)",pivot!$J$5,"物件名",$B17,"BM費用項目(自動)",J$5)</f>
        <v>0</v>
      </c>
      <c r="K17" s="99">
        <f>GETPIVOTDATA("年換算(×12)",pivot!$J$5,"物件名",$B17,"BM費用項目(自動)",K$5)</f>
        <v>0</v>
      </c>
      <c r="L17" s="99">
        <f t="shared" si="1"/>
        <v>498966</v>
      </c>
    </row>
    <row r="18" spans="1:12">
      <c r="A18">
        <v>115</v>
      </c>
      <c r="B18" t="str">
        <f t="shared" si="0"/>
        <v>コアプラス大塚</v>
      </c>
      <c r="C18" s="99">
        <f>GETPIVOTDATA("年換算(×12)",pivot!$J$5,"物件名",$B18,"BM費用項目(自動)",C$5)</f>
        <v>1301520</v>
      </c>
      <c r="D18" s="99">
        <f>GETPIVOTDATA("年換算(×12)",pivot!$J$5,"物件名",$B18,"BM費用項目(自動)",D$5)</f>
        <v>34430</v>
      </c>
      <c r="E18" s="99">
        <f>GETPIVOTDATA("年換算(×12)",pivot!$J$5,"物件名",$B18,"BM費用項目(自動)",E$5)</f>
        <v>240684</v>
      </c>
      <c r="F18" s="99">
        <f>GETPIVOTDATA("年換算(×12)",pivot!$J$5,"物件名",$B18,"BM費用項目(自動)",F$5)</f>
        <v>295140</v>
      </c>
      <c r="G18" s="99">
        <f>GETPIVOTDATA("年換算(×12)",pivot!$J$5,"物件名",$B18,"BM費用項目(自動)",G$5)</f>
        <v>45672</v>
      </c>
      <c r="H18" s="99">
        <f>GETPIVOTDATA("年換算(×12)",pivot!$J$5,"物件名",$B18,"BM費用項目(自動)",H$5)</f>
        <v>0</v>
      </c>
      <c r="I18" s="99">
        <f>GETPIVOTDATA("年換算(×12)",pivot!$J$5,"物件名",$B18,"BM費用項目(自動)",I$5)</f>
        <v>0</v>
      </c>
      <c r="J18" s="99">
        <f>GETPIVOTDATA("年換算(×12)",pivot!$J$5,"物件名",$B18,"BM費用項目(自動)",J$5)</f>
        <v>0</v>
      </c>
      <c r="K18" s="99">
        <f>GETPIVOTDATA("年換算(×12)",pivot!$J$5,"物件名",$B18,"BM費用項目(自動)",K$5)</f>
        <v>0</v>
      </c>
      <c r="L18" s="99">
        <f t="shared" si="1"/>
        <v>1917446</v>
      </c>
    </row>
    <row r="19" spans="1:12">
      <c r="A19">
        <v>116</v>
      </c>
      <c r="B19" t="str">
        <f t="shared" si="0"/>
        <v>コアプラスレジデンス梅田</v>
      </c>
      <c r="C19" s="99">
        <f>GETPIVOTDATA("年換算(×12)",pivot!$J$5,"物件名",$B19,"BM費用項目(自動)",C$5)</f>
        <v>1160280</v>
      </c>
      <c r="D19" s="99">
        <f>GETPIVOTDATA("年換算(×12)",pivot!$J$5,"物件名",$B19,"BM費用項目(自動)",D$5)</f>
        <v>20620</v>
      </c>
      <c r="E19" s="99">
        <f>GETPIVOTDATA("年換算(×12)",pivot!$J$5,"物件名",$B19,"BM費用項目(自動)",E$5)</f>
        <v>101808</v>
      </c>
      <c r="F19" s="99">
        <f>GETPIVOTDATA("年換算(×12)",pivot!$J$5,"物件名",$B19,"BM費用項目(自動)",F$5)</f>
        <v>259500</v>
      </c>
      <c r="G19" s="99">
        <f>GETPIVOTDATA("年換算(×12)",pivot!$J$5,"物件名",$B19,"BM費用項目(自動)",G$5)</f>
        <v>22836</v>
      </c>
      <c r="H19" s="99">
        <f>GETPIVOTDATA("年換算(×12)",pivot!$J$5,"物件名",$B19,"BM費用項目(自動)",H$5)</f>
        <v>0</v>
      </c>
      <c r="I19" s="99">
        <f>GETPIVOTDATA("年換算(×12)",pivot!$J$5,"物件名",$B19,"BM費用項目(自動)",I$5)</f>
        <v>0</v>
      </c>
      <c r="J19" s="99">
        <f>GETPIVOTDATA("年換算(×12)",pivot!$J$5,"物件名",$B19,"BM費用項目(自動)",J$5)</f>
        <v>132000</v>
      </c>
      <c r="K19" s="99">
        <f>GETPIVOTDATA("年換算(×12)",pivot!$J$5,"物件名",$B19,"BM費用項目(自動)",K$5)</f>
        <v>0</v>
      </c>
      <c r="L19" s="99">
        <f t="shared" si="1"/>
        <v>1697044</v>
      </c>
    </row>
    <row r="20" spans="1:12">
      <c r="A20">
        <v>117</v>
      </c>
      <c r="B20" t="str">
        <f t="shared" si="0"/>
        <v>高田馬場第4玉川ビル</v>
      </c>
      <c r="C20" s="99">
        <f>GETPIVOTDATA("年換算(×12)",pivot!$J$5,"物件名",$B20,"BM費用項目(自動)",C$5)</f>
        <v>231000</v>
      </c>
      <c r="D20" s="99">
        <f>GETPIVOTDATA("年換算(×12)",pivot!$J$5,"物件名",$B20,"BM費用項目(自動)",D$5)</f>
        <v>21200</v>
      </c>
      <c r="E20" s="99">
        <f>GETPIVOTDATA("年換算(×12)",pivot!$J$5,"物件名",$B20,"BM費用項目(自動)",E$5)</f>
        <v>9156</v>
      </c>
      <c r="F20" s="99">
        <f>GETPIVOTDATA("年換算(×12)",pivot!$J$5,"物件名",$B20,"BM費用項目(自動)",F$5)</f>
        <v>0</v>
      </c>
      <c r="G20" s="99">
        <f>GETPIVOTDATA("年換算(×12)",pivot!$J$5,"物件名",$B20,"BM費用項目(自動)",G$5)</f>
        <v>0</v>
      </c>
      <c r="H20" s="99">
        <f>GETPIVOTDATA("年換算(×12)",pivot!$J$5,"物件名",$B20,"BM費用項目(自動)",H$5)</f>
        <v>0</v>
      </c>
      <c r="I20" s="99">
        <f>GETPIVOTDATA("年換算(×12)",pivot!$J$5,"物件名",$B20,"BM費用項目(自動)",I$5)</f>
        <v>0</v>
      </c>
      <c r="J20" s="99">
        <f>GETPIVOTDATA("年換算(×12)",pivot!$J$5,"物件名",$B20,"BM費用項目(自動)",J$5)</f>
        <v>0</v>
      </c>
      <c r="K20" s="99">
        <f>GETPIVOTDATA("年換算(×12)",pivot!$J$5,"物件名",$B20,"BM費用項目(自動)",K$5)</f>
        <v>-6000</v>
      </c>
      <c r="L20" s="99">
        <f t="shared" si="1"/>
        <v>255356</v>
      </c>
    </row>
    <row r="21" spans="1:12">
      <c r="A21">
        <v>120</v>
      </c>
      <c r="B21" t="str">
        <f t="shared" si="0"/>
        <v>南池袋マンション</v>
      </c>
      <c r="C21" s="99">
        <f>GETPIVOTDATA("年換算(×12)",pivot!$J$5,"物件名",$B21,"BM費用項目(自動)",C$5)</f>
        <v>303600</v>
      </c>
      <c r="D21" s="99">
        <f>GETPIVOTDATA("年換算(×12)",pivot!$J$5,"物件名",$B21,"BM費用項目(自動)",D$5)</f>
        <v>13630</v>
      </c>
      <c r="E21" s="99">
        <f>GETPIVOTDATA("年換算(×12)",pivot!$J$5,"物件名",$B21,"BM費用項目(自動)",E$5)</f>
        <v>121512</v>
      </c>
      <c r="F21" s="99">
        <f>GETPIVOTDATA("年換算(×12)",pivot!$J$5,"物件名",$B21,"BM費用項目(自動)",F$5)</f>
        <v>43704</v>
      </c>
      <c r="G21" s="99">
        <f>GETPIVOTDATA("年換算(×12)",pivot!$J$5,"物件名",$B21,"BM費用項目(自動)",G$5)</f>
        <v>18744</v>
      </c>
      <c r="H21" s="99">
        <f>GETPIVOTDATA("年換算(×12)",pivot!$J$5,"物件名",$B21,"BM費用項目(自動)",H$5)</f>
        <v>0</v>
      </c>
      <c r="I21" s="99">
        <f>GETPIVOTDATA("年換算(×12)",pivot!$J$5,"物件名",$B21,"BM費用項目(自動)",I$5)</f>
        <v>0</v>
      </c>
      <c r="J21" s="99">
        <f>GETPIVOTDATA("年換算(×12)",pivot!$J$5,"物件名",$B21,"BM費用項目(自動)",J$5)</f>
        <v>15840</v>
      </c>
      <c r="K21" s="99">
        <f>GETPIVOTDATA("年換算(×12)",pivot!$J$5,"物件名",$B21,"BM費用項目(自動)",K$5)</f>
        <v>0</v>
      </c>
      <c r="L21" s="99">
        <f t="shared" si="1"/>
        <v>517030</v>
      </c>
    </row>
    <row r="22" spans="1:12">
      <c r="A22">
        <v>121</v>
      </c>
      <c r="B22" t="str">
        <f t="shared" ref="B22:B23" si="2">VLOOKUP(A22,id_settings,2,FALSE)</f>
        <v>目白アパート1号館</v>
      </c>
      <c r="C22" s="99">
        <f>GETPIVOTDATA("年換算(×12)",pivot!$J$5,"物件名",$B22,"BM費用項目(自動)",C$5)</f>
        <v>240000</v>
      </c>
      <c r="D22" s="99">
        <f>GETPIVOTDATA("年換算(×12)",pivot!$J$5,"物件名",$B22,"BM費用項目(自動)",D$5)</f>
        <v>0</v>
      </c>
      <c r="E22" s="99">
        <f>GETPIVOTDATA("年換算(×12)",pivot!$J$5,"物件名",$B22,"BM費用項目(自動)",E$5)</f>
        <v>0</v>
      </c>
      <c r="F22" s="99">
        <f>GETPIVOTDATA("年換算(×12)",pivot!$J$5,"物件名",$B22,"BM費用項目(自動)",F$5)</f>
        <v>0</v>
      </c>
      <c r="G22" s="99">
        <f>GETPIVOTDATA("年換算(×12)",pivot!$J$5,"物件名",$B22,"BM費用項目(自動)",G$5)</f>
        <v>0</v>
      </c>
      <c r="H22" s="99">
        <f>GETPIVOTDATA("年換算(×12)",pivot!$J$5,"物件名",$B22,"BM費用項目(自動)",H$5)</f>
        <v>0</v>
      </c>
      <c r="I22" s="99">
        <f>GETPIVOTDATA("年換算(×12)",pivot!$J$5,"物件名",$B22,"BM費用項目(自動)",I$5)</f>
        <v>0</v>
      </c>
      <c r="J22" s="99">
        <f>GETPIVOTDATA("年換算(×12)",pivot!$J$5,"物件名",$B22,"BM費用項目(自動)",J$5)</f>
        <v>0</v>
      </c>
      <c r="K22" s="99">
        <f>GETPIVOTDATA("年換算(×12)",pivot!$J$5,"物件名",$B22,"BM費用項目(自動)",K$5)</f>
        <v>0</v>
      </c>
      <c r="L22" s="99">
        <f t="shared" si="1"/>
        <v>240000</v>
      </c>
    </row>
    <row r="23" spans="1:12">
      <c r="A23">
        <v>122</v>
      </c>
      <c r="B23" t="str">
        <f t="shared" si="2"/>
        <v>目白アパート2号館</v>
      </c>
      <c r="C23" s="99">
        <f>GETPIVOTDATA("年換算(×12)",pivot!$J$5,"物件名",$B23,"BM費用項目(自動)",C$5)</f>
        <v>240000</v>
      </c>
      <c r="D23" s="99">
        <f>GETPIVOTDATA("年換算(×12)",pivot!$J$5,"物件名",$B23,"BM費用項目(自動)",D$5)</f>
        <v>0</v>
      </c>
      <c r="E23" s="99">
        <f>GETPIVOTDATA("年換算(×12)",pivot!$J$5,"物件名",$B23,"BM費用項目(自動)",E$5)</f>
        <v>0</v>
      </c>
      <c r="F23" s="99">
        <f>GETPIVOTDATA("年換算(×12)",pivot!$J$5,"物件名",$B23,"BM費用項目(自動)",F$5)</f>
        <v>0</v>
      </c>
      <c r="G23" s="99">
        <f>GETPIVOTDATA("年換算(×12)",pivot!$J$5,"物件名",$B23,"BM費用項目(自動)",G$5)</f>
        <v>0</v>
      </c>
      <c r="H23" s="99">
        <f>GETPIVOTDATA("年換算(×12)",pivot!$J$5,"物件名",$B23,"BM費用項目(自動)",H$5)</f>
        <v>0</v>
      </c>
      <c r="I23" s="99">
        <f>GETPIVOTDATA("年換算(×12)",pivot!$J$5,"物件名",$B23,"BM費用項目(自動)",I$5)</f>
        <v>0</v>
      </c>
      <c r="J23" s="99">
        <f>GETPIVOTDATA("年換算(×12)",pivot!$J$5,"物件名",$B23,"BM費用項目(自動)",J$5)</f>
        <v>0</v>
      </c>
      <c r="K23" s="99">
        <f>GETPIVOTDATA("年換算(×12)",pivot!$J$5,"物件名",$B23,"BM費用項目(自動)",K$5)</f>
        <v>0</v>
      </c>
      <c r="L23" s="99">
        <f t="shared" si="1"/>
        <v>240000</v>
      </c>
    </row>
    <row r="24" spans="1:12">
      <c r="A24">
        <v>221</v>
      </c>
      <c r="B24" t="str">
        <f t="shared" si="0"/>
        <v>ビジネス新大阪123号</v>
      </c>
      <c r="C24" s="99">
        <f>GETPIVOTDATA("年換算(×12)",pivot!$J$5,"物件名",$B24,"BM費用項目(自動)",C$5)</f>
        <v>0</v>
      </c>
      <c r="D24" s="99">
        <f>GETPIVOTDATA("年換算(×12)",pivot!$J$5,"物件名",$B24,"BM費用項目(自動)",D$5)</f>
        <v>2060</v>
      </c>
      <c r="E24" s="99">
        <f>GETPIVOTDATA("年換算(×12)",pivot!$J$5,"物件名",$B24,"BM費用項目(自動)",E$5)</f>
        <v>0</v>
      </c>
      <c r="F24" s="99">
        <f>GETPIVOTDATA("年換算(×12)",pivot!$J$5,"物件名",$B24,"BM費用項目(自動)",F$5)</f>
        <v>0</v>
      </c>
      <c r="G24" s="99">
        <f>GETPIVOTDATA("年換算(×12)",pivot!$J$5,"物件名",$B24,"BM費用項目(自動)",G$5)</f>
        <v>0</v>
      </c>
      <c r="H24" s="99">
        <f>GETPIVOTDATA("年換算(×12)",pivot!$J$5,"物件名",$B24,"BM費用項目(自動)",H$5)</f>
        <v>48600</v>
      </c>
      <c r="I24" s="99">
        <f>GETPIVOTDATA("年換算(×12)",pivot!$J$5,"物件名",$B24,"BM費用項目(自動)",I$5)</f>
        <v>16200</v>
      </c>
      <c r="J24" s="99">
        <f>GETPIVOTDATA("年換算(×12)",pivot!$J$5,"物件名",$B24,"BM費用項目(自動)",J$5)</f>
        <v>0</v>
      </c>
      <c r="K24" s="99">
        <f>GETPIVOTDATA("年換算(×12)",pivot!$J$5,"物件名",$B24,"BM費用項目(自動)",K$5)</f>
        <v>0</v>
      </c>
      <c r="L24" s="99">
        <f t="shared" si="1"/>
        <v>66860</v>
      </c>
    </row>
    <row r="25" spans="1:12" ht="14.25" thickBot="1">
      <c r="A25" s="67">
        <v>222</v>
      </c>
      <c r="B25" s="67" t="str">
        <f t="shared" si="0"/>
        <v>プラウD目白301号</v>
      </c>
      <c r="C25" s="523">
        <f>GETPIVOTDATA("年換算(×12)",pivot!$J$5,"物件名",$B25,"BM費用項目(自動)",C$5)</f>
        <v>0</v>
      </c>
      <c r="D25" s="523">
        <f>GETPIVOTDATA("年換算(×12)",pivot!$J$5,"物件名",$B25,"BM費用項目(自動)",D$5)</f>
        <v>7360</v>
      </c>
      <c r="E25" s="523">
        <f>GETPIVOTDATA("年換算(×12)",pivot!$J$5,"物件名",$B25,"BM費用項目(自動)",E$5)</f>
        <v>0</v>
      </c>
      <c r="F25" s="523">
        <f>GETPIVOTDATA("年換算(×12)",pivot!$J$5,"物件名",$B25,"BM費用項目(自動)",F$5)</f>
        <v>0</v>
      </c>
      <c r="G25" s="523">
        <f>GETPIVOTDATA("年換算(×12)",pivot!$J$5,"物件名",$B25,"BM費用項目(自動)",G$5)</f>
        <v>0</v>
      </c>
      <c r="H25" s="523">
        <f>GETPIVOTDATA("年換算(×12)",pivot!$J$5,"物件名",$B25,"BM費用項目(自動)",H$5)</f>
        <v>163200</v>
      </c>
      <c r="I25" s="523">
        <f>GETPIVOTDATA("年換算(×12)",pivot!$J$5,"物件名",$B25,"BM費用項目(自動)",I$5)</f>
        <v>174000</v>
      </c>
      <c r="J25" s="523">
        <f>GETPIVOTDATA("年換算(×12)",pivot!$J$5,"物件名",$B25,"BM費用項目(自動)",J$5)</f>
        <v>0</v>
      </c>
      <c r="K25" s="523">
        <f>GETPIVOTDATA("年換算(×12)",pivot!$J$5,"物件名",$B25,"BM費用項目(自動)",K$5)</f>
        <v>0</v>
      </c>
      <c r="L25" s="523">
        <f t="shared" si="1"/>
        <v>344560</v>
      </c>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v>101</v>
      </c>
      <c r="B35" s="5" t="str">
        <f t="shared" ref="B35:B66" si="5">VLOOKUP(A35,id_settings,2,FALSE)</f>
        <v>西池袋駅前ビル</v>
      </c>
      <c r="C35" s="61">
        <v>651</v>
      </c>
      <c r="D35" s="5" t="str">
        <f t="shared" ref="D35:D66" si="6">VLOOKUP(C35,id_settings,2,FALSE)</f>
        <v>火災保険料</v>
      </c>
      <c r="E35" s="577" t="s">
        <v>2027</v>
      </c>
      <c r="F35" s="577">
        <v>11830</v>
      </c>
      <c r="G35" s="61"/>
      <c r="H35" s="61"/>
      <c r="I35" s="61"/>
    </row>
    <row r="36" spans="1:12">
      <c r="A36" s="61">
        <v>101</v>
      </c>
      <c r="B36" s="5" t="str">
        <f t="shared" si="5"/>
        <v>西池袋駅前ビル</v>
      </c>
      <c r="C36" s="61">
        <v>652</v>
      </c>
      <c r="D36" s="5" t="str">
        <f t="shared" si="6"/>
        <v>水道料金</v>
      </c>
      <c r="E36" s="577">
        <v>1562</v>
      </c>
      <c r="F36" s="577">
        <v>18744</v>
      </c>
      <c r="G36" s="61" t="s">
        <v>2028</v>
      </c>
      <c r="H36" s="61"/>
      <c r="I36" s="61"/>
    </row>
    <row r="37" spans="1:12">
      <c r="A37" s="61">
        <v>101</v>
      </c>
      <c r="B37" s="5" t="str">
        <f t="shared" si="5"/>
        <v>西池袋駅前ビル</v>
      </c>
      <c r="C37" s="61">
        <v>658</v>
      </c>
      <c r="D37" s="5" t="str">
        <f t="shared" si="6"/>
        <v>その他</v>
      </c>
      <c r="E37" s="577">
        <v>12047</v>
      </c>
      <c r="F37" s="577">
        <v>144564</v>
      </c>
      <c r="G37" s="61" t="s">
        <v>2029</v>
      </c>
      <c r="H37" s="61"/>
      <c r="I37" s="61"/>
    </row>
    <row r="38" spans="1:12">
      <c r="A38" s="61">
        <v>101</v>
      </c>
      <c r="B38" s="5" t="str">
        <f t="shared" si="5"/>
        <v>西池袋駅前ビル</v>
      </c>
      <c r="C38" s="61">
        <v>655</v>
      </c>
      <c r="D38" s="5" t="str">
        <f t="shared" si="6"/>
        <v>建物管理料</v>
      </c>
      <c r="E38" s="577">
        <v>49720</v>
      </c>
      <c r="F38" s="577">
        <v>596640</v>
      </c>
      <c r="G38" s="61" t="s">
        <v>2030</v>
      </c>
      <c r="H38" s="61"/>
      <c r="I38" s="61"/>
    </row>
    <row r="39" spans="1:12">
      <c r="A39" s="61">
        <v>101</v>
      </c>
      <c r="B39" s="5" t="str">
        <f t="shared" si="5"/>
        <v>西池袋駅前ビル</v>
      </c>
      <c r="C39" s="61">
        <v>653</v>
      </c>
      <c r="D39" s="5" t="str">
        <f t="shared" si="6"/>
        <v>電気料金(電灯)</v>
      </c>
      <c r="E39" s="577">
        <v>20991</v>
      </c>
      <c r="F39" s="577">
        <v>251892</v>
      </c>
      <c r="G39" s="61" t="s">
        <v>2031</v>
      </c>
      <c r="H39" s="61"/>
      <c r="I39" s="61"/>
    </row>
    <row r="40" spans="1:12">
      <c r="A40" s="61">
        <v>102</v>
      </c>
      <c r="B40" s="5" t="str">
        <f t="shared" si="5"/>
        <v>池袋ハウス</v>
      </c>
      <c r="C40" s="61">
        <v>651</v>
      </c>
      <c r="D40" s="5" t="str">
        <f t="shared" si="6"/>
        <v>火災保険料</v>
      </c>
      <c r="E40" s="577" t="s">
        <v>2027</v>
      </c>
      <c r="F40" s="577">
        <v>44050</v>
      </c>
      <c r="G40" s="61"/>
      <c r="H40" s="61"/>
      <c r="I40" s="61"/>
    </row>
    <row r="41" spans="1:12">
      <c r="A41" s="61">
        <v>102</v>
      </c>
      <c r="B41" s="5" t="str">
        <f t="shared" si="5"/>
        <v>池袋ハウス</v>
      </c>
      <c r="C41" s="61">
        <v>652</v>
      </c>
      <c r="D41" s="5" t="str">
        <f t="shared" si="6"/>
        <v>水道料金</v>
      </c>
      <c r="E41" s="577">
        <v>1903</v>
      </c>
      <c r="F41" s="577">
        <v>22836</v>
      </c>
      <c r="G41" s="61" t="s">
        <v>2032</v>
      </c>
      <c r="H41" s="61"/>
      <c r="I41" s="61"/>
    </row>
    <row r="42" spans="1:12">
      <c r="A42" s="61">
        <v>102</v>
      </c>
      <c r="B42" s="5" t="str">
        <f t="shared" si="5"/>
        <v>池袋ハウス</v>
      </c>
      <c r="C42" s="61">
        <v>652</v>
      </c>
      <c r="D42" s="5" t="str">
        <f t="shared" si="6"/>
        <v>水道料金</v>
      </c>
      <c r="E42" s="577">
        <v>1903</v>
      </c>
      <c r="F42" s="577">
        <v>22836</v>
      </c>
      <c r="G42" s="61" t="s">
        <v>2033</v>
      </c>
      <c r="H42" s="61"/>
      <c r="I42" s="61"/>
    </row>
    <row r="43" spans="1:12">
      <c r="A43" s="61">
        <v>102</v>
      </c>
      <c r="B43" s="5" t="str">
        <f t="shared" si="5"/>
        <v>池袋ハウス</v>
      </c>
      <c r="C43" s="61">
        <v>658</v>
      </c>
      <c r="D43" s="5" t="str">
        <f t="shared" si="6"/>
        <v>その他</v>
      </c>
      <c r="E43" s="577">
        <v>11000</v>
      </c>
      <c r="F43" s="577">
        <v>132000</v>
      </c>
      <c r="G43" s="61" t="s">
        <v>2029</v>
      </c>
      <c r="H43" s="61"/>
      <c r="I43" s="61"/>
    </row>
    <row r="44" spans="1:12">
      <c r="A44" s="61">
        <v>102</v>
      </c>
      <c r="B44" s="5" t="str">
        <f t="shared" si="5"/>
        <v>池袋ハウス</v>
      </c>
      <c r="C44" s="61">
        <v>655</v>
      </c>
      <c r="D44" s="5" t="str">
        <f t="shared" si="6"/>
        <v>建物管理料</v>
      </c>
      <c r="E44" s="577">
        <v>142340</v>
      </c>
      <c r="F44" s="577">
        <v>1708080</v>
      </c>
      <c r="G44" s="61" t="s">
        <v>2030</v>
      </c>
      <c r="H44" s="61"/>
      <c r="I44" s="61"/>
    </row>
    <row r="45" spans="1:12">
      <c r="A45" s="61">
        <v>102</v>
      </c>
      <c r="B45" s="5" t="str">
        <f t="shared" si="5"/>
        <v>池袋ハウス</v>
      </c>
      <c r="C45" s="61">
        <v>653</v>
      </c>
      <c r="D45" s="5" t="str">
        <f t="shared" si="6"/>
        <v>電気料金(電灯)</v>
      </c>
      <c r="E45" s="577">
        <v>31860</v>
      </c>
      <c r="F45" s="577">
        <v>382320</v>
      </c>
      <c r="G45" s="61" t="s">
        <v>2031</v>
      </c>
      <c r="H45" s="61"/>
      <c r="I45" s="61"/>
    </row>
    <row r="46" spans="1:12">
      <c r="A46" s="61">
        <v>102</v>
      </c>
      <c r="B46" s="5" t="str">
        <f t="shared" si="5"/>
        <v>池袋ハウス</v>
      </c>
      <c r="C46" s="61">
        <v>654</v>
      </c>
      <c r="D46" s="5" t="str">
        <f t="shared" si="6"/>
        <v>電気料金(低圧)</v>
      </c>
      <c r="E46" s="577">
        <v>22751</v>
      </c>
      <c r="F46" s="577">
        <v>273012</v>
      </c>
      <c r="G46" s="61" t="s">
        <v>2034</v>
      </c>
      <c r="H46" s="61"/>
      <c r="I46" s="61"/>
    </row>
    <row r="47" spans="1:12">
      <c r="A47" s="61">
        <v>103</v>
      </c>
      <c r="B47" s="5" t="str">
        <f t="shared" si="5"/>
        <v>カーサ目白台ハウス</v>
      </c>
      <c r="C47" s="61">
        <v>651</v>
      </c>
      <c r="D47" s="5" t="str">
        <f t="shared" si="6"/>
        <v>火災保険料</v>
      </c>
      <c r="E47" s="577" t="s">
        <v>2027</v>
      </c>
      <c r="F47" s="577">
        <v>19430</v>
      </c>
      <c r="G47" s="61"/>
      <c r="H47" s="61"/>
      <c r="I47" s="61"/>
    </row>
    <row r="48" spans="1:12">
      <c r="A48" s="61">
        <v>103</v>
      </c>
      <c r="B48" s="5" t="str">
        <f t="shared" si="5"/>
        <v>カーサ目白台ハウス</v>
      </c>
      <c r="C48" s="61">
        <v>652</v>
      </c>
      <c r="D48" s="5" t="str">
        <f t="shared" si="6"/>
        <v>水道料金</v>
      </c>
      <c r="E48" s="577">
        <v>1562</v>
      </c>
      <c r="F48" s="577">
        <v>18744</v>
      </c>
      <c r="G48" s="61" t="s">
        <v>2032</v>
      </c>
      <c r="H48" s="61"/>
      <c r="I48" s="61"/>
    </row>
    <row r="49" spans="1:9">
      <c r="A49" s="61">
        <v>103</v>
      </c>
      <c r="B49" s="5" t="str">
        <f t="shared" si="5"/>
        <v>カーサ目白台ハウス</v>
      </c>
      <c r="C49" s="61">
        <v>655</v>
      </c>
      <c r="D49" s="5" t="str">
        <f t="shared" si="6"/>
        <v>建物管理料</v>
      </c>
      <c r="E49" s="577">
        <v>121440</v>
      </c>
      <c r="F49" s="577">
        <v>1457280</v>
      </c>
      <c r="G49" s="61" t="s">
        <v>2030</v>
      </c>
      <c r="H49" s="61"/>
      <c r="I49" s="61"/>
    </row>
    <row r="50" spans="1:9">
      <c r="A50" s="61">
        <v>103</v>
      </c>
      <c r="B50" s="5" t="str">
        <f t="shared" si="5"/>
        <v>カーサ目白台ハウス</v>
      </c>
      <c r="C50" s="61">
        <v>653</v>
      </c>
      <c r="D50" s="5" t="str">
        <f t="shared" si="6"/>
        <v>電気料金(電灯)</v>
      </c>
      <c r="E50" s="577">
        <v>12666</v>
      </c>
      <c r="F50" s="577">
        <v>151992</v>
      </c>
      <c r="G50" s="61" t="s">
        <v>2031</v>
      </c>
      <c r="H50" s="61"/>
      <c r="I50" s="61"/>
    </row>
    <row r="51" spans="1:9">
      <c r="A51" s="61">
        <v>103</v>
      </c>
      <c r="B51" s="5" t="str">
        <f t="shared" si="5"/>
        <v>カーサ目白台ハウス</v>
      </c>
      <c r="C51" s="61">
        <v>654</v>
      </c>
      <c r="D51" s="5" t="str">
        <f t="shared" si="6"/>
        <v>電気料金(低圧)</v>
      </c>
      <c r="E51" s="577">
        <v>23874</v>
      </c>
      <c r="F51" s="577">
        <v>286488</v>
      </c>
      <c r="G51" s="61" t="s">
        <v>2034</v>
      </c>
      <c r="H51" s="61"/>
      <c r="I51" s="61"/>
    </row>
    <row r="52" spans="1:9">
      <c r="A52" s="61">
        <v>104</v>
      </c>
      <c r="B52" s="5" t="str">
        <f t="shared" si="5"/>
        <v>コアプラス池袋</v>
      </c>
      <c r="C52" s="61">
        <v>651</v>
      </c>
      <c r="D52" s="5" t="str">
        <f t="shared" si="6"/>
        <v>火災保険料</v>
      </c>
      <c r="E52" s="577" t="s">
        <v>2027</v>
      </c>
      <c r="F52" s="577">
        <v>6600</v>
      </c>
      <c r="G52" s="61"/>
      <c r="H52" s="61"/>
      <c r="I52" s="61"/>
    </row>
    <row r="53" spans="1:9">
      <c r="A53" s="61">
        <v>104</v>
      </c>
      <c r="B53" s="5" t="str">
        <f t="shared" si="5"/>
        <v>コアプラス池袋</v>
      </c>
      <c r="C53" s="61">
        <v>652</v>
      </c>
      <c r="D53" s="5" t="str">
        <f t="shared" si="6"/>
        <v>水道料金</v>
      </c>
      <c r="E53" s="577">
        <v>1903</v>
      </c>
      <c r="F53" s="577">
        <v>22836</v>
      </c>
      <c r="G53" s="61" t="s">
        <v>2032</v>
      </c>
      <c r="H53" s="61"/>
      <c r="I53" s="61"/>
    </row>
    <row r="54" spans="1:9">
      <c r="A54" s="61">
        <v>104</v>
      </c>
      <c r="B54" s="5" t="str">
        <f t="shared" si="5"/>
        <v>コアプラス池袋</v>
      </c>
      <c r="C54" s="61">
        <v>655</v>
      </c>
      <c r="D54" s="5" t="str">
        <f t="shared" si="6"/>
        <v>建物管理料</v>
      </c>
      <c r="E54" s="577">
        <v>31350</v>
      </c>
      <c r="F54" s="577">
        <v>376200</v>
      </c>
      <c r="G54" s="61" t="s">
        <v>2030</v>
      </c>
      <c r="H54" s="61"/>
      <c r="I54" s="61"/>
    </row>
    <row r="55" spans="1:9">
      <c r="A55" s="61">
        <v>104</v>
      </c>
      <c r="B55" s="5" t="str">
        <f t="shared" si="5"/>
        <v>コアプラス池袋</v>
      </c>
      <c r="C55" s="61">
        <v>653</v>
      </c>
      <c r="D55" s="5" t="str">
        <f t="shared" si="6"/>
        <v>電気料金(電灯)</v>
      </c>
      <c r="E55" s="577">
        <v>1031</v>
      </c>
      <c r="F55" s="577">
        <v>12372</v>
      </c>
      <c r="G55" s="61" t="s">
        <v>2031</v>
      </c>
      <c r="H55" s="61"/>
      <c r="I55" s="61"/>
    </row>
    <row r="56" spans="1:9">
      <c r="A56" s="61">
        <v>105</v>
      </c>
      <c r="B56" s="5" t="str">
        <f t="shared" si="5"/>
        <v>目白アパート</v>
      </c>
      <c r="C56" s="61">
        <v>651</v>
      </c>
      <c r="D56" s="5" t="str">
        <f t="shared" si="6"/>
        <v>火災保険料</v>
      </c>
      <c r="E56" s="577" t="s">
        <v>2027</v>
      </c>
      <c r="F56" s="577">
        <v>20710</v>
      </c>
      <c r="G56" s="61"/>
      <c r="H56" s="61"/>
      <c r="I56" s="61"/>
    </row>
    <row r="57" spans="1:9">
      <c r="A57" s="61">
        <v>105</v>
      </c>
      <c r="B57" s="5" t="str">
        <f t="shared" si="5"/>
        <v>目白アパート</v>
      </c>
      <c r="C57" s="61">
        <v>652</v>
      </c>
      <c r="D57" s="5" t="str">
        <f t="shared" si="6"/>
        <v>水道料金</v>
      </c>
      <c r="E57" s="577">
        <v>1903</v>
      </c>
      <c r="F57" s="577">
        <v>22836</v>
      </c>
      <c r="G57" s="61" t="s">
        <v>2032</v>
      </c>
      <c r="H57" s="61"/>
      <c r="I57" s="61"/>
    </row>
    <row r="58" spans="1:9">
      <c r="A58" s="61">
        <v>105</v>
      </c>
      <c r="B58" s="5" t="str">
        <f t="shared" si="5"/>
        <v>目白アパート</v>
      </c>
      <c r="C58" s="61">
        <v>655</v>
      </c>
      <c r="D58" s="5" t="str">
        <f t="shared" si="6"/>
        <v>建物管理料</v>
      </c>
      <c r="E58" s="577">
        <v>96470</v>
      </c>
      <c r="F58" s="577">
        <v>1157640</v>
      </c>
      <c r="G58" s="61" t="s">
        <v>2030</v>
      </c>
      <c r="H58" s="61"/>
      <c r="I58" s="61"/>
    </row>
    <row r="59" spans="1:9">
      <c r="A59" s="61">
        <v>105</v>
      </c>
      <c r="B59" s="5" t="str">
        <f t="shared" si="5"/>
        <v>目白アパート</v>
      </c>
      <c r="C59" s="61">
        <v>653</v>
      </c>
      <c r="D59" s="5" t="str">
        <f t="shared" si="6"/>
        <v>電気料金(電灯)</v>
      </c>
      <c r="E59" s="577">
        <v>18092</v>
      </c>
      <c r="F59" s="577">
        <v>217104</v>
      </c>
      <c r="G59" s="61" t="s">
        <v>2031</v>
      </c>
      <c r="H59" s="61"/>
      <c r="I59" s="61"/>
    </row>
    <row r="60" spans="1:9">
      <c r="A60" s="61">
        <v>105</v>
      </c>
      <c r="B60" s="5" t="str">
        <f t="shared" si="5"/>
        <v>目白アパート</v>
      </c>
      <c r="C60" s="61">
        <v>654</v>
      </c>
      <c r="D60" s="5" t="str">
        <f t="shared" si="6"/>
        <v>電気料金(低圧)</v>
      </c>
      <c r="E60" s="577">
        <v>13524</v>
      </c>
      <c r="F60" s="577">
        <v>162288</v>
      </c>
      <c r="G60" s="61" t="s">
        <v>2034</v>
      </c>
      <c r="H60" s="61"/>
      <c r="I60" s="61"/>
    </row>
    <row r="61" spans="1:9">
      <c r="A61" s="61">
        <v>106</v>
      </c>
      <c r="B61" s="5" t="str">
        <f t="shared" si="5"/>
        <v>東池袋ハイツ</v>
      </c>
      <c r="C61" s="61">
        <v>651</v>
      </c>
      <c r="D61" s="5" t="str">
        <f t="shared" si="6"/>
        <v>火災保険料</v>
      </c>
      <c r="E61" s="577" t="s">
        <v>2027</v>
      </c>
      <c r="F61" s="577">
        <v>45780</v>
      </c>
      <c r="G61" s="61"/>
      <c r="H61" s="61"/>
      <c r="I61" s="61"/>
    </row>
    <row r="62" spans="1:9">
      <c r="A62" s="61">
        <v>106</v>
      </c>
      <c r="B62" s="5" t="str">
        <f t="shared" si="5"/>
        <v>東池袋ハイツ</v>
      </c>
      <c r="C62" s="61">
        <v>652</v>
      </c>
      <c r="D62" s="5" t="str">
        <f t="shared" si="6"/>
        <v>水道料金</v>
      </c>
      <c r="E62" s="577">
        <v>1562</v>
      </c>
      <c r="F62" s="577">
        <v>18744</v>
      </c>
      <c r="G62" s="61" t="s">
        <v>2035</v>
      </c>
      <c r="H62" s="61"/>
      <c r="I62" s="61"/>
    </row>
    <row r="63" spans="1:9">
      <c r="A63" s="61">
        <v>106</v>
      </c>
      <c r="B63" s="5" t="str">
        <f t="shared" si="5"/>
        <v>東池袋ハイツ</v>
      </c>
      <c r="C63" s="61">
        <v>655</v>
      </c>
      <c r="D63" s="5" t="str">
        <f t="shared" si="6"/>
        <v>建物管理料</v>
      </c>
      <c r="E63" s="577">
        <v>150150</v>
      </c>
      <c r="F63" s="577">
        <v>1801800</v>
      </c>
      <c r="G63" s="61" t="s">
        <v>2030</v>
      </c>
      <c r="H63" s="61"/>
      <c r="I63" s="61"/>
    </row>
    <row r="64" spans="1:9">
      <c r="A64" s="61">
        <v>106</v>
      </c>
      <c r="B64" s="5" t="str">
        <f t="shared" si="5"/>
        <v>東池袋ハイツ</v>
      </c>
      <c r="C64" s="61">
        <v>653</v>
      </c>
      <c r="D64" s="5" t="str">
        <f t="shared" si="6"/>
        <v>電気料金(電灯)</v>
      </c>
      <c r="E64" s="577">
        <v>23134</v>
      </c>
      <c r="F64" s="577">
        <v>277608</v>
      </c>
      <c r="G64" s="61" t="s">
        <v>2031</v>
      </c>
      <c r="H64" s="61"/>
      <c r="I64" s="61"/>
    </row>
    <row r="65" spans="1:9">
      <c r="A65" s="61">
        <v>106</v>
      </c>
      <c r="B65" s="5" t="str">
        <f t="shared" si="5"/>
        <v>東池袋ハイツ</v>
      </c>
      <c r="C65" s="61">
        <v>654</v>
      </c>
      <c r="D65" s="5" t="str">
        <f t="shared" si="6"/>
        <v>電気料金(低圧)</v>
      </c>
      <c r="E65" s="577">
        <v>13723</v>
      </c>
      <c r="F65" s="577">
        <v>164676</v>
      </c>
      <c r="G65" s="61" t="s">
        <v>2034</v>
      </c>
      <c r="H65" s="61"/>
      <c r="I65" s="61"/>
    </row>
    <row r="66" spans="1:9">
      <c r="A66" s="61">
        <v>107</v>
      </c>
      <c r="B66" s="5" t="str">
        <f t="shared" si="5"/>
        <v>メゾン雑司ヶ谷</v>
      </c>
      <c r="C66" s="61">
        <v>651</v>
      </c>
      <c r="D66" s="5" t="str">
        <f t="shared" si="6"/>
        <v>火災保険料</v>
      </c>
      <c r="E66" s="577" t="s">
        <v>2027</v>
      </c>
      <c r="F66" s="577">
        <v>20610</v>
      </c>
      <c r="G66" s="61"/>
      <c r="H66" s="61"/>
      <c r="I66" s="61"/>
    </row>
    <row r="67" spans="1:9">
      <c r="A67" s="61">
        <v>107</v>
      </c>
      <c r="B67" s="5" t="str">
        <f t="shared" ref="B67:B98" si="7">VLOOKUP(A67,id_settings,2,FALSE)</f>
        <v>メゾン雑司ヶ谷</v>
      </c>
      <c r="C67" s="61">
        <v>652</v>
      </c>
      <c r="D67" s="5" t="str">
        <f t="shared" ref="D67:D98" si="8">VLOOKUP(C67,id_settings,2,FALSE)</f>
        <v>水道料金</v>
      </c>
      <c r="E67" s="577">
        <v>1903</v>
      </c>
      <c r="F67" s="577">
        <v>22836</v>
      </c>
      <c r="G67" s="61" t="s">
        <v>2032</v>
      </c>
      <c r="H67" s="61"/>
      <c r="I67" s="61"/>
    </row>
    <row r="68" spans="1:9">
      <c r="A68" s="61">
        <v>107</v>
      </c>
      <c r="B68" s="5" t="str">
        <f t="shared" si="7"/>
        <v>メゾン雑司ヶ谷</v>
      </c>
      <c r="C68" s="61">
        <v>655</v>
      </c>
      <c r="D68" s="5" t="str">
        <f t="shared" si="8"/>
        <v>建物管理料</v>
      </c>
      <c r="E68" s="577">
        <v>72490</v>
      </c>
      <c r="F68" s="577">
        <v>869880</v>
      </c>
      <c r="G68" s="61" t="s">
        <v>2030</v>
      </c>
      <c r="H68" s="61"/>
      <c r="I68" s="61"/>
    </row>
    <row r="69" spans="1:9">
      <c r="A69" s="61">
        <v>107</v>
      </c>
      <c r="B69" s="5" t="str">
        <f t="shared" si="7"/>
        <v>メゾン雑司ヶ谷</v>
      </c>
      <c r="C69" s="61">
        <v>653</v>
      </c>
      <c r="D69" s="5" t="str">
        <f t="shared" si="8"/>
        <v>電気料金(電灯)</v>
      </c>
      <c r="E69" s="577">
        <v>4341</v>
      </c>
      <c r="F69" s="577">
        <v>52092</v>
      </c>
      <c r="G69" s="61" t="s">
        <v>2031</v>
      </c>
      <c r="H69" s="61"/>
      <c r="I69" s="61"/>
    </row>
    <row r="70" spans="1:9">
      <c r="A70" s="61">
        <v>107</v>
      </c>
      <c r="B70" s="5" t="str">
        <f t="shared" si="7"/>
        <v>メゾン雑司ヶ谷</v>
      </c>
      <c r="C70" s="61">
        <v>654</v>
      </c>
      <c r="D70" s="5" t="str">
        <f t="shared" si="8"/>
        <v>電気料金(低圧)</v>
      </c>
      <c r="E70" s="577">
        <v>8976</v>
      </c>
      <c r="F70" s="577">
        <v>107712</v>
      </c>
      <c r="G70" s="61" t="s">
        <v>2034</v>
      </c>
      <c r="H70" s="61"/>
      <c r="I70" s="61"/>
    </row>
    <row r="71" spans="1:9">
      <c r="A71" s="61">
        <v>109</v>
      </c>
      <c r="B71" s="5" t="str">
        <f t="shared" si="7"/>
        <v>カーサ南池袋</v>
      </c>
      <c r="C71" s="61">
        <v>651</v>
      </c>
      <c r="D71" s="5" t="str">
        <f t="shared" si="8"/>
        <v>火災保険料</v>
      </c>
      <c r="E71" s="577" t="s">
        <v>2027</v>
      </c>
      <c r="F71" s="577">
        <v>12950</v>
      </c>
      <c r="G71" s="61"/>
      <c r="H71" s="61"/>
      <c r="I71" s="61"/>
    </row>
    <row r="72" spans="1:9">
      <c r="A72" s="61">
        <v>109</v>
      </c>
      <c r="B72" s="5" t="str">
        <f t="shared" si="7"/>
        <v>カーサ南池袋</v>
      </c>
      <c r="C72" s="61">
        <v>655</v>
      </c>
      <c r="D72" s="5" t="str">
        <f t="shared" si="8"/>
        <v>建物管理料</v>
      </c>
      <c r="E72" s="577">
        <v>32890</v>
      </c>
      <c r="F72" s="577">
        <v>394680</v>
      </c>
      <c r="G72" s="61" t="s">
        <v>2030</v>
      </c>
      <c r="H72" s="61"/>
      <c r="I72" s="61"/>
    </row>
    <row r="73" spans="1:9">
      <c r="A73" s="61">
        <v>109</v>
      </c>
      <c r="B73" s="5" t="str">
        <f t="shared" si="7"/>
        <v>カーサ南池袋</v>
      </c>
      <c r="C73" s="61">
        <v>653</v>
      </c>
      <c r="D73" s="5" t="str">
        <f t="shared" si="8"/>
        <v>電気料金(電灯)</v>
      </c>
      <c r="E73" s="577">
        <v>17563</v>
      </c>
      <c r="F73" s="577">
        <v>210756</v>
      </c>
      <c r="G73" s="61" t="s">
        <v>2031</v>
      </c>
      <c r="H73" s="61"/>
      <c r="I73" s="61"/>
    </row>
    <row r="74" spans="1:9">
      <c r="A74" s="61">
        <v>109</v>
      </c>
      <c r="B74" s="5" t="str">
        <f t="shared" si="7"/>
        <v>カーサ南池袋</v>
      </c>
      <c r="C74" s="61">
        <v>654</v>
      </c>
      <c r="D74" s="5" t="str">
        <f t="shared" si="8"/>
        <v>電気料金(低圧)</v>
      </c>
      <c r="E74" s="577">
        <v>7040</v>
      </c>
      <c r="F74" s="577">
        <v>84480</v>
      </c>
      <c r="G74" s="61" t="s">
        <v>2034</v>
      </c>
      <c r="H74" s="61"/>
      <c r="I74" s="61"/>
    </row>
    <row r="75" spans="1:9">
      <c r="A75" s="61">
        <v>111</v>
      </c>
      <c r="B75" s="5" t="str">
        <f t="shared" si="7"/>
        <v>目白カーサ二番館</v>
      </c>
      <c r="C75" s="61">
        <v>651</v>
      </c>
      <c r="D75" s="5" t="str">
        <f t="shared" si="8"/>
        <v>火災保険料</v>
      </c>
      <c r="E75" s="577" t="s">
        <v>2027</v>
      </c>
      <c r="F75" s="577">
        <v>19920</v>
      </c>
      <c r="G75" s="61"/>
      <c r="H75" s="61"/>
      <c r="I75" s="61"/>
    </row>
    <row r="76" spans="1:9">
      <c r="A76" s="61">
        <v>111</v>
      </c>
      <c r="B76" s="5" t="str">
        <f t="shared" si="7"/>
        <v>目白カーサ二番館</v>
      </c>
      <c r="C76" s="61">
        <v>652</v>
      </c>
      <c r="D76" s="5" t="str">
        <f t="shared" si="8"/>
        <v>水道料金</v>
      </c>
      <c r="E76" s="577">
        <v>1562</v>
      </c>
      <c r="F76" s="577">
        <v>18744</v>
      </c>
      <c r="G76" s="61" t="s">
        <v>2032</v>
      </c>
      <c r="H76" s="61"/>
      <c r="I76" s="61"/>
    </row>
    <row r="77" spans="1:9">
      <c r="A77" s="61">
        <v>111</v>
      </c>
      <c r="B77" s="5" t="str">
        <f t="shared" si="7"/>
        <v>目白カーサ二番館</v>
      </c>
      <c r="C77" s="61">
        <v>655</v>
      </c>
      <c r="D77" s="5" t="str">
        <f t="shared" si="8"/>
        <v>建物管理料</v>
      </c>
      <c r="E77" s="577">
        <v>69850</v>
      </c>
      <c r="F77" s="577">
        <v>838200</v>
      </c>
      <c r="G77" s="61" t="s">
        <v>2030</v>
      </c>
      <c r="H77" s="61"/>
      <c r="I77" s="61"/>
    </row>
    <row r="78" spans="1:9">
      <c r="A78" s="61">
        <v>111</v>
      </c>
      <c r="B78" s="5" t="str">
        <f t="shared" si="7"/>
        <v>目白カーサ二番館</v>
      </c>
      <c r="C78" s="61">
        <v>653</v>
      </c>
      <c r="D78" s="5" t="str">
        <f t="shared" si="8"/>
        <v>電気料金(電灯)</v>
      </c>
      <c r="E78" s="577">
        <v>11357</v>
      </c>
      <c r="F78" s="577">
        <v>136284</v>
      </c>
      <c r="G78" s="61" t="s">
        <v>2031</v>
      </c>
      <c r="H78" s="61"/>
      <c r="I78" s="61"/>
    </row>
    <row r="79" spans="1:9">
      <c r="A79" s="61">
        <v>111</v>
      </c>
      <c r="B79" s="5" t="str">
        <f t="shared" si="7"/>
        <v>目白カーサ二番館</v>
      </c>
      <c r="C79" s="61">
        <v>654</v>
      </c>
      <c r="D79" s="5" t="str">
        <f t="shared" si="8"/>
        <v>電気料金(低圧)</v>
      </c>
      <c r="E79" s="577">
        <v>20490</v>
      </c>
      <c r="F79" s="577">
        <v>245880</v>
      </c>
      <c r="G79" s="61" t="s">
        <v>2034</v>
      </c>
      <c r="H79" s="61"/>
      <c r="I79" s="61"/>
    </row>
    <row r="80" spans="1:9">
      <c r="A80" s="61">
        <v>112</v>
      </c>
      <c r="B80" s="5" t="str">
        <f t="shared" si="7"/>
        <v>豊島目白ビル</v>
      </c>
      <c r="C80" s="61">
        <v>651</v>
      </c>
      <c r="D80" s="5" t="str">
        <f t="shared" si="8"/>
        <v>火災保険料</v>
      </c>
      <c r="E80" s="577" t="s">
        <v>2027</v>
      </c>
      <c r="F80" s="577">
        <v>10340</v>
      </c>
      <c r="G80" s="61"/>
      <c r="H80" s="61"/>
      <c r="I80" s="61"/>
    </row>
    <row r="81" spans="1:9">
      <c r="A81" s="61">
        <v>112</v>
      </c>
      <c r="B81" s="5" t="str">
        <f t="shared" si="7"/>
        <v>豊島目白ビル</v>
      </c>
      <c r="C81" s="61">
        <v>655</v>
      </c>
      <c r="D81" s="5" t="str">
        <f t="shared" si="8"/>
        <v>建物管理料</v>
      </c>
      <c r="E81" s="577">
        <v>54952</v>
      </c>
      <c r="F81" s="577">
        <v>659419</v>
      </c>
      <c r="G81" s="61" t="s">
        <v>2030</v>
      </c>
      <c r="H81" s="61"/>
      <c r="I81" s="61"/>
    </row>
    <row r="82" spans="1:9">
      <c r="A82" s="61">
        <v>113</v>
      </c>
      <c r="B82" s="5" t="str">
        <f t="shared" si="7"/>
        <v>第3目白ハイツ</v>
      </c>
      <c r="C82" s="61">
        <v>651</v>
      </c>
      <c r="D82" s="5" t="str">
        <f t="shared" si="8"/>
        <v>火災保険料</v>
      </c>
      <c r="E82" s="577" t="s">
        <v>2027</v>
      </c>
      <c r="F82" s="577">
        <v>51350</v>
      </c>
      <c r="G82" s="61"/>
      <c r="H82" s="61"/>
      <c r="I82" s="61"/>
    </row>
    <row r="83" spans="1:9">
      <c r="A83" s="61">
        <v>113</v>
      </c>
      <c r="B83" s="5" t="str">
        <f t="shared" si="7"/>
        <v>第3目白ハイツ</v>
      </c>
      <c r="C83" s="61">
        <v>652</v>
      </c>
      <c r="D83" s="5" t="str">
        <f t="shared" si="8"/>
        <v>水道料金</v>
      </c>
      <c r="E83" s="577">
        <v>1903</v>
      </c>
      <c r="F83" s="577">
        <v>22836</v>
      </c>
      <c r="G83" s="61" t="s">
        <v>2036</v>
      </c>
      <c r="H83" s="61"/>
      <c r="I83" s="61"/>
    </row>
    <row r="84" spans="1:9">
      <c r="A84" s="61">
        <v>113</v>
      </c>
      <c r="B84" s="5" t="str">
        <f t="shared" si="7"/>
        <v>第3目白ハイツ</v>
      </c>
      <c r="C84" s="61">
        <v>652</v>
      </c>
      <c r="D84" s="5" t="str">
        <f t="shared" si="8"/>
        <v>水道料金</v>
      </c>
      <c r="E84" s="577">
        <v>1903</v>
      </c>
      <c r="F84" s="577">
        <v>22836</v>
      </c>
      <c r="G84" s="61" t="s">
        <v>2028</v>
      </c>
      <c r="H84" s="61"/>
      <c r="I84" s="61"/>
    </row>
    <row r="85" spans="1:9">
      <c r="A85" s="61">
        <v>113</v>
      </c>
      <c r="B85" s="5" t="str">
        <f t="shared" si="7"/>
        <v>第3目白ハイツ</v>
      </c>
      <c r="C85" s="61">
        <v>655</v>
      </c>
      <c r="D85" s="5" t="str">
        <f t="shared" si="8"/>
        <v>建物管理料</v>
      </c>
      <c r="E85" s="577">
        <v>70730</v>
      </c>
      <c r="F85" s="577">
        <v>848760</v>
      </c>
      <c r="G85" s="61" t="s">
        <v>2030</v>
      </c>
      <c r="H85" s="61"/>
      <c r="I85" s="61"/>
    </row>
    <row r="86" spans="1:9">
      <c r="A86" s="61">
        <v>113</v>
      </c>
      <c r="B86" s="5" t="str">
        <f t="shared" si="7"/>
        <v>第3目白ハイツ</v>
      </c>
      <c r="C86" s="61">
        <v>653</v>
      </c>
      <c r="D86" s="5" t="str">
        <f t="shared" si="8"/>
        <v>電気料金(電灯)</v>
      </c>
      <c r="E86" s="577">
        <v>7643</v>
      </c>
      <c r="F86" s="577">
        <v>91716</v>
      </c>
      <c r="G86" s="61" t="s">
        <v>2031</v>
      </c>
      <c r="H86" s="61"/>
      <c r="I86" s="61"/>
    </row>
    <row r="87" spans="1:9">
      <c r="A87" s="61">
        <v>113</v>
      </c>
      <c r="B87" s="5" t="str">
        <f t="shared" si="7"/>
        <v>第3目白ハイツ</v>
      </c>
      <c r="C87" s="61">
        <v>654</v>
      </c>
      <c r="D87" s="5" t="str">
        <f t="shared" si="8"/>
        <v>電気料金(低圧)</v>
      </c>
      <c r="E87" s="577">
        <v>23543</v>
      </c>
      <c r="F87" s="577">
        <v>282516</v>
      </c>
      <c r="G87" s="61" t="s">
        <v>2034</v>
      </c>
      <c r="H87" s="61"/>
      <c r="I87" s="61"/>
    </row>
    <row r="88" spans="1:9">
      <c r="A88" s="61">
        <v>114</v>
      </c>
      <c r="B88" s="5" t="str">
        <f t="shared" si="7"/>
        <v>レジデンス目白豊島</v>
      </c>
      <c r="C88" s="61">
        <v>651</v>
      </c>
      <c r="D88" s="5" t="str">
        <f t="shared" si="8"/>
        <v>火災保険料</v>
      </c>
      <c r="E88" s="577" t="s">
        <v>2027</v>
      </c>
      <c r="F88" s="577">
        <v>7710</v>
      </c>
      <c r="G88" s="61"/>
      <c r="H88" s="61"/>
      <c r="I88" s="61"/>
    </row>
    <row r="89" spans="1:9">
      <c r="A89" s="61">
        <v>114</v>
      </c>
      <c r="B89" s="5" t="str">
        <f t="shared" si="7"/>
        <v>レジデンス目白豊島</v>
      </c>
      <c r="C89" s="61">
        <v>655</v>
      </c>
      <c r="D89" s="5" t="str">
        <f t="shared" si="8"/>
        <v>建物管理料</v>
      </c>
      <c r="E89" s="577">
        <v>33770</v>
      </c>
      <c r="F89" s="577">
        <v>405240</v>
      </c>
      <c r="G89" s="61" t="s">
        <v>2030</v>
      </c>
      <c r="H89" s="61"/>
      <c r="I89" s="61"/>
    </row>
    <row r="90" spans="1:9">
      <c r="A90" s="61">
        <v>114</v>
      </c>
      <c r="B90" s="5" t="str">
        <f t="shared" si="7"/>
        <v>レジデンス目白豊島</v>
      </c>
      <c r="C90" s="61">
        <v>653</v>
      </c>
      <c r="D90" s="5" t="str">
        <f t="shared" si="8"/>
        <v>電気料金(電灯)</v>
      </c>
      <c r="E90" s="577">
        <v>3252</v>
      </c>
      <c r="F90" s="577">
        <v>39024</v>
      </c>
      <c r="G90" s="61" t="s">
        <v>2031</v>
      </c>
      <c r="H90" s="61"/>
      <c r="I90" s="61"/>
    </row>
    <row r="91" spans="1:9">
      <c r="A91" s="61">
        <v>114</v>
      </c>
      <c r="B91" s="5" t="str">
        <f t="shared" si="7"/>
        <v>レジデンス目白豊島</v>
      </c>
      <c r="C91" s="61">
        <v>654</v>
      </c>
      <c r="D91" s="5" t="str">
        <f t="shared" si="8"/>
        <v>電気料金(低圧)</v>
      </c>
      <c r="E91" s="577">
        <v>3916</v>
      </c>
      <c r="F91" s="577">
        <v>46992</v>
      </c>
      <c r="G91" s="61" t="s">
        <v>2034</v>
      </c>
      <c r="H91" s="61"/>
      <c r="I91" s="61"/>
    </row>
    <row r="92" spans="1:9">
      <c r="A92" s="61">
        <v>115</v>
      </c>
      <c r="B92" s="5" t="str">
        <f t="shared" si="7"/>
        <v>コアプラス大塚</v>
      </c>
      <c r="C92" s="61">
        <v>651</v>
      </c>
      <c r="D92" s="5" t="str">
        <f t="shared" si="8"/>
        <v>火災保険料</v>
      </c>
      <c r="E92" s="577" t="s">
        <v>2027</v>
      </c>
      <c r="F92" s="577">
        <v>34430</v>
      </c>
      <c r="G92" s="61"/>
      <c r="H92" s="61"/>
      <c r="I92" s="61"/>
    </row>
    <row r="93" spans="1:9">
      <c r="A93" s="61">
        <v>115</v>
      </c>
      <c r="B93" s="5" t="str">
        <f t="shared" si="7"/>
        <v>コアプラス大塚</v>
      </c>
      <c r="C93" s="61">
        <v>652</v>
      </c>
      <c r="D93" s="5" t="str">
        <f t="shared" si="8"/>
        <v>水道料金</v>
      </c>
      <c r="E93" s="577">
        <v>1903</v>
      </c>
      <c r="F93" s="577">
        <v>22836</v>
      </c>
      <c r="G93" s="61" t="s">
        <v>2036</v>
      </c>
      <c r="H93" s="61"/>
      <c r="I93" s="61"/>
    </row>
    <row r="94" spans="1:9">
      <c r="A94" s="61">
        <v>115</v>
      </c>
      <c r="B94" s="5" t="str">
        <f t="shared" si="7"/>
        <v>コアプラス大塚</v>
      </c>
      <c r="C94" s="61">
        <v>652</v>
      </c>
      <c r="D94" s="5" t="str">
        <f t="shared" si="8"/>
        <v>水道料金</v>
      </c>
      <c r="E94" s="577">
        <v>1903</v>
      </c>
      <c r="F94" s="577">
        <v>22836</v>
      </c>
      <c r="G94" s="61" t="s">
        <v>2028</v>
      </c>
      <c r="H94" s="61"/>
      <c r="I94" s="61"/>
    </row>
    <row r="95" spans="1:9">
      <c r="A95" s="61">
        <v>115</v>
      </c>
      <c r="B95" s="5" t="str">
        <f t="shared" si="7"/>
        <v>コアプラス大塚</v>
      </c>
      <c r="C95" s="61">
        <v>655</v>
      </c>
      <c r="D95" s="5" t="str">
        <f t="shared" si="8"/>
        <v>建物管理料</v>
      </c>
      <c r="E95" s="577">
        <v>108460</v>
      </c>
      <c r="F95" s="577">
        <v>1301520</v>
      </c>
      <c r="G95" s="61" t="s">
        <v>2030</v>
      </c>
      <c r="H95" s="61"/>
      <c r="I95" s="61"/>
    </row>
    <row r="96" spans="1:9">
      <c r="A96" s="61">
        <v>115</v>
      </c>
      <c r="B96" s="5" t="str">
        <f t="shared" si="7"/>
        <v>コアプラス大塚</v>
      </c>
      <c r="C96" s="61">
        <v>653</v>
      </c>
      <c r="D96" s="5" t="str">
        <f t="shared" si="8"/>
        <v>電気料金(電灯)</v>
      </c>
      <c r="E96" s="577">
        <v>20057</v>
      </c>
      <c r="F96" s="577">
        <v>240684</v>
      </c>
      <c r="G96" s="61" t="s">
        <v>2031</v>
      </c>
      <c r="H96" s="61"/>
      <c r="I96" s="61"/>
    </row>
    <row r="97" spans="1:9">
      <c r="A97" s="61">
        <v>115</v>
      </c>
      <c r="B97" s="5" t="str">
        <f t="shared" si="7"/>
        <v>コアプラス大塚</v>
      </c>
      <c r="C97" s="61">
        <v>654</v>
      </c>
      <c r="D97" s="5" t="str">
        <f t="shared" si="8"/>
        <v>電気料金(低圧)</v>
      </c>
      <c r="E97" s="577">
        <v>24595</v>
      </c>
      <c r="F97" s="577">
        <v>295140</v>
      </c>
      <c r="G97" s="61" t="s">
        <v>2034</v>
      </c>
      <c r="H97" s="61"/>
      <c r="I97" s="61"/>
    </row>
    <row r="98" spans="1:9">
      <c r="A98" s="61">
        <v>116</v>
      </c>
      <c r="B98" s="5" t="str">
        <f t="shared" si="7"/>
        <v>コアプラスレジデンス梅田</v>
      </c>
      <c r="C98" s="61">
        <v>651</v>
      </c>
      <c r="D98" s="5" t="str">
        <f t="shared" si="8"/>
        <v>火災保険料</v>
      </c>
      <c r="E98" s="577" t="s">
        <v>2027</v>
      </c>
      <c r="F98" s="577">
        <v>20620</v>
      </c>
      <c r="G98" s="61"/>
      <c r="H98" s="61"/>
      <c r="I98" s="61"/>
    </row>
    <row r="99" spans="1:9">
      <c r="A99" s="61">
        <v>116</v>
      </c>
      <c r="B99" s="5" t="str">
        <f t="shared" ref="B99:B122" si="9">VLOOKUP(A99,id_settings,2,FALSE)</f>
        <v>コアプラスレジデンス梅田</v>
      </c>
      <c r="C99" s="61">
        <v>652</v>
      </c>
      <c r="D99" s="5" t="str">
        <f t="shared" ref="D99:D122" si="10">VLOOKUP(C99,id_settings,2,FALSE)</f>
        <v>水道料金</v>
      </c>
      <c r="E99" s="577">
        <v>1903</v>
      </c>
      <c r="F99" s="577">
        <v>22836</v>
      </c>
      <c r="G99" s="61" t="s">
        <v>2032</v>
      </c>
      <c r="H99" s="61"/>
      <c r="I99" s="61"/>
    </row>
    <row r="100" spans="1:9">
      <c r="A100" s="61">
        <v>116</v>
      </c>
      <c r="B100" s="5" t="str">
        <f t="shared" si="9"/>
        <v>コアプラスレジデンス梅田</v>
      </c>
      <c r="C100" s="61">
        <v>658</v>
      </c>
      <c r="D100" s="5" t="str">
        <f t="shared" si="10"/>
        <v>その他</v>
      </c>
      <c r="E100" s="577">
        <v>11000</v>
      </c>
      <c r="F100" s="577">
        <v>132000</v>
      </c>
      <c r="G100" s="61" t="s">
        <v>2029</v>
      </c>
      <c r="H100" s="61"/>
      <c r="I100" s="61"/>
    </row>
    <row r="101" spans="1:9">
      <c r="A101" s="61">
        <v>116</v>
      </c>
      <c r="B101" s="5" t="str">
        <f t="shared" si="9"/>
        <v>コアプラスレジデンス梅田</v>
      </c>
      <c r="C101" s="61">
        <v>655</v>
      </c>
      <c r="D101" s="5" t="str">
        <f t="shared" si="10"/>
        <v>建物管理料</v>
      </c>
      <c r="E101" s="577">
        <v>96690</v>
      </c>
      <c r="F101" s="577">
        <v>1160280</v>
      </c>
      <c r="G101" s="61" t="s">
        <v>2030</v>
      </c>
      <c r="H101" s="61"/>
      <c r="I101" s="61"/>
    </row>
    <row r="102" spans="1:9">
      <c r="A102" s="61">
        <v>116</v>
      </c>
      <c r="B102" s="5" t="str">
        <f t="shared" si="9"/>
        <v>コアプラスレジデンス梅田</v>
      </c>
      <c r="C102" s="61">
        <v>653</v>
      </c>
      <c r="D102" s="5" t="str">
        <f t="shared" si="10"/>
        <v>電気料金(電灯)</v>
      </c>
      <c r="E102" s="577">
        <v>8484</v>
      </c>
      <c r="F102" s="577">
        <v>101808</v>
      </c>
      <c r="G102" s="61" t="s">
        <v>2031</v>
      </c>
      <c r="H102" s="61"/>
      <c r="I102" s="61"/>
    </row>
    <row r="103" spans="1:9">
      <c r="A103" s="61">
        <v>116</v>
      </c>
      <c r="B103" s="5" t="str">
        <f t="shared" si="9"/>
        <v>コアプラスレジデンス梅田</v>
      </c>
      <c r="C103" s="61">
        <v>654</v>
      </c>
      <c r="D103" s="5" t="str">
        <f t="shared" si="10"/>
        <v>電気料金(低圧)</v>
      </c>
      <c r="E103" s="577">
        <v>21625</v>
      </c>
      <c r="F103" s="577">
        <v>259500</v>
      </c>
      <c r="G103" s="61" t="s">
        <v>2034</v>
      </c>
      <c r="H103" s="61"/>
      <c r="I103" s="61"/>
    </row>
    <row r="104" spans="1:9">
      <c r="A104" s="61">
        <v>117</v>
      </c>
      <c r="B104" s="5" t="str">
        <f t="shared" si="9"/>
        <v>高田馬場第4玉川ビル</v>
      </c>
      <c r="C104" s="61">
        <v>651</v>
      </c>
      <c r="D104" s="5" t="str">
        <f t="shared" si="10"/>
        <v>火災保険料</v>
      </c>
      <c r="E104" s="577" t="s">
        <v>2027</v>
      </c>
      <c r="F104" s="577">
        <v>21200</v>
      </c>
      <c r="G104" s="61"/>
      <c r="H104" s="61"/>
      <c r="I104" s="61"/>
    </row>
    <row r="105" spans="1:9">
      <c r="A105" s="61">
        <v>117</v>
      </c>
      <c r="B105" s="5" t="str">
        <f t="shared" si="9"/>
        <v>高田馬場第4玉川ビル</v>
      </c>
      <c r="C105" s="61">
        <v>655</v>
      </c>
      <c r="D105" s="5" t="str">
        <f t="shared" si="10"/>
        <v>建物管理料</v>
      </c>
      <c r="E105" s="577">
        <v>19250</v>
      </c>
      <c r="F105" s="577">
        <v>231000</v>
      </c>
      <c r="G105" s="61" t="s">
        <v>2030</v>
      </c>
      <c r="H105" s="61"/>
      <c r="I105" s="61"/>
    </row>
    <row r="106" spans="1:9">
      <c r="A106" s="61">
        <v>117</v>
      </c>
      <c r="B106" s="5" t="str">
        <f t="shared" si="9"/>
        <v>高田馬場第4玉川ビル</v>
      </c>
      <c r="C106" s="61">
        <v>653</v>
      </c>
      <c r="D106" s="5" t="str">
        <f t="shared" si="10"/>
        <v>電気料金(電灯)</v>
      </c>
      <c r="E106" s="577">
        <v>763</v>
      </c>
      <c r="F106" s="577">
        <v>9156</v>
      </c>
      <c r="G106" s="61" t="s">
        <v>2031</v>
      </c>
      <c r="H106" s="61"/>
      <c r="I106" s="61"/>
    </row>
    <row r="107" spans="1:9">
      <c r="A107" s="61">
        <v>117</v>
      </c>
      <c r="B107" s="5" t="str">
        <f t="shared" si="9"/>
        <v>高田馬場第4玉川ビル</v>
      </c>
      <c r="C107" s="61">
        <v>659</v>
      </c>
      <c r="D107" s="5" t="str">
        <f t="shared" si="10"/>
        <v>立替金</v>
      </c>
      <c r="E107" s="577">
        <v>50000</v>
      </c>
      <c r="F107" s="577">
        <f>E107*12</f>
        <v>600000</v>
      </c>
      <c r="G107" s="61" t="s">
        <v>2037</v>
      </c>
      <c r="H107" s="61"/>
      <c r="I107" s="61"/>
    </row>
    <row r="108" spans="1:9">
      <c r="A108" s="61">
        <v>117</v>
      </c>
      <c r="B108" s="5" t="str">
        <f t="shared" si="9"/>
        <v>高田馬場第4玉川ビル</v>
      </c>
      <c r="C108" s="61">
        <v>659</v>
      </c>
      <c r="D108" s="5" t="str">
        <f t="shared" si="10"/>
        <v>立替金</v>
      </c>
      <c r="E108" s="577">
        <v>-50500</v>
      </c>
      <c r="F108" s="577">
        <f>E108*12</f>
        <v>-606000</v>
      </c>
      <c r="G108" s="61" t="s">
        <v>2038</v>
      </c>
      <c r="H108" s="61"/>
      <c r="I108" s="61"/>
    </row>
    <row r="109" spans="1:9">
      <c r="A109" s="61">
        <v>120</v>
      </c>
      <c r="B109" s="5" t="str">
        <f t="shared" si="9"/>
        <v>南池袋マンション</v>
      </c>
      <c r="C109" s="61">
        <v>651</v>
      </c>
      <c r="D109" s="5" t="str">
        <f t="shared" si="10"/>
        <v>火災保険料</v>
      </c>
      <c r="E109" s="577" t="s">
        <v>2027</v>
      </c>
      <c r="F109" s="577">
        <v>13630</v>
      </c>
      <c r="G109" s="61"/>
      <c r="H109" s="61"/>
      <c r="I109" s="61"/>
    </row>
    <row r="110" spans="1:9">
      <c r="A110" s="61">
        <v>120</v>
      </c>
      <c r="B110" s="5" t="str">
        <f t="shared" si="9"/>
        <v>南池袋マンション</v>
      </c>
      <c r="C110" s="61">
        <v>652</v>
      </c>
      <c r="D110" s="5" t="str">
        <f t="shared" si="10"/>
        <v>水道料金</v>
      </c>
      <c r="E110" s="577">
        <v>1562</v>
      </c>
      <c r="F110" s="577">
        <v>18744</v>
      </c>
      <c r="G110" s="61" t="s">
        <v>2032</v>
      </c>
      <c r="H110" s="61"/>
      <c r="I110" s="61"/>
    </row>
    <row r="111" spans="1:9">
      <c r="A111" s="61">
        <v>120</v>
      </c>
      <c r="B111" s="5" t="str">
        <f t="shared" si="9"/>
        <v>南池袋マンション</v>
      </c>
      <c r="C111" s="61">
        <v>658</v>
      </c>
      <c r="D111" s="5" t="str">
        <f t="shared" si="10"/>
        <v>その他</v>
      </c>
      <c r="E111" s="577">
        <v>1320</v>
      </c>
      <c r="F111" s="577">
        <v>15840</v>
      </c>
      <c r="G111" s="61" t="s">
        <v>2039</v>
      </c>
      <c r="H111" s="61"/>
      <c r="I111" s="61"/>
    </row>
    <row r="112" spans="1:9">
      <c r="A112" s="61">
        <v>120</v>
      </c>
      <c r="B112" s="5" t="str">
        <f t="shared" si="9"/>
        <v>南池袋マンション</v>
      </c>
      <c r="C112" s="61">
        <v>655</v>
      </c>
      <c r="D112" s="5" t="str">
        <f t="shared" si="10"/>
        <v>建物管理料</v>
      </c>
      <c r="E112" s="577">
        <v>25300</v>
      </c>
      <c r="F112" s="577">
        <v>303600</v>
      </c>
      <c r="G112" s="61" t="s">
        <v>2030</v>
      </c>
      <c r="H112" s="61"/>
      <c r="I112" s="61"/>
    </row>
    <row r="113" spans="1:9">
      <c r="A113" s="61">
        <v>120</v>
      </c>
      <c r="B113" s="5" t="str">
        <f t="shared" si="9"/>
        <v>南池袋マンション</v>
      </c>
      <c r="C113" s="61">
        <v>653</v>
      </c>
      <c r="D113" s="5" t="str">
        <f t="shared" si="10"/>
        <v>電気料金(電灯)</v>
      </c>
      <c r="E113" s="577">
        <v>10126</v>
      </c>
      <c r="F113" s="577">
        <v>121512</v>
      </c>
      <c r="G113" s="61" t="s">
        <v>2031</v>
      </c>
      <c r="H113" s="61"/>
      <c r="I113" s="61"/>
    </row>
    <row r="114" spans="1:9">
      <c r="A114" s="61">
        <v>120</v>
      </c>
      <c r="B114" s="5" t="str">
        <f t="shared" si="9"/>
        <v>南池袋マンション</v>
      </c>
      <c r="C114" s="61">
        <v>654</v>
      </c>
      <c r="D114" s="5" t="str">
        <f t="shared" si="10"/>
        <v>電気料金(低圧)</v>
      </c>
      <c r="E114" s="577">
        <v>3642</v>
      </c>
      <c r="F114" s="577">
        <v>43704</v>
      </c>
      <c r="G114" s="61" t="s">
        <v>2034</v>
      </c>
      <c r="H114" s="61"/>
      <c r="I114" s="61"/>
    </row>
    <row r="115" spans="1:9">
      <c r="A115" s="61">
        <v>221</v>
      </c>
      <c r="B115" s="5" t="str">
        <f t="shared" si="9"/>
        <v>ビジネス新大阪123号</v>
      </c>
      <c r="C115" s="61">
        <v>651</v>
      </c>
      <c r="D115" s="5" t="str">
        <f t="shared" si="10"/>
        <v>火災保険料</v>
      </c>
      <c r="E115" s="577" t="s">
        <v>2027</v>
      </c>
      <c r="F115" s="577">
        <v>2060</v>
      </c>
      <c r="G115" s="61"/>
      <c r="H115" s="61"/>
      <c r="I115" s="61"/>
    </row>
    <row r="116" spans="1:9">
      <c r="A116" s="61">
        <v>221</v>
      </c>
      <c r="B116" s="5" t="str">
        <f t="shared" si="9"/>
        <v>ビジネス新大阪123号</v>
      </c>
      <c r="C116" s="61">
        <v>656</v>
      </c>
      <c r="D116" s="5" t="str">
        <f t="shared" si="10"/>
        <v>区分管理費</v>
      </c>
      <c r="E116" s="577">
        <v>4050</v>
      </c>
      <c r="F116" s="577">
        <v>48600</v>
      </c>
      <c r="G116" s="61"/>
      <c r="H116" s="61"/>
      <c r="I116" s="61"/>
    </row>
    <row r="117" spans="1:9">
      <c r="A117" s="61">
        <v>221</v>
      </c>
      <c r="B117" s="5" t="str">
        <f t="shared" si="9"/>
        <v>ビジネス新大阪123号</v>
      </c>
      <c r="C117" s="61">
        <v>657</v>
      </c>
      <c r="D117" s="5" t="str">
        <f t="shared" si="10"/>
        <v>区分修繕積立金</v>
      </c>
      <c r="E117" s="577">
        <v>1350</v>
      </c>
      <c r="F117" s="577">
        <v>16200</v>
      </c>
      <c r="G117" s="61"/>
      <c r="H117" s="61"/>
      <c r="I117" s="61"/>
    </row>
    <row r="118" spans="1:9">
      <c r="A118" s="61">
        <v>222</v>
      </c>
      <c r="B118" s="5" t="str">
        <f t="shared" si="9"/>
        <v>プラウD目白301号</v>
      </c>
      <c r="C118" s="61">
        <v>651</v>
      </c>
      <c r="D118" s="5" t="str">
        <f t="shared" si="10"/>
        <v>火災保険料</v>
      </c>
      <c r="E118" s="577" t="s">
        <v>2027</v>
      </c>
      <c r="F118" s="577">
        <v>7360</v>
      </c>
      <c r="G118" s="61"/>
      <c r="H118" s="61"/>
      <c r="I118" s="61"/>
    </row>
    <row r="119" spans="1:9">
      <c r="A119" s="61">
        <v>222</v>
      </c>
      <c r="B119" s="5" t="str">
        <f t="shared" si="9"/>
        <v>プラウD目白301号</v>
      </c>
      <c r="C119" s="61">
        <v>656</v>
      </c>
      <c r="D119" s="5" t="str">
        <f t="shared" si="10"/>
        <v>区分管理費</v>
      </c>
      <c r="E119" s="577">
        <v>13600</v>
      </c>
      <c r="F119" s="577">
        <v>163200</v>
      </c>
      <c r="G119" s="61"/>
      <c r="H119" s="61"/>
      <c r="I119" s="61"/>
    </row>
    <row r="120" spans="1:9">
      <c r="A120" s="61">
        <v>222</v>
      </c>
      <c r="B120" s="5" t="str">
        <f t="shared" si="9"/>
        <v>プラウD目白301号</v>
      </c>
      <c r="C120" s="61">
        <v>657</v>
      </c>
      <c r="D120" s="5" t="str">
        <f t="shared" si="10"/>
        <v>区分修繕積立金</v>
      </c>
      <c r="E120" s="577">
        <v>14500</v>
      </c>
      <c r="F120" s="577">
        <v>174000</v>
      </c>
      <c r="G120" s="61"/>
      <c r="H120" s="61"/>
      <c r="I120" s="61"/>
    </row>
    <row r="121" spans="1:9">
      <c r="A121" s="61">
        <v>121</v>
      </c>
      <c r="B121" s="5" t="str">
        <f t="shared" si="9"/>
        <v>目白アパート1号館</v>
      </c>
      <c r="C121" s="61">
        <v>655</v>
      </c>
      <c r="D121" s="5" t="str">
        <f t="shared" si="10"/>
        <v>建物管理料</v>
      </c>
      <c r="E121" s="577">
        <v>20000</v>
      </c>
      <c r="F121" s="577">
        <f>E121*12</f>
        <v>240000</v>
      </c>
    </row>
    <row r="122" spans="1:9">
      <c r="A122" s="61">
        <v>122</v>
      </c>
      <c r="B122" s="5" t="str">
        <f t="shared" si="9"/>
        <v>目白アパート2号館</v>
      </c>
      <c r="C122" s="61">
        <v>655</v>
      </c>
      <c r="D122" s="5" t="str">
        <f t="shared" si="10"/>
        <v>建物管理料</v>
      </c>
      <c r="E122" s="577">
        <v>20000</v>
      </c>
      <c r="F122" s="577">
        <f>E122*12</f>
        <v>240000</v>
      </c>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101</v>
      </c>
      <c r="C3" t="str">
        <f t="shared" ref="C3:C34" si="0">VLOOKUP(B3,id_settings,2,FALSE)</f>
        <v>西池袋駅前ビル</v>
      </c>
      <c r="D3" s="23">
        <v>661</v>
      </c>
      <c r="E3" s="23" t="str">
        <f t="shared" ref="E3:E34" si="1">VLOOKUP(D3,id_settings,2,FALSE)</f>
        <v>土地</v>
      </c>
      <c r="F3" s="23" t="s">
        <v>2051</v>
      </c>
      <c r="H3" s="23" t="s">
        <v>881</v>
      </c>
      <c r="I3" s="77">
        <v>261.97000000000003</v>
      </c>
      <c r="J3" s="77">
        <v>261.97000000000003</v>
      </c>
      <c r="K3" s="23">
        <v>1</v>
      </c>
      <c r="L3" s="23">
        <v>1</v>
      </c>
      <c r="M3" s="23" t="s">
        <v>1017</v>
      </c>
      <c r="N3" s="23" t="s">
        <v>1017</v>
      </c>
      <c r="O3" s="64">
        <v>226656</v>
      </c>
      <c r="P3" s="64">
        <v>48569</v>
      </c>
      <c r="Q3" s="64">
        <v>109372730</v>
      </c>
      <c r="R3" s="64"/>
      <c r="S3" s="64">
        <v>226656</v>
      </c>
      <c r="T3" s="64">
        <v>48569</v>
      </c>
      <c r="U3" s="64">
        <v>109372730</v>
      </c>
      <c r="V3" s="64">
        <v>16189745</v>
      </c>
      <c r="W3" s="64">
        <v>226656</v>
      </c>
      <c r="X3" s="64">
        <v>48569</v>
      </c>
      <c r="Y3" s="64">
        <v>97138470</v>
      </c>
      <c r="Z3" s="64">
        <v>16189745</v>
      </c>
    </row>
    <row r="4" spans="1:26" ht="15" customHeight="1">
      <c r="A4" s="23">
        <v>2</v>
      </c>
      <c r="B4" s="23">
        <v>101</v>
      </c>
      <c r="C4" t="str">
        <f t="shared" si="0"/>
        <v>西池袋駅前ビル</v>
      </c>
      <c r="D4" s="23">
        <v>663</v>
      </c>
      <c r="E4" s="23" t="str">
        <f t="shared" si="1"/>
        <v>土地(私道)</v>
      </c>
      <c r="F4" s="23" t="s">
        <v>2052</v>
      </c>
      <c r="H4" s="23" t="s">
        <v>881</v>
      </c>
      <c r="I4" s="77">
        <v>1.56</v>
      </c>
      <c r="J4" s="77">
        <v>1.56</v>
      </c>
      <c r="K4" s="23">
        <v>1</v>
      </c>
      <c r="L4" s="23">
        <v>1</v>
      </c>
      <c r="M4" s="23" t="s">
        <v>1017</v>
      </c>
      <c r="N4" s="23" t="s">
        <v>1017</v>
      </c>
      <c r="O4" s="64">
        <v>1349</v>
      </c>
      <c r="P4" s="64">
        <v>289</v>
      </c>
      <c r="Q4" s="64">
        <v>651300</v>
      </c>
      <c r="R4" s="64"/>
      <c r="S4" s="64">
        <v>1349</v>
      </c>
      <c r="T4" s="64">
        <v>289</v>
      </c>
      <c r="U4" s="64">
        <v>651300</v>
      </c>
      <c r="V4" s="64">
        <v>96406</v>
      </c>
      <c r="W4" s="64">
        <v>1349</v>
      </c>
      <c r="X4" s="64">
        <v>289</v>
      </c>
      <c r="Y4" s="64">
        <v>578440</v>
      </c>
      <c r="Z4" s="64">
        <v>96406</v>
      </c>
    </row>
    <row r="5" spans="1:26" ht="15" customHeight="1">
      <c r="A5" s="23">
        <v>3</v>
      </c>
      <c r="B5" s="23">
        <v>101</v>
      </c>
      <c r="C5" t="str">
        <f t="shared" si="0"/>
        <v>西池袋駅前ビル</v>
      </c>
      <c r="D5" s="23">
        <v>661</v>
      </c>
      <c r="E5" s="23" t="str">
        <f t="shared" si="1"/>
        <v>土地</v>
      </c>
      <c r="F5" s="23" t="s">
        <v>2053</v>
      </c>
      <c r="H5" s="23" t="s">
        <v>881</v>
      </c>
      <c r="I5" s="77">
        <v>49.58</v>
      </c>
      <c r="J5" s="77">
        <v>49.58</v>
      </c>
      <c r="K5" s="23">
        <v>1</v>
      </c>
      <c r="L5" s="23">
        <v>1</v>
      </c>
      <c r="M5" s="23" t="s">
        <v>1017</v>
      </c>
      <c r="N5" s="23" t="s">
        <v>1017</v>
      </c>
      <c r="O5" s="64">
        <v>42896</v>
      </c>
      <c r="P5" s="64">
        <v>9192</v>
      </c>
      <c r="Q5" s="64">
        <v>20699690</v>
      </c>
      <c r="R5" s="64"/>
      <c r="S5" s="64">
        <v>42896</v>
      </c>
      <c r="T5" s="64">
        <v>9192</v>
      </c>
      <c r="U5" s="64">
        <v>20699690</v>
      </c>
      <c r="V5" s="64">
        <v>3064043</v>
      </c>
      <c r="W5" s="64">
        <v>42896</v>
      </c>
      <c r="X5" s="64">
        <v>9192</v>
      </c>
      <c r="Y5" s="64">
        <v>18384260</v>
      </c>
      <c r="Z5" s="64">
        <v>3064043</v>
      </c>
    </row>
    <row r="6" spans="1:26" ht="15" customHeight="1">
      <c r="A6" s="23">
        <v>4</v>
      </c>
      <c r="B6" s="23">
        <v>101</v>
      </c>
      <c r="C6" t="str">
        <f t="shared" si="0"/>
        <v>西池袋駅前ビル</v>
      </c>
      <c r="D6" s="23">
        <v>664</v>
      </c>
      <c r="E6" s="23" t="str">
        <f t="shared" si="1"/>
        <v>建物</v>
      </c>
      <c r="F6" s="23" t="s">
        <v>2054</v>
      </c>
      <c r="H6" s="23" t="s">
        <v>881</v>
      </c>
      <c r="I6" s="77">
        <v>528.42999999999995</v>
      </c>
      <c r="J6" s="77">
        <v>528.42999999999995</v>
      </c>
      <c r="K6" s="23">
        <v>1</v>
      </c>
      <c r="L6" s="23">
        <v>1</v>
      </c>
      <c r="M6" s="23" t="s">
        <v>1017</v>
      </c>
      <c r="N6" s="23" t="s">
        <v>1017</v>
      </c>
      <c r="O6" s="64">
        <v>468013</v>
      </c>
      <c r="P6" s="64">
        <v>100288</v>
      </c>
      <c r="Q6" s="64">
        <v>33429500</v>
      </c>
      <c r="R6" s="64"/>
      <c r="S6" s="64">
        <v>468013</v>
      </c>
      <c r="T6" s="64">
        <v>100288</v>
      </c>
      <c r="U6" s="64">
        <v>33429500</v>
      </c>
      <c r="V6" s="64">
        <v>33429500</v>
      </c>
      <c r="W6" s="64">
        <v>468013</v>
      </c>
      <c r="X6" s="64">
        <v>100288</v>
      </c>
      <c r="Y6" s="64">
        <v>33429500</v>
      </c>
      <c r="Z6" s="64">
        <v>33429500</v>
      </c>
    </row>
    <row r="7" spans="1:26" ht="15" customHeight="1">
      <c r="A7" s="23">
        <v>5</v>
      </c>
      <c r="B7" s="23">
        <v>102</v>
      </c>
      <c r="C7" t="str">
        <f t="shared" si="0"/>
        <v>池袋ハウス</v>
      </c>
      <c r="D7" s="23">
        <v>661</v>
      </c>
      <c r="E7" s="23" t="str">
        <f t="shared" si="1"/>
        <v>土地</v>
      </c>
      <c r="F7" s="23" t="s">
        <v>2055</v>
      </c>
      <c r="H7" s="23" t="s">
        <v>881</v>
      </c>
      <c r="I7" s="77">
        <v>306.51</v>
      </c>
      <c r="J7" s="77">
        <v>306.51</v>
      </c>
      <c r="K7" s="23">
        <v>1</v>
      </c>
      <c r="L7" s="23">
        <v>1</v>
      </c>
      <c r="M7" s="23" t="s">
        <v>1017</v>
      </c>
      <c r="N7" s="23" t="s">
        <v>1017</v>
      </c>
      <c r="O7" s="64">
        <v>217323</v>
      </c>
      <c r="P7" s="64">
        <v>46569</v>
      </c>
      <c r="Q7" s="64">
        <v>110024910</v>
      </c>
      <c r="R7" s="64"/>
      <c r="S7" s="64">
        <v>217323</v>
      </c>
      <c r="T7" s="64">
        <v>46569</v>
      </c>
      <c r="U7" s="64">
        <v>110024910</v>
      </c>
      <c r="V7" s="64">
        <v>15523083</v>
      </c>
      <c r="W7" s="64">
        <v>217323</v>
      </c>
      <c r="X7" s="64">
        <v>46569</v>
      </c>
      <c r="Y7" s="64">
        <v>93138500</v>
      </c>
      <c r="Z7" s="64">
        <v>15523083</v>
      </c>
    </row>
    <row r="8" spans="1:26" ht="15" customHeight="1">
      <c r="A8" s="23">
        <v>6</v>
      </c>
      <c r="B8" s="23">
        <v>102</v>
      </c>
      <c r="C8" t="str">
        <f t="shared" si="0"/>
        <v>池袋ハウス</v>
      </c>
      <c r="D8" s="23">
        <v>661</v>
      </c>
      <c r="E8" s="23" t="str">
        <f t="shared" si="1"/>
        <v>土地</v>
      </c>
      <c r="F8" s="23" t="s">
        <v>2056</v>
      </c>
      <c r="H8" s="23" t="s">
        <v>881</v>
      </c>
      <c r="I8" s="77">
        <v>250.54</v>
      </c>
      <c r="J8" s="77">
        <v>250.54</v>
      </c>
      <c r="K8" s="23">
        <v>1</v>
      </c>
      <c r="L8" s="23">
        <v>1</v>
      </c>
      <c r="M8" s="23" t="s">
        <v>1017</v>
      </c>
      <c r="N8" s="23" t="s">
        <v>1017</v>
      </c>
      <c r="O8" s="64">
        <v>177780</v>
      </c>
      <c r="P8" s="64">
        <v>38095</v>
      </c>
      <c r="Q8" s="64">
        <v>90005510</v>
      </c>
      <c r="R8" s="64"/>
      <c r="S8" s="64">
        <v>177780</v>
      </c>
      <c r="T8" s="64">
        <v>38095</v>
      </c>
      <c r="U8" s="64">
        <v>90005510</v>
      </c>
      <c r="V8" s="64">
        <v>12698606</v>
      </c>
      <c r="W8" s="64">
        <v>177780</v>
      </c>
      <c r="X8" s="64">
        <v>38095</v>
      </c>
      <c r="Y8" s="64">
        <v>76191640</v>
      </c>
      <c r="Z8" s="64">
        <v>12698606</v>
      </c>
    </row>
    <row r="9" spans="1:26" ht="15" customHeight="1">
      <c r="A9" s="23">
        <v>7</v>
      </c>
      <c r="B9" s="23">
        <v>102</v>
      </c>
      <c r="C9" t="str">
        <f t="shared" si="0"/>
        <v>池袋ハウス</v>
      </c>
      <c r="D9" s="23">
        <v>661</v>
      </c>
      <c r="E9" s="23" t="str">
        <f t="shared" si="1"/>
        <v>土地</v>
      </c>
      <c r="F9" s="23" t="s">
        <v>2057</v>
      </c>
      <c r="H9" s="23" t="s">
        <v>881</v>
      </c>
      <c r="I9" s="77">
        <v>175.2</v>
      </c>
      <c r="J9" s="77">
        <v>175.2</v>
      </c>
      <c r="K9" s="23">
        <v>1</v>
      </c>
      <c r="L9" s="23">
        <v>1</v>
      </c>
      <c r="M9" s="23" t="s">
        <v>1017</v>
      </c>
      <c r="N9" s="23" t="s">
        <v>1017</v>
      </c>
      <c r="O9" s="64">
        <v>124909</v>
      </c>
      <c r="P9" s="64">
        <v>26766</v>
      </c>
      <c r="Q9" s="64">
        <v>63238170</v>
      </c>
      <c r="R9" s="64"/>
      <c r="S9" s="64">
        <v>124909</v>
      </c>
      <c r="T9" s="64">
        <v>26766</v>
      </c>
      <c r="U9" s="64">
        <v>63238170</v>
      </c>
      <c r="V9" s="64">
        <v>8922083</v>
      </c>
      <c r="W9" s="64">
        <v>124909</v>
      </c>
      <c r="X9" s="64">
        <v>26766</v>
      </c>
      <c r="Y9" s="64">
        <v>53532500</v>
      </c>
      <c r="Z9" s="64">
        <v>8922083</v>
      </c>
    </row>
    <row r="10" spans="1:26" ht="15" customHeight="1">
      <c r="A10" s="23">
        <v>8</v>
      </c>
      <c r="B10" s="23">
        <v>102</v>
      </c>
      <c r="C10" t="str">
        <f t="shared" si="0"/>
        <v>池袋ハウス</v>
      </c>
      <c r="D10" s="23">
        <v>664</v>
      </c>
      <c r="E10" s="23" t="str">
        <f t="shared" si="1"/>
        <v>建物</v>
      </c>
      <c r="F10" s="23" t="s">
        <v>2058</v>
      </c>
      <c r="H10" s="23" t="s">
        <v>881</v>
      </c>
      <c r="I10" s="77">
        <v>1110.3399999999999</v>
      </c>
      <c r="J10" s="77">
        <v>1110.3399999999999</v>
      </c>
      <c r="K10" s="23">
        <v>1</v>
      </c>
      <c r="L10" s="23">
        <v>1</v>
      </c>
      <c r="M10" s="23" t="s">
        <v>1017</v>
      </c>
      <c r="N10" s="23" t="s">
        <v>1017</v>
      </c>
      <c r="O10" s="64">
        <v>1063081</v>
      </c>
      <c r="P10" s="64">
        <v>227803</v>
      </c>
      <c r="Q10" s="64">
        <v>75934400</v>
      </c>
      <c r="R10" s="64"/>
      <c r="S10" s="64">
        <v>1063081</v>
      </c>
      <c r="T10" s="64">
        <v>227803</v>
      </c>
      <c r="U10" s="64">
        <v>75934400</v>
      </c>
      <c r="V10" s="64">
        <v>75934400</v>
      </c>
      <c r="W10" s="64">
        <v>1063081</v>
      </c>
      <c r="X10" s="64">
        <v>227803</v>
      </c>
      <c r="Y10" s="64">
        <v>75934400</v>
      </c>
      <c r="Z10" s="64">
        <v>75934400</v>
      </c>
    </row>
    <row r="11" spans="1:26" ht="15" customHeight="1">
      <c r="A11" s="23">
        <v>9</v>
      </c>
      <c r="B11" s="23">
        <v>103</v>
      </c>
      <c r="C11" t="str">
        <f t="shared" si="0"/>
        <v>カーサ目白台ハウス</v>
      </c>
      <c r="D11" s="23">
        <v>661</v>
      </c>
      <c r="E11" s="23" t="str">
        <f t="shared" si="1"/>
        <v>土地</v>
      </c>
      <c r="F11" s="23" t="s">
        <v>2059</v>
      </c>
      <c r="H11" s="23" t="s">
        <v>881</v>
      </c>
      <c r="I11" s="77">
        <v>225.25</v>
      </c>
      <c r="J11" s="77">
        <v>225.25</v>
      </c>
      <c r="K11" s="23">
        <v>1</v>
      </c>
      <c r="L11" s="23">
        <v>1</v>
      </c>
      <c r="M11" s="23" t="s">
        <v>1017</v>
      </c>
      <c r="N11" s="23" t="s">
        <v>1017</v>
      </c>
      <c r="O11" s="64">
        <v>307024</v>
      </c>
      <c r="P11" s="64">
        <v>65790</v>
      </c>
      <c r="Q11" s="64">
        <v>104204820</v>
      </c>
      <c r="R11" s="64"/>
      <c r="S11" s="64">
        <v>307024</v>
      </c>
      <c r="T11" s="64">
        <v>65790</v>
      </c>
      <c r="U11" s="64">
        <v>104204820</v>
      </c>
      <c r="V11" s="64">
        <v>24652564</v>
      </c>
      <c r="W11" s="64">
        <v>307024</v>
      </c>
      <c r="X11" s="64">
        <v>65790</v>
      </c>
      <c r="Y11" s="64">
        <v>88332320</v>
      </c>
      <c r="Z11" s="64">
        <v>24652564</v>
      </c>
    </row>
    <row r="12" spans="1:26" ht="15" customHeight="1">
      <c r="A12" s="23">
        <v>10</v>
      </c>
      <c r="B12" s="23">
        <v>103</v>
      </c>
      <c r="C12" t="str">
        <f t="shared" si="0"/>
        <v>カーサ目白台ハウス</v>
      </c>
      <c r="D12" s="23">
        <v>661</v>
      </c>
      <c r="E12" s="23" t="str">
        <f t="shared" si="1"/>
        <v>土地</v>
      </c>
      <c r="F12" s="23" t="s">
        <v>2060</v>
      </c>
      <c r="H12" s="23" t="s">
        <v>881</v>
      </c>
      <c r="I12" s="77">
        <v>170.08</v>
      </c>
      <c r="J12" s="77">
        <v>170.08</v>
      </c>
      <c r="K12" s="23">
        <v>1</v>
      </c>
      <c r="L12" s="23">
        <v>1</v>
      </c>
      <c r="M12" s="23" t="s">
        <v>1017</v>
      </c>
      <c r="N12" s="23" t="s">
        <v>1017</v>
      </c>
      <c r="O12" s="64">
        <v>212489</v>
      </c>
      <c r="P12" s="64">
        <v>45533</v>
      </c>
      <c r="Q12" s="64">
        <v>72124110</v>
      </c>
      <c r="R12" s="64"/>
      <c r="S12" s="64">
        <v>212489</v>
      </c>
      <c r="T12" s="64">
        <v>45533</v>
      </c>
      <c r="U12" s="64">
        <v>72124110</v>
      </c>
      <c r="V12" s="64">
        <v>17061629</v>
      </c>
      <c r="W12" s="64">
        <v>212489</v>
      </c>
      <c r="X12" s="64">
        <v>45533</v>
      </c>
      <c r="Y12" s="64">
        <v>61138150</v>
      </c>
      <c r="Z12" s="64">
        <v>17061629</v>
      </c>
    </row>
    <row r="13" spans="1:26" ht="15" customHeight="1">
      <c r="A13" s="23">
        <v>11</v>
      </c>
      <c r="B13" s="23">
        <v>103</v>
      </c>
      <c r="C13" t="str">
        <f t="shared" si="0"/>
        <v>カーサ目白台ハウス</v>
      </c>
      <c r="D13" s="23">
        <v>664</v>
      </c>
      <c r="E13" s="23" t="str">
        <f t="shared" si="1"/>
        <v>建物</v>
      </c>
      <c r="F13" s="23" t="s">
        <v>2061</v>
      </c>
      <c r="H13" s="23" t="s">
        <v>881</v>
      </c>
      <c r="I13" s="77">
        <v>887.19</v>
      </c>
      <c r="J13" s="77">
        <v>887.19</v>
      </c>
      <c r="K13" s="23">
        <v>1</v>
      </c>
      <c r="L13" s="23">
        <v>1</v>
      </c>
      <c r="M13" s="23" t="s">
        <v>1017</v>
      </c>
      <c r="N13" s="23" t="s">
        <v>1017</v>
      </c>
      <c r="O13" s="64">
        <v>817962</v>
      </c>
      <c r="P13" s="64">
        <v>175277</v>
      </c>
      <c r="Q13" s="64">
        <v>58425900</v>
      </c>
      <c r="R13" s="64"/>
      <c r="S13" s="64">
        <v>817962</v>
      </c>
      <c r="T13" s="64">
        <v>175277</v>
      </c>
      <c r="U13" s="64">
        <v>58425900</v>
      </c>
      <c r="V13" s="64">
        <v>58425900</v>
      </c>
      <c r="W13" s="64">
        <v>817962</v>
      </c>
      <c r="X13" s="64">
        <v>175277</v>
      </c>
      <c r="Y13" s="64">
        <v>58425900</v>
      </c>
      <c r="Z13" s="64">
        <v>58425900</v>
      </c>
    </row>
    <row r="14" spans="1:26" ht="15" customHeight="1">
      <c r="A14" s="23">
        <v>12</v>
      </c>
      <c r="B14" s="23">
        <v>104</v>
      </c>
      <c r="C14" t="str">
        <f t="shared" si="0"/>
        <v>コアプラス池袋</v>
      </c>
      <c r="D14" s="23">
        <v>661</v>
      </c>
      <c r="E14" s="23" t="str">
        <f t="shared" si="1"/>
        <v>土地</v>
      </c>
      <c r="F14" s="23" t="s">
        <v>2062</v>
      </c>
      <c r="H14" s="23" t="s">
        <v>881</v>
      </c>
      <c r="I14" s="77">
        <v>137.30000000000001</v>
      </c>
      <c r="J14" s="77">
        <v>137.30000000000001</v>
      </c>
      <c r="K14" s="23">
        <v>1</v>
      </c>
      <c r="L14" s="23">
        <v>1</v>
      </c>
      <c r="M14" s="23" t="s">
        <v>1017</v>
      </c>
      <c r="N14" s="23" t="s">
        <v>1017</v>
      </c>
      <c r="O14" s="64">
        <v>109261</v>
      </c>
      <c r="P14" s="64">
        <v>23413</v>
      </c>
      <c r="Q14" s="64">
        <v>57534050</v>
      </c>
      <c r="R14" s="64"/>
      <c r="S14" s="64">
        <v>109261</v>
      </c>
      <c r="T14" s="64">
        <v>23413</v>
      </c>
      <c r="U14" s="64">
        <v>57534050</v>
      </c>
      <c r="V14" s="64">
        <v>7804360</v>
      </c>
      <c r="W14" s="64">
        <v>109261</v>
      </c>
      <c r="X14" s="64">
        <v>23413</v>
      </c>
      <c r="Y14" s="64">
        <v>46826160</v>
      </c>
      <c r="Z14" s="64">
        <v>7804360</v>
      </c>
    </row>
    <row r="15" spans="1:26" ht="15" customHeight="1">
      <c r="A15" s="23">
        <v>13</v>
      </c>
      <c r="B15" s="23">
        <v>104</v>
      </c>
      <c r="C15" t="str">
        <f t="shared" si="0"/>
        <v>コアプラス池袋</v>
      </c>
      <c r="D15" s="23">
        <v>664</v>
      </c>
      <c r="E15" s="23" t="str">
        <f t="shared" si="1"/>
        <v>建物</v>
      </c>
      <c r="F15" s="23" t="s">
        <v>2063</v>
      </c>
      <c r="H15" s="23" t="s">
        <v>881</v>
      </c>
      <c r="I15" s="77">
        <v>177.12</v>
      </c>
      <c r="J15" s="77">
        <v>177.12</v>
      </c>
      <c r="K15" s="23">
        <v>1</v>
      </c>
      <c r="L15" s="23">
        <v>1</v>
      </c>
      <c r="M15" s="23" t="s">
        <v>1017</v>
      </c>
      <c r="N15" s="23" t="s">
        <v>1017</v>
      </c>
      <c r="O15" s="64">
        <v>121366</v>
      </c>
      <c r="P15" s="64">
        <v>26007</v>
      </c>
      <c r="Q15" s="64">
        <v>8669000</v>
      </c>
      <c r="R15" s="64"/>
      <c r="S15" s="64">
        <v>121366</v>
      </c>
      <c r="T15" s="64">
        <v>26007</v>
      </c>
      <c r="U15" s="64">
        <v>8669000</v>
      </c>
      <c r="V15" s="64">
        <v>8669000</v>
      </c>
      <c r="W15" s="64">
        <v>121366</v>
      </c>
      <c r="X15" s="64">
        <v>26007</v>
      </c>
      <c r="Y15" s="64">
        <v>8669000</v>
      </c>
      <c r="Z15" s="64">
        <v>8669000</v>
      </c>
    </row>
    <row r="16" spans="1:26" ht="15" customHeight="1">
      <c r="A16" s="23">
        <v>14</v>
      </c>
      <c r="B16" s="23">
        <v>105</v>
      </c>
      <c r="C16" t="str">
        <f t="shared" si="0"/>
        <v>目白アパート</v>
      </c>
      <c r="D16" s="23">
        <v>661</v>
      </c>
      <c r="E16" s="23" t="str">
        <f t="shared" si="1"/>
        <v>土地</v>
      </c>
      <c r="F16" s="23" t="s">
        <v>2064</v>
      </c>
      <c r="H16" s="23" t="s">
        <v>881</v>
      </c>
      <c r="I16" s="77">
        <v>342.64</v>
      </c>
      <c r="J16" s="77">
        <v>342.64</v>
      </c>
      <c r="K16" s="23">
        <v>1</v>
      </c>
      <c r="L16" s="23">
        <v>1</v>
      </c>
      <c r="M16" s="23" t="s">
        <v>1017</v>
      </c>
      <c r="N16" s="23" t="s">
        <v>1017</v>
      </c>
      <c r="O16" s="64">
        <v>203175</v>
      </c>
      <c r="P16" s="64">
        <v>43537</v>
      </c>
      <c r="Q16" s="64">
        <v>102949060</v>
      </c>
      <c r="R16" s="64"/>
      <c r="S16" s="64">
        <v>203175</v>
      </c>
      <c r="T16" s="64">
        <v>43537</v>
      </c>
      <c r="U16" s="64">
        <v>102949060</v>
      </c>
      <c r="V16" s="64">
        <v>14512523</v>
      </c>
      <c r="W16" s="64">
        <v>203175</v>
      </c>
      <c r="X16" s="64">
        <v>43537</v>
      </c>
      <c r="Y16" s="64">
        <v>87075140</v>
      </c>
      <c r="Z16" s="64">
        <v>14512523</v>
      </c>
    </row>
    <row r="17" spans="1:26" ht="15" customHeight="1">
      <c r="A17" s="23">
        <v>15</v>
      </c>
      <c r="B17" s="23">
        <v>105</v>
      </c>
      <c r="C17" t="str">
        <f t="shared" si="0"/>
        <v>目白アパート</v>
      </c>
      <c r="D17" s="23">
        <v>664</v>
      </c>
      <c r="E17" s="23" t="str">
        <f t="shared" si="1"/>
        <v>建物</v>
      </c>
      <c r="F17" s="23" t="s">
        <v>2065</v>
      </c>
      <c r="H17" s="23" t="s">
        <v>881</v>
      </c>
      <c r="I17" s="77">
        <v>1072.93</v>
      </c>
      <c r="J17" s="77">
        <v>1072.93</v>
      </c>
      <c r="K17" s="23">
        <v>1</v>
      </c>
      <c r="L17" s="23">
        <v>1</v>
      </c>
      <c r="M17" s="23" t="s">
        <v>1017</v>
      </c>
      <c r="N17" s="23" t="s">
        <v>1017</v>
      </c>
      <c r="O17" s="64">
        <v>591057</v>
      </c>
      <c r="P17" s="64">
        <v>126655</v>
      </c>
      <c r="Q17" s="64">
        <v>42218400</v>
      </c>
      <c r="R17" s="64"/>
      <c r="S17" s="64">
        <v>591057</v>
      </c>
      <c r="T17" s="64">
        <v>126655</v>
      </c>
      <c r="U17" s="64">
        <v>42218400</v>
      </c>
      <c r="V17" s="64">
        <v>42218400</v>
      </c>
      <c r="W17" s="64">
        <v>601797</v>
      </c>
      <c r="X17" s="64">
        <v>128956</v>
      </c>
      <c r="Y17" s="64">
        <v>42985500</v>
      </c>
      <c r="Z17" s="64">
        <v>42985500</v>
      </c>
    </row>
    <row r="18" spans="1:26" ht="15" customHeight="1">
      <c r="A18" s="23">
        <v>16</v>
      </c>
      <c r="B18" s="23">
        <v>106</v>
      </c>
      <c r="C18" t="str">
        <f t="shared" si="0"/>
        <v>東池袋ハイツ</v>
      </c>
      <c r="D18" s="23">
        <v>661</v>
      </c>
      <c r="E18" s="23" t="str">
        <f t="shared" si="1"/>
        <v>土地</v>
      </c>
      <c r="F18" s="23" t="s">
        <v>2066</v>
      </c>
      <c r="H18" s="23" t="s">
        <v>881</v>
      </c>
      <c r="I18" s="77">
        <v>286.89999999999998</v>
      </c>
      <c r="J18" s="77">
        <v>286.89999999999998</v>
      </c>
      <c r="K18" s="23">
        <v>1</v>
      </c>
      <c r="L18" s="23">
        <v>1</v>
      </c>
      <c r="M18" s="23" t="s">
        <v>1017</v>
      </c>
      <c r="N18" s="23" t="s">
        <v>1017</v>
      </c>
      <c r="O18" s="64">
        <v>287722</v>
      </c>
      <c r="P18" s="64">
        <v>61654</v>
      </c>
      <c r="Q18" s="64">
        <v>149184550</v>
      </c>
      <c r="R18" s="64"/>
      <c r="S18" s="64">
        <v>287722</v>
      </c>
      <c r="T18" s="64">
        <v>61654</v>
      </c>
      <c r="U18" s="64">
        <v>149184550</v>
      </c>
      <c r="V18" s="64">
        <v>20551603</v>
      </c>
      <c r="W18" s="64">
        <v>287722</v>
      </c>
      <c r="X18" s="64">
        <v>61654</v>
      </c>
      <c r="Y18" s="64">
        <v>123309620</v>
      </c>
      <c r="Z18" s="64">
        <v>20551603</v>
      </c>
    </row>
    <row r="19" spans="1:26" ht="15" customHeight="1">
      <c r="A19" s="23">
        <v>17</v>
      </c>
      <c r="B19" s="23">
        <v>106</v>
      </c>
      <c r="C19" t="str">
        <f t="shared" si="0"/>
        <v>東池袋ハイツ</v>
      </c>
      <c r="D19" s="23">
        <v>664</v>
      </c>
      <c r="E19" s="23" t="str">
        <f t="shared" si="1"/>
        <v>建物</v>
      </c>
      <c r="F19" s="23" t="s">
        <v>2067</v>
      </c>
      <c r="H19" s="23" t="s">
        <v>881</v>
      </c>
      <c r="I19" s="77">
        <v>1133.51</v>
      </c>
      <c r="J19" s="77">
        <v>1133.51</v>
      </c>
      <c r="K19" s="23">
        <v>1</v>
      </c>
      <c r="L19" s="23">
        <v>1</v>
      </c>
      <c r="M19" s="23" t="s">
        <v>1017</v>
      </c>
      <c r="N19" s="23" t="s">
        <v>1017</v>
      </c>
      <c r="O19" s="64">
        <v>1084364</v>
      </c>
      <c r="P19" s="64">
        <v>232363</v>
      </c>
      <c r="Q19" s="64">
        <v>77454600</v>
      </c>
      <c r="R19" s="64"/>
      <c r="S19" s="64">
        <v>1084364</v>
      </c>
      <c r="T19" s="64">
        <v>232363</v>
      </c>
      <c r="U19" s="64">
        <v>77454600</v>
      </c>
      <c r="V19" s="64">
        <v>77454600</v>
      </c>
      <c r="W19" s="64">
        <v>1084364</v>
      </c>
      <c r="X19" s="64">
        <v>232363</v>
      </c>
      <c r="Y19" s="64">
        <v>77454600</v>
      </c>
      <c r="Z19" s="64">
        <v>77454600</v>
      </c>
    </row>
    <row r="20" spans="1:26" ht="15" customHeight="1">
      <c r="A20" s="23">
        <v>18</v>
      </c>
      <c r="B20" s="23">
        <v>107</v>
      </c>
      <c r="C20" t="str">
        <f t="shared" si="0"/>
        <v>メゾン雑司ヶ谷</v>
      </c>
      <c r="D20" s="23">
        <v>661</v>
      </c>
      <c r="E20" s="23" t="str">
        <f t="shared" si="1"/>
        <v>土地</v>
      </c>
      <c r="F20" s="23" t="s">
        <v>2068</v>
      </c>
      <c r="H20" s="23" t="s">
        <v>881</v>
      </c>
      <c r="I20" s="77">
        <v>42.84</v>
      </c>
      <c r="J20" s="77">
        <v>42.84</v>
      </c>
      <c r="K20" s="23">
        <v>1</v>
      </c>
      <c r="L20" s="23">
        <v>1</v>
      </c>
      <c r="M20" s="23" t="s">
        <v>1017</v>
      </c>
      <c r="N20" s="23" t="s">
        <v>1017</v>
      </c>
      <c r="O20" s="64">
        <v>30011</v>
      </c>
      <c r="P20" s="64">
        <v>6431</v>
      </c>
      <c r="Q20" s="64">
        <v>14091570</v>
      </c>
      <c r="R20" s="64"/>
      <c r="S20" s="64">
        <v>30011</v>
      </c>
      <c r="T20" s="64">
        <v>6431</v>
      </c>
      <c r="U20" s="64">
        <v>14091570</v>
      </c>
      <c r="V20" s="64">
        <v>2143713</v>
      </c>
      <c r="W20" s="64">
        <v>30011</v>
      </c>
      <c r="X20" s="64">
        <v>6431</v>
      </c>
      <c r="Y20" s="64">
        <v>12862280</v>
      </c>
      <c r="Z20" s="64">
        <v>2143713</v>
      </c>
    </row>
    <row r="21" spans="1:26" ht="15" customHeight="1">
      <c r="A21" s="23">
        <v>19</v>
      </c>
      <c r="B21" s="23">
        <v>107</v>
      </c>
      <c r="C21" t="str">
        <f t="shared" si="0"/>
        <v>メゾン雑司ヶ谷</v>
      </c>
      <c r="D21" s="23">
        <v>661</v>
      </c>
      <c r="E21" s="23" t="str">
        <f t="shared" si="1"/>
        <v>土地</v>
      </c>
      <c r="F21" s="23" t="s">
        <v>2069</v>
      </c>
      <c r="H21" s="23" t="s">
        <v>881</v>
      </c>
      <c r="I21" s="77">
        <v>517.99</v>
      </c>
      <c r="J21" s="77">
        <v>517.99</v>
      </c>
      <c r="K21" s="23">
        <v>1</v>
      </c>
      <c r="L21" s="23">
        <v>1</v>
      </c>
      <c r="M21" s="23" t="s">
        <v>1017</v>
      </c>
      <c r="N21" s="23" t="s">
        <v>1017</v>
      </c>
      <c r="O21" s="64">
        <v>341277</v>
      </c>
      <c r="P21" s="64">
        <v>73130</v>
      </c>
      <c r="Q21" s="64">
        <v>160240680</v>
      </c>
      <c r="R21" s="64"/>
      <c r="S21" s="64">
        <v>341277</v>
      </c>
      <c r="T21" s="64">
        <v>73130</v>
      </c>
      <c r="U21" s="64">
        <v>160240680</v>
      </c>
      <c r="V21" s="64">
        <v>24376985</v>
      </c>
      <c r="W21" s="64">
        <v>341277</v>
      </c>
      <c r="X21" s="64">
        <v>73130</v>
      </c>
      <c r="Y21" s="64">
        <v>146261910</v>
      </c>
      <c r="Z21" s="64">
        <v>24376985</v>
      </c>
    </row>
    <row r="22" spans="1:26" ht="15" customHeight="1">
      <c r="A22" s="23">
        <v>20</v>
      </c>
      <c r="B22" s="23">
        <v>107</v>
      </c>
      <c r="C22" t="str">
        <f t="shared" si="0"/>
        <v>メゾン雑司ヶ谷</v>
      </c>
      <c r="D22" s="23">
        <v>664</v>
      </c>
      <c r="E22" s="23" t="str">
        <f t="shared" si="1"/>
        <v>建物</v>
      </c>
      <c r="F22" s="23" t="s">
        <v>2070</v>
      </c>
      <c r="H22" s="23" t="s">
        <v>881</v>
      </c>
      <c r="I22" s="77">
        <v>961.19</v>
      </c>
      <c r="J22" s="77">
        <v>961.19</v>
      </c>
      <c r="K22" s="23">
        <v>1</v>
      </c>
      <c r="L22" s="23">
        <v>1</v>
      </c>
      <c r="M22" s="23" t="s">
        <v>1017</v>
      </c>
      <c r="N22" s="23" t="s">
        <v>1017</v>
      </c>
      <c r="O22" s="64">
        <v>687330</v>
      </c>
      <c r="P22" s="64">
        <v>147285</v>
      </c>
      <c r="Q22" s="64">
        <v>49095000</v>
      </c>
      <c r="R22" s="64"/>
      <c r="S22" s="64">
        <v>687330</v>
      </c>
      <c r="T22" s="64">
        <v>147285</v>
      </c>
      <c r="U22" s="64">
        <v>49095000</v>
      </c>
      <c r="V22" s="64">
        <v>49095000</v>
      </c>
      <c r="W22" s="64">
        <v>687330</v>
      </c>
      <c r="X22" s="64">
        <v>147285</v>
      </c>
      <c r="Y22" s="64">
        <v>49095000</v>
      </c>
      <c r="Z22" s="64">
        <v>49095000</v>
      </c>
    </row>
    <row r="23" spans="1:26" ht="15" customHeight="1">
      <c r="A23" s="23">
        <v>21</v>
      </c>
      <c r="B23" s="23">
        <v>109</v>
      </c>
      <c r="C23" t="str">
        <f t="shared" si="0"/>
        <v>カーサ南池袋</v>
      </c>
      <c r="D23" s="23">
        <v>661</v>
      </c>
      <c r="E23" s="23" t="str">
        <f t="shared" si="1"/>
        <v>土地</v>
      </c>
      <c r="F23" s="23" t="s">
        <v>2071</v>
      </c>
      <c r="H23" s="23" t="s">
        <v>881</v>
      </c>
      <c r="I23" s="77">
        <v>252.09</v>
      </c>
      <c r="J23" s="77">
        <v>252.09</v>
      </c>
      <c r="K23" s="23">
        <v>1</v>
      </c>
      <c r="L23" s="23">
        <v>1</v>
      </c>
      <c r="M23" s="23" t="s">
        <v>1017</v>
      </c>
      <c r="N23" s="23" t="s">
        <v>1017</v>
      </c>
      <c r="O23" s="64">
        <v>249401</v>
      </c>
      <c r="P23" s="64">
        <v>53443</v>
      </c>
      <c r="Q23" s="64">
        <v>123284110</v>
      </c>
      <c r="R23" s="64"/>
      <c r="S23" s="64">
        <v>249401</v>
      </c>
      <c r="T23" s="64">
        <v>53443</v>
      </c>
      <c r="U23" s="64">
        <v>123284110</v>
      </c>
      <c r="V23" s="64">
        <v>17814360</v>
      </c>
      <c r="W23" s="64">
        <v>249401</v>
      </c>
      <c r="X23" s="64">
        <v>53443</v>
      </c>
      <c r="Y23" s="64">
        <v>106886160</v>
      </c>
      <c r="Z23" s="64">
        <v>17814360</v>
      </c>
    </row>
    <row r="24" spans="1:26" ht="15" customHeight="1">
      <c r="A24" s="23">
        <v>22</v>
      </c>
      <c r="B24" s="23">
        <v>109</v>
      </c>
      <c r="C24" t="str">
        <f t="shared" si="0"/>
        <v>カーサ南池袋</v>
      </c>
      <c r="D24" s="23">
        <v>664</v>
      </c>
      <c r="E24" s="23" t="str">
        <f t="shared" si="1"/>
        <v>建物</v>
      </c>
      <c r="F24" s="23" t="s">
        <v>2072</v>
      </c>
      <c r="H24" s="23" t="s">
        <v>881</v>
      </c>
      <c r="I24" s="77">
        <v>588.5</v>
      </c>
      <c r="J24" s="77">
        <v>588.5</v>
      </c>
      <c r="K24" s="23">
        <v>1</v>
      </c>
      <c r="L24" s="23">
        <v>1</v>
      </c>
      <c r="M24" s="23" t="s">
        <v>1017</v>
      </c>
      <c r="N24" s="23" t="s">
        <v>1017</v>
      </c>
      <c r="O24" s="64">
        <v>210214</v>
      </c>
      <c r="P24" s="64">
        <v>45045</v>
      </c>
      <c r="Q24" s="64">
        <v>15015300</v>
      </c>
      <c r="R24" s="64"/>
      <c r="S24" s="64">
        <v>210214</v>
      </c>
      <c r="T24" s="64">
        <v>45045</v>
      </c>
      <c r="U24" s="64">
        <v>15015300</v>
      </c>
      <c r="V24" s="64">
        <v>15015300</v>
      </c>
      <c r="W24" s="64">
        <v>210214</v>
      </c>
      <c r="X24" s="64">
        <v>45045</v>
      </c>
      <c r="Y24" s="64">
        <v>15015300</v>
      </c>
      <c r="Z24" s="64">
        <v>15015300</v>
      </c>
    </row>
    <row r="25" spans="1:26" ht="15" customHeight="1">
      <c r="A25" s="23">
        <v>23</v>
      </c>
      <c r="B25" s="23">
        <v>111</v>
      </c>
      <c r="C25" t="str">
        <f t="shared" si="0"/>
        <v>目白カーサ二番館</v>
      </c>
      <c r="D25" s="23">
        <v>661</v>
      </c>
      <c r="E25" s="23" t="str">
        <f t="shared" si="1"/>
        <v>土地</v>
      </c>
      <c r="F25" s="23" t="s">
        <v>2073</v>
      </c>
      <c r="H25" s="23" t="s">
        <v>881</v>
      </c>
      <c r="I25" s="77">
        <v>278.5</v>
      </c>
      <c r="J25" s="77">
        <v>278.5</v>
      </c>
      <c r="K25" s="23">
        <v>1</v>
      </c>
      <c r="L25" s="23">
        <v>1</v>
      </c>
      <c r="M25" s="23" t="s">
        <v>1017</v>
      </c>
      <c r="N25" s="23" t="s">
        <v>1017</v>
      </c>
      <c r="O25" s="64">
        <v>276179</v>
      </c>
      <c r="P25" s="64">
        <v>59181</v>
      </c>
      <c r="Q25" s="64">
        <v>136747950</v>
      </c>
      <c r="R25" s="64"/>
      <c r="S25" s="64">
        <v>276179</v>
      </c>
      <c r="T25" s="64">
        <v>59181</v>
      </c>
      <c r="U25" s="64">
        <v>136747950</v>
      </c>
      <c r="V25" s="64">
        <v>19727083</v>
      </c>
      <c r="W25" s="64">
        <v>276179</v>
      </c>
      <c r="X25" s="64">
        <v>59181</v>
      </c>
      <c r="Y25" s="64">
        <v>118362500</v>
      </c>
      <c r="Z25" s="64">
        <v>19727083</v>
      </c>
    </row>
    <row r="26" spans="1:26" ht="15" customHeight="1">
      <c r="A26" s="23">
        <v>24</v>
      </c>
      <c r="B26" s="23">
        <v>111</v>
      </c>
      <c r="C26" t="str">
        <f t="shared" si="0"/>
        <v>目白カーサ二番館</v>
      </c>
      <c r="D26" s="23">
        <v>661</v>
      </c>
      <c r="E26" s="23" t="str">
        <f t="shared" si="1"/>
        <v>土地</v>
      </c>
      <c r="F26" s="23" t="s">
        <v>2074</v>
      </c>
      <c r="H26" s="23" t="s">
        <v>881</v>
      </c>
      <c r="I26" s="77">
        <v>0.21</v>
      </c>
      <c r="J26" s="77">
        <v>0.21</v>
      </c>
      <c r="K26" s="23">
        <v>1</v>
      </c>
      <c r="L26" s="23">
        <v>1</v>
      </c>
      <c r="M26" s="23" t="s">
        <v>1017</v>
      </c>
      <c r="N26" s="23" t="s">
        <v>1017</v>
      </c>
      <c r="O26" s="64">
        <v>182</v>
      </c>
      <c r="P26" s="64">
        <v>39</v>
      </c>
      <c r="Q26" s="64">
        <v>103110</v>
      </c>
      <c r="R26" s="64"/>
      <c r="S26" s="64">
        <v>182</v>
      </c>
      <c r="T26" s="64">
        <v>39</v>
      </c>
      <c r="U26" s="64">
        <v>103110</v>
      </c>
      <c r="V26" s="64">
        <v>13020</v>
      </c>
      <c r="W26" s="64">
        <v>182</v>
      </c>
      <c r="X26" s="64">
        <v>39</v>
      </c>
      <c r="Y26" s="64">
        <v>89250</v>
      </c>
      <c r="Z26" s="64">
        <v>13020</v>
      </c>
    </row>
    <row r="27" spans="1:26" ht="15" customHeight="1">
      <c r="A27" s="23">
        <v>25</v>
      </c>
      <c r="B27" s="23">
        <v>111</v>
      </c>
      <c r="C27" t="str">
        <f t="shared" si="0"/>
        <v>目白カーサ二番館</v>
      </c>
      <c r="D27" s="23">
        <v>664</v>
      </c>
      <c r="E27" s="23" t="str">
        <f t="shared" si="1"/>
        <v>建物</v>
      </c>
      <c r="F27" s="23" t="s">
        <v>2075</v>
      </c>
      <c r="H27" s="23" t="s">
        <v>881</v>
      </c>
      <c r="I27" s="77">
        <v>496.02</v>
      </c>
      <c r="J27" s="77">
        <v>496.02</v>
      </c>
      <c r="K27" s="23">
        <v>1</v>
      </c>
      <c r="L27" s="23">
        <v>1</v>
      </c>
      <c r="M27" s="23" t="s">
        <v>1017</v>
      </c>
      <c r="N27" s="23" t="s">
        <v>1017</v>
      </c>
      <c r="O27" s="64">
        <v>326207</v>
      </c>
      <c r="P27" s="64">
        <v>69901</v>
      </c>
      <c r="Q27" s="64">
        <v>23300500</v>
      </c>
      <c r="R27" s="64"/>
      <c r="S27" s="64">
        <v>326207</v>
      </c>
      <c r="T27" s="64">
        <v>69901</v>
      </c>
      <c r="U27" s="64">
        <v>23300500</v>
      </c>
      <c r="V27" s="64">
        <v>23300500</v>
      </c>
      <c r="W27" s="64">
        <v>340589</v>
      </c>
      <c r="X27" s="64">
        <v>72983</v>
      </c>
      <c r="Y27" s="64">
        <v>24327800</v>
      </c>
      <c r="Z27" s="64">
        <v>24327800</v>
      </c>
    </row>
    <row r="28" spans="1:26" ht="15" customHeight="1">
      <c r="A28" s="23">
        <v>26</v>
      </c>
      <c r="B28" s="23">
        <v>112</v>
      </c>
      <c r="C28" t="str">
        <f t="shared" si="0"/>
        <v>豊島目白ビル</v>
      </c>
      <c r="D28" s="23">
        <v>661</v>
      </c>
      <c r="E28" s="23" t="str">
        <f t="shared" si="1"/>
        <v>土地</v>
      </c>
      <c r="F28" s="23" t="s">
        <v>2076</v>
      </c>
      <c r="H28" s="23" t="s">
        <v>881</v>
      </c>
      <c r="I28" s="77">
        <v>143.13</v>
      </c>
      <c r="J28" s="77">
        <v>143.13</v>
      </c>
      <c r="K28" s="23">
        <v>1</v>
      </c>
      <c r="L28" s="23">
        <v>1</v>
      </c>
      <c r="M28" s="23" t="s">
        <v>1017</v>
      </c>
      <c r="N28" s="23" t="s">
        <v>1017</v>
      </c>
      <c r="O28" s="64">
        <v>785817</v>
      </c>
      <c r="P28" s="64">
        <v>168388</v>
      </c>
      <c r="Q28" s="64">
        <v>147431050</v>
      </c>
      <c r="R28" s="64"/>
      <c r="S28" s="64">
        <v>785817</v>
      </c>
      <c r="T28" s="64">
        <v>168388</v>
      </c>
      <c r="U28" s="64">
        <v>147431050</v>
      </c>
      <c r="V28" s="64">
        <v>70162326</v>
      </c>
      <c r="W28" s="64">
        <v>785817</v>
      </c>
      <c r="X28" s="64">
        <v>168388</v>
      </c>
      <c r="Y28" s="64">
        <v>116937210</v>
      </c>
      <c r="Z28" s="64">
        <v>70162326</v>
      </c>
    </row>
    <row r="29" spans="1:26" ht="15" customHeight="1">
      <c r="A29" s="23">
        <v>27</v>
      </c>
      <c r="B29" s="23">
        <v>112</v>
      </c>
      <c r="C29" t="str">
        <f t="shared" si="0"/>
        <v>豊島目白ビル</v>
      </c>
      <c r="D29" s="23">
        <v>664</v>
      </c>
      <c r="E29" s="23" t="str">
        <f t="shared" si="1"/>
        <v>建物</v>
      </c>
      <c r="F29" s="23" t="s">
        <v>2077</v>
      </c>
      <c r="H29" s="23" t="s">
        <v>881</v>
      </c>
      <c r="I29" s="77">
        <v>491.32</v>
      </c>
      <c r="J29" s="77">
        <v>491.32</v>
      </c>
      <c r="K29" s="23">
        <v>1</v>
      </c>
      <c r="L29" s="23">
        <v>1</v>
      </c>
      <c r="M29" s="23" t="s">
        <v>1017</v>
      </c>
      <c r="N29" s="23" t="s">
        <v>1017</v>
      </c>
      <c r="O29" s="64">
        <v>0</v>
      </c>
      <c r="P29" s="64">
        <v>0</v>
      </c>
      <c r="Q29" s="64">
        <v>39293700</v>
      </c>
      <c r="R29" s="64"/>
      <c r="S29" s="64">
        <v>0</v>
      </c>
      <c r="T29" s="64">
        <v>0</v>
      </c>
      <c r="U29" s="64">
        <v>39293700</v>
      </c>
      <c r="V29" s="64">
        <v>0</v>
      </c>
      <c r="W29" s="64">
        <v>561583</v>
      </c>
      <c r="X29" s="64">
        <v>120339</v>
      </c>
      <c r="Y29" s="64">
        <v>40113100</v>
      </c>
      <c r="Z29" s="64">
        <v>40113100</v>
      </c>
    </row>
    <row r="30" spans="1:26" ht="15" customHeight="1">
      <c r="A30" s="23">
        <v>28</v>
      </c>
      <c r="B30" s="23">
        <v>113</v>
      </c>
      <c r="C30" t="str">
        <f t="shared" si="0"/>
        <v>第3目白ハイツ</v>
      </c>
      <c r="D30" s="23">
        <v>661</v>
      </c>
      <c r="E30" s="23" t="str">
        <f t="shared" si="1"/>
        <v>土地</v>
      </c>
      <c r="F30" s="23" t="s">
        <v>2078</v>
      </c>
      <c r="H30" s="23" t="s">
        <v>881</v>
      </c>
      <c r="I30" s="77">
        <v>471.94</v>
      </c>
      <c r="J30" s="77">
        <v>471.94</v>
      </c>
      <c r="K30" s="23">
        <v>1</v>
      </c>
      <c r="L30" s="23">
        <v>1</v>
      </c>
      <c r="M30" s="23" t="s">
        <v>1017</v>
      </c>
      <c r="N30" s="23" t="s">
        <v>1017</v>
      </c>
      <c r="O30" s="64">
        <v>221138</v>
      </c>
      <c r="P30" s="64">
        <v>47386</v>
      </c>
      <c r="Q30" s="64">
        <v>105686710</v>
      </c>
      <c r="R30" s="64"/>
      <c r="S30" s="64">
        <v>221138</v>
      </c>
      <c r="T30" s="64">
        <v>47386</v>
      </c>
      <c r="U30" s="64">
        <v>105686710</v>
      </c>
      <c r="V30" s="64">
        <v>15795595</v>
      </c>
      <c r="W30" s="64">
        <v>221138</v>
      </c>
      <c r="X30" s="64">
        <v>47386</v>
      </c>
      <c r="Y30" s="64">
        <v>94773570</v>
      </c>
      <c r="Z30" s="64">
        <v>15795595</v>
      </c>
    </row>
    <row r="31" spans="1:26" ht="15" customHeight="1">
      <c r="A31" s="23">
        <v>29</v>
      </c>
      <c r="B31" s="23">
        <v>113</v>
      </c>
      <c r="C31" t="str">
        <f t="shared" si="0"/>
        <v>第3目白ハイツ</v>
      </c>
      <c r="D31" s="23">
        <v>661</v>
      </c>
      <c r="E31" s="23" t="str">
        <f t="shared" si="1"/>
        <v>土地</v>
      </c>
      <c r="F31" s="23" t="s">
        <v>2079</v>
      </c>
      <c r="H31" s="23" t="s">
        <v>881</v>
      </c>
      <c r="I31" s="77">
        <v>334</v>
      </c>
      <c r="J31" s="77">
        <v>334</v>
      </c>
      <c r="K31" s="23">
        <v>1</v>
      </c>
      <c r="L31" s="23">
        <v>1</v>
      </c>
      <c r="M31" s="23" t="s">
        <v>1017</v>
      </c>
      <c r="N31" s="23" t="s">
        <v>1017</v>
      </c>
      <c r="O31" s="64">
        <v>156362</v>
      </c>
      <c r="P31" s="64">
        <v>33506</v>
      </c>
      <c r="Q31" s="64">
        <v>74729110</v>
      </c>
      <c r="R31" s="64"/>
      <c r="S31" s="64">
        <v>156362</v>
      </c>
      <c r="T31" s="64">
        <v>33506</v>
      </c>
      <c r="U31" s="64">
        <v>74729110</v>
      </c>
      <c r="V31" s="64">
        <v>11168771</v>
      </c>
      <c r="W31" s="64">
        <v>156362</v>
      </c>
      <c r="X31" s="64">
        <v>33506</v>
      </c>
      <c r="Y31" s="64">
        <v>67012630</v>
      </c>
      <c r="Z31" s="64">
        <v>11168771</v>
      </c>
    </row>
    <row r="32" spans="1:26" ht="15" customHeight="1">
      <c r="A32" s="23">
        <v>30</v>
      </c>
      <c r="B32" s="23">
        <v>113</v>
      </c>
      <c r="C32" t="str">
        <f t="shared" si="0"/>
        <v>第3目白ハイツ</v>
      </c>
      <c r="D32" s="23">
        <v>664</v>
      </c>
      <c r="E32" s="23" t="str">
        <f t="shared" si="1"/>
        <v>建物</v>
      </c>
      <c r="F32" s="23" t="s">
        <v>2080</v>
      </c>
      <c r="H32" s="23" t="s">
        <v>881</v>
      </c>
      <c r="I32" s="77">
        <v>1307.01</v>
      </c>
      <c r="J32" s="77">
        <v>1307.01</v>
      </c>
      <c r="K32" s="23">
        <v>1</v>
      </c>
      <c r="L32" s="23">
        <v>1</v>
      </c>
      <c r="M32" s="23" t="s">
        <v>1017</v>
      </c>
      <c r="N32" s="23" t="s">
        <v>1017</v>
      </c>
      <c r="O32" s="64">
        <v>884796</v>
      </c>
      <c r="P32" s="64">
        <v>189598</v>
      </c>
      <c r="Q32" s="64">
        <v>63199800</v>
      </c>
      <c r="R32" s="64"/>
      <c r="S32" s="64">
        <v>884796</v>
      </c>
      <c r="T32" s="64">
        <v>189598</v>
      </c>
      <c r="U32" s="64">
        <v>63199800</v>
      </c>
      <c r="V32" s="64">
        <v>63199800</v>
      </c>
      <c r="W32" s="64">
        <v>885323</v>
      </c>
      <c r="X32" s="64">
        <v>189711</v>
      </c>
      <c r="Y32" s="64">
        <v>63237500</v>
      </c>
      <c r="Z32" s="64">
        <v>63237500</v>
      </c>
    </row>
    <row r="33" spans="1:26" ht="15" customHeight="1">
      <c r="A33" s="23">
        <v>31</v>
      </c>
      <c r="B33" s="23">
        <v>114</v>
      </c>
      <c r="C33" t="str">
        <f t="shared" si="0"/>
        <v>レジデンス目白豊島</v>
      </c>
      <c r="D33" s="23">
        <v>661</v>
      </c>
      <c r="E33" s="23" t="str">
        <f t="shared" si="1"/>
        <v>土地</v>
      </c>
      <c r="F33" s="23" t="s">
        <v>2081</v>
      </c>
      <c r="H33" s="23" t="s">
        <v>881</v>
      </c>
      <c r="I33" s="77">
        <v>191.86</v>
      </c>
      <c r="J33" s="77">
        <v>191.86</v>
      </c>
      <c r="K33" s="23">
        <v>1</v>
      </c>
      <c r="L33" s="23">
        <v>1</v>
      </c>
      <c r="M33" s="23" t="s">
        <v>1017</v>
      </c>
      <c r="N33" s="23" t="s">
        <v>1017</v>
      </c>
      <c r="O33" s="64">
        <v>148426</v>
      </c>
      <c r="P33" s="64">
        <v>31805</v>
      </c>
      <c r="Q33" s="64">
        <v>75806570</v>
      </c>
      <c r="R33" s="64"/>
      <c r="S33" s="64">
        <v>148426</v>
      </c>
      <c r="T33" s="64">
        <v>31805</v>
      </c>
      <c r="U33" s="64">
        <v>75806570</v>
      </c>
      <c r="V33" s="64">
        <v>10601863</v>
      </c>
      <c r="W33" s="64">
        <v>148426</v>
      </c>
      <c r="X33" s="64">
        <v>31805</v>
      </c>
      <c r="Y33" s="64">
        <v>63611180</v>
      </c>
      <c r="Z33" s="64">
        <v>10601863</v>
      </c>
    </row>
    <row r="34" spans="1:26" ht="15" customHeight="1">
      <c r="A34" s="23">
        <v>32</v>
      </c>
      <c r="B34" s="23">
        <v>114</v>
      </c>
      <c r="C34" t="str">
        <f t="shared" si="0"/>
        <v>レジデンス目白豊島</v>
      </c>
      <c r="D34" s="23">
        <v>664</v>
      </c>
      <c r="E34" s="23" t="str">
        <f t="shared" si="1"/>
        <v>建物</v>
      </c>
      <c r="F34" s="23" t="s">
        <v>2082</v>
      </c>
      <c r="H34" s="23" t="s">
        <v>881</v>
      </c>
      <c r="I34" s="77">
        <v>104.63</v>
      </c>
      <c r="J34" s="77">
        <v>104.63</v>
      </c>
      <c r="K34" s="23">
        <v>1</v>
      </c>
      <c r="L34" s="23">
        <v>1</v>
      </c>
      <c r="M34" s="23" t="s">
        <v>1017</v>
      </c>
      <c r="N34" s="23" t="s">
        <v>1017</v>
      </c>
      <c r="O34" s="64">
        <v>83074</v>
      </c>
      <c r="P34" s="64">
        <v>17801</v>
      </c>
      <c r="Q34" s="64">
        <v>20654300</v>
      </c>
      <c r="R34" s="64"/>
      <c r="S34" s="64">
        <v>83074</v>
      </c>
      <c r="T34" s="64">
        <v>17801</v>
      </c>
      <c r="U34" s="64">
        <v>20654300</v>
      </c>
      <c r="V34" s="64">
        <v>5933900</v>
      </c>
      <c r="W34" s="64">
        <v>83074</v>
      </c>
      <c r="X34" s="64">
        <v>17801</v>
      </c>
      <c r="Y34" s="64">
        <v>20654300</v>
      </c>
      <c r="Z34" s="64">
        <v>5933900</v>
      </c>
    </row>
    <row r="35" spans="1:26" ht="15" customHeight="1">
      <c r="A35" s="23">
        <v>33</v>
      </c>
      <c r="B35" s="23">
        <v>114</v>
      </c>
      <c r="C35" t="str">
        <f t="shared" ref="C35:C65" si="2">VLOOKUP(B35,id_settings,2,FALSE)</f>
        <v>レジデンス目白豊島</v>
      </c>
      <c r="D35" s="23">
        <v>664</v>
      </c>
      <c r="E35" s="23" t="str">
        <f t="shared" ref="E35:E61" si="3">VLOOKUP(D35,id_settings,2,FALSE)</f>
        <v>建物</v>
      </c>
      <c r="F35" s="23" t="s">
        <v>2083</v>
      </c>
      <c r="H35" s="23" t="s">
        <v>881</v>
      </c>
      <c r="I35" s="77">
        <v>29.51</v>
      </c>
      <c r="J35" s="77">
        <v>29.51</v>
      </c>
      <c r="K35" s="23">
        <v>1</v>
      </c>
      <c r="L35" s="23">
        <v>1</v>
      </c>
      <c r="M35" s="23" t="s">
        <v>1017</v>
      </c>
      <c r="N35" s="23" t="s">
        <v>1017</v>
      </c>
      <c r="O35" s="64">
        <v>23424</v>
      </c>
      <c r="P35" s="64">
        <v>5019</v>
      </c>
      <c r="Q35" s="64">
        <v>20654300</v>
      </c>
      <c r="R35" s="64"/>
      <c r="S35" s="64">
        <v>23424</v>
      </c>
      <c r="T35" s="64">
        <v>5019</v>
      </c>
      <c r="U35" s="64">
        <v>20654300</v>
      </c>
      <c r="V35" s="64">
        <v>1673200</v>
      </c>
      <c r="W35" s="64">
        <v>23424</v>
      </c>
      <c r="X35" s="64">
        <v>5019</v>
      </c>
      <c r="Y35" s="64">
        <v>20654300</v>
      </c>
      <c r="Z35" s="64">
        <v>1673200</v>
      </c>
    </row>
    <row r="36" spans="1:26" ht="15" customHeight="1">
      <c r="A36" s="23">
        <v>34</v>
      </c>
      <c r="B36" s="23">
        <v>114</v>
      </c>
      <c r="C36" t="str">
        <f t="shared" si="2"/>
        <v>レジデンス目白豊島</v>
      </c>
      <c r="D36" s="23">
        <v>664</v>
      </c>
      <c r="E36" s="23" t="str">
        <f t="shared" si="3"/>
        <v>建物</v>
      </c>
      <c r="F36" s="23" t="s">
        <v>2084</v>
      </c>
      <c r="H36" s="23" t="s">
        <v>881</v>
      </c>
      <c r="I36" s="77">
        <v>14.26</v>
      </c>
      <c r="J36" s="77">
        <v>14.26</v>
      </c>
      <c r="K36" s="23">
        <v>1</v>
      </c>
      <c r="L36" s="23">
        <v>1</v>
      </c>
      <c r="M36" s="23" t="s">
        <v>1017</v>
      </c>
      <c r="N36" s="23" t="s">
        <v>1017</v>
      </c>
      <c r="O36" s="64">
        <v>11317</v>
      </c>
      <c r="P36" s="64">
        <v>2425</v>
      </c>
      <c r="Q36" s="64">
        <v>20654300</v>
      </c>
      <c r="R36" s="64"/>
      <c r="S36" s="64">
        <v>11317</v>
      </c>
      <c r="T36" s="64">
        <v>2425</v>
      </c>
      <c r="U36" s="64">
        <v>20654300</v>
      </c>
      <c r="V36" s="64">
        <v>808400</v>
      </c>
      <c r="W36" s="64">
        <v>11317</v>
      </c>
      <c r="X36" s="64">
        <v>2425</v>
      </c>
      <c r="Y36" s="64">
        <v>20654300</v>
      </c>
      <c r="Z36" s="64">
        <v>808400</v>
      </c>
    </row>
    <row r="37" spans="1:26" ht="15" customHeight="1">
      <c r="A37" s="23">
        <v>35</v>
      </c>
      <c r="B37" s="23">
        <v>114</v>
      </c>
      <c r="C37" t="str">
        <f t="shared" si="2"/>
        <v>レジデンス目白豊島</v>
      </c>
      <c r="D37" s="23">
        <v>664</v>
      </c>
      <c r="E37" s="23" t="str">
        <f t="shared" si="3"/>
        <v>建物</v>
      </c>
      <c r="F37" s="23" t="s">
        <v>2085</v>
      </c>
      <c r="H37" s="23" t="s">
        <v>881</v>
      </c>
      <c r="I37" s="77">
        <v>14.26</v>
      </c>
      <c r="J37" s="77">
        <v>14.26</v>
      </c>
      <c r="K37" s="23">
        <v>1</v>
      </c>
      <c r="L37" s="23">
        <v>1</v>
      </c>
      <c r="M37" s="23" t="s">
        <v>1017</v>
      </c>
      <c r="N37" s="23" t="s">
        <v>1017</v>
      </c>
      <c r="O37" s="64">
        <v>11317</v>
      </c>
      <c r="P37" s="64">
        <v>2425</v>
      </c>
      <c r="Q37" s="64">
        <v>20654300</v>
      </c>
      <c r="R37" s="64"/>
      <c r="S37" s="64">
        <v>11317</v>
      </c>
      <c r="T37" s="64">
        <v>2425</v>
      </c>
      <c r="U37" s="64">
        <v>20654300</v>
      </c>
      <c r="V37" s="64">
        <v>808400</v>
      </c>
      <c r="W37" s="64">
        <v>11317</v>
      </c>
      <c r="X37" s="64">
        <v>2425</v>
      </c>
      <c r="Y37" s="64">
        <v>20654300</v>
      </c>
      <c r="Z37" s="64">
        <v>808400</v>
      </c>
    </row>
    <row r="38" spans="1:26" ht="15" customHeight="1">
      <c r="A38" s="23">
        <v>36</v>
      </c>
      <c r="B38" s="23">
        <v>114</v>
      </c>
      <c r="C38" t="str">
        <f t="shared" si="2"/>
        <v>レジデンス目白豊島</v>
      </c>
      <c r="D38" s="23">
        <v>664</v>
      </c>
      <c r="E38" s="23" t="str">
        <f t="shared" si="3"/>
        <v>建物</v>
      </c>
      <c r="F38" s="23" t="s">
        <v>2086</v>
      </c>
      <c r="H38" s="23" t="s">
        <v>881</v>
      </c>
      <c r="I38" s="77">
        <v>14.26</v>
      </c>
      <c r="J38" s="77">
        <v>14.26</v>
      </c>
      <c r="K38" s="23">
        <v>1</v>
      </c>
      <c r="L38" s="23">
        <v>1</v>
      </c>
      <c r="M38" s="23" t="s">
        <v>1017</v>
      </c>
      <c r="N38" s="23" t="s">
        <v>1017</v>
      </c>
      <c r="O38" s="64">
        <v>11317</v>
      </c>
      <c r="P38" s="64">
        <v>2425</v>
      </c>
      <c r="Q38" s="64">
        <v>20654300</v>
      </c>
      <c r="R38" s="64"/>
      <c r="S38" s="64">
        <v>11317</v>
      </c>
      <c r="T38" s="64">
        <v>2425</v>
      </c>
      <c r="U38" s="64">
        <v>20654300</v>
      </c>
      <c r="V38" s="64">
        <v>808400</v>
      </c>
      <c r="W38" s="64">
        <v>11317</v>
      </c>
      <c r="X38" s="64">
        <v>2425</v>
      </c>
      <c r="Y38" s="64">
        <v>20654300</v>
      </c>
      <c r="Z38" s="64">
        <v>808400</v>
      </c>
    </row>
    <row r="39" spans="1:26" ht="15" customHeight="1">
      <c r="A39" s="23">
        <v>37</v>
      </c>
      <c r="B39" s="23">
        <v>114</v>
      </c>
      <c r="C39" t="str">
        <f t="shared" si="2"/>
        <v>レジデンス目白豊島</v>
      </c>
      <c r="D39" s="23">
        <v>664</v>
      </c>
      <c r="E39" s="23" t="str">
        <f t="shared" si="3"/>
        <v>建物</v>
      </c>
      <c r="F39" s="23" t="s">
        <v>2087</v>
      </c>
      <c r="H39" s="23" t="s">
        <v>881</v>
      </c>
      <c r="I39" s="77">
        <v>14.26</v>
      </c>
      <c r="J39" s="77">
        <v>14.26</v>
      </c>
      <c r="K39" s="23">
        <v>1</v>
      </c>
      <c r="L39" s="23">
        <v>1</v>
      </c>
      <c r="M39" s="23" t="s">
        <v>1017</v>
      </c>
      <c r="N39" s="23" t="s">
        <v>1017</v>
      </c>
      <c r="O39" s="64">
        <v>11317</v>
      </c>
      <c r="P39" s="64">
        <v>2425</v>
      </c>
      <c r="Q39" s="64">
        <v>20654300</v>
      </c>
      <c r="R39" s="64"/>
      <c r="S39" s="64">
        <v>11317</v>
      </c>
      <c r="T39" s="64">
        <v>2425</v>
      </c>
      <c r="U39" s="64">
        <v>20654300</v>
      </c>
      <c r="V39" s="64">
        <v>808400</v>
      </c>
      <c r="W39" s="64">
        <v>11317</v>
      </c>
      <c r="X39" s="64">
        <v>2425</v>
      </c>
      <c r="Y39" s="64">
        <v>20654300</v>
      </c>
      <c r="Z39" s="64">
        <v>808400</v>
      </c>
    </row>
    <row r="40" spans="1:26" ht="15" customHeight="1">
      <c r="A40" s="23">
        <v>38</v>
      </c>
      <c r="B40" s="23">
        <v>114</v>
      </c>
      <c r="C40" t="str">
        <f t="shared" si="2"/>
        <v>レジデンス目白豊島</v>
      </c>
      <c r="D40" s="23">
        <v>664</v>
      </c>
      <c r="E40" s="23" t="str">
        <f t="shared" si="3"/>
        <v>建物</v>
      </c>
      <c r="F40" s="23" t="s">
        <v>2088</v>
      </c>
      <c r="H40" s="23" t="s">
        <v>881</v>
      </c>
      <c r="I40" s="77">
        <v>29.51</v>
      </c>
      <c r="J40" s="77">
        <v>29.51</v>
      </c>
      <c r="K40" s="23">
        <v>1</v>
      </c>
      <c r="L40" s="23">
        <v>1</v>
      </c>
      <c r="M40" s="23" t="s">
        <v>1017</v>
      </c>
      <c r="N40" s="23" t="s">
        <v>1017</v>
      </c>
      <c r="O40" s="64">
        <v>23424</v>
      </c>
      <c r="P40" s="64">
        <v>5019</v>
      </c>
      <c r="Q40" s="64">
        <v>20654300</v>
      </c>
      <c r="R40" s="64"/>
      <c r="S40" s="64">
        <v>23424</v>
      </c>
      <c r="T40" s="64">
        <v>5019</v>
      </c>
      <c r="U40" s="64">
        <v>20654300</v>
      </c>
      <c r="V40" s="64">
        <v>1673200</v>
      </c>
      <c r="W40" s="64">
        <v>23424</v>
      </c>
      <c r="X40" s="64">
        <v>5019</v>
      </c>
      <c r="Y40" s="64">
        <v>20654300</v>
      </c>
      <c r="Z40" s="64">
        <v>1673200</v>
      </c>
    </row>
    <row r="41" spans="1:26" ht="15" customHeight="1">
      <c r="A41" s="23">
        <v>39</v>
      </c>
      <c r="B41" s="23">
        <v>114</v>
      </c>
      <c r="C41" t="str">
        <f t="shared" si="2"/>
        <v>レジデンス目白豊島</v>
      </c>
      <c r="D41" s="23">
        <v>664</v>
      </c>
      <c r="E41" s="23" t="str">
        <f t="shared" si="3"/>
        <v>建物</v>
      </c>
      <c r="F41" s="23" t="s">
        <v>2089</v>
      </c>
      <c r="H41" s="23" t="s">
        <v>881</v>
      </c>
      <c r="I41" s="77">
        <v>14.26</v>
      </c>
      <c r="J41" s="77">
        <v>14.26</v>
      </c>
      <c r="K41" s="23">
        <v>1</v>
      </c>
      <c r="L41" s="23">
        <v>1</v>
      </c>
      <c r="M41" s="23" t="s">
        <v>1017</v>
      </c>
      <c r="N41" s="23" t="s">
        <v>1017</v>
      </c>
      <c r="O41" s="64">
        <v>11317</v>
      </c>
      <c r="P41" s="64">
        <v>2425</v>
      </c>
      <c r="Q41" s="64">
        <v>20654300</v>
      </c>
      <c r="R41" s="64"/>
      <c r="S41" s="64">
        <v>11317</v>
      </c>
      <c r="T41" s="64">
        <v>2425</v>
      </c>
      <c r="U41" s="64">
        <v>20654300</v>
      </c>
      <c r="V41" s="64">
        <v>808400</v>
      </c>
      <c r="W41" s="64">
        <v>11317</v>
      </c>
      <c r="X41" s="64">
        <v>2425</v>
      </c>
      <c r="Y41" s="64">
        <v>20654300</v>
      </c>
      <c r="Z41" s="64">
        <v>808400</v>
      </c>
    </row>
    <row r="42" spans="1:26" ht="15" customHeight="1">
      <c r="A42" s="23">
        <v>40</v>
      </c>
      <c r="B42" s="23">
        <v>114</v>
      </c>
      <c r="C42" t="str">
        <f t="shared" si="2"/>
        <v>レジデンス目白豊島</v>
      </c>
      <c r="D42" s="23">
        <v>664</v>
      </c>
      <c r="E42" s="23" t="str">
        <f t="shared" si="3"/>
        <v>建物</v>
      </c>
      <c r="F42" s="23" t="s">
        <v>2090</v>
      </c>
      <c r="H42" s="23" t="s">
        <v>881</v>
      </c>
      <c r="I42" s="77">
        <v>14.26</v>
      </c>
      <c r="J42" s="77">
        <v>14.26</v>
      </c>
      <c r="K42" s="23">
        <v>1</v>
      </c>
      <c r="L42" s="23">
        <v>1</v>
      </c>
      <c r="M42" s="23" t="s">
        <v>1017</v>
      </c>
      <c r="N42" s="23" t="s">
        <v>1017</v>
      </c>
      <c r="O42" s="64">
        <v>11317</v>
      </c>
      <c r="P42" s="64">
        <v>2425</v>
      </c>
      <c r="Q42" s="64">
        <v>20654300</v>
      </c>
      <c r="R42" s="64"/>
      <c r="S42" s="64">
        <v>11317</v>
      </c>
      <c r="T42" s="64">
        <v>2425</v>
      </c>
      <c r="U42" s="64">
        <v>20654300</v>
      </c>
      <c r="V42" s="64">
        <v>808400</v>
      </c>
      <c r="W42" s="64">
        <v>11317</v>
      </c>
      <c r="X42" s="64">
        <v>2425</v>
      </c>
      <c r="Y42" s="64">
        <v>20654300</v>
      </c>
      <c r="Z42" s="64">
        <v>808400</v>
      </c>
    </row>
    <row r="43" spans="1:26" ht="15" customHeight="1">
      <c r="A43" s="23">
        <v>41</v>
      </c>
      <c r="B43" s="23">
        <v>114</v>
      </c>
      <c r="C43" t="str">
        <f t="shared" si="2"/>
        <v>レジデンス目白豊島</v>
      </c>
      <c r="D43" s="23">
        <v>664</v>
      </c>
      <c r="E43" s="23" t="str">
        <f t="shared" si="3"/>
        <v>建物</v>
      </c>
      <c r="F43" s="23" t="s">
        <v>2091</v>
      </c>
      <c r="H43" s="23" t="s">
        <v>881</v>
      </c>
      <c r="I43" s="77">
        <v>14.26</v>
      </c>
      <c r="J43" s="77">
        <v>14.26</v>
      </c>
      <c r="K43" s="23">
        <v>1</v>
      </c>
      <c r="L43" s="23">
        <v>1</v>
      </c>
      <c r="M43" s="23" t="s">
        <v>1017</v>
      </c>
      <c r="N43" s="23" t="s">
        <v>1017</v>
      </c>
      <c r="O43" s="64">
        <v>11317</v>
      </c>
      <c r="P43" s="64">
        <v>2425</v>
      </c>
      <c r="Q43" s="64">
        <v>20654300</v>
      </c>
      <c r="R43" s="64"/>
      <c r="S43" s="64">
        <v>11317</v>
      </c>
      <c r="T43" s="64">
        <v>2425</v>
      </c>
      <c r="U43" s="64">
        <v>20654300</v>
      </c>
      <c r="V43" s="64">
        <v>808400</v>
      </c>
      <c r="W43" s="64">
        <v>11317</v>
      </c>
      <c r="X43" s="64">
        <v>2425</v>
      </c>
      <c r="Y43" s="64">
        <v>20654300</v>
      </c>
      <c r="Z43" s="64">
        <v>808400</v>
      </c>
    </row>
    <row r="44" spans="1:26" ht="15" customHeight="1">
      <c r="A44" s="23">
        <v>42</v>
      </c>
      <c r="B44" s="23">
        <v>114</v>
      </c>
      <c r="C44" t="str">
        <f t="shared" si="2"/>
        <v>レジデンス目白豊島</v>
      </c>
      <c r="D44" s="23">
        <v>664</v>
      </c>
      <c r="E44" s="23" t="str">
        <f t="shared" si="3"/>
        <v>建物</v>
      </c>
      <c r="F44" s="23" t="s">
        <v>2092</v>
      </c>
      <c r="H44" s="23" t="s">
        <v>881</v>
      </c>
      <c r="I44" s="77">
        <v>14.26</v>
      </c>
      <c r="J44" s="77">
        <v>14.26</v>
      </c>
      <c r="K44" s="23">
        <v>1</v>
      </c>
      <c r="L44" s="23">
        <v>1</v>
      </c>
      <c r="M44" s="23" t="s">
        <v>1017</v>
      </c>
      <c r="N44" s="23" t="s">
        <v>1017</v>
      </c>
      <c r="O44" s="64">
        <v>11317</v>
      </c>
      <c r="P44" s="64">
        <v>2425</v>
      </c>
      <c r="Q44" s="64">
        <v>20654300</v>
      </c>
      <c r="R44" s="64"/>
      <c r="S44" s="64">
        <v>11317</v>
      </c>
      <c r="T44" s="64">
        <v>2425</v>
      </c>
      <c r="U44" s="64">
        <v>20654300</v>
      </c>
      <c r="V44" s="64">
        <v>808400</v>
      </c>
      <c r="W44" s="64">
        <v>11317</v>
      </c>
      <c r="X44" s="64">
        <v>2425</v>
      </c>
      <c r="Y44" s="64">
        <v>20654300</v>
      </c>
      <c r="Z44" s="64">
        <v>808400</v>
      </c>
    </row>
    <row r="45" spans="1:26" ht="15" customHeight="1">
      <c r="A45" s="23">
        <v>43</v>
      </c>
      <c r="B45" s="23">
        <v>114</v>
      </c>
      <c r="C45" t="str">
        <f t="shared" si="2"/>
        <v>レジデンス目白豊島</v>
      </c>
      <c r="D45" s="23">
        <v>664</v>
      </c>
      <c r="E45" s="23" t="str">
        <f t="shared" si="3"/>
        <v>建物</v>
      </c>
      <c r="F45" s="23" t="s">
        <v>2093</v>
      </c>
      <c r="H45" s="23" t="s">
        <v>881</v>
      </c>
      <c r="I45" s="77">
        <v>29.51</v>
      </c>
      <c r="J45" s="77">
        <v>29.51</v>
      </c>
      <c r="K45" s="23">
        <v>1</v>
      </c>
      <c r="L45" s="23">
        <v>1</v>
      </c>
      <c r="M45" s="23" t="s">
        <v>1017</v>
      </c>
      <c r="N45" s="23" t="s">
        <v>1017</v>
      </c>
      <c r="O45" s="64">
        <v>23424</v>
      </c>
      <c r="P45" s="64">
        <v>5019</v>
      </c>
      <c r="Q45" s="64">
        <v>20654300</v>
      </c>
      <c r="R45" s="64"/>
      <c r="S45" s="64">
        <v>23424</v>
      </c>
      <c r="T45" s="64">
        <v>5019</v>
      </c>
      <c r="U45" s="64">
        <v>20654300</v>
      </c>
      <c r="V45" s="64">
        <v>1673200</v>
      </c>
      <c r="W45" s="64">
        <v>23424</v>
      </c>
      <c r="X45" s="64">
        <v>5019</v>
      </c>
      <c r="Y45" s="64">
        <v>20654300</v>
      </c>
      <c r="Z45" s="64">
        <v>1673200</v>
      </c>
    </row>
    <row r="46" spans="1:26" ht="15" customHeight="1">
      <c r="A46" s="23">
        <v>44</v>
      </c>
      <c r="B46" s="23">
        <v>114</v>
      </c>
      <c r="C46" t="str">
        <f t="shared" si="2"/>
        <v>レジデンス目白豊島</v>
      </c>
      <c r="D46" s="23">
        <v>664</v>
      </c>
      <c r="E46" s="23" t="str">
        <f t="shared" si="3"/>
        <v>建物</v>
      </c>
      <c r="F46" s="23" t="s">
        <v>2094</v>
      </c>
      <c r="H46" s="23" t="s">
        <v>881</v>
      </c>
      <c r="I46" s="77">
        <v>14.26</v>
      </c>
      <c r="J46" s="77">
        <v>14.26</v>
      </c>
      <c r="K46" s="23">
        <v>1</v>
      </c>
      <c r="L46" s="23">
        <v>1</v>
      </c>
      <c r="M46" s="23" t="s">
        <v>1017</v>
      </c>
      <c r="N46" s="23" t="s">
        <v>1017</v>
      </c>
      <c r="O46" s="64">
        <v>11317</v>
      </c>
      <c r="P46" s="64">
        <v>2425</v>
      </c>
      <c r="Q46" s="64">
        <v>20654300</v>
      </c>
      <c r="R46" s="64"/>
      <c r="S46" s="64">
        <v>11317</v>
      </c>
      <c r="T46" s="64">
        <v>2425</v>
      </c>
      <c r="U46" s="64">
        <v>20654300</v>
      </c>
      <c r="V46" s="64">
        <v>808400</v>
      </c>
      <c r="W46" s="64">
        <v>11317</v>
      </c>
      <c r="X46" s="64">
        <v>2425</v>
      </c>
      <c r="Y46" s="64">
        <v>20654300</v>
      </c>
      <c r="Z46" s="64">
        <v>808400</v>
      </c>
    </row>
    <row r="47" spans="1:26" ht="15" customHeight="1">
      <c r="A47" s="23">
        <v>45</v>
      </c>
      <c r="B47" s="23">
        <v>114</v>
      </c>
      <c r="C47" t="str">
        <f t="shared" si="2"/>
        <v>レジデンス目白豊島</v>
      </c>
      <c r="D47" s="23">
        <v>664</v>
      </c>
      <c r="E47" s="23" t="str">
        <f t="shared" si="3"/>
        <v>建物</v>
      </c>
      <c r="F47" s="23" t="s">
        <v>2095</v>
      </c>
      <c r="H47" s="23" t="s">
        <v>881</v>
      </c>
      <c r="I47" s="77">
        <v>14.26</v>
      </c>
      <c r="J47" s="77">
        <v>14.26</v>
      </c>
      <c r="K47" s="23">
        <v>1</v>
      </c>
      <c r="L47" s="23">
        <v>1</v>
      </c>
      <c r="M47" s="23" t="s">
        <v>1017</v>
      </c>
      <c r="N47" s="23" t="s">
        <v>1017</v>
      </c>
      <c r="O47" s="64">
        <v>11317</v>
      </c>
      <c r="P47" s="64">
        <v>2425</v>
      </c>
      <c r="Q47" s="64">
        <v>20654300</v>
      </c>
      <c r="R47" s="64"/>
      <c r="S47" s="64">
        <v>11317</v>
      </c>
      <c r="T47" s="64">
        <v>2425</v>
      </c>
      <c r="U47" s="64">
        <v>20654300</v>
      </c>
      <c r="V47" s="64">
        <v>808400</v>
      </c>
      <c r="W47" s="64">
        <v>11317</v>
      </c>
      <c r="X47" s="64">
        <v>2425</v>
      </c>
      <c r="Y47" s="64">
        <v>20654300</v>
      </c>
      <c r="Z47" s="64">
        <v>808400</v>
      </c>
    </row>
    <row r="48" spans="1:26" ht="15" customHeight="1">
      <c r="A48" s="23">
        <v>46</v>
      </c>
      <c r="B48" s="23">
        <v>114</v>
      </c>
      <c r="C48" t="str">
        <f t="shared" si="2"/>
        <v>レジデンス目白豊島</v>
      </c>
      <c r="D48" s="23">
        <v>664</v>
      </c>
      <c r="E48" s="23" t="str">
        <f t="shared" si="3"/>
        <v>建物</v>
      </c>
      <c r="F48" s="23" t="s">
        <v>2096</v>
      </c>
      <c r="H48" s="23" t="s">
        <v>881</v>
      </c>
      <c r="I48" s="77">
        <v>14.26</v>
      </c>
      <c r="J48" s="77">
        <v>14.26</v>
      </c>
      <c r="K48" s="23">
        <v>1</v>
      </c>
      <c r="L48" s="23">
        <v>1</v>
      </c>
      <c r="M48" s="23" t="s">
        <v>1017</v>
      </c>
      <c r="N48" s="23" t="s">
        <v>1017</v>
      </c>
      <c r="O48" s="64">
        <v>11317</v>
      </c>
      <c r="P48" s="64">
        <v>2425</v>
      </c>
      <c r="Q48" s="64">
        <v>20654300</v>
      </c>
      <c r="R48" s="64"/>
      <c r="S48" s="64">
        <v>11317</v>
      </c>
      <c r="T48" s="64">
        <v>2425</v>
      </c>
      <c r="U48" s="64">
        <v>20654300</v>
      </c>
      <c r="V48" s="64">
        <v>808400</v>
      </c>
      <c r="W48" s="64">
        <v>11317</v>
      </c>
      <c r="X48" s="64">
        <v>2425</v>
      </c>
      <c r="Y48" s="64">
        <v>20654300</v>
      </c>
      <c r="Z48" s="64">
        <v>808400</v>
      </c>
    </row>
    <row r="49" spans="1:26" ht="15" customHeight="1">
      <c r="A49" s="23">
        <v>47</v>
      </c>
      <c r="B49" s="23">
        <v>114</v>
      </c>
      <c r="C49" t="str">
        <f t="shared" si="2"/>
        <v>レジデンス目白豊島</v>
      </c>
      <c r="D49" s="23">
        <v>664</v>
      </c>
      <c r="E49" s="23" t="str">
        <f t="shared" si="3"/>
        <v>建物</v>
      </c>
      <c r="F49" s="23" t="s">
        <v>2097</v>
      </c>
      <c r="H49" s="23" t="s">
        <v>881</v>
      </c>
      <c r="I49" s="77">
        <v>14.26</v>
      </c>
      <c r="J49" s="77">
        <v>14.26</v>
      </c>
      <c r="K49" s="23">
        <v>1</v>
      </c>
      <c r="L49" s="23">
        <v>1</v>
      </c>
      <c r="M49" s="23" t="s">
        <v>1017</v>
      </c>
      <c r="N49" s="23" t="s">
        <v>1017</v>
      </c>
      <c r="O49" s="64">
        <v>11317</v>
      </c>
      <c r="P49" s="64">
        <v>2425</v>
      </c>
      <c r="Q49" s="64">
        <v>20654300</v>
      </c>
      <c r="R49" s="64"/>
      <c r="S49" s="64">
        <v>11317</v>
      </c>
      <c r="T49" s="64">
        <v>2425</v>
      </c>
      <c r="U49" s="64">
        <v>20654300</v>
      </c>
      <c r="V49" s="64">
        <v>808400</v>
      </c>
      <c r="W49" s="64">
        <v>11317</v>
      </c>
      <c r="X49" s="64">
        <v>2425</v>
      </c>
      <c r="Y49" s="64">
        <v>20654300</v>
      </c>
      <c r="Z49" s="64">
        <v>808400</v>
      </c>
    </row>
    <row r="50" spans="1:26" ht="15" customHeight="1">
      <c r="A50" s="23">
        <v>48</v>
      </c>
      <c r="B50" s="23">
        <v>115</v>
      </c>
      <c r="C50" t="str">
        <f t="shared" si="2"/>
        <v>コアプラス大塚</v>
      </c>
      <c r="D50" s="23">
        <v>661</v>
      </c>
      <c r="E50" s="23" t="str">
        <f t="shared" si="3"/>
        <v>土地</v>
      </c>
      <c r="F50" s="23" t="s">
        <v>2098</v>
      </c>
      <c r="H50" s="23" t="s">
        <v>881</v>
      </c>
      <c r="I50" s="77">
        <v>443.07</v>
      </c>
      <c r="J50" s="77">
        <v>443.07</v>
      </c>
      <c r="K50" s="23">
        <v>1</v>
      </c>
      <c r="L50" s="23">
        <v>1</v>
      </c>
      <c r="M50" s="23" t="s">
        <v>1017</v>
      </c>
      <c r="N50" s="23" t="s">
        <v>1017</v>
      </c>
      <c r="O50" s="64">
        <v>363928</v>
      </c>
      <c r="P50" s="64">
        <v>77984</v>
      </c>
      <c r="Q50" s="64">
        <v>174271390</v>
      </c>
      <c r="R50" s="64"/>
      <c r="S50" s="64">
        <v>363928</v>
      </c>
      <c r="T50" s="64">
        <v>77984</v>
      </c>
      <c r="U50" s="64">
        <v>174271390</v>
      </c>
      <c r="V50" s="64">
        <v>25994916</v>
      </c>
      <c r="W50" s="64">
        <v>363928</v>
      </c>
      <c r="X50" s="64">
        <v>77984</v>
      </c>
      <c r="Y50" s="64">
        <v>155969500</v>
      </c>
      <c r="Z50" s="64">
        <v>25994916</v>
      </c>
    </row>
    <row r="51" spans="1:26" ht="15" customHeight="1">
      <c r="A51" s="23">
        <v>49</v>
      </c>
      <c r="B51" s="23">
        <v>115</v>
      </c>
      <c r="C51" t="str">
        <f t="shared" si="2"/>
        <v>コアプラス大塚</v>
      </c>
      <c r="D51" s="23">
        <v>664</v>
      </c>
      <c r="E51" s="23" t="str">
        <f t="shared" si="3"/>
        <v>建物</v>
      </c>
      <c r="F51" s="23" t="s">
        <v>2099</v>
      </c>
      <c r="H51" s="23" t="s">
        <v>881</v>
      </c>
      <c r="I51" s="77">
        <v>1490.43</v>
      </c>
      <c r="J51" s="77">
        <v>1490.43</v>
      </c>
      <c r="K51" s="23">
        <v>1</v>
      </c>
      <c r="L51" s="23">
        <v>1</v>
      </c>
      <c r="M51" s="23" t="s">
        <v>1017</v>
      </c>
      <c r="N51" s="23" t="s">
        <v>1017</v>
      </c>
      <c r="O51" s="64">
        <v>1729873</v>
      </c>
      <c r="P51" s="64">
        <v>370687</v>
      </c>
      <c r="Q51" s="64">
        <v>123562400</v>
      </c>
      <c r="R51" s="64"/>
      <c r="S51" s="64">
        <v>1729873</v>
      </c>
      <c r="T51" s="64">
        <v>370687</v>
      </c>
      <c r="U51" s="64">
        <v>123562400</v>
      </c>
      <c r="V51" s="64">
        <v>123562400</v>
      </c>
      <c r="W51" s="64">
        <v>1729873</v>
      </c>
      <c r="X51" s="64">
        <v>370687</v>
      </c>
      <c r="Y51" s="64">
        <v>123562400</v>
      </c>
      <c r="Z51" s="64">
        <v>123562400</v>
      </c>
    </row>
    <row r="52" spans="1:26" ht="15" customHeight="1">
      <c r="A52" s="23">
        <v>50</v>
      </c>
      <c r="B52" s="23">
        <v>116</v>
      </c>
      <c r="C52" t="str">
        <f t="shared" si="2"/>
        <v>コアプラスレジデンス梅田</v>
      </c>
      <c r="D52" s="23">
        <v>661</v>
      </c>
      <c r="E52" s="23" t="str">
        <f t="shared" si="3"/>
        <v>土地</v>
      </c>
      <c r="F52" s="23" t="s">
        <v>2100</v>
      </c>
      <c r="H52" s="23" t="s">
        <v>881</v>
      </c>
      <c r="I52" s="77">
        <v>207.8</v>
      </c>
      <c r="J52" s="77">
        <v>207.8</v>
      </c>
      <c r="K52" s="23">
        <v>1</v>
      </c>
      <c r="L52" s="23">
        <v>1</v>
      </c>
      <c r="M52" s="23" t="s">
        <v>1017</v>
      </c>
      <c r="N52" s="23" t="s">
        <v>1017</v>
      </c>
      <c r="O52" s="64">
        <v>210432</v>
      </c>
      <c r="P52" s="64">
        <v>45092</v>
      </c>
      <c r="Q52" s="64">
        <v>114941450</v>
      </c>
      <c r="R52" s="64"/>
      <c r="S52" s="64">
        <v>210432</v>
      </c>
      <c r="T52" s="64">
        <v>45092</v>
      </c>
      <c r="U52" s="64">
        <v>114941450</v>
      </c>
      <c r="V52" s="64">
        <v>15030866</v>
      </c>
      <c r="W52" s="64">
        <v>210432</v>
      </c>
      <c r="X52" s="64">
        <v>45092</v>
      </c>
      <c r="Y52" s="64">
        <v>90185200</v>
      </c>
      <c r="Z52" s="64">
        <v>15030866</v>
      </c>
    </row>
    <row r="53" spans="1:26" ht="15" customHeight="1">
      <c r="A53" s="23">
        <v>51</v>
      </c>
      <c r="B53" s="23">
        <v>116</v>
      </c>
      <c r="C53" t="str">
        <f t="shared" si="2"/>
        <v>コアプラスレジデンス梅田</v>
      </c>
      <c r="D53" s="23">
        <v>664</v>
      </c>
      <c r="E53" s="23" t="str">
        <f t="shared" si="3"/>
        <v>建物</v>
      </c>
      <c r="F53" s="23" t="s">
        <v>2101</v>
      </c>
      <c r="H53" s="23" t="s">
        <v>881</v>
      </c>
      <c r="I53" s="77">
        <v>966.35</v>
      </c>
      <c r="J53" s="77">
        <v>966.35</v>
      </c>
      <c r="K53" s="23">
        <v>1</v>
      </c>
      <c r="L53" s="23">
        <v>1</v>
      </c>
      <c r="M53" s="23" t="s">
        <v>1017</v>
      </c>
      <c r="N53" s="23" t="s">
        <v>1017</v>
      </c>
      <c r="O53" s="64">
        <v>755753</v>
      </c>
      <c r="P53" s="64">
        <v>161947</v>
      </c>
      <c r="Q53" s="64">
        <v>53982400</v>
      </c>
      <c r="R53" s="64"/>
      <c r="S53" s="64">
        <v>755753</v>
      </c>
      <c r="T53" s="64">
        <v>161947</v>
      </c>
      <c r="U53" s="64">
        <v>53982400</v>
      </c>
      <c r="V53" s="64">
        <v>53982400</v>
      </c>
      <c r="W53" s="64">
        <v>755753</v>
      </c>
      <c r="X53" s="64">
        <v>161947</v>
      </c>
      <c r="Y53" s="64">
        <v>53982400</v>
      </c>
      <c r="Z53" s="64">
        <v>53982400</v>
      </c>
    </row>
    <row r="54" spans="1:26" ht="15" customHeight="1">
      <c r="A54" s="23">
        <v>52</v>
      </c>
      <c r="B54" s="23">
        <v>117</v>
      </c>
      <c r="C54" t="str">
        <f t="shared" si="2"/>
        <v>高田馬場第4玉川ビル</v>
      </c>
      <c r="D54" s="23">
        <v>661</v>
      </c>
      <c r="E54" s="23" t="str">
        <f t="shared" si="3"/>
        <v>土地</v>
      </c>
      <c r="F54" s="23" t="s">
        <v>2102</v>
      </c>
      <c r="H54" s="23" t="s">
        <v>881</v>
      </c>
      <c r="I54" s="77">
        <v>179.23</v>
      </c>
      <c r="J54" s="77">
        <v>179.23</v>
      </c>
      <c r="K54" s="23">
        <v>1</v>
      </c>
      <c r="L54" s="23">
        <v>1</v>
      </c>
      <c r="M54" s="23" t="s">
        <v>1017</v>
      </c>
      <c r="N54" s="23" t="s">
        <v>1017</v>
      </c>
      <c r="O54" s="64">
        <v>144698</v>
      </c>
      <c r="P54" s="64">
        <v>31006</v>
      </c>
      <c r="Q54" s="64">
        <v>75126040</v>
      </c>
      <c r="R54" s="64"/>
      <c r="S54" s="64">
        <v>144698</v>
      </c>
      <c r="T54" s="64">
        <v>31006</v>
      </c>
      <c r="U54" s="64">
        <v>75126040</v>
      </c>
      <c r="V54" s="64">
        <v>10335596</v>
      </c>
      <c r="W54" s="64">
        <v>144698</v>
      </c>
      <c r="X54" s="64">
        <v>31006</v>
      </c>
      <c r="Y54" s="64">
        <v>62013580</v>
      </c>
      <c r="Z54" s="64">
        <v>10335596</v>
      </c>
    </row>
    <row r="55" spans="1:26" ht="15" customHeight="1">
      <c r="A55" s="23">
        <v>53</v>
      </c>
      <c r="B55" s="23">
        <v>117</v>
      </c>
      <c r="C55" t="str">
        <f t="shared" si="2"/>
        <v>高田馬場第4玉川ビル</v>
      </c>
      <c r="D55" s="23">
        <v>664</v>
      </c>
      <c r="E55" s="23" t="str">
        <f t="shared" si="3"/>
        <v>建物</v>
      </c>
      <c r="F55" s="23" t="s">
        <v>2103</v>
      </c>
      <c r="H55" s="23" t="s">
        <v>881</v>
      </c>
      <c r="I55" s="77">
        <v>343.46</v>
      </c>
      <c r="J55" s="77">
        <v>343.46</v>
      </c>
      <c r="K55" s="23">
        <v>1</v>
      </c>
      <c r="L55" s="23">
        <v>1</v>
      </c>
      <c r="M55" s="23" t="s">
        <v>1017</v>
      </c>
      <c r="N55" s="23" t="s">
        <v>1017</v>
      </c>
      <c r="O55" s="64">
        <v>141688</v>
      </c>
      <c r="P55" s="64">
        <v>30361</v>
      </c>
      <c r="Q55" s="64">
        <v>10120600</v>
      </c>
      <c r="R55" s="64"/>
      <c r="S55" s="64">
        <v>141688</v>
      </c>
      <c r="T55" s="64">
        <v>30361</v>
      </c>
      <c r="U55" s="64">
        <v>10120600</v>
      </c>
      <c r="V55" s="64">
        <v>10120600</v>
      </c>
      <c r="W55" s="64">
        <v>151558</v>
      </c>
      <c r="X55" s="64">
        <v>32476</v>
      </c>
      <c r="Y55" s="64">
        <v>10825600</v>
      </c>
      <c r="Z55" s="64">
        <v>10825600</v>
      </c>
    </row>
    <row r="56" spans="1:26" ht="15" customHeight="1">
      <c r="A56" s="23">
        <v>54</v>
      </c>
      <c r="B56" s="23">
        <v>120</v>
      </c>
      <c r="C56" t="str">
        <f t="shared" si="2"/>
        <v>南池袋マンション</v>
      </c>
      <c r="D56" s="23">
        <v>661</v>
      </c>
      <c r="E56" s="23" t="str">
        <f t="shared" si="3"/>
        <v>土地</v>
      </c>
      <c r="F56" s="23" t="s">
        <v>2104</v>
      </c>
      <c r="H56" s="23" t="s">
        <v>881</v>
      </c>
      <c r="I56" s="77">
        <v>177.15</v>
      </c>
      <c r="J56" s="77">
        <v>177.15</v>
      </c>
      <c r="K56" s="23">
        <v>1</v>
      </c>
      <c r="L56" s="23">
        <v>1</v>
      </c>
      <c r="M56" s="23" t="s">
        <v>1017</v>
      </c>
      <c r="N56" s="23" t="s">
        <v>1017</v>
      </c>
      <c r="O56" s="64">
        <v>167336</v>
      </c>
      <c r="P56" s="64">
        <v>35857</v>
      </c>
      <c r="Q56" s="64">
        <v>79056190</v>
      </c>
      <c r="R56" s="64"/>
      <c r="S56" s="64">
        <v>167336</v>
      </c>
      <c r="T56" s="64">
        <v>35857</v>
      </c>
      <c r="U56" s="64">
        <v>79056190</v>
      </c>
      <c r="V56" s="64">
        <v>11952605</v>
      </c>
      <c r="W56" s="64">
        <v>167336</v>
      </c>
      <c r="X56" s="64">
        <v>35857</v>
      </c>
      <c r="Y56" s="64">
        <v>71715630</v>
      </c>
      <c r="Z56" s="64">
        <v>11952605</v>
      </c>
    </row>
    <row r="57" spans="1:26" ht="15" customHeight="1">
      <c r="A57" s="23">
        <v>55</v>
      </c>
      <c r="B57" s="23">
        <v>120</v>
      </c>
      <c r="C57" t="str">
        <f t="shared" si="2"/>
        <v>南池袋マンション</v>
      </c>
      <c r="D57" s="23">
        <v>664</v>
      </c>
      <c r="E57" s="23" t="str">
        <f t="shared" si="3"/>
        <v>建物</v>
      </c>
      <c r="F57" s="23" t="s">
        <v>2105</v>
      </c>
      <c r="H57" s="23" t="s">
        <v>881</v>
      </c>
      <c r="I57" s="77">
        <v>349.27</v>
      </c>
      <c r="J57" s="77">
        <v>349.27</v>
      </c>
      <c r="K57" s="23">
        <v>1</v>
      </c>
      <c r="L57" s="23">
        <v>1</v>
      </c>
      <c r="M57" s="23" t="s">
        <v>1017</v>
      </c>
      <c r="N57" s="23" t="s">
        <v>1017</v>
      </c>
      <c r="O57" s="64">
        <v>264752</v>
      </c>
      <c r="P57" s="64">
        <v>56732</v>
      </c>
      <c r="Q57" s="64">
        <v>18910900</v>
      </c>
      <c r="R57" s="64"/>
      <c r="S57" s="64">
        <v>264752</v>
      </c>
      <c r="T57" s="64">
        <v>56732</v>
      </c>
      <c r="U57" s="64">
        <v>18910900</v>
      </c>
      <c r="V57" s="64">
        <v>18910900</v>
      </c>
      <c r="W57" s="64">
        <v>264752</v>
      </c>
      <c r="X57" s="64">
        <v>56732</v>
      </c>
      <c r="Y57" s="64">
        <v>18910900</v>
      </c>
      <c r="Z57" s="64">
        <v>18910900</v>
      </c>
    </row>
    <row r="58" spans="1:26" ht="15" customHeight="1">
      <c r="A58" s="23">
        <v>56</v>
      </c>
      <c r="B58" s="23">
        <v>120</v>
      </c>
      <c r="C58" t="str">
        <f t="shared" si="2"/>
        <v>南池袋マンション</v>
      </c>
      <c r="D58" s="23">
        <v>662</v>
      </c>
      <c r="E58" s="23" t="str">
        <f t="shared" si="3"/>
        <v>土地(道路)</v>
      </c>
      <c r="F58" s="23" t="s">
        <v>2106</v>
      </c>
      <c r="H58" s="23" t="s">
        <v>881</v>
      </c>
      <c r="I58" s="77">
        <v>129.68</v>
      </c>
      <c r="J58" s="77">
        <v>129.68</v>
      </c>
      <c r="K58" s="23">
        <v>1</v>
      </c>
      <c r="L58" s="23">
        <v>1</v>
      </c>
      <c r="M58" s="23" t="s">
        <v>1017</v>
      </c>
      <c r="N58" s="23" t="s">
        <v>1017</v>
      </c>
      <c r="O58" s="64">
        <v>0</v>
      </c>
      <c r="P58" s="64">
        <v>0</v>
      </c>
      <c r="Q58" s="64">
        <v>0</v>
      </c>
      <c r="R58" s="64"/>
      <c r="S58" s="64">
        <v>0</v>
      </c>
      <c r="T58" s="64">
        <v>0</v>
      </c>
      <c r="U58" s="64">
        <v>0</v>
      </c>
      <c r="V58" s="64">
        <v>0</v>
      </c>
      <c r="W58" s="64">
        <v>0</v>
      </c>
      <c r="X58" s="64">
        <v>0</v>
      </c>
      <c r="Y58" s="64">
        <v>0</v>
      </c>
      <c r="Z58" s="64">
        <v>0</v>
      </c>
    </row>
    <row r="59" spans="1:26" ht="15" customHeight="1">
      <c r="A59" s="23">
        <v>57</v>
      </c>
      <c r="B59" s="23">
        <v>221</v>
      </c>
      <c r="C59" t="str">
        <f t="shared" si="2"/>
        <v>ビジネス新大阪123号</v>
      </c>
      <c r="D59" s="23">
        <v>664</v>
      </c>
      <c r="E59" s="23" t="str">
        <f t="shared" si="3"/>
        <v>建物</v>
      </c>
      <c r="F59" s="23" t="s">
        <v>2107</v>
      </c>
      <c r="H59" s="23" t="s">
        <v>881</v>
      </c>
      <c r="I59" s="77">
        <v>19.899999999999999</v>
      </c>
      <c r="J59" s="77">
        <v>19.899999999999999</v>
      </c>
      <c r="K59" s="23" t="s">
        <v>1017</v>
      </c>
      <c r="L59" s="23" t="s">
        <v>1017</v>
      </c>
      <c r="M59" s="23">
        <v>316</v>
      </c>
      <c r="N59" s="23">
        <v>100000</v>
      </c>
      <c r="O59" s="64">
        <v>1761</v>
      </c>
      <c r="P59" s="64">
        <v>754</v>
      </c>
      <c r="Q59" s="64">
        <v>892339.76</v>
      </c>
      <c r="R59" s="64"/>
      <c r="S59" s="64">
        <v>1761</v>
      </c>
      <c r="T59" s="64">
        <v>754</v>
      </c>
      <c r="U59" s="64">
        <v>282386000</v>
      </c>
      <c r="V59" s="64">
        <v>39815500</v>
      </c>
      <c r="W59" s="64">
        <v>1761</v>
      </c>
      <c r="X59" s="64">
        <v>754</v>
      </c>
      <c r="Y59" s="64">
        <v>238893000</v>
      </c>
      <c r="Z59" s="64">
        <v>39815500</v>
      </c>
    </row>
    <row r="60" spans="1:26" ht="15" customHeight="1">
      <c r="A60" s="23">
        <v>58</v>
      </c>
      <c r="B60" s="23">
        <v>222</v>
      </c>
      <c r="C60" t="str">
        <f t="shared" si="2"/>
        <v>プラウD目白301号</v>
      </c>
      <c r="D60" s="23">
        <v>664</v>
      </c>
      <c r="E60" s="23" t="str">
        <f t="shared" si="3"/>
        <v>建物</v>
      </c>
      <c r="F60" s="23" t="s">
        <v>2108</v>
      </c>
      <c r="H60" s="23" t="s">
        <v>881</v>
      </c>
      <c r="I60" s="77">
        <v>79</v>
      </c>
      <c r="J60" s="77">
        <v>79</v>
      </c>
      <c r="K60" s="23" t="s">
        <v>1017</v>
      </c>
      <c r="L60" s="23" t="s">
        <v>1017</v>
      </c>
      <c r="M60" s="23">
        <v>1</v>
      </c>
      <c r="N60" s="23">
        <v>1</v>
      </c>
      <c r="O60" s="64">
        <v>98408</v>
      </c>
      <c r="P60" s="64">
        <v>21087</v>
      </c>
      <c r="Q60" s="64">
        <v>6972378.1681486527</v>
      </c>
      <c r="R60" s="64"/>
      <c r="S60" s="64">
        <v>7029310</v>
      </c>
      <c r="T60" s="64">
        <v>98409</v>
      </c>
      <c r="U60" s="64">
        <v>21097</v>
      </c>
      <c r="V60" s="64" t="s">
        <v>2109</v>
      </c>
      <c r="W60" s="64" t="s">
        <v>2109</v>
      </c>
      <c r="X60" s="64" t="s">
        <v>2109</v>
      </c>
      <c r="Y60" s="64" t="s">
        <v>2109</v>
      </c>
      <c r="Z60" s="64" t="s">
        <v>2109</v>
      </c>
    </row>
    <row r="61" spans="1:26" ht="15" customHeight="1">
      <c r="A61" s="23">
        <v>59</v>
      </c>
      <c r="B61" s="23">
        <v>222</v>
      </c>
      <c r="C61" t="str">
        <f t="shared" si="2"/>
        <v>プラウD目白301号</v>
      </c>
      <c r="D61" s="23">
        <v>661</v>
      </c>
      <c r="E61" s="23" t="str">
        <f t="shared" si="3"/>
        <v>土地</v>
      </c>
      <c r="F61" s="23" t="s">
        <v>2110</v>
      </c>
      <c r="H61" s="23" t="s">
        <v>881</v>
      </c>
      <c r="I61" s="77">
        <v>62.47</v>
      </c>
      <c r="J61" s="77">
        <v>2237.1999999999998</v>
      </c>
      <c r="K61" s="23" t="s">
        <v>1017</v>
      </c>
      <c r="L61" s="23" t="s">
        <v>1017</v>
      </c>
      <c r="M61" s="23">
        <v>9055</v>
      </c>
      <c r="N61" s="23">
        <v>324677</v>
      </c>
      <c r="O61" s="64">
        <v>47872</v>
      </c>
      <c r="P61" s="64">
        <v>10257</v>
      </c>
      <c r="Q61" s="64">
        <v>22311426.347878046</v>
      </c>
      <c r="R61" s="64"/>
      <c r="S61" s="64">
        <v>3231285</v>
      </c>
      <c r="T61" s="64">
        <v>6463590</v>
      </c>
      <c r="U61" s="64">
        <v>19387871.554621998</v>
      </c>
      <c r="V61" s="64" t="s">
        <v>2109</v>
      </c>
      <c r="W61" s="64" t="s">
        <v>2109</v>
      </c>
      <c r="X61" s="64" t="s">
        <v>2109</v>
      </c>
      <c r="Y61" s="64" t="s">
        <v>2109</v>
      </c>
      <c r="Z61" s="64" t="s">
        <v>2109</v>
      </c>
    </row>
    <row r="62" spans="1:26">
      <c r="A62" s="23">
        <v>60</v>
      </c>
      <c r="B62" s="23">
        <v>121</v>
      </c>
      <c r="C62" t="str">
        <f t="shared" si="2"/>
        <v>目白アパート1号館</v>
      </c>
      <c r="D62" s="23">
        <v>664</v>
      </c>
      <c r="E62" s="23" t="str">
        <f t="shared" ref="E62:E65" si="4">VLOOKUP(D62,id_settings,2,FALSE)</f>
        <v>建物</v>
      </c>
      <c r="F62" s="23" t="s">
        <v>2111</v>
      </c>
      <c r="H62" s="23" t="s">
        <v>881</v>
      </c>
      <c r="I62" s="77">
        <v>79</v>
      </c>
      <c r="J62" s="77">
        <v>79</v>
      </c>
      <c r="K62" s="23">
        <v>1</v>
      </c>
      <c r="L62" s="23">
        <v>1</v>
      </c>
      <c r="M62" s="23" t="s">
        <v>1017</v>
      </c>
      <c r="N62" s="23" t="s">
        <v>1017</v>
      </c>
      <c r="O62" s="64">
        <v>167336</v>
      </c>
      <c r="P62" s="64">
        <v>35857</v>
      </c>
      <c r="Q62" s="64">
        <v>79056190</v>
      </c>
      <c r="S62" s="64">
        <v>167336</v>
      </c>
      <c r="T62" s="64">
        <v>35857</v>
      </c>
      <c r="U62" s="64">
        <v>79056190</v>
      </c>
      <c r="V62" s="64" t="s">
        <v>2109</v>
      </c>
      <c r="W62" s="64" t="s">
        <v>2109</v>
      </c>
      <c r="X62" s="64" t="s">
        <v>2109</v>
      </c>
      <c r="Y62" s="64" t="s">
        <v>2109</v>
      </c>
      <c r="Z62" s="64" t="s">
        <v>2109</v>
      </c>
    </row>
    <row r="63" spans="1:26">
      <c r="A63" s="23">
        <v>61</v>
      </c>
      <c r="B63" s="23">
        <v>121</v>
      </c>
      <c r="C63" t="str">
        <f t="shared" si="2"/>
        <v>目白アパート1号館</v>
      </c>
      <c r="D63" s="23">
        <v>661</v>
      </c>
      <c r="E63" s="23" t="str">
        <f t="shared" si="4"/>
        <v>土地</v>
      </c>
      <c r="F63" s="23" t="s">
        <v>2112</v>
      </c>
      <c r="H63" s="23" t="s">
        <v>881</v>
      </c>
      <c r="I63" s="77">
        <v>79</v>
      </c>
      <c r="J63" s="77">
        <v>79</v>
      </c>
      <c r="K63" s="23">
        <v>1</v>
      </c>
      <c r="L63" s="23">
        <v>1</v>
      </c>
      <c r="M63" s="23" t="s">
        <v>1017</v>
      </c>
      <c r="N63" s="23" t="s">
        <v>1017</v>
      </c>
      <c r="O63" s="64">
        <v>264752</v>
      </c>
      <c r="P63" s="64">
        <v>56732</v>
      </c>
      <c r="Q63" s="64">
        <v>18910900</v>
      </c>
      <c r="S63" s="64">
        <v>264752</v>
      </c>
      <c r="T63" s="64">
        <v>56732</v>
      </c>
      <c r="U63" s="64">
        <v>18910900</v>
      </c>
      <c r="V63" s="64" t="s">
        <v>2109</v>
      </c>
      <c r="W63" s="64" t="s">
        <v>2109</v>
      </c>
      <c r="X63" s="64" t="s">
        <v>2109</v>
      </c>
      <c r="Y63" s="64" t="s">
        <v>2109</v>
      </c>
      <c r="Z63" s="64" t="s">
        <v>2109</v>
      </c>
    </row>
    <row r="64" spans="1:26">
      <c r="A64" s="23">
        <v>62</v>
      </c>
      <c r="B64" s="23">
        <v>122</v>
      </c>
      <c r="C64" t="str">
        <f t="shared" si="2"/>
        <v>目白アパート2号館</v>
      </c>
      <c r="D64" s="23">
        <v>664</v>
      </c>
      <c r="E64" s="23" t="str">
        <f t="shared" si="4"/>
        <v>建物</v>
      </c>
      <c r="F64" s="23" t="s">
        <v>2113</v>
      </c>
      <c r="H64" s="23" t="s">
        <v>881</v>
      </c>
      <c r="I64" s="77">
        <v>79</v>
      </c>
      <c r="J64" s="77">
        <v>79</v>
      </c>
      <c r="K64" s="23">
        <v>1</v>
      </c>
      <c r="L64" s="23">
        <v>1</v>
      </c>
      <c r="M64" s="23" t="s">
        <v>1017</v>
      </c>
      <c r="N64" s="23" t="s">
        <v>1017</v>
      </c>
      <c r="O64" s="64">
        <v>167336</v>
      </c>
      <c r="P64" s="64">
        <v>35857</v>
      </c>
      <c r="Q64" s="64">
        <v>79056190</v>
      </c>
      <c r="S64" s="64">
        <v>167336</v>
      </c>
      <c r="T64" s="64">
        <v>35857</v>
      </c>
      <c r="U64" s="64">
        <v>79056190</v>
      </c>
      <c r="V64" s="64" t="s">
        <v>2109</v>
      </c>
      <c r="W64" s="64" t="s">
        <v>2109</v>
      </c>
      <c r="X64" s="64" t="s">
        <v>2109</v>
      </c>
      <c r="Y64" s="64" t="s">
        <v>2109</v>
      </c>
      <c r="Z64" s="64" t="s">
        <v>2109</v>
      </c>
    </row>
    <row r="65" spans="1:26">
      <c r="A65" s="23">
        <v>63</v>
      </c>
      <c r="B65" s="23">
        <v>122</v>
      </c>
      <c r="C65" t="str">
        <f t="shared" si="2"/>
        <v>目白アパート2号館</v>
      </c>
      <c r="D65" s="23">
        <v>661</v>
      </c>
      <c r="E65" s="23" t="str">
        <f t="shared" si="4"/>
        <v>土地</v>
      </c>
      <c r="F65" s="23" t="s">
        <v>2114</v>
      </c>
      <c r="H65" s="23" t="s">
        <v>881</v>
      </c>
      <c r="I65" s="77">
        <v>79</v>
      </c>
      <c r="J65" s="77">
        <v>79</v>
      </c>
      <c r="K65" s="23">
        <v>1</v>
      </c>
      <c r="L65" s="23">
        <v>1</v>
      </c>
      <c r="M65" s="23" t="s">
        <v>1017</v>
      </c>
      <c r="N65" s="23" t="s">
        <v>1017</v>
      </c>
      <c r="O65" s="64">
        <v>264752</v>
      </c>
      <c r="P65" s="64">
        <v>56732</v>
      </c>
      <c r="Q65" s="64">
        <v>18910900</v>
      </c>
      <c r="S65" s="64">
        <v>264752</v>
      </c>
      <c r="T65" s="64">
        <v>56732</v>
      </c>
      <c r="U65" s="64">
        <v>18910900</v>
      </c>
      <c r="V65" s="64" t="s">
        <v>2109</v>
      </c>
      <c r="W65" s="64" t="s">
        <v>2109</v>
      </c>
      <c r="X65" s="64" t="s">
        <v>2109</v>
      </c>
      <c r="Y65" s="64" t="s">
        <v>2109</v>
      </c>
      <c r="Z65" s="64" t="s">
        <v>2109</v>
      </c>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s">
        <v>2115</v>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s">
        <v>2123</v>
      </c>
      <c r="E3" s="96" t="s">
        <v>2124</v>
      </c>
      <c r="F3" s="96" t="s">
        <v>2125</v>
      </c>
      <c r="G3" s="96" t="s">
        <v>2126</v>
      </c>
      <c r="H3" s="96" t="s">
        <v>2127</v>
      </c>
      <c r="I3" s="96" t="s">
        <v>2128</v>
      </c>
      <c r="J3" s="96" t="s">
        <v>2129</v>
      </c>
      <c r="K3" s="96" t="s">
        <v>2130</v>
      </c>
      <c r="L3" s="96" t="s">
        <v>2131</v>
      </c>
      <c r="M3" s="96" t="s">
        <v>2132</v>
      </c>
    </row>
    <row r="4" spans="1:13">
      <c r="A4" s="97" t="s">
        <v>2133</v>
      </c>
      <c r="B4" s="98"/>
      <c r="C4" s="98"/>
      <c r="D4" s="99"/>
      <c r="E4" s="99"/>
      <c r="F4" s="99"/>
      <c r="G4" s="99"/>
      <c r="H4" s="99"/>
      <c r="I4" s="99"/>
      <c r="J4" s="99"/>
      <c r="K4" s="99"/>
      <c r="L4" s="99"/>
      <c r="M4" s="99"/>
    </row>
    <row r="5" spans="1:13">
      <c r="A5" s="97" t="s">
        <v>2134</v>
      </c>
      <c r="B5" s="98">
        <v>551335733</v>
      </c>
      <c r="C5" s="98">
        <v>551335733</v>
      </c>
      <c r="D5" s="99">
        <v>168052626</v>
      </c>
      <c r="E5" s="99">
        <v>27347048</v>
      </c>
      <c r="F5" s="99">
        <v>21794277</v>
      </c>
      <c r="G5" s="99">
        <v>23273061</v>
      </c>
      <c r="H5" s="99">
        <v>16105913</v>
      </c>
      <c r="I5" s="99">
        <v>27345402</v>
      </c>
      <c r="J5" s="99">
        <v>22770000</v>
      </c>
      <c r="K5" s="99">
        <v>25066515</v>
      </c>
      <c r="L5" s="99">
        <v>16852746</v>
      </c>
      <c r="M5" s="99">
        <v>0</v>
      </c>
    </row>
    <row r="6" spans="1:13">
      <c r="A6" s="97" t="s">
        <v>2135</v>
      </c>
      <c r="B6" s="98">
        <v>2975659</v>
      </c>
      <c r="C6" s="98">
        <v>2975659</v>
      </c>
      <c r="D6" s="99">
        <v>1301740</v>
      </c>
      <c r="E6" s="99">
        <v>0</v>
      </c>
      <c r="F6" s="99">
        <v>0</v>
      </c>
      <c r="G6" s="99">
        <v>300376</v>
      </c>
      <c r="H6" s="99">
        <v>63350</v>
      </c>
      <c r="I6" s="99">
        <v>0</v>
      </c>
      <c r="J6" s="99">
        <v>0</v>
      </c>
      <c r="K6" s="99">
        <v>30800</v>
      </c>
      <c r="L6" s="99">
        <v>0</v>
      </c>
      <c r="M6" s="99">
        <v>0</v>
      </c>
    </row>
    <row r="7" spans="1:13">
      <c r="A7" s="97" t="s">
        <v>2136</v>
      </c>
      <c r="B7" s="98">
        <v>12047492</v>
      </c>
      <c r="C7" s="98">
        <v>12047492</v>
      </c>
      <c r="D7" s="99">
        <v>2277485</v>
      </c>
      <c r="E7" s="99">
        <v>856000</v>
      </c>
      <c r="F7" s="99">
        <v>353000</v>
      </c>
      <c r="G7" s="99">
        <v>595500</v>
      </c>
      <c r="H7" s="99">
        <v>262000</v>
      </c>
      <c r="I7" s="99">
        <v>1805092</v>
      </c>
      <c r="J7" s="99">
        <v>0</v>
      </c>
      <c r="K7" s="99">
        <v>948315</v>
      </c>
      <c r="L7" s="99">
        <v>0</v>
      </c>
      <c r="M7" s="99">
        <v>0</v>
      </c>
    </row>
    <row r="8" spans="1:13">
      <c r="A8" s="97" t="s">
        <v>2137</v>
      </c>
      <c r="B8" s="98">
        <v>5836037</v>
      </c>
      <c r="C8" s="98">
        <v>5836037</v>
      </c>
      <c r="D8" s="99">
        <v>1215008</v>
      </c>
      <c r="E8" s="99">
        <v>756113</v>
      </c>
      <c r="F8" s="99">
        <v>143000</v>
      </c>
      <c r="G8" s="99">
        <v>116292</v>
      </c>
      <c r="H8" s="99">
        <v>236940</v>
      </c>
      <c r="I8" s="99">
        <v>0</v>
      </c>
      <c r="J8" s="99">
        <v>0</v>
      </c>
      <c r="K8" s="99">
        <v>130900</v>
      </c>
      <c r="L8" s="99">
        <v>0</v>
      </c>
      <c r="M8" s="99">
        <v>0</v>
      </c>
    </row>
    <row r="9" spans="1:13">
      <c r="A9" s="97" t="s">
        <v>2138</v>
      </c>
      <c r="B9" s="98">
        <v>402125</v>
      </c>
      <c r="C9" s="98">
        <v>402125</v>
      </c>
      <c r="D9" s="99">
        <v>402125</v>
      </c>
      <c r="E9" s="99">
        <v>0</v>
      </c>
      <c r="F9" s="99">
        <v>0</v>
      </c>
      <c r="G9" s="99">
        <v>0</v>
      </c>
      <c r="H9" s="99">
        <v>0</v>
      </c>
      <c r="I9" s="99">
        <v>0</v>
      </c>
      <c r="J9" s="99">
        <v>0</v>
      </c>
      <c r="K9" s="99">
        <v>0</v>
      </c>
      <c r="L9" s="99">
        <v>0</v>
      </c>
      <c r="M9" s="99">
        <v>0</v>
      </c>
    </row>
    <row r="10" spans="1:13">
      <c r="A10" s="97" t="s">
        <v>2139</v>
      </c>
      <c r="B10" s="98">
        <v>197003705</v>
      </c>
      <c r="C10" s="98">
        <v>197003705</v>
      </c>
      <c r="D10" s="99">
        <v>133661579</v>
      </c>
      <c r="E10" s="99">
        <v>0</v>
      </c>
      <c r="F10" s="99">
        <v>0</v>
      </c>
      <c r="G10" s="99">
        <v>0</v>
      </c>
      <c r="H10" s="99">
        <v>0</v>
      </c>
      <c r="I10" s="99">
        <v>0</v>
      </c>
      <c r="J10" s="99">
        <v>0</v>
      </c>
      <c r="K10" s="99">
        <v>0</v>
      </c>
      <c r="L10" s="99">
        <v>0</v>
      </c>
      <c r="M10" s="99">
        <v>0</v>
      </c>
    </row>
    <row r="11" spans="1:13">
      <c r="A11" s="97" t="s">
        <v>2140</v>
      </c>
      <c r="B11" s="98">
        <v>0</v>
      </c>
      <c r="C11" s="98">
        <v>0</v>
      </c>
      <c r="D11" s="99">
        <v>0</v>
      </c>
      <c r="E11" s="99">
        <v>0</v>
      </c>
      <c r="F11" s="99">
        <v>0</v>
      </c>
      <c r="G11" s="99">
        <v>0</v>
      </c>
      <c r="H11" s="99">
        <v>0</v>
      </c>
      <c r="I11" s="99">
        <v>0</v>
      </c>
      <c r="J11" s="99">
        <v>0</v>
      </c>
      <c r="K11" s="99">
        <v>0</v>
      </c>
      <c r="L11" s="99">
        <v>0</v>
      </c>
      <c r="M11" s="99">
        <v>0</v>
      </c>
    </row>
    <row r="12" spans="1:13">
      <c r="A12" s="97" t="s">
        <v>2141</v>
      </c>
      <c r="B12" s="98">
        <v>0</v>
      </c>
      <c r="C12" s="98">
        <v>27472500</v>
      </c>
      <c r="D12" s="99">
        <v>20790000</v>
      </c>
      <c r="E12" s="99">
        <v>0</v>
      </c>
      <c r="F12" s="99">
        <v>0</v>
      </c>
      <c r="G12" s="99">
        <v>0</v>
      </c>
      <c r="H12" s="99">
        <v>0</v>
      </c>
      <c r="I12" s="99">
        <v>0</v>
      </c>
      <c r="J12" s="99">
        <v>0</v>
      </c>
      <c r="K12" s="99">
        <v>0</v>
      </c>
      <c r="L12" s="99">
        <v>0</v>
      </c>
      <c r="M12" s="99">
        <v>6682500</v>
      </c>
    </row>
    <row r="13" spans="1:13">
      <c r="A13" s="97" t="s">
        <v>2142</v>
      </c>
      <c r="B13" s="98">
        <v>769600751</v>
      </c>
      <c r="C13" s="98">
        <v>797073251</v>
      </c>
      <c r="D13" s="99">
        <v>327700563</v>
      </c>
      <c r="E13" s="99">
        <v>28959161</v>
      </c>
      <c r="F13" s="99">
        <v>22290277</v>
      </c>
      <c r="G13" s="99">
        <v>24285229</v>
      </c>
      <c r="H13" s="99">
        <v>16668203</v>
      </c>
      <c r="I13" s="99">
        <v>29150494</v>
      </c>
      <c r="J13" s="99">
        <v>22770000</v>
      </c>
      <c r="K13" s="99">
        <v>26176530</v>
      </c>
      <c r="L13" s="99">
        <v>16852746</v>
      </c>
      <c r="M13" s="99">
        <v>6682500</v>
      </c>
    </row>
    <row r="14" spans="1:13">
      <c r="A14" s="97" t="s">
        <v>2143</v>
      </c>
      <c r="B14" s="98"/>
      <c r="C14" s="98"/>
      <c r="D14" s="99"/>
      <c r="E14" s="99"/>
      <c r="F14" s="99"/>
      <c r="G14" s="99"/>
      <c r="H14" s="99"/>
      <c r="I14" s="99"/>
      <c r="J14" s="99"/>
      <c r="K14" s="99"/>
      <c r="L14" s="99"/>
      <c r="M14" s="99"/>
    </row>
    <row r="15" spans="1:13">
      <c r="A15" s="97" t="s">
        <v>2144</v>
      </c>
      <c r="B15" s="98">
        <v>0</v>
      </c>
      <c r="C15" s="98">
        <v>0</v>
      </c>
      <c r="D15" s="99">
        <v>0</v>
      </c>
      <c r="E15" s="99">
        <v>0</v>
      </c>
      <c r="F15" s="99">
        <v>0</v>
      </c>
      <c r="G15" s="99">
        <v>0</v>
      </c>
      <c r="H15" s="99">
        <v>0</v>
      </c>
      <c r="I15" s="99">
        <v>0</v>
      </c>
      <c r="J15" s="99">
        <v>0</v>
      </c>
      <c r="K15" s="99">
        <v>0</v>
      </c>
      <c r="L15" s="99">
        <v>0</v>
      </c>
      <c r="M15" s="99">
        <v>0</v>
      </c>
    </row>
    <row r="16" spans="1:13">
      <c r="A16" s="97" t="s">
        <v>2145</v>
      </c>
      <c r="B16" s="98">
        <v>0</v>
      </c>
      <c r="C16" s="98">
        <v>0</v>
      </c>
      <c r="D16" s="99">
        <v>0</v>
      </c>
      <c r="E16" s="99">
        <v>0</v>
      </c>
      <c r="F16" s="99">
        <v>0</v>
      </c>
      <c r="G16" s="99">
        <v>0</v>
      </c>
      <c r="H16" s="99">
        <v>0</v>
      </c>
      <c r="I16" s="99">
        <v>0</v>
      </c>
      <c r="J16" s="99">
        <v>0</v>
      </c>
      <c r="K16" s="99">
        <v>0</v>
      </c>
      <c r="L16" s="99">
        <v>0</v>
      </c>
      <c r="M16" s="99">
        <v>0</v>
      </c>
    </row>
    <row r="17" spans="1:13">
      <c r="A17" s="97" t="s">
        <v>2146</v>
      </c>
      <c r="B17" s="98">
        <v>0</v>
      </c>
      <c r="C17" s="98">
        <v>0</v>
      </c>
      <c r="D17" s="99">
        <v>0</v>
      </c>
      <c r="E17" s="99">
        <v>0</v>
      </c>
      <c r="F17" s="99">
        <v>0</v>
      </c>
      <c r="G17" s="99">
        <v>0</v>
      </c>
      <c r="H17" s="99">
        <v>0</v>
      </c>
      <c r="I17" s="99">
        <v>0</v>
      </c>
      <c r="J17" s="99">
        <v>0</v>
      </c>
      <c r="K17" s="99">
        <v>0</v>
      </c>
      <c r="L17" s="99">
        <v>0</v>
      </c>
      <c r="M17" s="99">
        <v>0</v>
      </c>
    </row>
    <row r="18" spans="1:13">
      <c r="A18" s="97" t="s">
        <v>2147</v>
      </c>
      <c r="B18" s="98">
        <v>0</v>
      </c>
      <c r="C18" s="98">
        <v>0</v>
      </c>
      <c r="D18" s="99">
        <v>0</v>
      </c>
      <c r="E18" s="99">
        <v>0</v>
      </c>
      <c r="F18" s="99">
        <v>0</v>
      </c>
      <c r="G18" s="99">
        <v>0</v>
      </c>
      <c r="H18" s="99">
        <v>0</v>
      </c>
      <c r="I18" s="99">
        <v>0</v>
      </c>
      <c r="J18" s="99">
        <v>0</v>
      </c>
      <c r="K18" s="99">
        <v>0</v>
      </c>
      <c r="L18" s="99">
        <v>0</v>
      </c>
      <c r="M18" s="99">
        <v>0</v>
      </c>
    </row>
    <row r="19" spans="1:13">
      <c r="A19" s="97" t="s">
        <v>2148</v>
      </c>
      <c r="B19" s="98">
        <v>0</v>
      </c>
      <c r="C19" s="98">
        <v>0</v>
      </c>
      <c r="D19" s="99">
        <v>0</v>
      </c>
      <c r="E19" s="99">
        <v>0</v>
      </c>
      <c r="F19" s="99">
        <v>0</v>
      </c>
      <c r="G19" s="99">
        <v>0</v>
      </c>
      <c r="H19" s="99">
        <v>0</v>
      </c>
      <c r="I19" s="99">
        <v>0</v>
      </c>
      <c r="J19" s="99">
        <v>0</v>
      </c>
      <c r="K19" s="99">
        <v>0</v>
      </c>
      <c r="L19" s="99">
        <v>0</v>
      </c>
      <c r="M19" s="99">
        <v>0</v>
      </c>
    </row>
    <row r="20" spans="1:13">
      <c r="A20" s="97" t="s">
        <v>2149</v>
      </c>
      <c r="B20" s="98">
        <v>769600751</v>
      </c>
      <c r="C20" s="98">
        <v>797073251</v>
      </c>
      <c r="D20" s="99">
        <v>327700563</v>
      </c>
      <c r="E20" s="99">
        <v>28959161</v>
      </c>
      <c r="F20" s="99">
        <v>22290277</v>
      </c>
      <c r="G20" s="99">
        <v>24285229</v>
      </c>
      <c r="H20" s="99">
        <v>16668203</v>
      </c>
      <c r="I20" s="99">
        <v>29150494</v>
      </c>
      <c r="J20" s="99">
        <v>22770000</v>
      </c>
      <c r="K20" s="99">
        <v>26176530</v>
      </c>
      <c r="L20" s="99">
        <v>16852746</v>
      </c>
      <c r="M20" s="99">
        <v>6682500</v>
      </c>
    </row>
    <row r="21" spans="1:13">
      <c r="A21" s="97" t="s">
        <v>2150</v>
      </c>
      <c r="B21" s="98"/>
      <c r="C21" s="98"/>
      <c r="D21" s="99"/>
      <c r="E21" s="99"/>
      <c r="F21" s="99"/>
      <c r="G21" s="99"/>
      <c r="H21" s="99"/>
      <c r="I21" s="99"/>
      <c r="J21" s="99"/>
      <c r="K21" s="99"/>
      <c r="L21" s="99"/>
      <c r="M21" s="99"/>
    </row>
    <row r="22" spans="1:13">
      <c r="A22" s="97" t="s">
        <v>2151</v>
      </c>
      <c r="B22" s="98">
        <v>8962200</v>
      </c>
      <c r="C22" s="98">
        <v>8962200</v>
      </c>
      <c r="D22" s="99">
        <v>8962200</v>
      </c>
      <c r="E22" s="99">
        <v>0</v>
      </c>
      <c r="F22" s="99">
        <v>0</v>
      </c>
      <c r="G22" s="99">
        <v>0</v>
      </c>
      <c r="H22" s="99">
        <v>0</v>
      </c>
      <c r="I22" s="99">
        <v>0</v>
      </c>
      <c r="J22" s="99">
        <v>0</v>
      </c>
      <c r="K22" s="99">
        <v>0</v>
      </c>
      <c r="L22" s="99">
        <v>0</v>
      </c>
      <c r="M22" s="99">
        <v>0</v>
      </c>
    </row>
    <row r="23" spans="1:13">
      <c r="A23" s="97" t="s">
        <v>2152</v>
      </c>
      <c r="B23" s="98">
        <v>1670500</v>
      </c>
      <c r="C23" s="98">
        <v>1670500</v>
      </c>
      <c r="D23" s="99">
        <v>1670500</v>
      </c>
      <c r="E23" s="99">
        <v>0</v>
      </c>
      <c r="F23" s="99">
        <v>0</v>
      </c>
      <c r="G23" s="99">
        <v>0</v>
      </c>
      <c r="H23" s="99">
        <v>0</v>
      </c>
      <c r="I23" s="99">
        <v>0</v>
      </c>
      <c r="J23" s="99">
        <v>0</v>
      </c>
      <c r="K23" s="99">
        <v>0</v>
      </c>
      <c r="L23" s="99">
        <v>0</v>
      </c>
      <c r="M23" s="99">
        <v>0</v>
      </c>
    </row>
    <row r="24" spans="1:13">
      <c r="A24" s="97" t="s">
        <v>2153</v>
      </c>
      <c r="B24" s="98">
        <v>1165885</v>
      </c>
      <c r="C24" s="98">
        <v>1165885</v>
      </c>
      <c r="D24" s="99">
        <v>1165885</v>
      </c>
      <c r="E24" s="99">
        <v>0</v>
      </c>
      <c r="F24" s="99">
        <v>0</v>
      </c>
      <c r="G24" s="99">
        <v>0</v>
      </c>
      <c r="H24" s="99">
        <v>0</v>
      </c>
      <c r="I24" s="99">
        <v>0</v>
      </c>
      <c r="J24" s="99">
        <v>0</v>
      </c>
      <c r="K24" s="99">
        <v>0</v>
      </c>
      <c r="L24" s="99">
        <v>0</v>
      </c>
      <c r="M24" s="99">
        <v>0</v>
      </c>
    </row>
    <row r="25" spans="1:13">
      <c r="A25" s="97" t="s">
        <v>2154</v>
      </c>
      <c r="B25" s="98">
        <v>379010</v>
      </c>
      <c r="C25" s="98">
        <v>379010</v>
      </c>
      <c r="D25" s="99">
        <v>379010</v>
      </c>
      <c r="E25" s="99">
        <v>0</v>
      </c>
      <c r="F25" s="99">
        <v>0</v>
      </c>
      <c r="G25" s="99">
        <v>0</v>
      </c>
      <c r="H25" s="99">
        <v>0</v>
      </c>
      <c r="I25" s="99">
        <v>0</v>
      </c>
      <c r="J25" s="99">
        <v>0</v>
      </c>
      <c r="K25" s="99">
        <v>0</v>
      </c>
      <c r="L25" s="99">
        <v>0</v>
      </c>
      <c r="M25" s="99">
        <v>0</v>
      </c>
    </row>
    <row r="26" spans="1:13">
      <c r="A26" s="97" t="s">
        <v>2155</v>
      </c>
      <c r="B26" s="98">
        <v>26683083</v>
      </c>
      <c r="C26" s="98">
        <v>26683083</v>
      </c>
      <c r="D26" s="99">
        <v>8251043</v>
      </c>
      <c r="E26" s="99">
        <v>1305543</v>
      </c>
      <c r="F26" s="99">
        <v>1040454</v>
      </c>
      <c r="G26" s="99">
        <v>1109534</v>
      </c>
      <c r="H26" s="99">
        <v>771917</v>
      </c>
      <c r="I26" s="99">
        <v>1305467</v>
      </c>
      <c r="J26" s="99">
        <v>1087038</v>
      </c>
      <c r="K26" s="99">
        <v>1154904</v>
      </c>
      <c r="L26" s="99">
        <v>804549</v>
      </c>
      <c r="M26" s="99">
        <v>0</v>
      </c>
    </row>
    <row r="27" spans="1:13">
      <c r="A27" s="97" t="s">
        <v>2156</v>
      </c>
      <c r="B27" s="98">
        <v>24766976</v>
      </c>
      <c r="C27" s="98">
        <v>24766976</v>
      </c>
      <c r="D27" s="99">
        <v>9796586</v>
      </c>
      <c r="E27" s="99">
        <v>1354650</v>
      </c>
      <c r="F27" s="99">
        <v>652410</v>
      </c>
      <c r="G27" s="99">
        <v>900020</v>
      </c>
      <c r="H27" s="99">
        <v>409807</v>
      </c>
      <c r="I27" s="99">
        <v>1092960</v>
      </c>
      <c r="J27" s="99">
        <v>494568</v>
      </c>
      <c r="K27" s="99">
        <v>599940</v>
      </c>
      <c r="L27" s="99">
        <v>667480</v>
      </c>
      <c r="M27" s="99">
        <v>0</v>
      </c>
    </row>
    <row r="28" spans="1:13">
      <c r="A28" s="97" t="s">
        <v>2157</v>
      </c>
      <c r="B28" s="98">
        <v>10670814</v>
      </c>
      <c r="C28" s="98">
        <v>10670814</v>
      </c>
      <c r="D28" s="99">
        <v>3736213</v>
      </c>
      <c r="E28" s="99">
        <v>408885</v>
      </c>
      <c r="F28" s="99">
        <v>159558</v>
      </c>
      <c r="G28" s="99">
        <v>347423</v>
      </c>
      <c r="H28" s="99">
        <v>386058</v>
      </c>
      <c r="I28" s="99">
        <v>344593</v>
      </c>
      <c r="J28" s="99">
        <v>0</v>
      </c>
      <c r="K28" s="99">
        <v>371867</v>
      </c>
      <c r="L28" s="99">
        <v>310641</v>
      </c>
      <c r="M28" s="99">
        <v>0</v>
      </c>
    </row>
    <row r="29" spans="1:13">
      <c r="A29" s="97" t="s">
        <v>2158</v>
      </c>
      <c r="B29" s="98">
        <v>4168450</v>
      </c>
      <c r="C29" s="98">
        <v>4168450</v>
      </c>
      <c r="D29" s="99">
        <v>940750</v>
      </c>
      <c r="E29" s="99">
        <v>396000</v>
      </c>
      <c r="F29" s="99">
        <v>231000</v>
      </c>
      <c r="G29" s="99">
        <v>213000</v>
      </c>
      <c r="H29" s="99">
        <v>243500</v>
      </c>
      <c r="I29" s="99">
        <v>0</v>
      </c>
      <c r="J29" s="99">
        <v>0</v>
      </c>
      <c r="K29" s="99">
        <v>60750</v>
      </c>
      <c r="L29" s="99">
        <v>0</v>
      </c>
      <c r="M29" s="99">
        <v>0</v>
      </c>
    </row>
    <row r="30" spans="1:13">
      <c r="A30" s="97" t="s">
        <v>2159</v>
      </c>
      <c r="B30" s="98">
        <v>0</v>
      </c>
      <c r="C30" s="98">
        <v>0</v>
      </c>
      <c r="D30" s="99">
        <v>0</v>
      </c>
      <c r="E30" s="99">
        <v>0</v>
      </c>
      <c r="F30" s="99">
        <v>0</v>
      </c>
      <c r="G30" s="99">
        <v>0</v>
      </c>
      <c r="H30" s="99">
        <v>0</v>
      </c>
      <c r="I30" s="99">
        <v>0</v>
      </c>
      <c r="J30" s="99">
        <v>0</v>
      </c>
      <c r="K30" s="99">
        <v>0</v>
      </c>
      <c r="L30" s="99">
        <v>0</v>
      </c>
      <c r="M30" s="99">
        <v>0</v>
      </c>
    </row>
    <row r="31" spans="1:13">
      <c r="A31" s="97" t="s">
        <v>2160</v>
      </c>
      <c r="B31" s="98">
        <v>69224744</v>
      </c>
      <c r="C31" s="98">
        <v>69224744</v>
      </c>
      <c r="D31" s="99">
        <v>30365994</v>
      </c>
      <c r="E31" s="99">
        <v>3575814</v>
      </c>
      <c r="F31" s="99">
        <v>3040531</v>
      </c>
      <c r="G31" s="99">
        <v>5113818</v>
      </c>
      <c r="H31" s="99">
        <v>1945446</v>
      </c>
      <c r="I31" s="99">
        <v>1436110</v>
      </c>
      <c r="J31" s="99">
        <v>199320</v>
      </c>
      <c r="K31" s="99">
        <v>4015404</v>
      </c>
      <c r="L31" s="99">
        <v>17600</v>
      </c>
      <c r="M31" s="99">
        <v>0</v>
      </c>
    </row>
    <row r="32" spans="1:13">
      <c r="A32" s="97" t="s">
        <v>2161</v>
      </c>
      <c r="B32" s="98">
        <v>20877246</v>
      </c>
      <c r="C32" s="98">
        <v>20877246</v>
      </c>
      <c r="D32" s="99">
        <v>14366122</v>
      </c>
      <c r="E32" s="99">
        <v>0</v>
      </c>
      <c r="F32" s="99">
        <v>0</v>
      </c>
      <c r="G32" s="99">
        <v>11000</v>
      </c>
      <c r="H32" s="99">
        <v>0</v>
      </c>
      <c r="I32" s="99">
        <v>0</v>
      </c>
      <c r="J32" s="99">
        <v>0</v>
      </c>
      <c r="K32" s="99">
        <v>3520</v>
      </c>
      <c r="L32" s="99">
        <v>0</v>
      </c>
      <c r="M32" s="99">
        <v>0</v>
      </c>
    </row>
    <row r="33" spans="1:13">
      <c r="A33" s="97" t="s">
        <v>2162</v>
      </c>
      <c r="B33" s="98">
        <v>10710601</v>
      </c>
      <c r="C33" s="98">
        <v>10710601</v>
      </c>
      <c r="D33" s="99">
        <v>10710601</v>
      </c>
      <c r="E33" s="99">
        <v>0</v>
      </c>
      <c r="F33" s="99">
        <v>0</v>
      </c>
      <c r="G33" s="99">
        <v>0</v>
      </c>
      <c r="H33" s="99">
        <v>0</v>
      </c>
      <c r="I33" s="99">
        <v>0</v>
      </c>
      <c r="J33" s="99">
        <v>0</v>
      </c>
      <c r="K33" s="99">
        <v>0</v>
      </c>
      <c r="L33" s="99">
        <v>0</v>
      </c>
      <c r="M33" s="99">
        <v>0</v>
      </c>
    </row>
    <row r="34" spans="1:13">
      <c r="A34" s="97" t="s">
        <v>2163</v>
      </c>
      <c r="B34" s="98">
        <v>0</v>
      </c>
      <c r="C34" s="98">
        <v>27472500</v>
      </c>
      <c r="D34" s="99">
        <v>445500</v>
      </c>
      <c r="E34" s="99">
        <v>1930500</v>
      </c>
      <c r="F34" s="99">
        <v>1930500</v>
      </c>
      <c r="G34" s="99">
        <v>1930500</v>
      </c>
      <c r="H34" s="99">
        <v>1930500</v>
      </c>
      <c r="I34" s="99">
        <v>1930500</v>
      </c>
      <c r="J34" s="99">
        <v>1930500</v>
      </c>
      <c r="K34" s="99">
        <v>1930500</v>
      </c>
      <c r="L34" s="99">
        <v>1930500</v>
      </c>
      <c r="M34" s="99">
        <v>0</v>
      </c>
    </row>
    <row r="35" spans="1:13">
      <c r="A35" s="97" t="s">
        <v>2164</v>
      </c>
      <c r="B35" s="98">
        <v>1051925</v>
      </c>
      <c r="C35" s="98">
        <v>1051925</v>
      </c>
      <c r="D35" s="99">
        <v>1051925</v>
      </c>
      <c r="E35" s="99">
        <v>0</v>
      </c>
      <c r="F35" s="99">
        <v>0</v>
      </c>
      <c r="G35" s="99">
        <v>0</v>
      </c>
      <c r="H35" s="99">
        <v>0</v>
      </c>
      <c r="I35" s="99">
        <v>0</v>
      </c>
      <c r="J35" s="99">
        <v>0</v>
      </c>
      <c r="K35" s="99">
        <v>0</v>
      </c>
      <c r="L35" s="99">
        <v>0</v>
      </c>
      <c r="M35" s="99">
        <v>0</v>
      </c>
    </row>
    <row r="36" spans="1:13">
      <c r="A36" s="97" t="s">
        <v>2165</v>
      </c>
      <c r="B36" s="98">
        <v>3114160</v>
      </c>
      <c r="C36" s="98">
        <v>3114160</v>
      </c>
      <c r="D36" s="99">
        <v>3114160</v>
      </c>
      <c r="E36" s="99">
        <v>0</v>
      </c>
      <c r="F36" s="99">
        <v>0</v>
      </c>
      <c r="G36" s="99">
        <v>0</v>
      </c>
      <c r="H36" s="99">
        <v>0</v>
      </c>
      <c r="I36" s="99">
        <v>0</v>
      </c>
      <c r="J36" s="99">
        <v>0</v>
      </c>
      <c r="K36" s="99">
        <v>0</v>
      </c>
      <c r="L36" s="99">
        <v>0</v>
      </c>
      <c r="M36" s="99">
        <v>0</v>
      </c>
    </row>
    <row r="37" spans="1:13">
      <c r="A37" s="97" t="s">
        <v>2166</v>
      </c>
      <c r="B37" s="98">
        <v>933700</v>
      </c>
      <c r="C37" s="98">
        <v>933700</v>
      </c>
      <c r="D37" s="99">
        <v>933700</v>
      </c>
      <c r="E37" s="99">
        <v>0</v>
      </c>
      <c r="F37" s="99">
        <v>0</v>
      </c>
      <c r="G37" s="99">
        <v>0</v>
      </c>
      <c r="H37" s="99">
        <v>0</v>
      </c>
      <c r="I37" s="99">
        <v>0</v>
      </c>
      <c r="J37" s="99">
        <v>0</v>
      </c>
      <c r="K37" s="99">
        <v>0</v>
      </c>
      <c r="L37" s="99">
        <v>0</v>
      </c>
      <c r="M37" s="99">
        <v>0</v>
      </c>
    </row>
    <row r="38" spans="1:13">
      <c r="A38" s="97" t="s">
        <v>2167</v>
      </c>
      <c r="B38" s="98">
        <v>2929616</v>
      </c>
      <c r="C38" s="98">
        <v>2929616</v>
      </c>
      <c r="D38" s="99">
        <v>2924616</v>
      </c>
      <c r="E38" s="99">
        <v>0</v>
      </c>
      <c r="F38" s="99">
        <v>0</v>
      </c>
      <c r="G38" s="99">
        <v>0</v>
      </c>
      <c r="H38" s="99">
        <v>0</v>
      </c>
      <c r="I38" s="99">
        <v>0</v>
      </c>
      <c r="J38" s="99">
        <v>0</v>
      </c>
      <c r="K38" s="99">
        <v>0</v>
      </c>
      <c r="L38" s="99">
        <v>0</v>
      </c>
      <c r="M38" s="99">
        <v>0</v>
      </c>
    </row>
    <row r="39" spans="1:13">
      <c r="A39" s="97" t="s">
        <v>2168</v>
      </c>
      <c r="B39" s="98">
        <v>797832</v>
      </c>
      <c r="C39" s="98">
        <v>797832</v>
      </c>
      <c r="D39" s="99">
        <v>797832</v>
      </c>
      <c r="E39" s="99">
        <v>0</v>
      </c>
      <c r="F39" s="99">
        <v>0</v>
      </c>
      <c r="G39" s="99">
        <v>0</v>
      </c>
      <c r="H39" s="99">
        <v>0</v>
      </c>
      <c r="I39" s="99">
        <v>0</v>
      </c>
      <c r="J39" s="99">
        <v>0</v>
      </c>
      <c r="K39" s="99">
        <v>0</v>
      </c>
      <c r="L39" s="99">
        <v>0</v>
      </c>
      <c r="M39" s="99">
        <v>0</v>
      </c>
    </row>
    <row r="40" spans="1:13">
      <c r="A40" s="97" t="s">
        <v>2169</v>
      </c>
      <c r="B40" s="98">
        <v>9252559</v>
      </c>
      <c r="C40" s="98">
        <v>9252559</v>
      </c>
      <c r="D40" s="99">
        <v>9252559</v>
      </c>
      <c r="E40" s="99">
        <v>0</v>
      </c>
      <c r="F40" s="99">
        <v>0</v>
      </c>
      <c r="G40" s="99">
        <v>0</v>
      </c>
      <c r="H40" s="99">
        <v>0</v>
      </c>
      <c r="I40" s="99">
        <v>0</v>
      </c>
      <c r="J40" s="99">
        <v>0</v>
      </c>
      <c r="K40" s="99">
        <v>0</v>
      </c>
      <c r="L40" s="99">
        <v>0</v>
      </c>
      <c r="M40" s="99">
        <v>0</v>
      </c>
    </row>
    <row r="41" spans="1:13">
      <c r="A41" s="97" t="s">
        <v>2170</v>
      </c>
      <c r="B41" s="98">
        <v>0</v>
      </c>
      <c r="C41" s="98">
        <v>0</v>
      </c>
      <c r="D41" s="99">
        <v>0</v>
      </c>
      <c r="E41" s="99">
        <v>0</v>
      </c>
      <c r="F41" s="99">
        <v>0</v>
      </c>
      <c r="G41" s="99">
        <v>0</v>
      </c>
      <c r="H41" s="99">
        <v>0</v>
      </c>
      <c r="I41" s="99">
        <v>0</v>
      </c>
      <c r="J41" s="99">
        <v>0</v>
      </c>
      <c r="K41" s="99">
        <v>0</v>
      </c>
      <c r="L41" s="99">
        <v>0</v>
      </c>
      <c r="M41" s="99">
        <v>0</v>
      </c>
    </row>
    <row r="42" spans="1:13">
      <c r="A42" s="97" t="s">
        <v>2171</v>
      </c>
      <c r="B42" s="98">
        <v>788524</v>
      </c>
      <c r="C42" s="98">
        <v>788524</v>
      </c>
      <c r="D42" s="99">
        <v>759866</v>
      </c>
      <c r="E42" s="99">
        <v>0</v>
      </c>
      <c r="F42" s="99">
        <v>0</v>
      </c>
      <c r="G42" s="99">
        <v>0</v>
      </c>
      <c r="H42" s="99">
        <v>0</v>
      </c>
      <c r="I42" s="99">
        <v>0</v>
      </c>
      <c r="J42" s="99">
        <v>0</v>
      </c>
      <c r="K42" s="99">
        <v>0</v>
      </c>
      <c r="L42" s="99">
        <v>0</v>
      </c>
      <c r="M42" s="99">
        <v>0</v>
      </c>
    </row>
    <row r="43" spans="1:13">
      <c r="A43" s="97" t="s">
        <v>2172</v>
      </c>
      <c r="B43" s="98">
        <v>1001505</v>
      </c>
      <c r="C43" s="98">
        <v>1001505</v>
      </c>
      <c r="D43" s="99">
        <v>698187</v>
      </c>
      <c r="E43" s="99">
        <v>6325</v>
      </c>
      <c r="F43" s="99">
        <v>11275</v>
      </c>
      <c r="G43" s="99">
        <v>27665</v>
      </c>
      <c r="H43" s="99">
        <v>17435</v>
      </c>
      <c r="I43" s="99">
        <v>6325</v>
      </c>
      <c r="J43" s="99">
        <v>16225</v>
      </c>
      <c r="K43" s="99">
        <v>46965</v>
      </c>
      <c r="L43" s="99">
        <v>6325</v>
      </c>
      <c r="M43" s="99">
        <v>9900</v>
      </c>
    </row>
    <row r="44" spans="1:13">
      <c r="A44" s="97" t="s">
        <v>2173</v>
      </c>
      <c r="B44" s="98">
        <v>2971201</v>
      </c>
      <c r="C44" s="98">
        <v>2971201</v>
      </c>
      <c r="D44" s="99">
        <v>358701</v>
      </c>
      <c r="E44" s="99">
        <v>0</v>
      </c>
      <c r="F44" s="99">
        <v>0</v>
      </c>
      <c r="G44" s="99">
        <v>1237500</v>
      </c>
      <c r="H44" s="99">
        <v>0</v>
      </c>
      <c r="I44" s="99">
        <v>0</v>
      </c>
      <c r="J44" s="99">
        <v>0</v>
      </c>
      <c r="K44" s="99">
        <v>0</v>
      </c>
      <c r="L44" s="99">
        <v>0</v>
      </c>
      <c r="M44" s="99">
        <v>0</v>
      </c>
    </row>
    <row r="45" spans="1:13">
      <c r="A45" s="97" t="s">
        <v>2174</v>
      </c>
      <c r="B45" s="98">
        <v>0</v>
      </c>
      <c r="C45" s="98">
        <v>0</v>
      </c>
      <c r="D45" s="99">
        <v>0</v>
      </c>
      <c r="E45" s="99">
        <v>0</v>
      </c>
      <c r="F45" s="99">
        <v>0</v>
      </c>
      <c r="G45" s="99">
        <v>0</v>
      </c>
      <c r="H45" s="99">
        <v>0</v>
      </c>
      <c r="I45" s="99">
        <v>0</v>
      </c>
      <c r="J45" s="99">
        <v>0</v>
      </c>
      <c r="K45" s="99">
        <v>0</v>
      </c>
      <c r="L45" s="99">
        <v>0</v>
      </c>
      <c r="M45" s="99">
        <v>0</v>
      </c>
    </row>
    <row r="46" spans="1:13">
      <c r="A46" s="97" t="s">
        <v>2175</v>
      </c>
      <c r="B46" s="98">
        <v>834650</v>
      </c>
      <c r="C46" s="98">
        <v>834650</v>
      </c>
      <c r="D46" s="99">
        <v>276090</v>
      </c>
      <c r="E46" s="99">
        <v>45780</v>
      </c>
      <c r="F46" s="99">
        <v>20610</v>
      </c>
      <c r="G46" s="99">
        <v>20710</v>
      </c>
      <c r="H46" s="99">
        <v>11830</v>
      </c>
      <c r="I46" s="99">
        <v>19430</v>
      </c>
      <c r="J46" s="99">
        <v>10340</v>
      </c>
      <c r="K46" s="99">
        <v>20660</v>
      </c>
      <c r="L46" s="99">
        <v>19920</v>
      </c>
      <c r="M46" s="99">
        <v>0</v>
      </c>
    </row>
    <row r="47" spans="1:13">
      <c r="A47" s="97" t="s">
        <v>2176</v>
      </c>
      <c r="B47" s="98">
        <v>27379300</v>
      </c>
      <c r="C47" s="98">
        <v>27379300</v>
      </c>
      <c r="D47" s="99">
        <v>7671500</v>
      </c>
      <c r="E47" s="99">
        <v>1261100</v>
      </c>
      <c r="F47" s="99">
        <v>977000</v>
      </c>
      <c r="G47" s="99">
        <v>731800</v>
      </c>
      <c r="H47" s="99">
        <v>683600</v>
      </c>
      <c r="I47" s="99">
        <v>1234600</v>
      </c>
      <c r="J47" s="99">
        <v>1075800</v>
      </c>
      <c r="K47" s="99">
        <v>832200</v>
      </c>
      <c r="L47" s="99">
        <v>558900</v>
      </c>
      <c r="M47" s="99">
        <v>0</v>
      </c>
    </row>
    <row r="48" spans="1:13">
      <c r="A48" s="97" t="s">
        <v>2177</v>
      </c>
      <c r="B48" s="98">
        <v>2492484</v>
      </c>
      <c r="C48" s="98">
        <v>2492484</v>
      </c>
      <c r="D48" s="99">
        <v>2423688</v>
      </c>
      <c r="E48" s="99">
        <v>0</v>
      </c>
      <c r="F48" s="99">
        <v>0</v>
      </c>
      <c r="G48" s="99">
        <v>23996</v>
      </c>
      <c r="H48" s="99">
        <v>10600</v>
      </c>
      <c r="I48" s="99">
        <v>0</v>
      </c>
      <c r="J48" s="99">
        <v>0</v>
      </c>
      <c r="K48" s="99">
        <v>0</v>
      </c>
      <c r="L48" s="99">
        <v>0</v>
      </c>
      <c r="M48" s="99">
        <v>10000</v>
      </c>
    </row>
    <row r="49" spans="1:13">
      <c r="A49" s="97" t="s">
        <v>2178</v>
      </c>
      <c r="B49" s="98">
        <v>142036220</v>
      </c>
      <c r="C49" s="98">
        <v>142036220</v>
      </c>
      <c r="D49" s="99">
        <v>56112914</v>
      </c>
      <c r="E49" s="99">
        <v>4817160</v>
      </c>
      <c r="F49" s="99">
        <v>3459000</v>
      </c>
      <c r="G49" s="99">
        <v>7924107</v>
      </c>
      <c r="H49" s="99">
        <v>1523313</v>
      </c>
      <c r="I49" s="99">
        <v>4507461</v>
      </c>
      <c r="J49" s="99">
        <v>3652401</v>
      </c>
      <c r="K49" s="99">
        <v>4968452</v>
      </c>
      <c r="L49" s="99">
        <v>3225096</v>
      </c>
      <c r="M49" s="99">
        <v>0</v>
      </c>
    </row>
    <row r="50" spans="1:13">
      <c r="A50" s="97" t="s">
        <v>2179</v>
      </c>
      <c r="B50" s="98">
        <v>1568336</v>
      </c>
      <c r="C50" s="98">
        <v>1568336</v>
      </c>
      <c r="D50" s="99">
        <v>1238702</v>
      </c>
      <c r="E50" s="99">
        <v>0</v>
      </c>
      <c r="F50" s="99">
        <v>0</v>
      </c>
      <c r="G50" s="99">
        <v>29529</v>
      </c>
      <c r="H50" s="99">
        <v>10332</v>
      </c>
      <c r="I50" s="99">
        <v>0</v>
      </c>
      <c r="J50" s="99">
        <v>0</v>
      </c>
      <c r="K50" s="99">
        <v>0</v>
      </c>
      <c r="L50" s="99">
        <v>0</v>
      </c>
      <c r="M50" s="99">
        <v>0</v>
      </c>
    </row>
    <row r="51" spans="1:13">
      <c r="A51" s="97" t="s">
        <v>2180</v>
      </c>
      <c r="B51" s="98">
        <v>10200837</v>
      </c>
      <c r="C51" s="98">
        <v>10200837</v>
      </c>
      <c r="D51" s="99">
        <v>10200837</v>
      </c>
      <c r="E51" s="99">
        <v>0</v>
      </c>
      <c r="F51" s="99">
        <v>0</v>
      </c>
      <c r="G51" s="99">
        <v>0</v>
      </c>
      <c r="H51" s="99">
        <v>0</v>
      </c>
      <c r="I51" s="99">
        <v>0</v>
      </c>
      <c r="J51" s="99">
        <v>0</v>
      </c>
      <c r="K51" s="99">
        <v>0</v>
      </c>
      <c r="L51" s="99">
        <v>0</v>
      </c>
      <c r="M51" s="99">
        <v>0</v>
      </c>
    </row>
    <row r="52" spans="1:13">
      <c r="A52" s="97" t="s">
        <v>2181</v>
      </c>
      <c r="B52" s="98">
        <v>0</v>
      </c>
      <c r="C52" s="98">
        <v>0</v>
      </c>
      <c r="D52" s="99">
        <v>0</v>
      </c>
      <c r="E52" s="99">
        <v>0</v>
      </c>
      <c r="F52" s="99">
        <v>0</v>
      </c>
      <c r="G52" s="99">
        <v>0</v>
      </c>
      <c r="H52" s="99">
        <v>0</v>
      </c>
      <c r="I52" s="99">
        <v>0</v>
      </c>
      <c r="J52" s="99">
        <v>0</v>
      </c>
      <c r="K52" s="99">
        <v>0</v>
      </c>
      <c r="L52" s="99">
        <v>0</v>
      </c>
      <c r="M52" s="99">
        <v>0</v>
      </c>
    </row>
    <row r="53" spans="1:13">
      <c r="A53" s="97" t="s">
        <v>2182</v>
      </c>
      <c r="B53" s="98">
        <v>565745</v>
      </c>
      <c r="C53" s="98">
        <v>565745</v>
      </c>
      <c r="D53" s="99">
        <v>565745</v>
      </c>
      <c r="E53" s="99">
        <v>0</v>
      </c>
      <c r="F53" s="99">
        <v>0</v>
      </c>
      <c r="G53" s="99">
        <v>0</v>
      </c>
      <c r="H53" s="99">
        <v>0</v>
      </c>
      <c r="I53" s="99">
        <v>0</v>
      </c>
      <c r="J53" s="99">
        <v>0</v>
      </c>
      <c r="K53" s="99">
        <v>0</v>
      </c>
      <c r="L53" s="99">
        <v>0</v>
      </c>
      <c r="M53" s="99">
        <v>0</v>
      </c>
    </row>
    <row r="54" spans="1:13">
      <c r="A54" s="97" t="s">
        <v>2183</v>
      </c>
      <c r="B54" s="98">
        <v>1987424</v>
      </c>
      <c r="C54" s="98">
        <v>1987424</v>
      </c>
      <c r="D54" s="99">
        <v>1987424</v>
      </c>
      <c r="E54" s="99">
        <v>0</v>
      </c>
      <c r="F54" s="99">
        <v>0</v>
      </c>
      <c r="G54" s="99">
        <v>0</v>
      </c>
      <c r="H54" s="99">
        <v>0</v>
      </c>
      <c r="I54" s="99">
        <v>0</v>
      </c>
      <c r="J54" s="99">
        <v>0</v>
      </c>
      <c r="K54" s="99">
        <v>0</v>
      </c>
      <c r="L54" s="99">
        <v>0</v>
      </c>
      <c r="M54" s="99">
        <v>0</v>
      </c>
    </row>
    <row r="55" spans="1:13">
      <c r="A55" s="97" t="s">
        <v>2184</v>
      </c>
      <c r="B55" s="98">
        <v>0</v>
      </c>
      <c r="C55" s="98">
        <v>0</v>
      </c>
      <c r="D55" s="99">
        <v>0</v>
      </c>
      <c r="E55" s="99">
        <v>0</v>
      </c>
      <c r="F55" s="99">
        <v>0</v>
      </c>
      <c r="G55" s="99">
        <v>0</v>
      </c>
      <c r="H55" s="99">
        <v>0</v>
      </c>
      <c r="I55" s="99">
        <v>0</v>
      </c>
      <c r="J55" s="99">
        <v>0</v>
      </c>
      <c r="K55" s="99">
        <v>0</v>
      </c>
      <c r="L55" s="99">
        <v>0</v>
      </c>
      <c r="M55" s="99">
        <v>0</v>
      </c>
    </row>
    <row r="56" spans="1:13">
      <c r="A56" s="97" t="s">
        <v>2185</v>
      </c>
      <c r="B56" s="98">
        <v>0</v>
      </c>
      <c r="C56" s="98">
        <v>0</v>
      </c>
      <c r="D56" s="99">
        <v>0</v>
      </c>
      <c r="E56" s="99">
        <v>0</v>
      </c>
      <c r="F56" s="99">
        <v>0</v>
      </c>
      <c r="G56" s="99">
        <v>0</v>
      </c>
      <c r="H56" s="99">
        <v>0</v>
      </c>
      <c r="I56" s="99">
        <v>0</v>
      </c>
      <c r="J56" s="99">
        <v>0</v>
      </c>
      <c r="K56" s="99">
        <v>0</v>
      </c>
      <c r="L56" s="99">
        <v>0</v>
      </c>
      <c r="M56" s="99">
        <v>0</v>
      </c>
    </row>
    <row r="57" spans="1:13">
      <c r="A57" s="97" t="s">
        <v>2186</v>
      </c>
      <c r="B57" s="98">
        <v>0</v>
      </c>
      <c r="C57" s="98">
        <v>0</v>
      </c>
      <c r="D57" s="99">
        <v>0</v>
      </c>
      <c r="E57" s="99">
        <v>0</v>
      </c>
      <c r="F57" s="99">
        <v>0</v>
      </c>
      <c r="G57" s="99">
        <v>0</v>
      </c>
      <c r="H57" s="99">
        <v>0</v>
      </c>
      <c r="I57" s="99">
        <v>0</v>
      </c>
      <c r="J57" s="99">
        <v>0</v>
      </c>
      <c r="K57" s="99">
        <v>0</v>
      </c>
      <c r="L57" s="99">
        <v>0</v>
      </c>
      <c r="M57" s="99">
        <v>0</v>
      </c>
    </row>
    <row r="58" spans="1:13">
      <c r="A58" s="97" t="s">
        <v>2187</v>
      </c>
      <c r="B58" s="98">
        <v>0</v>
      </c>
      <c r="C58" s="98">
        <v>0</v>
      </c>
      <c r="D58" s="99">
        <v>0</v>
      </c>
      <c r="E58" s="99">
        <v>0</v>
      </c>
      <c r="F58" s="99">
        <v>0</v>
      </c>
      <c r="G58" s="99">
        <v>0</v>
      </c>
      <c r="H58" s="99">
        <v>0</v>
      </c>
      <c r="I58" s="99">
        <v>0</v>
      </c>
      <c r="J58" s="99">
        <v>0</v>
      </c>
      <c r="K58" s="99">
        <v>0</v>
      </c>
      <c r="L58" s="99">
        <v>0</v>
      </c>
      <c r="M58" s="99">
        <v>0</v>
      </c>
    </row>
    <row r="59" spans="1:13">
      <c r="A59" s="97" t="s">
        <v>2188</v>
      </c>
      <c r="B59" s="98">
        <v>389188277</v>
      </c>
      <c r="C59" s="98">
        <v>416660777</v>
      </c>
      <c r="D59" s="99">
        <v>191158850</v>
      </c>
      <c r="E59" s="99">
        <v>15101757</v>
      </c>
      <c r="F59" s="99">
        <v>11522338</v>
      </c>
      <c r="G59" s="99">
        <v>19620602</v>
      </c>
      <c r="H59" s="99">
        <v>7944338</v>
      </c>
      <c r="I59" s="99">
        <v>11877446</v>
      </c>
      <c r="J59" s="99">
        <v>8466192</v>
      </c>
      <c r="K59" s="99">
        <v>14005162</v>
      </c>
      <c r="L59" s="99">
        <v>7541011</v>
      </c>
      <c r="M59" s="99">
        <v>19900</v>
      </c>
    </row>
    <row r="60" spans="1:13">
      <c r="A60" s="97" t="s">
        <v>2189</v>
      </c>
      <c r="B60" s="98">
        <v>380412474</v>
      </c>
      <c r="C60" s="98">
        <v>380412474</v>
      </c>
      <c r="D60" s="99">
        <v>136541713</v>
      </c>
      <c r="E60" s="99">
        <v>13857404</v>
      </c>
      <c r="F60" s="99">
        <v>10767939</v>
      </c>
      <c r="G60" s="99">
        <v>4664627</v>
      </c>
      <c r="H60" s="99">
        <v>8723865</v>
      </c>
      <c r="I60" s="99">
        <v>17273048</v>
      </c>
      <c r="J60" s="99">
        <v>14303808</v>
      </c>
      <c r="K60" s="99">
        <v>12171368</v>
      </c>
      <c r="L60" s="99">
        <v>9311735</v>
      </c>
      <c r="M60" s="99">
        <v>6662600</v>
      </c>
    </row>
    <row r="61" spans="1:13">
      <c r="A61" s="97" t="s">
        <v>2190</v>
      </c>
      <c r="B61" s="98"/>
      <c r="C61" s="98"/>
      <c r="D61" s="99"/>
      <c r="E61" s="99"/>
      <c r="F61" s="99"/>
      <c r="G61" s="99"/>
      <c r="H61" s="99"/>
      <c r="I61" s="99"/>
      <c r="J61" s="99"/>
      <c r="K61" s="99"/>
      <c r="L61" s="99"/>
      <c r="M61" s="99"/>
    </row>
    <row r="62" spans="1:13">
      <c r="A62" s="97" t="s">
        <v>2191</v>
      </c>
      <c r="B62" s="98">
        <v>10158</v>
      </c>
      <c r="C62" s="98">
        <v>10158</v>
      </c>
      <c r="D62" s="99">
        <v>6925</v>
      </c>
      <c r="E62" s="99">
        <v>34</v>
      </c>
      <c r="F62" s="99">
        <v>78</v>
      </c>
      <c r="G62" s="99">
        <v>137</v>
      </c>
      <c r="H62" s="99">
        <v>197</v>
      </c>
      <c r="I62" s="99">
        <v>135</v>
      </c>
      <c r="J62" s="99">
        <v>207</v>
      </c>
      <c r="K62" s="99">
        <v>435</v>
      </c>
      <c r="L62" s="99">
        <v>61</v>
      </c>
      <c r="M62" s="99">
        <v>127</v>
      </c>
    </row>
    <row r="63" spans="1:13">
      <c r="A63" s="97" t="s">
        <v>2192</v>
      </c>
      <c r="B63" s="98">
        <v>1133000</v>
      </c>
      <c r="C63" s="98">
        <v>1133000</v>
      </c>
      <c r="D63" s="99">
        <v>945400</v>
      </c>
      <c r="E63" s="99">
        <v>1500</v>
      </c>
      <c r="F63" s="99">
        <v>10500</v>
      </c>
      <c r="G63" s="99">
        <v>3500</v>
      </c>
      <c r="H63" s="99">
        <v>12000</v>
      </c>
      <c r="I63" s="99">
        <v>1500</v>
      </c>
      <c r="J63" s="99">
        <v>12000</v>
      </c>
      <c r="K63" s="99">
        <v>6500</v>
      </c>
      <c r="L63" s="99">
        <v>1500</v>
      </c>
      <c r="M63" s="99">
        <v>0</v>
      </c>
    </row>
    <row r="64" spans="1:13">
      <c r="A64" s="97" t="s">
        <v>2193</v>
      </c>
      <c r="B64" s="98">
        <v>3400000</v>
      </c>
      <c r="C64" s="98">
        <v>3400000</v>
      </c>
      <c r="D64" s="99">
        <v>2400000</v>
      </c>
      <c r="E64" s="99">
        <v>0</v>
      </c>
      <c r="F64" s="99">
        <v>0</v>
      </c>
      <c r="G64" s="99">
        <v>0</v>
      </c>
      <c r="H64" s="99">
        <v>1000000</v>
      </c>
      <c r="I64" s="99">
        <v>0</v>
      </c>
      <c r="J64" s="99">
        <v>0</v>
      </c>
      <c r="K64" s="99">
        <v>0</v>
      </c>
      <c r="L64" s="99">
        <v>0</v>
      </c>
      <c r="M64" s="99">
        <v>0</v>
      </c>
    </row>
    <row r="65" spans="1:13">
      <c r="A65" s="100" t="s">
        <v>2194</v>
      </c>
      <c r="B65" s="101">
        <v>0</v>
      </c>
      <c r="C65" s="101">
        <v>0</v>
      </c>
      <c r="D65" s="99">
        <v>0</v>
      </c>
      <c r="E65" s="99">
        <v>0</v>
      </c>
      <c r="F65" s="99">
        <v>0</v>
      </c>
      <c r="G65" s="99">
        <v>0</v>
      </c>
      <c r="H65" s="99">
        <v>0</v>
      </c>
      <c r="I65" s="99">
        <v>0</v>
      </c>
      <c r="J65" s="99">
        <v>0</v>
      </c>
      <c r="K65" s="99">
        <v>0</v>
      </c>
      <c r="L65" s="99">
        <v>0</v>
      </c>
      <c r="M65" s="99">
        <v>0</v>
      </c>
    </row>
    <row r="66" spans="1:13">
      <c r="A66" s="97" t="s">
        <v>2195</v>
      </c>
      <c r="B66" s="98">
        <v>5185670</v>
      </c>
      <c r="C66" s="98">
        <v>5185670</v>
      </c>
      <c r="D66" s="99">
        <v>4868989</v>
      </c>
      <c r="E66" s="99">
        <v>0</v>
      </c>
      <c r="F66" s="99">
        <v>0</v>
      </c>
      <c r="G66" s="99">
        <v>0</v>
      </c>
      <c r="H66" s="99">
        <v>0</v>
      </c>
      <c r="I66" s="99">
        <v>0</v>
      </c>
      <c r="J66" s="99">
        <v>316681</v>
      </c>
      <c r="K66" s="99">
        <v>0</v>
      </c>
      <c r="L66" s="99">
        <v>0</v>
      </c>
      <c r="M66" s="99">
        <v>0</v>
      </c>
    </row>
    <row r="67" spans="1:13">
      <c r="A67" s="97" t="s">
        <v>2196</v>
      </c>
      <c r="B67" s="98">
        <v>0</v>
      </c>
      <c r="C67" s="98">
        <v>0</v>
      </c>
      <c r="D67" s="99">
        <v>0</v>
      </c>
      <c r="E67" s="99">
        <v>0</v>
      </c>
      <c r="F67" s="99">
        <v>0</v>
      </c>
      <c r="G67" s="99">
        <v>0</v>
      </c>
      <c r="H67" s="99">
        <v>0</v>
      </c>
      <c r="I67" s="99">
        <v>0</v>
      </c>
      <c r="J67" s="99">
        <v>0</v>
      </c>
      <c r="K67" s="99">
        <v>0</v>
      </c>
      <c r="L67" s="99">
        <v>0</v>
      </c>
      <c r="M67" s="99">
        <v>0</v>
      </c>
    </row>
    <row r="68" spans="1:13">
      <c r="A68" s="97" t="s">
        <v>2197</v>
      </c>
      <c r="B68" s="98">
        <v>0</v>
      </c>
      <c r="C68" s="98">
        <v>0</v>
      </c>
      <c r="D68" s="99">
        <v>0</v>
      </c>
      <c r="E68" s="99">
        <v>0</v>
      </c>
      <c r="F68" s="99">
        <v>0</v>
      </c>
      <c r="G68" s="99">
        <v>0</v>
      </c>
      <c r="H68" s="99">
        <v>0</v>
      </c>
      <c r="I68" s="99">
        <v>0</v>
      </c>
      <c r="J68" s="99">
        <v>0</v>
      </c>
      <c r="K68" s="99">
        <v>0</v>
      </c>
      <c r="L68" s="99">
        <v>0</v>
      </c>
      <c r="M68" s="99">
        <v>0</v>
      </c>
    </row>
    <row r="69" spans="1:13">
      <c r="A69" s="97" t="s">
        <v>2198</v>
      </c>
      <c r="B69" s="98">
        <v>1104546</v>
      </c>
      <c r="C69" s="98">
        <v>1104546</v>
      </c>
      <c r="D69" s="99">
        <v>793200</v>
      </c>
      <c r="E69" s="99">
        <v>129240</v>
      </c>
      <c r="F69" s="99">
        <v>0</v>
      </c>
      <c r="G69" s="99">
        <v>0</v>
      </c>
      <c r="H69" s="99">
        <v>0</v>
      </c>
      <c r="I69" s="99">
        <v>0</v>
      </c>
      <c r="J69" s="99">
        <v>0</v>
      </c>
      <c r="K69" s="99">
        <v>0</v>
      </c>
      <c r="L69" s="99">
        <v>0</v>
      </c>
      <c r="M69" s="99">
        <v>0</v>
      </c>
    </row>
    <row r="70" spans="1:13">
      <c r="A70" s="97" t="s">
        <v>2199</v>
      </c>
      <c r="B70" s="98">
        <v>10833374</v>
      </c>
      <c r="C70" s="98">
        <v>10833374</v>
      </c>
      <c r="D70" s="99">
        <v>9014514</v>
      </c>
      <c r="E70" s="99">
        <v>130774</v>
      </c>
      <c r="F70" s="99">
        <v>10578</v>
      </c>
      <c r="G70" s="99">
        <v>3637</v>
      </c>
      <c r="H70" s="99">
        <v>1012197</v>
      </c>
      <c r="I70" s="99">
        <v>1635</v>
      </c>
      <c r="J70" s="99">
        <v>328888</v>
      </c>
      <c r="K70" s="99">
        <v>6935</v>
      </c>
      <c r="L70" s="99">
        <v>1561</v>
      </c>
      <c r="M70" s="99">
        <v>127</v>
      </c>
    </row>
    <row r="71" spans="1:13">
      <c r="A71" s="97" t="s">
        <v>2200</v>
      </c>
      <c r="B71" s="98"/>
      <c r="C71" s="98"/>
      <c r="D71" s="99"/>
      <c r="E71" s="99"/>
      <c r="F71" s="99"/>
      <c r="G71" s="99"/>
      <c r="H71" s="99"/>
      <c r="I71" s="99"/>
      <c r="J71" s="99"/>
      <c r="K71" s="99"/>
      <c r="L71" s="99"/>
      <c r="M71" s="99"/>
    </row>
    <row r="72" spans="1:13">
      <c r="A72" s="97" t="s">
        <v>2201</v>
      </c>
      <c r="B72" s="98">
        <v>117515883</v>
      </c>
      <c r="C72" s="98">
        <v>117515883</v>
      </c>
      <c r="D72" s="99">
        <v>48646618</v>
      </c>
      <c r="E72" s="99">
        <v>2204823</v>
      </c>
      <c r="F72" s="99">
        <v>3190933</v>
      </c>
      <c r="G72" s="99">
        <v>1911652</v>
      </c>
      <c r="H72" s="99">
        <v>1484200</v>
      </c>
      <c r="I72" s="99">
        <v>2729953</v>
      </c>
      <c r="J72" s="99">
        <v>4039760</v>
      </c>
      <c r="K72" s="99">
        <v>3519478</v>
      </c>
      <c r="L72" s="99">
        <v>2363119</v>
      </c>
      <c r="M72" s="99">
        <v>942568</v>
      </c>
    </row>
    <row r="73" spans="1:13">
      <c r="A73" s="97" t="s">
        <v>2202</v>
      </c>
      <c r="B73" s="98">
        <v>200000</v>
      </c>
      <c r="C73" s="98">
        <v>200000</v>
      </c>
      <c r="D73" s="99">
        <v>200000</v>
      </c>
      <c r="E73" s="99">
        <v>0</v>
      </c>
      <c r="F73" s="99">
        <v>0</v>
      </c>
      <c r="G73" s="99">
        <v>0</v>
      </c>
      <c r="H73" s="99">
        <v>0</v>
      </c>
      <c r="I73" s="99">
        <v>0</v>
      </c>
      <c r="J73" s="99">
        <v>0</v>
      </c>
      <c r="K73" s="99">
        <v>0</v>
      </c>
      <c r="L73" s="99">
        <v>0</v>
      </c>
      <c r="M73" s="99">
        <v>0</v>
      </c>
    </row>
    <row r="74" spans="1:13">
      <c r="A74" s="97" t="s">
        <v>2203</v>
      </c>
      <c r="B74" s="98">
        <v>26873913</v>
      </c>
      <c r="C74" s="98">
        <v>26873913</v>
      </c>
      <c r="D74" s="99">
        <v>24962066</v>
      </c>
      <c r="E74" s="99">
        <v>0</v>
      </c>
      <c r="F74" s="99">
        <v>641722</v>
      </c>
      <c r="G74" s="99">
        <v>0</v>
      </c>
      <c r="H74" s="99">
        <v>0</v>
      </c>
      <c r="I74" s="99">
        <v>534171</v>
      </c>
      <c r="J74" s="99">
        <v>735954</v>
      </c>
      <c r="K74" s="99">
        <v>0</v>
      </c>
      <c r="L74" s="99">
        <v>0</v>
      </c>
      <c r="M74" s="99">
        <v>0</v>
      </c>
    </row>
    <row r="75" spans="1:13">
      <c r="A75" s="97" t="s">
        <v>2204</v>
      </c>
      <c r="B75" s="98">
        <v>144589796</v>
      </c>
      <c r="C75" s="98">
        <v>144589796</v>
      </c>
      <c r="D75" s="99">
        <v>73808684</v>
      </c>
      <c r="E75" s="99">
        <v>2204823</v>
      </c>
      <c r="F75" s="99">
        <v>3832655</v>
      </c>
      <c r="G75" s="99">
        <v>1911652</v>
      </c>
      <c r="H75" s="99">
        <v>1484200</v>
      </c>
      <c r="I75" s="99">
        <v>3264124</v>
      </c>
      <c r="J75" s="99">
        <v>4775714</v>
      </c>
      <c r="K75" s="99">
        <v>3519478</v>
      </c>
      <c r="L75" s="99">
        <v>2363119</v>
      </c>
      <c r="M75" s="99">
        <v>942568</v>
      </c>
    </row>
    <row r="76" spans="1:13">
      <c r="A76" s="97" t="s">
        <v>2205</v>
      </c>
      <c r="B76" s="98">
        <v>246656052</v>
      </c>
      <c r="C76" s="98">
        <v>246656052</v>
      </c>
      <c r="D76" s="99">
        <v>71747543</v>
      </c>
      <c r="E76" s="99">
        <v>11783355</v>
      </c>
      <c r="F76" s="99">
        <v>6945862</v>
      </c>
      <c r="G76" s="99">
        <v>2756612</v>
      </c>
      <c r="H76" s="99">
        <v>8251862</v>
      </c>
      <c r="I76" s="99">
        <v>14010559</v>
      </c>
      <c r="J76" s="99">
        <v>9856982</v>
      </c>
      <c r="K76" s="99">
        <v>8658825</v>
      </c>
      <c r="L76" s="99">
        <v>6950177</v>
      </c>
      <c r="M76" s="99">
        <v>5720159</v>
      </c>
    </row>
    <row r="77" spans="1:13">
      <c r="A77" s="97" t="s">
        <v>2206</v>
      </c>
      <c r="B77" s="98"/>
      <c r="C77" s="98"/>
      <c r="D77" s="99"/>
      <c r="E77" s="99"/>
      <c r="F77" s="99"/>
      <c r="G77" s="99"/>
      <c r="H77" s="99"/>
      <c r="I77" s="99"/>
      <c r="J77" s="99"/>
      <c r="K77" s="99"/>
      <c r="L77" s="99"/>
      <c r="M77" s="99"/>
    </row>
    <row r="78" spans="1:13">
      <c r="A78" s="97" t="s">
        <v>2207</v>
      </c>
      <c r="B78" s="98">
        <v>0</v>
      </c>
      <c r="C78" s="98">
        <v>0</v>
      </c>
      <c r="D78" s="99">
        <v>0</v>
      </c>
      <c r="E78" s="99">
        <v>0</v>
      </c>
      <c r="F78" s="99">
        <v>0</v>
      </c>
      <c r="G78" s="99">
        <v>0</v>
      </c>
      <c r="H78" s="99">
        <v>0</v>
      </c>
      <c r="I78" s="99">
        <v>0</v>
      </c>
      <c r="J78" s="99">
        <v>0</v>
      </c>
      <c r="K78" s="99">
        <v>0</v>
      </c>
      <c r="L78" s="99">
        <v>0</v>
      </c>
      <c r="M78" s="99">
        <v>0</v>
      </c>
    </row>
    <row r="79" spans="1:13">
      <c r="A79" s="97" t="s">
        <v>2208</v>
      </c>
      <c r="B79" s="98">
        <v>0</v>
      </c>
      <c r="C79" s="98">
        <v>0</v>
      </c>
      <c r="D79" s="99">
        <v>0</v>
      </c>
      <c r="E79" s="99">
        <v>0</v>
      </c>
      <c r="F79" s="99">
        <v>0</v>
      </c>
      <c r="G79" s="99">
        <v>0</v>
      </c>
      <c r="H79" s="99">
        <v>0</v>
      </c>
      <c r="I79" s="99">
        <v>0</v>
      </c>
      <c r="J79" s="99">
        <v>0</v>
      </c>
      <c r="K79" s="99">
        <v>0</v>
      </c>
      <c r="L79" s="99">
        <v>0</v>
      </c>
      <c r="M79" s="99">
        <v>0</v>
      </c>
    </row>
    <row r="80" spans="1:13">
      <c r="A80" s="97" t="s">
        <v>2209</v>
      </c>
      <c r="B80" s="98">
        <v>0</v>
      </c>
      <c r="C80" s="98">
        <v>0</v>
      </c>
      <c r="D80" s="99">
        <v>0</v>
      </c>
      <c r="E80" s="99">
        <v>0</v>
      </c>
      <c r="F80" s="99">
        <v>0</v>
      </c>
      <c r="G80" s="99">
        <v>0</v>
      </c>
      <c r="H80" s="99">
        <v>0</v>
      </c>
      <c r="I80" s="99">
        <v>0</v>
      </c>
      <c r="J80" s="99">
        <v>0</v>
      </c>
      <c r="K80" s="99">
        <v>0</v>
      </c>
      <c r="L80" s="99">
        <v>0</v>
      </c>
      <c r="M80" s="99">
        <v>0</v>
      </c>
    </row>
    <row r="81" spans="1:13">
      <c r="A81" s="97" t="s">
        <v>2210</v>
      </c>
      <c r="B81" s="98">
        <v>0</v>
      </c>
      <c r="C81" s="98">
        <v>0</v>
      </c>
      <c r="D81" s="99">
        <v>0</v>
      </c>
      <c r="E81" s="99">
        <v>0</v>
      </c>
      <c r="F81" s="99">
        <v>0</v>
      </c>
      <c r="G81" s="99">
        <v>0</v>
      </c>
      <c r="H81" s="99">
        <v>0</v>
      </c>
      <c r="I81" s="99">
        <v>0</v>
      </c>
      <c r="J81" s="99">
        <v>0</v>
      </c>
      <c r="K81" s="99">
        <v>0</v>
      </c>
      <c r="L81" s="99">
        <v>0</v>
      </c>
      <c r="M81" s="99">
        <v>0</v>
      </c>
    </row>
    <row r="82" spans="1:13">
      <c r="A82" s="97" t="s">
        <v>2211</v>
      </c>
      <c r="B82" s="98"/>
      <c r="C82" s="98"/>
      <c r="D82" s="99"/>
      <c r="E82" s="99"/>
      <c r="F82" s="99"/>
      <c r="G82" s="99"/>
      <c r="H82" s="99"/>
      <c r="I82" s="99"/>
      <c r="J82" s="99"/>
      <c r="K82" s="99"/>
      <c r="L82" s="99"/>
      <c r="M82" s="99"/>
    </row>
    <row r="83" spans="1:13">
      <c r="A83" s="97" t="s">
        <v>2212</v>
      </c>
      <c r="B83" s="98">
        <v>0</v>
      </c>
      <c r="C83" s="98">
        <v>0</v>
      </c>
      <c r="D83" s="99">
        <v>0</v>
      </c>
      <c r="E83" s="99">
        <v>0</v>
      </c>
      <c r="F83" s="99">
        <v>0</v>
      </c>
      <c r="G83" s="99">
        <v>0</v>
      </c>
      <c r="H83" s="99">
        <v>0</v>
      </c>
      <c r="I83" s="99">
        <v>0</v>
      </c>
      <c r="J83" s="99">
        <v>0</v>
      </c>
      <c r="K83" s="99">
        <v>0</v>
      </c>
      <c r="L83" s="99">
        <v>0</v>
      </c>
      <c r="M83" s="99">
        <v>0</v>
      </c>
    </row>
    <row r="84" spans="1:13">
      <c r="A84" s="97" t="s">
        <v>2213</v>
      </c>
      <c r="B84" s="98">
        <v>0</v>
      </c>
      <c r="C84" s="98">
        <v>0</v>
      </c>
      <c r="D84" s="99">
        <v>0</v>
      </c>
      <c r="E84" s="99">
        <v>0</v>
      </c>
      <c r="F84" s="99">
        <v>0</v>
      </c>
      <c r="G84" s="99">
        <v>0</v>
      </c>
      <c r="H84" s="99">
        <v>0</v>
      </c>
      <c r="I84" s="99">
        <v>0</v>
      </c>
      <c r="J84" s="99">
        <v>0</v>
      </c>
      <c r="K84" s="99">
        <v>0</v>
      </c>
      <c r="L84" s="99">
        <v>0</v>
      </c>
      <c r="M84" s="99">
        <v>0</v>
      </c>
    </row>
    <row r="85" spans="1:13">
      <c r="A85" s="97" t="s">
        <v>2214</v>
      </c>
      <c r="B85" s="98">
        <v>0</v>
      </c>
      <c r="C85" s="98">
        <v>0</v>
      </c>
      <c r="D85" s="99">
        <v>0</v>
      </c>
      <c r="E85" s="99">
        <v>0</v>
      </c>
      <c r="F85" s="99">
        <v>0</v>
      </c>
      <c r="G85" s="99">
        <v>0</v>
      </c>
      <c r="H85" s="99">
        <v>0</v>
      </c>
      <c r="I85" s="99">
        <v>0</v>
      </c>
      <c r="J85" s="99">
        <v>0</v>
      </c>
      <c r="K85" s="99">
        <v>0</v>
      </c>
      <c r="L85" s="99">
        <v>0</v>
      </c>
      <c r="M85" s="99">
        <v>0</v>
      </c>
    </row>
    <row r="86" spans="1:13">
      <c r="A86" s="97" t="s">
        <v>2215</v>
      </c>
      <c r="B86" s="98"/>
      <c r="C86" s="98"/>
      <c r="D86" s="99"/>
      <c r="E86" s="99"/>
      <c r="F86" s="99"/>
      <c r="G86" s="99"/>
      <c r="H86" s="99"/>
      <c r="I86" s="99"/>
      <c r="J86" s="99"/>
      <c r="K86" s="99"/>
      <c r="L86" s="99"/>
      <c r="M86" s="99"/>
    </row>
    <row r="87" spans="1:13">
      <c r="A87" s="97" t="s">
        <v>2216</v>
      </c>
      <c r="B87" s="98">
        <v>246656052</v>
      </c>
      <c r="C87" s="98">
        <v>246656052</v>
      </c>
      <c r="D87" s="99">
        <v>71747543</v>
      </c>
      <c r="E87" s="99">
        <v>11783355</v>
      </c>
      <c r="F87" s="99">
        <v>6945862</v>
      </c>
      <c r="G87" s="99">
        <v>2756612</v>
      </c>
      <c r="H87" s="99">
        <v>8251862</v>
      </c>
      <c r="I87" s="99">
        <v>14010559</v>
      </c>
      <c r="J87" s="99">
        <v>9856982</v>
      </c>
      <c r="K87" s="99">
        <v>8658825</v>
      </c>
      <c r="L87" s="99">
        <v>6950177</v>
      </c>
      <c r="M87" s="99">
        <v>5720159</v>
      </c>
    </row>
    <row r="88" spans="1:13">
      <c r="A88" s="97" t="s">
        <v>2217</v>
      </c>
      <c r="B88" s="98">
        <v>232860</v>
      </c>
      <c r="C88" s="98">
        <v>232860</v>
      </c>
      <c r="D88" s="99">
        <v>194091</v>
      </c>
      <c r="E88" s="99">
        <v>310</v>
      </c>
      <c r="F88" s="99">
        <v>2154</v>
      </c>
      <c r="G88" s="99">
        <v>734</v>
      </c>
      <c r="H88" s="99">
        <v>2478</v>
      </c>
      <c r="I88" s="99">
        <v>326</v>
      </c>
      <c r="J88" s="99">
        <v>2479</v>
      </c>
      <c r="K88" s="99">
        <v>1392</v>
      </c>
      <c r="L88" s="99">
        <v>315</v>
      </c>
      <c r="M88" s="99">
        <v>19</v>
      </c>
    </row>
    <row r="89" spans="1:13">
      <c r="A89" s="97" t="s">
        <v>2218</v>
      </c>
      <c r="B89" s="98">
        <v>0</v>
      </c>
      <c r="C89" s="98">
        <v>0</v>
      </c>
      <c r="D89" s="99">
        <v>0</v>
      </c>
      <c r="E89" s="99">
        <v>0</v>
      </c>
      <c r="F89" s="99">
        <v>0</v>
      </c>
      <c r="G89" s="99">
        <v>0</v>
      </c>
      <c r="H89" s="99">
        <v>0</v>
      </c>
      <c r="I89" s="99">
        <v>0</v>
      </c>
      <c r="J89" s="99">
        <v>0</v>
      </c>
      <c r="K89" s="99">
        <v>0</v>
      </c>
      <c r="L89" s="99">
        <v>0</v>
      </c>
      <c r="M89" s="99">
        <v>0</v>
      </c>
    </row>
    <row r="90" spans="1:13">
      <c r="A90" s="97" t="s">
        <v>2219</v>
      </c>
      <c r="B90" s="98">
        <v>246423192</v>
      </c>
      <c r="C90" s="98">
        <v>246423192</v>
      </c>
      <c r="D90" s="99">
        <v>71553452</v>
      </c>
      <c r="E90" s="99">
        <v>11783045</v>
      </c>
      <c r="F90" s="99">
        <v>6943708</v>
      </c>
      <c r="G90" s="99">
        <v>2755878</v>
      </c>
      <c r="H90" s="99">
        <v>8249384</v>
      </c>
      <c r="I90" s="99">
        <v>14010233</v>
      </c>
      <c r="J90" s="99">
        <v>9854503</v>
      </c>
      <c r="K90" s="99">
        <v>8657433</v>
      </c>
      <c r="L90" s="99">
        <v>6949862</v>
      </c>
      <c r="M90" s="99">
        <v>5720140</v>
      </c>
    </row>
    <row r="92" spans="1:13" ht="24">
      <c r="A92" s="102" t="s">
        <v>2220</v>
      </c>
      <c r="B92" s="102"/>
      <c r="C92" s="103"/>
      <c r="D92" s="103"/>
      <c r="E92" s="114" t="s">
        <v>2116</v>
      </c>
    </row>
    <row r="93" spans="1:13">
      <c r="A93" s="104" t="s">
        <v>2221</v>
      </c>
      <c r="B93" s="104"/>
      <c r="C93" s="104"/>
      <c r="D93" s="104"/>
      <c r="E93" s="104"/>
      <c r="F93" s="104"/>
      <c r="G93" s="104"/>
      <c r="H93" s="104"/>
      <c r="I93" s="104"/>
      <c r="J93" s="104"/>
      <c r="K93" s="104"/>
      <c r="L93" s="104"/>
      <c r="M93" s="104"/>
    </row>
    <row r="94" spans="1:13" ht="27">
      <c r="A94" s="105" t="s">
        <v>2120</v>
      </c>
      <c r="B94" s="105" t="s">
        <v>2121</v>
      </c>
      <c r="C94" s="105" t="s">
        <v>2122</v>
      </c>
      <c r="D94" s="106" t="s">
        <v>2222</v>
      </c>
      <c r="E94" s="106" t="s">
        <v>2223</v>
      </c>
      <c r="F94" s="107" t="s">
        <v>2224</v>
      </c>
      <c r="G94" s="107" t="s">
        <v>2225</v>
      </c>
      <c r="H94" s="107" t="s">
        <v>2226</v>
      </c>
      <c r="I94" s="107" t="s">
        <v>2227</v>
      </c>
      <c r="J94" s="107" t="s">
        <v>2228</v>
      </c>
      <c r="K94" s="107" t="s">
        <v>2229</v>
      </c>
      <c r="L94" s="107" t="s">
        <v>2230</v>
      </c>
      <c r="M94" s="107" t="s">
        <v>2132</v>
      </c>
    </row>
    <row r="95" spans="1:13">
      <c r="A95" s="108" t="s">
        <v>2231</v>
      </c>
      <c r="B95" s="109"/>
      <c r="C95" s="109"/>
      <c r="D95" s="110"/>
      <c r="E95" s="110"/>
      <c r="F95" s="110"/>
      <c r="G95" s="110"/>
      <c r="H95" s="110"/>
      <c r="I95" s="110"/>
      <c r="J95" s="110"/>
      <c r="K95" s="110"/>
      <c r="L95" s="110"/>
      <c r="M95" s="110"/>
    </row>
    <row r="96" spans="1:13">
      <c r="A96" s="111" t="s">
        <v>2232</v>
      </c>
      <c r="B96" s="112">
        <v>18638093</v>
      </c>
      <c r="C96" s="112">
        <v>18638093</v>
      </c>
      <c r="D96" s="113">
        <v>1038693</v>
      </c>
      <c r="E96" s="113">
        <v>1100000</v>
      </c>
      <c r="F96" s="113">
        <v>1100000</v>
      </c>
      <c r="G96" s="113">
        <v>1100000</v>
      </c>
      <c r="H96" s="113">
        <v>1099400</v>
      </c>
      <c r="I96" s="113">
        <v>1100000</v>
      </c>
      <c r="J96" s="113">
        <v>1100000</v>
      </c>
      <c r="K96" s="113">
        <v>1100000</v>
      </c>
      <c r="L96" s="113">
        <v>1100000</v>
      </c>
      <c r="M96" s="113">
        <v>1100000</v>
      </c>
    </row>
    <row r="97" spans="1:13">
      <c r="A97" s="111" t="s">
        <v>2233</v>
      </c>
      <c r="B97" s="112">
        <v>727888479</v>
      </c>
      <c r="C97" s="112">
        <v>727888479</v>
      </c>
      <c r="D97" s="113">
        <v>412288719</v>
      </c>
      <c r="E97" s="113">
        <v>3468706</v>
      </c>
      <c r="F97" s="113">
        <v>6309888</v>
      </c>
      <c r="G97" s="113">
        <v>11669216</v>
      </c>
      <c r="H97" s="113">
        <v>8589316</v>
      </c>
      <c r="I97" s="113">
        <v>16596258</v>
      </c>
      <c r="J97" s="113">
        <v>19634881</v>
      </c>
      <c r="K97" s="113">
        <v>10001864</v>
      </c>
      <c r="L97" s="113">
        <v>8239404</v>
      </c>
      <c r="M97" s="113">
        <v>7983089</v>
      </c>
    </row>
    <row r="98" spans="1:13">
      <c r="A98" s="111" t="s">
        <v>2234</v>
      </c>
      <c r="B98" s="112">
        <v>42000678</v>
      </c>
      <c r="C98" s="112">
        <v>42000678</v>
      </c>
      <c r="D98" s="113">
        <v>42000678</v>
      </c>
      <c r="E98" s="113">
        <v>0</v>
      </c>
      <c r="F98" s="113">
        <v>0</v>
      </c>
      <c r="G98" s="113">
        <v>0</v>
      </c>
      <c r="H98" s="113">
        <v>0</v>
      </c>
      <c r="I98" s="113">
        <v>0</v>
      </c>
      <c r="J98" s="113">
        <v>0</v>
      </c>
      <c r="K98" s="113">
        <v>0</v>
      </c>
      <c r="L98" s="113">
        <v>0</v>
      </c>
      <c r="M98" s="113">
        <v>0</v>
      </c>
    </row>
    <row r="99" spans="1:13">
      <c r="A99" s="111" t="s">
        <v>2235</v>
      </c>
      <c r="B99" s="112">
        <v>3230000</v>
      </c>
      <c r="C99" s="112">
        <v>3230000</v>
      </c>
      <c r="D99" s="113">
        <v>1730000</v>
      </c>
      <c r="E99" s="113">
        <v>0</v>
      </c>
      <c r="F99" s="113">
        <v>0</v>
      </c>
      <c r="G99" s="113">
        <v>0</v>
      </c>
      <c r="H99" s="113">
        <v>0</v>
      </c>
      <c r="I99" s="113">
        <v>0</v>
      </c>
      <c r="J99" s="113">
        <v>0</v>
      </c>
      <c r="K99" s="113">
        <v>0</v>
      </c>
      <c r="L99" s="113">
        <v>0</v>
      </c>
      <c r="M99" s="113">
        <v>0</v>
      </c>
    </row>
    <row r="100" spans="1:13">
      <c r="A100" s="111" t="s">
        <v>2236</v>
      </c>
      <c r="B100" s="112">
        <v>0</v>
      </c>
      <c r="C100" s="112">
        <v>0</v>
      </c>
      <c r="D100" s="113">
        <v>0</v>
      </c>
      <c r="E100" s="113">
        <v>0</v>
      </c>
      <c r="F100" s="113">
        <v>0</v>
      </c>
      <c r="G100" s="113">
        <v>0</v>
      </c>
      <c r="H100" s="113">
        <v>0</v>
      </c>
      <c r="I100" s="113">
        <v>0</v>
      </c>
      <c r="J100" s="113">
        <v>0</v>
      </c>
      <c r="K100" s="113">
        <v>0</v>
      </c>
      <c r="L100" s="113">
        <v>0</v>
      </c>
      <c r="M100" s="113">
        <v>0</v>
      </c>
    </row>
    <row r="101" spans="1:13">
      <c r="A101" s="111" t="s">
        <v>2237</v>
      </c>
      <c r="B101" s="112">
        <v>791757250</v>
      </c>
      <c r="C101" s="112">
        <v>791757250</v>
      </c>
      <c r="D101" s="113">
        <v>457058090</v>
      </c>
      <c r="E101" s="113">
        <v>4568706</v>
      </c>
      <c r="F101" s="113">
        <v>7409888</v>
      </c>
      <c r="G101" s="113">
        <v>12769216</v>
      </c>
      <c r="H101" s="113">
        <v>9688716</v>
      </c>
      <c r="I101" s="113">
        <v>17696258</v>
      </c>
      <c r="J101" s="113">
        <v>20734881</v>
      </c>
      <c r="K101" s="113">
        <v>11101864</v>
      </c>
      <c r="L101" s="113">
        <v>9339404</v>
      </c>
      <c r="M101" s="113">
        <v>9083089</v>
      </c>
    </row>
    <row r="102" spans="1:13">
      <c r="A102" s="111" t="s">
        <v>2238</v>
      </c>
      <c r="B102" s="112"/>
      <c r="C102" s="112"/>
      <c r="D102" s="113"/>
      <c r="E102" s="113"/>
      <c r="F102" s="113"/>
      <c r="G102" s="113"/>
      <c r="H102" s="113"/>
      <c r="I102" s="113"/>
      <c r="J102" s="113"/>
      <c r="K102" s="113"/>
      <c r="L102" s="113"/>
      <c r="M102" s="113"/>
    </row>
    <row r="103" spans="1:13">
      <c r="A103" s="111" t="s">
        <v>2239</v>
      </c>
      <c r="B103" s="112">
        <v>0</v>
      </c>
      <c r="C103" s="112">
        <v>0</v>
      </c>
      <c r="D103" s="113">
        <v>0</v>
      </c>
      <c r="E103" s="113">
        <v>0</v>
      </c>
      <c r="F103" s="113">
        <v>0</v>
      </c>
      <c r="G103" s="113">
        <v>0</v>
      </c>
      <c r="H103" s="113">
        <v>0</v>
      </c>
      <c r="I103" s="113">
        <v>0</v>
      </c>
      <c r="J103" s="113">
        <v>0</v>
      </c>
      <c r="K103" s="113">
        <v>0</v>
      </c>
      <c r="L103" s="113">
        <v>0</v>
      </c>
      <c r="M103" s="113">
        <v>0</v>
      </c>
    </row>
    <row r="104" spans="1:13">
      <c r="A104" s="111" t="s">
        <v>2240</v>
      </c>
      <c r="B104" s="112">
        <v>0</v>
      </c>
      <c r="C104" s="112">
        <v>0</v>
      </c>
      <c r="D104" s="113">
        <v>0</v>
      </c>
      <c r="E104" s="113">
        <v>0</v>
      </c>
      <c r="F104" s="113">
        <v>0</v>
      </c>
      <c r="G104" s="113">
        <v>0</v>
      </c>
      <c r="H104" s="113">
        <v>0</v>
      </c>
      <c r="I104" s="113">
        <v>0</v>
      </c>
      <c r="J104" s="113">
        <v>0</v>
      </c>
      <c r="K104" s="113">
        <v>0</v>
      </c>
      <c r="L104" s="113">
        <v>0</v>
      </c>
      <c r="M104" s="113">
        <v>0</v>
      </c>
    </row>
    <row r="105" spans="1:13">
      <c r="A105" s="111" t="s">
        <v>2241</v>
      </c>
      <c r="B105" s="112"/>
      <c r="C105" s="112"/>
      <c r="D105" s="113"/>
      <c r="E105" s="113"/>
      <c r="F105" s="113"/>
      <c r="G105" s="113"/>
      <c r="H105" s="113"/>
      <c r="I105" s="113"/>
      <c r="J105" s="113"/>
      <c r="K105" s="113"/>
      <c r="L105" s="113"/>
      <c r="M105" s="113"/>
    </row>
    <row r="106" spans="1:13">
      <c r="A106" s="111" t="s">
        <v>2242</v>
      </c>
      <c r="B106" s="112">
        <v>0</v>
      </c>
      <c r="C106" s="112">
        <v>0</v>
      </c>
      <c r="D106" s="113">
        <v>0</v>
      </c>
      <c r="E106" s="113">
        <v>0</v>
      </c>
      <c r="F106" s="113">
        <v>0</v>
      </c>
      <c r="G106" s="113">
        <v>0</v>
      </c>
      <c r="H106" s="113">
        <v>0</v>
      </c>
      <c r="I106" s="113">
        <v>0</v>
      </c>
      <c r="J106" s="113">
        <v>0</v>
      </c>
      <c r="K106" s="113">
        <v>0</v>
      </c>
      <c r="L106" s="113">
        <v>0</v>
      </c>
      <c r="M106" s="113">
        <v>0</v>
      </c>
    </row>
    <row r="107" spans="1:13">
      <c r="A107" s="111" t="s">
        <v>2243</v>
      </c>
      <c r="B107" s="112"/>
      <c r="C107" s="112"/>
      <c r="D107" s="113"/>
      <c r="E107" s="113"/>
      <c r="F107" s="113"/>
      <c r="G107" s="113"/>
      <c r="H107" s="113"/>
      <c r="I107" s="113"/>
      <c r="J107" s="113"/>
      <c r="K107" s="113"/>
      <c r="L107" s="113"/>
      <c r="M107" s="113"/>
    </row>
    <row r="108" spans="1:13">
      <c r="A108" s="111" t="s">
        <v>2244</v>
      </c>
      <c r="B108" s="112">
        <v>0</v>
      </c>
      <c r="C108" s="112">
        <v>0</v>
      </c>
      <c r="D108" s="113">
        <v>0</v>
      </c>
      <c r="E108" s="113">
        <v>0</v>
      </c>
      <c r="F108" s="113">
        <v>0</v>
      </c>
      <c r="G108" s="113">
        <v>0</v>
      </c>
      <c r="H108" s="113">
        <v>0</v>
      </c>
      <c r="I108" s="113">
        <v>0</v>
      </c>
      <c r="J108" s="113">
        <v>0</v>
      </c>
      <c r="K108" s="113">
        <v>0</v>
      </c>
      <c r="L108" s="113">
        <v>0</v>
      </c>
      <c r="M108" s="113">
        <v>0</v>
      </c>
    </row>
    <row r="109" spans="1:13">
      <c r="A109" s="111" t="s">
        <v>2245</v>
      </c>
      <c r="B109" s="112">
        <v>0</v>
      </c>
      <c r="C109" s="112">
        <v>0</v>
      </c>
      <c r="D109" s="113">
        <v>0</v>
      </c>
      <c r="E109" s="113">
        <v>0</v>
      </c>
      <c r="F109" s="113">
        <v>0</v>
      </c>
      <c r="G109" s="113">
        <v>0</v>
      </c>
      <c r="H109" s="113">
        <v>0</v>
      </c>
      <c r="I109" s="113">
        <v>0</v>
      </c>
      <c r="J109" s="113">
        <v>0</v>
      </c>
      <c r="K109" s="113">
        <v>0</v>
      </c>
      <c r="L109" s="113">
        <v>0</v>
      </c>
      <c r="M109" s="113">
        <v>0</v>
      </c>
    </row>
    <row r="110" spans="1:13">
      <c r="A110" s="111" t="s">
        <v>2246</v>
      </c>
      <c r="B110" s="112"/>
      <c r="C110" s="112"/>
      <c r="D110" s="113"/>
      <c r="E110" s="113"/>
      <c r="F110" s="113"/>
      <c r="G110" s="113"/>
      <c r="H110" s="113"/>
      <c r="I110" s="113"/>
      <c r="J110" s="113"/>
      <c r="K110" s="113"/>
      <c r="L110" s="113"/>
      <c r="M110" s="113"/>
    </row>
    <row r="111" spans="1:13">
      <c r="A111" s="111" t="s">
        <v>2247</v>
      </c>
      <c r="B111" s="112">
        <v>0</v>
      </c>
      <c r="C111" s="112">
        <v>0</v>
      </c>
      <c r="D111" s="113">
        <v>0</v>
      </c>
      <c r="E111" s="113">
        <v>0</v>
      </c>
      <c r="F111" s="113">
        <v>0</v>
      </c>
      <c r="G111" s="113">
        <v>0</v>
      </c>
      <c r="H111" s="113">
        <v>0</v>
      </c>
      <c r="I111" s="113">
        <v>0</v>
      </c>
      <c r="J111" s="113">
        <v>0</v>
      </c>
      <c r="K111" s="113">
        <v>0</v>
      </c>
      <c r="L111" s="113">
        <v>0</v>
      </c>
      <c r="M111" s="113">
        <v>0</v>
      </c>
    </row>
    <row r="112" spans="1:13">
      <c r="A112" s="111" t="s">
        <v>2248</v>
      </c>
      <c r="B112" s="112">
        <v>0</v>
      </c>
      <c r="C112" s="112">
        <v>0</v>
      </c>
      <c r="D112" s="113">
        <v>0</v>
      </c>
      <c r="E112" s="113">
        <v>0</v>
      </c>
      <c r="F112" s="113">
        <v>0</v>
      </c>
      <c r="G112" s="113">
        <v>0</v>
      </c>
      <c r="H112" s="113">
        <v>0</v>
      </c>
      <c r="I112" s="113">
        <v>0</v>
      </c>
      <c r="J112" s="113">
        <v>0</v>
      </c>
      <c r="K112" s="113">
        <v>0</v>
      </c>
      <c r="L112" s="113">
        <v>0</v>
      </c>
      <c r="M112" s="113">
        <v>0</v>
      </c>
    </row>
    <row r="113" spans="1:13">
      <c r="A113" s="111" t="s">
        <v>2249</v>
      </c>
      <c r="B113" s="112">
        <v>69772</v>
      </c>
      <c r="C113" s="112">
        <v>69772</v>
      </c>
      <c r="D113" s="113">
        <v>0</v>
      </c>
      <c r="E113" s="113">
        <v>0</v>
      </c>
      <c r="F113" s="113">
        <v>0</v>
      </c>
      <c r="G113" s="113">
        <v>0</v>
      </c>
      <c r="H113" s="113">
        <v>0</v>
      </c>
      <c r="I113" s="113">
        <v>0</v>
      </c>
      <c r="J113" s="113">
        <v>0</v>
      </c>
      <c r="K113" s="113">
        <v>0</v>
      </c>
      <c r="L113" s="113">
        <v>0</v>
      </c>
      <c r="M113" s="113">
        <v>0</v>
      </c>
    </row>
    <row r="114" spans="1:13">
      <c r="A114" s="111" t="s">
        <v>2250</v>
      </c>
      <c r="B114" s="112">
        <v>0</v>
      </c>
      <c r="C114" s="112">
        <v>0</v>
      </c>
      <c r="D114" s="113">
        <v>0</v>
      </c>
      <c r="E114" s="113">
        <v>0</v>
      </c>
      <c r="F114" s="113">
        <v>0</v>
      </c>
      <c r="G114" s="113">
        <v>0</v>
      </c>
      <c r="H114" s="113">
        <v>0</v>
      </c>
      <c r="I114" s="113">
        <v>0</v>
      </c>
      <c r="J114" s="113">
        <v>0</v>
      </c>
      <c r="K114" s="113">
        <v>0</v>
      </c>
      <c r="L114" s="113">
        <v>0</v>
      </c>
      <c r="M114" s="113">
        <v>0</v>
      </c>
    </row>
    <row r="115" spans="1:13">
      <c r="A115" s="111" t="s">
        <v>2251</v>
      </c>
      <c r="B115" s="112">
        <v>0</v>
      </c>
      <c r="C115" s="112">
        <v>0</v>
      </c>
      <c r="D115" s="113">
        <v>0</v>
      </c>
      <c r="E115" s="113">
        <v>0</v>
      </c>
      <c r="F115" s="113">
        <v>0</v>
      </c>
      <c r="G115" s="113">
        <v>0</v>
      </c>
      <c r="H115" s="113">
        <v>0</v>
      </c>
      <c r="I115" s="113">
        <v>0</v>
      </c>
      <c r="J115" s="113">
        <v>0</v>
      </c>
      <c r="K115" s="113">
        <v>0</v>
      </c>
      <c r="L115" s="113">
        <v>0</v>
      </c>
      <c r="M115" s="113">
        <v>0</v>
      </c>
    </row>
    <row r="116" spans="1:13">
      <c r="A116" s="111" t="s">
        <v>2252</v>
      </c>
      <c r="B116" s="112">
        <v>0</v>
      </c>
      <c r="C116" s="112">
        <v>0</v>
      </c>
      <c r="D116" s="113">
        <v>0</v>
      </c>
      <c r="E116" s="113">
        <v>0</v>
      </c>
      <c r="F116" s="113">
        <v>0</v>
      </c>
      <c r="G116" s="113">
        <v>0</v>
      </c>
      <c r="H116" s="113">
        <v>0</v>
      </c>
      <c r="I116" s="113">
        <v>0</v>
      </c>
      <c r="J116" s="113">
        <v>0</v>
      </c>
      <c r="K116" s="113">
        <v>0</v>
      </c>
      <c r="L116" s="113">
        <v>0</v>
      </c>
      <c r="M116" s="113">
        <v>0</v>
      </c>
    </row>
    <row r="117" spans="1:13">
      <c r="A117" s="111" t="s">
        <v>2253</v>
      </c>
      <c r="B117" s="112">
        <v>0</v>
      </c>
      <c r="C117" s="112">
        <v>164487702</v>
      </c>
      <c r="D117" s="113">
        <v>20790000</v>
      </c>
      <c r="E117" s="113">
        <v>9006214</v>
      </c>
      <c r="F117" s="113">
        <v>2538134</v>
      </c>
      <c r="G117" s="113">
        <v>23763379</v>
      </c>
      <c r="H117" s="113">
        <v>-183631</v>
      </c>
      <c r="I117" s="113">
        <v>7495860</v>
      </c>
      <c r="J117" s="113">
        <v>1691258</v>
      </c>
      <c r="K117" s="113">
        <v>6292718</v>
      </c>
      <c r="L117" s="113">
        <v>3931993</v>
      </c>
      <c r="M117" s="113">
        <v>4020800</v>
      </c>
    </row>
    <row r="118" spans="1:13">
      <c r="A118" s="111" t="s">
        <v>2254</v>
      </c>
      <c r="B118" s="112">
        <v>0</v>
      </c>
      <c r="C118" s="112">
        <v>0</v>
      </c>
      <c r="D118" s="113">
        <v>0</v>
      </c>
      <c r="E118" s="113">
        <v>0</v>
      </c>
      <c r="F118" s="113">
        <v>0</v>
      </c>
      <c r="G118" s="113">
        <v>0</v>
      </c>
      <c r="H118" s="113">
        <v>0</v>
      </c>
      <c r="I118" s="113">
        <v>0</v>
      </c>
      <c r="J118" s="113">
        <v>0</v>
      </c>
      <c r="K118" s="113">
        <v>0</v>
      </c>
      <c r="L118" s="113">
        <v>0</v>
      </c>
      <c r="M118" s="113">
        <v>0</v>
      </c>
    </row>
    <row r="119" spans="1:13">
      <c r="A119" s="111" t="s">
        <v>2255</v>
      </c>
      <c r="B119" s="112">
        <v>0</v>
      </c>
      <c r="C119" s="112">
        <v>0</v>
      </c>
      <c r="D119" s="113">
        <v>0</v>
      </c>
      <c r="E119" s="113">
        <v>0</v>
      </c>
      <c r="F119" s="113">
        <v>0</v>
      </c>
      <c r="G119" s="113">
        <v>0</v>
      </c>
      <c r="H119" s="113">
        <v>0</v>
      </c>
      <c r="I119" s="113">
        <v>0</v>
      </c>
      <c r="J119" s="113">
        <v>0</v>
      </c>
      <c r="K119" s="113">
        <v>0</v>
      </c>
      <c r="L119" s="113">
        <v>0</v>
      </c>
      <c r="M119" s="113">
        <v>0</v>
      </c>
    </row>
    <row r="120" spans="1:13">
      <c r="A120" s="111" t="s">
        <v>2256</v>
      </c>
      <c r="B120" s="112">
        <v>0</v>
      </c>
      <c r="C120" s="112">
        <v>0</v>
      </c>
      <c r="D120" s="113">
        <v>0</v>
      </c>
      <c r="E120" s="113">
        <v>0</v>
      </c>
      <c r="F120" s="113">
        <v>0</v>
      </c>
      <c r="G120" s="113">
        <v>0</v>
      </c>
      <c r="H120" s="113">
        <v>0</v>
      </c>
      <c r="I120" s="113">
        <v>0</v>
      </c>
      <c r="J120" s="113">
        <v>0</v>
      </c>
      <c r="K120" s="113">
        <v>0</v>
      </c>
      <c r="L120" s="113">
        <v>0</v>
      </c>
      <c r="M120" s="113">
        <v>0</v>
      </c>
    </row>
    <row r="121" spans="1:13">
      <c r="A121" s="111" t="s">
        <v>2257</v>
      </c>
      <c r="B121" s="112">
        <v>0</v>
      </c>
      <c r="C121" s="112">
        <v>0</v>
      </c>
      <c r="D121" s="113">
        <v>0</v>
      </c>
      <c r="E121" s="113">
        <v>0</v>
      </c>
      <c r="F121" s="113">
        <v>0</v>
      </c>
      <c r="G121" s="113">
        <v>0</v>
      </c>
      <c r="H121" s="113">
        <v>0</v>
      </c>
      <c r="I121" s="113">
        <v>0</v>
      </c>
      <c r="J121" s="113">
        <v>0</v>
      </c>
      <c r="K121" s="113">
        <v>0</v>
      </c>
      <c r="L121" s="113">
        <v>0</v>
      </c>
      <c r="M121" s="113">
        <v>0</v>
      </c>
    </row>
    <row r="122" spans="1:13">
      <c r="A122" s="111" t="s">
        <v>2258</v>
      </c>
      <c r="B122" s="112">
        <v>-11614281</v>
      </c>
      <c r="C122" s="112">
        <v>-11614281</v>
      </c>
      <c r="D122" s="113">
        <v>-10003950</v>
      </c>
      <c r="E122" s="113">
        <v>0</v>
      </c>
      <c r="F122" s="113">
        <v>-642322</v>
      </c>
      <c r="G122" s="113">
        <v>0</v>
      </c>
      <c r="H122" s="113">
        <v>0</v>
      </c>
      <c r="I122" s="113">
        <v>-551436</v>
      </c>
      <c r="J122" s="113">
        <v>-416573</v>
      </c>
      <c r="K122" s="113">
        <v>0</v>
      </c>
      <c r="L122" s="113">
        <v>0</v>
      </c>
      <c r="M122" s="113">
        <v>0</v>
      </c>
    </row>
    <row r="123" spans="1:13">
      <c r="A123" s="111" t="s">
        <v>2259</v>
      </c>
      <c r="B123" s="112">
        <v>-11544509</v>
      </c>
      <c r="C123" s="112">
        <v>152943193</v>
      </c>
      <c r="D123" s="113">
        <v>10786050</v>
      </c>
      <c r="E123" s="113">
        <v>9006214</v>
      </c>
      <c r="F123" s="113">
        <v>1895812</v>
      </c>
      <c r="G123" s="113">
        <v>23763379</v>
      </c>
      <c r="H123" s="113">
        <v>-183631</v>
      </c>
      <c r="I123" s="113">
        <v>6944424</v>
      </c>
      <c r="J123" s="113">
        <v>1274685</v>
      </c>
      <c r="K123" s="113">
        <v>6292718</v>
      </c>
      <c r="L123" s="113">
        <v>3931993</v>
      </c>
      <c r="M123" s="113">
        <v>4020800</v>
      </c>
    </row>
    <row r="124" spans="1:13">
      <c r="A124" s="111" t="s">
        <v>2260</v>
      </c>
      <c r="B124" s="112">
        <v>780212741</v>
      </c>
      <c r="C124" s="112">
        <v>944700443</v>
      </c>
      <c r="D124" s="113">
        <v>467844140</v>
      </c>
      <c r="E124" s="113">
        <v>13574920</v>
      </c>
      <c r="F124" s="113">
        <v>9305700</v>
      </c>
      <c r="G124" s="113">
        <v>36532595</v>
      </c>
      <c r="H124" s="113">
        <v>9505085</v>
      </c>
      <c r="I124" s="113">
        <v>24640682</v>
      </c>
      <c r="J124" s="113">
        <v>22009566</v>
      </c>
      <c r="K124" s="113">
        <v>17394582</v>
      </c>
      <c r="L124" s="113">
        <v>13271397</v>
      </c>
      <c r="M124" s="113">
        <v>13103889</v>
      </c>
    </row>
    <row r="125" spans="1:13">
      <c r="A125" s="111" t="s">
        <v>2261</v>
      </c>
      <c r="B125" s="112"/>
      <c r="C125" s="112"/>
      <c r="D125" s="113"/>
      <c r="E125" s="113"/>
      <c r="F125" s="113"/>
      <c r="G125" s="113"/>
      <c r="H125" s="113"/>
      <c r="I125" s="113"/>
      <c r="J125" s="113"/>
      <c r="K125" s="113"/>
      <c r="L125" s="113"/>
      <c r="M125" s="113"/>
    </row>
    <row r="126" spans="1:13">
      <c r="A126" s="111" t="s">
        <v>2262</v>
      </c>
      <c r="B126" s="112">
        <v>2682422859</v>
      </c>
      <c r="C126" s="112">
        <v>2682422859</v>
      </c>
      <c r="D126" s="113">
        <v>905099958</v>
      </c>
      <c r="E126" s="113">
        <v>137747816</v>
      </c>
      <c r="F126" s="113">
        <v>67831518</v>
      </c>
      <c r="G126" s="113">
        <v>42745302</v>
      </c>
      <c r="H126" s="113">
        <v>38236835</v>
      </c>
      <c r="I126" s="113">
        <v>108017893</v>
      </c>
      <c r="J126" s="113">
        <v>95067176</v>
      </c>
      <c r="K126" s="113">
        <v>47661091</v>
      </c>
      <c r="L126" s="113">
        <v>31056567</v>
      </c>
      <c r="M126" s="113">
        <v>0</v>
      </c>
    </row>
    <row r="127" spans="1:13">
      <c r="A127" s="111" t="s">
        <v>2263</v>
      </c>
      <c r="B127" s="112">
        <v>138202673</v>
      </c>
      <c r="C127" s="112">
        <v>138202673</v>
      </c>
      <c r="D127" s="113">
        <v>35956082</v>
      </c>
      <c r="E127" s="113">
        <v>0</v>
      </c>
      <c r="F127" s="113">
        <v>2011572</v>
      </c>
      <c r="G127" s="113">
        <v>22501314</v>
      </c>
      <c r="H127" s="113">
        <v>434973</v>
      </c>
      <c r="I127" s="113">
        <v>775451</v>
      </c>
      <c r="J127" s="113">
        <v>815655</v>
      </c>
      <c r="K127" s="113">
        <v>17574354</v>
      </c>
      <c r="L127" s="113">
        <v>0</v>
      </c>
      <c r="M127" s="113">
        <v>0</v>
      </c>
    </row>
    <row r="128" spans="1:13">
      <c r="A128" s="111" t="s">
        <v>2264</v>
      </c>
      <c r="B128" s="112">
        <v>4112530</v>
      </c>
      <c r="C128" s="112">
        <v>4112530</v>
      </c>
      <c r="D128" s="113">
        <v>1795877</v>
      </c>
      <c r="E128" s="113">
        <v>0</v>
      </c>
      <c r="F128" s="113">
        <v>0</v>
      </c>
      <c r="G128" s="113">
        <v>542502</v>
      </c>
      <c r="H128" s="113">
        <v>0</v>
      </c>
      <c r="I128" s="113">
        <v>0</v>
      </c>
      <c r="J128" s="113">
        <v>0</v>
      </c>
      <c r="K128" s="113">
        <v>0</v>
      </c>
      <c r="L128" s="113">
        <v>0</v>
      </c>
      <c r="M128" s="113">
        <v>0</v>
      </c>
    </row>
    <row r="129" spans="1:13">
      <c r="A129" s="111" t="s">
        <v>2265</v>
      </c>
      <c r="B129" s="112">
        <v>6517181</v>
      </c>
      <c r="C129" s="112">
        <v>6517181</v>
      </c>
      <c r="D129" s="113">
        <v>4203883</v>
      </c>
      <c r="E129" s="113">
        <v>267597</v>
      </c>
      <c r="F129" s="113">
        <v>359040</v>
      </c>
      <c r="G129" s="113">
        <v>0</v>
      </c>
      <c r="H129" s="113">
        <v>486438</v>
      </c>
      <c r="I129" s="113">
        <v>0</v>
      </c>
      <c r="J129" s="113">
        <v>0</v>
      </c>
      <c r="K129" s="113">
        <v>376992</v>
      </c>
      <c r="L129" s="113">
        <v>0</v>
      </c>
      <c r="M129" s="113">
        <v>0</v>
      </c>
    </row>
    <row r="130" spans="1:13">
      <c r="A130" s="111" t="s">
        <v>2266</v>
      </c>
      <c r="B130" s="112">
        <v>106565</v>
      </c>
      <c r="C130" s="112">
        <v>106565</v>
      </c>
      <c r="D130" s="113">
        <v>106565</v>
      </c>
      <c r="E130" s="113">
        <v>0</v>
      </c>
      <c r="F130" s="113">
        <v>0</v>
      </c>
      <c r="G130" s="113">
        <v>0</v>
      </c>
      <c r="H130" s="113">
        <v>0</v>
      </c>
      <c r="I130" s="113">
        <v>0</v>
      </c>
      <c r="J130" s="113">
        <v>0</v>
      </c>
      <c r="K130" s="113">
        <v>0</v>
      </c>
      <c r="L130" s="113">
        <v>0</v>
      </c>
      <c r="M130" s="113">
        <v>0</v>
      </c>
    </row>
    <row r="131" spans="1:13">
      <c r="A131" s="111" t="s">
        <v>2267</v>
      </c>
      <c r="B131" s="112">
        <v>0</v>
      </c>
      <c r="C131" s="112">
        <v>0</v>
      </c>
      <c r="D131" s="113">
        <v>0</v>
      </c>
      <c r="E131" s="113">
        <v>0</v>
      </c>
      <c r="F131" s="113">
        <v>0</v>
      </c>
      <c r="G131" s="113">
        <v>0</v>
      </c>
      <c r="H131" s="113">
        <v>0</v>
      </c>
      <c r="I131" s="113">
        <v>0</v>
      </c>
      <c r="J131" s="113">
        <v>0</v>
      </c>
      <c r="K131" s="113">
        <v>0</v>
      </c>
      <c r="L131" s="113">
        <v>0</v>
      </c>
      <c r="M131" s="113">
        <v>0</v>
      </c>
    </row>
    <row r="132" spans="1:13">
      <c r="A132" s="111" t="s">
        <v>2268</v>
      </c>
      <c r="B132" s="112">
        <v>6319150249</v>
      </c>
      <c r="C132" s="112">
        <v>6319150249</v>
      </c>
      <c r="D132" s="113">
        <v>2193005368</v>
      </c>
      <c r="E132" s="113">
        <v>262709157</v>
      </c>
      <c r="F132" s="113">
        <v>286363375</v>
      </c>
      <c r="G132" s="113">
        <v>192559845</v>
      </c>
      <c r="H132" s="113">
        <v>168935000</v>
      </c>
      <c r="I132" s="113">
        <v>264084489</v>
      </c>
      <c r="J132" s="113">
        <v>316421235</v>
      </c>
      <c r="K132" s="113">
        <v>320196626</v>
      </c>
      <c r="L132" s="113">
        <v>252984606</v>
      </c>
      <c r="M132" s="113">
        <v>0</v>
      </c>
    </row>
    <row r="133" spans="1:13">
      <c r="A133" s="111" t="s">
        <v>2269</v>
      </c>
      <c r="B133" s="112">
        <v>4179000</v>
      </c>
      <c r="C133" s="112">
        <v>4179000</v>
      </c>
      <c r="D133" s="113">
        <v>0</v>
      </c>
      <c r="E133" s="113">
        <v>0</v>
      </c>
      <c r="F133" s="113">
        <v>0</v>
      </c>
      <c r="G133" s="113">
        <v>2079000</v>
      </c>
      <c r="H133" s="113">
        <v>0</v>
      </c>
      <c r="I133" s="113">
        <v>0</v>
      </c>
      <c r="J133" s="113">
        <v>0</v>
      </c>
      <c r="K133" s="113">
        <v>0</v>
      </c>
      <c r="L133" s="113">
        <v>0</v>
      </c>
      <c r="M133" s="113">
        <v>0</v>
      </c>
    </row>
    <row r="134" spans="1:13">
      <c r="A134" s="111" t="s">
        <v>2270</v>
      </c>
      <c r="B134" s="112">
        <v>9154691057</v>
      </c>
      <c r="C134" s="112">
        <v>9154691057</v>
      </c>
      <c r="D134" s="113">
        <v>3140167733</v>
      </c>
      <c r="E134" s="113">
        <v>400724570</v>
      </c>
      <c r="F134" s="113">
        <v>356565505</v>
      </c>
      <c r="G134" s="113">
        <v>260427963</v>
      </c>
      <c r="H134" s="113">
        <v>208093246</v>
      </c>
      <c r="I134" s="113">
        <v>372877833</v>
      </c>
      <c r="J134" s="113">
        <v>412304066</v>
      </c>
      <c r="K134" s="113">
        <v>385809063</v>
      </c>
      <c r="L134" s="113">
        <v>284041173</v>
      </c>
      <c r="M134" s="113">
        <v>0</v>
      </c>
    </row>
    <row r="135" spans="1:13">
      <c r="A135" s="111" t="s">
        <v>2271</v>
      </c>
      <c r="B135" s="112"/>
      <c r="C135" s="112"/>
      <c r="D135" s="113"/>
      <c r="E135" s="113"/>
      <c r="F135" s="113"/>
      <c r="G135" s="113"/>
      <c r="H135" s="113"/>
      <c r="I135" s="113"/>
      <c r="J135" s="113"/>
      <c r="K135" s="113"/>
      <c r="L135" s="113"/>
      <c r="M135" s="113"/>
    </row>
    <row r="136" spans="1:13">
      <c r="A136" s="111" t="s">
        <v>2272</v>
      </c>
      <c r="B136" s="112">
        <v>0</v>
      </c>
      <c r="C136" s="112">
        <v>0</v>
      </c>
      <c r="D136" s="113">
        <v>0</v>
      </c>
      <c r="E136" s="113">
        <v>0</v>
      </c>
      <c r="F136" s="113">
        <v>0</v>
      </c>
      <c r="G136" s="113">
        <v>0</v>
      </c>
      <c r="H136" s="113">
        <v>0</v>
      </c>
      <c r="I136" s="113">
        <v>0</v>
      </c>
      <c r="J136" s="113">
        <v>0</v>
      </c>
      <c r="K136" s="113">
        <v>0</v>
      </c>
      <c r="L136" s="113">
        <v>0</v>
      </c>
      <c r="M136" s="113">
        <v>0</v>
      </c>
    </row>
    <row r="137" spans="1:13">
      <c r="A137" s="111" t="s">
        <v>2273</v>
      </c>
      <c r="B137" s="112"/>
      <c r="C137" s="112"/>
      <c r="D137" s="113"/>
      <c r="E137" s="113"/>
      <c r="F137" s="113"/>
      <c r="G137" s="113"/>
      <c r="H137" s="113"/>
      <c r="I137" s="113"/>
      <c r="J137" s="113"/>
      <c r="K137" s="113"/>
      <c r="L137" s="113"/>
      <c r="M137" s="113"/>
    </row>
    <row r="138" spans="1:13">
      <c r="A138" s="111" t="s">
        <v>2274</v>
      </c>
      <c r="B138" s="112">
        <v>0</v>
      </c>
      <c r="C138" s="112">
        <v>0</v>
      </c>
      <c r="D138" s="113">
        <v>0</v>
      </c>
      <c r="E138" s="113">
        <v>0</v>
      </c>
      <c r="F138" s="113">
        <v>0</v>
      </c>
      <c r="G138" s="113">
        <v>0</v>
      </c>
      <c r="H138" s="113">
        <v>0</v>
      </c>
      <c r="I138" s="113">
        <v>0</v>
      </c>
      <c r="J138" s="113">
        <v>0</v>
      </c>
      <c r="K138" s="113">
        <v>0</v>
      </c>
      <c r="L138" s="113">
        <v>0</v>
      </c>
      <c r="M138" s="113">
        <v>0</v>
      </c>
    </row>
    <row r="139" spans="1:13">
      <c r="A139" s="111" t="s">
        <v>2275</v>
      </c>
      <c r="B139" s="112">
        <v>41910000</v>
      </c>
      <c r="C139" s="112">
        <v>41910000</v>
      </c>
      <c r="D139" s="113">
        <v>32710000</v>
      </c>
      <c r="E139" s="113">
        <v>50000</v>
      </c>
      <c r="F139" s="113">
        <v>350000</v>
      </c>
      <c r="G139" s="113">
        <v>150000</v>
      </c>
      <c r="H139" s="113">
        <v>350000</v>
      </c>
      <c r="I139" s="113">
        <v>50000</v>
      </c>
      <c r="J139" s="113">
        <v>400000</v>
      </c>
      <c r="K139" s="113">
        <v>1050000</v>
      </c>
      <c r="L139" s="113">
        <v>50000</v>
      </c>
      <c r="M139" s="113">
        <v>0</v>
      </c>
    </row>
    <row r="140" spans="1:13">
      <c r="A140" s="111" t="s">
        <v>2276</v>
      </c>
      <c r="B140" s="112">
        <v>600000</v>
      </c>
      <c r="C140" s="112">
        <v>600000</v>
      </c>
      <c r="D140" s="113">
        <v>600000</v>
      </c>
      <c r="E140" s="113">
        <v>0</v>
      </c>
      <c r="F140" s="113">
        <v>0</v>
      </c>
      <c r="G140" s="113">
        <v>0</v>
      </c>
      <c r="H140" s="113">
        <v>0</v>
      </c>
      <c r="I140" s="113">
        <v>0</v>
      </c>
      <c r="J140" s="113">
        <v>0</v>
      </c>
      <c r="K140" s="113">
        <v>0</v>
      </c>
      <c r="L140" s="113">
        <v>0</v>
      </c>
      <c r="M140" s="113">
        <v>0</v>
      </c>
    </row>
    <row r="141" spans="1:13">
      <c r="A141" s="111" t="s">
        <v>2277</v>
      </c>
      <c r="B141" s="112">
        <v>4640679</v>
      </c>
      <c r="C141" s="112">
        <v>4640679</v>
      </c>
      <c r="D141" s="113">
        <v>2715316</v>
      </c>
      <c r="E141" s="113">
        <v>0</v>
      </c>
      <c r="F141" s="113">
        <v>0</v>
      </c>
      <c r="G141" s="113">
        <v>262540</v>
      </c>
      <c r="H141" s="113">
        <v>299668</v>
      </c>
      <c r="I141" s="113">
        <v>0</v>
      </c>
      <c r="J141" s="113">
        <v>0</v>
      </c>
      <c r="K141" s="113">
        <v>0</v>
      </c>
      <c r="L141" s="113">
        <v>0</v>
      </c>
      <c r="M141" s="113">
        <v>0</v>
      </c>
    </row>
    <row r="142" spans="1:13">
      <c r="A142" s="111" t="s">
        <v>2278</v>
      </c>
      <c r="B142" s="112">
        <v>46062602</v>
      </c>
      <c r="C142" s="112">
        <v>46062602</v>
      </c>
      <c r="D142" s="113">
        <v>46062602</v>
      </c>
      <c r="E142" s="113">
        <v>0</v>
      </c>
      <c r="F142" s="113">
        <v>0</v>
      </c>
      <c r="G142" s="113">
        <v>0</v>
      </c>
      <c r="H142" s="113">
        <v>0</v>
      </c>
      <c r="I142" s="113">
        <v>0</v>
      </c>
      <c r="J142" s="113">
        <v>0</v>
      </c>
      <c r="K142" s="113">
        <v>0</v>
      </c>
      <c r="L142" s="113">
        <v>0</v>
      </c>
      <c r="M142" s="113">
        <v>0</v>
      </c>
    </row>
    <row r="143" spans="1:13">
      <c r="A143" s="111" t="s">
        <v>2279</v>
      </c>
      <c r="B143" s="112">
        <v>7486800</v>
      </c>
      <c r="C143" s="112">
        <v>7486800</v>
      </c>
      <c r="D143" s="113">
        <v>7486800</v>
      </c>
      <c r="E143" s="113">
        <v>0</v>
      </c>
      <c r="F143" s="113">
        <v>0</v>
      </c>
      <c r="G143" s="113">
        <v>0</v>
      </c>
      <c r="H143" s="113">
        <v>0</v>
      </c>
      <c r="I143" s="113">
        <v>0</v>
      </c>
      <c r="J143" s="113">
        <v>0</v>
      </c>
      <c r="K143" s="113">
        <v>0</v>
      </c>
      <c r="L143" s="113">
        <v>0</v>
      </c>
      <c r="M143" s="113">
        <v>0</v>
      </c>
    </row>
    <row r="144" spans="1:13">
      <c r="A144" s="111" t="s">
        <v>2280</v>
      </c>
      <c r="B144" s="112">
        <v>0</v>
      </c>
      <c r="C144" s="112">
        <v>90000000</v>
      </c>
      <c r="D144" s="113">
        <v>0</v>
      </c>
      <c r="E144" s="113">
        <v>0</v>
      </c>
      <c r="F144" s="113">
        <v>0</v>
      </c>
      <c r="G144" s="113">
        <v>0</v>
      </c>
      <c r="H144" s="113">
        <v>0</v>
      </c>
      <c r="I144" s="113">
        <v>0</v>
      </c>
      <c r="J144" s="113">
        <v>0</v>
      </c>
      <c r="K144" s="113">
        <v>0</v>
      </c>
      <c r="L144" s="113">
        <v>0</v>
      </c>
      <c r="M144" s="113">
        <v>90000000</v>
      </c>
    </row>
    <row r="145" spans="1:13">
      <c r="A145" s="111" t="s">
        <v>2281</v>
      </c>
      <c r="B145" s="112">
        <v>100700081</v>
      </c>
      <c r="C145" s="112">
        <v>190700081</v>
      </c>
      <c r="D145" s="113">
        <v>89574718</v>
      </c>
      <c r="E145" s="113">
        <v>50000</v>
      </c>
      <c r="F145" s="113">
        <v>350000</v>
      </c>
      <c r="G145" s="113">
        <v>412540</v>
      </c>
      <c r="H145" s="113">
        <v>649668</v>
      </c>
      <c r="I145" s="113">
        <v>50000</v>
      </c>
      <c r="J145" s="113">
        <v>400000</v>
      </c>
      <c r="K145" s="113">
        <v>1050000</v>
      </c>
      <c r="L145" s="113">
        <v>50000</v>
      </c>
      <c r="M145" s="113">
        <v>90000000</v>
      </c>
    </row>
    <row r="146" spans="1:13">
      <c r="A146" s="111" t="s">
        <v>2282</v>
      </c>
      <c r="B146" s="112">
        <v>9255391138</v>
      </c>
      <c r="C146" s="112">
        <v>9345391138</v>
      </c>
      <c r="D146" s="113">
        <v>3229742451</v>
      </c>
      <c r="E146" s="113">
        <v>400774570</v>
      </c>
      <c r="F146" s="113">
        <v>356915505</v>
      </c>
      <c r="G146" s="113">
        <v>260840503</v>
      </c>
      <c r="H146" s="113">
        <v>208742914</v>
      </c>
      <c r="I146" s="113">
        <v>372927833</v>
      </c>
      <c r="J146" s="113">
        <v>412704066</v>
      </c>
      <c r="K146" s="113">
        <v>386859063</v>
      </c>
      <c r="L146" s="113">
        <v>284091173</v>
      </c>
      <c r="M146" s="113">
        <v>90000000</v>
      </c>
    </row>
    <row r="147" spans="1:13">
      <c r="A147" s="111" t="s">
        <v>2283</v>
      </c>
      <c r="B147" s="112"/>
      <c r="C147" s="112"/>
      <c r="D147" s="113"/>
      <c r="E147" s="113"/>
      <c r="F147" s="113"/>
      <c r="G147" s="113"/>
      <c r="H147" s="113"/>
      <c r="I147" s="113"/>
      <c r="J147" s="113"/>
      <c r="K147" s="113"/>
      <c r="L147" s="113"/>
      <c r="M147" s="113"/>
    </row>
    <row r="148" spans="1:13">
      <c r="A148" s="111" t="s">
        <v>2284</v>
      </c>
      <c r="B148" s="112">
        <v>0</v>
      </c>
      <c r="C148" s="112">
        <v>0</v>
      </c>
      <c r="D148" s="113">
        <v>0</v>
      </c>
      <c r="E148" s="113">
        <v>0</v>
      </c>
      <c r="F148" s="113">
        <v>0</v>
      </c>
      <c r="G148" s="113">
        <v>0</v>
      </c>
      <c r="H148" s="113">
        <v>0</v>
      </c>
      <c r="I148" s="113">
        <v>0</v>
      </c>
      <c r="J148" s="113">
        <v>0</v>
      </c>
      <c r="K148" s="113">
        <v>0</v>
      </c>
      <c r="L148" s="113">
        <v>0</v>
      </c>
      <c r="M148" s="113">
        <v>0</v>
      </c>
    </row>
    <row r="149" spans="1:13">
      <c r="A149" s="111" t="s">
        <v>2285</v>
      </c>
      <c r="B149" s="112">
        <v>0</v>
      </c>
      <c r="C149" s="112">
        <v>0</v>
      </c>
      <c r="D149" s="113">
        <v>0</v>
      </c>
      <c r="E149" s="113">
        <v>0</v>
      </c>
      <c r="F149" s="113">
        <v>0</v>
      </c>
      <c r="G149" s="113">
        <v>0</v>
      </c>
      <c r="H149" s="113">
        <v>0</v>
      </c>
      <c r="I149" s="113">
        <v>0</v>
      </c>
      <c r="J149" s="113">
        <v>0</v>
      </c>
      <c r="K149" s="113">
        <v>0</v>
      </c>
      <c r="L149" s="113">
        <v>0</v>
      </c>
      <c r="M149" s="113">
        <v>0</v>
      </c>
    </row>
    <row r="150" spans="1:13">
      <c r="A150" s="111" t="s">
        <v>2286</v>
      </c>
      <c r="B150" s="112">
        <v>0</v>
      </c>
      <c r="C150" s="112">
        <v>0</v>
      </c>
      <c r="D150" s="113">
        <v>0</v>
      </c>
      <c r="E150" s="113">
        <v>0</v>
      </c>
      <c r="F150" s="113">
        <v>0</v>
      </c>
      <c r="G150" s="113">
        <v>0</v>
      </c>
      <c r="H150" s="113">
        <v>0</v>
      </c>
      <c r="I150" s="113">
        <v>0</v>
      </c>
      <c r="J150" s="113">
        <v>0</v>
      </c>
      <c r="K150" s="113">
        <v>0</v>
      </c>
      <c r="L150" s="113">
        <v>0</v>
      </c>
      <c r="M150" s="113">
        <v>0</v>
      </c>
    </row>
    <row r="151" spans="1:13">
      <c r="A151" s="111" t="s">
        <v>2287</v>
      </c>
      <c r="B151" s="112">
        <v>10035603879</v>
      </c>
      <c r="C151" s="112">
        <v>10290091581</v>
      </c>
      <c r="D151" s="113">
        <v>3697586591</v>
      </c>
      <c r="E151" s="113">
        <v>414349490</v>
      </c>
      <c r="F151" s="113">
        <v>366221205</v>
      </c>
      <c r="G151" s="113">
        <v>297373098</v>
      </c>
      <c r="H151" s="113">
        <v>218247999</v>
      </c>
      <c r="I151" s="113">
        <v>397568515</v>
      </c>
      <c r="J151" s="113">
        <v>434713632</v>
      </c>
      <c r="K151" s="113">
        <v>404253645</v>
      </c>
      <c r="L151" s="113">
        <v>297362570</v>
      </c>
      <c r="M151" s="113">
        <v>103103889</v>
      </c>
    </row>
    <row r="152" spans="1:13">
      <c r="A152" s="111" t="s">
        <v>2288</v>
      </c>
      <c r="B152" s="112"/>
      <c r="C152" s="112"/>
      <c r="D152" s="113"/>
      <c r="E152" s="113"/>
      <c r="F152" s="113"/>
      <c r="G152" s="113"/>
      <c r="H152" s="113"/>
      <c r="I152" s="113"/>
      <c r="J152" s="113"/>
      <c r="K152" s="113"/>
      <c r="L152" s="113"/>
      <c r="M152" s="113"/>
    </row>
    <row r="153" spans="1:13">
      <c r="A153" s="111" t="s">
        <v>2289</v>
      </c>
      <c r="B153" s="112">
        <v>0</v>
      </c>
      <c r="C153" s="112">
        <v>0</v>
      </c>
      <c r="D153" s="113">
        <v>0</v>
      </c>
      <c r="E153" s="113">
        <v>0</v>
      </c>
      <c r="F153" s="113">
        <v>0</v>
      </c>
      <c r="G153" s="113">
        <v>0</v>
      </c>
      <c r="H153" s="113">
        <v>0</v>
      </c>
      <c r="I153" s="113">
        <v>0</v>
      </c>
      <c r="J153" s="113">
        <v>0</v>
      </c>
      <c r="K153" s="113">
        <v>0</v>
      </c>
      <c r="L153" s="113">
        <v>0</v>
      </c>
      <c r="M153" s="113">
        <v>0</v>
      </c>
    </row>
    <row r="154" spans="1:13">
      <c r="A154" s="111" t="s">
        <v>2290</v>
      </c>
      <c r="B154" s="112"/>
      <c r="C154" s="112"/>
      <c r="D154" s="113"/>
      <c r="E154" s="113"/>
      <c r="F154" s="113"/>
      <c r="G154" s="113"/>
      <c r="H154" s="113"/>
      <c r="I154" s="113"/>
      <c r="J154" s="113"/>
      <c r="K154" s="113"/>
      <c r="L154" s="113"/>
      <c r="M154" s="113"/>
    </row>
    <row r="155" spans="1:13">
      <c r="A155" s="111" t="s">
        <v>2291</v>
      </c>
      <c r="B155" s="112">
        <v>157951858</v>
      </c>
      <c r="C155" s="112">
        <v>157951858</v>
      </c>
      <c r="D155" s="113">
        <v>78179293</v>
      </c>
      <c r="E155" s="113">
        <v>760000</v>
      </c>
      <c r="F155" s="113">
        <v>820000</v>
      </c>
      <c r="G155" s="113">
        <v>8194988</v>
      </c>
      <c r="H155" s="113">
        <v>852800</v>
      </c>
      <c r="I155" s="113">
        <v>760000</v>
      </c>
      <c r="J155" s="113">
        <v>751000</v>
      </c>
      <c r="K155" s="113">
        <v>5743441</v>
      </c>
      <c r="L155" s="113">
        <v>17959951</v>
      </c>
      <c r="M155" s="113">
        <v>28948254</v>
      </c>
    </row>
    <row r="156" spans="1:13">
      <c r="A156" s="111" t="s">
        <v>2292</v>
      </c>
      <c r="B156" s="112">
        <v>0</v>
      </c>
      <c r="C156" s="112">
        <v>0</v>
      </c>
      <c r="D156" s="113">
        <v>0</v>
      </c>
      <c r="E156" s="113">
        <v>0</v>
      </c>
      <c r="F156" s="113">
        <v>0</v>
      </c>
      <c r="G156" s="113">
        <v>0</v>
      </c>
      <c r="H156" s="113">
        <v>0</v>
      </c>
      <c r="I156" s="113">
        <v>0</v>
      </c>
      <c r="J156" s="113">
        <v>0</v>
      </c>
      <c r="K156" s="113">
        <v>0</v>
      </c>
      <c r="L156" s="113">
        <v>0</v>
      </c>
      <c r="M156" s="113">
        <v>0</v>
      </c>
    </row>
    <row r="157" spans="1:13">
      <c r="A157" s="111" t="s">
        <v>2293</v>
      </c>
      <c r="B157" s="112">
        <v>0</v>
      </c>
      <c r="C157" s="112">
        <v>0</v>
      </c>
      <c r="D157" s="113">
        <v>0</v>
      </c>
      <c r="E157" s="113">
        <v>0</v>
      </c>
      <c r="F157" s="113">
        <v>0</v>
      </c>
      <c r="G157" s="113">
        <v>0</v>
      </c>
      <c r="H157" s="113">
        <v>0</v>
      </c>
      <c r="I157" s="113">
        <v>0</v>
      </c>
      <c r="J157" s="113">
        <v>0</v>
      </c>
      <c r="K157" s="113">
        <v>0</v>
      </c>
      <c r="L157" s="113">
        <v>0</v>
      </c>
      <c r="M157" s="113">
        <v>0</v>
      </c>
    </row>
    <row r="158" spans="1:13">
      <c r="A158" s="111" t="s">
        <v>2294</v>
      </c>
      <c r="B158" s="112">
        <v>0</v>
      </c>
      <c r="C158" s="112">
        <v>164487702</v>
      </c>
      <c r="D158" s="113">
        <v>137460702</v>
      </c>
      <c r="E158" s="113">
        <v>1930500</v>
      </c>
      <c r="F158" s="113">
        <v>1930500</v>
      </c>
      <c r="G158" s="113">
        <v>1930500</v>
      </c>
      <c r="H158" s="113">
        <v>1930500</v>
      </c>
      <c r="I158" s="113">
        <v>1930500</v>
      </c>
      <c r="J158" s="113">
        <v>1930500</v>
      </c>
      <c r="K158" s="113">
        <v>1930500</v>
      </c>
      <c r="L158" s="113">
        <v>1930500</v>
      </c>
      <c r="M158" s="113">
        <v>0</v>
      </c>
    </row>
    <row r="159" spans="1:13">
      <c r="A159" s="111" t="s">
        <v>2295</v>
      </c>
      <c r="B159" s="112">
        <v>145968</v>
      </c>
      <c r="C159" s="112">
        <v>145968</v>
      </c>
      <c r="D159" s="113">
        <v>145968</v>
      </c>
      <c r="E159" s="113">
        <v>0</v>
      </c>
      <c r="F159" s="113">
        <v>0</v>
      </c>
      <c r="G159" s="113">
        <v>0</v>
      </c>
      <c r="H159" s="113">
        <v>0</v>
      </c>
      <c r="I159" s="113">
        <v>0</v>
      </c>
      <c r="J159" s="113">
        <v>0</v>
      </c>
      <c r="K159" s="113">
        <v>0</v>
      </c>
      <c r="L159" s="113">
        <v>0</v>
      </c>
      <c r="M159" s="113">
        <v>0</v>
      </c>
    </row>
    <row r="160" spans="1:13">
      <c r="A160" s="111" t="s">
        <v>2296</v>
      </c>
      <c r="B160" s="112">
        <v>2037107</v>
      </c>
      <c r="C160" s="112">
        <v>2037107</v>
      </c>
      <c r="D160" s="113">
        <v>2035732</v>
      </c>
      <c r="E160" s="113">
        <v>0</v>
      </c>
      <c r="F160" s="113">
        <v>0</v>
      </c>
      <c r="G160" s="113">
        <v>0</v>
      </c>
      <c r="H160" s="113">
        <v>0</v>
      </c>
      <c r="I160" s="113">
        <v>0</v>
      </c>
      <c r="J160" s="113">
        <v>0</v>
      </c>
      <c r="K160" s="113">
        <v>0</v>
      </c>
      <c r="L160" s="113">
        <v>0</v>
      </c>
      <c r="M160" s="113">
        <v>0</v>
      </c>
    </row>
    <row r="161" spans="1:13">
      <c r="A161" s="111" t="s">
        <v>2297</v>
      </c>
      <c r="B161" s="112">
        <v>0</v>
      </c>
      <c r="C161" s="112">
        <v>0</v>
      </c>
      <c r="D161" s="113">
        <v>0</v>
      </c>
      <c r="E161" s="113">
        <v>0</v>
      </c>
      <c r="F161" s="113">
        <v>0</v>
      </c>
      <c r="G161" s="113">
        <v>0</v>
      </c>
      <c r="H161" s="113">
        <v>0</v>
      </c>
      <c r="I161" s="113">
        <v>0</v>
      </c>
      <c r="J161" s="113">
        <v>0</v>
      </c>
      <c r="K161" s="113">
        <v>0</v>
      </c>
      <c r="L161" s="113">
        <v>0</v>
      </c>
      <c r="M161" s="113">
        <v>0</v>
      </c>
    </row>
    <row r="162" spans="1:13">
      <c r="A162" s="111" t="s">
        <v>2298</v>
      </c>
      <c r="B162" s="112">
        <v>-62071900</v>
      </c>
      <c r="C162" s="112">
        <v>-62071900</v>
      </c>
      <c r="D162" s="113">
        <v>-33811200</v>
      </c>
      <c r="E162" s="113">
        <v>-1141000</v>
      </c>
      <c r="F162" s="113">
        <v>-1074500</v>
      </c>
      <c r="G162" s="113">
        <v>-1122400</v>
      </c>
      <c r="H162" s="113">
        <v>-13140900</v>
      </c>
      <c r="I162" s="113">
        <v>-1465500</v>
      </c>
      <c r="J162" s="113">
        <v>-1161700</v>
      </c>
      <c r="K162" s="113">
        <v>-936000</v>
      </c>
      <c r="L162" s="113">
        <v>-839300</v>
      </c>
      <c r="M162" s="113">
        <v>-1137500</v>
      </c>
    </row>
    <row r="163" spans="1:13">
      <c r="A163" s="111" t="s">
        <v>2299</v>
      </c>
      <c r="B163" s="112">
        <v>24045300</v>
      </c>
      <c r="C163" s="112">
        <v>24045300</v>
      </c>
      <c r="D163" s="113">
        <v>21647600</v>
      </c>
      <c r="E163" s="113">
        <v>0</v>
      </c>
      <c r="F163" s="113">
        <v>547600</v>
      </c>
      <c r="G163" s="113">
        <v>0</v>
      </c>
      <c r="H163" s="113">
        <v>0</v>
      </c>
      <c r="I163" s="113">
        <v>608200</v>
      </c>
      <c r="J163" s="113">
        <v>1241900</v>
      </c>
      <c r="K163" s="113">
        <v>0</v>
      </c>
      <c r="L163" s="113">
        <v>0</v>
      </c>
      <c r="M163" s="113">
        <v>0</v>
      </c>
    </row>
    <row r="164" spans="1:13">
      <c r="A164" s="111" t="s">
        <v>2300</v>
      </c>
      <c r="B164" s="112">
        <v>131978</v>
      </c>
      <c r="C164" s="112">
        <v>131978</v>
      </c>
      <c r="D164" s="113">
        <v>131978</v>
      </c>
      <c r="E164" s="113">
        <v>0</v>
      </c>
      <c r="F164" s="113">
        <v>0</v>
      </c>
      <c r="G164" s="113">
        <v>0</v>
      </c>
      <c r="H164" s="113">
        <v>0</v>
      </c>
      <c r="I164" s="113">
        <v>0</v>
      </c>
      <c r="J164" s="113">
        <v>0</v>
      </c>
      <c r="K164" s="113">
        <v>0</v>
      </c>
      <c r="L164" s="113">
        <v>0</v>
      </c>
      <c r="M164" s="113">
        <v>0</v>
      </c>
    </row>
    <row r="165" spans="1:13">
      <c r="A165" s="111" t="s">
        <v>2301</v>
      </c>
      <c r="B165" s="112">
        <v>0</v>
      </c>
      <c r="C165" s="112">
        <v>0</v>
      </c>
      <c r="D165" s="113">
        <v>0</v>
      </c>
      <c r="E165" s="113">
        <v>0</v>
      </c>
      <c r="F165" s="113">
        <v>0</v>
      </c>
      <c r="G165" s="113">
        <v>0</v>
      </c>
      <c r="H165" s="113">
        <v>0</v>
      </c>
      <c r="I165" s="113">
        <v>0</v>
      </c>
      <c r="J165" s="113">
        <v>0</v>
      </c>
      <c r="K165" s="113">
        <v>0</v>
      </c>
      <c r="L165" s="113">
        <v>0</v>
      </c>
      <c r="M165" s="113">
        <v>0</v>
      </c>
    </row>
    <row r="166" spans="1:13">
      <c r="A166" s="111" t="s">
        <v>2302</v>
      </c>
      <c r="B166" s="112">
        <v>510209</v>
      </c>
      <c r="C166" s="112">
        <v>510209</v>
      </c>
      <c r="D166" s="113">
        <v>510107</v>
      </c>
      <c r="E166" s="113">
        <v>0</v>
      </c>
      <c r="F166" s="113">
        <v>0</v>
      </c>
      <c r="G166" s="113">
        <v>0</v>
      </c>
      <c r="H166" s="113">
        <v>0</v>
      </c>
      <c r="I166" s="113">
        <v>0</v>
      </c>
      <c r="J166" s="113">
        <v>0</v>
      </c>
      <c r="K166" s="113">
        <v>0</v>
      </c>
      <c r="L166" s="113">
        <v>0</v>
      </c>
      <c r="M166" s="113">
        <v>0</v>
      </c>
    </row>
    <row r="167" spans="1:13">
      <c r="A167" s="111" t="s">
        <v>2303</v>
      </c>
      <c r="B167" s="112">
        <v>29084703</v>
      </c>
      <c r="C167" s="112">
        <v>29084703</v>
      </c>
      <c r="D167" s="113">
        <v>29084703</v>
      </c>
      <c r="E167" s="113">
        <v>0</v>
      </c>
      <c r="F167" s="113">
        <v>0</v>
      </c>
      <c r="G167" s="113">
        <v>0</v>
      </c>
      <c r="H167" s="113">
        <v>0</v>
      </c>
      <c r="I167" s="113">
        <v>0</v>
      </c>
      <c r="J167" s="113">
        <v>0</v>
      </c>
      <c r="K167" s="113">
        <v>0</v>
      </c>
      <c r="L167" s="113">
        <v>0</v>
      </c>
      <c r="M167" s="113">
        <v>0</v>
      </c>
    </row>
    <row r="168" spans="1:13">
      <c r="A168" s="111" t="s">
        <v>2304</v>
      </c>
      <c r="B168" s="112">
        <v>0</v>
      </c>
      <c r="C168" s="112">
        <v>0</v>
      </c>
      <c r="D168" s="113">
        <v>0</v>
      </c>
      <c r="E168" s="113">
        <v>0</v>
      </c>
      <c r="F168" s="113">
        <v>0</v>
      </c>
      <c r="G168" s="113">
        <v>0</v>
      </c>
      <c r="H168" s="113">
        <v>0</v>
      </c>
      <c r="I168" s="113">
        <v>0</v>
      </c>
      <c r="J168" s="113">
        <v>0</v>
      </c>
      <c r="K168" s="113">
        <v>0</v>
      </c>
      <c r="L168" s="113">
        <v>0</v>
      </c>
      <c r="M168" s="113">
        <v>0</v>
      </c>
    </row>
    <row r="169" spans="1:13">
      <c r="A169" s="111" t="s">
        <v>2305</v>
      </c>
      <c r="B169" s="112">
        <v>0</v>
      </c>
      <c r="C169" s="112">
        <v>0</v>
      </c>
      <c r="D169" s="113">
        <v>0</v>
      </c>
      <c r="E169" s="113">
        <v>0</v>
      </c>
      <c r="F169" s="113">
        <v>0</v>
      </c>
      <c r="G169" s="113">
        <v>0</v>
      </c>
      <c r="H169" s="113">
        <v>0</v>
      </c>
      <c r="I169" s="113">
        <v>0</v>
      </c>
      <c r="J169" s="113">
        <v>0</v>
      </c>
      <c r="K169" s="113">
        <v>0</v>
      </c>
      <c r="L169" s="113">
        <v>0</v>
      </c>
      <c r="M169" s="113">
        <v>0</v>
      </c>
    </row>
    <row r="170" spans="1:13">
      <c r="A170" s="111" t="s">
        <v>2306</v>
      </c>
      <c r="B170" s="112">
        <v>74706885</v>
      </c>
      <c r="C170" s="112">
        <v>74706885</v>
      </c>
      <c r="D170" s="113">
        <v>13159652</v>
      </c>
      <c r="E170" s="113">
        <v>3075000</v>
      </c>
      <c r="F170" s="113">
        <v>3821800</v>
      </c>
      <c r="G170" s="113">
        <v>3212500</v>
      </c>
      <c r="H170" s="113">
        <v>2153300</v>
      </c>
      <c r="I170" s="113">
        <v>5297033</v>
      </c>
      <c r="J170" s="113">
        <v>16100000</v>
      </c>
      <c r="K170" s="113">
        <v>2800500</v>
      </c>
      <c r="L170" s="113">
        <v>4928900</v>
      </c>
      <c r="M170" s="113">
        <v>0</v>
      </c>
    </row>
    <row r="171" spans="1:13">
      <c r="A171" s="111" t="s">
        <v>2307</v>
      </c>
      <c r="B171" s="112">
        <v>-29065138</v>
      </c>
      <c r="C171" s="112">
        <v>-29065138</v>
      </c>
      <c r="D171" s="113">
        <v>-25068373</v>
      </c>
      <c r="E171" s="113">
        <v>0</v>
      </c>
      <c r="F171" s="113">
        <v>-913000</v>
      </c>
      <c r="G171" s="113">
        <v>0</v>
      </c>
      <c r="H171" s="113">
        <v>0</v>
      </c>
      <c r="I171" s="113">
        <v>-1013765</v>
      </c>
      <c r="J171" s="113">
        <v>-2070000</v>
      </c>
      <c r="K171" s="113">
        <v>0</v>
      </c>
      <c r="L171" s="113">
        <v>0</v>
      </c>
      <c r="M171" s="113">
        <v>0</v>
      </c>
    </row>
    <row r="172" spans="1:13">
      <c r="A172" s="111" t="s">
        <v>2308</v>
      </c>
      <c r="B172" s="112">
        <v>197476970</v>
      </c>
      <c r="C172" s="112">
        <v>361964672</v>
      </c>
      <c r="D172" s="113">
        <v>223476162</v>
      </c>
      <c r="E172" s="113">
        <v>4624500</v>
      </c>
      <c r="F172" s="113">
        <v>5132400</v>
      </c>
      <c r="G172" s="113">
        <v>12215588</v>
      </c>
      <c r="H172" s="113">
        <v>-8204300</v>
      </c>
      <c r="I172" s="113">
        <v>6116468</v>
      </c>
      <c r="J172" s="113">
        <v>16791700</v>
      </c>
      <c r="K172" s="113">
        <v>9538441</v>
      </c>
      <c r="L172" s="113">
        <v>23980051</v>
      </c>
      <c r="M172" s="113">
        <v>27810754</v>
      </c>
    </row>
    <row r="173" spans="1:13">
      <c r="A173" s="111" t="s">
        <v>2309</v>
      </c>
      <c r="B173" s="112">
        <v>197476970</v>
      </c>
      <c r="C173" s="112">
        <v>361964672</v>
      </c>
      <c r="D173" s="113">
        <v>223476162</v>
      </c>
      <c r="E173" s="113">
        <v>4624500</v>
      </c>
      <c r="F173" s="113">
        <v>5132400</v>
      </c>
      <c r="G173" s="113">
        <v>12215588</v>
      </c>
      <c r="H173" s="113">
        <v>-8204300</v>
      </c>
      <c r="I173" s="113">
        <v>6116468</v>
      </c>
      <c r="J173" s="113">
        <v>16791700</v>
      </c>
      <c r="K173" s="113">
        <v>9538441</v>
      </c>
      <c r="L173" s="113">
        <v>23980051</v>
      </c>
      <c r="M173" s="113">
        <v>27810754</v>
      </c>
    </row>
    <row r="174" spans="1:13">
      <c r="A174" s="111" t="s">
        <v>2310</v>
      </c>
      <c r="B174" s="112"/>
      <c r="C174" s="112"/>
      <c r="D174" s="113"/>
      <c r="E174" s="113"/>
      <c r="F174" s="113"/>
      <c r="G174" s="113"/>
      <c r="H174" s="113"/>
      <c r="I174" s="113"/>
      <c r="J174" s="113"/>
      <c r="K174" s="113"/>
      <c r="L174" s="113"/>
      <c r="M174" s="113"/>
    </row>
    <row r="175" spans="1:13">
      <c r="A175" s="111" t="s">
        <v>2311</v>
      </c>
      <c r="B175" s="112">
        <v>8063398235</v>
      </c>
      <c r="C175" s="112">
        <v>8063398235</v>
      </c>
      <c r="D175" s="113">
        <v>2754121577</v>
      </c>
      <c r="E175" s="113">
        <v>289146337</v>
      </c>
      <c r="F175" s="113">
        <v>313706389</v>
      </c>
      <c r="G175" s="113">
        <v>187106609</v>
      </c>
      <c r="H175" s="113">
        <v>166166517</v>
      </c>
      <c r="I175" s="113">
        <v>325693047</v>
      </c>
      <c r="J175" s="113">
        <v>366807279</v>
      </c>
      <c r="K175" s="113">
        <v>312439387</v>
      </c>
      <c r="L175" s="113">
        <v>227542871</v>
      </c>
      <c r="M175" s="113">
        <v>0</v>
      </c>
    </row>
    <row r="176" spans="1:13">
      <c r="A176" s="111" t="s">
        <v>2312</v>
      </c>
      <c r="B176" s="112">
        <v>364355133</v>
      </c>
      <c r="C176" s="112">
        <v>364355133</v>
      </c>
      <c r="D176" s="113">
        <v>218221684</v>
      </c>
      <c r="E176" s="113">
        <v>0</v>
      </c>
      <c r="F176" s="113">
        <v>0</v>
      </c>
      <c r="G176" s="113">
        <v>27500000</v>
      </c>
      <c r="H176" s="113">
        <v>10000000</v>
      </c>
      <c r="I176" s="113">
        <v>9688000</v>
      </c>
      <c r="J176" s="113">
        <v>10000000</v>
      </c>
      <c r="K176" s="113">
        <v>0</v>
      </c>
      <c r="L176" s="113">
        <v>0</v>
      </c>
      <c r="M176" s="113">
        <v>32502449</v>
      </c>
    </row>
    <row r="177" spans="1:13">
      <c r="A177" s="111" t="s">
        <v>2313</v>
      </c>
      <c r="B177" s="112">
        <v>187445651</v>
      </c>
      <c r="C177" s="112">
        <v>187445651</v>
      </c>
      <c r="D177" s="113">
        <v>127245743</v>
      </c>
      <c r="E177" s="113">
        <v>0</v>
      </c>
      <c r="F177" s="113">
        <v>0</v>
      </c>
      <c r="G177" s="113">
        <v>13503100</v>
      </c>
      <c r="H177" s="113">
        <v>0</v>
      </c>
      <c r="I177" s="113">
        <v>0</v>
      </c>
      <c r="J177" s="113">
        <v>0</v>
      </c>
      <c r="K177" s="113">
        <v>1272936</v>
      </c>
      <c r="L177" s="113">
        <v>0</v>
      </c>
      <c r="M177" s="113">
        <v>0</v>
      </c>
    </row>
    <row r="178" spans="1:13">
      <c r="A178" s="111" t="s">
        <v>2314</v>
      </c>
      <c r="B178" s="112">
        <v>0</v>
      </c>
      <c r="C178" s="112">
        <v>0</v>
      </c>
      <c r="D178" s="113">
        <v>0</v>
      </c>
      <c r="E178" s="113">
        <v>0</v>
      </c>
      <c r="F178" s="113">
        <v>0</v>
      </c>
      <c r="G178" s="113">
        <v>0</v>
      </c>
      <c r="H178" s="113">
        <v>0</v>
      </c>
      <c r="I178" s="113">
        <v>0</v>
      </c>
      <c r="J178" s="113">
        <v>0</v>
      </c>
      <c r="K178" s="113">
        <v>0</v>
      </c>
      <c r="L178" s="113">
        <v>0</v>
      </c>
      <c r="M178" s="113">
        <v>0</v>
      </c>
    </row>
    <row r="179" spans="1:13">
      <c r="A179" s="111" t="s">
        <v>2315</v>
      </c>
      <c r="B179" s="112">
        <v>0</v>
      </c>
      <c r="C179" s="112">
        <v>0</v>
      </c>
      <c r="D179" s="113">
        <v>0</v>
      </c>
      <c r="E179" s="113">
        <v>0</v>
      </c>
      <c r="F179" s="113">
        <v>0</v>
      </c>
      <c r="G179" s="113">
        <v>0</v>
      </c>
      <c r="H179" s="113">
        <v>0</v>
      </c>
      <c r="I179" s="113">
        <v>0</v>
      </c>
      <c r="J179" s="113">
        <v>0</v>
      </c>
      <c r="K179" s="113">
        <v>0</v>
      </c>
      <c r="L179" s="113">
        <v>0</v>
      </c>
      <c r="M179" s="113">
        <v>0</v>
      </c>
    </row>
    <row r="180" spans="1:13">
      <c r="A180" s="111" t="s">
        <v>2316</v>
      </c>
      <c r="B180" s="112">
        <v>0</v>
      </c>
      <c r="C180" s="112">
        <v>0</v>
      </c>
      <c r="D180" s="113">
        <v>0</v>
      </c>
      <c r="E180" s="113">
        <v>0</v>
      </c>
      <c r="F180" s="113">
        <v>0</v>
      </c>
      <c r="G180" s="113">
        <v>0</v>
      </c>
      <c r="H180" s="113">
        <v>0</v>
      </c>
      <c r="I180" s="113">
        <v>0</v>
      </c>
      <c r="J180" s="113">
        <v>0</v>
      </c>
      <c r="K180" s="113">
        <v>0</v>
      </c>
      <c r="L180" s="113">
        <v>0</v>
      </c>
      <c r="M180" s="113">
        <v>0</v>
      </c>
    </row>
    <row r="181" spans="1:13">
      <c r="A181" s="111" t="s">
        <v>2317</v>
      </c>
      <c r="B181" s="112">
        <v>8615199019</v>
      </c>
      <c r="C181" s="112">
        <v>8615199019</v>
      </c>
      <c r="D181" s="113">
        <v>3099589004</v>
      </c>
      <c r="E181" s="113">
        <v>289146337</v>
      </c>
      <c r="F181" s="113">
        <v>313706389</v>
      </c>
      <c r="G181" s="113">
        <v>228109709</v>
      </c>
      <c r="H181" s="113">
        <v>176166517</v>
      </c>
      <c r="I181" s="113">
        <v>335381047</v>
      </c>
      <c r="J181" s="113">
        <v>376807279</v>
      </c>
      <c r="K181" s="113">
        <v>313712323</v>
      </c>
      <c r="L181" s="113">
        <v>227542871</v>
      </c>
      <c r="M181" s="113">
        <v>32502449</v>
      </c>
    </row>
    <row r="182" spans="1:13">
      <c r="A182" s="111" t="s">
        <v>2318</v>
      </c>
      <c r="B182" s="112">
        <v>8812675989</v>
      </c>
      <c r="C182" s="112">
        <v>8977163691</v>
      </c>
      <c r="D182" s="113">
        <v>3323065166</v>
      </c>
      <c r="E182" s="113">
        <v>293770837</v>
      </c>
      <c r="F182" s="113">
        <v>318838789</v>
      </c>
      <c r="G182" s="113">
        <v>240325297</v>
      </c>
      <c r="H182" s="113">
        <v>167962217</v>
      </c>
      <c r="I182" s="113">
        <v>341497515</v>
      </c>
      <c r="J182" s="113">
        <v>393598979</v>
      </c>
      <c r="K182" s="113">
        <v>323250764</v>
      </c>
      <c r="L182" s="113">
        <v>251522922</v>
      </c>
      <c r="M182" s="113">
        <v>60313203</v>
      </c>
    </row>
    <row r="183" spans="1:13">
      <c r="A183" s="111" t="s">
        <v>2319</v>
      </c>
      <c r="B183" s="112"/>
      <c r="C183" s="112"/>
      <c r="D183" s="113"/>
      <c r="E183" s="113"/>
      <c r="F183" s="113"/>
      <c r="G183" s="113"/>
      <c r="H183" s="113"/>
      <c r="I183" s="113"/>
      <c r="J183" s="113"/>
      <c r="K183" s="113"/>
      <c r="L183" s="113"/>
      <c r="M183" s="113"/>
    </row>
    <row r="184" spans="1:13">
      <c r="A184" s="111" t="s">
        <v>2320</v>
      </c>
      <c r="B184" s="112">
        <v>10000000</v>
      </c>
      <c r="C184" s="112">
        <v>100000000</v>
      </c>
      <c r="D184" s="113">
        <v>10000000</v>
      </c>
      <c r="E184" s="113">
        <v>3000000</v>
      </c>
      <c r="F184" s="113">
        <v>5000000</v>
      </c>
      <c r="G184" s="113">
        <v>5000000</v>
      </c>
      <c r="H184" s="113">
        <v>10000000</v>
      </c>
      <c r="I184" s="113">
        <v>10000000</v>
      </c>
      <c r="J184" s="113">
        <v>1000000</v>
      </c>
      <c r="K184" s="113">
        <v>1000000</v>
      </c>
      <c r="L184" s="113">
        <v>1000000</v>
      </c>
      <c r="M184" s="113">
        <v>10000000</v>
      </c>
    </row>
    <row r="185" spans="1:13">
      <c r="A185" s="111" t="s">
        <v>2321</v>
      </c>
      <c r="B185" s="112">
        <v>10000000</v>
      </c>
      <c r="C185" s="112">
        <v>100000000</v>
      </c>
      <c r="D185" s="113">
        <v>10000000</v>
      </c>
      <c r="E185" s="113">
        <v>3000000</v>
      </c>
      <c r="F185" s="113">
        <v>5000000</v>
      </c>
      <c r="G185" s="113">
        <v>5000000</v>
      </c>
      <c r="H185" s="113">
        <v>10000000</v>
      </c>
      <c r="I185" s="113">
        <v>10000000</v>
      </c>
      <c r="J185" s="113">
        <v>1000000</v>
      </c>
      <c r="K185" s="113">
        <v>1000000</v>
      </c>
      <c r="L185" s="113">
        <v>1000000</v>
      </c>
      <c r="M185" s="113">
        <v>10000000</v>
      </c>
    </row>
    <row r="186" spans="1:13">
      <c r="A186" s="111" t="s">
        <v>2322</v>
      </c>
      <c r="B186" s="112"/>
      <c r="C186" s="112"/>
      <c r="D186" s="113"/>
      <c r="E186" s="113"/>
      <c r="F186" s="113"/>
      <c r="G186" s="113"/>
      <c r="H186" s="113"/>
      <c r="I186" s="113"/>
      <c r="J186" s="113"/>
      <c r="K186" s="113"/>
      <c r="L186" s="113"/>
      <c r="M186" s="113"/>
    </row>
    <row r="187" spans="1:13">
      <c r="A187" s="111" t="s">
        <v>2323</v>
      </c>
      <c r="B187" s="112">
        <v>0</v>
      </c>
      <c r="C187" s="112">
        <v>0</v>
      </c>
      <c r="D187" s="113">
        <v>0</v>
      </c>
      <c r="E187" s="113">
        <v>0</v>
      </c>
      <c r="F187" s="113">
        <v>0</v>
      </c>
      <c r="G187" s="113">
        <v>0</v>
      </c>
      <c r="H187" s="113">
        <v>0</v>
      </c>
      <c r="I187" s="113">
        <v>0</v>
      </c>
      <c r="J187" s="113">
        <v>0</v>
      </c>
      <c r="K187" s="113">
        <v>0</v>
      </c>
      <c r="L187" s="113">
        <v>0</v>
      </c>
      <c r="M187" s="113">
        <v>0</v>
      </c>
    </row>
    <row r="188" spans="1:13">
      <c r="A188" s="111" t="s">
        <v>2324</v>
      </c>
      <c r="B188" s="112"/>
      <c r="C188" s="112"/>
      <c r="D188" s="113"/>
      <c r="E188" s="113"/>
      <c r="F188" s="113"/>
      <c r="G188" s="113"/>
      <c r="H188" s="113"/>
      <c r="I188" s="113"/>
      <c r="J188" s="113"/>
      <c r="K188" s="113"/>
      <c r="L188" s="113"/>
      <c r="M188" s="113"/>
    </row>
    <row r="189" spans="1:13">
      <c r="A189" s="111" t="s">
        <v>2325</v>
      </c>
      <c r="B189" s="112">
        <v>0</v>
      </c>
      <c r="C189" s="112">
        <v>0</v>
      </c>
      <c r="D189" s="113">
        <v>0</v>
      </c>
      <c r="E189" s="113">
        <v>0</v>
      </c>
      <c r="F189" s="113">
        <v>0</v>
      </c>
      <c r="G189" s="113">
        <v>0</v>
      </c>
      <c r="H189" s="113">
        <v>0</v>
      </c>
      <c r="I189" s="113">
        <v>0</v>
      </c>
      <c r="J189" s="113">
        <v>0</v>
      </c>
      <c r="K189" s="113">
        <v>0</v>
      </c>
      <c r="L189" s="113">
        <v>0</v>
      </c>
      <c r="M189" s="113">
        <v>0</v>
      </c>
    </row>
    <row r="190" spans="1:13">
      <c r="A190" s="111" t="s">
        <v>2326</v>
      </c>
      <c r="B190" s="112">
        <v>26000000</v>
      </c>
      <c r="C190" s="112">
        <v>26000000</v>
      </c>
      <c r="D190" s="113">
        <v>0</v>
      </c>
      <c r="E190" s="113">
        <v>0</v>
      </c>
      <c r="F190" s="113">
        <v>0</v>
      </c>
      <c r="G190" s="113">
        <v>0</v>
      </c>
      <c r="H190" s="113">
        <v>0</v>
      </c>
      <c r="I190" s="113">
        <v>0</v>
      </c>
      <c r="J190" s="113">
        <v>0</v>
      </c>
      <c r="K190" s="113">
        <v>0</v>
      </c>
      <c r="L190" s="113">
        <v>0</v>
      </c>
      <c r="M190" s="113">
        <v>26000000</v>
      </c>
    </row>
    <row r="191" spans="1:13">
      <c r="A191" s="111" t="s">
        <v>2327</v>
      </c>
      <c r="B191" s="112">
        <v>26000000</v>
      </c>
      <c r="C191" s="112">
        <v>26000000</v>
      </c>
      <c r="D191" s="113">
        <v>0</v>
      </c>
      <c r="E191" s="113">
        <v>0</v>
      </c>
      <c r="F191" s="113">
        <v>0</v>
      </c>
      <c r="G191" s="113">
        <v>0</v>
      </c>
      <c r="H191" s="113">
        <v>0</v>
      </c>
      <c r="I191" s="113">
        <v>0</v>
      </c>
      <c r="J191" s="113">
        <v>0</v>
      </c>
      <c r="K191" s="113">
        <v>0</v>
      </c>
      <c r="L191" s="113">
        <v>0</v>
      </c>
      <c r="M191" s="113">
        <v>26000000</v>
      </c>
    </row>
    <row r="192" spans="1:13">
      <c r="A192" s="111" t="s">
        <v>2328</v>
      </c>
      <c r="B192" s="112">
        <v>26000000</v>
      </c>
      <c r="C192" s="112">
        <v>26000000</v>
      </c>
      <c r="D192" s="113">
        <v>0</v>
      </c>
      <c r="E192" s="113">
        <v>0</v>
      </c>
      <c r="F192" s="113">
        <v>0</v>
      </c>
      <c r="G192" s="113">
        <v>0</v>
      </c>
      <c r="H192" s="113">
        <v>0</v>
      </c>
      <c r="I192" s="113">
        <v>0</v>
      </c>
      <c r="J192" s="113">
        <v>0</v>
      </c>
      <c r="K192" s="113">
        <v>0</v>
      </c>
      <c r="L192" s="113">
        <v>0</v>
      </c>
      <c r="M192" s="113">
        <v>26000000</v>
      </c>
    </row>
    <row r="193" spans="1:13">
      <c r="A193" s="111" t="s">
        <v>2329</v>
      </c>
      <c r="B193" s="112"/>
      <c r="C193" s="112"/>
      <c r="D193" s="113"/>
      <c r="E193" s="113"/>
      <c r="F193" s="113"/>
      <c r="G193" s="113"/>
      <c r="H193" s="113"/>
      <c r="I193" s="113"/>
      <c r="J193" s="113"/>
      <c r="K193" s="113"/>
      <c r="L193" s="113"/>
      <c r="M193" s="113"/>
    </row>
    <row r="194" spans="1:13">
      <c r="A194" s="111" t="s">
        <v>2330</v>
      </c>
      <c r="B194" s="112">
        <v>0</v>
      </c>
      <c r="C194" s="112">
        <v>0</v>
      </c>
      <c r="D194" s="113">
        <v>0</v>
      </c>
      <c r="E194" s="113">
        <v>0</v>
      </c>
      <c r="F194" s="113">
        <v>0</v>
      </c>
      <c r="G194" s="113">
        <v>0</v>
      </c>
      <c r="H194" s="113">
        <v>0</v>
      </c>
      <c r="I194" s="113">
        <v>0</v>
      </c>
      <c r="J194" s="113">
        <v>0</v>
      </c>
      <c r="K194" s="113">
        <v>0</v>
      </c>
      <c r="L194" s="113">
        <v>0</v>
      </c>
      <c r="M194" s="113">
        <v>0</v>
      </c>
    </row>
    <row r="195" spans="1:13">
      <c r="A195" s="111" t="s">
        <v>2331</v>
      </c>
      <c r="B195" s="112">
        <v>0</v>
      </c>
      <c r="C195" s="112">
        <v>0</v>
      </c>
      <c r="D195" s="113">
        <v>0</v>
      </c>
      <c r="E195" s="113">
        <v>0</v>
      </c>
      <c r="F195" s="113">
        <v>0</v>
      </c>
      <c r="G195" s="113">
        <v>0</v>
      </c>
      <c r="H195" s="113">
        <v>0</v>
      </c>
      <c r="I195" s="113">
        <v>0</v>
      </c>
      <c r="J195" s="113">
        <v>0</v>
      </c>
      <c r="K195" s="113">
        <v>0</v>
      </c>
      <c r="L195" s="113">
        <v>0</v>
      </c>
      <c r="M195" s="113">
        <v>0</v>
      </c>
    </row>
    <row r="196" spans="1:13">
      <c r="A196" s="111" t="s">
        <v>2332</v>
      </c>
      <c r="B196" s="112">
        <v>940504698</v>
      </c>
      <c r="C196" s="112">
        <v>940504698</v>
      </c>
      <c r="D196" s="113">
        <v>292967973</v>
      </c>
      <c r="E196" s="113">
        <v>105795608</v>
      </c>
      <c r="F196" s="113">
        <v>35438708</v>
      </c>
      <c r="G196" s="113">
        <v>49291923</v>
      </c>
      <c r="H196" s="113">
        <v>32036398</v>
      </c>
      <c r="I196" s="113">
        <v>32060767</v>
      </c>
      <c r="J196" s="113">
        <v>30260150</v>
      </c>
      <c r="K196" s="113">
        <v>71345448</v>
      </c>
      <c r="L196" s="113">
        <v>37889786</v>
      </c>
      <c r="M196" s="113">
        <v>1070546</v>
      </c>
    </row>
    <row r="197" spans="1:13">
      <c r="A197" s="111" t="s">
        <v>2333</v>
      </c>
      <c r="B197" s="112">
        <v>246423192</v>
      </c>
      <c r="C197" s="112">
        <v>246423192</v>
      </c>
      <c r="D197" s="113">
        <v>71553452</v>
      </c>
      <c r="E197" s="113">
        <v>11783045</v>
      </c>
      <c r="F197" s="113">
        <v>6943708</v>
      </c>
      <c r="G197" s="113">
        <v>2755878</v>
      </c>
      <c r="H197" s="113">
        <v>8249384</v>
      </c>
      <c r="I197" s="113">
        <v>14010233</v>
      </c>
      <c r="J197" s="113">
        <v>9854503</v>
      </c>
      <c r="K197" s="113">
        <v>8657433</v>
      </c>
      <c r="L197" s="113">
        <v>6949862</v>
      </c>
      <c r="M197" s="113">
        <v>5720140</v>
      </c>
    </row>
    <row r="198" spans="1:13">
      <c r="A198" s="111" t="s">
        <v>2334</v>
      </c>
      <c r="B198" s="112">
        <v>1186927890</v>
      </c>
      <c r="C198" s="112">
        <v>1186927890</v>
      </c>
      <c r="D198" s="113">
        <v>364521425</v>
      </c>
      <c r="E198" s="113">
        <v>117578653</v>
      </c>
      <c r="F198" s="113">
        <v>42382416</v>
      </c>
      <c r="G198" s="113">
        <v>52047801</v>
      </c>
      <c r="H198" s="113">
        <v>40285782</v>
      </c>
      <c r="I198" s="113">
        <v>46071000</v>
      </c>
      <c r="J198" s="113">
        <v>40114653</v>
      </c>
      <c r="K198" s="113">
        <v>80002881</v>
      </c>
      <c r="L198" s="113">
        <v>44839648</v>
      </c>
      <c r="M198" s="113">
        <v>6790686</v>
      </c>
    </row>
    <row r="199" spans="1:13">
      <c r="A199" s="111" t="s">
        <v>2335</v>
      </c>
      <c r="B199" s="112">
        <v>1186927890</v>
      </c>
      <c r="C199" s="112">
        <v>1186927890</v>
      </c>
      <c r="D199" s="113">
        <v>364521425</v>
      </c>
      <c r="E199" s="113">
        <v>117578653</v>
      </c>
      <c r="F199" s="113">
        <v>42382416</v>
      </c>
      <c r="G199" s="113">
        <v>52047801</v>
      </c>
      <c r="H199" s="113">
        <v>40285782</v>
      </c>
      <c r="I199" s="113">
        <v>46071000</v>
      </c>
      <c r="J199" s="113">
        <v>40114653</v>
      </c>
      <c r="K199" s="113">
        <v>80002881</v>
      </c>
      <c r="L199" s="113">
        <v>44839648</v>
      </c>
      <c r="M199" s="113">
        <v>6790686</v>
      </c>
    </row>
    <row r="200" spans="1:13">
      <c r="A200" s="111" t="s">
        <v>2336</v>
      </c>
      <c r="B200" s="112">
        <v>1186927890</v>
      </c>
      <c r="C200" s="112">
        <v>1186927890</v>
      </c>
      <c r="D200" s="113">
        <v>364521425</v>
      </c>
      <c r="E200" s="113">
        <v>117578653</v>
      </c>
      <c r="F200" s="113">
        <v>42382416</v>
      </c>
      <c r="G200" s="113">
        <v>52047801</v>
      </c>
      <c r="H200" s="113">
        <v>40285782</v>
      </c>
      <c r="I200" s="113">
        <v>46071000</v>
      </c>
      <c r="J200" s="113">
        <v>40114653</v>
      </c>
      <c r="K200" s="113">
        <v>80002881</v>
      </c>
      <c r="L200" s="113">
        <v>44839648</v>
      </c>
      <c r="M200" s="113">
        <v>6790686</v>
      </c>
    </row>
    <row r="201" spans="1:13">
      <c r="A201" s="111" t="s">
        <v>2337</v>
      </c>
      <c r="B201" s="112"/>
      <c r="C201" s="112"/>
      <c r="D201" s="113"/>
      <c r="E201" s="113"/>
      <c r="F201" s="113"/>
      <c r="G201" s="113"/>
      <c r="H201" s="113"/>
      <c r="I201" s="113"/>
      <c r="J201" s="113"/>
      <c r="K201" s="113"/>
      <c r="L201" s="113"/>
      <c r="M201" s="113"/>
    </row>
    <row r="202" spans="1:13">
      <c r="A202" s="111" t="s">
        <v>2338</v>
      </c>
      <c r="B202" s="112">
        <v>0</v>
      </c>
      <c r="C202" s="112">
        <v>0</v>
      </c>
      <c r="D202" s="113">
        <v>0</v>
      </c>
      <c r="E202" s="113">
        <v>0</v>
      </c>
      <c r="F202" s="113">
        <v>0</v>
      </c>
      <c r="G202" s="113">
        <v>0</v>
      </c>
      <c r="H202" s="113">
        <v>0</v>
      </c>
      <c r="I202" s="113">
        <v>0</v>
      </c>
      <c r="J202" s="113">
        <v>0</v>
      </c>
      <c r="K202" s="113">
        <v>0</v>
      </c>
      <c r="L202" s="113">
        <v>0</v>
      </c>
      <c r="M202" s="113">
        <v>0</v>
      </c>
    </row>
    <row r="203" spans="1:13">
      <c r="A203" s="111" t="s">
        <v>2339</v>
      </c>
      <c r="B203" s="112"/>
      <c r="C203" s="112"/>
      <c r="D203" s="113"/>
      <c r="E203" s="113"/>
      <c r="F203" s="113"/>
      <c r="G203" s="113"/>
      <c r="H203" s="113"/>
      <c r="I203" s="113"/>
      <c r="J203" s="113"/>
      <c r="K203" s="113"/>
      <c r="L203" s="113"/>
      <c r="M203" s="113"/>
    </row>
    <row r="204" spans="1:13">
      <c r="A204" s="111" t="s">
        <v>2340</v>
      </c>
      <c r="B204" s="112">
        <v>0</v>
      </c>
      <c r="C204" s="112">
        <v>0</v>
      </c>
      <c r="D204" s="113">
        <v>0</v>
      </c>
      <c r="E204" s="113">
        <v>0</v>
      </c>
      <c r="F204" s="113">
        <v>0</v>
      </c>
      <c r="G204" s="113">
        <v>0</v>
      </c>
      <c r="H204" s="113">
        <v>0</v>
      </c>
      <c r="I204" s="113">
        <v>0</v>
      </c>
      <c r="J204" s="113">
        <v>0</v>
      </c>
      <c r="K204" s="113">
        <v>0</v>
      </c>
      <c r="L204" s="113">
        <v>0</v>
      </c>
      <c r="M204" s="113">
        <v>0</v>
      </c>
    </row>
    <row r="205" spans="1:13">
      <c r="A205" s="111" t="s">
        <v>2341</v>
      </c>
      <c r="B205" s="112">
        <v>1222927890</v>
      </c>
      <c r="C205" s="112">
        <v>1312927890</v>
      </c>
      <c r="D205" s="113">
        <v>374521425</v>
      </c>
      <c r="E205" s="113">
        <v>120578653</v>
      </c>
      <c r="F205" s="113">
        <v>47382416</v>
      </c>
      <c r="G205" s="113">
        <v>57047801</v>
      </c>
      <c r="H205" s="113">
        <v>50285782</v>
      </c>
      <c r="I205" s="113">
        <v>56071000</v>
      </c>
      <c r="J205" s="113">
        <v>41114653</v>
      </c>
      <c r="K205" s="113">
        <v>81002881</v>
      </c>
      <c r="L205" s="113">
        <v>45839648</v>
      </c>
      <c r="M205" s="113">
        <v>42790686</v>
      </c>
    </row>
    <row r="206" spans="1:13">
      <c r="A206" s="111" t="s">
        <v>2342</v>
      </c>
      <c r="B206" s="112"/>
      <c r="C206" s="112"/>
      <c r="D206" s="113"/>
      <c r="E206" s="113"/>
      <c r="F206" s="113"/>
      <c r="G206" s="113"/>
      <c r="H206" s="113"/>
      <c r="I206" s="113"/>
      <c r="J206" s="113"/>
      <c r="K206" s="113"/>
      <c r="L206" s="113"/>
      <c r="M206" s="113"/>
    </row>
    <row r="207" spans="1:13">
      <c r="A207" s="111" t="s">
        <v>2343</v>
      </c>
      <c r="B207" s="112">
        <v>0</v>
      </c>
      <c r="C207" s="112">
        <v>0</v>
      </c>
      <c r="D207" s="113">
        <v>0</v>
      </c>
      <c r="E207" s="113">
        <v>0</v>
      </c>
      <c r="F207" s="113">
        <v>0</v>
      </c>
      <c r="G207" s="113">
        <v>0</v>
      </c>
      <c r="H207" s="113">
        <v>0</v>
      </c>
      <c r="I207" s="113">
        <v>0</v>
      </c>
      <c r="J207" s="113">
        <v>0</v>
      </c>
      <c r="K207" s="113">
        <v>0</v>
      </c>
      <c r="L207" s="113">
        <v>0</v>
      </c>
      <c r="M207" s="113">
        <v>0</v>
      </c>
    </row>
    <row r="208" spans="1:13">
      <c r="A208" s="111" t="s">
        <v>2344</v>
      </c>
      <c r="B208" s="112"/>
      <c r="C208" s="112"/>
      <c r="D208" s="113"/>
      <c r="E208" s="113"/>
      <c r="F208" s="113"/>
      <c r="G208" s="113"/>
      <c r="H208" s="113"/>
      <c r="I208" s="113"/>
      <c r="J208" s="113"/>
      <c r="K208" s="113"/>
      <c r="L208" s="113"/>
      <c r="M208" s="113"/>
    </row>
    <row r="209" spans="1:13">
      <c r="A209" s="111" t="s">
        <v>2345</v>
      </c>
      <c r="B209" s="112">
        <v>0</v>
      </c>
      <c r="C209" s="112">
        <v>0</v>
      </c>
      <c r="D209" s="113">
        <v>0</v>
      </c>
      <c r="E209" s="113">
        <v>0</v>
      </c>
      <c r="F209" s="113">
        <v>0</v>
      </c>
      <c r="G209" s="113">
        <v>0</v>
      </c>
      <c r="H209" s="113">
        <v>0</v>
      </c>
      <c r="I209" s="113">
        <v>0</v>
      </c>
      <c r="J209" s="113">
        <v>0</v>
      </c>
      <c r="K209" s="113">
        <v>0</v>
      </c>
      <c r="L209" s="113">
        <v>0</v>
      </c>
      <c r="M209" s="113">
        <v>0</v>
      </c>
    </row>
    <row r="210" spans="1:13">
      <c r="A210" s="111" t="s">
        <v>2346</v>
      </c>
      <c r="B210" s="112">
        <v>1222927890</v>
      </c>
      <c r="C210" s="112">
        <v>1312927890</v>
      </c>
      <c r="D210" s="113">
        <v>374521425</v>
      </c>
      <c r="E210" s="113">
        <v>120578653</v>
      </c>
      <c r="F210" s="113">
        <v>47382416</v>
      </c>
      <c r="G210" s="113">
        <v>57047801</v>
      </c>
      <c r="H210" s="113">
        <v>50285782</v>
      </c>
      <c r="I210" s="113">
        <v>56071000</v>
      </c>
      <c r="J210" s="113">
        <v>41114653</v>
      </c>
      <c r="K210" s="113">
        <v>81002881</v>
      </c>
      <c r="L210" s="113">
        <v>45839648</v>
      </c>
      <c r="M210" s="113">
        <v>42790686</v>
      </c>
    </row>
    <row r="211" spans="1:13">
      <c r="A211" s="111" t="s">
        <v>2347</v>
      </c>
      <c r="B211" s="112">
        <v>10035603879</v>
      </c>
      <c r="C211" s="112">
        <v>10290091581</v>
      </c>
      <c r="D211" s="113">
        <v>3697586591</v>
      </c>
      <c r="E211" s="113">
        <v>414349490</v>
      </c>
      <c r="F211" s="113">
        <v>366221205</v>
      </c>
      <c r="G211" s="113">
        <v>297373098</v>
      </c>
      <c r="H211" s="113">
        <v>218247999</v>
      </c>
      <c r="I211" s="113">
        <v>397568515</v>
      </c>
      <c r="J211" s="113">
        <v>434713632</v>
      </c>
      <c r="K211" s="113">
        <v>404253645</v>
      </c>
      <c r="L211" s="113">
        <v>297362570</v>
      </c>
      <c r="M211" s="113">
        <v>103103889</v>
      </c>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s">
        <v>2348</v>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s">
        <v>2123</v>
      </c>
      <c r="E3" s="96" t="s">
        <v>2124</v>
      </c>
      <c r="F3" s="96" t="s">
        <v>2125</v>
      </c>
      <c r="G3" s="96" t="s">
        <v>2126</v>
      </c>
      <c r="H3" s="96" t="s">
        <v>2127</v>
      </c>
      <c r="I3" s="96" t="s">
        <v>2128</v>
      </c>
      <c r="J3" s="96" t="s">
        <v>2129</v>
      </c>
      <c r="K3" s="96" t="s">
        <v>2130</v>
      </c>
      <c r="L3" s="96" t="s">
        <v>2131</v>
      </c>
      <c r="M3" s="96" t="s">
        <v>2132</v>
      </c>
    </row>
    <row r="4" spans="1:13">
      <c r="A4" s="97" t="s">
        <v>2133</v>
      </c>
      <c r="B4" s="98"/>
      <c r="C4" s="98"/>
      <c r="D4" s="99"/>
      <c r="E4" s="99"/>
      <c r="F4" s="99"/>
      <c r="G4" s="99"/>
      <c r="H4" s="99"/>
      <c r="I4" s="99"/>
      <c r="J4" s="99"/>
      <c r="K4" s="99"/>
      <c r="L4" s="99"/>
      <c r="M4" s="99"/>
    </row>
    <row r="5" spans="1:13">
      <c r="A5" s="97" t="s">
        <v>2134</v>
      </c>
      <c r="B5" s="98">
        <v>551335733</v>
      </c>
      <c r="C5" s="98">
        <v>551335733</v>
      </c>
      <c r="D5" s="99">
        <v>168052626</v>
      </c>
      <c r="E5" s="99">
        <v>27347048</v>
      </c>
      <c r="F5" s="99">
        <v>21794277</v>
      </c>
      <c r="G5" s="99">
        <v>23273061</v>
      </c>
      <c r="H5" s="99">
        <v>16105913</v>
      </c>
      <c r="I5" s="99">
        <v>27345402</v>
      </c>
      <c r="J5" s="99">
        <v>22770000</v>
      </c>
      <c r="K5" s="99">
        <v>25066515</v>
      </c>
      <c r="L5" s="99">
        <v>16852746</v>
      </c>
      <c r="M5" s="99">
        <v>0</v>
      </c>
    </row>
    <row r="6" spans="1:13">
      <c r="A6" s="97" t="s">
        <v>2135</v>
      </c>
      <c r="B6" s="98">
        <v>2975659</v>
      </c>
      <c r="C6" s="98">
        <v>2975659</v>
      </c>
      <c r="D6" s="99">
        <v>1301740</v>
      </c>
      <c r="E6" s="99">
        <v>0</v>
      </c>
      <c r="F6" s="99">
        <v>0</v>
      </c>
      <c r="G6" s="99">
        <v>300376</v>
      </c>
      <c r="H6" s="99">
        <v>63350</v>
      </c>
      <c r="I6" s="99">
        <v>0</v>
      </c>
      <c r="J6" s="99">
        <v>0</v>
      </c>
      <c r="K6" s="99">
        <v>30800</v>
      </c>
      <c r="L6" s="99">
        <v>0</v>
      </c>
      <c r="M6" s="99">
        <v>0</v>
      </c>
    </row>
    <row r="7" spans="1:13">
      <c r="A7" s="97" t="s">
        <v>2136</v>
      </c>
      <c r="B7" s="98">
        <v>12047492</v>
      </c>
      <c r="C7" s="98">
        <v>12047492</v>
      </c>
      <c r="D7" s="99">
        <v>2277485</v>
      </c>
      <c r="E7" s="99">
        <v>856000</v>
      </c>
      <c r="F7" s="99">
        <v>353000</v>
      </c>
      <c r="G7" s="99">
        <v>595500</v>
      </c>
      <c r="H7" s="99">
        <v>262000</v>
      </c>
      <c r="I7" s="99">
        <v>1805092</v>
      </c>
      <c r="J7" s="99">
        <v>0</v>
      </c>
      <c r="K7" s="99">
        <v>948315</v>
      </c>
      <c r="L7" s="99">
        <v>0</v>
      </c>
      <c r="M7" s="99">
        <v>0</v>
      </c>
    </row>
    <row r="8" spans="1:13">
      <c r="A8" s="97" t="s">
        <v>2137</v>
      </c>
      <c r="B8" s="98">
        <v>5836037</v>
      </c>
      <c r="C8" s="98">
        <v>5836037</v>
      </c>
      <c r="D8" s="99">
        <v>1215008</v>
      </c>
      <c r="E8" s="99">
        <v>756113</v>
      </c>
      <c r="F8" s="99">
        <v>143000</v>
      </c>
      <c r="G8" s="99">
        <v>116292</v>
      </c>
      <c r="H8" s="99">
        <v>236940</v>
      </c>
      <c r="I8" s="99">
        <v>0</v>
      </c>
      <c r="J8" s="99">
        <v>0</v>
      </c>
      <c r="K8" s="99">
        <v>130900</v>
      </c>
      <c r="L8" s="99">
        <v>0</v>
      </c>
      <c r="M8" s="99">
        <v>0</v>
      </c>
    </row>
    <row r="9" spans="1:13">
      <c r="A9" s="97" t="s">
        <v>2138</v>
      </c>
      <c r="B9" s="98">
        <v>402125</v>
      </c>
      <c r="C9" s="98">
        <v>402125</v>
      </c>
      <c r="D9" s="99">
        <v>402125</v>
      </c>
      <c r="E9" s="99">
        <v>0</v>
      </c>
      <c r="F9" s="99">
        <v>0</v>
      </c>
      <c r="G9" s="99">
        <v>0</v>
      </c>
      <c r="H9" s="99">
        <v>0</v>
      </c>
      <c r="I9" s="99">
        <v>0</v>
      </c>
      <c r="J9" s="99">
        <v>0</v>
      </c>
      <c r="K9" s="99">
        <v>0</v>
      </c>
      <c r="L9" s="99">
        <v>0</v>
      </c>
      <c r="M9" s="99">
        <v>0</v>
      </c>
    </row>
    <row r="10" spans="1:13">
      <c r="A10" s="97" t="s">
        <v>2139</v>
      </c>
      <c r="B10" s="98">
        <v>197003705</v>
      </c>
      <c r="C10" s="98">
        <v>197003705</v>
      </c>
      <c r="D10" s="99">
        <v>133661579</v>
      </c>
      <c r="E10" s="99">
        <v>0</v>
      </c>
      <c r="F10" s="99">
        <v>0</v>
      </c>
      <c r="G10" s="99">
        <v>0</v>
      </c>
      <c r="H10" s="99">
        <v>0</v>
      </c>
      <c r="I10" s="99">
        <v>0</v>
      </c>
      <c r="J10" s="99">
        <v>0</v>
      </c>
      <c r="K10" s="99">
        <v>0</v>
      </c>
      <c r="L10" s="99">
        <v>0</v>
      </c>
      <c r="M10" s="99">
        <v>0</v>
      </c>
    </row>
    <row r="11" spans="1:13">
      <c r="A11" s="97" t="s">
        <v>2140</v>
      </c>
      <c r="B11" s="98">
        <v>0</v>
      </c>
      <c r="C11" s="98">
        <v>0</v>
      </c>
      <c r="D11" s="99">
        <v>0</v>
      </c>
      <c r="E11" s="99">
        <v>0</v>
      </c>
      <c r="F11" s="99">
        <v>0</v>
      </c>
      <c r="G11" s="99">
        <v>0</v>
      </c>
      <c r="H11" s="99">
        <v>0</v>
      </c>
      <c r="I11" s="99">
        <v>0</v>
      </c>
      <c r="J11" s="99">
        <v>0</v>
      </c>
      <c r="K11" s="99">
        <v>0</v>
      </c>
      <c r="L11" s="99">
        <v>0</v>
      </c>
      <c r="M11" s="99">
        <v>0</v>
      </c>
    </row>
    <row r="12" spans="1:13">
      <c r="A12" s="97" t="s">
        <v>2141</v>
      </c>
      <c r="B12" s="98">
        <v>0</v>
      </c>
      <c r="C12" s="98">
        <v>27472500</v>
      </c>
      <c r="D12" s="99">
        <v>20790000</v>
      </c>
      <c r="E12" s="99">
        <v>0</v>
      </c>
      <c r="F12" s="99">
        <v>0</v>
      </c>
      <c r="G12" s="99">
        <v>0</v>
      </c>
      <c r="H12" s="99">
        <v>0</v>
      </c>
      <c r="I12" s="99">
        <v>0</v>
      </c>
      <c r="J12" s="99">
        <v>0</v>
      </c>
      <c r="K12" s="99">
        <v>0</v>
      </c>
      <c r="L12" s="99">
        <v>0</v>
      </c>
      <c r="M12" s="99">
        <v>6682500</v>
      </c>
    </row>
    <row r="13" spans="1:13">
      <c r="A13" s="97" t="s">
        <v>2142</v>
      </c>
      <c r="B13" s="98">
        <v>769600751</v>
      </c>
      <c r="C13" s="98">
        <v>797073251</v>
      </c>
      <c r="D13" s="99">
        <v>327700563</v>
      </c>
      <c r="E13" s="99">
        <v>28959161</v>
      </c>
      <c r="F13" s="99">
        <v>22290277</v>
      </c>
      <c r="G13" s="99">
        <v>24285229</v>
      </c>
      <c r="H13" s="99">
        <v>16668203</v>
      </c>
      <c r="I13" s="99">
        <v>29150494</v>
      </c>
      <c r="J13" s="99">
        <v>22770000</v>
      </c>
      <c r="K13" s="99">
        <v>26176530</v>
      </c>
      <c r="L13" s="99">
        <v>16852746</v>
      </c>
      <c r="M13" s="99">
        <v>6682500</v>
      </c>
    </row>
    <row r="14" spans="1:13">
      <c r="A14" s="97" t="s">
        <v>2143</v>
      </c>
      <c r="B14" s="98"/>
      <c r="C14" s="98"/>
      <c r="D14" s="99"/>
      <c r="E14" s="99"/>
      <c r="F14" s="99"/>
      <c r="G14" s="99"/>
      <c r="H14" s="99"/>
      <c r="I14" s="99"/>
      <c r="J14" s="99"/>
      <c r="K14" s="99"/>
      <c r="L14" s="99"/>
      <c r="M14" s="99"/>
    </row>
    <row r="15" spans="1:13">
      <c r="A15" s="97" t="s">
        <v>2144</v>
      </c>
      <c r="B15" s="98">
        <v>0</v>
      </c>
      <c r="C15" s="98">
        <v>0</v>
      </c>
      <c r="D15" s="99">
        <v>0</v>
      </c>
      <c r="E15" s="99">
        <v>0</v>
      </c>
      <c r="F15" s="99">
        <v>0</v>
      </c>
      <c r="G15" s="99">
        <v>0</v>
      </c>
      <c r="H15" s="99">
        <v>0</v>
      </c>
      <c r="I15" s="99">
        <v>0</v>
      </c>
      <c r="J15" s="99">
        <v>0</v>
      </c>
      <c r="K15" s="99">
        <v>0</v>
      </c>
      <c r="L15" s="99">
        <v>0</v>
      </c>
      <c r="M15" s="99">
        <v>0</v>
      </c>
    </row>
    <row r="16" spans="1:13">
      <c r="A16" s="97" t="s">
        <v>2145</v>
      </c>
      <c r="B16" s="98">
        <v>0</v>
      </c>
      <c r="C16" s="98">
        <v>0</v>
      </c>
      <c r="D16" s="99">
        <v>0</v>
      </c>
      <c r="E16" s="99">
        <v>0</v>
      </c>
      <c r="F16" s="99">
        <v>0</v>
      </c>
      <c r="G16" s="99">
        <v>0</v>
      </c>
      <c r="H16" s="99">
        <v>0</v>
      </c>
      <c r="I16" s="99">
        <v>0</v>
      </c>
      <c r="J16" s="99">
        <v>0</v>
      </c>
      <c r="K16" s="99">
        <v>0</v>
      </c>
      <c r="L16" s="99">
        <v>0</v>
      </c>
      <c r="M16" s="99">
        <v>0</v>
      </c>
    </row>
    <row r="17" spans="1:13">
      <c r="A17" s="97" t="s">
        <v>2146</v>
      </c>
      <c r="B17" s="98">
        <v>0</v>
      </c>
      <c r="C17" s="98">
        <v>0</v>
      </c>
      <c r="D17" s="99">
        <v>0</v>
      </c>
      <c r="E17" s="99">
        <v>0</v>
      </c>
      <c r="F17" s="99">
        <v>0</v>
      </c>
      <c r="G17" s="99">
        <v>0</v>
      </c>
      <c r="H17" s="99">
        <v>0</v>
      </c>
      <c r="I17" s="99">
        <v>0</v>
      </c>
      <c r="J17" s="99">
        <v>0</v>
      </c>
      <c r="K17" s="99">
        <v>0</v>
      </c>
      <c r="L17" s="99">
        <v>0</v>
      </c>
      <c r="M17" s="99">
        <v>0</v>
      </c>
    </row>
    <row r="18" spans="1:13">
      <c r="A18" s="97" t="s">
        <v>2147</v>
      </c>
      <c r="B18" s="98">
        <v>0</v>
      </c>
      <c r="C18" s="98">
        <v>0</v>
      </c>
      <c r="D18" s="99">
        <v>0</v>
      </c>
      <c r="E18" s="99">
        <v>0</v>
      </c>
      <c r="F18" s="99">
        <v>0</v>
      </c>
      <c r="G18" s="99">
        <v>0</v>
      </c>
      <c r="H18" s="99">
        <v>0</v>
      </c>
      <c r="I18" s="99">
        <v>0</v>
      </c>
      <c r="J18" s="99">
        <v>0</v>
      </c>
      <c r="K18" s="99">
        <v>0</v>
      </c>
      <c r="L18" s="99">
        <v>0</v>
      </c>
      <c r="M18" s="99">
        <v>0</v>
      </c>
    </row>
    <row r="19" spans="1:13">
      <c r="A19" s="97" t="s">
        <v>2148</v>
      </c>
      <c r="B19" s="98">
        <v>0</v>
      </c>
      <c r="C19" s="98">
        <v>0</v>
      </c>
      <c r="D19" s="99">
        <v>0</v>
      </c>
      <c r="E19" s="99">
        <v>0</v>
      </c>
      <c r="F19" s="99">
        <v>0</v>
      </c>
      <c r="G19" s="99">
        <v>0</v>
      </c>
      <c r="H19" s="99">
        <v>0</v>
      </c>
      <c r="I19" s="99">
        <v>0</v>
      </c>
      <c r="J19" s="99">
        <v>0</v>
      </c>
      <c r="K19" s="99">
        <v>0</v>
      </c>
      <c r="L19" s="99">
        <v>0</v>
      </c>
      <c r="M19" s="99">
        <v>0</v>
      </c>
    </row>
    <row r="20" spans="1:13">
      <c r="A20" s="97" t="s">
        <v>2149</v>
      </c>
      <c r="B20" s="98">
        <v>769600751</v>
      </c>
      <c r="C20" s="98">
        <v>797073251</v>
      </c>
      <c r="D20" s="99">
        <v>327700563</v>
      </c>
      <c r="E20" s="99">
        <v>28959161</v>
      </c>
      <c r="F20" s="99">
        <v>22290277</v>
      </c>
      <c r="G20" s="99">
        <v>24285229</v>
      </c>
      <c r="H20" s="99">
        <v>16668203</v>
      </c>
      <c r="I20" s="99">
        <v>29150494</v>
      </c>
      <c r="J20" s="99">
        <v>22770000</v>
      </c>
      <c r="K20" s="99">
        <v>26176530</v>
      </c>
      <c r="L20" s="99">
        <v>16852746</v>
      </c>
      <c r="M20" s="99">
        <v>6682500</v>
      </c>
    </row>
    <row r="21" spans="1:13">
      <c r="A21" s="97" t="s">
        <v>2150</v>
      </c>
      <c r="B21" s="98"/>
      <c r="C21" s="98"/>
      <c r="D21" s="99"/>
      <c r="E21" s="99"/>
      <c r="F21" s="99"/>
      <c r="G21" s="99"/>
      <c r="H21" s="99"/>
      <c r="I21" s="99"/>
      <c r="J21" s="99"/>
      <c r="K21" s="99"/>
      <c r="L21" s="99"/>
      <c r="M21" s="99"/>
    </row>
    <row r="22" spans="1:13">
      <c r="A22" s="97" t="s">
        <v>2151</v>
      </c>
      <c r="B22" s="98">
        <v>8962200</v>
      </c>
      <c r="C22" s="98">
        <v>8962200</v>
      </c>
      <c r="D22" s="99">
        <v>8962200</v>
      </c>
      <c r="E22" s="99">
        <v>0</v>
      </c>
      <c r="F22" s="99">
        <v>0</v>
      </c>
      <c r="G22" s="99">
        <v>0</v>
      </c>
      <c r="H22" s="99">
        <v>0</v>
      </c>
      <c r="I22" s="99">
        <v>0</v>
      </c>
      <c r="J22" s="99">
        <v>0</v>
      </c>
      <c r="K22" s="99">
        <v>0</v>
      </c>
      <c r="L22" s="99">
        <v>0</v>
      </c>
      <c r="M22" s="99">
        <v>0</v>
      </c>
    </row>
    <row r="23" spans="1:13">
      <c r="A23" s="97" t="s">
        <v>2152</v>
      </c>
      <c r="B23" s="98">
        <v>1670500</v>
      </c>
      <c r="C23" s="98">
        <v>1670500</v>
      </c>
      <c r="D23" s="99">
        <v>1670500</v>
      </c>
      <c r="E23" s="99">
        <v>0</v>
      </c>
      <c r="F23" s="99">
        <v>0</v>
      </c>
      <c r="G23" s="99">
        <v>0</v>
      </c>
      <c r="H23" s="99">
        <v>0</v>
      </c>
      <c r="I23" s="99">
        <v>0</v>
      </c>
      <c r="J23" s="99">
        <v>0</v>
      </c>
      <c r="K23" s="99">
        <v>0</v>
      </c>
      <c r="L23" s="99">
        <v>0</v>
      </c>
      <c r="M23" s="99">
        <v>0</v>
      </c>
    </row>
    <row r="24" spans="1:13">
      <c r="A24" s="97" t="s">
        <v>2153</v>
      </c>
      <c r="B24" s="98">
        <v>1165885</v>
      </c>
      <c r="C24" s="98">
        <v>1165885</v>
      </c>
      <c r="D24" s="99">
        <v>1165885</v>
      </c>
      <c r="E24" s="99">
        <v>0</v>
      </c>
      <c r="F24" s="99">
        <v>0</v>
      </c>
      <c r="G24" s="99">
        <v>0</v>
      </c>
      <c r="H24" s="99">
        <v>0</v>
      </c>
      <c r="I24" s="99">
        <v>0</v>
      </c>
      <c r="J24" s="99">
        <v>0</v>
      </c>
      <c r="K24" s="99">
        <v>0</v>
      </c>
      <c r="L24" s="99">
        <v>0</v>
      </c>
      <c r="M24" s="99">
        <v>0</v>
      </c>
    </row>
    <row r="25" spans="1:13">
      <c r="A25" s="97" t="s">
        <v>2154</v>
      </c>
      <c r="B25" s="98">
        <v>379010</v>
      </c>
      <c r="C25" s="98">
        <v>379010</v>
      </c>
      <c r="D25" s="99">
        <v>379010</v>
      </c>
      <c r="E25" s="99">
        <v>0</v>
      </c>
      <c r="F25" s="99">
        <v>0</v>
      </c>
      <c r="G25" s="99">
        <v>0</v>
      </c>
      <c r="H25" s="99">
        <v>0</v>
      </c>
      <c r="I25" s="99">
        <v>0</v>
      </c>
      <c r="J25" s="99">
        <v>0</v>
      </c>
      <c r="K25" s="99">
        <v>0</v>
      </c>
      <c r="L25" s="99">
        <v>0</v>
      </c>
      <c r="M25" s="99">
        <v>0</v>
      </c>
    </row>
    <row r="26" spans="1:13">
      <c r="A26" s="97" t="s">
        <v>2155</v>
      </c>
      <c r="B26" s="98">
        <v>26683083</v>
      </c>
      <c r="C26" s="98">
        <v>26683083</v>
      </c>
      <c r="D26" s="99">
        <v>8251043</v>
      </c>
      <c r="E26" s="99">
        <v>1305543</v>
      </c>
      <c r="F26" s="99">
        <v>1040454</v>
      </c>
      <c r="G26" s="99">
        <v>1109534</v>
      </c>
      <c r="H26" s="99">
        <v>771917</v>
      </c>
      <c r="I26" s="99">
        <v>1305467</v>
      </c>
      <c r="J26" s="99">
        <v>1087038</v>
      </c>
      <c r="K26" s="99">
        <v>1154904</v>
      </c>
      <c r="L26" s="99">
        <v>804549</v>
      </c>
      <c r="M26" s="99">
        <v>0</v>
      </c>
    </row>
    <row r="27" spans="1:13">
      <c r="A27" s="97" t="s">
        <v>2156</v>
      </c>
      <c r="B27" s="98">
        <v>24766976</v>
      </c>
      <c r="C27" s="98">
        <v>24766976</v>
      </c>
      <c r="D27" s="99">
        <v>9796586</v>
      </c>
      <c r="E27" s="99">
        <v>1354650</v>
      </c>
      <c r="F27" s="99">
        <v>652410</v>
      </c>
      <c r="G27" s="99">
        <v>900020</v>
      </c>
      <c r="H27" s="99">
        <v>409807</v>
      </c>
      <c r="I27" s="99">
        <v>1092960</v>
      </c>
      <c r="J27" s="99">
        <v>494568</v>
      </c>
      <c r="K27" s="99">
        <v>599940</v>
      </c>
      <c r="L27" s="99">
        <v>667480</v>
      </c>
      <c r="M27" s="99">
        <v>0</v>
      </c>
    </row>
    <row r="28" spans="1:13">
      <c r="A28" s="97" t="s">
        <v>2157</v>
      </c>
      <c r="B28" s="98">
        <v>10670814</v>
      </c>
      <c r="C28" s="98">
        <v>10670814</v>
      </c>
      <c r="D28" s="99">
        <v>3736213</v>
      </c>
      <c r="E28" s="99">
        <v>408885</v>
      </c>
      <c r="F28" s="99">
        <v>159558</v>
      </c>
      <c r="G28" s="99">
        <v>347423</v>
      </c>
      <c r="H28" s="99">
        <v>386058</v>
      </c>
      <c r="I28" s="99">
        <v>344593</v>
      </c>
      <c r="J28" s="99">
        <v>0</v>
      </c>
      <c r="K28" s="99">
        <v>371867</v>
      </c>
      <c r="L28" s="99">
        <v>310641</v>
      </c>
      <c r="M28" s="99">
        <v>0</v>
      </c>
    </row>
    <row r="29" spans="1:13">
      <c r="A29" s="97" t="s">
        <v>2158</v>
      </c>
      <c r="B29" s="98">
        <v>4168450</v>
      </c>
      <c r="C29" s="98">
        <v>4168450</v>
      </c>
      <c r="D29" s="99">
        <v>940750</v>
      </c>
      <c r="E29" s="99">
        <v>396000</v>
      </c>
      <c r="F29" s="99">
        <v>231000</v>
      </c>
      <c r="G29" s="99">
        <v>213000</v>
      </c>
      <c r="H29" s="99">
        <v>243500</v>
      </c>
      <c r="I29" s="99">
        <v>0</v>
      </c>
      <c r="J29" s="99">
        <v>0</v>
      </c>
      <c r="K29" s="99">
        <v>60750</v>
      </c>
      <c r="L29" s="99">
        <v>0</v>
      </c>
      <c r="M29" s="99">
        <v>0</v>
      </c>
    </row>
    <row r="30" spans="1:13">
      <c r="A30" s="97" t="s">
        <v>2159</v>
      </c>
      <c r="B30" s="98">
        <v>0</v>
      </c>
      <c r="C30" s="98">
        <v>0</v>
      </c>
      <c r="D30" s="99">
        <v>0</v>
      </c>
      <c r="E30" s="99">
        <v>0</v>
      </c>
      <c r="F30" s="99">
        <v>0</v>
      </c>
      <c r="G30" s="99">
        <v>0</v>
      </c>
      <c r="H30" s="99">
        <v>0</v>
      </c>
      <c r="I30" s="99">
        <v>0</v>
      </c>
      <c r="J30" s="99">
        <v>0</v>
      </c>
      <c r="K30" s="99">
        <v>0</v>
      </c>
      <c r="L30" s="99">
        <v>0</v>
      </c>
      <c r="M30" s="99">
        <v>0</v>
      </c>
    </row>
    <row r="31" spans="1:13">
      <c r="A31" s="97" t="s">
        <v>2160</v>
      </c>
      <c r="B31" s="98">
        <v>69224744</v>
      </c>
      <c r="C31" s="98">
        <v>69224744</v>
      </c>
      <c r="D31" s="99">
        <v>30365994</v>
      </c>
      <c r="E31" s="99">
        <v>3575814</v>
      </c>
      <c r="F31" s="99">
        <v>3040531</v>
      </c>
      <c r="G31" s="99">
        <v>5113818</v>
      </c>
      <c r="H31" s="99">
        <v>1945446</v>
      </c>
      <c r="I31" s="99">
        <v>1436110</v>
      </c>
      <c r="J31" s="99">
        <v>199320</v>
      </c>
      <c r="K31" s="99">
        <v>4015404</v>
      </c>
      <c r="L31" s="99">
        <v>17600</v>
      </c>
      <c r="M31" s="99">
        <v>0</v>
      </c>
    </row>
    <row r="32" spans="1:13">
      <c r="A32" s="97" t="s">
        <v>2161</v>
      </c>
      <c r="B32" s="98">
        <v>20877246</v>
      </c>
      <c r="C32" s="98">
        <v>20877246</v>
      </c>
      <c r="D32" s="99">
        <v>14366122</v>
      </c>
      <c r="E32" s="99">
        <v>0</v>
      </c>
      <c r="F32" s="99">
        <v>0</v>
      </c>
      <c r="G32" s="99">
        <v>11000</v>
      </c>
      <c r="H32" s="99">
        <v>0</v>
      </c>
      <c r="I32" s="99">
        <v>0</v>
      </c>
      <c r="J32" s="99">
        <v>0</v>
      </c>
      <c r="K32" s="99">
        <v>3520</v>
      </c>
      <c r="L32" s="99">
        <v>0</v>
      </c>
      <c r="M32" s="99">
        <v>0</v>
      </c>
    </row>
    <row r="33" spans="1:13">
      <c r="A33" s="97" t="s">
        <v>2162</v>
      </c>
      <c r="B33" s="98">
        <v>10710601</v>
      </c>
      <c r="C33" s="98">
        <v>10710601</v>
      </c>
      <c r="D33" s="99">
        <v>10710601</v>
      </c>
      <c r="E33" s="99">
        <v>0</v>
      </c>
      <c r="F33" s="99">
        <v>0</v>
      </c>
      <c r="G33" s="99">
        <v>0</v>
      </c>
      <c r="H33" s="99">
        <v>0</v>
      </c>
      <c r="I33" s="99">
        <v>0</v>
      </c>
      <c r="J33" s="99">
        <v>0</v>
      </c>
      <c r="K33" s="99">
        <v>0</v>
      </c>
      <c r="L33" s="99">
        <v>0</v>
      </c>
      <c r="M33" s="99">
        <v>0</v>
      </c>
    </row>
    <row r="34" spans="1:13">
      <c r="A34" s="97" t="s">
        <v>2163</v>
      </c>
      <c r="B34" s="98">
        <v>0</v>
      </c>
      <c r="C34" s="98">
        <v>27472500</v>
      </c>
      <c r="D34" s="99">
        <v>445500</v>
      </c>
      <c r="E34" s="99">
        <v>1930500</v>
      </c>
      <c r="F34" s="99">
        <v>1930500</v>
      </c>
      <c r="G34" s="99">
        <v>1930500</v>
      </c>
      <c r="H34" s="99">
        <v>1930500</v>
      </c>
      <c r="I34" s="99">
        <v>1930500</v>
      </c>
      <c r="J34" s="99">
        <v>1930500</v>
      </c>
      <c r="K34" s="99">
        <v>1930500</v>
      </c>
      <c r="L34" s="99">
        <v>1930500</v>
      </c>
      <c r="M34" s="99">
        <v>0</v>
      </c>
    </row>
    <row r="35" spans="1:13">
      <c r="A35" s="97" t="s">
        <v>2164</v>
      </c>
      <c r="B35" s="98">
        <v>1051925</v>
      </c>
      <c r="C35" s="98">
        <v>1051925</v>
      </c>
      <c r="D35" s="99">
        <v>1051925</v>
      </c>
      <c r="E35" s="99">
        <v>0</v>
      </c>
      <c r="F35" s="99">
        <v>0</v>
      </c>
      <c r="G35" s="99">
        <v>0</v>
      </c>
      <c r="H35" s="99">
        <v>0</v>
      </c>
      <c r="I35" s="99">
        <v>0</v>
      </c>
      <c r="J35" s="99">
        <v>0</v>
      </c>
      <c r="K35" s="99">
        <v>0</v>
      </c>
      <c r="L35" s="99">
        <v>0</v>
      </c>
      <c r="M35" s="99">
        <v>0</v>
      </c>
    </row>
    <row r="36" spans="1:13">
      <c r="A36" s="97" t="s">
        <v>2165</v>
      </c>
      <c r="B36" s="98">
        <v>3114160</v>
      </c>
      <c r="C36" s="98">
        <v>3114160</v>
      </c>
      <c r="D36" s="99">
        <v>3114160</v>
      </c>
      <c r="E36" s="99">
        <v>0</v>
      </c>
      <c r="F36" s="99">
        <v>0</v>
      </c>
      <c r="G36" s="99">
        <v>0</v>
      </c>
      <c r="H36" s="99">
        <v>0</v>
      </c>
      <c r="I36" s="99">
        <v>0</v>
      </c>
      <c r="J36" s="99">
        <v>0</v>
      </c>
      <c r="K36" s="99">
        <v>0</v>
      </c>
      <c r="L36" s="99">
        <v>0</v>
      </c>
      <c r="M36" s="99">
        <v>0</v>
      </c>
    </row>
    <row r="37" spans="1:13">
      <c r="A37" s="97" t="s">
        <v>2166</v>
      </c>
      <c r="B37" s="98">
        <v>933700</v>
      </c>
      <c r="C37" s="98">
        <v>933700</v>
      </c>
      <c r="D37" s="99">
        <v>933700</v>
      </c>
      <c r="E37" s="99">
        <v>0</v>
      </c>
      <c r="F37" s="99">
        <v>0</v>
      </c>
      <c r="G37" s="99">
        <v>0</v>
      </c>
      <c r="H37" s="99">
        <v>0</v>
      </c>
      <c r="I37" s="99">
        <v>0</v>
      </c>
      <c r="J37" s="99">
        <v>0</v>
      </c>
      <c r="K37" s="99">
        <v>0</v>
      </c>
      <c r="L37" s="99">
        <v>0</v>
      </c>
      <c r="M37" s="99">
        <v>0</v>
      </c>
    </row>
    <row r="38" spans="1:13">
      <c r="A38" s="97" t="s">
        <v>2167</v>
      </c>
      <c r="B38" s="98">
        <v>2929616</v>
      </c>
      <c r="C38" s="98">
        <v>2929616</v>
      </c>
      <c r="D38" s="99">
        <v>2924616</v>
      </c>
      <c r="E38" s="99">
        <v>0</v>
      </c>
      <c r="F38" s="99">
        <v>0</v>
      </c>
      <c r="G38" s="99">
        <v>0</v>
      </c>
      <c r="H38" s="99">
        <v>0</v>
      </c>
      <c r="I38" s="99">
        <v>0</v>
      </c>
      <c r="J38" s="99">
        <v>0</v>
      </c>
      <c r="K38" s="99">
        <v>0</v>
      </c>
      <c r="L38" s="99">
        <v>0</v>
      </c>
      <c r="M38" s="99">
        <v>0</v>
      </c>
    </row>
    <row r="39" spans="1:13">
      <c r="A39" s="97" t="s">
        <v>2168</v>
      </c>
      <c r="B39" s="98">
        <v>797832</v>
      </c>
      <c r="C39" s="98">
        <v>797832</v>
      </c>
      <c r="D39" s="99">
        <v>797832</v>
      </c>
      <c r="E39" s="99">
        <v>0</v>
      </c>
      <c r="F39" s="99">
        <v>0</v>
      </c>
      <c r="G39" s="99">
        <v>0</v>
      </c>
      <c r="H39" s="99">
        <v>0</v>
      </c>
      <c r="I39" s="99">
        <v>0</v>
      </c>
      <c r="J39" s="99">
        <v>0</v>
      </c>
      <c r="K39" s="99">
        <v>0</v>
      </c>
      <c r="L39" s="99">
        <v>0</v>
      </c>
      <c r="M39" s="99">
        <v>0</v>
      </c>
    </row>
    <row r="40" spans="1:13">
      <c r="A40" s="97" t="s">
        <v>2169</v>
      </c>
      <c r="B40" s="98">
        <v>9252559</v>
      </c>
      <c r="C40" s="98">
        <v>9252559</v>
      </c>
      <c r="D40" s="99">
        <v>9252559</v>
      </c>
      <c r="E40" s="99">
        <v>0</v>
      </c>
      <c r="F40" s="99">
        <v>0</v>
      </c>
      <c r="G40" s="99">
        <v>0</v>
      </c>
      <c r="H40" s="99">
        <v>0</v>
      </c>
      <c r="I40" s="99">
        <v>0</v>
      </c>
      <c r="J40" s="99">
        <v>0</v>
      </c>
      <c r="K40" s="99">
        <v>0</v>
      </c>
      <c r="L40" s="99">
        <v>0</v>
      </c>
      <c r="M40" s="99">
        <v>0</v>
      </c>
    </row>
    <row r="41" spans="1:13">
      <c r="A41" s="97" t="s">
        <v>2170</v>
      </c>
      <c r="B41" s="98">
        <v>0</v>
      </c>
      <c r="C41" s="98">
        <v>0</v>
      </c>
      <c r="D41" s="99">
        <v>0</v>
      </c>
      <c r="E41" s="99">
        <v>0</v>
      </c>
      <c r="F41" s="99">
        <v>0</v>
      </c>
      <c r="G41" s="99">
        <v>0</v>
      </c>
      <c r="H41" s="99">
        <v>0</v>
      </c>
      <c r="I41" s="99">
        <v>0</v>
      </c>
      <c r="J41" s="99">
        <v>0</v>
      </c>
      <c r="K41" s="99">
        <v>0</v>
      </c>
      <c r="L41" s="99">
        <v>0</v>
      </c>
      <c r="M41" s="99">
        <v>0</v>
      </c>
    </row>
    <row r="42" spans="1:13">
      <c r="A42" s="97" t="s">
        <v>2171</v>
      </c>
      <c r="B42" s="98">
        <v>788524</v>
      </c>
      <c r="C42" s="98">
        <v>788524</v>
      </c>
      <c r="D42" s="99">
        <v>759866</v>
      </c>
      <c r="E42" s="99">
        <v>0</v>
      </c>
      <c r="F42" s="99">
        <v>0</v>
      </c>
      <c r="G42" s="99">
        <v>0</v>
      </c>
      <c r="H42" s="99">
        <v>0</v>
      </c>
      <c r="I42" s="99">
        <v>0</v>
      </c>
      <c r="J42" s="99">
        <v>0</v>
      </c>
      <c r="K42" s="99">
        <v>0</v>
      </c>
      <c r="L42" s="99">
        <v>0</v>
      </c>
      <c r="M42" s="99">
        <v>0</v>
      </c>
    </row>
    <row r="43" spans="1:13">
      <c r="A43" s="97" t="s">
        <v>2172</v>
      </c>
      <c r="B43" s="98">
        <v>1001505</v>
      </c>
      <c r="C43" s="98">
        <v>1001505</v>
      </c>
      <c r="D43" s="99">
        <v>698187</v>
      </c>
      <c r="E43" s="99">
        <v>6325</v>
      </c>
      <c r="F43" s="99">
        <v>11275</v>
      </c>
      <c r="G43" s="99">
        <v>27665</v>
      </c>
      <c r="H43" s="99">
        <v>17435</v>
      </c>
      <c r="I43" s="99">
        <v>6325</v>
      </c>
      <c r="J43" s="99">
        <v>16225</v>
      </c>
      <c r="K43" s="99">
        <v>46965</v>
      </c>
      <c r="L43" s="99">
        <v>6325</v>
      </c>
      <c r="M43" s="99">
        <v>9900</v>
      </c>
    </row>
    <row r="44" spans="1:13">
      <c r="A44" s="97" t="s">
        <v>2173</v>
      </c>
      <c r="B44" s="98">
        <v>2971201</v>
      </c>
      <c r="C44" s="98">
        <v>2971201</v>
      </c>
      <c r="D44" s="99">
        <v>358701</v>
      </c>
      <c r="E44" s="99">
        <v>0</v>
      </c>
      <c r="F44" s="99">
        <v>0</v>
      </c>
      <c r="G44" s="99">
        <v>1237500</v>
      </c>
      <c r="H44" s="99">
        <v>0</v>
      </c>
      <c r="I44" s="99">
        <v>0</v>
      </c>
      <c r="J44" s="99">
        <v>0</v>
      </c>
      <c r="K44" s="99">
        <v>0</v>
      </c>
      <c r="L44" s="99">
        <v>0</v>
      </c>
      <c r="M44" s="99">
        <v>0</v>
      </c>
    </row>
    <row r="45" spans="1:13">
      <c r="A45" s="97" t="s">
        <v>2174</v>
      </c>
      <c r="B45" s="98">
        <v>0</v>
      </c>
      <c r="C45" s="98">
        <v>0</v>
      </c>
      <c r="D45" s="99">
        <v>0</v>
      </c>
      <c r="E45" s="99">
        <v>0</v>
      </c>
      <c r="F45" s="99">
        <v>0</v>
      </c>
      <c r="G45" s="99">
        <v>0</v>
      </c>
      <c r="H45" s="99">
        <v>0</v>
      </c>
      <c r="I45" s="99">
        <v>0</v>
      </c>
      <c r="J45" s="99">
        <v>0</v>
      </c>
      <c r="K45" s="99">
        <v>0</v>
      </c>
      <c r="L45" s="99">
        <v>0</v>
      </c>
      <c r="M45" s="99">
        <v>0</v>
      </c>
    </row>
    <row r="46" spans="1:13">
      <c r="A46" s="97" t="s">
        <v>2175</v>
      </c>
      <c r="B46" s="98">
        <v>834650</v>
      </c>
      <c r="C46" s="98">
        <v>834650</v>
      </c>
      <c r="D46" s="99">
        <v>276090</v>
      </c>
      <c r="E46" s="99">
        <v>45780</v>
      </c>
      <c r="F46" s="99">
        <v>20610</v>
      </c>
      <c r="G46" s="99">
        <v>20710</v>
      </c>
      <c r="H46" s="99">
        <v>11830</v>
      </c>
      <c r="I46" s="99">
        <v>19430</v>
      </c>
      <c r="J46" s="99">
        <v>10340</v>
      </c>
      <c r="K46" s="99">
        <v>20660</v>
      </c>
      <c r="L46" s="99">
        <v>19920</v>
      </c>
      <c r="M46" s="99">
        <v>0</v>
      </c>
    </row>
    <row r="47" spans="1:13">
      <c r="A47" s="97" t="s">
        <v>2176</v>
      </c>
      <c r="B47" s="98">
        <v>27379300</v>
      </c>
      <c r="C47" s="98">
        <v>27379300</v>
      </c>
      <c r="D47" s="99">
        <v>7671500</v>
      </c>
      <c r="E47" s="99">
        <v>1261100</v>
      </c>
      <c r="F47" s="99">
        <v>977000</v>
      </c>
      <c r="G47" s="99">
        <v>731800</v>
      </c>
      <c r="H47" s="99">
        <v>683600</v>
      </c>
      <c r="I47" s="99">
        <v>1234600</v>
      </c>
      <c r="J47" s="99">
        <v>1075800</v>
      </c>
      <c r="K47" s="99">
        <v>832200</v>
      </c>
      <c r="L47" s="99">
        <v>558900</v>
      </c>
      <c r="M47" s="99">
        <v>0</v>
      </c>
    </row>
    <row r="48" spans="1:13">
      <c r="A48" s="97" t="s">
        <v>2177</v>
      </c>
      <c r="B48" s="98">
        <v>2492484</v>
      </c>
      <c r="C48" s="98">
        <v>2492484</v>
      </c>
      <c r="D48" s="99">
        <v>2423688</v>
      </c>
      <c r="E48" s="99">
        <v>0</v>
      </c>
      <c r="F48" s="99">
        <v>0</v>
      </c>
      <c r="G48" s="99">
        <v>23996</v>
      </c>
      <c r="H48" s="99">
        <v>10600</v>
      </c>
      <c r="I48" s="99">
        <v>0</v>
      </c>
      <c r="J48" s="99">
        <v>0</v>
      </c>
      <c r="K48" s="99">
        <v>0</v>
      </c>
      <c r="L48" s="99">
        <v>0</v>
      </c>
      <c r="M48" s="99">
        <v>10000</v>
      </c>
    </row>
    <row r="49" spans="1:13">
      <c r="A49" s="97" t="s">
        <v>2178</v>
      </c>
      <c r="B49" s="98">
        <v>142036220</v>
      </c>
      <c r="C49" s="98">
        <v>142036220</v>
      </c>
      <c r="D49" s="99">
        <v>56112914</v>
      </c>
      <c r="E49" s="99">
        <v>4817160</v>
      </c>
      <c r="F49" s="99">
        <v>3459000</v>
      </c>
      <c r="G49" s="99">
        <v>7924107</v>
      </c>
      <c r="H49" s="99">
        <v>1523313</v>
      </c>
      <c r="I49" s="99">
        <v>4507461</v>
      </c>
      <c r="J49" s="99">
        <v>3652401</v>
      </c>
      <c r="K49" s="99">
        <v>4968452</v>
      </c>
      <c r="L49" s="99">
        <v>3225096</v>
      </c>
      <c r="M49" s="99">
        <v>0</v>
      </c>
    </row>
    <row r="50" spans="1:13">
      <c r="A50" s="97" t="s">
        <v>2179</v>
      </c>
      <c r="B50" s="98">
        <v>1568336</v>
      </c>
      <c r="C50" s="98">
        <v>1568336</v>
      </c>
      <c r="D50" s="99">
        <v>1238702</v>
      </c>
      <c r="E50" s="99">
        <v>0</v>
      </c>
      <c r="F50" s="99">
        <v>0</v>
      </c>
      <c r="G50" s="99">
        <v>29529</v>
      </c>
      <c r="H50" s="99">
        <v>10332</v>
      </c>
      <c r="I50" s="99">
        <v>0</v>
      </c>
      <c r="J50" s="99">
        <v>0</v>
      </c>
      <c r="K50" s="99">
        <v>0</v>
      </c>
      <c r="L50" s="99">
        <v>0</v>
      </c>
      <c r="M50" s="99">
        <v>0</v>
      </c>
    </row>
    <row r="51" spans="1:13">
      <c r="A51" s="97" t="s">
        <v>2180</v>
      </c>
      <c r="B51" s="98">
        <v>10200837</v>
      </c>
      <c r="C51" s="98">
        <v>10200837</v>
      </c>
      <c r="D51" s="99">
        <v>10200837</v>
      </c>
      <c r="E51" s="99">
        <v>0</v>
      </c>
      <c r="F51" s="99">
        <v>0</v>
      </c>
      <c r="G51" s="99">
        <v>0</v>
      </c>
      <c r="H51" s="99">
        <v>0</v>
      </c>
      <c r="I51" s="99">
        <v>0</v>
      </c>
      <c r="J51" s="99">
        <v>0</v>
      </c>
      <c r="K51" s="99">
        <v>0</v>
      </c>
      <c r="L51" s="99">
        <v>0</v>
      </c>
      <c r="M51" s="99">
        <v>0</v>
      </c>
    </row>
    <row r="52" spans="1:13">
      <c r="A52" s="97" t="s">
        <v>2181</v>
      </c>
      <c r="B52" s="98">
        <v>0</v>
      </c>
      <c r="C52" s="98">
        <v>0</v>
      </c>
      <c r="D52" s="99">
        <v>0</v>
      </c>
      <c r="E52" s="99">
        <v>0</v>
      </c>
      <c r="F52" s="99">
        <v>0</v>
      </c>
      <c r="G52" s="99">
        <v>0</v>
      </c>
      <c r="H52" s="99">
        <v>0</v>
      </c>
      <c r="I52" s="99">
        <v>0</v>
      </c>
      <c r="J52" s="99">
        <v>0</v>
      </c>
      <c r="K52" s="99">
        <v>0</v>
      </c>
      <c r="L52" s="99">
        <v>0</v>
      </c>
      <c r="M52" s="99">
        <v>0</v>
      </c>
    </row>
    <row r="53" spans="1:13">
      <c r="A53" s="97" t="s">
        <v>2182</v>
      </c>
      <c r="B53" s="98">
        <v>565745</v>
      </c>
      <c r="C53" s="98">
        <v>565745</v>
      </c>
      <c r="D53" s="99">
        <v>565745</v>
      </c>
      <c r="E53" s="99">
        <v>0</v>
      </c>
      <c r="F53" s="99">
        <v>0</v>
      </c>
      <c r="G53" s="99">
        <v>0</v>
      </c>
      <c r="H53" s="99">
        <v>0</v>
      </c>
      <c r="I53" s="99">
        <v>0</v>
      </c>
      <c r="J53" s="99">
        <v>0</v>
      </c>
      <c r="K53" s="99">
        <v>0</v>
      </c>
      <c r="L53" s="99">
        <v>0</v>
      </c>
      <c r="M53" s="99">
        <v>0</v>
      </c>
    </row>
    <row r="54" spans="1:13">
      <c r="A54" s="97" t="s">
        <v>2183</v>
      </c>
      <c r="B54" s="98">
        <v>1987424</v>
      </c>
      <c r="C54" s="98">
        <v>1987424</v>
      </c>
      <c r="D54" s="99">
        <v>1987424</v>
      </c>
      <c r="E54" s="99">
        <v>0</v>
      </c>
      <c r="F54" s="99">
        <v>0</v>
      </c>
      <c r="G54" s="99">
        <v>0</v>
      </c>
      <c r="H54" s="99">
        <v>0</v>
      </c>
      <c r="I54" s="99">
        <v>0</v>
      </c>
      <c r="J54" s="99">
        <v>0</v>
      </c>
      <c r="K54" s="99">
        <v>0</v>
      </c>
      <c r="L54" s="99">
        <v>0</v>
      </c>
      <c r="M54" s="99">
        <v>0</v>
      </c>
    </row>
    <row r="55" spans="1:13">
      <c r="A55" s="97" t="s">
        <v>2184</v>
      </c>
      <c r="B55" s="98">
        <v>0</v>
      </c>
      <c r="C55" s="98">
        <v>0</v>
      </c>
      <c r="D55" s="99">
        <v>0</v>
      </c>
      <c r="E55" s="99">
        <v>0</v>
      </c>
      <c r="F55" s="99">
        <v>0</v>
      </c>
      <c r="G55" s="99">
        <v>0</v>
      </c>
      <c r="H55" s="99">
        <v>0</v>
      </c>
      <c r="I55" s="99">
        <v>0</v>
      </c>
      <c r="J55" s="99">
        <v>0</v>
      </c>
      <c r="K55" s="99">
        <v>0</v>
      </c>
      <c r="L55" s="99">
        <v>0</v>
      </c>
      <c r="M55" s="99">
        <v>0</v>
      </c>
    </row>
    <row r="56" spans="1:13">
      <c r="A56" s="97" t="s">
        <v>2185</v>
      </c>
      <c r="B56" s="98">
        <v>0</v>
      </c>
      <c r="C56" s="98">
        <v>0</v>
      </c>
      <c r="D56" s="99">
        <v>0</v>
      </c>
      <c r="E56" s="99">
        <v>0</v>
      </c>
      <c r="F56" s="99">
        <v>0</v>
      </c>
      <c r="G56" s="99">
        <v>0</v>
      </c>
      <c r="H56" s="99">
        <v>0</v>
      </c>
      <c r="I56" s="99">
        <v>0</v>
      </c>
      <c r="J56" s="99">
        <v>0</v>
      </c>
      <c r="K56" s="99">
        <v>0</v>
      </c>
      <c r="L56" s="99">
        <v>0</v>
      </c>
      <c r="M56" s="99">
        <v>0</v>
      </c>
    </row>
    <row r="57" spans="1:13">
      <c r="A57" s="97" t="s">
        <v>2186</v>
      </c>
      <c r="B57" s="98">
        <v>0</v>
      </c>
      <c r="C57" s="98">
        <v>0</v>
      </c>
      <c r="D57" s="99">
        <v>0</v>
      </c>
      <c r="E57" s="99">
        <v>0</v>
      </c>
      <c r="F57" s="99">
        <v>0</v>
      </c>
      <c r="G57" s="99">
        <v>0</v>
      </c>
      <c r="H57" s="99">
        <v>0</v>
      </c>
      <c r="I57" s="99">
        <v>0</v>
      </c>
      <c r="J57" s="99">
        <v>0</v>
      </c>
      <c r="K57" s="99">
        <v>0</v>
      </c>
      <c r="L57" s="99">
        <v>0</v>
      </c>
      <c r="M57" s="99">
        <v>0</v>
      </c>
    </row>
    <row r="58" spans="1:13">
      <c r="A58" s="97" t="s">
        <v>2187</v>
      </c>
      <c r="B58" s="98">
        <v>0</v>
      </c>
      <c r="C58" s="98">
        <v>0</v>
      </c>
      <c r="D58" s="99">
        <v>0</v>
      </c>
      <c r="E58" s="99">
        <v>0</v>
      </c>
      <c r="F58" s="99">
        <v>0</v>
      </c>
      <c r="G58" s="99">
        <v>0</v>
      </c>
      <c r="H58" s="99">
        <v>0</v>
      </c>
      <c r="I58" s="99">
        <v>0</v>
      </c>
      <c r="J58" s="99">
        <v>0</v>
      </c>
      <c r="K58" s="99">
        <v>0</v>
      </c>
      <c r="L58" s="99">
        <v>0</v>
      </c>
      <c r="M58" s="99">
        <v>0</v>
      </c>
    </row>
    <row r="59" spans="1:13">
      <c r="A59" s="97" t="s">
        <v>2188</v>
      </c>
      <c r="B59" s="98">
        <v>389188277</v>
      </c>
      <c r="C59" s="98">
        <v>416660777</v>
      </c>
      <c r="D59" s="99">
        <v>191158850</v>
      </c>
      <c r="E59" s="99">
        <v>15101757</v>
      </c>
      <c r="F59" s="99">
        <v>11522338</v>
      </c>
      <c r="G59" s="99">
        <v>19620602</v>
      </c>
      <c r="H59" s="99">
        <v>7944338</v>
      </c>
      <c r="I59" s="99">
        <v>11877446</v>
      </c>
      <c r="J59" s="99">
        <v>8466192</v>
      </c>
      <c r="K59" s="99">
        <v>14005162</v>
      </c>
      <c r="L59" s="99">
        <v>7541011</v>
      </c>
      <c r="M59" s="99">
        <v>19900</v>
      </c>
    </row>
    <row r="60" spans="1:13">
      <c r="A60" s="97" t="s">
        <v>2189</v>
      </c>
      <c r="B60" s="98">
        <v>380412474</v>
      </c>
      <c r="C60" s="98">
        <v>380412474</v>
      </c>
      <c r="D60" s="99">
        <v>136541713</v>
      </c>
      <c r="E60" s="99">
        <v>13857404</v>
      </c>
      <c r="F60" s="99">
        <v>10767939</v>
      </c>
      <c r="G60" s="99">
        <v>4664627</v>
      </c>
      <c r="H60" s="99">
        <v>8723865</v>
      </c>
      <c r="I60" s="99">
        <v>17273048</v>
      </c>
      <c r="J60" s="99">
        <v>14303808</v>
      </c>
      <c r="K60" s="99">
        <v>12171368</v>
      </c>
      <c r="L60" s="99">
        <v>9311735</v>
      </c>
      <c r="M60" s="99">
        <v>6662600</v>
      </c>
    </row>
    <row r="61" spans="1:13">
      <c r="A61" s="97" t="s">
        <v>2190</v>
      </c>
      <c r="B61" s="98"/>
      <c r="C61" s="98"/>
      <c r="D61" s="99"/>
      <c r="E61" s="99"/>
      <c r="F61" s="99"/>
      <c r="G61" s="99"/>
      <c r="H61" s="99"/>
      <c r="I61" s="99"/>
      <c r="J61" s="99"/>
      <c r="K61" s="99"/>
      <c r="L61" s="99"/>
      <c r="M61" s="99"/>
    </row>
    <row r="62" spans="1:13">
      <c r="A62" s="97" t="s">
        <v>2191</v>
      </c>
      <c r="B62" s="98">
        <v>10158</v>
      </c>
      <c r="C62" s="98">
        <v>10158</v>
      </c>
      <c r="D62" s="99">
        <v>6925</v>
      </c>
      <c r="E62" s="99">
        <v>34</v>
      </c>
      <c r="F62" s="99">
        <v>78</v>
      </c>
      <c r="G62" s="99">
        <v>137</v>
      </c>
      <c r="H62" s="99">
        <v>197</v>
      </c>
      <c r="I62" s="99">
        <v>135</v>
      </c>
      <c r="J62" s="99">
        <v>207</v>
      </c>
      <c r="K62" s="99">
        <v>435</v>
      </c>
      <c r="L62" s="99">
        <v>61</v>
      </c>
      <c r="M62" s="99">
        <v>127</v>
      </c>
    </row>
    <row r="63" spans="1:13">
      <c r="A63" s="97" t="s">
        <v>2192</v>
      </c>
      <c r="B63" s="98">
        <v>1133000</v>
      </c>
      <c r="C63" s="98">
        <v>1133000</v>
      </c>
      <c r="D63" s="99">
        <v>945400</v>
      </c>
      <c r="E63" s="99">
        <v>1500</v>
      </c>
      <c r="F63" s="99">
        <v>10500</v>
      </c>
      <c r="G63" s="99">
        <v>3500</v>
      </c>
      <c r="H63" s="99">
        <v>12000</v>
      </c>
      <c r="I63" s="99">
        <v>1500</v>
      </c>
      <c r="J63" s="99">
        <v>12000</v>
      </c>
      <c r="K63" s="99">
        <v>6500</v>
      </c>
      <c r="L63" s="99">
        <v>1500</v>
      </c>
      <c r="M63" s="99">
        <v>0</v>
      </c>
    </row>
    <row r="64" spans="1:13">
      <c r="A64" s="97" t="s">
        <v>2193</v>
      </c>
      <c r="B64" s="98">
        <v>3400000</v>
      </c>
      <c r="C64" s="98">
        <v>3400000</v>
      </c>
      <c r="D64" s="99">
        <v>2400000</v>
      </c>
      <c r="E64" s="99">
        <v>0</v>
      </c>
      <c r="F64" s="99">
        <v>0</v>
      </c>
      <c r="G64" s="99">
        <v>0</v>
      </c>
      <c r="H64" s="99">
        <v>1000000</v>
      </c>
      <c r="I64" s="99">
        <v>0</v>
      </c>
      <c r="J64" s="99">
        <v>0</v>
      </c>
      <c r="K64" s="99">
        <v>0</v>
      </c>
      <c r="L64" s="99">
        <v>0</v>
      </c>
      <c r="M64" s="99">
        <v>0</v>
      </c>
    </row>
    <row r="65" spans="1:13">
      <c r="A65" s="100" t="s">
        <v>2194</v>
      </c>
      <c r="B65" s="101">
        <v>0</v>
      </c>
      <c r="C65" s="101">
        <v>0</v>
      </c>
      <c r="D65" s="99">
        <v>0</v>
      </c>
      <c r="E65" s="99">
        <v>0</v>
      </c>
      <c r="F65" s="99">
        <v>0</v>
      </c>
      <c r="G65" s="99">
        <v>0</v>
      </c>
      <c r="H65" s="99">
        <v>0</v>
      </c>
      <c r="I65" s="99">
        <v>0</v>
      </c>
      <c r="J65" s="99">
        <v>0</v>
      </c>
      <c r="K65" s="99">
        <v>0</v>
      </c>
      <c r="L65" s="99">
        <v>0</v>
      </c>
      <c r="M65" s="99">
        <v>0</v>
      </c>
    </row>
    <row r="66" spans="1:13">
      <c r="A66" s="97" t="s">
        <v>2195</v>
      </c>
      <c r="B66" s="98">
        <v>5185670</v>
      </c>
      <c r="C66" s="98">
        <v>5185670</v>
      </c>
      <c r="D66" s="99">
        <v>4868989</v>
      </c>
      <c r="E66" s="99">
        <v>0</v>
      </c>
      <c r="F66" s="99">
        <v>0</v>
      </c>
      <c r="G66" s="99">
        <v>0</v>
      </c>
      <c r="H66" s="99">
        <v>0</v>
      </c>
      <c r="I66" s="99">
        <v>0</v>
      </c>
      <c r="J66" s="99">
        <v>316681</v>
      </c>
      <c r="K66" s="99">
        <v>0</v>
      </c>
      <c r="L66" s="99">
        <v>0</v>
      </c>
      <c r="M66" s="99">
        <v>0</v>
      </c>
    </row>
    <row r="67" spans="1:13">
      <c r="A67" s="97" t="s">
        <v>2196</v>
      </c>
      <c r="B67" s="98">
        <v>0</v>
      </c>
      <c r="C67" s="98">
        <v>0</v>
      </c>
      <c r="D67" s="99">
        <v>0</v>
      </c>
      <c r="E67" s="99">
        <v>0</v>
      </c>
      <c r="F67" s="99">
        <v>0</v>
      </c>
      <c r="G67" s="99">
        <v>0</v>
      </c>
      <c r="H67" s="99">
        <v>0</v>
      </c>
      <c r="I67" s="99">
        <v>0</v>
      </c>
      <c r="J67" s="99">
        <v>0</v>
      </c>
      <c r="K67" s="99">
        <v>0</v>
      </c>
      <c r="L67" s="99">
        <v>0</v>
      </c>
      <c r="M67" s="99">
        <v>0</v>
      </c>
    </row>
    <row r="68" spans="1:13">
      <c r="A68" s="97" t="s">
        <v>2197</v>
      </c>
      <c r="B68" s="98">
        <v>0</v>
      </c>
      <c r="C68" s="98">
        <v>0</v>
      </c>
      <c r="D68" s="99">
        <v>0</v>
      </c>
      <c r="E68" s="99">
        <v>0</v>
      </c>
      <c r="F68" s="99">
        <v>0</v>
      </c>
      <c r="G68" s="99">
        <v>0</v>
      </c>
      <c r="H68" s="99">
        <v>0</v>
      </c>
      <c r="I68" s="99">
        <v>0</v>
      </c>
      <c r="J68" s="99">
        <v>0</v>
      </c>
      <c r="K68" s="99">
        <v>0</v>
      </c>
      <c r="L68" s="99">
        <v>0</v>
      </c>
      <c r="M68" s="99">
        <v>0</v>
      </c>
    </row>
    <row r="69" spans="1:13">
      <c r="A69" s="97" t="s">
        <v>2198</v>
      </c>
      <c r="B69" s="98">
        <v>1104546</v>
      </c>
      <c r="C69" s="98">
        <v>1104546</v>
      </c>
      <c r="D69" s="99">
        <v>793200</v>
      </c>
      <c r="E69" s="99">
        <v>129240</v>
      </c>
      <c r="F69" s="99">
        <v>0</v>
      </c>
      <c r="G69" s="99">
        <v>0</v>
      </c>
      <c r="H69" s="99">
        <v>0</v>
      </c>
      <c r="I69" s="99">
        <v>0</v>
      </c>
      <c r="J69" s="99">
        <v>0</v>
      </c>
      <c r="K69" s="99">
        <v>0</v>
      </c>
      <c r="L69" s="99">
        <v>0</v>
      </c>
      <c r="M69" s="99">
        <v>0</v>
      </c>
    </row>
    <row r="70" spans="1:13">
      <c r="A70" s="97" t="s">
        <v>2199</v>
      </c>
      <c r="B70" s="98">
        <v>10833374</v>
      </c>
      <c r="C70" s="98">
        <v>10833374</v>
      </c>
      <c r="D70" s="99">
        <v>9014514</v>
      </c>
      <c r="E70" s="99">
        <v>130774</v>
      </c>
      <c r="F70" s="99">
        <v>10578</v>
      </c>
      <c r="G70" s="99">
        <v>3637</v>
      </c>
      <c r="H70" s="99">
        <v>1012197</v>
      </c>
      <c r="I70" s="99">
        <v>1635</v>
      </c>
      <c r="J70" s="99">
        <v>328888</v>
      </c>
      <c r="K70" s="99">
        <v>6935</v>
      </c>
      <c r="L70" s="99">
        <v>1561</v>
      </c>
      <c r="M70" s="99">
        <v>127</v>
      </c>
    </row>
    <row r="71" spans="1:13">
      <c r="A71" s="97" t="s">
        <v>2200</v>
      </c>
      <c r="B71" s="98"/>
      <c r="C71" s="98"/>
      <c r="D71" s="99"/>
      <c r="E71" s="99"/>
      <c r="F71" s="99"/>
      <c r="G71" s="99"/>
      <c r="H71" s="99"/>
      <c r="I71" s="99"/>
      <c r="J71" s="99"/>
      <c r="K71" s="99"/>
      <c r="L71" s="99"/>
      <c r="M71" s="99"/>
    </row>
    <row r="72" spans="1:13">
      <c r="A72" s="97" t="s">
        <v>2201</v>
      </c>
      <c r="B72" s="98">
        <v>117515883</v>
      </c>
      <c r="C72" s="98">
        <v>117515883</v>
      </c>
      <c r="D72" s="99">
        <v>48646618</v>
      </c>
      <c r="E72" s="99">
        <v>2204823</v>
      </c>
      <c r="F72" s="99">
        <v>3190933</v>
      </c>
      <c r="G72" s="99">
        <v>1911652</v>
      </c>
      <c r="H72" s="99">
        <v>1484200</v>
      </c>
      <c r="I72" s="99">
        <v>2729953</v>
      </c>
      <c r="J72" s="99">
        <v>4039760</v>
      </c>
      <c r="K72" s="99">
        <v>3519478</v>
      </c>
      <c r="L72" s="99">
        <v>2363119</v>
      </c>
      <c r="M72" s="99">
        <v>942568</v>
      </c>
    </row>
    <row r="73" spans="1:13">
      <c r="A73" s="97" t="s">
        <v>2202</v>
      </c>
      <c r="B73" s="98">
        <v>200000</v>
      </c>
      <c r="C73" s="98">
        <v>200000</v>
      </c>
      <c r="D73" s="99">
        <v>200000</v>
      </c>
      <c r="E73" s="99">
        <v>0</v>
      </c>
      <c r="F73" s="99">
        <v>0</v>
      </c>
      <c r="G73" s="99">
        <v>0</v>
      </c>
      <c r="H73" s="99">
        <v>0</v>
      </c>
      <c r="I73" s="99">
        <v>0</v>
      </c>
      <c r="J73" s="99">
        <v>0</v>
      </c>
      <c r="K73" s="99">
        <v>0</v>
      </c>
      <c r="L73" s="99">
        <v>0</v>
      </c>
      <c r="M73" s="99">
        <v>0</v>
      </c>
    </row>
    <row r="74" spans="1:13">
      <c r="A74" s="97" t="s">
        <v>2203</v>
      </c>
      <c r="B74" s="98">
        <v>26873913</v>
      </c>
      <c r="C74" s="98">
        <v>26873913</v>
      </c>
      <c r="D74" s="99">
        <v>24962066</v>
      </c>
      <c r="E74" s="99">
        <v>0</v>
      </c>
      <c r="F74" s="99">
        <v>641722</v>
      </c>
      <c r="G74" s="99">
        <v>0</v>
      </c>
      <c r="H74" s="99">
        <v>0</v>
      </c>
      <c r="I74" s="99">
        <v>534171</v>
      </c>
      <c r="J74" s="99">
        <v>735954</v>
      </c>
      <c r="K74" s="99">
        <v>0</v>
      </c>
      <c r="L74" s="99">
        <v>0</v>
      </c>
      <c r="M74" s="99">
        <v>0</v>
      </c>
    </row>
    <row r="75" spans="1:13">
      <c r="A75" s="97" t="s">
        <v>2204</v>
      </c>
      <c r="B75" s="98">
        <v>144589796</v>
      </c>
      <c r="C75" s="98">
        <v>144589796</v>
      </c>
      <c r="D75" s="99">
        <v>73808684</v>
      </c>
      <c r="E75" s="99">
        <v>2204823</v>
      </c>
      <c r="F75" s="99">
        <v>3832655</v>
      </c>
      <c r="G75" s="99">
        <v>1911652</v>
      </c>
      <c r="H75" s="99">
        <v>1484200</v>
      </c>
      <c r="I75" s="99">
        <v>3264124</v>
      </c>
      <c r="J75" s="99">
        <v>4775714</v>
      </c>
      <c r="K75" s="99">
        <v>3519478</v>
      </c>
      <c r="L75" s="99">
        <v>2363119</v>
      </c>
      <c r="M75" s="99">
        <v>942568</v>
      </c>
    </row>
    <row r="76" spans="1:13">
      <c r="A76" s="97" t="s">
        <v>2205</v>
      </c>
      <c r="B76" s="98">
        <v>246656052</v>
      </c>
      <c r="C76" s="98">
        <v>246656052</v>
      </c>
      <c r="D76" s="99">
        <v>71747543</v>
      </c>
      <c r="E76" s="99">
        <v>11783355</v>
      </c>
      <c r="F76" s="99">
        <v>6945862</v>
      </c>
      <c r="G76" s="99">
        <v>2756612</v>
      </c>
      <c r="H76" s="99">
        <v>8251862</v>
      </c>
      <c r="I76" s="99">
        <v>14010559</v>
      </c>
      <c r="J76" s="99">
        <v>9856982</v>
      </c>
      <c r="K76" s="99">
        <v>8658825</v>
      </c>
      <c r="L76" s="99">
        <v>6950177</v>
      </c>
      <c r="M76" s="99">
        <v>5720159</v>
      </c>
    </row>
    <row r="77" spans="1:13">
      <c r="A77" s="97" t="s">
        <v>2206</v>
      </c>
      <c r="B77" s="98"/>
      <c r="C77" s="98"/>
      <c r="D77" s="99"/>
      <c r="E77" s="99"/>
      <c r="F77" s="99"/>
      <c r="G77" s="99"/>
      <c r="H77" s="99"/>
      <c r="I77" s="99"/>
      <c r="J77" s="99"/>
      <c r="K77" s="99"/>
      <c r="L77" s="99"/>
      <c r="M77" s="99"/>
    </row>
    <row r="78" spans="1:13">
      <c r="A78" s="97" t="s">
        <v>2207</v>
      </c>
      <c r="B78" s="98">
        <v>0</v>
      </c>
      <c r="C78" s="98">
        <v>0</v>
      </c>
      <c r="D78" s="99">
        <v>0</v>
      </c>
      <c r="E78" s="99">
        <v>0</v>
      </c>
      <c r="F78" s="99">
        <v>0</v>
      </c>
      <c r="G78" s="99">
        <v>0</v>
      </c>
      <c r="H78" s="99">
        <v>0</v>
      </c>
      <c r="I78" s="99">
        <v>0</v>
      </c>
      <c r="J78" s="99">
        <v>0</v>
      </c>
      <c r="K78" s="99">
        <v>0</v>
      </c>
      <c r="L78" s="99">
        <v>0</v>
      </c>
      <c r="M78" s="99">
        <v>0</v>
      </c>
    </row>
    <row r="79" spans="1:13">
      <c r="A79" s="97" t="s">
        <v>2208</v>
      </c>
      <c r="B79" s="98">
        <v>0</v>
      </c>
      <c r="C79" s="98">
        <v>0</v>
      </c>
      <c r="D79" s="99">
        <v>0</v>
      </c>
      <c r="E79" s="99">
        <v>0</v>
      </c>
      <c r="F79" s="99">
        <v>0</v>
      </c>
      <c r="G79" s="99">
        <v>0</v>
      </c>
      <c r="H79" s="99">
        <v>0</v>
      </c>
      <c r="I79" s="99">
        <v>0</v>
      </c>
      <c r="J79" s="99">
        <v>0</v>
      </c>
      <c r="K79" s="99">
        <v>0</v>
      </c>
      <c r="L79" s="99">
        <v>0</v>
      </c>
      <c r="M79" s="99">
        <v>0</v>
      </c>
    </row>
    <row r="80" spans="1:13">
      <c r="A80" s="97" t="s">
        <v>2209</v>
      </c>
      <c r="B80" s="98">
        <v>0</v>
      </c>
      <c r="C80" s="98">
        <v>0</v>
      </c>
      <c r="D80" s="99">
        <v>0</v>
      </c>
      <c r="E80" s="99">
        <v>0</v>
      </c>
      <c r="F80" s="99">
        <v>0</v>
      </c>
      <c r="G80" s="99">
        <v>0</v>
      </c>
      <c r="H80" s="99">
        <v>0</v>
      </c>
      <c r="I80" s="99">
        <v>0</v>
      </c>
      <c r="J80" s="99">
        <v>0</v>
      </c>
      <c r="K80" s="99">
        <v>0</v>
      </c>
      <c r="L80" s="99">
        <v>0</v>
      </c>
      <c r="M80" s="99">
        <v>0</v>
      </c>
    </row>
    <row r="81" spans="1:13">
      <c r="A81" s="97" t="s">
        <v>2210</v>
      </c>
      <c r="B81" s="98">
        <v>0</v>
      </c>
      <c r="C81" s="98">
        <v>0</v>
      </c>
      <c r="D81" s="99">
        <v>0</v>
      </c>
      <c r="E81" s="99">
        <v>0</v>
      </c>
      <c r="F81" s="99">
        <v>0</v>
      </c>
      <c r="G81" s="99">
        <v>0</v>
      </c>
      <c r="H81" s="99">
        <v>0</v>
      </c>
      <c r="I81" s="99">
        <v>0</v>
      </c>
      <c r="J81" s="99">
        <v>0</v>
      </c>
      <c r="K81" s="99">
        <v>0</v>
      </c>
      <c r="L81" s="99">
        <v>0</v>
      </c>
      <c r="M81" s="99">
        <v>0</v>
      </c>
    </row>
    <row r="82" spans="1:13">
      <c r="A82" s="97" t="s">
        <v>2211</v>
      </c>
      <c r="B82" s="98"/>
      <c r="C82" s="98"/>
      <c r="D82" s="99"/>
      <c r="E82" s="99"/>
      <c r="F82" s="99"/>
      <c r="G82" s="99"/>
      <c r="H82" s="99"/>
      <c r="I82" s="99"/>
      <c r="J82" s="99"/>
      <c r="K82" s="99"/>
      <c r="L82" s="99"/>
      <c r="M82" s="99"/>
    </row>
    <row r="83" spans="1:13">
      <c r="A83" s="97" t="s">
        <v>2212</v>
      </c>
      <c r="B83" s="98">
        <v>0</v>
      </c>
      <c r="C83" s="98">
        <v>0</v>
      </c>
      <c r="D83" s="99">
        <v>0</v>
      </c>
      <c r="E83" s="99">
        <v>0</v>
      </c>
      <c r="F83" s="99">
        <v>0</v>
      </c>
      <c r="G83" s="99">
        <v>0</v>
      </c>
      <c r="H83" s="99">
        <v>0</v>
      </c>
      <c r="I83" s="99">
        <v>0</v>
      </c>
      <c r="J83" s="99">
        <v>0</v>
      </c>
      <c r="K83" s="99">
        <v>0</v>
      </c>
      <c r="L83" s="99">
        <v>0</v>
      </c>
      <c r="M83" s="99">
        <v>0</v>
      </c>
    </row>
    <row r="84" spans="1:13">
      <c r="A84" s="97" t="s">
        <v>2213</v>
      </c>
      <c r="B84" s="98">
        <v>0</v>
      </c>
      <c r="C84" s="98">
        <v>0</v>
      </c>
      <c r="D84" s="99">
        <v>0</v>
      </c>
      <c r="E84" s="99">
        <v>0</v>
      </c>
      <c r="F84" s="99">
        <v>0</v>
      </c>
      <c r="G84" s="99">
        <v>0</v>
      </c>
      <c r="H84" s="99">
        <v>0</v>
      </c>
      <c r="I84" s="99">
        <v>0</v>
      </c>
      <c r="J84" s="99">
        <v>0</v>
      </c>
      <c r="K84" s="99">
        <v>0</v>
      </c>
      <c r="L84" s="99">
        <v>0</v>
      </c>
      <c r="M84" s="99">
        <v>0</v>
      </c>
    </row>
    <row r="85" spans="1:13">
      <c r="A85" s="97" t="s">
        <v>2214</v>
      </c>
      <c r="B85" s="98">
        <v>0</v>
      </c>
      <c r="C85" s="98">
        <v>0</v>
      </c>
      <c r="D85" s="99">
        <v>0</v>
      </c>
      <c r="E85" s="99">
        <v>0</v>
      </c>
      <c r="F85" s="99">
        <v>0</v>
      </c>
      <c r="G85" s="99">
        <v>0</v>
      </c>
      <c r="H85" s="99">
        <v>0</v>
      </c>
      <c r="I85" s="99">
        <v>0</v>
      </c>
      <c r="J85" s="99">
        <v>0</v>
      </c>
      <c r="K85" s="99">
        <v>0</v>
      </c>
      <c r="L85" s="99">
        <v>0</v>
      </c>
      <c r="M85" s="99">
        <v>0</v>
      </c>
    </row>
    <row r="86" spans="1:13">
      <c r="A86" s="97" t="s">
        <v>2215</v>
      </c>
      <c r="B86" s="98"/>
      <c r="C86" s="98"/>
      <c r="D86" s="99"/>
      <c r="E86" s="99"/>
      <c r="F86" s="99"/>
      <c r="G86" s="99"/>
      <c r="H86" s="99"/>
      <c r="I86" s="99"/>
      <c r="J86" s="99"/>
      <c r="K86" s="99"/>
      <c r="L86" s="99"/>
      <c r="M86" s="99"/>
    </row>
    <row r="87" spans="1:13">
      <c r="A87" s="97" t="s">
        <v>2216</v>
      </c>
      <c r="B87" s="98">
        <v>246656052</v>
      </c>
      <c r="C87" s="98">
        <v>246656052</v>
      </c>
      <c r="D87" s="99">
        <v>71747543</v>
      </c>
      <c r="E87" s="99">
        <v>11783355</v>
      </c>
      <c r="F87" s="99">
        <v>6945862</v>
      </c>
      <c r="G87" s="99">
        <v>2756612</v>
      </c>
      <c r="H87" s="99">
        <v>8251862</v>
      </c>
      <c r="I87" s="99">
        <v>14010559</v>
      </c>
      <c r="J87" s="99">
        <v>9856982</v>
      </c>
      <c r="K87" s="99">
        <v>8658825</v>
      </c>
      <c r="L87" s="99">
        <v>6950177</v>
      </c>
      <c r="M87" s="99">
        <v>5720159</v>
      </c>
    </row>
    <row r="88" spans="1:13">
      <c r="A88" s="97" t="s">
        <v>2217</v>
      </c>
      <c r="B88" s="98">
        <v>232860</v>
      </c>
      <c r="C88" s="98">
        <v>232860</v>
      </c>
      <c r="D88" s="99">
        <v>194091</v>
      </c>
      <c r="E88" s="99">
        <v>310</v>
      </c>
      <c r="F88" s="99">
        <v>2154</v>
      </c>
      <c r="G88" s="99">
        <v>734</v>
      </c>
      <c r="H88" s="99">
        <v>2478</v>
      </c>
      <c r="I88" s="99">
        <v>326</v>
      </c>
      <c r="J88" s="99">
        <v>2479</v>
      </c>
      <c r="K88" s="99">
        <v>1392</v>
      </c>
      <c r="L88" s="99">
        <v>315</v>
      </c>
      <c r="M88" s="99">
        <v>19</v>
      </c>
    </row>
    <row r="89" spans="1:13">
      <c r="A89" s="97" t="s">
        <v>2218</v>
      </c>
      <c r="B89" s="98">
        <v>0</v>
      </c>
      <c r="C89" s="98">
        <v>0</v>
      </c>
      <c r="D89" s="99">
        <v>0</v>
      </c>
      <c r="E89" s="99">
        <v>0</v>
      </c>
      <c r="F89" s="99">
        <v>0</v>
      </c>
      <c r="G89" s="99">
        <v>0</v>
      </c>
      <c r="H89" s="99">
        <v>0</v>
      </c>
      <c r="I89" s="99">
        <v>0</v>
      </c>
      <c r="J89" s="99">
        <v>0</v>
      </c>
      <c r="K89" s="99">
        <v>0</v>
      </c>
      <c r="L89" s="99">
        <v>0</v>
      </c>
      <c r="M89" s="99">
        <v>0</v>
      </c>
    </row>
    <row r="90" spans="1:13">
      <c r="A90" s="97" t="s">
        <v>2219</v>
      </c>
      <c r="B90" s="98">
        <v>246423192</v>
      </c>
      <c r="C90" s="98">
        <v>246423192</v>
      </c>
      <c r="D90" s="99">
        <v>71553452</v>
      </c>
      <c r="E90" s="99">
        <v>11783045</v>
      </c>
      <c r="F90" s="99">
        <v>6943708</v>
      </c>
      <c r="G90" s="99">
        <v>2755878</v>
      </c>
      <c r="H90" s="99">
        <v>8249384</v>
      </c>
      <c r="I90" s="99">
        <v>14010233</v>
      </c>
      <c r="J90" s="99">
        <v>9854503</v>
      </c>
      <c r="K90" s="99">
        <v>8657433</v>
      </c>
      <c r="L90" s="99">
        <v>6949862</v>
      </c>
      <c r="M90" s="99">
        <v>5720140</v>
      </c>
    </row>
    <row r="93" spans="1:13" ht="24">
      <c r="A93" s="102" t="s">
        <v>2350</v>
      </c>
      <c r="B93" s="102"/>
      <c r="C93" s="103"/>
      <c r="D93" s="103"/>
      <c r="E93" s="93" t="s">
        <v>2349</v>
      </c>
    </row>
    <row r="94" spans="1:13">
      <c r="A94" s="104" t="s">
        <v>2221</v>
      </c>
      <c r="B94" s="104"/>
      <c r="C94" s="104"/>
      <c r="D94" s="104"/>
      <c r="E94" s="104"/>
      <c r="F94" s="104"/>
      <c r="G94" s="104"/>
      <c r="H94" s="104"/>
      <c r="I94" s="104"/>
      <c r="J94" s="104"/>
      <c r="K94" s="104"/>
      <c r="L94" s="104"/>
      <c r="M94" s="104"/>
    </row>
    <row r="95" spans="1:13" ht="27">
      <c r="A95" s="105" t="s">
        <v>2120</v>
      </c>
      <c r="B95" s="105" t="s">
        <v>2121</v>
      </c>
      <c r="C95" s="105" t="s">
        <v>2122</v>
      </c>
      <c r="D95" s="106" t="s">
        <v>2222</v>
      </c>
      <c r="E95" s="106" t="s">
        <v>2223</v>
      </c>
      <c r="F95" s="107" t="s">
        <v>2224</v>
      </c>
      <c r="G95" s="107" t="s">
        <v>2225</v>
      </c>
      <c r="H95" s="107" t="s">
        <v>2226</v>
      </c>
      <c r="I95" s="107" t="s">
        <v>2227</v>
      </c>
      <c r="J95" s="107" t="s">
        <v>2228</v>
      </c>
      <c r="K95" s="107" t="s">
        <v>2229</v>
      </c>
      <c r="L95" s="107" t="s">
        <v>2230</v>
      </c>
      <c r="M95" s="107" t="s">
        <v>2132</v>
      </c>
    </row>
    <row r="96" spans="1:13">
      <c r="A96" s="108" t="s">
        <v>2231</v>
      </c>
      <c r="B96" s="109"/>
      <c r="C96" s="109"/>
      <c r="D96" s="99"/>
      <c r="E96" s="99"/>
      <c r="F96" s="99"/>
      <c r="G96" s="99"/>
      <c r="H96" s="99"/>
      <c r="I96" s="99"/>
      <c r="J96" s="99"/>
      <c r="K96" s="99"/>
      <c r="L96" s="99"/>
      <c r="M96" s="99"/>
    </row>
    <row r="97" spans="1:13">
      <c r="A97" s="111" t="s">
        <v>2232</v>
      </c>
      <c r="B97" s="112">
        <v>18638093</v>
      </c>
      <c r="C97" s="112">
        <v>18638093</v>
      </c>
      <c r="D97" s="99">
        <v>1038693</v>
      </c>
      <c r="E97" s="99">
        <v>1100000</v>
      </c>
      <c r="F97" s="99">
        <v>1100000</v>
      </c>
      <c r="G97" s="99">
        <v>1100000</v>
      </c>
      <c r="H97" s="99">
        <v>1099400</v>
      </c>
      <c r="I97" s="99">
        <v>1100000</v>
      </c>
      <c r="J97" s="99">
        <v>1100000</v>
      </c>
      <c r="K97" s="99">
        <v>1100000</v>
      </c>
      <c r="L97" s="99">
        <v>1100000</v>
      </c>
      <c r="M97" s="99">
        <v>1100000</v>
      </c>
    </row>
    <row r="98" spans="1:13">
      <c r="A98" s="111" t="s">
        <v>2233</v>
      </c>
      <c r="B98" s="112">
        <v>727888479</v>
      </c>
      <c r="C98" s="112">
        <v>727888479</v>
      </c>
      <c r="D98" s="99">
        <v>412288719</v>
      </c>
      <c r="E98" s="99">
        <v>3468706</v>
      </c>
      <c r="F98" s="99">
        <v>6309888</v>
      </c>
      <c r="G98" s="99">
        <v>11669216</v>
      </c>
      <c r="H98" s="99">
        <v>8589316</v>
      </c>
      <c r="I98" s="99">
        <v>16596258</v>
      </c>
      <c r="J98" s="99">
        <v>19634881</v>
      </c>
      <c r="K98" s="99">
        <v>10001864</v>
      </c>
      <c r="L98" s="99">
        <v>8239404</v>
      </c>
      <c r="M98" s="99">
        <v>7983089</v>
      </c>
    </row>
    <row r="99" spans="1:13">
      <c r="A99" s="111" t="s">
        <v>2234</v>
      </c>
      <c r="B99" s="112">
        <v>42000678</v>
      </c>
      <c r="C99" s="112">
        <v>42000678</v>
      </c>
      <c r="D99" s="99">
        <v>42000678</v>
      </c>
      <c r="E99" s="99">
        <v>0</v>
      </c>
      <c r="F99" s="99">
        <v>0</v>
      </c>
      <c r="G99" s="99">
        <v>0</v>
      </c>
      <c r="H99" s="99">
        <v>0</v>
      </c>
      <c r="I99" s="99">
        <v>0</v>
      </c>
      <c r="J99" s="99">
        <v>0</v>
      </c>
      <c r="K99" s="99">
        <v>0</v>
      </c>
      <c r="L99" s="99">
        <v>0</v>
      </c>
      <c r="M99" s="99">
        <v>0</v>
      </c>
    </row>
    <row r="100" spans="1:13">
      <c r="A100" s="111" t="s">
        <v>2235</v>
      </c>
      <c r="B100" s="112">
        <v>3230000</v>
      </c>
      <c r="C100" s="112">
        <v>3230000</v>
      </c>
      <c r="D100" s="99">
        <v>1730000</v>
      </c>
      <c r="E100" s="99">
        <v>0</v>
      </c>
      <c r="F100" s="99">
        <v>0</v>
      </c>
      <c r="G100" s="99">
        <v>0</v>
      </c>
      <c r="H100" s="99">
        <v>0</v>
      </c>
      <c r="I100" s="99">
        <v>0</v>
      </c>
      <c r="J100" s="99">
        <v>0</v>
      </c>
      <c r="K100" s="99">
        <v>0</v>
      </c>
      <c r="L100" s="99">
        <v>0</v>
      </c>
      <c r="M100" s="99">
        <v>0</v>
      </c>
    </row>
    <row r="101" spans="1:13">
      <c r="A101" s="111" t="s">
        <v>2236</v>
      </c>
      <c r="B101" s="112">
        <v>0</v>
      </c>
      <c r="C101" s="112">
        <v>0</v>
      </c>
      <c r="D101" s="99">
        <v>0</v>
      </c>
      <c r="E101" s="99">
        <v>0</v>
      </c>
      <c r="F101" s="99">
        <v>0</v>
      </c>
      <c r="G101" s="99">
        <v>0</v>
      </c>
      <c r="H101" s="99">
        <v>0</v>
      </c>
      <c r="I101" s="99">
        <v>0</v>
      </c>
      <c r="J101" s="99">
        <v>0</v>
      </c>
      <c r="K101" s="99">
        <v>0</v>
      </c>
      <c r="L101" s="99">
        <v>0</v>
      </c>
      <c r="M101" s="99">
        <v>0</v>
      </c>
    </row>
    <row r="102" spans="1:13">
      <c r="A102" s="111" t="s">
        <v>2351</v>
      </c>
      <c r="B102" s="112">
        <v>791757250</v>
      </c>
      <c r="C102" s="112">
        <v>791757250</v>
      </c>
      <c r="D102" s="99">
        <v>457058090</v>
      </c>
      <c r="E102" s="99">
        <v>4568706</v>
      </c>
      <c r="F102" s="99">
        <v>7409888</v>
      </c>
      <c r="G102" s="99">
        <v>12769216</v>
      </c>
      <c r="H102" s="99">
        <v>9688716</v>
      </c>
      <c r="I102" s="99">
        <v>17696258</v>
      </c>
      <c r="J102" s="99">
        <v>20734881</v>
      </c>
      <c r="K102" s="99">
        <v>11101864</v>
      </c>
      <c r="L102" s="99">
        <v>9339404</v>
      </c>
      <c r="M102" s="99">
        <v>9083089</v>
      </c>
    </row>
    <row r="103" spans="1:13">
      <c r="A103" s="111" t="s">
        <v>2238</v>
      </c>
      <c r="B103" s="112"/>
      <c r="C103" s="112"/>
      <c r="D103" s="99"/>
      <c r="E103" s="99"/>
      <c r="F103" s="99"/>
      <c r="G103" s="99"/>
      <c r="H103" s="99"/>
      <c r="I103" s="99"/>
      <c r="J103" s="99"/>
      <c r="K103" s="99"/>
      <c r="L103" s="99"/>
      <c r="M103" s="99"/>
    </row>
    <row r="104" spans="1:13">
      <c r="A104" s="111" t="s">
        <v>2239</v>
      </c>
      <c r="B104" s="112">
        <v>0</v>
      </c>
      <c r="C104" s="112">
        <v>0</v>
      </c>
      <c r="D104" s="99">
        <v>0</v>
      </c>
      <c r="E104" s="99">
        <v>0</v>
      </c>
      <c r="F104" s="99">
        <v>0</v>
      </c>
      <c r="G104" s="99">
        <v>0</v>
      </c>
      <c r="H104" s="99">
        <v>0</v>
      </c>
      <c r="I104" s="99">
        <v>0</v>
      </c>
      <c r="J104" s="99">
        <v>0</v>
      </c>
      <c r="K104" s="99">
        <v>0</v>
      </c>
      <c r="L104" s="99">
        <v>0</v>
      </c>
      <c r="M104" s="99">
        <v>0</v>
      </c>
    </row>
    <row r="105" spans="1:13">
      <c r="A105" s="111" t="s">
        <v>2240</v>
      </c>
      <c r="B105" s="112">
        <v>0</v>
      </c>
      <c r="C105" s="112">
        <v>0</v>
      </c>
      <c r="D105" s="99">
        <v>0</v>
      </c>
      <c r="E105" s="99">
        <v>0</v>
      </c>
      <c r="F105" s="99">
        <v>0</v>
      </c>
      <c r="G105" s="99">
        <v>0</v>
      </c>
      <c r="H105" s="99">
        <v>0</v>
      </c>
      <c r="I105" s="99">
        <v>0</v>
      </c>
      <c r="J105" s="99">
        <v>0</v>
      </c>
      <c r="K105" s="99">
        <v>0</v>
      </c>
      <c r="L105" s="99">
        <v>0</v>
      </c>
      <c r="M105" s="99">
        <v>0</v>
      </c>
    </row>
    <row r="106" spans="1:13">
      <c r="A106" s="111" t="s">
        <v>2241</v>
      </c>
      <c r="B106" s="112"/>
      <c r="C106" s="112"/>
      <c r="D106" s="99"/>
      <c r="E106" s="99"/>
      <c r="F106" s="99"/>
      <c r="G106" s="99"/>
      <c r="H106" s="99"/>
      <c r="I106" s="99"/>
      <c r="J106" s="99"/>
      <c r="K106" s="99"/>
      <c r="L106" s="99"/>
      <c r="M106" s="99"/>
    </row>
    <row r="107" spans="1:13">
      <c r="A107" s="111" t="s">
        <v>2242</v>
      </c>
      <c r="B107" s="112">
        <v>0</v>
      </c>
      <c r="C107" s="112">
        <v>0</v>
      </c>
      <c r="D107" s="99">
        <v>0</v>
      </c>
      <c r="E107" s="99">
        <v>0</v>
      </c>
      <c r="F107" s="99">
        <v>0</v>
      </c>
      <c r="G107" s="99">
        <v>0</v>
      </c>
      <c r="H107" s="99">
        <v>0</v>
      </c>
      <c r="I107" s="99">
        <v>0</v>
      </c>
      <c r="J107" s="99">
        <v>0</v>
      </c>
      <c r="K107" s="99">
        <v>0</v>
      </c>
      <c r="L107" s="99">
        <v>0</v>
      </c>
      <c r="M107" s="99">
        <v>0</v>
      </c>
    </row>
    <row r="108" spans="1:13">
      <c r="A108" s="111" t="s">
        <v>2243</v>
      </c>
      <c r="B108" s="112"/>
      <c r="C108" s="112"/>
      <c r="D108" s="99"/>
      <c r="E108" s="99"/>
      <c r="F108" s="99"/>
      <c r="G108" s="99"/>
      <c r="H108" s="99"/>
      <c r="I108" s="99"/>
      <c r="J108" s="99"/>
      <c r="K108" s="99"/>
      <c r="L108" s="99"/>
      <c r="M108" s="99"/>
    </row>
    <row r="109" spans="1:13">
      <c r="A109" s="111" t="s">
        <v>2244</v>
      </c>
      <c r="B109" s="112">
        <v>0</v>
      </c>
      <c r="C109" s="112">
        <v>0</v>
      </c>
      <c r="D109" s="99">
        <v>0</v>
      </c>
      <c r="E109" s="99">
        <v>0</v>
      </c>
      <c r="F109" s="99">
        <v>0</v>
      </c>
      <c r="G109" s="99">
        <v>0</v>
      </c>
      <c r="H109" s="99">
        <v>0</v>
      </c>
      <c r="I109" s="99">
        <v>0</v>
      </c>
      <c r="J109" s="99">
        <v>0</v>
      </c>
      <c r="K109" s="99">
        <v>0</v>
      </c>
      <c r="L109" s="99">
        <v>0</v>
      </c>
      <c r="M109" s="99">
        <v>0</v>
      </c>
    </row>
    <row r="110" spans="1:13">
      <c r="A110" s="111" t="s">
        <v>2245</v>
      </c>
      <c r="B110" s="112">
        <v>0</v>
      </c>
      <c r="C110" s="112">
        <v>0</v>
      </c>
      <c r="D110" s="99">
        <v>0</v>
      </c>
      <c r="E110" s="99">
        <v>0</v>
      </c>
      <c r="F110" s="99">
        <v>0</v>
      </c>
      <c r="G110" s="99">
        <v>0</v>
      </c>
      <c r="H110" s="99">
        <v>0</v>
      </c>
      <c r="I110" s="99">
        <v>0</v>
      </c>
      <c r="J110" s="99">
        <v>0</v>
      </c>
      <c r="K110" s="99">
        <v>0</v>
      </c>
      <c r="L110" s="99">
        <v>0</v>
      </c>
      <c r="M110" s="99">
        <v>0</v>
      </c>
    </row>
    <row r="111" spans="1:13">
      <c r="A111" s="111" t="s">
        <v>2246</v>
      </c>
      <c r="B111" s="112"/>
      <c r="C111" s="112"/>
      <c r="D111" s="99"/>
      <c r="E111" s="99"/>
      <c r="F111" s="99"/>
      <c r="G111" s="99"/>
      <c r="H111" s="99"/>
      <c r="I111" s="99"/>
      <c r="J111" s="99"/>
      <c r="K111" s="99"/>
      <c r="L111" s="99"/>
      <c r="M111" s="99"/>
    </row>
    <row r="112" spans="1:13">
      <c r="A112" s="111" t="s">
        <v>2247</v>
      </c>
      <c r="B112" s="112">
        <v>0</v>
      </c>
      <c r="C112" s="112">
        <v>0</v>
      </c>
      <c r="D112" s="99">
        <v>0</v>
      </c>
      <c r="E112" s="99">
        <v>0</v>
      </c>
      <c r="F112" s="99">
        <v>0</v>
      </c>
      <c r="G112" s="99">
        <v>0</v>
      </c>
      <c r="H112" s="99">
        <v>0</v>
      </c>
      <c r="I112" s="99">
        <v>0</v>
      </c>
      <c r="J112" s="99">
        <v>0</v>
      </c>
      <c r="K112" s="99">
        <v>0</v>
      </c>
      <c r="L112" s="99">
        <v>0</v>
      </c>
      <c r="M112" s="99">
        <v>0</v>
      </c>
    </row>
    <row r="113" spans="1:13">
      <c r="A113" s="111" t="s">
        <v>2248</v>
      </c>
      <c r="B113" s="112">
        <v>0</v>
      </c>
      <c r="C113" s="112">
        <v>0</v>
      </c>
      <c r="D113" s="99">
        <v>0</v>
      </c>
      <c r="E113" s="99">
        <v>0</v>
      </c>
      <c r="F113" s="99">
        <v>0</v>
      </c>
      <c r="G113" s="99">
        <v>0</v>
      </c>
      <c r="H113" s="99">
        <v>0</v>
      </c>
      <c r="I113" s="99">
        <v>0</v>
      </c>
      <c r="J113" s="99">
        <v>0</v>
      </c>
      <c r="K113" s="99">
        <v>0</v>
      </c>
      <c r="L113" s="99">
        <v>0</v>
      </c>
      <c r="M113" s="99">
        <v>0</v>
      </c>
    </row>
    <row r="114" spans="1:13">
      <c r="A114" s="111" t="s">
        <v>2249</v>
      </c>
      <c r="B114" s="112">
        <v>69772</v>
      </c>
      <c r="C114" s="112">
        <v>69772</v>
      </c>
      <c r="D114" s="99">
        <v>0</v>
      </c>
      <c r="E114" s="99">
        <v>0</v>
      </c>
      <c r="F114" s="99">
        <v>0</v>
      </c>
      <c r="G114" s="99">
        <v>0</v>
      </c>
      <c r="H114" s="99">
        <v>0</v>
      </c>
      <c r="I114" s="99">
        <v>0</v>
      </c>
      <c r="J114" s="99">
        <v>0</v>
      </c>
      <c r="K114" s="99">
        <v>0</v>
      </c>
      <c r="L114" s="99">
        <v>0</v>
      </c>
      <c r="M114" s="99">
        <v>0</v>
      </c>
    </row>
    <row r="115" spans="1:13">
      <c r="A115" s="111" t="s">
        <v>2250</v>
      </c>
      <c r="B115" s="112">
        <v>0</v>
      </c>
      <c r="C115" s="112">
        <v>0</v>
      </c>
      <c r="D115" s="99">
        <v>0</v>
      </c>
      <c r="E115" s="99">
        <v>0</v>
      </c>
      <c r="F115" s="99">
        <v>0</v>
      </c>
      <c r="G115" s="99">
        <v>0</v>
      </c>
      <c r="H115" s="99">
        <v>0</v>
      </c>
      <c r="I115" s="99">
        <v>0</v>
      </c>
      <c r="J115" s="99">
        <v>0</v>
      </c>
      <c r="K115" s="99">
        <v>0</v>
      </c>
      <c r="L115" s="99">
        <v>0</v>
      </c>
      <c r="M115" s="99">
        <v>0</v>
      </c>
    </row>
    <row r="116" spans="1:13">
      <c r="A116" s="111" t="s">
        <v>2251</v>
      </c>
      <c r="B116" s="112">
        <v>0</v>
      </c>
      <c r="C116" s="112">
        <v>0</v>
      </c>
      <c r="D116" s="99">
        <v>0</v>
      </c>
      <c r="E116" s="99">
        <v>0</v>
      </c>
      <c r="F116" s="99">
        <v>0</v>
      </c>
      <c r="G116" s="99">
        <v>0</v>
      </c>
      <c r="H116" s="99">
        <v>0</v>
      </c>
      <c r="I116" s="99">
        <v>0</v>
      </c>
      <c r="J116" s="99">
        <v>0</v>
      </c>
      <c r="K116" s="99">
        <v>0</v>
      </c>
      <c r="L116" s="99">
        <v>0</v>
      </c>
      <c r="M116" s="99">
        <v>0</v>
      </c>
    </row>
    <row r="117" spans="1:13">
      <c r="A117" s="111" t="s">
        <v>2252</v>
      </c>
      <c r="B117" s="112">
        <v>0</v>
      </c>
      <c r="C117" s="112">
        <v>0</v>
      </c>
      <c r="D117" s="99">
        <v>0</v>
      </c>
      <c r="E117" s="99">
        <v>0</v>
      </c>
      <c r="F117" s="99">
        <v>0</v>
      </c>
      <c r="G117" s="99">
        <v>0</v>
      </c>
      <c r="H117" s="99">
        <v>0</v>
      </c>
      <c r="I117" s="99">
        <v>0</v>
      </c>
      <c r="J117" s="99">
        <v>0</v>
      </c>
      <c r="K117" s="99">
        <v>0</v>
      </c>
      <c r="L117" s="99">
        <v>0</v>
      </c>
      <c r="M117" s="99">
        <v>0</v>
      </c>
    </row>
    <row r="118" spans="1:13">
      <c r="A118" s="111" t="s">
        <v>2253</v>
      </c>
      <c r="B118" s="112">
        <v>0</v>
      </c>
      <c r="C118" s="112">
        <v>164487702</v>
      </c>
      <c r="D118" s="99">
        <v>20790000</v>
      </c>
      <c r="E118" s="99">
        <v>9006214</v>
      </c>
      <c r="F118" s="99">
        <v>2538134</v>
      </c>
      <c r="G118" s="99">
        <v>23763379</v>
      </c>
      <c r="H118" s="99">
        <v>-183631</v>
      </c>
      <c r="I118" s="99">
        <v>7495860</v>
      </c>
      <c r="J118" s="99">
        <v>1691258</v>
      </c>
      <c r="K118" s="99">
        <v>6292718</v>
      </c>
      <c r="L118" s="99">
        <v>3931993</v>
      </c>
      <c r="M118" s="99">
        <v>4020800</v>
      </c>
    </row>
    <row r="119" spans="1:13">
      <c r="A119" s="111" t="s">
        <v>2254</v>
      </c>
      <c r="B119" s="112">
        <v>0</v>
      </c>
      <c r="C119" s="112">
        <v>0</v>
      </c>
      <c r="D119" s="99">
        <v>0</v>
      </c>
      <c r="E119" s="99">
        <v>0</v>
      </c>
      <c r="F119" s="99">
        <v>0</v>
      </c>
      <c r="G119" s="99">
        <v>0</v>
      </c>
      <c r="H119" s="99">
        <v>0</v>
      </c>
      <c r="I119" s="99">
        <v>0</v>
      </c>
      <c r="J119" s="99">
        <v>0</v>
      </c>
      <c r="K119" s="99">
        <v>0</v>
      </c>
      <c r="L119" s="99">
        <v>0</v>
      </c>
      <c r="M119" s="99">
        <v>0</v>
      </c>
    </row>
    <row r="120" spans="1:13">
      <c r="A120" s="111" t="s">
        <v>2255</v>
      </c>
      <c r="B120" s="112">
        <v>0</v>
      </c>
      <c r="C120" s="112">
        <v>0</v>
      </c>
      <c r="D120" s="99">
        <v>0</v>
      </c>
      <c r="E120" s="99">
        <v>0</v>
      </c>
      <c r="F120" s="99">
        <v>0</v>
      </c>
      <c r="G120" s="99">
        <v>0</v>
      </c>
      <c r="H120" s="99">
        <v>0</v>
      </c>
      <c r="I120" s="99">
        <v>0</v>
      </c>
      <c r="J120" s="99">
        <v>0</v>
      </c>
      <c r="K120" s="99">
        <v>0</v>
      </c>
      <c r="L120" s="99">
        <v>0</v>
      </c>
      <c r="M120" s="99">
        <v>0</v>
      </c>
    </row>
    <row r="121" spans="1:13">
      <c r="A121" s="111" t="s">
        <v>2256</v>
      </c>
      <c r="B121" s="112">
        <v>0</v>
      </c>
      <c r="C121" s="112">
        <v>0</v>
      </c>
      <c r="D121" s="99">
        <v>0</v>
      </c>
      <c r="E121" s="99">
        <v>0</v>
      </c>
      <c r="F121" s="99">
        <v>0</v>
      </c>
      <c r="G121" s="99">
        <v>0</v>
      </c>
      <c r="H121" s="99">
        <v>0</v>
      </c>
      <c r="I121" s="99">
        <v>0</v>
      </c>
      <c r="J121" s="99">
        <v>0</v>
      </c>
      <c r="K121" s="99">
        <v>0</v>
      </c>
      <c r="L121" s="99">
        <v>0</v>
      </c>
      <c r="M121" s="99">
        <v>0</v>
      </c>
    </row>
    <row r="122" spans="1:13">
      <c r="A122" s="111" t="s">
        <v>2257</v>
      </c>
      <c r="B122" s="112">
        <v>0</v>
      </c>
      <c r="C122" s="112">
        <v>0</v>
      </c>
      <c r="D122" s="99">
        <v>0</v>
      </c>
      <c r="E122" s="99">
        <v>0</v>
      </c>
      <c r="F122" s="99">
        <v>0</v>
      </c>
      <c r="G122" s="99">
        <v>0</v>
      </c>
      <c r="H122" s="99">
        <v>0</v>
      </c>
      <c r="I122" s="99">
        <v>0</v>
      </c>
      <c r="J122" s="99">
        <v>0</v>
      </c>
      <c r="K122" s="99">
        <v>0</v>
      </c>
      <c r="L122" s="99">
        <v>0</v>
      </c>
      <c r="M122" s="99">
        <v>0</v>
      </c>
    </row>
    <row r="123" spans="1:13">
      <c r="A123" s="111" t="s">
        <v>2258</v>
      </c>
      <c r="B123" s="112">
        <v>-11614281</v>
      </c>
      <c r="C123" s="112">
        <v>-11614281</v>
      </c>
      <c r="D123" s="99">
        <v>-10003950</v>
      </c>
      <c r="E123" s="99">
        <v>0</v>
      </c>
      <c r="F123" s="99">
        <v>-642322</v>
      </c>
      <c r="G123" s="99">
        <v>0</v>
      </c>
      <c r="H123" s="99">
        <v>0</v>
      </c>
      <c r="I123" s="99">
        <v>-551436</v>
      </c>
      <c r="J123" s="99">
        <v>-416573</v>
      </c>
      <c r="K123" s="99">
        <v>0</v>
      </c>
      <c r="L123" s="99">
        <v>0</v>
      </c>
      <c r="M123" s="99">
        <v>0</v>
      </c>
    </row>
    <row r="124" spans="1:13">
      <c r="A124" s="111" t="s">
        <v>2259</v>
      </c>
      <c r="B124" s="112">
        <v>-11544509</v>
      </c>
      <c r="C124" s="112">
        <v>152943193</v>
      </c>
      <c r="D124" s="99">
        <v>10786050</v>
      </c>
      <c r="E124" s="99">
        <v>9006214</v>
      </c>
      <c r="F124" s="99">
        <v>1895812</v>
      </c>
      <c r="G124" s="99">
        <v>23763379</v>
      </c>
      <c r="H124" s="99">
        <v>-183631</v>
      </c>
      <c r="I124" s="99">
        <v>6944424</v>
      </c>
      <c r="J124" s="99">
        <v>1274685</v>
      </c>
      <c r="K124" s="99">
        <v>6292718</v>
      </c>
      <c r="L124" s="99">
        <v>3931993</v>
      </c>
      <c r="M124" s="99">
        <v>4020800</v>
      </c>
    </row>
    <row r="125" spans="1:13">
      <c r="A125" s="111" t="s">
        <v>2260</v>
      </c>
      <c r="B125" s="112">
        <v>780212741</v>
      </c>
      <c r="C125" s="112">
        <v>944700443</v>
      </c>
      <c r="D125" s="99">
        <v>467844140</v>
      </c>
      <c r="E125" s="99">
        <v>13574920</v>
      </c>
      <c r="F125" s="99">
        <v>9305700</v>
      </c>
      <c r="G125" s="99">
        <v>36532595</v>
      </c>
      <c r="H125" s="99">
        <v>9505085</v>
      </c>
      <c r="I125" s="99">
        <v>24640682</v>
      </c>
      <c r="J125" s="99">
        <v>22009566</v>
      </c>
      <c r="K125" s="99">
        <v>17394582</v>
      </c>
      <c r="L125" s="99">
        <v>13271397</v>
      </c>
      <c r="M125" s="99">
        <v>13103889</v>
      </c>
    </row>
    <row r="126" spans="1:13">
      <c r="A126" s="111" t="s">
        <v>2261</v>
      </c>
      <c r="B126" s="112"/>
      <c r="C126" s="112"/>
      <c r="D126" s="99"/>
      <c r="E126" s="99"/>
      <c r="F126" s="99"/>
      <c r="G126" s="99"/>
      <c r="H126" s="99"/>
      <c r="I126" s="99"/>
      <c r="J126" s="99"/>
      <c r="K126" s="99"/>
      <c r="L126" s="99"/>
      <c r="M126" s="99"/>
    </row>
    <row r="127" spans="1:13">
      <c r="A127" s="111" t="s">
        <v>2262</v>
      </c>
      <c r="B127" s="112">
        <v>2682422859</v>
      </c>
      <c r="C127" s="112">
        <v>2682422859</v>
      </c>
      <c r="D127" s="99">
        <v>905099958</v>
      </c>
      <c r="E127" s="99">
        <v>137747816</v>
      </c>
      <c r="F127" s="99">
        <v>67831518</v>
      </c>
      <c r="G127" s="99">
        <v>42745302</v>
      </c>
      <c r="H127" s="99">
        <v>38236835</v>
      </c>
      <c r="I127" s="99">
        <v>108017893</v>
      </c>
      <c r="J127" s="99">
        <v>95067176</v>
      </c>
      <c r="K127" s="99">
        <v>47661091</v>
      </c>
      <c r="L127" s="99">
        <v>31056567</v>
      </c>
      <c r="M127" s="99">
        <v>0</v>
      </c>
    </row>
    <row r="128" spans="1:13">
      <c r="A128" s="111" t="s">
        <v>2263</v>
      </c>
      <c r="B128" s="112">
        <v>138202673</v>
      </c>
      <c r="C128" s="112">
        <v>138202673</v>
      </c>
      <c r="D128" s="99">
        <v>35956082</v>
      </c>
      <c r="E128" s="99">
        <v>0</v>
      </c>
      <c r="F128" s="99">
        <v>2011572</v>
      </c>
      <c r="G128" s="99">
        <v>22501314</v>
      </c>
      <c r="H128" s="99">
        <v>434973</v>
      </c>
      <c r="I128" s="99">
        <v>775451</v>
      </c>
      <c r="J128" s="99">
        <v>815655</v>
      </c>
      <c r="K128" s="99">
        <v>17574354</v>
      </c>
      <c r="L128" s="99">
        <v>0</v>
      </c>
      <c r="M128" s="99">
        <v>0</v>
      </c>
    </row>
    <row r="129" spans="1:13">
      <c r="A129" s="111" t="s">
        <v>2264</v>
      </c>
      <c r="B129" s="112">
        <v>4112530</v>
      </c>
      <c r="C129" s="112">
        <v>4112530</v>
      </c>
      <c r="D129" s="99">
        <v>1795877</v>
      </c>
      <c r="E129" s="99">
        <v>0</v>
      </c>
      <c r="F129" s="99">
        <v>0</v>
      </c>
      <c r="G129" s="99">
        <v>542502</v>
      </c>
      <c r="H129" s="99">
        <v>0</v>
      </c>
      <c r="I129" s="99">
        <v>0</v>
      </c>
      <c r="J129" s="99">
        <v>0</v>
      </c>
      <c r="K129" s="99">
        <v>0</v>
      </c>
      <c r="L129" s="99">
        <v>0</v>
      </c>
      <c r="M129" s="99">
        <v>0</v>
      </c>
    </row>
    <row r="130" spans="1:13">
      <c r="A130" s="111" t="s">
        <v>2265</v>
      </c>
      <c r="B130" s="112">
        <v>6517181</v>
      </c>
      <c r="C130" s="112">
        <v>6517181</v>
      </c>
      <c r="D130" s="99">
        <v>4203883</v>
      </c>
      <c r="E130" s="99">
        <v>267597</v>
      </c>
      <c r="F130" s="99">
        <v>359040</v>
      </c>
      <c r="G130" s="99">
        <v>0</v>
      </c>
      <c r="H130" s="99">
        <v>486438</v>
      </c>
      <c r="I130" s="99">
        <v>0</v>
      </c>
      <c r="J130" s="99">
        <v>0</v>
      </c>
      <c r="K130" s="99">
        <v>376992</v>
      </c>
      <c r="L130" s="99">
        <v>0</v>
      </c>
      <c r="M130" s="99">
        <v>0</v>
      </c>
    </row>
    <row r="131" spans="1:13">
      <c r="A131" s="111" t="s">
        <v>2266</v>
      </c>
      <c r="B131" s="112">
        <v>106565</v>
      </c>
      <c r="C131" s="112">
        <v>106565</v>
      </c>
      <c r="D131" s="99">
        <v>106565</v>
      </c>
      <c r="E131" s="99">
        <v>0</v>
      </c>
      <c r="F131" s="99">
        <v>0</v>
      </c>
      <c r="G131" s="99">
        <v>0</v>
      </c>
      <c r="H131" s="99">
        <v>0</v>
      </c>
      <c r="I131" s="99">
        <v>0</v>
      </c>
      <c r="J131" s="99">
        <v>0</v>
      </c>
      <c r="K131" s="99">
        <v>0</v>
      </c>
      <c r="L131" s="99">
        <v>0</v>
      </c>
      <c r="M131" s="99">
        <v>0</v>
      </c>
    </row>
    <row r="132" spans="1:13">
      <c r="A132" s="111" t="s">
        <v>2267</v>
      </c>
      <c r="B132" s="112">
        <v>0</v>
      </c>
      <c r="C132" s="112">
        <v>0</v>
      </c>
      <c r="D132" s="99">
        <v>0</v>
      </c>
      <c r="E132" s="99">
        <v>0</v>
      </c>
      <c r="F132" s="99">
        <v>0</v>
      </c>
      <c r="G132" s="99">
        <v>0</v>
      </c>
      <c r="H132" s="99">
        <v>0</v>
      </c>
      <c r="I132" s="99">
        <v>0</v>
      </c>
      <c r="J132" s="99">
        <v>0</v>
      </c>
      <c r="K132" s="99">
        <v>0</v>
      </c>
      <c r="L132" s="99">
        <v>0</v>
      </c>
      <c r="M132" s="99">
        <v>0</v>
      </c>
    </row>
    <row r="133" spans="1:13">
      <c r="A133" s="111" t="s">
        <v>2268</v>
      </c>
      <c r="B133" s="112">
        <v>6319150249</v>
      </c>
      <c r="C133" s="112">
        <v>6319150249</v>
      </c>
      <c r="D133" s="99">
        <v>2193005368</v>
      </c>
      <c r="E133" s="99">
        <v>262709157</v>
      </c>
      <c r="F133" s="99">
        <v>286363375</v>
      </c>
      <c r="G133" s="99">
        <v>192559845</v>
      </c>
      <c r="H133" s="99">
        <v>168935000</v>
      </c>
      <c r="I133" s="99">
        <v>264084489</v>
      </c>
      <c r="J133" s="99">
        <v>316421235</v>
      </c>
      <c r="K133" s="99">
        <v>320196626</v>
      </c>
      <c r="L133" s="99">
        <v>252984606</v>
      </c>
      <c r="M133" s="99">
        <v>0</v>
      </c>
    </row>
    <row r="134" spans="1:13">
      <c r="A134" s="111" t="s">
        <v>2269</v>
      </c>
      <c r="B134" s="112">
        <v>4179000</v>
      </c>
      <c r="C134" s="112">
        <v>4179000</v>
      </c>
      <c r="D134" s="99">
        <v>0</v>
      </c>
      <c r="E134" s="99">
        <v>0</v>
      </c>
      <c r="F134" s="99">
        <v>0</v>
      </c>
      <c r="G134" s="99">
        <v>2079000</v>
      </c>
      <c r="H134" s="99">
        <v>0</v>
      </c>
      <c r="I134" s="99">
        <v>0</v>
      </c>
      <c r="J134" s="99">
        <v>0</v>
      </c>
      <c r="K134" s="99">
        <v>0</v>
      </c>
      <c r="L134" s="99">
        <v>0</v>
      </c>
      <c r="M134" s="99">
        <v>0</v>
      </c>
    </row>
    <row r="135" spans="1:13">
      <c r="A135" s="111" t="s">
        <v>2270</v>
      </c>
      <c r="B135" s="112">
        <v>9154691057</v>
      </c>
      <c r="C135" s="112">
        <v>9154691057</v>
      </c>
      <c r="D135" s="99">
        <v>3140167733</v>
      </c>
      <c r="E135" s="99">
        <v>400724570</v>
      </c>
      <c r="F135" s="99">
        <v>356565505</v>
      </c>
      <c r="G135" s="99">
        <v>260427963</v>
      </c>
      <c r="H135" s="99">
        <v>208093246</v>
      </c>
      <c r="I135" s="99">
        <v>372877833</v>
      </c>
      <c r="J135" s="99">
        <v>412304066</v>
      </c>
      <c r="K135" s="99">
        <v>385809063</v>
      </c>
      <c r="L135" s="99">
        <v>284041173</v>
      </c>
      <c r="M135" s="99">
        <v>0</v>
      </c>
    </row>
    <row r="136" spans="1:13">
      <c r="A136" s="111" t="s">
        <v>2271</v>
      </c>
      <c r="B136" s="112"/>
      <c r="C136" s="112"/>
      <c r="D136" s="99"/>
      <c r="E136" s="99"/>
      <c r="F136" s="99"/>
      <c r="G136" s="99"/>
      <c r="H136" s="99"/>
      <c r="I136" s="99"/>
      <c r="J136" s="99"/>
      <c r="K136" s="99"/>
      <c r="L136" s="99"/>
      <c r="M136" s="99"/>
    </row>
    <row r="137" spans="1:13">
      <c r="A137" s="111" t="s">
        <v>2272</v>
      </c>
      <c r="B137" s="112">
        <v>0</v>
      </c>
      <c r="C137" s="112">
        <v>0</v>
      </c>
      <c r="D137" s="99">
        <v>0</v>
      </c>
      <c r="E137" s="99">
        <v>0</v>
      </c>
      <c r="F137" s="99">
        <v>0</v>
      </c>
      <c r="G137" s="99">
        <v>0</v>
      </c>
      <c r="H137" s="99">
        <v>0</v>
      </c>
      <c r="I137" s="99">
        <v>0</v>
      </c>
      <c r="J137" s="99">
        <v>0</v>
      </c>
      <c r="K137" s="99">
        <v>0</v>
      </c>
      <c r="L137" s="99">
        <v>0</v>
      </c>
      <c r="M137" s="99">
        <v>0</v>
      </c>
    </row>
    <row r="138" spans="1:13">
      <c r="A138" s="111" t="s">
        <v>2273</v>
      </c>
      <c r="B138" s="112"/>
      <c r="C138" s="112"/>
      <c r="D138" s="99"/>
      <c r="E138" s="99"/>
      <c r="F138" s="99"/>
      <c r="G138" s="99"/>
      <c r="H138" s="99"/>
      <c r="I138" s="99"/>
      <c r="J138" s="99"/>
      <c r="K138" s="99"/>
      <c r="L138" s="99"/>
      <c r="M138" s="99"/>
    </row>
    <row r="139" spans="1:13">
      <c r="A139" s="111" t="s">
        <v>2274</v>
      </c>
      <c r="B139" s="112">
        <v>0</v>
      </c>
      <c r="C139" s="112">
        <v>0</v>
      </c>
      <c r="D139" s="99">
        <v>0</v>
      </c>
      <c r="E139" s="99">
        <v>0</v>
      </c>
      <c r="F139" s="99">
        <v>0</v>
      </c>
      <c r="G139" s="99">
        <v>0</v>
      </c>
      <c r="H139" s="99">
        <v>0</v>
      </c>
      <c r="I139" s="99">
        <v>0</v>
      </c>
      <c r="J139" s="99">
        <v>0</v>
      </c>
      <c r="K139" s="99">
        <v>0</v>
      </c>
      <c r="L139" s="99">
        <v>0</v>
      </c>
      <c r="M139" s="99">
        <v>0</v>
      </c>
    </row>
    <row r="140" spans="1:13">
      <c r="A140" s="111" t="s">
        <v>2352</v>
      </c>
      <c r="B140" s="112">
        <v>41910000</v>
      </c>
      <c r="C140" s="112">
        <v>41910000</v>
      </c>
      <c r="D140" s="99">
        <v>32710000</v>
      </c>
      <c r="E140" s="99">
        <v>50000</v>
      </c>
      <c r="F140" s="99">
        <v>350000</v>
      </c>
      <c r="G140" s="99">
        <v>150000</v>
      </c>
      <c r="H140" s="99">
        <v>350000</v>
      </c>
      <c r="I140" s="99">
        <v>50000</v>
      </c>
      <c r="J140" s="99">
        <v>400000</v>
      </c>
      <c r="K140" s="99">
        <v>1050000</v>
      </c>
      <c r="L140" s="99">
        <v>50000</v>
      </c>
      <c r="M140" s="99">
        <v>0</v>
      </c>
    </row>
    <row r="141" spans="1:13">
      <c r="A141" s="111" t="s">
        <v>2276</v>
      </c>
      <c r="B141" s="112">
        <v>600000</v>
      </c>
      <c r="C141" s="112">
        <v>600000</v>
      </c>
      <c r="D141" s="99">
        <v>600000</v>
      </c>
      <c r="E141" s="99">
        <v>0</v>
      </c>
      <c r="F141" s="99">
        <v>0</v>
      </c>
      <c r="G141" s="99">
        <v>0</v>
      </c>
      <c r="H141" s="99">
        <v>0</v>
      </c>
      <c r="I141" s="99">
        <v>0</v>
      </c>
      <c r="J141" s="99">
        <v>0</v>
      </c>
      <c r="K141" s="99">
        <v>0</v>
      </c>
      <c r="L141" s="99">
        <v>0</v>
      </c>
      <c r="M141" s="99">
        <v>0</v>
      </c>
    </row>
    <row r="142" spans="1:13">
      <c r="A142" s="111" t="s">
        <v>2277</v>
      </c>
      <c r="B142" s="112">
        <v>4640679</v>
      </c>
      <c r="C142" s="112">
        <v>4640679</v>
      </c>
      <c r="D142" s="99">
        <v>2715316</v>
      </c>
      <c r="E142" s="99">
        <v>0</v>
      </c>
      <c r="F142" s="99">
        <v>0</v>
      </c>
      <c r="G142" s="99">
        <v>262540</v>
      </c>
      <c r="H142" s="99">
        <v>299668</v>
      </c>
      <c r="I142" s="99">
        <v>0</v>
      </c>
      <c r="J142" s="99">
        <v>0</v>
      </c>
      <c r="K142" s="99">
        <v>0</v>
      </c>
      <c r="L142" s="99">
        <v>0</v>
      </c>
      <c r="M142" s="99">
        <v>0</v>
      </c>
    </row>
    <row r="143" spans="1:13">
      <c r="A143" s="111" t="s">
        <v>2278</v>
      </c>
      <c r="B143" s="112">
        <v>46062602</v>
      </c>
      <c r="C143" s="112">
        <v>46062602</v>
      </c>
      <c r="D143" s="99">
        <v>46062602</v>
      </c>
      <c r="E143" s="99">
        <v>0</v>
      </c>
      <c r="F143" s="99">
        <v>0</v>
      </c>
      <c r="G143" s="99">
        <v>0</v>
      </c>
      <c r="H143" s="99">
        <v>0</v>
      </c>
      <c r="I143" s="99">
        <v>0</v>
      </c>
      <c r="J143" s="99">
        <v>0</v>
      </c>
      <c r="K143" s="99">
        <v>0</v>
      </c>
      <c r="L143" s="99">
        <v>0</v>
      </c>
      <c r="M143" s="99">
        <v>0</v>
      </c>
    </row>
    <row r="144" spans="1:13">
      <c r="A144" s="111" t="s">
        <v>2279</v>
      </c>
      <c r="B144" s="112">
        <v>7486800</v>
      </c>
      <c r="C144" s="112">
        <v>7486800</v>
      </c>
      <c r="D144" s="99">
        <v>7486800</v>
      </c>
      <c r="E144" s="99">
        <v>0</v>
      </c>
      <c r="F144" s="99">
        <v>0</v>
      </c>
      <c r="G144" s="99">
        <v>0</v>
      </c>
      <c r="H144" s="99">
        <v>0</v>
      </c>
      <c r="I144" s="99">
        <v>0</v>
      </c>
      <c r="J144" s="99">
        <v>0</v>
      </c>
      <c r="K144" s="99">
        <v>0</v>
      </c>
      <c r="L144" s="99">
        <v>0</v>
      </c>
      <c r="M144" s="99">
        <v>0</v>
      </c>
    </row>
    <row r="145" spans="1:13">
      <c r="A145" s="111" t="s">
        <v>2280</v>
      </c>
      <c r="B145" s="112">
        <v>0</v>
      </c>
      <c r="C145" s="112">
        <v>90000000</v>
      </c>
      <c r="D145" s="99">
        <v>0</v>
      </c>
      <c r="E145" s="99">
        <v>0</v>
      </c>
      <c r="F145" s="99">
        <v>0</v>
      </c>
      <c r="G145" s="99">
        <v>0</v>
      </c>
      <c r="H145" s="99">
        <v>0</v>
      </c>
      <c r="I145" s="99">
        <v>0</v>
      </c>
      <c r="J145" s="99">
        <v>0</v>
      </c>
      <c r="K145" s="99">
        <v>0</v>
      </c>
      <c r="L145" s="99">
        <v>0</v>
      </c>
      <c r="M145" s="99">
        <v>90000000</v>
      </c>
    </row>
    <row r="146" spans="1:13">
      <c r="A146" s="111" t="s">
        <v>2281</v>
      </c>
      <c r="B146" s="112">
        <v>100700081</v>
      </c>
      <c r="C146" s="112">
        <v>190700081</v>
      </c>
      <c r="D146" s="99">
        <v>89574718</v>
      </c>
      <c r="E146" s="99">
        <v>50000</v>
      </c>
      <c r="F146" s="99">
        <v>350000</v>
      </c>
      <c r="G146" s="99">
        <v>412540</v>
      </c>
      <c r="H146" s="99">
        <v>649668</v>
      </c>
      <c r="I146" s="99">
        <v>50000</v>
      </c>
      <c r="J146" s="99">
        <v>400000</v>
      </c>
      <c r="K146" s="99">
        <v>1050000</v>
      </c>
      <c r="L146" s="99">
        <v>50000</v>
      </c>
      <c r="M146" s="99">
        <v>90000000</v>
      </c>
    </row>
    <row r="147" spans="1:13">
      <c r="A147" s="111" t="s">
        <v>2282</v>
      </c>
      <c r="B147" s="112">
        <v>9255391138</v>
      </c>
      <c r="C147" s="112">
        <v>9345391138</v>
      </c>
      <c r="D147" s="99">
        <v>3229742451</v>
      </c>
      <c r="E147" s="99">
        <v>400774570</v>
      </c>
      <c r="F147" s="99">
        <v>356915505</v>
      </c>
      <c r="G147" s="99">
        <v>260840503</v>
      </c>
      <c r="H147" s="99">
        <v>208742914</v>
      </c>
      <c r="I147" s="99">
        <v>372927833</v>
      </c>
      <c r="J147" s="99">
        <v>412704066</v>
      </c>
      <c r="K147" s="99">
        <v>386859063</v>
      </c>
      <c r="L147" s="99">
        <v>284091173</v>
      </c>
      <c r="M147" s="99">
        <v>90000000</v>
      </c>
    </row>
    <row r="148" spans="1:13">
      <c r="A148" s="111" t="s">
        <v>2283</v>
      </c>
      <c r="B148" s="112"/>
      <c r="C148" s="112"/>
      <c r="D148" s="99"/>
      <c r="E148" s="99"/>
      <c r="F148" s="99"/>
      <c r="G148" s="99"/>
      <c r="H148" s="99"/>
      <c r="I148" s="99"/>
      <c r="J148" s="99"/>
      <c r="K148" s="99"/>
      <c r="L148" s="99"/>
      <c r="M148" s="99"/>
    </row>
    <row r="149" spans="1:13">
      <c r="A149" s="111" t="s">
        <v>2284</v>
      </c>
      <c r="B149" s="112">
        <v>0</v>
      </c>
      <c r="C149" s="112">
        <v>0</v>
      </c>
      <c r="D149" s="99">
        <v>0</v>
      </c>
      <c r="E149" s="99">
        <v>0</v>
      </c>
      <c r="F149" s="99">
        <v>0</v>
      </c>
      <c r="G149" s="99">
        <v>0</v>
      </c>
      <c r="H149" s="99">
        <v>0</v>
      </c>
      <c r="I149" s="99">
        <v>0</v>
      </c>
      <c r="J149" s="99">
        <v>0</v>
      </c>
      <c r="K149" s="99">
        <v>0</v>
      </c>
      <c r="L149" s="99">
        <v>0</v>
      </c>
      <c r="M149" s="99">
        <v>0</v>
      </c>
    </row>
    <row r="150" spans="1:13">
      <c r="A150" s="111" t="s">
        <v>2285</v>
      </c>
      <c r="B150" s="112">
        <v>0</v>
      </c>
      <c r="C150" s="112">
        <v>0</v>
      </c>
      <c r="D150" s="99">
        <v>0</v>
      </c>
      <c r="E150" s="99">
        <v>0</v>
      </c>
      <c r="F150" s="99">
        <v>0</v>
      </c>
      <c r="G150" s="99">
        <v>0</v>
      </c>
      <c r="H150" s="99">
        <v>0</v>
      </c>
      <c r="I150" s="99">
        <v>0</v>
      </c>
      <c r="J150" s="99">
        <v>0</v>
      </c>
      <c r="K150" s="99">
        <v>0</v>
      </c>
      <c r="L150" s="99">
        <v>0</v>
      </c>
      <c r="M150" s="99">
        <v>0</v>
      </c>
    </row>
    <row r="151" spans="1:13">
      <c r="A151" s="111" t="s">
        <v>2286</v>
      </c>
      <c r="B151" s="112">
        <v>0</v>
      </c>
      <c r="C151" s="112">
        <v>0</v>
      </c>
      <c r="D151" s="99">
        <v>0</v>
      </c>
      <c r="E151" s="99">
        <v>0</v>
      </c>
      <c r="F151" s="99">
        <v>0</v>
      </c>
      <c r="G151" s="99">
        <v>0</v>
      </c>
      <c r="H151" s="99">
        <v>0</v>
      </c>
      <c r="I151" s="99">
        <v>0</v>
      </c>
      <c r="J151" s="99">
        <v>0</v>
      </c>
      <c r="K151" s="99">
        <v>0</v>
      </c>
      <c r="L151" s="99">
        <v>0</v>
      </c>
      <c r="M151" s="99">
        <v>0</v>
      </c>
    </row>
    <row r="152" spans="1:13">
      <c r="A152" s="111" t="s">
        <v>2287</v>
      </c>
      <c r="B152" s="112">
        <v>10035603879</v>
      </c>
      <c r="C152" s="112">
        <v>10290091581</v>
      </c>
      <c r="D152" s="99">
        <v>3697586591</v>
      </c>
      <c r="E152" s="99">
        <v>414349490</v>
      </c>
      <c r="F152" s="99">
        <v>366221205</v>
      </c>
      <c r="G152" s="99">
        <v>297373098</v>
      </c>
      <c r="H152" s="99">
        <v>218247999</v>
      </c>
      <c r="I152" s="99">
        <v>397568515</v>
      </c>
      <c r="J152" s="99">
        <v>434713632</v>
      </c>
      <c r="K152" s="99">
        <v>404253645</v>
      </c>
      <c r="L152" s="99">
        <v>297362570</v>
      </c>
      <c r="M152" s="99">
        <v>103103889</v>
      </c>
    </row>
    <row r="153" spans="1:13">
      <c r="A153" s="111" t="s">
        <v>2288</v>
      </c>
      <c r="B153" s="112"/>
      <c r="C153" s="112"/>
      <c r="D153" s="99"/>
      <c r="E153" s="99"/>
      <c r="F153" s="99"/>
      <c r="G153" s="99"/>
      <c r="H153" s="99"/>
      <c r="I153" s="99"/>
      <c r="J153" s="99"/>
      <c r="K153" s="99"/>
      <c r="L153" s="99"/>
      <c r="M153" s="99"/>
    </row>
    <row r="154" spans="1:13">
      <c r="A154" s="111" t="s">
        <v>2289</v>
      </c>
      <c r="B154" s="112">
        <v>0</v>
      </c>
      <c r="C154" s="112">
        <v>0</v>
      </c>
      <c r="D154" s="99">
        <v>0</v>
      </c>
      <c r="E154" s="99">
        <v>0</v>
      </c>
      <c r="F154" s="99">
        <v>0</v>
      </c>
      <c r="G154" s="99">
        <v>0</v>
      </c>
      <c r="H154" s="99">
        <v>0</v>
      </c>
      <c r="I154" s="99">
        <v>0</v>
      </c>
      <c r="J154" s="99">
        <v>0</v>
      </c>
      <c r="K154" s="99">
        <v>0</v>
      </c>
      <c r="L154" s="99">
        <v>0</v>
      </c>
      <c r="M154" s="99">
        <v>0</v>
      </c>
    </row>
    <row r="155" spans="1:13">
      <c r="A155" s="111" t="s">
        <v>2290</v>
      </c>
      <c r="B155" s="112"/>
      <c r="C155" s="112"/>
      <c r="D155" s="99"/>
      <c r="E155" s="99"/>
      <c r="F155" s="99"/>
      <c r="G155" s="99"/>
      <c r="H155" s="99"/>
      <c r="I155" s="99"/>
      <c r="J155" s="99"/>
      <c r="K155" s="99"/>
      <c r="L155" s="99"/>
      <c r="M155" s="99"/>
    </row>
    <row r="156" spans="1:13">
      <c r="A156" s="111" t="s">
        <v>2291</v>
      </c>
      <c r="B156" s="112">
        <v>157951858</v>
      </c>
      <c r="C156" s="112">
        <v>157951858</v>
      </c>
      <c r="D156" s="99">
        <v>78179293</v>
      </c>
      <c r="E156" s="99">
        <v>760000</v>
      </c>
      <c r="F156" s="99">
        <v>820000</v>
      </c>
      <c r="G156" s="99">
        <v>8194988</v>
      </c>
      <c r="H156" s="99">
        <v>852800</v>
      </c>
      <c r="I156" s="99">
        <v>760000</v>
      </c>
      <c r="J156" s="99">
        <v>751000</v>
      </c>
      <c r="K156" s="99">
        <v>5743441</v>
      </c>
      <c r="L156" s="99">
        <v>17959951</v>
      </c>
      <c r="M156" s="99">
        <v>28948254</v>
      </c>
    </row>
    <row r="157" spans="1:13">
      <c r="A157" s="111" t="s">
        <v>2292</v>
      </c>
      <c r="B157" s="112">
        <v>0</v>
      </c>
      <c r="C157" s="112">
        <v>0</v>
      </c>
      <c r="D157" s="99">
        <v>0</v>
      </c>
      <c r="E157" s="99">
        <v>0</v>
      </c>
      <c r="F157" s="99">
        <v>0</v>
      </c>
      <c r="G157" s="99">
        <v>0</v>
      </c>
      <c r="H157" s="99">
        <v>0</v>
      </c>
      <c r="I157" s="99">
        <v>0</v>
      </c>
      <c r="J157" s="99">
        <v>0</v>
      </c>
      <c r="K157" s="99">
        <v>0</v>
      </c>
      <c r="L157" s="99">
        <v>0</v>
      </c>
      <c r="M157" s="99">
        <v>0</v>
      </c>
    </row>
    <row r="158" spans="1:13">
      <c r="A158" s="111" t="s">
        <v>2293</v>
      </c>
      <c r="B158" s="112">
        <v>0</v>
      </c>
      <c r="C158" s="112">
        <v>0</v>
      </c>
      <c r="D158" s="99">
        <v>0</v>
      </c>
      <c r="E158" s="99">
        <v>0</v>
      </c>
      <c r="F158" s="99">
        <v>0</v>
      </c>
      <c r="G158" s="99">
        <v>0</v>
      </c>
      <c r="H158" s="99">
        <v>0</v>
      </c>
      <c r="I158" s="99">
        <v>0</v>
      </c>
      <c r="J158" s="99">
        <v>0</v>
      </c>
      <c r="K158" s="99">
        <v>0</v>
      </c>
      <c r="L158" s="99">
        <v>0</v>
      </c>
      <c r="M158" s="99">
        <v>0</v>
      </c>
    </row>
    <row r="159" spans="1:13">
      <c r="A159" s="111" t="s">
        <v>2294</v>
      </c>
      <c r="B159" s="112">
        <v>0</v>
      </c>
      <c r="C159" s="112">
        <v>164487702</v>
      </c>
      <c r="D159" s="99">
        <v>137460702</v>
      </c>
      <c r="E159" s="99">
        <v>1930500</v>
      </c>
      <c r="F159" s="99">
        <v>1930500</v>
      </c>
      <c r="G159" s="99">
        <v>1930500</v>
      </c>
      <c r="H159" s="99">
        <v>1930500</v>
      </c>
      <c r="I159" s="99">
        <v>1930500</v>
      </c>
      <c r="J159" s="99">
        <v>1930500</v>
      </c>
      <c r="K159" s="99">
        <v>1930500</v>
      </c>
      <c r="L159" s="99">
        <v>1930500</v>
      </c>
      <c r="M159" s="99">
        <v>0</v>
      </c>
    </row>
    <row r="160" spans="1:13">
      <c r="A160" s="111" t="s">
        <v>2295</v>
      </c>
      <c r="B160" s="112">
        <v>145968</v>
      </c>
      <c r="C160" s="112">
        <v>145968</v>
      </c>
      <c r="D160" s="99">
        <v>145968</v>
      </c>
      <c r="E160" s="99">
        <v>0</v>
      </c>
      <c r="F160" s="99">
        <v>0</v>
      </c>
      <c r="G160" s="99">
        <v>0</v>
      </c>
      <c r="H160" s="99">
        <v>0</v>
      </c>
      <c r="I160" s="99">
        <v>0</v>
      </c>
      <c r="J160" s="99">
        <v>0</v>
      </c>
      <c r="K160" s="99">
        <v>0</v>
      </c>
      <c r="L160" s="99">
        <v>0</v>
      </c>
      <c r="M160" s="99">
        <v>0</v>
      </c>
    </row>
    <row r="161" spans="1:13">
      <c r="A161" s="111" t="s">
        <v>2296</v>
      </c>
      <c r="B161" s="112">
        <v>2037107</v>
      </c>
      <c r="C161" s="112">
        <v>2037107</v>
      </c>
      <c r="D161" s="99">
        <v>2035732</v>
      </c>
      <c r="E161" s="99">
        <v>0</v>
      </c>
      <c r="F161" s="99">
        <v>0</v>
      </c>
      <c r="G161" s="99">
        <v>0</v>
      </c>
      <c r="H161" s="99">
        <v>0</v>
      </c>
      <c r="I161" s="99">
        <v>0</v>
      </c>
      <c r="J161" s="99">
        <v>0</v>
      </c>
      <c r="K161" s="99">
        <v>0</v>
      </c>
      <c r="L161" s="99">
        <v>0</v>
      </c>
      <c r="M161" s="99">
        <v>0</v>
      </c>
    </row>
    <row r="162" spans="1:13">
      <c r="A162" s="111" t="s">
        <v>2297</v>
      </c>
      <c r="B162" s="112">
        <v>0</v>
      </c>
      <c r="C162" s="112">
        <v>0</v>
      </c>
      <c r="D162" s="99">
        <v>0</v>
      </c>
      <c r="E162" s="99">
        <v>0</v>
      </c>
      <c r="F162" s="99">
        <v>0</v>
      </c>
      <c r="G162" s="99">
        <v>0</v>
      </c>
      <c r="H162" s="99">
        <v>0</v>
      </c>
      <c r="I162" s="99">
        <v>0</v>
      </c>
      <c r="J162" s="99">
        <v>0</v>
      </c>
      <c r="K162" s="99">
        <v>0</v>
      </c>
      <c r="L162" s="99">
        <v>0</v>
      </c>
      <c r="M162" s="99">
        <v>0</v>
      </c>
    </row>
    <row r="163" spans="1:13">
      <c r="A163" s="111" t="s">
        <v>2298</v>
      </c>
      <c r="B163" s="112">
        <v>-62071900</v>
      </c>
      <c r="C163" s="112">
        <v>-62071900</v>
      </c>
      <c r="D163" s="99">
        <v>-33811200</v>
      </c>
      <c r="E163" s="99">
        <v>-1141000</v>
      </c>
      <c r="F163" s="99">
        <v>-1074500</v>
      </c>
      <c r="G163" s="99">
        <v>-1122400</v>
      </c>
      <c r="H163" s="99">
        <v>-13140900</v>
      </c>
      <c r="I163" s="99">
        <v>-1465500</v>
      </c>
      <c r="J163" s="99">
        <v>-1161700</v>
      </c>
      <c r="K163" s="99">
        <v>-936000</v>
      </c>
      <c r="L163" s="99">
        <v>-839300</v>
      </c>
      <c r="M163" s="99">
        <v>-1137500</v>
      </c>
    </row>
    <row r="164" spans="1:13">
      <c r="A164" s="111" t="s">
        <v>2299</v>
      </c>
      <c r="B164" s="112">
        <v>24045300</v>
      </c>
      <c r="C164" s="112">
        <v>24045300</v>
      </c>
      <c r="D164" s="99">
        <v>21647600</v>
      </c>
      <c r="E164" s="99">
        <v>0</v>
      </c>
      <c r="F164" s="99">
        <v>547600</v>
      </c>
      <c r="G164" s="99">
        <v>0</v>
      </c>
      <c r="H164" s="99">
        <v>0</v>
      </c>
      <c r="I164" s="99">
        <v>608200</v>
      </c>
      <c r="J164" s="99">
        <v>1241900</v>
      </c>
      <c r="K164" s="99">
        <v>0</v>
      </c>
      <c r="L164" s="99">
        <v>0</v>
      </c>
      <c r="M164" s="99">
        <v>0</v>
      </c>
    </row>
    <row r="165" spans="1:13">
      <c r="A165" s="111" t="s">
        <v>2300</v>
      </c>
      <c r="B165" s="112">
        <v>131978</v>
      </c>
      <c r="C165" s="112">
        <v>131978</v>
      </c>
      <c r="D165" s="99">
        <v>131978</v>
      </c>
      <c r="E165" s="99">
        <v>0</v>
      </c>
      <c r="F165" s="99">
        <v>0</v>
      </c>
      <c r="G165" s="99">
        <v>0</v>
      </c>
      <c r="H165" s="99">
        <v>0</v>
      </c>
      <c r="I165" s="99">
        <v>0</v>
      </c>
      <c r="J165" s="99">
        <v>0</v>
      </c>
      <c r="K165" s="99">
        <v>0</v>
      </c>
      <c r="L165" s="99">
        <v>0</v>
      </c>
      <c r="M165" s="99">
        <v>0</v>
      </c>
    </row>
    <row r="166" spans="1:13">
      <c r="A166" s="111" t="s">
        <v>2301</v>
      </c>
      <c r="B166" s="112">
        <v>0</v>
      </c>
      <c r="C166" s="112">
        <v>0</v>
      </c>
      <c r="D166" s="99">
        <v>0</v>
      </c>
      <c r="E166" s="99">
        <v>0</v>
      </c>
      <c r="F166" s="99">
        <v>0</v>
      </c>
      <c r="G166" s="99">
        <v>0</v>
      </c>
      <c r="H166" s="99">
        <v>0</v>
      </c>
      <c r="I166" s="99">
        <v>0</v>
      </c>
      <c r="J166" s="99">
        <v>0</v>
      </c>
      <c r="K166" s="99">
        <v>0</v>
      </c>
      <c r="L166" s="99">
        <v>0</v>
      </c>
      <c r="M166" s="99">
        <v>0</v>
      </c>
    </row>
    <row r="167" spans="1:13">
      <c r="A167" s="111" t="s">
        <v>2302</v>
      </c>
      <c r="B167" s="112">
        <v>510209</v>
      </c>
      <c r="C167" s="112">
        <v>510209</v>
      </c>
      <c r="D167" s="99">
        <v>510107</v>
      </c>
      <c r="E167" s="99">
        <v>0</v>
      </c>
      <c r="F167" s="99">
        <v>0</v>
      </c>
      <c r="G167" s="99">
        <v>0</v>
      </c>
      <c r="H167" s="99">
        <v>0</v>
      </c>
      <c r="I167" s="99">
        <v>0</v>
      </c>
      <c r="J167" s="99">
        <v>0</v>
      </c>
      <c r="K167" s="99">
        <v>0</v>
      </c>
      <c r="L167" s="99">
        <v>0</v>
      </c>
      <c r="M167" s="99">
        <v>0</v>
      </c>
    </row>
    <row r="168" spans="1:13">
      <c r="A168" s="111" t="s">
        <v>2303</v>
      </c>
      <c r="B168" s="112">
        <v>29084703</v>
      </c>
      <c r="C168" s="112">
        <v>29084703</v>
      </c>
      <c r="D168" s="99">
        <v>29084703</v>
      </c>
      <c r="E168" s="99">
        <v>0</v>
      </c>
      <c r="F168" s="99">
        <v>0</v>
      </c>
      <c r="G168" s="99">
        <v>0</v>
      </c>
      <c r="H168" s="99">
        <v>0</v>
      </c>
      <c r="I168" s="99">
        <v>0</v>
      </c>
      <c r="J168" s="99">
        <v>0</v>
      </c>
      <c r="K168" s="99">
        <v>0</v>
      </c>
      <c r="L168" s="99">
        <v>0</v>
      </c>
      <c r="M168" s="99">
        <v>0</v>
      </c>
    </row>
    <row r="169" spans="1:13">
      <c r="A169" s="111" t="s">
        <v>2304</v>
      </c>
      <c r="B169" s="112">
        <v>0</v>
      </c>
      <c r="C169" s="112">
        <v>0</v>
      </c>
      <c r="D169" s="99">
        <v>0</v>
      </c>
      <c r="E169" s="99">
        <v>0</v>
      </c>
      <c r="F169" s="99">
        <v>0</v>
      </c>
      <c r="G169" s="99">
        <v>0</v>
      </c>
      <c r="H169" s="99">
        <v>0</v>
      </c>
      <c r="I169" s="99">
        <v>0</v>
      </c>
      <c r="J169" s="99">
        <v>0</v>
      </c>
      <c r="K169" s="99">
        <v>0</v>
      </c>
      <c r="L169" s="99">
        <v>0</v>
      </c>
      <c r="M169" s="99">
        <v>0</v>
      </c>
    </row>
    <row r="170" spans="1:13">
      <c r="A170" s="111" t="s">
        <v>2305</v>
      </c>
      <c r="B170" s="112">
        <v>0</v>
      </c>
      <c r="C170" s="112">
        <v>0</v>
      </c>
      <c r="D170" s="99">
        <v>0</v>
      </c>
      <c r="E170" s="99">
        <v>0</v>
      </c>
      <c r="F170" s="99">
        <v>0</v>
      </c>
      <c r="G170" s="99">
        <v>0</v>
      </c>
      <c r="H170" s="99">
        <v>0</v>
      </c>
      <c r="I170" s="99">
        <v>0</v>
      </c>
      <c r="J170" s="99">
        <v>0</v>
      </c>
      <c r="K170" s="99">
        <v>0</v>
      </c>
      <c r="L170" s="99">
        <v>0</v>
      </c>
      <c r="M170" s="99">
        <v>0</v>
      </c>
    </row>
    <row r="171" spans="1:13">
      <c r="A171" s="111" t="s">
        <v>2306</v>
      </c>
      <c r="B171" s="112">
        <v>74706885</v>
      </c>
      <c r="C171" s="112">
        <v>74706885</v>
      </c>
      <c r="D171" s="99">
        <v>13159652</v>
      </c>
      <c r="E171" s="99">
        <v>3075000</v>
      </c>
      <c r="F171" s="99">
        <v>3821800</v>
      </c>
      <c r="G171" s="99">
        <v>3212500</v>
      </c>
      <c r="H171" s="99">
        <v>2153300</v>
      </c>
      <c r="I171" s="99">
        <v>5297033</v>
      </c>
      <c r="J171" s="99">
        <v>16100000</v>
      </c>
      <c r="K171" s="99">
        <v>2800500</v>
      </c>
      <c r="L171" s="99">
        <v>4928900</v>
      </c>
      <c r="M171" s="99">
        <v>0</v>
      </c>
    </row>
    <row r="172" spans="1:13">
      <c r="A172" s="111" t="s">
        <v>2307</v>
      </c>
      <c r="B172" s="112">
        <v>-29065138</v>
      </c>
      <c r="C172" s="112">
        <v>-29065138</v>
      </c>
      <c r="D172" s="99">
        <v>-25068373</v>
      </c>
      <c r="E172" s="99">
        <v>0</v>
      </c>
      <c r="F172" s="99">
        <v>-913000</v>
      </c>
      <c r="G172" s="99">
        <v>0</v>
      </c>
      <c r="H172" s="99">
        <v>0</v>
      </c>
      <c r="I172" s="99">
        <v>-1013765</v>
      </c>
      <c r="J172" s="99">
        <v>-2070000</v>
      </c>
      <c r="K172" s="99">
        <v>0</v>
      </c>
      <c r="L172" s="99">
        <v>0</v>
      </c>
      <c r="M172" s="99">
        <v>0</v>
      </c>
    </row>
    <row r="173" spans="1:13">
      <c r="A173" s="111" t="s">
        <v>2308</v>
      </c>
      <c r="B173" s="112">
        <v>197476970</v>
      </c>
      <c r="C173" s="112">
        <v>361964672</v>
      </c>
      <c r="D173" s="99">
        <v>223476162</v>
      </c>
      <c r="E173" s="99">
        <v>4624500</v>
      </c>
      <c r="F173" s="99">
        <v>5132400</v>
      </c>
      <c r="G173" s="99">
        <v>12215588</v>
      </c>
      <c r="H173" s="99">
        <v>-8204300</v>
      </c>
      <c r="I173" s="99">
        <v>6116468</v>
      </c>
      <c r="J173" s="99">
        <v>16791700</v>
      </c>
      <c r="K173" s="99">
        <v>9538441</v>
      </c>
      <c r="L173" s="99">
        <v>23980051</v>
      </c>
      <c r="M173" s="99">
        <v>27810754</v>
      </c>
    </row>
    <row r="174" spans="1:13">
      <c r="A174" s="111" t="s">
        <v>2309</v>
      </c>
      <c r="B174" s="112">
        <v>197476970</v>
      </c>
      <c r="C174" s="112">
        <v>361964672</v>
      </c>
      <c r="D174" s="99">
        <v>223476162</v>
      </c>
      <c r="E174" s="99">
        <v>4624500</v>
      </c>
      <c r="F174" s="99">
        <v>5132400</v>
      </c>
      <c r="G174" s="99">
        <v>12215588</v>
      </c>
      <c r="H174" s="99">
        <v>-8204300</v>
      </c>
      <c r="I174" s="99">
        <v>6116468</v>
      </c>
      <c r="J174" s="99">
        <v>16791700</v>
      </c>
      <c r="K174" s="99">
        <v>9538441</v>
      </c>
      <c r="L174" s="99">
        <v>23980051</v>
      </c>
      <c r="M174" s="99">
        <v>27810754</v>
      </c>
    </row>
    <row r="175" spans="1:13">
      <c r="A175" s="111" t="s">
        <v>2310</v>
      </c>
      <c r="B175" s="112"/>
      <c r="C175" s="112"/>
      <c r="D175" s="99"/>
      <c r="E175" s="99"/>
      <c r="F175" s="99"/>
      <c r="G175" s="99"/>
      <c r="H175" s="99"/>
      <c r="I175" s="99"/>
      <c r="J175" s="99"/>
      <c r="K175" s="99"/>
      <c r="L175" s="99"/>
      <c r="M175" s="99"/>
    </row>
    <row r="176" spans="1:13">
      <c r="A176" s="111" t="s">
        <v>2311</v>
      </c>
      <c r="B176" s="112">
        <v>8063398235</v>
      </c>
      <c r="C176" s="112">
        <v>8063398235</v>
      </c>
      <c r="D176" s="99">
        <v>2754121577</v>
      </c>
      <c r="E176" s="99">
        <v>289146337</v>
      </c>
      <c r="F176" s="99">
        <v>313706389</v>
      </c>
      <c r="G176" s="99">
        <v>187106609</v>
      </c>
      <c r="H176" s="99">
        <v>166166517</v>
      </c>
      <c r="I176" s="99">
        <v>325693047</v>
      </c>
      <c r="J176" s="99">
        <v>366807279</v>
      </c>
      <c r="K176" s="99">
        <v>312439387</v>
      </c>
      <c r="L176" s="99">
        <v>227542871</v>
      </c>
      <c r="M176" s="99">
        <v>0</v>
      </c>
    </row>
    <row r="177" spans="1:13">
      <c r="A177" s="111" t="s">
        <v>2312</v>
      </c>
      <c r="B177" s="112">
        <v>364355133</v>
      </c>
      <c r="C177" s="112">
        <v>364355133</v>
      </c>
      <c r="D177" s="99">
        <v>218221684</v>
      </c>
      <c r="E177" s="99">
        <v>0</v>
      </c>
      <c r="F177" s="99">
        <v>0</v>
      </c>
      <c r="G177" s="99">
        <v>27500000</v>
      </c>
      <c r="H177" s="99">
        <v>10000000</v>
      </c>
      <c r="I177" s="99">
        <v>9688000</v>
      </c>
      <c r="J177" s="99">
        <v>10000000</v>
      </c>
      <c r="K177" s="99">
        <v>0</v>
      </c>
      <c r="L177" s="99">
        <v>0</v>
      </c>
      <c r="M177" s="99">
        <v>32502449</v>
      </c>
    </row>
    <row r="178" spans="1:13">
      <c r="A178" s="111" t="s">
        <v>2313</v>
      </c>
      <c r="B178" s="112">
        <v>187445651</v>
      </c>
      <c r="C178" s="112">
        <v>187445651</v>
      </c>
      <c r="D178" s="99">
        <v>127245743</v>
      </c>
      <c r="E178" s="99">
        <v>0</v>
      </c>
      <c r="F178" s="99">
        <v>0</v>
      </c>
      <c r="G178" s="99">
        <v>13503100</v>
      </c>
      <c r="H178" s="99">
        <v>0</v>
      </c>
      <c r="I178" s="99">
        <v>0</v>
      </c>
      <c r="J178" s="99">
        <v>0</v>
      </c>
      <c r="K178" s="99">
        <v>1272936</v>
      </c>
      <c r="L178" s="99">
        <v>0</v>
      </c>
      <c r="M178" s="99">
        <v>0</v>
      </c>
    </row>
    <row r="179" spans="1:13">
      <c r="A179" s="111" t="s">
        <v>2314</v>
      </c>
      <c r="B179" s="112">
        <v>0</v>
      </c>
      <c r="C179" s="112">
        <v>0</v>
      </c>
      <c r="D179" s="99">
        <v>0</v>
      </c>
      <c r="E179" s="99">
        <v>0</v>
      </c>
      <c r="F179" s="99">
        <v>0</v>
      </c>
      <c r="G179" s="99">
        <v>0</v>
      </c>
      <c r="H179" s="99">
        <v>0</v>
      </c>
      <c r="I179" s="99">
        <v>0</v>
      </c>
      <c r="J179" s="99">
        <v>0</v>
      </c>
      <c r="K179" s="99">
        <v>0</v>
      </c>
      <c r="L179" s="99">
        <v>0</v>
      </c>
      <c r="M179" s="99">
        <v>0</v>
      </c>
    </row>
    <row r="180" spans="1:13">
      <c r="A180" s="111" t="s">
        <v>2315</v>
      </c>
      <c r="B180" s="112">
        <v>0</v>
      </c>
      <c r="C180" s="112">
        <v>0</v>
      </c>
      <c r="D180" s="99">
        <v>0</v>
      </c>
      <c r="E180" s="99">
        <v>0</v>
      </c>
      <c r="F180" s="99">
        <v>0</v>
      </c>
      <c r="G180" s="99">
        <v>0</v>
      </c>
      <c r="H180" s="99">
        <v>0</v>
      </c>
      <c r="I180" s="99">
        <v>0</v>
      </c>
      <c r="J180" s="99">
        <v>0</v>
      </c>
      <c r="K180" s="99">
        <v>0</v>
      </c>
      <c r="L180" s="99">
        <v>0</v>
      </c>
      <c r="M180" s="99">
        <v>0</v>
      </c>
    </row>
    <row r="181" spans="1:13">
      <c r="A181" s="111" t="s">
        <v>2316</v>
      </c>
      <c r="B181" s="112">
        <v>0</v>
      </c>
      <c r="C181" s="112">
        <v>0</v>
      </c>
      <c r="D181" s="99">
        <v>0</v>
      </c>
      <c r="E181" s="99">
        <v>0</v>
      </c>
      <c r="F181" s="99">
        <v>0</v>
      </c>
      <c r="G181" s="99">
        <v>0</v>
      </c>
      <c r="H181" s="99">
        <v>0</v>
      </c>
      <c r="I181" s="99">
        <v>0</v>
      </c>
      <c r="J181" s="99">
        <v>0</v>
      </c>
      <c r="K181" s="99">
        <v>0</v>
      </c>
      <c r="L181" s="99">
        <v>0</v>
      </c>
      <c r="M181" s="99">
        <v>0</v>
      </c>
    </row>
    <row r="182" spans="1:13">
      <c r="A182" s="111" t="s">
        <v>2317</v>
      </c>
      <c r="B182" s="112">
        <v>8615199019</v>
      </c>
      <c r="C182" s="112">
        <v>8615199019</v>
      </c>
      <c r="D182" s="99">
        <v>3099589004</v>
      </c>
      <c r="E182" s="99">
        <v>289146337</v>
      </c>
      <c r="F182" s="99">
        <v>313706389</v>
      </c>
      <c r="G182" s="99">
        <v>228109709</v>
      </c>
      <c r="H182" s="99">
        <v>176166517</v>
      </c>
      <c r="I182" s="99">
        <v>335381047</v>
      </c>
      <c r="J182" s="99">
        <v>376807279</v>
      </c>
      <c r="K182" s="99">
        <v>313712323</v>
      </c>
      <c r="L182" s="99">
        <v>227542871</v>
      </c>
      <c r="M182" s="99">
        <v>32502449</v>
      </c>
    </row>
    <row r="183" spans="1:13">
      <c r="A183" s="111" t="s">
        <v>2318</v>
      </c>
      <c r="B183" s="112">
        <v>8812675989</v>
      </c>
      <c r="C183" s="112">
        <v>8977163691</v>
      </c>
      <c r="D183" s="99">
        <v>3323065166</v>
      </c>
      <c r="E183" s="99">
        <v>293770837</v>
      </c>
      <c r="F183" s="99">
        <v>318838789</v>
      </c>
      <c r="G183" s="99">
        <v>240325297</v>
      </c>
      <c r="H183" s="99">
        <v>167962217</v>
      </c>
      <c r="I183" s="99">
        <v>341497515</v>
      </c>
      <c r="J183" s="99">
        <v>393598979</v>
      </c>
      <c r="K183" s="99">
        <v>323250764</v>
      </c>
      <c r="L183" s="99">
        <v>251522922</v>
      </c>
      <c r="M183" s="99">
        <v>60313203</v>
      </c>
    </row>
    <row r="184" spans="1:13">
      <c r="A184" s="111" t="s">
        <v>2319</v>
      </c>
      <c r="B184" s="112"/>
      <c r="C184" s="112"/>
      <c r="D184" s="99"/>
      <c r="E184" s="99"/>
      <c r="F184" s="99"/>
      <c r="G184" s="99"/>
      <c r="H184" s="99"/>
      <c r="I184" s="99"/>
      <c r="J184" s="99"/>
      <c r="K184" s="99"/>
      <c r="L184" s="99"/>
      <c r="M184" s="99"/>
    </row>
    <row r="185" spans="1:13">
      <c r="A185" s="111" t="s">
        <v>2320</v>
      </c>
      <c r="B185" s="112">
        <v>10000000</v>
      </c>
      <c r="C185" s="112">
        <v>100000000</v>
      </c>
      <c r="D185" s="99">
        <v>10000000</v>
      </c>
      <c r="E185" s="99">
        <v>3000000</v>
      </c>
      <c r="F185" s="99">
        <v>5000000</v>
      </c>
      <c r="G185" s="99">
        <v>5000000</v>
      </c>
      <c r="H185" s="99">
        <v>10000000</v>
      </c>
      <c r="I185" s="99">
        <v>10000000</v>
      </c>
      <c r="J185" s="99">
        <v>1000000</v>
      </c>
      <c r="K185" s="99">
        <v>1000000</v>
      </c>
      <c r="L185" s="99">
        <v>1000000</v>
      </c>
      <c r="M185" s="99">
        <v>10000000</v>
      </c>
    </row>
    <row r="186" spans="1:13">
      <c r="A186" s="111" t="s">
        <v>2321</v>
      </c>
      <c r="B186" s="112">
        <v>10000000</v>
      </c>
      <c r="C186" s="112">
        <v>100000000</v>
      </c>
      <c r="D186" s="99">
        <v>10000000</v>
      </c>
      <c r="E186" s="99">
        <v>3000000</v>
      </c>
      <c r="F186" s="99">
        <v>5000000</v>
      </c>
      <c r="G186" s="99">
        <v>5000000</v>
      </c>
      <c r="H186" s="99">
        <v>10000000</v>
      </c>
      <c r="I186" s="99">
        <v>10000000</v>
      </c>
      <c r="J186" s="99">
        <v>1000000</v>
      </c>
      <c r="K186" s="99">
        <v>1000000</v>
      </c>
      <c r="L186" s="99">
        <v>1000000</v>
      </c>
      <c r="M186" s="99">
        <v>10000000</v>
      </c>
    </row>
    <row r="187" spans="1:13">
      <c r="A187" s="111" t="s">
        <v>2322</v>
      </c>
      <c r="B187" s="112"/>
      <c r="C187" s="112"/>
      <c r="D187" s="99"/>
      <c r="E187" s="99"/>
      <c r="F187" s="99"/>
      <c r="G187" s="99"/>
      <c r="H187" s="99"/>
      <c r="I187" s="99"/>
      <c r="J187" s="99"/>
      <c r="K187" s="99"/>
      <c r="L187" s="99"/>
      <c r="M187" s="99"/>
    </row>
    <row r="188" spans="1:13">
      <c r="A188" s="111" t="s">
        <v>2323</v>
      </c>
      <c r="B188" s="112">
        <v>0</v>
      </c>
      <c r="C188" s="112">
        <v>0</v>
      </c>
      <c r="D188" s="99">
        <v>0</v>
      </c>
      <c r="E188" s="99">
        <v>0</v>
      </c>
      <c r="F188" s="99">
        <v>0</v>
      </c>
      <c r="G188" s="99">
        <v>0</v>
      </c>
      <c r="H188" s="99">
        <v>0</v>
      </c>
      <c r="I188" s="99">
        <v>0</v>
      </c>
      <c r="J188" s="99">
        <v>0</v>
      </c>
      <c r="K188" s="99">
        <v>0</v>
      </c>
      <c r="L188" s="99">
        <v>0</v>
      </c>
      <c r="M188" s="99">
        <v>0</v>
      </c>
    </row>
    <row r="189" spans="1:13">
      <c r="A189" s="111" t="s">
        <v>2324</v>
      </c>
      <c r="B189" s="112"/>
      <c r="C189" s="112"/>
      <c r="D189" s="99"/>
      <c r="E189" s="99"/>
      <c r="F189" s="99"/>
      <c r="G189" s="99"/>
      <c r="H189" s="99"/>
      <c r="I189" s="99"/>
      <c r="J189" s="99"/>
      <c r="K189" s="99"/>
      <c r="L189" s="99"/>
      <c r="M189" s="99"/>
    </row>
    <row r="190" spans="1:13">
      <c r="A190" s="111" t="s">
        <v>2325</v>
      </c>
      <c r="B190" s="112">
        <v>0</v>
      </c>
      <c r="C190" s="112">
        <v>0</v>
      </c>
      <c r="D190" s="99">
        <v>0</v>
      </c>
      <c r="E190" s="99">
        <v>0</v>
      </c>
      <c r="F190" s="99">
        <v>0</v>
      </c>
      <c r="G190" s="99">
        <v>0</v>
      </c>
      <c r="H190" s="99">
        <v>0</v>
      </c>
      <c r="I190" s="99">
        <v>0</v>
      </c>
      <c r="J190" s="99">
        <v>0</v>
      </c>
      <c r="K190" s="99">
        <v>0</v>
      </c>
      <c r="L190" s="99">
        <v>0</v>
      </c>
      <c r="M190" s="99">
        <v>0</v>
      </c>
    </row>
    <row r="191" spans="1:13">
      <c r="A191" s="111" t="s">
        <v>2326</v>
      </c>
      <c r="B191" s="112">
        <v>26000000</v>
      </c>
      <c r="C191" s="112">
        <v>26000000</v>
      </c>
      <c r="D191" s="99">
        <v>0</v>
      </c>
      <c r="E191" s="99">
        <v>0</v>
      </c>
      <c r="F191" s="99">
        <v>0</v>
      </c>
      <c r="G191" s="99">
        <v>0</v>
      </c>
      <c r="H191" s="99">
        <v>0</v>
      </c>
      <c r="I191" s="99">
        <v>0</v>
      </c>
      <c r="J191" s="99">
        <v>0</v>
      </c>
      <c r="K191" s="99">
        <v>0</v>
      </c>
      <c r="L191" s="99">
        <v>0</v>
      </c>
      <c r="M191" s="99">
        <v>26000000</v>
      </c>
    </row>
    <row r="192" spans="1:13">
      <c r="A192" s="111" t="s">
        <v>2327</v>
      </c>
      <c r="B192" s="112">
        <v>26000000</v>
      </c>
      <c r="C192" s="112">
        <v>26000000</v>
      </c>
      <c r="D192" s="99">
        <v>0</v>
      </c>
      <c r="E192" s="99">
        <v>0</v>
      </c>
      <c r="F192" s="99">
        <v>0</v>
      </c>
      <c r="G192" s="99">
        <v>0</v>
      </c>
      <c r="H192" s="99">
        <v>0</v>
      </c>
      <c r="I192" s="99">
        <v>0</v>
      </c>
      <c r="J192" s="99">
        <v>0</v>
      </c>
      <c r="K192" s="99">
        <v>0</v>
      </c>
      <c r="L192" s="99">
        <v>0</v>
      </c>
      <c r="M192" s="99">
        <v>26000000</v>
      </c>
    </row>
    <row r="193" spans="1:13">
      <c r="A193" s="111" t="s">
        <v>2328</v>
      </c>
      <c r="B193" s="112">
        <v>26000000</v>
      </c>
      <c r="C193" s="112">
        <v>26000000</v>
      </c>
      <c r="D193" s="99">
        <v>0</v>
      </c>
      <c r="E193" s="99">
        <v>0</v>
      </c>
      <c r="F193" s="99">
        <v>0</v>
      </c>
      <c r="G193" s="99">
        <v>0</v>
      </c>
      <c r="H193" s="99">
        <v>0</v>
      </c>
      <c r="I193" s="99">
        <v>0</v>
      </c>
      <c r="J193" s="99">
        <v>0</v>
      </c>
      <c r="K193" s="99">
        <v>0</v>
      </c>
      <c r="L193" s="99">
        <v>0</v>
      </c>
      <c r="M193" s="99">
        <v>26000000</v>
      </c>
    </row>
    <row r="194" spans="1:13">
      <c r="A194" s="111" t="s">
        <v>2329</v>
      </c>
      <c r="B194" s="112"/>
      <c r="C194" s="112"/>
      <c r="D194" s="99"/>
      <c r="E194" s="99"/>
      <c r="F194" s="99"/>
      <c r="G194" s="99"/>
      <c r="H194" s="99"/>
      <c r="I194" s="99"/>
      <c r="J194" s="99"/>
      <c r="K194" s="99"/>
      <c r="L194" s="99"/>
      <c r="M194" s="99"/>
    </row>
    <row r="195" spans="1:13">
      <c r="A195" s="111" t="s">
        <v>2330</v>
      </c>
      <c r="B195" s="112">
        <v>0</v>
      </c>
      <c r="C195" s="112">
        <v>0</v>
      </c>
      <c r="D195" s="99">
        <v>0</v>
      </c>
      <c r="E195" s="99">
        <v>0</v>
      </c>
      <c r="F195" s="99">
        <v>0</v>
      </c>
      <c r="G195" s="99">
        <v>0</v>
      </c>
      <c r="H195" s="99">
        <v>0</v>
      </c>
      <c r="I195" s="99">
        <v>0</v>
      </c>
      <c r="J195" s="99">
        <v>0</v>
      </c>
      <c r="K195" s="99">
        <v>0</v>
      </c>
      <c r="L195" s="99">
        <v>0</v>
      </c>
      <c r="M195" s="99">
        <v>0</v>
      </c>
    </row>
    <row r="196" spans="1:13">
      <c r="A196" s="111" t="s">
        <v>2331</v>
      </c>
      <c r="B196" s="112">
        <v>0</v>
      </c>
      <c r="C196" s="112">
        <v>0</v>
      </c>
      <c r="D196" s="99">
        <v>0</v>
      </c>
      <c r="E196" s="99">
        <v>0</v>
      </c>
      <c r="F196" s="99">
        <v>0</v>
      </c>
      <c r="G196" s="99">
        <v>0</v>
      </c>
      <c r="H196" s="99">
        <v>0</v>
      </c>
      <c r="I196" s="99">
        <v>0</v>
      </c>
      <c r="J196" s="99">
        <v>0</v>
      </c>
      <c r="K196" s="99">
        <v>0</v>
      </c>
      <c r="L196" s="99">
        <v>0</v>
      </c>
      <c r="M196" s="99">
        <v>0</v>
      </c>
    </row>
    <row r="197" spans="1:13">
      <c r="A197" s="111" t="s">
        <v>2332</v>
      </c>
      <c r="B197" s="112">
        <v>940504698</v>
      </c>
      <c r="C197" s="112">
        <v>940504698</v>
      </c>
      <c r="D197" s="99">
        <v>292967973</v>
      </c>
      <c r="E197" s="99">
        <v>105795608</v>
      </c>
      <c r="F197" s="99">
        <v>35438708</v>
      </c>
      <c r="G197" s="99">
        <v>49291923</v>
      </c>
      <c r="H197" s="99">
        <v>32036398</v>
      </c>
      <c r="I197" s="99">
        <v>32060767</v>
      </c>
      <c r="J197" s="99">
        <v>30260150</v>
      </c>
      <c r="K197" s="99">
        <v>71345448</v>
      </c>
      <c r="L197" s="99">
        <v>37889786</v>
      </c>
      <c r="M197" s="99">
        <v>1070546</v>
      </c>
    </row>
    <row r="198" spans="1:13">
      <c r="A198" s="111" t="s">
        <v>2333</v>
      </c>
      <c r="B198" s="112">
        <v>246423192</v>
      </c>
      <c r="C198" s="112">
        <v>246423192</v>
      </c>
      <c r="D198" s="99">
        <v>71553452</v>
      </c>
      <c r="E198" s="99">
        <v>11783045</v>
      </c>
      <c r="F198" s="99">
        <v>6943708</v>
      </c>
      <c r="G198" s="99">
        <v>2755878</v>
      </c>
      <c r="H198" s="99">
        <v>8249384</v>
      </c>
      <c r="I198" s="99">
        <v>14010233</v>
      </c>
      <c r="J198" s="99">
        <v>9854503</v>
      </c>
      <c r="K198" s="99">
        <v>8657433</v>
      </c>
      <c r="L198" s="99">
        <v>6949862</v>
      </c>
      <c r="M198" s="99">
        <v>5720140</v>
      </c>
    </row>
    <row r="199" spans="1:13">
      <c r="A199" s="111" t="s">
        <v>2334</v>
      </c>
      <c r="B199" s="112">
        <v>1186927890</v>
      </c>
      <c r="C199" s="112">
        <v>1186927890</v>
      </c>
      <c r="D199" s="99">
        <v>364521425</v>
      </c>
      <c r="E199" s="99">
        <v>117578653</v>
      </c>
      <c r="F199" s="99">
        <v>42382416</v>
      </c>
      <c r="G199" s="99">
        <v>52047801</v>
      </c>
      <c r="H199" s="99">
        <v>40285782</v>
      </c>
      <c r="I199" s="99">
        <v>46071000</v>
      </c>
      <c r="J199" s="99">
        <v>40114653</v>
      </c>
      <c r="K199" s="99">
        <v>80002881</v>
      </c>
      <c r="L199" s="99">
        <v>44839648</v>
      </c>
      <c r="M199" s="99">
        <v>6790686</v>
      </c>
    </row>
    <row r="200" spans="1:13">
      <c r="A200" s="111" t="s">
        <v>2335</v>
      </c>
      <c r="B200" s="112">
        <v>1186927890</v>
      </c>
      <c r="C200" s="112">
        <v>1186927890</v>
      </c>
      <c r="D200" s="99">
        <v>364521425</v>
      </c>
      <c r="E200" s="99">
        <v>117578653</v>
      </c>
      <c r="F200" s="99">
        <v>42382416</v>
      </c>
      <c r="G200" s="99">
        <v>52047801</v>
      </c>
      <c r="H200" s="99">
        <v>40285782</v>
      </c>
      <c r="I200" s="99">
        <v>46071000</v>
      </c>
      <c r="J200" s="99">
        <v>40114653</v>
      </c>
      <c r="K200" s="99">
        <v>80002881</v>
      </c>
      <c r="L200" s="99">
        <v>44839648</v>
      </c>
      <c r="M200" s="99">
        <v>6790686</v>
      </c>
    </row>
    <row r="201" spans="1:13">
      <c r="A201" s="111" t="s">
        <v>2336</v>
      </c>
      <c r="B201" s="112">
        <v>1186927890</v>
      </c>
      <c r="C201" s="112">
        <v>1186927890</v>
      </c>
      <c r="D201" s="99">
        <v>364521425</v>
      </c>
      <c r="E201" s="99">
        <v>117578653</v>
      </c>
      <c r="F201" s="99">
        <v>42382416</v>
      </c>
      <c r="G201" s="99">
        <v>52047801</v>
      </c>
      <c r="H201" s="99">
        <v>40285782</v>
      </c>
      <c r="I201" s="99">
        <v>46071000</v>
      </c>
      <c r="J201" s="99">
        <v>40114653</v>
      </c>
      <c r="K201" s="99">
        <v>80002881</v>
      </c>
      <c r="L201" s="99">
        <v>44839648</v>
      </c>
      <c r="M201" s="99">
        <v>6790686</v>
      </c>
    </row>
    <row r="202" spans="1:13">
      <c r="A202" s="111" t="s">
        <v>2337</v>
      </c>
      <c r="B202" s="112"/>
      <c r="C202" s="112"/>
      <c r="D202" s="99"/>
      <c r="E202" s="99"/>
      <c r="F202" s="99"/>
      <c r="G202" s="99"/>
      <c r="H202" s="99"/>
      <c r="I202" s="99"/>
      <c r="J202" s="99"/>
      <c r="K202" s="99"/>
      <c r="L202" s="99"/>
      <c r="M202" s="99"/>
    </row>
    <row r="203" spans="1:13">
      <c r="A203" s="111" t="s">
        <v>2338</v>
      </c>
      <c r="B203" s="112">
        <v>0</v>
      </c>
      <c r="C203" s="112">
        <v>0</v>
      </c>
      <c r="D203" s="99">
        <v>0</v>
      </c>
      <c r="E203" s="99">
        <v>0</v>
      </c>
      <c r="F203" s="99">
        <v>0</v>
      </c>
      <c r="G203" s="99">
        <v>0</v>
      </c>
      <c r="H203" s="99">
        <v>0</v>
      </c>
      <c r="I203" s="99">
        <v>0</v>
      </c>
      <c r="J203" s="99">
        <v>0</v>
      </c>
      <c r="K203" s="99">
        <v>0</v>
      </c>
      <c r="L203" s="99">
        <v>0</v>
      </c>
      <c r="M203" s="99">
        <v>0</v>
      </c>
    </row>
    <row r="204" spans="1:13">
      <c r="A204" s="111" t="s">
        <v>2339</v>
      </c>
      <c r="B204" s="112"/>
      <c r="C204" s="112"/>
      <c r="D204" s="99"/>
      <c r="E204" s="99"/>
      <c r="F204" s="99"/>
      <c r="G204" s="99"/>
      <c r="H204" s="99"/>
      <c r="I204" s="99"/>
      <c r="J204" s="99"/>
      <c r="K204" s="99"/>
      <c r="L204" s="99"/>
      <c r="M204" s="99"/>
    </row>
    <row r="205" spans="1:13">
      <c r="A205" s="111" t="s">
        <v>2340</v>
      </c>
      <c r="B205" s="112">
        <v>0</v>
      </c>
      <c r="C205" s="112">
        <v>0</v>
      </c>
      <c r="D205" s="99">
        <v>0</v>
      </c>
      <c r="E205" s="99">
        <v>0</v>
      </c>
      <c r="F205" s="99">
        <v>0</v>
      </c>
      <c r="G205" s="99">
        <v>0</v>
      </c>
      <c r="H205" s="99">
        <v>0</v>
      </c>
      <c r="I205" s="99">
        <v>0</v>
      </c>
      <c r="J205" s="99">
        <v>0</v>
      </c>
      <c r="K205" s="99">
        <v>0</v>
      </c>
      <c r="L205" s="99">
        <v>0</v>
      </c>
      <c r="M205" s="99">
        <v>0</v>
      </c>
    </row>
    <row r="206" spans="1:13">
      <c r="A206" s="111" t="s">
        <v>2341</v>
      </c>
      <c r="B206" s="112">
        <v>1222927890</v>
      </c>
      <c r="C206" s="112">
        <v>1312927890</v>
      </c>
      <c r="D206" s="99">
        <v>374521425</v>
      </c>
      <c r="E206" s="99">
        <v>120578653</v>
      </c>
      <c r="F206" s="99">
        <v>47382416</v>
      </c>
      <c r="G206" s="99">
        <v>57047801</v>
      </c>
      <c r="H206" s="99">
        <v>50285782</v>
      </c>
      <c r="I206" s="99">
        <v>56071000</v>
      </c>
      <c r="J206" s="99">
        <v>41114653</v>
      </c>
      <c r="K206" s="99">
        <v>81002881</v>
      </c>
      <c r="L206" s="99">
        <v>45839648</v>
      </c>
      <c r="M206" s="99">
        <v>42790686</v>
      </c>
    </row>
    <row r="207" spans="1:13">
      <c r="A207" s="111" t="s">
        <v>2342</v>
      </c>
      <c r="B207" s="112"/>
      <c r="C207" s="112"/>
      <c r="D207" s="99"/>
      <c r="E207" s="99"/>
      <c r="F207" s="99"/>
      <c r="G207" s="99"/>
      <c r="H207" s="99"/>
      <c r="I207" s="99"/>
      <c r="J207" s="99"/>
      <c r="K207" s="99"/>
      <c r="L207" s="99"/>
      <c r="M207" s="99"/>
    </row>
    <row r="208" spans="1:13">
      <c r="A208" s="111" t="s">
        <v>2343</v>
      </c>
      <c r="B208" s="112">
        <v>0</v>
      </c>
      <c r="C208" s="112">
        <v>0</v>
      </c>
      <c r="D208" s="99">
        <v>0</v>
      </c>
      <c r="E208" s="99">
        <v>0</v>
      </c>
      <c r="F208" s="99">
        <v>0</v>
      </c>
      <c r="G208" s="99">
        <v>0</v>
      </c>
      <c r="H208" s="99">
        <v>0</v>
      </c>
      <c r="I208" s="99">
        <v>0</v>
      </c>
      <c r="J208" s="99">
        <v>0</v>
      </c>
      <c r="K208" s="99">
        <v>0</v>
      </c>
      <c r="L208" s="99">
        <v>0</v>
      </c>
      <c r="M208" s="99">
        <v>0</v>
      </c>
    </row>
    <row r="209" spans="1:13">
      <c r="A209" s="111" t="s">
        <v>2344</v>
      </c>
      <c r="B209" s="112"/>
      <c r="C209" s="112"/>
      <c r="D209" s="99"/>
      <c r="E209" s="99"/>
      <c r="F209" s="99"/>
      <c r="G209" s="99"/>
      <c r="H209" s="99"/>
      <c r="I209" s="99"/>
      <c r="J209" s="99"/>
      <c r="K209" s="99"/>
      <c r="L209" s="99"/>
      <c r="M209" s="99"/>
    </row>
    <row r="210" spans="1:13">
      <c r="A210" s="111" t="s">
        <v>2345</v>
      </c>
      <c r="B210" s="112">
        <v>0</v>
      </c>
      <c r="C210" s="112">
        <v>0</v>
      </c>
      <c r="D210" s="99">
        <v>0</v>
      </c>
      <c r="E210" s="99">
        <v>0</v>
      </c>
      <c r="F210" s="99">
        <v>0</v>
      </c>
      <c r="G210" s="99">
        <v>0</v>
      </c>
      <c r="H210" s="99">
        <v>0</v>
      </c>
      <c r="I210" s="99">
        <v>0</v>
      </c>
      <c r="J210" s="99">
        <v>0</v>
      </c>
      <c r="K210" s="99">
        <v>0</v>
      </c>
      <c r="L210" s="99">
        <v>0</v>
      </c>
      <c r="M210" s="99">
        <v>0</v>
      </c>
    </row>
    <row r="211" spans="1:13">
      <c r="A211" s="111" t="s">
        <v>2346</v>
      </c>
      <c r="B211" s="112">
        <v>1222927890</v>
      </c>
      <c r="C211" s="112">
        <v>1312927890</v>
      </c>
      <c r="D211" s="99">
        <v>374521425</v>
      </c>
      <c r="E211" s="99">
        <v>120578653</v>
      </c>
      <c r="F211" s="99">
        <v>47382416</v>
      </c>
      <c r="G211" s="99">
        <v>57047801</v>
      </c>
      <c r="H211" s="99">
        <v>50285782</v>
      </c>
      <c r="I211" s="99">
        <v>56071000</v>
      </c>
      <c r="J211" s="99">
        <v>41114653</v>
      </c>
      <c r="K211" s="99">
        <v>81002881</v>
      </c>
      <c r="L211" s="99">
        <v>45839648</v>
      </c>
      <c r="M211" s="99">
        <v>42790686</v>
      </c>
    </row>
    <row r="212" spans="1:13">
      <c r="A212" s="111" t="s">
        <v>2347</v>
      </c>
      <c r="B212" s="112">
        <v>10035603879</v>
      </c>
      <c r="C212" s="112">
        <v>10290091581</v>
      </c>
      <c r="D212" s="99">
        <v>3697586591</v>
      </c>
      <c r="E212" s="99">
        <v>414349490</v>
      </c>
      <c r="F212" s="99">
        <v>366221205</v>
      </c>
      <c r="G212" s="99">
        <v>297373098</v>
      </c>
      <c r="H212" s="99">
        <v>218247999</v>
      </c>
      <c r="I212" s="99">
        <v>397568515</v>
      </c>
      <c r="J212" s="99">
        <v>434713632</v>
      </c>
      <c r="K212" s="99">
        <v>404253645</v>
      </c>
      <c r="L212" s="99">
        <v>297362570</v>
      </c>
      <c r="M212" s="99">
        <v>103103889</v>
      </c>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
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<sst xmlns="http://schemas.openxmlformats.org/spreadsheetml/2006/main" count="11449" uniqueCount="2353">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</sst>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inlineStr">
        <is>
          <t>自宅ローズハイム東陽町</t>
        </is>
      </c>
      <c r="C26" s="23" t="s">
        <v>373</v>
      </c>
      <c r="D26" t="inlineStr">
        <is>
          <t>個人保有・自宅（非賃貸）</t>
        </is>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金融機関予備6</t>
        </is>
      </c>
      <c r="C170" s="23" t="s">
        <v>629</v>
      </c>
      <c r="D170" t="inlineStr">
        <is>
          <t>None</t>
        </is>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v>126</v>
      </c>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t="inlineStr">
        <is>
          <t>no</t>
        </is>
      </c>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v>305</v>
      </c>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t="inlineStr">
        <is>
          <t>東京メトロ東西線「東陽町」駅圏内</t>
        </is>
      </c>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t="inlineStr">
        <is>
          <t>東京都江東区東陽5-29-41 ローズハイム東陽町302</t>
        </is>
      </c>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t="inlineStr">
        <is>
          <t>区分</t>
        </is>
      </c>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t="inlineStr">
        <is>
          <t>所有権</t>
        </is>
      </c>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t="inlineStr">
        <is>
          <t>RC区分マンション</t>
        </is>
      </c>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v>45862</v>
      </c>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売却検討（先送り中）※PJ一覧より。想定売却価格1,300〜1,500万円</t>
        </is>
      </c>
      <c r="I16" s="197" t="inlineStr">
        <is>
          <t>自宅（居住用・非賃貸）／将来売却検討（先送り中）※PJ一覧より。想定売却価格4,300〜4,500万円</t>
        </is>
      </c>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v>45862</v>
      </c>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v>43000000</v>
      </c>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自主管理（要確認）／KHD_PJ一覧「保有:戸建1(北千住)」で売却時期を継続管理中</t>
        </is>
      </c>
      <c r="I19" s="200" t="inlineStr">
        <is>
          <t>自宅につき賃貸収支なし。KHD本店所在地でもある。借入835(日本住宅ローン4,300万・変動2.02%)に対応</t>
        </is>
      </c>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v>835</v>
      </c>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v>0.06</v>
      </c>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t="inlineStr">
        <is>
          <t>自主管理（区分所有・管理組合あり）</t>
        </is>
      </c>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v>0</v>
      </c>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0</v>
      </c>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0</v>
      </c>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0</v>
      </c>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0</v>
      </c>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v>0</v>
      </c>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v>126</v>
      </c>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v>835</v>
      </c>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v>46248</v>
      </c>
      <c r="V2" s="213"/>
      <c r="W2" s="213"/>
      <c r="X2" s="213"/>
      <c r="Y2" s="213">
        <v>29500000</v>
      </c>
      <c r="Z2" s="460">
        <f>IFERROR(Y2/N2,0)</f>
      </c>
      <c r="AA2" s="461"/>
      <c r="AB2" t="inlineStr">
        <is>
          <t>岩手県信用保証協会</t>
        </is>
      </c>
      <c r="AC2" t="inlineStr">
        <is>
          <t>決済前のため残債は当初融資額を仮置き(2026/8/14執行想定)。実行後は返済予定表の実額に置換</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v>46248</v>
      </c>
      <c r="V3" s="213"/>
      <c r="W3" s="213"/>
      <c r="X3" s="213"/>
      <c r="Y3" s="213">
        <v>13700000</v>
      </c>
      <c r="Z3" s="460">
        <f>IFERROR(Y3/N3,0)</f>
      </c>
      <c r="AA3" s="461"/>
      <c r="AB3" t="inlineStr">
        <is>
          <t>岩手県信用保証協会</t>
        </is>
      </c>
      <c r="AC3" t="inlineStr">
        <is>
          <t>決済前のため残債は当初融資額を仮置き(2026/8/14執行想定)。実行後は返済予定表の実額に置換</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515</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v>46254</v>
      </c>
      <c r="V4" s="213">
        <v>84000</v>
      </c>
      <c r="W4" s="213">
        <v>4544</v>
      </c>
      <c r="X4" s="213">
        <v>88544</v>
      </c>
      <c r="Y4" s="213">
        <v>2548000</v>
      </c>
      <c r="Z4" s="460">
        <f>IFERROR(Y4/N4,0)</f>
      </c>
      <c r="AA4" s="461"/>
      <c r="AB4" t="inlineStr">
        <is>
          <t>なし</t>
        </is>
      </c>
      <c r="AC4" t="inlineStr">
        <is>
          <t>東京ベイ信用金庫。返済予定表(TB)より2026/8/20時点残債2,548,000円・月額元金84,000+利息4,544=88,544円。原借入600万/2021-10-15</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126</v>
      </c>
      <c r="K5" s="459">
        <f>VLOOKUP(J5,id_settings,2,FALSE)</f>
      </c>
      <c r="L5" s="210">
        <v>126</v>
      </c>
      <c r="M5" s="459">
        <f>VLOOKUP(L5,id_settings,2,FALSE)</f>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v>123</v>
      </c>
      <c r="B5" s="23">
        <f>VLOOKUP(A5,id_settings,2,FALSE)</f>
      </c>
      <c r="C5" s="23">
        <v>412</v>
      </c>
      <c r="D5" s="23">
        <f>VLOOKUP(C5,id_settings,2,FALSE)</f>
      </c>
      <c r="E5" s="23" t="inlineStr">
        <is>
          <t>建物</t>
        </is>
      </c>
      <c r="F5" s="23" t="inlineStr">
        <is>
          <t>定額法</t>
        </is>
      </c>
      <c r="G5" s="23" t="inlineStr">
        <is>
          <t>アーバンキューブ</t>
        </is>
      </c>
      <c r="H5" s="23">
        <v>46248</v>
      </c>
      <c r="I5" s="23">
        <v>27</v>
      </c>
      <c r="J5" s="23"/>
      <c r="K5" s="23"/>
      <c r="L5" s="222">
        <v>0</v>
      </c>
      <c r="M5" s="222">
        <v>0</v>
      </c>
      <c r="N5" s="222">
        <v>0</v>
      </c>
      <c r="O5" s="222">
        <v>0</v>
      </c>
      <c r="P5" s="61"/>
      <c r="Q5" s="23" t="inlineStr">
        <is>
          <t>取得価額(建物/土地内訳)は契約書の建物価格確定後に入力。総額2,500万</t>
        </is>
      </c>
    </row>
    <row r="6" spans="1:17">
      <c r="A6" s="23">
        <v>123</v>
      </c>
      <c r="B6" s="23">
        <f>VLOOKUP(A6,id_settings,2,FALSE)</f>
      </c>
      <c r="C6" s="23">
        <v>412</v>
      </c>
      <c r="D6" s="23">
        <f>VLOOKUP(C6,id_settings,2,FALSE)</f>
      </c>
      <c r="E6" s="23" t="inlineStr">
        <is>
          <t>土地</t>
        </is>
      </c>
      <c r="F6" s="23" t="inlineStr">
        <is>
          <t>非償却</t>
        </is>
      </c>
      <c r="G6" s="23" t="inlineStr">
        <is>
          <t>アーバンキューブ</t>
        </is>
      </c>
      <c r="H6" s="23">
        <v>46248</v>
      </c>
      <c r="I6" s="23" t="inlineStr">
        <is>
          <t/>
        </is>
      </c>
      <c r="J6" s="23"/>
      <c r="K6" s="23"/>
      <c r="L6" s="222">
        <v>0</v>
      </c>
      <c r="M6" s="222">
        <v>0</v>
      </c>
      <c r="N6" s="222" t="inlineStr">
        <is>
          <t>None</t>
        </is>
      </c>
      <c r="O6" s="222">
        <v>0</v>
      </c>
      <c r="P6" s="61"/>
      <c r="Q6" t="inlineStr">
        <is>
          <t>同上</t>
        </is>
      </c>
    </row>
    <row r="7" spans="1:17">
      <c r="A7" s="23">
        <v>124</v>
      </c>
      <c r="B7" s="23">
        <f>VLOOKUP(A7,id_settings,2,FALSE)</f>
      </c>
      <c r="C7" s="23">
        <v>412</v>
      </c>
      <c r="D7" s="23">
        <f>VLOOKUP(C7,id_settings,2,FALSE)</f>
      </c>
      <c r="E7" s="23" t="inlineStr">
        <is>
          <t>建物</t>
        </is>
      </c>
      <c r="F7" s="23" t="inlineStr">
        <is>
          <t>定額法</t>
        </is>
      </c>
      <c r="G7" s="23" t="inlineStr">
        <is>
          <t>花みずき貸家3棟</t>
        </is>
      </c>
      <c r="H7" s="23">
        <v>46248</v>
      </c>
      <c r="I7" s="23">
        <v>27</v>
      </c>
      <c r="J7" s="23"/>
      <c r="K7" s="23"/>
      <c r="L7" s="222">
        <v>0</v>
      </c>
      <c r="M7" s="222">
        <v>0</v>
      </c>
      <c r="N7" s="222">
        <v>0</v>
      </c>
      <c r="O7" s="222">
        <v>0</v>
      </c>
      <c r="P7" s="61"/>
      <c r="Q7" s="23" t="inlineStr">
        <is>
          <t>取得価額(建物/土地内訳)は契約書の建物価格確定後に入力。総額1,200万</t>
        </is>
      </c>
    </row>
    <row r="8" spans="1:17">
      <c r="A8" s="23">
        <v>124</v>
      </c>
      <c r="B8" s="23">
        <f>VLOOKUP(A8,id_settings,2,FALSE)</f>
      </c>
      <c r="C8" s="23">
        <v>412</v>
      </c>
      <c r="D8" s="23">
        <f>VLOOKUP(C8,id_settings,2,FALSE)</f>
      </c>
      <c r="E8" s="23" t="inlineStr">
        <is>
          <t>土地</t>
        </is>
      </c>
      <c r="F8" s="23" t="inlineStr">
        <is>
          <t>非償却</t>
        </is>
      </c>
      <c r="G8" s="23" t="inlineStr">
        <is>
          <t>花みずき貸家3棟</t>
        </is>
      </c>
      <c r="H8" s="23">
        <v>46248</v>
      </c>
      <c r="I8" s="23" t="inlineStr">
        <is>
          <t/>
        </is>
      </c>
      <c r="J8" s="23"/>
      <c r="K8" s="23"/>
      <c r="L8" s="222">
        <v>0</v>
      </c>
      <c r="M8" s="222">
        <v>0</v>
      </c>
      <c r="N8" s="222" t="inlineStr">
        <is>
          <t>None</t>
        </is>
      </c>
      <c r="O8" s="222">
        <v>0</v>
      </c>
      <c r="P8" s="61"/>
      <c r="Q8" s="23" t="inlineStr">
        <is>
          <t>同上</t>
        </is>
      </c>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v>123</v>
      </c>
      <c r="B35" s="5">
        <f>VLOOKUP(A35,id_settings,2,FALSE)</f>
      </c>
      <c r="C35" s="61">
        <v>651</v>
      </c>
      <c r="D35" s="5">
        <f>VLOOKUP(C35,id_settings,2,FALSE)</f>
      </c>
      <c r="E35" s="577" t="inlineStr">
        <is>
          <t>n/a</t>
        </is>
      </c>
      <c r="F35" s="577">
        <v>71230</v>
      </c>
      <c r="G35" s="61" t="inlineStr">
        <is>
          <t>大森さん確定見積(2026年内契約予定)</t>
        </is>
      </c>
      <c r="H35" s="61"/>
      <c r="I35" s="61"/>
    </row>
    <row r="36" spans="1:12">
      <c r="A36" s="61">
        <v>123</v>
      </c>
      <c r="B36" s="5">
        <f>VLOOKUP(A36,id_settings,2,FALSE)</f>
      </c>
      <c r="C36" s="61">
        <v>655</v>
      </c>
      <c r="D36" s="5">
        <f>VLOOKUP(C36,id_settings,2,FALSE)</f>
      </c>
      <c r="E36" s="577">
        <v>16800</v>
      </c>
      <c r="F36" s="577">
        <v>201600</v>
      </c>
      <c r="G36" s="61" t="inlineStr">
        <is>
          <t>5%管理料概算(レントロール年403.2万×5%)。大学生協の実額請求と要突合</t>
        </is>
      </c>
      <c r="H36" s="61"/>
      <c r="I36" s="61"/>
    </row>
    <row r="37" spans="1:12">
      <c r="A37" s="61">
        <v>124</v>
      </c>
      <c r="B37" s="5">
        <f>VLOOKUP(A37,id_settings,2,FALSE)</f>
      </c>
      <c r="C37" s="61">
        <v>651</v>
      </c>
      <c r="D37" s="5">
        <f>VLOOKUP(C37,id_settings,2,FALSE)</f>
      </c>
      <c r="E37" s="577" t="inlineStr">
        <is>
          <t>n/a</t>
        </is>
      </c>
      <c r="F37" s="577">
        <v>28670</v>
      </c>
      <c r="G37" s="61" t="inlineStr">
        <is>
          <t>大森さん確定見積(2026年内契約予定)</t>
        </is>
      </c>
      <c r="H37" s="61"/>
      <c r="I37" s="61"/>
    </row>
    <row r="38" spans="1:12">
      <c r="A38" s="61">
        <v>124</v>
      </c>
      <c r="B38" s="5">
        <f>VLOOKUP(A38,id_settings,2,FALSE)</f>
      </c>
      <c r="C38" s="61">
        <v>655</v>
      </c>
      <c r="D38" s="5">
        <f>VLOOKUP(C38,id_settings,2,FALSE)</f>
      </c>
      <c r="E38" s="577">
        <v>5415</v>
      </c>
      <c r="F38" s="577">
        <v>64980</v>
      </c>
      <c r="G38" s="61" t="inlineStr">
        <is>
          <t>5%管理料概算(現況年129.96万×5%)。トラステンの実額請求と要突合</t>
        </is>
      </c>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v>13</v>
      </c>
      <c r="B15" s="23">
        <v>125</v>
      </c>
      <c r="C15">
        <f>VLOOKUP(B15,id_settings,2,FALSE)</f>
      </c>
      <c r="D15" s="23">
        <v>661</v>
      </c>
      <c r="E15" s="23">
        <f>VLOOKUP(D15,id_settings,2,FALSE)</f>
      </c>
      <c r="F15" s="23" t="inlineStr">
        <is>
          <t>東京都足立区千住元町23-70(地番)</t>
        </is>
      </c>
      <c r="H15" s="23" t="inlineStr">
        <is>
          <t>所有権</t>
        </is>
      </c>
      <c r="I15" s="77">
        <v>0</v>
      </c>
      <c r="J15" s="77">
        <v>0</v>
      </c>
      <c r="K15" s="23">
        <v>1</v>
      </c>
      <c r="L15" s="23">
        <v>1</v>
      </c>
      <c r="M15" s="23" t="inlineStr">
        <is>
          <t>-</t>
        </is>
      </c>
      <c r="N15" s="23" t="inlineStr">
        <is>
          <t>-</t>
        </is>
      </c>
      <c r="O15" s="64"/>
      <c r="P15" s="64"/>
      <c r="Q15" s="64"/>
      <c r="R15" s="64"/>
      <c r="S15" s="64"/>
      <c r="T15" s="64"/>
      <c r="U15" s="64"/>
      <c r="V15" s="64"/>
      <c r="W15" s="64"/>
      <c r="X15" s="64"/>
      <c r="Y15" s="64"/>
      <c r="Z15" s="64"/>
    </row>
    <row r="16" spans="1:26" ht="15" customHeight="1">
      <c r="A16" s="23">
        <v>14</v>
      </c>
      <c r="B16" s="23">
        <v>125</v>
      </c>
      <c r="C16">
        <f>VLOOKUP(B16,id_settings,2,FALSE)</f>
      </c>
      <c r="D16" s="23">
        <v>664</v>
      </c>
      <c r="E16" s="23">
        <f>VLOOKUP(D16,id_settings,2,FALSE)</f>
      </c>
      <c r="F16" s="23" t="inlineStr">
        <is>
          <t>同上</t>
        </is>
      </c>
      <c r="G16" t="inlineStr">
        <is>
          <t>要確認</t>
        </is>
      </c>
      <c r="H16" s="23" t="inlineStr">
        <is>
          <t>所有権</t>
        </is>
      </c>
      <c r="I16" s="77">
        <v>0</v>
      </c>
      <c r="J16" s="77">
        <v>0</v>
      </c>
      <c r="K16" s="23">
        <v>1</v>
      </c>
      <c r="L16" s="23">
        <v>1</v>
      </c>
      <c r="M16" s="23" t="inlineStr">
        <is>
          <t>-</t>
        </is>
      </c>
      <c r="N16" s="23" t="inlineStr">
        <is>
          <t>-</t>
        </is>
      </c>
      <c r="O16" s="64"/>
      <c r="P16" s="64"/>
      <c r="Q16" s="64"/>
      <c r="R16" s="64"/>
      <c r="S16" s="64"/>
      <c r="T16" s="64"/>
      <c r="U16" s="64"/>
      <c r="V16" s="64"/>
      <c r="W16" s="64"/>
      <c r="X16" s="64"/>
      <c r="Y16" s="64"/>
      <c r="Z16" s="64"/>
    </row>
    <row r="17" spans="1:26" ht="15" customHeight="1">
      <c r="A17" s="23">
        <v>15</v>
      </c>
      <c r="B17" s="23">
        <v>126</v>
      </c>
      <c r="C17">
        <f>VLOOKUP(B17,id_settings,2,FALSE)</f>
      </c>
      <c r="D17" s="23">
        <v>663</v>
      </c>
      <c r="E17" s="23">
        <f>VLOOKUP(D17,id_settings,2,FALSE)</f>
      </c>
      <c r="F17" s="23" t="inlineStr">
        <is>
          <t>東京都江東区東陽5-29-41(敷地権)</t>
        </is>
      </c>
      <c r="H17" s="23" t="inlineStr">
        <is>
          <t>所有権</t>
        </is>
      </c>
      <c r="I17" s="77">
        <v>0</v>
      </c>
      <c r="J17" s="77">
        <v>0</v>
      </c>
      <c r="K17" s="23">
        <v>1</v>
      </c>
      <c r="L17" s="23">
        <v>1</v>
      </c>
      <c r="M17" s="23" t="inlineStr">
        <is>
          <t>-</t>
        </is>
      </c>
      <c r="N17" s="23" t="inlineStr">
        <is>
          <t>-</t>
        </is>
      </c>
      <c r="O17" s="64"/>
      <c r="P17" s="64"/>
      <c r="Q17" s="64"/>
      <c r="R17" s="64"/>
      <c r="S17" s="64"/>
      <c r="T17" s="64"/>
      <c r="U17" s="64"/>
      <c r="V17" s="64"/>
      <c r="W17" s="64"/>
      <c r="X17" s="64"/>
      <c r="Y17" s="64"/>
      <c r="Z17" s="64"/>
    </row>
    <row r="18" spans="1:26" ht="15" customHeight="1">
      <c r="A18" s="23">
        <v>16</v>
      </c>
      <c r="B18" s="23">
        <v>126</v>
      </c>
      <c r="C18">
        <f>VLOOKUP(B18,id_settings,2,FALSE)</f>
      </c>
      <c r="D18" s="23">
        <v>664</v>
      </c>
      <c r="E18" s="23">
        <f>VLOOKUP(D18,id_settings,2,FALSE)</f>
      </c>
      <c r="F18" s="23" t="inlineStr">
        <is>
          <t>東京都江東区東陽5-29-41-302</t>
        </is>
      </c>
      <c r="G18" t="inlineStr">
        <is>
          <t>302号</t>
        </is>
      </c>
      <c r="H18" s="23" t="inlineStr">
        <is>
          <t>所有権</t>
        </is>
      </c>
      <c r="I18" s="77">
        <v>0</v>
      </c>
      <c r="J18" s="77">
        <v>0</v>
      </c>
      <c r="K18" s="23">
        <v>1</v>
      </c>
      <c r="L18" s="23">
        <v>1</v>
      </c>
      <c r="M18" s="23" t="inlineStr">
        <is>
          <t>-</t>
        </is>
      </c>
      <c r="N18" s="23" t="inlineStr">
        <is>
          <t>-</t>
        </is>
      </c>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v>50000</v>
      </c>
      <c r="C96" s="112">
        <v>50000</v>
      </c>
      <c r="D96" s="113">
        <v>50000</v>
      </c>
      <c r="E96" s="113"/>
      <c r="F96" s="113"/>
      <c r="G96" s="113"/>
      <c r="H96" s="113"/>
      <c r="I96" s="113"/>
      <c r="J96" s="113"/>
      <c r="K96" s="113"/>
      <c r="L96" s="113"/>
      <c r="M96" s="113"/>
    </row>
    <row r="97" spans="1:13">
      <c r="A97" s="111" t="s">
        <v>2233</v>
      </c>
      <c r="B97" s="112">
        <v>8402611</v>
      </c>
      <c r="C97" s="112">
        <v>8402611</v>
      </c>
      <c r="D97" s="113">
        <v>8402611</v>
      </c>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v>250000</v>
      </c>
      <c r="C99" s="112">
        <v>250000</v>
      </c>
      <c r="D99" s="113">
        <v>250000</v>
      </c>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v>8702611</v>
      </c>
      <c r="C101" s="112">
        <v>8702611</v>
      </c>
      <c r="D101" s="113">
        <v>8702611</v>
      </c>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v>5211227</v>
      </c>
      <c r="C115" s="112">
        <v>5211227</v>
      </c>
      <c r="D115" s="113">
        <v>5211227</v>
      </c>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v>46901</v>
      </c>
      <c r="C119" s="112">
        <v>46901</v>
      </c>
      <c r="D119" s="113">
        <v>46901</v>
      </c>
      <c r="E119" s="113"/>
      <c r="F119" s="113"/>
      <c r="G119" s="113"/>
      <c r="H119" s="113"/>
      <c r="I119" s="113"/>
      <c r="J119" s="113"/>
      <c r="K119" s="113"/>
      <c r="L119" s="113"/>
      <c r="M119" s="113"/>
    </row>
    <row r="120" spans="1:13">
      <c r="A120" s="111" t="s">
        <v>2256</v>
      </c>
      <c r="B120" s="112">
        <v>133002</v>
      </c>
      <c r="C120" s="112">
        <v>133002</v>
      </c>
      <c r="D120" s="113">
        <v>133002</v>
      </c>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v>5391130</v>
      </c>
      <c r="C123" s="112">
        <v>5391130</v>
      </c>
      <c r="D123" s="113">
        <v>5391130</v>
      </c>
      <c r="E123" s="113"/>
      <c r="F123" s="113"/>
      <c r="G123" s="113"/>
      <c r="H123" s="113"/>
      <c r="I123" s="113"/>
      <c r="J123" s="113"/>
      <c r="K123" s="113"/>
      <c r="L123" s="113"/>
      <c r="M123" s="113"/>
    </row>
    <row r="124" spans="1:13">
      <c r="A124" s="111" t="s">
        <v>2260</v>
      </c>
      <c r="B124" s="112">
        <v>14093741</v>
      </c>
      <c r="C124" s="112">
        <v>14093741</v>
      </c>
      <c r="D124" s="113">
        <v>14093741</v>
      </c>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v>45000</v>
      </c>
      <c r="C139" s="112">
        <v>45000</v>
      </c>
      <c r="D139" s="113">
        <v>45000</v>
      </c>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v>108821</v>
      </c>
      <c r="C141" s="112">
        <v>108821</v>
      </c>
      <c r="D141" s="113">
        <v>108821</v>
      </c>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v>153821</v>
      </c>
      <c r="C145" s="112">
        <v>153821</v>
      </c>
      <c r="D145" s="113">
        <v>153821</v>
      </c>
      <c r="E145" s="113"/>
      <c r="F145" s="113"/>
      <c r="G145" s="113"/>
      <c r="H145" s="113"/>
      <c r="I145" s="113"/>
      <c r="J145" s="113"/>
      <c r="K145" s="113"/>
      <c r="L145" s="113"/>
      <c r="M145" s="113"/>
    </row>
    <row r="146" spans="1:13">
      <c r="A146" s="111" t="s">
        <v>2282</v>
      </c>
      <c r="B146" s="112">
        <v>153821</v>
      </c>
      <c r="C146" s="112">
        <v>153821</v>
      </c>
      <c r="D146" s="113">
        <v>153821</v>
      </c>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v>14247562</v>
      </c>
      <c r="C151" s="112">
        <v>14247562</v>
      </c>
      <c r="D151" s="113">
        <v>14247562</v>
      </c>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v>1633553</v>
      </c>
      <c r="C156" s="112">
        <v>1633553</v>
      </c>
      <c r="D156" s="113">
        <v>1633553</v>
      </c>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v>226189</v>
      </c>
      <c r="C160" s="112">
        <v>226189</v>
      </c>
      <c r="D160" s="113">
        <v>226189</v>
      </c>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v>0</v>
      </c>
      <c r="C162" s="112">
        <v>0</v>
      </c>
      <c r="D162" s="113">
        <v>0</v>
      </c>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v>1859742</v>
      </c>
      <c r="C172" s="112">
        <v>1859742</v>
      </c>
      <c r="D172" s="113">
        <v>1859742</v>
      </c>
      <c r="E172" s="113"/>
      <c r="F172" s="113"/>
      <c r="G172" s="113"/>
      <c r="H172" s="113"/>
      <c r="I172" s="113"/>
      <c r="J172" s="113"/>
      <c r="K172" s="113"/>
      <c r="L172" s="113"/>
      <c r="M172" s="113"/>
    </row>
    <row r="173" spans="1:13">
      <c r="A173" s="111" t="s">
        <v>2309</v>
      </c>
      <c r="B173" s="112">
        <v>1859742</v>
      </c>
      <c r="C173" s="112">
        <v>1859742</v>
      </c>
      <c r="D173" s="113">
        <v>1859742</v>
      </c>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v>4366000</v>
      </c>
      <c r="C178" s="112">
        <v>4366000</v>
      </c>
      <c r="D178" s="113">
        <v>4366000</v>
      </c>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v>4366000</v>
      </c>
      <c r="C181" s="112">
        <v>4366000</v>
      </c>
      <c r="D181" s="113">
        <v>4366000</v>
      </c>
      <c r="E181" s="113"/>
      <c r="F181" s="113"/>
      <c r="G181" s="113"/>
      <c r="H181" s="113"/>
      <c r="I181" s="113"/>
      <c r="J181" s="113"/>
      <c r="K181" s="113"/>
      <c r="L181" s="113"/>
      <c r="M181" s="113"/>
    </row>
    <row r="182" spans="1:13">
      <c r="A182" s="111" t="s">
        <v>2318</v>
      </c>
      <c r="B182" s="112">
        <v>6225742</v>
      </c>
      <c r="C182" s="112">
        <v>6225742</v>
      </c>
      <c r="D182" s="113">
        <v>6225742</v>
      </c>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v>10000</v>
      </c>
      <c r="C184" s="112">
        <v>10000</v>
      </c>
      <c r="D184" s="113">
        <v>10000</v>
      </c>
      <c r="E184" s="113"/>
      <c r="F184" s="113"/>
      <c r="G184" s="113"/>
      <c r="H184" s="113"/>
      <c r="I184" s="113"/>
      <c r="J184" s="113"/>
      <c r="K184" s="113"/>
      <c r="L184" s="113"/>
      <c r="M184" s="113"/>
    </row>
    <row r="185" spans="1:13">
      <c r="A185" s="111" t="s">
        <v>2321</v>
      </c>
      <c r="B185" s="112">
        <v>10000</v>
      </c>
      <c r="C185" s="112">
        <v>10000</v>
      </c>
      <c r="D185" s="113">
        <v>10000</v>
      </c>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v>8330037</v>
      </c>
      <c r="C196" s="112">
        <v>8330037</v>
      </c>
      <c r="D196" s="113">
        <v>8330037</v>
      </c>
      <c r="E196" s="113"/>
      <c r="F196" s="113"/>
      <c r="G196" s="113"/>
      <c r="H196" s="113"/>
      <c r="I196" s="113"/>
      <c r="J196" s="113"/>
      <c r="K196" s="113"/>
      <c r="L196" s="113"/>
      <c r="M196" s="113"/>
    </row>
    <row r="197" spans="1:13">
      <c r="A197" s="111" t="s">
        <v>2333</v>
      </c>
      <c r="B197" s="112">
        <v>-318217</v>
      </c>
      <c r="C197" s="112">
        <v>-318217</v>
      </c>
      <c r="D197" s="113">
        <v>-318217</v>
      </c>
      <c r="E197" s="113"/>
      <c r="F197" s="113"/>
      <c r="G197" s="113"/>
      <c r="H197" s="113"/>
      <c r="I197" s="113"/>
      <c r="J197" s="113"/>
      <c r="K197" s="113"/>
      <c r="L197" s="113"/>
      <c r="M197" s="113"/>
    </row>
    <row r="198" spans="1:13">
      <c r="A198" s="111" t="s">
        <v>2334</v>
      </c>
      <c r="B198" s="112">
        <v>8011820</v>
      </c>
      <c r="C198" s="112">
        <v>8011820</v>
      </c>
      <c r="D198" s="113">
        <v>8011820</v>
      </c>
      <c r="E198" s="113"/>
      <c r="F198" s="113"/>
      <c r="G198" s="113"/>
      <c r="H198" s="113"/>
      <c r="I198" s="113"/>
      <c r="J198" s="113"/>
      <c r="K198" s="113"/>
      <c r="L198" s="113"/>
      <c r="M198" s="113"/>
    </row>
    <row r="199" spans="1:13">
      <c r="A199" s="111" t="s">
        <v>2335</v>
      </c>
      <c r="B199" s="112">
        <v>8011820</v>
      </c>
      <c r="C199" s="112">
        <v>8011820</v>
      </c>
      <c r="D199" s="113">
        <v>8011820</v>
      </c>
      <c r="E199" s="113"/>
      <c r="F199" s="113"/>
      <c r="G199" s="113"/>
      <c r="H199" s="113"/>
      <c r="I199" s="113"/>
      <c r="J199" s="113"/>
      <c r="K199" s="113"/>
      <c r="L199" s="113"/>
      <c r="M199" s="113"/>
    </row>
    <row r="200" spans="1:13">
      <c r="A200" s="111" t="s">
        <v>2336</v>
      </c>
      <c r="B200" s="112">
        <v>8011820</v>
      </c>
      <c r="C200" s="112">
        <v>8011820</v>
      </c>
      <c r="D200" s="113">
        <v>8011820</v>
      </c>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v>8021820</v>
      </c>
      <c r="C205" s="112">
        <v>8021820</v>
      </c>
      <c r="D205" s="113">
        <v>8021820</v>
      </c>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v>8021820</v>
      </c>
      <c r="C210" s="112">
        <v>8021820</v>
      </c>
      <c r="D210" s="113">
        <v>8021820</v>
      </c>
      <c r="E210" s="113"/>
      <c r="F210" s="113"/>
      <c r="G210" s="113"/>
      <c r="H210" s="113"/>
      <c r="I210" s="113"/>
      <c r="J210" s="113"/>
      <c r="K210" s="113"/>
      <c r="L210" s="113"/>
      <c r="M210" s="113"/>
    </row>
    <row r="211" spans="1:13">
      <c r="A211" s="111" t="s">
        <v>2347</v>
      </c>
      <c r="B211" s="112">
        <v>14247562</v>
      </c>
      <c r="C211" s="112">
        <v>14247562</v>
      </c>
      <c r="D211" s="113">
        <v>14247562</v>
      </c>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
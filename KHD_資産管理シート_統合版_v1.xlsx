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color rgb="00808080"/>
      <sz val="9"/>
    </font>
    <font>
      <name val="Yu Gothic"/>
      <b val="1"/>
      <sz val="10"/>
    </font>
    <font>
      <name val="Yu Gothic"/>
      <sz val="10"/>
    </font>
    <font>
      <name val="Yu Gothic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164" fontId="0" fillId="0" borderId="1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18" customWidth="1" min="5" max="5"/>
    <col width="16" customWidth="1" min="6" max="6"/>
  </cols>
  <sheetData>
    <row r="2">
      <c r="B2" s="1" t="inlineStr">
        <is>
          <t>KHD 資産管理シート（法人＋個人保有 一括）</t>
        </is>
      </c>
    </row>
    <row r="3">
      <c r="B3" s="2" t="inlineStr">
        <is>
          <t>※このシートはExcelの壊れやすいピボット連携を使わない、独立ワークブックです。黄色セル＝要確認（未確定値）</t>
        </is>
      </c>
    </row>
    <row r="5" ht="34" customHeight="1">
      <c r="B5" s="3" t="inlineStr">
        <is>
          <t>項目</t>
        </is>
      </c>
      <c r="C5" s="3" t="inlineStr">
        <is>
          <t>高松二丁目
(アーバンキューブ)</t>
        </is>
      </c>
      <c r="D5" s="3" t="inlineStr">
        <is>
          <t>高松二丁目
(花みずき貸家3棟)</t>
        </is>
      </c>
      <c r="E5" s="3" t="inlineStr">
        <is>
          <t>北千住戸建
(足立区千住元町・個人保有)</t>
        </is>
      </c>
      <c r="F5" s="3" t="inlineStr">
        <is>
          <t>ローズハイム東陽町
(自宅)</t>
        </is>
      </c>
    </row>
    <row r="6" ht="30" customHeight="1">
      <c r="B6" s="4" t="inlineStr">
        <is>
          <t>保有主体</t>
        </is>
      </c>
      <c r="C6" s="5" t="inlineStr">
        <is>
          <t>KIKUCHIホールディングス株式会社</t>
        </is>
      </c>
      <c r="D6" s="5" t="inlineStr">
        <is>
          <t>KIKUCHIホールディングス株式会社</t>
        </is>
      </c>
      <c r="E6" s="5" t="inlineStr">
        <is>
          <t>菊池研太（個人）</t>
        </is>
      </c>
      <c r="F6" s="5" t="inlineStr">
        <is>
          <t>菊池研太（個人・自宅）</t>
        </is>
      </c>
    </row>
    <row r="7" ht="30" customHeight="1">
      <c r="B7" s="4" t="inlineStr">
        <is>
          <t>所在地</t>
        </is>
      </c>
      <c r="C7" s="5" t="inlineStr">
        <is>
          <t>岩手県盛岡市高松二丁目</t>
        </is>
      </c>
      <c r="D7" s="5" t="inlineStr">
        <is>
          <t>岩手県盛岡市高松二丁目</t>
        </is>
      </c>
      <c r="E7" s="6" t="inlineStr">
        <is>
          <t>東京都足立区千住元町（番地は謄本23-70／購入時資料11-12の表記差異あり・要確認）</t>
        </is>
      </c>
      <c r="F7" s="6" t="inlineStr">
        <is>
          <t>東京都江東区東陽町（要確認・番地）</t>
        </is>
      </c>
    </row>
    <row r="8" ht="30" customHeight="1">
      <c r="B8" s="4" t="inlineStr">
        <is>
          <t>種別</t>
        </is>
      </c>
      <c r="C8" s="5" t="inlineStr">
        <is>
          <t>一棟（アパート）</t>
        </is>
      </c>
      <c r="D8" s="5" t="inlineStr">
        <is>
          <t>一棟（貸家3棟）</t>
        </is>
      </c>
      <c r="E8" s="5" t="inlineStr">
        <is>
          <t>戸建（1971年築）</t>
        </is>
      </c>
      <c r="F8" s="5" t="inlineStr">
        <is>
          <t>区分マンション（自宅）</t>
        </is>
      </c>
    </row>
    <row r="9" ht="30" customHeight="1">
      <c r="B9" s="4" t="inlineStr">
        <is>
          <t>交通</t>
        </is>
      </c>
      <c r="C9" s="6" t="inlineStr">
        <is>
          <t>要確認</t>
        </is>
      </c>
      <c r="D9" s="6" t="inlineStr">
        <is>
          <t>要確認</t>
        </is>
      </c>
      <c r="E9" s="6" t="inlineStr">
        <is>
          <t>要確認</t>
        </is>
      </c>
      <c r="F9" s="6" t="inlineStr">
        <is>
          <t>要確認</t>
        </is>
      </c>
    </row>
    <row r="10" ht="30" customHeight="1">
      <c r="B10" s="4" t="inlineStr">
        <is>
          <t>築年</t>
        </is>
      </c>
      <c r="C10" s="6" t="inlineStr">
        <is>
          <t>要確認</t>
        </is>
      </c>
      <c r="D10" s="6" t="inlineStr">
        <is>
          <t>要確認</t>
        </is>
      </c>
      <c r="E10" s="5" t="inlineStr">
        <is>
          <t>1971年（築約54年）</t>
        </is>
      </c>
      <c r="F10" s="6" t="inlineStr">
        <is>
          <t>要確認</t>
        </is>
      </c>
    </row>
    <row r="11" ht="30" customHeight="1">
      <c r="B11" s="4" t="inlineStr">
        <is>
          <t>取得年月</t>
        </is>
      </c>
      <c r="C11" s="6" t="n">
        <v>2026.5</v>
      </c>
      <c r="D11" s="6" t="n">
        <v>2026.5</v>
      </c>
      <c r="E11" s="5" t="inlineStr">
        <is>
          <t>2021年10月（売買契約2021-10-15）</t>
        </is>
      </c>
      <c r="F11" s="6" t="inlineStr">
        <is>
          <t>2025年7月</t>
        </is>
      </c>
    </row>
    <row r="12" ht="30" customHeight="1">
      <c r="B12" s="4" t="inlineStr">
        <is>
          <t>取得価格/評価額</t>
        </is>
      </c>
      <c r="C12" s="7" t="n">
        <v>37000000</v>
      </c>
      <c r="D12" s="7" t="n">
        <v>0</v>
      </c>
      <c r="E12" s="5" t="n">
        <v>8000000</v>
      </c>
      <c r="F12" s="7" t="n">
        <v>43000000</v>
      </c>
    </row>
    <row r="13" ht="30" customHeight="1">
      <c r="B13" s="4" t="inlineStr">
        <is>
          <t>備考(価格)</t>
        </is>
      </c>
      <c r="C13" s="5" t="inlineStr">
        <is>
          <t>花みずきと一括3,700万円。契約書確定後に按分修正</t>
        </is>
      </c>
      <c r="D13" s="5" t="inlineStr">
        <is>
          <t>アーバンキューブ側に一括計上中</t>
        </is>
      </c>
      <c r="E13" s="5" t="inlineStr">
        <is>
          <t>購入価格800万円（うち消費税39,624円）。想定売却価格1,100万円（シミュレーション上）</t>
        </is>
      </c>
      <c r="F13" s="5" t="inlineStr">
        <is>
          <t>購入時想定4,300万（買付証明ベース）</t>
        </is>
      </c>
    </row>
    <row r="14" ht="30" customHeight="1">
      <c r="B14" s="4" t="inlineStr">
        <is>
          <t>借入金融機関</t>
        </is>
      </c>
      <c r="C14" s="5" t="inlineStr">
        <is>
          <t>岩手銀行 花巻支店</t>
        </is>
      </c>
      <c r="D14" s="5" t="inlineStr">
        <is>
          <t>岩手銀行 花巻支店</t>
        </is>
      </c>
      <c r="E14" s="6" t="inlineStr">
        <is>
          <t>要確認</t>
        </is>
      </c>
      <c r="F14" s="5" t="inlineStr">
        <is>
          <t>日本住宅ローン株式会社</t>
        </is>
      </c>
    </row>
    <row r="15" ht="30" customHeight="1">
      <c r="B15" s="4" t="inlineStr">
        <is>
          <t>当初借入額</t>
        </is>
      </c>
      <c r="C15" s="7" t="n">
        <v>37000000</v>
      </c>
      <c r="D15" s="7" t="n">
        <v>0</v>
      </c>
      <c r="E15" s="5" t="n">
        <v>6000000</v>
      </c>
      <c r="F15" s="7" t="n">
        <v>43000000</v>
      </c>
    </row>
    <row r="16" ht="30" customHeight="1">
      <c r="B16" s="4" t="inlineStr">
        <is>
          <t>金利</t>
        </is>
      </c>
      <c r="C16" s="6" t="inlineStr">
        <is>
          <t>要確認（西原様確認中）</t>
        </is>
      </c>
      <c r="D16" s="6" t="inlineStr">
        <is>
          <t>要確認</t>
        </is>
      </c>
      <c r="E16" s="6" t="inlineStr">
        <is>
          <t>2.900%（固定/変動要確認）</t>
        </is>
      </c>
      <c r="F16" s="6" t="inlineStr">
        <is>
          <t>変動 年2.02%（基準利率0.920%）</t>
        </is>
      </c>
    </row>
    <row r="17" ht="30" customHeight="1">
      <c r="B17" s="4" t="inlineStr">
        <is>
          <t>融資期間</t>
        </is>
      </c>
      <c r="C17" s="6" t="inlineStr">
        <is>
          <t>要確認（西原様確認中）</t>
        </is>
      </c>
      <c r="D17" s="6" t="inlineStr">
        <is>
          <t>要確認</t>
        </is>
      </c>
      <c r="E17" s="6" t="inlineStr">
        <is>
          <t>要確認</t>
        </is>
      </c>
      <c r="F17" s="6" t="inlineStr">
        <is>
          <t>479回（毎月）／2065年7月完済予定</t>
        </is>
      </c>
    </row>
    <row r="18" ht="30" customHeight="1">
      <c r="B18" s="4" t="inlineStr">
        <is>
          <t>月次返済額</t>
        </is>
      </c>
      <c r="C18" s="6" t="inlineStr">
        <is>
          <t>要確認</t>
        </is>
      </c>
      <c r="D18" s="6" t="inlineStr">
        <is>
          <t>要確認</t>
        </is>
      </c>
      <c r="E18" s="6" t="inlineStr">
        <is>
          <t>要確認（2025年時点で別途700万円ベースの返済予定表あり・借換え等の可能性、要確認）</t>
        </is>
      </c>
      <c r="F18" s="6" t="inlineStr">
        <is>
          <t>130,668円（2025年9月〜）</t>
        </is>
      </c>
    </row>
    <row r="19" ht="30" customHeight="1">
      <c r="B19" s="4" t="inlineStr">
        <is>
          <t>管理会社</t>
        </is>
      </c>
      <c r="C19" s="5" t="inlineStr">
        <is>
          <t>大学生協</t>
        </is>
      </c>
      <c r="D19" s="5" t="inlineStr">
        <is>
          <t>不動産管理トラステン合同会社</t>
        </is>
      </c>
      <c r="E19" s="6" t="inlineStr">
        <is>
          <t>要確認</t>
        </is>
      </c>
      <c r="F19" s="5" t="inlineStr">
        <is>
          <t>自主管理（区分所有・管理組合あり）</t>
        </is>
      </c>
    </row>
    <row r="20" ht="30" customHeight="1">
      <c r="B20" s="4" t="inlineStr">
        <is>
          <t>用途</t>
        </is>
      </c>
      <c r="C20" s="5" t="inlineStr">
        <is>
          <t>賃貸（長期保有）</t>
        </is>
      </c>
      <c r="D20" s="5" t="inlineStr">
        <is>
          <t>賃貸（長期保有・将来解体検討）</t>
        </is>
      </c>
      <c r="E20" s="5" t="inlineStr">
        <is>
          <t>賃貸中（定期借家契約2024年1月締結）</t>
        </is>
      </c>
      <c r="F20" s="5" t="inlineStr">
        <is>
          <t>自宅（居住用）</t>
        </is>
      </c>
    </row>
    <row r="21" ht="30" customHeight="1">
      <c r="B21" s="4" t="inlineStr">
        <is>
          <t>ステータス</t>
        </is>
      </c>
      <c r="C21" s="5" t="inlineStr">
        <is>
          <t>契約7/31・決済8/14に向け準備中</t>
        </is>
      </c>
      <c r="D21" s="5" t="inlineStr">
        <is>
          <t>契約7/31・決済8/14に向け準備中</t>
        </is>
      </c>
      <c r="E21" s="5" t="inlineStr">
        <is>
          <t>賃貸中・保有継続（2025年6月時点で固定資産税納付・謄本取得の記録あり）</t>
        </is>
      </c>
      <c r="F21" s="5" t="inlineStr">
        <is>
          <t>保有中（居住中）</t>
        </is>
      </c>
    </row>
    <row r="23">
      <c r="B23" s="8" t="inlineStr">
        <is>
          <t>■ 銀行提出用サマリー（自動計算）</t>
        </is>
      </c>
    </row>
    <row r="24">
      <c r="B24" s="9" t="inlineStr">
        <is>
          <t>法人保有 資産合計（高松二丁目）</t>
        </is>
      </c>
      <c r="C24" s="10">
        <f>C7+D7</f>
        <v/>
      </c>
    </row>
    <row r="25">
      <c r="B25" s="9" t="inlineStr">
        <is>
          <t>法人保有 借入合計</t>
        </is>
      </c>
      <c r="C25" s="10">
        <f>C10+D10</f>
        <v/>
      </c>
    </row>
    <row r="26">
      <c r="B26" s="9" t="inlineStr">
        <is>
          <t>個人保有 資産合計（北千住＋自宅）</t>
        </is>
      </c>
      <c r="C26" s="10">
        <f>IF(ISNUMBER(E7),E7,0)+F7</f>
        <v/>
      </c>
    </row>
    <row r="27">
      <c r="B27" s="9" t="inlineStr">
        <is>
          <t>個人保有 借入合計</t>
        </is>
      </c>
      <c r="C27" s="10">
        <f>IF(ISNUMBER(E10),E10,0)+F10</f>
        <v/>
      </c>
    </row>
    <row r="28">
      <c r="B28" s="9" t="inlineStr">
        <is>
          <t>全体 資産合計（法人＋個人）</t>
        </is>
      </c>
      <c r="C28" s="10">
        <f>C24+C26</f>
        <v/>
      </c>
    </row>
    <row r="29">
      <c r="B29" s="9" t="inlineStr">
        <is>
          <t>全体 借入合計（法人＋個人）</t>
        </is>
      </c>
      <c r="C29" s="10">
        <f>C25+C27</f>
        <v/>
      </c>
    </row>
    <row r="31">
      <c r="B31" s="11" t="inlineStr">
        <is>
          <t>銀行提出前に埋めるべき黄色セル（要確認）一覧は各列参照。特に北千住の現況保有可否・価格・借入と、ローズハイム／高松の金利確定が優先度高。</t>
        </is>
      </c>
    </row>
  </sheetData>
  <mergeCells count="1">
    <mergeCell ref="B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2026-07-28T11:49:41Z</dcterms:created>
  <dcterms:modified xsi:type="dcterms:W3CDTF">2026-07-29T05:00:49Z</dcterms:modified>
</cp:coreProperties>
</file>
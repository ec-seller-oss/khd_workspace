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" sheetId="1" state="visible" r:id="rId1"/>
    <sheet name="月次予実" sheetId="2" state="visible" r:id="rId2"/>
    <sheet name="トリガー管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color rgb="000000FF"/>
      <sz val="10"/>
    </font>
    <font>
      <name val="Yu Gothic"/>
      <color rgb="00808080"/>
      <sz val="9"/>
    </font>
    <font>
      <name val="Yu Gothic"/>
      <b val="1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4" fontId="3" fillId="2" borderId="1" pivotButton="0" quotePrefix="0" xfId="0"/>
    <xf numFmtId="10" fontId="3" fillId="2" borderId="1" pivotButton="0" quotePrefix="0" xfId="0"/>
    <xf numFmtId="10" fontId="3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164" fontId="2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52" customWidth="1" min="4" max="4"/>
  </cols>
  <sheetData>
    <row r="1">
      <c r="B1" s="1" t="inlineStr">
        <is>
          <t>高松二丁目 予実管理｜前提条件（青字＝入力、黄色＝確定待ち）</t>
        </is>
      </c>
    </row>
    <row r="3">
      <c r="B3" s="2" t="inlineStr">
        <is>
          <t>売買代金</t>
        </is>
      </c>
      <c r="C3" s="3" t="n">
        <v>37000000</v>
      </c>
      <c r="D3" s="4" t="inlineStr">
        <is>
          <t>契約ベース</t>
        </is>
      </c>
    </row>
    <row r="4">
      <c r="B4" s="2" t="inlineStr">
        <is>
          <t>手付金</t>
        </is>
      </c>
      <c r="C4" s="3" t="n">
        <v>2000000</v>
      </c>
      <c r="D4" s="4" t="inlineStr">
        <is>
          <t>各100万×売主2系統(合意済み)。決済時に代金充当</t>
        </is>
      </c>
    </row>
    <row r="5">
      <c r="B5" s="2" t="inlineStr">
        <is>
          <t>諸費用合計</t>
        </is>
      </c>
      <c r="C5" s="3" t="n">
        <v>2487000</v>
      </c>
      <c r="D5" s="4" t="inlineStr">
        <is>
          <t>諸費用明細の確定値(司法書士99.5万・火災保険19万見込み込み)</t>
        </is>
      </c>
    </row>
    <row r="6">
      <c r="B6" s="2" t="inlineStr">
        <is>
          <t>借入額</t>
        </is>
      </c>
      <c r="C6" s="3" t="n">
        <v>37000000</v>
      </c>
      <c r="D6" s="4" t="inlineStr">
        <is>
          <t>岩手銀行（根抵当極度額6,000万円）</t>
        </is>
      </c>
    </row>
    <row r="7">
      <c r="B7" s="2" t="inlineStr">
        <is>
          <t>金利（年率）</t>
        </is>
      </c>
      <c r="C7" s="6" t="n">
        <v>0.015</v>
      </c>
      <c r="D7" s="4" t="inlineStr">
        <is>
          <t>仮置き1.5%。西原様確認中</t>
        </is>
      </c>
    </row>
    <row r="8">
      <c r="B8" s="2" t="inlineStr">
        <is>
          <t>融資期間（年）</t>
        </is>
      </c>
      <c r="C8" s="5" t="n">
        <v>25</v>
      </c>
      <c r="D8" s="4" t="inlineStr">
        <is>
          <t>仮置き。西原様確認中</t>
        </is>
      </c>
    </row>
    <row r="9">
      <c r="B9" s="2" t="inlineStr">
        <is>
          <t>満室想定賃料/月（アーバンキューブ）</t>
        </is>
      </c>
      <c r="C9" s="3" t="n">
        <v>336000</v>
      </c>
      <c r="D9" s="4" t="inlineStr">
        <is>
          <t>レントロール実数: 8戸×42,000円(賃料4万+共益2千)満室</t>
        </is>
      </c>
    </row>
    <row r="10">
      <c r="B10" s="2" t="inlineStr">
        <is>
          <t>現況賃料/月（花みずき3棟・2/3入居）</t>
        </is>
      </c>
      <c r="C10" s="3" t="n">
        <v>108300</v>
      </c>
      <c r="D10" s="4" t="inlineStr">
        <is>
          <t>レントロール実数: 1号63,300+2号45,000。3号空室(再募集45,000)</t>
        </is>
      </c>
    </row>
    <row r="11">
      <c r="B11" s="2" t="inlineStr">
        <is>
          <t>想定入居率</t>
        </is>
      </c>
      <c r="C11" s="7" t="n">
        <v>0.95</v>
      </c>
      <c r="D11" s="4" t="inlineStr">
        <is>
          <t>想定</t>
        </is>
      </c>
    </row>
    <row r="12">
      <c r="B12" s="2" t="inlineStr">
        <is>
          <t>PM管理料率（税込）</t>
        </is>
      </c>
      <c r="C12" s="7" t="n">
        <v>0.055</v>
      </c>
      <c r="D12" s="4" t="inlineStr">
        <is>
          <t>想定</t>
        </is>
      </c>
    </row>
    <row r="13">
      <c r="B13" s="2" t="inlineStr">
        <is>
          <t>BM・共用費/月</t>
        </is>
      </c>
      <c r="C13" s="5" t="n">
        <v>30000</v>
      </c>
      <c r="D13" s="4" t="inlineStr">
        <is>
          <t>仮置き（共用電気・浄化槽等）</t>
        </is>
      </c>
    </row>
    <row r="14">
      <c r="B14" s="2" t="inlineStr">
        <is>
          <t>火災保険料/年</t>
        </is>
      </c>
      <c r="C14" s="5" t="n">
        <v>300000</v>
      </c>
      <c r="D14" s="4" t="inlineStr">
        <is>
          <t>仮置き。見積取得後修正（毎年8月払い想定）</t>
        </is>
      </c>
    </row>
    <row r="15">
      <c r="B15" s="2" t="inlineStr">
        <is>
          <t>固定資産税+都市計画税/年</t>
        </is>
      </c>
      <c r="C15" s="5" t="n">
        <v>400000</v>
      </c>
      <c r="D15" s="4" t="inlineStr">
        <is>
          <t>仮置き。課税明細で確定（5月払い想定・一括）</t>
        </is>
      </c>
    </row>
    <row r="16">
      <c r="B16" s="2" t="inlineStr">
        <is>
          <t>不動産取得税（2027年2月想定）</t>
        </is>
      </c>
      <c r="C16" s="5" t="n">
        <v>600000</v>
      </c>
      <c r="D16" s="4" t="inlineStr">
        <is>
          <t>仮置き。評価額×3%（土地1/2特例）で確定後修正</t>
        </is>
      </c>
    </row>
    <row r="17">
      <c r="B17" s="2" t="inlineStr">
        <is>
          <t>退去1件あたり原状回復+募集費用</t>
        </is>
      </c>
      <c r="C17" s="5" t="n">
        <v>300000</v>
      </c>
      <c r="D17" s="4" t="inlineStr">
        <is>
          <t>仮置き（家賃3.5ヶ月分目安）</t>
        </is>
      </c>
    </row>
    <row r="18">
      <c r="B18" s="2" t="inlineStr">
        <is>
          <t>想定退去件数/年</t>
        </is>
      </c>
      <c r="C18" s="3" t="n">
        <v>2</v>
      </c>
      <c r="D18" s="4" t="inlineStr">
        <is>
          <t>トリガー試算用</t>
        </is>
      </c>
    </row>
    <row r="20">
      <c r="B20" s="8" t="inlineStr">
        <is>
          <t>月次返済額（元利均等）</t>
        </is>
      </c>
      <c r="C20" s="9">
        <f>-PMT(前提!$C$7/12,前提!$C$8*12,前提!$C$6)</f>
        <v/>
      </c>
      <c r="D20" s="4" t="inlineStr">
        <is>
          <t>金利・期間確定で自動更新</t>
        </is>
      </c>
    </row>
    <row r="21">
      <c r="B21" s="8" t="inlineStr">
        <is>
          <t>想定実効賃料/月</t>
        </is>
      </c>
      <c r="C21" s="9">
        <f>(前提!$C$9+前提!$C$10)*前提!$C$11</f>
        <v/>
      </c>
      <c r="D21" s="4" t="inlineStr"/>
    </row>
    <row r="22">
      <c r="B22" s="8" t="inlineStr">
        <is>
          <t>PM管理料/月</t>
        </is>
      </c>
      <c r="C22" s="9">
        <f>(前提!$C$9+前提!$C$10)*前提!$C$11*前提!$C$12</f>
        <v/>
      </c>
      <c r="D22" s="4" t="inlineStr"/>
    </row>
    <row r="23">
      <c r="B23" s="8" t="inlineStr">
        <is>
          <t>決済時必要自己資金</t>
        </is>
      </c>
      <c r="C23" s="9">
        <f>前提!$C$3+前提!$C$5-前提!$C$6</f>
        <v/>
      </c>
      <c r="D23" s="4" t="inlineStr">
        <is>
          <t>手付は代金充当前提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月次キャッシュフロー予実（2026/07〜2029/12）</t>
        </is>
      </c>
    </row>
    <row r="3">
      <c r="A3" s="10" t="inlineStr">
        <is>
          <t>年月</t>
        </is>
      </c>
      <c r="B3" s="10" t="inlineStr">
        <is>
          <t>イベント</t>
        </is>
      </c>
      <c r="C3" s="10" t="inlineStr">
        <is>
          <t>予定収入</t>
        </is>
      </c>
      <c r="D3" s="10" t="inlineStr">
        <is>
          <t>予定返済</t>
        </is>
      </c>
      <c r="E3" s="10" t="inlineStr">
        <is>
          <t>予定運営費</t>
        </is>
      </c>
      <c r="F3" s="10" t="inlineStr">
        <is>
          <t>予定税・保険</t>
        </is>
      </c>
      <c r="G3" s="10" t="inlineStr">
        <is>
          <t>予定NetCF</t>
        </is>
      </c>
      <c r="H3" s="10" t="inlineStr">
        <is>
          <t>予定累計CF</t>
        </is>
      </c>
      <c r="I3" s="10" t="inlineStr">
        <is>
          <t>実績収入</t>
        </is>
      </c>
      <c r="J3" s="10" t="inlineStr">
        <is>
          <t>実績支出</t>
        </is>
      </c>
      <c r="K3" s="10" t="inlineStr">
        <is>
          <t>実績NetCF（自動）</t>
        </is>
      </c>
      <c r="L3" s="10" t="inlineStr">
        <is>
          <t>差異メモ</t>
        </is>
      </c>
    </row>
    <row r="4">
      <c r="A4" s="2" t="inlineStr">
        <is>
          <t>2026/07</t>
        </is>
      </c>
      <c r="B4" s="11" t="inlineStr">
        <is>
          <t>7/31契約・手付支払</t>
        </is>
      </c>
      <c r="C4" s="12" t="n">
        <v>0</v>
      </c>
      <c r="D4" s="12" t="n">
        <v>0</v>
      </c>
      <c r="E4" s="12" t="n">
        <v>0</v>
      </c>
      <c r="F4" s="12">
        <f>前提!$C$4</f>
        <v/>
      </c>
      <c r="G4" s="13">
        <f>C4-D4-E4-F4</f>
        <v/>
      </c>
      <c r="H4" s="13">
        <f>G4</f>
        <v/>
      </c>
      <c r="I4" s="3" t="n"/>
      <c r="J4" s="3" t="n"/>
      <c r="K4" s="13">
        <f>IF(AND(I4="",J4=""),"",I4-J4)</f>
        <v/>
      </c>
      <c r="L4" s="14" t="n"/>
    </row>
    <row r="5">
      <c r="A5" s="2" t="inlineStr">
        <is>
          <t>2026/08</t>
        </is>
      </c>
      <c r="B5" s="11" t="inlineStr">
        <is>
          <t>8/14決済（自己資金拠出・融資実行）／8/7手付解除期日、残自己資金拠出</t>
        </is>
      </c>
      <c r="C5" s="12" t="n">
        <v>0</v>
      </c>
      <c r="D5" s="12" t="n">
        <v>0</v>
      </c>
      <c r="E5" s="12" t="n">
        <v>0</v>
      </c>
      <c r="F5" s="12">
        <f>前提!$C$23-前提!$C$4</f>
        <v/>
      </c>
      <c r="G5" s="13">
        <f>C5-D5-E5-F5</f>
        <v/>
      </c>
      <c r="H5" s="13">
        <f>H4+G5</f>
        <v/>
      </c>
      <c r="I5" s="3" t="n"/>
      <c r="J5" s="3" t="n"/>
      <c r="K5" s="13">
        <f>IF(AND(I5="",J5=""),"",I5-J5)</f>
        <v/>
      </c>
      <c r="L5" s="14" t="n"/>
    </row>
    <row r="6">
      <c r="A6" s="2" t="inlineStr">
        <is>
          <t>2026/09</t>
        </is>
      </c>
      <c r="B6" s="11" t="inlineStr">
        <is>
          <t>退去シーズン→退去発生時は前提!退去費用を実績に計上</t>
        </is>
      </c>
      <c r="C6" s="12">
        <f>前提!$C$21</f>
        <v/>
      </c>
      <c r="D6" s="12">
        <f>前提!$C$20</f>
        <v/>
      </c>
      <c r="E6" s="12">
        <f>前提!$C$22+前提!$C$13</f>
        <v/>
      </c>
      <c r="F6" s="12" t="n">
        <v>0</v>
      </c>
      <c r="G6" s="13">
        <f>C6-D6-E6-F6</f>
        <v/>
      </c>
      <c r="H6" s="13">
        <f>H5+G6</f>
        <v/>
      </c>
      <c r="I6" s="3" t="n"/>
      <c r="J6" s="3" t="n"/>
      <c r="K6" s="13">
        <f>IF(AND(I6="",J6=""),"",I6-J6)</f>
        <v/>
      </c>
      <c r="L6" s="14" t="n"/>
    </row>
    <row r="7">
      <c r="A7" s="2" t="inlineStr">
        <is>
          <t>2026/10</t>
        </is>
      </c>
      <c r="B7" s="11" t="inlineStr"/>
      <c r="C7" s="12">
        <f>前提!$C$21</f>
        <v/>
      </c>
      <c r="D7" s="12">
        <f>前提!$C$20</f>
        <v/>
      </c>
      <c r="E7" s="12">
        <f>前提!$C$22+前提!$C$13</f>
        <v/>
      </c>
      <c r="F7" s="12" t="n">
        <v>0</v>
      </c>
      <c r="G7" s="13">
        <f>C7-D7-E7-F7</f>
        <v/>
      </c>
      <c r="H7" s="13">
        <f>H6+G7</f>
        <v/>
      </c>
      <c r="I7" s="3" t="n"/>
      <c r="J7" s="3" t="n"/>
      <c r="K7" s="13">
        <f>IF(AND(I7="",J7=""),"",I7-J7)</f>
        <v/>
      </c>
      <c r="L7" s="14" t="n"/>
    </row>
    <row r="8">
      <c r="A8" s="2" t="inlineStr">
        <is>
          <t>2026/11</t>
        </is>
      </c>
      <c r="B8" s="11" t="inlineStr"/>
      <c r="C8" s="12">
        <f>前提!$C$21</f>
        <v/>
      </c>
      <c r="D8" s="12">
        <f>前提!$C$20</f>
        <v/>
      </c>
      <c r="E8" s="12">
        <f>前提!$C$22+前提!$C$13</f>
        <v/>
      </c>
      <c r="F8" s="12" t="n">
        <v>0</v>
      </c>
      <c r="G8" s="13">
        <f>C8-D8-E8-F8</f>
        <v/>
      </c>
      <c r="H8" s="13">
        <f>H7+G8</f>
        <v/>
      </c>
      <c r="I8" s="3" t="n"/>
      <c r="J8" s="3" t="n"/>
      <c r="K8" s="13">
        <f>IF(AND(I8="",J8=""),"",I8-J8)</f>
        <v/>
      </c>
      <c r="L8" s="14" t="n"/>
    </row>
    <row r="9">
      <c r="A9" s="2" t="inlineStr">
        <is>
          <t>2026/12</t>
        </is>
      </c>
      <c r="B9" s="11" t="inlineStr"/>
      <c r="C9" s="12">
        <f>前提!$C$21</f>
        <v/>
      </c>
      <c r="D9" s="12">
        <f>前提!$C$20</f>
        <v/>
      </c>
      <c r="E9" s="12">
        <f>前提!$C$22+前提!$C$13</f>
        <v/>
      </c>
      <c r="F9" s="12" t="n">
        <v>0</v>
      </c>
      <c r="G9" s="13">
        <f>C9-D9-E9-F9</f>
        <v/>
      </c>
      <c r="H9" s="13">
        <f>H8+G9</f>
        <v/>
      </c>
      <c r="I9" s="3" t="n"/>
      <c r="J9" s="3" t="n"/>
      <c r="K9" s="13">
        <f>IF(AND(I9="",J9=""),"",I9-J9)</f>
        <v/>
      </c>
      <c r="L9" s="14" t="n"/>
    </row>
    <row r="10">
      <c r="A10" s="2" t="inlineStr">
        <is>
          <t>2027/01</t>
        </is>
      </c>
      <c r="B10" s="11" t="inlineStr"/>
      <c r="C10" s="12">
        <f>前提!$C$21</f>
        <v/>
      </c>
      <c r="D10" s="12">
        <f>前提!$C$20</f>
        <v/>
      </c>
      <c r="E10" s="12">
        <f>前提!$C$22+前提!$C$13</f>
        <v/>
      </c>
      <c r="F10" s="12" t="n">
        <v>0</v>
      </c>
      <c r="G10" s="13">
        <f>C10-D10-E10-F10</f>
        <v/>
      </c>
      <c r="H10" s="13">
        <f>H9+G10</f>
        <v/>
      </c>
      <c r="I10" s="3" t="n"/>
      <c r="J10" s="3" t="n"/>
      <c r="K10" s="13">
        <f>IF(AND(I10="",J10=""),"",I10-J10)</f>
        <v/>
      </c>
      <c r="L10" s="14" t="n"/>
    </row>
    <row r="11">
      <c r="A11" s="2" t="inlineStr">
        <is>
          <t>2027/02</t>
        </is>
      </c>
      <c r="B11" s="11" t="inlineStr">
        <is>
          <t>不動産取得税 納付想定</t>
        </is>
      </c>
      <c r="C11" s="12">
        <f>前提!$C$21</f>
        <v/>
      </c>
      <c r="D11" s="12">
        <f>前提!$C$20</f>
        <v/>
      </c>
      <c r="E11" s="12">
        <f>前提!$C$22+前提!$C$13</f>
        <v/>
      </c>
      <c r="F11" s="12">
        <f>前提!$C$16</f>
        <v/>
      </c>
      <c r="G11" s="13">
        <f>C11-D11-E11-F11</f>
        <v/>
      </c>
      <c r="H11" s="13">
        <f>H10+G11</f>
        <v/>
      </c>
      <c r="I11" s="3" t="n"/>
      <c r="J11" s="3" t="n"/>
      <c r="K11" s="13">
        <f>IF(AND(I11="",J11=""),"",I11-J11)</f>
        <v/>
      </c>
      <c r="L11" s="14" t="n"/>
    </row>
    <row r="12">
      <c r="A12" s="2" t="inlineStr">
        <is>
          <t>2027/03</t>
        </is>
      </c>
      <c r="B12" s="11" t="inlineStr">
        <is>
          <t>退去シーズン→退去発生時は前提!退去費用を実績に計上</t>
        </is>
      </c>
      <c r="C12" s="12">
        <f>前提!$C$21</f>
        <v/>
      </c>
      <c r="D12" s="12">
        <f>前提!$C$20</f>
        <v/>
      </c>
      <c r="E12" s="12">
        <f>前提!$C$22+前提!$C$13</f>
        <v/>
      </c>
      <c r="F12" s="12" t="n">
        <v>0</v>
      </c>
      <c r="G12" s="13">
        <f>C12-D12-E12-F12</f>
        <v/>
      </c>
      <c r="H12" s="13">
        <f>H11+G12</f>
        <v/>
      </c>
      <c r="I12" s="3" t="n"/>
      <c r="J12" s="3" t="n"/>
      <c r="K12" s="13">
        <f>IF(AND(I12="",J12=""),"",I12-J12)</f>
        <v/>
      </c>
      <c r="L12" s="14" t="n"/>
    </row>
    <row r="13">
      <c r="A13" s="2" t="inlineStr">
        <is>
          <t>2027/04</t>
        </is>
      </c>
      <c r="B13" s="11" t="inlineStr"/>
      <c r="C13" s="12">
        <f>前提!$C$21</f>
        <v/>
      </c>
      <c r="D13" s="12">
        <f>前提!$C$20</f>
        <v/>
      </c>
      <c r="E13" s="12">
        <f>前提!$C$22+前提!$C$13</f>
        <v/>
      </c>
      <c r="F13" s="12" t="n">
        <v>0</v>
      </c>
      <c r="G13" s="13">
        <f>C13-D13-E13-F13</f>
        <v/>
      </c>
      <c r="H13" s="13">
        <f>H12+G13</f>
        <v/>
      </c>
      <c r="I13" s="3" t="n"/>
      <c r="J13" s="3" t="n"/>
      <c r="K13" s="13">
        <f>IF(AND(I13="",J13=""),"",I13-J13)</f>
        <v/>
      </c>
      <c r="L13" s="14" t="n"/>
    </row>
    <row r="14">
      <c r="A14" s="2" t="inlineStr">
        <is>
          <t>2027/05</t>
        </is>
      </c>
      <c r="B14" s="11" t="inlineStr">
        <is>
          <t>固都税納付（一括想定）</t>
        </is>
      </c>
      <c r="C14" s="12">
        <f>前提!$C$21</f>
        <v/>
      </c>
      <c r="D14" s="12">
        <f>前提!$C$20</f>
        <v/>
      </c>
      <c r="E14" s="12">
        <f>前提!$C$22+前提!$C$13</f>
        <v/>
      </c>
      <c r="F14" s="12">
        <f>前提!$C$15</f>
        <v/>
      </c>
      <c r="G14" s="13">
        <f>C14-D14-E14-F14</f>
        <v/>
      </c>
      <c r="H14" s="13">
        <f>H13+G14</f>
        <v/>
      </c>
      <c r="I14" s="3" t="n"/>
      <c r="J14" s="3" t="n"/>
      <c r="K14" s="13">
        <f>IF(AND(I14="",J14=""),"",I14-J14)</f>
        <v/>
      </c>
      <c r="L14" s="14" t="n"/>
    </row>
    <row r="15">
      <c r="A15" s="2" t="inlineStr">
        <is>
          <t>2027/06</t>
        </is>
      </c>
      <c r="B15" s="11" t="inlineStr"/>
      <c r="C15" s="12">
        <f>前提!$C$21</f>
        <v/>
      </c>
      <c r="D15" s="12">
        <f>前提!$C$20</f>
        <v/>
      </c>
      <c r="E15" s="12">
        <f>前提!$C$22+前提!$C$13</f>
        <v/>
      </c>
      <c r="F15" s="12" t="n">
        <v>0</v>
      </c>
      <c r="G15" s="13">
        <f>C15-D15-E15-F15</f>
        <v/>
      </c>
      <c r="H15" s="13">
        <f>H14+G15</f>
        <v/>
      </c>
      <c r="I15" s="3" t="n"/>
      <c r="J15" s="3" t="n"/>
      <c r="K15" s="13">
        <f>IF(AND(I15="",J15=""),"",I15-J15)</f>
        <v/>
      </c>
      <c r="L15" s="14" t="n"/>
    </row>
    <row r="16">
      <c r="A16" s="2" t="inlineStr">
        <is>
          <t>2027/07</t>
        </is>
      </c>
      <c r="B16" s="11" t="inlineStr"/>
      <c r="C16" s="12">
        <f>前提!$C$21</f>
        <v/>
      </c>
      <c r="D16" s="12">
        <f>前提!$C$20</f>
        <v/>
      </c>
      <c r="E16" s="12">
        <f>前提!$C$22+前提!$C$13</f>
        <v/>
      </c>
      <c r="F16" s="12" t="n">
        <v>0</v>
      </c>
      <c r="G16" s="13">
        <f>C16-D16-E16-F16</f>
        <v/>
      </c>
      <c r="H16" s="13">
        <f>H15+G16</f>
        <v/>
      </c>
      <c r="I16" s="3" t="n"/>
      <c r="J16" s="3" t="n"/>
      <c r="K16" s="13">
        <f>IF(AND(I16="",J16=""),"",I16-J16)</f>
        <v/>
      </c>
      <c r="L16" s="14" t="n"/>
    </row>
    <row r="17">
      <c r="A17" s="2" t="inlineStr">
        <is>
          <t>2027/08</t>
        </is>
      </c>
      <c r="B17" s="11" t="inlineStr">
        <is>
          <t>火災保険 年払い・保険見直し、【トリガー】保有1年レビュー（賃料・修繕・売却打診）</t>
        </is>
      </c>
      <c r="C17" s="12">
        <f>前提!$C$21</f>
        <v/>
      </c>
      <c r="D17" s="12">
        <f>前提!$C$20</f>
        <v/>
      </c>
      <c r="E17" s="12">
        <f>前提!$C$22+前提!$C$13</f>
        <v/>
      </c>
      <c r="F17" s="12">
        <f>前提!$C$14</f>
        <v/>
      </c>
      <c r="G17" s="13">
        <f>C17-D17-E17-F17</f>
        <v/>
      </c>
      <c r="H17" s="13">
        <f>H16+G17</f>
        <v/>
      </c>
      <c r="I17" s="3" t="n"/>
      <c r="J17" s="3" t="n"/>
      <c r="K17" s="13">
        <f>IF(AND(I17="",J17=""),"",I17-J17)</f>
        <v/>
      </c>
      <c r="L17" s="14" t="n"/>
    </row>
    <row r="18">
      <c r="A18" s="2" t="inlineStr">
        <is>
          <t>2027/09</t>
        </is>
      </c>
      <c r="B18" s="11" t="inlineStr">
        <is>
          <t>退去シーズン→退去発生時は前提!退去費用を実績に計上</t>
        </is>
      </c>
      <c r="C18" s="12">
        <f>前提!$C$21</f>
        <v/>
      </c>
      <c r="D18" s="12">
        <f>前提!$C$20</f>
        <v/>
      </c>
      <c r="E18" s="12">
        <f>前提!$C$22+前提!$C$13</f>
        <v/>
      </c>
      <c r="F18" s="12" t="n">
        <v>0</v>
      </c>
      <c r="G18" s="13">
        <f>C18-D18-E18-F18</f>
        <v/>
      </c>
      <c r="H18" s="13">
        <f>H17+G18</f>
        <v/>
      </c>
      <c r="I18" s="3" t="n"/>
      <c r="J18" s="3" t="n"/>
      <c r="K18" s="13">
        <f>IF(AND(I18="",J18=""),"",I18-J18)</f>
        <v/>
      </c>
      <c r="L18" s="14" t="n"/>
    </row>
    <row r="19">
      <c r="A19" s="2" t="inlineStr">
        <is>
          <t>2027/10</t>
        </is>
      </c>
      <c r="B19" s="11" t="inlineStr"/>
      <c r="C19" s="12">
        <f>前提!$C$21</f>
        <v/>
      </c>
      <c r="D19" s="12">
        <f>前提!$C$20</f>
        <v/>
      </c>
      <c r="E19" s="12">
        <f>前提!$C$22+前提!$C$13</f>
        <v/>
      </c>
      <c r="F19" s="12" t="n">
        <v>0</v>
      </c>
      <c r="G19" s="13">
        <f>C19-D19-E19-F19</f>
        <v/>
      </c>
      <c r="H19" s="13">
        <f>H18+G19</f>
        <v/>
      </c>
      <c r="I19" s="3" t="n"/>
      <c r="J19" s="3" t="n"/>
      <c r="K19" s="13">
        <f>IF(AND(I19="",J19=""),"",I19-J19)</f>
        <v/>
      </c>
      <c r="L19" s="14" t="n"/>
    </row>
    <row r="20">
      <c r="A20" s="2" t="inlineStr">
        <is>
          <t>2027/11</t>
        </is>
      </c>
      <c r="B20" s="11" t="inlineStr"/>
      <c r="C20" s="12">
        <f>前提!$C$21</f>
        <v/>
      </c>
      <c r="D20" s="12">
        <f>前提!$C$20</f>
        <v/>
      </c>
      <c r="E20" s="12">
        <f>前提!$C$22+前提!$C$13</f>
        <v/>
      </c>
      <c r="F20" s="12" t="n">
        <v>0</v>
      </c>
      <c r="G20" s="13">
        <f>C20-D20-E20-F20</f>
        <v/>
      </c>
      <c r="H20" s="13">
        <f>H19+G20</f>
        <v/>
      </c>
      <c r="I20" s="3" t="n"/>
      <c r="J20" s="3" t="n"/>
      <c r="K20" s="13">
        <f>IF(AND(I20="",J20=""),"",I20-J20)</f>
        <v/>
      </c>
      <c r="L20" s="14" t="n"/>
    </row>
    <row r="21">
      <c r="A21" s="2" t="inlineStr">
        <is>
          <t>2027/12</t>
        </is>
      </c>
      <c r="B21" s="11" t="inlineStr"/>
      <c r="C21" s="12">
        <f>前提!$C$21</f>
        <v/>
      </c>
      <c r="D21" s="12">
        <f>前提!$C$20</f>
        <v/>
      </c>
      <c r="E21" s="12">
        <f>前提!$C$22+前提!$C$13</f>
        <v/>
      </c>
      <c r="F21" s="12" t="n">
        <v>0</v>
      </c>
      <c r="G21" s="13">
        <f>C21-D21-E21-F21</f>
        <v/>
      </c>
      <c r="H21" s="13">
        <f>H20+G21</f>
        <v/>
      </c>
      <c r="I21" s="3" t="n"/>
      <c r="J21" s="3" t="n"/>
      <c r="K21" s="13">
        <f>IF(AND(I21="",J21=""),"",I21-J21)</f>
        <v/>
      </c>
      <c r="L21" s="14" t="n"/>
    </row>
    <row r="22">
      <c r="A22" s="2" t="inlineStr">
        <is>
          <t>2028/01</t>
        </is>
      </c>
      <c r="B22" s="11" t="inlineStr"/>
      <c r="C22" s="12">
        <f>前提!$C$21</f>
        <v/>
      </c>
      <c r="D22" s="12">
        <f>前提!$C$20</f>
        <v/>
      </c>
      <c r="E22" s="12">
        <f>前提!$C$22+前提!$C$13</f>
        <v/>
      </c>
      <c r="F22" s="12" t="n">
        <v>0</v>
      </c>
      <c r="G22" s="13">
        <f>C22-D22-E22-F22</f>
        <v/>
      </c>
      <c r="H22" s="13">
        <f>H21+G22</f>
        <v/>
      </c>
      <c r="I22" s="3" t="n"/>
      <c r="J22" s="3" t="n"/>
      <c r="K22" s="13">
        <f>IF(AND(I22="",J22=""),"",I22-J22)</f>
        <v/>
      </c>
      <c r="L22" s="14" t="n"/>
    </row>
    <row r="23">
      <c r="A23" s="2" t="inlineStr">
        <is>
          <t>2028/02</t>
        </is>
      </c>
      <c r="B23" s="11" t="inlineStr"/>
      <c r="C23" s="12">
        <f>前提!$C$21</f>
        <v/>
      </c>
      <c r="D23" s="12">
        <f>前提!$C$20</f>
        <v/>
      </c>
      <c r="E23" s="12">
        <f>前提!$C$22+前提!$C$13</f>
        <v/>
      </c>
      <c r="F23" s="12" t="n">
        <v>0</v>
      </c>
      <c r="G23" s="13">
        <f>C23-D23-E23-F23</f>
        <v/>
      </c>
      <c r="H23" s="13">
        <f>H22+G23</f>
        <v/>
      </c>
      <c r="I23" s="3" t="n"/>
      <c r="J23" s="3" t="n"/>
      <c r="K23" s="13">
        <f>IF(AND(I23="",J23=""),"",I23-J23)</f>
        <v/>
      </c>
      <c r="L23" s="14" t="n"/>
    </row>
    <row r="24">
      <c r="A24" s="2" t="inlineStr">
        <is>
          <t>2028/03</t>
        </is>
      </c>
      <c r="B24" s="11" t="inlineStr">
        <is>
          <t>退去シーズン→退去発生時は前提!退去費用を実績に計上</t>
        </is>
      </c>
      <c r="C24" s="12">
        <f>前提!$C$21</f>
        <v/>
      </c>
      <c r="D24" s="12">
        <f>前提!$C$20</f>
        <v/>
      </c>
      <c r="E24" s="12">
        <f>前提!$C$22+前提!$C$13</f>
        <v/>
      </c>
      <c r="F24" s="12" t="n">
        <v>0</v>
      </c>
      <c r="G24" s="13">
        <f>C24-D24-E24-F24</f>
        <v/>
      </c>
      <c r="H24" s="13">
        <f>H23+G24</f>
        <v/>
      </c>
      <c r="I24" s="3" t="n"/>
      <c r="J24" s="3" t="n"/>
      <c r="K24" s="13">
        <f>IF(AND(I24="",J24=""),"",I24-J24)</f>
        <v/>
      </c>
      <c r="L24" s="14" t="n"/>
    </row>
    <row r="25">
      <c r="A25" s="2" t="inlineStr">
        <is>
          <t>2028/04</t>
        </is>
      </c>
      <c r="B25" s="11" t="inlineStr"/>
      <c r="C25" s="12">
        <f>前提!$C$21</f>
        <v/>
      </c>
      <c r="D25" s="12">
        <f>前提!$C$20</f>
        <v/>
      </c>
      <c r="E25" s="12">
        <f>前提!$C$22+前提!$C$13</f>
        <v/>
      </c>
      <c r="F25" s="12" t="n">
        <v>0</v>
      </c>
      <c r="G25" s="13">
        <f>C25-D25-E25-F25</f>
        <v/>
      </c>
      <c r="H25" s="13">
        <f>H24+G25</f>
        <v/>
      </c>
      <c r="I25" s="3" t="n"/>
      <c r="J25" s="3" t="n"/>
      <c r="K25" s="13">
        <f>IF(AND(I25="",J25=""),"",I25-J25)</f>
        <v/>
      </c>
      <c r="L25" s="14" t="n"/>
    </row>
    <row r="26">
      <c r="A26" s="2" t="inlineStr">
        <is>
          <t>2028/05</t>
        </is>
      </c>
      <c r="B26" s="11" t="inlineStr">
        <is>
          <t>固都税納付（一括想定）</t>
        </is>
      </c>
      <c r="C26" s="12">
        <f>前提!$C$21</f>
        <v/>
      </c>
      <c r="D26" s="12">
        <f>前提!$C$20</f>
        <v/>
      </c>
      <c r="E26" s="12">
        <f>前提!$C$22+前提!$C$13</f>
        <v/>
      </c>
      <c r="F26" s="12">
        <f>前提!$C$15</f>
        <v/>
      </c>
      <c r="G26" s="13">
        <f>C26-D26-E26-F26</f>
        <v/>
      </c>
      <c r="H26" s="13">
        <f>H25+G26</f>
        <v/>
      </c>
      <c r="I26" s="3" t="n"/>
      <c r="J26" s="3" t="n"/>
      <c r="K26" s="13">
        <f>IF(AND(I26="",J26=""),"",I26-J26)</f>
        <v/>
      </c>
      <c r="L26" s="14" t="n"/>
    </row>
    <row r="27">
      <c r="A27" s="2" t="inlineStr">
        <is>
          <t>2028/06</t>
        </is>
      </c>
      <c r="B27" s="11" t="inlineStr"/>
      <c r="C27" s="12">
        <f>前提!$C$21</f>
        <v/>
      </c>
      <c r="D27" s="12">
        <f>前提!$C$20</f>
        <v/>
      </c>
      <c r="E27" s="12">
        <f>前提!$C$22+前提!$C$13</f>
        <v/>
      </c>
      <c r="F27" s="12" t="n">
        <v>0</v>
      </c>
      <c r="G27" s="13">
        <f>C27-D27-E27-F27</f>
        <v/>
      </c>
      <c r="H27" s="13">
        <f>H26+G27</f>
        <v/>
      </c>
      <c r="I27" s="3" t="n"/>
      <c r="J27" s="3" t="n"/>
      <c r="K27" s="13">
        <f>IF(AND(I27="",J27=""),"",I27-J27)</f>
        <v/>
      </c>
      <c r="L27" s="14" t="n"/>
    </row>
    <row r="28">
      <c r="A28" s="2" t="inlineStr">
        <is>
          <t>2028/07</t>
        </is>
      </c>
      <c r="B28" s="11" t="inlineStr"/>
      <c r="C28" s="12">
        <f>前提!$C$21</f>
        <v/>
      </c>
      <c r="D28" s="12">
        <f>前提!$C$20</f>
        <v/>
      </c>
      <c r="E28" s="12">
        <f>前提!$C$22+前提!$C$13</f>
        <v/>
      </c>
      <c r="F28" s="12" t="n">
        <v>0</v>
      </c>
      <c r="G28" s="13">
        <f>C28-D28-E28-F28</f>
        <v/>
      </c>
      <c r="H28" s="13">
        <f>H27+G28</f>
        <v/>
      </c>
      <c r="I28" s="3" t="n"/>
      <c r="J28" s="3" t="n"/>
      <c r="K28" s="13">
        <f>IF(AND(I28="",J28=""),"",I28-J28)</f>
        <v/>
      </c>
      <c r="L28" s="14" t="n"/>
    </row>
    <row r="29">
      <c r="A29" s="2" t="inlineStr">
        <is>
          <t>2028/08</t>
        </is>
      </c>
      <c r="B29" s="11" t="inlineStr">
        <is>
          <t>火災保険 年払い・保険見直し、【トリガー】保有2年レビュー／金利改定確認</t>
        </is>
      </c>
      <c r="C29" s="12">
        <f>前提!$C$21</f>
        <v/>
      </c>
      <c r="D29" s="12">
        <f>前提!$C$20</f>
        <v/>
      </c>
      <c r="E29" s="12">
        <f>前提!$C$22+前提!$C$13</f>
        <v/>
      </c>
      <c r="F29" s="12">
        <f>前提!$C$14</f>
        <v/>
      </c>
      <c r="G29" s="13">
        <f>C29-D29-E29-F29</f>
        <v/>
      </c>
      <c r="H29" s="13">
        <f>H28+G29</f>
        <v/>
      </c>
      <c r="I29" s="3" t="n"/>
      <c r="J29" s="3" t="n"/>
      <c r="K29" s="13">
        <f>IF(AND(I29="",J29=""),"",I29-J29)</f>
        <v/>
      </c>
      <c r="L29" s="14" t="n"/>
    </row>
    <row r="30">
      <c r="A30" s="2" t="inlineStr">
        <is>
          <t>2028/09</t>
        </is>
      </c>
      <c r="B30" s="11" t="inlineStr">
        <is>
          <t>退去シーズン→退去発生時は前提!退去費用を実績に計上</t>
        </is>
      </c>
      <c r="C30" s="12">
        <f>前提!$C$21</f>
        <v/>
      </c>
      <c r="D30" s="12">
        <f>前提!$C$20</f>
        <v/>
      </c>
      <c r="E30" s="12">
        <f>前提!$C$22+前提!$C$13</f>
        <v/>
      </c>
      <c r="F30" s="12" t="n">
        <v>0</v>
      </c>
      <c r="G30" s="13">
        <f>C30-D30-E30-F30</f>
        <v/>
      </c>
      <c r="H30" s="13">
        <f>H29+G30</f>
        <v/>
      </c>
      <c r="I30" s="3" t="n"/>
      <c r="J30" s="3" t="n"/>
      <c r="K30" s="13">
        <f>IF(AND(I30="",J30=""),"",I30-J30)</f>
        <v/>
      </c>
      <c r="L30" s="14" t="n"/>
    </row>
    <row r="31">
      <c r="A31" s="2" t="inlineStr">
        <is>
          <t>2028/10</t>
        </is>
      </c>
      <c r="B31" s="11" t="inlineStr"/>
      <c r="C31" s="12">
        <f>前提!$C$21</f>
        <v/>
      </c>
      <c r="D31" s="12">
        <f>前提!$C$20</f>
        <v/>
      </c>
      <c r="E31" s="12">
        <f>前提!$C$22+前提!$C$13</f>
        <v/>
      </c>
      <c r="F31" s="12" t="n">
        <v>0</v>
      </c>
      <c r="G31" s="13">
        <f>C31-D31-E31-F31</f>
        <v/>
      </c>
      <c r="H31" s="13">
        <f>H30+G31</f>
        <v/>
      </c>
      <c r="I31" s="3" t="n"/>
      <c r="J31" s="3" t="n"/>
      <c r="K31" s="13">
        <f>IF(AND(I31="",J31=""),"",I31-J31)</f>
        <v/>
      </c>
      <c r="L31" s="14" t="n"/>
    </row>
    <row r="32">
      <c r="A32" s="2" t="inlineStr">
        <is>
          <t>2028/11</t>
        </is>
      </c>
      <c r="B32" s="11" t="inlineStr"/>
      <c r="C32" s="12">
        <f>前提!$C$21</f>
        <v/>
      </c>
      <c r="D32" s="12">
        <f>前提!$C$20</f>
        <v/>
      </c>
      <c r="E32" s="12">
        <f>前提!$C$22+前提!$C$13</f>
        <v/>
      </c>
      <c r="F32" s="12" t="n">
        <v>0</v>
      </c>
      <c r="G32" s="13">
        <f>C32-D32-E32-F32</f>
        <v/>
      </c>
      <c r="H32" s="13">
        <f>H31+G32</f>
        <v/>
      </c>
      <c r="I32" s="3" t="n"/>
      <c r="J32" s="3" t="n"/>
      <c r="K32" s="13">
        <f>IF(AND(I32="",J32=""),"",I32-J32)</f>
        <v/>
      </c>
      <c r="L32" s="14" t="n"/>
    </row>
    <row r="33">
      <c r="A33" s="2" t="inlineStr">
        <is>
          <t>2028/12</t>
        </is>
      </c>
      <c r="B33" s="11" t="inlineStr"/>
      <c r="C33" s="12">
        <f>前提!$C$21</f>
        <v/>
      </c>
      <c r="D33" s="12">
        <f>前提!$C$20</f>
        <v/>
      </c>
      <c r="E33" s="12">
        <f>前提!$C$22+前提!$C$13</f>
        <v/>
      </c>
      <c r="F33" s="12" t="n">
        <v>0</v>
      </c>
      <c r="G33" s="13">
        <f>C33-D33-E33-F33</f>
        <v/>
      </c>
      <c r="H33" s="13">
        <f>H32+G33</f>
        <v/>
      </c>
      <c r="I33" s="3" t="n"/>
      <c r="J33" s="3" t="n"/>
      <c r="K33" s="13">
        <f>IF(AND(I33="",J33=""),"",I33-J33)</f>
        <v/>
      </c>
      <c r="L33" s="14" t="n"/>
    </row>
    <row r="34">
      <c r="A34" s="2" t="inlineStr">
        <is>
          <t>2029/01</t>
        </is>
      </c>
      <c r="B34" s="11" t="inlineStr"/>
      <c r="C34" s="12">
        <f>前提!$C$21</f>
        <v/>
      </c>
      <c r="D34" s="12">
        <f>前提!$C$20</f>
        <v/>
      </c>
      <c r="E34" s="12">
        <f>前提!$C$22+前提!$C$13</f>
        <v/>
      </c>
      <c r="F34" s="12" t="n">
        <v>0</v>
      </c>
      <c r="G34" s="13">
        <f>C34-D34-E34-F34</f>
        <v/>
      </c>
      <c r="H34" s="13">
        <f>H33+G34</f>
        <v/>
      </c>
      <c r="I34" s="3" t="n"/>
      <c r="J34" s="3" t="n"/>
      <c r="K34" s="13">
        <f>IF(AND(I34="",J34=""),"",I34-J34)</f>
        <v/>
      </c>
      <c r="L34" s="14" t="n"/>
    </row>
    <row r="35">
      <c r="A35" s="2" t="inlineStr">
        <is>
          <t>2029/02</t>
        </is>
      </c>
      <c r="B35" s="11" t="inlineStr"/>
      <c r="C35" s="12">
        <f>前提!$C$21</f>
        <v/>
      </c>
      <c r="D35" s="12">
        <f>前提!$C$20</f>
        <v/>
      </c>
      <c r="E35" s="12">
        <f>前提!$C$22+前提!$C$13</f>
        <v/>
      </c>
      <c r="F35" s="12" t="n">
        <v>0</v>
      </c>
      <c r="G35" s="13">
        <f>C35-D35-E35-F35</f>
        <v/>
      </c>
      <c r="H35" s="13">
        <f>H34+G35</f>
        <v/>
      </c>
      <c r="I35" s="3" t="n"/>
      <c r="J35" s="3" t="n"/>
      <c r="K35" s="13">
        <f>IF(AND(I35="",J35=""),"",I35-J35)</f>
        <v/>
      </c>
      <c r="L35" s="14" t="n"/>
    </row>
    <row r="36">
      <c r="A36" s="2" t="inlineStr">
        <is>
          <t>2029/03</t>
        </is>
      </c>
      <c r="B36" s="11" t="inlineStr">
        <is>
          <t>退去シーズン→退去発生時は前提!退去費用を実績に計上</t>
        </is>
      </c>
      <c r="C36" s="12">
        <f>前提!$C$21</f>
        <v/>
      </c>
      <c r="D36" s="12">
        <f>前提!$C$20</f>
        <v/>
      </c>
      <c r="E36" s="12">
        <f>前提!$C$22+前提!$C$13</f>
        <v/>
      </c>
      <c r="F36" s="12" t="n">
        <v>0</v>
      </c>
      <c r="G36" s="13">
        <f>C36-D36-E36-F36</f>
        <v/>
      </c>
      <c r="H36" s="13">
        <f>H35+G36</f>
        <v/>
      </c>
      <c r="I36" s="3" t="n"/>
      <c r="J36" s="3" t="n"/>
      <c r="K36" s="13">
        <f>IF(AND(I36="",J36=""),"",I36-J36)</f>
        <v/>
      </c>
      <c r="L36" s="14" t="n"/>
    </row>
    <row r="37">
      <c r="A37" s="2" t="inlineStr">
        <is>
          <t>2029/04</t>
        </is>
      </c>
      <c r="B37" s="11" t="inlineStr"/>
      <c r="C37" s="12">
        <f>前提!$C$21</f>
        <v/>
      </c>
      <c r="D37" s="12">
        <f>前提!$C$20</f>
        <v/>
      </c>
      <c r="E37" s="12">
        <f>前提!$C$22+前提!$C$13</f>
        <v/>
      </c>
      <c r="F37" s="12" t="n">
        <v>0</v>
      </c>
      <c r="G37" s="13">
        <f>C37-D37-E37-F37</f>
        <v/>
      </c>
      <c r="H37" s="13">
        <f>H36+G37</f>
        <v/>
      </c>
      <c r="I37" s="3" t="n"/>
      <c r="J37" s="3" t="n"/>
      <c r="K37" s="13">
        <f>IF(AND(I37="",J37=""),"",I37-J37)</f>
        <v/>
      </c>
      <c r="L37" s="14" t="n"/>
    </row>
    <row r="38">
      <c r="A38" s="2" t="inlineStr">
        <is>
          <t>2029/05</t>
        </is>
      </c>
      <c r="B38" s="11" t="inlineStr">
        <is>
          <t>固都税納付（一括想定）</t>
        </is>
      </c>
      <c r="C38" s="12">
        <f>前提!$C$21</f>
        <v/>
      </c>
      <c r="D38" s="12">
        <f>前提!$C$20</f>
        <v/>
      </c>
      <c r="E38" s="12">
        <f>前提!$C$22+前提!$C$13</f>
        <v/>
      </c>
      <c r="F38" s="12">
        <f>前提!$C$15</f>
        <v/>
      </c>
      <c r="G38" s="13">
        <f>C38-D38-E38-F38</f>
        <v/>
      </c>
      <c r="H38" s="13">
        <f>H37+G38</f>
        <v/>
      </c>
      <c r="I38" s="3" t="n"/>
      <c r="J38" s="3" t="n"/>
      <c r="K38" s="13">
        <f>IF(AND(I38="",J38=""),"",I38-J38)</f>
        <v/>
      </c>
      <c r="L38" s="14" t="n"/>
    </row>
    <row r="39">
      <c r="A39" s="2" t="inlineStr">
        <is>
          <t>2029/06</t>
        </is>
      </c>
      <c r="B39" s="11" t="inlineStr"/>
      <c r="C39" s="12">
        <f>前提!$C$21</f>
        <v/>
      </c>
      <c r="D39" s="12">
        <f>前提!$C$20</f>
        <v/>
      </c>
      <c r="E39" s="12">
        <f>前提!$C$22+前提!$C$13</f>
        <v/>
      </c>
      <c r="F39" s="12" t="n">
        <v>0</v>
      </c>
      <c r="G39" s="13">
        <f>C39-D39-E39-F39</f>
        <v/>
      </c>
      <c r="H39" s="13">
        <f>H38+G39</f>
        <v/>
      </c>
      <c r="I39" s="3" t="n"/>
      <c r="J39" s="3" t="n"/>
      <c r="K39" s="13">
        <f>IF(AND(I39="",J39=""),"",I39-J39)</f>
        <v/>
      </c>
      <c r="L39" s="14" t="n"/>
    </row>
    <row r="40">
      <c r="A40" s="2" t="inlineStr">
        <is>
          <t>2029/07</t>
        </is>
      </c>
      <c r="B40" s="11" t="inlineStr"/>
      <c r="C40" s="12">
        <f>前提!$C$21</f>
        <v/>
      </c>
      <c r="D40" s="12">
        <f>前提!$C$20</f>
        <v/>
      </c>
      <c r="E40" s="12">
        <f>前提!$C$22+前提!$C$13</f>
        <v/>
      </c>
      <c r="F40" s="12" t="n">
        <v>0</v>
      </c>
      <c r="G40" s="13">
        <f>C40-D40-E40-F40</f>
        <v/>
      </c>
      <c r="H40" s="13">
        <f>H39+G40</f>
        <v/>
      </c>
      <c r="I40" s="3" t="n"/>
      <c r="J40" s="3" t="n"/>
      <c r="K40" s="13">
        <f>IF(AND(I40="",J40=""),"",I40-J40)</f>
        <v/>
      </c>
      <c r="L40" s="14" t="n"/>
    </row>
    <row r="41">
      <c r="A41" s="2" t="inlineStr">
        <is>
          <t>2029/08</t>
        </is>
      </c>
      <c r="B41" s="11" t="inlineStr">
        <is>
          <t>火災保険 年払い・保険見直し、【トリガー】保有3年レビュー／売却 vs 継続の判定</t>
        </is>
      </c>
      <c r="C41" s="12">
        <f>前提!$C$21</f>
        <v/>
      </c>
      <c r="D41" s="12">
        <f>前提!$C$20</f>
        <v/>
      </c>
      <c r="E41" s="12">
        <f>前提!$C$22+前提!$C$13</f>
        <v/>
      </c>
      <c r="F41" s="12">
        <f>前提!$C$14</f>
        <v/>
      </c>
      <c r="G41" s="13">
        <f>C41-D41-E41-F41</f>
        <v/>
      </c>
      <c r="H41" s="13">
        <f>H40+G41</f>
        <v/>
      </c>
      <c r="I41" s="3" t="n"/>
      <c r="J41" s="3" t="n"/>
      <c r="K41" s="13">
        <f>IF(AND(I41="",J41=""),"",I41-J41)</f>
        <v/>
      </c>
      <c r="L41" s="14" t="n"/>
    </row>
    <row r="42">
      <c r="A42" s="2" t="inlineStr">
        <is>
          <t>2029/09</t>
        </is>
      </c>
      <c r="B42" s="11" t="inlineStr">
        <is>
          <t>退去シーズン→退去発生時は前提!退去費用を実績に計上</t>
        </is>
      </c>
      <c r="C42" s="12">
        <f>前提!$C$21</f>
        <v/>
      </c>
      <c r="D42" s="12">
        <f>前提!$C$20</f>
        <v/>
      </c>
      <c r="E42" s="12">
        <f>前提!$C$22+前提!$C$13</f>
        <v/>
      </c>
      <c r="F42" s="12" t="n">
        <v>0</v>
      </c>
      <c r="G42" s="13">
        <f>C42-D42-E42-F42</f>
        <v/>
      </c>
      <c r="H42" s="13">
        <f>H41+G42</f>
        <v/>
      </c>
      <c r="I42" s="3" t="n"/>
      <c r="J42" s="3" t="n"/>
      <c r="K42" s="13">
        <f>IF(AND(I42="",J42=""),"",I42-J42)</f>
        <v/>
      </c>
      <c r="L42" s="14" t="n"/>
    </row>
    <row r="43">
      <c r="A43" s="2" t="inlineStr">
        <is>
          <t>2029/10</t>
        </is>
      </c>
      <c r="B43" s="11" t="inlineStr"/>
      <c r="C43" s="12">
        <f>前提!$C$21</f>
        <v/>
      </c>
      <c r="D43" s="12">
        <f>前提!$C$20</f>
        <v/>
      </c>
      <c r="E43" s="12">
        <f>前提!$C$22+前提!$C$13</f>
        <v/>
      </c>
      <c r="F43" s="12" t="n">
        <v>0</v>
      </c>
      <c r="G43" s="13">
        <f>C43-D43-E43-F43</f>
        <v/>
      </c>
      <c r="H43" s="13">
        <f>H42+G43</f>
        <v/>
      </c>
      <c r="I43" s="3" t="n"/>
      <c r="J43" s="3" t="n"/>
      <c r="K43" s="13">
        <f>IF(AND(I43="",J43=""),"",I43-J43)</f>
        <v/>
      </c>
      <c r="L43" s="14" t="n"/>
    </row>
    <row r="44">
      <c r="A44" s="2" t="inlineStr">
        <is>
          <t>2029/11</t>
        </is>
      </c>
      <c r="B44" s="11" t="inlineStr"/>
      <c r="C44" s="12">
        <f>前提!$C$21</f>
        <v/>
      </c>
      <c r="D44" s="12">
        <f>前提!$C$20</f>
        <v/>
      </c>
      <c r="E44" s="12">
        <f>前提!$C$22+前提!$C$13</f>
        <v/>
      </c>
      <c r="F44" s="12" t="n">
        <v>0</v>
      </c>
      <c r="G44" s="13">
        <f>C44-D44-E44-F44</f>
        <v/>
      </c>
      <c r="H44" s="13">
        <f>H43+G44</f>
        <v/>
      </c>
      <c r="I44" s="3" t="n"/>
      <c r="J44" s="3" t="n"/>
      <c r="K44" s="13">
        <f>IF(AND(I44="",J44=""),"",I44-J44)</f>
        <v/>
      </c>
      <c r="L44" s="14" t="n"/>
    </row>
    <row r="45">
      <c r="A45" s="2" t="inlineStr">
        <is>
          <t>2029/12</t>
        </is>
      </c>
      <c r="B45" s="11" t="inlineStr"/>
      <c r="C45" s="12">
        <f>前提!$C$21</f>
        <v/>
      </c>
      <c r="D45" s="12">
        <f>前提!$C$20</f>
        <v/>
      </c>
      <c r="E45" s="12">
        <f>前提!$C$22+前提!$C$13</f>
        <v/>
      </c>
      <c r="F45" s="12" t="n">
        <v>0</v>
      </c>
      <c r="G45" s="13">
        <f>C45-D45-E45-F45</f>
        <v/>
      </c>
      <c r="H45" s="13">
        <f>H44+G45</f>
        <v/>
      </c>
      <c r="I45" s="3" t="n"/>
      <c r="J45" s="3" t="n"/>
      <c r="K45" s="13">
        <f>IF(AND(I45="",J45=""),"",I45-J45)</f>
        <v/>
      </c>
      <c r="L45" s="14" t="n"/>
    </row>
    <row r="46">
      <c r="B46" s="15" t="inlineStr">
        <is>
          <t>合計</t>
        </is>
      </c>
      <c r="C46" s="16">
        <f>SUM(C4:C45)</f>
        <v/>
      </c>
      <c r="D46" s="16">
        <f>SUM(D4:D45)</f>
        <v/>
      </c>
      <c r="E46" s="16">
        <f>SUM(E4:E45)</f>
        <v/>
      </c>
      <c r="F46" s="16">
        <f>SUM(F4:F45)</f>
        <v/>
      </c>
      <c r="G46" s="16">
        <f>SUM(G4:G45)</f>
        <v/>
      </c>
      <c r="I46" s="16">
        <f>SUM(I4:I45)</f>
        <v/>
      </c>
      <c r="J46" s="16">
        <f>SUM(J4:J45)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イベント・トリガー管理（発生したら月次予実の実績列へ反映）</t>
        </is>
      </c>
    </row>
    <row r="3">
      <c r="A3" s="17" t="inlineStr">
        <is>
          <t>トリガー</t>
        </is>
      </c>
      <c r="B3" s="17" t="inlineStr">
        <is>
          <t>発生条件・時期</t>
        </is>
      </c>
      <c r="C3" s="17" t="inlineStr">
        <is>
          <t>影響額(概算/年)</t>
        </is>
      </c>
      <c r="D3" s="17" t="inlineStr">
        <is>
          <t>対応アクション</t>
        </is>
      </c>
      <c r="E3" s="17" t="inlineStr">
        <is>
          <t>状態</t>
        </is>
      </c>
      <c r="F3" s="17" t="inlineStr">
        <is>
          <t>備考</t>
        </is>
      </c>
    </row>
    <row r="4">
      <c r="A4" s="18" t="inlineStr">
        <is>
          <t>退去発生</t>
        </is>
      </c>
      <c r="B4" s="18" t="inlineStr">
        <is>
          <t>退去通知受領時（3月・9月要警戒）</t>
        </is>
      </c>
      <c r="C4" s="19">
        <f>前提!$C$17*前提!$C$18</f>
        <v/>
      </c>
      <c r="D4" s="18" t="inlineStr">
        <is>
          <t>原状回復→再募集。花みずき側は解体前提なら再募集せず空室維持も選択肢</t>
        </is>
      </c>
      <c r="E4" s="20" t="inlineStr">
        <is>
          <t>監視中</t>
        </is>
      </c>
      <c r="F4" s="18" t="inlineStr">
        <is>
          <t>大学生協/トラステンから通知</t>
        </is>
      </c>
    </row>
    <row r="5">
      <c r="A5" s="18" t="inlineStr">
        <is>
          <t>金利上昇 +0.5%</t>
        </is>
      </c>
      <c r="B5" s="18" t="inlineStr">
        <is>
          <t>岩銀の基準金利改定時</t>
        </is>
      </c>
      <c r="C5" s="19">
        <f>前提!$C$6*0.005</f>
        <v/>
      </c>
      <c r="D5" s="18" t="inlineStr">
        <is>
          <t>返済額再計算→前提!金利を更新。+1.0%超なら繰上返済・借換え検討</t>
        </is>
      </c>
      <c r="E5" s="20" t="inlineStr">
        <is>
          <t>監視中</t>
        </is>
      </c>
      <c r="F5" s="18" t="inlineStr">
        <is>
          <t>利息増加分の年額</t>
        </is>
      </c>
    </row>
    <row r="6">
      <c r="A6" s="18" t="inlineStr">
        <is>
          <t>金利上昇 +1.0%</t>
        </is>
      </c>
      <c r="B6" s="18" t="inlineStr">
        <is>
          <t>同上</t>
        </is>
      </c>
      <c r="C6" s="19">
        <f>前提!$C$6*0.01</f>
        <v/>
      </c>
      <c r="D6" s="18" t="inlineStr">
        <is>
          <t>借換え見積（北日本銀行・公庫）＋売却検討ラインへ</t>
        </is>
      </c>
      <c r="E6" s="20" t="inlineStr">
        <is>
          <t>監視中</t>
        </is>
      </c>
      <c r="F6" s="18" t="inlineStr"/>
    </row>
    <row r="7">
      <c r="A7" s="18" t="inlineStr">
        <is>
          <t>大規模修繕の兆候</t>
        </is>
      </c>
      <c r="B7" s="18" t="inlineStr">
        <is>
          <t>雨漏り・外壁・設備故障の報告時</t>
        </is>
      </c>
      <c r="C7" s="18" t="n">
        <v>0</v>
      </c>
      <c r="D7" s="18" t="inlineStr">
        <is>
          <t>見積2社→修繕 vs 売却の採算比較</t>
        </is>
      </c>
      <c r="E7" s="21" t="inlineStr">
        <is>
          <t>未発生</t>
        </is>
      </c>
      <c r="F7" s="18" t="inlineStr">
        <is>
          <t>築年数要確認</t>
        </is>
      </c>
    </row>
    <row r="8">
      <c r="A8" s="18" t="inlineStr">
        <is>
          <t>花みずき全空</t>
        </is>
      </c>
      <c r="B8" s="18" t="inlineStr">
        <is>
          <t>3棟とも退去した時点</t>
        </is>
      </c>
      <c r="C8" s="18" t="n">
        <v>0</v>
      </c>
      <c r="D8" s="18" t="inlineStr">
        <is>
          <t>解体（東日産業見積あり）→新築 or 更地売却の判断</t>
        </is>
      </c>
      <c r="E8" s="21" t="inlineStr">
        <is>
          <t>未発生</t>
        </is>
      </c>
      <c r="F8" s="18" t="inlineStr">
        <is>
          <t>解体費見積は取得済み</t>
        </is>
      </c>
    </row>
    <row r="9">
      <c r="A9" s="18" t="inlineStr">
        <is>
          <t>保険更新</t>
        </is>
      </c>
      <c r="B9" s="18" t="inlineStr">
        <is>
          <t>毎年8月</t>
        </is>
      </c>
      <c r="C9" s="19">
        <f>前提!$C$14</f>
        <v/>
      </c>
      <c r="D9" s="18" t="inlineStr">
        <is>
          <t>保険料改定チェック・補償内容見直し（水災・地震特約）</t>
        </is>
      </c>
      <c r="E9" s="21" t="inlineStr">
        <is>
          <t>毎年</t>
        </is>
      </c>
      <c r="F9" s="18" t="inlineStr">
        <is>
          <t>アズール岩尾/持田さんに相見積可</t>
        </is>
      </c>
    </row>
    <row r="10">
      <c r="A10" s="18" t="inlineStr">
        <is>
          <t>売却検討ライン</t>
        </is>
      </c>
      <c r="B10" s="18" t="inlineStr">
        <is>
          <t>保有3年経過（2029/8）or 金利+1%超 or 空室率30%超</t>
        </is>
      </c>
      <c r="C10" s="18" t="n">
        <v>0</v>
      </c>
      <c r="D10" s="18" t="inlineStr">
        <is>
          <t>収支実績3年分で査定→売却 vs 継続。想定利回り8%で逆算</t>
        </is>
      </c>
      <c r="E10" s="21" t="inlineStr">
        <is>
          <t>未発生</t>
        </is>
      </c>
      <c r="F10" s="18" t="inlineStr">
        <is>
          <t>予実シートの累計CFで判断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2026-07-22T01:11:12Z</dcterms:created>
  <dcterms:modified xsi:type="dcterms:W3CDTF">2026-07-30T12:06:33Z</dcterms:modified>
</cp:coreProperties>
</file>
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算(KHD)" sheetId="1" state="visible" r:id="rId1"/>
    <sheet name="記入ガイド(KH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sz val="9"/>
    </font>
    <font>
      <b val="1"/>
      <color rgb="00C00000"/>
    </font>
    <font/>
  </fonts>
  <fills count="5">
    <fill>
      <patternFill/>
    </fill>
    <fill>
      <patternFill patternType="gray125"/>
    </fill>
    <fill>
      <patternFill patternType="solid">
        <fgColor rgb="00EFE6D5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0" pivotButton="0" quotePrefix="0" xfId="0"/>
    <xf numFmtId="164" fontId="0" fillId="0" borderId="1" pivotButton="0" quotePrefix="0" xfId="0"/>
    <xf numFmtId="0" fontId="2" fillId="0" borderId="0" pivotButton="0" quotePrefix="0" xfId="0"/>
    <xf numFmtId="164" fontId="2" fillId="0" borderId="1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8"/>
  <sheetViews>
    <sheetView workbookViewId="0">
      <selection activeCell="A1" sqref="A1"/>
    </sheetView>
  </sheetViews>
  <sheetFormatPr baseColWidth="8" defaultRowHeight="15"/>
  <cols>
    <col width="8" customWidth="1" min="2" max="2"/>
    <col width="5" customWidth="1" min="3" max="3"/>
    <col width="44" customWidth="1" min="4" max="4"/>
    <col width="12" customWidth="1" min="5" max="5"/>
    <col width="6" customWidth="1" min="6" max="6"/>
    <col width="30" customWidth="1" min="7" max="7"/>
    <col width="14" customWidth="1" min="8" max="8"/>
  </cols>
  <sheetData>
    <row r="2">
      <c r="B2" s="1" t="inlineStr">
        <is>
          <t>信用保証協会から翌期いくら借りられるか 試算EXCEL — KHD版</t>
        </is>
      </c>
      <c r="H2" t="inlineStr">
        <is>
          <t>元: Version.2.1(伊東さん共有) / 単位:万円</t>
        </is>
      </c>
    </row>
    <row r="4">
      <c r="B4" s="2" t="inlineStr">
        <is>
          <t>＜ア＞ KIKUCHIホールディングス(株) 第4期実績(R8/1期・申告済)</t>
        </is>
      </c>
      <c r="D4" s="3" t="inlineStr">
        <is>
          <t>項目</t>
        </is>
      </c>
      <c r="E4" s="3" t="inlineStr">
        <is>
          <t>単位:万円</t>
        </is>
      </c>
      <c r="G4" s="4" t="inlineStr">
        <is>
          <t>第4期決算書(2026-03-30電子申告)から記入</t>
        </is>
      </c>
    </row>
    <row r="5">
      <c r="B5" t="inlineStr">
        <is>
          <t>BS</t>
        </is>
      </c>
      <c r="C5" t="inlineStr">
        <is>
          <t>A</t>
        </is>
      </c>
      <c r="D5" t="inlineStr">
        <is>
          <t>総資産(資産は合計いくらあるか?)</t>
        </is>
      </c>
      <c r="E5" s="5" t="n"/>
      <c r="F5" t="inlineStr">
        <is>
          <t>万円</t>
        </is>
      </c>
      <c r="G5" s="6" t="inlineStr"/>
    </row>
    <row r="6">
      <c r="B6" t="inlineStr">
        <is>
          <t>BS</t>
        </is>
      </c>
      <c r="C6" t="inlineStr">
        <is>
          <t>B</t>
        </is>
      </c>
      <c r="D6" t="inlineStr">
        <is>
          <t>純資産(借入を除いた資産はいくらあるか?)</t>
        </is>
      </c>
      <c r="E6" s="5" t="n"/>
      <c r="F6" t="inlineStr">
        <is>
          <t>万円</t>
        </is>
      </c>
      <c r="G6" s="6" t="inlineStr">
        <is>
          <t>⇒役員借入金を含む</t>
        </is>
      </c>
    </row>
    <row r="7">
      <c r="B7" t="inlineStr">
        <is>
          <t>BS</t>
        </is>
      </c>
      <c r="C7" t="inlineStr">
        <is>
          <t>C</t>
        </is>
      </c>
      <c r="D7" t="inlineStr">
        <is>
          <t>長期借入金</t>
        </is>
      </c>
      <c r="E7" s="5" t="n"/>
      <c r="F7" t="inlineStr">
        <is>
          <t>万円</t>
        </is>
      </c>
      <c r="G7" s="6" t="inlineStr">
        <is>
          <t>⇒役員借入金を除く</t>
        </is>
      </c>
    </row>
    <row r="8">
      <c r="B8" t="inlineStr">
        <is>
          <t>PL</t>
        </is>
      </c>
      <c r="C8" t="inlineStr">
        <is>
          <t>D</t>
        </is>
      </c>
      <c r="D8" t="inlineStr">
        <is>
          <t>減価償却</t>
        </is>
      </c>
      <c r="E8" s="5" t="n"/>
      <c r="F8" t="inlineStr">
        <is>
          <t>万円</t>
        </is>
      </c>
      <c r="G8" s="6" t="inlineStr"/>
    </row>
    <row r="9">
      <c r="B9" t="inlineStr">
        <is>
          <t>PL</t>
        </is>
      </c>
      <c r="C9" t="inlineStr">
        <is>
          <t>E</t>
        </is>
      </c>
      <c r="D9" t="inlineStr">
        <is>
          <t>税引前当期純利益</t>
        </is>
      </c>
      <c r="E9" s="5" t="n"/>
      <c r="F9" t="inlineStr">
        <is>
          <t>万円</t>
        </is>
      </c>
      <c r="G9" s="6" t="inlineStr"/>
    </row>
    <row r="10">
      <c r="B10" s="7" t="inlineStr">
        <is>
          <t>計算式</t>
        </is>
      </c>
      <c r="C10" t="inlineStr">
        <is>
          <t>①</t>
        </is>
      </c>
      <c r="D10" t="inlineStr">
        <is>
          <t>自己資本比率(自己資金は何%か?)</t>
        </is>
      </c>
      <c r="E10" s="8">
        <f>E6/E5*100</f>
        <v/>
      </c>
      <c r="F10" t="inlineStr">
        <is>
          <t>%</t>
        </is>
      </c>
      <c r="G10" s="6" t="inlineStr">
        <is>
          <t>式⇒B÷A</t>
        </is>
      </c>
    </row>
    <row r="11">
      <c r="B11" s="7" t="inlineStr">
        <is>
          <t>計算式</t>
        </is>
      </c>
      <c r="C11" t="inlineStr">
        <is>
          <t>②</t>
        </is>
      </c>
      <c r="D11" t="inlineStr">
        <is>
          <t>債務償還年数(借入は何年で返せるか?)</t>
        </is>
      </c>
      <c r="E11" s="8">
        <f>E7/(E8+E9)</f>
        <v/>
      </c>
      <c r="F11" t="inlineStr">
        <is>
          <t>年</t>
        </is>
      </c>
      <c r="G11" s="6" t="inlineStr">
        <is>
          <t>式⇒C÷(D+E)</t>
        </is>
      </c>
    </row>
    <row r="12">
      <c r="B12" s="7" t="inlineStr">
        <is>
          <t>計算式</t>
        </is>
      </c>
      <c r="C12" t="inlineStr">
        <is>
          <t>③</t>
        </is>
      </c>
      <c r="D12" t="inlineStr">
        <is>
          <t>自己資本比率から見た借入上限</t>
        </is>
      </c>
      <c r="E12" s="8">
        <f>E6/0.25</f>
        <v/>
      </c>
      <c r="F12" t="inlineStr">
        <is>
          <t>万円</t>
        </is>
      </c>
      <c r="G12" s="6" t="inlineStr">
        <is>
          <t>式⇒B÷0.25 (=B×4)</t>
        </is>
      </c>
    </row>
    <row r="13">
      <c r="B13" s="7" t="inlineStr">
        <is>
          <t>計算式</t>
        </is>
      </c>
      <c r="C13" t="inlineStr">
        <is>
          <t>④</t>
        </is>
      </c>
      <c r="D13" t="inlineStr">
        <is>
          <t>債務償還年数から見た借入上限</t>
        </is>
      </c>
      <c r="E13" s="8">
        <f>(E8+E9)*20</f>
        <v/>
      </c>
      <c r="F13" t="inlineStr">
        <is>
          <t>万円</t>
        </is>
      </c>
      <c r="G13" s="6" t="inlineStr">
        <is>
          <t>式⇒(D+E)×20</t>
        </is>
      </c>
    </row>
    <row r="14">
      <c r="B14" s="7" t="inlineStr">
        <is>
          <t>計算式</t>
        </is>
      </c>
      <c r="C14" t="inlineStr">
        <is>
          <t>⑤</t>
        </is>
      </c>
      <c r="D14" s="9" t="inlineStr">
        <is>
          <t>翌期の借入上限</t>
        </is>
      </c>
      <c r="E14" s="10">
        <f>(E12+E13)/2</f>
        <v/>
      </c>
      <c r="F14" t="inlineStr">
        <is>
          <t>万円</t>
        </is>
      </c>
      <c r="G14" s="6" t="inlineStr">
        <is>
          <t>式⇒(③+④)÷2</t>
        </is>
      </c>
    </row>
    <row r="15">
      <c r="B15" s="7" t="inlineStr">
        <is>
          <t>計算式</t>
        </is>
      </c>
      <c r="C15" t="inlineStr">
        <is>
          <t>⑥</t>
        </is>
      </c>
      <c r="D15" s="9" t="inlineStr">
        <is>
          <t>翌期の借りれ枠(マイナスはNG)</t>
        </is>
      </c>
      <c r="E15" s="10">
        <f>E14-E7</f>
        <v/>
      </c>
      <c r="F15" t="inlineStr">
        <is>
          <t>万円</t>
        </is>
      </c>
      <c r="G15" s="6" t="inlineStr">
        <is>
          <t>式⇒⑤-C</t>
        </is>
      </c>
    </row>
    <row r="16">
      <c r="B16" s="7" t="inlineStr">
        <is>
          <t>判定</t>
        </is>
      </c>
      <c r="D16" t="inlineStr">
        <is>
          <t>この決算での保証協会の見え方</t>
        </is>
      </c>
      <c r="E16" s="11">
        <f>IF(E9="","(E未記入)",IF(E9&lt;0,"⚠赤字:以降3年 設備資金NG(運転も厳しい)",IF(E15&lt;=0,"⚠枠なし:既存借入が上限超過","○ 約 "&amp;TEXT(E15,"#,##0")&amp;"万円まで")))</f>
        <v/>
      </c>
    </row>
    <row r="18">
      <c r="B18" s="2" t="inlineStr">
        <is>
          <t>＜イ＞ 同・翌期(第5期)シミュレーション</t>
        </is>
      </c>
      <c r="D18" s="3" t="inlineStr">
        <is>
          <t>項目</t>
        </is>
      </c>
      <c r="E18" s="3" t="inlineStr">
        <is>
          <t>単位:万円</t>
        </is>
      </c>
      <c r="G18" s="4" t="inlineStr">
        <is>
          <t>高松二丁目取得(8/31決済・岩手銀行)/公庫FC融資(9月末実行)織込後の見込みで</t>
        </is>
      </c>
    </row>
    <row r="19">
      <c r="B19" t="inlineStr">
        <is>
          <t>BS</t>
        </is>
      </c>
      <c r="C19" t="inlineStr">
        <is>
          <t>A</t>
        </is>
      </c>
      <c r="D19" t="inlineStr">
        <is>
          <t>総資産(資産は合計いくらあるか?)</t>
        </is>
      </c>
      <c r="E19" s="5" t="n"/>
      <c r="F19" t="inlineStr">
        <is>
          <t>万円</t>
        </is>
      </c>
      <c r="G19" s="6" t="inlineStr"/>
    </row>
    <row r="20">
      <c r="B20" t="inlineStr">
        <is>
          <t>BS</t>
        </is>
      </c>
      <c r="C20" t="inlineStr">
        <is>
          <t>B</t>
        </is>
      </c>
      <c r="D20" t="inlineStr">
        <is>
          <t>純資産(借入を除いた資産はいくらあるか?)</t>
        </is>
      </c>
      <c r="E20" s="5" t="n"/>
      <c r="F20" t="inlineStr">
        <is>
          <t>万円</t>
        </is>
      </c>
      <c r="G20" s="6" t="inlineStr">
        <is>
          <t>⇒役員借入金を含む</t>
        </is>
      </c>
    </row>
    <row r="21">
      <c r="B21" t="inlineStr">
        <is>
          <t>BS</t>
        </is>
      </c>
      <c r="C21" t="inlineStr">
        <is>
          <t>C</t>
        </is>
      </c>
      <c r="D21" t="inlineStr">
        <is>
          <t>長期借入金</t>
        </is>
      </c>
      <c r="E21" s="5" t="n"/>
      <c r="F21" t="inlineStr">
        <is>
          <t>万円</t>
        </is>
      </c>
      <c r="G21" s="6" t="inlineStr">
        <is>
          <t>⇒役員借入金を除く</t>
        </is>
      </c>
    </row>
    <row r="22">
      <c r="B22" t="inlineStr">
        <is>
          <t>PL</t>
        </is>
      </c>
      <c r="C22" t="inlineStr">
        <is>
          <t>D</t>
        </is>
      </c>
      <c r="D22" t="inlineStr">
        <is>
          <t>減価償却</t>
        </is>
      </c>
      <c r="E22" s="5" t="n"/>
      <c r="F22" t="inlineStr">
        <is>
          <t>万円</t>
        </is>
      </c>
      <c r="G22" s="6" t="inlineStr"/>
    </row>
    <row r="23">
      <c r="B23" t="inlineStr">
        <is>
          <t>PL</t>
        </is>
      </c>
      <c r="C23" t="inlineStr">
        <is>
          <t>E</t>
        </is>
      </c>
      <c r="D23" t="inlineStr">
        <is>
          <t>税引前当期純利益</t>
        </is>
      </c>
      <c r="E23" s="5" t="n"/>
      <c r="F23" t="inlineStr">
        <is>
          <t>万円</t>
        </is>
      </c>
      <c r="G23" s="6" t="inlineStr"/>
    </row>
    <row r="24">
      <c r="B24" s="7" t="inlineStr">
        <is>
          <t>計算式</t>
        </is>
      </c>
      <c r="C24" t="inlineStr">
        <is>
          <t>①</t>
        </is>
      </c>
      <c r="D24" t="inlineStr">
        <is>
          <t>自己資本比率(自己資金は何%か?)</t>
        </is>
      </c>
      <c r="E24" s="8">
        <f>E20/E19*100</f>
        <v/>
      </c>
      <c r="F24" t="inlineStr">
        <is>
          <t>%</t>
        </is>
      </c>
      <c r="G24" s="6" t="inlineStr">
        <is>
          <t>式⇒B÷A</t>
        </is>
      </c>
    </row>
    <row r="25">
      <c r="B25" s="7" t="inlineStr">
        <is>
          <t>計算式</t>
        </is>
      </c>
      <c r="C25" t="inlineStr">
        <is>
          <t>②</t>
        </is>
      </c>
      <c r="D25" t="inlineStr">
        <is>
          <t>債務償還年数(借入は何年で返せるか?)</t>
        </is>
      </c>
      <c r="E25" s="8">
        <f>E21/(E22+E23)</f>
        <v/>
      </c>
      <c r="F25" t="inlineStr">
        <is>
          <t>年</t>
        </is>
      </c>
      <c r="G25" s="6" t="inlineStr">
        <is>
          <t>式⇒C÷(D+E)</t>
        </is>
      </c>
    </row>
    <row r="26">
      <c r="B26" s="7" t="inlineStr">
        <is>
          <t>計算式</t>
        </is>
      </c>
      <c r="C26" t="inlineStr">
        <is>
          <t>③</t>
        </is>
      </c>
      <c r="D26" t="inlineStr">
        <is>
          <t>自己資本比率から見た借入上限</t>
        </is>
      </c>
      <c r="E26" s="8">
        <f>E20/0.25</f>
        <v/>
      </c>
      <c r="F26" t="inlineStr">
        <is>
          <t>万円</t>
        </is>
      </c>
      <c r="G26" s="6" t="inlineStr">
        <is>
          <t>式⇒B÷0.25 (=B×4)</t>
        </is>
      </c>
    </row>
    <row r="27">
      <c r="B27" s="7" t="inlineStr">
        <is>
          <t>計算式</t>
        </is>
      </c>
      <c r="C27" t="inlineStr">
        <is>
          <t>④</t>
        </is>
      </c>
      <c r="D27" t="inlineStr">
        <is>
          <t>債務償還年数から見た借入上限</t>
        </is>
      </c>
      <c r="E27" s="8">
        <f>(E22+E23)*20</f>
        <v/>
      </c>
      <c r="F27" t="inlineStr">
        <is>
          <t>万円</t>
        </is>
      </c>
      <c r="G27" s="6" t="inlineStr">
        <is>
          <t>式⇒(D+E)×20</t>
        </is>
      </c>
    </row>
    <row r="28">
      <c r="B28" s="7" t="inlineStr">
        <is>
          <t>計算式</t>
        </is>
      </c>
      <c r="C28" t="inlineStr">
        <is>
          <t>⑤</t>
        </is>
      </c>
      <c r="D28" s="9" t="inlineStr">
        <is>
          <t>翌期の借入上限</t>
        </is>
      </c>
      <c r="E28" s="10">
        <f>(E26+E27)/2</f>
        <v/>
      </c>
      <c r="F28" t="inlineStr">
        <is>
          <t>万円</t>
        </is>
      </c>
      <c r="G28" s="6" t="inlineStr">
        <is>
          <t>式⇒(③+④)÷2</t>
        </is>
      </c>
    </row>
    <row r="29">
      <c r="B29" s="7" t="inlineStr">
        <is>
          <t>計算式</t>
        </is>
      </c>
      <c r="C29" t="inlineStr">
        <is>
          <t>⑥</t>
        </is>
      </c>
      <c r="D29" s="9" t="inlineStr">
        <is>
          <t>翌期の借りれ枠(マイナスはNG)</t>
        </is>
      </c>
      <c r="E29" s="10">
        <f>E28-E21</f>
        <v/>
      </c>
      <c r="F29" t="inlineStr">
        <is>
          <t>万円</t>
        </is>
      </c>
      <c r="G29" s="6" t="inlineStr">
        <is>
          <t>式⇒⑤-C</t>
        </is>
      </c>
    </row>
    <row r="30">
      <c r="B30" s="7" t="inlineStr">
        <is>
          <t>判定</t>
        </is>
      </c>
      <c r="D30" t="inlineStr">
        <is>
          <t>この決算での保証協会の見え方</t>
        </is>
      </c>
      <c r="E30" s="11">
        <f>IF(E23="","(E未記入)",IF(E23&lt;0,"⚠赤字:以降3年 設備資金NG(運転も厳しい)",IF(E29&lt;=0,"⚠枠なし:既存借入が上限超過","○ 約 "&amp;TEXT(E29,"#,##0")&amp;"万円まで")))</f>
        <v/>
      </c>
    </row>
    <row r="32">
      <c r="B32" s="2" t="inlineStr">
        <is>
          <t>＜ウ＞ 個人事業(菊池研太・EC) ※参考</t>
        </is>
      </c>
      <c r="D32" s="3" t="inlineStr">
        <is>
          <t>項目</t>
        </is>
      </c>
      <c r="E32" s="3" t="inlineStr">
        <is>
          <t>単位:万円</t>
        </is>
      </c>
      <c r="G32" s="4" t="inlineStr">
        <is>
          <t>確定申告書(青色決算書)から。保証協会は個人事業も対象</t>
        </is>
      </c>
    </row>
    <row r="33">
      <c r="B33" t="inlineStr">
        <is>
          <t>BS</t>
        </is>
      </c>
      <c r="C33" t="inlineStr">
        <is>
          <t>A</t>
        </is>
      </c>
      <c r="D33" t="inlineStr">
        <is>
          <t>総資産(資産は合計いくらあるか?)</t>
        </is>
      </c>
      <c r="E33" s="5" t="n"/>
      <c r="F33" t="inlineStr">
        <is>
          <t>万円</t>
        </is>
      </c>
      <c r="G33" s="6" t="inlineStr"/>
    </row>
    <row r="34">
      <c r="B34" t="inlineStr">
        <is>
          <t>BS</t>
        </is>
      </c>
      <c r="C34" t="inlineStr">
        <is>
          <t>B</t>
        </is>
      </c>
      <c r="D34" t="inlineStr">
        <is>
          <t>純資産(借入を除いた資産はいくらあるか?)</t>
        </is>
      </c>
      <c r="E34" s="5" t="n"/>
      <c r="F34" t="inlineStr">
        <is>
          <t>万円</t>
        </is>
      </c>
      <c r="G34" s="6" t="inlineStr">
        <is>
          <t>⇒役員借入金を含む</t>
        </is>
      </c>
    </row>
    <row r="35">
      <c r="B35" t="inlineStr">
        <is>
          <t>BS</t>
        </is>
      </c>
      <c r="C35" t="inlineStr">
        <is>
          <t>C</t>
        </is>
      </c>
      <c r="D35" t="inlineStr">
        <is>
          <t>長期借入金</t>
        </is>
      </c>
      <c r="E35" s="5" t="n"/>
      <c r="F35" t="inlineStr">
        <is>
          <t>万円</t>
        </is>
      </c>
      <c r="G35" s="6" t="inlineStr">
        <is>
          <t>⇒役員借入金を除く</t>
        </is>
      </c>
    </row>
    <row r="36">
      <c r="B36" t="inlineStr">
        <is>
          <t>PL</t>
        </is>
      </c>
      <c r="C36" t="inlineStr">
        <is>
          <t>D</t>
        </is>
      </c>
      <c r="D36" t="inlineStr">
        <is>
          <t>減価償却</t>
        </is>
      </c>
      <c r="E36" s="5" t="n"/>
      <c r="F36" t="inlineStr">
        <is>
          <t>万円</t>
        </is>
      </c>
      <c r="G36" s="6" t="inlineStr"/>
    </row>
    <row r="37">
      <c r="B37" t="inlineStr">
        <is>
          <t>PL</t>
        </is>
      </c>
      <c r="C37" t="inlineStr">
        <is>
          <t>E</t>
        </is>
      </c>
      <c r="D37" t="inlineStr">
        <is>
          <t>税引前当期純利益</t>
        </is>
      </c>
      <c r="E37" s="5" t="n"/>
      <c r="F37" t="inlineStr">
        <is>
          <t>万円</t>
        </is>
      </c>
      <c r="G37" s="6" t="inlineStr"/>
    </row>
    <row r="38">
      <c r="B38" s="7" t="inlineStr">
        <is>
          <t>計算式</t>
        </is>
      </c>
      <c r="C38" t="inlineStr">
        <is>
          <t>①</t>
        </is>
      </c>
      <c r="D38" t="inlineStr">
        <is>
          <t>自己資本比率(自己資金は何%か?)</t>
        </is>
      </c>
      <c r="E38" s="8">
        <f>E34/E33*100</f>
        <v/>
      </c>
      <c r="F38" t="inlineStr">
        <is>
          <t>%</t>
        </is>
      </c>
      <c r="G38" s="6" t="inlineStr">
        <is>
          <t>式⇒B÷A</t>
        </is>
      </c>
    </row>
    <row r="39">
      <c r="B39" s="7" t="inlineStr">
        <is>
          <t>計算式</t>
        </is>
      </c>
      <c r="C39" t="inlineStr">
        <is>
          <t>②</t>
        </is>
      </c>
      <c r="D39" t="inlineStr">
        <is>
          <t>債務償還年数(借入は何年で返せるか?)</t>
        </is>
      </c>
      <c r="E39" s="8">
        <f>E35/(E36+E37)</f>
        <v/>
      </c>
      <c r="F39" t="inlineStr">
        <is>
          <t>年</t>
        </is>
      </c>
      <c r="G39" s="6" t="inlineStr">
        <is>
          <t>式⇒C÷(D+E)</t>
        </is>
      </c>
    </row>
    <row r="40">
      <c r="B40" s="7" t="inlineStr">
        <is>
          <t>計算式</t>
        </is>
      </c>
      <c r="C40" t="inlineStr">
        <is>
          <t>③</t>
        </is>
      </c>
      <c r="D40" t="inlineStr">
        <is>
          <t>自己資本比率から見た借入上限</t>
        </is>
      </c>
      <c r="E40" s="8">
        <f>E34/0.25</f>
        <v/>
      </c>
      <c r="F40" t="inlineStr">
        <is>
          <t>万円</t>
        </is>
      </c>
      <c r="G40" s="6" t="inlineStr">
        <is>
          <t>式⇒B÷0.25 (=B×4)</t>
        </is>
      </c>
    </row>
    <row r="41">
      <c r="B41" s="7" t="inlineStr">
        <is>
          <t>計算式</t>
        </is>
      </c>
      <c r="C41" t="inlineStr">
        <is>
          <t>④</t>
        </is>
      </c>
      <c r="D41" t="inlineStr">
        <is>
          <t>債務償還年数から見た借入上限</t>
        </is>
      </c>
      <c r="E41" s="8">
        <f>(E36+E37)*20</f>
        <v/>
      </c>
      <c r="F41" t="inlineStr">
        <is>
          <t>万円</t>
        </is>
      </c>
      <c r="G41" s="6" t="inlineStr">
        <is>
          <t>式⇒(D+E)×20</t>
        </is>
      </c>
    </row>
    <row r="42">
      <c r="B42" s="7" t="inlineStr">
        <is>
          <t>計算式</t>
        </is>
      </c>
      <c r="C42" t="inlineStr">
        <is>
          <t>⑤</t>
        </is>
      </c>
      <c r="D42" s="9" t="inlineStr">
        <is>
          <t>翌期の借入上限</t>
        </is>
      </c>
      <c r="E42" s="10">
        <f>(E40+E41)/2</f>
        <v/>
      </c>
      <c r="F42" t="inlineStr">
        <is>
          <t>万円</t>
        </is>
      </c>
      <c r="G42" s="6" t="inlineStr">
        <is>
          <t>式⇒(③+④)÷2</t>
        </is>
      </c>
    </row>
    <row r="43">
      <c r="B43" s="7" t="inlineStr">
        <is>
          <t>計算式</t>
        </is>
      </c>
      <c r="C43" t="inlineStr">
        <is>
          <t>⑥</t>
        </is>
      </c>
      <c r="D43" s="9" t="inlineStr">
        <is>
          <t>翌期の借りれ枠(マイナスはNG)</t>
        </is>
      </c>
      <c r="E43" s="10">
        <f>E42-E35</f>
        <v/>
      </c>
      <c r="F43" t="inlineStr">
        <is>
          <t>万円</t>
        </is>
      </c>
      <c r="G43" s="6" t="inlineStr">
        <is>
          <t>式⇒⑤-C</t>
        </is>
      </c>
    </row>
    <row r="44">
      <c r="B44" s="7" t="inlineStr">
        <is>
          <t>判定</t>
        </is>
      </c>
      <c r="D44" t="inlineStr">
        <is>
          <t>この決算での保証協会の見え方</t>
        </is>
      </c>
      <c r="E44" s="11">
        <f>IF(E37="","(E未記入)",IF(E37&lt;0,"⚠赤字:以降3年 設備資金NG(運転も厳しい)",IF(E43&lt;=0,"⚠枠なし:既存借入が上限超過","○ 約 "&amp;TEXT(E43,"#,##0")&amp;"万円まで")))</f>
        <v/>
      </c>
    </row>
    <row r="46">
      <c r="B46" s="12" t="inlineStr">
        <is>
          <t>【注意】E(税引前当期純利益)がマイナスになったら、保証協会は以降3年設備資金は借りられない。(公庫は試算表で評価してもらえるから異なる)
⑥の枠(金額)が翌期新たに借りられる上限。保証協会は年1回の決算書が全て。</t>
        </is>
      </c>
    </row>
    <row r="47"/>
    <row r="48"/>
  </sheetData>
  <mergeCells count="4">
    <mergeCell ref="E30:H30"/>
    <mergeCell ref="E16:H16"/>
    <mergeCell ref="B46:H48"/>
    <mergeCell ref="E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>
      <c r="B2" s="9" t="inlineStr">
        <is>
          <t>信用保証協会 借入余力試算 — KHDの記入ガイド</t>
        </is>
      </c>
      <c r="C2" s="13" t="inlineStr"/>
    </row>
    <row r="3">
      <c r="B3" s="14" t="inlineStr"/>
      <c r="C3" s="13" t="inlineStr"/>
    </row>
    <row r="4">
      <c r="B4" s="9" t="inlineStr">
        <is>
          <t>■ 5つの入力を決算書のどこから取るか</t>
        </is>
      </c>
      <c r="C4" s="13" t="inlineStr"/>
    </row>
    <row r="5">
      <c r="B5" s="14" t="inlineStr">
        <is>
          <t>A 総資産</t>
        </is>
      </c>
      <c r="C5" s="13" t="inlineStr">
        <is>
          <t>BS「資産の部 合計」</t>
        </is>
      </c>
    </row>
    <row r="6">
      <c r="B6" s="14" t="inlineStr">
        <is>
          <t>B 純資産</t>
        </is>
      </c>
      <c r="C6" s="13" t="inlineStr">
        <is>
          <t>BS「純資産の部 合計」+ 役員借入金(菊池→法人の貸付)。役員借入は資本性とみなして足す</t>
        </is>
      </c>
    </row>
    <row r="7">
      <c r="B7" s="14" t="inlineStr">
        <is>
          <t>C 長期借入金</t>
        </is>
      </c>
      <c r="C7" s="13" t="inlineStr">
        <is>
          <t>BS固定負債の「長期借入金」から役員借入金を引いた額(銀行・公庫等の外部借入のみ)</t>
        </is>
      </c>
    </row>
    <row r="8">
      <c r="B8" s="14" t="inlineStr">
        <is>
          <t>D 減価償却</t>
        </is>
      </c>
      <c r="C8" s="13" t="inlineStr">
        <is>
          <t>PL販管費の「減価償却費」(製造原価にあれば合算)</t>
        </is>
      </c>
    </row>
    <row r="9">
      <c r="B9" s="14" t="inlineStr">
        <is>
          <t>E 税引前当期純利益</t>
        </is>
      </c>
      <c r="C9" s="13" t="inlineStr">
        <is>
          <t>PL「税引前当期純利益」</t>
        </is>
      </c>
    </row>
    <row r="10">
      <c r="B10" s="14" t="inlineStr"/>
      <c r="C10" s="13" t="inlineStr"/>
    </row>
    <row r="11">
      <c r="B11" s="9" t="inlineStr">
        <is>
          <t>■ KHDで分かっていること(2026-08-13時点)</t>
        </is>
      </c>
      <c r="C11" s="13" t="inlineStr"/>
    </row>
    <row r="12">
      <c r="B12" s="14" t="inlineStr">
        <is>
          <t>法人第4期(R8/1期)</t>
        </is>
      </c>
      <c r="C12" s="13" t="inlineStr">
        <is>
          <t>2026-03-30電子申告済み。決算書PDFは税理士(橋本先生)/岩手銀行提出分あり</t>
        </is>
      </c>
    </row>
    <row r="13">
      <c r="B13" s="14" t="inlineStr">
        <is>
          <t>家計BSメモ(2026-06-04)</t>
        </is>
      </c>
      <c r="C13" s="13" t="inlineStr">
        <is>
          <t>法人は債務超過▲42万円との記録 → 帳簿上の純資産はマイナスの可能性</t>
        </is>
      </c>
    </row>
    <row r="14">
      <c r="B14" s="9" t="inlineStr">
        <is>
          <t>★重要</t>
        </is>
      </c>
      <c r="C14" s="13" t="inlineStr">
        <is>
          <t>ただしBは役員借入金を含めてよい。菊池さんから法人への貸付があれば、その分Bはプラス側に戻る。ここが結果を左右する最大の変数</t>
        </is>
      </c>
    </row>
    <row r="15">
      <c r="B15" s="14" t="inlineStr">
        <is>
          <t>既存借入(C側)</t>
        </is>
      </c>
      <c r="C15" s="13" t="inlineStr">
        <is>
          <t>朝日信用金庫(返済予定明細あり)/岩手銀行(高松二丁目・8/31決済で新規)/公庫 創業融資(FC・9月末実行予定)</t>
        </is>
      </c>
    </row>
    <row r="16">
      <c r="B16" s="14" t="inlineStr"/>
      <c r="C16" s="13" t="inlineStr"/>
    </row>
    <row r="17">
      <c r="B17" s="9" t="inlineStr">
        <is>
          <t>■ 読み方</t>
        </is>
      </c>
      <c r="C17" s="13" t="inlineStr"/>
    </row>
    <row r="18">
      <c r="B18" s="14" t="inlineStr">
        <is>
          <t>Eが赤字の場合</t>
        </is>
      </c>
      <c r="C18" s="13" t="inlineStr">
        <is>
          <t>保証協会は以降3年設備資金NG。その間の設備は公庫(試算表評価)か銀行プロパーが本命</t>
        </is>
      </c>
    </row>
    <row r="19">
      <c r="B19" s="14" t="inlineStr">
        <is>
          <t>⑥がマイナスの場合</t>
        </is>
      </c>
      <c r="C19" s="13" t="inlineStr">
        <is>
          <t>既存借入が理論上限を超過=保証協会の新規枠なし。純資産を厚くする(役員借入の資本振替・利益計上)が先</t>
        </is>
      </c>
    </row>
    <row r="20">
      <c r="B20" s="14" t="inlineStr">
        <is>
          <t>ア(実績)とイ(翌期)の使い分け</t>
        </is>
      </c>
      <c r="C20" s="13" t="inlineStr">
        <is>
          <t>アで現在地を確定→イに翌期見込み(高松の賃料収入・FC事業・新規借入)を入れて、来期の枠がどう動くかを見る</t>
        </is>
      </c>
    </row>
    <row r="21">
      <c r="B21" s="14" t="inlineStr"/>
      <c r="C21" s="13" t="inlineStr"/>
    </row>
    <row r="22">
      <c r="B22" s="9" t="inlineStr">
        <is>
          <t>■ 出典</t>
        </is>
      </c>
      <c r="C22" s="13" t="inlineStr"/>
    </row>
    <row r="23">
      <c r="B23" s="14" t="inlineStr">
        <is>
          <t>元Excel</t>
        </is>
      </c>
      <c r="C23" s="13" t="inlineStr">
        <is>
          <t>伊東さん共有「特典：信用保証協会から翌期いくら借りられるか試算するEXCEL」Version.2.1(計算式は同一)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2026-08-12T21:13:14Z</dcterms:created>
  <dcterms:modified xsi:type="dcterms:W3CDTF">2026-08-12T21:13:14Z</dcterms:modified>
</cp:coreProperties>
</file>
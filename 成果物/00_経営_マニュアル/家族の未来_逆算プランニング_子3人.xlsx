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前提入力" sheetId="1" state="visible" r:id="rId1"/>
    <sheet xmlns:r="http://schemas.openxmlformats.org/officeDocument/2006/relationships" name="01_直近3年詳細" sheetId="2" state="visible" r:id="rId2"/>
    <sheet xmlns:r="http://schemas.openxmlformats.org/officeDocument/2006/relationships" name="02_ゴール別逆算" sheetId="3" state="visible" r:id="rId3"/>
    <sheet xmlns:r="http://schemas.openxmlformats.org/officeDocument/2006/relationships" name="03_生涯CF_子3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年&quot;"/>
    <numFmt numFmtId="165" formatCode="#,##0.0"/>
    <numFmt numFmtId="166" formatCode="#,##0;[Red]▲#,##0"/>
  </numFmts>
  <fonts count="13">
    <font>
      <name val="Calibri"/>
      <family val="2"/>
      <color theme="1"/>
      <sz val="11"/>
      <scheme val="minor"/>
    </font>
    <font>
      <name val="Yu Gothic"/>
      <b val="1"/>
      <color rgb="FFFFFFFF"/>
      <sz val="14"/>
    </font>
    <font>
      <name val="Yu Gothic"/>
      <i val="1"/>
      <color rgb="FF666666"/>
      <sz val="10"/>
    </font>
    <font>
      <name val="Yu Gothic"/>
      <b val="1"/>
      <color rgb="FF000000"/>
      <sz val="11"/>
    </font>
    <font>
      <name val="Yu Gothic"/>
      <color rgb="FF000000"/>
      <sz val="11"/>
    </font>
    <font>
      <name val="Yu Gothic"/>
      <b val="1"/>
      <color rgb="FF0000FF"/>
      <sz val="11"/>
    </font>
    <font>
      <name val="Yu Gothic"/>
      <color rgb="FF666666"/>
      <sz val="10"/>
    </font>
    <font>
      <name val="Yu Gothic"/>
      <b val="1"/>
      <color rgb="FFFFFFFF"/>
      <sz val="11"/>
    </font>
    <font>
      <name val="Yu Gothic"/>
      <color rgb="FF008000"/>
      <sz val="11"/>
    </font>
    <font>
      <name val="Yu Gothic"/>
      <b val="1"/>
      <color rgb="FF2E5E4E"/>
      <sz val="11"/>
    </font>
    <font>
      <name val="Yu Gothic"/>
      <color rgb="FF0000FF"/>
      <sz val="11"/>
    </font>
    <font>
      <name val="Yu Gothic"/>
      <b val="1"/>
      <color rgb="FF008000"/>
      <sz val="11"/>
    </font>
    <font>
      <name val="Yu Gothic"/>
      <color rgb="FF2E5E4E"/>
      <sz val="10"/>
    </font>
  </fonts>
  <fills count="8">
    <fill>
      <patternFill/>
    </fill>
    <fill>
      <patternFill patternType="gray125"/>
    </fill>
    <fill>
      <patternFill patternType="solid">
        <fgColor rgb="FF2E5E4E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3F3F3"/>
      </patternFill>
    </fill>
    <fill>
      <patternFill patternType="solid">
        <fgColor rgb="FFD0E8D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5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166" fontId="3" fillId="6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5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3" fontId="11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Yu Gothic"/>
        <b val="1"/>
        <color rgb="FFCC0000"/>
      </font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 ht="26" customHeight="1">
      <c r="A1" s="1" t="inlineStr">
        <is>
          <t>🌱 家族の未来 逆算プランニング（子3人版）— 前提入力</t>
        </is>
      </c>
    </row>
    <row r="2">
      <c r="A2" s="2" t="inlineStr">
        <is>
          <t>凡例：🟡黄=ここを変えるとすべて再計算 ／ 黒=自動計算 ／ 緑=他タブが参照 ／ 赤=赤字の年（02・03で表示）</t>
        </is>
      </c>
    </row>
    <row r="3">
      <c r="A3" s="2" t="inlineStr">
        <is>
          <t>※第2子(2028)・第3子(2031)は想定。葵斗は2026/9/19生まれが正。数字は保守シナリオ＝事業が伸びれば上振れ。</t>
        </is>
      </c>
    </row>
    <row r="5">
      <c r="A5" s="3" t="inlineStr">
        <is>
          <t>【1】家族の生年（西暦）</t>
        </is>
      </c>
      <c r="B5" s="4" t="inlineStr"/>
      <c r="C5" s="4" t="inlineStr"/>
    </row>
    <row r="6">
      <c r="A6" s="5" t="inlineStr">
        <is>
          <t>研太</t>
        </is>
      </c>
      <c r="B6" s="6" t="n">
        <v>1992</v>
      </c>
      <c r="C6" s="7" t="inlineStr">
        <is>
          <t>2026年に34歳</t>
        </is>
      </c>
    </row>
    <row r="7">
      <c r="A7" s="5" t="inlineStr">
        <is>
          <t>麻梨奈</t>
        </is>
      </c>
      <c r="B7" s="6" t="n">
        <v>1993</v>
      </c>
      <c r="C7" s="7" t="inlineStr">
        <is>
          <t>1993/6/26・2026年に33歳</t>
        </is>
      </c>
    </row>
    <row r="8">
      <c r="A8" s="5" t="inlineStr">
        <is>
          <t>葵斗（あおと）</t>
        </is>
      </c>
      <c r="B8" s="6" t="n">
        <v>2026</v>
      </c>
      <c r="C8" s="7" t="inlineStr">
        <is>
          <t>2026/9/19生・小学校2033/4</t>
        </is>
      </c>
    </row>
    <row r="9">
      <c r="A9" s="5" t="inlineStr">
        <is>
          <t>第2子（想定）</t>
        </is>
      </c>
      <c r="B9" s="6" t="n">
        <v>2028</v>
      </c>
      <c r="C9" s="7" t="inlineStr">
        <is>
          <t>想定。変われば修正</t>
        </is>
      </c>
    </row>
    <row r="10">
      <c r="A10" s="5" t="inlineStr">
        <is>
          <t>第3子（想定）</t>
        </is>
      </c>
      <c r="B10" s="6" t="n">
        <v>2031</v>
      </c>
      <c r="C10" s="7" t="inlineStr">
        <is>
          <t>想定。変われば修正</t>
        </is>
      </c>
    </row>
    <row r="13">
      <c r="A13" s="3" t="inlineStr">
        <is>
          <t>【2】世帯純収入（手取り・万/年）※可変シナリオ</t>
        </is>
      </c>
      <c r="B13" s="4" t="inlineStr"/>
      <c r="C13" s="4" t="inlineStr"/>
    </row>
    <row r="14">
      <c r="A14" s="5" t="inlineStr">
        <is>
          <t>2026 立上げ期</t>
        </is>
      </c>
      <c r="B14" s="8" t="n">
        <v>400</v>
      </c>
      <c r="C14" s="7" t="inlineStr">
        <is>
          <t>給与ゼロ・オーロラ立上げ赤字／栄町等スポット</t>
        </is>
      </c>
    </row>
    <row r="15">
      <c r="A15" s="5" t="inlineStr">
        <is>
          <t>2027 黒字化</t>
        </is>
      </c>
      <c r="B15" s="8" t="n">
        <v>550</v>
      </c>
      <c r="C15" s="7" t="inlineStr">
        <is>
          <t>オーロラ営業委譲開始・AI医療型化</t>
        </is>
      </c>
    </row>
    <row r="16">
      <c r="A16" s="5" t="inlineStr">
        <is>
          <t>2028 果実の入口</t>
        </is>
      </c>
      <c r="B16" s="8" t="n">
        <v>750</v>
      </c>
      <c r="C16" s="7" t="inlineStr">
        <is>
          <t>複数事業CF・第2子</t>
        </is>
      </c>
    </row>
    <row r="17">
      <c r="A17" s="5" t="inlineStr">
        <is>
          <t>2029</t>
        </is>
      </c>
      <c r="B17" s="8" t="n">
        <v>900</v>
      </c>
    </row>
    <row r="18">
      <c r="A18" s="5" t="inlineStr">
        <is>
          <t>2030</t>
        </is>
      </c>
      <c r="B18" s="8" t="n">
        <v>1000</v>
      </c>
    </row>
    <row r="19">
      <c r="A19" s="5" t="inlineStr">
        <is>
          <t>2031〜2056 安定</t>
        </is>
      </c>
      <c r="B19" s="8" t="n">
        <v>1100</v>
      </c>
      <c r="C19" s="7" t="inlineStr">
        <is>
          <t>仕組み化後の世帯手取り（保守）</t>
        </is>
      </c>
    </row>
    <row r="20">
      <c r="A20" s="5" t="inlineStr">
        <is>
          <t>2057〜 老後(年金)</t>
        </is>
      </c>
      <c r="B20" s="8" t="n">
        <v>240</v>
      </c>
      <c r="C20" s="7" t="inlineStr">
        <is>
          <t>夫婦年金 月20万。不足は資産取崩し</t>
        </is>
      </c>
    </row>
    <row r="22">
      <c r="A22" s="3" t="inlineStr">
        <is>
          <t>【3】支出前提（万/年）</t>
        </is>
      </c>
      <c r="B22" s="4" t="inlineStr"/>
      <c r="C22" s="4" t="inlineStr"/>
    </row>
    <row r="23">
      <c r="A23" s="5" t="inlineStr">
        <is>
          <t>基礎生活費（夫婦）</t>
        </is>
      </c>
      <c r="B23" s="8" t="n">
        <v>361</v>
      </c>
      <c r="C23" s="7" t="inlineStr">
        <is>
          <t>月30.1万（家賃・教育は別計上）</t>
        </is>
      </c>
    </row>
    <row r="24">
      <c r="A24" s="5" t="inlineStr">
        <is>
          <t>子1人あたり追加生活費</t>
        </is>
      </c>
      <c r="B24" s="8" t="n">
        <v>40</v>
      </c>
      <c r="C24" s="7" t="inlineStr">
        <is>
          <t>扶養 0〜22歳の各児</t>
        </is>
      </c>
    </row>
    <row r="25">
      <c r="A25" s="5" t="inlineStr">
        <is>
          <t>教育費（1人/年）</t>
        </is>
      </c>
      <c r="B25" s="8" t="n">
        <v>100</v>
      </c>
      <c r="C25" s="7" t="inlineStr">
        <is>
          <t>就学6〜22歳・国公立＋塾。3人で約5,100万</t>
        </is>
      </c>
    </row>
    <row r="26">
      <c r="A26" s="5" t="inlineStr">
        <is>
          <t>家賃（賃貸期）</t>
        </is>
      </c>
      <c r="B26" s="8" t="n">
        <v>180</v>
      </c>
      <c r="C26" s="7" t="inlineStr">
        <is>
          <t>月15万・2030年まで</t>
        </is>
      </c>
    </row>
    <row r="27">
      <c r="A27" s="5" t="inlineStr">
        <is>
          <t>住替後の住居維持費</t>
        </is>
      </c>
      <c r="B27" s="8" t="n">
        <v>75</v>
      </c>
      <c r="C27" s="7" t="inlineStr">
        <is>
          <t>ローン利息＋管理修繕（元本は資産で中立）</t>
        </is>
      </c>
    </row>
    <row r="29">
      <c r="A29" s="3" t="inlineStr">
        <is>
          <t>【4】ライフイベント（万）</t>
        </is>
      </c>
      <c r="B29" s="4" t="inlineStr"/>
      <c r="C29" s="4" t="inlineStr"/>
    </row>
    <row r="30">
      <c r="A30" s="5" t="inlineStr">
        <is>
          <t>車（1回の買替）</t>
        </is>
      </c>
      <c r="B30" s="8" t="n">
        <v>350</v>
      </c>
    </row>
    <row r="31">
      <c r="A31" s="5" t="inlineStr">
        <is>
          <t>車 次回更新年</t>
        </is>
      </c>
      <c r="B31" s="6" t="n">
        <v>2030</v>
      </c>
      <c r="C31" s="7" t="inlineStr">
        <is>
          <t>ここから周期ごとに買替</t>
        </is>
      </c>
    </row>
    <row r="32">
      <c r="A32" s="5" t="inlineStr">
        <is>
          <t>車 更新周期（年）</t>
        </is>
      </c>
      <c r="B32" s="6" t="n">
        <v>7</v>
      </c>
    </row>
    <row r="33">
      <c r="A33" s="5" t="inlineStr">
        <is>
          <t>留学（1人分）</t>
        </is>
      </c>
      <c r="B33" s="8" t="n">
        <v>400</v>
      </c>
      <c r="C33" s="7" t="inlineStr">
        <is>
          <t>200万×2年・マレーシア帰国子女化</t>
        </is>
      </c>
    </row>
    <row r="34">
      <c r="A34" s="5" t="inlineStr">
        <is>
          <t>留学する年齢</t>
        </is>
      </c>
      <c r="B34" s="6" t="n">
        <v>13</v>
      </c>
      <c r="C34" s="7" t="inlineStr">
        <is>
          <t>中学1年で渡航想定</t>
        </is>
      </c>
    </row>
    <row r="35">
      <c r="A35" s="5" t="inlineStr">
        <is>
          <t>出産費（1回）</t>
        </is>
      </c>
      <c r="B35" s="8" t="n">
        <v>50</v>
      </c>
      <c r="C35" s="7" t="inlineStr">
        <is>
          <t>第2子・第3子で各1回</t>
        </is>
      </c>
    </row>
    <row r="36">
      <c r="A36" s="5" t="inlineStr">
        <is>
          <t>住み替え 諸費用</t>
        </is>
      </c>
      <c r="B36" s="8" t="n">
        <v>400</v>
      </c>
      <c r="C36" s="7" t="inlineStr">
        <is>
          <t>頭金以外の諸費用・税。2031に計上</t>
        </is>
      </c>
    </row>
    <row r="37">
      <c r="A37" s="5" t="inlineStr">
        <is>
          <t>住み替え 実行年</t>
        </is>
      </c>
      <c r="B37" s="6" t="n">
        <v>2031</v>
      </c>
      <c r="C37" s="7" t="inlineStr">
        <is>
          <t>葵斗 小学校前</t>
        </is>
      </c>
    </row>
    <row r="39">
      <c r="A39" s="3" t="inlineStr">
        <is>
          <t>【5】資産の起点・長期目標</t>
        </is>
      </c>
      <c r="B39" s="4" t="inlineStr"/>
      <c r="C39" s="4" t="inlineStr"/>
    </row>
    <row r="40">
      <c r="A40" s="5" t="inlineStr">
        <is>
          <t>純資産（2026年初・万）</t>
        </is>
      </c>
      <c r="B40" s="8" t="n">
        <v>2893</v>
      </c>
      <c r="C40" s="7" t="inlineStr">
        <is>
          <t>現金886＋株＋不動産等。6/1監査で確認</t>
        </is>
      </c>
    </row>
    <row r="41">
      <c r="A41" s="5" t="inlineStr">
        <is>
          <t>老後資金 目標（万）</t>
        </is>
      </c>
      <c r="B41" s="8" t="n">
        <v>18000</v>
      </c>
      <c r="C41" s="7" t="inlineStr">
        <is>
          <t>夫婦の老後1.8億。事業CFの果実で</t>
        </is>
      </c>
    </row>
    <row r="42">
      <c r="A42" s="5" t="inlineStr">
        <is>
          <t>住み替え 物件価格（万）</t>
        </is>
      </c>
      <c r="B42" s="8" t="n">
        <v>6000</v>
      </c>
      <c r="C42" s="7" t="inlineStr">
        <is>
          <t>都内・即売れる中古/値上り新築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📅 直近3年 半期詳細（2026〜2028）— 種まきの中身</t>
        </is>
      </c>
    </row>
    <row r="3">
      <c r="A3" s="9" t="inlineStr">
        <is>
          <t>項目（万）</t>
        </is>
      </c>
      <c r="B3" s="10" t="inlineStr">
        <is>
          <t>2026H1</t>
        </is>
      </c>
      <c r="C3" s="10" t="inlineStr">
        <is>
          <t>2026H2</t>
        </is>
      </c>
      <c r="D3" s="10" t="inlineStr">
        <is>
          <t>2027H1</t>
        </is>
      </c>
      <c r="E3" s="10" t="inlineStr">
        <is>
          <t>2027H2</t>
        </is>
      </c>
      <c r="F3" s="10" t="inlineStr">
        <is>
          <t>2028H1</t>
        </is>
      </c>
      <c r="G3" s="10" t="inlineStr">
        <is>
          <t>2028H2</t>
        </is>
      </c>
    </row>
    <row r="4">
      <c r="A4" s="5" t="inlineStr">
        <is>
          <t>オーロラFC（訪問医療）</t>
        </is>
      </c>
      <c r="B4" s="11" t="n">
        <v>0</v>
      </c>
      <c r="C4" s="11" t="n">
        <v>-60</v>
      </c>
      <c r="D4" s="11" t="n">
        <v>-20</v>
      </c>
      <c r="E4" s="11" t="n">
        <v>60</v>
      </c>
      <c r="F4" s="11" t="n">
        <v>120</v>
      </c>
      <c r="G4" s="11" t="n">
        <v>160</v>
      </c>
    </row>
    <row r="5">
      <c r="A5" s="5" t="inlineStr">
        <is>
          <t>AI医療コンサル</t>
        </is>
      </c>
      <c r="B5" s="11" t="n">
        <v>0</v>
      </c>
      <c r="C5" s="11" t="n">
        <v>10</v>
      </c>
      <c r="D5" s="11" t="n">
        <v>30</v>
      </c>
      <c r="E5" s="11" t="n">
        <v>50</v>
      </c>
      <c r="F5" s="11" t="n">
        <v>70</v>
      </c>
      <c r="G5" s="11" t="n">
        <v>90</v>
      </c>
    </row>
    <row r="6">
      <c r="A6" s="5" t="inlineStr">
        <is>
          <t>不動産 紹介ザオラル</t>
        </is>
      </c>
      <c r="B6" s="11" t="n">
        <v>50</v>
      </c>
      <c r="C6" s="11" t="n">
        <v>80</v>
      </c>
      <c r="D6" s="11" t="n">
        <v>60</v>
      </c>
      <c r="E6" s="11" t="n">
        <v>100</v>
      </c>
      <c r="F6" s="11" t="n">
        <v>80</v>
      </c>
      <c r="G6" s="11" t="n">
        <v>120</v>
      </c>
    </row>
    <row r="7">
      <c r="A7" s="5" t="inlineStr">
        <is>
          <t>医療テナント承継</t>
        </is>
      </c>
      <c r="B7" s="11" t="n">
        <v>0</v>
      </c>
      <c r="C7" s="11" t="n">
        <v>55</v>
      </c>
      <c r="D7" s="11" t="n">
        <v>0</v>
      </c>
      <c r="E7" s="11" t="n">
        <v>55</v>
      </c>
      <c r="F7" s="11" t="n">
        <v>55</v>
      </c>
      <c r="G7" s="11" t="n">
        <v>55</v>
      </c>
    </row>
    <row r="8">
      <c r="A8" s="12" t="inlineStr">
        <is>
          <t>事業CF 計</t>
        </is>
      </c>
      <c r="B8" s="13">
        <f>SUM(B4:B7)</f>
        <v/>
      </c>
      <c r="C8" s="13">
        <f>SUM(C4:C7)</f>
        <v/>
      </c>
      <c r="D8" s="13">
        <f>SUM(D4:D7)</f>
        <v/>
      </c>
      <c r="E8" s="13">
        <f>SUM(E4:E7)</f>
        <v/>
      </c>
      <c r="F8" s="13">
        <f>SUM(F4:F7)</f>
        <v/>
      </c>
      <c r="G8" s="13">
        <f>SUM(G4:G7)</f>
        <v/>
      </c>
    </row>
    <row r="9">
      <c r="A9" s="5" t="inlineStr">
        <is>
          <t>世帯 生活費（半期）</t>
        </is>
      </c>
      <c r="B9" s="14">
        <f>-('00_前提入力'!$B$23/2+'00_前提入力'!$B$26/2)</f>
        <v/>
      </c>
      <c r="C9" s="14">
        <f>-('00_前提入力'!$B$23/2+'00_前提入力'!$B$26/2)</f>
        <v/>
      </c>
      <c r="D9" s="14">
        <f>-('00_前提入力'!$B$23/2+'00_前提入力'!$B$26/2)</f>
        <v/>
      </c>
      <c r="E9" s="14">
        <f>-('00_前提入力'!$B$23/2+'00_前提入力'!$B$26/2)</f>
        <v/>
      </c>
      <c r="F9" s="14">
        <f>-('00_前提入力'!$B$23/2+'00_前提入力'!$B$26/2)</f>
        <v/>
      </c>
      <c r="G9" s="14">
        <f>-('00_前提入力'!$B$23/2+'00_前提入力'!$B$26/2)</f>
        <v/>
      </c>
    </row>
    <row r="10">
      <c r="A10" s="15" t="inlineStr">
        <is>
          <t>半期 収支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s="12" t="inlineStr">
        <is>
          <t>累積（事業CF視点）</t>
        </is>
      </c>
      <c r="B11" s="13">
        <f>B10</f>
        <v/>
      </c>
      <c r="C11" s="13">
        <f>B11+C10</f>
        <v/>
      </c>
      <c r="D11" s="13">
        <f>C11+D10</f>
        <v/>
      </c>
      <c r="E11" s="13">
        <f>D11+E10</f>
        <v/>
      </c>
      <c r="F11" s="13">
        <f>E11+F10</f>
        <v/>
      </c>
      <c r="G11" s="13">
        <f>F11+G10</f>
        <v/>
      </c>
    </row>
    <row r="13">
      <c r="A13" s="3" t="inlineStr">
        <is>
          <t>家族イベント</t>
        </is>
      </c>
    </row>
    <row r="14" ht="36" customHeight="1">
      <c r="A14" s="17" t="inlineStr">
        <is>
          <t>2026: 9/19 葵斗誕生・6/25 結婚記念／オーロラ開業・公庫融資 ｜ 2027: 黒字化・役員報酬600 ｜ 2028: 第2子・複数事業の入口</t>
        </is>
      </c>
    </row>
    <row r="15"/>
  </sheetData>
  <mergeCells count="3">
    <mergeCell ref="A13:G13"/>
    <mergeCell ref="A14:G15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6" customWidth="1" min="5" max="5"/>
    <col width="26" customWidth="1" min="6" max="6"/>
  </cols>
  <sheetData>
    <row r="1" ht="26" customHeight="1">
      <c r="A1" s="1" t="inlineStr">
        <is>
          <t>🎯 ゴール別 逆算（麻梨奈さんと一緒に見る1枚）</t>
        </is>
      </c>
    </row>
    <row r="2">
      <c r="A2" s="2" t="inlineStr">
        <is>
          <t>「いつ・いくら・毎月いくら」。家・車・留学は“積立で届く”、教育・老後は“事業CFの果実”で賄う。</t>
        </is>
      </c>
    </row>
    <row r="4">
      <c r="A4" s="10" t="inlineStr">
        <is>
          <t>ゴール</t>
        </is>
      </c>
      <c r="B4" s="10" t="inlineStr">
        <is>
          <t>いつ（年）</t>
        </is>
      </c>
      <c r="C4" s="10" t="inlineStr">
        <is>
          <t>総額（万）</t>
        </is>
      </c>
      <c r="D4" s="10" t="inlineStr">
        <is>
          <t>準備年数</t>
        </is>
      </c>
      <c r="E4" s="10" t="inlineStr">
        <is>
          <t>毎月いくら（万）</t>
        </is>
      </c>
      <c r="F4" s="10" t="inlineStr">
        <is>
          <t>賄い方</t>
        </is>
      </c>
    </row>
    <row r="5">
      <c r="A5" s="18" t="inlineStr">
        <is>
          <t>🏠 家（自己資金）</t>
        </is>
      </c>
      <c r="B5" s="19">
        <f>'00_前提入力'!$B$37</f>
        <v/>
      </c>
      <c r="C5" s="20">
        <f>'00_前提入力'!$B$42*0.2+'00_前提入力'!$B$36</f>
        <v/>
      </c>
      <c r="D5" s="21">
        <f>'00_前提入力'!$B$37-2026</f>
        <v/>
      </c>
      <c r="E5" s="22">
        <f>C5/(D5*12)</f>
        <v/>
      </c>
      <c r="F5" s="23" t="inlineStr">
        <is>
          <t>積立で届く</t>
        </is>
      </c>
    </row>
    <row r="6">
      <c r="A6" s="18" t="inlineStr">
        <is>
          <t>🚗 車（1台・周期）</t>
        </is>
      </c>
      <c r="B6" s="19">
        <f>'00_前提入力'!$B$31</f>
        <v/>
      </c>
      <c r="C6" s="20">
        <f>'00_前提入力'!$B$30</f>
        <v/>
      </c>
      <c r="D6" s="21">
        <f>'00_前提入力'!$B$32</f>
        <v/>
      </c>
      <c r="E6" s="22">
        <f>C6/(D6*12)</f>
        <v/>
      </c>
      <c r="F6" s="23" t="inlineStr">
        <is>
          <t>積立で届く</t>
        </is>
      </c>
    </row>
    <row r="7">
      <c r="A7" s="18" t="inlineStr">
        <is>
          <t>✈️ 留学（3人分）</t>
        </is>
      </c>
      <c r="B7" s="19">
        <f>'00_前提入力'!$B$8+'00_前提入力'!$B$34</f>
        <v/>
      </c>
      <c r="C7" s="20">
        <f>'00_前提入力'!$B$33*3</f>
        <v/>
      </c>
      <c r="D7" s="21">
        <f>'00_前提入力'!$B$8+'00_前提入力'!$B$34-2026</f>
        <v/>
      </c>
      <c r="E7" s="22">
        <f>C7/(D7*12)</f>
        <v/>
      </c>
      <c r="F7" s="23" t="inlineStr">
        <is>
          <t>積立で届く</t>
        </is>
      </c>
    </row>
    <row r="8">
      <c r="A8" s="18" t="inlineStr">
        <is>
          <t>🎓 教育（3人）</t>
        </is>
      </c>
      <c r="B8" s="19">
        <f>'00_前提入力'!$B$10+22</f>
        <v/>
      </c>
      <c r="C8" s="20">
        <f>'00_前提入力'!$B$25*17*3</f>
        <v/>
      </c>
      <c r="D8" s="21">
        <f>'00_前提入力'!$B$10+22-2026</f>
        <v/>
      </c>
      <c r="E8" s="22">
        <f>C8/(D8*12)</f>
        <v/>
      </c>
      <c r="F8" s="23" t="inlineStr">
        <is>
          <t>事業CFの果実</t>
        </is>
      </c>
    </row>
    <row r="9">
      <c r="A9" s="18" t="inlineStr">
        <is>
          <t>👶 出産（2回）</t>
        </is>
      </c>
      <c r="B9" s="19">
        <f>'00_前提入力'!$B$10</f>
        <v/>
      </c>
      <c r="C9" s="20">
        <f>'00_前提入力'!$B$35*2</f>
        <v/>
      </c>
      <c r="D9" s="21">
        <f>'00_前提入力'!$B$10-2026</f>
        <v/>
      </c>
      <c r="E9" s="22">
        <f>C9/(D9*12)</f>
        <v/>
      </c>
      <c r="F9" s="23" t="inlineStr">
        <is>
          <t>当年CFで吸収</t>
        </is>
      </c>
    </row>
    <row r="10">
      <c r="A10" s="18" t="inlineStr">
        <is>
          <t>🛋 老後（65歳〜）</t>
        </is>
      </c>
      <c r="B10" s="19">
        <f>'00_前提入力'!$B$6+65</f>
        <v/>
      </c>
      <c r="C10" s="20">
        <f>'00_前提入力'!$B$41</f>
        <v/>
      </c>
      <c r="D10" s="21">
        <f>'00_前提入力'!$B$6+65-2026</f>
        <v/>
      </c>
      <c r="E10" s="22">
        <f>C10/(D10*12)</f>
        <v/>
      </c>
      <c r="F10" s="23" t="inlineStr">
        <is>
          <t>事業CFの果実＋運用</t>
        </is>
      </c>
    </row>
    <row r="12">
      <c r="A12" s="3" t="inlineStr">
        <is>
          <t>▼ 積立で届く分の毎月合計</t>
        </is>
      </c>
      <c r="E12" s="24">
        <f>E5+E6+E7</f>
        <v/>
      </c>
      <c r="F12" s="25" t="inlineStr">
        <is>
          <t>万/月</t>
        </is>
      </c>
    </row>
    <row r="14" ht="60" customHeight="1">
      <c r="A14" s="26" t="inlineStr">
        <is>
          <t>💡 結論（妻へ）：家・車・留学は毎月の積立で届く。教育（3人で約5,100万）と老後（1.8億）は、立上げた事業のCF＝“果実”で賄う設計。 今は種まき（赤字＋住み替え＋第2子）→ 2027黒字化 → 2028複数事業の入口 → 子3人でも純資産は右肩上がり（03で確認）。</t>
        </is>
      </c>
    </row>
    <row r="15"/>
    <row r="16"/>
  </sheetData>
  <mergeCells count="4">
    <mergeCell ref="A14:F16"/>
    <mergeCell ref="A2:F2"/>
    <mergeCell ref="A12:D1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6" customWidth="1" min="4" max="4"/>
    <col width="6" customWidth="1" min="5" max="5"/>
    <col width="6" customWidth="1" min="6" max="6"/>
    <col width="30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 ht="26" customHeight="1">
      <c r="A1" s="1" t="inlineStr">
        <is>
          <t>📈 生涯キャッシュフロー（子3人・2026〜2060）— 純資産は右肩上がり</t>
        </is>
      </c>
    </row>
    <row r="2">
      <c r="A2" s="2" t="inlineStr">
        <is>
          <t>赤=その年の収支がマイナス（投資・住替・留学等）／純資産（緑列）はトレンドで増える。純資産は“家購入＝資産組換え”で目減りさせないモデル。</t>
        </is>
      </c>
    </row>
    <row r="4">
      <c r="A4" s="10" t="inlineStr">
        <is>
          <t>年</t>
        </is>
      </c>
      <c r="B4" s="10" t="inlineStr">
        <is>
          <t>研太</t>
        </is>
      </c>
      <c r="C4" s="10" t="inlineStr">
        <is>
          <t>麻梨奈</t>
        </is>
      </c>
      <c r="D4" s="10" t="inlineStr">
        <is>
          <t>葵斗</t>
        </is>
      </c>
      <c r="E4" s="10" t="inlineStr">
        <is>
          <t>第2子</t>
        </is>
      </c>
      <c r="F4" s="10" t="inlineStr">
        <is>
          <t>第3子</t>
        </is>
      </c>
      <c r="G4" s="10" t="inlineStr">
        <is>
          <t>主なイベント</t>
        </is>
      </c>
      <c r="H4" s="10" t="inlineStr">
        <is>
          <t>収入</t>
        </is>
      </c>
      <c r="I4" s="10" t="inlineStr">
        <is>
          <t>支出</t>
        </is>
      </c>
      <c r="J4" s="10" t="inlineStr">
        <is>
          <t>収支</t>
        </is>
      </c>
      <c r="K4" s="10" t="inlineStr">
        <is>
          <t>純資産</t>
        </is>
      </c>
    </row>
    <row r="5">
      <c r="A5" s="27" t="n">
        <v>2026</v>
      </c>
      <c r="B5" s="19">
        <f>$A5-'00_前提入力'!$B$6</f>
        <v/>
      </c>
      <c r="C5" s="19">
        <f>$A5-'00_前提入力'!$B$7</f>
        <v/>
      </c>
      <c r="D5" s="19">
        <f>IF($A5&gt;='00_前提入力'!$B$8,$A5-'00_前提入力'!$B$8,"")</f>
        <v/>
      </c>
      <c r="E5" s="19">
        <f>IF($A5&gt;='00_前提入力'!$B$9,$A5-'00_前提入力'!$B$9,"")</f>
        <v/>
      </c>
      <c r="F5" s="19">
        <f>IF($A5&gt;='00_前提入力'!$B$10,$A5-'00_前提入力'!$B$10,"")</f>
        <v/>
      </c>
      <c r="G5" s="28" t="inlineStr">
        <is>
          <t>9/19 葵斗誕生・結婚記念4周年／オーロラ開業・公庫融資</t>
        </is>
      </c>
      <c r="H5" s="29">
        <f>IF($A5&lt;=2026,'00_前提入力'!$B$14,IF($A5=2027,'00_前提入力'!$B$15,IF($A5=2028,'00_前提入力'!$B$16,IF($A5=2029,'00_前提入力'!$B$17,IF($A5=2030,'00_前提入力'!$B$18,IF($A5&lt;=2056,'00_前提入力'!$B$19,'00_前提入力'!$B$20))))))</f>
        <v/>
      </c>
      <c r="I5" s="29">
        <f>'00_前提入力'!$B$23+(IF(AND($A5&gt;='00_前提入力'!$B$8,$A5-'00_前提入力'!$B$8&lt;=22),1,0)+IF(AND($A5&gt;='00_前提入力'!$B$9,$A5-'00_前提入力'!$B$9&lt;=22),1,0)+IF(AND($A5&gt;='00_前提入力'!$B$10,$A5-'00_前提入力'!$B$10&lt;=22),1,0))*'00_前提入力'!$B$24+(IF(AND($A5-'00_前提入力'!$B$8&gt;=6,$A5-'00_前提入力'!$B$8&lt;=22),1,0)+IF(AND($A5-'00_前提入力'!$B$9&gt;=6,$A5-'00_前提入力'!$B$9&lt;=22),1,0)+IF(AND($A5-'00_前提入力'!$B$10&gt;=6,$A5-'00_前提入力'!$B$10&lt;=22),1,0))*'00_前提入力'!$B$25+IF($A5&lt;'00_前提入力'!$B$37,'00_前提入力'!$B$26,'00_前提入力'!$B$27)+IF(AND($A5&gt;='00_前提入力'!$B$31,MOD($A5-'00_前提入力'!$B$31,'00_前提入力'!$B$32)=0),'00_前提入力'!$B$30,0)+(IF($A5-'00_前提入力'!$B$8='00_前提入力'!$B$34,1,0)+IF($A5-'00_前提入力'!$B$9='00_前提入力'!$B$34,1,0)+IF($A5-'00_前提入力'!$B$10='00_前提入力'!$B$34,1,0))*'00_前提入力'!$B$33+(IF($A5='00_前提入力'!$B$9,'00_前提入力'!$B$35,0)+IF($A5='00_前提入力'!$B$10,'00_前提入力'!$B$35,0))+IF($A5='00_前提入力'!$B$37,'00_前提入力'!$B$36,0)</f>
        <v/>
      </c>
      <c r="J5" s="30">
        <f>H5-I5</f>
        <v/>
      </c>
      <c r="K5" s="31">
        <f>'00_前提入力'!$B$40+J5</f>
        <v/>
      </c>
    </row>
    <row r="6">
      <c r="A6" s="27" t="n">
        <v>2027</v>
      </c>
      <c r="B6" s="19">
        <f>$A6-'00_前提入力'!$B$6</f>
        <v/>
      </c>
      <c r="C6" s="19">
        <f>$A6-'00_前提入力'!$B$7</f>
        <v/>
      </c>
      <c r="D6" s="19">
        <f>IF($A6&gt;='00_前提入力'!$B$8,$A6-'00_前提入力'!$B$8,"")</f>
        <v/>
      </c>
      <c r="E6" s="19">
        <f>IF($A6&gt;='00_前提入力'!$B$9,$A6-'00_前提入力'!$B$9,"")</f>
        <v/>
      </c>
      <c r="F6" s="19">
        <f>IF($A6&gt;='00_前提入力'!$B$10,$A6-'00_前提入力'!$B$10,"")</f>
        <v/>
      </c>
      <c r="G6" s="28" t="inlineStr">
        <is>
          <t>オーロラ営業委譲開始・役員報酬600</t>
        </is>
      </c>
      <c r="H6" s="29">
        <f>IF($A6&lt;=2026,'00_前提入力'!$B$14,IF($A6=2027,'00_前提入力'!$B$15,IF($A6=2028,'00_前提入力'!$B$16,IF($A6=2029,'00_前提入力'!$B$17,IF($A6=2030,'00_前提入力'!$B$18,IF($A6&lt;=2056,'00_前提入力'!$B$19,'00_前提入力'!$B$20))))))</f>
        <v/>
      </c>
      <c r="I6" s="29">
        <f>'00_前提入力'!$B$23+(IF(AND($A6&gt;='00_前提入力'!$B$8,$A6-'00_前提入力'!$B$8&lt;=22),1,0)+IF(AND($A6&gt;='00_前提入力'!$B$9,$A6-'00_前提入力'!$B$9&lt;=22),1,0)+IF(AND($A6&gt;='00_前提入力'!$B$10,$A6-'00_前提入力'!$B$10&lt;=22),1,0))*'00_前提入力'!$B$24+(IF(AND($A6-'00_前提入力'!$B$8&gt;=6,$A6-'00_前提入力'!$B$8&lt;=22),1,0)+IF(AND($A6-'00_前提入力'!$B$9&gt;=6,$A6-'00_前提入力'!$B$9&lt;=22),1,0)+IF(AND($A6-'00_前提入力'!$B$10&gt;=6,$A6-'00_前提入力'!$B$10&lt;=22),1,0))*'00_前提入力'!$B$25+IF($A6&lt;'00_前提入力'!$B$37,'00_前提入力'!$B$26,'00_前提入力'!$B$27)+IF(AND($A6&gt;='00_前提入力'!$B$31,MOD($A6-'00_前提入力'!$B$31,'00_前提入力'!$B$32)=0),'00_前提入力'!$B$30,0)+(IF($A6-'00_前提入力'!$B$8='00_前提入力'!$B$34,1,0)+IF($A6-'00_前提入力'!$B$9='00_前提入力'!$B$34,1,0)+IF($A6-'00_前提入力'!$B$10='00_前提入力'!$B$34,1,0))*'00_前提入力'!$B$33+(IF($A6='00_前提入力'!$B$9,'00_前提入力'!$B$35,0)+IF($A6='00_前提入力'!$B$10,'00_前提入力'!$B$35,0))+IF($A6='00_前提入力'!$B$37,'00_前提入力'!$B$36,0)</f>
        <v/>
      </c>
      <c r="J6" s="30">
        <f>H6-I6</f>
        <v/>
      </c>
      <c r="K6" s="31">
        <f>K5+J6</f>
        <v/>
      </c>
    </row>
    <row r="7">
      <c r="A7" s="27" t="n">
        <v>2028</v>
      </c>
      <c r="B7" s="19">
        <f>$A7-'00_前提入力'!$B$6</f>
        <v/>
      </c>
      <c r="C7" s="19">
        <f>$A7-'00_前提入力'!$B$7</f>
        <v/>
      </c>
      <c r="D7" s="19">
        <f>IF($A7&gt;='00_前提入力'!$B$8,$A7-'00_前提入力'!$B$8,"")</f>
        <v/>
      </c>
      <c r="E7" s="19">
        <f>IF($A7&gt;='00_前提入力'!$B$9,$A7-'00_前提入力'!$B$9,"")</f>
        <v/>
      </c>
      <c r="F7" s="19">
        <f>IF($A7&gt;='00_前提入力'!$B$10,$A7-'00_前提入力'!$B$10,"")</f>
        <v/>
      </c>
      <c r="G7" s="28" t="inlineStr">
        <is>
          <t>第2子誕生・複数事業の入口</t>
        </is>
      </c>
      <c r="H7" s="29">
        <f>IF($A7&lt;=2026,'00_前提入力'!$B$14,IF($A7=2027,'00_前提入力'!$B$15,IF($A7=2028,'00_前提入力'!$B$16,IF($A7=2029,'00_前提入力'!$B$17,IF($A7=2030,'00_前提入力'!$B$18,IF($A7&lt;=2056,'00_前提入力'!$B$19,'00_前提入力'!$B$20))))))</f>
        <v/>
      </c>
      <c r="I7" s="29">
        <f>'00_前提入力'!$B$23+(IF(AND($A7&gt;='00_前提入力'!$B$8,$A7-'00_前提入力'!$B$8&lt;=22),1,0)+IF(AND($A7&gt;='00_前提入力'!$B$9,$A7-'00_前提入力'!$B$9&lt;=22),1,0)+IF(AND($A7&gt;='00_前提入力'!$B$10,$A7-'00_前提入力'!$B$10&lt;=22),1,0))*'00_前提入力'!$B$24+(IF(AND($A7-'00_前提入力'!$B$8&gt;=6,$A7-'00_前提入力'!$B$8&lt;=22),1,0)+IF(AND($A7-'00_前提入力'!$B$9&gt;=6,$A7-'00_前提入力'!$B$9&lt;=22),1,0)+IF(AND($A7-'00_前提入力'!$B$10&gt;=6,$A7-'00_前提入力'!$B$10&lt;=22),1,0))*'00_前提入力'!$B$25+IF($A7&lt;'00_前提入力'!$B$37,'00_前提入力'!$B$26,'00_前提入力'!$B$27)+IF(AND($A7&gt;='00_前提入力'!$B$31,MOD($A7-'00_前提入力'!$B$31,'00_前提入力'!$B$32)=0),'00_前提入力'!$B$30,0)+(IF($A7-'00_前提入力'!$B$8='00_前提入力'!$B$34,1,0)+IF($A7-'00_前提入力'!$B$9='00_前提入力'!$B$34,1,0)+IF($A7-'00_前提入力'!$B$10='00_前提入力'!$B$34,1,0))*'00_前提入力'!$B$33+(IF($A7='00_前提入力'!$B$9,'00_前提入力'!$B$35,0)+IF($A7='00_前提入力'!$B$10,'00_前提入力'!$B$35,0))+IF($A7='00_前提入力'!$B$37,'00_前提入力'!$B$36,0)</f>
        <v/>
      </c>
      <c r="J7" s="30">
        <f>H7-I7</f>
        <v/>
      </c>
      <c r="K7" s="31">
        <f>K6+J7</f>
        <v/>
      </c>
    </row>
    <row r="8">
      <c r="A8" s="27" t="n">
        <v>2029</v>
      </c>
      <c r="B8" s="19">
        <f>$A8-'00_前提入力'!$B$6</f>
        <v/>
      </c>
      <c r="C8" s="19">
        <f>$A8-'00_前提入力'!$B$7</f>
        <v/>
      </c>
      <c r="D8" s="19">
        <f>IF($A8&gt;='00_前提入力'!$B$8,$A8-'00_前提入力'!$B$8,"")</f>
        <v/>
      </c>
      <c r="E8" s="19">
        <f>IF($A8&gt;='00_前提入力'!$B$9,$A8-'00_前提入力'!$B$9,"")</f>
        <v/>
      </c>
      <c r="F8" s="19">
        <f>IF($A8&gt;='00_前提入力'!$B$10,$A8-'00_前提入力'!$B$10,"")</f>
        <v/>
      </c>
      <c r="G8" s="28" t="inlineStr"/>
      <c r="H8" s="29">
        <f>IF($A8&lt;=2026,'00_前提入力'!$B$14,IF($A8=2027,'00_前提入力'!$B$15,IF($A8=2028,'00_前提入力'!$B$16,IF($A8=2029,'00_前提入力'!$B$17,IF($A8=2030,'00_前提入力'!$B$18,IF($A8&lt;=2056,'00_前提入力'!$B$19,'00_前提入力'!$B$20))))))</f>
        <v/>
      </c>
      <c r="I8" s="29">
        <f>'00_前提入力'!$B$23+(IF(AND($A8&gt;='00_前提入力'!$B$8,$A8-'00_前提入力'!$B$8&lt;=22),1,0)+IF(AND($A8&gt;='00_前提入力'!$B$9,$A8-'00_前提入力'!$B$9&lt;=22),1,0)+IF(AND($A8&gt;='00_前提入力'!$B$10,$A8-'00_前提入力'!$B$10&lt;=22),1,0))*'00_前提入力'!$B$24+(IF(AND($A8-'00_前提入力'!$B$8&gt;=6,$A8-'00_前提入力'!$B$8&lt;=22),1,0)+IF(AND($A8-'00_前提入力'!$B$9&gt;=6,$A8-'00_前提入力'!$B$9&lt;=22),1,0)+IF(AND($A8-'00_前提入力'!$B$10&gt;=6,$A8-'00_前提入力'!$B$10&lt;=22),1,0))*'00_前提入力'!$B$25+IF($A8&lt;'00_前提入力'!$B$37,'00_前提入力'!$B$26,'00_前提入力'!$B$27)+IF(AND($A8&gt;='00_前提入力'!$B$31,MOD($A8-'00_前提入力'!$B$31,'00_前提入力'!$B$32)=0),'00_前提入力'!$B$30,0)+(IF($A8-'00_前提入力'!$B$8='00_前提入力'!$B$34,1,0)+IF($A8-'00_前提入力'!$B$9='00_前提入力'!$B$34,1,0)+IF($A8-'00_前提入力'!$B$10='00_前提入力'!$B$34,1,0))*'00_前提入力'!$B$33+(IF($A8='00_前提入力'!$B$9,'00_前提入力'!$B$35,0)+IF($A8='00_前提入力'!$B$10,'00_前提入力'!$B$35,0))+IF($A8='00_前提入力'!$B$37,'00_前提入力'!$B$36,0)</f>
        <v/>
      </c>
      <c r="J8" s="30">
        <f>H8-I8</f>
        <v/>
      </c>
      <c r="K8" s="31">
        <f>K7+J8</f>
        <v/>
      </c>
    </row>
    <row r="9">
      <c r="A9" s="27" t="n">
        <v>2030</v>
      </c>
      <c r="B9" s="19">
        <f>$A9-'00_前提入力'!$B$6</f>
        <v/>
      </c>
      <c r="C9" s="19">
        <f>$A9-'00_前提入力'!$B$7</f>
        <v/>
      </c>
      <c r="D9" s="19">
        <f>IF($A9&gt;='00_前提入力'!$B$8,$A9-'00_前提入力'!$B$8,"")</f>
        <v/>
      </c>
      <c r="E9" s="19">
        <f>IF($A9&gt;='00_前提入力'!$B$9,$A9-'00_前提入力'!$B$9,"")</f>
        <v/>
      </c>
      <c r="F9" s="19">
        <f>IF($A9&gt;='00_前提入力'!$B$10,$A9-'00_前提入力'!$B$10,"")</f>
        <v/>
      </c>
      <c r="G9" s="28" t="inlineStr">
        <is>
          <t>車 買替</t>
        </is>
      </c>
      <c r="H9" s="29">
        <f>IF($A9&lt;=2026,'00_前提入力'!$B$14,IF($A9=2027,'00_前提入力'!$B$15,IF($A9=2028,'00_前提入力'!$B$16,IF($A9=2029,'00_前提入力'!$B$17,IF($A9=2030,'00_前提入力'!$B$18,IF($A9&lt;=2056,'00_前提入力'!$B$19,'00_前提入力'!$B$20))))))</f>
        <v/>
      </c>
      <c r="I9" s="29">
        <f>'00_前提入力'!$B$23+(IF(AND($A9&gt;='00_前提入力'!$B$8,$A9-'00_前提入力'!$B$8&lt;=22),1,0)+IF(AND($A9&gt;='00_前提入力'!$B$9,$A9-'00_前提入力'!$B$9&lt;=22),1,0)+IF(AND($A9&gt;='00_前提入力'!$B$10,$A9-'00_前提入力'!$B$10&lt;=22),1,0))*'00_前提入力'!$B$24+(IF(AND($A9-'00_前提入力'!$B$8&gt;=6,$A9-'00_前提入力'!$B$8&lt;=22),1,0)+IF(AND($A9-'00_前提入力'!$B$9&gt;=6,$A9-'00_前提入力'!$B$9&lt;=22),1,0)+IF(AND($A9-'00_前提入力'!$B$10&gt;=6,$A9-'00_前提入力'!$B$10&lt;=22),1,0))*'00_前提入力'!$B$25+IF($A9&lt;'00_前提入力'!$B$37,'00_前提入力'!$B$26,'00_前提入力'!$B$27)+IF(AND($A9&gt;='00_前提入力'!$B$31,MOD($A9-'00_前提入力'!$B$31,'00_前提入力'!$B$32)=0),'00_前提入力'!$B$30,0)+(IF($A9-'00_前提入力'!$B$8='00_前提入力'!$B$34,1,0)+IF($A9-'00_前提入力'!$B$9='00_前提入力'!$B$34,1,0)+IF($A9-'00_前提入力'!$B$10='00_前提入力'!$B$34,1,0))*'00_前提入力'!$B$33+(IF($A9='00_前提入力'!$B$9,'00_前提入力'!$B$35,0)+IF($A9='00_前提入力'!$B$10,'00_前提入力'!$B$35,0))+IF($A9='00_前提入力'!$B$37,'00_前提入力'!$B$36,0)</f>
        <v/>
      </c>
      <c r="J9" s="30">
        <f>H9-I9</f>
        <v/>
      </c>
      <c r="K9" s="31">
        <f>K8+J9</f>
        <v/>
      </c>
    </row>
    <row r="10">
      <c r="A10" s="27" t="n">
        <v>2031</v>
      </c>
      <c r="B10" s="19">
        <f>$A10-'00_前提入力'!$B$6</f>
        <v/>
      </c>
      <c r="C10" s="19">
        <f>$A10-'00_前提入力'!$B$7</f>
        <v/>
      </c>
      <c r="D10" s="19">
        <f>IF($A10&gt;='00_前提入力'!$B$8,$A10-'00_前提入力'!$B$8,"")</f>
        <v/>
      </c>
      <c r="E10" s="19">
        <f>IF($A10&gt;='00_前提入力'!$B$9,$A10-'00_前提入力'!$B$9,"")</f>
        <v/>
      </c>
      <c r="F10" s="19">
        <f>IF($A10&gt;='00_前提入力'!$B$10,$A10-'00_前提入力'!$B$10,"")</f>
        <v/>
      </c>
      <c r="G10" s="28" t="inlineStr">
        <is>
          <t>★住み替え（都内6000万）・第3子誕生</t>
        </is>
      </c>
      <c r="H10" s="29">
        <f>IF($A10&lt;=2026,'00_前提入力'!$B$14,IF($A10=2027,'00_前提入力'!$B$15,IF($A10=2028,'00_前提入力'!$B$16,IF($A10=2029,'00_前提入力'!$B$17,IF($A10=2030,'00_前提入力'!$B$18,IF($A10&lt;=2056,'00_前提入力'!$B$19,'00_前提入力'!$B$20))))))</f>
        <v/>
      </c>
      <c r="I10" s="29">
        <f>'00_前提入力'!$B$23+(IF(AND($A10&gt;='00_前提入力'!$B$8,$A10-'00_前提入力'!$B$8&lt;=22),1,0)+IF(AND($A10&gt;='00_前提入力'!$B$9,$A10-'00_前提入力'!$B$9&lt;=22),1,0)+IF(AND($A10&gt;='00_前提入力'!$B$10,$A10-'00_前提入力'!$B$10&lt;=22),1,0))*'00_前提入力'!$B$24+(IF(AND($A10-'00_前提入力'!$B$8&gt;=6,$A10-'00_前提入力'!$B$8&lt;=22),1,0)+IF(AND($A10-'00_前提入力'!$B$9&gt;=6,$A10-'00_前提入力'!$B$9&lt;=22),1,0)+IF(AND($A10-'00_前提入力'!$B$10&gt;=6,$A10-'00_前提入力'!$B$10&lt;=22),1,0))*'00_前提入力'!$B$25+IF($A10&lt;'00_前提入力'!$B$37,'00_前提入力'!$B$26,'00_前提入力'!$B$27)+IF(AND($A10&gt;='00_前提入力'!$B$31,MOD($A10-'00_前提入力'!$B$31,'00_前提入力'!$B$32)=0),'00_前提入力'!$B$30,0)+(IF($A10-'00_前提入力'!$B$8='00_前提入力'!$B$34,1,0)+IF($A10-'00_前提入力'!$B$9='00_前提入力'!$B$34,1,0)+IF($A10-'00_前提入力'!$B$10='00_前提入力'!$B$34,1,0))*'00_前提入力'!$B$33+(IF($A10='00_前提入力'!$B$9,'00_前提入力'!$B$35,0)+IF($A10='00_前提入力'!$B$10,'00_前提入力'!$B$35,0))+IF($A10='00_前提入力'!$B$37,'00_前提入力'!$B$36,0)</f>
        <v/>
      </c>
      <c r="J10" s="30">
        <f>H10-I10</f>
        <v/>
      </c>
      <c r="K10" s="31">
        <f>K9+J10</f>
        <v/>
      </c>
    </row>
    <row r="11">
      <c r="A11" s="27" t="n">
        <v>2032</v>
      </c>
      <c r="B11" s="19">
        <f>$A11-'00_前提入力'!$B$6</f>
        <v/>
      </c>
      <c r="C11" s="19">
        <f>$A11-'00_前提入力'!$B$7</f>
        <v/>
      </c>
      <c r="D11" s="19">
        <f>IF($A11&gt;='00_前提入力'!$B$8,$A11-'00_前提入力'!$B$8,"")</f>
        <v/>
      </c>
      <c r="E11" s="19">
        <f>IF($A11&gt;='00_前提入力'!$B$9,$A11-'00_前提入力'!$B$9,"")</f>
        <v/>
      </c>
      <c r="F11" s="19">
        <f>IF($A11&gt;='00_前提入力'!$B$10,$A11-'00_前提入力'!$B$10,"")</f>
        <v/>
      </c>
      <c r="G11" s="28" t="inlineStr"/>
      <c r="H11" s="29">
        <f>IF($A11&lt;=2026,'00_前提入力'!$B$14,IF($A11=2027,'00_前提入力'!$B$15,IF($A11=2028,'00_前提入力'!$B$16,IF($A11=2029,'00_前提入力'!$B$17,IF($A11=2030,'00_前提入力'!$B$18,IF($A11&lt;=2056,'00_前提入力'!$B$19,'00_前提入力'!$B$20))))))</f>
        <v/>
      </c>
      <c r="I11" s="29">
        <f>'00_前提入力'!$B$23+(IF(AND($A11&gt;='00_前提入力'!$B$8,$A11-'00_前提入力'!$B$8&lt;=22),1,0)+IF(AND($A11&gt;='00_前提入力'!$B$9,$A11-'00_前提入力'!$B$9&lt;=22),1,0)+IF(AND($A11&gt;='00_前提入力'!$B$10,$A11-'00_前提入力'!$B$10&lt;=22),1,0))*'00_前提入力'!$B$24+(IF(AND($A11-'00_前提入力'!$B$8&gt;=6,$A11-'00_前提入力'!$B$8&lt;=22),1,0)+IF(AND($A11-'00_前提入力'!$B$9&gt;=6,$A11-'00_前提入力'!$B$9&lt;=22),1,0)+IF(AND($A11-'00_前提入力'!$B$10&gt;=6,$A11-'00_前提入力'!$B$10&lt;=22),1,0))*'00_前提入力'!$B$25+IF($A11&lt;'00_前提入力'!$B$37,'00_前提入力'!$B$26,'00_前提入力'!$B$27)+IF(AND($A11&gt;='00_前提入力'!$B$31,MOD($A11-'00_前提入力'!$B$31,'00_前提入力'!$B$32)=0),'00_前提入力'!$B$30,0)+(IF($A11-'00_前提入力'!$B$8='00_前提入力'!$B$34,1,0)+IF($A11-'00_前提入力'!$B$9='00_前提入力'!$B$34,1,0)+IF($A11-'00_前提入力'!$B$10='00_前提入力'!$B$34,1,0))*'00_前提入力'!$B$33+(IF($A11='00_前提入力'!$B$9,'00_前提入力'!$B$35,0)+IF($A11='00_前提入力'!$B$10,'00_前提入力'!$B$35,0))+IF($A11='00_前提入力'!$B$37,'00_前提入力'!$B$36,0)</f>
        <v/>
      </c>
      <c r="J11" s="30">
        <f>H11-I11</f>
        <v/>
      </c>
      <c r="K11" s="31">
        <f>K10+J11</f>
        <v/>
      </c>
    </row>
    <row r="12">
      <c r="A12" s="27" t="n">
        <v>2033</v>
      </c>
      <c r="B12" s="19">
        <f>$A12-'00_前提入力'!$B$6</f>
        <v/>
      </c>
      <c r="C12" s="19">
        <f>$A12-'00_前提入力'!$B$7</f>
        <v/>
      </c>
      <c r="D12" s="19">
        <f>IF($A12&gt;='00_前提入力'!$B$8,$A12-'00_前提入力'!$B$8,"")</f>
        <v/>
      </c>
      <c r="E12" s="19">
        <f>IF($A12&gt;='00_前提入力'!$B$9,$A12-'00_前提入力'!$B$9,"")</f>
        <v/>
      </c>
      <c r="F12" s="19">
        <f>IF($A12&gt;='00_前提入力'!$B$10,$A12-'00_前提入力'!$B$10,"")</f>
        <v/>
      </c>
      <c r="G12" s="28" t="inlineStr">
        <is>
          <t>葵斗 小学校入学</t>
        </is>
      </c>
      <c r="H12" s="29">
        <f>IF($A12&lt;=2026,'00_前提入力'!$B$14,IF($A12=2027,'00_前提入力'!$B$15,IF($A12=2028,'00_前提入力'!$B$16,IF($A12=2029,'00_前提入力'!$B$17,IF($A12=2030,'00_前提入力'!$B$18,IF($A12&lt;=2056,'00_前提入力'!$B$19,'00_前提入力'!$B$20))))))</f>
        <v/>
      </c>
      <c r="I12" s="29">
        <f>'00_前提入力'!$B$23+(IF(AND($A12&gt;='00_前提入力'!$B$8,$A12-'00_前提入力'!$B$8&lt;=22),1,0)+IF(AND($A12&gt;='00_前提入力'!$B$9,$A12-'00_前提入力'!$B$9&lt;=22),1,0)+IF(AND($A12&gt;='00_前提入力'!$B$10,$A12-'00_前提入力'!$B$10&lt;=22),1,0))*'00_前提入力'!$B$24+(IF(AND($A12-'00_前提入力'!$B$8&gt;=6,$A12-'00_前提入力'!$B$8&lt;=22),1,0)+IF(AND($A12-'00_前提入力'!$B$9&gt;=6,$A12-'00_前提入力'!$B$9&lt;=22),1,0)+IF(AND($A12-'00_前提入力'!$B$10&gt;=6,$A12-'00_前提入力'!$B$10&lt;=22),1,0))*'00_前提入力'!$B$25+IF($A12&lt;'00_前提入力'!$B$37,'00_前提入力'!$B$26,'00_前提入力'!$B$27)+IF(AND($A12&gt;='00_前提入力'!$B$31,MOD($A12-'00_前提入力'!$B$31,'00_前提入力'!$B$32)=0),'00_前提入力'!$B$30,0)+(IF($A12-'00_前提入力'!$B$8='00_前提入力'!$B$34,1,0)+IF($A12-'00_前提入力'!$B$9='00_前提入力'!$B$34,1,0)+IF($A12-'00_前提入力'!$B$10='00_前提入力'!$B$34,1,0))*'00_前提入力'!$B$33+(IF($A12='00_前提入力'!$B$9,'00_前提入力'!$B$35,0)+IF($A12='00_前提入力'!$B$10,'00_前提入力'!$B$35,0))+IF($A12='00_前提入力'!$B$37,'00_前提入力'!$B$36,0)</f>
        <v/>
      </c>
      <c r="J12" s="30">
        <f>H12-I12</f>
        <v/>
      </c>
      <c r="K12" s="31">
        <f>K11+J12</f>
        <v/>
      </c>
    </row>
    <row r="13">
      <c r="A13" s="27" t="n">
        <v>2034</v>
      </c>
      <c r="B13" s="19">
        <f>$A13-'00_前提入力'!$B$6</f>
        <v/>
      </c>
      <c r="C13" s="19">
        <f>$A13-'00_前提入力'!$B$7</f>
        <v/>
      </c>
      <c r="D13" s="19">
        <f>IF($A13&gt;='00_前提入力'!$B$8,$A13-'00_前提入力'!$B$8,"")</f>
        <v/>
      </c>
      <c r="E13" s="19">
        <f>IF($A13&gt;='00_前提入力'!$B$9,$A13-'00_前提入力'!$B$9,"")</f>
        <v/>
      </c>
      <c r="F13" s="19">
        <f>IF($A13&gt;='00_前提入力'!$B$10,$A13-'00_前提入力'!$B$10,"")</f>
        <v/>
      </c>
      <c r="G13" s="28" t="inlineStr"/>
      <c r="H13" s="29">
        <f>IF($A13&lt;=2026,'00_前提入力'!$B$14,IF($A13=2027,'00_前提入力'!$B$15,IF($A13=2028,'00_前提入力'!$B$16,IF($A13=2029,'00_前提入力'!$B$17,IF($A13=2030,'00_前提入力'!$B$18,IF($A13&lt;=2056,'00_前提入力'!$B$19,'00_前提入力'!$B$20))))))</f>
        <v/>
      </c>
      <c r="I13" s="29">
        <f>'00_前提入力'!$B$23+(IF(AND($A13&gt;='00_前提入力'!$B$8,$A13-'00_前提入力'!$B$8&lt;=22),1,0)+IF(AND($A13&gt;='00_前提入力'!$B$9,$A13-'00_前提入力'!$B$9&lt;=22),1,0)+IF(AND($A13&gt;='00_前提入力'!$B$10,$A13-'00_前提入力'!$B$10&lt;=22),1,0))*'00_前提入力'!$B$24+(IF(AND($A13-'00_前提入力'!$B$8&gt;=6,$A13-'00_前提入力'!$B$8&lt;=22),1,0)+IF(AND($A13-'00_前提入力'!$B$9&gt;=6,$A13-'00_前提入力'!$B$9&lt;=22),1,0)+IF(AND($A13-'00_前提入力'!$B$10&gt;=6,$A13-'00_前提入力'!$B$10&lt;=22),1,0))*'00_前提入力'!$B$25+IF($A13&lt;'00_前提入力'!$B$37,'00_前提入力'!$B$26,'00_前提入力'!$B$27)+IF(AND($A13&gt;='00_前提入力'!$B$31,MOD($A13-'00_前提入力'!$B$31,'00_前提入力'!$B$32)=0),'00_前提入力'!$B$30,0)+(IF($A13-'00_前提入力'!$B$8='00_前提入力'!$B$34,1,0)+IF($A13-'00_前提入力'!$B$9='00_前提入力'!$B$34,1,0)+IF($A13-'00_前提入力'!$B$10='00_前提入力'!$B$34,1,0))*'00_前提入力'!$B$33+(IF($A13='00_前提入力'!$B$9,'00_前提入力'!$B$35,0)+IF($A13='00_前提入力'!$B$10,'00_前提入力'!$B$35,0))+IF($A13='00_前提入力'!$B$37,'00_前提入力'!$B$36,0)</f>
        <v/>
      </c>
      <c r="J13" s="30">
        <f>H13-I13</f>
        <v/>
      </c>
      <c r="K13" s="31">
        <f>K12+J13</f>
        <v/>
      </c>
    </row>
    <row r="14">
      <c r="A14" s="27" t="n">
        <v>2035</v>
      </c>
      <c r="B14" s="19">
        <f>$A14-'00_前提入力'!$B$6</f>
        <v/>
      </c>
      <c r="C14" s="19">
        <f>$A14-'00_前提入力'!$B$7</f>
        <v/>
      </c>
      <c r="D14" s="19">
        <f>IF($A14&gt;='00_前提入力'!$B$8,$A14-'00_前提入力'!$B$8,"")</f>
        <v/>
      </c>
      <c r="E14" s="19">
        <f>IF($A14&gt;='00_前提入力'!$B$9,$A14-'00_前提入力'!$B$9,"")</f>
        <v/>
      </c>
      <c r="F14" s="19">
        <f>IF($A14&gt;='00_前提入力'!$B$10,$A14-'00_前提入力'!$B$10,"")</f>
        <v/>
      </c>
      <c r="G14" s="28" t="inlineStr"/>
      <c r="H14" s="29">
        <f>IF($A14&lt;=2026,'00_前提入力'!$B$14,IF($A14=2027,'00_前提入力'!$B$15,IF($A14=2028,'00_前提入力'!$B$16,IF($A14=2029,'00_前提入力'!$B$17,IF($A14=2030,'00_前提入力'!$B$18,IF($A14&lt;=2056,'00_前提入力'!$B$19,'00_前提入力'!$B$20))))))</f>
        <v/>
      </c>
      <c r="I14" s="29">
        <f>'00_前提入力'!$B$23+(IF(AND($A14&gt;='00_前提入力'!$B$8,$A14-'00_前提入力'!$B$8&lt;=22),1,0)+IF(AND($A14&gt;='00_前提入力'!$B$9,$A14-'00_前提入力'!$B$9&lt;=22),1,0)+IF(AND($A14&gt;='00_前提入力'!$B$10,$A14-'00_前提入力'!$B$10&lt;=22),1,0))*'00_前提入力'!$B$24+(IF(AND($A14-'00_前提入力'!$B$8&gt;=6,$A14-'00_前提入力'!$B$8&lt;=22),1,0)+IF(AND($A14-'00_前提入力'!$B$9&gt;=6,$A14-'00_前提入力'!$B$9&lt;=22),1,0)+IF(AND($A14-'00_前提入力'!$B$10&gt;=6,$A14-'00_前提入力'!$B$10&lt;=22),1,0))*'00_前提入力'!$B$25+IF($A14&lt;'00_前提入力'!$B$37,'00_前提入力'!$B$26,'00_前提入力'!$B$27)+IF(AND($A14&gt;='00_前提入力'!$B$31,MOD($A14-'00_前提入力'!$B$31,'00_前提入力'!$B$32)=0),'00_前提入力'!$B$30,0)+(IF($A14-'00_前提入力'!$B$8='00_前提入力'!$B$34,1,0)+IF($A14-'00_前提入力'!$B$9='00_前提入力'!$B$34,1,0)+IF($A14-'00_前提入力'!$B$10='00_前提入力'!$B$34,1,0))*'00_前提入力'!$B$33+(IF($A14='00_前提入力'!$B$9,'00_前提入力'!$B$35,0)+IF($A14='00_前提入力'!$B$10,'00_前提入力'!$B$35,0))+IF($A14='00_前提入力'!$B$37,'00_前提入力'!$B$36,0)</f>
        <v/>
      </c>
      <c r="J14" s="30">
        <f>H14-I14</f>
        <v/>
      </c>
      <c r="K14" s="31">
        <f>K13+J14</f>
        <v/>
      </c>
    </row>
    <row r="15">
      <c r="A15" s="27" t="n">
        <v>2036</v>
      </c>
      <c r="B15" s="19">
        <f>$A15-'00_前提入力'!$B$6</f>
        <v/>
      </c>
      <c r="C15" s="19">
        <f>$A15-'00_前提入力'!$B$7</f>
        <v/>
      </c>
      <c r="D15" s="19">
        <f>IF($A15&gt;='00_前提入力'!$B$8,$A15-'00_前提入力'!$B$8,"")</f>
        <v/>
      </c>
      <c r="E15" s="19">
        <f>IF($A15&gt;='00_前提入力'!$B$9,$A15-'00_前提入力'!$B$9,"")</f>
        <v/>
      </c>
      <c r="F15" s="19">
        <f>IF($A15&gt;='00_前提入力'!$B$10,$A15-'00_前提入力'!$B$10,"")</f>
        <v/>
      </c>
      <c r="G15" s="28" t="inlineStr"/>
      <c r="H15" s="29">
        <f>IF($A15&lt;=2026,'00_前提入力'!$B$14,IF($A15=2027,'00_前提入力'!$B$15,IF($A15=2028,'00_前提入力'!$B$16,IF($A15=2029,'00_前提入力'!$B$17,IF($A15=2030,'00_前提入力'!$B$18,IF($A15&lt;=2056,'00_前提入力'!$B$19,'00_前提入力'!$B$20))))))</f>
        <v/>
      </c>
      <c r="I15" s="29">
        <f>'00_前提入力'!$B$23+(IF(AND($A15&gt;='00_前提入力'!$B$8,$A15-'00_前提入力'!$B$8&lt;=22),1,0)+IF(AND($A15&gt;='00_前提入力'!$B$9,$A15-'00_前提入力'!$B$9&lt;=22),1,0)+IF(AND($A15&gt;='00_前提入力'!$B$10,$A15-'00_前提入力'!$B$10&lt;=22),1,0))*'00_前提入力'!$B$24+(IF(AND($A15-'00_前提入力'!$B$8&gt;=6,$A15-'00_前提入力'!$B$8&lt;=22),1,0)+IF(AND($A15-'00_前提入力'!$B$9&gt;=6,$A15-'00_前提入力'!$B$9&lt;=22),1,0)+IF(AND($A15-'00_前提入力'!$B$10&gt;=6,$A15-'00_前提入力'!$B$10&lt;=22),1,0))*'00_前提入力'!$B$25+IF($A15&lt;'00_前提入力'!$B$37,'00_前提入力'!$B$26,'00_前提入力'!$B$27)+IF(AND($A15&gt;='00_前提入力'!$B$31,MOD($A15-'00_前提入力'!$B$31,'00_前提入力'!$B$32)=0),'00_前提入力'!$B$30,0)+(IF($A15-'00_前提入力'!$B$8='00_前提入力'!$B$34,1,0)+IF($A15-'00_前提入力'!$B$9='00_前提入力'!$B$34,1,0)+IF($A15-'00_前提入力'!$B$10='00_前提入力'!$B$34,1,0))*'00_前提入力'!$B$33+(IF($A15='00_前提入力'!$B$9,'00_前提入力'!$B$35,0)+IF($A15='00_前提入力'!$B$10,'00_前提入力'!$B$35,0))+IF($A15='00_前提入力'!$B$37,'00_前提入力'!$B$36,0)</f>
        <v/>
      </c>
      <c r="J15" s="30">
        <f>H15-I15</f>
        <v/>
      </c>
      <c r="K15" s="31">
        <f>K14+J15</f>
        <v/>
      </c>
    </row>
    <row r="16">
      <c r="A16" s="27" t="n">
        <v>2037</v>
      </c>
      <c r="B16" s="19">
        <f>$A16-'00_前提入力'!$B$6</f>
        <v/>
      </c>
      <c r="C16" s="19">
        <f>$A16-'00_前提入力'!$B$7</f>
        <v/>
      </c>
      <c r="D16" s="19">
        <f>IF($A16&gt;='00_前提入力'!$B$8,$A16-'00_前提入力'!$B$8,"")</f>
        <v/>
      </c>
      <c r="E16" s="19">
        <f>IF($A16&gt;='00_前提入力'!$B$9,$A16-'00_前提入力'!$B$9,"")</f>
        <v/>
      </c>
      <c r="F16" s="19">
        <f>IF($A16&gt;='00_前提入力'!$B$10,$A16-'00_前提入力'!$B$10,"")</f>
        <v/>
      </c>
      <c r="G16" s="28" t="inlineStr">
        <is>
          <t>車 買替</t>
        </is>
      </c>
      <c r="H16" s="29">
        <f>IF($A16&lt;=2026,'00_前提入力'!$B$14,IF($A16=2027,'00_前提入力'!$B$15,IF($A16=2028,'00_前提入力'!$B$16,IF($A16=2029,'00_前提入力'!$B$17,IF($A16=2030,'00_前提入力'!$B$18,IF($A16&lt;=2056,'00_前提入力'!$B$19,'00_前提入力'!$B$20))))))</f>
        <v/>
      </c>
      <c r="I16" s="29">
        <f>'00_前提入力'!$B$23+(IF(AND($A16&gt;='00_前提入力'!$B$8,$A16-'00_前提入力'!$B$8&lt;=22),1,0)+IF(AND($A16&gt;='00_前提入力'!$B$9,$A16-'00_前提入力'!$B$9&lt;=22),1,0)+IF(AND($A16&gt;='00_前提入力'!$B$10,$A16-'00_前提入力'!$B$10&lt;=22),1,0))*'00_前提入力'!$B$24+(IF(AND($A16-'00_前提入力'!$B$8&gt;=6,$A16-'00_前提入力'!$B$8&lt;=22),1,0)+IF(AND($A16-'00_前提入力'!$B$9&gt;=6,$A16-'00_前提入力'!$B$9&lt;=22),1,0)+IF(AND($A16-'00_前提入力'!$B$10&gt;=6,$A16-'00_前提入力'!$B$10&lt;=22),1,0))*'00_前提入力'!$B$25+IF($A16&lt;'00_前提入力'!$B$37,'00_前提入力'!$B$26,'00_前提入力'!$B$27)+IF(AND($A16&gt;='00_前提入力'!$B$31,MOD($A16-'00_前提入力'!$B$31,'00_前提入力'!$B$32)=0),'00_前提入力'!$B$30,0)+(IF($A16-'00_前提入力'!$B$8='00_前提入力'!$B$34,1,0)+IF($A16-'00_前提入力'!$B$9='00_前提入力'!$B$34,1,0)+IF($A16-'00_前提入力'!$B$10='00_前提入力'!$B$34,1,0))*'00_前提入力'!$B$33+(IF($A16='00_前提入力'!$B$9,'00_前提入力'!$B$35,0)+IF($A16='00_前提入力'!$B$10,'00_前提入力'!$B$35,0))+IF($A16='00_前提入力'!$B$37,'00_前提入力'!$B$36,0)</f>
        <v/>
      </c>
      <c r="J16" s="30">
        <f>H16-I16</f>
        <v/>
      </c>
      <c r="K16" s="31">
        <f>K15+J16</f>
        <v/>
      </c>
    </row>
    <row r="17">
      <c r="A17" s="27" t="n">
        <v>2038</v>
      </c>
      <c r="B17" s="19">
        <f>$A17-'00_前提入力'!$B$6</f>
        <v/>
      </c>
      <c r="C17" s="19">
        <f>$A17-'00_前提入力'!$B$7</f>
        <v/>
      </c>
      <c r="D17" s="19">
        <f>IF($A17&gt;='00_前提入力'!$B$8,$A17-'00_前提入力'!$B$8,"")</f>
        <v/>
      </c>
      <c r="E17" s="19">
        <f>IF($A17&gt;='00_前提入力'!$B$9,$A17-'00_前提入力'!$B$9,"")</f>
        <v/>
      </c>
      <c r="F17" s="19">
        <f>IF($A17&gt;='00_前提入力'!$B$10,$A17-'00_前提入力'!$B$10,"")</f>
        <v/>
      </c>
      <c r="G17" s="28" t="inlineStr"/>
      <c r="H17" s="29">
        <f>IF($A17&lt;=2026,'00_前提入力'!$B$14,IF($A17=2027,'00_前提入力'!$B$15,IF($A17=2028,'00_前提入力'!$B$16,IF($A17=2029,'00_前提入力'!$B$17,IF($A17=2030,'00_前提入力'!$B$18,IF($A17&lt;=2056,'00_前提入力'!$B$19,'00_前提入力'!$B$20))))))</f>
        <v/>
      </c>
      <c r="I17" s="29">
        <f>'00_前提入力'!$B$23+(IF(AND($A17&gt;='00_前提入力'!$B$8,$A17-'00_前提入力'!$B$8&lt;=22),1,0)+IF(AND($A17&gt;='00_前提入力'!$B$9,$A17-'00_前提入力'!$B$9&lt;=22),1,0)+IF(AND($A17&gt;='00_前提入力'!$B$10,$A17-'00_前提入力'!$B$10&lt;=22),1,0))*'00_前提入力'!$B$24+(IF(AND($A17-'00_前提入力'!$B$8&gt;=6,$A17-'00_前提入力'!$B$8&lt;=22),1,0)+IF(AND($A17-'00_前提入力'!$B$9&gt;=6,$A17-'00_前提入力'!$B$9&lt;=22),1,0)+IF(AND($A17-'00_前提入力'!$B$10&gt;=6,$A17-'00_前提入力'!$B$10&lt;=22),1,0))*'00_前提入力'!$B$25+IF($A17&lt;'00_前提入力'!$B$37,'00_前提入力'!$B$26,'00_前提入力'!$B$27)+IF(AND($A17&gt;='00_前提入力'!$B$31,MOD($A17-'00_前提入力'!$B$31,'00_前提入力'!$B$32)=0),'00_前提入力'!$B$30,0)+(IF($A17-'00_前提入力'!$B$8='00_前提入力'!$B$34,1,0)+IF($A17-'00_前提入力'!$B$9='00_前提入力'!$B$34,1,0)+IF($A17-'00_前提入力'!$B$10='00_前提入力'!$B$34,1,0))*'00_前提入力'!$B$33+(IF($A17='00_前提入力'!$B$9,'00_前提入力'!$B$35,0)+IF($A17='00_前提入力'!$B$10,'00_前提入力'!$B$35,0))+IF($A17='00_前提入力'!$B$37,'00_前提入力'!$B$36,0)</f>
        <v/>
      </c>
      <c r="J17" s="30">
        <f>H17-I17</f>
        <v/>
      </c>
      <c r="K17" s="31">
        <f>K16+J17</f>
        <v/>
      </c>
    </row>
    <row r="18">
      <c r="A18" s="27" t="n">
        <v>2039</v>
      </c>
      <c r="B18" s="19">
        <f>$A18-'00_前提入力'!$B$6</f>
        <v/>
      </c>
      <c r="C18" s="19">
        <f>$A18-'00_前提入力'!$B$7</f>
        <v/>
      </c>
      <c r="D18" s="19">
        <f>IF($A18&gt;='00_前提入力'!$B$8,$A18-'00_前提入力'!$B$8,"")</f>
        <v/>
      </c>
      <c r="E18" s="19">
        <f>IF($A18&gt;='00_前提入力'!$B$9,$A18-'00_前提入力'!$B$9,"")</f>
        <v/>
      </c>
      <c r="F18" s="19">
        <f>IF($A18&gt;='00_前提入力'!$B$10,$A18-'00_前提入力'!$B$10,"")</f>
        <v/>
      </c>
      <c r="G18" s="28" t="inlineStr">
        <is>
          <t>葵斗 留学（マレーシア）</t>
        </is>
      </c>
      <c r="H18" s="29">
        <f>IF($A18&lt;=2026,'00_前提入力'!$B$14,IF($A18=2027,'00_前提入力'!$B$15,IF($A18=2028,'00_前提入力'!$B$16,IF($A18=2029,'00_前提入力'!$B$17,IF($A18=2030,'00_前提入力'!$B$18,IF($A18&lt;=2056,'00_前提入力'!$B$19,'00_前提入力'!$B$20))))))</f>
        <v/>
      </c>
      <c r="I18" s="29">
        <f>'00_前提入力'!$B$23+(IF(AND($A18&gt;='00_前提入力'!$B$8,$A18-'00_前提入力'!$B$8&lt;=22),1,0)+IF(AND($A18&gt;='00_前提入力'!$B$9,$A18-'00_前提入力'!$B$9&lt;=22),1,0)+IF(AND($A18&gt;='00_前提入力'!$B$10,$A18-'00_前提入力'!$B$10&lt;=22),1,0))*'00_前提入力'!$B$24+(IF(AND($A18-'00_前提入力'!$B$8&gt;=6,$A18-'00_前提入力'!$B$8&lt;=22),1,0)+IF(AND($A18-'00_前提入力'!$B$9&gt;=6,$A18-'00_前提入力'!$B$9&lt;=22),1,0)+IF(AND($A18-'00_前提入力'!$B$10&gt;=6,$A18-'00_前提入力'!$B$10&lt;=22),1,0))*'00_前提入力'!$B$25+IF($A18&lt;'00_前提入力'!$B$37,'00_前提入力'!$B$26,'00_前提入力'!$B$27)+IF(AND($A18&gt;='00_前提入力'!$B$31,MOD($A18-'00_前提入力'!$B$31,'00_前提入力'!$B$32)=0),'00_前提入力'!$B$30,0)+(IF($A18-'00_前提入力'!$B$8='00_前提入力'!$B$34,1,0)+IF($A18-'00_前提入力'!$B$9='00_前提入力'!$B$34,1,0)+IF($A18-'00_前提入力'!$B$10='00_前提入力'!$B$34,1,0))*'00_前提入力'!$B$33+(IF($A18='00_前提入力'!$B$9,'00_前提入力'!$B$35,0)+IF($A18='00_前提入力'!$B$10,'00_前提入力'!$B$35,0))+IF($A18='00_前提入力'!$B$37,'00_前提入力'!$B$36,0)</f>
        <v/>
      </c>
      <c r="J18" s="30">
        <f>H18-I18</f>
        <v/>
      </c>
      <c r="K18" s="31">
        <f>K17+J18</f>
        <v/>
      </c>
    </row>
    <row r="19">
      <c r="A19" s="27" t="n">
        <v>2040</v>
      </c>
      <c r="B19" s="19">
        <f>$A19-'00_前提入力'!$B$6</f>
        <v/>
      </c>
      <c r="C19" s="19">
        <f>$A19-'00_前提入力'!$B$7</f>
        <v/>
      </c>
      <c r="D19" s="19">
        <f>IF($A19&gt;='00_前提入力'!$B$8,$A19-'00_前提入力'!$B$8,"")</f>
        <v/>
      </c>
      <c r="E19" s="19">
        <f>IF($A19&gt;='00_前提入力'!$B$9,$A19-'00_前提入力'!$B$9,"")</f>
        <v/>
      </c>
      <c r="F19" s="19">
        <f>IF($A19&gt;='00_前提入力'!$B$10,$A19-'00_前提入力'!$B$10,"")</f>
        <v/>
      </c>
      <c r="G19" s="28" t="inlineStr"/>
      <c r="H19" s="29">
        <f>IF($A19&lt;=2026,'00_前提入力'!$B$14,IF($A19=2027,'00_前提入力'!$B$15,IF($A19=2028,'00_前提入力'!$B$16,IF($A19=2029,'00_前提入力'!$B$17,IF($A19=2030,'00_前提入力'!$B$18,IF($A19&lt;=2056,'00_前提入力'!$B$19,'00_前提入力'!$B$20))))))</f>
        <v/>
      </c>
      <c r="I19" s="29">
        <f>'00_前提入力'!$B$23+(IF(AND($A19&gt;='00_前提入力'!$B$8,$A19-'00_前提入力'!$B$8&lt;=22),1,0)+IF(AND($A19&gt;='00_前提入力'!$B$9,$A19-'00_前提入力'!$B$9&lt;=22),1,0)+IF(AND($A19&gt;='00_前提入力'!$B$10,$A19-'00_前提入力'!$B$10&lt;=22),1,0))*'00_前提入力'!$B$24+(IF(AND($A19-'00_前提入力'!$B$8&gt;=6,$A19-'00_前提入力'!$B$8&lt;=22),1,0)+IF(AND($A19-'00_前提入力'!$B$9&gt;=6,$A19-'00_前提入力'!$B$9&lt;=22),1,0)+IF(AND($A19-'00_前提入力'!$B$10&gt;=6,$A19-'00_前提入力'!$B$10&lt;=22),1,0))*'00_前提入力'!$B$25+IF($A19&lt;'00_前提入力'!$B$37,'00_前提入力'!$B$26,'00_前提入力'!$B$27)+IF(AND($A19&gt;='00_前提入力'!$B$31,MOD($A19-'00_前提入力'!$B$31,'00_前提入力'!$B$32)=0),'00_前提入力'!$B$30,0)+(IF($A19-'00_前提入力'!$B$8='00_前提入力'!$B$34,1,0)+IF($A19-'00_前提入力'!$B$9='00_前提入力'!$B$34,1,0)+IF($A19-'00_前提入力'!$B$10='00_前提入力'!$B$34,1,0))*'00_前提入力'!$B$33+(IF($A19='00_前提入力'!$B$9,'00_前提入力'!$B$35,0)+IF($A19='00_前提入力'!$B$10,'00_前提入力'!$B$35,0))+IF($A19='00_前提入力'!$B$37,'00_前提入力'!$B$36,0)</f>
        <v/>
      </c>
      <c r="J19" s="30">
        <f>H19-I19</f>
        <v/>
      </c>
      <c r="K19" s="31">
        <f>K18+J19</f>
        <v/>
      </c>
    </row>
    <row r="20">
      <c r="A20" s="27" t="n">
        <v>2041</v>
      </c>
      <c r="B20" s="19">
        <f>$A20-'00_前提入力'!$B$6</f>
        <v/>
      </c>
      <c r="C20" s="19">
        <f>$A20-'00_前提入力'!$B$7</f>
        <v/>
      </c>
      <c r="D20" s="19">
        <f>IF($A20&gt;='00_前提入力'!$B$8,$A20-'00_前提入力'!$B$8,"")</f>
        <v/>
      </c>
      <c r="E20" s="19">
        <f>IF($A20&gt;='00_前提入力'!$B$9,$A20-'00_前提入力'!$B$9,"")</f>
        <v/>
      </c>
      <c r="F20" s="19">
        <f>IF($A20&gt;='00_前提入力'!$B$10,$A20-'00_前提入力'!$B$10,"")</f>
        <v/>
      </c>
      <c r="G20" s="28" t="inlineStr">
        <is>
          <t>第2子 留学</t>
        </is>
      </c>
      <c r="H20" s="29">
        <f>IF($A20&lt;=2026,'00_前提入力'!$B$14,IF($A20=2027,'00_前提入力'!$B$15,IF($A20=2028,'00_前提入力'!$B$16,IF($A20=2029,'00_前提入力'!$B$17,IF($A20=2030,'00_前提入力'!$B$18,IF($A20&lt;=2056,'00_前提入力'!$B$19,'00_前提入力'!$B$20))))))</f>
        <v/>
      </c>
      <c r="I20" s="29">
        <f>'00_前提入力'!$B$23+(IF(AND($A20&gt;='00_前提入力'!$B$8,$A20-'00_前提入力'!$B$8&lt;=22),1,0)+IF(AND($A20&gt;='00_前提入力'!$B$9,$A20-'00_前提入力'!$B$9&lt;=22),1,0)+IF(AND($A20&gt;='00_前提入力'!$B$10,$A20-'00_前提入力'!$B$10&lt;=22),1,0))*'00_前提入力'!$B$24+(IF(AND($A20-'00_前提入力'!$B$8&gt;=6,$A20-'00_前提入力'!$B$8&lt;=22),1,0)+IF(AND($A20-'00_前提入力'!$B$9&gt;=6,$A20-'00_前提入力'!$B$9&lt;=22),1,0)+IF(AND($A20-'00_前提入力'!$B$10&gt;=6,$A20-'00_前提入力'!$B$10&lt;=22),1,0))*'00_前提入力'!$B$25+IF($A20&lt;'00_前提入力'!$B$37,'00_前提入力'!$B$26,'00_前提入力'!$B$27)+IF(AND($A20&gt;='00_前提入力'!$B$31,MOD($A20-'00_前提入力'!$B$31,'00_前提入力'!$B$32)=0),'00_前提入力'!$B$30,0)+(IF($A20-'00_前提入力'!$B$8='00_前提入力'!$B$34,1,0)+IF($A20-'00_前提入力'!$B$9='00_前提入力'!$B$34,1,0)+IF($A20-'00_前提入力'!$B$10='00_前提入力'!$B$34,1,0))*'00_前提入力'!$B$33+(IF($A20='00_前提入力'!$B$9,'00_前提入力'!$B$35,0)+IF($A20='00_前提入力'!$B$10,'00_前提入力'!$B$35,0))+IF($A20='00_前提入力'!$B$37,'00_前提入力'!$B$36,0)</f>
        <v/>
      </c>
      <c r="J20" s="30">
        <f>H20-I20</f>
        <v/>
      </c>
      <c r="K20" s="31">
        <f>K19+J20</f>
        <v/>
      </c>
    </row>
    <row r="21">
      <c r="A21" s="27" t="n">
        <v>2042</v>
      </c>
      <c r="B21" s="19">
        <f>$A21-'00_前提入力'!$B$6</f>
        <v/>
      </c>
      <c r="C21" s="19">
        <f>$A21-'00_前提入力'!$B$7</f>
        <v/>
      </c>
      <c r="D21" s="19">
        <f>IF($A21&gt;='00_前提入力'!$B$8,$A21-'00_前提入力'!$B$8,"")</f>
        <v/>
      </c>
      <c r="E21" s="19">
        <f>IF($A21&gt;='00_前提入力'!$B$9,$A21-'00_前提入力'!$B$9,"")</f>
        <v/>
      </c>
      <c r="F21" s="19">
        <f>IF($A21&gt;='00_前提入力'!$B$10,$A21-'00_前提入力'!$B$10,"")</f>
        <v/>
      </c>
      <c r="G21" s="28" t="inlineStr"/>
      <c r="H21" s="29">
        <f>IF($A21&lt;=2026,'00_前提入力'!$B$14,IF($A21=2027,'00_前提入力'!$B$15,IF($A21=2028,'00_前提入力'!$B$16,IF($A21=2029,'00_前提入力'!$B$17,IF($A21=2030,'00_前提入力'!$B$18,IF($A21&lt;=2056,'00_前提入力'!$B$19,'00_前提入力'!$B$20))))))</f>
        <v/>
      </c>
      <c r="I21" s="29">
        <f>'00_前提入力'!$B$23+(IF(AND($A21&gt;='00_前提入力'!$B$8,$A21-'00_前提入力'!$B$8&lt;=22),1,0)+IF(AND($A21&gt;='00_前提入力'!$B$9,$A21-'00_前提入力'!$B$9&lt;=22),1,0)+IF(AND($A21&gt;='00_前提入力'!$B$10,$A21-'00_前提入力'!$B$10&lt;=22),1,0))*'00_前提入力'!$B$24+(IF(AND($A21-'00_前提入力'!$B$8&gt;=6,$A21-'00_前提入力'!$B$8&lt;=22),1,0)+IF(AND($A21-'00_前提入力'!$B$9&gt;=6,$A21-'00_前提入力'!$B$9&lt;=22),1,0)+IF(AND($A21-'00_前提入力'!$B$10&gt;=6,$A21-'00_前提入力'!$B$10&lt;=22),1,0))*'00_前提入力'!$B$25+IF($A21&lt;'00_前提入力'!$B$37,'00_前提入力'!$B$26,'00_前提入力'!$B$27)+IF(AND($A21&gt;='00_前提入力'!$B$31,MOD($A21-'00_前提入力'!$B$31,'00_前提入力'!$B$32)=0),'00_前提入力'!$B$30,0)+(IF($A21-'00_前提入力'!$B$8='00_前提入力'!$B$34,1,0)+IF($A21-'00_前提入力'!$B$9='00_前提入力'!$B$34,1,0)+IF($A21-'00_前提入力'!$B$10='00_前提入力'!$B$34,1,0))*'00_前提入力'!$B$33+(IF($A21='00_前提入力'!$B$9,'00_前提入力'!$B$35,0)+IF($A21='00_前提入力'!$B$10,'00_前提入力'!$B$35,0))+IF($A21='00_前提入力'!$B$37,'00_前提入力'!$B$36,0)</f>
        <v/>
      </c>
      <c r="J21" s="30">
        <f>H21-I21</f>
        <v/>
      </c>
      <c r="K21" s="31">
        <f>K20+J21</f>
        <v/>
      </c>
    </row>
    <row r="22">
      <c r="A22" s="27" t="n">
        <v>2043</v>
      </c>
      <c r="B22" s="19">
        <f>$A22-'00_前提入力'!$B$6</f>
        <v/>
      </c>
      <c r="C22" s="19">
        <f>$A22-'00_前提入力'!$B$7</f>
        <v/>
      </c>
      <c r="D22" s="19">
        <f>IF($A22&gt;='00_前提入力'!$B$8,$A22-'00_前提入力'!$B$8,"")</f>
        <v/>
      </c>
      <c r="E22" s="19">
        <f>IF($A22&gt;='00_前提入力'!$B$9,$A22-'00_前提入力'!$B$9,"")</f>
        <v/>
      </c>
      <c r="F22" s="19">
        <f>IF($A22&gt;='00_前提入力'!$B$10,$A22-'00_前提入力'!$B$10,"")</f>
        <v/>
      </c>
      <c r="G22" s="28" t="inlineStr"/>
      <c r="H22" s="29">
        <f>IF($A22&lt;=2026,'00_前提入力'!$B$14,IF($A22=2027,'00_前提入力'!$B$15,IF($A22=2028,'00_前提入力'!$B$16,IF($A22=2029,'00_前提入力'!$B$17,IF($A22=2030,'00_前提入力'!$B$18,IF($A22&lt;=2056,'00_前提入力'!$B$19,'00_前提入力'!$B$20))))))</f>
        <v/>
      </c>
      <c r="I22" s="29">
        <f>'00_前提入力'!$B$23+(IF(AND($A22&gt;='00_前提入力'!$B$8,$A22-'00_前提入力'!$B$8&lt;=22),1,0)+IF(AND($A22&gt;='00_前提入力'!$B$9,$A22-'00_前提入力'!$B$9&lt;=22),1,0)+IF(AND($A22&gt;='00_前提入力'!$B$10,$A22-'00_前提入力'!$B$10&lt;=22),1,0))*'00_前提入力'!$B$24+(IF(AND($A22-'00_前提入力'!$B$8&gt;=6,$A22-'00_前提入力'!$B$8&lt;=22),1,0)+IF(AND($A22-'00_前提入力'!$B$9&gt;=6,$A22-'00_前提入力'!$B$9&lt;=22),1,0)+IF(AND($A22-'00_前提入力'!$B$10&gt;=6,$A22-'00_前提入力'!$B$10&lt;=22),1,0))*'00_前提入力'!$B$25+IF($A22&lt;'00_前提入力'!$B$37,'00_前提入力'!$B$26,'00_前提入力'!$B$27)+IF(AND($A22&gt;='00_前提入力'!$B$31,MOD($A22-'00_前提入力'!$B$31,'00_前提入力'!$B$32)=0),'00_前提入力'!$B$30,0)+(IF($A22-'00_前提入力'!$B$8='00_前提入力'!$B$34,1,0)+IF($A22-'00_前提入力'!$B$9='00_前提入力'!$B$34,1,0)+IF($A22-'00_前提入力'!$B$10='00_前提入力'!$B$34,1,0))*'00_前提入力'!$B$33+(IF($A22='00_前提入力'!$B$9,'00_前提入力'!$B$35,0)+IF($A22='00_前提入力'!$B$10,'00_前提入力'!$B$35,0))+IF($A22='00_前提入力'!$B$37,'00_前提入力'!$B$36,0)</f>
        <v/>
      </c>
      <c r="J22" s="30">
        <f>H22-I22</f>
        <v/>
      </c>
      <c r="K22" s="31">
        <f>K21+J22</f>
        <v/>
      </c>
    </row>
    <row r="23">
      <c r="A23" s="27" t="n">
        <v>2044</v>
      </c>
      <c r="B23" s="19">
        <f>$A23-'00_前提入力'!$B$6</f>
        <v/>
      </c>
      <c r="C23" s="19">
        <f>$A23-'00_前提入力'!$B$7</f>
        <v/>
      </c>
      <c r="D23" s="19">
        <f>IF($A23&gt;='00_前提入力'!$B$8,$A23-'00_前提入力'!$B$8,"")</f>
        <v/>
      </c>
      <c r="E23" s="19">
        <f>IF($A23&gt;='00_前提入力'!$B$9,$A23-'00_前提入力'!$B$9,"")</f>
        <v/>
      </c>
      <c r="F23" s="19">
        <f>IF($A23&gt;='00_前提入力'!$B$10,$A23-'00_前提入力'!$B$10,"")</f>
        <v/>
      </c>
      <c r="G23" s="28" t="inlineStr">
        <is>
          <t>車 買替・第3子 留学</t>
        </is>
      </c>
      <c r="H23" s="29">
        <f>IF($A23&lt;=2026,'00_前提入力'!$B$14,IF($A23=2027,'00_前提入力'!$B$15,IF($A23=2028,'00_前提入力'!$B$16,IF($A23=2029,'00_前提入力'!$B$17,IF($A23=2030,'00_前提入力'!$B$18,IF($A23&lt;=2056,'00_前提入力'!$B$19,'00_前提入力'!$B$20))))))</f>
        <v/>
      </c>
      <c r="I23" s="29">
        <f>'00_前提入力'!$B$23+(IF(AND($A23&gt;='00_前提入力'!$B$8,$A23-'00_前提入力'!$B$8&lt;=22),1,0)+IF(AND($A23&gt;='00_前提入力'!$B$9,$A23-'00_前提入力'!$B$9&lt;=22),1,0)+IF(AND($A23&gt;='00_前提入力'!$B$10,$A23-'00_前提入力'!$B$10&lt;=22),1,0))*'00_前提入力'!$B$24+(IF(AND($A23-'00_前提入力'!$B$8&gt;=6,$A23-'00_前提入力'!$B$8&lt;=22),1,0)+IF(AND($A23-'00_前提入力'!$B$9&gt;=6,$A23-'00_前提入力'!$B$9&lt;=22),1,0)+IF(AND($A23-'00_前提入力'!$B$10&gt;=6,$A23-'00_前提入力'!$B$10&lt;=22),1,0))*'00_前提入力'!$B$25+IF($A23&lt;'00_前提入力'!$B$37,'00_前提入力'!$B$26,'00_前提入力'!$B$27)+IF(AND($A23&gt;='00_前提入力'!$B$31,MOD($A23-'00_前提入力'!$B$31,'00_前提入力'!$B$32)=0),'00_前提入力'!$B$30,0)+(IF($A23-'00_前提入力'!$B$8='00_前提入力'!$B$34,1,0)+IF($A23-'00_前提入力'!$B$9='00_前提入力'!$B$34,1,0)+IF($A23-'00_前提入力'!$B$10='00_前提入力'!$B$34,1,0))*'00_前提入力'!$B$33+(IF($A23='00_前提入力'!$B$9,'00_前提入力'!$B$35,0)+IF($A23='00_前提入力'!$B$10,'00_前提入力'!$B$35,0))+IF($A23='00_前提入力'!$B$37,'00_前提入力'!$B$36,0)</f>
        <v/>
      </c>
      <c r="J23" s="30">
        <f>H23-I23</f>
        <v/>
      </c>
      <c r="K23" s="31">
        <f>K22+J23</f>
        <v/>
      </c>
    </row>
    <row r="24">
      <c r="A24" s="27" t="n">
        <v>2045</v>
      </c>
      <c r="B24" s="19">
        <f>$A24-'00_前提入力'!$B$6</f>
        <v/>
      </c>
      <c r="C24" s="19">
        <f>$A24-'00_前提入力'!$B$7</f>
        <v/>
      </c>
      <c r="D24" s="19">
        <f>IF($A24&gt;='00_前提入力'!$B$8,$A24-'00_前提入力'!$B$8,"")</f>
        <v/>
      </c>
      <c r="E24" s="19">
        <f>IF($A24&gt;='00_前提入力'!$B$9,$A24-'00_前提入力'!$B$9,"")</f>
        <v/>
      </c>
      <c r="F24" s="19">
        <f>IF($A24&gt;='00_前提入力'!$B$10,$A24-'00_前提入力'!$B$10,"")</f>
        <v/>
      </c>
      <c r="G24" s="28" t="inlineStr">
        <is>
          <t>葵斗 大学</t>
        </is>
      </c>
      <c r="H24" s="29">
        <f>IF($A24&lt;=2026,'00_前提入力'!$B$14,IF($A24=2027,'00_前提入力'!$B$15,IF($A24=2028,'00_前提入力'!$B$16,IF($A24=2029,'00_前提入力'!$B$17,IF($A24=2030,'00_前提入力'!$B$18,IF($A24&lt;=2056,'00_前提入力'!$B$19,'00_前提入力'!$B$20))))))</f>
        <v/>
      </c>
      <c r="I24" s="29">
        <f>'00_前提入力'!$B$23+(IF(AND($A24&gt;='00_前提入力'!$B$8,$A24-'00_前提入力'!$B$8&lt;=22),1,0)+IF(AND($A24&gt;='00_前提入力'!$B$9,$A24-'00_前提入力'!$B$9&lt;=22),1,0)+IF(AND($A24&gt;='00_前提入力'!$B$10,$A24-'00_前提入力'!$B$10&lt;=22),1,0))*'00_前提入力'!$B$24+(IF(AND($A24-'00_前提入力'!$B$8&gt;=6,$A24-'00_前提入力'!$B$8&lt;=22),1,0)+IF(AND($A24-'00_前提入力'!$B$9&gt;=6,$A24-'00_前提入力'!$B$9&lt;=22),1,0)+IF(AND($A24-'00_前提入力'!$B$10&gt;=6,$A24-'00_前提入力'!$B$10&lt;=22),1,0))*'00_前提入力'!$B$25+IF($A24&lt;'00_前提入力'!$B$37,'00_前提入力'!$B$26,'00_前提入力'!$B$27)+IF(AND($A24&gt;='00_前提入力'!$B$31,MOD($A24-'00_前提入力'!$B$31,'00_前提入力'!$B$32)=0),'00_前提入力'!$B$30,0)+(IF($A24-'00_前提入力'!$B$8='00_前提入力'!$B$34,1,0)+IF($A24-'00_前提入力'!$B$9='00_前提入力'!$B$34,1,0)+IF($A24-'00_前提入力'!$B$10='00_前提入力'!$B$34,1,0))*'00_前提入力'!$B$33+(IF($A24='00_前提入力'!$B$9,'00_前提入力'!$B$35,0)+IF($A24='00_前提入力'!$B$10,'00_前提入力'!$B$35,0))+IF($A24='00_前提入力'!$B$37,'00_前提入力'!$B$36,0)</f>
        <v/>
      </c>
      <c r="J24" s="30">
        <f>H24-I24</f>
        <v/>
      </c>
      <c r="K24" s="31">
        <f>K23+J24</f>
        <v/>
      </c>
    </row>
    <row r="25">
      <c r="A25" s="27" t="n">
        <v>2046</v>
      </c>
      <c r="B25" s="19">
        <f>$A25-'00_前提入力'!$B$6</f>
        <v/>
      </c>
      <c r="C25" s="19">
        <f>$A25-'00_前提入力'!$B$7</f>
        <v/>
      </c>
      <c r="D25" s="19">
        <f>IF($A25&gt;='00_前提入力'!$B$8,$A25-'00_前提入力'!$B$8,"")</f>
        <v/>
      </c>
      <c r="E25" s="19">
        <f>IF($A25&gt;='00_前提入力'!$B$9,$A25-'00_前提入力'!$B$9,"")</f>
        <v/>
      </c>
      <c r="F25" s="19">
        <f>IF($A25&gt;='00_前提入力'!$B$10,$A25-'00_前提入力'!$B$10,"")</f>
        <v/>
      </c>
      <c r="G25" s="28" t="inlineStr"/>
      <c r="H25" s="29">
        <f>IF($A25&lt;=2026,'00_前提入力'!$B$14,IF($A25=2027,'00_前提入力'!$B$15,IF($A25=2028,'00_前提入力'!$B$16,IF($A25=2029,'00_前提入力'!$B$17,IF($A25=2030,'00_前提入力'!$B$18,IF($A25&lt;=2056,'00_前提入力'!$B$19,'00_前提入力'!$B$20))))))</f>
        <v/>
      </c>
      <c r="I25" s="29">
        <f>'00_前提入力'!$B$23+(IF(AND($A25&gt;='00_前提入力'!$B$8,$A25-'00_前提入力'!$B$8&lt;=22),1,0)+IF(AND($A25&gt;='00_前提入力'!$B$9,$A25-'00_前提入力'!$B$9&lt;=22),1,0)+IF(AND($A25&gt;='00_前提入力'!$B$10,$A25-'00_前提入力'!$B$10&lt;=22),1,0))*'00_前提入力'!$B$24+(IF(AND($A25-'00_前提入力'!$B$8&gt;=6,$A25-'00_前提入力'!$B$8&lt;=22),1,0)+IF(AND($A25-'00_前提入力'!$B$9&gt;=6,$A25-'00_前提入力'!$B$9&lt;=22),1,0)+IF(AND($A25-'00_前提入力'!$B$10&gt;=6,$A25-'00_前提入力'!$B$10&lt;=22),1,0))*'00_前提入力'!$B$25+IF($A25&lt;'00_前提入力'!$B$37,'00_前提入力'!$B$26,'00_前提入力'!$B$27)+IF(AND($A25&gt;='00_前提入力'!$B$31,MOD($A25-'00_前提入力'!$B$31,'00_前提入力'!$B$32)=0),'00_前提入力'!$B$30,0)+(IF($A25-'00_前提入力'!$B$8='00_前提入力'!$B$34,1,0)+IF($A25-'00_前提入力'!$B$9='00_前提入力'!$B$34,1,0)+IF($A25-'00_前提入力'!$B$10='00_前提入力'!$B$34,1,0))*'00_前提入力'!$B$33+(IF($A25='00_前提入力'!$B$9,'00_前提入力'!$B$35,0)+IF($A25='00_前提入力'!$B$10,'00_前提入力'!$B$35,0))+IF($A25='00_前提入力'!$B$37,'00_前提入力'!$B$36,0)</f>
        <v/>
      </c>
      <c r="J25" s="30">
        <f>H25-I25</f>
        <v/>
      </c>
      <c r="K25" s="31">
        <f>K24+J25</f>
        <v/>
      </c>
    </row>
    <row r="26">
      <c r="A26" s="27" t="n">
        <v>2047</v>
      </c>
      <c r="B26" s="19">
        <f>$A26-'00_前提入力'!$B$6</f>
        <v/>
      </c>
      <c r="C26" s="19">
        <f>$A26-'00_前提入力'!$B$7</f>
        <v/>
      </c>
      <c r="D26" s="19">
        <f>IF($A26&gt;='00_前提入力'!$B$8,$A26-'00_前提入力'!$B$8,"")</f>
        <v/>
      </c>
      <c r="E26" s="19">
        <f>IF($A26&gt;='00_前提入力'!$B$9,$A26-'00_前提入力'!$B$9,"")</f>
        <v/>
      </c>
      <c r="F26" s="19">
        <f>IF($A26&gt;='00_前提入力'!$B$10,$A26-'00_前提入力'!$B$10,"")</f>
        <v/>
      </c>
      <c r="G26" s="28" t="inlineStr"/>
      <c r="H26" s="29">
        <f>IF($A26&lt;=2026,'00_前提入力'!$B$14,IF($A26=2027,'00_前提入力'!$B$15,IF($A26=2028,'00_前提入力'!$B$16,IF($A26=2029,'00_前提入力'!$B$17,IF($A26=2030,'00_前提入力'!$B$18,IF($A26&lt;=2056,'00_前提入力'!$B$19,'00_前提入力'!$B$20))))))</f>
        <v/>
      </c>
      <c r="I26" s="29">
        <f>'00_前提入力'!$B$23+(IF(AND($A26&gt;='00_前提入力'!$B$8,$A26-'00_前提入力'!$B$8&lt;=22),1,0)+IF(AND($A26&gt;='00_前提入力'!$B$9,$A26-'00_前提入力'!$B$9&lt;=22),1,0)+IF(AND($A26&gt;='00_前提入力'!$B$10,$A26-'00_前提入力'!$B$10&lt;=22),1,0))*'00_前提入力'!$B$24+(IF(AND($A26-'00_前提入力'!$B$8&gt;=6,$A26-'00_前提入力'!$B$8&lt;=22),1,0)+IF(AND($A26-'00_前提入力'!$B$9&gt;=6,$A26-'00_前提入力'!$B$9&lt;=22),1,0)+IF(AND($A26-'00_前提入力'!$B$10&gt;=6,$A26-'00_前提入力'!$B$10&lt;=22),1,0))*'00_前提入力'!$B$25+IF($A26&lt;'00_前提入力'!$B$37,'00_前提入力'!$B$26,'00_前提入力'!$B$27)+IF(AND($A26&gt;='00_前提入力'!$B$31,MOD($A26-'00_前提入力'!$B$31,'00_前提入力'!$B$32)=0),'00_前提入力'!$B$30,0)+(IF($A26-'00_前提入力'!$B$8='00_前提入力'!$B$34,1,0)+IF($A26-'00_前提入力'!$B$9='00_前提入力'!$B$34,1,0)+IF($A26-'00_前提入力'!$B$10='00_前提入力'!$B$34,1,0))*'00_前提入力'!$B$33+(IF($A26='00_前提入力'!$B$9,'00_前提入力'!$B$35,0)+IF($A26='00_前提入力'!$B$10,'00_前提入力'!$B$35,0))+IF($A26='00_前提入力'!$B$37,'00_前提入力'!$B$36,0)</f>
        <v/>
      </c>
      <c r="J26" s="30">
        <f>H26-I26</f>
        <v/>
      </c>
      <c r="K26" s="31">
        <f>K25+J26</f>
        <v/>
      </c>
    </row>
    <row r="27">
      <c r="A27" s="27" t="n">
        <v>2048</v>
      </c>
      <c r="B27" s="19">
        <f>$A27-'00_前提入力'!$B$6</f>
        <v/>
      </c>
      <c r="C27" s="19">
        <f>$A27-'00_前提入力'!$B$7</f>
        <v/>
      </c>
      <c r="D27" s="19">
        <f>IF($A27&gt;='00_前提入力'!$B$8,$A27-'00_前提入力'!$B$8,"")</f>
        <v/>
      </c>
      <c r="E27" s="19">
        <f>IF($A27&gt;='00_前提入力'!$B$9,$A27-'00_前提入力'!$B$9,"")</f>
        <v/>
      </c>
      <c r="F27" s="19">
        <f>IF($A27&gt;='00_前提入力'!$B$10,$A27-'00_前提入力'!$B$10,"")</f>
        <v/>
      </c>
      <c r="G27" s="28" t="inlineStr"/>
      <c r="H27" s="29">
        <f>IF($A27&lt;=2026,'00_前提入力'!$B$14,IF($A27=2027,'00_前提入力'!$B$15,IF($A27=2028,'00_前提入力'!$B$16,IF($A27=2029,'00_前提入力'!$B$17,IF($A27=2030,'00_前提入力'!$B$18,IF($A27&lt;=2056,'00_前提入力'!$B$19,'00_前提入力'!$B$20))))))</f>
        <v/>
      </c>
      <c r="I27" s="29">
        <f>'00_前提入力'!$B$23+(IF(AND($A27&gt;='00_前提入力'!$B$8,$A27-'00_前提入力'!$B$8&lt;=22),1,0)+IF(AND($A27&gt;='00_前提入力'!$B$9,$A27-'00_前提入力'!$B$9&lt;=22),1,0)+IF(AND($A27&gt;='00_前提入力'!$B$10,$A27-'00_前提入力'!$B$10&lt;=22),1,0))*'00_前提入力'!$B$24+(IF(AND($A27-'00_前提入力'!$B$8&gt;=6,$A27-'00_前提入力'!$B$8&lt;=22),1,0)+IF(AND($A27-'00_前提入力'!$B$9&gt;=6,$A27-'00_前提入力'!$B$9&lt;=22),1,0)+IF(AND($A27-'00_前提入力'!$B$10&gt;=6,$A27-'00_前提入力'!$B$10&lt;=22),1,0))*'00_前提入力'!$B$25+IF($A27&lt;'00_前提入力'!$B$37,'00_前提入力'!$B$26,'00_前提入力'!$B$27)+IF(AND($A27&gt;='00_前提入力'!$B$31,MOD($A27-'00_前提入力'!$B$31,'00_前提入力'!$B$32)=0),'00_前提入力'!$B$30,0)+(IF($A27-'00_前提入力'!$B$8='00_前提入力'!$B$34,1,0)+IF($A27-'00_前提入力'!$B$9='00_前提入力'!$B$34,1,0)+IF($A27-'00_前提入力'!$B$10='00_前提入力'!$B$34,1,0))*'00_前提入力'!$B$33+(IF($A27='00_前提入力'!$B$9,'00_前提入力'!$B$35,0)+IF($A27='00_前提入力'!$B$10,'00_前提入力'!$B$35,0))+IF($A27='00_前提入力'!$B$37,'00_前提入力'!$B$36,0)</f>
        <v/>
      </c>
      <c r="J27" s="30">
        <f>H27-I27</f>
        <v/>
      </c>
      <c r="K27" s="31">
        <f>K26+J27</f>
        <v/>
      </c>
    </row>
    <row r="28">
      <c r="A28" s="27" t="n">
        <v>2049</v>
      </c>
      <c r="B28" s="19">
        <f>$A28-'00_前提入力'!$B$6</f>
        <v/>
      </c>
      <c r="C28" s="19">
        <f>$A28-'00_前提入力'!$B$7</f>
        <v/>
      </c>
      <c r="D28" s="19">
        <f>IF($A28&gt;='00_前提入力'!$B$8,$A28-'00_前提入力'!$B$8,"")</f>
        <v/>
      </c>
      <c r="E28" s="19">
        <f>IF($A28&gt;='00_前提入力'!$B$9,$A28-'00_前提入力'!$B$9,"")</f>
        <v/>
      </c>
      <c r="F28" s="19">
        <f>IF($A28&gt;='00_前提入力'!$B$10,$A28-'00_前提入力'!$B$10,"")</f>
        <v/>
      </c>
      <c r="G28" s="28" t="inlineStr"/>
      <c r="H28" s="29">
        <f>IF($A28&lt;=2026,'00_前提入力'!$B$14,IF($A28=2027,'00_前提入力'!$B$15,IF($A28=2028,'00_前提入力'!$B$16,IF($A28=2029,'00_前提入力'!$B$17,IF($A28=2030,'00_前提入力'!$B$18,IF($A28&lt;=2056,'00_前提入力'!$B$19,'00_前提入力'!$B$20))))))</f>
        <v/>
      </c>
      <c r="I28" s="29">
        <f>'00_前提入力'!$B$23+(IF(AND($A28&gt;='00_前提入力'!$B$8,$A28-'00_前提入力'!$B$8&lt;=22),1,0)+IF(AND($A28&gt;='00_前提入力'!$B$9,$A28-'00_前提入力'!$B$9&lt;=22),1,0)+IF(AND($A28&gt;='00_前提入力'!$B$10,$A28-'00_前提入力'!$B$10&lt;=22),1,0))*'00_前提入力'!$B$24+(IF(AND($A28-'00_前提入力'!$B$8&gt;=6,$A28-'00_前提入力'!$B$8&lt;=22),1,0)+IF(AND($A28-'00_前提入力'!$B$9&gt;=6,$A28-'00_前提入力'!$B$9&lt;=22),1,0)+IF(AND($A28-'00_前提入力'!$B$10&gt;=6,$A28-'00_前提入力'!$B$10&lt;=22),1,0))*'00_前提入力'!$B$25+IF($A28&lt;'00_前提入力'!$B$37,'00_前提入力'!$B$26,'00_前提入力'!$B$27)+IF(AND($A28&gt;='00_前提入力'!$B$31,MOD($A28-'00_前提入力'!$B$31,'00_前提入力'!$B$32)=0),'00_前提入力'!$B$30,0)+(IF($A28-'00_前提入力'!$B$8='00_前提入力'!$B$34,1,0)+IF($A28-'00_前提入力'!$B$9='00_前提入力'!$B$34,1,0)+IF($A28-'00_前提入力'!$B$10='00_前提入力'!$B$34,1,0))*'00_前提入力'!$B$33+(IF($A28='00_前提入力'!$B$9,'00_前提入力'!$B$35,0)+IF($A28='00_前提入力'!$B$10,'00_前提入力'!$B$35,0))+IF($A28='00_前提入力'!$B$37,'00_前提入力'!$B$36,0)</f>
        <v/>
      </c>
      <c r="J28" s="30">
        <f>H28-I28</f>
        <v/>
      </c>
      <c r="K28" s="31">
        <f>K27+J28</f>
        <v/>
      </c>
    </row>
    <row r="29">
      <c r="A29" s="27" t="n">
        <v>2050</v>
      </c>
      <c r="B29" s="19">
        <f>$A29-'00_前提入力'!$B$6</f>
        <v/>
      </c>
      <c r="C29" s="19">
        <f>$A29-'00_前提入力'!$B$7</f>
        <v/>
      </c>
      <c r="D29" s="19">
        <f>IF($A29&gt;='00_前提入力'!$B$8,$A29-'00_前提入力'!$B$8,"")</f>
        <v/>
      </c>
      <c r="E29" s="19">
        <f>IF($A29&gt;='00_前提入力'!$B$9,$A29-'00_前提入力'!$B$9,"")</f>
        <v/>
      </c>
      <c r="F29" s="19">
        <f>IF($A29&gt;='00_前提入力'!$B$10,$A29-'00_前提入力'!$B$10,"")</f>
        <v/>
      </c>
      <c r="G29" s="28" t="inlineStr"/>
      <c r="H29" s="29">
        <f>IF($A29&lt;=2026,'00_前提入力'!$B$14,IF($A29=2027,'00_前提入力'!$B$15,IF($A29=2028,'00_前提入力'!$B$16,IF($A29=2029,'00_前提入力'!$B$17,IF($A29=2030,'00_前提入力'!$B$18,IF($A29&lt;=2056,'00_前提入力'!$B$19,'00_前提入力'!$B$20))))))</f>
        <v/>
      </c>
      <c r="I29" s="29">
        <f>'00_前提入力'!$B$23+(IF(AND($A29&gt;='00_前提入力'!$B$8,$A29-'00_前提入力'!$B$8&lt;=22),1,0)+IF(AND($A29&gt;='00_前提入力'!$B$9,$A29-'00_前提入力'!$B$9&lt;=22),1,0)+IF(AND($A29&gt;='00_前提入力'!$B$10,$A29-'00_前提入力'!$B$10&lt;=22),1,0))*'00_前提入力'!$B$24+(IF(AND($A29-'00_前提入力'!$B$8&gt;=6,$A29-'00_前提入力'!$B$8&lt;=22),1,0)+IF(AND($A29-'00_前提入力'!$B$9&gt;=6,$A29-'00_前提入力'!$B$9&lt;=22),1,0)+IF(AND($A29-'00_前提入力'!$B$10&gt;=6,$A29-'00_前提入力'!$B$10&lt;=22),1,0))*'00_前提入力'!$B$25+IF($A29&lt;'00_前提入力'!$B$37,'00_前提入力'!$B$26,'00_前提入力'!$B$27)+IF(AND($A29&gt;='00_前提入力'!$B$31,MOD($A29-'00_前提入力'!$B$31,'00_前提入力'!$B$32)=0),'00_前提入力'!$B$30,0)+(IF($A29-'00_前提入力'!$B$8='00_前提入力'!$B$34,1,0)+IF($A29-'00_前提入力'!$B$9='00_前提入力'!$B$34,1,0)+IF($A29-'00_前提入力'!$B$10='00_前提入力'!$B$34,1,0))*'00_前提入力'!$B$33+(IF($A29='00_前提入力'!$B$9,'00_前提入力'!$B$35,0)+IF($A29='00_前提入力'!$B$10,'00_前提入力'!$B$35,0))+IF($A29='00_前提入力'!$B$37,'00_前提入力'!$B$36,0)</f>
        <v/>
      </c>
      <c r="J29" s="30">
        <f>H29-I29</f>
        <v/>
      </c>
      <c r="K29" s="31">
        <f>K28+J29</f>
        <v/>
      </c>
    </row>
    <row r="30">
      <c r="A30" s="27" t="n">
        <v>2051</v>
      </c>
      <c r="B30" s="19">
        <f>$A30-'00_前提入力'!$B$6</f>
        <v/>
      </c>
      <c r="C30" s="19">
        <f>$A30-'00_前提入力'!$B$7</f>
        <v/>
      </c>
      <c r="D30" s="19">
        <f>IF($A30&gt;='00_前提入力'!$B$8,$A30-'00_前提入力'!$B$8,"")</f>
        <v/>
      </c>
      <c r="E30" s="19">
        <f>IF($A30&gt;='00_前提入力'!$B$9,$A30-'00_前提入力'!$B$9,"")</f>
        <v/>
      </c>
      <c r="F30" s="19">
        <f>IF($A30&gt;='00_前提入力'!$B$10,$A30-'00_前提入力'!$B$10,"")</f>
        <v/>
      </c>
      <c r="G30" s="28" t="inlineStr">
        <is>
          <t>車 買替</t>
        </is>
      </c>
      <c r="H30" s="29">
        <f>IF($A30&lt;=2026,'00_前提入力'!$B$14,IF($A30=2027,'00_前提入力'!$B$15,IF($A30=2028,'00_前提入力'!$B$16,IF($A30=2029,'00_前提入力'!$B$17,IF($A30=2030,'00_前提入力'!$B$18,IF($A30&lt;=2056,'00_前提入力'!$B$19,'00_前提入力'!$B$20))))))</f>
        <v/>
      </c>
      <c r="I30" s="29">
        <f>'00_前提入力'!$B$23+(IF(AND($A30&gt;='00_前提入力'!$B$8,$A30-'00_前提入力'!$B$8&lt;=22),1,0)+IF(AND($A30&gt;='00_前提入力'!$B$9,$A30-'00_前提入力'!$B$9&lt;=22),1,0)+IF(AND($A30&gt;='00_前提入力'!$B$10,$A30-'00_前提入力'!$B$10&lt;=22),1,0))*'00_前提入力'!$B$24+(IF(AND($A30-'00_前提入力'!$B$8&gt;=6,$A30-'00_前提入力'!$B$8&lt;=22),1,0)+IF(AND($A30-'00_前提入力'!$B$9&gt;=6,$A30-'00_前提入力'!$B$9&lt;=22),1,0)+IF(AND($A30-'00_前提入力'!$B$10&gt;=6,$A30-'00_前提入力'!$B$10&lt;=22),1,0))*'00_前提入力'!$B$25+IF($A30&lt;'00_前提入力'!$B$37,'00_前提入力'!$B$26,'00_前提入力'!$B$27)+IF(AND($A30&gt;='00_前提入力'!$B$31,MOD($A30-'00_前提入力'!$B$31,'00_前提入力'!$B$32)=0),'00_前提入力'!$B$30,0)+(IF($A30-'00_前提入力'!$B$8='00_前提入力'!$B$34,1,0)+IF($A30-'00_前提入力'!$B$9='00_前提入力'!$B$34,1,0)+IF($A30-'00_前提入力'!$B$10='00_前提入力'!$B$34,1,0))*'00_前提入力'!$B$33+(IF($A30='00_前提入力'!$B$9,'00_前提入力'!$B$35,0)+IF($A30='00_前提入力'!$B$10,'00_前提入力'!$B$35,0))+IF($A30='00_前提入力'!$B$37,'00_前提入力'!$B$36,0)</f>
        <v/>
      </c>
      <c r="J30" s="30">
        <f>H30-I30</f>
        <v/>
      </c>
      <c r="K30" s="31">
        <f>K29+J30</f>
        <v/>
      </c>
    </row>
    <row r="31">
      <c r="A31" s="27" t="n">
        <v>2052</v>
      </c>
      <c r="B31" s="19">
        <f>$A31-'00_前提入力'!$B$6</f>
        <v/>
      </c>
      <c r="C31" s="19">
        <f>$A31-'00_前提入力'!$B$7</f>
        <v/>
      </c>
      <c r="D31" s="19">
        <f>IF($A31&gt;='00_前提入力'!$B$8,$A31-'00_前提入力'!$B$8,"")</f>
        <v/>
      </c>
      <c r="E31" s="19">
        <f>IF($A31&gt;='00_前提入力'!$B$9,$A31-'00_前提入力'!$B$9,"")</f>
        <v/>
      </c>
      <c r="F31" s="19">
        <f>IF($A31&gt;='00_前提入力'!$B$10,$A31-'00_前提入力'!$B$10,"")</f>
        <v/>
      </c>
      <c r="G31" s="28" t="inlineStr"/>
      <c r="H31" s="29">
        <f>IF($A31&lt;=2026,'00_前提入力'!$B$14,IF($A31=2027,'00_前提入力'!$B$15,IF($A31=2028,'00_前提入力'!$B$16,IF($A31=2029,'00_前提入力'!$B$17,IF($A31=2030,'00_前提入力'!$B$18,IF($A31&lt;=2056,'00_前提入力'!$B$19,'00_前提入力'!$B$20))))))</f>
        <v/>
      </c>
      <c r="I31" s="29">
        <f>'00_前提入力'!$B$23+(IF(AND($A31&gt;='00_前提入力'!$B$8,$A31-'00_前提入力'!$B$8&lt;=22),1,0)+IF(AND($A31&gt;='00_前提入力'!$B$9,$A31-'00_前提入力'!$B$9&lt;=22),1,0)+IF(AND($A31&gt;='00_前提入力'!$B$10,$A31-'00_前提入力'!$B$10&lt;=22),1,0))*'00_前提入力'!$B$24+(IF(AND($A31-'00_前提入力'!$B$8&gt;=6,$A31-'00_前提入力'!$B$8&lt;=22),1,0)+IF(AND($A31-'00_前提入力'!$B$9&gt;=6,$A31-'00_前提入力'!$B$9&lt;=22),1,0)+IF(AND($A31-'00_前提入力'!$B$10&gt;=6,$A31-'00_前提入力'!$B$10&lt;=22),1,0))*'00_前提入力'!$B$25+IF($A31&lt;'00_前提入力'!$B$37,'00_前提入力'!$B$26,'00_前提入力'!$B$27)+IF(AND($A31&gt;='00_前提入力'!$B$31,MOD($A31-'00_前提入力'!$B$31,'00_前提入力'!$B$32)=0),'00_前提入力'!$B$30,0)+(IF($A31-'00_前提入力'!$B$8='00_前提入力'!$B$34,1,0)+IF($A31-'00_前提入力'!$B$9='00_前提入力'!$B$34,1,0)+IF($A31-'00_前提入力'!$B$10='00_前提入力'!$B$34,1,0))*'00_前提入力'!$B$33+(IF($A31='00_前提入力'!$B$9,'00_前提入力'!$B$35,0)+IF($A31='00_前提入力'!$B$10,'00_前提入力'!$B$35,0))+IF($A31='00_前提入力'!$B$37,'00_前提入力'!$B$36,0)</f>
        <v/>
      </c>
      <c r="J31" s="30">
        <f>H31-I31</f>
        <v/>
      </c>
      <c r="K31" s="31">
        <f>K30+J31</f>
        <v/>
      </c>
    </row>
    <row r="32">
      <c r="A32" s="27" t="n">
        <v>2053</v>
      </c>
      <c r="B32" s="19">
        <f>$A32-'00_前提入力'!$B$6</f>
        <v/>
      </c>
      <c r="C32" s="19">
        <f>$A32-'00_前提入力'!$B$7</f>
        <v/>
      </c>
      <c r="D32" s="19">
        <f>IF($A32&gt;='00_前提入力'!$B$8,$A32-'00_前提入力'!$B$8,"")</f>
        <v/>
      </c>
      <c r="E32" s="19">
        <f>IF($A32&gt;='00_前提入力'!$B$9,$A32-'00_前提入力'!$B$9,"")</f>
        <v/>
      </c>
      <c r="F32" s="19">
        <f>IF($A32&gt;='00_前提入力'!$B$10,$A32-'00_前提入力'!$B$10,"")</f>
        <v/>
      </c>
      <c r="G32" s="28" t="inlineStr"/>
      <c r="H32" s="29">
        <f>IF($A32&lt;=2026,'00_前提入力'!$B$14,IF($A32=2027,'00_前提入力'!$B$15,IF($A32=2028,'00_前提入力'!$B$16,IF($A32=2029,'00_前提入力'!$B$17,IF($A32=2030,'00_前提入力'!$B$18,IF($A32&lt;=2056,'00_前提入力'!$B$19,'00_前提入力'!$B$20))))))</f>
        <v/>
      </c>
      <c r="I32" s="29">
        <f>'00_前提入力'!$B$23+(IF(AND($A32&gt;='00_前提入力'!$B$8,$A32-'00_前提入力'!$B$8&lt;=22),1,0)+IF(AND($A32&gt;='00_前提入力'!$B$9,$A32-'00_前提入力'!$B$9&lt;=22),1,0)+IF(AND($A32&gt;='00_前提入力'!$B$10,$A32-'00_前提入力'!$B$10&lt;=22),1,0))*'00_前提入力'!$B$24+(IF(AND($A32-'00_前提入力'!$B$8&gt;=6,$A32-'00_前提入力'!$B$8&lt;=22),1,0)+IF(AND($A32-'00_前提入力'!$B$9&gt;=6,$A32-'00_前提入力'!$B$9&lt;=22),1,0)+IF(AND($A32-'00_前提入力'!$B$10&gt;=6,$A32-'00_前提入力'!$B$10&lt;=22),1,0))*'00_前提入力'!$B$25+IF($A32&lt;'00_前提入力'!$B$37,'00_前提入力'!$B$26,'00_前提入力'!$B$27)+IF(AND($A32&gt;='00_前提入力'!$B$31,MOD($A32-'00_前提入力'!$B$31,'00_前提入力'!$B$32)=0),'00_前提入力'!$B$30,0)+(IF($A32-'00_前提入力'!$B$8='00_前提入力'!$B$34,1,0)+IF($A32-'00_前提入力'!$B$9='00_前提入力'!$B$34,1,0)+IF($A32-'00_前提入力'!$B$10='00_前提入力'!$B$34,1,0))*'00_前提入力'!$B$33+(IF($A32='00_前提入力'!$B$9,'00_前提入力'!$B$35,0)+IF($A32='00_前提入力'!$B$10,'00_前提入力'!$B$35,0))+IF($A32='00_前提入力'!$B$37,'00_前提入力'!$B$36,0)</f>
        <v/>
      </c>
      <c r="J32" s="30">
        <f>H32-I32</f>
        <v/>
      </c>
      <c r="K32" s="31">
        <f>K31+J32</f>
        <v/>
      </c>
    </row>
    <row r="33">
      <c r="A33" s="27" t="n">
        <v>2054</v>
      </c>
      <c r="B33" s="19">
        <f>$A33-'00_前提入力'!$B$6</f>
        <v/>
      </c>
      <c r="C33" s="19">
        <f>$A33-'00_前提入力'!$B$7</f>
        <v/>
      </c>
      <c r="D33" s="19">
        <f>IF($A33&gt;='00_前提入力'!$B$8,$A33-'00_前提入力'!$B$8,"")</f>
        <v/>
      </c>
      <c r="E33" s="19">
        <f>IF($A33&gt;='00_前提入力'!$B$9,$A33-'00_前提入力'!$B$9,"")</f>
        <v/>
      </c>
      <c r="F33" s="19">
        <f>IF($A33&gt;='00_前提入力'!$B$10,$A33-'00_前提入力'!$B$10,"")</f>
        <v/>
      </c>
      <c r="G33" s="28" t="inlineStr"/>
      <c r="H33" s="29">
        <f>IF($A33&lt;=2026,'00_前提入力'!$B$14,IF($A33=2027,'00_前提入力'!$B$15,IF($A33=2028,'00_前提入力'!$B$16,IF($A33=2029,'00_前提入力'!$B$17,IF($A33=2030,'00_前提入力'!$B$18,IF($A33&lt;=2056,'00_前提入力'!$B$19,'00_前提入力'!$B$20))))))</f>
        <v/>
      </c>
      <c r="I33" s="29">
        <f>'00_前提入力'!$B$23+(IF(AND($A33&gt;='00_前提入力'!$B$8,$A33-'00_前提入力'!$B$8&lt;=22),1,0)+IF(AND($A33&gt;='00_前提入力'!$B$9,$A33-'00_前提入力'!$B$9&lt;=22),1,0)+IF(AND($A33&gt;='00_前提入力'!$B$10,$A33-'00_前提入力'!$B$10&lt;=22),1,0))*'00_前提入力'!$B$24+(IF(AND($A33-'00_前提入力'!$B$8&gt;=6,$A33-'00_前提入力'!$B$8&lt;=22),1,0)+IF(AND($A33-'00_前提入力'!$B$9&gt;=6,$A33-'00_前提入力'!$B$9&lt;=22),1,0)+IF(AND($A33-'00_前提入力'!$B$10&gt;=6,$A33-'00_前提入力'!$B$10&lt;=22),1,0))*'00_前提入力'!$B$25+IF($A33&lt;'00_前提入力'!$B$37,'00_前提入力'!$B$26,'00_前提入力'!$B$27)+IF(AND($A33&gt;='00_前提入力'!$B$31,MOD($A33-'00_前提入力'!$B$31,'00_前提入力'!$B$32)=0),'00_前提入力'!$B$30,0)+(IF($A33-'00_前提入力'!$B$8='00_前提入力'!$B$34,1,0)+IF($A33-'00_前提入力'!$B$9='00_前提入力'!$B$34,1,0)+IF($A33-'00_前提入力'!$B$10='00_前提入力'!$B$34,1,0))*'00_前提入力'!$B$33+(IF($A33='00_前提入力'!$B$9,'00_前提入力'!$B$35,0)+IF($A33='00_前提入力'!$B$10,'00_前提入力'!$B$35,0))+IF($A33='00_前提入力'!$B$37,'00_前提入力'!$B$36,0)</f>
        <v/>
      </c>
      <c r="J33" s="30">
        <f>H33-I33</f>
        <v/>
      </c>
      <c r="K33" s="31">
        <f>K32+J33</f>
        <v/>
      </c>
    </row>
    <row r="34">
      <c r="A34" s="27" t="n">
        <v>2055</v>
      </c>
      <c r="B34" s="19">
        <f>$A34-'00_前提入力'!$B$6</f>
        <v/>
      </c>
      <c r="C34" s="19">
        <f>$A34-'00_前提入力'!$B$7</f>
        <v/>
      </c>
      <c r="D34" s="19">
        <f>IF($A34&gt;='00_前提入力'!$B$8,$A34-'00_前提入力'!$B$8,"")</f>
        <v/>
      </c>
      <c r="E34" s="19">
        <f>IF($A34&gt;='00_前提入力'!$B$9,$A34-'00_前提入力'!$B$9,"")</f>
        <v/>
      </c>
      <c r="F34" s="19">
        <f>IF($A34&gt;='00_前提入力'!$B$10,$A34-'00_前提入力'!$B$10,"")</f>
        <v/>
      </c>
      <c r="G34" s="28" t="inlineStr"/>
      <c r="H34" s="29">
        <f>IF($A34&lt;=2026,'00_前提入力'!$B$14,IF($A34=2027,'00_前提入力'!$B$15,IF($A34=2028,'00_前提入力'!$B$16,IF($A34=2029,'00_前提入力'!$B$17,IF($A34=2030,'00_前提入力'!$B$18,IF($A34&lt;=2056,'00_前提入力'!$B$19,'00_前提入力'!$B$20))))))</f>
        <v/>
      </c>
      <c r="I34" s="29">
        <f>'00_前提入力'!$B$23+(IF(AND($A34&gt;='00_前提入力'!$B$8,$A34-'00_前提入力'!$B$8&lt;=22),1,0)+IF(AND($A34&gt;='00_前提入力'!$B$9,$A34-'00_前提入力'!$B$9&lt;=22),1,0)+IF(AND($A34&gt;='00_前提入力'!$B$10,$A34-'00_前提入力'!$B$10&lt;=22),1,0))*'00_前提入力'!$B$24+(IF(AND($A34-'00_前提入力'!$B$8&gt;=6,$A34-'00_前提入力'!$B$8&lt;=22),1,0)+IF(AND($A34-'00_前提入力'!$B$9&gt;=6,$A34-'00_前提入力'!$B$9&lt;=22),1,0)+IF(AND($A34-'00_前提入力'!$B$10&gt;=6,$A34-'00_前提入力'!$B$10&lt;=22),1,0))*'00_前提入力'!$B$25+IF($A34&lt;'00_前提入力'!$B$37,'00_前提入力'!$B$26,'00_前提入力'!$B$27)+IF(AND($A34&gt;='00_前提入力'!$B$31,MOD($A34-'00_前提入力'!$B$31,'00_前提入力'!$B$32)=0),'00_前提入力'!$B$30,0)+(IF($A34-'00_前提入力'!$B$8='00_前提入力'!$B$34,1,0)+IF($A34-'00_前提入力'!$B$9='00_前提入力'!$B$34,1,0)+IF($A34-'00_前提入力'!$B$10='00_前提入力'!$B$34,1,0))*'00_前提入力'!$B$33+(IF($A34='00_前提入力'!$B$9,'00_前提入力'!$B$35,0)+IF($A34='00_前提入力'!$B$10,'00_前提入力'!$B$35,0))+IF($A34='00_前提入力'!$B$37,'00_前提入力'!$B$36,0)</f>
        <v/>
      </c>
      <c r="J34" s="30">
        <f>H34-I34</f>
        <v/>
      </c>
      <c r="K34" s="31">
        <f>K33+J34</f>
        <v/>
      </c>
    </row>
    <row r="35">
      <c r="A35" s="27" t="n">
        <v>2056</v>
      </c>
      <c r="B35" s="19">
        <f>$A35-'00_前提入力'!$B$6</f>
        <v/>
      </c>
      <c r="C35" s="19">
        <f>$A35-'00_前提入力'!$B$7</f>
        <v/>
      </c>
      <c r="D35" s="19">
        <f>IF($A35&gt;='00_前提入力'!$B$8,$A35-'00_前提入力'!$B$8,"")</f>
        <v/>
      </c>
      <c r="E35" s="19">
        <f>IF($A35&gt;='00_前提入力'!$B$9,$A35-'00_前提入力'!$B$9,"")</f>
        <v/>
      </c>
      <c r="F35" s="19">
        <f>IF($A35&gt;='00_前提入力'!$B$10,$A35-'00_前提入力'!$B$10,"")</f>
        <v/>
      </c>
      <c r="G35" s="28" t="inlineStr"/>
      <c r="H35" s="29">
        <f>IF($A35&lt;=2026,'00_前提入力'!$B$14,IF($A35=2027,'00_前提入力'!$B$15,IF($A35=2028,'00_前提入力'!$B$16,IF($A35=2029,'00_前提入力'!$B$17,IF($A35=2030,'00_前提入力'!$B$18,IF($A35&lt;=2056,'00_前提入力'!$B$19,'00_前提入力'!$B$20))))))</f>
        <v/>
      </c>
      <c r="I35" s="29">
        <f>'00_前提入力'!$B$23+(IF(AND($A35&gt;='00_前提入力'!$B$8,$A35-'00_前提入力'!$B$8&lt;=22),1,0)+IF(AND($A35&gt;='00_前提入力'!$B$9,$A35-'00_前提入力'!$B$9&lt;=22),1,0)+IF(AND($A35&gt;='00_前提入力'!$B$10,$A35-'00_前提入力'!$B$10&lt;=22),1,0))*'00_前提入力'!$B$24+(IF(AND($A35-'00_前提入力'!$B$8&gt;=6,$A35-'00_前提入力'!$B$8&lt;=22),1,0)+IF(AND($A35-'00_前提入力'!$B$9&gt;=6,$A35-'00_前提入力'!$B$9&lt;=22),1,0)+IF(AND($A35-'00_前提入力'!$B$10&gt;=6,$A35-'00_前提入力'!$B$10&lt;=22),1,0))*'00_前提入力'!$B$25+IF($A35&lt;'00_前提入力'!$B$37,'00_前提入力'!$B$26,'00_前提入力'!$B$27)+IF(AND($A35&gt;='00_前提入力'!$B$31,MOD($A35-'00_前提入力'!$B$31,'00_前提入力'!$B$32)=0),'00_前提入力'!$B$30,0)+(IF($A35-'00_前提入力'!$B$8='00_前提入力'!$B$34,1,0)+IF($A35-'00_前提入力'!$B$9='00_前提入力'!$B$34,1,0)+IF($A35-'00_前提入力'!$B$10='00_前提入力'!$B$34,1,0))*'00_前提入力'!$B$33+(IF($A35='00_前提入力'!$B$9,'00_前提入力'!$B$35,0)+IF($A35='00_前提入力'!$B$10,'00_前提入力'!$B$35,0))+IF($A35='00_前提入力'!$B$37,'00_前提入力'!$B$36,0)</f>
        <v/>
      </c>
      <c r="J35" s="30">
        <f>H35-I35</f>
        <v/>
      </c>
      <c r="K35" s="31">
        <f>K34+J35</f>
        <v/>
      </c>
    </row>
    <row r="36">
      <c r="A36" s="27" t="n">
        <v>2057</v>
      </c>
      <c r="B36" s="19">
        <f>$A36-'00_前提入力'!$B$6</f>
        <v/>
      </c>
      <c r="C36" s="19">
        <f>$A36-'00_前提入力'!$B$7</f>
        <v/>
      </c>
      <c r="D36" s="19">
        <f>IF($A36&gt;='00_前提入力'!$B$8,$A36-'00_前提入力'!$B$8,"")</f>
        <v/>
      </c>
      <c r="E36" s="19">
        <f>IF($A36&gt;='00_前提入力'!$B$9,$A36-'00_前提入力'!$B$9,"")</f>
        <v/>
      </c>
      <c r="F36" s="19">
        <f>IF($A36&gt;='00_前提入力'!$B$10,$A36-'00_前提入力'!$B$10,"")</f>
        <v/>
      </c>
      <c r="G36" s="28" t="inlineStr">
        <is>
          <t>研太65歳・老後フェーズ（年金＋取崩し）</t>
        </is>
      </c>
      <c r="H36" s="29">
        <f>IF($A36&lt;=2026,'00_前提入力'!$B$14,IF($A36=2027,'00_前提入力'!$B$15,IF($A36=2028,'00_前提入力'!$B$16,IF($A36=2029,'00_前提入力'!$B$17,IF($A36=2030,'00_前提入力'!$B$18,IF($A36&lt;=2056,'00_前提入力'!$B$19,'00_前提入力'!$B$20))))))</f>
        <v/>
      </c>
      <c r="I36" s="29">
        <f>'00_前提入力'!$B$23+(IF(AND($A36&gt;='00_前提入力'!$B$8,$A36-'00_前提入力'!$B$8&lt;=22),1,0)+IF(AND($A36&gt;='00_前提入力'!$B$9,$A36-'00_前提入力'!$B$9&lt;=22),1,0)+IF(AND($A36&gt;='00_前提入力'!$B$10,$A36-'00_前提入力'!$B$10&lt;=22),1,0))*'00_前提入力'!$B$24+(IF(AND($A36-'00_前提入力'!$B$8&gt;=6,$A36-'00_前提入力'!$B$8&lt;=22),1,0)+IF(AND($A36-'00_前提入力'!$B$9&gt;=6,$A36-'00_前提入力'!$B$9&lt;=22),1,0)+IF(AND($A36-'00_前提入力'!$B$10&gt;=6,$A36-'00_前提入力'!$B$10&lt;=22),1,0))*'00_前提入力'!$B$25+IF($A36&lt;'00_前提入力'!$B$37,'00_前提入力'!$B$26,'00_前提入力'!$B$27)+IF(AND($A36&gt;='00_前提入力'!$B$31,MOD($A36-'00_前提入力'!$B$31,'00_前提入力'!$B$32)=0),'00_前提入力'!$B$30,0)+(IF($A36-'00_前提入力'!$B$8='00_前提入力'!$B$34,1,0)+IF($A36-'00_前提入力'!$B$9='00_前提入力'!$B$34,1,0)+IF($A36-'00_前提入力'!$B$10='00_前提入力'!$B$34,1,0))*'00_前提入力'!$B$33+(IF($A36='00_前提入力'!$B$9,'00_前提入力'!$B$35,0)+IF($A36='00_前提入力'!$B$10,'00_前提入力'!$B$35,0))+IF($A36='00_前提入力'!$B$37,'00_前提入力'!$B$36,0)</f>
        <v/>
      </c>
      <c r="J36" s="30">
        <f>H36-I36</f>
        <v/>
      </c>
      <c r="K36" s="31">
        <f>K35+J36</f>
        <v/>
      </c>
    </row>
    <row r="37">
      <c r="A37" s="27" t="n">
        <v>2058</v>
      </c>
      <c r="B37" s="19">
        <f>$A37-'00_前提入力'!$B$6</f>
        <v/>
      </c>
      <c r="C37" s="19">
        <f>$A37-'00_前提入力'!$B$7</f>
        <v/>
      </c>
      <c r="D37" s="19">
        <f>IF($A37&gt;='00_前提入力'!$B$8,$A37-'00_前提入力'!$B$8,"")</f>
        <v/>
      </c>
      <c r="E37" s="19">
        <f>IF($A37&gt;='00_前提入力'!$B$9,$A37-'00_前提入力'!$B$9,"")</f>
        <v/>
      </c>
      <c r="F37" s="19">
        <f>IF($A37&gt;='00_前提入力'!$B$10,$A37-'00_前提入力'!$B$10,"")</f>
        <v/>
      </c>
      <c r="G37" s="28" t="inlineStr"/>
      <c r="H37" s="29">
        <f>IF($A37&lt;=2026,'00_前提入力'!$B$14,IF($A37=2027,'00_前提入力'!$B$15,IF($A37=2028,'00_前提入力'!$B$16,IF($A37=2029,'00_前提入力'!$B$17,IF($A37=2030,'00_前提入力'!$B$18,IF($A37&lt;=2056,'00_前提入力'!$B$19,'00_前提入力'!$B$20))))))</f>
        <v/>
      </c>
      <c r="I37" s="29">
        <f>'00_前提入力'!$B$23+(IF(AND($A37&gt;='00_前提入力'!$B$8,$A37-'00_前提入力'!$B$8&lt;=22),1,0)+IF(AND($A37&gt;='00_前提入力'!$B$9,$A37-'00_前提入力'!$B$9&lt;=22),1,0)+IF(AND($A37&gt;='00_前提入力'!$B$10,$A37-'00_前提入力'!$B$10&lt;=22),1,0))*'00_前提入力'!$B$24+(IF(AND($A37-'00_前提入力'!$B$8&gt;=6,$A37-'00_前提入力'!$B$8&lt;=22),1,0)+IF(AND($A37-'00_前提入力'!$B$9&gt;=6,$A37-'00_前提入力'!$B$9&lt;=22),1,0)+IF(AND($A37-'00_前提入力'!$B$10&gt;=6,$A37-'00_前提入力'!$B$10&lt;=22),1,0))*'00_前提入力'!$B$25+IF($A37&lt;'00_前提入力'!$B$37,'00_前提入力'!$B$26,'00_前提入力'!$B$27)+IF(AND($A37&gt;='00_前提入力'!$B$31,MOD($A37-'00_前提入力'!$B$31,'00_前提入力'!$B$32)=0),'00_前提入力'!$B$30,0)+(IF($A37-'00_前提入力'!$B$8='00_前提入力'!$B$34,1,0)+IF($A37-'00_前提入力'!$B$9='00_前提入力'!$B$34,1,0)+IF($A37-'00_前提入力'!$B$10='00_前提入力'!$B$34,1,0))*'00_前提入力'!$B$33+(IF($A37='00_前提入力'!$B$9,'00_前提入力'!$B$35,0)+IF($A37='00_前提入力'!$B$10,'00_前提入力'!$B$35,0))+IF($A37='00_前提入力'!$B$37,'00_前提入力'!$B$36,0)</f>
        <v/>
      </c>
      <c r="J37" s="30">
        <f>H37-I37</f>
        <v/>
      </c>
      <c r="K37" s="31">
        <f>K36+J37</f>
        <v/>
      </c>
    </row>
    <row r="38">
      <c r="A38" s="27" t="n">
        <v>2059</v>
      </c>
      <c r="B38" s="19">
        <f>$A38-'00_前提入力'!$B$6</f>
        <v/>
      </c>
      <c r="C38" s="19">
        <f>$A38-'00_前提入力'!$B$7</f>
        <v/>
      </c>
      <c r="D38" s="19">
        <f>IF($A38&gt;='00_前提入力'!$B$8,$A38-'00_前提入力'!$B$8,"")</f>
        <v/>
      </c>
      <c r="E38" s="19">
        <f>IF($A38&gt;='00_前提入力'!$B$9,$A38-'00_前提入力'!$B$9,"")</f>
        <v/>
      </c>
      <c r="F38" s="19">
        <f>IF($A38&gt;='00_前提入力'!$B$10,$A38-'00_前提入力'!$B$10,"")</f>
        <v/>
      </c>
      <c r="G38" s="28" t="inlineStr"/>
      <c r="H38" s="29">
        <f>IF($A38&lt;=2026,'00_前提入力'!$B$14,IF($A38=2027,'00_前提入力'!$B$15,IF($A38=2028,'00_前提入力'!$B$16,IF($A38=2029,'00_前提入力'!$B$17,IF($A38=2030,'00_前提入力'!$B$18,IF($A38&lt;=2056,'00_前提入力'!$B$19,'00_前提入力'!$B$20))))))</f>
        <v/>
      </c>
      <c r="I38" s="29">
        <f>'00_前提入力'!$B$23+(IF(AND($A38&gt;='00_前提入力'!$B$8,$A38-'00_前提入力'!$B$8&lt;=22),1,0)+IF(AND($A38&gt;='00_前提入力'!$B$9,$A38-'00_前提入力'!$B$9&lt;=22),1,0)+IF(AND($A38&gt;='00_前提入力'!$B$10,$A38-'00_前提入力'!$B$10&lt;=22),1,0))*'00_前提入力'!$B$24+(IF(AND($A38-'00_前提入力'!$B$8&gt;=6,$A38-'00_前提入力'!$B$8&lt;=22),1,0)+IF(AND($A38-'00_前提入力'!$B$9&gt;=6,$A38-'00_前提入力'!$B$9&lt;=22),1,0)+IF(AND($A38-'00_前提入力'!$B$10&gt;=6,$A38-'00_前提入力'!$B$10&lt;=22),1,0))*'00_前提入力'!$B$25+IF($A38&lt;'00_前提入力'!$B$37,'00_前提入力'!$B$26,'00_前提入力'!$B$27)+IF(AND($A38&gt;='00_前提入力'!$B$31,MOD($A38-'00_前提入力'!$B$31,'00_前提入力'!$B$32)=0),'00_前提入力'!$B$30,0)+(IF($A38-'00_前提入力'!$B$8='00_前提入力'!$B$34,1,0)+IF($A38-'00_前提入力'!$B$9='00_前提入力'!$B$34,1,0)+IF($A38-'00_前提入力'!$B$10='00_前提入力'!$B$34,1,0))*'00_前提入力'!$B$33+(IF($A38='00_前提入力'!$B$9,'00_前提入力'!$B$35,0)+IF($A38='00_前提入力'!$B$10,'00_前提入力'!$B$35,0))+IF($A38='00_前提入力'!$B$37,'00_前提入力'!$B$36,0)</f>
        <v/>
      </c>
      <c r="J38" s="30">
        <f>H38-I38</f>
        <v/>
      </c>
      <c r="K38" s="31">
        <f>K37+J38</f>
        <v/>
      </c>
    </row>
    <row r="39">
      <c r="A39" s="27" t="n">
        <v>2060</v>
      </c>
      <c r="B39" s="19">
        <f>$A39-'00_前提入力'!$B$6</f>
        <v/>
      </c>
      <c r="C39" s="19">
        <f>$A39-'00_前提入力'!$B$7</f>
        <v/>
      </c>
      <c r="D39" s="19">
        <f>IF($A39&gt;='00_前提入力'!$B$8,$A39-'00_前提入力'!$B$8,"")</f>
        <v/>
      </c>
      <c r="E39" s="19">
        <f>IF($A39&gt;='00_前提入力'!$B$9,$A39-'00_前提入力'!$B$9,"")</f>
        <v/>
      </c>
      <c r="F39" s="19">
        <f>IF($A39&gt;='00_前提入力'!$B$10,$A39-'00_前提入力'!$B$10,"")</f>
        <v/>
      </c>
      <c r="G39" s="28" t="inlineStr"/>
      <c r="H39" s="29">
        <f>IF($A39&lt;=2026,'00_前提入力'!$B$14,IF($A39=2027,'00_前提入力'!$B$15,IF($A39=2028,'00_前提入力'!$B$16,IF($A39=2029,'00_前提入力'!$B$17,IF($A39=2030,'00_前提入力'!$B$18,IF($A39&lt;=2056,'00_前提入力'!$B$19,'00_前提入力'!$B$20))))))</f>
        <v/>
      </c>
      <c r="I39" s="29">
        <f>'00_前提入力'!$B$23+(IF(AND($A39&gt;='00_前提入力'!$B$8,$A39-'00_前提入力'!$B$8&lt;=22),1,0)+IF(AND($A39&gt;='00_前提入力'!$B$9,$A39-'00_前提入力'!$B$9&lt;=22),1,0)+IF(AND($A39&gt;='00_前提入力'!$B$10,$A39-'00_前提入力'!$B$10&lt;=22),1,0))*'00_前提入力'!$B$24+(IF(AND($A39-'00_前提入力'!$B$8&gt;=6,$A39-'00_前提入力'!$B$8&lt;=22),1,0)+IF(AND($A39-'00_前提入力'!$B$9&gt;=6,$A39-'00_前提入力'!$B$9&lt;=22),1,0)+IF(AND($A39-'00_前提入力'!$B$10&gt;=6,$A39-'00_前提入力'!$B$10&lt;=22),1,0))*'00_前提入力'!$B$25+IF($A39&lt;'00_前提入力'!$B$37,'00_前提入力'!$B$26,'00_前提入力'!$B$27)+IF(AND($A39&gt;='00_前提入力'!$B$31,MOD($A39-'00_前提入力'!$B$31,'00_前提入力'!$B$32)=0),'00_前提入力'!$B$30,0)+(IF($A39-'00_前提入力'!$B$8='00_前提入力'!$B$34,1,0)+IF($A39-'00_前提入力'!$B$9='00_前提入力'!$B$34,1,0)+IF($A39-'00_前提入力'!$B$10='00_前提入力'!$B$34,1,0))*'00_前提入力'!$B$33+(IF($A39='00_前提入力'!$B$9,'00_前提入力'!$B$35,0)+IF($A39='00_前提入力'!$B$10,'00_前提入力'!$B$35,0))+IF($A39='00_前提入力'!$B$37,'00_前提入力'!$B$36,0)</f>
        <v/>
      </c>
      <c r="J39" s="30">
        <f>H39-I39</f>
        <v/>
      </c>
      <c r="K39" s="31">
        <f>K38+J39</f>
        <v/>
      </c>
    </row>
    <row r="41">
      <c r="A41" s="3" t="inlineStr">
        <is>
          <t>老後資金 目標：</t>
        </is>
      </c>
      <c r="G41" s="32">
        <f>'00_前提入力'!$B$41</f>
        <v/>
      </c>
      <c r="H41" s="4" t="inlineStr">
        <is>
          <t>万</t>
        </is>
      </c>
      <c r="I41" s="33" t="inlineStr">
        <is>
          <t>2057年の純資産見込：</t>
        </is>
      </c>
      <c r="K41" s="34">
        <f>K36</f>
        <v/>
      </c>
    </row>
    <row r="43" ht="40" customHeight="1">
      <c r="A43" s="35" t="inlineStr">
        <is>
          <t>※純資産＝保守シナリオ。ここに事業の上振れ（オーロラ複数エリア・AI医療・物件売却益）が乗れば老後1.8億に到達。立上げ2年・住替・留学の年は収支が赤でも、純資産トレンドは右肩上がり。</t>
        </is>
      </c>
    </row>
    <row r="44"/>
  </sheetData>
  <mergeCells count="4">
    <mergeCell ref="A2:K2"/>
    <mergeCell ref="A43:K44"/>
    <mergeCell ref="A1:K1"/>
    <mergeCell ref="A41:F41"/>
  </mergeCells>
  <conditionalFormatting sqref="J5:J39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2026-06-14T04:49:31Z</dcterms:created>
  <dcterms:modified xmlns:dcterms="http://purl.org/dc/terms/" xmlns:xsi="http://www.w3.org/2001/XMLSchema-instance" xsi:type="dcterms:W3CDTF">2026-06-14T04:49:31Z</dcterms:modified>
</cp:coreProperties>
</file>